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atula_Ejecutiva" sheetId="1" state="visible" r:id="rId1"/>
    <sheet xmlns:r="http://schemas.openxmlformats.org/officeDocument/2006/relationships" name="Resumen_Cartera" sheetId="2" state="visible" r:id="rId2"/>
    <sheet xmlns:r="http://schemas.openxmlformats.org/officeDocument/2006/relationships" name="Calculo_Tasa_Implicita" sheetId="3" state="visible" r:id="rId3"/>
    <sheet xmlns:r="http://schemas.openxmlformats.org/officeDocument/2006/relationships" name="Modelo_Amortizacion_Tipo" sheetId="4" state="visible" r:id="rId4"/>
    <sheet xmlns:r="http://schemas.openxmlformats.org/officeDocument/2006/relationships" name="Intereses_Leasing_Mensual" sheetId="5" state="visible" r:id="rId5"/>
    <sheet xmlns:r="http://schemas.openxmlformats.org/officeDocument/2006/relationships" name="Intereses_Residual_Mensual" sheetId="6" state="visible" r:id="rId6"/>
    <sheet xmlns:r="http://schemas.openxmlformats.org/officeDocument/2006/relationships" name="Ingreso_Financiero_Total" sheetId="7" state="visible" r:id="rId7"/>
    <sheet xmlns:r="http://schemas.openxmlformats.org/officeDocument/2006/relationships" name="Amortizacion_Capital_Mensual" sheetId="8" state="visible" r:id="rId8"/>
    <sheet xmlns:r="http://schemas.openxmlformats.org/officeDocument/2006/relationships" name="Saldos_Capital_Mensual" sheetId="9" state="visible" r:id="rId9"/>
    <sheet xmlns:r="http://schemas.openxmlformats.org/officeDocument/2006/relationships" name="Saldos_Intereses_Mensual" sheetId="10" state="visible" r:id="rId10"/>
    <sheet xmlns:r="http://schemas.openxmlformats.org/officeDocument/2006/relationships" name="Saldos_Cartera_Total" sheetId="11" state="visible" r:id="rId11"/>
    <sheet xmlns:r="http://schemas.openxmlformats.org/officeDocument/2006/relationships" name="Saldo_Residual_Activo" sheetId="12" state="visible" r:id="rId12"/>
    <sheet xmlns:r="http://schemas.openxmlformats.org/officeDocument/2006/relationships" name="Saldos_Exigible_Global" sheetId="13" state="visible" r:id="rId13"/>
    <sheet xmlns:r="http://schemas.openxmlformats.org/officeDocument/2006/relationships" name="Saldos_Insolutos_Mensual" sheetId="14" state="visible" r:id="rId14"/>
    <sheet xmlns:r="http://schemas.openxmlformats.org/officeDocument/2006/relationships" name="Matriz_Consolidada" sheetId="15" state="visible" r:id="rId15"/>
    <sheet xmlns:r="http://schemas.openxmlformats.org/officeDocument/2006/relationships" name="Matriz_Consolidada_Saldos" sheetId="16" state="visible" r:id="rId16"/>
  </sheets>
  <definedNames>
    <definedName name="CONTRATOS_LISTA">'Resumen_Cartera'!$A$5:$A$281</definedName>
    <definedName name="_xlnm._FilterDatabase" localSheetId="1" hidden="1">'Resumen_Cartera'!$A$4:$Z$281</definedName>
    <definedName name="_xlnm._FilterDatabase" localSheetId="2" hidden="1">'Calculo_Tasa_Implicita'!$A$4:$T$281</definedName>
    <definedName name="_xlnm._FilterDatabase" localSheetId="4" hidden="1">'Intereses_Leasing_Mensual'!$A$4:$U$281</definedName>
    <definedName name="_xlnm._FilterDatabase" localSheetId="5" hidden="1">'Intereses_Residual_Mensual'!$A$4:$U$281</definedName>
    <definedName name="_xlnm._FilterDatabase" localSheetId="6" hidden="1">'Ingreso_Financiero_Total'!$A$4:$R$281</definedName>
    <definedName name="_xlnm._FilterDatabase" localSheetId="7" hidden="1">'Amortizacion_Capital_Mensual'!$A$4:$V$281</definedName>
    <definedName name="_xlnm._FilterDatabase" localSheetId="8" hidden="1">'Saldos_Capital_Mensual'!$A$4:$U$281</definedName>
    <definedName name="_xlnm._FilterDatabase" localSheetId="9" hidden="1">'Saldos_Intereses_Mensual'!$A$4:$U$281</definedName>
    <definedName name="_xlnm._FilterDatabase" localSheetId="10" hidden="1">'Saldos_Cartera_Total'!$A$4:$R$281</definedName>
    <definedName name="_xlnm._FilterDatabase" localSheetId="11" hidden="1">'Saldo_Residual_Activo'!$A$4:$U$281</definedName>
    <definedName name="_xlnm._FilterDatabase" localSheetId="12" hidden="1">'Saldos_Exigible_Global'!$A$4:$R$281</definedName>
    <definedName name="_xlnm._FilterDatabase" localSheetId="14" hidden="1">'Matriz_Consolidada'!$A$4:$BL$281</definedName>
    <definedName name="_xlnm._FilterDatabase" localSheetId="15" hidden="1">'Matriz_Consolidada_Saldos'!$A$4:$BL$281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[Red]-$#,##0.00;&quot;-&quot;"/>
    <numFmt numFmtId="165" formatCode="0.00000000%"/>
  </numFmts>
  <fonts count="17">
    <font>
      <name val="Calibri"/>
      <family val="2"/>
      <color theme="1"/>
      <sz val="11"/>
      <scheme val="minor"/>
    </font>
    <font>
      <name val="Calibri"/>
      <b val="1"/>
      <color rgb="001E5C4F"/>
      <sz val="13"/>
    </font>
    <font>
      <name val="Calibri"/>
      <i val="1"/>
      <color rgb="0064748B"/>
      <sz val="8"/>
    </font>
    <font>
      <name val="Calibri"/>
      <b val="1"/>
      <color rgb="00FFFFFF"/>
      <sz val="10"/>
    </font>
    <font>
      <name val="Calibri"/>
      <color rgb="001E293B"/>
      <sz val="9"/>
    </font>
    <font>
      <name val="Calibri"/>
      <b val="1"/>
      <color rgb="001E5C4F"/>
      <sz val="9"/>
    </font>
    <font>
      <name val="Calibri"/>
      <b val="1"/>
      <color rgb="001E5C4F"/>
      <sz val="14"/>
    </font>
    <font>
      <name val="Calibri"/>
      <b val="1"/>
      <color rgb="001E293B"/>
      <sz val="16"/>
    </font>
    <font>
      <name val="Calibri"/>
      <b val="1"/>
      <color rgb="0064748B"/>
      <sz val="8"/>
    </font>
    <font>
      <name val="Calibri"/>
      <b val="1"/>
      <color rgb="001E5C4F"/>
      <sz val="11"/>
    </font>
    <font>
      <name val="Calibri"/>
      <b val="1"/>
      <color rgb="001E5C4F"/>
      <sz val="9"/>
      <u val="single"/>
    </font>
    <font>
      <name val="Consolas"/>
      <color rgb="00047857"/>
      <sz val="8"/>
    </font>
    <font>
      <name val="Calibri"/>
      <b val="1"/>
      <color rgb="00FFFFFF"/>
      <sz val="11"/>
    </font>
    <font>
      <name val="Calibri"/>
      <b val="1"/>
      <color rgb="001E5C4F"/>
      <sz val="12"/>
    </font>
    <font>
      <name val="Calibri"/>
      <i val="1"/>
      <color rgb="0064748B"/>
      <sz val="9"/>
    </font>
    <font>
      <name val="Calibri"/>
      <b val="1"/>
      <color rgb="001E293B"/>
      <sz val="9"/>
    </font>
    <font>
      <name val="Calibri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E5C4F"/>
        <bgColor rgb="001E5C4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2D7D6F"/>
        <bgColor rgb="002D7D6F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5C4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5C4F"/>
      </bottom>
    </border>
    <border>
      <left style="medium">
        <color rgb="001E5C4F"/>
      </left>
      <right style="medium">
        <color rgb="001E5C4F"/>
      </right>
      <top style="medium">
        <color rgb="001E5C4F"/>
      </top>
      <bottom style="medium">
        <color rgb="001E5C4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left" vertical="center"/>
    </xf>
    <xf numFmtId="3" fontId="1" fillId="5" borderId="3" applyAlignment="1" pivotButton="0" quotePrefix="0" xfId="0">
      <alignment horizontal="left" vertical="center"/>
    </xf>
    <xf numFmtId="164" fontId="1" fillId="5" borderId="3" applyAlignment="1" pivotButton="0" quotePrefix="0" xfId="0">
      <alignment horizontal="left" vertical="center"/>
    </xf>
    <xf numFmtId="165" fontId="1" fillId="5" borderId="3" applyAlignment="1" pivotButton="0" quotePrefix="0" xfId="0">
      <alignment horizontal="left" vertical="center"/>
    </xf>
    <xf numFmtId="0" fontId="9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3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10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5" fillId="4" borderId="2" applyAlignment="1" pivotButton="0" quotePrefix="0" xfId="0">
      <alignment horizontal="center"/>
    </xf>
    <xf numFmtId="0" fontId="5" fillId="4" borderId="2" applyAlignment="1" pivotButton="0" quotePrefix="0" xfId="0">
      <alignment horizontal="left"/>
    </xf>
    <xf numFmtId="0" fontId="5" fillId="4" borderId="2" pivotButton="0" quotePrefix="0" xfId="0"/>
    <xf numFmtId="164" fontId="5" fillId="4" borderId="2" applyAlignment="1" pivotButton="0" quotePrefix="0" xfId="0">
      <alignment horizontal="right"/>
    </xf>
    <xf numFmtId="10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12" fillId="2" borderId="1" applyAlignment="1" pivotButton="0" quotePrefix="0" xfId="0">
      <alignment horizontal="center" vertical="center"/>
    </xf>
    <xf numFmtId="0" fontId="13" fillId="6" borderId="4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0" applyAlignment="1" pivotButton="0" quotePrefix="0" xfId="0">
      <alignment horizontal="right" vertical="center"/>
    </xf>
    <xf numFmtId="49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left" vertical="center"/>
    </xf>
    <xf numFmtId="165" fontId="4" fillId="3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4" fontId="5" fillId="4" borderId="2" pivotButton="0" quotePrefix="0" xfId="0"/>
    <xf numFmtId="0" fontId="1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666875" cy="371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285875" cy="3714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1</row>
      <rowOff>0</rowOff>
    </from>
    <ext cx="1428750" cy="314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H3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8" customWidth="1" min="3" max="3"/>
    <col width="44" customWidth="1" min="4" max="4"/>
    <col width="44" customWidth="1" min="5" max="5"/>
  </cols>
  <sheetData>
    <row r="1" ht="10" customHeight="1"/>
    <row r="2" ht="44" customHeight="1"/>
    <row r="3" ht="10" customHeight="1"/>
    <row r="4" ht="24" customHeight="1">
      <c r="B4" s="1" t="inlineStr">
        <is>
          <t>O-LEASING · UNA APP DE ORANGE CREW</t>
        </is>
      </c>
    </row>
    <row r="5" ht="22" customHeight="1">
      <c r="B5" s="2" t="inlineStr">
        <is>
          <t>REPORTE INTEGRAL DE AUDITORÍA Y SALDOS DE CARTERA</t>
        </is>
      </c>
    </row>
    <row r="6" ht="18" customHeight="1">
      <c r="B6" s="3" t="inlineStr">
        <is>
          <t>Normatividad NIF C-15 / IFRS 16 · Fórmulas Financieras Vivas de Excel · Desarrollado por Orange Crew · Ejercicio Fiscal 2026</t>
        </is>
      </c>
    </row>
    <row r="7" ht="12" customHeight="1"/>
    <row r="8">
      <c r="B8" s="4" t="inlineStr">
        <is>
          <t>CONTRATOS AUDITADOS</t>
        </is>
      </c>
      <c r="D8" s="4" t="inlineStr">
        <is>
          <t>INVERSIÓN NETA TOTAL</t>
        </is>
      </c>
      <c r="F8" s="4" t="inlineStr">
        <is>
          <t>RENTA MENSUAL TOTAL</t>
        </is>
      </c>
      <c r="H8" s="4" t="inlineStr">
        <is>
          <t>RESIDUAL TOTAL PACTADO</t>
        </is>
      </c>
    </row>
    <row r="9">
      <c r="B9" s="5">
        <f>'Resumen_Cartera'!G282</f>
        <v/>
      </c>
      <c r="D9" s="6">
        <f>'Resumen_Cartera'!K282</f>
        <v/>
      </c>
      <c r="F9" s="6">
        <f>'Resumen_Cartera'!N282</f>
        <v/>
      </c>
      <c r="H9" s="6">
        <f>'Resumen_Cartera'!P282</f>
        <v/>
      </c>
    </row>
    <row r="10">
      <c r="B10" s="4" t="inlineStr">
        <is>
          <t>TASA MENSUAL PROMEDIO</t>
        </is>
      </c>
      <c r="D10" s="4" t="inlineStr">
        <is>
          <t>TOTAL INTERÉS LEASING</t>
        </is>
      </c>
      <c r="F10" s="4" t="inlineStr">
        <is>
          <t>TOTAL INTERÉS RESIDUAL</t>
        </is>
      </c>
      <c r="H10" s="4" t="inlineStr">
        <is>
          <t>INGRESO FINANCIERO TOTAL</t>
        </is>
      </c>
    </row>
    <row r="11">
      <c r="B11" s="7">
        <f>'Resumen_Cartera'!R282</f>
        <v/>
      </c>
      <c r="D11" s="6">
        <f>'Resumen_Cartera'!V282</f>
        <v/>
      </c>
      <c r="F11" s="6">
        <f>'Resumen_Cartera'!W282</f>
        <v/>
      </c>
      <c r="H11" s="6">
        <f>'Resumen_Cartera'!X282</f>
        <v/>
      </c>
    </row>
    <row r="13">
      <c r="B13" s="8" t="inlineStr">
        <is>
          <t>ÍNDICE DE HOJAS Y METODOLOGÍA DEL LIBRO OFICIAL (O-LEASING · ORANGE CREW)</t>
        </is>
      </c>
    </row>
    <row r="14" ht="24" customHeight="1">
      <c r="B14" s="9" t="inlineStr">
        <is>
          <t>No.</t>
        </is>
      </c>
      <c r="C14" s="9" t="inlineStr">
        <is>
          <t>Hoja de Cálculo (Clic para ir)</t>
        </is>
      </c>
      <c r="D14" s="9" t="inlineStr">
        <is>
          <t>Propósito y Contenido Contable</t>
        </is>
      </c>
      <c r="E14" s="9" t="inlineStr">
        <is>
          <t>Fórmulas Matemáticas Clave</t>
        </is>
      </c>
    </row>
    <row r="15" ht="20" customHeight="1">
      <c r="B15" s="10" t="n">
        <v>1</v>
      </c>
      <c r="C15" s="11">
        <f>HYPERLINK("#'Resumen_Cartera'!A1", "Resumen_Cartera")</f>
        <v/>
      </c>
      <c r="D15" s="12" t="inlineStr">
        <is>
          <t>Padrón completo de contratos en vertical con unidad vehicular, porcentajes y rentabilidad.</t>
        </is>
      </c>
      <c r="E15" s="13" t="inlineStr">
        <is>
          <t>RATE, PV, SUM, AVERAGE</t>
        </is>
      </c>
    </row>
    <row r="16" ht="20" customHeight="1">
      <c r="B16" s="14" t="n">
        <v>2</v>
      </c>
      <c r="C16" s="15">
        <f>HYPERLINK("#'Calculo_Tasa_Implicita'!A1", "Calculo_Tasa_Implicita")</f>
        <v/>
      </c>
      <c r="D16" s="16" t="inlineStr">
        <is>
          <t>Metodología NIF C-15 / IFRS 16 de cálculo de tasa mensual y comprobación a diferencia cero.</t>
        </is>
      </c>
      <c r="E16" s="17" t="inlineStr">
        <is>
          <t>RATE, PV, Comprobación PV, TIR</t>
        </is>
      </c>
    </row>
    <row r="17" ht="20" customHeight="1">
      <c r="B17" s="10" t="n">
        <v>3</v>
      </c>
      <c r="C17" s="11">
        <f>HYPERLINK("#'Modelo_Amortizacion_Tipo'!A1", "Modelo_Amortizacion_Tipo")</f>
        <v/>
      </c>
      <c r="D17" s="12" t="inlineStr">
        <is>
          <t>Demostración dinámica con selector desplegable de contrato y corte automático exacto al plazo.</t>
        </is>
      </c>
      <c r="E17" s="13" t="inlineStr">
        <is>
          <t>VLOOKUP, Saldo*Tasa, Renta-Interés, Corte</t>
        </is>
      </c>
    </row>
    <row r="18" ht="20" customHeight="1">
      <c r="B18" s="14" t="n">
        <v>4</v>
      </c>
      <c r="C18" s="15">
        <f>HYPERLINK("#'Intereses_Leasing_Mensual'!A1", "Intereses_Leasing_Mensual")</f>
        <v/>
      </c>
      <c r="D18" s="16" t="inlineStr">
        <is>
          <t>Matriz horizontal de intereses de leasing devengados mes a mes por contrato.</t>
        </is>
      </c>
      <c r="E18" s="17" t="inlineStr">
        <is>
          <t>IF(Saldo_Ant&gt;0, ROUND(Saldo_Ant*Tasa, 2), '')</t>
        </is>
      </c>
    </row>
    <row r="19" ht="20" customHeight="1">
      <c r="B19" s="10" t="n">
        <v>5</v>
      </c>
      <c r="C19" s="11">
        <f>HYPERLINK("#'Intereses_Residual_Mensual'!A1", "Intereses_Residual_Mensual")</f>
        <v/>
      </c>
      <c r="D19" s="12" t="inlineStr">
        <is>
          <t>Matriz horizontal de intereses sobre el valor presente del residual (NIF C-15).</t>
        </is>
      </c>
      <c r="E19" s="13" t="inlineStr">
        <is>
          <t>IF(Saldo_Res_Ant&gt;0, ROUND(Saldo_Res*Tasa, 2), '')</t>
        </is>
      </c>
    </row>
    <row r="20" ht="20" customHeight="1">
      <c r="B20" s="14" t="n">
        <v>6</v>
      </c>
      <c r="C20" s="15">
        <f>HYPERLINK("#'Ingreso_Financiero_Total'!A1", "Ingreso_Financiero_Total")</f>
        <v/>
      </c>
      <c r="D20" s="16" t="inlineStr">
        <is>
          <t>Matriz de ingreso financiero consolidado (Leasing + Residual) mes a mes.</t>
        </is>
      </c>
      <c r="E20" s="17" t="inlineStr">
        <is>
          <t>Intereses_Leasing_Mensual! + Residual!</t>
        </is>
      </c>
    </row>
    <row r="21" ht="20" customHeight="1">
      <c r="B21" s="10" t="n">
        <v>7</v>
      </c>
      <c r="C21" s="11">
        <f>HYPERLINK("#'Amortizacion_Capital_Mensual'!A1", "Amortizacion_Capital_Mensual")</f>
        <v/>
      </c>
      <c r="D21" s="12" t="inlineStr">
        <is>
          <t>Matriz horizontal de amortización de principal mes a mes.</t>
        </is>
      </c>
      <c r="E21" s="13" t="inlineStr">
        <is>
          <t>IF(Leasing&gt;0, Renta - Leasing, '')</t>
        </is>
      </c>
    </row>
    <row r="22" ht="20" customHeight="1">
      <c r="B22" s="14" t="n">
        <v>8</v>
      </c>
      <c r="C22" s="15">
        <f>HYPERLINK("#'Saldos_Capital_Mensual'!A1", "Saldos_Capital_Mensual")</f>
        <v/>
      </c>
      <c r="D22" s="16" t="inlineStr">
        <is>
          <t>Saldo insoluto de principal mes a mes al cierre de cada periodo contable.</t>
        </is>
      </c>
      <c r="E22" s="17" t="inlineStr">
        <is>
          <t>IF(Cap&gt;0, Saldo_Ant - Cap, '')</t>
        </is>
      </c>
    </row>
    <row r="23" ht="20" customHeight="1">
      <c r="B23" s="10" t="n">
        <v>9</v>
      </c>
      <c r="C23" s="11">
        <f>HYPERLINK("#'Saldos_Intereses_Mensual'!A1", "Saldos_Intereses_Mensual")</f>
        <v/>
      </c>
      <c r="D23" s="12" t="inlineStr">
        <is>
          <t>Saldo de intereses remanentes por devengar/cobrar desde cada corte mensual.</t>
        </is>
      </c>
      <c r="E23" s="13" t="inlineStr">
        <is>
          <t>IF(Int&gt;0, Saldo_Ant - Int, '')</t>
        </is>
      </c>
    </row>
    <row r="24" ht="20" customHeight="1">
      <c r="B24" s="14" t="n">
        <v>10</v>
      </c>
      <c r="C24" s="15">
        <f>HYPERLINK("#'Saldos_Cartera_Total'!A1", "Saldos_Cartera_Total")</f>
        <v/>
      </c>
      <c r="D24" s="16" t="inlineStr">
        <is>
          <t>Saldo total exigible de mensualidades restantes (Capital + Intereses).</t>
        </is>
      </c>
      <c r="E24" s="17" t="inlineStr">
        <is>
          <t>Saldos_Capital! + Saldos_Intereses!</t>
        </is>
      </c>
    </row>
    <row r="25" ht="20" customHeight="1">
      <c r="B25" s="10" t="n">
        <v>11</v>
      </c>
      <c r="C25" s="11">
        <f>HYPERLINK("#'Saldo_Residual_Activo'!A1", "Saldo_Residual_Activo")</f>
        <v/>
      </c>
      <c r="D25" s="12" t="inlineStr">
        <is>
          <t>Evolución mensual del saldo activo del valor residual pactado.</t>
        </is>
      </c>
      <c r="E25" s="13" t="inlineStr">
        <is>
          <t>IF(Int_Res&gt;0, Saldo_Ant + Int_Res, '')</t>
        </is>
      </c>
    </row>
    <row r="26" ht="20" customHeight="1">
      <c r="B26" s="14" t="n">
        <v>12</v>
      </c>
      <c r="C26" s="15">
        <f>HYPERLINK("#'Saldos_Exigible_Global'!A1", "Saldos_Exigible_Global")</f>
        <v/>
      </c>
      <c r="D26" s="16" t="inlineStr">
        <is>
          <t>Deuda integral total de cartera más valor residual activo.</t>
        </is>
      </c>
      <c r="E26" s="17" t="inlineStr">
        <is>
          <t>Saldos_Cartera_Total! + Saldo_Residual!</t>
        </is>
      </c>
    </row>
    <row r="27" ht="20" customHeight="1">
      <c r="B27" s="10" t="n">
        <v>13</v>
      </c>
      <c r="C27" s="11">
        <f>HYPERLINK("#'Matriz_Consolidada'!A1", "Matriz_Consolidada")</f>
        <v/>
      </c>
      <c r="D27" s="12" t="inlineStr">
        <is>
          <t>Bloques cronológicos multi-concepto con leasing, residual, ingreso y capital de cartera.</t>
        </is>
      </c>
      <c r="E27" s="13" t="inlineStr">
        <is>
          <t>Fórmulas inter-hoja vivas</t>
        </is>
      </c>
    </row>
    <row r="28" ht="20" customHeight="1">
      <c r="B28" s="14" t="n">
        <v>14</v>
      </c>
      <c r="C28" s="15">
        <f>HYPERLINK("#'Matriz_Consolidada_Saldos'!A1", "Matriz_Consolidada_Saldos")</f>
        <v/>
      </c>
      <c r="D28" s="16" t="inlineStr">
        <is>
          <t>Bloques cronológicos multi-concepto con los 5 rubros de saldos lado a lado.</t>
        </is>
      </c>
      <c r="E28" s="17" t="inlineStr">
        <is>
          <t>Fórmulas inter-hoja vivas</t>
        </is>
      </c>
    </row>
    <row r="30">
      <c r="B30" s="3" t="inlineStr">
        <is>
          <t>O-LEASING es una aplicación financiera desarrollada y mantenida por ORANGE CREW. Todos los derechos reservados conforme a la LFDA.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2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2" customWidth="1" min="4" max="4"/>
    <col width="13" customWidth="1" min="5" max="5"/>
    <col width="15" customWidth="1" min="6" max="6"/>
    <col width="12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  <col width="16" customWidth="1" min="16" max="16"/>
    <col width="18" customWidth="1" min="17" max="17"/>
    <col width="18" customWidth="1" min="18" max="18"/>
    <col width="18" customWidth="1" min="19" max="19"/>
    <col width="18" customWidth="1" min="20" max="20"/>
    <col width="16" customWidth="1" min="21" max="21"/>
    <col width="18" customWidth="1" min="22" max="22"/>
    <col width="18" customWidth="1" min="23" max="23"/>
    <col width="20" customWidth="1" min="24" max="24"/>
    <col width="18" customWidth="1" min="25" max="25"/>
    <col width="16" customWidth="1" min="26" max="26"/>
  </cols>
  <sheetData>
    <row r="1" ht="24" customHeight="1">
      <c r="A1" s="18" t="inlineStr">
        <is>
          <t>O-LEASING · UNA APP DE ORANGE CREW · Resumen de Cartera y Parámetros Financieros</t>
        </is>
      </c>
    </row>
    <row r="2" ht="16" customHeight="1">
      <c r="A2" s="3" t="inlineStr">
        <is>
          <t>Parámetros contractuales, unidad adquirida, porcentajes iniciales y fórmulas matemáticas de rentabilidad · Auditoría Financiera NIF C-15 / IFRS 16 · Desarrollado por Orange Crew</t>
        </is>
      </c>
    </row>
    <row r="4" ht="26" customHeight="1">
      <c r="A4" s="19" t="inlineStr">
        <is>
          <t>ID_Contrato</t>
        </is>
      </c>
      <c r="B4" s="19" t="inlineStr">
        <is>
          <t>Cliente</t>
        </is>
      </c>
      <c r="C4" s="19" t="inlineStr">
        <is>
          <t>Vehiculo</t>
        </is>
      </c>
      <c r="D4" s="19" t="inlineStr">
        <is>
          <t>Estatus</t>
        </is>
      </c>
      <c r="E4" s="19" t="inlineStr">
        <is>
          <t>Fecha_Alta</t>
        </is>
      </c>
      <c r="F4" s="19" t="inlineStr">
        <is>
          <t>Fecha_Vencimiento</t>
        </is>
      </c>
      <c r="G4" s="19" t="inlineStr">
        <is>
          <t>Plazo_Meses</t>
        </is>
      </c>
      <c r="H4" s="19" t="inlineStr">
        <is>
          <t>Valor_Sin_IVA</t>
        </is>
      </c>
      <c r="I4" s="19" t="inlineStr">
        <is>
          <t>Anticipo_Pct</t>
        </is>
      </c>
      <c r="J4" s="19" t="inlineStr">
        <is>
          <t>Anticipo_Monto</t>
        </is>
      </c>
      <c r="K4" s="19" t="inlineStr">
        <is>
          <t>Inversion_Neta</t>
        </is>
      </c>
      <c r="L4" s="19" t="inlineStr">
        <is>
          <t>Comision_Pct</t>
        </is>
      </c>
      <c r="M4" s="19" t="inlineStr">
        <is>
          <t>Comision_Apertura</t>
        </is>
      </c>
      <c r="N4" s="19" t="inlineStr">
        <is>
          <t>Renta_Sin_IVA</t>
        </is>
      </c>
      <c r="O4" s="19" t="inlineStr">
        <is>
          <t>Residual_Pct</t>
        </is>
      </c>
      <c r="P4" s="19" t="inlineStr">
        <is>
          <t>Residual_Pactado</t>
        </is>
      </c>
      <c r="Q4" s="19" t="inlineStr">
        <is>
          <t>Tasa_Mensual_Reg</t>
        </is>
      </c>
      <c r="R4" s="19" t="inlineStr">
        <is>
          <t>Tasa_Mensual_RATE</t>
        </is>
      </c>
      <c r="S4" s="19" t="inlineStr">
        <is>
          <t>Tasa_Nominal_Anual</t>
        </is>
      </c>
      <c r="T4" s="19" t="inlineStr">
        <is>
          <t>TIR_Anual_Efectiva</t>
        </is>
      </c>
      <c r="U4" s="19" t="inlineStr">
        <is>
          <t>VP_Residual</t>
        </is>
      </c>
      <c r="V4" s="19" t="inlineStr">
        <is>
          <t>Total_Interes_Leasing</t>
        </is>
      </c>
      <c r="W4" s="19" t="inlineStr">
        <is>
          <t>Total_Interes_Residual</t>
        </is>
      </c>
      <c r="X4" s="19" t="inlineStr">
        <is>
          <t>Ingreso_Financiero_Total</t>
        </is>
      </c>
      <c r="Y4" s="19" t="inlineStr">
        <is>
          <t>Ganancia_Neta</t>
        </is>
      </c>
      <c r="Z4" s="19" t="inlineStr">
        <is>
          <t>Margen_Sobre_Inv</t>
        </is>
      </c>
    </row>
    <row r="5">
      <c r="A5" s="20" t="inlineStr">
        <is>
          <t>0326-0003</t>
        </is>
      </c>
      <c r="B5" s="21" t="inlineStr">
        <is>
          <t>Alberto Vázquez Solorio</t>
        </is>
      </c>
      <c r="C5" s="21" t="inlineStr">
        <is>
          <t>Volkswagen Tiguan R-Line 2026</t>
        </is>
      </c>
      <c r="D5" s="20" t="inlineStr">
        <is>
          <t>ACTIVO</t>
        </is>
      </c>
      <c r="E5" s="20" t="inlineStr">
        <is>
          <t>2026-09-16</t>
        </is>
      </c>
      <c r="F5" s="20" t="inlineStr">
        <is>
          <t>2030-09-16</t>
        </is>
      </c>
      <c r="G5" s="22" t="n">
        <v>48</v>
      </c>
      <c r="H5" s="23" t="n">
        <v>645181.9</v>
      </c>
      <c r="I5" s="24" t="n">
        <v>0.3705</v>
      </c>
      <c r="J5" s="23">
        <f>ROUND(H5*I5, 2)</f>
        <v/>
      </c>
      <c r="K5" s="23">
        <f>ROUND(H5-J5, 2)</f>
        <v/>
      </c>
      <c r="L5" s="24" t="n">
        <v>0</v>
      </c>
      <c r="M5" s="23">
        <f>ROUND(H5*L5, 2)</f>
        <v/>
      </c>
      <c r="N5" s="23" t="n">
        <v>8393.91</v>
      </c>
      <c r="O5" s="24" t="n">
        <v>0.28</v>
      </c>
      <c r="P5" s="23">
        <f>ROUND(H5*O5, 2)</f>
        <v/>
      </c>
      <c r="Q5" s="25" t="n">
        <v>0.01206146</v>
      </c>
      <c r="R5" s="25">
        <f>IFERROR(RATE(G5, -N5, K5, -P5), Q5)</f>
        <v/>
      </c>
      <c r="S5" s="25">
        <f>Q5*12</f>
        <v/>
      </c>
      <c r="T5" s="25">
        <f>((1+Q5)^12)-1</f>
        <v/>
      </c>
      <c r="U5" s="23">
        <f>IF(Q5&gt;0, ROUND(P5/((1+Q5)^G5), 2), P5)</f>
        <v/>
      </c>
      <c r="V5" s="23">
        <f>ROUND((N5*G5)-K5+P5, 2)</f>
        <v/>
      </c>
      <c r="W5" s="23">
        <f>ROUND(P5-U5, 2)</f>
        <v/>
      </c>
      <c r="X5" s="23">
        <f>ROUND(V5+W5, 2)</f>
        <v/>
      </c>
      <c r="Y5" s="23">
        <f>ROUND((N5*G5+P5+M5)-K5, 2)</f>
        <v/>
      </c>
      <c r="Z5" s="24">
        <f>IF(K5&gt;0, Y5/K5, 0)</f>
        <v/>
      </c>
    </row>
    <row r="6">
      <c r="A6" s="26" t="inlineStr">
        <is>
          <t>0472-0003</t>
        </is>
      </c>
      <c r="B6" s="27" t="inlineStr">
        <is>
          <t>Miguel Zazueta Beltrán</t>
        </is>
      </c>
      <c r="C6" s="27" t="inlineStr">
        <is>
          <t>Jeep Grand Cherokee</t>
        </is>
      </c>
      <c r="D6" s="26" t="inlineStr">
        <is>
          <t>ACTIVO</t>
        </is>
      </c>
      <c r="E6" s="26" t="inlineStr">
        <is>
          <t>2026-02-03</t>
        </is>
      </c>
      <c r="F6" s="26" t="inlineStr">
        <is>
          <t>2029-02-03</t>
        </is>
      </c>
      <c r="G6" s="28" t="n">
        <v>36</v>
      </c>
      <c r="H6" s="29" t="n">
        <v>1217433.62</v>
      </c>
      <c r="I6" s="30" t="n">
        <v>0.3</v>
      </c>
      <c r="J6" s="29">
        <f>ROUND(H6*I6, 2)</f>
        <v/>
      </c>
      <c r="K6" s="29">
        <f>ROUND(H6-J6, 2)</f>
        <v/>
      </c>
      <c r="L6" s="30" t="n">
        <v>0.02</v>
      </c>
      <c r="M6" s="29">
        <f>ROUND(H6*L6, 2)</f>
        <v/>
      </c>
      <c r="N6" s="29" t="n">
        <v>35031.5</v>
      </c>
      <c r="O6" s="30" t="n">
        <v>0.1</v>
      </c>
      <c r="P6" s="29">
        <f>ROUND(H6*O6, 2)</f>
        <v/>
      </c>
      <c r="Q6" s="31" t="n">
        <v>0.02661776</v>
      </c>
      <c r="R6" s="31">
        <f>IFERROR(RATE(G6, -N6, K6, -P6), Q6)</f>
        <v/>
      </c>
      <c r="S6" s="31">
        <f>Q6*12</f>
        <v/>
      </c>
      <c r="T6" s="31">
        <f>((1+Q6)^12)-1</f>
        <v/>
      </c>
      <c r="U6" s="29">
        <f>IF(Q6&gt;0, ROUND(P6/((1+Q6)^G6), 2), P6)</f>
        <v/>
      </c>
      <c r="V6" s="29">
        <f>ROUND((N6*G6)-K6+P6, 2)</f>
        <v/>
      </c>
      <c r="W6" s="29">
        <f>ROUND(P6-U6, 2)</f>
        <v/>
      </c>
      <c r="X6" s="29">
        <f>ROUND(V6+W6, 2)</f>
        <v/>
      </c>
      <c r="Y6" s="29">
        <f>ROUND((N6*G6+P6+M6)-K6, 2)</f>
        <v/>
      </c>
      <c r="Z6" s="30">
        <f>IF(K6&gt;0, Y6/K6, 0)</f>
        <v/>
      </c>
    </row>
    <row r="7">
      <c r="A7" s="20" t="inlineStr">
        <is>
          <t>0504-0004</t>
        </is>
      </c>
      <c r="B7" s="21" t="inlineStr">
        <is>
          <t>Oscar Ivan Lozano Terriquez</t>
        </is>
      </c>
      <c r="C7" s="21" t="inlineStr">
        <is>
          <t>700 BIGHORN "S" CREW CAB MT</t>
        </is>
      </c>
      <c r="D7" s="20" t="inlineStr">
        <is>
          <t>ACTIVO</t>
        </is>
      </c>
      <c r="E7" s="20" t="inlineStr">
        <is>
          <t>2026-01-05</t>
        </is>
      </c>
      <c r="F7" s="20" t="inlineStr">
        <is>
          <t>2027-01-05</t>
        </is>
      </c>
      <c r="G7" s="22" t="n">
        <v>12</v>
      </c>
      <c r="H7" s="23" t="n">
        <v>352500</v>
      </c>
      <c r="I7" s="24" t="n">
        <v>0.35</v>
      </c>
      <c r="J7" s="23">
        <f>ROUND(H7*I7, 2)</f>
        <v/>
      </c>
      <c r="K7" s="23">
        <f>ROUND(H7-J7, 2)</f>
        <v/>
      </c>
      <c r="L7" s="24" t="n">
        <v>0.02</v>
      </c>
      <c r="M7" s="23">
        <f>ROUND(H7*L7, 2)</f>
        <v/>
      </c>
      <c r="N7" s="23" t="n">
        <v>19654.64</v>
      </c>
      <c r="O7" s="24" t="n">
        <v>0.1</v>
      </c>
      <c r="P7" s="23">
        <f>ROUND(H7*O7, 2)</f>
        <v/>
      </c>
      <c r="Q7" s="25" t="n">
        <v>0.02415117</v>
      </c>
      <c r="R7" s="25">
        <f>IFERROR(RATE(G7, -N7, K7, -P7), Q7)</f>
        <v/>
      </c>
      <c r="S7" s="25">
        <f>Q7*12</f>
        <v/>
      </c>
      <c r="T7" s="25">
        <f>((1+Q7)^12)-1</f>
        <v/>
      </c>
      <c r="U7" s="23">
        <f>IF(Q7&gt;0, ROUND(P7/((1+Q7)^G7), 2), P7)</f>
        <v/>
      </c>
      <c r="V7" s="23">
        <f>ROUND((N7*G7)-K7+P7, 2)</f>
        <v/>
      </c>
      <c r="W7" s="23">
        <f>ROUND(P7-U7, 2)</f>
        <v/>
      </c>
      <c r="X7" s="23">
        <f>ROUND(V7+W7, 2)</f>
        <v/>
      </c>
      <c r="Y7" s="23">
        <f>ROUND((N7*G7+P7+M7)-K7, 2)</f>
        <v/>
      </c>
      <c r="Z7" s="24">
        <f>IF(K7&gt;0, Y7/K7, 0)</f>
        <v/>
      </c>
    </row>
    <row r="8">
      <c r="A8" s="26" t="inlineStr">
        <is>
          <t>0506-0006</t>
        </is>
      </c>
      <c r="B8" s="27" t="inlineStr">
        <is>
          <t>Electronic Accounting Sa de Cv</t>
        </is>
      </c>
      <c r="C8" s="27" t="inlineStr">
        <is>
          <t>X5</t>
        </is>
      </c>
      <c r="D8" s="26" t="inlineStr">
        <is>
          <t>ACTIVO</t>
        </is>
      </c>
      <c r="E8" s="26" t="inlineStr">
        <is>
          <t>2024-01-10</t>
        </is>
      </c>
      <c r="F8" s="26" t="inlineStr">
        <is>
          <t>2027-01-10</t>
        </is>
      </c>
      <c r="G8" s="28" t="n">
        <v>36</v>
      </c>
      <c r="H8" s="29" t="n">
        <v>1622338.79</v>
      </c>
      <c r="I8" s="30" t="n">
        <v>0.1759</v>
      </c>
      <c r="J8" s="29">
        <f>ROUND(H8*I8, 2)</f>
        <v/>
      </c>
      <c r="K8" s="29">
        <f>ROUND(H8-J8, 2)</f>
        <v/>
      </c>
      <c r="L8" s="30" t="n">
        <v>0</v>
      </c>
      <c r="M8" s="29">
        <f>ROUND(H8*L8, 2)</f>
        <v/>
      </c>
      <c r="N8" s="29" t="n">
        <v>35607.45</v>
      </c>
      <c r="O8" s="30" t="n">
        <v>0.35</v>
      </c>
      <c r="P8" s="29">
        <f>ROUND(H8*O8, 2)</f>
        <v/>
      </c>
      <c r="Q8" s="31" t="n">
        <v>0.01430392</v>
      </c>
      <c r="R8" s="31">
        <f>IFERROR(RATE(G8, -N8, K8, -P8), Q8)</f>
        <v/>
      </c>
      <c r="S8" s="31">
        <f>Q8*12</f>
        <v/>
      </c>
      <c r="T8" s="31">
        <f>((1+Q8)^12)-1</f>
        <v/>
      </c>
      <c r="U8" s="29">
        <f>IF(Q8&gt;0, ROUND(P8/((1+Q8)^G8), 2), P8)</f>
        <v/>
      </c>
      <c r="V8" s="29">
        <f>ROUND((N8*G8)-K8+P8, 2)</f>
        <v/>
      </c>
      <c r="W8" s="29">
        <f>ROUND(P8-U8, 2)</f>
        <v/>
      </c>
      <c r="X8" s="29">
        <f>ROUND(V8+W8, 2)</f>
        <v/>
      </c>
      <c r="Y8" s="29">
        <f>ROUND((N8*G8+P8+M8)-K8, 2)</f>
        <v/>
      </c>
      <c r="Z8" s="30">
        <f>IF(K8&gt;0, Y8/K8, 0)</f>
        <v/>
      </c>
    </row>
    <row r="9">
      <c r="A9" s="20" t="inlineStr">
        <is>
          <t>0506-0007</t>
        </is>
      </c>
      <c r="B9" s="21" t="inlineStr">
        <is>
          <t>Electronic Acounting</t>
        </is>
      </c>
      <c r="C9" s="21" t="inlineStr">
        <is>
          <t>L200 Glx Diesel</t>
        </is>
      </c>
      <c r="D9" s="20" t="inlineStr">
        <is>
          <t>ACTIVO</t>
        </is>
      </c>
      <c r="E9" s="20" t="inlineStr">
        <is>
          <t>2024-09-05</t>
        </is>
      </c>
      <c r="F9" s="20" t="inlineStr">
        <is>
          <t>2027-09-05</t>
        </is>
      </c>
      <c r="G9" s="22" t="n">
        <v>36</v>
      </c>
      <c r="H9" s="23" t="n">
        <v>536762.9300000001</v>
      </c>
      <c r="I9" s="24" t="n">
        <v>0</v>
      </c>
      <c r="J9" s="23">
        <f>ROUND(H9*I9, 2)</f>
        <v/>
      </c>
      <c r="K9" s="23">
        <f>ROUND(H9-J9, 2)</f>
        <v/>
      </c>
      <c r="L9" s="24" t="n">
        <v>0</v>
      </c>
      <c r="M9" s="23">
        <f>ROUND(H9*L9, 2)</f>
        <v/>
      </c>
      <c r="N9" s="23" t="n">
        <v>16715.69</v>
      </c>
      <c r="O9" s="24" t="n">
        <v>0.35</v>
      </c>
      <c r="P9" s="23">
        <f>ROUND(H9*O9, 2)</f>
        <v/>
      </c>
      <c r="Q9" s="25" t="n">
        <v>0.01820217</v>
      </c>
      <c r="R9" s="25">
        <f>IFERROR(RATE(G9, -N9, K9, -P9), Q9)</f>
        <v/>
      </c>
      <c r="S9" s="25">
        <f>Q9*12</f>
        <v/>
      </c>
      <c r="T9" s="25">
        <f>((1+Q9)^12)-1</f>
        <v/>
      </c>
      <c r="U9" s="23">
        <f>IF(Q9&gt;0, ROUND(P9/((1+Q9)^G9), 2), P9)</f>
        <v/>
      </c>
      <c r="V9" s="23">
        <f>ROUND((N9*G9)-K9+P9, 2)</f>
        <v/>
      </c>
      <c r="W9" s="23">
        <f>ROUND(P9-U9, 2)</f>
        <v/>
      </c>
      <c r="X9" s="23">
        <f>ROUND(V9+W9, 2)</f>
        <v/>
      </c>
      <c r="Y9" s="23">
        <f>ROUND((N9*G9+P9+M9)-K9, 2)</f>
        <v/>
      </c>
      <c r="Z9" s="24">
        <f>IF(K9&gt;0, Y9/K9, 0)</f>
        <v/>
      </c>
    </row>
    <row r="10">
      <c r="A10" s="26" t="inlineStr">
        <is>
          <t>0519-0005</t>
        </is>
      </c>
      <c r="B10" s="27" t="inlineStr">
        <is>
          <t>Tequilas el Mexicano S.A. de C.V.</t>
        </is>
      </c>
      <c r="C10" s="27" t="inlineStr">
        <is>
          <t>Attitude Sport</t>
        </is>
      </c>
      <c r="D10" s="26" t="inlineStr">
        <is>
          <t>ACTIVO</t>
        </is>
      </c>
      <c r="E10" s="26" t="inlineStr">
        <is>
          <t>2025-07-14</t>
        </is>
      </c>
      <c r="F10" s="26" t="inlineStr">
        <is>
          <t>2029-07-14</t>
        </is>
      </c>
      <c r="G10" s="28" t="n">
        <v>48</v>
      </c>
      <c r="H10" s="29" t="n">
        <v>352500</v>
      </c>
      <c r="I10" s="30" t="n">
        <v>0.1</v>
      </c>
      <c r="J10" s="29">
        <f>ROUND(H10*I10, 2)</f>
        <v/>
      </c>
      <c r="K10" s="29">
        <f>ROUND(H10-J10, 2)</f>
        <v/>
      </c>
      <c r="L10" s="30" t="n">
        <v>0</v>
      </c>
      <c r="M10" s="29">
        <f>ROUND(H10*L10, 2)</f>
        <v/>
      </c>
      <c r="N10" s="29" t="n">
        <v>11483.47</v>
      </c>
      <c r="O10" s="30" t="n">
        <v>0.1</v>
      </c>
      <c r="P10" s="29">
        <f>ROUND(H10*O10, 2)</f>
        <v/>
      </c>
      <c r="Q10" s="31" t="n">
        <v>0.02691789</v>
      </c>
      <c r="R10" s="31">
        <f>IFERROR(RATE(G10, -N10, K10, -P10), Q10)</f>
        <v/>
      </c>
      <c r="S10" s="31">
        <f>Q10*12</f>
        <v/>
      </c>
      <c r="T10" s="31">
        <f>((1+Q10)^12)-1</f>
        <v/>
      </c>
      <c r="U10" s="29">
        <f>IF(Q10&gt;0, ROUND(P10/((1+Q10)^G10), 2), P10)</f>
        <v/>
      </c>
      <c r="V10" s="29">
        <f>ROUND((N10*G10)-K10+P10, 2)</f>
        <v/>
      </c>
      <c r="W10" s="29">
        <f>ROUND(P10-U10, 2)</f>
        <v/>
      </c>
      <c r="X10" s="29">
        <f>ROUND(V10+W10, 2)</f>
        <v/>
      </c>
      <c r="Y10" s="29">
        <f>ROUND((N10*G10+P10+M10)-K10, 2)</f>
        <v/>
      </c>
      <c r="Z10" s="30">
        <f>IF(K10&gt;0, Y10/K10, 0)</f>
        <v/>
      </c>
    </row>
    <row r="11">
      <c r="A11" s="20" t="inlineStr">
        <is>
          <t>0520-0003</t>
        </is>
      </c>
      <c r="B11" s="21" t="inlineStr">
        <is>
          <t>Tractomotriz Diesel Leal, S.A. de C.V.</t>
        </is>
      </c>
      <c r="C11" s="21" t="inlineStr">
        <is>
          <t>Montero Sport</t>
        </is>
      </c>
      <c r="D11" s="20" t="inlineStr">
        <is>
          <t>ACTIVO</t>
        </is>
      </c>
      <c r="E11" s="20" t="inlineStr">
        <is>
          <t>2025-11-28</t>
        </is>
      </c>
      <c r="F11" s="20" t="inlineStr">
        <is>
          <t>2028-11-28</t>
        </is>
      </c>
      <c r="G11" s="22" t="n">
        <v>36</v>
      </c>
      <c r="H11" s="23" t="n">
        <v>621465.52</v>
      </c>
      <c r="I11" s="24" t="n">
        <v>0.4</v>
      </c>
      <c r="J11" s="23">
        <f>ROUND(H11*I11, 2)</f>
        <v/>
      </c>
      <c r="K11" s="23">
        <f>ROUND(H11-J11, 2)</f>
        <v/>
      </c>
      <c r="L11" s="24" t="n">
        <v>1</v>
      </c>
      <c r="M11" s="23">
        <f>ROUND(H11*L11, 2)</f>
        <v/>
      </c>
      <c r="N11" s="23" t="n">
        <v>15182.88</v>
      </c>
      <c r="O11" s="24" t="n">
        <v>0.1</v>
      </c>
      <c r="P11" s="23">
        <f>ROUND(H11*O11, 2)</f>
        <v/>
      </c>
      <c r="Q11" s="25" t="n">
        <v>0.02663641</v>
      </c>
      <c r="R11" s="25">
        <f>IFERROR(RATE(G11, -N11, K11, -P11), Q11)</f>
        <v/>
      </c>
      <c r="S11" s="25">
        <f>Q11*12</f>
        <v/>
      </c>
      <c r="T11" s="25">
        <f>((1+Q11)^12)-1</f>
        <v/>
      </c>
      <c r="U11" s="23">
        <f>IF(Q11&gt;0, ROUND(P11/((1+Q11)^G11), 2), P11)</f>
        <v/>
      </c>
      <c r="V11" s="23">
        <f>ROUND((N11*G11)-K11+P11, 2)</f>
        <v/>
      </c>
      <c r="W11" s="23">
        <f>ROUND(P11-U11, 2)</f>
        <v/>
      </c>
      <c r="X11" s="23">
        <f>ROUND(V11+W11, 2)</f>
        <v/>
      </c>
      <c r="Y11" s="23">
        <f>ROUND((N11*G11+P11+M11)-K11, 2)</f>
        <v/>
      </c>
      <c r="Z11" s="24">
        <f>IF(K11&gt;0, Y11/K11, 0)</f>
        <v/>
      </c>
    </row>
    <row r="12">
      <c r="A12" s="26" t="inlineStr">
        <is>
          <t>0520-0004</t>
        </is>
      </c>
      <c r="B12" s="27" t="inlineStr">
        <is>
          <t>Tractomotriz Diesel Leal, S.A. de C.V.</t>
        </is>
      </c>
      <c r="C12" s="27" t="inlineStr">
        <is>
          <t>Partner Maxi Pack</t>
        </is>
      </c>
      <c r="D12" s="26" t="inlineStr">
        <is>
          <t>ACTIVO</t>
        </is>
      </c>
      <c r="E12" s="26" t="inlineStr">
        <is>
          <t>2025-12-04</t>
        </is>
      </c>
      <c r="F12" s="26" t="inlineStr">
        <is>
          <t>2028-12-04</t>
        </is>
      </c>
      <c r="G12" s="28" t="n">
        <v>36</v>
      </c>
      <c r="H12" s="29" t="n">
        <v>400363.79</v>
      </c>
      <c r="I12" s="30" t="n">
        <v>0.4</v>
      </c>
      <c r="J12" s="29">
        <f>ROUND(H12*I12, 2)</f>
        <v/>
      </c>
      <c r="K12" s="29">
        <f>ROUND(H12-J12, 2)</f>
        <v/>
      </c>
      <c r="L12" s="30" t="n">
        <v>1</v>
      </c>
      <c r="M12" s="29">
        <f>ROUND(H12*L12, 2)</f>
        <v/>
      </c>
      <c r="N12" s="29" t="n">
        <v>9781.200000000001</v>
      </c>
      <c r="O12" s="30" t="n">
        <v>0.1</v>
      </c>
      <c r="P12" s="29">
        <f>ROUND(H12*O12, 2)</f>
        <v/>
      </c>
      <c r="Q12" s="31" t="n">
        <v>0.02663643</v>
      </c>
      <c r="R12" s="31">
        <f>IFERROR(RATE(G12, -N12, K12, -P12), Q12)</f>
        <v/>
      </c>
      <c r="S12" s="31">
        <f>Q12*12</f>
        <v/>
      </c>
      <c r="T12" s="31">
        <f>((1+Q12)^12)-1</f>
        <v/>
      </c>
      <c r="U12" s="29">
        <f>IF(Q12&gt;0, ROUND(P12/((1+Q12)^G12), 2), P12)</f>
        <v/>
      </c>
      <c r="V12" s="29">
        <f>ROUND((N12*G12)-K12+P12, 2)</f>
        <v/>
      </c>
      <c r="W12" s="29">
        <f>ROUND(P12-U12, 2)</f>
        <v/>
      </c>
      <c r="X12" s="29">
        <f>ROUND(V12+W12, 2)</f>
        <v/>
      </c>
      <c r="Y12" s="29">
        <f>ROUND((N12*G12+P12+M12)-K12, 2)</f>
        <v/>
      </c>
      <c r="Z12" s="30">
        <f>IF(K12&gt;0, Y12/K12, 0)</f>
        <v/>
      </c>
    </row>
    <row r="13">
      <c r="A13" s="20" t="inlineStr">
        <is>
          <t>0521-0002</t>
        </is>
      </c>
      <c r="B13" s="21" t="inlineStr">
        <is>
          <t>Carlos Hiram leal Leal</t>
        </is>
      </c>
      <c r="C13" s="21" t="inlineStr">
        <is>
          <t>Xpander</t>
        </is>
      </c>
      <c r="D13" s="20" t="inlineStr">
        <is>
          <t>ACTIVO</t>
        </is>
      </c>
      <c r="E13" s="20" t="inlineStr">
        <is>
          <t>2025-09-08</t>
        </is>
      </c>
      <c r="F13" s="20" t="inlineStr">
        <is>
          <t>2028-09-08</t>
        </is>
      </c>
      <c r="G13" s="22" t="n">
        <v>36</v>
      </c>
      <c r="H13" s="23" t="n">
        <v>365988.79</v>
      </c>
      <c r="I13" s="24" t="n">
        <v>0.1</v>
      </c>
      <c r="J13" s="23">
        <f>ROUND(H13*I13, 2)</f>
        <v/>
      </c>
      <c r="K13" s="23">
        <f>ROUND(H13-J13, 2)</f>
        <v/>
      </c>
      <c r="L13" s="24" t="n">
        <v>1</v>
      </c>
      <c r="M13" s="23">
        <f>ROUND(H13*L13, 2)</f>
        <v/>
      </c>
      <c r="N13" s="23" t="n">
        <v>13100.96</v>
      </c>
      <c r="O13" s="24" t="n">
        <v>0.2</v>
      </c>
      <c r="P13" s="23">
        <f>ROUND(H13*O13, 2)</f>
        <v/>
      </c>
      <c r="Q13" s="25" t="n">
        <v>0.02662861</v>
      </c>
      <c r="R13" s="25">
        <f>IFERROR(RATE(G13, -N13, K13, -P13), Q13)</f>
        <v/>
      </c>
      <c r="S13" s="25">
        <f>Q13*12</f>
        <v/>
      </c>
      <c r="T13" s="25">
        <f>((1+Q13)^12)-1</f>
        <v/>
      </c>
      <c r="U13" s="23">
        <f>IF(Q13&gt;0, ROUND(P13/((1+Q13)^G13), 2), P13)</f>
        <v/>
      </c>
      <c r="V13" s="23">
        <f>ROUND((N13*G13)-K13+P13, 2)</f>
        <v/>
      </c>
      <c r="W13" s="23">
        <f>ROUND(P13-U13, 2)</f>
        <v/>
      </c>
      <c r="X13" s="23">
        <f>ROUND(V13+W13, 2)</f>
        <v/>
      </c>
      <c r="Y13" s="23">
        <f>ROUND((N13*G13+P13+M13)-K13, 2)</f>
        <v/>
      </c>
      <c r="Z13" s="24">
        <f>IF(K13&gt;0, Y13/K13, 0)</f>
        <v/>
      </c>
    </row>
    <row r="14">
      <c r="A14" s="26" t="inlineStr">
        <is>
          <t>0524-0007</t>
        </is>
      </c>
      <c r="B14" s="27" t="inlineStr">
        <is>
          <t>Lider En Derecho De Via y Construcción SA DE CV</t>
        </is>
      </c>
      <c r="C14" s="27" t="inlineStr">
        <is>
          <t>L200 Gls</t>
        </is>
      </c>
      <c r="D14" s="26" t="inlineStr">
        <is>
          <t>ACTIVO</t>
        </is>
      </c>
      <c r="E14" s="26" t="inlineStr">
        <is>
          <t>2025-08-15</t>
        </is>
      </c>
      <c r="F14" s="26" t="inlineStr">
        <is>
          <t>2027-08-15</t>
        </is>
      </c>
      <c r="G14" s="28" t="n">
        <v>24</v>
      </c>
      <c r="H14" s="29" t="n">
        <v>649987.0699999999</v>
      </c>
      <c r="I14" s="30" t="n">
        <v>0.1</v>
      </c>
      <c r="J14" s="29">
        <f>ROUND(H14*I14, 2)</f>
        <v/>
      </c>
      <c r="K14" s="29">
        <f>ROUND(H14-J14, 2)</f>
        <v/>
      </c>
      <c r="L14" s="30" t="n">
        <v>0</v>
      </c>
      <c r="M14" s="29">
        <f>ROUND(H14*L14, 2)</f>
        <v/>
      </c>
      <c r="N14" s="29" t="n">
        <v>27206.74</v>
      </c>
      <c r="O14" s="30" t="n">
        <v>0.3</v>
      </c>
      <c r="P14" s="29">
        <f>ROUND(H14*O14, 2)</f>
        <v/>
      </c>
      <c r="Q14" s="31" t="n">
        <v>0.02620493</v>
      </c>
      <c r="R14" s="31">
        <f>IFERROR(RATE(G14, -N14, K14, -P14), Q14)</f>
        <v/>
      </c>
      <c r="S14" s="31">
        <f>Q14*12</f>
        <v/>
      </c>
      <c r="T14" s="31">
        <f>((1+Q14)^12)-1</f>
        <v/>
      </c>
      <c r="U14" s="29">
        <f>IF(Q14&gt;0, ROUND(P14/((1+Q14)^G14), 2), P14)</f>
        <v/>
      </c>
      <c r="V14" s="29">
        <f>ROUND((N14*G14)-K14+P14, 2)</f>
        <v/>
      </c>
      <c r="W14" s="29">
        <f>ROUND(P14-U14, 2)</f>
        <v/>
      </c>
      <c r="X14" s="29">
        <f>ROUND(V14+W14, 2)</f>
        <v/>
      </c>
      <c r="Y14" s="29">
        <f>ROUND((N14*G14+P14+M14)-K14, 2)</f>
        <v/>
      </c>
      <c r="Z14" s="30">
        <f>IF(K14&gt;0, Y14/K14, 0)</f>
        <v/>
      </c>
    </row>
    <row r="15">
      <c r="A15" s="20" t="inlineStr">
        <is>
          <t>0524-0011</t>
        </is>
      </c>
      <c r="B15" s="21" t="inlineStr">
        <is>
          <t>Lider En Derecho De Via y Construcción SA DE CV</t>
        </is>
      </c>
      <c r="C15" s="21" t="inlineStr">
        <is>
          <t>Wrangler Unlimited Sahara</t>
        </is>
      </c>
      <c r="D15" s="20" t="inlineStr">
        <is>
          <t>ACTIVO</t>
        </is>
      </c>
      <c r="E15" s="20" t="inlineStr">
        <is>
          <t>2025-12-31</t>
        </is>
      </c>
      <c r="F15" s="20" t="inlineStr">
        <is>
          <t>2029-12-31</t>
        </is>
      </c>
      <c r="G15" s="22" t="n">
        <v>48</v>
      </c>
      <c r="H15" s="23" t="n">
        <v>1058554.31</v>
      </c>
      <c r="I15" s="24" t="n">
        <v>0.2</v>
      </c>
      <c r="J15" s="23">
        <f>ROUND(H15*I15, 2)</f>
        <v/>
      </c>
      <c r="K15" s="23">
        <f>ROUND(H15-J15, 2)</f>
        <v/>
      </c>
      <c r="L15" s="24" t="n">
        <v>0.02</v>
      </c>
      <c r="M15" s="23">
        <f>ROUND(H15*L15, 2)</f>
        <v/>
      </c>
      <c r="N15" s="23" t="n">
        <v>30510.75</v>
      </c>
      <c r="O15" s="24" t="n">
        <v>0.1</v>
      </c>
      <c r="P15" s="23">
        <f>ROUND(H15*O15, 2)</f>
        <v/>
      </c>
      <c r="Q15" s="25" t="n">
        <v>0.0268869</v>
      </c>
      <c r="R15" s="25">
        <f>IFERROR(RATE(G15, -N15, K15, -P15), Q15)</f>
        <v/>
      </c>
      <c r="S15" s="25">
        <f>Q15*12</f>
        <v/>
      </c>
      <c r="T15" s="25">
        <f>((1+Q15)^12)-1</f>
        <v/>
      </c>
      <c r="U15" s="23">
        <f>IF(Q15&gt;0, ROUND(P15/((1+Q15)^G15), 2), P15)</f>
        <v/>
      </c>
      <c r="V15" s="23">
        <f>ROUND((N15*G15)-K15+P15, 2)</f>
        <v/>
      </c>
      <c r="W15" s="23">
        <f>ROUND(P15-U15, 2)</f>
        <v/>
      </c>
      <c r="X15" s="23">
        <f>ROUND(V15+W15, 2)</f>
        <v/>
      </c>
      <c r="Y15" s="23">
        <f>ROUND((N15*G15+P15+M15)-K15, 2)</f>
        <v/>
      </c>
      <c r="Z15" s="24">
        <f>IF(K15&gt;0, Y15/K15, 0)</f>
        <v/>
      </c>
    </row>
    <row r="16">
      <c r="A16" s="26" t="inlineStr">
        <is>
          <t>0524-0012</t>
        </is>
      </c>
      <c r="B16" s="27" t="inlineStr">
        <is>
          <t>Lider En Derecho De Via y Construcción SA DE CV</t>
        </is>
      </c>
      <c r="C16" s="27" t="inlineStr">
        <is>
          <t>L200 GLS</t>
        </is>
      </c>
      <c r="D16" s="26" t="inlineStr">
        <is>
          <t>ACTIVO</t>
        </is>
      </c>
      <c r="E16" s="26" t="inlineStr">
        <is>
          <t>2026-03-17</t>
        </is>
      </c>
      <c r="F16" s="26" t="inlineStr">
        <is>
          <t>2030-03-17</t>
        </is>
      </c>
      <c r="G16" s="28" t="n">
        <v>48</v>
      </c>
      <c r="H16" s="29" t="n">
        <v>624154.3100000001</v>
      </c>
      <c r="I16" s="30" t="n">
        <v>0.1</v>
      </c>
      <c r="J16" s="29">
        <f>ROUND(H16*I16, 2)</f>
        <v/>
      </c>
      <c r="K16" s="29">
        <f>ROUND(H16-J16, 2)</f>
        <v/>
      </c>
      <c r="L16" s="30" t="n">
        <v>0.02</v>
      </c>
      <c r="M16" s="29">
        <f>ROUND(H16*L16, 2)</f>
        <v/>
      </c>
      <c r="N16" s="29" t="n">
        <v>20333.22</v>
      </c>
      <c r="O16" s="30" t="n">
        <v>0.1</v>
      </c>
      <c r="P16" s="29">
        <f>ROUND(H16*O16, 2)</f>
        <v/>
      </c>
      <c r="Q16" s="31" t="n">
        <v>0.0269179</v>
      </c>
      <c r="R16" s="31">
        <f>IFERROR(RATE(G16, -N16, K16, -P16), Q16)</f>
        <v/>
      </c>
      <c r="S16" s="31">
        <f>Q16*12</f>
        <v/>
      </c>
      <c r="T16" s="31">
        <f>((1+Q16)^12)-1</f>
        <v/>
      </c>
      <c r="U16" s="29">
        <f>IF(Q16&gt;0, ROUND(P16/((1+Q16)^G16), 2), P16)</f>
        <v/>
      </c>
      <c r="V16" s="29">
        <f>ROUND((N16*G16)-K16+P16, 2)</f>
        <v/>
      </c>
      <c r="W16" s="29">
        <f>ROUND(P16-U16, 2)</f>
        <v/>
      </c>
      <c r="X16" s="29">
        <f>ROUND(V16+W16, 2)</f>
        <v/>
      </c>
      <c r="Y16" s="29">
        <f>ROUND((N16*G16+P16+M16)-K16, 2)</f>
        <v/>
      </c>
      <c r="Z16" s="30">
        <f>IF(K16&gt;0, Y16/K16, 0)</f>
        <v/>
      </c>
    </row>
    <row r="17">
      <c r="A17" s="20" t="inlineStr">
        <is>
          <t>0524-0013</t>
        </is>
      </c>
      <c r="B17" s="21" t="inlineStr">
        <is>
          <t>Lider En Derecho De Via y Construcción SA DE CV</t>
        </is>
      </c>
      <c r="C17" s="21" t="inlineStr">
        <is>
          <t>L200 GLX</t>
        </is>
      </c>
      <c r="D17" s="20" t="inlineStr">
        <is>
          <t>ACTIVO</t>
        </is>
      </c>
      <c r="E17" s="20" t="inlineStr">
        <is>
          <t>2026-06-23</t>
        </is>
      </c>
      <c r="F17" s="20" t="inlineStr">
        <is>
          <t>2029-06-23</t>
        </is>
      </c>
      <c r="G17" s="22" t="n">
        <v>36</v>
      </c>
      <c r="H17" s="23" t="n">
        <v>597925</v>
      </c>
      <c r="I17" s="24" t="n">
        <v>0</v>
      </c>
      <c r="J17" s="23">
        <f>ROUND(H17*I17, 2)</f>
        <v/>
      </c>
      <c r="K17" s="23">
        <f>ROUND(H17-J17, 2)</f>
        <v/>
      </c>
      <c r="L17" s="24" t="n">
        <v>1</v>
      </c>
      <c r="M17" s="23">
        <f>ROUND(H17*L17, 2)</f>
        <v/>
      </c>
      <c r="N17" s="23" t="n">
        <v>24020.64</v>
      </c>
      <c r="O17" s="24" t="n">
        <v>0.2</v>
      </c>
      <c r="P17" s="23">
        <f>ROUND(H17*O17, 2)</f>
        <v/>
      </c>
      <c r="Q17" s="25" t="n">
        <v>0.02666186</v>
      </c>
      <c r="R17" s="25">
        <f>IFERROR(RATE(G17, -N17, K17, -P17), Q17)</f>
        <v/>
      </c>
      <c r="S17" s="25">
        <f>Q17*12</f>
        <v/>
      </c>
      <c r="T17" s="25">
        <f>((1+Q17)^12)-1</f>
        <v/>
      </c>
      <c r="U17" s="23">
        <f>IF(Q17&gt;0, ROUND(P17/((1+Q17)^G17), 2), P17)</f>
        <v/>
      </c>
      <c r="V17" s="23">
        <f>ROUND((N17*G17)-K17+P17, 2)</f>
        <v/>
      </c>
      <c r="W17" s="23">
        <f>ROUND(P17-U17, 2)</f>
        <v/>
      </c>
      <c r="X17" s="23">
        <f>ROUND(V17+W17, 2)</f>
        <v/>
      </c>
      <c r="Y17" s="23">
        <f>ROUND((N17*G17+P17+M17)-K17, 2)</f>
        <v/>
      </c>
      <c r="Z17" s="24">
        <f>IF(K17&gt;0, Y17/K17, 0)</f>
        <v/>
      </c>
    </row>
    <row r="18">
      <c r="A18" s="26" t="inlineStr">
        <is>
          <t>0524-0014</t>
        </is>
      </c>
      <c r="B18" s="27" t="inlineStr">
        <is>
          <t>Lider En Derecho De Via y Construcción SA DE CV</t>
        </is>
      </c>
      <c r="C18" s="27" t="inlineStr">
        <is>
          <t>L200 GLX</t>
        </is>
      </c>
      <c r="D18" s="26" t="inlineStr">
        <is>
          <t>ACTIVO</t>
        </is>
      </c>
      <c r="E18" s="26" t="inlineStr">
        <is>
          <t>2026-06-23</t>
        </is>
      </c>
      <c r="F18" s="26" t="inlineStr">
        <is>
          <t>2029-06-23</t>
        </is>
      </c>
      <c r="G18" s="28" t="n">
        <v>36</v>
      </c>
      <c r="H18" s="29" t="n">
        <v>597925</v>
      </c>
      <c r="I18" s="30" t="n">
        <v>0</v>
      </c>
      <c r="J18" s="29">
        <f>ROUND(H18*I18, 2)</f>
        <v/>
      </c>
      <c r="K18" s="29">
        <f>ROUND(H18-J18, 2)</f>
        <v/>
      </c>
      <c r="L18" s="30" t="n">
        <v>1</v>
      </c>
      <c r="M18" s="29">
        <f>ROUND(H18*L18, 2)</f>
        <v/>
      </c>
      <c r="N18" s="29" t="n">
        <v>24020.64</v>
      </c>
      <c r="O18" s="30" t="n">
        <v>0.2</v>
      </c>
      <c r="P18" s="29">
        <f>ROUND(H18*O18, 2)</f>
        <v/>
      </c>
      <c r="Q18" s="31" t="n">
        <v>0.02666186</v>
      </c>
      <c r="R18" s="31">
        <f>IFERROR(RATE(G18, -N18, K18, -P18), Q18)</f>
        <v/>
      </c>
      <c r="S18" s="31">
        <f>Q18*12</f>
        <v/>
      </c>
      <c r="T18" s="31">
        <f>((1+Q18)^12)-1</f>
        <v/>
      </c>
      <c r="U18" s="29">
        <f>IF(Q18&gt;0, ROUND(P18/((1+Q18)^G18), 2), P18)</f>
        <v/>
      </c>
      <c r="V18" s="29">
        <f>ROUND((N18*G18)-K18+P18, 2)</f>
        <v/>
      </c>
      <c r="W18" s="29">
        <f>ROUND(P18-U18, 2)</f>
        <v/>
      </c>
      <c r="X18" s="29">
        <f>ROUND(V18+W18, 2)</f>
        <v/>
      </c>
      <c r="Y18" s="29">
        <f>ROUND((N18*G18+P18+M18)-K18, 2)</f>
        <v/>
      </c>
      <c r="Z18" s="30">
        <f>IF(K18&gt;0, Y18/K18, 0)</f>
        <v/>
      </c>
    </row>
    <row r="19">
      <c r="A19" s="20" t="inlineStr">
        <is>
          <t>0524-0015</t>
        </is>
      </c>
      <c r="B19" s="21" t="inlineStr">
        <is>
          <t>Lider En Derecho De Via y Construcción SA DE CV</t>
        </is>
      </c>
      <c r="C19" s="21" t="inlineStr">
        <is>
          <t>Mitsubishi L200 GLX 2026</t>
        </is>
      </c>
      <c r="D19" s="20" t="inlineStr">
        <is>
          <t>ACTIVO</t>
        </is>
      </c>
      <c r="E19" s="20" t="inlineStr">
        <is>
          <t>2026-07-29</t>
        </is>
      </c>
      <c r="F19" s="20" t="inlineStr">
        <is>
          <t>2029-07-29</t>
        </is>
      </c>
      <c r="G19" s="22" t="n">
        <v>36</v>
      </c>
      <c r="H19" s="23" t="n">
        <v>515452.59</v>
      </c>
      <c r="I19" s="24" t="n">
        <v>0</v>
      </c>
      <c r="J19" s="23">
        <f>ROUND(H19*I19, 2)</f>
        <v/>
      </c>
      <c r="K19" s="23">
        <f>ROUND(H19-J19, 2)</f>
        <v/>
      </c>
      <c r="L19" s="24" t="n">
        <v>1</v>
      </c>
      <c r="M19" s="23">
        <f>ROUND(H19*L19, 2)</f>
        <v/>
      </c>
      <c r="N19" s="23" t="n">
        <v>20707.45</v>
      </c>
      <c r="O19" s="24" t="n">
        <v>0.2</v>
      </c>
      <c r="P19" s="23">
        <f>ROUND(H19*O19, 2)</f>
        <v/>
      </c>
      <c r="Q19" s="25" t="n">
        <v>0.02666187</v>
      </c>
      <c r="R19" s="25">
        <f>IFERROR(RATE(G19, -N19, K19, -P19), Q19)</f>
        <v/>
      </c>
      <c r="S19" s="25">
        <f>Q19*12</f>
        <v/>
      </c>
      <c r="T19" s="25">
        <f>((1+Q19)^12)-1</f>
        <v/>
      </c>
      <c r="U19" s="23">
        <f>IF(Q19&gt;0, ROUND(P19/((1+Q19)^G19), 2), P19)</f>
        <v/>
      </c>
      <c r="V19" s="23">
        <f>ROUND((N19*G19)-K19+P19, 2)</f>
        <v/>
      </c>
      <c r="W19" s="23">
        <f>ROUND(P19-U19, 2)</f>
        <v/>
      </c>
      <c r="X19" s="23">
        <f>ROUND(V19+W19, 2)</f>
        <v/>
      </c>
      <c r="Y19" s="23">
        <f>ROUND((N19*G19+P19+M19)-K19, 2)</f>
        <v/>
      </c>
      <c r="Z19" s="24">
        <f>IF(K19&gt;0, Y19/K19, 0)</f>
        <v/>
      </c>
    </row>
    <row r="20">
      <c r="A20" s="26" t="inlineStr">
        <is>
          <t>0524-0016</t>
        </is>
      </c>
      <c r="B20" s="27" t="inlineStr">
        <is>
          <t>Lider En Derecho De Via y Construcción SA DE CV</t>
        </is>
      </c>
      <c r="C20" s="27" t="inlineStr">
        <is>
          <t>Mitsubishi L200 GLX 2026</t>
        </is>
      </c>
      <c r="D20" s="26" t="inlineStr">
        <is>
          <t>ACTIVO</t>
        </is>
      </c>
      <c r="E20" s="26" t="inlineStr">
        <is>
          <t>2026-07-29</t>
        </is>
      </c>
      <c r="F20" s="26" t="inlineStr">
        <is>
          <t>2029-07-29</t>
        </is>
      </c>
      <c r="G20" s="28" t="n">
        <v>36</v>
      </c>
      <c r="H20" s="29" t="n">
        <v>515452.59</v>
      </c>
      <c r="I20" s="30" t="n">
        <v>0</v>
      </c>
      <c r="J20" s="29">
        <f>ROUND(H20*I20, 2)</f>
        <v/>
      </c>
      <c r="K20" s="29">
        <f>ROUND(H20-J20, 2)</f>
        <v/>
      </c>
      <c r="L20" s="30" t="n">
        <v>1</v>
      </c>
      <c r="M20" s="29">
        <f>ROUND(H20*L20, 2)</f>
        <v/>
      </c>
      <c r="N20" s="29" t="n">
        <v>20707.45</v>
      </c>
      <c r="O20" s="30" t="n">
        <v>0.2</v>
      </c>
      <c r="P20" s="29">
        <f>ROUND(H20*O20, 2)</f>
        <v/>
      </c>
      <c r="Q20" s="31" t="n">
        <v>0.02666187</v>
      </c>
      <c r="R20" s="31">
        <f>IFERROR(RATE(G20, -N20, K20, -P20), Q20)</f>
        <v/>
      </c>
      <c r="S20" s="31">
        <f>Q20*12</f>
        <v/>
      </c>
      <c r="T20" s="31">
        <f>((1+Q20)^12)-1</f>
        <v/>
      </c>
      <c r="U20" s="29">
        <f>IF(Q20&gt;0, ROUND(P20/((1+Q20)^G20), 2), P20)</f>
        <v/>
      </c>
      <c r="V20" s="29">
        <f>ROUND((N20*G20)-K20+P20, 2)</f>
        <v/>
      </c>
      <c r="W20" s="29">
        <f>ROUND(P20-U20, 2)</f>
        <v/>
      </c>
      <c r="X20" s="29">
        <f>ROUND(V20+W20, 2)</f>
        <v/>
      </c>
      <c r="Y20" s="29">
        <f>ROUND((N20*G20+P20+M20)-K20, 2)</f>
        <v/>
      </c>
      <c r="Z20" s="30">
        <f>IF(K20&gt;0, Y20/K20, 0)</f>
        <v/>
      </c>
    </row>
    <row r="21">
      <c r="A21" s="20" t="inlineStr">
        <is>
          <t>0527-0003</t>
        </is>
      </c>
      <c r="B21" s="21" t="inlineStr">
        <is>
          <t>Comercilizadora e Importadora Nabega Sa de Cv</t>
        </is>
      </c>
      <c r="C21" s="21" t="inlineStr">
        <is>
          <t>RAM 700 Big Horn CVT</t>
        </is>
      </c>
      <c r="D21" s="20" t="inlineStr">
        <is>
          <t>ACTIVO</t>
        </is>
      </c>
      <c r="E21" s="20" t="inlineStr">
        <is>
          <t>2024-05-30</t>
        </is>
      </c>
      <c r="F21" s="20" t="inlineStr">
        <is>
          <t>2027-05-30</t>
        </is>
      </c>
      <c r="G21" s="22" t="n">
        <v>36</v>
      </c>
      <c r="H21" s="23" t="n">
        <v>361982.76</v>
      </c>
      <c r="I21" s="24" t="n">
        <v>0.2</v>
      </c>
      <c r="J21" s="23">
        <f>ROUND(H21*I21, 2)</f>
        <v/>
      </c>
      <c r="K21" s="23">
        <f>ROUND(H21-J21, 2)</f>
        <v/>
      </c>
      <c r="L21" s="24" t="n">
        <v>0.015</v>
      </c>
      <c r="M21" s="23">
        <f>ROUND(H21*L21, 2)</f>
        <v/>
      </c>
      <c r="N21" s="23" t="n">
        <v>11794.94</v>
      </c>
      <c r="O21" s="24" t="n">
        <v>0.35</v>
      </c>
      <c r="P21" s="23">
        <f>ROUND(H21*O21, 2)</f>
        <v/>
      </c>
      <c r="Q21" s="25" t="n">
        <v>0.03223078</v>
      </c>
      <c r="R21" s="25">
        <f>IFERROR(RATE(G21, -N21, K21, -P21), Q21)</f>
        <v/>
      </c>
      <c r="S21" s="25">
        <f>Q21*12</f>
        <v/>
      </c>
      <c r="T21" s="25">
        <f>((1+Q21)^12)-1</f>
        <v/>
      </c>
      <c r="U21" s="23">
        <f>IF(Q21&gt;0, ROUND(P21/((1+Q21)^G21), 2), P21)</f>
        <v/>
      </c>
      <c r="V21" s="23">
        <f>ROUND((N21*G21)-K21+P21, 2)</f>
        <v/>
      </c>
      <c r="W21" s="23">
        <f>ROUND(P21-U21, 2)</f>
        <v/>
      </c>
      <c r="X21" s="23">
        <f>ROUND(V21+W21, 2)</f>
        <v/>
      </c>
      <c r="Y21" s="23">
        <f>ROUND((N21*G21+P21+M21)-K21, 2)</f>
        <v/>
      </c>
      <c r="Z21" s="24">
        <f>IF(K21&gt;0, Y21/K21, 0)</f>
        <v/>
      </c>
    </row>
    <row r="22">
      <c r="A22" s="26" t="inlineStr">
        <is>
          <t>0527-0004</t>
        </is>
      </c>
      <c r="B22" s="27" t="inlineStr">
        <is>
          <t>Comercilizadora e Importadora Nabega Sa de Cv</t>
        </is>
      </c>
      <c r="C22" s="27" t="inlineStr">
        <is>
          <t>Gmc Denali</t>
        </is>
      </c>
      <c r="D22" s="26" t="inlineStr">
        <is>
          <t>ACTIVO</t>
        </is>
      </c>
      <c r="E22" s="26" t="inlineStr">
        <is>
          <t>2025-07-31</t>
        </is>
      </c>
      <c r="F22" s="26" t="inlineStr">
        <is>
          <t>2029-07-31</t>
        </is>
      </c>
      <c r="G22" s="28" t="n">
        <v>48</v>
      </c>
      <c r="H22" s="29" t="n">
        <v>1101206.9</v>
      </c>
      <c r="I22" s="30" t="n">
        <v>0.1</v>
      </c>
      <c r="J22" s="29">
        <f>ROUND(H22*I22, 2)</f>
        <v/>
      </c>
      <c r="K22" s="29">
        <f>ROUND(H22-J22, 2)</f>
        <v/>
      </c>
      <c r="L22" s="30" t="n">
        <v>0</v>
      </c>
      <c r="M22" s="29">
        <f>ROUND(H22*L22, 2)</f>
        <v/>
      </c>
      <c r="N22" s="29" t="n">
        <v>34769.12</v>
      </c>
      <c r="O22" s="30" t="n">
        <v>0.2</v>
      </c>
      <c r="P22" s="29">
        <f>ROUND(H22*O22, 2)</f>
        <v/>
      </c>
      <c r="Q22" s="31" t="n">
        <v>0.02697568</v>
      </c>
      <c r="R22" s="31">
        <f>IFERROR(RATE(G22, -N22, K22, -P22), Q22)</f>
        <v/>
      </c>
      <c r="S22" s="31">
        <f>Q22*12</f>
        <v/>
      </c>
      <c r="T22" s="31">
        <f>((1+Q22)^12)-1</f>
        <v/>
      </c>
      <c r="U22" s="29">
        <f>IF(Q22&gt;0, ROUND(P22/((1+Q22)^G22), 2), P22)</f>
        <v/>
      </c>
      <c r="V22" s="29">
        <f>ROUND((N22*G22)-K22+P22, 2)</f>
        <v/>
      </c>
      <c r="W22" s="29">
        <f>ROUND(P22-U22, 2)</f>
        <v/>
      </c>
      <c r="X22" s="29">
        <f>ROUND(V22+W22, 2)</f>
        <v/>
      </c>
      <c r="Y22" s="29">
        <f>ROUND((N22*G22+P22+M22)-K22, 2)</f>
        <v/>
      </c>
      <c r="Z22" s="30">
        <f>IF(K22&gt;0, Y22/K22, 0)</f>
        <v/>
      </c>
    </row>
    <row r="23">
      <c r="A23" s="20" t="inlineStr">
        <is>
          <t>0527-0005</t>
        </is>
      </c>
      <c r="B23" s="21" t="inlineStr">
        <is>
          <t>Comercilizadora e Importadora Nabega Sa de Cv</t>
        </is>
      </c>
      <c r="C23" s="21" t="inlineStr">
        <is>
          <t>Gle 450 Sport</t>
        </is>
      </c>
      <c r="D23" s="20" t="inlineStr">
        <is>
          <t>ACTIVO</t>
        </is>
      </c>
      <c r="E23" s="20" t="inlineStr">
        <is>
          <t>2025-08-16</t>
        </is>
      </c>
      <c r="F23" s="20" t="inlineStr">
        <is>
          <t>2028-08-16</t>
        </is>
      </c>
      <c r="G23" s="22" t="n">
        <v>36</v>
      </c>
      <c r="H23" s="23" t="n">
        <v>1500750</v>
      </c>
      <c r="I23" s="24" t="n">
        <v>0.3</v>
      </c>
      <c r="J23" s="23">
        <f>ROUND(H23*I23, 2)</f>
        <v/>
      </c>
      <c r="K23" s="23">
        <f>ROUND(H23-J23, 2)</f>
        <v/>
      </c>
      <c r="L23" s="24" t="n">
        <v>0.015</v>
      </c>
      <c r="M23" s="23">
        <f>ROUND(H23*L23, 2)</f>
        <v/>
      </c>
      <c r="N23" s="23" t="n">
        <v>39497.7</v>
      </c>
      <c r="O23" s="24" t="n">
        <v>0.2</v>
      </c>
      <c r="P23" s="23">
        <f>ROUND(H23*O23, 2)</f>
        <v/>
      </c>
      <c r="Q23" s="25" t="n">
        <v>0.02517557</v>
      </c>
      <c r="R23" s="25">
        <f>IFERROR(RATE(G23, -N23, K23, -P23), Q23)</f>
        <v/>
      </c>
      <c r="S23" s="25">
        <f>Q23*12</f>
        <v/>
      </c>
      <c r="T23" s="25">
        <f>((1+Q23)^12)-1</f>
        <v/>
      </c>
      <c r="U23" s="23">
        <f>IF(Q23&gt;0, ROUND(P23/((1+Q23)^G23), 2), P23)</f>
        <v/>
      </c>
      <c r="V23" s="23">
        <f>ROUND((N23*G23)-K23+P23, 2)</f>
        <v/>
      </c>
      <c r="W23" s="23">
        <f>ROUND(P23-U23, 2)</f>
        <v/>
      </c>
      <c r="X23" s="23">
        <f>ROUND(V23+W23, 2)</f>
        <v/>
      </c>
      <c r="Y23" s="23">
        <f>ROUND((N23*G23+P23+M23)-K23, 2)</f>
        <v/>
      </c>
      <c r="Z23" s="24">
        <f>IF(K23&gt;0, Y23/K23, 0)</f>
        <v/>
      </c>
    </row>
    <row r="24">
      <c r="A24" s="26" t="inlineStr">
        <is>
          <t>0531-0002</t>
        </is>
      </c>
      <c r="B24" s="27" t="inlineStr">
        <is>
          <t>Otcada Mex, S. de R.L. de C.V.</t>
        </is>
      </c>
      <c r="C24" s="27" t="inlineStr">
        <is>
          <t>Grand Cherokee Limited</t>
        </is>
      </c>
      <c r="D24" s="26" t="inlineStr">
        <is>
          <t>ACTIVO</t>
        </is>
      </c>
      <c r="E24" s="26" t="inlineStr">
        <is>
          <t>2026-06-18</t>
        </is>
      </c>
      <c r="F24" s="26" t="inlineStr">
        <is>
          <t>2030-06-18</t>
        </is>
      </c>
      <c r="G24" s="28" t="n">
        <v>48</v>
      </c>
      <c r="H24" s="29" t="n">
        <v>1298900</v>
      </c>
      <c r="I24" s="30" t="n">
        <v>0.4</v>
      </c>
      <c r="J24" s="29">
        <f>ROUND(H24*I24, 2)</f>
        <v/>
      </c>
      <c r="K24" s="29">
        <f>ROUND(H24-J24, 2)</f>
        <v/>
      </c>
      <c r="L24" s="30" t="n">
        <v>0.02</v>
      </c>
      <c r="M24" s="29">
        <f>ROUND(H24*L24, 2)</f>
        <v/>
      </c>
      <c r="N24" s="29" t="n">
        <v>26856.7</v>
      </c>
      <c r="O24" s="30" t="n">
        <v>0.1</v>
      </c>
      <c r="P24" s="29">
        <f>ROUND(H24*O24, 2)</f>
        <v/>
      </c>
      <c r="Q24" s="31" t="n">
        <v>0.02538588</v>
      </c>
      <c r="R24" s="31">
        <f>IFERROR(RATE(G24, -N24, K24, -P24), Q24)</f>
        <v/>
      </c>
      <c r="S24" s="31">
        <f>Q24*12</f>
        <v/>
      </c>
      <c r="T24" s="31">
        <f>((1+Q24)^12)-1</f>
        <v/>
      </c>
      <c r="U24" s="29">
        <f>IF(Q24&gt;0, ROUND(P24/((1+Q24)^G24), 2), P24)</f>
        <v/>
      </c>
      <c r="V24" s="29">
        <f>ROUND((N24*G24)-K24+P24, 2)</f>
        <v/>
      </c>
      <c r="W24" s="29">
        <f>ROUND(P24-U24, 2)</f>
        <v/>
      </c>
      <c r="X24" s="29">
        <f>ROUND(V24+W24, 2)</f>
        <v/>
      </c>
      <c r="Y24" s="29">
        <f>ROUND((N24*G24+P24+M24)-K24, 2)</f>
        <v/>
      </c>
      <c r="Z24" s="30">
        <f>IF(K24&gt;0, Y24/K24, 0)</f>
        <v/>
      </c>
    </row>
    <row r="25">
      <c r="A25" s="20" t="inlineStr">
        <is>
          <t>0546-0007</t>
        </is>
      </c>
      <c r="B25" s="21" t="inlineStr">
        <is>
          <t>Norma Elena Bonilla Lupio</t>
        </is>
      </c>
      <c r="C25" s="21" t="inlineStr">
        <is>
          <t>GLC 350 E 4MATIC</t>
        </is>
      </c>
      <c r="D25" s="20" t="inlineStr">
        <is>
          <t>ACTIVO</t>
        </is>
      </c>
      <c r="E25" s="20" t="inlineStr">
        <is>
          <t>2025-10-14</t>
        </is>
      </c>
      <c r="F25" s="20" t="inlineStr">
        <is>
          <t>2027-10-14</t>
        </is>
      </c>
      <c r="G25" s="22" t="n">
        <v>24</v>
      </c>
      <c r="H25" s="23" t="n">
        <v>1444862.07</v>
      </c>
      <c r="I25" s="24" t="n">
        <v>0.4</v>
      </c>
      <c r="J25" s="23">
        <f>ROUND(H25*I25, 2)</f>
        <v/>
      </c>
      <c r="K25" s="23">
        <f>ROUND(H25-J25, 2)</f>
        <v/>
      </c>
      <c r="L25" s="24" t="n">
        <v>0</v>
      </c>
      <c r="M25" s="23">
        <f>ROUND(H25*L25, 2)</f>
        <v/>
      </c>
      <c r="N25" s="23" t="n">
        <v>43711.28</v>
      </c>
      <c r="O25" s="24" t="n">
        <v>0.1</v>
      </c>
      <c r="P25" s="23">
        <f>ROUND(H25*O25, 2)</f>
        <v/>
      </c>
      <c r="Q25" s="25" t="n">
        <v>0.02450169</v>
      </c>
      <c r="R25" s="25">
        <f>IFERROR(RATE(G25, -N25, K25, -P25), Q25)</f>
        <v/>
      </c>
      <c r="S25" s="25">
        <f>Q25*12</f>
        <v/>
      </c>
      <c r="T25" s="25">
        <f>((1+Q25)^12)-1</f>
        <v/>
      </c>
      <c r="U25" s="23">
        <f>IF(Q25&gt;0, ROUND(P25/((1+Q25)^G25), 2), P25)</f>
        <v/>
      </c>
      <c r="V25" s="23">
        <f>ROUND((N25*G25)-K25+P25, 2)</f>
        <v/>
      </c>
      <c r="W25" s="23">
        <f>ROUND(P25-U25, 2)</f>
        <v/>
      </c>
      <c r="X25" s="23">
        <f>ROUND(V25+W25, 2)</f>
        <v/>
      </c>
      <c r="Y25" s="23">
        <f>ROUND((N25*G25+P25+M25)-K25, 2)</f>
        <v/>
      </c>
      <c r="Z25" s="24">
        <f>IF(K25&gt;0, Y25/K25, 0)</f>
        <v/>
      </c>
    </row>
    <row r="26">
      <c r="A26" s="26" t="inlineStr">
        <is>
          <t>0546-0008</t>
        </is>
      </c>
      <c r="B26" s="27" t="inlineStr">
        <is>
          <t>Norma Elena Bonilla Lupio</t>
        </is>
      </c>
      <c r="C26" s="27" t="inlineStr">
        <is>
          <t>JT MOJAVE 4X4</t>
        </is>
      </c>
      <c r="D26" s="26" t="inlineStr">
        <is>
          <t>ACTIVO</t>
        </is>
      </c>
      <c r="E26" s="26" t="inlineStr">
        <is>
          <t>2026-01-08</t>
        </is>
      </c>
      <c r="F26" s="26" t="inlineStr">
        <is>
          <t>2028-01-08</t>
        </is>
      </c>
      <c r="G26" s="28" t="n">
        <v>24</v>
      </c>
      <c r="H26" s="29" t="n">
        <v>1362933.62</v>
      </c>
      <c r="I26" s="30" t="n">
        <v>0.4</v>
      </c>
      <c r="J26" s="29">
        <f>ROUND(H26*I26, 2)</f>
        <v/>
      </c>
      <c r="K26" s="29">
        <f>ROUND(H26-J26, 2)</f>
        <v/>
      </c>
      <c r="L26" s="30" t="n">
        <v>0</v>
      </c>
      <c r="M26" s="29">
        <f>ROUND(H26*L26, 2)</f>
        <v/>
      </c>
      <c r="N26" s="29" t="n">
        <v>42074.85</v>
      </c>
      <c r="O26" s="30" t="n">
        <v>0.1</v>
      </c>
      <c r="P26" s="29">
        <f>ROUND(H26*O26, 2)</f>
        <v/>
      </c>
      <c r="Q26" s="31" t="n">
        <v>0.02601124</v>
      </c>
      <c r="R26" s="31">
        <f>IFERROR(RATE(G26, -N26, K26, -P26), Q26)</f>
        <v/>
      </c>
      <c r="S26" s="31">
        <f>Q26*12</f>
        <v/>
      </c>
      <c r="T26" s="31">
        <f>((1+Q26)^12)-1</f>
        <v/>
      </c>
      <c r="U26" s="29">
        <f>IF(Q26&gt;0, ROUND(P26/((1+Q26)^G26), 2), P26)</f>
        <v/>
      </c>
      <c r="V26" s="29">
        <f>ROUND((N26*G26)-K26+P26, 2)</f>
        <v/>
      </c>
      <c r="W26" s="29">
        <f>ROUND(P26-U26, 2)</f>
        <v/>
      </c>
      <c r="X26" s="29">
        <f>ROUND(V26+W26, 2)</f>
        <v/>
      </c>
      <c r="Y26" s="29">
        <f>ROUND((N26*G26+P26+M26)-K26, 2)</f>
        <v/>
      </c>
      <c r="Z26" s="30">
        <f>IF(K26&gt;0, Y26/K26, 0)</f>
        <v/>
      </c>
    </row>
    <row r="27">
      <c r="A27" s="20" t="inlineStr">
        <is>
          <t>0546-0009</t>
        </is>
      </c>
      <c r="B27" s="21" t="inlineStr">
        <is>
          <t>Norma Elena Bonilla Lupio</t>
        </is>
      </c>
      <c r="C27" s="21" t="inlineStr">
        <is>
          <t>Ram 1200 Tradesman 2026</t>
        </is>
      </c>
      <c r="D27" s="20" t="inlineStr">
        <is>
          <t>ACTIVO</t>
        </is>
      </c>
      <c r="E27" s="20" t="inlineStr">
        <is>
          <t>2026-07-01</t>
        </is>
      </c>
      <c r="F27" s="20" t="inlineStr">
        <is>
          <t>2028-07-01</t>
        </is>
      </c>
      <c r="G27" s="22" t="n">
        <v>24</v>
      </c>
      <c r="H27" s="23" t="n">
        <v>364502.59</v>
      </c>
      <c r="I27" s="24" t="n">
        <v>0.2592</v>
      </c>
      <c r="J27" s="23">
        <f>ROUND(H27*I27, 2)</f>
        <v/>
      </c>
      <c r="K27" s="23">
        <f>ROUND(H27-J27, 2)</f>
        <v/>
      </c>
      <c r="L27" s="24" t="n">
        <v>0</v>
      </c>
      <c r="M27" s="23">
        <f>ROUND(H27*L27, 2)</f>
        <v/>
      </c>
      <c r="N27" s="23" t="n">
        <v>14147.07</v>
      </c>
      <c r="O27" s="24" t="n">
        <v>0.1</v>
      </c>
      <c r="P27" s="23">
        <f>ROUND(H27*O27, 2)</f>
        <v/>
      </c>
      <c r="Q27" s="25" t="n">
        <v>0.02597028</v>
      </c>
      <c r="R27" s="25">
        <f>IFERROR(RATE(G27, -N27, K27, -P27), Q27)</f>
        <v/>
      </c>
      <c r="S27" s="25">
        <f>Q27*12</f>
        <v/>
      </c>
      <c r="T27" s="25">
        <f>((1+Q27)^12)-1</f>
        <v/>
      </c>
      <c r="U27" s="23">
        <f>IF(Q27&gt;0, ROUND(P27/((1+Q27)^G27), 2), P27)</f>
        <v/>
      </c>
      <c r="V27" s="23">
        <f>ROUND((N27*G27)-K27+P27, 2)</f>
        <v/>
      </c>
      <c r="W27" s="23">
        <f>ROUND(P27-U27, 2)</f>
        <v/>
      </c>
      <c r="X27" s="23">
        <f>ROUND(V27+W27, 2)</f>
        <v/>
      </c>
      <c r="Y27" s="23">
        <f>ROUND((N27*G27+P27+M27)-K27, 2)</f>
        <v/>
      </c>
      <c r="Z27" s="24">
        <f>IF(K27&gt;0, Y27/K27, 0)</f>
        <v/>
      </c>
    </row>
    <row r="28">
      <c r="A28" s="26" t="inlineStr">
        <is>
          <t>0551-0002</t>
        </is>
      </c>
      <c r="B28" s="27" t="inlineStr">
        <is>
          <t>Agaveros Unidos de Tequila Jalisco Aun S de RL de Cv</t>
        </is>
      </c>
      <c r="C28" s="27" t="inlineStr">
        <is>
          <t>Ram 700 Laramie</t>
        </is>
      </c>
      <c r="D28" s="26" t="inlineStr">
        <is>
          <t>ACTIVO</t>
        </is>
      </c>
      <c r="E28" s="26" t="inlineStr">
        <is>
          <t>2023-07-07</t>
        </is>
      </c>
      <c r="F28" s="26" t="inlineStr">
        <is>
          <t>2027-07-07</t>
        </is>
      </c>
      <c r="G28" s="28" t="n">
        <v>48</v>
      </c>
      <c r="H28" s="29" t="n">
        <v>353362.07</v>
      </c>
      <c r="I28" s="30" t="n">
        <v>0.3</v>
      </c>
      <c r="J28" s="29">
        <f>ROUND(H28*I28, 2)</f>
        <v/>
      </c>
      <c r="K28" s="29">
        <f>ROUND(H28-J28, 2)</f>
        <v/>
      </c>
      <c r="L28" s="30" t="n">
        <v>0.027</v>
      </c>
      <c r="M28" s="29">
        <f>ROUND(H28*L28, 2)</f>
        <v/>
      </c>
      <c r="N28" s="29" t="n">
        <v>9605.690000000001</v>
      </c>
      <c r="O28" s="30" t="n">
        <v>0.2</v>
      </c>
      <c r="P28" s="29">
        <f>ROUND(H28*O28, 2)</f>
        <v/>
      </c>
      <c r="Q28" s="31" t="n">
        <v>0.03245132</v>
      </c>
      <c r="R28" s="31">
        <f>IFERROR(RATE(G28, -N28, K28, -P28), Q28)</f>
        <v/>
      </c>
      <c r="S28" s="31">
        <f>Q28*12</f>
        <v/>
      </c>
      <c r="T28" s="31">
        <f>((1+Q28)^12)-1</f>
        <v/>
      </c>
      <c r="U28" s="29">
        <f>IF(Q28&gt;0, ROUND(P28/((1+Q28)^G28), 2), P28)</f>
        <v/>
      </c>
      <c r="V28" s="29">
        <f>ROUND((N28*G28)-K28+P28, 2)</f>
        <v/>
      </c>
      <c r="W28" s="29">
        <f>ROUND(P28-U28, 2)</f>
        <v/>
      </c>
      <c r="X28" s="29">
        <f>ROUND(V28+W28, 2)</f>
        <v/>
      </c>
      <c r="Y28" s="29">
        <f>ROUND((N28*G28+P28+M28)-K28, 2)</f>
        <v/>
      </c>
      <c r="Z28" s="30">
        <f>IF(K28&gt;0, Y28/K28, 0)</f>
        <v/>
      </c>
    </row>
    <row r="29">
      <c r="A29" s="20" t="inlineStr">
        <is>
          <t>0552-0018</t>
        </is>
      </c>
      <c r="B29" s="21" t="inlineStr">
        <is>
          <t>Transportes y Maniobras Portuarias</t>
        </is>
      </c>
      <c r="C29" s="21" t="inlineStr">
        <is>
          <t>Raizer</t>
        </is>
      </c>
      <c r="D29" s="20" t="inlineStr">
        <is>
          <t>ACTIVO</t>
        </is>
      </c>
      <c r="E29" s="20" t="inlineStr">
        <is>
          <t>2024-11-29</t>
        </is>
      </c>
      <c r="F29" s="20" t="inlineStr">
        <is>
          <t>2026-11-29</t>
        </is>
      </c>
      <c r="G29" s="22" t="n">
        <v>24</v>
      </c>
      <c r="H29" s="23" t="n">
        <v>890000</v>
      </c>
      <c r="I29" s="24" t="n">
        <v>0.19</v>
      </c>
      <c r="J29" s="23">
        <f>ROUND(H29*I29, 2)</f>
        <v/>
      </c>
      <c r="K29" s="23">
        <f>ROUND(H29-J29, 2)</f>
        <v/>
      </c>
      <c r="L29" s="24" t="n">
        <v>0</v>
      </c>
      <c r="M29" s="23">
        <f>ROUND(H29*L29, 2)</f>
        <v/>
      </c>
      <c r="N29" s="23" t="n">
        <v>40898.96</v>
      </c>
      <c r="O29" s="24" t="n">
        <v>1</v>
      </c>
      <c r="P29" s="23">
        <f>ROUND(H29*O29, 2)</f>
        <v/>
      </c>
      <c r="Q29" s="25" t="n">
        <v>0.02692036</v>
      </c>
      <c r="R29" s="25">
        <f>IFERROR(RATE(G29, -N29, K29, -P29), Q29)</f>
        <v/>
      </c>
      <c r="S29" s="25">
        <f>Q29*12</f>
        <v/>
      </c>
      <c r="T29" s="25">
        <f>((1+Q29)^12)-1</f>
        <v/>
      </c>
      <c r="U29" s="23">
        <f>IF(Q29&gt;0, ROUND(P29/((1+Q29)^G29), 2), P29)</f>
        <v/>
      </c>
      <c r="V29" s="23">
        <f>ROUND((N29*G29)-K29+P29, 2)</f>
        <v/>
      </c>
      <c r="W29" s="23">
        <f>ROUND(P29-U29, 2)</f>
        <v/>
      </c>
      <c r="X29" s="23">
        <f>ROUND(V29+W29, 2)</f>
        <v/>
      </c>
      <c r="Y29" s="23">
        <f>ROUND((N29*G29+P29+M29)-K29, 2)</f>
        <v/>
      </c>
      <c r="Z29" s="24">
        <f>IF(K29&gt;0, Y29/K29, 0)</f>
        <v/>
      </c>
    </row>
    <row r="30">
      <c r="A30" s="26" t="inlineStr">
        <is>
          <t>0552-0019</t>
        </is>
      </c>
      <c r="B30" s="27" t="inlineStr">
        <is>
          <t>Transportes y Maniobras Portuarias de Mexico Sa de Cv</t>
        </is>
      </c>
      <c r="C30" s="27" t="inlineStr">
        <is>
          <t>Remolque tipo Dolly</t>
        </is>
      </c>
      <c r="D30" s="26" t="inlineStr">
        <is>
          <t>ACTIVO</t>
        </is>
      </c>
      <c r="E30" s="26" t="inlineStr">
        <is>
          <t>2024-12-20</t>
        </is>
      </c>
      <c r="F30" s="26" t="inlineStr">
        <is>
          <t>2026-12-20</t>
        </is>
      </c>
      <c r="G30" s="28" t="n">
        <v>24</v>
      </c>
      <c r="H30" s="29" t="n">
        <v>271000</v>
      </c>
      <c r="I30" s="30" t="n">
        <v>0.19</v>
      </c>
      <c r="J30" s="29">
        <f>ROUND(H30*I30, 2)</f>
        <v/>
      </c>
      <c r="K30" s="29">
        <f>ROUND(H30-J30, 2)</f>
        <v/>
      </c>
      <c r="L30" s="30" t="n">
        <v>0</v>
      </c>
      <c r="M30" s="29">
        <f>ROUND(H30*L30, 2)</f>
        <v/>
      </c>
      <c r="N30" s="29" t="n">
        <v>12453.5</v>
      </c>
      <c r="O30" s="30" t="n">
        <v>1</v>
      </c>
      <c r="P30" s="29">
        <f>ROUND(H30*O30, 2)</f>
        <v/>
      </c>
      <c r="Q30" s="31" t="n">
        <v>0.02692034</v>
      </c>
      <c r="R30" s="31">
        <f>IFERROR(RATE(G30, -N30, K30, -P30), Q30)</f>
        <v/>
      </c>
      <c r="S30" s="31">
        <f>Q30*12</f>
        <v/>
      </c>
      <c r="T30" s="31">
        <f>((1+Q30)^12)-1</f>
        <v/>
      </c>
      <c r="U30" s="29">
        <f>IF(Q30&gt;0, ROUND(P30/((1+Q30)^G30), 2), P30)</f>
        <v/>
      </c>
      <c r="V30" s="29">
        <f>ROUND((N30*G30)-K30+P30, 2)</f>
        <v/>
      </c>
      <c r="W30" s="29">
        <f>ROUND(P30-U30, 2)</f>
        <v/>
      </c>
      <c r="X30" s="29">
        <f>ROUND(V30+W30, 2)</f>
        <v/>
      </c>
      <c r="Y30" s="29">
        <f>ROUND((N30*G30+P30+M30)-K30, 2)</f>
        <v/>
      </c>
      <c r="Z30" s="30">
        <f>IF(K30&gt;0, Y30/K30, 0)</f>
        <v/>
      </c>
    </row>
    <row r="31">
      <c r="A31" s="20" t="inlineStr">
        <is>
          <t>0552-0020</t>
        </is>
      </c>
      <c r="B31" s="21" t="inlineStr">
        <is>
          <t>Transportes y Maniobras Portuarias de Mexico Sa de Cv</t>
        </is>
      </c>
      <c r="C31" s="21" t="inlineStr">
        <is>
          <t>PLATAFORMA MULTIMODAL</t>
        </is>
      </c>
      <c r="D31" s="20" t="inlineStr">
        <is>
          <t>ACTIVO</t>
        </is>
      </c>
      <c r="E31" s="20" t="inlineStr">
        <is>
          <t>2024-12-26</t>
        </is>
      </c>
      <c r="F31" s="20" t="inlineStr">
        <is>
          <t>2026-12-26</t>
        </is>
      </c>
      <c r="G31" s="22" t="n">
        <v>24</v>
      </c>
      <c r="H31" s="23" t="n">
        <v>513000</v>
      </c>
      <c r="I31" s="24" t="n">
        <v>0.19</v>
      </c>
      <c r="J31" s="23">
        <f>ROUND(H31*I31, 2)</f>
        <v/>
      </c>
      <c r="K31" s="23">
        <f>ROUND(H31-J31, 2)</f>
        <v/>
      </c>
      <c r="L31" s="24" t="n">
        <v>0</v>
      </c>
      <c r="M31" s="23">
        <f>ROUND(H31*L31, 2)</f>
        <v/>
      </c>
      <c r="N31" s="23" t="n">
        <v>23574.34</v>
      </c>
      <c r="O31" s="24" t="n">
        <v>1</v>
      </c>
      <c r="P31" s="23">
        <f>ROUND(H31*O31, 2)</f>
        <v/>
      </c>
      <c r="Q31" s="25" t="n">
        <v>0.02692036</v>
      </c>
      <c r="R31" s="25">
        <f>IFERROR(RATE(G31, -N31, K31, -P31), Q31)</f>
        <v/>
      </c>
      <c r="S31" s="25">
        <f>Q31*12</f>
        <v/>
      </c>
      <c r="T31" s="25">
        <f>((1+Q31)^12)-1</f>
        <v/>
      </c>
      <c r="U31" s="23">
        <f>IF(Q31&gt;0, ROUND(P31/((1+Q31)^G31), 2), P31)</f>
        <v/>
      </c>
      <c r="V31" s="23">
        <f>ROUND((N31*G31)-K31+P31, 2)</f>
        <v/>
      </c>
      <c r="W31" s="23">
        <f>ROUND(P31-U31, 2)</f>
        <v/>
      </c>
      <c r="X31" s="23">
        <f>ROUND(V31+W31, 2)</f>
        <v/>
      </c>
      <c r="Y31" s="23">
        <f>ROUND((N31*G31+P31+M31)-K31, 2)</f>
        <v/>
      </c>
      <c r="Z31" s="24">
        <f>IF(K31&gt;0, Y31/K31, 0)</f>
        <v/>
      </c>
    </row>
    <row r="32">
      <c r="A32" s="26" t="inlineStr">
        <is>
          <t>0552-0021</t>
        </is>
      </c>
      <c r="B32" s="27" t="inlineStr">
        <is>
          <t>Transportes y Maniobras Portuarias de Mexico Sa de Cv</t>
        </is>
      </c>
      <c r="C32" s="27" t="inlineStr">
        <is>
          <t>PLATAFORMA MULTIMODAL</t>
        </is>
      </c>
      <c r="D32" s="26" t="inlineStr">
        <is>
          <t>ACTIVO</t>
        </is>
      </c>
      <c r="E32" s="26" t="inlineStr">
        <is>
          <t>2024-12-26</t>
        </is>
      </c>
      <c r="F32" s="26" t="inlineStr">
        <is>
          <t>2026-12-26</t>
        </is>
      </c>
      <c r="G32" s="28" t="n">
        <v>24</v>
      </c>
      <c r="H32" s="29" t="n">
        <v>513000</v>
      </c>
      <c r="I32" s="30" t="n">
        <v>0.19</v>
      </c>
      <c r="J32" s="29">
        <f>ROUND(H32*I32, 2)</f>
        <v/>
      </c>
      <c r="K32" s="29">
        <f>ROUND(H32-J32, 2)</f>
        <v/>
      </c>
      <c r="L32" s="30" t="n">
        <v>0</v>
      </c>
      <c r="M32" s="29">
        <f>ROUND(H32*L32, 2)</f>
        <v/>
      </c>
      <c r="N32" s="29" t="n">
        <v>23574.34</v>
      </c>
      <c r="O32" s="30" t="n">
        <v>1</v>
      </c>
      <c r="P32" s="29">
        <f>ROUND(H32*O32, 2)</f>
        <v/>
      </c>
      <c r="Q32" s="31" t="n">
        <v>0.02692036</v>
      </c>
      <c r="R32" s="31">
        <f>IFERROR(RATE(G32, -N32, K32, -P32), Q32)</f>
        <v/>
      </c>
      <c r="S32" s="31">
        <f>Q32*12</f>
        <v/>
      </c>
      <c r="T32" s="31">
        <f>((1+Q32)^12)-1</f>
        <v/>
      </c>
      <c r="U32" s="29">
        <f>IF(Q32&gt;0, ROUND(P32/((1+Q32)^G32), 2), P32)</f>
        <v/>
      </c>
      <c r="V32" s="29">
        <f>ROUND((N32*G32)-K32+P32, 2)</f>
        <v/>
      </c>
      <c r="W32" s="29">
        <f>ROUND(P32-U32, 2)</f>
        <v/>
      </c>
      <c r="X32" s="29">
        <f>ROUND(V32+W32, 2)</f>
        <v/>
      </c>
      <c r="Y32" s="29">
        <f>ROUND((N32*G32+P32+M32)-K32, 2)</f>
        <v/>
      </c>
      <c r="Z32" s="30">
        <f>IF(K32&gt;0, Y32/K32, 0)</f>
        <v/>
      </c>
    </row>
    <row r="33">
      <c r="A33" s="20" t="inlineStr">
        <is>
          <t>0552-0022</t>
        </is>
      </c>
      <c r="B33" s="21" t="inlineStr">
        <is>
          <t>Transportes y Maniobras Portuarias de Mexico Sa de Cv</t>
        </is>
      </c>
      <c r="C33" s="21" t="inlineStr">
        <is>
          <t>RZR</t>
        </is>
      </c>
      <c r="D33" s="20" t="inlineStr">
        <is>
          <t>ACTIVO</t>
        </is>
      </c>
      <c r="E33" s="20" t="inlineStr">
        <is>
          <t>2024-12-26</t>
        </is>
      </c>
      <c r="F33" s="20" t="inlineStr">
        <is>
          <t>2026-12-26</t>
        </is>
      </c>
      <c r="G33" s="22" t="n">
        <v>24</v>
      </c>
      <c r="H33" s="23" t="n">
        <v>922327.59</v>
      </c>
      <c r="I33" s="24" t="n">
        <v>0.2</v>
      </c>
      <c r="J33" s="23">
        <f>ROUND(H33*I33, 2)</f>
        <v/>
      </c>
      <c r="K33" s="23">
        <f>ROUND(H33-J33, 2)</f>
        <v/>
      </c>
      <c r="L33" s="24" t="n">
        <v>0</v>
      </c>
      <c r="M33" s="23">
        <f>ROUND(H33*L33, 2)</f>
        <v/>
      </c>
      <c r="N33" s="23" t="n">
        <v>41857.95</v>
      </c>
      <c r="O33" s="24" t="n">
        <v>1</v>
      </c>
      <c r="P33" s="23">
        <f>ROUND(H33*O33, 2)</f>
        <v/>
      </c>
      <c r="Q33" s="25" t="n">
        <v>0.02692061</v>
      </c>
      <c r="R33" s="25">
        <f>IFERROR(RATE(G33, -N33, K33, -P33), Q33)</f>
        <v/>
      </c>
      <c r="S33" s="25">
        <f>Q33*12</f>
        <v/>
      </c>
      <c r="T33" s="25">
        <f>((1+Q33)^12)-1</f>
        <v/>
      </c>
      <c r="U33" s="23">
        <f>IF(Q33&gt;0, ROUND(P33/((1+Q33)^G33), 2), P33)</f>
        <v/>
      </c>
      <c r="V33" s="23">
        <f>ROUND((N33*G33)-K33+P33, 2)</f>
        <v/>
      </c>
      <c r="W33" s="23">
        <f>ROUND(P33-U33, 2)</f>
        <v/>
      </c>
      <c r="X33" s="23">
        <f>ROUND(V33+W33, 2)</f>
        <v/>
      </c>
      <c r="Y33" s="23">
        <f>ROUND((N33*G33+P33+M33)-K33, 2)</f>
        <v/>
      </c>
      <c r="Z33" s="24">
        <f>IF(K33&gt;0, Y33/K33, 0)</f>
        <v/>
      </c>
    </row>
    <row r="34">
      <c r="A34" s="26" t="inlineStr">
        <is>
          <t>0552-0023</t>
        </is>
      </c>
      <c r="B34" s="27" t="inlineStr">
        <is>
          <t>Transportes y Maniobras Portuarias de Mexico Sa de Cv</t>
        </is>
      </c>
      <c r="C34" s="27" t="inlineStr">
        <is>
          <t>Iternational Lt</t>
        </is>
      </c>
      <c r="D34" s="26" t="inlineStr">
        <is>
          <t>ACTIVO</t>
        </is>
      </c>
      <c r="E34" s="26" t="inlineStr">
        <is>
          <t>2025-08-27</t>
        </is>
      </c>
      <c r="F34" s="26" t="inlineStr">
        <is>
          <t>2027-08-27</t>
        </is>
      </c>
      <c r="G34" s="28" t="n">
        <v>24</v>
      </c>
      <c r="H34" s="29" t="n">
        <v>1531034.48</v>
      </c>
      <c r="I34" s="30" t="n">
        <v>0.1</v>
      </c>
      <c r="J34" s="29">
        <f>ROUND(H34*I34, 2)</f>
        <v/>
      </c>
      <c r="K34" s="29">
        <f>ROUND(H34-J34, 2)</f>
        <v/>
      </c>
      <c r="L34" s="30" t="n">
        <v>0</v>
      </c>
      <c r="M34" s="29">
        <f>ROUND(H34*L34, 2)</f>
        <v/>
      </c>
      <c r="N34" s="29" t="n">
        <v>73125.64999999999</v>
      </c>
      <c r="O34" s="30" t="n">
        <v>0.1</v>
      </c>
      <c r="P34" s="29">
        <f>ROUND(H34*O34, 2)</f>
        <v/>
      </c>
      <c r="Q34" s="31" t="n">
        <v>0.02589337</v>
      </c>
      <c r="R34" s="31">
        <f>IFERROR(RATE(G34, -N34, K34, -P34), Q34)</f>
        <v/>
      </c>
      <c r="S34" s="31">
        <f>Q34*12</f>
        <v/>
      </c>
      <c r="T34" s="31">
        <f>((1+Q34)^12)-1</f>
        <v/>
      </c>
      <c r="U34" s="29">
        <f>IF(Q34&gt;0, ROUND(P34/((1+Q34)^G34), 2), P34)</f>
        <v/>
      </c>
      <c r="V34" s="29">
        <f>ROUND((N34*G34)-K34+P34, 2)</f>
        <v/>
      </c>
      <c r="W34" s="29">
        <f>ROUND(P34-U34, 2)</f>
        <v/>
      </c>
      <c r="X34" s="29">
        <f>ROUND(V34+W34, 2)</f>
        <v/>
      </c>
      <c r="Y34" s="29">
        <f>ROUND((N34*G34+P34+M34)-K34, 2)</f>
        <v/>
      </c>
      <c r="Z34" s="30">
        <f>IF(K34&gt;0, Y34/K34, 0)</f>
        <v/>
      </c>
    </row>
    <row r="35">
      <c r="A35" s="20" t="inlineStr">
        <is>
          <t>0552-0024</t>
        </is>
      </c>
      <c r="B35" s="21" t="inlineStr">
        <is>
          <t>Transportes y Maniobras Portuarias de Mexico Sa de Cv</t>
        </is>
      </c>
      <c r="C35" s="21" t="inlineStr">
        <is>
          <t>Iternational Lt</t>
        </is>
      </c>
      <c r="D35" s="20" t="inlineStr">
        <is>
          <t>ACTIVO</t>
        </is>
      </c>
      <c r="E35" s="20" t="inlineStr">
        <is>
          <t>2025-08-27</t>
        </is>
      </c>
      <c r="F35" s="20" t="inlineStr">
        <is>
          <t>2027-08-27</t>
        </is>
      </c>
      <c r="G35" s="22" t="n">
        <v>24</v>
      </c>
      <c r="H35" s="23" t="n">
        <v>1531034.48</v>
      </c>
      <c r="I35" s="24" t="n">
        <v>0.1</v>
      </c>
      <c r="J35" s="23">
        <f>ROUND(H35*I35, 2)</f>
        <v/>
      </c>
      <c r="K35" s="23">
        <f>ROUND(H35-J35, 2)</f>
        <v/>
      </c>
      <c r="L35" s="24" t="n">
        <v>0</v>
      </c>
      <c r="M35" s="23">
        <f>ROUND(H35*L35, 2)</f>
        <v/>
      </c>
      <c r="N35" s="23" t="n">
        <v>73125.64999999999</v>
      </c>
      <c r="O35" s="24" t="n">
        <v>0.1</v>
      </c>
      <c r="P35" s="23">
        <f>ROUND(H35*O35, 2)</f>
        <v/>
      </c>
      <c r="Q35" s="25" t="n">
        <v>0.02589337</v>
      </c>
      <c r="R35" s="25">
        <f>IFERROR(RATE(G35, -N35, K35, -P35), Q35)</f>
        <v/>
      </c>
      <c r="S35" s="25">
        <f>Q35*12</f>
        <v/>
      </c>
      <c r="T35" s="25">
        <f>((1+Q35)^12)-1</f>
        <v/>
      </c>
      <c r="U35" s="23">
        <f>IF(Q35&gt;0, ROUND(P35/((1+Q35)^G35), 2), P35)</f>
        <v/>
      </c>
      <c r="V35" s="23">
        <f>ROUND((N35*G35)-K35+P35, 2)</f>
        <v/>
      </c>
      <c r="W35" s="23">
        <f>ROUND(P35-U35, 2)</f>
        <v/>
      </c>
      <c r="X35" s="23">
        <f>ROUND(V35+W35, 2)</f>
        <v/>
      </c>
      <c r="Y35" s="23">
        <f>ROUND((N35*G35+P35+M35)-K35, 2)</f>
        <v/>
      </c>
      <c r="Z35" s="24">
        <f>IF(K35&gt;0, Y35/K35, 0)</f>
        <v/>
      </c>
    </row>
    <row r="36">
      <c r="A36" s="26" t="inlineStr">
        <is>
          <t>0552-0025</t>
        </is>
      </c>
      <c r="B36" s="27" t="inlineStr">
        <is>
          <t>Transportes y Maniobras Portuarias de Mexico Sa de Cv</t>
        </is>
      </c>
      <c r="C36" s="27" t="inlineStr">
        <is>
          <t>Iternational Lt</t>
        </is>
      </c>
      <c r="D36" s="26" t="inlineStr">
        <is>
          <t>ACTIVO</t>
        </is>
      </c>
      <c r="E36" s="26" t="inlineStr">
        <is>
          <t>2025-08-27</t>
        </is>
      </c>
      <c r="F36" s="26" t="inlineStr">
        <is>
          <t>2027-08-27</t>
        </is>
      </c>
      <c r="G36" s="28" t="n">
        <v>24</v>
      </c>
      <c r="H36" s="29" t="n">
        <v>1531034.48</v>
      </c>
      <c r="I36" s="30" t="n">
        <v>0.1</v>
      </c>
      <c r="J36" s="29">
        <f>ROUND(H36*I36, 2)</f>
        <v/>
      </c>
      <c r="K36" s="29">
        <f>ROUND(H36-J36, 2)</f>
        <v/>
      </c>
      <c r="L36" s="30" t="n">
        <v>0</v>
      </c>
      <c r="M36" s="29">
        <f>ROUND(H36*L36, 2)</f>
        <v/>
      </c>
      <c r="N36" s="29" t="n">
        <v>73125.64999999999</v>
      </c>
      <c r="O36" s="30" t="n">
        <v>0.1</v>
      </c>
      <c r="P36" s="29">
        <f>ROUND(H36*O36, 2)</f>
        <v/>
      </c>
      <c r="Q36" s="31" t="n">
        <v>0.02589337</v>
      </c>
      <c r="R36" s="31">
        <f>IFERROR(RATE(G36, -N36, K36, -P36), Q36)</f>
        <v/>
      </c>
      <c r="S36" s="31">
        <f>Q36*12</f>
        <v/>
      </c>
      <c r="T36" s="31">
        <f>((1+Q36)^12)-1</f>
        <v/>
      </c>
      <c r="U36" s="29">
        <f>IF(Q36&gt;0, ROUND(P36/((1+Q36)^G36), 2), P36)</f>
        <v/>
      </c>
      <c r="V36" s="29">
        <f>ROUND((N36*G36)-K36+P36, 2)</f>
        <v/>
      </c>
      <c r="W36" s="29">
        <f>ROUND(P36-U36, 2)</f>
        <v/>
      </c>
      <c r="X36" s="29">
        <f>ROUND(V36+W36, 2)</f>
        <v/>
      </c>
      <c r="Y36" s="29">
        <f>ROUND((N36*G36+P36+M36)-K36, 2)</f>
        <v/>
      </c>
      <c r="Z36" s="30">
        <f>IF(K36&gt;0, Y36/K36, 0)</f>
        <v/>
      </c>
    </row>
    <row r="37">
      <c r="A37" s="20" t="inlineStr">
        <is>
          <t>0554-0003</t>
        </is>
      </c>
      <c r="B37" s="21" t="inlineStr">
        <is>
          <t>TRANSPORTES DEL BAJIO TRANSCOLD SA DE CV</t>
        </is>
      </c>
      <c r="C37" s="21" t="inlineStr">
        <is>
          <t>RAM 4000 CHASIS PLANO LARGO "PL"</t>
        </is>
      </c>
      <c r="D37" s="20" t="inlineStr">
        <is>
          <t>ACTIVO</t>
        </is>
      </c>
      <c r="E37" s="20" t="inlineStr">
        <is>
          <t>2022-11-24</t>
        </is>
      </c>
      <c r="F37" s="20" t="inlineStr">
        <is>
          <t>2026-11-24</t>
        </is>
      </c>
      <c r="G37" s="22" t="n">
        <v>48</v>
      </c>
      <c r="H37" s="23" t="n">
        <v>699810.34</v>
      </c>
      <c r="I37" s="24" t="n">
        <v>0.08</v>
      </c>
      <c r="J37" s="23">
        <f>ROUND(H37*I37, 2)</f>
        <v/>
      </c>
      <c r="K37" s="23">
        <f>ROUND(H37-J37, 2)</f>
        <v/>
      </c>
      <c r="L37" s="24" t="n">
        <v>0.015</v>
      </c>
      <c r="M37" s="23">
        <f>ROUND(H37*L37, 2)</f>
        <v/>
      </c>
      <c r="N37" s="23" t="n">
        <v>23796.53</v>
      </c>
      <c r="O37" s="24" t="n">
        <v>0.1</v>
      </c>
      <c r="P37" s="23">
        <f>ROUND(H37*O37, 2)</f>
        <v/>
      </c>
      <c r="Q37" s="25" t="n">
        <v>0.02790988</v>
      </c>
      <c r="R37" s="25">
        <f>IFERROR(RATE(G37, -N37, K37, -P37), Q37)</f>
        <v/>
      </c>
      <c r="S37" s="25">
        <f>Q37*12</f>
        <v/>
      </c>
      <c r="T37" s="25">
        <f>((1+Q37)^12)-1</f>
        <v/>
      </c>
      <c r="U37" s="23">
        <f>IF(Q37&gt;0, ROUND(P37/((1+Q37)^G37), 2), P37)</f>
        <v/>
      </c>
      <c r="V37" s="23">
        <f>ROUND((N37*G37)-K37+P37, 2)</f>
        <v/>
      </c>
      <c r="W37" s="23">
        <f>ROUND(P37-U37, 2)</f>
        <v/>
      </c>
      <c r="X37" s="23">
        <f>ROUND(V37+W37, 2)</f>
        <v/>
      </c>
      <c r="Y37" s="23">
        <f>ROUND((N37*G37+P37+M37)-K37, 2)</f>
        <v/>
      </c>
      <c r="Z37" s="24">
        <f>IF(K37&gt;0, Y37/K37, 0)</f>
        <v/>
      </c>
    </row>
    <row r="38">
      <c r="A38" s="26" t="inlineStr">
        <is>
          <t>0570-0006</t>
        </is>
      </c>
      <c r="B38" s="27" t="inlineStr">
        <is>
          <t>Jalco Iluminacion Sa de Cv</t>
        </is>
      </c>
      <c r="C38" s="27" t="inlineStr">
        <is>
          <t>RAM 700 BIG HORN</t>
        </is>
      </c>
      <c r="D38" s="26" t="inlineStr">
        <is>
          <t>ACTIVO</t>
        </is>
      </c>
      <c r="E38" s="26" t="inlineStr">
        <is>
          <t>2023-12-08</t>
        </is>
      </c>
      <c r="F38" s="26" t="inlineStr">
        <is>
          <t>2026-12-08</t>
        </is>
      </c>
      <c r="G38" s="28" t="n">
        <v>36</v>
      </c>
      <c r="H38" s="29" t="n">
        <v>348189.66</v>
      </c>
      <c r="I38" s="30" t="n">
        <v>0.1</v>
      </c>
      <c r="J38" s="29">
        <f>ROUND(H38*I38, 2)</f>
        <v/>
      </c>
      <c r="K38" s="29">
        <f>ROUND(H38-J38, 2)</f>
        <v/>
      </c>
      <c r="L38" s="30" t="n">
        <v>0.027</v>
      </c>
      <c r="M38" s="29">
        <f>ROUND(H38*L38, 2)</f>
        <v/>
      </c>
      <c r="N38" s="29" t="n">
        <v>12906.63</v>
      </c>
      <c r="O38" s="30" t="n">
        <v>0.35</v>
      </c>
      <c r="P38" s="29">
        <f>ROUND(H38*O38, 2)</f>
        <v/>
      </c>
      <c r="Q38" s="31" t="n">
        <v>0.03188834</v>
      </c>
      <c r="R38" s="31">
        <f>IFERROR(RATE(G38, -N38, K38, -P38), Q38)</f>
        <v/>
      </c>
      <c r="S38" s="31">
        <f>Q38*12</f>
        <v/>
      </c>
      <c r="T38" s="31">
        <f>((1+Q38)^12)-1</f>
        <v/>
      </c>
      <c r="U38" s="29">
        <f>IF(Q38&gt;0, ROUND(P38/((1+Q38)^G38), 2), P38)</f>
        <v/>
      </c>
      <c r="V38" s="29">
        <f>ROUND((N38*G38)-K38+P38, 2)</f>
        <v/>
      </c>
      <c r="W38" s="29">
        <f>ROUND(P38-U38, 2)</f>
        <v/>
      </c>
      <c r="X38" s="29">
        <f>ROUND(V38+W38, 2)</f>
        <v/>
      </c>
      <c r="Y38" s="29">
        <f>ROUND((N38*G38+P38+M38)-K38, 2)</f>
        <v/>
      </c>
      <c r="Z38" s="30">
        <f>IF(K38&gt;0, Y38/K38, 0)</f>
        <v/>
      </c>
    </row>
    <row r="39">
      <c r="A39" s="20" t="inlineStr">
        <is>
          <t>0573-0007</t>
        </is>
      </c>
      <c r="B39" s="21" t="inlineStr">
        <is>
          <t>Ar Marketing Sa de Cv</t>
        </is>
      </c>
      <c r="C39" s="21" t="inlineStr">
        <is>
          <t>Promaster Rapid</t>
        </is>
      </c>
      <c r="D39" s="20" t="inlineStr">
        <is>
          <t>ACTIVO</t>
        </is>
      </c>
      <c r="E39" s="20" t="inlineStr">
        <is>
          <t>2024-05-10</t>
        </is>
      </c>
      <c r="F39" s="20" t="inlineStr">
        <is>
          <t>2027-05-10</t>
        </is>
      </c>
      <c r="G39" s="22" t="n">
        <v>36</v>
      </c>
      <c r="H39" s="23" t="n">
        <v>257587.93</v>
      </c>
      <c r="I39" s="24" t="n">
        <v>0.3</v>
      </c>
      <c r="J39" s="23">
        <f>ROUND(H39*I39, 2)</f>
        <v/>
      </c>
      <c r="K39" s="23">
        <f>ROUND(H39-J39, 2)</f>
        <v/>
      </c>
      <c r="L39" s="24" t="n">
        <v>0.0313</v>
      </c>
      <c r="M39" s="23">
        <f>ROUND(H39*L39, 2)</f>
        <v/>
      </c>
      <c r="N39" s="23" t="n">
        <v>7850.11</v>
      </c>
      <c r="O39" s="24" t="n">
        <v>0.2</v>
      </c>
      <c r="P39" s="23">
        <f>ROUND(H39*O39, 2)</f>
        <v/>
      </c>
      <c r="Q39" s="25" t="n">
        <v>0.03288522</v>
      </c>
      <c r="R39" s="25">
        <f>IFERROR(RATE(G39, -N39, K39, -P39), Q39)</f>
        <v/>
      </c>
      <c r="S39" s="25">
        <f>Q39*12</f>
        <v/>
      </c>
      <c r="T39" s="25">
        <f>((1+Q39)^12)-1</f>
        <v/>
      </c>
      <c r="U39" s="23">
        <f>IF(Q39&gt;0, ROUND(P39/((1+Q39)^G39), 2), P39)</f>
        <v/>
      </c>
      <c r="V39" s="23">
        <f>ROUND((N39*G39)-K39+P39, 2)</f>
        <v/>
      </c>
      <c r="W39" s="23">
        <f>ROUND(P39-U39, 2)</f>
        <v/>
      </c>
      <c r="X39" s="23">
        <f>ROUND(V39+W39, 2)</f>
        <v/>
      </c>
      <c r="Y39" s="23">
        <f>ROUND((N39*G39+P39+M39)-K39, 2)</f>
        <v/>
      </c>
      <c r="Z39" s="24">
        <f>IF(K39&gt;0, Y39/K39, 0)</f>
        <v/>
      </c>
    </row>
    <row r="40">
      <c r="A40" s="26" t="inlineStr">
        <is>
          <t>0573-0008</t>
        </is>
      </c>
      <c r="B40" s="27" t="inlineStr">
        <is>
          <t>Ar Marketing Sa de Cv</t>
        </is>
      </c>
      <c r="C40" s="27" t="inlineStr">
        <is>
          <t>Promaster Rapid</t>
        </is>
      </c>
      <c r="D40" s="26" t="inlineStr">
        <is>
          <t>ACTIVO</t>
        </is>
      </c>
      <c r="E40" s="26" t="inlineStr">
        <is>
          <t>2024-05-15</t>
        </is>
      </c>
      <c r="F40" s="26" t="inlineStr">
        <is>
          <t>2027-05-15</t>
        </is>
      </c>
      <c r="G40" s="28" t="n">
        <v>36</v>
      </c>
      <c r="H40" s="29" t="n">
        <v>253363.79</v>
      </c>
      <c r="I40" s="30" t="n">
        <v>0.3</v>
      </c>
      <c r="J40" s="29">
        <f>ROUND(H40*I40, 2)</f>
        <v/>
      </c>
      <c r="K40" s="29">
        <f>ROUND(H40-J40, 2)</f>
        <v/>
      </c>
      <c r="L40" s="30" t="n">
        <v>0.0313</v>
      </c>
      <c r="M40" s="29">
        <f>ROUND(H40*L40, 2)</f>
        <v/>
      </c>
      <c r="N40" s="29" t="n">
        <v>7721.38</v>
      </c>
      <c r="O40" s="30" t="n">
        <v>0.2</v>
      </c>
      <c r="P40" s="29">
        <f>ROUND(H40*O40, 2)</f>
        <v/>
      </c>
      <c r="Q40" s="31" t="n">
        <v>0.03288522</v>
      </c>
      <c r="R40" s="31">
        <f>IFERROR(RATE(G40, -N40, K40, -P40), Q40)</f>
        <v/>
      </c>
      <c r="S40" s="31">
        <f>Q40*12</f>
        <v/>
      </c>
      <c r="T40" s="31">
        <f>((1+Q40)^12)-1</f>
        <v/>
      </c>
      <c r="U40" s="29">
        <f>IF(Q40&gt;0, ROUND(P40/((1+Q40)^G40), 2), P40)</f>
        <v/>
      </c>
      <c r="V40" s="29">
        <f>ROUND((N40*G40)-K40+P40, 2)</f>
        <v/>
      </c>
      <c r="W40" s="29">
        <f>ROUND(P40-U40, 2)</f>
        <v/>
      </c>
      <c r="X40" s="29">
        <f>ROUND(V40+W40, 2)</f>
        <v/>
      </c>
      <c r="Y40" s="29">
        <f>ROUND((N40*G40+P40+M40)-K40, 2)</f>
        <v/>
      </c>
      <c r="Z40" s="30">
        <f>IF(K40&gt;0, Y40/K40, 0)</f>
        <v/>
      </c>
    </row>
    <row r="41">
      <c r="A41" s="20" t="inlineStr">
        <is>
          <t>0573-0009</t>
        </is>
      </c>
      <c r="B41" s="21" t="inlineStr">
        <is>
          <t>Ar Marketing Sa de Cv</t>
        </is>
      </c>
      <c r="C41" s="21" t="inlineStr">
        <is>
          <t>Partner</t>
        </is>
      </c>
      <c r="D41" s="20" t="inlineStr">
        <is>
          <t>ACTIVO</t>
        </is>
      </c>
      <c r="E41" s="20" t="inlineStr">
        <is>
          <t>2025-11-28</t>
        </is>
      </c>
      <c r="F41" s="20" t="inlineStr">
        <is>
          <t>2028-11-28</t>
        </is>
      </c>
      <c r="G41" s="22" t="n">
        <v>36</v>
      </c>
      <c r="H41" s="23" t="n">
        <v>249139.66</v>
      </c>
      <c r="I41" s="24" t="n">
        <v>0.3</v>
      </c>
      <c r="J41" s="23">
        <f>ROUND(H41*I41, 2)</f>
        <v/>
      </c>
      <c r="K41" s="23">
        <f>ROUND(H41-J41, 2)</f>
        <v/>
      </c>
      <c r="L41" s="24" t="n">
        <v>0</v>
      </c>
      <c r="M41" s="23">
        <f>ROUND(H41*L41, 2)</f>
        <v/>
      </c>
      <c r="N41" s="23" t="n">
        <v>6761.91</v>
      </c>
      <c r="O41" s="24" t="n">
        <v>0.2</v>
      </c>
      <c r="P41" s="23">
        <f>ROUND(H41*O41, 2)</f>
        <v/>
      </c>
      <c r="Q41" s="25" t="n">
        <v>0.02672385</v>
      </c>
      <c r="R41" s="25">
        <f>IFERROR(RATE(G41, -N41, K41, -P41), Q41)</f>
        <v/>
      </c>
      <c r="S41" s="25">
        <f>Q41*12</f>
        <v/>
      </c>
      <c r="T41" s="25">
        <f>((1+Q41)^12)-1</f>
        <v/>
      </c>
      <c r="U41" s="23">
        <f>IF(Q41&gt;0, ROUND(P41/((1+Q41)^G41), 2), P41)</f>
        <v/>
      </c>
      <c r="V41" s="23">
        <f>ROUND((N41*G41)-K41+P41, 2)</f>
        <v/>
      </c>
      <c r="W41" s="23">
        <f>ROUND(P41-U41, 2)</f>
        <v/>
      </c>
      <c r="X41" s="23">
        <f>ROUND(V41+W41, 2)</f>
        <v/>
      </c>
      <c r="Y41" s="23">
        <f>ROUND((N41*G41+P41+M41)-K41, 2)</f>
        <v/>
      </c>
      <c r="Z41" s="24">
        <f>IF(K41&gt;0, Y41/K41, 0)</f>
        <v/>
      </c>
    </row>
    <row r="42">
      <c r="A42" s="26" t="inlineStr">
        <is>
          <t>0580-0001</t>
        </is>
      </c>
      <c r="B42" s="27" t="inlineStr">
        <is>
          <t>YOLANDA AVALOS CARDENAS</t>
        </is>
      </c>
      <c r="C42" s="27" t="inlineStr">
        <is>
          <t>Mojave</t>
        </is>
      </c>
      <c r="D42" s="26" t="inlineStr">
        <is>
          <t>ACTIVO</t>
        </is>
      </c>
      <c r="E42" s="26" t="inlineStr">
        <is>
          <t>2022-11-18</t>
        </is>
      </c>
      <c r="F42" s="26" t="inlineStr">
        <is>
          <t>2026-11-18</t>
        </is>
      </c>
      <c r="G42" s="28" t="n">
        <v>48</v>
      </c>
      <c r="H42" s="29" t="n">
        <v>1255948.28</v>
      </c>
      <c r="I42" s="30" t="n">
        <v>0.2</v>
      </c>
      <c r="J42" s="29">
        <f>ROUND(H42*I42, 2)</f>
        <v/>
      </c>
      <c r="K42" s="29">
        <f>ROUND(H42-J42, 2)</f>
        <v/>
      </c>
      <c r="L42" s="30" t="n">
        <v>0.027</v>
      </c>
      <c r="M42" s="29">
        <f>ROUND(H42*L42, 2)</f>
        <v/>
      </c>
      <c r="N42" s="29" t="n">
        <v>35584.21</v>
      </c>
      <c r="O42" s="30" t="n">
        <v>0.2</v>
      </c>
      <c r="P42" s="29">
        <f>ROUND(H42*O42, 2)</f>
        <v/>
      </c>
      <c r="Q42" s="31" t="n">
        <v>0.02776954</v>
      </c>
      <c r="R42" s="31">
        <f>IFERROR(RATE(G42, -N42, K42, -P42), Q42)</f>
        <v/>
      </c>
      <c r="S42" s="31">
        <f>Q42*12</f>
        <v/>
      </c>
      <c r="T42" s="31">
        <f>((1+Q42)^12)-1</f>
        <v/>
      </c>
      <c r="U42" s="29">
        <f>IF(Q42&gt;0, ROUND(P42/((1+Q42)^G42), 2), P42)</f>
        <v/>
      </c>
      <c r="V42" s="29">
        <f>ROUND((N42*G42)-K42+P42, 2)</f>
        <v/>
      </c>
      <c r="W42" s="29">
        <f>ROUND(P42-U42, 2)</f>
        <v/>
      </c>
      <c r="X42" s="29">
        <f>ROUND(V42+W42, 2)</f>
        <v/>
      </c>
      <c r="Y42" s="29">
        <f>ROUND((N42*G42+P42+M42)-K42, 2)</f>
        <v/>
      </c>
      <c r="Z42" s="30">
        <f>IF(K42&gt;0, Y42/K42, 0)</f>
        <v/>
      </c>
    </row>
    <row r="43">
      <c r="A43" s="20" t="inlineStr">
        <is>
          <t>0581-0001</t>
        </is>
      </c>
      <c r="B43" s="21" t="inlineStr">
        <is>
          <t>Aditivos y Vitaminas Mexicanas Sa de Cv</t>
        </is>
      </c>
      <c r="C43" s="21" t="inlineStr">
        <is>
          <t>RAM 700 REGULAR CAB</t>
        </is>
      </c>
      <c r="D43" s="20" t="inlineStr">
        <is>
          <t>ACTIVO</t>
        </is>
      </c>
      <c r="E43" s="20" t="inlineStr">
        <is>
          <t>2023-01-17</t>
        </is>
      </c>
      <c r="F43" s="20" t="inlineStr">
        <is>
          <t>2027-01-17</t>
        </is>
      </c>
      <c r="G43" s="22" t="n">
        <v>48</v>
      </c>
      <c r="H43" s="23" t="n">
        <v>255948.28</v>
      </c>
      <c r="I43" s="24" t="n">
        <v>0.3</v>
      </c>
      <c r="J43" s="23">
        <f>ROUND(H43*I43, 2)</f>
        <v/>
      </c>
      <c r="K43" s="23">
        <f>ROUND(H43-J43, 2)</f>
        <v/>
      </c>
      <c r="L43" s="24" t="n">
        <v>0.0313</v>
      </c>
      <c r="M43" s="23">
        <f>ROUND(H43*L43, 2)</f>
        <v/>
      </c>
      <c r="N43" s="23" t="n">
        <v>6900.88</v>
      </c>
      <c r="O43" s="24" t="n">
        <v>0.2</v>
      </c>
      <c r="P43" s="23">
        <f>ROUND(H43*O43, 2)</f>
        <v/>
      </c>
      <c r="Q43" s="25" t="n">
        <v>0.03206384</v>
      </c>
      <c r="R43" s="25">
        <f>IFERROR(RATE(G43, -N43, K43, -P43), Q43)</f>
        <v/>
      </c>
      <c r="S43" s="25">
        <f>Q43*12</f>
        <v/>
      </c>
      <c r="T43" s="25">
        <f>((1+Q43)^12)-1</f>
        <v/>
      </c>
      <c r="U43" s="23">
        <f>IF(Q43&gt;0, ROUND(P43/((1+Q43)^G43), 2), P43)</f>
        <v/>
      </c>
      <c r="V43" s="23">
        <f>ROUND((N43*G43)-K43+P43, 2)</f>
        <v/>
      </c>
      <c r="W43" s="23">
        <f>ROUND(P43-U43, 2)</f>
        <v/>
      </c>
      <c r="X43" s="23">
        <f>ROUND(V43+W43, 2)</f>
        <v/>
      </c>
      <c r="Y43" s="23">
        <f>ROUND((N43*G43+P43+M43)-K43, 2)</f>
        <v/>
      </c>
      <c r="Z43" s="24">
        <f>IF(K43&gt;0, Y43/K43, 0)</f>
        <v/>
      </c>
    </row>
    <row r="44">
      <c r="A44" s="26" t="inlineStr">
        <is>
          <t>0581-0002</t>
        </is>
      </c>
      <c r="B44" s="27" t="inlineStr">
        <is>
          <t>Aditivos y Vitaminas Mexicanas Sa de Cv</t>
        </is>
      </c>
      <c r="C44" s="27" t="inlineStr">
        <is>
          <t>Ram 700 Regular Cab</t>
        </is>
      </c>
      <c r="D44" s="26" t="inlineStr">
        <is>
          <t>ACTIVO</t>
        </is>
      </c>
      <c r="E44" s="26" t="inlineStr">
        <is>
          <t>2024-09-18</t>
        </is>
      </c>
      <c r="F44" s="26" t="inlineStr">
        <is>
          <t>2028-09-18</t>
        </is>
      </c>
      <c r="G44" s="28" t="n">
        <v>48</v>
      </c>
      <c r="H44" s="29" t="n">
        <v>280086.21</v>
      </c>
      <c r="I44" s="30" t="n">
        <v>0.1</v>
      </c>
      <c r="J44" s="29">
        <f>ROUND(H44*I44, 2)</f>
        <v/>
      </c>
      <c r="K44" s="29">
        <f>ROUND(H44-J44, 2)</f>
        <v/>
      </c>
      <c r="L44" s="30" t="n">
        <v>0</v>
      </c>
      <c r="M44" s="29">
        <f>ROUND(H44*L44, 2)</f>
        <v/>
      </c>
      <c r="N44" s="29" t="n">
        <v>7717.62</v>
      </c>
      <c r="O44" s="30" t="n">
        <v>0.2</v>
      </c>
      <c r="P44" s="29">
        <f>ROUND(H44*O44, 2)</f>
        <v/>
      </c>
      <c r="Q44" s="31" t="n">
        <v>0.02109903</v>
      </c>
      <c r="R44" s="31">
        <f>IFERROR(RATE(G44, -N44, K44, -P44), Q44)</f>
        <v/>
      </c>
      <c r="S44" s="31">
        <f>Q44*12</f>
        <v/>
      </c>
      <c r="T44" s="31">
        <f>((1+Q44)^12)-1</f>
        <v/>
      </c>
      <c r="U44" s="29">
        <f>IF(Q44&gt;0, ROUND(P44/((1+Q44)^G44), 2), P44)</f>
        <v/>
      </c>
      <c r="V44" s="29">
        <f>ROUND((N44*G44)-K44+P44, 2)</f>
        <v/>
      </c>
      <c r="W44" s="29">
        <f>ROUND(P44-U44, 2)</f>
        <v/>
      </c>
      <c r="X44" s="29">
        <f>ROUND(V44+W44, 2)</f>
        <v/>
      </c>
      <c r="Y44" s="29">
        <f>ROUND((N44*G44+P44+M44)-K44, 2)</f>
        <v/>
      </c>
      <c r="Z44" s="30">
        <f>IF(K44&gt;0, Y44/K44, 0)</f>
        <v/>
      </c>
    </row>
    <row r="45">
      <c r="A45" s="20" t="inlineStr">
        <is>
          <t>0582-0003</t>
        </is>
      </c>
      <c r="B45" s="21" t="inlineStr">
        <is>
          <t>Ensaladas Frescas de Occidente Sa de Cv</t>
        </is>
      </c>
      <c r="C45" s="21" t="inlineStr">
        <is>
          <t>Pulse</t>
        </is>
      </c>
      <c r="D45" s="20" t="inlineStr">
        <is>
          <t>ACTIVO</t>
        </is>
      </c>
      <c r="E45" s="20" t="inlineStr">
        <is>
          <t>2024-07-02</t>
        </is>
      </c>
      <c r="F45" s="20" t="inlineStr">
        <is>
          <t>2028-07-02</t>
        </is>
      </c>
      <c r="G45" s="22" t="n">
        <v>48</v>
      </c>
      <c r="H45" s="23" t="n">
        <v>304741.38</v>
      </c>
      <c r="I45" s="24" t="n">
        <v>0.1</v>
      </c>
      <c r="J45" s="23">
        <f>ROUND(H45*I45, 2)</f>
        <v/>
      </c>
      <c r="K45" s="23">
        <f>ROUND(H45-J45, 2)</f>
        <v/>
      </c>
      <c r="L45" s="24" t="n">
        <v>0.42</v>
      </c>
      <c r="M45" s="23">
        <f>ROUND(H45*L45, 2)</f>
        <v/>
      </c>
      <c r="N45" s="23" t="n">
        <v>11312.78</v>
      </c>
      <c r="O45" s="24" t="n">
        <v>0.2</v>
      </c>
      <c r="P45" s="23">
        <f>ROUND(H45*O45, 2)</f>
        <v/>
      </c>
      <c r="Q45" s="25" t="n">
        <v>0.03473776</v>
      </c>
      <c r="R45" s="25">
        <f>IFERROR(RATE(G45, -N45, K45, -P45), Q45)</f>
        <v/>
      </c>
      <c r="S45" s="25">
        <f>Q45*12</f>
        <v/>
      </c>
      <c r="T45" s="25">
        <f>((1+Q45)^12)-1</f>
        <v/>
      </c>
      <c r="U45" s="23">
        <f>IF(Q45&gt;0, ROUND(P45/((1+Q45)^G45), 2), P45)</f>
        <v/>
      </c>
      <c r="V45" s="23">
        <f>ROUND((N45*G45)-K45+P45, 2)</f>
        <v/>
      </c>
      <c r="W45" s="23">
        <f>ROUND(P45-U45, 2)</f>
        <v/>
      </c>
      <c r="X45" s="23">
        <f>ROUND(V45+W45, 2)</f>
        <v/>
      </c>
      <c r="Y45" s="23">
        <f>ROUND((N45*G45+P45+M45)-K45, 2)</f>
        <v/>
      </c>
      <c r="Z45" s="24">
        <f>IF(K45&gt;0, Y45/K45, 0)</f>
        <v/>
      </c>
    </row>
    <row r="46">
      <c r="A46" s="26" t="inlineStr">
        <is>
          <t>0583-0004</t>
        </is>
      </c>
      <c r="B46" s="27" t="inlineStr">
        <is>
          <t>Soluciones Profesionales para la Industria Alimentaria</t>
        </is>
      </c>
      <c r="C46" s="27" t="inlineStr">
        <is>
          <t>BIGHORN CREW CAB MT</t>
        </is>
      </c>
      <c r="D46" s="26" t="inlineStr">
        <is>
          <t>ACTIVO</t>
        </is>
      </c>
      <c r="E46" s="26" t="inlineStr">
        <is>
          <t>2024-12-30</t>
        </is>
      </c>
      <c r="F46" s="26" t="inlineStr">
        <is>
          <t>2026-12-30</t>
        </is>
      </c>
      <c r="G46" s="28" t="n">
        <v>24</v>
      </c>
      <c r="H46" s="29" t="n">
        <v>341293.1</v>
      </c>
      <c r="I46" s="30" t="n">
        <v>0.4</v>
      </c>
      <c r="J46" s="29">
        <f>ROUND(H46*I46, 2)</f>
        <v/>
      </c>
      <c r="K46" s="29">
        <f>ROUND(H46-J46, 2)</f>
        <v/>
      </c>
      <c r="L46" s="30" t="n">
        <v>0.015</v>
      </c>
      <c r="M46" s="29">
        <f>ROUND(H46*L46, 2)</f>
        <v/>
      </c>
      <c r="N46" s="29" t="n">
        <v>11389.94</v>
      </c>
      <c r="O46" s="30" t="n">
        <v>0.1</v>
      </c>
      <c r="P46" s="29">
        <f>ROUND(H46*O46, 2)</f>
        <v/>
      </c>
      <c r="Q46" s="31" t="n">
        <v>0.03202252</v>
      </c>
      <c r="R46" s="31">
        <f>IFERROR(RATE(G46, -N46, K46, -P46), Q46)</f>
        <v/>
      </c>
      <c r="S46" s="31">
        <f>Q46*12</f>
        <v/>
      </c>
      <c r="T46" s="31">
        <f>((1+Q46)^12)-1</f>
        <v/>
      </c>
      <c r="U46" s="29">
        <f>IF(Q46&gt;0, ROUND(P46/((1+Q46)^G46), 2), P46)</f>
        <v/>
      </c>
      <c r="V46" s="29">
        <f>ROUND((N46*G46)-K46+P46, 2)</f>
        <v/>
      </c>
      <c r="W46" s="29">
        <f>ROUND(P46-U46, 2)</f>
        <v/>
      </c>
      <c r="X46" s="29">
        <f>ROUND(V46+W46, 2)</f>
        <v/>
      </c>
      <c r="Y46" s="29">
        <f>ROUND((N46*G46+P46+M46)-K46, 2)</f>
        <v/>
      </c>
      <c r="Z46" s="30">
        <f>IF(K46&gt;0, Y46/K46, 0)</f>
        <v/>
      </c>
    </row>
    <row r="47">
      <c r="A47" s="20" t="inlineStr">
        <is>
          <t>0583-0005</t>
        </is>
      </c>
      <c r="B47" s="21" t="inlineStr">
        <is>
          <t>Soluciones Profesionales para la Industria Alimentaria</t>
        </is>
      </c>
      <c r="C47" s="21" t="inlineStr">
        <is>
          <t>3008</t>
        </is>
      </c>
      <c r="D47" s="20" t="inlineStr">
        <is>
          <t>ACTIVO</t>
        </is>
      </c>
      <c r="E47" s="20" t="inlineStr">
        <is>
          <t>2025-01-09</t>
        </is>
      </c>
      <c r="F47" s="20" t="inlineStr">
        <is>
          <t>2028-01-09</t>
        </is>
      </c>
      <c r="G47" s="22" t="n">
        <v>36</v>
      </c>
      <c r="H47" s="23" t="n">
        <v>496896.55</v>
      </c>
      <c r="I47" s="24" t="n">
        <v>0.4</v>
      </c>
      <c r="J47" s="23">
        <f>ROUND(H47*I47, 2)</f>
        <v/>
      </c>
      <c r="K47" s="23">
        <f>ROUND(H47-J47, 2)</f>
        <v/>
      </c>
      <c r="L47" s="24" t="n">
        <v>0.015</v>
      </c>
      <c r="M47" s="23">
        <f>ROUND(H47*L47, 2)</f>
        <v/>
      </c>
      <c r="N47" s="23" t="n">
        <v>13146.52</v>
      </c>
      <c r="O47" s="24" t="n">
        <v>0.1</v>
      </c>
      <c r="P47" s="23">
        <f>ROUND(H47*O47, 2)</f>
        <v/>
      </c>
      <c r="Q47" s="25" t="n">
        <v>0.03125271</v>
      </c>
      <c r="R47" s="25">
        <f>IFERROR(RATE(G47, -N47, K47, -P47), Q47)</f>
        <v/>
      </c>
      <c r="S47" s="25">
        <f>Q47*12</f>
        <v/>
      </c>
      <c r="T47" s="25">
        <f>((1+Q47)^12)-1</f>
        <v/>
      </c>
      <c r="U47" s="23">
        <f>IF(Q47&gt;0, ROUND(P47/((1+Q47)^G47), 2), P47)</f>
        <v/>
      </c>
      <c r="V47" s="23">
        <f>ROUND((N47*G47)-K47+P47, 2)</f>
        <v/>
      </c>
      <c r="W47" s="23">
        <f>ROUND(P47-U47, 2)</f>
        <v/>
      </c>
      <c r="X47" s="23">
        <f>ROUND(V47+W47, 2)</f>
        <v/>
      </c>
      <c r="Y47" s="23">
        <f>ROUND((N47*G47+P47+M47)-K47, 2)</f>
        <v/>
      </c>
      <c r="Z47" s="24">
        <f>IF(K47&gt;0, Y47/K47, 0)</f>
        <v/>
      </c>
    </row>
    <row r="48">
      <c r="A48" s="26" t="inlineStr">
        <is>
          <t>0583-0006</t>
        </is>
      </c>
      <c r="B48" s="27" t="inlineStr">
        <is>
          <t>Soluciones Profesionales para la Industria Alimentaria</t>
        </is>
      </c>
      <c r="C48" s="27" t="inlineStr">
        <is>
          <t>Montana</t>
        </is>
      </c>
      <c r="D48" s="26" t="inlineStr">
        <is>
          <t>ACTIVO</t>
        </is>
      </c>
      <c r="E48" s="26" t="inlineStr">
        <is>
          <t>2025-11-19</t>
        </is>
      </c>
      <c r="F48" s="26" t="inlineStr">
        <is>
          <t>2027-11-19</t>
        </is>
      </c>
      <c r="G48" s="28" t="n">
        <v>24</v>
      </c>
      <c r="H48" s="29" t="n">
        <v>482241.38</v>
      </c>
      <c r="I48" s="30" t="n">
        <v>0.3</v>
      </c>
      <c r="J48" s="29">
        <f>ROUND(H48*I48, 2)</f>
        <v/>
      </c>
      <c r="K48" s="29">
        <f>ROUND(H48-J48, 2)</f>
        <v/>
      </c>
      <c r="L48" s="30" t="n">
        <v>0</v>
      </c>
      <c r="M48" s="29">
        <f>ROUND(H48*L48, 2)</f>
        <v/>
      </c>
      <c r="N48" s="29" t="n">
        <v>16176.47</v>
      </c>
      <c r="O48" s="30" t="n">
        <v>0.2</v>
      </c>
      <c r="P48" s="29">
        <f>ROUND(H48*O48, 2)</f>
        <v/>
      </c>
      <c r="Q48" s="31" t="n">
        <v>0.02615301</v>
      </c>
      <c r="R48" s="31">
        <f>IFERROR(RATE(G48, -N48, K48, -P48), Q48)</f>
        <v/>
      </c>
      <c r="S48" s="31">
        <f>Q48*12</f>
        <v/>
      </c>
      <c r="T48" s="31">
        <f>((1+Q48)^12)-1</f>
        <v/>
      </c>
      <c r="U48" s="29">
        <f>IF(Q48&gt;0, ROUND(P48/((1+Q48)^G48), 2), P48)</f>
        <v/>
      </c>
      <c r="V48" s="29">
        <f>ROUND((N48*G48)-K48+P48, 2)</f>
        <v/>
      </c>
      <c r="W48" s="29">
        <f>ROUND(P48-U48, 2)</f>
        <v/>
      </c>
      <c r="X48" s="29">
        <f>ROUND(V48+W48, 2)</f>
        <v/>
      </c>
      <c r="Y48" s="29">
        <f>ROUND((N48*G48+P48+M48)-K48, 2)</f>
        <v/>
      </c>
      <c r="Z48" s="30">
        <f>IF(K48&gt;0, Y48/K48, 0)</f>
        <v/>
      </c>
    </row>
    <row r="49">
      <c r="A49" s="20" t="inlineStr">
        <is>
          <t>0585-0002</t>
        </is>
      </c>
      <c r="B49" s="21" t="inlineStr">
        <is>
          <t>Julio Alberto Ramos de la Mora</t>
        </is>
      </c>
      <c r="C49" s="21" t="inlineStr">
        <is>
          <t>Ram 1500 Limited</t>
        </is>
      </c>
      <c r="D49" s="20" t="inlineStr">
        <is>
          <t>ACTIVO</t>
        </is>
      </c>
      <c r="E49" s="20" t="inlineStr">
        <is>
          <t>2025-01-08</t>
        </is>
      </c>
      <c r="F49" s="20" t="inlineStr">
        <is>
          <t>2028-01-08</t>
        </is>
      </c>
      <c r="G49" s="22" t="n">
        <v>36</v>
      </c>
      <c r="H49" s="23" t="n">
        <v>1424913.79</v>
      </c>
      <c r="I49" s="24" t="n">
        <v>0.2</v>
      </c>
      <c r="J49" s="23">
        <f>ROUND(H49*I49, 2)</f>
        <v/>
      </c>
      <c r="K49" s="23">
        <f>ROUND(H49-J49, 2)</f>
        <v/>
      </c>
      <c r="L49" s="24" t="n">
        <v>0.77</v>
      </c>
      <c r="M49" s="23">
        <f>ROUND(H49*L49, 2)</f>
        <v/>
      </c>
      <c r="N49" s="23" t="n">
        <v>46756.44</v>
      </c>
      <c r="O49" s="24" t="n">
        <v>0.3</v>
      </c>
      <c r="P49" s="23">
        <f>ROUND(H49*O49, 2)</f>
        <v/>
      </c>
      <c r="Q49" s="25" t="n">
        <v>0.0314166</v>
      </c>
      <c r="R49" s="25">
        <f>IFERROR(RATE(G49, -N49, K49, -P49), Q49)</f>
        <v/>
      </c>
      <c r="S49" s="25">
        <f>Q49*12</f>
        <v/>
      </c>
      <c r="T49" s="25">
        <f>((1+Q49)^12)-1</f>
        <v/>
      </c>
      <c r="U49" s="23">
        <f>IF(Q49&gt;0, ROUND(P49/((1+Q49)^G49), 2), P49)</f>
        <v/>
      </c>
      <c r="V49" s="23">
        <f>ROUND((N49*G49)-K49+P49, 2)</f>
        <v/>
      </c>
      <c r="W49" s="23">
        <f>ROUND(P49-U49, 2)</f>
        <v/>
      </c>
      <c r="X49" s="23">
        <f>ROUND(V49+W49, 2)</f>
        <v/>
      </c>
      <c r="Y49" s="23">
        <f>ROUND((N49*G49+P49+M49)-K49, 2)</f>
        <v/>
      </c>
      <c r="Z49" s="24">
        <f>IF(K49&gt;0, Y49/K49, 0)</f>
        <v/>
      </c>
    </row>
    <row r="50">
      <c r="A50" s="26" t="inlineStr">
        <is>
          <t>0585-0003</t>
        </is>
      </c>
      <c r="B50" s="27" t="inlineStr">
        <is>
          <t>Julio Alberto Ramos de la Mora</t>
        </is>
      </c>
      <c r="C50" s="27" t="inlineStr">
        <is>
          <t>Wrangler Rubicon</t>
        </is>
      </c>
      <c r="D50" s="26" t="inlineStr">
        <is>
          <t>ACTIVO</t>
        </is>
      </c>
      <c r="E50" s="26" t="inlineStr">
        <is>
          <t>2025-01-17</t>
        </is>
      </c>
      <c r="F50" s="26" t="inlineStr">
        <is>
          <t>2029-01-17</t>
        </is>
      </c>
      <c r="G50" s="28" t="n">
        <v>48</v>
      </c>
      <c r="H50" s="29" t="n">
        <v>1267586.21</v>
      </c>
      <c r="I50" s="30" t="n">
        <v>0.2</v>
      </c>
      <c r="J50" s="29">
        <f>ROUND(H50*I50, 2)</f>
        <v/>
      </c>
      <c r="K50" s="29">
        <f>ROUND(H50-J50, 2)</f>
        <v/>
      </c>
      <c r="L50" s="30" t="n">
        <v>0.015</v>
      </c>
      <c r="M50" s="29">
        <f>ROUND(H50*L50, 2)</f>
        <v/>
      </c>
      <c r="N50" s="29" t="n">
        <v>37949.41</v>
      </c>
      <c r="O50" s="30" t="n">
        <v>0.3</v>
      </c>
      <c r="P50" s="29">
        <f>ROUND(H50*O50, 2)</f>
        <v/>
      </c>
      <c r="Q50" s="31" t="n">
        <v>0.03172101</v>
      </c>
      <c r="R50" s="31">
        <f>IFERROR(RATE(G50, -N50, K50, -P50), Q50)</f>
        <v/>
      </c>
      <c r="S50" s="31">
        <f>Q50*12</f>
        <v/>
      </c>
      <c r="T50" s="31">
        <f>((1+Q50)^12)-1</f>
        <v/>
      </c>
      <c r="U50" s="29">
        <f>IF(Q50&gt;0, ROUND(P50/((1+Q50)^G50), 2), P50)</f>
        <v/>
      </c>
      <c r="V50" s="29">
        <f>ROUND((N50*G50)-K50+P50, 2)</f>
        <v/>
      </c>
      <c r="W50" s="29">
        <f>ROUND(P50-U50, 2)</f>
        <v/>
      </c>
      <c r="X50" s="29">
        <f>ROUND(V50+W50, 2)</f>
        <v/>
      </c>
      <c r="Y50" s="29">
        <f>ROUND((N50*G50+P50+M50)-K50, 2)</f>
        <v/>
      </c>
      <c r="Z50" s="30">
        <f>IF(K50&gt;0, Y50/K50, 0)</f>
        <v/>
      </c>
    </row>
    <row r="51">
      <c r="A51" s="20" t="inlineStr">
        <is>
          <t>0585-0004</t>
        </is>
      </c>
      <c r="B51" s="21" t="inlineStr">
        <is>
          <t>Julio Alberto Ramos de la Mora</t>
        </is>
      </c>
      <c r="C51" s="21" t="inlineStr">
        <is>
          <t>Hrv Sport</t>
        </is>
      </c>
      <c r="D51" s="20" t="inlineStr">
        <is>
          <t>ACTIVO</t>
        </is>
      </c>
      <c r="E51" s="20" t="inlineStr">
        <is>
          <t>2025-05-28</t>
        </is>
      </c>
      <c r="F51" s="20" t="inlineStr">
        <is>
          <t>2028-05-28</t>
        </is>
      </c>
      <c r="G51" s="22" t="n">
        <v>36</v>
      </c>
      <c r="H51" s="23" t="n">
        <v>543017.24</v>
      </c>
      <c r="I51" s="24" t="n">
        <v>0.4</v>
      </c>
      <c r="J51" s="23">
        <f>ROUND(H51*I51, 2)</f>
        <v/>
      </c>
      <c r="K51" s="23">
        <f>ROUND(H51-J51, 2)</f>
        <v/>
      </c>
      <c r="L51" s="24" t="n">
        <v>0.02</v>
      </c>
      <c r="M51" s="23">
        <f>ROUND(H51*L51, 2)</f>
        <v/>
      </c>
      <c r="N51" s="23" t="n">
        <v>13266.33</v>
      </c>
      <c r="O51" s="24" t="n">
        <v>0.1</v>
      </c>
      <c r="P51" s="23">
        <f>ROUND(H51*O51, 2)</f>
        <v/>
      </c>
      <c r="Q51" s="25" t="n">
        <v>0.02663641</v>
      </c>
      <c r="R51" s="25">
        <f>IFERROR(RATE(G51, -N51, K51, -P51), Q51)</f>
        <v/>
      </c>
      <c r="S51" s="25">
        <f>Q51*12</f>
        <v/>
      </c>
      <c r="T51" s="25">
        <f>((1+Q51)^12)-1</f>
        <v/>
      </c>
      <c r="U51" s="23">
        <f>IF(Q51&gt;0, ROUND(P51/((1+Q51)^G51), 2), P51)</f>
        <v/>
      </c>
      <c r="V51" s="23">
        <f>ROUND((N51*G51)-K51+P51, 2)</f>
        <v/>
      </c>
      <c r="W51" s="23">
        <f>ROUND(P51-U51, 2)</f>
        <v/>
      </c>
      <c r="X51" s="23">
        <f>ROUND(V51+W51, 2)</f>
        <v/>
      </c>
      <c r="Y51" s="23">
        <f>ROUND((N51*G51+P51+M51)-K51, 2)</f>
        <v/>
      </c>
      <c r="Z51" s="24">
        <f>IF(K51&gt;0, Y51/K51, 0)</f>
        <v/>
      </c>
    </row>
    <row r="52">
      <c r="A52" s="26" t="inlineStr">
        <is>
          <t>0585-0005</t>
        </is>
      </c>
      <c r="B52" s="27" t="inlineStr">
        <is>
          <t>Julio Alberto Ramos de la Mora</t>
        </is>
      </c>
      <c r="C52" s="27" t="inlineStr">
        <is>
          <t>M9 GL HEV</t>
        </is>
      </c>
      <c r="D52" s="26" t="inlineStr">
        <is>
          <t>ACTIVO</t>
        </is>
      </c>
      <c r="E52" s="26" t="inlineStr">
        <is>
          <t>2025-12-12</t>
        </is>
      </c>
      <c r="F52" s="26" t="inlineStr">
        <is>
          <t>2027-12-12</t>
        </is>
      </c>
      <c r="G52" s="28" t="n">
        <v>24</v>
      </c>
      <c r="H52" s="29" t="n">
        <v>844655.17</v>
      </c>
      <c r="I52" s="30" t="n">
        <v>0.4</v>
      </c>
      <c r="J52" s="29">
        <f>ROUND(H52*I52, 2)</f>
        <v/>
      </c>
      <c r="K52" s="29">
        <f>ROUND(H52-J52, 2)</f>
        <v/>
      </c>
      <c r="L52" s="30" t="n">
        <v>0.02</v>
      </c>
      <c r="M52" s="29">
        <f>ROUND(H52*L52, 2)</f>
        <v/>
      </c>
      <c r="N52" s="29" t="n">
        <v>26075.18</v>
      </c>
      <c r="O52" s="30" t="n">
        <v>0.1</v>
      </c>
      <c r="P52" s="29">
        <f>ROUND(H52*O52, 2)</f>
        <v/>
      </c>
      <c r="Q52" s="31" t="n">
        <v>0.02601123</v>
      </c>
      <c r="R52" s="31">
        <f>IFERROR(RATE(G52, -N52, K52, -P52), Q52)</f>
        <v/>
      </c>
      <c r="S52" s="31">
        <f>Q52*12</f>
        <v/>
      </c>
      <c r="T52" s="31">
        <f>((1+Q52)^12)-1</f>
        <v/>
      </c>
      <c r="U52" s="29">
        <f>IF(Q52&gt;0, ROUND(P52/((1+Q52)^G52), 2), P52)</f>
        <v/>
      </c>
      <c r="V52" s="29">
        <f>ROUND((N52*G52)-K52+P52, 2)</f>
        <v/>
      </c>
      <c r="W52" s="29">
        <f>ROUND(P52-U52, 2)</f>
        <v/>
      </c>
      <c r="X52" s="29">
        <f>ROUND(V52+W52, 2)</f>
        <v/>
      </c>
      <c r="Y52" s="29">
        <f>ROUND((N52*G52+P52+M52)-K52, 2)</f>
        <v/>
      </c>
      <c r="Z52" s="30">
        <f>IF(K52&gt;0, Y52/K52, 0)</f>
        <v/>
      </c>
    </row>
    <row r="53">
      <c r="A53" s="20" t="inlineStr">
        <is>
          <t>0587-0002</t>
        </is>
      </c>
      <c r="B53" s="21" t="inlineStr">
        <is>
          <t>Allioth, S.C.</t>
        </is>
      </c>
      <c r="C53" s="21" t="inlineStr">
        <is>
          <t>Grand Cherokee L Summit</t>
        </is>
      </c>
      <c r="D53" s="20" t="inlineStr">
        <is>
          <t>ACTIVO</t>
        </is>
      </c>
      <c r="E53" s="20" t="inlineStr">
        <is>
          <t>2026-02-09</t>
        </is>
      </c>
      <c r="F53" s="20" t="inlineStr">
        <is>
          <t>2027-02-09</t>
        </is>
      </c>
      <c r="G53" s="22" t="n">
        <v>12</v>
      </c>
      <c r="H53" s="23" t="n">
        <v>548202.59</v>
      </c>
      <c r="I53" s="24" t="n">
        <v>0</v>
      </c>
      <c r="J53" s="23">
        <f>ROUND(H53*I53, 2)</f>
        <v/>
      </c>
      <c r="K53" s="23">
        <f>ROUND(H53-J53, 2)</f>
        <v/>
      </c>
      <c r="L53" s="24" t="n">
        <v>0</v>
      </c>
      <c r="M53" s="23">
        <f>ROUND(H53*L53, 2)</f>
        <v/>
      </c>
      <c r="N53" s="23" t="n">
        <v>37131.09</v>
      </c>
      <c r="O53" s="24" t="n">
        <v>0.4</v>
      </c>
      <c r="P53" s="23">
        <f>ROUND(H53*O53, 2)</f>
        <v/>
      </c>
      <c r="Q53" s="25" t="n">
        <v>0.02399169</v>
      </c>
      <c r="R53" s="25">
        <f>IFERROR(RATE(G53, -N53, K53, -P53), Q53)</f>
        <v/>
      </c>
      <c r="S53" s="25">
        <f>Q53*12</f>
        <v/>
      </c>
      <c r="T53" s="25">
        <f>((1+Q53)^12)-1</f>
        <v/>
      </c>
      <c r="U53" s="23">
        <f>IF(Q53&gt;0, ROUND(P53/((1+Q53)^G53), 2), P53)</f>
        <v/>
      </c>
      <c r="V53" s="23">
        <f>ROUND((N53*G53)-K53+P53, 2)</f>
        <v/>
      </c>
      <c r="W53" s="23">
        <f>ROUND(P53-U53, 2)</f>
        <v/>
      </c>
      <c r="X53" s="23">
        <f>ROUND(V53+W53, 2)</f>
        <v/>
      </c>
      <c r="Y53" s="23">
        <f>ROUND((N53*G53+P53+M53)-K53, 2)</f>
        <v/>
      </c>
      <c r="Z53" s="24">
        <f>IF(K53&gt;0, Y53/K53, 0)</f>
        <v/>
      </c>
    </row>
    <row r="54">
      <c r="A54" s="26" t="inlineStr">
        <is>
          <t>0591-0002</t>
        </is>
      </c>
      <c r="B54" s="27" t="inlineStr">
        <is>
          <t>Cervantech Servicios Tecnologicos Sc</t>
        </is>
      </c>
      <c r="C54" s="27" t="inlineStr">
        <is>
          <t>WRANGLER RUBICON</t>
        </is>
      </c>
      <c r="D54" s="26" t="inlineStr">
        <is>
          <t>ACTIVO</t>
        </is>
      </c>
      <c r="E54" s="26" t="inlineStr">
        <is>
          <t>2023-10-27</t>
        </is>
      </c>
      <c r="F54" s="26" t="inlineStr">
        <is>
          <t>2026-10-27</t>
        </is>
      </c>
      <c r="G54" s="28" t="n">
        <v>36</v>
      </c>
      <c r="H54" s="29" t="n">
        <v>1105086.21</v>
      </c>
      <c r="I54" s="30" t="n">
        <v>0.2</v>
      </c>
      <c r="J54" s="29">
        <f>ROUND(H54*I54, 2)</f>
        <v/>
      </c>
      <c r="K54" s="29">
        <f>ROUND(H54-J54, 2)</f>
        <v/>
      </c>
      <c r="L54" s="30" t="n">
        <v>0.027</v>
      </c>
      <c r="M54" s="29">
        <f>ROUND(H54*L54, 2)</f>
        <v/>
      </c>
      <c r="N54" s="29" t="n">
        <v>35164.06</v>
      </c>
      <c r="O54" s="30" t="n">
        <v>0.35</v>
      </c>
      <c r="P54" s="29">
        <f>ROUND(H54*O54, 2)</f>
        <v/>
      </c>
      <c r="Q54" s="31" t="n">
        <v>0.03107544</v>
      </c>
      <c r="R54" s="31">
        <f>IFERROR(RATE(G54, -N54, K54, -P54), Q54)</f>
        <v/>
      </c>
      <c r="S54" s="31">
        <f>Q54*12</f>
        <v/>
      </c>
      <c r="T54" s="31">
        <f>((1+Q54)^12)-1</f>
        <v/>
      </c>
      <c r="U54" s="29">
        <f>IF(Q54&gt;0, ROUND(P54/((1+Q54)^G54), 2), P54)</f>
        <v/>
      </c>
      <c r="V54" s="29">
        <f>ROUND((N54*G54)-K54+P54, 2)</f>
        <v/>
      </c>
      <c r="W54" s="29">
        <f>ROUND(P54-U54, 2)</f>
        <v/>
      </c>
      <c r="X54" s="29">
        <f>ROUND(V54+W54, 2)</f>
        <v/>
      </c>
      <c r="Y54" s="29">
        <f>ROUND((N54*G54+P54+M54)-K54, 2)</f>
        <v/>
      </c>
      <c r="Z54" s="30">
        <f>IF(K54&gt;0, Y54/K54, 0)</f>
        <v/>
      </c>
    </row>
    <row r="55">
      <c r="A55" s="20" t="inlineStr">
        <is>
          <t>0593-0002</t>
        </is>
      </c>
      <c r="B55" s="21" t="inlineStr">
        <is>
          <t>Metales y Minerales Moa Sa de Cv</t>
        </is>
      </c>
      <c r="C55" s="21" t="inlineStr">
        <is>
          <t>Ram 700 SLT Crew Cab</t>
        </is>
      </c>
      <c r="D55" s="20" t="inlineStr">
        <is>
          <t>ACTIVO</t>
        </is>
      </c>
      <c r="E55" s="20" t="inlineStr">
        <is>
          <t>2023-07-04</t>
        </is>
      </c>
      <c r="F55" s="20" t="inlineStr">
        <is>
          <t>2027-07-04</t>
        </is>
      </c>
      <c r="G55" s="22" t="n">
        <v>48</v>
      </c>
      <c r="H55" s="23" t="n">
        <v>284396.55</v>
      </c>
      <c r="I55" s="24" t="n">
        <v>0</v>
      </c>
      <c r="J55" s="23">
        <f>ROUND(H55*I55, 2)</f>
        <v/>
      </c>
      <c r="K55" s="23">
        <f>ROUND(H55-J55, 2)</f>
        <v/>
      </c>
      <c r="L55" s="24" t="n">
        <v>0.027</v>
      </c>
      <c r="M55" s="23">
        <f>ROUND(H55*L55, 2)</f>
        <v/>
      </c>
      <c r="N55" s="23" t="n">
        <v>11076.61</v>
      </c>
      <c r="O55" s="24" t="n">
        <v>0.2</v>
      </c>
      <c r="P55" s="23">
        <f>ROUND(H55*O55, 2)</f>
        <v/>
      </c>
      <c r="Q55" s="25" t="n">
        <v>0.0316306</v>
      </c>
      <c r="R55" s="25">
        <f>IFERROR(RATE(G55, -N55, K55, -P55), Q55)</f>
        <v/>
      </c>
      <c r="S55" s="25">
        <f>Q55*12</f>
        <v/>
      </c>
      <c r="T55" s="25">
        <f>((1+Q55)^12)-1</f>
        <v/>
      </c>
      <c r="U55" s="23">
        <f>IF(Q55&gt;0, ROUND(P55/((1+Q55)^G55), 2), P55)</f>
        <v/>
      </c>
      <c r="V55" s="23">
        <f>ROUND((N55*G55)-K55+P55, 2)</f>
        <v/>
      </c>
      <c r="W55" s="23">
        <f>ROUND(P55-U55, 2)</f>
        <v/>
      </c>
      <c r="X55" s="23">
        <f>ROUND(V55+W55, 2)</f>
        <v/>
      </c>
      <c r="Y55" s="23">
        <f>ROUND((N55*G55+P55+M55)-K55, 2)</f>
        <v/>
      </c>
      <c r="Z55" s="24">
        <f>IF(K55&gt;0, Y55/K55, 0)</f>
        <v/>
      </c>
    </row>
    <row r="56">
      <c r="A56" s="26" t="inlineStr">
        <is>
          <t>0594-0001</t>
        </is>
      </c>
      <c r="B56" s="27" t="inlineStr">
        <is>
          <t>Biotecnologia Estetica Sa de Cv</t>
        </is>
      </c>
      <c r="C56" s="27" t="inlineStr">
        <is>
          <t>Mobi Like</t>
        </is>
      </c>
      <c r="D56" s="26" t="inlineStr">
        <is>
          <t>ACTIVO</t>
        </is>
      </c>
      <c r="E56" s="26" t="inlineStr">
        <is>
          <t>2023-02-23</t>
        </is>
      </c>
      <c r="F56" s="26" t="inlineStr">
        <is>
          <t>2027-02-23</t>
        </is>
      </c>
      <c r="G56" s="28" t="n">
        <v>48</v>
      </c>
      <c r="H56" s="29" t="n">
        <v>208965.52</v>
      </c>
      <c r="I56" s="30" t="n">
        <v>0.1</v>
      </c>
      <c r="J56" s="29">
        <f>ROUND(H56*I56, 2)</f>
        <v/>
      </c>
      <c r="K56" s="29">
        <f>ROUND(H56-J56, 2)</f>
        <v/>
      </c>
      <c r="L56" s="30" t="n">
        <v>0.027</v>
      </c>
      <c r="M56" s="29">
        <f>ROUND(H56*L56, 2)</f>
        <v/>
      </c>
      <c r="N56" s="29" t="n">
        <v>7346.7</v>
      </c>
      <c r="O56" s="30" t="n">
        <v>0.2</v>
      </c>
      <c r="P56" s="29">
        <f>ROUND(H56*O56, 2)</f>
        <v/>
      </c>
      <c r="Q56" s="31" t="n">
        <v>0.03203017</v>
      </c>
      <c r="R56" s="31">
        <f>IFERROR(RATE(G56, -N56, K56, -P56), Q56)</f>
        <v/>
      </c>
      <c r="S56" s="31">
        <f>Q56*12</f>
        <v/>
      </c>
      <c r="T56" s="31">
        <f>((1+Q56)^12)-1</f>
        <v/>
      </c>
      <c r="U56" s="29">
        <f>IF(Q56&gt;0, ROUND(P56/((1+Q56)^G56), 2), P56)</f>
        <v/>
      </c>
      <c r="V56" s="29">
        <f>ROUND((N56*G56)-K56+P56, 2)</f>
        <v/>
      </c>
      <c r="W56" s="29">
        <f>ROUND(P56-U56, 2)</f>
        <v/>
      </c>
      <c r="X56" s="29">
        <f>ROUND(V56+W56, 2)</f>
        <v/>
      </c>
      <c r="Y56" s="29">
        <f>ROUND((N56*G56+P56+M56)-K56, 2)</f>
        <v/>
      </c>
      <c r="Z56" s="30">
        <f>IF(K56&gt;0, Y56/K56, 0)</f>
        <v/>
      </c>
    </row>
    <row r="57">
      <c r="A57" s="20" t="inlineStr">
        <is>
          <t>0596-0004</t>
        </is>
      </c>
      <c r="B57" s="21" t="inlineStr">
        <is>
          <t>Gruas Industriales Lb</t>
        </is>
      </c>
      <c r="C57" s="21" t="inlineStr">
        <is>
          <t>Ram 1500 TRX</t>
        </is>
      </c>
      <c r="D57" s="20" t="inlineStr">
        <is>
          <t>ACTIVO</t>
        </is>
      </c>
      <c r="E57" s="20" t="inlineStr">
        <is>
          <t>2024-03-22</t>
        </is>
      </c>
      <c r="F57" s="20" t="inlineStr">
        <is>
          <t>2028-03-22</t>
        </is>
      </c>
      <c r="G57" s="22" t="n">
        <v>48</v>
      </c>
      <c r="H57" s="23" t="n">
        <v>2258534.48</v>
      </c>
      <c r="I57" s="24" t="n">
        <v>0.4</v>
      </c>
      <c r="J57" s="23">
        <f>ROUND(H57*I57, 2)</f>
        <v/>
      </c>
      <c r="K57" s="23">
        <f>ROUND(H57-J57, 2)</f>
        <v/>
      </c>
      <c r="L57" s="24" t="n">
        <v>0.027</v>
      </c>
      <c r="M57" s="23">
        <f>ROUND(H57*L57, 2)</f>
        <v/>
      </c>
      <c r="N57" s="23" t="n">
        <v>53997.12</v>
      </c>
      <c r="O57" s="24" t="n">
        <v>0.1</v>
      </c>
      <c r="P57" s="23">
        <f>ROUND(H57*O57, 2)</f>
        <v/>
      </c>
      <c r="Q57" s="25" t="n">
        <v>0.03238669</v>
      </c>
      <c r="R57" s="25">
        <f>IFERROR(RATE(G57, -N57, K57, -P57), Q57)</f>
        <v/>
      </c>
      <c r="S57" s="25">
        <f>Q57*12</f>
        <v/>
      </c>
      <c r="T57" s="25">
        <f>((1+Q57)^12)-1</f>
        <v/>
      </c>
      <c r="U57" s="23">
        <f>IF(Q57&gt;0, ROUND(P57/((1+Q57)^G57), 2), P57)</f>
        <v/>
      </c>
      <c r="V57" s="23">
        <f>ROUND((N57*G57)-K57+P57, 2)</f>
        <v/>
      </c>
      <c r="W57" s="23">
        <f>ROUND(P57-U57, 2)</f>
        <v/>
      </c>
      <c r="X57" s="23">
        <f>ROUND(V57+W57, 2)</f>
        <v/>
      </c>
      <c r="Y57" s="23">
        <f>ROUND((N57*G57+P57+M57)-K57, 2)</f>
        <v/>
      </c>
      <c r="Z57" s="24">
        <f>IF(K57&gt;0, Y57/K57, 0)</f>
        <v/>
      </c>
    </row>
    <row r="58">
      <c r="A58" s="26" t="inlineStr">
        <is>
          <t>0596-0005</t>
        </is>
      </c>
      <c r="B58" s="27" t="inlineStr">
        <is>
          <t>Gruas Industriales Lb Sa de Cv</t>
        </is>
      </c>
      <c r="C58" s="27" t="inlineStr">
        <is>
          <t>L200 Glx Gasolina</t>
        </is>
      </c>
      <c r="D58" s="26" t="inlineStr">
        <is>
          <t>ACTIVO</t>
        </is>
      </c>
      <c r="E58" s="26" t="inlineStr">
        <is>
          <t>2024-07-19</t>
        </is>
      </c>
      <c r="F58" s="26" t="inlineStr">
        <is>
          <t>2028-07-19</t>
        </is>
      </c>
      <c r="G58" s="28" t="n">
        <v>48</v>
      </c>
      <c r="H58" s="29" t="n">
        <v>415817.24</v>
      </c>
      <c r="I58" s="30" t="n">
        <v>0.1</v>
      </c>
      <c r="J58" s="29">
        <f>ROUND(H58*I58, 2)</f>
        <v/>
      </c>
      <c r="K58" s="29">
        <f>ROUND(H58-J58, 2)</f>
        <v/>
      </c>
      <c r="L58" s="30" t="n">
        <v>0</v>
      </c>
      <c r="M58" s="29">
        <f>ROUND(H58*L58, 2)</f>
        <v/>
      </c>
      <c r="N58" s="29" t="n">
        <v>14503.17</v>
      </c>
      <c r="O58" s="30" t="n">
        <v>0.2</v>
      </c>
      <c r="P58" s="29">
        <f>ROUND(H58*O58, 2)</f>
        <v/>
      </c>
      <c r="Q58" s="31" t="n">
        <v>0.03164264</v>
      </c>
      <c r="R58" s="31">
        <f>IFERROR(RATE(G58, -N58, K58, -P58), Q58)</f>
        <v/>
      </c>
      <c r="S58" s="31">
        <f>Q58*12</f>
        <v/>
      </c>
      <c r="T58" s="31">
        <f>((1+Q58)^12)-1</f>
        <v/>
      </c>
      <c r="U58" s="29">
        <f>IF(Q58&gt;0, ROUND(P58/((1+Q58)^G58), 2), P58)</f>
        <v/>
      </c>
      <c r="V58" s="29">
        <f>ROUND((N58*G58)-K58+P58, 2)</f>
        <v/>
      </c>
      <c r="W58" s="29">
        <f>ROUND(P58-U58, 2)</f>
        <v/>
      </c>
      <c r="X58" s="29">
        <f>ROUND(V58+W58, 2)</f>
        <v/>
      </c>
      <c r="Y58" s="29">
        <f>ROUND((N58*G58+P58+M58)-K58, 2)</f>
        <v/>
      </c>
      <c r="Z58" s="30">
        <f>IF(K58&gt;0, Y58/K58, 0)</f>
        <v/>
      </c>
    </row>
    <row r="59">
      <c r="A59" s="20" t="inlineStr">
        <is>
          <t>0598-0001</t>
        </is>
      </c>
      <c r="B59" s="21" t="inlineStr">
        <is>
          <t>Digitracking Solution Sa de Cv</t>
        </is>
      </c>
      <c r="C59" s="21" t="inlineStr">
        <is>
          <t>Ram 700 Laramie</t>
        </is>
      </c>
      <c r="D59" s="20" t="inlineStr">
        <is>
          <t>ACTIVO</t>
        </is>
      </c>
      <c r="E59" s="20" t="inlineStr">
        <is>
          <t>2023-03-15</t>
        </is>
      </c>
      <c r="F59" s="20" t="inlineStr">
        <is>
          <t>2027-03-15</t>
        </is>
      </c>
      <c r="G59" s="22" t="n">
        <v>48</v>
      </c>
      <c r="H59" s="23" t="n">
        <v>349051.72</v>
      </c>
      <c r="I59" s="24" t="n">
        <v>0.3</v>
      </c>
      <c r="J59" s="23">
        <f>ROUND(H59*I59, 2)</f>
        <v/>
      </c>
      <c r="K59" s="23">
        <f>ROUND(H59-J59, 2)</f>
        <v/>
      </c>
      <c r="L59" s="24" t="n">
        <v>0.027</v>
      </c>
      <c r="M59" s="23">
        <f>ROUND(H59*L59, 2)</f>
        <v/>
      </c>
      <c r="N59" s="23" t="n">
        <v>9488.52</v>
      </c>
      <c r="O59" s="24" t="n">
        <v>0.2</v>
      </c>
      <c r="P59" s="23">
        <f>ROUND(H59*O59, 2)</f>
        <v/>
      </c>
      <c r="Q59" s="25" t="n">
        <v>0.03245132</v>
      </c>
      <c r="R59" s="25">
        <f>IFERROR(RATE(G59, -N59, K59, -P59), Q59)</f>
        <v/>
      </c>
      <c r="S59" s="25">
        <f>Q59*12</f>
        <v/>
      </c>
      <c r="T59" s="25">
        <f>((1+Q59)^12)-1</f>
        <v/>
      </c>
      <c r="U59" s="23">
        <f>IF(Q59&gt;0, ROUND(P59/((1+Q59)^G59), 2), P59)</f>
        <v/>
      </c>
      <c r="V59" s="23">
        <f>ROUND((N59*G59)-K59+P59, 2)</f>
        <v/>
      </c>
      <c r="W59" s="23">
        <f>ROUND(P59-U59, 2)</f>
        <v/>
      </c>
      <c r="X59" s="23">
        <f>ROUND(V59+W59, 2)</f>
        <v/>
      </c>
      <c r="Y59" s="23">
        <f>ROUND((N59*G59+P59+M59)-K59, 2)</f>
        <v/>
      </c>
      <c r="Z59" s="24">
        <f>IF(K59&gt;0, Y59/K59, 0)</f>
        <v/>
      </c>
    </row>
    <row r="60">
      <c r="A60" s="26" t="inlineStr">
        <is>
          <t>0600-0001</t>
        </is>
      </c>
      <c r="B60" s="27" t="inlineStr">
        <is>
          <t>Dulce Marisol Gonzalez Cuevas</t>
        </is>
      </c>
      <c r="C60" s="27" t="inlineStr">
        <is>
          <t>Ram 700 Laramie</t>
        </is>
      </c>
      <c r="D60" s="26" t="inlineStr">
        <is>
          <t>ACTIVO</t>
        </is>
      </c>
      <c r="E60" s="26" t="inlineStr">
        <is>
          <t>2023-03-15</t>
        </is>
      </c>
      <c r="F60" s="26" t="inlineStr">
        <is>
          <t>2027-03-15</t>
        </is>
      </c>
      <c r="G60" s="28" t="n">
        <v>48</v>
      </c>
      <c r="H60" s="29" t="n">
        <v>349051.72</v>
      </c>
      <c r="I60" s="30" t="n">
        <v>0.4</v>
      </c>
      <c r="J60" s="29">
        <f>ROUND(H60*I60, 2)</f>
        <v/>
      </c>
      <c r="K60" s="29">
        <f>ROUND(H60-J60, 2)</f>
        <v/>
      </c>
      <c r="L60" s="30" t="n">
        <v>0.027</v>
      </c>
      <c r="M60" s="29">
        <f>ROUND(H60*L60, 2)</f>
        <v/>
      </c>
      <c r="N60" s="29" t="n">
        <v>8281.360000000001</v>
      </c>
      <c r="O60" s="30" t="n">
        <v>0.1</v>
      </c>
      <c r="P60" s="29">
        <f>ROUND(H60*O60, 2)</f>
        <v/>
      </c>
      <c r="Q60" s="31" t="n">
        <v>0.03199954</v>
      </c>
      <c r="R60" s="31">
        <f>IFERROR(RATE(G60, -N60, K60, -P60), Q60)</f>
        <v/>
      </c>
      <c r="S60" s="31">
        <f>Q60*12</f>
        <v/>
      </c>
      <c r="T60" s="31">
        <f>((1+Q60)^12)-1</f>
        <v/>
      </c>
      <c r="U60" s="29">
        <f>IF(Q60&gt;0, ROUND(P60/((1+Q60)^G60), 2), P60)</f>
        <v/>
      </c>
      <c r="V60" s="29">
        <f>ROUND((N60*G60)-K60+P60, 2)</f>
        <v/>
      </c>
      <c r="W60" s="29">
        <f>ROUND(P60-U60, 2)</f>
        <v/>
      </c>
      <c r="X60" s="29">
        <f>ROUND(V60+W60, 2)</f>
        <v/>
      </c>
      <c r="Y60" s="29">
        <f>ROUND((N60*G60+P60+M60)-K60, 2)</f>
        <v/>
      </c>
      <c r="Z60" s="30">
        <f>IF(K60&gt;0, Y60/K60, 0)</f>
        <v/>
      </c>
    </row>
    <row r="61">
      <c r="A61" s="20" t="inlineStr">
        <is>
          <t>0603-0002</t>
        </is>
      </c>
      <c r="B61" s="21" t="inlineStr">
        <is>
          <t>Mario Alberto Velasco Santana</t>
        </is>
      </c>
      <c r="C61" s="21" t="inlineStr">
        <is>
          <t>Outlander Sport</t>
        </is>
      </c>
      <c r="D61" s="20" t="inlineStr">
        <is>
          <t>ACTIVO</t>
        </is>
      </c>
      <c r="E61" s="20" t="inlineStr">
        <is>
          <t>2024-07-30</t>
        </is>
      </c>
      <c r="F61" s="20" t="inlineStr">
        <is>
          <t>2028-07-30</t>
        </is>
      </c>
      <c r="G61" s="22" t="n">
        <v>48</v>
      </c>
      <c r="H61" s="23" t="n">
        <v>394655.17</v>
      </c>
      <c r="I61" s="24" t="n">
        <v>0.3</v>
      </c>
      <c r="J61" s="23">
        <f>ROUND(H61*I61, 2)</f>
        <v/>
      </c>
      <c r="K61" s="23">
        <f>ROUND(H61-J61, 2)</f>
        <v/>
      </c>
      <c r="L61" s="24" t="n">
        <v>0.027</v>
      </c>
      <c r="M61" s="23">
        <f>ROUND(H61*L61, 2)</f>
        <v/>
      </c>
      <c r="N61" s="23" t="n">
        <v>10553.33</v>
      </c>
      <c r="O61" s="24" t="n">
        <v>0.2</v>
      </c>
      <c r="P61" s="23">
        <f>ROUND(H61*O61, 2)</f>
        <v/>
      </c>
      <c r="Q61" s="25" t="n">
        <v>0.03167614</v>
      </c>
      <c r="R61" s="25">
        <f>IFERROR(RATE(G61, -N61, K61, -P61), Q61)</f>
        <v/>
      </c>
      <c r="S61" s="25">
        <f>Q61*12</f>
        <v/>
      </c>
      <c r="T61" s="25">
        <f>((1+Q61)^12)-1</f>
        <v/>
      </c>
      <c r="U61" s="23">
        <f>IF(Q61&gt;0, ROUND(P61/((1+Q61)^G61), 2), P61)</f>
        <v/>
      </c>
      <c r="V61" s="23">
        <f>ROUND((N61*G61)-K61+P61, 2)</f>
        <v/>
      </c>
      <c r="W61" s="23">
        <f>ROUND(P61-U61, 2)</f>
        <v/>
      </c>
      <c r="X61" s="23">
        <f>ROUND(V61+W61, 2)</f>
        <v/>
      </c>
      <c r="Y61" s="23">
        <f>ROUND((N61*G61+P61+M61)-K61, 2)</f>
        <v/>
      </c>
      <c r="Z61" s="24">
        <f>IF(K61&gt;0, Y61/K61, 0)</f>
        <v/>
      </c>
    </row>
    <row r="62">
      <c r="A62" s="26" t="inlineStr">
        <is>
          <t>0605-0001</t>
        </is>
      </c>
      <c r="B62" s="27" t="inlineStr">
        <is>
          <t>Nato Arquitectos Sa de Cv</t>
        </is>
      </c>
      <c r="C62" s="27" t="inlineStr">
        <is>
          <t>Compass High Altitude</t>
        </is>
      </c>
      <c r="D62" s="26" t="inlineStr">
        <is>
          <t>ACTIVO</t>
        </is>
      </c>
      <c r="E62" s="26" t="inlineStr">
        <is>
          <t>2023-03-23</t>
        </is>
      </c>
      <c r="F62" s="26" t="inlineStr">
        <is>
          <t>2027-03-23</t>
        </is>
      </c>
      <c r="G62" s="28" t="n">
        <v>48</v>
      </c>
      <c r="H62" s="29" t="n">
        <v>680948.28</v>
      </c>
      <c r="I62" s="30" t="n">
        <v>0.3</v>
      </c>
      <c r="J62" s="29">
        <f>ROUND(H62*I62, 2)</f>
        <v/>
      </c>
      <c r="K62" s="29">
        <f>ROUND(H62-J62, 2)</f>
        <v/>
      </c>
      <c r="L62" s="30" t="n">
        <v>0.027</v>
      </c>
      <c r="M62" s="29">
        <f>ROUND(H62*L62, 2)</f>
        <v/>
      </c>
      <c r="N62" s="29" t="n">
        <v>18208.99</v>
      </c>
      <c r="O62" s="30" t="n">
        <v>0.2</v>
      </c>
      <c r="P62" s="29">
        <f>ROUND(H62*O62, 2)</f>
        <v/>
      </c>
      <c r="Q62" s="31" t="n">
        <v>0.03167615</v>
      </c>
      <c r="R62" s="31">
        <f>IFERROR(RATE(G62, -N62, K62, -P62), Q62)</f>
        <v/>
      </c>
      <c r="S62" s="31">
        <f>Q62*12</f>
        <v/>
      </c>
      <c r="T62" s="31">
        <f>((1+Q62)^12)-1</f>
        <v/>
      </c>
      <c r="U62" s="29">
        <f>IF(Q62&gt;0, ROUND(P62/((1+Q62)^G62), 2), P62)</f>
        <v/>
      </c>
      <c r="V62" s="29">
        <f>ROUND((N62*G62)-K62+P62, 2)</f>
        <v/>
      </c>
      <c r="W62" s="29">
        <f>ROUND(P62-U62, 2)</f>
        <v/>
      </c>
      <c r="X62" s="29">
        <f>ROUND(V62+W62, 2)</f>
        <v/>
      </c>
      <c r="Y62" s="29">
        <f>ROUND((N62*G62+P62+M62)-K62, 2)</f>
        <v/>
      </c>
      <c r="Z62" s="30">
        <f>IF(K62&gt;0, Y62/K62, 0)</f>
        <v/>
      </c>
    </row>
    <row r="63">
      <c r="A63" s="20" t="inlineStr">
        <is>
          <t>0605-0002</t>
        </is>
      </c>
      <c r="B63" s="21" t="inlineStr">
        <is>
          <t>Nato Arquitectos Sa de Cv</t>
        </is>
      </c>
      <c r="C63" s="21" t="inlineStr">
        <is>
          <t>Hilux Diesel</t>
        </is>
      </c>
      <c r="D63" s="20" t="inlineStr">
        <is>
          <t>ACTIVO</t>
        </is>
      </c>
      <c r="E63" s="20" t="inlineStr">
        <is>
          <t>2025-03-28</t>
        </is>
      </c>
      <c r="F63" s="20" t="inlineStr">
        <is>
          <t>2027-03-28</t>
        </is>
      </c>
      <c r="G63" s="22" t="n">
        <v>24</v>
      </c>
      <c r="H63" s="23" t="n">
        <v>427068.97</v>
      </c>
      <c r="I63" s="24" t="n">
        <v>0.1</v>
      </c>
      <c r="J63" s="23">
        <f>ROUND(H63*I63, 2)</f>
        <v/>
      </c>
      <c r="K63" s="23">
        <f>ROUND(H63-J63, 2)</f>
        <v/>
      </c>
      <c r="L63" s="24" t="n">
        <v>0.027</v>
      </c>
      <c r="M63" s="23">
        <f>ROUND(H63*L63, 2)</f>
        <v/>
      </c>
      <c r="N63" s="23" t="n">
        <v>21570.02</v>
      </c>
      <c r="O63" s="24" t="n">
        <v>0.1</v>
      </c>
      <c r="P63" s="23">
        <f>ROUND(H63*O63, 2)</f>
        <v/>
      </c>
      <c r="Q63" s="25" t="n">
        <v>0.03044163</v>
      </c>
      <c r="R63" s="25">
        <f>IFERROR(RATE(G63, -N63, K63, -P63), Q63)</f>
        <v/>
      </c>
      <c r="S63" s="25">
        <f>Q63*12</f>
        <v/>
      </c>
      <c r="T63" s="25">
        <f>((1+Q63)^12)-1</f>
        <v/>
      </c>
      <c r="U63" s="23">
        <f>IF(Q63&gt;0, ROUND(P63/((1+Q63)^G63), 2), P63)</f>
        <v/>
      </c>
      <c r="V63" s="23">
        <f>ROUND((N63*G63)-K63+P63, 2)</f>
        <v/>
      </c>
      <c r="W63" s="23">
        <f>ROUND(P63-U63, 2)</f>
        <v/>
      </c>
      <c r="X63" s="23">
        <f>ROUND(V63+W63, 2)</f>
        <v/>
      </c>
      <c r="Y63" s="23">
        <f>ROUND((N63*G63+P63+M63)-K63, 2)</f>
        <v/>
      </c>
      <c r="Z63" s="24">
        <f>IF(K63&gt;0, Y63/K63, 0)</f>
        <v/>
      </c>
    </row>
    <row r="64">
      <c r="A64" s="26" t="inlineStr">
        <is>
          <t>0605-0003</t>
        </is>
      </c>
      <c r="B64" s="27" t="inlineStr">
        <is>
          <t>Nato Arquitectos Sa de Cv</t>
        </is>
      </c>
      <c r="C64" s="27" t="inlineStr">
        <is>
          <t>Ranger Crew Cab 4X4 XLT</t>
        </is>
      </c>
      <c r="D64" s="26" t="inlineStr">
        <is>
          <t>ACTIVO</t>
        </is>
      </c>
      <c r="E64" s="26" t="inlineStr">
        <is>
          <t>2026-01-08</t>
        </is>
      </c>
      <c r="F64" s="26" t="inlineStr">
        <is>
          <t>2028-01-08</t>
        </is>
      </c>
      <c r="G64" s="28" t="n">
        <v>24</v>
      </c>
      <c r="H64" s="29" t="n">
        <v>724913.79</v>
      </c>
      <c r="I64" s="30" t="n">
        <v>0.3</v>
      </c>
      <c r="J64" s="29">
        <f>ROUND(H64*I64, 2)</f>
        <v/>
      </c>
      <c r="K64" s="29">
        <f>ROUND(H64-J64, 2)</f>
        <v/>
      </c>
      <c r="L64" s="30" t="n">
        <v>0.02</v>
      </c>
      <c r="M64" s="29">
        <f>ROUND(H64*L64, 2)</f>
        <v/>
      </c>
      <c r="N64" s="29" t="n">
        <v>24066.2</v>
      </c>
      <c r="O64" s="30" t="n">
        <v>0.2117</v>
      </c>
      <c r="P64" s="29">
        <f>ROUND(H64*O64, 2)</f>
        <v/>
      </c>
      <c r="Q64" s="31" t="n">
        <v>0.02617146</v>
      </c>
      <c r="R64" s="31">
        <f>IFERROR(RATE(G64, -N64, K64, -P64), Q64)</f>
        <v/>
      </c>
      <c r="S64" s="31">
        <f>Q64*12</f>
        <v/>
      </c>
      <c r="T64" s="31">
        <f>((1+Q64)^12)-1</f>
        <v/>
      </c>
      <c r="U64" s="29">
        <f>IF(Q64&gt;0, ROUND(P64/((1+Q64)^G64), 2), P64)</f>
        <v/>
      </c>
      <c r="V64" s="29">
        <f>ROUND((N64*G64)-K64+P64, 2)</f>
        <v/>
      </c>
      <c r="W64" s="29">
        <f>ROUND(P64-U64, 2)</f>
        <v/>
      </c>
      <c r="X64" s="29">
        <f>ROUND(V64+W64, 2)</f>
        <v/>
      </c>
      <c r="Y64" s="29">
        <f>ROUND((N64*G64+P64+M64)-K64, 2)</f>
        <v/>
      </c>
      <c r="Z64" s="30">
        <f>IF(K64&gt;0, Y64/K64, 0)</f>
        <v/>
      </c>
    </row>
    <row r="65">
      <c r="A65" s="20" t="inlineStr">
        <is>
          <t>0605-0004</t>
        </is>
      </c>
      <c r="B65" s="21" t="inlineStr">
        <is>
          <t>Nato Arquitectos Sa de Cv</t>
        </is>
      </c>
      <c r="C65" s="21" t="inlineStr">
        <is>
          <t>COLORADO DOBLE CABINA PAQ. "C"</t>
        </is>
      </c>
      <c r="D65" s="20" t="inlineStr">
        <is>
          <t>ACTIVO</t>
        </is>
      </c>
      <c r="E65" s="20" t="inlineStr">
        <is>
          <t>2026-01-08</t>
        </is>
      </c>
      <c r="F65" s="20" t="inlineStr">
        <is>
          <t>2028-01-08</t>
        </is>
      </c>
      <c r="G65" s="22" t="n">
        <v>24</v>
      </c>
      <c r="H65" s="23" t="n">
        <v>853362.0699999999</v>
      </c>
      <c r="I65" s="24" t="n">
        <v>0.3</v>
      </c>
      <c r="J65" s="23">
        <f>ROUND(H65*I65, 2)</f>
        <v/>
      </c>
      <c r="K65" s="23">
        <f>ROUND(H65-J65, 2)</f>
        <v/>
      </c>
      <c r="L65" s="24" t="n">
        <v>0.02</v>
      </c>
      <c r="M65" s="23">
        <f>ROUND(H65*L65, 2)</f>
        <v/>
      </c>
      <c r="N65" s="23" t="n">
        <v>28559.43</v>
      </c>
      <c r="O65" s="24" t="n">
        <v>0.2</v>
      </c>
      <c r="P65" s="23">
        <f>ROUND(H65*O65, 2)</f>
        <v/>
      </c>
      <c r="Q65" s="25" t="n">
        <v>0.02600151</v>
      </c>
      <c r="R65" s="25">
        <f>IFERROR(RATE(G65, -N65, K65, -P65), Q65)</f>
        <v/>
      </c>
      <c r="S65" s="25">
        <f>Q65*12</f>
        <v/>
      </c>
      <c r="T65" s="25">
        <f>((1+Q65)^12)-1</f>
        <v/>
      </c>
      <c r="U65" s="23">
        <f>IF(Q65&gt;0, ROUND(P65/((1+Q65)^G65), 2), P65)</f>
        <v/>
      </c>
      <c r="V65" s="23">
        <f>ROUND((N65*G65)-K65+P65, 2)</f>
        <v/>
      </c>
      <c r="W65" s="23">
        <f>ROUND(P65-U65, 2)</f>
        <v/>
      </c>
      <c r="X65" s="23">
        <f>ROUND(V65+W65, 2)</f>
        <v/>
      </c>
      <c r="Y65" s="23">
        <f>ROUND((N65*G65+P65+M65)-K65, 2)</f>
        <v/>
      </c>
      <c r="Z65" s="24">
        <f>IF(K65&gt;0, Y65/K65, 0)</f>
        <v/>
      </c>
    </row>
    <row r="66">
      <c r="A66" s="26" t="inlineStr">
        <is>
          <t>0606-0002</t>
        </is>
      </c>
      <c r="B66" s="27" t="inlineStr">
        <is>
          <t>Mayoreo Automotriz ML S de Rl de CV</t>
        </is>
      </c>
      <c r="C66" s="27" t="inlineStr">
        <is>
          <t>Grand Cherokee 4xE</t>
        </is>
      </c>
      <c r="D66" s="26" t="inlineStr">
        <is>
          <t>ACTIVO</t>
        </is>
      </c>
      <c r="E66" s="26" t="inlineStr">
        <is>
          <t>2026-03-17</t>
        </is>
      </c>
      <c r="F66" s="26" t="inlineStr">
        <is>
          <t>2027-03-17</t>
        </is>
      </c>
      <c r="G66" s="28" t="n">
        <v>12</v>
      </c>
      <c r="H66" s="29" t="n">
        <v>276706.9</v>
      </c>
      <c r="I66" s="30" t="n">
        <v>0</v>
      </c>
      <c r="J66" s="29">
        <f>ROUND(H66*I66, 2)</f>
        <v/>
      </c>
      <c r="K66" s="29">
        <f>ROUND(H66-J66, 2)</f>
        <v/>
      </c>
      <c r="L66" s="30" t="n">
        <v>0</v>
      </c>
      <c r="M66" s="29">
        <f>ROUND(H66*L66, 2)</f>
        <v/>
      </c>
      <c r="N66" s="29" t="n">
        <v>24796.11</v>
      </c>
      <c r="O66" s="30" t="n">
        <v>0.1</v>
      </c>
      <c r="P66" s="29">
        <f>ROUND(H66*O66, 2)</f>
        <v/>
      </c>
      <c r="Q66" s="31" t="n">
        <v>0.02400545</v>
      </c>
      <c r="R66" s="31">
        <f>IFERROR(RATE(G66, -N66, K66, -P66), Q66)</f>
        <v/>
      </c>
      <c r="S66" s="31">
        <f>Q66*12</f>
        <v/>
      </c>
      <c r="T66" s="31">
        <f>((1+Q66)^12)-1</f>
        <v/>
      </c>
      <c r="U66" s="29">
        <f>IF(Q66&gt;0, ROUND(P66/((1+Q66)^G66), 2), P66)</f>
        <v/>
      </c>
      <c r="V66" s="29">
        <f>ROUND((N66*G66)-K66+P66, 2)</f>
        <v/>
      </c>
      <c r="W66" s="29">
        <f>ROUND(P66-U66, 2)</f>
        <v/>
      </c>
      <c r="X66" s="29">
        <f>ROUND(V66+W66, 2)</f>
        <v/>
      </c>
      <c r="Y66" s="29">
        <f>ROUND((N66*G66+P66+M66)-K66, 2)</f>
        <v/>
      </c>
      <c r="Z66" s="30">
        <f>IF(K66&gt;0, Y66/K66, 0)</f>
        <v/>
      </c>
    </row>
    <row r="67">
      <c r="A67" s="20" t="inlineStr">
        <is>
          <t>0607-0004</t>
        </is>
      </c>
      <c r="B67" s="21" t="inlineStr">
        <is>
          <t>Jose Guadalupe Dueñas Lomeli</t>
        </is>
      </c>
      <c r="C67" s="21" t="inlineStr">
        <is>
          <t>Rifter Allure Pack</t>
        </is>
      </c>
      <c r="D67" s="20" t="inlineStr">
        <is>
          <t>ACTIVO</t>
        </is>
      </c>
      <c r="E67" s="20" t="inlineStr">
        <is>
          <t>2025-12-08</t>
        </is>
      </c>
      <c r="F67" s="20" t="inlineStr">
        <is>
          <t>2029-12-08</t>
        </is>
      </c>
      <c r="G67" s="22" t="n">
        <v>48</v>
      </c>
      <c r="H67" s="23" t="n">
        <v>430948.28</v>
      </c>
      <c r="I67" s="24" t="n">
        <v>0.2</v>
      </c>
      <c r="J67" s="23">
        <f>ROUND(H67*I67, 2)</f>
        <v/>
      </c>
      <c r="K67" s="23">
        <f>ROUND(H67-J67, 2)</f>
        <v/>
      </c>
      <c r="L67" s="24" t="n">
        <v>0.02</v>
      </c>
      <c r="M67" s="23">
        <f>ROUND(H67*L67, 2)</f>
        <v/>
      </c>
      <c r="N67" s="23" t="n">
        <v>12431.15</v>
      </c>
      <c r="O67" s="24" t="n">
        <v>0.1</v>
      </c>
      <c r="P67" s="23">
        <f>ROUND(H67*O67, 2)</f>
        <v/>
      </c>
      <c r="Q67" s="25" t="n">
        <v>0.02692539</v>
      </c>
      <c r="R67" s="25">
        <f>IFERROR(RATE(G67, -N67, K67, -P67), Q67)</f>
        <v/>
      </c>
      <c r="S67" s="25">
        <f>Q67*12</f>
        <v/>
      </c>
      <c r="T67" s="25">
        <f>((1+Q67)^12)-1</f>
        <v/>
      </c>
      <c r="U67" s="23">
        <f>IF(Q67&gt;0, ROUND(P67/((1+Q67)^G67), 2), P67)</f>
        <v/>
      </c>
      <c r="V67" s="23">
        <f>ROUND((N67*G67)-K67+P67, 2)</f>
        <v/>
      </c>
      <c r="W67" s="23">
        <f>ROUND(P67-U67, 2)</f>
        <v/>
      </c>
      <c r="X67" s="23">
        <f>ROUND(V67+W67, 2)</f>
        <v/>
      </c>
      <c r="Y67" s="23">
        <f>ROUND((N67*G67+P67+M67)-K67, 2)</f>
        <v/>
      </c>
      <c r="Z67" s="24">
        <f>IF(K67&gt;0, Y67/K67, 0)</f>
        <v/>
      </c>
    </row>
    <row r="68">
      <c r="A68" s="26" t="inlineStr">
        <is>
          <t>0607-0005</t>
        </is>
      </c>
      <c r="B68" s="27" t="inlineStr">
        <is>
          <t>Jose Guadalupe Dueñas Lomeli</t>
        </is>
      </c>
      <c r="C68" s="27" t="inlineStr">
        <is>
          <t>Durango Hellcat SRT</t>
        </is>
      </c>
      <c r="D68" s="26" t="inlineStr">
        <is>
          <t>ACTIVO</t>
        </is>
      </c>
      <c r="E68" s="26" t="inlineStr">
        <is>
          <t>2026-02-09</t>
        </is>
      </c>
      <c r="F68" s="26" t="inlineStr">
        <is>
          <t>2029-02-09</t>
        </is>
      </c>
      <c r="G68" s="28" t="n">
        <v>36</v>
      </c>
      <c r="H68" s="29" t="n">
        <v>1874913.79</v>
      </c>
      <c r="I68" s="30" t="n">
        <v>0.1</v>
      </c>
      <c r="J68" s="29">
        <f>ROUND(H68*I68, 2)</f>
        <v/>
      </c>
      <c r="K68" s="29">
        <f>ROUND(H68-J68, 2)</f>
        <v/>
      </c>
      <c r="L68" s="30" t="n">
        <v>0.02</v>
      </c>
      <c r="M68" s="29">
        <f>ROUND(H68*L68, 2)</f>
        <v/>
      </c>
      <c r="N68" s="29" t="n">
        <v>67080.24000000001</v>
      </c>
      <c r="O68" s="30" t="n">
        <v>0.2</v>
      </c>
      <c r="P68" s="29">
        <f>ROUND(H68*O68, 2)</f>
        <v/>
      </c>
      <c r="Q68" s="31" t="n">
        <v>0.02660115</v>
      </c>
      <c r="R68" s="31">
        <f>IFERROR(RATE(G68, -N68, K68, -P68), Q68)</f>
        <v/>
      </c>
      <c r="S68" s="31">
        <f>Q68*12</f>
        <v/>
      </c>
      <c r="T68" s="31">
        <f>((1+Q68)^12)-1</f>
        <v/>
      </c>
      <c r="U68" s="29">
        <f>IF(Q68&gt;0, ROUND(P68/((1+Q68)^G68), 2), P68)</f>
        <v/>
      </c>
      <c r="V68" s="29">
        <f>ROUND((N68*G68)-K68+P68, 2)</f>
        <v/>
      </c>
      <c r="W68" s="29">
        <f>ROUND(P68-U68, 2)</f>
        <v/>
      </c>
      <c r="X68" s="29">
        <f>ROUND(V68+W68, 2)</f>
        <v/>
      </c>
      <c r="Y68" s="29">
        <f>ROUND((N68*G68+P68+M68)-K68, 2)</f>
        <v/>
      </c>
      <c r="Z68" s="30">
        <f>IF(K68&gt;0, Y68/K68, 0)</f>
        <v/>
      </c>
    </row>
    <row r="69">
      <c r="A69" s="20" t="inlineStr">
        <is>
          <t>0610-0003</t>
        </is>
      </c>
      <c r="B69" s="21" t="inlineStr">
        <is>
          <t>Minelaza</t>
        </is>
      </c>
      <c r="C69" s="21" t="inlineStr">
        <is>
          <t>Song Plus</t>
        </is>
      </c>
      <c r="D69" s="20" t="inlineStr">
        <is>
          <t>ACTIVO</t>
        </is>
      </c>
      <c r="E69" s="20" t="inlineStr">
        <is>
          <t>2026-04-15</t>
        </is>
      </c>
      <c r="F69" s="20" t="inlineStr">
        <is>
          <t>2029-04-15</t>
        </is>
      </c>
      <c r="G69" s="22" t="n">
        <v>36</v>
      </c>
      <c r="H69" s="23" t="n">
        <v>671379.3100000001</v>
      </c>
      <c r="I69" s="24" t="n">
        <v>0.1</v>
      </c>
      <c r="J69" s="23">
        <f>ROUND(H69*I69, 2)</f>
        <v/>
      </c>
      <c r="K69" s="23">
        <f>ROUND(H69-J69, 2)</f>
        <v/>
      </c>
      <c r="L69" s="24" t="n">
        <v>0.02</v>
      </c>
      <c r="M69" s="23">
        <f>ROUND(H69*L69, 2)</f>
        <v/>
      </c>
      <c r="N69" s="23" t="n">
        <v>24055.01</v>
      </c>
      <c r="O69" s="24" t="n">
        <v>0.2</v>
      </c>
      <c r="P69" s="23">
        <f>ROUND(H69*O69, 2)</f>
        <v/>
      </c>
      <c r="Q69" s="25" t="n">
        <v>0.0266784</v>
      </c>
      <c r="R69" s="25">
        <f>IFERROR(RATE(G69, -N69, K69, -P69), Q69)</f>
        <v/>
      </c>
      <c r="S69" s="25">
        <f>Q69*12</f>
        <v/>
      </c>
      <c r="T69" s="25">
        <f>((1+Q69)^12)-1</f>
        <v/>
      </c>
      <c r="U69" s="23">
        <f>IF(Q69&gt;0, ROUND(P69/((1+Q69)^G69), 2), P69)</f>
        <v/>
      </c>
      <c r="V69" s="23">
        <f>ROUND((N69*G69)-K69+P69, 2)</f>
        <v/>
      </c>
      <c r="W69" s="23">
        <f>ROUND(P69-U69, 2)</f>
        <v/>
      </c>
      <c r="X69" s="23">
        <f>ROUND(V69+W69, 2)</f>
        <v/>
      </c>
      <c r="Y69" s="23">
        <f>ROUND((N69*G69+P69+M69)-K69, 2)</f>
        <v/>
      </c>
      <c r="Z69" s="24">
        <f>IF(K69&gt;0, Y69/K69, 0)</f>
        <v/>
      </c>
    </row>
    <row r="70">
      <c r="A70" s="26" t="inlineStr">
        <is>
          <t>0612-0002</t>
        </is>
      </c>
      <c r="B70" s="27" t="inlineStr">
        <is>
          <t>Distribuidora Lopez Moctezuma Sa de Cv</t>
        </is>
      </c>
      <c r="C70" s="27" t="inlineStr">
        <is>
          <t>Ram 700 Tradesman</t>
        </is>
      </c>
      <c r="D70" s="26" t="inlineStr">
        <is>
          <t>ACTIVO</t>
        </is>
      </c>
      <c r="E70" s="26" t="inlineStr">
        <is>
          <t>2025-09-30</t>
        </is>
      </c>
      <c r="F70" s="26" t="inlineStr">
        <is>
          <t>2028-09-30</t>
        </is>
      </c>
      <c r="G70" s="28" t="n">
        <v>36</v>
      </c>
      <c r="H70" s="29" t="n">
        <v>293017.24</v>
      </c>
      <c r="I70" s="30" t="n">
        <v>0.1</v>
      </c>
      <c r="J70" s="29">
        <f>ROUND(H70*I70, 2)</f>
        <v/>
      </c>
      <c r="K70" s="29">
        <f>ROUND(H70-J70, 2)</f>
        <v/>
      </c>
      <c r="L70" s="30" t="n">
        <v>0.02</v>
      </c>
      <c r="M70" s="29">
        <f>ROUND(H70*L70, 2)</f>
        <v/>
      </c>
      <c r="N70" s="29" t="n">
        <v>10498.59</v>
      </c>
      <c r="O70" s="30" t="n">
        <v>0.2</v>
      </c>
      <c r="P70" s="29">
        <f>ROUND(H70*O70, 2)</f>
        <v/>
      </c>
      <c r="Q70" s="31" t="n">
        <v>0.02667842</v>
      </c>
      <c r="R70" s="31">
        <f>IFERROR(RATE(G70, -N70, K70, -P70), Q70)</f>
        <v/>
      </c>
      <c r="S70" s="31">
        <f>Q70*12</f>
        <v/>
      </c>
      <c r="T70" s="31">
        <f>((1+Q70)^12)-1</f>
        <v/>
      </c>
      <c r="U70" s="29">
        <f>IF(Q70&gt;0, ROUND(P70/((1+Q70)^G70), 2), P70)</f>
        <v/>
      </c>
      <c r="V70" s="29">
        <f>ROUND((N70*G70)-K70+P70, 2)</f>
        <v/>
      </c>
      <c r="W70" s="29">
        <f>ROUND(P70-U70, 2)</f>
        <v/>
      </c>
      <c r="X70" s="29">
        <f>ROUND(V70+W70, 2)</f>
        <v/>
      </c>
      <c r="Y70" s="29">
        <f>ROUND((N70*G70+P70+M70)-K70, 2)</f>
        <v/>
      </c>
      <c r="Z70" s="30">
        <f>IF(K70&gt;0, Y70/K70, 0)</f>
        <v/>
      </c>
    </row>
    <row r="71">
      <c r="A71" s="20" t="inlineStr">
        <is>
          <t>0612-0003</t>
        </is>
      </c>
      <c r="B71" s="21" t="inlineStr">
        <is>
          <t>Distribuidora Lopez Moctezuma Sa de Cv</t>
        </is>
      </c>
      <c r="C71" s="21" t="inlineStr">
        <is>
          <t>Mitsubishi Xpander 2026</t>
        </is>
      </c>
      <c r="D71" s="20" t="inlineStr">
        <is>
          <t>ACTIVO</t>
        </is>
      </c>
      <c r="E71" s="20" t="inlineStr">
        <is>
          <t>2026-07-31</t>
        </is>
      </c>
      <c r="F71" s="20" t="inlineStr">
        <is>
          <t>2030-07-31</t>
        </is>
      </c>
      <c r="G71" s="22" t="n">
        <v>48</v>
      </c>
      <c r="H71" s="23" t="n">
        <v>391293.1</v>
      </c>
      <c r="I71" s="24" t="n">
        <v>0.109</v>
      </c>
      <c r="J71" s="23">
        <f>ROUND(H71*I71, 2)</f>
        <v/>
      </c>
      <c r="K71" s="23">
        <f>ROUND(H71-J71, 2)</f>
        <v/>
      </c>
      <c r="L71" s="24" t="n">
        <v>0</v>
      </c>
      <c r="M71" s="23">
        <f>ROUND(H71*L71, 2)</f>
        <v/>
      </c>
      <c r="N71" s="23" t="n">
        <v>12615.84</v>
      </c>
      <c r="O71" s="24" t="n">
        <v>0.1</v>
      </c>
      <c r="P71" s="23">
        <f>ROUND(H71*O71, 2)</f>
        <v/>
      </c>
      <c r="Q71" s="25" t="n">
        <v>0.0269185</v>
      </c>
      <c r="R71" s="25">
        <f>IFERROR(RATE(G71, -N71, K71, -P71), Q71)</f>
        <v/>
      </c>
      <c r="S71" s="25">
        <f>Q71*12</f>
        <v/>
      </c>
      <c r="T71" s="25">
        <f>((1+Q71)^12)-1</f>
        <v/>
      </c>
      <c r="U71" s="23">
        <f>IF(Q71&gt;0, ROUND(P71/((1+Q71)^G71), 2), P71)</f>
        <v/>
      </c>
      <c r="V71" s="23">
        <f>ROUND((N71*G71)-K71+P71, 2)</f>
        <v/>
      </c>
      <c r="W71" s="23">
        <f>ROUND(P71-U71, 2)</f>
        <v/>
      </c>
      <c r="X71" s="23">
        <f>ROUND(V71+W71, 2)</f>
        <v/>
      </c>
      <c r="Y71" s="23">
        <f>ROUND((N71*G71+P71+M71)-K71, 2)</f>
        <v/>
      </c>
      <c r="Z71" s="24">
        <f>IF(K71&gt;0, Y71/K71, 0)</f>
        <v/>
      </c>
    </row>
    <row r="72">
      <c r="A72" s="26" t="inlineStr">
        <is>
          <t>0616-0002</t>
        </is>
      </c>
      <c r="B72" s="27" t="inlineStr">
        <is>
          <t>Commerce and Technology Connection Sas de Cv</t>
        </is>
      </c>
      <c r="C72" s="27" t="inlineStr">
        <is>
          <t>RAM 700 BIG HORN</t>
        </is>
      </c>
      <c r="D72" s="26" t="inlineStr">
        <is>
          <t>ACTIVO</t>
        </is>
      </c>
      <c r="E72" s="26" t="inlineStr">
        <is>
          <t>2024-02-16</t>
        </is>
      </c>
      <c r="F72" s="26" t="inlineStr">
        <is>
          <t>2027-02-16</t>
        </is>
      </c>
      <c r="G72" s="28" t="n">
        <v>36</v>
      </c>
      <c r="H72" s="29" t="n">
        <v>318879.31</v>
      </c>
      <c r="I72" s="30" t="n">
        <v>0.4</v>
      </c>
      <c r="J72" s="29">
        <f>ROUND(H72*I72, 2)</f>
        <v/>
      </c>
      <c r="K72" s="29">
        <f>ROUND(H72-J72, 2)</f>
        <v/>
      </c>
      <c r="L72" s="30" t="n">
        <v>0.027</v>
      </c>
      <c r="M72" s="29">
        <f>ROUND(H72*L72, 2)</f>
        <v/>
      </c>
      <c r="N72" s="29" t="n">
        <v>8434.66</v>
      </c>
      <c r="O72" s="30" t="n">
        <v>0.2</v>
      </c>
      <c r="P72" s="29">
        <f>ROUND(H72*O72, 2)</f>
        <v/>
      </c>
      <c r="Q72" s="31" t="n">
        <v>0.0344559</v>
      </c>
      <c r="R72" s="31">
        <f>IFERROR(RATE(G72, -N72, K72, -P72), Q72)</f>
        <v/>
      </c>
      <c r="S72" s="31">
        <f>Q72*12</f>
        <v/>
      </c>
      <c r="T72" s="31">
        <f>((1+Q72)^12)-1</f>
        <v/>
      </c>
      <c r="U72" s="29">
        <f>IF(Q72&gt;0, ROUND(P72/((1+Q72)^G72), 2), P72)</f>
        <v/>
      </c>
      <c r="V72" s="29">
        <f>ROUND((N72*G72)-K72+P72, 2)</f>
        <v/>
      </c>
      <c r="W72" s="29">
        <f>ROUND(P72-U72, 2)</f>
        <v/>
      </c>
      <c r="X72" s="29">
        <f>ROUND(V72+W72, 2)</f>
        <v/>
      </c>
      <c r="Y72" s="29">
        <f>ROUND((N72*G72+P72+M72)-K72, 2)</f>
        <v/>
      </c>
      <c r="Z72" s="30">
        <f>IF(K72&gt;0, Y72/K72, 0)</f>
        <v/>
      </c>
    </row>
    <row r="73">
      <c r="A73" s="20" t="inlineStr">
        <is>
          <t>0616-0003</t>
        </is>
      </c>
      <c r="B73" s="21" t="inlineStr">
        <is>
          <t>Commerce and Technology Connection Sas de Cv</t>
        </is>
      </c>
      <c r="C73" s="21" t="inlineStr">
        <is>
          <t>FASTBACK</t>
        </is>
      </c>
      <c r="D73" s="20" t="inlineStr">
        <is>
          <t>ACTIVO</t>
        </is>
      </c>
      <c r="E73" s="20" t="inlineStr">
        <is>
          <t>2024-02-23</t>
        </is>
      </c>
      <c r="F73" s="20" t="inlineStr">
        <is>
          <t>2027-02-23</t>
        </is>
      </c>
      <c r="G73" s="22" t="n">
        <v>36</v>
      </c>
      <c r="H73" s="23" t="n">
        <v>421637.93</v>
      </c>
      <c r="I73" s="24" t="n">
        <v>0.3</v>
      </c>
      <c r="J73" s="23">
        <f>ROUND(H73*I73, 2)</f>
        <v/>
      </c>
      <c r="K73" s="23">
        <f>ROUND(H73-J73, 2)</f>
        <v/>
      </c>
      <c r="L73" s="24" t="n">
        <v>0.027</v>
      </c>
      <c r="M73" s="23">
        <f>ROUND(H73*L73, 2)</f>
        <v/>
      </c>
      <c r="N73" s="23" t="n">
        <v>13205.53</v>
      </c>
      <c r="O73" s="24" t="n">
        <v>0.2</v>
      </c>
      <c r="P73" s="23">
        <f>ROUND(H73*O73, 2)</f>
        <v/>
      </c>
      <c r="Q73" s="25" t="n">
        <v>0.03441741</v>
      </c>
      <c r="R73" s="25">
        <f>IFERROR(RATE(G73, -N73, K73, -P73), Q73)</f>
        <v/>
      </c>
      <c r="S73" s="25">
        <f>Q73*12</f>
        <v/>
      </c>
      <c r="T73" s="25">
        <f>((1+Q73)^12)-1</f>
        <v/>
      </c>
      <c r="U73" s="23">
        <f>IF(Q73&gt;0, ROUND(P73/((1+Q73)^G73), 2), P73)</f>
        <v/>
      </c>
      <c r="V73" s="23">
        <f>ROUND((N73*G73)-K73+P73, 2)</f>
        <v/>
      </c>
      <c r="W73" s="23">
        <f>ROUND(P73-U73, 2)</f>
        <v/>
      </c>
      <c r="X73" s="23">
        <f>ROUND(V73+W73, 2)</f>
        <v/>
      </c>
      <c r="Y73" s="23">
        <f>ROUND((N73*G73+P73+M73)-K73, 2)</f>
        <v/>
      </c>
      <c r="Z73" s="24">
        <f>IF(K73&gt;0, Y73/K73, 0)</f>
        <v/>
      </c>
    </row>
    <row r="74">
      <c r="A74" s="26" t="inlineStr">
        <is>
          <t>0616-0004</t>
        </is>
      </c>
      <c r="B74" s="27" t="inlineStr">
        <is>
          <t>Commerce and Technology Connections Sas de Cv</t>
        </is>
      </c>
      <c r="C74" s="27" t="inlineStr">
        <is>
          <t>Argo</t>
        </is>
      </c>
      <c r="D74" s="26" t="inlineStr">
        <is>
          <t>ACTIVO</t>
        </is>
      </c>
      <c r="E74" s="26" t="inlineStr">
        <is>
          <t>2024-05-20</t>
        </is>
      </c>
      <c r="F74" s="26" t="inlineStr">
        <is>
          <t>2027-05-20</t>
        </is>
      </c>
      <c r="G74" s="28" t="n">
        <v>36</v>
      </c>
      <c r="H74" s="29" t="n">
        <v>297413.79</v>
      </c>
      <c r="I74" s="30" t="n">
        <v>0.4</v>
      </c>
      <c r="J74" s="29">
        <f>ROUND(H74*I74, 2)</f>
        <v/>
      </c>
      <c r="K74" s="29">
        <f>ROUND(H74-J74, 2)</f>
        <v/>
      </c>
      <c r="L74" s="30" t="n">
        <v>0.027</v>
      </c>
      <c r="M74" s="29">
        <f>ROUND(H74*L74, 2)</f>
        <v/>
      </c>
      <c r="N74" s="29" t="n">
        <v>8380.450000000001</v>
      </c>
      <c r="O74" s="30" t="n">
        <v>0.1</v>
      </c>
      <c r="P74" s="29">
        <f>ROUND(H74*O74, 2)</f>
        <v/>
      </c>
      <c r="Q74" s="31" t="n">
        <v>0.03507848</v>
      </c>
      <c r="R74" s="31">
        <f>IFERROR(RATE(G74, -N74, K74, -P74), Q74)</f>
        <v/>
      </c>
      <c r="S74" s="31">
        <f>Q74*12</f>
        <v/>
      </c>
      <c r="T74" s="31">
        <f>((1+Q74)^12)-1</f>
        <v/>
      </c>
      <c r="U74" s="29">
        <f>IF(Q74&gt;0, ROUND(P74/((1+Q74)^G74), 2), P74)</f>
        <v/>
      </c>
      <c r="V74" s="29">
        <f>ROUND((N74*G74)-K74+P74, 2)</f>
        <v/>
      </c>
      <c r="W74" s="29">
        <f>ROUND(P74-U74, 2)</f>
        <v/>
      </c>
      <c r="X74" s="29">
        <f>ROUND(V74+W74, 2)</f>
        <v/>
      </c>
      <c r="Y74" s="29">
        <f>ROUND((N74*G74+P74+M74)-K74, 2)</f>
        <v/>
      </c>
      <c r="Z74" s="30">
        <f>IF(K74&gt;0, Y74/K74, 0)</f>
        <v/>
      </c>
    </row>
    <row r="75">
      <c r="A75" s="20" t="inlineStr">
        <is>
          <t>0616-0005</t>
        </is>
      </c>
      <c r="B75" s="21" t="inlineStr">
        <is>
          <t>Commerce and Technology Connection Sas de Cv</t>
        </is>
      </c>
      <c r="C75" s="21" t="inlineStr">
        <is>
          <t>Journey GT</t>
        </is>
      </c>
      <c r="D75" s="20" t="inlineStr">
        <is>
          <t>ACTIVO</t>
        </is>
      </c>
      <c r="E75" s="20" t="inlineStr">
        <is>
          <t>2024-07-30</t>
        </is>
      </c>
      <c r="F75" s="20" t="inlineStr">
        <is>
          <t>2027-07-30</t>
        </is>
      </c>
      <c r="G75" s="22" t="n">
        <v>36</v>
      </c>
      <c r="H75" s="23" t="n">
        <v>567155.17</v>
      </c>
      <c r="I75" s="24" t="n">
        <v>0.3</v>
      </c>
      <c r="J75" s="23">
        <f>ROUND(H75*I75, 2)</f>
        <v/>
      </c>
      <c r="K75" s="23">
        <f>ROUND(H75-J75, 2)</f>
        <v/>
      </c>
      <c r="L75" s="24" t="n">
        <v>0.027</v>
      </c>
      <c r="M75" s="23">
        <f>ROUND(H75*L75, 2)</f>
        <v/>
      </c>
      <c r="N75" s="23" t="n">
        <v>16807.86</v>
      </c>
      <c r="O75" s="24" t="n">
        <v>0.2</v>
      </c>
      <c r="P75" s="23">
        <f>ROUND(H75*O75, 2)</f>
        <v/>
      </c>
      <c r="Q75" s="25" t="n">
        <v>0.0313497</v>
      </c>
      <c r="R75" s="25">
        <f>IFERROR(RATE(G75, -N75, K75, -P75), Q75)</f>
        <v/>
      </c>
      <c r="S75" s="25">
        <f>Q75*12</f>
        <v/>
      </c>
      <c r="T75" s="25">
        <f>((1+Q75)^12)-1</f>
        <v/>
      </c>
      <c r="U75" s="23">
        <f>IF(Q75&gt;0, ROUND(P75/((1+Q75)^G75), 2), P75)</f>
        <v/>
      </c>
      <c r="V75" s="23">
        <f>ROUND((N75*G75)-K75+P75, 2)</f>
        <v/>
      </c>
      <c r="W75" s="23">
        <f>ROUND(P75-U75, 2)</f>
        <v/>
      </c>
      <c r="X75" s="23">
        <f>ROUND(V75+W75, 2)</f>
        <v/>
      </c>
      <c r="Y75" s="23">
        <f>ROUND((N75*G75+P75+M75)-K75, 2)</f>
        <v/>
      </c>
      <c r="Z75" s="24">
        <f>IF(K75&gt;0, Y75/K75, 0)</f>
        <v/>
      </c>
    </row>
    <row r="76">
      <c r="A76" s="26" t="inlineStr">
        <is>
          <t>0618-0001</t>
        </is>
      </c>
      <c r="B76" s="27" t="inlineStr">
        <is>
          <t>Juan Pablo Rodriguez Garcia</t>
        </is>
      </c>
      <c r="C76" s="27" t="inlineStr">
        <is>
          <t>JT MOJAVE</t>
        </is>
      </c>
      <c r="D76" s="26" t="inlineStr">
        <is>
          <t>ACTIVO</t>
        </is>
      </c>
      <c r="E76" s="26" t="inlineStr">
        <is>
          <t>2023-06-16</t>
        </is>
      </c>
      <c r="F76" s="26" t="inlineStr">
        <is>
          <t>2027-06-16</t>
        </is>
      </c>
      <c r="G76" s="28" t="n">
        <v>48</v>
      </c>
      <c r="H76" s="29" t="n">
        <v>1265431.03</v>
      </c>
      <c r="I76" s="30" t="n">
        <v>0.1</v>
      </c>
      <c r="J76" s="29">
        <f>ROUND(H76*I76, 2)</f>
        <v/>
      </c>
      <c r="K76" s="29">
        <f>ROUND(H76-J76, 2)</f>
        <v/>
      </c>
      <c r="L76" s="30" t="n">
        <v>0.027</v>
      </c>
      <c r="M76" s="29">
        <f>ROUND(H76*L76, 2)</f>
        <v/>
      </c>
      <c r="N76" s="29" t="n">
        <v>44136.62</v>
      </c>
      <c r="O76" s="30" t="n">
        <v>0.2</v>
      </c>
      <c r="P76" s="29">
        <f>ROUND(H76*O76, 2)</f>
        <v/>
      </c>
      <c r="Q76" s="31" t="n">
        <v>0.03164265</v>
      </c>
      <c r="R76" s="31">
        <f>IFERROR(RATE(G76, -N76, K76, -P76), Q76)</f>
        <v/>
      </c>
      <c r="S76" s="31">
        <f>Q76*12</f>
        <v/>
      </c>
      <c r="T76" s="31">
        <f>((1+Q76)^12)-1</f>
        <v/>
      </c>
      <c r="U76" s="29">
        <f>IF(Q76&gt;0, ROUND(P76/((1+Q76)^G76), 2), P76)</f>
        <v/>
      </c>
      <c r="V76" s="29">
        <f>ROUND((N76*G76)-K76+P76, 2)</f>
        <v/>
      </c>
      <c r="W76" s="29">
        <f>ROUND(P76-U76, 2)</f>
        <v/>
      </c>
      <c r="X76" s="29">
        <f>ROUND(V76+W76, 2)</f>
        <v/>
      </c>
      <c r="Y76" s="29">
        <f>ROUND((N76*G76+P76+M76)-K76, 2)</f>
        <v/>
      </c>
      <c r="Z76" s="30">
        <f>IF(K76&gt;0, Y76/K76, 0)</f>
        <v/>
      </c>
    </row>
    <row r="77">
      <c r="A77" s="20" t="inlineStr">
        <is>
          <t>0619-0002</t>
        </is>
      </c>
      <c r="B77" s="21" t="inlineStr">
        <is>
          <t>Horacio de la Vega Flores</t>
        </is>
      </c>
      <c r="C77" s="21" t="inlineStr">
        <is>
          <t>Bronco Sport</t>
        </is>
      </c>
      <c r="D77" s="20" t="inlineStr">
        <is>
          <t>ACTIVO</t>
        </is>
      </c>
      <c r="E77" s="20" t="inlineStr">
        <is>
          <t>2025-09-11</t>
        </is>
      </c>
      <c r="F77" s="20" t="inlineStr">
        <is>
          <t>2028-09-11</t>
        </is>
      </c>
      <c r="G77" s="22" t="n">
        <v>36</v>
      </c>
      <c r="H77" s="23" t="n">
        <v>672413.79</v>
      </c>
      <c r="I77" s="24" t="n">
        <v>0.3</v>
      </c>
      <c r="J77" s="23">
        <f>ROUND(H77*I77, 2)</f>
        <v/>
      </c>
      <c r="K77" s="23">
        <f>ROUND(H77-J77, 2)</f>
        <v/>
      </c>
      <c r="L77" s="24" t="n">
        <v>0.02</v>
      </c>
      <c r="M77" s="23">
        <f>ROUND(H77*L77, 2)</f>
        <v/>
      </c>
      <c r="N77" s="23" t="n">
        <v>16666.91</v>
      </c>
      <c r="O77" s="24" t="n">
        <v>0.1</v>
      </c>
      <c r="P77" s="23">
        <f>ROUND(H77*O77, 2)</f>
        <v/>
      </c>
      <c r="Q77" s="25" t="n">
        <v>0.01841604</v>
      </c>
      <c r="R77" s="25">
        <f>IFERROR(RATE(G77, -N77, K77, -P77), Q77)</f>
        <v/>
      </c>
      <c r="S77" s="25">
        <f>Q77*12</f>
        <v/>
      </c>
      <c r="T77" s="25">
        <f>((1+Q77)^12)-1</f>
        <v/>
      </c>
      <c r="U77" s="23">
        <f>IF(Q77&gt;0, ROUND(P77/((1+Q77)^G77), 2), P77)</f>
        <v/>
      </c>
      <c r="V77" s="23">
        <f>ROUND((N77*G77)-K77+P77, 2)</f>
        <v/>
      </c>
      <c r="W77" s="23">
        <f>ROUND(P77-U77, 2)</f>
        <v/>
      </c>
      <c r="X77" s="23">
        <f>ROUND(V77+W77, 2)</f>
        <v/>
      </c>
      <c r="Y77" s="23">
        <f>ROUND((N77*G77+P77+M77)-K77, 2)</f>
        <v/>
      </c>
      <c r="Z77" s="24">
        <f>IF(K77&gt;0, Y77/K77, 0)</f>
        <v/>
      </c>
    </row>
    <row r="78">
      <c r="A78" s="26" t="inlineStr">
        <is>
          <t>0620-0001</t>
        </is>
      </c>
      <c r="B78" s="27" t="inlineStr">
        <is>
          <t>Desarrollos Romo Srl de Cv</t>
        </is>
      </c>
      <c r="C78" s="27" t="inlineStr">
        <is>
          <t>RAM 700 BIG HORN</t>
        </is>
      </c>
      <c r="D78" s="26" t="inlineStr">
        <is>
          <t>ACTIVO</t>
        </is>
      </c>
      <c r="E78" s="26" t="inlineStr">
        <is>
          <t>2023-07-20</t>
        </is>
      </c>
      <c r="F78" s="26" t="inlineStr">
        <is>
          <t>2027-07-20</t>
        </is>
      </c>
      <c r="G78" s="28" t="n">
        <v>48</v>
      </c>
      <c r="H78" s="29" t="n">
        <v>310258.62</v>
      </c>
      <c r="I78" s="30" t="n">
        <v>0.1</v>
      </c>
      <c r="J78" s="29">
        <f>ROUND(H78*I78, 2)</f>
        <v/>
      </c>
      <c r="K78" s="29">
        <f>ROUND(H78-J78, 2)</f>
        <v/>
      </c>
      <c r="L78" s="30" t="n">
        <v>0.027</v>
      </c>
      <c r="M78" s="29">
        <f>ROUND(H78*L78, 2)</f>
        <v/>
      </c>
      <c r="N78" s="29" t="n">
        <v>11517.34</v>
      </c>
      <c r="O78" s="30" t="n">
        <v>0.2</v>
      </c>
      <c r="P78" s="29">
        <f>ROUND(H78*O78, 2)</f>
        <v/>
      </c>
      <c r="Q78" s="31" t="n">
        <v>0.03473661</v>
      </c>
      <c r="R78" s="31">
        <f>IFERROR(RATE(G78, -N78, K78, -P78), Q78)</f>
        <v/>
      </c>
      <c r="S78" s="31">
        <f>Q78*12</f>
        <v/>
      </c>
      <c r="T78" s="31">
        <f>((1+Q78)^12)-1</f>
        <v/>
      </c>
      <c r="U78" s="29">
        <f>IF(Q78&gt;0, ROUND(P78/((1+Q78)^G78), 2), P78)</f>
        <v/>
      </c>
      <c r="V78" s="29">
        <f>ROUND((N78*G78)-K78+P78, 2)</f>
        <v/>
      </c>
      <c r="W78" s="29">
        <f>ROUND(P78-U78, 2)</f>
        <v/>
      </c>
      <c r="X78" s="29">
        <f>ROUND(V78+W78, 2)</f>
        <v/>
      </c>
      <c r="Y78" s="29">
        <f>ROUND((N78*G78+P78+M78)-K78, 2)</f>
        <v/>
      </c>
      <c r="Z78" s="30">
        <f>IF(K78&gt;0, Y78/K78, 0)</f>
        <v/>
      </c>
    </row>
    <row r="79">
      <c r="A79" s="20" t="inlineStr">
        <is>
          <t>0620-0002</t>
        </is>
      </c>
      <c r="B79" s="21" t="inlineStr">
        <is>
          <t>Desarrollos Romo Srl de Cv</t>
        </is>
      </c>
      <c r="C79" s="21" t="inlineStr">
        <is>
          <t>RAM 700 BIG HORN</t>
        </is>
      </c>
      <c r="D79" s="20" t="inlineStr">
        <is>
          <t>ACTIVO</t>
        </is>
      </c>
      <c r="E79" s="20" t="inlineStr">
        <is>
          <t>2023-07-20</t>
        </is>
      </c>
      <c r="F79" s="20" t="inlineStr">
        <is>
          <t>2027-07-20</t>
        </is>
      </c>
      <c r="G79" s="22" t="n">
        <v>48</v>
      </c>
      <c r="H79" s="23" t="n">
        <v>310258.62</v>
      </c>
      <c r="I79" s="24" t="n">
        <v>0.1</v>
      </c>
      <c r="J79" s="23">
        <f>ROUND(H79*I79, 2)</f>
        <v/>
      </c>
      <c r="K79" s="23">
        <f>ROUND(H79-J79, 2)</f>
        <v/>
      </c>
      <c r="L79" s="24" t="n">
        <v>0.027</v>
      </c>
      <c r="M79" s="23">
        <f>ROUND(H79*L79, 2)</f>
        <v/>
      </c>
      <c r="N79" s="23" t="n">
        <v>11517.34</v>
      </c>
      <c r="O79" s="24" t="n">
        <v>0.2</v>
      </c>
      <c r="P79" s="23">
        <f>ROUND(H79*O79, 2)</f>
        <v/>
      </c>
      <c r="Q79" s="25" t="n">
        <v>0.03473661</v>
      </c>
      <c r="R79" s="25">
        <f>IFERROR(RATE(G79, -N79, K79, -P79), Q79)</f>
        <v/>
      </c>
      <c r="S79" s="25">
        <f>Q79*12</f>
        <v/>
      </c>
      <c r="T79" s="25">
        <f>((1+Q79)^12)-1</f>
        <v/>
      </c>
      <c r="U79" s="23">
        <f>IF(Q79&gt;0, ROUND(P79/((1+Q79)^G79), 2), P79)</f>
        <v/>
      </c>
      <c r="V79" s="23">
        <f>ROUND((N79*G79)-K79+P79, 2)</f>
        <v/>
      </c>
      <c r="W79" s="23">
        <f>ROUND(P79-U79, 2)</f>
        <v/>
      </c>
      <c r="X79" s="23">
        <f>ROUND(V79+W79, 2)</f>
        <v/>
      </c>
      <c r="Y79" s="23">
        <f>ROUND((N79*G79+P79+M79)-K79, 2)</f>
        <v/>
      </c>
      <c r="Z79" s="24">
        <f>IF(K79&gt;0, Y79/K79, 0)</f>
        <v/>
      </c>
    </row>
    <row r="80">
      <c r="A80" s="26" t="inlineStr">
        <is>
          <t>0621-0008</t>
        </is>
      </c>
      <c r="B80" s="27" t="inlineStr">
        <is>
          <t>Luis Alberto Ponce Ruiz</t>
        </is>
      </c>
      <c r="C80" s="27" t="inlineStr">
        <is>
          <t>Hilux</t>
        </is>
      </c>
      <c r="D80" s="26" t="inlineStr">
        <is>
          <t>ACTIVO</t>
        </is>
      </c>
      <c r="E80" s="26" t="inlineStr">
        <is>
          <t>2025-10-30</t>
        </is>
      </c>
      <c r="F80" s="26" t="inlineStr">
        <is>
          <t>2026-10-30</t>
        </is>
      </c>
      <c r="G80" s="28" t="n">
        <v>12</v>
      </c>
      <c r="H80" s="29" t="n">
        <v>427931.03</v>
      </c>
      <c r="I80" s="30" t="n">
        <v>0.4</v>
      </c>
      <c r="J80" s="29">
        <f>ROUND(H80*I80, 2)</f>
        <v/>
      </c>
      <c r="K80" s="29">
        <f>ROUND(H80-J80, 2)</f>
        <v/>
      </c>
      <c r="L80" s="30" t="n">
        <v>0.02</v>
      </c>
      <c r="M80" s="29">
        <f>ROUND(H80*L80, 2)</f>
        <v/>
      </c>
      <c r="N80" s="29" t="n">
        <v>21790.94</v>
      </c>
      <c r="O80" s="30" t="n">
        <v>0.1</v>
      </c>
      <c r="P80" s="29">
        <f>ROUND(H80*O80, 2)</f>
        <v/>
      </c>
      <c r="Q80" s="31" t="n">
        <v>0.02418442</v>
      </c>
      <c r="R80" s="31">
        <f>IFERROR(RATE(G80, -N80, K80, -P80), Q80)</f>
        <v/>
      </c>
      <c r="S80" s="31">
        <f>Q80*12</f>
        <v/>
      </c>
      <c r="T80" s="31">
        <f>((1+Q80)^12)-1</f>
        <v/>
      </c>
      <c r="U80" s="29">
        <f>IF(Q80&gt;0, ROUND(P80/((1+Q80)^G80), 2), P80)</f>
        <v/>
      </c>
      <c r="V80" s="29">
        <f>ROUND((N80*G80)-K80+P80, 2)</f>
        <v/>
      </c>
      <c r="W80" s="29">
        <f>ROUND(P80-U80, 2)</f>
        <v/>
      </c>
      <c r="X80" s="29">
        <f>ROUND(V80+W80, 2)</f>
        <v/>
      </c>
      <c r="Y80" s="29">
        <f>ROUND((N80*G80+P80+M80)-K80, 2)</f>
        <v/>
      </c>
      <c r="Z80" s="30">
        <f>IF(K80&gt;0, Y80/K80, 0)</f>
        <v/>
      </c>
    </row>
    <row r="81">
      <c r="A81" s="20" t="inlineStr">
        <is>
          <t>0623-0001</t>
        </is>
      </c>
      <c r="B81" s="21" t="inlineStr">
        <is>
          <t>Seguridad y Automatismos Profesionales de Occidente S de SRL de Cv</t>
        </is>
      </c>
      <c r="C81" s="21" t="inlineStr">
        <is>
          <t>RAM 700 BIG HORN</t>
        </is>
      </c>
      <c r="D81" s="20" t="inlineStr">
        <is>
          <t>ACTIVO</t>
        </is>
      </c>
      <c r="E81" s="20" t="inlineStr">
        <is>
          <t>2023-07-31</t>
        </is>
      </c>
      <c r="F81" s="20" t="inlineStr">
        <is>
          <t>2027-07-31</t>
        </is>
      </c>
      <c r="G81" s="22" t="n">
        <v>48</v>
      </c>
      <c r="H81" s="23" t="n">
        <v>314568.97</v>
      </c>
      <c r="I81" s="24" t="n">
        <v>0.1</v>
      </c>
      <c r="J81" s="23">
        <f>ROUND(H81*I81, 2)</f>
        <v/>
      </c>
      <c r="K81" s="23">
        <f>ROUND(H81-J81, 2)</f>
        <v/>
      </c>
      <c r="L81" s="24" t="n">
        <v>0.027</v>
      </c>
      <c r="M81" s="23">
        <f>ROUND(H81*L81, 2)</f>
        <v/>
      </c>
      <c r="N81" s="23" t="n">
        <v>11147.27</v>
      </c>
      <c r="O81" s="24" t="n">
        <v>0.2</v>
      </c>
      <c r="P81" s="23">
        <f>ROUND(H81*O81, 2)</f>
        <v/>
      </c>
      <c r="Q81" s="25" t="n">
        <v>0.03241746</v>
      </c>
      <c r="R81" s="25">
        <f>IFERROR(RATE(G81, -N81, K81, -P81), Q81)</f>
        <v/>
      </c>
      <c r="S81" s="25">
        <f>Q81*12</f>
        <v/>
      </c>
      <c r="T81" s="25">
        <f>((1+Q81)^12)-1</f>
        <v/>
      </c>
      <c r="U81" s="23">
        <f>IF(Q81&gt;0, ROUND(P81/((1+Q81)^G81), 2), P81)</f>
        <v/>
      </c>
      <c r="V81" s="23">
        <f>ROUND((N81*G81)-K81+P81, 2)</f>
        <v/>
      </c>
      <c r="W81" s="23">
        <f>ROUND(P81-U81, 2)</f>
        <v/>
      </c>
      <c r="X81" s="23">
        <f>ROUND(V81+W81, 2)</f>
        <v/>
      </c>
      <c r="Y81" s="23">
        <f>ROUND((N81*G81+P81+M81)-K81, 2)</f>
        <v/>
      </c>
      <c r="Z81" s="24">
        <f>IF(K81&gt;0, Y81/K81, 0)</f>
        <v/>
      </c>
    </row>
    <row r="82">
      <c r="A82" s="26" t="inlineStr">
        <is>
          <t>0626-0001</t>
        </is>
      </c>
      <c r="B82" s="27" t="inlineStr">
        <is>
          <t>Hugo Ceja Moreno</t>
        </is>
      </c>
      <c r="C82" s="27" t="inlineStr">
        <is>
          <t>JT MOJAVE</t>
        </is>
      </c>
      <c r="D82" s="26" t="inlineStr">
        <is>
          <t>ACTIVO</t>
        </is>
      </c>
      <c r="E82" s="26" t="inlineStr">
        <is>
          <t>2023-08-18</t>
        </is>
      </c>
      <c r="F82" s="26" t="inlineStr">
        <is>
          <t>2027-08-18</t>
        </is>
      </c>
      <c r="G82" s="28" t="n">
        <v>48</v>
      </c>
      <c r="H82" s="29" t="n">
        <v>993017.24</v>
      </c>
      <c r="I82" s="30" t="n">
        <v>0.4</v>
      </c>
      <c r="J82" s="29">
        <f>ROUND(H82*I82, 2)</f>
        <v/>
      </c>
      <c r="K82" s="29">
        <f>ROUND(H82-J82, 2)</f>
        <v/>
      </c>
      <c r="L82" s="30" t="n">
        <v>0.027</v>
      </c>
      <c r="M82" s="29">
        <f>ROUND(H82*L82, 2)</f>
        <v/>
      </c>
      <c r="N82" s="29" t="n">
        <v>23741.09</v>
      </c>
      <c r="O82" s="30" t="n">
        <v>0.1</v>
      </c>
      <c r="P82" s="29">
        <f>ROUND(H82*O82, 2)</f>
        <v/>
      </c>
      <c r="Q82" s="31" t="n">
        <v>0.03238669</v>
      </c>
      <c r="R82" s="31">
        <f>IFERROR(RATE(G82, -N82, K82, -P82), Q82)</f>
        <v/>
      </c>
      <c r="S82" s="31">
        <f>Q82*12</f>
        <v/>
      </c>
      <c r="T82" s="31">
        <f>((1+Q82)^12)-1</f>
        <v/>
      </c>
      <c r="U82" s="29">
        <f>IF(Q82&gt;0, ROUND(P82/((1+Q82)^G82), 2), P82)</f>
        <v/>
      </c>
      <c r="V82" s="29">
        <f>ROUND((N82*G82)-K82+P82, 2)</f>
        <v/>
      </c>
      <c r="W82" s="29">
        <f>ROUND(P82-U82, 2)</f>
        <v/>
      </c>
      <c r="X82" s="29">
        <f>ROUND(V82+W82, 2)</f>
        <v/>
      </c>
      <c r="Y82" s="29">
        <f>ROUND((N82*G82+P82+M82)-K82, 2)</f>
        <v/>
      </c>
      <c r="Z82" s="30">
        <f>IF(K82&gt;0, Y82/K82, 0)</f>
        <v/>
      </c>
    </row>
    <row r="83">
      <c r="A83" s="20" t="inlineStr">
        <is>
          <t>0632-0004</t>
        </is>
      </c>
      <c r="B83" s="21" t="inlineStr">
        <is>
          <t>Art &amp; Sourcing Sa de Cv</t>
        </is>
      </c>
      <c r="C83" s="21" t="inlineStr">
        <is>
          <t>Ram 700 Tradesman</t>
        </is>
      </c>
      <c r="D83" s="20" t="inlineStr">
        <is>
          <t>ACTIVO</t>
        </is>
      </c>
      <c r="E83" s="20" t="inlineStr">
        <is>
          <t>2025-05-15</t>
        </is>
      </c>
      <c r="F83" s="20" t="inlineStr">
        <is>
          <t>2029-05-15</t>
        </is>
      </c>
      <c r="G83" s="22" t="n">
        <v>48</v>
      </c>
      <c r="H83" s="23" t="n">
        <v>318017.24</v>
      </c>
      <c r="I83" s="24" t="n">
        <v>0.1</v>
      </c>
      <c r="J83" s="23">
        <f>ROUND(H83*I83, 2)</f>
        <v/>
      </c>
      <c r="K83" s="23">
        <f>ROUND(H83-J83, 2)</f>
        <v/>
      </c>
      <c r="L83" s="24" t="n">
        <v>0.027</v>
      </c>
      <c r="M83" s="23">
        <f>ROUND(H83*L83, 2)</f>
        <v/>
      </c>
      <c r="N83" s="23" t="n">
        <v>10526.27</v>
      </c>
      <c r="O83" s="24" t="n">
        <v>0.1</v>
      </c>
      <c r="P83" s="23">
        <f>ROUND(H83*O83, 2)</f>
        <v/>
      </c>
      <c r="Q83" s="25" t="n">
        <v>0.02769703</v>
      </c>
      <c r="R83" s="25">
        <f>IFERROR(RATE(G83, -N83, K83, -P83), Q83)</f>
        <v/>
      </c>
      <c r="S83" s="25">
        <f>Q83*12</f>
        <v/>
      </c>
      <c r="T83" s="25">
        <f>((1+Q83)^12)-1</f>
        <v/>
      </c>
      <c r="U83" s="23">
        <f>IF(Q83&gt;0, ROUND(P83/((1+Q83)^G83), 2), P83)</f>
        <v/>
      </c>
      <c r="V83" s="23">
        <f>ROUND((N83*G83)-K83+P83, 2)</f>
        <v/>
      </c>
      <c r="W83" s="23">
        <f>ROUND(P83-U83, 2)</f>
        <v/>
      </c>
      <c r="X83" s="23">
        <f>ROUND(V83+W83, 2)</f>
        <v/>
      </c>
      <c r="Y83" s="23">
        <f>ROUND((N83*G83+P83+M83)-K83, 2)</f>
        <v/>
      </c>
      <c r="Z83" s="24">
        <f>IF(K83&gt;0, Y83/K83, 0)</f>
        <v/>
      </c>
    </row>
    <row r="84">
      <c r="A84" s="26" t="inlineStr">
        <is>
          <t>0632-0005</t>
        </is>
      </c>
      <c r="B84" s="27" t="inlineStr">
        <is>
          <t>Art &amp; Sourcing Sa de Cv</t>
        </is>
      </c>
      <c r="C84" s="27" t="inlineStr">
        <is>
          <t>Ram 700</t>
        </is>
      </c>
      <c r="D84" s="26" t="inlineStr">
        <is>
          <t>ACTIVO</t>
        </is>
      </c>
      <c r="E84" s="26" t="inlineStr">
        <is>
          <t>2025-11-25</t>
        </is>
      </c>
      <c r="F84" s="26" t="inlineStr">
        <is>
          <t>2027-11-25</t>
        </is>
      </c>
      <c r="G84" s="28" t="n">
        <v>24</v>
      </c>
      <c r="H84" s="29" t="n">
        <v>305948.28</v>
      </c>
      <c r="I84" s="30" t="n">
        <v>0.2</v>
      </c>
      <c r="J84" s="29">
        <f>ROUND(H84*I84, 2)</f>
        <v/>
      </c>
      <c r="K84" s="29">
        <f>ROUND(H84-J84, 2)</f>
        <v/>
      </c>
      <c r="L84" s="30" t="n">
        <v>0.02</v>
      </c>
      <c r="M84" s="29">
        <f>ROUND(H84*L84, 2)</f>
        <v/>
      </c>
      <c r="N84" s="29" t="n">
        <v>11988.22</v>
      </c>
      <c r="O84" s="30" t="n">
        <v>0.2</v>
      </c>
      <c r="P84" s="29">
        <f>ROUND(H84*O84, 2)</f>
        <v/>
      </c>
      <c r="Q84" s="31" t="n">
        <v>0.02611235</v>
      </c>
      <c r="R84" s="31">
        <f>IFERROR(RATE(G84, -N84, K84, -P84), Q84)</f>
        <v/>
      </c>
      <c r="S84" s="31">
        <f>Q84*12</f>
        <v/>
      </c>
      <c r="T84" s="31">
        <f>((1+Q84)^12)-1</f>
        <v/>
      </c>
      <c r="U84" s="29">
        <f>IF(Q84&gt;0, ROUND(P84/((1+Q84)^G84), 2), P84)</f>
        <v/>
      </c>
      <c r="V84" s="29">
        <f>ROUND((N84*G84)-K84+P84, 2)</f>
        <v/>
      </c>
      <c r="W84" s="29">
        <f>ROUND(P84-U84, 2)</f>
        <v/>
      </c>
      <c r="X84" s="29">
        <f>ROUND(V84+W84, 2)</f>
        <v/>
      </c>
      <c r="Y84" s="29">
        <f>ROUND((N84*G84+P84+M84)-K84, 2)</f>
        <v/>
      </c>
      <c r="Z84" s="30">
        <f>IF(K84&gt;0, Y84/K84, 0)</f>
        <v/>
      </c>
    </row>
    <row r="85">
      <c r="A85" s="20" t="inlineStr">
        <is>
          <t>0632-0006</t>
        </is>
      </c>
      <c r="B85" s="21" t="inlineStr">
        <is>
          <t>Art &amp; Sourcing Sa de Cv</t>
        </is>
      </c>
      <c r="C85" s="21" t="inlineStr">
        <is>
          <t>Mirage</t>
        </is>
      </c>
      <c r="D85" s="20" t="inlineStr">
        <is>
          <t>ACTIVO</t>
        </is>
      </c>
      <c r="E85" s="20" t="inlineStr">
        <is>
          <t>2025-11-25</t>
        </is>
      </c>
      <c r="F85" s="20" t="inlineStr">
        <is>
          <t>2027-11-25</t>
        </is>
      </c>
      <c r="G85" s="22" t="n">
        <v>24</v>
      </c>
      <c r="H85" s="23" t="n">
        <v>258191.38</v>
      </c>
      <c r="I85" s="24" t="n">
        <v>0.2</v>
      </c>
      <c r="J85" s="23">
        <f>ROUND(H85*I85, 2)</f>
        <v/>
      </c>
      <c r="K85" s="23">
        <f>ROUND(H85-J85, 2)</f>
        <v/>
      </c>
      <c r="L85" s="24" t="n">
        <v>0.02</v>
      </c>
      <c r="M85" s="23">
        <f>ROUND(H85*L85, 2)</f>
        <v/>
      </c>
      <c r="N85" s="23" t="n">
        <v>10107.86</v>
      </c>
      <c r="O85" s="24" t="n">
        <v>0.2</v>
      </c>
      <c r="P85" s="23">
        <f>ROUND(H85*O85, 2)</f>
        <v/>
      </c>
      <c r="Q85" s="25" t="n">
        <v>0.02605114</v>
      </c>
      <c r="R85" s="25">
        <f>IFERROR(RATE(G85, -N85, K85, -P85), Q85)</f>
        <v/>
      </c>
      <c r="S85" s="25">
        <f>Q85*12</f>
        <v/>
      </c>
      <c r="T85" s="25">
        <f>((1+Q85)^12)-1</f>
        <v/>
      </c>
      <c r="U85" s="23">
        <f>IF(Q85&gt;0, ROUND(P85/((1+Q85)^G85), 2), P85)</f>
        <v/>
      </c>
      <c r="V85" s="23">
        <f>ROUND((N85*G85)-K85+P85, 2)</f>
        <v/>
      </c>
      <c r="W85" s="23">
        <f>ROUND(P85-U85, 2)</f>
        <v/>
      </c>
      <c r="X85" s="23">
        <f>ROUND(V85+W85, 2)</f>
        <v/>
      </c>
      <c r="Y85" s="23">
        <f>ROUND((N85*G85+P85+M85)-K85, 2)</f>
        <v/>
      </c>
      <c r="Z85" s="24">
        <f>IF(K85&gt;0, Y85/K85, 0)</f>
        <v/>
      </c>
    </row>
    <row r="86">
      <c r="A86" s="26" t="inlineStr">
        <is>
          <t>0632-0007</t>
        </is>
      </c>
      <c r="B86" s="27" t="inlineStr">
        <is>
          <t>Art &amp; Sourcing Sa de Cv</t>
        </is>
      </c>
      <c r="C86" s="27" t="inlineStr">
        <is>
          <t>JAC Camión X350 2026</t>
        </is>
      </c>
      <c r="D86" s="26" t="inlineStr">
        <is>
          <t>ACTIVO</t>
        </is>
      </c>
      <c r="E86" s="26" t="inlineStr">
        <is>
          <t>2026-08-24</t>
        </is>
      </c>
      <c r="F86" s="26" t="inlineStr">
        <is>
          <t>2028-08-24</t>
        </is>
      </c>
      <c r="G86" s="28" t="n">
        <v>24</v>
      </c>
      <c r="H86" s="29" t="n">
        <v>521551.72</v>
      </c>
      <c r="I86" s="30" t="n">
        <v>0.2</v>
      </c>
      <c r="J86" s="29">
        <f>ROUND(H86*I86, 2)</f>
        <v/>
      </c>
      <c r="K86" s="29">
        <f>ROUND(H86-J86, 2)</f>
        <v/>
      </c>
      <c r="L86" s="30" t="n">
        <v>0</v>
      </c>
      <c r="M86" s="29">
        <f>ROUND(H86*L86, 2)</f>
        <v/>
      </c>
      <c r="N86" s="29" t="n">
        <v>20422.69</v>
      </c>
      <c r="O86" s="30" t="n">
        <v>0.2</v>
      </c>
      <c r="P86" s="29">
        <f>ROUND(H86*O86, 2)</f>
        <v/>
      </c>
      <c r="Q86" s="31" t="n">
        <v>0.02606655</v>
      </c>
      <c r="R86" s="31">
        <f>IFERROR(RATE(G86, -N86, K86, -P86), Q86)</f>
        <v/>
      </c>
      <c r="S86" s="31">
        <f>Q86*12</f>
        <v/>
      </c>
      <c r="T86" s="31">
        <f>((1+Q86)^12)-1</f>
        <v/>
      </c>
      <c r="U86" s="29">
        <f>IF(Q86&gt;0, ROUND(P86/((1+Q86)^G86), 2), P86)</f>
        <v/>
      </c>
      <c r="V86" s="29">
        <f>ROUND((N86*G86)-K86+P86, 2)</f>
        <v/>
      </c>
      <c r="W86" s="29">
        <f>ROUND(P86-U86, 2)</f>
        <v/>
      </c>
      <c r="X86" s="29">
        <f>ROUND(V86+W86, 2)</f>
        <v/>
      </c>
      <c r="Y86" s="29">
        <f>ROUND((N86*G86+P86+M86)-K86, 2)</f>
        <v/>
      </c>
      <c r="Z86" s="30">
        <f>IF(K86&gt;0, Y86/K86, 0)</f>
        <v/>
      </c>
    </row>
    <row r="87">
      <c r="A87" s="20" t="inlineStr">
        <is>
          <t>0634-0001</t>
        </is>
      </c>
      <c r="B87" s="21" t="inlineStr">
        <is>
          <t>Jose de Jesus Vergara Rivera</t>
        </is>
      </c>
      <c r="C87" s="21" t="inlineStr">
        <is>
          <t>NP 300 Chasis Cabina TDI</t>
        </is>
      </c>
      <c r="D87" s="20" t="inlineStr">
        <is>
          <t>ACTIVO</t>
        </is>
      </c>
      <c r="E87" s="20" t="inlineStr">
        <is>
          <t>2023-09-28</t>
        </is>
      </c>
      <c r="F87" s="20" t="inlineStr">
        <is>
          <t>2027-09-28</t>
        </is>
      </c>
      <c r="G87" s="22" t="n">
        <v>48</v>
      </c>
      <c r="H87" s="23" t="n">
        <v>383534.48</v>
      </c>
      <c r="I87" s="24" t="n">
        <v>0.2</v>
      </c>
      <c r="J87" s="23">
        <f>ROUND(H87*I87, 2)</f>
        <v/>
      </c>
      <c r="K87" s="23">
        <f>ROUND(H87-J87, 2)</f>
        <v/>
      </c>
      <c r="L87" s="24" t="n">
        <v>0.027</v>
      </c>
      <c r="M87" s="23">
        <f>ROUND(H87*L87, 2)</f>
        <v/>
      </c>
      <c r="N87" s="23" t="n">
        <v>11816.58</v>
      </c>
      <c r="O87" s="24" t="n">
        <v>0.2</v>
      </c>
      <c r="P87" s="23">
        <f>ROUND(H87*O87, 2)</f>
        <v/>
      </c>
      <c r="Q87" s="25" t="n">
        <v>0.03165747</v>
      </c>
      <c r="R87" s="25">
        <f>IFERROR(RATE(G87, -N87, K87, -P87), Q87)</f>
        <v/>
      </c>
      <c r="S87" s="25">
        <f>Q87*12</f>
        <v/>
      </c>
      <c r="T87" s="25">
        <f>((1+Q87)^12)-1</f>
        <v/>
      </c>
      <c r="U87" s="23">
        <f>IF(Q87&gt;0, ROUND(P87/((1+Q87)^G87), 2), P87)</f>
        <v/>
      </c>
      <c r="V87" s="23">
        <f>ROUND((N87*G87)-K87+P87, 2)</f>
        <v/>
      </c>
      <c r="W87" s="23">
        <f>ROUND(P87-U87, 2)</f>
        <v/>
      </c>
      <c r="X87" s="23">
        <f>ROUND(V87+W87, 2)</f>
        <v/>
      </c>
      <c r="Y87" s="23">
        <f>ROUND((N87*G87+P87+M87)-K87, 2)</f>
        <v/>
      </c>
      <c r="Z87" s="24">
        <f>IF(K87&gt;0, Y87/K87, 0)</f>
        <v/>
      </c>
    </row>
    <row r="88">
      <c r="A88" s="26" t="inlineStr">
        <is>
          <t>0634-0002</t>
        </is>
      </c>
      <c r="B88" s="27" t="inlineStr">
        <is>
          <t>Jose de Jesus Vergara Rivera</t>
        </is>
      </c>
      <c r="C88" s="27" t="inlineStr">
        <is>
          <t>700 Tradesman</t>
        </is>
      </c>
      <c r="D88" s="26" t="inlineStr">
        <is>
          <t>ACTIVO</t>
        </is>
      </c>
      <c r="E88" s="26" t="inlineStr">
        <is>
          <t>2025-10-09</t>
        </is>
      </c>
      <c r="F88" s="26" t="inlineStr">
        <is>
          <t>2029-10-09</t>
        </is>
      </c>
      <c r="G88" s="28" t="n">
        <v>48</v>
      </c>
      <c r="H88" s="29" t="n">
        <v>331810.34</v>
      </c>
      <c r="I88" s="30" t="n">
        <v>0.1</v>
      </c>
      <c r="J88" s="29">
        <f>ROUND(H88*I88, 2)</f>
        <v/>
      </c>
      <c r="K88" s="29">
        <f>ROUND(H88-J88, 2)</f>
        <v/>
      </c>
      <c r="L88" s="30" t="n">
        <v>0.02</v>
      </c>
      <c r="M88" s="29">
        <f>ROUND(H88*L88, 2)</f>
        <v/>
      </c>
      <c r="N88" s="29" t="n">
        <v>10797.91</v>
      </c>
      <c r="O88" s="30" t="n">
        <v>0.2</v>
      </c>
      <c r="P88" s="29">
        <f>ROUND(H88*O88, 2)</f>
        <v/>
      </c>
      <c r="Q88" s="31" t="n">
        <v>0.0283579</v>
      </c>
      <c r="R88" s="31">
        <f>IFERROR(RATE(G88, -N88, K88, -P88), Q88)</f>
        <v/>
      </c>
      <c r="S88" s="31">
        <f>Q88*12</f>
        <v/>
      </c>
      <c r="T88" s="31">
        <f>((1+Q88)^12)-1</f>
        <v/>
      </c>
      <c r="U88" s="29">
        <f>IF(Q88&gt;0, ROUND(P88/((1+Q88)^G88), 2), P88)</f>
        <v/>
      </c>
      <c r="V88" s="29">
        <f>ROUND((N88*G88)-K88+P88, 2)</f>
        <v/>
      </c>
      <c r="W88" s="29">
        <f>ROUND(P88-U88, 2)</f>
        <v/>
      </c>
      <c r="X88" s="29">
        <f>ROUND(V88+W88, 2)</f>
        <v/>
      </c>
      <c r="Y88" s="29">
        <f>ROUND((N88*G88+P88+M88)-K88, 2)</f>
        <v/>
      </c>
      <c r="Z88" s="30">
        <f>IF(K88&gt;0, Y88/K88, 0)</f>
        <v/>
      </c>
    </row>
    <row r="89">
      <c r="A89" s="20" t="inlineStr">
        <is>
          <t>0635-0003</t>
        </is>
      </c>
      <c r="B89" s="21" t="inlineStr">
        <is>
          <t>Ankara Food Services Sa de CV</t>
        </is>
      </c>
      <c r="C89" s="21" t="inlineStr">
        <is>
          <t>Glc 350 E</t>
        </is>
      </c>
      <c r="D89" s="20" t="inlineStr">
        <is>
          <t>ACTIVO</t>
        </is>
      </c>
      <c r="E89" s="20" t="inlineStr">
        <is>
          <t>2025-03-21</t>
        </is>
      </c>
      <c r="F89" s="20" t="inlineStr">
        <is>
          <t>2028-03-21</t>
        </is>
      </c>
      <c r="G89" s="22" t="n">
        <v>36</v>
      </c>
      <c r="H89" s="23" t="n">
        <v>1382896.55</v>
      </c>
      <c r="I89" s="24" t="n">
        <v>0.1489</v>
      </c>
      <c r="J89" s="23">
        <f>ROUND(H89*I89, 2)</f>
        <v/>
      </c>
      <c r="K89" s="23">
        <f>ROUND(H89-J89, 2)</f>
        <v/>
      </c>
      <c r="L89" s="24" t="n">
        <v>0</v>
      </c>
      <c r="M89" s="23">
        <f>ROUND(H89*L89, 2)</f>
        <v/>
      </c>
      <c r="N89" s="23" t="n">
        <v>49697.64</v>
      </c>
      <c r="O89" s="24" t="n">
        <v>1</v>
      </c>
      <c r="P89" s="23">
        <f>ROUND(H89*O89, 2)</f>
        <v/>
      </c>
      <c r="Q89" s="25" t="n">
        <v>0.02496682</v>
      </c>
      <c r="R89" s="25">
        <f>IFERROR(RATE(G89, -N89, K89, -P89), Q89)</f>
        <v/>
      </c>
      <c r="S89" s="25">
        <f>Q89*12</f>
        <v/>
      </c>
      <c r="T89" s="25">
        <f>((1+Q89)^12)-1</f>
        <v/>
      </c>
      <c r="U89" s="23">
        <f>IF(Q89&gt;0, ROUND(P89/((1+Q89)^G89), 2), P89)</f>
        <v/>
      </c>
      <c r="V89" s="23">
        <f>ROUND((N89*G89)-K89+P89, 2)</f>
        <v/>
      </c>
      <c r="W89" s="23">
        <f>ROUND(P89-U89, 2)</f>
        <v/>
      </c>
      <c r="X89" s="23">
        <f>ROUND(V89+W89, 2)</f>
        <v/>
      </c>
      <c r="Y89" s="23">
        <f>ROUND((N89*G89+P89+M89)-K89, 2)</f>
        <v/>
      </c>
      <c r="Z89" s="24">
        <f>IF(K89&gt;0, Y89/K89, 0)</f>
        <v/>
      </c>
    </row>
    <row r="90">
      <c r="A90" s="26" t="inlineStr">
        <is>
          <t>0635-0004</t>
        </is>
      </c>
      <c r="B90" s="27" t="inlineStr">
        <is>
          <t>Ankara Food Services Sa de CV</t>
        </is>
      </c>
      <c r="C90" s="27" t="inlineStr">
        <is>
          <t>Partner</t>
        </is>
      </c>
      <c r="D90" s="26" t="inlineStr">
        <is>
          <t>ACTIVO</t>
        </is>
      </c>
      <c r="E90" s="26" t="inlineStr">
        <is>
          <t>2025-04-29</t>
        </is>
      </c>
      <c r="F90" s="26" t="inlineStr">
        <is>
          <t>2028-04-29</t>
        </is>
      </c>
      <c r="G90" s="28" t="n">
        <v>36</v>
      </c>
      <c r="H90" s="29" t="n">
        <v>343879.31</v>
      </c>
      <c r="I90" s="30" t="n">
        <v>0.1489</v>
      </c>
      <c r="J90" s="29">
        <f>ROUND(H90*I90, 2)</f>
        <v/>
      </c>
      <c r="K90" s="29">
        <f>ROUND(H90-J90, 2)</f>
        <v/>
      </c>
      <c r="L90" s="30" t="n">
        <v>0.02</v>
      </c>
      <c r="M90" s="29">
        <f>ROUND(H90*L90, 2)</f>
        <v/>
      </c>
      <c r="N90" s="29" t="n">
        <v>12358.11</v>
      </c>
      <c r="O90" s="30" t="n">
        <v>1</v>
      </c>
      <c r="P90" s="29">
        <f>ROUND(H90*O90, 2)</f>
        <v/>
      </c>
      <c r="Q90" s="31" t="n">
        <v>0.02496683</v>
      </c>
      <c r="R90" s="31">
        <f>IFERROR(RATE(G90, -N90, K90, -P90), Q90)</f>
        <v/>
      </c>
      <c r="S90" s="31">
        <f>Q90*12</f>
        <v/>
      </c>
      <c r="T90" s="31">
        <f>((1+Q90)^12)-1</f>
        <v/>
      </c>
      <c r="U90" s="29">
        <f>IF(Q90&gt;0, ROUND(P90/((1+Q90)^G90), 2), P90)</f>
        <v/>
      </c>
      <c r="V90" s="29">
        <f>ROUND((N90*G90)-K90+P90, 2)</f>
        <v/>
      </c>
      <c r="W90" s="29">
        <f>ROUND(P90-U90, 2)</f>
        <v/>
      </c>
      <c r="X90" s="29">
        <f>ROUND(V90+W90, 2)</f>
        <v/>
      </c>
      <c r="Y90" s="29">
        <f>ROUND((N90*G90+P90+M90)-K90, 2)</f>
        <v/>
      </c>
      <c r="Z90" s="30">
        <f>IF(K90&gt;0, Y90/K90, 0)</f>
        <v/>
      </c>
    </row>
    <row r="91">
      <c r="A91" s="20" t="inlineStr">
        <is>
          <t>0635-0005</t>
        </is>
      </c>
      <c r="B91" s="21" t="inlineStr">
        <is>
          <t>Ankara Food Services Sa de CV</t>
        </is>
      </c>
      <c r="C91" s="21" t="inlineStr">
        <is>
          <t>Manager</t>
        </is>
      </c>
      <c r="D91" s="20" t="inlineStr">
        <is>
          <t>ACTIVO</t>
        </is>
      </c>
      <c r="E91" s="20" t="inlineStr">
        <is>
          <t>2025-04-29</t>
        </is>
      </c>
      <c r="F91" s="20" t="inlineStr">
        <is>
          <t>2028-04-29</t>
        </is>
      </c>
      <c r="G91" s="22" t="n">
        <v>36</v>
      </c>
      <c r="H91" s="23" t="n">
        <v>531810.34</v>
      </c>
      <c r="I91" s="24" t="n">
        <v>0.1489</v>
      </c>
      <c r="J91" s="23">
        <f>ROUND(H91*I91, 2)</f>
        <v/>
      </c>
      <c r="K91" s="23">
        <f>ROUND(H91-J91, 2)</f>
        <v/>
      </c>
      <c r="L91" s="24" t="n">
        <v>0</v>
      </c>
      <c r="M91" s="23">
        <f>ROUND(H91*L91, 2)</f>
        <v/>
      </c>
      <c r="N91" s="23" t="n">
        <v>19111.85</v>
      </c>
      <c r="O91" s="24" t="n">
        <v>1</v>
      </c>
      <c r="P91" s="23">
        <f>ROUND(H91*O91, 2)</f>
        <v/>
      </c>
      <c r="Q91" s="25" t="n">
        <v>0.02496682</v>
      </c>
      <c r="R91" s="25">
        <f>IFERROR(RATE(G91, -N91, K91, -P91), Q91)</f>
        <v/>
      </c>
      <c r="S91" s="25">
        <f>Q91*12</f>
        <v/>
      </c>
      <c r="T91" s="25">
        <f>((1+Q91)^12)-1</f>
        <v/>
      </c>
      <c r="U91" s="23">
        <f>IF(Q91&gt;0, ROUND(P91/((1+Q91)^G91), 2), P91)</f>
        <v/>
      </c>
      <c r="V91" s="23">
        <f>ROUND((N91*G91)-K91+P91, 2)</f>
        <v/>
      </c>
      <c r="W91" s="23">
        <f>ROUND(P91-U91, 2)</f>
        <v/>
      </c>
      <c r="X91" s="23">
        <f>ROUND(V91+W91, 2)</f>
        <v/>
      </c>
      <c r="Y91" s="23">
        <f>ROUND((N91*G91+P91+M91)-K91, 2)</f>
        <v/>
      </c>
      <c r="Z91" s="24">
        <f>IF(K91&gt;0, Y91/K91, 0)</f>
        <v/>
      </c>
    </row>
    <row r="92">
      <c r="A92" s="26" t="inlineStr">
        <is>
          <t>0635-0006</t>
        </is>
      </c>
      <c r="B92" s="27" t="inlineStr">
        <is>
          <t>Ankara Food Services Sa de CV</t>
        </is>
      </c>
      <c r="C92" s="27" t="inlineStr">
        <is>
          <t>Mobi</t>
        </is>
      </c>
      <c r="D92" s="26" t="inlineStr">
        <is>
          <t>ACTIVO</t>
        </is>
      </c>
      <c r="E92" s="26" t="inlineStr">
        <is>
          <t>2025-06-17</t>
        </is>
      </c>
      <c r="F92" s="26" t="inlineStr">
        <is>
          <t>2027-06-17</t>
        </is>
      </c>
      <c r="G92" s="28" t="n">
        <v>24</v>
      </c>
      <c r="H92" s="29" t="n">
        <v>212931.03</v>
      </c>
      <c r="I92" s="30" t="n">
        <v>0.3</v>
      </c>
      <c r="J92" s="29">
        <f>ROUND(H92*I92, 2)</f>
        <v/>
      </c>
      <c r="K92" s="29">
        <f>ROUND(H92-J92, 2)</f>
        <v/>
      </c>
      <c r="L92" s="30" t="n">
        <v>0.02</v>
      </c>
      <c r="M92" s="29">
        <f>ROUND(H92*L92, 2)</f>
        <v/>
      </c>
      <c r="N92" s="29" t="n">
        <v>8203.17</v>
      </c>
      <c r="O92" s="30" t="n">
        <v>1</v>
      </c>
      <c r="P92" s="29">
        <f>ROUND(H92*O92, 2)</f>
        <v/>
      </c>
      <c r="Q92" s="31" t="n">
        <v>0.02429975</v>
      </c>
      <c r="R92" s="31">
        <f>IFERROR(RATE(G92, -N92, K92, -P92), Q92)</f>
        <v/>
      </c>
      <c r="S92" s="31">
        <f>Q92*12</f>
        <v/>
      </c>
      <c r="T92" s="31">
        <f>((1+Q92)^12)-1</f>
        <v/>
      </c>
      <c r="U92" s="29">
        <f>IF(Q92&gt;0, ROUND(P92/((1+Q92)^G92), 2), P92)</f>
        <v/>
      </c>
      <c r="V92" s="29">
        <f>ROUND((N92*G92)-K92+P92, 2)</f>
        <v/>
      </c>
      <c r="W92" s="29">
        <f>ROUND(P92-U92, 2)</f>
        <v/>
      </c>
      <c r="X92" s="29">
        <f>ROUND(V92+W92, 2)</f>
        <v/>
      </c>
      <c r="Y92" s="29">
        <f>ROUND((N92*G92+P92+M92)-K92, 2)</f>
        <v/>
      </c>
      <c r="Z92" s="30">
        <f>IF(K92&gt;0, Y92/K92, 0)</f>
        <v/>
      </c>
    </row>
    <row r="93">
      <c r="A93" s="20" t="inlineStr">
        <is>
          <t>0635-0007</t>
        </is>
      </c>
      <c r="B93" s="21" t="inlineStr">
        <is>
          <t>Ankara Food Services Sa de CV</t>
        </is>
      </c>
      <c r="C93" s="21" t="inlineStr">
        <is>
          <t>Mobi</t>
        </is>
      </c>
      <c r="D93" s="20" t="inlineStr">
        <is>
          <t>ACTIVO</t>
        </is>
      </c>
      <c r="E93" s="20" t="inlineStr">
        <is>
          <t>2025-06-17</t>
        </is>
      </c>
      <c r="F93" s="20" t="inlineStr">
        <is>
          <t>2027-06-17</t>
        </is>
      </c>
      <c r="G93" s="22" t="n">
        <v>24</v>
      </c>
      <c r="H93" s="23" t="n">
        <v>212931.03</v>
      </c>
      <c r="I93" s="24" t="n">
        <v>0.3</v>
      </c>
      <c r="J93" s="23">
        <f>ROUND(H93*I93, 2)</f>
        <v/>
      </c>
      <c r="K93" s="23">
        <f>ROUND(H93-J93, 2)</f>
        <v/>
      </c>
      <c r="L93" s="24" t="n">
        <v>0.02</v>
      </c>
      <c r="M93" s="23">
        <f>ROUND(H93*L93, 2)</f>
        <v/>
      </c>
      <c r="N93" s="23" t="n">
        <v>8203.17</v>
      </c>
      <c r="O93" s="24" t="n">
        <v>1</v>
      </c>
      <c r="P93" s="23">
        <f>ROUND(H93*O93, 2)</f>
        <v/>
      </c>
      <c r="Q93" s="25" t="n">
        <v>0.02429975</v>
      </c>
      <c r="R93" s="25">
        <f>IFERROR(RATE(G93, -N93, K93, -P93), Q93)</f>
        <v/>
      </c>
      <c r="S93" s="25">
        <f>Q93*12</f>
        <v/>
      </c>
      <c r="T93" s="25">
        <f>((1+Q93)^12)-1</f>
        <v/>
      </c>
      <c r="U93" s="23">
        <f>IF(Q93&gt;0, ROUND(P93/((1+Q93)^G93), 2), P93)</f>
        <v/>
      </c>
      <c r="V93" s="23">
        <f>ROUND((N93*G93)-K93+P93, 2)</f>
        <v/>
      </c>
      <c r="W93" s="23">
        <f>ROUND(P93-U93, 2)</f>
        <v/>
      </c>
      <c r="X93" s="23">
        <f>ROUND(V93+W93, 2)</f>
        <v/>
      </c>
      <c r="Y93" s="23">
        <f>ROUND((N93*G93+P93+M93)-K93, 2)</f>
        <v/>
      </c>
      <c r="Z93" s="24">
        <f>IF(K93&gt;0, Y93/K93, 0)</f>
        <v/>
      </c>
    </row>
    <row r="94">
      <c r="A94" s="26" t="inlineStr">
        <is>
          <t>0635-0008</t>
        </is>
      </c>
      <c r="B94" s="27" t="inlineStr">
        <is>
          <t>Ankara Food Services Sa de CV</t>
        </is>
      </c>
      <c r="C94" s="27" t="inlineStr">
        <is>
          <t>Wrangler 4 XE</t>
        </is>
      </c>
      <c r="D94" s="26" t="inlineStr">
        <is>
          <t>ACTIVO</t>
        </is>
      </c>
      <c r="E94" s="26" t="inlineStr">
        <is>
          <t>2025-10-31</t>
        </is>
      </c>
      <c r="F94" s="26" t="inlineStr">
        <is>
          <t>2029-10-31</t>
        </is>
      </c>
      <c r="G94" s="28" t="n">
        <v>48</v>
      </c>
      <c r="H94" s="29" t="n">
        <v>1229224.14</v>
      </c>
      <c r="I94" s="30" t="n">
        <v>0.4</v>
      </c>
      <c r="J94" s="29">
        <f>ROUND(H94*I94, 2)</f>
        <v/>
      </c>
      <c r="K94" s="29">
        <f>ROUND(H94-J94, 2)</f>
        <v/>
      </c>
      <c r="L94" s="30" t="n">
        <v>0</v>
      </c>
      <c r="M94" s="29">
        <f>ROUND(H94*L94, 2)</f>
        <v/>
      </c>
      <c r="N94" s="29" t="n">
        <v>26263.81</v>
      </c>
      <c r="O94" s="30" t="n">
        <v>0.1</v>
      </c>
      <c r="P94" s="29">
        <f>ROUND(H94*O94, 2)</f>
        <v/>
      </c>
      <c r="Q94" s="31" t="n">
        <v>0.02690906</v>
      </c>
      <c r="R94" s="31">
        <f>IFERROR(RATE(G94, -N94, K94, -P94), Q94)</f>
        <v/>
      </c>
      <c r="S94" s="31">
        <f>Q94*12</f>
        <v/>
      </c>
      <c r="T94" s="31">
        <f>((1+Q94)^12)-1</f>
        <v/>
      </c>
      <c r="U94" s="29">
        <f>IF(Q94&gt;0, ROUND(P94/((1+Q94)^G94), 2), P94)</f>
        <v/>
      </c>
      <c r="V94" s="29">
        <f>ROUND((N94*G94)-K94+P94, 2)</f>
        <v/>
      </c>
      <c r="W94" s="29">
        <f>ROUND(P94-U94, 2)</f>
        <v/>
      </c>
      <c r="X94" s="29">
        <f>ROUND(V94+W94, 2)</f>
        <v/>
      </c>
      <c r="Y94" s="29">
        <f>ROUND((N94*G94+P94+M94)-K94, 2)</f>
        <v/>
      </c>
      <c r="Z94" s="30">
        <f>IF(K94&gt;0, Y94/K94, 0)</f>
        <v/>
      </c>
    </row>
    <row r="95">
      <c r="A95" s="20" t="inlineStr">
        <is>
          <t>0640-0001</t>
        </is>
      </c>
      <c r="B95" s="21" t="inlineStr">
        <is>
          <t>Marco Abner Hernand Barragan</t>
        </is>
      </c>
      <c r="C95" s="21" t="inlineStr">
        <is>
          <t>RIFTER</t>
        </is>
      </c>
      <c r="D95" s="20" t="inlineStr">
        <is>
          <t>ACTIVO</t>
        </is>
      </c>
      <c r="E95" s="20" t="inlineStr">
        <is>
          <t>2023-12-13</t>
        </is>
      </c>
      <c r="F95" s="20" t="inlineStr">
        <is>
          <t>2027-12-13</t>
        </is>
      </c>
      <c r="G95" s="22" t="n">
        <v>48</v>
      </c>
      <c r="H95" s="23" t="n">
        <v>446465.52</v>
      </c>
      <c r="I95" s="24" t="n">
        <v>0.1</v>
      </c>
      <c r="J95" s="23">
        <f>ROUND(H95*I95, 2)</f>
        <v/>
      </c>
      <c r="K95" s="23">
        <f>ROUND(H95-J95, 2)</f>
        <v/>
      </c>
      <c r="L95" s="24" t="n">
        <v>0.027</v>
      </c>
      <c r="M95" s="23">
        <f>ROUND(H95*L95, 2)</f>
        <v/>
      </c>
      <c r="N95" s="23" t="n">
        <v>15572.15</v>
      </c>
      <c r="O95" s="24" t="n">
        <v>0.2</v>
      </c>
      <c r="P95" s="23">
        <f>ROUND(H95*O95, 2)</f>
        <v/>
      </c>
      <c r="Q95" s="25" t="n">
        <v>0.03164265</v>
      </c>
      <c r="R95" s="25">
        <f>IFERROR(RATE(G95, -N95, K95, -P95), Q95)</f>
        <v/>
      </c>
      <c r="S95" s="25">
        <f>Q95*12</f>
        <v/>
      </c>
      <c r="T95" s="25">
        <f>((1+Q95)^12)-1</f>
        <v/>
      </c>
      <c r="U95" s="23">
        <f>IF(Q95&gt;0, ROUND(P95/((1+Q95)^G95), 2), P95)</f>
        <v/>
      </c>
      <c r="V95" s="23">
        <f>ROUND((N95*G95)-K95+P95, 2)</f>
        <v/>
      </c>
      <c r="W95" s="23">
        <f>ROUND(P95-U95, 2)</f>
        <v/>
      </c>
      <c r="X95" s="23">
        <f>ROUND(V95+W95, 2)</f>
        <v/>
      </c>
      <c r="Y95" s="23">
        <f>ROUND((N95*G95+P95+M95)-K95, 2)</f>
        <v/>
      </c>
      <c r="Z95" s="24">
        <f>IF(K95&gt;0, Y95/K95, 0)</f>
        <v/>
      </c>
    </row>
    <row r="96">
      <c r="A96" s="26" t="inlineStr">
        <is>
          <t>0641-0001</t>
        </is>
      </c>
      <c r="B96" s="27" t="inlineStr">
        <is>
          <t>Agrideaz Sa de Cv</t>
        </is>
      </c>
      <c r="C96" s="27" t="inlineStr">
        <is>
          <t>Pulse Audace</t>
        </is>
      </c>
      <c r="D96" s="26" t="inlineStr">
        <is>
          <t>ACTIVO</t>
        </is>
      </c>
      <c r="E96" s="26" t="inlineStr">
        <is>
          <t>2023-11-30</t>
        </is>
      </c>
      <c r="F96" s="26" t="inlineStr">
        <is>
          <t>2026-11-30</t>
        </is>
      </c>
      <c r="G96" s="28" t="n">
        <v>36</v>
      </c>
      <c r="H96" s="29" t="n">
        <v>350344.83</v>
      </c>
      <c r="I96" s="30" t="n">
        <v>0.35</v>
      </c>
      <c r="J96" s="29">
        <f>ROUND(H96*I96, 2)</f>
        <v/>
      </c>
      <c r="K96" s="29">
        <f>ROUND(H96-J96, 2)</f>
        <v/>
      </c>
      <c r="L96" s="30" t="n">
        <v>0.027</v>
      </c>
      <c r="M96" s="29">
        <f>ROUND(H96*L96, 2)</f>
        <v/>
      </c>
      <c r="N96" s="29" t="n">
        <v>13065.38</v>
      </c>
      <c r="O96" s="30" t="n">
        <v>0.35</v>
      </c>
      <c r="P96" s="29">
        <f>ROUND(H96*O96, 2)</f>
        <v/>
      </c>
      <c r="Q96" s="31" t="n">
        <v>0.05284384</v>
      </c>
      <c r="R96" s="31">
        <f>IFERROR(RATE(G96, -N96, K96, -P96), Q96)</f>
        <v/>
      </c>
      <c r="S96" s="31">
        <f>Q96*12</f>
        <v/>
      </c>
      <c r="T96" s="31">
        <f>((1+Q96)^12)-1</f>
        <v/>
      </c>
      <c r="U96" s="29">
        <f>IF(Q96&gt;0, ROUND(P96/((1+Q96)^G96), 2), P96)</f>
        <v/>
      </c>
      <c r="V96" s="29">
        <f>ROUND((N96*G96)-K96+P96, 2)</f>
        <v/>
      </c>
      <c r="W96" s="29">
        <f>ROUND(P96-U96, 2)</f>
        <v/>
      </c>
      <c r="X96" s="29">
        <f>ROUND(V96+W96, 2)</f>
        <v/>
      </c>
      <c r="Y96" s="29">
        <f>ROUND((N96*G96+P96+M96)-K96, 2)</f>
        <v/>
      </c>
      <c r="Z96" s="30">
        <f>IF(K96&gt;0, Y96/K96, 0)</f>
        <v/>
      </c>
    </row>
    <row r="97">
      <c r="A97" s="20" t="inlineStr">
        <is>
          <t>0641-0002</t>
        </is>
      </c>
      <c r="B97" s="21" t="inlineStr">
        <is>
          <t>Agrideaz Sa de Cv</t>
        </is>
      </c>
      <c r="C97" s="21" t="inlineStr">
        <is>
          <t>MOBI</t>
        </is>
      </c>
      <c r="D97" s="20" t="inlineStr">
        <is>
          <t>ACTIVO</t>
        </is>
      </c>
      <c r="E97" s="20" t="inlineStr">
        <is>
          <t>2023-11-30</t>
        </is>
      </c>
      <c r="F97" s="20" t="inlineStr">
        <is>
          <t>2026-11-30</t>
        </is>
      </c>
      <c r="G97" s="22" t="n">
        <v>36</v>
      </c>
      <c r="H97" s="23" t="n">
        <v>217241.38</v>
      </c>
      <c r="I97" s="24" t="n">
        <v>0.35</v>
      </c>
      <c r="J97" s="23">
        <f>ROUND(H97*I97, 2)</f>
        <v/>
      </c>
      <c r="K97" s="23">
        <f>ROUND(H97-J97, 2)</f>
        <v/>
      </c>
      <c r="L97" s="24" t="n">
        <v>0.027</v>
      </c>
      <c r="M97" s="23">
        <f>ROUND(H97*L97, 2)</f>
        <v/>
      </c>
      <c r="N97" s="23" t="n">
        <v>8223.959999999999</v>
      </c>
      <c r="O97" s="24" t="n">
        <v>0.35</v>
      </c>
      <c r="P97" s="23">
        <f>ROUND(H97*O97, 2)</f>
        <v/>
      </c>
      <c r="Q97" s="25" t="n">
        <v>0.05380382</v>
      </c>
      <c r="R97" s="25">
        <f>IFERROR(RATE(G97, -N97, K97, -P97), Q97)</f>
        <v/>
      </c>
      <c r="S97" s="25">
        <f>Q97*12</f>
        <v/>
      </c>
      <c r="T97" s="25">
        <f>((1+Q97)^12)-1</f>
        <v/>
      </c>
      <c r="U97" s="23">
        <f>IF(Q97&gt;0, ROUND(P97/((1+Q97)^G97), 2), P97)</f>
        <v/>
      </c>
      <c r="V97" s="23">
        <f>ROUND((N97*G97)-K97+P97, 2)</f>
        <v/>
      </c>
      <c r="W97" s="23">
        <f>ROUND(P97-U97, 2)</f>
        <v/>
      </c>
      <c r="X97" s="23">
        <f>ROUND(V97+W97, 2)</f>
        <v/>
      </c>
      <c r="Y97" s="23">
        <f>ROUND((N97*G97+P97+M97)-K97, 2)</f>
        <v/>
      </c>
      <c r="Z97" s="24">
        <f>IF(K97&gt;0, Y97/K97, 0)</f>
        <v/>
      </c>
    </row>
    <row r="98">
      <c r="A98" s="26" t="inlineStr">
        <is>
          <t>0642-0001</t>
        </is>
      </c>
      <c r="B98" s="27" t="inlineStr">
        <is>
          <t>Incubadora de Occidente Sa de Cv</t>
        </is>
      </c>
      <c r="C98" s="27" t="inlineStr">
        <is>
          <t>GRAND CHEROKEE LIMITED</t>
        </is>
      </c>
      <c r="D98" s="26" t="inlineStr">
        <is>
          <t>ACTIVO</t>
        </is>
      </c>
      <c r="E98" s="26" t="inlineStr">
        <is>
          <t>2023-12-22</t>
        </is>
      </c>
      <c r="F98" s="26" t="inlineStr">
        <is>
          <t>2027-12-22</t>
        </is>
      </c>
      <c r="G98" s="28" t="n">
        <v>48</v>
      </c>
      <c r="H98" s="29" t="n">
        <v>1137898.28</v>
      </c>
      <c r="I98" s="30" t="n">
        <v>0.2227</v>
      </c>
      <c r="J98" s="29">
        <f>ROUND(H98*I98, 2)</f>
        <v/>
      </c>
      <c r="K98" s="29">
        <f>ROUND(H98-J98, 2)</f>
        <v/>
      </c>
      <c r="L98" s="30" t="n">
        <v>0.015</v>
      </c>
      <c r="M98" s="29">
        <f>ROUND(H98*L98, 2)</f>
        <v/>
      </c>
      <c r="N98" s="29" t="n">
        <v>30755.77</v>
      </c>
      <c r="O98" s="30" t="n">
        <v>0.35</v>
      </c>
      <c r="P98" s="29">
        <f>ROUND(H98*O98, 2)</f>
        <v/>
      </c>
      <c r="Q98" s="31" t="n">
        <v>0.02942085</v>
      </c>
      <c r="R98" s="31">
        <f>IFERROR(RATE(G98, -N98, K98, -P98), Q98)</f>
        <v/>
      </c>
      <c r="S98" s="31">
        <f>Q98*12</f>
        <v/>
      </c>
      <c r="T98" s="31">
        <f>((1+Q98)^12)-1</f>
        <v/>
      </c>
      <c r="U98" s="29">
        <f>IF(Q98&gt;0, ROUND(P98/((1+Q98)^G98), 2), P98)</f>
        <v/>
      </c>
      <c r="V98" s="29">
        <f>ROUND((N98*G98)-K98+P98, 2)</f>
        <v/>
      </c>
      <c r="W98" s="29">
        <f>ROUND(P98-U98, 2)</f>
        <v/>
      </c>
      <c r="X98" s="29">
        <f>ROUND(V98+W98, 2)</f>
        <v/>
      </c>
      <c r="Y98" s="29">
        <f>ROUND((N98*G98+P98+M98)-K98, 2)</f>
        <v/>
      </c>
      <c r="Z98" s="30">
        <f>IF(K98&gt;0, Y98/K98, 0)</f>
        <v/>
      </c>
    </row>
    <row r="99">
      <c r="A99" s="20" t="inlineStr">
        <is>
          <t>0644-0005</t>
        </is>
      </c>
      <c r="B99" s="21" t="inlineStr">
        <is>
          <t>Bakaya S.A.P.I.</t>
        </is>
      </c>
      <c r="C99" s="21" t="inlineStr">
        <is>
          <t>i118</t>
        </is>
      </c>
      <c r="D99" s="20" t="inlineStr">
        <is>
          <t>ACTIVO</t>
        </is>
      </c>
      <c r="E99" s="20" t="inlineStr">
        <is>
          <t>2025-12-10</t>
        </is>
      </c>
      <c r="F99" s="20" t="inlineStr">
        <is>
          <t>2028-12-10</t>
        </is>
      </c>
      <c r="G99" s="22" t="n">
        <v>36</v>
      </c>
      <c r="H99" s="23" t="n">
        <v>710689.66</v>
      </c>
      <c r="I99" s="24" t="n">
        <v>0.1</v>
      </c>
      <c r="J99" s="23">
        <f>ROUND(H99*I99, 2)</f>
        <v/>
      </c>
      <c r="K99" s="23">
        <f>ROUND(H99-J99, 2)</f>
        <v/>
      </c>
      <c r="L99" s="24" t="n">
        <v>1</v>
      </c>
      <c r="M99" s="23">
        <f>ROUND(H99*L99, 2)</f>
        <v/>
      </c>
      <c r="N99" s="23" t="n">
        <v>20728.19</v>
      </c>
      <c r="O99" s="24" t="n">
        <v>0.4</v>
      </c>
      <c r="P99" s="23">
        <f>ROUND(H99*O99, 2)</f>
        <v/>
      </c>
      <c r="Q99" s="25" t="n">
        <v>0.02215859</v>
      </c>
      <c r="R99" s="25">
        <f>IFERROR(RATE(G99, -N99, K99, -P99), Q99)</f>
        <v/>
      </c>
      <c r="S99" s="25">
        <f>Q99*12</f>
        <v/>
      </c>
      <c r="T99" s="25">
        <f>((1+Q99)^12)-1</f>
        <v/>
      </c>
      <c r="U99" s="23">
        <f>IF(Q99&gt;0, ROUND(P99/((1+Q99)^G99), 2), P99)</f>
        <v/>
      </c>
      <c r="V99" s="23">
        <f>ROUND((N99*G99)-K99+P99, 2)</f>
        <v/>
      </c>
      <c r="W99" s="23">
        <f>ROUND(P99-U99, 2)</f>
        <v/>
      </c>
      <c r="X99" s="23">
        <f>ROUND(V99+W99, 2)</f>
        <v/>
      </c>
      <c r="Y99" s="23">
        <f>ROUND((N99*G99+P99+M99)-K99, 2)</f>
        <v/>
      </c>
      <c r="Z99" s="24">
        <f>IF(K99&gt;0, Y99/K99, 0)</f>
        <v/>
      </c>
    </row>
    <row r="100">
      <c r="A100" s="26" t="inlineStr">
        <is>
          <t>0644-0006</t>
        </is>
      </c>
      <c r="B100" s="27" t="inlineStr">
        <is>
          <t>Bkaya S.A.P.I.</t>
        </is>
      </c>
      <c r="C100" s="27" t="inlineStr">
        <is>
          <t>Highlander XLE</t>
        </is>
      </c>
      <c r="D100" s="26" t="inlineStr">
        <is>
          <t>ACTIVO</t>
        </is>
      </c>
      <c r="E100" s="26" t="inlineStr">
        <is>
          <t>2026-02-25</t>
        </is>
      </c>
      <c r="F100" s="26" t="inlineStr">
        <is>
          <t>2029-02-25</t>
        </is>
      </c>
      <c r="G100" s="28" t="n">
        <v>36</v>
      </c>
      <c r="H100" s="29" t="n">
        <v>819741.38</v>
      </c>
      <c r="I100" s="30" t="n">
        <v>0.08</v>
      </c>
      <c r="J100" s="29">
        <f>ROUND(H100*I100, 2)</f>
        <v/>
      </c>
      <c r="K100" s="29">
        <f>ROUND(H100-J100, 2)</f>
        <v/>
      </c>
      <c r="L100" s="30" t="n">
        <v>1</v>
      </c>
      <c r="M100" s="29">
        <f>ROUND(H100*L100, 2)</f>
        <v/>
      </c>
      <c r="N100" s="29" t="n">
        <v>24081.62</v>
      </c>
      <c r="O100" s="30" t="n">
        <v>0.5</v>
      </c>
      <c r="P100" s="29">
        <f>ROUND(H100*O100, 2)</f>
        <v/>
      </c>
      <c r="Q100" s="31" t="n">
        <v>0.02377035</v>
      </c>
      <c r="R100" s="31">
        <f>IFERROR(RATE(G100, -N100, K100, -P100), Q100)</f>
        <v/>
      </c>
      <c r="S100" s="31">
        <f>Q100*12</f>
        <v/>
      </c>
      <c r="T100" s="31">
        <f>((1+Q100)^12)-1</f>
        <v/>
      </c>
      <c r="U100" s="29">
        <f>IF(Q100&gt;0, ROUND(P100/((1+Q100)^G100), 2), P100)</f>
        <v/>
      </c>
      <c r="V100" s="29">
        <f>ROUND((N100*G100)-K100+P100, 2)</f>
        <v/>
      </c>
      <c r="W100" s="29">
        <f>ROUND(P100-U100, 2)</f>
        <v/>
      </c>
      <c r="X100" s="29">
        <f>ROUND(V100+W100, 2)</f>
        <v/>
      </c>
      <c r="Y100" s="29">
        <f>ROUND((N100*G100+P100+M100)-K100, 2)</f>
        <v/>
      </c>
      <c r="Z100" s="30">
        <f>IF(K100&gt;0, Y100/K100, 0)</f>
        <v/>
      </c>
    </row>
    <row r="101">
      <c r="A101" s="20" t="inlineStr">
        <is>
          <t>0645-0001</t>
        </is>
      </c>
      <c r="B101" s="21" t="inlineStr">
        <is>
          <t>Armando Duran Rubio</t>
        </is>
      </c>
      <c r="C101" s="21" t="inlineStr">
        <is>
          <t>Ram 1500 Bighorn</t>
        </is>
      </c>
      <c r="D101" s="20" t="inlineStr">
        <is>
          <t>ACTIVO</t>
        </is>
      </c>
      <c r="E101" s="20" t="inlineStr">
        <is>
          <t>2023-12-28</t>
        </is>
      </c>
      <c r="F101" s="20" t="inlineStr">
        <is>
          <t>2027-12-28</t>
        </is>
      </c>
      <c r="G101" s="22" t="n">
        <v>48</v>
      </c>
      <c r="H101" s="23" t="n">
        <v>831810.34</v>
      </c>
      <c r="I101" s="24" t="n">
        <v>0.2</v>
      </c>
      <c r="J101" s="23">
        <f>ROUND(H101*I101, 2)</f>
        <v/>
      </c>
      <c r="K101" s="23">
        <f>ROUND(H101-J101, 2)</f>
        <v/>
      </c>
      <c r="L101" s="24" t="n">
        <v>0.027</v>
      </c>
      <c r="M101" s="23">
        <f>ROUND(H101*L101, 2)</f>
        <v/>
      </c>
      <c r="N101" s="23" t="n">
        <v>25627.81</v>
      </c>
      <c r="O101" s="24" t="n">
        <v>0.2</v>
      </c>
      <c r="P101" s="23">
        <f>ROUND(H101*O101, 2)</f>
        <v/>
      </c>
      <c r="Q101" s="25" t="n">
        <v>0.03165747</v>
      </c>
      <c r="R101" s="25">
        <f>IFERROR(RATE(G101, -N101, K101, -P101), Q101)</f>
        <v/>
      </c>
      <c r="S101" s="25">
        <f>Q101*12</f>
        <v/>
      </c>
      <c r="T101" s="25">
        <f>((1+Q101)^12)-1</f>
        <v/>
      </c>
      <c r="U101" s="23">
        <f>IF(Q101&gt;0, ROUND(P101/((1+Q101)^G101), 2), P101)</f>
        <v/>
      </c>
      <c r="V101" s="23">
        <f>ROUND((N101*G101)-K101+P101, 2)</f>
        <v/>
      </c>
      <c r="W101" s="23">
        <f>ROUND(P101-U101, 2)</f>
        <v/>
      </c>
      <c r="X101" s="23">
        <f>ROUND(V101+W101, 2)</f>
        <v/>
      </c>
      <c r="Y101" s="23">
        <f>ROUND((N101*G101+P101+M101)-K101, 2)</f>
        <v/>
      </c>
      <c r="Z101" s="24">
        <f>IF(K101&gt;0, Y101/K101, 0)</f>
        <v/>
      </c>
    </row>
    <row r="102">
      <c r="A102" s="26" t="inlineStr">
        <is>
          <t>0646-0001</t>
        </is>
      </c>
      <c r="B102" s="27" t="inlineStr">
        <is>
          <t>Liza Minerva Magallanes Reimers</t>
        </is>
      </c>
      <c r="C102" s="27" t="inlineStr">
        <is>
          <t>Wrangler</t>
        </is>
      </c>
      <c r="D102" s="26" t="inlineStr">
        <is>
          <t>ACTIVO</t>
        </is>
      </c>
      <c r="E102" s="26" t="inlineStr">
        <is>
          <t>2024-01-12</t>
        </is>
      </c>
      <c r="F102" s="26" t="inlineStr">
        <is>
          <t>2028-01-12</t>
        </is>
      </c>
      <c r="G102" s="28" t="n">
        <v>48</v>
      </c>
      <c r="H102" s="29" t="n">
        <v>1120603.45</v>
      </c>
      <c r="I102" s="30" t="n">
        <v>0.3</v>
      </c>
      <c r="J102" s="29">
        <f>ROUND(H102*I102, 2)</f>
        <v/>
      </c>
      <c r="K102" s="29">
        <f>ROUND(H102-J102, 2)</f>
        <v/>
      </c>
      <c r="L102" s="30" t="n">
        <v>0.027</v>
      </c>
      <c r="M102" s="29">
        <f>ROUND(H102*L102, 2)</f>
        <v/>
      </c>
      <c r="N102" s="29" t="n">
        <v>29965.65</v>
      </c>
      <c r="O102" s="30" t="n">
        <v>0.2</v>
      </c>
      <c r="P102" s="29">
        <f>ROUND(H102*O102, 2)</f>
        <v/>
      </c>
      <c r="Q102" s="31" t="n">
        <v>0.03167615</v>
      </c>
      <c r="R102" s="31">
        <f>IFERROR(RATE(G102, -N102, K102, -P102), Q102)</f>
        <v/>
      </c>
      <c r="S102" s="31">
        <f>Q102*12</f>
        <v/>
      </c>
      <c r="T102" s="31">
        <f>((1+Q102)^12)-1</f>
        <v/>
      </c>
      <c r="U102" s="29">
        <f>IF(Q102&gt;0, ROUND(P102/((1+Q102)^G102), 2), P102)</f>
        <v/>
      </c>
      <c r="V102" s="29">
        <f>ROUND((N102*G102)-K102+P102, 2)</f>
        <v/>
      </c>
      <c r="W102" s="29">
        <f>ROUND(P102-U102, 2)</f>
        <v/>
      </c>
      <c r="X102" s="29">
        <f>ROUND(V102+W102, 2)</f>
        <v/>
      </c>
      <c r="Y102" s="29">
        <f>ROUND((N102*G102+P102+M102)-K102, 2)</f>
        <v/>
      </c>
      <c r="Z102" s="30">
        <f>IF(K102&gt;0, Y102/K102, 0)</f>
        <v/>
      </c>
    </row>
    <row r="103">
      <c r="A103" s="20" t="inlineStr">
        <is>
          <t>0647-0001</t>
        </is>
      </c>
      <c r="B103" s="21" t="inlineStr">
        <is>
          <t>Cibara Gourmet S de Rl de Cv</t>
        </is>
      </c>
      <c r="C103" s="21" t="inlineStr">
        <is>
          <t>Partner Maxi</t>
        </is>
      </c>
      <c r="D103" s="20" t="inlineStr">
        <is>
          <t>ACTIVO</t>
        </is>
      </c>
      <c r="E103" s="20" t="inlineStr">
        <is>
          <t>2024-01-10</t>
        </is>
      </c>
      <c r="F103" s="20" t="inlineStr">
        <is>
          <t>2027-01-10</t>
        </is>
      </c>
      <c r="G103" s="22" t="n">
        <v>36</v>
      </c>
      <c r="H103" s="23" t="n">
        <v>377500</v>
      </c>
      <c r="I103" s="24" t="n">
        <v>0.2</v>
      </c>
      <c r="J103" s="23">
        <f>ROUND(H103*I103, 2)</f>
        <v/>
      </c>
      <c r="K103" s="23">
        <f>ROUND(H103-J103, 2)</f>
        <v/>
      </c>
      <c r="L103" s="24" t="n">
        <v>0.027</v>
      </c>
      <c r="M103" s="23">
        <f>ROUND(H103*L103, 2)</f>
        <v/>
      </c>
      <c r="N103" s="23" t="n">
        <v>12944.93</v>
      </c>
      <c r="O103" s="24" t="n">
        <v>0.2</v>
      </c>
      <c r="P103" s="23">
        <f>ROUND(H103*O103, 2)</f>
        <v/>
      </c>
      <c r="Q103" s="25" t="n">
        <v>0.03132158</v>
      </c>
      <c r="R103" s="25">
        <f>IFERROR(RATE(G103, -N103, K103, -P103), Q103)</f>
        <v/>
      </c>
      <c r="S103" s="25">
        <f>Q103*12</f>
        <v/>
      </c>
      <c r="T103" s="25">
        <f>((1+Q103)^12)-1</f>
        <v/>
      </c>
      <c r="U103" s="23">
        <f>IF(Q103&gt;0, ROUND(P103/((1+Q103)^G103), 2), P103)</f>
        <v/>
      </c>
      <c r="V103" s="23">
        <f>ROUND((N103*G103)-K103+P103, 2)</f>
        <v/>
      </c>
      <c r="W103" s="23">
        <f>ROUND(P103-U103, 2)</f>
        <v/>
      </c>
      <c r="X103" s="23">
        <f>ROUND(V103+W103, 2)</f>
        <v/>
      </c>
      <c r="Y103" s="23">
        <f>ROUND((N103*G103+P103+M103)-K103, 2)</f>
        <v/>
      </c>
      <c r="Z103" s="24">
        <f>IF(K103&gt;0, Y103/K103, 0)</f>
        <v/>
      </c>
    </row>
    <row r="104">
      <c r="A104" s="26" t="inlineStr">
        <is>
          <t>0647-0002</t>
        </is>
      </c>
      <c r="B104" s="27" t="inlineStr">
        <is>
          <t>Cibara Gourmet S de Rl de Cv</t>
        </is>
      </c>
      <c r="C104" s="27" t="inlineStr">
        <is>
          <t>Rifter Allure Pack</t>
        </is>
      </c>
      <c r="D104" s="26" t="inlineStr">
        <is>
          <t>ACTIVO</t>
        </is>
      </c>
      <c r="E104" s="26" t="inlineStr">
        <is>
          <t>2024-08-14</t>
        </is>
      </c>
      <c r="F104" s="26" t="inlineStr">
        <is>
          <t>2027-08-14</t>
        </is>
      </c>
      <c r="G104" s="28" t="n">
        <v>36</v>
      </c>
      <c r="H104" s="29" t="n">
        <v>480086.21</v>
      </c>
      <c r="I104" s="30" t="n">
        <v>0.2</v>
      </c>
      <c r="J104" s="29">
        <f>ROUND(H104*I104, 2)</f>
        <v/>
      </c>
      <c r="K104" s="29">
        <f>ROUND(H104-J104, 2)</f>
        <v/>
      </c>
      <c r="L104" s="30" t="n">
        <v>0.027</v>
      </c>
      <c r="M104" s="29">
        <f>ROUND(H104*L104, 2)</f>
        <v/>
      </c>
      <c r="N104" s="29" t="n">
        <v>16462.73</v>
      </c>
      <c r="O104" s="30" t="n">
        <v>0.1</v>
      </c>
      <c r="P104" s="29">
        <f>ROUND(H104*O104, 2)</f>
        <v/>
      </c>
      <c r="Q104" s="31" t="n">
        <v>0.02866067</v>
      </c>
      <c r="R104" s="31">
        <f>IFERROR(RATE(G104, -N104, K104, -P104), Q104)</f>
        <v/>
      </c>
      <c r="S104" s="31">
        <f>Q104*12</f>
        <v/>
      </c>
      <c r="T104" s="31">
        <f>((1+Q104)^12)-1</f>
        <v/>
      </c>
      <c r="U104" s="29">
        <f>IF(Q104&gt;0, ROUND(P104/((1+Q104)^G104), 2), P104)</f>
        <v/>
      </c>
      <c r="V104" s="29">
        <f>ROUND((N104*G104)-K104+P104, 2)</f>
        <v/>
      </c>
      <c r="W104" s="29">
        <f>ROUND(P104-U104, 2)</f>
        <v/>
      </c>
      <c r="X104" s="29">
        <f>ROUND(V104+W104, 2)</f>
        <v/>
      </c>
      <c r="Y104" s="29">
        <f>ROUND((N104*G104+P104+M104)-K104, 2)</f>
        <v/>
      </c>
      <c r="Z104" s="30">
        <f>IF(K104&gt;0, Y104/K104, 0)</f>
        <v/>
      </c>
    </row>
    <row r="105">
      <c r="A105" s="20" t="inlineStr">
        <is>
          <t>0647-0003</t>
        </is>
      </c>
      <c r="B105" s="21" t="inlineStr">
        <is>
          <t>Cibaria Gourmet S de Rl de Cv</t>
        </is>
      </c>
      <c r="C105" s="21" t="inlineStr">
        <is>
          <t>1200 Bighorn</t>
        </is>
      </c>
      <c r="D105" s="20" t="inlineStr">
        <is>
          <t>ACTIVO</t>
        </is>
      </c>
      <c r="E105" s="20" t="inlineStr">
        <is>
          <t>2026-06-30</t>
        </is>
      </c>
      <c r="F105" s="20" t="inlineStr">
        <is>
          <t>2029-06-30</t>
        </is>
      </c>
      <c r="G105" s="22" t="n">
        <v>36</v>
      </c>
      <c r="H105" s="23" t="n">
        <v>562503</v>
      </c>
      <c r="I105" s="24" t="n">
        <v>0.3</v>
      </c>
      <c r="J105" s="23">
        <f>ROUND(H105*I105, 2)</f>
        <v/>
      </c>
      <c r="K105" s="23">
        <f>ROUND(H105-J105, 2)</f>
        <v/>
      </c>
      <c r="L105" s="24" t="n">
        <v>0.02</v>
      </c>
      <c r="M105" s="23">
        <f>ROUND(H105*L105, 2)</f>
        <v/>
      </c>
      <c r="N105" s="23" t="n">
        <v>16185.96</v>
      </c>
      <c r="O105" s="24" t="n">
        <v>0.3</v>
      </c>
      <c r="P105" s="23">
        <f>ROUND(H105*O105, 2)</f>
        <v/>
      </c>
      <c r="Q105" s="25" t="n">
        <v>0.03252344</v>
      </c>
      <c r="R105" s="25">
        <f>IFERROR(RATE(G105, -N105, K105, -P105), Q105)</f>
        <v/>
      </c>
      <c r="S105" s="25">
        <f>Q105*12</f>
        <v/>
      </c>
      <c r="T105" s="25">
        <f>((1+Q105)^12)-1</f>
        <v/>
      </c>
      <c r="U105" s="23">
        <f>IF(Q105&gt;0, ROUND(P105/((1+Q105)^G105), 2), P105)</f>
        <v/>
      </c>
      <c r="V105" s="23">
        <f>ROUND((N105*G105)-K105+P105, 2)</f>
        <v/>
      </c>
      <c r="W105" s="23">
        <f>ROUND(P105-U105, 2)</f>
        <v/>
      </c>
      <c r="X105" s="23">
        <f>ROUND(V105+W105, 2)</f>
        <v/>
      </c>
      <c r="Y105" s="23">
        <f>ROUND((N105*G105+P105+M105)-K105, 2)</f>
        <v/>
      </c>
      <c r="Z105" s="24">
        <f>IF(K105&gt;0, Y105/K105, 0)</f>
        <v/>
      </c>
    </row>
    <row r="106">
      <c r="A106" s="26" t="inlineStr">
        <is>
          <t>0647-0004</t>
        </is>
      </c>
      <c r="B106" s="27" t="inlineStr">
        <is>
          <t>Cibaria Gourmet S de Rl de Cv</t>
        </is>
      </c>
      <c r="C106" s="27" t="inlineStr">
        <is>
          <t>1200 Bighorn</t>
        </is>
      </c>
      <c r="D106" s="26" t="inlineStr">
        <is>
          <t>ACTIVO</t>
        </is>
      </c>
      <c r="E106" s="26" t="inlineStr">
        <is>
          <t>2026-06-30</t>
        </is>
      </c>
      <c r="F106" s="26" t="inlineStr">
        <is>
          <t>2029-06-30</t>
        </is>
      </c>
      <c r="G106" s="28" t="n">
        <v>36</v>
      </c>
      <c r="H106" s="29" t="n">
        <v>562503</v>
      </c>
      <c r="I106" s="30" t="n">
        <v>0.3</v>
      </c>
      <c r="J106" s="29">
        <f>ROUND(H106*I106, 2)</f>
        <v/>
      </c>
      <c r="K106" s="29">
        <f>ROUND(H106-J106, 2)</f>
        <v/>
      </c>
      <c r="L106" s="30" t="n">
        <v>0.02</v>
      </c>
      <c r="M106" s="29">
        <f>ROUND(H106*L106, 2)</f>
        <v/>
      </c>
      <c r="N106" s="29" t="n">
        <v>16185.96</v>
      </c>
      <c r="O106" s="30" t="n">
        <v>0.3</v>
      </c>
      <c r="P106" s="29">
        <f>ROUND(H106*O106, 2)</f>
        <v/>
      </c>
      <c r="Q106" s="31" t="n">
        <v>0.03252344</v>
      </c>
      <c r="R106" s="31">
        <f>IFERROR(RATE(G106, -N106, K106, -P106), Q106)</f>
        <v/>
      </c>
      <c r="S106" s="31">
        <f>Q106*12</f>
        <v/>
      </c>
      <c r="T106" s="31">
        <f>((1+Q106)^12)-1</f>
        <v/>
      </c>
      <c r="U106" s="29">
        <f>IF(Q106&gt;0, ROUND(P106/((1+Q106)^G106), 2), P106)</f>
        <v/>
      </c>
      <c r="V106" s="29">
        <f>ROUND((N106*G106)-K106+P106, 2)</f>
        <v/>
      </c>
      <c r="W106" s="29">
        <f>ROUND(P106-U106, 2)</f>
        <v/>
      </c>
      <c r="X106" s="29">
        <f>ROUND(V106+W106, 2)</f>
        <v/>
      </c>
      <c r="Y106" s="29">
        <f>ROUND((N106*G106+P106+M106)-K106, 2)</f>
        <v/>
      </c>
      <c r="Z106" s="30">
        <f>IF(K106&gt;0, Y106/K106, 0)</f>
        <v/>
      </c>
    </row>
    <row r="107">
      <c r="A107" s="20" t="inlineStr">
        <is>
          <t>0648-0002</t>
        </is>
      </c>
      <c r="B107" s="21" t="inlineStr">
        <is>
          <t>Jorge Luis Cervantes Gonzalez</t>
        </is>
      </c>
      <c r="C107" s="21" t="inlineStr">
        <is>
          <t>Wagoneer</t>
        </is>
      </c>
      <c r="D107" s="20" t="inlineStr">
        <is>
          <t>ACTIVO</t>
        </is>
      </c>
      <c r="E107" s="20" t="inlineStr">
        <is>
          <t>2024-03-20</t>
        </is>
      </c>
      <c r="F107" s="20" t="inlineStr">
        <is>
          <t>2028-03-20</t>
        </is>
      </c>
      <c r="G107" s="22" t="n">
        <v>48</v>
      </c>
      <c r="H107" s="23" t="n">
        <v>1661982.76</v>
      </c>
      <c r="I107" s="24" t="n">
        <v>0.3</v>
      </c>
      <c r="J107" s="23">
        <f>ROUND(H107*I107, 2)</f>
        <v/>
      </c>
      <c r="K107" s="23">
        <f>ROUND(H107-J107, 2)</f>
        <v/>
      </c>
      <c r="L107" s="24" t="n">
        <v>0.027</v>
      </c>
      <c r="M107" s="23">
        <f>ROUND(H107*L107, 2)</f>
        <v/>
      </c>
      <c r="N107" s="23" t="n">
        <v>45178.87</v>
      </c>
      <c r="O107" s="24" t="n">
        <v>0.2</v>
      </c>
      <c r="P107" s="23">
        <f>ROUND(H107*O107, 2)</f>
        <v/>
      </c>
      <c r="Q107" s="25" t="n">
        <v>0.03245132</v>
      </c>
      <c r="R107" s="25">
        <f>IFERROR(RATE(G107, -N107, K107, -P107), Q107)</f>
        <v/>
      </c>
      <c r="S107" s="25">
        <f>Q107*12</f>
        <v/>
      </c>
      <c r="T107" s="25">
        <f>((1+Q107)^12)-1</f>
        <v/>
      </c>
      <c r="U107" s="23">
        <f>IF(Q107&gt;0, ROUND(P107/((1+Q107)^G107), 2), P107)</f>
        <v/>
      </c>
      <c r="V107" s="23">
        <f>ROUND((N107*G107)-K107+P107, 2)</f>
        <v/>
      </c>
      <c r="W107" s="23">
        <f>ROUND(P107-U107, 2)</f>
        <v/>
      </c>
      <c r="X107" s="23">
        <f>ROUND(V107+W107, 2)</f>
        <v/>
      </c>
      <c r="Y107" s="23">
        <f>ROUND((N107*G107+P107+M107)-K107, 2)</f>
        <v/>
      </c>
      <c r="Z107" s="24">
        <f>IF(K107&gt;0, Y107/K107, 0)</f>
        <v/>
      </c>
    </row>
    <row r="108">
      <c r="A108" s="26" t="inlineStr">
        <is>
          <t>0648-0003</t>
        </is>
      </c>
      <c r="B108" s="27" t="inlineStr">
        <is>
          <t>Jorge Luis Cervantes Gonzalez</t>
        </is>
      </c>
      <c r="C108" s="27" t="inlineStr">
        <is>
          <t>Wrangler Tuscadero</t>
        </is>
      </c>
      <c r="D108" s="26" t="inlineStr">
        <is>
          <t>ACTIVO</t>
        </is>
      </c>
      <c r="E108" s="26" t="inlineStr">
        <is>
          <t>2024-07-30</t>
        </is>
      </c>
      <c r="F108" s="26" t="inlineStr">
        <is>
          <t>2028-07-30</t>
        </is>
      </c>
      <c r="G108" s="28" t="n">
        <v>48</v>
      </c>
      <c r="H108" s="29" t="n">
        <v>1219741.38</v>
      </c>
      <c r="I108" s="30" t="n">
        <v>0.1</v>
      </c>
      <c r="J108" s="29">
        <f>ROUND(H108*I108, 2)</f>
        <v/>
      </c>
      <c r="K108" s="29">
        <f>ROUND(H108-J108, 2)</f>
        <v/>
      </c>
      <c r="L108" s="30" t="n">
        <v>0.027</v>
      </c>
      <c r="M108" s="29">
        <f>ROUND(H108*L108, 2)</f>
        <v/>
      </c>
      <c r="N108" s="29" t="n">
        <v>42543.03</v>
      </c>
      <c r="O108" s="30" t="n">
        <v>0.2</v>
      </c>
      <c r="P108" s="29">
        <f>ROUND(H108*O108, 2)</f>
        <v/>
      </c>
      <c r="Q108" s="31" t="n">
        <v>0.03164265</v>
      </c>
      <c r="R108" s="31">
        <f>IFERROR(RATE(G108, -N108, K108, -P108), Q108)</f>
        <v/>
      </c>
      <c r="S108" s="31">
        <f>Q108*12</f>
        <v/>
      </c>
      <c r="T108" s="31">
        <f>((1+Q108)^12)-1</f>
        <v/>
      </c>
      <c r="U108" s="29">
        <f>IF(Q108&gt;0, ROUND(P108/((1+Q108)^G108), 2), P108)</f>
        <v/>
      </c>
      <c r="V108" s="29">
        <f>ROUND((N108*G108)-K108+P108, 2)</f>
        <v/>
      </c>
      <c r="W108" s="29">
        <f>ROUND(P108-U108, 2)</f>
        <v/>
      </c>
      <c r="X108" s="29">
        <f>ROUND(V108+W108, 2)</f>
        <v/>
      </c>
      <c r="Y108" s="29">
        <f>ROUND((N108*G108+P108+M108)-K108, 2)</f>
        <v/>
      </c>
      <c r="Z108" s="30">
        <f>IF(K108&gt;0, Y108/K108, 0)</f>
        <v/>
      </c>
    </row>
    <row r="109">
      <c r="A109" s="20" t="inlineStr">
        <is>
          <t>0648-0004</t>
        </is>
      </c>
      <c r="B109" s="21" t="inlineStr">
        <is>
          <t>Jorge Luis Cervantes Gonzalez</t>
        </is>
      </c>
      <c r="C109" s="21" t="inlineStr">
        <is>
          <t>JEEP 392</t>
        </is>
      </c>
      <c r="D109" s="20" t="inlineStr">
        <is>
          <t>ACTIVO</t>
        </is>
      </c>
      <c r="E109" s="20" t="inlineStr">
        <is>
          <t>2025-11-13</t>
        </is>
      </c>
      <c r="F109" s="20" t="inlineStr">
        <is>
          <t>2028-11-13</t>
        </is>
      </c>
      <c r="G109" s="22" t="n">
        <v>36</v>
      </c>
      <c r="H109" s="23" t="n">
        <v>1868017.24</v>
      </c>
      <c r="I109" s="24" t="n">
        <v>0.1</v>
      </c>
      <c r="J109" s="23">
        <f>ROUND(H109*I109, 2)</f>
        <v/>
      </c>
      <c r="K109" s="23">
        <f>ROUND(H109-J109, 2)</f>
        <v/>
      </c>
      <c r="L109" s="24" t="n">
        <v>0.02</v>
      </c>
      <c r="M109" s="23">
        <f>ROUND(H109*L109, 2)</f>
        <v/>
      </c>
      <c r="N109" s="23" t="n">
        <v>66886.62</v>
      </c>
      <c r="O109" s="24" t="n">
        <v>0.2</v>
      </c>
      <c r="P109" s="23">
        <f>ROUND(H109*O109, 2)</f>
        <v/>
      </c>
      <c r="Q109" s="25" t="n">
        <v>0.02664385</v>
      </c>
      <c r="R109" s="25">
        <f>IFERROR(RATE(G109, -N109, K109, -P109), Q109)</f>
        <v/>
      </c>
      <c r="S109" s="25">
        <f>Q109*12</f>
        <v/>
      </c>
      <c r="T109" s="25">
        <f>((1+Q109)^12)-1</f>
        <v/>
      </c>
      <c r="U109" s="23">
        <f>IF(Q109&gt;0, ROUND(P109/((1+Q109)^G109), 2), P109)</f>
        <v/>
      </c>
      <c r="V109" s="23">
        <f>ROUND((N109*G109)-K109+P109, 2)</f>
        <v/>
      </c>
      <c r="W109" s="23">
        <f>ROUND(P109-U109, 2)</f>
        <v/>
      </c>
      <c r="X109" s="23">
        <f>ROUND(V109+W109, 2)</f>
        <v/>
      </c>
      <c r="Y109" s="23">
        <f>ROUND((N109*G109+P109+M109)-K109, 2)</f>
        <v/>
      </c>
      <c r="Z109" s="24">
        <f>IF(K109&gt;0, Y109/K109, 0)</f>
        <v/>
      </c>
    </row>
    <row r="110">
      <c r="A110" s="26" t="inlineStr">
        <is>
          <t>0648-0005</t>
        </is>
      </c>
      <c r="B110" s="27" t="inlineStr">
        <is>
          <t>Jorge Luis Cervantes Gonzalez</t>
        </is>
      </c>
      <c r="C110" s="27" t="inlineStr">
        <is>
          <t>1500 RHO</t>
        </is>
      </c>
      <c r="D110" s="26" t="inlineStr">
        <is>
          <t>ACTIVO</t>
        </is>
      </c>
      <c r="E110" s="26" t="inlineStr">
        <is>
          <t>2026-01-30</t>
        </is>
      </c>
      <c r="F110" s="26" t="inlineStr">
        <is>
          <t>2029-01-30</t>
        </is>
      </c>
      <c r="G110" s="28" t="n">
        <v>36</v>
      </c>
      <c r="H110" s="29" t="n">
        <v>2008620.69</v>
      </c>
      <c r="I110" s="30" t="n">
        <v>0.1</v>
      </c>
      <c r="J110" s="29">
        <f>ROUND(H110*I110, 2)</f>
        <v/>
      </c>
      <c r="K110" s="29">
        <f>ROUND(H110-J110, 2)</f>
        <v/>
      </c>
      <c r="L110" s="30" t="n">
        <v>0.02</v>
      </c>
      <c r="M110" s="29">
        <f>ROUND(H110*L110, 2)</f>
        <v/>
      </c>
      <c r="N110" s="29" t="n">
        <v>71967.34</v>
      </c>
      <c r="O110" s="30" t="n">
        <v>0.2</v>
      </c>
      <c r="P110" s="29">
        <f>ROUND(H110*O110, 2)</f>
        <v/>
      </c>
      <c r="Q110" s="31" t="n">
        <v>0.0266784</v>
      </c>
      <c r="R110" s="31">
        <f>IFERROR(RATE(G110, -N110, K110, -P110), Q110)</f>
        <v/>
      </c>
      <c r="S110" s="31">
        <f>Q110*12</f>
        <v/>
      </c>
      <c r="T110" s="31">
        <f>((1+Q110)^12)-1</f>
        <v/>
      </c>
      <c r="U110" s="29">
        <f>IF(Q110&gt;0, ROUND(P110/((1+Q110)^G110), 2), P110)</f>
        <v/>
      </c>
      <c r="V110" s="29">
        <f>ROUND((N110*G110)-K110+P110, 2)</f>
        <v/>
      </c>
      <c r="W110" s="29">
        <f>ROUND(P110-U110, 2)</f>
        <v/>
      </c>
      <c r="X110" s="29">
        <f>ROUND(V110+W110, 2)</f>
        <v/>
      </c>
      <c r="Y110" s="29">
        <f>ROUND((N110*G110+P110+M110)-K110, 2)</f>
        <v/>
      </c>
      <c r="Z110" s="30">
        <f>IF(K110&gt;0, Y110/K110, 0)</f>
        <v/>
      </c>
    </row>
    <row r="111">
      <c r="A111" s="20" t="inlineStr">
        <is>
          <t>0648-0006</t>
        </is>
      </c>
      <c r="B111" s="21" t="inlineStr">
        <is>
          <t>Jorge Luis Cervantes Gonzalez</t>
        </is>
      </c>
      <c r="C111" s="21" t="inlineStr">
        <is>
          <t>Durango Hellcat SRT</t>
        </is>
      </c>
      <c r="D111" s="20" t="inlineStr">
        <is>
          <t>ACTIVO</t>
        </is>
      </c>
      <c r="E111" s="20" t="inlineStr">
        <is>
          <t>2026-04-01</t>
        </is>
      </c>
      <c r="F111" s="20" t="inlineStr">
        <is>
          <t>2029-04-01</t>
        </is>
      </c>
      <c r="G111" s="22" t="n">
        <v>36</v>
      </c>
      <c r="H111" s="23" t="n">
        <v>1874913.79</v>
      </c>
      <c r="I111" s="24" t="n">
        <v>0.1</v>
      </c>
      <c r="J111" s="23">
        <f>ROUND(H111*I111, 2)</f>
        <v/>
      </c>
      <c r="K111" s="23">
        <f>ROUND(H111-J111, 2)</f>
        <v/>
      </c>
      <c r="L111" s="24" t="n">
        <v>0.02</v>
      </c>
      <c r="M111" s="23">
        <f>ROUND(H111*L111, 2)</f>
        <v/>
      </c>
      <c r="N111" s="23" t="n">
        <v>67176.72</v>
      </c>
      <c r="O111" s="24" t="n">
        <v>0.2</v>
      </c>
      <c r="P111" s="23">
        <f>ROUND(H111*O111, 2)</f>
        <v/>
      </c>
      <c r="Q111" s="25" t="n">
        <v>0.0266784</v>
      </c>
      <c r="R111" s="25">
        <f>IFERROR(RATE(G111, -N111, K111, -P111), Q111)</f>
        <v/>
      </c>
      <c r="S111" s="25">
        <f>Q111*12</f>
        <v/>
      </c>
      <c r="T111" s="25">
        <f>((1+Q111)^12)-1</f>
        <v/>
      </c>
      <c r="U111" s="23">
        <f>IF(Q111&gt;0, ROUND(P111/((1+Q111)^G111), 2), P111)</f>
        <v/>
      </c>
      <c r="V111" s="23">
        <f>ROUND((N111*G111)-K111+P111, 2)</f>
        <v/>
      </c>
      <c r="W111" s="23">
        <f>ROUND(P111-U111, 2)</f>
        <v/>
      </c>
      <c r="X111" s="23">
        <f>ROUND(V111+W111, 2)</f>
        <v/>
      </c>
      <c r="Y111" s="23">
        <f>ROUND((N111*G111+P111+M111)-K111, 2)</f>
        <v/>
      </c>
      <c r="Z111" s="24">
        <f>IF(K111&gt;0, Y111/K111, 0)</f>
        <v/>
      </c>
    </row>
    <row r="112">
      <c r="A112" s="26" t="inlineStr">
        <is>
          <t>0649-0001</t>
        </is>
      </c>
      <c r="B112" s="27" t="inlineStr">
        <is>
          <t>Compusoluciones Y Asociados Sa de Cv</t>
        </is>
      </c>
      <c r="C112" s="27" t="inlineStr">
        <is>
          <t>CX-30</t>
        </is>
      </c>
      <c r="D112" s="26" t="inlineStr">
        <is>
          <t>ACTIVO</t>
        </is>
      </c>
      <c r="E112" s="26" t="inlineStr">
        <is>
          <t>2024-02-27</t>
        </is>
      </c>
      <c r="F112" s="26" t="inlineStr">
        <is>
          <t>2028-02-27</t>
        </is>
      </c>
      <c r="G112" s="28" t="n">
        <v>48</v>
      </c>
      <c r="H112" s="29" t="n">
        <v>436120.69</v>
      </c>
      <c r="I112" s="30" t="n">
        <v>0.3</v>
      </c>
      <c r="J112" s="29">
        <f>ROUND(H112*I112, 2)</f>
        <v/>
      </c>
      <c r="K112" s="29">
        <f>ROUND(H112-J112, 2)</f>
        <v/>
      </c>
      <c r="L112" s="30" t="n">
        <v>0.015</v>
      </c>
      <c r="M112" s="29">
        <f>ROUND(H112*L112, 2)</f>
        <v/>
      </c>
      <c r="N112" s="29" t="n">
        <v>9621.030000000001</v>
      </c>
      <c r="O112" s="30" t="n">
        <v>0.3128</v>
      </c>
      <c r="P112" s="29">
        <f>ROUND(H112*O112, 2)</f>
        <v/>
      </c>
      <c r="Q112" s="31" t="n">
        <v>0.02551217</v>
      </c>
      <c r="R112" s="31">
        <f>IFERROR(RATE(G112, -N112, K112, -P112), Q112)</f>
        <v/>
      </c>
      <c r="S112" s="31">
        <f>Q112*12</f>
        <v/>
      </c>
      <c r="T112" s="31">
        <f>((1+Q112)^12)-1</f>
        <v/>
      </c>
      <c r="U112" s="29">
        <f>IF(Q112&gt;0, ROUND(P112/((1+Q112)^G112), 2), P112)</f>
        <v/>
      </c>
      <c r="V112" s="29">
        <f>ROUND((N112*G112)-K112+P112, 2)</f>
        <v/>
      </c>
      <c r="W112" s="29">
        <f>ROUND(P112-U112, 2)</f>
        <v/>
      </c>
      <c r="X112" s="29">
        <f>ROUND(V112+W112, 2)</f>
        <v/>
      </c>
      <c r="Y112" s="29">
        <f>ROUND((N112*G112+P112+M112)-K112, 2)</f>
        <v/>
      </c>
      <c r="Z112" s="30">
        <f>IF(K112&gt;0, Y112/K112, 0)</f>
        <v/>
      </c>
    </row>
    <row r="113">
      <c r="A113" s="20" t="inlineStr">
        <is>
          <t>0649-0002</t>
        </is>
      </c>
      <c r="B113" s="21" t="inlineStr">
        <is>
          <t>Compusoluciones Y Asociados Sa de Cv</t>
        </is>
      </c>
      <c r="C113" s="21" t="inlineStr">
        <is>
          <t>CX5</t>
        </is>
      </c>
      <c r="D113" s="20" t="inlineStr">
        <is>
          <t>ACTIVO</t>
        </is>
      </c>
      <c r="E113" s="20" t="inlineStr">
        <is>
          <t>2024-02-27</t>
        </is>
      </c>
      <c r="F113" s="20" t="inlineStr">
        <is>
          <t>2028-02-27</t>
        </is>
      </c>
      <c r="G113" s="22" t="n">
        <v>48</v>
      </c>
      <c r="H113" s="23" t="n">
        <v>533534.48</v>
      </c>
      <c r="I113" s="24" t="n">
        <v>0.35</v>
      </c>
      <c r="J113" s="23">
        <f>ROUND(H113*I113, 2)</f>
        <v/>
      </c>
      <c r="K113" s="23">
        <f>ROUND(H113-J113, 2)</f>
        <v/>
      </c>
      <c r="L113" s="24" t="n">
        <v>0.015</v>
      </c>
      <c r="M113" s="23">
        <f>ROUND(H113*L113, 2)</f>
        <v/>
      </c>
      <c r="N113" s="23" t="n">
        <v>10763.81</v>
      </c>
      <c r="O113" s="24" t="n">
        <v>0.32</v>
      </c>
      <c r="P113" s="23">
        <f>ROUND(H113*O113, 2)</f>
        <v/>
      </c>
      <c r="Q113" s="25" t="n">
        <v>0.02553106</v>
      </c>
      <c r="R113" s="25">
        <f>IFERROR(RATE(G113, -N113, K113, -P113), Q113)</f>
        <v/>
      </c>
      <c r="S113" s="25">
        <f>Q113*12</f>
        <v/>
      </c>
      <c r="T113" s="25">
        <f>((1+Q113)^12)-1</f>
        <v/>
      </c>
      <c r="U113" s="23">
        <f>IF(Q113&gt;0, ROUND(P113/((1+Q113)^G113), 2), P113)</f>
        <v/>
      </c>
      <c r="V113" s="23">
        <f>ROUND((N113*G113)-K113+P113, 2)</f>
        <v/>
      </c>
      <c r="W113" s="23">
        <f>ROUND(P113-U113, 2)</f>
        <v/>
      </c>
      <c r="X113" s="23">
        <f>ROUND(V113+W113, 2)</f>
        <v/>
      </c>
      <c r="Y113" s="23">
        <f>ROUND((N113*G113+P113+M113)-K113, 2)</f>
        <v/>
      </c>
      <c r="Z113" s="24">
        <f>IF(K113&gt;0, Y113/K113, 0)</f>
        <v/>
      </c>
    </row>
    <row r="114">
      <c r="A114" s="26" t="inlineStr">
        <is>
          <t>0649-0003</t>
        </is>
      </c>
      <c r="B114" s="27" t="inlineStr">
        <is>
          <t>Compusoluciones Y Asociados Sa de Cv</t>
        </is>
      </c>
      <c r="C114" s="27" t="inlineStr">
        <is>
          <t>Highlander XLE</t>
        </is>
      </c>
      <c r="D114" s="26" t="inlineStr">
        <is>
          <t>ACTIVO</t>
        </is>
      </c>
      <c r="E114" s="26" t="inlineStr">
        <is>
          <t>2024-03-13</t>
        </is>
      </c>
      <c r="F114" s="26" t="inlineStr">
        <is>
          <t>2028-03-13</t>
        </is>
      </c>
      <c r="G114" s="28" t="n">
        <v>48</v>
      </c>
      <c r="H114" s="29" t="n">
        <v>808103.45</v>
      </c>
      <c r="I114" s="30" t="n">
        <v>0.3</v>
      </c>
      <c r="J114" s="29">
        <f>ROUND(H114*I114, 2)</f>
        <v/>
      </c>
      <c r="K114" s="29">
        <f>ROUND(H114-J114, 2)</f>
        <v/>
      </c>
      <c r="L114" s="30" t="n">
        <v>0.015</v>
      </c>
      <c r="M114" s="29">
        <f>ROUND(H114*L114, 2)</f>
        <v/>
      </c>
      <c r="N114" s="29" t="n">
        <v>14982.83</v>
      </c>
      <c r="O114" s="30" t="n">
        <v>0.39</v>
      </c>
      <c r="P114" s="29">
        <f>ROUND(H114*O114, 2)</f>
        <v/>
      </c>
      <c r="Q114" s="31" t="n">
        <v>0.02106257</v>
      </c>
      <c r="R114" s="31">
        <f>IFERROR(RATE(G114, -N114, K114, -P114), Q114)</f>
        <v/>
      </c>
      <c r="S114" s="31">
        <f>Q114*12</f>
        <v/>
      </c>
      <c r="T114" s="31">
        <f>((1+Q114)^12)-1</f>
        <v/>
      </c>
      <c r="U114" s="29">
        <f>IF(Q114&gt;0, ROUND(P114/((1+Q114)^G114), 2), P114)</f>
        <v/>
      </c>
      <c r="V114" s="29">
        <f>ROUND((N114*G114)-K114+P114, 2)</f>
        <v/>
      </c>
      <c r="W114" s="29">
        <f>ROUND(P114-U114, 2)</f>
        <v/>
      </c>
      <c r="X114" s="29">
        <f>ROUND(V114+W114, 2)</f>
        <v/>
      </c>
      <c r="Y114" s="29">
        <f>ROUND((N114*G114+P114+M114)-K114, 2)</f>
        <v/>
      </c>
      <c r="Z114" s="30">
        <f>IF(K114&gt;0, Y114/K114, 0)</f>
        <v/>
      </c>
    </row>
    <row r="115">
      <c r="A115" s="20" t="inlineStr">
        <is>
          <t>0649-0005</t>
        </is>
      </c>
      <c r="B115" s="21" t="inlineStr">
        <is>
          <t>Compusoluciones y Asociados Sa de Cv</t>
        </is>
      </c>
      <c r="C115" s="21" t="inlineStr">
        <is>
          <t>3 i Touring</t>
        </is>
      </c>
      <c r="D115" s="20" t="inlineStr">
        <is>
          <t>ACTIVO</t>
        </is>
      </c>
      <c r="E115" s="20" t="inlineStr">
        <is>
          <t>2024-07-24</t>
        </is>
      </c>
      <c r="F115" s="20" t="inlineStr">
        <is>
          <t>2028-07-24</t>
        </is>
      </c>
      <c r="G115" s="22" t="n">
        <v>48</v>
      </c>
      <c r="H115" s="23" t="n">
        <v>386120.69</v>
      </c>
      <c r="I115" s="24" t="n">
        <v>0.35</v>
      </c>
      <c r="J115" s="23">
        <f>ROUND(H115*I115, 2)</f>
        <v/>
      </c>
      <c r="K115" s="23">
        <f>ROUND(H115-J115, 2)</f>
        <v/>
      </c>
      <c r="L115" s="24" t="n">
        <v>0.015</v>
      </c>
      <c r="M115" s="23">
        <f>ROUND(H115*L115, 2)</f>
        <v/>
      </c>
      <c r="N115" s="23" t="n">
        <v>7789.81</v>
      </c>
      <c r="O115" s="24" t="n">
        <v>0.32</v>
      </c>
      <c r="P115" s="23">
        <f>ROUND(H115*O115, 2)</f>
        <v/>
      </c>
      <c r="Q115" s="25" t="n">
        <v>0.02553107</v>
      </c>
      <c r="R115" s="25">
        <f>IFERROR(RATE(G115, -N115, K115, -P115), Q115)</f>
        <v/>
      </c>
      <c r="S115" s="25">
        <f>Q115*12</f>
        <v/>
      </c>
      <c r="T115" s="25">
        <f>((1+Q115)^12)-1</f>
        <v/>
      </c>
      <c r="U115" s="23">
        <f>IF(Q115&gt;0, ROUND(P115/((1+Q115)^G115), 2), P115)</f>
        <v/>
      </c>
      <c r="V115" s="23">
        <f>ROUND((N115*G115)-K115+P115, 2)</f>
        <v/>
      </c>
      <c r="W115" s="23">
        <f>ROUND(P115-U115, 2)</f>
        <v/>
      </c>
      <c r="X115" s="23">
        <f>ROUND(V115+W115, 2)</f>
        <v/>
      </c>
      <c r="Y115" s="23">
        <f>ROUND((N115*G115+P115+M115)-K115, 2)</f>
        <v/>
      </c>
      <c r="Z115" s="24">
        <f>IF(K115&gt;0, Y115/K115, 0)</f>
        <v/>
      </c>
    </row>
    <row r="116">
      <c r="A116" s="26" t="inlineStr">
        <is>
          <t>0649-0006</t>
        </is>
      </c>
      <c r="B116" s="27" t="inlineStr">
        <is>
          <t>Compusoluciones y Asociados sa de Cv</t>
        </is>
      </c>
      <c r="C116" s="27" t="inlineStr">
        <is>
          <t>Mazda Cx5</t>
        </is>
      </c>
      <c r="D116" s="26" t="inlineStr">
        <is>
          <t>ACTIVO</t>
        </is>
      </c>
      <c r="E116" s="26" t="inlineStr">
        <is>
          <t>2024-09-25</t>
        </is>
      </c>
      <c r="F116" s="26" t="inlineStr">
        <is>
          <t>2028-09-25</t>
        </is>
      </c>
      <c r="G116" s="28" t="n">
        <v>48</v>
      </c>
      <c r="H116" s="29" t="n">
        <v>524913.79</v>
      </c>
      <c r="I116" s="30" t="n">
        <v>0.3</v>
      </c>
      <c r="J116" s="29">
        <f>ROUND(H116*I116, 2)</f>
        <v/>
      </c>
      <c r="K116" s="29">
        <f>ROUND(H116-J116, 2)</f>
        <v/>
      </c>
      <c r="L116" s="30" t="n">
        <v>0.015</v>
      </c>
      <c r="M116" s="29">
        <f>ROUND(H116*L116, 2)</f>
        <v/>
      </c>
      <c r="N116" s="29" t="n">
        <v>11579.84</v>
      </c>
      <c r="O116" s="30" t="n">
        <v>0.3128</v>
      </c>
      <c r="P116" s="29">
        <f>ROUND(H116*O116, 2)</f>
        <v/>
      </c>
      <c r="Q116" s="31" t="n">
        <v>0.02551216</v>
      </c>
      <c r="R116" s="31">
        <f>IFERROR(RATE(G116, -N116, K116, -P116), Q116)</f>
        <v/>
      </c>
      <c r="S116" s="31">
        <f>Q116*12</f>
        <v/>
      </c>
      <c r="T116" s="31">
        <f>((1+Q116)^12)-1</f>
        <v/>
      </c>
      <c r="U116" s="29">
        <f>IF(Q116&gt;0, ROUND(P116/((1+Q116)^G116), 2), P116)</f>
        <v/>
      </c>
      <c r="V116" s="29">
        <f>ROUND((N116*G116)-K116+P116, 2)</f>
        <v/>
      </c>
      <c r="W116" s="29">
        <f>ROUND(P116-U116, 2)</f>
        <v/>
      </c>
      <c r="X116" s="29">
        <f>ROUND(V116+W116, 2)</f>
        <v/>
      </c>
      <c r="Y116" s="29">
        <f>ROUND((N116*G116+P116+M116)-K116, 2)</f>
        <v/>
      </c>
      <c r="Z116" s="30">
        <f>IF(K116&gt;0, Y116/K116, 0)</f>
        <v/>
      </c>
    </row>
    <row r="117">
      <c r="A117" s="20" t="inlineStr">
        <is>
          <t>0649-0007</t>
        </is>
      </c>
      <c r="B117" s="21" t="inlineStr">
        <is>
          <t>Compusoluciones y Asociados sa de Cv</t>
        </is>
      </c>
      <c r="C117" s="21" t="inlineStr">
        <is>
          <t>RX5</t>
        </is>
      </c>
      <c r="D117" s="20" t="inlineStr">
        <is>
          <t>ACTIVO</t>
        </is>
      </c>
      <c r="E117" s="20" t="inlineStr">
        <is>
          <t>2024-10-28</t>
        </is>
      </c>
      <c r="F117" s="20" t="inlineStr">
        <is>
          <t>2027-10-28</t>
        </is>
      </c>
      <c r="G117" s="22" t="n">
        <v>36</v>
      </c>
      <c r="H117" s="23" t="n">
        <v>392155.17</v>
      </c>
      <c r="I117" s="24" t="n">
        <v>0.35</v>
      </c>
      <c r="J117" s="23">
        <f>ROUND(H117*I117, 2)</f>
        <v/>
      </c>
      <c r="K117" s="23">
        <f>ROUND(H117-J117, 2)</f>
        <v/>
      </c>
      <c r="L117" s="24" t="n">
        <v>0.015</v>
      </c>
      <c r="M117" s="23">
        <f>ROUND(H117*L117, 2)</f>
        <v/>
      </c>
      <c r="N117" s="23" t="n">
        <v>7911.55</v>
      </c>
      <c r="O117" s="24" t="n">
        <v>0.32</v>
      </c>
      <c r="P117" s="23">
        <f>ROUND(H117*O117, 2)</f>
        <v/>
      </c>
      <c r="Q117" s="25" t="n">
        <v>0.02156364</v>
      </c>
      <c r="R117" s="25">
        <f>IFERROR(RATE(G117, -N117, K117, -P117), Q117)</f>
        <v/>
      </c>
      <c r="S117" s="25">
        <f>Q117*12</f>
        <v/>
      </c>
      <c r="T117" s="25">
        <f>((1+Q117)^12)-1</f>
        <v/>
      </c>
      <c r="U117" s="23">
        <f>IF(Q117&gt;0, ROUND(P117/((1+Q117)^G117), 2), P117)</f>
        <v/>
      </c>
      <c r="V117" s="23">
        <f>ROUND((N117*G117)-K117+P117, 2)</f>
        <v/>
      </c>
      <c r="W117" s="23">
        <f>ROUND(P117-U117, 2)</f>
        <v/>
      </c>
      <c r="X117" s="23">
        <f>ROUND(V117+W117, 2)</f>
        <v/>
      </c>
      <c r="Y117" s="23">
        <f>ROUND((N117*G117+P117+M117)-K117, 2)</f>
        <v/>
      </c>
      <c r="Z117" s="24">
        <f>IF(K117&gt;0, Y117/K117, 0)</f>
        <v/>
      </c>
    </row>
    <row r="118">
      <c r="A118" s="26" t="inlineStr">
        <is>
          <t>0649-0008</t>
        </is>
      </c>
      <c r="B118" s="27" t="inlineStr">
        <is>
          <t>Compusoluciones y Asociados Sa de Cv</t>
        </is>
      </c>
      <c r="C118" s="27" t="inlineStr">
        <is>
          <t>Kicks</t>
        </is>
      </c>
      <c r="D118" s="26" t="inlineStr">
        <is>
          <t>ACTIVO</t>
        </is>
      </c>
      <c r="E118" s="26" t="inlineStr">
        <is>
          <t>2024-11-27</t>
        </is>
      </c>
      <c r="F118" s="26" t="inlineStr">
        <is>
          <t>2028-11-27</t>
        </is>
      </c>
      <c r="G118" s="28" t="n">
        <v>48</v>
      </c>
      <c r="H118" s="29" t="n">
        <v>544741.38</v>
      </c>
      <c r="I118" s="30" t="n">
        <v>0.35</v>
      </c>
      <c r="J118" s="29">
        <f>ROUND(H118*I118, 2)</f>
        <v/>
      </c>
      <c r="K118" s="29">
        <f>ROUND(H118-J118, 2)</f>
        <v/>
      </c>
      <c r="L118" s="30" t="n">
        <v>0.015</v>
      </c>
      <c r="M118" s="29">
        <f>ROUND(H118*L118, 2)</f>
        <v/>
      </c>
      <c r="N118" s="29" t="n">
        <v>10989.91</v>
      </c>
      <c r="O118" s="30" t="n">
        <v>0.32</v>
      </c>
      <c r="P118" s="29">
        <f>ROUND(H118*O118, 2)</f>
        <v/>
      </c>
      <c r="Q118" s="31" t="n">
        <v>0.02553105</v>
      </c>
      <c r="R118" s="31">
        <f>IFERROR(RATE(G118, -N118, K118, -P118), Q118)</f>
        <v/>
      </c>
      <c r="S118" s="31">
        <f>Q118*12</f>
        <v/>
      </c>
      <c r="T118" s="31">
        <f>((1+Q118)^12)-1</f>
        <v/>
      </c>
      <c r="U118" s="29">
        <f>IF(Q118&gt;0, ROUND(P118/((1+Q118)^G118), 2), P118)</f>
        <v/>
      </c>
      <c r="V118" s="29">
        <f>ROUND((N118*G118)-K118+P118, 2)</f>
        <v/>
      </c>
      <c r="W118" s="29">
        <f>ROUND(P118-U118, 2)</f>
        <v/>
      </c>
      <c r="X118" s="29">
        <f>ROUND(V118+W118, 2)</f>
        <v/>
      </c>
      <c r="Y118" s="29">
        <f>ROUND((N118*G118+P118+M118)-K118, 2)</f>
        <v/>
      </c>
      <c r="Z118" s="30">
        <f>IF(K118&gt;0, Y118/K118, 0)</f>
        <v/>
      </c>
    </row>
    <row r="119">
      <c r="A119" s="20" t="inlineStr">
        <is>
          <t>0649-0009</t>
        </is>
      </c>
      <c r="B119" s="21" t="inlineStr">
        <is>
          <t>Compusoluciones y Asociados Sa de Cv</t>
        </is>
      </c>
      <c r="C119" s="21" t="inlineStr">
        <is>
          <t>Fronx Boostergreen</t>
        </is>
      </c>
      <c r="D119" s="20" t="inlineStr">
        <is>
          <t>ACTIVO</t>
        </is>
      </c>
      <c r="E119" s="20" t="inlineStr">
        <is>
          <t>2025-05-26</t>
        </is>
      </c>
      <c r="F119" s="20" t="inlineStr">
        <is>
          <t>2029-05-26</t>
        </is>
      </c>
      <c r="G119" s="22" t="n">
        <v>48</v>
      </c>
      <c r="H119" s="23" t="n">
        <v>387922.41</v>
      </c>
      <c r="I119" s="24" t="n">
        <v>0.35</v>
      </c>
      <c r="J119" s="23">
        <f>ROUND(H119*I119, 2)</f>
        <v/>
      </c>
      <c r="K119" s="23">
        <f>ROUND(H119-J119, 2)</f>
        <v/>
      </c>
      <c r="L119" s="24" t="n">
        <v>0.015</v>
      </c>
      <c r="M119" s="23">
        <f>ROUND(H119*L119, 2)</f>
        <v/>
      </c>
      <c r="N119" s="23" t="n">
        <v>7826.16</v>
      </c>
      <c r="O119" s="24" t="n">
        <v>0.32</v>
      </c>
      <c r="P119" s="23">
        <f>ROUND(H119*O119, 2)</f>
        <v/>
      </c>
      <c r="Q119" s="25" t="n">
        <v>0.02553105</v>
      </c>
      <c r="R119" s="25">
        <f>IFERROR(RATE(G119, -N119, K119, -P119), Q119)</f>
        <v/>
      </c>
      <c r="S119" s="25">
        <f>Q119*12</f>
        <v/>
      </c>
      <c r="T119" s="25">
        <f>((1+Q119)^12)-1</f>
        <v/>
      </c>
      <c r="U119" s="23">
        <f>IF(Q119&gt;0, ROUND(P119/((1+Q119)^G119), 2), P119)</f>
        <v/>
      </c>
      <c r="V119" s="23">
        <f>ROUND((N119*G119)-K119+P119, 2)</f>
        <v/>
      </c>
      <c r="W119" s="23">
        <f>ROUND(P119-U119, 2)</f>
        <v/>
      </c>
      <c r="X119" s="23">
        <f>ROUND(V119+W119, 2)</f>
        <v/>
      </c>
      <c r="Y119" s="23">
        <f>ROUND((N119*G119+P119+M119)-K119, 2)</f>
        <v/>
      </c>
      <c r="Z119" s="24">
        <f>IF(K119&gt;0, Y119/K119, 0)</f>
        <v/>
      </c>
    </row>
    <row r="120">
      <c r="A120" s="26" t="inlineStr">
        <is>
          <t>0649-0010</t>
        </is>
      </c>
      <c r="B120" s="27" t="inlineStr">
        <is>
          <t>Compusoluciones y Asociados Sa de Cv</t>
        </is>
      </c>
      <c r="C120" s="27" t="inlineStr">
        <is>
          <t>Mazda CX90</t>
        </is>
      </c>
      <c r="D120" s="26" t="inlineStr">
        <is>
          <t>ACTIVO</t>
        </is>
      </c>
      <c r="E120" s="26" t="inlineStr">
        <is>
          <t>2025-09-30</t>
        </is>
      </c>
      <c r="F120" s="26" t="inlineStr">
        <is>
          <t>2029-09-30</t>
        </is>
      </c>
      <c r="G120" s="28" t="n">
        <v>48</v>
      </c>
      <c r="H120" s="29" t="n">
        <v>846465.52</v>
      </c>
      <c r="I120" s="30" t="n">
        <v>0.35</v>
      </c>
      <c r="J120" s="29">
        <f>ROUND(H120*I120, 2)</f>
        <v/>
      </c>
      <c r="K120" s="29">
        <f>ROUND(H120-J120, 2)</f>
        <v/>
      </c>
      <c r="L120" s="30" t="n">
        <v>0.02</v>
      </c>
      <c r="M120" s="29">
        <f>ROUND(H120*L120, 2)</f>
        <v/>
      </c>
      <c r="N120" s="29" t="n">
        <v>15579.9</v>
      </c>
      <c r="O120" s="30" t="n">
        <v>0.32</v>
      </c>
      <c r="P120" s="29">
        <f>ROUND(H120*O120, 2)</f>
        <v/>
      </c>
      <c r="Q120" s="31" t="n">
        <v>0.02230285</v>
      </c>
      <c r="R120" s="31">
        <f>IFERROR(RATE(G120, -N120, K120, -P120), Q120)</f>
        <v/>
      </c>
      <c r="S120" s="31">
        <f>Q120*12</f>
        <v/>
      </c>
      <c r="T120" s="31">
        <f>((1+Q120)^12)-1</f>
        <v/>
      </c>
      <c r="U120" s="29">
        <f>IF(Q120&gt;0, ROUND(P120/((1+Q120)^G120), 2), P120)</f>
        <v/>
      </c>
      <c r="V120" s="29">
        <f>ROUND((N120*G120)-K120+P120, 2)</f>
        <v/>
      </c>
      <c r="W120" s="29">
        <f>ROUND(P120-U120, 2)</f>
        <v/>
      </c>
      <c r="X120" s="29">
        <f>ROUND(V120+W120, 2)</f>
        <v/>
      </c>
      <c r="Y120" s="29">
        <f>ROUND((N120*G120+P120+M120)-K120, 2)</f>
        <v/>
      </c>
      <c r="Z120" s="30">
        <f>IF(K120&gt;0, Y120/K120, 0)</f>
        <v/>
      </c>
    </row>
    <row r="121">
      <c r="A121" s="20" t="inlineStr">
        <is>
          <t>0649-0011</t>
        </is>
      </c>
      <c r="B121" s="21" t="inlineStr">
        <is>
          <t>Compusoluciones y Asociados Sa de Cv</t>
        </is>
      </c>
      <c r="C121" s="21" t="inlineStr">
        <is>
          <t>EX40</t>
        </is>
      </c>
      <c r="D121" s="20" t="inlineStr">
        <is>
          <t>ACTIVO</t>
        </is>
      </c>
      <c r="E121" s="20" t="inlineStr">
        <is>
          <t>2025-10-23</t>
        </is>
      </c>
      <c r="F121" s="20" t="inlineStr">
        <is>
          <t>2029-10-23</t>
        </is>
      </c>
      <c r="G121" s="22" t="n">
        <v>48</v>
      </c>
      <c r="H121" s="23" t="n">
        <v>775862.0699999999</v>
      </c>
      <c r="I121" s="24" t="n">
        <v>0.35</v>
      </c>
      <c r="J121" s="23">
        <f>ROUND(H121*I121, 2)</f>
        <v/>
      </c>
      <c r="K121" s="23">
        <f>ROUND(H121-J121, 2)</f>
        <v/>
      </c>
      <c r="L121" s="24" t="n">
        <v>0.5</v>
      </c>
      <c r="M121" s="23">
        <f>ROUND(H121*L121, 2)</f>
        <v/>
      </c>
      <c r="N121" s="23" t="n">
        <v>14037.34</v>
      </c>
      <c r="O121" s="24" t="n">
        <v>0.39</v>
      </c>
      <c r="P121" s="23">
        <f>ROUND(H121*O121, 2)</f>
        <v/>
      </c>
      <c r="Q121" s="25" t="n">
        <v>0.02321198</v>
      </c>
      <c r="R121" s="25">
        <f>IFERROR(RATE(G121, -N121, K121, -P121), Q121)</f>
        <v/>
      </c>
      <c r="S121" s="25">
        <f>Q121*12</f>
        <v/>
      </c>
      <c r="T121" s="25">
        <f>((1+Q121)^12)-1</f>
        <v/>
      </c>
      <c r="U121" s="23">
        <f>IF(Q121&gt;0, ROUND(P121/((1+Q121)^G121), 2), P121)</f>
        <v/>
      </c>
      <c r="V121" s="23">
        <f>ROUND((N121*G121)-K121+P121, 2)</f>
        <v/>
      </c>
      <c r="W121" s="23">
        <f>ROUND(P121-U121, 2)</f>
        <v/>
      </c>
      <c r="X121" s="23">
        <f>ROUND(V121+W121, 2)</f>
        <v/>
      </c>
      <c r="Y121" s="23">
        <f>ROUND((N121*G121+P121+M121)-K121, 2)</f>
        <v/>
      </c>
      <c r="Z121" s="24">
        <f>IF(K121&gt;0, Y121/K121, 0)</f>
        <v/>
      </c>
    </row>
    <row r="122">
      <c r="A122" s="26" t="inlineStr">
        <is>
          <t>0649-0012</t>
        </is>
      </c>
      <c r="B122" s="27" t="inlineStr">
        <is>
          <t>Compusoluciones y Asociados Sa de Cv</t>
        </is>
      </c>
      <c r="C122" s="27" t="inlineStr">
        <is>
          <t>Sportage</t>
        </is>
      </c>
      <c r="D122" s="26" t="inlineStr">
        <is>
          <t>ACTIVO</t>
        </is>
      </c>
      <c r="E122" s="26" t="inlineStr">
        <is>
          <t>2025-12-01</t>
        </is>
      </c>
      <c r="F122" s="26" t="inlineStr">
        <is>
          <t>2029-12-01</t>
        </is>
      </c>
      <c r="G122" s="28" t="n">
        <v>48</v>
      </c>
      <c r="H122" s="29" t="n">
        <v>593017.24</v>
      </c>
      <c r="I122" s="30" t="n">
        <v>0.35</v>
      </c>
      <c r="J122" s="29">
        <f>ROUND(H122*I122, 2)</f>
        <v/>
      </c>
      <c r="K122" s="29">
        <f>ROUND(H122-J122, 2)</f>
        <v/>
      </c>
      <c r="L122" s="30" t="n">
        <v>0.5</v>
      </c>
      <c r="M122" s="29">
        <f>ROUND(H122*L122, 2)</f>
        <v/>
      </c>
      <c r="N122" s="29" t="n">
        <v>10729.22</v>
      </c>
      <c r="O122" s="30" t="n">
        <v>0.39</v>
      </c>
      <c r="P122" s="29">
        <f>ROUND(H122*O122, 2)</f>
        <v/>
      </c>
      <c r="Q122" s="31" t="n">
        <v>0.02321199</v>
      </c>
      <c r="R122" s="31">
        <f>IFERROR(RATE(G122, -N122, K122, -P122), Q122)</f>
        <v/>
      </c>
      <c r="S122" s="31">
        <f>Q122*12</f>
        <v/>
      </c>
      <c r="T122" s="31">
        <f>((1+Q122)^12)-1</f>
        <v/>
      </c>
      <c r="U122" s="29">
        <f>IF(Q122&gt;0, ROUND(P122/((1+Q122)^G122), 2), P122)</f>
        <v/>
      </c>
      <c r="V122" s="29">
        <f>ROUND((N122*G122)-K122+P122, 2)</f>
        <v/>
      </c>
      <c r="W122" s="29">
        <f>ROUND(P122-U122, 2)</f>
        <v/>
      </c>
      <c r="X122" s="29">
        <f>ROUND(V122+W122, 2)</f>
        <v/>
      </c>
      <c r="Y122" s="29">
        <f>ROUND((N122*G122+P122+M122)-K122, 2)</f>
        <v/>
      </c>
      <c r="Z122" s="30">
        <f>IF(K122&gt;0, Y122/K122, 0)</f>
        <v/>
      </c>
    </row>
    <row r="123">
      <c r="A123" s="20" t="inlineStr">
        <is>
          <t>0649-0013</t>
        </is>
      </c>
      <c r="B123" s="21" t="inlineStr">
        <is>
          <t>Compusoluciones y Asociados Sa de Cv</t>
        </is>
      </c>
      <c r="C123" s="21" t="inlineStr">
        <is>
          <t>Mazda Mazda 3 Hatch Back 2026</t>
        </is>
      </c>
      <c r="D123" s="20" t="inlineStr">
        <is>
          <t>ACTIVO</t>
        </is>
      </c>
      <c r="E123" s="20" t="inlineStr">
        <is>
          <t>2026-07-22</t>
        </is>
      </c>
      <c r="F123" s="20" t="inlineStr">
        <is>
          <t>2030-07-22</t>
        </is>
      </c>
      <c r="G123" s="22" t="n">
        <v>48</v>
      </c>
      <c r="H123" s="23" t="n">
        <v>473189.66</v>
      </c>
      <c r="I123" s="24" t="n">
        <v>0.35</v>
      </c>
      <c r="J123" s="23">
        <f>ROUND(H123*I123, 2)</f>
        <v/>
      </c>
      <c r="K123" s="23">
        <f>ROUND(H123-J123, 2)</f>
        <v/>
      </c>
      <c r="L123" s="24" t="n">
        <v>0.5</v>
      </c>
      <c r="M123" s="23">
        <f>ROUND(H123*L123, 2)</f>
        <v/>
      </c>
      <c r="N123" s="23" t="n">
        <v>8561.219999999999</v>
      </c>
      <c r="O123" s="24" t="n">
        <v>0.39</v>
      </c>
      <c r="P123" s="23">
        <f>ROUND(H123*O123, 2)</f>
        <v/>
      </c>
      <c r="Q123" s="25" t="n">
        <v>0.02321199</v>
      </c>
      <c r="R123" s="25">
        <f>IFERROR(RATE(G123, -N123, K123, -P123), Q123)</f>
        <v/>
      </c>
      <c r="S123" s="25">
        <f>Q123*12</f>
        <v/>
      </c>
      <c r="T123" s="25">
        <f>((1+Q123)^12)-1</f>
        <v/>
      </c>
      <c r="U123" s="23">
        <f>IF(Q123&gt;0, ROUND(P123/((1+Q123)^G123), 2), P123)</f>
        <v/>
      </c>
      <c r="V123" s="23">
        <f>ROUND((N123*G123)-K123+P123, 2)</f>
        <v/>
      </c>
      <c r="W123" s="23">
        <f>ROUND(P123-U123, 2)</f>
        <v/>
      </c>
      <c r="X123" s="23">
        <f>ROUND(V123+W123, 2)</f>
        <v/>
      </c>
      <c r="Y123" s="23">
        <f>ROUND((N123*G123+P123+M123)-K123, 2)</f>
        <v/>
      </c>
      <c r="Z123" s="24">
        <f>IF(K123&gt;0, Y123/K123, 0)</f>
        <v/>
      </c>
    </row>
    <row r="124">
      <c r="A124" s="26" t="inlineStr">
        <is>
          <t>0649-0014</t>
        </is>
      </c>
      <c r="B124" s="27" t="inlineStr">
        <is>
          <t>Compusoluciones y Asociados Sa de Cv</t>
        </is>
      </c>
      <c r="C124" s="27" t="inlineStr">
        <is>
          <t>Subaru Forester 2026</t>
        </is>
      </c>
      <c r="D124" s="26" t="inlineStr">
        <is>
          <t>ACTIVO</t>
        </is>
      </c>
      <c r="E124" s="26" t="inlineStr">
        <is>
          <t>2026-07-28</t>
        </is>
      </c>
      <c r="F124" s="26" t="inlineStr">
        <is>
          <t>2030-07-28</t>
        </is>
      </c>
      <c r="G124" s="28" t="n">
        <v>48</v>
      </c>
      <c r="H124" s="29" t="n">
        <v>594741.38</v>
      </c>
      <c r="I124" s="30" t="n">
        <v>0.35</v>
      </c>
      <c r="J124" s="29">
        <f>ROUND(H124*I124, 2)</f>
        <v/>
      </c>
      <c r="K124" s="29">
        <f>ROUND(H124-J124, 2)</f>
        <v/>
      </c>
      <c r="L124" s="30" t="n">
        <v>0.5</v>
      </c>
      <c r="M124" s="29">
        <f>ROUND(H124*L124, 2)</f>
        <v/>
      </c>
      <c r="N124" s="29" t="n">
        <v>10760.41</v>
      </c>
      <c r="O124" s="30" t="n">
        <v>0.39</v>
      </c>
      <c r="P124" s="29">
        <f>ROUND(H124*O124, 2)</f>
        <v/>
      </c>
      <c r="Q124" s="31" t="n">
        <v>0.02321199</v>
      </c>
      <c r="R124" s="31">
        <f>IFERROR(RATE(G124, -N124, K124, -P124), Q124)</f>
        <v/>
      </c>
      <c r="S124" s="31">
        <f>Q124*12</f>
        <v/>
      </c>
      <c r="T124" s="31">
        <f>((1+Q124)^12)-1</f>
        <v/>
      </c>
      <c r="U124" s="29">
        <f>IF(Q124&gt;0, ROUND(P124/((1+Q124)^G124), 2), P124)</f>
        <v/>
      </c>
      <c r="V124" s="29">
        <f>ROUND((N124*G124)-K124+P124, 2)</f>
        <v/>
      </c>
      <c r="W124" s="29">
        <f>ROUND(P124-U124, 2)</f>
        <v/>
      </c>
      <c r="X124" s="29">
        <f>ROUND(V124+W124, 2)</f>
        <v/>
      </c>
      <c r="Y124" s="29">
        <f>ROUND((N124*G124+P124+M124)-K124, 2)</f>
        <v/>
      </c>
      <c r="Z124" s="30">
        <f>IF(K124&gt;0, Y124/K124, 0)</f>
        <v/>
      </c>
    </row>
    <row r="125">
      <c r="A125" s="20" t="inlineStr">
        <is>
          <t>0650-0002</t>
        </is>
      </c>
      <c r="B125" s="21" t="inlineStr">
        <is>
          <t>Creando Music</t>
        </is>
      </c>
      <c r="C125" s="21" t="inlineStr">
        <is>
          <t>3008</t>
        </is>
      </c>
      <c r="D125" s="20" t="inlineStr">
        <is>
          <t>ACTIVO</t>
        </is>
      </c>
      <c r="E125" s="20" t="inlineStr">
        <is>
          <t>2025-12-23</t>
        </is>
      </c>
      <c r="F125" s="20" t="inlineStr">
        <is>
          <t>2026-12-23</t>
        </is>
      </c>
      <c r="G125" s="22" t="n">
        <v>12</v>
      </c>
      <c r="H125" s="23" t="n">
        <v>629224.14</v>
      </c>
      <c r="I125" s="24" t="n">
        <v>0.1</v>
      </c>
      <c r="J125" s="23">
        <f>ROUND(H125*I125, 2)</f>
        <v/>
      </c>
      <c r="K125" s="23">
        <f>ROUND(H125-J125, 2)</f>
        <v/>
      </c>
      <c r="L125" s="24" t="n">
        <v>0.02</v>
      </c>
      <c r="M125" s="23">
        <f>ROUND(H125*L125, 2)</f>
        <v/>
      </c>
      <c r="N125" s="23" t="n">
        <v>36857.82</v>
      </c>
      <c r="O125" s="24" t="n">
        <v>0.4</v>
      </c>
      <c r="P125" s="23">
        <f>ROUND(H125*O125, 2)</f>
        <v/>
      </c>
      <c r="Q125" s="25" t="n">
        <v>0.02475979</v>
      </c>
      <c r="R125" s="25">
        <f>IFERROR(RATE(G125, -N125, K125, -P125), Q125)</f>
        <v/>
      </c>
      <c r="S125" s="25">
        <f>Q125*12</f>
        <v/>
      </c>
      <c r="T125" s="25">
        <f>((1+Q125)^12)-1</f>
        <v/>
      </c>
      <c r="U125" s="23">
        <f>IF(Q125&gt;0, ROUND(P125/((1+Q125)^G125), 2), P125)</f>
        <v/>
      </c>
      <c r="V125" s="23">
        <f>ROUND((N125*G125)-K125+P125, 2)</f>
        <v/>
      </c>
      <c r="W125" s="23">
        <f>ROUND(P125-U125, 2)</f>
        <v/>
      </c>
      <c r="X125" s="23">
        <f>ROUND(V125+W125, 2)</f>
        <v/>
      </c>
      <c r="Y125" s="23">
        <f>ROUND((N125*G125+P125+M125)-K125, 2)</f>
        <v/>
      </c>
      <c r="Z125" s="24">
        <f>IF(K125&gt;0, Y125/K125, 0)</f>
        <v/>
      </c>
    </row>
    <row r="126">
      <c r="A126" s="26" t="inlineStr">
        <is>
          <t>0651-0001</t>
        </is>
      </c>
      <c r="B126" s="27" t="inlineStr">
        <is>
          <t>Asme Sa de Cv</t>
        </is>
      </c>
      <c r="C126" s="27" t="inlineStr">
        <is>
          <t>Compass High Altitude</t>
        </is>
      </c>
      <c r="D126" s="26" t="inlineStr">
        <is>
          <t>ACTIVO</t>
        </is>
      </c>
      <c r="E126" s="26" t="inlineStr">
        <is>
          <t>2024-02-28</t>
        </is>
      </c>
      <c r="F126" s="26" t="inlineStr">
        <is>
          <t>2028-02-28</t>
        </is>
      </c>
      <c r="G126" s="28" t="n">
        <v>48</v>
      </c>
      <c r="H126" s="29" t="n">
        <v>646465.52</v>
      </c>
      <c r="I126" s="30" t="n">
        <v>0.3</v>
      </c>
      <c r="J126" s="29">
        <f>ROUND(H126*I126, 2)</f>
        <v/>
      </c>
      <c r="K126" s="29">
        <f>ROUND(H126-J126, 2)</f>
        <v/>
      </c>
      <c r="L126" s="30" t="n">
        <v>0.027</v>
      </c>
      <c r="M126" s="29">
        <f>ROUND(H126*L126, 2)</f>
        <v/>
      </c>
      <c r="N126" s="29" t="n">
        <v>17286.9</v>
      </c>
      <c r="O126" s="30" t="n">
        <v>0.2</v>
      </c>
      <c r="P126" s="29">
        <f>ROUND(H126*O126, 2)</f>
        <v/>
      </c>
      <c r="Q126" s="31" t="n">
        <v>0.03167615</v>
      </c>
      <c r="R126" s="31">
        <f>IFERROR(RATE(G126, -N126, K126, -P126), Q126)</f>
        <v/>
      </c>
      <c r="S126" s="31">
        <f>Q126*12</f>
        <v/>
      </c>
      <c r="T126" s="31">
        <f>((1+Q126)^12)-1</f>
        <v/>
      </c>
      <c r="U126" s="29">
        <f>IF(Q126&gt;0, ROUND(P126/((1+Q126)^G126), 2), P126)</f>
        <v/>
      </c>
      <c r="V126" s="29">
        <f>ROUND((N126*G126)-K126+P126, 2)</f>
        <v/>
      </c>
      <c r="W126" s="29">
        <f>ROUND(P126-U126, 2)</f>
        <v/>
      </c>
      <c r="X126" s="29">
        <f>ROUND(V126+W126, 2)</f>
        <v/>
      </c>
      <c r="Y126" s="29">
        <f>ROUND((N126*G126+P126+M126)-K126, 2)</f>
        <v/>
      </c>
      <c r="Z126" s="30">
        <f>IF(K126&gt;0, Y126/K126, 0)</f>
        <v/>
      </c>
    </row>
    <row r="127">
      <c r="A127" s="20" t="inlineStr">
        <is>
          <t>0654-0001</t>
        </is>
      </c>
      <c r="B127" s="21" t="inlineStr">
        <is>
          <t>Veronica Orozco Larios</t>
        </is>
      </c>
      <c r="C127" s="21" t="inlineStr">
        <is>
          <t>Ram 4000</t>
        </is>
      </c>
      <c r="D127" s="20" t="inlineStr">
        <is>
          <t>ACTIVO</t>
        </is>
      </c>
      <c r="E127" s="20" t="inlineStr">
        <is>
          <t>2024-03-20</t>
        </is>
      </c>
      <c r="F127" s="20" t="inlineStr">
        <is>
          <t>2027-03-20</t>
        </is>
      </c>
      <c r="G127" s="22" t="n">
        <v>36</v>
      </c>
      <c r="H127" s="23" t="n">
        <v>915833.28</v>
      </c>
      <c r="I127" s="24" t="n">
        <v>0.2</v>
      </c>
      <c r="J127" s="23">
        <f>ROUND(H127*I127, 2)</f>
        <v/>
      </c>
      <c r="K127" s="23">
        <f>ROUND(H127-J127, 2)</f>
        <v/>
      </c>
      <c r="L127" s="24" t="n">
        <v>0.027</v>
      </c>
      <c r="M127" s="23">
        <f>ROUND(H127*L127, 2)</f>
        <v/>
      </c>
      <c r="N127" s="23" t="n">
        <v>29375.06</v>
      </c>
      <c r="O127" s="24" t="n">
        <v>0.35</v>
      </c>
      <c r="P127" s="23">
        <f>ROUND(H127*O127, 2)</f>
        <v/>
      </c>
      <c r="Q127" s="25" t="n">
        <v>0.03146076</v>
      </c>
      <c r="R127" s="25">
        <f>IFERROR(RATE(G127, -N127, K127, -P127), Q127)</f>
        <v/>
      </c>
      <c r="S127" s="25">
        <f>Q127*12</f>
        <v/>
      </c>
      <c r="T127" s="25">
        <f>((1+Q127)^12)-1</f>
        <v/>
      </c>
      <c r="U127" s="23">
        <f>IF(Q127&gt;0, ROUND(P127/((1+Q127)^G127), 2), P127)</f>
        <v/>
      </c>
      <c r="V127" s="23">
        <f>ROUND((N127*G127)-K127+P127, 2)</f>
        <v/>
      </c>
      <c r="W127" s="23">
        <f>ROUND(P127-U127, 2)</f>
        <v/>
      </c>
      <c r="X127" s="23">
        <f>ROUND(V127+W127, 2)</f>
        <v/>
      </c>
      <c r="Y127" s="23">
        <f>ROUND((N127*G127+P127+M127)-K127, 2)</f>
        <v/>
      </c>
      <c r="Z127" s="24">
        <f>IF(K127&gt;0, Y127/K127, 0)</f>
        <v/>
      </c>
    </row>
    <row r="128">
      <c r="A128" s="26" t="inlineStr">
        <is>
          <t>0655-0001</t>
        </is>
      </c>
      <c r="B128" s="27" t="inlineStr">
        <is>
          <t>Viñedos de la Rivera Sur de Chapala S de Rl de Cv</t>
        </is>
      </c>
      <c r="C128" s="27" t="inlineStr">
        <is>
          <t>Ram 2500 HEMI</t>
        </is>
      </c>
      <c r="D128" s="26" t="inlineStr">
        <is>
          <t>ACTIVO</t>
        </is>
      </c>
      <c r="E128" s="26" t="inlineStr">
        <is>
          <t>2024-04-04</t>
        </is>
      </c>
      <c r="F128" s="26" t="inlineStr">
        <is>
          <t>2027-04-04</t>
        </is>
      </c>
      <c r="G128" s="28" t="n">
        <v>36</v>
      </c>
      <c r="H128" s="29" t="n">
        <v>736982.76</v>
      </c>
      <c r="I128" s="30" t="n">
        <v>0.2</v>
      </c>
      <c r="J128" s="29">
        <f>ROUND(H128*I128, 2)</f>
        <v/>
      </c>
      <c r="K128" s="29">
        <f>ROUND(H128-J128, 2)</f>
        <v/>
      </c>
      <c r="L128" s="30" t="n">
        <v>0.027</v>
      </c>
      <c r="M128" s="29">
        <f>ROUND(H128*L128, 2)</f>
        <v/>
      </c>
      <c r="N128" s="29" t="n">
        <v>23638.49</v>
      </c>
      <c r="O128" s="30" t="n">
        <v>0.35</v>
      </c>
      <c r="P128" s="29">
        <f>ROUND(H128*O128, 2)</f>
        <v/>
      </c>
      <c r="Q128" s="31" t="n">
        <v>0.03146076</v>
      </c>
      <c r="R128" s="31">
        <f>IFERROR(RATE(G128, -N128, K128, -P128), Q128)</f>
        <v/>
      </c>
      <c r="S128" s="31">
        <f>Q128*12</f>
        <v/>
      </c>
      <c r="T128" s="31">
        <f>((1+Q128)^12)-1</f>
        <v/>
      </c>
      <c r="U128" s="29">
        <f>IF(Q128&gt;0, ROUND(P128/((1+Q128)^G128), 2), P128)</f>
        <v/>
      </c>
      <c r="V128" s="29">
        <f>ROUND((N128*G128)-K128+P128, 2)</f>
        <v/>
      </c>
      <c r="W128" s="29">
        <f>ROUND(P128-U128, 2)</f>
        <v/>
      </c>
      <c r="X128" s="29">
        <f>ROUND(V128+W128, 2)</f>
        <v/>
      </c>
      <c r="Y128" s="29">
        <f>ROUND((N128*G128+P128+M128)-K128, 2)</f>
        <v/>
      </c>
      <c r="Z128" s="30">
        <f>IF(K128&gt;0, Y128/K128, 0)</f>
        <v/>
      </c>
    </row>
    <row r="129">
      <c r="A129" s="20" t="inlineStr">
        <is>
          <t>0658-0001</t>
        </is>
      </c>
      <c r="B129" s="21" t="inlineStr">
        <is>
          <t>Esteban Polanco Navarro</t>
        </is>
      </c>
      <c r="C129" s="21" t="inlineStr">
        <is>
          <t>RAM 1500 Long Horn</t>
        </is>
      </c>
      <c r="D129" s="20" t="inlineStr">
        <is>
          <t>ACTIVO</t>
        </is>
      </c>
      <c r="E129" s="20" t="inlineStr">
        <is>
          <t>2024-05-17</t>
        </is>
      </c>
      <c r="F129" s="20" t="inlineStr">
        <is>
          <t>2028-05-17</t>
        </is>
      </c>
      <c r="G129" s="22" t="n">
        <v>48</v>
      </c>
      <c r="H129" s="23" t="n">
        <v>1280086.21</v>
      </c>
      <c r="I129" s="24" t="n">
        <v>0.2</v>
      </c>
      <c r="J129" s="23">
        <f>ROUND(H129*I129, 2)</f>
        <v/>
      </c>
      <c r="K129" s="23">
        <f>ROUND(H129-J129, 2)</f>
        <v/>
      </c>
      <c r="L129" s="24" t="n">
        <v>0.027</v>
      </c>
      <c r="M129" s="23">
        <f>ROUND(H129*L129, 2)</f>
        <v/>
      </c>
      <c r="N129" s="23" t="n">
        <v>39439.05</v>
      </c>
      <c r="O129" s="24" t="n">
        <v>0.2</v>
      </c>
      <c r="P129" s="23">
        <f>ROUND(H129*O129, 2)</f>
        <v/>
      </c>
      <c r="Q129" s="25" t="n">
        <v>0.03165748</v>
      </c>
      <c r="R129" s="25">
        <f>IFERROR(RATE(G129, -N129, K129, -P129), Q129)</f>
        <v/>
      </c>
      <c r="S129" s="25">
        <f>Q129*12</f>
        <v/>
      </c>
      <c r="T129" s="25">
        <f>((1+Q129)^12)-1</f>
        <v/>
      </c>
      <c r="U129" s="23">
        <f>IF(Q129&gt;0, ROUND(P129/((1+Q129)^G129), 2), P129)</f>
        <v/>
      </c>
      <c r="V129" s="23">
        <f>ROUND((N129*G129)-K129+P129, 2)</f>
        <v/>
      </c>
      <c r="W129" s="23">
        <f>ROUND(P129-U129, 2)</f>
        <v/>
      </c>
      <c r="X129" s="23">
        <f>ROUND(V129+W129, 2)</f>
        <v/>
      </c>
      <c r="Y129" s="23">
        <f>ROUND((N129*G129+P129+M129)-K129, 2)</f>
        <v/>
      </c>
      <c r="Z129" s="24">
        <f>IF(K129&gt;0, Y129/K129, 0)</f>
        <v/>
      </c>
    </row>
    <row r="130">
      <c r="A130" s="26" t="inlineStr">
        <is>
          <t>0660-0001</t>
        </is>
      </c>
      <c r="B130" s="27" t="inlineStr">
        <is>
          <t>Big Buck Capital sc</t>
        </is>
      </c>
      <c r="C130" s="27" t="inlineStr">
        <is>
          <t>MG 5</t>
        </is>
      </c>
      <c r="D130" s="26" t="inlineStr">
        <is>
          <t>ACTIVO</t>
        </is>
      </c>
      <c r="E130" s="26" t="inlineStr">
        <is>
          <t>2024-05-22</t>
        </is>
      </c>
      <c r="F130" s="26" t="inlineStr">
        <is>
          <t>2028-05-22</t>
        </is>
      </c>
      <c r="G130" s="28" t="n">
        <v>48</v>
      </c>
      <c r="H130" s="29" t="n">
        <v>269741.38</v>
      </c>
      <c r="I130" s="30" t="n">
        <v>0.1</v>
      </c>
      <c r="J130" s="29">
        <f>ROUND(H130*I130, 2)</f>
        <v/>
      </c>
      <c r="K130" s="29">
        <f>ROUND(H130-J130, 2)</f>
        <v/>
      </c>
      <c r="L130" s="30" t="n">
        <v>0.027</v>
      </c>
      <c r="M130" s="29">
        <f>ROUND(H130*L130, 2)</f>
        <v/>
      </c>
      <c r="N130" s="29" t="n">
        <v>8663.889999999999</v>
      </c>
      <c r="O130" s="30" t="n">
        <v>0.2</v>
      </c>
      <c r="P130" s="29">
        <f>ROUND(H130*O130, 2)</f>
        <v/>
      </c>
      <c r="Q130" s="31" t="n">
        <v>0.02775565</v>
      </c>
      <c r="R130" s="31">
        <f>IFERROR(RATE(G130, -N130, K130, -P130), Q130)</f>
        <v/>
      </c>
      <c r="S130" s="31">
        <f>Q130*12</f>
        <v/>
      </c>
      <c r="T130" s="31">
        <f>((1+Q130)^12)-1</f>
        <v/>
      </c>
      <c r="U130" s="29">
        <f>IF(Q130&gt;0, ROUND(P130/((1+Q130)^G130), 2), P130)</f>
        <v/>
      </c>
      <c r="V130" s="29">
        <f>ROUND((N130*G130)-K130+P130, 2)</f>
        <v/>
      </c>
      <c r="W130" s="29">
        <f>ROUND(P130-U130, 2)</f>
        <v/>
      </c>
      <c r="X130" s="29">
        <f>ROUND(V130+W130, 2)</f>
        <v/>
      </c>
      <c r="Y130" s="29">
        <f>ROUND((N130*G130+P130+M130)-K130, 2)</f>
        <v/>
      </c>
      <c r="Z130" s="30">
        <f>IF(K130&gt;0, Y130/K130, 0)</f>
        <v/>
      </c>
    </row>
    <row r="131">
      <c r="A131" s="20" t="inlineStr">
        <is>
          <t>0660-0002</t>
        </is>
      </c>
      <c r="B131" s="21" t="inlineStr">
        <is>
          <t>Big Buck Capital Sc</t>
        </is>
      </c>
      <c r="C131" s="21" t="inlineStr">
        <is>
          <t>Sienna</t>
        </is>
      </c>
      <c r="D131" s="20" t="inlineStr">
        <is>
          <t>ACTIVO</t>
        </is>
      </c>
      <c r="E131" s="20" t="inlineStr">
        <is>
          <t>2025-04-09</t>
        </is>
      </c>
      <c r="F131" s="20" t="inlineStr">
        <is>
          <t>2029-04-09</t>
        </is>
      </c>
      <c r="G131" s="22" t="n">
        <v>48</v>
      </c>
      <c r="H131" s="23" t="n">
        <v>810258.62</v>
      </c>
      <c r="I131" s="24" t="n">
        <v>0.1</v>
      </c>
      <c r="J131" s="23">
        <f>ROUND(H131*I131, 2)</f>
        <v/>
      </c>
      <c r="K131" s="23">
        <f>ROUND(H131-J131, 2)</f>
        <v/>
      </c>
      <c r="L131" s="24" t="n">
        <v>1</v>
      </c>
      <c r="M131" s="23">
        <f>ROUND(H131*L131, 2)</f>
        <v/>
      </c>
      <c r="N131" s="23" t="n">
        <v>26395.98</v>
      </c>
      <c r="O131" s="24" t="n">
        <v>0.1</v>
      </c>
      <c r="P131" s="23">
        <f>ROUND(H131*O131, 2)</f>
        <v/>
      </c>
      <c r="Q131" s="25" t="n">
        <v>0.0269179</v>
      </c>
      <c r="R131" s="25">
        <f>IFERROR(RATE(G131, -N131, K131, -P131), Q131)</f>
        <v/>
      </c>
      <c r="S131" s="25">
        <f>Q131*12</f>
        <v/>
      </c>
      <c r="T131" s="25">
        <f>((1+Q131)^12)-1</f>
        <v/>
      </c>
      <c r="U131" s="23">
        <f>IF(Q131&gt;0, ROUND(P131/((1+Q131)^G131), 2), P131)</f>
        <v/>
      </c>
      <c r="V131" s="23">
        <f>ROUND((N131*G131)-K131+P131, 2)</f>
        <v/>
      </c>
      <c r="W131" s="23">
        <f>ROUND(P131-U131, 2)</f>
        <v/>
      </c>
      <c r="X131" s="23">
        <f>ROUND(V131+W131, 2)</f>
        <v/>
      </c>
      <c r="Y131" s="23">
        <f>ROUND((N131*G131+P131+M131)-K131, 2)</f>
        <v/>
      </c>
      <c r="Z131" s="24">
        <f>IF(K131&gt;0, Y131/K131, 0)</f>
        <v/>
      </c>
    </row>
    <row r="132">
      <c r="A132" s="26" t="inlineStr">
        <is>
          <t>0661-0001</t>
        </is>
      </c>
      <c r="B132" s="27" t="inlineStr">
        <is>
          <t>Veta Vertical Home Sa de Cv</t>
        </is>
      </c>
      <c r="C132" s="27" t="inlineStr">
        <is>
          <t>3008 Allure Pack</t>
        </is>
      </c>
      <c r="D132" s="26" t="inlineStr">
        <is>
          <t>ACTIVO</t>
        </is>
      </c>
      <c r="E132" s="26" t="inlineStr">
        <is>
          <t>2024-06-27</t>
        </is>
      </c>
      <c r="F132" s="26" t="inlineStr">
        <is>
          <t>2028-06-27</t>
        </is>
      </c>
      <c r="G132" s="28" t="n">
        <v>48</v>
      </c>
      <c r="H132" s="29" t="n">
        <v>532672.41</v>
      </c>
      <c r="I132" s="30" t="n">
        <v>0.3232</v>
      </c>
      <c r="J132" s="29">
        <f>ROUND(H132*I132, 2)</f>
        <v/>
      </c>
      <c r="K132" s="29">
        <f>ROUND(H132-J132, 2)</f>
        <v/>
      </c>
      <c r="L132" s="30" t="n">
        <v>0.027</v>
      </c>
      <c r="M132" s="29">
        <f>ROUND(H132*L132, 2)</f>
        <v/>
      </c>
      <c r="N132" s="29" t="n">
        <v>13742.14</v>
      </c>
      <c r="O132" s="30" t="n">
        <v>0.2</v>
      </c>
      <c r="P132" s="29">
        <f>ROUND(H132*O132, 2)</f>
        <v/>
      </c>
      <c r="Q132" s="31" t="n">
        <v>0.03168456</v>
      </c>
      <c r="R132" s="31">
        <f>IFERROR(RATE(G132, -N132, K132, -P132), Q132)</f>
        <v/>
      </c>
      <c r="S132" s="31">
        <f>Q132*12</f>
        <v/>
      </c>
      <c r="T132" s="31">
        <f>((1+Q132)^12)-1</f>
        <v/>
      </c>
      <c r="U132" s="29">
        <f>IF(Q132&gt;0, ROUND(P132/((1+Q132)^G132), 2), P132)</f>
        <v/>
      </c>
      <c r="V132" s="29">
        <f>ROUND((N132*G132)-K132+P132, 2)</f>
        <v/>
      </c>
      <c r="W132" s="29">
        <f>ROUND(P132-U132, 2)</f>
        <v/>
      </c>
      <c r="X132" s="29">
        <f>ROUND(V132+W132, 2)</f>
        <v/>
      </c>
      <c r="Y132" s="29">
        <f>ROUND((N132*G132+P132+M132)-K132, 2)</f>
        <v/>
      </c>
      <c r="Z132" s="30">
        <f>IF(K132&gt;0, Y132/K132, 0)</f>
        <v/>
      </c>
    </row>
    <row r="133">
      <c r="A133" s="20" t="inlineStr">
        <is>
          <t>0662-0001</t>
        </is>
      </c>
      <c r="B133" s="21" t="inlineStr">
        <is>
          <t>Luis Jorge de Loera Perez</t>
        </is>
      </c>
      <c r="C133" s="21" t="inlineStr">
        <is>
          <t>L200 GLX Diesel</t>
        </is>
      </c>
      <c r="D133" s="20" t="inlineStr">
        <is>
          <t>ACTIVO</t>
        </is>
      </c>
      <c r="E133" s="20" t="inlineStr">
        <is>
          <t>2024-06-28</t>
        </is>
      </c>
      <c r="F133" s="20" t="inlineStr">
        <is>
          <t>2028-06-28</t>
        </is>
      </c>
      <c r="G133" s="22" t="n">
        <v>48</v>
      </c>
      <c r="H133" s="23" t="n">
        <v>557155.17</v>
      </c>
      <c r="I133" s="24" t="n">
        <v>0.2</v>
      </c>
      <c r="J133" s="23">
        <f>ROUND(H133*I133, 2)</f>
        <v/>
      </c>
      <c r="K133" s="23">
        <f>ROUND(H133-J133, 2)</f>
        <v/>
      </c>
      <c r="L133" s="24" t="n">
        <v>0.027</v>
      </c>
      <c r="M133" s="23">
        <f>ROUND(H133*L133, 2)</f>
        <v/>
      </c>
      <c r="N133" s="23" t="n">
        <v>17165.78</v>
      </c>
      <c r="O133" s="24" t="n">
        <v>0.2</v>
      </c>
      <c r="P133" s="23">
        <f>ROUND(H133*O133, 2)</f>
        <v/>
      </c>
      <c r="Q133" s="25" t="n">
        <v>0.03165748</v>
      </c>
      <c r="R133" s="25">
        <f>IFERROR(RATE(G133, -N133, K133, -P133), Q133)</f>
        <v/>
      </c>
      <c r="S133" s="25">
        <f>Q133*12</f>
        <v/>
      </c>
      <c r="T133" s="25">
        <f>((1+Q133)^12)-1</f>
        <v/>
      </c>
      <c r="U133" s="23">
        <f>IF(Q133&gt;0, ROUND(P133/((1+Q133)^G133), 2), P133)</f>
        <v/>
      </c>
      <c r="V133" s="23">
        <f>ROUND((N133*G133)-K133+P133, 2)</f>
        <v/>
      </c>
      <c r="W133" s="23">
        <f>ROUND(P133-U133, 2)</f>
        <v/>
      </c>
      <c r="X133" s="23">
        <f>ROUND(V133+W133, 2)</f>
        <v/>
      </c>
      <c r="Y133" s="23">
        <f>ROUND((N133*G133+P133+M133)-K133, 2)</f>
        <v/>
      </c>
      <c r="Z133" s="24">
        <f>IF(K133&gt;0, Y133/K133, 0)</f>
        <v/>
      </c>
    </row>
    <row r="134">
      <c r="A134" s="26" t="inlineStr">
        <is>
          <t>0662-0002</t>
        </is>
      </c>
      <c r="B134" s="27" t="inlineStr">
        <is>
          <t>Luis Jorge De Loera Perez</t>
        </is>
      </c>
      <c r="C134" s="27" t="inlineStr">
        <is>
          <t>NP 300</t>
        </is>
      </c>
      <c r="D134" s="26" t="inlineStr">
        <is>
          <t>ACTIVO</t>
        </is>
      </c>
      <c r="E134" s="26" t="inlineStr">
        <is>
          <t>2025-02-06</t>
        </is>
      </c>
      <c r="F134" s="26" t="inlineStr">
        <is>
          <t>2029-02-06</t>
        </is>
      </c>
      <c r="G134" s="28" t="n">
        <v>48</v>
      </c>
      <c r="H134" s="29" t="n">
        <v>437844.83</v>
      </c>
      <c r="I134" s="30" t="n">
        <v>0.1</v>
      </c>
      <c r="J134" s="29">
        <f>ROUND(H134*I134, 2)</f>
        <v/>
      </c>
      <c r="K134" s="29">
        <f>ROUND(H134-J134, 2)</f>
        <v/>
      </c>
      <c r="L134" s="30" t="n">
        <v>0.027</v>
      </c>
      <c r="M134" s="29">
        <f>ROUND(H134*L134, 2)</f>
        <v/>
      </c>
      <c r="N134" s="29" t="n">
        <v>14543.82</v>
      </c>
      <c r="O134" s="30" t="n">
        <v>0.2</v>
      </c>
      <c r="P134" s="29">
        <f>ROUND(H134*O134, 2)</f>
        <v/>
      </c>
      <c r="Q134" s="31" t="n">
        <v>0.02931301</v>
      </c>
      <c r="R134" s="31">
        <f>IFERROR(RATE(G134, -N134, K134, -P134), Q134)</f>
        <v/>
      </c>
      <c r="S134" s="31">
        <f>Q134*12</f>
        <v/>
      </c>
      <c r="T134" s="31">
        <f>((1+Q134)^12)-1</f>
        <v/>
      </c>
      <c r="U134" s="29">
        <f>IF(Q134&gt;0, ROUND(P134/((1+Q134)^G134), 2), P134)</f>
        <v/>
      </c>
      <c r="V134" s="29">
        <f>ROUND((N134*G134)-K134+P134, 2)</f>
        <v/>
      </c>
      <c r="W134" s="29">
        <f>ROUND(P134-U134, 2)</f>
        <v/>
      </c>
      <c r="X134" s="29">
        <f>ROUND(V134+W134, 2)</f>
        <v/>
      </c>
      <c r="Y134" s="29">
        <f>ROUND((N134*G134+P134+M134)-K134, 2)</f>
        <v/>
      </c>
      <c r="Z134" s="30">
        <f>IF(K134&gt;0, Y134/K134, 0)</f>
        <v/>
      </c>
    </row>
    <row r="135">
      <c r="A135" s="20" t="inlineStr">
        <is>
          <t>0662-0003</t>
        </is>
      </c>
      <c r="B135" s="21" t="inlineStr">
        <is>
          <t>Luis Jorge De Loera Perez</t>
        </is>
      </c>
      <c r="C135" s="21" t="inlineStr">
        <is>
          <t>Rav 4</t>
        </is>
      </c>
      <c r="D135" s="20" t="inlineStr">
        <is>
          <t>ACTIVO</t>
        </is>
      </c>
      <c r="E135" s="20" t="inlineStr">
        <is>
          <t>2025-03-27</t>
        </is>
      </c>
      <c r="F135" s="20" t="inlineStr">
        <is>
          <t>2029-03-27</t>
        </is>
      </c>
      <c r="G135" s="22" t="n">
        <v>48</v>
      </c>
      <c r="H135" s="23" t="n">
        <v>538965.52</v>
      </c>
      <c r="I135" s="24" t="n">
        <v>0.2539</v>
      </c>
      <c r="J135" s="23">
        <f>ROUND(H135*I135, 2)</f>
        <v/>
      </c>
      <c r="K135" s="23">
        <f>ROUND(H135-J135, 2)</f>
        <v/>
      </c>
      <c r="L135" s="24" t="n">
        <v>0.027</v>
      </c>
      <c r="M135" s="23">
        <f>ROUND(H135*L135, 2)</f>
        <v/>
      </c>
      <c r="N135" s="23" t="n">
        <v>14419.71</v>
      </c>
      <c r="O135" s="24" t="n">
        <v>0.2</v>
      </c>
      <c r="P135" s="23">
        <f>ROUND(H135*O135, 2)</f>
        <v/>
      </c>
      <c r="Q135" s="25" t="n">
        <v>0.02855967</v>
      </c>
      <c r="R135" s="25">
        <f>IFERROR(RATE(G135, -N135, K135, -P135), Q135)</f>
        <v/>
      </c>
      <c r="S135" s="25">
        <f>Q135*12</f>
        <v/>
      </c>
      <c r="T135" s="25">
        <f>((1+Q135)^12)-1</f>
        <v/>
      </c>
      <c r="U135" s="23">
        <f>IF(Q135&gt;0, ROUND(P135/((1+Q135)^G135), 2), P135)</f>
        <v/>
      </c>
      <c r="V135" s="23">
        <f>ROUND((N135*G135)-K135+P135, 2)</f>
        <v/>
      </c>
      <c r="W135" s="23">
        <f>ROUND(P135-U135, 2)</f>
        <v/>
      </c>
      <c r="X135" s="23">
        <f>ROUND(V135+W135, 2)</f>
        <v/>
      </c>
      <c r="Y135" s="23">
        <f>ROUND((N135*G135+P135+M135)-K135, 2)</f>
        <v/>
      </c>
      <c r="Z135" s="24">
        <f>IF(K135&gt;0, Y135/K135, 0)</f>
        <v/>
      </c>
    </row>
    <row r="136">
      <c r="A136" s="26" t="inlineStr">
        <is>
          <t>0663-0001</t>
        </is>
      </c>
      <c r="B136" s="27" t="inlineStr">
        <is>
          <t>Soluciones de Transporte de Carga B de Sa de Cv</t>
        </is>
      </c>
      <c r="C136" s="27" t="inlineStr">
        <is>
          <t>L200 GLX Diesel</t>
        </is>
      </c>
      <c r="D136" s="26" t="inlineStr">
        <is>
          <t>ACTIVO</t>
        </is>
      </c>
      <c r="E136" s="26" t="inlineStr">
        <is>
          <t>2024-07-31</t>
        </is>
      </c>
      <c r="F136" s="26" t="inlineStr">
        <is>
          <t>2028-07-31</t>
        </is>
      </c>
      <c r="G136" s="28" t="n">
        <v>48</v>
      </c>
      <c r="H136" s="29" t="n">
        <v>536762.9300000001</v>
      </c>
      <c r="I136" s="30" t="n">
        <v>0.1</v>
      </c>
      <c r="J136" s="29">
        <f>ROUND(H136*I136, 2)</f>
        <v/>
      </c>
      <c r="K136" s="29">
        <f>ROUND(H136-J136, 2)</f>
        <v/>
      </c>
      <c r="L136" s="30" t="n">
        <v>0.027</v>
      </c>
      <c r="M136" s="29">
        <f>ROUND(H136*L136, 2)</f>
        <v/>
      </c>
      <c r="N136" s="29" t="n">
        <v>18721.61</v>
      </c>
      <c r="O136" s="30" t="n">
        <v>0.2</v>
      </c>
      <c r="P136" s="29">
        <f>ROUND(H136*O136, 2)</f>
        <v/>
      </c>
      <c r="Q136" s="31" t="n">
        <v>0.03164266</v>
      </c>
      <c r="R136" s="31">
        <f>IFERROR(RATE(G136, -N136, K136, -P136), Q136)</f>
        <v/>
      </c>
      <c r="S136" s="31">
        <f>Q136*12</f>
        <v/>
      </c>
      <c r="T136" s="31">
        <f>((1+Q136)^12)-1</f>
        <v/>
      </c>
      <c r="U136" s="29">
        <f>IF(Q136&gt;0, ROUND(P136/((1+Q136)^G136), 2), P136)</f>
        <v/>
      </c>
      <c r="V136" s="29">
        <f>ROUND((N136*G136)-K136+P136, 2)</f>
        <v/>
      </c>
      <c r="W136" s="29">
        <f>ROUND(P136-U136, 2)</f>
        <v/>
      </c>
      <c r="X136" s="29">
        <f>ROUND(V136+W136, 2)</f>
        <v/>
      </c>
      <c r="Y136" s="29">
        <f>ROUND((N136*G136+P136+M136)-K136, 2)</f>
        <v/>
      </c>
      <c r="Z136" s="30">
        <f>IF(K136&gt;0, Y136/K136, 0)</f>
        <v/>
      </c>
    </row>
    <row r="137">
      <c r="A137" s="20" t="inlineStr">
        <is>
          <t>0663-0002</t>
        </is>
      </c>
      <c r="B137" s="21" t="inlineStr">
        <is>
          <t>Diego Hazael Morales Iñiguez</t>
        </is>
      </c>
      <c r="C137" s="21" t="inlineStr">
        <is>
          <t>Wrangler Rubicon</t>
        </is>
      </c>
      <c r="D137" s="20" t="inlineStr">
        <is>
          <t>ACTIVO</t>
        </is>
      </c>
      <c r="E137" s="20" t="inlineStr">
        <is>
          <t>2025-01-16</t>
        </is>
      </c>
      <c r="F137" s="20" t="inlineStr">
        <is>
          <t>2029-01-16</t>
        </is>
      </c>
      <c r="G137" s="22" t="n">
        <v>48</v>
      </c>
      <c r="H137" s="23" t="n">
        <v>1054224.14</v>
      </c>
      <c r="I137" s="24" t="n">
        <v>0.4</v>
      </c>
      <c r="J137" s="23">
        <f>ROUND(H137*I137, 2)</f>
        <v/>
      </c>
      <c r="K137" s="23">
        <f>ROUND(H137-J137, 2)</f>
        <v/>
      </c>
      <c r="L137" s="24" t="n">
        <v>0.027</v>
      </c>
      <c r="M137" s="23">
        <f>ROUND(H137*L137, 2)</f>
        <v/>
      </c>
      <c r="N137" s="23" t="n">
        <v>24436.15</v>
      </c>
      <c r="O137" s="24" t="n">
        <v>0.1</v>
      </c>
      <c r="P137" s="23">
        <f>ROUND(H137*O137, 2)</f>
        <v/>
      </c>
      <c r="Q137" s="25" t="n">
        <v>0.03083681</v>
      </c>
      <c r="R137" s="25">
        <f>IFERROR(RATE(G137, -N137, K137, -P137), Q137)</f>
        <v/>
      </c>
      <c r="S137" s="25">
        <f>Q137*12</f>
        <v/>
      </c>
      <c r="T137" s="25">
        <f>((1+Q137)^12)-1</f>
        <v/>
      </c>
      <c r="U137" s="23">
        <f>IF(Q137&gt;0, ROUND(P137/((1+Q137)^G137), 2), P137)</f>
        <v/>
      </c>
      <c r="V137" s="23">
        <f>ROUND((N137*G137)-K137+P137, 2)</f>
        <v/>
      </c>
      <c r="W137" s="23">
        <f>ROUND(P137-U137, 2)</f>
        <v/>
      </c>
      <c r="X137" s="23">
        <f>ROUND(V137+W137, 2)</f>
        <v/>
      </c>
      <c r="Y137" s="23">
        <f>ROUND((N137*G137+P137+M137)-K137, 2)</f>
        <v/>
      </c>
      <c r="Z137" s="24">
        <f>IF(K137&gt;0, Y137/K137, 0)</f>
        <v/>
      </c>
    </row>
    <row r="138">
      <c r="A138" s="26" t="inlineStr">
        <is>
          <t>0665-0001</t>
        </is>
      </c>
      <c r="B138" s="27" t="inlineStr">
        <is>
          <t>Dulce Guadalupe Amezcua Gomez</t>
        </is>
      </c>
      <c r="C138" s="27" t="inlineStr">
        <is>
          <t>Wrangler Jt</t>
        </is>
      </c>
      <c r="D138" s="26" t="inlineStr">
        <is>
          <t>ACTIVO</t>
        </is>
      </c>
      <c r="E138" s="26" t="inlineStr">
        <is>
          <t>2024-08-27</t>
        </is>
      </c>
      <c r="F138" s="26" t="inlineStr">
        <is>
          <t>2028-08-27</t>
        </is>
      </c>
      <c r="G138" s="28" t="n">
        <v>48</v>
      </c>
      <c r="H138" s="29" t="n">
        <v>1339568.97</v>
      </c>
      <c r="I138" s="30" t="n">
        <v>0.1028</v>
      </c>
      <c r="J138" s="29">
        <f>ROUND(H138*I138, 2)</f>
        <v/>
      </c>
      <c r="K138" s="29">
        <f>ROUND(H138-J138, 2)</f>
        <v/>
      </c>
      <c r="L138" s="30" t="n">
        <v>0.027</v>
      </c>
      <c r="M138" s="29">
        <f>ROUND(H138*L138, 2)</f>
        <v/>
      </c>
      <c r="N138" s="29" t="n">
        <v>46567.29</v>
      </c>
      <c r="O138" s="30" t="n">
        <v>0.2</v>
      </c>
      <c r="P138" s="29">
        <f>ROUND(H138*O138, 2)</f>
        <v/>
      </c>
      <c r="Q138" s="31" t="n">
        <v>0.03164037</v>
      </c>
      <c r="R138" s="31">
        <f>IFERROR(RATE(G138, -N138, K138, -P138), Q138)</f>
        <v/>
      </c>
      <c r="S138" s="31">
        <f>Q138*12</f>
        <v/>
      </c>
      <c r="T138" s="31">
        <f>((1+Q138)^12)-1</f>
        <v/>
      </c>
      <c r="U138" s="29">
        <f>IF(Q138&gt;0, ROUND(P138/((1+Q138)^G138), 2), P138)</f>
        <v/>
      </c>
      <c r="V138" s="29">
        <f>ROUND((N138*G138)-K138+P138, 2)</f>
        <v/>
      </c>
      <c r="W138" s="29">
        <f>ROUND(P138-U138, 2)</f>
        <v/>
      </c>
      <c r="X138" s="29">
        <f>ROUND(V138+W138, 2)</f>
        <v/>
      </c>
      <c r="Y138" s="29">
        <f>ROUND((N138*G138+P138+M138)-K138, 2)</f>
        <v/>
      </c>
      <c r="Z138" s="30">
        <f>IF(K138&gt;0, Y138/K138, 0)</f>
        <v/>
      </c>
    </row>
    <row r="139">
      <c r="A139" s="20" t="inlineStr">
        <is>
          <t>0666-0003</t>
        </is>
      </c>
      <c r="B139" s="21" t="inlineStr">
        <is>
          <t>Jaime Adrian Muñiz Ramirez</t>
        </is>
      </c>
      <c r="C139" s="21" t="inlineStr">
        <is>
          <t>Wrangler Phev</t>
        </is>
      </c>
      <c r="D139" s="20" t="inlineStr">
        <is>
          <t>ACTIVO</t>
        </is>
      </c>
      <c r="E139" s="20" t="inlineStr">
        <is>
          <t>2024-08-28</t>
        </is>
      </c>
      <c r="F139" s="20" t="inlineStr">
        <is>
          <t>2027-08-28</t>
        </is>
      </c>
      <c r="G139" s="22" t="n">
        <v>36</v>
      </c>
      <c r="H139" s="23" t="n">
        <v>1180948.28</v>
      </c>
      <c r="I139" s="24" t="n">
        <v>0.2</v>
      </c>
      <c r="J139" s="23">
        <f>ROUND(H139*I139, 2)</f>
        <v/>
      </c>
      <c r="K139" s="23">
        <f>ROUND(H139-J139, 2)</f>
        <v/>
      </c>
      <c r="L139" s="24" t="n">
        <v>0.027</v>
      </c>
      <c r="M139" s="23">
        <f>ROUND(H139*L139, 2)</f>
        <v/>
      </c>
      <c r="N139" s="23" t="n">
        <v>37878.54</v>
      </c>
      <c r="O139" s="24" t="n">
        <v>0.35</v>
      </c>
      <c r="P139" s="23">
        <f>ROUND(H139*O139, 2)</f>
        <v/>
      </c>
      <c r="Q139" s="25" t="n">
        <v>0.03146076</v>
      </c>
      <c r="R139" s="25">
        <f>IFERROR(RATE(G139, -N139, K139, -P139), Q139)</f>
        <v/>
      </c>
      <c r="S139" s="25">
        <f>Q139*12</f>
        <v/>
      </c>
      <c r="T139" s="25">
        <f>((1+Q139)^12)-1</f>
        <v/>
      </c>
      <c r="U139" s="23">
        <f>IF(Q139&gt;0, ROUND(P139/((1+Q139)^G139), 2), P139)</f>
        <v/>
      </c>
      <c r="V139" s="23">
        <f>ROUND((N139*G139)-K139+P139, 2)</f>
        <v/>
      </c>
      <c r="W139" s="23">
        <f>ROUND(P139-U139, 2)</f>
        <v/>
      </c>
      <c r="X139" s="23">
        <f>ROUND(V139+W139, 2)</f>
        <v/>
      </c>
      <c r="Y139" s="23">
        <f>ROUND((N139*G139+P139+M139)-K139, 2)</f>
        <v/>
      </c>
      <c r="Z139" s="24">
        <f>IF(K139&gt;0, Y139/K139, 0)</f>
        <v/>
      </c>
    </row>
    <row r="140">
      <c r="A140" s="26" t="inlineStr">
        <is>
          <t>0668-0005</t>
        </is>
      </c>
      <c r="B140" s="27" t="inlineStr">
        <is>
          <t>Jorge Alonso Alvarez Garcia</t>
        </is>
      </c>
      <c r="C140" s="27" t="inlineStr">
        <is>
          <t>RAM 700 BIGHORN "S" CREW CAB CVT</t>
        </is>
      </c>
      <c r="D140" s="26" t="inlineStr">
        <is>
          <t>ACTIVO</t>
        </is>
      </c>
      <c r="E140" s="26" t="inlineStr">
        <is>
          <t>2026-03-04</t>
        </is>
      </c>
      <c r="F140" s="26" t="inlineStr">
        <is>
          <t>2027-03-04</t>
        </is>
      </c>
      <c r="G140" s="28" t="n">
        <v>12</v>
      </c>
      <c r="H140" s="29" t="n">
        <v>382241.38</v>
      </c>
      <c r="I140" s="30" t="n">
        <v>0.1</v>
      </c>
      <c r="J140" s="29">
        <f>ROUND(H140*I140, 2)</f>
        <v/>
      </c>
      <c r="K140" s="29">
        <f>ROUND(H140-J140, 2)</f>
        <v/>
      </c>
      <c r="L140" s="30" t="n">
        <v>0</v>
      </c>
      <c r="M140" s="29">
        <f>ROUND(H140*L140, 2)</f>
        <v/>
      </c>
      <c r="N140" s="29" t="n">
        <v>27837.04</v>
      </c>
      <c r="O140" s="30" t="n">
        <v>0.2</v>
      </c>
      <c r="P140" s="29">
        <f>ROUND(H140*O140, 2)</f>
        <v/>
      </c>
      <c r="Q140" s="31" t="n">
        <v>0.02432243</v>
      </c>
      <c r="R140" s="31">
        <f>IFERROR(RATE(G140, -N140, K140, -P140), Q140)</f>
        <v/>
      </c>
      <c r="S140" s="31">
        <f>Q140*12</f>
        <v/>
      </c>
      <c r="T140" s="31">
        <f>((1+Q140)^12)-1</f>
        <v/>
      </c>
      <c r="U140" s="29">
        <f>IF(Q140&gt;0, ROUND(P140/((1+Q140)^G140), 2), P140)</f>
        <v/>
      </c>
      <c r="V140" s="29">
        <f>ROUND((N140*G140)-K140+P140, 2)</f>
        <v/>
      </c>
      <c r="W140" s="29">
        <f>ROUND(P140-U140, 2)</f>
        <v/>
      </c>
      <c r="X140" s="29">
        <f>ROUND(V140+W140, 2)</f>
        <v/>
      </c>
      <c r="Y140" s="29">
        <f>ROUND((N140*G140+P140+M140)-K140, 2)</f>
        <v/>
      </c>
      <c r="Z140" s="30">
        <f>IF(K140&gt;0, Y140/K140, 0)</f>
        <v/>
      </c>
    </row>
    <row r="141">
      <c r="A141" s="20" t="inlineStr">
        <is>
          <t>0669-0001</t>
        </is>
      </c>
      <c r="B141" s="21" t="inlineStr">
        <is>
          <t>Diego Hazael Morales Iñiguez</t>
        </is>
      </c>
      <c r="C141" s="21" t="inlineStr">
        <is>
          <t>Wrangler Jt</t>
        </is>
      </c>
      <c r="D141" s="20" t="inlineStr">
        <is>
          <t>ACTIVO</t>
        </is>
      </c>
      <c r="E141" s="20" t="inlineStr">
        <is>
          <t>2024-08-23</t>
        </is>
      </c>
      <c r="F141" s="20" t="inlineStr">
        <is>
          <t>2027-08-23</t>
        </is>
      </c>
      <c r="G141" s="22" t="n">
        <v>36</v>
      </c>
      <c r="H141" s="23" t="n">
        <v>1339568.97</v>
      </c>
      <c r="I141" s="24" t="n">
        <v>0.4</v>
      </c>
      <c r="J141" s="23">
        <f>ROUND(H141*I141, 2)</f>
        <v/>
      </c>
      <c r="K141" s="23">
        <f>ROUND(H141-J141, 2)</f>
        <v/>
      </c>
      <c r="L141" s="24" t="n">
        <v>0.027</v>
      </c>
      <c r="M141" s="23">
        <f>ROUND(H141*L141, 2)</f>
        <v/>
      </c>
      <c r="N141" s="23" t="n">
        <v>35441.3</v>
      </c>
      <c r="O141" s="24" t="n">
        <v>0.1</v>
      </c>
      <c r="P141" s="23">
        <f>ROUND(H141*O141, 2)</f>
        <v/>
      </c>
      <c r="Q141" s="25" t="n">
        <v>0.03125269</v>
      </c>
      <c r="R141" s="25">
        <f>IFERROR(RATE(G141, -N141, K141, -P141), Q141)</f>
        <v/>
      </c>
      <c r="S141" s="25">
        <f>Q141*12</f>
        <v/>
      </c>
      <c r="T141" s="25">
        <f>((1+Q141)^12)-1</f>
        <v/>
      </c>
      <c r="U141" s="23">
        <f>IF(Q141&gt;0, ROUND(P141/((1+Q141)^G141), 2), P141)</f>
        <v/>
      </c>
      <c r="V141" s="23">
        <f>ROUND((N141*G141)-K141+P141, 2)</f>
        <v/>
      </c>
      <c r="W141" s="23">
        <f>ROUND(P141-U141, 2)</f>
        <v/>
      </c>
      <c r="X141" s="23">
        <f>ROUND(V141+W141, 2)</f>
        <v/>
      </c>
      <c r="Y141" s="23">
        <f>ROUND((N141*G141+P141+M141)-K141, 2)</f>
        <v/>
      </c>
      <c r="Z141" s="24">
        <f>IF(K141&gt;0, Y141/K141, 0)</f>
        <v/>
      </c>
    </row>
    <row r="142">
      <c r="A142" s="26" t="inlineStr">
        <is>
          <t>0670-0001</t>
        </is>
      </c>
      <c r="B142" s="27" t="inlineStr">
        <is>
          <t>Consultoria Internacional Mexincorp Sc</t>
        </is>
      </c>
      <c r="C142" s="27" t="inlineStr">
        <is>
          <t>L200 Limited</t>
        </is>
      </c>
      <c r="D142" s="26" t="inlineStr">
        <is>
          <t>ACTIVO</t>
        </is>
      </c>
      <c r="E142" s="26" t="inlineStr">
        <is>
          <t>2024-09-03</t>
        </is>
      </c>
      <c r="F142" s="26" t="inlineStr">
        <is>
          <t>2028-09-03</t>
        </is>
      </c>
      <c r="G142" s="28" t="n">
        <v>48</v>
      </c>
      <c r="H142" s="29" t="n">
        <v>708012.0699999999</v>
      </c>
      <c r="I142" s="30" t="n">
        <v>0.15</v>
      </c>
      <c r="J142" s="29">
        <f>ROUND(H142*I142, 2)</f>
        <v/>
      </c>
      <c r="K142" s="29">
        <f>ROUND(H142-J142, 2)</f>
        <v/>
      </c>
      <c r="L142" s="30" t="n">
        <v>0.0275</v>
      </c>
      <c r="M142" s="29">
        <f>ROUND(H142*L142, 2)</f>
        <v/>
      </c>
      <c r="N142" s="29" t="n">
        <v>22719.23</v>
      </c>
      <c r="O142" s="30" t="n">
        <v>1</v>
      </c>
      <c r="P142" s="29">
        <f>ROUND(H142*O142, 2)</f>
        <v/>
      </c>
      <c r="Q142" s="31" t="n">
        <v>0.02764027</v>
      </c>
      <c r="R142" s="31">
        <f>IFERROR(RATE(G142, -N142, K142, -P142), Q142)</f>
        <v/>
      </c>
      <c r="S142" s="31">
        <f>Q142*12</f>
        <v/>
      </c>
      <c r="T142" s="31">
        <f>((1+Q142)^12)-1</f>
        <v/>
      </c>
      <c r="U142" s="29">
        <f>IF(Q142&gt;0, ROUND(P142/((1+Q142)^G142), 2), P142)</f>
        <v/>
      </c>
      <c r="V142" s="29">
        <f>ROUND((N142*G142)-K142+P142, 2)</f>
        <v/>
      </c>
      <c r="W142" s="29">
        <f>ROUND(P142-U142, 2)</f>
        <v/>
      </c>
      <c r="X142" s="29">
        <f>ROUND(V142+W142, 2)</f>
        <v/>
      </c>
      <c r="Y142" s="29">
        <f>ROUND((N142*G142+P142+M142)-K142, 2)</f>
        <v/>
      </c>
      <c r="Z142" s="30">
        <f>IF(K142&gt;0, Y142/K142, 0)</f>
        <v/>
      </c>
    </row>
    <row r="143">
      <c r="A143" s="20" t="inlineStr">
        <is>
          <t>0672-0001</t>
        </is>
      </c>
      <c r="B143" s="21" t="inlineStr">
        <is>
          <t>Bax Blockchain Services Sa de Cv</t>
        </is>
      </c>
      <c r="C143" s="21" t="inlineStr">
        <is>
          <t>Tucson Limited</t>
        </is>
      </c>
      <c r="D143" s="20" t="inlineStr">
        <is>
          <t>ACTIVO</t>
        </is>
      </c>
      <c r="E143" s="20" t="inlineStr">
        <is>
          <t>2024-09-13</t>
        </is>
      </c>
      <c r="F143" s="20" t="inlineStr">
        <is>
          <t>2027-09-13</t>
        </is>
      </c>
      <c r="G143" s="22" t="n">
        <v>36</v>
      </c>
      <c r="H143" s="23" t="n">
        <v>590000</v>
      </c>
      <c r="I143" s="24" t="n">
        <v>0.1</v>
      </c>
      <c r="J143" s="23">
        <f>ROUND(H143*I143, 2)</f>
        <v/>
      </c>
      <c r="K143" s="23">
        <f>ROUND(H143-J143, 2)</f>
        <v/>
      </c>
      <c r="L143" s="24" t="n">
        <v>0.027</v>
      </c>
      <c r="M143" s="23">
        <f>ROUND(H143*L143, 2)</f>
        <v/>
      </c>
      <c r="N143" s="23" t="n">
        <v>19824.4</v>
      </c>
      <c r="O143" s="24" t="n">
        <v>0.35</v>
      </c>
      <c r="P143" s="23">
        <f>ROUND(H143*O143, 2)</f>
        <v/>
      </c>
      <c r="Q143" s="25" t="n">
        <v>0.0271024</v>
      </c>
      <c r="R143" s="25">
        <f>IFERROR(RATE(G143, -N143, K143, -P143), Q143)</f>
        <v/>
      </c>
      <c r="S143" s="25">
        <f>Q143*12</f>
        <v/>
      </c>
      <c r="T143" s="25">
        <f>((1+Q143)^12)-1</f>
        <v/>
      </c>
      <c r="U143" s="23">
        <f>IF(Q143&gt;0, ROUND(P143/((1+Q143)^G143), 2), P143)</f>
        <v/>
      </c>
      <c r="V143" s="23">
        <f>ROUND((N143*G143)-K143+P143, 2)</f>
        <v/>
      </c>
      <c r="W143" s="23">
        <f>ROUND(P143-U143, 2)</f>
        <v/>
      </c>
      <c r="X143" s="23">
        <f>ROUND(V143+W143, 2)</f>
        <v/>
      </c>
      <c r="Y143" s="23">
        <f>ROUND((N143*G143+P143+M143)-K143, 2)</f>
        <v/>
      </c>
      <c r="Z143" s="24">
        <f>IF(K143&gt;0, Y143/K143, 0)</f>
        <v/>
      </c>
    </row>
    <row r="144">
      <c r="A144" s="26" t="inlineStr">
        <is>
          <t>0673-0001</t>
        </is>
      </c>
      <c r="B144" s="27" t="inlineStr">
        <is>
          <t>Juan Carlos Cardenas Arciniega</t>
        </is>
      </c>
      <c r="C144" s="27" t="inlineStr">
        <is>
          <t>Wrangler Unlimited</t>
        </is>
      </c>
      <c r="D144" s="26" t="inlineStr">
        <is>
          <t>ACTIVO</t>
        </is>
      </c>
      <c r="E144" s="26" t="inlineStr">
        <is>
          <t>2024-09-06</t>
        </is>
      </c>
      <c r="F144" s="26" t="inlineStr">
        <is>
          <t>2028-09-06</t>
        </is>
      </c>
      <c r="G144" s="28" t="n">
        <v>48</v>
      </c>
      <c r="H144" s="29" t="n">
        <v>1129224.14</v>
      </c>
      <c r="I144" s="30" t="n">
        <v>0.1929</v>
      </c>
      <c r="J144" s="29">
        <f>ROUND(H144*I144, 2)</f>
        <v/>
      </c>
      <c r="K144" s="29">
        <f>ROUND(H144-J144, 2)</f>
        <v/>
      </c>
      <c r="L144" s="30" t="n">
        <v>0.027</v>
      </c>
      <c r="M144" s="29">
        <f>ROUND(H144*L144, 2)</f>
        <v/>
      </c>
      <c r="N144" s="29" t="n">
        <v>35114.98</v>
      </c>
      <c r="O144" s="30" t="n">
        <v>0.2</v>
      </c>
      <c r="P144" s="29">
        <f>ROUND(H144*O144, 2)</f>
        <v/>
      </c>
      <c r="Q144" s="31" t="n">
        <v>0.03165319</v>
      </c>
      <c r="R144" s="31">
        <f>IFERROR(RATE(G144, -N144, K144, -P144), Q144)</f>
        <v/>
      </c>
      <c r="S144" s="31">
        <f>Q144*12</f>
        <v/>
      </c>
      <c r="T144" s="31">
        <f>((1+Q144)^12)-1</f>
        <v/>
      </c>
      <c r="U144" s="29">
        <f>IF(Q144&gt;0, ROUND(P144/((1+Q144)^G144), 2), P144)</f>
        <v/>
      </c>
      <c r="V144" s="29">
        <f>ROUND((N144*G144)-K144+P144, 2)</f>
        <v/>
      </c>
      <c r="W144" s="29">
        <f>ROUND(P144-U144, 2)</f>
        <v/>
      </c>
      <c r="X144" s="29">
        <f>ROUND(V144+W144, 2)</f>
        <v/>
      </c>
      <c r="Y144" s="29">
        <f>ROUND((N144*G144+P144+M144)-K144, 2)</f>
        <v/>
      </c>
      <c r="Z144" s="30">
        <f>IF(K144&gt;0, Y144/K144, 0)</f>
        <v/>
      </c>
    </row>
    <row r="145">
      <c r="A145" s="20" t="inlineStr">
        <is>
          <t>0673-0002</t>
        </is>
      </c>
      <c r="B145" s="21" t="inlineStr">
        <is>
          <t>Juan Carlos Cardenas Arciniega</t>
        </is>
      </c>
      <c r="C145" s="21" t="inlineStr">
        <is>
          <t>L200 Glx Diesel</t>
        </is>
      </c>
      <c r="D145" s="20" t="inlineStr">
        <is>
          <t>ACTIVO</t>
        </is>
      </c>
      <c r="E145" s="20" t="inlineStr">
        <is>
          <t>2025-03-25</t>
        </is>
      </c>
      <c r="F145" s="20" t="inlineStr">
        <is>
          <t>2029-03-25</t>
        </is>
      </c>
      <c r="G145" s="22" t="n">
        <v>48</v>
      </c>
      <c r="H145" s="23" t="n">
        <v>519355.17</v>
      </c>
      <c r="I145" s="24" t="n">
        <v>0.2</v>
      </c>
      <c r="J145" s="23">
        <f>ROUND(H145*I145, 2)</f>
        <v/>
      </c>
      <c r="K145" s="23">
        <f>ROUND(H145-J145, 2)</f>
        <v/>
      </c>
      <c r="L145" s="24" t="n">
        <v>0.02</v>
      </c>
      <c r="M145" s="23">
        <f>ROUND(H145*L145, 2)</f>
        <v/>
      </c>
      <c r="N145" s="23" t="n">
        <v>14981.34</v>
      </c>
      <c r="O145" s="24" t="n">
        <v>0.1</v>
      </c>
      <c r="P145" s="23">
        <f>ROUND(H145*O145, 2)</f>
        <v/>
      </c>
      <c r="Q145" s="25" t="n">
        <v>0.0269254</v>
      </c>
      <c r="R145" s="25">
        <f>IFERROR(RATE(G145, -N145, K145, -P145), Q145)</f>
        <v/>
      </c>
      <c r="S145" s="25">
        <f>Q145*12</f>
        <v/>
      </c>
      <c r="T145" s="25">
        <f>((1+Q145)^12)-1</f>
        <v/>
      </c>
      <c r="U145" s="23">
        <f>IF(Q145&gt;0, ROUND(P145/((1+Q145)^G145), 2), P145)</f>
        <v/>
      </c>
      <c r="V145" s="23">
        <f>ROUND((N145*G145)-K145+P145, 2)</f>
        <v/>
      </c>
      <c r="W145" s="23">
        <f>ROUND(P145-U145, 2)</f>
        <v/>
      </c>
      <c r="X145" s="23">
        <f>ROUND(V145+W145, 2)</f>
        <v/>
      </c>
      <c r="Y145" s="23">
        <f>ROUND((N145*G145+P145+M145)-K145, 2)</f>
        <v/>
      </c>
      <c r="Z145" s="24">
        <f>IF(K145&gt;0, Y145/K145, 0)</f>
        <v/>
      </c>
    </row>
    <row r="146">
      <c r="A146" s="26" t="inlineStr">
        <is>
          <t>0673-0003</t>
        </is>
      </c>
      <c r="B146" s="27" t="inlineStr">
        <is>
          <t>Juan Carlos Cardenas Arciniega</t>
        </is>
      </c>
      <c r="C146" s="27" t="inlineStr">
        <is>
          <t>Hilux Diesel</t>
        </is>
      </c>
      <c r="D146" s="26" t="inlineStr">
        <is>
          <t>ACTIVO</t>
        </is>
      </c>
      <c r="E146" s="26" t="inlineStr">
        <is>
          <t>2025-04-30</t>
        </is>
      </c>
      <c r="F146" s="26" t="inlineStr">
        <is>
          <t>2029-04-30</t>
        </is>
      </c>
      <c r="G146" s="28" t="n">
        <v>48</v>
      </c>
      <c r="H146" s="29" t="n">
        <v>519355.17</v>
      </c>
      <c r="I146" s="30" t="n">
        <v>0.2</v>
      </c>
      <c r="J146" s="29">
        <f>ROUND(H146*I146, 2)</f>
        <v/>
      </c>
      <c r="K146" s="29">
        <f>ROUND(H146-J146, 2)</f>
        <v/>
      </c>
      <c r="L146" s="30" t="n">
        <v>0.02</v>
      </c>
      <c r="M146" s="29">
        <f>ROUND(H146*L146, 2)</f>
        <v/>
      </c>
      <c r="N146" s="29" t="n">
        <v>20833.8</v>
      </c>
      <c r="O146" s="30" t="n">
        <v>0.1</v>
      </c>
      <c r="P146" s="29">
        <f>ROUND(H146*O146, 2)</f>
        <v/>
      </c>
      <c r="Q146" s="31" t="n">
        <v>0.04467542</v>
      </c>
      <c r="R146" s="31">
        <f>IFERROR(RATE(G146, -N146, K146, -P146), Q146)</f>
        <v/>
      </c>
      <c r="S146" s="31">
        <f>Q146*12</f>
        <v/>
      </c>
      <c r="T146" s="31">
        <f>((1+Q146)^12)-1</f>
        <v/>
      </c>
      <c r="U146" s="29">
        <f>IF(Q146&gt;0, ROUND(P146/((1+Q146)^G146), 2), P146)</f>
        <v/>
      </c>
      <c r="V146" s="29">
        <f>ROUND((N146*G146)-K146+P146, 2)</f>
        <v/>
      </c>
      <c r="W146" s="29">
        <f>ROUND(P146-U146, 2)</f>
        <v/>
      </c>
      <c r="X146" s="29">
        <f>ROUND(V146+W146, 2)</f>
        <v/>
      </c>
      <c r="Y146" s="29">
        <f>ROUND((N146*G146+P146+M146)-K146, 2)</f>
        <v/>
      </c>
      <c r="Z146" s="30">
        <f>IF(K146&gt;0, Y146/K146, 0)</f>
        <v/>
      </c>
    </row>
    <row r="147">
      <c r="A147" s="20" t="inlineStr">
        <is>
          <t>0673-0004</t>
        </is>
      </c>
      <c r="B147" s="21" t="inlineStr">
        <is>
          <t>Juan Carlos Cardenas Arciniega</t>
        </is>
      </c>
      <c r="C147" s="21" t="inlineStr">
        <is>
          <t>Np300</t>
        </is>
      </c>
      <c r="D147" s="20" t="inlineStr">
        <is>
          <t>ACTIVO</t>
        </is>
      </c>
      <c r="E147" s="20" t="inlineStr">
        <is>
          <t>2025-05-29</t>
        </is>
      </c>
      <c r="F147" s="20" t="inlineStr">
        <is>
          <t>2027-05-29</t>
        </is>
      </c>
      <c r="G147" s="22" t="n">
        <v>24</v>
      </c>
      <c r="H147" s="23" t="n">
        <v>407155.17</v>
      </c>
      <c r="I147" s="24" t="n">
        <v>0.1</v>
      </c>
      <c r="J147" s="23">
        <f>ROUND(H147*I147, 2)</f>
        <v/>
      </c>
      <c r="K147" s="23">
        <f>ROUND(H147-J147, 2)</f>
        <v/>
      </c>
      <c r="L147" s="24" t="n">
        <v>0.02</v>
      </c>
      <c r="M147" s="23">
        <f>ROUND(H147*L147, 2)</f>
        <v/>
      </c>
      <c r="N147" s="23" t="n">
        <v>17042.44</v>
      </c>
      <c r="O147" s="24" t="n">
        <v>0.3</v>
      </c>
      <c r="P147" s="23">
        <f>ROUND(H147*O147, 2)</f>
        <v/>
      </c>
      <c r="Q147" s="25" t="n">
        <v>0.02620493</v>
      </c>
      <c r="R147" s="25">
        <f>IFERROR(RATE(G147, -N147, K147, -P147), Q147)</f>
        <v/>
      </c>
      <c r="S147" s="25">
        <f>Q147*12</f>
        <v/>
      </c>
      <c r="T147" s="25">
        <f>((1+Q147)^12)-1</f>
        <v/>
      </c>
      <c r="U147" s="23">
        <f>IF(Q147&gt;0, ROUND(P147/((1+Q147)^G147), 2), P147)</f>
        <v/>
      </c>
      <c r="V147" s="23">
        <f>ROUND((N147*G147)-K147+P147, 2)</f>
        <v/>
      </c>
      <c r="W147" s="23">
        <f>ROUND(P147-U147, 2)</f>
        <v/>
      </c>
      <c r="X147" s="23">
        <f>ROUND(V147+W147, 2)</f>
        <v/>
      </c>
      <c r="Y147" s="23">
        <f>ROUND((N147*G147+P147+M147)-K147, 2)</f>
        <v/>
      </c>
      <c r="Z147" s="24">
        <f>IF(K147&gt;0, Y147/K147, 0)</f>
        <v/>
      </c>
    </row>
    <row r="148">
      <c r="A148" s="26" t="inlineStr">
        <is>
          <t>0673-0005</t>
        </is>
      </c>
      <c r="B148" s="27" t="inlineStr">
        <is>
          <t>Juan Carlos Cardenas Arciniega</t>
        </is>
      </c>
      <c r="C148" s="27" t="inlineStr">
        <is>
          <t>L200 Glx</t>
        </is>
      </c>
      <c r="D148" s="26" t="inlineStr">
        <is>
          <t>ACTIVO</t>
        </is>
      </c>
      <c r="E148" s="26" t="inlineStr">
        <is>
          <t>2025-05-29</t>
        </is>
      </c>
      <c r="F148" s="26" t="inlineStr">
        <is>
          <t>2028-05-29</t>
        </is>
      </c>
      <c r="G148" s="28" t="n">
        <v>36</v>
      </c>
      <c r="H148" s="29" t="n">
        <v>519355.17</v>
      </c>
      <c r="I148" s="30" t="n">
        <v>0.1</v>
      </c>
      <c r="J148" s="29">
        <f>ROUND(H148*I148, 2)</f>
        <v/>
      </c>
      <c r="K148" s="29">
        <f>ROUND(H148-J148, 2)</f>
        <v/>
      </c>
      <c r="L148" s="30" t="n">
        <v>0.02</v>
      </c>
      <c r="M148" s="29">
        <f>ROUND(H148*L148, 2)</f>
        <v/>
      </c>
      <c r="N148" s="29" t="n">
        <v>18341.23</v>
      </c>
      <c r="O148" s="30" t="n">
        <v>0.2</v>
      </c>
      <c r="P148" s="29">
        <f>ROUND(H148*O148, 2)</f>
        <v/>
      </c>
      <c r="Q148" s="31" t="n">
        <v>0.02590557</v>
      </c>
      <c r="R148" s="31">
        <f>IFERROR(RATE(G148, -N148, K148, -P148), Q148)</f>
        <v/>
      </c>
      <c r="S148" s="31">
        <f>Q148*12</f>
        <v/>
      </c>
      <c r="T148" s="31">
        <f>((1+Q148)^12)-1</f>
        <v/>
      </c>
      <c r="U148" s="29">
        <f>IF(Q148&gt;0, ROUND(P148/((1+Q148)^G148), 2), P148)</f>
        <v/>
      </c>
      <c r="V148" s="29">
        <f>ROUND((N148*G148)-K148+P148, 2)</f>
        <v/>
      </c>
      <c r="W148" s="29">
        <f>ROUND(P148-U148, 2)</f>
        <v/>
      </c>
      <c r="X148" s="29">
        <f>ROUND(V148+W148, 2)</f>
        <v/>
      </c>
      <c r="Y148" s="29">
        <f>ROUND((N148*G148+P148+M148)-K148, 2)</f>
        <v/>
      </c>
      <c r="Z148" s="30">
        <f>IF(K148&gt;0, Y148/K148, 0)</f>
        <v/>
      </c>
    </row>
    <row r="149">
      <c r="A149" s="20" t="inlineStr">
        <is>
          <t>0674-0001</t>
        </is>
      </c>
      <c r="B149" s="21" t="inlineStr">
        <is>
          <t>Zuji Sa de Cv</t>
        </is>
      </c>
      <c r="C149" s="21" t="inlineStr">
        <is>
          <t>2008 Allure</t>
        </is>
      </c>
      <c r="D149" s="20" t="inlineStr">
        <is>
          <t>ACTIVO</t>
        </is>
      </c>
      <c r="E149" s="20" t="inlineStr">
        <is>
          <t>2024-09-30</t>
        </is>
      </c>
      <c r="F149" s="20" t="inlineStr">
        <is>
          <t>2027-09-30</t>
        </is>
      </c>
      <c r="G149" s="22" t="n">
        <v>36</v>
      </c>
      <c r="H149" s="23" t="n">
        <v>409396.55</v>
      </c>
      <c r="I149" s="24" t="n">
        <v>0.2</v>
      </c>
      <c r="J149" s="23">
        <f>ROUND(H149*I149, 2)</f>
        <v/>
      </c>
      <c r="K149" s="23">
        <f>ROUND(H149-J149, 2)</f>
        <v/>
      </c>
      <c r="L149" s="24" t="n">
        <v>0.027</v>
      </c>
      <c r="M149" s="23">
        <f>ROUND(H149*L149, 2)</f>
        <v/>
      </c>
      <c r="N149" s="23" t="n">
        <v>13131.27</v>
      </c>
      <c r="O149" s="24" t="n">
        <v>0.35</v>
      </c>
      <c r="P149" s="23">
        <f>ROUND(H149*O149, 2)</f>
        <v/>
      </c>
      <c r="Q149" s="25" t="n">
        <v>0.03146077</v>
      </c>
      <c r="R149" s="25">
        <f>IFERROR(RATE(G149, -N149, K149, -P149), Q149)</f>
        <v/>
      </c>
      <c r="S149" s="25">
        <f>Q149*12</f>
        <v/>
      </c>
      <c r="T149" s="25">
        <f>((1+Q149)^12)-1</f>
        <v/>
      </c>
      <c r="U149" s="23">
        <f>IF(Q149&gt;0, ROUND(P149/((1+Q149)^G149), 2), P149)</f>
        <v/>
      </c>
      <c r="V149" s="23">
        <f>ROUND((N149*G149)-K149+P149, 2)</f>
        <v/>
      </c>
      <c r="W149" s="23">
        <f>ROUND(P149-U149, 2)</f>
        <v/>
      </c>
      <c r="X149" s="23">
        <f>ROUND(V149+W149, 2)</f>
        <v/>
      </c>
      <c r="Y149" s="23">
        <f>ROUND((N149*G149+P149+M149)-K149, 2)</f>
        <v/>
      </c>
      <c r="Z149" s="24">
        <f>IF(K149&gt;0, Y149/K149, 0)</f>
        <v/>
      </c>
    </row>
    <row r="150">
      <c r="A150" s="26" t="inlineStr">
        <is>
          <t>0675-0002</t>
        </is>
      </c>
      <c r="B150" s="27" t="inlineStr">
        <is>
          <t>Comercializadora Industrial de Zapopan Sa de Cv</t>
        </is>
      </c>
      <c r="C150" s="27" t="inlineStr">
        <is>
          <t>Valor Residual</t>
        </is>
      </c>
      <c r="D150" s="26" t="inlineStr">
        <is>
          <t>ACTIVO</t>
        </is>
      </c>
      <c r="E150" s="26" t="inlineStr">
        <is>
          <t>2025-10-15</t>
        </is>
      </c>
      <c r="F150" s="26" t="inlineStr">
        <is>
          <t>2026-10-15</t>
        </is>
      </c>
      <c r="G150" s="28" t="n">
        <v>12</v>
      </c>
      <c r="H150" s="29" t="n">
        <v>214163.79</v>
      </c>
      <c r="I150" s="30" t="n">
        <v>0</v>
      </c>
      <c r="J150" s="29">
        <f>ROUND(H150*I150, 2)</f>
        <v/>
      </c>
      <c r="K150" s="29">
        <f>ROUND(H150-J150, 2)</f>
        <v/>
      </c>
      <c r="L150" s="30" t="n">
        <v>0</v>
      </c>
      <c r="M150" s="29">
        <f>ROUND(H150*L150, 2)</f>
        <v/>
      </c>
      <c r="N150" s="29" t="n">
        <v>16144.76</v>
      </c>
      <c r="O150" s="30" t="n">
        <v>0.3</v>
      </c>
      <c r="P150" s="29">
        <f>ROUND(H150*O150, 2)</f>
        <v/>
      </c>
      <c r="Q150" s="31" t="n">
        <v>0.02450075</v>
      </c>
      <c r="R150" s="31">
        <f>IFERROR(RATE(G150, -N150, K150, -P150), Q150)</f>
        <v/>
      </c>
      <c r="S150" s="31">
        <f>Q150*12</f>
        <v/>
      </c>
      <c r="T150" s="31">
        <f>((1+Q150)^12)-1</f>
        <v/>
      </c>
      <c r="U150" s="29">
        <f>IF(Q150&gt;0, ROUND(P150/((1+Q150)^G150), 2), P150)</f>
        <v/>
      </c>
      <c r="V150" s="29">
        <f>ROUND((N150*G150)-K150+P150, 2)</f>
        <v/>
      </c>
      <c r="W150" s="29">
        <f>ROUND(P150-U150, 2)</f>
        <v/>
      </c>
      <c r="X150" s="29">
        <f>ROUND(V150+W150, 2)</f>
        <v/>
      </c>
      <c r="Y150" s="29">
        <f>ROUND((N150*G150+P150+M150)-K150, 2)</f>
        <v/>
      </c>
      <c r="Z150" s="30">
        <f>IF(K150&gt;0, Y150/K150, 0)</f>
        <v/>
      </c>
    </row>
    <row r="151">
      <c r="A151" s="20" t="inlineStr">
        <is>
          <t>0676-0001</t>
        </is>
      </c>
      <c r="B151" s="21" t="inlineStr">
        <is>
          <t>Productora Agricola los Amoles</t>
        </is>
      </c>
      <c r="C151" s="21" t="inlineStr">
        <is>
          <t>Ram 700 Regular Cab</t>
        </is>
      </c>
      <c r="D151" s="20" t="inlineStr">
        <is>
          <t>ACTIVO</t>
        </is>
      </c>
      <c r="E151" s="20" t="inlineStr">
        <is>
          <t>2024-10-30</t>
        </is>
      </c>
      <c r="F151" s="20" t="inlineStr">
        <is>
          <t>2027-10-30</t>
        </is>
      </c>
      <c r="G151" s="22" t="n">
        <v>36</v>
      </c>
      <c r="H151" s="23" t="n">
        <v>271683.62</v>
      </c>
      <c r="I151" s="24" t="n">
        <v>0.1</v>
      </c>
      <c r="J151" s="23">
        <f>ROUND(H151*I151, 2)</f>
        <v/>
      </c>
      <c r="K151" s="23">
        <f>ROUND(H151-J151, 2)</f>
        <v/>
      </c>
      <c r="L151" s="24" t="n">
        <v>0.027</v>
      </c>
      <c r="M151" s="23">
        <f>ROUND(H151*L151, 2)</f>
        <v/>
      </c>
      <c r="N151" s="23" t="n">
        <v>9979.08</v>
      </c>
      <c r="O151" s="24" t="n">
        <v>0.35</v>
      </c>
      <c r="P151" s="23">
        <f>ROUND(H151*O151, 2)</f>
        <v/>
      </c>
      <c r="Q151" s="25" t="n">
        <v>0.0314266</v>
      </c>
      <c r="R151" s="25">
        <f>IFERROR(RATE(G151, -N151, K151, -P151), Q151)</f>
        <v/>
      </c>
      <c r="S151" s="25">
        <f>Q151*12</f>
        <v/>
      </c>
      <c r="T151" s="25">
        <f>((1+Q151)^12)-1</f>
        <v/>
      </c>
      <c r="U151" s="23">
        <f>IF(Q151&gt;0, ROUND(P151/((1+Q151)^G151), 2), P151)</f>
        <v/>
      </c>
      <c r="V151" s="23">
        <f>ROUND((N151*G151)-K151+P151, 2)</f>
        <v/>
      </c>
      <c r="W151" s="23">
        <f>ROUND(P151-U151, 2)</f>
        <v/>
      </c>
      <c r="X151" s="23">
        <f>ROUND(V151+W151, 2)</f>
        <v/>
      </c>
      <c r="Y151" s="23">
        <f>ROUND((N151*G151+P151+M151)-K151, 2)</f>
        <v/>
      </c>
      <c r="Z151" s="24">
        <f>IF(K151&gt;0, Y151/K151, 0)</f>
        <v/>
      </c>
    </row>
    <row r="152">
      <c r="A152" s="26" t="inlineStr">
        <is>
          <t>0677-0001</t>
        </is>
      </c>
      <c r="B152" s="27" t="inlineStr">
        <is>
          <t>Laboratorio Inunza Siglo XXI</t>
        </is>
      </c>
      <c r="C152" s="27" t="inlineStr">
        <is>
          <t>Outlander Diamon</t>
        </is>
      </c>
      <c r="D152" s="26" t="inlineStr">
        <is>
          <t>ACTIVO</t>
        </is>
      </c>
      <c r="E152" s="26" t="inlineStr">
        <is>
          <t>2024-10-30</t>
        </is>
      </c>
      <c r="F152" s="26" t="inlineStr">
        <is>
          <t>2027-10-30</t>
        </is>
      </c>
      <c r="G152" s="28" t="n">
        <v>36</v>
      </c>
      <c r="H152" s="29" t="n">
        <v>810258.62</v>
      </c>
      <c r="I152" s="30" t="n">
        <v>0.3</v>
      </c>
      <c r="J152" s="29">
        <f>ROUND(H152*I152, 2)</f>
        <v/>
      </c>
      <c r="K152" s="29">
        <f>ROUND(H152-J152, 2)</f>
        <v/>
      </c>
      <c r="L152" s="30" t="n">
        <v>0.027</v>
      </c>
      <c r="M152" s="29">
        <f>ROUND(H152*L152, 2)</f>
        <v/>
      </c>
      <c r="N152" s="29" t="n">
        <v>24012.33</v>
      </c>
      <c r="O152" s="30" t="n">
        <v>0.2</v>
      </c>
      <c r="P152" s="29">
        <f>ROUND(H152*O152, 2)</f>
        <v/>
      </c>
      <c r="Q152" s="31" t="n">
        <v>0.0313497</v>
      </c>
      <c r="R152" s="31">
        <f>IFERROR(RATE(G152, -N152, K152, -P152), Q152)</f>
        <v/>
      </c>
      <c r="S152" s="31">
        <f>Q152*12</f>
        <v/>
      </c>
      <c r="T152" s="31">
        <f>((1+Q152)^12)-1</f>
        <v/>
      </c>
      <c r="U152" s="29">
        <f>IF(Q152&gt;0, ROUND(P152/((1+Q152)^G152), 2), P152)</f>
        <v/>
      </c>
      <c r="V152" s="29">
        <f>ROUND((N152*G152)-K152+P152, 2)</f>
        <v/>
      </c>
      <c r="W152" s="29">
        <f>ROUND(P152-U152, 2)</f>
        <v/>
      </c>
      <c r="X152" s="29">
        <f>ROUND(V152+W152, 2)</f>
        <v/>
      </c>
      <c r="Y152" s="29">
        <f>ROUND((N152*G152+P152+M152)-K152, 2)</f>
        <v/>
      </c>
      <c r="Z152" s="30">
        <f>IF(K152&gt;0, Y152/K152, 0)</f>
        <v/>
      </c>
    </row>
    <row r="153">
      <c r="A153" s="20" t="inlineStr">
        <is>
          <t>0678-0002</t>
        </is>
      </c>
      <c r="B153" s="21" t="inlineStr">
        <is>
          <t>Bhg Harmony S de Rl de Cv</t>
        </is>
      </c>
      <c r="C153" s="21" t="inlineStr">
        <is>
          <t>Teramont</t>
        </is>
      </c>
      <c r="D153" s="20" t="inlineStr">
        <is>
          <t>ACTIVO</t>
        </is>
      </c>
      <c r="E153" s="20" t="inlineStr">
        <is>
          <t>2025-12-04</t>
        </is>
      </c>
      <c r="F153" s="20" t="inlineStr">
        <is>
          <t>2026-12-04</t>
        </is>
      </c>
      <c r="G153" s="22" t="n">
        <v>12</v>
      </c>
      <c r="H153" s="23" t="n">
        <v>885293.97</v>
      </c>
      <c r="I153" s="24" t="n">
        <v>0.4</v>
      </c>
      <c r="J153" s="23">
        <f>ROUND(H153*I153, 2)</f>
        <v/>
      </c>
      <c r="K153" s="23">
        <f>ROUND(H153-J153, 2)</f>
        <v/>
      </c>
      <c r="L153" s="24" t="n">
        <v>0</v>
      </c>
      <c r="M153" s="23">
        <f>ROUND(H153*L153, 2)</f>
        <v/>
      </c>
      <c r="N153" s="23" t="n">
        <v>45325.62</v>
      </c>
      <c r="O153" s="24" t="n">
        <v>0.1</v>
      </c>
      <c r="P153" s="23">
        <f>ROUND(H153*O153, 2)</f>
        <v/>
      </c>
      <c r="Q153" s="25" t="n">
        <v>0.02488565</v>
      </c>
      <c r="R153" s="25">
        <f>IFERROR(RATE(G153, -N153, K153, -P153), Q153)</f>
        <v/>
      </c>
      <c r="S153" s="25">
        <f>Q153*12</f>
        <v/>
      </c>
      <c r="T153" s="25">
        <f>((1+Q153)^12)-1</f>
        <v/>
      </c>
      <c r="U153" s="23">
        <f>IF(Q153&gt;0, ROUND(P153/((1+Q153)^G153), 2), P153)</f>
        <v/>
      </c>
      <c r="V153" s="23">
        <f>ROUND((N153*G153)-K153+P153, 2)</f>
        <v/>
      </c>
      <c r="W153" s="23">
        <f>ROUND(P153-U153, 2)</f>
        <v/>
      </c>
      <c r="X153" s="23">
        <f>ROUND(V153+W153, 2)</f>
        <v/>
      </c>
      <c r="Y153" s="23">
        <f>ROUND((N153*G153+P153+M153)-K153, 2)</f>
        <v/>
      </c>
      <c r="Z153" s="24">
        <f>IF(K153&gt;0, Y153/K153, 0)</f>
        <v/>
      </c>
    </row>
    <row r="154">
      <c r="A154" s="26" t="inlineStr">
        <is>
          <t>0679-0001</t>
        </is>
      </c>
      <c r="B154" s="27" t="inlineStr">
        <is>
          <t>Naikor de Occidente Sa de Cv</t>
        </is>
      </c>
      <c r="C154" s="27" t="inlineStr">
        <is>
          <t>2008</t>
        </is>
      </c>
      <c r="D154" s="26" t="inlineStr">
        <is>
          <t>ACTIVO</t>
        </is>
      </c>
      <c r="E154" s="26" t="inlineStr">
        <is>
          <t>2024-11-29</t>
        </is>
      </c>
      <c r="F154" s="26" t="inlineStr">
        <is>
          <t>2028-11-29</t>
        </is>
      </c>
      <c r="G154" s="28" t="n">
        <v>48</v>
      </c>
      <c r="H154" s="29" t="n">
        <v>467155.17</v>
      </c>
      <c r="I154" s="30" t="n">
        <v>0.3</v>
      </c>
      <c r="J154" s="29">
        <f>ROUND(H154*I154, 2)</f>
        <v/>
      </c>
      <c r="K154" s="29">
        <f>ROUND(H154-J154, 2)</f>
        <v/>
      </c>
      <c r="L154" s="30" t="n">
        <v>0.027</v>
      </c>
      <c r="M154" s="29">
        <f>ROUND(H154*L154, 2)</f>
        <v/>
      </c>
      <c r="N154" s="29" t="n">
        <v>13010.63</v>
      </c>
      <c r="O154" s="30" t="n">
        <v>0.2</v>
      </c>
      <c r="P154" s="29">
        <f>ROUND(H154*O154, 2)</f>
        <v/>
      </c>
      <c r="Q154" s="31" t="n">
        <v>0.03361238</v>
      </c>
      <c r="R154" s="31">
        <f>IFERROR(RATE(G154, -N154, K154, -P154), Q154)</f>
        <v/>
      </c>
      <c r="S154" s="31">
        <f>Q154*12</f>
        <v/>
      </c>
      <c r="T154" s="31">
        <f>((1+Q154)^12)-1</f>
        <v/>
      </c>
      <c r="U154" s="29">
        <f>IF(Q154&gt;0, ROUND(P154/((1+Q154)^G154), 2), P154)</f>
        <v/>
      </c>
      <c r="V154" s="29">
        <f>ROUND((N154*G154)-K154+P154, 2)</f>
        <v/>
      </c>
      <c r="W154" s="29">
        <f>ROUND(P154-U154, 2)</f>
        <v/>
      </c>
      <c r="X154" s="29">
        <f>ROUND(V154+W154, 2)</f>
        <v/>
      </c>
      <c r="Y154" s="29">
        <f>ROUND((N154*G154+P154+M154)-K154, 2)</f>
        <v/>
      </c>
      <c r="Z154" s="30">
        <f>IF(K154&gt;0, Y154/K154, 0)</f>
        <v/>
      </c>
    </row>
    <row r="155">
      <c r="A155" s="20" t="inlineStr">
        <is>
          <t>0680-0001</t>
        </is>
      </c>
      <c r="B155" s="21" t="inlineStr">
        <is>
          <t>Madereria el Volcan Sa de Cv</t>
        </is>
      </c>
      <c r="C155" s="21" t="inlineStr">
        <is>
          <t>JT Mojave</t>
        </is>
      </c>
      <c r="D155" s="20" t="inlineStr">
        <is>
          <t>ACTIVO</t>
        </is>
      </c>
      <c r="E155" s="20" t="inlineStr">
        <is>
          <t>2024-12-27</t>
        </is>
      </c>
      <c r="F155" s="20" t="inlineStr">
        <is>
          <t>2027-12-27</t>
        </is>
      </c>
      <c r="G155" s="22" t="n">
        <v>36</v>
      </c>
      <c r="H155" s="23" t="n">
        <v>1270603.45</v>
      </c>
      <c r="I155" s="24" t="n">
        <v>0.3482</v>
      </c>
      <c r="J155" s="23">
        <f>ROUND(H155*I155, 2)</f>
        <v/>
      </c>
      <c r="K155" s="23">
        <f>ROUND(H155-J155, 2)</f>
        <v/>
      </c>
      <c r="L155" s="24" t="n">
        <v>0.027</v>
      </c>
      <c r="M155" s="23">
        <f>ROUND(H155*L155, 2)</f>
        <v/>
      </c>
      <c r="N155" s="23" t="n">
        <v>36683.87</v>
      </c>
      <c r="O155" s="24" t="n">
        <v>0.1</v>
      </c>
      <c r="P155" s="23">
        <f>ROUND(H155*O155, 2)</f>
        <v/>
      </c>
      <c r="Q155" s="25" t="n">
        <v>0.031246</v>
      </c>
      <c r="R155" s="25">
        <f>IFERROR(RATE(G155, -N155, K155, -P155), Q155)</f>
        <v/>
      </c>
      <c r="S155" s="25">
        <f>Q155*12</f>
        <v/>
      </c>
      <c r="T155" s="25">
        <f>((1+Q155)^12)-1</f>
        <v/>
      </c>
      <c r="U155" s="23">
        <f>IF(Q155&gt;0, ROUND(P155/((1+Q155)^G155), 2), P155)</f>
        <v/>
      </c>
      <c r="V155" s="23">
        <f>ROUND((N155*G155)-K155+P155, 2)</f>
        <v/>
      </c>
      <c r="W155" s="23">
        <f>ROUND(P155-U155, 2)</f>
        <v/>
      </c>
      <c r="X155" s="23">
        <f>ROUND(V155+W155, 2)</f>
        <v/>
      </c>
      <c r="Y155" s="23">
        <f>ROUND((N155*G155+P155+M155)-K155, 2)</f>
        <v/>
      </c>
      <c r="Z155" s="24">
        <f>IF(K155&gt;0, Y155/K155, 0)</f>
        <v/>
      </c>
    </row>
    <row r="156">
      <c r="A156" s="26" t="inlineStr">
        <is>
          <t>0682-0001</t>
        </is>
      </c>
      <c r="B156" s="27" t="inlineStr">
        <is>
          <t>Hidraneumaticos y Equipos para Gas Sa de Cv</t>
        </is>
      </c>
      <c r="C156" s="27" t="inlineStr">
        <is>
          <t>Renegade Limited</t>
        </is>
      </c>
      <c r="D156" s="26" t="inlineStr">
        <is>
          <t>ACTIVO</t>
        </is>
      </c>
      <c r="E156" s="26" t="inlineStr">
        <is>
          <t>2024-12-27</t>
        </is>
      </c>
      <c r="F156" s="26" t="inlineStr">
        <is>
          <t>2026-12-27</t>
        </is>
      </c>
      <c r="G156" s="28" t="n">
        <v>24</v>
      </c>
      <c r="H156" s="29" t="n">
        <v>428793.1</v>
      </c>
      <c r="I156" s="30" t="n">
        <v>0.1</v>
      </c>
      <c r="J156" s="29">
        <f>ROUND(H156*I156, 2)</f>
        <v/>
      </c>
      <c r="K156" s="29">
        <f>ROUND(H156-J156, 2)</f>
        <v/>
      </c>
      <c r="L156" s="30" t="n">
        <v>0.027</v>
      </c>
      <c r="M156" s="29">
        <f>ROUND(H156*L156, 2)</f>
        <v/>
      </c>
      <c r="N156" s="29" t="n">
        <v>21853.21</v>
      </c>
      <c r="O156" s="30" t="n">
        <v>0.1</v>
      </c>
      <c r="P156" s="29">
        <f>ROUND(H156*O156, 2)</f>
        <v/>
      </c>
      <c r="Q156" s="31" t="n">
        <v>0.03118988</v>
      </c>
      <c r="R156" s="31">
        <f>IFERROR(RATE(G156, -N156, K156, -P156), Q156)</f>
        <v/>
      </c>
      <c r="S156" s="31">
        <f>Q156*12</f>
        <v/>
      </c>
      <c r="T156" s="31">
        <f>((1+Q156)^12)-1</f>
        <v/>
      </c>
      <c r="U156" s="29">
        <f>IF(Q156&gt;0, ROUND(P156/((1+Q156)^G156), 2), P156)</f>
        <v/>
      </c>
      <c r="V156" s="29">
        <f>ROUND((N156*G156)-K156+P156, 2)</f>
        <v/>
      </c>
      <c r="W156" s="29">
        <f>ROUND(P156-U156, 2)</f>
        <v/>
      </c>
      <c r="X156" s="29">
        <f>ROUND(V156+W156, 2)</f>
        <v/>
      </c>
      <c r="Y156" s="29">
        <f>ROUND((N156*G156+P156+M156)-K156, 2)</f>
        <v/>
      </c>
      <c r="Z156" s="30">
        <f>IF(K156&gt;0, Y156/K156, 0)</f>
        <v/>
      </c>
    </row>
    <row r="157">
      <c r="A157" s="20" t="inlineStr">
        <is>
          <t>0682-0002</t>
        </is>
      </c>
      <c r="B157" s="21" t="inlineStr">
        <is>
          <t>Hidroneumaticos y Equipos para Gas Sa de Cv</t>
        </is>
      </c>
      <c r="C157" s="21" t="inlineStr">
        <is>
          <t>RIO</t>
        </is>
      </c>
      <c r="D157" s="20" t="inlineStr">
        <is>
          <t>ACTIVO</t>
        </is>
      </c>
      <c r="E157" s="20" t="inlineStr">
        <is>
          <t>2025-02-17</t>
        </is>
      </c>
      <c r="F157" s="20" t="inlineStr">
        <is>
          <t>2027-02-17</t>
        </is>
      </c>
      <c r="G157" s="22" t="n">
        <v>24</v>
      </c>
      <c r="H157" s="23" t="n">
        <v>224051.72</v>
      </c>
      <c r="I157" s="24" t="n">
        <v>0.1</v>
      </c>
      <c r="J157" s="23">
        <f>ROUND(H157*I157, 2)</f>
        <v/>
      </c>
      <c r="K157" s="23">
        <f>ROUND(H157-J157, 2)</f>
        <v/>
      </c>
      <c r="L157" s="24" t="n">
        <v>0.027</v>
      </c>
      <c r="M157" s="23">
        <f>ROUND(H157*L157, 2)</f>
        <v/>
      </c>
      <c r="N157" s="23" t="n">
        <v>11418.67</v>
      </c>
      <c r="O157" s="24" t="n">
        <v>0.1</v>
      </c>
      <c r="P157" s="23">
        <f>ROUND(H157*O157, 2)</f>
        <v/>
      </c>
      <c r="Q157" s="25" t="n">
        <v>0.03118987</v>
      </c>
      <c r="R157" s="25">
        <f>IFERROR(RATE(G157, -N157, K157, -P157), Q157)</f>
        <v/>
      </c>
      <c r="S157" s="25">
        <f>Q157*12</f>
        <v/>
      </c>
      <c r="T157" s="25">
        <f>((1+Q157)^12)-1</f>
        <v/>
      </c>
      <c r="U157" s="23">
        <f>IF(Q157&gt;0, ROUND(P157/((1+Q157)^G157), 2), P157)</f>
        <v/>
      </c>
      <c r="V157" s="23">
        <f>ROUND((N157*G157)-K157+P157, 2)</f>
        <v/>
      </c>
      <c r="W157" s="23">
        <f>ROUND(P157-U157, 2)</f>
        <v/>
      </c>
      <c r="X157" s="23">
        <f>ROUND(V157+W157, 2)</f>
        <v/>
      </c>
      <c r="Y157" s="23">
        <f>ROUND((N157*G157+P157+M157)-K157, 2)</f>
        <v/>
      </c>
      <c r="Z157" s="24">
        <f>IF(K157&gt;0, Y157/K157, 0)</f>
        <v/>
      </c>
    </row>
    <row r="158">
      <c r="A158" s="26" t="inlineStr">
        <is>
          <t>0683-0001</t>
        </is>
      </c>
      <c r="B158" s="27" t="inlineStr">
        <is>
          <t>Maria de Jesus Sanchez Aguayo</t>
        </is>
      </c>
      <c r="C158" s="27" t="inlineStr">
        <is>
          <t>Ram 700 Regular Cab</t>
        </is>
      </c>
      <c r="D158" s="26" t="inlineStr">
        <is>
          <t>ACTIVO</t>
        </is>
      </c>
      <c r="E158" s="26" t="inlineStr">
        <is>
          <t>2025-01-09</t>
        </is>
      </c>
      <c r="F158" s="26" t="inlineStr">
        <is>
          <t>2028-01-09</t>
        </is>
      </c>
      <c r="G158" s="28" t="n">
        <v>36</v>
      </c>
      <c r="H158" s="29" t="n">
        <v>276700.86</v>
      </c>
      <c r="I158" s="30" t="n">
        <v>0.1</v>
      </c>
      <c r="J158" s="29">
        <f>ROUND(H158*I158, 2)</f>
        <v/>
      </c>
      <c r="K158" s="29">
        <f>ROUND(H158-J158, 2)</f>
        <v/>
      </c>
      <c r="L158" s="30" t="n">
        <v>0.027</v>
      </c>
      <c r="M158" s="29">
        <f>ROUND(H158*L158, 2)</f>
        <v/>
      </c>
      <c r="N158" s="29" t="n">
        <v>10163.36</v>
      </c>
      <c r="O158" s="30" t="n">
        <v>0.35</v>
      </c>
      <c r="P158" s="29">
        <f>ROUND(H158*O158, 2)</f>
        <v/>
      </c>
      <c r="Q158" s="31" t="n">
        <v>0.0314266</v>
      </c>
      <c r="R158" s="31">
        <f>IFERROR(RATE(G158, -N158, K158, -P158), Q158)</f>
        <v/>
      </c>
      <c r="S158" s="31">
        <f>Q158*12</f>
        <v/>
      </c>
      <c r="T158" s="31">
        <f>((1+Q158)^12)-1</f>
        <v/>
      </c>
      <c r="U158" s="29">
        <f>IF(Q158&gt;0, ROUND(P158/((1+Q158)^G158), 2), P158)</f>
        <v/>
      </c>
      <c r="V158" s="29">
        <f>ROUND((N158*G158)-K158+P158, 2)</f>
        <v/>
      </c>
      <c r="W158" s="29">
        <f>ROUND(P158-U158, 2)</f>
        <v/>
      </c>
      <c r="X158" s="29">
        <f>ROUND(V158+W158, 2)</f>
        <v/>
      </c>
      <c r="Y158" s="29">
        <f>ROUND((N158*G158+P158+M158)-K158, 2)</f>
        <v/>
      </c>
      <c r="Z158" s="30">
        <f>IF(K158&gt;0, Y158/K158, 0)</f>
        <v/>
      </c>
    </row>
    <row r="159">
      <c r="A159" s="20" t="inlineStr">
        <is>
          <t>0683-0002</t>
        </is>
      </c>
      <c r="B159" s="21" t="inlineStr">
        <is>
          <t>Maria de Jesus Sanchez Aguayo</t>
        </is>
      </c>
      <c r="C159" s="21" t="inlineStr">
        <is>
          <t>700 Tradesman Regular Cab</t>
        </is>
      </c>
      <c r="D159" s="20" t="inlineStr">
        <is>
          <t>ACTIVO</t>
        </is>
      </c>
      <c r="E159" s="20" t="inlineStr">
        <is>
          <t>2026-01-05</t>
        </is>
      </c>
      <c r="F159" s="20" t="inlineStr">
        <is>
          <t>2029-01-05</t>
        </is>
      </c>
      <c r="G159" s="22" t="n">
        <v>36</v>
      </c>
      <c r="H159" s="23" t="n">
        <v>267155.17</v>
      </c>
      <c r="I159" s="24" t="n">
        <v>0.1</v>
      </c>
      <c r="J159" s="23">
        <f>ROUND(H159*I159, 2)</f>
        <v/>
      </c>
      <c r="K159" s="23">
        <f>ROUND(H159-J159, 2)</f>
        <v/>
      </c>
      <c r="L159" s="24" t="n">
        <v>0.02</v>
      </c>
      <c r="M159" s="23">
        <f>ROUND(H159*L159, 2)</f>
        <v/>
      </c>
      <c r="N159" s="23" t="n">
        <v>9571.969999999999</v>
      </c>
      <c r="O159" s="24" t="n">
        <v>0.2</v>
      </c>
      <c r="P159" s="23">
        <f>ROUND(H159*O159, 2)</f>
        <v/>
      </c>
      <c r="Q159" s="25" t="n">
        <v>0.0266784</v>
      </c>
      <c r="R159" s="25">
        <f>IFERROR(RATE(G159, -N159, K159, -P159), Q159)</f>
        <v/>
      </c>
      <c r="S159" s="25">
        <f>Q159*12</f>
        <v/>
      </c>
      <c r="T159" s="25">
        <f>((1+Q159)^12)-1</f>
        <v/>
      </c>
      <c r="U159" s="23">
        <f>IF(Q159&gt;0, ROUND(P159/((1+Q159)^G159), 2), P159)</f>
        <v/>
      </c>
      <c r="V159" s="23">
        <f>ROUND((N159*G159)-K159+P159, 2)</f>
        <v/>
      </c>
      <c r="W159" s="23">
        <f>ROUND(P159-U159, 2)</f>
        <v/>
      </c>
      <c r="X159" s="23">
        <f>ROUND(V159+W159, 2)</f>
        <v/>
      </c>
      <c r="Y159" s="23">
        <f>ROUND((N159*G159+P159+M159)-K159, 2)</f>
        <v/>
      </c>
      <c r="Z159" s="24">
        <f>IF(K159&gt;0, Y159/K159, 0)</f>
        <v/>
      </c>
    </row>
    <row r="160">
      <c r="A160" s="26" t="inlineStr">
        <is>
          <t>0684-0001</t>
        </is>
      </c>
      <c r="B160" s="27" t="inlineStr">
        <is>
          <t>Corporativo Kareso Sa de v</t>
        </is>
      </c>
      <c r="C160" s="27" t="inlineStr">
        <is>
          <t>GRAND CHEROKEE LIMITED</t>
        </is>
      </c>
      <c r="D160" s="26" t="inlineStr">
        <is>
          <t>ACTIVO</t>
        </is>
      </c>
      <c r="E160" s="26" t="inlineStr">
        <is>
          <t>2024-12-20</t>
        </is>
      </c>
      <c r="F160" s="26" t="inlineStr">
        <is>
          <t>2026-12-20</t>
        </is>
      </c>
      <c r="G160" s="28" t="n">
        <v>24</v>
      </c>
      <c r="H160" s="29" t="n">
        <v>1139655.17</v>
      </c>
      <c r="I160" s="30" t="n">
        <v>0.3</v>
      </c>
      <c r="J160" s="29">
        <f>ROUND(H160*I160, 2)</f>
        <v/>
      </c>
      <c r="K160" s="29">
        <f>ROUND(H160-J160, 2)</f>
        <v/>
      </c>
      <c r="L160" s="30" t="n">
        <v>0.027</v>
      </c>
      <c r="M160" s="29">
        <f>ROUND(H160*L160, 2)</f>
        <v/>
      </c>
      <c r="N160" s="29" t="n">
        <v>40866.66</v>
      </c>
      <c r="O160" s="30" t="n">
        <v>0.2</v>
      </c>
      <c r="P160" s="29">
        <f>ROUND(H160*O160, 2)</f>
        <v/>
      </c>
      <c r="Q160" s="31" t="n">
        <v>0.0306461</v>
      </c>
      <c r="R160" s="31">
        <f>IFERROR(RATE(G160, -N160, K160, -P160), Q160)</f>
        <v/>
      </c>
      <c r="S160" s="31">
        <f>Q160*12</f>
        <v/>
      </c>
      <c r="T160" s="31">
        <f>((1+Q160)^12)-1</f>
        <v/>
      </c>
      <c r="U160" s="29">
        <f>IF(Q160&gt;0, ROUND(P160/((1+Q160)^G160), 2), P160)</f>
        <v/>
      </c>
      <c r="V160" s="29">
        <f>ROUND((N160*G160)-K160+P160, 2)</f>
        <v/>
      </c>
      <c r="W160" s="29">
        <f>ROUND(P160-U160, 2)</f>
        <v/>
      </c>
      <c r="X160" s="29">
        <f>ROUND(V160+W160, 2)</f>
        <v/>
      </c>
      <c r="Y160" s="29">
        <f>ROUND((N160*G160+P160+M160)-K160, 2)</f>
        <v/>
      </c>
      <c r="Z160" s="30">
        <f>IF(K160&gt;0, Y160/K160, 0)</f>
        <v/>
      </c>
    </row>
    <row r="161">
      <c r="A161" s="20" t="inlineStr">
        <is>
          <t>0684-0002</t>
        </is>
      </c>
      <c r="B161" s="21" t="inlineStr">
        <is>
          <t>Corporativo Kareso Sa de Cv</t>
        </is>
      </c>
      <c r="C161" s="21" t="inlineStr">
        <is>
          <t>NP300 Chasis</t>
        </is>
      </c>
      <c r="D161" s="20" t="inlineStr">
        <is>
          <t>ACTIVO</t>
        </is>
      </c>
      <c r="E161" s="20" t="inlineStr">
        <is>
          <t>2025-12-12</t>
        </is>
      </c>
      <c r="F161" s="20" t="inlineStr">
        <is>
          <t>2027-12-12</t>
        </is>
      </c>
      <c r="G161" s="22" t="n">
        <v>24</v>
      </c>
      <c r="H161" s="23" t="n">
        <v>468448.28</v>
      </c>
      <c r="I161" s="24" t="n">
        <v>0.3</v>
      </c>
      <c r="J161" s="23">
        <f>ROUND(H161*I161, 2)</f>
        <v/>
      </c>
      <c r="K161" s="23">
        <f>ROUND(H161-J161, 2)</f>
        <v/>
      </c>
      <c r="L161" s="24" t="n">
        <v>0.02</v>
      </c>
      <c r="M161" s="23">
        <f>ROUND(H161*L161, 2)</f>
        <v/>
      </c>
      <c r="N161" s="23" t="n">
        <v>15703.94</v>
      </c>
      <c r="O161" s="24" t="n">
        <v>0.2</v>
      </c>
      <c r="P161" s="23">
        <f>ROUND(H161*O161, 2)</f>
        <v/>
      </c>
      <c r="Q161" s="25" t="n">
        <v>0.02611184</v>
      </c>
      <c r="R161" s="25">
        <f>IFERROR(RATE(G161, -N161, K161, -P161), Q161)</f>
        <v/>
      </c>
      <c r="S161" s="25">
        <f>Q161*12</f>
        <v/>
      </c>
      <c r="T161" s="25">
        <f>((1+Q161)^12)-1</f>
        <v/>
      </c>
      <c r="U161" s="23">
        <f>IF(Q161&gt;0, ROUND(P161/((1+Q161)^G161), 2), P161)</f>
        <v/>
      </c>
      <c r="V161" s="23">
        <f>ROUND((N161*G161)-K161+P161, 2)</f>
        <v/>
      </c>
      <c r="W161" s="23">
        <f>ROUND(P161-U161, 2)</f>
        <v/>
      </c>
      <c r="X161" s="23">
        <f>ROUND(V161+W161, 2)</f>
        <v/>
      </c>
      <c r="Y161" s="23">
        <f>ROUND((N161*G161+P161+M161)-K161, 2)</f>
        <v/>
      </c>
      <c r="Z161" s="24">
        <f>IF(K161&gt;0, Y161/K161, 0)</f>
        <v/>
      </c>
    </row>
    <row r="162">
      <c r="A162" s="26" t="inlineStr">
        <is>
          <t>0684-0003</t>
        </is>
      </c>
      <c r="B162" s="27" t="inlineStr">
        <is>
          <t>Corporativo Kareso Sa de Cv</t>
        </is>
      </c>
      <c r="C162" s="27" t="inlineStr">
        <is>
          <t>Yaris HB</t>
        </is>
      </c>
      <c r="D162" s="26" t="inlineStr">
        <is>
          <t>ACTIVO</t>
        </is>
      </c>
      <c r="E162" s="26" t="inlineStr">
        <is>
          <t>2026-02-17</t>
        </is>
      </c>
      <c r="F162" s="26" t="inlineStr">
        <is>
          <t>2028-02-17</t>
        </is>
      </c>
      <c r="G162" s="28" t="n">
        <v>24</v>
      </c>
      <c r="H162" s="29" t="n">
        <v>321810.34</v>
      </c>
      <c r="I162" s="30" t="n">
        <v>0.3</v>
      </c>
      <c r="J162" s="29">
        <f>ROUND(H162*I162, 2)</f>
        <v/>
      </c>
      <c r="K162" s="29">
        <f>ROUND(H162-J162, 2)</f>
        <v/>
      </c>
      <c r="L162" s="30" t="n">
        <v>0.02</v>
      </c>
      <c r="M162" s="29">
        <f>ROUND(H162*L162, 2)</f>
        <v/>
      </c>
      <c r="N162" s="29" t="n">
        <v>10788.16</v>
      </c>
      <c r="O162" s="30" t="n">
        <v>0.2</v>
      </c>
      <c r="P162" s="29">
        <f>ROUND(H162*O162, 2)</f>
        <v/>
      </c>
      <c r="Q162" s="31" t="n">
        <v>0.02611188</v>
      </c>
      <c r="R162" s="31">
        <f>IFERROR(RATE(G162, -N162, K162, -P162), Q162)</f>
        <v/>
      </c>
      <c r="S162" s="31">
        <f>Q162*12</f>
        <v/>
      </c>
      <c r="T162" s="31">
        <f>((1+Q162)^12)-1</f>
        <v/>
      </c>
      <c r="U162" s="29">
        <f>IF(Q162&gt;0, ROUND(P162/((1+Q162)^G162), 2), P162)</f>
        <v/>
      </c>
      <c r="V162" s="29">
        <f>ROUND((N162*G162)-K162+P162, 2)</f>
        <v/>
      </c>
      <c r="W162" s="29">
        <f>ROUND(P162-U162, 2)</f>
        <v/>
      </c>
      <c r="X162" s="29">
        <f>ROUND(V162+W162, 2)</f>
        <v/>
      </c>
      <c r="Y162" s="29">
        <f>ROUND((N162*G162+P162+M162)-K162, 2)</f>
        <v/>
      </c>
      <c r="Z162" s="30">
        <f>IF(K162&gt;0, Y162/K162, 0)</f>
        <v/>
      </c>
    </row>
    <row r="163">
      <c r="A163" s="20" t="inlineStr">
        <is>
          <t>0684-0004</t>
        </is>
      </c>
      <c r="B163" s="21" t="inlineStr">
        <is>
          <t>Corporativo Kareso Sa de Cv</t>
        </is>
      </c>
      <c r="C163" s="21" t="inlineStr">
        <is>
          <t>700 LARAMIE CREW CAB</t>
        </is>
      </c>
      <c r="D163" s="20" t="inlineStr">
        <is>
          <t>ACTIVO</t>
        </is>
      </c>
      <c r="E163" s="20" t="inlineStr">
        <is>
          <t>2025-12-12</t>
        </is>
      </c>
      <c r="F163" s="20" t="inlineStr">
        <is>
          <t>2027-12-12</t>
        </is>
      </c>
      <c r="G163" s="22" t="n">
        <v>24</v>
      </c>
      <c r="H163" s="23" t="n">
        <v>420603.45</v>
      </c>
      <c r="I163" s="24" t="n">
        <v>0.3</v>
      </c>
      <c r="J163" s="23">
        <f>ROUND(H163*I163, 2)</f>
        <v/>
      </c>
      <c r="K163" s="23">
        <f>ROUND(H163-J163, 2)</f>
        <v/>
      </c>
      <c r="L163" s="24" t="n">
        <v>0.02</v>
      </c>
      <c r="M163" s="23">
        <f>ROUND(H163*L163, 2)</f>
        <v/>
      </c>
      <c r="N163" s="23" t="n">
        <v>14100.03</v>
      </c>
      <c r="O163" s="24" t="n">
        <v>0.2</v>
      </c>
      <c r="P163" s="23">
        <f>ROUND(H163*O163, 2)</f>
        <v/>
      </c>
      <c r="Q163" s="25" t="n">
        <v>0.02611186</v>
      </c>
      <c r="R163" s="25">
        <f>IFERROR(RATE(G163, -N163, K163, -P163), Q163)</f>
        <v/>
      </c>
      <c r="S163" s="25">
        <f>Q163*12</f>
        <v/>
      </c>
      <c r="T163" s="25">
        <f>((1+Q163)^12)-1</f>
        <v/>
      </c>
      <c r="U163" s="23">
        <f>IF(Q163&gt;0, ROUND(P163/((1+Q163)^G163), 2), P163)</f>
        <v/>
      </c>
      <c r="V163" s="23">
        <f>ROUND((N163*G163)-K163+P163, 2)</f>
        <v/>
      </c>
      <c r="W163" s="23">
        <f>ROUND(P163-U163, 2)</f>
        <v/>
      </c>
      <c r="X163" s="23">
        <f>ROUND(V163+W163, 2)</f>
        <v/>
      </c>
      <c r="Y163" s="23">
        <f>ROUND((N163*G163+P163+M163)-K163, 2)</f>
        <v/>
      </c>
      <c r="Z163" s="24">
        <f>IF(K163&gt;0, Y163/K163, 0)</f>
        <v/>
      </c>
    </row>
    <row r="164">
      <c r="A164" s="26" t="inlineStr">
        <is>
          <t>0687-0001</t>
        </is>
      </c>
      <c r="B164" s="27" t="inlineStr">
        <is>
          <t>Roberto Carlos Borbolla Alvarado</t>
        </is>
      </c>
      <c r="C164" s="27" t="inlineStr">
        <is>
          <t>Creta</t>
        </is>
      </c>
      <c r="D164" s="26" t="inlineStr">
        <is>
          <t>ACTIVO</t>
        </is>
      </c>
      <c r="E164" s="26" t="inlineStr">
        <is>
          <t>2025-03-03</t>
        </is>
      </c>
      <c r="F164" s="26" t="inlineStr">
        <is>
          <t>2028-03-03</t>
        </is>
      </c>
      <c r="G164" s="28" t="n">
        <v>36</v>
      </c>
      <c r="H164" s="29" t="n">
        <v>477844.83</v>
      </c>
      <c r="I164" s="30" t="n">
        <v>0.1</v>
      </c>
      <c r="J164" s="29">
        <f>ROUND(H164*I164, 2)</f>
        <v/>
      </c>
      <c r="K164" s="29">
        <f>ROUND(H164-J164, 2)</f>
        <v/>
      </c>
      <c r="L164" s="30" t="n">
        <v>0.02</v>
      </c>
      <c r="M164" s="29">
        <f>ROUND(H164*L164, 2)</f>
        <v/>
      </c>
      <c r="N164" s="29" t="n">
        <v>17106.37</v>
      </c>
      <c r="O164" s="30" t="n">
        <v>0.2</v>
      </c>
      <c r="P164" s="29">
        <f>ROUND(H164*O164, 2)</f>
        <v/>
      </c>
      <c r="Q164" s="31" t="n">
        <v>0.02663303</v>
      </c>
      <c r="R164" s="31">
        <f>IFERROR(RATE(G164, -N164, K164, -P164), Q164)</f>
        <v/>
      </c>
      <c r="S164" s="31">
        <f>Q164*12</f>
        <v/>
      </c>
      <c r="T164" s="31">
        <f>((1+Q164)^12)-1</f>
        <v/>
      </c>
      <c r="U164" s="29">
        <f>IF(Q164&gt;0, ROUND(P164/((1+Q164)^G164), 2), P164)</f>
        <v/>
      </c>
      <c r="V164" s="29">
        <f>ROUND((N164*G164)-K164+P164, 2)</f>
        <v/>
      </c>
      <c r="W164" s="29">
        <f>ROUND(P164-U164, 2)</f>
        <v/>
      </c>
      <c r="X164" s="29">
        <f>ROUND(V164+W164, 2)</f>
        <v/>
      </c>
      <c r="Y164" s="29">
        <f>ROUND((N164*G164+P164+M164)-K164, 2)</f>
        <v/>
      </c>
      <c r="Z164" s="30">
        <f>IF(K164&gt;0, Y164/K164, 0)</f>
        <v/>
      </c>
    </row>
    <row r="165">
      <c r="A165" s="20" t="inlineStr">
        <is>
          <t>0688-0001</t>
        </is>
      </c>
      <c r="B165" s="21" t="inlineStr">
        <is>
          <t>Dolores Magdalena Rosales Rojas</t>
        </is>
      </c>
      <c r="C165" s="21" t="inlineStr">
        <is>
          <t>1500 RHO</t>
        </is>
      </c>
      <c r="D165" s="20" t="inlineStr">
        <is>
          <t>ACTIVO</t>
        </is>
      </c>
      <c r="E165" s="20" t="inlineStr">
        <is>
          <t>2025-02-21</t>
        </is>
      </c>
      <c r="F165" s="20" t="inlineStr">
        <is>
          <t>2027-02-21</t>
        </is>
      </c>
      <c r="G165" s="22" t="n">
        <v>24</v>
      </c>
      <c r="H165" s="23" t="n">
        <v>1896465.52</v>
      </c>
      <c r="I165" s="24" t="n">
        <v>0.2</v>
      </c>
      <c r="J165" s="23">
        <f>ROUND(H165*I165, 2)</f>
        <v/>
      </c>
      <c r="K165" s="23">
        <f>ROUND(H165-J165, 2)</f>
        <v/>
      </c>
      <c r="L165" s="24" t="n">
        <v>0.02</v>
      </c>
      <c r="M165" s="23">
        <f>ROUND(H165*L165, 2)</f>
        <v/>
      </c>
      <c r="N165" s="23" t="n">
        <v>74273.25</v>
      </c>
      <c r="O165" s="24" t="n">
        <v>0.1</v>
      </c>
      <c r="P165" s="23">
        <f>ROUND(H165*O165, 2)</f>
        <v/>
      </c>
      <c r="Q165" s="25" t="n">
        <v>0.02029688</v>
      </c>
      <c r="R165" s="25">
        <f>IFERROR(RATE(G165, -N165, K165, -P165), Q165)</f>
        <v/>
      </c>
      <c r="S165" s="25">
        <f>Q165*12</f>
        <v/>
      </c>
      <c r="T165" s="25">
        <f>((1+Q165)^12)-1</f>
        <v/>
      </c>
      <c r="U165" s="23">
        <f>IF(Q165&gt;0, ROUND(P165/((1+Q165)^G165), 2), P165)</f>
        <v/>
      </c>
      <c r="V165" s="23">
        <f>ROUND((N165*G165)-K165+P165, 2)</f>
        <v/>
      </c>
      <c r="W165" s="23">
        <f>ROUND(P165-U165, 2)</f>
        <v/>
      </c>
      <c r="X165" s="23">
        <f>ROUND(V165+W165, 2)</f>
        <v/>
      </c>
      <c r="Y165" s="23">
        <f>ROUND((N165*G165+P165+M165)-K165, 2)</f>
        <v/>
      </c>
      <c r="Z165" s="24">
        <f>IF(K165&gt;0, Y165/K165, 0)</f>
        <v/>
      </c>
    </row>
    <row r="166">
      <c r="A166" s="26" t="inlineStr">
        <is>
          <t>0688-0003</t>
        </is>
      </c>
      <c r="B166" s="27" t="inlineStr">
        <is>
          <t>Dolores Magdalena Rosales Rojas</t>
        </is>
      </c>
      <c r="C166" s="27" t="inlineStr">
        <is>
          <t>Jeep Jt Mojave 2025</t>
        </is>
      </c>
      <c r="D166" s="26" t="inlineStr">
        <is>
          <t>ACTIVO</t>
        </is>
      </c>
      <c r="E166" s="26" t="inlineStr">
        <is>
          <t>2026-07-30</t>
        </is>
      </c>
      <c r="F166" s="26" t="inlineStr">
        <is>
          <t>2027-07-30</t>
        </is>
      </c>
      <c r="G166" s="28" t="n">
        <v>12</v>
      </c>
      <c r="H166" s="29" t="n">
        <v>551344.83</v>
      </c>
      <c r="I166" s="30" t="n">
        <v>0</v>
      </c>
      <c r="J166" s="29">
        <f>ROUND(H166*I166, 2)</f>
        <v/>
      </c>
      <c r="K166" s="29">
        <f>ROUND(H166-J166, 2)</f>
        <v/>
      </c>
      <c r="L166" s="30" t="n">
        <v>0</v>
      </c>
      <c r="M166" s="29">
        <f>ROUND(H166*L166, 2)</f>
        <v/>
      </c>
      <c r="N166" s="29" t="n">
        <v>49406.82</v>
      </c>
      <c r="O166" s="30" t="n">
        <v>0.1</v>
      </c>
      <c r="P166" s="29">
        <f>ROUND(H166*O166, 2)</f>
        <v/>
      </c>
      <c r="Q166" s="31" t="n">
        <v>0.02400548</v>
      </c>
      <c r="R166" s="31">
        <f>IFERROR(RATE(G166, -N166, K166, -P166), Q166)</f>
        <v/>
      </c>
      <c r="S166" s="31">
        <f>Q166*12</f>
        <v/>
      </c>
      <c r="T166" s="31">
        <f>((1+Q166)^12)-1</f>
        <v/>
      </c>
      <c r="U166" s="29">
        <f>IF(Q166&gt;0, ROUND(P166/((1+Q166)^G166), 2), P166)</f>
        <v/>
      </c>
      <c r="V166" s="29">
        <f>ROUND((N166*G166)-K166+P166, 2)</f>
        <v/>
      </c>
      <c r="W166" s="29">
        <f>ROUND(P166-U166, 2)</f>
        <v/>
      </c>
      <c r="X166" s="29">
        <f>ROUND(V166+W166, 2)</f>
        <v/>
      </c>
      <c r="Y166" s="29">
        <f>ROUND((N166*G166+P166+M166)-K166, 2)</f>
        <v/>
      </c>
      <c r="Z166" s="30">
        <f>IF(K166&gt;0, Y166/K166, 0)</f>
        <v/>
      </c>
    </row>
    <row r="167">
      <c r="A167" s="20" t="inlineStr">
        <is>
          <t>0689-0001</t>
        </is>
      </c>
      <c r="B167" s="21" t="inlineStr">
        <is>
          <t>Daniela Lizette Vargas Machuca</t>
        </is>
      </c>
      <c r="C167" s="21" t="inlineStr">
        <is>
          <t>1500 TUNGSTEN</t>
        </is>
      </c>
      <c r="D167" s="20" t="inlineStr">
        <is>
          <t>ACTIVO</t>
        </is>
      </c>
      <c r="E167" s="20" t="inlineStr">
        <is>
          <t>2025-02-26</t>
        </is>
      </c>
      <c r="F167" s="20" t="inlineStr">
        <is>
          <t>2028-02-26</t>
        </is>
      </c>
      <c r="G167" s="22" t="n">
        <v>36</v>
      </c>
      <c r="H167" s="23" t="n">
        <v>1552500</v>
      </c>
      <c r="I167" s="24" t="n">
        <v>0.1</v>
      </c>
      <c r="J167" s="23">
        <f>ROUND(H167*I167, 2)</f>
        <v/>
      </c>
      <c r="K167" s="23">
        <f>ROUND(H167-J167, 2)</f>
        <v/>
      </c>
      <c r="L167" s="24" t="n">
        <v>0.02</v>
      </c>
      <c r="M167" s="23">
        <f>ROUND(H167*L167, 2)</f>
        <v/>
      </c>
      <c r="N167" s="23" t="n">
        <v>55588.31</v>
      </c>
      <c r="O167" s="24" t="n">
        <v>0.2</v>
      </c>
      <c r="P167" s="23">
        <f>ROUND(H167*O167, 2)</f>
        <v/>
      </c>
      <c r="Q167" s="25" t="n">
        <v>0.02664304</v>
      </c>
      <c r="R167" s="25">
        <f>IFERROR(RATE(G167, -N167, K167, -P167), Q167)</f>
        <v/>
      </c>
      <c r="S167" s="25">
        <f>Q167*12</f>
        <v/>
      </c>
      <c r="T167" s="25">
        <f>((1+Q167)^12)-1</f>
        <v/>
      </c>
      <c r="U167" s="23">
        <f>IF(Q167&gt;0, ROUND(P167/((1+Q167)^G167), 2), P167)</f>
        <v/>
      </c>
      <c r="V167" s="23">
        <f>ROUND((N167*G167)-K167+P167, 2)</f>
        <v/>
      </c>
      <c r="W167" s="23">
        <f>ROUND(P167-U167, 2)</f>
        <v/>
      </c>
      <c r="X167" s="23">
        <f>ROUND(V167+W167, 2)</f>
        <v/>
      </c>
      <c r="Y167" s="23">
        <f>ROUND((N167*G167+P167+M167)-K167, 2)</f>
        <v/>
      </c>
      <c r="Z167" s="24">
        <f>IF(K167&gt;0, Y167/K167, 0)</f>
        <v/>
      </c>
    </row>
    <row r="168">
      <c r="A168" s="26" t="inlineStr">
        <is>
          <t>0690-0001</t>
        </is>
      </c>
      <c r="B168" s="27" t="inlineStr">
        <is>
          <t>Rogelio Sanchez Partida</t>
        </is>
      </c>
      <c r="C168" s="27" t="inlineStr">
        <is>
          <t>Grand Cherokee Limited</t>
        </is>
      </c>
      <c r="D168" s="26" t="inlineStr">
        <is>
          <t>ACTIVO</t>
        </is>
      </c>
      <c r="E168" s="26" t="inlineStr">
        <is>
          <t>2025-03-19</t>
        </is>
      </c>
      <c r="F168" s="26" t="inlineStr">
        <is>
          <t>2028-03-19</t>
        </is>
      </c>
      <c r="G168" s="28" t="n">
        <v>36</v>
      </c>
      <c r="H168" s="29" t="n">
        <v>1110775.86</v>
      </c>
      <c r="I168" s="30" t="n">
        <v>0.4</v>
      </c>
      <c r="J168" s="29">
        <f>ROUND(H168*I168, 2)</f>
        <v/>
      </c>
      <c r="K168" s="29">
        <f>ROUND(H168-J168, 2)</f>
        <v/>
      </c>
      <c r="L168" s="30" t="n">
        <v>0.02</v>
      </c>
      <c r="M168" s="29">
        <f>ROUND(H168*L168, 2)</f>
        <v/>
      </c>
      <c r="N168" s="29" t="n">
        <v>28123.47</v>
      </c>
      <c r="O168" s="30" t="n">
        <v>0.1</v>
      </c>
      <c r="P168" s="29">
        <f>ROUND(H168*O168, 2)</f>
        <v/>
      </c>
      <c r="Q168" s="31" t="n">
        <v>0.02867475</v>
      </c>
      <c r="R168" s="31">
        <f>IFERROR(RATE(G168, -N168, K168, -P168), Q168)</f>
        <v/>
      </c>
      <c r="S168" s="31">
        <f>Q168*12</f>
        <v/>
      </c>
      <c r="T168" s="31">
        <f>((1+Q168)^12)-1</f>
        <v/>
      </c>
      <c r="U168" s="29">
        <f>IF(Q168&gt;0, ROUND(P168/((1+Q168)^G168), 2), P168)</f>
        <v/>
      </c>
      <c r="V168" s="29">
        <f>ROUND((N168*G168)-K168+P168, 2)</f>
        <v/>
      </c>
      <c r="W168" s="29">
        <f>ROUND(P168-U168, 2)</f>
        <v/>
      </c>
      <c r="X168" s="29">
        <f>ROUND(V168+W168, 2)</f>
        <v/>
      </c>
      <c r="Y168" s="29">
        <f>ROUND((N168*G168+P168+M168)-K168, 2)</f>
        <v/>
      </c>
      <c r="Z168" s="30">
        <f>IF(K168&gt;0, Y168/K168, 0)</f>
        <v/>
      </c>
    </row>
    <row r="169">
      <c r="A169" s="20" t="inlineStr">
        <is>
          <t>0691-0001</t>
        </is>
      </c>
      <c r="B169" s="21" t="inlineStr">
        <is>
          <t>Pfc Films</t>
        </is>
      </c>
      <c r="C169" s="21" t="inlineStr">
        <is>
          <t>2008 allure Pack</t>
        </is>
      </c>
      <c r="D169" s="20" t="inlineStr">
        <is>
          <t>ACTIVO</t>
        </is>
      </c>
      <c r="E169" s="20" t="inlineStr">
        <is>
          <t>2025-03-20</t>
        </is>
      </c>
      <c r="F169" s="20" t="inlineStr">
        <is>
          <t>2027-03-20</t>
        </is>
      </c>
      <c r="G169" s="22" t="n">
        <v>24</v>
      </c>
      <c r="H169" s="23" t="n">
        <v>408534.48</v>
      </c>
      <c r="I169" s="24" t="n">
        <v>0.4</v>
      </c>
      <c r="J169" s="23">
        <f>ROUND(H169*I169, 2)</f>
        <v/>
      </c>
      <c r="K169" s="23">
        <f>ROUND(H169-J169, 2)</f>
        <v/>
      </c>
      <c r="L169" s="24" t="n">
        <v>0.02</v>
      </c>
      <c r="M169" s="23">
        <f>ROUND(H169*L169, 2)</f>
        <v/>
      </c>
      <c r="N169" s="23" t="n">
        <v>12611.79</v>
      </c>
      <c r="O169" s="24" t="n">
        <v>0.1</v>
      </c>
      <c r="P169" s="23">
        <f>ROUND(H169*O169, 2)</f>
        <v/>
      </c>
      <c r="Q169" s="25" t="n">
        <v>0.02601128</v>
      </c>
      <c r="R169" s="25">
        <f>IFERROR(RATE(G169, -N169, K169, -P169), Q169)</f>
        <v/>
      </c>
      <c r="S169" s="25">
        <f>Q169*12</f>
        <v/>
      </c>
      <c r="T169" s="25">
        <f>((1+Q169)^12)-1</f>
        <v/>
      </c>
      <c r="U169" s="23">
        <f>IF(Q169&gt;0, ROUND(P169/((1+Q169)^G169), 2), P169)</f>
        <v/>
      </c>
      <c r="V169" s="23">
        <f>ROUND((N169*G169)-K169+P169, 2)</f>
        <v/>
      </c>
      <c r="W169" s="23">
        <f>ROUND(P169-U169, 2)</f>
        <v/>
      </c>
      <c r="X169" s="23">
        <f>ROUND(V169+W169, 2)</f>
        <v/>
      </c>
      <c r="Y169" s="23">
        <f>ROUND((N169*G169+P169+M169)-K169, 2)</f>
        <v/>
      </c>
      <c r="Z169" s="24">
        <f>IF(K169&gt;0, Y169/K169, 0)</f>
        <v/>
      </c>
    </row>
    <row r="170">
      <c r="A170" s="26" t="inlineStr">
        <is>
          <t>0692-0001</t>
        </is>
      </c>
      <c r="B170" s="27" t="inlineStr">
        <is>
          <t>Operadora de Centros Familiares Gato</t>
        </is>
      </c>
      <c r="C170" s="27" t="inlineStr">
        <is>
          <t>Partner Rapid</t>
        </is>
      </c>
      <c r="D170" s="26" t="inlineStr">
        <is>
          <t>ACTIVO</t>
        </is>
      </c>
      <c r="E170" s="26" t="inlineStr">
        <is>
          <t>2025-04-23</t>
        </is>
      </c>
      <c r="F170" s="26" t="inlineStr">
        <is>
          <t>2027-04-23</t>
        </is>
      </c>
      <c r="G170" s="28" t="n">
        <v>24</v>
      </c>
      <c r="H170" s="29" t="n">
        <v>247844.83</v>
      </c>
      <c r="I170" s="30" t="n">
        <v>0.09</v>
      </c>
      <c r="J170" s="29">
        <f>ROUND(H170*I170, 2)</f>
        <v/>
      </c>
      <c r="K170" s="29">
        <f>ROUND(H170-J170, 2)</f>
        <v/>
      </c>
      <c r="L170" s="30" t="n">
        <v>0.02</v>
      </c>
      <c r="M170" s="29">
        <f>ROUND(H170*L170, 2)</f>
        <v/>
      </c>
      <c r="N170" s="29" t="n">
        <v>12540.23</v>
      </c>
      <c r="O170" s="30" t="n">
        <v>1</v>
      </c>
      <c r="P170" s="29">
        <f>ROUND(H170*O170, 2)</f>
        <v/>
      </c>
      <c r="Q170" s="31" t="n">
        <v>0.02504518</v>
      </c>
      <c r="R170" s="31">
        <f>IFERROR(RATE(G170, -N170, K170, -P170), Q170)</f>
        <v/>
      </c>
      <c r="S170" s="31">
        <f>Q170*12</f>
        <v/>
      </c>
      <c r="T170" s="31">
        <f>((1+Q170)^12)-1</f>
        <v/>
      </c>
      <c r="U170" s="29">
        <f>IF(Q170&gt;0, ROUND(P170/((1+Q170)^G170), 2), P170)</f>
        <v/>
      </c>
      <c r="V170" s="29">
        <f>ROUND((N170*G170)-K170+P170, 2)</f>
        <v/>
      </c>
      <c r="W170" s="29">
        <f>ROUND(P170-U170, 2)</f>
        <v/>
      </c>
      <c r="X170" s="29">
        <f>ROUND(V170+W170, 2)</f>
        <v/>
      </c>
      <c r="Y170" s="29">
        <f>ROUND((N170*G170+P170+M170)-K170, 2)</f>
        <v/>
      </c>
      <c r="Z170" s="30">
        <f>IF(K170&gt;0, Y170/K170, 0)</f>
        <v/>
      </c>
    </row>
    <row r="171">
      <c r="A171" s="20" t="inlineStr">
        <is>
          <t>0692-0002</t>
        </is>
      </c>
      <c r="B171" s="21" t="inlineStr">
        <is>
          <t>Operadora de Centros Familiares Gato</t>
        </is>
      </c>
      <c r="C171" s="21" t="inlineStr">
        <is>
          <t>Partner Rapid</t>
        </is>
      </c>
      <c r="D171" s="20" t="inlineStr">
        <is>
          <t>ACTIVO</t>
        </is>
      </c>
      <c r="E171" s="20" t="inlineStr">
        <is>
          <t>2025-04-23</t>
        </is>
      </c>
      <c r="F171" s="20" t="inlineStr">
        <is>
          <t>2027-04-23</t>
        </is>
      </c>
      <c r="G171" s="22" t="n">
        <v>24</v>
      </c>
      <c r="H171" s="23" t="n">
        <v>247844.83</v>
      </c>
      <c r="I171" s="24" t="n">
        <v>0.09</v>
      </c>
      <c r="J171" s="23">
        <f>ROUND(H171*I171, 2)</f>
        <v/>
      </c>
      <c r="K171" s="23">
        <f>ROUND(H171-J171, 2)</f>
        <v/>
      </c>
      <c r="L171" s="24" t="n">
        <v>0.02</v>
      </c>
      <c r="M171" s="23">
        <f>ROUND(H171*L171, 2)</f>
        <v/>
      </c>
      <c r="N171" s="23" t="n">
        <v>12540.23</v>
      </c>
      <c r="O171" s="24" t="n">
        <v>1</v>
      </c>
      <c r="P171" s="23">
        <f>ROUND(H171*O171, 2)</f>
        <v/>
      </c>
      <c r="Q171" s="25" t="n">
        <v>0.02504518</v>
      </c>
      <c r="R171" s="25">
        <f>IFERROR(RATE(G171, -N171, K171, -P171), Q171)</f>
        <v/>
      </c>
      <c r="S171" s="25">
        <f>Q171*12</f>
        <v/>
      </c>
      <c r="T171" s="25">
        <f>((1+Q171)^12)-1</f>
        <v/>
      </c>
      <c r="U171" s="23">
        <f>IF(Q171&gt;0, ROUND(P171/((1+Q171)^G171), 2), P171)</f>
        <v/>
      </c>
      <c r="V171" s="23">
        <f>ROUND((N171*G171)-K171+P171, 2)</f>
        <v/>
      </c>
      <c r="W171" s="23">
        <f>ROUND(P171-U171, 2)</f>
        <v/>
      </c>
      <c r="X171" s="23">
        <f>ROUND(V171+W171, 2)</f>
        <v/>
      </c>
      <c r="Y171" s="23">
        <f>ROUND((N171*G171+P171+M171)-K171, 2)</f>
        <v/>
      </c>
      <c r="Z171" s="24">
        <f>IF(K171&gt;0, Y171/K171, 0)</f>
        <v/>
      </c>
    </row>
    <row r="172">
      <c r="A172" s="26" t="inlineStr">
        <is>
          <t>0692-0003</t>
        </is>
      </c>
      <c r="B172" s="27" t="inlineStr">
        <is>
          <t>Operadora de Centros Familiares Gato</t>
        </is>
      </c>
      <c r="C172" s="27" t="inlineStr">
        <is>
          <t>Partner Rapid</t>
        </is>
      </c>
      <c r="D172" s="26" t="inlineStr">
        <is>
          <t>ACTIVO</t>
        </is>
      </c>
      <c r="E172" s="26" t="inlineStr">
        <is>
          <t>2025-04-23</t>
        </is>
      </c>
      <c r="F172" s="26" t="inlineStr">
        <is>
          <t>2027-04-23</t>
        </is>
      </c>
      <c r="G172" s="28" t="n">
        <v>24</v>
      </c>
      <c r="H172" s="29" t="n">
        <v>247844.83</v>
      </c>
      <c r="I172" s="30" t="n">
        <v>0.09</v>
      </c>
      <c r="J172" s="29">
        <f>ROUND(H172*I172, 2)</f>
        <v/>
      </c>
      <c r="K172" s="29">
        <f>ROUND(H172-J172, 2)</f>
        <v/>
      </c>
      <c r="L172" s="30" t="n">
        <v>0.02</v>
      </c>
      <c r="M172" s="29">
        <f>ROUND(H172*L172, 2)</f>
        <v/>
      </c>
      <c r="N172" s="29" t="n">
        <v>12540.23</v>
      </c>
      <c r="O172" s="30" t="n">
        <v>1</v>
      </c>
      <c r="P172" s="29">
        <f>ROUND(H172*O172, 2)</f>
        <v/>
      </c>
      <c r="Q172" s="31" t="n">
        <v>0.02504518</v>
      </c>
      <c r="R172" s="31">
        <f>IFERROR(RATE(G172, -N172, K172, -P172), Q172)</f>
        <v/>
      </c>
      <c r="S172" s="31">
        <f>Q172*12</f>
        <v/>
      </c>
      <c r="T172" s="31">
        <f>((1+Q172)^12)-1</f>
        <v/>
      </c>
      <c r="U172" s="29">
        <f>IF(Q172&gt;0, ROUND(P172/((1+Q172)^G172), 2), P172)</f>
        <v/>
      </c>
      <c r="V172" s="29">
        <f>ROUND((N172*G172)-K172+P172, 2)</f>
        <v/>
      </c>
      <c r="W172" s="29">
        <f>ROUND(P172-U172, 2)</f>
        <v/>
      </c>
      <c r="X172" s="29">
        <f>ROUND(V172+W172, 2)</f>
        <v/>
      </c>
      <c r="Y172" s="29">
        <f>ROUND((N172*G172+P172+M172)-K172, 2)</f>
        <v/>
      </c>
      <c r="Z172" s="30">
        <f>IF(K172&gt;0, Y172/K172, 0)</f>
        <v/>
      </c>
    </row>
    <row r="173">
      <c r="A173" s="20" t="inlineStr">
        <is>
          <t>0693-0001</t>
        </is>
      </c>
      <c r="B173" s="21" t="inlineStr">
        <is>
          <t>Neurovim</t>
        </is>
      </c>
      <c r="C173" s="21" t="inlineStr">
        <is>
          <t>Equipo Medico</t>
        </is>
      </c>
      <c r="D173" s="20" t="inlineStr">
        <is>
          <t>ACTIVO</t>
        </is>
      </c>
      <c r="E173" s="20" t="inlineStr">
        <is>
          <t>2025-04-25</t>
        </is>
      </c>
      <c r="F173" s="20" t="inlineStr">
        <is>
          <t>2028-04-25</t>
        </is>
      </c>
      <c r="G173" s="22" t="n">
        <v>36</v>
      </c>
      <c r="H173" s="23" t="n">
        <v>1820815.2</v>
      </c>
      <c r="I173" s="24" t="n">
        <v>0.08749999999999999</v>
      </c>
      <c r="J173" s="23">
        <f>ROUND(H173*I173, 2)</f>
        <v/>
      </c>
      <c r="K173" s="23">
        <f>ROUND(H173-J173, 2)</f>
        <v/>
      </c>
      <c r="L173" s="24" t="n">
        <v>0</v>
      </c>
      <c r="M173" s="23">
        <f>ROUND(H173*L173, 2)</f>
        <v/>
      </c>
      <c r="N173" s="23" t="n">
        <v>62790.66</v>
      </c>
      <c r="O173" s="24" t="n">
        <v>0.35</v>
      </c>
      <c r="P173" s="23">
        <f>ROUND(H173*O173, 2)</f>
        <v/>
      </c>
      <c r="Q173" s="25" t="n">
        <v>0.02756504</v>
      </c>
      <c r="R173" s="25">
        <f>IFERROR(RATE(G173, -N173, K173, -P173), Q173)</f>
        <v/>
      </c>
      <c r="S173" s="25">
        <f>Q173*12</f>
        <v/>
      </c>
      <c r="T173" s="25">
        <f>((1+Q173)^12)-1</f>
        <v/>
      </c>
      <c r="U173" s="23">
        <f>IF(Q173&gt;0, ROUND(P173/((1+Q173)^G173), 2), P173)</f>
        <v/>
      </c>
      <c r="V173" s="23">
        <f>ROUND((N173*G173)-K173+P173, 2)</f>
        <v/>
      </c>
      <c r="W173" s="23">
        <f>ROUND(P173-U173, 2)</f>
        <v/>
      </c>
      <c r="X173" s="23">
        <f>ROUND(V173+W173, 2)</f>
        <v/>
      </c>
      <c r="Y173" s="23">
        <f>ROUND((N173*G173+P173+M173)-K173, 2)</f>
        <v/>
      </c>
      <c r="Z173" s="24">
        <f>IF(K173&gt;0, Y173/K173, 0)</f>
        <v/>
      </c>
    </row>
    <row r="174">
      <c r="A174" s="26" t="inlineStr">
        <is>
          <t>0694-0001</t>
        </is>
      </c>
      <c r="B174" s="27" t="inlineStr">
        <is>
          <t>Jose Gelacio Limon Reyes</t>
        </is>
      </c>
      <c r="C174" s="27" t="inlineStr">
        <is>
          <t>Outlander Sport</t>
        </is>
      </c>
      <c r="D174" s="26" t="inlineStr">
        <is>
          <t>ACTIVO</t>
        </is>
      </c>
      <c r="E174" s="26" t="inlineStr">
        <is>
          <t>2025-05-26</t>
        </is>
      </c>
      <c r="F174" s="26" t="inlineStr">
        <is>
          <t>2029-05-26</t>
        </is>
      </c>
      <c r="G174" s="28" t="n">
        <v>48</v>
      </c>
      <c r="H174" s="29" t="n">
        <v>430775.86</v>
      </c>
      <c r="I174" s="30" t="n">
        <v>0.1</v>
      </c>
      <c r="J174" s="29">
        <f>ROUND(H174*I174, 2)</f>
        <v/>
      </c>
      <c r="K174" s="29">
        <f>ROUND(H174-J174, 2)</f>
        <v/>
      </c>
      <c r="L174" s="30" t="n">
        <v>0.02</v>
      </c>
      <c r="M174" s="29">
        <f>ROUND(H174*L174, 2)</f>
        <v/>
      </c>
      <c r="N174" s="29" t="n">
        <v>14033.49</v>
      </c>
      <c r="O174" s="30" t="n">
        <v>0.1</v>
      </c>
      <c r="P174" s="29">
        <f>ROUND(H174*O174, 2)</f>
        <v/>
      </c>
      <c r="Q174" s="31" t="n">
        <v>0.02691791</v>
      </c>
      <c r="R174" s="31">
        <f>IFERROR(RATE(G174, -N174, K174, -P174), Q174)</f>
        <v/>
      </c>
      <c r="S174" s="31">
        <f>Q174*12</f>
        <v/>
      </c>
      <c r="T174" s="31">
        <f>((1+Q174)^12)-1</f>
        <v/>
      </c>
      <c r="U174" s="29">
        <f>IF(Q174&gt;0, ROUND(P174/((1+Q174)^G174), 2), P174)</f>
        <v/>
      </c>
      <c r="V174" s="29">
        <f>ROUND((N174*G174)-K174+P174, 2)</f>
        <v/>
      </c>
      <c r="W174" s="29">
        <f>ROUND(P174-U174, 2)</f>
        <v/>
      </c>
      <c r="X174" s="29">
        <f>ROUND(V174+W174, 2)</f>
        <v/>
      </c>
      <c r="Y174" s="29">
        <f>ROUND((N174*G174+P174+M174)-K174, 2)</f>
        <v/>
      </c>
      <c r="Z174" s="30">
        <f>IF(K174&gt;0, Y174/K174, 0)</f>
        <v/>
      </c>
    </row>
    <row r="175">
      <c r="A175" s="20" t="inlineStr">
        <is>
          <t>0695-0001</t>
        </is>
      </c>
      <c r="B175" s="21" t="inlineStr">
        <is>
          <t>Sistemas de Seguridad Privada Ssp</t>
        </is>
      </c>
      <c r="C175" s="21" t="inlineStr">
        <is>
          <t>Attitude Sport</t>
        </is>
      </c>
      <c r="D175" s="20" t="inlineStr">
        <is>
          <t>ACTIVO</t>
        </is>
      </c>
      <c r="E175" s="20" t="inlineStr">
        <is>
          <t>2025-05-26</t>
        </is>
      </c>
      <c r="F175" s="20" t="inlineStr">
        <is>
          <t>2027-05-26</t>
        </is>
      </c>
      <c r="G175" s="22" t="n">
        <v>24</v>
      </c>
      <c r="H175" s="23" t="n">
        <v>400775.86</v>
      </c>
      <c r="I175" s="24" t="n">
        <v>0.2</v>
      </c>
      <c r="J175" s="23">
        <f>ROUND(H175*I175, 2)</f>
        <v/>
      </c>
      <c r="K175" s="23">
        <f>ROUND(H175-J175, 2)</f>
        <v/>
      </c>
      <c r="L175" s="24" t="n">
        <v>0.02</v>
      </c>
      <c r="M175" s="23">
        <f>ROUND(H175*L175, 2)</f>
        <v/>
      </c>
      <c r="N175" s="23" t="n">
        <v>13443.77</v>
      </c>
      <c r="O175" s="24" t="n">
        <v>0.2</v>
      </c>
      <c r="P175" s="23">
        <f>ROUND(H175*O175, 2)</f>
        <v/>
      </c>
      <c r="Q175" s="25" t="n">
        <v>0.01607423</v>
      </c>
      <c r="R175" s="25">
        <f>IFERROR(RATE(G175, -N175, K175, -P175), Q175)</f>
        <v/>
      </c>
      <c r="S175" s="25">
        <f>Q175*12</f>
        <v/>
      </c>
      <c r="T175" s="25">
        <f>((1+Q175)^12)-1</f>
        <v/>
      </c>
      <c r="U175" s="23">
        <f>IF(Q175&gt;0, ROUND(P175/((1+Q175)^G175), 2), P175)</f>
        <v/>
      </c>
      <c r="V175" s="23">
        <f>ROUND((N175*G175)-K175+P175, 2)</f>
        <v/>
      </c>
      <c r="W175" s="23">
        <f>ROUND(P175-U175, 2)</f>
        <v/>
      </c>
      <c r="X175" s="23">
        <f>ROUND(V175+W175, 2)</f>
        <v/>
      </c>
      <c r="Y175" s="23">
        <f>ROUND((N175*G175+P175+M175)-K175, 2)</f>
        <v/>
      </c>
      <c r="Z175" s="24">
        <f>IF(K175&gt;0, Y175/K175, 0)</f>
        <v/>
      </c>
    </row>
    <row r="176">
      <c r="A176" s="26" t="inlineStr">
        <is>
          <t>0696-0001</t>
        </is>
      </c>
      <c r="B176" s="27" t="inlineStr">
        <is>
          <t>Karina Rocio Sanchez Cardenas</t>
        </is>
      </c>
      <c r="C176" s="27" t="inlineStr">
        <is>
          <t>Atittude GT</t>
        </is>
      </c>
      <c r="D176" s="26" t="inlineStr">
        <is>
          <t>ACTIVO</t>
        </is>
      </c>
      <c r="E176" s="26" t="inlineStr">
        <is>
          <t>2025-05-28</t>
        </is>
      </c>
      <c r="F176" s="26" t="inlineStr">
        <is>
          <t>2029-05-28</t>
        </is>
      </c>
      <c r="G176" s="28" t="n">
        <v>48</v>
      </c>
      <c r="H176" s="29" t="n">
        <v>430948.28</v>
      </c>
      <c r="I176" s="30" t="n">
        <v>0.1</v>
      </c>
      <c r="J176" s="29">
        <f>ROUND(H176*I176, 2)</f>
        <v/>
      </c>
      <c r="K176" s="29">
        <f>ROUND(H176-J176, 2)</f>
        <v/>
      </c>
      <c r="L176" s="30" t="n">
        <v>0.02</v>
      </c>
      <c r="M176" s="29">
        <f>ROUND(H176*L176, 2)</f>
        <v/>
      </c>
      <c r="N176" s="29" t="n">
        <v>14039.1</v>
      </c>
      <c r="O176" s="30" t="n">
        <v>0.1</v>
      </c>
      <c r="P176" s="29">
        <f>ROUND(H176*O176, 2)</f>
        <v/>
      </c>
      <c r="Q176" s="31" t="n">
        <v>0.0269179</v>
      </c>
      <c r="R176" s="31">
        <f>IFERROR(RATE(G176, -N176, K176, -P176), Q176)</f>
        <v/>
      </c>
      <c r="S176" s="31">
        <f>Q176*12</f>
        <v/>
      </c>
      <c r="T176" s="31">
        <f>((1+Q176)^12)-1</f>
        <v/>
      </c>
      <c r="U176" s="29">
        <f>IF(Q176&gt;0, ROUND(P176/((1+Q176)^G176), 2), P176)</f>
        <v/>
      </c>
      <c r="V176" s="29">
        <f>ROUND((N176*G176)-K176+P176, 2)</f>
        <v/>
      </c>
      <c r="W176" s="29">
        <f>ROUND(P176-U176, 2)</f>
        <v/>
      </c>
      <c r="X176" s="29">
        <f>ROUND(V176+W176, 2)</f>
        <v/>
      </c>
      <c r="Y176" s="29">
        <f>ROUND((N176*G176+P176+M176)-K176, 2)</f>
        <v/>
      </c>
      <c r="Z176" s="30">
        <f>IF(K176&gt;0, Y176/K176, 0)</f>
        <v/>
      </c>
    </row>
    <row r="177">
      <c r="A177" s="20" t="inlineStr">
        <is>
          <t>0697-0001</t>
        </is>
      </c>
      <c r="B177" s="21" t="inlineStr">
        <is>
          <t>Guillermo Eduardo Robles Navarro</t>
        </is>
      </c>
      <c r="C177" s="21" t="inlineStr">
        <is>
          <t>Partner Rapid</t>
        </is>
      </c>
      <c r="D177" s="20" t="inlineStr">
        <is>
          <t>ACTIVO</t>
        </is>
      </c>
      <c r="E177" s="20" t="inlineStr">
        <is>
          <t>2025-05-30</t>
        </is>
      </c>
      <c r="F177" s="20" t="inlineStr">
        <is>
          <t>2027-05-30</t>
        </is>
      </c>
      <c r="G177" s="22" t="n">
        <v>24</v>
      </c>
      <c r="H177" s="23" t="n">
        <v>257672.41</v>
      </c>
      <c r="I177" s="24" t="n">
        <v>0.1</v>
      </c>
      <c r="J177" s="23">
        <f>ROUND(H177*I177, 2)</f>
        <v/>
      </c>
      <c r="K177" s="23">
        <f>ROUND(H177-J177, 2)</f>
        <v/>
      </c>
      <c r="L177" s="24" t="n">
        <v>0.02</v>
      </c>
      <c r="M177" s="23">
        <f>ROUND(H177*L177, 2)</f>
        <v/>
      </c>
      <c r="N177" s="23" t="n">
        <v>10785.48</v>
      </c>
      <c r="O177" s="24" t="n">
        <v>0.3</v>
      </c>
      <c r="P177" s="23">
        <f>ROUND(H177*O177, 2)</f>
        <v/>
      </c>
      <c r="Q177" s="25" t="n">
        <v>0.02620491</v>
      </c>
      <c r="R177" s="25">
        <f>IFERROR(RATE(G177, -N177, K177, -P177), Q177)</f>
        <v/>
      </c>
      <c r="S177" s="25">
        <f>Q177*12</f>
        <v/>
      </c>
      <c r="T177" s="25">
        <f>((1+Q177)^12)-1</f>
        <v/>
      </c>
      <c r="U177" s="23">
        <f>IF(Q177&gt;0, ROUND(P177/((1+Q177)^G177), 2), P177)</f>
        <v/>
      </c>
      <c r="V177" s="23">
        <f>ROUND((N177*G177)-K177+P177, 2)</f>
        <v/>
      </c>
      <c r="W177" s="23">
        <f>ROUND(P177-U177, 2)</f>
        <v/>
      </c>
      <c r="X177" s="23">
        <f>ROUND(V177+W177, 2)</f>
        <v/>
      </c>
      <c r="Y177" s="23">
        <f>ROUND((N177*G177+P177+M177)-K177, 2)</f>
        <v/>
      </c>
      <c r="Z177" s="24">
        <f>IF(K177&gt;0, Y177/K177, 0)</f>
        <v/>
      </c>
    </row>
    <row r="178">
      <c r="A178" s="26" t="inlineStr">
        <is>
          <t>0698-0001</t>
        </is>
      </c>
      <c r="B178" s="27" t="inlineStr">
        <is>
          <t>Roberto Gontes Leon</t>
        </is>
      </c>
      <c r="C178" s="27" t="inlineStr">
        <is>
          <t>Wrangler Rubicon</t>
        </is>
      </c>
      <c r="D178" s="26" t="inlineStr">
        <is>
          <t>ACTIVO</t>
        </is>
      </c>
      <c r="E178" s="26" t="inlineStr">
        <is>
          <t>2025-06-13</t>
        </is>
      </c>
      <c r="F178" s="26" t="inlineStr">
        <is>
          <t>2029-06-13</t>
        </is>
      </c>
      <c r="G178" s="28" t="n">
        <v>48</v>
      </c>
      <c r="H178" s="29" t="n">
        <v>1267606.03</v>
      </c>
      <c r="I178" s="30" t="n">
        <v>0.2921</v>
      </c>
      <c r="J178" s="29">
        <f>ROUND(H178*I178, 2)</f>
        <v/>
      </c>
      <c r="K178" s="29">
        <f>ROUND(H178-J178, 2)</f>
        <v/>
      </c>
      <c r="L178" s="30" t="n">
        <v>0.02</v>
      </c>
      <c r="M178" s="29">
        <f>ROUND(H178*L178, 2)</f>
        <v/>
      </c>
      <c r="N178" s="29" t="n">
        <v>31684.72</v>
      </c>
      <c r="O178" s="30" t="n">
        <v>0.1</v>
      </c>
      <c r="P178" s="29">
        <f>ROUND(H178*O178, 2)</f>
        <v/>
      </c>
      <c r="Q178" s="31" t="n">
        <v>0.02615391</v>
      </c>
      <c r="R178" s="31">
        <f>IFERROR(RATE(G178, -N178, K178, -P178), Q178)</f>
        <v/>
      </c>
      <c r="S178" s="31">
        <f>Q178*12</f>
        <v/>
      </c>
      <c r="T178" s="31">
        <f>((1+Q178)^12)-1</f>
        <v/>
      </c>
      <c r="U178" s="29">
        <f>IF(Q178&gt;0, ROUND(P178/((1+Q178)^G178), 2), P178)</f>
        <v/>
      </c>
      <c r="V178" s="29">
        <f>ROUND((N178*G178)-K178+P178, 2)</f>
        <v/>
      </c>
      <c r="W178" s="29">
        <f>ROUND(P178-U178, 2)</f>
        <v/>
      </c>
      <c r="X178" s="29">
        <f>ROUND(V178+W178, 2)</f>
        <v/>
      </c>
      <c r="Y178" s="29">
        <f>ROUND((N178*G178+P178+M178)-K178, 2)</f>
        <v/>
      </c>
      <c r="Z178" s="30">
        <f>IF(K178&gt;0, Y178/K178, 0)</f>
        <v/>
      </c>
    </row>
    <row r="179">
      <c r="A179" s="20" t="inlineStr">
        <is>
          <t>0699-0001</t>
        </is>
      </c>
      <c r="B179" s="21" t="inlineStr">
        <is>
          <t>Ramona Salazar Ramos</t>
        </is>
      </c>
      <c r="C179" s="21" t="inlineStr">
        <is>
          <t>Grand Cherokee 2025</t>
        </is>
      </c>
      <c r="D179" s="20" t="inlineStr">
        <is>
          <t>ACTIVO</t>
        </is>
      </c>
      <c r="E179" s="20" t="inlineStr">
        <is>
          <t>2025-06-05</t>
        </is>
      </c>
      <c r="F179" s="20" t="inlineStr">
        <is>
          <t>2028-06-05</t>
        </is>
      </c>
      <c r="G179" s="22" t="n">
        <v>36</v>
      </c>
      <c r="H179" s="23" t="n">
        <v>1245603.45</v>
      </c>
      <c r="I179" s="24" t="n">
        <v>0.2</v>
      </c>
      <c r="J179" s="23">
        <f>ROUND(H179*I179, 2)</f>
        <v/>
      </c>
      <c r="K179" s="23">
        <f>ROUND(H179-J179, 2)</f>
        <v/>
      </c>
      <c r="L179" s="24" t="n">
        <v>0.02</v>
      </c>
      <c r="M179" s="23">
        <f>ROUND(H179*L179, 2)</f>
        <v/>
      </c>
      <c r="N179" s="23" t="n">
        <v>41253.12</v>
      </c>
      <c r="O179" s="24" t="n">
        <v>0.1</v>
      </c>
      <c r="P179" s="23">
        <f>ROUND(H179*O179, 2)</f>
        <v/>
      </c>
      <c r="Q179" s="25" t="n">
        <v>0.0266035</v>
      </c>
      <c r="R179" s="25">
        <f>IFERROR(RATE(G179, -N179, K179, -P179), Q179)</f>
        <v/>
      </c>
      <c r="S179" s="25">
        <f>Q179*12</f>
        <v/>
      </c>
      <c r="T179" s="25">
        <f>((1+Q179)^12)-1</f>
        <v/>
      </c>
      <c r="U179" s="23">
        <f>IF(Q179&gt;0, ROUND(P179/((1+Q179)^G179), 2), P179)</f>
        <v/>
      </c>
      <c r="V179" s="23">
        <f>ROUND((N179*G179)-K179+P179, 2)</f>
        <v/>
      </c>
      <c r="W179" s="23">
        <f>ROUND(P179-U179, 2)</f>
        <v/>
      </c>
      <c r="X179" s="23">
        <f>ROUND(V179+W179, 2)</f>
        <v/>
      </c>
      <c r="Y179" s="23">
        <f>ROUND((N179*G179+P179+M179)-K179, 2)</f>
        <v/>
      </c>
      <c r="Z179" s="24">
        <f>IF(K179&gt;0, Y179/K179, 0)</f>
        <v/>
      </c>
    </row>
    <row r="180">
      <c r="A180" s="26" t="inlineStr">
        <is>
          <t>0700-0001</t>
        </is>
      </c>
      <c r="B180" s="27" t="inlineStr">
        <is>
          <t>Felipe de Jesus Ibañez Huizar</t>
        </is>
      </c>
      <c r="C180" s="27" t="inlineStr">
        <is>
          <t>K3</t>
        </is>
      </c>
      <c r="D180" s="26" t="inlineStr">
        <is>
          <t>ACTIVO</t>
        </is>
      </c>
      <c r="E180" s="26" t="inlineStr">
        <is>
          <t>2025-06-20</t>
        </is>
      </c>
      <c r="F180" s="26" t="inlineStr">
        <is>
          <t>2028-06-20</t>
        </is>
      </c>
      <c r="G180" s="28" t="n">
        <v>36</v>
      </c>
      <c r="H180" s="29" t="n">
        <v>340948.28</v>
      </c>
      <c r="I180" s="30" t="n">
        <v>0.1</v>
      </c>
      <c r="J180" s="29">
        <f>ROUND(H180*I180, 2)</f>
        <v/>
      </c>
      <c r="K180" s="29">
        <f>ROUND(H180-J180, 2)</f>
        <v/>
      </c>
      <c r="L180" s="30" t="n">
        <v>0.02</v>
      </c>
      <c r="M180" s="29">
        <f>ROUND(H180*L180, 2)</f>
        <v/>
      </c>
      <c r="N180" s="29" t="n">
        <v>12215.91</v>
      </c>
      <c r="O180" s="30" t="n">
        <v>0.2</v>
      </c>
      <c r="P180" s="29">
        <f>ROUND(H180*O180, 2)</f>
        <v/>
      </c>
      <c r="Q180" s="31" t="n">
        <v>0.02667839</v>
      </c>
      <c r="R180" s="31">
        <f>IFERROR(RATE(G180, -N180, K180, -P180), Q180)</f>
        <v/>
      </c>
      <c r="S180" s="31">
        <f>Q180*12</f>
        <v/>
      </c>
      <c r="T180" s="31">
        <f>((1+Q180)^12)-1</f>
        <v/>
      </c>
      <c r="U180" s="29">
        <f>IF(Q180&gt;0, ROUND(P180/((1+Q180)^G180), 2), P180)</f>
        <v/>
      </c>
      <c r="V180" s="29">
        <f>ROUND((N180*G180)-K180+P180, 2)</f>
        <v/>
      </c>
      <c r="W180" s="29">
        <f>ROUND(P180-U180, 2)</f>
        <v/>
      </c>
      <c r="X180" s="29">
        <f>ROUND(V180+W180, 2)</f>
        <v/>
      </c>
      <c r="Y180" s="29">
        <f>ROUND((N180*G180+P180+M180)-K180, 2)</f>
        <v/>
      </c>
      <c r="Z180" s="30">
        <f>IF(K180&gt;0, Y180/K180, 0)</f>
        <v/>
      </c>
    </row>
    <row r="181">
      <c r="A181" s="20" t="inlineStr">
        <is>
          <t>0700-0002</t>
        </is>
      </c>
      <c r="B181" s="21" t="inlineStr">
        <is>
          <t>Felipe de Jesus Ibañez Huizar</t>
        </is>
      </c>
      <c r="C181" s="21" t="inlineStr">
        <is>
          <t>Nissan NP 300 Frontier 2026</t>
        </is>
      </c>
      <c r="D181" s="20" t="inlineStr">
        <is>
          <t>ACTIVO</t>
        </is>
      </c>
      <c r="E181" s="20" t="inlineStr">
        <is>
          <t>2026-07-17</t>
        </is>
      </c>
      <c r="F181" s="20" t="inlineStr">
        <is>
          <t>2028-07-17</t>
        </is>
      </c>
      <c r="G181" s="22" t="n">
        <v>24</v>
      </c>
      <c r="H181" s="23" t="n">
        <v>560090.52</v>
      </c>
      <c r="I181" s="24" t="n">
        <v>0.1</v>
      </c>
      <c r="J181" s="23">
        <f>ROUND(H181*I181, 2)</f>
        <v/>
      </c>
      <c r="K181" s="23">
        <f>ROUND(H181-J181, 2)</f>
        <v/>
      </c>
      <c r="L181" s="24" t="n">
        <v>0.015</v>
      </c>
      <c r="M181" s="23">
        <f>ROUND(H181*L181, 2)</f>
        <v/>
      </c>
      <c r="N181" s="23" t="n">
        <v>25935.66</v>
      </c>
      <c r="O181" s="24" t="n">
        <v>0.15</v>
      </c>
      <c r="P181" s="23">
        <f>ROUND(H181*O181, 2)</f>
        <v/>
      </c>
      <c r="Q181" s="25" t="n">
        <v>0.02601123</v>
      </c>
      <c r="R181" s="25">
        <f>IFERROR(RATE(G181, -N181, K181, -P181), Q181)</f>
        <v/>
      </c>
      <c r="S181" s="25">
        <f>Q181*12</f>
        <v/>
      </c>
      <c r="T181" s="25">
        <f>((1+Q181)^12)-1</f>
        <v/>
      </c>
      <c r="U181" s="23">
        <f>IF(Q181&gt;0, ROUND(P181/((1+Q181)^G181), 2), P181)</f>
        <v/>
      </c>
      <c r="V181" s="23">
        <f>ROUND((N181*G181)-K181+P181, 2)</f>
        <v/>
      </c>
      <c r="W181" s="23">
        <f>ROUND(P181-U181, 2)</f>
        <v/>
      </c>
      <c r="X181" s="23">
        <f>ROUND(V181+W181, 2)</f>
        <v/>
      </c>
      <c r="Y181" s="23">
        <f>ROUND((N181*G181+P181+M181)-K181, 2)</f>
        <v/>
      </c>
      <c r="Z181" s="24">
        <f>IF(K181&gt;0, Y181/K181, 0)</f>
        <v/>
      </c>
    </row>
    <row r="182">
      <c r="A182" s="26" t="inlineStr">
        <is>
          <t>0701-0001</t>
        </is>
      </c>
      <c r="B182" s="27" t="inlineStr">
        <is>
          <t>Miguel Angel Yañez Rivera</t>
        </is>
      </c>
      <c r="C182" s="27" t="inlineStr">
        <is>
          <t>Maxi Partner</t>
        </is>
      </c>
      <c r="D182" s="26" t="inlineStr">
        <is>
          <t>ACTIVO</t>
        </is>
      </c>
      <c r="E182" s="26" t="inlineStr">
        <is>
          <t>2025-06-13</t>
        </is>
      </c>
      <c r="F182" s="26" t="inlineStr">
        <is>
          <t>2029-06-13</t>
        </is>
      </c>
      <c r="G182" s="28" t="n">
        <v>48</v>
      </c>
      <c r="H182" s="29" t="n">
        <v>343879.31</v>
      </c>
      <c r="I182" s="30" t="n">
        <v>0.3</v>
      </c>
      <c r="J182" s="29">
        <f>ROUND(H182*I182, 2)</f>
        <v/>
      </c>
      <c r="K182" s="29">
        <f>ROUND(H182-J182, 2)</f>
        <v/>
      </c>
      <c r="L182" s="30" t="n">
        <v>0.02</v>
      </c>
      <c r="M182" s="29">
        <f>ROUND(H182*L182, 2)</f>
        <v/>
      </c>
      <c r="N182" s="29" t="n">
        <v>8636.469999999999</v>
      </c>
      <c r="O182" s="30" t="n">
        <v>0.1</v>
      </c>
      <c r="P182" s="29">
        <f>ROUND(H182*O182, 2)</f>
        <v/>
      </c>
      <c r="Q182" s="31" t="n">
        <v>0.02693493</v>
      </c>
      <c r="R182" s="31">
        <f>IFERROR(RATE(G182, -N182, K182, -P182), Q182)</f>
        <v/>
      </c>
      <c r="S182" s="31">
        <f>Q182*12</f>
        <v/>
      </c>
      <c r="T182" s="31">
        <f>((1+Q182)^12)-1</f>
        <v/>
      </c>
      <c r="U182" s="29">
        <f>IF(Q182&gt;0, ROUND(P182/((1+Q182)^G182), 2), P182)</f>
        <v/>
      </c>
      <c r="V182" s="29">
        <f>ROUND((N182*G182)-K182+P182, 2)</f>
        <v/>
      </c>
      <c r="W182" s="29">
        <f>ROUND(P182-U182, 2)</f>
        <v/>
      </c>
      <c r="X182" s="29">
        <f>ROUND(V182+W182, 2)</f>
        <v/>
      </c>
      <c r="Y182" s="29">
        <f>ROUND((N182*G182+P182+M182)-K182, 2)</f>
        <v/>
      </c>
      <c r="Z182" s="30">
        <f>IF(K182&gt;0, Y182/K182, 0)</f>
        <v/>
      </c>
    </row>
    <row r="183">
      <c r="A183" s="20" t="inlineStr">
        <is>
          <t>0702-0001</t>
        </is>
      </c>
      <c r="B183" s="21" t="inlineStr">
        <is>
          <t>Ramses Tadeo Galindo Calderon</t>
        </is>
      </c>
      <c r="C183" s="21" t="inlineStr">
        <is>
          <t>Song Plus</t>
        </is>
      </c>
      <c r="D183" s="20" t="inlineStr">
        <is>
          <t>ACTIVO</t>
        </is>
      </c>
      <c r="E183" s="20" t="inlineStr">
        <is>
          <t>2025-06-16</t>
        </is>
      </c>
      <c r="F183" s="20" t="inlineStr">
        <is>
          <t>2029-06-16</t>
        </is>
      </c>
      <c r="G183" s="22" t="n">
        <v>48</v>
      </c>
      <c r="H183" s="23" t="n">
        <v>863082.28</v>
      </c>
      <c r="I183" s="24" t="n">
        <v>0.1733</v>
      </c>
      <c r="J183" s="23">
        <f>ROUND(H183*I183, 2)</f>
        <v/>
      </c>
      <c r="K183" s="23">
        <f>ROUND(H183-J183, 2)</f>
        <v/>
      </c>
      <c r="L183" s="24" t="n">
        <v>0.02</v>
      </c>
      <c r="M183" s="23">
        <f>ROUND(H183*L183, 2)</f>
        <v/>
      </c>
      <c r="N183" s="23" t="n">
        <v>17980.88</v>
      </c>
      <c r="O183" s="24" t="n">
        <v>0.3</v>
      </c>
      <c r="P183" s="23">
        <f>ROUND(H183*O183, 2)</f>
        <v/>
      </c>
      <c r="Q183" s="25" t="n">
        <v>0.01636118</v>
      </c>
      <c r="R183" s="25">
        <f>IFERROR(RATE(G183, -N183, K183, -P183), Q183)</f>
        <v/>
      </c>
      <c r="S183" s="25">
        <f>Q183*12</f>
        <v/>
      </c>
      <c r="T183" s="25">
        <f>((1+Q183)^12)-1</f>
        <v/>
      </c>
      <c r="U183" s="23">
        <f>IF(Q183&gt;0, ROUND(P183/((1+Q183)^G183), 2), P183)</f>
        <v/>
      </c>
      <c r="V183" s="23">
        <f>ROUND((N183*G183)-K183+P183, 2)</f>
        <v/>
      </c>
      <c r="W183" s="23">
        <f>ROUND(P183-U183, 2)</f>
        <v/>
      </c>
      <c r="X183" s="23">
        <f>ROUND(V183+W183, 2)</f>
        <v/>
      </c>
      <c r="Y183" s="23">
        <f>ROUND((N183*G183+P183+M183)-K183, 2)</f>
        <v/>
      </c>
      <c r="Z183" s="24">
        <f>IF(K183&gt;0, Y183/K183, 0)</f>
        <v/>
      </c>
    </row>
    <row r="184">
      <c r="A184" s="26" t="inlineStr">
        <is>
          <t>0703-0002</t>
        </is>
      </c>
      <c r="B184" s="27" t="inlineStr">
        <is>
          <t>Jali Fresh International Sa de Cv</t>
        </is>
      </c>
      <c r="C184" s="27" t="inlineStr">
        <is>
          <t>1500 Tradesman CC</t>
        </is>
      </c>
      <c r="D184" s="26" t="inlineStr">
        <is>
          <t>ACTIVO</t>
        </is>
      </c>
      <c r="E184" s="26" t="inlineStr">
        <is>
          <t>2026-04-23</t>
        </is>
      </c>
      <c r="F184" s="26" t="inlineStr">
        <is>
          <t>2029-04-23</t>
        </is>
      </c>
      <c r="G184" s="28" t="n">
        <v>36</v>
      </c>
      <c r="H184" s="29" t="n">
        <v>889568.97</v>
      </c>
      <c r="I184" s="30" t="n">
        <v>0.05</v>
      </c>
      <c r="J184" s="29">
        <f>ROUND(H184*I184, 2)</f>
        <v/>
      </c>
      <c r="K184" s="29">
        <f>ROUND(H184-J184, 2)</f>
        <v/>
      </c>
      <c r="L184" s="30" t="n">
        <v>0</v>
      </c>
      <c r="M184" s="29">
        <f>ROUND(H184*L184, 2)</f>
        <v/>
      </c>
      <c r="N184" s="29" t="n">
        <v>35258.19</v>
      </c>
      <c r="O184" s="30" t="n">
        <v>0.1</v>
      </c>
      <c r="P184" s="29">
        <f>ROUND(H184*O184, 2)</f>
        <v/>
      </c>
      <c r="Q184" s="31" t="n">
        <v>0.02658743</v>
      </c>
      <c r="R184" s="31">
        <f>IFERROR(RATE(G184, -N184, K184, -P184), Q184)</f>
        <v/>
      </c>
      <c r="S184" s="31">
        <f>Q184*12</f>
        <v/>
      </c>
      <c r="T184" s="31">
        <f>((1+Q184)^12)-1</f>
        <v/>
      </c>
      <c r="U184" s="29">
        <f>IF(Q184&gt;0, ROUND(P184/((1+Q184)^G184), 2), P184)</f>
        <v/>
      </c>
      <c r="V184" s="29">
        <f>ROUND((N184*G184)-K184+P184, 2)</f>
        <v/>
      </c>
      <c r="W184" s="29">
        <f>ROUND(P184-U184, 2)</f>
        <v/>
      </c>
      <c r="X184" s="29">
        <f>ROUND(V184+W184, 2)</f>
        <v/>
      </c>
      <c r="Y184" s="29">
        <f>ROUND((N184*G184+P184+M184)-K184, 2)</f>
        <v/>
      </c>
      <c r="Z184" s="30">
        <f>IF(K184&gt;0, Y184/K184, 0)</f>
        <v/>
      </c>
    </row>
    <row r="185">
      <c r="A185" s="20" t="inlineStr">
        <is>
          <t>0704-0001</t>
        </is>
      </c>
      <c r="B185" s="21" t="inlineStr">
        <is>
          <t>Cristian Manuel Cruz Gutierrez</t>
        </is>
      </c>
      <c r="C185" s="21" t="inlineStr">
        <is>
          <t>Ram 1200</t>
        </is>
      </c>
      <c r="D185" s="20" t="inlineStr">
        <is>
          <t>ACTIVO</t>
        </is>
      </c>
      <c r="E185" s="20" t="inlineStr">
        <is>
          <t>2025-07-22</t>
        </is>
      </c>
      <c r="F185" s="20" t="inlineStr">
        <is>
          <t>2028-07-22</t>
        </is>
      </c>
      <c r="G185" s="22" t="n">
        <v>36</v>
      </c>
      <c r="H185" s="23" t="n">
        <v>577500</v>
      </c>
      <c r="I185" s="24" t="n">
        <v>0.2</v>
      </c>
      <c r="J185" s="23">
        <f>ROUND(H185*I185, 2)</f>
        <v/>
      </c>
      <c r="K185" s="23">
        <f>ROUND(H185-J185, 2)</f>
        <v/>
      </c>
      <c r="L185" s="24" t="n">
        <v>0.02</v>
      </c>
      <c r="M185" s="23">
        <f>ROUND(H185*L185, 2)</f>
        <v/>
      </c>
      <c r="N185" s="23" t="n">
        <v>19126.22</v>
      </c>
      <c r="O185" s="24" t="n">
        <v>0.1</v>
      </c>
      <c r="P185" s="23">
        <f>ROUND(H185*O185, 2)</f>
        <v/>
      </c>
      <c r="Q185" s="25" t="n">
        <v>0.0266035</v>
      </c>
      <c r="R185" s="25">
        <f>IFERROR(RATE(G185, -N185, K185, -P185), Q185)</f>
        <v/>
      </c>
      <c r="S185" s="25">
        <f>Q185*12</f>
        <v/>
      </c>
      <c r="T185" s="25">
        <f>((1+Q185)^12)-1</f>
        <v/>
      </c>
      <c r="U185" s="23">
        <f>IF(Q185&gt;0, ROUND(P185/((1+Q185)^G185), 2), P185)</f>
        <v/>
      </c>
      <c r="V185" s="23">
        <f>ROUND((N185*G185)-K185+P185, 2)</f>
        <v/>
      </c>
      <c r="W185" s="23">
        <f>ROUND(P185-U185, 2)</f>
        <v/>
      </c>
      <c r="X185" s="23">
        <f>ROUND(V185+W185, 2)</f>
        <v/>
      </c>
      <c r="Y185" s="23">
        <f>ROUND((N185*G185+P185+M185)-K185, 2)</f>
        <v/>
      </c>
      <c r="Z185" s="24">
        <f>IF(K185&gt;0, Y185/K185, 0)</f>
        <v/>
      </c>
    </row>
    <row r="186">
      <c r="A186" s="26" t="inlineStr">
        <is>
          <t>0705-0001</t>
        </is>
      </c>
      <c r="B186" s="27" t="inlineStr">
        <is>
          <t>Oscar Alejandro Pedraza Gonzalez</t>
        </is>
      </c>
      <c r="C186" s="27" t="inlineStr">
        <is>
          <t>L200</t>
        </is>
      </c>
      <c r="D186" s="26" t="inlineStr">
        <is>
          <t>ACTIVO</t>
        </is>
      </c>
      <c r="E186" s="26" t="inlineStr">
        <is>
          <t>2025-08-14</t>
        </is>
      </c>
      <c r="F186" s="26" t="inlineStr">
        <is>
          <t>2027-08-14</t>
        </is>
      </c>
      <c r="G186" s="28" t="n">
        <v>24</v>
      </c>
      <c r="H186" s="29" t="n">
        <v>525920.6899999999</v>
      </c>
      <c r="I186" s="30" t="n">
        <v>0.3</v>
      </c>
      <c r="J186" s="29">
        <f>ROUND(H186*I186, 2)</f>
        <v/>
      </c>
      <c r="K186" s="29">
        <f>ROUND(H186-J186, 2)</f>
        <v/>
      </c>
      <c r="L186" s="30" t="n">
        <v>0.02</v>
      </c>
      <c r="M186" s="29">
        <f>ROUND(H186*L186, 2)</f>
        <v/>
      </c>
      <c r="N186" s="29" t="n">
        <v>17641.67</v>
      </c>
      <c r="O186" s="30" t="n">
        <v>0.2</v>
      </c>
      <c r="P186" s="29">
        <f>ROUND(H186*O186, 2)</f>
        <v/>
      </c>
      <c r="Q186" s="31" t="n">
        <v>0.02615303</v>
      </c>
      <c r="R186" s="31">
        <f>IFERROR(RATE(G186, -N186, K186, -P186), Q186)</f>
        <v/>
      </c>
      <c r="S186" s="31">
        <f>Q186*12</f>
        <v/>
      </c>
      <c r="T186" s="31">
        <f>((1+Q186)^12)-1</f>
        <v/>
      </c>
      <c r="U186" s="29">
        <f>IF(Q186&gt;0, ROUND(P186/((1+Q186)^G186), 2), P186)</f>
        <v/>
      </c>
      <c r="V186" s="29">
        <f>ROUND((N186*G186)-K186+P186, 2)</f>
        <v/>
      </c>
      <c r="W186" s="29">
        <f>ROUND(P186-U186, 2)</f>
        <v/>
      </c>
      <c r="X186" s="29">
        <f>ROUND(V186+W186, 2)</f>
        <v/>
      </c>
      <c r="Y186" s="29">
        <f>ROUND((N186*G186+P186+M186)-K186, 2)</f>
        <v/>
      </c>
      <c r="Z186" s="30">
        <f>IF(K186&gt;0, Y186/K186, 0)</f>
        <v/>
      </c>
    </row>
    <row r="187">
      <c r="A187" s="20" t="inlineStr">
        <is>
          <t>0706-0001</t>
        </is>
      </c>
      <c r="B187" s="21" t="inlineStr">
        <is>
          <t>Jose Luis Zepeda Gomez</t>
        </is>
      </c>
      <c r="C187" s="21" t="inlineStr">
        <is>
          <t>L200 Glx Diesel</t>
        </is>
      </c>
      <c r="D187" s="20" t="inlineStr">
        <is>
          <t>ACTIVO</t>
        </is>
      </c>
      <c r="E187" s="20" t="inlineStr">
        <is>
          <t>2025-07-29</t>
        </is>
      </c>
      <c r="F187" s="20" t="inlineStr">
        <is>
          <t>2029-07-29</t>
        </is>
      </c>
      <c r="G187" s="22" t="n">
        <v>48</v>
      </c>
      <c r="H187" s="23" t="n">
        <v>525920.6899999999</v>
      </c>
      <c r="I187" s="24" t="n">
        <v>0.1</v>
      </c>
      <c r="J187" s="23">
        <f>ROUND(H187*I187, 2)</f>
        <v/>
      </c>
      <c r="K187" s="23">
        <f>ROUND(H187-J187, 2)</f>
        <v/>
      </c>
      <c r="L187" s="24" t="n">
        <v>0.02</v>
      </c>
      <c r="M187" s="23">
        <f>ROUND(H187*L187, 2)</f>
        <v/>
      </c>
      <c r="N187" s="23" t="n">
        <v>17133.04</v>
      </c>
      <c r="O187" s="24" t="n">
        <v>0.1</v>
      </c>
      <c r="P187" s="23">
        <f>ROUND(H187*O187, 2)</f>
        <v/>
      </c>
      <c r="Q187" s="25" t="n">
        <v>0.0269179</v>
      </c>
      <c r="R187" s="25">
        <f>IFERROR(RATE(G187, -N187, K187, -P187), Q187)</f>
        <v/>
      </c>
      <c r="S187" s="25">
        <f>Q187*12</f>
        <v/>
      </c>
      <c r="T187" s="25">
        <f>((1+Q187)^12)-1</f>
        <v/>
      </c>
      <c r="U187" s="23">
        <f>IF(Q187&gt;0, ROUND(P187/((1+Q187)^G187), 2), P187)</f>
        <v/>
      </c>
      <c r="V187" s="23">
        <f>ROUND((N187*G187)-K187+P187, 2)</f>
        <v/>
      </c>
      <c r="W187" s="23">
        <f>ROUND(P187-U187, 2)</f>
        <v/>
      </c>
      <c r="X187" s="23">
        <f>ROUND(V187+W187, 2)</f>
        <v/>
      </c>
      <c r="Y187" s="23">
        <f>ROUND((N187*G187+P187+M187)-K187, 2)</f>
        <v/>
      </c>
      <c r="Z187" s="24">
        <f>IF(K187&gt;0, Y187/K187, 0)</f>
        <v/>
      </c>
    </row>
    <row r="188">
      <c r="A188" s="26" t="inlineStr">
        <is>
          <t>0707-0001</t>
        </is>
      </c>
      <c r="B188" s="27" t="inlineStr">
        <is>
          <t>Cabañas Lupita Sa de Cv</t>
        </is>
      </c>
      <c r="C188" s="27" t="inlineStr">
        <is>
          <t>Jt Rubicon</t>
        </is>
      </c>
      <c r="D188" s="26" t="inlineStr">
        <is>
          <t>ACTIVO</t>
        </is>
      </c>
      <c r="E188" s="26" t="inlineStr">
        <is>
          <t>2025-07-29</t>
        </is>
      </c>
      <c r="F188" s="26" t="inlineStr">
        <is>
          <t>2029-07-29</t>
        </is>
      </c>
      <c r="G188" s="28" t="n">
        <v>48</v>
      </c>
      <c r="H188" s="29" t="n">
        <v>1255086.21</v>
      </c>
      <c r="I188" s="30" t="n">
        <v>0.2</v>
      </c>
      <c r="J188" s="29">
        <f>ROUND(H188*I188, 2)</f>
        <v/>
      </c>
      <c r="K188" s="29">
        <f>ROUND(H188-J188, 2)</f>
        <v/>
      </c>
      <c r="L188" s="30" t="n">
        <v>0.02</v>
      </c>
      <c r="M188" s="29">
        <f>ROUND(H188*L188, 2)</f>
        <v/>
      </c>
      <c r="N188" s="29" t="n">
        <v>36176.24</v>
      </c>
      <c r="O188" s="30" t="n">
        <v>0.1</v>
      </c>
      <c r="P188" s="29">
        <f>ROUND(H188*O188, 2)</f>
        <v/>
      </c>
      <c r="Q188" s="31" t="n">
        <v>0.02688803</v>
      </c>
      <c r="R188" s="31">
        <f>IFERROR(RATE(G188, -N188, K188, -P188), Q188)</f>
        <v/>
      </c>
      <c r="S188" s="31">
        <f>Q188*12</f>
        <v/>
      </c>
      <c r="T188" s="31">
        <f>((1+Q188)^12)-1</f>
        <v/>
      </c>
      <c r="U188" s="29">
        <f>IF(Q188&gt;0, ROUND(P188/((1+Q188)^G188), 2), P188)</f>
        <v/>
      </c>
      <c r="V188" s="29">
        <f>ROUND((N188*G188)-K188+P188, 2)</f>
        <v/>
      </c>
      <c r="W188" s="29">
        <f>ROUND(P188-U188, 2)</f>
        <v/>
      </c>
      <c r="X188" s="29">
        <f>ROUND(V188+W188, 2)</f>
        <v/>
      </c>
      <c r="Y188" s="29">
        <f>ROUND((N188*G188+P188+M188)-K188, 2)</f>
        <v/>
      </c>
      <c r="Z188" s="30">
        <f>IF(K188&gt;0, Y188/K188, 0)</f>
        <v/>
      </c>
    </row>
    <row r="189">
      <c r="A189" s="20" t="inlineStr">
        <is>
          <t>0708-0001</t>
        </is>
      </c>
      <c r="B189" s="21" t="inlineStr">
        <is>
          <t>Pumps Company Sa de Cv</t>
        </is>
      </c>
      <c r="C189" s="21" t="inlineStr">
        <is>
          <t>L200 Glx Diesel</t>
        </is>
      </c>
      <c r="D189" s="20" t="inlineStr">
        <is>
          <t>ACTIVO</t>
        </is>
      </c>
      <c r="E189" s="20" t="inlineStr">
        <is>
          <t>2025-07-29</t>
        </is>
      </c>
      <c r="F189" s="20" t="inlineStr">
        <is>
          <t>2028-07-29</t>
        </is>
      </c>
      <c r="G189" s="22" t="n">
        <v>36</v>
      </c>
      <c r="H189" s="23" t="n">
        <v>557155.17</v>
      </c>
      <c r="I189" s="24" t="n">
        <v>0.4</v>
      </c>
      <c r="J189" s="23">
        <f>ROUND(H189*I189, 2)</f>
        <v/>
      </c>
      <c r="K189" s="23">
        <f>ROUND(H189-J189, 2)</f>
        <v/>
      </c>
      <c r="L189" s="24" t="n">
        <v>0.02</v>
      </c>
      <c r="M189" s="23">
        <f>ROUND(H189*L189, 2)</f>
        <v/>
      </c>
      <c r="N189" s="23" t="n">
        <v>13611.73</v>
      </c>
      <c r="O189" s="24" t="n">
        <v>0.1</v>
      </c>
      <c r="P189" s="23">
        <f>ROUND(H189*O189, 2)</f>
        <v/>
      </c>
      <c r="Q189" s="25" t="n">
        <v>0.02663643</v>
      </c>
      <c r="R189" s="25">
        <f>IFERROR(RATE(G189, -N189, K189, -P189), Q189)</f>
        <v/>
      </c>
      <c r="S189" s="25">
        <f>Q189*12</f>
        <v/>
      </c>
      <c r="T189" s="25">
        <f>((1+Q189)^12)-1</f>
        <v/>
      </c>
      <c r="U189" s="23">
        <f>IF(Q189&gt;0, ROUND(P189/((1+Q189)^G189), 2), P189)</f>
        <v/>
      </c>
      <c r="V189" s="23">
        <f>ROUND((N189*G189)-K189+P189, 2)</f>
        <v/>
      </c>
      <c r="W189" s="23">
        <f>ROUND(P189-U189, 2)</f>
        <v/>
      </c>
      <c r="X189" s="23">
        <f>ROUND(V189+W189, 2)</f>
        <v/>
      </c>
      <c r="Y189" s="23">
        <f>ROUND((N189*G189+P189+M189)-K189, 2)</f>
        <v/>
      </c>
      <c r="Z189" s="24">
        <f>IF(K189&gt;0, Y189/K189, 0)</f>
        <v/>
      </c>
    </row>
    <row r="190">
      <c r="A190" s="26" t="inlineStr">
        <is>
          <t>0708-0002</t>
        </is>
      </c>
      <c r="B190" s="27" t="inlineStr">
        <is>
          <t>Pumps Company Sa de Cv</t>
        </is>
      </c>
      <c r="C190" s="27" t="inlineStr">
        <is>
          <t>L200 Glx Diesel</t>
        </is>
      </c>
      <c r="D190" s="26" t="inlineStr">
        <is>
          <t>ACTIVO</t>
        </is>
      </c>
      <c r="E190" s="26" t="inlineStr">
        <is>
          <t>2025-07-29</t>
        </is>
      </c>
      <c r="F190" s="26" t="inlineStr">
        <is>
          <t>2028-07-29</t>
        </is>
      </c>
      <c r="G190" s="28" t="n">
        <v>36</v>
      </c>
      <c r="H190" s="29" t="n">
        <v>557155.17</v>
      </c>
      <c r="I190" s="30" t="n">
        <v>0.4</v>
      </c>
      <c r="J190" s="29">
        <f>ROUND(H190*I190, 2)</f>
        <v/>
      </c>
      <c r="K190" s="29">
        <f>ROUND(H190-J190, 2)</f>
        <v/>
      </c>
      <c r="L190" s="30" t="n">
        <v>0.02</v>
      </c>
      <c r="M190" s="29">
        <f>ROUND(H190*L190, 2)</f>
        <v/>
      </c>
      <c r="N190" s="29" t="n">
        <v>13611.73</v>
      </c>
      <c r="O190" s="30" t="n">
        <v>0.1</v>
      </c>
      <c r="P190" s="29">
        <f>ROUND(H190*O190, 2)</f>
        <v/>
      </c>
      <c r="Q190" s="31" t="n">
        <v>0.02663643</v>
      </c>
      <c r="R190" s="31">
        <f>IFERROR(RATE(G190, -N190, K190, -P190), Q190)</f>
        <v/>
      </c>
      <c r="S190" s="31">
        <f>Q190*12</f>
        <v/>
      </c>
      <c r="T190" s="31">
        <f>((1+Q190)^12)-1</f>
        <v/>
      </c>
      <c r="U190" s="29">
        <f>IF(Q190&gt;0, ROUND(P190/((1+Q190)^G190), 2), P190)</f>
        <v/>
      </c>
      <c r="V190" s="29">
        <f>ROUND((N190*G190)-K190+P190, 2)</f>
        <v/>
      </c>
      <c r="W190" s="29">
        <f>ROUND(P190-U190, 2)</f>
        <v/>
      </c>
      <c r="X190" s="29">
        <f>ROUND(V190+W190, 2)</f>
        <v/>
      </c>
      <c r="Y190" s="29">
        <f>ROUND((N190*G190+P190+M190)-K190, 2)</f>
        <v/>
      </c>
      <c r="Z190" s="30">
        <f>IF(K190&gt;0, Y190/K190, 0)</f>
        <v/>
      </c>
    </row>
    <row r="191">
      <c r="A191" s="20" t="inlineStr">
        <is>
          <t>0712-0001</t>
        </is>
      </c>
      <c r="B191" s="21" t="inlineStr">
        <is>
          <t>Containers del Pacifico sa de cv</t>
        </is>
      </c>
      <c r="C191" s="21" t="inlineStr">
        <is>
          <t>Outlander Sport</t>
        </is>
      </c>
      <c r="D191" s="20" t="inlineStr">
        <is>
          <t>ACTIVO</t>
        </is>
      </c>
      <c r="E191" s="20" t="inlineStr">
        <is>
          <t>2025-08-06</t>
        </is>
      </c>
      <c r="F191" s="20" t="inlineStr">
        <is>
          <t>2028-08-06</t>
        </is>
      </c>
      <c r="G191" s="22" t="n">
        <v>36</v>
      </c>
      <c r="H191" s="23" t="n">
        <v>410920.69</v>
      </c>
      <c r="I191" s="24" t="n">
        <v>0.1</v>
      </c>
      <c r="J191" s="23">
        <f>ROUND(H191*I191, 2)</f>
        <v/>
      </c>
      <c r="K191" s="23">
        <f>ROUND(H191-J191, 2)</f>
        <v/>
      </c>
      <c r="L191" s="24" t="n">
        <v>0.02</v>
      </c>
      <c r="M191" s="23">
        <f>ROUND(H191*L191, 2)</f>
        <v/>
      </c>
      <c r="N191" s="23" t="n">
        <v>14722.97</v>
      </c>
      <c r="O191" s="24" t="n">
        <v>0.2</v>
      </c>
      <c r="P191" s="23">
        <f>ROUND(H191*O191, 2)</f>
        <v/>
      </c>
      <c r="Q191" s="25" t="n">
        <v>0.0266784</v>
      </c>
      <c r="R191" s="25">
        <f>IFERROR(RATE(G191, -N191, K191, -P191), Q191)</f>
        <v/>
      </c>
      <c r="S191" s="25">
        <f>Q191*12</f>
        <v/>
      </c>
      <c r="T191" s="25">
        <f>((1+Q191)^12)-1</f>
        <v/>
      </c>
      <c r="U191" s="23">
        <f>IF(Q191&gt;0, ROUND(P191/((1+Q191)^G191), 2), P191)</f>
        <v/>
      </c>
      <c r="V191" s="23">
        <f>ROUND((N191*G191)-K191+P191, 2)</f>
        <v/>
      </c>
      <c r="W191" s="23">
        <f>ROUND(P191-U191, 2)</f>
        <v/>
      </c>
      <c r="X191" s="23">
        <f>ROUND(V191+W191, 2)</f>
        <v/>
      </c>
      <c r="Y191" s="23">
        <f>ROUND((N191*G191+P191+M191)-K191, 2)</f>
        <v/>
      </c>
      <c r="Z191" s="24">
        <f>IF(K191&gt;0, Y191/K191, 0)</f>
        <v/>
      </c>
    </row>
    <row r="192">
      <c r="A192" s="26" t="inlineStr">
        <is>
          <t>0712-0002</t>
        </is>
      </c>
      <c r="B192" s="27" t="inlineStr">
        <is>
          <t>Containers del Pacifico sa de cv</t>
        </is>
      </c>
      <c r="C192" s="27" t="inlineStr">
        <is>
          <t>Np300</t>
        </is>
      </c>
      <c r="D192" s="26" t="inlineStr">
        <is>
          <t>ACTIVO</t>
        </is>
      </c>
      <c r="E192" s="26" t="inlineStr">
        <is>
          <t>2025-08-22</t>
        </is>
      </c>
      <c r="F192" s="26" t="inlineStr">
        <is>
          <t>2028-08-22</t>
        </is>
      </c>
      <c r="G192" s="28" t="n">
        <v>36</v>
      </c>
      <c r="H192" s="29" t="n">
        <v>406293.1</v>
      </c>
      <c r="I192" s="30" t="n">
        <v>0.1</v>
      </c>
      <c r="J192" s="29">
        <f>ROUND(H192*I192, 2)</f>
        <v/>
      </c>
      <c r="K192" s="29">
        <f>ROUND(H192-J192, 2)</f>
        <v/>
      </c>
      <c r="L192" s="30" t="n">
        <v>0.02</v>
      </c>
      <c r="M192" s="29">
        <f>ROUND(H192*L192, 2)</f>
        <v/>
      </c>
      <c r="N192" s="29" t="n">
        <v>14557.17</v>
      </c>
      <c r="O192" s="30" t="n">
        <v>0.2</v>
      </c>
      <c r="P192" s="29">
        <f>ROUND(H192*O192, 2)</f>
        <v/>
      </c>
      <c r="Q192" s="31" t="n">
        <v>0.02667841</v>
      </c>
      <c r="R192" s="31">
        <f>IFERROR(RATE(G192, -N192, K192, -P192), Q192)</f>
        <v/>
      </c>
      <c r="S192" s="31">
        <f>Q192*12</f>
        <v/>
      </c>
      <c r="T192" s="31">
        <f>((1+Q192)^12)-1</f>
        <v/>
      </c>
      <c r="U192" s="29">
        <f>IF(Q192&gt;0, ROUND(P192/((1+Q192)^G192), 2), P192)</f>
        <v/>
      </c>
      <c r="V192" s="29">
        <f>ROUND((N192*G192)-K192+P192, 2)</f>
        <v/>
      </c>
      <c r="W192" s="29">
        <f>ROUND(P192-U192, 2)</f>
        <v/>
      </c>
      <c r="X192" s="29">
        <f>ROUND(V192+W192, 2)</f>
        <v/>
      </c>
      <c r="Y192" s="29">
        <f>ROUND((N192*G192+P192+M192)-K192, 2)</f>
        <v/>
      </c>
      <c r="Z192" s="30">
        <f>IF(K192&gt;0, Y192/K192, 0)</f>
        <v/>
      </c>
    </row>
    <row r="193">
      <c r="A193" s="20" t="inlineStr">
        <is>
          <t>0712-0003</t>
        </is>
      </c>
      <c r="B193" s="21" t="inlineStr">
        <is>
          <t>Containers del Pacifico sa de cv</t>
        </is>
      </c>
      <c r="C193" s="21" t="inlineStr">
        <is>
          <t>Np300</t>
        </is>
      </c>
      <c r="D193" s="20" t="inlineStr">
        <is>
          <t>ACTIVO</t>
        </is>
      </c>
      <c r="E193" s="20" t="inlineStr">
        <is>
          <t>2025-08-22</t>
        </is>
      </c>
      <c r="F193" s="20" t="inlineStr">
        <is>
          <t>2028-08-22</t>
        </is>
      </c>
      <c r="G193" s="22" t="n">
        <v>36</v>
      </c>
      <c r="H193" s="23" t="n">
        <v>406293.1</v>
      </c>
      <c r="I193" s="24" t="n">
        <v>0.1</v>
      </c>
      <c r="J193" s="23">
        <f>ROUND(H193*I193, 2)</f>
        <v/>
      </c>
      <c r="K193" s="23">
        <f>ROUND(H193-J193, 2)</f>
        <v/>
      </c>
      <c r="L193" s="24" t="n">
        <v>0.02</v>
      </c>
      <c r="M193" s="23">
        <f>ROUND(H193*L193, 2)</f>
        <v/>
      </c>
      <c r="N193" s="23" t="n">
        <v>14557.17</v>
      </c>
      <c r="O193" s="24" t="n">
        <v>0.2</v>
      </c>
      <c r="P193" s="23">
        <f>ROUND(H193*O193, 2)</f>
        <v/>
      </c>
      <c r="Q193" s="25" t="n">
        <v>0.02667841</v>
      </c>
      <c r="R193" s="25">
        <f>IFERROR(RATE(G193, -N193, K193, -P193), Q193)</f>
        <v/>
      </c>
      <c r="S193" s="25">
        <f>Q193*12</f>
        <v/>
      </c>
      <c r="T193" s="25">
        <f>((1+Q193)^12)-1</f>
        <v/>
      </c>
      <c r="U193" s="23">
        <f>IF(Q193&gt;0, ROUND(P193/((1+Q193)^G193), 2), P193)</f>
        <v/>
      </c>
      <c r="V193" s="23">
        <f>ROUND((N193*G193)-K193+P193, 2)</f>
        <v/>
      </c>
      <c r="W193" s="23">
        <f>ROUND(P193-U193, 2)</f>
        <v/>
      </c>
      <c r="X193" s="23">
        <f>ROUND(V193+W193, 2)</f>
        <v/>
      </c>
      <c r="Y193" s="23">
        <f>ROUND((N193*G193+P193+M193)-K193, 2)</f>
        <v/>
      </c>
      <c r="Z193" s="24">
        <f>IF(K193&gt;0, Y193/K193, 0)</f>
        <v/>
      </c>
    </row>
    <row r="194">
      <c r="A194" s="26" t="inlineStr">
        <is>
          <t>0713-0001</t>
        </is>
      </c>
      <c r="B194" s="27" t="inlineStr">
        <is>
          <t>Ana Carolina Urzua Lopez</t>
        </is>
      </c>
      <c r="C194" s="27" t="inlineStr">
        <is>
          <t>Ram 1200</t>
        </is>
      </c>
      <c r="D194" s="26" t="inlineStr">
        <is>
          <t>ACTIVO</t>
        </is>
      </c>
      <c r="E194" s="26" t="inlineStr">
        <is>
          <t>2025-08-18</t>
        </is>
      </c>
      <c r="F194" s="26" t="inlineStr">
        <is>
          <t>2027-08-18</t>
        </is>
      </c>
      <c r="G194" s="28" t="n">
        <v>24</v>
      </c>
      <c r="H194" s="29" t="n">
        <v>577500</v>
      </c>
      <c r="I194" s="30" t="n">
        <v>0.1</v>
      </c>
      <c r="J194" s="29">
        <f>ROUND(H194*I194, 2)</f>
        <v/>
      </c>
      <c r="K194" s="29">
        <f>ROUND(H194-J194, 2)</f>
        <v/>
      </c>
      <c r="L194" s="30" t="n">
        <v>0.02</v>
      </c>
      <c r="M194" s="29">
        <f>ROUND(H194*L194, 2)</f>
        <v/>
      </c>
      <c r="N194" s="29" t="n">
        <v>24156.19</v>
      </c>
      <c r="O194" s="30" t="n">
        <v>0.3</v>
      </c>
      <c r="P194" s="29">
        <f>ROUND(H194*O194, 2)</f>
        <v/>
      </c>
      <c r="Q194" s="31" t="n">
        <v>0.02616266</v>
      </c>
      <c r="R194" s="31">
        <f>IFERROR(RATE(G194, -N194, K194, -P194), Q194)</f>
        <v/>
      </c>
      <c r="S194" s="31">
        <f>Q194*12</f>
        <v/>
      </c>
      <c r="T194" s="31">
        <f>((1+Q194)^12)-1</f>
        <v/>
      </c>
      <c r="U194" s="29">
        <f>IF(Q194&gt;0, ROUND(P194/((1+Q194)^G194), 2), P194)</f>
        <v/>
      </c>
      <c r="V194" s="29">
        <f>ROUND((N194*G194)-K194+P194, 2)</f>
        <v/>
      </c>
      <c r="W194" s="29">
        <f>ROUND(P194-U194, 2)</f>
        <v/>
      </c>
      <c r="X194" s="29">
        <f>ROUND(V194+W194, 2)</f>
        <v/>
      </c>
      <c r="Y194" s="29">
        <f>ROUND((N194*G194+P194+M194)-K194, 2)</f>
        <v/>
      </c>
      <c r="Z194" s="30">
        <f>IF(K194&gt;0, Y194/K194, 0)</f>
        <v/>
      </c>
    </row>
    <row r="195">
      <c r="A195" s="20" t="inlineStr">
        <is>
          <t>0714-0001</t>
        </is>
      </c>
      <c r="B195" s="21" t="inlineStr">
        <is>
          <t>Celeste Capital Aj</t>
        </is>
      </c>
      <c r="C195" s="21" t="inlineStr">
        <is>
          <t>Wrangler 4Xe</t>
        </is>
      </c>
      <c r="D195" s="20" t="inlineStr">
        <is>
          <t>ACTIVO</t>
        </is>
      </c>
      <c r="E195" s="20" t="inlineStr">
        <is>
          <t>2025-08-26</t>
        </is>
      </c>
      <c r="F195" s="20" t="inlineStr">
        <is>
          <t>2029-08-26</t>
        </is>
      </c>
      <c r="G195" s="22" t="n">
        <v>48</v>
      </c>
      <c r="H195" s="23" t="n">
        <v>1255086.21</v>
      </c>
      <c r="I195" s="24" t="n">
        <v>0.3</v>
      </c>
      <c r="J195" s="23">
        <f>ROUND(H195*I195, 2)</f>
        <v/>
      </c>
      <c r="K195" s="23">
        <f>ROUND(H195-J195, 2)</f>
        <v/>
      </c>
      <c r="L195" s="24" t="n">
        <v>0.02</v>
      </c>
      <c r="M195" s="23">
        <f>ROUND(H195*L195, 2)</f>
        <v/>
      </c>
      <c r="N195" s="23" t="n">
        <v>31521.28</v>
      </c>
      <c r="O195" s="24" t="n">
        <v>0.1</v>
      </c>
      <c r="P195" s="23">
        <f>ROUND(H195*O195, 2)</f>
        <v/>
      </c>
      <c r="Q195" s="25" t="n">
        <v>0.02693491</v>
      </c>
      <c r="R195" s="25">
        <f>IFERROR(RATE(G195, -N195, K195, -P195), Q195)</f>
        <v/>
      </c>
      <c r="S195" s="25">
        <f>Q195*12</f>
        <v/>
      </c>
      <c r="T195" s="25">
        <f>((1+Q195)^12)-1</f>
        <v/>
      </c>
      <c r="U195" s="23">
        <f>IF(Q195&gt;0, ROUND(P195/((1+Q195)^G195), 2), P195)</f>
        <v/>
      </c>
      <c r="V195" s="23">
        <f>ROUND((N195*G195)-K195+P195, 2)</f>
        <v/>
      </c>
      <c r="W195" s="23">
        <f>ROUND(P195-U195, 2)</f>
        <v/>
      </c>
      <c r="X195" s="23">
        <f>ROUND(V195+W195, 2)</f>
        <v/>
      </c>
      <c r="Y195" s="23">
        <f>ROUND((N195*G195+P195+M195)-K195, 2)</f>
        <v/>
      </c>
      <c r="Z195" s="24">
        <f>IF(K195&gt;0, Y195/K195, 0)</f>
        <v/>
      </c>
    </row>
    <row r="196">
      <c r="A196" s="26" t="inlineStr">
        <is>
          <t>0715-0001</t>
        </is>
      </c>
      <c r="B196" s="27" t="inlineStr">
        <is>
          <t>Jose de Jesus Serrano Sanchez</t>
        </is>
      </c>
      <c r="C196" s="27" t="inlineStr">
        <is>
          <t>Ram 1200</t>
        </is>
      </c>
      <c r="D196" s="26" t="inlineStr">
        <is>
          <t>ACTIVO</t>
        </is>
      </c>
      <c r="E196" s="26" t="inlineStr">
        <is>
          <t>2025-08-29</t>
        </is>
      </c>
      <c r="F196" s="26" t="inlineStr">
        <is>
          <t>2029-08-29</t>
        </is>
      </c>
      <c r="G196" s="28" t="n">
        <v>48</v>
      </c>
      <c r="H196" s="29" t="n">
        <v>606034.48</v>
      </c>
      <c r="I196" s="30" t="n">
        <v>0.1981</v>
      </c>
      <c r="J196" s="29">
        <f>ROUND(H196*I196, 2)</f>
        <v/>
      </c>
      <c r="K196" s="29">
        <f>ROUND(H196-J196, 2)</f>
        <v/>
      </c>
      <c r="L196" s="30" t="n">
        <v>0.02</v>
      </c>
      <c r="M196" s="29">
        <f>ROUND(H196*L196, 2)</f>
        <v/>
      </c>
      <c r="N196" s="29" t="n">
        <v>17525.22</v>
      </c>
      <c r="O196" s="30" t="n">
        <v>0.1</v>
      </c>
      <c r="P196" s="29">
        <f>ROUND(H196*O196, 2)</f>
        <v/>
      </c>
      <c r="Q196" s="31" t="n">
        <v>0.02692681</v>
      </c>
      <c r="R196" s="31">
        <f>IFERROR(RATE(G196, -N196, K196, -P196), Q196)</f>
        <v/>
      </c>
      <c r="S196" s="31">
        <f>Q196*12</f>
        <v/>
      </c>
      <c r="T196" s="31">
        <f>((1+Q196)^12)-1</f>
        <v/>
      </c>
      <c r="U196" s="29">
        <f>IF(Q196&gt;0, ROUND(P196/((1+Q196)^G196), 2), P196)</f>
        <v/>
      </c>
      <c r="V196" s="29">
        <f>ROUND((N196*G196)-K196+P196, 2)</f>
        <v/>
      </c>
      <c r="W196" s="29">
        <f>ROUND(P196-U196, 2)</f>
        <v/>
      </c>
      <c r="X196" s="29">
        <f>ROUND(V196+W196, 2)</f>
        <v/>
      </c>
      <c r="Y196" s="29">
        <f>ROUND((N196*G196+P196+M196)-K196, 2)</f>
        <v/>
      </c>
      <c r="Z196" s="30">
        <f>IF(K196&gt;0, Y196/K196, 0)</f>
        <v/>
      </c>
    </row>
    <row r="197">
      <c r="A197" s="20" t="inlineStr">
        <is>
          <t>0716-0001</t>
        </is>
      </c>
      <c r="B197" s="21" t="inlineStr">
        <is>
          <t>Mayoristas Asociados en Servicio Celular SA de CV</t>
        </is>
      </c>
      <c r="C197" s="21" t="inlineStr">
        <is>
          <t>Wrangler Unlimited Rubicon</t>
        </is>
      </c>
      <c r="D197" s="20" t="inlineStr">
        <is>
          <t>ACTIVO</t>
        </is>
      </c>
      <c r="E197" s="20" t="inlineStr">
        <is>
          <t>2025-09-15</t>
        </is>
      </c>
      <c r="F197" s="20" t="inlineStr">
        <is>
          <t>2027-09-15</t>
        </is>
      </c>
      <c r="G197" s="22" t="n">
        <v>24</v>
      </c>
      <c r="H197" s="23" t="n">
        <v>1101177.59</v>
      </c>
      <c r="I197" s="24" t="n">
        <v>0.3</v>
      </c>
      <c r="J197" s="23">
        <f>ROUND(H197*I197, 2)</f>
        <v/>
      </c>
      <c r="K197" s="23">
        <f>ROUND(H197-J197, 2)</f>
        <v/>
      </c>
      <c r="L197" s="24" t="n">
        <v>0.02</v>
      </c>
      <c r="M197" s="23">
        <f>ROUND(H197*L197, 2)</f>
        <v/>
      </c>
      <c r="N197" s="23" t="n">
        <v>36916.59</v>
      </c>
      <c r="O197" s="24" t="n">
        <v>0.2</v>
      </c>
      <c r="P197" s="23">
        <f>ROUND(H197*O197, 2)</f>
        <v/>
      </c>
      <c r="Q197" s="25" t="n">
        <v>0.02611444</v>
      </c>
      <c r="R197" s="25">
        <f>IFERROR(RATE(G197, -N197, K197, -P197), Q197)</f>
        <v/>
      </c>
      <c r="S197" s="25">
        <f>Q197*12</f>
        <v/>
      </c>
      <c r="T197" s="25">
        <f>((1+Q197)^12)-1</f>
        <v/>
      </c>
      <c r="U197" s="23">
        <f>IF(Q197&gt;0, ROUND(P197/((1+Q197)^G197), 2), P197)</f>
        <v/>
      </c>
      <c r="V197" s="23">
        <f>ROUND((N197*G197)-K197+P197, 2)</f>
        <v/>
      </c>
      <c r="W197" s="23">
        <f>ROUND(P197-U197, 2)</f>
        <v/>
      </c>
      <c r="X197" s="23">
        <f>ROUND(V197+W197, 2)</f>
        <v/>
      </c>
      <c r="Y197" s="23">
        <f>ROUND((N197*G197+P197+M197)-K197, 2)</f>
        <v/>
      </c>
      <c r="Z197" s="24">
        <f>IF(K197&gt;0, Y197/K197, 0)</f>
        <v/>
      </c>
    </row>
    <row r="198">
      <c r="A198" s="26" t="inlineStr">
        <is>
          <t>0716-0002</t>
        </is>
      </c>
      <c r="B198" s="27" t="inlineStr">
        <is>
          <t>Mayoristas Asociados en Servicio Celular SA de CV</t>
        </is>
      </c>
      <c r="C198" s="27" t="inlineStr">
        <is>
          <t>EX30</t>
        </is>
      </c>
      <c r="D198" s="26" t="inlineStr">
        <is>
          <t>ACTIVO</t>
        </is>
      </c>
      <c r="E198" s="26" t="inlineStr">
        <is>
          <t>2025-10-08</t>
        </is>
      </c>
      <c r="F198" s="26" t="inlineStr">
        <is>
          <t>2027-10-08</t>
        </is>
      </c>
      <c r="G198" s="28" t="n">
        <v>24</v>
      </c>
      <c r="H198" s="29" t="n">
        <v>680087.9300000001</v>
      </c>
      <c r="I198" s="30" t="n">
        <v>0.3</v>
      </c>
      <c r="J198" s="29">
        <f>ROUND(H198*I198, 2)</f>
        <v/>
      </c>
      <c r="K198" s="29">
        <f>ROUND(H198-J198, 2)</f>
        <v/>
      </c>
      <c r="L198" s="30" t="n">
        <v>0.02</v>
      </c>
      <c r="M198" s="29">
        <f>ROUND(H198*L198, 2)</f>
        <v/>
      </c>
      <c r="N198" s="29" t="n">
        <v>22813.11</v>
      </c>
      <c r="O198" s="30" t="n">
        <v>0.2</v>
      </c>
      <c r="P198" s="29">
        <f>ROUND(H198*O198, 2)</f>
        <v/>
      </c>
      <c r="Q198" s="31" t="n">
        <v>0.02615302</v>
      </c>
      <c r="R198" s="31">
        <f>IFERROR(RATE(G198, -N198, K198, -P198), Q198)</f>
        <v/>
      </c>
      <c r="S198" s="31">
        <f>Q198*12</f>
        <v/>
      </c>
      <c r="T198" s="31">
        <f>((1+Q198)^12)-1</f>
        <v/>
      </c>
      <c r="U198" s="29">
        <f>IF(Q198&gt;0, ROUND(P198/((1+Q198)^G198), 2), P198)</f>
        <v/>
      </c>
      <c r="V198" s="29">
        <f>ROUND((N198*G198)-K198+P198, 2)</f>
        <v/>
      </c>
      <c r="W198" s="29">
        <f>ROUND(P198-U198, 2)</f>
        <v/>
      </c>
      <c r="X198" s="29">
        <f>ROUND(V198+W198, 2)</f>
        <v/>
      </c>
      <c r="Y198" s="29">
        <f>ROUND((N198*G198+P198+M198)-K198, 2)</f>
        <v/>
      </c>
      <c r="Z198" s="30">
        <f>IF(K198&gt;0, Y198/K198, 0)</f>
        <v/>
      </c>
    </row>
    <row r="199">
      <c r="A199" s="20" t="inlineStr">
        <is>
          <t>0716-0003</t>
        </is>
      </c>
      <c r="B199" s="21" t="inlineStr">
        <is>
          <t>Mayoristas Asociados en Servicio Celular SA de CV</t>
        </is>
      </c>
      <c r="C199" s="21" t="inlineStr">
        <is>
          <t>Bronco</t>
        </is>
      </c>
      <c r="D199" s="20" t="inlineStr">
        <is>
          <t>ACTIVO</t>
        </is>
      </c>
      <c r="E199" s="20" t="inlineStr">
        <is>
          <t>2025-10-08</t>
        </is>
      </c>
      <c r="F199" s="20" t="inlineStr">
        <is>
          <t>2027-10-08</t>
        </is>
      </c>
      <c r="G199" s="22" t="n">
        <v>24</v>
      </c>
      <c r="H199" s="23" t="n">
        <v>655172.41</v>
      </c>
      <c r="I199" s="24" t="n">
        <v>0.3</v>
      </c>
      <c r="J199" s="23">
        <f>ROUND(H199*I199, 2)</f>
        <v/>
      </c>
      <c r="K199" s="23">
        <f>ROUND(H199-J199, 2)</f>
        <v/>
      </c>
      <c r="L199" s="24" t="n">
        <v>0.02</v>
      </c>
      <c r="M199" s="23">
        <f>ROUND(H199*L199, 2)</f>
        <v/>
      </c>
      <c r="N199" s="23" t="n">
        <v>21977.34</v>
      </c>
      <c r="O199" s="24" t="n">
        <v>0.2</v>
      </c>
      <c r="P199" s="23">
        <f>ROUND(H199*O199, 2)</f>
        <v/>
      </c>
      <c r="Q199" s="25" t="n">
        <v>0.02615302</v>
      </c>
      <c r="R199" s="25">
        <f>IFERROR(RATE(G199, -N199, K199, -P199), Q199)</f>
        <v/>
      </c>
      <c r="S199" s="25">
        <f>Q199*12</f>
        <v/>
      </c>
      <c r="T199" s="25">
        <f>((1+Q199)^12)-1</f>
        <v/>
      </c>
      <c r="U199" s="23">
        <f>IF(Q199&gt;0, ROUND(P199/((1+Q199)^G199), 2), P199)</f>
        <v/>
      </c>
      <c r="V199" s="23">
        <f>ROUND((N199*G199)-K199+P199, 2)</f>
        <v/>
      </c>
      <c r="W199" s="23">
        <f>ROUND(P199-U199, 2)</f>
        <v/>
      </c>
      <c r="X199" s="23">
        <f>ROUND(V199+W199, 2)</f>
        <v/>
      </c>
      <c r="Y199" s="23">
        <f>ROUND((N199*G199+P199+M199)-K199, 2)</f>
        <v/>
      </c>
      <c r="Z199" s="24">
        <f>IF(K199&gt;0, Y199/K199, 0)</f>
        <v/>
      </c>
    </row>
    <row r="200">
      <c r="A200" s="26" t="inlineStr">
        <is>
          <t>0717-0001</t>
        </is>
      </c>
      <c r="B200" s="27" t="inlineStr">
        <is>
          <t>Refaccionaria San Diego SA de CV</t>
        </is>
      </c>
      <c r="C200" s="27" t="inlineStr">
        <is>
          <t>Partner Rapid</t>
        </is>
      </c>
      <c r="D200" s="26" t="inlineStr">
        <is>
          <t>ACTIVO</t>
        </is>
      </c>
      <c r="E200" s="26" t="inlineStr">
        <is>
          <t>2025-09-10</t>
        </is>
      </c>
      <c r="F200" s="26" t="inlineStr">
        <is>
          <t>2029-09-10</t>
        </is>
      </c>
      <c r="G200" s="28" t="n">
        <v>48</v>
      </c>
      <c r="H200" s="29" t="n">
        <v>257672.41</v>
      </c>
      <c r="I200" s="30" t="n">
        <v>0.2</v>
      </c>
      <c r="J200" s="29">
        <f>ROUND(H200*I200, 2)</f>
        <v/>
      </c>
      <c r="K200" s="29">
        <f>ROUND(H200-J200, 2)</f>
        <v/>
      </c>
      <c r="L200" s="30" t="n">
        <v>0.02</v>
      </c>
      <c r="M200" s="29">
        <f>ROUND(H200*L200, 2)</f>
        <v/>
      </c>
      <c r="N200" s="29" t="n">
        <v>7422.77</v>
      </c>
      <c r="O200" s="30" t="n">
        <v>0.1</v>
      </c>
      <c r="P200" s="29">
        <f>ROUND(H200*O200, 2)</f>
        <v/>
      </c>
      <c r="Q200" s="31" t="n">
        <v>0.02686004</v>
      </c>
      <c r="R200" s="31">
        <f>IFERROR(RATE(G200, -N200, K200, -P200), Q200)</f>
        <v/>
      </c>
      <c r="S200" s="31">
        <f>Q200*12</f>
        <v/>
      </c>
      <c r="T200" s="31">
        <f>((1+Q200)^12)-1</f>
        <v/>
      </c>
      <c r="U200" s="29">
        <f>IF(Q200&gt;0, ROUND(P200/((1+Q200)^G200), 2), P200)</f>
        <v/>
      </c>
      <c r="V200" s="29">
        <f>ROUND((N200*G200)-K200+P200, 2)</f>
        <v/>
      </c>
      <c r="W200" s="29">
        <f>ROUND(P200-U200, 2)</f>
        <v/>
      </c>
      <c r="X200" s="29">
        <f>ROUND(V200+W200, 2)</f>
        <v/>
      </c>
      <c r="Y200" s="29">
        <f>ROUND((N200*G200+P200+M200)-K200, 2)</f>
        <v/>
      </c>
      <c r="Z200" s="30">
        <f>IF(K200&gt;0, Y200/K200, 0)</f>
        <v/>
      </c>
    </row>
    <row r="201">
      <c r="A201" s="20" t="inlineStr">
        <is>
          <t>0718-0001</t>
        </is>
      </c>
      <c r="B201" s="21" t="inlineStr">
        <is>
          <t>Capriberrys</t>
        </is>
      </c>
      <c r="C201" s="21" t="inlineStr">
        <is>
          <t>Jt Mojave</t>
        </is>
      </c>
      <c r="D201" s="20" t="inlineStr">
        <is>
          <t>ACTIVO</t>
        </is>
      </c>
      <c r="E201" s="20" t="inlineStr">
        <is>
          <t>2025-09-11</t>
        </is>
      </c>
      <c r="F201" s="20" t="inlineStr">
        <is>
          <t>2027-09-11</t>
        </is>
      </c>
      <c r="G201" s="22" t="n">
        <v>24</v>
      </c>
      <c r="H201" s="23" t="n">
        <v>1300775.86</v>
      </c>
      <c r="I201" s="24" t="n">
        <v>0.4</v>
      </c>
      <c r="J201" s="23">
        <f>ROUND(H201*I201, 2)</f>
        <v/>
      </c>
      <c r="K201" s="23">
        <f>ROUND(H201-J201, 2)</f>
        <v/>
      </c>
      <c r="L201" s="24" t="n">
        <v>0.02</v>
      </c>
      <c r="M201" s="23">
        <f>ROUND(H201*L201, 2)</f>
        <v/>
      </c>
      <c r="N201" s="23" t="n">
        <v>39293.93</v>
      </c>
      <c r="O201" s="24" t="n">
        <v>0.1</v>
      </c>
      <c r="P201" s="23">
        <f>ROUND(H201*O201, 2)</f>
        <v/>
      </c>
      <c r="Q201" s="25" t="n">
        <v>0.02439175</v>
      </c>
      <c r="R201" s="25">
        <f>IFERROR(RATE(G201, -N201, K201, -P201), Q201)</f>
        <v/>
      </c>
      <c r="S201" s="25">
        <f>Q201*12</f>
        <v/>
      </c>
      <c r="T201" s="25">
        <f>((1+Q201)^12)-1</f>
        <v/>
      </c>
      <c r="U201" s="23">
        <f>IF(Q201&gt;0, ROUND(P201/((1+Q201)^G201), 2), P201)</f>
        <v/>
      </c>
      <c r="V201" s="23">
        <f>ROUND((N201*G201)-K201+P201, 2)</f>
        <v/>
      </c>
      <c r="W201" s="23">
        <f>ROUND(P201-U201, 2)</f>
        <v/>
      </c>
      <c r="X201" s="23">
        <f>ROUND(V201+W201, 2)</f>
        <v/>
      </c>
      <c r="Y201" s="23">
        <f>ROUND((N201*G201+P201+M201)-K201, 2)</f>
        <v/>
      </c>
      <c r="Z201" s="24">
        <f>IF(K201&gt;0, Y201/K201, 0)</f>
        <v/>
      </c>
    </row>
    <row r="202">
      <c r="A202" s="26" t="inlineStr">
        <is>
          <t>0719-0001</t>
        </is>
      </c>
      <c r="B202" s="27" t="inlineStr">
        <is>
          <t>Maria de Los Angeles Lopez Janeiro</t>
        </is>
      </c>
      <c r="C202" s="27" t="inlineStr">
        <is>
          <t>Rifter</t>
        </is>
      </c>
      <c r="D202" s="26" t="inlineStr">
        <is>
          <t>ACTIVO</t>
        </is>
      </c>
      <c r="E202" s="26" t="inlineStr">
        <is>
          <t>2025-09-30</t>
        </is>
      </c>
      <c r="F202" s="26" t="inlineStr">
        <is>
          <t>2028-09-30</t>
        </is>
      </c>
      <c r="G202" s="28" t="n">
        <v>36</v>
      </c>
      <c r="H202" s="29" t="n">
        <v>428362.07</v>
      </c>
      <c r="I202" s="30" t="n">
        <v>0.3</v>
      </c>
      <c r="J202" s="29">
        <f>ROUND(H202*I202, 2)</f>
        <v/>
      </c>
      <c r="K202" s="29">
        <f>ROUND(H202-J202, 2)</f>
        <v/>
      </c>
      <c r="L202" s="30" t="n">
        <v>0.02</v>
      </c>
      <c r="M202" s="29">
        <f>ROUND(H202*L202, 2)</f>
        <v/>
      </c>
      <c r="N202" s="29" t="n">
        <v>12314.83</v>
      </c>
      <c r="O202" s="30" t="n">
        <v>0.1</v>
      </c>
      <c r="P202" s="29">
        <f>ROUND(H202*O202, 2)</f>
        <v/>
      </c>
      <c r="Q202" s="31" t="n">
        <v>0.02656523</v>
      </c>
      <c r="R202" s="31">
        <f>IFERROR(RATE(G202, -N202, K202, -P202), Q202)</f>
        <v/>
      </c>
      <c r="S202" s="31">
        <f>Q202*12</f>
        <v/>
      </c>
      <c r="T202" s="31">
        <f>((1+Q202)^12)-1</f>
        <v/>
      </c>
      <c r="U202" s="29">
        <f>IF(Q202&gt;0, ROUND(P202/((1+Q202)^G202), 2), P202)</f>
        <v/>
      </c>
      <c r="V202" s="29">
        <f>ROUND((N202*G202)-K202+P202, 2)</f>
        <v/>
      </c>
      <c r="W202" s="29">
        <f>ROUND(P202-U202, 2)</f>
        <v/>
      </c>
      <c r="X202" s="29">
        <f>ROUND(V202+W202, 2)</f>
        <v/>
      </c>
      <c r="Y202" s="29">
        <f>ROUND((N202*G202+P202+M202)-K202, 2)</f>
        <v/>
      </c>
      <c r="Z202" s="30">
        <f>IF(K202&gt;0, Y202/K202, 0)</f>
        <v/>
      </c>
    </row>
    <row r="203">
      <c r="A203" s="20" t="inlineStr">
        <is>
          <t>0720-0001</t>
        </is>
      </c>
      <c r="B203" s="21" t="inlineStr">
        <is>
          <t>Forrajes Los 6 Hermanos S.P.R. DE R.L.</t>
        </is>
      </c>
      <c r="C203" s="21" t="inlineStr">
        <is>
          <t>Shark</t>
        </is>
      </c>
      <c r="D203" s="20" t="inlineStr">
        <is>
          <t>ACTIVO</t>
        </is>
      </c>
      <c r="E203" s="20" t="inlineStr">
        <is>
          <t>2025-10-01</t>
        </is>
      </c>
      <c r="F203" s="20" t="inlineStr">
        <is>
          <t>2028-10-01</t>
        </is>
      </c>
      <c r="G203" s="22" t="n">
        <v>36</v>
      </c>
      <c r="H203" s="23" t="n">
        <v>775844.83</v>
      </c>
      <c r="I203" s="24" t="n">
        <v>0.1</v>
      </c>
      <c r="J203" s="23">
        <f>ROUND(H203*I203, 2)</f>
        <v/>
      </c>
      <c r="K203" s="23">
        <f>ROUND(H203-J203, 2)</f>
        <v/>
      </c>
      <c r="L203" s="24" t="n">
        <v>0.02</v>
      </c>
      <c r="M203" s="23">
        <f>ROUND(H203*L203, 2)</f>
        <v/>
      </c>
      <c r="N203" s="23" t="n">
        <v>27797.92</v>
      </c>
      <c r="O203" s="24" t="n">
        <v>0.4</v>
      </c>
      <c r="P203" s="23">
        <f>ROUND(H203*O203, 2)</f>
        <v/>
      </c>
      <c r="Q203" s="25" t="n">
        <v>0.03124756</v>
      </c>
      <c r="R203" s="25">
        <f>IFERROR(RATE(G203, -N203, K203, -P203), Q203)</f>
        <v/>
      </c>
      <c r="S203" s="25">
        <f>Q203*12</f>
        <v/>
      </c>
      <c r="T203" s="25">
        <f>((1+Q203)^12)-1</f>
        <v/>
      </c>
      <c r="U203" s="23">
        <f>IF(Q203&gt;0, ROUND(P203/((1+Q203)^G203), 2), P203)</f>
        <v/>
      </c>
      <c r="V203" s="23">
        <f>ROUND((N203*G203)-K203+P203, 2)</f>
        <v/>
      </c>
      <c r="W203" s="23">
        <f>ROUND(P203-U203, 2)</f>
        <v/>
      </c>
      <c r="X203" s="23">
        <f>ROUND(V203+W203, 2)</f>
        <v/>
      </c>
      <c r="Y203" s="23">
        <f>ROUND((N203*G203+P203+M203)-K203, 2)</f>
        <v/>
      </c>
      <c r="Z203" s="24">
        <f>IF(K203&gt;0, Y203/K203, 0)</f>
        <v/>
      </c>
    </row>
    <row r="204">
      <c r="A204" s="26" t="inlineStr">
        <is>
          <t>0721-0001</t>
        </is>
      </c>
      <c r="B204" s="27" t="inlineStr">
        <is>
          <t>Ricardo Ortiz Guzman</t>
        </is>
      </c>
      <c r="C204" s="27" t="inlineStr">
        <is>
          <t>Rifter</t>
        </is>
      </c>
      <c r="D204" s="26" t="inlineStr">
        <is>
          <t>ACTIVO</t>
        </is>
      </c>
      <c r="E204" s="26" t="inlineStr">
        <is>
          <t>2025-10-09</t>
        </is>
      </c>
      <c r="F204" s="26" t="inlineStr">
        <is>
          <t>2029-10-09</t>
        </is>
      </c>
      <c r="G204" s="28" t="n">
        <v>48</v>
      </c>
      <c r="H204" s="29" t="n">
        <v>428362.07</v>
      </c>
      <c r="I204" s="30" t="n">
        <v>0.3</v>
      </c>
      <c r="J204" s="29">
        <f>ROUND(H204*I204, 2)</f>
        <v/>
      </c>
      <c r="K204" s="29">
        <f>ROUND(H204-J204, 2)</f>
        <v/>
      </c>
      <c r="L204" s="30" t="n">
        <v>0.02</v>
      </c>
      <c r="M204" s="29">
        <f>ROUND(H204*L204, 2)</f>
        <v/>
      </c>
      <c r="N204" s="29" t="n">
        <v>10758.24</v>
      </c>
      <c r="O204" s="30" t="n">
        <v>0.1</v>
      </c>
      <c r="P204" s="29">
        <f>ROUND(H204*O204, 2)</f>
        <v/>
      </c>
      <c r="Q204" s="31" t="n">
        <v>0.02693492</v>
      </c>
      <c r="R204" s="31">
        <f>IFERROR(RATE(G204, -N204, K204, -P204), Q204)</f>
        <v/>
      </c>
      <c r="S204" s="31">
        <f>Q204*12</f>
        <v/>
      </c>
      <c r="T204" s="31">
        <f>((1+Q204)^12)-1</f>
        <v/>
      </c>
      <c r="U204" s="29">
        <f>IF(Q204&gt;0, ROUND(P204/((1+Q204)^G204), 2), P204)</f>
        <v/>
      </c>
      <c r="V204" s="29">
        <f>ROUND((N204*G204)-K204+P204, 2)</f>
        <v/>
      </c>
      <c r="W204" s="29">
        <f>ROUND(P204-U204, 2)</f>
        <v/>
      </c>
      <c r="X204" s="29">
        <f>ROUND(V204+W204, 2)</f>
        <v/>
      </c>
      <c r="Y204" s="29">
        <f>ROUND((N204*G204+P204+M204)-K204, 2)</f>
        <v/>
      </c>
      <c r="Z204" s="30">
        <f>IF(K204&gt;0, Y204/K204, 0)</f>
        <v/>
      </c>
    </row>
    <row r="205">
      <c r="A205" s="20" t="inlineStr">
        <is>
          <t>0721-0002</t>
        </is>
      </c>
      <c r="B205" s="21" t="inlineStr">
        <is>
          <t>Ricardo Ortiz Guzman</t>
        </is>
      </c>
      <c r="C205" s="21" t="inlineStr">
        <is>
          <t>CX5</t>
        </is>
      </c>
      <c r="D205" s="20" t="inlineStr">
        <is>
          <t>ACTIVO</t>
        </is>
      </c>
      <c r="E205" s="20" t="inlineStr">
        <is>
          <t>2025-10-31</t>
        </is>
      </c>
      <c r="F205" s="20" t="inlineStr">
        <is>
          <t>2029-10-31</t>
        </is>
      </c>
      <c r="G205" s="22" t="n">
        <v>48</v>
      </c>
      <c r="H205" s="23" t="n">
        <v>527500</v>
      </c>
      <c r="I205" s="24" t="n">
        <v>0.2</v>
      </c>
      <c r="J205" s="23">
        <f>ROUND(H205*I205, 2)</f>
        <v/>
      </c>
      <c r="K205" s="23">
        <f>ROUND(H205-J205, 2)</f>
        <v/>
      </c>
      <c r="L205" s="24" t="n">
        <v>0.02</v>
      </c>
      <c r="M205" s="23">
        <f>ROUND(H205*L205, 2)</f>
        <v/>
      </c>
      <c r="N205" s="23" t="n">
        <v>15216.28</v>
      </c>
      <c r="O205" s="24" t="n">
        <v>0.1</v>
      </c>
      <c r="P205" s="23">
        <f>ROUND(H205*O205, 2)</f>
        <v/>
      </c>
      <c r="Q205" s="25" t="n">
        <v>0.0269254</v>
      </c>
      <c r="R205" s="25">
        <f>IFERROR(RATE(G205, -N205, K205, -P205), Q205)</f>
        <v/>
      </c>
      <c r="S205" s="25">
        <f>Q205*12</f>
        <v/>
      </c>
      <c r="T205" s="25">
        <f>((1+Q205)^12)-1</f>
        <v/>
      </c>
      <c r="U205" s="23">
        <f>IF(Q205&gt;0, ROUND(P205/((1+Q205)^G205), 2), P205)</f>
        <v/>
      </c>
      <c r="V205" s="23">
        <f>ROUND((N205*G205)-K205+P205, 2)</f>
        <v/>
      </c>
      <c r="W205" s="23">
        <f>ROUND(P205-U205, 2)</f>
        <v/>
      </c>
      <c r="X205" s="23">
        <f>ROUND(V205+W205, 2)</f>
        <v/>
      </c>
      <c r="Y205" s="23">
        <f>ROUND((N205*G205+P205+M205)-K205, 2)</f>
        <v/>
      </c>
      <c r="Z205" s="24">
        <f>IF(K205&gt;0, Y205/K205, 0)</f>
        <v/>
      </c>
    </row>
    <row r="206">
      <c r="A206" s="26" t="inlineStr">
        <is>
          <t>0722-0001</t>
        </is>
      </c>
      <c r="B206" s="27" t="inlineStr">
        <is>
          <t>Tortas Ro S. DE R.L. DE C.V.</t>
        </is>
      </c>
      <c r="C206" s="27" t="inlineStr">
        <is>
          <t>Partner</t>
        </is>
      </c>
      <c r="D206" s="26" t="inlineStr">
        <is>
          <t>ACTIVO</t>
        </is>
      </c>
      <c r="E206" s="26" t="inlineStr">
        <is>
          <t>2025-10-13</t>
        </is>
      </c>
      <c r="F206" s="26" t="inlineStr">
        <is>
          <t>2027-10-13</t>
        </is>
      </c>
      <c r="G206" s="28" t="n">
        <v>24</v>
      </c>
      <c r="H206" s="29" t="n">
        <v>258534.48</v>
      </c>
      <c r="I206" s="30" t="n">
        <v>0.3</v>
      </c>
      <c r="J206" s="29">
        <f>ROUND(H206*I206, 2)</f>
        <v/>
      </c>
      <c r="K206" s="29">
        <f>ROUND(H206-J206, 2)</f>
        <v/>
      </c>
      <c r="L206" s="30" t="n">
        <v>0.027</v>
      </c>
      <c r="M206" s="29">
        <f>ROUND(H206*L206, 2)</f>
        <v/>
      </c>
      <c r="N206" s="29" t="n">
        <v>8672.370000000001</v>
      </c>
      <c r="O206" s="30" t="n">
        <v>0.2</v>
      </c>
      <c r="P206" s="29">
        <f>ROUND(H206*O206, 2)</f>
        <v/>
      </c>
      <c r="Q206" s="31" t="n">
        <v>0.02615301</v>
      </c>
      <c r="R206" s="31">
        <f>IFERROR(RATE(G206, -N206, K206, -P206), Q206)</f>
        <v/>
      </c>
      <c r="S206" s="31">
        <f>Q206*12</f>
        <v/>
      </c>
      <c r="T206" s="31">
        <f>((1+Q206)^12)-1</f>
        <v/>
      </c>
      <c r="U206" s="29">
        <f>IF(Q206&gt;0, ROUND(P206/((1+Q206)^G206), 2), P206)</f>
        <v/>
      </c>
      <c r="V206" s="29">
        <f>ROUND((N206*G206)-K206+P206, 2)</f>
        <v/>
      </c>
      <c r="W206" s="29">
        <f>ROUND(P206-U206, 2)</f>
        <v/>
      </c>
      <c r="X206" s="29">
        <f>ROUND(V206+W206, 2)</f>
        <v/>
      </c>
      <c r="Y206" s="29">
        <f>ROUND((N206*G206+P206+M206)-K206, 2)</f>
        <v/>
      </c>
      <c r="Z206" s="30">
        <f>IF(K206&gt;0, Y206/K206, 0)</f>
        <v/>
      </c>
    </row>
    <row r="207">
      <c r="A207" s="20" t="inlineStr">
        <is>
          <t>0723-0001</t>
        </is>
      </c>
      <c r="B207" s="21" t="inlineStr">
        <is>
          <t>Sandra Inez Velazquez Altamirano</t>
        </is>
      </c>
      <c r="C207" s="21" t="inlineStr">
        <is>
          <t>Sierra Denali</t>
        </is>
      </c>
      <c r="D207" s="20" t="inlineStr">
        <is>
          <t>ACTIVO</t>
        </is>
      </c>
      <c r="E207" s="20" t="inlineStr">
        <is>
          <t>2025-10-17</t>
        </is>
      </c>
      <c r="F207" s="20" t="inlineStr">
        <is>
          <t>2028-10-17</t>
        </is>
      </c>
      <c r="G207" s="22" t="n">
        <v>36</v>
      </c>
      <c r="H207" s="23" t="n">
        <v>1551206.9</v>
      </c>
      <c r="I207" s="24" t="n">
        <v>0.1</v>
      </c>
      <c r="J207" s="23">
        <f>ROUND(H207*I207, 2)</f>
        <v/>
      </c>
      <c r="K207" s="23">
        <f>ROUND(H207-J207, 2)</f>
        <v/>
      </c>
      <c r="L207" s="24" t="n">
        <v>0.02</v>
      </c>
      <c r="M207" s="23">
        <f>ROUND(H207*L207, 2)</f>
        <v/>
      </c>
      <c r="N207" s="23" t="n">
        <v>55578.55</v>
      </c>
      <c r="O207" s="24" t="n">
        <v>0.2</v>
      </c>
      <c r="P207" s="23">
        <f>ROUND(H207*O207, 2)</f>
        <v/>
      </c>
      <c r="Q207" s="25" t="n">
        <v>0.0266784</v>
      </c>
      <c r="R207" s="25">
        <f>IFERROR(RATE(G207, -N207, K207, -P207), Q207)</f>
        <v/>
      </c>
      <c r="S207" s="25">
        <f>Q207*12</f>
        <v/>
      </c>
      <c r="T207" s="25">
        <f>((1+Q207)^12)-1</f>
        <v/>
      </c>
      <c r="U207" s="23">
        <f>IF(Q207&gt;0, ROUND(P207/((1+Q207)^G207), 2), P207)</f>
        <v/>
      </c>
      <c r="V207" s="23">
        <f>ROUND((N207*G207)-K207+P207, 2)</f>
        <v/>
      </c>
      <c r="W207" s="23">
        <f>ROUND(P207-U207, 2)</f>
        <v/>
      </c>
      <c r="X207" s="23">
        <f>ROUND(V207+W207, 2)</f>
        <v/>
      </c>
      <c r="Y207" s="23">
        <f>ROUND((N207*G207+P207+M207)-K207, 2)</f>
        <v/>
      </c>
      <c r="Z207" s="24">
        <f>IF(K207&gt;0, Y207/K207, 0)</f>
        <v/>
      </c>
    </row>
    <row r="208">
      <c r="A208" s="26" t="inlineStr">
        <is>
          <t>0724-0001</t>
        </is>
      </c>
      <c r="B208" s="27" t="inlineStr">
        <is>
          <t>Victor Merced Brizuela Aguilar</t>
        </is>
      </c>
      <c r="C208" s="27" t="inlineStr">
        <is>
          <t>Tiggo 7 Plus</t>
        </is>
      </c>
      <c r="D208" s="26" t="inlineStr">
        <is>
          <t>ACTIVO</t>
        </is>
      </c>
      <c r="E208" s="26" t="inlineStr">
        <is>
          <t>2025-10-23</t>
        </is>
      </c>
      <c r="F208" s="26" t="inlineStr">
        <is>
          <t>2029-10-23</t>
        </is>
      </c>
      <c r="G208" s="28" t="n">
        <v>48</v>
      </c>
      <c r="H208" s="29" t="n">
        <v>430948.28</v>
      </c>
      <c r="I208" s="30" t="n">
        <v>0.3</v>
      </c>
      <c r="J208" s="29">
        <f>ROUND(H208*I208, 2)</f>
        <v/>
      </c>
      <c r="K208" s="29">
        <f>ROUND(H208-J208, 2)</f>
        <v/>
      </c>
      <c r="L208" s="30" t="n">
        <v>0.02</v>
      </c>
      <c r="M208" s="29">
        <f>ROUND(H208*L208, 2)</f>
        <v/>
      </c>
      <c r="N208" s="29" t="n">
        <v>10823.19</v>
      </c>
      <c r="O208" s="30" t="n">
        <v>0.1</v>
      </c>
      <c r="P208" s="29">
        <f>ROUND(H208*O208, 2)</f>
        <v/>
      </c>
      <c r="Q208" s="31" t="n">
        <v>0.0269349</v>
      </c>
      <c r="R208" s="31">
        <f>IFERROR(RATE(G208, -N208, K208, -P208), Q208)</f>
        <v/>
      </c>
      <c r="S208" s="31">
        <f>Q208*12</f>
        <v/>
      </c>
      <c r="T208" s="31">
        <f>((1+Q208)^12)-1</f>
        <v/>
      </c>
      <c r="U208" s="29">
        <f>IF(Q208&gt;0, ROUND(P208/((1+Q208)^G208), 2), P208)</f>
        <v/>
      </c>
      <c r="V208" s="29">
        <f>ROUND((N208*G208)-K208+P208, 2)</f>
        <v/>
      </c>
      <c r="W208" s="29">
        <f>ROUND(P208-U208, 2)</f>
        <v/>
      </c>
      <c r="X208" s="29">
        <f>ROUND(V208+W208, 2)</f>
        <v/>
      </c>
      <c r="Y208" s="29">
        <f>ROUND((N208*G208+P208+M208)-K208, 2)</f>
        <v/>
      </c>
      <c r="Z208" s="30">
        <f>IF(K208&gt;0, Y208/K208, 0)</f>
        <v/>
      </c>
    </row>
    <row r="209">
      <c r="A209" s="20" t="inlineStr">
        <is>
          <t>0725-0001</t>
        </is>
      </c>
      <c r="B209" s="21" t="inlineStr">
        <is>
          <t>Octavio Cortes Flores</t>
        </is>
      </c>
      <c r="C209" s="21" t="inlineStr">
        <is>
          <t>Rifter Allure</t>
        </is>
      </c>
      <c r="D209" s="20" t="inlineStr">
        <is>
          <t>ACTIVO</t>
        </is>
      </c>
      <c r="E209" s="20" t="inlineStr">
        <is>
          <t>2025-10-29</t>
        </is>
      </c>
      <c r="F209" s="20" t="inlineStr">
        <is>
          <t>2028-10-29</t>
        </is>
      </c>
      <c r="G209" s="22" t="n">
        <v>36</v>
      </c>
      <c r="H209" s="23" t="n">
        <v>405086.21</v>
      </c>
      <c r="I209" s="24" t="n">
        <v>0.2</v>
      </c>
      <c r="J209" s="23">
        <f>ROUND(H209*I209, 2)</f>
        <v/>
      </c>
      <c r="K209" s="23">
        <f>ROUND(H209-J209, 2)</f>
        <v/>
      </c>
      <c r="L209" s="24" t="n">
        <v>0.02</v>
      </c>
      <c r="M209" s="23">
        <f>ROUND(H209*L209, 2)</f>
        <v/>
      </c>
      <c r="N209" s="23" t="n">
        <v>13404.56</v>
      </c>
      <c r="O209" s="24" t="n">
        <v>0.1</v>
      </c>
      <c r="P209" s="23">
        <f>ROUND(H209*O209, 2)</f>
        <v/>
      </c>
      <c r="Q209" s="25" t="n">
        <v>0.02655341</v>
      </c>
      <c r="R209" s="25">
        <f>IFERROR(RATE(G209, -N209, K209, -P209), Q209)</f>
        <v/>
      </c>
      <c r="S209" s="25">
        <f>Q209*12</f>
        <v/>
      </c>
      <c r="T209" s="25">
        <f>((1+Q209)^12)-1</f>
        <v/>
      </c>
      <c r="U209" s="23">
        <f>IF(Q209&gt;0, ROUND(P209/((1+Q209)^G209), 2), P209)</f>
        <v/>
      </c>
      <c r="V209" s="23">
        <f>ROUND((N209*G209)-K209+P209, 2)</f>
        <v/>
      </c>
      <c r="W209" s="23">
        <f>ROUND(P209-U209, 2)</f>
        <v/>
      </c>
      <c r="X209" s="23">
        <f>ROUND(V209+W209, 2)</f>
        <v/>
      </c>
      <c r="Y209" s="23">
        <f>ROUND((N209*G209+P209+M209)-K209, 2)</f>
        <v/>
      </c>
      <c r="Z209" s="24">
        <f>IF(K209&gt;0, Y209/K209, 0)</f>
        <v/>
      </c>
    </row>
    <row r="210">
      <c r="A210" s="26" t="inlineStr">
        <is>
          <t>0726-0001</t>
        </is>
      </c>
      <c r="B210" s="27" t="inlineStr">
        <is>
          <t>Martha Viviana Anguiano Gonzalez</t>
        </is>
      </c>
      <c r="C210" s="27" t="inlineStr">
        <is>
          <t>JT Mojave</t>
        </is>
      </c>
      <c r="D210" s="26" t="inlineStr">
        <is>
          <t>ACTIVO</t>
        </is>
      </c>
      <c r="E210" s="26" t="inlineStr">
        <is>
          <t>2025-10-29</t>
        </is>
      </c>
      <c r="F210" s="26" t="inlineStr">
        <is>
          <t>2029-10-29</t>
        </is>
      </c>
      <c r="G210" s="28" t="n">
        <v>48</v>
      </c>
      <c r="H210" s="29" t="n">
        <v>1305948.28</v>
      </c>
      <c r="I210" s="30" t="n">
        <v>0.3</v>
      </c>
      <c r="J210" s="29">
        <f>ROUND(H210*I210, 2)</f>
        <v/>
      </c>
      <c r="K210" s="29">
        <f>ROUND(H210-J210, 2)</f>
        <v/>
      </c>
      <c r="L210" s="30" t="n">
        <v>0.02</v>
      </c>
      <c r="M210" s="29">
        <f>ROUND(H210*L210, 2)</f>
        <v/>
      </c>
      <c r="N210" s="29" t="n">
        <v>32798.67</v>
      </c>
      <c r="O210" s="30" t="n">
        <v>0.1</v>
      </c>
      <c r="P210" s="29">
        <f>ROUND(H210*O210, 2)</f>
        <v/>
      </c>
      <c r="Q210" s="31" t="n">
        <v>0.02693492</v>
      </c>
      <c r="R210" s="31">
        <f>IFERROR(RATE(G210, -N210, K210, -P210), Q210)</f>
        <v/>
      </c>
      <c r="S210" s="31">
        <f>Q210*12</f>
        <v/>
      </c>
      <c r="T210" s="31">
        <f>((1+Q210)^12)-1</f>
        <v/>
      </c>
      <c r="U210" s="29">
        <f>IF(Q210&gt;0, ROUND(P210/((1+Q210)^G210), 2), P210)</f>
        <v/>
      </c>
      <c r="V210" s="29">
        <f>ROUND((N210*G210)-K210+P210, 2)</f>
        <v/>
      </c>
      <c r="W210" s="29">
        <f>ROUND(P210-U210, 2)</f>
        <v/>
      </c>
      <c r="X210" s="29">
        <f>ROUND(V210+W210, 2)</f>
        <v/>
      </c>
      <c r="Y210" s="29">
        <f>ROUND((N210*G210+P210+M210)-K210, 2)</f>
        <v/>
      </c>
      <c r="Z210" s="30">
        <f>IF(K210&gt;0, Y210/K210, 0)</f>
        <v/>
      </c>
    </row>
    <row r="211">
      <c r="A211" s="20" t="inlineStr">
        <is>
          <t>0727-0001</t>
        </is>
      </c>
      <c r="B211" s="21" t="inlineStr">
        <is>
          <t>Edgar Adrian Sainz Vazquez</t>
        </is>
      </c>
      <c r="C211" s="21" t="inlineStr">
        <is>
          <t>1200 Laramie</t>
        </is>
      </c>
      <c r="D211" s="20" t="inlineStr">
        <is>
          <t>ACTIVO</t>
        </is>
      </c>
      <c r="E211" s="20" t="inlineStr">
        <is>
          <t>2025-10-31</t>
        </is>
      </c>
      <c r="F211" s="20" t="inlineStr">
        <is>
          <t>2029-10-31</t>
        </is>
      </c>
      <c r="G211" s="22" t="n">
        <v>48</v>
      </c>
      <c r="H211" s="23" t="n">
        <v>564568.97</v>
      </c>
      <c r="I211" s="24" t="n">
        <v>0.1</v>
      </c>
      <c r="J211" s="23">
        <f>ROUND(H211*I211, 2)</f>
        <v/>
      </c>
      <c r="K211" s="23">
        <f>ROUND(H211-J211, 2)</f>
        <v/>
      </c>
      <c r="L211" s="24" t="n">
        <v>0.02</v>
      </c>
      <c r="M211" s="23">
        <f>ROUND(H211*L211, 2)</f>
        <v/>
      </c>
      <c r="N211" s="23" t="n">
        <v>18375.7</v>
      </c>
      <c r="O211" s="24" t="n">
        <v>0.1</v>
      </c>
      <c r="P211" s="23">
        <f>ROUND(H211*O211, 2)</f>
        <v/>
      </c>
      <c r="Q211" s="25" t="n">
        <v>0.02687445</v>
      </c>
      <c r="R211" s="25">
        <f>IFERROR(RATE(G211, -N211, K211, -P211), Q211)</f>
        <v/>
      </c>
      <c r="S211" s="25">
        <f>Q211*12</f>
        <v/>
      </c>
      <c r="T211" s="25">
        <f>((1+Q211)^12)-1</f>
        <v/>
      </c>
      <c r="U211" s="23">
        <f>IF(Q211&gt;0, ROUND(P211/((1+Q211)^G211), 2), P211)</f>
        <v/>
      </c>
      <c r="V211" s="23">
        <f>ROUND((N211*G211)-K211+P211, 2)</f>
        <v/>
      </c>
      <c r="W211" s="23">
        <f>ROUND(P211-U211, 2)</f>
        <v/>
      </c>
      <c r="X211" s="23">
        <f>ROUND(V211+W211, 2)</f>
        <v/>
      </c>
      <c r="Y211" s="23">
        <f>ROUND((N211*G211+P211+M211)-K211, 2)</f>
        <v/>
      </c>
      <c r="Z211" s="24">
        <f>IF(K211&gt;0, Y211/K211, 0)</f>
        <v/>
      </c>
    </row>
    <row r="212">
      <c r="A212" s="26" t="inlineStr">
        <is>
          <t>0728-0001</t>
        </is>
      </c>
      <c r="B212" s="27" t="inlineStr">
        <is>
          <t>Arrendadora Tequila, S.A. de C.V.</t>
        </is>
      </c>
      <c r="C212" s="27" t="inlineStr">
        <is>
          <t>JEEP 392</t>
        </is>
      </c>
      <c r="D212" s="26" t="inlineStr">
        <is>
          <t>ACTIVO</t>
        </is>
      </c>
      <c r="E212" s="26" t="inlineStr">
        <is>
          <t>2025-11-03</t>
        </is>
      </c>
      <c r="F212" s="26" t="inlineStr">
        <is>
          <t>2028-11-03</t>
        </is>
      </c>
      <c r="G212" s="28" t="n">
        <v>36</v>
      </c>
      <c r="H212" s="29" t="n">
        <v>1868017.24</v>
      </c>
      <c r="I212" s="30" t="n">
        <v>0.2</v>
      </c>
      <c r="J212" s="29">
        <f>ROUND(H212*I212, 2)</f>
        <v/>
      </c>
      <c r="K212" s="29">
        <f>ROUND(H212-J212, 2)</f>
        <v/>
      </c>
      <c r="L212" s="30" t="n">
        <v>0.02</v>
      </c>
      <c r="M212" s="29">
        <f>ROUND(H212*L212, 2)</f>
        <v/>
      </c>
      <c r="N212" s="29" t="n">
        <v>61829.58</v>
      </c>
      <c r="O212" s="30" t="n">
        <v>0.1</v>
      </c>
      <c r="P212" s="29">
        <f>ROUND(H212*O212, 2)</f>
        <v/>
      </c>
      <c r="Q212" s="31" t="n">
        <v>0.02656826</v>
      </c>
      <c r="R212" s="31">
        <f>IFERROR(RATE(G212, -N212, K212, -P212), Q212)</f>
        <v/>
      </c>
      <c r="S212" s="31">
        <f>Q212*12</f>
        <v/>
      </c>
      <c r="T212" s="31">
        <f>((1+Q212)^12)-1</f>
        <v/>
      </c>
      <c r="U212" s="29">
        <f>IF(Q212&gt;0, ROUND(P212/((1+Q212)^G212), 2), P212)</f>
        <v/>
      </c>
      <c r="V212" s="29">
        <f>ROUND((N212*G212)-K212+P212, 2)</f>
        <v/>
      </c>
      <c r="W212" s="29">
        <f>ROUND(P212-U212, 2)</f>
        <v/>
      </c>
      <c r="X212" s="29">
        <f>ROUND(V212+W212, 2)</f>
        <v/>
      </c>
      <c r="Y212" s="29">
        <f>ROUND((N212*G212+P212+M212)-K212, 2)</f>
        <v/>
      </c>
      <c r="Z212" s="30">
        <f>IF(K212&gt;0, Y212/K212, 0)</f>
        <v/>
      </c>
    </row>
    <row r="213">
      <c r="A213" s="20" t="inlineStr">
        <is>
          <t>0729-0001</t>
        </is>
      </c>
      <c r="B213" s="21" t="inlineStr">
        <is>
          <t>Rubén Bravo Hernández</t>
        </is>
      </c>
      <c r="C213" s="21" t="inlineStr">
        <is>
          <t>Mamut T32 DC</t>
        </is>
      </c>
      <c r="D213" s="20" t="inlineStr">
        <is>
          <t>ACTIVO</t>
        </is>
      </c>
      <c r="E213" s="20" t="inlineStr">
        <is>
          <t>2025-11-11</t>
        </is>
      </c>
      <c r="F213" s="20" t="inlineStr">
        <is>
          <t>2028-11-11</t>
        </is>
      </c>
      <c r="G213" s="22" t="n">
        <v>36</v>
      </c>
      <c r="H213" s="23" t="n">
        <v>336086.21</v>
      </c>
      <c r="I213" s="24" t="n">
        <v>0.2</v>
      </c>
      <c r="J213" s="23">
        <f>ROUND(H213*I213, 2)</f>
        <v/>
      </c>
      <c r="K213" s="23">
        <f>ROUND(H213-J213, 2)</f>
        <v/>
      </c>
      <c r="L213" s="24" t="n">
        <v>0.02</v>
      </c>
      <c r="M213" s="23">
        <f>ROUND(H213*L213, 2)</f>
        <v/>
      </c>
      <c r="N213" s="23" t="n">
        <v>10581.72</v>
      </c>
      <c r="O213" s="24" t="n">
        <v>0.2</v>
      </c>
      <c r="P213" s="23">
        <f>ROUND(H213*O213, 2)</f>
        <v/>
      </c>
      <c r="Q213" s="25" t="n">
        <v>0.02669859</v>
      </c>
      <c r="R213" s="25">
        <f>IFERROR(RATE(G213, -N213, K213, -P213), Q213)</f>
        <v/>
      </c>
      <c r="S213" s="25">
        <f>Q213*12</f>
        <v/>
      </c>
      <c r="T213" s="25">
        <f>((1+Q213)^12)-1</f>
        <v/>
      </c>
      <c r="U213" s="23">
        <f>IF(Q213&gt;0, ROUND(P213/((1+Q213)^G213), 2), P213)</f>
        <v/>
      </c>
      <c r="V213" s="23">
        <f>ROUND((N213*G213)-K213+P213, 2)</f>
        <v/>
      </c>
      <c r="W213" s="23">
        <f>ROUND(P213-U213, 2)</f>
        <v/>
      </c>
      <c r="X213" s="23">
        <f>ROUND(V213+W213, 2)</f>
        <v/>
      </c>
      <c r="Y213" s="23">
        <f>ROUND((N213*G213+P213+M213)-K213, 2)</f>
        <v/>
      </c>
      <c r="Z213" s="24">
        <f>IF(K213&gt;0, Y213/K213, 0)</f>
        <v/>
      </c>
    </row>
    <row r="214">
      <c r="A214" s="26" t="inlineStr">
        <is>
          <t>0730-0001</t>
        </is>
      </c>
      <c r="B214" s="27" t="inlineStr">
        <is>
          <t>Karen Manrique Amaya</t>
        </is>
      </c>
      <c r="C214" s="27" t="inlineStr">
        <is>
          <t>Wrangler</t>
        </is>
      </c>
      <c r="D214" s="26" t="inlineStr">
        <is>
          <t>ACTIVO</t>
        </is>
      </c>
      <c r="E214" s="26" t="inlineStr">
        <is>
          <t>2025-11-24</t>
        </is>
      </c>
      <c r="F214" s="26" t="inlineStr">
        <is>
          <t>2028-11-24</t>
        </is>
      </c>
      <c r="G214" s="28" t="n">
        <v>36</v>
      </c>
      <c r="H214" s="29" t="n">
        <v>1105086.21</v>
      </c>
      <c r="I214" s="30" t="n">
        <v>0.2</v>
      </c>
      <c r="J214" s="29">
        <f>ROUND(H214*I214, 2)</f>
        <v/>
      </c>
      <c r="K214" s="29">
        <f>ROUND(H214-J214, 2)</f>
        <v/>
      </c>
      <c r="L214" s="30" t="n">
        <v>0.02</v>
      </c>
      <c r="M214" s="29">
        <f>ROUND(H214*L214, 2)</f>
        <v/>
      </c>
      <c r="N214" s="29" t="n">
        <v>36599.33</v>
      </c>
      <c r="O214" s="30" t="n">
        <v>0.2</v>
      </c>
      <c r="P214" s="29">
        <f>ROUND(H214*O214, 2)</f>
        <v/>
      </c>
      <c r="Q214" s="31" t="n">
        <v>0.0294036</v>
      </c>
      <c r="R214" s="31">
        <f>IFERROR(RATE(G214, -N214, K214, -P214), Q214)</f>
        <v/>
      </c>
      <c r="S214" s="31">
        <f>Q214*12</f>
        <v/>
      </c>
      <c r="T214" s="31">
        <f>((1+Q214)^12)-1</f>
        <v/>
      </c>
      <c r="U214" s="29">
        <f>IF(Q214&gt;0, ROUND(P214/((1+Q214)^G214), 2), P214)</f>
        <v/>
      </c>
      <c r="V214" s="29">
        <f>ROUND((N214*G214)-K214+P214, 2)</f>
        <v/>
      </c>
      <c r="W214" s="29">
        <f>ROUND(P214-U214, 2)</f>
        <v/>
      </c>
      <c r="X214" s="29">
        <f>ROUND(V214+W214, 2)</f>
        <v/>
      </c>
      <c r="Y214" s="29">
        <f>ROUND((N214*G214+P214+M214)-K214, 2)</f>
        <v/>
      </c>
      <c r="Z214" s="30">
        <f>IF(K214&gt;0, Y214/K214, 0)</f>
        <v/>
      </c>
    </row>
    <row r="215">
      <c r="A215" s="20" t="inlineStr">
        <is>
          <t>0731-0001</t>
        </is>
      </c>
      <c r="B215" s="21" t="inlineStr">
        <is>
          <t>Tesselar Soluciones, S.A. de C.V.</t>
        </is>
      </c>
      <c r="C215" s="21" t="inlineStr">
        <is>
          <t>Song Plus</t>
        </is>
      </c>
      <c r="D215" s="20" t="inlineStr">
        <is>
          <t>ACTIVO</t>
        </is>
      </c>
      <c r="E215" s="20" t="inlineStr">
        <is>
          <t>2025-11-20</t>
        </is>
      </c>
      <c r="F215" s="20" t="inlineStr">
        <is>
          <t>2028-11-20</t>
        </is>
      </c>
      <c r="G215" s="22" t="n">
        <v>36</v>
      </c>
      <c r="H215" s="23" t="n">
        <v>658448.28</v>
      </c>
      <c r="I215" s="24" t="n">
        <v>0.35</v>
      </c>
      <c r="J215" s="23">
        <f>ROUND(H215*I215, 2)</f>
        <v/>
      </c>
      <c r="K215" s="23">
        <f>ROUND(H215-J215, 2)</f>
        <v/>
      </c>
      <c r="L215" s="24" t="n">
        <v>0.5</v>
      </c>
      <c r="M215" s="23">
        <f>ROUND(H215*L215, 2)</f>
        <v/>
      </c>
      <c r="N215" s="23" t="n">
        <v>12956.78</v>
      </c>
      <c r="O215" s="24" t="n">
        <v>0.39</v>
      </c>
      <c r="P215" s="23">
        <f>ROUND(H215*O215, 2)</f>
        <v/>
      </c>
      <c r="Q215" s="25" t="n">
        <v>0.02301672</v>
      </c>
      <c r="R215" s="25">
        <f>IFERROR(RATE(G215, -N215, K215, -P215), Q215)</f>
        <v/>
      </c>
      <c r="S215" s="25">
        <f>Q215*12</f>
        <v/>
      </c>
      <c r="T215" s="25">
        <f>((1+Q215)^12)-1</f>
        <v/>
      </c>
      <c r="U215" s="23">
        <f>IF(Q215&gt;0, ROUND(P215/((1+Q215)^G215), 2), P215)</f>
        <v/>
      </c>
      <c r="V215" s="23">
        <f>ROUND((N215*G215)-K215+P215, 2)</f>
        <v/>
      </c>
      <c r="W215" s="23">
        <f>ROUND(P215-U215, 2)</f>
        <v/>
      </c>
      <c r="X215" s="23">
        <f>ROUND(V215+W215, 2)</f>
        <v/>
      </c>
      <c r="Y215" s="23">
        <f>ROUND((N215*G215+P215+M215)-K215, 2)</f>
        <v/>
      </c>
      <c r="Z215" s="24">
        <f>IF(K215&gt;0, Y215/K215, 0)</f>
        <v/>
      </c>
    </row>
    <row r="216">
      <c r="A216" s="26" t="inlineStr">
        <is>
          <t>0731-0002</t>
        </is>
      </c>
      <c r="B216" s="27" t="inlineStr">
        <is>
          <t>Tesselar Soluciones, S.A. de C.V.</t>
        </is>
      </c>
      <c r="C216" s="27" t="inlineStr">
        <is>
          <t>Arona Style</t>
        </is>
      </c>
      <c r="D216" s="26" t="inlineStr">
        <is>
          <t>ACTIVO</t>
        </is>
      </c>
      <c r="E216" s="26" t="inlineStr">
        <is>
          <t>2025-12-26</t>
        </is>
      </c>
      <c r="F216" s="26" t="inlineStr">
        <is>
          <t>2029-12-26</t>
        </is>
      </c>
      <c r="G216" s="28" t="n">
        <v>48</v>
      </c>
      <c r="H216" s="29" t="n">
        <v>307672.41</v>
      </c>
      <c r="I216" s="30" t="n">
        <v>0.35</v>
      </c>
      <c r="J216" s="29">
        <f>ROUND(H216*I216, 2)</f>
        <v/>
      </c>
      <c r="K216" s="29">
        <f>ROUND(H216-J216, 2)</f>
        <v/>
      </c>
      <c r="L216" s="30" t="n">
        <v>0.5</v>
      </c>
      <c r="M216" s="29">
        <f>ROUND(H216*L216, 2)</f>
        <v/>
      </c>
      <c r="N216" s="29" t="n">
        <v>5566.59</v>
      </c>
      <c r="O216" s="30" t="n">
        <v>0.39</v>
      </c>
      <c r="P216" s="29">
        <f>ROUND(H216*O216, 2)</f>
        <v/>
      </c>
      <c r="Q216" s="31" t="n">
        <v>0.02321197</v>
      </c>
      <c r="R216" s="31">
        <f>IFERROR(RATE(G216, -N216, K216, -P216), Q216)</f>
        <v/>
      </c>
      <c r="S216" s="31">
        <f>Q216*12</f>
        <v/>
      </c>
      <c r="T216" s="31">
        <f>((1+Q216)^12)-1</f>
        <v/>
      </c>
      <c r="U216" s="29">
        <f>IF(Q216&gt;0, ROUND(P216/((1+Q216)^G216), 2), P216)</f>
        <v/>
      </c>
      <c r="V216" s="29">
        <f>ROUND((N216*G216)-K216+P216, 2)</f>
        <v/>
      </c>
      <c r="W216" s="29">
        <f>ROUND(P216-U216, 2)</f>
        <v/>
      </c>
      <c r="X216" s="29">
        <f>ROUND(V216+W216, 2)</f>
        <v/>
      </c>
      <c r="Y216" s="29">
        <f>ROUND((N216*G216+P216+M216)-K216, 2)</f>
        <v/>
      </c>
      <c r="Z216" s="30">
        <f>IF(K216&gt;0, Y216/K216, 0)</f>
        <v/>
      </c>
    </row>
    <row r="217">
      <c r="A217" s="20" t="inlineStr">
        <is>
          <t>0732-0001</t>
        </is>
      </c>
      <c r="B217" s="21" t="inlineStr">
        <is>
          <t>Koonol Food Traders, S.A. de C.V.</t>
        </is>
      </c>
      <c r="C217" s="21" t="inlineStr">
        <is>
          <t>K4 Turbo</t>
        </is>
      </c>
      <c r="D217" s="20" t="inlineStr">
        <is>
          <t>ACTIVO</t>
        </is>
      </c>
      <c r="E217" s="20" t="inlineStr">
        <is>
          <t>2025-11-26</t>
        </is>
      </c>
      <c r="F217" s="20" t="inlineStr">
        <is>
          <t>2028-11-26</t>
        </is>
      </c>
      <c r="G217" s="22" t="n">
        <v>36</v>
      </c>
      <c r="H217" s="23" t="n">
        <v>497327.59</v>
      </c>
      <c r="I217" s="24" t="n">
        <v>0.35</v>
      </c>
      <c r="J217" s="23">
        <f>ROUND(H217*I217, 2)</f>
        <v/>
      </c>
      <c r="K217" s="23">
        <f>ROUND(H217-J217, 2)</f>
        <v/>
      </c>
      <c r="L217" s="24" t="n">
        <v>1</v>
      </c>
      <c r="M217" s="23">
        <f>ROUND(H217*L217, 2)</f>
        <v/>
      </c>
      <c r="N217" s="23" t="n">
        <v>11198.91</v>
      </c>
      <c r="O217" s="24" t="n">
        <v>0.35</v>
      </c>
      <c r="P217" s="23">
        <f>ROUND(H217*O217, 2)</f>
        <v/>
      </c>
      <c r="Q217" s="25" t="n">
        <v>0.02688217</v>
      </c>
      <c r="R217" s="25">
        <f>IFERROR(RATE(G217, -N217, K217, -P217), Q217)</f>
        <v/>
      </c>
      <c r="S217" s="25">
        <f>Q217*12</f>
        <v/>
      </c>
      <c r="T217" s="25">
        <f>((1+Q217)^12)-1</f>
        <v/>
      </c>
      <c r="U217" s="23">
        <f>IF(Q217&gt;0, ROUND(P217/((1+Q217)^G217), 2), P217)</f>
        <v/>
      </c>
      <c r="V217" s="23">
        <f>ROUND((N217*G217)-K217+P217, 2)</f>
        <v/>
      </c>
      <c r="W217" s="23">
        <f>ROUND(P217-U217, 2)</f>
        <v/>
      </c>
      <c r="X217" s="23">
        <f>ROUND(V217+W217, 2)</f>
        <v/>
      </c>
      <c r="Y217" s="23">
        <f>ROUND((N217*G217+P217+M217)-K217, 2)</f>
        <v/>
      </c>
      <c r="Z217" s="24">
        <f>IF(K217&gt;0, Y217/K217, 0)</f>
        <v/>
      </c>
    </row>
    <row r="218">
      <c r="A218" s="26" t="inlineStr">
        <is>
          <t>0733-0001</t>
        </is>
      </c>
      <c r="B218" s="27" t="inlineStr">
        <is>
          <t>Alejandro Arias Maldonado</t>
        </is>
      </c>
      <c r="C218" s="27" t="inlineStr">
        <is>
          <t>Wrangler</t>
        </is>
      </c>
      <c r="D218" s="26" t="inlineStr">
        <is>
          <t>ACTIVO</t>
        </is>
      </c>
      <c r="E218" s="26" t="inlineStr">
        <is>
          <t>2025-11-28</t>
        </is>
      </c>
      <c r="F218" s="26" t="inlineStr">
        <is>
          <t>2029-11-28</t>
        </is>
      </c>
      <c r="G218" s="28" t="n">
        <v>48</v>
      </c>
      <c r="H218" s="29" t="n">
        <v>1052500</v>
      </c>
      <c r="I218" s="30" t="n">
        <v>0.3</v>
      </c>
      <c r="J218" s="29">
        <f>ROUND(H218*I218, 2)</f>
        <v/>
      </c>
      <c r="K218" s="29">
        <f>ROUND(H218-J218, 2)</f>
        <v/>
      </c>
      <c r="L218" s="30" t="n">
        <v>0.02</v>
      </c>
      <c r="M218" s="29">
        <f>ROUND(H218*L218, 2)</f>
        <v/>
      </c>
      <c r="N218" s="29" t="n">
        <v>26433.36</v>
      </c>
      <c r="O218" s="30" t="n">
        <v>0.1</v>
      </c>
      <c r="P218" s="29">
        <f>ROUND(H218*O218, 2)</f>
        <v/>
      </c>
      <c r="Q218" s="31" t="n">
        <v>0.02693492</v>
      </c>
      <c r="R218" s="31">
        <f>IFERROR(RATE(G218, -N218, K218, -P218), Q218)</f>
        <v/>
      </c>
      <c r="S218" s="31">
        <f>Q218*12</f>
        <v/>
      </c>
      <c r="T218" s="31">
        <f>((1+Q218)^12)-1</f>
        <v/>
      </c>
      <c r="U218" s="29">
        <f>IF(Q218&gt;0, ROUND(P218/((1+Q218)^G218), 2), P218)</f>
        <v/>
      </c>
      <c r="V218" s="29">
        <f>ROUND((N218*G218)-K218+P218, 2)</f>
        <v/>
      </c>
      <c r="W218" s="29">
        <f>ROUND(P218-U218, 2)</f>
        <v/>
      </c>
      <c r="X218" s="29">
        <f>ROUND(V218+W218, 2)</f>
        <v/>
      </c>
      <c r="Y218" s="29">
        <f>ROUND((N218*G218+P218+M218)-K218, 2)</f>
        <v/>
      </c>
      <c r="Z218" s="30">
        <f>IF(K218&gt;0, Y218/K218, 0)</f>
        <v/>
      </c>
    </row>
    <row r="219">
      <c r="A219" s="20" t="inlineStr">
        <is>
          <t>0734-0001</t>
        </is>
      </c>
      <c r="B219" s="21" t="inlineStr">
        <is>
          <t>Nutrientes Agricolas de Colima, S. de R.L. de C.V.</t>
        </is>
      </c>
      <c r="C219" s="21" t="inlineStr">
        <is>
          <t>1200 TRADESMAN RC</t>
        </is>
      </c>
      <c r="D219" s="20" t="inlineStr">
        <is>
          <t>ACTIVO</t>
        </is>
      </c>
      <c r="E219" s="20" t="inlineStr">
        <is>
          <t>2026-01-06</t>
        </is>
      </c>
      <c r="F219" s="20" t="inlineStr">
        <is>
          <t>2029-01-06</t>
        </is>
      </c>
      <c r="G219" s="22" t="n">
        <v>36</v>
      </c>
      <c r="H219" s="23" t="n">
        <v>392155.17</v>
      </c>
      <c r="I219" s="24" t="n">
        <v>0.2</v>
      </c>
      <c r="J219" s="23">
        <f>ROUND(H219*I219, 2)</f>
        <v/>
      </c>
      <c r="K219" s="23">
        <f>ROUND(H219-J219, 2)</f>
        <v/>
      </c>
      <c r="L219" s="24" t="n">
        <v>0.02</v>
      </c>
      <c r="M219" s="23">
        <f>ROUND(H219*L219, 2)</f>
        <v/>
      </c>
      <c r="N219" s="23" t="n">
        <v>12987.78</v>
      </c>
      <c r="O219" s="24" t="n">
        <v>0.1</v>
      </c>
      <c r="P219" s="23">
        <f>ROUND(H219*O219, 2)</f>
        <v/>
      </c>
      <c r="Q219" s="25" t="n">
        <v>0.02660351</v>
      </c>
      <c r="R219" s="25">
        <f>IFERROR(RATE(G219, -N219, K219, -P219), Q219)</f>
        <v/>
      </c>
      <c r="S219" s="25">
        <f>Q219*12</f>
        <v/>
      </c>
      <c r="T219" s="25">
        <f>((1+Q219)^12)-1</f>
        <v/>
      </c>
      <c r="U219" s="23">
        <f>IF(Q219&gt;0, ROUND(P219/((1+Q219)^G219), 2), P219)</f>
        <v/>
      </c>
      <c r="V219" s="23">
        <f>ROUND((N219*G219)-K219+P219, 2)</f>
        <v/>
      </c>
      <c r="W219" s="23">
        <f>ROUND(P219-U219, 2)</f>
        <v/>
      </c>
      <c r="X219" s="23">
        <f>ROUND(V219+W219, 2)</f>
        <v/>
      </c>
      <c r="Y219" s="23">
        <f>ROUND((N219*G219+P219+M219)-K219, 2)</f>
        <v/>
      </c>
      <c r="Z219" s="24">
        <f>IF(K219&gt;0, Y219/K219, 0)</f>
        <v/>
      </c>
    </row>
    <row r="220">
      <c r="A220" s="26" t="inlineStr">
        <is>
          <t>0734-0002</t>
        </is>
      </c>
      <c r="B220" s="27" t="inlineStr">
        <is>
          <t>Nutrientes Agricolas de Colima, S. de R.L. de C.V.</t>
        </is>
      </c>
      <c r="C220" s="27" t="inlineStr">
        <is>
          <t>1200 TRADESMAN CHASIS CABINA</t>
        </is>
      </c>
      <c r="D220" s="26" t="inlineStr">
        <is>
          <t>ACTIVO</t>
        </is>
      </c>
      <c r="E220" s="26" t="inlineStr">
        <is>
          <t>2026-01-12</t>
        </is>
      </c>
      <c r="F220" s="26" t="inlineStr">
        <is>
          <t>2029-01-12</t>
        </is>
      </c>
      <c r="G220" s="28" t="n">
        <v>36</v>
      </c>
      <c r="H220" s="29" t="n">
        <v>424344.83</v>
      </c>
      <c r="I220" s="30" t="n">
        <v>0.2</v>
      </c>
      <c r="J220" s="29">
        <f>ROUND(H220*I220, 2)</f>
        <v/>
      </c>
      <c r="K220" s="29">
        <f>ROUND(H220-J220, 2)</f>
        <v/>
      </c>
      <c r="L220" s="30" t="n">
        <v>0.02</v>
      </c>
      <c r="M220" s="29">
        <f>ROUND(H220*L220, 2)</f>
        <v/>
      </c>
      <c r="N220" s="29" t="n">
        <v>14053.87</v>
      </c>
      <c r="O220" s="30" t="n">
        <v>0.2</v>
      </c>
      <c r="P220" s="29">
        <f>ROUND(H220*O220, 2)</f>
        <v/>
      </c>
      <c r="Q220" s="31" t="n">
        <v>0.02940361</v>
      </c>
      <c r="R220" s="31">
        <f>IFERROR(RATE(G220, -N220, K220, -P220), Q220)</f>
        <v/>
      </c>
      <c r="S220" s="31">
        <f>Q220*12</f>
        <v/>
      </c>
      <c r="T220" s="31">
        <f>((1+Q220)^12)-1</f>
        <v/>
      </c>
      <c r="U220" s="29">
        <f>IF(Q220&gt;0, ROUND(P220/((1+Q220)^G220), 2), P220)</f>
        <v/>
      </c>
      <c r="V220" s="29">
        <f>ROUND((N220*G220)-K220+P220, 2)</f>
        <v/>
      </c>
      <c r="W220" s="29">
        <f>ROUND(P220-U220, 2)</f>
        <v/>
      </c>
      <c r="X220" s="29">
        <f>ROUND(V220+W220, 2)</f>
        <v/>
      </c>
      <c r="Y220" s="29">
        <f>ROUND((N220*G220+P220+M220)-K220, 2)</f>
        <v/>
      </c>
      <c r="Z220" s="30">
        <f>IF(K220&gt;0, Y220/K220, 0)</f>
        <v/>
      </c>
    </row>
    <row r="221">
      <c r="A221" s="20" t="inlineStr">
        <is>
          <t>0735-0001</t>
        </is>
      </c>
      <c r="B221" s="21" t="inlineStr">
        <is>
          <t>Francisco Zepeda Covarrubias</t>
        </is>
      </c>
      <c r="C221" s="21" t="inlineStr">
        <is>
          <t>Territory Trend 1.5L Hibrido</t>
        </is>
      </c>
      <c r="D221" s="20" t="inlineStr">
        <is>
          <t>ACTIVO</t>
        </is>
      </c>
      <c r="E221" s="20" t="inlineStr">
        <is>
          <t>2025-12-04</t>
        </is>
      </c>
      <c r="F221" s="20" t="inlineStr">
        <is>
          <t>2028-12-04</t>
        </is>
      </c>
      <c r="G221" s="22" t="n">
        <v>36</v>
      </c>
      <c r="H221" s="23" t="n">
        <v>603362.0699999999</v>
      </c>
      <c r="I221" s="24" t="n">
        <v>0.2</v>
      </c>
      <c r="J221" s="23">
        <f>ROUND(H221*I221, 2)</f>
        <v/>
      </c>
      <c r="K221" s="23">
        <f>ROUND(H221-J221, 2)</f>
        <v/>
      </c>
      <c r="L221" s="24" t="n">
        <v>0.02</v>
      </c>
      <c r="M221" s="23">
        <f>ROUND(H221*L221, 2)</f>
        <v/>
      </c>
      <c r="N221" s="23" t="n">
        <v>19982.74</v>
      </c>
      <c r="O221" s="24" t="n">
        <v>0.1</v>
      </c>
      <c r="P221" s="23">
        <f>ROUND(H221*O221, 2)</f>
        <v/>
      </c>
      <c r="Q221" s="25" t="n">
        <v>0.0266035</v>
      </c>
      <c r="R221" s="25">
        <f>IFERROR(RATE(G221, -N221, K221, -P221), Q221)</f>
        <v/>
      </c>
      <c r="S221" s="25">
        <f>Q221*12</f>
        <v/>
      </c>
      <c r="T221" s="25">
        <f>((1+Q221)^12)-1</f>
        <v/>
      </c>
      <c r="U221" s="23">
        <f>IF(Q221&gt;0, ROUND(P221/((1+Q221)^G221), 2), P221)</f>
        <v/>
      </c>
      <c r="V221" s="23">
        <f>ROUND((N221*G221)-K221+P221, 2)</f>
        <v/>
      </c>
      <c r="W221" s="23">
        <f>ROUND(P221-U221, 2)</f>
        <v/>
      </c>
      <c r="X221" s="23">
        <f>ROUND(V221+W221, 2)</f>
        <v/>
      </c>
      <c r="Y221" s="23">
        <f>ROUND((N221*G221+P221+M221)-K221, 2)</f>
        <v/>
      </c>
      <c r="Z221" s="24">
        <f>IF(K221&gt;0, Y221/K221, 0)</f>
        <v/>
      </c>
    </row>
    <row r="222">
      <c r="A222" s="26" t="inlineStr">
        <is>
          <t>0736-0001</t>
        </is>
      </c>
      <c r="B222" s="27" t="inlineStr">
        <is>
          <t>Industrial Castillo de Tequila S.A. de C.V.</t>
        </is>
      </c>
      <c r="C222" s="27" t="inlineStr">
        <is>
          <t>700 TRADESMAN CREW CAB</t>
        </is>
      </c>
      <c r="D222" s="26" t="inlineStr">
        <is>
          <t>ACTIVO</t>
        </is>
      </c>
      <c r="E222" s="26" t="inlineStr">
        <is>
          <t>2025-12-11</t>
        </is>
      </c>
      <c r="F222" s="26" t="inlineStr">
        <is>
          <t>2029-12-11</t>
        </is>
      </c>
      <c r="G222" s="28" t="n">
        <v>48</v>
      </c>
      <c r="H222" s="29" t="n">
        <v>303041.38</v>
      </c>
      <c r="I222" s="30" t="n">
        <v>0.4</v>
      </c>
      <c r="J222" s="29">
        <f>ROUND(H222*I222, 2)</f>
        <v/>
      </c>
      <c r="K222" s="29">
        <f>ROUND(H222-J222, 2)</f>
        <v/>
      </c>
      <c r="L222" s="30" t="n">
        <v>0.02</v>
      </c>
      <c r="M222" s="29">
        <f>ROUND(H222*L222, 2)</f>
        <v/>
      </c>
      <c r="N222" s="29" t="n">
        <v>7302.48</v>
      </c>
      <c r="O222" s="30" t="n">
        <v>0.1</v>
      </c>
      <c r="P222" s="29">
        <f>ROUND(H222*O222, 2)</f>
        <v/>
      </c>
      <c r="Q222" s="31" t="n">
        <v>0.0327867</v>
      </c>
      <c r="R222" s="31">
        <f>IFERROR(RATE(G222, -N222, K222, -P222), Q222)</f>
        <v/>
      </c>
      <c r="S222" s="31">
        <f>Q222*12</f>
        <v/>
      </c>
      <c r="T222" s="31">
        <f>((1+Q222)^12)-1</f>
        <v/>
      </c>
      <c r="U222" s="29">
        <f>IF(Q222&gt;0, ROUND(P222/((1+Q222)^G222), 2), P222)</f>
        <v/>
      </c>
      <c r="V222" s="29">
        <f>ROUND((N222*G222)-K222+P222, 2)</f>
        <v/>
      </c>
      <c r="W222" s="29">
        <f>ROUND(P222-U222, 2)</f>
        <v/>
      </c>
      <c r="X222" s="29">
        <f>ROUND(V222+W222, 2)</f>
        <v/>
      </c>
      <c r="Y222" s="29">
        <f>ROUND((N222*G222+P222+M222)-K222, 2)</f>
        <v/>
      </c>
      <c r="Z222" s="30">
        <f>IF(K222&gt;0, Y222/K222, 0)</f>
        <v/>
      </c>
    </row>
    <row r="223">
      <c r="A223" s="20" t="inlineStr">
        <is>
          <t>0737-0001</t>
        </is>
      </c>
      <c r="B223" s="21" t="inlineStr">
        <is>
          <t>Nicola Briani</t>
        </is>
      </c>
      <c r="C223" s="21" t="inlineStr">
        <is>
          <t>T1 Savage</t>
        </is>
      </c>
      <c r="D223" s="20" t="inlineStr">
        <is>
          <t>ACTIVO</t>
        </is>
      </c>
      <c r="E223" s="20" t="inlineStr">
        <is>
          <t>2025-12-12</t>
        </is>
      </c>
      <c r="F223" s="20" t="inlineStr">
        <is>
          <t>2029-12-12</t>
        </is>
      </c>
      <c r="G223" s="22" t="n">
        <v>48</v>
      </c>
      <c r="H223" s="23" t="n">
        <v>560258.62</v>
      </c>
      <c r="I223" s="24" t="n">
        <v>0.3</v>
      </c>
      <c r="J223" s="23">
        <f>ROUND(H223*I223, 2)</f>
        <v/>
      </c>
      <c r="K223" s="23">
        <f>ROUND(H223-J223, 2)</f>
        <v/>
      </c>
      <c r="L223" s="24" t="n">
        <v>0.02</v>
      </c>
      <c r="M223" s="23">
        <f>ROUND(H223*L223, 2)</f>
        <v/>
      </c>
      <c r="N223" s="23" t="n">
        <v>14070.8</v>
      </c>
      <c r="O223" s="24" t="n">
        <v>0.1</v>
      </c>
      <c r="P223" s="23">
        <f>ROUND(H223*O223, 2)</f>
        <v/>
      </c>
      <c r="Q223" s="25" t="n">
        <v>0.02693492</v>
      </c>
      <c r="R223" s="25">
        <f>IFERROR(RATE(G223, -N223, K223, -P223), Q223)</f>
        <v/>
      </c>
      <c r="S223" s="25">
        <f>Q223*12</f>
        <v/>
      </c>
      <c r="T223" s="25">
        <f>((1+Q223)^12)-1</f>
        <v/>
      </c>
      <c r="U223" s="23">
        <f>IF(Q223&gt;0, ROUND(P223/((1+Q223)^G223), 2), P223)</f>
        <v/>
      </c>
      <c r="V223" s="23">
        <f>ROUND((N223*G223)-K223+P223, 2)</f>
        <v/>
      </c>
      <c r="W223" s="23">
        <f>ROUND(P223-U223, 2)</f>
        <v/>
      </c>
      <c r="X223" s="23">
        <f>ROUND(V223+W223, 2)</f>
        <v/>
      </c>
      <c r="Y223" s="23">
        <f>ROUND((N223*G223+P223+M223)-K223, 2)</f>
        <v/>
      </c>
      <c r="Z223" s="24">
        <f>IF(K223&gt;0, Y223/K223, 0)</f>
        <v/>
      </c>
    </row>
    <row r="224">
      <c r="A224" s="26" t="inlineStr">
        <is>
          <t>0738-0001</t>
        </is>
      </c>
      <c r="B224" s="27" t="inlineStr">
        <is>
          <t>Vinaria Distribución S.A.S.</t>
        </is>
      </c>
      <c r="C224" s="27" t="inlineStr">
        <is>
          <t>700 BIGHORN "S" CREW CAB CVT</t>
        </is>
      </c>
      <c r="D224" s="26" t="inlineStr">
        <is>
          <t>ACTIVO</t>
        </is>
      </c>
      <c r="E224" s="26" t="inlineStr">
        <is>
          <t>2025-12-24</t>
        </is>
      </c>
      <c r="F224" s="26" t="inlineStr">
        <is>
          <t>2028-12-24</t>
        </is>
      </c>
      <c r="G224" s="28" t="n">
        <v>36</v>
      </c>
      <c r="H224" s="29" t="n">
        <v>371465.52</v>
      </c>
      <c r="I224" s="30" t="n">
        <v>0.3</v>
      </c>
      <c r="J224" s="29">
        <f>ROUND(H224*I224, 2)</f>
        <v/>
      </c>
      <c r="K224" s="29">
        <f>ROUND(H224-J224, 2)</f>
        <v/>
      </c>
      <c r="L224" s="30" t="n">
        <v>0.02</v>
      </c>
      <c r="M224" s="29">
        <f>ROUND(H224*L224, 2)</f>
        <v/>
      </c>
      <c r="N224" s="29" t="n">
        <v>10678.55</v>
      </c>
      <c r="O224" s="30" t="n">
        <v>0.1</v>
      </c>
      <c r="P224" s="29">
        <f>ROUND(H224*O224, 2)</f>
        <v/>
      </c>
      <c r="Q224" s="31" t="n">
        <v>0.02656212</v>
      </c>
      <c r="R224" s="31">
        <f>IFERROR(RATE(G224, -N224, K224, -P224), Q224)</f>
        <v/>
      </c>
      <c r="S224" s="31">
        <f>Q224*12</f>
        <v/>
      </c>
      <c r="T224" s="31">
        <f>((1+Q224)^12)-1</f>
        <v/>
      </c>
      <c r="U224" s="29">
        <f>IF(Q224&gt;0, ROUND(P224/((1+Q224)^G224), 2), P224)</f>
        <v/>
      </c>
      <c r="V224" s="29">
        <f>ROUND((N224*G224)-K224+P224, 2)</f>
        <v/>
      </c>
      <c r="W224" s="29">
        <f>ROUND(P224-U224, 2)</f>
        <v/>
      </c>
      <c r="X224" s="29">
        <f>ROUND(V224+W224, 2)</f>
        <v/>
      </c>
      <c r="Y224" s="29">
        <f>ROUND((N224*G224+P224+M224)-K224, 2)</f>
        <v/>
      </c>
      <c r="Z224" s="30">
        <f>IF(K224&gt;0, Y224/K224, 0)</f>
        <v/>
      </c>
    </row>
    <row r="225">
      <c r="A225" s="20" t="inlineStr">
        <is>
          <t>0739-0001</t>
        </is>
      </c>
      <c r="B225" s="21" t="inlineStr">
        <is>
          <t>Miriam Patricia López Flores</t>
        </is>
      </c>
      <c r="C225" s="21" t="inlineStr">
        <is>
          <t>Jeep Wrangler Unlimited Rubicon</t>
        </is>
      </c>
      <c r="D225" s="20" t="inlineStr">
        <is>
          <t>ACTIVO</t>
        </is>
      </c>
      <c r="E225" s="20" t="inlineStr">
        <is>
          <t>2025-12-23</t>
        </is>
      </c>
      <c r="F225" s="20" t="inlineStr">
        <is>
          <t>2029-12-23</t>
        </is>
      </c>
      <c r="G225" s="22" t="n">
        <v>48</v>
      </c>
      <c r="H225" s="23" t="n">
        <v>1318614.66</v>
      </c>
      <c r="I225" s="24" t="n">
        <v>0.2</v>
      </c>
      <c r="J225" s="23">
        <f>ROUND(H225*I225, 2)</f>
        <v/>
      </c>
      <c r="K225" s="23">
        <f>ROUND(H225-J225, 2)</f>
        <v/>
      </c>
      <c r="L225" s="24" t="n">
        <v>0.02</v>
      </c>
      <c r="M225" s="23">
        <f>ROUND(H225*L225, 2)</f>
        <v/>
      </c>
      <c r="N225" s="23" t="n">
        <v>38006.09</v>
      </c>
      <c r="O225" s="24" t="n">
        <v>0.1</v>
      </c>
      <c r="P225" s="23">
        <f>ROUND(H225*O225, 2)</f>
        <v/>
      </c>
      <c r="Q225" s="25" t="n">
        <v>0.02688642</v>
      </c>
      <c r="R225" s="25">
        <f>IFERROR(RATE(G225, -N225, K225, -P225), Q225)</f>
        <v/>
      </c>
      <c r="S225" s="25">
        <f>Q225*12</f>
        <v/>
      </c>
      <c r="T225" s="25">
        <f>((1+Q225)^12)-1</f>
        <v/>
      </c>
      <c r="U225" s="23">
        <f>IF(Q225&gt;0, ROUND(P225/((1+Q225)^G225), 2), P225)</f>
        <v/>
      </c>
      <c r="V225" s="23">
        <f>ROUND((N225*G225)-K225+P225, 2)</f>
        <v/>
      </c>
      <c r="W225" s="23">
        <f>ROUND(P225-U225, 2)</f>
        <v/>
      </c>
      <c r="X225" s="23">
        <f>ROUND(V225+W225, 2)</f>
        <v/>
      </c>
      <c r="Y225" s="23">
        <f>ROUND((N225*G225+P225+M225)-K225, 2)</f>
        <v/>
      </c>
      <c r="Z225" s="24">
        <f>IF(K225&gt;0, Y225/K225, 0)</f>
        <v/>
      </c>
    </row>
    <row r="226">
      <c r="A226" s="26" t="inlineStr">
        <is>
          <t>0740-0001</t>
        </is>
      </c>
      <c r="B226" s="27" t="inlineStr">
        <is>
          <t>Sanatorio Versalles de Guadalajara</t>
        </is>
      </c>
      <c r="C226" s="27" t="inlineStr">
        <is>
          <t>1200 Bighorn</t>
        </is>
      </c>
      <c r="D226" s="26" t="inlineStr">
        <is>
          <t>ACTIVO</t>
        </is>
      </c>
      <c r="E226" s="26" t="inlineStr">
        <is>
          <t>2025-12-30</t>
        </is>
      </c>
      <c r="F226" s="26" t="inlineStr">
        <is>
          <t>2026-12-30</t>
        </is>
      </c>
      <c r="G226" s="28" t="n">
        <v>12</v>
      </c>
      <c r="H226" s="29" t="n">
        <v>491293.1</v>
      </c>
      <c r="I226" s="30" t="n">
        <v>0.4</v>
      </c>
      <c r="J226" s="29">
        <f>ROUND(H226*I226, 2)</f>
        <v/>
      </c>
      <c r="K226" s="29">
        <f>ROUND(H226-J226, 2)</f>
        <v/>
      </c>
      <c r="L226" s="30" t="n">
        <v>0.02</v>
      </c>
      <c r="M226" s="29">
        <f>ROUND(H226*L226, 2)</f>
        <v/>
      </c>
      <c r="N226" s="29" t="n">
        <v>25017.44</v>
      </c>
      <c r="O226" s="30" t="n">
        <v>0.1</v>
      </c>
      <c r="P226" s="29">
        <f>ROUND(H226*O226, 2)</f>
        <v/>
      </c>
      <c r="Q226" s="31" t="n">
        <v>0.02418442</v>
      </c>
      <c r="R226" s="31">
        <f>IFERROR(RATE(G226, -N226, K226, -P226), Q226)</f>
        <v/>
      </c>
      <c r="S226" s="31">
        <f>Q226*12</f>
        <v/>
      </c>
      <c r="T226" s="31">
        <f>((1+Q226)^12)-1</f>
        <v/>
      </c>
      <c r="U226" s="29">
        <f>IF(Q226&gt;0, ROUND(P226/((1+Q226)^G226), 2), P226)</f>
        <v/>
      </c>
      <c r="V226" s="29">
        <f>ROUND((N226*G226)-K226+P226, 2)</f>
        <v/>
      </c>
      <c r="W226" s="29">
        <f>ROUND(P226-U226, 2)</f>
        <v/>
      </c>
      <c r="X226" s="29">
        <f>ROUND(V226+W226, 2)</f>
        <v/>
      </c>
      <c r="Y226" s="29">
        <f>ROUND((N226*G226+P226+M226)-K226, 2)</f>
        <v/>
      </c>
      <c r="Z226" s="30">
        <f>IF(K226&gt;0, Y226/K226, 0)</f>
        <v/>
      </c>
    </row>
    <row r="227">
      <c r="A227" s="20" t="inlineStr">
        <is>
          <t>0741-0001</t>
        </is>
      </c>
      <c r="B227" s="21" t="inlineStr">
        <is>
          <t>Alvaró Agustin Navarro Castellón</t>
        </is>
      </c>
      <c r="C227" s="21" t="inlineStr">
        <is>
          <t>Manager Furgon L4H2</t>
        </is>
      </c>
      <c r="D227" s="20" t="inlineStr">
        <is>
          <t>ACTIVO</t>
        </is>
      </c>
      <c r="E227" s="20" t="inlineStr">
        <is>
          <t>2025-12-31</t>
        </is>
      </c>
      <c r="F227" s="20" t="inlineStr">
        <is>
          <t>2029-12-31</t>
        </is>
      </c>
      <c r="G227" s="22" t="n">
        <v>48</v>
      </c>
      <c r="H227" s="23" t="n">
        <v>755948.28</v>
      </c>
      <c r="I227" s="24" t="n">
        <v>0.1</v>
      </c>
      <c r="J227" s="23">
        <f>ROUND(H227*I227, 2)</f>
        <v/>
      </c>
      <c r="K227" s="23">
        <f>ROUND(H227-J227, 2)</f>
        <v/>
      </c>
      <c r="L227" s="24" t="n">
        <v>0.02</v>
      </c>
      <c r="M227" s="23">
        <f>ROUND(H227*L227, 2)</f>
        <v/>
      </c>
      <c r="N227" s="23" t="n">
        <v>24606.31</v>
      </c>
      <c r="O227" s="24" t="n">
        <v>0.3</v>
      </c>
      <c r="P227" s="23">
        <f>ROUND(H227*O227, 2)</f>
        <v/>
      </c>
      <c r="Q227" s="25" t="n">
        <v>0.02973377</v>
      </c>
      <c r="R227" s="25">
        <f>IFERROR(RATE(G227, -N227, K227, -P227), Q227)</f>
        <v/>
      </c>
      <c r="S227" s="25">
        <f>Q227*12</f>
        <v/>
      </c>
      <c r="T227" s="25">
        <f>((1+Q227)^12)-1</f>
        <v/>
      </c>
      <c r="U227" s="23">
        <f>IF(Q227&gt;0, ROUND(P227/((1+Q227)^G227), 2), P227)</f>
        <v/>
      </c>
      <c r="V227" s="23">
        <f>ROUND((N227*G227)-K227+P227, 2)</f>
        <v/>
      </c>
      <c r="W227" s="23">
        <f>ROUND(P227-U227, 2)</f>
        <v/>
      </c>
      <c r="X227" s="23">
        <f>ROUND(V227+W227, 2)</f>
        <v/>
      </c>
      <c r="Y227" s="23">
        <f>ROUND((N227*G227+P227+M227)-K227, 2)</f>
        <v/>
      </c>
      <c r="Z227" s="24">
        <f>IF(K227&gt;0, Y227/K227, 0)</f>
        <v/>
      </c>
    </row>
    <row r="228">
      <c r="A228" s="26" t="inlineStr">
        <is>
          <t>0742-0001</t>
        </is>
      </c>
      <c r="B228" s="27" t="inlineStr">
        <is>
          <t>Universidad de las Américas y el Caribe, S.C.</t>
        </is>
      </c>
      <c r="C228" s="27" t="inlineStr">
        <is>
          <t>700 BIGHORN "S" CREW CAB MT</t>
        </is>
      </c>
      <c r="D228" s="26" t="inlineStr">
        <is>
          <t>ACTIVO</t>
        </is>
      </c>
      <c r="E228" s="26" t="inlineStr">
        <is>
          <t>2026-01-07</t>
        </is>
      </c>
      <c r="F228" s="26" t="inlineStr">
        <is>
          <t>2029-01-07</t>
        </is>
      </c>
      <c r="G228" s="28" t="n">
        <v>36</v>
      </c>
      <c r="H228" s="29" t="n">
        <v>329381.9</v>
      </c>
      <c r="I228" s="30" t="n">
        <v>0.1</v>
      </c>
      <c r="J228" s="29">
        <f>ROUND(H228*I228, 2)</f>
        <v/>
      </c>
      <c r="K228" s="29">
        <f>ROUND(H228-J228, 2)</f>
        <v/>
      </c>
      <c r="L228" s="30" t="n">
        <v>0.02</v>
      </c>
      <c r="M228" s="29">
        <f>ROUND(H228*L228, 2)</f>
        <v/>
      </c>
      <c r="N228" s="29" t="n">
        <v>11801.5</v>
      </c>
      <c r="O228" s="30" t="n">
        <v>0.2</v>
      </c>
      <c r="P228" s="29">
        <f>ROUND(H228*O228, 2)</f>
        <v/>
      </c>
      <c r="Q228" s="31" t="n">
        <v>0.0266784</v>
      </c>
      <c r="R228" s="31">
        <f>IFERROR(RATE(G228, -N228, K228, -P228), Q228)</f>
        <v/>
      </c>
      <c r="S228" s="31">
        <f>Q228*12</f>
        <v/>
      </c>
      <c r="T228" s="31">
        <f>((1+Q228)^12)-1</f>
        <v/>
      </c>
      <c r="U228" s="29">
        <f>IF(Q228&gt;0, ROUND(P228/((1+Q228)^G228), 2), P228)</f>
        <v/>
      </c>
      <c r="V228" s="29">
        <f>ROUND((N228*G228)-K228+P228, 2)</f>
        <v/>
      </c>
      <c r="W228" s="29">
        <f>ROUND(P228-U228, 2)</f>
        <v/>
      </c>
      <c r="X228" s="29">
        <f>ROUND(V228+W228, 2)</f>
        <v/>
      </c>
      <c r="Y228" s="29">
        <f>ROUND((N228*G228+P228+M228)-K228, 2)</f>
        <v/>
      </c>
      <c r="Z228" s="30">
        <f>IF(K228&gt;0, Y228/K228, 0)</f>
        <v/>
      </c>
    </row>
    <row r="229">
      <c r="A229" s="20" t="inlineStr">
        <is>
          <t>0742-0002</t>
        </is>
      </c>
      <c r="B229" s="21" t="inlineStr">
        <is>
          <t>Universidad de las Américas y el Caribe, S.C.</t>
        </is>
      </c>
      <c r="C229" s="21" t="inlineStr">
        <is>
          <t>700 BIGHORN "S" CREW CAB CVT</t>
        </is>
      </c>
      <c r="D229" s="20" t="inlineStr">
        <is>
          <t>ACTIVO</t>
        </is>
      </c>
      <c r="E229" s="20" t="inlineStr">
        <is>
          <t>2026-01-07</t>
        </is>
      </c>
      <c r="F229" s="20" t="inlineStr">
        <is>
          <t>2029-01-07</t>
        </is>
      </c>
      <c r="G229" s="22" t="n">
        <v>36</v>
      </c>
      <c r="H229" s="23" t="n">
        <v>360321.55</v>
      </c>
      <c r="I229" s="24" t="n">
        <v>0.1</v>
      </c>
      <c r="J229" s="23">
        <f>ROUND(H229*I229, 2)</f>
        <v/>
      </c>
      <c r="K229" s="23">
        <f>ROUND(H229-J229, 2)</f>
        <v/>
      </c>
      <c r="L229" s="24" t="n">
        <v>0.02</v>
      </c>
      <c r="M229" s="23">
        <f>ROUND(H229*L229, 2)</f>
        <v/>
      </c>
      <c r="N229" s="23" t="n">
        <v>12910.04</v>
      </c>
      <c r="O229" s="24" t="n">
        <v>0.2</v>
      </c>
      <c r="P229" s="23">
        <f>ROUND(H229*O229, 2)</f>
        <v/>
      </c>
      <c r="Q229" s="25" t="n">
        <v>0.02667839</v>
      </c>
      <c r="R229" s="25">
        <f>IFERROR(RATE(G229, -N229, K229, -P229), Q229)</f>
        <v/>
      </c>
      <c r="S229" s="25">
        <f>Q229*12</f>
        <v/>
      </c>
      <c r="T229" s="25">
        <f>((1+Q229)^12)-1</f>
        <v/>
      </c>
      <c r="U229" s="23">
        <f>IF(Q229&gt;0, ROUND(P229/((1+Q229)^G229), 2), P229)</f>
        <v/>
      </c>
      <c r="V229" s="23">
        <f>ROUND((N229*G229)-K229+P229, 2)</f>
        <v/>
      </c>
      <c r="W229" s="23">
        <f>ROUND(P229-U229, 2)</f>
        <v/>
      </c>
      <c r="X229" s="23">
        <f>ROUND(V229+W229, 2)</f>
        <v/>
      </c>
      <c r="Y229" s="23">
        <f>ROUND((N229*G229+P229+M229)-K229, 2)</f>
        <v/>
      </c>
      <c r="Z229" s="24">
        <f>IF(K229&gt;0, Y229/K229, 0)</f>
        <v/>
      </c>
    </row>
    <row r="230">
      <c r="A230" s="26" t="inlineStr">
        <is>
          <t>0743-0001</t>
        </is>
      </c>
      <c r="B230" s="27" t="inlineStr">
        <is>
          <t>IEM Soluciones Integrales, S.C.</t>
        </is>
      </c>
      <c r="C230" s="27" t="inlineStr">
        <is>
          <t>1200 BIGHORN CC</t>
        </is>
      </c>
      <c r="D230" s="26" t="inlineStr">
        <is>
          <t>ACTIVO</t>
        </is>
      </c>
      <c r="E230" s="26" t="inlineStr">
        <is>
          <t>2026-01-23</t>
        </is>
      </c>
      <c r="F230" s="26" t="inlineStr">
        <is>
          <t>2029-01-23</t>
        </is>
      </c>
      <c r="G230" s="28" t="n">
        <v>36</v>
      </c>
      <c r="H230" s="29" t="n">
        <v>491293.1</v>
      </c>
      <c r="I230" s="30" t="n">
        <v>0.4</v>
      </c>
      <c r="J230" s="29">
        <f>ROUND(H230*I230, 2)</f>
        <v/>
      </c>
      <c r="K230" s="29">
        <f>ROUND(H230-J230, 2)</f>
        <v/>
      </c>
      <c r="L230" s="30" t="n">
        <v>0.02</v>
      </c>
      <c r="M230" s="29">
        <f>ROUND(H230*L230, 2)</f>
        <v/>
      </c>
      <c r="N230" s="29" t="n">
        <v>12002.67</v>
      </c>
      <c r="O230" s="30" t="n">
        <v>0.1</v>
      </c>
      <c r="P230" s="29">
        <f>ROUND(H230*O230, 2)</f>
        <v/>
      </c>
      <c r="Q230" s="31" t="n">
        <v>0.02663643</v>
      </c>
      <c r="R230" s="31">
        <f>IFERROR(RATE(G230, -N230, K230, -P230), Q230)</f>
        <v/>
      </c>
      <c r="S230" s="31">
        <f>Q230*12</f>
        <v/>
      </c>
      <c r="T230" s="31">
        <f>((1+Q230)^12)-1</f>
        <v/>
      </c>
      <c r="U230" s="29">
        <f>IF(Q230&gt;0, ROUND(P230/((1+Q230)^G230), 2), P230)</f>
        <v/>
      </c>
      <c r="V230" s="29">
        <f>ROUND((N230*G230)-K230+P230, 2)</f>
        <v/>
      </c>
      <c r="W230" s="29">
        <f>ROUND(P230-U230, 2)</f>
        <v/>
      </c>
      <c r="X230" s="29">
        <f>ROUND(V230+W230, 2)</f>
        <v/>
      </c>
      <c r="Y230" s="29">
        <f>ROUND((N230*G230+P230+M230)-K230, 2)</f>
        <v/>
      </c>
      <c r="Z230" s="30">
        <f>IF(K230&gt;0, Y230/K230, 0)</f>
        <v/>
      </c>
    </row>
    <row r="231">
      <c r="A231" s="20" t="inlineStr">
        <is>
          <t>0744-0001</t>
        </is>
      </c>
      <c r="B231" s="21" t="inlineStr">
        <is>
          <t>H&amp;A Edicon, S.A. de C.V.</t>
        </is>
      </c>
      <c r="C231" s="21" t="inlineStr">
        <is>
          <t>NP 300 Chasis Cabina</t>
        </is>
      </c>
      <c r="D231" s="20" t="inlineStr">
        <is>
          <t>ACTIVO</t>
        </is>
      </c>
      <c r="E231" s="20" t="inlineStr">
        <is>
          <t>2026-01-09</t>
        </is>
      </c>
      <c r="F231" s="20" t="inlineStr">
        <is>
          <t>2028-01-09</t>
        </is>
      </c>
      <c r="G231" s="22" t="n">
        <v>24</v>
      </c>
      <c r="H231" s="23" t="n">
        <v>468448.28</v>
      </c>
      <c r="I231" s="24" t="n">
        <v>0.3</v>
      </c>
      <c r="J231" s="23">
        <f>ROUND(H231*I231, 2)</f>
        <v/>
      </c>
      <c r="K231" s="23">
        <f>ROUND(H231-J231, 2)</f>
        <v/>
      </c>
      <c r="L231" s="24" t="n">
        <v>0.02</v>
      </c>
      <c r="M231" s="23">
        <f>ROUND(H231*L231, 2)</f>
        <v/>
      </c>
      <c r="N231" s="23" t="n">
        <v>15703.94</v>
      </c>
      <c r="O231" s="24" t="n">
        <v>0.2</v>
      </c>
      <c r="P231" s="23">
        <f>ROUND(H231*O231, 2)</f>
        <v/>
      </c>
      <c r="Q231" s="25" t="n">
        <v>0.02611184</v>
      </c>
      <c r="R231" s="25">
        <f>IFERROR(RATE(G231, -N231, K231, -P231), Q231)</f>
        <v/>
      </c>
      <c r="S231" s="25">
        <f>Q231*12</f>
        <v/>
      </c>
      <c r="T231" s="25">
        <f>((1+Q231)^12)-1</f>
        <v/>
      </c>
      <c r="U231" s="23">
        <f>IF(Q231&gt;0, ROUND(P231/((1+Q231)^G231), 2), P231)</f>
        <v/>
      </c>
      <c r="V231" s="23">
        <f>ROUND((N231*G231)-K231+P231, 2)</f>
        <v/>
      </c>
      <c r="W231" s="23">
        <f>ROUND(P231-U231, 2)</f>
        <v/>
      </c>
      <c r="X231" s="23">
        <f>ROUND(V231+W231, 2)</f>
        <v/>
      </c>
      <c r="Y231" s="23">
        <f>ROUND((N231*G231+P231+M231)-K231, 2)</f>
        <v/>
      </c>
      <c r="Z231" s="24">
        <f>IF(K231&gt;0, Y231/K231, 0)</f>
        <v/>
      </c>
    </row>
    <row r="232">
      <c r="A232" s="26" t="inlineStr">
        <is>
          <t>0745-0001</t>
        </is>
      </c>
      <c r="B232" s="27" t="inlineStr">
        <is>
          <t>Industrializadora de Productos Lácteos y Derivados los Cuates, S.A. de C.V.</t>
        </is>
      </c>
      <c r="C232" s="27" t="inlineStr">
        <is>
          <t>Outlander Sport SE Plus</t>
        </is>
      </c>
      <c r="D232" s="26" t="inlineStr">
        <is>
          <t>ACTIVO</t>
        </is>
      </c>
      <c r="E232" s="26" t="inlineStr">
        <is>
          <t>2026-01-22</t>
        </is>
      </c>
      <c r="F232" s="26" t="inlineStr">
        <is>
          <t>2029-01-22</t>
        </is>
      </c>
      <c r="G232" s="28" t="n">
        <v>36</v>
      </c>
      <c r="H232" s="29" t="n">
        <v>419816.38</v>
      </c>
      <c r="I232" s="30" t="n">
        <v>0.4</v>
      </c>
      <c r="J232" s="29">
        <f>ROUND(H232*I232, 2)</f>
        <v/>
      </c>
      <c r="K232" s="29">
        <f>ROUND(H232-J232, 2)</f>
        <v/>
      </c>
      <c r="L232" s="30" t="n">
        <v>0.02</v>
      </c>
      <c r="M232" s="29">
        <f>ROUND(H232*L232, 2)</f>
        <v/>
      </c>
      <c r="N232" s="29" t="n">
        <v>10256.44</v>
      </c>
      <c r="O232" s="30" t="n">
        <v>0.1</v>
      </c>
      <c r="P232" s="29">
        <f>ROUND(H232*O232, 2)</f>
        <v/>
      </c>
      <c r="Q232" s="31" t="n">
        <v>0.02663643</v>
      </c>
      <c r="R232" s="31">
        <f>IFERROR(RATE(G232, -N232, K232, -P232), Q232)</f>
        <v/>
      </c>
      <c r="S232" s="31">
        <f>Q232*12</f>
        <v/>
      </c>
      <c r="T232" s="31">
        <f>((1+Q232)^12)-1</f>
        <v/>
      </c>
      <c r="U232" s="29">
        <f>IF(Q232&gt;0, ROUND(P232/((1+Q232)^G232), 2), P232)</f>
        <v/>
      </c>
      <c r="V232" s="29">
        <f>ROUND((N232*G232)-K232+P232, 2)</f>
        <v/>
      </c>
      <c r="W232" s="29">
        <f>ROUND(P232-U232, 2)</f>
        <v/>
      </c>
      <c r="X232" s="29">
        <f>ROUND(V232+W232, 2)</f>
        <v/>
      </c>
      <c r="Y232" s="29">
        <f>ROUND((N232*G232+P232+M232)-K232, 2)</f>
        <v/>
      </c>
      <c r="Z232" s="30">
        <f>IF(K232&gt;0, Y232/K232, 0)</f>
        <v/>
      </c>
    </row>
    <row r="233">
      <c r="A233" s="20" t="inlineStr">
        <is>
          <t>0746-0001</t>
        </is>
      </c>
      <c r="B233" s="21" t="inlineStr">
        <is>
          <t>Giovanni Salvador Medina Rubio</t>
        </is>
      </c>
      <c r="C233" s="21" t="inlineStr">
        <is>
          <t>Rapid</t>
        </is>
      </c>
      <c r="D233" s="20" t="inlineStr">
        <is>
          <t>ACTIVO</t>
        </is>
      </c>
      <c r="E233" s="20" t="inlineStr">
        <is>
          <t>2026-02-02</t>
        </is>
      </c>
      <c r="F233" s="20" t="inlineStr">
        <is>
          <t>2029-02-02</t>
        </is>
      </c>
      <c r="G233" s="22" t="n">
        <v>36</v>
      </c>
      <c r="H233" s="23" t="n">
        <v>289137.93</v>
      </c>
      <c r="I233" s="24" t="n">
        <v>0.2</v>
      </c>
      <c r="J233" s="23">
        <f>ROUND(H233*I233, 2)</f>
        <v/>
      </c>
      <c r="K233" s="23">
        <f>ROUND(H233-J233, 2)</f>
        <v/>
      </c>
      <c r="L233" s="24" t="n">
        <v>0.02</v>
      </c>
      <c r="M233" s="23">
        <f>ROUND(H233*L233, 2)</f>
        <v/>
      </c>
      <c r="N233" s="23" t="n">
        <v>9575.959999999999</v>
      </c>
      <c r="O233" s="24" t="n">
        <v>0.1</v>
      </c>
      <c r="P233" s="23">
        <f>ROUND(H233*O233, 2)</f>
        <v/>
      </c>
      <c r="Q233" s="25" t="n">
        <v>0.02660351</v>
      </c>
      <c r="R233" s="25">
        <f>IFERROR(RATE(G233, -N233, K233, -P233), Q233)</f>
        <v/>
      </c>
      <c r="S233" s="25">
        <f>Q233*12</f>
        <v/>
      </c>
      <c r="T233" s="25">
        <f>((1+Q233)^12)-1</f>
        <v/>
      </c>
      <c r="U233" s="23">
        <f>IF(Q233&gt;0, ROUND(P233/((1+Q233)^G233), 2), P233)</f>
        <v/>
      </c>
      <c r="V233" s="23">
        <f>ROUND((N233*G233)-K233+P233, 2)</f>
        <v/>
      </c>
      <c r="W233" s="23">
        <f>ROUND(P233-U233, 2)</f>
        <v/>
      </c>
      <c r="X233" s="23">
        <f>ROUND(V233+W233, 2)</f>
        <v/>
      </c>
      <c r="Y233" s="23">
        <f>ROUND((N233*G233+P233+M233)-K233, 2)</f>
        <v/>
      </c>
      <c r="Z233" s="24">
        <f>IF(K233&gt;0, Y233/K233, 0)</f>
        <v/>
      </c>
    </row>
    <row r="234">
      <c r="A234" s="26" t="inlineStr">
        <is>
          <t>0747-0001</t>
        </is>
      </c>
      <c r="B234" s="27" t="inlineStr">
        <is>
          <t>Brandon Joel Zepeda Romero</t>
        </is>
      </c>
      <c r="C234" s="27" t="inlineStr">
        <is>
          <t>Ranger Raptor</t>
        </is>
      </c>
      <c r="D234" s="26" t="inlineStr">
        <is>
          <t>ACTIVO</t>
        </is>
      </c>
      <c r="E234" s="26" t="inlineStr">
        <is>
          <t>2026-02-24</t>
        </is>
      </c>
      <c r="F234" s="26" t="inlineStr">
        <is>
          <t>2030-02-24</t>
        </is>
      </c>
      <c r="G234" s="28" t="n">
        <v>48</v>
      </c>
      <c r="H234" s="29" t="n">
        <v>1077586.21</v>
      </c>
      <c r="I234" s="30" t="n">
        <v>0.2</v>
      </c>
      <c r="J234" s="29">
        <f>ROUND(H234*I234, 2)</f>
        <v/>
      </c>
      <c r="K234" s="29">
        <f>ROUND(H234-J234, 2)</f>
        <v/>
      </c>
      <c r="L234" s="30" t="n">
        <v>0.02</v>
      </c>
      <c r="M234" s="29">
        <f>ROUND(H234*L234, 2)</f>
        <v/>
      </c>
      <c r="N234" s="29" t="n">
        <v>31084.09</v>
      </c>
      <c r="O234" s="30" t="n">
        <v>0.1</v>
      </c>
      <c r="P234" s="29">
        <f>ROUND(H234*O234, 2)</f>
        <v/>
      </c>
      <c r="Q234" s="31" t="n">
        <v>0.0269254</v>
      </c>
      <c r="R234" s="31">
        <f>IFERROR(RATE(G234, -N234, K234, -P234), Q234)</f>
        <v/>
      </c>
      <c r="S234" s="31">
        <f>Q234*12</f>
        <v/>
      </c>
      <c r="T234" s="31">
        <f>((1+Q234)^12)-1</f>
        <v/>
      </c>
      <c r="U234" s="29">
        <f>IF(Q234&gt;0, ROUND(P234/((1+Q234)^G234), 2), P234)</f>
        <v/>
      </c>
      <c r="V234" s="29">
        <f>ROUND((N234*G234)-K234+P234, 2)</f>
        <v/>
      </c>
      <c r="W234" s="29">
        <f>ROUND(P234-U234, 2)</f>
        <v/>
      </c>
      <c r="X234" s="29">
        <f>ROUND(V234+W234, 2)</f>
        <v/>
      </c>
      <c r="Y234" s="29">
        <f>ROUND((N234*G234+P234+M234)-K234, 2)</f>
        <v/>
      </c>
      <c r="Z234" s="30">
        <f>IF(K234&gt;0, Y234/K234, 0)</f>
        <v/>
      </c>
    </row>
    <row r="235">
      <c r="A235" s="20" t="inlineStr">
        <is>
          <t>0748-0001</t>
        </is>
      </c>
      <c r="B235" s="21" t="inlineStr">
        <is>
          <t>Carlos Guerra Iñiguez</t>
        </is>
      </c>
      <c r="C235" s="21" t="inlineStr">
        <is>
          <t>L200 GLX</t>
        </is>
      </c>
      <c r="D235" s="20" t="inlineStr">
        <is>
          <t>ACTIVO</t>
        </is>
      </c>
      <c r="E235" s="20" t="inlineStr">
        <is>
          <t>2026-03-02</t>
        </is>
      </c>
      <c r="F235" s="20" t="inlineStr">
        <is>
          <t>2030-03-02</t>
        </is>
      </c>
      <c r="G235" s="22" t="n">
        <v>48</v>
      </c>
      <c r="H235" s="23" t="n">
        <v>420700.86</v>
      </c>
      <c r="I235" s="24" t="n">
        <v>0.2</v>
      </c>
      <c r="J235" s="23">
        <f>ROUND(H235*I235, 2)</f>
        <v/>
      </c>
      <c r="K235" s="23">
        <f>ROUND(H235-J235, 2)</f>
        <v/>
      </c>
      <c r="L235" s="24" t="n">
        <v>0.02</v>
      </c>
      <c r="M235" s="23">
        <f>ROUND(H235*L235, 2)</f>
        <v/>
      </c>
      <c r="N235" s="23" t="n">
        <v>12135.55</v>
      </c>
      <c r="O235" s="24" t="n">
        <v>0.1</v>
      </c>
      <c r="P235" s="23">
        <f>ROUND(H235*O235, 2)</f>
        <v/>
      </c>
      <c r="Q235" s="25" t="n">
        <v>0.02692539</v>
      </c>
      <c r="R235" s="25">
        <f>IFERROR(RATE(G235, -N235, K235, -P235), Q235)</f>
        <v/>
      </c>
      <c r="S235" s="25">
        <f>Q235*12</f>
        <v/>
      </c>
      <c r="T235" s="25">
        <f>((1+Q235)^12)-1</f>
        <v/>
      </c>
      <c r="U235" s="23">
        <f>IF(Q235&gt;0, ROUND(P235/((1+Q235)^G235), 2), P235)</f>
        <v/>
      </c>
      <c r="V235" s="23">
        <f>ROUND((N235*G235)-K235+P235, 2)</f>
        <v/>
      </c>
      <c r="W235" s="23">
        <f>ROUND(P235-U235, 2)</f>
        <v/>
      </c>
      <c r="X235" s="23">
        <f>ROUND(V235+W235, 2)</f>
        <v/>
      </c>
      <c r="Y235" s="23">
        <f>ROUND((N235*G235+P235+M235)-K235, 2)</f>
        <v/>
      </c>
      <c r="Z235" s="24">
        <f>IF(K235&gt;0, Y235/K235, 0)</f>
        <v/>
      </c>
    </row>
    <row r="236">
      <c r="A236" s="26" t="inlineStr">
        <is>
          <t>0749-0001</t>
        </is>
      </c>
      <c r="B236" s="27" t="inlineStr">
        <is>
          <t>Álvarez Fletes Nacionales, S.C.</t>
        </is>
      </c>
      <c r="C236" s="27" t="inlineStr">
        <is>
          <t>RAM 700 TRADESMAN CC</t>
        </is>
      </c>
      <c r="D236" s="26" t="inlineStr">
        <is>
          <t>ACTIVO</t>
        </is>
      </c>
      <c r="E236" s="26" t="inlineStr">
        <is>
          <t>2026-03-23</t>
        </is>
      </c>
      <c r="F236" s="26" t="inlineStr">
        <is>
          <t>2029-03-23</t>
        </is>
      </c>
      <c r="G236" s="28" t="n">
        <v>36</v>
      </c>
      <c r="H236" s="29" t="n">
        <v>340431.03</v>
      </c>
      <c r="I236" s="30" t="n">
        <v>0.2</v>
      </c>
      <c r="J236" s="29">
        <f>ROUND(H236*I236, 2)</f>
        <v/>
      </c>
      <c r="K236" s="29">
        <f>ROUND(H236-J236, 2)</f>
        <v/>
      </c>
      <c r="L236" s="30" t="n">
        <v>0.02</v>
      </c>
      <c r="M236" s="29">
        <f>ROUND(H236*L236, 2)</f>
        <v/>
      </c>
      <c r="N236" s="29" t="n">
        <v>11274.73</v>
      </c>
      <c r="O236" s="30" t="n">
        <v>0.1</v>
      </c>
      <c r="P236" s="29">
        <f>ROUND(H236*O236, 2)</f>
        <v/>
      </c>
      <c r="Q236" s="31" t="n">
        <v>0.0266035</v>
      </c>
      <c r="R236" s="31">
        <f>IFERROR(RATE(G236, -N236, K236, -P236), Q236)</f>
        <v/>
      </c>
      <c r="S236" s="31">
        <f>Q236*12</f>
        <v/>
      </c>
      <c r="T236" s="31">
        <f>((1+Q236)^12)-1</f>
        <v/>
      </c>
      <c r="U236" s="29">
        <f>IF(Q236&gt;0, ROUND(P236/((1+Q236)^G236), 2), P236)</f>
        <v/>
      </c>
      <c r="V236" s="29">
        <f>ROUND((N236*G236)-K236+P236, 2)</f>
        <v/>
      </c>
      <c r="W236" s="29">
        <f>ROUND(P236-U236, 2)</f>
        <v/>
      </c>
      <c r="X236" s="29">
        <f>ROUND(V236+W236, 2)</f>
        <v/>
      </c>
      <c r="Y236" s="29">
        <f>ROUND((N236*G236+P236+M236)-K236, 2)</f>
        <v/>
      </c>
      <c r="Z236" s="30">
        <f>IF(K236&gt;0, Y236/K236, 0)</f>
        <v/>
      </c>
    </row>
    <row r="237">
      <c r="A237" s="20" t="inlineStr">
        <is>
          <t>0749-0002</t>
        </is>
      </c>
      <c r="B237" s="21" t="inlineStr">
        <is>
          <t>Álvarez Fletes Nacionales, S.C.</t>
        </is>
      </c>
      <c r="C237" s="21" t="inlineStr">
        <is>
          <t>RAM 700 TRADESMAN CC</t>
        </is>
      </c>
      <c r="D237" s="20" t="inlineStr">
        <is>
          <t>ACTIVO</t>
        </is>
      </c>
      <c r="E237" s="20" t="inlineStr">
        <is>
          <t>2026-03-23</t>
        </is>
      </c>
      <c r="F237" s="20" t="inlineStr">
        <is>
          <t>2029-03-23</t>
        </is>
      </c>
      <c r="G237" s="22" t="n">
        <v>36</v>
      </c>
      <c r="H237" s="23" t="n">
        <v>340431.03</v>
      </c>
      <c r="I237" s="24" t="n">
        <v>0.2</v>
      </c>
      <c r="J237" s="23">
        <f>ROUND(H237*I237, 2)</f>
        <v/>
      </c>
      <c r="K237" s="23">
        <f>ROUND(H237-J237, 2)</f>
        <v/>
      </c>
      <c r="L237" s="24" t="n">
        <v>0.02</v>
      </c>
      <c r="M237" s="23">
        <f>ROUND(H237*L237, 2)</f>
        <v/>
      </c>
      <c r="N237" s="23" t="n">
        <v>11274.73</v>
      </c>
      <c r="O237" s="24" t="n">
        <v>0.1</v>
      </c>
      <c r="P237" s="23">
        <f>ROUND(H237*O237, 2)</f>
        <v/>
      </c>
      <c r="Q237" s="25" t="n">
        <v>0.0266035</v>
      </c>
      <c r="R237" s="25">
        <f>IFERROR(RATE(G237, -N237, K237, -P237), Q237)</f>
        <v/>
      </c>
      <c r="S237" s="25">
        <f>Q237*12</f>
        <v/>
      </c>
      <c r="T237" s="25">
        <f>((1+Q237)^12)-1</f>
        <v/>
      </c>
      <c r="U237" s="23">
        <f>IF(Q237&gt;0, ROUND(P237/((1+Q237)^G237), 2), P237)</f>
        <v/>
      </c>
      <c r="V237" s="23">
        <f>ROUND((N237*G237)-K237+P237, 2)</f>
        <v/>
      </c>
      <c r="W237" s="23">
        <f>ROUND(P237-U237, 2)</f>
        <v/>
      </c>
      <c r="X237" s="23">
        <f>ROUND(V237+W237, 2)</f>
        <v/>
      </c>
      <c r="Y237" s="23">
        <f>ROUND((N237*G237+P237+M237)-K237, 2)</f>
        <v/>
      </c>
      <c r="Z237" s="24">
        <f>IF(K237&gt;0, Y237/K237, 0)</f>
        <v/>
      </c>
    </row>
    <row r="238">
      <c r="A238" s="26" t="inlineStr">
        <is>
          <t>0750-0001</t>
        </is>
      </c>
      <c r="B238" s="27" t="inlineStr">
        <is>
          <t>Idea Gelato S de RL de CV</t>
        </is>
      </c>
      <c r="C238" s="27" t="inlineStr">
        <is>
          <t>Expert Furgon</t>
        </is>
      </c>
      <c r="D238" s="26" t="inlineStr">
        <is>
          <t>ACTIVO</t>
        </is>
      </c>
      <c r="E238" s="26" t="inlineStr">
        <is>
          <t>2026-03-31</t>
        </is>
      </c>
      <c r="F238" s="26" t="inlineStr">
        <is>
          <t>2028-03-31</t>
        </is>
      </c>
      <c r="G238" s="28" t="n">
        <v>24</v>
      </c>
      <c r="H238" s="29" t="n">
        <v>530948.28</v>
      </c>
      <c r="I238" s="30" t="n">
        <v>0.2</v>
      </c>
      <c r="J238" s="29">
        <f>ROUND(H238*I238, 2)</f>
        <v/>
      </c>
      <c r="K238" s="29">
        <f>ROUND(H238-J238, 2)</f>
        <v/>
      </c>
      <c r="L238" s="30" t="n">
        <v>0.02</v>
      </c>
      <c r="M238" s="29">
        <f>ROUND(H238*L238, 2)</f>
        <v/>
      </c>
      <c r="N238" s="29" t="n">
        <v>20804.57</v>
      </c>
      <c r="O238" s="30" t="n">
        <v>0.2</v>
      </c>
      <c r="P238" s="29">
        <f>ROUND(H238*O238, 2)</f>
        <v/>
      </c>
      <c r="Q238" s="31" t="n">
        <v>0.02611235</v>
      </c>
      <c r="R238" s="31">
        <f>IFERROR(RATE(G238, -N238, K238, -P238), Q238)</f>
        <v/>
      </c>
      <c r="S238" s="31">
        <f>Q238*12</f>
        <v/>
      </c>
      <c r="T238" s="31">
        <f>((1+Q238)^12)-1</f>
        <v/>
      </c>
      <c r="U238" s="29">
        <f>IF(Q238&gt;0, ROUND(P238/((1+Q238)^G238), 2), P238)</f>
        <v/>
      </c>
      <c r="V238" s="29">
        <f>ROUND((N238*G238)-K238+P238, 2)</f>
        <v/>
      </c>
      <c r="W238" s="29">
        <f>ROUND(P238-U238, 2)</f>
        <v/>
      </c>
      <c r="X238" s="29">
        <f>ROUND(V238+W238, 2)</f>
        <v/>
      </c>
      <c r="Y238" s="29">
        <f>ROUND((N238*G238+P238+M238)-K238, 2)</f>
        <v/>
      </c>
      <c r="Z238" s="30">
        <f>IF(K238&gt;0, Y238/K238, 0)</f>
        <v/>
      </c>
    </row>
    <row r="239">
      <c r="A239" s="20" t="inlineStr">
        <is>
          <t>0752-0001</t>
        </is>
      </c>
      <c r="B239" s="21" t="inlineStr">
        <is>
          <t>Fernando Plasencia Lopez</t>
        </is>
      </c>
      <c r="C239" s="21" t="inlineStr">
        <is>
          <t>Grand Cherokee Limited</t>
        </is>
      </c>
      <c r="D239" s="20" t="inlineStr">
        <is>
          <t>ACTIVO</t>
        </is>
      </c>
      <c r="E239" s="20" t="inlineStr">
        <is>
          <t>2026-03-31</t>
        </is>
      </c>
      <c r="F239" s="20" t="inlineStr">
        <is>
          <t>2028-03-31</t>
        </is>
      </c>
      <c r="G239" s="22" t="n">
        <v>24</v>
      </c>
      <c r="H239" s="23" t="n">
        <v>1205948.28</v>
      </c>
      <c r="I239" s="24" t="n">
        <v>0.1</v>
      </c>
      <c r="J239" s="23">
        <f>ROUND(H239*I239, 2)</f>
        <v/>
      </c>
      <c r="K239" s="23">
        <f>ROUND(H239-J239, 2)</f>
        <v/>
      </c>
      <c r="L239" s="24" t="n">
        <v>0.02</v>
      </c>
      <c r="M239" s="23">
        <f>ROUND(H239*L239, 2)</f>
        <v/>
      </c>
      <c r="N239" s="23" t="n">
        <v>50477.8</v>
      </c>
      <c r="O239" s="24" t="n">
        <v>0.3</v>
      </c>
      <c r="P239" s="23">
        <f>ROUND(H239*O239, 2)</f>
        <v/>
      </c>
      <c r="Q239" s="25" t="n">
        <v>0.02620492</v>
      </c>
      <c r="R239" s="25">
        <f>IFERROR(RATE(G239, -N239, K239, -P239), Q239)</f>
        <v/>
      </c>
      <c r="S239" s="25">
        <f>Q239*12</f>
        <v/>
      </c>
      <c r="T239" s="25">
        <f>((1+Q239)^12)-1</f>
        <v/>
      </c>
      <c r="U239" s="23">
        <f>IF(Q239&gt;0, ROUND(P239/((1+Q239)^G239), 2), P239)</f>
        <v/>
      </c>
      <c r="V239" s="23">
        <f>ROUND((N239*G239)-K239+P239, 2)</f>
        <v/>
      </c>
      <c r="W239" s="23">
        <f>ROUND(P239-U239, 2)</f>
        <v/>
      </c>
      <c r="X239" s="23">
        <f>ROUND(V239+W239, 2)</f>
        <v/>
      </c>
      <c r="Y239" s="23">
        <f>ROUND((N239*G239+P239+M239)-K239, 2)</f>
        <v/>
      </c>
      <c r="Z239" s="24">
        <f>IF(K239&gt;0, Y239/K239, 0)</f>
        <v/>
      </c>
    </row>
    <row r="240">
      <c r="A240" s="26" t="inlineStr">
        <is>
          <t>0752-0002</t>
        </is>
      </c>
      <c r="B240" s="27" t="inlineStr">
        <is>
          <t>Fernando Plasencia Lopez</t>
        </is>
      </c>
      <c r="C240" s="27" t="inlineStr">
        <is>
          <t>Grand Cherokee Altitude</t>
        </is>
      </c>
      <c r="D240" s="26" t="inlineStr">
        <is>
          <t>ACTIVO</t>
        </is>
      </c>
      <c r="E240" s="26" t="inlineStr">
        <is>
          <t>2026-03-31</t>
        </is>
      </c>
      <c r="F240" s="26" t="inlineStr">
        <is>
          <t>2028-03-31</t>
        </is>
      </c>
      <c r="G240" s="28" t="n">
        <v>24</v>
      </c>
      <c r="H240" s="29" t="n">
        <v>1025775.86</v>
      </c>
      <c r="I240" s="30" t="n">
        <v>0.1</v>
      </c>
      <c r="J240" s="29">
        <f>ROUND(H240*I240, 2)</f>
        <v/>
      </c>
      <c r="K240" s="29">
        <f>ROUND(H240-J240, 2)</f>
        <v/>
      </c>
      <c r="L240" s="30" t="n">
        <v>0.02</v>
      </c>
      <c r="M240" s="29">
        <f>ROUND(H240*L240, 2)</f>
        <v/>
      </c>
      <c r="N240" s="29" t="n">
        <v>42936.26</v>
      </c>
      <c r="O240" s="30" t="n">
        <v>0.3</v>
      </c>
      <c r="P240" s="29">
        <f>ROUND(H240*O240, 2)</f>
        <v/>
      </c>
      <c r="Q240" s="31" t="n">
        <v>0.02620492</v>
      </c>
      <c r="R240" s="31">
        <f>IFERROR(RATE(G240, -N240, K240, -P240), Q240)</f>
        <v/>
      </c>
      <c r="S240" s="31">
        <f>Q240*12</f>
        <v/>
      </c>
      <c r="T240" s="31">
        <f>((1+Q240)^12)-1</f>
        <v/>
      </c>
      <c r="U240" s="29">
        <f>IF(Q240&gt;0, ROUND(P240/((1+Q240)^G240), 2), P240)</f>
        <v/>
      </c>
      <c r="V240" s="29">
        <f>ROUND((N240*G240)-K240+P240, 2)</f>
        <v/>
      </c>
      <c r="W240" s="29">
        <f>ROUND(P240-U240, 2)</f>
        <v/>
      </c>
      <c r="X240" s="29">
        <f>ROUND(V240+W240, 2)</f>
        <v/>
      </c>
      <c r="Y240" s="29">
        <f>ROUND((N240*G240+P240+M240)-K240, 2)</f>
        <v/>
      </c>
      <c r="Z240" s="30">
        <f>IF(K240&gt;0, Y240/K240, 0)</f>
        <v/>
      </c>
    </row>
    <row r="241">
      <c r="A241" s="20" t="inlineStr">
        <is>
          <t>0752-0003</t>
        </is>
      </c>
      <c r="B241" s="21" t="inlineStr">
        <is>
          <t>Fernando Plasencia Lopez</t>
        </is>
      </c>
      <c r="C241" s="21" t="inlineStr">
        <is>
          <t>Grand Cherokee Summit</t>
        </is>
      </c>
      <c r="D241" s="20" t="inlineStr">
        <is>
          <t>ACTIVO</t>
        </is>
      </c>
      <c r="E241" s="20" t="inlineStr">
        <is>
          <t>2026-05-13</t>
        </is>
      </c>
      <c r="F241" s="20" t="inlineStr">
        <is>
          <t>2028-05-13</t>
        </is>
      </c>
      <c r="G241" s="22" t="n">
        <v>24</v>
      </c>
      <c r="H241" s="23" t="n">
        <v>1897900</v>
      </c>
      <c r="I241" s="24" t="n">
        <v>0.3</v>
      </c>
      <c r="J241" s="23">
        <f>ROUND(H241*I241, 2)</f>
        <v/>
      </c>
      <c r="K241" s="23">
        <f>ROUND(H241-J241, 2)</f>
        <v/>
      </c>
      <c r="L241" s="24" t="n">
        <v>0.02</v>
      </c>
      <c r="M241" s="23">
        <f>ROUND(H241*L241, 2)</f>
        <v/>
      </c>
      <c r="N241" s="23" t="n">
        <v>79441.07000000001</v>
      </c>
      <c r="O241" s="24" t="n">
        <v>0.3</v>
      </c>
      <c r="P241" s="23">
        <f>ROUND(H241*O241, 2)</f>
        <v/>
      </c>
      <c r="Q241" s="25" t="n">
        <v>0.04632321</v>
      </c>
      <c r="R241" s="25">
        <f>IFERROR(RATE(G241, -N241, K241, -P241), Q241)</f>
        <v/>
      </c>
      <c r="S241" s="25">
        <f>Q241*12</f>
        <v/>
      </c>
      <c r="T241" s="25">
        <f>((1+Q241)^12)-1</f>
        <v/>
      </c>
      <c r="U241" s="23">
        <f>IF(Q241&gt;0, ROUND(P241/((1+Q241)^G241), 2), P241)</f>
        <v/>
      </c>
      <c r="V241" s="23">
        <f>ROUND((N241*G241)-K241+P241, 2)</f>
        <v/>
      </c>
      <c r="W241" s="23">
        <f>ROUND(P241-U241, 2)</f>
        <v/>
      </c>
      <c r="X241" s="23">
        <f>ROUND(V241+W241, 2)</f>
        <v/>
      </c>
      <c r="Y241" s="23">
        <f>ROUND((N241*G241+P241+M241)-K241, 2)</f>
        <v/>
      </c>
      <c r="Z241" s="24">
        <f>IF(K241&gt;0, Y241/K241, 0)</f>
        <v/>
      </c>
    </row>
    <row r="242">
      <c r="A242" s="26" t="inlineStr">
        <is>
          <t>0752-0004</t>
        </is>
      </c>
      <c r="B242" s="27" t="inlineStr">
        <is>
          <t>Fernando Plasencia Lopez</t>
        </is>
      </c>
      <c r="C242" s="27" t="inlineStr">
        <is>
          <t>1200 BIGHORN CC</t>
        </is>
      </c>
      <c r="D242" s="26" t="inlineStr">
        <is>
          <t>ACTIVO</t>
        </is>
      </c>
      <c r="E242" s="26" t="inlineStr">
        <is>
          <t>2026-06-05</t>
        </is>
      </c>
      <c r="F242" s="26" t="inlineStr">
        <is>
          <t>2030-06-05</t>
        </is>
      </c>
      <c r="G242" s="28" t="n">
        <v>48</v>
      </c>
      <c r="H242" s="29" t="n">
        <v>562503</v>
      </c>
      <c r="I242" s="30" t="n">
        <v>0.2</v>
      </c>
      <c r="J242" s="29">
        <f>ROUND(H242*I242, 2)</f>
        <v/>
      </c>
      <c r="K242" s="29">
        <f>ROUND(H242-J242, 2)</f>
        <v/>
      </c>
      <c r="L242" s="30" t="n">
        <v>0.02</v>
      </c>
      <c r="M242" s="29">
        <f>ROUND(H242*L242, 2)</f>
        <v/>
      </c>
      <c r="N242" s="29" t="n">
        <v>15096.94</v>
      </c>
      <c r="O242" s="30" t="n">
        <v>0.3</v>
      </c>
      <c r="P242" s="29">
        <f>ROUND(H242*O242, 2)</f>
        <v/>
      </c>
      <c r="Q242" s="31" t="n">
        <v>0.0270477</v>
      </c>
      <c r="R242" s="31">
        <f>IFERROR(RATE(G242, -N242, K242, -P242), Q242)</f>
        <v/>
      </c>
      <c r="S242" s="31">
        <f>Q242*12</f>
        <v/>
      </c>
      <c r="T242" s="31">
        <f>((1+Q242)^12)-1</f>
        <v/>
      </c>
      <c r="U242" s="29">
        <f>IF(Q242&gt;0, ROUND(P242/((1+Q242)^G242), 2), P242)</f>
        <v/>
      </c>
      <c r="V242" s="29">
        <f>ROUND((N242*G242)-K242+P242, 2)</f>
        <v/>
      </c>
      <c r="W242" s="29">
        <f>ROUND(P242-U242, 2)</f>
        <v/>
      </c>
      <c r="X242" s="29">
        <f>ROUND(V242+W242, 2)</f>
        <v/>
      </c>
      <c r="Y242" s="29">
        <f>ROUND((N242*G242+P242+M242)-K242, 2)</f>
        <v/>
      </c>
      <c r="Z242" s="30">
        <f>IF(K242&gt;0, Y242/K242, 0)</f>
        <v/>
      </c>
    </row>
    <row r="243">
      <c r="A243" s="20" t="inlineStr">
        <is>
          <t>0752-0005</t>
        </is>
      </c>
      <c r="B243" s="21" t="inlineStr">
        <is>
          <t>Fernando Plasencia Lopez</t>
        </is>
      </c>
      <c r="C243" s="21" t="inlineStr">
        <is>
          <t>Grand Charokee Altitude</t>
        </is>
      </c>
      <c r="D243" s="20" t="inlineStr">
        <is>
          <t>ACTIVO</t>
        </is>
      </c>
      <c r="E243" s="20" t="inlineStr">
        <is>
          <t>2026-06-05</t>
        </is>
      </c>
      <c r="F243" s="20" t="inlineStr">
        <is>
          <t>2028-06-05</t>
        </is>
      </c>
      <c r="G243" s="22" t="n">
        <v>24</v>
      </c>
      <c r="H243" s="23" t="n">
        <v>1189900</v>
      </c>
      <c r="I243" s="24" t="n">
        <v>0.2</v>
      </c>
      <c r="J243" s="23">
        <f>ROUND(H243*I243, 2)</f>
        <v/>
      </c>
      <c r="K243" s="23">
        <f>ROUND(H243-J243, 2)</f>
        <v/>
      </c>
      <c r="L243" s="24" t="n">
        <v>0.02</v>
      </c>
      <c r="M243" s="23">
        <f>ROUND(H243*L243, 2)</f>
        <v/>
      </c>
      <c r="N243" s="23" t="n">
        <v>43095.68</v>
      </c>
      <c r="O243" s="24" t="n">
        <v>0.3</v>
      </c>
      <c r="P243" s="23">
        <f>ROUND(H243*O243, 2)</f>
        <v/>
      </c>
      <c r="Q243" s="25" t="n">
        <v>0.02624833</v>
      </c>
      <c r="R243" s="25">
        <f>IFERROR(RATE(G243, -N243, K243, -P243), Q243)</f>
        <v/>
      </c>
      <c r="S243" s="25">
        <f>Q243*12</f>
        <v/>
      </c>
      <c r="T243" s="25">
        <f>((1+Q243)^12)-1</f>
        <v/>
      </c>
      <c r="U243" s="23">
        <f>IF(Q243&gt;0, ROUND(P243/((1+Q243)^G243), 2), P243)</f>
        <v/>
      </c>
      <c r="V243" s="23">
        <f>ROUND((N243*G243)-K243+P243, 2)</f>
        <v/>
      </c>
      <c r="W243" s="23">
        <f>ROUND(P243-U243, 2)</f>
        <v/>
      </c>
      <c r="X243" s="23">
        <f>ROUND(V243+W243, 2)</f>
        <v/>
      </c>
      <c r="Y243" s="23">
        <f>ROUND((N243*G243+P243+M243)-K243, 2)</f>
        <v/>
      </c>
      <c r="Z243" s="24">
        <f>IF(K243&gt;0, Y243/K243, 0)</f>
        <v/>
      </c>
    </row>
    <row r="244">
      <c r="A244" s="26" t="inlineStr">
        <is>
          <t>0753-0001</t>
        </is>
      </c>
      <c r="B244" s="27" t="inlineStr">
        <is>
          <t>Milodi Seguridad Privada</t>
        </is>
      </c>
      <c r="C244" s="27" t="inlineStr">
        <is>
          <t>Alsvin</t>
        </is>
      </c>
      <c r="D244" s="26" t="inlineStr">
        <is>
          <t>ACTIVO</t>
        </is>
      </c>
      <c r="E244" s="26" t="inlineStr">
        <is>
          <t>2026-03-31</t>
        </is>
      </c>
      <c r="F244" s="26" t="inlineStr">
        <is>
          <t>2029-03-31</t>
        </is>
      </c>
      <c r="G244" s="28" t="n">
        <v>36</v>
      </c>
      <c r="H244" s="29" t="n">
        <v>219771.55</v>
      </c>
      <c r="I244" s="30" t="n">
        <v>0.1</v>
      </c>
      <c r="J244" s="29">
        <f>ROUND(H244*I244, 2)</f>
        <v/>
      </c>
      <c r="K244" s="29">
        <f>ROUND(H244-J244, 2)</f>
        <v/>
      </c>
      <c r="L244" s="30" t="n">
        <v>0.02</v>
      </c>
      <c r="M244" s="29">
        <f>ROUND(H244*L244, 2)</f>
        <v/>
      </c>
      <c r="N244" s="29" t="n">
        <v>7874.25</v>
      </c>
      <c r="O244" s="30" t="n">
        <v>0.2</v>
      </c>
      <c r="P244" s="29">
        <f>ROUND(H244*O244, 2)</f>
        <v/>
      </c>
      <c r="Q244" s="31" t="n">
        <v>0.02667843</v>
      </c>
      <c r="R244" s="31">
        <f>IFERROR(RATE(G244, -N244, K244, -P244), Q244)</f>
        <v/>
      </c>
      <c r="S244" s="31">
        <f>Q244*12</f>
        <v/>
      </c>
      <c r="T244" s="31">
        <f>((1+Q244)^12)-1</f>
        <v/>
      </c>
      <c r="U244" s="29">
        <f>IF(Q244&gt;0, ROUND(P244/((1+Q244)^G244), 2), P244)</f>
        <v/>
      </c>
      <c r="V244" s="29">
        <f>ROUND((N244*G244)-K244+P244, 2)</f>
        <v/>
      </c>
      <c r="W244" s="29">
        <f>ROUND(P244-U244, 2)</f>
        <v/>
      </c>
      <c r="X244" s="29">
        <f>ROUND(V244+W244, 2)</f>
        <v/>
      </c>
      <c r="Y244" s="29">
        <f>ROUND((N244*G244+P244+M244)-K244, 2)</f>
        <v/>
      </c>
      <c r="Z244" s="30">
        <f>IF(K244&gt;0, Y244/K244, 0)</f>
        <v/>
      </c>
    </row>
    <row r="245">
      <c r="A245" s="20" t="inlineStr">
        <is>
          <t>0753-0003</t>
        </is>
      </c>
      <c r="B245" s="21" t="inlineStr">
        <is>
          <t>Milodi Seguridad Privada</t>
        </is>
      </c>
      <c r="C245" s="21" t="inlineStr">
        <is>
          <t>CS35</t>
        </is>
      </c>
      <c r="D245" s="20" t="inlineStr">
        <is>
          <t>ACTIVO</t>
        </is>
      </c>
      <c r="E245" s="20" t="inlineStr">
        <is>
          <t>2026-06-16</t>
        </is>
      </c>
      <c r="F245" s="20" t="inlineStr">
        <is>
          <t>2029-06-16</t>
        </is>
      </c>
      <c r="G245" s="22" t="n">
        <v>36</v>
      </c>
      <c r="H245" s="23" t="n">
        <v>455803</v>
      </c>
      <c r="I245" s="24" t="n">
        <v>0.37</v>
      </c>
      <c r="J245" s="23">
        <f>ROUND(H245*I245, 2)</f>
        <v/>
      </c>
      <c r="K245" s="23">
        <f>ROUND(H245-J245, 2)</f>
        <v/>
      </c>
      <c r="L245" s="24" t="n">
        <v>0.02</v>
      </c>
      <c r="M245" s="23">
        <f>ROUND(H245*L245, 2)</f>
        <v/>
      </c>
      <c r="N245" s="23" t="n">
        <v>11729.64</v>
      </c>
      <c r="O245" s="24" t="n">
        <v>0.1</v>
      </c>
      <c r="P245" s="23">
        <f>ROUND(H245*O245, 2)</f>
        <v/>
      </c>
      <c r="Q245" s="25" t="n">
        <v>0.02663025</v>
      </c>
      <c r="R245" s="25">
        <f>IFERROR(RATE(G245, -N245, K245, -P245), Q245)</f>
        <v/>
      </c>
      <c r="S245" s="25">
        <f>Q245*12</f>
        <v/>
      </c>
      <c r="T245" s="25">
        <f>((1+Q245)^12)-1</f>
        <v/>
      </c>
      <c r="U245" s="23">
        <f>IF(Q245&gt;0, ROUND(P245/((1+Q245)^G245), 2), P245)</f>
        <v/>
      </c>
      <c r="V245" s="23">
        <f>ROUND((N245*G245)-K245+P245, 2)</f>
        <v/>
      </c>
      <c r="W245" s="23">
        <f>ROUND(P245-U245, 2)</f>
        <v/>
      </c>
      <c r="X245" s="23">
        <f>ROUND(V245+W245, 2)</f>
        <v/>
      </c>
      <c r="Y245" s="23">
        <f>ROUND((N245*G245+P245+M245)-K245, 2)</f>
        <v/>
      </c>
      <c r="Z245" s="24">
        <f>IF(K245&gt;0, Y245/K245, 0)</f>
        <v/>
      </c>
    </row>
    <row r="246">
      <c r="A246" s="26" t="inlineStr">
        <is>
          <t>0754-0001</t>
        </is>
      </c>
      <c r="B246" s="27" t="inlineStr">
        <is>
          <t>Luis Guillermo Rios Villaseñor</t>
        </is>
      </c>
      <c r="C246" s="27" t="inlineStr">
        <is>
          <t>2008 GT</t>
        </is>
      </c>
      <c r="D246" s="26" t="inlineStr">
        <is>
          <t>ACTIVO</t>
        </is>
      </c>
      <c r="E246" s="26" t="inlineStr">
        <is>
          <t>2026-04-23</t>
        </is>
      </c>
      <c r="F246" s="26" t="inlineStr">
        <is>
          <t>2028-04-23</t>
        </is>
      </c>
      <c r="G246" s="28" t="n">
        <v>24</v>
      </c>
      <c r="H246" s="29" t="n">
        <v>423189.66</v>
      </c>
      <c r="I246" s="30" t="n">
        <v>0.333</v>
      </c>
      <c r="J246" s="29">
        <f>ROUND(H246*I246, 2)</f>
        <v/>
      </c>
      <c r="K246" s="29">
        <f>ROUND(H246-J246, 2)</f>
        <v/>
      </c>
      <c r="L246" s="30" t="n">
        <v>0</v>
      </c>
      <c r="M246" s="29">
        <f>ROUND(H246*L246, 2)</f>
        <v/>
      </c>
      <c r="N246" s="29" t="n">
        <v>13408.06</v>
      </c>
      <c r="O246" s="30" t="n">
        <v>0.2</v>
      </c>
      <c r="P246" s="29">
        <f>ROUND(H246*O246, 2)</f>
        <v/>
      </c>
      <c r="Q246" s="31" t="n">
        <v>0.02616869</v>
      </c>
      <c r="R246" s="31">
        <f>IFERROR(RATE(G246, -N246, K246, -P246), Q246)</f>
        <v/>
      </c>
      <c r="S246" s="31">
        <f>Q246*12</f>
        <v/>
      </c>
      <c r="T246" s="31">
        <f>((1+Q246)^12)-1</f>
        <v/>
      </c>
      <c r="U246" s="29">
        <f>IF(Q246&gt;0, ROUND(P246/((1+Q246)^G246), 2), P246)</f>
        <v/>
      </c>
      <c r="V246" s="29">
        <f>ROUND((N246*G246)-K246+P246, 2)</f>
        <v/>
      </c>
      <c r="W246" s="29">
        <f>ROUND(P246-U246, 2)</f>
        <v/>
      </c>
      <c r="X246" s="29">
        <f>ROUND(V246+W246, 2)</f>
        <v/>
      </c>
      <c r="Y246" s="29">
        <f>ROUND((N246*G246+P246+M246)-K246, 2)</f>
        <v/>
      </c>
      <c r="Z246" s="30">
        <f>IF(K246&gt;0, Y246/K246, 0)</f>
        <v/>
      </c>
    </row>
    <row r="247">
      <c r="A247" s="20" t="inlineStr">
        <is>
          <t>0755-0001</t>
        </is>
      </c>
      <c r="B247" s="21" t="inlineStr">
        <is>
          <t>Abiam Antonio Reyna Aguilar</t>
        </is>
      </c>
      <c r="C247" s="21" t="inlineStr">
        <is>
          <t>1500 RHO</t>
        </is>
      </c>
      <c r="D247" s="20" t="inlineStr">
        <is>
          <t>ACTIVO</t>
        </is>
      </c>
      <c r="E247" s="20" t="inlineStr">
        <is>
          <t>2026-04-28</t>
        </is>
      </c>
      <c r="F247" s="20" t="inlineStr">
        <is>
          <t>2027-04-28</t>
        </is>
      </c>
      <c r="G247" s="22" t="n">
        <v>12</v>
      </c>
      <c r="H247" s="23" t="n">
        <v>2025862.07</v>
      </c>
      <c r="I247" s="24" t="n">
        <v>0.2</v>
      </c>
      <c r="J247" s="23">
        <f>ROUND(H247*I247, 2)</f>
        <v/>
      </c>
      <c r="K247" s="23">
        <f>ROUND(H247-J247, 2)</f>
        <v/>
      </c>
      <c r="L247" s="24" t="n">
        <v>0.02</v>
      </c>
      <c r="M247" s="23">
        <f>ROUND(H247*L247, 2)</f>
        <v/>
      </c>
      <c r="N247" s="23" t="n">
        <v>111259.79</v>
      </c>
      <c r="O247" s="24" t="n">
        <v>0.3</v>
      </c>
      <c r="P247" s="23">
        <f>ROUND(H247*O247, 2)</f>
        <v/>
      </c>
      <c r="Q247" s="25" t="n">
        <v>0.0227716</v>
      </c>
      <c r="R247" s="25">
        <f>IFERROR(RATE(G247, -N247, K247, -P247), Q247)</f>
        <v/>
      </c>
      <c r="S247" s="25">
        <f>Q247*12</f>
        <v/>
      </c>
      <c r="T247" s="25">
        <f>((1+Q247)^12)-1</f>
        <v/>
      </c>
      <c r="U247" s="23">
        <f>IF(Q247&gt;0, ROUND(P247/((1+Q247)^G247), 2), P247)</f>
        <v/>
      </c>
      <c r="V247" s="23">
        <f>ROUND((N247*G247)-K247+P247, 2)</f>
        <v/>
      </c>
      <c r="W247" s="23">
        <f>ROUND(P247-U247, 2)</f>
        <v/>
      </c>
      <c r="X247" s="23">
        <f>ROUND(V247+W247, 2)</f>
        <v/>
      </c>
      <c r="Y247" s="23">
        <f>ROUND((N247*G247+P247+M247)-K247, 2)</f>
        <v/>
      </c>
      <c r="Z247" s="24">
        <f>IF(K247&gt;0, Y247/K247, 0)</f>
        <v/>
      </c>
    </row>
    <row r="248">
      <c r="A248" s="26" t="inlineStr">
        <is>
          <t>0756-0001</t>
        </is>
      </c>
      <c r="B248" s="27" t="inlineStr">
        <is>
          <t>Agricola Hortiberry, S.A. de C.V.</t>
        </is>
      </c>
      <c r="C248" s="27" t="inlineStr">
        <is>
          <t>1200  Tradesman Chasis Cabina</t>
        </is>
      </c>
      <c r="D248" s="26" t="inlineStr">
        <is>
          <t>ACTIVO</t>
        </is>
      </c>
      <c r="E248" s="26" t="inlineStr">
        <is>
          <t>2026-05-06</t>
        </is>
      </c>
      <c r="F248" s="26" t="inlineStr">
        <is>
          <t>2030-05-06</t>
        </is>
      </c>
      <c r="G248" s="28" t="n">
        <v>48</v>
      </c>
      <c r="H248" s="29" t="n">
        <v>454653</v>
      </c>
      <c r="I248" s="30" t="n">
        <v>0.4</v>
      </c>
      <c r="J248" s="29">
        <f>ROUND(H248*I248, 2)</f>
        <v/>
      </c>
      <c r="K248" s="29">
        <f>ROUND(H248-J248, 2)</f>
        <v/>
      </c>
      <c r="L248" s="30" t="n">
        <v>0.02</v>
      </c>
      <c r="M248" s="29">
        <f>ROUND(H248*L248, 2)</f>
        <v/>
      </c>
      <c r="N248" s="29" t="n">
        <v>9722.129999999999</v>
      </c>
      <c r="O248" s="30" t="n">
        <v>0.4</v>
      </c>
      <c r="P248" s="29">
        <f>ROUND(H248*O248, 2)</f>
        <v/>
      </c>
      <c r="Q248" s="31" t="n">
        <v>0.03268022</v>
      </c>
      <c r="R248" s="31">
        <f>IFERROR(RATE(G248, -N248, K248, -P248), Q248)</f>
        <v/>
      </c>
      <c r="S248" s="31">
        <f>Q248*12</f>
        <v/>
      </c>
      <c r="T248" s="31">
        <f>((1+Q248)^12)-1</f>
        <v/>
      </c>
      <c r="U248" s="29">
        <f>IF(Q248&gt;0, ROUND(P248/((1+Q248)^G248), 2), P248)</f>
        <v/>
      </c>
      <c r="V248" s="29">
        <f>ROUND((N248*G248)-K248+P248, 2)</f>
        <v/>
      </c>
      <c r="W248" s="29">
        <f>ROUND(P248-U248, 2)</f>
        <v/>
      </c>
      <c r="X248" s="29">
        <f>ROUND(V248+W248, 2)</f>
        <v/>
      </c>
      <c r="Y248" s="29">
        <f>ROUND((N248*G248+P248+M248)-K248, 2)</f>
        <v/>
      </c>
      <c r="Z248" s="30">
        <f>IF(K248&gt;0, Y248/K248, 0)</f>
        <v/>
      </c>
    </row>
    <row r="249">
      <c r="A249" s="20" t="inlineStr">
        <is>
          <t>0757-0001</t>
        </is>
      </c>
      <c r="B249" s="21" t="inlineStr">
        <is>
          <t>Corporativo de Servicios Integrales de Occidente, S.A. de C.V.</t>
        </is>
      </c>
      <c r="C249" s="21" t="inlineStr">
        <is>
          <t>CX5</t>
        </is>
      </c>
      <c r="D249" s="20" t="inlineStr">
        <is>
          <t>ACTIVO</t>
        </is>
      </c>
      <c r="E249" s="20" t="inlineStr">
        <is>
          <t>2026-05-13</t>
        </is>
      </c>
      <c r="F249" s="20" t="inlineStr">
        <is>
          <t>2028-05-13</t>
        </is>
      </c>
      <c r="G249" s="22" t="n">
        <v>24</v>
      </c>
      <c r="H249" s="23" t="n">
        <v>719900</v>
      </c>
      <c r="I249" s="24" t="n">
        <v>0.2</v>
      </c>
      <c r="J249" s="23">
        <f>ROUND(H249*I249, 2)</f>
        <v/>
      </c>
      <c r="K249" s="23">
        <f>ROUND(H249-J249, 2)</f>
        <v/>
      </c>
      <c r="L249" s="24" t="n">
        <v>0.02</v>
      </c>
      <c r="M249" s="23">
        <f>ROUND(H249*L249, 2)</f>
        <v/>
      </c>
      <c r="N249" s="23" t="n">
        <v>28208.42</v>
      </c>
      <c r="O249" s="24" t="n">
        <v>0.2</v>
      </c>
      <c r="P249" s="23">
        <f>ROUND(H249*O249, 2)</f>
        <v/>
      </c>
      <c r="Q249" s="25" t="n">
        <v>0.02611236</v>
      </c>
      <c r="R249" s="25">
        <f>IFERROR(RATE(G249, -N249, K249, -P249), Q249)</f>
        <v/>
      </c>
      <c r="S249" s="25">
        <f>Q249*12</f>
        <v/>
      </c>
      <c r="T249" s="25">
        <f>((1+Q249)^12)-1</f>
        <v/>
      </c>
      <c r="U249" s="23">
        <f>IF(Q249&gt;0, ROUND(P249/((1+Q249)^G249), 2), P249)</f>
        <v/>
      </c>
      <c r="V249" s="23">
        <f>ROUND((N249*G249)-K249+P249, 2)</f>
        <v/>
      </c>
      <c r="W249" s="23">
        <f>ROUND(P249-U249, 2)</f>
        <v/>
      </c>
      <c r="X249" s="23">
        <f>ROUND(V249+W249, 2)</f>
        <v/>
      </c>
      <c r="Y249" s="23">
        <f>ROUND((N249*G249+P249+M249)-K249, 2)</f>
        <v/>
      </c>
      <c r="Z249" s="24">
        <f>IF(K249&gt;0, Y249/K249, 0)</f>
        <v/>
      </c>
    </row>
    <row r="250">
      <c r="A250" s="26" t="inlineStr">
        <is>
          <t>0757-0002</t>
        </is>
      </c>
      <c r="B250" s="27" t="inlineStr">
        <is>
          <t>Corporativo de Servicios Integrales de Occidente, S.A. de C.V.</t>
        </is>
      </c>
      <c r="C250" s="27" t="inlineStr">
        <is>
          <t>Leapmotor B10 2026</t>
        </is>
      </c>
      <c r="D250" s="26" t="inlineStr">
        <is>
          <t>ACTIVO</t>
        </is>
      </c>
      <c r="E250" s="26" t="inlineStr">
        <is>
          <t>2026-07-31</t>
        </is>
      </c>
      <c r="F250" s="26" t="inlineStr">
        <is>
          <t>2029-07-31</t>
        </is>
      </c>
      <c r="G250" s="28" t="n">
        <v>36</v>
      </c>
      <c r="H250" s="29" t="n">
        <v>426724.14</v>
      </c>
      <c r="I250" s="30" t="n">
        <v>0.3</v>
      </c>
      <c r="J250" s="29">
        <f>ROUND(H250*I250, 2)</f>
        <v/>
      </c>
      <c r="K250" s="29">
        <f>ROUND(H250-J250, 2)</f>
        <v/>
      </c>
      <c r="L250" s="30" t="n">
        <v>0.02</v>
      </c>
      <c r="M250" s="29">
        <f>ROUND(H250*L250, 2)</f>
        <v/>
      </c>
      <c r="N250" s="29" t="n">
        <v>12278.93</v>
      </c>
      <c r="O250" s="30" t="n">
        <v>0.1</v>
      </c>
      <c r="P250" s="29">
        <f>ROUND(H250*O250, 2)</f>
        <v/>
      </c>
      <c r="Q250" s="31" t="n">
        <v>0.02661775</v>
      </c>
      <c r="R250" s="31">
        <f>IFERROR(RATE(G250, -N250, K250, -P250), Q250)</f>
        <v/>
      </c>
      <c r="S250" s="31">
        <f>Q250*12</f>
        <v/>
      </c>
      <c r="T250" s="31">
        <f>((1+Q250)^12)-1</f>
        <v/>
      </c>
      <c r="U250" s="29">
        <f>IF(Q250&gt;0, ROUND(P250/((1+Q250)^G250), 2), P250)</f>
        <v/>
      </c>
      <c r="V250" s="29">
        <f>ROUND((N250*G250)-K250+P250, 2)</f>
        <v/>
      </c>
      <c r="W250" s="29">
        <f>ROUND(P250-U250, 2)</f>
        <v/>
      </c>
      <c r="X250" s="29">
        <f>ROUND(V250+W250, 2)</f>
        <v/>
      </c>
      <c r="Y250" s="29">
        <f>ROUND((N250*G250+P250+M250)-K250, 2)</f>
        <v/>
      </c>
      <c r="Z250" s="30">
        <f>IF(K250&gt;0, Y250/K250, 0)</f>
        <v/>
      </c>
    </row>
    <row r="251">
      <c r="A251" s="20" t="inlineStr">
        <is>
          <t>0758-0001</t>
        </is>
      </c>
      <c r="B251" s="21" t="inlineStr">
        <is>
          <t>Comedores y Servicios Industriales CAMSAA, S.A. de C.V.</t>
        </is>
      </c>
      <c r="C251" s="21" t="inlineStr">
        <is>
          <t>Partner Rapid</t>
        </is>
      </c>
      <c r="D251" s="20" t="inlineStr">
        <is>
          <t>ACTIVO</t>
        </is>
      </c>
      <c r="E251" s="20" t="inlineStr">
        <is>
          <t>2026-05-08</t>
        </is>
      </c>
      <c r="F251" s="20" t="inlineStr">
        <is>
          <t>2028-05-08</t>
        </is>
      </c>
      <c r="G251" s="22" t="n">
        <v>24</v>
      </c>
      <c r="H251" s="23" t="n">
        <v>338400</v>
      </c>
      <c r="I251" s="24" t="n">
        <v>0.1</v>
      </c>
      <c r="J251" s="23">
        <f>ROUND(H251*I251, 2)</f>
        <v/>
      </c>
      <c r="K251" s="23">
        <f>ROUND(H251-J251, 2)</f>
        <v/>
      </c>
      <c r="L251" s="24" t="n">
        <v>0.02</v>
      </c>
      <c r="M251" s="23">
        <f>ROUND(H251*L251, 2)</f>
        <v/>
      </c>
      <c r="N251" s="23" t="n">
        <v>14164.53</v>
      </c>
      <c r="O251" s="24" t="n">
        <v>0.3</v>
      </c>
      <c r="P251" s="23">
        <f>ROUND(H251*O251, 2)</f>
        <v/>
      </c>
      <c r="Q251" s="25" t="n">
        <v>0.02620493</v>
      </c>
      <c r="R251" s="25">
        <f>IFERROR(RATE(G251, -N251, K251, -P251), Q251)</f>
        <v/>
      </c>
      <c r="S251" s="25">
        <f>Q251*12</f>
        <v/>
      </c>
      <c r="T251" s="25">
        <f>((1+Q251)^12)-1</f>
        <v/>
      </c>
      <c r="U251" s="23">
        <f>IF(Q251&gt;0, ROUND(P251/((1+Q251)^G251), 2), P251)</f>
        <v/>
      </c>
      <c r="V251" s="23">
        <f>ROUND((N251*G251)-K251+P251, 2)</f>
        <v/>
      </c>
      <c r="W251" s="23">
        <f>ROUND(P251-U251, 2)</f>
        <v/>
      </c>
      <c r="X251" s="23">
        <f>ROUND(V251+W251, 2)</f>
        <v/>
      </c>
      <c r="Y251" s="23">
        <f>ROUND((N251*G251+P251+M251)-K251, 2)</f>
        <v/>
      </c>
      <c r="Z251" s="24">
        <f>IF(K251&gt;0, Y251/K251, 0)</f>
        <v/>
      </c>
    </row>
    <row r="252">
      <c r="A252" s="26" t="inlineStr">
        <is>
          <t>0759-0001</t>
        </is>
      </c>
      <c r="B252" s="27" t="inlineStr">
        <is>
          <t>Construcciones Ligeras Frin, S.A. de C.V.</t>
        </is>
      </c>
      <c r="C252" s="27" t="inlineStr">
        <is>
          <t>700 BIGHORN CREW CAB</t>
        </is>
      </c>
      <c r="D252" s="26" t="inlineStr">
        <is>
          <t>ACTIVO</t>
        </is>
      </c>
      <c r="E252" s="26" t="inlineStr">
        <is>
          <t>2026-05-14</t>
        </is>
      </c>
      <c r="F252" s="26" t="inlineStr">
        <is>
          <t>2029-05-14</t>
        </is>
      </c>
      <c r="G252" s="28" t="n">
        <v>36</v>
      </c>
      <c r="H252" s="29" t="n">
        <v>389900</v>
      </c>
      <c r="I252" s="30" t="n">
        <v>0.2</v>
      </c>
      <c r="J252" s="29">
        <f>ROUND(H252*I252, 2)</f>
        <v/>
      </c>
      <c r="K252" s="29">
        <f>ROUND(H252-J252, 2)</f>
        <v/>
      </c>
      <c r="L252" s="30" t="n">
        <v>0.02</v>
      </c>
      <c r="M252" s="29">
        <f>ROUND(H252*L252, 2)</f>
        <v/>
      </c>
      <c r="N252" s="29" t="n">
        <v>12913.09</v>
      </c>
      <c r="O252" s="30" t="n">
        <v>0.1</v>
      </c>
      <c r="P252" s="29">
        <f>ROUND(H252*O252, 2)</f>
        <v/>
      </c>
      <c r="Q252" s="31" t="n">
        <v>0.02660349</v>
      </c>
      <c r="R252" s="31">
        <f>IFERROR(RATE(G252, -N252, K252, -P252), Q252)</f>
        <v/>
      </c>
      <c r="S252" s="31">
        <f>Q252*12</f>
        <v/>
      </c>
      <c r="T252" s="31">
        <f>((1+Q252)^12)-1</f>
        <v/>
      </c>
      <c r="U252" s="29">
        <f>IF(Q252&gt;0, ROUND(P252/((1+Q252)^G252), 2), P252)</f>
        <v/>
      </c>
      <c r="V252" s="29">
        <f>ROUND((N252*G252)-K252+P252, 2)</f>
        <v/>
      </c>
      <c r="W252" s="29">
        <f>ROUND(P252-U252, 2)</f>
        <v/>
      </c>
      <c r="X252" s="29">
        <f>ROUND(V252+W252, 2)</f>
        <v/>
      </c>
      <c r="Y252" s="29">
        <f>ROUND((N252*G252+P252+M252)-K252, 2)</f>
        <v/>
      </c>
      <c r="Z252" s="30">
        <f>IF(K252&gt;0, Y252/K252, 0)</f>
        <v/>
      </c>
    </row>
    <row r="253">
      <c r="A253" s="20" t="inlineStr">
        <is>
          <t>0759-0002</t>
        </is>
      </c>
      <c r="B253" s="21" t="inlineStr">
        <is>
          <t>Construcciones Ligeras Frin, S.A. de C.V.</t>
        </is>
      </c>
      <c r="C253" s="21" t="inlineStr">
        <is>
          <t>700 TRADESMAN CREW CAB</t>
        </is>
      </c>
      <c r="D253" s="20" t="inlineStr">
        <is>
          <t>ACTIVO</t>
        </is>
      </c>
      <c r="E253" s="20" t="inlineStr">
        <is>
          <t>2026-05-14</t>
        </is>
      </c>
      <c r="F253" s="20" t="inlineStr">
        <is>
          <t>2029-05-14</t>
        </is>
      </c>
      <c r="G253" s="22" t="n">
        <v>36</v>
      </c>
      <c r="H253" s="23" t="n">
        <v>359900</v>
      </c>
      <c r="I253" s="24" t="n">
        <v>0.2</v>
      </c>
      <c r="J253" s="23">
        <f>ROUND(H253*I253, 2)</f>
        <v/>
      </c>
      <c r="K253" s="23">
        <f>ROUND(H253-J253, 2)</f>
        <v/>
      </c>
      <c r="L253" s="24" t="n">
        <v>0.02</v>
      </c>
      <c r="M253" s="23">
        <f>ROUND(H253*L253, 2)</f>
        <v/>
      </c>
      <c r="N253" s="23" t="n">
        <v>11919.52</v>
      </c>
      <c r="O253" s="24" t="n">
        <v>0.1</v>
      </c>
      <c r="P253" s="23">
        <f>ROUND(H253*O253, 2)</f>
        <v/>
      </c>
      <c r="Q253" s="25" t="n">
        <v>0.02660348</v>
      </c>
      <c r="R253" s="25">
        <f>IFERROR(RATE(G253, -N253, K253, -P253), Q253)</f>
        <v/>
      </c>
      <c r="S253" s="25">
        <f>Q253*12</f>
        <v/>
      </c>
      <c r="T253" s="25">
        <f>((1+Q253)^12)-1</f>
        <v/>
      </c>
      <c r="U253" s="23">
        <f>IF(Q253&gt;0, ROUND(P253/((1+Q253)^G253), 2), P253)</f>
        <v/>
      </c>
      <c r="V253" s="23">
        <f>ROUND((N253*G253)-K253+P253, 2)</f>
        <v/>
      </c>
      <c r="W253" s="23">
        <f>ROUND(P253-U253, 2)</f>
        <v/>
      </c>
      <c r="X253" s="23">
        <f>ROUND(V253+W253, 2)</f>
        <v/>
      </c>
      <c r="Y253" s="23">
        <f>ROUND((N253*G253+P253+M253)-K253, 2)</f>
        <v/>
      </c>
      <c r="Z253" s="24">
        <f>IF(K253&gt;0, Y253/K253, 0)</f>
        <v/>
      </c>
    </row>
    <row r="254">
      <c r="A254" s="26" t="inlineStr">
        <is>
          <t>0760-0001</t>
        </is>
      </c>
      <c r="B254" s="27" t="inlineStr">
        <is>
          <t>Armando Candelario Figueroa</t>
        </is>
      </c>
      <c r="C254" s="27" t="inlineStr">
        <is>
          <t>1200 TRADESMAN CHASIS CABINA</t>
        </is>
      </c>
      <c r="D254" s="26" t="inlineStr">
        <is>
          <t>ACTIVO</t>
        </is>
      </c>
      <c r="E254" s="26" t="inlineStr">
        <is>
          <t>2026-05-18</t>
        </is>
      </c>
      <c r="F254" s="26" t="inlineStr">
        <is>
          <t>2030-05-18</t>
        </is>
      </c>
      <c r="G254" s="28" t="n">
        <v>48</v>
      </c>
      <c r="H254" s="29" t="n">
        <v>417003</v>
      </c>
      <c r="I254" s="30" t="n">
        <v>0.3</v>
      </c>
      <c r="J254" s="29">
        <f>ROUND(H254*I254, 2)</f>
        <v/>
      </c>
      <c r="K254" s="29">
        <f>ROUND(H254-J254, 2)</f>
        <v/>
      </c>
      <c r="L254" s="30" t="n">
        <v>0.02</v>
      </c>
      <c r="M254" s="29">
        <f>ROUND(H254*L254, 2)</f>
        <v/>
      </c>
      <c r="N254" s="29" t="n">
        <v>10472.96</v>
      </c>
      <c r="O254" s="30" t="n">
        <v>0.1</v>
      </c>
      <c r="P254" s="29">
        <f>ROUND(H254*O254, 2)</f>
        <v/>
      </c>
      <c r="Q254" s="31" t="n">
        <v>0.02693492</v>
      </c>
      <c r="R254" s="31">
        <f>IFERROR(RATE(G254, -N254, K254, -P254), Q254)</f>
        <v/>
      </c>
      <c r="S254" s="31">
        <f>Q254*12</f>
        <v/>
      </c>
      <c r="T254" s="31">
        <f>((1+Q254)^12)-1</f>
        <v/>
      </c>
      <c r="U254" s="29">
        <f>IF(Q254&gt;0, ROUND(P254/((1+Q254)^G254), 2), P254)</f>
        <v/>
      </c>
      <c r="V254" s="29">
        <f>ROUND((N254*G254)-K254+P254, 2)</f>
        <v/>
      </c>
      <c r="W254" s="29">
        <f>ROUND(P254-U254, 2)</f>
        <v/>
      </c>
      <c r="X254" s="29">
        <f>ROUND(V254+W254, 2)</f>
        <v/>
      </c>
      <c r="Y254" s="29">
        <f>ROUND((N254*G254+P254+M254)-K254, 2)</f>
        <v/>
      </c>
      <c r="Z254" s="30">
        <f>IF(K254&gt;0, Y254/K254, 0)</f>
        <v/>
      </c>
    </row>
    <row r="255">
      <c r="A255" s="20" t="inlineStr">
        <is>
          <t>0761-0001</t>
        </is>
      </c>
      <c r="B255" s="21" t="inlineStr">
        <is>
          <t>Total Experience Produce, S.A.P.I. de C.V.</t>
        </is>
      </c>
      <c r="C255" s="21" t="inlineStr">
        <is>
          <t>700 BIGHORN CREW CAB</t>
        </is>
      </c>
      <c r="D255" s="20" t="inlineStr">
        <is>
          <t>ACTIVO</t>
        </is>
      </c>
      <c r="E255" s="20" t="inlineStr">
        <is>
          <t>2026-05-18</t>
        </is>
      </c>
      <c r="F255" s="20" t="inlineStr">
        <is>
          <t>2030-05-18</t>
        </is>
      </c>
      <c r="G255" s="22" t="n">
        <v>48</v>
      </c>
      <c r="H255" s="23" t="n">
        <v>400900</v>
      </c>
      <c r="I255" s="24" t="n">
        <v>0.1</v>
      </c>
      <c r="J255" s="23">
        <f>ROUND(H255*I255, 2)</f>
        <v/>
      </c>
      <c r="K255" s="23">
        <f>ROUND(H255-J255, 2)</f>
        <v/>
      </c>
      <c r="L255" s="24" t="n">
        <v>0.02</v>
      </c>
      <c r="M255" s="23">
        <f>ROUND(H255*L255, 2)</f>
        <v/>
      </c>
      <c r="N255" s="23" t="n">
        <v>13060.21</v>
      </c>
      <c r="O255" s="24" t="n">
        <v>0.1</v>
      </c>
      <c r="P255" s="23">
        <f>ROUND(H255*O255, 2)</f>
        <v/>
      </c>
      <c r="Q255" s="25" t="n">
        <v>0.0269179</v>
      </c>
      <c r="R255" s="25">
        <f>IFERROR(RATE(G255, -N255, K255, -P255), Q255)</f>
        <v/>
      </c>
      <c r="S255" s="25">
        <f>Q255*12</f>
        <v/>
      </c>
      <c r="T255" s="25">
        <f>((1+Q255)^12)-1</f>
        <v/>
      </c>
      <c r="U255" s="23">
        <f>IF(Q255&gt;0, ROUND(P255/((1+Q255)^G255), 2), P255)</f>
        <v/>
      </c>
      <c r="V255" s="23">
        <f>ROUND((N255*G255)-K255+P255, 2)</f>
        <v/>
      </c>
      <c r="W255" s="23">
        <f>ROUND(P255-U255, 2)</f>
        <v/>
      </c>
      <c r="X255" s="23">
        <f>ROUND(V255+W255, 2)</f>
        <v/>
      </c>
      <c r="Y255" s="23">
        <f>ROUND((N255*G255+P255+M255)-K255, 2)</f>
        <v/>
      </c>
      <c r="Z255" s="24">
        <f>IF(K255&gt;0, Y255/K255, 0)</f>
        <v/>
      </c>
    </row>
    <row r="256">
      <c r="A256" s="26" t="inlineStr">
        <is>
          <t>0763-0001</t>
        </is>
      </c>
      <c r="B256" s="27" t="inlineStr">
        <is>
          <t>Francisco Javier Fernández Gutiérrez</t>
        </is>
      </c>
      <c r="C256" s="27" t="inlineStr">
        <is>
          <t>1500 RHO</t>
        </is>
      </c>
      <c r="D256" s="26" t="inlineStr">
        <is>
          <t>ACTIVO</t>
        </is>
      </c>
      <c r="E256" s="26" t="inlineStr">
        <is>
          <t>2026-05-28</t>
        </is>
      </c>
      <c r="F256" s="26" t="inlineStr">
        <is>
          <t>2029-05-28</t>
        </is>
      </c>
      <c r="G256" s="28" t="n">
        <v>36</v>
      </c>
      <c r="H256" s="29" t="n">
        <v>2330000</v>
      </c>
      <c r="I256" s="30" t="n">
        <v>0.2</v>
      </c>
      <c r="J256" s="29">
        <f>ROUND(H256*I256, 2)</f>
        <v/>
      </c>
      <c r="K256" s="29">
        <f>ROUND(H256-J256, 2)</f>
        <v/>
      </c>
      <c r="L256" s="30" t="n">
        <v>0.02</v>
      </c>
      <c r="M256" s="29">
        <f>ROUND(H256*L256, 2)</f>
        <v/>
      </c>
      <c r="N256" s="29" t="n">
        <v>70058.7</v>
      </c>
      <c r="O256" s="30" t="n">
        <v>0.2</v>
      </c>
      <c r="P256" s="29">
        <f>ROUND(H256*O256, 2)</f>
        <v/>
      </c>
      <c r="Q256" s="31" t="n">
        <v>0.02432099</v>
      </c>
      <c r="R256" s="31">
        <f>IFERROR(RATE(G256, -N256, K256, -P256), Q256)</f>
        <v/>
      </c>
      <c r="S256" s="31">
        <f>Q256*12</f>
        <v/>
      </c>
      <c r="T256" s="31">
        <f>((1+Q256)^12)-1</f>
        <v/>
      </c>
      <c r="U256" s="29">
        <f>IF(Q256&gt;0, ROUND(P256/((1+Q256)^G256), 2), P256)</f>
        <v/>
      </c>
      <c r="V256" s="29">
        <f>ROUND((N256*G256)-K256+P256, 2)</f>
        <v/>
      </c>
      <c r="W256" s="29">
        <f>ROUND(P256-U256, 2)</f>
        <v/>
      </c>
      <c r="X256" s="29">
        <f>ROUND(V256+W256, 2)</f>
        <v/>
      </c>
      <c r="Y256" s="29">
        <f>ROUND((N256*G256+P256+M256)-K256, 2)</f>
        <v/>
      </c>
      <c r="Z256" s="30">
        <f>IF(K256&gt;0, Y256/K256, 0)</f>
        <v/>
      </c>
    </row>
    <row r="257">
      <c r="A257" s="20" t="inlineStr">
        <is>
          <t>0764-0001</t>
        </is>
      </c>
      <c r="B257" s="21" t="inlineStr">
        <is>
          <t>Inspectores Marítimos de México, S. de R.L. de C.V.</t>
        </is>
      </c>
      <c r="C257" s="21" t="inlineStr">
        <is>
          <t>1200 Bighorn</t>
        </is>
      </c>
      <c r="D257" s="20" t="inlineStr">
        <is>
          <t>ACTIVO</t>
        </is>
      </c>
      <c r="E257" s="20" t="inlineStr">
        <is>
          <t>2026-06-30</t>
        </is>
      </c>
      <c r="F257" s="20" t="inlineStr">
        <is>
          <t>2029-06-30</t>
        </is>
      </c>
      <c r="G257" s="22" t="n">
        <v>36</v>
      </c>
      <c r="H257" s="23" t="n">
        <v>574900</v>
      </c>
      <c r="I257" s="24" t="n">
        <v>0.4</v>
      </c>
      <c r="J257" s="23">
        <f>ROUND(H257*I257, 2)</f>
        <v/>
      </c>
      <c r="K257" s="23">
        <f>ROUND(H257-J257, 2)</f>
        <v/>
      </c>
      <c r="L257" s="24" t="n">
        <v>0.02</v>
      </c>
      <c r="M257" s="23">
        <f>ROUND(H257*L257, 2)</f>
        <v/>
      </c>
      <c r="N257" s="23" t="n">
        <v>14045.25</v>
      </c>
      <c r="O257" s="24" t="n">
        <v>0.1</v>
      </c>
      <c r="P257" s="23">
        <f>ROUND(H257*O257, 2)</f>
        <v/>
      </c>
      <c r="Q257" s="25" t="n">
        <v>0.02663642</v>
      </c>
      <c r="R257" s="25">
        <f>IFERROR(RATE(G257, -N257, K257, -P257), Q257)</f>
        <v/>
      </c>
      <c r="S257" s="25">
        <f>Q257*12</f>
        <v/>
      </c>
      <c r="T257" s="25">
        <f>((1+Q257)^12)-1</f>
        <v/>
      </c>
      <c r="U257" s="23">
        <f>IF(Q257&gt;0, ROUND(P257/((1+Q257)^G257), 2), P257)</f>
        <v/>
      </c>
      <c r="V257" s="23">
        <f>ROUND((N257*G257)-K257+P257, 2)</f>
        <v/>
      </c>
      <c r="W257" s="23">
        <f>ROUND(P257-U257, 2)</f>
        <v/>
      </c>
      <c r="X257" s="23">
        <f>ROUND(V257+W257, 2)</f>
        <v/>
      </c>
      <c r="Y257" s="23">
        <f>ROUND((N257*G257+P257+M257)-K257, 2)</f>
        <v/>
      </c>
      <c r="Z257" s="24">
        <f>IF(K257&gt;0, Y257/K257, 0)</f>
        <v/>
      </c>
    </row>
    <row r="258">
      <c r="A258" s="26" t="inlineStr">
        <is>
          <t>0765-0001</t>
        </is>
      </c>
      <c r="B258" s="27" t="inlineStr">
        <is>
          <t>Rafael Soltero Sánchez</t>
        </is>
      </c>
      <c r="C258" s="27" t="inlineStr">
        <is>
          <t>1200 Bighorn</t>
        </is>
      </c>
      <c r="D258" s="26" t="inlineStr">
        <is>
          <t>ACTIVO</t>
        </is>
      </c>
      <c r="E258" s="26" t="inlineStr">
        <is>
          <t>2026-06-30</t>
        </is>
      </c>
      <c r="F258" s="26" t="inlineStr">
        <is>
          <t>2030-06-30</t>
        </is>
      </c>
      <c r="G258" s="28" t="n">
        <v>48</v>
      </c>
      <c r="H258" s="29" t="n">
        <v>604900</v>
      </c>
      <c r="I258" s="30" t="n">
        <v>0.1</v>
      </c>
      <c r="J258" s="29">
        <f>ROUND(H258*I258, 2)</f>
        <v/>
      </c>
      <c r="K258" s="29">
        <f>ROUND(H258-J258, 2)</f>
        <v/>
      </c>
      <c r="L258" s="30" t="n">
        <v>0.02</v>
      </c>
      <c r="M258" s="29">
        <f>ROUND(H258*L258, 2)</f>
        <v/>
      </c>
      <c r="N258" s="29" t="n">
        <v>19705.97</v>
      </c>
      <c r="O258" s="30" t="n">
        <v>0.1</v>
      </c>
      <c r="P258" s="29">
        <f>ROUND(H258*O258, 2)</f>
        <v/>
      </c>
      <c r="Q258" s="31" t="n">
        <v>0.0269179</v>
      </c>
      <c r="R258" s="31">
        <f>IFERROR(RATE(G258, -N258, K258, -P258), Q258)</f>
        <v/>
      </c>
      <c r="S258" s="31">
        <f>Q258*12</f>
        <v/>
      </c>
      <c r="T258" s="31">
        <f>((1+Q258)^12)-1</f>
        <v/>
      </c>
      <c r="U258" s="29">
        <f>IF(Q258&gt;0, ROUND(P258/((1+Q258)^G258), 2), P258)</f>
        <v/>
      </c>
      <c r="V258" s="29">
        <f>ROUND((N258*G258)-K258+P258, 2)</f>
        <v/>
      </c>
      <c r="W258" s="29">
        <f>ROUND(P258-U258, 2)</f>
        <v/>
      </c>
      <c r="X258" s="29">
        <f>ROUND(V258+W258, 2)</f>
        <v/>
      </c>
      <c r="Y258" s="29">
        <f>ROUND((N258*G258+P258+M258)-K258, 2)</f>
        <v/>
      </c>
      <c r="Z258" s="30">
        <f>IF(K258&gt;0, Y258/K258, 0)</f>
        <v/>
      </c>
    </row>
    <row r="259">
      <c r="A259" s="20" t="inlineStr">
        <is>
          <t>0766-0001</t>
        </is>
      </c>
      <c r="B259" s="21" t="inlineStr">
        <is>
          <t>Javier Alejandro Carbajal Chávez</t>
        </is>
      </c>
      <c r="C259" s="21" t="inlineStr">
        <is>
          <t>Jt Rubicon</t>
        </is>
      </c>
      <c r="D259" s="20" t="inlineStr">
        <is>
          <t>ACTIVO</t>
        </is>
      </c>
      <c r="E259" s="20" t="inlineStr">
        <is>
          <t>2026-06-30</t>
        </is>
      </c>
      <c r="F259" s="20" t="inlineStr">
        <is>
          <t>2030-06-30</t>
        </is>
      </c>
      <c r="G259" s="22" t="n">
        <v>48</v>
      </c>
      <c r="H259" s="23" t="n">
        <v>1576900</v>
      </c>
      <c r="I259" s="24" t="n">
        <v>0.1</v>
      </c>
      <c r="J259" s="23">
        <f>ROUND(H259*I259, 2)</f>
        <v/>
      </c>
      <c r="K259" s="23">
        <f>ROUND(H259-J259, 2)</f>
        <v/>
      </c>
      <c r="L259" s="24" t="n">
        <v>0.02</v>
      </c>
      <c r="M259" s="23">
        <f>ROUND(H259*L259, 2)</f>
        <v/>
      </c>
      <c r="N259" s="23" t="n">
        <v>51371.04</v>
      </c>
      <c r="O259" s="24" t="n">
        <v>0.1</v>
      </c>
      <c r="P259" s="23">
        <f>ROUND(H259*O259, 2)</f>
        <v/>
      </c>
      <c r="Q259" s="25" t="n">
        <v>0.0269179</v>
      </c>
      <c r="R259" s="25">
        <f>IFERROR(RATE(G259, -N259, K259, -P259), Q259)</f>
        <v/>
      </c>
      <c r="S259" s="25">
        <f>Q259*12</f>
        <v/>
      </c>
      <c r="T259" s="25">
        <f>((1+Q259)^12)-1</f>
        <v/>
      </c>
      <c r="U259" s="23">
        <f>IF(Q259&gt;0, ROUND(P259/((1+Q259)^G259), 2), P259)</f>
        <v/>
      </c>
      <c r="V259" s="23">
        <f>ROUND((N259*G259)-K259+P259, 2)</f>
        <v/>
      </c>
      <c r="W259" s="23">
        <f>ROUND(P259-U259, 2)</f>
        <v/>
      </c>
      <c r="X259" s="23">
        <f>ROUND(V259+W259, 2)</f>
        <v/>
      </c>
      <c r="Y259" s="23">
        <f>ROUND((N259*G259+P259+M259)-K259, 2)</f>
        <v/>
      </c>
      <c r="Z259" s="24">
        <f>IF(K259&gt;0, Y259/K259, 0)</f>
        <v/>
      </c>
    </row>
    <row r="260">
      <c r="A260" s="26" t="inlineStr">
        <is>
          <t>0767-0001</t>
        </is>
      </c>
      <c r="B260" s="27" t="inlineStr">
        <is>
          <t>Carlos Alberto Gutiérrez Hermosillo López</t>
        </is>
      </c>
      <c r="C260" s="27" t="inlineStr">
        <is>
          <t>Commander Overland</t>
        </is>
      </c>
      <c r="D260" s="26" t="inlineStr">
        <is>
          <t>ACTIVO</t>
        </is>
      </c>
      <c r="E260" s="26" t="inlineStr">
        <is>
          <t>2026-06-30</t>
        </is>
      </c>
      <c r="F260" s="26" t="inlineStr">
        <is>
          <t>2030-06-30</t>
        </is>
      </c>
      <c r="G260" s="28" t="n">
        <v>48</v>
      </c>
      <c r="H260" s="29" t="n">
        <v>718900</v>
      </c>
      <c r="I260" s="30" t="n">
        <v>0.3</v>
      </c>
      <c r="J260" s="29">
        <f>ROUND(H260*I260, 2)</f>
        <v/>
      </c>
      <c r="K260" s="29">
        <f>ROUND(H260-J260, 2)</f>
        <v/>
      </c>
      <c r="L260" s="30" t="n">
        <v>0.02</v>
      </c>
      <c r="M260" s="29">
        <f>ROUND(H260*L260, 2)</f>
        <v/>
      </c>
      <c r="N260" s="29" t="n">
        <v>18055.05</v>
      </c>
      <c r="O260" s="30" t="n">
        <v>0.1</v>
      </c>
      <c r="P260" s="29">
        <f>ROUND(H260*O260, 2)</f>
        <v/>
      </c>
      <c r="Q260" s="31" t="n">
        <v>0.02693491</v>
      </c>
      <c r="R260" s="31">
        <f>IFERROR(RATE(G260, -N260, K260, -P260), Q260)</f>
        <v/>
      </c>
      <c r="S260" s="31">
        <f>Q260*12</f>
        <v/>
      </c>
      <c r="T260" s="31">
        <f>((1+Q260)^12)-1</f>
        <v/>
      </c>
      <c r="U260" s="29">
        <f>IF(Q260&gt;0, ROUND(P260/((1+Q260)^G260), 2), P260)</f>
        <v/>
      </c>
      <c r="V260" s="29">
        <f>ROUND((N260*G260)-K260+P260, 2)</f>
        <v/>
      </c>
      <c r="W260" s="29">
        <f>ROUND(P260-U260, 2)</f>
        <v/>
      </c>
      <c r="X260" s="29">
        <f>ROUND(V260+W260, 2)</f>
        <v/>
      </c>
      <c r="Y260" s="29">
        <f>ROUND((N260*G260+P260+M260)-K260, 2)</f>
        <v/>
      </c>
      <c r="Z260" s="30">
        <f>IF(K260&gt;0, Y260/K260, 0)</f>
        <v/>
      </c>
    </row>
    <row r="261">
      <c r="A261" s="20" t="inlineStr">
        <is>
          <t>0768-0001</t>
        </is>
      </c>
      <c r="B261" s="21" t="inlineStr">
        <is>
          <t>Distribuidora y Comercializadora 2000, S.A. de C.V.</t>
        </is>
      </c>
      <c r="C261" s="21" t="inlineStr">
        <is>
          <t>Manager Furgon L4H2</t>
        </is>
      </c>
      <c r="D261" s="20" t="inlineStr">
        <is>
          <t>ACTIVO</t>
        </is>
      </c>
      <c r="E261" s="20" t="inlineStr">
        <is>
          <t>2026-06-29</t>
        </is>
      </c>
      <c r="F261" s="20" t="inlineStr">
        <is>
          <t>2027-06-29</t>
        </is>
      </c>
      <c r="G261" s="22" t="n">
        <v>12</v>
      </c>
      <c r="H261" s="23" t="n">
        <v>831300</v>
      </c>
      <c r="I261" s="24" t="n">
        <v>0.1</v>
      </c>
      <c r="J261" s="23">
        <f>ROUND(H261*I261, 2)</f>
        <v/>
      </c>
      <c r="K261" s="23">
        <f>ROUND(H261-J261, 2)</f>
        <v/>
      </c>
      <c r="L261" s="24" t="n">
        <v>0.02</v>
      </c>
      <c r="M261" s="23">
        <f>ROUND(H261*L261, 2)</f>
        <v/>
      </c>
      <c r="N261" s="23" t="n">
        <v>47248.21</v>
      </c>
      <c r="O261" s="24" t="n">
        <v>0.4</v>
      </c>
      <c r="P261" s="23">
        <f>ROUND(H261*O261, 2)</f>
        <v/>
      </c>
      <c r="Q261" s="25" t="n">
        <v>0.02225143</v>
      </c>
      <c r="R261" s="25">
        <f>IFERROR(RATE(G261, -N261, K261, -P261), Q261)</f>
        <v/>
      </c>
      <c r="S261" s="25">
        <f>Q261*12</f>
        <v/>
      </c>
      <c r="T261" s="25">
        <f>((1+Q261)^12)-1</f>
        <v/>
      </c>
      <c r="U261" s="23">
        <f>IF(Q261&gt;0, ROUND(P261/((1+Q261)^G261), 2), P261)</f>
        <v/>
      </c>
      <c r="V261" s="23">
        <f>ROUND((N261*G261)-K261+P261, 2)</f>
        <v/>
      </c>
      <c r="W261" s="23">
        <f>ROUND(P261-U261, 2)</f>
        <v/>
      </c>
      <c r="X261" s="23">
        <f>ROUND(V261+W261, 2)</f>
        <v/>
      </c>
      <c r="Y261" s="23">
        <f>ROUND((N261*G261+P261+M261)-K261, 2)</f>
        <v/>
      </c>
      <c r="Z261" s="24">
        <f>IF(K261&gt;0, Y261/K261, 0)</f>
        <v/>
      </c>
    </row>
    <row r="262">
      <c r="A262" s="26" t="inlineStr">
        <is>
          <t>0768-0002</t>
        </is>
      </c>
      <c r="B262" s="27" t="inlineStr">
        <is>
          <t>Distribuidora y Comercializadora 2000, S.A. de C.V.</t>
        </is>
      </c>
      <c r="C262" s="27" t="inlineStr">
        <is>
          <t>Manager Furgon L4H2</t>
        </is>
      </c>
      <c r="D262" s="26" t="inlineStr">
        <is>
          <t>ACTIVO</t>
        </is>
      </c>
      <c r="E262" s="26" t="inlineStr">
        <is>
          <t>2026-06-29</t>
        </is>
      </c>
      <c r="F262" s="26" t="inlineStr">
        <is>
          <t>2027-06-29</t>
        </is>
      </c>
      <c r="G262" s="28" t="n">
        <v>12</v>
      </c>
      <c r="H262" s="29" t="n">
        <v>856500</v>
      </c>
      <c r="I262" s="30" t="n">
        <v>0.1</v>
      </c>
      <c r="J262" s="29">
        <f>ROUND(H262*I262, 2)</f>
        <v/>
      </c>
      <c r="K262" s="29">
        <f>ROUND(H262-J262, 2)</f>
        <v/>
      </c>
      <c r="L262" s="30" t="n">
        <v>0.02</v>
      </c>
      <c r="M262" s="29">
        <f>ROUND(H262*L262, 2)</f>
        <v/>
      </c>
      <c r="N262" s="29" t="n">
        <v>48680.69</v>
      </c>
      <c r="O262" s="30" t="n">
        <v>0.4</v>
      </c>
      <c r="P262" s="29">
        <f>ROUND(H262*O262, 2)</f>
        <v/>
      </c>
      <c r="Q262" s="31" t="n">
        <v>0.02225177</v>
      </c>
      <c r="R262" s="31">
        <f>IFERROR(RATE(G262, -N262, K262, -P262), Q262)</f>
        <v/>
      </c>
      <c r="S262" s="31">
        <f>Q262*12</f>
        <v/>
      </c>
      <c r="T262" s="31">
        <f>((1+Q262)^12)-1</f>
        <v/>
      </c>
      <c r="U262" s="29">
        <f>IF(Q262&gt;0, ROUND(P262/((1+Q262)^G262), 2), P262)</f>
        <v/>
      </c>
      <c r="V262" s="29">
        <f>ROUND((N262*G262)-K262+P262, 2)</f>
        <v/>
      </c>
      <c r="W262" s="29">
        <f>ROUND(P262-U262, 2)</f>
        <v/>
      </c>
      <c r="X262" s="29">
        <f>ROUND(V262+W262, 2)</f>
        <v/>
      </c>
      <c r="Y262" s="29">
        <f>ROUND((N262*G262+P262+M262)-K262, 2)</f>
        <v/>
      </c>
      <c r="Z262" s="30">
        <f>IF(K262&gt;0, Y262/K262, 0)</f>
        <v/>
      </c>
    </row>
    <row r="263">
      <c r="A263" s="20" t="inlineStr">
        <is>
          <t>0769-0001</t>
        </is>
      </c>
      <c r="B263" s="21" t="inlineStr">
        <is>
          <t>Paloma Bernhardt Partida</t>
        </is>
      </c>
      <c r="C263" s="21" t="inlineStr">
        <is>
          <t>700 TRADESMAN CREW CAB</t>
        </is>
      </c>
      <c r="D263" s="20" t="inlineStr">
        <is>
          <t>ACTIVO</t>
        </is>
      </c>
      <c r="E263" s="20" t="inlineStr">
        <is>
          <t>2026-06-29</t>
        </is>
      </c>
      <c r="F263" s="20" t="inlineStr">
        <is>
          <t>2029-06-29</t>
        </is>
      </c>
      <c r="G263" s="22" t="n">
        <v>36</v>
      </c>
      <c r="H263" s="23" t="n">
        <v>383053</v>
      </c>
      <c r="I263" s="24" t="n">
        <v>0.1</v>
      </c>
      <c r="J263" s="23">
        <f>ROUND(H263*I263, 2)</f>
        <v/>
      </c>
      <c r="K263" s="23">
        <f>ROUND(H263-J263, 2)</f>
        <v/>
      </c>
      <c r="L263" s="24" t="n">
        <v>0.02</v>
      </c>
      <c r="M263" s="23">
        <f>ROUND(H263*L263, 2)</f>
        <v/>
      </c>
      <c r="N263" s="23" t="n">
        <v>13724.5</v>
      </c>
      <c r="O263" s="24" t="n">
        <v>0.1</v>
      </c>
      <c r="P263" s="23">
        <f>ROUND(H263*O263, 2)</f>
        <v/>
      </c>
      <c r="Q263" s="25" t="n">
        <v>0.02398657</v>
      </c>
      <c r="R263" s="25">
        <f>IFERROR(RATE(G263, -N263, K263, -P263), Q263)</f>
        <v/>
      </c>
      <c r="S263" s="25">
        <f>Q263*12</f>
        <v/>
      </c>
      <c r="T263" s="25">
        <f>((1+Q263)^12)-1</f>
        <v/>
      </c>
      <c r="U263" s="23">
        <f>IF(Q263&gt;0, ROUND(P263/((1+Q263)^G263), 2), P263)</f>
        <v/>
      </c>
      <c r="V263" s="23">
        <f>ROUND((N263*G263)-K263+P263, 2)</f>
        <v/>
      </c>
      <c r="W263" s="23">
        <f>ROUND(P263-U263, 2)</f>
        <v/>
      </c>
      <c r="X263" s="23">
        <f>ROUND(V263+W263, 2)</f>
        <v/>
      </c>
      <c r="Y263" s="23">
        <f>ROUND((N263*G263+P263+M263)-K263, 2)</f>
        <v/>
      </c>
      <c r="Z263" s="24">
        <f>IF(K263&gt;0, Y263/K263, 0)</f>
        <v/>
      </c>
    </row>
    <row r="264">
      <c r="A264" s="26" t="inlineStr">
        <is>
          <t>0769-0002</t>
        </is>
      </c>
      <c r="B264" s="27" t="inlineStr">
        <is>
          <t>Paloma Bernhardt Partida</t>
        </is>
      </c>
      <c r="C264" s="27" t="inlineStr">
        <is>
          <t>Ram 700 Tradesman 2026</t>
        </is>
      </c>
      <c r="D264" s="26" t="inlineStr">
        <is>
          <t>ACTIVO</t>
        </is>
      </c>
      <c r="E264" s="26" t="inlineStr">
        <is>
          <t>2026-09-23</t>
        </is>
      </c>
      <c r="F264" s="26" t="inlineStr">
        <is>
          <t>2029-09-23</t>
        </is>
      </c>
      <c r="G264" s="28" t="n">
        <v>36</v>
      </c>
      <c r="H264" s="29" t="n">
        <v>333144.83</v>
      </c>
      <c r="I264" s="30" t="n">
        <v>0.1</v>
      </c>
      <c r="J264" s="29">
        <f>ROUND(H264*I264, 2)</f>
        <v/>
      </c>
      <c r="K264" s="29">
        <f>ROUND(H264-J264, 2)</f>
        <v/>
      </c>
      <c r="L264" s="30" t="n">
        <v>0.02</v>
      </c>
      <c r="M264" s="29">
        <f>ROUND(H264*L264, 2)</f>
        <v/>
      </c>
      <c r="N264" s="29" t="n">
        <v>11936.33</v>
      </c>
      <c r="O264" s="30" t="n">
        <v>0.2</v>
      </c>
      <c r="P264" s="29">
        <f>ROUND(H264*O264, 2)</f>
        <v/>
      </c>
      <c r="Q264" s="31" t="n">
        <v>0.02667842</v>
      </c>
      <c r="R264" s="31">
        <f>IFERROR(RATE(G264, -N264, K264, -P264), Q264)</f>
        <v/>
      </c>
      <c r="S264" s="31">
        <f>Q264*12</f>
        <v/>
      </c>
      <c r="T264" s="31">
        <f>((1+Q264)^12)-1</f>
        <v/>
      </c>
      <c r="U264" s="29">
        <f>IF(Q264&gt;0, ROUND(P264/((1+Q264)^G264), 2), P264)</f>
        <v/>
      </c>
      <c r="V264" s="29">
        <f>ROUND((N264*G264)-K264+P264, 2)</f>
        <v/>
      </c>
      <c r="W264" s="29">
        <f>ROUND(P264-U264, 2)</f>
        <v/>
      </c>
      <c r="X264" s="29">
        <f>ROUND(V264+W264, 2)</f>
        <v/>
      </c>
      <c r="Y264" s="29">
        <f>ROUND((N264*G264+P264+M264)-K264, 2)</f>
        <v/>
      </c>
      <c r="Z264" s="30">
        <f>IF(K264&gt;0, Y264/K264, 0)</f>
        <v/>
      </c>
    </row>
    <row r="265">
      <c r="A265" s="20" t="inlineStr">
        <is>
          <t>0770-0001</t>
        </is>
      </c>
      <c r="B265" s="21" t="inlineStr">
        <is>
          <t>Jorge Octavio Micher Camarena</t>
        </is>
      </c>
      <c r="C265" s="21" t="inlineStr">
        <is>
          <t>Jeep Cherokee Overland 2026</t>
        </is>
      </c>
      <c r="D265" s="20" t="inlineStr">
        <is>
          <t>ACTIVO</t>
        </is>
      </c>
      <c r="E265" s="20" t="inlineStr">
        <is>
          <t>2026-07-24</t>
        </is>
      </c>
      <c r="F265" s="20" t="inlineStr">
        <is>
          <t>2029-07-24</t>
        </is>
      </c>
      <c r="G265" s="22" t="n">
        <v>36</v>
      </c>
      <c r="H265" s="23" t="n">
        <v>786123.28</v>
      </c>
      <c r="I265" s="24" t="n">
        <v>0.3</v>
      </c>
      <c r="J265" s="23">
        <f>ROUND(H265*I265, 2)</f>
        <v/>
      </c>
      <c r="K265" s="23">
        <f>ROUND(H265-J265, 2)</f>
        <v/>
      </c>
      <c r="L265" s="24" t="n">
        <v>0.02</v>
      </c>
      <c r="M265" s="23">
        <f>ROUND(H265*L265, 2)</f>
        <v/>
      </c>
      <c r="N265" s="23" t="n">
        <v>22620.6</v>
      </c>
      <c r="O265" s="24" t="n">
        <v>0.1</v>
      </c>
      <c r="P265" s="23">
        <f>ROUND(H265*O265, 2)</f>
        <v/>
      </c>
      <c r="Q265" s="25" t="n">
        <v>0.02661776</v>
      </c>
      <c r="R265" s="25">
        <f>IFERROR(RATE(G265, -N265, K265, -P265), Q265)</f>
        <v/>
      </c>
      <c r="S265" s="25">
        <f>Q265*12</f>
        <v/>
      </c>
      <c r="T265" s="25">
        <f>((1+Q265)^12)-1</f>
        <v/>
      </c>
      <c r="U265" s="23">
        <f>IF(Q265&gt;0, ROUND(P265/((1+Q265)^G265), 2), P265)</f>
        <v/>
      </c>
      <c r="V265" s="23">
        <f>ROUND((N265*G265)-K265+P265, 2)</f>
        <v/>
      </c>
      <c r="W265" s="23">
        <f>ROUND(P265-U265, 2)</f>
        <v/>
      </c>
      <c r="X265" s="23">
        <f>ROUND(V265+W265, 2)</f>
        <v/>
      </c>
      <c r="Y265" s="23">
        <f>ROUND((N265*G265+P265+M265)-K265, 2)</f>
        <v/>
      </c>
      <c r="Z265" s="24">
        <f>IF(K265&gt;0, Y265/K265, 0)</f>
        <v/>
      </c>
    </row>
    <row r="266">
      <c r="A266" s="26" t="inlineStr">
        <is>
          <t>0771-0001</t>
        </is>
      </c>
      <c r="B266" s="27" t="inlineStr">
        <is>
          <t>Inbcom de Colima</t>
        </is>
      </c>
      <c r="C266" s="27" t="inlineStr">
        <is>
          <t>Ram 1200 Tradesman CC 2026</t>
        </is>
      </c>
      <c r="D266" s="26" t="inlineStr">
        <is>
          <t>ACTIVO</t>
        </is>
      </c>
      <c r="E266" s="26" t="inlineStr">
        <is>
          <t>2026-07-31</t>
        </is>
      </c>
      <c r="F266" s="26" t="inlineStr">
        <is>
          <t>2027-07-31</t>
        </is>
      </c>
      <c r="G266" s="28" t="n">
        <v>12</v>
      </c>
      <c r="H266" s="29" t="n">
        <v>435258.62</v>
      </c>
      <c r="I266" s="30" t="n">
        <v>0.1</v>
      </c>
      <c r="J266" s="29">
        <f>ROUND(H266*I266, 2)</f>
        <v/>
      </c>
      <c r="K266" s="29">
        <f>ROUND(H266-J266, 2)</f>
        <v/>
      </c>
      <c r="L266" s="30" t="n">
        <v>0.02</v>
      </c>
      <c r="M266" s="29">
        <f>ROUND(H266*L266, 2)</f>
        <v/>
      </c>
      <c r="N266" s="29" t="n">
        <v>14360.04</v>
      </c>
      <c r="O266" s="30" t="n">
        <v>0.76</v>
      </c>
      <c r="P266" s="29">
        <f>ROUND(H266*O266, 2)</f>
        <v/>
      </c>
      <c r="Q266" s="31" t="n">
        <v>0.02540796</v>
      </c>
      <c r="R266" s="31">
        <f>IFERROR(RATE(G266, -N266, K266, -P266), Q266)</f>
        <v/>
      </c>
      <c r="S266" s="31">
        <f>Q266*12</f>
        <v/>
      </c>
      <c r="T266" s="31">
        <f>((1+Q266)^12)-1</f>
        <v/>
      </c>
      <c r="U266" s="29">
        <f>IF(Q266&gt;0, ROUND(P266/((1+Q266)^G266), 2), P266)</f>
        <v/>
      </c>
      <c r="V266" s="29">
        <f>ROUND((N266*G266)-K266+P266, 2)</f>
        <v/>
      </c>
      <c r="W266" s="29">
        <f>ROUND(P266-U266, 2)</f>
        <v/>
      </c>
      <c r="X266" s="29">
        <f>ROUND(V266+W266, 2)</f>
        <v/>
      </c>
      <c r="Y266" s="29">
        <f>ROUND((N266*G266+P266+M266)-K266, 2)</f>
        <v/>
      </c>
      <c r="Z266" s="30">
        <f>IF(K266&gt;0, Y266/K266, 0)</f>
        <v/>
      </c>
    </row>
    <row r="267">
      <c r="A267" s="20" t="inlineStr">
        <is>
          <t>0772-0001</t>
        </is>
      </c>
      <c r="B267" s="21" t="inlineStr">
        <is>
          <t>Logistica y Transporte de Carga LGT</t>
        </is>
      </c>
      <c r="C267" s="21" t="inlineStr">
        <is>
          <t>Ram 1200 Laramie 2026</t>
        </is>
      </c>
      <c r="D267" s="20" t="inlineStr">
        <is>
          <t>ACTIVO</t>
        </is>
      </c>
      <c r="E267" s="20" t="inlineStr">
        <is>
          <t>2026-07-31</t>
        </is>
      </c>
      <c r="F267" s="20" t="inlineStr">
        <is>
          <t>2030-07-31</t>
        </is>
      </c>
      <c r="G267" s="22" t="n">
        <v>48</v>
      </c>
      <c r="H267" s="23" t="n">
        <v>599051.72</v>
      </c>
      <c r="I267" s="24" t="n">
        <v>0.2</v>
      </c>
      <c r="J267" s="23">
        <f>ROUND(H267*I267, 2)</f>
        <v/>
      </c>
      <c r="K267" s="23">
        <f>ROUND(H267-J267, 2)</f>
        <v/>
      </c>
      <c r="L267" s="24" t="n">
        <v>0.02</v>
      </c>
      <c r="M267" s="23">
        <f>ROUND(H267*L267, 2)</f>
        <v/>
      </c>
      <c r="N267" s="23" t="n">
        <v>17280.27</v>
      </c>
      <c r="O267" s="24" t="n">
        <v>0.1</v>
      </c>
      <c r="P267" s="23">
        <f>ROUND(H267*O267, 2)</f>
        <v/>
      </c>
      <c r="Q267" s="25" t="n">
        <v>0.0269254</v>
      </c>
      <c r="R267" s="25">
        <f>IFERROR(RATE(G267, -N267, K267, -P267), Q267)</f>
        <v/>
      </c>
      <c r="S267" s="25">
        <f>Q267*12</f>
        <v/>
      </c>
      <c r="T267" s="25">
        <f>((1+Q267)^12)-1</f>
        <v/>
      </c>
      <c r="U267" s="23">
        <f>IF(Q267&gt;0, ROUND(P267/((1+Q267)^G267), 2), P267)</f>
        <v/>
      </c>
      <c r="V267" s="23">
        <f>ROUND((N267*G267)-K267+P267, 2)</f>
        <v/>
      </c>
      <c r="W267" s="23">
        <f>ROUND(P267-U267, 2)</f>
        <v/>
      </c>
      <c r="X267" s="23">
        <f>ROUND(V267+W267, 2)</f>
        <v/>
      </c>
      <c r="Y267" s="23">
        <f>ROUND((N267*G267+P267+M267)-K267, 2)</f>
        <v/>
      </c>
      <c r="Z267" s="24">
        <f>IF(K267&gt;0, Y267/K267, 0)</f>
        <v/>
      </c>
    </row>
    <row r="268">
      <c r="A268" s="26" t="inlineStr">
        <is>
          <t>0773-0001</t>
        </is>
      </c>
      <c r="B268" s="27" t="inlineStr">
        <is>
          <t>Industrias Besthelg, S.A. de C.V.</t>
        </is>
      </c>
      <c r="C268" s="27" t="inlineStr">
        <is>
          <t>Peugeot Manager Furgon L2H2 2026</t>
        </is>
      </c>
      <c r="D268" s="26" t="inlineStr">
        <is>
          <t>ACTIVO</t>
        </is>
      </c>
      <c r="E268" s="26" t="inlineStr">
        <is>
          <t>2026-08-06</t>
        </is>
      </c>
      <c r="F268" s="26" t="inlineStr">
        <is>
          <t>2029-08-06</t>
        </is>
      </c>
      <c r="G268" s="28" t="n">
        <v>36</v>
      </c>
      <c r="H268" s="29" t="n">
        <v>713706.9</v>
      </c>
      <c r="I268" s="30" t="n">
        <v>0.06900000000000001</v>
      </c>
      <c r="J268" s="29">
        <f>ROUND(H268*I268, 2)</f>
        <v/>
      </c>
      <c r="K268" s="29">
        <f>ROUND(H268-J268, 2)</f>
        <v/>
      </c>
      <c r="L268" s="30" t="n">
        <v>0.02</v>
      </c>
      <c r="M268" s="29">
        <f>ROUND(H268*L268, 2)</f>
        <v/>
      </c>
      <c r="N268" s="29" t="n">
        <v>27698.79</v>
      </c>
      <c r="O268" s="30" t="n">
        <v>0.1</v>
      </c>
      <c r="P268" s="29">
        <f>ROUND(H268*O268, 2)</f>
        <v/>
      </c>
      <c r="Q268" s="31" t="n">
        <v>0.0265892</v>
      </c>
      <c r="R268" s="31">
        <f>IFERROR(RATE(G268, -N268, K268, -P268), Q268)</f>
        <v/>
      </c>
      <c r="S268" s="31">
        <f>Q268*12</f>
        <v/>
      </c>
      <c r="T268" s="31">
        <f>((1+Q268)^12)-1</f>
        <v/>
      </c>
      <c r="U268" s="29">
        <f>IF(Q268&gt;0, ROUND(P268/((1+Q268)^G268), 2), P268)</f>
        <v/>
      </c>
      <c r="V268" s="29">
        <f>ROUND((N268*G268)-K268+P268, 2)</f>
        <v/>
      </c>
      <c r="W268" s="29">
        <f>ROUND(P268-U268, 2)</f>
        <v/>
      </c>
      <c r="X268" s="29">
        <f>ROUND(V268+W268, 2)</f>
        <v/>
      </c>
      <c r="Y268" s="29">
        <f>ROUND((N268*G268+P268+M268)-K268, 2)</f>
        <v/>
      </c>
      <c r="Z268" s="30">
        <f>IF(K268&gt;0, Y268/K268, 0)</f>
        <v/>
      </c>
    </row>
    <row r="269">
      <c r="A269" s="20" t="inlineStr">
        <is>
          <t>0773-0002</t>
        </is>
      </c>
      <c r="B269" s="21" t="inlineStr">
        <is>
          <t>Industrias Besthelg, S.A. de C.V.</t>
        </is>
      </c>
      <c r="C269" s="21" t="inlineStr">
        <is>
          <t>Peugeot Manager L4H2 2027</t>
        </is>
      </c>
      <c r="D269" s="20" t="inlineStr">
        <is>
          <t>ACTIVO</t>
        </is>
      </c>
      <c r="E269" s="20" t="inlineStr">
        <is>
          <t>2026-07-31</t>
        </is>
      </c>
      <c r="F269" s="20" t="inlineStr">
        <is>
          <t>2029-07-31</t>
        </is>
      </c>
      <c r="G269" s="22" t="n">
        <v>36</v>
      </c>
      <c r="H269" s="23" t="n">
        <v>761120.6899999999</v>
      </c>
      <c r="I269" s="24" t="n">
        <v>0</v>
      </c>
      <c r="J269" s="23">
        <f>ROUND(H269*I269, 2)</f>
        <v/>
      </c>
      <c r="K269" s="23">
        <f>ROUND(H269-J269, 2)</f>
        <v/>
      </c>
      <c r="L269" s="24" t="n">
        <v>0.02</v>
      </c>
      <c r="M269" s="23">
        <f>ROUND(H269*L269, 2)</f>
        <v/>
      </c>
      <c r="N269" s="23" t="n">
        <v>30576.76</v>
      </c>
      <c r="O269" s="24" t="n">
        <v>0.2</v>
      </c>
      <c r="P269" s="23">
        <f>ROUND(H269*O269, 2)</f>
        <v/>
      </c>
      <c r="Q269" s="25" t="n">
        <v>0.02666187</v>
      </c>
      <c r="R269" s="25">
        <f>IFERROR(RATE(G269, -N269, K269, -P269), Q269)</f>
        <v/>
      </c>
      <c r="S269" s="25">
        <f>Q269*12</f>
        <v/>
      </c>
      <c r="T269" s="25">
        <f>((1+Q269)^12)-1</f>
        <v/>
      </c>
      <c r="U269" s="23">
        <f>IF(Q269&gt;0, ROUND(P269/((1+Q269)^G269), 2), P269)</f>
        <v/>
      </c>
      <c r="V269" s="23">
        <f>ROUND((N269*G269)-K269+P269, 2)</f>
        <v/>
      </c>
      <c r="W269" s="23">
        <f>ROUND(P269-U269, 2)</f>
        <v/>
      </c>
      <c r="X269" s="23">
        <f>ROUND(V269+W269, 2)</f>
        <v/>
      </c>
      <c r="Y269" s="23">
        <f>ROUND((N269*G269+P269+M269)-K269, 2)</f>
        <v/>
      </c>
      <c r="Z269" s="24">
        <f>IF(K269&gt;0, Y269/K269, 0)</f>
        <v/>
      </c>
    </row>
    <row r="270">
      <c r="A270" s="26" t="inlineStr">
        <is>
          <t>0774-0001</t>
        </is>
      </c>
      <c r="B270" s="27" t="inlineStr">
        <is>
          <t>Grupo Plastikrom</t>
        </is>
      </c>
      <c r="C270" s="27" t="inlineStr">
        <is>
          <t>Jeep Cherokee Overland 2026</t>
        </is>
      </c>
      <c r="D270" s="26" t="inlineStr">
        <is>
          <t>ACTIVO</t>
        </is>
      </c>
      <c r="E270" s="26" t="inlineStr">
        <is>
          <t>2026-08-28</t>
        </is>
      </c>
      <c r="F270" s="26" t="inlineStr">
        <is>
          <t>2028-08-28</t>
        </is>
      </c>
      <c r="G270" s="28" t="n">
        <v>24</v>
      </c>
      <c r="H270" s="29" t="n">
        <v>768390.52</v>
      </c>
      <c r="I270" s="30" t="n">
        <v>0.3</v>
      </c>
      <c r="J270" s="29">
        <f>ROUND(H270*I270, 2)</f>
        <v/>
      </c>
      <c r="K270" s="29">
        <f>ROUND(H270-J270, 2)</f>
        <v/>
      </c>
      <c r="L270" s="30" t="n">
        <v>0</v>
      </c>
      <c r="M270" s="29">
        <f>ROUND(H270*L270, 2)</f>
        <v/>
      </c>
      <c r="N270" s="29" t="n">
        <v>25777.53</v>
      </c>
      <c r="O270" s="30" t="n">
        <v>0.15</v>
      </c>
      <c r="P270" s="29">
        <f>ROUND(H270*O270, 2)</f>
        <v/>
      </c>
      <c r="Q270" s="31" t="n">
        <v>0.02304274</v>
      </c>
      <c r="R270" s="31">
        <f>IFERROR(RATE(G270, -N270, K270, -P270), Q270)</f>
        <v/>
      </c>
      <c r="S270" s="31">
        <f>Q270*12</f>
        <v/>
      </c>
      <c r="T270" s="31">
        <f>((1+Q270)^12)-1</f>
        <v/>
      </c>
      <c r="U270" s="29">
        <f>IF(Q270&gt;0, ROUND(P270/((1+Q270)^G270), 2), P270)</f>
        <v/>
      </c>
      <c r="V270" s="29">
        <f>ROUND((N270*G270)-K270+P270, 2)</f>
        <v/>
      </c>
      <c r="W270" s="29">
        <f>ROUND(P270-U270, 2)</f>
        <v/>
      </c>
      <c r="X270" s="29">
        <f>ROUND(V270+W270, 2)</f>
        <v/>
      </c>
      <c r="Y270" s="29">
        <f>ROUND((N270*G270+P270+M270)-K270, 2)</f>
        <v/>
      </c>
      <c r="Z270" s="30">
        <f>IF(K270&gt;0, Y270/K270, 0)</f>
        <v/>
      </c>
    </row>
    <row r="271">
      <c r="A271" s="20" t="inlineStr">
        <is>
          <t>0775-0001</t>
        </is>
      </c>
      <c r="B271" s="21" t="inlineStr">
        <is>
          <t>Manuel Ledezma Iñiguez</t>
        </is>
      </c>
      <c r="C271" s="21" t="inlineStr">
        <is>
          <t>Leapmotor B10 2026</t>
        </is>
      </c>
      <c r="D271" s="20" t="inlineStr">
        <is>
          <t>ACTIVO</t>
        </is>
      </c>
      <c r="E271" s="20" t="inlineStr">
        <is>
          <t>2026-08-26</t>
        </is>
      </c>
      <c r="F271" s="20" t="inlineStr">
        <is>
          <t>2030-08-26</t>
        </is>
      </c>
      <c r="G271" s="22" t="n">
        <v>48</v>
      </c>
      <c r="H271" s="23" t="n">
        <v>427500</v>
      </c>
      <c r="I271" s="24" t="n">
        <v>0.3</v>
      </c>
      <c r="J271" s="23">
        <f>ROUND(H271*I271, 2)</f>
        <v/>
      </c>
      <c r="K271" s="23">
        <f>ROUND(H271-J271, 2)</f>
        <v/>
      </c>
      <c r="L271" s="24" t="n">
        <v>0.02</v>
      </c>
      <c r="M271" s="23">
        <f>ROUND(H271*L271, 2)</f>
        <v/>
      </c>
      <c r="N271" s="23" t="n">
        <v>10307.56</v>
      </c>
      <c r="O271" s="24" t="n">
        <v>0.2</v>
      </c>
      <c r="P271" s="23">
        <f>ROUND(H271*O271, 2)</f>
        <v/>
      </c>
      <c r="Q271" s="25" t="n">
        <v>0.0270066</v>
      </c>
      <c r="R271" s="25">
        <f>IFERROR(RATE(G271, -N271, K271, -P271), Q271)</f>
        <v/>
      </c>
      <c r="S271" s="25">
        <f>Q271*12</f>
        <v/>
      </c>
      <c r="T271" s="25">
        <f>((1+Q271)^12)-1</f>
        <v/>
      </c>
      <c r="U271" s="23">
        <f>IF(Q271&gt;0, ROUND(P271/((1+Q271)^G271), 2), P271)</f>
        <v/>
      </c>
      <c r="V271" s="23">
        <f>ROUND((N271*G271)-K271+P271, 2)</f>
        <v/>
      </c>
      <c r="W271" s="23">
        <f>ROUND(P271-U271, 2)</f>
        <v/>
      </c>
      <c r="X271" s="23">
        <f>ROUND(V271+W271, 2)</f>
        <v/>
      </c>
      <c r="Y271" s="23">
        <f>ROUND((N271*G271+P271+M271)-K271, 2)</f>
        <v/>
      </c>
      <c r="Z271" s="24">
        <f>IF(K271&gt;0, Y271/K271, 0)</f>
        <v/>
      </c>
    </row>
    <row r="272">
      <c r="A272" s="26" t="inlineStr">
        <is>
          <t>0776-0001</t>
        </is>
      </c>
      <c r="B272" s="27" t="inlineStr">
        <is>
          <t>Armando Serna Hernández</t>
        </is>
      </c>
      <c r="C272" s="27" t="inlineStr">
        <is>
          <t>Jeep Grand Cherokee Limited 2026</t>
        </is>
      </c>
      <c r="D272" s="26" t="inlineStr">
        <is>
          <t>ACTIVO</t>
        </is>
      </c>
      <c r="E272" s="26" t="inlineStr">
        <is>
          <t>2026-08-26</t>
        </is>
      </c>
      <c r="F272" s="26" t="inlineStr">
        <is>
          <t>2030-08-26</t>
        </is>
      </c>
      <c r="G272" s="28" t="n">
        <v>48</v>
      </c>
      <c r="H272" s="29" t="n">
        <v>1205948.28</v>
      </c>
      <c r="I272" s="30" t="n">
        <v>0.2</v>
      </c>
      <c r="J272" s="29">
        <f>ROUND(H272*I272, 2)</f>
        <v/>
      </c>
      <c r="K272" s="29">
        <f>ROUND(H272-J272, 2)</f>
        <v/>
      </c>
      <c r="L272" s="30" t="n">
        <v>0.02</v>
      </c>
      <c r="M272" s="29">
        <f>ROUND(H272*L272, 2)</f>
        <v/>
      </c>
      <c r="N272" s="29" t="n">
        <v>33576.55</v>
      </c>
      <c r="O272" s="30" t="n">
        <v>0.2</v>
      </c>
      <c r="P272" s="29">
        <f>ROUND(H272*O272, 2)</f>
        <v/>
      </c>
      <c r="Q272" s="31" t="n">
        <v>0.02698938</v>
      </c>
      <c r="R272" s="31">
        <f>IFERROR(RATE(G272, -N272, K272, -P272), Q272)</f>
        <v/>
      </c>
      <c r="S272" s="31">
        <f>Q272*12</f>
        <v/>
      </c>
      <c r="T272" s="31">
        <f>((1+Q272)^12)-1</f>
        <v/>
      </c>
      <c r="U272" s="29">
        <f>IF(Q272&gt;0, ROUND(P272/((1+Q272)^G272), 2), P272)</f>
        <v/>
      </c>
      <c r="V272" s="29">
        <f>ROUND((N272*G272)-K272+P272, 2)</f>
        <v/>
      </c>
      <c r="W272" s="29">
        <f>ROUND(P272-U272, 2)</f>
        <v/>
      </c>
      <c r="X272" s="29">
        <f>ROUND(V272+W272, 2)</f>
        <v/>
      </c>
      <c r="Y272" s="29">
        <f>ROUND((N272*G272+P272+M272)-K272, 2)</f>
        <v/>
      </c>
      <c r="Z272" s="30">
        <f>IF(K272&gt;0, Y272/K272, 0)</f>
        <v/>
      </c>
    </row>
    <row r="273">
      <c r="A273" s="20" t="inlineStr">
        <is>
          <t>0777-0001</t>
        </is>
      </c>
      <c r="B273" s="21" t="inlineStr">
        <is>
          <t>Yazmin Alejandra Gomez Olivas</t>
        </is>
      </c>
      <c r="C273" s="21" t="inlineStr">
        <is>
          <t>Jeep Wrangler Rubicon 2026</t>
        </is>
      </c>
      <c r="D273" s="20" t="inlineStr">
        <is>
          <t>ACTIVO</t>
        </is>
      </c>
      <c r="E273" s="20" t="inlineStr">
        <is>
          <t>2026-08-31</t>
        </is>
      </c>
      <c r="F273" s="20" t="inlineStr">
        <is>
          <t>2030-08-31</t>
        </is>
      </c>
      <c r="G273" s="22" t="n">
        <v>48</v>
      </c>
      <c r="H273" s="23" t="n">
        <v>1200775.86</v>
      </c>
      <c r="I273" s="24" t="n">
        <v>0.3</v>
      </c>
      <c r="J273" s="23">
        <f>ROUND(H273*I273, 2)</f>
        <v/>
      </c>
      <c r="K273" s="23">
        <f>ROUND(H273-J273, 2)</f>
        <v/>
      </c>
      <c r="L273" s="24" t="n">
        <v>0.02</v>
      </c>
      <c r="M273" s="23">
        <f>ROUND(H273*L273, 2)</f>
        <v/>
      </c>
      <c r="N273" s="23" t="n">
        <v>30157.28</v>
      </c>
      <c r="O273" s="24" t="n">
        <v>0.1</v>
      </c>
      <c r="P273" s="23">
        <f>ROUND(H273*O273, 2)</f>
        <v/>
      </c>
      <c r="Q273" s="25" t="n">
        <v>0.02693492</v>
      </c>
      <c r="R273" s="25">
        <f>IFERROR(RATE(G273, -N273, K273, -P273), Q273)</f>
        <v/>
      </c>
      <c r="S273" s="25">
        <f>Q273*12</f>
        <v/>
      </c>
      <c r="T273" s="25">
        <f>((1+Q273)^12)-1</f>
        <v/>
      </c>
      <c r="U273" s="23">
        <f>IF(Q273&gt;0, ROUND(P273/((1+Q273)^G273), 2), P273)</f>
        <v/>
      </c>
      <c r="V273" s="23">
        <f>ROUND((N273*G273)-K273+P273, 2)</f>
        <v/>
      </c>
      <c r="W273" s="23">
        <f>ROUND(P273-U273, 2)</f>
        <v/>
      </c>
      <c r="X273" s="23">
        <f>ROUND(V273+W273, 2)</f>
        <v/>
      </c>
      <c r="Y273" s="23">
        <f>ROUND((N273*G273+P273+M273)-K273, 2)</f>
        <v/>
      </c>
      <c r="Z273" s="24">
        <f>IF(K273&gt;0, Y273/K273, 0)</f>
        <v/>
      </c>
    </row>
    <row r="274">
      <c r="A274" s="26" t="inlineStr">
        <is>
          <t>0778-0001</t>
        </is>
      </c>
      <c r="B274" s="27" t="inlineStr">
        <is>
          <t>Construcciones y Desarrollos Inmobile, S.A. de C.V.</t>
        </is>
      </c>
      <c r="C274" s="27" t="inlineStr">
        <is>
          <t>Mitsubishi L200 2026</t>
        </is>
      </c>
      <c r="D274" s="26" t="inlineStr">
        <is>
          <t>ACTIVO</t>
        </is>
      </c>
      <c r="E274" s="26" t="inlineStr">
        <is>
          <t>2026-08-31</t>
        </is>
      </c>
      <c r="F274" s="26" t="inlineStr">
        <is>
          <t>2028-08-31</t>
        </is>
      </c>
      <c r="G274" s="28" t="n">
        <v>24</v>
      </c>
      <c r="H274" s="29" t="n">
        <v>515452.59</v>
      </c>
      <c r="I274" s="30" t="n">
        <v>0.4</v>
      </c>
      <c r="J274" s="29">
        <f>ROUND(H274*I274, 2)</f>
        <v/>
      </c>
      <c r="K274" s="29">
        <f>ROUND(H274-J274, 2)</f>
        <v/>
      </c>
      <c r="L274" s="30" t="n">
        <v>0.02</v>
      </c>
      <c r="M274" s="29">
        <f>ROUND(H274*L274, 2)</f>
        <v/>
      </c>
      <c r="N274" s="29" t="n">
        <v>15912.44</v>
      </c>
      <c r="O274" s="30" t="n">
        <v>0.1</v>
      </c>
      <c r="P274" s="29">
        <f>ROUND(H274*O274, 2)</f>
        <v/>
      </c>
      <c r="Q274" s="31" t="n">
        <v>0.02601126</v>
      </c>
      <c r="R274" s="31">
        <f>IFERROR(RATE(G274, -N274, K274, -P274), Q274)</f>
        <v/>
      </c>
      <c r="S274" s="31">
        <f>Q274*12</f>
        <v/>
      </c>
      <c r="T274" s="31">
        <f>((1+Q274)^12)-1</f>
        <v/>
      </c>
      <c r="U274" s="29">
        <f>IF(Q274&gt;0, ROUND(P274/((1+Q274)^G274), 2), P274)</f>
        <v/>
      </c>
      <c r="V274" s="29">
        <f>ROUND((N274*G274)-K274+P274, 2)</f>
        <v/>
      </c>
      <c r="W274" s="29">
        <f>ROUND(P274-U274, 2)</f>
        <v/>
      </c>
      <c r="X274" s="29">
        <f>ROUND(V274+W274, 2)</f>
        <v/>
      </c>
      <c r="Y274" s="29">
        <f>ROUND((N274*G274+P274+M274)-K274, 2)</f>
        <v/>
      </c>
      <c r="Z274" s="30">
        <f>IF(K274&gt;0, Y274/K274, 0)</f>
        <v/>
      </c>
    </row>
    <row r="275">
      <c r="A275" s="20" t="inlineStr">
        <is>
          <t>0779-0001</t>
        </is>
      </c>
      <c r="B275" s="21" t="inlineStr">
        <is>
          <t>Margarita Kaplun Mucharrafille</t>
        </is>
      </c>
      <c r="C275" s="21" t="inlineStr">
        <is>
          <t>Ram 700 Bighorn 2026</t>
        </is>
      </c>
      <c r="D275" s="20" t="inlineStr">
        <is>
          <t>ACTIVO</t>
        </is>
      </c>
      <c r="E275" s="20" t="inlineStr">
        <is>
          <t>2026-09-03</t>
        </is>
      </c>
      <c r="F275" s="20" t="inlineStr">
        <is>
          <t>2030-09-03</t>
        </is>
      </c>
      <c r="G275" s="22" t="n">
        <v>48</v>
      </c>
      <c r="H275" s="23" t="n">
        <v>371599.14</v>
      </c>
      <c r="I275" s="24" t="n">
        <v>0.4</v>
      </c>
      <c r="J275" s="23">
        <f>ROUND(H275*I275, 2)</f>
        <v/>
      </c>
      <c r="K275" s="23">
        <f>ROUND(H275-J275, 2)</f>
        <v/>
      </c>
      <c r="L275" s="24" t="n">
        <v>0.02</v>
      </c>
      <c r="M275" s="23">
        <f>ROUND(H275*L275, 2)</f>
        <v/>
      </c>
      <c r="N275" s="23" t="n">
        <v>7946.14</v>
      </c>
      <c r="O275" s="24" t="n">
        <v>0.1</v>
      </c>
      <c r="P275" s="23">
        <f>ROUND(H275*O275, 2)</f>
        <v/>
      </c>
      <c r="Q275" s="25" t="n">
        <v>0.0269474</v>
      </c>
      <c r="R275" s="25">
        <f>IFERROR(RATE(G275, -N275, K275, -P275), Q275)</f>
        <v/>
      </c>
      <c r="S275" s="25">
        <f>Q275*12</f>
        <v/>
      </c>
      <c r="T275" s="25">
        <f>((1+Q275)^12)-1</f>
        <v/>
      </c>
      <c r="U275" s="23">
        <f>IF(Q275&gt;0, ROUND(P275/((1+Q275)^G275), 2), P275)</f>
        <v/>
      </c>
      <c r="V275" s="23">
        <f>ROUND((N275*G275)-K275+P275, 2)</f>
        <v/>
      </c>
      <c r="W275" s="23">
        <f>ROUND(P275-U275, 2)</f>
        <v/>
      </c>
      <c r="X275" s="23">
        <f>ROUND(V275+W275, 2)</f>
        <v/>
      </c>
      <c r="Y275" s="23">
        <f>ROUND((N275*G275+P275+M275)-K275, 2)</f>
        <v/>
      </c>
      <c r="Z275" s="24">
        <f>IF(K275&gt;0, Y275/K275, 0)</f>
        <v/>
      </c>
    </row>
    <row r="276">
      <c r="A276" s="26" t="inlineStr">
        <is>
          <t>0780-0001</t>
        </is>
      </c>
      <c r="B276" s="27" t="inlineStr">
        <is>
          <t>David Rosendo Cedeño Guerrero</t>
        </is>
      </c>
      <c r="C276" s="27" t="inlineStr">
        <is>
          <t>Suzuki Jimny 2027</t>
        </is>
      </c>
      <c r="D276" s="26" t="inlineStr">
        <is>
          <t>ACTIVO</t>
        </is>
      </c>
      <c r="E276" s="26" t="inlineStr">
        <is>
          <t>2026-09-03</t>
        </is>
      </c>
      <c r="F276" s="26" t="inlineStr">
        <is>
          <t>2030-09-03</t>
        </is>
      </c>
      <c r="G276" s="28" t="n">
        <v>48</v>
      </c>
      <c r="H276" s="29" t="n">
        <v>464646.55</v>
      </c>
      <c r="I276" s="30" t="n">
        <v>0.1</v>
      </c>
      <c r="J276" s="29">
        <f>ROUND(H276*I276, 2)</f>
        <v/>
      </c>
      <c r="K276" s="29">
        <f>ROUND(H276-J276, 2)</f>
        <v/>
      </c>
      <c r="L276" s="30" t="n">
        <v>0.02</v>
      </c>
      <c r="M276" s="29">
        <f>ROUND(H276*L276, 2)</f>
        <v/>
      </c>
      <c r="N276" s="29" t="n">
        <v>15122.6</v>
      </c>
      <c r="O276" s="30" t="n">
        <v>0.1</v>
      </c>
      <c r="P276" s="29">
        <f>ROUND(H276*O276, 2)</f>
        <v/>
      </c>
      <c r="Q276" s="31" t="n">
        <v>0.02687187</v>
      </c>
      <c r="R276" s="31">
        <f>IFERROR(RATE(G276, -N276, K276, -P276), Q276)</f>
        <v/>
      </c>
      <c r="S276" s="31">
        <f>Q276*12</f>
        <v/>
      </c>
      <c r="T276" s="31">
        <f>((1+Q276)^12)-1</f>
        <v/>
      </c>
      <c r="U276" s="29">
        <f>IF(Q276&gt;0, ROUND(P276/((1+Q276)^G276), 2), P276)</f>
        <v/>
      </c>
      <c r="V276" s="29">
        <f>ROUND((N276*G276)-K276+P276, 2)</f>
        <v/>
      </c>
      <c r="W276" s="29">
        <f>ROUND(P276-U276, 2)</f>
        <v/>
      </c>
      <c r="X276" s="29">
        <f>ROUND(V276+W276, 2)</f>
        <v/>
      </c>
      <c r="Y276" s="29">
        <f>ROUND((N276*G276+P276+M276)-K276, 2)</f>
        <v/>
      </c>
      <c r="Z276" s="30">
        <f>IF(K276&gt;0, Y276/K276, 0)</f>
        <v/>
      </c>
    </row>
    <row r="277">
      <c r="A277" s="20" t="inlineStr">
        <is>
          <t>0781-0001</t>
        </is>
      </c>
      <c r="B277" s="21" t="inlineStr">
        <is>
          <t>Northstar Marine &amp; Civil, S.A. de C.V.</t>
        </is>
      </c>
      <c r="C277" s="21" t="inlineStr">
        <is>
          <t>Sany Motoniveladora 2026</t>
        </is>
      </c>
      <c r="D277" s="20" t="inlineStr">
        <is>
          <t>ACTIVO</t>
        </is>
      </c>
      <c r="E277" s="20" t="inlineStr">
        <is>
          <t>2026-09-25</t>
        </is>
      </c>
      <c r="F277" s="20" t="inlineStr">
        <is>
          <t>2028-09-25</t>
        </is>
      </c>
      <c r="G277" s="22" t="n">
        <v>24</v>
      </c>
      <c r="H277" s="23" t="n">
        <v>3277105.17</v>
      </c>
      <c r="I277" s="24" t="n">
        <v>0.2</v>
      </c>
      <c r="J277" s="23">
        <f>ROUND(H277*I277, 2)</f>
        <v/>
      </c>
      <c r="K277" s="23">
        <f>ROUND(H277-J277, 2)</f>
        <v/>
      </c>
      <c r="L277" s="24" t="n">
        <v>0</v>
      </c>
      <c r="M277" s="23">
        <f>ROUND(H277*L277, 2)</f>
        <v/>
      </c>
      <c r="N277" s="23" t="n">
        <v>139765.45</v>
      </c>
      <c r="O277" s="24" t="n">
        <v>0.02</v>
      </c>
      <c r="P277" s="23">
        <f>ROUND(H277*O277, 2)</f>
        <v/>
      </c>
      <c r="Q277" s="25" t="n">
        <v>0.02205956</v>
      </c>
      <c r="R277" s="25">
        <f>IFERROR(RATE(G277, -N277, K277, -P277), Q277)</f>
        <v/>
      </c>
      <c r="S277" s="25">
        <f>Q277*12</f>
        <v/>
      </c>
      <c r="T277" s="25">
        <f>((1+Q277)^12)-1</f>
        <v/>
      </c>
      <c r="U277" s="23">
        <f>IF(Q277&gt;0, ROUND(P277/((1+Q277)^G277), 2), P277)</f>
        <v/>
      </c>
      <c r="V277" s="23">
        <f>ROUND((N277*G277)-K277+P277, 2)</f>
        <v/>
      </c>
      <c r="W277" s="23">
        <f>ROUND(P277-U277, 2)</f>
        <v/>
      </c>
      <c r="X277" s="23">
        <f>ROUND(V277+W277, 2)</f>
        <v/>
      </c>
      <c r="Y277" s="23">
        <f>ROUND((N277*G277+P277+M277)-K277, 2)</f>
        <v/>
      </c>
      <c r="Z277" s="24">
        <f>IF(K277&gt;0, Y277/K277, 0)</f>
        <v/>
      </c>
    </row>
    <row r="278">
      <c r="A278" s="26" t="inlineStr">
        <is>
          <t>0783-0001</t>
        </is>
      </c>
      <c r="B278" s="27" t="inlineStr">
        <is>
          <t>Nuup Trading, S.A. de C.V.</t>
        </is>
      </c>
      <c r="C278" s="27" t="inlineStr">
        <is>
          <t>Jeep Renegade 2026</t>
        </is>
      </c>
      <c r="D278" s="26" t="inlineStr">
        <is>
          <t>ACTIVO</t>
        </is>
      </c>
      <c r="E278" s="26" t="inlineStr">
        <is>
          <t>2026-09-22</t>
        </is>
      </c>
      <c r="F278" s="26" t="inlineStr">
        <is>
          <t>2028-09-22</t>
        </is>
      </c>
      <c r="G278" s="28" t="n">
        <v>24</v>
      </c>
      <c r="H278" s="29" t="n">
        <v>432672.41</v>
      </c>
      <c r="I278" s="30" t="n">
        <v>0.3</v>
      </c>
      <c r="J278" s="29">
        <f>ROUND(H278*I278, 2)</f>
        <v/>
      </c>
      <c r="K278" s="29">
        <f>ROUND(H278-J278, 2)</f>
        <v/>
      </c>
      <c r="L278" s="30" t="n">
        <v>0.02</v>
      </c>
      <c r="M278" s="29">
        <f>ROUND(H278*L278, 2)</f>
        <v/>
      </c>
      <c r="N278" s="29" t="n">
        <v>14513.72</v>
      </c>
      <c r="O278" s="30" t="n">
        <v>0.2</v>
      </c>
      <c r="P278" s="29">
        <f>ROUND(H278*O278, 2)</f>
        <v/>
      </c>
      <c r="Q278" s="31" t="n">
        <v>0.02615301</v>
      </c>
      <c r="R278" s="31">
        <f>IFERROR(RATE(G278, -N278, K278, -P278), Q278)</f>
        <v/>
      </c>
      <c r="S278" s="31">
        <f>Q278*12</f>
        <v/>
      </c>
      <c r="T278" s="31">
        <f>((1+Q278)^12)-1</f>
        <v/>
      </c>
      <c r="U278" s="29">
        <f>IF(Q278&gt;0, ROUND(P278/((1+Q278)^G278), 2), P278)</f>
        <v/>
      </c>
      <c r="V278" s="29">
        <f>ROUND((N278*G278)-K278+P278, 2)</f>
        <v/>
      </c>
      <c r="W278" s="29">
        <f>ROUND(P278-U278, 2)</f>
        <v/>
      </c>
      <c r="X278" s="29">
        <f>ROUND(V278+W278, 2)</f>
        <v/>
      </c>
      <c r="Y278" s="29">
        <f>ROUND((N278*G278+P278+M278)-K278, 2)</f>
        <v/>
      </c>
      <c r="Z278" s="30">
        <f>IF(K278&gt;0, Y278/K278, 0)</f>
        <v/>
      </c>
    </row>
    <row r="279">
      <c r="A279" s="20" t="inlineStr">
        <is>
          <t>0784-0001</t>
        </is>
      </c>
      <c r="B279" s="21" t="inlineStr">
        <is>
          <t>Enruta App, S.A. de C.V.</t>
        </is>
      </c>
      <c r="C279" s="21" t="inlineStr">
        <is>
          <t>Dodge Attitude GT 2026</t>
        </is>
      </c>
      <c r="D279" s="20" t="inlineStr">
        <is>
          <t>ACTIVO</t>
        </is>
      </c>
      <c r="E279" s="20" t="inlineStr">
        <is>
          <t>2026-09-22</t>
        </is>
      </c>
      <c r="F279" s="20" t="inlineStr">
        <is>
          <t>2027-09-22</t>
        </is>
      </c>
      <c r="G279" s="22" t="n">
        <v>12</v>
      </c>
      <c r="H279" s="23" t="n">
        <v>397950.86</v>
      </c>
      <c r="I279" s="24" t="n">
        <v>0.2</v>
      </c>
      <c r="J279" s="23">
        <f>ROUND(H279*I279, 2)</f>
        <v/>
      </c>
      <c r="K279" s="23">
        <f>ROUND(H279-J279, 2)</f>
        <v/>
      </c>
      <c r="L279" s="24" t="n">
        <v>0.02</v>
      </c>
      <c r="M279" s="23">
        <f>ROUND(H279*L279, 2)</f>
        <v/>
      </c>
      <c r="N279" s="23" t="n">
        <v>21723.01</v>
      </c>
      <c r="O279" s="24" t="n">
        <v>0.3</v>
      </c>
      <c r="P279" s="23">
        <f>ROUND(H279*O279, 2)</f>
        <v/>
      </c>
      <c r="Q279" s="25" t="n">
        <v>0.02221054</v>
      </c>
      <c r="R279" s="25">
        <f>IFERROR(RATE(G279, -N279, K279, -P279), Q279)</f>
        <v/>
      </c>
      <c r="S279" s="25">
        <f>Q279*12</f>
        <v/>
      </c>
      <c r="T279" s="25">
        <f>((1+Q279)^12)-1</f>
        <v/>
      </c>
      <c r="U279" s="23">
        <f>IF(Q279&gt;0, ROUND(P279/((1+Q279)^G279), 2), P279)</f>
        <v/>
      </c>
      <c r="V279" s="23">
        <f>ROUND((N279*G279)-K279+P279, 2)</f>
        <v/>
      </c>
      <c r="W279" s="23">
        <f>ROUND(P279-U279, 2)</f>
        <v/>
      </c>
      <c r="X279" s="23">
        <f>ROUND(V279+W279, 2)</f>
        <v/>
      </c>
      <c r="Y279" s="23">
        <f>ROUND((N279*G279+P279+M279)-K279, 2)</f>
        <v/>
      </c>
      <c r="Z279" s="24">
        <f>IF(K279&gt;0, Y279/K279, 0)</f>
        <v/>
      </c>
    </row>
    <row r="280">
      <c r="A280" s="26" t="inlineStr">
        <is>
          <t>0785-0001</t>
        </is>
      </c>
      <c r="B280" s="27" t="inlineStr">
        <is>
          <t>Velazquez Guerrero y Asociados, S.C.</t>
        </is>
      </c>
      <c r="C280" s="27" t="inlineStr">
        <is>
          <t>Peugeot Rifter Allure Pack 2027</t>
        </is>
      </c>
      <c r="D280" s="26" t="inlineStr">
        <is>
          <t>ACTIVO</t>
        </is>
      </c>
      <c r="E280" s="26" t="inlineStr">
        <is>
          <t>2026-09-28</t>
        </is>
      </c>
      <c r="F280" s="26" t="inlineStr">
        <is>
          <t>2028-09-28</t>
        </is>
      </c>
      <c r="G280" s="28" t="n">
        <v>24</v>
      </c>
      <c r="H280" s="29" t="n">
        <v>424709.48</v>
      </c>
      <c r="I280" s="30" t="n">
        <v>0.2</v>
      </c>
      <c r="J280" s="29">
        <f>ROUND(H280*I280, 2)</f>
        <v/>
      </c>
      <c r="K280" s="29">
        <f>ROUND(H280-J280, 2)</f>
        <v/>
      </c>
      <c r="L280" s="30" t="n">
        <v>0.02</v>
      </c>
      <c r="M280" s="29">
        <f>ROUND(H280*L280, 2)</f>
        <v/>
      </c>
      <c r="N280" s="29" t="n">
        <v>16641.73</v>
      </c>
      <c r="O280" s="30" t="n">
        <v>0.2</v>
      </c>
      <c r="P280" s="29">
        <f>ROUND(H280*O280, 2)</f>
        <v/>
      </c>
      <c r="Q280" s="31" t="n">
        <v>0.02611236</v>
      </c>
      <c r="R280" s="31">
        <f>IFERROR(RATE(G280, -N280, K280, -P280), Q280)</f>
        <v/>
      </c>
      <c r="S280" s="31">
        <f>Q280*12</f>
        <v/>
      </c>
      <c r="T280" s="31">
        <f>((1+Q280)^12)-1</f>
        <v/>
      </c>
      <c r="U280" s="29">
        <f>IF(Q280&gt;0, ROUND(P280/((1+Q280)^G280), 2), P280)</f>
        <v/>
      </c>
      <c r="V280" s="29">
        <f>ROUND((N280*G280)-K280+P280, 2)</f>
        <v/>
      </c>
      <c r="W280" s="29">
        <f>ROUND(P280-U280, 2)</f>
        <v/>
      </c>
      <c r="X280" s="29">
        <f>ROUND(V280+W280, 2)</f>
        <v/>
      </c>
      <c r="Y280" s="29">
        <f>ROUND((N280*G280+P280+M280)-K280, 2)</f>
        <v/>
      </c>
      <c r="Z280" s="30">
        <f>IF(K280&gt;0, Y280/K280, 0)</f>
        <v/>
      </c>
    </row>
    <row r="281">
      <c r="A281" s="20" t="inlineStr">
        <is>
          <t>0786-0001</t>
        </is>
      </c>
      <c r="B281" s="21" t="inlineStr">
        <is>
          <t>Consejería Jurídico Empresarial, S.C.</t>
        </is>
      </c>
      <c r="C281" s="21" t="inlineStr">
        <is>
          <t>Mitsubishi Outlander Sport Limited 2027</t>
        </is>
      </c>
      <c r="D281" s="20" t="inlineStr">
        <is>
          <t>ACTIVO</t>
        </is>
      </c>
      <c r="E281" s="20" t="inlineStr">
        <is>
          <t>2026-09-28</t>
        </is>
      </c>
      <c r="F281" s="20" t="inlineStr">
        <is>
          <t>2028-09-28</t>
        </is>
      </c>
      <c r="G281" s="22" t="n">
        <v>24</v>
      </c>
      <c r="H281" s="23" t="n">
        <v>475727.59</v>
      </c>
      <c r="I281" s="24" t="n">
        <v>0.3</v>
      </c>
      <c r="J281" s="23">
        <f>ROUND(H281*I281, 2)</f>
        <v/>
      </c>
      <c r="K281" s="23">
        <f>ROUND(H281-J281, 2)</f>
        <v/>
      </c>
      <c r="L281" s="24" t="n">
        <v>0.02</v>
      </c>
      <c r="M281" s="23">
        <f>ROUND(H281*L281, 2)</f>
        <v/>
      </c>
      <c r="N281" s="23" t="n">
        <v>15957.97</v>
      </c>
      <c r="O281" s="24" t="n">
        <v>0.2</v>
      </c>
      <c r="P281" s="23">
        <f>ROUND(H281*O281, 2)</f>
        <v/>
      </c>
      <c r="Q281" s="25" t="n">
        <v>0.02615301</v>
      </c>
      <c r="R281" s="25">
        <f>IFERROR(RATE(G281, -N281, K281, -P281), Q281)</f>
        <v/>
      </c>
      <c r="S281" s="25">
        <f>Q281*12</f>
        <v/>
      </c>
      <c r="T281" s="25">
        <f>((1+Q281)^12)-1</f>
        <v/>
      </c>
      <c r="U281" s="23">
        <f>IF(Q281&gt;0, ROUND(P281/((1+Q281)^G281), 2), P281)</f>
        <v/>
      </c>
      <c r="V281" s="23">
        <f>ROUND((N281*G281)-K281+P281, 2)</f>
        <v/>
      </c>
      <c r="W281" s="23">
        <f>ROUND(P281-U281, 2)</f>
        <v/>
      </c>
      <c r="X281" s="23">
        <f>ROUND(V281+W281, 2)</f>
        <v/>
      </c>
      <c r="Y281" s="23">
        <f>ROUND((N281*G281+P281+M281)-K281, 2)</f>
        <v/>
      </c>
      <c r="Z281" s="24">
        <f>IF(K281&gt;0, Y281/K281, 0)</f>
        <v/>
      </c>
    </row>
    <row r="282">
      <c r="A282" s="32" t="inlineStr">
        <is>
          <t>TOTAL CARTERA</t>
        </is>
      </c>
      <c r="B282" s="33" t="inlineStr">
        <is>
          <t>277 Contratos Registrados</t>
        </is>
      </c>
      <c r="C282" s="34" t="n"/>
      <c r="D282" s="34" t="n"/>
      <c r="E282" s="34" t="n"/>
      <c r="F282" s="34" t="n"/>
      <c r="G282" s="34" t="n"/>
      <c r="H282" s="35">
        <f>SUM(H5:H281)</f>
        <v/>
      </c>
      <c r="I282" s="36">
        <f>AVERAGE(I5:I281)</f>
        <v/>
      </c>
      <c r="J282" s="35">
        <f>SUM(J5:J281)</f>
        <v/>
      </c>
      <c r="K282" s="35">
        <f>SUM(K5:K281)</f>
        <v/>
      </c>
      <c r="L282" s="36">
        <f>AVERAGE(L5:L281)</f>
        <v/>
      </c>
      <c r="M282" s="35">
        <f>SUM(M5:M281)</f>
        <v/>
      </c>
      <c r="N282" s="35">
        <f>SUM(N5:N281)</f>
        <v/>
      </c>
      <c r="O282" s="36">
        <f>AVERAGE(O5:O281)</f>
        <v/>
      </c>
      <c r="P282" s="35">
        <f>SUM(P5:P281)</f>
        <v/>
      </c>
      <c r="Q282" s="37">
        <f>AVERAGE(Q5:Q281)</f>
        <v/>
      </c>
      <c r="R282" s="37">
        <f>AVERAGE(R5:R281)</f>
        <v/>
      </c>
      <c r="S282" s="37">
        <f>AVERAGE(S5:S281)</f>
        <v/>
      </c>
      <c r="T282" s="37">
        <f>AVERAGE(T5:T281)</f>
        <v/>
      </c>
      <c r="U282" s="35">
        <f>SUM(U5:U281)</f>
        <v/>
      </c>
      <c r="V282" s="35">
        <f>SUM(V5:V281)</f>
        <v/>
      </c>
      <c r="W282" s="35">
        <f>SUM(W5:W281)</f>
        <v/>
      </c>
      <c r="X282" s="35">
        <f>SUM(X5:X281)</f>
        <v/>
      </c>
      <c r="Y282" s="35">
        <f>SUM(Y5:Y281)</f>
        <v/>
      </c>
      <c r="Z282" s="36">
        <f>IF(K282&gt;0, Y282/K282, 0)</f>
        <v/>
      </c>
    </row>
  </sheetData>
  <autoFilter ref="A4:Z281"/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2" customWidth="1" min="4" max="4"/>
    <col width="12" customWidth="1" min="5" max="5"/>
    <col width="16" customWidth="1" min="6" max="6"/>
    <col width="13" customWidth="1" min="7" max="7"/>
    <col width="16" customWidth="1" min="8" max="8"/>
    <col width="16" customWidth="1" min="9" max="9"/>
    <col width="16" customWidth="1" min="10" max="10"/>
    <col width="13" customWidth="1" min="11" max="11"/>
    <col width="16" customWidth="1" min="12" max="12"/>
    <col width="18" customWidth="1" min="13" max="13"/>
    <col width="18" customWidth="1" min="14" max="14"/>
    <col width="18" customWidth="1" min="15" max="15"/>
    <col width="16" customWidth="1" min="16" max="16"/>
    <col width="18" customWidth="1" min="17" max="17"/>
    <col width="18" customWidth="1" min="18" max="18"/>
    <col width="18" customWidth="1" min="19" max="19"/>
    <col width="16" customWidth="1" min="20" max="20"/>
  </cols>
  <sheetData>
    <row r="1" ht="24" customHeight="1">
      <c r="A1" s="18" t="inlineStr">
        <is>
          <t>O-LEASING · UNA APP DE ORANGE CREW · Cálculo de Tasa Implícita y Comprobación de Flujos (NIF C-15 / IFRS 16)</t>
        </is>
      </c>
    </row>
    <row r="2" ht="16" customHeight="1">
      <c r="A2" s="3" t="inlineStr">
        <is>
          <t>Determinación de tasa mensual mediante RATE(nper, -pmt, pv, -fv), unidad adquirida y comprobación PV con diferencia cero · Auditoría Financiera NIF C-15 / IFRS 16 · Desarrollado por Orange Crew</t>
        </is>
      </c>
    </row>
    <row r="4" ht="28" customHeight="1">
      <c r="A4" s="19" t="inlineStr">
        <is>
          <t>ID_Contrato</t>
        </is>
      </c>
      <c r="B4" s="19" t="inlineStr">
        <is>
          <t>Cliente</t>
        </is>
      </c>
      <c r="C4" s="19" t="inlineStr">
        <is>
          <t>Vehiculo</t>
        </is>
      </c>
      <c r="D4" s="19" t="inlineStr">
        <is>
          <t>Estatus</t>
        </is>
      </c>
      <c r="E4" s="19" t="inlineStr">
        <is>
          <t>Plazo_Meses</t>
        </is>
      </c>
      <c r="F4" s="19" t="inlineStr">
        <is>
          <t>Valor_Sin_IVA</t>
        </is>
      </c>
      <c r="G4" s="19" t="inlineStr">
        <is>
          <t>Anticipo_Pct</t>
        </is>
      </c>
      <c r="H4" s="19" t="inlineStr">
        <is>
          <t>Anticipo_Monto</t>
        </is>
      </c>
      <c r="I4" s="19" t="inlineStr">
        <is>
          <t>Inversion_Neta</t>
        </is>
      </c>
      <c r="J4" s="19" t="inlineStr">
        <is>
          <t>Renta_Sin_IVA</t>
        </is>
      </c>
      <c r="K4" s="19" t="inlineStr">
        <is>
          <t>Residual_Pct</t>
        </is>
      </c>
      <c r="L4" s="19" t="inlineStr">
        <is>
          <t>Residual_Pactado</t>
        </is>
      </c>
      <c r="M4" s="19" t="inlineStr">
        <is>
          <t>Tasa_Mensual_Registrada</t>
        </is>
      </c>
      <c r="N4" s="19" t="inlineStr">
        <is>
          <t>Tasa_Calculada_RATE</t>
        </is>
      </c>
      <c r="O4" s="19" t="inlineStr">
        <is>
          <t>Comprobacion_PV</t>
        </is>
      </c>
      <c r="P4" s="19" t="inlineStr">
        <is>
          <t>Diferencia_Cuadre</t>
        </is>
      </c>
      <c r="Q4" s="19" t="inlineStr">
        <is>
          <t>Tasa_Nominal_Anual</t>
        </is>
      </c>
      <c r="R4" s="19" t="inlineStr">
        <is>
          <t>TIR_Anual_Efectiva</t>
        </is>
      </c>
      <c r="S4" s="19" t="inlineStr">
        <is>
          <t>Diferencia_vs_Registrada</t>
        </is>
      </c>
      <c r="T4" s="19" t="inlineStr">
        <is>
          <t>Estatus_Verificacion</t>
        </is>
      </c>
    </row>
    <row r="5">
      <c r="A5" s="20" t="inlineStr">
        <is>
          <t>0326-0003</t>
        </is>
      </c>
      <c r="B5" s="21" t="inlineStr">
        <is>
          <t>Alberto Vázquez Solorio</t>
        </is>
      </c>
      <c r="C5" s="21" t="inlineStr">
        <is>
          <t>Volkswagen Tiguan R-Line 2026</t>
        </is>
      </c>
      <c r="D5" s="20" t="inlineStr">
        <is>
          <t>ACTIVO</t>
        </is>
      </c>
      <c r="E5" s="22" t="n">
        <v>48</v>
      </c>
      <c r="F5" s="23" t="n">
        <v>645181.9</v>
      </c>
      <c r="G5" s="24" t="n">
        <v>0.3705</v>
      </c>
      <c r="H5" s="23">
        <f>ROUND(F5*G5, 2)</f>
        <v/>
      </c>
      <c r="I5" s="23">
        <f>ROUND(F5-H5, 2)</f>
        <v/>
      </c>
      <c r="J5" s="23" t="n">
        <v>8393.91</v>
      </c>
      <c r="K5" s="24" t="n">
        <v>0.28</v>
      </c>
      <c r="L5" s="23">
        <f>ROUND(F5*K5, 2)</f>
        <v/>
      </c>
      <c r="M5" s="25" t="n">
        <v>0.01206146</v>
      </c>
      <c r="N5" s="25">
        <f>IFERROR(RATE(E5, -J5, I5, -L5), M5)</f>
        <v/>
      </c>
      <c r="O5" s="23">
        <f>IF(N5&gt;0, ROUND(PV(N5, E5, -J5, -L5), 2), I5)</f>
        <v/>
      </c>
      <c r="P5" s="23">
        <f>ROUND(O5-I5, 2)</f>
        <v/>
      </c>
      <c r="Q5" s="25">
        <f>N5*12</f>
        <v/>
      </c>
      <c r="R5" s="25">
        <f>((1+N5)^12)-1</f>
        <v/>
      </c>
      <c r="S5" s="25">
        <f>N5-M5</f>
        <v/>
      </c>
      <c r="T5" s="20">
        <f>IF(ABS(P5)&lt;0.01, "EXACTO", "REVISAR")</f>
        <v/>
      </c>
    </row>
    <row r="6">
      <c r="A6" s="26" t="inlineStr">
        <is>
          <t>0472-0003</t>
        </is>
      </c>
      <c r="B6" s="27" t="inlineStr">
        <is>
          <t>Miguel Zazueta Beltrán</t>
        </is>
      </c>
      <c r="C6" s="27" t="inlineStr">
        <is>
          <t>Jeep Grand Cherokee</t>
        </is>
      </c>
      <c r="D6" s="26" t="inlineStr">
        <is>
          <t>ACTIVO</t>
        </is>
      </c>
      <c r="E6" s="28" t="n">
        <v>36</v>
      </c>
      <c r="F6" s="29" t="n">
        <v>1217433.62</v>
      </c>
      <c r="G6" s="30" t="n">
        <v>0.3</v>
      </c>
      <c r="H6" s="29">
        <f>ROUND(F6*G6, 2)</f>
        <v/>
      </c>
      <c r="I6" s="29">
        <f>ROUND(F6-H6, 2)</f>
        <v/>
      </c>
      <c r="J6" s="29" t="n">
        <v>35031.5</v>
      </c>
      <c r="K6" s="30" t="n">
        <v>0.1</v>
      </c>
      <c r="L6" s="29">
        <f>ROUND(F6*K6, 2)</f>
        <v/>
      </c>
      <c r="M6" s="31" t="n">
        <v>0.02661776</v>
      </c>
      <c r="N6" s="31">
        <f>IFERROR(RATE(E6, -J6, I6, -L6), M6)</f>
        <v/>
      </c>
      <c r="O6" s="29">
        <f>IF(N6&gt;0, ROUND(PV(N6, E6, -J6, -L6), 2), I6)</f>
        <v/>
      </c>
      <c r="P6" s="29">
        <f>ROUND(O6-I6, 2)</f>
        <v/>
      </c>
      <c r="Q6" s="31">
        <f>N6*12</f>
        <v/>
      </c>
      <c r="R6" s="31">
        <f>((1+N6)^12)-1</f>
        <v/>
      </c>
      <c r="S6" s="31">
        <f>N6-M6</f>
        <v/>
      </c>
      <c r="T6" s="26">
        <f>IF(ABS(P6)&lt;0.01, "EXACTO", "REVISAR")</f>
        <v/>
      </c>
    </row>
    <row r="7">
      <c r="A7" s="20" t="inlineStr">
        <is>
          <t>0504-0004</t>
        </is>
      </c>
      <c r="B7" s="21" t="inlineStr">
        <is>
          <t>Oscar Ivan Lozano Terriquez</t>
        </is>
      </c>
      <c r="C7" s="21" t="inlineStr">
        <is>
          <t>700 BIGHORN "S" CREW CAB MT</t>
        </is>
      </c>
      <c r="D7" s="20" t="inlineStr">
        <is>
          <t>ACTIVO</t>
        </is>
      </c>
      <c r="E7" s="22" t="n">
        <v>12</v>
      </c>
      <c r="F7" s="23" t="n">
        <v>352500</v>
      </c>
      <c r="G7" s="24" t="n">
        <v>0.35</v>
      </c>
      <c r="H7" s="23">
        <f>ROUND(F7*G7, 2)</f>
        <v/>
      </c>
      <c r="I7" s="23">
        <f>ROUND(F7-H7, 2)</f>
        <v/>
      </c>
      <c r="J7" s="23" t="n">
        <v>19654.64</v>
      </c>
      <c r="K7" s="24" t="n">
        <v>0.1</v>
      </c>
      <c r="L7" s="23">
        <f>ROUND(F7*K7, 2)</f>
        <v/>
      </c>
      <c r="M7" s="25" t="n">
        <v>0.02415117</v>
      </c>
      <c r="N7" s="25">
        <f>IFERROR(RATE(E7, -J7, I7, -L7), M7)</f>
        <v/>
      </c>
      <c r="O7" s="23">
        <f>IF(N7&gt;0, ROUND(PV(N7, E7, -J7, -L7), 2), I7)</f>
        <v/>
      </c>
      <c r="P7" s="23">
        <f>ROUND(O7-I7, 2)</f>
        <v/>
      </c>
      <c r="Q7" s="25">
        <f>N7*12</f>
        <v/>
      </c>
      <c r="R7" s="25">
        <f>((1+N7)^12)-1</f>
        <v/>
      </c>
      <c r="S7" s="25">
        <f>N7-M7</f>
        <v/>
      </c>
      <c r="T7" s="20">
        <f>IF(ABS(P7)&lt;0.01, "EXACTO", "REVISAR")</f>
        <v/>
      </c>
    </row>
    <row r="8">
      <c r="A8" s="26" t="inlineStr">
        <is>
          <t>0506-0006</t>
        </is>
      </c>
      <c r="B8" s="27" t="inlineStr">
        <is>
          <t>Electronic Accounting Sa de Cv</t>
        </is>
      </c>
      <c r="C8" s="27" t="inlineStr">
        <is>
          <t>X5</t>
        </is>
      </c>
      <c r="D8" s="26" t="inlineStr">
        <is>
          <t>ACTIVO</t>
        </is>
      </c>
      <c r="E8" s="28" t="n">
        <v>36</v>
      </c>
      <c r="F8" s="29" t="n">
        <v>1622338.79</v>
      </c>
      <c r="G8" s="30" t="n">
        <v>0.1759</v>
      </c>
      <c r="H8" s="29">
        <f>ROUND(F8*G8, 2)</f>
        <v/>
      </c>
      <c r="I8" s="29">
        <f>ROUND(F8-H8, 2)</f>
        <v/>
      </c>
      <c r="J8" s="29" t="n">
        <v>35607.45</v>
      </c>
      <c r="K8" s="30" t="n">
        <v>0.35</v>
      </c>
      <c r="L8" s="29">
        <f>ROUND(F8*K8, 2)</f>
        <v/>
      </c>
      <c r="M8" s="31" t="n">
        <v>0.01430392</v>
      </c>
      <c r="N8" s="31">
        <f>IFERROR(RATE(E8, -J8, I8, -L8), M8)</f>
        <v/>
      </c>
      <c r="O8" s="29">
        <f>IF(N8&gt;0, ROUND(PV(N8, E8, -J8, -L8), 2), I8)</f>
        <v/>
      </c>
      <c r="P8" s="29">
        <f>ROUND(O8-I8, 2)</f>
        <v/>
      </c>
      <c r="Q8" s="31">
        <f>N8*12</f>
        <v/>
      </c>
      <c r="R8" s="31">
        <f>((1+N8)^12)-1</f>
        <v/>
      </c>
      <c r="S8" s="31">
        <f>N8-M8</f>
        <v/>
      </c>
      <c r="T8" s="26">
        <f>IF(ABS(P8)&lt;0.01, "EXACTO", "REVISAR")</f>
        <v/>
      </c>
    </row>
    <row r="9">
      <c r="A9" s="20" t="inlineStr">
        <is>
          <t>0506-0007</t>
        </is>
      </c>
      <c r="B9" s="21" t="inlineStr">
        <is>
          <t>Electronic Acounting</t>
        </is>
      </c>
      <c r="C9" s="21" t="inlineStr">
        <is>
          <t>L200 Glx Diesel</t>
        </is>
      </c>
      <c r="D9" s="20" t="inlineStr">
        <is>
          <t>ACTIVO</t>
        </is>
      </c>
      <c r="E9" s="22" t="n">
        <v>36</v>
      </c>
      <c r="F9" s="23" t="n">
        <v>536762.9300000001</v>
      </c>
      <c r="G9" s="24" t="n">
        <v>0</v>
      </c>
      <c r="H9" s="23">
        <f>ROUND(F9*G9, 2)</f>
        <v/>
      </c>
      <c r="I9" s="23">
        <f>ROUND(F9-H9, 2)</f>
        <v/>
      </c>
      <c r="J9" s="23" t="n">
        <v>16715.69</v>
      </c>
      <c r="K9" s="24" t="n">
        <v>0.35</v>
      </c>
      <c r="L9" s="23">
        <f>ROUND(F9*K9, 2)</f>
        <v/>
      </c>
      <c r="M9" s="25" t="n">
        <v>0.01820217</v>
      </c>
      <c r="N9" s="25">
        <f>IFERROR(RATE(E9, -J9, I9, -L9), M9)</f>
        <v/>
      </c>
      <c r="O9" s="23">
        <f>IF(N9&gt;0, ROUND(PV(N9, E9, -J9, -L9), 2), I9)</f>
        <v/>
      </c>
      <c r="P9" s="23">
        <f>ROUND(O9-I9, 2)</f>
        <v/>
      </c>
      <c r="Q9" s="25">
        <f>N9*12</f>
        <v/>
      </c>
      <c r="R9" s="25">
        <f>((1+N9)^12)-1</f>
        <v/>
      </c>
      <c r="S9" s="25">
        <f>N9-M9</f>
        <v/>
      </c>
      <c r="T9" s="20">
        <f>IF(ABS(P9)&lt;0.01, "EXACTO", "REVISAR")</f>
        <v/>
      </c>
    </row>
    <row r="10">
      <c r="A10" s="26" t="inlineStr">
        <is>
          <t>0519-0005</t>
        </is>
      </c>
      <c r="B10" s="27" t="inlineStr">
        <is>
          <t>Tequilas el Mexicano S.A. de C.V.</t>
        </is>
      </c>
      <c r="C10" s="27" t="inlineStr">
        <is>
          <t>Attitude Sport</t>
        </is>
      </c>
      <c r="D10" s="26" t="inlineStr">
        <is>
          <t>ACTIVO</t>
        </is>
      </c>
      <c r="E10" s="28" t="n">
        <v>48</v>
      </c>
      <c r="F10" s="29" t="n">
        <v>352500</v>
      </c>
      <c r="G10" s="30" t="n">
        <v>0.1</v>
      </c>
      <c r="H10" s="29">
        <f>ROUND(F10*G10, 2)</f>
        <v/>
      </c>
      <c r="I10" s="29">
        <f>ROUND(F10-H10, 2)</f>
        <v/>
      </c>
      <c r="J10" s="29" t="n">
        <v>11483.47</v>
      </c>
      <c r="K10" s="30" t="n">
        <v>0.1</v>
      </c>
      <c r="L10" s="29">
        <f>ROUND(F10*K10, 2)</f>
        <v/>
      </c>
      <c r="M10" s="31" t="n">
        <v>0.02691789</v>
      </c>
      <c r="N10" s="31">
        <f>IFERROR(RATE(E10, -J10, I10, -L10), M10)</f>
        <v/>
      </c>
      <c r="O10" s="29">
        <f>IF(N10&gt;0, ROUND(PV(N10, E10, -J10, -L10), 2), I10)</f>
        <v/>
      </c>
      <c r="P10" s="29">
        <f>ROUND(O10-I10, 2)</f>
        <v/>
      </c>
      <c r="Q10" s="31">
        <f>N10*12</f>
        <v/>
      </c>
      <c r="R10" s="31">
        <f>((1+N10)^12)-1</f>
        <v/>
      </c>
      <c r="S10" s="31">
        <f>N10-M10</f>
        <v/>
      </c>
      <c r="T10" s="26">
        <f>IF(ABS(P10)&lt;0.01, "EXACTO", "REVISAR")</f>
        <v/>
      </c>
    </row>
    <row r="11">
      <c r="A11" s="20" t="inlineStr">
        <is>
          <t>0520-0003</t>
        </is>
      </c>
      <c r="B11" s="21" t="inlineStr">
        <is>
          <t>Tractomotriz Diesel Leal, S.A. de C.V.</t>
        </is>
      </c>
      <c r="C11" s="21" t="inlineStr">
        <is>
          <t>Montero Sport</t>
        </is>
      </c>
      <c r="D11" s="20" t="inlineStr">
        <is>
          <t>ACTIVO</t>
        </is>
      </c>
      <c r="E11" s="22" t="n">
        <v>36</v>
      </c>
      <c r="F11" s="23" t="n">
        <v>621465.52</v>
      </c>
      <c r="G11" s="24" t="n">
        <v>0.4</v>
      </c>
      <c r="H11" s="23">
        <f>ROUND(F11*G11, 2)</f>
        <v/>
      </c>
      <c r="I11" s="23">
        <f>ROUND(F11-H11, 2)</f>
        <v/>
      </c>
      <c r="J11" s="23" t="n">
        <v>15182.88</v>
      </c>
      <c r="K11" s="24" t="n">
        <v>0.1</v>
      </c>
      <c r="L11" s="23">
        <f>ROUND(F11*K11, 2)</f>
        <v/>
      </c>
      <c r="M11" s="25" t="n">
        <v>0.02663641</v>
      </c>
      <c r="N11" s="25">
        <f>IFERROR(RATE(E11, -J11, I11, -L11), M11)</f>
        <v/>
      </c>
      <c r="O11" s="23">
        <f>IF(N11&gt;0, ROUND(PV(N11, E11, -J11, -L11), 2), I11)</f>
        <v/>
      </c>
      <c r="P11" s="23">
        <f>ROUND(O11-I11, 2)</f>
        <v/>
      </c>
      <c r="Q11" s="25">
        <f>N11*12</f>
        <v/>
      </c>
      <c r="R11" s="25">
        <f>((1+N11)^12)-1</f>
        <v/>
      </c>
      <c r="S11" s="25">
        <f>N11-M11</f>
        <v/>
      </c>
      <c r="T11" s="20">
        <f>IF(ABS(P11)&lt;0.01, "EXACTO", "REVISAR")</f>
        <v/>
      </c>
    </row>
    <row r="12">
      <c r="A12" s="26" t="inlineStr">
        <is>
          <t>0520-0004</t>
        </is>
      </c>
      <c r="B12" s="27" t="inlineStr">
        <is>
          <t>Tractomotriz Diesel Leal, S.A. de C.V.</t>
        </is>
      </c>
      <c r="C12" s="27" t="inlineStr">
        <is>
          <t>Partner Maxi Pack</t>
        </is>
      </c>
      <c r="D12" s="26" t="inlineStr">
        <is>
          <t>ACTIVO</t>
        </is>
      </c>
      <c r="E12" s="28" t="n">
        <v>36</v>
      </c>
      <c r="F12" s="29" t="n">
        <v>400363.79</v>
      </c>
      <c r="G12" s="30" t="n">
        <v>0.4</v>
      </c>
      <c r="H12" s="29">
        <f>ROUND(F12*G12, 2)</f>
        <v/>
      </c>
      <c r="I12" s="29">
        <f>ROUND(F12-H12, 2)</f>
        <v/>
      </c>
      <c r="J12" s="29" t="n">
        <v>9781.200000000001</v>
      </c>
      <c r="K12" s="30" t="n">
        <v>0.1</v>
      </c>
      <c r="L12" s="29">
        <f>ROUND(F12*K12, 2)</f>
        <v/>
      </c>
      <c r="M12" s="31" t="n">
        <v>0.02663643</v>
      </c>
      <c r="N12" s="31">
        <f>IFERROR(RATE(E12, -J12, I12, -L12), M12)</f>
        <v/>
      </c>
      <c r="O12" s="29">
        <f>IF(N12&gt;0, ROUND(PV(N12, E12, -J12, -L12), 2), I12)</f>
        <v/>
      </c>
      <c r="P12" s="29">
        <f>ROUND(O12-I12, 2)</f>
        <v/>
      </c>
      <c r="Q12" s="31">
        <f>N12*12</f>
        <v/>
      </c>
      <c r="R12" s="31">
        <f>((1+N12)^12)-1</f>
        <v/>
      </c>
      <c r="S12" s="31">
        <f>N12-M12</f>
        <v/>
      </c>
      <c r="T12" s="26">
        <f>IF(ABS(P12)&lt;0.01, "EXACTO", "REVISAR")</f>
        <v/>
      </c>
    </row>
    <row r="13">
      <c r="A13" s="20" t="inlineStr">
        <is>
          <t>0521-0002</t>
        </is>
      </c>
      <c r="B13" s="21" t="inlineStr">
        <is>
          <t>Carlos Hiram leal Leal</t>
        </is>
      </c>
      <c r="C13" s="21" t="inlineStr">
        <is>
          <t>Xpander</t>
        </is>
      </c>
      <c r="D13" s="20" t="inlineStr">
        <is>
          <t>ACTIVO</t>
        </is>
      </c>
      <c r="E13" s="22" t="n">
        <v>36</v>
      </c>
      <c r="F13" s="23" t="n">
        <v>365988.79</v>
      </c>
      <c r="G13" s="24" t="n">
        <v>0.1</v>
      </c>
      <c r="H13" s="23">
        <f>ROUND(F13*G13, 2)</f>
        <v/>
      </c>
      <c r="I13" s="23">
        <f>ROUND(F13-H13, 2)</f>
        <v/>
      </c>
      <c r="J13" s="23" t="n">
        <v>13100.96</v>
      </c>
      <c r="K13" s="24" t="n">
        <v>0.2</v>
      </c>
      <c r="L13" s="23">
        <f>ROUND(F13*K13, 2)</f>
        <v/>
      </c>
      <c r="M13" s="25" t="n">
        <v>0.02662861</v>
      </c>
      <c r="N13" s="25">
        <f>IFERROR(RATE(E13, -J13, I13, -L13), M13)</f>
        <v/>
      </c>
      <c r="O13" s="23">
        <f>IF(N13&gt;0, ROUND(PV(N13, E13, -J13, -L13), 2), I13)</f>
        <v/>
      </c>
      <c r="P13" s="23">
        <f>ROUND(O13-I13, 2)</f>
        <v/>
      </c>
      <c r="Q13" s="25">
        <f>N13*12</f>
        <v/>
      </c>
      <c r="R13" s="25">
        <f>((1+N13)^12)-1</f>
        <v/>
      </c>
      <c r="S13" s="25">
        <f>N13-M13</f>
        <v/>
      </c>
      <c r="T13" s="20">
        <f>IF(ABS(P13)&lt;0.01, "EXACTO", "REVISAR")</f>
        <v/>
      </c>
    </row>
    <row r="14">
      <c r="A14" s="26" t="inlineStr">
        <is>
          <t>0524-0007</t>
        </is>
      </c>
      <c r="B14" s="27" t="inlineStr">
        <is>
          <t>Lider En Derecho De Via y Construcción SA DE CV</t>
        </is>
      </c>
      <c r="C14" s="27" t="inlineStr">
        <is>
          <t>L200 Gls</t>
        </is>
      </c>
      <c r="D14" s="26" t="inlineStr">
        <is>
          <t>ACTIVO</t>
        </is>
      </c>
      <c r="E14" s="28" t="n">
        <v>24</v>
      </c>
      <c r="F14" s="29" t="n">
        <v>649987.0699999999</v>
      </c>
      <c r="G14" s="30" t="n">
        <v>0.1</v>
      </c>
      <c r="H14" s="29">
        <f>ROUND(F14*G14, 2)</f>
        <v/>
      </c>
      <c r="I14" s="29">
        <f>ROUND(F14-H14, 2)</f>
        <v/>
      </c>
      <c r="J14" s="29" t="n">
        <v>27206.74</v>
      </c>
      <c r="K14" s="30" t="n">
        <v>0.3</v>
      </c>
      <c r="L14" s="29">
        <f>ROUND(F14*K14, 2)</f>
        <v/>
      </c>
      <c r="M14" s="31" t="n">
        <v>0.02620493</v>
      </c>
      <c r="N14" s="31">
        <f>IFERROR(RATE(E14, -J14, I14, -L14), M14)</f>
        <v/>
      </c>
      <c r="O14" s="29">
        <f>IF(N14&gt;0, ROUND(PV(N14, E14, -J14, -L14), 2), I14)</f>
        <v/>
      </c>
      <c r="P14" s="29">
        <f>ROUND(O14-I14, 2)</f>
        <v/>
      </c>
      <c r="Q14" s="31">
        <f>N14*12</f>
        <v/>
      </c>
      <c r="R14" s="31">
        <f>((1+N14)^12)-1</f>
        <v/>
      </c>
      <c r="S14" s="31">
        <f>N14-M14</f>
        <v/>
      </c>
      <c r="T14" s="26">
        <f>IF(ABS(P14)&lt;0.01, "EXACTO", "REVISAR")</f>
        <v/>
      </c>
    </row>
    <row r="15">
      <c r="A15" s="20" t="inlineStr">
        <is>
          <t>0524-0011</t>
        </is>
      </c>
      <c r="B15" s="21" t="inlineStr">
        <is>
          <t>Lider En Derecho De Via y Construcción SA DE CV</t>
        </is>
      </c>
      <c r="C15" s="21" t="inlineStr">
        <is>
          <t>Wrangler Unlimited Sahara</t>
        </is>
      </c>
      <c r="D15" s="20" t="inlineStr">
        <is>
          <t>ACTIVO</t>
        </is>
      </c>
      <c r="E15" s="22" t="n">
        <v>48</v>
      </c>
      <c r="F15" s="23" t="n">
        <v>1058554.31</v>
      </c>
      <c r="G15" s="24" t="n">
        <v>0.2</v>
      </c>
      <c r="H15" s="23">
        <f>ROUND(F15*G15, 2)</f>
        <v/>
      </c>
      <c r="I15" s="23">
        <f>ROUND(F15-H15, 2)</f>
        <v/>
      </c>
      <c r="J15" s="23" t="n">
        <v>30510.75</v>
      </c>
      <c r="K15" s="24" t="n">
        <v>0.1</v>
      </c>
      <c r="L15" s="23">
        <f>ROUND(F15*K15, 2)</f>
        <v/>
      </c>
      <c r="M15" s="25" t="n">
        <v>0.0268869</v>
      </c>
      <c r="N15" s="25">
        <f>IFERROR(RATE(E15, -J15, I15, -L15), M15)</f>
        <v/>
      </c>
      <c r="O15" s="23">
        <f>IF(N15&gt;0, ROUND(PV(N15, E15, -J15, -L15), 2), I15)</f>
        <v/>
      </c>
      <c r="P15" s="23">
        <f>ROUND(O15-I15, 2)</f>
        <v/>
      </c>
      <c r="Q15" s="25">
        <f>N15*12</f>
        <v/>
      </c>
      <c r="R15" s="25">
        <f>((1+N15)^12)-1</f>
        <v/>
      </c>
      <c r="S15" s="25">
        <f>N15-M15</f>
        <v/>
      </c>
      <c r="T15" s="20">
        <f>IF(ABS(P15)&lt;0.01, "EXACTO", "REVISAR")</f>
        <v/>
      </c>
    </row>
    <row r="16">
      <c r="A16" s="26" t="inlineStr">
        <is>
          <t>0524-0012</t>
        </is>
      </c>
      <c r="B16" s="27" t="inlineStr">
        <is>
          <t>Lider En Derecho De Via y Construcción SA DE CV</t>
        </is>
      </c>
      <c r="C16" s="27" t="inlineStr">
        <is>
          <t>L200 GLS</t>
        </is>
      </c>
      <c r="D16" s="26" t="inlineStr">
        <is>
          <t>ACTIVO</t>
        </is>
      </c>
      <c r="E16" s="28" t="n">
        <v>48</v>
      </c>
      <c r="F16" s="29" t="n">
        <v>624154.3100000001</v>
      </c>
      <c r="G16" s="30" t="n">
        <v>0.1</v>
      </c>
      <c r="H16" s="29">
        <f>ROUND(F16*G16, 2)</f>
        <v/>
      </c>
      <c r="I16" s="29">
        <f>ROUND(F16-H16, 2)</f>
        <v/>
      </c>
      <c r="J16" s="29" t="n">
        <v>20333.22</v>
      </c>
      <c r="K16" s="30" t="n">
        <v>0.1</v>
      </c>
      <c r="L16" s="29">
        <f>ROUND(F16*K16, 2)</f>
        <v/>
      </c>
      <c r="M16" s="31" t="n">
        <v>0.0269179</v>
      </c>
      <c r="N16" s="31">
        <f>IFERROR(RATE(E16, -J16, I16, -L16), M16)</f>
        <v/>
      </c>
      <c r="O16" s="29">
        <f>IF(N16&gt;0, ROUND(PV(N16, E16, -J16, -L16), 2), I16)</f>
        <v/>
      </c>
      <c r="P16" s="29">
        <f>ROUND(O16-I16, 2)</f>
        <v/>
      </c>
      <c r="Q16" s="31">
        <f>N16*12</f>
        <v/>
      </c>
      <c r="R16" s="31">
        <f>((1+N16)^12)-1</f>
        <v/>
      </c>
      <c r="S16" s="31">
        <f>N16-M16</f>
        <v/>
      </c>
      <c r="T16" s="26">
        <f>IF(ABS(P16)&lt;0.01, "EXACTO", "REVISAR")</f>
        <v/>
      </c>
    </row>
    <row r="17">
      <c r="A17" s="20" t="inlineStr">
        <is>
          <t>0524-0013</t>
        </is>
      </c>
      <c r="B17" s="21" t="inlineStr">
        <is>
          <t>Lider En Derecho De Via y Construcción SA DE CV</t>
        </is>
      </c>
      <c r="C17" s="21" t="inlineStr">
        <is>
          <t>L200 GLX</t>
        </is>
      </c>
      <c r="D17" s="20" t="inlineStr">
        <is>
          <t>ACTIVO</t>
        </is>
      </c>
      <c r="E17" s="22" t="n">
        <v>36</v>
      </c>
      <c r="F17" s="23" t="n">
        <v>597925</v>
      </c>
      <c r="G17" s="24" t="n">
        <v>0</v>
      </c>
      <c r="H17" s="23">
        <f>ROUND(F17*G17, 2)</f>
        <v/>
      </c>
      <c r="I17" s="23">
        <f>ROUND(F17-H17, 2)</f>
        <v/>
      </c>
      <c r="J17" s="23" t="n">
        <v>24020.64</v>
      </c>
      <c r="K17" s="24" t="n">
        <v>0.2</v>
      </c>
      <c r="L17" s="23">
        <f>ROUND(F17*K17, 2)</f>
        <v/>
      </c>
      <c r="M17" s="25" t="n">
        <v>0.02666186</v>
      </c>
      <c r="N17" s="25">
        <f>IFERROR(RATE(E17, -J17, I17, -L17), M17)</f>
        <v/>
      </c>
      <c r="O17" s="23">
        <f>IF(N17&gt;0, ROUND(PV(N17, E17, -J17, -L17), 2), I17)</f>
        <v/>
      </c>
      <c r="P17" s="23">
        <f>ROUND(O17-I17, 2)</f>
        <v/>
      </c>
      <c r="Q17" s="25">
        <f>N17*12</f>
        <v/>
      </c>
      <c r="R17" s="25">
        <f>((1+N17)^12)-1</f>
        <v/>
      </c>
      <c r="S17" s="25">
        <f>N17-M17</f>
        <v/>
      </c>
      <c r="T17" s="20">
        <f>IF(ABS(P17)&lt;0.01, "EXACTO", "REVISAR")</f>
        <v/>
      </c>
    </row>
    <row r="18">
      <c r="A18" s="26" t="inlineStr">
        <is>
          <t>0524-0014</t>
        </is>
      </c>
      <c r="B18" s="27" t="inlineStr">
        <is>
          <t>Lider En Derecho De Via y Construcción SA DE CV</t>
        </is>
      </c>
      <c r="C18" s="27" t="inlineStr">
        <is>
          <t>L200 GLX</t>
        </is>
      </c>
      <c r="D18" s="26" t="inlineStr">
        <is>
          <t>ACTIVO</t>
        </is>
      </c>
      <c r="E18" s="28" t="n">
        <v>36</v>
      </c>
      <c r="F18" s="29" t="n">
        <v>597925</v>
      </c>
      <c r="G18" s="30" t="n">
        <v>0</v>
      </c>
      <c r="H18" s="29">
        <f>ROUND(F18*G18, 2)</f>
        <v/>
      </c>
      <c r="I18" s="29">
        <f>ROUND(F18-H18, 2)</f>
        <v/>
      </c>
      <c r="J18" s="29" t="n">
        <v>24020.64</v>
      </c>
      <c r="K18" s="30" t="n">
        <v>0.2</v>
      </c>
      <c r="L18" s="29">
        <f>ROUND(F18*K18, 2)</f>
        <v/>
      </c>
      <c r="M18" s="31" t="n">
        <v>0.02666186</v>
      </c>
      <c r="N18" s="31">
        <f>IFERROR(RATE(E18, -J18, I18, -L18), M18)</f>
        <v/>
      </c>
      <c r="O18" s="29">
        <f>IF(N18&gt;0, ROUND(PV(N18, E18, -J18, -L18), 2), I18)</f>
        <v/>
      </c>
      <c r="P18" s="29">
        <f>ROUND(O18-I18, 2)</f>
        <v/>
      </c>
      <c r="Q18" s="31">
        <f>N18*12</f>
        <v/>
      </c>
      <c r="R18" s="31">
        <f>((1+N18)^12)-1</f>
        <v/>
      </c>
      <c r="S18" s="31">
        <f>N18-M18</f>
        <v/>
      </c>
      <c r="T18" s="26">
        <f>IF(ABS(P18)&lt;0.01, "EXACTO", "REVISAR")</f>
        <v/>
      </c>
    </row>
    <row r="19">
      <c r="A19" s="20" t="inlineStr">
        <is>
          <t>0524-0015</t>
        </is>
      </c>
      <c r="B19" s="21" t="inlineStr">
        <is>
          <t>Lider En Derecho De Via y Construcción SA DE CV</t>
        </is>
      </c>
      <c r="C19" s="21" t="inlineStr">
        <is>
          <t>Mitsubishi L200 GLX 2026</t>
        </is>
      </c>
      <c r="D19" s="20" t="inlineStr">
        <is>
          <t>ACTIVO</t>
        </is>
      </c>
      <c r="E19" s="22" t="n">
        <v>36</v>
      </c>
      <c r="F19" s="23" t="n">
        <v>515452.59</v>
      </c>
      <c r="G19" s="24" t="n">
        <v>0</v>
      </c>
      <c r="H19" s="23">
        <f>ROUND(F19*G19, 2)</f>
        <v/>
      </c>
      <c r="I19" s="23">
        <f>ROUND(F19-H19, 2)</f>
        <v/>
      </c>
      <c r="J19" s="23" t="n">
        <v>20707.45</v>
      </c>
      <c r="K19" s="24" t="n">
        <v>0.2</v>
      </c>
      <c r="L19" s="23">
        <f>ROUND(F19*K19, 2)</f>
        <v/>
      </c>
      <c r="M19" s="25" t="n">
        <v>0.02666187</v>
      </c>
      <c r="N19" s="25">
        <f>IFERROR(RATE(E19, -J19, I19, -L19), M19)</f>
        <v/>
      </c>
      <c r="O19" s="23">
        <f>IF(N19&gt;0, ROUND(PV(N19, E19, -J19, -L19), 2), I19)</f>
        <v/>
      </c>
      <c r="P19" s="23">
        <f>ROUND(O19-I19, 2)</f>
        <v/>
      </c>
      <c r="Q19" s="25">
        <f>N19*12</f>
        <v/>
      </c>
      <c r="R19" s="25">
        <f>((1+N19)^12)-1</f>
        <v/>
      </c>
      <c r="S19" s="25">
        <f>N19-M19</f>
        <v/>
      </c>
      <c r="T19" s="20">
        <f>IF(ABS(P19)&lt;0.01, "EXACTO", "REVISAR")</f>
        <v/>
      </c>
    </row>
    <row r="20">
      <c r="A20" s="26" t="inlineStr">
        <is>
          <t>0524-0016</t>
        </is>
      </c>
      <c r="B20" s="27" t="inlineStr">
        <is>
          <t>Lider En Derecho De Via y Construcción SA DE CV</t>
        </is>
      </c>
      <c r="C20" s="27" t="inlineStr">
        <is>
          <t>Mitsubishi L200 GLX 2026</t>
        </is>
      </c>
      <c r="D20" s="26" t="inlineStr">
        <is>
          <t>ACTIVO</t>
        </is>
      </c>
      <c r="E20" s="28" t="n">
        <v>36</v>
      </c>
      <c r="F20" s="29" t="n">
        <v>515452.59</v>
      </c>
      <c r="G20" s="30" t="n">
        <v>0</v>
      </c>
      <c r="H20" s="29">
        <f>ROUND(F20*G20, 2)</f>
        <v/>
      </c>
      <c r="I20" s="29">
        <f>ROUND(F20-H20, 2)</f>
        <v/>
      </c>
      <c r="J20" s="29" t="n">
        <v>20707.45</v>
      </c>
      <c r="K20" s="30" t="n">
        <v>0.2</v>
      </c>
      <c r="L20" s="29">
        <f>ROUND(F20*K20, 2)</f>
        <v/>
      </c>
      <c r="M20" s="31" t="n">
        <v>0.02666187</v>
      </c>
      <c r="N20" s="31">
        <f>IFERROR(RATE(E20, -J20, I20, -L20), M20)</f>
        <v/>
      </c>
      <c r="O20" s="29">
        <f>IF(N20&gt;0, ROUND(PV(N20, E20, -J20, -L20), 2), I20)</f>
        <v/>
      </c>
      <c r="P20" s="29">
        <f>ROUND(O20-I20, 2)</f>
        <v/>
      </c>
      <c r="Q20" s="31">
        <f>N20*12</f>
        <v/>
      </c>
      <c r="R20" s="31">
        <f>((1+N20)^12)-1</f>
        <v/>
      </c>
      <c r="S20" s="31">
        <f>N20-M20</f>
        <v/>
      </c>
      <c r="T20" s="26">
        <f>IF(ABS(P20)&lt;0.01, "EXACTO", "REVISAR")</f>
        <v/>
      </c>
    </row>
    <row r="21">
      <c r="A21" s="20" t="inlineStr">
        <is>
          <t>0527-0003</t>
        </is>
      </c>
      <c r="B21" s="21" t="inlineStr">
        <is>
          <t>Comercilizadora e Importadora Nabega Sa de Cv</t>
        </is>
      </c>
      <c r="C21" s="21" t="inlineStr">
        <is>
          <t>RAM 700 Big Horn CVT</t>
        </is>
      </c>
      <c r="D21" s="20" t="inlineStr">
        <is>
          <t>ACTIVO</t>
        </is>
      </c>
      <c r="E21" s="22" t="n">
        <v>36</v>
      </c>
      <c r="F21" s="23" t="n">
        <v>361982.76</v>
      </c>
      <c r="G21" s="24" t="n">
        <v>0.2</v>
      </c>
      <c r="H21" s="23">
        <f>ROUND(F21*G21, 2)</f>
        <v/>
      </c>
      <c r="I21" s="23">
        <f>ROUND(F21-H21, 2)</f>
        <v/>
      </c>
      <c r="J21" s="23" t="n">
        <v>11794.94</v>
      </c>
      <c r="K21" s="24" t="n">
        <v>0.35</v>
      </c>
      <c r="L21" s="23">
        <f>ROUND(F21*K21, 2)</f>
        <v/>
      </c>
      <c r="M21" s="25" t="n">
        <v>0.03223078</v>
      </c>
      <c r="N21" s="25">
        <f>IFERROR(RATE(E21, -J21, I21, -L21), M21)</f>
        <v/>
      </c>
      <c r="O21" s="23">
        <f>IF(N21&gt;0, ROUND(PV(N21, E21, -J21, -L21), 2), I21)</f>
        <v/>
      </c>
      <c r="P21" s="23">
        <f>ROUND(O21-I21, 2)</f>
        <v/>
      </c>
      <c r="Q21" s="25">
        <f>N21*12</f>
        <v/>
      </c>
      <c r="R21" s="25">
        <f>((1+N21)^12)-1</f>
        <v/>
      </c>
      <c r="S21" s="25">
        <f>N21-M21</f>
        <v/>
      </c>
      <c r="T21" s="20">
        <f>IF(ABS(P21)&lt;0.01, "EXACTO", "REVISAR")</f>
        <v/>
      </c>
    </row>
    <row r="22">
      <c r="A22" s="26" t="inlineStr">
        <is>
          <t>0527-0004</t>
        </is>
      </c>
      <c r="B22" s="27" t="inlineStr">
        <is>
          <t>Comercilizadora e Importadora Nabega Sa de Cv</t>
        </is>
      </c>
      <c r="C22" s="27" t="inlineStr">
        <is>
          <t>Gmc Denali</t>
        </is>
      </c>
      <c r="D22" s="26" t="inlineStr">
        <is>
          <t>ACTIVO</t>
        </is>
      </c>
      <c r="E22" s="28" t="n">
        <v>48</v>
      </c>
      <c r="F22" s="29" t="n">
        <v>1101206.9</v>
      </c>
      <c r="G22" s="30" t="n">
        <v>0.1</v>
      </c>
      <c r="H22" s="29">
        <f>ROUND(F22*G22, 2)</f>
        <v/>
      </c>
      <c r="I22" s="29">
        <f>ROUND(F22-H22, 2)</f>
        <v/>
      </c>
      <c r="J22" s="29" t="n">
        <v>34769.12</v>
      </c>
      <c r="K22" s="30" t="n">
        <v>0.2</v>
      </c>
      <c r="L22" s="29">
        <f>ROUND(F22*K22, 2)</f>
        <v/>
      </c>
      <c r="M22" s="31" t="n">
        <v>0.02697568</v>
      </c>
      <c r="N22" s="31">
        <f>IFERROR(RATE(E22, -J22, I22, -L22), M22)</f>
        <v/>
      </c>
      <c r="O22" s="29">
        <f>IF(N22&gt;0, ROUND(PV(N22, E22, -J22, -L22), 2), I22)</f>
        <v/>
      </c>
      <c r="P22" s="29">
        <f>ROUND(O22-I22, 2)</f>
        <v/>
      </c>
      <c r="Q22" s="31">
        <f>N22*12</f>
        <v/>
      </c>
      <c r="R22" s="31">
        <f>((1+N22)^12)-1</f>
        <v/>
      </c>
      <c r="S22" s="31">
        <f>N22-M22</f>
        <v/>
      </c>
      <c r="T22" s="26">
        <f>IF(ABS(P22)&lt;0.01, "EXACTO", "REVISAR")</f>
        <v/>
      </c>
    </row>
    <row r="23">
      <c r="A23" s="20" t="inlineStr">
        <is>
          <t>0527-0005</t>
        </is>
      </c>
      <c r="B23" s="21" t="inlineStr">
        <is>
          <t>Comercilizadora e Importadora Nabega Sa de Cv</t>
        </is>
      </c>
      <c r="C23" s="21" t="inlineStr">
        <is>
          <t>Gle 450 Sport</t>
        </is>
      </c>
      <c r="D23" s="20" t="inlineStr">
        <is>
          <t>ACTIVO</t>
        </is>
      </c>
      <c r="E23" s="22" t="n">
        <v>36</v>
      </c>
      <c r="F23" s="23" t="n">
        <v>1500750</v>
      </c>
      <c r="G23" s="24" t="n">
        <v>0.3</v>
      </c>
      <c r="H23" s="23">
        <f>ROUND(F23*G23, 2)</f>
        <v/>
      </c>
      <c r="I23" s="23">
        <f>ROUND(F23-H23, 2)</f>
        <v/>
      </c>
      <c r="J23" s="23" t="n">
        <v>39497.7</v>
      </c>
      <c r="K23" s="24" t="n">
        <v>0.2</v>
      </c>
      <c r="L23" s="23">
        <f>ROUND(F23*K23, 2)</f>
        <v/>
      </c>
      <c r="M23" s="25" t="n">
        <v>0.02517557</v>
      </c>
      <c r="N23" s="25">
        <f>IFERROR(RATE(E23, -J23, I23, -L23), M23)</f>
        <v/>
      </c>
      <c r="O23" s="23">
        <f>IF(N23&gt;0, ROUND(PV(N23, E23, -J23, -L23), 2), I23)</f>
        <v/>
      </c>
      <c r="P23" s="23">
        <f>ROUND(O23-I23, 2)</f>
        <v/>
      </c>
      <c r="Q23" s="25">
        <f>N23*12</f>
        <v/>
      </c>
      <c r="R23" s="25">
        <f>((1+N23)^12)-1</f>
        <v/>
      </c>
      <c r="S23" s="25">
        <f>N23-M23</f>
        <v/>
      </c>
      <c r="T23" s="20">
        <f>IF(ABS(P23)&lt;0.01, "EXACTO", "REVISAR")</f>
        <v/>
      </c>
    </row>
    <row r="24">
      <c r="A24" s="26" t="inlineStr">
        <is>
          <t>0531-0002</t>
        </is>
      </c>
      <c r="B24" s="27" t="inlineStr">
        <is>
          <t>Otcada Mex, S. de R.L. de C.V.</t>
        </is>
      </c>
      <c r="C24" s="27" t="inlineStr">
        <is>
          <t>Grand Cherokee Limited</t>
        </is>
      </c>
      <c r="D24" s="26" t="inlineStr">
        <is>
          <t>ACTIVO</t>
        </is>
      </c>
      <c r="E24" s="28" t="n">
        <v>48</v>
      </c>
      <c r="F24" s="29" t="n">
        <v>1298900</v>
      </c>
      <c r="G24" s="30" t="n">
        <v>0.4</v>
      </c>
      <c r="H24" s="29">
        <f>ROUND(F24*G24, 2)</f>
        <v/>
      </c>
      <c r="I24" s="29">
        <f>ROUND(F24-H24, 2)</f>
        <v/>
      </c>
      <c r="J24" s="29" t="n">
        <v>26856.7</v>
      </c>
      <c r="K24" s="30" t="n">
        <v>0.1</v>
      </c>
      <c r="L24" s="29">
        <f>ROUND(F24*K24, 2)</f>
        <v/>
      </c>
      <c r="M24" s="31" t="n">
        <v>0.02538588</v>
      </c>
      <c r="N24" s="31">
        <f>IFERROR(RATE(E24, -J24, I24, -L24), M24)</f>
        <v/>
      </c>
      <c r="O24" s="29">
        <f>IF(N24&gt;0, ROUND(PV(N24, E24, -J24, -L24), 2), I24)</f>
        <v/>
      </c>
      <c r="P24" s="29">
        <f>ROUND(O24-I24, 2)</f>
        <v/>
      </c>
      <c r="Q24" s="31">
        <f>N24*12</f>
        <v/>
      </c>
      <c r="R24" s="31">
        <f>((1+N24)^12)-1</f>
        <v/>
      </c>
      <c r="S24" s="31">
        <f>N24-M24</f>
        <v/>
      </c>
      <c r="T24" s="26">
        <f>IF(ABS(P24)&lt;0.01, "EXACTO", "REVISAR")</f>
        <v/>
      </c>
    </row>
    <row r="25">
      <c r="A25" s="20" t="inlineStr">
        <is>
          <t>0546-0007</t>
        </is>
      </c>
      <c r="B25" s="21" t="inlineStr">
        <is>
          <t>Norma Elena Bonilla Lupio</t>
        </is>
      </c>
      <c r="C25" s="21" t="inlineStr">
        <is>
          <t>GLC 350 E 4MATIC</t>
        </is>
      </c>
      <c r="D25" s="20" t="inlineStr">
        <is>
          <t>ACTIVO</t>
        </is>
      </c>
      <c r="E25" s="22" t="n">
        <v>24</v>
      </c>
      <c r="F25" s="23" t="n">
        <v>1444862.07</v>
      </c>
      <c r="G25" s="24" t="n">
        <v>0.4</v>
      </c>
      <c r="H25" s="23">
        <f>ROUND(F25*G25, 2)</f>
        <v/>
      </c>
      <c r="I25" s="23">
        <f>ROUND(F25-H25, 2)</f>
        <v/>
      </c>
      <c r="J25" s="23" t="n">
        <v>43711.28</v>
      </c>
      <c r="K25" s="24" t="n">
        <v>0.1</v>
      </c>
      <c r="L25" s="23">
        <f>ROUND(F25*K25, 2)</f>
        <v/>
      </c>
      <c r="M25" s="25" t="n">
        <v>0.02450169</v>
      </c>
      <c r="N25" s="25">
        <f>IFERROR(RATE(E25, -J25, I25, -L25), M25)</f>
        <v/>
      </c>
      <c r="O25" s="23">
        <f>IF(N25&gt;0, ROUND(PV(N25, E25, -J25, -L25), 2), I25)</f>
        <v/>
      </c>
      <c r="P25" s="23">
        <f>ROUND(O25-I25, 2)</f>
        <v/>
      </c>
      <c r="Q25" s="25">
        <f>N25*12</f>
        <v/>
      </c>
      <c r="R25" s="25">
        <f>((1+N25)^12)-1</f>
        <v/>
      </c>
      <c r="S25" s="25">
        <f>N25-M25</f>
        <v/>
      </c>
      <c r="T25" s="20">
        <f>IF(ABS(P25)&lt;0.01, "EXACTO", "REVISAR")</f>
        <v/>
      </c>
    </row>
    <row r="26">
      <c r="A26" s="26" t="inlineStr">
        <is>
          <t>0546-0008</t>
        </is>
      </c>
      <c r="B26" s="27" t="inlineStr">
        <is>
          <t>Norma Elena Bonilla Lupio</t>
        </is>
      </c>
      <c r="C26" s="27" t="inlineStr">
        <is>
          <t>JT MOJAVE 4X4</t>
        </is>
      </c>
      <c r="D26" s="26" t="inlineStr">
        <is>
          <t>ACTIVO</t>
        </is>
      </c>
      <c r="E26" s="28" t="n">
        <v>24</v>
      </c>
      <c r="F26" s="29" t="n">
        <v>1362933.62</v>
      </c>
      <c r="G26" s="30" t="n">
        <v>0.4</v>
      </c>
      <c r="H26" s="29">
        <f>ROUND(F26*G26, 2)</f>
        <v/>
      </c>
      <c r="I26" s="29">
        <f>ROUND(F26-H26, 2)</f>
        <v/>
      </c>
      <c r="J26" s="29" t="n">
        <v>42074.85</v>
      </c>
      <c r="K26" s="30" t="n">
        <v>0.1</v>
      </c>
      <c r="L26" s="29">
        <f>ROUND(F26*K26, 2)</f>
        <v/>
      </c>
      <c r="M26" s="31" t="n">
        <v>0.02601124</v>
      </c>
      <c r="N26" s="31">
        <f>IFERROR(RATE(E26, -J26, I26, -L26), M26)</f>
        <v/>
      </c>
      <c r="O26" s="29">
        <f>IF(N26&gt;0, ROUND(PV(N26, E26, -J26, -L26), 2), I26)</f>
        <v/>
      </c>
      <c r="P26" s="29">
        <f>ROUND(O26-I26, 2)</f>
        <v/>
      </c>
      <c r="Q26" s="31">
        <f>N26*12</f>
        <v/>
      </c>
      <c r="R26" s="31">
        <f>((1+N26)^12)-1</f>
        <v/>
      </c>
      <c r="S26" s="31">
        <f>N26-M26</f>
        <v/>
      </c>
      <c r="T26" s="26">
        <f>IF(ABS(P26)&lt;0.01, "EXACTO", "REVISAR")</f>
        <v/>
      </c>
    </row>
    <row r="27">
      <c r="A27" s="20" t="inlineStr">
        <is>
          <t>0546-0009</t>
        </is>
      </c>
      <c r="B27" s="21" t="inlineStr">
        <is>
          <t>Norma Elena Bonilla Lupio</t>
        </is>
      </c>
      <c r="C27" s="21" t="inlineStr">
        <is>
          <t>Ram 1200 Tradesman 2026</t>
        </is>
      </c>
      <c r="D27" s="20" t="inlineStr">
        <is>
          <t>ACTIVO</t>
        </is>
      </c>
      <c r="E27" s="22" t="n">
        <v>24</v>
      </c>
      <c r="F27" s="23" t="n">
        <v>364502.59</v>
      </c>
      <c r="G27" s="24" t="n">
        <v>0.2592</v>
      </c>
      <c r="H27" s="23">
        <f>ROUND(F27*G27, 2)</f>
        <v/>
      </c>
      <c r="I27" s="23">
        <f>ROUND(F27-H27, 2)</f>
        <v/>
      </c>
      <c r="J27" s="23" t="n">
        <v>14147.07</v>
      </c>
      <c r="K27" s="24" t="n">
        <v>0.1</v>
      </c>
      <c r="L27" s="23">
        <f>ROUND(F27*K27, 2)</f>
        <v/>
      </c>
      <c r="M27" s="25" t="n">
        <v>0.02597028</v>
      </c>
      <c r="N27" s="25">
        <f>IFERROR(RATE(E27, -J27, I27, -L27), M27)</f>
        <v/>
      </c>
      <c r="O27" s="23">
        <f>IF(N27&gt;0, ROUND(PV(N27, E27, -J27, -L27), 2), I27)</f>
        <v/>
      </c>
      <c r="P27" s="23">
        <f>ROUND(O27-I27, 2)</f>
        <v/>
      </c>
      <c r="Q27" s="25">
        <f>N27*12</f>
        <v/>
      </c>
      <c r="R27" s="25">
        <f>((1+N27)^12)-1</f>
        <v/>
      </c>
      <c r="S27" s="25">
        <f>N27-M27</f>
        <v/>
      </c>
      <c r="T27" s="20">
        <f>IF(ABS(P27)&lt;0.01, "EXACTO", "REVISAR")</f>
        <v/>
      </c>
    </row>
    <row r="28">
      <c r="A28" s="26" t="inlineStr">
        <is>
          <t>0551-0002</t>
        </is>
      </c>
      <c r="B28" s="27" t="inlineStr">
        <is>
          <t>Agaveros Unidos de Tequila Jalisco Aun S de RL de Cv</t>
        </is>
      </c>
      <c r="C28" s="27" t="inlineStr">
        <is>
          <t>Ram 700 Laramie</t>
        </is>
      </c>
      <c r="D28" s="26" t="inlineStr">
        <is>
          <t>ACTIVO</t>
        </is>
      </c>
      <c r="E28" s="28" t="n">
        <v>48</v>
      </c>
      <c r="F28" s="29" t="n">
        <v>353362.07</v>
      </c>
      <c r="G28" s="30" t="n">
        <v>0.3</v>
      </c>
      <c r="H28" s="29">
        <f>ROUND(F28*G28, 2)</f>
        <v/>
      </c>
      <c r="I28" s="29">
        <f>ROUND(F28-H28, 2)</f>
        <v/>
      </c>
      <c r="J28" s="29" t="n">
        <v>9605.690000000001</v>
      </c>
      <c r="K28" s="30" t="n">
        <v>0.2</v>
      </c>
      <c r="L28" s="29">
        <f>ROUND(F28*K28, 2)</f>
        <v/>
      </c>
      <c r="M28" s="31" t="n">
        <v>0.03245132</v>
      </c>
      <c r="N28" s="31">
        <f>IFERROR(RATE(E28, -J28, I28, -L28), M28)</f>
        <v/>
      </c>
      <c r="O28" s="29">
        <f>IF(N28&gt;0, ROUND(PV(N28, E28, -J28, -L28), 2), I28)</f>
        <v/>
      </c>
      <c r="P28" s="29">
        <f>ROUND(O28-I28, 2)</f>
        <v/>
      </c>
      <c r="Q28" s="31">
        <f>N28*12</f>
        <v/>
      </c>
      <c r="R28" s="31">
        <f>((1+N28)^12)-1</f>
        <v/>
      </c>
      <c r="S28" s="31">
        <f>N28-M28</f>
        <v/>
      </c>
      <c r="T28" s="26">
        <f>IF(ABS(P28)&lt;0.01, "EXACTO", "REVISAR")</f>
        <v/>
      </c>
    </row>
    <row r="29">
      <c r="A29" s="20" t="inlineStr">
        <is>
          <t>0552-0018</t>
        </is>
      </c>
      <c r="B29" s="21" t="inlineStr">
        <is>
          <t>Transportes y Maniobras Portuarias</t>
        </is>
      </c>
      <c r="C29" s="21" t="inlineStr">
        <is>
          <t>Raizer</t>
        </is>
      </c>
      <c r="D29" s="20" t="inlineStr">
        <is>
          <t>ACTIVO</t>
        </is>
      </c>
      <c r="E29" s="22" t="n">
        <v>24</v>
      </c>
      <c r="F29" s="23" t="n">
        <v>890000</v>
      </c>
      <c r="G29" s="24" t="n">
        <v>0.19</v>
      </c>
      <c r="H29" s="23">
        <f>ROUND(F29*G29, 2)</f>
        <v/>
      </c>
      <c r="I29" s="23">
        <f>ROUND(F29-H29, 2)</f>
        <v/>
      </c>
      <c r="J29" s="23" t="n">
        <v>40898.96</v>
      </c>
      <c r="K29" s="24" t="n">
        <v>1</v>
      </c>
      <c r="L29" s="23">
        <f>ROUND(F29*K29, 2)</f>
        <v/>
      </c>
      <c r="M29" s="25" t="n">
        <v>0.02692036</v>
      </c>
      <c r="N29" s="25">
        <f>IFERROR(RATE(E29, -J29, I29, -L29), M29)</f>
        <v/>
      </c>
      <c r="O29" s="23">
        <f>IF(N29&gt;0, ROUND(PV(N29, E29, -J29, -L29), 2), I29)</f>
        <v/>
      </c>
      <c r="P29" s="23">
        <f>ROUND(O29-I29, 2)</f>
        <v/>
      </c>
      <c r="Q29" s="25">
        <f>N29*12</f>
        <v/>
      </c>
      <c r="R29" s="25">
        <f>((1+N29)^12)-1</f>
        <v/>
      </c>
      <c r="S29" s="25">
        <f>N29-M29</f>
        <v/>
      </c>
      <c r="T29" s="20">
        <f>IF(ABS(P29)&lt;0.01, "EXACTO", "REVISAR")</f>
        <v/>
      </c>
    </row>
    <row r="30">
      <c r="A30" s="26" t="inlineStr">
        <is>
          <t>0552-0019</t>
        </is>
      </c>
      <c r="B30" s="27" t="inlineStr">
        <is>
          <t>Transportes y Maniobras Portuarias de Mexico Sa de Cv</t>
        </is>
      </c>
      <c r="C30" s="27" t="inlineStr">
        <is>
          <t>Remolque tipo Dolly</t>
        </is>
      </c>
      <c r="D30" s="26" t="inlineStr">
        <is>
          <t>ACTIVO</t>
        </is>
      </c>
      <c r="E30" s="28" t="n">
        <v>24</v>
      </c>
      <c r="F30" s="29" t="n">
        <v>271000</v>
      </c>
      <c r="G30" s="30" t="n">
        <v>0.19</v>
      </c>
      <c r="H30" s="29">
        <f>ROUND(F30*G30, 2)</f>
        <v/>
      </c>
      <c r="I30" s="29">
        <f>ROUND(F30-H30, 2)</f>
        <v/>
      </c>
      <c r="J30" s="29" t="n">
        <v>12453.5</v>
      </c>
      <c r="K30" s="30" t="n">
        <v>1</v>
      </c>
      <c r="L30" s="29">
        <f>ROUND(F30*K30, 2)</f>
        <v/>
      </c>
      <c r="M30" s="31" t="n">
        <v>0.02692034</v>
      </c>
      <c r="N30" s="31">
        <f>IFERROR(RATE(E30, -J30, I30, -L30), M30)</f>
        <v/>
      </c>
      <c r="O30" s="29">
        <f>IF(N30&gt;0, ROUND(PV(N30, E30, -J30, -L30), 2), I30)</f>
        <v/>
      </c>
      <c r="P30" s="29">
        <f>ROUND(O30-I30, 2)</f>
        <v/>
      </c>
      <c r="Q30" s="31">
        <f>N30*12</f>
        <v/>
      </c>
      <c r="R30" s="31">
        <f>((1+N30)^12)-1</f>
        <v/>
      </c>
      <c r="S30" s="31">
        <f>N30-M30</f>
        <v/>
      </c>
      <c r="T30" s="26">
        <f>IF(ABS(P30)&lt;0.01, "EXACTO", "REVISAR")</f>
        <v/>
      </c>
    </row>
    <row r="31">
      <c r="A31" s="20" t="inlineStr">
        <is>
          <t>0552-0020</t>
        </is>
      </c>
      <c r="B31" s="21" t="inlineStr">
        <is>
          <t>Transportes y Maniobras Portuarias de Mexico Sa de Cv</t>
        </is>
      </c>
      <c r="C31" s="21" t="inlineStr">
        <is>
          <t>PLATAFORMA MULTIMODAL</t>
        </is>
      </c>
      <c r="D31" s="20" t="inlineStr">
        <is>
          <t>ACTIVO</t>
        </is>
      </c>
      <c r="E31" s="22" t="n">
        <v>24</v>
      </c>
      <c r="F31" s="23" t="n">
        <v>513000</v>
      </c>
      <c r="G31" s="24" t="n">
        <v>0.19</v>
      </c>
      <c r="H31" s="23">
        <f>ROUND(F31*G31, 2)</f>
        <v/>
      </c>
      <c r="I31" s="23">
        <f>ROUND(F31-H31, 2)</f>
        <v/>
      </c>
      <c r="J31" s="23" t="n">
        <v>23574.34</v>
      </c>
      <c r="K31" s="24" t="n">
        <v>1</v>
      </c>
      <c r="L31" s="23">
        <f>ROUND(F31*K31, 2)</f>
        <v/>
      </c>
      <c r="M31" s="25" t="n">
        <v>0.02692036</v>
      </c>
      <c r="N31" s="25">
        <f>IFERROR(RATE(E31, -J31, I31, -L31), M31)</f>
        <v/>
      </c>
      <c r="O31" s="23">
        <f>IF(N31&gt;0, ROUND(PV(N31, E31, -J31, -L31), 2), I31)</f>
        <v/>
      </c>
      <c r="P31" s="23">
        <f>ROUND(O31-I31, 2)</f>
        <v/>
      </c>
      <c r="Q31" s="25">
        <f>N31*12</f>
        <v/>
      </c>
      <c r="R31" s="25">
        <f>((1+N31)^12)-1</f>
        <v/>
      </c>
      <c r="S31" s="25">
        <f>N31-M31</f>
        <v/>
      </c>
      <c r="T31" s="20">
        <f>IF(ABS(P31)&lt;0.01, "EXACTO", "REVISAR")</f>
        <v/>
      </c>
    </row>
    <row r="32">
      <c r="A32" s="26" t="inlineStr">
        <is>
          <t>0552-0021</t>
        </is>
      </c>
      <c r="B32" s="27" t="inlineStr">
        <is>
          <t>Transportes y Maniobras Portuarias de Mexico Sa de Cv</t>
        </is>
      </c>
      <c r="C32" s="27" t="inlineStr">
        <is>
          <t>PLATAFORMA MULTIMODAL</t>
        </is>
      </c>
      <c r="D32" s="26" t="inlineStr">
        <is>
          <t>ACTIVO</t>
        </is>
      </c>
      <c r="E32" s="28" t="n">
        <v>24</v>
      </c>
      <c r="F32" s="29" t="n">
        <v>513000</v>
      </c>
      <c r="G32" s="30" t="n">
        <v>0.19</v>
      </c>
      <c r="H32" s="29">
        <f>ROUND(F32*G32, 2)</f>
        <v/>
      </c>
      <c r="I32" s="29">
        <f>ROUND(F32-H32, 2)</f>
        <v/>
      </c>
      <c r="J32" s="29" t="n">
        <v>23574.34</v>
      </c>
      <c r="K32" s="30" t="n">
        <v>1</v>
      </c>
      <c r="L32" s="29">
        <f>ROUND(F32*K32, 2)</f>
        <v/>
      </c>
      <c r="M32" s="31" t="n">
        <v>0.02692036</v>
      </c>
      <c r="N32" s="31">
        <f>IFERROR(RATE(E32, -J32, I32, -L32), M32)</f>
        <v/>
      </c>
      <c r="O32" s="29">
        <f>IF(N32&gt;0, ROUND(PV(N32, E32, -J32, -L32), 2), I32)</f>
        <v/>
      </c>
      <c r="P32" s="29">
        <f>ROUND(O32-I32, 2)</f>
        <v/>
      </c>
      <c r="Q32" s="31">
        <f>N32*12</f>
        <v/>
      </c>
      <c r="R32" s="31">
        <f>((1+N32)^12)-1</f>
        <v/>
      </c>
      <c r="S32" s="31">
        <f>N32-M32</f>
        <v/>
      </c>
      <c r="T32" s="26">
        <f>IF(ABS(P32)&lt;0.01, "EXACTO", "REVISAR")</f>
        <v/>
      </c>
    </row>
    <row r="33">
      <c r="A33" s="20" t="inlineStr">
        <is>
          <t>0552-0022</t>
        </is>
      </c>
      <c r="B33" s="21" t="inlineStr">
        <is>
          <t>Transportes y Maniobras Portuarias de Mexico Sa de Cv</t>
        </is>
      </c>
      <c r="C33" s="21" t="inlineStr">
        <is>
          <t>RZR</t>
        </is>
      </c>
      <c r="D33" s="20" t="inlineStr">
        <is>
          <t>ACTIVO</t>
        </is>
      </c>
      <c r="E33" s="22" t="n">
        <v>24</v>
      </c>
      <c r="F33" s="23" t="n">
        <v>922327.59</v>
      </c>
      <c r="G33" s="24" t="n">
        <v>0.2</v>
      </c>
      <c r="H33" s="23">
        <f>ROUND(F33*G33, 2)</f>
        <v/>
      </c>
      <c r="I33" s="23">
        <f>ROUND(F33-H33, 2)</f>
        <v/>
      </c>
      <c r="J33" s="23" t="n">
        <v>41857.95</v>
      </c>
      <c r="K33" s="24" t="n">
        <v>1</v>
      </c>
      <c r="L33" s="23">
        <f>ROUND(F33*K33, 2)</f>
        <v/>
      </c>
      <c r="M33" s="25" t="n">
        <v>0.02692061</v>
      </c>
      <c r="N33" s="25">
        <f>IFERROR(RATE(E33, -J33, I33, -L33), M33)</f>
        <v/>
      </c>
      <c r="O33" s="23">
        <f>IF(N33&gt;0, ROUND(PV(N33, E33, -J33, -L33), 2), I33)</f>
        <v/>
      </c>
      <c r="P33" s="23">
        <f>ROUND(O33-I33, 2)</f>
        <v/>
      </c>
      <c r="Q33" s="25">
        <f>N33*12</f>
        <v/>
      </c>
      <c r="R33" s="25">
        <f>((1+N33)^12)-1</f>
        <v/>
      </c>
      <c r="S33" s="25">
        <f>N33-M33</f>
        <v/>
      </c>
      <c r="T33" s="20">
        <f>IF(ABS(P33)&lt;0.01, "EXACTO", "REVISAR")</f>
        <v/>
      </c>
    </row>
    <row r="34">
      <c r="A34" s="26" t="inlineStr">
        <is>
          <t>0552-0023</t>
        </is>
      </c>
      <c r="B34" s="27" t="inlineStr">
        <is>
          <t>Transportes y Maniobras Portuarias de Mexico Sa de Cv</t>
        </is>
      </c>
      <c r="C34" s="27" t="inlineStr">
        <is>
          <t>Iternational Lt</t>
        </is>
      </c>
      <c r="D34" s="26" t="inlineStr">
        <is>
          <t>ACTIVO</t>
        </is>
      </c>
      <c r="E34" s="28" t="n">
        <v>24</v>
      </c>
      <c r="F34" s="29" t="n">
        <v>1531034.48</v>
      </c>
      <c r="G34" s="30" t="n">
        <v>0.1</v>
      </c>
      <c r="H34" s="29">
        <f>ROUND(F34*G34, 2)</f>
        <v/>
      </c>
      <c r="I34" s="29">
        <f>ROUND(F34-H34, 2)</f>
        <v/>
      </c>
      <c r="J34" s="29" t="n">
        <v>73125.64999999999</v>
      </c>
      <c r="K34" s="30" t="n">
        <v>0.1</v>
      </c>
      <c r="L34" s="29">
        <f>ROUND(F34*K34, 2)</f>
        <v/>
      </c>
      <c r="M34" s="31" t="n">
        <v>0.02589337</v>
      </c>
      <c r="N34" s="31">
        <f>IFERROR(RATE(E34, -J34, I34, -L34), M34)</f>
        <v/>
      </c>
      <c r="O34" s="29">
        <f>IF(N34&gt;0, ROUND(PV(N34, E34, -J34, -L34), 2), I34)</f>
        <v/>
      </c>
      <c r="P34" s="29">
        <f>ROUND(O34-I34, 2)</f>
        <v/>
      </c>
      <c r="Q34" s="31">
        <f>N34*12</f>
        <v/>
      </c>
      <c r="R34" s="31">
        <f>((1+N34)^12)-1</f>
        <v/>
      </c>
      <c r="S34" s="31">
        <f>N34-M34</f>
        <v/>
      </c>
      <c r="T34" s="26">
        <f>IF(ABS(P34)&lt;0.01, "EXACTO", "REVISAR")</f>
        <v/>
      </c>
    </row>
    <row r="35">
      <c r="A35" s="20" t="inlineStr">
        <is>
          <t>0552-0024</t>
        </is>
      </c>
      <c r="B35" s="21" t="inlineStr">
        <is>
          <t>Transportes y Maniobras Portuarias de Mexico Sa de Cv</t>
        </is>
      </c>
      <c r="C35" s="21" t="inlineStr">
        <is>
          <t>Iternational Lt</t>
        </is>
      </c>
      <c r="D35" s="20" t="inlineStr">
        <is>
          <t>ACTIVO</t>
        </is>
      </c>
      <c r="E35" s="22" t="n">
        <v>24</v>
      </c>
      <c r="F35" s="23" t="n">
        <v>1531034.48</v>
      </c>
      <c r="G35" s="24" t="n">
        <v>0.1</v>
      </c>
      <c r="H35" s="23">
        <f>ROUND(F35*G35, 2)</f>
        <v/>
      </c>
      <c r="I35" s="23">
        <f>ROUND(F35-H35, 2)</f>
        <v/>
      </c>
      <c r="J35" s="23" t="n">
        <v>73125.64999999999</v>
      </c>
      <c r="K35" s="24" t="n">
        <v>0.1</v>
      </c>
      <c r="L35" s="23">
        <f>ROUND(F35*K35, 2)</f>
        <v/>
      </c>
      <c r="M35" s="25" t="n">
        <v>0.02589337</v>
      </c>
      <c r="N35" s="25">
        <f>IFERROR(RATE(E35, -J35, I35, -L35), M35)</f>
        <v/>
      </c>
      <c r="O35" s="23">
        <f>IF(N35&gt;0, ROUND(PV(N35, E35, -J35, -L35), 2), I35)</f>
        <v/>
      </c>
      <c r="P35" s="23">
        <f>ROUND(O35-I35, 2)</f>
        <v/>
      </c>
      <c r="Q35" s="25">
        <f>N35*12</f>
        <v/>
      </c>
      <c r="R35" s="25">
        <f>((1+N35)^12)-1</f>
        <v/>
      </c>
      <c r="S35" s="25">
        <f>N35-M35</f>
        <v/>
      </c>
      <c r="T35" s="20">
        <f>IF(ABS(P35)&lt;0.01, "EXACTO", "REVISAR")</f>
        <v/>
      </c>
    </row>
    <row r="36">
      <c r="A36" s="26" t="inlineStr">
        <is>
          <t>0552-0025</t>
        </is>
      </c>
      <c r="B36" s="27" t="inlineStr">
        <is>
          <t>Transportes y Maniobras Portuarias de Mexico Sa de Cv</t>
        </is>
      </c>
      <c r="C36" s="27" t="inlineStr">
        <is>
          <t>Iternational Lt</t>
        </is>
      </c>
      <c r="D36" s="26" t="inlineStr">
        <is>
          <t>ACTIVO</t>
        </is>
      </c>
      <c r="E36" s="28" t="n">
        <v>24</v>
      </c>
      <c r="F36" s="29" t="n">
        <v>1531034.48</v>
      </c>
      <c r="G36" s="30" t="n">
        <v>0.1</v>
      </c>
      <c r="H36" s="29">
        <f>ROUND(F36*G36, 2)</f>
        <v/>
      </c>
      <c r="I36" s="29">
        <f>ROUND(F36-H36, 2)</f>
        <v/>
      </c>
      <c r="J36" s="29" t="n">
        <v>73125.64999999999</v>
      </c>
      <c r="K36" s="30" t="n">
        <v>0.1</v>
      </c>
      <c r="L36" s="29">
        <f>ROUND(F36*K36, 2)</f>
        <v/>
      </c>
      <c r="M36" s="31" t="n">
        <v>0.02589337</v>
      </c>
      <c r="N36" s="31">
        <f>IFERROR(RATE(E36, -J36, I36, -L36), M36)</f>
        <v/>
      </c>
      <c r="O36" s="29">
        <f>IF(N36&gt;0, ROUND(PV(N36, E36, -J36, -L36), 2), I36)</f>
        <v/>
      </c>
      <c r="P36" s="29">
        <f>ROUND(O36-I36, 2)</f>
        <v/>
      </c>
      <c r="Q36" s="31">
        <f>N36*12</f>
        <v/>
      </c>
      <c r="R36" s="31">
        <f>((1+N36)^12)-1</f>
        <v/>
      </c>
      <c r="S36" s="31">
        <f>N36-M36</f>
        <v/>
      </c>
      <c r="T36" s="26">
        <f>IF(ABS(P36)&lt;0.01, "EXACTO", "REVISAR")</f>
        <v/>
      </c>
    </row>
    <row r="37">
      <c r="A37" s="20" t="inlineStr">
        <is>
          <t>0554-0003</t>
        </is>
      </c>
      <c r="B37" s="21" t="inlineStr">
        <is>
          <t>TRANSPORTES DEL BAJIO TRANSCOLD SA DE CV</t>
        </is>
      </c>
      <c r="C37" s="21" t="inlineStr">
        <is>
          <t>RAM 4000 CHASIS PLANO LARGO "PL"</t>
        </is>
      </c>
      <c r="D37" s="20" t="inlineStr">
        <is>
          <t>ACTIVO</t>
        </is>
      </c>
      <c r="E37" s="22" t="n">
        <v>48</v>
      </c>
      <c r="F37" s="23" t="n">
        <v>699810.34</v>
      </c>
      <c r="G37" s="24" t="n">
        <v>0.08</v>
      </c>
      <c r="H37" s="23">
        <f>ROUND(F37*G37, 2)</f>
        <v/>
      </c>
      <c r="I37" s="23">
        <f>ROUND(F37-H37, 2)</f>
        <v/>
      </c>
      <c r="J37" s="23" t="n">
        <v>23796.53</v>
      </c>
      <c r="K37" s="24" t="n">
        <v>0.1</v>
      </c>
      <c r="L37" s="23">
        <f>ROUND(F37*K37, 2)</f>
        <v/>
      </c>
      <c r="M37" s="25" t="n">
        <v>0.02790988</v>
      </c>
      <c r="N37" s="25">
        <f>IFERROR(RATE(E37, -J37, I37, -L37), M37)</f>
        <v/>
      </c>
      <c r="O37" s="23">
        <f>IF(N37&gt;0, ROUND(PV(N37, E37, -J37, -L37), 2), I37)</f>
        <v/>
      </c>
      <c r="P37" s="23">
        <f>ROUND(O37-I37, 2)</f>
        <v/>
      </c>
      <c r="Q37" s="25">
        <f>N37*12</f>
        <v/>
      </c>
      <c r="R37" s="25">
        <f>((1+N37)^12)-1</f>
        <v/>
      </c>
      <c r="S37" s="25">
        <f>N37-M37</f>
        <v/>
      </c>
      <c r="T37" s="20">
        <f>IF(ABS(P37)&lt;0.01, "EXACTO", "REVISAR")</f>
        <v/>
      </c>
    </row>
    <row r="38">
      <c r="A38" s="26" t="inlineStr">
        <is>
          <t>0570-0006</t>
        </is>
      </c>
      <c r="B38" s="27" t="inlineStr">
        <is>
          <t>Jalco Iluminacion Sa de Cv</t>
        </is>
      </c>
      <c r="C38" s="27" t="inlineStr">
        <is>
          <t>RAM 700 BIG HORN</t>
        </is>
      </c>
      <c r="D38" s="26" t="inlineStr">
        <is>
          <t>ACTIVO</t>
        </is>
      </c>
      <c r="E38" s="28" t="n">
        <v>36</v>
      </c>
      <c r="F38" s="29" t="n">
        <v>348189.66</v>
      </c>
      <c r="G38" s="30" t="n">
        <v>0.1</v>
      </c>
      <c r="H38" s="29">
        <f>ROUND(F38*G38, 2)</f>
        <v/>
      </c>
      <c r="I38" s="29">
        <f>ROUND(F38-H38, 2)</f>
        <v/>
      </c>
      <c r="J38" s="29" t="n">
        <v>12906.63</v>
      </c>
      <c r="K38" s="30" t="n">
        <v>0.35</v>
      </c>
      <c r="L38" s="29">
        <f>ROUND(F38*K38, 2)</f>
        <v/>
      </c>
      <c r="M38" s="31" t="n">
        <v>0.03188834</v>
      </c>
      <c r="N38" s="31">
        <f>IFERROR(RATE(E38, -J38, I38, -L38), M38)</f>
        <v/>
      </c>
      <c r="O38" s="29">
        <f>IF(N38&gt;0, ROUND(PV(N38, E38, -J38, -L38), 2), I38)</f>
        <v/>
      </c>
      <c r="P38" s="29">
        <f>ROUND(O38-I38, 2)</f>
        <v/>
      </c>
      <c r="Q38" s="31">
        <f>N38*12</f>
        <v/>
      </c>
      <c r="R38" s="31">
        <f>((1+N38)^12)-1</f>
        <v/>
      </c>
      <c r="S38" s="31">
        <f>N38-M38</f>
        <v/>
      </c>
      <c r="T38" s="26">
        <f>IF(ABS(P38)&lt;0.01, "EXACTO", "REVISAR")</f>
        <v/>
      </c>
    </row>
    <row r="39">
      <c r="A39" s="20" t="inlineStr">
        <is>
          <t>0573-0007</t>
        </is>
      </c>
      <c r="B39" s="21" t="inlineStr">
        <is>
          <t>Ar Marketing Sa de Cv</t>
        </is>
      </c>
      <c r="C39" s="21" t="inlineStr">
        <is>
          <t>Promaster Rapid</t>
        </is>
      </c>
      <c r="D39" s="20" t="inlineStr">
        <is>
          <t>ACTIVO</t>
        </is>
      </c>
      <c r="E39" s="22" t="n">
        <v>36</v>
      </c>
      <c r="F39" s="23" t="n">
        <v>257587.93</v>
      </c>
      <c r="G39" s="24" t="n">
        <v>0.3</v>
      </c>
      <c r="H39" s="23">
        <f>ROUND(F39*G39, 2)</f>
        <v/>
      </c>
      <c r="I39" s="23">
        <f>ROUND(F39-H39, 2)</f>
        <v/>
      </c>
      <c r="J39" s="23" t="n">
        <v>7850.11</v>
      </c>
      <c r="K39" s="24" t="n">
        <v>0.2</v>
      </c>
      <c r="L39" s="23">
        <f>ROUND(F39*K39, 2)</f>
        <v/>
      </c>
      <c r="M39" s="25" t="n">
        <v>0.03288522</v>
      </c>
      <c r="N39" s="25">
        <f>IFERROR(RATE(E39, -J39, I39, -L39), M39)</f>
        <v/>
      </c>
      <c r="O39" s="23">
        <f>IF(N39&gt;0, ROUND(PV(N39, E39, -J39, -L39), 2), I39)</f>
        <v/>
      </c>
      <c r="P39" s="23">
        <f>ROUND(O39-I39, 2)</f>
        <v/>
      </c>
      <c r="Q39" s="25">
        <f>N39*12</f>
        <v/>
      </c>
      <c r="R39" s="25">
        <f>((1+N39)^12)-1</f>
        <v/>
      </c>
      <c r="S39" s="25">
        <f>N39-M39</f>
        <v/>
      </c>
      <c r="T39" s="20">
        <f>IF(ABS(P39)&lt;0.01, "EXACTO", "REVISAR")</f>
        <v/>
      </c>
    </row>
    <row r="40">
      <c r="A40" s="26" t="inlineStr">
        <is>
          <t>0573-0008</t>
        </is>
      </c>
      <c r="B40" s="27" t="inlineStr">
        <is>
          <t>Ar Marketing Sa de Cv</t>
        </is>
      </c>
      <c r="C40" s="27" t="inlineStr">
        <is>
          <t>Promaster Rapid</t>
        </is>
      </c>
      <c r="D40" s="26" t="inlineStr">
        <is>
          <t>ACTIVO</t>
        </is>
      </c>
      <c r="E40" s="28" t="n">
        <v>36</v>
      </c>
      <c r="F40" s="29" t="n">
        <v>253363.79</v>
      </c>
      <c r="G40" s="30" t="n">
        <v>0.3</v>
      </c>
      <c r="H40" s="29">
        <f>ROUND(F40*G40, 2)</f>
        <v/>
      </c>
      <c r="I40" s="29">
        <f>ROUND(F40-H40, 2)</f>
        <v/>
      </c>
      <c r="J40" s="29" t="n">
        <v>7721.38</v>
      </c>
      <c r="K40" s="30" t="n">
        <v>0.2</v>
      </c>
      <c r="L40" s="29">
        <f>ROUND(F40*K40, 2)</f>
        <v/>
      </c>
      <c r="M40" s="31" t="n">
        <v>0.03288522</v>
      </c>
      <c r="N40" s="31">
        <f>IFERROR(RATE(E40, -J40, I40, -L40), M40)</f>
        <v/>
      </c>
      <c r="O40" s="29">
        <f>IF(N40&gt;0, ROUND(PV(N40, E40, -J40, -L40), 2), I40)</f>
        <v/>
      </c>
      <c r="P40" s="29">
        <f>ROUND(O40-I40, 2)</f>
        <v/>
      </c>
      <c r="Q40" s="31">
        <f>N40*12</f>
        <v/>
      </c>
      <c r="R40" s="31">
        <f>((1+N40)^12)-1</f>
        <v/>
      </c>
      <c r="S40" s="31">
        <f>N40-M40</f>
        <v/>
      </c>
      <c r="T40" s="26">
        <f>IF(ABS(P40)&lt;0.01, "EXACTO", "REVISAR")</f>
        <v/>
      </c>
    </row>
    <row r="41">
      <c r="A41" s="20" t="inlineStr">
        <is>
          <t>0573-0009</t>
        </is>
      </c>
      <c r="B41" s="21" t="inlineStr">
        <is>
          <t>Ar Marketing Sa de Cv</t>
        </is>
      </c>
      <c r="C41" s="21" t="inlineStr">
        <is>
          <t>Partner</t>
        </is>
      </c>
      <c r="D41" s="20" t="inlineStr">
        <is>
          <t>ACTIVO</t>
        </is>
      </c>
      <c r="E41" s="22" t="n">
        <v>36</v>
      </c>
      <c r="F41" s="23" t="n">
        <v>249139.66</v>
      </c>
      <c r="G41" s="24" t="n">
        <v>0.3</v>
      </c>
      <c r="H41" s="23">
        <f>ROUND(F41*G41, 2)</f>
        <v/>
      </c>
      <c r="I41" s="23">
        <f>ROUND(F41-H41, 2)</f>
        <v/>
      </c>
      <c r="J41" s="23" t="n">
        <v>6761.91</v>
      </c>
      <c r="K41" s="24" t="n">
        <v>0.2</v>
      </c>
      <c r="L41" s="23">
        <f>ROUND(F41*K41, 2)</f>
        <v/>
      </c>
      <c r="M41" s="25" t="n">
        <v>0.02672385</v>
      </c>
      <c r="N41" s="25">
        <f>IFERROR(RATE(E41, -J41, I41, -L41), M41)</f>
        <v/>
      </c>
      <c r="O41" s="23">
        <f>IF(N41&gt;0, ROUND(PV(N41, E41, -J41, -L41), 2), I41)</f>
        <v/>
      </c>
      <c r="P41" s="23">
        <f>ROUND(O41-I41, 2)</f>
        <v/>
      </c>
      <c r="Q41" s="25">
        <f>N41*12</f>
        <v/>
      </c>
      <c r="R41" s="25">
        <f>((1+N41)^12)-1</f>
        <v/>
      </c>
      <c r="S41" s="25">
        <f>N41-M41</f>
        <v/>
      </c>
      <c r="T41" s="20">
        <f>IF(ABS(P41)&lt;0.01, "EXACTO", "REVISAR")</f>
        <v/>
      </c>
    </row>
    <row r="42">
      <c r="A42" s="26" t="inlineStr">
        <is>
          <t>0580-0001</t>
        </is>
      </c>
      <c r="B42" s="27" t="inlineStr">
        <is>
          <t>YOLANDA AVALOS CARDENAS</t>
        </is>
      </c>
      <c r="C42" s="27" t="inlineStr">
        <is>
          <t>Mojave</t>
        </is>
      </c>
      <c r="D42" s="26" t="inlineStr">
        <is>
          <t>ACTIVO</t>
        </is>
      </c>
      <c r="E42" s="28" t="n">
        <v>48</v>
      </c>
      <c r="F42" s="29" t="n">
        <v>1255948.28</v>
      </c>
      <c r="G42" s="30" t="n">
        <v>0.2</v>
      </c>
      <c r="H42" s="29">
        <f>ROUND(F42*G42, 2)</f>
        <v/>
      </c>
      <c r="I42" s="29">
        <f>ROUND(F42-H42, 2)</f>
        <v/>
      </c>
      <c r="J42" s="29" t="n">
        <v>35584.21</v>
      </c>
      <c r="K42" s="30" t="n">
        <v>0.2</v>
      </c>
      <c r="L42" s="29">
        <f>ROUND(F42*K42, 2)</f>
        <v/>
      </c>
      <c r="M42" s="31" t="n">
        <v>0.02776954</v>
      </c>
      <c r="N42" s="31">
        <f>IFERROR(RATE(E42, -J42, I42, -L42), M42)</f>
        <v/>
      </c>
      <c r="O42" s="29">
        <f>IF(N42&gt;0, ROUND(PV(N42, E42, -J42, -L42), 2), I42)</f>
        <v/>
      </c>
      <c r="P42" s="29">
        <f>ROUND(O42-I42, 2)</f>
        <v/>
      </c>
      <c r="Q42" s="31">
        <f>N42*12</f>
        <v/>
      </c>
      <c r="R42" s="31">
        <f>((1+N42)^12)-1</f>
        <v/>
      </c>
      <c r="S42" s="31">
        <f>N42-M42</f>
        <v/>
      </c>
      <c r="T42" s="26">
        <f>IF(ABS(P42)&lt;0.01, "EXACTO", "REVISAR")</f>
        <v/>
      </c>
    </row>
    <row r="43">
      <c r="A43" s="20" t="inlineStr">
        <is>
          <t>0581-0001</t>
        </is>
      </c>
      <c r="B43" s="21" t="inlineStr">
        <is>
          <t>Aditivos y Vitaminas Mexicanas Sa de Cv</t>
        </is>
      </c>
      <c r="C43" s="21" t="inlineStr">
        <is>
          <t>RAM 700 REGULAR CAB</t>
        </is>
      </c>
      <c r="D43" s="20" t="inlineStr">
        <is>
          <t>ACTIVO</t>
        </is>
      </c>
      <c r="E43" s="22" t="n">
        <v>48</v>
      </c>
      <c r="F43" s="23" t="n">
        <v>255948.28</v>
      </c>
      <c r="G43" s="24" t="n">
        <v>0.3</v>
      </c>
      <c r="H43" s="23">
        <f>ROUND(F43*G43, 2)</f>
        <v/>
      </c>
      <c r="I43" s="23">
        <f>ROUND(F43-H43, 2)</f>
        <v/>
      </c>
      <c r="J43" s="23" t="n">
        <v>6900.88</v>
      </c>
      <c r="K43" s="24" t="n">
        <v>0.2</v>
      </c>
      <c r="L43" s="23">
        <f>ROUND(F43*K43, 2)</f>
        <v/>
      </c>
      <c r="M43" s="25" t="n">
        <v>0.03206384</v>
      </c>
      <c r="N43" s="25">
        <f>IFERROR(RATE(E43, -J43, I43, -L43), M43)</f>
        <v/>
      </c>
      <c r="O43" s="23">
        <f>IF(N43&gt;0, ROUND(PV(N43, E43, -J43, -L43), 2), I43)</f>
        <v/>
      </c>
      <c r="P43" s="23">
        <f>ROUND(O43-I43, 2)</f>
        <v/>
      </c>
      <c r="Q43" s="25">
        <f>N43*12</f>
        <v/>
      </c>
      <c r="R43" s="25">
        <f>((1+N43)^12)-1</f>
        <v/>
      </c>
      <c r="S43" s="25">
        <f>N43-M43</f>
        <v/>
      </c>
      <c r="T43" s="20">
        <f>IF(ABS(P43)&lt;0.01, "EXACTO", "REVISAR")</f>
        <v/>
      </c>
    </row>
    <row r="44">
      <c r="A44" s="26" t="inlineStr">
        <is>
          <t>0581-0002</t>
        </is>
      </c>
      <c r="B44" s="27" t="inlineStr">
        <is>
          <t>Aditivos y Vitaminas Mexicanas Sa de Cv</t>
        </is>
      </c>
      <c r="C44" s="27" t="inlineStr">
        <is>
          <t>Ram 700 Regular Cab</t>
        </is>
      </c>
      <c r="D44" s="26" t="inlineStr">
        <is>
          <t>ACTIVO</t>
        </is>
      </c>
      <c r="E44" s="28" t="n">
        <v>48</v>
      </c>
      <c r="F44" s="29" t="n">
        <v>280086.21</v>
      </c>
      <c r="G44" s="30" t="n">
        <v>0.1</v>
      </c>
      <c r="H44" s="29">
        <f>ROUND(F44*G44, 2)</f>
        <v/>
      </c>
      <c r="I44" s="29">
        <f>ROUND(F44-H44, 2)</f>
        <v/>
      </c>
      <c r="J44" s="29" t="n">
        <v>7717.62</v>
      </c>
      <c r="K44" s="30" t="n">
        <v>0.2</v>
      </c>
      <c r="L44" s="29">
        <f>ROUND(F44*K44, 2)</f>
        <v/>
      </c>
      <c r="M44" s="31" t="n">
        <v>0.02109903</v>
      </c>
      <c r="N44" s="31">
        <f>IFERROR(RATE(E44, -J44, I44, -L44), M44)</f>
        <v/>
      </c>
      <c r="O44" s="29">
        <f>IF(N44&gt;0, ROUND(PV(N44, E44, -J44, -L44), 2), I44)</f>
        <v/>
      </c>
      <c r="P44" s="29">
        <f>ROUND(O44-I44, 2)</f>
        <v/>
      </c>
      <c r="Q44" s="31">
        <f>N44*12</f>
        <v/>
      </c>
      <c r="R44" s="31">
        <f>((1+N44)^12)-1</f>
        <v/>
      </c>
      <c r="S44" s="31">
        <f>N44-M44</f>
        <v/>
      </c>
      <c r="T44" s="26">
        <f>IF(ABS(P44)&lt;0.01, "EXACTO", "REVISAR")</f>
        <v/>
      </c>
    </row>
    <row r="45">
      <c r="A45" s="20" t="inlineStr">
        <is>
          <t>0582-0003</t>
        </is>
      </c>
      <c r="B45" s="21" t="inlineStr">
        <is>
          <t>Ensaladas Frescas de Occidente Sa de Cv</t>
        </is>
      </c>
      <c r="C45" s="21" t="inlineStr">
        <is>
          <t>Pulse</t>
        </is>
      </c>
      <c r="D45" s="20" t="inlineStr">
        <is>
          <t>ACTIVO</t>
        </is>
      </c>
      <c r="E45" s="22" t="n">
        <v>48</v>
      </c>
      <c r="F45" s="23" t="n">
        <v>304741.38</v>
      </c>
      <c r="G45" s="24" t="n">
        <v>0.1</v>
      </c>
      <c r="H45" s="23">
        <f>ROUND(F45*G45, 2)</f>
        <v/>
      </c>
      <c r="I45" s="23">
        <f>ROUND(F45-H45, 2)</f>
        <v/>
      </c>
      <c r="J45" s="23" t="n">
        <v>11312.78</v>
      </c>
      <c r="K45" s="24" t="n">
        <v>0.2</v>
      </c>
      <c r="L45" s="23">
        <f>ROUND(F45*K45, 2)</f>
        <v/>
      </c>
      <c r="M45" s="25" t="n">
        <v>0.03473776</v>
      </c>
      <c r="N45" s="25">
        <f>IFERROR(RATE(E45, -J45, I45, -L45), M45)</f>
        <v/>
      </c>
      <c r="O45" s="23">
        <f>IF(N45&gt;0, ROUND(PV(N45, E45, -J45, -L45), 2), I45)</f>
        <v/>
      </c>
      <c r="P45" s="23">
        <f>ROUND(O45-I45, 2)</f>
        <v/>
      </c>
      <c r="Q45" s="25">
        <f>N45*12</f>
        <v/>
      </c>
      <c r="R45" s="25">
        <f>((1+N45)^12)-1</f>
        <v/>
      </c>
      <c r="S45" s="25">
        <f>N45-M45</f>
        <v/>
      </c>
      <c r="T45" s="20">
        <f>IF(ABS(P45)&lt;0.01, "EXACTO", "REVISAR")</f>
        <v/>
      </c>
    </row>
    <row r="46">
      <c r="A46" s="26" t="inlineStr">
        <is>
          <t>0583-0004</t>
        </is>
      </c>
      <c r="B46" s="27" t="inlineStr">
        <is>
          <t>Soluciones Profesionales para la Industria Alimentaria</t>
        </is>
      </c>
      <c r="C46" s="27" t="inlineStr">
        <is>
          <t>BIGHORN CREW CAB MT</t>
        </is>
      </c>
      <c r="D46" s="26" t="inlineStr">
        <is>
          <t>ACTIVO</t>
        </is>
      </c>
      <c r="E46" s="28" t="n">
        <v>24</v>
      </c>
      <c r="F46" s="29" t="n">
        <v>341293.1</v>
      </c>
      <c r="G46" s="30" t="n">
        <v>0.4</v>
      </c>
      <c r="H46" s="29">
        <f>ROUND(F46*G46, 2)</f>
        <v/>
      </c>
      <c r="I46" s="29">
        <f>ROUND(F46-H46, 2)</f>
        <v/>
      </c>
      <c r="J46" s="29" t="n">
        <v>11389.94</v>
      </c>
      <c r="K46" s="30" t="n">
        <v>0.1</v>
      </c>
      <c r="L46" s="29">
        <f>ROUND(F46*K46, 2)</f>
        <v/>
      </c>
      <c r="M46" s="31" t="n">
        <v>0.03202252</v>
      </c>
      <c r="N46" s="31">
        <f>IFERROR(RATE(E46, -J46, I46, -L46), M46)</f>
        <v/>
      </c>
      <c r="O46" s="29">
        <f>IF(N46&gt;0, ROUND(PV(N46, E46, -J46, -L46), 2), I46)</f>
        <v/>
      </c>
      <c r="P46" s="29">
        <f>ROUND(O46-I46, 2)</f>
        <v/>
      </c>
      <c r="Q46" s="31">
        <f>N46*12</f>
        <v/>
      </c>
      <c r="R46" s="31">
        <f>((1+N46)^12)-1</f>
        <v/>
      </c>
      <c r="S46" s="31">
        <f>N46-M46</f>
        <v/>
      </c>
      <c r="T46" s="26">
        <f>IF(ABS(P46)&lt;0.01, "EXACTO", "REVISAR")</f>
        <v/>
      </c>
    </row>
    <row r="47">
      <c r="A47" s="20" t="inlineStr">
        <is>
          <t>0583-0005</t>
        </is>
      </c>
      <c r="B47" s="21" t="inlineStr">
        <is>
          <t>Soluciones Profesionales para la Industria Alimentaria</t>
        </is>
      </c>
      <c r="C47" s="21" t="inlineStr">
        <is>
          <t>3008</t>
        </is>
      </c>
      <c r="D47" s="20" t="inlineStr">
        <is>
          <t>ACTIVO</t>
        </is>
      </c>
      <c r="E47" s="22" t="n">
        <v>36</v>
      </c>
      <c r="F47" s="23" t="n">
        <v>496896.55</v>
      </c>
      <c r="G47" s="24" t="n">
        <v>0.4</v>
      </c>
      <c r="H47" s="23">
        <f>ROUND(F47*G47, 2)</f>
        <v/>
      </c>
      <c r="I47" s="23">
        <f>ROUND(F47-H47, 2)</f>
        <v/>
      </c>
      <c r="J47" s="23" t="n">
        <v>13146.52</v>
      </c>
      <c r="K47" s="24" t="n">
        <v>0.1</v>
      </c>
      <c r="L47" s="23">
        <f>ROUND(F47*K47, 2)</f>
        <v/>
      </c>
      <c r="M47" s="25" t="n">
        <v>0.03125271</v>
      </c>
      <c r="N47" s="25">
        <f>IFERROR(RATE(E47, -J47, I47, -L47), M47)</f>
        <v/>
      </c>
      <c r="O47" s="23">
        <f>IF(N47&gt;0, ROUND(PV(N47, E47, -J47, -L47), 2), I47)</f>
        <v/>
      </c>
      <c r="P47" s="23">
        <f>ROUND(O47-I47, 2)</f>
        <v/>
      </c>
      <c r="Q47" s="25">
        <f>N47*12</f>
        <v/>
      </c>
      <c r="R47" s="25">
        <f>((1+N47)^12)-1</f>
        <v/>
      </c>
      <c r="S47" s="25">
        <f>N47-M47</f>
        <v/>
      </c>
      <c r="T47" s="20">
        <f>IF(ABS(P47)&lt;0.01, "EXACTO", "REVISAR")</f>
        <v/>
      </c>
    </row>
    <row r="48">
      <c r="A48" s="26" t="inlineStr">
        <is>
          <t>0583-0006</t>
        </is>
      </c>
      <c r="B48" s="27" t="inlineStr">
        <is>
          <t>Soluciones Profesionales para la Industria Alimentaria</t>
        </is>
      </c>
      <c r="C48" s="27" t="inlineStr">
        <is>
          <t>Montana</t>
        </is>
      </c>
      <c r="D48" s="26" t="inlineStr">
        <is>
          <t>ACTIVO</t>
        </is>
      </c>
      <c r="E48" s="28" t="n">
        <v>24</v>
      </c>
      <c r="F48" s="29" t="n">
        <v>482241.38</v>
      </c>
      <c r="G48" s="30" t="n">
        <v>0.3</v>
      </c>
      <c r="H48" s="29">
        <f>ROUND(F48*G48, 2)</f>
        <v/>
      </c>
      <c r="I48" s="29">
        <f>ROUND(F48-H48, 2)</f>
        <v/>
      </c>
      <c r="J48" s="29" t="n">
        <v>16176.47</v>
      </c>
      <c r="K48" s="30" t="n">
        <v>0.2</v>
      </c>
      <c r="L48" s="29">
        <f>ROUND(F48*K48, 2)</f>
        <v/>
      </c>
      <c r="M48" s="31" t="n">
        <v>0.02615301</v>
      </c>
      <c r="N48" s="31">
        <f>IFERROR(RATE(E48, -J48, I48, -L48), M48)</f>
        <v/>
      </c>
      <c r="O48" s="29">
        <f>IF(N48&gt;0, ROUND(PV(N48, E48, -J48, -L48), 2), I48)</f>
        <v/>
      </c>
      <c r="P48" s="29">
        <f>ROUND(O48-I48, 2)</f>
        <v/>
      </c>
      <c r="Q48" s="31">
        <f>N48*12</f>
        <v/>
      </c>
      <c r="R48" s="31">
        <f>((1+N48)^12)-1</f>
        <v/>
      </c>
      <c r="S48" s="31">
        <f>N48-M48</f>
        <v/>
      </c>
      <c r="T48" s="26">
        <f>IF(ABS(P48)&lt;0.01, "EXACTO", "REVISAR")</f>
        <v/>
      </c>
    </row>
    <row r="49">
      <c r="A49" s="20" t="inlineStr">
        <is>
          <t>0585-0002</t>
        </is>
      </c>
      <c r="B49" s="21" t="inlineStr">
        <is>
          <t>Julio Alberto Ramos de la Mora</t>
        </is>
      </c>
      <c r="C49" s="21" t="inlineStr">
        <is>
          <t>Ram 1500 Limited</t>
        </is>
      </c>
      <c r="D49" s="20" t="inlineStr">
        <is>
          <t>ACTIVO</t>
        </is>
      </c>
      <c r="E49" s="22" t="n">
        <v>36</v>
      </c>
      <c r="F49" s="23" t="n">
        <v>1424913.79</v>
      </c>
      <c r="G49" s="24" t="n">
        <v>0.2</v>
      </c>
      <c r="H49" s="23">
        <f>ROUND(F49*G49, 2)</f>
        <v/>
      </c>
      <c r="I49" s="23">
        <f>ROUND(F49-H49, 2)</f>
        <v/>
      </c>
      <c r="J49" s="23" t="n">
        <v>46756.44</v>
      </c>
      <c r="K49" s="24" t="n">
        <v>0.3</v>
      </c>
      <c r="L49" s="23">
        <f>ROUND(F49*K49, 2)</f>
        <v/>
      </c>
      <c r="M49" s="25" t="n">
        <v>0.0314166</v>
      </c>
      <c r="N49" s="25">
        <f>IFERROR(RATE(E49, -J49, I49, -L49), M49)</f>
        <v/>
      </c>
      <c r="O49" s="23">
        <f>IF(N49&gt;0, ROUND(PV(N49, E49, -J49, -L49), 2), I49)</f>
        <v/>
      </c>
      <c r="P49" s="23">
        <f>ROUND(O49-I49, 2)</f>
        <v/>
      </c>
      <c r="Q49" s="25">
        <f>N49*12</f>
        <v/>
      </c>
      <c r="R49" s="25">
        <f>((1+N49)^12)-1</f>
        <v/>
      </c>
      <c r="S49" s="25">
        <f>N49-M49</f>
        <v/>
      </c>
      <c r="T49" s="20">
        <f>IF(ABS(P49)&lt;0.01, "EXACTO", "REVISAR")</f>
        <v/>
      </c>
    </row>
    <row r="50">
      <c r="A50" s="26" t="inlineStr">
        <is>
          <t>0585-0003</t>
        </is>
      </c>
      <c r="B50" s="27" t="inlineStr">
        <is>
          <t>Julio Alberto Ramos de la Mora</t>
        </is>
      </c>
      <c r="C50" s="27" t="inlineStr">
        <is>
          <t>Wrangler Rubicon</t>
        </is>
      </c>
      <c r="D50" s="26" t="inlineStr">
        <is>
          <t>ACTIVO</t>
        </is>
      </c>
      <c r="E50" s="28" t="n">
        <v>48</v>
      </c>
      <c r="F50" s="29" t="n">
        <v>1267586.21</v>
      </c>
      <c r="G50" s="30" t="n">
        <v>0.2</v>
      </c>
      <c r="H50" s="29">
        <f>ROUND(F50*G50, 2)</f>
        <v/>
      </c>
      <c r="I50" s="29">
        <f>ROUND(F50-H50, 2)</f>
        <v/>
      </c>
      <c r="J50" s="29" t="n">
        <v>37949.41</v>
      </c>
      <c r="K50" s="30" t="n">
        <v>0.3</v>
      </c>
      <c r="L50" s="29">
        <f>ROUND(F50*K50, 2)</f>
        <v/>
      </c>
      <c r="M50" s="31" t="n">
        <v>0.03172101</v>
      </c>
      <c r="N50" s="31">
        <f>IFERROR(RATE(E50, -J50, I50, -L50), M50)</f>
        <v/>
      </c>
      <c r="O50" s="29">
        <f>IF(N50&gt;0, ROUND(PV(N50, E50, -J50, -L50), 2), I50)</f>
        <v/>
      </c>
      <c r="P50" s="29">
        <f>ROUND(O50-I50, 2)</f>
        <v/>
      </c>
      <c r="Q50" s="31">
        <f>N50*12</f>
        <v/>
      </c>
      <c r="R50" s="31">
        <f>((1+N50)^12)-1</f>
        <v/>
      </c>
      <c r="S50" s="31">
        <f>N50-M50</f>
        <v/>
      </c>
      <c r="T50" s="26">
        <f>IF(ABS(P50)&lt;0.01, "EXACTO", "REVISAR")</f>
        <v/>
      </c>
    </row>
    <row r="51">
      <c r="A51" s="20" t="inlineStr">
        <is>
          <t>0585-0004</t>
        </is>
      </c>
      <c r="B51" s="21" t="inlineStr">
        <is>
          <t>Julio Alberto Ramos de la Mora</t>
        </is>
      </c>
      <c r="C51" s="21" t="inlineStr">
        <is>
          <t>Hrv Sport</t>
        </is>
      </c>
      <c r="D51" s="20" t="inlineStr">
        <is>
          <t>ACTIVO</t>
        </is>
      </c>
      <c r="E51" s="22" t="n">
        <v>36</v>
      </c>
      <c r="F51" s="23" t="n">
        <v>543017.24</v>
      </c>
      <c r="G51" s="24" t="n">
        <v>0.4</v>
      </c>
      <c r="H51" s="23">
        <f>ROUND(F51*G51, 2)</f>
        <v/>
      </c>
      <c r="I51" s="23">
        <f>ROUND(F51-H51, 2)</f>
        <v/>
      </c>
      <c r="J51" s="23" t="n">
        <v>13266.33</v>
      </c>
      <c r="K51" s="24" t="n">
        <v>0.1</v>
      </c>
      <c r="L51" s="23">
        <f>ROUND(F51*K51, 2)</f>
        <v/>
      </c>
      <c r="M51" s="25" t="n">
        <v>0.02663641</v>
      </c>
      <c r="N51" s="25">
        <f>IFERROR(RATE(E51, -J51, I51, -L51), M51)</f>
        <v/>
      </c>
      <c r="O51" s="23">
        <f>IF(N51&gt;0, ROUND(PV(N51, E51, -J51, -L51), 2), I51)</f>
        <v/>
      </c>
      <c r="P51" s="23">
        <f>ROUND(O51-I51, 2)</f>
        <v/>
      </c>
      <c r="Q51" s="25">
        <f>N51*12</f>
        <v/>
      </c>
      <c r="R51" s="25">
        <f>((1+N51)^12)-1</f>
        <v/>
      </c>
      <c r="S51" s="25">
        <f>N51-M51</f>
        <v/>
      </c>
      <c r="T51" s="20">
        <f>IF(ABS(P51)&lt;0.01, "EXACTO", "REVISAR")</f>
        <v/>
      </c>
    </row>
    <row r="52">
      <c r="A52" s="26" t="inlineStr">
        <is>
          <t>0585-0005</t>
        </is>
      </c>
      <c r="B52" s="27" t="inlineStr">
        <is>
          <t>Julio Alberto Ramos de la Mora</t>
        </is>
      </c>
      <c r="C52" s="27" t="inlineStr">
        <is>
          <t>M9 GL HEV</t>
        </is>
      </c>
      <c r="D52" s="26" t="inlineStr">
        <is>
          <t>ACTIVO</t>
        </is>
      </c>
      <c r="E52" s="28" t="n">
        <v>24</v>
      </c>
      <c r="F52" s="29" t="n">
        <v>844655.17</v>
      </c>
      <c r="G52" s="30" t="n">
        <v>0.4</v>
      </c>
      <c r="H52" s="29">
        <f>ROUND(F52*G52, 2)</f>
        <v/>
      </c>
      <c r="I52" s="29">
        <f>ROUND(F52-H52, 2)</f>
        <v/>
      </c>
      <c r="J52" s="29" t="n">
        <v>26075.18</v>
      </c>
      <c r="K52" s="30" t="n">
        <v>0.1</v>
      </c>
      <c r="L52" s="29">
        <f>ROUND(F52*K52, 2)</f>
        <v/>
      </c>
      <c r="M52" s="31" t="n">
        <v>0.02601123</v>
      </c>
      <c r="N52" s="31">
        <f>IFERROR(RATE(E52, -J52, I52, -L52), M52)</f>
        <v/>
      </c>
      <c r="O52" s="29">
        <f>IF(N52&gt;0, ROUND(PV(N52, E52, -J52, -L52), 2), I52)</f>
        <v/>
      </c>
      <c r="P52" s="29">
        <f>ROUND(O52-I52, 2)</f>
        <v/>
      </c>
      <c r="Q52" s="31">
        <f>N52*12</f>
        <v/>
      </c>
      <c r="R52" s="31">
        <f>((1+N52)^12)-1</f>
        <v/>
      </c>
      <c r="S52" s="31">
        <f>N52-M52</f>
        <v/>
      </c>
      <c r="T52" s="26">
        <f>IF(ABS(P52)&lt;0.01, "EXACTO", "REVISAR")</f>
        <v/>
      </c>
    </row>
    <row r="53">
      <c r="A53" s="20" t="inlineStr">
        <is>
          <t>0587-0002</t>
        </is>
      </c>
      <c r="B53" s="21" t="inlineStr">
        <is>
          <t>Allioth, S.C.</t>
        </is>
      </c>
      <c r="C53" s="21" t="inlineStr">
        <is>
          <t>Grand Cherokee L Summit</t>
        </is>
      </c>
      <c r="D53" s="20" t="inlineStr">
        <is>
          <t>ACTIVO</t>
        </is>
      </c>
      <c r="E53" s="22" t="n">
        <v>12</v>
      </c>
      <c r="F53" s="23" t="n">
        <v>548202.59</v>
      </c>
      <c r="G53" s="24" t="n">
        <v>0</v>
      </c>
      <c r="H53" s="23">
        <f>ROUND(F53*G53, 2)</f>
        <v/>
      </c>
      <c r="I53" s="23">
        <f>ROUND(F53-H53, 2)</f>
        <v/>
      </c>
      <c r="J53" s="23" t="n">
        <v>37131.09</v>
      </c>
      <c r="K53" s="24" t="n">
        <v>0.4</v>
      </c>
      <c r="L53" s="23">
        <f>ROUND(F53*K53, 2)</f>
        <v/>
      </c>
      <c r="M53" s="25" t="n">
        <v>0.02399169</v>
      </c>
      <c r="N53" s="25">
        <f>IFERROR(RATE(E53, -J53, I53, -L53), M53)</f>
        <v/>
      </c>
      <c r="O53" s="23">
        <f>IF(N53&gt;0, ROUND(PV(N53, E53, -J53, -L53), 2), I53)</f>
        <v/>
      </c>
      <c r="P53" s="23">
        <f>ROUND(O53-I53, 2)</f>
        <v/>
      </c>
      <c r="Q53" s="25">
        <f>N53*12</f>
        <v/>
      </c>
      <c r="R53" s="25">
        <f>((1+N53)^12)-1</f>
        <v/>
      </c>
      <c r="S53" s="25">
        <f>N53-M53</f>
        <v/>
      </c>
      <c r="T53" s="20">
        <f>IF(ABS(P53)&lt;0.01, "EXACTO", "REVISAR")</f>
        <v/>
      </c>
    </row>
    <row r="54">
      <c r="A54" s="26" t="inlineStr">
        <is>
          <t>0591-0002</t>
        </is>
      </c>
      <c r="B54" s="27" t="inlineStr">
        <is>
          <t>Cervantech Servicios Tecnologicos Sc</t>
        </is>
      </c>
      <c r="C54" s="27" t="inlineStr">
        <is>
          <t>WRANGLER RUBICON</t>
        </is>
      </c>
      <c r="D54" s="26" t="inlineStr">
        <is>
          <t>ACTIVO</t>
        </is>
      </c>
      <c r="E54" s="28" t="n">
        <v>36</v>
      </c>
      <c r="F54" s="29" t="n">
        <v>1105086.21</v>
      </c>
      <c r="G54" s="30" t="n">
        <v>0.2</v>
      </c>
      <c r="H54" s="29">
        <f>ROUND(F54*G54, 2)</f>
        <v/>
      </c>
      <c r="I54" s="29">
        <f>ROUND(F54-H54, 2)</f>
        <v/>
      </c>
      <c r="J54" s="29" t="n">
        <v>35164.06</v>
      </c>
      <c r="K54" s="30" t="n">
        <v>0.35</v>
      </c>
      <c r="L54" s="29">
        <f>ROUND(F54*K54, 2)</f>
        <v/>
      </c>
      <c r="M54" s="31" t="n">
        <v>0.03107544</v>
      </c>
      <c r="N54" s="31">
        <f>IFERROR(RATE(E54, -J54, I54, -L54), M54)</f>
        <v/>
      </c>
      <c r="O54" s="29">
        <f>IF(N54&gt;0, ROUND(PV(N54, E54, -J54, -L54), 2), I54)</f>
        <v/>
      </c>
      <c r="P54" s="29">
        <f>ROUND(O54-I54, 2)</f>
        <v/>
      </c>
      <c r="Q54" s="31">
        <f>N54*12</f>
        <v/>
      </c>
      <c r="R54" s="31">
        <f>((1+N54)^12)-1</f>
        <v/>
      </c>
      <c r="S54" s="31">
        <f>N54-M54</f>
        <v/>
      </c>
      <c r="T54" s="26">
        <f>IF(ABS(P54)&lt;0.01, "EXACTO", "REVISAR")</f>
        <v/>
      </c>
    </row>
    <row r="55">
      <c r="A55" s="20" t="inlineStr">
        <is>
          <t>0593-0002</t>
        </is>
      </c>
      <c r="B55" s="21" t="inlineStr">
        <is>
          <t>Metales y Minerales Moa Sa de Cv</t>
        </is>
      </c>
      <c r="C55" s="21" t="inlineStr">
        <is>
          <t>Ram 700 SLT Crew Cab</t>
        </is>
      </c>
      <c r="D55" s="20" t="inlineStr">
        <is>
          <t>ACTIVO</t>
        </is>
      </c>
      <c r="E55" s="22" t="n">
        <v>48</v>
      </c>
      <c r="F55" s="23" t="n">
        <v>284396.55</v>
      </c>
      <c r="G55" s="24" t="n">
        <v>0</v>
      </c>
      <c r="H55" s="23">
        <f>ROUND(F55*G55, 2)</f>
        <v/>
      </c>
      <c r="I55" s="23">
        <f>ROUND(F55-H55, 2)</f>
        <v/>
      </c>
      <c r="J55" s="23" t="n">
        <v>11076.61</v>
      </c>
      <c r="K55" s="24" t="n">
        <v>0.2</v>
      </c>
      <c r="L55" s="23">
        <f>ROUND(F55*K55, 2)</f>
        <v/>
      </c>
      <c r="M55" s="25" t="n">
        <v>0.0316306</v>
      </c>
      <c r="N55" s="25">
        <f>IFERROR(RATE(E55, -J55, I55, -L55), M55)</f>
        <v/>
      </c>
      <c r="O55" s="23">
        <f>IF(N55&gt;0, ROUND(PV(N55, E55, -J55, -L55), 2), I55)</f>
        <v/>
      </c>
      <c r="P55" s="23">
        <f>ROUND(O55-I55, 2)</f>
        <v/>
      </c>
      <c r="Q55" s="25">
        <f>N55*12</f>
        <v/>
      </c>
      <c r="R55" s="25">
        <f>((1+N55)^12)-1</f>
        <v/>
      </c>
      <c r="S55" s="25">
        <f>N55-M55</f>
        <v/>
      </c>
      <c r="T55" s="20">
        <f>IF(ABS(P55)&lt;0.01, "EXACTO", "REVISAR")</f>
        <v/>
      </c>
    </row>
    <row r="56">
      <c r="A56" s="26" t="inlineStr">
        <is>
          <t>0594-0001</t>
        </is>
      </c>
      <c r="B56" s="27" t="inlineStr">
        <is>
          <t>Biotecnologia Estetica Sa de Cv</t>
        </is>
      </c>
      <c r="C56" s="27" t="inlineStr">
        <is>
          <t>Mobi Like</t>
        </is>
      </c>
      <c r="D56" s="26" t="inlineStr">
        <is>
          <t>ACTIVO</t>
        </is>
      </c>
      <c r="E56" s="28" t="n">
        <v>48</v>
      </c>
      <c r="F56" s="29" t="n">
        <v>208965.52</v>
      </c>
      <c r="G56" s="30" t="n">
        <v>0.1</v>
      </c>
      <c r="H56" s="29">
        <f>ROUND(F56*G56, 2)</f>
        <v/>
      </c>
      <c r="I56" s="29">
        <f>ROUND(F56-H56, 2)</f>
        <v/>
      </c>
      <c r="J56" s="29" t="n">
        <v>7346.7</v>
      </c>
      <c r="K56" s="30" t="n">
        <v>0.2</v>
      </c>
      <c r="L56" s="29">
        <f>ROUND(F56*K56, 2)</f>
        <v/>
      </c>
      <c r="M56" s="31" t="n">
        <v>0.03203017</v>
      </c>
      <c r="N56" s="31">
        <f>IFERROR(RATE(E56, -J56, I56, -L56), M56)</f>
        <v/>
      </c>
      <c r="O56" s="29">
        <f>IF(N56&gt;0, ROUND(PV(N56, E56, -J56, -L56), 2), I56)</f>
        <v/>
      </c>
      <c r="P56" s="29">
        <f>ROUND(O56-I56, 2)</f>
        <v/>
      </c>
      <c r="Q56" s="31">
        <f>N56*12</f>
        <v/>
      </c>
      <c r="R56" s="31">
        <f>((1+N56)^12)-1</f>
        <v/>
      </c>
      <c r="S56" s="31">
        <f>N56-M56</f>
        <v/>
      </c>
      <c r="T56" s="26">
        <f>IF(ABS(P56)&lt;0.01, "EXACTO", "REVISAR")</f>
        <v/>
      </c>
    </row>
    <row r="57">
      <c r="A57" s="20" t="inlineStr">
        <is>
          <t>0596-0004</t>
        </is>
      </c>
      <c r="B57" s="21" t="inlineStr">
        <is>
          <t>Gruas Industriales Lb</t>
        </is>
      </c>
      <c r="C57" s="21" t="inlineStr">
        <is>
          <t>Ram 1500 TRX</t>
        </is>
      </c>
      <c r="D57" s="20" t="inlineStr">
        <is>
          <t>ACTIVO</t>
        </is>
      </c>
      <c r="E57" s="22" t="n">
        <v>48</v>
      </c>
      <c r="F57" s="23" t="n">
        <v>2258534.48</v>
      </c>
      <c r="G57" s="24" t="n">
        <v>0.4</v>
      </c>
      <c r="H57" s="23">
        <f>ROUND(F57*G57, 2)</f>
        <v/>
      </c>
      <c r="I57" s="23">
        <f>ROUND(F57-H57, 2)</f>
        <v/>
      </c>
      <c r="J57" s="23" t="n">
        <v>53997.12</v>
      </c>
      <c r="K57" s="24" t="n">
        <v>0.1</v>
      </c>
      <c r="L57" s="23">
        <f>ROUND(F57*K57, 2)</f>
        <v/>
      </c>
      <c r="M57" s="25" t="n">
        <v>0.03238669</v>
      </c>
      <c r="N57" s="25">
        <f>IFERROR(RATE(E57, -J57, I57, -L57), M57)</f>
        <v/>
      </c>
      <c r="O57" s="23">
        <f>IF(N57&gt;0, ROUND(PV(N57, E57, -J57, -L57), 2), I57)</f>
        <v/>
      </c>
      <c r="P57" s="23">
        <f>ROUND(O57-I57, 2)</f>
        <v/>
      </c>
      <c r="Q57" s="25">
        <f>N57*12</f>
        <v/>
      </c>
      <c r="R57" s="25">
        <f>((1+N57)^12)-1</f>
        <v/>
      </c>
      <c r="S57" s="25">
        <f>N57-M57</f>
        <v/>
      </c>
      <c r="T57" s="20">
        <f>IF(ABS(P57)&lt;0.01, "EXACTO", "REVISAR")</f>
        <v/>
      </c>
    </row>
    <row r="58">
      <c r="A58" s="26" t="inlineStr">
        <is>
          <t>0596-0005</t>
        </is>
      </c>
      <c r="B58" s="27" t="inlineStr">
        <is>
          <t>Gruas Industriales Lb Sa de Cv</t>
        </is>
      </c>
      <c r="C58" s="27" t="inlineStr">
        <is>
          <t>L200 Glx Gasolina</t>
        </is>
      </c>
      <c r="D58" s="26" t="inlineStr">
        <is>
          <t>ACTIVO</t>
        </is>
      </c>
      <c r="E58" s="28" t="n">
        <v>48</v>
      </c>
      <c r="F58" s="29" t="n">
        <v>415817.24</v>
      </c>
      <c r="G58" s="30" t="n">
        <v>0.1</v>
      </c>
      <c r="H58" s="29">
        <f>ROUND(F58*G58, 2)</f>
        <v/>
      </c>
      <c r="I58" s="29">
        <f>ROUND(F58-H58, 2)</f>
        <v/>
      </c>
      <c r="J58" s="29" t="n">
        <v>14503.17</v>
      </c>
      <c r="K58" s="30" t="n">
        <v>0.2</v>
      </c>
      <c r="L58" s="29">
        <f>ROUND(F58*K58, 2)</f>
        <v/>
      </c>
      <c r="M58" s="31" t="n">
        <v>0.03164264</v>
      </c>
      <c r="N58" s="31">
        <f>IFERROR(RATE(E58, -J58, I58, -L58), M58)</f>
        <v/>
      </c>
      <c r="O58" s="29">
        <f>IF(N58&gt;0, ROUND(PV(N58, E58, -J58, -L58), 2), I58)</f>
        <v/>
      </c>
      <c r="P58" s="29">
        <f>ROUND(O58-I58, 2)</f>
        <v/>
      </c>
      <c r="Q58" s="31">
        <f>N58*12</f>
        <v/>
      </c>
      <c r="R58" s="31">
        <f>((1+N58)^12)-1</f>
        <v/>
      </c>
      <c r="S58" s="31">
        <f>N58-M58</f>
        <v/>
      </c>
      <c r="T58" s="26">
        <f>IF(ABS(P58)&lt;0.01, "EXACTO", "REVISAR")</f>
        <v/>
      </c>
    </row>
    <row r="59">
      <c r="A59" s="20" t="inlineStr">
        <is>
          <t>0598-0001</t>
        </is>
      </c>
      <c r="B59" s="21" t="inlineStr">
        <is>
          <t>Digitracking Solution Sa de Cv</t>
        </is>
      </c>
      <c r="C59" s="21" t="inlineStr">
        <is>
          <t>Ram 700 Laramie</t>
        </is>
      </c>
      <c r="D59" s="20" t="inlineStr">
        <is>
          <t>ACTIVO</t>
        </is>
      </c>
      <c r="E59" s="22" t="n">
        <v>48</v>
      </c>
      <c r="F59" s="23" t="n">
        <v>349051.72</v>
      </c>
      <c r="G59" s="24" t="n">
        <v>0.3</v>
      </c>
      <c r="H59" s="23">
        <f>ROUND(F59*G59, 2)</f>
        <v/>
      </c>
      <c r="I59" s="23">
        <f>ROUND(F59-H59, 2)</f>
        <v/>
      </c>
      <c r="J59" s="23" t="n">
        <v>9488.52</v>
      </c>
      <c r="K59" s="24" t="n">
        <v>0.2</v>
      </c>
      <c r="L59" s="23">
        <f>ROUND(F59*K59, 2)</f>
        <v/>
      </c>
      <c r="M59" s="25" t="n">
        <v>0.03245132</v>
      </c>
      <c r="N59" s="25">
        <f>IFERROR(RATE(E59, -J59, I59, -L59), M59)</f>
        <v/>
      </c>
      <c r="O59" s="23">
        <f>IF(N59&gt;0, ROUND(PV(N59, E59, -J59, -L59), 2), I59)</f>
        <v/>
      </c>
      <c r="P59" s="23">
        <f>ROUND(O59-I59, 2)</f>
        <v/>
      </c>
      <c r="Q59" s="25">
        <f>N59*12</f>
        <v/>
      </c>
      <c r="R59" s="25">
        <f>((1+N59)^12)-1</f>
        <v/>
      </c>
      <c r="S59" s="25">
        <f>N59-M59</f>
        <v/>
      </c>
      <c r="T59" s="20">
        <f>IF(ABS(P59)&lt;0.01, "EXACTO", "REVISAR")</f>
        <v/>
      </c>
    </row>
    <row r="60">
      <c r="A60" s="26" t="inlineStr">
        <is>
          <t>0600-0001</t>
        </is>
      </c>
      <c r="B60" s="27" t="inlineStr">
        <is>
          <t>Dulce Marisol Gonzalez Cuevas</t>
        </is>
      </c>
      <c r="C60" s="27" t="inlineStr">
        <is>
          <t>Ram 700 Laramie</t>
        </is>
      </c>
      <c r="D60" s="26" t="inlineStr">
        <is>
          <t>ACTIVO</t>
        </is>
      </c>
      <c r="E60" s="28" t="n">
        <v>48</v>
      </c>
      <c r="F60" s="29" t="n">
        <v>349051.72</v>
      </c>
      <c r="G60" s="30" t="n">
        <v>0.4</v>
      </c>
      <c r="H60" s="29">
        <f>ROUND(F60*G60, 2)</f>
        <v/>
      </c>
      <c r="I60" s="29">
        <f>ROUND(F60-H60, 2)</f>
        <v/>
      </c>
      <c r="J60" s="29" t="n">
        <v>8281.360000000001</v>
      </c>
      <c r="K60" s="30" t="n">
        <v>0.1</v>
      </c>
      <c r="L60" s="29">
        <f>ROUND(F60*K60, 2)</f>
        <v/>
      </c>
      <c r="M60" s="31" t="n">
        <v>0.03199954</v>
      </c>
      <c r="N60" s="31">
        <f>IFERROR(RATE(E60, -J60, I60, -L60), M60)</f>
        <v/>
      </c>
      <c r="O60" s="29">
        <f>IF(N60&gt;0, ROUND(PV(N60, E60, -J60, -L60), 2), I60)</f>
        <v/>
      </c>
      <c r="P60" s="29">
        <f>ROUND(O60-I60, 2)</f>
        <v/>
      </c>
      <c r="Q60" s="31">
        <f>N60*12</f>
        <v/>
      </c>
      <c r="R60" s="31">
        <f>((1+N60)^12)-1</f>
        <v/>
      </c>
      <c r="S60" s="31">
        <f>N60-M60</f>
        <v/>
      </c>
      <c r="T60" s="26">
        <f>IF(ABS(P60)&lt;0.01, "EXACTO", "REVISAR")</f>
        <v/>
      </c>
    </row>
    <row r="61">
      <c r="A61" s="20" t="inlineStr">
        <is>
          <t>0603-0002</t>
        </is>
      </c>
      <c r="B61" s="21" t="inlineStr">
        <is>
          <t>Mario Alberto Velasco Santana</t>
        </is>
      </c>
      <c r="C61" s="21" t="inlineStr">
        <is>
          <t>Outlander Sport</t>
        </is>
      </c>
      <c r="D61" s="20" t="inlineStr">
        <is>
          <t>ACTIVO</t>
        </is>
      </c>
      <c r="E61" s="22" t="n">
        <v>48</v>
      </c>
      <c r="F61" s="23" t="n">
        <v>394655.17</v>
      </c>
      <c r="G61" s="24" t="n">
        <v>0.3</v>
      </c>
      <c r="H61" s="23">
        <f>ROUND(F61*G61, 2)</f>
        <v/>
      </c>
      <c r="I61" s="23">
        <f>ROUND(F61-H61, 2)</f>
        <v/>
      </c>
      <c r="J61" s="23" t="n">
        <v>10553.33</v>
      </c>
      <c r="K61" s="24" t="n">
        <v>0.2</v>
      </c>
      <c r="L61" s="23">
        <f>ROUND(F61*K61, 2)</f>
        <v/>
      </c>
      <c r="M61" s="25" t="n">
        <v>0.03167614</v>
      </c>
      <c r="N61" s="25">
        <f>IFERROR(RATE(E61, -J61, I61, -L61), M61)</f>
        <v/>
      </c>
      <c r="O61" s="23">
        <f>IF(N61&gt;0, ROUND(PV(N61, E61, -J61, -L61), 2), I61)</f>
        <v/>
      </c>
      <c r="P61" s="23">
        <f>ROUND(O61-I61, 2)</f>
        <v/>
      </c>
      <c r="Q61" s="25">
        <f>N61*12</f>
        <v/>
      </c>
      <c r="R61" s="25">
        <f>((1+N61)^12)-1</f>
        <v/>
      </c>
      <c r="S61" s="25">
        <f>N61-M61</f>
        <v/>
      </c>
      <c r="T61" s="20">
        <f>IF(ABS(P61)&lt;0.01, "EXACTO", "REVISAR")</f>
        <v/>
      </c>
    </row>
    <row r="62">
      <c r="A62" s="26" t="inlineStr">
        <is>
          <t>0605-0001</t>
        </is>
      </c>
      <c r="B62" s="27" t="inlineStr">
        <is>
          <t>Nato Arquitectos Sa de Cv</t>
        </is>
      </c>
      <c r="C62" s="27" t="inlineStr">
        <is>
          <t>Compass High Altitude</t>
        </is>
      </c>
      <c r="D62" s="26" t="inlineStr">
        <is>
          <t>ACTIVO</t>
        </is>
      </c>
      <c r="E62" s="28" t="n">
        <v>48</v>
      </c>
      <c r="F62" s="29" t="n">
        <v>680948.28</v>
      </c>
      <c r="G62" s="30" t="n">
        <v>0.3</v>
      </c>
      <c r="H62" s="29">
        <f>ROUND(F62*G62, 2)</f>
        <v/>
      </c>
      <c r="I62" s="29">
        <f>ROUND(F62-H62, 2)</f>
        <v/>
      </c>
      <c r="J62" s="29" t="n">
        <v>18208.99</v>
      </c>
      <c r="K62" s="30" t="n">
        <v>0.2</v>
      </c>
      <c r="L62" s="29">
        <f>ROUND(F62*K62, 2)</f>
        <v/>
      </c>
      <c r="M62" s="31" t="n">
        <v>0.03167615</v>
      </c>
      <c r="N62" s="31">
        <f>IFERROR(RATE(E62, -J62, I62, -L62), M62)</f>
        <v/>
      </c>
      <c r="O62" s="29">
        <f>IF(N62&gt;0, ROUND(PV(N62, E62, -J62, -L62), 2), I62)</f>
        <v/>
      </c>
      <c r="P62" s="29">
        <f>ROUND(O62-I62, 2)</f>
        <v/>
      </c>
      <c r="Q62" s="31">
        <f>N62*12</f>
        <v/>
      </c>
      <c r="R62" s="31">
        <f>((1+N62)^12)-1</f>
        <v/>
      </c>
      <c r="S62" s="31">
        <f>N62-M62</f>
        <v/>
      </c>
      <c r="T62" s="26">
        <f>IF(ABS(P62)&lt;0.01, "EXACTO", "REVISAR")</f>
        <v/>
      </c>
    </row>
    <row r="63">
      <c r="A63" s="20" t="inlineStr">
        <is>
          <t>0605-0002</t>
        </is>
      </c>
      <c r="B63" s="21" t="inlineStr">
        <is>
          <t>Nato Arquitectos Sa de Cv</t>
        </is>
      </c>
      <c r="C63" s="21" t="inlineStr">
        <is>
          <t>Hilux Diesel</t>
        </is>
      </c>
      <c r="D63" s="20" t="inlineStr">
        <is>
          <t>ACTIVO</t>
        </is>
      </c>
      <c r="E63" s="22" t="n">
        <v>24</v>
      </c>
      <c r="F63" s="23" t="n">
        <v>427068.97</v>
      </c>
      <c r="G63" s="24" t="n">
        <v>0.1</v>
      </c>
      <c r="H63" s="23">
        <f>ROUND(F63*G63, 2)</f>
        <v/>
      </c>
      <c r="I63" s="23">
        <f>ROUND(F63-H63, 2)</f>
        <v/>
      </c>
      <c r="J63" s="23" t="n">
        <v>21570.02</v>
      </c>
      <c r="K63" s="24" t="n">
        <v>0.1</v>
      </c>
      <c r="L63" s="23">
        <f>ROUND(F63*K63, 2)</f>
        <v/>
      </c>
      <c r="M63" s="25" t="n">
        <v>0.03044163</v>
      </c>
      <c r="N63" s="25">
        <f>IFERROR(RATE(E63, -J63, I63, -L63), M63)</f>
        <v/>
      </c>
      <c r="O63" s="23">
        <f>IF(N63&gt;0, ROUND(PV(N63, E63, -J63, -L63), 2), I63)</f>
        <v/>
      </c>
      <c r="P63" s="23">
        <f>ROUND(O63-I63, 2)</f>
        <v/>
      </c>
      <c r="Q63" s="25">
        <f>N63*12</f>
        <v/>
      </c>
      <c r="R63" s="25">
        <f>((1+N63)^12)-1</f>
        <v/>
      </c>
      <c r="S63" s="25">
        <f>N63-M63</f>
        <v/>
      </c>
      <c r="T63" s="20">
        <f>IF(ABS(P63)&lt;0.01, "EXACTO", "REVISAR")</f>
        <v/>
      </c>
    </row>
    <row r="64">
      <c r="A64" s="26" t="inlineStr">
        <is>
          <t>0605-0003</t>
        </is>
      </c>
      <c r="B64" s="27" t="inlineStr">
        <is>
          <t>Nato Arquitectos Sa de Cv</t>
        </is>
      </c>
      <c r="C64" s="27" t="inlineStr">
        <is>
          <t>Ranger Crew Cab 4X4 XLT</t>
        </is>
      </c>
      <c r="D64" s="26" t="inlineStr">
        <is>
          <t>ACTIVO</t>
        </is>
      </c>
      <c r="E64" s="28" t="n">
        <v>24</v>
      </c>
      <c r="F64" s="29" t="n">
        <v>724913.79</v>
      </c>
      <c r="G64" s="30" t="n">
        <v>0.3</v>
      </c>
      <c r="H64" s="29">
        <f>ROUND(F64*G64, 2)</f>
        <v/>
      </c>
      <c r="I64" s="29">
        <f>ROUND(F64-H64, 2)</f>
        <v/>
      </c>
      <c r="J64" s="29" t="n">
        <v>24066.2</v>
      </c>
      <c r="K64" s="30" t="n">
        <v>0.2117</v>
      </c>
      <c r="L64" s="29">
        <f>ROUND(F64*K64, 2)</f>
        <v/>
      </c>
      <c r="M64" s="31" t="n">
        <v>0.02617146</v>
      </c>
      <c r="N64" s="31">
        <f>IFERROR(RATE(E64, -J64, I64, -L64), M64)</f>
        <v/>
      </c>
      <c r="O64" s="29">
        <f>IF(N64&gt;0, ROUND(PV(N64, E64, -J64, -L64), 2), I64)</f>
        <v/>
      </c>
      <c r="P64" s="29">
        <f>ROUND(O64-I64, 2)</f>
        <v/>
      </c>
      <c r="Q64" s="31">
        <f>N64*12</f>
        <v/>
      </c>
      <c r="R64" s="31">
        <f>((1+N64)^12)-1</f>
        <v/>
      </c>
      <c r="S64" s="31">
        <f>N64-M64</f>
        <v/>
      </c>
      <c r="T64" s="26">
        <f>IF(ABS(P64)&lt;0.01, "EXACTO", "REVISAR")</f>
        <v/>
      </c>
    </row>
    <row r="65">
      <c r="A65" s="20" t="inlineStr">
        <is>
          <t>0605-0004</t>
        </is>
      </c>
      <c r="B65" s="21" t="inlineStr">
        <is>
          <t>Nato Arquitectos Sa de Cv</t>
        </is>
      </c>
      <c r="C65" s="21" t="inlineStr">
        <is>
          <t>COLORADO DOBLE CABINA PAQ. "C"</t>
        </is>
      </c>
      <c r="D65" s="20" t="inlineStr">
        <is>
          <t>ACTIVO</t>
        </is>
      </c>
      <c r="E65" s="22" t="n">
        <v>24</v>
      </c>
      <c r="F65" s="23" t="n">
        <v>853362.0699999999</v>
      </c>
      <c r="G65" s="24" t="n">
        <v>0.3</v>
      </c>
      <c r="H65" s="23">
        <f>ROUND(F65*G65, 2)</f>
        <v/>
      </c>
      <c r="I65" s="23">
        <f>ROUND(F65-H65, 2)</f>
        <v/>
      </c>
      <c r="J65" s="23" t="n">
        <v>28559.43</v>
      </c>
      <c r="K65" s="24" t="n">
        <v>0.2</v>
      </c>
      <c r="L65" s="23">
        <f>ROUND(F65*K65, 2)</f>
        <v/>
      </c>
      <c r="M65" s="25" t="n">
        <v>0.02600151</v>
      </c>
      <c r="N65" s="25">
        <f>IFERROR(RATE(E65, -J65, I65, -L65), M65)</f>
        <v/>
      </c>
      <c r="O65" s="23">
        <f>IF(N65&gt;0, ROUND(PV(N65, E65, -J65, -L65), 2), I65)</f>
        <v/>
      </c>
      <c r="P65" s="23">
        <f>ROUND(O65-I65, 2)</f>
        <v/>
      </c>
      <c r="Q65" s="25">
        <f>N65*12</f>
        <v/>
      </c>
      <c r="R65" s="25">
        <f>((1+N65)^12)-1</f>
        <v/>
      </c>
      <c r="S65" s="25">
        <f>N65-M65</f>
        <v/>
      </c>
      <c r="T65" s="20">
        <f>IF(ABS(P65)&lt;0.01, "EXACTO", "REVISAR")</f>
        <v/>
      </c>
    </row>
    <row r="66">
      <c r="A66" s="26" t="inlineStr">
        <is>
          <t>0606-0002</t>
        </is>
      </c>
      <c r="B66" s="27" t="inlineStr">
        <is>
          <t>Mayoreo Automotriz ML S de Rl de CV</t>
        </is>
      </c>
      <c r="C66" s="27" t="inlineStr">
        <is>
          <t>Grand Cherokee 4xE</t>
        </is>
      </c>
      <c r="D66" s="26" t="inlineStr">
        <is>
          <t>ACTIVO</t>
        </is>
      </c>
      <c r="E66" s="28" t="n">
        <v>12</v>
      </c>
      <c r="F66" s="29" t="n">
        <v>276706.9</v>
      </c>
      <c r="G66" s="30" t="n">
        <v>0</v>
      </c>
      <c r="H66" s="29">
        <f>ROUND(F66*G66, 2)</f>
        <v/>
      </c>
      <c r="I66" s="29">
        <f>ROUND(F66-H66, 2)</f>
        <v/>
      </c>
      <c r="J66" s="29" t="n">
        <v>24796.11</v>
      </c>
      <c r="K66" s="30" t="n">
        <v>0.1</v>
      </c>
      <c r="L66" s="29">
        <f>ROUND(F66*K66, 2)</f>
        <v/>
      </c>
      <c r="M66" s="31" t="n">
        <v>0.02400545</v>
      </c>
      <c r="N66" s="31">
        <f>IFERROR(RATE(E66, -J66, I66, -L66), M66)</f>
        <v/>
      </c>
      <c r="O66" s="29">
        <f>IF(N66&gt;0, ROUND(PV(N66, E66, -J66, -L66), 2), I66)</f>
        <v/>
      </c>
      <c r="P66" s="29">
        <f>ROUND(O66-I66, 2)</f>
        <v/>
      </c>
      <c r="Q66" s="31">
        <f>N66*12</f>
        <v/>
      </c>
      <c r="R66" s="31">
        <f>((1+N66)^12)-1</f>
        <v/>
      </c>
      <c r="S66" s="31">
        <f>N66-M66</f>
        <v/>
      </c>
      <c r="T66" s="26">
        <f>IF(ABS(P66)&lt;0.01, "EXACTO", "REVISAR")</f>
        <v/>
      </c>
    </row>
    <row r="67">
      <c r="A67" s="20" t="inlineStr">
        <is>
          <t>0607-0004</t>
        </is>
      </c>
      <c r="B67" s="21" t="inlineStr">
        <is>
          <t>Jose Guadalupe Dueñas Lomeli</t>
        </is>
      </c>
      <c r="C67" s="21" t="inlineStr">
        <is>
          <t>Rifter Allure Pack</t>
        </is>
      </c>
      <c r="D67" s="20" t="inlineStr">
        <is>
          <t>ACTIVO</t>
        </is>
      </c>
      <c r="E67" s="22" t="n">
        <v>48</v>
      </c>
      <c r="F67" s="23" t="n">
        <v>430948.28</v>
      </c>
      <c r="G67" s="24" t="n">
        <v>0.2</v>
      </c>
      <c r="H67" s="23">
        <f>ROUND(F67*G67, 2)</f>
        <v/>
      </c>
      <c r="I67" s="23">
        <f>ROUND(F67-H67, 2)</f>
        <v/>
      </c>
      <c r="J67" s="23" t="n">
        <v>12431.15</v>
      </c>
      <c r="K67" s="24" t="n">
        <v>0.1</v>
      </c>
      <c r="L67" s="23">
        <f>ROUND(F67*K67, 2)</f>
        <v/>
      </c>
      <c r="M67" s="25" t="n">
        <v>0.02692539</v>
      </c>
      <c r="N67" s="25">
        <f>IFERROR(RATE(E67, -J67, I67, -L67), M67)</f>
        <v/>
      </c>
      <c r="O67" s="23">
        <f>IF(N67&gt;0, ROUND(PV(N67, E67, -J67, -L67), 2), I67)</f>
        <v/>
      </c>
      <c r="P67" s="23">
        <f>ROUND(O67-I67, 2)</f>
        <v/>
      </c>
      <c r="Q67" s="25">
        <f>N67*12</f>
        <v/>
      </c>
      <c r="R67" s="25">
        <f>((1+N67)^12)-1</f>
        <v/>
      </c>
      <c r="S67" s="25">
        <f>N67-M67</f>
        <v/>
      </c>
      <c r="T67" s="20">
        <f>IF(ABS(P67)&lt;0.01, "EXACTO", "REVISAR")</f>
        <v/>
      </c>
    </row>
    <row r="68">
      <c r="A68" s="26" t="inlineStr">
        <is>
          <t>0607-0005</t>
        </is>
      </c>
      <c r="B68" s="27" t="inlineStr">
        <is>
          <t>Jose Guadalupe Dueñas Lomeli</t>
        </is>
      </c>
      <c r="C68" s="27" t="inlineStr">
        <is>
          <t>Durango Hellcat SRT</t>
        </is>
      </c>
      <c r="D68" s="26" t="inlineStr">
        <is>
          <t>ACTIVO</t>
        </is>
      </c>
      <c r="E68" s="28" t="n">
        <v>36</v>
      </c>
      <c r="F68" s="29" t="n">
        <v>1874913.79</v>
      </c>
      <c r="G68" s="30" t="n">
        <v>0.1</v>
      </c>
      <c r="H68" s="29">
        <f>ROUND(F68*G68, 2)</f>
        <v/>
      </c>
      <c r="I68" s="29">
        <f>ROUND(F68-H68, 2)</f>
        <v/>
      </c>
      <c r="J68" s="29" t="n">
        <v>67080.24000000001</v>
      </c>
      <c r="K68" s="30" t="n">
        <v>0.2</v>
      </c>
      <c r="L68" s="29">
        <f>ROUND(F68*K68, 2)</f>
        <v/>
      </c>
      <c r="M68" s="31" t="n">
        <v>0.02660115</v>
      </c>
      <c r="N68" s="31">
        <f>IFERROR(RATE(E68, -J68, I68, -L68), M68)</f>
        <v/>
      </c>
      <c r="O68" s="29">
        <f>IF(N68&gt;0, ROUND(PV(N68, E68, -J68, -L68), 2), I68)</f>
        <v/>
      </c>
      <c r="P68" s="29">
        <f>ROUND(O68-I68, 2)</f>
        <v/>
      </c>
      <c r="Q68" s="31">
        <f>N68*12</f>
        <v/>
      </c>
      <c r="R68" s="31">
        <f>((1+N68)^12)-1</f>
        <v/>
      </c>
      <c r="S68" s="31">
        <f>N68-M68</f>
        <v/>
      </c>
      <c r="T68" s="26">
        <f>IF(ABS(P68)&lt;0.01, "EXACTO", "REVISAR")</f>
        <v/>
      </c>
    </row>
    <row r="69">
      <c r="A69" s="20" t="inlineStr">
        <is>
          <t>0610-0003</t>
        </is>
      </c>
      <c r="B69" s="21" t="inlineStr">
        <is>
          <t>Minelaza</t>
        </is>
      </c>
      <c r="C69" s="21" t="inlineStr">
        <is>
          <t>Song Plus</t>
        </is>
      </c>
      <c r="D69" s="20" t="inlineStr">
        <is>
          <t>ACTIVO</t>
        </is>
      </c>
      <c r="E69" s="22" t="n">
        <v>36</v>
      </c>
      <c r="F69" s="23" t="n">
        <v>671379.3100000001</v>
      </c>
      <c r="G69" s="24" t="n">
        <v>0.1</v>
      </c>
      <c r="H69" s="23">
        <f>ROUND(F69*G69, 2)</f>
        <v/>
      </c>
      <c r="I69" s="23">
        <f>ROUND(F69-H69, 2)</f>
        <v/>
      </c>
      <c r="J69" s="23" t="n">
        <v>24055.01</v>
      </c>
      <c r="K69" s="24" t="n">
        <v>0.2</v>
      </c>
      <c r="L69" s="23">
        <f>ROUND(F69*K69, 2)</f>
        <v/>
      </c>
      <c r="M69" s="25" t="n">
        <v>0.0266784</v>
      </c>
      <c r="N69" s="25">
        <f>IFERROR(RATE(E69, -J69, I69, -L69), M69)</f>
        <v/>
      </c>
      <c r="O69" s="23">
        <f>IF(N69&gt;0, ROUND(PV(N69, E69, -J69, -L69), 2), I69)</f>
        <v/>
      </c>
      <c r="P69" s="23">
        <f>ROUND(O69-I69, 2)</f>
        <v/>
      </c>
      <c r="Q69" s="25">
        <f>N69*12</f>
        <v/>
      </c>
      <c r="R69" s="25">
        <f>((1+N69)^12)-1</f>
        <v/>
      </c>
      <c r="S69" s="25">
        <f>N69-M69</f>
        <v/>
      </c>
      <c r="T69" s="20">
        <f>IF(ABS(P69)&lt;0.01, "EXACTO", "REVISAR")</f>
        <v/>
      </c>
    </row>
    <row r="70">
      <c r="A70" s="26" t="inlineStr">
        <is>
          <t>0612-0002</t>
        </is>
      </c>
      <c r="B70" s="27" t="inlineStr">
        <is>
          <t>Distribuidora Lopez Moctezuma Sa de Cv</t>
        </is>
      </c>
      <c r="C70" s="27" t="inlineStr">
        <is>
          <t>Ram 700 Tradesman</t>
        </is>
      </c>
      <c r="D70" s="26" t="inlineStr">
        <is>
          <t>ACTIVO</t>
        </is>
      </c>
      <c r="E70" s="28" t="n">
        <v>36</v>
      </c>
      <c r="F70" s="29" t="n">
        <v>293017.24</v>
      </c>
      <c r="G70" s="30" t="n">
        <v>0.1</v>
      </c>
      <c r="H70" s="29">
        <f>ROUND(F70*G70, 2)</f>
        <v/>
      </c>
      <c r="I70" s="29">
        <f>ROUND(F70-H70, 2)</f>
        <v/>
      </c>
      <c r="J70" s="29" t="n">
        <v>10498.59</v>
      </c>
      <c r="K70" s="30" t="n">
        <v>0.2</v>
      </c>
      <c r="L70" s="29">
        <f>ROUND(F70*K70, 2)</f>
        <v/>
      </c>
      <c r="M70" s="31" t="n">
        <v>0.02667842</v>
      </c>
      <c r="N70" s="31">
        <f>IFERROR(RATE(E70, -J70, I70, -L70), M70)</f>
        <v/>
      </c>
      <c r="O70" s="29">
        <f>IF(N70&gt;0, ROUND(PV(N70, E70, -J70, -L70), 2), I70)</f>
        <v/>
      </c>
      <c r="P70" s="29">
        <f>ROUND(O70-I70, 2)</f>
        <v/>
      </c>
      <c r="Q70" s="31">
        <f>N70*12</f>
        <v/>
      </c>
      <c r="R70" s="31">
        <f>((1+N70)^12)-1</f>
        <v/>
      </c>
      <c r="S70" s="31">
        <f>N70-M70</f>
        <v/>
      </c>
      <c r="T70" s="26">
        <f>IF(ABS(P70)&lt;0.01, "EXACTO", "REVISAR")</f>
        <v/>
      </c>
    </row>
    <row r="71">
      <c r="A71" s="20" t="inlineStr">
        <is>
          <t>0612-0003</t>
        </is>
      </c>
      <c r="B71" s="21" t="inlineStr">
        <is>
          <t>Distribuidora Lopez Moctezuma Sa de Cv</t>
        </is>
      </c>
      <c r="C71" s="21" t="inlineStr">
        <is>
          <t>Mitsubishi Xpander 2026</t>
        </is>
      </c>
      <c r="D71" s="20" t="inlineStr">
        <is>
          <t>ACTIVO</t>
        </is>
      </c>
      <c r="E71" s="22" t="n">
        <v>48</v>
      </c>
      <c r="F71" s="23" t="n">
        <v>391293.1</v>
      </c>
      <c r="G71" s="24" t="n">
        <v>0.109</v>
      </c>
      <c r="H71" s="23">
        <f>ROUND(F71*G71, 2)</f>
        <v/>
      </c>
      <c r="I71" s="23">
        <f>ROUND(F71-H71, 2)</f>
        <v/>
      </c>
      <c r="J71" s="23" t="n">
        <v>12615.84</v>
      </c>
      <c r="K71" s="24" t="n">
        <v>0.1</v>
      </c>
      <c r="L71" s="23">
        <f>ROUND(F71*K71, 2)</f>
        <v/>
      </c>
      <c r="M71" s="25" t="n">
        <v>0.0269185</v>
      </c>
      <c r="N71" s="25">
        <f>IFERROR(RATE(E71, -J71, I71, -L71), M71)</f>
        <v/>
      </c>
      <c r="O71" s="23">
        <f>IF(N71&gt;0, ROUND(PV(N71, E71, -J71, -L71), 2), I71)</f>
        <v/>
      </c>
      <c r="P71" s="23">
        <f>ROUND(O71-I71, 2)</f>
        <v/>
      </c>
      <c r="Q71" s="25">
        <f>N71*12</f>
        <v/>
      </c>
      <c r="R71" s="25">
        <f>((1+N71)^12)-1</f>
        <v/>
      </c>
      <c r="S71" s="25">
        <f>N71-M71</f>
        <v/>
      </c>
      <c r="T71" s="20">
        <f>IF(ABS(P71)&lt;0.01, "EXACTO", "REVISAR")</f>
        <v/>
      </c>
    </row>
    <row r="72">
      <c r="A72" s="26" t="inlineStr">
        <is>
          <t>0616-0002</t>
        </is>
      </c>
      <c r="B72" s="27" t="inlineStr">
        <is>
          <t>Commerce and Technology Connection Sas de Cv</t>
        </is>
      </c>
      <c r="C72" s="27" t="inlineStr">
        <is>
          <t>RAM 700 BIG HORN</t>
        </is>
      </c>
      <c r="D72" s="26" t="inlineStr">
        <is>
          <t>ACTIVO</t>
        </is>
      </c>
      <c r="E72" s="28" t="n">
        <v>36</v>
      </c>
      <c r="F72" s="29" t="n">
        <v>318879.31</v>
      </c>
      <c r="G72" s="30" t="n">
        <v>0.4</v>
      </c>
      <c r="H72" s="29">
        <f>ROUND(F72*G72, 2)</f>
        <v/>
      </c>
      <c r="I72" s="29">
        <f>ROUND(F72-H72, 2)</f>
        <v/>
      </c>
      <c r="J72" s="29" t="n">
        <v>8434.66</v>
      </c>
      <c r="K72" s="30" t="n">
        <v>0.2</v>
      </c>
      <c r="L72" s="29">
        <f>ROUND(F72*K72, 2)</f>
        <v/>
      </c>
      <c r="M72" s="31" t="n">
        <v>0.0344559</v>
      </c>
      <c r="N72" s="31">
        <f>IFERROR(RATE(E72, -J72, I72, -L72), M72)</f>
        <v/>
      </c>
      <c r="O72" s="29">
        <f>IF(N72&gt;0, ROUND(PV(N72, E72, -J72, -L72), 2), I72)</f>
        <v/>
      </c>
      <c r="P72" s="29">
        <f>ROUND(O72-I72, 2)</f>
        <v/>
      </c>
      <c r="Q72" s="31">
        <f>N72*12</f>
        <v/>
      </c>
      <c r="R72" s="31">
        <f>((1+N72)^12)-1</f>
        <v/>
      </c>
      <c r="S72" s="31">
        <f>N72-M72</f>
        <v/>
      </c>
      <c r="T72" s="26">
        <f>IF(ABS(P72)&lt;0.01, "EXACTO", "REVISAR")</f>
        <v/>
      </c>
    </row>
    <row r="73">
      <c r="A73" s="20" t="inlineStr">
        <is>
          <t>0616-0003</t>
        </is>
      </c>
      <c r="B73" s="21" t="inlineStr">
        <is>
          <t>Commerce and Technology Connection Sas de Cv</t>
        </is>
      </c>
      <c r="C73" s="21" t="inlineStr">
        <is>
          <t>FASTBACK</t>
        </is>
      </c>
      <c r="D73" s="20" t="inlineStr">
        <is>
          <t>ACTIVO</t>
        </is>
      </c>
      <c r="E73" s="22" t="n">
        <v>36</v>
      </c>
      <c r="F73" s="23" t="n">
        <v>421637.93</v>
      </c>
      <c r="G73" s="24" t="n">
        <v>0.3</v>
      </c>
      <c r="H73" s="23">
        <f>ROUND(F73*G73, 2)</f>
        <v/>
      </c>
      <c r="I73" s="23">
        <f>ROUND(F73-H73, 2)</f>
        <v/>
      </c>
      <c r="J73" s="23" t="n">
        <v>13205.53</v>
      </c>
      <c r="K73" s="24" t="n">
        <v>0.2</v>
      </c>
      <c r="L73" s="23">
        <f>ROUND(F73*K73, 2)</f>
        <v/>
      </c>
      <c r="M73" s="25" t="n">
        <v>0.03441741</v>
      </c>
      <c r="N73" s="25">
        <f>IFERROR(RATE(E73, -J73, I73, -L73), M73)</f>
        <v/>
      </c>
      <c r="O73" s="23">
        <f>IF(N73&gt;0, ROUND(PV(N73, E73, -J73, -L73), 2), I73)</f>
        <v/>
      </c>
      <c r="P73" s="23">
        <f>ROUND(O73-I73, 2)</f>
        <v/>
      </c>
      <c r="Q73" s="25">
        <f>N73*12</f>
        <v/>
      </c>
      <c r="R73" s="25">
        <f>((1+N73)^12)-1</f>
        <v/>
      </c>
      <c r="S73" s="25">
        <f>N73-M73</f>
        <v/>
      </c>
      <c r="T73" s="20">
        <f>IF(ABS(P73)&lt;0.01, "EXACTO", "REVISAR")</f>
        <v/>
      </c>
    </row>
    <row r="74">
      <c r="A74" s="26" t="inlineStr">
        <is>
          <t>0616-0004</t>
        </is>
      </c>
      <c r="B74" s="27" t="inlineStr">
        <is>
          <t>Commerce and Technology Connections Sas de Cv</t>
        </is>
      </c>
      <c r="C74" s="27" t="inlineStr">
        <is>
          <t>Argo</t>
        </is>
      </c>
      <c r="D74" s="26" t="inlineStr">
        <is>
          <t>ACTIVO</t>
        </is>
      </c>
      <c r="E74" s="28" t="n">
        <v>36</v>
      </c>
      <c r="F74" s="29" t="n">
        <v>297413.79</v>
      </c>
      <c r="G74" s="30" t="n">
        <v>0.4</v>
      </c>
      <c r="H74" s="29">
        <f>ROUND(F74*G74, 2)</f>
        <v/>
      </c>
      <c r="I74" s="29">
        <f>ROUND(F74-H74, 2)</f>
        <v/>
      </c>
      <c r="J74" s="29" t="n">
        <v>8380.450000000001</v>
      </c>
      <c r="K74" s="30" t="n">
        <v>0.1</v>
      </c>
      <c r="L74" s="29">
        <f>ROUND(F74*K74, 2)</f>
        <v/>
      </c>
      <c r="M74" s="31" t="n">
        <v>0.03507848</v>
      </c>
      <c r="N74" s="31">
        <f>IFERROR(RATE(E74, -J74, I74, -L74), M74)</f>
        <v/>
      </c>
      <c r="O74" s="29">
        <f>IF(N74&gt;0, ROUND(PV(N74, E74, -J74, -L74), 2), I74)</f>
        <v/>
      </c>
      <c r="P74" s="29">
        <f>ROUND(O74-I74, 2)</f>
        <v/>
      </c>
      <c r="Q74" s="31">
        <f>N74*12</f>
        <v/>
      </c>
      <c r="R74" s="31">
        <f>((1+N74)^12)-1</f>
        <v/>
      </c>
      <c r="S74" s="31">
        <f>N74-M74</f>
        <v/>
      </c>
      <c r="T74" s="26">
        <f>IF(ABS(P74)&lt;0.01, "EXACTO", "REVISAR")</f>
        <v/>
      </c>
    </row>
    <row r="75">
      <c r="A75" s="20" t="inlineStr">
        <is>
          <t>0616-0005</t>
        </is>
      </c>
      <c r="B75" s="21" t="inlineStr">
        <is>
          <t>Commerce and Technology Connection Sas de Cv</t>
        </is>
      </c>
      <c r="C75" s="21" t="inlineStr">
        <is>
          <t>Journey GT</t>
        </is>
      </c>
      <c r="D75" s="20" t="inlineStr">
        <is>
          <t>ACTIVO</t>
        </is>
      </c>
      <c r="E75" s="22" t="n">
        <v>36</v>
      </c>
      <c r="F75" s="23" t="n">
        <v>567155.17</v>
      </c>
      <c r="G75" s="24" t="n">
        <v>0.3</v>
      </c>
      <c r="H75" s="23">
        <f>ROUND(F75*G75, 2)</f>
        <v/>
      </c>
      <c r="I75" s="23">
        <f>ROUND(F75-H75, 2)</f>
        <v/>
      </c>
      <c r="J75" s="23" t="n">
        <v>16807.86</v>
      </c>
      <c r="K75" s="24" t="n">
        <v>0.2</v>
      </c>
      <c r="L75" s="23">
        <f>ROUND(F75*K75, 2)</f>
        <v/>
      </c>
      <c r="M75" s="25" t="n">
        <v>0.0313497</v>
      </c>
      <c r="N75" s="25">
        <f>IFERROR(RATE(E75, -J75, I75, -L75), M75)</f>
        <v/>
      </c>
      <c r="O75" s="23">
        <f>IF(N75&gt;0, ROUND(PV(N75, E75, -J75, -L75), 2), I75)</f>
        <v/>
      </c>
      <c r="P75" s="23">
        <f>ROUND(O75-I75, 2)</f>
        <v/>
      </c>
      <c r="Q75" s="25">
        <f>N75*12</f>
        <v/>
      </c>
      <c r="R75" s="25">
        <f>((1+N75)^12)-1</f>
        <v/>
      </c>
      <c r="S75" s="25">
        <f>N75-M75</f>
        <v/>
      </c>
      <c r="T75" s="20">
        <f>IF(ABS(P75)&lt;0.01, "EXACTO", "REVISAR")</f>
        <v/>
      </c>
    </row>
    <row r="76">
      <c r="A76" s="26" t="inlineStr">
        <is>
          <t>0618-0001</t>
        </is>
      </c>
      <c r="B76" s="27" t="inlineStr">
        <is>
          <t>Juan Pablo Rodriguez Garcia</t>
        </is>
      </c>
      <c r="C76" s="27" t="inlineStr">
        <is>
          <t>JT MOJAVE</t>
        </is>
      </c>
      <c r="D76" s="26" t="inlineStr">
        <is>
          <t>ACTIVO</t>
        </is>
      </c>
      <c r="E76" s="28" t="n">
        <v>48</v>
      </c>
      <c r="F76" s="29" t="n">
        <v>1265431.03</v>
      </c>
      <c r="G76" s="30" t="n">
        <v>0.1</v>
      </c>
      <c r="H76" s="29">
        <f>ROUND(F76*G76, 2)</f>
        <v/>
      </c>
      <c r="I76" s="29">
        <f>ROUND(F76-H76, 2)</f>
        <v/>
      </c>
      <c r="J76" s="29" t="n">
        <v>44136.62</v>
      </c>
      <c r="K76" s="30" t="n">
        <v>0.2</v>
      </c>
      <c r="L76" s="29">
        <f>ROUND(F76*K76, 2)</f>
        <v/>
      </c>
      <c r="M76" s="31" t="n">
        <v>0.03164265</v>
      </c>
      <c r="N76" s="31">
        <f>IFERROR(RATE(E76, -J76, I76, -L76), M76)</f>
        <v/>
      </c>
      <c r="O76" s="29">
        <f>IF(N76&gt;0, ROUND(PV(N76, E76, -J76, -L76), 2), I76)</f>
        <v/>
      </c>
      <c r="P76" s="29">
        <f>ROUND(O76-I76, 2)</f>
        <v/>
      </c>
      <c r="Q76" s="31">
        <f>N76*12</f>
        <v/>
      </c>
      <c r="R76" s="31">
        <f>((1+N76)^12)-1</f>
        <v/>
      </c>
      <c r="S76" s="31">
        <f>N76-M76</f>
        <v/>
      </c>
      <c r="T76" s="26">
        <f>IF(ABS(P76)&lt;0.01, "EXACTO", "REVISAR")</f>
        <v/>
      </c>
    </row>
    <row r="77">
      <c r="A77" s="20" t="inlineStr">
        <is>
          <t>0619-0002</t>
        </is>
      </c>
      <c r="B77" s="21" t="inlineStr">
        <is>
          <t>Horacio de la Vega Flores</t>
        </is>
      </c>
      <c r="C77" s="21" t="inlineStr">
        <is>
          <t>Bronco Sport</t>
        </is>
      </c>
      <c r="D77" s="20" t="inlineStr">
        <is>
          <t>ACTIVO</t>
        </is>
      </c>
      <c r="E77" s="22" t="n">
        <v>36</v>
      </c>
      <c r="F77" s="23" t="n">
        <v>672413.79</v>
      </c>
      <c r="G77" s="24" t="n">
        <v>0.3</v>
      </c>
      <c r="H77" s="23">
        <f>ROUND(F77*G77, 2)</f>
        <v/>
      </c>
      <c r="I77" s="23">
        <f>ROUND(F77-H77, 2)</f>
        <v/>
      </c>
      <c r="J77" s="23" t="n">
        <v>16666.91</v>
      </c>
      <c r="K77" s="24" t="n">
        <v>0.1</v>
      </c>
      <c r="L77" s="23">
        <f>ROUND(F77*K77, 2)</f>
        <v/>
      </c>
      <c r="M77" s="25" t="n">
        <v>0.01841604</v>
      </c>
      <c r="N77" s="25">
        <f>IFERROR(RATE(E77, -J77, I77, -L77), M77)</f>
        <v/>
      </c>
      <c r="O77" s="23">
        <f>IF(N77&gt;0, ROUND(PV(N77, E77, -J77, -L77), 2), I77)</f>
        <v/>
      </c>
      <c r="P77" s="23">
        <f>ROUND(O77-I77, 2)</f>
        <v/>
      </c>
      <c r="Q77" s="25">
        <f>N77*12</f>
        <v/>
      </c>
      <c r="R77" s="25">
        <f>((1+N77)^12)-1</f>
        <v/>
      </c>
      <c r="S77" s="25">
        <f>N77-M77</f>
        <v/>
      </c>
      <c r="T77" s="20">
        <f>IF(ABS(P77)&lt;0.01, "EXACTO", "REVISAR")</f>
        <v/>
      </c>
    </row>
    <row r="78">
      <c r="A78" s="26" t="inlineStr">
        <is>
          <t>0620-0001</t>
        </is>
      </c>
      <c r="B78" s="27" t="inlineStr">
        <is>
          <t>Desarrollos Romo Srl de Cv</t>
        </is>
      </c>
      <c r="C78" s="27" t="inlineStr">
        <is>
          <t>RAM 700 BIG HORN</t>
        </is>
      </c>
      <c r="D78" s="26" t="inlineStr">
        <is>
          <t>ACTIVO</t>
        </is>
      </c>
      <c r="E78" s="28" t="n">
        <v>48</v>
      </c>
      <c r="F78" s="29" t="n">
        <v>310258.62</v>
      </c>
      <c r="G78" s="30" t="n">
        <v>0.1</v>
      </c>
      <c r="H78" s="29">
        <f>ROUND(F78*G78, 2)</f>
        <v/>
      </c>
      <c r="I78" s="29">
        <f>ROUND(F78-H78, 2)</f>
        <v/>
      </c>
      <c r="J78" s="29" t="n">
        <v>11517.34</v>
      </c>
      <c r="K78" s="30" t="n">
        <v>0.2</v>
      </c>
      <c r="L78" s="29">
        <f>ROUND(F78*K78, 2)</f>
        <v/>
      </c>
      <c r="M78" s="31" t="n">
        <v>0.03473661</v>
      </c>
      <c r="N78" s="31">
        <f>IFERROR(RATE(E78, -J78, I78, -L78), M78)</f>
        <v/>
      </c>
      <c r="O78" s="29">
        <f>IF(N78&gt;0, ROUND(PV(N78, E78, -J78, -L78), 2), I78)</f>
        <v/>
      </c>
      <c r="P78" s="29">
        <f>ROUND(O78-I78, 2)</f>
        <v/>
      </c>
      <c r="Q78" s="31">
        <f>N78*12</f>
        <v/>
      </c>
      <c r="R78" s="31">
        <f>((1+N78)^12)-1</f>
        <v/>
      </c>
      <c r="S78" s="31">
        <f>N78-M78</f>
        <v/>
      </c>
      <c r="T78" s="26">
        <f>IF(ABS(P78)&lt;0.01, "EXACTO", "REVISAR")</f>
        <v/>
      </c>
    </row>
    <row r="79">
      <c r="A79" s="20" t="inlineStr">
        <is>
          <t>0620-0002</t>
        </is>
      </c>
      <c r="B79" s="21" t="inlineStr">
        <is>
          <t>Desarrollos Romo Srl de Cv</t>
        </is>
      </c>
      <c r="C79" s="21" t="inlineStr">
        <is>
          <t>RAM 700 BIG HORN</t>
        </is>
      </c>
      <c r="D79" s="20" t="inlineStr">
        <is>
          <t>ACTIVO</t>
        </is>
      </c>
      <c r="E79" s="22" t="n">
        <v>48</v>
      </c>
      <c r="F79" s="23" t="n">
        <v>310258.62</v>
      </c>
      <c r="G79" s="24" t="n">
        <v>0.1</v>
      </c>
      <c r="H79" s="23">
        <f>ROUND(F79*G79, 2)</f>
        <v/>
      </c>
      <c r="I79" s="23">
        <f>ROUND(F79-H79, 2)</f>
        <v/>
      </c>
      <c r="J79" s="23" t="n">
        <v>11517.34</v>
      </c>
      <c r="K79" s="24" t="n">
        <v>0.2</v>
      </c>
      <c r="L79" s="23">
        <f>ROUND(F79*K79, 2)</f>
        <v/>
      </c>
      <c r="M79" s="25" t="n">
        <v>0.03473661</v>
      </c>
      <c r="N79" s="25">
        <f>IFERROR(RATE(E79, -J79, I79, -L79), M79)</f>
        <v/>
      </c>
      <c r="O79" s="23">
        <f>IF(N79&gt;0, ROUND(PV(N79, E79, -J79, -L79), 2), I79)</f>
        <v/>
      </c>
      <c r="P79" s="23">
        <f>ROUND(O79-I79, 2)</f>
        <v/>
      </c>
      <c r="Q79" s="25">
        <f>N79*12</f>
        <v/>
      </c>
      <c r="R79" s="25">
        <f>((1+N79)^12)-1</f>
        <v/>
      </c>
      <c r="S79" s="25">
        <f>N79-M79</f>
        <v/>
      </c>
      <c r="T79" s="20">
        <f>IF(ABS(P79)&lt;0.01, "EXACTO", "REVISAR")</f>
        <v/>
      </c>
    </row>
    <row r="80">
      <c r="A80" s="26" t="inlineStr">
        <is>
          <t>0621-0008</t>
        </is>
      </c>
      <c r="B80" s="27" t="inlineStr">
        <is>
          <t>Luis Alberto Ponce Ruiz</t>
        </is>
      </c>
      <c r="C80" s="27" t="inlineStr">
        <is>
          <t>Hilux</t>
        </is>
      </c>
      <c r="D80" s="26" t="inlineStr">
        <is>
          <t>ACTIVO</t>
        </is>
      </c>
      <c r="E80" s="28" t="n">
        <v>12</v>
      </c>
      <c r="F80" s="29" t="n">
        <v>427931.03</v>
      </c>
      <c r="G80" s="30" t="n">
        <v>0.4</v>
      </c>
      <c r="H80" s="29">
        <f>ROUND(F80*G80, 2)</f>
        <v/>
      </c>
      <c r="I80" s="29">
        <f>ROUND(F80-H80, 2)</f>
        <v/>
      </c>
      <c r="J80" s="29" t="n">
        <v>21790.94</v>
      </c>
      <c r="K80" s="30" t="n">
        <v>0.1</v>
      </c>
      <c r="L80" s="29">
        <f>ROUND(F80*K80, 2)</f>
        <v/>
      </c>
      <c r="M80" s="31" t="n">
        <v>0.02418442</v>
      </c>
      <c r="N80" s="31">
        <f>IFERROR(RATE(E80, -J80, I80, -L80), M80)</f>
        <v/>
      </c>
      <c r="O80" s="29">
        <f>IF(N80&gt;0, ROUND(PV(N80, E80, -J80, -L80), 2), I80)</f>
        <v/>
      </c>
      <c r="P80" s="29">
        <f>ROUND(O80-I80, 2)</f>
        <v/>
      </c>
      <c r="Q80" s="31">
        <f>N80*12</f>
        <v/>
      </c>
      <c r="R80" s="31">
        <f>((1+N80)^12)-1</f>
        <v/>
      </c>
      <c r="S80" s="31">
        <f>N80-M80</f>
        <v/>
      </c>
      <c r="T80" s="26">
        <f>IF(ABS(P80)&lt;0.01, "EXACTO", "REVISAR")</f>
        <v/>
      </c>
    </row>
    <row r="81">
      <c r="A81" s="20" t="inlineStr">
        <is>
          <t>0623-0001</t>
        </is>
      </c>
      <c r="B81" s="21" t="inlineStr">
        <is>
          <t>Seguridad y Automatismos Profesionales de Occidente S de SRL de Cv</t>
        </is>
      </c>
      <c r="C81" s="21" t="inlineStr">
        <is>
          <t>RAM 700 BIG HORN</t>
        </is>
      </c>
      <c r="D81" s="20" t="inlineStr">
        <is>
          <t>ACTIVO</t>
        </is>
      </c>
      <c r="E81" s="22" t="n">
        <v>48</v>
      </c>
      <c r="F81" s="23" t="n">
        <v>314568.97</v>
      </c>
      <c r="G81" s="24" t="n">
        <v>0.1</v>
      </c>
      <c r="H81" s="23">
        <f>ROUND(F81*G81, 2)</f>
        <v/>
      </c>
      <c r="I81" s="23">
        <f>ROUND(F81-H81, 2)</f>
        <v/>
      </c>
      <c r="J81" s="23" t="n">
        <v>11147.27</v>
      </c>
      <c r="K81" s="24" t="n">
        <v>0.2</v>
      </c>
      <c r="L81" s="23">
        <f>ROUND(F81*K81, 2)</f>
        <v/>
      </c>
      <c r="M81" s="25" t="n">
        <v>0.03241746</v>
      </c>
      <c r="N81" s="25">
        <f>IFERROR(RATE(E81, -J81, I81, -L81), M81)</f>
        <v/>
      </c>
      <c r="O81" s="23">
        <f>IF(N81&gt;0, ROUND(PV(N81, E81, -J81, -L81), 2), I81)</f>
        <v/>
      </c>
      <c r="P81" s="23">
        <f>ROUND(O81-I81, 2)</f>
        <v/>
      </c>
      <c r="Q81" s="25">
        <f>N81*12</f>
        <v/>
      </c>
      <c r="R81" s="25">
        <f>((1+N81)^12)-1</f>
        <v/>
      </c>
      <c r="S81" s="25">
        <f>N81-M81</f>
        <v/>
      </c>
      <c r="T81" s="20">
        <f>IF(ABS(P81)&lt;0.01, "EXACTO", "REVISAR")</f>
        <v/>
      </c>
    </row>
    <row r="82">
      <c r="A82" s="26" t="inlineStr">
        <is>
          <t>0626-0001</t>
        </is>
      </c>
      <c r="B82" s="27" t="inlineStr">
        <is>
          <t>Hugo Ceja Moreno</t>
        </is>
      </c>
      <c r="C82" s="27" t="inlineStr">
        <is>
          <t>JT MOJAVE</t>
        </is>
      </c>
      <c r="D82" s="26" t="inlineStr">
        <is>
          <t>ACTIVO</t>
        </is>
      </c>
      <c r="E82" s="28" t="n">
        <v>48</v>
      </c>
      <c r="F82" s="29" t="n">
        <v>993017.24</v>
      </c>
      <c r="G82" s="30" t="n">
        <v>0.4</v>
      </c>
      <c r="H82" s="29">
        <f>ROUND(F82*G82, 2)</f>
        <v/>
      </c>
      <c r="I82" s="29">
        <f>ROUND(F82-H82, 2)</f>
        <v/>
      </c>
      <c r="J82" s="29" t="n">
        <v>23741.09</v>
      </c>
      <c r="K82" s="30" t="n">
        <v>0.1</v>
      </c>
      <c r="L82" s="29">
        <f>ROUND(F82*K82, 2)</f>
        <v/>
      </c>
      <c r="M82" s="31" t="n">
        <v>0.03238669</v>
      </c>
      <c r="N82" s="31">
        <f>IFERROR(RATE(E82, -J82, I82, -L82), M82)</f>
        <v/>
      </c>
      <c r="O82" s="29">
        <f>IF(N82&gt;0, ROUND(PV(N82, E82, -J82, -L82), 2), I82)</f>
        <v/>
      </c>
      <c r="P82" s="29">
        <f>ROUND(O82-I82, 2)</f>
        <v/>
      </c>
      <c r="Q82" s="31">
        <f>N82*12</f>
        <v/>
      </c>
      <c r="R82" s="31">
        <f>((1+N82)^12)-1</f>
        <v/>
      </c>
      <c r="S82" s="31">
        <f>N82-M82</f>
        <v/>
      </c>
      <c r="T82" s="26">
        <f>IF(ABS(P82)&lt;0.01, "EXACTO", "REVISAR")</f>
        <v/>
      </c>
    </row>
    <row r="83">
      <c r="A83" s="20" t="inlineStr">
        <is>
          <t>0632-0004</t>
        </is>
      </c>
      <c r="B83" s="21" t="inlineStr">
        <is>
          <t>Art &amp; Sourcing Sa de Cv</t>
        </is>
      </c>
      <c r="C83" s="21" t="inlineStr">
        <is>
          <t>Ram 700 Tradesman</t>
        </is>
      </c>
      <c r="D83" s="20" t="inlineStr">
        <is>
          <t>ACTIVO</t>
        </is>
      </c>
      <c r="E83" s="22" t="n">
        <v>48</v>
      </c>
      <c r="F83" s="23" t="n">
        <v>318017.24</v>
      </c>
      <c r="G83" s="24" t="n">
        <v>0.1</v>
      </c>
      <c r="H83" s="23">
        <f>ROUND(F83*G83, 2)</f>
        <v/>
      </c>
      <c r="I83" s="23">
        <f>ROUND(F83-H83, 2)</f>
        <v/>
      </c>
      <c r="J83" s="23" t="n">
        <v>10526.27</v>
      </c>
      <c r="K83" s="24" t="n">
        <v>0.1</v>
      </c>
      <c r="L83" s="23">
        <f>ROUND(F83*K83, 2)</f>
        <v/>
      </c>
      <c r="M83" s="25" t="n">
        <v>0.02769703</v>
      </c>
      <c r="N83" s="25">
        <f>IFERROR(RATE(E83, -J83, I83, -L83), M83)</f>
        <v/>
      </c>
      <c r="O83" s="23">
        <f>IF(N83&gt;0, ROUND(PV(N83, E83, -J83, -L83), 2), I83)</f>
        <v/>
      </c>
      <c r="P83" s="23">
        <f>ROUND(O83-I83, 2)</f>
        <v/>
      </c>
      <c r="Q83" s="25">
        <f>N83*12</f>
        <v/>
      </c>
      <c r="R83" s="25">
        <f>((1+N83)^12)-1</f>
        <v/>
      </c>
      <c r="S83" s="25">
        <f>N83-M83</f>
        <v/>
      </c>
      <c r="T83" s="20">
        <f>IF(ABS(P83)&lt;0.01, "EXACTO", "REVISAR")</f>
        <v/>
      </c>
    </row>
    <row r="84">
      <c r="A84" s="26" t="inlineStr">
        <is>
          <t>0632-0005</t>
        </is>
      </c>
      <c r="B84" s="27" t="inlineStr">
        <is>
          <t>Art &amp; Sourcing Sa de Cv</t>
        </is>
      </c>
      <c r="C84" s="27" t="inlineStr">
        <is>
          <t>Ram 700</t>
        </is>
      </c>
      <c r="D84" s="26" t="inlineStr">
        <is>
          <t>ACTIVO</t>
        </is>
      </c>
      <c r="E84" s="28" t="n">
        <v>24</v>
      </c>
      <c r="F84" s="29" t="n">
        <v>305948.28</v>
      </c>
      <c r="G84" s="30" t="n">
        <v>0.2</v>
      </c>
      <c r="H84" s="29">
        <f>ROUND(F84*G84, 2)</f>
        <v/>
      </c>
      <c r="I84" s="29">
        <f>ROUND(F84-H84, 2)</f>
        <v/>
      </c>
      <c r="J84" s="29" t="n">
        <v>11988.22</v>
      </c>
      <c r="K84" s="30" t="n">
        <v>0.2</v>
      </c>
      <c r="L84" s="29">
        <f>ROUND(F84*K84, 2)</f>
        <v/>
      </c>
      <c r="M84" s="31" t="n">
        <v>0.02611235</v>
      </c>
      <c r="N84" s="31">
        <f>IFERROR(RATE(E84, -J84, I84, -L84), M84)</f>
        <v/>
      </c>
      <c r="O84" s="29">
        <f>IF(N84&gt;0, ROUND(PV(N84, E84, -J84, -L84), 2), I84)</f>
        <v/>
      </c>
      <c r="P84" s="29">
        <f>ROUND(O84-I84, 2)</f>
        <v/>
      </c>
      <c r="Q84" s="31">
        <f>N84*12</f>
        <v/>
      </c>
      <c r="R84" s="31">
        <f>((1+N84)^12)-1</f>
        <v/>
      </c>
      <c r="S84" s="31">
        <f>N84-M84</f>
        <v/>
      </c>
      <c r="T84" s="26">
        <f>IF(ABS(P84)&lt;0.01, "EXACTO", "REVISAR")</f>
        <v/>
      </c>
    </row>
    <row r="85">
      <c r="A85" s="20" t="inlineStr">
        <is>
          <t>0632-0006</t>
        </is>
      </c>
      <c r="B85" s="21" t="inlineStr">
        <is>
          <t>Art &amp; Sourcing Sa de Cv</t>
        </is>
      </c>
      <c r="C85" s="21" t="inlineStr">
        <is>
          <t>Mirage</t>
        </is>
      </c>
      <c r="D85" s="20" t="inlineStr">
        <is>
          <t>ACTIVO</t>
        </is>
      </c>
      <c r="E85" s="22" t="n">
        <v>24</v>
      </c>
      <c r="F85" s="23" t="n">
        <v>258191.38</v>
      </c>
      <c r="G85" s="24" t="n">
        <v>0.2</v>
      </c>
      <c r="H85" s="23">
        <f>ROUND(F85*G85, 2)</f>
        <v/>
      </c>
      <c r="I85" s="23">
        <f>ROUND(F85-H85, 2)</f>
        <v/>
      </c>
      <c r="J85" s="23" t="n">
        <v>10107.86</v>
      </c>
      <c r="K85" s="24" t="n">
        <v>0.2</v>
      </c>
      <c r="L85" s="23">
        <f>ROUND(F85*K85, 2)</f>
        <v/>
      </c>
      <c r="M85" s="25" t="n">
        <v>0.02605114</v>
      </c>
      <c r="N85" s="25">
        <f>IFERROR(RATE(E85, -J85, I85, -L85), M85)</f>
        <v/>
      </c>
      <c r="O85" s="23">
        <f>IF(N85&gt;0, ROUND(PV(N85, E85, -J85, -L85), 2), I85)</f>
        <v/>
      </c>
      <c r="P85" s="23">
        <f>ROUND(O85-I85, 2)</f>
        <v/>
      </c>
      <c r="Q85" s="25">
        <f>N85*12</f>
        <v/>
      </c>
      <c r="R85" s="25">
        <f>((1+N85)^12)-1</f>
        <v/>
      </c>
      <c r="S85" s="25">
        <f>N85-M85</f>
        <v/>
      </c>
      <c r="T85" s="20">
        <f>IF(ABS(P85)&lt;0.01, "EXACTO", "REVISAR")</f>
        <v/>
      </c>
    </row>
    <row r="86">
      <c r="A86" s="26" t="inlineStr">
        <is>
          <t>0632-0007</t>
        </is>
      </c>
      <c r="B86" s="27" t="inlineStr">
        <is>
          <t>Art &amp; Sourcing Sa de Cv</t>
        </is>
      </c>
      <c r="C86" s="27" t="inlineStr">
        <is>
          <t>JAC Camión X350 2026</t>
        </is>
      </c>
      <c r="D86" s="26" t="inlineStr">
        <is>
          <t>ACTIVO</t>
        </is>
      </c>
      <c r="E86" s="28" t="n">
        <v>24</v>
      </c>
      <c r="F86" s="29" t="n">
        <v>521551.72</v>
      </c>
      <c r="G86" s="30" t="n">
        <v>0.2</v>
      </c>
      <c r="H86" s="29">
        <f>ROUND(F86*G86, 2)</f>
        <v/>
      </c>
      <c r="I86" s="29">
        <f>ROUND(F86-H86, 2)</f>
        <v/>
      </c>
      <c r="J86" s="29" t="n">
        <v>20422.69</v>
      </c>
      <c r="K86" s="30" t="n">
        <v>0.2</v>
      </c>
      <c r="L86" s="29">
        <f>ROUND(F86*K86, 2)</f>
        <v/>
      </c>
      <c r="M86" s="31" t="n">
        <v>0.02606655</v>
      </c>
      <c r="N86" s="31">
        <f>IFERROR(RATE(E86, -J86, I86, -L86), M86)</f>
        <v/>
      </c>
      <c r="O86" s="29">
        <f>IF(N86&gt;0, ROUND(PV(N86, E86, -J86, -L86), 2), I86)</f>
        <v/>
      </c>
      <c r="P86" s="29">
        <f>ROUND(O86-I86, 2)</f>
        <v/>
      </c>
      <c r="Q86" s="31">
        <f>N86*12</f>
        <v/>
      </c>
      <c r="R86" s="31">
        <f>((1+N86)^12)-1</f>
        <v/>
      </c>
      <c r="S86" s="31">
        <f>N86-M86</f>
        <v/>
      </c>
      <c r="T86" s="26">
        <f>IF(ABS(P86)&lt;0.01, "EXACTO", "REVISAR")</f>
        <v/>
      </c>
    </row>
    <row r="87">
      <c r="A87" s="20" t="inlineStr">
        <is>
          <t>0634-0001</t>
        </is>
      </c>
      <c r="B87" s="21" t="inlineStr">
        <is>
          <t>Jose de Jesus Vergara Rivera</t>
        </is>
      </c>
      <c r="C87" s="21" t="inlineStr">
        <is>
          <t>NP 300 Chasis Cabina TDI</t>
        </is>
      </c>
      <c r="D87" s="20" t="inlineStr">
        <is>
          <t>ACTIVO</t>
        </is>
      </c>
      <c r="E87" s="22" t="n">
        <v>48</v>
      </c>
      <c r="F87" s="23" t="n">
        <v>383534.48</v>
      </c>
      <c r="G87" s="24" t="n">
        <v>0.2</v>
      </c>
      <c r="H87" s="23">
        <f>ROUND(F87*G87, 2)</f>
        <v/>
      </c>
      <c r="I87" s="23">
        <f>ROUND(F87-H87, 2)</f>
        <v/>
      </c>
      <c r="J87" s="23" t="n">
        <v>11816.58</v>
      </c>
      <c r="K87" s="24" t="n">
        <v>0.2</v>
      </c>
      <c r="L87" s="23">
        <f>ROUND(F87*K87, 2)</f>
        <v/>
      </c>
      <c r="M87" s="25" t="n">
        <v>0.03165747</v>
      </c>
      <c r="N87" s="25">
        <f>IFERROR(RATE(E87, -J87, I87, -L87), M87)</f>
        <v/>
      </c>
      <c r="O87" s="23">
        <f>IF(N87&gt;0, ROUND(PV(N87, E87, -J87, -L87), 2), I87)</f>
        <v/>
      </c>
      <c r="P87" s="23">
        <f>ROUND(O87-I87, 2)</f>
        <v/>
      </c>
      <c r="Q87" s="25">
        <f>N87*12</f>
        <v/>
      </c>
      <c r="R87" s="25">
        <f>((1+N87)^12)-1</f>
        <v/>
      </c>
      <c r="S87" s="25">
        <f>N87-M87</f>
        <v/>
      </c>
      <c r="T87" s="20">
        <f>IF(ABS(P87)&lt;0.01, "EXACTO", "REVISAR")</f>
        <v/>
      </c>
    </row>
    <row r="88">
      <c r="A88" s="26" t="inlineStr">
        <is>
          <t>0634-0002</t>
        </is>
      </c>
      <c r="B88" s="27" t="inlineStr">
        <is>
          <t>Jose de Jesus Vergara Rivera</t>
        </is>
      </c>
      <c r="C88" s="27" t="inlineStr">
        <is>
          <t>700 Tradesman</t>
        </is>
      </c>
      <c r="D88" s="26" t="inlineStr">
        <is>
          <t>ACTIVO</t>
        </is>
      </c>
      <c r="E88" s="28" t="n">
        <v>48</v>
      </c>
      <c r="F88" s="29" t="n">
        <v>331810.34</v>
      </c>
      <c r="G88" s="30" t="n">
        <v>0.1</v>
      </c>
      <c r="H88" s="29">
        <f>ROUND(F88*G88, 2)</f>
        <v/>
      </c>
      <c r="I88" s="29">
        <f>ROUND(F88-H88, 2)</f>
        <v/>
      </c>
      <c r="J88" s="29" t="n">
        <v>10797.91</v>
      </c>
      <c r="K88" s="30" t="n">
        <v>0.2</v>
      </c>
      <c r="L88" s="29">
        <f>ROUND(F88*K88, 2)</f>
        <v/>
      </c>
      <c r="M88" s="31" t="n">
        <v>0.0283579</v>
      </c>
      <c r="N88" s="31">
        <f>IFERROR(RATE(E88, -J88, I88, -L88), M88)</f>
        <v/>
      </c>
      <c r="O88" s="29">
        <f>IF(N88&gt;0, ROUND(PV(N88, E88, -J88, -L88), 2), I88)</f>
        <v/>
      </c>
      <c r="P88" s="29">
        <f>ROUND(O88-I88, 2)</f>
        <v/>
      </c>
      <c r="Q88" s="31">
        <f>N88*12</f>
        <v/>
      </c>
      <c r="R88" s="31">
        <f>((1+N88)^12)-1</f>
        <v/>
      </c>
      <c r="S88" s="31">
        <f>N88-M88</f>
        <v/>
      </c>
      <c r="T88" s="26">
        <f>IF(ABS(P88)&lt;0.01, "EXACTO", "REVISAR")</f>
        <v/>
      </c>
    </row>
    <row r="89">
      <c r="A89" s="20" t="inlineStr">
        <is>
          <t>0635-0003</t>
        </is>
      </c>
      <c r="B89" s="21" t="inlineStr">
        <is>
          <t>Ankara Food Services Sa de CV</t>
        </is>
      </c>
      <c r="C89" s="21" t="inlineStr">
        <is>
          <t>Glc 350 E</t>
        </is>
      </c>
      <c r="D89" s="20" t="inlineStr">
        <is>
          <t>ACTIVO</t>
        </is>
      </c>
      <c r="E89" s="22" t="n">
        <v>36</v>
      </c>
      <c r="F89" s="23" t="n">
        <v>1382896.55</v>
      </c>
      <c r="G89" s="24" t="n">
        <v>0.1489</v>
      </c>
      <c r="H89" s="23">
        <f>ROUND(F89*G89, 2)</f>
        <v/>
      </c>
      <c r="I89" s="23">
        <f>ROUND(F89-H89, 2)</f>
        <v/>
      </c>
      <c r="J89" s="23" t="n">
        <v>49697.64</v>
      </c>
      <c r="K89" s="24" t="n">
        <v>1</v>
      </c>
      <c r="L89" s="23">
        <f>ROUND(F89*K89, 2)</f>
        <v/>
      </c>
      <c r="M89" s="25" t="n">
        <v>0.02496682</v>
      </c>
      <c r="N89" s="25">
        <f>IFERROR(RATE(E89, -J89, I89, -L89), M89)</f>
        <v/>
      </c>
      <c r="O89" s="23">
        <f>IF(N89&gt;0, ROUND(PV(N89, E89, -J89, -L89), 2), I89)</f>
        <v/>
      </c>
      <c r="P89" s="23">
        <f>ROUND(O89-I89, 2)</f>
        <v/>
      </c>
      <c r="Q89" s="25">
        <f>N89*12</f>
        <v/>
      </c>
      <c r="R89" s="25">
        <f>((1+N89)^12)-1</f>
        <v/>
      </c>
      <c r="S89" s="25">
        <f>N89-M89</f>
        <v/>
      </c>
      <c r="T89" s="20">
        <f>IF(ABS(P89)&lt;0.01, "EXACTO", "REVISAR")</f>
        <v/>
      </c>
    </row>
    <row r="90">
      <c r="A90" s="26" t="inlineStr">
        <is>
          <t>0635-0004</t>
        </is>
      </c>
      <c r="B90" s="27" t="inlineStr">
        <is>
          <t>Ankara Food Services Sa de CV</t>
        </is>
      </c>
      <c r="C90" s="27" t="inlineStr">
        <is>
          <t>Partner</t>
        </is>
      </c>
      <c r="D90" s="26" t="inlineStr">
        <is>
          <t>ACTIVO</t>
        </is>
      </c>
      <c r="E90" s="28" t="n">
        <v>36</v>
      </c>
      <c r="F90" s="29" t="n">
        <v>343879.31</v>
      </c>
      <c r="G90" s="30" t="n">
        <v>0.1489</v>
      </c>
      <c r="H90" s="29">
        <f>ROUND(F90*G90, 2)</f>
        <v/>
      </c>
      <c r="I90" s="29">
        <f>ROUND(F90-H90, 2)</f>
        <v/>
      </c>
      <c r="J90" s="29" t="n">
        <v>12358.11</v>
      </c>
      <c r="K90" s="30" t="n">
        <v>1</v>
      </c>
      <c r="L90" s="29">
        <f>ROUND(F90*K90, 2)</f>
        <v/>
      </c>
      <c r="M90" s="31" t="n">
        <v>0.02496683</v>
      </c>
      <c r="N90" s="31">
        <f>IFERROR(RATE(E90, -J90, I90, -L90), M90)</f>
        <v/>
      </c>
      <c r="O90" s="29">
        <f>IF(N90&gt;0, ROUND(PV(N90, E90, -J90, -L90), 2), I90)</f>
        <v/>
      </c>
      <c r="P90" s="29">
        <f>ROUND(O90-I90, 2)</f>
        <v/>
      </c>
      <c r="Q90" s="31">
        <f>N90*12</f>
        <v/>
      </c>
      <c r="R90" s="31">
        <f>((1+N90)^12)-1</f>
        <v/>
      </c>
      <c r="S90" s="31">
        <f>N90-M90</f>
        <v/>
      </c>
      <c r="T90" s="26">
        <f>IF(ABS(P90)&lt;0.01, "EXACTO", "REVISAR")</f>
        <v/>
      </c>
    </row>
    <row r="91">
      <c r="A91" s="20" t="inlineStr">
        <is>
          <t>0635-0005</t>
        </is>
      </c>
      <c r="B91" s="21" t="inlineStr">
        <is>
          <t>Ankara Food Services Sa de CV</t>
        </is>
      </c>
      <c r="C91" s="21" t="inlineStr">
        <is>
          <t>Manager</t>
        </is>
      </c>
      <c r="D91" s="20" t="inlineStr">
        <is>
          <t>ACTIVO</t>
        </is>
      </c>
      <c r="E91" s="22" t="n">
        <v>36</v>
      </c>
      <c r="F91" s="23" t="n">
        <v>531810.34</v>
      </c>
      <c r="G91" s="24" t="n">
        <v>0.1489</v>
      </c>
      <c r="H91" s="23">
        <f>ROUND(F91*G91, 2)</f>
        <v/>
      </c>
      <c r="I91" s="23">
        <f>ROUND(F91-H91, 2)</f>
        <v/>
      </c>
      <c r="J91" s="23" t="n">
        <v>19111.85</v>
      </c>
      <c r="K91" s="24" t="n">
        <v>1</v>
      </c>
      <c r="L91" s="23">
        <f>ROUND(F91*K91, 2)</f>
        <v/>
      </c>
      <c r="M91" s="25" t="n">
        <v>0.02496682</v>
      </c>
      <c r="N91" s="25">
        <f>IFERROR(RATE(E91, -J91, I91, -L91), M91)</f>
        <v/>
      </c>
      <c r="O91" s="23">
        <f>IF(N91&gt;0, ROUND(PV(N91, E91, -J91, -L91), 2), I91)</f>
        <v/>
      </c>
      <c r="P91" s="23">
        <f>ROUND(O91-I91, 2)</f>
        <v/>
      </c>
      <c r="Q91" s="25">
        <f>N91*12</f>
        <v/>
      </c>
      <c r="R91" s="25">
        <f>((1+N91)^12)-1</f>
        <v/>
      </c>
      <c r="S91" s="25">
        <f>N91-M91</f>
        <v/>
      </c>
      <c r="T91" s="20">
        <f>IF(ABS(P91)&lt;0.01, "EXACTO", "REVISAR")</f>
        <v/>
      </c>
    </row>
    <row r="92">
      <c r="A92" s="26" t="inlineStr">
        <is>
          <t>0635-0006</t>
        </is>
      </c>
      <c r="B92" s="27" t="inlineStr">
        <is>
          <t>Ankara Food Services Sa de CV</t>
        </is>
      </c>
      <c r="C92" s="27" t="inlineStr">
        <is>
          <t>Mobi</t>
        </is>
      </c>
      <c r="D92" s="26" t="inlineStr">
        <is>
          <t>ACTIVO</t>
        </is>
      </c>
      <c r="E92" s="28" t="n">
        <v>24</v>
      </c>
      <c r="F92" s="29" t="n">
        <v>212931.03</v>
      </c>
      <c r="G92" s="30" t="n">
        <v>0.3</v>
      </c>
      <c r="H92" s="29">
        <f>ROUND(F92*G92, 2)</f>
        <v/>
      </c>
      <c r="I92" s="29">
        <f>ROUND(F92-H92, 2)</f>
        <v/>
      </c>
      <c r="J92" s="29" t="n">
        <v>8203.17</v>
      </c>
      <c r="K92" s="30" t="n">
        <v>1</v>
      </c>
      <c r="L92" s="29">
        <f>ROUND(F92*K92, 2)</f>
        <v/>
      </c>
      <c r="M92" s="31" t="n">
        <v>0.02429975</v>
      </c>
      <c r="N92" s="31">
        <f>IFERROR(RATE(E92, -J92, I92, -L92), M92)</f>
        <v/>
      </c>
      <c r="O92" s="29">
        <f>IF(N92&gt;0, ROUND(PV(N92, E92, -J92, -L92), 2), I92)</f>
        <v/>
      </c>
      <c r="P92" s="29">
        <f>ROUND(O92-I92, 2)</f>
        <v/>
      </c>
      <c r="Q92" s="31">
        <f>N92*12</f>
        <v/>
      </c>
      <c r="R92" s="31">
        <f>((1+N92)^12)-1</f>
        <v/>
      </c>
      <c r="S92" s="31">
        <f>N92-M92</f>
        <v/>
      </c>
      <c r="T92" s="26">
        <f>IF(ABS(P92)&lt;0.01, "EXACTO", "REVISAR")</f>
        <v/>
      </c>
    </row>
    <row r="93">
      <c r="A93" s="20" t="inlineStr">
        <is>
          <t>0635-0007</t>
        </is>
      </c>
      <c r="B93" s="21" t="inlineStr">
        <is>
          <t>Ankara Food Services Sa de CV</t>
        </is>
      </c>
      <c r="C93" s="21" t="inlineStr">
        <is>
          <t>Mobi</t>
        </is>
      </c>
      <c r="D93" s="20" t="inlineStr">
        <is>
          <t>ACTIVO</t>
        </is>
      </c>
      <c r="E93" s="22" t="n">
        <v>24</v>
      </c>
      <c r="F93" s="23" t="n">
        <v>212931.03</v>
      </c>
      <c r="G93" s="24" t="n">
        <v>0.3</v>
      </c>
      <c r="H93" s="23">
        <f>ROUND(F93*G93, 2)</f>
        <v/>
      </c>
      <c r="I93" s="23">
        <f>ROUND(F93-H93, 2)</f>
        <v/>
      </c>
      <c r="J93" s="23" t="n">
        <v>8203.17</v>
      </c>
      <c r="K93" s="24" t="n">
        <v>1</v>
      </c>
      <c r="L93" s="23">
        <f>ROUND(F93*K93, 2)</f>
        <v/>
      </c>
      <c r="M93" s="25" t="n">
        <v>0.02429975</v>
      </c>
      <c r="N93" s="25">
        <f>IFERROR(RATE(E93, -J93, I93, -L93), M93)</f>
        <v/>
      </c>
      <c r="O93" s="23">
        <f>IF(N93&gt;0, ROUND(PV(N93, E93, -J93, -L93), 2), I93)</f>
        <v/>
      </c>
      <c r="P93" s="23">
        <f>ROUND(O93-I93, 2)</f>
        <v/>
      </c>
      <c r="Q93" s="25">
        <f>N93*12</f>
        <v/>
      </c>
      <c r="R93" s="25">
        <f>((1+N93)^12)-1</f>
        <v/>
      </c>
      <c r="S93" s="25">
        <f>N93-M93</f>
        <v/>
      </c>
      <c r="T93" s="20">
        <f>IF(ABS(P93)&lt;0.01, "EXACTO", "REVISAR")</f>
        <v/>
      </c>
    </row>
    <row r="94">
      <c r="A94" s="26" t="inlineStr">
        <is>
          <t>0635-0008</t>
        </is>
      </c>
      <c r="B94" s="27" t="inlineStr">
        <is>
          <t>Ankara Food Services Sa de CV</t>
        </is>
      </c>
      <c r="C94" s="27" t="inlineStr">
        <is>
          <t>Wrangler 4 XE</t>
        </is>
      </c>
      <c r="D94" s="26" t="inlineStr">
        <is>
          <t>ACTIVO</t>
        </is>
      </c>
      <c r="E94" s="28" t="n">
        <v>48</v>
      </c>
      <c r="F94" s="29" t="n">
        <v>1229224.14</v>
      </c>
      <c r="G94" s="30" t="n">
        <v>0.4</v>
      </c>
      <c r="H94" s="29">
        <f>ROUND(F94*G94, 2)</f>
        <v/>
      </c>
      <c r="I94" s="29">
        <f>ROUND(F94-H94, 2)</f>
        <v/>
      </c>
      <c r="J94" s="29" t="n">
        <v>26263.81</v>
      </c>
      <c r="K94" s="30" t="n">
        <v>0.1</v>
      </c>
      <c r="L94" s="29">
        <f>ROUND(F94*K94, 2)</f>
        <v/>
      </c>
      <c r="M94" s="31" t="n">
        <v>0.02690906</v>
      </c>
      <c r="N94" s="31">
        <f>IFERROR(RATE(E94, -J94, I94, -L94), M94)</f>
        <v/>
      </c>
      <c r="O94" s="29">
        <f>IF(N94&gt;0, ROUND(PV(N94, E94, -J94, -L94), 2), I94)</f>
        <v/>
      </c>
      <c r="P94" s="29">
        <f>ROUND(O94-I94, 2)</f>
        <v/>
      </c>
      <c r="Q94" s="31">
        <f>N94*12</f>
        <v/>
      </c>
      <c r="R94" s="31">
        <f>((1+N94)^12)-1</f>
        <v/>
      </c>
      <c r="S94" s="31">
        <f>N94-M94</f>
        <v/>
      </c>
      <c r="T94" s="26">
        <f>IF(ABS(P94)&lt;0.01, "EXACTO", "REVISAR")</f>
        <v/>
      </c>
    </row>
    <row r="95">
      <c r="A95" s="20" t="inlineStr">
        <is>
          <t>0640-0001</t>
        </is>
      </c>
      <c r="B95" s="21" t="inlineStr">
        <is>
          <t>Marco Abner Hernand Barragan</t>
        </is>
      </c>
      <c r="C95" s="21" t="inlineStr">
        <is>
          <t>RIFTER</t>
        </is>
      </c>
      <c r="D95" s="20" t="inlineStr">
        <is>
          <t>ACTIVO</t>
        </is>
      </c>
      <c r="E95" s="22" t="n">
        <v>48</v>
      </c>
      <c r="F95" s="23" t="n">
        <v>446465.52</v>
      </c>
      <c r="G95" s="24" t="n">
        <v>0.1</v>
      </c>
      <c r="H95" s="23">
        <f>ROUND(F95*G95, 2)</f>
        <v/>
      </c>
      <c r="I95" s="23">
        <f>ROUND(F95-H95, 2)</f>
        <v/>
      </c>
      <c r="J95" s="23" t="n">
        <v>15572.15</v>
      </c>
      <c r="K95" s="24" t="n">
        <v>0.2</v>
      </c>
      <c r="L95" s="23">
        <f>ROUND(F95*K95, 2)</f>
        <v/>
      </c>
      <c r="M95" s="25" t="n">
        <v>0.03164265</v>
      </c>
      <c r="N95" s="25">
        <f>IFERROR(RATE(E95, -J95, I95, -L95), M95)</f>
        <v/>
      </c>
      <c r="O95" s="23">
        <f>IF(N95&gt;0, ROUND(PV(N95, E95, -J95, -L95), 2), I95)</f>
        <v/>
      </c>
      <c r="P95" s="23">
        <f>ROUND(O95-I95, 2)</f>
        <v/>
      </c>
      <c r="Q95" s="25">
        <f>N95*12</f>
        <v/>
      </c>
      <c r="R95" s="25">
        <f>((1+N95)^12)-1</f>
        <v/>
      </c>
      <c r="S95" s="25">
        <f>N95-M95</f>
        <v/>
      </c>
      <c r="T95" s="20">
        <f>IF(ABS(P95)&lt;0.01, "EXACTO", "REVISAR")</f>
        <v/>
      </c>
    </row>
    <row r="96">
      <c r="A96" s="26" t="inlineStr">
        <is>
          <t>0641-0001</t>
        </is>
      </c>
      <c r="B96" s="27" t="inlineStr">
        <is>
          <t>Agrideaz Sa de Cv</t>
        </is>
      </c>
      <c r="C96" s="27" t="inlineStr">
        <is>
          <t>Pulse Audace</t>
        </is>
      </c>
      <c r="D96" s="26" t="inlineStr">
        <is>
          <t>ACTIVO</t>
        </is>
      </c>
      <c r="E96" s="28" t="n">
        <v>36</v>
      </c>
      <c r="F96" s="29" t="n">
        <v>350344.83</v>
      </c>
      <c r="G96" s="30" t="n">
        <v>0.35</v>
      </c>
      <c r="H96" s="29">
        <f>ROUND(F96*G96, 2)</f>
        <v/>
      </c>
      <c r="I96" s="29">
        <f>ROUND(F96-H96, 2)</f>
        <v/>
      </c>
      <c r="J96" s="29" t="n">
        <v>13065.38</v>
      </c>
      <c r="K96" s="30" t="n">
        <v>0.35</v>
      </c>
      <c r="L96" s="29">
        <f>ROUND(F96*K96, 2)</f>
        <v/>
      </c>
      <c r="M96" s="31" t="n">
        <v>0.05284384</v>
      </c>
      <c r="N96" s="31">
        <f>IFERROR(RATE(E96, -J96, I96, -L96), M96)</f>
        <v/>
      </c>
      <c r="O96" s="29">
        <f>IF(N96&gt;0, ROUND(PV(N96, E96, -J96, -L96), 2), I96)</f>
        <v/>
      </c>
      <c r="P96" s="29">
        <f>ROUND(O96-I96, 2)</f>
        <v/>
      </c>
      <c r="Q96" s="31">
        <f>N96*12</f>
        <v/>
      </c>
      <c r="R96" s="31">
        <f>((1+N96)^12)-1</f>
        <v/>
      </c>
      <c r="S96" s="31">
        <f>N96-M96</f>
        <v/>
      </c>
      <c r="T96" s="26">
        <f>IF(ABS(P96)&lt;0.01, "EXACTO", "REVISAR")</f>
        <v/>
      </c>
    </row>
    <row r="97">
      <c r="A97" s="20" t="inlineStr">
        <is>
          <t>0641-0002</t>
        </is>
      </c>
      <c r="B97" s="21" t="inlineStr">
        <is>
          <t>Agrideaz Sa de Cv</t>
        </is>
      </c>
      <c r="C97" s="21" t="inlineStr">
        <is>
          <t>MOBI</t>
        </is>
      </c>
      <c r="D97" s="20" t="inlineStr">
        <is>
          <t>ACTIVO</t>
        </is>
      </c>
      <c r="E97" s="22" t="n">
        <v>36</v>
      </c>
      <c r="F97" s="23" t="n">
        <v>217241.38</v>
      </c>
      <c r="G97" s="24" t="n">
        <v>0.35</v>
      </c>
      <c r="H97" s="23">
        <f>ROUND(F97*G97, 2)</f>
        <v/>
      </c>
      <c r="I97" s="23">
        <f>ROUND(F97-H97, 2)</f>
        <v/>
      </c>
      <c r="J97" s="23" t="n">
        <v>8223.959999999999</v>
      </c>
      <c r="K97" s="24" t="n">
        <v>0.35</v>
      </c>
      <c r="L97" s="23">
        <f>ROUND(F97*K97, 2)</f>
        <v/>
      </c>
      <c r="M97" s="25" t="n">
        <v>0.05380382</v>
      </c>
      <c r="N97" s="25">
        <f>IFERROR(RATE(E97, -J97, I97, -L97), M97)</f>
        <v/>
      </c>
      <c r="O97" s="23">
        <f>IF(N97&gt;0, ROUND(PV(N97, E97, -J97, -L97), 2), I97)</f>
        <v/>
      </c>
      <c r="P97" s="23">
        <f>ROUND(O97-I97, 2)</f>
        <v/>
      </c>
      <c r="Q97" s="25">
        <f>N97*12</f>
        <v/>
      </c>
      <c r="R97" s="25">
        <f>((1+N97)^12)-1</f>
        <v/>
      </c>
      <c r="S97" s="25">
        <f>N97-M97</f>
        <v/>
      </c>
      <c r="T97" s="20">
        <f>IF(ABS(P97)&lt;0.01, "EXACTO", "REVISAR")</f>
        <v/>
      </c>
    </row>
    <row r="98">
      <c r="A98" s="26" t="inlineStr">
        <is>
          <t>0642-0001</t>
        </is>
      </c>
      <c r="B98" s="27" t="inlineStr">
        <is>
          <t>Incubadora de Occidente Sa de Cv</t>
        </is>
      </c>
      <c r="C98" s="27" t="inlineStr">
        <is>
          <t>GRAND CHEROKEE LIMITED</t>
        </is>
      </c>
      <c r="D98" s="26" t="inlineStr">
        <is>
          <t>ACTIVO</t>
        </is>
      </c>
      <c r="E98" s="28" t="n">
        <v>48</v>
      </c>
      <c r="F98" s="29" t="n">
        <v>1137898.28</v>
      </c>
      <c r="G98" s="30" t="n">
        <v>0.2227</v>
      </c>
      <c r="H98" s="29">
        <f>ROUND(F98*G98, 2)</f>
        <v/>
      </c>
      <c r="I98" s="29">
        <f>ROUND(F98-H98, 2)</f>
        <v/>
      </c>
      <c r="J98" s="29" t="n">
        <v>30755.77</v>
      </c>
      <c r="K98" s="30" t="n">
        <v>0.35</v>
      </c>
      <c r="L98" s="29">
        <f>ROUND(F98*K98, 2)</f>
        <v/>
      </c>
      <c r="M98" s="31" t="n">
        <v>0.02942085</v>
      </c>
      <c r="N98" s="31">
        <f>IFERROR(RATE(E98, -J98, I98, -L98), M98)</f>
        <v/>
      </c>
      <c r="O98" s="29">
        <f>IF(N98&gt;0, ROUND(PV(N98, E98, -J98, -L98), 2), I98)</f>
        <v/>
      </c>
      <c r="P98" s="29">
        <f>ROUND(O98-I98, 2)</f>
        <v/>
      </c>
      <c r="Q98" s="31">
        <f>N98*12</f>
        <v/>
      </c>
      <c r="R98" s="31">
        <f>((1+N98)^12)-1</f>
        <v/>
      </c>
      <c r="S98" s="31">
        <f>N98-M98</f>
        <v/>
      </c>
      <c r="T98" s="26">
        <f>IF(ABS(P98)&lt;0.01, "EXACTO", "REVISAR")</f>
        <v/>
      </c>
    </row>
    <row r="99">
      <c r="A99" s="20" t="inlineStr">
        <is>
          <t>0644-0005</t>
        </is>
      </c>
      <c r="B99" s="21" t="inlineStr">
        <is>
          <t>Bakaya S.A.P.I.</t>
        </is>
      </c>
      <c r="C99" s="21" t="inlineStr">
        <is>
          <t>i118</t>
        </is>
      </c>
      <c r="D99" s="20" t="inlineStr">
        <is>
          <t>ACTIVO</t>
        </is>
      </c>
      <c r="E99" s="22" t="n">
        <v>36</v>
      </c>
      <c r="F99" s="23" t="n">
        <v>710689.66</v>
      </c>
      <c r="G99" s="24" t="n">
        <v>0.1</v>
      </c>
      <c r="H99" s="23">
        <f>ROUND(F99*G99, 2)</f>
        <v/>
      </c>
      <c r="I99" s="23">
        <f>ROUND(F99-H99, 2)</f>
        <v/>
      </c>
      <c r="J99" s="23" t="n">
        <v>20728.19</v>
      </c>
      <c r="K99" s="24" t="n">
        <v>0.4</v>
      </c>
      <c r="L99" s="23">
        <f>ROUND(F99*K99, 2)</f>
        <v/>
      </c>
      <c r="M99" s="25" t="n">
        <v>0.02215859</v>
      </c>
      <c r="N99" s="25">
        <f>IFERROR(RATE(E99, -J99, I99, -L99), M99)</f>
        <v/>
      </c>
      <c r="O99" s="23">
        <f>IF(N99&gt;0, ROUND(PV(N99, E99, -J99, -L99), 2), I99)</f>
        <v/>
      </c>
      <c r="P99" s="23">
        <f>ROUND(O99-I99, 2)</f>
        <v/>
      </c>
      <c r="Q99" s="25">
        <f>N99*12</f>
        <v/>
      </c>
      <c r="R99" s="25">
        <f>((1+N99)^12)-1</f>
        <v/>
      </c>
      <c r="S99" s="25">
        <f>N99-M99</f>
        <v/>
      </c>
      <c r="T99" s="20">
        <f>IF(ABS(P99)&lt;0.01, "EXACTO", "REVISAR")</f>
        <v/>
      </c>
    </row>
    <row r="100">
      <c r="A100" s="26" t="inlineStr">
        <is>
          <t>0644-0006</t>
        </is>
      </c>
      <c r="B100" s="27" t="inlineStr">
        <is>
          <t>Bkaya S.A.P.I.</t>
        </is>
      </c>
      <c r="C100" s="27" t="inlineStr">
        <is>
          <t>Highlander XLE</t>
        </is>
      </c>
      <c r="D100" s="26" t="inlineStr">
        <is>
          <t>ACTIVO</t>
        </is>
      </c>
      <c r="E100" s="28" t="n">
        <v>36</v>
      </c>
      <c r="F100" s="29" t="n">
        <v>819741.38</v>
      </c>
      <c r="G100" s="30" t="n">
        <v>0.08</v>
      </c>
      <c r="H100" s="29">
        <f>ROUND(F100*G100, 2)</f>
        <v/>
      </c>
      <c r="I100" s="29">
        <f>ROUND(F100-H100, 2)</f>
        <v/>
      </c>
      <c r="J100" s="29" t="n">
        <v>24081.62</v>
      </c>
      <c r="K100" s="30" t="n">
        <v>0.5</v>
      </c>
      <c r="L100" s="29">
        <f>ROUND(F100*K100, 2)</f>
        <v/>
      </c>
      <c r="M100" s="31" t="n">
        <v>0.02377035</v>
      </c>
      <c r="N100" s="31">
        <f>IFERROR(RATE(E100, -J100, I100, -L100), M100)</f>
        <v/>
      </c>
      <c r="O100" s="29">
        <f>IF(N100&gt;0, ROUND(PV(N100, E100, -J100, -L100), 2), I100)</f>
        <v/>
      </c>
      <c r="P100" s="29">
        <f>ROUND(O100-I100, 2)</f>
        <v/>
      </c>
      <c r="Q100" s="31">
        <f>N100*12</f>
        <v/>
      </c>
      <c r="R100" s="31">
        <f>((1+N100)^12)-1</f>
        <v/>
      </c>
      <c r="S100" s="31">
        <f>N100-M100</f>
        <v/>
      </c>
      <c r="T100" s="26">
        <f>IF(ABS(P100)&lt;0.01, "EXACTO", "REVISAR")</f>
        <v/>
      </c>
    </row>
    <row r="101">
      <c r="A101" s="20" t="inlineStr">
        <is>
          <t>0645-0001</t>
        </is>
      </c>
      <c r="B101" s="21" t="inlineStr">
        <is>
          <t>Armando Duran Rubio</t>
        </is>
      </c>
      <c r="C101" s="21" t="inlineStr">
        <is>
          <t>Ram 1500 Bighorn</t>
        </is>
      </c>
      <c r="D101" s="20" t="inlineStr">
        <is>
          <t>ACTIVO</t>
        </is>
      </c>
      <c r="E101" s="22" t="n">
        <v>48</v>
      </c>
      <c r="F101" s="23" t="n">
        <v>831810.34</v>
      </c>
      <c r="G101" s="24" t="n">
        <v>0.2</v>
      </c>
      <c r="H101" s="23">
        <f>ROUND(F101*G101, 2)</f>
        <v/>
      </c>
      <c r="I101" s="23">
        <f>ROUND(F101-H101, 2)</f>
        <v/>
      </c>
      <c r="J101" s="23" t="n">
        <v>25627.81</v>
      </c>
      <c r="K101" s="24" t="n">
        <v>0.2</v>
      </c>
      <c r="L101" s="23">
        <f>ROUND(F101*K101, 2)</f>
        <v/>
      </c>
      <c r="M101" s="25" t="n">
        <v>0.03165747</v>
      </c>
      <c r="N101" s="25">
        <f>IFERROR(RATE(E101, -J101, I101, -L101), M101)</f>
        <v/>
      </c>
      <c r="O101" s="23">
        <f>IF(N101&gt;0, ROUND(PV(N101, E101, -J101, -L101), 2), I101)</f>
        <v/>
      </c>
      <c r="P101" s="23">
        <f>ROUND(O101-I101, 2)</f>
        <v/>
      </c>
      <c r="Q101" s="25">
        <f>N101*12</f>
        <v/>
      </c>
      <c r="R101" s="25">
        <f>((1+N101)^12)-1</f>
        <v/>
      </c>
      <c r="S101" s="25">
        <f>N101-M101</f>
        <v/>
      </c>
      <c r="T101" s="20">
        <f>IF(ABS(P101)&lt;0.01, "EXACTO", "REVISAR")</f>
        <v/>
      </c>
    </row>
    <row r="102">
      <c r="A102" s="26" t="inlineStr">
        <is>
          <t>0646-0001</t>
        </is>
      </c>
      <c r="B102" s="27" t="inlineStr">
        <is>
          <t>Liza Minerva Magallanes Reimers</t>
        </is>
      </c>
      <c r="C102" s="27" t="inlineStr">
        <is>
          <t>Wrangler</t>
        </is>
      </c>
      <c r="D102" s="26" t="inlineStr">
        <is>
          <t>ACTIVO</t>
        </is>
      </c>
      <c r="E102" s="28" t="n">
        <v>48</v>
      </c>
      <c r="F102" s="29" t="n">
        <v>1120603.45</v>
      </c>
      <c r="G102" s="30" t="n">
        <v>0.3</v>
      </c>
      <c r="H102" s="29">
        <f>ROUND(F102*G102, 2)</f>
        <v/>
      </c>
      <c r="I102" s="29">
        <f>ROUND(F102-H102, 2)</f>
        <v/>
      </c>
      <c r="J102" s="29" t="n">
        <v>29965.65</v>
      </c>
      <c r="K102" s="30" t="n">
        <v>0.2</v>
      </c>
      <c r="L102" s="29">
        <f>ROUND(F102*K102, 2)</f>
        <v/>
      </c>
      <c r="M102" s="31" t="n">
        <v>0.03167615</v>
      </c>
      <c r="N102" s="31">
        <f>IFERROR(RATE(E102, -J102, I102, -L102), M102)</f>
        <v/>
      </c>
      <c r="O102" s="29">
        <f>IF(N102&gt;0, ROUND(PV(N102, E102, -J102, -L102), 2), I102)</f>
        <v/>
      </c>
      <c r="P102" s="29">
        <f>ROUND(O102-I102, 2)</f>
        <v/>
      </c>
      <c r="Q102" s="31">
        <f>N102*12</f>
        <v/>
      </c>
      <c r="R102" s="31">
        <f>((1+N102)^12)-1</f>
        <v/>
      </c>
      <c r="S102" s="31">
        <f>N102-M102</f>
        <v/>
      </c>
      <c r="T102" s="26">
        <f>IF(ABS(P102)&lt;0.01, "EXACTO", "REVISAR")</f>
        <v/>
      </c>
    </row>
    <row r="103">
      <c r="A103" s="20" t="inlineStr">
        <is>
          <t>0647-0001</t>
        </is>
      </c>
      <c r="B103" s="21" t="inlineStr">
        <is>
          <t>Cibara Gourmet S de Rl de Cv</t>
        </is>
      </c>
      <c r="C103" s="21" t="inlineStr">
        <is>
          <t>Partner Maxi</t>
        </is>
      </c>
      <c r="D103" s="20" t="inlineStr">
        <is>
          <t>ACTIVO</t>
        </is>
      </c>
      <c r="E103" s="22" t="n">
        <v>36</v>
      </c>
      <c r="F103" s="23" t="n">
        <v>377500</v>
      </c>
      <c r="G103" s="24" t="n">
        <v>0.2</v>
      </c>
      <c r="H103" s="23">
        <f>ROUND(F103*G103, 2)</f>
        <v/>
      </c>
      <c r="I103" s="23">
        <f>ROUND(F103-H103, 2)</f>
        <v/>
      </c>
      <c r="J103" s="23" t="n">
        <v>12944.93</v>
      </c>
      <c r="K103" s="24" t="n">
        <v>0.2</v>
      </c>
      <c r="L103" s="23">
        <f>ROUND(F103*K103, 2)</f>
        <v/>
      </c>
      <c r="M103" s="25" t="n">
        <v>0.03132158</v>
      </c>
      <c r="N103" s="25">
        <f>IFERROR(RATE(E103, -J103, I103, -L103), M103)</f>
        <v/>
      </c>
      <c r="O103" s="23">
        <f>IF(N103&gt;0, ROUND(PV(N103, E103, -J103, -L103), 2), I103)</f>
        <v/>
      </c>
      <c r="P103" s="23">
        <f>ROUND(O103-I103, 2)</f>
        <v/>
      </c>
      <c r="Q103" s="25">
        <f>N103*12</f>
        <v/>
      </c>
      <c r="R103" s="25">
        <f>((1+N103)^12)-1</f>
        <v/>
      </c>
      <c r="S103" s="25">
        <f>N103-M103</f>
        <v/>
      </c>
      <c r="T103" s="20">
        <f>IF(ABS(P103)&lt;0.01, "EXACTO", "REVISAR")</f>
        <v/>
      </c>
    </row>
    <row r="104">
      <c r="A104" s="26" t="inlineStr">
        <is>
          <t>0647-0002</t>
        </is>
      </c>
      <c r="B104" s="27" t="inlineStr">
        <is>
          <t>Cibara Gourmet S de Rl de Cv</t>
        </is>
      </c>
      <c r="C104" s="27" t="inlineStr">
        <is>
          <t>Rifter Allure Pack</t>
        </is>
      </c>
      <c r="D104" s="26" t="inlineStr">
        <is>
          <t>ACTIVO</t>
        </is>
      </c>
      <c r="E104" s="28" t="n">
        <v>36</v>
      </c>
      <c r="F104" s="29" t="n">
        <v>480086.21</v>
      </c>
      <c r="G104" s="30" t="n">
        <v>0.2</v>
      </c>
      <c r="H104" s="29">
        <f>ROUND(F104*G104, 2)</f>
        <v/>
      </c>
      <c r="I104" s="29">
        <f>ROUND(F104-H104, 2)</f>
        <v/>
      </c>
      <c r="J104" s="29" t="n">
        <v>16462.73</v>
      </c>
      <c r="K104" s="30" t="n">
        <v>0.1</v>
      </c>
      <c r="L104" s="29">
        <f>ROUND(F104*K104, 2)</f>
        <v/>
      </c>
      <c r="M104" s="31" t="n">
        <v>0.02866067</v>
      </c>
      <c r="N104" s="31">
        <f>IFERROR(RATE(E104, -J104, I104, -L104), M104)</f>
        <v/>
      </c>
      <c r="O104" s="29">
        <f>IF(N104&gt;0, ROUND(PV(N104, E104, -J104, -L104), 2), I104)</f>
        <v/>
      </c>
      <c r="P104" s="29">
        <f>ROUND(O104-I104, 2)</f>
        <v/>
      </c>
      <c r="Q104" s="31">
        <f>N104*12</f>
        <v/>
      </c>
      <c r="R104" s="31">
        <f>((1+N104)^12)-1</f>
        <v/>
      </c>
      <c r="S104" s="31">
        <f>N104-M104</f>
        <v/>
      </c>
      <c r="T104" s="26">
        <f>IF(ABS(P104)&lt;0.01, "EXACTO", "REVISAR")</f>
        <v/>
      </c>
    </row>
    <row r="105">
      <c r="A105" s="20" t="inlineStr">
        <is>
          <t>0647-0003</t>
        </is>
      </c>
      <c r="B105" s="21" t="inlineStr">
        <is>
          <t>Cibaria Gourmet S de Rl de Cv</t>
        </is>
      </c>
      <c r="C105" s="21" t="inlineStr">
        <is>
          <t>1200 Bighorn</t>
        </is>
      </c>
      <c r="D105" s="20" t="inlineStr">
        <is>
          <t>ACTIVO</t>
        </is>
      </c>
      <c r="E105" s="22" t="n">
        <v>36</v>
      </c>
      <c r="F105" s="23" t="n">
        <v>562503</v>
      </c>
      <c r="G105" s="24" t="n">
        <v>0.3</v>
      </c>
      <c r="H105" s="23">
        <f>ROUND(F105*G105, 2)</f>
        <v/>
      </c>
      <c r="I105" s="23">
        <f>ROUND(F105-H105, 2)</f>
        <v/>
      </c>
      <c r="J105" s="23" t="n">
        <v>16185.96</v>
      </c>
      <c r="K105" s="24" t="n">
        <v>0.3</v>
      </c>
      <c r="L105" s="23">
        <f>ROUND(F105*K105, 2)</f>
        <v/>
      </c>
      <c r="M105" s="25" t="n">
        <v>0.03252344</v>
      </c>
      <c r="N105" s="25">
        <f>IFERROR(RATE(E105, -J105, I105, -L105), M105)</f>
        <v/>
      </c>
      <c r="O105" s="23">
        <f>IF(N105&gt;0, ROUND(PV(N105, E105, -J105, -L105), 2), I105)</f>
        <v/>
      </c>
      <c r="P105" s="23">
        <f>ROUND(O105-I105, 2)</f>
        <v/>
      </c>
      <c r="Q105" s="25">
        <f>N105*12</f>
        <v/>
      </c>
      <c r="R105" s="25">
        <f>((1+N105)^12)-1</f>
        <v/>
      </c>
      <c r="S105" s="25">
        <f>N105-M105</f>
        <v/>
      </c>
      <c r="T105" s="20">
        <f>IF(ABS(P105)&lt;0.01, "EXACTO", "REVISAR")</f>
        <v/>
      </c>
    </row>
    <row r="106">
      <c r="A106" s="26" t="inlineStr">
        <is>
          <t>0647-0004</t>
        </is>
      </c>
      <c r="B106" s="27" t="inlineStr">
        <is>
          <t>Cibaria Gourmet S de Rl de Cv</t>
        </is>
      </c>
      <c r="C106" s="27" t="inlineStr">
        <is>
          <t>1200 Bighorn</t>
        </is>
      </c>
      <c r="D106" s="26" t="inlineStr">
        <is>
          <t>ACTIVO</t>
        </is>
      </c>
      <c r="E106" s="28" t="n">
        <v>36</v>
      </c>
      <c r="F106" s="29" t="n">
        <v>562503</v>
      </c>
      <c r="G106" s="30" t="n">
        <v>0.3</v>
      </c>
      <c r="H106" s="29">
        <f>ROUND(F106*G106, 2)</f>
        <v/>
      </c>
      <c r="I106" s="29">
        <f>ROUND(F106-H106, 2)</f>
        <v/>
      </c>
      <c r="J106" s="29" t="n">
        <v>16185.96</v>
      </c>
      <c r="K106" s="30" t="n">
        <v>0.3</v>
      </c>
      <c r="L106" s="29">
        <f>ROUND(F106*K106, 2)</f>
        <v/>
      </c>
      <c r="M106" s="31" t="n">
        <v>0.03252344</v>
      </c>
      <c r="N106" s="31">
        <f>IFERROR(RATE(E106, -J106, I106, -L106), M106)</f>
        <v/>
      </c>
      <c r="O106" s="29">
        <f>IF(N106&gt;0, ROUND(PV(N106, E106, -J106, -L106), 2), I106)</f>
        <v/>
      </c>
      <c r="P106" s="29">
        <f>ROUND(O106-I106, 2)</f>
        <v/>
      </c>
      <c r="Q106" s="31">
        <f>N106*12</f>
        <v/>
      </c>
      <c r="R106" s="31">
        <f>((1+N106)^12)-1</f>
        <v/>
      </c>
      <c r="S106" s="31">
        <f>N106-M106</f>
        <v/>
      </c>
      <c r="T106" s="26">
        <f>IF(ABS(P106)&lt;0.01, "EXACTO", "REVISAR")</f>
        <v/>
      </c>
    </row>
    <row r="107">
      <c r="A107" s="20" t="inlineStr">
        <is>
          <t>0648-0002</t>
        </is>
      </c>
      <c r="B107" s="21" t="inlineStr">
        <is>
          <t>Jorge Luis Cervantes Gonzalez</t>
        </is>
      </c>
      <c r="C107" s="21" t="inlineStr">
        <is>
          <t>Wagoneer</t>
        </is>
      </c>
      <c r="D107" s="20" t="inlineStr">
        <is>
          <t>ACTIVO</t>
        </is>
      </c>
      <c r="E107" s="22" t="n">
        <v>48</v>
      </c>
      <c r="F107" s="23" t="n">
        <v>1661982.76</v>
      </c>
      <c r="G107" s="24" t="n">
        <v>0.3</v>
      </c>
      <c r="H107" s="23">
        <f>ROUND(F107*G107, 2)</f>
        <v/>
      </c>
      <c r="I107" s="23">
        <f>ROUND(F107-H107, 2)</f>
        <v/>
      </c>
      <c r="J107" s="23" t="n">
        <v>45178.87</v>
      </c>
      <c r="K107" s="24" t="n">
        <v>0.2</v>
      </c>
      <c r="L107" s="23">
        <f>ROUND(F107*K107, 2)</f>
        <v/>
      </c>
      <c r="M107" s="25" t="n">
        <v>0.03245132</v>
      </c>
      <c r="N107" s="25">
        <f>IFERROR(RATE(E107, -J107, I107, -L107), M107)</f>
        <v/>
      </c>
      <c r="O107" s="23">
        <f>IF(N107&gt;0, ROUND(PV(N107, E107, -J107, -L107), 2), I107)</f>
        <v/>
      </c>
      <c r="P107" s="23">
        <f>ROUND(O107-I107, 2)</f>
        <v/>
      </c>
      <c r="Q107" s="25">
        <f>N107*12</f>
        <v/>
      </c>
      <c r="R107" s="25">
        <f>((1+N107)^12)-1</f>
        <v/>
      </c>
      <c r="S107" s="25">
        <f>N107-M107</f>
        <v/>
      </c>
      <c r="T107" s="20">
        <f>IF(ABS(P107)&lt;0.01, "EXACTO", "REVISAR")</f>
        <v/>
      </c>
    </row>
    <row r="108">
      <c r="A108" s="26" t="inlineStr">
        <is>
          <t>0648-0003</t>
        </is>
      </c>
      <c r="B108" s="27" t="inlineStr">
        <is>
          <t>Jorge Luis Cervantes Gonzalez</t>
        </is>
      </c>
      <c r="C108" s="27" t="inlineStr">
        <is>
          <t>Wrangler Tuscadero</t>
        </is>
      </c>
      <c r="D108" s="26" t="inlineStr">
        <is>
          <t>ACTIVO</t>
        </is>
      </c>
      <c r="E108" s="28" t="n">
        <v>48</v>
      </c>
      <c r="F108" s="29" t="n">
        <v>1219741.38</v>
      </c>
      <c r="G108" s="30" t="n">
        <v>0.1</v>
      </c>
      <c r="H108" s="29">
        <f>ROUND(F108*G108, 2)</f>
        <v/>
      </c>
      <c r="I108" s="29">
        <f>ROUND(F108-H108, 2)</f>
        <v/>
      </c>
      <c r="J108" s="29" t="n">
        <v>42543.03</v>
      </c>
      <c r="K108" s="30" t="n">
        <v>0.2</v>
      </c>
      <c r="L108" s="29">
        <f>ROUND(F108*K108, 2)</f>
        <v/>
      </c>
      <c r="M108" s="31" t="n">
        <v>0.03164265</v>
      </c>
      <c r="N108" s="31">
        <f>IFERROR(RATE(E108, -J108, I108, -L108), M108)</f>
        <v/>
      </c>
      <c r="O108" s="29">
        <f>IF(N108&gt;0, ROUND(PV(N108, E108, -J108, -L108), 2), I108)</f>
        <v/>
      </c>
      <c r="P108" s="29">
        <f>ROUND(O108-I108, 2)</f>
        <v/>
      </c>
      <c r="Q108" s="31">
        <f>N108*12</f>
        <v/>
      </c>
      <c r="R108" s="31">
        <f>((1+N108)^12)-1</f>
        <v/>
      </c>
      <c r="S108" s="31">
        <f>N108-M108</f>
        <v/>
      </c>
      <c r="T108" s="26">
        <f>IF(ABS(P108)&lt;0.01, "EXACTO", "REVISAR")</f>
        <v/>
      </c>
    </row>
    <row r="109">
      <c r="A109" s="20" t="inlineStr">
        <is>
          <t>0648-0004</t>
        </is>
      </c>
      <c r="B109" s="21" t="inlineStr">
        <is>
          <t>Jorge Luis Cervantes Gonzalez</t>
        </is>
      </c>
      <c r="C109" s="21" t="inlineStr">
        <is>
          <t>JEEP 392</t>
        </is>
      </c>
      <c r="D109" s="20" t="inlineStr">
        <is>
          <t>ACTIVO</t>
        </is>
      </c>
      <c r="E109" s="22" t="n">
        <v>36</v>
      </c>
      <c r="F109" s="23" t="n">
        <v>1868017.24</v>
      </c>
      <c r="G109" s="24" t="n">
        <v>0.1</v>
      </c>
      <c r="H109" s="23">
        <f>ROUND(F109*G109, 2)</f>
        <v/>
      </c>
      <c r="I109" s="23">
        <f>ROUND(F109-H109, 2)</f>
        <v/>
      </c>
      <c r="J109" s="23" t="n">
        <v>66886.62</v>
      </c>
      <c r="K109" s="24" t="n">
        <v>0.2</v>
      </c>
      <c r="L109" s="23">
        <f>ROUND(F109*K109, 2)</f>
        <v/>
      </c>
      <c r="M109" s="25" t="n">
        <v>0.02664385</v>
      </c>
      <c r="N109" s="25">
        <f>IFERROR(RATE(E109, -J109, I109, -L109), M109)</f>
        <v/>
      </c>
      <c r="O109" s="23">
        <f>IF(N109&gt;0, ROUND(PV(N109, E109, -J109, -L109), 2), I109)</f>
        <v/>
      </c>
      <c r="P109" s="23">
        <f>ROUND(O109-I109, 2)</f>
        <v/>
      </c>
      <c r="Q109" s="25">
        <f>N109*12</f>
        <v/>
      </c>
      <c r="R109" s="25">
        <f>((1+N109)^12)-1</f>
        <v/>
      </c>
      <c r="S109" s="25">
        <f>N109-M109</f>
        <v/>
      </c>
      <c r="T109" s="20">
        <f>IF(ABS(P109)&lt;0.01, "EXACTO", "REVISAR")</f>
        <v/>
      </c>
    </row>
    <row r="110">
      <c r="A110" s="26" t="inlineStr">
        <is>
          <t>0648-0005</t>
        </is>
      </c>
      <c r="B110" s="27" t="inlineStr">
        <is>
          <t>Jorge Luis Cervantes Gonzalez</t>
        </is>
      </c>
      <c r="C110" s="27" t="inlineStr">
        <is>
          <t>1500 RHO</t>
        </is>
      </c>
      <c r="D110" s="26" t="inlineStr">
        <is>
          <t>ACTIVO</t>
        </is>
      </c>
      <c r="E110" s="28" t="n">
        <v>36</v>
      </c>
      <c r="F110" s="29" t="n">
        <v>2008620.69</v>
      </c>
      <c r="G110" s="30" t="n">
        <v>0.1</v>
      </c>
      <c r="H110" s="29">
        <f>ROUND(F110*G110, 2)</f>
        <v/>
      </c>
      <c r="I110" s="29">
        <f>ROUND(F110-H110, 2)</f>
        <v/>
      </c>
      <c r="J110" s="29" t="n">
        <v>71967.34</v>
      </c>
      <c r="K110" s="30" t="n">
        <v>0.2</v>
      </c>
      <c r="L110" s="29">
        <f>ROUND(F110*K110, 2)</f>
        <v/>
      </c>
      <c r="M110" s="31" t="n">
        <v>0.0266784</v>
      </c>
      <c r="N110" s="31">
        <f>IFERROR(RATE(E110, -J110, I110, -L110), M110)</f>
        <v/>
      </c>
      <c r="O110" s="29">
        <f>IF(N110&gt;0, ROUND(PV(N110, E110, -J110, -L110), 2), I110)</f>
        <v/>
      </c>
      <c r="P110" s="29">
        <f>ROUND(O110-I110, 2)</f>
        <v/>
      </c>
      <c r="Q110" s="31">
        <f>N110*12</f>
        <v/>
      </c>
      <c r="R110" s="31">
        <f>((1+N110)^12)-1</f>
        <v/>
      </c>
      <c r="S110" s="31">
        <f>N110-M110</f>
        <v/>
      </c>
      <c r="T110" s="26">
        <f>IF(ABS(P110)&lt;0.01, "EXACTO", "REVISAR")</f>
        <v/>
      </c>
    </row>
    <row r="111">
      <c r="A111" s="20" t="inlineStr">
        <is>
          <t>0648-0006</t>
        </is>
      </c>
      <c r="B111" s="21" t="inlineStr">
        <is>
          <t>Jorge Luis Cervantes Gonzalez</t>
        </is>
      </c>
      <c r="C111" s="21" t="inlineStr">
        <is>
          <t>Durango Hellcat SRT</t>
        </is>
      </c>
      <c r="D111" s="20" t="inlineStr">
        <is>
          <t>ACTIVO</t>
        </is>
      </c>
      <c r="E111" s="22" t="n">
        <v>36</v>
      </c>
      <c r="F111" s="23" t="n">
        <v>1874913.79</v>
      </c>
      <c r="G111" s="24" t="n">
        <v>0.1</v>
      </c>
      <c r="H111" s="23">
        <f>ROUND(F111*G111, 2)</f>
        <v/>
      </c>
      <c r="I111" s="23">
        <f>ROUND(F111-H111, 2)</f>
        <v/>
      </c>
      <c r="J111" s="23" t="n">
        <v>67176.72</v>
      </c>
      <c r="K111" s="24" t="n">
        <v>0.2</v>
      </c>
      <c r="L111" s="23">
        <f>ROUND(F111*K111, 2)</f>
        <v/>
      </c>
      <c r="M111" s="25" t="n">
        <v>0.0266784</v>
      </c>
      <c r="N111" s="25">
        <f>IFERROR(RATE(E111, -J111, I111, -L111), M111)</f>
        <v/>
      </c>
      <c r="O111" s="23">
        <f>IF(N111&gt;0, ROUND(PV(N111, E111, -J111, -L111), 2), I111)</f>
        <v/>
      </c>
      <c r="P111" s="23">
        <f>ROUND(O111-I111, 2)</f>
        <v/>
      </c>
      <c r="Q111" s="25">
        <f>N111*12</f>
        <v/>
      </c>
      <c r="R111" s="25">
        <f>((1+N111)^12)-1</f>
        <v/>
      </c>
      <c r="S111" s="25">
        <f>N111-M111</f>
        <v/>
      </c>
      <c r="T111" s="20">
        <f>IF(ABS(P111)&lt;0.01, "EXACTO", "REVISAR")</f>
        <v/>
      </c>
    </row>
    <row r="112">
      <c r="A112" s="26" t="inlineStr">
        <is>
          <t>0649-0001</t>
        </is>
      </c>
      <c r="B112" s="27" t="inlineStr">
        <is>
          <t>Compusoluciones Y Asociados Sa de Cv</t>
        </is>
      </c>
      <c r="C112" s="27" t="inlineStr">
        <is>
          <t>CX-30</t>
        </is>
      </c>
      <c r="D112" s="26" t="inlineStr">
        <is>
          <t>ACTIVO</t>
        </is>
      </c>
      <c r="E112" s="28" t="n">
        <v>48</v>
      </c>
      <c r="F112" s="29" t="n">
        <v>436120.69</v>
      </c>
      <c r="G112" s="30" t="n">
        <v>0.3</v>
      </c>
      <c r="H112" s="29">
        <f>ROUND(F112*G112, 2)</f>
        <v/>
      </c>
      <c r="I112" s="29">
        <f>ROUND(F112-H112, 2)</f>
        <v/>
      </c>
      <c r="J112" s="29" t="n">
        <v>9621.030000000001</v>
      </c>
      <c r="K112" s="30" t="n">
        <v>0.3128</v>
      </c>
      <c r="L112" s="29">
        <f>ROUND(F112*K112, 2)</f>
        <v/>
      </c>
      <c r="M112" s="31" t="n">
        <v>0.02551217</v>
      </c>
      <c r="N112" s="31">
        <f>IFERROR(RATE(E112, -J112, I112, -L112), M112)</f>
        <v/>
      </c>
      <c r="O112" s="29">
        <f>IF(N112&gt;0, ROUND(PV(N112, E112, -J112, -L112), 2), I112)</f>
        <v/>
      </c>
      <c r="P112" s="29">
        <f>ROUND(O112-I112, 2)</f>
        <v/>
      </c>
      <c r="Q112" s="31">
        <f>N112*12</f>
        <v/>
      </c>
      <c r="R112" s="31">
        <f>((1+N112)^12)-1</f>
        <v/>
      </c>
      <c r="S112" s="31">
        <f>N112-M112</f>
        <v/>
      </c>
      <c r="T112" s="26">
        <f>IF(ABS(P112)&lt;0.01, "EXACTO", "REVISAR")</f>
        <v/>
      </c>
    </row>
    <row r="113">
      <c r="A113" s="20" t="inlineStr">
        <is>
          <t>0649-0002</t>
        </is>
      </c>
      <c r="B113" s="21" t="inlineStr">
        <is>
          <t>Compusoluciones Y Asociados Sa de Cv</t>
        </is>
      </c>
      <c r="C113" s="21" t="inlineStr">
        <is>
          <t>CX5</t>
        </is>
      </c>
      <c r="D113" s="20" t="inlineStr">
        <is>
          <t>ACTIVO</t>
        </is>
      </c>
      <c r="E113" s="22" t="n">
        <v>48</v>
      </c>
      <c r="F113" s="23" t="n">
        <v>533534.48</v>
      </c>
      <c r="G113" s="24" t="n">
        <v>0.35</v>
      </c>
      <c r="H113" s="23">
        <f>ROUND(F113*G113, 2)</f>
        <v/>
      </c>
      <c r="I113" s="23">
        <f>ROUND(F113-H113, 2)</f>
        <v/>
      </c>
      <c r="J113" s="23" t="n">
        <v>10763.81</v>
      </c>
      <c r="K113" s="24" t="n">
        <v>0.32</v>
      </c>
      <c r="L113" s="23">
        <f>ROUND(F113*K113, 2)</f>
        <v/>
      </c>
      <c r="M113" s="25" t="n">
        <v>0.02553106</v>
      </c>
      <c r="N113" s="25">
        <f>IFERROR(RATE(E113, -J113, I113, -L113), M113)</f>
        <v/>
      </c>
      <c r="O113" s="23">
        <f>IF(N113&gt;0, ROUND(PV(N113, E113, -J113, -L113), 2), I113)</f>
        <v/>
      </c>
      <c r="P113" s="23">
        <f>ROUND(O113-I113, 2)</f>
        <v/>
      </c>
      <c r="Q113" s="25">
        <f>N113*12</f>
        <v/>
      </c>
      <c r="R113" s="25">
        <f>((1+N113)^12)-1</f>
        <v/>
      </c>
      <c r="S113" s="25">
        <f>N113-M113</f>
        <v/>
      </c>
      <c r="T113" s="20">
        <f>IF(ABS(P113)&lt;0.01, "EXACTO", "REVISAR")</f>
        <v/>
      </c>
    </row>
    <row r="114">
      <c r="A114" s="26" t="inlineStr">
        <is>
          <t>0649-0003</t>
        </is>
      </c>
      <c r="B114" s="27" t="inlineStr">
        <is>
          <t>Compusoluciones Y Asociados Sa de Cv</t>
        </is>
      </c>
      <c r="C114" s="27" t="inlineStr">
        <is>
          <t>Highlander XLE</t>
        </is>
      </c>
      <c r="D114" s="26" t="inlineStr">
        <is>
          <t>ACTIVO</t>
        </is>
      </c>
      <c r="E114" s="28" t="n">
        <v>48</v>
      </c>
      <c r="F114" s="29" t="n">
        <v>808103.45</v>
      </c>
      <c r="G114" s="30" t="n">
        <v>0.3</v>
      </c>
      <c r="H114" s="29">
        <f>ROUND(F114*G114, 2)</f>
        <v/>
      </c>
      <c r="I114" s="29">
        <f>ROUND(F114-H114, 2)</f>
        <v/>
      </c>
      <c r="J114" s="29" t="n">
        <v>14982.83</v>
      </c>
      <c r="K114" s="30" t="n">
        <v>0.39</v>
      </c>
      <c r="L114" s="29">
        <f>ROUND(F114*K114, 2)</f>
        <v/>
      </c>
      <c r="M114" s="31" t="n">
        <v>0.02106257</v>
      </c>
      <c r="N114" s="31">
        <f>IFERROR(RATE(E114, -J114, I114, -L114), M114)</f>
        <v/>
      </c>
      <c r="O114" s="29">
        <f>IF(N114&gt;0, ROUND(PV(N114, E114, -J114, -L114), 2), I114)</f>
        <v/>
      </c>
      <c r="P114" s="29">
        <f>ROUND(O114-I114, 2)</f>
        <v/>
      </c>
      <c r="Q114" s="31">
        <f>N114*12</f>
        <v/>
      </c>
      <c r="R114" s="31">
        <f>((1+N114)^12)-1</f>
        <v/>
      </c>
      <c r="S114" s="31">
        <f>N114-M114</f>
        <v/>
      </c>
      <c r="T114" s="26">
        <f>IF(ABS(P114)&lt;0.01, "EXACTO", "REVISAR")</f>
        <v/>
      </c>
    </row>
    <row r="115">
      <c r="A115" s="20" t="inlineStr">
        <is>
          <t>0649-0005</t>
        </is>
      </c>
      <c r="B115" s="21" t="inlineStr">
        <is>
          <t>Compusoluciones y Asociados Sa de Cv</t>
        </is>
      </c>
      <c r="C115" s="21" t="inlineStr">
        <is>
          <t>3 i Touring</t>
        </is>
      </c>
      <c r="D115" s="20" t="inlineStr">
        <is>
          <t>ACTIVO</t>
        </is>
      </c>
      <c r="E115" s="22" t="n">
        <v>48</v>
      </c>
      <c r="F115" s="23" t="n">
        <v>386120.69</v>
      </c>
      <c r="G115" s="24" t="n">
        <v>0.35</v>
      </c>
      <c r="H115" s="23">
        <f>ROUND(F115*G115, 2)</f>
        <v/>
      </c>
      <c r="I115" s="23">
        <f>ROUND(F115-H115, 2)</f>
        <v/>
      </c>
      <c r="J115" s="23" t="n">
        <v>7789.81</v>
      </c>
      <c r="K115" s="24" t="n">
        <v>0.32</v>
      </c>
      <c r="L115" s="23">
        <f>ROUND(F115*K115, 2)</f>
        <v/>
      </c>
      <c r="M115" s="25" t="n">
        <v>0.02553107</v>
      </c>
      <c r="N115" s="25">
        <f>IFERROR(RATE(E115, -J115, I115, -L115), M115)</f>
        <v/>
      </c>
      <c r="O115" s="23">
        <f>IF(N115&gt;0, ROUND(PV(N115, E115, -J115, -L115), 2), I115)</f>
        <v/>
      </c>
      <c r="P115" s="23">
        <f>ROUND(O115-I115, 2)</f>
        <v/>
      </c>
      <c r="Q115" s="25">
        <f>N115*12</f>
        <v/>
      </c>
      <c r="R115" s="25">
        <f>((1+N115)^12)-1</f>
        <v/>
      </c>
      <c r="S115" s="25">
        <f>N115-M115</f>
        <v/>
      </c>
      <c r="T115" s="20">
        <f>IF(ABS(P115)&lt;0.01, "EXACTO", "REVISAR")</f>
        <v/>
      </c>
    </row>
    <row r="116">
      <c r="A116" s="26" t="inlineStr">
        <is>
          <t>0649-0006</t>
        </is>
      </c>
      <c r="B116" s="27" t="inlineStr">
        <is>
          <t>Compusoluciones y Asociados sa de Cv</t>
        </is>
      </c>
      <c r="C116" s="27" t="inlineStr">
        <is>
          <t>Mazda Cx5</t>
        </is>
      </c>
      <c r="D116" s="26" t="inlineStr">
        <is>
          <t>ACTIVO</t>
        </is>
      </c>
      <c r="E116" s="28" t="n">
        <v>48</v>
      </c>
      <c r="F116" s="29" t="n">
        <v>524913.79</v>
      </c>
      <c r="G116" s="30" t="n">
        <v>0.3</v>
      </c>
      <c r="H116" s="29">
        <f>ROUND(F116*G116, 2)</f>
        <v/>
      </c>
      <c r="I116" s="29">
        <f>ROUND(F116-H116, 2)</f>
        <v/>
      </c>
      <c r="J116" s="29" t="n">
        <v>11579.84</v>
      </c>
      <c r="K116" s="30" t="n">
        <v>0.3128</v>
      </c>
      <c r="L116" s="29">
        <f>ROUND(F116*K116, 2)</f>
        <v/>
      </c>
      <c r="M116" s="31" t="n">
        <v>0.02551216</v>
      </c>
      <c r="N116" s="31">
        <f>IFERROR(RATE(E116, -J116, I116, -L116), M116)</f>
        <v/>
      </c>
      <c r="O116" s="29">
        <f>IF(N116&gt;0, ROUND(PV(N116, E116, -J116, -L116), 2), I116)</f>
        <v/>
      </c>
      <c r="P116" s="29">
        <f>ROUND(O116-I116, 2)</f>
        <v/>
      </c>
      <c r="Q116" s="31">
        <f>N116*12</f>
        <v/>
      </c>
      <c r="R116" s="31">
        <f>((1+N116)^12)-1</f>
        <v/>
      </c>
      <c r="S116" s="31">
        <f>N116-M116</f>
        <v/>
      </c>
      <c r="T116" s="26">
        <f>IF(ABS(P116)&lt;0.01, "EXACTO", "REVISAR")</f>
        <v/>
      </c>
    </row>
    <row r="117">
      <c r="A117" s="20" t="inlineStr">
        <is>
          <t>0649-0007</t>
        </is>
      </c>
      <c r="B117" s="21" t="inlineStr">
        <is>
          <t>Compusoluciones y Asociados sa de Cv</t>
        </is>
      </c>
      <c r="C117" s="21" t="inlineStr">
        <is>
          <t>RX5</t>
        </is>
      </c>
      <c r="D117" s="20" t="inlineStr">
        <is>
          <t>ACTIVO</t>
        </is>
      </c>
      <c r="E117" s="22" t="n">
        <v>36</v>
      </c>
      <c r="F117" s="23" t="n">
        <v>392155.17</v>
      </c>
      <c r="G117" s="24" t="n">
        <v>0.35</v>
      </c>
      <c r="H117" s="23">
        <f>ROUND(F117*G117, 2)</f>
        <v/>
      </c>
      <c r="I117" s="23">
        <f>ROUND(F117-H117, 2)</f>
        <v/>
      </c>
      <c r="J117" s="23" t="n">
        <v>7911.55</v>
      </c>
      <c r="K117" s="24" t="n">
        <v>0.32</v>
      </c>
      <c r="L117" s="23">
        <f>ROUND(F117*K117, 2)</f>
        <v/>
      </c>
      <c r="M117" s="25" t="n">
        <v>0.02156364</v>
      </c>
      <c r="N117" s="25">
        <f>IFERROR(RATE(E117, -J117, I117, -L117), M117)</f>
        <v/>
      </c>
      <c r="O117" s="23">
        <f>IF(N117&gt;0, ROUND(PV(N117, E117, -J117, -L117), 2), I117)</f>
        <v/>
      </c>
      <c r="P117" s="23">
        <f>ROUND(O117-I117, 2)</f>
        <v/>
      </c>
      <c r="Q117" s="25">
        <f>N117*12</f>
        <v/>
      </c>
      <c r="R117" s="25">
        <f>((1+N117)^12)-1</f>
        <v/>
      </c>
      <c r="S117" s="25">
        <f>N117-M117</f>
        <v/>
      </c>
      <c r="T117" s="20">
        <f>IF(ABS(P117)&lt;0.01, "EXACTO", "REVISAR")</f>
        <v/>
      </c>
    </row>
    <row r="118">
      <c r="A118" s="26" t="inlineStr">
        <is>
          <t>0649-0008</t>
        </is>
      </c>
      <c r="B118" s="27" t="inlineStr">
        <is>
          <t>Compusoluciones y Asociados Sa de Cv</t>
        </is>
      </c>
      <c r="C118" s="27" t="inlineStr">
        <is>
          <t>Kicks</t>
        </is>
      </c>
      <c r="D118" s="26" t="inlineStr">
        <is>
          <t>ACTIVO</t>
        </is>
      </c>
      <c r="E118" s="28" t="n">
        <v>48</v>
      </c>
      <c r="F118" s="29" t="n">
        <v>544741.38</v>
      </c>
      <c r="G118" s="30" t="n">
        <v>0.35</v>
      </c>
      <c r="H118" s="29">
        <f>ROUND(F118*G118, 2)</f>
        <v/>
      </c>
      <c r="I118" s="29">
        <f>ROUND(F118-H118, 2)</f>
        <v/>
      </c>
      <c r="J118" s="29" t="n">
        <v>10989.91</v>
      </c>
      <c r="K118" s="30" t="n">
        <v>0.32</v>
      </c>
      <c r="L118" s="29">
        <f>ROUND(F118*K118, 2)</f>
        <v/>
      </c>
      <c r="M118" s="31" t="n">
        <v>0.02553105</v>
      </c>
      <c r="N118" s="31">
        <f>IFERROR(RATE(E118, -J118, I118, -L118), M118)</f>
        <v/>
      </c>
      <c r="O118" s="29">
        <f>IF(N118&gt;0, ROUND(PV(N118, E118, -J118, -L118), 2), I118)</f>
        <v/>
      </c>
      <c r="P118" s="29">
        <f>ROUND(O118-I118, 2)</f>
        <v/>
      </c>
      <c r="Q118" s="31">
        <f>N118*12</f>
        <v/>
      </c>
      <c r="R118" s="31">
        <f>((1+N118)^12)-1</f>
        <v/>
      </c>
      <c r="S118" s="31">
        <f>N118-M118</f>
        <v/>
      </c>
      <c r="T118" s="26">
        <f>IF(ABS(P118)&lt;0.01, "EXACTO", "REVISAR")</f>
        <v/>
      </c>
    </row>
    <row r="119">
      <c r="A119" s="20" t="inlineStr">
        <is>
          <t>0649-0009</t>
        </is>
      </c>
      <c r="B119" s="21" t="inlineStr">
        <is>
          <t>Compusoluciones y Asociados Sa de Cv</t>
        </is>
      </c>
      <c r="C119" s="21" t="inlineStr">
        <is>
          <t>Fronx Boostergreen</t>
        </is>
      </c>
      <c r="D119" s="20" t="inlineStr">
        <is>
          <t>ACTIVO</t>
        </is>
      </c>
      <c r="E119" s="22" t="n">
        <v>48</v>
      </c>
      <c r="F119" s="23" t="n">
        <v>387922.41</v>
      </c>
      <c r="G119" s="24" t="n">
        <v>0.35</v>
      </c>
      <c r="H119" s="23">
        <f>ROUND(F119*G119, 2)</f>
        <v/>
      </c>
      <c r="I119" s="23">
        <f>ROUND(F119-H119, 2)</f>
        <v/>
      </c>
      <c r="J119" s="23" t="n">
        <v>7826.16</v>
      </c>
      <c r="K119" s="24" t="n">
        <v>0.32</v>
      </c>
      <c r="L119" s="23">
        <f>ROUND(F119*K119, 2)</f>
        <v/>
      </c>
      <c r="M119" s="25" t="n">
        <v>0.02553105</v>
      </c>
      <c r="N119" s="25">
        <f>IFERROR(RATE(E119, -J119, I119, -L119), M119)</f>
        <v/>
      </c>
      <c r="O119" s="23">
        <f>IF(N119&gt;0, ROUND(PV(N119, E119, -J119, -L119), 2), I119)</f>
        <v/>
      </c>
      <c r="P119" s="23">
        <f>ROUND(O119-I119, 2)</f>
        <v/>
      </c>
      <c r="Q119" s="25">
        <f>N119*12</f>
        <v/>
      </c>
      <c r="R119" s="25">
        <f>((1+N119)^12)-1</f>
        <v/>
      </c>
      <c r="S119" s="25">
        <f>N119-M119</f>
        <v/>
      </c>
      <c r="T119" s="20">
        <f>IF(ABS(P119)&lt;0.01, "EXACTO", "REVISAR")</f>
        <v/>
      </c>
    </row>
    <row r="120">
      <c r="A120" s="26" t="inlineStr">
        <is>
          <t>0649-0010</t>
        </is>
      </c>
      <c r="B120" s="27" t="inlineStr">
        <is>
          <t>Compusoluciones y Asociados Sa de Cv</t>
        </is>
      </c>
      <c r="C120" s="27" t="inlineStr">
        <is>
          <t>Mazda CX90</t>
        </is>
      </c>
      <c r="D120" s="26" t="inlineStr">
        <is>
          <t>ACTIVO</t>
        </is>
      </c>
      <c r="E120" s="28" t="n">
        <v>48</v>
      </c>
      <c r="F120" s="29" t="n">
        <v>846465.52</v>
      </c>
      <c r="G120" s="30" t="n">
        <v>0.35</v>
      </c>
      <c r="H120" s="29">
        <f>ROUND(F120*G120, 2)</f>
        <v/>
      </c>
      <c r="I120" s="29">
        <f>ROUND(F120-H120, 2)</f>
        <v/>
      </c>
      <c r="J120" s="29" t="n">
        <v>15579.9</v>
      </c>
      <c r="K120" s="30" t="n">
        <v>0.32</v>
      </c>
      <c r="L120" s="29">
        <f>ROUND(F120*K120, 2)</f>
        <v/>
      </c>
      <c r="M120" s="31" t="n">
        <v>0.02230285</v>
      </c>
      <c r="N120" s="31">
        <f>IFERROR(RATE(E120, -J120, I120, -L120), M120)</f>
        <v/>
      </c>
      <c r="O120" s="29">
        <f>IF(N120&gt;0, ROUND(PV(N120, E120, -J120, -L120), 2), I120)</f>
        <v/>
      </c>
      <c r="P120" s="29">
        <f>ROUND(O120-I120, 2)</f>
        <v/>
      </c>
      <c r="Q120" s="31">
        <f>N120*12</f>
        <v/>
      </c>
      <c r="R120" s="31">
        <f>((1+N120)^12)-1</f>
        <v/>
      </c>
      <c r="S120" s="31">
        <f>N120-M120</f>
        <v/>
      </c>
      <c r="T120" s="26">
        <f>IF(ABS(P120)&lt;0.01, "EXACTO", "REVISAR")</f>
        <v/>
      </c>
    </row>
    <row r="121">
      <c r="A121" s="20" t="inlineStr">
        <is>
          <t>0649-0011</t>
        </is>
      </c>
      <c r="B121" s="21" t="inlineStr">
        <is>
          <t>Compusoluciones y Asociados Sa de Cv</t>
        </is>
      </c>
      <c r="C121" s="21" t="inlineStr">
        <is>
          <t>EX40</t>
        </is>
      </c>
      <c r="D121" s="20" t="inlineStr">
        <is>
          <t>ACTIVO</t>
        </is>
      </c>
      <c r="E121" s="22" t="n">
        <v>48</v>
      </c>
      <c r="F121" s="23" t="n">
        <v>775862.0699999999</v>
      </c>
      <c r="G121" s="24" t="n">
        <v>0.35</v>
      </c>
      <c r="H121" s="23">
        <f>ROUND(F121*G121, 2)</f>
        <v/>
      </c>
      <c r="I121" s="23">
        <f>ROUND(F121-H121, 2)</f>
        <v/>
      </c>
      <c r="J121" s="23" t="n">
        <v>14037.34</v>
      </c>
      <c r="K121" s="24" t="n">
        <v>0.39</v>
      </c>
      <c r="L121" s="23">
        <f>ROUND(F121*K121, 2)</f>
        <v/>
      </c>
      <c r="M121" s="25" t="n">
        <v>0.02321198</v>
      </c>
      <c r="N121" s="25">
        <f>IFERROR(RATE(E121, -J121, I121, -L121), M121)</f>
        <v/>
      </c>
      <c r="O121" s="23">
        <f>IF(N121&gt;0, ROUND(PV(N121, E121, -J121, -L121), 2), I121)</f>
        <v/>
      </c>
      <c r="P121" s="23">
        <f>ROUND(O121-I121, 2)</f>
        <v/>
      </c>
      <c r="Q121" s="25">
        <f>N121*12</f>
        <v/>
      </c>
      <c r="R121" s="25">
        <f>((1+N121)^12)-1</f>
        <v/>
      </c>
      <c r="S121" s="25">
        <f>N121-M121</f>
        <v/>
      </c>
      <c r="T121" s="20">
        <f>IF(ABS(P121)&lt;0.01, "EXACTO", "REVISAR")</f>
        <v/>
      </c>
    </row>
    <row r="122">
      <c r="A122" s="26" t="inlineStr">
        <is>
          <t>0649-0012</t>
        </is>
      </c>
      <c r="B122" s="27" t="inlineStr">
        <is>
          <t>Compusoluciones y Asociados Sa de Cv</t>
        </is>
      </c>
      <c r="C122" s="27" t="inlineStr">
        <is>
          <t>Sportage</t>
        </is>
      </c>
      <c r="D122" s="26" t="inlineStr">
        <is>
          <t>ACTIVO</t>
        </is>
      </c>
      <c r="E122" s="28" t="n">
        <v>48</v>
      </c>
      <c r="F122" s="29" t="n">
        <v>593017.24</v>
      </c>
      <c r="G122" s="30" t="n">
        <v>0.35</v>
      </c>
      <c r="H122" s="29">
        <f>ROUND(F122*G122, 2)</f>
        <v/>
      </c>
      <c r="I122" s="29">
        <f>ROUND(F122-H122, 2)</f>
        <v/>
      </c>
      <c r="J122" s="29" t="n">
        <v>10729.22</v>
      </c>
      <c r="K122" s="30" t="n">
        <v>0.39</v>
      </c>
      <c r="L122" s="29">
        <f>ROUND(F122*K122, 2)</f>
        <v/>
      </c>
      <c r="M122" s="31" t="n">
        <v>0.02321199</v>
      </c>
      <c r="N122" s="31">
        <f>IFERROR(RATE(E122, -J122, I122, -L122), M122)</f>
        <v/>
      </c>
      <c r="O122" s="29">
        <f>IF(N122&gt;0, ROUND(PV(N122, E122, -J122, -L122), 2), I122)</f>
        <v/>
      </c>
      <c r="P122" s="29">
        <f>ROUND(O122-I122, 2)</f>
        <v/>
      </c>
      <c r="Q122" s="31">
        <f>N122*12</f>
        <v/>
      </c>
      <c r="R122" s="31">
        <f>((1+N122)^12)-1</f>
        <v/>
      </c>
      <c r="S122" s="31">
        <f>N122-M122</f>
        <v/>
      </c>
      <c r="T122" s="26">
        <f>IF(ABS(P122)&lt;0.01, "EXACTO", "REVISAR")</f>
        <v/>
      </c>
    </row>
    <row r="123">
      <c r="A123" s="20" t="inlineStr">
        <is>
          <t>0649-0013</t>
        </is>
      </c>
      <c r="B123" s="21" t="inlineStr">
        <is>
          <t>Compusoluciones y Asociados Sa de Cv</t>
        </is>
      </c>
      <c r="C123" s="21" t="inlineStr">
        <is>
          <t>Mazda Mazda 3 Hatch Back 2026</t>
        </is>
      </c>
      <c r="D123" s="20" t="inlineStr">
        <is>
          <t>ACTIVO</t>
        </is>
      </c>
      <c r="E123" s="22" t="n">
        <v>48</v>
      </c>
      <c r="F123" s="23" t="n">
        <v>473189.66</v>
      </c>
      <c r="G123" s="24" t="n">
        <v>0.35</v>
      </c>
      <c r="H123" s="23">
        <f>ROUND(F123*G123, 2)</f>
        <v/>
      </c>
      <c r="I123" s="23">
        <f>ROUND(F123-H123, 2)</f>
        <v/>
      </c>
      <c r="J123" s="23" t="n">
        <v>8561.219999999999</v>
      </c>
      <c r="K123" s="24" t="n">
        <v>0.39</v>
      </c>
      <c r="L123" s="23">
        <f>ROUND(F123*K123, 2)</f>
        <v/>
      </c>
      <c r="M123" s="25" t="n">
        <v>0.02321199</v>
      </c>
      <c r="N123" s="25">
        <f>IFERROR(RATE(E123, -J123, I123, -L123), M123)</f>
        <v/>
      </c>
      <c r="O123" s="23">
        <f>IF(N123&gt;0, ROUND(PV(N123, E123, -J123, -L123), 2), I123)</f>
        <v/>
      </c>
      <c r="P123" s="23">
        <f>ROUND(O123-I123, 2)</f>
        <v/>
      </c>
      <c r="Q123" s="25">
        <f>N123*12</f>
        <v/>
      </c>
      <c r="R123" s="25">
        <f>((1+N123)^12)-1</f>
        <v/>
      </c>
      <c r="S123" s="25">
        <f>N123-M123</f>
        <v/>
      </c>
      <c r="T123" s="20">
        <f>IF(ABS(P123)&lt;0.01, "EXACTO", "REVISAR")</f>
        <v/>
      </c>
    </row>
    <row r="124">
      <c r="A124" s="26" t="inlineStr">
        <is>
          <t>0649-0014</t>
        </is>
      </c>
      <c r="B124" s="27" t="inlineStr">
        <is>
          <t>Compusoluciones y Asociados Sa de Cv</t>
        </is>
      </c>
      <c r="C124" s="27" t="inlineStr">
        <is>
          <t>Subaru Forester 2026</t>
        </is>
      </c>
      <c r="D124" s="26" t="inlineStr">
        <is>
          <t>ACTIVO</t>
        </is>
      </c>
      <c r="E124" s="28" t="n">
        <v>48</v>
      </c>
      <c r="F124" s="29" t="n">
        <v>594741.38</v>
      </c>
      <c r="G124" s="30" t="n">
        <v>0.35</v>
      </c>
      <c r="H124" s="29">
        <f>ROUND(F124*G124, 2)</f>
        <v/>
      </c>
      <c r="I124" s="29">
        <f>ROUND(F124-H124, 2)</f>
        <v/>
      </c>
      <c r="J124" s="29" t="n">
        <v>10760.41</v>
      </c>
      <c r="K124" s="30" t="n">
        <v>0.39</v>
      </c>
      <c r="L124" s="29">
        <f>ROUND(F124*K124, 2)</f>
        <v/>
      </c>
      <c r="M124" s="31" t="n">
        <v>0.02321199</v>
      </c>
      <c r="N124" s="31">
        <f>IFERROR(RATE(E124, -J124, I124, -L124), M124)</f>
        <v/>
      </c>
      <c r="O124" s="29">
        <f>IF(N124&gt;0, ROUND(PV(N124, E124, -J124, -L124), 2), I124)</f>
        <v/>
      </c>
      <c r="P124" s="29">
        <f>ROUND(O124-I124, 2)</f>
        <v/>
      </c>
      <c r="Q124" s="31">
        <f>N124*12</f>
        <v/>
      </c>
      <c r="R124" s="31">
        <f>((1+N124)^12)-1</f>
        <v/>
      </c>
      <c r="S124" s="31">
        <f>N124-M124</f>
        <v/>
      </c>
      <c r="T124" s="26">
        <f>IF(ABS(P124)&lt;0.01, "EXACTO", "REVISAR")</f>
        <v/>
      </c>
    </row>
    <row r="125">
      <c r="A125" s="20" t="inlineStr">
        <is>
          <t>0650-0002</t>
        </is>
      </c>
      <c r="B125" s="21" t="inlineStr">
        <is>
          <t>Creando Music</t>
        </is>
      </c>
      <c r="C125" s="21" t="inlineStr">
        <is>
          <t>3008</t>
        </is>
      </c>
      <c r="D125" s="20" t="inlineStr">
        <is>
          <t>ACTIVO</t>
        </is>
      </c>
      <c r="E125" s="22" t="n">
        <v>12</v>
      </c>
      <c r="F125" s="23" t="n">
        <v>629224.14</v>
      </c>
      <c r="G125" s="24" t="n">
        <v>0.1</v>
      </c>
      <c r="H125" s="23">
        <f>ROUND(F125*G125, 2)</f>
        <v/>
      </c>
      <c r="I125" s="23">
        <f>ROUND(F125-H125, 2)</f>
        <v/>
      </c>
      <c r="J125" s="23" t="n">
        <v>36857.82</v>
      </c>
      <c r="K125" s="24" t="n">
        <v>0.4</v>
      </c>
      <c r="L125" s="23">
        <f>ROUND(F125*K125, 2)</f>
        <v/>
      </c>
      <c r="M125" s="25" t="n">
        <v>0.02475979</v>
      </c>
      <c r="N125" s="25">
        <f>IFERROR(RATE(E125, -J125, I125, -L125), M125)</f>
        <v/>
      </c>
      <c r="O125" s="23">
        <f>IF(N125&gt;0, ROUND(PV(N125, E125, -J125, -L125), 2), I125)</f>
        <v/>
      </c>
      <c r="P125" s="23">
        <f>ROUND(O125-I125, 2)</f>
        <v/>
      </c>
      <c r="Q125" s="25">
        <f>N125*12</f>
        <v/>
      </c>
      <c r="R125" s="25">
        <f>((1+N125)^12)-1</f>
        <v/>
      </c>
      <c r="S125" s="25">
        <f>N125-M125</f>
        <v/>
      </c>
      <c r="T125" s="20">
        <f>IF(ABS(P125)&lt;0.01, "EXACTO", "REVISAR")</f>
        <v/>
      </c>
    </row>
    <row r="126">
      <c r="A126" s="26" t="inlineStr">
        <is>
          <t>0651-0001</t>
        </is>
      </c>
      <c r="B126" s="27" t="inlineStr">
        <is>
          <t>Asme Sa de Cv</t>
        </is>
      </c>
      <c r="C126" s="27" t="inlineStr">
        <is>
          <t>Compass High Altitude</t>
        </is>
      </c>
      <c r="D126" s="26" t="inlineStr">
        <is>
          <t>ACTIVO</t>
        </is>
      </c>
      <c r="E126" s="28" t="n">
        <v>48</v>
      </c>
      <c r="F126" s="29" t="n">
        <v>646465.52</v>
      </c>
      <c r="G126" s="30" t="n">
        <v>0.3</v>
      </c>
      <c r="H126" s="29">
        <f>ROUND(F126*G126, 2)</f>
        <v/>
      </c>
      <c r="I126" s="29">
        <f>ROUND(F126-H126, 2)</f>
        <v/>
      </c>
      <c r="J126" s="29" t="n">
        <v>17286.9</v>
      </c>
      <c r="K126" s="30" t="n">
        <v>0.2</v>
      </c>
      <c r="L126" s="29">
        <f>ROUND(F126*K126, 2)</f>
        <v/>
      </c>
      <c r="M126" s="31" t="n">
        <v>0.03167615</v>
      </c>
      <c r="N126" s="31">
        <f>IFERROR(RATE(E126, -J126, I126, -L126), M126)</f>
        <v/>
      </c>
      <c r="O126" s="29">
        <f>IF(N126&gt;0, ROUND(PV(N126, E126, -J126, -L126), 2), I126)</f>
        <v/>
      </c>
      <c r="P126" s="29">
        <f>ROUND(O126-I126, 2)</f>
        <v/>
      </c>
      <c r="Q126" s="31">
        <f>N126*12</f>
        <v/>
      </c>
      <c r="R126" s="31">
        <f>((1+N126)^12)-1</f>
        <v/>
      </c>
      <c r="S126" s="31">
        <f>N126-M126</f>
        <v/>
      </c>
      <c r="T126" s="26">
        <f>IF(ABS(P126)&lt;0.01, "EXACTO", "REVISAR")</f>
        <v/>
      </c>
    </row>
    <row r="127">
      <c r="A127" s="20" t="inlineStr">
        <is>
          <t>0654-0001</t>
        </is>
      </c>
      <c r="B127" s="21" t="inlineStr">
        <is>
          <t>Veronica Orozco Larios</t>
        </is>
      </c>
      <c r="C127" s="21" t="inlineStr">
        <is>
          <t>Ram 4000</t>
        </is>
      </c>
      <c r="D127" s="20" t="inlineStr">
        <is>
          <t>ACTIVO</t>
        </is>
      </c>
      <c r="E127" s="22" t="n">
        <v>36</v>
      </c>
      <c r="F127" s="23" t="n">
        <v>915833.28</v>
      </c>
      <c r="G127" s="24" t="n">
        <v>0.2</v>
      </c>
      <c r="H127" s="23">
        <f>ROUND(F127*G127, 2)</f>
        <v/>
      </c>
      <c r="I127" s="23">
        <f>ROUND(F127-H127, 2)</f>
        <v/>
      </c>
      <c r="J127" s="23" t="n">
        <v>29375.06</v>
      </c>
      <c r="K127" s="24" t="n">
        <v>0.35</v>
      </c>
      <c r="L127" s="23">
        <f>ROUND(F127*K127, 2)</f>
        <v/>
      </c>
      <c r="M127" s="25" t="n">
        <v>0.03146076</v>
      </c>
      <c r="N127" s="25">
        <f>IFERROR(RATE(E127, -J127, I127, -L127), M127)</f>
        <v/>
      </c>
      <c r="O127" s="23">
        <f>IF(N127&gt;0, ROUND(PV(N127, E127, -J127, -L127), 2), I127)</f>
        <v/>
      </c>
      <c r="P127" s="23">
        <f>ROUND(O127-I127, 2)</f>
        <v/>
      </c>
      <c r="Q127" s="25">
        <f>N127*12</f>
        <v/>
      </c>
      <c r="R127" s="25">
        <f>((1+N127)^12)-1</f>
        <v/>
      </c>
      <c r="S127" s="25">
        <f>N127-M127</f>
        <v/>
      </c>
      <c r="T127" s="20">
        <f>IF(ABS(P127)&lt;0.01, "EXACTO", "REVISAR")</f>
        <v/>
      </c>
    </row>
    <row r="128">
      <c r="A128" s="26" t="inlineStr">
        <is>
          <t>0655-0001</t>
        </is>
      </c>
      <c r="B128" s="27" t="inlineStr">
        <is>
          <t>Viñedos de la Rivera Sur de Chapala S de Rl de Cv</t>
        </is>
      </c>
      <c r="C128" s="27" t="inlineStr">
        <is>
          <t>Ram 2500 HEMI</t>
        </is>
      </c>
      <c r="D128" s="26" t="inlineStr">
        <is>
          <t>ACTIVO</t>
        </is>
      </c>
      <c r="E128" s="28" t="n">
        <v>36</v>
      </c>
      <c r="F128" s="29" t="n">
        <v>736982.76</v>
      </c>
      <c r="G128" s="30" t="n">
        <v>0.2</v>
      </c>
      <c r="H128" s="29">
        <f>ROUND(F128*G128, 2)</f>
        <v/>
      </c>
      <c r="I128" s="29">
        <f>ROUND(F128-H128, 2)</f>
        <v/>
      </c>
      <c r="J128" s="29" t="n">
        <v>23638.49</v>
      </c>
      <c r="K128" s="30" t="n">
        <v>0.35</v>
      </c>
      <c r="L128" s="29">
        <f>ROUND(F128*K128, 2)</f>
        <v/>
      </c>
      <c r="M128" s="31" t="n">
        <v>0.03146076</v>
      </c>
      <c r="N128" s="31">
        <f>IFERROR(RATE(E128, -J128, I128, -L128), M128)</f>
        <v/>
      </c>
      <c r="O128" s="29">
        <f>IF(N128&gt;0, ROUND(PV(N128, E128, -J128, -L128), 2), I128)</f>
        <v/>
      </c>
      <c r="P128" s="29">
        <f>ROUND(O128-I128, 2)</f>
        <v/>
      </c>
      <c r="Q128" s="31">
        <f>N128*12</f>
        <v/>
      </c>
      <c r="R128" s="31">
        <f>((1+N128)^12)-1</f>
        <v/>
      </c>
      <c r="S128" s="31">
        <f>N128-M128</f>
        <v/>
      </c>
      <c r="T128" s="26">
        <f>IF(ABS(P128)&lt;0.01, "EXACTO", "REVISAR")</f>
        <v/>
      </c>
    </row>
    <row r="129">
      <c r="A129" s="20" t="inlineStr">
        <is>
          <t>0658-0001</t>
        </is>
      </c>
      <c r="B129" s="21" t="inlineStr">
        <is>
          <t>Esteban Polanco Navarro</t>
        </is>
      </c>
      <c r="C129" s="21" t="inlineStr">
        <is>
          <t>RAM 1500 Long Horn</t>
        </is>
      </c>
      <c r="D129" s="20" t="inlineStr">
        <is>
          <t>ACTIVO</t>
        </is>
      </c>
      <c r="E129" s="22" t="n">
        <v>48</v>
      </c>
      <c r="F129" s="23" t="n">
        <v>1280086.21</v>
      </c>
      <c r="G129" s="24" t="n">
        <v>0.2</v>
      </c>
      <c r="H129" s="23">
        <f>ROUND(F129*G129, 2)</f>
        <v/>
      </c>
      <c r="I129" s="23">
        <f>ROUND(F129-H129, 2)</f>
        <v/>
      </c>
      <c r="J129" s="23" t="n">
        <v>39439.05</v>
      </c>
      <c r="K129" s="24" t="n">
        <v>0.2</v>
      </c>
      <c r="L129" s="23">
        <f>ROUND(F129*K129, 2)</f>
        <v/>
      </c>
      <c r="M129" s="25" t="n">
        <v>0.03165748</v>
      </c>
      <c r="N129" s="25">
        <f>IFERROR(RATE(E129, -J129, I129, -L129), M129)</f>
        <v/>
      </c>
      <c r="O129" s="23">
        <f>IF(N129&gt;0, ROUND(PV(N129, E129, -J129, -L129), 2), I129)</f>
        <v/>
      </c>
      <c r="P129" s="23">
        <f>ROUND(O129-I129, 2)</f>
        <v/>
      </c>
      <c r="Q129" s="25">
        <f>N129*12</f>
        <v/>
      </c>
      <c r="R129" s="25">
        <f>((1+N129)^12)-1</f>
        <v/>
      </c>
      <c r="S129" s="25">
        <f>N129-M129</f>
        <v/>
      </c>
      <c r="T129" s="20">
        <f>IF(ABS(P129)&lt;0.01, "EXACTO", "REVISAR")</f>
        <v/>
      </c>
    </row>
    <row r="130">
      <c r="A130" s="26" t="inlineStr">
        <is>
          <t>0660-0001</t>
        </is>
      </c>
      <c r="B130" s="27" t="inlineStr">
        <is>
          <t>Big Buck Capital sc</t>
        </is>
      </c>
      <c r="C130" s="27" t="inlineStr">
        <is>
          <t>MG 5</t>
        </is>
      </c>
      <c r="D130" s="26" t="inlineStr">
        <is>
          <t>ACTIVO</t>
        </is>
      </c>
      <c r="E130" s="28" t="n">
        <v>48</v>
      </c>
      <c r="F130" s="29" t="n">
        <v>269741.38</v>
      </c>
      <c r="G130" s="30" t="n">
        <v>0.1</v>
      </c>
      <c r="H130" s="29">
        <f>ROUND(F130*G130, 2)</f>
        <v/>
      </c>
      <c r="I130" s="29">
        <f>ROUND(F130-H130, 2)</f>
        <v/>
      </c>
      <c r="J130" s="29" t="n">
        <v>8663.889999999999</v>
      </c>
      <c r="K130" s="30" t="n">
        <v>0.2</v>
      </c>
      <c r="L130" s="29">
        <f>ROUND(F130*K130, 2)</f>
        <v/>
      </c>
      <c r="M130" s="31" t="n">
        <v>0.02775565</v>
      </c>
      <c r="N130" s="31">
        <f>IFERROR(RATE(E130, -J130, I130, -L130), M130)</f>
        <v/>
      </c>
      <c r="O130" s="29">
        <f>IF(N130&gt;0, ROUND(PV(N130, E130, -J130, -L130), 2), I130)</f>
        <v/>
      </c>
      <c r="P130" s="29">
        <f>ROUND(O130-I130, 2)</f>
        <v/>
      </c>
      <c r="Q130" s="31">
        <f>N130*12</f>
        <v/>
      </c>
      <c r="R130" s="31">
        <f>((1+N130)^12)-1</f>
        <v/>
      </c>
      <c r="S130" s="31">
        <f>N130-M130</f>
        <v/>
      </c>
      <c r="T130" s="26">
        <f>IF(ABS(P130)&lt;0.01, "EXACTO", "REVISAR")</f>
        <v/>
      </c>
    </row>
    <row r="131">
      <c r="A131" s="20" t="inlineStr">
        <is>
          <t>0660-0002</t>
        </is>
      </c>
      <c r="B131" s="21" t="inlineStr">
        <is>
          <t>Big Buck Capital Sc</t>
        </is>
      </c>
      <c r="C131" s="21" t="inlineStr">
        <is>
          <t>Sienna</t>
        </is>
      </c>
      <c r="D131" s="20" t="inlineStr">
        <is>
          <t>ACTIVO</t>
        </is>
      </c>
      <c r="E131" s="22" t="n">
        <v>48</v>
      </c>
      <c r="F131" s="23" t="n">
        <v>810258.62</v>
      </c>
      <c r="G131" s="24" t="n">
        <v>0.1</v>
      </c>
      <c r="H131" s="23">
        <f>ROUND(F131*G131, 2)</f>
        <v/>
      </c>
      <c r="I131" s="23">
        <f>ROUND(F131-H131, 2)</f>
        <v/>
      </c>
      <c r="J131" s="23" t="n">
        <v>26395.98</v>
      </c>
      <c r="K131" s="24" t="n">
        <v>0.1</v>
      </c>
      <c r="L131" s="23">
        <f>ROUND(F131*K131, 2)</f>
        <v/>
      </c>
      <c r="M131" s="25" t="n">
        <v>0.0269179</v>
      </c>
      <c r="N131" s="25">
        <f>IFERROR(RATE(E131, -J131, I131, -L131), M131)</f>
        <v/>
      </c>
      <c r="O131" s="23">
        <f>IF(N131&gt;0, ROUND(PV(N131, E131, -J131, -L131), 2), I131)</f>
        <v/>
      </c>
      <c r="P131" s="23">
        <f>ROUND(O131-I131, 2)</f>
        <v/>
      </c>
      <c r="Q131" s="25">
        <f>N131*12</f>
        <v/>
      </c>
      <c r="R131" s="25">
        <f>((1+N131)^12)-1</f>
        <v/>
      </c>
      <c r="S131" s="25">
        <f>N131-M131</f>
        <v/>
      </c>
      <c r="T131" s="20">
        <f>IF(ABS(P131)&lt;0.01, "EXACTO", "REVISAR")</f>
        <v/>
      </c>
    </row>
    <row r="132">
      <c r="A132" s="26" t="inlineStr">
        <is>
          <t>0661-0001</t>
        </is>
      </c>
      <c r="B132" s="27" t="inlineStr">
        <is>
          <t>Veta Vertical Home Sa de Cv</t>
        </is>
      </c>
      <c r="C132" s="27" t="inlineStr">
        <is>
          <t>3008 Allure Pack</t>
        </is>
      </c>
      <c r="D132" s="26" t="inlineStr">
        <is>
          <t>ACTIVO</t>
        </is>
      </c>
      <c r="E132" s="28" t="n">
        <v>48</v>
      </c>
      <c r="F132" s="29" t="n">
        <v>532672.41</v>
      </c>
      <c r="G132" s="30" t="n">
        <v>0.3232</v>
      </c>
      <c r="H132" s="29">
        <f>ROUND(F132*G132, 2)</f>
        <v/>
      </c>
      <c r="I132" s="29">
        <f>ROUND(F132-H132, 2)</f>
        <v/>
      </c>
      <c r="J132" s="29" t="n">
        <v>13742.14</v>
      </c>
      <c r="K132" s="30" t="n">
        <v>0.2</v>
      </c>
      <c r="L132" s="29">
        <f>ROUND(F132*K132, 2)</f>
        <v/>
      </c>
      <c r="M132" s="31" t="n">
        <v>0.03168456</v>
      </c>
      <c r="N132" s="31">
        <f>IFERROR(RATE(E132, -J132, I132, -L132), M132)</f>
        <v/>
      </c>
      <c r="O132" s="29">
        <f>IF(N132&gt;0, ROUND(PV(N132, E132, -J132, -L132), 2), I132)</f>
        <v/>
      </c>
      <c r="P132" s="29">
        <f>ROUND(O132-I132, 2)</f>
        <v/>
      </c>
      <c r="Q132" s="31">
        <f>N132*12</f>
        <v/>
      </c>
      <c r="R132" s="31">
        <f>((1+N132)^12)-1</f>
        <v/>
      </c>
      <c r="S132" s="31">
        <f>N132-M132</f>
        <v/>
      </c>
      <c r="T132" s="26">
        <f>IF(ABS(P132)&lt;0.01, "EXACTO", "REVISAR")</f>
        <v/>
      </c>
    </row>
    <row r="133">
      <c r="A133" s="20" t="inlineStr">
        <is>
          <t>0662-0001</t>
        </is>
      </c>
      <c r="B133" s="21" t="inlineStr">
        <is>
          <t>Luis Jorge de Loera Perez</t>
        </is>
      </c>
      <c r="C133" s="21" t="inlineStr">
        <is>
          <t>L200 GLX Diesel</t>
        </is>
      </c>
      <c r="D133" s="20" t="inlineStr">
        <is>
          <t>ACTIVO</t>
        </is>
      </c>
      <c r="E133" s="22" t="n">
        <v>48</v>
      </c>
      <c r="F133" s="23" t="n">
        <v>557155.17</v>
      </c>
      <c r="G133" s="24" t="n">
        <v>0.2</v>
      </c>
      <c r="H133" s="23">
        <f>ROUND(F133*G133, 2)</f>
        <v/>
      </c>
      <c r="I133" s="23">
        <f>ROUND(F133-H133, 2)</f>
        <v/>
      </c>
      <c r="J133" s="23" t="n">
        <v>17165.78</v>
      </c>
      <c r="K133" s="24" t="n">
        <v>0.2</v>
      </c>
      <c r="L133" s="23">
        <f>ROUND(F133*K133, 2)</f>
        <v/>
      </c>
      <c r="M133" s="25" t="n">
        <v>0.03165748</v>
      </c>
      <c r="N133" s="25">
        <f>IFERROR(RATE(E133, -J133, I133, -L133), M133)</f>
        <v/>
      </c>
      <c r="O133" s="23">
        <f>IF(N133&gt;0, ROUND(PV(N133, E133, -J133, -L133), 2), I133)</f>
        <v/>
      </c>
      <c r="P133" s="23">
        <f>ROUND(O133-I133, 2)</f>
        <v/>
      </c>
      <c r="Q133" s="25">
        <f>N133*12</f>
        <v/>
      </c>
      <c r="R133" s="25">
        <f>((1+N133)^12)-1</f>
        <v/>
      </c>
      <c r="S133" s="25">
        <f>N133-M133</f>
        <v/>
      </c>
      <c r="T133" s="20">
        <f>IF(ABS(P133)&lt;0.01, "EXACTO", "REVISAR")</f>
        <v/>
      </c>
    </row>
    <row r="134">
      <c r="A134" s="26" t="inlineStr">
        <is>
          <t>0662-0002</t>
        </is>
      </c>
      <c r="B134" s="27" t="inlineStr">
        <is>
          <t>Luis Jorge De Loera Perez</t>
        </is>
      </c>
      <c r="C134" s="27" t="inlineStr">
        <is>
          <t>NP 300</t>
        </is>
      </c>
      <c r="D134" s="26" t="inlineStr">
        <is>
          <t>ACTIVO</t>
        </is>
      </c>
      <c r="E134" s="28" t="n">
        <v>48</v>
      </c>
      <c r="F134" s="29" t="n">
        <v>437844.83</v>
      </c>
      <c r="G134" s="30" t="n">
        <v>0.1</v>
      </c>
      <c r="H134" s="29">
        <f>ROUND(F134*G134, 2)</f>
        <v/>
      </c>
      <c r="I134" s="29">
        <f>ROUND(F134-H134, 2)</f>
        <v/>
      </c>
      <c r="J134" s="29" t="n">
        <v>14543.82</v>
      </c>
      <c r="K134" s="30" t="n">
        <v>0.2</v>
      </c>
      <c r="L134" s="29">
        <f>ROUND(F134*K134, 2)</f>
        <v/>
      </c>
      <c r="M134" s="31" t="n">
        <v>0.02931301</v>
      </c>
      <c r="N134" s="31">
        <f>IFERROR(RATE(E134, -J134, I134, -L134), M134)</f>
        <v/>
      </c>
      <c r="O134" s="29">
        <f>IF(N134&gt;0, ROUND(PV(N134, E134, -J134, -L134), 2), I134)</f>
        <v/>
      </c>
      <c r="P134" s="29">
        <f>ROUND(O134-I134, 2)</f>
        <v/>
      </c>
      <c r="Q134" s="31">
        <f>N134*12</f>
        <v/>
      </c>
      <c r="R134" s="31">
        <f>((1+N134)^12)-1</f>
        <v/>
      </c>
      <c r="S134" s="31">
        <f>N134-M134</f>
        <v/>
      </c>
      <c r="T134" s="26">
        <f>IF(ABS(P134)&lt;0.01, "EXACTO", "REVISAR")</f>
        <v/>
      </c>
    </row>
    <row r="135">
      <c r="A135" s="20" t="inlineStr">
        <is>
          <t>0662-0003</t>
        </is>
      </c>
      <c r="B135" s="21" t="inlineStr">
        <is>
          <t>Luis Jorge De Loera Perez</t>
        </is>
      </c>
      <c r="C135" s="21" t="inlineStr">
        <is>
          <t>Rav 4</t>
        </is>
      </c>
      <c r="D135" s="20" t="inlineStr">
        <is>
          <t>ACTIVO</t>
        </is>
      </c>
      <c r="E135" s="22" t="n">
        <v>48</v>
      </c>
      <c r="F135" s="23" t="n">
        <v>538965.52</v>
      </c>
      <c r="G135" s="24" t="n">
        <v>0.2539</v>
      </c>
      <c r="H135" s="23">
        <f>ROUND(F135*G135, 2)</f>
        <v/>
      </c>
      <c r="I135" s="23">
        <f>ROUND(F135-H135, 2)</f>
        <v/>
      </c>
      <c r="J135" s="23" t="n">
        <v>14419.71</v>
      </c>
      <c r="K135" s="24" t="n">
        <v>0.2</v>
      </c>
      <c r="L135" s="23">
        <f>ROUND(F135*K135, 2)</f>
        <v/>
      </c>
      <c r="M135" s="25" t="n">
        <v>0.02855967</v>
      </c>
      <c r="N135" s="25">
        <f>IFERROR(RATE(E135, -J135, I135, -L135), M135)</f>
        <v/>
      </c>
      <c r="O135" s="23">
        <f>IF(N135&gt;0, ROUND(PV(N135, E135, -J135, -L135), 2), I135)</f>
        <v/>
      </c>
      <c r="P135" s="23">
        <f>ROUND(O135-I135, 2)</f>
        <v/>
      </c>
      <c r="Q135" s="25">
        <f>N135*12</f>
        <v/>
      </c>
      <c r="R135" s="25">
        <f>((1+N135)^12)-1</f>
        <v/>
      </c>
      <c r="S135" s="25">
        <f>N135-M135</f>
        <v/>
      </c>
      <c r="T135" s="20">
        <f>IF(ABS(P135)&lt;0.01, "EXACTO", "REVISAR")</f>
        <v/>
      </c>
    </row>
    <row r="136">
      <c r="A136" s="26" t="inlineStr">
        <is>
          <t>0663-0001</t>
        </is>
      </c>
      <c r="B136" s="27" t="inlineStr">
        <is>
          <t>Soluciones de Transporte de Carga B de Sa de Cv</t>
        </is>
      </c>
      <c r="C136" s="27" t="inlineStr">
        <is>
          <t>L200 GLX Diesel</t>
        </is>
      </c>
      <c r="D136" s="26" t="inlineStr">
        <is>
          <t>ACTIVO</t>
        </is>
      </c>
      <c r="E136" s="28" t="n">
        <v>48</v>
      </c>
      <c r="F136" s="29" t="n">
        <v>536762.9300000001</v>
      </c>
      <c r="G136" s="30" t="n">
        <v>0.1</v>
      </c>
      <c r="H136" s="29">
        <f>ROUND(F136*G136, 2)</f>
        <v/>
      </c>
      <c r="I136" s="29">
        <f>ROUND(F136-H136, 2)</f>
        <v/>
      </c>
      <c r="J136" s="29" t="n">
        <v>18721.61</v>
      </c>
      <c r="K136" s="30" t="n">
        <v>0.2</v>
      </c>
      <c r="L136" s="29">
        <f>ROUND(F136*K136, 2)</f>
        <v/>
      </c>
      <c r="M136" s="31" t="n">
        <v>0.03164266</v>
      </c>
      <c r="N136" s="31">
        <f>IFERROR(RATE(E136, -J136, I136, -L136), M136)</f>
        <v/>
      </c>
      <c r="O136" s="29">
        <f>IF(N136&gt;0, ROUND(PV(N136, E136, -J136, -L136), 2), I136)</f>
        <v/>
      </c>
      <c r="P136" s="29">
        <f>ROUND(O136-I136, 2)</f>
        <v/>
      </c>
      <c r="Q136" s="31">
        <f>N136*12</f>
        <v/>
      </c>
      <c r="R136" s="31">
        <f>((1+N136)^12)-1</f>
        <v/>
      </c>
      <c r="S136" s="31">
        <f>N136-M136</f>
        <v/>
      </c>
      <c r="T136" s="26">
        <f>IF(ABS(P136)&lt;0.01, "EXACTO", "REVISAR")</f>
        <v/>
      </c>
    </row>
    <row r="137">
      <c r="A137" s="20" t="inlineStr">
        <is>
          <t>0663-0002</t>
        </is>
      </c>
      <c r="B137" s="21" t="inlineStr">
        <is>
          <t>Diego Hazael Morales Iñiguez</t>
        </is>
      </c>
      <c r="C137" s="21" t="inlineStr">
        <is>
          <t>Wrangler Rubicon</t>
        </is>
      </c>
      <c r="D137" s="20" t="inlineStr">
        <is>
          <t>ACTIVO</t>
        </is>
      </c>
      <c r="E137" s="22" t="n">
        <v>48</v>
      </c>
      <c r="F137" s="23" t="n">
        <v>1054224.14</v>
      </c>
      <c r="G137" s="24" t="n">
        <v>0.4</v>
      </c>
      <c r="H137" s="23">
        <f>ROUND(F137*G137, 2)</f>
        <v/>
      </c>
      <c r="I137" s="23">
        <f>ROUND(F137-H137, 2)</f>
        <v/>
      </c>
      <c r="J137" s="23" t="n">
        <v>24436.15</v>
      </c>
      <c r="K137" s="24" t="n">
        <v>0.1</v>
      </c>
      <c r="L137" s="23">
        <f>ROUND(F137*K137, 2)</f>
        <v/>
      </c>
      <c r="M137" s="25" t="n">
        <v>0.03083681</v>
      </c>
      <c r="N137" s="25">
        <f>IFERROR(RATE(E137, -J137, I137, -L137), M137)</f>
        <v/>
      </c>
      <c r="O137" s="23">
        <f>IF(N137&gt;0, ROUND(PV(N137, E137, -J137, -L137), 2), I137)</f>
        <v/>
      </c>
      <c r="P137" s="23">
        <f>ROUND(O137-I137, 2)</f>
        <v/>
      </c>
      <c r="Q137" s="25">
        <f>N137*12</f>
        <v/>
      </c>
      <c r="R137" s="25">
        <f>((1+N137)^12)-1</f>
        <v/>
      </c>
      <c r="S137" s="25">
        <f>N137-M137</f>
        <v/>
      </c>
      <c r="T137" s="20">
        <f>IF(ABS(P137)&lt;0.01, "EXACTO", "REVISAR")</f>
        <v/>
      </c>
    </row>
    <row r="138">
      <c r="A138" s="26" t="inlineStr">
        <is>
          <t>0665-0001</t>
        </is>
      </c>
      <c r="B138" s="27" t="inlineStr">
        <is>
          <t>Dulce Guadalupe Amezcua Gomez</t>
        </is>
      </c>
      <c r="C138" s="27" t="inlineStr">
        <is>
          <t>Wrangler Jt</t>
        </is>
      </c>
      <c r="D138" s="26" t="inlineStr">
        <is>
          <t>ACTIVO</t>
        </is>
      </c>
      <c r="E138" s="28" t="n">
        <v>48</v>
      </c>
      <c r="F138" s="29" t="n">
        <v>1339568.97</v>
      </c>
      <c r="G138" s="30" t="n">
        <v>0.1028</v>
      </c>
      <c r="H138" s="29">
        <f>ROUND(F138*G138, 2)</f>
        <v/>
      </c>
      <c r="I138" s="29">
        <f>ROUND(F138-H138, 2)</f>
        <v/>
      </c>
      <c r="J138" s="29" t="n">
        <v>46567.29</v>
      </c>
      <c r="K138" s="30" t="n">
        <v>0.2</v>
      </c>
      <c r="L138" s="29">
        <f>ROUND(F138*K138, 2)</f>
        <v/>
      </c>
      <c r="M138" s="31" t="n">
        <v>0.03164037</v>
      </c>
      <c r="N138" s="31">
        <f>IFERROR(RATE(E138, -J138, I138, -L138), M138)</f>
        <v/>
      </c>
      <c r="O138" s="29">
        <f>IF(N138&gt;0, ROUND(PV(N138, E138, -J138, -L138), 2), I138)</f>
        <v/>
      </c>
      <c r="P138" s="29">
        <f>ROUND(O138-I138, 2)</f>
        <v/>
      </c>
      <c r="Q138" s="31">
        <f>N138*12</f>
        <v/>
      </c>
      <c r="R138" s="31">
        <f>((1+N138)^12)-1</f>
        <v/>
      </c>
      <c r="S138" s="31">
        <f>N138-M138</f>
        <v/>
      </c>
      <c r="T138" s="26">
        <f>IF(ABS(P138)&lt;0.01, "EXACTO", "REVISAR")</f>
        <v/>
      </c>
    </row>
    <row r="139">
      <c r="A139" s="20" t="inlineStr">
        <is>
          <t>0666-0003</t>
        </is>
      </c>
      <c r="B139" s="21" t="inlineStr">
        <is>
          <t>Jaime Adrian Muñiz Ramirez</t>
        </is>
      </c>
      <c r="C139" s="21" t="inlineStr">
        <is>
          <t>Wrangler Phev</t>
        </is>
      </c>
      <c r="D139" s="20" t="inlineStr">
        <is>
          <t>ACTIVO</t>
        </is>
      </c>
      <c r="E139" s="22" t="n">
        <v>36</v>
      </c>
      <c r="F139" s="23" t="n">
        <v>1180948.28</v>
      </c>
      <c r="G139" s="24" t="n">
        <v>0.2</v>
      </c>
      <c r="H139" s="23">
        <f>ROUND(F139*G139, 2)</f>
        <v/>
      </c>
      <c r="I139" s="23">
        <f>ROUND(F139-H139, 2)</f>
        <v/>
      </c>
      <c r="J139" s="23" t="n">
        <v>37878.54</v>
      </c>
      <c r="K139" s="24" t="n">
        <v>0.35</v>
      </c>
      <c r="L139" s="23">
        <f>ROUND(F139*K139, 2)</f>
        <v/>
      </c>
      <c r="M139" s="25" t="n">
        <v>0.03146076</v>
      </c>
      <c r="N139" s="25">
        <f>IFERROR(RATE(E139, -J139, I139, -L139), M139)</f>
        <v/>
      </c>
      <c r="O139" s="23">
        <f>IF(N139&gt;0, ROUND(PV(N139, E139, -J139, -L139), 2), I139)</f>
        <v/>
      </c>
      <c r="P139" s="23">
        <f>ROUND(O139-I139, 2)</f>
        <v/>
      </c>
      <c r="Q139" s="25">
        <f>N139*12</f>
        <v/>
      </c>
      <c r="R139" s="25">
        <f>((1+N139)^12)-1</f>
        <v/>
      </c>
      <c r="S139" s="25">
        <f>N139-M139</f>
        <v/>
      </c>
      <c r="T139" s="20">
        <f>IF(ABS(P139)&lt;0.01, "EXACTO", "REVISAR")</f>
        <v/>
      </c>
    </row>
    <row r="140">
      <c r="A140" s="26" t="inlineStr">
        <is>
          <t>0668-0005</t>
        </is>
      </c>
      <c r="B140" s="27" t="inlineStr">
        <is>
          <t>Jorge Alonso Alvarez Garcia</t>
        </is>
      </c>
      <c r="C140" s="27" t="inlineStr">
        <is>
          <t>RAM 700 BIGHORN "S" CREW CAB CVT</t>
        </is>
      </c>
      <c r="D140" s="26" t="inlineStr">
        <is>
          <t>ACTIVO</t>
        </is>
      </c>
      <c r="E140" s="28" t="n">
        <v>12</v>
      </c>
      <c r="F140" s="29" t="n">
        <v>382241.38</v>
      </c>
      <c r="G140" s="30" t="n">
        <v>0.1</v>
      </c>
      <c r="H140" s="29">
        <f>ROUND(F140*G140, 2)</f>
        <v/>
      </c>
      <c r="I140" s="29">
        <f>ROUND(F140-H140, 2)</f>
        <v/>
      </c>
      <c r="J140" s="29" t="n">
        <v>27837.04</v>
      </c>
      <c r="K140" s="30" t="n">
        <v>0.2</v>
      </c>
      <c r="L140" s="29">
        <f>ROUND(F140*K140, 2)</f>
        <v/>
      </c>
      <c r="M140" s="31" t="n">
        <v>0.02432243</v>
      </c>
      <c r="N140" s="31">
        <f>IFERROR(RATE(E140, -J140, I140, -L140), M140)</f>
        <v/>
      </c>
      <c r="O140" s="29">
        <f>IF(N140&gt;0, ROUND(PV(N140, E140, -J140, -L140), 2), I140)</f>
        <v/>
      </c>
      <c r="P140" s="29">
        <f>ROUND(O140-I140, 2)</f>
        <v/>
      </c>
      <c r="Q140" s="31">
        <f>N140*12</f>
        <v/>
      </c>
      <c r="R140" s="31">
        <f>((1+N140)^12)-1</f>
        <v/>
      </c>
      <c r="S140" s="31">
        <f>N140-M140</f>
        <v/>
      </c>
      <c r="T140" s="26">
        <f>IF(ABS(P140)&lt;0.01, "EXACTO", "REVISAR")</f>
        <v/>
      </c>
    </row>
    <row r="141">
      <c r="A141" s="20" t="inlineStr">
        <is>
          <t>0669-0001</t>
        </is>
      </c>
      <c r="B141" s="21" t="inlineStr">
        <is>
          <t>Diego Hazael Morales Iñiguez</t>
        </is>
      </c>
      <c r="C141" s="21" t="inlineStr">
        <is>
          <t>Wrangler Jt</t>
        </is>
      </c>
      <c r="D141" s="20" t="inlineStr">
        <is>
          <t>ACTIVO</t>
        </is>
      </c>
      <c r="E141" s="22" t="n">
        <v>36</v>
      </c>
      <c r="F141" s="23" t="n">
        <v>1339568.97</v>
      </c>
      <c r="G141" s="24" t="n">
        <v>0.4</v>
      </c>
      <c r="H141" s="23">
        <f>ROUND(F141*G141, 2)</f>
        <v/>
      </c>
      <c r="I141" s="23">
        <f>ROUND(F141-H141, 2)</f>
        <v/>
      </c>
      <c r="J141" s="23" t="n">
        <v>35441.3</v>
      </c>
      <c r="K141" s="24" t="n">
        <v>0.1</v>
      </c>
      <c r="L141" s="23">
        <f>ROUND(F141*K141, 2)</f>
        <v/>
      </c>
      <c r="M141" s="25" t="n">
        <v>0.03125269</v>
      </c>
      <c r="N141" s="25">
        <f>IFERROR(RATE(E141, -J141, I141, -L141), M141)</f>
        <v/>
      </c>
      <c r="O141" s="23">
        <f>IF(N141&gt;0, ROUND(PV(N141, E141, -J141, -L141), 2), I141)</f>
        <v/>
      </c>
      <c r="P141" s="23">
        <f>ROUND(O141-I141, 2)</f>
        <v/>
      </c>
      <c r="Q141" s="25">
        <f>N141*12</f>
        <v/>
      </c>
      <c r="R141" s="25">
        <f>((1+N141)^12)-1</f>
        <v/>
      </c>
      <c r="S141" s="25">
        <f>N141-M141</f>
        <v/>
      </c>
      <c r="T141" s="20">
        <f>IF(ABS(P141)&lt;0.01, "EXACTO", "REVISAR")</f>
        <v/>
      </c>
    </row>
    <row r="142">
      <c r="A142" s="26" t="inlineStr">
        <is>
          <t>0670-0001</t>
        </is>
      </c>
      <c r="B142" s="27" t="inlineStr">
        <is>
          <t>Consultoria Internacional Mexincorp Sc</t>
        </is>
      </c>
      <c r="C142" s="27" t="inlineStr">
        <is>
          <t>L200 Limited</t>
        </is>
      </c>
      <c r="D142" s="26" t="inlineStr">
        <is>
          <t>ACTIVO</t>
        </is>
      </c>
      <c r="E142" s="28" t="n">
        <v>48</v>
      </c>
      <c r="F142" s="29" t="n">
        <v>708012.0699999999</v>
      </c>
      <c r="G142" s="30" t="n">
        <v>0.15</v>
      </c>
      <c r="H142" s="29">
        <f>ROUND(F142*G142, 2)</f>
        <v/>
      </c>
      <c r="I142" s="29">
        <f>ROUND(F142-H142, 2)</f>
        <v/>
      </c>
      <c r="J142" s="29" t="n">
        <v>22719.23</v>
      </c>
      <c r="K142" s="30" t="n">
        <v>1</v>
      </c>
      <c r="L142" s="29">
        <f>ROUND(F142*K142, 2)</f>
        <v/>
      </c>
      <c r="M142" s="31" t="n">
        <v>0.02764027</v>
      </c>
      <c r="N142" s="31">
        <f>IFERROR(RATE(E142, -J142, I142, -L142), M142)</f>
        <v/>
      </c>
      <c r="O142" s="29">
        <f>IF(N142&gt;0, ROUND(PV(N142, E142, -J142, -L142), 2), I142)</f>
        <v/>
      </c>
      <c r="P142" s="29">
        <f>ROUND(O142-I142, 2)</f>
        <v/>
      </c>
      <c r="Q142" s="31">
        <f>N142*12</f>
        <v/>
      </c>
      <c r="R142" s="31">
        <f>((1+N142)^12)-1</f>
        <v/>
      </c>
      <c r="S142" s="31">
        <f>N142-M142</f>
        <v/>
      </c>
      <c r="T142" s="26">
        <f>IF(ABS(P142)&lt;0.01, "EXACTO", "REVISAR")</f>
        <v/>
      </c>
    </row>
    <row r="143">
      <c r="A143" s="20" t="inlineStr">
        <is>
          <t>0672-0001</t>
        </is>
      </c>
      <c r="B143" s="21" t="inlineStr">
        <is>
          <t>Bax Blockchain Services Sa de Cv</t>
        </is>
      </c>
      <c r="C143" s="21" t="inlineStr">
        <is>
          <t>Tucson Limited</t>
        </is>
      </c>
      <c r="D143" s="20" t="inlineStr">
        <is>
          <t>ACTIVO</t>
        </is>
      </c>
      <c r="E143" s="22" t="n">
        <v>36</v>
      </c>
      <c r="F143" s="23" t="n">
        <v>590000</v>
      </c>
      <c r="G143" s="24" t="n">
        <v>0.1</v>
      </c>
      <c r="H143" s="23">
        <f>ROUND(F143*G143, 2)</f>
        <v/>
      </c>
      <c r="I143" s="23">
        <f>ROUND(F143-H143, 2)</f>
        <v/>
      </c>
      <c r="J143" s="23" t="n">
        <v>19824.4</v>
      </c>
      <c r="K143" s="24" t="n">
        <v>0.35</v>
      </c>
      <c r="L143" s="23">
        <f>ROUND(F143*K143, 2)</f>
        <v/>
      </c>
      <c r="M143" s="25" t="n">
        <v>0.0271024</v>
      </c>
      <c r="N143" s="25">
        <f>IFERROR(RATE(E143, -J143, I143, -L143), M143)</f>
        <v/>
      </c>
      <c r="O143" s="23">
        <f>IF(N143&gt;0, ROUND(PV(N143, E143, -J143, -L143), 2), I143)</f>
        <v/>
      </c>
      <c r="P143" s="23">
        <f>ROUND(O143-I143, 2)</f>
        <v/>
      </c>
      <c r="Q143" s="25">
        <f>N143*12</f>
        <v/>
      </c>
      <c r="R143" s="25">
        <f>((1+N143)^12)-1</f>
        <v/>
      </c>
      <c r="S143" s="25">
        <f>N143-M143</f>
        <v/>
      </c>
      <c r="T143" s="20">
        <f>IF(ABS(P143)&lt;0.01, "EXACTO", "REVISAR")</f>
        <v/>
      </c>
    </row>
    <row r="144">
      <c r="A144" s="26" t="inlineStr">
        <is>
          <t>0673-0001</t>
        </is>
      </c>
      <c r="B144" s="27" t="inlineStr">
        <is>
          <t>Juan Carlos Cardenas Arciniega</t>
        </is>
      </c>
      <c r="C144" s="27" t="inlineStr">
        <is>
          <t>Wrangler Unlimited</t>
        </is>
      </c>
      <c r="D144" s="26" t="inlineStr">
        <is>
          <t>ACTIVO</t>
        </is>
      </c>
      <c r="E144" s="28" t="n">
        <v>48</v>
      </c>
      <c r="F144" s="29" t="n">
        <v>1129224.14</v>
      </c>
      <c r="G144" s="30" t="n">
        <v>0.1929</v>
      </c>
      <c r="H144" s="29">
        <f>ROUND(F144*G144, 2)</f>
        <v/>
      </c>
      <c r="I144" s="29">
        <f>ROUND(F144-H144, 2)</f>
        <v/>
      </c>
      <c r="J144" s="29" t="n">
        <v>35114.98</v>
      </c>
      <c r="K144" s="30" t="n">
        <v>0.2</v>
      </c>
      <c r="L144" s="29">
        <f>ROUND(F144*K144, 2)</f>
        <v/>
      </c>
      <c r="M144" s="31" t="n">
        <v>0.03165319</v>
      </c>
      <c r="N144" s="31">
        <f>IFERROR(RATE(E144, -J144, I144, -L144), M144)</f>
        <v/>
      </c>
      <c r="O144" s="29">
        <f>IF(N144&gt;0, ROUND(PV(N144, E144, -J144, -L144), 2), I144)</f>
        <v/>
      </c>
      <c r="P144" s="29">
        <f>ROUND(O144-I144, 2)</f>
        <v/>
      </c>
      <c r="Q144" s="31">
        <f>N144*12</f>
        <v/>
      </c>
      <c r="R144" s="31">
        <f>((1+N144)^12)-1</f>
        <v/>
      </c>
      <c r="S144" s="31">
        <f>N144-M144</f>
        <v/>
      </c>
      <c r="T144" s="26">
        <f>IF(ABS(P144)&lt;0.01, "EXACTO", "REVISAR")</f>
        <v/>
      </c>
    </row>
    <row r="145">
      <c r="A145" s="20" t="inlineStr">
        <is>
          <t>0673-0002</t>
        </is>
      </c>
      <c r="B145" s="21" t="inlineStr">
        <is>
          <t>Juan Carlos Cardenas Arciniega</t>
        </is>
      </c>
      <c r="C145" s="21" t="inlineStr">
        <is>
          <t>L200 Glx Diesel</t>
        </is>
      </c>
      <c r="D145" s="20" t="inlineStr">
        <is>
          <t>ACTIVO</t>
        </is>
      </c>
      <c r="E145" s="22" t="n">
        <v>48</v>
      </c>
      <c r="F145" s="23" t="n">
        <v>519355.17</v>
      </c>
      <c r="G145" s="24" t="n">
        <v>0.2</v>
      </c>
      <c r="H145" s="23">
        <f>ROUND(F145*G145, 2)</f>
        <v/>
      </c>
      <c r="I145" s="23">
        <f>ROUND(F145-H145, 2)</f>
        <v/>
      </c>
      <c r="J145" s="23" t="n">
        <v>14981.34</v>
      </c>
      <c r="K145" s="24" t="n">
        <v>0.1</v>
      </c>
      <c r="L145" s="23">
        <f>ROUND(F145*K145, 2)</f>
        <v/>
      </c>
      <c r="M145" s="25" t="n">
        <v>0.0269254</v>
      </c>
      <c r="N145" s="25">
        <f>IFERROR(RATE(E145, -J145, I145, -L145), M145)</f>
        <v/>
      </c>
      <c r="O145" s="23">
        <f>IF(N145&gt;0, ROUND(PV(N145, E145, -J145, -L145), 2), I145)</f>
        <v/>
      </c>
      <c r="P145" s="23">
        <f>ROUND(O145-I145, 2)</f>
        <v/>
      </c>
      <c r="Q145" s="25">
        <f>N145*12</f>
        <v/>
      </c>
      <c r="R145" s="25">
        <f>((1+N145)^12)-1</f>
        <v/>
      </c>
      <c r="S145" s="25">
        <f>N145-M145</f>
        <v/>
      </c>
      <c r="T145" s="20">
        <f>IF(ABS(P145)&lt;0.01, "EXACTO", "REVISAR")</f>
        <v/>
      </c>
    </row>
    <row r="146">
      <c r="A146" s="26" t="inlineStr">
        <is>
          <t>0673-0003</t>
        </is>
      </c>
      <c r="B146" s="27" t="inlineStr">
        <is>
          <t>Juan Carlos Cardenas Arciniega</t>
        </is>
      </c>
      <c r="C146" s="27" t="inlineStr">
        <is>
          <t>Hilux Diesel</t>
        </is>
      </c>
      <c r="D146" s="26" t="inlineStr">
        <is>
          <t>ACTIVO</t>
        </is>
      </c>
      <c r="E146" s="28" t="n">
        <v>48</v>
      </c>
      <c r="F146" s="29" t="n">
        <v>519355.17</v>
      </c>
      <c r="G146" s="30" t="n">
        <v>0.2</v>
      </c>
      <c r="H146" s="29">
        <f>ROUND(F146*G146, 2)</f>
        <v/>
      </c>
      <c r="I146" s="29">
        <f>ROUND(F146-H146, 2)</f>
        <v/>
      </c>
      <c r="J146" s="29" t="n">
        <v>20833.8</v>
      </c>
      <c r="K146" s="30" t="n">
        <v>0.1</v>
      </c>
      <c r="L146" s="29">
        <f>ROUND(F146*K146, 2)</f>
        <v/>
      </c>
      <c r="M146" s="31" t="n">
        <v>0.04467542</v>
      </c>
      <c r="N146" s="31">
        <f>IFERROR(RATE(E146, -J146, I146, -L146), M146)</f>
        <v/>
      </c>
      <c r="O146" s="29">
        <f>IF(N146&gt;0, ROUND(PV(N146, E146, -J146, -L146), 2), I146)</f>
        <v/>
      </c>
      <c r="P146" s="29">
        <f>ROUND(O146-I146, 2)</f>
        <v/>
      </c>
      <c r="Q146" s="31">
        <f>N146*12</f>
        <v/>
      </c>
      <c r="R146" s="31">
        <f>((1+N146)^12)-1</f>
        <v/>
      </c>
      <c r="S146" s="31">
        <f>N146-M146</f>
        <v/>
      </c>
      <c r="T146" s="26">
        <f>IF(ABS(P146)&lt;0.01, "EXACTO", "REVISAR")</f>
        <v/>
      </c>
    </row>
    <row r="147">
      <c r="A147" s="20" t="inlineStr">
        <is>
          <t>0673-0004</t>
        </is>
      </c>
      <c r="B147" s="21" t="inlineStr">
        <is>
          <t>Juan Carlos Cardenas Arciniega</t>
        </is>
      </c>
      <c r="C147" s="21" t="inlineStr">
        <is>
          <t>Np300</t>
        </is>
      </c>
      <c r="D147" s="20" t="inlineStr">
        <is>
          <t>ACTIVO</t>
        </is>
      </c>
      <c r="E147" s="22" t="n">
        <v>24</v>
      </c>
      <c r="F147" s="23" t="n">
        <v>407155.17</v>
      </c>
      <c r="G147" s="24" t="n">
        <v>0.1</v>
      </c>
      <c r="H147" s="23">
        <f>ROUND(F147*G147, 2)</f>
        <v/>
      </c>
      <c r="I147" s="23">
        <f>ROUND(F147-H147, 2)</f>
        <v/>
      </c>
      <c r="J147" s="23" t="n">
        <v>17042.44</v>
      </c>
      <c r="K147" s="24" t="n">
        <v>0.3</v>
      </c>
      <c r="L147" s="23">
        <f>ROUND(F147*K147, 2)</f>
        <v/>
      </c>
      <c r="M147" s="25" t="n">
        <v>0.02620493</v>
      </c>
      <c r="N147" s="25">
        <f>IFERROR(RATE(E147, -J147, I147, -L147), M147)</f>
        <v/>
      </c>
      <c r="O147" s="23">
        <f>IF(N147&gt;0, ROUND(PV(N147, E147, -J147, -L147), 2), I147)</f>
        <v/>
      </c>
      <c r="P147" s="23">
        <f>ROUND(O147-I147, 2)</f>
        <v/>
      </c>
      <c r="Q147" s="25">
        <f>N147*12</f>
        <v/>
      </c>
      <c r="R147" s="25">
        <f>((1+N147)^12)-1</f>
        <v/>
      </c>
      <c r="S147" s="25">
        <f>N147-M147</f>
        <v/>
      </c>
      <c r="T147" s="20">
        <f>IF(ABS(P147)&lt;0.01, "EXACTO", "REVISAR")</f>
        <v/>
      </c>
    </row>
    <row r="148">
      <c r="A148" s="26" t="inlineStr">
        <is>
          <t>0673-0005</t>
        </is>
      </c>
      <c r="B148" s="27" t="inlineStr">
        <is>
          <t>Juan Carlos Cardenas Arciniega</t>
        </is>
      </c>
      <c r="C148" s="27" t="inlineStr">
        <is>
          <t>L200 Glx</t>
        </is>
      </c>
      <c r="D148" s="26" t="inlineStr">
        <is>
          <t>ACTIVO</t>
        </is>
      </c>
      <c r="E148" s="28" t="n">
        <v>36</v>
      </c>
      <c r="F148" s="29" t="n">
        <v>519355.17</v>
      </c>
      <c r="G148" s="30" t="n">
        <v>0.1</v>
      </c>
      <c r="H148" s="29">
        <f>ROUND(F148*G148, 2)</f>
        <v/>
      </c>
      <c r="I148" s="29">
        <f>ROUND(F148-H148, 2)</f>
        <v/>
      </c>
      <c r="J148" s="29" t="n">
        <v>18341.23</v>
      </c>
      <c r="K148" s="30" t="n">
        <v>0.2</v>
      </c>
      <c r="L148" s="29">
        <f>ROUND(F148*K148, 2)</f>
        <v/>
      </c>
      <c r="M148" s="31" t="n">
        <v>0.02590557</v>
      </c>
      <c r="N148" s="31">
        <f>IFERROR(RATE(E148, -J148, I148, -L148), M148)</f>
        <v/>
      </c>
      <c r="O148" s="29">
        <f>IF(N148&gt;0, ROUND(PV(N148, E148, -J148, -L148), 2), I148)</f>
        <v/>
      </c>
      <c r="P148" s="29">
        <f>ROUND(O148-I148, 2)</f>
        <v/>
      </c>
      <c r="Q148" s="31">
        <f>N148*12</f>
        <v/>
      </c>
      <c r="R148" s="31">
        <f>((1+N148)^12)-1</f>
        <v/>
      </c>
      <c r="S148" s="31">
        <f>N148-M148</f>
        <v/>
      </c>
      <c r="T148" s="26">
        <f>IF(ABS(P148)&lt;0.01, "EXACTO", "REVISAR")</f>
        <v/>
      </c>
    </row>
    <row r="149">
      <c r="A149" s="20" t="inlineStr">
        <is>
          <t>0674-0001</t>
        </is>
      </c>
      <c r="B149" s="21" t="inlineStr">
        <is>
          <t>Zuji Sa de Cv</t>
        </is>
      </c>
      <c r="C149" s="21" t="inlineStr">
        <is>
          <t>2008 Allure</t>
        </is>
      </c>
      <c r="D149" s="20" t="inlineStr">
        <is>
          <t>ACTIVO</t>
        </is>
      </c>
      <c r="E149" s="22" t="n">
        <v>36</v>
      </c>
      <c r="F149" s="23" t="n">
        <v>409396.55</v>
      </c>
      <c r="G149" s="24" t="n">
        <v>0.2</v>
      </c>
      <c r="H149" s="23">
        <f>ROUND(F149*G149, 2)</f>
        <v/>
      </c>
      <c r="I149" s="23">
        <f>ROUND(F149-H149, 2)</f>
        <v/>
      </c>
      <c r="J149" s="23" t="n">
        <v>13131.27</v>
      </c>
      <c r="K149" s="24" t="n">
        <v>0.35</v>
      </c>
      <c r="L149" s="23">
        <f>ROUND(F149*K149, 2)</f>
        <v/>
      </c>
      <c r="M149" s="25" t="n">
        <v>0.03146077</v>
      </c>
      <c r="N149" s="25">
        <f>IFERROR(RATE(E149, -J149, I149, -L149), M149)</f>
        <v/>
      </c>
      <c r="O149" s="23">
        <f>IF(N149&gt;0, ROUND(PV(N149, E149, -J149, -L149), 2), I149)</f>
        <v/>
      </c>
      <c r="P149" s="23">
        <f>ROUND(O149-I149, 2)</f>
        <v/>
      </c>
      <c r="Q149" s="25">
        <f>N149*12</f>
        <v/>
      </c>
      <c r="R149" s="25">
        <f>((1+N149)^12)-1</f>
        <v/>
      </c>
      <c r="S149" s="25">
        <f>N149-M149</f>
        <v/>
      </c>
      <c r="T149" s="20">
        <f>IF(ABS(P149)&lt;0.01, "EXACTO", "REVISAR")</f>
        <v/>
      </c>
    </row>
    <row r="150">
      <c r="A150" s="26" t="inlineStr">
        <is>
          <t>0675-0002</t>
        </is>
      </c>
      <c r="B150" s="27" t="inlineStr">
        <is>
          <t>Comercializadora Industrial de Zapopan Sa de Cv</t>
        </is>
      </c>
      <c r="C150" s="27" t="inlineStr">
        <is>
          <t>Valor Residual</t>
        </is>
      </c>
      <c r="D150" s="26" t="inlineStr">
        <is>
          <t>ACTIVO</t>
        </is>
      </c>
      <c r="E150" s="28" t="n">
        <v>12</v>
      </c>
      <c r="F150" s="29" t="n">
        <v>214163.79</v>
      </c>
      <c r="G150" s="30" t="n">
        <v>0</v>
      </c>
      <c r="H150" s="29">
        <f>ROUND(F150*G150, 2)</f>
        <v/>
      </c>
      <c r="I150" s="29">
        <f>ROUND(F150-H150, 2)</f>
        <v/>
      </c>
      <c r="J150" s="29" t="n">
        <v>16144.76</v>
      </c>
      <c r="K150" s="30" t="n">
        <v>0.3</v>
      </c>
      <c r="L150" s="29">
        <f>ROUND(F150*K150, 2)</f>
        <v/>
      </c>
      <c r="M150" s="31" t="n">
        <v>0.02450075</v>
      </c>
      <c r="N150" s="31">
        <f>IFERROR(RATE(E150, -J150, I150, -L150), M150)</f>
        <v/>
      </c>
      <c r="O150" s="29">
        <f>IF(N150&gt;0, ROUND(PV(N150, E150, -J150, -L150), 2), I150)</f>
        <v/>
      </c>
      <c r="P150" s="29">
        <f>ROUND(O150-I150, 2)</f>
        <v/>
      </c>
      <c r="Q150" s="31">
        <f>N150*12</f>
        <v/>
      </c>
      <c r="R150" s="31">
        <f>((1+N150)^12)-1</f>
        <v/>
      </c>
      <c r="S150" s="31">
        <f>N150-M150</f>
        <v/>
      </c>
      <c r="T150" s="26">
        <f>IF(ABS(P150)&lt;0.01, "EXACTO", "REVISAR")</f>
        <v/>
      </c>
    </row>
    <row r="151">
      <c r="A151" s="20" t="inlineStr">
        <is>
          <t>0676-0001</t>
        </is>
      </c>
      <c r="B151" s="21" t="inlineStr">
        <is>
          <t>Productora Agricola los Amoles</t>
        </is>
      </c>
      <c r="C151" s="21" t="inlineStr">
        <is>
          <t>Ram 700 Regular Cab</t>
        </is>
      </c>
      <c r="D151" s="20" t="inlineStr">
        <is>
          <t>ACTIVO</t>
        </is>
      </c>
      <c r="E151" s="22" t="n">
        <v>36</v>
      </c>
      <c r="F151" s="23" t="n">
        <v>271683.62</v>
      </c>
      <c r="G151" s="24" t="n">
        <v>0.1</v>
      </c>
      <c r="H151" s="23">
        <f>ROUND(F151*G151, 2)</f>
        <v/>
      </c>
      <c r="I151" s="23">
        <f>ROUND(F151-H151, 2)</f>
        <v/>
      </c>
      <c r="J151" s="23" t="n">
        <v>9979.08</v>
      </c>
      <c r="K151" s="24" t="n">
        <v>0.35</v>
      </c>
      <c r="L151" s="23">
        <f>ROUND(F151*K151, 2)</f>
        <v/>
      </c>
      <c r="M151" s="25" t="n">
        <v>0.0314266</v>
      </c>
      <c r="N151" s="25">
        <f>IFERROR(RATE(E151, -J151, I151, -L151), M151)</f>
        <v/>
      </c>
      <c r="O151" s="23">
        <f>IF(N151&gt;0, ROUND(PV(N151, E151, -J151, -L151), 2), I151)</f>
        <v/>
      </c>
      <c r="P151" s="23">
        <f>ROUND(O151-I151, 2)</f>
        <v/>
      </c>
      <c r="Q151" s="25">
        <f>N151*12</f>
        <v/>
      </c>
      <c r="R151" s="25">
        <f>((1+N151)^12)-1</f>
        <v/>
      </c>
      <c r="S151" s="25">
        <f>N151-M151</f>
        <v/>
      </c>
      <c r="T151" s="20">
        <f>IF(ABS(P151)&lt;0.01, "EXACTO", "REVISAR")</f>
        <v/>
      </c>
    </row>
    <row r="152">
      <c r="A152" s="26" t="inlineStr">
        <is>
          <t>0677-0001</t>
        </is>
      </c>
      <c r="B152" s="27" t="inlineStr">
        <is>
          <t>Laboratorio Inunza Siglo XXI</t>
        </is>
      </c>
      <c r="C152" s="27" t="inlineStr">
        <is>
          <t>Outlander Diamon</t>
        </is>
      </c>
      <c r="D152" s="26" t="inlineStr">
        <is>
          <t>ACTIVO</t>
        </is>
      </c>
      <c r="E152" s="28" t="n">
        <v>36</v>
      </c>
      <c r="F152" s="29" t="n">
        <v>810258.62</v>
      </c>
      <c r="G152" s="30" t="n">
        <v>0.3</v>
      </c>
      <c r="H152" s="29">
        <f>ROUND(F152*G152, 2)</f>
        <v/>
      </c>
      <c r="I152" s="29">
        <f>ROUND(F152-H152, 2)</f>
        <v/>
      </c>
      <c r="J152" s="29" t="n">
        <v>24012.33</v>
      </c>
      <c r="K152" s="30" t="n">
        <v>0.2</v>
      </c>
      <c r="L152" s="29">
        <f>ROUND(F152*K152, 2)</f>
        <v/>
      </c>
      <c r="M152" s="31" t="n">
        <v>0.0313497</v>
      </c>
      <c r="N152" s="31">
        <f>IFERROR(RATE(E152, -J152, I152, -L152), M152)</f>
        <v/>
      </c>
      <c r="O152" s="29">
        <f>IF(N152&gt;0, ROUND(PV(N152, E152, -J152, -L152), 2), I152)</f>
        <v/>
      </c>
      <c r="P152" s="29">
        <f>ROUND(O152-I152, 2)</f>
        <v/>
      </c>
      <c r="Q152" s="31">
        <f>N152*12</f>
        <v/>
      </c>
      <c r="R152" s="31">
        <f>((1+N152)^12)-1</f>
        <v/>
      </c>
      <c r="S152" s="31">
        <f>N152-M152</f>
        <v/>
      </c>
      <c r="T152" s="26">
        <f>IF(ABS(P152)&lt;0.01, "EXACTO", "REVISAR")</f>
        <v/>
      </c>
    </row>
    <row r="153">
      <c r="A153" s="20" t="inlineStr">
        <is>
          <t>0678-0002</t>
        </is>
      </c>
      <c r="B153" s="21" t="inlineStr">
        <is>
          <t>Bhg Harmony S de Rl de Cv</t>
        </is>
      </c>
      <c r="C153" s="21" t="inlineStr">
        <is>
          <t>Teramont</t>
        </is>
      </c>
      <c r="D153" s="20" t="inlineStr">
        <is>
          <t>ACTIVO</t>
        </is>
      </c>
      <c r="E153" s="22" t="n">
        <v>12</v>
      </c>
      <c r="F153" s="23" t="n">
        <v>885293.97</v>
      </c>
      <c r="G153" s="24" t="n">
        <v>0.4</v>
      </c>
      <c r="H153" s="23">
        <f>ROUND(F153*G153, 2)</f>
        <v/>
      </c>
      <c r="I153" s="23">
        <f>ROUND(F153-H153, 2)</f>
        <v/>
      </c>
      <c r="J153" s="23" t="n">
        <v>45325.62</v>
      </c>
      <c r="K153" s="24" t="n">
        <v>0.1</v>
      </c>
      <c r="L153" s="23">
        <f>ROUND(F153*K153, 2)</f>
        <v/>
      </c>
      <c r="M153" s="25" t="n">
        <v>0.02488565</v>
      </c>
      <c r="N153" s="25">
        <f>IFERROR(RATE(E153, -J153, I153, -L153), M153)</f>
        <v/>
      </c>
      <c r="O153" s="23">
        <f>IF(N153&gt;0, ROUND(PV(N153, E153, -J153, -L153), 2), I153)</f>
        <v/>
      </c>
      <c r="P153" s="23">
        <f>ROUND(O153-I153, 2)</f>
        <v/>
      </c>
      <c r="Q153" s="25">
        <f>N153*12</f>
        <v/>
      </c>
      <c r="R153" s="25">
        <f>((1+N153)^12)-1</f>
        <v/>
      </c>
      <c r="S153" s="25">
        <f>N153-M153</f>
        <v/>
      </c>
      <c r="T153" s="20">
        <f>IF(ABS(P153)&lt;0.01, "EXACTO", "REVISAR")</f>
        <v/>
      </c>
    </row>
    <row r="154">
      <c r="A154" s="26" t="inlineStr">
        <is>
          <t>0679-0001</t>
        </is>
      </c>
      <c r="B154" s="27" t="inlineStr">
        <is>
          <t>Naikor de Occidente Sa de Cv</t>
        </is>
      </c>
      <c r="C154" s="27" t="inlineStr">
        <is>
          <t>2008</t>
        </is>
      </c>
      <c r="D154" s="26" t="inlineStr">
        <is>
          <t>ACTIVO</t>
        </is>
      </c>
      <c r="E154" s="28" t="n">
        <v>48</v>
      </c>
      <c r="F154" s="29" t="n">
        <v>467155.17</v>
      </c>
      <c r="G154" s="30" t="n">
        <v>0.3</v>
      </c>
      <c r="H154" s="29">
        <f>ROUND(F154*G154, 2)</f>
        <v/>
      </c>
      <c r="I154" s="29">
        <f>ROUND(F154-H154, 2)</f>
        <v/>
      </c>
      <c r="J154" s="29" t="n">
        <v>13010.63</v>
      </c>
      <c r="K154" s="30" t="n">
        <v>0.2</v>
      </c>
      <c r="L154" s="29">
        <f>ROUND(F154*K154, 2)</f>
        <v/>
      </c>
      <c r="M154" s="31" t="n">
        <v>0.03361238</v>
      </c>
      <c r="N154" s="31">
        <f>IFERROR(RATE(E154, -J154, I154, -L154), M154)</f>
        <v/>
      </c>
      <c r="O154" s="29">
        <f>IF(N154&gt;0, ROUND(PV(N154, E154, -J154, -L154), 2), I154)</f>
        <v/>
      </c>
      <c r="P154" s="29">
        <f>ROUND(O154-I154, 2)</f>
        <v/>
      </c>
      <c r="Q154" s="31">
        <f>N154*12</f>
        <v/>
      </c>
      <c r="R154" s="31">
        <f>((1+N154)^12)-1</f>
        <v/>
      </c>
      <c r="S154" s="31">
        <f>N154-M154</f>
        <v/>
      </c>
      <c r="T154" s="26">
        <f>IF(ABS(P154)&lt;0.01, "EXACTO", "REVISAR")</f>
        <v/>
      </c>
    </row>
    <row r="155">
      <c r="A155" s="20" t="inlineStr">
        <is>
          <t>0680-0001</t>
        </is>
      </c>
      <c r="B155" s="21" t="inlineStr">
        <is>
          <t>Madereria el Volcan Sa de Cv</t>
        </is>
      </c>
      <c r="C155" s="21" t="inlineStr">
        <is>
          <t>JT Mojave</t>
        </is>
      </c>
      <c r="D155" s="20" t="inlineStr">
        <is>
          <t>ACTIVO</t>
        </is>
      </c>
      <c r="E155" s="22" t="n">
        <v>36</v>
      </c>
      <c r="F155" s="23" t="n">
        <v>1270603.45</v>
      </c>
      <c r="G155" s="24" t="n">
        <v>0.3482</v>
      </c>
      <c r="H155" s="23">
        <f>ROUND(F155*G155, 2)</f>
        <v/>
      </c>
      <c r="I155" s="23">
        <f>ROUND(F155-H155, 2)</f>
        <v/>
      </c>
      <c r="J155" s="23" t="n">
        <v>36683.87</v>
      </c>
      <c r="K155" s="24" t="n">
        <v>0.1</v>
      </c>
      <c r="L155" s="23">
        <f>ROUND(F155*K155, 2)</f>
        <v/>
      </c>
      <c r="M155" s="25" t="n">
        <v>0.031246</v>
      </c>
      <c r="N155" s="25">
        <f>IFERROR(RATE(E155, -J155, I155, -L155), M155)</f>
        <v/>
      </c>
      <c r="O155" s="23">
        <f>IF(N155&gt;0, ROUND(PV(N155, E155, -J155, -L155), 2), I155)</f>
        <v/>
      </c>
      <c r="P155" s="23">
        <f>ROUND(O155-I155, 2)</f>
        <v/>
      </c>
      <c r="Q155" s="25">
        <f>N155*12</f>
        <v/>
      </c>
      <c r="R155" s="25">
        <f>((1+N155)^12)-1</f>
        <v/>
      </c>
      <c r="S155" s="25">
        <f>N155-M155</f>
        <v/>
      </c>
      <c r="T155" s="20">
        <f>IF(ABS(P155)&lt;0.01, "EXACTO", "REVISAR")</f>
        <v/>
      </c>
    </row>
    <row r="156">
      <c r="A156" s="26" t="inlineStr">
        <is>
          <t>0682-0001</t>
        </is>
      </c>
      <c r="B156" s="27" t="inlineStr">
        <is>
          <t>Hidraneumaticos y Equipos para Gas Sa de Cv</t>
        </is>
      </c>
      <c r="C156" s="27" t="inlineStr">
        <is>
          <t>Renegade Limited</t>
        </is>
      </c>
      <c r="D156" s="26" t="inlineStr">
        <is>
          <t>ACTIVO</t>
        </is>
      </c>
      <c r="E156" s="28" t="n">
        <v>24</v>
      </c>
      <c r="F156" s="29" t="n">
        <v>428793.1</v>
      </c>
      <c r="G156" s="30" t="n">
        <v>0.1</v>
      </c>
      <c r="H156" s="29">
        <f>ROUND(F156*G156, 2)</f>
        <v/>
      </c>
      <c r="I156" s="29">
        <f>ROUND(F156-H156, 2)</f>
        <v/>
      </c>
      <c r="J156" s="29" t="n">
        <v>21853.21</v>
      </c>
      <c r="K156" s="30" t="n">
        <v>0.1</v>
      </c>
      <c r="L156" s="29">
        <f>ROUND(F156*K156, 2)</f>
        <v/>
      </c>
      <c r="M156" s="31" t="n">
        <v>0.03118988</v>
      </c>
      <c r="N156" s="31">
        <f>IFERROR(RATE(E156, -J156, I156, -L156), M156)</f>
        <v/>
      </c>
      <c r="O156" s="29">
        <f>IF(N156&gt;0, ROUND(PV(N156, E156, -J156, -L156), 2), I156)</f>
        <v/>
      </c>
      <c r="P156" s="29">
        <f>ROUND(O156-I156, 2)</f>
        <v/>
      </c>
      <c r="Q156" s="31">
        <f>N156*12</f>
        <v/>
      </c>
      <c r="R156" s="31">
        <f>((1+N156)^12)-1</f>
        <v/>
      </c>
      <c r="S156" s="31">
        <f>N156-M156</f>
        <v/>
      </c>
      <c r="T156" s="26">
        <f>IF(ABS(P156)&lt;0.01, "EXACTO", "REVISAR")</f>
        <v/>
      </c>
    </row>
    <row r="157">
      <c r="A157" s="20" t="inlineStr">
        <is>
          <t>0682-0002</t>
        </is>
      </c>
      <c r="B157" s="21" t="inlineStr">
        <is>
          <t>Hidroneumaticos y Equipos para Gas Sa de Cv</t>
        </is>
      </c>
      <c r="C157" s="21" t="inlineStr">
        <is>
          <t>RIO</t>
        </is>
      </c>
      <c r="D157" s="20" t="inlineStr">
        <is>
          <t>ACTIVO</t>
        </is>
      </c>
      <c r="E157" s="22" t="n">
        <v>24</v>
      </c>
      <c r="F157" s="23" t="n">
        <v>224051.72</v>
      </c>
      <c r="G157" s="24" t="n">
        <v>0.1</v>
      </c>
      <c r="H157" s="23">
        <f>ROUND(F157*G157, 2)</f>
        <v/>
      </c>
      <c r="I157" s="23">
        <f>ROUND(F157-H157, 2)</f>
        <v/>
      </c>
      <c r="J157" s="23" t="n">
        <v>11418.67</v>
      </c>
      <c r="K157" s="24" t="n">
        <v>0.1</v>
      </c>
      <c r="L157" s="23">
        <f>ROUND(F157*K157, 2)</f>
        <v/>
      </c>
      <c r="M157" s="25" t="n">
        <v>0.03118987</v>
      </c>
      <c r="N157" s="25">
        <f>IFERROR(RATE(E157, -J157, I157, -L157), M157)</f>
        <v/>
      </c>
      <c r="O157" s="23">
        <f>IF(N157&gt;0, ROUND(PV(N157, E157, -J157, -L157), 2), I157)</f>
        <v/>
      </c>
      <c r="P157" s="23">
        <f>ROUND(O157-I157, 2)</f>
        <v/>
      </c>
      <c r="Q157" s="25">
        <f>N157*12</f>
        <v/>
      </c>
      <c r="R157" s="25">
        <f>((1+N157)^12)-1</f>
        <v/>
      </c>
      <c r="S157" s="25">
        <f>N157-M157</f>
        <v/>
      </c>
      <c r="T157" s="20">
        <f>IF(ABS(P157)&lt;0.01, "EXACTO", "REVISAR")</f>
        <v/>
      </c>
    </row>
    <row r="158">
      <c r="A158" s="26" t="inlineStr">
        <is>
          <t>0683-0001</t>
        </is>
      </c>
      <c r="B158" s="27" t="inlineStr">
        <is>
          <t>Maria de Jesus Sanchez Aguayo</t>
        </is>
      </c>
      <c r="C158" s="27" t="inlineStr">
        <is>
          <t>Ram 700 Regular Cab</t>
        </is>
      </c>
      <c r="D158" s="26" t="inlineStr">
        <is>
          <t>ACTIVO</t>
        </is>
      </c>
      <c r="E158" s="28" t="n">
        <v>36</v>
      </c>
      <c r="F158" s="29" t="n">
        <v>276700.86</v>
      </c>
      <c r="G158" s="30" t="n">
        <v>0.1</v>
      </c>
      <c r="H158" s="29">
        <f>ROUND(F158*G158, 2)</f>
        <v/>
      </c>
      <c r="I158" s="29">
        <f>ROUND(F158-H158, 2)</f>
        <v/>
      </c>
      <c r="J158" s="29" t="n">
        <v>10163.36</v>
      </c>
      <c r="K158" s="30" t="n">
        <v>0.35</v>
      </c>
      <c r="L158" s="29">
        <f>ROUND(F158*K158, 2)</f>
        <v/>
      </c>
      <c r="M158" s="31" t="n">
        <v>0.0314266</v>
      </c>
      <c r="N158" s="31">
        <f>IFERROR(RATE(E158, -J158, I158, -L158), M158)</f>
        <v/>
      </c>
      <c r="O158" s="29">
        <f>IF(N158&gt;0, ROUND(PV(N158, E158, -J158, -L158), 2), I158)</f>
        <v/>
      </c>
      <c r="P158" s="29">
        <f>ROUND(O158-I158, 2)</f>
        <v/>
      </c>
      <c r="Q158" s="31">
        <f>N158*12</f>
        <v/>
      </c>
      <c r="R158" s="31">
        <f>((1+N158)^12)-1</f>
        <v/>
      </c>
      <c r="S158" s="31">
        <f>N158-M158</f>
        <v/>
      </c>
      <c r="T158" s="26">
        <f>IF(ABS(P158)&lt;0.01, "EXACTO", "REVISAR")</f>
        <v/>
      </c>
    </row>
    <row r="159">
      <c r="A159" s="20" t="inlineStr">
        <is>
          <t>0683-0002</t>
        </is>
      </c>
      <c r="B159" s="21" t="inlineStr">
        <is>
          <t>Maria de Jesus Sanchez Aguayo</t>
        </is>
      </c>
      <c r="C159" s="21" t="inlineStr">
        <is>
          <t>700 Tradesman Regular Cab</t>
        </is>
      </c>
      <c r="D159" s="20" t="inlineStr">
        <is>
          <t>ACTIVO</t>
        </is>
      </c>
      <c r="E159" s="22" t="n">
        <v>36</v>
      </c>
      <c r="F159" s="23" t="n">
        <v>267155.17</v>
      </c>
      <c r="G159" s="24" t="n">
        <v>0.1</v>
      </c>
      <c r="H159" s="23">
        <f>ROUND(F159*G159, 2)</f>
        <v/>
      </c>
      <c r="I159" s="23">
        <f>ROUND(F159-H159, 2)</f>
        <v/>
      </c>
      <c r="J159" s="23" t="n">
        <v>9571.969999999999</v>
      </c>
      <c r="K159" s="24" t="n">
        <v>0.2</v>
      </c>
      <c r="L159" s="23">
        <f>ROUND(F159*K159, 2)</f>
        <v/>
      </c>
      <c r="M159" s="25" t="n">
        <v>0.0266784</v>
      </c>
      <c r="N159" s="25">
        <f>IFERROR(RATE(E159, -J159, I159, -L159), M159)</f>
        <v/>
      </c>
      <c r="O159" s="23">
        <f>IF(N159&gt;0, ROUND(PV(N159, E159, -J159, -L159), 2), I159)</f>
        <v/>
      </c>
      <c r="P159" s="23">
        <f>ROUND(O159-I159, 2)</f>
        <v/>
      </c>
      <c r="Q159" s="25">
        <f>N159*12</f>
        <v/>
      </c>
      <c r="R159" s="25">
        <f>((1+N159)^12)-1</f>
        <v/>
      </c>
      <c r="S159" s="25">
        <f>N159-M159</f>
        <v/>
      </c>
      <c r="T159" s="20">
        <f>IF(ABS(P159)&lt;0.01, "EXACTO", "REVISAR")</f>
        <v/>
      </c>
    </row>
    <row r="160">
      <c r="A160" s="26" t="inlineStr">
        <is>
          <t>0684-0001</t>
        </is>
      </c>
      <c r="B160" s="27" t="inlineStr">
        <is>
          <t>Corporativo Kareso Sa de v</t>
        </is>
      </c>
      <c r="C160" s="27" t="inlineStr">
        <is>
          <t>GRAND CHEROKEE LIMITED</t>
        </is>
      </c>
      <c r="D160" s="26" t="inlineStr">
        <is>
          <t>ACTIVO</t>
        </is>
      </c>
      <c r="E160" s="28" t="n">
        <v>24</v>
      </c>
      <c r="F160" s="29" t="n">
        <v>1139655.17</v>
      </c>
      <c r="G160" s="30" t="n">
        <v>0.3</v>
      </c>
      <c r="H160" s="29">
        <f>ROUND(F160*G160, 2)</f>
        <v/>
      </c>
      <c r="I160" s="29">
        <f>ROUND(F160-H160, 2)</f>
        <v/>
      </c>
      <c r="J160" s="29" t="n">
        <v>40866.66</v>
      </c>
      <c r="K160" s="30" t="n">
        <v>0.2</v>
      </c>
      <c r="L160" s="29">
        <f>ROUND(F160*K160, 2)</f>
        <v/>
      </c>
      <c r="M160" s="31" t="n">
        <v>0.0306461</v>
      </c>
      <c r="N160" s="31">
        <f>IFERROR(RATE(E160, -J160, I160, -L160), M160)</f>
        <v/>
      </c>
      <c r="O160" s="29">
        <f>IF(N160&gt;0, ROUND(PV(N160, E160, -J160, -L160), 2), I160)</f>
        <v/>
      </c>
      <c r="P160" s="29">
        <f>ROUND(O160-I160, 2)</f>
        <v/>
      </c>
      <c r="Q160" s="31">
        <f>N160*12</f>
        <v/>
      </c>
      <c r="R160" s="31">
        <f>((1+N160)^12)-1</f>
        <v/>
      </c>
      <c r="S160" s="31">
        <f>N160-M160</f>
        <v/>
      </c>
      <c r="T160" s="26">
        <f>IF(ABS(P160)&lt;0.01, "EXACTO", "REVISAR")</f>
        <v/>
      </c>
    </row>
    <row r="161">
      <c r="A161" s="20" t="inlineStr">
        <is>
          <t>0684-0002</t>
        </is>
      </c>
      <c r="B161" s="21" t="inlineStr">
        <is>
          <t>Corporativo Kareso Sa de Cv</t>
        </is>
      </c>
      <c r="C161" s="21" t="inlineStr">
        <is>
          <t>NP300 Chasis</t>
        </is>
      </c>
      <c r="D161" s="20" t="inlineStr">
        <is>
          <t>ACTIVO</t>
        </is>
      </c>
      <c r="E161" s="22" t="n">
        <v>24</v>
      </c>
      <c r="F161" s="23" t="n">
        <v>468448.28</v>
      </c>
      <c r="G161" s="24" t="n">
        <v>0.3</v>
      </c>
      <c r="H161" s="23">
        <f>ROUND(F161*G161, 2)</f>
        <v/>
      </c>
      <c r="I161" s="23">
        <f>ROUND(F161-H161, 2)</f>
        <v/>
      </c>
      <c r="J161" s="23" t="n">
        <v>15703.94</v>
      </c>
      <c r="K161" s="24" t="n">
        <v>0.2</v>
      </c>
      <c r="L161" s="23">
        <f>ROUND(F161*K161, 2)</f>
        <v/>
      </c>
      <c r="M161" s="25" t="n">
        <v>0.02611184</v>
      </c>
      <c r="N161" s="25">
        <f>IFERROR(RATE(E161, -J161, I161, -L161), M161)</f>
        <v/>
      </c>
      <c r="O161" s="23">
        <f>IF(N161&gt;0, ROUND(PV(N161, E161, -J161, -L161), 2), I161)</f>
        <v/>
      </c>
      <c r="P161" s="23">
        <f>ROUND(O161-I161, 2)</f>
        <v/>
      </c>
      <c r="Q161" s="25">
        <f>N161*12</f>
        <v/>
      </c>
      <c r="R161" s="25">
        <f>((1+N161)^12)-1</f>
        <v/>
      </c>
      <c r="S161" s="25">
        <f>N161-M161</f>
        <v/>
      </c>
      <c r="T161" s="20">
        <f>IF(ABS(P161)&lt;0.01, "EXACTO", "REVISAR")</f>
        <v/>
      </c>
    </row>
    <row r="162">
      <c r="A162" s="26" t="inlineStr">
        <is>
          <t>0684-0003</t>
        </is>
      </c>
      <c r="B162" s="27" t="inlineStr">
        <is>
          <t>Corporativo Kareso Sa de Cv</t>
        </is>
      </c>
      <c r="C162" s="27" t="inlineStr">
        <is>
          <t>Yaris HB</t>
        </is>
      </c>
      <c r="D162" s="26" t="inlineStr">
        <is>
          <t>ACTIVO</t>
        </is>
      </c>
      <c r="E162" s="28" t="n">
        <v>24</v>
      </c>
      <c r="F162" s="29" t="n">
        <v>321810.34</v>
      </c>
      <c r="G162" s="30" t="n">
        <v>0.3</v>
      </c>
      <c r="H162" s="29">
        <f>ROUND(F162*G162, 2)</f>
        <v/>
      </c>
      <c r="I162" s="29">
        <f>ROUND(F162-H162, 2)</f>
        <v/>
      </c>
      <c r="J162" s="29" t="n">
        <v>10788.16</v>
      </c>
      <c r="K162" s="30" t="n">
        <v>0.2</v>
      </c>
      <c r="L162" s="29">
        <f>ROUND(F162*K162, 2)</f>
        <v/>
      </c>
      <c r="M162" s="31" t="n">
        <v>0.02611188</v>
      </c>
      <c r="N162" s="31">
        <f>IFERROR(RATE(E162, -J162, I162, -L162), M162)</f>
        <v/>
      </c>
      <c r="O162" s="29">
        <f>IF(N162&gt;0, ROUND(PV(N162, E162, -J162, -L162), 2), I162)</f>
        <v/>
      </c>
      <c r="P162" s="29">
        <f>ROUND(O162-I162, 2)</f>
        <v/>
      </c>
      <c r="Q162" s="31">
        <f>N162*12</f>
        <v/>
      </c>
      <c r="R162" s="31">
        <f>((1+N162)^12)-1</f>
        <v/>
      </c>
      <c r="S162" s="31">
        <f>N162-M162</f>
        <v/>
      </c>
      <c r="T162" s="26">
        <f>IF(ABS(P162)&lt;0.01, "EXACTO", "REVISAR")</f>
        <v/>
      </c>
    </row>
    <row r="163">
      <c r="A163" s="20" t="inlineStr">
        <is>
          <t>0684-0004</t>
        </is>
      </c>
      <c r="B163" s="21" t="inlineStr">
        <is>
          <t>Corporativo Kareso Sa de Cv</t>
        </is>
      </c>
      <c r="C163" s="21" t="inlineStr">
        <is>
          <t>700 LARAMIE CREW CAB</t>
        </is>
      </c>
      <c r="D163" s="20" t="inlineStr">
        <is>
          <t>ACTIVO</t>
        </is>
      </c>
      <c r="E163" s="22" t="n">
        <v>24</v>
      </c>
      <c r="F163" s="23" t="n">
        <v>420603.45</v>
      </c>
      <c r="G163" s="24" t="n">
        <v>0.3</v>
      </c>
      <c r="H163" s="23">
        <f>ROUND(F163*G163, 2)</f>
        <v/>
      </c>
      <c r="I163" s="23">
        <f>ROUND(F163-H163, 2)</f>
        <v/>
      </c>
      <c r="J163" s="23" t="n">
        <v>14100.03</v>
      </c>
      <c r="K163" s="24" t="n">
        <v>0.2</v>
      </c>
      <c r="L163" s="23">
        <f>ROUND(F163*K163, 2)</f>
        <v/>
      </c>
      <c r="M163" s="25" t="n">
        <v>0.02611186</v>
      </c>
      <c r="N163" s="25">
        <f>IFERROR(RATE(E163, -J163, I163, -L163), M163)</f>
        <v/>
      </c>
      <c r="O163" s="23">
        <f>IF(N163&gt;0, ROUND(PV(N163, E163, -J163, -L163), 2), I163)</f>
        <v/>
      </c>
      <c r="P163" s="23">
        <f>ROUND(O163-I163, 2)</f>
        <v/>
      </c>
      <c r="Q163" s="25">
        <f>N163*12</f>
        <v/>
      </c>
      <c r="R163" s="25">
        <f>((1+N163)^12)-1</f>
        <v/>
      </c>
      <c r="S163" s="25">
        <f>N163-M163</f>
        <v/>
      </c>
      <c r="T163" s="20">
        <f>IF(ABS(P163)&lt;0.01, "EXACTO", "REVISAR")</f>
        <v/>
      </c>
    </row>
    <row r="164">
      <c r="A164" s="26" t="inlineStr">
        <is>
          <t>0687-0001</t>
        </is>
      </c>
      <c r="B164" s="27" t="inlineStr">
        <is>
          <t>Roberto Carlos Borbolla Alvarado</t>
        </is>
      </c>
      <c r="C164" s="27" t="inlineStr">
        <is>
          <t>Creta</t>
        </is>
      </c>
      <c r="D164" s="26" t="inlineStr">
        <is>
          <t>ACTIVO</t>
        </is>
      </c>
      <c r="E164" s="28" t="n">
        <v>36</v>
      </c>
      <c r="F164" s="29" t="n">
        <v>477844.83</v>
      </c>
      <c r="G164" s="30" t="n">
        <v>0.1</v>
      </c>
      <c r="H164" s="29">
        <f>ROUND(F164*G164, 2)</f>
        <v/>
      </c>
      <c r="I164" s="29">
        <f>ROUND(F164-H164, 2)</f>
        <v/>
      </c>
      <c r="J164" s="29" t="n">
        <v>17106.37</v>
      </c>
      <c r="K164" s="30" t="n">
        <v>0.2</v>
      </c>
      <c r="L164" s="29">
        <f>ROUND(F164*K164, 2)</f>
        <v/>
      </c>
      <c r="M164" s="31" t="n">
        <v>0.02663303</v>
      </c>
      <c r="N164" s="31">
        <f>IFERROR(RATE(E164, -J164, I164, -L164), M164)</f>
        <v/>
      </c>
      <c r="O164" s="29">
        <f>IF(N164&gt;0, ROUND(PV(N164, E164, -J164, -L164), 2), I164)</f>
        <v/>
      </c>
      <c r="P164" s="29">
        <f>ROUND(O164-I164, 2)</f>
        <v/>
      </c>
      <c r="Q164" s="31">
        <f>N164*12</f>
        <v/>
      </c>
      <c r="R164" s="31">
        <f>((1+N164)^12)-1</f>
        <v/>
      </c>
      <c r="S164" s="31">
        <f>N164-M164</f>
        <v/>
      </c>
      <c r="T164" s="26">
        <f>IF(ABS(P164)&lt;0.01, "EXACTO", "REVISAR")</f>
        <v/>
      </c>
    </row>
    <row r="165">
      <c r="A165" s="20" t="inlineStr">
        <is>
          <t>0688-0001</t>
        </is>
      </c>
      <c r="B165" s="21" t="inlineStr">
        <is>
          <t>Dolores Magdalena Rosales Rojas</t>
        </is>
      </c>
      <c r="C165" s="21" t="inlineStr">
        <is>
          <t>1500 RHO</t>
        </is>
      </c>
      <c r="D165" s="20" t="inlineStr">
        <is>
          <t>ACTIVO</t>
        </is>
      </c>
      <c r="E165" s="22" t="n">
        <v>24</v>
      </c>
      <c r="F165" s="23" t="n">
        <v>1896465.52</v>
      </c>
      <c r="G165" s="24" t="n">
        <v>0.2</v>
      </c>
      <c r="H165" s="23">
        <f>ROUND(F165*G165, 2)</f>
        <v/>
      </c>
      <c r="I165" s="23">
        <f>ROUND(F165-H165, 2)</f>
        <v/>
      </c>
      <c r="J165" s="23" t="n">
        <v>74273.25</v>
      </c>
      <c r="K165" s="24" t="n">
        <v>0.1</v>
      </c>
      <c r="L165" s="23">
        <f>ROUND(F165*K165, 2)</f>
        <v/>
      </c>
      <c r="M165" s="25" t="n">
        <v>0.02029688</v>
      </c>
      <c r="N165" s="25">
        <f>IFERROR(RATE(E165, -J165, I165, -L165), M165)</f>
        <v/>
      </c>
      <c r="O165" s="23">
        <f>IF(N165&gt;0, ROUND(PV(N165, E165, -J165, -L165), 2), I165)</f>
        <v/>
      </c>
      <c r="P165" s="23">
        <f>ROUND(O165-I165, 2)</f>
        <v/>
      </c>
      <c r="Q165" s="25">
        <f>N165*12</f>
        <v/>
      </c>
      <c r="R165" s="25">
        <f>((1+N165)^12)-1</f>
        <v/>
      </c>
      <c r="S165" s="25">
        <f>N165-M165</f>
        <v/>
      </c>
      <c r="T165" s="20">
        <f>IF(ABS(P165)&lt;0.01, "EXACTO", "REVISAR")</f>
        <v/>
      </c>
    </row>
    <row r="166">
      <c r="A166" s="26" t="inlineStr">
        <is>
          <t>0688-0003</t>
        </is>
      </c>
      <c r="B166" s="27" t="inlineStr">
        <is>
          <t>Dolores Magdalena Rosales Rojas</t>
        </is>
      </c>
      <c r="C166" s="27" t="inlineStr">
        <is>
          <t>Jeep Jt Mojave 2025</t>
        </is>
      </c>
      <c r="D166" s="26" t="inlineStr">
        <is>
          <t>ACTIVO</t>
        </is>
      </c>
      <c r="E166" s="28" t="n">
        <v>12</v>
      </c>
      <c r="F166" s="29" t="n">
        <v>551344.83</v>
      </c>
      <c r="G166" s="30" t="n">
        <v>0</v>
      </c>
      <c r="H166" s="29">
        <f>ROUND(F166*G166, 2)</f>
        <v/>
      </c>
      <c r="I166" s="29">
        <f>ROUND(F166-H166, 2)</f>
        <v/>
      </c>
      <c r="J166" s="29" t="n">
        <v>49406.82</v>
      </c>
      <c r="K166" s="30" t="n">
        <v>0.1</v>
      </c>
      <c r="L166" s="29">
        <f>ROUND(F166*K166, 2)</f>
        <v/>
      </c>
      <c r="M166" s="31" t="n">
        <v>0.02400548</v>
      </c>
      <c r="N166" s="31">
        <f>IFERROR(RATE(E166, -J166, I166, -L166), M166)</f>
        <v/>
      </c>
      <c r="O166" s="29">
        <f>IF(N166&gt;0, ROUND(PV(N166, E166, -J166, -L166), 2), I166)</f>
        <v/>
      </c>
      <c r="P166" s="29">
        <f>ROUND(O166-I166, 2)</f>
        <v/>
      </c>
      <c r="Q166" s="31">
        <f>N166*12</f>
        <v/>
      </c>
      <c r="R166" s="31">
        <f>((1+N166)^12)-1</f>
        <v/>
      </c>
      <c r="S166" s="31">
        <f>N166-M166</f>
        <v/>
      </c>
      <c r="T166" s="26">
        <f>IF(ABS(P166)&lt;0.01, "EXACTO", "REVISAR")</f>
        <v/>
      </c>
    </row>
    <row r="167">
      <c r="A167" s="20" t="inlineStr">
        <is>
          <t>0689-0001</t>
        </is>
      </c>
      <c r="B167" s="21" t="inlineStr">
        <is>
          <t>Daniela Lizette Vargas Machuca</t>
        </is>
      </c>
      <c r="C167" s="21" t="inlineStr">
        <is>
          <t>1500 TUNGSTEN</t>
        </is>
      </c>
      <c r="D167" s="20" t="inlineStr">
        <is>
          <t>ACTIVO</t>
        </is>
      </c>
      <c r="E167" s="22" t="n">
        <v>36</v>
      </c>
      <c r="F167" s="23" t="n">
        <v>1552500</v>
      </c>
      <c r="G167" s="24" t="n">
        <v>0.1</v>
      </c>
      <c r="H167" s="23">
        <f>ROUND(F167*G167, 2)</f>
        <v/>
      </c>
      <c r="I167" s="23">
        <f>ROUND(F167-H167, 2)</f>
        <v/>
      </c>
      <c r="J167" s="23" t="n">
        <v>55588.31</v>
      </c>
      <c r="K167" s="24" t="n">
        <v>0.2</v>
      </c>
      <c r="L167" s="23">
        <f>ROUND(F167*K167, 2)</f>
        <v/>
      </c>
      <c r="M167" s="25" t="n">
        <v>0.02664304</v>
      </c>
      <c r="N167" s="25">
        <f>IFERROR(RATE(E167, -J167, I167, -L167), M167)</f>
        <v/>
      </c>
      <c r="O167" s="23">
        <f>IF(N167&gt;0, ROUND(PV(N167, E167, -J167, -L167), 2), I167)</f>
        <v/>
      </c>
      <c r="P167" s="23">
        <f>ROUND(O167-I167, 2)</f>
        <v/>
      </c>
      <c r="Q167" s="25">
        <f>N167*12</f>
        <v/>
      </c>
      <c r="R167" s="25">
        <f>((1+N167)^12)-1</f>
        <v/>
      </c>
      <c r="S167" s="25">
        <f>N167-M167</f>
        <v/>
      </c>
      <c r="T167" s="20">
        <f>IF(ABS(P167)&lt;0.01, "EXACTO", "REVISAR")</f>
        <v/>
      </c>
    </row>
    <row r="168">
      <c r="A168" s="26" t="inlineStr">
        <is>
          <t>0690-0001</t>
        </is>
      </c>
      <c r="B168" s="27" t="inlineStr">
        <is>
          <t>Rogelio Sanchez Partida</t>
        </is>
      </c>
      <c r="C168" s="27" t="inlineStr">
        <is>
          <t>Grand Cherokee Limited</t>
        </is>
      </c>
      <c r="D168" s="26" t="inlineStr">
        <is>
          <t>ACTIVO</t>
        </is>
      </c>
      <c r="E168" s="28" t="n">
        <v>36</v>
      </c>
      <c r="F168" s="29" t="n">
        <v>1110775.86</v>
      </c>
      <c r="G168" s="30" t="n">
        <v>0.4</v>
      </c>
      <c r="H168" s="29">
        <f>ROUND(F168*G168, 2)</f>
        <v/>
      </c>
      <c r="I168" s="29">
        <f>ROUND(F168-H168, 2)</f>
        <v/>
      </c>
      <c r="J168" s="29" t="n">
        <v>28123.47</v>
      </c>
      <c r="K168" s="30" t="n">
        <v>0.1</v>
      </c>
      <c r="L168" s="29">
        <f>ROUND(F168*K168, 2)</f>
        <v/>
      </c>
      <c r="M168" s="31" t="n">
        <v>0.02867475</v>
      </c>
      <c r="N168" s="31">
        <f>IFERROR(RATE(E168, -J168, I168, -L168), M168)</f>
        <v/>
      </c>
      <c r="O168" s="29">
        <f>IF(N168&gt;0, ROUND(PV(N168, E168, -J168, -L168), 2), I168)</f>
        <v/>
      </c>
      <c r="P168" s="29">
        <f>ROUND(O168-I168, 2)</f>
        <v/>
      </c>
      <c r="Q168" s="31">
        <f>N168*12</f>
        <v/>
      </c>
      <c r="R168" s="31">
        <f>((1+N168)^12)-1</f>
        <v/>
      </c>
      <c r="S168" s="31">
        <f>N168-M168</f>
        <v/>
      </c>
      <c r="T168" s="26">
        <f>IF(ABS(P168)&lt;0.01, "EXACTO", "REVISAR")</f>
        <v/>
      </c>
    </row>
    <row r="169">
      <c r="A169" s="20" t="inlineStr">
        <is>
          <t>0691-0001</t>
        </is>
      </c>
      <c r="B169" s="21" t="inlineStr">
        <is>
          <t>Pfc Films</t>
        </is>
      </c>
      <c r="C169" s="21" t="inlineStr">
        <is>
          <t>2008 allure Pack</t>
        </is>
      </c>
      <c r="D169" s="20" t="inlineStr">
        <is>
          <t>ACTIVO</t>
        </is>
      </c>
      <c r="E169" s="22" t="n">
        <v>24</v>
      </c>
      <c r="F169" s="23" t="n">
        <v>408534.48</v>
      </c>
      <c r="G169" s="24" t="n">
        <v>0.4</v>
      </c>
      <c r="H169" s="23">
        <f>ROUND(F169*G169, 2)</f>
        <v/>
      </c>
      <c r="I169" s="23">
        <f>ROUND(F169-H169, 2)</f>
        <v/>
      </c>
      <c r="J169" s="23" t="n">
        <v>12611.79</v>
      </c>
      <c r="K169" s="24" t="n">
        <v>0.1</v>
      </c>
      <c r="L169" s="23">
        <f>ROUND(F169*K169, 2)</f>
        <v/>
      </c>
      <c r="M169" s="25" t="n">
        <v>0.02601128</v>
      </c>
      <c r="N169" s="25">
        <f>IFERROR(RATE(E169, -J169, I169, -L169), M169)</f>
        <v/>
      </c>
      <c r="O169" s="23">
        <f>IF(N169&gt;0, ROUND(PV(N169, E169, -J169, -L169), 2), I169)</f>
        <v/>
      </c>
      <c r="P169" s="23">
        <f>ROUND(O169-I169, 2)</f>
        <v/>
      </c>
      <c r="Q169" s="25">
        <f>N169*12</f>
        <v/>
      </c>
      <c r="R169" s="25">
        <f>((1+N169)^12)-1</f>
        <v/>
      </c>
      <c r="S169" s="25">
        <f>N169-M169</f>
        <v/>
      </c>
      <c r="T169" s="20">
        <f>IF(ABS(P169)&lt;0.01, "EXACTO", "REVISAR")</f>
        <v/>
      </c>
    </row>
    <row r="170">
      <c r="A170" s="26" t="inlineStr">
        <is>
          <t>0692-0001</t>
        </is>
      </c>
      <c r="B170" s="27" t="inlineStr">
        <is>
          <t>Operadora de Centros Familiares Gato</t>
        </is>
      </c>
      <c r="C170" s="27" t="inlineStr">
        <is>
          <t>Partner Rapid</t>
        </is>
      </c>
      <c r="D170" s="26" t="inlineStr">
        <is>
          <t>ACTIVO</t>
        </is>
      </c>
      <c r="E170" s="28" t="n">
        <v>24</v>
      </c>
      <c r="F170" s="29" t="n">
        <v>247844.83</v>
      </c>
      <c r="G170" s="30" t="n">
        <v>0.09</v>
      </c>
      <c r="H170" s="29">
        <f>ROUND(F170*G170, 2)</f>
        <v/>
      </c>
      <c r="I170" s="29">
        <f>ROUND(F170-H170, 2)</f>
        <v/>
      </c>
      <c r="J170" s="29" t="n">
        <v>12540.23</v>
      </c>
      <c r="K170" s="30" t="n">
        <v>1</v>
      </c>
      <c r="L170" s="29">
        <f>ROUND(F170*K170, 2)</f>
        <v/>
      </c>
      <c r="M170" s="31" t="n">
        <v>0.02504518</v>
      </c>
      <c r="N170" s="31">
        <f>IFERROR(RATE(E170, -J170, I170, -L170), M170)</f>
        <v/>
      </c>
      <c r="O170" s="29">
        <f>IF(N170&gt;0, ROUND(PV(N170, E170, -J170, -L170), 2), I170)</f>
        <v/>
      </c>
      <c r="P170" s="29">
        <f>ROUND(O170-I170, 2)</f>
        <v/>
      </c>
      <c r="Q170" s="31">
        <f>N170*12</f>
        <v/>
      </c>
      <c r="R170" s="31">
        <f>((1+N170)^12)-1</f>
        <v/>
      </c>
      <c r="S170" s="31">
        <f>N170-M170</f>
        <v/>
      </c>
      <c r="T170" s="26">
        <f>IF(ABS(P170)&lt;0.01, "EXACTO", "REVISAR")</f>
        <v/>
      </c>
    </row>
    <row r="171">
      <c r="A171" s="20" t="inlineStr">
        <is>
          <t>0692-0002</t>
        </is>
      </c>
      <c r="B171" s="21" t="inlineStr">
        <is>
          <t>Operadora de Centros Familiares Gato</t>
        </is>
      </c>
      <c r="C171" s="21" t="inlineStr">
        <is>
          <t>Partner Rapid</t>
        </is>
      </c>
      <c r="D171" s="20" t="inlineStr">
        <is>
          <t>ACTIVO</t>
        </is>
      </c>
      <c r="E171" s="22" t="n">
        <v>24</v>
      </c>
      <c r="F171" s="23" t="n">
        <v>247844.83</v>
      </c>
      <c r="G171" s="24" t="n">
        <v>0.09</v>
      </c>
      <c r="H171" s="23">
        <f>ROUND(F171*G171, 2)</f>
        <v/>
      </c>
      <c r="I171" s="23">
        <f>ROUND(F171-H171, 2)</f>
        <v/>
      </c>
      <c r="J171" s="23" t="n">
        <v>12540.23</v>
      </c>
      <c r="K171" s="24" t="n">
        <v>1</v>
      </c>
      <c r="L171" s="23">
        <f>ROUND(F171*K171, 2)</f>
        <v/>
      </c>
      <c r="M171" s="25" t="n">
        <v>0.02504518</v>
      </c>
      <c r="N171" s="25">
        <f>IFERROR(RATE(E171, -J171, I171, -L171), M171)</f>
        <v/>
      </c>
      <c r="O171" s="23">
        <f>IF(N171&gt;0, ROUND(PV(N171, E171, -J171, -L171), 2), I171)</f>
        <v/>
      </c>
      <c r="P171" s="23">
        <f>ROUND(O171-I171, 2)</f>
        <v/>
      </c>
      <c r="Q171" s="25">
        <f>N171*12</f>
        <v/>
      </c>
      <c r="R171" s="25">
        <f>((1+N171)^12)-1</f>
        <v/>
      </c>
      <c r="S171" s="25">
        <f>N171-M171</f>
        <v/>
      </c>
      <c r="T171" s="20">
        <f>IF(ABS(P171)&lt;0.01, "EXACTO", "REVISAR")</f>
        <v/>
      </c>
    </row>
    <row r="172">
      <c r="A172" s="26" t="inlineStr">
        <is>
          <t>0692-0003</t>
        </is>
      </c>
      <c r="B172" s="27" t="inlineStr">
        <is>
          <t>Operadora de Centros Familiares Gato</t>
        </is>
      </c>
      <c r="C172" s="27" t="inlineStr">
        <is>
          <t>Partner Rapid</t>
        </is>
      </c>
      <c r="D172" s="26" t="inlineStr">
        <is>
          <t>ACTIVO</t>
        </is>
      </c>
      <c r="E172" s="28" t="n">
        <v>24</v>
      </c>
      <c r="F172" s="29" t="n">
        <v>247844.83</v>
      </c>
      <c r="G172" s="30" t="n">
        <v>0.09</v>
      </c>
      <c r="H172" s="29">
        <f>ROUND(F172*G172, 2)</f>
        <v/>
      </c>
      <c r="I172" s="29">
        <f>ROUND(F172-H172, 2)</f>
        <v/>
      </c>
      <c r="J172" s="29" t="n">
        <v>12540.23</v>
      </c>
      <c r="K172" s="30" t="n">
        <v>1</v>
      </c>
      <c r="L172" s="29">
        <f>ROUND(F172*K172, 2)</f>
        <v/>
      </c>
      <c r="M172" s="31" t="n">
        <v>0.02504518</v>
      </c>
      <c r="N172" s="31">
        <f>IFERROR(RATE(E172, -J172, I172, -L172), M172)</f>
        <v/>
      </c>
      <c r="O172" s="29">
        <f>IF(N172&gt;0, ROUND(PV(N172, E172, -J172, -L172), 2), I172)</f>
        <v/>
      </c>
      <c r="P172" s="29">
        <f>ROUND(O172-I172, 2)</f>
        <v/>
      </c>
      <c r="Q172" s="31">
        <f>N172*12</f>
        <v/>
      </c>
      <c r="R172" s="31">
        <f>((1+N172)^12)-1</f>
        <v/>
      </c>
      <c r="S172" s="31">
        <f>N172-M172</f>
        <v/>
      </c>
      <c r="T172" s="26">
        <f>IF(ABS(P172)&lt;0.01, "EXACTO", "REVISAR")</f>
        <v/>
      </c>
    </row>
    <row r="173">
      <c r="A173" s="20" t="inlineStr">
        <is>
          <t>0693-0001</t>
        </is>
      </c>
      <c r="B173" s="21" t="inlineStr">
        <is>
          <t>Neurovim</t>
        </is>
      </c>
      <c r="C173" s="21" t="inlineStr">
        <is>
          <t>Equipo Medico</t>
        </is>
      </c>
      <c r="D173" s="20" t="inlineStr">
        <is>
          <t>ACTIVO</t>
        </is>
      </c>
      <c r="E173" s="22" t="n">
        <v>36</v>
      </c>
      <c r="F173" s="23" t="n">
        <v>1820815.2</v>
      </c>
      <c r="G173" s="24" t="n">
        <v>0.08749999999999999</v>
      </c>
      <c r="H173" s="23">
        <f>ROUND(F173*G173, 2)</f>
        <v/>
      </c>
      <c r="I173" s="23">
        <f>ROUND(F173-H173, 2)</f>
        <v/>
      </c>
      <c r="J173" s="23" t="n">
        <v>62790.66</v>
      </c>
      <c r="K173" s="24" t="n">
        <v>0.35</v>
      </c>
      <c r="L173" s="23">
        <f>ROUND(F173*K173, 2)</f>
        <v/>
      </c>
      <c r="M173" s="25" t="n">
        <v>0.02756504</v>
      </c>
      <c r="N173" s="25">
        <f>IFERROR(RATE(E173, -J173, I173, -L173), M173)</f>
        <v/>
      </c>
      <c r="O173" s="23">
        <f>IF(N173&gt;0, ROUND(PV(N173, E173, -J173, -L173), 2), I173)</f>
        <v/>
      </c>
      <c r="P173" s="23">
        <f>ROUND(O173-I173, 2)</f>
        <v/>
      </c>
      <c r="Q173" s="25">
        <f>N173*12</f>
        <v/>
      </c>
      <c r="R173" s="25">
        <f>((1+N173)^12)-1</f>
        <v/>
      </c>
      <c r="S173" s="25">
        <f>N173-M173</f>
        <v/>
      </c>
      <c r="T173" s="20">
        <f>IF(ABS(P173)&lt;0.01, "EXACTO", "REVISAR")</f>
        <v/>
      </c>
    </row>
    <row r="174">
      <c r="A174" s="26" t="inlineStr">
        <is>
          <t>0694-0001</t>
        </is>
      </c>
      <c r="B174" s="27" t="inlineStr">
        <is>
          <t>Jose Gelacio Limon Reyes</t>
        </is>
      </c>
      <c r="C174" s="27" t="inlineStr">
        <is>
          <t>Outlander Sport</t>
        </is>
      </c>
      <c r="D174" s="26" t="inlineStr">
        <is>
          <t>ACTIVO</t>
        </is>
      </c>
      <c r="E174" s="28" t="n">
        <v>48</v>
      </c>
      <c r="F174" s="29" t="n">
        <v>430775.86</v>
      </c>
      <c r="G174" s="30" t="n">
        <v>0.1</v>
      </c>
      <c r="H174" s="29">
        <f>ROUND(F174*G174, 2)</f>
        <v/>
      </c>
      <c r="I174" s="29">
        <f>ROUND(F174-H174, 2)</f>
        <v/>
      </c>
      <c r="J174" s="29" t="n">
        <v>14033.49</v>
      </c>
      <c r="K174" s="30" t="n">
        <v>0.1</v>
      </c>
      <c r="L174" s="29">
        <f>ROUND(F174*K174, 2)</f>
        <v/>
      </c>
      <c r="M174" s="31" t="n">
        <v>0.02691791</v>
      </c>
      <c r="N174" s="31">
        <f>IFERROR(RATE(E174, -J174, I174, -L174), M174)</f>
        <v/>
      </c>
      <c r="O174" s="29">
        <f>IF(N174&gt;0, ROUND(PV(N174, E174, -J174, -L174), 2), I174)</f>
        <v/>
      </c>
      <c r="P174" s="29">
        <f>ROUND(O174-I174, 2)</f>
        <v/>
      </c>
      <c r="Q174" s="31">
        <f>N174*12</f>
        <v/>
      </c>
      <c r="R174" s="31">
        <f>((1+N174)^12)-1</f>
        <v/>
      </c>
      <c r="S174" s="31">
        <f>N174-M174</f>
        <v/>
      </c>
      <c r="T174" s="26">
        <f>IF(ABS(P174)&lt;0.01, "EXACTO", "REVISAR")</f>
        <v/>
      </c>
    </row>
    <row r="175">
      <c r="A175" s="20" t="inlineStr">
        <is>
          <t>0695-0001</t>
        </is>
      </c>
      <c r="B175" s="21" t="inlineStr">
        <is>
          <t>Sistemas de Seguridad Privada Ssp</t>
        </is>
      </c>
      <c r="C175" s="21" t="inlineStr">
        <is>
          <t>Attitude Sport</t>
        </is>
      </c>
      <c r="D175" s="20" t="inlineStr">
        <is>
          <t>ACTIVO</t>
        </is>
      </c>
      <c r="E175" s="22" t="n">
        <v>24</v>
      </c>
      <c r="F175" s="23" t="n">
        <v>400775.86</v>
      </c>
      <c r="G175" s="24" t="n">
        <v>0.2</v>
      </c>
      <c r="H175" s="23">
        <f>ROUND(F175*G175, 2)</f>
        <v/>
      </c>
      <c r="I175" s="23">
        <f>ROUND(F175-H175, 2)</f>
        <v/>
      </c>
      <c r="J175" s="23" t="n">
        <v>13443.77</v>
      </c>
      <c r="K175" s="24" t="n">
        <v>0.2</v>
      </c>
      <c r="L175" s="23">
        <f>ROUND(F175*K175, 2)</f>
        <v/>
      </c>
      <c r="M175" s="25" t="n">
        <v>0.01607423</v>
      </c>
      <c r="N175" s="25">
        <f>IFERROR(RATE(E175, -J175, I175, -L175), M175)</f>
        <v/>
      </c>
      <c r="O175" s="23">
        <f>IF(N175&gt;0, ROUND(PV(N175, E175, -J175, -L175), 2), I175)</f>
        <v/>
      </c>
      <c r="P175" s="23">
        <f>ROUND(O175-I175, 2)</f>
        <v/>
      </c>
      <c r="Q175" s="25">
        <f>N175*12</f>
        <v/>
      </c>
      <c r="R175" s="25">
        <f>((1+N175)^12)-1</f>
        <v/>
      </c>
      <c r="S175" s="25">
        <f>N175-M175</f>
        <v/>
      </c>
      <c r="T175" s="20">
        <f>IF(ABS(P175)&lt;0.01, "EXACTO", "REVISAR")</f>
        <v/>
      </c>
    </row>
    <row r="176">
      <c r="A176" s="26" t="inlineStr">
        <is>
          <t>0696-0001</t>
        </is>
      </c>
      <c r="B176" s="27" t="inlineStr">
        <is>
          <t>Karina Rocio Sanchez Cardenas</t>
        </is>
      </c>
      <c r="C176" s="27" t="inlineStr">
        <is>
          <t>Atittude GT</t>
        </is>
      </c>
      <c r="D176" s="26" t="inlineStr">
        <is>
          <t>ACTIVO</t>
        </is>
      </c>
      <c r="E176" s="28" t="n">
        <v>48</v>
      </c>
      <c r="F176" s="29" t="n">
        <v>430948.28</v>
      </c>
      <c r="G176" s="30" t="n">
        <v>0.1</v>
      </c>
      <c r="H176" s="29">
        <f>ROUND(F176*G176, 2)</f>
        <v/>
      </c>
      <c r="I176" s="29">
        <f>ROUND(F176-H176, 2)</f>
        <v/>
      </c>
      <c r="J176" s="29" t="n">
        <v>14039.1</v>
      </c>
      <c r="K176" s="30" t="n">
        <v>0.1</v>
      </c>
      <c r="L176" s="29">
        <f>ROUND(F176*K176, 2)</f>
        <v/>
      </c>
      <c r="M176" s="31" t="n">
        <v>0.0269179</v>
      </c>
      <c r="N176" s="31">
        <f>IFERROR(RATE(E176, -J176, I176, -L176), M176)</f>
        <v/>
      </c>
      <c r="O176" s="29">
        <f>IF(N176&gt;0, ROUND(PV(N176, E176, -J176, -L176), 2), I176)</f>
        <v/>
      </c>
      <c r="P176" s="29">
        <f>ROUND(O176-I176, 2)</f>
        <v/>
      </c>
      <c r="Q176" s="31">
        <f>N176*12</f>
        <v/>
      </c>
      <c r="R176" s="31">
        <f>((1+N176)^12)-1</f>
        <v/>
      </c>
      <c r="S176" s="31">
        <f>N176-M176</f>
        <v/>
      </c>
      <c r="T176" s="26">
        <f>IF(ABS(P176)&lt;0.01, "EXACTO", "REVISAR")</f>
        <v/>
      </c>
    </row>
    <row r="177">
      <c r="A177" s="20" t="inlineStr">
        <is>
          <t>0697-0001</t>
        </is>
      </c>
      <c r="B177" s="21" t="inlineStr">
        <is>
          <t>Guillermo Eduardo Robles Navarro</t>
        </is>
      </c>
      <c r="C177" s="21" t="inlineStr">
        <is>
          <t>Partner Rapid</t>
        </is>
      </c>
      <c r="D177" s="20" t="inlineStr">
        <is>
          <t>ACTIVO</t>
        </is>
      </c>
      <c r="E177" s="22" t="n">
        <v>24</v>
      </c>
      <c r="F177" s="23" t="n">
        <v>257672.41</v>
      </c>
      <c r="G177" s="24" t="n">
        <v>0.1</v>
      </c>
      <c r="H177" s="23">
        <f>ROUND(F177*G177, 2)</f>
        <v/>
      </c>
      <c r="I177" s="23">
        <f>ROUND(F177-H177, 2)</f>
        <v/>
      </c>
      <c r="J177" s="23" t="n">
        <v>10785.48</v>
      </c>
      <c r="K177" s="24" t="n">
        <v>0.3</v>
      </c>
      <c r="L177" s="23">
        <f>ROUND(F177*K177, 2)</f>
        <v/>
      </c>
      <c r="M177" s="25" t="n">
        <v>0.02620491</v>
      </c>
      <c r="N177" s="25">
        <f>IFERROR(RATE(E177, -J177, I177, -L177), M177)</f>
        <v/>
      </c>
      <c r="O177" s="23">
        <f>IF(N177&gt;0, ROUND(PV(N177, E177, -J177, -L177), 2), I177)</f>
        <v/>
      </c>
      <c r="P177" s="23">
        <f>ROUND(O177-I177, 2)</f>
        <v/>
      </c>
      <c r="Q177" s="25">
        <f>N177*12</f>
        <v/>
      </c>
      <c r="R177" s="25">
        <f>((1+N177)^12)-1</f>
        <v/>
      </c>
      <c r="S177" s="25">
        <f>N177-M177</f>
        <v/>
      </c>
      <c r="T177" s="20">
        <f>IF(ABS(P177)&lt;0.01, "EXACTO", "REVISAR")</f>
        <v/>
      </c>
    </row>
    <row r="178">
      <c r="A178" s="26" t="inlineStr">
        <is>
          <t>0698-0001</t>
        </is>
      </c>
      <c r="B178" s="27" t="inlineStr">
        <is>
          <t>Roberto Gontes Leon</t>
        </is>
      </c>
      <c r="C178" s="27" t="inlineStr">
        <is>
          <t>Wrangler Rubicon</t>
        </is>
      </c>
      <c r="D178" s="26" t="inlineStr">
        <is>
          <t>ACTIVO</t>
        </is>
      </c>
      <c r="E178" s="28" t="n">
        <v>48</v>
      </c>
      <c r="F178" s="29" t="n">
        <v>1267606.03</v>
      </c>
      <c r="G178" s="30" t="n">
        <v>0.2921</v>
      </c>
      <c r="H178" s="29">
        <f>ROUND(F178*G178, 2)</f>
        <v/>
      </c>
      <c r="I178" s="29">
        <f>ROUND(F178-H178, 2)</f>
        <v/>
      </c>
      <c r="J178" s="29" t="n">
        <v>31684.72</v>
      </c>
      <c r="K178" s="30" t="n">
        <v>0.1</v>
      </c>
      <c r="L178" s="29">
        <f>ROUND(F178*K178, 2)</f>
        <v/>
      </c>
      <c r="M178" s="31" t="n">
        <v>0.02615391</v>
      </c>
      <c r="N178" s="31">
        <f>IFERROR(RATE(E178, -J178, I178, -L178), M178)</f>
        <v/>
      </c>
      <c r="O178" s="29">
        <f>IF(N178&gt;0, ROUND(PV(N178, E178, -J178, -L178), 2), I178)</f>
        <v/>
      </c>
      <c r="P178" s="29">
        <f>ROUND(O178-I178, 2)</f>
        <v/>
      </c>
      <c r="Q178" s="31">
        <f>N178*12</f>
        <v/>
      </c>
      <c r="R178" s="31">
        <f>((1+N178)^12)-1</f>
        <v/>
      </c>
      <c r="S178" s="31">
        <f>N178-M178</f>
        <v/>
      </c>
      <c r="T178" s="26">
        <f>IF(ABS(P178)&lt;0.01, "EXACTO", "REVISAR")</f>
        <v/>
      </c>
    </row>
    <row r="179">
      <c r="A179" s="20" t="inlineStr">
        <is>
          <t>0699-0001</t>
        </is>
      </c>
      <c r="B179" s="21" t="inlineStr">
        <is>
          <t>Ramona Salazar Ramos</t>
        </is>
      </c>
      <c r="C179" s="21" t="inlineStr">
        <is>
          <t>Grand Cherokee 2025</t>
        </is>
      </c>
      <c r="D179" s="20" t="inlineStr">
        <is>
          <t>ACTIVO</t>
        </is>
      </c>
      <c r="E179" s="22" t="n">
        <v>36</v>
      </c>
      <c r="F179" s="23" t="n">
        <v>1245603.45</v>
      </c>
      <c r="G179" s="24" t="n">
        <v>0.2</v>
      </c>
      <c r="H179" s="23">
        <f>ROUND(F179*G179, 2)</f>
        <v/>
      </c>
      <c r="I179" s="23">
        <f>ROUND(F179-H179, 2)</f>
        <v/>
      </c>
      <c r="J179" s="23" t="n">
        <v>41253.12</v>
      </c>
      <c r="K179" s="24" t="n">
        <v>0.1</v>
      </c>
      <c r="L179" s="23">
        <f>ROUND(F179*K179, 2)</f>
        <v/>
      </c>
      <c r="M179" s="25" t="n">
        <v>0.0266035</v>
      </c>
      <c r="N179" s="25">
        <f>IFERROR(RATE(E179, -J179, I179, -L179), M179)</f>
        <v/>
      </c>
      <c r="O179" s="23">
        <f>IF(N179&gt;0, ROUND(PV(N179, E179, -J179, -L179), 2), I179)</f>
        <v/>
      </c>
      <c r="P179" s="23">
        <f>ROUND(O179-I179, 2)</f>
        <v/>
      </c>
      <c r="Q179" s="25">
        <f>N179*12</f>
        <v/>
      </c>
      <c r="R179" s="25">
        <f>((1+N179)^12)-1</f>
        <v/>
      </c>
      <c r="S179" s="25">
        <f>N179-M179</f>
        <v/>
      </c>
      <c r="T179" s="20">
        <f>IF(ABS(P179)&lt;0.01, "EXACTO", "REVISAR")</f>
        <v/>
      </c>
    </row>
    <row r="180">
      <c r="A180" s="26" t="inlineStr">
        <is>
          <t>0700-0001</t>
        </is>
      </c>
      <c r="B180" s="27" t="inlineStr">
        <is>
          <t>Felipe de Jesus Ibañez Huizar</t>
        </is>
      </c>
      <c r="C180" s="27" t="inlineStr">
        <is>
          <t>K3</t>
        </is>
      </c>
      <c r="D180" s="26" t="inlineStr">
        <is>
          <t>ACTIVO</t>
        </is>
      </c>
      <c r="E180" s="28" t="n">
        <v>36</v>
      </c>
      <c r="F180" s="29" t="n">
        <v>340948.28</v>
      </c>
      <c r="G180" s="30" t="n">
        <v>0.1</v>
      </c>
      <c r="H180" s="29">
        <f>ROUND(F180*G180, 2)</f>
        <v/>
      </c>
      <c r="I180" s="29">
        <f>ROUND(F180-H180, 2)</f>
        <v/>
      </c>
      <c r="J180" s="29" t="n">
        <v>12215.91</v>
      </c>
      <c r="K180" s="30" t="n">
        <v>0.2</v>
      </c>
      <c r="L180" s="29">
        <f>ROUND(F180*K180, 2)</f>
        <v/>
      </c>
      <c r="M180" s="31" t="n">
        <v>0.02667839</v>
      </c>
      <c r="N180" s="31">
        <f>IFERROR(RATE(E180, -J180, I180, -L180), M180)</f>
        <v/>
      </c>
      <c r="O180" s="29">
        <f>IF(N180&gt;0, ROUND(PV(N180, E180, -J180, -L180), 2), I180)</f>
        <v/>
      </c>
      <c r="P180" s="29">
        <f>ROUND(O180-I180, 2)</f>
        <v/>
      </c>
      <c r="Q180" s="31">
        <f>N180*12</f>
        <v/>
      </c>
      <c r="R180" s="31">
        <f>((1+N180)^12)-1</f>
        <v/>
      </c>
      <c r="S180" s="31">
        <f>N180-M180</f>
        <v/>
      </c>
      <c r="T180" s="26">
        <f>IF(ABS(P180)&lt;0.01, "EXACTO", "REVISAR")</f>
        <v/>
      </c>
    </row>
    <row r="181">
      <c r="A181" s="20" t="inlineStr">
        <is>
          <t>0700-0002</t>
        </is>
      </c>
      <c r="B181" s="21" t="inlineStr">
        <is>
          <t>Felipe de Jesus Ibañez Huizar</t>
        </is>
      </c>
      <c r="C181" s="21" t="inlineStr">
        <is>
          <t>Nissan NP 300 Frontier 2026</t>
        </is>
      </c>
      <c r="D181" s="20" t="inlineStr">
        <is>
          <t>ACTIVO</t>
        </is>
      </c>
      <c r="E181" s="22" t="n">
        <v>24</v>
      </c>
      <c r="F181" s="23" t="n">
        <v>560090.52</v>
      </c>
      <c r="G181" s="24" t="n">
        <v>0.1</v>
      </c>
      <c r="H181" s="23">
        <f>ROUND(F181*G181, 2)</f>
        <v/>
      </c>
      <c r="I181" s="23">
        <f>ROUND(F181-H181, 2)</f>
        <v/>
      </c>
      <c r="J181" s="23" t="n">
        <v>25935.66</v>
      </c>
      <c r="K181" s="24" t="n">
        <v>0.15</v>
      </c>
      <c r="L181" s="23">
        <f>ROUND(F181*K181, 2)</f>
        <v/>
      </c>
      <c r="M181" s="25" t="n">
        <v>0.02601123</v>
      </c>
      <c r="N181" s="25">
        <f>IFERROR(RATE(E181, -J181, I181, -L181), M181)</f>
        <v/>
      </c>
      <c r="O181" s="23">
        <f>IF(N181&gt;0, ROUND(PV(N181, E181, -J181, -L181), 2), I181)</f>
        <v/>
      </c>
      <c r="P181" s="23">
        <f>ROUND(O181-I181, 2)</f>
        <v/>
      </c>
      <c r="Q181" s="25">
        <f>N181*12</f>
        <v/>
      </c>
      <c r="R181" s="25">
        <f>((1+N181)^12)-1</f>
        <v/>
      </c>
      <c r="S181" s="25">
        <f>N181-M181</f>
        <v/>
      </c>
      <c r="T181" s="20">
        <f>IF(ABS(P181)&lt;0.01, "EXACTO", "REVISAR")</f>
        <v/>
      </c>
    </row>
    <row r="182">
      <c r="A182" s="26" t="inlineStr">
        <is>
          <t>0701-0001</t>
        </is>
      </c>
      <c r="B182" s="27" t="inlineStr">
        <is>
          <t>Miguel Angel Yañez Rivera</t>
        </is>
      </c>
      <c r="C182" s="27" t="inlineStr">
        <is>
          <t>Maxi Partner</t>
        </is>
      </c>
      <c r="D182" s="26" t="inlineStr">
        <is>
          <t>ACTIVO</t>
        </is>
      </c>
      <c r="E182" s="28" t="n">
        <v>48</v>
      </c>
      <c r="F182" s="29" t="n">
        <v>343879.31</v>
      </c>
      <c r="G182" s="30" t="n">
        <v>0.3</v>
      </c>
      <c r="H182" s="29">
        <f>ROUND(F182*G182, 2)</f>
        <v/>
      </c>
      <c r="I182" s="29">
        <f>ROUND(F182-H182, 2)</f>
        <v/>
      </c>
      <c r="J182" s="29" t="n">
        <v>8636.469999999999</v>
      </c>
      <c r="K182" s="30" t="n">
        <v>0.1</v>
      </c>
      <c r="L182" s="29">
        <f>ROUND(F182*K182, 2)</f>
        <v/>
      </c>
      <c r="M182" s="31" t="n">
        <v>0.02693493</v>
      </c>
      <c r="N182" s="31">
        <f>IFERROR(RATE(E182, -J182, I182, -L182), M182)</f>
        <v/>
      </c>
      <c r="O182" s="29">
        <f>IF(N182&gt;0, ROUND(PV(N182, E182, -J182, -L182), 2), I182)</f>
        <v/>
      </c>
      <c r="P182" s="29">
        <f>ROUND(O182-I182, 2)</f>
        <v/>
      </c>
      <c r="Q182" s="31">
        <f>N182*12</f>
        <v/>
      </c>
      <c r="R182" s="31">
        <f>((1+N182)^12)-1</f>
        <v/>
      </c>
      <c r="S182" s="31">
        <f>N182-M182</f>
        <v/>
      </c>
      <c r="T182" s="26">
        <f>IF(ABS(P182)&lt;0.01, "EXACTO", "REVISAR")</f>
        <v/>
      </c>
    </row>
    <row r="183">
      <c r="A183" s="20" t="inlineStr">
        <is>
          <t>0702-0001</t>
        </is>
      </c>
      <c r="B183" s="21" t="inlineStr">
        <is>
          <t>Ramses Tadeo Galindo Calderon</t>
        </is>
      </c>
      <c r="C183" s="21" t="inlineStr">
        <is>
          <t>Song Plus</t>
        </is>
      </c>
      <c r="D183" s="20" t="inlineStr">
        <is>
          <t>ACTIVO</t>
        </is>
      </c>
      <c r="E183" s="22" t="n">
        <v>48</v>
      </c>
      <c r="F183" s="23" t="n">
        <v>863082.28</v>
      </c>
      <c r="G183" s="24" t="n">
        <v>0.1733</v>
      </c>
      <c r="H183" s="23">
        <f>ROUND(F183*G183, 2)</f>
        <v/>
      </c>
      <c r="I183" s="23">
        <f>ROUND(F183-H183, 2)</f>
        <v/>
      </c>
      <c r="J183" s="23" t="n">
        <v>17980.88</v>
      </c>
      <c r="K183" s="24" t="n">
        <v>0.3</v>
      </c>
      <c r="L183" s="23">
        <f>ROUND(F183*K183, 2)</f>
        <v/>
      </c>
      <c r="M183" s="25" t="n">
        <v>0.01636118</v>
      </c>
      <c r="N183" s="25">
        <f>IFERROR(RATE(E183, -J183, I183, -L183), M183)</f>
        <v/>
      </c>
      <c r="O183" s="23">
        <f>IF(N183&gt;0, ROUND(PV(N183, E183, -J183, -L183), 2), I183)</f>
        <v/>
      </c>
      <c r="P183" s="23">
        <f>ROUND(O183-I183, 2)</f>
        <v/>
      </c>
      <c r="Q183" s="25">
        <f>N183*12</f>
        <v/>
      </c>
      <c r="R183" s="25">
        <f>((1+N183)^12)-1</f>
        <v/>
      </c>
      <c r="S183" s="25">
        <f>N183-M183</f>
        <v/>
      </c>
      <c r="T183" s="20">
        <f>IF(ABS(P183)&lt;0.01, "EXACTO", "REVISAR")</f>
        <v/>
      </c>
    </row>
    <row r="184">
      <c r="A184" s="26" t="inlineStr">
        <is>
          <t>0703-0002</t>
        </is>
      </c>
      <c r="B184" s="27" t="inlineStr">
        <is>
          <t>Jali Fresh International Sa de Cv</t>
        </is>
      </c>
      <c r="C184" s="27" t="inlineStr">
        <is>
          <t>1500 Tradesman CC</t>
        </is>
      </c>
      <c r="D184" s="26" t="inlineStr">
        <is>
          <t>ACTIVO</t>
        </is>
      </c>
      <c r="E184" s="28" t="n">
        <v>36</v>
      </c>
      <c r="F184" s="29" t="n">
        <v>889568.97</v>
      </c>
      <c r="G184" s="30" t="n">
        <v>0.05</v>
      </c>
      <c r="H184" s="29">
        <f>ROUND(F184*G184, 2)</f>
        <v/>
      </c>
      <c r="I184" s="29">
        <f>ROUND(F184-H184, 2)</f>
        <v/>
      </c>
      <c r="J184" s="29" t="n">
        <v>35258.19</v>
      </c>
      <c r="K184" s="30" t="n">
        <v>0.1</v>
      </c>
      <c r="L184" s="29">
        <f>ROUND(F184*K184, 2)</f>
        <v/>
      </c>
      <c r="M184" s="31" t="n">
        <v>0.02658743</v>
      </c>
      <c r="N184" s="31">
        <f>IFERROR(RATE(E184, -J184, I184, -L184), M184)</f>
        <v/>
      </c>
      <c r="O184" s="29">
        <f>IF(N184&gt;0, ROUND(PV(N184, E184, -J184, -L184), 2), I184)</f>
        <v/>
      </c>
      <c r="P184" s="29">
        <f>ROUND(O184-I184, 2)</f>
        <v/>
      </c>
      <c r="Q184" s="31">
        <f>N184*12</f>
        <v/>
      </c>
      <c r="R184" s="31">
        <f>((1+N184)^12)-1</f>
        <v/>
      </c>
      <c r="S184" s="31">
        <f>N184-M184</f>
        <v/>
      </c>
      <c r="T184" s="26">
        <f>IF(ABS(P184)&lt;0.01, "EXACTO", "REVISAR")</f>
        <v/>
      </c>
    </row>
    <row r="185">
      <c r="A185" s="20" t="inlineStr">
        <is>
          <t>0704-0001</t>
        </is>
      </c>
      <c r="B185" s="21" t="inlineStr">
        <is>
          <t>Cristian Manuel Cruz Gutierrez</t>
        </is>
      </c>
      <c r="C185" s="21" t="inlineStr">
        <is>
          <t>Ram 1200</t>
        </is>
      </c>
      <c r="D185" s="20" t="inlineStr">
        <is>
          <t>ACTIVO</t>
        </is>
      </c>
      <c r="E185" s="22" t="n">
        <v>36</v>
      </c>
      <c r="F185" s="23" t="n">
        <v>577500</v>
      </c>
      <c r="G185" s="24" t="n">
        <v>0.2</v>
      </c>
      <c r="H185" s="23">
        <f>ROUND(F185*G185, 2)</f>
        <v/>
      </c>
      <c r="I185" s="23">
        <f>ROUND(F185-H185, 2)</f>
        <v/>
      </c>
      <c r="J185" s="23" t="n">
        <v>19126.22</v>
      </c>
      <c r="K185" s="24" t="n">
        <v>0.1</v>
      </c>
      <c r="L185" s="23">
        <f>ROUND(F185*K185, 2)</f>
        <v/>
      </c>
      <c r="M185" s="25" t="n">
        <v>0.0266035</v>
      </c>
      <c r="N185" s="25">
        <f>IFERROR(RATE(E185, -J185, I185, -L185), M185)</f>
        <v/>
      </c>
      <c r="O185" s="23">
        <f>IF(N185&gt;0, ROUND(PV(N185, E185, -J185, -L185), 2), I185)</f>
        <v/>
      </c>
      <c r="P185" s="23">
        <f>ROUND(O185-I185, 2)</f>
        <v/>
      </c>
      <c r="Q185" s="25">
        <f>N185*12</f>
        <v/>
      </c>
      <c r="R185" s="25">
        <f>((1+N185)^12)-1</f>
        <v/>
      </c>
      <c r="S185" s="25">
        <f>N185-M185</f>
        <v/>
      </c>
      <c r="T185" s="20">
        <f>IF(ABS(P185)&lt;0.01, "EXACTO", "REVISAR")</f>
        <v/>
      </c>
    </row>
    <row r="186">
      <c r="A186" s="26" t="inlineStr">
        <is>
          <t>0705-0001</t>
        </is>
      </c>
      <c r="B186" s="27" t="inlineStr">
        <is>
          <t>Oscar Alejandro Pedraza Gonzalez</t>
        </is>
      </c>
      <c r="C186" s="27" t="inlineStr">
        <is>
          <t>L200</t>
        </is>
      </c>
      <c r="D186" s="26" t="inlineStr">
        <is>
          <t>ACTIVO</t>
        </is>
      </c>
      <c r="E186" s="28" t="n">
        <v>24</v>
      </c>
      <c r="F186" s="29" t="n">
        <v>525920.6899999999</v>
      </c>
      <c r="G186" s="30" t="n">
        <v>0.3</v>
      </c>
      <c r="H186" s="29">
        <f>ROUND(F186*G186, 2)</f>
        <v/>
      </c>
      <c r="I186" s="29">
        <f>ROUND(F186-H186, 2)</f>
        <v/>
      </c>
      <c r="J186" s="29" t="n">
        <v>17641.67</v>
      </c>
      <c r="K186" s="30" t="n">
        <v>0.2</v>
      </c>
      <c r="L186" s="29">
        <f>ROUND(F186*K186, 2)</f>
        <v/>
      </c>
      <c r="M186" s="31" t="n">
        <v>0.02615303</v>
      </c>
      <c r="N186" s="31">
        <f>IFERROR(RATE(E186, -J186, I186, -L186), M186)</f>
        <v/>
      </c>
      <c r="O186" s="29">
        <f>IF(N186&gt;0, ROUND(PV(N186, E186, -J186, -L186), 2), I186)</f>
        <v/>
      </c>
      <c r="P186" s="29">
        <f>ROUND(O186-I186, 2)</f>
        <v/>
      </c>
      <c r="Q186" s="31">
        <f>N186*12</f>
        <v/>
      </c>
      <c r="R186" s="31">
        <f>((1+N186)^12)-1</f>
        <v/>
      </c>
      <c r="S186" s="31">
        <f>N186-M186</f>
        <v/>
      </c>
      <c r="T186" s="26">
        <f>IF(ABS(P186)&lt;0.01, "EXACTO", "REVISAR")</f>
        <v/>
      </c>
    </row>
    <row r="187">
      <c r="A187" s="20" t="inlineStr">
        <is>
          <t>0706-0001</t>
        </is>
      </c>
      <c r="B187" s="21" t="inlineStr">
        <is>
          <t>Jose Luis Zepeda Gomez</t>
        </is>
      </c>
      <c r="C187" s="21" t="inlineStr">
        <is>
          <t>L200 Glx Diesel</t>
        </is>
      </c>
      <c r="D187" s="20" t="inlineStr">
        <is>
          <t>ACTIVO</t>
        </is>
      </c>
      <c r="E187" s="22" t="n">
        <v>48</v>
      </c>
      <c r="F187" s="23" t="n">
        <v>525920.6899999999</v>
      </c>
      <c r="G187" s="24" t="n">
        <v>0.1</v>
      </c>
      <c r="H187" s="23">
        <f>ROUND(F187*G187, 2)</f>
        <v/>
      </c>
      <c r="I187" s="23">
        <f>ROUND(F187-H187, 2)</f>
        <v/>
      </c>
      <c r="J187" s="23" t="n">
        <v>17133.04</v>
      </c>
      <c r="K187" s="24" t="n">
        <v>0.1</v>
      </c>
      <c r="L187" s="23">
        <f>ROUND(F187*K187, 2)</f>
        <v/>
      </c>
      <c r="M187" s="25" t="n">
        <v>0.0269179</v>
      </c>
      <c r="N187" s="25">
        <f>IFERROR(RATE(E187, -J187, I187, -L187), M187)</f>
        <v/>
      </c>
      <c r="O187" s="23">
        <f>IF(N187&gt;0, ROUND(PV(N187, E187, -J187, -L187), 2), I187)</f>
        <v/>
      </c>
      <c r="P187" s="23">
        <f>ROUND(O187-I187, 2)</f>
        <v/>
      </c>
      <c r="Q187" s="25">
        <f>N187*12</f>
        <v/>
      </c>
      <c r="R187" s="25">
        <f>((1+N187)^12)-1</f>
        <v/>
      </c>
      <c r="S187" s="25">
        <f>N187-M187</f>
        <v/>
      </c>
      <c r="T187" s="20">
        <f>IF(ABS(P187)&lt;0.01, "EXACTO", "REVISAR")</f>
        <v/>
      </c>
    </row>
    <row r="188">
      <c r="A188" s="26" t="inlineStr">
        <is>
          <t>0707-0001</t>
        </is>
      </c>
      <c r="B188" s="27" t="inlineStr">
        <is>
          <t>Cabañas Lupita Sa de Cv</t>
        </is>
      </c>
      <c r="C188" s="27" t="inlineStr">
        <is>
          <t>Jt Rubicon</t>
        </is>
      </c>
      <c r="D188" s="26" t="inlineStr">
        <is>
          <t>ACTIVO</t>
        </is>
      </c>
      <c r="E188" s="28" t="n">
        <v>48</v>
      </c>
      <c r="F188" s="29" t="n">
        <v>1255086.21</v>
      </c>
      <c r="G188" s="30" t="n">
        <v>0.2</v>
      </c>
      <c r="H188" s="29">
        <f>ROUND(F188*G188, 2)</f>
        <v/>
      </c>
      <c r="I188" s="29">
        <f>ROUND(F188-H188, 2)</f>
        <v/>
      </c>
      <c r="J188" s="29" t="n">
        <v>36176.24</v>
      </c>
      <c r="K188" s="30" t="n">
        <v>0.1</v>
      </c>
      <c r="L188" s="29">
        <f>ROUND(F188*K188, 2)</f>
        <v/>
      </c>
      <c r="M188" s="31" t="n">
        <v>0.02688803</v>
      </c>
      <c r="N188" s="31">
        <f>IFERROR(RATE(E188, -J188, I188, -L188), M188)</f>
        <v/>
      </c>
      <c r="O188" s="29">
        <f>IF(N188&gt;0, ROUND(PV(N188, E188, -J188, -L188), 2), I188)</f>
        <v/>
      </c>
      <c r="P188" s="29">
        <f>ROUND(O188-I188, 2)</f>
        <v/>
      </c>
      <c r="Q188" s="31">
        <f>N188*12</f>
        <v/>
      </c>
      <c r="R188" s="31">
        <f>((1+N188)^12)-1</f>
        <v/>
      </c>
      <c r="S188" s="31">
        <f>N188-M188</f>
        <v/>
      </c>
      <c r="T188" s="26">
        <f>IF(ABS(P188)&lt;0.01, "EXACTO", "REVISAR")</f>
        <v/>
      </c>
    </row>
    <row r="189">
      <c r="A189" s="20" t="inlineStr">
        <is>
          <t>0708-0001</t>
        </is>
      </c>
      <c r="B189" s="21" t="inlineStr">
        <is>
          <t>Pumps Company Sa de Cv</t>
        </is>
      </c>
      <c r="C189" s="21" t="inlineStr">
        <is>
          <t>L200 Glx Diesel</t>
        </is>
      </c>
      <c r="D189" s="20" t="inlineStr">
        <is>
          <t>ACTIVO</t>
        </is>
      </c>
      <c r="E189" s="22" t="n">
        <v>36</v>
      </c>
      <c r="F189" s="23" t="n">
        <v>557155.17</v>
      </c>
      <c r="G189" s="24" t="n">
        <v>0.4</v>
      </c>
      <c r="H189" s="23">
        <f>ROUND(F189*G189, 2)</f>
        <v/>
      </c>
      <c r="I189" s="23">
        <f>ROUND(F189-H189, 2)</f>
        <v/>
      </c>
      <c r="J189" s="23" t="n">
        <v>13611.73</v>
      </c>
      <c r="K189" s="24" t="n">
        <v>0.1</v>
      </c>
      <c r="L189" s="23">
        <f>ROUND(F189*K189, 2)</f>
        <v/>
      </c>
      <c r="M189" s="25" t="n">
        <v>0.02663643</v>
      </c>
      <c r="N189" s="25">
        <f>IFERROR(RATE(E189, -J189, I189, -L189), M189)</f>
        <v/>
      </c>
      <c r="O189" s="23">
        <f>IF(N189&gt;0, ROUND(PV(N189, E189, -J189, -L189), 2), I189)</f>
        <v/>
      </c>
      <c r="P189" s="23">
        <f>ROUND(O189-I189, 2)</f>
        <v/>
      </c>
      <c r="Q189" s="25">
        <f>N189*12</f>
        <v/>
      </c>
      <c r="R189" s="25">
        <f>((1+N189)^12)-1</f>
        <v/>
      </c>
      <c r="S189" s="25">
        <f>N189-M189</f>
        <v/>
      </c>
      <c r="T189" s="20">
        <f>IF(ABS(P189)&lt;0.01, "EXACTO", "REVISAR")</f>
        <v/>
      </c>
    </row>
    <row r="190">
      <c r="A190" s="26" t="inlineStr">
        <is>
          <t>0708-0002</t>
        </is>
      </c>
      <c r="B190" s="27" t="inlineStr">
        <is>
          <t>Pumps Company Sa de Cv</t>
        </is>
      </c>
      <c r="C190" s="27" t="inlineStr">
        <is>
          <t>L200 Glx Diesel</t>
        </is>
      </c>
      <c r="D190" s="26" t="inlineStr">
        <is>
          <t>ACTIVO</t>
        </is>
      </c>
      <c r="E190" s="28" t="n">
        <v>36</v>
      </c>
      <c r="F190" s="29" t="n">
        <v>557155.17</v>
      </c>
      <c r="G190" s="30" t="n">
        <v>0.4</v>
      </c>
      <c r="H190" s="29">
        <f>ROUND(F190*G190, 2)</f>
        <v/>
      </c>
      <c r="I190" s="29">
        <f>ROUND(F190-H190, 2)</f>
        <v/>
      </c>
      <c r="J190" s="29" t="n">
        <v>13611.73</v>
      </c>
      <c r="K190" s="30" t="n">
        <v>0.1</v>
      </c>
      <c r="L190" s="29">
        <f>ROUND(F190*K190, 2)</f>
        <v/>
      </c>
      <c r="M190" s="31" t="n">
        <v>0.02663643</v>
      </c>
      <c r="N190" s="31">
        <f>IFERROR(RATE(E190, -J190, I190, -L190), M190)</f>
        <v/>
      </c>
      <c r="O190" s="29">
        <f>IF(N190&gt;0, ROUND(PV(N190, E190, -J190, -L190), 2), I190)</f>
        <v/>
      </c>
      <c r="P190" s="29">
        <f>ROUND(O190-I190, 2)</f>
        <v/>
      </c>
      <c r="Q190" s="31">
        <f>N190*12</f>
        <v/>
      </c>
      <c r="R190" s="31">
        <f>((1+N190)^12)-1</f>
        <v/>
      </c>
      <c r="S190" s="31">
        <f>N190-M190</f>
        <v/>
      </c>
      <c r="T190" s="26">
        <f>IF(ABS(P190)&lt;0.01, "EXACTO", "REVISAR")</f>
        <v/>
      </c>
    </row>
    <row r="191">
      <c r="A191" s="20" t="inlineStr">
        <is>
          <t>0712-0001</t>
        </is>
      </c>
      <c r="B191" s="21" t="inlineStr">
        <is>
          <t>Containers del Pacifico sa de cv</t>
        </is>
      </c>
      <c r="C191" s="21" t="inlineStr">
        <is>
          <t>Outlander Sport</t>
        </is>
      </c>
      <c r="D191" s="20" t="inlineStr">
        <is>
          <t>ACTIVO</t>
        </is>
      </c>
      <c r="E191" s="22" t="n">
        <v>36</v>
      </c>
      <c r="F191" s="23" t="n">
        <v>410920.69</v>
      </c>
      <c r="G191" s="24" t="n">
        <v>0.1</v>
      </c>
      <c r="H191" s="23">
        <f>ROUND(F191*G191, 2)</f>
        <v/>
      </c>
      <c r="I191" s="23">
        <f>ROUND(F191-H191, 2)</f>
        <v/>
      </c>
      <c r="J191" s="23" t="n">
        <v>14722.97</v>
      </c>
      <c r="K191" s="24" t="n">
        <v>0.2</v>
      </c>
      <c r="L191" s="23">
        <f>ROUND(F191*K191, 2)</f>
        <v/>
      </c>
      <c r="M191" s="25" t="n">
        <v>0.0266784</v>
      </c>
      <c r="N191" s="25">
        <f>IFERROR(RATE(E191, -J191, I191, -L191), M191)</f>
        <v/>
      </c>
      <c r="O191" s="23">
        <f>IF(N191&gt;0, ROUND(PV(N191, E191, -J191, -L191), 2), I191)</f>
        <v/>
      </c>
      <c r="P191" s="23">
        <f>ROUND(O191-I191, 2)</f>
        <v/>
      </c>
      <c r="Q191" s="25">
        <f>N191*12</f>
        <v/>
      </c>
      <c r="R191" s="25">
        <f>((1+N191)^12)-1</f>
        <v/>
      </c>
      <c r="S191" s="25">
        <f>N191-M191</f>
        <v/>
      </c>
      <c r="T191" s="20">
        <f>IF(ABS(P191)&lt;0.01, "EXACTO", "REVISAR")</f>
        <v/>
      </c>
    </row>
    <row r="192">
      <c r="A192" s="26" t="inlineStr">
        <is>
          <t>0712-0002</t>
        </is>
      </c>
      <c r="B192" s="27" t="inlineStr">
        <is>
          <t>Containers del Pacifico sa de cv</t>
        </is>
      </c>
      <c r="C192" s="27" t="inlineStr">
        <is>
          <t>Np300</t>
        </is>
      </c>
      <c r="D192" s="26" t="inlineStr">
        <is>
          <t>ACTIVO</t>
        </is>
      </c>
      <c r="E192" s="28" t="n">
        <v>36</v>
      </c>
      <c r="F192" s="29" t="n">
        <v>406293.1</v>
      </c>
      <c r="G192" s="30" t="n">
        <v>0.1</v>
      </c>
      <c r="H192" s="29">
        <f>ROUND(F192*G192, 2)</f>
        <v/>
      </c>
      <c r="I192" s="29">
        <f>ROUND(F192-H192, 2)</f>
        <v/>
      </c>
      <c r="J192" s="29" t="n">
        <v>14557.17</v>
      </c>
      <c r="K192" s="30" t="n">
        <v>0.2</v>
      </c>
      <c r="L192" s="29">
        <f>ROUND(F192*K192, 2)</f>
        <v/>
      </c>
      <c r="M192" s="31" t="n">
        <v>0.02667841</v>
      </c>
      <c r="N192" s="31">
        <f>IFERROR(RATE(E192, -J192, I192, -L192), M192)</f>
        <v/>
      </c>
      <c r="O192" s="29">
        <f>IF(N192&gt;0, ROUND(PV(N192, E192, -J192, -L192), 2), I192)</f>
        <v/>
      </c>
      <c r="P192" s="29">
        <f>ROUND(O192-I192, 2)</f>
        <v/>
      </c>
      <c r="Q192" s="31">
        <f>N192*12</f>
        <v/>
      </c>
      <c r="R192" s="31">
        <f>((1+N192)^12)-1</f>
        <v/>
      </c>
      <c r="S192" s="31">
        <f>N192-M192</f>
        <v/>
      </c>
      <c r="T192" s="26">
        <f>IF(ABS(P192)&lt;0.01, "EXACTO", "REVISAR")</f>
        <v/>
      </c>
    </row>
    <row r="193">
      <c r="A193" s="20" t="inlineStr">
        <is>
          <t>0712-0003</t>
        </is>
      </c>
      <c r="B193" s="21" t="inlineStr">
        <is>
          <t>Containers del Pacifico sa de cv</t>
        </is>
      </c>
      <c r="C193" s="21" t="inlineStr">
        <is>
          <t>Np300</t>
        </is>
      </c>
      <c r="D193" s="20" t="inlineStr">
        <is>
          <t>ACTIVO</t>
        </is>
      </c>
      <c r="E193" s="22" t="n">
        <v>36</v>
      </c>
      <c r="F193" s="23" t="n">
        <v>406293.1</v>
      </c>
      <c r="G193" s="24" t="n">
        <v>0.1</v>
      </c>
      <c r="H193" s="23">
        <f>ROUND(F193*G193, 2)</f>
        <v/>
      </c>
      <c r="I193" s="23">
        <f>ROUND(F193-H193, 2)</f>
        <v/>
      </c>
      <c r="J193" s="23" t="n">
        <v>14557.17</v>
      </c>
      <c r="K193" s="24" t="n">
        <v>0.2</v>
      </c>
      <c r="L193" s="23">
        <f>ROUND(F193*K193, 2)</f>
        <v/>
      </c>
      <c r="M193" s="25" t="n">
        <v>0.02667841</v>
      </c>
      <c r="N193" s="25">
        <f>IFERROR(RATE(E193, -J193, I193, -L193), M193)</f>
        <v/>
      </c>
      <c r="O193" s="23">
        <f>IF(N193&gt;0, ROUND(PV(N193, E193, -J193, -L193), 2), I193)</f>
        <v/>
      </c>
      <c r="P193" s="23">
        <f>ROUND(O193-I193, 2)</f>
        <v/>
      </c>
      <c r="Q193" s="25">
        <f>N193*12</f>
        <v/>
      </c>
      <c r="R193" s="25">
        <f>((1+N193)^12)-1</f>
        <v/>
      </c>
      <c r="S193" s="25">
        <f>N193-M193</f>
        <v/>
      </c>
      <c r="T193" s="20">
        <f>IF(ABS(P193)&lt;0.01, "EXACTO", "REVISAR")</f>
        <v/>
      </c>
    </row>
    <row r="194">
      <c r="A194" s="26" t="inlineStr">
        <is>
          <t>0713-0001</t>
        </is>
      </c>
      <c r="B194" s="27" t="inlineStr">
        <is>
          <t>Ana Carolina Urzua Lopez</t>
        </is>
      </c>
      <c r="C194" s="27" t="inlineStr">
        <is>
          <t>Ram 1200</t>
        </is>
      </c>
      <c r="D194" s="26" t="inlineStr">
        <is>
          <t>ACTIVO</t>
        </is>
      </c>
      <c r="E194" s="28" t="n">
        <v>24</v>
      </c>
      <c r="F194" s="29" t="n">
        <v>577500</v>
      </c>
      <c r="G194" s="30" t="n">
        <v>0.1</v>
      </c>
      <c r="H194" s="29">
        <f>ROUND(F194*G194, 2)</f>
        <v/>
      </c>
      <c r="I194" s="29">
        <f>ROUND(F194-H194, 2)</f>
        <v/>
      </c>
      <c r="J194" s="29" t="n">
        <v>24156.19</v>
      </c>
      <c r="K194" s="30" t="n">
        <v>0.3</v>
      </c>
      <c r="L194" s="29">
        <f>ROUND(F194*K194, 2)</f>
        <v/>
      </c>
      <c r="M194" s="31" t="n">
        <v>0.02616266</v>
      </c>
      <c r="N194" s="31">
        <f>IFERROR(RATE(E194, -J194, I194, -L194), M194)</f>
        <v/>
      </c>
      <c r="O194" s="29">
        <f>IF(N194&gt;0, ROUND(PV(N194, E194, -J194, -L194), 2), I194)</f>
        <v/>
      </c>
      <c r="P194" s="29">
        <f>ROUND(O194-I194, 2)</f>
        <v/>
      </c>
      <c r="Q194" s="31">
        <f>N194*12</f>
        <v/>
      </c>
      <c r="R194" s="31">
        <f>((1+N194)^12)-1</f>
        <v/>
      </c>
      <c r="S194" s="31">
        <f>N194-M194</f>
        <v/>
      </c>
      <c r="T194" s="26">
        <f>IF(ABS(P194)&lt;0.01, "EXACTO", "REVISAR")</f>
        <v/>
      </c>
    </row>
    <row r="195">
      <c r="A195" s="20" t="inlineStr">
        <is>
          <t>0714-0001</t>
        </is>
      </c>
      <c r="B195" s="21" t="inlineStr">
        <is>
          <t>Celeste Capital Aj</t>
        </is>
      </c>
      <c r="C195" s="21" t="inlineStr">
        <is>
          <t>Wrangler 4Xe</t>
        </is>
      </c>
      <c r="D195" s="20" t="inlineStr">
        <is>
          <t>ACTIVO</t>
        </is>
      </c>
      <c r="E195" s="22" t="n">
        <v>48</v>
      </c>
      <c r="F195" s="23" t="n">
        <v>1255086.21</v>
      </c>
      <c r="G195" s="24" t="n">
        <v>0.3</v>
      </c>
      <c r="H195" s="23">
        <f>ROUND(F195*G195, 2)</f>
        <v/>
      </c>
      <c r="I195" s="23">
        <f>ROUND(F195-H195, 2)</f>
        <v/>
      </c>
      <c r="J195" s="23" t="n">
        <v>31521.28</v>
      </c>
      <c r="K195" s="24" t="n">
        <v>0.1</v>
      </c>
      <c r="L195" s="23">
        <f>ROUND(F195*K195, 2)</f>
        <v/>
      </c>
      <c r="M195" s="25" t="n">
        <v>0.02693491</v>
      </c>
      <c r="N195" s="25">
        <f>IFERROR(RATE(E195, -J195, I195, -L195), M195)</f>
        <v/>
      </c>
      <c r="O195" s="23">
        <f>IF(N195&gt;0, ROUND(PV(N195, E195, -J195, -L195), 2), I195)</f>
        <v/>
      </c>
      <c r="P195" s="23">
        <f>ROUND(O195-I195, 2)</f>
        <v/>
      </c>
      <c r="Q195" s="25">
        <f>N195*12</f>
        <v/>
      </c>
      <c r="R195" s="25">
        <f>((1+N195)^12)-1</f>
        <v/>
      </c>
      <c r="S195" s="25">
        <f>N195-M195</f>
        <v/>
      </c>
      <c r="T195" s="20">
        <f>IF(ABS(P195)&lt;0.01, "EXACTO", "REVISAR")</f>
        <v/>
      </c>
    </row>
    <row r="196">
      <c r="A196" s="26" t="inlineStr">
        <is>
          <t>0715-0001</t>
        </is>
      </c>
      <c r="B196" s="27" t="inlineStr">
        <is>
          <t>Jose de Jesus Serrano Sanchez</t>
        </is>
      </c>
      <c r="C196" s="27" t="inlineStr">
        <is>
          <t>Ram 1200</t>
        </is>
      </c>
      <c r="D196" s="26" t="inlineStr">
        <is>
          <t>ACTIVO</t>
        </is>
      </c>
      <c r="E196" s="28" t="n">
        <v>48</v>
      </c>
      <c r="F196" s="29" t="n">
        <v>606034.48</v>
      </c>
      <c r="G196" s="30" t="n">
        <v>0.1981</v>
      </c>
      <c r="H196" s="29">
        <f>ROUND(F196*G196, 2)</f>
        <v/>
      </c>
      <c r="I196" s="29">
        <f>ROUND(F196-H196, 2)</f>
        <v/>
      </c>
      <c r="J196" s="29" t="n">
        <v>17525.22</v>
      </c>
      <c r="K196" s="30" t="n">
        <v>0.1</v>
      </c>
      <c r="L196" s="29">
        <f>ROUND(F196*K196, 2)</f>
        <v/>
      </c>
      <c r="M196" s="31" t="n">
        <v>0.02692681</v>
      </c>
      <c r="N196" s="31">
        <f>IFERROR(RATE(E196, -J196, I196, -L196), M196)</f>
        <v/>
      </c>
      <c r="O196" s="29">
        <f>IF(N196&gt;0, ROUND(PV(N196, E196, -J196, -L196), 2), I196)</f>
        <v/>
      </c>
      <c r="P196" s="29">
        <f>ROUND(O196-I196, 2)</f>
        <v/>
      </c>
      <c r="Q196" s="31">
        <f>N196*12</f>
        <v/>
      </c>
      <c r="R196" s="31">
        <f>((1+N196)^12)-1</f>
        <v/>
      </c>
      <c r="S196" s="31">
        <f>N196-M196</f>
        <v/>
      </c>
      <c r="T196" s="26">
        <f>IF(ABS(P196)&lt;0.01, "EXACTO", "REVISAR")</f>
        <v/>
      </c>
    </row>
    <row r="197">
      <c r="A197" s="20" t="inlineStr">
        <is>
          <t>0716-0001</t>
        </is>
      </c>
      <c r="B197" s="21" t="inlineStr">
        <is>
          <t>Mayoristas Asociados en Servicio Celular SA de CV</t>
        </is>
      </c>
      <c r="C197" s="21" t="inlineStr">
        <is>
          <t>Wrangler Unlimited Rubicon</t>
        </is>
      </c>
      <c r="D197" s="20" t="inlineStr">
        <is>
          <t>ACTIVO</t>
        </is>
      </c>
      <c r="E197" s="22" t="n">
        <v>24</v>
      </c>
      <c r="F197" s="23" t="n">
        <v>1101177.59</v>
      </c>
      <c r="G197" s="24" t="n">
        <v>0.3</v>
      </c>
      <c r="H197" s="23">
        <f>ROUND(F197*G197, 2)</f>
        <v/>
      </c>
      <c r="I197" s="23">
        <f>ROUND(F197-H197, 2)</f>
        <v/>
      </c>
      <c r="J197" s="23" t="n">
        <v>36916.59</v>
      </c>
      <c r="K197" s="24" t="n">
        <v>0.2</v>
      </c>
      <c r="L197" s="23">
        <f>ROUND(F197*K197, 2)</f>
        <v/>
      </c>
      <c r="M197" s="25" t="n">
        <v>0.02611444</v>
      </c>
      <c r="N197" s="25">
        <f>IFERROR(RATE(E197, -J197, I197, -L197), M197)</f>
        <v/>
      </c>
      <c r="O197" s="23">
        <f>IF(N197&gt;0, ROUND(PV(N197, E197, -J197, -L197), 2), I197)</f>
        <v/>
      </c>
      <c r="P197" s="23">
        <f>ROUND(O197-I197, 2)</f>
        <v/>
      </c>
      <c r="Q197" s="25">
        <f>N197*12</f>
        <v/>
      </c>
      <c r="R197" s="25">
        <f>((1+N197)^12)-1</f>
        <v/>
      </c>
      <c r="S197" s="25">
        <f>N197-M197</f>
        <v/>
      </c>
      <c r="T197" s="20">
        <f>IF(ABS(P197)&lt;0.01, "EXACTO", "REVISAR")</f>
        <v/>
      </c>
    </row>
    <row r="198">
      <c r="A198" s="26" t="inlineStr">
        <is>
          <t>0716-0002</t>
        </is>
      </c>
      <c r="B198" s="27" t="inlineStr">
        <is>
          <t>Mayoristas Asociados en Servicio Celular SA de CV</t>
        </is>
      </c>
      <c r="C198" s="27" t="inlineStr">
        <is>
          <t>EX30</t>
        </is>
      </c>
      <c r="D198" s="26" t="inlineStr">
        <is>
          <t>ACTIVO</t>
        </is>
      </c>
      <c r="E198" s="28" t="n">
        <v>24</v>
      </c>
      <c r="F198" s="29" t="n">
        <v>680087.9300000001</v>
      </c>
      <c r="G198" s="30" t="n">
        <v>0.3</v>
      </c>
      <c r="H198" s="29">
        <f>ROUND(F198*G198, 2)</f>
        <v/>
      </c>
      <c r="I198" s="29">
        <f>ROUND(F198-H198, 2)</f>
        <v/>
      </c>
      <c r="J198" s="29" t="n">
        <v>22813.11</v>
      </c>
      <c r="K198" s="30" t="n">
        <v>0.2</v>
      </c>
      <c r="L198" s="29">
        <f>ROUND(F198*K198, 2)</f>
        <v/>
      </c>
      <c r="M198" s="31" t="n">
        <v>0.02615302</v>
      </c>
      <c r="N198" s="31">
        <f>IFERROR(RATE(E198, -J198, I198, -L198), M198)</f>
        <v/>
      </c>
      <c r="O198" s="29">
        <f>IF(N198&gt;0, ROUND(PV(N198, E198, -J198, -L198), 2), I198)</f>
        <v/>
      </c>
      <c r="P198" s="29">
        <f>ROUND(O198-I198, 2)</f>
        <v/>
      </c>
      <c r="Q198" s="31">
        <f>N198*12</f>
        <v/>
      </c>
      <c r="R198" s="31">
        <f>((1+N198)^12)-1</f>
        <v/>
      </c>
      <c r="S198" s="31">
        <f>N198-M198</f>
        <v/>
      </c>
      <c r="T198" s="26">
        <f>IF(ABS(P198)&lt;0.01, "EXACTO", "REVISAR")</f>
        <v/>
      </c>
    </row>
    <row r="199">
      <c r="A199" s="20" t="inlineStr">
        <is>
          <t>0716-0003</t>
        </is>
      </c>
      <c r="B199" s="21" t="inlineStr">
        <is>
          <t>Mayoristas Asociados en Servicio Celular SA de CV</t>
        </is>
      </c>
      <c r="C199" s="21" t="inlineStr">
        <is>
          <t>Bronco</t>
        </is>
      </c>
      <c r="D199" s="20" t="inlineStr">
        <is>
          <t>ACTIVO</t>
        </is>
      </c>
      <c r="E199" s="22" t="n">
        <v>24</v>
      </c>
      <c r="F199" s="23" t="n">
        <v>655172.41</v>
      </c>
      <c r="G199" s="24" t="n">
        <v>0.3</v>
      </c>
      <c r="H199" s="23">
        <f>ROUND(F199*G199, 2)</f>
        <v/>
      </c>
      <c r="I199" s="23">
        <f>ROUND(F199-H199, 2)</f>
        <v/>
      </c>
      <c r="J199" s="23" t="n">
        <v>21977.34</v>
      </c>
      <c r="K199" s="24" t="n">
        <v>0.2</v>
      </c>
      <c r="L199" s="23">
        <f>ROUND(F199*K199, 2)</f>
        <v/>
      </c>
      <c r="M199" s="25" t="n">
        <v>0.02615302</v>
      </c>
      <c r="N199" s="25">
        <f>IFERROR(RATE(E199, -J199, I199, -L199), M199)</f>
        <v/>
      </c>
      <c r="O199" s="23">
        <f>IF(N199&gt;0, ROUND(PV(N199, E199, -J199, -L199), 2), I199)</f>
        <v/>
      </c>
      <c r="P199" s="23">
        <f>ROUND(O199-I199, 2)</f>
        <v/>
      </c>
      <c r="Q199" s="25">
        <f>N199*12</f>
        <v/>
      </c>
      <c r="R199" s="25">
        <f>((1+N199)^12)-1</f>
        <v/>
      </c>
      <c r="S199" s="25">
        <f>N199-M199</f>
        <v/>
      </c>
      <c r="T199" s="20">
        <f>IF(ABS(P199)&lt;0.01, "EXACTO", "REVISAR")</f>
        <v/>
      </c>
    </row>
    <row r="200">
      <c r="A200" s="26" t="inlineStr">
        <is>
          <t>0717-0001</t>
        </is>
      </c>
      <c r="B200" s="27" t="inlineStr">
        <is>
          <t>Refaccionaria San Diego SA de CV</t>
        </is>
      </c>
      <c r="C200" s="27" t="inlineStr">
        <is>
          <t>Partner Rapid</t>
        </is>
      </c>
      <c r="D200" s="26" t="inlineStr">
        <is>
          <t>ACTIVO</t>
        </is>
      </c>
      <c r="E200" s="28" t="n">
        <v>48</v>
      </c>
      <c r="F200" s="29" t="n">
        <v>257672.41</v>
      </c>
      <c r="G200" s="30" t="n">
        <v>0.2</v>
      </c>
      <c r="H200" s="29">
        <f>ROUND(F200*G200, 2)</f>
        <v/>
      </c>
      <c r="I200" s="29">
        <f>ROUND(F200-H200, 2)</f>
        <v/>
      </c>
      <c r="J200" s="29" t="n">
        <v>7422.77</v>
      </c>
      <c r="K200" s="30" t="n">
        <v>0.1</v>
      </c>
      <c r="L200" s="29">
        <f>ROUND(F200*K200, 2)</f>
        <v/>
      </c>
      <c r="M200" s="31" t="n">
        <v>0.02686004</v>
      </c>
      <c r="N200" s="31">
        <f>IFERROR(RATE(E200, -J200, I200, -L200), M200)</f>
        <v/>
      </c>
      <c r="O200" s="29">
        <f>IF(N200&gt;0, ROUND(PV(N200, E200, -J200, -L200), 2), I200)</f>
        <v/>
      </c>
      <c r="P200" s="29">
        <f>ROUND(O200-I200, 2)</f>
        <v/>
      </c>
      <c r="Q200" s="31">
        <f>N200*12</f>
        <v/>
      </c>
      <c r="R200" s="31">
        <f>((1+N200)^12)-1</f>
        <v/>
      </c>
      <c r="S200" s="31">
        <f>N200-M200</f>
        <v/>
      </c>
      <c r="T200" s="26">
        <f>IF(ABS(P200)&lt;0.01, "EXACTO", "REVISAR")</f>
        <v/>
      </c>
    </row>
    <row r="201">
      <c r="A201" s="20" t="inlineStr">
        <is>
          <t>0718-0001</t>
        </is>
      </c>
      <c r="B201" s="21" t="inlineStr">
        <is>
          <t>Capriberrys</t>
        </is>
      </c>
      <c r="C201" s="21" t="inlineStr">
        <is>
          <t>Jt Mojave</t>
        </is>
      </c>
      <c r="D201" s="20" t="inlineStr">
        <is>
          <t>ACTIVO</t>
        </is>
      </c>
      <c r="E201" s="22" t="n">
        <v>24</v>
      </c>
      <c r="F201" s="23" t="n">
        <v>1300775.86</v>
      </c>
      <c r="G201" s="24" t="n">
        <v>0.4</v>
      </c>
      <c r="H201" s="23">
        <f>ROUND(F201*G201, 2)</f>
        <v/>
      </c>
      <c r="I201" s="23">
        <f>ROUND(F201-H201, 2)</f>
        <v/>
      </c>
      <c r="J201" s="23" t="n">
        <v>39293.93</v>
      </c>
      <c r="K201" s="24" t="n">
        <v>0.1</v>
      </c>
      <c r="L201" s="23">
        <f>ROUND(F201*K201, 2)</f>
        <v/>
      </c>
      <c r="M201" s="25" t="n">
        <v>0.02439175</v>
      </c>
      <c r="N201" s="25">
        <f>IFERROR(RATE(E201, -J201, I201, -L201), M201)</f>
        <v/>
      </c>
      <c r="O201" s="23">
        <f>IF(N201&gt;0, ROUND(PV(N201, E201, -J201, -L201), 2), I201)</f>
        <v/>
      </c>
      <c r="P201" s="23">
        <f>ROUND(O201-I201, 2)</f>
        <v/>
      </c>
      <c r="Q201" s="25">
        <f>N201*12</f>
        <v/>
      </c>
      <c r="R201" s="25">
        <f>((1+N201)^12)-1</f>
        <v/>
      </c>
      <c r="S201" s="25">
        <f>N201-M201</f>
        <v/>
      </c>
      <c r="T201" s="20">
        <f>IF(ABS(P201)&lt;0.01, "EXACTO", "REVISAR")</f>
        <v/>
      </c>
    </row>
    <row r="202">
      <c r="A202" s="26" t="inlineStr">
        <is>
          <t>0719-0001</t>
        </is>
      </c>
      <c r="B202" s="27" t="inlineStr">
        <is>
          <t>Maria de Los Angeles Lopez Janeiro</t>
        </is>
      </c>
      <c r="C202" s="27" t="inlineStr">
        <is>
          <t>Rifter</t>
        </is>
      </c>
      <c r="D202" s="26" t="inlineStr">
        <is>
          <t>ACTIVO</t>
        </is>
      </c>
      <c r="E202" s="28" t="n">
        <v>36</v>
      </c>
      <c r="F202" s="29" t="n">
        <v>428362.07</v>
      </c>
      <c r="G202" s="30" t="n">
        <v>0.3</v>
      </c>
      <c r="H202" s="29">
        <f>ROUND(F202*G202, 2)</f>
        <v/>
      </c>
      <c r="I202" s="29">
        <f>ROUND(F202-H202, 2)</f>
        <v/>
      </c>
      <c r="J202" s="29" t="n">
        <v>12314.83</v>
      </c>
      <c r="K202" s="30" t="n">
        <v>0.1</v>
      </c>
      <c r="L202" s="29">
        <f>ROUND(F202*K202, 2)</f>
        <v/>
      </c>
      <c r="M202" s="31" t="n">
        <v>0.02656523</v>
      </c>
      <c r="N202" s="31">
        <f>IFERROR(RATE(E202, -J202, I202, -L202), M202)</f>
        <v/>
      </c>
      <c r="O202" s="29">
        <f>IF(N202&gt;0, ROUND(PV(N202, E202, -J202, -L202), 2), I202)</f>
        <v/>
      </c>
      <c r="P202" s="29">
        <f>ROUND(O202-I202, 2)</f>
        <v/>
      </c>
      <c r="Q202" s="31">
        <f>N202*12</f>
        <v/>
      </c>
      <c r="R202" s="31">
        <f>((1+N202)^12)-1</f>
        <v/>
      </c>
      <c r="S202" s="31">
        <f>N202-M202</f>
        <v/>
      </c>
      <c r="T202" s="26">
        <f>IF(ABS(P202)&lt;0.01, "EXACTO", "REVISAR")</f>
        <v/>
      </c>
    </row>
    <row r="203">
      <c r="A203" s="20" t="inlineStr">
        <is>
          <t>0720-0001</t>
        </is>
      </c>
      <c r="B203" s="21" t="inlineStr">
        <is>
          <t>Forrajes Los 6 Hermanos S.P.R. DE R.L.</t>
        </is>
      </c>
      <c r="C203" s="21" t="inlineStr">
        <is>
          <t>Shark</t>
        </is>
      </c>
      <c r="D203" s="20" t="inlineStr">
        <is>
          <t>ACTIVO</t>
        </is>
      </c>
      <c r="E203" s="22" t="n">
        <v>36</v>
      </c>
      <c r="F203" s="23" t="n">
        <v>775844.83</v>
      </c>
      <c r="G203" s="24" t="n">
        <v>0.1</v>
      </c>
      <c r="H203" s="23">
        <f>ROUND(F203*G203, 2)</f>
        <v/>
      </c>
      <c r="I203" s="23">
        <f>ROUND(F203-H203, 2)</f>
        <v/>
      </c>
      <c r="J203" s="23" t="n">
        <v>27797.92</v>
      </c>
      <c r="K203" s="24" t="n">
        <v>0.4</v>
      </c>
      <c r="L203" s="23">
        <f>ROUND(F203*K203, 2)</f>
        <v/>
      </c>
      <c r="M203" s="25" t="n">
        <v>0.03124756</v>
      </c>
      <c r="N203" s="25">
        <f>IFERROR(RATE(E203, -J203, I203, -L203), M203)</f>
        <v/>
      </c>
      <c r="O203" s="23">
        <f>IF(N203&gt;0, ROUND(PV(N203, E203, -J203, -L203), 2), I203)</f>
        <v/>
      </c>
      <c r="P203" s="23">
        <f>ROUND(O203-I203, 2)</f>
        <v/>
      </c>
      <c r="Q203" s="25">
        <f>N203*12</f>
        <v/>
      </c>
      <c r="R203" s="25">
        <f>((1+N203)^12)-1</f>
        <v/>
      </c>
      <c r="S203" s="25">
        <f>N203-M203</f>
        <v/>
      </c>
      <c r="T203" s="20">
        <f>IF(ABS(P203)&lt;0.01, "EXACTO", "REVISAR")</f>
        <v/>
      </c>
    </row>
    <row r="204">
      <c r="A204" s="26" t="inlineStr">
        <is>
          <t>0721-0001</t>
        </is>
      </c>
      <c r="B204" s="27" t="inlineStr">
        <is>
          <t>Ricardo Ortiz Guzman</t>
        </is>
      </c>
      <c r="C204" s="27" t="inlineStr">
        <is>
          <t>Rifter</t>
        </is>
      </c>
      <c r="D204" s="26" t="inlineStr">
        <is>
          <t>ACTIVO</t>
        </is>
      </c>
      <c r="E204" s="28" t="n">
        <v>48</v>
      </c>
      <c r="F204" s="29" t="n">
        <v>428362.07</v>
      </c>
      <c r="G204" s="30" t="n">
        <v>0.3</v>
      </c>
      <c r="H204" s="29">
        <f>ROUND(F204*G204, 2)</f>
        <v/>
      </c>
      <c r="I204" s="29">
        <f>ROUND(F204-H204, 2)</f>
        <v/>
      </c>
      <c r="J204" s="29" t="n">
        <v>10758.24</v>
      </c>
      <c r="K204" s="30" t="n">
        <v>0.1</v>
      </c>
      <c r="L204" s="29">
        <f>ROUND(F204*K204, 2)</f>
        <v/>
      </c>
      <c r="M204" s="31" t="n">
        <v>0.02693492</v>
      </c>
      <c r="N204" s="31">
        <f>IFERROR(RATE(E204, -J204, I204, -L204), M204)</f>
        <v/>
      </c>
      <c r="O204" s="29">
        <f>IF(N204&gt;0, ROUND(PV(N204, E204, -J204, -L204), 2), I204)</f>
        <v/>
      </c>
      <c r="P204" s="29">
        <f>ROUND(O204-I204, 2)</f>
        <v/>
      </c>
      <c r="Q204" s="31">
        <f>N204*12</f>
        <v/>
      </c>
      <c r="R204" s="31">
        <f>((1+N204)^12)-1</f>
        <v/>
      </c>
      <c r="S204" s="31">
        <f>N204-M204</f>
        <v/>
      </c>
      <c r="T204" s="26">
        <f>IF(ABS(P204)&lt;0.01, "EXACTO", "REVISAR")</f>
        <v/>
      </c>
    </row>
    <row r="205">
      <c r="A205" s="20" t="inlineStr">
        <is>
          <t>0721-0002</t>
        </is>
      </c>
      <c r="B205" s="21" t="inlineStr">
        <is>
          <t>Ricardo Ortiz Guzman</t>
        </is>
      </c>
      <c r="C205" s="21" t="inlineStr">
        <is>
          <t>CX5</t>
        </is>
      </c>
      <c r="D205" s="20" t="inlineStr">
        <is>
          <t>ACTIVO</t>
        </is>
      </c>
      <c r="E205" s="22" t="n">
        <v>48</v>
      </c>
      <c r="F205" s="23" t="n">
        <v>527500</v>
      </c>
      <c r="G205" s="24" t="n">
        <v>0.2</v>
      </c>
      <c r="H205" s="23">
        <f>ROUND(F205*G205, 2)</f>
        <v/>
      </c>
      <c r="I205" s="23">
        <f>ROUND(F205-H205, 2)</f>
        <v/>
      </c>
      <c r="J205" s="23" t="n">
        <v>15216.28</v>
      </c>
      <c r="K205" s="24" t="n">
        <v>0.1</v>
      </c>
      <c r="L205" s="23">
        <f>ROUND(F205*K205, 2)</f>
        <v/>
      </c>
      <c r="M205" s="25" t="n">
        <v>0.0269254</v>
      </c>
      <c r="N205" s="25">
        <f>IFERROR(RATE(E205, -J205, I205, -L205), M205)</f>
        <v/>
      </c>
      <c r="O205" s="23">
        <f>IF(N205&gt;0, ROUND(PV(N205, E205, -J205, -L205), 2), I205)</f>
        <v/>
      </c>
      <c r="P205" s="23">
        <f>ROUND(O205-I205, 2)</f>
        <v/>
      </c>
      <c r="Q205" s="25">
        <f>N205*12</f>
        <v/>
      </c>
      <c r="R205" s="25">
        <f>((1+N205)^12)-1</f>
        <v/>
      </c>
      <c r="S205" s="25">
        <f>N205-M205</f>
        <v/>
      </c>
      <c r="T205" s="20">
        <f>IF(ABS(P205)&lt;0.01, "EXACTO", "REVISAR")</f>
        <v/>
      </c>
    </row>
    <row r="206">
      <c r="A206" s="26" t="inlineStr">
        <is>
          <t>0722-0001</t>
        </is>
      </c>
      <c r="B206" s="27" t="inlineStr">
        <is>
          <t>Tortas Ro S. DE R.L. DE C.V.</t>
        </is>
      </c>
      <c r="C206" s="27" t="inlineStr">
        <is>
          <t>Partner</t>
        </is>
      </c>
      <c r="D206" s="26" t="inlineStr">
        <is>
          <t>ACTIVO</t>
        </is>
      </c>
      <c r="E206" s="28" t="n">
        <v>24</v>
      </c>
      <c r="F206" s="29" t="n">
        <v>258534.48</v>
      </c>
      <c r="G206" s="30" t="n">
        <v>0.3</v>
      </c>
      <c r="H206" s="29">
        <f>ROUND(F206*G206, 2)</f>
        <v/>
      </c>
      <c r="I206" s="29">
        <f>ROUND(F206-H206, 2)</f>
        <v/>
      </c>
      <c r="J206" s="29" t="n">
        <v>8672.370000000001</v>
      </c>
      <c r="K206" s="30" t="n">
        <v>0.2</v>
      </c>
      <c r="L206" s="29">
        <f>ROUND(F206*K206, 2)</f>
        <v/>
      </c>
      <c r="M206" s="31" t="n">
        <v>0.02615301</v>
      </c>
      <c r="N206" s="31">
        <f>IFERROR(RATE(E206, -J206, I206, -L206), M206)</f>
        <v/>
      </c>
      <c r="O206" s="29">
        <f>IF(N206&gt;0, ROUND(PV(N206, E206, -J206, -L206), 2), I206)</f>
        <v/>
      </c>
      <c r="P206" s="29">
        <f>ROUND(O206-I206, 2)</f>
        <v/>
      </c>
      <c r="Q206" s="31">
        <f>N206*12</f>
        <v/>
      </c>
      <c r="R206" s="31">
        <f>((1+N206)^12)-1</f>
        <v/>
      </c>
      <c r="S206" s="31">
        <f>N206-M206</f>
        <v/>
      </c>
      <c r="T206" s="26">
        <f>IF(ABS(P206)&lt;0.01, "EXACTO", "REVISAR")</f>
        <v/>
      </c>
    </row>
    <row r="207">
      <c r="A207" s="20" t="inlineStr">
        <is>
          <t>0723-0001</t>
        </is>
      </c>
      <c r="B207" s="21" t="inlineStr">
        <is>
          <t>Sandra Inez Velazquez Altamirano</t>
        </is>
      </c>
      <c r="C207" s="21" t="inlineStr">
        <is>
          <t>Sierra Denali</t>
        </is>
      </c>
      <c r="D207" s="20" t="inlineStr">
        <is>
          <t>ACTIVO</t>
        </is>
      </c>
      <c r="E207" s="22" t="n">
        <v>36</v>
      </c>
      <c r="F207" s="23" t="n">
        <v>1551206.9</v>
      </c>
      <c r="G207" s="24" t="n">
        <v>0.1</v>
      </c>
      <c r="H207" s="23">
        <f>ROUND(F207*G207, 2)</f>
        <v/>
      </c>
      <c r="I207" s="23">
        <f>ROUND(F207-H207, 2)</f>
        <v/>
      </c>
      <c r="J207" s="23" t="n">
        <v>55578.55</v>
      </c>
      <c r="K207" s="24" t="n">
        <v>0.2</v>
      </c>
      <c r="L207" s="23">
        <f>ROUND(F207*K207, 2)</f>
        <v/>
      </c>
      <c r="M207" s="25" t="n">
        <v>0.0266784</v>
      </c>
      <c r="N207" s="25">
        <f>IFERROR(RATE(E207, -J207, I207, -L207), M207)</f>
        <v/>
      </c>
      <c r="O207" s="23">
        <f>IF(N207&gt;0, ROUND(PV(N207, E207, -J207, -L207), 2), I207)</f>
        <v/>
      </c>
      <c r="P207" s="23">
        <f>ROUND(O207-I207, 2)</f>
        <v/>
      </c>
      <c r="Q207" s="25">
        <f>N207*12</f>
        <v/>
      </c>
      <c r="R207" s="25">
        <f>((1+N207)^12)-1</f>
        <v/>
      </c>
      <c r="S207" s="25">
        <f>N207-M207</f>
        <v/>
      </c>
      <c r="T207" s="20">
        <f>IF(ABS(P207)&lt;0.01, "EXACTO", "REVISAR")</f>
        <v/>
      </c>
    </row>
    <row r="208">
      <c r="A208" s="26" t="inlineStr">
        <is>
          <t>0724-0001</t>
        </is>
      </c>
      <c r="B208" s="27" t="inlineStr">
        <is>
          <t>Victor Merced Brizuela Aguilar</t>
        </is>
      </c>
      <c r="C208" s="27" t="inlineStr">
        <is>
          <t>Tiggo 7 Plus</t>
        </is>
      </c>
      <c r="D208" s="26" t="inlineStr">
        <is>
          <t>ACTIVO</t>
        </is>
      </c>
      <c r="E208" s="28" t="n">
        <v>48</v>
      </c>
      <c r="F208" s="29" t="n">
        <v>430948.28</v>
      </c>
      <c r="G208" s="30" t="n">
        <v>0.3</v>
      </c>
      <c r="H208" s="29">
        <f>ROUND(F208*G208, 2)</f>
        <v/>
      </c>
      <c r="I208" s="29">
        <f>ROUND(F208-H208, 2)</f>
        <v/>
      </c>
      <c r="J208" s="29" t="n">
        <v>10823.19</v>
      </c>
      <c r="K208" s="30" t="n">
        <v>0.1</v>
      </c>
      <c r="L208" s="29">
        <f>ROUND(F208*K208, 2)</f>
        <v/>
      </c>
      <c r="M208" s="31" t="n">
        <v>0.0269349</v>
      </c>
      <c r="N208" s="31">
        <f>IFERROR(RATE(E208, -J208, I208, -L208), M208)</f>
        <v/>
      </c>
      <c r="O208" s="29">
        <f>IF(N208&gt;0, ROUND(PV(N208, E208, -J208, -L208), 2), I208)</f>
        <v/>
      </c>
      <c r="P208" s="29">
        <f>ROUND(O208-I208, 2)</f>
        <v/>
      </c>
      <c r="Q208" s="31">
        <f>N208*12</f>
        <v/>
      </c>
      <c r="R208" s="31">
        <f>((1+N208)^12)-1</f>
        <v/>
      </c>
      <c r="S208" s="31">
        <f>N208-M208</f>
        <v/>
      </c>
      <c r="T208" s="26">
        <f>IF(ABS(P208)&lt;0.01, "EXACTO", "REVISAR")</f>
        <v/>
      </c>
    </row>
    <row r="209">
      <c r="A209" s="20" t="inlineStr">
        <is>
          <t>0725-0001</t>
        </is>
      </c>
      <c r="B209" s="21" t="inlineStr">
        <is>
          <t>Octavio Cortes Flores</t>
        </is>
      </c>
      <c r="C209" s="21" t="inlineStr">
        <is>
          <t>Rifter Allure</t>
        </is>
      </c>
      <c r="D209" s="20" t="inlineStr">
        <is>
          <t>ACTIVO</t>
        </is>
      </c>
      <c r="E209" s="22" t="n">
        <v>36</v>
      </c>
      <c r="F209" s="23" t="n">
        <v>405086.21</v>
      </c>
      <c r="G209" s="24" t="n">
        <v>0.2</v>
      </c>
      <c r="H209" s="23">
        <f>ROUND(F209*G209, 2)</f>
        <v/>
      </c>
      <c r="I209" s="23">
        <f>ROUND(F209-H209, 2)</f>
        <v/>
      </c>
      <c r="J209" s="23" t="n">
        <v>13404.56</v>
      </c>
      <c r="K209" s="24" t="n">
        <v>0.1</v>
      </c>
      <c r="L209" s="23">
        <f>ROUND(F209*K209, 2)</f>
        <v/>
      </c>
      <c r="M209" s="25" t="n">
        <v>0.02655341</v>
      </c>
      <c r="N209" s="25">
        <f>IFERROR(RATE(E209, -J209, I209, -L209), M209)</f>
        <v/>
      </c>
      <c r="O209" s="23">
        <f>IF(N209&gt;0, ROUND(PV(N209, E209, -J209, -L209), 2), I209)</f>
        <v/>
      </c>
      <c r="P209" s="23">
        <f>ROUND(O209-I209, 2)</f>
        <v/>
      </c>
      <c r="Q209" s="25">
        <f>N209*12</f>
        <v/>
      </c>
      <c r="R209" s="25">
        <f>((1+N209)^12)-1</f>
        <v/>
      </c>
      <c r="S209" s="25">
        <f>N209-M209</f>
        <v/>
      </c>
      <c r="T209" s="20">
        <f>IF(ABS(P209)&lt;0.01, "EXACTO", "REVISAR")</f>
        <v/>
      </c>
    </row>
    <row r="210">
      <c r="A210" s="26" t="inlineStr">
        <is>
          <t>0726-0001</t>
        </is>
      </c>
      <c r="B210" s="27" t="inlineStr">
        <is>
          <t>Martha Viviana Anguiano Gonzalez</t>
        </is>
      </c>
      <c r="C210" s="27" t="inlineStr">
        <is>
          <t>JT Mojave</t>
        </is>
      </c>
      <c r="D210" s="26" t="inlineStr">
        <is>
          <t>ACTIVO</t>
        </is>
      </c>
      <c r="E210" s="28" t="n">
        <v>48</v>
      </c>
      <c r="F210" s="29" t="n">
        <v>1305948.28</v>
      </c>
      <c r="G210" s="30" t="n">
        <v>0.3</v>
      </c>
      <c r="H210" s="29">
        <f>ROUND(F210*G210, 2)</f>
        <v/>
      </c>
      <c r="I210" s="29">
        <f>ROUND(F210-H210, 2)</f>
        <v/>
      </c>
      <c r="J210" s="29" t="n">
        <v>32798.67</v>
      </c>
      <c r="K210" s="30" t="n">
        <v>0.1</v>
      </c>
      <c r="L210" s="29">
        <f>ROUND(F210*K210, 2)</f>
        <v/>
      </c>
      <c r="M210" s="31" t="n">
        <v>0.02693492</v>
      </c>
      <c r="N210" s="31">
        <f>IFERROR(RATE(E210, -J210, I210, -L210), M210)</f>
        <v/>
      </c>
      <c r="O210" s="29">
        <f>IF(N210&gt;0, ROUND(PV(N210, E210, -J210, -L210), 2), I210)</f>
        <v/>
      </c>
      <c r="P210" s="29">
        <f>ROUND(O210-I210, 2)</f>
        <v/>
      </c>
      <c r="Q210" s="31">
        <f>N210*12</f>
        <v/>
      </c>
      <c r="R210" s="31">
        <f>((1+N210)^12)-1</f>
        <v/>
      </c>
      <c r="S210" s="31">
        <f>N210-M210</f>
        <v/>
      </c>
      <c r="T210" s="26">
        <f>IF(ABS(P210)&lt;0.01, "EXACTO", "REVISAR")</f>
        <v/>
      </c>
    </row>
    <row r="211">
      <c r="A211" s="20" t="inlineStr">
        <is>
          <t>0727-0001</t>
        </is>
      </c>
      <c r="B211" s="21" t="inlineStr">
        <is>
          <t>Edgar Adrian Sainz Vazquez</t>
        </is>
      </c>
      <c r="C211" s="21" t="inlineStr">
        <is>
          <t>1200 Laramie</t>
        </is>
      </c>
      <c r="D211" s="20" t="inlineStr">
        <is>
          <t>ACTIVO</t>
        </is>
      </c>
      <c r="E211" s="22" t="n">
        <v>48</v>
      </c>
      <c r="F211" s="23" t="n">
        <v>564568.97</v>
      </c>
      <c r="G211" s="24" t="n">
        <v>0.1</v>
      </c>
      <c r="H211" s="23">
        <f>ROUND(F211*G211, 2)</f>
        <v/>
      </c>
      <c r="I211" s="23">
        <f>ROUND(F211-H211, 2)</f>
        <v/>
      </c>
      <c r="J211" s="23" t="n">
        <v>18375.7</v>
      </c>
      <c r="K211" s="24" t="n">
        <v>0.1</v>
      </c>
      <c r="L211" s="23">
        <f>ROUND(F211*K211, 2)</f>
        <v/>
      </c>
      <c r="M211" s="25" t="n">
        <v>0.02687445</v>
      </c>
      <c r="N211" s="25">
        <f>IFERROR(RATE(E211, -J211, I211, -L211), M211)</f>
        <v/>
      </c>
      <c r="O211" s="23">
        <f>IF(N211&gt;0, ROUND(PV(N211, E211, -J211, -L211), 2), I211)</f>
        <v/>
      </c>
      <c r="P211" s="23">
        <f>ROUND(O211-I211, 2)</f>
        <v/>
      </c>
      <c r="Q211" s="25">
        <f>N211*12</f>
        <v/>
      </c>
      <c r="R211" s="25">
        <f>((1+N211)^12)-1</f>
        <v/>
      </c>
      <c r="S211" s="25">
        <f>N211-M211</f>
        <v/>
      </c>
      <c r="T211" s="20">
        <f>IF(ABS(P211)&lt;0.01, "EXACTO", "REVISAR")</f>
        <v/>
      </c>
    </row>
    <row r="212">
      <c r="A212" s="26" t="inlineStr">
        <is>
          <t>0728-0001</t>
        </is>
      </c>
      <c r="B212" s="27" t="inlineStr">
        <is>
          <t>Arrendadora Tequila, S.A. de C.V.</t>
        </is>
      </c>
      <c r="C212" s="27" t="inlineStr">
        <is>
          <t>JEEP 392</t>
        </is>
      </c>
      <c r="D212" s="26" t="inlineStr">
        <is>
          <t>ACTIVO</t>
        </is>
      </c>
      <c r="E212" s="28" t="n">
        <v>36</v>
      </c>
      <c r="F212" s="29" t="n">
        <v>1868017.24</v>
      </c>
      <c r="G212" s="30" t="n">
        <v>0.2</v>
      </c>
      <c r="H212" s="29">
        <f>ROUND(F212*G212, 2)</f>
        <v/>
      </c>
      <c r="I212" s="29">
        <f>ROUND(F212-H212, 2)</f>
        <v/>
      </c>
      <c r="J212" s="29" t="n">
        <v>61829.58</v>
      </c>
      <c r="K212" s="30" t="n">
        <v>0.1</v>
      </c>
      <c r="L212" s="29">
        <f>ROUND(F212*K212, 2)</f>
        <v/>
      </c>
      <c r="M212" s="31" t="n">
        <v>0.02656826</v>
      </c>
      <c r="N212" s="31">
        <f>IFERROR(RATE(E212, -J212, I212, -L212), M212)</f>
        <v/>
      </c>
      <c r="O212" s="29">
        <f>IF(N212&gt;0, ROUND(PV(N212, E212, -J212, -L212), 2), I212)</f>
        <v/>
      </c>
      <c r="P212" s="29">
        <f>ROUND(O212-I212, 2)</f>
        <v/>
      </c>
      <c r="Q212" s="31">
        <f>N212*12</f>
        <v/>
      </c>
      <c r="R212" s="31">
        <f>((1+N212)^12)-1</f>
        <v/>
      </c>
      <c r="S212" s="31">
        <f>N212-M212</f>
        <v/>
      </c>
      <c r="T212" s="26">
        <f>IF(ABS(P212)&lt;0.01, "EXACTO", "REVISAR")</f>
        <v/>
      </c>
    </row>
    <row r="213">
      <c r="A213" s="20" t="inlineStr">
        <is>
          <t>0729-0001</t>
        </is>
      </c>
      <c r="B213" s="21" t="inlineStr">
        <is>
          <t>Rubén Bravo Hernández</t>
        </is>
      </c>
      <c r="C213" s="21" t="inlineStr">
        <is>
          <t>Mamut T32 DC</t>
        </is>
      </c>
      <c r="D213" s="20" t="inlineStr">
        <is>
          <t>ACTIVO</t>
        </is>
      </c>
      <c r="E213" s="22" t="n">
        <v>36</v>
      </c>
      <c r="F213" s="23" t="n">
        <v>336086.21</v>
      </c>
      <c r="G213" s="24" t="n">
        <v>0.2</v>
      </c>
      <c r="H213" s="23">
        <f>ROUND(F213*G213, 2)</f>
        <v/>
      </c>
      <c r="I213" s="23">
        <f>ROUND(F213-H213, 2)</f>
        <v/>
      </c>
      <c r="J213" s="23" t="n">
        <v>10581.72</v>
      </c>
      <c r="K213" s="24" t="n">
        <v>0.2</v>
      </c>
      <c r="L213" s="23">
        <f>ROUND(F213*K213, 2)</f>
        <v/>
      </c>
      <c r="M213" s="25" t="n">
        <v>0.02669859</v>
      </c>
      <c r="N213" s="25">
        <f>IFERROR(RATE(E213, -J213, I213, -L213), M213)</f>
        <v/>
      </c>
      <c r="O213" s="23">
        <f>IF(N213&gt;0, ROUND(PV(N213, E213, -J213, -L213), 2), I213)</f>
        <v/>
      </c>
      <c r="P213" s="23">
        <f>ROUND(O213-I213, 2)</f>
        <v/>
      </c>
      <c r="Q213" s="25">
        <f>N213*12</f>
        <v/>
      </c>
      <c r="R213" s="25">
        <f>((1+N213)^12)-1</f>
        <v/>
      </c>
      <c r="S213" s="25">
        <f>N213-M213</f>
        <v/>
      </c>
      <c r="T213" s="20">
        <f>IF(ABS(P213)&lt;0.01, "EXACTO", "REVISAR")</f>
        <v/>
      </c>
    </row>
    <row r="214">
      <c r="A214" s="26" t="inlineStr">
        <is>
          <t>0730-0001</t>
        </is>
      </c>
      <c r="B214" s="27" t="inlineStr">
        <is>
          <t>Karen Manrique Amaya</t>
        </is>
      </c>
      <c r="C214" s="27" t="inlineStr">
        <is>
          <t>Wrangler</t>
        </is>
      </c>
      <c r="D214" s="26" t="inlineStr">
        <is>
          <t>ACTIVO</t>
        </is>
      </c>
      <c r="E214" s="28" t="n">
        <v>36</v>
      </c>
      <c r="F214" s="29" t="n">
        <v>1105086.21</v>
      </c>
      <c r="G214" s="30" t="n">
        <v>0.2</v>
      </c>
      <c r="H214" s="29">
        <f>ROUND(F214*G214, 2)</f>
        <v/>
      </c>
      <c r="I214" s="29">
        <f>ROUND(F214-H214, 2)</f>
        <v/>
      </c>
      <c r="J214" s="29" t="n">
        <v>36599.33</v>
      </c>
      <c r="K214" s="30" t="n">
        <v>0.2</v>
      </c>
      <c r="L214" s="29">
        <f>ROUND(F214*K214, 2)</f>
        <v/>
      </c>
      <c r="M214" s="31" t="n">
        <v>0.0294036</v>
      </c>
      <c r="N214" s="31">
        <f>IFERROR(RATE(E214, -J214, I214, -L214), M214)</f>
        <v/>
      </c>
      <c r="O214" s="29">
        <f>IF(N214&gt;0, ROUND(PV(N214, E214, -J214, -L214), 2), I214)</f>
        <v/>
      </c>
      <c r="P214" s="29">
        <f>ROUND(O214-I214, 2)</f>
        <v/>
      </c>
      <c r="Q214" s="31">
        <f>N214*12</f>
        <v/>
      </c>
      <c r="R214" s="31">
        <f>((1+N214)^12)-1</f>
        <v/>
      </c>
      <c r="S214" s="31">
        <f>N214-M214</f>
        <v/>
      </c>
      <c r="T214" s="26">
        <f>IF(ABS(P214)&lt;0.01, "EXACTO", "REVISAR")</f>
        <v/>
      </c>
    </row>
    <row r="215">
      <c r="A215" s="20" t="inlineStr">
        <is>
          <t>0731-0001</t>
        </is>
      </c>
      <c r="B215" s="21" t="inlineStr">
        <is>
          <t>Tesselar Soluciones, S.A. de C.V.</t>
        </is>
      </c>
      <c r="C215" s="21" t="inlineStr">
        <is>
          <t>Song Plus</t>
        </is>
      </c>
      <c r="D215" s="20" t="inlineStr">
        <is>
          <t>ACTIVO</t>
        </is>
      </c>
      <c r="E215" s="22" t="n">
        <v>36</v>
      </c>
      <c r="F215" s="23" t="n">
        <v>658448.28</v>
      </c>
      <c r="G215" s="24" t="n">
        <v>0.35</v>
      </c>
      <c r="H215" s="23">
        <f>ROUND(F215*G215, 2)</f>
        <v/>
      </c>
      <c r="I215" s="23">
        <f>ROUND(F215-H215, 2)</f>
        <v/>
      </c>
      <c r="J215" s="23" t="n">
        <v>12956.78</v>
      </c>
      <c r="K215" s="24" t="n">
        <v>0.39</v>
      </c>
      <c r="L215" s="23">
        <f>ROUND(F215*K215, 2)</f>
        <v/>
      </c>
      <c r="M215" s="25" t="n">
        <v>0.02301672</v>
      </c>
      <c r="N215" s="25">
        <f>IFERROR(RATE(E215, -J215, I215, -L215), M215)</f>
        <v/>
      </c>
      <c r="O215" s="23">
        <f>IF(N215&gt;0, ROUND(PV(N215, E215, -J215, -L215), 2), I215)</f>
        <v/>
      </c>
      <c r="P215" s="23">
        <f>ROUND(O215-I215, 2)</f>
        <v/>
      </c>
      <c r="Q215" s="25">
        <f>N215*12</f>
        <v/>
      </c>
      <c r="R215" s="25">
        <f>((1+N215)^12)-1</f>
        <v/>
      </c>
      <c r="S215" s="25">
        <f>N215-M215</f>
        <v/>
      </c>
      <c r="T215" s="20">
        <f>IF(ABS(P215)&lt;0.01, "EXACTO", "REVISAR")</f>
        <v/>
      </c>
    </row>
    <row r="216">
      <c r="A216" s="26" t="inlineStr">
        <is>
          <t>0731-0002</t>
        </is>
      </c>
      <c r="B216" s="27" t="inlineStr">
        <is>
          <t>Tesselar Soluciones, S.A. de C.V.</t>
        </is>
      </c>
      <c r="C216" s="27" t="inlineStr">
        <is>
          <t>Arona Style</t>
        </is>
      </c>
      <c r="D216" s="26" t="inlineStr">
        <is>
          <t>ACTIVO</t>
        </is>
      </c>
      <c r="E216" s="28" t="n">
        <v>48</v>
      </c>
      <c r="F216" s="29" t="n">
        <v>307672.41</v>
      </c>
      <c r="G216" s="30" t="n">
        <v>0.35</v>
      </c>
      <c r="H216" s="29">
        <f>ROUND(F216*G216, 2)</f>
        <v/>
      </c>
      <c r="I216" s="29">
        <f>ROUND(F216-H216, 2)</f>
        <v/>
      </c>
      <c r="J216" s="29" t="n">
        <v>5566.59</v>
      </c>
      <c r="K216" s="30" t="n">
        <v>0.39</v>
      </c>
      <c r="L216" s="29">
        <f>ROUND(F216*K216, 2)</f>
        <v/>
      </c>
      <c r="M216" s="31" t="n">
        <v>0.02321197</v>
      </c>
      <c r="N216" s="31">
        <f>IFERROR(RATE(E216, -J216, I216, -L216), M216)</f>
        <v/>
      </c>
      <c r="O216" s="29">
        <f>IF(N216&gt;0, ROUND(PV(N216, E216, -J216, -L216), 2), I216)</f>
        <v/>
      </c>
      <c r="P216" s="29">
        <f>ROUND(O216-I216, 2)</f>
        <v/>
      </c>
      <c r="Q216" s="31">
        <f>N216*12</f>
        <v/>
      </c>
      <c r="R216" s="31">
        <f>((1+N216)^12)-1</f>
        <v/>
      </c>
      <c r="S216" s="31">
        <f>N216-M216</f>
        <v/>
      </c>
      <c r="T216" s="26">
        <f>IF(ABS(P216)&lt;0.01, "EXACTO", "REVISAR")</f>
        <v/>
      </c>
    </row>
    <row r="217">
      <c r="A217" s="20" t="inlineStr">
        <is>
          <t>0732-0001</t>
        </is>
      </c>
      <c r="B217" s="21" t="inlineStr">
        <is>
          <t>Koonol Food Traders, S.A. de C.V.</t>
        </is>
      </c>
      <c r="C217" s="21" t="inlineStr">
        <is>
          <t>K4 Turbo</t>
        </is>
      </c>
      <c r="D217" s="20" t="inlineStr">
        <is>
          <t>ACTIVO</t>
        </is>
      </c>
      <c r="E217" s="22" t="n">
        <v>36</v>
      </c>
      <c r="F217" s="23" t="n">
        <v>497327.59</v>
      </c>
      <c r="G217" s="24" t="n">
        <v>0.35</v>
      </c>
      <c r="H217" s="23">
        <f>ROUND(F217*G217, 2)</f>
        <v/>
      </c>
      <c r="I217" s="23">
        <f>ROUND(F217-H217, 2)</f>
        <v/>
      </c>
      <c r="J217" s="23" t="n">
        <v>11198.91</v>
      </c>
      <c r="K217" s="24" t="n">
        <v>0.35</v>
      </c>
      <c r="L217" s="23">
        <f>ROUND(F217*K217, 2)</f>
        <v/>
      </c>
      <c r="M217" s="25" t="n">
        <v>0.02688217</v>
      </c>
      <c r="N217" s="25">
        <f>IFERROR(RATE(E217, -J217, I217, -L217), M217)</f>
        <v/>
      </c>
      <c r="O217" s="23">
        <f>IF(N217&gt;0, ROUND(PV(N217, E217, -J217, -L217), 2), I217)</f>
        <v/>
      </c>
      <c r="P217" s="23">
        <f>ROUND(O217-I217, 2)</f>
        <v/>
      </c>
      <c r="Q217" s="25">
        <f>N217*12</f>
        <v/>
      </c>
      <c r="R217" s="25">
        <f>((1+N217)^12)-1</f>
        <v/>
      </c>
      <c r="S217" s="25">
        <f>N217-M217</f>
        <v/>
      </c>
      <c r="T217" s="20">
        <f>IF(ABS(P217)&lt;0.01, "EXACTO", "REVISAR")</f>
        <v/>
      </c>
    </row>
    <row r="218">
      <c r="A218" s="26" t="inlineStr">
        <is>
          <t>0733-0001</t>
        </is>
      </c>
      <c r="B218" s="27" t="inlineStr">
        <is>
          <t>Alejandro Arias Maldonado</t>
        </is>
      </c>
      <c r="C218" s="27" t="inlineStr">
        <is>
          <t>Wrangler</t>
        </is>
      </c>
      <c r="D218" s="26" t="inlineStr">
        <is>
          <t>ACTIVO</t>
        </is>
      </c>
      <c r="E218" s="28" t="n">
        <v>48</v>
      </c>
      <c r="F218" s="29" t="n">
        <v>1052500</v>
      </c>
      <c r="G218" s="30" t="n">
        <v>0.3</v>
      </c>
      <c r="H218" s="29">
        <f>ROUND(F218*G218, 2)</f>
        <v/>
      </c>
      <c r="I218" s="29">
        <f>ROUND(F218-H218, 2)</f>
        <v/>
      </c>
      <c r="J218" s="29" t="n">
        <v>26433.36</v>
      </c>
      <c r="K218" s="30" t="n">
        <v>0.1</v>
      </c>
      <c r="L218" s="29">
        <f>ROUND(F218*K218, 2)</f>
        <v/>
      </c>
      <c r="M218" s="31" t="n">
        <v>0.02693492</v>
      </c>
      <c r="N218" s="31">
        <f>IFERROR(RATE(E218, -J218, I218, -L218), M218)</f>
        <v/>
      </c>
      <c r="O218" s="29">
        <f>IF(N218&gt;0, ROUND(PV(N218, E218, -J218, -L218), 2), I218)</f>
        <v/>
      </c>
      <c r="P218" s="29">
        <f>ROUND(O218-I218, 2)</f>
        <v/>
      </c>
      <c r="Q218" s="31">
        <f>N218*12</f>
        <v/>
      </c>
      <c r="R218" s="31">
        <f>((1+N218)^12)-1</f>
        <v/>
      </c>
      <c r="S218" s="31">
        <f>N218-M218</f>
        <v/>
      </c>
      <c r="T218" s="26">
        <f>IF(ABS(P218)&lt;0.01, "EXACTO", "REVISAR")</f>
        <v/>
      </c>
    </row>
    <row r="219">
      <c r="A219" s="20" t="inlineStr">
        <is>
          <t>0734-0001</t>
        </is>
      </c>
      <c r="B219" s="21" t="inlineStr">
        <is>
          <t>Nutrientes Agricolas de Colima, S. de R.L. de C.V.</t>
        </is>
      </c>
      <c r="C219" s="21" t="inlineStr">
        <is>
          <t>1200 TRADESMAN RC</t>
        </is>
      </c>
      <c r="D219" s="20" t="inlineStr">
        <is>
          <t>ACTIVO</t>
        </is>
      </c>
      <c r="E219" s="22" t="n">
        <v>36</v>
      </c>
      <c r="F219" s="23" t="n">
        <v>392155.17</v>
      </c>
      <c r="G219" s="24" t="n">
        <v>0.2</v>
      </c>
      <c r="H219" s="23">
        <f>ROUND(F219*G219, 2)</f>
        <v/>
      </c>
      <c r="I219" s="23">
        <f>ROUND(F219-H219, 2)</f>
        <v/>
      </c>
      <c r="J219" s="23" t="n">
        <v>12987.78</v>
      </c>
      <c r="K219" s="24" t="n">
        <v>0.1</v>
      </c>
      <c r="L219" s="23">
        <f>ROUND(F219*K219, 2)</f>
        <v/>
      </c>
      <c r="M219" s="25" t="n">
        <v>0.02660351</v>
      </c>
      <c r="N219" s="25">
        <f>IFERROR(RATE(E219, -J219, I219, -L219), M219)</f>
        <v/>
      </c>
      <c r="O219" s="23">
        <f>IF(N219&gt;0, ROUND(PV(N219, E219, -J219, -L219), 2), I219)</f>
        <v/>
      </c>
      <c r="P219" s="23">
        <f>ROUND(O219-I219, 2)</f>
        <v/>
      </c>
      <c r="Q219" s="25">
        <f>N219*12</f>
        <v/>
      </c>
      <c r="R219" s="25">
        <f>((1+N219)^12)-1</f>
        <v/>
      </c>
      <c r="S219" s="25">
        <f>N219-M219</f>
        <v/>
      </c>
      <c r="T219" s="20">
        <f>IF(ABS(P219)&lt;0.01, "EXACTO", "REVISAR")</f>
        <v/>
      </c>
    </row>
    <row r="220">
      <c r="A220" s="26" t="inlineStr">
        <is>
          <t>0734-0002</t>
        </is>
      </c>
      <c r="B220" s="27" t="inlineStr">
        <is>
          <t>Nutrientes Agricolas de Colima, S. de R.L. de C.V.</t>
        </is>
      </c>
      <c r="C220" s="27" t="inlineStr">
        <is>
          <t>1200 TRADESMAN CHASIS CABINA</t>
        </is>
      </c>
      <c r="D220" s="26" t="inlineStr">
        <is>
          <t>ACTIVO</t>
        </is>
      </c>
      <c r="E220" s="28" t="n">
        <v>36</v>
      </c>
      <c r="F220" s="29" t="n">
        <v>424344.83</v>
      </c>
      <c r="G220" s="30" t="n">
        <v>0.2</v>
      </c>
      <c r="H220" s="29">
        <f>ROUND(F220*G220, 2)</f>
        <v/>
      </c>
      <c r="I220" s="29">
        <f>ROUND(F220-H220, 2)</f>
        <v/>
      </c>
      <c r="J220" s="29" t="n">
        <v>14053.87</v>
      </c>
      <c r="K220" s="30" t="n">
        <v>0.2</v>
      </c>
      <c r="L220" s="29">
        <f>ROUND(F220*K220, 2)</f>
        <v/>
      </c>
      <c r="M220" s="31" t="n">
        <v>0.02940361</v>
      </c>
      <c r="N220" s="31">
        <f>IFERROR(RATE(E220, -J220, I220, -L220), M220)</f>
        <v/>
      </c>
      <c r="O220" s="29">
        <f>IF(N220&gt;0, ROUND(PV(N220, E220, -J220, -L220), 2), I220)</f>
        <v/>
      </c>
      <c r="P220" s="29">
        <f>ROUND(O220-I220, 2)</f>
        <v/>
      </c>
      <c r="Q220" s="31">
        <f>N220*12</f>
        <v/>
      </c>
      <c r="R220" s="31">
        <f>((1+N220)^12)-1</f>
        <v/>
      </c>
      <c r="S220" s="31">
        <f>N220-M220</f>
        <v/>
      </c>
      <c r="T220" s="26">
        <f>IF(ABS(P220)&lt;0.01, "EXACTO", "REVISAR")</f>
        <v/>
      </c>
    </row>
    <row r="221">
      <c r="A221" s="20" t="inlineStr">
        <is>
          <t>0735-0001</t>
        </is>
      </c>
      <c r="B221" s="21" t="inlineStr">
        <is>
          <t>Francisco Zepeda Covarrubias</t>
        </is>
      </c>
      <c r="C221" s="21" t="inlineStr">
        <is>
          <t>Territory Trend 1.5L Hibrido</t>
        </is>
      </c>
      <c r="D221" s="20" t="inlineStr">
        <is>
          <t>ACTIVO</t>
        </is>
      </c>
      <c r="E221" s="22" t="n">
        <v>36</v>
      </c>
      <c r="F221" s="23" t="n">
        <v>603362.0699999999</v>
      </c>
      <c r="G221" s="24" t="n">
        <v>0.2</v>
      </c>
      <c r="H221" s="23">
        <f>ROUND(F221*G221, 2)</f>
        <v/>
      </c>
      <c r="I221" s="23">
        <f>ROUND(F221-H221, 2)</f>
        <v/>
      </c>
      <c r="J221" s="23" t="n">
        <v>19982.74</v>
      </c>
      <c r="K221" s="24" t="n">
        <v>0.1</v>
      </c>
      <c r="L221" s="23">
        <f>ROUND(F221*K221, 2)</f>
        <v/>
      </c>
      <c r="M221" s="25" t="n">
        <v>0.0266035</v>
      </c>
      <c r="N221" s="25">
        <f>IFERROR(RATE(E221, -J221, I221, -L221), M221)</f>
        <v/>
      </c>
      <c r="O221" s="23">
        <f>IF(N221&gt;0, ROUND(PV(N221, E221, -J221, -L221), 2), I221)</f>
        <v/>
      </c>
      <c r="P221" s="23">
        <f>ROUND(O221-I221, 2)</f>
        <v/>
      </c>
      <c r="Q221" s="25">
        <f>N221*12</f>
        <v/>
      </c>
      <c r="R221" s="25">
        <f>((1+N221)^12)-1</f>
        <v/>
      </c>
      <c r="S221" s="25">
        <f>N221-M221</f>
        <v/>
      </c>
      <c r="T221" s="20">
        <f>IF(ABS(P221)&lt;0.01, "EXACTO", "REVISAR")</f>
        <v/>
      </c>
    </row>
    <row r="222">
      <c r="A222" s="26" t="inlineStr">
        <is>
          <t>0736-0001</t>
        </is>
      </c>
      <c r="B222" s="27" t="inlineStr">
        <is>
          <t>Industrial Castillo de Tequila S.A. de C.V.</t>
        </is>
      </c>
      <c r="C222" s="27" t="inlineStr">
        <is>
          <t>700 TRADESMAN CREW CAB</t>
        </is>
      </c>
      <c r="D222" s="26" t="inlineStr">
        <is>
          <t>ACTIVO</t>
        </is>
      </c>
      <c r="E222" s="28" t="n">
        <v>48</v>
      </c>
      <c r="F222" s="29" t="n">
        <v>303041.38</v>
      </c>
      <c r="G222" s="30" t="n">
        <v>0.4</v>
      </c>
      <c r="H222" s="29">
        <f>ROUND(F222*G222, 2)</f>
        <v/>
      </c>
      <c r="I222" s="29">
        <f>ROUND(F222-H222, 2)</f>
        <v/>
      </c>
      <c r="J222" s="29" t="n">
        <v>7302.48</v>
      </c>
      <c r="K222" s="30" t="n">
        <v>0.1</v>
      </c>
      <c r="L222" s="29">
        <f>ROUND(F222*K222, 2)</f>
        <v/>
      </c>
      <c r="M222" s="31" t="n">
        <v>0.0327867</v>
      </c>
      <c r="N222" s="31">
        <f>IFERROR(RATE(E222, -J222, I222, -L222), M222)</f>
        <v/>
      </c>
      <c r="O222" s="29">
        <f>IF(N222&gt;0, ROUND(PV(N222, E222, -J222, -L222), 2), I222)</f>
        <v/>
      </c>
      <c r="P222" s="29">
        <f>ROUND(O222-I222, 2)</f>
        <v/>
      </c>
      <c r="Q222" s="31">
        <f>N222*12</f>
        <v/>
      </c>
      <c r="R222" s="31">
        <f>((1+N222)^12)-1</f>
        <v/>
      </c>
      <c r="S222" s="31">
        <f>N222-M222</f>
        <v/>
      </c>
      <c r="T222" s="26">
        <f>IF(ABS(P222)&lt;0.01, "EXACTO", "REVISAR")</f>
        <v/>
      </c>
    </row>
    <row r="223">
      <c r="A223" s="20" t="inlineStr">
        <is>
          <t>0737-0001</t>
        </is>
      </c>
      <c r="B223" s="21" t="inlineStr">
        <is>
          <t>Nicola Briani</t>
        </is>
      </c>
      <c r="C223" s="21" t="inlineStr">
        <is>
          <t>T1 Savage</t>
        </is>
      </c>
      <c r="D223" s="20" t="inlineStr">
        <is>
          <t>ACTIVO</t>
        </is>
      </c>
      <c r="E223" s="22" t="n">
        <v>48</v>
      </c>
      <c r="F223" s="23" t="n">
        <v>560258.62</v>
      </c>
      <c r="G223" s="24" t="n">
        <v>0.3</v>
      </c>
      <c r="H223" s="23">
        <f>ROUND(F223*G223, 2)</f>
        <v/>
      </c>
      <c r="I223" s="23">
        <f>ROUND(F223-H223, 2)</f>
        <v/>
      </c>
      <c r="J223" s="23" t="n">
        <v>14070.8</v>
      </c>
      <c r="K223" s="24" t="n">
        <v>0.1</v>
      </c>
      <c r="L223" s="23">
        <f>ROUND(F223*K223, 2)</f>
        <v/>
      </c>
      <c r="M223" s="25" t="n">
        <v>0.02693492</v>
      </c>
      <c r="N223" s="25">
        <f>IFERROR(RATE(E223, -J223, I223, -L223), M223)</f>
        <v/>
      </c>
      <c r="O223" s="23">
        <f>IF(N223&gt;0, ROUND(PV(N223, E223, -J223, -L223), 2), I223)</f>
        <v/>
      </c>
      <c r="P223" s="23">
        <f>ROUND(O223-I223, 2)</f>
        <v/>
      </c>
      <c r="Q223" s="25">
        <f>N223*12</f>
        <v/>
      </c>
      <c r="R223" s="25">
        <f>((1+N223)^12)-1</f>
        <v/>
      </c>
      <c r="S223" s="25">
        <f>N223-M223</f>
        <v/>
      </c>
      <c r="T223" s="20">
        <f>IF(ABS(P223)&lt;0.01, "EXACTO", "REVISAR")</f>
        <v/>
      </c>
    </row>
    <row r="224">
      <c r="A224" s="26" t="inlineStr">
        <is>
          <t>0738-0001</t>
        </is>
      </c>
      <c r="B224" s="27" t="inlineStr">
        <is>
          <t>Vinaria Distribución S.A.S.</t>
        </is>
      </c>
      <c r="C224" s="27" t="inlineStr">
        <is>
          <t>700 BIGHORN "S" CREW CAB CVT</t>
        </is>
      </c>
      <c r="D224" s="26" t="inlineStr">
        <is>
          <t>ACTIVO</t>
        </is>
      </c>
      <c r="E224" s="28" t="n">
        <v>36</v>
      </c>
      <c r="F224" s="29" t="n">
        <v>371465.52</v>
      </c>
      <c r="G224" s="30" t="n">
        <v>0.3</v>
      </c>
      <c r="H224" s="29">
        <f>ROUND(F224*G224, 2)</f>
        <v/>
      </c>
      <c r="I224" s="29">
        <f>ROUND(F224-H224, 2)</f>
        <v/>
      </c>
      <c r="J224" s="29" t="n">
        <v>10678.55</v>
      </c>
      <c r="K224" s="30" t="n">
        <v>0.1</v>
      </c>
      <c r="L224" s="29">
        <f>ROUND(F224*K224, 2)</f>
        <v/>
      </c>
      <c r="M224" s="31" t="n">
        <v>0.02656212</v>
      </c>
      <c r="N224" s="31">
        <f>IFERROR(RATE(E224, -J224, I224, -L224), M224)</f>
        <v/>
      </c>
      <c r="O224" s="29">
        <f>IF(N224&gt;0, ROUND(PV(N224, E224, -J224, -L224), 2), I224)</f>
        <v/>
      </c>
      <c r="P224" s="29">
        <f>ROUND(O224-I224, 2)</f>
        <v/>
      </c>
      <c r="Q224" s="31">
        <f>N224*12</f>
        <v/>
      </c>
      <c r="R224" s="31">
        <f>((1+N224)^12)-1</f>
        <v/>
      </c>
      <c r="S224" s="31">
        <f>N224-M224</f>
        <v/>
      </c>
      <c r="T224" s="26">
        <f>IF(ABS(P224)&lt;0.01, "EXACTO", "REVISAR")</f>
        <v/>
      </c>
    </row>
    <row r="225">
      <c r="A225" s="20" t="inlineStr">
        <is>
          <t>0739-0001</t>
        </is>
      </c>
      <c r="B225" s="21" t="inlineStr">
        <is>
          <t>Miriam Patricia López Flores</t>
        </is>
      </c>
      <c r="C225" s="21" t="inlineStr">
        <is>
          <t>Jeep Wrangler Unlimited Rubicon</t>
        </is>
      </c>
      <c r="D225" s="20" t="inlineStr">
        <is>
          <t>ACTIVO</t>
        </is>
      </c>
      <c r="E225" s="22" t="n">
        <v>48</v>
      </c>
      <c r="F225" s="23" t="n">
        <v>1318614.66</v>
      </c>
      <c r="G225" s="24" t="n">
        <v>0.2</v>
      </c>
      <c r="H225" s="23">
        <f>ROUND(F225*G225, 2)</f>
        <v/>
      </c>
      <c r="I225" s="23">
        <f>ROUND(F225-H225, 2)</f>
        <v/>
      </c>
      <c r="J225" s="23" t="n">
        <v>38006.09</v>
      </c>
      <c r="K225" s="24" t="n">
        <v>0.1</v>
      </c>
      <c r="L225" s="23">
        <f>ROUND(F225*K225, 2)</f>
        <v/>
      </c>
      <c r="M225" s="25" t="n">
        <v>0.02688642</v>
      </c>
      <c r="N225" s="25">
        <f>IFERROR(RATE(E225, -J225, I225, -L225), M225)</f>
        <v/>
      </c>
      <c r="O225" s="23">
        <f>IF(N225&gt;0, ROUND(PV(N225, E225, -J225, -L225), 2), I225)</f>
        <v/>
      </c>
      <c r="P225" s="23">
        <f>ROUND(O225-I225, 2)</f>
        <v/>
      </c>
      <c r="Q225" s="25">
        <f>N225*12</f>
        <v/>
      </c>
      <c r="R225" s="25">
        <f>((1+N225)^12)-1</f>
        <v/>
      </c>
      <c r="S225" s="25">
        <f>N225-M225</f>
        <v/>
      </c>
      <c r="T225" s="20">
        <f>IF(ABS(P225)&lt;0.01, "EXACTO", "REVISAR")</f>
        <v/>
      </c>
    </row>
    <row r="226">
      <c r="A226" s="26" t="inlineStr">
        <is>
          <t>0740-0001</t>
        </is>
      </c>
      <c r="B226" s="27" t="inlineStr">
        <is>
          <t>Sanatorio Versalles de Guadalajara</t>
        </is>
      </c>
      <c r="C226" s="27" t="inlineStr">
        <is>
          <t>1200 Bighorn</t>
        </is>
      </c>
      <c r="D226" s="26" t="inlineStr">
        <is>
          <t>ACTIVO</t>
        </is>
      </c>
      <c r="E226" s="28" t="n">
        <v>12</v>
      </c>
      <c r="F226" s="29" t="n">
        <v>491293.1</v>
      </c>
      <c r="G226" s="30" t="n">
        <v>0.4</v>
      </c>
      <c r="H226" s="29">
        <f>ROUND(F226*G226, 2)</f>
        <v/>
      </c>
      <c r="I226" s="29">
        <f>ROUND(F226-H226, 2)</f>
        <v/>
      </c>
      <c r="J226" s="29" t="n">
        <v>25017.44</v>
      </c>
      <c r="K226" s="30" t="n">
        <v>0.1</v>
      </c>
      <c r="L226" s="29">
        <f>ROUND(F226*K226, 2)</f>
        <v/>
      </c>
      <c r="M226" s="31" t="n">
        <v>0.02418442</v>
      </c>
      <c r="N226" s="31">
        <f>IFERROR(RATE(E226, -J226, I226, -L226), M226)</f>
        <v/>
      </c>
      <c r="O226" s="29">
        <f>IF(N226&gt;0, ROUND(PV(N226, E226, -J226, -L226), 2), I226)</f>
        <v/>
      </c>
      <c r="P226" s="29">
        <f>ROUND(O226-I226, 2)</f>
        <v/>
      </c>
      <c r="Q226" s="31">
        <f>N226*12</f>
        <v/>
      </c>
      <c r="R226" s="31">
        <f>((1+N226)^12)-1</f>
        <v/>
      </c>
      <c r="S226" s="31">
        <f>N226-M226</f>
        <v/>
      </c>
      <c r="T226" s="26">
        <f>IF(ABS(P226)&lt;0.01, "EXACTO", "REVISAR")</f>
        <v/>
      </c>
    </row>
    <row r="227">
      <c r="A227" s="20" t="inlineStr">
        <is>
          <t>0741-0001</t>
        </is>
      </c>
      <c r="B227" s="21" t="inlineStr">
        <is>
          <t>Alvaró Agustin Navarro Castellón</t>
        </is>
      </c>
      <c r="C227" s="21" t="inlineStr">
        <is>
          <t>Manager Furgon L4H2</t>
        </is>
      </c>
      <c r="D227" s="20" t="inlineStr">
        <is>
          <t>ACTIVO</t>
        </is>
      </c>
      <c r="E227" s="22" t="n">
        <v>48</v>
      </c>
      <c r="F227" s="23" t="n">
        <v>755948.28</v>
      </c>
      <c r="G227" s="24" t="n">
        <v>0.1</v>
      </c>
      <c r="H227" s="23">
        <f>ROUND(F227*G227, 2)</f>
        <v/>
      </c>
      <c r="I227" s="23">
        <f>ROUND(F227-H227, 2)</f>
        <v/>
      </c>
      <c r="J227" s="23" t="n">
        <v>24606.31</v>
      </c>
      <c r="K227" s="24" t="n">
        <v>0.3</v>
      </c>
      <c r="L227" s="23">
        <f>ROUND(F227*K227, 2)</f>
        <v/>
      </c>
      <c r="M227" s="25" t="n">
        <v>0.02973377</v>
      </c>
      <c r="N227" s="25">
        <f>IFERROR(RATE(E227, -J227, I227, -L227), M227)</f>
        <v/>
      </c>
      <c r="O227" s="23">
        <f>IF(N227&gt;0, ROUND(PV(N227, E227, -J227, -L227), 2), I227)</f>
        <v/>
      </c>
      <c r="P227" s="23">
        <f>ROUND(O227-I227, 2)</f>
        <v/>
      </c>
      <c r="Q227" s="25">
        <f>N227*12</f>
        <v/>
      </c>
      <c r="R227" s="25">
        <f>((1+N227)^12)-1</f>
        <v/>
      </c>
      <c r="S227" s="25">
        <f>N227-M227</f>
        <v/>
      </c>
      <c r="T227" s="20">
        <f>IF(ABS(P227)&lt;0.01, "EXACTO", "REVISAR")</f>
        <v/>
      </c>
    </row>
    <row r="228">
      <c r="A228" s="26" t="inlineStr">
        <is>
          <t>0742-0001</t>
        </is>
      </c>
      <c r="B228" s="27" t="inlineStr">
        <is>
          <t>Universidad de las Américas y el Caribe, S.C.</t>
        </is>
      </c>
      <c r="C228" s="27" t="inlineStr">
        <is>
          <t>700 BIGHORN "S" CREW CAB MT</t>
        </is>
      </c>
      <c r="D228" s="26" t="inlineStr">
        <is>
          <t>ACTIVO</t>
        </is>
      </c>
      <c r="E228" s="28" t="n">
        <v>36</v>
      </c>
      <c r="F228" s="29" t="n">
        <v>329381.9</v>
      </c>
      <c r="G228" s="30" t="n">
        <v>0.1</v>
      </c>
      <c r="H228" s="29">
        <f>ROUND(F228*G228, 2)</f>
        <v/>
      </c>
      <c r="I228" s="29">
        <f>ROUND(F228-H228, 2)</f>
        <v/>
      </c>
      <c r="J228" s="29" t="n">
        <v>11801.5</v>
      </c>
      <c r="K228" s="30" t="n">
        <v>0.2</v>
      </c>
      <c r="L228" s="29">
        <f>ROUND(F228*K228, 2)</f>
        <v/>
      </c>
      <c r="M228" s="31" t="n">
        <v>0.0266784</v>
      </c>
      <c r="N228" s="31">
        <f>IFERROR(RATE(E228, -J228, I228, -L228), M228)</f>
        <v/>
      </c>
      <c r="O228" s="29">
        <f>IF(N228&gt;0, ROUND(PV(N228, E228, -J228, -L228), 2), I228)</f>
        <v/>
      </c>
      <c r="P228" s="29">
        <f>ROUND(O228-I228, 2)</f>
        <v/>
      </c>
      <c r="Q228" s="31">
        <f>N228*12</f>
        <v/>
      </c>
      <c r="R228" s="31">
        <f>((1+N228)^12)-1</f>
        <v/>
      </c>
      <c r="S228" s="31">
        <f>N228-M228</f>
        <v/>
      </c>
      <c r="T228" s="26">
        <f>IF(ABS(P228)&lt;0.01, "EXACTO", "REVISAR")</f>
        <v/>
      </c>
    </row>
    <row r="229">
      <c r="A229" s="20" t="inlineStr">
        <is>
          <t>0742-0002</t>
        </is>
      </c>
      <c r="B229" s="21" t="inlineStr">
        <is>
          <t>Universidad de las Américas y el Caribe, S.C.</t>
        </is>
      </c>
      <c r="C229" s="21" t="inlineStr">
        <is>
          <t>700 BIGHORN "S" CREW CAB CVT</t>
        </is>
      </c>
      <c r="D229" s="20" t="inlineStr">
        <is>
          <t>ACTIVO</t>
        </is>
      </c>
      <c r="E229" s="22" t="n">
        <v>36</v>
      </c>
      <c r="F229" s="23" t="n">
        <v>360321.55</v>
      </c>
      <c r="G229" s="24" t="n">
        <v>0.1</v>
      </c>
      <c r="H229" s="23">
        <f>ROUND(F229*G229, 2)</f>
        <v/>
      </c>
      <c r="I229" s="23">
        <f>ROUND(F229-H229, 2)</f>
        <v/>
      </c>
      <c r="J229" s="23" t="n">
        <v>12910.04</v>
      </c>
      <c r="K229" s="24" t="n">
        <v>0.2</v>
      </c>
      <c r="L229" s="23">
        <f>ROUND(F229*K229, 2)</f>
        <v/>
      </c>
      <c r="M229" s="25" t="n">
        <v>0.02667839</v>
      </c>
      <c r="N229" s="25">
        <f>IFERROR(RATE(E229, -J229, I229, -L229), M229)</f>
        <v/>
      </c>
      <c r="O229" s="23">
        <f>IF(N229&gt;0, ROUND(PV(N229, E229, -J229, -L229), 2), I229)</f>
        <v/>
      </c>
      <c r="P229" s="23">
        <f>ROUND(O229-I229, 2)</f>
        <v/>
      </c>
      <c r="Q229" s="25">
        <f>N229*12</f>
        <v/>
      </c>
      <c r="R229" s="25">
        <f>((1+N229)^12)-1</f>
        <v/>
      </c>
      <c r="S229" s="25">
        <f>N229-M229</f>
        <v/>
      </c>
      <c r="T229" s="20">
        <f>IF(ABS(P229)&lt;0.01, "EXACTO", "REVISAR")</f>
        <v/>
      </c>
    </row>
    <row r="230">
      <c r="A230" s="26" t="inlineStr">
        <is>
          <t>0743-0001</t>
        </is>
      </c>
      <c r="B230" s="27" t="inlineStr">
        <is>
          <t>IEM Soluciones Integrales, S.C.</t>
        </is>
      </c>
      <c r="C230" s="27" t="inlineStr">
        <is>
          <t>1200 BIGHORN CC</t>
        </is>
      </c>
      <c r="D230" s="26" t="inlineStr">
        <is>
          <t>ACTIVO</t>
        </is>
      </c>
      <c r="E230" s="28" t="n">
        <v>36</v>
      </c>
      <c r="F230" s="29" t="n">
        <v>491293.1</v>
      </c>
      <c r="G230" s="30" t="n">
        <v>0.4</v>
      </c>
      <c r="H230" s="29">
        <f>ROUND(F230*G230, 2)</f>
        <v/>
      </c>
      <c r="I230" s="29">
        <f>ROUND(F230-H230, 2)</f>
        <v/>
      </c>
      <c r="J230" s="29" t="n">
        <v>12002.67</v>
      </c>
      <c r="K230" s="30" t="n">
        <v>0.1</v>
      </c>
      <c r="L230" s="29">
        <f>ROUND(F230*K230, 2)</f>
        <v/>
      </c>
      <c r="M230" s="31" t="n">
        <v>0.02663643</v>
      </c>
      <c r="N230" s="31">
        <f>IFERROR(RATE(E230, -J230, I230, -L230), M230)</f>
        <v/>
      </c>
      <c r="O230" s="29">
        <f>IF(N230&gt;0, ROUND(PV(N230, E230, -J230, -L230), 2), I230)</f>
        <v/>
      </c>
      <c r="P230" s="29">
        <f>ROUND(O230-I230, 2)</f>
        <v/>
      </c>
      <c r="Q230" s="31">
        <f>N230*12</f>
        <v/>
      </c>
      <c r="R230" s="31">
        <f>((1+N230)^12)-1</f>
        <v/>
      </c>
      <c r="S230" s="31">
        <f>N230-M230</f>
        <v/>
      </c>
      <c r="T230" s="26">
        <f>IF(ABS(P230)&lt;0.01, "EXACTO", "REVISAR")</f>
        <v/>
      </c>
    </row>
    <row r="231">
      <c r="A231" s="20" t="inlineStr">
        <is>
          <t>0744-0001</t>
        </is>
      </c>
      <c r="B231" s="21" t="inlineStr">
        <is>
          <t>H&amp;A Edicon, S.A. de C.V.</t>
        </is>
      </c>
      <c r="C231" s="21" t="inlineStr">
        <is>
          <t>NP 300 Chasis Cabina</t>
        </is>
      </c>
      <c r="D231" s="20" t="inlineStr">
        <is>
          <t>ACTIVO</t>
        </is>
      </c>
      <c r="E231" s="22" t="n">
        <v>24</v>
      </c>
      <c r="F231" s="23" t="n">
        <v>468448.28</v>
      </c>
      <c r="G231" s="24" t="n">
        <v>0.3</v>
      </c>
      <c r="H231" s="23">
        <f>ROUND(F231*G231, 2)</f>
        <v/>
      </c>
      <c r="I231" s="23">
        <f>ROUND(F231-H231, 2)</f>
        <v/>
      </c>
      <c r="J231" s="23" t="n">
        <v>15703.94</v>
      </c>
      <c r="K231" s="24" t="n">
        <v>0.2</v>
      </c>
      <c r="L231" s="23">
        <f>ROUND(F231*K231, 2)</f>
        <v/>
      </c>
      <c r="M231" s="25" t="n">
        <v>0.02611184</v>
      </c>
      <c r="N231" s="25">
        <f>IFERROR(RATE(E231, -J231, I231, -L231), M231)</f>
        <v/>
      </c>
      <c r="O231" s="23">
        <f>IF(N231&gt;0, ROUND(PV(N231, E231, -J231, -L231), 2), I231)</f>
        <v/>
      </c>
      <c r="P231" s="23">
        <f>ROUND(O231-I231, 2)</f>
        <v/>
      </c>
      <c r="Q231" s="25">
        <f>N231*12</f>
        <v/>
      </c>
      <c r="R231" s="25">
        <f>((1+N231)^12)-1</f>
        <v/>
      </c>
      <c r="S231" s="25">
        <f>N231-M231</f>
        <v/>
      </c>
      <c r="T231" s="20">
        <f>IF(ABS(P231)&lt;0.01, "EXACTO", "REVISAR")</f>
        <v/>
      </c>
    </row>
    <row r="232">
      <c r="A232" s="26" t="inlineStr">
        <is>
          <t>0745-0001</t>
        </is>
      </c>
      <c r="B232" s="27" t="inlineStr">
        <is>
          <t>Industrializadora de Productos Lácteos y Derivados los Cuates, S.A. de C.V.</t>
        </is>
      </c>
      <c r="C232" s="27" t="inlineStr">
        <is>
          <t>Outlander Sport SE Plus</t>
        </is>
      </c>
      <c r="D232" s="26" t="inlineStr">
        <is>
          <t>ACTIVO</t>
        </is>
      </c>
      <c r="E232" s="28" t="n">
        <v>36</v>
      </c>
      <c r="F232" s="29" t="n">
        <v>419816.38</v>
      </c>
      <c r="G232" s="30" t="n">
        <v>0.4</v>
      </c>
      <c r="H232" s="29">
        <f>ROUND(F232*G232, 2)</f>
        <v/>
      </c>
      <c r="I232" s="29">
        <f>ROUND(F232-H232, 2)</f>
        <v/>
      </c>
      <c r="J232" s="29" t="n">
        <v>10256.44</v>
      </c>
      <c r="K232" s="30" t="n">
        <v>0.1</v>
      </c>
      <c r="L232" s="29">
        <f>ROUND(F232*K232, 2)</f>
        <v/>
      </c>
      <c r="M232" s="31" t="n">
        <v>0.02663643</v>
      </c>
      <c r="N232" s="31">
        <f>IFERROR(RATE(E232, -J232, I232, -L232), M232)</f>
        <v/>
      </c>
      <c r="O232" s="29">
        <f>IF(N232&gt;0, ROUND(PV(N232, E232, -J232, -L232), 2), I232)</f>
        <v/>
      </c>
      <c r="P232" s="29">
        <f>ROUND(O232-I232, 2)</f>
        <v/>
      </c>
      <c r="Q232" s="31">
        <f>N232*12</f>
        <v/>
      </c>
      <c r="R232" s="31">
        <f>((1+N232)^12)-1</f>
        <v/>
      </c>
      <c r="S232" s="31">
        <f>N232-M232</f>
        <v/>
      </c>
      <c r="T232" s="26">
        <f>IF(ABS(P232)&lt;0.01, "EXACTO", "REVISAR")</f>
        <v/>
      </c>
    </row>
    <row r="233">
      <c r="A233" s="20" t="inlineStr">
        <is>
          <t>0746-0001</t>
        </is>
      </c>
      <c r="B233" s="21" t="inlineStr">
        <is>
          <t>Giovanni Salvador Medina Rubio</t>
        </is>
      </c>
      <c r="C233" s="21" t="inlineStr">
        <is>
          <t>Rapid</t>
        </is>
      </c>
      <c r="D233" s="20" t="inlineStr">
        <is>
          <t>ACTIVO</t>
        </is>
      </c>
      <c r="E233" s="22" t="n">
        <v>36</v>
      </c>
      <c r="F233" s="23" t="n">
        <v>289137.93</v>
      </c>
      <c r="G233" s="24" t="n">
        <v>0.2</v>
      </c>
      <c r="H233" s="23">
        <f>ROUND(F233*G233, 2)</f>
        <v/>
      </c>
      <c r="I233" s="23">
        <f>ROUND(F233-H233, 2)</f>
        <v/>
      </c>
      <c r="J233" s="23" t="n">
        <v>9575.959999999999</v>
      </c>
      <c r="K233" s="24" t="n">
        <v>0.1</v>
      </c>
      <c r="L233" s="23">
        <f>ROUND(F233*K233, 2)</f>
        <v/>
      </c>
      <c r="M233" s="25" t="n">
        <v>0.02660351</v>
      </c>
      <c r="N233" s="25">
        <f>IFERROR(RATE(E233, -J233, I233, -L233), M233)</f>
        <v/>
      </c>
      <c r="O233" s="23">
        <f>IF(N233&gt;0, ROUND(PV(N233, E233, -J233, -L233), 2), I233)</f>
        <v/>
      </c>
      <c r="P233" s="23">
        <f>ROUND(O233-I233, 2)</f>
        <v/>
      </c>
      <c r="Q233" s="25">
        <f>N233*12</f>
        <v/>
      </c>
      <c r="R233" s="25">
        <f>((1+N233)^12)-1</f>
        <v/>
      </c>
      <c r="S233" s="25">
        <f>N233-M233</f>
        <v/>
      </c>
      <c r="T233" s="20">
        <f>IF(ABS(P233)&lt;0.01, "EXACTO", "REVISAR")</f>
        <v/>
      </c>
    </row>
    <row r="234">
      <c r="A234" s="26" t="inlineStr">
        <is>
          <t>0747-0001</t>
        </is>
      </c>
      <c r="B234" s="27" t="inlineStr">
        <is>
          <t>Brandon Joel Zepeda Romero</t>
        </is>
      </c>
      <c r="C234" s="27" t="inlineStr">
        <is>
          <t>Ranger Raptor</t>
        </is>
      </c>
      <c r="D234" s="26" t="inlineStr">
        <is>
          <t>ACTIVO</t>
        </is>
      </c>
      <c r="E234" s="28" t="n">
        <v>48</v>
      </c>
      <c r="F234" s="29" t="n">
        <v>1077586.21</v>
      </c>
      <c r="G234" s="30" t="n">
        <v>0.2</v>
      </c>
      <c r="H234" s="29">
        <f>ROUND(F234*G234, 2)</f>
        <v/>
      </c>
      <c r="I234" s="29">
        <f>ROUND(F234-H234, 2)</f>
        <v/>
      </c>
      <c r="J234" s="29" t="n">
        <v>31084.09</v>
      </c>
      <c r="K234" s="30" t="n">
        <v>0.1</v>
      </c>
      <c r="L234" s="29">
        <f>ROUND(F234*K234, 2)</f>
        <v/>
      </c>
      <c r="M234" s="31" t="n">
        <v>0.0269254</v>
      </c>
      <c r="N234" s="31">
        <f>IFERROR(RATE(E234, -J234, I234, -L234), M234)</f>
        <v/>
      </c>
      <c r="O234" s="29">
        <f>IF(N234&gt;0, ROUND(PV(N234, E234, -J234, -L234), 2), I234)</f>
        <v/>
      </c>
      <c r="P234" s="29">
        <f>ROUND(O234-I234, 2)</f>
        <v/>
      </c>
      <c r="Q234" s="31">
        <f>N234*12</f>
        <v/>
      </c>
      <c r="R234" s="31">
        <f>((1+N234)^12)-1</f>
        <v/>
      </c>
      <c r="S234" s="31">
        <f>N234-M234</f>
        <v/>
      </c>
      <c r="T234" s="26">
        <f>IF(ABS(P234)&lt;0.01, "EXACTO", "REVISAR")</f>
        <v/>
      </c>
    </row>
    <row r="235">
      <c r="A235" s="20" t="inlineStr">
        <is>
          <t>0748-0001</t>
        </is>
      </c>
      <c r="B235" s="21" t="inlineStr">
        <is>
          <t>Carlos Guerra Iñiguez</t>
        </is>
      </c>
      <c r="C235" s="21" t="inlineStr">
        <is>
          <t>L200 GLX</t>
        </is>
      </c>
      <c r="D235" s="20" t="inlineStr">
        <is>
          <t>ACTIVO</t>
        </is>
      </c>
      <c r="E235" s="22" t="n">
        <v>48</v>
      </c>
      <c r="F235" s="23" t="n">
        <v>420700.86</v>
      </c>
      <c r="G235" s="24" t="n">
        <v>0.2</v>
      </c>
      <c r="H235" s="23">
        <f>ROUND(F235*G235, 2)</f>
        <v/>
      </c>
      <c r="I235" s="23">
        <f>ROUND(F235-H235, 2)</f>
        <v/>
      </c>
      <c r="J235" s="23" t="n">
        <v>12135.55</v>
      </c>
      <c r="K235" s="24" t="n">
        <v>0.1</v>
      </c>
      <c r="L235" s="23">
        <f>ROUND(F235*K235, 2)</f>
        <v/>
      </c>
      <c r="M235" s="25" t="n">
        <v>0.02692539</v>
      </c>
      <c r="N235" s="25">
        <f>IFERROR(RATE(E235, -J235, I235, -L235), M235)</f>
        <v/>
      </c>
      <c r="O235" s="23">
        <f>IF(N235&gt;0, ROUND(PV(N235, E235, -J235, -L235), 2), I235)</f>
        <v/>
      </c>
      <c r="P235" s="23">
        <f>ROUND(O235-I235, 2)</f>
        <v/>
      </c>
      <c r="Q235" s="25">
        <f>N235*12</f>
        <v/>
      </c>
      <c r="R235" s="25">
        <f>((1+N235)^12)-1</f>
        <v/>
      </c>
      <c r="S235" s="25">
        <f>N235-M235</f>
        <v/>
      </c>
      <c r="T235" s="20">
        <f>IF(ABS(P235)&lt;0.01, "EXACTO", "REVISAR")</f>
        <v/>
      </c>
    </row>
    <row r="236">
      <c r="A236" s="26" t="inlineStr">
        <is>
          <t>0749-0001</t>
        </is>
      </c>
      <c r="B236" s="27" t="inlineStr">
        <is>
          <t>Álvarez Fletes Nacionales, S.C.</t>
        </is>
      </c>
      <c r="C236" s="27" t="inlineStr">
        <is>
          <t>RAM 700 TRADESMAN CC</t>
        </is>
      </c>
      <c r="D236" s="26" t="inlineStr">
        <is>
          <t>ACTIVO</t>
        </is>
      </c>
      <c r="E236" s="28" t="n">
        <v>36</v>
      </c>
      <c r="F236" s="29" t="n">
        <v>340431.03</v>
      </c>
      <c r="G236" s="30" t="n">
        <v>0.2</v>
      </c>
      <c r="H236" s="29">
        <f>ROUND(F236*G236, 2)</f>
        <v/>
      </c>
      <c r="I236" s="29">
        <f>ROUND(F236-H236, 2)</f>
        <v/>
      </c>
      <c r="J236" s="29" t="n">
        <v>11274.73</v>
      </c>
      <c r="K236" s="30" t="n">
        <v>0.1</v>
      </c>
      <c r="L236" s="29">
        <f>ROUND(F236*K236, 2)</f>
        <v/>
      </c>
      <c r="M236" s="31" t="n">
        <v>0.0266035</v>
      </c>
      <c r="N236" s="31">
        <f>IFERROR(RATE(E236, -J236, I236, -L236), M236)</f>
        <v/>
      </c>
      <c r="O236" s="29">
        <f>IF(N236&gt;0, ROUND(PV(N236, E236, -J236, -L236), 2), I236)</f>
        <v/>
      </c>
      <c r="P236" s="29">
        <f>ROUND(O236-I236, 2)</f>
        <v/>
      </c>
      <c r="Q236" s="31">
        <f>N236*12</f>
        <v/>
      </c>
      <c r="R236" s="31">
        <f>((1+N236)^12)-1</f>
        <v/>
      </c>
      <c r="S236" s="31">
        <f>N236-M236</f>
        <v/>
      </c>
      <c r="T236" s="26">
        <f>IF(ABS(P236)&lt;0.01, "EXACTO", "REVISAR")</f>
        <v/>
      </c>
    </row>
    <row r="237">
      <c r="A237" s="20" t="inlineStr">
        <is>
          <t>0749-0002</t>
        </is>
      </c>
      <c r="B237" s="21" t="inlineStr">
        <is>
          <t>Álvarez Fletes Nacionales, S.C.</t>
        </is>
      </c>
      <c r="C237" s="21" t="inlineStr">
        <is>
          <t>RAM 700 TRADESMAN CC</t>
        </is>
      </c>
      <c r="D237" s="20" t="inlineStr">
        <is>
          <t>ACTIVO</t>
        </is>
      </c>
      <c r="E237" s="22" t="n">
        <v>36</v>
      </c>
      <c r="F237" s="23" t="n">
        <v>340431.03</v>
      </c>
      <c r="G237" s="24" t="n">
        <v>0.2</v>
      </c>
      <c r="H237" s="23">
        <f>ROUND(F237*G237, 2)</f>
        <v/>
      </c>
      <c r="I237" s="23">
        <f>ROUND(F237-H237, 2)</f>
        <v/>
      </c>
      <c r="J237" s="23" t="n">
        <v>11274.73</v>
      </c>
      <c r="K237" s="24" t="n">
        <v>0.1</v>
      </c>
      <c r="L237" s="23">
        <f>ROUND(F237*K237, 2)</f>
        <v/>
      </c>
      <c r="M237" s="25" t="n">
        <v>0.0266035</v>
      </c>
      <c r="N237" s="25">
        <f>IFERROR(RATE(E237, -J237, I237, -L237), M237)</f>
        <v/>
      </c>
      <c r="O237" s="23">
        <f>IF(N237&gt;0, ROUND(PV(N237, E237, -J237, -L237), 2), I237)</f>
        <v/>
      </c>
      <c r="P237" s="23">
        <f>ROUND(O237-I237, 2)</f>
        <v/>
      </c>
      <c r="Q237" s="25">
        <f>N237*12</f>
        <v/>
      </c>
      <c r="R237" s="25">
        <f>((1+N237)^12)-1</f>
        <v/>
      </c>
      <c r="S237" s="25">
        <f>N237-M237</f>
        <v/>
      </c>
      <c r="T237" s="20">
        <f>IF(ABS(P237)&lt;0.01, "EXACTO", "REVISAR")</f>
        <v/>
      </c>
    </row>
    <row r="238">
      <c r="A238" s="26" t="inlineStr">
        <is>
          <t>0750-0001</t>
        </is>
      </c>
      <c r="B238" s="27" t="inlineStr">
        <is>
          <t>Idea Gelato S de RL de CV</t>
        </is>
      </c>
      <c r="C238" s="27" t="inlineStr">
        <is>
          <t>Expert Furgon</t>
        </is>
      </c>
      <c r="D238" s="26" t="inlineStr">
        <is>
          <t>ACTIVO</t>
        </is>
      </c>
      <c r="E238" s="28" t="n">
        <v>24</v>
      </c>
      <c r="F238" s="29" t="n">
        <v>530948.28</v>
      </c>
      <c r="G238" s="30" t="n">
        <v>0.2</v>
      </c>
      <c r="H238" s="29">
        <f>ROUND(F238*G238, 2)</f>
        <v/>
      </c>
      <c r="I238" s="29">
        <f>ROUND(F238-H238, 2)</f>
        <v/>
      </c>
      <c r="J238" s="29" t="n">
        <v>20804.57</v>
      </c>
      <c r="K238" s="30" t="n">
        <v>0.2</v>
      </c>
      <c r="L238" s="29">
        <f>ROUND(F238*K238, 2)</f>
        <v/>
      </c>
      <c r="M238" s="31" t="n">
        <v>0.02611235</v>
      </c>
      <c r="N238" s="31">
        <f>IFERROR(RATE(E238, -J238, I238, -L238), M238)</f>
        <v/>
      </c>
      <c r="O238" s="29">
        <f>IF(N238&gt;0, ROUND(PV(N238, E238, -J238, -L238), 2), I238)</f>
        <v/>
      </c>
      <c r="P238" s="29">
        <f>ROUND(O238-I238, 2)</f>
        <v/>
      </c>
      <c r="Q238" s="31">
        <f>N238*12</f>
        <v/>
      </c>
      <c r="R238" s="31">
        <f>((1+N238)^12)-1</f>
        <v/>
      </c>
      <c r="S238" s="31">
        <f>N238-M238</f>
        <v/>
      </c>
      <c r="T238" s="26">
        <f>IF(ABS(P238)&lt;0.01, "EXACTO", "REVISAR")</f>
        <v/>
      </c>
    </row>
    <row r="239">
      <c r="A239" s="20" t="inlineStr">
        <is>
          <t>0752-0001</t>
        </is>
      </c>
      <c r="B239" s="21" t="inlineStr">
        <is>
          <t>Fernando Plasencia Lopez</t>
        </is>
      </c>
      <c r="C239" s="21" t="inlineStr">
        <is>
          <t>Grand Cherokee Limited</t>
        </is>
      </c>
      <c r="D239" s="20" t="inlineStr">
        <is>
          <t>ACTIVO</t>
        </is>
      </c>
      <c r="E239" s="22" t="n">
        <v>24</v>
      </c>
      <c r="F239" s="23" t="n">
        <v>1205948.28</v>
      </c>
      <c r="G239" s="24" t="n">
        <v>0.1</v>
      </c>
      <c r="H239" s="23">
        <f>ROUND(F239*G239, 2)</f>
        <v/>
      </c>
      <c r="I239" s="23">
        <f>ROUND(F239-H239, 2)</f>
        <v/>
      </c>
      <c r="J239" s="23" t="n">
        <v>50477.8</v>
      </c>
      <c r="K239" s="24" t="n">
        <v>0.3</v>
      </c>
      <c r="L239" s="23">
        <f>ROUND(F239*K239, 2)</f>
        <v/>
      </c>
      <c r="M239" s="25" t="n">
        <v>0.02620492</v>
      </c>
      <c r="N239" s="25">
        <f>IFERROR(RATE(E239, -J239, I239, -L239), M239)</f>
        <v/>
      </c>
      <c r="O239" s="23">
        <f>IF(N239&gt;0, ROUND(PV(N239, E239, -J239, -L239), 2), I239)</f>
        <v/>
      </c>
      <c r="P239" s="23">
        <f>ROUND(O239-I239, 2)</f>
        <v/>
      </c>
      <c r="Q239" s="25">
        <f>N239*12</f>
        <v/>
      </c>
      <c r="R239" s="25">
        <f>((1+N239)^12)-1</f>
        <v/>
      </c>
      <c r="S239" s="25">
        <f>N239-M239</f>
        <v/>
      </c>
      <c r="T239" s="20">
        <f>IF(ABS(P239)&lt;0.01, "EXACTO", "REVISAR")</f>
        <v/>
      </c>
    </row>
    <row r="240">
      <c r="A240" s="26" t="inlineStr">
        <is>
          <t>0752-0002</t>
        </is>
      </c>
      <c r="B240" s="27" t="inlineStr">
        <is>
          <t>Fernando Plasencia Lopez</t>
        </is>
      </c>
      <c r="C240" s="27" t="inlineStr">
        <is>
          <t>Grand Cherokee Altitude</t>
        </is>
      </c>
      <c r="D240" s="26" t="inlineStr">
        <is>
          <t>ACTIVO</t>
        </is>
      </c>
      <c r="E240" s="28" t="n">
        <v>24</v>
      </c>
      <c r="F240" s="29" t="n">
        <v>1025775.86</v>
      </c>
      <c r="G240" s="30" t="n">
        <v>0.1</v>
      </c>
      <c r="H240" s="29">
        <f>ROUND(F240*G240, 2)</f>
        <v/>
      </c>
      <c r="I240" s="29">
        <f>ROUND(F240-H240, 2)</f>
        <v/>
      </c>
      <c r="J240" s="29" t="n">
        <v>42936.26</v>
      </c>
      <c r="K240" s="30" t="n">
        <v>0.3</v>
      </c>
      <c r="L240" s="29">
        <f>ROUND(F240*K240, 2)</f>
        <v/>
      </c>
      <c r="M240" s="31" t="n">
        <v>0.02620492</v>
      </c>
      <c r="N240" s="31">
        <f>IFERROR(RATE(E240, -J240, I240, -L240), M240)</f>
        <v/>
      </c>
      <c r="O240" s="29">
        <f>IF(N240&gt;0, ROUND(PV(N240, E240, -J240, -L240), 2), I240)</f>
        <v/>
      </c>
      <c r="P240" s="29">
        <f>ROUND(O240-I240, 2)</f>
        <v/>
      </c>
      <c r="Q240" s="31">
        <f>N240*12</f>
        <v/>
      </c>
      <c r="R240" s="31">
        <f>((1+N240)^12)-1</f>
        <v/>
      </c>
      <c r="S240" s="31">
        <f>N240-M240</f>
        <v/>
      </c>
      <c r="T240" s="26">
        <f>IF(ABS(P240)&lt;0.01, "EXACTO", "REVISAR")</f>
        <v/>
      </c>
    </row>
    <row r="241">
      <c r="A241" s="20" t="inlineStr">
        <is>
          <t>0752-0003</t>
        </is>
      </c>
      <c r="B241" s="21" t="inlineStr">
        <is>
          <t>Fernando Plasencia Lopez</t>
        </is>
      </c>
      <c r="C241" s="21" t="inlineStr">
        <is>
          <t>Grand Cherokee Summit</t>
        </is>
      </c>
      <c r="D241" s="20" t="inlineStr">
        <is>
          <t>ACTIVO</t>
        </is>
      </c>
      <c r="E241" s="22" t="n">
        <v>24</v>
      </c>
      <c r="F241" s="23" t="n">
        <v>1897900</v>
      </c>
      <c r="G241" s="24" t="n">
        <v>0.3</v>
      </c>
      <c r="H241" s="23">
        <f>ROUND(F241*G241, 2)</f>
        <v/>
      </c>
      <c r="I241" s="23">
        <f>ROUND(F241-H241, 2)</f>
        <v/>
      </c>
      <c r="J241" s="23" t="n">
        <v>79441.07000000001</v>
      </c>
      <c r="K241" s="24" t="n">
        <v>0.3</v>
      </c>
      <c r="L241" s="23">
        <f>ROUND(F241*K241, 2)</f>
        <v/>
      </c>
      <c r="M241" s="25" t="n">
        <v>0.04632321</v>
      </c>
      <c r="N241" s="25">
        <f>IFERROR(RATE(E241, -J241, I241, -L241), M241)</f>
        <v/>
      </c>
      <c r="O241" s="23">
        <f>IF(N241&gt;0, ROUND(PV(N241, E241, -J241, -L241), 2), I241)</f>
        <v/>
      </c>
      <c r="P241" s="23">
        <f>ROUND(O241-I241, 2)</f>
        <v/>
      </c>
      <c r="Q241" s="25">
        <f>N241*12</f>
        <v/>
      </c>
      <c r="R241" s="25">
        <f>((1+N241)^12)-1</f>
        <v/>
      </c>
      <c r="S241" s="25">
        <f>N241-M241</f>
        <v/>
      </c>
      <c r="T241" s="20">
        <f>IF(ABS(P241)&lt;0.01, "EXACTO", "REVISAR")</f>
        <v/>
      </c>
    </row>
    <row r="242">
      <c r="A242" s="26" t="inlineStr">
        <is>
          <t>0752-0004</t>
        </is>
      </c>
      <c r="B242" s="27" t="inlineStr">
        <is>
          <t>Fernando Plasencia Lopez</t>
        </is>
      </c>
      <c r="C242" s="27" t="inlineStr">
        <is>
          <t>1200 BIGHORN CC</t>
        </is>
      </c>
      <c r="D242" s="26" t="inlineStr">
        <is>
          <t>ACTIVO</t>
        </is>
      </c>
      <c r="E242" s="28" t="n">
        <v>48</v>
      </c>
      <c r="F242" s="29" t="n">
        <v>562503</v>
      </c>
      <c r="G242" s="30" t="n">
        <v>0.2</v>
      </c>
      <c r="H242" s="29">
        <f>ROUND(F242*G242, 2)</f>
        <v/>
      </c>
      <c r="I242" s="29">
        <f>ROUND(F242-H242, 2)</f>
        <v/>
      </c>
      <c r="J242" s="29" t="n">
        <v>15096.94</v>
      </c>
      <c r="K242" s="30" t="n">
        <v>0.3</v>
      </c>
      <c r="L242" s="29">
        <f>ROUND(F242*K242, 2)</f>
        <v/>
      </c>
      <c r="M242" s="31" t="n">
        <v>0.0270477</v>
      </c>
      <c r="N242" s="31">
        <f>IFERROR(RATE(E242, -J242, I242, -L242), M242)</f>
        <v/>
      </c>
      <c r="O242" s="29">
        <f>IF(N242&gt;0, ROUND(PV(N242, E242, -J242, -L242), 2), I242)</f>
        <v/>
      </c>
      <c r="P242" s="29">
        <f>ROUND(O242-I242, 2)</f>
        <v/>
      </c>
      <c r="Q242" s="31">
        <f>N242*12</f>
        <v/>
      </c>
      <c r="R242" s="31">
        <f>((1+N242)^12)-1</f>
        <v/>
      </c>
      <c r="S242" s="31">
        <f>N242-M242</f>
        <v/>
      </c>
      <c r="T242" s="26">
        <f>IF(ABS(P242)&lt;0.01, "EXACTO", "REVISAR")</f>
        <v/>
      </c>
    </row>
    <row r="243">
      <c r="A243" s="20" t="inlineStr">
        <is>
          <t>0752-0005</t>
        </is>
      </c>
      <c r="B243" s="21" t="inlineStr">
        <is>
          <t>Fernando Plasencia Lopez</t>
        </is>
      </c>
      <c r="C243" s="21" t="inlineStr">
        <is>
          <t>Grand Charokee Altitude</t>
        </is>
      </c>
      <c r="D243" s="20" t="inlineStr">
        <is>
          <t>ACTIVO</t>
        </is>
      </c>
      <c r="E243" s="22" t="n">
        <v>24</v>
      </c>
      <c r="F243" s="23" t="n">
        <v>1189900</v>
      </c>
      <c r="G243" s="24" t="n">
        <v>0.2</v>
      </c>
      <c r="H243" s="23">
        <f>ROUND(F243*G243, 2)</f>
        <v/>
      </c>
      <c r="I243" s="23">
        <f>ROUND(F243-H243, 2)</f>
        <v/>
      </c>
      <c r="J243" s="23" t="n">
        <v>43095.68</v>
      </c>
      <c r="K243" s="24" t="n">
        <v>0.3</v>
      </c>
      <c r="L243" s="23">
        <f>ROUND(F243*K243, 2)</f>
        <v/>
      </c>
      <c r="M243" s="25" t="n">
        <v>0.02624833</v>
      </c>
      <c r="N243" s="25">
        <f>IFERROR(RATE(E243, -J243, I243, -L243), M243)</f>
        <v/>
      </c>
      <c r="O243" s="23">
        <f>IF(N243&gt;0, ROUND(PV(N243, E243, -J243, -L243), 2), I243)</f>
        <v/>
      </c>
      <c r="P243" s="23">
        <f>ROUND(O243-I243, 2)</f>
        <v/>
      </c>
      <c r="Q243" s="25">
        <f>N243*12</f>
        <v/>
      </c>
      <c r="R243" s="25">
        <f>((1+N243)^12)-1</f>
        <v/>
      </c>
      <c r="S243" s="25">
        <f>N243-M243</f>
        <v/>
      </c>
      <c r="T243" s="20">
        <f>IF(ABS(P243)&lt;0.01, "EXACTO", "REVISAR")</f>
        <v/>
      </c>
    </row>
    <row r="244">
      <c r="A244" s="26" t="inlineStr">
        <is>
          <t>0753-0001</t>
        </is>
      </c>
      <c r="B244" s="27" t="inlineStr">
        <is>
          <t>Milodi Seguridad Privada</t>
        </is>
      </c>
      <c r="C244" s="27" t="inlineStr">
        <is>
          <t>Alsvin</t>
        </is>
      </c>
      <c r="D244" s="26" t="inlineStr">
        <is>
          <t>ACTIVO</t>
        </is>
      </c>
      <c r="E244" s="28" t="n">
        <v>36</v>
      </c>
      <c r="F244" s="29" t="n">
        <v>219771.55</v>
      </c>
      <c r="G244" s="30" t="n">
        <v>0.1</v>
      </c>
      <c r="H244" s="29">
        <f>ROUND(F244*G244, 2)</f>
        <v/>
      </c>
      <c r="I244" s="29">
        <f>ROUND(F244-H244, 2)</f>
        <v/>
      </c>
      <c r="J244" s="29" t="n">
        <v>7874.25</v>
      </c>
      <c r="K244" s="30" t="n">
        <v>0.2</v>
      </c>
      <c r="L244" s="29">
        <f>ROUND(F244*K244, 2)</f>
        <v/>
      </c>
      <c r="M244" s="31" t="n">
        <v>0.02667843</v>
      </c>
      <c r="N244" s="31">
        <f>IFERROR(RATE(E244, -J244, I244, -L244), M244)</f>
        <v/>
      </c>
      <c r="O244" s="29">
        <f>IF(N244&gt;0, ROUND(PV(N244, E244, -J244, -L244), 2), I244)</f>
        <v/>
      </c>
      <c r="P244" s="29">
        <f>ROUND(O244-I244, 2)</f>
        <v/>
      </c>
      <c r="Q244" s="31">
        <f>N244*12</f>
        <v/>
      </c>
      <c r="R244" s="31">
        <f>((1+N244)^12)-1</f>
        <v/>
      </c>
      <c r="S244" s="31">
        <f>N244-M244</f>
        <v/>
      </c>
      <c r="T244" s="26">
        <f>IF(ABS(P244)&lt;0.01, "EXACTO", "REVISAR")</f>
        <v/>
      </c>
    </row>
    <row r="245">
      <c r="A245" s="20" t="inlineStr">
        <is>
          <t>0753-0003</t>
        </is>
      </c>
      <c r="B245" s="21" t="inlineStr">
        <is>
          <t>Milodi Seguridad Privada</t>
        </is>
      </c>
      <c r="C245" s="21" t="inlineStr">
        <is>
          <t>CS35</t>
        </is>
      </c>
      <c r="D245" s="20" t="inlineStr">
        <is>
          <t>ACTIVO</t>
        </is>
      </c>
      <c r="E245" s="22" t="n">
        <v>36</v>
      </c>
      <c r="F245" s="23" t="n">
        <v>455803</v>
      </c>
      <c r="G245" s="24" t="n">
        <v>0.37</v>
      </c>
      <c r="H245" s="23">
        <f>ROUND(F245*G245, 2)</f>
        <v/>
      </c>
      <c r="I245" s="23">
        <f>ROUND(F245-H245, 2)</f>
        <v/>
      </c>
      <c r="J245" s="23" t="n">
        <v>11729.64</v>
      </c>
      <c r="K245" s="24" t="n">
        <v>0.1</v>
      </c>
      <c r="L245" s="23">
        <f>ROUND(F245*K245, 2)</f>
        <v/>
      </c>
      <c r="M245" s="25" t="n">
        <v>0.02663025</v>
      </c>
      <c r="N245" s="25">
        <f>IFERROR(RATE(E245, -J245, I245, -L245), M245)</f>
        <v/>
      </c>
      <c r="O245" s="23">
        <f>IF(N245&gt;0, ROUND(PV(N245, E245, -J245, -L245), 2), I245)</f>
        <v/>
      </c>
      <c r="P245" s="23">
        <f>ROUND(O245-I245, 2)</f>
        <v/>
      </c>
      <c r="Q245" s="25">
        <f>N245*12</f>
        <v/>
      </c>
      <c r="R245" s="25">
        <f>((1+N245)^12)-1</f>
        <v/>
      </c>
      <c r="S245" s="25">
        <f>N245-M245</f>
        <v/>
      </c>
      <c r="T245" s="20">
        <f>IF(ABS(P245)&lt;0.01, "EXACTO", "REVISAR")</f>
        <v/>
      </c>
    </row>
    <row r="246">
      <c r="A246" s="26" t="inlineStr">
        <is>
          <t>0754-0001</t>
        </is>
      </c>
      <c r="B246" s="27" t="inlineStr">
        <is>
          <t>Luis Guillermo Rios Villaseñor</t>
        </is>
      </c>
      <c r="C246" s="27" t="inlineStr">
        <is>
          <t>2008 GT</t>
        </is>
      </c>
      <c r="D246" s="26" t="inlineStr">
        <is>
          <t>ACTIVO</t>
        </is>
      </c>
      <c r="E246" s="28" t="n">
        <v>24</v>
      </c>
      <c r="F246" s="29" t="n">
        <v>423189.66</v>
      </c>
      <c r="G246" s="30" t="n">
        <v>0.333</v>
      </c>
      <c r="H246" s="29">
        <f>ROUND(F246*G246, 2)</f>
        <v/>
      </c>
      <c r="I246" s="29">
        <f>ROUND(F246-H246, 2)</f>
        <v/>
      </c>
      <c r="J246" s="29" t="n">
        <v>13408.06</v>
      </c>
      <c r="K246" s="30" t="n">
        <v>0.2</v>
      </c>
      <c r="L246" s="29">
        <f>ROUND(F246*K246, 2)</f>
        <v/>
      </c>
      <c r="M246" s="31" t="n">
        <v>0.02616869</v>
      </c>
      <c r="N246" s="31">
        <f>IFERROR(RATE(E246, -J246, I246, -L246), M246)</f>
        <v/>
      </c>
      <c r="O246" s="29">
        <f>IF(N246&gt;0, ROUND(PV(N246, E246, -J246, -L246), 2), I246)</f>
        <v/>
      </c>
      <c r="P246" s="29">
        <f>ROUND(O246-I246, 2)</f>
        <v/>
      </c>
      <c r="Q246" s="31">
        <f>N246*12</f>
        <v/>
      </c>
      <c r="R246" s="31">
        <f>((1+N246)^12)-1</f>
        <v/>
      </c>
      <c r="S246" s="31">
        <f>N246-M246</f>
        <v/>
      </c>
      <c r="T246" s="26">
        <f>IF(ABS(P246)&lt;0.01, "EXACTO", "REVISAR")</f>
        <v/>
      </c>
    </row>
    <row r="247">
      <c r="A247" s="20" t="inlineStr">
        <is>
          <t>0755-0001</t>
        </is>
      </c>
      <c r="B247" s="21" t="inlineStr">
        <is>
          <t>Abiam Antonio Reyna Aguilar</t>
        </is>
      </c>
      <c r="C247" s="21" t="inlineStr">
        <is>
          <t>1500 RHO</t>
        </is>
      </c>
      <c r="D247" s="20" t="inlineStr">
        <is>
          <t>ACTIVO</t>
        </is>
      </c>
      <c r="E247" s="22" t="n">
        <v>12</v>
      </c>
      <c r="F247" s="23" t="n">
        <v>2025862.07</v>
      </c>
      <c r="G247" s="24" t="n">
        <v>0.2</v>
      </c>
      <c r="H247" s="23">
        <f>ROUND(F247*G247, 2)</f>
        <v/>
      </c>
      <c r="I247" s="23">
        <f>ROUND(F247-H247, 2)</f>
        <v/>
      </c>
      <c r="J247" s="23" t="n">
        <v>111259.79</v>
      </c>
      <c r="K247" s="24" t="n">
        <v>0.3</v>
      </c>
      <c r="L247" s="23">
        <f>ROUND(F247*K247, 2)</f>
        <v/>
      </c>
      <c r="M247" s="25" t="n">
        <v>0.0227716</v>
      </c>
      <c r="N247" s="25">
        <f>IFERROR(RATE(E247, -J247, I247, -L247), M247)</f>
        <v/>
      </c>
      <c r="O247" s="23">
        <f>IF(N247&gt;0, ROUND(PV(N247, E247, -J247, -L247), 2), I247)</f>
        <v/>
      </c>
      <c r="P247" s="23">
        <f>ROUND(O247-I247, 2)</f>
        <v/>
      </c>
      <c r="Q247" s="25">
        <f>N247*12</f>
        <v/>
      </c>
      <c r="R247" s="25">
        <f>((1+N247)^12)-1</f>
        <v/>
      </c>
      <c r="S247" s="25">
        <f>N247-M247</f>
        <v/>
      </c>
      <c r="T247" s="20">
        <f>IF(ABS(P247)&lt;0.01, "EXACTO", "REVISAR")</f>
        <v/>
      </c>
    </row>
    <row r="248">
      <c r="A248" s="26" t="inlineStr">
        <is>
          <t>0756-0001</t>
        </is>
      </c>
      <c r="B248" s="27" t="inlineStr">
        <is>
          <t>Agricola Hortiberry, S.A. de C.V.</t>
        </is>
      </c>
      <c r="C248" s="27" t="inlineStr">
        <is>
          <t>1200  Tradesman Chasis Cabina</t>
        </is>
      </c>
      <c r="D248" s="26" t="inlineStr">
        <is>
          <t>ACTIVO</t>
        </is>
      </c>
      <c r="E248" s="28" t="n">
        <v>48</v>
      </c>
      <c r="F248" s="29" t="n">
        <v>454653</v>
      </c>
      <c r="G248" s="30" t="n">
        <v>0.4</v>
      </c>
      <c r="H248" s="29">
        <f>ROUND(F248*G248, 2)</f>
        <v/>
      </c>
      <c r="I248" s="29">
        <f>ROUND(F248-H248, 2)</f>
        <v/>
      </c>
      <c r="J248" s="29" t="n">
        <v>9722.129999999999</v>
      </c>
      <c r="K248" s="30" t="n">
        <v>0.4</v>
      </c>
      <c r="L248" s="29">
        <f>ROUND(F248*K248, 2)</f>
        <v/>
      </c>
      <c r="M248" s="31" t="n">
        <v>0.03268022</v>
      </c>
      <c r="N248" s="31">
        <f>IFERROR(RATE(E248, -J248, I248, -L248), M248)</f>
        <v/>
      </c>
      <c r="O248" s="29">
        <f>IF(N248&gt;0, ROUND(PV(N248, E248, -J248, -L248), 2), I248)</f>
        <v/>
      </c>
      <c r="P248" s="29">
        <f>ROUND(O248-I248, 2)</f>
        <v/>
      </c>
      <c r="Q248" s="31">
        <f>N248*12</f>
        <v/>
      </c>
      <c r="R248" s="31">
        <f>((1+N248)^12)-1</f>
        <v/>
      </c>
      <c r="S248" s="31">
        <f>N248-M248</f>
        <v/>
      </c>
      <c r="T248" s="26">
        <f>IF(ABS(P248)&lt;0.01, "EXACTO", "REVISAR")</f>
        <v/>
      </c>
    </row>
    <row r="249">
      <c r="A249" s="20" t="inlineStr">
        <is>
          <t>0757-0001</t>
        </is>
      </c>
      <c r="B249" s="21" t="inlineStr">
        <is>
          <t>Corporativo de Servicios Integrales de Occidente, S.A. de C.V.</t>
        </is>
      </c>
      <c r="C249" s="21" t="inlineStr">
        <is>
          <t>CX5</t>
        </is>
      </c>
      <c r="D249" s="20" t="inlineStr">
        <is>
          <t>ACTIVO</t>
        </is>
      </c>
      <c r="E249" s="22" t="n">
        <v>24</v>
      </c>
      <c r="F249" s="23" t="n">
        <v>719900</v>
      </c>
      <c r="G249" s="24" t="n">
        <v>0.2</v>
      </c>
      <c r="H249" s="23">
        <f>ROUND(F249*G249, 2)</f>
        <v/>
      </c>
      <c r="I249" s="23">
        <f>ROUND(F249-H249, 2)</f>
        <v/>
      </c>
      <c r="J249" s="23" t="n">
        <v>28208.42</v>
      </c>
      <c r="K249" s="24" t="n">
        <v>0.2</v>
      </c>
      <c r="L249" s="23">
        <f>ROUND(F249*K249, 2)</f>
        <v/>
      </c>
      <c r="M249" s="25" t="n">
        <v>0.02611236</v>
      </c>
      <c r="N249" s="25">
        <f>IFERROR(RATE(E249, -J249, I249, -L249), M249)</f>
        <v/>
      </c>
      <c r="O249" s="23">
        <f>IF(N249&gt;0, ROUND(PV(N249, E249, -J249, -L249), 2), I249)</f>
        <v/>
      </c>
      <c r="P249" s="23">
        <f>ROUND(O249-I249, 2)</f>
        <v/>
      </c>
      <c r="Q249" s="25">
        <f>N249*12</f>
        <v/>
      </c>
      <c r="R249" s="25">
        <f>((1+N249)^12)-1</f>
        <v/>
      </c>
      <c r="S249" s="25">
        <f>N249-M249</f>
        <v/>
      </c>
      <c r="T249" s="20">
        <f>IF(ABS(P249)&lt;0.01, "EXACTO", "REVISAR")</f>
        <v/>
      </c>
    </row>
    <row r="250">
      <c r="A250" s="26" t="inlineStr">
        <is>
          <t>0757-0002</t>
        </is>
      </c>
      <c r="B250" s="27" t="inlineStr">
        <is>
          <t>Corporativo de Servicios Integrales de Occidente, S.A. de C.V.</t>
        </is>
      </c>
      <c r="C250" s="27" t="inlineStr">
        <is>
          <t>Leapmotor B10 2026</t>
        </is>
      </c>
      <c r="D250" s="26" t="inlineStr">
        <is>
          <t>ACTIVO</t>
        </is>
      </c>
      <c r="E250" s="28" t="n">
        <v>36</v>
      </c>
      <c r="F250" s="29" t="n">
        <v>426724.14</v>
      </c>
      <c r="G250" s="30" t="n">
        <v>0.3</v>
      </c>
      <c r="H250" s="29">
        <f>ROUND(F250*G250, 2)</f>
        <v/>
      </c>
      <c r="I250" s="29">
        <f>ROUND(F250-H250, 2)</f>
        <v/>
      </c>
      <c r="J250" s="29" t="n">
        <v>12278.93</v>
      </c>
      <c r="K250" s="30" t="n">
        <v>0.1</v>
      </c>
      <c r="L250" s="29">
        <f>ROUND(F250*K250, 2)</f>
        <v/>
      </c>
      <c r="M250" s="31" t="n">
        <v>0.02661775</v>
      </c>
      <c r="N250" s="31">
        <f>IFERROR(RATE(E250, -J250, I250, -L250), M250)</f>
        <v/>
      </c>
      <c r="O250" s="29">
        <f>IF(N250&gt;0, ROUND(PV(N250, E250, -J250, -L250), 2), I250)</f>
        <v/>
      </c>
      <c r="P250" s="29">
        <f>ROUND(O250-I250, 2)</f>
        <v/>
      </c>
      <c r="Q250" s="31">
        <f>N250*12</f>
        <v/>
      </c>
      <c r="R250" s="31">
        <f>((1+N250)^12)-1</f>
        <v/>
      </c>
      <c r="S250" s="31">
        <f>N250-M250</f>
        <v/>
      </c>
      <c r="T250" s="26">
        <f>IF(ABS(P250)&lt;0.01, "EXACTO", "REVISAR")</f>
        <v/>
      </c>
    </row>
    <row r="251">
      <c r="A251" s="20" t="inlineStr">
        <is>
          <t>0758-0001</t>
        </is>
      </c>
      <c r="B251" s="21" t="inlineStr">
        <is>
          <t>Comedores y Servicios Industriales CAMSAA, S.A. de C.V.</t>
        </is>
      </c>
      <c r="C251" s="21" t="inlineStr">
        <is>
          <t>Partner Rapid</t>
        </is>
      </c>
      <c r="D251" s="20" t="inlineStr">
        <is>
          <t>ACTIVO</t>
        </is>
      </c>
      <c r="E251" s="22" t="n">
        <v>24</v>
      </c>
      <c r="F251" s="23" t="n">
        <v>338400</v>
      </c>
      <c r="G251" s="24" t="n">
        <v>0.1</v>
      </c>
      <c r="H251" s="23">
        <f>ROUND(F251*G251, 2)</f>
        <v/>
      </c>
      <c r="I251" s="23">
        <f>ROUND(F251-H251, 2)</f>
        <v/>
      </c>
      <c r="J251" s="23" t="n">
        <v>14164.53</v>
      </c>
      <c r="K251" s="24" t="n">
        <v>0.3</v>
      </c>
      <c r="L251" s="23">
        <f>ROUND(F251*K251, 2)</f>
        <v/>
      </c>
      <c r="M251" s="25" t="n">
        <v>0.02620493</v>
      </c>
      <c r="N251" s="25">
        <f>IFERROR(RATE(E251, -J251, I251, -L251), M251)</f>
        <v/>
      </c>
      <c r="O251" s="23">
        <f>IF(N251&gt;0, ROUND(PV(N251, E251, -J251, -L251), 2), I251)</f>
        <v/>
      </c>
      <c r="P251" s="23">
        <f>ROUND(O251-I251, 2)</f>
        <v/>
      </c>
      <c r="Q251" s="25">
        <f>N251*12</f>
        <v/>
      </c>
      <c r="R251" s="25">
        <f>((1+N251)^12)-1</f>
        <v/>
      </c>
      <c r="S251" s="25">
        <f>N251-M251</f>
        <v/>
      </c>
      <c r="T251" s="20">
        <f>IF(ABS(P251)&lt;0.01, "EXACTO", "REVISAR")</f>
        <v/>
      </c>
    </row>
    <row r="252">
      <c r="A252" s="26" t="inlineStr">
        <is>
          <t>0759-0001</t>
        </is>
      </c>
      <c r="B252" s="27" t="inlineStr">
        <is>
          <t>Construcciones Ligeras Frin, S.A. de C.V.</t>
        </is>
      </c>
      <c r="C252" s="27" t="inlineStr">
        <is>
          <t>700 BIGHORN CREW CAB</t>
        </is>
      </c>
      <c r="D252" s="26" t="inlineStr">
        <is>
          <t>ACTIVO</t>
        </is>
      </c>
      <c r="E252" s="28" t="n">
        <v>36</v>
      </c>
      <c r="F252" s="29" t="n">
        <v>389900</v>
      </c>
      <c r="G252" s="30" t="n">
        <v>0.2</v>
      </c>
      <c r="H252" s="29">
        <f>ROUND(F252*G252, 2)</f>
        <v/>
      </c>
      <c r="I252" s="29">
        <f>ROUND(F252-H252, 2)</f>
        <v/>
      </c>
      <c r="J252" s="29" t="n">
        <v>12913.09</v>
      </c>
      <c r="K252" s="30" t="n">
        <v>0.1</v>
      </c>
      <c r="L252" s="29">
        <f>ROUND(F252*K252, 2)</f>
        <v/>
      </c>
      <c r="M252" s="31" t="n">
        <v>0.02660349</v>
      </c>
      <c r="N252" s="31">
        <f>IFERROR(RATE(E252, -J252, I252, -L252), M252)</f>
        <v/>
      </c>
      <c r="O252" s="29">
        <f>IF(N252&gt;0, ROUND(PV(N252, E252, -J252, -L252), 2), I252)</f>
        <v/>
      </c>
      <c r="P252" s="29">
        <f>ROUND(O252-I252, 2)</f>
        <v/>
      </c>
      <c r="Q252" s="31">
        <f>N252*12</f>
        <v/>
      </c>
      <c r="R252" s="31">
        <f>((1+N252)^12)-1</f>
        <v/>
      </c>
      <c r="S252" s="31">
        <f>N252-M252</f>
        <v/>
      </c>
      <c r="T252" s="26">
        <f>IF(ABS(P252)&lt;0.01, "EXACTO", "REVISAR")</f>
        <v/>
      </c>
    </row>
    <row r="253">
      <c r="A253" s="20" t="inlineStr">
        <is>
          <t>0759-0002</t>
        </is>
      </c>
      <c r="B253" s="21" t="inlineStr">
        <is>
          <t>Construcciones Ligeras Frin, S.A. de C.V.</t>
        </is>
      </c>
      <c r="C253" s="21" t="inlineStr">
        <is>
          <t>700 TRADESMAN CREW CAB</t>
        </is>
      </c>
      <c r="D253" s="20" t="inlineStr">
        <is>
          <t>ACTIVO</t>
        </is>
      </c>
      <c r="E253" s="22" t="n">
        <v>36</v>
      </c>
      <c r="F253" s="23" t="n">
        <v>359900</v>
      </c>
      <c r="G253" s="24" t="n">
        <v>0.2</v>
      </c>
      <c r="H253" s="23">
        <f>ROUND(F253*G253, 2)</f>
        <v/>
      </c>
      <c r="I253" s="23">
        <f>ROUND(F253-H253, 2)</f>
        <v/>
      </c>
      <c r="J253" s="23" t="n">
        <v>11919.52</v>
      </c>
      <c r="K253" s="24" t="n">
        <v>0.1</v>
      </c>
      <c r="L253" s="23">
        <f>ROUND(F253*K253, 2)</f>
        <v/>
      </c>
      <c r="M253" s="25" t="n">
        <v>0.02660348</v>
      </c>
      <c r="N253" s="25">
        <f>IFERROR(RATE(E253, -J253, I253, -L253), M253)</f>
        <v/>
      </c>
      <c r="O253" s="23">
        <f>IF(N253&gt;0, ROUND(PV(N253, E253, -J253, -L253), 2), I253)</f>
        <v/>
      </c>
      <c r="P253" s="23">
        <f>ROUND(O253-I253, 2)</f>
        <v/>
      </c>
      <c r="Q253" s="25">
        <f>N253*12</f>
        <v/>
      </c>
      <c r="R253" s="25">
        <f>((1+N253)^12)-1</f>
        <v/>
      </c>
      <c r="S253" s="25">
        <f>N253-M253</f>
        <v/>
      </c>
      <c r="T253" s="20">
        <f>IF(ABS(P253)&lt;0.01, "EXACTO", "REVISAR")</f>
        <v/>
      </c>
    </row>
    <row r="254">
      <c r="A254" s="26" t="inlineStr">
        <is>
          <t>0760-0001</t>
        </is>
      </c>
      <c r="B254" s="27" t="inlineStr">
        <is>
          <t>Armando Candelario Figueroa</t>
        </is>
      </c>
      <c r="C254" s="27" t="inlineStr">
        <is>
          <t>1200 TRADESMAN CHASIS CABINA</t>
        </is>
      </c>
      <c r="D254" s="26" t="inlineStr">
        <is>
          <t>ACTIVO</t>
        </is>
      </c>
      <c r="E254" s="28" t="n">
        <v>48</v>
      </c>
      <c r="F254" s="29" t="n">
        <v>417003</v>
      </c>
      <c r="G254" s="30" t="n">
        <v>0.3</v>
      </c>
      <c r="H254" s="29">
        <f>ROUND(F254*G254, 2)</f>
        <v/>
      </c>
      <c r="I254" s="29">
        <f>ROUND(F254-H254, 2)</f>
        <v/>
      </c>
      <c r="J254" s="29" t="n">
        <v>10472.96</v>
      </c>
      <c r="K254" s="30" t="n">
        <v>0.1</v>
      </c>
      <c r="L254" s="29">
        <f>ROUND(F254*K254, 2)</f>
        <v/>
      </c>
      <c r="M254" s="31" t="n">
        <v>0.02693492</v>
      </c>
      <c r="N254" s="31">
        <f>IFERROR(RATE(E254, -J254, I254, -L254), M254)</f>
        <v/>
      </c>
      <c r="O254" s="29">
        <f>IF(N254&gt;0, ROUND(PV(N254, E254, -J254, -L254), 2), I254)</f>
        <v/>
      </c>
      <c r="P254" s="29">
        <f>ROUND(O254-I254, 2)</f>
        <v/>
      </c>
      <c r="Q254" s="31">
        <f>N254*12</f>
        <v/>
      </c>
      <c r="R254" s="31">
        <f>((1+N254)^12)-1</f>
        <v/>
      </c>
      <c r="S254" s="31">
        <f>N254-M254</f>
        <v/>
      </c>
      <c r="T254" s="26">
        <f>IF(ABS(P254)&lt;0.01, "EXACTO", "REVISAR")</f>
        <v/>
      </c>
    </row>
    <row r="255">
      <c r="A255" s="20" t="inlineStr">
        <is>
          <t>0761-0001</t>
        </is>
      </c>
      <c r="B255" s="21" t="inlineStr">
        <is>
          <t>Total Experience Produce, S.A.P.I. de C.V.</t>
        </is>
      </c>
      <c r="C255" s="21" t="inlineStr">
        <is>
          <t>700 BIGHORN CREW CAB</t>
        </is>
      </c>
      <c r="D255" s="20" t="inlineStr">
        <is>
          <t>ACTIVO</t>
        </is>
      </c>
      <c r="E255" s="22" t="n">
        <v>48</v>
      </c>
      <c r="F255" s="23" t="n">
        <v>400900</v>
      </c>
      <c r="G255" s="24" t="n">
        <v>0.1</v>
      </c>
      <c r="H255" s="23">
        <f>ROUND(F255*G255, 2)</f>
        <v/>
      </c>
      <c r="I255" s="23">
        <f>ROUND(F255-H255, 2)</f>
        <v/>
      </c>
      <c r="J255" s="23" t="n">
        <v>13060.21</v>
      </c>
      <c r="K255" s="24" t="n">
        <v>0.1</v>
      </c>
      <c r="L255" s="23">
        <f>ROUND(F255*K255, 2)</f>
        <v/>
      </c>
      <c r="M255" s="25" t="n">
        <v>0.0269179</v>
      </c>
      <c r="N255" s="25">
        <f>IFERROR(RATE(E255, -J255, I255, -L255), M255)</f>
        <v/>
      </c>
      <c r="O255" s="23">
        <f>IF(N255&gt;0, ROUND(PV(N255, E255, -J255, -L255), 2), I255)</f>
        <v/>
      </c>
      <c r="P255" s="23">
        <f>ROUND(O255-I255, 2)</f>
        <v/>
      </c>
      <c r="Q255" s="25">
        <f>N255*12</f>
        <v/>
      </c>
      <c r="R255" s="25">
        <f>((1+N255)^12)-1</f>
        <v/>
      </c>
      <c r="S255" s="25">
        <f>N255-M255</f>
        <v/>
      </c>
      <c r="T255" s="20">
        <f>IF(ABS(P255)&lt;0.01, "EXACTO", "REVISAR")</f>
        <v/>
      </c>
    </row>
    <row r="256">
      <c r="A256" s="26" t="inlineStr">
        <is>
          <t>0763-0001</t>
        </is>
      </c>
      <c r="B256" s="27" t="inlineStr">
        <is>
          <t>Francisco Javier Fernández Gutiérrez</t>
        </is>
      </c>
      <c r="C256" s="27" t="inlineStr">
        <is>
          <t>1500 RHO</t>
        </is>
      </c>
      <c r="D256" s="26" t="inlineStr">
        <is>
          <t>ACTIVO</t>
        </is>
      </c>
      <c r="E256" s="28" t="n">
        <v>36</v>
      </c>
      <c r="F256" s="29" t="n">
        <v>2330000</v>
      </c>
      <c r="G256" s="30" t="n">
        <v>0.2</v>
      </c>
      <c r="H256" s="29">
        <f>ROUND(F256*G256, 2)</f>
        <v/>
      </c>
      <c r="I256" s="29">
        <f>ROUND(F256-H256, 2)</f>
        <v/>
      </c>
      <c r="J256" s="29" t="n">
        <v>70058.7</v>
      </c>
      <c r="K256" s="30" t="n">
        <v>0.2</v>
      </c>
      <c r="L256" s="29">
        <f>ROUND(F256*K256, 2)</f>
        <v/>
      </c>
      <c r="M256" s="31" t="n">
        <v>0.02432099</v>
      </c>
      <c r="N256" s="31">
        <f>IFERROR(RATE(E256, -J256, I256, -L256), M256)</f>
        <v/>
      </c>
      <c r="O256" s="29">
        <f>IF(N256&gt;0, ROUND(PV(N256, E256, -J256, -L256), 2), I256)</f>
        <v/>
      </c>
      <c r="P256" s="29">
        <f>ROUND(O256-I256, 2)</f>
        <v/>
      </c>
      <c r="Q256" s="31">
        <f>N256*12</f>
        <v/>
      </c>
      <c r="R256" s="31">
        <f>((1+N256)^12)-1</f>
        <v/>
      </c>
      <c r="S256" s="31">
        <f>N256-M256</f>
        <v/>
      </c>
      <c r="T256" s="26">
        <f>IF(ABS(P256)&lt;0.01, "EXACTO", "REVISAR")</f>
        <v/>
      </c>
    </row>
    <row r="257">
      <c r="A257" s="20" t="inlineStr">
        <is>
          <t>0764-0001</t>
        </is>
      </c>
      <c r="B257" s="21" t="inlineStr">
        <is>
          <t>Inspectores Marítimos de México, S. de R.L. de C.V.</t>
        </is>
      </c>
      <c r="C257" s="21" t="inlineStr">
        <is>
          <t>1200 Bighorn</t>
        </is>
      </c>
      <c r="D257" s="20" t="inlineStr">
        <is>
          <t>ACTIVO</t>
        </is>
      </c>
      <c r="E257" s="22" t="n">
        <v>36</v>
      </c>
      <c r="F257" s="23" t="n">
        <v>574900</v>
      </c>
      <c r="G257" s="24" t="n">
        <v>0.4</v>
      </c>
      <c r="H257" s="23">
        <f>ROUND(F257*G257, 2)</f>
        <v/>
      </c>
      <c r="I257" s="23">
        <f>ROUND(F257-H257, 2)</f>
        <v/>
      </c>
      <c r="J257" s="23" t="n">
        <v>14045.25</v>
      </c>
      <c r="K257" s="24" t="n">
        <v>0.1</v>
      </c>
      <c r="L257" s="23">
        <f>ROUND(F257*K257, 2)</f>
        <v/>
      </c>
      <c r="M257" s="25" t="n">
        <v>0.02663642</v>
      </c>
      <c r="N257" s="25">
        <f>IFERROR(RATE(E257, -J257, I257, -L257), M257)</f>
        <v/>
      </c>
      <c r="O257" s="23">
        <f>IF(N257&gt;0, ROUND(PV(N257, E257, -J257, -L257), 2), I257)</f>
        <v/>
      </c>
      <c r="P257" s="23">
        <f>ROUND(O257-I257, 2)</f>
        <v/>
      </c>
      <c r="Q257" s="25">
        <f>N257*12</f>
        <v/>
      </c>
      <c r="R257" s="25">
        <f>((1+N257)^12)-1</f>
        <v/>
      </c>
      <c r="S257" s="25">
        <f>N257-M257</f>
        <v/>
      </c>
      <c r="T257" s="20">
        <f>IF(ABS(P257)&lt;0.01, "EXACTO", "REVISAR")</f>
        <v/>
      </c>
    </row>
    <row r="258">
      <c r="A258" s="26" t="inlineStr">
        <is>
          <t>0765-0001</t>
        </is>
      </c>
      <c r="B258" s="27" t="inlineStr">
        <is>
          <t>Rafael Soltero Sánchez</t>
        </is>
      </c>
      <c r="C258" s="27" t="inlineStr">
        <is>
          <t>1200 Bighorn</t>
        </is>
      </c>
      <c r="D258" s="26" t="inlineStr">
        <is>
          <t>ACTIVO</t>
        </is>
      </c>
      <c r="E258" s="28" t="n">
        <v>48</v>
      </c>
      <c r="F258" s="29" t="n">
        <v>604900</v>
      </c>
      <c r="G258" s="30" t="n">
        <v>0.1</v>
      </c>
      <c r="H258" s="29">
        <f>ROUND(F258*G258, 2)</f>
        <v/>
      </c>
      <c r="I258" s="29">
        <f>ROUND(F258-H258, 2)</f>
        <v/>
      </c>
      <c r="J258" s="29" t="n">
        <v>19705.97</v>
      </c>
      <c r="K258" s="30" t="n">
        <v>0.1</v>
      </c>
      <c r="L258" s="29">
        <f>ROUND(F258*K258, 2)</f>
        <v/>
      </c>
      <c r="M258" s="31" t="n">
        <v>0.0269179</v>
      </c>
      <c r="N258" s="31">
        <f>IFERROR(RATE(E258, -J258, I258, -L258), M258)</f>
        <v/>
      </c>
      <c r="O258" s="29">
        <f>IF(N258&gt;0, ROUND(PV(N258, E258, -J258, -L258), 2), I258)</f>
        <v/>
      </c>
      <c r="P258" s="29">
        <f>ROUND(O258-I258, 2)</f>
        <v/>
      </c>
      <c r="Q258" s="31">
        <f>N258*12</f>
        <v/>
      </c>
      <c r="R258" s="31">
        <f>((1+N258)^12)-1</f>
        <v/>
      </c>
      <c r="S258" s="31">
        <f>N258-M258</f>
        <v/>
      </c>
      <c r="T258" s="26">
        <f>IF(ABS(P258)&lt;0.01, "EXACTO", "REVISAR")</f>
        <v/>
      </c>
    </row>
    <row r="259">
      <c r="A259" s="20" t="inlineStr">
        <is>
          <t>0766-0001</t>
        </is>
      </c>
      <c r="B259" s="21" t="inlineStr">
        <is>
          <t>Javier Alejandro Carbajal Chávez</t>
        </is>
      </c>
      <c r="C259" s="21" t="inlineStr">
        <is>
          <t>Jt Rubicon</t>
        </is>
      </c>
      <c r="D259" s="20" t="inlineStr">
        <is>
          <t>ACTIVO</t>
        </is>
      </c>
      <c r="E259" s="22" t="n">
        <v>48</v>
      </c>
      <c r="F259" s="23" t="n">
        <v>1576900</v>
      </c>
      <c r="G259" s="24" t="n">
        <v>0.1</v>
      </c>
      <c r="H259" s="23">
        <f>ROUND(F259*G259, 2)</f>
        <v/>
      </c>
      <c r="I259" s="23">
        <f>ROUND(F259-H259, 2)</f>
        <v/>
      </c>
      <c r="J259" s="23" t="n">
        <v>51371.04</v>
      </c>
      <c r="K259" s="24" t="n">
        <v>0.1</v>
      </c>
      <c r="L259" s="23">
        <f>ROUND(F259*K259, 2)</f>
        <v/>
      </c>
      <c r="M259" s="25" t="n">
        <v>0.0269179</v>
      </c>
      <c r="N259" s="25">
        <f>IFERROR(RATE(E259, -J259, I259, -L259), M259)</f>
        <v/>
      </c>
      <c r="O259" s="23">
        <f>IF(N259&gt;0, ROUND(PV(N259, E259, -J259, -L259), 2), I259)</f>
        <v/>
      </c>
      <c r="P259" s="23">
        <f>ROUND(O259-I259, 2)</f>
        <v/>
      </c>
      <c r="Q259" s="25">
        <f>N259*12</f>
        <v/>
      </c>
      <c r="R259" s="25">
        <f>((1+N259)^12)-1</f>
        <v/>
      </c>
      <c r="S259" s="25">
        <f>N259-M259</f>
        <v/>
      </c>
      <c r="T259" s="20">
        <f>IF(ABS(P259)&lt;0.01, "EXACTO", "REVISAR")</f>
        <v/>
      </c>
    </row>
    <row r="260">
      <c r="A260" s="26" t="inlineStr">
        <is>
          <t>0767-0001</t>
        </is>
      </c>
      <c r="B260" s="27" t="inlineStr">
        <is>
          <t>Carlos Alberto Gutiérrez Hermosillo López</t>
        </is>
      </c>
      <c r="C260" s="27" t="inlineStr">
        <is>
          <t>Commander Overland</t>
        </is>
      </c>
      <c r="D260" s="26" t="inlineStr">
        <is>
          <t>ACTIVO</t>
        </is>
      </c>
      <c r="E260" s="28" t="n">
        <v>48</v>
      </c>
      <c r="F260" s="29" t="n">
        <v>718900</v>
      </c>
      <c r="G260" s="30" t="n">
        <v>0.3</v>
      </c>
      <c r="H260" s="29">
        <f>ROUND(F260*G260, 2)</f>
        <v/>
      </c>
      <c r="I260" s="29">
        <f>ROUND(F260-H260, 2)</f>
        <v/>
      </c>
      <c r="J260" s="29" t="n">
        <v>18055.05</v>
      </c>
      <c r="K260" s="30" t="n">
        <v>0.1</v>
      </c>
      <c r="L260" s="29">
        <f>ROUND(F260*K260, 2)</f>
        <v/>
      </c>
      <c r="M260" s="31" t="n">
        <v>0.02693491</v>
      </c>
      <c r="N260" s="31">
        <f>IFERROR(RATE(E260, -J260, I260, -L260), M260)</f>
        <v/>
      </c>
      <c r="O260" s="29">
        <f>IF(N260&gt;0, ROUND(PV(N260, E260, -J260, -L260), 2), I260)</f>
        <v/>
      </c>
      <c r="P260" s="29">
        <f>ROUND(O260-I260, 2)</f>
        <v/>
      </c>
      <c r="Q260" s="31">
        <f>N260*12</f>
        <v/>
      </c>
      <c r="R260" s="31">
        <f>((1+N260)^12)-1</f>
        <v/>
      </c>
      <c r="S260" s="31">
        <f>N260-M260</f>
        <v/>
      </c>
      <c r="T260" s="26">
        <f>IF(ABS(P260)&lt;0.01, "EXACTO", "REVISAR")</f>
        <v/>
      </c>
    </row>
    <row r="261">
      <c r="A261" s="20" t="inlineStr">
        <is>
          <t>0768-0001</t>
        </is>
      </c>
      <c r="B261" s="21" t="inlineStr">
        <is>
          <t>Distribuidora y Comercializadora 2000, S.A. de C.V.</t>
        </is>
      </c>
      <c r="C261" s="21" t="inlineStr">
        <is>
          <t>Manager Furgon L4H2</t>
        </is>
      </c>
      <c r="D261" s="20" t="inlineStr">
        <is>
          <t>ACTIVO</t>
        </is>
      </c>
      <c r="E261" s="22" t="n">
        <v>12</v>
      </c>
      <c r="F261" s="23" t="n">
        <v>831300</v>
      </c>
      <c r="G261" s="24" t="n">
        <v>0.1</v>
      </c>
      <c r="H261" s="23">
        <f>ROUND(F261*G261, 2)</f>
        <v/>
      </c>
      <c r="I261" s="23">
        <f>ROUND(F261-H261, 2)</f>
        <v/>
      </c>
      <c r="J261" s="23" t="n">
        <v>47248.21</v>
      </c>
      <c r="K261" s="24" t="n">
        <v>0.4</v>
      </c>
      <c r="L261" s="23">
        <f>ROUND(F261*K261, 2)</f>
        <v/>
      </c>
      <c r="M261" s="25" t="n">
        <v>0.02225143</v>
      </c>
      <c r="N261" s="25">
        <f>IFERROR(RATE(E261, -J261, I261, -L261), M261)</f>
        <v/>
      </c>
      <c r="O261" s="23">
        <f>IF(N261&gt;0, ROUND(PV(N261, E261, -J261, -L261), 2), I261)</f>
        <v/>
      </c>
      <c r="P261" s="23">
        <f>ROUND(O261-I261, 2)</f>
        <v/>
      </c>
      <c r="Q261" s="25">
        <f>N261*12</f>
        <v/>
      </c>
      <c r="R261" s="25">
        <f>((1+N261)^12)-1</f>
        <v/>
      </c>
      <c r="S261" s="25">
        <f>N261-M261</f>
        <v/>
      </c>
      <c r="T261" s="20">
        <f>IF(ABS(P261)&lt;0.01, "EXACTO", "REVISAR")</f>
        <v/>
      </c>
    </row>
    <row r="262">
      <c r="A262" s="26" t="inlineStr">
        <is>
          <t>0768-0002</t>
        </is>
      </c>
      <c r="B262" s="27" t="inlineStr">
        <is>
          <t>Distribuidora y Comercializadora 2000, S.A. de C.V.</t>
        </is>
      </c>
      <c r="C262" s="27" t="inlineStr">
        <is>
          <t>Manager Furgon L4H2</t>
        </is>
      </c>
      <c r="D262" s="26" t="inlineStr">
        <is>
          <t>ACTIVO</t>
        </is>
      </c>
      <c r="E262" s="28" t="n">
        <v>12</v>
      </c>
      <c r="F262" s="29" t="n">
        <v>856500</v>
      </c>
      <c r="G262" s="30" t="n">
        <v>0.1</v>
      </c>
      <c r="H262" s="29">
        <f>ROUND(F262*G262, 2)</f>
        <v/>
      </c>
      <c r="I262" s="29">
        <f>ROUND(F262-H262, 2)</f>
        <v/>
      </c>
      <c r="J262" s="29" t="n">
        <v>48680.69</v>
      </c>
      <c r="K262" s="30" t="n">
        <v>0.4</v>
      </c>
      <c r="L262" s="29">
        <f>ROUND(F262*K262, 2)</f>
        <v/>
      </c>
      <c r="M262" s="31" t="n">
        <v>0.02225177</v>
      </c>
      <c r="N262" s="31">
        <f>IFERROR(RATE(E262, -J262, I262, -L262), M262)</f>
        <v/>
      </c>
      <c r="O262" s="29">
        <f>IF(N262&gt;0, ROUND(PV(N262, E262, -J262, -L262), 2), I262)</f>
        <v/>
      </c>
      <c r="P262" s="29">
        <f>ROUND(O262-I262, 2)</f>
        <v/>
      </c>
      <c r="Q262" s="31">
        <f>N262*12</f>
        <v/>
      </c>
      <c r="R262" s="31">
        <f>((1+N262)^12)-1</f>
        <v/>
      </c>
      <c r="S262" s="31">
        <f>N262-M262</f>
        <v/>
      </c>
      <c r="T262" s="26">
        <f>IF(ABS(P262)&lt;0.01, "EXACTO", "REVISAR")</f>
        <v/>
      </c>
    </row>
    <row r="263">
      <c r="A263" s="20" t="inlineStr">
        <is>
          <t>0769-0001</t>
        </is>
      </c>
      <c r="B263" s="21" t="inlineStr">
        <is>
          <t>Paloma Bernhardt Partida</t>
        </is>
      </c>
      <c r="C263" s="21" t="inlineStr">
        <is>
          <t>700 TRADESMAN CREW CAB</t>
        </is>
      </c>
      <c r="D263" s="20" t="inlineStr">
        <is>
          <t>ACTIVO</t>
        </is>
      </c>
      <c r="E263" s="22" t="n">
        <v>36</v>
      </c>
      <c r="F263" s="23" t="n">
        <v>383053</v>
      </c>
      <c r="G263" s="24" t="n">
        <v>0.1</v>
      </c>
      <c r="H263" s="23">
        <f>ROUND(F263*G263, 2)</f>
        <v/>
      </c>
      <c r="I263" s="23">
        <f>ROUND(F263-H263, 2)</f>
        <v/>
      </c>
      <c r="J263" s="23" t="n">
        <v>13724.5</v>
      </c>
      <c r="K263" s="24" t="n">
        <v>0.1</v>
      </c>
      <c r="L263" s="23">
        <f>ROUND(F263*K263, 2)</f>
        <v/>
      </c>
      <c r="M263" s="25" t="n">
        <v>0.02398657</v>
      </c>
      <c r="N263" s="25">
        <f>IFERROR(RATE(E263, -J263, I263, -L263), M263)</f>
        <v/>
      </c>
      <c r="O263" s="23">
        <f>IF(N263&gt;0, ROUND(PV(N263, E263, -J263, -L263), 2), I263)</f>
        <v/>
      </c>
      <c r="P263" s="23">
        <f>ROUND(O263-I263, 2)</f>
        <v/>
      </c>
      <c r="Q263" s="25">
        <f>N263*12</f>
        <v/>
      </c>
      <c r="R263" s="25">
        <f>((1+N263)^12)-1</f>
        <v/>
      </c>
      <c r="S263" s="25">
        <f>N263-M263</f>
        <v/>
      </c>
      <c r="T263" s="20">
        <f>IF(ABS(P263)&lt;0.01, "EXACTO", "REVISAR")</f>
        <v/>
      </c>
    </row>
    <row r="264">
      <c r="A264" s="26" t="inlineStr">
        <is>
          <t>0769-0002</t>
        </is>
      </c>
      <c r="B264" s="27" t="inlineStr">
        <is>
          <t>Paloma Bernhardt Partida</t>
        </is>
      </c>
      <c r="C264" s="27" t="inlineStr">
        <is>
          <t>Ram 700 Tradesman 2026</t>
        </is>
      </c>
      <c r="D264" s="26" t="inlineStr">
        <is>
          <t>ACTIVO</t>
        </is>
      </c>
      <c r="E264" s="28" t="n">
        <v>36</v>
      </c>
      <c r="F264" s="29" t="n">
        <v>333144.83</v>
      </c>
      <c r="G264" s="30" t="n">
        <v>0.1</v>
      </c>
      <c r="H264" s="29">
        <f>ROUND(F264*G264, 2)</f>
        <v/>
      </c>
      <c r="I264" s="29">
        <f>ROUND(F264-H264, 2)</f>
        <v/>
      </c>
      <c r="J264" s="29" t="n">
        <v>11936.33</v>
      </c>
      <c r="K264" s="30" t="n">
        <v>0.2</v>
      </c>
      <c r="L264" s="29">
        <f>ROUND(F264*K264, 2)</f>
        <v/>
      </c>
      <c r="M264" s="31" t="n">
        <v>0.02667842</v>
      </c>
      <c r="N264" s="31">
        <f>IFERROR(RATE(E264, -J264, I264, -L264), M264)</f>
        <v/>
      </c>
      <c r="O264" s="29">
        <f>IF(N264&gt;0, ROUND(PV(N264, E264, -J264, -L264), 2), I264)</f>
        <v/>
      </c>
      <c r="P264" s="29">
        <f>ROUND(O264-I264, 2)</f>
        <v/>
      </c>
      <c r="Q264" s="31">
        <f>N264*12</f>
        <v/>
      </c>
      <c r="R264" s="31">
        <f>((1+N264)^12)-1</f>
        <v/>
      </c>
      <c r="S264" s="31">
        <f>N264-M264</f>
        <v/>
      </c>
      <c r="T264" s="26">
        <f>IF(ABS(P264)&lt;0.01, "EXACTO", "REVISAR")</f>
        <v/>
      </c>
    </row>
    <row r="265">
      <c r="A265" s="20" t="inlineStr">
        <is>
          <t>0770-0001</t>
        </is>
      </c>
      <c r="B265" s="21" t="inlineStr">
        <is>
          <t>Jorge Octavio Micher Camarena</t>
        </is>
      </c>
      <c r="C265" s="21" t="inlineStr">
        <is>
          <t>Jeep Cherokee Overland 2026</t>
        </is>
      </c>
      <c r="D265" s="20" t="inlineStr">
        <is>
          <t>ACTIVO</t>
        </is>
      </c>
      <c r="E265" s="22" t="n">
        <v>36</v>
      </c>
      <c r="F265" s="23" t="n">
        <v>786123.28</v>
      </c>
      <c r="G265" s="24" t="n">
        <v>0.3</v>
      </c>
      <c r="H265" s="23">
        <f>ROUND(F265*G265, 2)</f>
        <v/>
      </c>
      <c r="I265" s="23">
        <f>ROUND(F265-H265, 2)</f>
        <v/>
      </c>
      <c r="J265" s="23" t="n">
        <v>22620.6</v>
      </c>
      <c r="K265" s="24" t="n">
        <v>0.1</v>
      </c>
      <c r="L265" s="23">
        <f>ROUND(F265*K265, 2)</f>
        <v/>
      </c>
      <c r="M265" s="25" t="n">
        <v>0.02661776</v>
      </c>
      <c r="N265" s="25">
        <f>IFERROR(RATE(E265, -J265, I265, -L265), M265)</f>
        <v/>
      </c>
      <c r="O265" s="23">
        <f>IF(N265&gt;0, ROUND(PV(N265, E265, -J265, -L265), 2), I265)</f>
        <v/>
      </c>
      <c r="P265" s="23">
        <f>ROUND(O265-I265, 2)</f>
        <v/>
      </c>
      <c r="Q265" s="25">
        <f>N265*12</f>
        <v/>
      </c>
      <c r="R265" s="25">
        <f>((1+N265)^12)-1</f>
        <v/>
      </c>
      <c r="S265" s="25">
        <f>N265-M265</f>
        <v/>
      </c>
      <c r="T265" s="20">
        <f>IF(ABS(P265)&lt;0.01, "EXACTO", "REVISAR")</f>
        <v/>
      </c>
    </row>
    <row r="266">
      <c r="A266" s="26" t="inlineStr">
        <is>
          <t>0771-0001</t>
        </is>
      </c>
      <c r="B266" s="27" t="inlineStr">
        <is>
          <t>Inbcom de Colima</t>
        </is>
      </c>
      <c r="C266" s="27" t="inlineStr">
        <is>
          <t>Ram 1200 Tradesman CC 2026</t>
        </is>
      </c>
      <c r="D266" s="26" t="inlineStr">
        <is>
          <t>ACTIVO</t>
        </is>
      </c>
      <c r="E266" s="28" t="n">
        <v>12</v>
      </c>
      <c r="F266" s="29" t="n">
        <v>435258.62</v>
      </c>
      <c r="G266" s="30" t="n">
        <v>0.1</v>
      </c>
      <c r="H266" s="29">
        <f>ROUND(F266*G266, 2)</f>
        <v/>
      </c>
      <c r="I266" s="29">
        <f>ROUND(F266-H266, 2)</f>
        <v/>
      </c>
      <c r="J266" s="29" t="n">
        <v>14360.04</v>
      </c>
      <c r="K266" s="30" t="n">
        <v>0.76</v>
      </c>
      <c r="L266" s="29">
        <f>ROUND(F266*K266, 2)</f>
        <v/>
      </c>
      <c r="M266" s="31" t="n">
        <v>0.02540796</v>
      </c>
      <c r="N266" s="31">
        <f>IFERROR(RATE(E266, -J266, I266, -L266), M266)</f>
        <v/>
      </c>
      <c r="O266" s="29">
        <f>IF(N266&gt;0, ROUND(PV(N266, E266, -J266, -L266), 2), I266)</f>
        <v/>
      </c>
      <c r="P266" s="29">
        <f>ROUND(O266-I266, 2)</f>
        <v/>
      </c>
      <c r="Q266" s="31">
        <f>N266*12</f>
        <v/>
      </c>
      <c r="R266" s="31">
        <f>((1+N266)^12)-1</f>
        <v/>
      </c>
      <c r="S266" s="31">
        <f>N266-M266</f>
        <v/>
      </c>
      <c r="T266" s="26">
        <f>IF(ABS(P266)&lt;0.01, "EXACTO", "REVISAR")</f>
        <v/>
      </c>
    </row>
    <row r="267">
      <c r="A267" s="20" t="inlineStr">
        <is>
          <t>0772-0001</t>
        </is>
      </c>
      <c r="B267" s="21" t="inlineStr">
        <is>
          <t>Logistica y Transporte de Carga LGT</t>
        </is>
      </c>
      <c r="C267" s="21" t="inlineStr">
        <is>
          <t>Ram 1200 Laramie 2026</t>
        </is>
      </c>
      <c r="D267" s="20" t="inlineStr">
        <is>
          <t>ACTIVO</t>
        </is>
      </c>
      <c r="E267" s="22" t="n">
        <v>48</v>
      </c>
      <c r="F267" s="23" t="n">
        <v>599051.72</v>
      </c>
      <c r="G267" s="24" t="n">
        <v>0.2</v>
      </c>
      <c r="H267" s="23">
        <f>ROUND(F267*G267, 2)</f>
        <v/>
      </c>
      <c r="I267" s="23">
        <f>ROUND(F267-H267, 2)</f>
        <v/>
      </c>
      <c r="J267" s="23" t="n">
        <v>17280.27</v>
      </c>
      <c r="K267" s="24" t="n">
        <v>0.1</v>
      </c>
      <c r="L267" s="23">
        <f>ROUND(F267*K267, 2)</f>
        <v/>
      </c>
      <c r="M267" s="25" t="n">
        <v>0.0269254</v>
      </c>
      <c r="N267" s="25">
        <f>IFERROR(RATE(E267, -J267, I267, -L267), M267)</f>
        <v/>
      </c>
      <c r="O267" s="23">
        <f>IF(N267&gt;0, ROUND(PV(N267, E267, -J267, -L267), 2), I267)</f>
        <v/>
      </c>
      <c r="P267" s="23">
        <f>ROUND(O267-I267, 2)</f>
        <v/>
      </c>
      <c r="Q267" s="25">
        <f>N267*12</f>
        <v/>
      </c>
      <c r="R267" s="25">
        <f>((1+N267)^12)-1</f>
        <v/>
      </c>
      <c r="S267" s="25">
        <f>N267-M267</f>
        <v/>
      </c>
      <c r="T267" s="20">
        <f>IF(ABS(P267)&lt;0.01, "EXACTO", "REVISAR")</f>
        <v/>
      </c>
    </row>
    <row r="268">
      <c r="A268" s="26" t="inlineStr">
        <is>
          <t>0773-0001</t>
        </is>
      </c>
      <c r="B268" s="27" t="inlineStr">
        <is>
          <t>Industrias Besthelg, S.A. de C.V.</t>
        </is>
      </c>
      <c r="C268" s="27" t="inlineStr">
        <is>
          <t>Peugeot Manager Furgon L2H2 2026</t>
        </is>
      </c>
      <c r="D268" s="26" t="inlineStr">
        <is>
          <t>ACTIVO</t>
        </is>
      </c>
      <c r="E268" s="28" t="n">
        <v>36</v>
      </c>
      <c r="F268" s="29" t="n">
        <v>713706.9</v>
      </c>
      <c r="G268" s="30" t="n">
        <v>0.06900000000000001</v>
      </c>
      <c r="H268" s="29">
        <f>ROUND(F268*G268, 2)</f>
        <v/>
      </c>
      <c r="I268" s="29">
        <f>ROUND(F268-H268, 2)</f>
        <v/>
      </c>
      <c r="J268" s="29" t="n">
        <v>27698.79</v>
      </c>
      <c r="K268" s="30" t="n">
        <v>0.1</v>
      </c>
      <c r="L268" s="29">
        <f>ROUND(F268*K268, 2)</f>
        <v/>
      </c>
      <c r="M268" s="31" t="n">
        <v>0.0265892</v>
      </c>
      <c r="N268" s="31">
        <f>IFERROR(RATE(E268, -J268, I268, -L268), M268)</f>
        <v/>
      </c>
      <c r="O268" s="29">
        <f>IF(N268&gt;0, ROUND(PV(N268, E268, -J268, -L268), 2), I268)</f>
        <v/>
      </c>
      <c r="P268" s="29">
        <f>ROUND(O268-I268, 2)</f>
        <v/>
      </c>
      <c r="Q268" s="31">
        <f>N268*12</f>
        <v/>
      </c>
      <c r="R268" s="31">
        <f>((1+N268)^12)-1</f>
        <v/>
      </c>
      <c r="S268" s="31">
        <f>N268-M268</f>
        <v/>
      </c>
      <c r="T268" s="26">
        <f>IF(ABS(P268)&lt;0.01, "EXACTO", "REVISAR")</f>
        <v/>
      </c>
    </row>
    <row r="269">
      <c r="A269" s="20" t="inlineStr">
        <is>
          <t>0773-0002</t>
        </is>
      </c>
      <c r="B269" s="21" t="inlineStr">
        <is>
          <t>Industrias Besthelg, S.A. de C.V.</t>
        </is>
      </c>
      <c r="C269" s="21" t="inlineStr">
        <is>
          <t>Peugeot Manager L4H2 2027</t>
        </is>
      </c>
      <c r="D269" s="20" t="inlineStr">
        <is>
          <t>ACTIVO</t>
        </is>
      </c>
      <c r="E269" s="22" t="n">
        <v>36</v>
      </c>
      <c r="F269" s="23" t="n">
        <v>761120.6899999999</v>
      </c>
      <c r="G269" s="24" t="n">
        <v>0</v>
      </c>
      <c r="H269" s="23">
        <f>ROUND(F269*G269, 2)</f>
        <v/>
      </c>
      <c r="I269" s="23">
        <f>ROUND(F269-H269, 2)</f>
        <v/>
      </c>
      <c r="J269" s="23" t="n">
        <v>30576.76</v>
      </c>
      <c r="K269" s="24" t="n">
        <v>0.2</v>
      </c>
      <c r="L269" s="23">
        <f>ROUND(F269*K269, 2)</f>
        <v/>
      </c>
      <c r="M269" s="25" t="n">
        <v>0.02666187</v>
      </c>
      <c r="N269" s="25">
        <f>IFERROR(RATE(E269, -J269, I269, -L269), M269)</f>
        <v/>
      </c>
      <c r="O269" s="23">
        <f>IF(N269&gt;0, ROUND(PV(N269, E269, -J269, -L269), 2), I269)</f>
        <v/>
      </c>
      <c r="P269" s="23">
        <f>ROUND(O269-I269, 2)</f>
        <v/>
      </c>
      <c r="Q269" s="25">
        <f>N269*12</f>
        <v/>
      </c>
      <c r="R269" s="25">
        <f>((1+N269)^12)-1</f>
        <v/>
      </c>
      <c r="S269" s="25">
        <f>N269-M269</f>
        <v/>
      </c>
      <c r="T269" s="20">
        <f>IF(ABS(P269)&lt;0.01, "EXACTO", "REVISAR")</f>
        <v/>
      </c>
    </row>
    <row r="270">
      <c r="A270" s="26" t="inlineStr">
        <is>
          <t>0774-0001</t>
        </is>
      </c>
      <c r="B270" s="27" t="inlineStr">
        <is>
          <t>Grupo Plastikrom</t>
        </is>
      </c>
      <c r="C270" s="27" t="inlineStr">
        <is>
          <t>Jeep Cherokee Overland 2026</t>
        </is>
      </c>
      <c r="D270" s="26" t="inlineStr">
        <is>
          <t>ACTIVO</t>
        </is>
      </c>
      <c r="E270" s="28" t="n">
        <v>24</v>
      </c>
      <c r="F270" s="29" t="n">
        <v>768390.52</v>
      </c>
      <c r="G270" s="30" t="n">
        <v>0.3</v>
      </c>
      <c r="H270" s="29">
        <f>ROUND(F270*G270, 2)</f>
        <v/>
      </c>
      <c r="I270" s="29">
        <f>ROUND(F270-H270, 2)</f>
        <v/>
      </c>
      <c r="J270" s="29" t="n">
        <v>25777.53</v>
      </c>
      <c r="K270" s="30" t="n">
        <v>0.15</v>
      </c>
      <c r="L270" s="29">
        <f>ROUND(F270*K270, 2)</f>
        <v/>
      </c>
      <c r="M270" s="31" t="n">
        <v>0.02304274</v>
      </c>
      <c r="N270" s="31">
        <f>IFERROR(RATE(E270, -J270, I270, -L270), M270)</f>
        <v/>
      </c>
      <c r="O270" s="29">
        <f>IF(N270&gt;0, ROUND(PV(N270, E270, -J270, -L270), 2), I270)</f>
        <v/>
      </c>
      <c r="P270" s="29">
        <f>ROUND(O270-I270, 2)</f>
        <v/>
      </c>
      <c r="Q270" s="31">
        <f>N270*12</f>
        <v/>
      </c>
      <c r="R270" s="31">
        <f>((1+N270)^12)-1</f>
        <v/>
      </c>
      <c r="S270" s="31">
        <f>N270-M270</f>
        <v/>
      </c>
      <c r="T270" s="26">
        <f>IF(ABS(P270)&lt;0.01, "EXACTO", "REVISAR")</f>
        <v/>
      </c>
    </row>
    <row r="271">
      <c r="A271" s="20" t="inlineStr">
        <is>
          <t>0775-0001</t>
        </is>
      </c>
      <c r="B271" s="21" t="inlineStr">
        <is>
          <t>Manuel Ledezma Iñiguez</t>
        </is>
      </c>
      <c r="C271" s="21" t="inlineStr">
        <is>
          <t>Leapmotor B10 2026</t>
        </is>
      </c>
      <c r="D271" s="20" t="inlineStr">
        <is>
          <t>ACTIVO</t>
        </is>
      </c>
      <c r="E271" s="22" t="n">
        <v>48</v>
      </c>
      <c r="F271" s="23" t="n">
        <v>427500</v>
      </c>
      <c r="G271" s="24" t="n">
        <v>0.3</v>
      </c>
      <c r="H271" s="23">
        <f>ROUND(F271*G271, 2)</f>
        <v/>
      </c>
      <c r="I271" s="23">
        <f>ROUND(F271-H271, 2)</f>
        <v/>
      </c>
      <c r="J271" s="23" t="n">
        <v>10307.56</v>
      </c>
      <c r="K271" s="24" t="n">
        <v>0.2</v>
      </c>
      <c r="L271" s="23">
        <f>ROUND(F271*K271, 2)</f>
        <v/>
      </c>
      <c r="M271" s="25" t="n">
        <v>0.0270066</v>
      </c>
      <c r="N271" s="25">
        <f>IFERROR(RATE(E271, -J271, I271, -L271), M271)</f>
        <v/>
      </c>
      <c r="O271" s="23">
        <f>IF(N271&gt;0, ROUND(PV(N271, E271, -J271, -L271), 2), I271)</f>
        <v/>
      </c>
      <c r="P271" s="23">
        <f>ROUND(O271-I271, 2)</f>
        <v/>
      </c>
      <c r="Q271" s="25">
        <f>N271*12</f>
        <v/>
      </c>
      <c r="R271" s="25">
        <f>((1+N271)^12)-1</f>
        <v/>
      </c>
      <c r="S271" s="25">
        <f>N271-M271</f>
        <v/>
      </c>
      <c r="T271" s="20">
        <f>IF(ABS(P271)&lt;0.01, "EXACTO", "REVISAR")</f>
        <v/>
      </c>
    </row>
    <row r="272">
      <c r="A272" s="26" t="inlineStr">
        <is>
          <t>0776-0001</t>
        </is>
      </c>
      <c r="B272" s="27" t="inlineStr">
        <is>
          <t>Armando Serna Hernández</t>
        </is>
      </c>
      <c r="C272" s="27" t="inlineStr">
        <is>
          <t>Jeep Grand Cherokee Limited 2026</t>
        </is>
      </c>
      <c r="D272" s="26" t="inlineStr">
        <is>
          <t>ACTIVO</t>
        </is>
      </c>
      <c r="E272" s="28" t="n">
        <v>48</v>
      </c>
      <c r="F272" s="29" t="n">
        <v>1205948.28</v>
      </c>
      <c r="G272" s="30" t="n">
        <v>0.2</v>
      </c>
      <c r="H272" s="29">
        <f>ROUND(F272*G272, 2)</f>
        <v/>
      </c>
      <c r="I272" s="29">
        <f>ROUND(F272-H272, 2)</f>
        <v/>
      </c>
      <c r="J272" s="29" t="n">
        <v>33576.55</v>
      </c>
      <c r="K272" s="30" t="n">
        <v>0.2</v>
      </c>
      <c r="L272" s="29">
        <f>ROUND(F272*K272, 2)</f>
        <v/>
      </c>
      <c r="M272" s="31" t="n">
        <v>0.02698938</v>
      </c>
      <c r="N272" s="31">
        <f>IFERROR(RATE(E272, -J272, I272, -L272), M272)</f>
        <v/>
      </c>
      <c r="O272" s="29">
        <f>IF(N272&gt;0, ROUND(PV(N272, E272, -J272, -L272), 2), I272)</f>
        <v/>
      </c>
      <c r="P272" s="29">
        <f>ROUND(O272-I272, 2)</f>
        <v/>
      </c>
      <c r="Q272" s="31">
        <f>N272*12</f>
        <v/>
      </c>
      <c r="R272" s="31">
        <f>((1+N272)^12)-1</f>
        <v/>
      </c>
      <c r="S272" s="31">
        <f>N272-M272</f>
        <v/>
      </c>
      <c r="T272" s="26">
        <f>IF(ABS(P272)&lt;0.01, "EXACTO", "REVISAR")</f>
        <v/>
      </c>
    </row>
    <row r="273">
      <c r="A273" s="20" t="inlineStr">
        <is>
          <t>0777-0001</t>
        </is>
      </c>
      <c r="B273" s="21" t="inlineStr">
        <is>
          <t>Yazmin Alejandra Gomez Olivas</t>
        </is>
      </c>
      <c r="C273" s="21" t="inlineStr">
        <is>
          <t>Jeep Wrangler Rubicon 2026</t>
        </is>
      </c>
      <c r="D273" s="20" t="inlineStr">
        <is>
          <t>ACTIVO</t>
        </is>
      </c>
      <c r="E273" s="22" t="n">
        <v>48</v>
      </c>
      <c r="F273" s="23" t="n">
        <v>1200775.86</v>
      </c>
      <c r="G273" s="24" t="n">
        <v>0.3</v>
      </c>
      <c r="H273" s="23">
        <f>ROUND(F273*G273, 2)</f>
        <v/>
      </c>
      <c r="I273" s="23">
        <f>ROUND(F273-H273, 2)</f>
        <v/>
      </c>
      <c r="J273" s="23" t="n">
        <v>30157.28</v>
      </c>
      <c r="K273" s="24" t="n">
        <v>0.1</v>
      </c>
      <c r="L273" s="23">
        <f>ROUND(F273*K273, 2)</f>
        <v/>
      </c>
      <c r="M273" s="25" t="n">
        <v>0.02693492</v>
      </c>
      <c r="N273" s="25">
        <f>IFERROR(RATE(E273, -J273, I273, -L273), M273)</f>
        <v/>
      </c>
      <c r="O273" s="23">
        <f>IF(N273&gt;0, ROUND(PV(N273, E273, -J273, -L273), 2), I273)</f>
        <v/>
      </c>
      <c r="P273" s="23">
        <f>ROUND(O273-I273, 2)</f>
        <v/>
      </c>
      <c r="Q273" s="25">
        <f>N273*12</f>
        <v/>
      </c>
      <c r="R273" s="25">
        <f>((1+N273)^12)-1</f>
        <v/>
      </c>
      <c r="S273" s="25">
        <f>N273-M273</f>
        <v/>
      </c>
      <c r="T273" s="20">
        <f>IF(ABS(P273)&lt;0.01, "EXACTO", "REVISAR")</f>
        <v/>
      </c>
    </row>
    <row r="274">
      <c r="A274" s="26" t="inlineStr">
        <is>
          <t>0778-0001</t>
        </is>
      </c>
      <c r="B274" s="27" t="inlineStr">
        <is>
          <t>Construcciones y Desarrollos Inmobile, S.A. de C.V.</t>
        </is>
      </c>
      <c r="C274" s="27" t="inlineStr">
        <is>
          <t>Mitsubishi L200 2026</t>
        </is>
      </c>
      <c r="D274" s="26" t="inlineStr">
        <is>
          <t>ACTIVO</t>
        </is>
      </c>
      <c r="E274" s="28" t="n">
        <v>24</v>
      </c>
      <c r="F274" s="29" t="n">
        <v>515452.59</v>
      </c>
      <c r="G274" s="30" t="n">
        <v>0.4</v>
      </c>
      <c r="H274" s="29">
        <f>ROUND(F274*G274, 2)</f>
        <v/>
      </c>
      <c r="I274" s="29">
        <f>ROUND(F274-H274, 2)</f>
        <v/>
      </c>
      <c r="J274" s="29" t="n">
        <v>15912.44</v>
      </c>
      <c r="K274" s="30" t="n">
        <v>0.1</v>
      </c>
      <c r="L274" s="29">
        <f>ROUND(F274*K274, 2)</f>
        <v/>
      </c>
      <c r="M274" s="31" t="n">
        <v>0.02601126</v>
      </c>
      <c r="N274" s="31">
        <f>IFERROR(RATE(E274, -J274, I274, -L274), M274)</f>
        <v/>
      </c>
      <c r="O274" s="29">
        <f>IF(N274&gt;0, ROUND(PV(N274, E274, -J274, -L274), 2), I274)</f>
        <v/>
      </c>
      <c r="P274" s="29">
        <f>ROUND(O274-I274, 2)</f>
        <v/>
      </c>
      <c r="Q274" s="31">
        <f>N274*12</f>
        <v/>
      </c>
      <c r="R274" s="31">
        <f>((1+N274)^12)-1</f>
        <v/>
      </c>
      <c r="S274" s="31">
        <f>N274-M274</f>
        <v/>
      </c>
      <c r="T274" s="26">
        <f>IF(ABS(P274)&lt;0.01, "EXACTO", "REVISAR")</f>
        <v/>
      </c>
    </row>
    <row r="275">
      <c r="A275" s="20" t="inlineStr">
        <is>
          <t>0779-0001</t>
        </is>
      </c>
      <c r="B275" s="21" t="inlineStr">
        <is>
          <t>Margarita Kaplun Mucharrafille</t>
        </is>
      </c>
      <c r="C275" s="21" t="inlineStr">
        <is>
          <t>Ram 700 Bighorn 2026</t>
        </is>
      </c>
      <c r="D275" s="20" t="inlineStr">
        <is>
          <t>ACTIVO</t>
        </is>
      </c>
      <c r="E275" s="22" t="n">
        <v>48</v>
      </c>
      <c r="F275" s="23" t="n">
        <v>371599.14</v>
      </c>
      <c r="G275" s="24" t="n">
        <v>0.4</v>
      </c>
      <c r="H275" s="23">
        <f>ROUND(F275*G275, 2)</f>
        <v/>
      </c>
      <c r="I275" s="23">
        <f>ROUND(F275-H275, 2)</f>
        <v/>
      </c>
      <c r="J275" s="23" t="n">
        <v>7946.14</v>
      </c>
      <c r="K275" s="24" t="n">
        <v>0.1</v>
      </c>
      <c r="L275" s="23">
        <f>ROUND(F275*K275, 2)</f>
        <v/>
      </c>
      <c r="M275" s="25" t="n">
        <v>0.0269474</v>
      </c>
      <c r="N275" s="25">
        <f>IFERROR(RATE(E275, -J275, I275, -L275), M275)</f>
        <v/>
      </c>
      <c r="O275" s="23">
        <f>IF(N275&gt;0, ROUND(PV(N275, E275, -J275, -L275), 2), I275)</f>
        <v/>
      </c>
      <c r="P275" s="23">
        <f>ROUND(O275-I275, 2)</f>
        <v/>
      </c>
      <c r="Q275" s="25">
        <f>N275*12</f>
        <v/>
      </c>
      <c r="R275" s="25">
        <f>((1+N275)^12)-1</f>
        <v/>
      </c>
      <c r="S275" s="25">
        <f>N275-M275</f>
        <v/>
      </c>
      <c r="T275" s="20">
        <f>IF(ABS(P275)&lt;0.01, "EXACTO", "REVISAR")</f>
        <v/>
      </c>
    </row>
    <row r="276">
      <c r="A276" s="26" t="inlineStr">
        <is>
          <t>0780-0001</t>
        </is>
      </c>
      <c r="B276" s="27" t="inlineStr">
        <is>
          <t>David Rosendo Cedeño Guerrero</t>
        </is>
      </c>
      <c r="C276" s="27" t="inlineStr">
        <is>
          <t>Suzuki Jimny 2027</t>
        </is>
      </c>
      <c r="D276" s="26" t="inlineStr">
        <is>
          <t>ACTIVO</t>
        </is>
      </c>
      <c r="E276" s="28" t="n">
        <v>48</v>
      </c>
      <c r="F276" s="29" t="n">
        <v>464646.55</v>
      </c>
      <c r="G276" s="30" t="n">
        <v>0.1</v>
      </c>
      <c r="H276" s="29">
        <f>ROUND(F276*G276, 2)</f>
        <v/>
      </c>
      <c r="I276" s="29">
        <f>ROUND(F276-H276, 2)</f>
        <v/>
      </c>
      <c r="J276" s="29" t="n">
        <v>15122.6</v>
      </c>
      <c r="K276" s="30" t="n">
        <v>0.1</v>
      </c>
      <c r="L276" s="29">
        <f>ROUND(F276*K276, 2)</f>
        <v/>
      </c>
      <c r="M276" s="31" t="n">
        <v>0.02687187</v>
      </c>
      <c r="N276" s="31">
        <f>IFERROR(RATE(E276, -J276, I276, -L276), M276)</f>
        <v/>
      </c>
      <c r="O276" s="29">
        <f>IF(N276&gt;0, ROUND(PV(N276, E276, -J276, -L276), 2), I276)</f>
        <v/>
      </c>
      <c r="P276" s="29">
        <f>ROUND(O276-I276, 2)</f>
        <v/>
      </c>
      <c r="Q276" s="31">
        <f>N276*12</f>
        <v/>
      </c>
      <c r="R276" s="31">
        <f>((1+N276)^12)-1</f>
        <v/>
      </c>
      <c r="S276" s="31">
        <f>N276-M276</f>
        <v/>
      </c>
      <c r="T276" s="26">
        <f>IF(ABS(P276)&lt;0.01, "EXACTO", "REVISAR")</f>
        <v/>
      </c>
    </row>
    <row r="277">
      <c r="A277" s="20" t="inlineStr">
        <is>
          <t>0781-0001</t>
        </is>
      </c>
      <c r="B277" s="21" t="inlineStr">
        <is>
          <t>Northstar Marine &amp; Civil, S.A. de C.V.</t>
        </is>
      </c>
      <c r="C277" s="21" t="inlineStr">
        <is>
          <t>Sany Motoniveladora 2026</t>
        </is>
      </c>
      <c r="D277" s="20" t="inlineStr">
        <is>
          <t>ACTIVO</t>
        </is>
      </c>
      <c r="E277" s="22" t="n">
        <v>24</v>
      </c>
      <c r="F277" s="23" t="n">
        <v>3277105.17</v>
      </c>
      <c r="G277" s="24" t="n">
        <v>0.2</v>
      </c>
      <c r="H277" s="23">
        <f>ROUND(F277*G277, 2)</f>
        <v/>
      </c>
      <c r="I277" s="23">
        <f>ROUND(F277-H277, 2)</f>
        <v/>
      </c>
      <c r="J277" s="23" t="n">
        <v>139765.45</v>
      </c>
      <c r="K277" s="24" t="n">
        <v>0.02</v>
      </c>
      <c r="L277" s="23">
        <f>ROUND(F277*K277, 2)</f>
        <v/>
      </c>
      <c r="M277" s="25" t="n">
        <v>0.02205956</v>
      </c>
      <c r="N277" s="25">
        <f>IFERROR(RATE(E277, -J277, I277, -L277), M277)</f>
        <v/>
      </c>
      <c r="O277" s="23">
        <f>IF(N277&gt;0, ROUND(PV(N277, E277, -J277, -L277), 2), I277)</f>
        <v/>
      </c>
      <c r="P277" s="23">
        <f>ROUND(O277-I277, 2)</f>
        <v/>
      </c>
      <c r="Q277" s="25">
        <f>N277*12</f>
        <v/>
      </c>
      <c r="R277" s="25">
        <f>((1+N277)^12)-1</f>
        <v/>
      </c>
      <c r="S277" s="25">
        <f>N277-M277</f>
        <v/>
      </c>
      <c r="T277" s="20">
        <f>IF(ABS(P277)&lt;0.01, "EXACTO", "REVISAR")</f>
        <v/>
      </c>
    </row>
    <row r="278">
      <c r="A278" s="26" t="inlineStr">
        <is>
          <t>0783-0001</t>
        </is>
      </c>
      <c r="B278" s="27" t="inlineStr">
        <is>
          <t>Nuup Trading, S.A. de C.V.</t>
        </is>
      </c>
      <c r="C278" s="27" t="inlineStr">
        <is>
          <t>Jeep Renegade 2026</t>
        </is>
      </c>
      <c r="D278" s="26" t="inlineStr">
        <is>
          <t>ACTIVO</t>
        </is>
      </c>
      <c r="E278" s="28" t="n">
        <v>24</v>
      </c>
      <c r="F278" s="29" t="n">
        <v>432672.41</v>
      </c>
      <c r="G278" s="30" t="n">
        <v>0.3</v>
      </c>
      <c r="H278" s="29">
        <f>ROUND(F278*G278, 2)</f>
        <v/>
      </c>
      <c r="I278" s="29">
        <f>ROUND(F278-H278, 2)</f>
        <v/>
      </c>
      <c r="J278" s="29" t="n">
        <v>14513.72</v>
      </c>
      <c r="K278" s="30" t="n">
        <v>0.2</v>
      </c>
      <c r="L278" s="29">
        <f>ROUND(F278*K278, 2)</f>
        <v/>
      </c>
      <c r="M278" s="31" t="n">
        <v>0.02615301</v>
      </c>
      <c r="N278" s="31">
        <f>IFERROR(RATE(E278, -J278, I278, -L278), M278)</f>
        <v/>
      </c>
      <c r="O278" s="29">
        <f>IF(N278&gt;0, ROUND(PV(N278, E278, -J278, -L278), 2), I278)</f>
        <v/>
      </c>
      <c r="P278" s="29">
        <f>ROUND(O278-I278, 2)</f>
        <v/>
      </c>
      <c r="Q278" s="31">
        <f>N278*12</f>
        <v/>
      </c>
      <c r="R278" s="31">
        <f>((1+N278)^12)-1</f>
        <v/>
      </c>
      <c r="S278" s="31">
        <f>N278-M278</f>
        <v/>
      </c>
      <c r="T278" s="26">
        <f>IF(ABS(P278)&lt;0.01, "EXACTO", "REVISAR")</f>
        <v/>
      </c>
    </row>
    <row r="279">
      <c r="A279" s="20" t="inlineStr">
        <is>
          <t>0784-0001</t>
        </is>
      </c>
      <c r="B279" s="21" t="inlineStr">
        <is>
          <t>Enruta App, S.A. de C.V.</t>
        </is>
      </c>
      <c r="C279" s="21" t="inlineStr">
        <is>
          <t>Dodge Attitude GT 2026</t>
        </is>
      </c>
      <c r="D279" s="20" t="inlineStr">
        <is>
          <t>ACTIVO</t>
        </is>
      </c>
      <c r="E279" s="22" t="n">
        <v>12</v>
      </c>
      <c r="F279" s="23" t="n">
        <v>397950.86</v>
      </c>
      <c r="G279" s="24" t="n">
        <v>0.2</v>
      </c>
      <c r="H279" s="23">
        <f>ROUND(F279*G279, 2)</f>
        <v/>
      </c>
      <c r="I279" s="23">
        <f>ROUND(F279-H279, 2)</f>
        <v/>
      </c>
      <c r="J279" s="23" t="n">
        <v>21723.01</v>
      </c>
      <c r="K279" s="24" t="n">
        <v>0.3</v>
      </c>
      <c r="L279" s="23">
        <f>ROUND(F279*K279, 2)</f>
        <v/>
      </c>
      <c r="M279" s="25" t="n">
        <v>0.02221054</v>
      </c>
      <c r="N279" s="25">
        <f>IFERROR(RATE(E279, -J279, I279, -L279), M279)</f>
        <v/>
      </c>
      <c r="O279" s="23">
        <f>IF(N279&gt;0, ROUND(PV(N279, E279, -J279, -L279), 2), I279)</f>
        <v/>
      </c>
      <c r="P279" s="23">
        <f>ROUND(O279-I279, 2)</f>
        <v/>
      </c>
      <c r="Q279" s="25">
        <f>N279*12</f>
        <v/>
      </c>
      <c r="R279" s="25">
        <f>((1+N279)^12)-1</f>
        <v/>
      </c>
      <c r="S279" s="25">
        <f>N279-M279</f>
        <v/>
      </c>
      <c r="T279" s="20">
        <f>IF(ABS(P279)&lt;0.01, "EXACTO", "REVISAR")</f>
        <v/>
      </c>
    </row>
    <row r="280">
      <c r="A280" s="26" t="inlineStr">
        <is>
          <t>0785-0001</t>
        </is>
      </c>
      <c r="B280" s="27" t="inlineStr">
        <is>
          <t>Velazquez Guerrero y Asociados, S.C.</t>
        </is>
      </c>
      <c r="C280" s="27" t="inlineStr">
        <is>
          <t>Peugeot Rifter Allure Pack 2027</t>
        </is>
      </c>
      <c r="D280" s="26" t="inlineStr">
        <is>
          <t>ACTIVO</t>
        </is>
      </c>
      <c r="E280" s="28" t="n">
        <v>24</v>
      </c>
      <c r="F280" s="29" t="n">
        <v>424709.48</v>
      </c>
      <c r="G280" s="30" t="n">
        <v>0.2</v>
      </c>
      <c r="H280" s="29">
        <f>ROUND(F280*G280, 2)</f>
        <v/>
      </c>
      <c r="I280" s="29">
        <f>ROUND(F280-H280, 2)</f>
        <v/>
      </c>
      <c r="J280" s="29" t="n">
        <v>16641.73</v>
      </c>
      <c r="K280" s="30" t="n">
        <v>0.2</v>
      </c>
      <c r="L280" s="29">
        <f>ROUND(F280*K280, 2)</f>
        <v/>
      </c>
      <c r="M280" s="31" t="n">
        <v>0.02611236</v>
      </c>
      <c r="N280" s="31">
        <f>IFERROR(RATE(E280, -J280, I280, -L280), M280)</f>
        <v/>
      </c>
      <c r="O280" s="29">
        <f>IF(N280&gt;0, ROUND(PV(N280, E280, -J280, -L280), 2), I280)</f>
        <v/>
      </c>
      <c r="P280" s="29">
        <f>ROUND(O280-I280, 2)</f>
        <v/>
      </c>
      <c r="Q280" s="31">
        <f>N280*12</f>
        <v/>
      </c>
      <c r="R280" s="31">
        <f>((1+N280)^12)-1</f>
        <v/>
      </c>
      <c r="S280" s="31">
        <f>N280-M280</f>
        <v/>
      </c>
      <c r="T280" s="26">
        <f>IF(ABS(P280)&lt;0.01, "EXACTO", "REVISAR")</f>
        <v/>
      </c>
    </row>
    <row r="281">
      <c r="A281" s="20" t="inlineStr">
        <is>
          <t>0786-0001</t>
        </is>
      </c>
      <c r="B281" s="21" t="inlineStr">
        <is>
          <t>Consejería Jurídico Empresarial, S.C.</t>
        </is>
      </c>
      <c r="C281" s="21" t="inlineStr">
        <is>
          <t>Mitsubishi Outlander Sport Limited 2027</t>
        </is>
      </c>
      <c r="D281" s="20" t="inlineStr">
        <is>
          <t>ACTIVO</t>
        </is>
      </c>
      <c r="E281" s="22" t="n">
        <v>24</v>
      </c>
      <c r="F281" s="23" t="n">
        <v>475727.59</v>
      </c>
      <c r="G281" s="24" t="n">
        <v>0.3</v>
      </c>
      <c r="H281" s="23">
        <f>ROUND(F281*G281, 2)</f>
        <v/>
      </c>
      <c r="I281" s="23">
        <f>ROUND(F281-H281, 2)</f>
        <v/>
      </c>
      <c r="J281" s="23" t="n">
        <v>15957.97</v>
      </c>
      <c r="K281" s="24" t="n">
        <v>0.2</v>
      </c>
      <c r="L281" s="23">
        <f>ROUND(F281*K281, 2)</f>
        <v/>
      </c>
      <c r="M281" s="25" t="n">
        <v>0.02615301</v>
      </c>
      <c r="N281" s="25">
        <f>IFERROR(RATE(E281, -J281, I281, -L281), M281)</f>
        <v/>
      </c>
      <c r="O281" s="23">
        <f>IF(N281&gt;0, ROUND(PV(N281, E281, -J281, -L281), 2), I281)</f>
        <v/>
      </c>
      <c r="P281" s="23">
        <f>ROUND(O281-I281, 2)</f>
        <v/>
      </c>
      <c r="Q281" s="25">
        <f>N281*12</f>
        <v/>
      </c>
      <c r="R281" s="25">
        <f>((1+N281)^12)-1</f>
        <v/>
      </c>
      <c r="S281" s="25">
        <f>N281-M281</f>
        <v/>
      </c>
      <c r="T281" s="20">
        <f>IF(ABS(P281)&lt;0.01, "EXACTO", "REVISAR")</f>
        <v/>
      </c>
    </row>
    <row r="282">
      <c r="A282" s="32" t="inlineStr">
        <is>
          <t>TOTAL CARTERA</t>
        </is>
      </c>
      <c r="B282" s="33" t="inlineStr">
        <is>
          <t>277 Contratos</t>
        </is>
      </c>
      <c r="C282" s="34" t="n"/>
      <c r="D282" s="34" t="n"/>
      <c r="E282" s="34" t="n"/>
      <c r="F282" s="35">
        <f>SUM(F5:F281)</f>
        <v/>
      </c>
      <c r="G282" s="36">
        <f>AVERAGE(G5:G281)</f>
        <v/>
      </c>
      <c r="H282" s="35">
        <f>SUM(H5:H281)</f>
        <v/>
      </c>
      <c r="I282" s="35">
        <f>SUM(I5:I281)</f>
        <v/>
      </c>
      <c r="J282" s="35">
        <f>SUM(J5:J281)</f>
        <v/>
      </c>
      <c r="K282" s="36">
        <f>AVERAGE(K5:K281)</f>
        <v/>
      </c>
      <c r="L282" s="35">
        <f>SUM(L5:L281)</f>
        <v/>
      </c>
      <c r="M282" s="37">
        <f>AVERAGE(M5:M281)</f>
        <v/>
      </c>
      <c r="N282" s="37">
        <f>AVERAGE(N5:N281)</f>
        <v/>
      </c>
      <c r="O282" s="35">
        <f>SUM(O5:O281)</f>
        <v/>
      </c>
      <c r="P282" s="35">
        <f>SUM(P5:P281)</f>
        <v/>
      </c>
      <c r="Q282" s="37">
        <f>AVERAGE(Q5:Q281)</f>
        <v/>
      </c>
      <c r="R282" s="37">
        <f>AVERAGE(R5:R281)</f>
        <v/>
      </c>
      <c r="S282" s="37">
        <f>AVERAGE(S5:S281)</f>
        <v/>
      </c>
      <c r="T282" s="32" t="inlineStr">
        <is>
          <t>AUDITADO</t>
        </is>
      </c>
    </row>
  </sheetData>
  <autoFilter ref="A4:T281"/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1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  <col width="18" customWidth="1" min="10" max="10"/>
    <col width="20" customWidth="1" min="11" max="11"/>
    <col width="22" customWidth="1" min="12" max="12"/>
    <col width="18" customWidth="1" min="13" max="13"/>
    <col width="18" customWidth="1" min="14" max="14"/>
  </cols>
  <sheetData>
    <row r="1" ht="24" customHeight="1">
      <c r="A1" s="18" t="inlineStr">
        <is>
          <t>O-LEASING · UNA APP DE ORANGE CREW · Modelo de Amortización Dinámica con Fórmulas Nativas</t>
        </is>
      </c>
    </row>
    <row r="2" ht="16" customHeight="1">
      <c r="A2" s="3" t="inlineStr">
        <is>
          <t>Seleccione cualquier contrato en la lista desplegable; la tabla actualiza todos los datos y se corta al mes exacto de terminación · Auditoría Financiera NIF C-15 / IFRS 16 · Desarrollado por Orange Crew</t>
        </is>
      </c>
    </row>
    <row r="4" ht="24" customHeight="1">
      <c r="B4" s="38" t="inlineStr">
        <is>
          <t>SELECCIONAR CONTRATO:</t>
        </is>
      </c>
      <c r="C4" s="39" t="inlineStr">
        <is>
          <t>0326-0003</t>
        </is>
      </c>
      <c r="D4" s="40" t="inlineStr">
        <is>
          <t>&lt;-- Seleccione de la lista desplegable o escriba el ID del contrato para actualizar toda la tabla</t>
        </is>
      </c>
    </row>
    <row r="5">
      <c r="B5" s="41" t="inlineStr">
        <is>
          <t>Cliente:</t>
        </is>
      </c>
      <c r="C5" s="42">
        <f>IFERROR(VLOOKUP($C$4, 'Resumen_Cartera'!$A$5:$Z$281, 2, FALSE), "")</f>
        <v/>
      </c>
      <c r="F5" s="41" t="inlineStr">
        <is>
          <t>Unidad / Vehículo:</t>
        </is>
      </c>
      <c r="G5" s="42">
        <f>IFERROR(VLOOKUP($C$4, 'Resumen_Cartera'!$A$5:$Z$281, 3, FALSE), "")</f>
        <v/>
      </c>
      <c r="J5" s="41" t="inlineStr">
        <is>
          <t>Estatus:</t>
        </is>
      </c>
      <c r="K5" s="42">
        <f>IFERROR(VLOOKUP($C$4, 'Resumen_Cartera'!$A$5:$Z$281, 4, FALSE), "")</f>
        <v/>
      </c>
    </row>
    <row r="6">
      <c r="B6" s="41" t="inlineStr">
        <is>
          <t>Fecha Alta:</t>
        </is>
      </c>
      <c r="C6" s="42">
        <f>IFERROR(VLOOKUP($C$4, 'Resumen_Cartera'!$A$5:$Z$281, 5, FALSE), "")</f>
        <v/>
      </c>
      <c r="D6" s="41" t="inlineStr">
        <is>
          <t>Fecha Vencimiento:</t>
        </is>
      </c>
      <c r="E6" s="42">
        <f>IFERROR(VLOOKUP($C$4, 'Resumen_Cartera'!$A$5:$Z$281, 6, FALSE), "")</f>
        <v/>
      </c>
      <c r="F6" s="41" t="inlineStr">
        <is>
          <t>Plazo (Meses):</t>
        </is>
      </c>
      <c r="G6" s="43">
        <f>IFERROR(VLOOKUP($C$4, 'Resumen_Cartera'!$A$5:$Z$281, 7, FALSE), 0)</f>
        <v/>
      </c>
      <c r="H6" s="41" t="inlineStr">
        <is>
          <t>Valor Sin IVA:</t>
        </is>
      </c>
      <c r="I6" s="44">
        <f>IFERROR(VLOOKUP($C$4, 'Resumen_Cartera'!$A$5:$Z$281, 8, FALSE), 0)</f>
        <v/>
      </c>
    </row>
    <row r="7">
      <c r="B7" s="41" t="inlineStr">
        <is>
          <t>Inversión Neta:</t>
        </is>
      </c>
      <c r="C7" s="44">
        <f>IFERROR(VLOOKUP($C$4, 'Resumen_Cartera'!$A$5:$Z$281, 11, FALSE), 0)</f>
        <v/>
      </c>
      <c r="D7" s="41" t="inlineStr">
        <is>
          <t>Renta Mensual:</t>
        </is>
      </c>
      <c r="E7" s="44">
        <f>IFERROR(VLOOKUP($C$4, 'Resumen_Cartera'!$A$5:$Z$281, 14, FALSE), 0)</f>
        <v/>
      </c>
      <c r="F7" s="41" t="inlineStr">
        <is>
          <t>Residual Pactado:</t>
        </is>
      </c>
      <c r="G7" s="44">
        <f>IFERROR(VLOOKUP($C$4, 'Resumen_Cartera'!$A$5:$Z$281, 16, FALSE), 0)</f>
        <v/>
      </c>
      <c r="H7" s="41" t="inlineStr">
        <is>
          <t>VP Residual Inicial:</t>
        </is>
      </c>
      <c r="I7" s="44">
        <f>IFERROR(VLOOKUP($C$4, 'Resumen_Cartera'!$A$5:$Z$281, 21, FALSE), 0)</f>
        <v/>
      </c>
    </row>
    <row r="8">
      <c r="B8" s="41" t="inlineStr">
        <is>
          <t>Tasa Mensual:</t>
        </is>
      </c>
      <c r="C8" s="45">
        <f>IFERROR(VLOOKUP($C$4, 'Resumen_Cartera'!$A$5:$Z$281, 17, FALSE), 0)</f>
        <v/>
      </c>
      <c r="D8" s="41" t="inlineStr">
        <is>
          <t>Tasa Nominal Anual:</t>
        </is>
      </c>
      <c r="E8" s="45">
        <f>IFERROR(VLOOKUP($C$4, 'Resumen_Cartera'!$A$5:$Z$281, 19, FALSE), 0)</f>
        <v/>
      </c>
      <c r="F8" s="41" t="inlineStr">
        <is>
          <t>TIR Anual Efectiva:</t>
        </is>
      </c>
      <c r="G8" s="45">
        <f>IFERROR(VLOOKUP($C$4, 'Resumen_Cartera'!$A$5:$Z$281, 20, FALSE), 0)</f>
        <v/>
      </c>
      <c r="H8" s="41" t="inlineStr">
        <is>
          <t>Ingreso Financiero:</t>
        </is>
      </c>
      <c r="I8" s="44">
        <f>IFERROR(VLOOKUP($C$4, 'Resumen_Cartera'!$A$5:$Z$281, 24, FALSE), 0)</f>
        <v/>
      </c>
    </row>
    <row r="9">
      <c r="A9" s="3" t="inlineStr">
        <is>
          <t>FÓRMULAS VIVAS DE AMORTIZACIÓN Y SALDOS: Interés = Saldo_Inicial * Tasa | Capital = Renta - Interés | Saldo Capital = Saldo_Inicial - Capital | Interés Residual = VP_Residual * Tasa | VP_Residual_Final = VP_Inicial + Interés_Residual | Saldo Intereses = SUM(Futuros) | Saldo Cartera = Saldo_Capital + Saldo_Intereses | Saldo Global = Saldo_Cartera + VP_Residual. La tabla se corta automáticamente al plazo contractual ($G$6 meses).</t>
        </is>
      </c>
    </row>
    <row r="10" ht="24" customHeight="1">
      <c r="A10" s="19" t="inlineStr">
        <is>
          <t>Mes</t>
        </is>
      </c>
      <c r="B10" s="19" t="inlineStr">
        <is>
          <t>Saldo_Inicial_Capital</t>
        </is>
      </c>
      <c r="C10" s="19" t="inlineStr">
        <is>
          <t>Tasa_Mensual</t>
        </is>
      </c>
      <c r="D10" s="19" t="inlineStr">
        <is>
          <t>Interes_Leasing</t>
        </is>
      </c>
      <c r="E10" s="19" t="inlineStr">
        <is>
          <t>Renta_Sin_IVA</t>
        </is>
      </c>
      <c r="F10" s="19" t="inlineStr">
        <is>
          <t>Capital_Amortizado</t>
        </is>
      </c>
      <c r="G10" s="19" t="inlineStr">
        <is>
          <t>Saldo_Final_Capital</t>
        </is>
      </c>
      <c r="H10" s="19" t="inlineStr">
        <is>
          <t>VP_Residual_Inicial</t>
        </is>
      </c>
      <c r="I10" s="19" t="inlineStr">
        <is>
          <t>Interes_Residual</t>
        </is>
      </c>
      <c r="J10" s="19" t="inlineStr">
        <is>
          <t>VP_Residual_Final</t>
        </is>
      </c>
      <c r="K10" s="19" t="inlineStr">
        <is>
          <t>Ingreso_Financiero_Total</t>
        </is>
      </c>
      <c r="L10" s="19" t="inlineStr">
        <is>
          <t>Saldo_Intereses_Remanentes</t>
        </is>
      </c>
      <c r="M10" s="19" t="inlineStr">
        <is>
          <t>Saldo_Cartera_Total</t>
        </is>
      </c>
      <c r="N10" s="19" t="inlineStr">
        <is>
          <t>Saldo_Global_Exigible</t>
        </is>
      </c>
    </row>
    <row r="11">
      <c r="A11" s="20">
        <f>IF(ROW()-10&lt;=$G$6, ROW()-10, "")</f>
        <v/>
      </c>
      <c r="B11" s="23">
        <f>IF($A11="", "", $C$7)</f>
        <v/>
      </c>
      <c r="C11" s="25">
        <f>IF($A11="", "", $C$8)</f>
        <v/>
      </c>
      <c r="D11" s="23">
        <f>IF($A11="", "", ROUND(B11*C11, 2))</f>
        <v/>
      </c>
      <c r="E11" s="23">
        <f>IF($A11="", "", $E$7)</f>
        <v/>
      </c>
      <c r="F11" s="23">
        <f>IF($A11="", "", E11-D11)</f>
        <v/>
      </c>
      <c r="G11" s="23">
        <f>IF($A11="", "", B11-F11)</f>
        <v/>
      </c>
      <c r="H11" s="23">
        <f>IF($A11="", "", $I$7)</f>
        <v/>
      </c>
      <c r="I11" s="23">
        <f>IF($A11="", "", ROUND(H11*C11, 2))</f>
        <v/>
      </c>
      <c r="J11" s="23">
        <f>IF($A11="", "", H11+I11)</f>
        <v/>
      </c>
      <c r="K11" s="23">
        <f>IF($A11="", "", D11+I11)</f>
        <v/>
      </c>
      <c r="L11" s="23">
        <f>IF($A11="", "", SUM(D12:$D$82))</f>
        <v/>
      </c>
      <c r="M11" s="23">
        <f>IF($A11="", "", G11+L11)</f>
        <v/>
      </c>
      <c r="N11" s="23">
        <f>IF($A11="", "", M11+J11)</f>
        <v/>
      </c>
    </row>
    <row r="12">
      <c r="A12" s="26">
        <f>IF(ROW()-10&lt;=$G$6, ROW()-10, "")</f>
        <v/>
      </c>
      <c r="B12" s="29">
        <f>IF($A12="", "", G11)</f>
        <v/>
      </c>
      <c r="C12" s="31">
        <f>IF($A12="", "", $C$8)</f>
        <v/>
      </c>
      <c r="D12" s="29">
        <f>IF($A12="", "", ROUND(B12*C12, 2))</f>
        <v/>
      </c>
      <c r="E12" s="29">
        <f>IF($A12="", "", $E$7)</f>
        <v/>
      </c>
      <c r="F12" s="29">
        <f>IF($A12="", "", E12-D12)</f>
        <v/>
      </c>
      <c r="G12" s="29">
        <f>IF($A12="", "", B12-F12)</f>
        <v/>
      </c>
      <c r="H12" s="29">
        <f>IF($A12="", "", J11)</f>
        <v/>
      </c>
      <c r="I12" s="29">
        <f>IF($A12="", "", ROUND(H12*C12, 2))</f>
        <v/>
      </c>
      <c r="J12" s="29">
        <f>IF($A12="", "", H12+I12)</f>
        <v/>
      </c>
      <c r="K12" s="29">
        <f>IF($A12="", "", D12+I12)</f>
        <v/>
      </c>
      <c r="L12" s="29">
        <f>IF($A12="", "", SUM(D13:$D$82))</f>
        <v/>
      </c>
      <c r="M12" s="29">
        <f>IF($A12="", "", G12+L12)</f>
        <v/>
      </c>
      <c r="N12" s="29">
        <f>IF($A12="", "", M12+J12)</f>
        <v/>
      </c>
    </row>
    <row r="13">
      <c r="A13" s="20">
        <f>IF(ROW()-10&lt;=$G$6, ROW()-10, "")</f>
        <v/>
      </c>
      <c r="B13" s="23">
        <f>IF($A13="", "", G12)</f>
        <v/>
      </c>
      <c r="C13" s="25">
        <f>IF($A13="", "", $C$8)</f>
        <v/>
      </c>
      <c r="D13" s="23">
        <f>IF($A13="", "", ROUND(B13*C13, 2))</f>
        <v/>
      </c>
      <c r="E13" s="23">
        <f>IF($A13="", "", $E$7)</f>
        <v/>
      </c>
      <c r="F13" s="23">
        <f>IF($A13="", "", E13-D13)</f>
        <v/>
      </c>
      <c r="G13" s="23">
        <f>IF($A13="", "", B13-F13)</f>
        <v/>
      </c>
      <c r="H13" s="23">
        <f>IF($A13="", "", J12)</f>
        <v/>
      </c>
      <c r="I13" s="23">
        <f>IF($A13="", "", ROUND(H13*C13, 2))</f>
        <v/>
      </c>
      <c r="J13" s="23">
        <f>IF($A13="", "", H13+I13)</f>
        <v/>
      </c>
      <c r="K13" s="23">
        <f>IF($A13="", "", D13+I13)</f>
        <v/>
      </c>
      <c r="L13" s="23">
        <f>IF($A13="", "", SUM(D14:$D$82))</f>
        <v/>
      </c>
      <c r="M13" s="23">
        <f>IF($A13="", "", G13+L13)</f>
        <v/>
      </c>
      <c r="N13" s="23">
        <f>IF($A13="", "", M13+J13)</f>
        <v/>
      </c>
    </row>
    <row r="14">
      <c r="A14" s="26">
        <f>IF(ROW()-10&lt;=$G$6, ROW()-10, "")</f>
        <v/>
      </c>
      <c r="B14" s="29">
        <f>IF($A14="", "", G13)</f>
        <v/>
      </c>
      <c r="C14" s="31">
        <f>IF($A14="", "", $C$8)</f>
        <v/>
      </c>
      <c r="D14" s="29">
        <f>IF($A14="", "", ROUND(B14*C14, 2))</f>
        <v/>
      </c>
      <c r="E14" s="29">
        <f>IF($A14="", "", $E$7)</f>
        <v/>
      </c>
      <c r="F14" s="29">
        <f>IF($A14="", "", E14-D14)</f>
        <v/>
      </c>
      <c r="G14" s="29">
        <f>IF($A14="", "", B14-F14)</f>
        <v/>
      </c>
      <c r="H14" s="29">
        <f>IF($A14="", "", J13)</f>
        <v/>
      </c>
      <c r="I14" s="29">
        <f>IF($A14="", "", ROUND(H14*C14, 2))</f>
        <v/>
      </c>
      <c r="J14" s="29">
        <f>IF($A14="", "", H14+I14)</f>
        <v/>
      </c>
      <c r="K14" s="29">
        <f>IF($A14="", "", D14+I14)</f>
        <v/>
      </c>
      <c r="L14" s="29">
        <f>IF($A14="", "", SUM(D15:$D$82))</f>
        <v/>
      </c>
      <c r="M14" s="29">
        <f>IF($A14="", "", G14+L14)</f>
        <v/>
      </c>
      <c r="N14" s="29">
        <f>IF($A14="", "", M14+J14)</f>
        <v/>
      </c>
    </row>
    <row r="15">
      <c r="A15" s="20">
        <f>IF(ROW()-10&lt;=$G$6, ROW()-10, "")</f>
        <v/>
      </c>
      <c r="B15" s="23">
        <f>IF($A15="", "", G14)</f>
        <v/>
      </c>
      <c r="C15" s="25">
        <f>IF($A15="", "", $C$8)</f>
        <v/>
      </c>
      <c r="D15" s="23">
        <f>IF($A15="", "", ROUND(B15*C15, 2))</f>
        <v/>
      </c>
      <c r="E15" s="23">
        <f>IF($A15="", "", $E$7)</f>
        <v/>
      </c>
      <c r="F15" s="23">
        <f>IF($A15="", "", E15-D15)</f>
        <v/>
      </c>
      <c r="G15" s="23">
        <f>IF($A15="", "", B15-F15)</f>
        <v/>
      </c>
      <c r="H15" s="23">
        <f>IF($A15="", "", J14)</f>
        <v/>
      </c>
      <c r="I15" s="23">
        <f>IF($A15="", "", ROUND(H15*C15, 2))</f>
        <v/>
      </c>
      <c r="J15" s="23">
        <f>IF($A15="", "", H15+I15)</f>
        <v/>
      </c>
      <c r="K15" s="23">
        <f>IF($A15="", "", D15+I15)</f>
        <v/>
      </c>
      <c r="L15" s="23">
        <f>IF($A15="", "", SUM(D16:$D$82))</f>
        <v/>
      </c>
      <c r="M15" s="23">
        <f>IF($A15="", "", G15+L15)</f>
        <v/>
      </c>
      <c r="N15" s="23">
        <f>IF($A15="", "", M15+J15)</f>
        <v/>
      </c>
    </row>
    <row r="16">
      <c r="A16" s="26">
        <f>IF(ROW()-10&lt;=$G$6, ROW()-10, "")</f>
        <v/>
      </c>
      <c r="B16" s="29">
        <f>IF($A16="", "", G15)</f>
        <v/>
      </c>
      <c r="C16" s="31">
        <f>IF($A16="", "", $C$8)</f>
        <v/>
      </c>
      <c r="D16" s="29">
        <f>IF($A16="", "", ROUND(B16*C16, 2))</f>
        <v/>
      </c>
      <c r="E16" s="29">
        <f>IF($A16="", "", $E$7)</f>
        <v/>
      </c>
      <c r="F16" s="29">
        <f>IF($A16="", "", E16-D16)</f>
        <v/>
      </c>
      <c r="G16" s="29">
        <f>IF($A16="", "", B16-F16)</f>
        <v/>
      </c>
      <c r="H16" s="29">
        <f>IF($A16="", "", J15)</f>
        <v/>
      </c>
      <c r="I16" s="29">
        <f>IF($A16="", "", ROUND(H16*C16, 2))</f>
        <v/>
      </c>
      <c r="J16" s="29">
        <f>IF($A16="", "", H16+I16)</f>
        <v/>
      </c>
      <c r="K16" s="29">
        <f>IF($A16="", "", D16+I16)</f>
        <v/>
      </c>
      <c r="L16" s="29">
        <f>IF($A16="", "", SUM(D17:$D$82))</f>
        <v/>
      </c>
      <c r="M16" s="29">
        <f>IF($A16="", "", G16+L16)</f>
        <v/>
      </c>
      <c r="N16" s="29">
        <f>IF($A16="", "", M16+J16)</f>
        <v/>
      </c>
    </row>
    <row r="17">
      <c r="A17" s="20">
        <f>IF(ROW()-10&lt;=$G$6, ROW()-10, "")</f>
        <v/>
      </c>
      <c r="B17" s="23">
        <f>IF($A17="", "", G16)</f>
        <v/>
      </c>
      <c r="C17" s="25">
        <f>IF($A17="", "", $C$8)</f>
        <v/>
      </c>
      <c r="D17" s="23">
        <f>IF($A17="", "", ROUND(B17*C17, 2))</f>
        <v/>
      </c>
      <c r="E17" s="23">
        <f>IF($A17="", "", $E$7)</f>
        <v/>
      </c>
      <c r="F17" s="23">
        <f>IF($A17="", "", E17-D17)</f>
        <v/>
      </c>
      <c r="G17" s="23">
        <f>IF($A17="", "", B17-F17)</f>
        <v/>
      </c>
      <c r="H17" s="23">
        <f>IF($A17="", "", J16)</f>
        <v/>
      </c>
      <c r="I17" s="23">
        <f>IF($A17="", "", ROUND(H17*C17, 2))</f>
        <v/>
      </c>
      <c r="J17" s="23">
        <f>IF($A17="", "", H17+I17)</f>
        <v/>
      </c>
      <c r="K17" s="23">
        <f>IF($A17="", "", D17+I17)</f>
        <v/>
      </c>
      <c r="L17" s="23">
        <f>IF($A17="", "", SUM(D18:$D$82))</f>
        <v/>
      </c>
      <c r="M17" s="23">
        <f>IF($A17="", "", G17+L17)</f>
        <v/>
      </c>
      <c r="N17" s="23">
        <f>IF($A17="", "", M17+J17)</f>
        <v/>
      </c>
    </row>
    <row r="18">
      <c r="A18" s="26">
        <f>IF(ROW()-10&lt;=$G$6, ROW()-10, "")</f>
        <v/>
      </c>
      <c r="B18" s="29">
        <f>IF($A18="", "", G17)</f>
        <v/>
      </c>
      <c r="C18" s="31">
        <f>IF($A18="", "", $C$8)</f>
        <v/>
      </c>
      <c r="D18" s="29">
        <f>IF($A18="", "", ROUND(B18*C18, 2))</f>
        <v/>
      </c>
      <c r="E18" s="29">
        <f>IF($A18="", "", $E$7)</f>
        <v/>
      </c>
      <c r="F18" s="29">
        <f>IF($A18="", "", E18-D18)</f>
        <v/>
      </c>
      <c r="G18" s="29">
        <f>IF($A18="", "", B18-F18)</f>
        <v/>
      </c>
      <c r="H18" s="29">
        <f>IF($A18="", "", J17)</f>
        <v/>
      </c>
      <c r="I18" s="29">
        <f>IF($A18="", "", ROUND(H18*C18, 2))</f>
        <v/>
      </c>
      <c r="J18" s="29">
        <f>IF($A18="", "", H18+I18)</f>
        <v/>
      </c>
      <c r="K18" s="29">
        <f>IF($A18="", "", D18+I18)</f>
        <v/>
      </c>
      <c r="L18" s="29">
        <f>IF($A18="", "", SUM(D19:$D$82))</f>
        <v/>
      </c>
      <c r="M18" s="29">
        <f>IF($A18="", "", G18+L18)</f>
        <v/>
      </c>
      <c r="N18" s="29">
        <f>IF($A18="", "", M18+J18)</f>
        <v/>
      </c>
    </row>
    <row r="19">
      <c r="A19" s="20">
        <f>IF(ROW()-10&lt;=$G$6, ROW()-10, "")</f>
        <v/>
      </c>
      <c r="B19" s="23">
        <f>IF($A19="", "", G18)</f>
        <v/>
      </c>
      <c r="C19" s="25">
        <f>IF($A19="", "", $C$8)</f>
        <v/>
      </c>
      <c r="D19" s="23">
        <f>IF($A19="", "", ROUND(B19*C19, 2))</f>
        <v/>
      </c>
      <c r="E19" s="23">
        <f>IF($A19="", "", $E$7)</f>
        <v/>
      </c>
      <c r="F19" s="23">
        <f>IF($A19="", "", E19-D19)</f>
        <v/>
      </c>
      <c r="G19" s="23">
        <f>IF($A19="", "", B19-F19)</f>
        <v/>
      </c>
      <c r="H19" s="23">
        <f>IF($A19="", "", J18)</f>
        <v/>
      </c>
      <c r="I19" s="23">
        <f>IF($A19="", "", ROUND(H19*C19, 2))</f>
        <v/>
      </c>
      <c r="J19" s="23">
        <f>IF($A19="", "", H19+I19)</f>
        <v/>
      </c>
      <c r="K19" s="23">
        <f>IF($A19="", "", D19+I19)</f>
        <v/>
      </c>
      <c r="L19" s="23">
        <f>IF($A19="", "", SUM(D20:$D$82))</f>
        <v/>
      </c>
      <c r="M19" s="23">
        <f>IF($A19="", "", G19+L19)</f>
        <v/>
      </c>
      <c r="N19" s="23">
        <f>IF($A19="", "", M19+J19)</f>
        <v/>
      </c>
    </row>
    <row r="20">
      <c r="A20" s="26">
        <f>IF(ROW()-10&lt;=$G$6, ROW()-10, "")</f>
        <v/>
      </c>
      <c r="B20" s="29">
        <f>IF($A20="", "", G19)</f>
        <v/>
      </c>
      <c r="C20" s="31">
        <f>IF($A20="", "", $C$8)</f>
        <v/>
      </c>
      <c r="D20" s="29">
        <f>IF($A20="", "", ROUND(B20*C20, 2))</f>
        <v/>
      </c>
      <c r="E20" s="29">
        <f>IF($A20="", "", $E$7)</f>
        <v/>
      </c>
      <c r="F20" s="29">
        <f>IF($A20="", "", E20-D20)</f>
        <v/>
      </c>
      <c r="G20" s="29">
        <f>IF($A20="", "", B20-F20)</f>
        <v/>
      </c>
      <c r="H20" s="29">
        <f>IF($A20="", "", J19)</f>
        <v/>
      </c>
      <c r="I20" s="29">
        <f>IF($A20="", "", ROUND(H20*C20, 2))</f>
        <v/>
      </c>
      <c r="J20" s="29">
        <f>IF($A20="", "", H20+I20)</f>
        <v/>
      </c>
      <c r="K20" s="29">
        <f>IF($A20="", "", D20+I20)</f>
        <v/>
      </c>
      <c r="L20" s="29">
        <f>IF($A20="", "", SUM(D21:$D$82))</f>
        <v/>
      </c>
      <c r="M20" s="29">
        <f>IF($A20="", "", G20+L20)</f>
        <v/>
      </c>
      <c r="N20" s="29">
        <f>IF($A20="", "", M20+J20)</f>
        <v/>
      </c>
    </row>
    <row r="21">
      <c r="A21" s="20">
        <f>IF(ROW()-10&lt;=$G$6, ROW()-10, "")</f>
        <v/>
      </c>
      <c r="B21" s="23">
        <f>IF($A21="", "", G20)</f>
        <v/>
      </c>
      <c r="C21" s="25">
        <f>IF($A21="", "", $C$8)</f>
        <v/>
      </c>
      <c r="D21" s="23">
        <f>IF($A21="", "", ROUND(B21*C21, 2))</f>
        <v/>
      </c>
      <c r="E21" s="23">
        <f>IF($A21="", "", $E$7)</f>
        <v/>
      </c>
      <c r="F21" s="23">
        <f>IF($A21="", "", E21-D21)</f>
        <v/>
      </c>
      <c r="G21" s="23">
        <f>IF($A21="", "", B21-F21)</f>
        <v/>
      </c>
      <c r="H21" s="23">
        <f>IF($A21="", "", J20)</f>
        <v/>
      </c>
      <c r="I21" s="23">
        <f>IF($A21="", "", ROUND(H21*C21, 2))</f>
        <v/>
      </c>
      <c r="J21" s="23">
        <f>IF($A21="", "", H21+I21)</f>
        <v/>
      </c>
      <c r="K21" s="23">
        <f>IF($A21="", "", D21+I21)</f>
        <v/>
      </c>
      <c r="L21" s="23">
        <f>IF($A21="", "", SUM(D22:$D$82))</f>
        <v/>
      </c>
      <c r="M21" s="23">
        <f>IF($A21="", "", G21+L21)</f>
        <v/>
      </c>
      <c r="N21" s="23">
        <f>IF($A21="", "", M21+J21)</f>
        <v/>
      </c>
    </row>
    <row r="22">
      <c r="A22" s="26">
        <f>IF(ROW()-10&lt;=$G$6, ROW()-10, "")</f>
        <v/>
      </c>
      <c r="B22" s="29">
        <f>IF($A22="", "", G21)</f>
        <v/>
      </c>
      <c r="C22" s="31">
        <f>IF($A22="", "", $C$8)</f>
        <v/>
      </c>
      <c r="D22" s="29">
        <f>IF($A22="", "", ROUND(B22*C22, 2))</f>
        <v/>
      </c>
      <c r="E22" s="29">
        <f>IF($A22="", "", $E$7)</f>
        <v/>
      </c>
      <c r="F22" s="29">
        <f>IF($A22="", "", E22-D22)</f>
        <v/>
      </c>
      <c r="G22" s="29">
        <f>IF($A22="", "", B22-F22)</f>
        <v/>
      </c>
      <c r="H22" s="29">
        <f>IF($A22="", "", J21)</f>
        <v/>
      </c>
      <c r="I22" s="29">
        <f>IF($A22="", "", ROUND(H22*C22, 2))</f>
        <v/>
      </c>
      <c r="J22" s="29">
        <f>IF($A22="", "", H22+I22)</f>
        <v/>
      </c>
      <c r="K22" s="29">
        <f>IF($A22="", "", D22+I22)</f>
        <v/>
      </c>
      <c r="L22" s="29">
        <f>IF($A22="", "", SUM(D23:$D$82))</f>
        <v/>
      </c>
      <c r="M22" s="29">
        <f>IF($A22="", "", G22+L22)</f>
        <v/>
      </c>
      <c r="N22" s="29">
        <f>IF($A22="", "", M22+J22)</f>
        <v/>
      </c>
    </row>
    <row r="23">
      <c r="A23" s="20">
        <f>IF(ROW()-10&lt;=$G$6, ROW()-10, "")</f>
        <v/>
      </c>
      <c r="B23" s="23">
        <f>IF($A23="", "", G22)</f>
        <v/>
      </c>
      <c r="C23" s="25">
        <f>IF($A23="", "", $C$8)</f>
        <v/>
      </c>
      <c r="D23" s="23">
        <f>IF($A23="", "", ROUND(B23*C23, 2))</f>
        <v/>
      </c>
      <c r="E23" s="23">
        <f>IF($A23="", "", $E$7)</f>
        <v/>
      </c>
      <c r="F23" s="23">
        <f>IF($A23="", "", E23-D23)</f>
        <v/>
      </c>
      <c r="G23" s="23">
        <f>IF($A23="", "", B23-F23)</f>
        <v/>
      </c>
      <c r="H23" s="23">
        <f>IF($A23="", "", J22)</f>
        <v/>
      </c>
      <c r="I23" s="23">
        <f>IF($A23="", "", ROUND(H23*C23, 2))</f>
        <v/>
      </c>
      <c r="J23" s="23">
        <f>IF($A23="", "", H23+I23)</f>
        <v/>
      </c>
      <c r="K23" s="23">
        <f>IF($A23="", "", D23+I23)</f>
        <v/>
      </c>
      <c r="L23" s="23">
        <f>IF($A23="", "", SUM(D24:$D$82))</f>
        <v/>
      </c>
      <c r="M23" s="23">
        <f>IF($A23="", "", G23+L23)</f>
        <v/>
      </c>
      <c r="N23" s="23">
        <f>IF($A23="", "", M23+J23)</f>
        <v/>
      </c>
    </row>
    <row r="24">
      <c r="A24" s="26">
        <f>IF(ROW()-10&lt;=$G$6, ROW()-10, "")</f>
        <v/>
      </c>
      <c r="B24" s="29">
        <f>IF($A24="", "", G23)</f>
        <v/>
      </c>
      <c r="C24" s="31">
        <f>IF($A24="", "", $C$8)</f>
        <v/>
      </c>
      <c r="D24" s="29">
        <f>IF($A24="", "", ROUND(B24*C24, 2))</f>
        <v/>
      </c>
      <c r="E24" s="29">
        <f>IF($A24="", "", $E$7)</f>
        <v/>
      </c>
      <c r="F24" s="29">
        <f>IF($A24="", "", E24-D24)</f>
        <v/>
      </c>
      <c r="G24" s="29">
        <f>IF($A24="", "", B24-F24)</f>
        <v/>
      </c>
      <c r="H24" s="29">
        <f>IF($A24="", "", J23)</f>
        <v/>
      </c>
      <c r="I24" s="29">
        <f>IF($A24="", "", ROUND(H24*C24, 2))</f>
        <v/>
      </c>
      <c r="J24" s="29">
        <f>IF($A24="", "", H24+I24)</f>
        <v/>
      </c>
      <c r="K24" s="29">
        <f>IF($A24="", "", D24+I24)</f>
        <v/>
      </c>
      <c r="L24" s="29">
        <f>IF($A24="", "", SUM(D25:$D$82))</f>
        <v/>
      </c>
      <c r="M24" s="29">
        <f>IF($A24="", "", G24+L24)</f>
        <v/>
      </c>
      <c r="N24" s="29">
        <f>IF($A24="", "", M24+J24)</f>
        <v/>
      </c>
    </row>
    <row r="25">
      <c r="A25" s="20">
        <f>IF(ROW()-10&lt;=$G$6, ROW()-10, "")</f>
        <v/>
      </c>
      <c r="B25" s="23">
        <f>IF($A25="", "", G24)</f>
        <v/>
      </c>
      <c r="C25" s="25">
        <f>IF($A25="", "", $C$8)</f>
        <v/>
      </c>
      <c r="D25" s="23">
        <f>IF($A25="", "", ROUND(B25*C25, 2))</f>
        <v/>
      </c>
      <c r="E25" s="23">
        <f>IF($A25="", "", $E$7)</f>
        <v/>
      </c>
      <c r="F25" s="23">
        <f>IF($A25="", "", E25-D25)</f>
        <v/>
      </c>
      <c r="G25" s="23">
        <f>IF($A25="", "", B25-F25)</f>
        <v/>
      </c>
      <c r="H25" s="23">
        <f>IF($A25="", "", J24)</f>
        <v/>
      </c>
      <c r="I25" s="23">
        <f>IF($A25="", "", ROUND(H25*C25, 2))</f>
        <v/>
      </c>
      <c r="J25" s="23">
        <f>IF($A25="", "", H25+I25)</f>
        <v/>
      </c>
      <c r="K25" s="23">
        <f>IF($A25="", "", D25+I25)</f>
        <v/>
      </c>
      <c r="L25" s="23">
        <f>IF($A25="", "", SUM(D26:$D$82))</f>
        <v/>
      </c>
      <c r="M25" s="23">
        <f>IF($A25="", "", G25+L25)</f>
        <v/>
      </c>
      <c r="N25" s="23">
        <f>IF($A25="", "", M25+J25)</f>
        <v/>
      </c>
    </row>
    <row r="26">
      <c r="A26" s="26">
        <f>IF(ROW()-10&lt;=$G$6, ROW()-10, "")</f>
        <v/>
      </c>
      <c r="B26" s="29">
        <f>IF($A26="", "", G25)</f>
        <v/>
      </c>
      <c r="C26" s="31">
        <f>IF($A26="", "", $C$8)</f>
        <v/>
      </c>
      <c r="D26" s="29">
        <f>IF($A26="", "", ROUND(B26*C26, 2))</f>
        <v/>
      </c>
      <c r="E26" s="29">
        <f>IF($A26="", "", $E$7)</f>
        <v/>
      </c>
      <c r="F26" s="29">
        <f>IF($A26="", "", E26-D26)</f>
        <v/>
      </c>
      <c r="G26" s="29">
        <f>IF($A26="", "", B26-F26)</f>
        <v/>
      </c>
      <c r="H26" s="29">
        <f>IF($A26="", "", J25)</f>
        <v/>
      </c>
      <c r="I26" s="29">
        <f>IF($A26="", "", ROUND(H26*C26, 2))</f>
        <v/>
      </c>
      <c r="J26" s="29">
        <f>IF($A26="", "", H26+I26)</f>
        <v/>
      </c>
      <c r="K26" s="29">
        <f>IF($A26="", "", D26+I26)</f>
        <v/>
      </c>
      <c r="L26" s="29">
        <f>IF($A26="", "", SUM(D27:$D$82))</f>
        <v/>
      </c>
      <c r="M26" s="29">
        <f>IF($A26="", "", G26+L26)</f>
        <v/>
      </c>
      <c r="N26" s="29">
        <f>IF($A26="", "", M26+J26)</f>
        <v/>
      </c>
    </row>
    <row r="27">
      <c r="A27" s="20">
        <f>IF(ROW()-10&lt;=$G$6, ROW()-10, "")</f>
        <v/>
      </c>
      <c r="B27" s="23">
        <f>IF($A27="", "", G26)</f>
        <v/>
      </c>
      <c r="C27" s="25">
        <f>IF($A27="", "", $C$8)</f>
        <v/>
      </c>
      <c r="D27" s="23">
        <f>IF($A27="", "", ROUND(B27*C27, 2))</f>
        <v/>
      </c>
      <c r="E27" s="23">
        <f>IF($A27="", "", $E$7)</f>
        <v/>
      </c>
      <c r="F27" s="23">
        <f>IF($A27="", "", E27-D27)</f>
        <v/>
      </c>
      <c r="G27" s="23">
        <f>IF($A27="", "", B27-F27)</f>
        <v/>
      </c>
      <c r="H27" s="23">
        <f>IF($A27="", "", J26)</f>
        <v/>
      </c>
      <c r="I27" s="23">
        <f>IF($A27="", "", ROUND(H27*C27, 2))</f>
        <v/>
      </c>
      <c r="J27" s="23">
        <f>IF($A27="", "", H27+I27)</f>
        <v/>
      </c>
      <c r="K27" s="23">
        <f>IF($A27="", "", D27+I27)</f>
        <v/>
      </c>
      <c r="L27" s="23">
        <f>IF($A27="", "", SUM(D28:$D$82))</f>
        <v/>
      </c>
      <c r="M27" s="23">
        <f>IF($A27="", "", G27+L27)</f>
        <v/>
      </c>
      <c r="N27" s="23">
        <f>IF($A27="", "", M27+J27)</f>
        <v/>
      </c>
    </row>
    <row r="28">
      <c r="A28" s="26">
        <f>IF(ROW()-10&lt;=$G$6, ROW()-10, "")</f>
        <v/>
      </c>
      <c r="B28" s="29">
        <f>IF($A28="", "", G27)</f>
        <v/>
      </c>
      <c r="C28" s="31">
        <f>IF($A28="", "", $C$8)</f>
        <v/>
      </c>
      <c r="D28" s="29">
        <f>IF($A28="", "", ROUND(B28*C28, 2))</f>
        <v/>
      </c>
      <c r="E28" s="29">
        <f>IF($A28="", "", $E$7)</f>
        <v/>
      </c>
      <c r="F28" s="29">
        <f>IF($A28="", "", E28-D28)</f>
        <v/>
      </c>
      <c r="G28" s="29">
        <f>IF($A28="", "", B28-F28)</f>
        <v/>
      </c>
      <c r="H28" s="29">
        <f>IF($A28="", "", J27)</f>
        <v/>
      </c>
      <c r="I28" s="29">
        <f>IF($A28="", "", ROUND(H28*C28, 2))</f>
        <v/>
      </c>
      <c r="J28" s="29">
        <f>IF($A28="", "", H28+I28)</f>
        <v/>
      </c>
      <c r="K28" s="29">
        <f>IF($A28="", "", D28+I28)</f>
        <v/>
      </c>
      <c r="L28" s="29">
        <f>IF($A28="", "", SUM(D29:$D$82))</f>
        <v/>
      </c>
      <c r="M28" s="29">
        <f>IF($A28="", "", G28+L28)</f>
        <v/>
      </c>
      <c r="N28" s="29">
        <f>IF($A28="", "", M28+J28)</f>
        <v/>
      </c>
    </row>
    <row r="29">
      <c r="A29" s="20">
        <f>IF(ROW()-10&lt;=$G$6, ROW()-10, "")</f>
        <v/>
      </c>
      <c r="B29" s="23">
        <f>IF($A29="", "", G28)</f>
        <v/>
      </c>
      <c r="C29" s="25">
        <f>IF($A29="", "", $C$8)</f>
        <v/>
      </c>
      <c r="D29" s="23">
        <f>IF($A29="", "", ROUND(B29*C29, 2))</f>
        <v/>
      </c>
      <c r="E29" s="23">
        <f>IF($A29="", "", $E$7)</f>
        <v/>
      </c>
      <c r="F29" s="23">
        <f>IF($A29="", "", E29-D29)</f>
        <v/>
      </c>
      <c r="G29" s="23">
        <f>IF($A29="", "", B29-F29)</f>
        <v/>
      </c>
      <c r="H29" s="23">
        <f>IF($A29="", "", J28)</f>
        <v/>
      </c>
      <c r="I29" s="23">
        <f>IF($A29="", "", ROUND(H29*C29, 2))</f>
        <v/>
      </c>
      <c r="J29" s="23">
        <f>IF($A29="", "", H29+I29)</f>
        <v/>
      </c>
      <c r="K29" s="23">
        <f>IF($A29="", "", D29+I29)</f>
        <v/>
      </c>
      <c r="L29" s="23">
        <f>IF($A29="", "", SUM(D30:$D$82))</f>
        <v/>
      </c>
      <c r="M29" s="23">
        <f>IF($A29="", "", G29+L29)</f>
        <v/>
      </c>
      <c r="N29" s="23">
        <f>IF($A29="", "", M29+J29)</f>
        <v/>
      </c>
    </row>
    <row r="30">
      <c r="A30" s="26">
        <f>IF(ROW()-10&lt;=$G$6, ROW()-10, "")</f>
        <v/>
      </c>
      <c r="B30" s="29">
        <f>IF($A30="", "", G29)</f>
        <v/>
      </c>
      <c r="C30" s="31">
        <f>IF($A30="", "", $C$8)</f>
        <v/>
      </c>
      <c r="D30" s="29">
        <f>IF($A30="", "", ROUND(B30*C30, 2))</f>
        <v/>
      </c>
      <c r="E30" s="29">
        <f>IF($A30="", "", $E$7)</f>
        <v/>
      </c>
      <c r="F30" s="29">
        <f>IF($A30="", "", E30-D30)</f>
        <v/>
      </c>
      <c r="G30" s="29">
        <f>IF($A30="", "", B30-F30)</f>
        <v/>
      </c>
      <c r="H30" s="29">
        <f>IF($A30="", "", J29)</f>
        <v/>
      </c>
      <c r="I30" s="29">
        <f>IF($A30="", "", ROUND(H30*C30, 2))</f>
        <v/>
      </c>
      <c r="J30" s="29">
        <f>IF($A30="", "", H30+I30)</f>
        <v/>
      </c>
      <c r="K30" s="29">
        <f>IF($A30="", "", D30+I30)</f>
        <v/>
      </c>
      <c r="L30" s="29">
        <f>IF($A30="", "", SUM(D31:$D$82))</f>
        <v/>
      </c>
      <c r="M30" s="29">
        <f>IF($A30="", "", G30+L30)</f>
        <v/>
      </c>
      <c r="N30" s="29">
        <f>IF($A30="", "", M30+J30)</f>
        <v/>
      </c>
    </row>
    <row r="31">
      <c r="A31" s="20">
        <f>IF(ROW()-10&lt;=$G$6, ROW()-10, "")</f>
        <v/>
      </c>
      <c r="B31" s="23">
        <f>IF($A31="", "", G30)</f>
        <v/>
      </c>
      <c r="C31" s="25">
        <f>IF($A31="", "", $C$8)</f>
        <v/>
      </c>
      <c r="D31" s="23">
        <f>IF($A31="", "", ROUND(B31*C31, 2))</f>
        <v/>
      </c>
      <c r="E31" s="23">
        <f>IF($A31="", "", $E$7)</f>
        <v/>
      </c>
      <c r="F31" s="23">
        <f>IF($A31="", "", E31-D31)</f>
        <v/>
      </c>
      <c r="G31" s="23">
        <f>IF($A31="", "", B31-F31)</f>
        <v/>
      </c>
      <c r="H31" s="23">
        <f>IF($A31="", "", J30)</f>
        <v/>
      </c>
      <c r="I31" s="23">
        <f>IF($A31="", "", ROUND(H31*C31, 2))</f>
        <v/>
      </c>
      <c r="J31" s="23">
        <f>IF($A31="", "", H31+I31)</f>
        <v/>
      </c>
      <c r="K31" s="23">
        <f>IF($A31="", "", D31+I31)</f>
        <v/>
      </c>
      <c r="L31" s="23">
        <f>IF($A31="", "", SUM(D32:$D$82))</f>
        <v/>
      </c>
      <c r="M31" s="23">
        <f>IF($A31="", "", G31+L31)</f>
        <v/>
      </c>
      <c r="N31" s="23">
        <f>IF($A31="", "", M31+J31)</f>
        <v/>
      </c>
    </row>
    <row r="32">
      <c r="A32" s="26">
        <f>IF(ROW()-10&lt;=$G$6, ROW()-10, "")</f>
        <v/>
      </c>
      <c r="B32" s="29">
        <f>IF($A32="", "", G31)</f>
        <v/>
      </c>
      <c r="C32" s="31">
        <f>IF($A32="", "", $C$8)</f>
        <v/>
      </c>
      <c r="D32" s="29">
        <f>IF($A32="", "", ROUND(B32*C32, 2))</f>
        <v/>
      </c>
      <c r="E32" s="29">
        <f>IF($A32="", "", $E$7)</f>
        <v/>
      </c>
      <c r="F32" s="29">
        <f>IF($A32="", "", E32-D32)</f>
        <v/>
      </c>
      <c r="G32" s="29">
        <f>IF($A32="", "", B32-F32)</f>
        <v/>
      </c>
      <c r="H32" s="29">
        <f>IF($A32="", "", J31)</f>
        <v/>
      </c>
      <c r="I32" s="29">
        <f>IF($A32="", "", ROUND(H32*C32, 2))</f>
        <v/>
      </c>
      <c r="J32" s="29">
        <f>IF($A32="", "", H32+I32)</f>
        <v/>
      </c>
      <c r="K32" s="29">
        <f>IF($A32="", "", D32+I32)</f>
        <v/>
      </c>
      <c r="L32" s="29">
        <f>IF($A32="", "", SUM(D33:$D$82))</f>
        <v/>
      </c>
      <c r="M32" s="29">
        <f>IF($A32="", "", G32+L32)</f>
        <v/>
      </c>
      <c r="N32" s="29">
        <f>IF($A32="", "", M32+J32)</f>
        <v/>
      </c>
    </row>
    <row r="33">
      <c r="A33" s="20">
        <f>IF(ROW()-10&lt;=$G$6, ROW()-10, "")</f>
        <v/>
      </c>
      <c r="B33" s="23">
        <f>IF($A33="", "", G32)</f>
        <v/>
      </c>
      <c r="C33" s="25">
        <f>IF($A33="", "", $C$8)</f>
        <v/>
      </c>
      <c r="D33" s="23">
        <f>IF($A33="", "", ROUND(B33*C33, 2))</f>
        <v/>
      </c>
      <c r="E33" s="23">
        <f>IF($A33="", "", $E$7)</f>
        <v/>
      </c>
      <c r="F33" s="23">
        <f>IF($A33="", "", E33-D33)</f>
        <v/>
      </c>
      <c r="G33" s="23">
        <f>IF($A33="", "", B33-F33)</f>
        <v/>
      </c>
      <c r="H33" s="23">
        <f>IF($A33="", "", J32)</f>
        <v/>
      </c>
      <c r="I33" s="23">
        <f>IF($A33="", "", ROUND(H33*C33, 2))</f>
        <v/>
      </c>
      <c r="J33" s="23">
        <f>IF($A33="", "", H33+I33)</f>
        <v/>
      </c>
      <c r="K33" s="23">
        <f>IF($A33="", "", D33+I33)</f>
        <v/>
      </c>
      <c r="L33" s="23">
        <f>IF($A33="", "", SUM(D34:$D$82))</f>
        <v/>
      </c>
      <c r="M33" s="23">
        <f>IF($A33="", "", G33+L33)</f>
        <v/>
      </c>
      <c r="N33" s="23">
        <f>IF($A33="", "", M33+J33)</f>
        <v/>
      </c>
    </row>
    <row r="34">
      <c r="A34" s="26">
        <f>IF(ROW()-10&lt;=$G$6, ROW()-10, "")</f>
        <v/>
      </c>
      <c r="B34" s="29">
        <f>IF($A34="", "", G33)</f>
        <v/>
      </c>
      <c r="C34" s="31">
        <f>IF($A34="", "", $C$8)</f>
        <v/>
      </c>
      <c r="D34" s="29">
        <f>IF($A34="", "", ROUND(B34*C34, 2))</f>
        <v/>
      </c>
      <c r="E34" s="29">
        <f>IF($A34="", "", $E$7)</f>
        <v/>
      </c>
      <c r="F34" s="29">
        <f>IF($A34="", "", E34-D34)</f>
        <v/>
      </c>
      <c r="G34" s="29">
        <f>IF($A34="", "", B34-F34)</f>
        <v/>
      </c>
      <c r="H34" s="29">
        <f>IF($A34="", "", J33)</f>
        <v/>
      </c>
      <c r="I34" s="29">
        <f>IF($A34="", "", ROUND(H34*C34, 2))</f>
        <v/>
      </c>
      <c r="J34" s="29">
        <f>IF($A34="", "", H34+I34)</f>
        <v/>
      </c>
      <c r="K34" s="29">
        <f>IF($A34="", "", D34+I34)</f>
        <v/>
      </c>
      <c r="L34" s="29">
        <f>IF($A34="", "", SUM(D35:$D$82))</f>
        <v/>
      </c>
      <c r="M34" s="29">
        <f>IF($A34="", "", G34+L34)</f>
        <v/>
      </c>
      <c r="N34" s="29">
        <f>IF($A34="", "", M34+J34)</f>
        <v/>
      </c>
    </row>
    <row r="35">
      <c r="A35" s="20">
        <f>IF(ROW()-10&lt;=$G$6, ROW()-10, "")</f>
        <v/>
      </c>
      <c r="B35" s="23">
        <f>IF($A35="", "", G34)</f>
        <v/>
      </c>
      <c r="C35" s="25">
        <f>IF($A35="", "", $C$8)</f>
        <v/>
      </c>
      <c r="D35" s="23">
        <f>IF($A35="", "", ROUND(B35*C35, 2))</f>
        <v/>
      </c>
      <c r="E35" s="23">
        <f>IF($A35="", "", $E$7)</f>
        <v/>
      </c>
      <c r="F35" s="23">
        <f>IF($A35="", "", E35-D35)</f>
        <v/>
      </c>
      <c r="G35" s="23">
        <f>IF($A35="", "", B35-F35)</f>
        <v/>
      </c>
      <c r="H35" s="23">
        <f>IF($A35="", "", J34)</f>
        <v/>
      </c>
      <c r="I35" s="23">
        <f>IF($A35="", "", ROUND(H35*C35, 2))</f>
        <v/>
      </c>
      <c r="J35" s="23">
        <f>IF($A35="", "", H35+I35)</f>
        <v/>
      </c>
      <c r="K35" s="23">
        <f>IF($A35="", "", D35+I35)</f>
        <v/>
      </c>
      <c r="L35" s="23">
        <f>IF($A35="", "", SUM(D36:$D$82))</f>
        <v/>
      </c>
      <c r="M35" s="23">
        <f>IF($A35="", "", G35+L35)</f>
        <v/>
      </c>
      <c r="N35" s="23">
        <f>IF($A35="", "", M35+J35)</f>
        <v/>
      </c>
    </row>
    <row r="36">
      <c r="A36" s="26">
        <f>IF(ROW()-10&lt;=$G$6, ROW()-10, "")</f>
        <v/>
      </c>
      <c r="B36" s="29">
        <f>IF($A36="", "", G35)</f>
        <v/>
      </c>
      <c r="C36" s="31">
        <f>IF($A36="", "", $C$8)</f>
        <v/>
      </c>
      <c r="D36" s="29">
        <f>IF($A36="", "", ROUND(B36*C36, 2))</f>
        <v/>
      </c>
      <c r="E36" s="29">
        <f>IF($A36="", "", $E$7)</f>
        <v/>
      </c>
      <c r="F36" s="29">
        <f>IF($A36="", "", E36-D36)</f>
        <v/>
      </c>
      <c r="G36" s="29">
        <f>IF($A36="", "", B36-F36)</f>
        <v/>
      </c>
      <c r="H36" s="29">
        <f>IF($A36="", "", J35)</f>
        <v/>
      </c>
      <c r="I36" s="29">
        <f>IF($A36="", "", ROUND(H36*C36, 2))</f>
        <v/>
      </c>
      <c r="J36" s="29">
        <f>IF($A36="", "", H36+I36)</f>
        <v/>
      </c>
      <c r="K36" s="29">
        <f>IF($A36="", "", D36+I36)</f>
        <v/>
      </c>
      <c r="L36" s="29">
        <f>IF($A36="", "", SUM(D37:$D$82))</f>
        <v/>
      </c>
      <c r="M36" s="29">
        <f>IF($A36="", "", G36+L36)</f>
        <v/>
      </c>
      <c r="N36" s="29">
        <f>IF($A36="", "", M36+J36)</f>
        <v/>
      </c>
    </row>
    <row r="37">
      <c r="A37" s="20">
        <f>IF(ROW()-10&lt;=$G$6, ROW()-10, "")</f>
        <v/>
      </c>
      <c r="B37" s="23">
        <f>IF($A37="", "", G36)</f>
        <v/>
      </c>
      <c r="C37" s="25">
        <f>IF($A37="", "", $C$8)</f>
        <v/>
      </c>
      <c r="D37" s="23">
        <f>IF($A37="", "", ROUND(B37*C37, 2))</f>
        <v/>
      </c>
      <c r="E37" s="23">
        <f>IF($A37="", "", $E$7)</f>
        <v/>
      </c>
      <c r="F37" s="23">
        <f>IF($A37="", "", E37-D37)</f>
        <v/>
      </c>
      <c r="G37" s="23">
        <f>IF($A37="", "", B37-F37)</f>
        <v/>
      </c>
      <c r="H37" s="23">
        <f>IF($A37="", "", J36)</f>
        <v/>
      </c>
      <c r="I37" s="23">
        <f>IF($A37="", "", ROUND(H37*C37, 2))</f>
        <v/>
      </c>
      <c r="J37" s="23">
        <f>IF($A37="", "", H37+I37)</f>
        <v/>
      </c>
      <c r="K37" s="23">
        <f>IF($A37="", "", D37+I37)</f>
        <v/>
      </c>
      <c r="L37" s="23">
        <f>IF($A37="", "", SUM(D38:$D$82))</f>
        <v/>
      </c>
      <c r="M37" s="23">
        <f>IF($A37="", "", G37+L37)</f>
        <v/>
      </c>
      <c r="N37" s="23">
        <f>IF($A37="", "", M37+J37)</f>
        <v/>
      </c>
    </row>
    <row r="38">
      <c r="A38" s="26">
        <f>IF(ROW()-10&lt;=$G$6, ROW()-10, "")</f>
        <v/>
      </c>
      <c r="B38" s="29">
        <f>IF($A38="", "", G37)</f>
        <v/>
      </c>
      <c r="C38" s="31">
        <f>IF($A38="", "", $C$8)</f>
        <v/>
      </c>
      <c r="D38" s="29">
        <f>IF($A38="", "", ROUND(B38*C38, 2))</f>
        <v/>
      </c>
      <c r="E38" s="29">
        <f>IF($A38="", "", $E$7)</f>
        <v/>
      </c>
      <c r="F38" s="29">
        <f>IF($A38="", "", E38-D38)</f>
        <v/>
      </c>
      <c r="G38" s="29">
        <f>IF($A38="", "", B38-F38)</f>
        <v/>
      </c>
      <c r="H38" s="29">
        <f>IF($A38="", "", J37)</f>
        <v/>
      </c>
      <c r="I38" s="29">
        <f>IF($A38="", "", ROUND(H38*C38, 2))</f>
        <v/>
      </c>
      <c r="J38" s="29">
        <f>IF($A38="", "", H38+I38)</f>
        <v/>
      </c>
      <c r="K38" s="29">
        <f>IF($A38="", "", D38+I38)</f>
        <v/>
      </c>
      <c r="L38" s="29">
        <f>IF($A38="", "", SUM(D39:$D$82))</f>
        <v/>
      </c>
      <c r="M38" s="29">
        <f>IF($A38="", "", G38+L38)</f>
        <v/>
      </c>
      <c r="N38" s="29">
        <f>IF($A38="", "", M38+J38)</f>
        <v/>
      </c>
    </row>
    <row r="39">
      <c r="A39" s="20">
        <f>IF(ROW()-10&lt;=$G$6, ROW()-10, "")</f>
        <v/>
      </c>
      <c r="B39" s="23">
        <f>IF($A39="", "", G38)</f>
        <v/>
      </c>
      <c r="C39" s="25">
        <f>IF($A39="", "", $C$8)</f>
        <v/>
      </c>
      <c r="D39" s="23">
        <f>IF($A39="", "", ROUND(B39*C39, 2))</f>
        <v/>
      </c>
      <c r="E39" s="23">
        <f>IF($A39="", "", $E$7)</f>
        <v/>
      </c>
      <c r="F39" s="23">
        <f>IF($A39="", "", E39-D39)</f>
        <v/>
      </c>
      <c r="G39" s="23">
        <f>IF($A39="", "", B39-F39)</f>
        <v/>
      </c>
      <c r="H39" s="23">
        <f>IF($A39="", "", J38)</f>
        <v/>
      </c>
      <c r="I39" s="23">
        <f>IF($A39="", "", ROUND(H39*C39, 2))</f>
        <v/>
      </c>
      <c r="J39" s="23">
        <f>IF($A39="", "", H39+I39)</f>
        <v/>
      </c>
      <c r="K39" s="23">
        <f>IF($A39="", "", D39+I39)</f>
        <v/>
      </c>
      <c r="L39" s="23">
        <f>IF($A39="", "", SUM(D40:$D$82))</f>
        <v/>
      </c>
      <c r="M39" s="23">
        <f>IF($A39="", "", G39+L39)</f>
        <v/>
      </c>
      <c r="N39" s="23">
        <f>IF($A39="", "", M39+J39)</f>
        <v/>
      </c>
    </row>
    <row r="40">
      <c r="A40" s="26">
        <f>IF(ROW()-10&lt;=$G$6, ROW()-10, "")</f>
        <v/>
      </c>
      <c r="B40" s="29">
        <f>IF($A40="", "", G39)</f>
        <v/>
      </c>
      <c r="C40" s="31">
        <f>IF($A40="", "", $C$8)</f>
        <v/>
      </c>
      <c r="D40" s="29">
        <f>IF($A40="", "", ROUND(B40*C40, 2))</f>
        <v/>
      </c>
      <c r="E40" s="29">
        <f>IF($A40="", "", $E$7)</f>
        <v/>
      </c>
      <c r="F40" s="29">
        <f>IF($A40="", "", E40-D40)</f>
        <v/>
      </c>
      <c r="G40" s="29">
        <f>IF($A40="", "", B40-F40)</f>
        <v/>
      </c>
      <c r="H40" s="29">
        <f>IF($A40="", "", J39)</f>
        <v/>
      </c>
      <c r="I40" s="29">
        <f>IF($A40="", "", ROUND(H40*C40, 2))</f>
        <v/>
      </c>
      <c r="J40" s="29">
        <f>IF($A40="", "", H40+I40)</f>
        <v/>
      </c>
      <c r="K40" s="29">
        <f>IF($A40="", "", D40+I40)</f>
        <v/>
      </c>
      <c r="L40" s="29">
        <f>IF($A40="", "", SUM(D41:$D$82))</f>
        <v/>
      </c>
      <c r="M40" s="29">
        <f>IF($A40="", "", G40+L40)</f>
        <v/>
      </c>
      <c r="N40" s="29">
        <f>IF($A40="", "", M40+J40)</f>
        <v/>
      </c>
    </row>
    <row r="41">
      <c r="A41" s="20">
        <f>IF(ROW()-10&lt;=$G$6, ROW()-10, "")</f>
        <v/>
      </c>
      <c r="B41" s="23">
        <f>IF($A41="", "", G40)</f>
        <v/>
      </c>
      <c r="C41" s="25">
        <f>IF($A41="", "", $C$8)</f>
        <v/>
      </c>
      <c r="D41" s="23">
        <f>IF($A41="", "", ROUND(B41*C41, 2))</f>
        <v/>
      </c>
      <c r="E41" s="23">
        <f>IF($A41="", "", $E$7)</f>
        <v/>
      </c>
      <c r="F41" s="23">
        <f>IF($A41="", "", E41-D41)</f>
        <v/>
      </c>
      <c r="G41" s="23">
        <f>IF($A41="", "", B41-F41)</f>
        <v/>
      </c>
      <c r="H41" s="23">
        <f>IF($A41="", "", J40)</f>
        <v/>
      </c>
      <c r="I41" s="23">
        <f>IF($A41="", "", ROUND(H41*C41, 2))</f>
        <v/>
      </c>
      <c r="J41" s="23">
        <f>IF($A41="", "", H41+I41)</f>
        <v/>
      </c>
      <c r="K41" s="23">
        <f>IF($A41="", "", D41+I41)</f>
        <v/>
      </c>
      <c r="L41" s="23">
        <f>IF($A41="", "", SUM(D42:$D$82))</f>
        <v/>
      </c>
      <c r="M41" s="23">
        <f>IF($A41="", "", G41+L41)</f>
        <v/>
      </c>
      <c r="N41" s="23">
        <f>IF($A41="", "", M41+J41)</f>
        <v/>
      </c>
    </row>
    <row r="42">
      <c r="A42" s="26">
        <f>IF(ROW()-10&lt;=$G$6, ROW()-10, "")</f>
        <v/>
      </c>
      <c r="B42" s="29">
        <f>IF($A42="", "", G41)</f>
        <v/>
      </c>
      <c r="C42" s="31">
        <f>IF($A42="", "", $C$8)</f>
        <v/>
      </c>
      <c r="D42" s="29">
        <f>IF($A42="", "", ROUND(B42*C42, 2))</f>
        <v/>
      </c>
      <c r="E42" s="29">
        <f>IF($A42="", "", $E$7)</f>
        <v/>
      </c>
      <c r="F42" s="29">
        <f>IF($A42="", "", E42-D42)</f>
        <v/>
      </c>
      <c r="G42" s="29">
        <f>IF($A42="", "", B42-F42)</f>
        <v/>
      </c>
      <c r="H42" s="29">
        <f>IF($A42="", "", J41)</f>
        <v/>
      </c>
      <c r="I42" s="29">
        <f>IF($A42="", "", ROUND(H42*C42, 2))</f>
        <v/>
      </c>
      <c r="J42" s="29">
        <f>IF($A42="", "", H42+I42)</f>
        <v/>
      </c>
      <c r="K42" s="29">
        <f>IF($A42="", "", D42+I42)</f>
        <v/>
      </c>
      <c r="L42" s="29">
        <f>IF($A42="", "", SUM(D43:$D$82))</f>
        <v/>
      </c>
      <c r="M42" s="29">
        <f>IF($A42="", "", G42+L42)</f>
        <v/>
      </c>
      <c r="N42" s="29">
        <f>IF($A42="", "", M42+J42)</f>
        <v/>
      </c>
    </row>
    <row r="43">
      <c r="A43" s="20">
        <f>IF(ROW()-10&lt;=$G$6, ROW()-10, "")</f>
        <v/>
      </c>
      <c r="B43" s="23">
        <f>IF($A43="", "", G42)</f>
        <v/>
      </c>
      <c r="C43" s="25">
        <f>IF($A43="", "", $C$8)</f>
        <v/>
      </c>
      <c r="D43" s="23">
        <f>IF($A43="", "", ROUND(B43*C43, 2))</f>
        <v/>
      </c>
      <c r="E43" s="23">
        <f>IF($A43="", "", $E$7)</f>
        <v/>
      </c>
      <c r="F43" s="23">
        <f>IF($A43="", "", E43-D43)</f>
        <v/>
      </c>
      <c r="G43" s="23">
        <f>IF($A43="", "", B43-F43)</f>
        <v/>
      </c>
      <c r="H43" s="23">
        <f>IF($A43="", "", J42)</f>
        <v/>
      </c>
      <c r="I43" s="23">
        <f>IF($A43="", "", ROUND(H43*C43, 2))</f>
        <v/>
      </c>
      <c r="J43" s="23">
        <f>IF($A43="", "", H43+I43)</f>
        <v/>
      </c>
      <c r="K43" s="23">
        <f>IF($A43="", "", D43+I43)</f>
        <v/>
      </c>
      <c r="L43" s="23">
        <f>IF($A43="", "", SUM(D44:$D$82))</f>
        <v/>
      </c>
      <c r="M43" s="23">
        <f>IF($A43="", "", G43+L43)</f>
        <v/>
      </c>
      <c r="N43" s="23">
        <f>IF($A43="", "", M43+J43)</f>
        <v/>
      </c>
    </row>
    <row r="44">
      <c r="A44" s="26">
        <f>IF(ROW()-10&lt;=$G$6, ROW()-10, "")</f>
        <v/>
      </c>
      <c r="B44" s="29">
        <f>IF($A44="", "", G43)</f>
        <v/>
      </c>
      <c r="C44" s="31">
        <f>IF($A44="", "", $C$8)</f>
        <v/>
      </c>
      <c r="D44" s="29">
        <f>IF($A44="", "", ROUND(B44*C44, 2))</f>
        <v/>
      </c>
      <c r="E44" s="29">
        <f>IF($A44="", "", $E$7)</f>
        <v/>
      </c>
      <c r="F44" s="29">
        <f>IF($A44="", "", E44-D44)</f>
        <v/>
      </c>
      <c r="G44" s="29">
        <f>IF($A44="", "", B44-F44)</f>
        <v/>
      </c>
      <c r="H44" s="29">
        <f>IF($A44="", "", J43)</f>
        <v/>
      </c>
      <c r="I44" s="29">
        <f>IF($A44="", "", ROUND(H44*C44, 2))</f>
        <v/>
      </c>
      <c r="J44" s="29">
        <f>IF($A44="", "", H44+I44)</f>
        <v/>
      </c>
      <c r="K44" s="29">
        <f>IF($A44="", "", D44+I44)</f>
        <v/>
      </c>
      <c r="L44" s="29">
        <f>IF($A44="", "", SUM(D45:$D$82))</f>
        <v/>
      </c>
      <c r="M44" s="29">
        <f>IF($A44="", "", G44+L44)</f>
        <v/>
      </c>
      <c r="N44" s="29">
        <f>IF($A44="", "", M44+J44)</f>
        <v/>
      </c>
    </row>
    <row r="45">
      <c r="A45" s="20">
        <f>IF(ROW()-10&lt;=$G$6, ROW()-10, "")</f>
        <v/>
      </c>
      <c r="B45" s="23">
        <f>IF($A45="", "", G44)</f>
        <v/>
      </c>
      <c r="C45" s="25">
        <f>IF($A45="", "", $C$8)</f>
        <v/>
      </c>
      <c r="D45" s="23">
        <f>IF($A45="", "", ROUND(B45*C45, 2))</f>
        <v/>
      </c>
      <c r="E45" s="23">
        <f>IF($A45="", "", $E$7)</f>
        <v/>
      </c>
      <c r="F45" s="23">
        <f>IF($A45="", "", E45-D45)</f>
        <v/>
      </c>
      <c r="G45" s="23">
        <f>IF($A45="", "", B45-F45)</f>
        <v/>
      </c>
      <c r="H45" s="23">
        <f>IF($A45="", "", J44)</f>
        <v/>
      </c>
      <c r="I45" s="23">
        <f>IF($A45="", "", ROUND(H45*C45, 2))</f>
        <v/>
      </c>
      <c r="J45" s="23">
        <f>IF($A45="", "", H45+I45)</f>
        <v/>
      </c>
      <c r="K45" s="23">
        <f>IF($A45="", "", D45+I45)</f>
        <v/>
      </c>
      <c r="L45" s="23">
        <f>IF($A45="", "", SUM(D46:$D$82))</f>
        <v/>
      </c>
      <c r="M45" s="23">
        <f>IF($A45="", "", G45+L45)</f>
        <v/>
      </c>
      <c r="N45" s="23">
        <f>IF($A45="", "", M45+J45)</f>
        <v/>
      </c>
    </row>
    <row r="46">
      <c r="A46" s="26">
        <f>IF(ROW()-10&lt;=$G$6, ROW()-10, "")</f>
        <v/>
      </c>
      <c r="B46" s="29">
        <f>IF($A46="", "", G45)</f>
        <v/>
      </c>
      <c r="C46" s="31">
        <f>IF($A46="", "", $C$8)</f>
        <v/>
      </c>
      <c r="D46" s="29">
        <f>IF($A46="", "", ROUND(B46*C46, 2))</f>
        <v/>
      </c>
      <c r="E46" s="29">
        <f>IF($A46="", "", $E$7)</f>
        <v/>
      </c>
      <c r="F46" s="29">
        <f>IF($A46="", "", E46-D46)</f>
        <v/>
      </c>
      <c r="G46" s="29">
        <f>IF($A46="", "", B46-F46)</f>
        <v/>
      </c>
      <c r="H46" s="29">
        <f>IF($A46="", "", J45)</f>
        <v/>
      </c>
      <c r="I46" s="29">
        <f>IF($A46="", "", ROUND(H46*C46, 2))</f>
        <v/>
      </c>
      <c r="J46" s="29">
        <f>IF($A46="", "", H46+I46)</f>
        <v/>
      </c>
      <c r="K46" s="29">
        <f>IF($A46="", "", D46+I46)</f>
        <v/>
      </c>
      <c r="L46" s="29">
        <f>IF($A46="", "", SUM(D47:$D$82))</f>
        <v/>
      </c>
      <c r="M46" s="29">
        <f>IF($A46="", "", G46+L46)</f>
        <v/>
      </c>
      <c r="N46" s="29">
        <f>IF($A46="", "", M46+J46)</f>
        <v/>
      </c>
    </row>
    <row r="47">
      <c r="A47" s="20">
        <f>IF(ROW()-10&lt;=$G$6, ROW()-10, "")</f>
        <v/>
      </c>
      <c r="B47" s="23">
        <f>IF($A47="", "", G46)</f>
        <v/>
      </c>
      <c r="C47" s="25">
        <f>IF($A47="", "", $C$8)</f>
        <v/>
      </c>
      <c r="D47" s="23">
        <f>IF($A47="", "", ROUND(B47*C47, 2))</f>
        <v/>
      </c>
      <c r="E47" s="23">
        <f>IF($A47="", "", $E$7)</f>
        <v/>
      </c>
      <c r="F47" s="23">
        <f>IF($A47="", "", E47-D47)</f>
        <v/>
      </c>
      <c r="G47" s="23">
        <f>IF($A47="", "", B47-F47)</f>
        <v/>
      </c>
      <c r="H47" s="23">
        <f>IF($A47="", "", J46)</f>
        <v/>
      </c>
      <c r="I47" s="23">
        <f>IF($A47="", "", ROUND(H47*C47, 2))</f>
        <v/>
      </c>
      <c r="J47" s="23">
        <f>IF($A47="", "", H47+I47)</f>
        <v/>
      </c>
      <c r="K47" s="23">
        <f>IF($A47="", "", D47+I47)</f>
        <v/>
      </c>
      <c r="L47" s="23">
        <f>IF($A47="", "", SUM(D48:$D$82))</f>
        <v/>
      </c>
      <c r="M47" s="23">
        <f>IF($A47="", "", G47+L47)</f>
        <v/>
      </c>
      <c r="N47" s="23">
        <f>IF($A47="", "", M47+J47)</f>
        <v/>
      </c>
    </row>
    <row r="48">
      <c r="A48" s="26">
        <f>IF(ROW()-10&lt;=$G$6, ROW()-10, "")</f>
        <v/>
      </c>
      <c r="B48" s="29">
        <f>IF($A48="", "", G47)</f>
        <v/>
      </c>
      <c r="C48" s="31">
        <f>IF($A48="", "", $C$8)</f>
        <v/>
      </c>
      <c r="D48" s="29">
        <f>IF($A48="", "", ROUND(B48*C48, 2))</f>
        <v/>
      </c>
      <c r="E48" s="29">
        <f>IF($A48="", "", $E$7)</f>
        <v/>
      </c>
      <c r="F48" s="29">
        <f>IF($A48="", "", E48-D48)</f>
        <v/>
      </c>
      <c r="G48" s="29">
        <f>IF($A48="", "", B48-F48)</f>
        <v/>
      </c>
      <c r="H48" s="29">
        <f>IF($A48="", "", J47)</f>
        <v/>
      </c>
      <c r="I48" s="29">
        <f>IF($A48="", "", ROUND(H48*C48, 2))</f>
        <v/>
      </c>
      <c r="J48" s="29">
        <f>IF($A48="", "", H48+I48)</f>
        <v/>
      </c>
      <c r="K48" s="29">
        <f>IF($A48="", "", D48+I48)</f>
        <v/>
      </c>
      <c r="L48" s="29">
        <f>IF($A48="", "", SUM(D49:$D$82))</f>
        <v/>
      </c>
      <c r="M48" s="29">
        <f>IF($A48="", "", G48+L48)</f>
        <v/>
      </c>
      <c r="N48" s="29">
        <f>IF($A48="", "", M48+J48)</f>
        <v/>
      </c>
    </row>
    <row r="49">
      <c r="A49" s="20">
        <f>IF(ROW()-10&lt;=$G$6, ROW()-10, "")</f>
        <v/>
      </c>
      <c r="B49" s="23">
        <f>IF($A49="", "", G48)</f>
        <v/>
      </c>
      <c r="C49" s="25">
        <f>IF($A49="", "", $C$8)</f>
        <v/>
      </c>
      <c r="D49" s="23">
        <f>IF($A49="", "", ROUND(B49*C49, 2))</f>
        <v/>
      </c>
      <c r="E49" s="23">
        <f>IF($A49="", "", $E$7)</f>
        <v/>
      </c>
      <c r="F49" s="23">
        <f>IF($A49="", "", E49-D49)</f>
        <v/>
      </c>
      <c r="G49" s="23">
        <f>IF($A49="", "", B49-F49)</f>
        <v/>
      </c>
      <c r="H49" s="23">
        <f>IF($A49="", "", J48)</f>
        <v/>
      </c>
      <c r="I49" s="23">
        <f>IF($A49="", "", ROUND(H49*C49, 2))</f>
        <v/>
      </c>
      <c r="J49" s="23">
        <f>IF($A49="", "", H49+I49)</f>
        <v/>
      </c>
      <c r="K49" s="23">
        <f>IF($A49="", "", D49+I49)</f>
        <v/>
      </c>
      <c r="L49" s="23">
        <f>IF($A49="", "", SUM(D50:$D$82))</f>
        <v/>
      </c>
      <c r="M49" s="23">
        <f>IF($A49="", "", G49+L49)</f>
        <v/>
      </c>
      <c r="N49" s="23">
        <f>IF($A49="", "", M49+J49)</f>
        <v/>
      </c>
    </row>
    <row r="50">
      <c r="A50" s="26">
        <f>IF(ROW()-10&lt;=$G$6, ROW()-10, "")</f>
        <v/>
      </c>
      <c r="B50" s="29">
        <f>IF($A50="", "", G49)</f>
        <v/>
      </c>
      <c r="C50" s="31">
        <f>IF($A50="", "", $C$8)</f>
        <v/>
      </c>
      <c r="D50" s="29">
        <f>IF($A50="", "", ROUND(B50*C50, 2))</f>
        <v/>
      </c>
      <c r="E50" s="29">
        <f>IF($A50="", "", $E$7)</f>
        <v/>
      </c>
      <c r="F50" s="29">
        <f>IF($A50="", "", E50-D50)</f>
        <v/>
      </c>
      <c r="G50" s="29">
        <f>IF($A50="", "", B50-F50)</f>
        <v/>
      </c>
      <c r="H50" s="29">
        <f>IF($A50="", "", J49)</f>
        <v/>
      </c>
      <c r="I50" s="29">
        <f>IF($A50="", "", ROUND(H50*C50, 2))</f>
        <v/>
      </c>
      <c r="J50" s="29">
        <f>IF($A50="", "", H50+I50)</f>
        <v/>
      </c>
      <c r="K50" s="29">
        <f>IF($A50="", "", D50+I50)</f>
        <v/>
      </c>
      <c r="L50" s="29">
        <f>IF($A50="", "", SUM(D51:$D$82))</f>
        <v/>
      </c>
      <c r="M50" s="29">
        <f>IF($A50="", "", G50+L50)</f>
        <v/>
      </c>
      <c r="N50" s="29">
        <f>IF($A50="", "", M50+J50)</f>
        <v/>
      </c>
    </row>
    <row r="51">
      <c r="A51" s="20">
        <f>IF(ROW()-10&lt;=$G$6, ROW()-10, "")</f>
        <v/>
      </c>
      <c r="B51" s="23">
        <f>IF($A51="", "", G50)</f>
        <v/>
      </c>
      <c r="C51" s="25">
        <f>IF($A51="", "", $C$8)</f>
        <v/>
      </c>
      <c r="D51" s="23">
        <f>IF($A51="", "", ROUND(B51*C51, 2))</f>
        <v/>
      </c>
      <c r="E51" s="23">
        <f>IF($A51="", "", $E$7)</f>
        <v/>
      </c>
      <c r="F51" s="23">
        <f>IF($A51="", "", E51-D51)</f>
        <v/>
      </c>
      <c r="G51" s="23">
        <f>IF($A51="", "", B51-F51)</f>
        <v/>
      </c>
      <c r="H51" s="23">
        <f>IF($A51="", "", J50)</f>
        <v/>
      </c>
      <c r="I51" s="23">
        <f>IF($A51="", "", ROUND(H51*C51, 2))</f>
        <v/>
      </c>
      <c r="J51" s="23">
        <f>IF($A51="", "", H51+I51)</f>
        <v/>
      </c>
      <c r="K51" s="23">
        <f>IF($A51="", "", D51+I51)</f>
        <v/>
      </c>
      <c r="L51" s="23">
        <f>IF($A51="", "", SUM(D52:$D$82))</f>
        <v/>
      </c>
      <c r="M51" s="23">
        <f>IF($A51="", "", G51+L51)</f>
        <v/>
      </c>
      <c r="N51" s="23">
        <f>IF($A51="", "", M51+J51)</f>
        <v/>
      </c>
    </row>
    <row r="52">
      <c r="A52" s="26">
        <f>IF(ROW()-10&lt;=$G$6, ROW()-10, "")</f>
        <v/>
      </c>
      <c r="B52" s="29">
        <f>IF($A52="", "", G51)</f>
        <v/>
      </c>
      <c r="C52" s="31">
        <f>IF($A52="", "", $C$8)</f>
        <v/>
      </c>
      <c r="D52" s="29">
        <f>IF($A52="", "", ROUND(B52*C52, 2))</f>
        <v/>
      </c>
      <c r="E52" s="29">
        <f>IF($A52="", "", $E$7)</f>
        <v/>
      </c>
      <c r="F52" s="29">
        <f>IF($A52="", "", E52-D52)</f>
        <v/>
      </c>
      <c r="G52" s="29">
        <f>IF($A52="", "", B52-F52)</f>
        <v/>
      </c>
      <c r="H52" s="29">
        <f>IF($A52="", "", J51)</f>
        <v/>
      </c>
      <c r="I52" s="29">
        <f>IF($A52="", "", ROUND(H52*C52, 2))</f>
        <v/>
      </c>
      <c r="J52" s="29">
        <f>IF($A52="", "", H52+I52)</f>
        <v/>
      </c>
      <c r="K52" s="29">
        <f>IF($A52="", "", D52+I52)</f>
        <v/>
      </c>
      <c r="L52" s="29">
        <f>IF($A52="", "", SUM(D53:$D$82))</f>
        <v/>
      </c>
      <c r="M52" s="29">
        <f>IF($A52="", "", G52+L52)</f>
        <v/>
      </c>
      <c r="N52" s="29">
        <f>IF($A52="", "", M52+J52)</f>
        <v/>
      </c>
    </row>
    <row r="53">
      <c r="A53" s="20">
        <f>IF(ROW()-10&lt;=$G$6, ROW()-10, "")</f>
        <v/>
      </c>
      <c r="B53" s="23">
        <f>IF($A53="", "", G52)</f>
        <v/>
      </c>
      <c r="C53" s="25">
        <f>IF($A53="", "", $C$8)</f>
        <v/>
      </c>
      <c r="D53" s="23">
        <f>IF($A53="", "", ROUND(B53*C53, 2))</f>
        <v/>
      </c>
      <c r="E53" s="23">
        <f>IF($A53="", "", $E$7)</f>
        <v/>
      </c>
      <c r="F53" s="23">
        <f>IF($A53="", "", E53-D53)</f>
        <v/>
      </c>
      <c r="G53" s="23">
        <f>IF($A53="", "", B53-F53)</f>
        <v/>
      </c>
      <c r="H53" s="23">
        <f>IF($A53="", "", J52)</f>
        <v/>
      </c>
      <c r="I53" s="23">
        <f>IF($A53="", "", ROUND(H53*C53, 2))</f>
        <v/>
      </c>
      <c r="J53" s="23">
        <f>IF($A53="", "", H53+I53)</f>
        <v/>
      </c>
      <c r="K53" s="23">
        <f>IF($A53="", "", D53+I53)</f>
        <v/>
      </c>
      <c r="L53" s="23">
        <f>IF($A53="", "", SUM(D54:$D$82))</f>
        <v/>
      </c>
      <c r="M53" s="23">
        <f>IF($A53="", "", G53+L53)</f>
        <v/>
      </c>
      <c r="N53" s="23">
        <f>IF($A53="", "", M53+J53)</f>
        <v/>
      </c>
    </row>
    <row r="54">
      <c r="A54" s="26">
        <f>IF(ROW()-10&lt;=$G$6, ROW()-10, "")</f>
        <v/>
      </c>
      <c r="B54" s="29">
        <f>IF($A54="", "", G53)</f>
        <v/>
      </c>
      <c r="C54" s="31">
        <f>IF($A54="", "", $C$8)</f>
        <v/>
      </c>
      <c r="D54" s="29">
        <f>IF($A54="", "", ROUND(B54*C54, 2))</f>
        <v/>
      </c>
      <c r="E54" s="29">
        <f>IF($A54="", "", $E$7)</f>
        <v/>
      </c>
      <c r="F54" s="29">
        <f>IF($A54="", "", E54-D54)</f>
        <v/>
      </c>
      <c r="G54" s="29">
        <f>IF($A54="", "", B54-F54)</f>
        <v/>
      </c>
      <c r="H54" s="29">
        <f>IF($A54="", "", J53)</f>
        <v/>
      </c>
      <c r="I54" s="29">
        <f>IF($A54="", "", ROUND(H54*C54, 2))</f>
        <v/>
      </c>
      <c r="J54" s="29">
        <f>IF($A54="", "", H54+I54)</f>
        <v/>
      </c>
      <c r="K54" s="29">
        <f>IF($A54="", "", D54+I54)</f>
        <v/>
      </c>
      <c r="L54" s="29">
        <f>IF($A54="", "", SUM(D55:$D$82))</f>
        <v/>
      </c>
      <c r="M54" s="29">
        <f>IF($A54="", "", G54+L54)</f>
        <v/>
      </c>
      <c r="N54" s="29">
        <f>IF($A54="", "", M54+J54)</f>
        <v/>
      </c>
    </row>
    <row r="55">
      <c r="A55" s="20">
        <f>IF(ROW()-10&lt;=$G$6, ROW()-10, "")</f>
        <v/>
      </c>
      <c r="B55" s="23">
        <f>IF($A55="", "", G54)</f>
        <v/>
      </c>
      <c r="C55" s="25">
        <f>IF($A55="", "", $C$8)</f>
        <v/>
      </c>
      <c r="D55" s="23">
        <f>IF($A55="", "", ROUND(B55*C55, 2))</f>
        <v/>
      </c>
      <c r="E55" s="23">
        <f>IF($A55="", "", $E$7)</f>
        <v/>
      </c>
      <c r="F55" s="23">
        <f>IF($A55="", "", E55-D55)</f>
        <v/>
      </c>
      <c r="G55" s="23">
        <f>IF($A55="", "", B55-F55)</f>
        <v/>
      </c>
      <c r="H55" s="23">
        <f>IF($A55="", "", J54)</f>
        <v/>
      </c>
      <c r="I55" s="23">
        <f>IF($A55="", "", ROUND(H55*C55, 2))</f>
        <v/>
      </c>
      <c r="J55" s="23">
        <f>IF($A55="", "", H55+I55)</f>
        <v/>
      </c>
      <c r="K55" s="23">
        <f>IF($A55="", "", D55+I55)</f>
        <v/>
      </c>
      <c r="L55" s="23">
        <f>IF($A55="", "", SUM(D56:$D$82))</f>
        <v/>
      </c>
      <c r="M55" s="23">
        <f>IF($A55="", "", G55+L55)</f>
        <v/>
      </c>
      <c r="N55" s="23">
        <f>IF($A55="", "", M55+J55)</f>
        <v/>
      </c>
    </row>
    <row r="56">
      <c r="A56" s="26">
        <f>IF(ROW()-10&lt;=$G$6, ROW()-10, "")</f>
        <v/>
      </c>
      <c r="B56" s="29">
        <f>IF($A56="", "", G55)</f>
        <v/>
      </c>
      <c r="C56" s="31">
        <f>IF($A56="", "", $C$8)</f>
        <v/>
      </c>
      <c r="D56" s="29">
        <f>IF($A56="", "", ROUND(B56*C56, 2))</f>
        <v/>
      </c>
      <c r="E56" s="29">
        <f>IF($A56="", "", $E$7)</f>
        <v/>
      </c>
      <c r="F56" s="29">
        <f>IF($A56="", "", E56-D56)</f>
        <v/>
      </c>
      <c r="G56" s="29">
        <f>IF($A56="", "", B56-F56)</f>
        <v/>
      </c>
      <c r="H56" s="29">
        <f>IF($A56="", "", J55)</f>
        <v/>
      </c>
      <c r="I56" s="29">
        <f>IF($A56="", "", ROUND(H56*C56, 2))</f>
        <v/>
      </c>
      <c r="J56" s="29">
        <f>IF($A56="", "", H56+I56)</f>
        <v/>
      </c>
      <c r="K56" s="29">
        <f>IF($A56="", "", D56+I56)</f>
        <v/>
      </c>
      <c r="L56" s="29">
        <f>IF($A56="", "", SUM(D57:$D$82))</f>
        <v/>
      </c>
      <c r="M56" s="29">
        <f>IF($A56="", "", G56+L56)</f>
        <v/>
      </c>
      <c r="N56" s="29">
        <f>IF($A56="", "", M56+J56)</f>
        <v/>
      </c>
    </row>
    <row r="57">
      <c r="A57" s="20">
        <f>IF(ROW()-10&lt;=$G$6, ROW()-10, "")</f>
        <v/>
      </c>
      <c r="B57" s="23">
        <f>IF($A57="", "", G56)</f>
        <v/>
      </c>
      <c r="C57" s="25">
        <f>IF($A57="", "", $C$8)</f>
        <v/>
      </c>
      <c r="D57" s="23">
        <f>IF($A57="", "", ROUND(B57*C57, 2))</f>
        <v/>
      </c>
      <c r="E57" s="23">
        <f>IF($A57="", "", $E$7)</f>
        <v/>
      </c>
      <c r="F57" s="23">
        <f>IF($A57="", "", E57-D57)</f>
        <v/>
      </c>
      <c r="G57" s="23">
        <f>IF($A57="", "", B57-F57)</f>
        <v/>
      </c>
      <c r="H57" s="23">
        <f>IF($A57="", "", J56)</f>
        <v/>
      </c>
      <c r="I57" s="23">
        <f>IF($A57="", "", ROUND(H57*C57, 2))</f>
        <v/>
      </c>
      <c r="J57" s="23">
        <f>IF($A57="", "", H57+I57)</f>
        <v/>
      </c>
      <c r="K57" s="23">
        <f>IF($A57="", "", D57+I57)</f>
        <v/>
      </c>
      <c r="L57" s="23">
        <f>IF($A57="", "", SUM(D58:$D$82))</f>
        <v/>
      </c>
      <c r="M57" s="23">
        <f>IF($A57="", "", G57+L57)</f>
        <v/>
      </c>
      <c r="N57" s="23">
        <f>IF($A57="", "", M57+J57)</f>
        <v/>
      </c>
    </row>
    <row r="58">
      <c r="A58" s="26">
        <f>IF(ROW()-10&lt;=$G$6, ROW()-10, "")</f>
        <v/>
      </c>
      <c r="B58" s="29">
        <f>IF($A58="", "", G57)</f>
        <v/>
      </c>
      <c r="C58" s="31">
        <f>IF($A58="", "", $C$8)</f>
        <v/>
      </c>
      <c r="D58" s="29">
        <f>IF($A58="", "", ROUND(B58*C58, 2))</f>
        <v/>
      </c>
      <c r="E58" s="29">
        <f>IF($A58="", "", $E$7)</f>
        <v/>
      </c>
      <c r="F58" s="29">
        <f>IF($A58="", "", E58-D58)</f>
        <v/>
      </c>
      <c r="G58" s="29">
        <f>IF($A58="", "", B58-F58)</f>
        <v/>
      </c>
      <c r="H58" s="29">
        <f>IF($A58="", "", J57)</f>
        <v/>
      </c>
      <c r="I58" s="29">
        <f>IF($A58="", "", ROUND(H58*C58, 2))</f>
        <v/>
      </c>
      <c r="J58" s="29">
        <f>IF($A58="", "", H58+I58)</f>
        <v/>
      </c>
      <c r="K58" s="29">
        <f>IF($A58="", "", D58+I58)</f>
        <v/>
      </c>
      <c r="L58" s="29">
        <f>IF($A58="", "", SUM(D59:$D$82))</f>
        <v/>
      </c>
      <c r="M58" s="29">
        <f>IF($A58="", "", G58+L58)</f>
        <v/>
      </c>
      <c r="N58" s="29">
        <f>IF($A58="", "", M58+J58)</f>
        <v/>
      </c>
    </row>
    <row r="59">
      <c r="A59" s="20">
        <f>IF(ROW()-10&lt;=$G$6, ROW()-10, "")</f>
        <v/>
      </c>
      <c r="B59" s="23">
        <f>IF($A59="", "", G58)</f>
        <v/>
      </c>
      <c r="C59" s="25">
        <f>IF($A59="", "", $C$8)</f>
        <v/>
      </c>
      <c r="D59" s="23">
        <f>IF($A59="", "", ROUND(B59*C59, 2))</f>
        <v/>
      </c>
      <c r="E59" s="23">
        <f>IF($A59="", "", $E$7)</f>
        <v/>
      </c>
      <c r="F59" s="23">
        <f>IF($A59="", "", E59-D59)</f>
        <v/>
      </c>
      <c r="G59" s="23">
        <f>IF($A59="", "", B59-F59)</f>
        <v/>
      </c>
      <c r="H59" s="23">
        <f>IF($A59="", "", J58)</f>
        <v/>
      </c>
      <c r="I59" s="23">
        <f>IF($A59="", "", ROUND(H59*C59, 2))</f>
        <v/>
      </c>
      <c r="J59" s="23">
        <f>IF($A59="", "", H59+I59)</f>
        <v/>
      </c>
      <c r="K59" s="23">
        <f>IF($A59="", "", D59+I59)</f>
        <v/>
      </c>
      <c r="L59" s="23">
        <f>IF($A59="", "", SUM(D60:$D$82))</f>
        <v/>
      </c>
      <c r="M59" s="23">
        <f>IF($A59="", "", G59+L59)</f>
        <v/>
      </c>
      <c r="N59" s="23">
        <f>IF($A59="", "", M59+J59)</f>
        <v/>
      </c>
    </row>
    <row r="60">
      <c r="A60" s="26">
        <f>IF(ROW()-10&lt;=$G$6, ROW()-10, "")</f>
        <v/>
      </c>
      <c r="B60" s="29">
        <f>IF($A60="", "", G59)</f>
        <v/>
      </c>
      <c r="C60" s="31">
        <f>IF($A60="", "", $C$8)</f>
        <v/>
      </c>
      <c r="D60" s="29">
        <f>IF($A60="", "", ROUND(B60*C60, 2))</f>
        <v/>
      </c>
      <c r="E60" s="29">
        <f>IF($A60="", "", $E$7)</f>
        <v/>
      </c>
      <c r="F60" s="29">
        <f>IF($A60="", "", E60-D60)</f>
        <v/>
      </c>
      <c r="G60" s="29">
        <f>IF($A60="", "", B60-F60)</f>
        <v/>
      </c>
      <c r="H60" s="29">
        <f>IF($A60="", "", J59)</f>
        <v/>
      </c>
      <c r="I60" s="29">
        <f>IF($A60="", "", ROUND(H60*C60, 2))</f>
        <v/>
      </c>
      <c r="J60" s="29">
        <f>IF($A60="", "", H60+I60)</f>
        <v/>
      </c>
      <c r="K60" s="29">
        <f>IF($A60="", "", D60+I60)</f>
        <v/>
      </c>
      <c r="L60" s="29">
        <f>IF($A60="", "", SUM(D61:$D$82))</f>
        <v/>
      </c>
      <c r="M60" s="29">
        <f>IF($A60="", "", G60+L60)</f>
        <v/>
      </c>
      <c r="N60" s="29">
        <f>IF($A60="", "", M60+J60)</f>
        <v/>
      </c>
    </row>
    <row r="61">
      <c r="A61" s="20">
        <f>IF(ROW()-10&lt;=$G$6, ROW()-10, "")</f>
        <v/>
      </c>
      <c r="B61" s="23">
        <f>IF($A61="", "", G60)</f>
        <v/>
      </c>
      <c r="C61" s="25">
        <f>IF($A61="", "", $C$8)</f>
        <v/>
      </c>
      <c r="D61" s="23">
        <f>IF($A61="", "", ROUND(B61*C61, 2))</f>
        <v/>
      </c>
      <c r="E61" s="23">
        <f>IF($A61="", "", $E$7)</f>
        <v/>
      </c>
      <c r="F61" s="23">
        <f>IF($A61="", "", E61-D61)</f>
        <v/>
      </c>
      <c r="G61" s="23">
        <f>IF($A61="", "", B61-F61)</f>
        <v/>
      </c>
      <c r="H61" s="23">
        <f>IF($A61="", "", J60)</f>
        <v/>
      </c>
      <c r="I61" s="23">
        <f>IF($A61="", "", ROUND(H61*C61, 2))</f>
        <v/>
      </c>
      <c r="J61" s="23">
        <f>IF($A61="", "", H61+I61)</f>
        <v/>
      </c>
      <c r="K61" s="23">
        <f>IF($A61="", "", D61+I61)</f>
        <v/>
      </c>
      <c r="L61" s="23">
        <f>IF($A61="", "", SUM(D62:$D$82))</f>
        <v/>
      </c>
      <c r="M61" s="23">
        <f>IF($A61="", "", G61+L61)</f>
        <v/>
      </c>
      <c r="N61" s="23">
        <f>IF($A61="", "", M61+J61)</f>
        <v/>
      </c>
    </row>
    <row r="62">
      <c r="A62" s="26">
        <f>IF(ROW()-10&lt;=$G$6, ROW()-10, "")</f>
        <v/>
      </c>
      <c r="B62" s="29">
        <f>IF($A62="", "", G61)</f>
        <v/>
      </c>
      <c r="C62" s="31">
        <f>IF($A62="", "", $C$8)</f>
        <v/>
      </c>
      <c r="D62" s="29">
        <f>IF($A62="", "", ROUND(B62*C62, 2))</f>
        <v/>
      </c>
      <c r="E62" s="29">
        <f>IF($A62="", "", $E$7)</f>
        <v/>
      </c>
      <c r="F62" s="29">
        <f>IF($A62="", "", E62-D62)</f>
        <v/>
      </c>
      <c r="G62" s="29">
        <f>IF($A62="", "", B62-F62)</f>
        <v/>
      </c>
      <c r="H62" s="29">
        <f>IF($A62="", "", J61)</f>
        <v/>
      </c>
      <c r="I62" s="29">
        <f>IF($A62="", "", ROUND(H62*C62, 2))</f>
        <v/>
      </c>
      <c r="J62" s="29">
        <f>IF($A62="", "", H62+I62)</f>
        <v/>
      </c>
      <c r="K62" s="29">
        <f>IF($A62="", "", D62+I62)</f>
        <v/>
      </c>
      <c r="L62" s="29">
        <f>IF($A62="", "", SUM(D63:$D$82))</f>
        <v/>
      </c>
      <c r="M62" s="29">
        <f>IF($A62="", "", G62+L62)</f>
        <v/>
      </c>
      <c r="N62" s="29">
        <f>IF($A62="", "", M62+J62)</f>
        <v/>
      </c>
    </row>
    <row r="63">
      <c r="A63" s="20">
        <f>IF(ROW()-10&lt;=$G$6, ROW()-10, "")</f>
        <v/>
      </c>
      <c r="B63" s="23">
        <f>IF($A63="", "", G62)</f>
        <v/>
      </c>
      <c r="C63" s="25">
        <f>IF($A63="", "", $C$8)</f>
        <v/>
      </c>
      <c r="D63" s="23">
        <f>IF($A63="", "", ROUND(B63*C63, 2))</f>
        <v/>
      </c>
      <c r="E63" s="23">
        <f>IF($A63="", "", $E$7)</f>
        <v/>
      </c>
      <c r="F63" s="23">
        <f>IF($A63="", "", E63-D63)</f>
        <v/>
      </c>
      <c r="G63" s="23">
        <f>IF($A63="", "", B63-F63)</f>
        <v/>
      </c>
      <c r="H63" s="23">
        <f>IF($A63="", "", J62)</f>
        <v/>
      </c>
      <c r="I63" s="23">
        <f>IF($A63="", "", ROUND(H63*C63, 2))</f>
        <v/>
      </c>
      <c r="J63" s="23">
        <f>IF($A63="", "", H63+I63)</f>
        <v/>
      </c>
      <c r="K63" s="23">
        <f>IF($A63="", "", D63+I63)</f>
        <v/>
      </c>
      <c r="L63" s="23">
        <f>IF($A63="", "", SUM(D64:$D$82))</f>
        <v/>
      </c>
      <c r="M63" s="23">
        <f>IF($A63="", "", G63+L63)</f>
        <v/>
      </c>
      <c r="N63" s="23">
        <f>IF($A63="", "", M63+J63)</f>
        <v/>
      </c>
    </row>
    <row r="64">
      <c r="A64" s="26">
        <f>IF(ROW()-10&lt;=$G$6, ROW()-10, "")</f>
        <v/>
      </c>
      <c r="B64" s="29">
        <f>IF($A64="", "", G63)</f>
        <v/>
      </c>
      <c r="C64" s="31">
        <f>IF($A64="", "", $C$8)</f>
        <v/>
      </c>
      <c r="D64" s="29">
        <f>IF($A64="", "", ROUND(B64*C64, 2))</f>
        <v/>
      </c>
      <c r="E64" s="29">
        <f>IF($A64="", "", $E$7)</f>
        <v/>
      </c>
      <c r="F64" s="29">
        <f>IF($A64="", "", E64-D64)</f>
        <v/>
      </c>
      <c r="G64" s="29">
        <f>IF($A64="", "", B64-F64)</f>
        <v/>
      </c>
      <c r="H64" s="29">
        <f>IF($A64="", "", J63)</f>
        <v/>
      </c>
      <c r="I64" s="29">
        <f>IF($A64="", "", ROUND(H64*C64, 2))</f>
        <v/>
      </c>
      <c r="J64" s="29">
        <f>IF($A64="", "", H64+I64)</f>
        <v/>
      </c>
      <c r="K64" s="29">
        <f>IF($A64="", "", D64+I64)</f>
        <v/>
      </c>
      <c r="L64" s="29">
        <f>IF($A64="", "", SUM(D65:$D$82))</f>
        <v/>
      </c>
      <c r="M64" s="29">
        <f>IF($A64="", "", G64+L64)</f>
        <v/>
      </c>
      <c r="N64" s="29">
        <f>IF($A64="", "", M64+J64)</f>
        <v/>
      </c>
    </row>
    <row r="65">
      <c r="A65" s="20">
        <f>IF(ROW()-10&lt;=$G$6, ROW()-10, "")</f>
        <v/>
      </c>
      <c r="B65" s="23">
        <f>IF($A65="", "", G64)</f>
        <v/>
      </c>
      <c r="C65" s="25">
        <f>IF($A65="", "", $C$8)</f>
        <v/>
      </c>
      <c r="D65" s="23">
        <f>IF($A65="", "", ROUND(B65*C65, 2))</f>
        <v/>
      </c>
      <c r="E65" s="23">
        <f>IF($A65="", "", $E$7)</f>
        <v/>
      </c>
      <c r="F65" s="23">
        <f>IF($A65="", "", E65-D65)</f>
        <v/>
      </c>
      <c r="G65" s="23">
        <f>IF($A65="", "", B65-F65)</f>
        <v/>
      </c>
      <c r="H65" s="23">
        <f>IF($A65="", "", J64)</f>
        <v/>
      </c>
      <c r="I65" s="23">
        <f>IF($A65="", "", ROUND(H65*C65, 2))</f>
        <v/>
      </c>
      <c r="J65" s="23">
        <f>IF($A65="", "", H65+I65)</f>
        <v/>
      </c>
      <c r="K65" s="23">
        <f>IF($A65="", "", D65+I65)</f>
        <v/>
      </c>
      <c r="L65" s="23">
        <f>IF($A65="", "", SUM(D66:$D$82))</f>
        <v/>
      </c>
      <c r="M65" s="23">
        <f>IF($A65="", "", G65+L65)</f>
        <v/>
      </c>
      <c r="N65" s="23">
        <f>IF($A65="", "", M65+J65)</f>
        <v/>
      </c>
    </row>
    <row r="66">
      <c r="A66" s="26">
        <f>IF(ROW()-10&lt;=$G$6, ROW()-10, "")</f>
        <v/>
      </c>
      <c r="B66" s="29">
        <f>IF($A66="", "", G65)</f>
        <v/>
      </c>
      <c r="C66" s="31">
        <f>IF($A66="", "", $C$8)</f>
        <v/>
      </c>
      <c r="D66" s="29">
        <f>IF($A66="", "", ROUND(B66*C66, 2))</f>
        <v/>
      </c>
      <c r="E66" s="29">
        <f>IF($A66="", "", $E$7)</f>
        <v/>
      </c>
      <c r="F66" s="29">
        <f>IF($A66="", "", E66-D66)</f>
        <v/>
      </c>
      <c r="G66" s="29">
        <f>IF($A66="", "", B66-F66)</f>
        <v/>
      </c>
      <c r="H66" s="29">
        <f>IF($A66="", "", J65)</f>
        <v/>
      </c>
      <c r="I66" s="29">
        <f>IF($A66="", "", ROUND(H66*C66, 2))</f>
        <v/>
      </c>
      <c r="J66" s="29">
        <f>IF($A66="", "", H66+I66)</f>
        <v/>
      </c>
      <c r="K66" s="29">
        <f>IF($A66="", "", D66+I66)</f>
        <v/>
      </c>
      <c r="L66" s="29">
        <f>IF($A66="", "", SUM(D67:$D$82))</f>
        <v/>
      </c>
      <c r="M66" s="29">
        <f>IF($A66="", "", G66+L66)</f>
        <v/>
      </c>
      <c r="N66" s="29">
        <f>IF($A66="", "", M66+J66)</f>
        <v/>
      </c>
    </row>
    <row r="67">
      <c r="A67" s="20">
        <f>IF(ROW()-10&lt;=$G$6, ROW()-10, "")</f>
        <v/>
      </c>
      <c r="B67" s="23">
        <f>IF($A67="", "", G66)</f>
        <v/>
      </c>
      <c r="C67" s="25">
        <f>IF($A67="", "", $C$8)</f>
        <v/>
      </c>
      <c r="D67" s="23">
        <f>IF($A67="", "", ROUND(B67*C67, 2))</f>
        <v/>
      </c>
      <c r="E67" s="23">
        <f>IF($A67="", "", $E$7)</f>
        <v/>
      </c>
      <c r="F67" s="23">
        <f>IF($A67="", "", E67-D67)</f>
        <v/>
      </c>
      <c r="G67" s="23">
        <f>IF($A67="", "", B67-F67)</f>
        <v/>
      </c>
      <c r="H67" s="23">
        <f>IF($A67="", "", J66)</f>
        <v/>
      </c>
      <c r="I67" s="23">
        <f>IF($A67="", "", ROUND(H67*C67, 2))</f>
        <v/>
      </c>
      <c r="J67" s="23">
        <f>IF($A67="", "", H67+I67)</f>
        <v/>
      </c>
      <c r="K67" s="23">
        <f>IF($A67="", "", D67+I67)</f>
        <v/>
      </c>
      <c r="L67" s="23">
        <f>IF($A67="", "", SUM(D68:$D$82))</f>
        <v/>
      </c>
      <c r="M67" s="23">
        <f>IF($A67="", "", G67+L67)</f>
        <v/>
      </c>
      <c r="N67" s="23">
        <f>IF($A67="", "", M67+J67)</f>
        <v/>
      </c>
    </row>
    <row r="68">
      <c r="A68" s="26">
        <f>IF(ROW()-10&lt;=$G$6, ROW()-10, "")</f>
        <v/>
      </c>
      <c r="B68" s="29">
        <f>IF($A68="", "", G67)</f>
        <v/>
      </c>
      <c r="C68" s="31">
        <f>IF($A68="", "", $C$8)</f>
        <v/>
      </c>
      <c r="D68" s="29">
        <f>IF($A68="", "", ROUND(B68*C68, 2))</f>
        <v/>
      </c>
      <c r="E68" s="29">
        <f>IF($A68="", "", $E$7)</f>
        <v/>
      </c>
      <c r="F68" s="29">
        <f>IF($A68="", "", E68-D68)</f>
        <v/>
      </c>
      <c r="G68" s="29">
        <f>IF($A68="", "", B68-F68)</f>
        <v/>
      </c>
      <c r="H68" s="29">
        <f>IF($A68="", "", J67)</f>
        <v/>
      </c>
      <c r="I68" s="29">
        <f>IF($A68="", "", ROUND(H68*C68, 2))</f>
        <v/>
      </c>
      <c r="J68" s="29">
        <f>IF($A68="", "", H68+I68)</f>
        <v/>
      </c>
      <c r="K68" s="29">
        <f>IF($A68="", "", D68+I68)</f>
        <v/>
      </c>
      <c r="L68" s="29">
        <f>IF($A68="", "", SUM(D69:$D$82))</f>
        <v/>
      </c>
      <c r="M68" s="29">
        <f>IF($A68="", "", G68+L68)</f>
        <v/>
      </c>
      <c r="N68" s="29">
        <f>IF($A68="", "", M68+J68)</f>
        <v/>
      </c>
    </row>
    <row r="69">
      <c r="A69" s="20">
        <f>IF(ROW()-10&lt;=$G$6, ROW()-10, "")</f>
        <v/>
      </c>
      <c r="B69" s="23">
        <f>IF($A69="", "", G68)</f>
        <v/>
      </c>
      <c r="C69" s="25">
        <f>IF($A69="", "", $C$8)</f>
        <v/>
      </c>
      <c r="D69" s="23">
        <f>IF($A69="", "", ROUND(B69*C69, 2))</f>
        <v/>
      </c>
      <c r="E69" s="23">
        <f>IF($A69="", "", $E$7)</f>
        <v/>
      </c>
      <c r="F69" s="23">
        <f>IF($A69="", "", E69-D69)</f>
        <v/>
      </c>
      <c r="G69" s="23">
        <f>IF($A69="", "", B69-F69)</f>
        <v/>
      </c>
      <c r="H69" s="23">
        <f>IF($A69="", "", J68)</f>
        <v/>
      </c>
      <c r="I69" s="23">
        <f>IF($A69="", "", ROUND(H69*C69, 2))</f>
        <v/>
      </c>
      <c r="J69" s="23">
        <f>IF($A69="", "", H69+I69)</f>
        <v/>
      </c>
      <c r="K69" s="23">
        <f>IF($A69="", "", D69+I69)</f>
        <v/>
      </c>
      <c r="L69" s="23">
        <f>IF($A69="", "", SUM(D70:$D$82))</f>
        <v/>
      </c>
      <c r="M69" s="23">
        <f>IF($A69="", "", G69+L69)</f>
        <v/>
      </c>
      <c r="N69" s="23">
        <f>IF($A69="", "", M69+J69)</f>
        <v/>
      </c>
    </row>
    <row r="70">
      <c r="A70" s="26">
        <f>IF(ROW()-10&lt;=$G$6, ROW()-10, "")</f>
        <v/>
      </c>
      <c r="B70" s="29">
        <f>IF($A70="", "", G69)</f>
        <v/>
      </c>
      <c r="C70" s="31">
        <f>IF($A70="", "", $C$8)</f>
        <v/>
      </c>
      <c r="D70" s="29">
        <f>IF($A70="", "", ROUND(B70*C70, 2))</f>
        <v/>
      </c>
      <c r="E70" s="29">
        <f>IF($A70="", "", $E$7)</f>
        <v/>
      </c>
      <c r="F70" s="29">
        <f>IF($A70="", "", E70-D70)</f>
        <v/>
      </c>
      <c r="G70" s="29">
        <f>IF($A70="", "", B70-F70)</f>
        <v/>
      </c>
      <c r="H70" s="29">
        <f>IF($A70="", "", J69)</f>
        <v/>
      </c>
      <c r="I70" s="29">
        <f>IF($A70="", "", ROUND(H70*C70, 2))</f>
        <v/>
      </c>
      <c r="J70" s="29">
        <f>IF($A70="", "", H70+I70)</f>
        <v/>
      </c>
      <c r="K70" s="29">
        <f>IF($A70="", "", D70+I70)</f>
        <v/>
      </c>
      <c r="L70" s="29">
        <f>IF($A70="", "", SUM(D71:$D$82))</f>
        <v/>
      </c>
      <c r="M70" s="29">
        <f>IF($A70="", "", G70+L70)</f>
        <v/>
      </c>
      <c r="N70" s="29">
        <f>IF($A70="", "", M70+J70)</f>
        <v/>
      </c>
    </row>
    <row r="71">
      <c r="A71" s="20">
        <f>IF(ROW()-10&lt;=$G$6, ROW()-10, "")</f>
        <v/>
      </c>
      <c r="B71" s="23">
        <f>IF($A71="", "", G70)</f>
        <v/>
      </c>
      <c r="C71" s="25">
        <f>IF($A71="", "", $C$8)</f>
        <v/>
      </c>
      <c r="D71" s="23">
        <f>IF($A71="", "", ROUND(B71*C71, 2))</f>
        <v/>
      </c>
      <c r="E71" s="23">
        <f>IF($A71="", "", $E$7)</f>
        <v/>
      </c>
      <c r="F71" s="23">
        <f>IF($A71="", "", E71-D71)</f>
        <v/>
      </c>
      <c r="G71" s="23">
        <f>IF($A71="", "", B71-F71)</f>
        <v/>
      </c>
      <c r="H71" s="23">
        <f>IF($A71="", "", J70)</f>
        <v/>
      </c>
      <c r="I71" s="23">
        <f>IF($A71="", "", ROUND(H71*C71, 2))</f>
        <v/>
      </c>
      <c r="J71" s="23">
        <f>IF($A71="", "", H71+I71)</f>
        <v/>
      </c>
      <c r="K71" s="23">
        <f>IF($A71="", "", D71+I71)</f>
        <v/>
      </c>
      <c r="L71" s="23">
        <f>IF($A71="", "", SUM(D72:$D$82))</f>
        <v/>
      </c>
      <c r="M71" s="23">
        <f>IF($A71="", "", G71+L71)</f>
        <v/>
      </c>
      <c r="N71" s="23">
        <f>IF($A71="", "", M71+J71)</f>
        <v/>
      </c>
    </row>
    <row r="72">
      <c r="A72" s="26">
        <f>IF(ROW()-10&lt;=$G$6, ROW()-10, "")</f>
        <v/>
      </c>
      <c r="B72" s="29">
        <f>IF($A72="", "", G71)</f>
        <v/>
      </c>
      <c r="C72" s="31">
        <f>IF($A72="", "", $C$8)</f>
        <v/>
      </c>
      <c r="D72" s="29">
        <f>IF($A72="", "", ROUND(B72*C72, 2))</f>
        <v/>
      </c>
      <c r="E72" s="29">
        <f>IF($A72="", "", $E$7)</f>
        <v/>
      </c>
      <c r="F72" s="29">
        <f>IF($A72="", "", E72-D72)</f>
        <v/>
      </c>
      <c r="G72" s="29">
        <f>IF($A72="", "", B72-F72)</f>
        <v/>
      </c>
      <c r="H72" s="29">
        <f>IF($A72="", "", J71)</f>
        <v/>
      </c>
      <c r="I72" s="29">
        <f>IF($A72="", "", ROUND(H72*C72, 2))</f>
        <v/>
      </c>
      <c r="J72" s="29">
        <f>IF($A72="", "", H72+I72)</f>
        <v/>
      </c>
      <c r="K72" s="29">
        <f>IF($A72="", "", D72+I72)</f>
        <v/>
      </c>
      <c r="L72" s="29">
        <f>IF($A72="", "", SUM(D73:$D$82))</f>
        <v/>
      </c>
      <c r="M72" s="29">
        <f>IF($A72="", "", G72+L72)</f>
        <v/>
      </c>
      <c r="N72" s="29">
        <f>IF($A72="", "", M72+J72)</f>
        <v/>
      </c>
    </row>
    <row r="73">
      <c r="A73" s="20">
        <f>IF(ROW()-10&lt;=$G$6, ROW()-10, "")</f>
        <v/>
      </c>
      <c r="B73" s="23">
        <f>IF($A73="", "", G72)</f>
        <v/>
      </c>
      <c r="C73" s="25">
        <f>IF($A73="", "", $C$8)</f>
        <v/>
      </c>
      <c r="D73" s="23">
        <f>IF($A73="", "", ROUND(B73*C73, 2))</f>
        <v/>
      </c>
      <c r="E73" s="23">
        <f>IF($A73="", "", $E$7)</f>
        <v/>
      </c>
      <c r="F73" s="23">
        <f>IF($A73="", "", E73-D73)</f>
        <v/>
      </c>
      <c r="G73" s="23">
        <f>IF($A73="", "", B73-F73)</f>
        <v/>
      </c>
      <c r="H73" s="23">
        <f>IF($A73="", "", J72)</f>
        <v/>
      </c>
      <c r="I73" s="23">
        <f>IF($A73="", "", ROUND(H73*C73, 2))</f>
        <v/>
      </c>
      <c r="J73" s="23">
        <f>IF($A73="", "", H73+I73)</f>
        <v/>
      </c>
      <c r="K73" s="23">
        <f>IF($A73="", "", D73+I73)</f>
        <v/>
      </c>
      <c r="L73" s="23">
        <f>IF($A73="", "", SUM(D74:$D$82))</f>
        <v/>
      </c>
      <c r="M73" s="23">
        <f>IF($A73="", "", G73+L73)</f>
        <v/>
      </c>
      <c r="N73" s="23">
        <f>IF($A73="", "", M73+J73)</f>
        <v/>
      </c>
    </row>
    <row r="74">
      <c r="A74" s="26">
        <f>IF(ROW()-10&lt;=$G$6, ROW()-10, "")</f>
        <v/>
      </c>
      <c r="B74" s="29">
        <f>IF($A74="", "", G73)</f>
        <v/>
      </c>
      <c r="C74" s="31">
        <f>IF($A74="", "", $C$8)</f>
        <v/>
      </c>
      <c r="D74" s="29">
        <f>IF($A74="", "", ROUND(B74*C74, 2))</f>
        <v/>
      </c>
      <c r="E74" s="29">
        <f>IF($A74="", "", $E$7)</f>
        <v/>
      </c>
      <c r="F74" s="29">
        <f>IF($A74="", "", E74-D74)</f>
        <v/>
      </c>
      <c r="G74" s="29">
        <f>IF($A74="", "", B74-F74)</f>
        <v/>
      </c>
      <c r="H74" s="29">
        <f>IF($A74="", "", J73)</f>
        <v/>
      </c>
      <c r="I74" s="29">
        <f>IF($A74="", "", ROUND(H74*C74, 2))</f>
        <v/>
      </c>
      <c r="J74" s="29">
        <f>IF($A74="", "", H74+I74)</f>
        <v/>
      </c>
      <c r="K74" s="29">
        <f>IF($A74="", "", D74+I74)</f>
        <v/>
      </c>
      <c r="L74" s="29">
        <f>IF($A74="", "", SUM(D75:$D$82))</f>
        <v/>
      </c>
      <c r="M74" s="29">
        <f>IF($A74="", "", G74+L74)</f>
        <v/>
      </c>
      <c r="N74" s="29">
        <f>IF($A74="", "", M74+J74)</f>
        <v/>
      </c>
    </row>
    <row r="75">
      <c r="A75" s="20">
        <f>IF(ROW()-10&lt;=$G$6, ROW()-10, "")</f>
        <v/>
      </c>
      <c r="B75" s="23">
        <f>IF($A75="", "", G74)</f>
        <v/>
      </c>
      <c r="C75" s="25">
        <f>IF($A75="", "", $C$8)</f>
        <v/>
      </c>
      <c r="D75" s="23">
        <f>IF($A75="", "", ROUND(B75*C75, 2))</f>
        <v/>
      </c>
      <c r="E75" s="23">
        <f>IF($A75="", "", $E$7)</f>
        <v/>
      </c>
      <c r="F75" s="23">
        <f>IF($A75="", "", E75-D75)</f>
        <v/>
      </c>
      <c r="G75" s="23">
        <f>IF($A75="", "", B75-F75)</f>
        <v/>
      </c>
      <c r="H75" s="23">
        <f>IF($A75="", "", J74)</f>
        <v/>
      </c>
      <c r="I75" s="23">
        <f>IF($A75="", "", ROUND(H75*C75, 2))</f>
        <v/>
      </c>
      <c r="J75" s="23">
        <f>IF($A75="", "", H75+I75)</f>
        <v/>
      </c>
      <c r="K75" s="23">
        <f>IF($A75="", "", D75+I75)</f>
        <v/>
      </c>
      <c r="L75" s="23">
        <f>IF($A75="", "", SUM(D76:$D$82))</f>
        <v/>
      </c>
      <c r="M75" s="23">
        <f>IF($A75="", "", G75+L75)</f>
        <v/>
      </c>
      <c r="N75" s="23">
        <f>IF($A75="", "", M75+J75)</f>
        <v/>
      </c>
    </row>
    <row r="76">
      <c r="A76" s="26">
        <f>IF(ROW()-10&lt;=$G$6, ROW()-10, "")</f>
        <v/>
      </c>
      <c r="B76" s="29">
        <f>IF($A76="", "", G75)</f>
        <v/>
      </c>
      <c r="C76" s="31">
        <f>IF($A76="", "", $C$8)</f>
        <v/>
      </c>
      <c r="D76" s="29">
        <f>IF($A76="", "", ROUND(B76*C76, 2))</f>
        <v/>
      </c>
      <c r="E76" s="29">
        <f>IF($A76="", "", $E$7)</f>
        <v/>
      </c>
      <c r="F76" s="29">
        <f>IF($A76="", "", E76-D76)</f>
        <v/>
      </c>
      <c r="G76" s="29">
        <f>IF($A76="", "", B76-F76)</f>
        <v/>
      </c>
      <c r="H76" s="29">
        <f>IF($A76="", "", J75)</f>
        <v/>
      </c>
      <c r="I76" s="29">
        <f>IF($A76="", "", ROUND(H76*C76, 2))</f>
        <v/>
      </c>
      <c r="J76" s="29">
        <f>IF($A76="", "", H76+I76)</f>
        <v/>
      </c>
      <c r="K76" s="29">
        <f>IF($A76="", "", D76+I76)</f>
        <v/>
      </c>
      <c r="L76" s="29">
        <f>IF($A76="", "", SUM(D77:$D$82))</f>
        <v/>
      </c>
      <c r="M76" s="29">
        <f>IF($A76="", "", G76+L76)</f>
        <v/>
      </c>
      <c r="N76" s="29">
        <f>IF($A76="", "", M76+J76)</f>
        <v/>
      </c>
    </row>
    <row r="77">
      <c r="A77" s="20">
        <f>IF(ROW()-10&lt;=$G$6, ROW()-10, "")</f>
        <v/>
      </c>
      <c r="B77" s="23">
        <f>IF($A77="", "", G76)</f>
        <v/>
      </c>
      <c r="C77" s="25">
        <f>IF($A77="", "", $C$8)</f>
        <v/>
      </c>
      <c r="D77" s="23">
        <f>IF($A77="", "", ROUND(B77*C77, 2))</f>
        <v/>
      </c>
      <c r="E77" s="23">
        <f>IF($A77="", "", $E$7)</f>
        <v/>
      </c>
      <c r="F77" s="23">
        <f>IF($A77="", "", E77-D77)</f>
        <v/>
      </c>
      <c r="G77" s="23">
        <f>IF($A77="", "", B77-F77)</f>
        <v/>
      </c>
      <c r="H77" s="23">
        <f>IF($A77="", "", J76)</f>
        <v/>
      </c>
      <c r="I77" s="23">
        <f>IF($A77="", "", ROUND(H77*C77, 2))</f>
        <v/>
      </c>
      <c r="J77" s="23">
        <f>IF($A77="", "", H77+I77)</f>
        <v/>
      </c>
      <c r="K77" s="23">
        <f>IF($A77="", "", D77+I77)</f>
        <v/>
      </c>
      <c r="L77" s="23">
        <f>IF($A77="", "", SUM(D78:$D$82))</f>
        <v/>
      </c>
      <c r="M77" s="23">
        <f>IF($A77="", "", G77+L77)</f>
        <v/>
      </c>
      <c r="N77" s="23">
        <f>IF($A77="", "", M77+J77)</f>
        <v/>
      </c>
    </row>
    <row r="78">
      <c r="A78" s="26">
        <f>IF(ROW()-10&lt;=$G$6, ROW()-10, "")</f>
        <v/>
      </c>
      <c r="B78" s="29">
        <f>IF($A78="", "", G77)</f>
        <v/>
      </c>
      <c r="C78" s="31">
        <f>IF($A78="", "", $C$8)</f>
        <v/>
      </c>
      <c r="D78" s="29">
        <f>IF($A78="", "", ROUND(B78*C78, 2))</f>
        <v/>
      </c>
      <c r="E78" s="29">
        <f>IF($A78="", "", $E$7)</f>
        <v/>
      </c>
      <c r="F78" s="29">
        <f>IF($A78="", "", E78-D78)</f>
        <v/>
      </c>
      <c r="G78" s="29">
        <f>IF($A78="", "", B78-F78)</f>
        <v/>
      </c>
      <c r="H78" s="29">
        <f>IF($A78="", "", J77)</f>
        <v/>
      </c>
      <c r="I78" s="29">
        <f>IF($A78="", "", ROUND(H78*C78, 2))</f>
        <v/>
      </c>
      <c r="J78" s="29">
        <f>IF($A78="", "", H78+I78)</f>
        <v/>
      </c>
      <c r="K78" s="29">
        <f>IF($A78="", "", D78+I78)</f>
        <v/>
      </c>
      <c r="L78" s="29">
        <f>IF($A78="", "", SUM(D79:$D$82))</f>
        <v/>
      </c>
      <c r="M78" s="29">
        <f>IF($A78="", "", G78+L78)</f>
        <v/>
      </c>
      <c r="N78" s="29">
        <f>IF($A78="", "", M78+J78)</f>
        <v/>
      </c>
    </row>
    <row r="79">
      <c r="A79" s="20">
        <f>IF(ROW()-10&lt;=$G$6, ROW()-10, "")</f>
        <v/>
      </c>
      <c r="B79" s="23">
        <f>IF($A79="", "", G78)</f>
        <v/>
      </c>
      <c r="C79" s="25">
        <f>IF($A79="", "", $C$8)</f>
        <v/>
      </c>
      <c r="D79" s="23">
        <f>IF($A79="", "", ROUND(B79*C79, 2))</f>
        <v/>
      </c>
      <c r="E79" s="23">
        <f>IF($A79="", "", $E$7)</f>
        <v/>
      </c>
      <c r="F79" s="23">
        <f>IF($A79="", "", E79-D79)</f>
        <v/>
      </c>
      <c r="G79" s="23">
        <f>IF($A79="", "", B79-F79)</f>
        <v/>
      </c>
      <c r="H79" s="23">
        <f>IF($A79="", "", J78)</f>
        <v/>
      </c>
      <c r="I79" s="23">
        <f>IF($A79="", "", ROUND(H79*C79, 2))</f>
        <v/>
      </c>
      <c r="J79" s="23">
        <f>IF($A79="", "", H79+I79)</f>
        <v/>
      </c>
      <c r="K79" s="23">
        <f>IF($A79="", "", D79+I79)</f>
        <v/>
      </c>
      <c r="L79" s="23">
        <f>IF($A79="", "", SUM(D80:$D$82))</f>
        <v/>
      </c>
      <c r="M79" s="23">
        <f>IF($A79="", "", G79+L79)</f>
        <v/>
      </c>
      <c r="N79" s="23">
        <f>IF($A79="", "", M79+J79)</f>
        <v/>
      </c>
    </row>
    <row r="80">
      <c r="A80" s="26">
        <f>IF(ROW()-10&lt;=$G$6, ROW()-10, "")</f>
        <v/>
      </c>
      <c r="B80" s="29">
        <f>IF($A80="", "", G79)</f>
        <v/>
      </c>
      <c r="C80" s="31">
        <f>IF($A80="", "", $C$8)</f>
        <v/>
      </c>
      <c r="D80" s="29">
        <f>IF($A80="", "", ROUND(B80*C80, 2))</f>
        <v/>
      </c>
      <c r="E80" s="29">
        <f>IF($A80="", "", $E$7)</f>
        <v/>
      </c>
      <c r="F80" s="29">
        <f>IF($A80="", "", E80-D80)</f>
        <v/>
      </c>
      <c r="G80" s="29">
        <f>IF($A80="", "", B80-F80)</f>
        <v/>
      </c>
      <c r="H80" s="29">
        <f>IF($A80="", "", J79)</f>
        <v/>
      </c>
      <c r="I80" s="29">
        <f>IF($A80="", "", ROUND(H80*C80, 2))</f>
        <v/>
      </c>
      <c r="J80" s="29">
        <f>IF($A80="", "", H80+I80)</f>
        <v/>
      </c>
      <c r="K80" s="29">
        <f>IF($A80="", "", D80+I80)</f>
        <v/>
      </c>
      <c r="L80" s="29">
        <f>IF($A80="", "", SUM(D81:$D$82))</f>
        <v/>
      </c>
      <c r="M80" s="29">
        <f>IF($A80="", "", G80+L80)</f>
        <v/>
      </c>
      <c r="N80" s="29">
        <f>IF($A80="", "", M80+J80)</f>
        <v/>
      </c>
    </row>
    <row r="81">
      <c r="A81" s="20">
        <f>IF(ROW()-10&lt;=$G$6, ROW()-10, "")</f>
        <v/>
      </c>
      <c r="B81" s="23">
        <f>IF($A81="", "", G80)</f>
        <v/>
      </c>
      <c r="C81" s="25">
        <f>IF($A81="", "", $C$8)</f>
        <v/>
      </c>
      <c r="D81" s="23">
        <f>IF($A81="", "", ROUND(B81*C81, 2))</f>
        <v/>
      </c>
      <c r="E81" s="23">
        <f>IF($A81="", "", $E$7)</f>
        <v/>
      </c>
      <c r="F81" s="23">
        <f>IF($A81="", "", E81-D81)</f>
        <v/>
      </c>
      <c r="G81" s="23">
        <f>IF($A81="", "", B81-F81)</f>
        <v/>
      </c>
      <c r="H81" s="23">
        <f>IF($A81="", "", J80)</f>
        <v/>
      </c>
      <c r="I81" s="23">
        <f>IF($A81="", "", ROUND(H81*C81, 2))</f>
        <v/>
      </c>
      <c r="J81" s="23">
        <f>IF($A81="", "", H81+I81)</f>
        <v/>
      </c>
      <c r="K81" s="23">
        <f>IF($A81="", "", D81+I81)</f>
        <v/>
      </c>
      <c r="L81" s="23">
        <f>IF($A81="", "", SUM(D82:$D$82))</f>
        <v/>
      </c>
      <c r="M81" s="23">
        <f>IF($A81="", "", G81+L81)</f>
        <v/>
      </c>
      <c r="N81" s="23">
        <f>IF($A81="", "", M81+J81)</f>
        <v/>
      </c>
    </row>
    <row r="82">
      <c r="A82" s="26">
        <f>IF(ROW()-10&lt;=$G$6, ROW()-10, "")</f>
        <v/>
      </c>
      <c r="B82" s="29">
        <f>IF($A82="", "", G81)</f>
        <v/>
      </c>
      <c r="C82" s="31">
        <f>IF($A82="", "", $C$8)</f>
        <v/>
      </c>
      <c r="D82" s="29">
        <f>IF($A82="", "", ROUND(B82*C82, 2))</f>
        <v/>
      </c>
      <c r="E82" s="29">
        <f>IF($A82="", "", $E$7)</f>
        <v/>
      </c>
      <c r="F82" s="29">
        <f>IF($A82="", "", E82-D82)</f>
        <v/>
      </c>
      <c r="G82" s="29">
        <f>IF($A82="", "", B82-F82)</f>
        <v/>
      </c>
      <c r="H82" s="29">
        <f>IF($A82="", "", J81)</f>
        <v/>
      </c>
      <c r="I82" s="29">
        <f>IF($A82="", "", ROUND(H82*C82, 2))</f>
        <v/>
      </c>
      <c r="J82" s="29">
        <f>IF($A82="", "", H82+I82)</f>
        <v/>
      </c>
      <c r="K82" s="29">
        <f>IF($A82="", "", D82+I82)</f>
        <v/>
      </c>
      <c r="L82" s="29">
        <f>IF($A82="", "", 0)</f>
        <v/>
      </c>
      <c r="M82" s="29">
        <f>IF($A82="", "", G82+L82)</f>
        <v/>
      </c>
      <c r="N82" s="29">
        <f>IF($A82="", "", M82+J82)</f>
        <v/>
      </c>
    </row>
    <row r="83">
      <c r="A83" s="32" t="inlineStr">
        <is>
          <t>TOTALES DEL CONTRATO</t>
        </is>
      </c>
      <c r="B83" s="34" t="n"/>
      <c r="C83" s="34" t="n"/>
      <c r="D83" s="35">
        <f>SUM(D11:D82)</f>
        <v/>
      </c>
      <c r="E83" s="35">
        <f>SUM(E11:E82)</f>
        <v/>
      </c>
      <c r="F83" s="35">
        <f>SUM(F11:F82)</f>
        <v/>
      </c>
      <c r="G83" s="34" t="n"/>
      <c r="H83" s="34" t="n"/>
      <c r="I83" s="35">
        <f>SUM(I11:I82)</f>
        <v/>
      </c>
      <c r="J83" s="34" t="n"/>
      <c r="K83" s="35">
        <f>SUM(K11:K82)</f>
        <v/>
      </c>
      <c r="L83" s="34" t="n"/>
      <c r="M83" s="34" t="n"/>
      <c r="N83" s="34" t="n"/>
    </row>
  </sheetData>
  <mergeCells count="5">
    <mergeCell ref="A9:N9"/>
    <mergeCell ref="A2:N2"/>
    <mergeCell ref="A83:C83"/>
    <mergeCell ref="D4:K4"/>
    <mergeCell ref="A1:N1"/>
  </mergeCells>
  <dataValidations count="1">
    <dataValidation sqref="C4" showDropDown="0" showInputMessage="0" showErrorMessage="0" allowBlank="0" type="list">
      <formula1>=CONTRATOS_LISTA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82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2" customWidth="1" min="4" max="4"/>
    <col width="13" customWidth="1" min="5" max="5"/>
    <col width="15" customWidth="1" min="6" max="6"/>
    <col width="10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24" customHeight="1">
      <c r="A1" s="18" t="inlineStr">
        <is>
          <t>O-LEASING · UNA APP DE ORANGE CREW · Intereses de Leasing Devengados Mes a Mes</t>
        </is>
      </c>
    </row>
    <row r="2" ht="16" customHeight="1">
      <c r="A2" s="3" t="inlineStr">
        <is>
          <t>Devengo mensual de intereses de leasing con fórmulas vivas de saldo de capital por tasa · Auditoría Financiera NIF C-15 / IFRS 16 · Desarrollado por Orange Crew</t>
        </is>
      </c>
    </row>
    <row r="4" ht="26" customHeight="1">
      <c r="A4" s="19" t="inlineStr">
        <is>
          <t>ID_Contrato</t>
        </is>
      </c>
      <c r="B4" s="19" t="inlineStr">
        <is>
          <t>Cliente</t>
        </is>
      </c>
      <c r="C4" s="19" t="inlineStr">
        <is>
          <t>Vehiculo</t>
        </is>
      </c>
      <c r="D4" s="19" t="inlineStr">
        <is>
          <t>Estatus</t>
        </is>
      </c>
      <c r="E4" s="19" t="inlineStr">
        <is>
          <t>Fecha_Alta</t>
        </is>
      </c>
      <c r="F4" s="19" t="inlineStr">
        <is>
          <t>Fecha_Vencimiento</t>
        </is>
      </c>
      <c r="G4" s="19" t="inlineStr">
        <is>
          <t>Plazo</t>
        </is>
      </c>
      <c r="H4" s="19" t="inlineStr">
        <is>
          <t>Inversion_Neta</t>
        </is>
      </c>
      <c r="I4" s="9" t="inlineStr">
        <is>
          <t>2026-01</t>
        </is>
      </c>
      <c r="J4" s="9" t="inlineStr">
        <is>
          <t>2026-02</t>
        </is>
      </c>
      <c r="K4" s="9" t="inlineStr">
        <is>
          <t>2026-03</t>
        </is>
      </c>
      <c r="L4" s="9" t="inlineStr">
        <is>
          <t>2026-04</t>
        </is>
      </c>
      <c r="M4" s="9" t="inlineStr">
        <is>
          <t>2026-05</t>
        </is>
      </c>
      <c r="N4" s="9" t="inlineStr">
        <is>
          <t>2026-06</t>
        </is>
      </c>
      <c r="O4" s="9" t="inlineStr">
        <is>
          <t>2026-07</t>
        </is>
      </c>
      <c r="P4" s="9" t="inlineStr">
        <is>
          <t>2026-08</t>
        </is>
      </c>
      <c r="Q4" s="9" t="inlineStr">
        <is>
          <t>2026-09</t>
        </is>
      </c>
      <c r="R4" s="9" t="inlineStr">
        <is>
          <t>2026-10</t>
        </is>
      </c>
      <c r="S4" s="9" t="inlineStr">
        <is>
          <t>2026-11</t>
        </is>
      </c>
      <c r="T4" s="9" t="inlineStr">
        <is>
          <t>2026-12</t>
        </is>
      </c>
      <c r="U4" s="46" t="inlineStr">
        <is>
          <t>Total_Devengado_Leasing</t>
        </is>
      </c>
    </row>
    <row r="5">
      <c r="A5" s="20" t="inlineStr">
        <is>
          <t>0326-0003</t>
        </is>
      </c>
      <c r="B5" s="21" t="inlineStr">
        <is>
          <t>Alberto Vázquez Solorio</t>
        </is>
      </c>
      <c r="C5" s="21" t="inlineStr">
        <is>
          <t>Volkswagen Tiguan R-Line 2026</t>
        </is>
      </c>
      <c r="D5" s="20" t="inlineStr">
        <is>
          <t>ACTIVO</t>
        </is>
      </c>
      <c r="E5" s="20" t="inlineStr">
        <is>
          <t>2026-09-16</t>
        </is>
      </c>
      <c r="F5" s="20" t="inlineStr">
        <is>
          <t>2030-09-16</t>
        </is>
      </c>
      <c r="G5" s="22" t="n">
        <v>48</v>
      </c>
      <c r="H5" s="23" t="n">
        <v>406120.26</v>
      </c>
      <c r="I5" s="23" t="inlineStr"/>
      <c r="J5" s="23" t="inlineStr"/>
      <c r="K5" s="23" t="inlineStr"/>
      <c r="L5" s="23" t="inlineStr"/>
      <c r="M5" s="23" t="inlineStr"/>
      <c r="N5" s="23" t="inlineStr"/>
      <c r="O5" s="23" t="inlineStr"/>
      <c r="P5" s="23" t="inlineStr"/>
      <c r="Q5" s="23">
        <f>ROUND('Resumen_Cartera'!$K5 * 'Resumen_Cartera'!$Q5, 2)</f>
        <v/>
      </c>
      <c r="R5" s="23">
        <f>IF(Saldos_Capital_Mensual!Q5&gt;0, ROUND(Saldos_Capital_Mensual!Q5 * 'Resumen_Cartera'!$Q5, 2), "")</f>
        <v/>
      </c>
      <c r="S5" s="23">
        <f>IF(Saldos_Capital_Mensual!R5&gt;0, ROUND(Saldos_Capital_Mensual!R5 * 'Resumen_Cartera'!$Q5, 2), "")</f>
        <v/>
      </c>
      <c r="T5" s="23">
        <f>IF(Saldos_Capital_Mensual!S5&gt;0, ROUND(Saldos_Capital_Mensual!S5 * 'Resumen_Cartera'!$Q5, 2), "")</f>
        <v/>
      </c>
      <c r="U5" s="23">
        <f>SUM(I5:T5)</f>
        <v/>
      </c>
    </row>
    <row r="6">
      <c r="A6" s="26" t="inlineStr">
        <is>
          <t>0472-0003</t>
        </is>
      </c>
      <c r="B6" s="27" t="inlineStr">
        <is>
          <t>Miguel Zazueta Beltrán</t>
        </is>
      </c>
      <c r="C6" s="27" t="inlineStr">
        <is>
          <t>Jeep Grand Cherokee</t>
        </is>
      </c>
      <c r="D6" s="26" t="inlineStr">
        <is>
          <t>ACTIVO</t>
        </is>
      </c>
      <c r="E6" s="26" t="inlineStr">
        <is>
          <t>2026-02-03</t>
        </is>
      </c>
      <c r="F6" s="26" t="inlineStr">
        <is>
          <t>2029-02-03</t>
        </is>
      </c>
      <c r="G6" s="28" t="n">
        <v>36</v>
      </c>
      <c r="H6" s="29" t="n">
        <v>852203.53</v>
      </c>
      <c r="I6" s="29" t="inlineStr"/>
      <c r="J6" s="29">
        <f>ROUND('Resumen_Cartera'!$K6 * 'Resumen_Cartera'!$Q6, 2)</f>
        <v/>
      </c>
      <c r="K6" s="29">
        <f>IF(Saldos_Capital_Mensual!J6&gt;0, ROUND(Saldos_Capital_Mensual!J6 * 'Resumen_Cartera'!$Q6, 2), "")</f>
        <v/>
      </c>
      <c r="L6" s="29">
        <f>IF(Saldos_Capital_Mensual!K6&gt;0, ROUND(Saldos_Capital_Mensual!K6 * 'Resumen_Cartera'!$Q6, 2), "")</f>
        <v/>
      </c>
      <c r="M6" s="29">
        <f>IF(Saldos_Capital_Mensual!L6&gt;0, ROUND(Saldos_Capital_Mensual!L6 * 'Resumen_Cartera'!$Q6, 2), "")</f>
        <v/>
      </c>
      <c r="N6" s="29">
        <f>IF(Saldos_Capital_Mensual!M6&gt;0, ROUND(Saldos_Capital_Mensual!M6 * 'Resumen_Cartera'!$Q6, 2), "")</f>
        <v/>
      </c>
      <c r="O6" s="29">
        <f>IF(Saldos_Capital_Mensual!N6&gt;0, ROUND(Saldos_Capital_Mensual!N6 * 'Resumen_Cartera'!$Q6, 2), "")</f>
        <v/>
      </c>
      <c r="P6" s="29">
        <f>IF(Saldos_Capital_Mensual!O6&gt;0, ROUND(Saldos_Capital_Mensual!O6 * 'Resumen_Cartera'!$Q6, 2), "")</f>
        <v/>
      </c>
      <c r="Q6" s="29">
        <f>IF(Saldos_Capital_Mensual!P6&gt;0, ROUND(Saldos_Capital_Mensual!P6 * 'Resumen_Cartera'!$Q6, 2), "")</f>
        <v/>
      </c>
      <c r="R6" s="29">
        <f>IF(Saldos_Capital_Mensual!Q6&gt;0, ROUND(Saldos_Capital_Mensual!Q6 * 'Resumen_Cartera'!$Q6, 2), "")</f>
        <v/>
      </c>
      <c r="S6" s="29">
        <f>IF(Saldos_Capital_Mensual!R6&gt;0, ROUND(Saldos_Capital_Mensual!R6 * 'Resumen_Cartera'!$Q6, 2), "")</f>
        <v/>
      </c>
      <c r="T6" s="29">
        <f>IF(Saldos_Capital_Mensual!S6&gt;0, ROUND(Saldos_Capital_Mensual!S6 * 'Resumen_Cartera'!$Q6, 2), "")</f>
        <v/>
      </c>
      <c r="U6" s="29">
        <f>SUM(I6:T6)</f>
        <v/>
      </c>
    </row>
    <row r="7">
      <c r="A7" s="20" t="inlineStr">
        <is>
          <t>0504-0004</t>
        </is>
      </c>
      <c r="B7" s="21" t="inlineStr">
        <is>
          <t>Oscar Ivan Lozano Terriquez</t>
        </is>
      </c>
      <c r="C7" s="21" t="inlineStr">
        <is>
          <t>700 BIGHORN "S" CREW CAB MT</t>
        </is>
      </c>
      <c r="D7" s="20" t="inlineStr">
        <is>
          <t>ACTIVO</t>
        </is>
      </c>
      <c r="E7" s="20" t="inlineStr">
        <is>
          <t>2026-01-05</t>
        </is>
      </c>
      <c r="F7" s="20" t="inlineStr">
        <is>
          <t>2027-01-05</t>
        </is>
      </c>
      <c r="G7" s="22" t="n">
        <v>12</v>
      </c>
      <c r="H7" s="23" t="n">
        <v>229125</v>
      </c>
      <c r="I7" s="23">
        <f>ROUND('Resumen_Cartera'!$K7 * 'Resumen_Cartera'!$Q7, 2)</f>
        <v/>
      </c>
      <c r="J7" s="23">
        <f>IF(Saldos_Capital_Mensual!I7&gt;0, ROUND(Saldos_Capital_Mensual!I7 * 'Resumen_Cartera'!$Q7, 2), "")</f>
        <v/>
      </c>
      <c r="K7" s="23">
        <f>IF(Saldos_Capital_Mensual!J7&gt;0, ROUND(Saldos_Capital_Mensual!J7 * 'Resumen_Cartera'!$Q7, 2), "")</f>
        <v/>
      </c>
      <c r="L7" s="23">
        <f>IF(Saldos_Capital_Mensual!K7&gt;0, ROUND(Saldos_Capital_Mensual!K7 * 'Resumen_Cartera'!$Q7, 2), "")</f>
        <v/>
      </c>
      <c r="M7" s="23">
        <f>IF(Saldos_Capital_Mensual!L7&gt;0, ROUND(Saldos_Capital_Mensual!L7 * 'Resumen_Cartera'!$Q7, 2), "")</f>
        <v/>
      </c>
      <c r="N7" s="23">
        <f>IF(Saldos_Capital_Mensual!M7&gt;0, ROUND(Saldos_Capital_Mensual!M7 * 'Resumen_Cartera'!$Q7, 2), "")</f>
        <v/>
      </c>
      <c r="O7" s="23">
        <f>IF(Saldos_Capital_Mensual!N7&gt;0, ROUND(Saldos_Capital_Mensual!N7 * 'Resumen_Cartera'!$Q7, 2), "")</f>
        <v/>
      </c>
      <c r="P7" s="23">
        <f>IF(Saldos_Capital_Mensual!O7&gt;0, ROUND(Saldos_Capital_Mensual!O7 * 'Resumen_Cartera'!$Q7, 2), "")</f>
        <v/>
      </c>
      <c r="Q7" s="23">
        <f>IF(Saldos_Capital_Mensual!P7&gt;0, ROUND(Saldos_Capital_Mensual!P7 * 'Resumen_Cartera'!$Q7, 2), "")</f>
        <v/>
      </c>
      <c r="R7" s="23">
        <f>IF(Saldos_Capital_Mensual!Q7&gt;0, ROUND(Saldos_Capital_Mensual!Q7 * 'Resumen_Cartera'!$Q7, 2), "")</f>
        <v/>
      </c>
      <c r="S7" s="23">
        <f>IF(Saldos_Capital_Mensual!R7&gt;0, ROUND(Saldos_Capital_Mensual!R7 * 'Resumen_Cartera'!$Q7, 2), "")</f>
        <v/>
      </c>
      <c r="T7" s="23">
        <f>IF(Saldos_Capital_Mensual!S7&gt;0, ROUND(Saldos_Capital_Mensual!S7 * 'Resumen_Cartera'!$Q7, 2), "")</f>
        <v/>
      </c>
      <c r="U7" s="23">
        <f>SUM(I7:T7)</f>
        <v/>
      </c>
    </row>
    <row r="8">
      <c r="A8" s="26" t="inlineStr">
        <is>
          <t>0506-0006</t>
        </is>
      </c>
      <c r="B8" s="27" t="inlineStr">
        <is>
          <t>Electronic Accounting Sa de Cv</t>
        </is>
      </c>
      <c r="C8" s="27" t="inlineStr">
        <is>
          <t>X5</t>
        </is>
      </c>
      <c r="D8" s="26" t="inlineStr">
        <is>
          <t>ACTIVO</t>
        </is>
      </c>
      <c r="E8" s="26" t="inlineStr">
        <is>
          <t>2024-01-10</t>
        </is>
      </c>
      <c r="F8" s="26" t="inlineStr">
        <is>
          <t>2027-01-10</t>
        </is>
      </c>
      <c r="G8" s="28" t="n">
        <v>36</v>
      </c>
      <c r="H8" s="29" t="n">
        <v>1336969.4</v>
      </c>
      <c r="I8" s="29">
        <f>ROUND(868919.79 * 'Resumen_Cartera'!$Q8, 2)</f>
        <v/>
      </c>
      <c r="J8" s="29">
        <f>IF(Saldos_Capital_Mensual!I8&gt;0, ROUND(Saldos_Capital_Mensual!I8 * 'Resumen_Cartera'!$Q8, 2), "")</f>
        <v/>
      </c>
      <c r="K8" s="29">
        <f>IF(Saldos_Capital_Mensual!J8&gt;0, ROUND(Saldos_Capital_Mensual!J8 * 'Resumen_Cartera'!$Q8, 2), "")</f>
        <v/>
      </c>
      <c r="L8" s="29">
        <f>IF(Saldos_Capital_Mensual!K8&gt;0, ROUND(Saldos_Capital_Mensual!K8 * 'Resumen_Cartera'!$Q8, 2), "")</f>
        <v/>
      </c>
      <c r="M8" s="29">
        <f>IF(Saldos_Capital_Mensual!L8&gt;0, ROUND(Saldos_Capital_Mensual!L8 * 'Resumen_Cartera'!$Q8, 2), "")</f>
        <v/>
      </c>
      <c r="N8" s="29">
        <f>IF(Saldos_Capital_Mensual!M8&gt;0, ROUND(Saldos_Capital_Mensual!M8 * 'Resumen_Cartera'!$Q8, 2), "")</f>
        <v/>
      </c>
      <c r="O8" s="29">
        <f>IF(Saldos_Capital_Mensual!N8&gt;0, ROUND(Saldos_Capital_Mensual!N8 * 'Resumen_Cartera'!$Q8, 2), "")</f>
        <v/>
      </c>
      <c r="P8" s="29">
        <f>IF(Saldos_Capital_Mensual!O8&gt;0, ROUND(Saldos_Capital_Mensual!O8 * 'Resumen_Cartera'!$Q8, 2), "")</f>
        <v/>
      </c>
      <c r="Q8" s="29">
        <f>IF(Saldos_Capital_Mensual!P8&gt;0, ROUND(Saldos_Capital_Mensual!P8 * 'Resumen_Cartera'!$Q8, 2), "")</f>
        <v/>
      </c>
      <c r="R8" s="29">
        <f>IF(Saldos_Capital_Mensual!Q8&gt;0, ROUND(Saldos_Capital_Mensual!Q8 * 'Resumen_Cartera'!$Q8, 2), "")</f>
        <v/>
      </c>
      <c r="S8" s="29">
        <f>IF(Saldos_Capital_Mensual!R8&gt;0, ROUND(Saldos_Capital_Mensual!R8 * 'Resumen_Cartera'!$Q8, 2), "")</f>
        <v/>
      </c>
      <c r="T8" s="29">
        <f>IF(Saldos_Capital_Mensual!S8&gt;0, ROUND(Saldos_Capital_Mensual!S8 * 'Resumen_Cartera'!$Q8, 2), "")</f>
        <v/>
      </c>
      <c r="U8" s="29">
        <f>SUM(I8:T8)</f>
        <v/>
      </c>
    </row>
    <row r="9">
      <c r="A9" s="20" t="inlineStr">
        <is>
          <t>0506-0007</t>
        </is>
      </c>
      <c r="B9" s="21" t="inlineStr">
        <is>
          <t>Electronic Acounting</t>
        </is>
      </c>
      <c r="C9" s="21" t="inlineStr">
        <is>
          <t>L200 Glx Diesel</t>
        </is>
      </c>
      <c r="D9" s="20" t="inlineStr">
        <is>
          <t>ACTIVO</t>
        </is>
      </c>
      <c r="E9" s="20" t="inlineStr">
        <is>
          <t>2024-09-05</t>
        </is>
      </c>
      <c r="F9" s="20" t="inlineStr">
        <is>
          <t>2027-09-05</t>
        </is>
      </c>
      <c r="G9" s="22" t="n">
        <v>36</v>
      </c>
      <c r="H9" s="23" t="n">
        <v>536762.9300000001</v>
      </c>
      <c r="I9" s="23">
        <f>ROUND(409096.92 * 'Resumen_Cartera'!$Q9, 2)</f>
        <v/>
      </c>
      <c r="J9" s="23">
        <f>IF(Saldos_Capital_Mensual!I9&gt;0, ROUND(Saldos_Capital_Mensual!I9 * 'Resumen_Cartera'!$Q9, 2), "")</f>
        <v/>
      </c>
      <c r="K9" s="23">
        <f>IF(Saldos_Capital_Mensual!J9&gt;0, ROUND(Saldos_Capital_Mensual!J9 * 'Resumen_Cartera'!$Q9, 2), "")</f>
        <v/>
      </c>
      <c r="L9" s="23">
        <f>IF(Saldos_Capital_Mensual!K9&gt;0, ROUND(Saldos_Capital_Mensual!K9 * 'Resumen_Cartera'!$Q9, 2), "")</f>
        <v/>
      </c>
      <c r="M9" s="23">
        <f>IF(Saldos_Capital_Mensual!L9&gt;0, ROUND(Saldos_Capital_Mensual!L9 * 'Resumen_Cartera'!$Q9, 2), "")</f>
        <v/>
      </c>
      <c r="N9" s="23">
        <f>IF(Saldos_Capital_Mensual!M9&gt;0, ROUND(Saldos_Capital_Mensual!M9 * 'Resumen_Cartera'!$Q9, 2), "")</f>
        <v/>
      </c>
      <c r="O9" s="23">
        <f>IF(Saldos_Capital_Mensual!N9&gt;0, ROUND(Saldos_Capital_Mensual!N9 * 'Resumen_Cartera'!$Q9, 2), "")</f>
        <v/>
      </c>
      <c r="P9" s="23">
        <f>IF(Saldos_Capital_Mensual!O9&gt;0, ROUND(Saldos_Capital_Mensual!O9 * 'Resumen_Cartera'!$Q9, 2), "")</f>
        <v/>
      </c>
      <c r="Q9" s="23">
        <f>IF(Saldos_Capital_Mensual!P9&gt;0, ROUND(Saldos_Capital_Mensual!P9 * 'Resumen_Cartera'!$Q9, 2), "")</f>
        <v/>
      </c>
      <c r="R9" s="23">
        <f>IF(Saldos_Capital_Mensual!Q9&gt;0, ROUND(Saldos_Capital_Mensual!Q9 * 'Resumen_Cartera'!$Q9, 2), "")</f>
        <v/>
      </c>
      <c r="S9" s="23">
        <f>IF(Saldos_Capital_Mensual!R9&gt;0, ROUND(Saldos_Capital_Mensual!R9 * 'Resumen_Cartera'!$Q9, 2), "")</f>
        <v/>
      </c>
      <c r="T9" s="23">
        <f>IF(Saldos_Capital_Mensual!S9&gt;0, ROUND(Saldos_Capital_Mensual!S9 * 'Resumen_Cartera'!$Q9, 2), "")</f>
        <v/>
      </c>
      <c r="U9" s="23">
        <f>SUM(I9:T9)</f>
        <v/>
      </c>
    </row>
    <row r="10">
      <c r="A10" s="26" t="inlineStr">
        <is>
          <t>0519-0005</t>
        </is>
      </c>
      <c r="B10" s="27" t="inlineStr">
        <is>
          <t>Tequilas el Mexicano S.A. de C.V.</t>
        </is>
      </c>
      <c r="C10" s="27" t="inlineStr">
        <is>
          <t>Attitude Sport</t>
        </is>
      </c>
      <c r="D10" s="26" t="inlineStr">
        <is>
          <t>ACTIVO</t>
        </is>
      </c>
      <c r="E10" s="26" t="inlineStr">
        <is>
          <t>2025-07-14</t>
        </is>
      </c>
      <c r="F10" s="26" t="inlineStr">
        <is>
          <t>2029-07-14</t>
        </is>
      </c>
      <c r="G10" s="28" t="n">
        <v>48</v>
      </c>
      <c r="H10" s="29" t="n">
        <v>317250</v>
      </c>
      <c r="I10" s="29">
        <f>ROUND(298355.25 * 'Resumen_Cartera'!$Q10, 2)</f>
        <v/>
      </c>
      <c r="J10" s="29">
        <f>IF(Saldos_Capital_Mensual!I10&gt;0, ROUND(Saldos_Capital_Mensual!I10 * 'Resumen_Cartera'!$Q10, 2), "")</f>
        <v/>
      </c>
      <c r="K10" s="29">
        <f>IF(Saldos_Capital_Mensual!J10&gt;0, ROUND(Saldos_Capital_Mensual!J10 * 'Resumen_Cartera'!$Q10, 2), "")</f>
        <v/>
      </c>
      <c r="L10" s="29">
        <f>IF(Saldos_Capital_Mensual!K10&gt;0, ROUND(Saldos_Capital_Mensual!K10 * 'Resumen_Cartera'!$Q10, 2), "")</f>
        <v/>
      </c>
      <c r="M10" s="29">
        <f>IF(Saldos_Capital_Mensual!L10&gt;0, ROUND(Saldos_Capital_Mensual!L10 * 'Resumen_Cartera'!$Q10, 2), "")</f>
        <v/>
      </c>
      <c r="N10" s="29">
        <f>IF(Saldos_Capital_Mensual!M10&gt;0, ROUND(Saldos_Capital_Mensual!M10 * 'Resumen_Cartera'!$Q10, 2), "")</f>
        <v/>
      </c>
      <c r="O10" s="29">
        <f>IF(Saldos_Capital_Mensual!N10&gt;0, ROUND(Saldos_Capital_Mensual!N10 * 'Resumen_Cartera'!$Q10, 2), "")</f>
        <v/>
      </c>
      <c r="P10" s="29">
        <f>IF(Saldos_Capital_Mensual!O10&gt;0, ROUND(Saldos_Capital_Mensual!O10 * 'Resumen_Cartera'!$Q10, 2), "")</f>
        <v/>
      </c>
      <c r="Q10" s="29">
        <f>IF(Saldos_Capital_Mensual!P10&gt;0, ROUND(Saldos_Capital_Mensual!P10 * 'Resumen_Cartera'!$Q10, 2), "")</f>
        <v/>
      </c>
      <c r="R10" s="29">
        <f>IF(Saldos_Capital_Mensual!Q10&gt;0, ROUND(Saldos_Capital_Mensual!Q10 * 'Resumen_Cartera'!$Q10, 2), "")</f>
        <v/>
      </c>
      <c r="S10" s="29">
        <f>IF(Saldos_Capital_Mensual!R10&gt;0, ROUND(Saldos_Capital_Mensual!R10 * 'Resumen_Cartera'!$Q10, 2), "")</f>
        <v/>
      </c>
      <c r="T10" s="29">
        <f>IF(Saldos_Capital_Mensual!S10&gt;0, ROUND(Saldos_Capital_Mensual!S10 * 'Resumen_Cartera'!$Q10, 2), "")</f>
        <v/>
      </c>
      <c r="U10" s="29">
        <f>SUM(I10:T10)</f>
        <v/>
      </c>
    </row>
    <row r="11">
      <c r="A11" s="20" t="inlineStr">
        <is>
          <t>0520-0003</t>
        </is>
      </c>
      <c r="B11" s="21" t="inlineStr">
        <is>
          <t>Tractomotriz Diesel Leal, S.A. de C.V.</t>
        </is>
      </c>
      <c r="C11" s="21" t="inlineStr">
        <is>
          <t>Montero Sport</t>
        </is>
      </c>
      <c r="D11" s="20" t="inlineStr">
        <is>
          <t>ACTIVO</t>
        </is>
      </c>
      <c r="E11" s="20" t="inlineStr">
        <is>
          <t>2025-11-28</t>
        </is>
      </c>
      <c r="F11" s="20" t="inlineStr">
        <is>
          <t>2028-11-28</t>
        </is>
      </c>
      <c r="G11" s="22" t="n">
        <v>36</v>
      </c>
      <c r="H11" s="23" t="n">
        <v>372879.31</v>
      </c>
      <c r="I11" s="23">
        <f>ROUND(362238.02 * 'Resumen_Cartera'!$Q11, 2)</f>
        <v/>
      </c>
      <c r="J11" s="23">
        <f>IF(Saldos_Capital_Mensual!I11&gt;0, ROUND(Saldos_Capital_Mensual!I11 * 'Resumen_Cartera'!$Q11, 2), "")</f>
        <v/>
      </c>
      <c r="K11" s="23">
        <f>IF(Saldos_Capital_Mensual!J11&gt;0, ROUND(Saldos_Capital_Mensual!J11 * 'Resumen_Cartera'!$Q11, 2), "")</f>
        <v/>
      </c>
      <c r="L11" s="23">
        <f>IF(Saldos_Capital_Mensual!K11&gt;0, ROUND(Saldos_Capital_Mensual!K11 * 'Resumen_Cartera'!$Q11, 2), "")</f>
        <v/>
      </c>
      <c r="M11" s="23">
        <f>IF(Saldos_Capital_Mensual!L11&gt;0, ROUND(Saldos_Capital_Mensual!L11 * 'Resumen_Cartera'!$Q11, 2), "")</f>
        <v/>
      </c>
      <c r="N11" s="23">
        <f>IF(Saldos_Capital_Mensual!M11&gt;0, ROUND(Saldos_Capital_Mensual!M11 * 'Resumen_Cartera'!$Q11, 2), "")</f>
        <v/>
      </c>
      <c r="O11" s="23">
        <f>IF(Saldos_Capital_Mensual!N11&gt;0, ROUND(Saldos_Capital_Mensual!N11 * 'Resumen_Cartera'!$Q11, 2), "")</f>
        <v/>
      </c>
      <c r="P11" s="23">
        <f>IF(Saldos_Capital_Mensual!O11&gt;0, ROUND(Saldos_Capital_Mensual!O11 * 'Resumen_Cartera'!$Q11, 2), "")</f>
        <v/>
      </c>
      <c r="Q11" s="23">
        <f>IF(Saldos_Capital_Mensual!P11&gt;0, ROUND(Saldos_Capital_Mensual!P11 * 'Resumen_Cartera'!$Q11, 2), "")</f>
        <v/>
      </c>
      <c r="R11" s="23">
        <f>IF(Saldos_Capital_Mensual!Q11&gt;0, ROUND(Saldos_Capital_Mensual!Q11 * 'Resumen_Cartera'!$Q11, 2), "")</f>
        <v/>
      </c>
      <c r="S11" s="23">
        <f>IF(Saldos_Capital_Mensual!R11&gt;0, ROUND(Saldos_Capital_Mensual!R11 * 'Resumen_Cartera'!$Q11, 2), "")</f>
        <v/>
      </c>
      <c r="T11" s="23">
        <f>IF(Saldos_Capital_Mensual!S11&gt;0, ROUND(Saldos_Capital_Mensual!S11 * 'Resumen_Cartera'!$Q11, 2), "")</f>
        <v/>
      </c>
      <c r="U11" s="23">
        <f>SUM(I11:T11)</f>
        <v/>
      </c>
    </row>
    <row r="12">
      <c r="A12" s="26" t="inlineStr">
        <is>
          <t>0520-0004</t>
        </is>
      </c>
      <c r="B12" s="27" t="inlineStr">
        <is>
          <t>Tractomotriz Diesel Leal, S.A. de C.V.</t>
        </is>
      </c>
      <c r="C12" s="27" t="inlineStr">
        <is>
          <t>Partner Maxi Pack</t>
        </is>
      </c>
      <c r="D12" s="26" t="inlineStr">
        <is>
          <t>ACTIVO</t>
        </is>
      </c>
      <c r="E12" s="26" t="inlineStr">
        <is>
          <t>2025-12-04</t>
        </is>
      </c>
      <c r="F12" s="26" t="inlineStr">
        <is>
          <t>2028-12-04</t>
        </is>
      </c>
      <c r="G12" s="28" t="n">
        <v>36</v>
      </c>
      <c r="H12" s="29" t="n">
        <v>240218.27</v>
      </c>
      <c r="I12" s="29">
        <f>ROUND(236835.63 * 'Resumen_Cartera'!$Q12, 2)</f>
        <v/>
      </c>
      <c r="J12" s="29">
        <f>IF(Saldos_Capital_Mensual!I12&gt;0, ROUND(Saldos_Capital_Mensual!I12 * 'Resumen_Cartera'!$Q12, 2), "")</f>
        <v/>
      </c>
      <c r="K12" s="29">
        <f>IF(Saldos_Capital_Mensual!J12&gt;0, ROUND(Saldos_Capital_Mensual!J12 * 'Resumen_Cartera'!$Q12, 2), "")</f>
        <v/>
      </c>
      <c r="L12" s="29">
        <f>IF(Saldos_Capital_Mensual!K12&gt;0, ROUND(Saldos_Capital_Mensual!K12 * 'Resumen_Cartera'!$Q12, 2), "")</f>
        <v/>
      </c>
      <c r="M12" s="29">
        <f>IF(Saldos_Capital_Mensual!L12&gt;0, ROUND(Saldos_Capital_Mensual!L12 * 'Resumen_Cartera'!$Q12, 2), "")</f>
        <v/>
      </c>
      <c r="N12" s="29">
        <f>IF(Saldos_Capital_Mensual!M12&gt;0, ROUND(Saldos_Capital_Mensual!M12 * 'Resumen_Cartera'!$Q12, 2), "")</f>
        <v/>
      </c>
      <c r="O12" s="29">
        <f>IF(Saldos_Capital_Mensual!N12&gt;0, ROUND(Saldos_Capital_Mensual!N12 * 'Resumen_Cartera'!$Q12, 2), "")</f>
        <v/>
      </c>
      <c r="P12" s="29">
        <f>IF(Saldos_Capital_Mensual!O12&gt;0, ROUND(Saldos_Capital_Mensual!O12 * 'Resumen_Cartera'!$Q12, 2), "")</f>
        <v/>
      </c>
      <c r="Q12" s="29">
        <f>IF(Saldos_Capital_Mensual!P12&gt;0, ROUND(Saldos_Capital_Mensual!P12 * 'Resumen_Cartera'!$Q12, 2), "")</f>
        <v/>
      </c>
      <c r="R12" s="29">
        <f>IF(Saldos_Capital_Mensual!Q12&gt;0, ROUND(Saldos_Capital_Mensual!Q12 * 'Resumen_Cartera'!$Q12, 2), "")</f>
        <v/>
      </c>
      <c r="S12" s="29">
        <f>IF(Saldos_Capital_Mensual!R12&gt;0, ROUND(Saldos_Capital_Mensual!R12 * 'Resumen_Cartera'!$Q12, 2), "")</f>
        <v/>
      </c>
      <c r="T12" s="29">
        <f>IF(Saldos_Capital_Mensual!S12&gt;0, ROUND(Saldos_Capital_Mensual!S12 * 'Resumen_Cartera'!$Q12, 2), "")</f>
        <v/>
      </c>
      <c r="U12" s="29">
        <f>SUM(I12:T12)</f>
        <v/>
      </c>
    </row>
    <row r="13">
      <c r="A13" s="20" t="inlineStr">
        <is>
          <t>0521-0002</t>
        </is>
      </c>
      <c r="B13" s="21" t="inlineStr">
        <is>
          <t>Carlos Hiram leal Leal</t>
        </is>
      </c>
      <c r="C13" s="21" t="inlineStr">
        <is>
          <t>Xpander</t>
        </is>
      </c>
      <c r="D13" s="20" t="inlineStr">
        <is>
          <t>ACTIVO</t>
        </is>
      </c>
      <c r="E13" s="20" t="inlineStr">
        <is>
          <t>2025-09-08</t>
        </is>
      </c>
      <c r="F13" s="20" t="inlineStr">
        <is>
          <t>2028-09-08</t>
        </is>
      </c>
      <c r="G13" s="22" t="n">
        <v>36</v>
      </c>
      <c r="H13" s="23" t="n">
        <v>329389.91</v>
      </c>
      <c r="I13" s="23">
        <f>ROUND(311366.72 * 'Resumen_Cartera'!$Q13, 2)</f>
        <v/>
      </c>
      <c r="J13" s="23">
        <f>IF(Saldos_Capital_Mensual!I13&gt;0, ROUND(Saldos_Capital_Mensual!I13 * 'Resumen_Cartera'!$Q13, 2), "")</f>
        <v/>
      </c>
      <c r="K13" s="23">
        <f>IF(Saldos_Capital_Mensual!J13&gt;0, ROUND(Saldos_Capital_Mensual!J13 * 'Resumen_Cartera'!$Q13, 2), "")</f>
        <v/>
      </c>
      <c r="L13" s="23">
        <f>IF(Saldos_Capital_Mensual!K13&gt;0, ROUND(Saldos_Capital_Mensual!K13 * 'Resumen_Cartera'!$Q13, 2), "")</f>
        <v/>
      </c>
      <c r="M13" s="23">
        <f>IF(Saldos_Capital_Mensual!L13&gt;0, ROUND(Saldos_Capital_Mensual!L13 * 'Resumen_Cartera'!$Q13, 2), "")</f>
        <v/>
      </c>
      <c r="N13" s="23">
        <f>IF(Saldos_Capital_Mensual!M13&gt;0, ROUND(Saldos_Capital_Mensual!M13 * 'Resumen_Cartera'!$Q13, 2), "")</f>
        <v/>
      </c>
      <c r="O13" s="23">
        <f>IF(Saldos_Capital_Mensual!N13&gt;0, ROUND(Saldos_Capital_Mensual!N13 * 'Resumen_Cartera'!$Q13, 2), "")</f>
        <v/>
      </c>
      <c r="P13" s="23">
        <f>IF(Saldos_Capital_Mensual!O13&gt;0, ROUND(Saldos_Capital_Mensual!O13 * 'Resumen_Cartera'!$Q13, 2), "")</f>
        <v/>
      </c>
      <c r="Q13" s="23">
        <f>IF(Saldos_Capital_Mensual!P13&gt;0, ROUND(Saldos_Capital_Mensual!P13 * 'Resumen_Cartera'!$Q13, 2), "")</f>
        <v/>
      </c>
      <c r="R13" s="23">
        <f>IF(Saldos_Capital_Mensual!Q13&gt;0, ROUND(Saldos_Capital_Mensual!Q13 * 'Resumen_Cartera'!$Q13, 2), "")</f>
        <v/>
      </c>
      <c r="S13" s="23">
        <f>IF(Saldos_Capital_Mensual!R13&gt;0, ROUND(Saldos_Capital_Mensual!R13 * 'Resumen_Cartera'!$Q13, 2), "")</f>
        <v/>
      </c>
      <c r="T13" s="23">
        <f>IF(Saldos_Capital_Mensual!S13&gt;0, ROUND(Saldos_Capital_Mensual!S13 * 'Resumen_Cartera'!$Q13, 2), "")</f>
        <v/>
      </c>
      <c r="U13" s="23">
        <f>SUM(I13:T13)</f>
        <v/>
      </c>
    </row>
    <row r="14">
      <c r="A14" s="26" t="inlineStr">
        <is>
          <t>0524-0007</t>
        </is>
      </c>
      <c r="B14" s="27" t="inlineStr">
        <is>
          <t>Lider En Derecho De Via y Construcción SA DE CV</t>
        </is>
      </c>
      <c r="C14" s="27" t="inlineStr">
        <is>
          <t>L200 Gls</t>
        </is>
      </c>
      <c r="D14" s="26" t="inlineStr">
        <is>
          <t>ACTIVO</t>
        </is>
      </c>
      <c r="E14" s="26" t="inlineStr">
        <is>
          <t>2025-08-15</t>
        </is>
      </c>
      <c r="F14" s="26" t="inlineStr">
        <is>
          <t>2027-08-15</t>
        </is>
      </c>
      <c r="G14" s="28" t="n">
        <v>24</v>
      </c>
      <c r="H14" s="29" t="n">
        <v>584988.36</v>
      </c>
      <c r="I14" s="29">
        <f>ROUND(522407.52 * 'Resumen_Cartera'!$Q14, 2)</f>
        <v/>
      </c>
      <c r="J14" s="29">
        <f>IF(Saldos_Capital_Mensual!I14&gt;0, ROUND(Saldos_Capital_Mensual!I14 * 'Resumen_Cartera'!$Q14, 2), "")</f>
        <v/>
      </c>
      <c r="K14" s="29">
        <f>IF(Saldos_Capital_Mensual!J14&gt;0, ROUND(Saldos_Capital_Mensual!J14 * 'Resumen_Cartera'!$Q14, 2), "")</f>
        <v/>
      </c>
      <c r="L14" s="29">
        <f>IF(Saldos_Capital_Mensual!K14&gt;0, ROUND(Saldos_Capital_Mensual!K14 * 'Resumen_Cartera'!$Q14, 2), "")</f>
        <v/>
      </c>
      <c r="M14" s="29">
        <f>IF(Saldos_Capital_Mensual!L14&gt;0, ROUND(Saldos_Capital_Mensual!L14 * 'Resumen_Cartera'!$Q14, 2), "")</f>
        <v/>
      </c>
      <c r="N14" s="29">
        <f>IF(Saldos_Capital_Mensual!M14&gt;0, ROUND(Saldos_Capital_Mensual!M14 * 'Resumen_Cartera'!$Q14, 2), "")</f>
        <v/>
      </c>
      <c r="O14" s="29">
        <f>IF(Saldos_Capital_Mensual!N14&gt;0, ROUND(Saldos_Capital_Mensual!N14 * 'Resumen_Cartera'!$Q14, 2), "")</f>
        <v/>
      </c>
      <c r="P14" s="29">
        <f>IF(Saldos_Capital_Mensual!O14&gt;0, ROUND(Saldos_Capital_Mensual!O14 * 'Resumen_Cartera'!$Q14, 2), "")</f>
        <v/>
      </c>
      <c r="Q14" s="29">
        <f>IF(Saldos_Capital_Mensual!P14&gt;0, ROUND(Saldos_Capital_Mensual!P14 * 'Resumen_Cartera'!$Q14, 2), "")</f>
        <v/>
      </c>
      <c r="R14" s="29">
        <f>IF(Saldos_Capital_Mensual!Q14&gt;0, ROUND(Saldos_Capital_Mensual!Q14 * 'Resumen_Cartera'!$Q14, 2), "")</f>
        <v/>
      </c>
      <c r="S14" s="29">
        <f>IF(Saldos_Capital_Mensual!R14&gt;0, ROUND(Saldos_Capital_Mensual!R14 * 'Resumen_Cartera'!$Q14, 2), "")</f>
        <v/>
      </c>
      <c r="T14" s="29">
        <f>IF(Saldos_Capital_Mensual!S14&gt;0, ROUND(Saldos_Capital_Mensual!S14 * 'Resumen_Cartera'!$Q14, 2), "")</f>
        <v/>
      </c>
      <c r="U14" s="29">
        <f>SUM(I14:T14)</f>
        <v/>
      </c>
    </row>
    <row r="15">
      <c r="A15" s="20" t="inlineStr">
        <is>
          <t>0524-0011</t>
        </is>
      </c>
      <c r="B15" s="21" t="inlineStr">
        <is>
          <t>Lider En Derecho De Via y Construcción SA DE CV</t>
        </is>
      </c>
      <c r="C15" s="21" t="inlineStr">
        <is>
          <t>Wrangler Unlimited Sahara</t>
        </is>
      </c>
      <c r="D15" s="20" t="inlineStr">
        <is>
          <t>ACTIVO</t>
        </is>
      </c>
      <c r="E15" s="20" t="inlineStr">
        <is>
          <t>2025-12-31</t>
        </is>
      </c>
      <c r="F15" s="20" t="inlineStr">
        <is>
          <t>2029-12-31</t>
        </is>
      </c>
      <c r="G15" s="22" t="n">
        <v>48</v>
      </c>
      <c r="H15" s="23" t="n">
        <v>846843.45</v>
      </c>
      <c r="I15" s="23">
        <f>ROUND(839101.7 * 'Resumen_Cartera'!$Q15, 2)</f>
        <v/>
      </c>
      <c r="J15" s="23">
        <f>IF(Saldos_Capital_Mensual!I15&gt;0, ROUND(Saldos_Capital_Mensual!I15 * 'Resumen_Cartera'!$Q15, 2), "")</f>
        <v/>
      </c>
      <c r="K15" s="23">
        <f>IF(Saldos_Capital_Mensual!J15&gt;0, ROUND(Saldos_Capital_Mensual!J15 * 'Resumen_Cartera'!$Q15, 2), "")</f>
        <v/>
      </c>
      <c r="L15" s="23">
        <f>IF(Saldos_Capital_Mensual!K15&gt;0, ROUND(Saldos_Capital_Mensual!K15 * 'Resumen_Cartera'!$Q15, 2), "")</f>
        <v/>
      </c>
      <c r="M15" s="23">
        <f>IF(Saldos_Capital_Mensual!L15&gt;0, ROUND(Saldos_Capital_Mensual!L15 * 'Resumen_Cartera'!$Q15, 2), "")</f>
        <v/>
      </c>
      <c r="N15" s="23">
        <f>IF(Saldos_Capital_Mensual!M15&gt;0, ROUND(Saldos_Capital_Mensual!M15 * 'Resumen_Cartera'!$Q15, 2), "")</f>
        <v/>
      </c>
      <c r="O15" s="23">
        <f>IF(Saldos_Capital_Mensual!N15&gt;0, ROUND(Saldos_Capital_Mensual!N15 * 'Resumen_Cartera'!$Q15, 2), "")</f>
        <v/>
      </c>
      <c r="P15" s="23">
        <f>IF(Saldos_Capital_Mensual!O15&gt;0, ROUND(Saldos_Capital_Mensual!O15 * 'Resumen_Cartera'!$Q15, 2), "")</f>
        <v/>
      </c>
      <c r="Q15" s="23">
        <f>IF(Saldos_Capital_Mensual!P15&gt;0, ROUND(Saldos_Capital_Mensual!P15 * 'Resumen_Cartera'!$Q15, 2), "")</f>
        <v/>
      </c>
      <c r="R15" s="23">
        <f>IF(Saldos_Capital_Mensual!Q15&gt;0, ROUND(Saldos_Capital_Mensual!Q15 * 'Resumen_Cartera'!$Q15, 2), "")</f>
        <v/>
      </c>
      <c r="S15" s="23">
        <f>IF(Saldos_Capital_Mensual!R15&gt;0, ROUND(Saldos_Capital_Mensual!R15 * 'Resumen_Cartera'!$Q15, 2), "")</f>
        <v/>
      </c>
      <c r="T15" s="23">
        <f>IF(Saldos_Capital_Mensual!S15&gt;0, ROUND(Saldos_Capital_Mensual!S15 * 'Resumen_Cartera'!$Q15, 2), "")</f>
        <v/>
      </c>
      <c r="U15" s="23">
        <f>SUM(I15:T15)</f>
        <v/>
      </c>
    </row>
    <row r="16">
      <c r="A16" s="26" t="inlineStr">
        <is>
          <t>0524-0012</t>
        </is>
      </c>
      <c r="B16" s="27" t="inlineStr">
        <is>
          <t>Lider En Derecho De Via y Construcción SA DE CV</t>
        </is>
      </c>
      <c r="C16" s="27" t="inlineStr">
        <is>
          <t>L200 GLS</t>
        </is>
      </c>
      <c r="D16" s="26" t="inlineStr">
        <is>
          <t>ACTIVO</t>
        </is>
      </c>
      <c r="E16" s="26" t="inlineStr">
        <is>
          <t>2026-03-17</t>
        </is>
      </c>
      <c r="F16" s="26" t="inlineStr">
        <is>
          <t>2030-03-17</t>
        </is>
      </c>
      <c r="G16" s="28" t="n">
        <v>48</v>
      </c>
      <c r="H16" s="29" t="n">
        <v>561738.88</v>
      </c>
      <c r="I16" s="29" t="inlineStr"/>
      <c r="J16" s="29" t="inlineStr"/>
      <c r="K16" s="29">
        <f>ROUND('Resumen_Cartera'!$K16 * 'Resumen_Cartera'!$Q16, 2)</f>
        <v/>
      </c>
      <c r="L16" s="29">
        <f>IF(Saldos_Capital_Mensual!K16&gt;0, ROUND(Saldos_Capital_Mensual!K16 * 'Resumen_Cartera'!$Q16, 2), "")</f>
        <v/>
      </c>
      <c r="M16" s="29">
        <f>IF(Saldos_Capital_Mensual!L16&gt;0, ROUND(Saldos_Capital_Mensual!L16 * 'Resumen_Cartera'!$Q16, 2), "")</f>
        <v/>
      </c>
      <c r="N16" s="29">
        <f>IF(Saldos_Capital_Mensual!M16&gt;0, ROUND(Saldos_Capital_Mensual!M16 * 'Resumen_Cartera'!$Q16, 2), "")</f>
        <v/>
      </c>
      <c r="O16" s="29">
        <f>IF(Saldos_Capital_Mensual!N16&gt;0, ROUND(Saldos_Capital_Mensual!N16 * 'Resumen_Cartera'!$Q16, 2), "")</f>
        <v/>
      </c>
      <c r="P16" s="29">
        <f>IF(Saldos_Capital_Mensual!O16&gt;0, ROUND(Saldos_Capital_Mensual!O16 * 'Resumen_Cartera'!$Q16, 2), "")</f>
        <v/>
      </c>
      <c r="Q16" s="29">
        <f>IF(Saldos_Capital_Mensual!P16&gt;0, ROUND(Saldos_Capital_Mensual!P16 * 'Resumen_Cartera'!$Q16, 2), "")</f>
        <v/>
      </c>
      <c r="R16" s="29">
        <f>IF(Saldos_Capital_Mensual!Q16&gt;0, ROUND(Saldos_Capital_Mensual!Q16 * 'Resumen_Cartera'!$Q16, 2), "")</f>
        <v/>
      </c>
      <c r="S16" s="29">
        <f>IF(Saldos_Capital_Mensual!R16&gt;0, ROUND(Saldos_Capital_Mensual!R16 * 'Resumen_Cartera'!$Q16, 2), "")</f>
        <v/>
      </c>
      <c r="T16" s="29">
        <f>IF(Saldos_Capital_Mensual!S16&gt;0, ROUND(Saldos_Capital_Mensual!S16 * 'Resumen_Cartera'!$Q16, 2), "")</f>
        <v/>
      </c>
      <c r="U16" s="29">
        <f>SUM(I16:T16)</f>
        <v/>
      </c>
    </row>
    <row r="17">
      <c r="A17" s="20" t="inlineStr">
        <is>
          <t>0524-0013</t>
        </is>
      </c>
      <c r="B17" s="21" t="inlineStr">
        <is>
          <t>Lider En Derecho De Via y Construcción SA DE CV</t>
        </is>
      </c>
      <c r="C17" s="21" t="inlineStr">
        <is>
          <t>L200 GLX</t>
        </is>
      </c>
      <c r="D17" s="20" t="inlineStr">
        <is>
          <t>ACTIVO</t>
        </is>
      </c>
      <c r="E17" s="20" t="inlineStr">
        <is>
          <t>2026-06-23</t>
        </is>
      </c>
      <c r="F17" s="20" t="inlineStr">
        <is>
          <t>2029-06-23</t>
        </is>
      </c>
      <c r="G17" s="22" t="n">
        <v>36</v>
      </c>
      <c r="H17" s="23" t="n">
        <v>597925</v>
      </c>
      <c r="I17" s="23" t="inlineStr"/>
      <c r="J17" s="23" t="inlineStr"/>
      <c r="K17" s="23" t="inlineStr"/>
      <c r="L17" s="23" t="inlineStr"/>
      <c r="M17" s="23" t="inlineStr"/>
      <c r="N17" s="23">
        <f>ROUND('Resumen_Cartera'!$K17 * 'Resumen_Cartera'!$Q17, 2)</f>
        <v/>
      </c>
      <c r="O17" s="23">
        <f>IF(Saldos_Capital_Mensual!N17&gt;0, ROUND(Saldos_Capital_Mensual!N17 * 'Resumen_Cartera'!$Q17, 2), "")</f>
        <v/>
      </c>
      <c r="P17" s="23">
        <f>IF(Saldos_Capital_Mensual!O17&gt;0, ROUND(Saldos_Capital_Mensual!O17 * 'Resumen_Cartera'!$Q17, 2), "")</f>
        <v/>
      </c>
      <c r="Q17" s="23">
        <f>IF(Saldos_Capital_Mensual!P17&gt;0, ROUND(Saldos_Capital_Mensual!P17 * 'Resumen_Cartera'!$Q17, 2), "")</f>
        <v/>
      </c>
      <c r="R17" s="23">
        <f>IF(Saldos_Capital_Mensual!Q17&gt;0, ROUND(Saldos_Capital_Mensual!Q17 * 'Resumen_Cartera'!$Q17, 2), "")</f>
        <v/>
      </c>
      <c r="S17" s="23">
        <f>IF(Saldos_Capital_Mensual!R17&gt;0, ROUND(Saldos_Capital_Mensual!R17 * 'Resumen_Cartera'!$Q17, 2), "")</f>
        <v/>
      </c>
      <c r="T17" s="23">
        <f>IF(Saldos_Capital_Mensual!S17&gt;0, ROUND(Saldos_Capital_Mensual!S17 * 'Resumen_Cartera'!$Q17, 2), "")</f>
        <v/>
      </c>
      <c r="U17" s="23">
        <f>SUM(I17:T17)</f>
        <v/>
      </c>
    </row>
    <row r="18">
      <c r="A18" s="26" t="inlineStr">
        <is>
          <t>0524-0014</t>
        </is>
      </c>
      <c r="B18" s="27" t="inlineStr">
        <is>
          <t>Lider En Derecho De Via y Construcción SA DE CV</t>
        </is>
      </c>
      <c r="C18" s="27" t="inlineStr">
        <is>
          <t>L200 GLX</t>
        </is>
      </c>
      <c r="D18" s="26" t="inlineStr">
        <is>
          <t>ACTIVO</t>
        </is>
      </c>
      <c r="E18" s="26" t="inlineStr">
        <is>
          <t>2026-06-23</t>
        </is>
      </c>
      <c r="F18" s="26" t="inlineStr">
        <is>
          <t>2029-06-23</t>
        </is>
      </c>
      <c r="G18" s="28" t="n">
        <v>36</v>
      </c>
      <c r="H18" s="29" t="n">
        <v>597925</v>
      </c>
      <c r="I18" s="29" t="inlineStr"/>
      <c r="J18" s="29" t="inlineStr"/>
      <c r="K18" s="29" t="inlineStr"/>
      <c r="L18" s="29" t="inlineStr"/>
      <c r="M18" s="29" t="inlineStr"/>
      <c r="N18" s="29">
        <f>ROUND('Resumen_Cartera'!$K18 * 'Resumen_Cartera'!$Q18, 2)</f>
        <v/>
      </c>
      <c r="O18" s="29">
        <f>IF(Saldos_Capital_Mensual!N18&gt;0, ROUND(Saldos_Capital_Mensual!N18 * 'Resumen_Cartera'!$Q18, 2), "")</f>
        <v/>
      </c>
      <c r="P18" s="29">
        <f>IF(Saldos_Capital_Mensual!O18&gt;0, ROUND(Saldos_Capital_Mensual!O18 * 'Resumen_Cartera'!$Q18, 2), "")</f>
        <v/>
      </c>
      <c r="Q18" s="29">
        <f>IF(Saldos_Capital_Mensual!P18&gt;0, ROUND(Saldos_Capital_Mensual!P18 * 'Resumen_Cartera'!$Q18, 2), "")</f>
        <v/>
      </c>
      <c r="R18" s="29">
        <f>IF(Saldos_Capital_Mensual!Q18&gt;0, ROUND(Saldos_Capital_Mensual!Q18 * 'Resumen_Cartera'!$Q18, 2), "")</f>
        <v/>
      </c>
      <c r="S18" s="29">
        <f>IF(Saldos_Capital_Mensual!R18&gt;0, ROUND(Saldos_Capital_Mensual!R18 * 'Resumen_Cartera'!$Q18, 2), "")</f>
        <v/>
      </c>
      <c r="T18" s="29">
        <f>IF(Saldos_Capital_Mensual!S18&gt;0, ROUND(Saldos_Capital_Mensual!S18 * 'Resumen_Cartera'!$Q18, 2), "")</f>
        <v/>
      </c>
      <c r="U18" s="29">
        <f>SUM(I18:T18)</f>
        <v/>
      </c>
    </row>
    <row r="19">
      <c r="A19" s="20" t="inlineStr">
        <is>
          <t>0524-0015</t>
        </is>
      </c>
      <c r="B19" s="21" t="inlineStr">
        <is>
          <t>Lider En Derecho De Via y Construcción SA DE CV</t>
        </is>
      </c>
      <c r="C19" s="21" t="inlineStr">
        <is>
          <t>Mitsubishi L200 GLX 2026</t>
        </is>
      </c>
      <c r="D19" s="20" t="inlineStr">
        <is>
          <t>ACTIVO</t>
        </is>
      </c>
      <c r="E19" s="20" t="inlineStr">
        <is>
          <t>2026-07-29</t>
        </is>
      </c>
      <c r="F19" s="20" t="inlineStr">
        <is>
          <t>2029-07-29</t>
        </is>
      </c>
      <c r="G19" s="22" t="n">
        <v>36</v>
      </c>
      <c r="H19" s="23" t="n">
        <v>515452.59</v>
      </c>
      <c r="I19" s="23" t="inlineStr"/>
      <c r="J19" s="23" t="inlineStr"/>
      <c r="K19" s="23" t="inlineStr"/>
      <c r="L19" s="23" t="inlineStr"/>
      <c r="M19" s="23" t="inlineStr"/>
      <c r="N19" s="23" t="inlineStr"/>
      <c r="O19" s="23">
        <f>ROUND('Resumen_Cartera'!$K19 * 'Resumen_Cartera'!$Q19, 2)</f>
        <v/>
      </c>
      <c r="P19" s="23">
        <f>IF(Saldos_Capital_Mensual!O19&gt;0, ROUND(Saldos_Capital_Mensual!O19 * 'Resumen_Cartera'!$Q19, 2), "")</f>
        <v/>
      </c>
      <c r="Q19" s="23">
        <f>IF(Saldos_Capital_Mensual!P19&gt;0, ROUND(Saldos_Capital_Mensual!P19 * 'Resumen_Cartera'!$Q19, 2), "")</f>
        <v/>
      </c>
      <c r="R19" s="23">
        <f>IF(Saldos_Capital_Mensual!Q19&gt;0, ROUND(Saldos_Capital_Mensual!Q19 * 'Resumen_Cartera'!$Q19, 2), "")</f>
        <v/>
      </c>
      <c r="S19" s="23">
        <f>IF(Saldos_Capital_Mensual!R19&gt;0, ROUND(Saldos_Capital_Mensual!R19 * 'Resumen_Cartera'!$Q19, 2), "")</f>
        <v/>
      </c>
      <c r="T19" s="23">
        <f>IF(Saldos_Capital_Mensual!S19&gt;0, ROUND(Saldos_Capital_Mensual!S19 * 'Resumen_Cartera'!$Q19, 2), "")</f>
        <v/>
      </c>
      <c r="U19" s="23">
        <f>SUM(I19:T19)</f>
        <v/>
      </c>
    </row>
    <row r="20">
      <c r="A20" s="26" t="inlineStr">
        <is>
          <t>0524-0016</t>
        </is>
      </c>
      <c r="B20" s="27" t="inlineStr">
        <is>
          <t>Lider En Derecho De Via y Construcción SA DE CV</t>
        </is>
      </c>
      <c r="C20" s="27" t="inlineStr">
        <is>
          <t>Mitsubishi L200 GLX 2026</t>
        </is>
      </c>
      <c r="D20" s="26" t="inlineStr">
        <is>
          <t>ACTIVO</t>
        </is>
      </c>
      <c r="E20" s="26" t="inlineStr">
        <is>
          <t>2026-07-29</t>
        </is>
      </c>
      <c r="F20" s="26" t="inlineStr">
        <is>
          <t>2029-07-29</t>
        </is>
      </c>
      <c r="G20" s="28" t="n">
        <v>36</v>
      </c>
      <c r="H20" s="29" t="n">
        <v>515452.59</v>
      </c>
      <c r="I20" s="29" t="inlineStr"/>
      <c r="J20" s="29" t="inlineStr"/>
      <c r="K20" s="29" t="inlineStr"/>
      <c r="L20" s="29" t="inlineStr"/>
      <c r="M20" s="29" t="inlineStr"/>
      <c r="N20" s="29" t="inlineStr"/>
      <c r="O20" s="29">
        <f>ROUND('Resumen_Cartera'!$K20 * 'Resumen_Cartera'!$Q20, 2)</f>
        <v/>
      </c>
      <c r="P20" s="29">
        <f>IF(Saldos_Capital_Mensual!O20&gt;0, ROUND(Saldos_Capital_Mensual!O20 * 'Resumen_Cartera'!$Q20, 2), "")</f>
        <v/>
      </c>
      <c r="Q20" s="29">
        <f>IF(Saldos_Capital_Mensual!P20&gt;0, ROUND(Saldos_Capital_Mensual!P20 * 'Resumen_Cartera'!$Q20, 2), "")</f>
        <v/>
      </c>
      <c r="R20" s="29">
        <f>IF(Saldos_Capital_Mensual!Q20&gt;0, ROUND(Saldos_Capital_Mensual!Q20 * 'Resumen_Cartera'!$Q20, 2), "")</f>
        <v/>
      </c>
      <c r="S20" s="29">
        <f>IF(Saldos_Capital_Mensual!R20&gt;0, ROUND(Saldos_Capital_Mensual!R20 * 'Resumen_Cartera'!$Q20, 2), "")</f>
        <v/>
      </c>
      <c r="T20" s="29">
        <f>IF(Saldos_Capital_Mensual!S20&gt;0, ROUND(Saldos_Capital_Mensual!S20 * 'Resumen_Cartera'!$Q20, 2), "")</f>
        <v/>
      </c>
      <c r="U20" s="29">
        <f>SUM(I20:T20)</f>
        <v/>
      </c>
    </row>
    <row r="21">
      <c r="A21" s="20" t="inlineStr">
        <is>
          <t>0527-0003</t>
        </is>
      </c>
      <c r="B21" s="21" t="inlineStr">
        <is>
          <t>Comercilizadora e Importadora Nabega Sa de Cv</t>
        </is>
      </c>
      <c r="C21" s="21" t="inlineStr">
        <is>
          <t>RAM 700 Big Horn CVT</t>
        </is>
      </c>
      <c r="D21" s="20" t="inlineStr">
        <is>
          <t>ACTIVO</t>
        </is>
      </c>
      <c r="E21" s="20" t="inlineStr">
        <is>
          <t>2024-05-30</t>
        </is>
      </c>
      <c r="F21" s="20" t="inlineStr">
        <is>
          <t>2027-05-30</t>
        </is>
      </c>
      <c r="G21" s="22" t="n">
        <v>36</v>
      </c>
      <c r="H21" s="23" t="n">
        <v>289586.21</v>
      </c>
      <c r="I21" s="23">
        <f>ROUND(221927.38 * 'Resumen_Cartera'!$Q21, 2)</f>
        <v/>
      </c>
      <c r="J21" s="23">
        <f>IF(Saldos_Capital_Mensual!I21&gt;0, ROUND(Saldos_Capital_Mensual!I21 * 'Resumen_Cartera'!$Q21, 2), "")</f>
        <v/>
      </c>
      <c r="K21" s="23">
        <f>IF(Saldos_Capital_Mensual!J21&gt;0, ROUND(Saldos_Capital_Mensual!J21 * 'Resumen_Cartera'!$Q21, 2), "")</f>
        <v/>
      </c>
      <c r="L21" s="23">
        <f>IF(Saldos_Capital_Mensual!K21&gt;0, ROUND(Saldos_Capital_Mensual!K21 * 'Resumen_Cartera'!$Q21, 2), "")</f>
        <v/>
      </c>
      <c r="M21" s="23">
        <f>IF(Saldos_Capital_Mensual!L21&gt;0, ROUND(Saldos_Capital_Mensual!L21 * 'Resumen_Cartera'!$Q21, 2), "")</f>
        <v/>
      </c>
      <c r="N21" s="23">
        <f>IF(Saldos_Capital_Mensual!M21&gt;0, ROUND(Saldos_Capital_Mensual!M21 * 'Resumen_Cartera'!$Q21, 2), "")</f>
        <v/>
      </c>
      <c r="O21" s="23">
        <f>IF(Saldos_Capital_Mensual!N21&gt;0, ROUND(Saldos_Capital_Mensual!N21 * 'Resumen_Cartera'!$Q21, 2), "")</f>
        <v/>
      </c>
      <c r="P21" s="23">
        <f>IF(Saldos_Capital_Mensual!O21&gt;0, ROUND(Saldos_Capital_Mensual!O21 * 'Resumen_Cartera'!$Q21, 2), "")</f>
        <v/>
      </c>
      <c r="Q21" s="23">
        <f>IF(Saldos_Capital_Mensual!P21&gt;0, ROUND(Saldos_Capital_Mensual!P21 * 'Resumen_Cartera'!$Q21, 2), "")</f>
        <v/>
      </c>
      <c r="R21" s="23">
        <f>IF(Saldos_Capital_Mensual!Q21&gt;0, ROUND(Saldos_Capital_Mensual!Q21 * 'Resumen_Cartera'!$Q21, 2), "")</f>
        <v/>
      </c>
      <c r="S21" s="23">
        <f>IF(Saldos_Capital_Mensual!R21&gt;0, ROUND(Saldos_Capital_Mensual!R21 * 'Resumen_Cartera'!$Q21, 2), "")</f>
        <v/>
      </c>
      <c r="T21" s="23">
        <f>IF(Saldos_Capital_Mensual!S21&gt;0, ROUND(Saldos_Capital_Mensual!S21 * 'Resumen_Cartera'!$Q21, 2), "")</f>
        <v/>
      </c>
      <c r="U21" s="23">
        <f>SUM(I21:T21)</f>
        <v/>
      </c>
    </row>
    <row r="22">
      <c r="A22" s="26" t="inlineStr">
        <is>
          <t>0527-0004</t>
        </is>
      </c>
      <c r="B22" s="27" t="inlineStr">
        <is>
          <t>Comercilizadora e Importadora Nabega Sa de Cv</t>
        </is>
      </c>
      <c r="C22" s="27" t="inlineStr">
        <is>
          <t>Gmc Denali</t>
        </is>
      </c>
      <c r="D22" s="26" t="inlineStr">
        <is>
          <t>ACTIVO</t>
        </is>
      </c>
      <c r="E22" s="26" t="inlineStr">
        <is>
          <t>2025-07-31</t>
        </is>
      </c>
      <c r="F22" s="26" t="inlineStr">
        <is>
          <t>2029-07-31</t>
        </is>
      </c>
      <c r="G22" s="28" t="n">
        <v>48</v>
      </c>
      <c r="H22" s="29" t="n">
        <v>991086.21</v>
      </c>
      <c r="I22" s="29">
        <f>ROUND(939512.73 * 'Resumen_Cartera'!$Q22, 2)</f>
        <v/>
      </c>
      <c r="J22" s="29">
        <f>IF(Saldos_Capital_Mensual!I22&gt;0, ROUND(Saldos_Capital_Mensual!I22 * 'Resumen_Cartera'!$Q22, 2), "")</f>
        <v/>
      </c>
      <c r="K22" s="29">
        <f>IF(Saldos_Capital_Mensual!J22&gt;0, ROUND(Saldos_Capital_Mensual!J22 * 'Resumen_Cartera'!$Q22, 2), "")</f>
        <v/>
      </c>
      <c r="L22" s="29">
        <f>IF(Saldos_Capital_Mensual!K22&gt;0, ROUND(Saldos_Capital_Mensual!K22 * 'Resumen_Cartera'!$Q22, 2), "")</f>
        <v/>
      </c>
      <c r="M22" s="29">
        <f>IF(Saldos_Capital_Mensual!L22&gt;0, ROUND(Saldos_Capital_Mensual!L22 * 'Resumen_Cartera'!$Q22, 2), "")</f>
        <v/>
      </c>
      <c r="N22" s="29">
        <f>IF(Saldos_Capital_Mensual!M22&gt;0, ROUND(Saldos_Capital_Mensual!M22 * 'Resumen_Cartera'!$Q22, 2), "")</f>
        <v/>
      </c>
      <c r="O22" s="29">
        <f>IF(Saldos_Capital_Mensual!N22&gt;0, ROUND(Saldos_Capital_Mensual!N22 * 'Resumen_Cartera'!$Q22, 2), "")</f>
        <v/>
      </c>
      <c r="P22" s="29">
        <f>IF(Saldos_Capital_Mensual!O22&gt;0, ROUND(Saldos_Capital_Mensual!O22 * 'Resumen_Cartera'!$Q22, 2), "")</f>
        <v/>
      </c>
      <c r="Q22" s="29">
        <f>IF(Saldos_Capital_Mensual!P22&gt;0, ROUND(Saldos_Capital_Mensual!P22 * 'Resumen_Cartera'!$Q22, 2), "")</f>
        <v/>
      </c>
      <c r="R22" s="29">
        <f>IF(Saldos_Capital_Mensual!Q22&gt;0, ROUND(Saldos_Capital_Mensual!Q22 * 'Resumen_Cartera'!$Q22, 2), "")</f>
        <v/>
      </c>
      <c r="S22" s="29">
        <f>IF(Saldos_Capital_Mensual!R22&gt;0, ROUND(Saldos_Capital_Mensual!R22 * 'Resumen_Cartera'!$Q22, 2), "")</f>
        <v/>
      </c>
      <c r="T22" s="29">
        <f>IF(Saldos_Capital_Mensual!S22&gt;0, ROUND(Saldos_Capital_Mensual!S22 * 'Resumen_Cartera'!$Q22, 2), "")</f>
        <v/>
      </c>
      <c r="U22" s="29">
        <f>SUM(I22:T22)</f>
        <v/>
      </c>
    </row>
    <row r="23">
      <c r="A23" s="20" t="inlineStr">
        <is>
          <t>0527-0005</t>
        </is>
      </c>
      <c r="B23" s="21" t="inlineStr">
        <is>
          <t>Comercilizadora e Importadora Nabega Sa de Cv</t>
        </is>
      </c>
      <c r="C23" s="21" t="inlineStr">
        <is>
          <t>Gle 450 Sport</t>
        </is>
      </c>
      <c r="D23" s="20" t="inlineStr">
        <is>
          <t>ACTIVO</t>
        </is>
      </c>
      <c r="E23" s="20" t="inlineStr">
        <is>
          <t>2025-08-16</t>
        </is>
      </c>
      <c r="F23" s="20" t="inlineStr">
        <is>
          <t>2028-08-16</t>
        </is>
      </c>
      <c r="G23" s="22" t="n">
        <v>36</v>
      </c>
      <c r="H23" s="23" t="n">
        <v>1050525</v>
      </c>
      <c r="I23" s="23">
        <f>ROUND(981905.12 * 'Resumen_Cartera'!$Q23, 2)</f>
        <v/>
      </c>
      <c r="J23" s="23">
        <f>IF(Saldos_Capital_Mensual!I23&gt;0, ROUND(Saldos_Capital_Mensual!I23 * 'Resumen_Cartera'!$Q23, 2), "")</f>
        <v/>
      </c>
      <c r="K23" s="23">
        <f>IF(Saldos_Capital_Mensual!J23&gt;0, ROUND(Saldos_Capital_Mensual!J23 * 'Resumen_Cartera'!$Q23, 2), "")</f>
        <v/>
      </c>
      <c r="L23" s="23">
        <f>IF(Saldos_Capital_Mensual!K23&gt;0, ROUND(Saldos_Capital_Mensual!K23 * 'Resumen_Cartera'!$Q23, 2), "")</f>
        <v/>
      </c>
      <c r="M23" s="23">
        <f>IF(Saldos_Capital_Mensual!L23&gt;0, ROUND(Saldos_Capital_Mensual!L23 * 'Resumen_Cartera'!$Q23, 2), "")</f>
        <v/>
      </c>
      <c r="N23" s="23">
        <f>IF(Saldos_Capital_Mensual!M23&gt;0, ROUND(Saldos_Capital_Mensual!M23 * 'Resumen_Cartera'!$Q23, 2), "")</f>
        <v/>
      </c>
      <c r="O23" s="23">
        <f>IF(Saldos_Capital_Mensual!N23&gt;0, ROUND(Saldos_Capital_Mensual!N23 * 'Resumen_Cartera'!$Q23, 2), "")</f>
        <v/>
      </c>
      <c r="P23" s="23">
        <f>IF(Saldos_Capital_Mensual!O23&gt;0, ROUND(Saldos_Capital_Mensual!O23 * 'Resumen_Cartera'!$Q23, 2), "")</f>
        <v/>
      </c>
      <c r="Q23" s="23">
        <f>IF(Saldos_Capital_Mensual!P23&gt;0, ROUND(Saldos_Capital_Mensual!P23 * 'Resumen_Cartera'!$Q23, 2), "")</f>
        <v/>
      </c>
      <c r="R23" s="23">
        <f>IF(Saldos_Capital_Mensual!Q23&gt;0, ROUND(Saldos_Capital_Mensual!Q23 * 'Resumen_Cartera'!$Q23, 2), "")</f>
        <v/>
      </c>
      <c r="S23" s="23">
        <f>IF(Saldos_Capital_Mensual!R23&gt;0, ROUND(Saldos_Capital_Mensual!R23 * 'Resumen_Cartera'!$Q23, 2), "")</f>
        <v/>
      </c>
      <c r="T23" s="23">
        <f>IF(Saldos_Capital_Mensual!S23&gt;0, ROUND(Saldos_Capital_Mensual!S23 * 'Resumen_Cartera'!$Q23, 2), "")</f>
        <v/>
      </c>
      <c r="U23" s="23">
        <f>SUM(I23:T23)</f>
        <v/>
      </c>
    </row>
    <row r="24">
      <c r="A24" s="26" t="inlineStr">
        <is>
          <t>0531-0002</t>
        </is>
      </c>
      <c r="B24" s="27" t="inlineStr">
        <is>
          <t>Otcada Mex, S. de R.L. de C.V.</t>
        </is>
      </c>
      <c r="C24" s="27" t="inlineStr">
        <is>
          <t>Grand Cherokee Limited</t>
        </is>
      </c>
      <c r="D24" s="26" t="inlineStr">
        <is>
          <t>ACTIVO</t>
        </is>
      </c>
      <c r="E24" s="26" t="inlineStr">
        <is>
          <t>2026-06-18</t>
        </is>
      </c>
      <c r="F24" s="26" t="inlineStr">
        <is>
          <t>2030-06-18</t>
        </is>
      </c>
      <c r="G24" s="28" t="n">
        <v>48</v>
      </c>
      <c r="H24" s="29" t="n">
        <v>779340</v>
      </c>
      <c r="I24" s="29" t="inlineStr"/>
      <c r="J24" s="29" t="inlineStr"/>
      <c r="K24" s="29" t="inlineStr"/>
      <c r="L24" s="29" t="inlineStr"/>
      <c r="M24" s="29" t="inlineStr"/>
      <c r="N24" s="29">
        <f>ROUND('Resumen_Cartera'!$K24 * 'Resumen_Cartera'!$Q24, 2)</f>
        <v/>
      </c>
      <c r="O24" s="29">
        <f>IF(Saldos_Capital_Mensual!N24&gt;0, ROUND(Saldos_Capital_Mensual!N24 * 'Resumen_Cartera'!$Q24, 2), "")</f>
        <v/>
      </c>
      <c r="P24" s="29">
        <f>IF(Saldos_Capital_Mensual!O24&gt;0, ROUND(Saldos_Capital_Mensual!O24 * 'Resumen_Cartera'!$Q24, 2), "")</f>
        <v/>
      </c>
      <c r="Q24" s="29">
        <f>IF(Saldos_Capital_Mensual!P24&gt;0, ROUND(Saldos_Capital_Mensual!P24 * 'Resumen_Cartera'!$Q24, 2), "")</f>
        <v/>
      </c>
      <c r="R24" s="29">
        <f>IF(Saldos_Capital_Mensual!Q24&gt;0, ROUND(Saldos_Capital_Mensual!Q24 * 'Resumen_Cartera'!$Q24, 2), "")</f>
        <v/>
      </c>
      <c r="S24" s="29">
        <f>IF(Saldos_Capital_Mensual!R24&gt;0, ROUND(Saldos_Capital_Mensual!R24 * 'Resumen_Cartera'!$Q24, 2), "")</f>
        <v/>
      </c>
      <c r="T24" s="29">
        <f>IF(Saldos_Capital_Mensual!S24&gt;0, ROUND(Saldos_Capital_Mensual!S24 * 'Resumen_Cartera'!$Q24, 2), "")</f>
        <v/>
      </c>
      <c r="U24" s="29">
        <f>SUM(I24:T24)</f>
        <v/>
      </c>
    </row>
    <row r="25">
      <c r="A25" s="20" t="inlineStr">
        <is>
          <t>0546-0007</t>
        </is>
      </c>
      <c r="B25" s="21" t="inlineStr">
        <is>
          <t>Norma Elena Bonilla Lupio</t>
        </is>
      </c>
      <c r="C25" s="21" t="inlineStr">
        <is>
          <t>GLC 350 E 4MATIC</t>
        </is>
      </c>
      <c r="D25" s="20" t="inlineStr">
        <is>
          <t>ACTIVO</t>
        </is>
      </c>
      <c r="E25" s="20" t="inlineStr">
        <is>
          <t>2025-10-14</t>
        </is>
      </c>
      <c r="F25" s="20" t="inlineStr">
        <is>
          <t>2027-10-14</t>
        </is>
      </c>
      <c r="G25" s="22" t="n">
        <v>24</v>
      </c>
      <c r="H25" s="23" t="n">
        <v>866917.24</v>
      </c>
      <c r="I25" s="23">
        <f>ROUND(797841.04 * 'Resumen_Cartera'!$Q25, 2)</f>
        <v/>
      </c>
      <c r="J25" s="23">
        <f>IF(Saldos_Capital_Mensual!I25&gt;0, ROUND(Saldos_Capital_Mensual!I25 * 'Resumen_Cartera'!$Q25, 2), "")</f>
        <v/>
      </c>
      <c r="K25" s="23">
        <f>IF(Saldos_Capital_Mensual!J25&gt;0, ROUND(Saldos_Capital_Mensual!J25 * 'Resumen_Cartera'!$Q25, 2), "")</f>
        <v/>
      </c>
      <c r="L25" s="23">
        <f>IF(Saldos_Capital_Mensual!K25&gt;0, ROUND(Saldos_Capital_Mensual!K25 * 'Resumen_Cartera'!$Q25, 2), "")</f>
        <v/>
      </c>
      <c r="M25" s="23">
        <f>IF(Saldos_Capital_Mensual!L25&gt;0, ROUND(Saldos_Capital_Mensual!L25 * 'Resumen_Cartera'!$Q25, 2), "")</f>
        <v/>
      </c>
      <c r="N25" s="23">
        <f>IF(Saldos_Capital_Mensual!M25&gt;0, ROUND(Saldos_Capital_Mensual!M25 * 'Resumen_Cartera'!$Q25, 2), "")</f>
        <v/>
      </c>
      <c r="O25" s="23">
        <f>IF(Saldos_Capital_Mensual!N25&gt;0, ROUND(Saldos_Capital_Mensual!N25 * 'Resumen_Cartera'!$Q25, 2), "")</f>
        <v/>
      </c>
      <c r="P25" s="23">
        <f>IF(Saldos_Capital_Mensual!O25&gt;0, ROUND(Saldos_Capital_Mensual!O25 * 'Resumen_Cartera'!$Q25, 2), "")</f>
        <v/>
      </c>
      <c r="Q25" s="23">
        <f>IF(Saldos_Capital_Mensual!P25&gt;0, ROUND(Saldos_Capital_Mensual!P25 * 'Resumen_Cartera'!$Q25, 2), "")</f>
        <v/>
      </c>
      <c r="R25" s="23">
        <f>IF(Saldos_Capital_Mensual!Q25&gt;0, ROUND(Saldos_Capital_Mensual!Q25 * 'Resumen_Cartera'!$Q25, 2), "")</f>
        <v/>
      </c>
      <c r="S25" s="23">
        <f>IF(Saldos_Capital_Mensual!R25&gt;0, ROUND(Saldos_Capital_Mensual!R25 * 'Resumen_Cartera'!$Q25, 2), "")</f>
        <v/>
      </c>
      <c r="T25" s="23">
        <f>IF(Saldos_Capital_Mensual!S25&gt;0, ROUND(Saldos_Capital_Mensual!S25 * 'Resumen_Cartera'!$Q25, 2), "")</f>
        <v/>
      </c>
      <c r="U25" s="23">
        <f>SUM(I25:T25)</f>
        <v/>
      </c>
    </row>
    <row r="26">
      <c r="A26" s="26" t="inlineStr">
        <is>
          <t>0546-0008</t>
        </is>
      </c>
      <c r="B26" s="27" t="inlineStr">
        <is>
          <t>Norma Elena Bonilla Lupio</t>
        </is>
      </c>
      <c r="C26" s="27" t="inlineStr">
        <is>
          <t>JT MOJAVE 4X4</t>
        </is>
      </c>
      <c r="D26" s="26" t="inlineStr">
        <is>
          <t>ACTIVO</t>
        </is>
      </c>
      <c r="E26" s="26" t="inlineStr">
        <is>
          <t>2026-01-08</t>
        </is>
      </c>
      <c r="F26" s="26" t="inlineStr">
        <is>
          <t>2028-01-08</t>
        </is>
      </c>
      <c r="G26" s="28" t="n">
        <v>24</v>
      </c>
      <c r="H26" s="29" t="n">
        <v>817760.17</v>
      </c>
      <c r="I26" s="29">
        <f>ROUND('Resumen_Cartera'!$K26 * 'Resumen_Cartera'!$Q26, 2)</f>
        <v/>
      </c>
      <c r="J26" s="29">
        <f>IF(Saldos_Capital_Mensual!I26&gt;0, ROUND(Saldos_Capital_Mensual!I26 * 'Resumen_Cartera'!$Q26, 2), "")</f>
        <v/>
      </c>
      <c r="K26" s="29">
        <f>IF(Saldos_Capital_Mensual!J26&gt;0, ROUND(Saldos_Capital_Mensual!J26 * 'Resumen_Cartera'!$Q26, 2), "")</f>
        <v/>
      </c>
      <c r="L26" s="29">
        <f>IF(Saldos_Capital_Mensual!K26&gt;0, ROUND(Saldos_Capital_Mensual!K26 * 'Resumen_Cartera'!$Q26, 2), "")</f>
        <v/>
      </c>
      <c r="M26" s="29">
        <f>IF(Saldos_Capital_Mensual!L26&gt;0, ROUND(Saldos_Capital_Mensual!L26 * 'Resumen_Cartera'!$Q26, 2), "")</f>
        <v/>
      </c>
      <c r="N26" s="29">
        <f>IF(Saldos_Capital_Mensual!M26&gt;0, ROUND(Saldos_Capital_Mensual!M26 * 'Resumen_Cartera'!$Q26, 2), "")</f>
        <v/>
      </c>
      <c r="O26" s="29">
        <f>IF(Saldos_Capital_Mensual!N26&gt;0, ROUND(Saldos_Capital_Mensual!N26 * 'Resumen_Cartera'!$Q26, 2), "")</f>
        <v/>
      </c>
      <c r="P26" s="29">
        <f>IF(Saldos_Capital_Mensual!O26&gt;0, ROUND(Saldos_Capital_Mensual!O26 * 'Resumen_Cartera'!$Q26, 2), "")</f>
        <v/>
      </c>
      <c r="Q26" s="29">
        <f>IF(Saldos_Capital_Mensual!P26&gt;0, ROUND(Saldos_Capital_Mensual!P26 * 'Resumen_Cartera'!$Q26, 2), "")</f>
        <v/>
      </c>
      <c r="R26" s="29">
        <f>IF(Saldos_Capital_Mensual!Q26&gt;0, ROUND(Saldos_Capital_Mensual!Q26 * 'Resumen_Cartera'!$Q26, 2), "")</f>
        <v/>
      </c>
      <c r="S26" s="29">
        <f>IF(Saldos_Capital_Mensual!R26&gt;0, ROUND(Saldos_Capital_Mensual!R26 * 'Resumen_Cartera'!$Q26, 2), "")</f>
        <v/>
      </c>
      <c r="T26" s="29">
        <f>IF(Saldos_Capital_Mensual!S26&gt;0, ROUND(Saldos_Capital_Mensual!S26 * 'Resumen_Cartera'!$Q26, 2), "")</f>
        <v/>
      </c>
      <c r="U26" s="29">
        <f>SUM(I26:T26)</f>
        <v/>
      </c>
    </row>
    <row r="27">
      <c r="A27" s="20" t="inlineStr">
        <is>
          <t>0546-0009</t>
        </is>
      </c>
      <c r="B27" s="21" t="inlineStr">
        <is>
          <t>Norma Elena Bonilla Lupio</t>
        </is>
      </c>
      <c r="C27" s="21" t="inlineStr">
        <is>
          <t>Ram 1200 Tradesman 2026</t>
        </is>
      </c>
      <c r="D27" s="20" t="inlineStr">
        <is>
          <t>ACTIVO</t>
        </is>
      </c>
      <c r="E27" s="20" t="inlineStr">
        <is>
          <t>2026-07-01</t>
        </is>
      </c>
      <c r="F27" s="20" t="inlineStr">
        <is>
          <t>2028-07-01</t>
        </is>
      </c>
      <c r="G27" s="22" t="n">
        <v>24</v>
      </c>
      <c r="H27" s="23" t="n">
        <v>270028.97</v>
      </c>
      <c r="I27" s="23" t="inlineStr"/>
      <c r="J27" s="23" t="inlineStr"/>
      <c r="K27" s="23" t="inlineStr"/>
      <c r="L27" s="23" t="inlineStr"/>
      <c r="M27" s="23" t="inlineStr"/>
      <c r="N27" s="23" t="inlineStr"/>
      <c r="O27" s="23">
        <f>ROUND('Resumen_Cartera'!$K27 * 'Resumen_Cartera'!$Q27, 2)</f>
        <v/>
      </c>
      <c r="P27" s="23">
        <f>IF(Saldos_Capital_Mensual!O27&gt;0, ROUND(Saldos_Capital_Mensual!O27 * 'Resumen_Cartera'!$Q27, 2), "")</f>
        <v/>
      </c>
      <c r="Q27" s="23">
        <f>IF(Saldos_Capital_Mensual!P27&gt;0, ROUND(Saldos_Capital_Mensual!P27 * 'Resumen_Cartera'!$Q27, 2), "")</f>
        <v/>
      </c>
      <c r="R27" s="23">
        <f>IF(Saldos_Capital_Mensual!Q27&gt;0, ROUND(Saldos_Capital_Mensual!Q27 * 'Resumen_Cartera'!$Q27, 2), "")</f>
        <v/>
      </c>
      <c r="S27" s="23">
        <f>IF(Saldos_Capital_Mensual!R27&gt;0, ROUND(Saldos_Capital_Mensual!R27 * 'Resumen_Cartera'!$Q27, 2), "")</f>
        <v/>
      </c>
      <c r="T27" s="23">
        <f>IF(Saldos_Capital_Mensual!S27&gt;0, ROUND(Saldos_Capital_Mensual!S27 * 'Resumen_Cartera'!$Q27, 2), "")</f>
        <v/>
      </c>
      <c r="U27" s="23">
        <f>SUM(I27:T27)</f>
        <v/>
      </c>
    </row>
    <row r="28">
      <c r="A28" s="26" t="inlineStr">
        <is>
          <t>0551-0002</t>
        </is>
      </c>
      <c r="B28" s="27" t="inlineStr">
        <is>
          <t>Agaveros Unidos de Tequila Jalisco Aun S de RL de Cv</t>
        </is>
      </c>
      <c r="C28" s="27" t="inlineStr">
        <is>
          <t>Ram 700 Laramie</t>
        </is>
      </c>
      <c r="D28" s="26" t="inlineStr">
        <is>
          <t>ACTIVO</t>
        </is>
      </c>
      <c r="E28" s="26" t="inlineStr">
        <is>
          <t>2023-07-07</t>
        </is>
      </c>
      <c r="F28" s="26" t="inlineStr">
        <is>
          <t>2027-07-07</t>
        </is>
      </c>
      <c r="G28" s="28" t="n">
        <v>48</v>
      </c>
      <c r="H28" s="29" t="n">
        <v>247353.45</v>
      </c>
      <c r="I28" s="29">
        <f>ROUND(169189.16 * 'Resumen_Cartera'!$Q28, 2)</f>
        <v/>
      </c>
      <c r="J28" s="29">
        <f>IF(Saldos_Capital_Mensual!I28&gt;0, ROUND(Saldos_Capital_Mensual!I28 * 'Resumen_Cartera'!$Q28, 2), "")</f>
        <v/>
      </c>
      <c r="K28" s="29">
        <f>IF(Saldos_Capital_Mensual!J28&gt;0, ROUND(Saldos_Capital_Mensual!J28 * 'Resumen_Cartera'!$Q28, 2), "")</f>
        <v/>
      </c>
      <c r="L28" s="29">
        <f>IF(Saldos_Capital_Mensual!K28&gt;0, ROUND(Saldos_Capital_Mensual!K28 * 'Resumen_Cartera'!$Q28, 2), "")</f>
        <v/>
      </c>
      <c r="M28" s="29">
        <f>IF(Saldos_Capital_Mensual!L28&gt;0, ROUND(Saldos_Capital_Mensual!L28 * 'Resumen_Cartera'!$Q28, 2), "")</f>
        <v/>
      </c>
      <c r="N28" s="29">
        <f>IF(Saldos_Capital_Mensual!M28&gt;0, ROUND(Saldos_Capital_Mensual!M28 * 'Resumen_Cartera'!$Q28, 2), "")</f>
        <v/>
      </c>
      <c r="O28" s="29">
        <f>IF(Saldos_Capital_Mensual!N28&gt;0, ROUND(Saldos_Capital_Mensual!N28 * 'Resumen_Cartera'!$Q28, 2), "")</f>
        <v/>
      </c>
      <c r="P28" s="29">
        <f>IF(Saldos_Capital_Mensual!O28&gt;0, ROUND(Saldos_Capital_Mensual!O28 * 'Resumen_Cartera'!$Q28, 2), "")</f>
        <v/>
      </c>
      <c r="Q28" s="29">
        <f>IF(Saldos_Capital_Mensual!P28&gt;0, ROUND(Saldos_Capital_Mensual!P28 * 'Resumen_Cartera'!$Q28, 2), "")</f>
        <v/>
      </c>
      <c r="R28" s="29">
        <f>IF(Saldos_Capital_Mensual!Q28&gt;0, ROUND(Saldos_Capital_Mensual!Q28 * 'Resumen_Cartera'!$Q28, 2), "")</f>
        <v/>
      </c>
      <c r="S28" s="29">
        <f>IF(Saldos_Capital_Mensual!R28&gt;0, ROUND(Saldos_Capital_Mensual!R28 * 'Resumen_Cartera'!$Q28, 2), "")</f>
        <v/>
      </c>
      <c r="T28" s="29">
        <f>IF(Saldos_Capital_Mensual!S28&gt;0, ROUND(Saldos_Capital_Mensual!S28 * 'Resumen_Cartera'!$Q28, 2), "")</f>
        <v/>
      </c>
      <c r="U28" s="29">
        <f>SUM(I28:T28)</f>
        <v/>
      </c>
    </row>
    <row r="29">
      <c r="A29" s="20" t="inlineStr">
        <is>
          <t>0552-0018</t>
        </is>
      </c>
      <c r="B29" s="21" t="inlineStr">
        <is>
          <t>Transportes y Maniobras Portuarias</t>
        </is>
      </c>
      <c r="C29" s="21" t="inlineStr">
        <is>
          <t>Raizer</t>
        </is>
      </c>
      <c r="D29" s="20" t="inlineStr">
        <is>
          <t>ACTIVO</t>
        </is>
      </c>
      <c r="E29" s="20" t="inlineStr">
        <is>
          <t>2024-11-29</t>
        </is>
      </c>
      <c r="F29" s="20" t="inlineStr">
        <is>
          <t>2026-11-29</t>
        </is>
      </c>
      <c r="G29" s="22" t="n">
        <v>24</v>
      </c>
      <c r="H29" s="23" t="n">
        <v>720900</v>
      </c>
      <c r="I29" s="23">
        <f>ROUND(361248.01 * 'Resumen_Cartera'!$Q29, 2)</f>
        <v/>
      </c>
      <c r="J29" s="23">
        <f>IF(Saldos_Capital_Mensual!I29&gt;0, ROUND(Saldos_Capital_Mensual!I29 * 'Resumen_Cartera'!$Q29, 2), "")</f>
        <v/>
      </c>
      <c r="K29" s="23">
        <f>IF(Saldos_Capital_Mensual!J29&gt;0, ROUND(Saldos_Capital_Mensual!J29 * 'Resumen_Cartera'!$Q29, 2), "")</f>
        <v/>
      </c>
      <c r="L29" s="23">
        <f>IF(Saldos_Capital_Mensual!K29&gt;0, ROUND(Saldos_Capital_Mensual!K29 * 'Resumen_Cartera'!$Q29, 2), "")</f>
        <v/>
      </c>
      <c r="M29" s="23">
        <f>IF(Saldos_Capital_Mensual!L29&gt;0, ROUND(Saldos_Capital_Mensual!L29 * 'Resumen_Cartera'!$Q29, 2), "")</f>
        <v/>
      </c>
      <c r="N29" s="23">
        <f>IF(Saldos_Capital_Mensual!M29&gt;0, ROUND(Saldos_Capital_Mensual!M29 * 'Resumen_Cartera'!$Q29, 2), "")</f>
        <v/>
      </c>
      <c r="O29" s="23">
        <f>IF(Saldos_Capital_Mensual!N29&gt;0, ROUND(Saldos_Capital_Mensual!N29 * 'Resumen_Cartera'!$Q29, 2), "")</f>
        <v/>
      </c>
      <c r="P29" s="23">
        <f>IF(Saldos_Capital_Mensual!O29&gt;0, ROUND(Saldos_Capital_Mensual!O29 * 'Resumen_Cartera'!$Q29, 2), "")</f>
        <v/>
      </c>
      <c r="Q29" s="23">
        <f>IF(Saldos_Capital_Mensual!P29&gt;0, ROUND(Saldos_Capital_Mensual!P29 * 'Resumen_Cartera'!$Q29, 2), "")</f>
        <v/>
      </c>
      <c r="R29" s="23">
        <f>IF(Saldos_Capital_Mensual!Q29&gt;0, ROUND(Saldos_Capital_Mensual!Q29 * 'Resumen_Cartera'!$Q29, 2), "")</f>
        <v/>
      </c>
      <c r="S29" s="23" t="inlineStr"/>
      <c r="T29" s="23" t="inlineStr"/>
      <c r="U29" s="23">
        <f>SUM(I29:T29)</f>
        <v/>
      </c>
    </row>
    <row r="30">
      <c r="A30" s="26" t="inlineStr">
        <is>
          <t>0552-0019</t>
        </is>
      </c>
      <c r="B30" s="27" t="inlineStr">
        <is>
          <t>Transportes y Maniobras Portuarias de Mexico Sa de Cv</t>
        </is>
      </c>
      <c r="C30" s="27" t="inlineStr">
        <is>
          <t>Remolque tipo Dolly</t>
        </is>
      </c>
      <c r="D30" s="26" t="inlineStr">
        <is>
          <t>ACTIVO</t>
        </is>
      </c>
      <c r="E30" s="26" t="inlineStr">
        <is>
          <t>2024-12-20</t>
        </is>
      </c>
      <c r="F30" s="26" t="inlineStr">
        <is>
          <t>2026-12-20</t>
        </is>
      </c>
      <c r="G30" s="28" t="n">
        <v>24</v>
      </c>
      <c r="H30" s="29" t="n">
        <v>219510</v>
      </c>
      <c r="I30" s="29">
        <f>ROUND(119241.47 * 'Resumen_Cartera'!$Q30, 2)</f>
        <v/>
      </c>
      <c r="J30" s="29">
        <f>IF(Saldos_Capital_Mensual!I30&gt;0, ROUND(Saldos_Capital_Mensual!I30 * 'Resumen_Cartera'!$Q30, 2), "")</f>
        <v/>
      </c>
      <c r="K30" s="29">
        <f>IF(Saldos_Capital_Mensual!J30&gt;0, ROUND(Saldos_Capital_Mensual!J30 * 'Resumen_Cartera'!$Q30, 2), "")</f>
        <v/>
      </c>
      <c r="L30" s="29">
        <f>IF(Saldos_Capital_Mensual!K30&gt;0, ROUND(Saldos_Capital_Mensual!K30 * 'Resumen_Cartera'!$Q30, 2), "")</f>
        <v/>
      </c>
      <c r="M30" s="29">
        <f>IF(Saldos_Capital_Mensual!L30&gt;0, ROUND(Saldos_Capital_Mensual!L30 * 'Resumen_Cartera'!$Q30, 2), "")</f>
        <v/>
      </c>
      <c r="N30" s="29">
        <f>IF(Saldos_Capital_Mensual!M30&gt;0, ROUND(Saldos_Capital_Mensual!M30 * 'Resumen_Cartera'!$Q30, 2), "")</f>
        <v/>
      </c>
      <c r="O30" s="29">
        <f>IF(Saldos_Capital_Mensual!N30&gt;0, ROUND(Saldos_Capital_Mensual!N30 * 'Resumen_Cartera'!$Q30, 2), "")</f>
        <v/>
      </c>
      <c r="P30" s="29">
        <f>IF(Saldos_Capital_Mensual!O30&gt;0, ROUND(Saldos_Capital_Mensual!O30 * 'Resumen_Cartera'!$Q30, 2), "")</f>
        <v/>
      </c>
      <c r="Q30" s="29">
        <f>IF(Saldos_Capital_Mensual!P30&gt;0, ROUND(Saldos_Capital_Mensual!P30 * 'Resumen_Cartera'!$Q30, 2), "")</f>
        <v/>
      </c>
      <c r="R30" s="29">
        <f>IF(Saldos_Capital_Mensual!Q30&gt;0, ROUND(Saldos_Capital_Mensual!Q30 * 'Resumen_Cartera'!$Q30, 2), "")</f>
        <v/>
      </c>
      <c r="S30" s="29">
        <f>IF(Saldos_Capital_Mensual!R30&gt;0, ROUND(Saldos_Capital_Mensual!R30 * 'Resumen_Cartera'!$Q30, 2), "")</f>
        <v/>
      </c>
      <c r="T30" s="29" t="inlineStr"/>
      <c r="U30" s="29">
        <f>SUM(I30:T30)</f>
        <v/>
      </c>
    </row>
    <row r="31">
      <c r="A31" s="20" t="inlineStr">
        <is>
          <t>0552-0020</t>
        </is>
      </c>
      <c r="B31" s="21" t="inlineStr">
        <is>
          <t>Transportes y Maniobras Portuarias de Mexico Sa de Cv</t>
        </is>
      </c>
      <c r="C31" s="21" t="inlineStr">
        <is>
          <t>PLATAFORMA MULTIMODAL</t>
        </is>
      </c>
      <c r="D31" s="20" t="inlineStr">
        <is>
          <t>ACTIVO</t>
        </is>
      </c>
      <c r="E31" s="20" t="inlineStr">
        <is>
          <t>2024-12-26</t>
        </is>
      </c>
      <c r="F31" s="20" t="inlineStr">
        <is>
          <t>2026-12-26</t>
        </is>
      </c>
      <c r="G31" s="22" t="n">
        <v>24</v>
      </c>
      <c r="H31" s="23" t="n">
        <v>415530</v>
      </c>
      <c r="I31" s="23">
        <f>ROUND(225722.85 * 'Resumen_Cartera'!$Q31, 2)</f>
        <v/>
      </c>
      <c r="J31" s="23">
        <f>IF(Saldos_Capital_Mensual!I31&gt;0, ROUND(Saldos_Capital_Mensual!I31 * 'Resumen_Cartera'!$Q31, 2), "")</f>
        <v/>
      </c>
      <c r="K31" s="23">
        <f>IF(Saldos_Capital_Mensual!J31&gt;0, ROUND(Saldos_Capital_Mensual!J31 * 'Resumen_Cartera'!$Q31, 2), "")</f>
        <v/>
      </c>
      <c r="L31" s="23">
        <f>IF(Saldos_Capital_Mensual!K31&gt;0, ROUND(Saldos_Capital_Mensual!K31 * 'Resumen_Cartera'!$Q31, 2), "")</f>
        <v/>
      </c>
      <c r="M31" s="23">
        <f>IF(Saldos_Capital_Mensual!L31&gt;0, ROUND(Saldos_Capital_Mensual!L31 * 'Resumen_Cartera'!$Q31, 2), "")</f>
        <v/>
      </c>
      <c r="N31" s="23">
        <f>IF(Saldos_Capital_Mensual!M31&gt;0, ROUND(Saldos_Capital_Mensual!M31 * 'Resumen_Cartera'!$Q31, 2), "")</f>
        <v/>
      </c>
      <c r="O31" s="23">
        <f>IF(Saldos_Capital_Mensual!N31&gt;0, ROUND(Saldos_Capital_Mensual!N31 * 'Resumen_Cartera'!$Q31, 2), "")</f>
        <v/>
      </c>
      <c r="P31" s="23">
        <f>IF(Saldos_Capital_Mensual!O31&gt;0, ROUND(Saldos_Capital_Mensual!O31 * 'Resumen_Cartera'!$Q31, 2), "")</f>
        <v/>
      </c>
      <c r="Q31" s="23">
        <f>IF(Saldos_Capital_Mensual!P31&gt;0, ROUND(Saldos_Capital_Mensual!P31 * 'Resumen_Cartera'!$Q31, 2), "")</f>
        <v/>
      </c>
      <c r="R31" s="23">
        <f>IF(Saldos_Capital_Mensual!Q31&gt;0, ROUND(Saldos_Capital_Mensual!Q31 * 'Resumen_Cartera'!$Q31, 2), "")</f>
        <v/>
      </c>
      <c r="S31" s="23">
        <f>IF(Saldos_Capital_Mensual!R31&gt;0, ROUND(Saldos_Capital_Mensual!R31 * 'Resumen_Cartera'!$Q31, 2), "")</f>
        <v/>
      </c>
      <c r="T31" s="23" t="inlineStr"/>
      <c r="U31" s="23">
        <f>SUM(I31:T31)</f>
        <v/>
      </c>
    </row>
    <row r="32">
      <c r="A32" s="26" t="inlineStr">
        <is>
          <t>0552-0021</t>
        </is>
      </c>
      <c r="B32" s="27" t="inlineStr">
        <is>
          <t>Transportes y Maniobras Portuarias de Mexico Sa de Cv</t>
        </is>
      </c>
      <c r="C32" s="27" t="inlineStr">
        <is>
          <t>PLATAFORMA MULTIMODAL</t>
        </is>
      </c>
      <c r="D32" s="26" t="inlineStr">
        <is>
          <t>ACTIVO</t>
        </is>
      </c>
      <c r="E32" s="26" t="inlineStr">
        <is>
          <t>2024-12-26</t>
        </is>
      </c>
      <c r="F32" s="26" t="inlineStr">
        <is>
          <t>2026-12-26</t>
        </is>
      </c>
      <c r="G32" s="28" t="n">
        <v>24</v>
      </c>
      <c r="H32" s="29" t="n">
        <v>415530</v>
      </c>
      <c r="I32" s="29">
        <f>ROUND(225722.85 * 'Resumen_Cartera'!$Q32, 2)</f>
        <v/>
      </c>
      <c r="J32" s="29">
        <f>IF(Saldos_Capital_Mensual!I32&gt;0, ROUND(Saldos_Capital_Mensual!I32 * 'Resumen_Cartera'!$Q32, 2), "")</f>
        <v/>
      </c>
      <c r="K32" s="29">
        <f>IF(Saldos_Capital_Mensual!J32&gt;0, ROUND(Saldos_Capital_Mensual!J32 * 'Resumen_Cartera'!$Q32, 2), "")</f>
        <v/>
      </c>
      <c r="L32" s="29">
        <f>IF(Saldos_Capital_Mensual!K32&gt;0, ROUND(Saldos_Capital_Mensual!K32 * 'Resumen_Cartera'!$Q32, 2), "")</f>
        <v/>
      </c>
      <c r="M32" s="29">
        <f>IF(Saldos_Capital_Mensual!L32&gt;0, ROUND(Saldos_Capital_Mensual!L32 * 'Resumen_Cartera'!$Q32, 2), "")</f>
        <v/>
      </c>
      <c r="N32" s="29">
        <f>IF(Saldos_Capital_Mensual!M32&gt;0, ROUND(Saldos_Capital_Mensual!M32 * 'Resumen_Cartera'!$Q32, 2), "")</f>
        <v/>
      </c>
      <c r="O32" s="29">
        <f>IF(Saldos_Capital_Mensual!N32&gt;0, ROUND(Saldos_Capital_Mensual!N32 * 'Resumen_Cartera'!$Q32, 2), "")</f>
        <v/>
      </c>
      <c r="P32" s="29">
        <f>IF(Saldos_Capital_Mensual!O32&gt;0, ROUND(Saldos_Capital_Mensual!O32 * 'Resumen_Cartera'!$Q32, 2), "")</f>
        <v/>
      </c>
      <c r="Q32" s="29">
        <f>IF(Saldos_Capital_Mensual!P32&gt;0, ROUND(Saldos_Capital_Mensual!P32 * 'Resumen_Cartera'!$Q32, 2), "")</f>
        <v/>
      </c>
      <c r="R32" s="29">
        <f>IF(Saldos_Capital_Mensual!Q32&gt;0, ROUND(Saldos_Capital_Mensual!Q32 * 'Resumen_Cartera'!$Q32, 2), "")</f>
        <v/>
      </c>
      <c r="S32" s="29">
        <f>IF(Saldos_Capital_Mensual!R32&gt;0, ROUND(Saldos_Capital_Mensual!R32 * 'Resumen_Cartera'!$Q32, 2), "")</f>
        <v/>
      </c>
      <c r="T32" s="29" t="inlineStr"/>
      <c r="U32" s="29">
        <f>SUM(I32:T32)</f>
        <v/>
      </c>
    </row>
    <row r="33">
      <c r="A33" s="20" t="inlineStr">
        <is>
          <t>0552-0022</t>
        </is>
      </c>
      <c r="B33" s="21" t="inlineStr">
        <is>
          <t>Transportes y Maniobras Portuarias de Mexico Sa de Cv</t>
        </is>
      </c>
      <c r="C33" s="21" t="inlineStr">
        <is>
          <t>RZR</t>
        </is>
      </c>
      <c r="D33" s="20" t="inlineStr">
        <is>
          <t>ACTIVO</t>
        </is>
      </c>
      <c r="E33" s="20" t="inlineStr">
        <is>
          <t>2024-12-26</t>
        </is>
      </c>
      <c r="F33" s="20" t="inlineStr">
        <is>
          <t>2026-12-26</t>
        </is>
      </c>
      <c r="G33" s="22" t="n">
        <v>24</v>
      </c>
      <c r="H33" s="23" t="n">
        <v>737862.0699999999</v>
      </c>
      <c r="I33" s="23">
        <f>ROUND(400872.11 * 'Resumen_Cartera'!$Q33, 2)</f>
        <v/>
      </c>
      <c r="J33" s="23">
        <f>IF(Saldos_Capital_Mensual!I33&gt;0, ROUND(Saldos_Capital_Mensual!I33 * 'Resumen_Cartera'!$Q33, 2), "")</f>
        <v/>
      </c>
      <c r="K33" s="23">
        <f>IF(Saldos_Capital_Mensual!J33&gt;0, ROUND(Saldos_Capital_Mensual!J33 * 'Resumen_Cartera'!$Q33, 2), "")</f>
        <v/>
      </c>
      <c r="L33" s="23">
        <f>IF(Saldos_Capital_Mensual!K33&gt;0, ROUND(Saldos_Capital_Mensual!K33 * 'Resumen_Cartera'!$Q33, 2), "")</f>
        <v/>
      </c>
      <c r="M33" s="23">
        <f>IF(Saldos_Capital_Mensual!L33&gt;0, ROUND(Saldos_Capital_Mensual!L33 * 'Resumen_Cartera'!$Q33, 2), "")</f>
        <v/>
      </c>
      <c r="N33" s="23">
        <f>IF(Saldos_Capital_Mensual!M33&gt;0, ROUND(Saldos_Capital_Mensual!M33 * 'Resumen_Cartera'!$Q33, 2), "")</f>
        <v/>
      </c>
      <c r="O33" s="23">
        <f>IF(Saldos_Capital_Mensual!N33&gt;0, ROUND(Saldos_Capital_Mensual!N33 * 'Resumen_Cartera'!$Q33, 2), "")</f>
        <v/>
      </c>
      <c r="P33" s="23">
        <f>IF(Saldos_Capital_Mensual!O33&gt;0, ROUND(Saldos_Capital_Mensual!O33 * 'Resumen_Cartera'!$Q33, 2), "")</f>
        <v/>
      </c>
      <c r="Q33" s="23">
        <f>IF(Saldos_Capital_Mensual!P33&gt;0, ROUND(Saldos_Capital_Mensual!P33 * 'Resumen_Cartera'!$Q33, 2), "")</f>
        <v/>
      </c>
      <c r="R33" s="23">
        <f>IF(Saldos_Capital_Mensual!Q33&gt;0, ROUND(Saldos_Capital_Mensual!Q33 * 'Resumen_Cartera'!$Q33, 2), "")</f>
        <v/>
      </c>
      <c r="S33" s="23">
        <f>IF(Saldos_Capital_Mensual!R33&gt;0, ROUND(Saldos_Capital_Mensual!R33 * 'Resumen_Cartera'!$Q33, 2), "")</f>
        <v/>
      </c>
      <c r="T33" s="23" t="inlineStr"/>
      <c r="U33" s="23">
        <f>SUM(I33:T33)</f>
        <v/>
      </c>
    </row>
    <row r="34">
      <c r="A34" s="26" t="inlineStr">
        <is>
          <t>0552-0023</t>
        </is>
      </c>
      <c r="B34" s="27" t="inlineStr">
        <is>
          <t>Transportes y Maniobras Portuarias de Mexico Sa de Cv</t>
        </is>
      </c>
      <c r="C34" s="27" t="inlineStr">
        <is>
          <t>Iternational Lt</t>
        </is>
      </c>
      <c r="D34" s="26" t="inlineStr">
        <is>
          <t>ACTIVO</t>
        </is>
      </c>
      <c r="E34" s="26" t="inlineStr">
        <is>
          <t>2025-08-27</t>
        </is>
      </c>
      <c r="F34" s="26" t="inlineStr">
        <is>
          <t>2027-08-27</t>
        </is>
      </c>
      <c r="G34" s="28" t="n">
        <v>24</v>
      </c>
      <c r="H34" s="29" t="n">
        <v>1377931.03</v>
      </c>
      <c r="I34" s="29">
        <f>ROUND(1180748.71 * 'Resumen_Cartera'!$Q34, 2)</f>
        <v/>
      </c>
      <c r="J34" s="29">
        <f>IF(Saldos_Capital_Mensual!I34&gt;0, ROUND(Saldos_Capital_Mensual!I34 * 'Resumen_Cartera'!$Q34, 2), "")</f>
        <v/>
      </c>
      <c r="K34" s="29">
        <f>IF(Saldos_Capital_Mensual!J34&gt;0, ROUND(Saldos_Capital_Mensual!J34 * 'Resumen_Cartera'!$Q34, 2), "")</f>
        <v/>
      </c>
      <c r="L34" s="29">
        <f>IF(Saldos_Capital_Mensual!K34&gt;0, ROUND(Saldos_Capital_Mensual!K34 * 'Resumen_Cartera'!$Q34, 2), "")</f>
        <v/>
      </c>
      <c r="M34" s="29">
        <f>IF(Saldos_Capital_Mensual!L34&gt;0, ROUND(Saldos_Capital_Mensual!L34 * 'Resumen_Cartera'!$Q34, 2), "")</f>
        <v/>
      </c>
      <c r="N34" s="29">
        <f>IF(Saldos_Capital_Mensual!M34&gt;0, ROUND(Saldos_Capital_Mensual!M34 * 'Resumen_Cartera'!$Q34, 2), "")</f>
        <v/>
      </c>
      <c r="O34" s="29">
        <f>IF(Saldos_Capital_Mensual!N34&gt;0, ROUND(Saldos_Capital_Mensual!N34 * 'Resumen_Cartera'!$Q34, 2), "")</f>
        <v/>
      </c>
      <c r="P34" s="29">
        <f>IF(Saldos_Capital_Mensual!O34&gt;0, ROUND(Saldos_Capital_Mensual!O34 * 'Resumen_Cartera'!$Q34, 2), "")</f>
        <v/>
      </c>
      <c r="Q34" s="29">
        <f>IF(Saldos_Capital_Mensual!P34&gt;0, ROUND(Saldos_Capital_Mensual!P34 * 'Resumen_Cartera'!$Q34, 2), "")</f>
        <v/>
      </c>
      <c r="R34" s="29">
        <f>IF(Saldos_Capital_Mensual!Q34&gt;0, ROUND(Saldos_Capital_Mensual!Q34 * 'Resumen_Cartera'!$Q34, 2), "")</f>
        <v/>
      </c>
      <c r="S34" s="29">
        <f>IF(Saldos_Capital_Mensual!R34&gt;0, ROUND(Saldos_Capital_Mensual!R34 * 'Resumen_Cartera'!$Q34, 2), "")</f>
        <v/>
      </c>
      <c r="T34" s="29">
        <f>IF(Saldos_Capital_Mensual!S34&gt;0, ROUND(Saldos_Capital_Mensual!S34 * 'Resumen_Cartera'!$Q34, 2), "")</f>
        <v/>
      </c>
      <c r="U34" s="29">
        <f>SUM(I34:T34)</f>
        <v/>
      </c>
    </row>
    <row r="35">
      <c r="A35" s="20" t="inlineStr">
        <is>
          <t>0552-0024</t>
        </is>
      </c>
      <c r="B35" s="21" t="inlineStr">
        <is>
          <t>Transportes y Maniobras Portuarias de Mexico Sa de Cv</t>
        </is>
      </c>
      <c r="C35" s="21" t="inlineStr">
        <is>
          <t>Iternational Lt</t>
        </is>
      </c>
      <c r="D35" s="20" t="inlineStr">
        <is>
          <t>ACTIVO</t>
        </is>
      </c>
      <c r="E35" s="20" t="inlineStr">
        <is>
          <t>2025-08-27</t>
        </is>
      </c>
      <c r="F35" s="20" t="inlineStr">
        <is>
          <t>2027-08-27</t>
        </is>
      </c>
      <c r="G35" s="22" t="n">
        <v>24</v>
      </c>
      <c r="H35" s="23" t="n">
        <v>1377931.03</v>
      </c>
      <c r="I35" s="23">
        <f>ROUND(1180748.71 * 'Resumen_Cartera'!$Q35, 2)</f>
        <v/>
      </c>
      <c r="J35" s="23">
        <f>IF(Saldos_Capital_Mensual!I35&gt;0, ROUND(Saldos_Capital_Mensual!I35 * 'Resumen_Cartera'!$Q35, 2), "")</f>
        <v/>
      </c>
      <c r="K35" s="23">
        <f>IF(Saldos_Capital_Mensual!J35&gt;0, ROUND(Saldos_Capital_Mensual!J35 * 'Resumen_Cartera'!$Q35, 2), "")</f>
        <v/>
      </c>
      <c r="L35" s="23">
        <f>IF(Saldos_Capital_Mensual!K35&gt;0, ROUND(Saldos_Capital_Mensual!K35 * 'Resumen_Cartera'!$Q35, 2), "")</f>
        <v/>
      </c>
      <c r="M35" s="23">
        <f>IF(Saldos_Capital_Mensual!L35&gt;0, ROUND(Saldos_Capital_Mensual!L35 * 'Resumen_Cartera'!$Q35, 2), "")</f>
        <v/>
      </c>
      <c r="N35" s="23">
        <f>IF(Saldos_Capital_Mensual!M35&gt;0, ROUND(Saldos_Capital_Mensual!M35 * 'Resumen_Cartera'!$Q35, 2), "")</f>
        <v/>
      </c>
      <c r="O35" s="23">
        <f>IF(Saldos_Capital_Mensual!N35&gt;0, ROUND(Saldos_Capital_Mensual!N35 * 'Resumen_Cartera'!$Q35, 2), "")</f>
        <v/>
      </c>
      <c r="P35" s="23">
        <f>IF(Saldos_Capital_Mensual!O35&gt;0, ROUND(Saldos_Capital_Mensual!O35 * 'Resumen_Cartera'!$Q35, 2), "")</f>
        <v/>
      </c>
      <c r="Q35" s="23">
        <f>IF(Saldos_Capital_Mensual!P35&gt;0, ROUND(Saldos_Capital_Mensual!P35 * 'Resumen_Cartera'!$Q35, 2), "")</f>
        <v/>
      </c>
      <c r="R35" s="23">
        <f>IF(Saldos_Capital_Mensual!Q35&gt;0, ROUND(Saldos_Capital_Mensual!Q35 * 'Resumen_Cartera'!$Q35, 2), "")</f>
        <v/>
      </c>
      <c r="S35" s="23">
        <f>IF(Saldos_Capital_Mensual!R35&gt;0, ROUND(Saldos_Capital_Mensual!R35 * 'Resumen_Cartera'!$Q35, 2), "")</f>
        <v/>
      </c>
      <c r="T35" s="23">
        <f>IF(Saldos_Capital_Mensual!S35&gt;0, ROUND(Saldos_Capital_Mensual!S35 * 'Resumen_Cartera'!$Q35, 2), "")</f>
        <v/>
      </c>
      <c r="U35" s="23">
        <f>SUM(I35:T35)</f>
        <v/>
      </c>
    </row>
    <row r="36">
      <c r="A36" s="26" t="inlineStr">
        <is>
          <t>0552-0025</t>
        </is>
      </c>
      <c r="B36" s="27" t="inlineStr">
        <is>
          <t>Transportes y Maniobras Portuarias de Mexico Sa de Cv</t>
        </is>
      </c>
      <c r="C36" s="27" t="inlineStr">
        <is>
          <t>Iternational Lt</t>
        </is>
      </c>
      <c r="D36" s="26" t="inlineStr">
        <is>
          <t>ACTIVO</t>
        </is>
      </c>
      <c r="E36" s="26" t="inlineStr">
        <is>
          <t>2025-08-27</t>
        </is>
      </c>
      <c r="F36" s="26" t="inlineStr">
        <is>
          <t>2027-08-27</t>
        </is>
      </c>
      <c r="G36" s="28" t="n">
        <v>24</v>
      </c>
      <c r="H36" s="29" t="n">
        <v>1377931.03</v>
      </c>
      <c r="I36" s="29">
        <f>ROUND(1180748.71 * 'Resumen_Cartera'!$Q36, 2)</f>
        <v/>
      </c>
      <c r="J36" s="29">
        <f>IF(Saldos_Capital_Mensual!I36&gt;0, ROUND(Saldos_Capital_Mensual!I36 * 'Resumen_Cartera'!$Q36, 2), "")</f>
        <v/>
      </c>
      <c r="K36" s="29">
        <f>IF(Saldos_Capital_Mensual!J36&gt;0, ROUND(Saldos_Capital_Mensual!J36 * 'Resumen_Cartera'!$Q36, 2), "")</f>
        <v/>
      </c>
      <c r="L36" s="29">
        <f>IF(Saldos_Capital_Mensual!K36&gt;0, ROUND(Saldos_Capital_Mensual!K36 * 'Resumen_Cartera'!$Q36, 2), "")</f>
        <v/>
      </c>
      <c r="M36" s="29">
        <f>IF(Saldos_Capital_Mensual!L36&gt;0, ROUND(Saldos_Capital_Mensual!L36 * 'Resumen_Cartera'!$Q36, 2), "")</f>
        <v/>
      </c>
      <c r="N36" s="29">
        <f>IF(Saldos_Capital_Mensual!M36&gt;0, ROUND(Saldos_Capital_Mensual!M36 * 'Resumen_Cartera'!$Q36, 2), "")</f>
        <v/>
      </c>
      <c r="O36" s="29">
        <f>IF(Saldos_Capital_Mensual!N36&gt;0, ROUND(Saldos_Capital_Mensual!N36 * 'Resumen_Cartera'!$Q36, 2), "")</f>
        <v/>
      </c>
      <c r="P36" s="29">
        <f>IF(Saldos_Capital_Mensual!O36&gt;0, ROUND(Saldos_Capital_Mensual!O36 * 'Resumen_Cartera'!$Q36, 2), "")</f>
        <v/>
      </c>
      <c r="Q36" s="29">
        <f>IF(Saldos_Capital_Mensual!P36&gt;0, ROUND(Saldos_Capital_Mensual!P36 * 'Resumen_Cartera'!$Q36, 2), "")</f>
        <v/>
      </c>
      <c r="R36" s="29">
        <f>IF(Saldos_Capital_Mensual!Q36&gt;0, ROUND(Saldos_Capital_Mensual!Q36 * 'Resumen_Cartera'!$Q36, 2), "")</f>
        <v/>
      </c>
      <c r="S36" s="29">
        <f>IF(Saldos_Capital_Mensual!R36&gt;0, ROUND(Saldos_Capital_Mensual!R36 * 'Resumen_Cartera'!$Q36, 2), "")</f>
        <v/>
      </c>
      <c r="T36" s="29">
        <f>IF(Saldos_Capital_Mensual!S36&gt;0, ROUND(Saldos_Capital_Mensual!S36 * 'Resumen_Cartera'!$Q36, 2), "")</f>
        <v/>
      </c>
      <c r="U36" s="29">
        <f>SUM(I36:T36)</f>
        <v/>
      </c>
    </row>
    <row r="37">
      <c r="A37" s="20" t="inlineStr">
        <is>
          <t>0554-0003</t>
        </is>
      </c>
      <c r="B37" s="21" t="inlineStr">
        <is>
          <t>TRANSPORTES DEL BAJIO TRANSCOLD SA DE CV</t>
        </is>
      </c>
      <c r="C37" s="21" t="inlineStr">
        <is>
          <t>RAM 4000 CHASIS PLANO LARGO "PL"</t>
        </is>
      </c>
      <c r="D37" s="20" t="inlineStr">
        <is>
          <t>ACTIVO</t>
        </is>
      </c>
      <c r="E37" s="20" t="inlineStr">
        <is>
          <t>2022-11-24</t>
        </is>
      </c>
      <c r="F37" s="20" t="inlineStr">
        <is>
          <t>2026-11-24</t>
        </is>
      </c>
      <c r="G37" s="22" t="n">
        <v>48</v>
      </c>
      <c r="H37" s="23" t="n">
        <v>643825.51</v>
      </c>
      <c r="I37" s="23">
        <f>ROUND(258312.84 * 'Resumen_Cartera'!$Q37, 2)</f>
        <v/>
      </c>
      <c r="J37" s="23">
        <f>IF(Saldos_Capital_Mensual!I37&gt;0, ROUND(Saldos_Capital_Mensual!I37 * 'Resumen_Cartera'!$Q37, 2), "")</f>
        <v/>
      </c>
      <c r="K37" s="23">
        <f>IF(Saldos_Capital_Mensual!J37&gt;0, ROUND(Saldos_Capital_Mensual!J37 * 'Resumen_Cartera'!$Q37, 2), "")</f>
        <v/>
      </c>
      <c r="L37" s="23">
        <f>IF(Saldos_Capital_Mensual!K37&gt;0, ROUND(Saldos_Capital_Mensual!K37 * 'Resumen_Cartera'!$Q37, 2), "")</f>
        <v/>
      </c>
      <c r="M37" s="23">
        <f>IF(Saldos_Capital_Mensual!L37&gt;0, ROUND(Saldos_Capital_Mensual!L37 * 'Resumen_Cartera'!$Q37, 2), "")</f>
        <v/>
      </c>
      <c r="N37" s="23">
        <f>IF(Saldos_Capital_Mensual!M37&gt;0, ROUND(Saldos_Capital_Mensual!M37 * 'Resumen_Cartera'!$Q37, 2), "")</f>
        <v/>
      </c>
      <c r="O37" s="23">
        <f>IF(Saldos_Capital_Mensual!N37&gt;0, ROUND(Saldos_Capital_Mensual!N37 * 'Resumen_Cartera'!$Q37, 2), "")</f>
        <v/>
      </c>
      <c r="P37" s="23">
        <f>IF(Saldos_Capital_Mensual!O37&gt;0, ROUND(Saldos_Capital_Mensual!O37 * 'Resumen_Cartera'!$Q37, 2), "")</f>
        <v/>
      </c>
      <c r="Q37" s="23">
        <f>IF(Saldos_Capital_Mensual!P37&gt;0, ROUND(Saldos_Capital_Mensual!P37 * 'Resumen_Cartera'!$Q37, 2), "")</f>
        <v/>
      </c>
      <c r="R37" s="23">
        <f>IF(Saldos_Capital_Mensual!Q37&gt;0, ROUND(Saldos_Capital_Mensual!Q37 * 'Resumen_Cartera'!$Q37, 2), "")</f>
        <v/>
      </c>
      <c r="S37" s="23" t="inlineStr"/>
      <c r="T37" s="23" t="inlineStr"/>
      <c r="U37" s="23">
        <f>SUM(I37:T37)</f>
        <v/>
      </c>
    </row>
    <row r="38">
      <c r="A38" s="26" t="inlineStr">
        <is>
          <t>0570-0006</t>
        </is>
      </c>
      <c r="B38" s="27" t="inlineStr">
        <is>
          <t>Jalco Iluminacion Sa de Cv</t>
        </is>
      </c>
      <c r="C38" s="27" t="inlineStr">
        <is>
          <t>RAM 700 BIG HORN</t>
        </is>
      </c>
      <c r="D38" s="26" t="inlineStr">
        <is>
          <t>ACTIVO</t>
        </is>
      </c>
      <c r="E38" s="26" t="inlineStr">
        <is>
          <t>2023-12-08</t>
        </is>
      </c>
      <c r="F38" s="26" t="inlineStr">
        <is>
          <t>2026-12-08</t>
        </is>
      </c>
      <c r="G38" s="28" t="n">
        <v>36</v>
      </c>
      <c r="H38" s="29" t="n">
        <v>313370.69</v>
      </c>
      <c r="I38" s="29">
        <f>ROUND(204463.69 * 'Resumen_Cartera'!$Q38, 2)</f>
        <v/>
      </c>
      <c r="J38" s="29">
        <f>IF(Saldos_Capital_Mensual!I38&gt;0, ROUND(Saldos_Capital_Mensual!I38 * 'Resumen_Cartera'!$Q38, 2), "")</f>
        <v/>
      </c>
      <c r="K38" s="29">
        <f>IF(Saldos_Capital_Mensual!J38&gt;0, ROUND(Saldos_Capital_Mensual!J38 * 'Resumen_Cartera'!$Q38, 2), "")</f>
        <v/>
      </c>
      <c r="L38" s="29">
        <f>IF(Saldos_Capital_Mensual!K38&gt;0, ROUND(Saldos_Capital_Mensual!K38 * 'Resumen_Cartera'!$Q38, 2), "")</f>
        <v/>
      </c>
      <c r="M38" s="29">
        <f>IF(Saldos_Capital_Mensual!L38&gt;0, ROUND(Saldos_Capital_Mensual!L38 * 'Resumen_Cartera'!$Q38, 2), "")</f>
        <v/>
      </c>
      <c r="N38" s="29">
        <f>IF(Saldos_Capital_Mensual!M38&gt;0, ROUND(Saldos_Capital_Mensual!M38 * 'Resumen_Cartera'!$Q38, 2), "")</f>
        <v/>
      </c>
      <c r="O38" s="29">
        <f>IF(Saldos_Capital_Mensual!N38&gt;0, ROUND(Saldos_Capital_Mensual!N38 * 'Resumen_Cartera'!$Q38, 2), "")</f>
        <v/>
      </c>
      <c r="P38" s="29">
        <f>IF(Saldos_Capital_Mensual!O38&gt;0, ROUND(Saldos_Capital_Mensual!O38 * 'Resumen_Cartera'!$Q38, 2), "")</f>
        <v/>
      </c>
      <c r="Q38" s="29">
        <f>IF(Saldos_Capital_Mensual!P38&gt;0, ROUND(Saldos_Capital_Mensual!P38 * 'Resumen_Cartera'!$Q38, 2), "")</f>
        <v/>
      </c>
      <c r="R38" s="29">
        <f>IF(Saldos_Capital_Mensual!Q38&gt;0, ROUND(Saldos_Capital_Mensual!Q38 * 'Resumen_Cartera'!$Q38, 2), "")</f>
        <v/>
      </c>
      <c r="S38" s="29">
        <f>IF(Saldos_Capital_Mensual!R38&gt;0, ROUND(Saldos_Capital_Mensual!R38 * 'Resumen_Cartera'!$Q38, 2), "")</f>
        <v/>
      </c>
      <c r="T38" s="29" t="inlineStr"/>
      <c r="U38" s="29">
        <f>SUM(I38:T38)</f>
        <v/>
      </c>
    </row>
    <row r="39">
      <c r="A39" s="20" t="inlineStr">
        <is>
          <t>0573-0007</t>
        </is>
      </c>
      <c r="B39" s="21" t="inlineStr">
        <is>
          <t>Ar Marketing Sa de Cv</t>
        </is>
      </c>
      <c r="C39" s="21" t="inlineStr">
        <is>
          <t>Promaster Rapid</t>
        </is>
      </c>
      <c r="D39" s="20" t="inlineStr">
        <is>
          <t>ACTIVO</t>
        </is>
      </c>
      <c r="E39" s="20" t="inlineStr">
        <is>
          <t>2024-05-10</t>
        </is>
      </c>
      <c r="F39" s="20" t="inlineStr">
        <is>
          <t>2027-05-10</t>
        </is>
      </c>
      <c r="G39" s="22" t="n">
        <v>36</v>
      </c>
      <c r="H39" s="23" t="n">
        <v>180311.55</v>
      </c>
      <c r="I39" s="23">
        <f>ROUND(127164.74 * 'Resumen_Cartera'!$Q39, 2)</f>
        <v/>
      </c>
      <c r="J39" s="23">
        <f>IF(Saldos_Capital_Mensual!I39&gt;0, ROUND(Saldos_Capital_Mensual!I39 * 'Resumen_Cartera'!$Q39, 2), "")</f>
        <v/>
      </c>
      <c r="K39" s="23">
        <f>IF(Saldos_Capital_Mensual!J39&gt;0, ROUND(Saldos_Capital_Mensual!J39 * 'Resumen_Cartera'!$Q39, 2), "")</f>
        <v/>
      </c>
      <c r="L39" s="23">
        <f>IF(Saldos_Capital_Mensual!K39&gt;0, ROUND(Saldos_Capital_Mensual!K39 * 'Resumen_Cartera'!$Q39, 2), "")</f>
        <v/>
      </c>
      <c r="M39" s="23">
        <f>IF(Saldos_Capital_Mensual!L39&gt;0, ROUND(Saldos_Capital_Mensual!L39 * 'Resumen_Cartera'!$Q39, 2), "")</f>
        <v/>
      </c>
      <c r="N39" s="23">
        <f>IF(Saldos_Capital_Mensual!M39&gt;0, ROUND(Saldos_Capital_Mensual!M39 * 'Resumen_Cartera'!$Q39, 2), "")</f>
        <v/>
      </c>
      <c r="O39" s="23">
        <f>IF(Saldos_Capital_Mensual!N39&gt;0, ROUND(Saldos_Capital_Mensual!N39 * 'Resumen_Cartera'!$Q39, 2), "")</f>
        <v/>
      </c>
      <c r="P39" s="23">
        <f>IF(Saldos_Capital_Mensual!O39&gt;0, ROUND(Saldos_Capital_Mensual!O39 * 'Resumen_Cartera'!$Q39, 2), "")</f>
        <v/>
      </c>
      <c r="Q39" s="23">
        <f>IF(Saldos_Capital_Mensual!P39&gt;0, ROUND(Saldos_Capital_Mensual!P39 * 'Resumen_Cartera'!$Q39, 2), "")</f>
        <v/>
      </c>
      <c r="R39" s="23">
        <f>IF(Saldos_Capital_Mensual!Q39&gt;0, ROUND(Saldos_Capital_Mensual!Q39 * 'Resumen_Cartera'!$Q39, 2), "")</f>
        <v/>
      </c>
      <c r="S39" s="23">
        <f>IF(Saldos_Capital_Mensual!R39&gt;0, ROUND(Saldos_Capital_Mensual!R39 * 'Resumen_Cartera'!$Q39, 2), "")</f>
        <v/>
      </c>
      <c r="T39" s="23">
        <f>IF(Saldos_Capital_Mensual!S39&gt;0, ROUND(Saldos_Capital_Mensual!S39 * 'Resumen_Cartera'!$Q39, 2), "")</f>
        <v/>
      </c>
      <c r="U39" s="23">
        <f>SUM(I39:T39)</f>
        <v/>
      </c>
    </row>
    <row r="40">
      <c r="A40" s="26" t="inlineStr">
        <is>
          <t>0573-0008</t>
        </is>
      </c>
      <c r="B40" s="27" t="inlineStr">
        <is>
          <t>Ar Marketing Sa de Cv</t>
        </is>
      </c>
      <c r="C40" s="27" t="inlineStr">
        <is>
          <t>Promaster Rapid</t>
        </is>
      </c>
      <c r="D40" s="26" t="inlineStr">
        <is>
          <t>ACTIVO</t>
        </is>
      </c>
      <c r="E40" s="26" t="inlineStr">
        <is>
          <t>2024-05-15</t>
        </is>
      </c>
      <c r="F40" s="26" t="inlineStr">
        <is>
          <t>2027-05-15</t>
        </is>
      </c>
      <c r="G40" s="28" t="n">
        <v>36</v>
      </c>
      <c r="H40" s="29" t="n">
        <v>177354.65</v>
      </c>
      <c r="I40" s="29">
        <f>ROUND(125079.32 * 'Resumen_Cartera'!$Q40, 2)</f>
        <v/>
      </c>
      <c r="J40" s="29">
        <f>IF(Saldos_Capital_Mensual!I40&gt;0, ROUND(Saldos_Capital_Mensual!I40 * 'Resumen_Cartera'!$Q40, 2), "")</f>
        <v/>
      </c>
      <c r="K40" s="29">
        <f>IF(Saldos_Capital_Mensual!J40&gt;0, ROUND(Saldos_Capital_Mensual!J40 * 'Resumen_Cartera'!$Q40, 2), "")</f>
        <v/>
      </c>
      <c r="L40" s="29">
        <f>IF(Saldos_Capital_Mensual!K40&gt;0, ROUND(Saldos_Capital_Mensual!K40 * 'Resumen_Cartera'!$Q40, 2), "")</f>
        <v/>
      </c>
      <c r="M40" s="29">
        <f>IF(Saldos_Capital_Mensual!L40&gt;0, ROUND(Saldos_Capital_Mensual!L40 * 'Resumen_Cartera'!$Q40, 2), "")</f>
        <v/>
      </c>
      <c r="N40" s="29">
        <f>IF(Saldos_Capital_Mensual!M40&gt;0, ROUND(Saldos_Capital_Mensual!M40 * 'Resumen_Cartera'!$Q40, 2), "")</f>
        <v/>
      </c>
      <c r="O40" s="29">
        <f>IF(Saldos_Capital_Mensual!N40&gt;0, ROUND(Saldos_Capital_Mensual!N40 * 'Resumen_Cartera'!$Q40, 2), "")</f>
        <v/>
      </c>
      <c r="P40" s="29">
        <f>IF(Saldos_Capital_Mensual!O40&gt;0, ROUND(Saldos_Capital_Mensual!O40 * 'Resumen_Cartera'!$Q40, 2), "")</f>
        <v/>
      </c>
      <c r="Q40" s="29">
        <f>IF(Saldos_Capital_Mensual!P40&gt;0, ROUND(Saldos_Capital_Mensual!P40 * 'Resumen_Cartera'!$Q40, 2), "")</f>
        <v/>
      </c>
      <c r="R40" s="29">
        <f>IF(Saldos_Capital_Mensual!Q40&gt;0, ROUND(Saldos_Capital_Mensual!Q40 * 'Resumen_Cartera'!$Q40, 2), "")</f>
        <v/>
      </c>
      <c r="S40" s="29">
        <f>IF(Saldos_Capital_Mensual!R40&gt;0, ROUND(Saldos_Capital_Mensual!R40 * 'Resumen_Cartera'!$Q40, 2), "")</f>
        <v/>
      </c>
      <c r="T40" s="29">
        <f>IF(Saldos_Capital_Mensual!S40&gt;0, ROUND(Saldos_Capital_Mensual!S40 * 'Resumen_Cartera'!$Q40, 2), "")</f>
        <v/>
      </c>
      <c r="U40" s="29">
        <f>SUM(I40:T40)</f>
        <v/>
      </c>
    </row>
    <row r="41">
      <c r="A41" s="20" t="inlineStr">
        <is>
          <t>0573-0009</t>
        </is>
      </c>
      <c r="B41" s="21" t="inlineStr">
        <is>
          <t>Ar Marketing Sa de Cv</t>
        </is>
      </c>
      <c r="C41" s="21" t="inlineStr">
        <is>
          <t>Partner</t>
        </is>
      </c>
      <c r="D41" s="20" t="inlineStr">
        <is>
          <t>ACTIVO</t>
        </is>
      </c>
      <c r="E41" s="20" t="inlineStr">
        <is>
          <t>2025-11-28</t>
        </is>
      </c>
      <c r="F41" s="20" t="inlineStr">
        <is>
          <t>2028-11-28</t>
        </is>
      </c>
      <c r="G41" s="22" t="n">
        <v>36</v>
      </c>
      <c r="H41" s="23" t="n">
        <v>174397.76</v>
      </c>
      <c r="I41" s="23">
        <f>ROUND(170138.94 * 'Resumen_Cartera'!$Q41, 2)</f>
        <v/>
      </c>
      <c r="J41" s="23">
        <f>IF(Saldos_Capital_Mensual!I41&gt;0, ROUND(Saldos_Capital_Mensual!I41 * 'Resumen_Cartera'!$Q41, 2), "")</f>
        <v/>
      </c>
      <c r="K41" s="23">
        <f>IF(Saldos_Capital_Mensual!J41&gt;0, ROUND(Saldos_Capital_Mensual!J41 * 'Resumen_Cartera'!$Q41, 2), "")</f>
        <v/>
      </c>
      <c r="L41" s="23">
        <f>IF(Saldos_Capital_Mensual!K41&gt;0, ROUND(Saldos_Capital_Mensual!K41 * 'Resumen_Cartera'!$Q41, 2), "")</f>
        <v/>
      </c>
      <c r="M41" s="23">
        <f>IF(Saldos_Capital_Mensual!L41&gt;0, ROUND(Saldos_Capital_Mensual!L41 * 'Resumen_Cartera'!$Q41, 2), "")</f>
        <v/>
      </c>
      <c r="N41" s="23">
        <f>IF(Saldos_Capital_Mensual!M41&gt;0, ROUND(Saldos_Capital_Mensual!M41 * 'Resumen_Cartera'!$Q41, 2), "")</f>
        <v/>
      </c>
      <c r="O41" s="23">
        <f>IF(Saldos_Capital_Mensual!N41&gt;0, ROUND(Saldos_Capital_Mensual!N41 * 'Resumen_Cartera'!$Q41, 2), "")</f>
        <v/>
      </c>
      <c r="P41" s="23">
        <f>IF(Saldos_Capital_Mensual!O41&gt;0, ROUND(Saldos_Capital_Mensual!O41 * 'Resumen_Cartera'!$Q41, 2), "")</f>
        <v/>
      </c>
      <c r="Q41" s="23">
        <f>IF(Saldos_Capital_Mensual!P41&gt;0, ROUND(Saldos_Capital_Mensual!P41 * 'Resumen_Cartera'!$Q41, 2), "")</f>
        <v/>
      </c>
      <c r="R41" s="23">
        <f>IF(Saldos_Capital_Mensual!Q41&gt;0, ROUND(Saldos_Capital_Mensual!Q41 * 'Resumen_Cartera'!$Q41, 2), "")</f>
        <v/>
      </c>
      <c r="S41" s="23">
        <f>IF(Saldos_Capital_Mensual!R41&gt;0, ROUND(Saldos_Capital_Mensual!R41 * 'Resumen_Cartera'!$Q41, 2), "")</f>
        <v/>
      </c>
      <c r="T41" s="23">
        <f>IF(Saldos_Capital_Mensual!S41&gt;0, ROUND(Saldos_Capital_Mensual!S41 * 'Resumen_Cartera'!$Q41, 2), "")</f>
        <v/>
      </c>
      <c r="U41" s="23">
        <f>SUM(I41:T41)</f>
        <v/>
      </c>
    </row>
    <row r="42">
      <c r="A42" s="26" t="inlineStr">
        <is>
          <t>0580-0001</t>
        </is>
      </c>
      <c r="B42" s="27" t="inlineStr">
        <is>
          <t>YOLANDA AVALOS CARDENAS</t>
        </is>
      </c>
      <c r="C42" s="27" t="inlineStr">
        <is>
          <t>Mojave</t>
        </is>
      </c>
      <c r="D42" s="26" t="inlineStr">
        <is>
          <t>ACTIVO</t>
        </is>
      </c>
      <c r="E42" s="26" t="inlineStr">
        <is>
          <t>2022-11-18</t>
        </is>
      </c>
      <c r="F42" s="26" t="inlineStr">
        <is>
          <t>2026-11-18</t>
        </is>
      </c>
      <c r="G42" s="28" t="n">
        <v>48</v>
      </c>
      <c r="H42" s="29" t="n">
        <v>1004758.62</v>
      </c>
      <c r="I42" s="29">
        <f>ROUND(498029.69 * 'Resumen_Cartera'!$Q42, 2)</f>
        <v/>
      </c>
      <c r="J42" s="29">
        <f>IF(Saldos_Capital_Mensual!I42&gt;0, ROUND(Saldos_Capital_Mensual!I42 * 'Resumen_Cartera'!$Q42, 2), "")</f>
        <v/>
      </c>
      <c r="K42" s="29">
        <f>IF(Saldos_Capital_Mensual!J42&gt;0, ROUND(Saldos_Capital_Mensual!J42 * 'Resumen_Cartera'!$Q42, 2), "")</f>
        <v/>
      </c>
      <c r="L42" s="29">
        <f>IF(Saldos_Capital_Mensual!K42&gt;0, ROUND(Saldos_Capital_Mensual!K42 * 'Resumen_Cartera'!$Q42, 2), "")</f>
        <v/>
      </c>
      <c r="M42" s="29">
        <f>IF(Saldos_Capital_Mensual!L42&gt;0, ROUND(Saldos_Capital_Mensual!L42 * 'Resumen_Cartera'!$Q42, 2), "")</f>
        <v/>
      </c>
      <c r="N42" s="29">
        <f>IF(Saldos_Capital_Mensual!M42&gt;0, ROUND(Saldos_Capital_Mensual!M42 * 'Resumen_Cartera'!$Q42, 2), "")</f>
        <v/>
      </c>
      <c r="O42" s="29">
        <f>IF(Saldos_Capital_Mensual!N42&gt;0, ROUND(Saldos_Capital_Mensual!N42 * 'Resumen_Cartera'!$Q42, 2), "")</f>
        <v/>
      </c>
      <c r="P42" s="29">
        <f>IF(Saldos_Capital_Mensual!O42&gt;0, ROUND(Saldos_Capital_Mensual!O42 * 'Resumen_Cartera'!$Q42, 2), "")</f>
        <v/>
      </c>
      <c r="Q42" s="29">
        <f>IF(Saldos_Capital_Mensual!P42&gt;0, ROUND(Saldos_Capital_Mensual!P42 * 'Resumen_Cartera'!$Q42, 2), "")</f>
        <v/>
      </c>
      <c r="R42" s="29">
        <f>IF(Saldos_Capital_Mensual!Q42&gt;0, ROUND(Saldos_Capital_Mensual!Q42 * 'Resumen_Cartera'!$Q42, 2), "")</f>
        <v/>
      </c>
      <c r="S42" s="29" t="inlineStr"/>
      <c r="T42" s="29" t="inlineStr"/>
      <c r="U42" s="29">
        <f>SUM(I42:T42)</f>
        <v/>
      </c>
    </row>
    <row r="43">
      <c r="A43" s="20" t="inlineStr">
        <is>
          <t>0581-0001</t>
        </is>
      </c>
      <c r="B43" s="21" t="inlineStr">
        <is>
          <t>Aditivos y Vitaminas Mexicanas Sa de Cv</t>
        </is>
      </c>
      <c r="C43" s="21" t="inlineStr">
        <is>
          <t>RAM 700 REGULAR CAB</t>
        </is>
      </c>
      <c r="D43" s="20" t="inlineStr">
        <is>
          <t>ACTIVO</t>
        </is>
      </c>
      <c r="E43" s="20" t="inlineStr">
        <is>
          <t>2023-01-17</t>
        </is>
      </c>
      <c r="F43" s="20" t="inlineStr">
        <is>
          <t>2027-01-17</t>
        </is>
      </c>
      <c r="G43" s="22" t="n">
        <v>48</v>
      </c>
      <c r="H43" s="23" t="n">
        <v>179163.8</v>
      </c>
      <c r="I43" s="23">
        <f>ROUND(102903.96 * 'Resumen_Cartera'!$Q43, 2)</f>
        <v/>
      </c>
      <c r="J43" s="23">
        <f>IF(Saldos_Capital_Mensual!I43&gt;0, ROUND(Saldos_Capital_Mensual!I43 * 'Resumen_Cartera'!$Q43, 2), "")</f>
        <v/>
      </c>
      <c r="K43" s="23">
        <f>IF(Saldos_Capital_Mensual!J43&gt;0, ROUND(Saldos_Capital_Mensual!J43 * 'Resumen_Cartera'!$Q43, 2), "")</f>
        <v/>
      </c>
      <c r="L43" s="23">
        <f>IF(Saldos_Capital_Mensual!K43&gt;0, ROUND(Saldos_Capital_Mensual!K43 * 'Resumen_Cartera'!$Q43, 2), "")</f>
        <v/>
      </c>
      <c r="M43" s="23">
        <f>IF(Saldos_Capital_Mensual!L43&gt;0, ROUND(Saldos_Capital_Mensual!L43 * 'Resumen_Cartera'!$Q43, 2), "")</f>
        <v/>
      </c>
      <c r="N43" s="23">
        <f>IF(Saldos_Capital_Mensual!M43&gt;0, ROUND(Saldos_Capital_Mensual!M43 * 'Resumen_Cartera'!$Q43, 2), "")</f>
        <v/>
      </c>
      <c r="O43" s="23">
        <f>IF(Saldos_Capital_Mensual!N43&gt;0, ROUND(Saldos_Capital_Mensual!N43 * 'Resumen_Cartera'!$Q43, 2), "")</f>
        <v/>
      </c>
      <c r="P43" s="23">
        <f>IF(Saldos_Capital_Mensual!O43&gt;0, ROUND(Saldos_Capital_Mensual!O43 * 'Resumen_Cartera'!$Q43, 2), "")</f>
        <v/>
      </c>
      <c r="Q43" s="23">
        <f>IF(Saldos_Capital_Mensual!P43&gt;0, ROUND(Saldos_Capital_Mensual!P43 * 'Resumen_Cartera'!$Q43, 2), "")</f>
        <v/>
      </c>
      <c r="R43" s="23">
        <f>IF(Saldos_Capital_Mensual!Q43&gt;0, ROUND(Saldos_Capital_Mensual!Q43 * 'Resumen_Cartera'!$Q43, 2), "")</f>
        <v/>
      </c>
      <c r="S43" s="23">
        <f>IF(Saldos_Capital_Mensual!R43&gt;0, ROUND(Saldos_Capital_Mensual!R43 * 'Resumen_Cartera'!$Q43, 2), "")</f>
        <v/>
      </c>
      <c r="T43" s="23">
        <f>IF(Saldos_Capital_Mensual!S43&gt;0, ROUND(Saldos_Capital_Mensual!S43 * 'Resumen_Cartera'!$Q43, 2), "")</f>
        <v/>
      </c>
      <c r="U43" s="23">
        <f>SUM(I43:T43)</f>
        <v/>
      </c>
    </row>
    <row r="44">
      <c r="A44" s="26" t="inlineStr">
        <is>
          <t>0581-0002</t>
        </is>
      </c>
      <c r="B44" s="27" t="inlineStr">
        <is>
          <t>Aditivos y Vitaminas Mexicanas Sa de Cv</t>
        </is>
      </c>
      <c r="C44" s="27" t="inlineStr">
        <is>
          <t>Ram 700 Regular Cab</t>
        </is>
      </c>
      <c r="D44" s="26" t="inlineStr">
        <is>
          <t>ACTIVO</t>
        </is>
      </c>
      <c r="E44" s="26" t="inlineStr">
        <is>
          <t>2024-09-18</t>
        </is>
      </c>
      <c r="F44" s="26" t="inlineStr">
        <is>
          <t>2028-09-18</t>
        </is>
      </c>
      <c r="G44" s="28" t="n">
        <v>48</v>
      </c>
      <c r="H44" s="29" t="n">
        <v>252077.59</v>
      </c>
      <c r="I44" s="29">
        <f>ROUND(206977.86 * 'Resumen_Cartera'!$Q44, 2)</f>
        <v/>
      </c>
      <c r="J44" s="29">
        <f>IF(Saldos_Capital_Mensual!I44&gt;0, ROUND(Saldos_Capital_Mensual!I44 * 'Resumen_Cartera'!$Q44, 2), "")</f>
        <v/>
      </c>
      <c r="K44" s="29">
        <f>IF(Saldos_Capital_Mensual!J44&gt;0, ROUND(Saldos_Capital_Mensual!J44 * 'Resumen_Cartera'!$Q44, 2), "")</f>
        <v/>
      </c>
      <c r="L44" s="29">
        <f>IF(Saldos_Capital_Mensual!K44&gt;0, ROUND(Saldos_Capital_Mensual!K44 * 'Resumen_Cartera'!$Q44, 2), "")</f>
        <v/>
      </c>
      <c r="M44" s="29">
        <f>IF(Saldos_Capital_Mensual!L44&gt;0, ROUND(Saldos_Capital_Mensual!L44 * 'Resumen_Cartera'!$Q44, 2), "")</f>
        <v/>
      </c>
      <c r="N44" s="29">
        <f>IF(Saldos_Capital_Mensual!M44&gt;0, ROUND(Saldos_Capital_Mensual!M44 * 'Resumen_Cartera'!$Q44, 2), "")</f>
        <v/>
      </c>
      <c r="O44" s="29">
        <f>IF(Saldos_Capital_Mensual!N44&gt;0, ROUND(Saldos_Capital_Mensual!N44 * 'Resumen_Cartera'!$Q44, 2), "")</f>
        <v/>
      </c>
      <c r="P44" s="29">
        <f>IF(Saldos_Capital_Mensual!O44&gt;0, ROUND(Saldos_Capital_Mensual!O44 * 'Resumen_Cartera'!$Q44, 2), "")</f>
        <v/>
      </c>
      <c r="Q44" s="29">
        <f>IF(Saldos_Capital_Mensual!P44&gt;0, ROUND(Saldos_Capital_Mensual!P44 * 'Resumen_Cartera'!$Q44, 2), "")</f>
        <v/>
      </c>
      <c r="R44" s="29">
        <f>IF(Saldos_Capital_Mensual!Q44&gt;0, ROUND(Saldos_Capital_Mensual!Q44 * 'Resumen_Cartera'!$Q44, 2), "")</f>
        <v/>
      </c>
      <c r="S44" s="29">
        <f>IF(Saldos_Capital_Mensual!R44&gt;0, ROUND(Saldos_Capital_Mensual!R44 * 'Resumen_Cartera'!$Q44, 2), "")</f>
        <v/>
      </c>
      <c r="T44" s="29">
        <f>IF(Saldos_Capital_Mensual!S44&gt;0, ROUND(Saldos_Capital_Mensual!S44 * 'Resumen_Cartera'!$Q44, 2), "")</f>
        <v/>
      </c>
      <c r="U44" s="29">
        <f>SUM(I44:T44)</f>
        <v/>
      </c>
    </row>
    <row r="45">
      <c r="A45" s="20" t="inlineStr">
        <is>
          <t>0582-0003</t>
        </is>
      </c>
      <c r="B45" s="21" t="inlineStr">
        <is>
          <t>Ensaladas Frescas de Occidente Sa de Cv</t>
        </is>
      </c>
      <c r="C45" s="21" t="inlineStr">
        <is>
          <t>Pulse</t>
        </is>
      </c>
      <c r="D45" s="20" t="inlineStr">
        <is>
          <t>ACTIVO</t>
        </is>
      </c>
      <c r="E45" s="20" t="inlineStr">
        <is>
          <t>2024-07-02</t>
        </is>
      </c>
      <c r="F45" s="20" t="inlineStr">
        <is>
          <t>2028-07-02</t>
        </is>
      </c>
      <c r="G45" s="22" t="n">
        <v>48</v>
      </c>
      <c r="H45" s="23" t="n">
        <v>274267.24</v>
      </c>
      <c r="I45" s="23">
        <f>ROUND(230630.96 * 'Resumen_Cartera'!$Q45, 2)</f>
        <v/>
      </c>
      <c r="J45" s="23">
        <f>IF(Saldos_Capital_Mensual!I45&gt;0, ROUND(Saldos_Capital_Mensual!I45 * 'Resumen_Cartera'!$Q45, 2), "")</f>
        <v/>
      </c>
      <c r="K45" s="23">
        <f>IF(Saldos_Capital_Mensual!J45&gt;0, ROUND(Saldos_Capital_Mensual!J45 * 'Resumen_Cartera'!$Q45, 2), "")</f>
        <v/>
      </c>
      <c r="L45" s="23">
        <f>IF(Saldos_Capital_Mensual!K45&gt;0, ROUND(Saldos_Capital_Mensual!K45 * 'Resumen_Cartera'!$Q45, 2), "")</f>
        <v/>
      </c>
      <c r="M45" s="23">
        <f>IF(Saldos_Capital_Mensual!L45&gt;0, ROUND(Saldos_Capital_Mensual!L45 * 'Resumen_Cartera'!$Q45, 2), "")</f>
        <v/>
      </c>
      <c r="N45" s="23">
        <f>IF(Saldos_Capital_Mensual!M45&gt;0, ROUND(Saldos_Capital_Mensual!M45 * 'Resumen_Cartera'!$Q45, 2), "")</f>
        <v/>
      </c>
      <c r="O45" s="23">
        <f>IF(Saldos_Capital_Mensual!N45&gt;0, ROUND(Saldos_Capital_Mensual!N45 * 'Resumen_Cartera'!$Q45, 2), "")</f>
        <v/>
      </c>
      <c r="P45" s="23">
        <f>IF(Saldos_Capital_Mensual!O45&gt;0, ROUND(Saldos_Capital_Mensual!O45 * 'Resumen_Cartera'!$Q45, 2), "")</f>
        <v/>
      </c>
      <c r="Q45" s="23">
        <f>IF(Saldos_Capital_Mensual!P45&gt;0, ROUND(Saldos_Capital_Mensual!P45 * 'Resumen_Cartera'!$Q45, 2), "")</f>
        <v/>
      </c>
      <c r="R45" s="23">
        <f>IF(Saldos_Capital_Mensual!Q45&gt;0, ROUND(Saldos_Capital_Mensual!Q45 * 'Resumen_Cartera'!$Q45, 2), "")</f>
        <v/>
      </c>
      <c r="S45" s="23">
        <f>IF(Saldos_Capital_Mensual!R45&gt;0, ROUND(Saldos_Capital_Mensual!R45 * 'Resumen_Cartera'!$Q45, 2), "")</f>
        <v/>
      </c>
      <c r="T45" s="23">
        <f>IF(Saldos_Capital_Mensual!S45&gt;0, ROUND(Saldos_Capital_Mensual!S45 * 'Resumen_Cartera'!$Q45, 2), "")</f>
        <v/>
      </c>
      <c r="U45" s="23">
        <f>SUM(I45:T45)</f>
        <v/>
      </c>
    </row>
    <row r="46">
      <c r="A46" s="26" t="inlineStr">
        <is>
          <t>0583-0004</t>
        </is>
      </c>
      <c r="B46" s="27" t="inlineStr">
        <is>
          <t>Soluciones Profesionales para la Industria Alimentaria</t>
        </is>
      </c>
      <c r="C46" s="27" t="inlineStr">
        <is>
          <t>BIGHORN CREW CAB MT</t>
        </is>
      </c>
      <c r="D46" s="26" t="inlineStr">
        <is>
          <t>ACTIVO</t>
        </is>
      </c>
      <c r="E46" s="26" t="inlineStr">
        <is>
          <t>2024-12-30</t>
        </is>
      </c>
      <c r="F46" s="26" t="inlineStr">
        <is>
          <t>2026-12-30</t>
        </is>
      </c>
      <c r="G46" s="28" t="n">
        <v>24</v>
      </c>
      <c r="H46" s="29" t="n">
        <v>204775.86</v>
      </c>
      <c r="I46" s="29">
        <f>ROUND(128345.39 * 'Resumen_Cartera'!$Q46, 2)</f>
        <v/>
      </c>
      <c r="J46" s="29">
        <f>IF(Saldos_Capital_Mensual!I46&gt;0, ROUND(Saldos_Capital_Mensual!I46 * 'Resumen_Cartera'!$Q46, 2), "")</f>
        <v/>
      </c>
      <c r="K46" s="29">
        <f>IF(Saldos_Capital_Mensual!J46&gt;0, ROUND(Saldos_Capital_Mensual!J46 * 'Resumen_Cartera'!$Q46, 2), "")</f>
        <v/>
      </c>
      <c r="L46" s="29">
        <f>IF(Saldos_Capital_Mensual!K46&gt;0, ROUND(Saldos_Capital_Mensual!K46 * 'Resumen_Cartera'!$Q46, 2), "")</f>
        <v/>
      </c>
      <c r="M46" s="29">
        <f>IF(Saldos_Capital_Mensual!L46&gt;0, ROUND(Saldos_Capital_Mensual!L46 * 'Resumen_Cartera'!$Q46, 2), "")</f>
        <v/>
      </c>
      <c r="N46" s="29">
        <f>IF(Saldos_Capital_Mensual!M46&gt;0, ROUND(Saldos_Capital_Mensual!M46 * 'Resumen_Cartera'!$Q46, 2), "")</f>
        <v/>
      </c>
      <c r="O46" s="29">
        <f>IF(Saldos_Capital_Mensual!N46&gt;0, ROUND(Saldos_Capital_Mensual!N46 * 'Resumen_Cartera'!$Q46, 2), "")</f>
        <v/>
      </c>
      <c r="P46" s="29">
        <f>IF(Saldos_Capital_Mensual!O46&gt;0, ROUND(Saldos_Capital_Mensual!O46 * 'Resumen_Cartera'!$Q46, 2), "")</f>
        <v/>
      </c>
      <c r="Q46" s="29">
        <f>IF(Saldos_Capital_Mensual!P46&gt;0, ROUND(Saldos_Capital_Mensual!P46 * 'Resumen_Cartera'!$Q46, 2), "")</f>
        <v/>
      </c>
      <c r="R46" s="29">
        <f>IF(Saldos_Capital_Mensual!Q46&gt;0, ROUND(Saldos_Capital_Mensual!Q46 * 'Resumen_Cartera'!$Q46, 2), "")</f>
        <v/>
      </c>
      <c r="S46" s="29">
        <f>IF(Saldos_Capital_Mensual!R46&gt;0, ROUND(Saldos_Capital_Mensual!R46 * 'Resumen_Cartera'!$Q46, 2), "")</f>
        <v/>
      </c>
      <c r="T46" s="29" t="inlineStr"/>
      <c r="U46" s="29">
        <f>SUM(I46:T46)</f>
        <v/>
      </c>
    </row>
    <row r="47">
      <c r="A47" s="20" t="inlineStr">
        <is>
          <t>0583-0005</t>
        </is>
      </c>
      <c r="B47" s="21" t="inlineStr">
        <is>
          <t>Soluciones Profesionales para la Industria Alimentaria</t>
        </is>
      </c>
      <c r="C47" s="21" t="inlineStr">
        <is>
          <t>3008</t>
        </is>
      </c>
      <c r="D47" s="20" t="inlineStr">
        <is>
          <t>ACTIVO</t>
        </is>
      </c>
      <c r="E47" s="20" t="inlineStr">
        <is>
          <t>2025-01-09</t>
        </is>
      </c>
      <c r="F47" s="20" t="inlineStr">
        <is>
          <t>2028-01-09</t>
        </is>
      </c>
      <c r="G47" s="22" t="n">
        <v>36</v>
      </c>
      <c r="H47" s="23" t="n">
        <v>298137.93</v>
      </c>
      <c r="I47" s="23">
        <f>ROUND(243409.7 * 'Resumen_Cartera'!$Q47, 2)</f>
        <v/>
      </c>
      <c r="J47" s="23">
        <f>IF(Saldos_Capital_Mensual!I47&gt;0, ROUND(Saldos_Capital_Mensual!I47 * 'Resumen_Cartera'!$Q47, 2), "")</f>
        <v/>
      </c>
      <c r="K47" s="23">
        <f>IF(Saldos_Capital_Mensual!J47&gt;0, ROUND(Saldos_Capital_Mensual!J47 * 'Resumen_Cartera'!$Q47, 2), "")</f>
        <v/>
      </c>
      <c r="L47" s="23">
        <f>IF(Saldos_Capital_Mensual!K47&gt;0, ROUND(Saldos_Capital_Mensual!K47 * 'Resumen_Cartera'!$Q47, 2), "")</f>
        <v/>
      </c>
      <c r="M47" s="23">
        <f>IF(Saldos_Capital_Mensual!L47&gt;0, ROUND(Saldos_Capital_Mensual!L47 * 'Resumen_Cartera'!$Q47, 2), "")</f>
        <v/>
      </c>
      <c r="N47" s="23">
        <f>IF(Saldos_Capital_Mensual!M47&gt;0, ROUND(Saldos_Capital_Mensual!M47 * 'Resumen_Cartera'!$Q47, 2), "")</f>
        <v/>
      </c>
      <c r="O47" s="23">
        <f>IF(Saldos_Capital_Mensual!N47&gt;0, ROUND(Saldos_Capital_Mensual!N47 * 'Resumen_Cartera'!$Q47, 2), "")</f>
        <v/>
      </c>
      <c r="P47" s="23">
        <f>IF(Saldos_Capital_Mensual!O47&gt;0, ROUND(Saldos_Capital_Mensual!O47 * 'Resumen_Cartera'!$Q47, 2), "")</f>
        <v/>
      </c>
      <c r="Q47" s="23">
        <f>IF(Saldos_Capital_Mensual!P47&gt;0, ROUND(Saldos_Capital_Mensual!P47 * 'Resumen_Cartera'!$Q47, 2), "")</f>
        <v/>
      </c>
      <c r="R47" s="23">
        <f>IF(Saldos_Capital_Mensual!Q47&gt;0, ROUND(Saldos_Capital_Mensual!Q47 * 'Resumen_Cartera'!$Q47, 2), "")</f>
        <v/>
      </c>
      <c r="S47" s="23">
        <f>IF(Saldos_Capital_Mensual!R47&gt;0, ROUND(Saldos_Capital_Mensual!R47 * 'Resumen_Cartera'!$Q47, 2), "")</f>
        <v/>
      </c>
      <c r="T47" s="23">
        <f>IF(Saldos_Capital_Mensual!S47&gt;0, ROUND(Saldos_Capital_Mensual!S47 * 'Resumen_Cartera'!$Q47, 2), "")</f>
        <v/>
      </c>
      <c r="U47" s="23">
        <f>SUM(I47:T47)</f>
        <v/>
      </c>
    </row>
    <row r="48">
      <c r="A48" s="26" t="inlineStr">
        <is>
          <t>0583-0006</t>
        </is>
      </c>
      <c r="B48" s="27" t="inlineStr">
        <is>
          <t>Soluciones Profesionales para la Industria Alimentaria</t>
        </is>
      </c>
      <c r="C48" s="27" t="inlineStr">
        <is>
          <t>Montana</t>
        </is>
      </c>
      <c r="D48" s="26" t="inlineStr">
        <is>
          <t>ACTIVO</t>
        </is>
      </c>
      <c r="E48" s="26" t="inlineStr">
        <is>
          <t>2025-11-19</t>
        </is>
      </c>
      <c r="F48" s="26" t="inlineStr">
        <is>
          <t>2027-11-19</t>
        </is>
      </c>
      <c r="G48" s="28" t="n">
        <v>24</v>
      </c>
      <c r="H48" s="29" t="n">
        <v>337568.97</v>
      </c>
      <c r="I48" s="29">
        <f>ROUND(322680.75 * 'Resumen_Cartera'!$Q48, 2)</f>
        <v/>
      </c>
      <c r="J48" s="29">
        <f>IF(Saldos_Capital_Mensual!I48&gt;0, ROUND(Saldos_Capital_Mensual!I48 * 'Resumen_Cartera'!$Q48, 2), "")</f>
        <v/>
      </c>
      <c r="K48" s="29">
        <f>IF(Saldos_Capital_Mensual!J48&gt;0, ROUND(Saldos_Capital_Mensual!J48 * 'Resumen_Cartera'!$Q48, 2), "")</f>
        <v/>
      </c>
      <c r="L48" s="29">
        <f>IF(Saldos_Capital_Mensual!K48&gt;0, ROUND(Saldos_Capital_Mensual!K48 * 'Resumen_Cartera'!$Q48, 2), "")</f>
        <v/>
      </c>
      <c r="M48" s="29">
        <f>IF(Saldos_Capital_Mensual!L48&gt;0, ROUND(Saldos_Capital_Mensual!L48 * 'Resumen_Cartera'!$Q48, 2), "")</f>
        <v/>
      </c>
      <c r="N48" s="29">
        <f>IF(Saldos_Capital_Mensual!M48&gt;0, ROUND(Saldos_Capital_Mensual!M48 * 'Resumen_Cartera'!$Q48, 2), "")</f>
        <v/>
      </c>
      <c r="O48" s="29">
        <f>IF(Saldos_Capital_Mensual!N48&gt;0, ROUND(Saldos_Capital_Mensual!N48 * 'Resumen_Cartera'!$Q48, 2), "")</f>
        <v/>
      </c>
      <c r="P48" s="29">
        <f>IF(Saldos_Capital_Mensual!O48&gt;0, ROUND(Saldos_Capital_Mensual!O48 * 'Resumen_Cartera'!$Q48, 2), "")</f>
        <v/>
      </c>
      <c r="Q48" s="29">
        <f>IF(Saldos_Capital_Mensual!P48&gt;0, ROUND(Saldos_Capital_Mensual!P48 * 'Resumen_Cartera'!$Q48, 2), "")</f>
        <v/>
      </c>
      <c r="R48" s="29">
        <f>IF(Saldos_Capital_Mensual!Q48&gt;0, ROUND(Saldos_Capital_Mensual!Q48 * 'Resumen_Cartera'!$Q48, 2), "")</f>
        <v/>
      </c>
      <c r="S48" s="29">
        <f>IF(Saldos_Capital_Mensual!R48&gt;0, ROUND(Saldos_Capital_Mensual!R48 * 'Resumen_Cartera'!$Q48, 2), "")</f>
        <v/>
      </c>
      <c r="T48" s="29">
        <f>IF(Saldos_Capital_Mensual!S48&gt;0, ROUND(Saldos_Capital_Mensual!S48 * 'Resumen_Cartera'!$Q48, 2), "")</f>
        <v/>
      </c>
      <c r="U48" s="29">
        <f>SUM(I48:T48)</f>
        <v/>
      </c>
    </row>
    <row r="49">
      <c r="A49" s="20" t="inlineStr">
        <is>
          <t>0585-0002</t>
        </is>
      </c>
      <c r="B49" s="21" t="inlineStr">
        <is>
          <t>Julio Alberto Ramos de la Mora</t>
        </is>
      </c>
      <c r="C49" s="21" t="inlineStr">
        <is>
          <t>Ram 1500 Limited</t>
        </is>
      </c>
      <c r="D49" s="20" t="inlineStr">
        <is>
          <t>ACTIVO</t>
        </is>
      </c>
      <c r="E49" s="20" t="inlineStr">
        <is>
          <t>2025-01-08</t>
        </is>
      </c>
      <c r="F49" s="20" t="inlineStr">
        <is>
          <t>2028-01-08</t>
        </is>
      </c>
      <c r="G49" s="22" t="n">
        <v>36</v>
      </c>
      <c r="H49" s="23" t="n">
        <v>1139931.03</v>
      </c>
      <c r="I49" s="23">
        <f>ROUND(983362.1 * 'Resumen_Cartera'!$Q49, 2)</f>
        <v/>
      </c>
      <c r="J49" s="23">
        <f>IF(Saldos_Capital_Mensual!I49&gt;0, ROUND(Saldos_Capital_Mensual!I49 * 'Resumen_Cartera'!$Q49, 2), "")</f>
        <v/>
      </c>
      <c r="K49" s="23">
        <f>IF(Saldos_Capital_Mensual!J49&gt;0, ROUND(Saldos_Capital_Mensual!J49 * 'Resumen_Cartera'!$Q49, 2), "")</f>
        <v/>
      </c>
      <c r="L49" s="23">
        <f>IF(Saldos_Capital_Mensual!K49&gt;0, ROUND(Saldos_Capital_Mensual!K49 * 'Resumen_Cartera'!$Q49, 2), "")</f>
        <v/>
      </c>
      <c r="M49" s="23">
        <f>IF(Saldos_Capital_Mensual!L49&gt;0, ROUND(Saldos_Capital_Mensual!L49 * 'Resumen_Cartera'!$Q49, 2), "")</f>
        <v/>
      </c>
      <c r="N49" s="23">
        <f>IF(Saldos_Capital_Mensual!M49&gt;0, ROUND(Saldos_Capital_Mensual!M49 * 'Resumen_Cartera'!$Q49, 2), "")</f>
        <v/>
      </c>
      <c r="O49" s="23">
        <f>IF(Saldos_Capital_Mensual!N49&gt;0, ROUND(Saldos_Capital_Mensual!N49 * 'Resumen_Cartera'!$Q49, 2), "")</f>
        <v/>
      </c>
      <c r="P49" s="23">
        <f>IF(Saldos_Capital_Mensual!O49&gt;0, ROUND(Saldos_Capital_Mensual!O49 * 'Resumen_Cartera'!$Q49, 2), "")</f>
        <v/>
      </c>
      <c r="Q49" s="23">
        <f>IF(Saldos_Capital_Mensual!P49&gt;0, ROUND(Saldos_Capital_Mensual!P49 * 'Resumen_Cartera'!$Q49, 2), "")</f>
        <v/>
      </c>
      <c r="R49" s="23">
        <f>IF(Saldos_Capital_Mensual!Q49&gt;0, ROUND(Saldos_Capital_Mensual!Q49 * 'Resumen_Cartera'!$Q49, 2), "")</f>
        <v/>
      </c>
      <c r="S49" s="23">
        <f>IF(Saldos_Capital_Mensual!R49&gt;0, ROUND(Saldos_Capital_Mensual!R49 * 'Resumen_Cartera'!$Q49, 2), "")</f>
        <v/>
      </c>
      <c r="T49" s="23">
        <f>IF(Saldos_Capital_Mensual!S49&gt;0, ROUND(Saldos_Capital_Mensual!S49 * 'Resumen_Cartera'!$Q49, 2), "")</f>
        <v/>
      </c>
      <c r="U49" s="23">
        <f>SUM(I49:T49)</f>
        <v/>
      </c>
    </row>
    <row r="50">
      <c r="A50" s="26" t="inlineStr">
        <is>
          <t>0585-0003</t>
        </is>
      </c>
      <c r="B50" s="27" t="inlineStr">
        <is>
          <t>Julio Alberto Ramos de la Mora</t>
        </is>
      </c>
      <c r="C50" s="27" t="inlineStr">
        <is>
          <t>Wrangler Rubicon</t>
        </is>
      </c>
      <c r="D50" s="26" t="inlineStr">
        <is>
          <t>ACTIVO</t>
        </is>
      </c>
      <c r="E50" s="26" t="inlineStr">
        <is>
          <t>2025-01-17</t>
        </is>
      </c>
      <c r="F50" s="26" t="inlineStr">
        <is>
          <t>2029-01-17</t>
        </is>
      </c>
      <c r="G50" s="28" t="n">
        <v>48</v>
      </c>
      <c r="H50" s="29" t="n">
        <v>1014068.97</v>
      </c>
      <c r="I50" s="29">
        <f>ROUND(931202.04 * 'Resumen_Cartera'!$Q50, 2)</f>
        <v/>
      </c>
      <c r="J50" s="29">
        <f>IF(Saldos_Capital_Mensual!I50&gt;0, ROUND(Saldos_Capital_Mensual!I50 * 'Resumen_Cartera'!$Q50, 2), "")</f>
        <v/>
      </c>
      <c r="K50" s="29">
        <f>IF(Saldos_Capital_Mensual!J50&gt;0, ROUND(Saldos_Capital_Mensual!J50 * 'Resumen_Cartera'!$Q50, 2), "")</f>
        <v/>
      </c>
      <c r="L50" s="29">
        <f>IF(Saldos_Capital_Mensual!K50&gt;0, ROUND(Saldos_Capital_Mensual!K50 * 'Resumen_Cartera'!$Q50, 2), "")</f>
        <v/>
      </c>
      <c r="M50" s="29">
        <f>IF(Saldos_Capital_Mensual!L50&gt;0, ROUND(Saldos_Capital_Mensual!L50 * 'Resumen_Cartera'!$Q50, 2), "")</f>
        <v/>
      </c>
      <c r="N50" s="29">
        <f>IF(Saldos_Capital_Mensual!M50&gt;0, ROUND(Saldos_Capital_Mensual!M50 * 'Resumen_Cartera'!$Q50, 2), "")</f>
        <v/>
      </c>
      <c r="O50" s="29">
        <f>IF(Saldos_Capital_Mensual!N50&gt;0, ROUND(Saldos_Capital_Mensual!N50 * 'Resumen_Cartera'!$Q50, 2), "")</f>
        <v/>
      </c>
      <c r="P50" s="29">
        <f>IF(Saldos_Capital_Mensual!O50&gt;0, ROUND(Saldos_Capital_Mensual!O50 * 'Resumen_Cartera'!$Q50, 2), "")</f>
        <v/>
      </c>
      <c r="Q50" s="29">
        <f>IF(Saldos_Capital_Mensual!P50&gt;0, ROUND(Saldos_Capital_Mensual!P50 * 'Resumen_Cartera'!$Q50, 2), "")</f>
        <v/>
      </c>
      <c r="R50" s="29">
        <f>IF(Saldos_Capital_Mensual!Q50&gt;0, ROUND(Saldos_Capital_Mensual!Q50 * 'Resumen_Cartera'!$Q50, 2), "")</f>
        <v/>
      </c>
      <c r="S50" s="29">
        <f>IF(Saldos_Capital_Mensual!R50&gt;0, ROUND(Saldos_Capital_Mensual!R50 * 'Resumen_Cartera'!$Q50, 2), "")</f>
        <v/>
      </c>
      <c r="T50" s="29">
        <f>IF(Saldos_Capital_Mensual!S50&gt;0, ROUND(Saldos_Capital_Mensual!S50 * 'Resumen_Cartera'!$Q50, 2), "")</f>
        <v/>
      </c>
      <c r="U50" s="29">
        <f>SUM(I50:T50)</f>
        <v/>
      </c>
    </row>
    <row r="51">
      <c r="A51" s="20" t="inlineStr">
        <is>
          <t>0585-0004</t>
        </is>
      </c>
      <c r="B51" s="21" t="inlineStr">
        <is>
          <t>Julio Alberto Ramos de la Mora</t>
        </is>
      </c>
      <c r="C51" s="21" t="inlineStr">
        <is>
          <t>Hrv Sport</t>
        </is>
      </c>
      <c r="D51" s="20" t="inlineStr">
        <is>
          <t>ACTIVO</t>
        </is>
      </c>
      <c r="E51" s="20" t="inlineStr">
        <is>
          <t>2025-05-28</t>
        </is>
      </c>
      <c r="F51" s="20" t="inlineStr">
        <is>
          <t>2028-05-28</t>
        </is>
      </c>
      <c r="G51" s="22" t="n">
        <v>36</v>
      </c>
      <c r="H51" s="23" t="n">
        <v>325810.34</v>
      </c>
      <c r="I51" s="23">
        <f>ROUND(285496.8 * 'Resumen_Cartera'!$Q51, 2)</f>
        <v/>
      </c>
      <c r="J51" s="23">
        <f>IF(Saldos_Capital_Mensual!I51&gt;0, ROUND(Saldos_Capital_Mensual!I51 * 'Resumen_Cartera'!$Q51, 2), "")</f>
        <v/>
      </c>
      <c r="K51" s="23">
        <f>IF(Saldos_Capital_Mensual!J51&gt;0, ROUND(Saldos_Capital_Mensual!J51 * 'Resumen_Cartera'!$Q51, 2), "")</f>
        <v/>
      </c>
      <c r="L51" s="23">
        <f>IF(Saldos_Capital_Mensual!K51&gt;0, ROUND(Saldos_Capital_Mensual!K51 * 'Resumen_Cartera'!$Q51, 2), "")</f>
        <v/>
      </c>
      <c r="M51" s="23">
        <f>IF(Saldos_Capital_Mensual!L51&gt;0, ROUND(Saldos_Capital_Mensual!L51 * 'Resumen_Cartera'!$Q51, 2), "")</f>
        <v/>
      </c>
      <c r="N51" s="23">
        <f>IF(Saldos_Capital_Mensual!M51&gt;0, ROUND(Saldos_Capital_Mensual!M51 * 'Resumen_Cartera'!$Q51, 2), "")</f>
        <v/>
      </c>
      <c r="O51" s="23">
        <f>IF(Saldos_Capital_Mensual!N51&gt;0, ROUND(Saldos_Capital_Mensual!N51 * 'Resumen_Cartera'!$Q51, 2), "")</f>
        <v/>
      </c>
      <c r="P51" s="23">
        <f>IF(Saldos_Capital_Mensual!O51&gt;0, ROUND(Saldos_Capital_Mensual!O51 * 'Resumen_Cartera'!$Q51, 2), "")</f>
        <v/>
      </c>
      <c r="Q51" s="23">
        <f>IF(Saldos_Capital_Mensual!P51&gt;0, ROUND(Saldos_Capital_Mensual!P51 * 'Resumen_Cartera'!$Q51, 2), "")</f>
        <v/>
      </c>
      <c r="R51" s="23">
        <f>IF(Saldos_Capital_Mensual!Q51&gt;0, ROUND(Saldos_Capital_Mensual!Q51 * 'Resumen_Cartera'!$Q51, 2), "")</f>
        <v/>
      </c>
      <c r="S51" s="23">
        <f>IF(Saldos_Capital_Mensual!R51&gt;0, ROUND(Saldos_Capital_Mensual!R51 * 'Resumen_Cartera'!$Q51, 2), "")</f>
        <v/>
      </c>
      <c r="T51" s="23">
        <f>IF(Saldos_Capital_Mensual!S51&gt;0, ROUND(Saldos_Capital_Mensual!S51 * 'Resumen_Cartera'!$Q51, 2), "")</f>
        <v/>
      </c>
      <c r="U51" s="23">
        <f>SUM(I51:T51)</f>
        <v/>
      </c>
    </row>
    <row r="52">
      <c r="A52" s="26" t="inlineStr">
        <is>
          <t>0585-0005</t>
        </is>
      </c>
      <c r="B52" s="27" t="inlineStr">
        <is>
          <t>Julio Alberto Ramos de la Mora</t>
        </is>
      </c>
      <c r="C52" s="27" t="inlineStr">
        <is>
          <t>M9 GL HEV</t>
        </is>
      </c>
      <c r="D52" s="26" t="inlineStr">
        <is>
          <t>ACTIVO</t>
        </is>
      </c>
      <c r="E52" s="26" t="inlineStr">
        <is>
          <t>2025-12-12</t>
        </is>
      </c>
      <c r="F52" s="26" t="inlineStr">
        <is>
          <t>2027-12-12</t>
        </is>
      </c>
      <c r="G52" s="28" t="n">
        <v>24</v>
      </c>
      <c r="H52" s="29" t="n">
        <v>506793.1</v>
      </c>
      <c r="I52" s="29">
        <f>ROUND(493900.23 * 'Resumen_Cartera'!$Q52, 2)</f>
        <v/>
      </c>
      <c r="J52" s="29">
        <f>IF(Saldos_Capital_Mensual!I52&gt;0, ROUND(Saldos_Capital_Mensual!I52 * 'Resumen_Cartera'!$Q52, 2), "")</f>
        <v/>
      </c>
      <c r="K52" s="29">
        <f>IF(Saldos_Capital_Mensual!J52&gt;0, ROUND(Saldos_Capital_Mensual!J52 * 'Resumen_Cartera'!$Q52, 2), "")</f>
        <v/>
      </c>
      <c r="L52" s="29">
        <f>IF(Saldos_Capital_Mensual!K52&gt;0, ROUND(Saldos_Capital_Mensual!K52 * 'Resumen_Cartera'!$Q52, 2), "")</f>
        <v/>
      </c>
      <c r="M52" s="29">
        <f>IF(Saldos_Capital_Mensual!L52&gt;0, ROUND(Saldos_Capital_Mensual!L52 * 'Resumen_Cartera'!$Q52, 2), "")</f>
        <v/>
      </c>
      <c r="N52" s="29">
        <f>IF(Saldos_Capital_Mensual!M52&gt;0, ROUND(Saldos_Capital_Mensual!M52 * 'Resumen_Cartera'!$Q52, 2), "")</f>
        <v/>
      </c>
      <c r="O52" s="29">
        <f>IF(Saldos_Capital_Mensual!N52&gt;0, ROUND(Saldos_Capital_Mensual!N52 * 'Resumen_Cartera'!$Q52, 2), "")</f>
        <v/>
      </c>
      <c r="P52" s="29">
        <f>IF(Saldos_Capital_Mensual!O52&gt;0, ROUND(Saldos_Capital_Mensual!O52 * 'Resumen_Cartera'!$Q52, 2), "")</f>
        <v/>
      </c>
      <c r="Q52" s="29">
        <f>IF(Saldos_Capital_Mensual!P52&gt;0, ROUND(Saldos_Capital_Mensual!P52 * 'Resumen_Cartera'!$Q52, 2), "")</f>
        <v/>
      </c>
      <c r="R52" s="29">
        <f>IF(Saldos_Capital_Mensual!Q52&gt;0, ROUND(Saldos_Capital_Mensual!Q52 * 'Resumen_Cartera'!$Q52, 2), "")</f>
        <v/>
      </c>
      <c r="S52" s="29">
        <f>IF(Saldos_Capital_Mensual!R52&gt;0, ROUND(Saldos_Capital_Mensual!R52 * 'Resumen_Cartera'!$Q52, 2), "")</f>
        <v/>
      </c>
      <c r="T52" s="29">
        <f>IF(Saldos_Capital_Mensual!S52&gt;0, ROUND(Saldos_Capital_Mensual!S52 * 'Resumen_Cartera'!$Q52, 2), "")</f>
        <v/>
      </c>
      <c r="U52" s="29">
        <f>SUM(I52:T52)</f>
        <v/>
      </c>
    </row>
    <row r="53">
      <c r="A53" s="20" t="inlineStr">
        <is>
          <t>0587-0002</t>
        </is>
      </c>
      <c r="B53" s="21" t="inlineStr">
        <is>
          <t>Allioth, S.C.</t>
        </is>
      </c>
      <c r="C53" s="21" t="inlineStr">
        <is>
          <t>Grand Cherokee L Summit</t>
        </is>
      </c>
      <c r="D53" s="20" t="inlineStr">
        <is>
          <t>ACTIVO</t>
        </is>
      </c>
      <c r="E53" s="20" t="inlineStr">
        <is>
          <t>2026-02-09</t>
        </is>
      </c>
      <c r="F53" s="20" t="inlineStr">
        <is>
          <t>2027-02-09</t>
        </is>
      </c>
      <c r="G53" s="22" t="n">
        <v>12</v>
      </c>
      <c r="H53" s="23" t="n">
        <v>548202.59</v>
      </c>
      <c r="I53" s="23" t="inlineStr"/>
      <c r="J53" s="23">
        <f>ROUND('Resumen_Cartera'!$K53 * 'Resumen_Cartera'!$Q53, 2)</f>
        <v/>
      </c>
      <c r="K53" s="23">
        <f>IF(Saldos_Capital_Mensual!J53&gt;0, ROUND(Saldos_Capital_Mensual!J53 * 'Resumen_Cartera'!$Q53, 2), "")</f>
        <v/>
      </c>
      <c r="L53" s="23">
        <f>IF(Saldos_Capital_Mensual!K53&gt;0, ROUND(Saldos_Capital_Mensual!K53 * 'Resumen_Cartera'!$Q53, 2), "")</f>
        <v/>
      </c>
      <c r="M53" s="23">
        <f>IF(Saldos_Capital_Mensual!L53&gt;0, ROUND(Saldos_Capital_Mensual!L53 * 'Resumen_Cartera'!$Q53, 2), "")</f>
        <v/>
      </c>
      <c r="N53" s="23">
        <f>IF(Saldos_Capital_Mensual!M53&gt;0, ROUND(Saldos_Capital_Mensual!M53 * 'Resumen_Cartera'!$Q53, 2), "")</f>
        <v/>
      </c>
      <c r="O53" s="23">
        <f>IF(Saldos_Capital_Mensual!N53&gt;0, ROUND(Saldos_Capital_Mensual!N53 * 'Resumen_Cartera'!$Q53, 2), "")</f>
        <v/>
      </c>
      <c r="P53" s="23">
        <f>IF(Saldos_Capital_Mensual!O53&gt;0, ROUND(Saldos_Capital_Mensual!O53 * 'Resumen_Cartera'!$Q53, 2), "")</f>
        <v/>
      </c>
      <c r="Q53" s="23">
        <f>IF(Saldos_Capital_Mensual!P53&gt;0, ROUND(Saldos_Capital_Mensual!P53 * 'Resumen_Cartera'!$Q53, 2), "")</f>
        <v/>
      </c>
      <c r="R53" s="23">
        <f>IF(Saldos_Capital_Mensual!Q53&gt;0, ROUND(Saldos_Capital_Mensual!Q53 * 'Resumen_Cartera'!$Q53, 2), "")</f>
        <v/>
      </c>
      <c r="S53" s="23">
        <f>IF(Saldos_Capital_Mensual!R53&gt;0, ROUND(Saldos_Capital_Mensual!R53 * 'Resumen_Cartera'!$Q53, 2), "")</f>
        <v/>
      </c>
      <c r="T53" s="23">
        <f>IF(Saldos_Capital_Mensual!S53&gt;0, ROUND(Saldos_Capital_Mensual!S53 * 'Resumen_Cartera'!$Q53, 2), "")</f>
        <v/>
      </c>
      <c r="U53" s="23">
        <f>SUM(I53:T53)</f>
        <v/>
      </c>
    </row>
    <row r="54">
      <c r="A54" s="26" t="inlineStr">
        <is>
          <t>0591-0002</t>
        </is>
      </c>
      <c r="B54" s="27" t="inlineStr">
        <is>
          <t>Cervantech Servicios Tecnologicos Sc</t>
        </is>
      </c>
      <c r="C54" s="27" t="inlineStr">
        <is>
          <t>WRANGLER RUBICON</t>
        </is>
      </c>
      <c r="D54" s="26" t="inlineStr">
        <is>
          <t>ACTIVO</t>
        </is>
      </c>
      <c r="E54" s="26" t="inlineStr">
        <is>
          <t>2023-10-27</t>
        </is>
      </c>
      <c r="F54" s="26" t="inlineStr">
        <is>
          <t>2026-10-27</t>
        </is>
      </c>
      <c r="G54" s="28" t="n">
        <v>36</v>
      </c>
      <c r="H54" s="29" t="n">
        <v>884068.97</v>
      </c>
      <c r="I54" s="29">
        <f>ROUND(566086.78 * 'Resumen_Cartera'!$Q54, 2)</f>
        <v/>
      </c>
      <c r="J54" s="29">
        <f>IF(Saldos_Capital_Mensual!I54&gt;0, ROUND(Saldos_Capital_Mensual!I54 * 'Resumen_Cartera'!$Q54, 2), "")</f>
        <v/>
      </c>
      <c r="K54" s="29">
        <f>IF(Saldos_Capital_Mensual!J54&gt;0, ROUND(Saldos_Capital_Mensual!J54 * 'Resumen_Cartera'!$Q54, 2), "")</f>
        <v/>
      </c>
      <c r="L54" s="29">
        <f>IF(Saldos_Capital_Mensual!K54&gt;0, ROUND(Saldos_Capital_Mensual!K54 * 'Resumen_Cartera'!$Q54, 2), "")</f>
        <v/>
      </c>
      <c r="M54" s="29">
        <f>IF(Saldos_Capital_Mensual!L54&gt;0, ROUND(Saldos_Capital_Mensual!L54 * 'Resumen_Cartera'!$Q54, 2), "")</f>
        <v/>
      </c>
      <c r="N54" s="29">
        <f>IF(Saldos_Capital_Mensual!M54&gt;0, ROUND(Saldos_Capital_Mensual!M54 * 'Resumen_Cartera'!$Q54, 2), "")</f>
        <v/>
      </c>
      <c r="O54" s="29">
        <f>IF(Saldos_Capital_Mensual!N54&gt;0, ROUND(Saldos_Capital_Mensual!N54 * 'Resumen_Cartera'!$Q54, 2), "")</f>
        <v/>
      </c>
      <c r="P54" s="29">
        <f>IF(Saldos_Capital_Mensual!O54&gt;0, ROUND(Saldos_Capital_Mensual!O54 * 'Resumen_Cartera'!$Q54, 2), "")</f>
        <v/>
      </c>
      <c r="Q54" s="29">
        <f>IF(Saldos_Capital_Mensual!P54&gt;0, ROUND(Saldos_Capital_Mensual!P54 * 'Resumen_Cartera'!$Q54, 2), "")</f>
        <v/>
      </c>
      <c r="R54" s="29" t="inlineStr"/>
      <c r="S54" s="29" t="inlineStr"/>
      <c r="T54" s="29" t="inlineStr"/>
      <c r="U54" s="29">
        <f>SUM(I54:T54)</f>
        <v/>
      </c>
    </row>
    <row r="55">
      <c r="A55" s="20" t="inlineStr">
        <is>
          <t>0593-0002</t>
        </is>
      </c>
      <c r="B55" s="21" t="inlineStr">
        <is>
          <t>Metales y Minerales Moa Sa de Cv</t>
        </is>
      </c>
      <c r="C55" s="21" t="inlineStr">
        <is>
          <t>Ram 700 SLT Crew Cab</t>
        </is>
      </c>
      <c r="D55" s="20" t="inlineStr">
        <is>
          <t>ACTIVO</t>
        </is>
      </c>
      <c r="E55" s="20" t="inlineStr">
        <is>
          <t>2023-07-04</t>
        </is>
      </c>
      <c r="F55" s="20" t="inlineStr">
        <is>
          <t>2027-07-04</t>
        </is>
      </c>
      <c r="G55" s="22" t="n">
        <v>48</v>
      </c>
      <c r="H55" s="23" t="n">
        <v>284396.55</v>
      </c>
      <c r="I55" s="23">
        <f>ROUND(182736.12 * 'Resumen_Cartera'!$Q55, 2)</f>
        <v/>
      </c>
      <c r="J55" s="23">
        <f>IF(Saldos_Capital_Mensual!I55&gt;0, ROUND(Saldos_Capital_Mensual!I55 * 'Resumen_Cartera'!$Q55, 2), "")</f>
        <v/>
      </c>
      <c r="K55" s="23">
        <f>IF(Saldos_Capital_Mensual!J55&gt;0, ROUND(Saldos_Capital_Mensual!J55 * 'Resumen_Cartera'!$Q55, 2), "")</f>
        <v/>
      </c>
      <c r="L55" s="23">
        <f>IF(Saldos_Capital_Mensual!K55&gt;0, ROUND(Saldos_Capital_Mensual!K55 * 'Resumen_Cartera'!$Q55, 2), "")</f>
        <v/>
      </c>
      <c r="M55" s="23">
        <f>IF(Saldos_Capital_Mensual!L55&gt;0, ROUND(Saldos_Capital_Mensual!L55 * 'Resumen_Cartera'!$Q55, 2), "")</f>
        <v/>
      </c>
      <c r="N55" s="23">
        <f>IF(Saldos_Capital_Mensual!M55&gt;0, ROUND(Saldos_Capital_Mensual!M55 * 'Resumen_Cartera'!$Q55, 2), "")</f>
        <v/>
      </c>
      <c r="O55" s="23">
        <f>IF(Saldos_Capital_Mensual!N55&gt;0, ROUND(Saldos_Capital_Mensual!N55 * 'Resumen_Cartera'!$Q55, 2), "")</f>
        <v/>
      </c>
      <c r="P55" s="23">
        <f>IF(Saldos_Capital_Mensual!O55&gt;0, ROUND(Saldos_Capital_Mensual!O55 * 'Resumen_Cartera'!$Q55, 2), "")</f>
        <v/>
      </c>
      <c r="Q55" s="23">
        <f>IF(Saldos_Capital_Mensual!P55&gt;0, ROUND(Saldos_Capital_Mensual!P55 * 'Resumen_Cartera'!$Q55, 2), "")</f>
        <v/>
      </c>
      <c r="R55" s="23">
        <f>IF(Saldos_Capital_Mensual!Q55&gt;0, ROUND(Saldos_Capital_Mensual!Q55 * 'Resumen_Cartera'!$Q55, 2), "")</f>
        <v/>
      </c>
      <c r="S55" s="23">
        <f>IF(Saldos_Capital_Mensual!R55&gt;0, ROUND(Saldos_Capital_Mensual!R55 * 'Resumen_Cartera'!$Q55, 2), "")</f>
        <v/>
      </c>
      <c r="T55" s="23">
        <f>IF(Saldos_Capital_Mensual!S55&gt;0, ROUND(Saldos_Capital_Mensual!S55 * 'Resumen_Cartera'!$Q55, 2), "")</f>
        <v/>
      </c>
      <c r="U55" s="23">
        <f>SUM(I55:T55)</f>
        <v/>
      </c>
    </row>
    <row r="56">
      <c r="A56" s="26" t="inlineStr">
        <is>
          <t>0594-0001</t>
        </is>
      </c>
      <c r="B56" s="27" t="inlineStr">
        <is>
          <t>Biotecnologia Estetica Sa de Cv</t>
        </is>
      </c>
      <c r="C56" s="27" t="inlineStr">
        <is>
          <t>Mobi Like</t>
        </is>
      </c>
      <c r="D56" s="26" t="inlineStr">
        <is>
          <t>ACTIVO</t>
        </is>
      </c>
      <c r="E56" s="26" t="inlineStr">
        <is>
          <t>2023-02-23</t>
        </is>
      </c>
      <c r="F56" s="26" t="inlineStr">
        <is>
          <t>2027-02-23</t>
        </is>
      </c>
      <c r="G56" s="28" t="n">
        <v>48</v>
      </c>
      <c r="H56" s="29" t="n">
        <v>188068.97</v>
      </c>
      <c r="I56" s="29">
        <f>ROUND(104866.53 * 'Resumen_Cartera'!$Q56, 2)</f>
        <v/>
      </c>
      <c r="J56" s="29">
        <f>IF(Saldos_Capital_Mensual!I56&gt;0, ROUND(Saldos_Capital_Mensual!I56 * 'Resumen_Cartera'!$Q56, 2), "")</f>
        <v/>
      </c>
      <c r="K56" s="29">
        <f>IF(Saldos_Capital_Mensual!J56&gt;0, ROUND(Saldos_Capital_Mensual!J56 * 'Resumen_Cartera'!$Q56, 2), "")</f>
        <v/>
      </c>
      <c r="L56" s="29">
        <f>IF(Saldos_Capital_Mensual!K56&gt;0, ROUND(Saldos_Capital_Mensual!K56 * 'Resumen_Cartera'!$Q56, 2), "")</f>
        <v/>
      </c>
      <c r="M56" s="29">
        <f>IF(Saldos_Capital_Mensual!L56&gt;0, ROUND(Saldos_Capital_Mensual!L56 * 'Resumen_Cartera'!$Q56, 2), "")</f>
        <v/>
      </c>
      <c r="N56" s="29">
        <f>IF(Saldos_Capital_Mensual!M56&gt;0, ROUND(Saldos_Capital_Mensual!M56 * 'Resumen_Cartera'!$Q56, 2), "")</f>
        <v/>
      </c>
      <c r="O56" s="29">
        <f>IF(Saldos_Capital_Mensual!N56&gt;0, ROUND(Saldos_Capital_Mensual!N56 * 'Resumen_Cartera'!$Q56, 2), "")</f>
        <v/>
      </c>
      <c r="P56" s="29">
        <f>IF(Saldos_Capital_Mensual!O56&gt;0, ROUND(Saldos_Capital_Mensual!O56 * 'Resumen_Cartera'!$Q56, 2), "")</f>
        <v/>
      </c>
      <c r="Q56" s="29">
        <f>IF(Saldos_Capital_Mensual!P56&gt;0, ROUND(Saldos_Capital_Mensual!P56 * 'Resumen_Cartera'!$Q56, 2), "")</f>
        <v/>
      </c>
      <c r="R56" s="29">
        <f>IF(Saldos_Capital_Mensual!Q56&gt;0, ROUND(Saldos_Capital_Mensual!Q56 * 'Resumen_Cartera'!$Q56, 2), "")</f>
        <v/>
      </c>
      <c r="S56" s="29">
        <f>IF(Saldos_Capital_Mensual!R56&gt;0, ROUND(Saldos_Capital_Mensual!R56 * 'Resumen_Cartera'!$Q56, 2), "")</f>
        <v/>
      </c>
      <c r="T56" s="29">
        <f>IF(Saldos_Capital_Mensual!S56&gt;0, ROUND(Saldos_Capital_Mensual!S56 * 'Resumen_Cartera'!$Q56, 2), "")</f>
        <v/>
      </c>
      <c r="U56" s="29">
        <f>SUM(I56:T56)</f>
        <v/>
      </c>
    </row>
    <row r="57">
      <c r="A57" s="20" t="inlineStr">
        <is>
          <t>0596-0004</t>
        </is>
      </c>
      <c r="B57" s="21" t="inlineStr">
        <is>
          <t>Gruas Industriales Lb</t>
        </is>
      </c>
      <c r="C57" s="21" t="inlineStr">
        <is>
          <t>Ram 1500 TRX</t>
        </is>
      </c>
      <c r="D57" s="20" t="inlineStr">
        <is>
          <t>ACTIVO</t>
        </is>
      </c>
      <c r="E57" s="20" t="inlineStr">
        <is>
          <t>2024-03-22</t>
        </is>
      </c>
      <c r="F57" s="20" t="inlineStr">
        <is>
          <t>2028-03-22</t>
        </is>
      </c>
      <c r="G57" s="22" t="n">
        <v>48</v>
      </c>
      <c r="H57" s="23" t="n">
        <v>1355120.69</v>
      </c>
      <c r="I57" s="23">
        <f>ROUND(1037923.26 * 'Resumen_Cartera'!$Q57, 2)</f>
        <v/>
      </c>
      <c r="J57" s="23">
        <f>IF(Saldos_Capital_Mensual!I57&gt;0, ROUND(Saldos_Capital_Mensual!I57 * 'Resumen_Cartera'!$Q57, 2), "")</f>
        <v/>
      </c>
      <c r="K57" s="23">
        <f>IF(Saldos_Capital_Mensual!J57&gt;0, ROUND(Saldos_Capital_Mensual!J57 * 'Resumen_Cartera'!$Q57, 2), "")</f>
        <v/>
      </c>
      <c r="L57" s="23">
        <f>IF(Saldos_Capital_Mensual!K57&gt;0, ROUND(Saldos_Capital_Mensual!K57 * 'Resumen_Cartera'!$Q57, 2), "")</f>
        <v/>
      </c>
      <c r="M57" s="23">
        <f>IF(Saldos_Capital_Mensual!L57&gt;0, ROUND(Saldos_Capital_Mensual!L57 * 'Resumen_Cartera'!$Q57, 2), "")</f>
        <v/>
      </c>
      <c r="N57" s="23">
        <f>IF(Saldos_Capital_Mensual!M57&gt;0, ROUND(Saldos_Capital_Mensual!M57 * 'Resumen_Cartera'!$Q57, 2), "")</f>
        <v/>
      </c>
      <c r="O57" s="23">
        <f>IF(Saldos_Capital_Mensual!N57&gt;0, ROUND(Saldos_Capital_Mensual!N57 * 'Resumen_Cartera'!$Q57, 2), "")</f>
        <v/>
      </c>
      <c r="P57" s="23">
        <f>IF(Saldos_Capital_Mensual!O57&gt;0, ROUND(Saldos_Capital_Mensual!O57 * 'Resumen_Cartera'!$Q57, 2), "")</f>
        <v/>
      </c>
      <c r="Q57" s="23">
        <f>IF(Saldos_Capital_Mensual!P57&gt;0, ROUND(Saldos_Capital_Mensual!P57 * 'Resumen_Cartera'!$Q57, 2), "")</f>
        <v/>
      </c>
      <c r="R57" s="23">
        <f>IF(Saldos_Capital_Mensual!Q57&gt;0, ROUND(Saldos_Capital_Mensual!Q57 * 'Resumen_Cartera'!$Q57, 2), "")</f>
        <v/>
      </c>
      <c r="S57" s="23">
        <f>IF(Saldos_Capital_Mensual!R57&gt;0, ROUND(Saldos_Capital_Mensual!R57 * 'Resumen_Cartera'!$Q57, 2), "")</f>
        <v/>
      </c>
      <c r="T57" s="23">
        <f>IF(Saldos_Capital_Mensual!S57&gt;0, ROUND(Saldos_Capital_Mensual!S57 * 'Resumen_Cartera'!$Q57, 2), "")</f>
        <v/>
      </c>
      <c r="U57" s="23">
        <f>SUM(I57:T57)</f>
        <v/>
      </c>
    </row>
    <row r="58">
      <c r="A58" s="26" t="inlineStr">
        <is>
          <t>0596-0005</t>
        </is>
      </c>
      <c r="B58" s="27" t="inlineStr">
        <is>
          <t>Gruas Industriales Lb Sa de Cv</t>
        </is>
      </c>
      <c r="C58" s="27" t="inlineStr">
        <is>
          <t>L200 Glx Gasolina</t>
        </is>
      </c>
      <c r="D58" s="26" t="inlineStr">
        <is>
          <t>ACTIVO</t>
        </is>
      </c>
      <c r="E58" s="26" t="inlineStr">
        <is>
          <t>2024-07-19</t>
        </is>
      </c>
      <c r="F58" s="26" t="inlineStr">
        <is>
          <t>2028-07-19</t>
        </is>
      </c>
      <c r="G58" s="28" t="n">
        <v>48</v>
      </c>
      <c r="H58" s="29" t="n">
        <v>374235.52</v>
      </c>
      <c r="I58" s="29">
        <f>ROUND(310989.36 * 'Resumen_Cartera'!$Q58, 2)</f>
        <v/>
      </c>
      <c r="J58" s="29">
        <f>IF(Saldos_Capital_Mensual!I58&gt;0, ROUND(Saldos_Capital_Mensual!I58 * 'Resumen_Cartera'!$Q58, 2), "")</f>
        <v/>
      </c>
      <c r="K58" s="29">
        <f>IF(Saldos_Capital_Mensual!J58&gt;0, ROUND(Saldos_Capital_Mensual!J58 * 'Resumen_Cartera'!$Q58, 2), "")</f>
        <v/>
      </c>
      <c r="L58" s="29">
        <f>IF(Saldos_Capital_Mensual!K58&gt;0, ROUND(Saldos_Capital_Mensual!K58 * 'Resumen_Cartera'!$Q58, 2), "")</f>
        <v/>
      </c>
      <c r="M58" s="29">
        <f>IF(Saldos_Capital_Mensual!L58&gt;0, ROUND(Saldos_Capital_Mensual!L58 * 'Resumen_Cartera'!$Q58, 2), "")</f>
        <v/>
      </c>
      <c r="N58" s="29">
        <f>IF(Saldos_Capital_Mensual!M58&gt;0, ROUND(Saldos_Capital_Mensual!M58 * 'Resumen_Cartera'!$Q58, 2), "")</f>
        <v/>
      </c>
      <c r="O58" s="29">
        <f>IF(Saldos_Capital_Mensual!N58&gt;0, ROUND(Saldos_Capital_Mensual!N58 * 'Resumen_Cartera'!$Q58, 2), "")</f>
        <v/>
      </c>
      <c r="P58" s="29">
        <f>IF(Saldos_Capital_Mensual!O58&gt;0, ROUND(Saldos_Capital_Mensual!O58 * 'Resumen_Cartera'!$Q58, 2), "")</f>
        <v/>
      </c>
      <c r="Q58" s="29">
        <f>IF(Saldos_Capital_Mensual!P58&gt;0, ROUND(Saldos_Capital_Mensual!P58 * 'Resumen_Cartera'!$Q58, 2), "")</f>
        <v/>
      </c>
      <c r="R58" s="29">
        <f>IF(Saldos_Capital_Mensual!Q58&gt;0, ROUND(Saldos_Capital_Mensual!Q58 * 'Resumen_Cartera'!$Q58, 2), "")</f>
        <v/>
      </c>
      <c r="S58" s="29">
        <f>IF(Saldos_Capital_Mensual!R58&gt;0, ROUND(Saldos_Capital_Mensual!R58 * 'Resumen_Cartera'!$Q58, 2), "")</f>
        <v/>
      </c>
      <c r="T58" s="29">
        <f>IF(Saldos_Capital_Mensual!S58&gt;0, ROUND(Saldos_Capital_Mensual!S58 * 'Resumen_Cartera'!$Q58, 2), "")</f>
        <v/>
      </c>
      <c r="U58" s="29">
        <f>SUM(I58:T58)</f>
        <v/>
      </c>
    </row>
    <row r="59">
      <c r="A59" s="20" t="inlineStr">
        <is>
          <t>0598-0001</t>
        </is>
      </c>
      <c r="B59" s="21" t="inlineStr">
        <is>
          <t>Digitracking Solution Sa de Cv</t>
        </is>
      </c>
      <c r="C59" s="21" t="inlineStr">
        <is>
          <t>Ram 700 Laramie</t>
        </is>
      </c>
      <c r="D59" s="20" t="inlineStr">
        <is>
          <t>ACTIVO</t>
        </is>
      </c>
      <c r="E59" s="20" t="inlineStr">
        <is>
          <t>2023-03-15</t>
        </is>
      </c>
      <c r="F59" s="20" t="inlineStr">
        <is>
          <t>2027-03-15</t>
        </is>
      </c>
      <c r="G59" s="22" t="n">
        <v>48</v>
      </c>
      <c r="H59" s="23" t="n">
        <v>244336.2</v>
      </c>
      <c r="I59" s="23">
        <f>ROUND(150056.19 * 'Resumen_Cartera'!$Q59, 2)</f>
        <v/>
      </c>
      <c r="J59" s="23">
        <f>IF(Saldos_Capital_Mensual!I59&gt;0, ROUND(Saldos_Capital_Mensual!I59 * 'Resumen_Cartera'!$Q59, 2), "")</f>
        <v/>
      </c>
      <c r="K59" s="23">
        <f>IF(Saldos_Capital_Mensual!J59&gt;0, ROUND(Saldos_Capital_Mensual!J59 * 'Resumen_Cartera'!$Q59, 2), "")</f>
        <v/>
      </c>
      <c r="L59" s="23">
        <f>IF(Saldos_Capital_Mensual!K59&gt;0, ROUND(Saldos_Capital_Mensual!K59 * 'Resumen_Cartera'!$Q59, 2), "")</f>
        <v/>
      </c>
      <c r="M59" s="23">
        <f>IF(Saldos_Capital_Mensual!L59&gt;0, ROUND(Saldos_Capital_Mensual!L59 * 'Resumen_Cartera'!$Q59, 2), "")</f>
        <v/>
      </c>
      <c r="N59" s="23">
        <f>IF(Saldos_Capital_Mensual!M59&gt;0, ROUND(Saldos_Capital_Mensual!M59 * 'Resumen_Cartera'!$Q59, 2), "")</f>
        <v/>
      </c>
      <c r="O59" s="23">
        <f>IF(Saldos_Capital_Mensual!N59&gt;0, ROUND(Saldos_Capital_Mensual!N59 * 'Resumen_Cartera'!$Q59, 2), "")</f>
        <v/>
      </c>
      <c r="P59" s="23">
        <f>IF(Saldos_Capital_Mensual!O59&gt;0, ROUND(Saldos_Capital_Mensual!O59 * 'Resumen_Cartera'!$Q59, 2), "")</f>
        <v/>
      </c>
      <c r="Q59" s="23">
        <f>IF(Saldos_Capital_Mensual!P59&gt;0, ROUND(Saldos_Capital_Mensual!P59 * 'Resumen_Cartera'!$Q59, 2), "")</f>
        <v/>
      </c>
      <c r="R59" s="23">
        <f>IF(Saldos_Capital_Mensual!Q59&gt;0, ROUND(Saldos_Capital_Mensual!Q59 * 'Resumen_Cartera'!$Q59, 2), "")</f>
        <v/>
      </c>
      <c r="S59" s="23">
        <f>IF(Saldos_Capital_Mensual!R59&gt;0, ROUND(Saldos_Capital_Mensual!R59 * 'Resumen_Cartera'!$Q59, 2), "")</f>
        <v/>
      </c>
      <c r="T59" s="23">
        <f>IF(Saldos_Capital_Mensual!S59&gt;0, ROUND(Saldos_Capital_Mensual!S59 * 'Resumen_Cartera'!$Q59, 2), "")</f>
        <v/>
      </c>
      <c r="U59" s="23">
        <f>SUM(I59:T59)</f>
        <v/>
      </c>
    </row>
    <row r="60">
      <c r="A60" s="26" t="inlineStr">
        <is>
          <t>0600-0001</t>
        </is>
      </c>
      <c r="B60" s="27" t="inlineStr">
        <is>
          <t>Dulce Marisol Gonzalez Cuevas</t>
        </is>
      </c>
      <c r="C60" s="27" t="inlineStr">
        <is>
          <t>Ram 700 Laramie</t>
        </is>
      </c>
      <c r="D60" s="26" t="inlineStr">
        <is>
          <t>ACTIVO</t>
        </is>
      </c>
      <c r="E60" s="26" t="inlineStr">
        <is>
          <t>2023-03-15</t>
        </is>
      </c>
      <c r="F60" s="26" t="inlineStr">
        <is>
          <t>2027-03-15</t>
        </is>
      </c>
      <c r="G60" s="28" t="n">
        <v>48</v>
      </c>
      <c r="H60" s="29" t="n">
        <v>209431.03</v>
      </c>
      <c r="I60" s="29">
        <f>ROUND(114742.68 * 'Resumen_Cartera'!$Q60, 2)</f>
        <v/>
      </c>
      <c r="J60" s="29">
        <f>IF(Saldos_Capital_Mensual!I60&gt;0, ROUND(Saldos_Capital_Mensual!I60 * 'Resumen_Cartera'!$Q60, 2), "")</f>
        <v/>
      </c>
      <c r="K60" s="29">
        <f>IF(Saldos_Capital_Mensual!J60&gt;0, ROUND(Saldos_Capital_Mensual!J60 * 'Resumen_Cartera'!$Q60, 2), "")</f>
        <v/>
      </c>
      <c r="L60" s="29">
        <f>IF(Saldos_Capital_Mensual!K60&gt;0, ROUND(Saldos_Capital_Mensual!K60 * 'Resumen_Cartera'!$Q60, 2), "")</f>
        <v/>
      </c>
      <c r="M60" s="29">
        <f>IF(Saldos_Capital_Mensual!L60&gt;0, ROUND(Saldos_Capital_Mensual!L60 * 'Resumen_Cartera'!$Q60, 2), "")</f>
        <v/>
      </c>
      <c r="N60" s="29">
        <f>IF(Saldos_Capital_Mensual!M60&gt;0, ROUND(Saldos_Capital_Mensual!M60 * 'Resumen_Cartera'!$Q60, 2), "")</f>
        <v/>
      </c>
      <c r="O60" s="29">
        <f>IF(Saldos_Capital_Mensual!N60&gt;0, ROUND(Saldos_Capital_Mensual!N60 * 'Resumen_Cartera'!$Q60, 2), "")</f>
        <v/>
      </c>
      <c r="P60" s="29">
        <f>IF(Saldos_Capital_Mensual!O60&gt;0, ROUND(Saldos_Capital_Mensual!O60 * 'Resumen_Cartera'!$Q60, 2), "")</f>
        <v/>
      </c>
      <c r="Q60" s="29">
        <f>IF(Saldos_Capital_Mensual!P60&gt;0, ROUND(Saldos_Capital_Mensual!P60 * 'Resumen_Cartera'!$Q60, 2), "")</f>
        <v/>
      </c>
      <c r="R60" s="29">
        <f>IF(Saldos_Capital_Mensual!Q60&gt;0, ROUND(Saldos_Capital_Mensual!Q60 * 'Resumen_Cartera'!$Q60, 2), "")</f>
        <v/>
      </c>
      <c r="S60" s="29">
        <f>IF(Saldos_Capital_Mensual!R60&gt;0, ROUND(Saldos_Capital_Mensual!R60 * 'Resumen_Cartera'!$Q60, 2), "")</f>
        <v/>
      </c>
      <c r="T60" s="29">
        <f>IF(Saldos_Capital_Mensual!S60&gt;0, ROUND(Saldos_Capital_Mensual!S60 * 'Resumen_Cartera'!$Q60, 2), "")</f>
        <v/>
      </c>
      <c r="U60" s="29">
        <f>SUM(I60:T60)</f>
        <v/>
      </c>
    </row>
    <row r="61">
      <c r="A61" s="20" t="inlineStr">
        <is>
          <t>0603-0002</t>
        </is>
      </c>
      <c r="B61" s="21" t="inlineStr">
        <is>
          <t>Mario Alberto Velasco Santana</t>
        </is>
      </c>
      <c r="C61" s="21" t="inlineStr">
        <is>
          <t>Outlander Sport</t>
        </is>
      </c>
      <c r="D61" s="20" t="inlineStr">
        <is>
          <t>ACTIVO</t>
        </is>
      </c>
      <c r="E61" s="20" t="inlineStr">
        <is>
          <t>2024-07-30</t>
        </is>
      </c>
      <c r="F61" s="20" t="inlineStr">
        <is>
          <t>2028-07-30</t>
        </is>
      </c>
      <c r="G61" s="22" t="n">
        <v>48</v>
      </c>
      <c r="H61" s="23" t="n">
        <v>276258.62</v>
      </c>
      <c r="I61" s="23">
        <f>ROUND(233409.55 * 'Resumen_Cartera'!$Q61, 2)</f>
        <v/>
      </c>
      <c r="J61" s="23">
        <f>IF(Saldos_Capital_Mensual!I61&gt;0, ROUND(Saldos_Capital_Mensual!I61 * 'Resumen_Cartera'!$Q61, 2), "")</f>
        <v/>
      </c>
      <c r="K61" s="23">
        <f>IF(Saldos_Capital_Mensual!J61&gt;0, ROUND(Saldos_Capital_Mensual!J61 * 'Resumen_Cartera'!$Q61, 2), "")</f>
        <v/>
      </c>
      <c r="L61" s="23">
        <f>IF(Saldos_Capital_Mensual!K61&gt;0, ROUND(Saldos_Capital_Mensual!K61 * 'Resumen_Cartera'!$Q61, 2), "")</f>
        <v/>
      </c>
      <c r="M61" s="23">
        <f>IF(Saldos_Capital_Mensual!L61&gt;0, ROUND(Saldos_Capital_Mensual!L61 * 'Resumen_Cartera'!$Q61, 2), "")</f>
        <v/>
      </c>
      <c r="N61" s="23">
        <f>IF(Saldos_Capital_Mensual!M61&gt;0, ROUND(Saldos_Capital_Mensual!M61 * 'Resumen_Cartera'!$Q61, 2), "")</f>
        <v/>
      </c>
      <c r="O61" s="23">
        <f>IF(Saldos_Capital_Mensual!N61&gt;0, ROUND(Saldos_Capital_Mensual!N61 * 'Resumen_Cartera'!$Q61, 2), "")</f>
        <v/>
      </c>
      <c r="P61" s="23">
        <f>IF(Saldos_Capital_Mensual!O61&gt;0, ROUND(Saldos_Capital_Mensual!O61 * 'Resumen_Cartera'!$Q61, 2), "")</f>
        <v/>
      </c>
      <c r="Q61" s="23">
        <f>IF(Saldos_Capital_Mensual!P61&gt;0, ROUND(Saldos_Capital_Mensual!P61 * 'Resumen_Cartera'!$Q61, 2), "")</f>
        <v/>
      </c>
      <c r="R61" s="23">
        <f>IF(Saldos_Capital_Mensual!Q61&gt;0, ROUND(Saldos_Capital_Mensual!Q61 * 'Resumen_Cartera'!$Q61, 2), "")</f>
        <v/>
      </c>
      <c r="S61" s="23">
        <f>IF(Saldos_Capital_Mensual!R61&gt;0, ROUND(Saldos_Capital_Mensual!R61 * 'Resumen_Cartera'!$Q61, 2), "")</f>
        <v/>
      </c>
      <c r="T61" s="23">
        <f>IF(Saldos_Capital_Mensual!S61&gt;0, ROUND(Saldos_Capital_Mensual!S61 * 'Resumen_Cartera'!$Q61, 2), "")</f>
        <v/>
      </c>
      <c r="U61" s="23">
        <f>SUM(I61:T61)</f>
        <v/>
      </c>
    </row>
    <row r="62">
      <c r="A62" s="26" t="inlineStr">
        <is>
          <t>0605-0001</t>
        </is>
      </c>
      <c r="B62" s="27" t="inlineStr">
        <is>
          <t>Nato Arquitectos Sa de Cv</t>
        </is>
      </c>
      <c r="C62" s="27" t="inlineStr">
        <is>
          <t>Compass High Altitude</t>
        </is>
      </c>
      <c r="D62" s="26" t="inlineStr">
        <is>
          <t>ACTIVO</t>
        </is>
      </c>
      <c r="E62" s="26" t="inlineStr">
        <is>
          <t>2023-03-23</t>
        </is>
      </c>
      <c r="F62" s="26" t="inlineStr">
        <is>
          <t>2027-03-23</t>
        </is>
      </c>
      <c r="G62" s="28" t="n">
        <v>48</v>
      </c>
      <c r="H62" s="29" t="n">
        <v>476663.8</v>
      </c>
      <c r="I62" s="29">
        <f>ROUND(291370.51 * 'Resumen_Cartera'!$Q62, 2)</f>
        <v/>
      </c>
      <c r="J62" s="29">
        <f>IF(Saldos_Capital_Mensual!I62&gt;0, ROUND(Saldos_Capital_Mensual!I62 * 'Resumen_Cartera'!$Q62, 2), "")</f>
        <v/>
      </c>
      <c r="K62" s="29">
        <f>IF(Saldos_Capital_Mensual!J62&gt;0, ROUND(Saldos_Capital_Mensual!J62 * 'Resumen_Cartera'!$Q62, 2), "")</f>
        <v/>
      </c>
      <c r="L62" s="29">
        <f>IF(Saldos_Capital_Mensual!K62&gt;0, ROUND(Saldos_Capital_Mensual!K62 * 'Resumen_Cartera'!$Q62, 2), "")</f>
        <v/>
      </c>
      <c r="M62" s="29">
        <f>IF(Saldos_Capital_Mensual!L62&gt;0, ROUND(Saldos_Capital_Mensual!L62 * 'Resumen_Cartera'!$Q62, 2), "")</f>
        <v/>
      </c>
      <c r="N62" s="29">
        <f>IF(Saldos_Capital_Mensual!M62&gt;0, ROUND(Saldos_Capital_Mensual!M62 * 'Resumen_Cartera'!$Q62, 2), "")</f>
        <v/>
      </c>
      <c r="O62" s="29">
        <f>IF(Saldos_Capital_Mensual!N62&gt;0, ROUND(Saldos_Capital_Mensual!N62 * 'Resumen_Cartera'!$Q62, 2), "")</f>
        <v/>
      </c>
      <c r="P62" s="29">
        <f>IF(Saldos_Capital_Mensual!O62&gt;0, ROUND(Saldos_Capital_Mensual!O62 * 'Resumen_Cartera'!$Q62, 2), "")</f>
        <v/>
      </c>
      <c r="Q62" s="29">
        <f>IF(Saldos_Capital_Mensual!P62&gt;0, ROUND(Saldos_Capital_Mensual!P62 * 'Resumen_Cartera'!$Q62, 2), "")</f>
        <v/>
      </c>
      <c r="R62" s="29">
        <f>IF(Saldos_Capital_Mensual!Q62&gt;0, ROUND(Saldos_Capital_Mensual!Q62 * 'Resumen_Cartera'!$Q62, 2), "")</f>
        <v/>
      </c>
      <c r="S62" s="29">
        <f>IF(Saldos_Capital_Mensual!R62&gt;0, ROUND(Saldos_Capital_Mensual!R62 * 'Resumen_Cartera'!$Q62, 2), "")</f>
        <v/>
      </c>
      <c r="T62" s="29">
        <f>IF(Saldos_Capital_Mensual!S62&gt;0, ROUND(Saldos_Capital_Mensual!S62 * 'Resumen_Cartera'!$Q62, 2), "")</f>
        <v/>
      </c>
      <c r="U62" s="29">
        <f>SUM(I62:T62)</f>
        <v/>
      </c>
    </row>
    <row r="63">
      <c r="A63" s="20" t="inlineStr">
        <is>
          <t>0605-0002</t>
        </is>
      </c>
      <c r="B63" s="21" t="inlineStr">
        <is>
          <t>Nato Arquitectos Sa de Cv</t>
        </is>
      </c>
      <c r="C63" s="21" t="inlineStr">
        <is>
          <t>Hilux Diesel</t>
        </is>
      </c>
      <c r="D63" s="20" t="inlineStr">
        <is>
          <t>ACTIVO</t>
        </is>
      </c>
      <c r="E63" s="20" t="inlineStr">
        <is>
          <t>2025-03-28</t>
        </is>
      </c>
      <c r="F63" s="20" t="inlineStr">
        <is>
          <t>2027-03-28</t>
        </is>
      </c>
      <c r="G63" s="22" t="n">
        <v>24</v>
      </c>
      <c r="H63" s="23" t="n">
        <v>384362.07</v>
      </c>
      <c r="I63" s="23">
        <f>ROUND(270989.94 * 'Resumen_Cartera'!$Q63, 2)</f>
        <v/>
      </c>
      <c r="J63" s="23">
        <f>IF(Saldos_Capital_Mensual!I63&gt;0, ROUND(Saldos_Capital_Mensual!I63 * 'Resumen_Cartera'!$Q63, 2), "")</f>
        <v/>
      </c>
      <c r="K63" s="23">
        <f>IF(Saldos_Capital_Mensual!J63&gt;0, ROUND(Saldos_Capital_Mensual!J63 * 'Resumen_Cartera'!$Q63, 2), "")</f>
        <v/>
      </c>
      <c r="L63" s="23">
        <f>IF(Saldos_Capital_Mensual!K63&gt;0, ROUND(Saldos_Capital_Mensual!K63 * 'Resumen_Cartera'!$Q63, 2), "")</f>
        <v/>
      </c>
      <c r="M63" s="23">
        <f>IF(Saldos_Capital_Mensual!L63&gt;0, ROUND(Saldos_Capital_Mensual!L63 * 'Resumen_Cartera'!$Q63, 2), "")</f>
        <v/>
      </c>
      <c r="N63" s="23">
        <f>IF(Saldos_Capital_Mensual!M63&gt;0, ROUND(Saldos_Capital_Mensual!M63 * 'Resumen_Cartera'!$Q63, 2), "")</f>
        <v/>
      </c>
      <c r="O63" s="23">
        <f>IF(Saldos_Capital_Mensual!N63&gt;0, ROUND(Saldos_Capital_Mensual!N63 * 'Resumen_Cartera'!$Q63, 2), "")</f>
        <v/>
      </c>
      <c r="P63" s="23">
        <f>IF(Saldos_Capital_Mensual!O63&gt;0, ROUND(Saldos_Capital_Mensual!O63 * 'Resumen_Cartera'!$Q63, 2), "")</f>
        <v/>
      </c>
      <c r="Q63" s="23">
        <f>IF(Saldos_Capital_Mensual!P63&gt;0, ROUND(Saldos_Capital_Mensual!P63 * 'Resumen_Cartera'!$Q63, 2), "")</f>
        <v/>
      </c>
      <c r="R63" s="23">
        <f>IF(Saldos_Capital_Mensual!Q63&gt;0, ROUND(Saldos_Capital_Mensual!Q63 * 'Resumen_Cartera'!$Q63, 2), "")</f>
        <v/>
      </c>
      <c r="S63" s="23">
        <f>IF(Saldos_Capital_Mensual!R63&gt;0, ROUND(Saldos_Capital_Mensual!R63 * 'Resumen_Cartera'!$Q63, 2), "")</f>
        <v/>
      </c>
      <c r="T63" s="23">
        <f>IF(Saldos_Capital_Mensual!S63&gt;0, ROUND(Saldos_Capital_Mensual!S63 * 'Resumen_Cartera'!$Q63, 2), "")</f>
        <v/>
      </c>
      <c r="U63" s="23">
        <f>SUM(I63:T63)</f>
        <v/>
      </c>
    </row>
    <row r="64">
      <c r="A64" s="26" t="inlineStr">
        <is>
          <t>0605-0003</t>
        </is>
      </c>
      <c r="B64" s="27" t="inlineStr">
        <is>
          <t>Nato Arquitectos Sa de Cv</t>
        </is>
      </c>
      <c r="C64" s="27" t="inlineStr">
        <is>
          <t>Ranger Crew Cab 4X4 XLT</t>
        </is>
      </c>
      <c r="D64" s="26" t="inlineStr">
        <is>
          <t>ACTIVO</t>
        </is>
      </c>
      <c r="E64" s="26" t="inlineStr">
        <is>
          <t>2026-01-08</t>
        </is>
      </c>
      <c r="F64" s="26" t="inlineStr">
        <is>
          <t>2028-01-08</t>
        </is>
      </c>
      <c r="G64" s="28" t="n">
        <v>24</v>
      </c>
      <c r="H64" s="29" t="n">
        <v>507439.65</v>
      </c>
      <c r="I64" s="29">
        <f>ROUND('Resumen_Cartera'!$K64 * 'Resumen_Cartera'!$Q64, 2)</f>
        <v/>
      </c>
      <c r="J64" s="29">
        <f>IF(Saldos_Capital_Mensual!I64&gt;0, ROUND(Saldos_Capital_Mensual!I64 * 'Resumen_Cartera'!$Q64, 2), "")</f>
        <v/>
      </c>
      <c r="K64" s="29">
        <f>IF(Saldos_Capital_Mensual!J64&gt;0, ROUND(Saldos_Capital_Mensual!J64 * 'Resumen_Cartera'!$Q64, 2), "")</f>
        <v/>
      </c>
      <c r="L64" s="29">
        <f>IF(Saldos_Capital_Mensual!K64&gt;0, ROUND(Saldos_Capital_Mensual!K64 * 'Resumen_Cartera'!$Q64, 2), "")</f>
        <v/>
      </c>
      <c r="M64" s="29">
        <f>IF(Saldos_Capital_Mensual!L64&gt;0, ROUND(Saldos_Capital_Mensual!L64 * 'Resumen_Cartera'!$Q64, 2), "")</f>
        <v/>
      </c>
      <c r="N64" s="29">
        <f>IF(Saldos_Capital_Mensual!M64&gt;0, ROUND(Saldos_Capital_Mensual!M64 * 'Resumen_Cartera'!$Q64, 2), "")</f>
        <v/>
      </c>
      <c r="O64" s="29">
        <f>IF(Saldos_Capital_Mensual!N64&gt;0, ROUND(Saldos_Capital_Mensual!N64 * 'Resumen_Cartera'!$Q64, 2), "")</f>
        <v/>
      </c>
      <c r="P64" s="29">
        <f>IF(Saldos_Capital_Mensual!O64&gt;0, ROUND(Saldos_Capital_Mensual!O64 * 'Resumen_Cartera'!$Q64, 2), "")</f>
        <v/>
      </c>
      <c r="Q64" s="29">
        <f>IF(Saldos_Capital_Mensual!P64&gt;0, ROUND(Saldos_Capital_Mensual!P64 * 'Resumen_Cartera'!$Q64, 2), "")</f>
        <v/>
      </c>
      <c r="R64" s="29">
        <f>IF(Saldos_Capital_Mensual!Q64&gt;0, ROUND(Saldos_Capital_Mensual!Q64 * 'Resumen_Cartera'!$Q64, 2), "")</f>
        <v/>
      </c>
      <c r="S64" s="29">
        <f>IF(Saldos_Capital_Mensual!R64&gt;0, ROUND(Saldos_Capital_Mensual!R64 * 'Resumen_Cartera'!$Q64, 2), "")</f>
        <v/>
      </c>
      <c r="T64" s="29">
        <f>IF(Saldos_Capital_Mensual!S64&gt;0, ROUND(Saldos_Capital_Mensual!S64 * 'Resumen_Cartera'!$Q64, 2), "")</f>
        <v/>
      </c>
      <c r="U64" s="29">
        <f>SUM(I64:T64)</f>
        <v/>
      </c>
    </row>
    <row r="65">
      <c r="A65" s="20" t="inlineStr">
        <is>
          <t>0605-0004</t>
        </is>
      </c>
      <c r="B65" s="21" t="inlineStr">
        <is>
          <t>Nato Arquitectos Sa de Cv</t>
        </is>
      </c>
      <c r="C65" s="21" t="inlineStr">
        <is>
          <t>COLORADO DOBLE CABINA PAQ. "C"</t>
        </is>
      </c>
      <c r="D65" s="20" t="inlineStr">
        <is>
          <t>ACTIVO</t>
        </is>
      </c>
      <c r="E65" s="20" t="inlineStr">
        <is>
          <t>2026-01-08</t>
        </is>
      </c>
      <c r="F65" s="20" t="inlineStr">
        <is>
          <t>2028-01-08</t>
        </is>
      </c>
      <c r="G65" s="22" t="n">
        <v>24</v>
      </c>
      <c r="H65" s="23" t="n">
        <v>597353.45</v>
      </c>
      <c r="I65" s="23">
        <f>ROUND('Resumen_Cartera'!$K65 * 'Resumen_Cartera'!$Q65, 2)</f>
        <v/>
      </c>
      <c r="J65" s="23">
        <f>IF(Saldos_Capital_Mensual!I65&gt;0, ROUND(Saldos_Capital_Mensual!I65 * 'Resumen_Cartera'!$Q65, 2), "")</f>
        <v/>
      </c>
      <c r="K65" s="23">
        <f>IF(Saldos_Capital_Mensual!J65&gt;0, ROUND(Saldos_Capital_Mensual!J65 * 'Resumen_Cartera'!$Q65, 2), "")</f>
        <v/>
      </c>
      <c r="L65" s="23">
        <f>IF(Saldos_Capital_Mensual!K65&gt;0, ROUND(Saldos_Capital_Mensual!K65 * 'Resumen_Cartera'!$Q65, 2), "")</f>
        <v/>
      </c>
      <c r="M65" s="23">
        <f>IF(Saldos_Capital_Mensual!L65&gt;0, ROUND(Saldos_Capital_Mensual!L65 * 'Resumen_Cartera'!$Q65, 2), "")</f>
        <v/>
      </c>
      <c r="N65" s="23">
        <f>IF(Saldos_Capital_Mensual!M65&gt;0, ROUND(Saldos_Capital_Mensual!M65 * 'Resumen_Cartera'!$Q65, 2), "")</f>
        <v/>
      </c>
      <c r="O65" s="23">
        <f>IF(Saldos_Capital_Mensual!N65&gt;0, ROUND(Saldos_Capital_Mensual!N65 * 'Resumen_Cartera'!$Q65, 2), "")</f>
        <v/>
      </c>
      <c r="P65" s="23">
        <f>IF(Saldos_Capital_Mensual!O65&gt;0, ROUND(Saldos_Capital_Mensual!O65 * 'Resumen_Cartera'!$Q65, 2), "")</f>
        <v/>
      </c>
      <c r="Q65" s="23">
        <f>IF(Saldos_Capital_Mensual!P65&gt;0, ROUND(Saldos_Capital_Mensual!P65 * 'Resumen_Cartera'!$Q65, 2), "")</f>
        <v/>
      </c>
      <c r="R65" s="23">
        <f>IF(Saldos_Capital_Mensual!Q65&gt;0, ROUND(Saldos_Capital_Mensual!Q65 * 'Resumen_Cartera'!$Q65, 2), "")</f>
        <v/>
      </c>
      <c r="S65" s="23">
        <f>IF(Saldos_Capital_Mensual!R65&gt;0, ROUND(Saldos_Capital_Mensual!R65 * 'Resumen_Cartera'!$Q65, 2), "")</f>
        <v/>
      </c>
      <c r="T65" s="23">
        <f>IF(Saldos_Capital_Mensual!S65&gt;0, ROUND(Saldos_Capital_Mensual!S65 * 'Resumen_Cartera'!$Q65, 2), "")</f>
        <v/>
      </c>
      <c r="U65" s="23">
        <f>SUM(I65:T65)</f>
        <v/>
      </c>
    </row>
    <row r="66">
      <c r="A66" s="26" t="inlineStr">
        <is>
          <t>0606-0002</t>
        </is>
      </c>
      <c r="B66" s="27" t="inlineStr">
        <is>
          <t>Mayoreo Automotriz ML S de Rl de CV</t>
        </is>
      </c>
      <c r="C66" s="27" t="inlineStr">
        <is>
          <t>Grand Cherokee 4xE</t>
        </is>
      </c>
      <c r="D66" s="26" t="inlineStr">
        <is>
          <t>ACTIVO</t>
        </is>
      </c>
      <c r="E66" s="26" t="inlineStr">
        <is>
          <t>2026-03-17</t>
        </is>
      </c>
      <c r="F66" s="26" t="inlineStr">
        <is>
          <t>2027-03-17</t>
        </is>
      </c>
      <c r="G66" s="28" t="n">
        <v>12</v>
      </c>
      <c r="H66" s="29" t="n">
        <v>276706.9</v>
      </c>
      <c r="I66" s="29" t="inlineStr"/>
      <c r="J66" s="29" t="inlineStr"/>
      <c r="K66" s="29">
        <f>ROUND('Resumen_Cartera'!$K66 * 'Resumen_Cartera'!$Q66, 2)</f>
        <v/>
      </c>
      <c r="L66" s="29">
        <f>IF(Saldos_Capital_Mensual!K66&gt;0, ROUND(Saldos_Capital_Mensual!K66 * 'Resumen_Cartera'!$Q66, 2), "")</f>
        <v/>
      </c>
      <c r="M66" s="29">
        <f>IF(Saldos_Capital_Mensual!L66&gt;0, ROUND(Saldos_Capital_Mensual!L66 * 'Resumen_Cartera'!$Q66, 2), "")</f>
        <v/>
      </c>
      <c r="N66" s="29">
        <f>IF(Saldos_Capital_Mensual!M66&gt;0, ROUND(Saldos_Capital_Mensual!M66 * 'Resumen_Cartera'!$Q66, 2), "")</f>
        <v/>
      </c>
      <c r="O66" s="29">
        <f>IF(Saldos_Capital_Mensual!N66&gt;0, ROUND(Saldos_Capital_Mensual!N66 * 'Resumen_Cartera'!$Q66, 2), "")</f>
        <v/>
      </c>
      <c r="P66" s="29">
        <f>IF(Saldos_Capital_Mensual!O66&gt;0, ROUND(Saldos_Capital_Mensual!O66 * 'Resumen_Cartera'!$Q66, 2), "")</f>
        <v/>
      </c>
      <c r="Q66" s="29">
        <f>IF(Saldos_Capital_Mensual!P66&gt;0, ROUND(Saldos_Capital_Mensual!P66 * 'Resumen_Cartera'!$Q66, 2), "")</f>
        <v/>
      </c>
      <c r="R66" s="29">
        <f>IF(Saldos_Capital_Mensual!Q66&gt;0, ROUND(Saldos_Capital_Mensual!Q66 * 'Resumen_Cartera'!$Q66, 2), "")</f>
        <v/>
      </c>
      <c r="S66" s="29">
        <f>IF(Saldos_Capital_Mensual!R66&gt;0, ROUND(Saldos_Capital_Mensual!R66 * 'Resumen_Cartera'!$Q66, 2), "")</f>
        <v/>
      </c>
      <c r="T66" s="29">
        <f>IF(Saldos_Capital_Mensual!S66&gt;0, ROUND(Saldos_Capital_Mensual!S66 * 'Resumen_Cartera'!$Q66, 2), "")</f>
        <v/>
      </c>
      <c r="U66" s="29">
        <f>SUM(I66:T66)</f>
        <v/>
      </c>
    </row>
    <row r="67">
      <c r="A67" s="20" t="inlineStr">
        <is>
          <t>0607-0004</t>
        </is>
      </c>
      <c r="B67" s="21" t="inlineStr">
        <is>
          <t>Jose Guadalupe Dueñas Lomeli</t>
        </is>
      </c>
      <c r="C67" s="21" t="inlineStr">
        <is>
          <t>Rifter Allure Pack</t>
        </is>
      </c>
      <c r="D67" s="20" t="inlineStr">
        <is>
          <t>ACTIVO</t>
        </is>
      </c>
      <c r="E67" s="20" t="inlineStr">
        <is>
          <t>2025-12-08</t>
        </is>
      </c>
      <c r="F67" s="20" t="inlineStr">
        <is>
          <t>2029-12-08</t>
        </is>
      </c>
      <c r="G67" s="22" t="n">
        <v>48</v>
      </c>
      <c r="H67" s="23" t="n">
        <v>344758.62</v>
      </c>
      <c r="I67" s="23">
        <f>ROUND(341610.23 * 'Resumen_Cartera'!$Q67, 2)</f>
        <v/>
      </c>
      <c r="J67" s="23">
        <f>IF(Saldos_Capital_Mensual!I67&gt;0, ROUND(Saldos_Capital_Mensual!I67 * 'Resumen_Cartera'!$Q67, 2), "")</f>
        <v/>
      </c>
      <c r="K67" s="23">
        <f>IF(Saldos_Capital_Mensual!J67&gt;0, ROUND(Saldos_Capital_Mensual!J67 * 'Resumen_Cartera'!$Q67, 2), "")</f>
        <v/>
      </c>
      <c r="L67" s="23">
        <f>IF(Saldos_Capital_Mensual!K67&gt;0, ROUND(Saldos_Capital_Mensual!K67 * 'Resumen_Cartera'!$Q67, 2), "")</f>
        <v/>
      </c>
      <c r="M67" s="23">
        <f>IF(Saldos_Capital_Mensual!L67&gt;0, ROUND(Saldos_Capital_Mensual!L67 * 'Resumen_Cartera'!$Q67, 2), "")</f>
        <v/>
      </c>
      <c r="N67" s="23">
        <f>IF(Saldos_Capital_Mensual!M67&gt;0, ROUND(Saldos_Capital_Mensual!M67 * 'Resumen_Cartera'!$Q67, 2), "")</f>
        <v/>
      </c>
      <c r="O67" s="23">
        <f>IF(Saldos_Capital_Mensual!N67&gt;0, ROUND(Saldos_Capital_Mensual!N67 * 'Resumen_Cartera'!$Q67, 2), "")</f>
        <v/>
      </c>
      <c r="P67" s="23">
        <f>IF(Saldos_Capital_Mensual!O67&gt;0, ROUND(Saldos_Capital_Mensual!O67 * 'Resumen_Cartera'!$Q67, 2), "")</f>
        <v/>
      </c>
      <c r="Q67" s="23">
        <f>IF(Saldos_Capital_Mensual!P67&gt;0, ROUND(Saldos_Capital_Mensual!P67 * 'Resumen_Cartera'!$Q67, 2), "")</f>
        <v/>
      </c>
      <c r="R67" s="23">
        <f>IF(Saldos_Capital_Mensual!Q67&gt;0, ROUND(Saldos_Capital_Mensual!Q67 * 'Resumen_Cartera'!$Q67, 2), "")</f>
        <v/>
      </c>
      <c r="S67" s="23">
        <f>IF(Saldos_Capital_Mensual!R67&gt;0, ROUND(Saldos_Capital_Mensual!R67 * 'Resumen_Cartera'!$Q67, 2), "")</f>
        <v/>
      </c>
      <c r="T67" s="23">
        <f>IF(Saldos_Capital_Mensual!S67&gt;0, ROUND(Saldos_Capital_Mensual!S67 * 'Resumen_Cartera'!$Q67, 2), "")</f>
        <v/>
      </c>
      <c r="U67" s="23">
        <f>SUM(I67:T67)</f>
        <v/>
      </c>
    </row>
    <row r="68">
      <c r="A68" s="26" t="inlineStr">
        <is>
          <t>0607-0005</t>
        </is>
      </c>
      <c r="B68" s="27" t="inlineStr">
        <is>
          <t>Jose Guadalupe Dueñas Lomeli</t>
        </is>
      </c>
      <c r="C68" s="27" t="inlineStr">
        <is>
          <t>Durango Hellcat SRT</t>
        </is>
      </c>
      <c r="D68" s="26" t="inlineStr">
        <is>
          <t>ACTIVO</t>
        </is>
      </c>
      <c r="E68" s="26" t="inlineStr">
        <is>
          <t>2026-02-09</t>
        </is>
      </c>
      <c r="F68" s="26" t="inlineStr">
        <is>
          <t>2029-02-09</t>
        </is>
      </c>
      <c r="G68" s="28" t="n">
        <v>36</v>
      </c>
      <c r="H68" s="29" t="n">
        <v>1687422.41</v>
      </c>
      <c r="I68" s="29" t="inlineStr"/>
      <c r="J68" s="29">
        <f>ROUND('Resumen_Cartera'!$K68 * 'Resumen_Cartera'!$Q68, 2)</f>
        <v/>
      </c>
      <c r="K68" s="29">
        <f>IF(Saldos_Capital_Mensual!J68&gt;0, ROUND(Saldos_Capital_Mensual!J68 * 'Resumen_Cartera'!$Q68, 2), "")</f>
        <v/>
      </c>
      <c r="L68" s="29">
        <f>IF(Saldos_Capital_Mensual!K68&gt;0, ROUND(Saldos_Capital_Mensual!K68 * 'Resumen_Cartera'!$Q68, 2), "")</f>
        <v/>
      </c>
      <c r="M68" s="29">
        <f>IF(Saldos_Capital_Mensual!L68&gt;0, ROUND(Saldos_Capital_Mensual!L68 * 'Resumen_Cartera'!$Q68, 2), "")</f>
        <v/>
      </c>
      <c r="N68" s="29">
        <f>IF(Saldos_Capital_Mensual!M68&gt;0, ROUND(Saldos_Capital_Mensual!M68 * 'Resumen_Cartera'!$Q68, 2), "")</f>
        <v/>
      </c>
      <c r="O68" s="29">
        <f>IF(Saldos_Capital_Mensual!N68&gt;0, ROUND(Saldos_Capital_Mensual!N68 * 'Resumen_Cartera'!$Q68, 2), "")</f>
        <v/>
      </c>
      <c r="P68" s="29">
        <f>IF(Saldos_Capital_Mensual!O68&gt;0, ROUND(Saldos_Capital_Mensual!O68 * 'Resumen_Cartera'!$Q68, 2), "")</f>
        <v/>
      </c>
      <c r="Q68" s="29">
        <f>IF(Saldos_Capital_Mensual!P68&gt;0, ROUND(Saldos_Capital_Mensual!P68 * 'Resumen_Cartera'!$Q68, 2), "")</f>
        <v/>
      </c>
      <c r="R68" s="29">
        <f>IF(Saldos_Capital_Mensual!Q68&gt;0, ROUND(Saldos_Capital_Mensual!Q68 * 'Resumen_Cartera'!$Q68, 2), "")</f>
        <v/>
      </c>
      <c r="S68" s="29">
        <f>IF(Saldos_Capital_Mensual!R68&gt;0, ROUND(Saldos_Capital_Mensual!R68 * 'Resumen_Cartera'!$Q68, 2), "")</f>
        <v/>
      </c>
      <c r="T68" s="29">
        <f>IF(Saldos_Capital_Mensual!S68&gt;0, ROUND(Saldos_Capital_Mensual!S68 * 'Resumen_Cartera'!$Q68, 2), "")</f>
        <v/>
      </c>
      <c r="U68" s="29">
        <f>SUM(I68:T68)</f>
        <v/>
      </c>
    </row>
    <row r="69">
      <c r="A69" s="20" t="inlineStr">
        <is>
          <t>0610-0003</t>
        </is>
      </c>
      <c r="B69" s="21" t="inlineStr">
        <is>
          <t>Minelaza</t>
        </is>
      </c>
      <c r="C69" s="21" t="inlineStr">
        <is>
          <t>Song Plus</t>
        </is>
      </c>
      <c r="D69" s="20" t="inlineStr">
        <is>
          <t>ACTIVO</t>
        </is>
      </c>
      <c r="E69" s="20" t="inlineStr">
        <is>
          <t>2026-04-15</t>
        </is>
      </c>
      <c r="F69" s="20" t="inlineStr">
        <is>
          <t>2029-04-15</t>
        </is>
      </c>
      <c r="G69" s="22" t="n">
        <v>36</v>
      </c>
      <c r="H69" s="23" t="n">
        <v>604241.38</v>
      </c>
      <c r="I69" s="23" t="inlineStr"/>
      <c r="J69" s="23" t="inlineStr"/>
      <c r="K69" s="23" t="inlineStr"/>
      <c r="L69" s="23">
        <f>ROUND('Resumen_Cartera'!$K69 * 'Resumen_Cartera'!$Q69, 2)</f>
        <v/>
      </c>
      <c r="M69" s="23">
        <f>IF(Saldos_Capital_Mensual!L69&gt;0, ROUND(Saldos_Capital_Mensual!L69 * 'Resumen_Cartera'!$Q69, 2), "")</f>
        <v/>
      </c>
      <c r="N69" s="23">
        <f>IF(Saldos_Capital_Mensual!M69&gt;0, ROUND(Saldos_Capital_Mensual!M69 * 'Resumen_Cartera'!$Q69, 2), "")</f>
        <v/>
      </c>
      <c r="O69" s="23">
        <f>IF(Saldos_Capital_Mensual!N69&gt;0, ROUND(Saldos_Capital_Mensual!N69 * 'Resumen_Cartera'!$Q69, 2), "")</f>
        <v/>
      </c>
      <c r="P69" s="23">
        <f>IF(Saldos_Capital_Mensual!O69&gt;0, ROUND(Saldos_Capital_Mensual!O69 * 'Resumen_Cartera'!$Q69, 2), "")</f>
        <v/>
      </c>
      <c r="Q69" s="23">
        <f>IF(Saldos_Capital_Mensual!P69&gt;0, ROUND(Saldos_Capital_Mensual!P69 * 'Resumen_Cartera'!$Q69, 2), "")</f>
        <v/>
      </c>
      <c r="R69" s="23">
        <f>IF(Saldos_Capital_Mensual!Q69&gt;0, ROUND(Saldos_Capital_Mensual!Q69 * 'Resumen_Cartera'!$Q69, 2), "")</f>
        <v/>
      </c>
      <c r="S69" s="23">
        <f>IF(Saldos_Capital_Mensual!R69&gt;0, ROUND(Saldos_Capital_Mensual!R69 * 'Resumen_Cartera'!$Q69, 2), "")</f>
        <v/>
      </c>
      <c r="T69" s="23">
        <f>IF(Saldos_Capital_Mensual!S69&gt;0, ROUND(Saldos_Capital_Mensual!S69 * 'Resumen_Cartera'!$Q69, 2), "")</f>
        <v/>
      </c>
      <c r="U69" s="23">
        <f>SUM(I69:T69)</f>
        <v/>
      </c>
    </row>
    <row r="70">
      <c r="A70" s="26" t="inlineStr">
        <is>
          <t>0612-0002</t>
        </is>
      </c>
      <c r="B70" s="27" t="inlineStr">
        <is>
          <t>Distribuidora Lopez Moctezuma Sa de Cv</t>
        </is>
      </c>
      <c r="C70" s="27" t="inlineStr">
        <is>
          <t>Ram 700 Tradesman</t>
        </is>
      </c>
      <c r="D70" s="26" t="inlineStr">
        <is>
          <t>ACTIVO</t>
        </is>
      </c>
      <c r="E70" s="26" t="inlineStr">
        <is>
          <t>2025-09-30</t>
        </is>
      </c>
      <c r="F70" s="26" t="inlineStr">
        <is>
          <t>2028-09-30</t>
        </is>
      </c>
      <c r="G70" s="28" t="n">
        <v>36</v>
      </c>
      <c r="H70" s="29" t="n">
        <v>263715.52</v>
      </c>
      <c r="I70" s="29">
        <f>ROUND(249298.95 * 'Resumen_Cartera'!$Q70, 2)</f>
        <v/>
      </c>
      <c r="J70" s="29">
        <f>IF(Saldos_Capital_Mensual!I70&gt;0, ROUND(Saldos_Capital_Mensual!I70 * 'Resumen_Cartera'!$Q70, 2), "")</f>
        <v/>
      </c>
      <c r="K70" s="29">
        <f>IF(Saldos_Capital_Mensual!J70&gt;0, ROUND(Saldos_Capital_Mensual!J70 * 'Resumen_Cartera'!$Q70, 2), "")</f>
        <v/>
      </c>
      <c r="L70" s="29">
        <f>IF(Saldos_Capital_Mensual!K70&gt;0, ROUND(Saldos_Capital_Mensual!K70 * 'Resumen_Cartera'!$Q70, 2), "")</f>
        <v/>
      </c>
      <c r="M70" s="29">
        <f>IF(Saldos_Capital_Mensual!L70&gt;0, ROUND(Saldos_Capital_Mensual!L70 * 'Resumen_Cartera'!$Q70, 2), "")</f>
        <v/>
      </c>
      <c r="N70" s="29">
        <f>IF(Saldos_Capital_Mensual!M70&gt;0, ROUND(Saldos_Capital_Mensual!M70 * 'Resumen_Cartera'!$Q70, 2), "")</f>
        <v/>
      </c>
      <c r="O70" s="29">
        <f>IF(Saldos_Capital_Mensual!N70&gt;0, ROUND(Saldos_Capital_Mensual!N70 * 'Resumen_Cartera'!$Q70, 2), "")</f>
        <v/>
      </c>
      <c r="P70" s="29">
        <f>IF(Saldos_Capital_Mensual!O70&gt;0, ROUND(Saldos_Capital_Mensual!O70 * 'Resumen_Cartera'!$Q70, 2), "")</f>
        <v/>
      </c>
      <c r="Q70" s="29">
        <f>IF(Saldos_Capital_Mensual!P70&gt;0, ROUND(Saldos_Capital_Mensual!P70 * 'Resumen_Cartera'!$Q70, 2), "")</f>
        <v/>
      </c>
      <c r="R70" s="29">
        <f>IF(Saldos_Capital_Mensual!Q70&gt;0, ROUND(Saldos_Capital_Mensual!Q70 * 'Resumen_Cartera'!$Q70, 2), "")</f>
        <v/>
      </c>
      <c r="S70" s="29">
        <f>IF(Saldos_Capital_Mensual!R70&gt;0, ROUND(Saldos_Capital_Mensual!R70 * 'Resumen_Cartera'!$Q70, 2), "")</f>
        <v/>
      </c>
      <c r="T70" s="29">
        <f>IF(Saldos_Capital_Mensual!S70&gt;0, ROUND(Saldos_Capital_Mensual!S70 * 'Resumen_Cartera'!$Q70, 2), "")</f>
        <v/>
      </c>
      <c r="U70" s="29">
        <f>SUM(I70:T70)</f>
        <v/>
      </c>
    </row>
    <row r="71">
      <c r="A71" s="20" t="inlineStr">
        <is>
          <t>0612-0003</t>
        </is>
      </c>
      <c r="B71" s="21" t="inlineStr">
        <is>
          <t>Distribuidora Lopez Moctezuma Sa de Cv</t>
        </is>
      </c>
      <c r="C71" s="21" t="inlineStr">
        <is>
          <t>Mitsubishi Xpander 2026</t>
        </is>
      </c>
      <c r="D71" s="20" t="inlineStr">
        <is>
          <t>ACTIVO</t>
        </is>
      </c>
      <c r="E71" s="20" t="inlineStr">
        <is>
          <t>2026-07-31</t>
        </is>
      </c>
      <c r="F71" s="20" t="inlineStr">
        <is>
          <t>2030-07-31</t>
        </is>
      </c>
      <c r="G71" s="22" t="n">
        <v>48</v>
      </c>
      <c r="H71" s="23" t="n">
        <v>348642.15</v>
      </c>
      <c r="I71" s="23" t="inlineStr"/>
      <c r="J71" s="23" t="inlineStr"/>
      <c r="K71" s="23" t="inlineStr"/>
      <c r="L71" s="23" t="inlineStr"/>
      <c r="M71" s="23" t="inlineStr"/>
      <c r="N71" s="23" t="inlineStr"/>
      <c r="O71" s="23">
        <f>ROUND('Resumen_Cartera'!$K71 * 'Resumen_Cartera'!$Q71, 2)</f>
        <v/>
      </c>
      <c r="P71" s="23">
        <f>IF(Saldos_Capital_Mensual!O71&gt;0, ROUND(Saldos_Capital_Mensual!O71 * 'Resumen_Cartera'!$Q71, 2), "")</f>
        <v/>
      </c>
      <c r="Q71" s="23">
        <f>IF(Saldos_Capital_Mensual!P71&gt;0, ROUND(Saldos_Capital_Mensual!P71 * 'Resumen_Cartera'!$Q71, 2), "")</f>
        <v/>
      </c>
      <c r="R71" s="23">
        <f>IF(Saldos_Capital_Mensual!Q71&gt;0, ROUND(Saldos_Capital_Mensual!Q71 * 'Resumen_Cartera'!$Q71, 2), "")</f>
        <v/>
      </c>
      <c r="S71" s="23">
        <f>IF(Saldos_Capital_Mensual!R71&gt;0, ROUND(Saldos_Capital_Mensual!R71 * 'Resumen_Cartera'!$Q71, 2), "")</f>
        <v/>
      </c>
      <c r="T71" s="23">
        <f>IF(Saldos_Capital_Mensual!S71&gt;0, ROUND(Saldos_Capital_Mensual!S71 * 'Resumen_Cartera'!$Q71, 2), "")</f>
        <v/>
      </c>
      <c r="U71" s="23">
        <f>SUM(I71:T71)</f>
        <v/>
      </c>
    </row>
    <row r="72">
      <c r="A72" s="26" t="inlineStr">
        <is>
          <t>0616-0002</t>
        </is>
      </c>
      <c r="B72" s="27" t="inlineStr">
        <is>
          <t>Commerce and Technology Connection Sas de Cv</t>
        </is>
      </c>
      <c r="C72" s="27" t="inlineStr">
        <is>
          <t>RAM 700 BIG HORN</t>
        </is>
      </c>
      <c r="D72" s="26" t="inlineStr">
        <is>
          <t>ACTIVO</t>
        </is>
      </c>
      <c r="E72" s="26" t="inlineStr">
        <is>
          <t>2024-02-16</t>
        </is>
      </c>
      <c r="F72" s="26" t="inlineStr">
        <is>
          <t>2027-02-16</t>
        </is>
      </c>
      <c r="G72" s="28" t="n">
        <v>36</v>
      </c>
      <c r="H72" s="29" t="n">
        <v>191327.59</v>
      </c>
      <c r="I72" s="29">
        <f>ROUND(128256.81 * 'Resumen_Cartera'!$Q72, 2)</f>
        <v/>
      </c>
      <c r="J72" s="29">
        <f>IF(Saldos_Capital_Mensual!I72&gt;0, ROUND(Saldos_Capital_Mensual!I72 * 'Resumen_Cartera'!$Q72, 2), "")</f>
        <v/>
      </c>
      <c r="K72" s="29">
        <f>IF(Saldos_Capital_Mensual!J72&gt;0, ROUND(Saldos_Capital_Mensual!J72 * 'Resumen_Cartera'!$Q72, 2), "")</f>
        <v/>
      </c>
      <c r="L72" s="29">
        <f>IF(Saldos_Capital_Mensual!K72&gt;0, ROUND(Saldos_Capital_Mensual!K72 * 'Resumen_Cartera'!$Q72, 2), "")</f>
        <v/>
      </c>
      <c r="M72" s="29">
        <f>IF(Saldos_Capital_Mensual!L72&gt;0, ROUND(Saldos_Capital_Mensual!L72 * 'Resumen_Cartera'!$Q72, 2), "")</f>
        <v/>
      </c>
      <c r="N72" s="29">
        <f>IF(Saldos_Capital_Mensual!M72&gt;0, ROUND(Saldos_Capital_Mensual!M72 * 'Resumen_Cartera'!$Q72, 2), "")</f>
        <v/>
      </c>
      <c r="O72" s="29">
        <f>IF(Saldos_Capital_Mensual!N72&gt;0, ROUND(Saldos_Capital_Mensual!N72 * 'Resumen_Cartera'!$Q72, 2), "")</f>
        <v/>
      </c>
      <c r="P72" s="29">
        <f>IF(Saldos_Capital_Mensual!O72&gt;0, ROUND(Saldos_Capital_Mensual!O72 * 'Resumen_Cartera'!$Q72, 2), "")</f>
        <v/>
      </c>
      <c r="Q72" s="29">
        <f>IF(Saldos_Capital_Mensual!P72&gt;0, ROUND(Saldos_Capital_Mensual!P72 * 'Resumen_Cartera'!$Q72, 2), "")</f>
        <v/>
      </c>
      <c r="R72" s="29">
        <f>IF(Saldos_Capital_Mensual!Q72&gt;0, ROUND(Saldos_Capital_Mensual!Q72 * 'Resumen_Cartera'!$Q72, 2), "")</f>
        <v/>
      </c>
      <c r="S72" s="29">
        <f>IF(Saldos_Capital_Mensual!R72&gt;0, ROUND(Saldos_Capital_Mensual!R72 * 'Resumen_Cartera'!$Q72, 2), "")</f>
        <v/>
      </c>
      <c r="T72" s="29">
        <f>IF(Saldos_Capital_Mensual!S72&gt;0, ROUND(Saldos_Capital_Mensual!S72 * 'Resumen_Cartera'!$Q72, 2), "")</f>
        <v/>
      </c>
      <c r="U72" s="29">
        <f>SUM(I72:T72)</f>
        <v/>
      </c>
    </row>
    <row r="73">
      <c r="A73" s="20" t="inlineStr">
        <is>
          <t>0616-0003</t>
        </is>
      </c>
      <c r="B73" s="21" t="inlineStr">
        <is>
          <t>Commerce and Technology Connection Sas de Cv</t>
        </is>
      </c>
      <c r="C73" s="21" t="inlineStr">
        <is>
          <t>FASTBACK</t>
        </is>
      </c>
      <c r="D73" s="20" t="inlineStr">
        <is>
          <t>ACTIVO</t>
        </is>
      </c>
      <c r="E73" s="20" t="inlineStr">
        <is>
          <t>2024-02-23</t>
        </is>
      </c>
      <c r="F73" s="20" t="inlineStr">
        <is>
          <t>2027-02-23</t>
        </is>
      </c>
      <c r="G73" s="22" t="n">
        <v>36</v>
      </c>
      <c r="H73" s="23" t="n">
        <v>295146.55</v>
      </c>
      <c r="I73" s="23">
        <f>ROUND(190869.28 * 'Resumen_Cartera'!$Q73, 2)</f>
        <v/>
      </c>
      <c r="J73" s="23">
        <f>IF(Saldos_Capital_Mensual!I73&gt;0, ROUND(Saldos_Capital_Mensual!I73 * 'Resumen_Cartera'!$Q73, 2), "")</f>
        <v/>
      </c>
      <c r="K73" s="23">
        <f>IF(Saldos_Capital_Mensual!J73&gt;0, ROUND(Saldos_Capital_Mensual!J73 * 'Resumen_Cartera'!$Q73, 2), "")</f>
        <v/>
      </c>
      <c r="L73" s="23">
        <f>IF(Saldos_Capital_Mensual!K73&gt;0, ROUND(Saldos_Capital_Mensual!K73 * 'Resumen_Cartera'!$Q73, 2), "")</f>
        <v/>
      </c>
      <c r="M73" s="23">
        <f>IF(Saldos_Capital_Mensual!L73&gt;0, ROUND(Saldos_Capital_Mensual!L73 * 'Resumen_Cartera'!$Q73, 2), "")</f>
        <v/>
      </c>
      <c r="N73" s="23">
        <f>IF(Saldos_Capital_Mensual!M73&gt;0, ROUND(Saldos_Capital_Mensual!M73 * 'Resumen_Cartera'!$Q73, 2), "")</f>
        <v/>
      </c>
      <c r="O73" s="23">
        <f>IF(Saldos_Capital_Mensual!N73&gt;0, ROUND(Saldos_Capital_Mensual!N73 * 'Resumen_Cartera'!$Q73, 2), "")</f>
        <v/>
      </c>
      <c r="P73" s="23">
        <f>IF(Saldos_Capital_Mensual!O73&gt;0, ROUND(Saldos_Capital_Mensual!O73 * 'Resumen_Cartera'!$Q73, 2), "")</f>
        <v/>
      </c>
      <c r="Q73" s="23">
        <f>IF(Saldos_Capital_Mensual!P73&gt;0, ROUND(Saldos_Capital_Mensual!P73 * 'Resumen_Cartera'!$Q73, 2), "")</f>
        <v/>
      </c>
      <c r="R73" s="23">
        <f>IF(Saldos_Capital_Mensual!Q73&gt;0, ROUND(Saldos_Capital_Mensual!Q73 * 'Resumen_Cartera'!$Q73, 2), "")</f>
        <v/>
      </c>
      <c r="S73" s="23">
        <f>IF(Saldos_Capital_Mensual!R73&gt;0, ROUND(Saldos_Capital_Mensual!R73 * 'Resumen_Cartera'!$Q73, 2), "")</f>
        <v/>
      </c>
      <c r="T73" s="23">
        <f>IF(Saldos_Capital_Mensual!S73&gt;0, ROUND(Saldos_Capital_Mensual!S73 * 'Resumen_Cartera'!$Q73, 2), "")</f>
        <v/>
      </c>
      <c r="U73" s="23">
        <f>SUM(I73:T73)</f>
        <v/>
      </c>
    </row>
    <row r="74">
      <c r="A74" s="26" t="inlineStr">
        <is>
          <t>0616-0004</t>
        </is>
      </c>
      <c r="B74" s="27" t="inlineStr">
        <is>
          <t>Commerce and Technology Connections Sas de Cv</t>
        </is>
      </c>
      <c r="C74" s="27" t="inlineStr">
        <is>
          <t>Argo</t>
        </is>
      </c>
      <c r="D74" s="26" t="inlineStr">
        <is>
          <t>ACTIVO</t>
        </is>
      </c>
      <c r="E74" s="26" t="inlineStr">
        <is>
          <t>2024-05-20</t>
        </is>
      </c>
      <c r="F74" s="26" t="inlineStr">
        <is>
          <t>2027-05-20</t>
        </is>
      </c>
      <c r="G74" s="28" t="n">
        <v>36</v>
      </c>
      <c r="H74" s="29" t="n">
        <v>178448.27</v>
      </c>
      <c r="I74" s="29">
        <f>ROUND(118425.58 * 'Resumen_Cartera'!$Q74, 2)</f>
        <v/>
      </c>
      <c r="J74" s="29">
        <f>IF(Saldos_Capital_Mensual!I74&gt;0, ROUND(Saldos_Capital_Mensual!I74 * 'Resumen_Cartera'!$Q74, 2), "")</f>
        <v/>
      </c>
      <c r="K74" s="29">
        <f>IF(Saldos_Capital_Mensual!J74&gt;0, ROUND(Saldos_Capital_Mensual!J74 * 'Resumen_Cartera'!$Q74, 2), "")</f>
        <v/>
      </c>
      <c r="L74" s="29">
        <f>IF(Saldos_Capital_Mensual!K74&gt;0, ROUND(Saldos_Capital_Mensual!K74 * 'Resumen_Cartera'!$Q74, 2), "")</f>
        <v/>
      </c>
      <c r="M74" s="29">
        <f>IF(Saldos_Capital_Mensual!L74&gt;0, ROUND(Saldos_Capital_Mensual!L74 * 'Resumen_Cartera'!$Q74, 2), "")</f>
        <v/>
      </c>
      <c r="N74" s="29">
        <f>IF(Saldos_Capital_Mensual!M74&gt;0, ROUND(Saldos_Capital_Mensual!M74 * 'Resumen_Cartera'!$Q74, 2), "")</f>
        <v/>
      </c>
      <c r="O74" s="29">
        <f>IF(Saldos_Capital_Mensual!N74&gt;0, ROUND(Saldos_Capital_Mensual!N74 * 'Resumen_Cartera'!$Q74, 2), "")</f>
        <v/>
      </c>
      <c r="P74" s="29">
        <f>IF(Saldos_Capital_Mensual!O74&gt;0, ROUND(Saldos_Capital_Mensual!O74 * 'Resumen_Cartera'!$Q74, 2), "")</f>
        <v/>
      </c>
      <c r="Q74" s="29">
        <f>IF(Saldos_Capital_Mensual!P74&gt;0, ROUND(Saldos_Capital_Mensual!P74 * 'Resumen_Cartera'!$Q74, 2), "")</f>
        <v/>
      </c>
      <c r="R74" s="29">
        <f>IF(Saldos_Capital_Mensual!Q74&gt;0, ROUND(Saldos_Capital_Mensual!Q74 * 'Resumen_Cartera'!$Q74, 2), "")</f>
        <v/>
      </c>
      <c r="S74" s="29">
        <f>IF(Saldos_Capital_Mensual!R74&gt;0, ROUND(Saldos_Capital_Mensual!R74 * 'Resumen_Cartera'!$Q74, 2), "")</f>
        <v/>
      </c>
      <c r="T74" s="29">
        <f>IF(Saldos_Capital_Mensual!S74&gt;0, ROUND(Saldos_Capital_Mensual!S74 * 'Resumen_Cartera'!$Q74, 2), "")</f>
        <v/>
      </c>
      <c r="U74" s="29">
        <f>SUM(I74:T74)</f>
        <v/>
      </c>
    </row>
    <row r="75">
      <c r="A75" s="20" t="inlineStr">
        <is>
          <t>0616-0005</t>
        </is>
      </c>
      <c r="B75" s="21" t="inlineStr">
        <is>
          <t>Commerce and Technology Connection Sas de Cv</t>
        </is>
      </c>
      <c r="C75" s="21" t="inlineStr">
        <is>
          <t>Journey GT</t>
        </is>
      </c>
      <c r="D75" s="20" t="inlineStr">
        <is>
          <t>ACTIVO</t>
        </is>
      </c>
      <c r="E75" s="20" t="inlineStr">
        <is>
          <t>2024-07-30</t>
        </is>
      </c>
      <c r="F75" s="20" t="inlineStr">
        <is>
          <t>2027-07-30</t>
        </is>
      </c>
      <c r="G75" s="22" t="n">
        <v>36</v>
      </c>
      <c r="H75" s="23" t="n">
        <v>397008.62</v>
      </c>
      <c r="I75" s="23">
        <f>ROUND(293627.86 * 'Resumen_Cartera'!$Q75, 2)</f>
        <v/>
      </c>
      <c r="J75" s="23">
        <f>IF(Saldos_Capital_Mensual!I75&gt;0, ROUND(Saldos_Capital_Mensual!I75 * 'Resumen_Cartera'!$Q75, 2), "")</f>
        <v/>
      </c>
      <c r="K75" s="23">
        <f>IF(Saldos_Capital_Mensual!J75&gt;0, ROUND(Saldos_Capital_Mensual!J75 * 'Resumen_Cartera'!$Q75, 2), "")</f>
        <v/>
      </c>
      <c r="L75" s="23">
        <f>IF(Saldos_Capital_Mensual!K75&gt;0, ROUND(Saldos_Capital_Mensual!K75 * 'Resumen_Cartera'!$Q75, 2), "")</f>
        <v/>
      </c>
      <c r="M75" s="23">
        <f>IF(Saldos_Capital_Mensual!L75&gt;0, ROUND(Saldos_Capital_Mensual!L75 * 'Resumen_Cartera'!$Q75, 2), "")</f>
        <v/>
      </c>
      <c r="N75" s="23">
        <f>IF(Saldos_Capital_Mensual!M75&gt;0, ROUND(Saldos_Capital_Mensual!M75 * 'Resumen_Cartera'!$Q75, 2), "")</f>
        <v/>
      </c>
      <c r="O75" s="23">
        <f>IF(Saldos_Capital_Mensual!N75&gt;0, ROUND(Saldos_Capital_Mensual!N75 * 'Resumen_Cartera'!$Q75, 2), "")</f>
        <v/>
      </c>
      <c r="P75" s="23">
        <f>IF(Saldos_Capital_Mensual!O75&gt;0, ROUND(Saldos_Capital_Mensual!O75 * 'Resumen_Cartera'!$Q75, 2), "")</f>
        <v/>
      </c>
      <c r="Q75" s="23">
        <f>IF(Saldos_Capital_Mensual!P75&gt;0, ROUND(Saldos_Capital_Mensual!P75 * 'Resumen_Cartera'!$Q75, 2), "")</f>
        <v/>
      </c>
      <c r="R75" s="23">
        <f>IF(Saldos_Capital_Mensual!Q75&gt;0, ROUND(Saldos_Capital_Mensual!Q75 * 'Resumen_Cartera'!$Q75, 2), "")</f>
        <v/>
      </c>
      <c r="S75" s="23">
        <f>IF(Saldos_Capital_Mensual!R75&gt;0, ROUND(Saldos_Capital_Mensual!R75 * 'Resumen_Cartera'!$Q75, 2), "")</f>
        <v/>
      </c>
      <c r="T75" s="23">
        <f>IF(Saldos_Capital_Mensual!S75&gt;0, ROUND(Saldos_Capital_Mensual!S75 * 'Resumen_Cartera'!$Q75, 2), "")</f>
        <v/>
      </c>
      <c r="U75" s="23">
        <f>SUM(I75:T75)</f>
        <v/>
      </c>
    </row>
    <row r="76">
      <c r="A76" s="26" t="inlineStr">
        <is>
          <t>0618-0001</t>
        </is>
      </c>
      <c r="B76" s="27" t="inlineStr">
        <is>
          <t>Juan Pablo Rodriguez Garcia</t>
        </is>
      </c>
      <c r="C76" s="27" t="inlineStr">
        <is>
          <t>JT MOJAVE</t>
        </is>
      </c>
      <c r="D76" s="26" t="inlineStr">
        <is>
          <t>ACTIVO</t>
        </is>
      </c>
      <c r="E76" s="26" t="inlineStr">
        <is>
          <t>2023-06-16</t>
        </is>
      </c>
      <c r="F76" s="26" t="inlineStr">
        <is>
          <t>2027-06-16</t>
        </is>
      </c>
      <c r="G76" s="28" t="n">
        <v>48</v>
      </c>
      <c r="H76" s="29" t="n">
        <v>1138887.93</v>
      </c>
      <c r="I76" s="29">
        <f>ROUND(722525.06 * 'Resumen_Cartera'!$Q76, 2)</f>
        <v/>
      </c>
      <c r="J76" s="29">
        <f>IF(Saldos_Capital_Mensual!I76&gt;0, ROUND(Saldos_Capital_Mensual!I76 * 'Resumen_Cartera'!$Q76, 2), "")</f>
        <v/>
      </c>
      <c r="K76" s="29">
        <f>IF(Saldos_Capital_Mensual!J76&gt;0, ROUND(Saldos_Capital_Mensual!J76 * 'Resumen_Cartera'!$Q76, 2), "")</f>
        <v/>
      </c>
      <c r="L76" s="29">
        <f>IF(Saldos_Capital_Mensual!K76&gt;0, ROUND(Saldos_Capital_Mensual!K76 * 'Resumen_Cartera'!$Q76, 2), "")</f>
        <v/>
      </c>
      <c r="M76" s="29">
        <f>IF(Saldos_Capital_Mensual!L76&gt;0, ROUND(Saldos_Capital_Mensual!L76 * 'Resumen_Cartera'!$Q76, 2), "")</f>
        <v/>
      </c>
      <c r="N76" s="29">
        <f>IF(Saldos_Capital_Mensual!M76&gt;0, ROUND(Saldos_Capital_Mensual!M76 * 'Resumen_Cartera'!$Q76, 2), "")</f>
        <v/>
      </c>
      <c r="O76" s="29">
        <f>IF(Saldos_Capital_Mensual!N76&gt;0, ROUND(Saldos_Capital_Mensual!N76 * 'Resumen_Cartera'!$Q76, 2), "")</f>
        <v/>
      </c>
      <c r="P76" s="29">
        <f>IF(Saldos_Capital_Mensual!O76&gt;0, ROUND(Saldos_Capital_Mensual!O76 * 'Resumen_Cartera'!$Q76, 2), "")</f>
        <v/>
      </c>
      <c r="Q76" s="29">
        <f>IF(Saldos_Capital_Mensual!P76&gt;0, ROUND(Saldos_Capital_Mensual!P76 * 'Resumen_Cartera'!$Q76, 2), "")</f>
        <v/>
      </c>
      <c r="R76" s="29">
        <f>IF(Saldos_Capital_Mensual!Q76&gt;0, ROUND(Saldos_Capital_Mensual!Q76 * 'Resumen_Cartera'!$Q76, 2), "")</f>
        <v/>
      </c>
      <c r="S76" s="29">
        <f>IF(Saldos_Capital_Mensual!R76&gt;0, ROUND(Saldos_Capital_Mensual!R76 * 'Resumen_Cartera'!$Q76, 2), "")</f>
        <v/>
      </c>
      <c r="T76" s="29">
        <f>IF(Saldos_Capital_Mensual!S76&gt;0, ROUND(Saldos_Capital_Mensual!S76 * 'Resumen_Cartera'!$Q76, 2), "")</f>
        <v/>
      </c>
      <c r="U76" s="29">
        <f>SUM(I76:T76)</f>
        <v/>
      </c>
    </row>
    <row r="77">
      <c r="A77" s="20" t="inlineStr">
        <is>
          <t>0619-0002</t>
        </is>
      </c>
      <c r="B77" s="21" t="inlineStr">
        <is>
          <t>Horacio de la Vega Flores</t>
        </is>
      </c>
      <c r="C77" s="21" t="inlineStr">
        <is>
          <t>Bronco Sport</t>
        </is>
      </c>
      <c r="D77" s="20" t="inlineStr">
        <is>
          <t>ACTIVO</t>
        </is>
      </c>
      <c r="E77" s="20" t="inlineStr">
        <is>
          <t>2025-09-11</t>
        </is>
      </c>
      <c r="F77" s="20" t="inlineStr">
        <is>
          <t>2028-09-11</t>
        </is>
      </c>
      <c r="G77" s="22" t="n">
        <v>36</v>
      </c>
      <c r="H77" s="23" t="n">
        <v>470689.65</v>
      </c>
      <c r="I77" s="23">
        <f>ROUND(437800.24 * 'Resumen_Cartera'!$Q77, 2)</f>
        <v/>
      </c>
      <c r="J77" s="23">
        <f>IF(Saldos_Capital_Mensual!I77&gt;0, ROUND(Saldos_Capital_Mensual!I77 * 'Resumen_Cartera'!$Q77, 2), "")</f>
        <v/>
      </c>
      <c r="K77" s="23">
        <f>IF(Saldos_Capital_Mensual!J77&gt;0, ROUND(Saldos_Capital_Mensual!J77 * 'Resumen_Cartera'!$Q77, 2), "")</f>
        <v/>
      </c>
      <c r="L77" s="23">
        <f>IF(Saldos_Capital_Mensual!K77&gt;0, ROUND(Saldos_Capital_Mensual!K77 * 'Resumen_Cartera'!$Q77, 2), "")</f>
        <v/>
      </c>
      <c r="M77" s="23">
        <f>IF(Saldos_Capital_Mensual!L77&gt;0, ROUND(Saldos_Capital_Mensual!L77 * 'Resumen_Cartera'!$Q77, 2), "")</f>
        <v/>
      </c>
      <c r="N77" s="23">
        <f>IF(Saldos_Capital_Mensual!M77&gt;0, ROUND(Saldos_Capital_Mensual!M77 * 'Resumen_Cartera'!$Q77, 2), "")</f>
        <v/>
      </c>
      <c r="O77" s="23">
        <f>IF(Saldos_Capital_Mensual!N77&gt;0, ROUND(Saldos_Capital_Mensual!N77 * 'Resumen_Cartera'!$Q77, 2), "")</f>
        <v/>
      </c>
      <c r="P77" s="23">
        <f>IF(Saldos_Capital_Mensual!O77&gt;0, ROUND(Saldos_Capital_Mensual!O77 * 'Resumen_Cartera'!$Q77, 2), "")</f>
        <v/>
      </c>
      <c r="Q77" s="23">
        <f>IF(Saldos_Capital_Mensual!P77&gt;0, ROUND(Saldos_Capital_Mensual!P77 * 'Resumen_Cartera'!$Q77, 2), "")</f>
        <v/>
      </c>
      <c r="R77" s="23">
        <f>IF(Saldos_Capital_Mensual!Q77&gt;0, ROUND(Saldos_Capital_Mensual!Q77 * 'Resumen_Cartera'!$Q77, 2), "")</f>
        <v/>
      </c>
      <c r="S77" s="23">
        <f>IF(Saldos_Capital_Mensual!R77&gt;0, ROUND(Saldos_Capital_Mensual!R77 * 'Resumen_Cartera'!$Q77, 2), "")</f>
        <v/>
      </c>
      <c r="T77" s="23">
        <f>IF(Saldos_Capital_Mensual!S77&gt;0, ROUND(Saldos_Capital_Mensual!S77 * 'Resumen_Cartera'!$Q77, 2), "")</f>
        <v/>
      </c>
      <c r="U77" s="23">
        <f>SUM(I77:T77)</f>
        <v/>
      </c>
    </row>
    <row r="78">
      <c r="A78" s="26" t="inlineStr">
        <is>
          <t>0620-0001</t>
        </is>
      </c>
      <c r="B78" s="27" t="inlineStr">
        <is>
          <t>Desarrollos Romo Srl de Cv</t>
        </is>
      </c>
      <c r="C78" s="27" t="inlineStr">
        <is>
          <t>RAM 700 BIG HORN</t>
        </is>
      </c>
      <c r="D78" s="26" t="inlineStr">
        <is>
          <t>ACTIVO</t>
        </is>
      </c>
      <c r="E78" s="26" t="inlineStr">
        <is>
          <t>2023-07-20</t>
        </is>
      </c>
      <c r="F78" s="26" t="inlineStr">
        <is>
          <t>2027-07-20</t>
        </is>
      </c>
      <c r="G78" s="28" t="n">
        <v>48</v>
      </c>
      <c r="H78" s="29" t="n">
        <v>279232.76</v>
      </c>
      <c r="I78" s="29">
        <f>ROUND(185801.82 * 'Resumen_Cartera'!$Q78, 2)</f>
        <v/>
      </c>
      <c r="J78" s="29">
        <f>IF(Saldos_Capital_Mensual!I78&gt;0, ROUND(Saldos_Capital_Mensual!I78 * 'Resumen_Cartera'!$Q78, 2), "")</f>
        <v/>
      </c>
      <c r="K78" s="29">
        <f>IF(Saldos_Capital_Mensual!J78&gt;0, ROUND(Saldos_Capital_Mensual!J78 * 'Resumen_Cartera'!$Q78, 2), "")</f>
        <v/>
      </c>
      <c r="L78" s="29">
        <f>IF(Saldos_Capital_Mensual!K78&gt;0, ROUND(Saldos_Capital_Mensual!K78 * 'Resumen_Cartera'!$Q78, 2), "")</f>
        <v/>
      </c>
      <c r="M78" s="29">
        <f>IF(Saldos_Capital_Mensual!L78&gt;0, ROUND(Saldos_Capital_Mensual!L78 * 'Resumen_Cartera'!$Q78, 2), "")</f>
        <v/>
      </c>
      <c r="N78" s="29">
        <f>IF(Saldos_Capital_Mensual!M78&gt;0, ROUND(Saldos_Capital_Mensual!M78 * 'Resumen_Cartera'!$Q78, 2), "")</f>
        <v/>
      </c>
      <c r="O78" s="29">
        <f>IF(Saldos_Capital_Mensual!N78&gt;0, ROUND(Saldos_Capital_Mensual!N78 * 'Resumen_Cartera'!$Q78, 2), "")</f>
        <v/>
      </c>
      <c r="P78" s="29">
        <f>IF(Saldos_Capital_Mensual!O78&gt;0, ROUND(Saldos_Capital_Mensual!O78 * 'Resumen_Cartera'!$Q78, 2), "")</f>
        <v/>
      </c>
      <c r="Q78" s="29">
        <f>IF(Saldos_Capital_Mensual!P78&gt;0, ROUND(Saldos_Capital_Mensual!P78 * 'Resumen_Cartera'!$Q78, 2), "")</f>
        <v/>
      </c>
      <c r="R78" s="29">
        <f>IF(Saldos_Capital_Mensual!Q78&gt;0, ROUND(Saldos_Capital_Mensual!Q78 * 'Resumen_Cartera'!$Q78, 2), "")</f>
        <v/>
      </c>
      <c r="S78" s="29">
        <f>IF(Saldos_Capital_Mensual!R78&gt;0, ROUND(Saldos_Capital_Mensual!R78 * 'Resumen_Cartera'!$Q78, 2), "")</f>
        <v/>
      </c>
      <c r="T78" s="29">
        <f>IF(Saldos_Capital_Mensual!S78&gt;0, ROUND(Saldos_Capital_Mensual!S78 * 'Resumen_Cartera'!$Q78, 2), "")</f>
        <v/>
      </c>
      <c r="U78" s="29">
        <f>SUM(I78:T78)</f>
        <v/>
      </c>
    </row>
    <row r="79">
      <c r="A79" s="20" t="inlineStr">
        <is>
          <t>0620-0002</t>
        </is>
      </c>
      <c r="B79" s="21" t="inlineStr">
        <is>
          <t>Desarrollos Romo Srl de Cv</t>
        </is>
      </c>
      <c r="C79" s="21" t="inlineStr">
        <is>
          <t>RAM 700 BIG HORN</t>
        </is>
      </c>
      <c r="D79" s="20" t="inlineStr">
        <is>
          <t>ACTIVO</t>
        </is>
      </c>
      <c r="E79" s="20" t="inlineStr">
        <is>
          <t>2023-07-20</t>
        </is>
      </c>
      <c r="F79" s="20" t="inlineStr">
        <is>
          <t>2027-07-20</t>
        </is>
      </c>
      <c r="G79" s="22" t="n">
        <v>48</v>
      </c>
      <c r="H79" s="23" t="n">
        <v>279232.76</v>
      </c>
      <c r="I79" s="23">
        <f>ROUND(185801.82 * 'Resumen_Cartera'!$Q79, 2)</f>
        <v/>
      </c>
      <c r="J79" s="23">
        <f>IF(Saldos_Capital_Mensual!I79&gt;0, ROUND(Saldos_Capital_Mensual!I79 * 'Resumen_Cartera'!$Q79, 2), "")</f>
        <v/>
      </c>
      <c r="K79" s="23">
        <f>IF(Saldos_Capital_Mensual!J79&gt;0, ROUND(Saldos_Capital_Mensual!J79 * 'Resumen_Cartera'!$Q79, 2), "")</f>
        <v/>
      </c>
      <c r="L79" s="23">
        <f>IF(Saldos_Capital_Mensual!K79&gt;0, ROUND(Saldos_Capital_Mensual!K79 * 'Resumen_Cartera'!$Q79, 2), "")</f>
        <v/>
      </c>
      <c r="M79" s="23">
        <f>IF(Saldos_Capital_Mensual!L79&gt;0, ROUND(Saldos_Capital_Mensual!L79 * 'Resumen_Cartera'!$Q79, 2), "")</f>
        <v/>
      </c>
      <c r="N79" s="23">
        <f>IF(Saldos_Capital_Mensual!M79&gt;0, ROUND(Saldos_Capital_Mensual!M79 * 'Resumen_Cartera'!$Q79, 2), "")</f>
        <v/>
      </c>
      <c r="O79" s="23">
        <f>IF(Saldos_Capital_Mensual!N79&gt;0, ROUND(Saldos_Capital_Mensual!N79 * 'Resumen_Cartera'!$Q79, 2), "")</f>
        <v/>
      </c>
      <c r="P79" s="23">
        <f>IF(Saldos_Capital_Mensual!O79&gt;0, ROUND(Saldos_Capital_Mensual!O79 * 'Resumen_Cartera'!$Q79, 2), "")</f>
        <v/>
      </c>
      <c r="Q79" s="23">
        <f>IF(Saldos_Capital_Mensual!P79&gt;0, ROUND(Saldos_Capital_Mensual!P79 * 'Resumen_Cartera'!$Q79, 2), "")</f>
        <v/>
      </c>
      <c r="R79" s="23">
        <f>IF(Saldos_Capital_Mensual!Q79&gt;0, ROUND(Saldos_Capital_Mensual!Q79 * 'Resumen_Cartera'!$Q79, 2), "")</f>
        <v/>
      </c>
      <c r="S79" s="23">
        <f>IF(Saldos_Capital_Mensual!R79&gt;0, ROUND(Saldos_Capital_Mensual!R79 * 'Resumen_Cartera'!$Q79, 2), "")</f>
        <v/>
      </c>
      <c r="T79" s="23">
        <f>IF(Saldos_Capital_Mensual!S79&gt;0, ROUND(Saldos_Capital_Mensual!S79 * 'Resumen_Cartera'!$Q79, 2), "")</f>
        <v/>
      </c>
      <c r="U79" s="23">
        <f>SUM(I79:T79)</f>
        <v/>
      </c>
    </row>
    <row r="80">
      <c r="A80" s="26" t="inlineStr">
        <is>
          <t>0621-0008</t>
        </is>
      </c>
      <c r="B80" s="27" t="inlineStr">
        <is>
          <t>Luis Alberto Ponce Ruiz</t>
        </is>
      </c>
      <c r="C80" s="27" t="inlineStr">
        <is>
          <t>Hilux</t>
        </is>
      </c>
      <c r="D80" s="26" t="inlineStr">
        <is>
          <t>ACTIVO</t>
        </is>
      </c>
      <c r="E80" s="26" t="inlineStr">
        <is>
          <t>2025-10-30</t>
        </is>
      </c>
      <c r="F80" s="26" t="inlineStr">
        <is>
          <t>2026-10-30</t>
        </is>
      </c>
      <c r="G80" s="28" t="n">
        <v>12</v>
      </c>
      <c r="H80" s="29" t="n">
        <v>256758.62</v>
      </c>
      <c r="I80" s="29">
        <f>ROUND(208874.88 * 'Resumen_Cartera'!$Q80, 2)</f>
        <v/>
      </c>
      <c r="J80" s="29">
        <f>IF(Saldos_Capital_Mensual!I80&gt;0, ROUND(Saldos_Capital_Mensual!I80 * 'Resumen_Cartera'!$Q80, 2), "")</f>
        <v/>
      </c>
      <c r="K80" s="29">
        <f>IF(Saldos_Capital_Mensual!J80&gt;0, ROUND(Saldos_Capital_Mensual!J80 * 'Resumen_Cartera'!$Q80, 2), "")</f>
        <v/>
      </c>
      <c r="L80" s="29">
        <f>IF(Saldos_Capital_Mensual!K80&gt;0, ROUND(Saldos_Capital_Mensual!K80 * 'Resumen_Cartera'!$Q80, 2), "")</f>
        <v/>
      </c>
      <c r="M80" s="29">
        <f>IF(Saldos_Capital_Mensual!L80&gt;0, ROUND(Saldos_Capital_Mensual!L80 * 'Resumen_Cartera'!$Q80, 2), "")</f>
        <v/>
      </c>
      <c r="N80" s="29">
        <f>IF(Saldos_Capital_Mensual!M80&gt;0, ROUND(Saldos_Capital_Mensual!M80 * 'Resumen_Cartera'!$Q80, 2), "")</f>
        <v/>
      </c>
      <c r="O80" s="29">
        <f>IF(Saldos_Capital_Mensual!N80&gt;0, ROUND(Saldos_Capital_Mensual!N80 * 'Resumen_Cartera'!$Q80, 2), "")</f>
        <v/>
      </c>
      <c r="P80" s="29">
        <f>IF(Saldos_Capital_Mensual!O80&gt;0, ROUND(Saldos_Capital_Mensual!O80 * 'Resumen_Cartera'!$Q80, 2), "")</f>
        <v/>
      </c>
      <c r="Q80" s="29">
        <f>IF(Saldos_Capital_Mensual!P80&gt;0, ROUND(Saldos_Capital_Mensual!P80 * 'Resumen_Cartera'!$Q80, 2), "")</f>
        <v/>
      </c>
      <c r="R80" s="29" t="inlineStr"/>
      <c r="S80" s="29" t="inlineStr"/>
      <c r="T80" s="29" t="inlineStr"/>
      <c r="U80" s="29">
        <f>SUM(I80:T80)</f>
        <v/>
      </c>
    </row>
    <row r="81">
      <c r="A81" s="20" t="inlineStr">
        <is>
          <t>0623-0001</t>
        </is>
      </c>
      <c r="B81" s="21" t="inlineStr">
        <is>
          <t>Seguridad y Automatismos Profesionales de Occidente S de SRL de Cv</t>
        </is>
      </c>
      <c r="C81" s="21" t="inlineStr">
        <is>
          <t>RAM 700 BIG HORN</t>
        </is>
      </c>
      <c r="D81" s="20" t="inlineStr">
        <is>
          <t>ACTIVO</t>
        </is>
      </c>
      <c r="E81" s="20" t="inlineStr">
        <is>
          <t>2023-07-31</t>
        </is>
      </c>
      <c r="F81" s="20" t="inlineStr">
        <is>
          <t>2027-07-31</t>
        </is>
      </c>
      <c r="G81" s="22" t="n">
        <v>48</v>
      </c>
      <c r="H81" s="23" t="n">
        <v>283112.07</v>
      </c>
      <c r="I81" s="23">
        <f>ROUND(185655.38 * 'Resumen_Cartera'!$Q81, 2)</f>
        <v/>
      </c>
      <c r="J81" s="23">
        <f>IF(Saldos_Capital_Mensual!I81&gt;0, ROUND(Saldos_Capital_Mensual!I81 * 'Resumen_Cartera'!$Q81, 2), "")</f>
        <v/>
      </c>
      <c r="K81" s="23">
        <f>IF(Saldos_Capital_Mensual!J81&gt;0, ROUND(Saldos_Capital_Mensual!J81 * 'Resumen_Cartera'!$Q81, 2), "")</f>
        <v/>
      </c>
      <c r="L81" s="23">
        <f>IF(Saldos_Capital_Mensual!K81&gt;0, ROUND(Saldos_Capital_Mensual!K81 * 'Resumen_Cartera'!$Q81, 2), "")</f>
        <v/>
      </c>
      <c r="M81" s="23">
        <f>IF(Saldos_Capital_Mensual!L81&gt;0, ROUND(Saldos_Capital_Mensual!L81 * 'Resumen_Cartera'!$Q81, 2), "")</f>
        <v/>
      </c>
      <c r="N81" s="23">
        <f>IF(Saldos_Capital_Mensual!M81&gt;0, ROUND(Saldos_Capital_Mensual!M81 * 'Resumen_Cartera'!$Q81, 2), "")</f>
        <v/>
      </c>
      <c r="O81" s="23">
        <f>IF(Saldos_Capital_Mensual!N81&gt;0, ROUND(Saldos_Capital_Mensual!N81 * 'Resumen_Cartera'!$Q81, 2), "")</f>
        <v/>
      </c>
      <c r="P81" s="23">
        <f>IF(Saldos_Capital_Mensual!O81&gt;0, ROUND(Saldos_Capital_Mensual!O81 * 'Resumen_Cartera'!$Q81, 2), "")</f>
        <v/>
      </c>
      <c r="Q81" s="23">
        <f>IF(Saldos_Capital_Mensual!P81&gt;0, ROUND(Saldos_Capital_Mensual!P81 * 'Resumen_Cartera'!$Q81, 2), "")</f>
        <v/>
      </c>
      <c r="R81" s="23">
        <f>IF(Saldos_Capital_Mensual!Q81&gt;0, ROUND(Saldos_Capital_Mensual!Q81 * 'Resumen_Cartera'!$Q81, 2), "")</f>
        <v/>
      </c>
      <c r="S81" s="23">
        <f>IF(Saldos_Capital_Mensual!R81&gt;0, ROUND(Saldos_Capital_Mensual!R81 * 'Resumen_Cartera'!$Q81, 2), "")</f>
        <v/>
      </c>
      <c r="T81" s="23">
        <f>IF(Saldos_Capital_Mensual!S81&gt;0, ROUND(Saldos_Capital_Mensual!S81 * 'Resumen_Cartera'!$Q81, 2), "")</f>
        <v/>
      </c>
      <c r="U81" s="23">
        <f>SUM(I81:T81)</f>
        <v/>
      </c>
    </row>
    <row r="82">
      <c r="A82" s="26" t="inlineStr">
        <is>
          <t>0626-0001</t>
        </is>
      </c>
      <c r="B82" s="27" t="inlineStr">
        <is>
          <t>Hugo Ceja Moreno</t>
        </is>
      </c>
      <c r="C82" s="27" t="inlineStr">
        <is>
          <t>JT MOJAVE</t>
        </is>
      </c>
      <c r="D82" s="26" t="inlineStr">
        <is>
          <t>ACTIVO</t>
        </is>
      </c>
      <c r="E82" s="26" t="inlineStr">
        <is>
          <t>2023-08-18</t>
        </is>
      </c>
      <c r="F82" s="26" t="inlineStr">
        <is>
          <t>2027-08-18</t>
        </is>
      </c>
      <c r="G82" s="28" t="n">
        <v>48</v>
      </c>
      <c r="H82" s="29" t="n">
        <v>595810.34</v>
      </c>
      <c r="I82" s="29">
        <f>ROUND(387181.73 * 'Resumen_Cartera'!$Q82, 2)</f>
        <v/>
      </c>
      <c r="J82" s="29">
        <f>IF(Saldos_Capital_Mensual!I82&gt;0, ROUND(Saldos_Capital_Mensual!I82 * 'Resumen_Cartera'!$Q82, 2), "")</f>
        <v/>
      </c>
      <c r="K82" s="29">
        <f>IF(Saldos_Capital_Mensual!J82&gt;0, ROUND(Saldos_Capital_Mensual!J82 * 'Resumen_Cartera'!$Q82, 2), "")</f>
        <v/>
      </c>
      <c r="L82" s="29">
        <f>IF(Saldos_Capital_Mensual!K82&gt;0, ROUND(Saldos_Capital_Mensual!K82 * 'Resumen_Cartera'!$Q82, 2), "")</f>
        <v/>
      </c>
      <c r="M82" s="29">
        <f>IF(Saldos_Capital_Mensual!L82&gt;0, ROUND(Saldos_Capital_Mensual!L82 * 'Resumen_Cartera'!$Q82, 2), "")</f>
        <v/>
      </c>
      <c r="N82" s="29">
        <f>IF(Saldos_Capital_Mensual!M82&gt;0, ROUND(Saldos_Capital_Mensual!M82 * 'Resumen_Cartera'!$Q82, 2), "")</f>
        <v/>
      </c>
      <c r="O82" s="29">
        <f>IF(Saldos_Capital_Mensual!N82&gt;0, ROUND(Saldos_Capital_Mensual!N82 * 'Resumen_Cartera'!$Q82, 2), "")</f>
        <v/>
      </c>
      <c r="P82" s="29">
        <f>IF(Saldos_Capital_Mensual!O82&gt;0, ROUND(Saldos_Capital_Mensual!O82 * 'Resumen_Cartera'!$Q82, 2), "")</f>
        <v/>
      </c>
      <c r="Q82" s="29">
        <f>IF(Saldos_Capital_Mensual!P82&gt;0, ROUND(Saldos_Capital_Mensual!P82 * 'Resumen_Cartera'!$Q82, 2), "")</f>
        <v/>
      </c>
      <c r="R82" s="29">
        <f>IF(Saldos_Capital_Mensual!Q82&gt;0, ROUND(Saldos_Capital_Mensual!Q82 * 'Resumen_Cartera'!$Q82, 2), "")</f>
        <v/>
      </c>
      <c r="S82" s="29">
        <f>IF(Saldos_Capital_Mensual!R82&gt;0, ROUND(Saldos_Capital_Mensual!R82 * 'Resumen_Cartera'!$Q82, 2), "")</f>
        <v/>
      </c>
      <c r="T82" s="29">
        <f>IF(Saldos_Capital_Mensual!S82&gt;0, ROUND(Saldos_Capital_Mensual!S82 * 'Resumen_Cartera'!$Q82, 2), "")</f>
        <v/>
      </c>
      <c r="U82" s="29">
        <f>SUM(I82:T82)</f>
        <v/>
      </c>
    </row>
    <row r="83">
      <c r="A83" s="20" t="inlineStr">
        <is>
          <t>0632-0004</t>
        </is>
      </c>
      <c r="B83" s="21" t="inlineStr">
        <is>
          <t>Art &amp; Sourcing Sa de Cv</t>
        </is>
      </c>
      <c r="C83" s="21" t="inlineStr">
        <is>
          <t>Ram 700 Tradesman</t>
        </is>
      </c>
      <c r="D83" s="20" t="inlineStr">
        <is>
          <t>ACTIVO</t>
        </is>
      </c>
      <c r="E83" s="20" t="inlineStr">
        <is>
          <t>2025-05-15</t>
        </is>
      </c>
      <c r="F83" s="20" t="inlineStr">
        <is>
          <t>2029-05-15</t>
        </is>
      </c>
      <c r="G83" s="22" t="n">
        <v>48</v>
      </c>
      <c r="H83" s="23" t="n">
        <v>286215.52</v>
      </c>
      <c r="I83" s="23">
        <f>ROUND(263292.79 * 'Resumen_Cartera'!$Q83, 2)</f>
        <v/>
      </c>
      <c r="J83" s="23">
        <f>IF(Saldos_Capital_Mensual!I83&gt;0, ROUND(Saldos_Capital_Mensual!I83 * 'Resumen_Cartera'!$Q83, 2), "")</f>
        <v/>
      </c>
      <c r="K83" s="23">
        <f>IF(Saldos_Capital_Mensual!J83&gt;0, ROUND(Saldos_Capital_Mensual!J83 * 'Resumen_Cartera'!$Q83, 2), "")</f>
        <v/>
      </c>
      <c r="L83" s="23">
        <f>IF(Saldos_Capital_Mensual!K83&gt;0, ROUND(Saldos_Capital_Mensual!K83 * 'Resumen_Cartera'!$Q83, 2), "")</f>
        <v/>
      </c>
      <c r="M83" s="23">
        <f>IF(Saldos_Capital_Mensual!L83&gt;0, ROUND(Saldos_Capital_Mensual!L83 * 'Resumen_Cartera'!$Q83, 2), "")</f>
        <v/>
      </c>
      <c r="N83" s="23">
        <f>IF(Saldos_Capital_Mensual!M83&gt;0, ROUND(Saldos_Capital_Mensual!M83 * 'Resumen_Cartera'!$Q83, 2), "")</f>
        <v/>
      </c>
      <c r="O83" s="23">
        <f>IF(Saldos_Capital_Mensual!N83&gt;0, ROUND(Saldos_Capital_Mensual!N83 * 'Resumen_Cartera'!$Q83, 2), "")</f>
        <v/>
      </c>
      <c r="P83" s="23">
        <f>IF(Saldos_Capital_Mensual!O83&gt;0, ROUND(Saldos_Capital_Mensual!O83 * 'Resumen_Cartera'!$Q83, 2), "")</f>
        <v/>
      </c>
      <c r="Q83" s="23">
        <f>IF(Saldos_Capital_Mensual!P83&gt;0, ROUND(Saldos_Capital_Mensual!P83 * 'Resumen_Cartera'!$Q83, 2), "")</f>
        <v/>
      </c>
      <c r="R83" s="23">
        <f>IF(Saldos_Capital_Mensual!Q83&gt;0, ROUND(Saldos_Capital_Mensual!Q83 * 'Resumen_Cartera'!$Q83, 2), "")</f>
        <v/>
      </c>
      <c r="S83" s="23">
        <f>IF(Saldos_Capital_Mensual!R83&gt;0, ROUND(Saldos_Capital_Mensual!R83 * 'Resumen_Cartera'!$Q83, 2), "")</f>
        <v/>
      </c>
      <c r="T83" s="23">
        <f>IF(Saldos_Capital_Mensual!S83&gt;0, ROUND(Saldos_Capital_Mensual!S83 * 'Resumen_Cartera'!$Q83, 2), "")</f>
        <v/>
      </c>
      <c r="U83" s="23">
        <f>SUM(I83:T83)</f>
        <v/>
      </c>
    </row>
    <row r="84">
      <c r="A84" s="26" t="inlineStr">
        <is>
          <t>0632-0005</t>
        </is>
      </c>
      <c r="B84" s="27" t="inlineStr">
        <is>
          <t>Art &amp; Sourcing Sa de Cv</t>
        </is>
      </c>
      <c r="C84" s="27" t="inlineStr">
        <is>
          <t>Ram 700</t>
        </is>
      </c>
      <c r="D84" s="26" t="inlineStr">
        <is>
          <t>ACTIVO</t>
        </is>
      </c>
      <c r="E84" s="26" t="inlineStr">
        <is>
          <t>2025-11-25</t>
        </is>
      </c>
      <c r="F84" s="26" t="inlineStr">
        <is>
          <t>2027-11-25</t>
        </is>
      </c>
      <c r="G84" s="28" t="n">
        <v>24</v>
      </c>
      <c r="H84" s="29" t="n">
        <v>244758.62</v>
      </c>
      <c r="I84" s="29">
        <f>ROUND(233418.47 * 'Resumen_Cartera'!$Q84, 2)</f>
        <v/>
      </c>
      <c r="J84" s="29">
        <f>IF(Saldos_Capital_Mensual!I84&gt;0, ROUND(Saldos_Capital_Mensual!I84 * 'Resumen_Cartera'!$Q84, 2), "")</f>
        <v/>
      </c>
      <c r="K84" s="29">
        <f>IF(Saldos_Capital_Mensual!J84&gt;0, ROUND(Saldos_Capital_Mensual!J84 * 'Resumen_Cartera'!$Q84, 2), "")</f>
        <v/>
      </c>
      <c r="L84" s="29">
        <f>IF(Saldos_Capital_Mensual!K84&gt;0, ROUND(Saldos_Capital_Mensual!K84 * 'Resumen_Cartera'!$Q84, 2), "")</f>
        <v/>
      </c>
      <c r="M84" s="29">
        <f>IF(Saldos_Capital_Mensual!L84&gt;0, ROUND(Saldos_Capital_Mensual!L84 * 'Resumen_Cartera'!$Q84, 2), "")</f>
        <v/>
      </c>
      <c r="N84" s="29">
        <f>IF(Saldos_Capital_Mensual!M84&gt;0, ROUND(Saldos_Capital_Mensual!M84 * 'Resumen_Cartera'!$Q84, 2), "")</f>
        <v/>
      </c>
      <c r="O84" s="29">
        <f>IF(Saldos_Capital_Mensual!N84&gt;0, ROUND(Saldos_Capital_Mensual!N84 * 'Resumen_Cartera'!$Q84, 2), "")</f>
        <v/>
      </c>
      <c r="P84" s="29">
        <f>IF(Saldos_Capital_Mensual!O84&gt;0, ROUND(Saldos_Capital_Mensual!O84 * 'Resumen_Cartera'!$Q84, 2), "")</f>
        <v/>
      </c>
      <c r="Q84" s="29">
        <f>IF(Saldos_Capital_Mensual!P84&gt;0, ROUND(Saldos_Capital_Mensual!P84 * 'Resumen_Cartera'!$Q84, 2), "")</f>
        <v/>
      </c>
      <c r="R84" s="29">
        <f>IF(Saldos_Capital_Mensual!Q84&gt;0, ROUND(Saldos_Capital_Mensual!Q84 * 'Resumen_Cartera'!$Q84, 2), "")</f>
        <v/>
      </c>
      <c r="S84" s="29">
        <f>IF(Saldos_Capital_Mensual!R84&gt;0, ROUND(Saldos_Capital_Mensual!R84 * 'Resumen_Cartera'!$Q84, 2), "")</f>
        <v/>
      </c>
      <c r="T84" s="29">
        <f>IF(Saldos_Capital_Mensual!S84&gt;0, ROUND(Saldos_Capital_Mensual!S84 * 'Resumen_Cartera'!$Q84, 2), "")</f>
        <v/>
      </c>
      <c r="U84" s="29">
        <f>SUM(I84:T84)</f>
        <v/>
      </c>
    </row>
    <row r="85">
      <c r="A85" s="20" t="inlineStr">
        <is>
          <t>0632-0006</t>
        </is>
      </c>
      <c r="B85" s="21" t="inlineStr">
        <is>
          <t>Art &amp; Sourcing Sa de Cv</t>
        </is>
      </c>
      <c r="C85" s="21" t="inlineStr">
        <is>
          <t>Mirage</t>
        </is>
      </c>
      <c r="D85" s="20" t="inlineStr">
        <is>
          <t>ACTIVO</t>
        </is>
      </c>
      <c r="E85" s="20" t="inlineStr">
        <is>
          <t>2025-11-25</t>
        </is>
      </c>
      <c r="F85" s="20" t="inlineStr">
        <is>
          <t>2027-11-25</t>
        </is>
      </c>
      <c r="G85" s="22" t="n">
        <v>24</v>
      </c>
      <c r="H85" s="23" t="n">
        <v>206553.1</v>
      </c>
      <c r="I85" s="23">
        <f>ROUND(196976.13 * 'Resumen_Cartera'!$Q85, 2)</f>
        <v/>
      </c>
      <c r="J85" s="23">
        <f>IF(Saldos_Capital_Mensual!I85&gt;0, ROUND(Saldos_Capital_Mensual!I85 * 'Resumen_Cartera'!$Q85, 2), "")</f>
        <v/>
      </c>
      <c r="K85" s="23">
        <f>IF(Saldos_Capital_Mensual!J85&gt;0, ROUND(Saldos_Capital_Mensual!J85 * 'Resumen_Cartera'!$Q85, 2), "")</f>
        <v/>
      </c>
      <c r="L85" s="23">
        <f>IF(Saldos_Capital_Mensual!K85&gt;0, ROUND(Saldos_Capital_Mensual!K85 * 'Resumen_Cartera'!$Q85, 2), "")</f>
        <v/>
      </c>
      <c r="M85" s="23">
        <f>IF(Saldos_Capital_Mensual!L85&gt;0, ROUND(Saldos_Capital_Mensual!L85 * 'Resumen_Cartera'!$Q85, 2), "")</f>
        <v/>
      </c>
      <c r="N85" s="23">
        <f>IF(Saldos_Capital_Mensual!M85&gt;0, ROUND(Saldos_Capital_Mensual!M85 * 'Resumen_Cartera'!$Q85, 2), "")</f>
        <v/>
      </c>
      <c r="O85" s="23">
        <f>IF(Saldos_Capital_Mensual!N85&gt;0, ROUND(Saldos_Capital_Mensual!N85 * 'Resumen_Cartera'!$Q85, 2), "")</f>
        <v/>
      </c>
      <c r="P85" s="23">
        <f>IF(Saldos_Capital_Mensual!O85&gt;0, ROUND(Saldos_Capital_Mensual!O85 * 'Resumen_Cartera'!$Q85, 2), "")</f>
        <v/>
      </c>
      <c r="Q85" s="23">
        <f>IF(Saldos_Capital_Mensual!P85&gt;0, ROUND(Saldos_Capital_Mensual!P85 * 'Resumen_Cartera'!$Q85, 2), "")</f>
        <v/>
      </c>
      <c r="R85" s="23">
        <f>IF(Saldos_Capital_Mensual!Q85&gt;0, ROUND(Saldos_Capital_Mensual!Q85 * 'Resumen_Cartera'!$Q85, 2), "")</f>
        <v/>
      </c>
      <c r="S85" s="23">
        <f>IF(Saldos_Capital_Mensual!R85&gt;0, ROUND(Saldos_Capital_Mensual!R85 * 'Resumen_Cartera'!$Q85, 2), "")</f>
        <v/>
      </c>
      <c r="T85" s="23">
        <f>IF(Saldos_Capital_Mensual!S85&gt;0, ROUND(Saldos_Capital_Mensual!S85 * 'Resumen_Cartera'!$Q85, 2), "")</f>
        <v/>
      </c>
      <c r="U85" s="23">
        <f>SUM(I85:T85)</f>
        <v/>
      </c>
    </row>
    <row r="86">
      <c r="A86" s="26" t="inlineStr">
        <is>
          <t>0632-0007</t>
        </is>
      </c>
      <c r="B86" s="27" t="inlineStr">
        <is>
          <t>Art &amp; Sourcing Sa de Cv</t>
        </is>
      </c>
      <c r="C86" s="27" t="inlineStr">
        <is>
          <t>JAC Camión X350 2026</t>
        </is>
      </c>
      <c r="D86" s="26" t="inlineStr">
        <is>
          <t>ACTIVO</t>
        </is>
      </c>
      <c r="E86" s="26" t="inlineStr">
        <is>
          <t>2026-08-24</t>
        </is>
      </c>
      <c r="F86" s="26" t="inlineStr">
        <is>
          <t>2028-08-24</t>
        </is>
      </c>
      <c r="G86" s="28" t="n">
        <v>24</v>
      </c>
      <c r="H86" s="29" t="n">
        <v>417241.38</v>
      </c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>
        <f>ROUND('Resumen_Cartera'!$K86 * 'Resumen_Cartera'!$Q86, 2)</f>
        <v/>
      </c>
      <c r="Q86" s="29">
        <f>IF(Saldos_Capital_Mensual!P86&gt;0, ROUND(Saldos_Capital_Mensual!P86 * 'Resumen_Cartera'!$Q86, 2), "")</f>
        <v/>
      </c>
      <c r="R86" s="29">
        <f>IF(Saldos_Capital_Mensual!Q86&gt;0, ROUND(Saldos_Capital_Mensual!Q86 * 'Resumen_Cartera'!$Q86, 2), "")</f>
        <v/>
      </c>
      <c r="S86" s="29">
        <f>IF(Saldos_Capital_Mensual!R86&gt;0, ROUND(Saldos_Capital_Mensual!R86 * 'Resumen_Cartera'!$Q86, 2), "")</f>
        <v/>
      </c>
      <c r="T86" s="29">
        <f>IF(Saldos_Capital_Mensual!S86&gt;0, ROUND(Saldos_Capital_Mensual!S86 * 'Resumen_Cartera'!$Q86, 2), "")</f>
        <v/>
      </c>
      <c r="U86" s="29">
        <f>SUM(I86:T86)</f>
        <v/>
      </c>
    </row>
    <row r="87">
      <c r="A87" s="20" t="inlineStr">
        <is>
          <t>0634-0001</t>
        </is>
      </c>
      <c r="B87" s="21" t="inlineStr">
        <is>
          <t>Jose de Jesus Vergara Rivera</t>
        </is>
      </c>
      <c r="C87" s="21" t="inlineStr">
        <is>
          <t>NP 300 Chasis Cabina TDI</t>
        </is>
      </c>
      <c r="D87" s="20" t="inlineStr">
        <is>
          <t>ACTIVO</t>
        </is>
      </c>
      <c r="E87" s="20" t="inlineStr">
        <is>
          <t>2023-09-28</t>
        </is>
      </c>
      <c r="F87" s="20" t="inlineStr">
        <is>
          <t>2027-09-28</t>
        </is>
      </c>
      <c r="G87" s="22" t="n">
        <v>48</v>
      </c>
      <c r="H87" s="23" t="n">
        <v>306827.58</v>
      </c>
      <c r="I87" s="23">
        <f>ROUND(214263.2 * 'Resumen_Cartera'!$Q87, 2)</f>
        <v/>
      </c>
      <c r="J87" s="23">
        <f>IF(Saldos_Capital_Mensual!I87&gt;0, ROUND(Saldos_Capital_Mensual!I87 * 'Resumen_Cartera'!$Q87, 2), "")</f>
        <v/>
      </c>
      <c r="K87" s="23">
        <f>IF(Saldos_Capital_Mensual!J87&gt;0, ROUND(Saldos_Capital_Mensual!J87 * 'Resumen_Cartera'!$Q87, 2), "")</f>
        <v/>
      </c>
      <c r="L87" s="23">
        <f>IF(Saldos_Capital_Mensual!K87&gt;0, ROUND(Saldos_Capital_Mensual!K87 * 'Resumen_Cartera'!$Q87, 2), "")</f>
        <v/>
      </c>
      <c r="M87" s="23">
        <f>IF(Saldos_Capital_Mensual!L87&gt;0, ROUND(Saldos_Capital_Mensual!L87 * 'Resumen_Cartera'!$Q87, 2), "")</f>
        <v/>
      </c>
      <c r="N87" s="23">
        <f>IF(Saldos_Capital_Mensual!M87&gt;0, ROUND(Saldos_Capital_Mensual!M87 * 'Resumen_Cartera'!$Q87, 2), "")</f>
        <v/>
      </c>
      <c r="O87" s="23">
        <f>IF(Saldos_Capital_Mensual!N87&gt;0, ROUND(Saldos_Capital_Mensual!N87 * 'Resumen_Cartera'!$Q87, 2), "")</f>
        <v/>
      </c>
      <c r="P87" s="23">
        <f>IF(Saldos_Capital_Mensual!O87&gt;0, ROUND(Saldos_Capital_Mensual!O87 * 'Resumen_Cartera'!$Q87, 2), "")</f>
        <v/>
      </c>
      <c r="Q87" s="23">
        <f>IF(Saldos_Capital_Mensual!P87&gt;0, ROUND(Saldos_Capital_Mensual!P87 * 'Resumen_Cartera'!$Q87, 2), "")</f>
        <v/>
      </c>
      <c r="R87" s="23">
        <f>IF(Saldos_Capital_Mensual!Q87&gt;0, ROUND(Saldos_Capital_Mensual!Q87 * 'Resumen_Cartera'!$Q87, 2), "")</f>
        <v/>
      </c>
      <c r="S87" s="23">
        <f>IF(Saldos_Capital_Mensual!R87&gt;0, ROUND(Saldos_Capital_Mensual!R87 * 'Resumen_Cartera'!$Q87, 2), "")</f>
        <v/>
      </c>
      <c r="T87" s="23">
        <f>IF(Saldos_Capital_Mensual!S87&gt;0, ROUND(Saldos_Capital_Mensual!S87 * 'Resumen_Cartera'!$Q87, 2), "")</f>
        <v/>
      </c>
      <c r="U87" s="23">
        <f>SUM(I87:T87)</f>
        <v/>
      </c>
    </row>
    <row r="88">
      <c r="A88" s="26" t="inlineStr">
        <is>
          <t>0634-0002</t>
        </is>
      </c>
      <c r="B88" s="27" t="inlineStr">
        <is>
          <t>Jose de Jesus Vergara Rivera</t>
        </is>
      </c>
      <c r="C88" s="27" t="inlineStr">
        <is>
          <t>700 Tradesman</t>
        </is>
      </c>
      <c r="D88" s="26" t="inlineStr">
        <is>
          <t>ACTIVO</t>
        </is>
      </c>
      <c r="E88" s="26" t="inlineStr">
        <is>
          <t>2025-10-09</t>
        </is>
      </c>
      <c r="F88" s="26" t="inlineStr">
        <is>
          <t>2029-10-09</t>
        </is>
      </c>
      <c r="G88" s="28" t="n">
        <v>48</v>
      </c>
      <c r="H88" s="29" t="n">
        <v>298629.31</v>
      </c>
      <c r="I88" s="29">
        <f>ROUND(291441.04 * 'Resumen_Cartera'!$Q88, 2)</f>
        <v/>
      </c>
      <c r="J88" s="29">
        <f>IF(Saldos_Capital_Mensual!I88&gt;0, ROUND(Saldos_Capital_Mensual!I88 * 'Resumen_Cartera'!$Q88, 2), "")</f>
        <v/>
      </c>
      <c r="K88" s="29">
        <f>IF(Saldos_Capital_Mensual!J88&gt;0, ROUND(Saldos_Capital_Mensual!J88 * 'Resumen_Cartera'!$Q88, 2), "")</f>
        <v/>
      </c>
      <c r="L88" s="29">
        <f>IF(Saldos_Capital_Mensual!K88&gt;0, ROUND(Saldos_Capital_Mensual!K88 * 'Resumen_Cartera'!$Q88, 2), "")</f>
        <v/>
      </c>
      <c r="M88" s="29">
        <f>IF(Saldos_Capital_Mensual!L88&gt;0, ROUND(Saldos_Capital_Mensual!L88 * 'Resumen_Cartera'!$Q88, 2), "")</f>
        <v/>
      </c>
      <c r="N88" s="29">
        <f>IF(Saldos_Capital_Mensual!M88&gt;0, ROUND(Saldos_Capital_Mensual!M88 * 'Resumen_Cartera'!$Q88, 2), "")</f>
        <v/>
      </c>
      <c r="O88" s="29">
        <f>IF(Saldos_Capital_Mensual!N88&gt;0, ROUND(Saldos_Capital_Mensual!N88 * 'Resumen_Cartera'!$Q88, 2), "")</f>
        <v/>
      </c>
      <c r="P88" s="29">
        <f>IF(Saldos_Capital_Mensual!O88&gt;0, ROUND(Saldos_Capital_Mensual!O88 * 'Resumen_Cartera'!$Q88, 2), "")</f>
        <v/>
      </c>
      <c r="Q88" s="29">
        <f>IF(Saldos_Capital_Mensual!P88&gt;0, ROUND(Saldos_Capital_Mensual!P88 * 'Resumen_Cartera'!$Q88, 2), "")</f>
        <v/>
      </c>
      <c r="R88" s="29">
        <f>IF(Saldos_Capital_Mensual!Q88&gt;0, ROUND(Saldos_Capital_Mensual!Q88 * 'Resumen_Cartera'!$Q88, 2), "")</f>
        <v/>
      </c>
      <c r="S88" s="29">
        <f>IF(Saldos_Capital_Mensual!R88&gt;0, ROUND(Saldos_Capital_Mensual!R88 * 'Resumen_Cartera'!$Q88, 2), "")</f>
        <v/>
      </c>
      <c r="T88" s="29">
        <f>IF(Saldos_Capital_Mensual!S88&gt;0, ROUND(Saldos_Capital_Mensual!S88 * 'Resumen_Cartera'!$Q88, 2), "")</f>
        <v/>
      </c>
      <c r="U88" s="29">
        <f>SUM(I88:T88)</f>
        <v/>
      </c>
    </row>
    <row r="89">
      <c r="A89" s="20" t="inlineStr">
        <is>
          <t>0635-0003</t>
        </is>
      </c>
      <c r="B89" s="21" t="inlineStr">
        <is>
          <t>Ankara Food Services Sa de CV</t>
        </is>
      </c>
      <c r="C89" s="21" t="inlineStr">
        <is>
          <t>Glc 350 E</t>
        </is>
      </c>
      <c r="D89" s="20" t="inlineStr">
        <is>
          <t>ACTIVO</t>
        </is>
      </c>
      <c r="E89" s="20" t="inlineStr">
        <is>
          <t>2025-03-21</t>
        </is>
      </c>
      <c r="F89" s="20" t="inlineStr">
        <is>
          <t>2028-03-21</t>
        </is>
      </c>
      <c r="G89" s="22" t="n">
        <v>36</v>
      </c>
      <c r="H89" s="23" t="n">
        <v>1176983.25</v>
      </c>
      <c r="I89" s="23">
        <f>ROUND(949453.56 * 'Resumen_Cartera'!$Q89, 2)</f>
        <v/>
      </c>
      <c r="J89" s="23">
        <f>IF(Saldos_Capital_Mensual!I89&gt;0, ROUND(Saldos_Capital_Mensual!I89 * 'Resumen_Cartera'!$Q89, 2), "")</f>
        <v/>
      </c>
      <c r="K89" s="23">
        <f>IF(Saldos_Capital_Mensual!J89&gt;0, ROUND(Saldos_Capital_Mensual!J89 * 'Resumen_Cartera'!$Q89, 2), "")</f>
        <v/>
      </c>
      <c r="L89" s="23">
        <f>IF(Saldos_Capital_Mensual!K89&gt;0, ROUND(Saldos_Capital_Mensual!K89 * 'Resumen_Cartera'!$Q89, 2), "")</f>
        <v/>
      </c>
      <c r="M89" s="23">
        <f>IF(Saldos_Capital_Mensual!L89&gt;0, ROUND(Saldos_Capital_Mensual!L89 * 'Resumen_Cartera'!$Q89, 2), "")</f>
        <v/>
      </c>
      <c r="N89" s="23">
        <f>IF(Saldos_Capital_Mensual!M89&gt;0, ROUND(Saldos_Capital_Mensual!M89 * 'Resumen_Cartera'!$Q89, 2), "")</f>
        <v/>
      </c>
      <c r="O89" s="23">
        <f>IF(Saldos_Capital_Mensual!N89&gt;0, ROUND(Saldos_Capital_Mensual!N89 * 'Resumen_Cartera'!$Q89, 2), "")</f>
        <v/>
      </c>
      <c r="P89" s="23">
        <f>IF(Saldos_Capital_Mensual!O89&gt;0, ROUND(Saldos_Capital_Mensual!O89 * 'Resumen_Cartera'!$Q89, 2), "")</f>
        <v/>
      </c>
      <c r="Q89" s="23">
        <f>IF(Saldos_Capital_Mensual!P89&gt;0, ROUND(Saldos_Capital_Mensual!P89 * 'Resumen_Cartera'!$Q89, 2), "")</f>
        <v/>
      </c>
      <c r="R89" s="23">
        <f>IF(Saldos_Capital_Mensual!Q89&gt;0, ROUND(Saldos_Capital_Mensual!Q89 * 'Resumen_Cartera'!$Q89, 2), "")</f>
        <v/>
      </c>
      <c r="S89" s="23">
        <f>IF(Saldos_Capital_Mensual!R89&gt;0, ROUND(Saldos_Capital_Mensual!R89 * 'Resumen_Cartera'!$Q89, 2), "")</f>
        <v/>
      </c>
      <c r="T89" s="23">
        <f>IF(Saldos_Capital_Mensual!S89&gt;0, ROUND(Saldos_Capital_Mensual!S89 * 'Resumen_Cartera'!$Q89, 2), "")</f>
        <v/>
      </c>
      <c r="U89" s="23">
        <f>SUM(I89:T89)</f>
        <v/>
      </c>
    </row>
    <row r="90">
      <c r="A90" s="26" t="inlineStr">
        <is>
          <t>0635-0004</t>
        </is>
      </c>
      <c r="B90" s="27" t="inlineStr">
        <is>
          <t>Ankara Food Services Sa de CV</t>
        </is>
      </c>
      <c r="C90" s="27" t="inlineStr">
        <is>
          <t>Partner</t>
        </is>
      </c>
      <c r="D90" s="26" t="inlineStr">
        <is>
          <t>ACTIVO</t>
        </is>
      </c>
      <c r="E90" s="26" t="inlineStr">
        <is>
          <t>2025-04-29</t>
        </is>
      </c>
      <c r="F90" s="26" t="inlineStr">
        <is>
          <t>2028-04-29</t>
        </is>
      </c>
      <c r="G90" s="28" t="n">
        <v>36</v>
      </c>
      <c r="H90" s="29" t="n">
        <v>292675.68</v>
      </c>
      <c r="I90" s="29">
        <f>ROUND(242402.92 * 'Resumen_Cartera'!$Q90, 2)</f>
        <v/>
      </c>
      <c r="J90" s="29">
        <f>IF(Saldos_Capital_Mensual!I90&gt;0, ROUND(Saldos_Capital_Mensual!I90 * 'Resumen_Cartera'!$Q90, 2), "")</f>
        <v/>
      </c>
      <c r="K90" s="29">
        <f>IF(Saldos_Capital_Mensual!J90&gt;0, ROUND(Saldos_Capital_Mensual!J90 * 'Resumen_Cartera'!$Q90, 2), "")</f>
        <v/>
      </c>
      <c r="L90" s="29">
        <f>IF(Saldos_Capital_Mensual!K90&gt;0, ROUND(Saldos_Capital_Mensual!K90 * 'Resumen_Cartera'!$Q90, 2), "")</f>
        <v/>
      </c>
      <c r="M90" s="29">
        <f>IF(Saldos_Capital_Mensual!L90&gt;0, ROUND(Saldos_Capital_Mensual!L90 * 'Resumen_Cartera'!$Q90, 2), "")</f>
        <v/>
      </c>
      <c r="N90" s="29">
        <f>IF(Saldos_Capital_Mensual!M90&gt;0, ROUND(Saldos_Capital_Mensual!M90 * 'Resumen_Cartera'!$Q90, 2), "")</f>
        <v/>
      </c>
      <c r="O90" s="29">
        <f>IF(Saldos_Capital_Mensual!N90&gt;0, ROUND(Saldos_Capital_Mensual!N90 * 'Resumen_Cartera'!$Q90, 2), "")</f>
        <v/>
      </c>
      <c r="P90" s="29">
        <f>IF(Saldos_Capital_Mensual!O90&gt;0, ROUND(Saldos_Capital_Mensual!O90 * 'Resumen_Cartera'!$Q90, 2), "")</f>
        <v/>
      </c>
      <c r="Q90" s="29">
        <f>IF(Saldos_Capital_Mensual!P90&gt;0, ROUND(Saldos_Capital_Mensual!P90 * 'Resumen_Cartera'!$Q90, 2), "")</f>
        <v/>
      </c>
      <c r="R90" s="29">
        <f>IF(Saldos_Capital_Mensual!Q90&gt;0, ROUND(Saldos_Capital_Mensual!Q90 * 'Resumen_Cartera'!$Q90, 2), "")</f>
        <v/>
      </c>
      <c r="S90" s="29">
        <f>IF(Saldos_Capital_Mensual!R90&gt;0, ROUND(Saldos_Capital_Mensual!R90 * 'Resumen_Cartera'!$Q90, 2), "")</f>
        <v/>
      </c>
      <c r="T90" s="29">
        <f>IF(Saldos_Capital_Mensual!S90&gt;0, ROUND(Saldos_Capital_Mensual!S90 * 'Resumen_Cartera'!$Q90, 2), "")</f>
        <v/>
      </c>
      <c r="U90" s="29">
        <f>SUM(I90:T90)</f>
        <v/>
      </c>
    </row>
    <row r="91">
      <c r="A91" s="20" t="inlineStr">
        <is>
          <t>0635-0005</t>
        </is>
      </c>
      <c r="B91" s="21" t="inlineStr">
        <is>
          <t>Ankara Food Services Sa de CV</t>
        </is>
      </c>
      <c r="C91" s="21" t="inlineStr">
        <is>
          <t>Manager</t>
        </is>
      </c>
      <c r="D91" s="20" t="inlineStr">
        <is>
          <t>ACTIVO</t>
        </is>
      </c>
      <c r="E91" s="20" t="inlineStr">
        <is>
          <t>2025-04-29</t>
        </is>
      </c>
      <c r="F91" s="20" t="inlineStr">
        <is>
          <t>2028-04-29</t>
        </is>
      </c>
      <c r="G91" s="22" t="n">
        <v>36</v>
      </c>
      <c r="H91" s="23" t="n">
        <v>452623.78</v>
      </c>
      <c r="I91" s="23">
        <f>ROUND(374876.79 * 'Resumen_Cartera'!$Q91, 2)</f>
        <v/>
      </c>
      <c r="J91" s="23">
        <f>IF(Saldos_Capital_Mensual!I91&gt;0, ROUND(Saldos_Capital_Mensual!I91 * 'Resumen_Cartera'!$Q91, 2), "")</f>
        <v/>
      </c>
      <c r="K91" s="23">
        <f>IF(Saldos_Capital_Mensual!J91&gt;0, ROUND(Saldos_Capital_Mensual!J91 * 'Resumen_Cartera'!$Q91, 2), "")</f>
        <v/>
      </c>
      <c r="L91" s="23">
        <f>IF(Saldos_Capital_Mensual!K91&gt;0, ROUND(Saldos_Capital_Mensual!K91 * 'Resumen_Cartera'!$Q91, 2), "")</f>
        <v/>
      </c>
      <c r="M91" s="23">
        <f>IF(Saldos_Capital_Mensual!L91&gt;0, ROUND(Saldos_Capital_Mensual!L91 * 'Resumen_Cartera'!$Q91, 2), "")</f>
        <v/>
      </c>
      <c r="N91" s="23">
        <f>IF(Saldos_Capital_Mensual!M91&gt;0, ROUND(Saldos_Capital_Mensual!M91 * 'Resumen_Cartera'!$Q91, 2), "")</f>
        <v/>
      </c>
      <c r="O91" s="23">
        <f>IF(Saldos_Capital_Mensual!N91&gt;0, ROUND(Saldos_Capital_Mensual!N91 * 'Resumen_Cartera'!$Q91, 2), "")</f>
        <v/>
      </c>
      <c r="P91" s="23">
        <f>IF(Saldos_Capital_Mensual!O91&gt;0, ROUND(Saldos_Capital_Mensual!O91 * 'Resumen_Cartera'!$Q91, 2), "")</f>
        <v/>
      </c>
      <c r="Q91" s="23">
        <f>IF(Saldos_Capital_Mensual!P91&gt;0, ROUND(Saldos_Capital_Mensual!P91 * 'Resumen_Cartera'!$Q91, 2), "")</f>
        <v/>
      </c>
      <c r="R91" s="23">
        <f>IF(Saldos_Capital_Mensual!Q91&gt;0, ROUND(Saldos_Capital_Mensual!Q91 * 'Resumen_Cartera'!$Q91, 2), "")</f>
        <v/>
      </c>
      <c r="S91" s="23">
        <f>IF(Saldos_Capital_Mensual!R91&gt;0, ROUND(Saldos_Capital_Mensual!R91 * 'Resumen_Cartera'!$Q91, 2), "")</f>
        <v/>
      </c>
      <c r="T91" s="23">
        <f>IF(Saldos_Capital_Mensual!S91&gt;0, ROUND(Saldos_Capital_Mensual!S91 * 'Resumen_Cartera'!$Q91, 2), "")</f>
        <v/>
      </c>
      <c r="U91" s="23">
        <f>SUM(I91:T91)</f>
        <v/>
      </c>
    </row>
    <row r="92">
      <c r="A92" s="26" t="inlineStr">
        <is>
          <t>0635-0006</t>
        </is>
      </c>
      <c r="B92" s="27" t="inlineStr">
        <is>
          <t>Ankara Food Services Sa de CV</t>
        </is>
      </c>
      <c r="C92" s="27" t="inlineStr">
        <is>
          <t>Mobi</t>
        </is>
      </c>
      <c r="D92" s="26" t="inlineStr">
        <is>
          <t>ACTIVO</t>
        </is>
      </c>
      <c r="E92" s="26" t="inlineStr">
        <is>
          <t>2025-06-17</t>
        </is>
      </c>
      <c r="F92" s="26" t="inlineStr">
        <is>
          <t>2027-06-17</t>
        </is>
      </c>
      <c r="G92" s="28" t="n">
        <v>24</v>
      </c>
      <c r="H92" s="29" t="n">
        <v>149051.72</v>
      </c>
      <c r="I92" s="29">
        <f>ROUND(114548.16 * 'Resumen_Cartera'!$Q92, 2)</f>
        <v/>
      </c>
      <c r="J92" s="29">
        <f>IF(Saldos_Capital_Mensual!I92&gt;0, ROUND(Saldos_Capital_Mensual!I92 * 'Resumen_Cartera'!$Q92, 2), "")</f>
        <v/>
      </c>
      <c r="K92" s="29">
        <f>IF(Saldos_Capital_Mensual!J92&gt;0, ROUND(Saldos_Capital_Mensual!J92 * 'Resumen_Cartera'!$Q92, 2), "")</f>
        <v/>
      </c>
      <c r="L92" s="29">
        <f>IF(Saldos_Capital_Mensual!K92&gt;0, ROUND(Saldos_Capital_Mensual!K92 * 'Resumen_Cartera'!$Q92, 2), "")</f>
        <v/>
      </c>
      <c r="M92" s="29">
        <f>IF(Saldos_Capital_Mensual!L92&gt;0, ROUND(Saldos_Capital_Mensual!L92 * 'Resumen_Cartera'!$Q92, 2), "")</f>
        <v/>
      </c>
      <c r="N92" s="29">
        <f>IF(Saldos_Capital_Mensual!M92&gt;0, ROUND(Saldos_Capital_Mensual!M92 * 'Resumen_Cartera'!$Q92, 2), "")</f>
        <v/>
      </c>
      <c r="O92" s="29">
        <f>IF(Saldos_Capital_Mensual!N92&gt;0, ROUND(Saldos_Capital_Mensual!N92 * 'Resumen_Cartera'!$Q92, 2), "")</f>
        <v/>
      </c>
      <c r="P92" s="29">
        <f>IF(Saldos_Capital_Mensual!O92&gt;0, ROUND(Saldos_Capital_Mensual!O92 * 'Resumen_Cartera'!$Q92, 2), "")</f>
        <v/>
      </c>
      <c r="Q92" s="29">
        <f>IF(Saldos_Capital_Mensual!P92&gt;0, ROUND(Saldos_Capital_Mensual!P92 * 'Resumen_Cartera'!$Q92, 2), "")</f>
        <v/>
      </c>
      <c r="R92" s="29">
        <f>IF(Saldos_Capital_Mensual!Q92&gt;0, ROUND(Saldos_Capital_Mensual!Q92 * 'Resumen_Cartera'!$Q92, 2), "")</f>
        <v/>
      </c>
      <c r="S92" s="29">
        <f>IF(Saldos_Capital_Mensual!R92&gt;0, ROUND(Saldos_Capital_Mensual!R92 * 'Resumen_Cartera'!$Q92, 2), "")</f>
        <v/>
      </c>
      <c r="T92" s="29">
        <f>IF(Saldos_Capital_Mensual!S92&gt;0, ROUND(Saldos_Capital_Mensual!S92 * 'Resumen_Cartera'!$Q92, 2), "")</f>
        <v/>
      </c>
      <c r="U92" s="29">
        <f>SUM(I92:T92)</f>
        <v/>
      </c>
    </row>
    <row r="93">
      <c r="A93" s="20" t="inlineStr">
        <is>
          <t>0635-0007</t>
        </is>
      </c>
      <c r="B93" s="21" t="inlineStr">
        <is>
          <t>Ankara Food Services Sa de CV</t>
        </is>
      </c>
      <c r="C93" s="21" t="inlineStr">
        <is>
          <t>Mobi</t>
        </is>
      </c>
      <c r="D93" s="20" t="inlineStr">
        <is>
          <t>ACTIVO</t>
        </is>
      </c>
      <c r="E93" s="20" t="inlineStr">
        <is>
          <t>2025-06-17</t>
        </is>
      </c>
      <c r="F93" s="20" t="inlineStr">
        <is>
          <t>2027-06-17</t>
        </is>
      </c>
      <c r="G93" s="22" t="n">
        <v>24</v>
      </c>
      <c r="H93" s="23" t="n">
        <v>149051.72</v>
      </c>
      <c r="I93" s="23">
        <f>ROUND(114548.16 * 'Resumen_Cartera'!$Q93, 2)</f>
        <v/>
      </c>
      <c r="J93" s="23">
        <f>IF(Saldos_Capital_Mensual!I93&gt;0, ROUND(Saldos_Capital_Mensual!I93 * 'Resumen_Cartera'!$Q93, 2), "")</f>
        <v/>
      </c>
      <c r="K93" s="23">
        <f>IF(Saldos_Capital_Mensual!J93&gt;0, ROUND(Saldos_Capital_Mensual!J93 * 'Resumen_Cartera'!$Q93, 2), "")</f>
        <v/>
      </c>
      <c r="L93" s="23">
        <f>IF(Saldos_Capital_Mensual!K93&gt;0, ROUND(Saldos_Capital_Mensual!K93 * 'Resumen_Cartera'!$Q93, 2), "")</f>
        <v/>
      </c>
      <c r="M93" s="23">
        <f>IF(Saldos_Capital_Mensual!L93&gt;0, ROUND(Saldos_Capital_Mensual!L93 * 'Resumen_Cartera'!$Q93, 2), "")</f>
        <v/>
      </c>
      <c r="N93" s="23">
        <f>IF(Saldos_Capital_Mensual!M93&gt;0, ROUND(Saldos_Capital_Mensual!M93 * 'Resumen_Cartera'!$Q93, 2), "")</f>
        <v/>
      </c>
      <c r="O93" s="23">
        <f>IF(Saldos_Capital_Mensual!N93&gt;0, ROUND(Saldos_Capital_Mensual!N93 * 'Resumen_Cartera'!$Q93, 2), "")</f>
        <v/>
      </c>
      <c r="P93" s="23">
        <f>IF(Saldos_Capital_Mensual!O93&gt;0, ROUND(Saldos_Capital_Mensual!O93 * 'Resumen_Cartera'!$Q93, 2), "")</f>
        <v/>
      </c>
      <c r="Q93" s="23">
        <f>IF(Saldos_Capital_Mensual!P93&gt;0, ROUND(Saldos_Capital_Mensual!P93 * 'Resumen_Cartera'!$Q93, 2), "")</f>
        <v/>
      </c>
      <c r="R93" s="23">
        <f>IF(Saldos_Capital_Mensual!Q93&gt;0, ROUND(Saldos_Capital_Mensual!Q93 * 'Resumen_Cartera'!$Q93, 2), "")</f>
        <v/>
      </c>
      <c r="S93" s="23">
        <f>IF(Saldos_Capital_Mensual!R93&gt;0, ROUND(Saldos_Capital_Mensual!R93 * 'Resumen_Cartera'!$Q93, 2), "")</f>
        <v/>
      </c>
      <c r="T93" s="23">
        <f>IF(Saldos_Capital_Mensual!S93&gt;0, ROUND(Saldos_Capital_Mensual!S93 * 'Resumen_Cartera'!$Q93, 2), "")</f>
        <v/>
      </c>
      <c r="U93" s="23">
        <f>SUM(I93:T93)</f>
        <v/>
      </c>
    </row>
    <row r="94">
      <c r="A94" s="26" t="inlineStr">
        <is>
          <t>0635-0008</t>
        </is>
      </c>
      <c r="B94" s="27" t="inlineStr">
        <is>
          <t>Ankara Food Services Sa de CV</t>
        </is>
      </c>
      <c r="C94" s="27" t="inlineStr">
        <is>
          <t>Wrangler 4 XE</t>
        </is>
      </c>
      <c r="D94" s="26" t="inlineStr">
        <is>
          <t>ACTIVO</t>
        </is>
      </c>
      <c r="E94" s="26" t="inlineStr">
        <is>
          <t>2025-10-31</t>
        </is>
      </c>
      <c r="F94" s="26" t="inlineStr">
        <is>
          <t>2029-10-31</t>
        </is>
      </c>
      <c r="G94" s="28" t="n">
        <v>48</v>
      </c>
      <c r="H94" s="29" t="n">
        <v>737534.48</v>
      </c>
      <c r="I94" s="29">
        <f>ROUND(717759.42 * 'Resumen_Cartera'!$Q94, 2)</f>
        <v/>
      </c>
      <c r="J94" s="29">
        <f>IF(Saldos_Capital_Mensual!I94&gt;0, ROUND(Saldos_Capital_Mensual!I94 * 'Resumen_Cartera'!$Q94, 2), "")</f>
        <v/>
      </c>
      <c r="K94" s="29">
        <f>IF(Saldos_Capital_Mensual!J94&gt;0, ROUND(Saldos_Capital_Mensual!J94 * 'Resumen_Cartera'!$Q94, 2), "")</f>
        <v/>
      </c>
      <c r="L94" s="29">
        <f>IF(Saldos_Capital_Mensual!K94&gt;0, ROUND(Saldos_Capital_Mensual!K94 * 'Resumen_Cartera'!$Q94, 2), "")</f>
        <v/>
      </c>
      <c r="M94" s="29">
        <f>IF(Saldos_Capital_Mensual!L94&gt;0, ROUND(Saldos_Capital_Mensual!L94 * 'Resumen_Cartera'!$Q94, 2), "")</f>
        <v/>
      </c>
      <c r="N94" s="29">
        <f>IF(Saldos_Capital_Mensual!M94&gt;0, ROUND(Saldos_Capital_Mensual!M94 * 'Resumen_Cartera'!$Q94, 2), "")</f>
        <v/>
      </c>
      <c r="O94" s="29">
        <f>IF(Saldos_Capital_Mensual!N94&gt;0, ROUND(Saldos_Capital_Mensual!N94 * 'Resumen_Cartera'!$Q94, 2), "")</f>
        <v/>
      </c>
      <c r="P94" s="29">
        <f>IF(Saldos_Capital_Mensual!O94&gt;0, ROUND(Saldos_Capital_Mensual!O94 * 'Resumen_Cartera'!$Q94, 2), "")</f>
        <v/>
      </c>
      <c r="Q94" s="29">
        <f>IF(Saldos_Capital_Mensual!P94&gt;0, ROUND(Saldos_Capital_Mensual!P94 * 'Resumen_Cartera'!$Q94, 2), "")</f>
        <v/>
      </c>
      <c r="R94" s="29">
        <f>IF(Saldos_Capital_Mensual!Q94&gt;0, ROUND(Saldos_Capital_Mensual!Q94 * 'Resumen_Cartera'!$Q94, 2), "")</f>
        <v/>
      </c>
      <c r="S94" s="29">
        <f>IF(Saldos_Capital_Mensual!R94&gt;0, ROUND(Saldos_Capital_Mensual!R94 * 'Resumen_Cartera'!$Q94, 2), "")</f>
        <v/>
      </c>
      <c r="T94" s="29">
        <f>IF(Saldos_Capital_Mensual!S94&gt;0, ROUND(Saldos_Capital_Mensual!S94 * 'Resumen_Cartera'!$Q94, 2), "")</f>
        <v/>
      </c>
      <c r="U94" s="29">
        <f>SUM(I94:T94)</f>
        <v/>
      </c>
    </row>
    <row r="95">
      <c r="A95" s="20" t="inlineStr">
        <is>
          <t>0640-0001</t>
        </is>
      </c>
      <c r="B95" s="21" t="inlineStr">
        <is>
          <t>Marco Abner Hernand Barragan</t>
        </is>
      </c>
      <c r="C95" s="21" t="inlineStr">
        <is>
          <t>RIFTER</t>
        </is>
      </c>
      <c r="D95" s="20" t="inlineStr">
        <is>
          <t>ACTIVO</t>
        </is>
      </c>
      <c r="E95" s="20" t="inlineStr">
        <is>
          <t>2023-12-13</t>
        </is>
      </c>
      <c r="F95" s="20" t="inlineStr">
        <is>
          <t>2027-12-13</t>
        </is>
      </c>
      <c r="G95" s="22" t="n">
        <v>48</v>
      </c>
      <c r="H95" s="23" t="n">
        <v>401818.97</v>
      </c>
      <c r="I95" s="23">
        <f>ROUND(295359.09 * 'Resumen_Cartera'!$Q95, 2)</f>
        <v/>
      </c>
      <c r="J95" s="23">
        <f>IF(Saldos_Capital_Mensual!I95&gt;0, ROUND(Saldos_Capital_Mensual!I95 * 'Resumen_Cartera'!$Q95, 2), "")</f>
        <v/>
      </c>
      <c r="K95" s="23">
        <f>IF(Saldos_Capital_Mensual!J95&gt;0, ROUND(Saldos_Capital_Mensual!J95 * 'Resumen_Cartera'!$Q95, 2), "")</f>
        <v/>
      </c>
      <c r="L95" s="23">
        <f>IF(Saldos_Capital_Mensual!K95&gt;0, ROUND(Saldos_Capital_Mensual!K95 * 'Resumen_Cartera'!$Q95, 2), "")</f>
        <v/>
      </c>
      <c r="M95" s="23">
        <f>IF(Saldos_Capital_Mensual!L95&gt;0, ROUND(Saldos_Capital_Mensual!L95 * 'Resumen_Cartera'!$Q95, 2), "")</f>
        <v/>
      </c>
      <c r="N95" s="23">
        <f>IF(Saldos_Capital_Mensual!M95&gt;0, ROUND(Saldos_Capital_Mensual!M95 * 'Resumen_Cartera'!$Q95, 2), "")</f>
        <v/>
      </c>
      <c r="O95" s="23">
        <f>IF(Saldos_Capital_Mensual!N95&gt;0, ROUND(Saldos_Capital_Mensual!N95 * 'Resumen_Cartera'!$Q95, 2), "")</f>
        <v/>
      </c>
      <c r="P95" s="23">
        <f>IF(Saldos_Capital_Mensual!O95&gt;0, ROUND(Saldos_Capital_Mensual!O95 * 'Resumen_Cartera'!$Q95, 2), "")</f>
        <v/>
      </c>
      <c r="Q95" s="23">
        <f>IF(Saldos_Capital_Mensual!P95&gt;0, ROUND(Saldos_Capital_Mensual!P95 * 'Resumen_Cartera'!$Q95, 2), "")</f>
        <v/>
      </c>
      <c r="R95" s="23">
        <f>IF(Saldos_Capital_Mensual!Q95&gt;0, ROUND(Saldos_Capital_Mensual!Q95 * 'Resumen_Cartera'!$Q95, 2), "")</f>
        <v/>
      </c>
      <c r="S95" s="23">
        <f>IF(Saldos_Capital_Mensual!R95&gt;0, ROUND(Saldos_Capital_Mensual!R95 * 'Resumen_Cartera'!$Q95, 2), "")</f>
        <v/>
      </c>
      <c r="T95" s="23">
        <f>IF(Saldos_Capital_Mensual!S95&gt;0, ROUND(Saldos_Capital_Mensual!S95 * 'Resumen_Cartera'!$Q95, 2), "")</f>
        <v/>
      </c>
      <c r="U95" s="23">
        <f>SUM(I95:T95)</f>
        <v/>
      </c>
    </row>
    <row r="96">
      <c r="A96" s="26" t="inlineStr">
        <is>
          <t>0641-0001</t>
        </is>
      </c>
      <c r="B96" s="27" t="inlineStr">
        <is>
          <t>Agrideaz Sa de Cv</t>
        </is>
      </c>
      <c r="C96" s="27" t="inlineStr">
        <is>
          <t>Pulse Audace</t>
        </is>
      </c>
      <c r="D96" s="26" t="inlineStr">
        <is>
          <t>ACTIVO</t>
        </is>
      </c>
      <c r="E96" s="26" t="inlineStr">
        <is>
          <t>2023-11-30</t>
        </is>
      </c>
      <c r="F96" s="26" t="inlineStr">
        <is>
          <t>2026-11-30</t>
        </is>
      </c>
      <c r="G96" s="28" t="n">
        <v>36</v>
      </c>
      <c r="H96" s="29" t="n">
        <v>227724.14</v>
      </c>
      <c r="I96" s="29">
        <f>ROUND(172778.08 * 'Resumen_Cartera'!$Q96, 2)</f>
        <v/>
      </c>
      <c r="J96" s="29">
        <f>IF(Saldos_Capital_Mensual!I96&gt;0, ROUND(Saldos_Capital_Mensual!I96 * 'Resumen_Cartera'!$Q96, 2), "")</f>
        <v/>
      </c>
      <c r="K96" s="29">
        <f>IF(Saldos_Capital_Mensual!J96&gt;0, ROUND(Saldos_Capital_Mensual!J96 * 'Resumen_Cartera'!$Q96, 2), "")</f>
        <v/>
      </c>
      <c r="L96" s="29">
        <f>IF(Saldos_Capital_Mensual!K96&gt;0, ROUND(Saldos_Capital_Mensual!K96 * 'Resumen_Cartera'!$Q96, 2), "")</f>
        <v/>
      </c>
      <c r="M96" s="29">
        <f>IF(Saldos_Capital_Mensual!L96&gt;0, ROUND(Saldos_Capital_Mensual!L96 * 'Resumen_Cartera'!$Q96, 2), "")</f>
        <v/>
      </c>
      <c r="N96" s="29">
        <f>IF(Saldos_Capital_Mensual!M96&gt;0, ROUND(Saldos_Capital_Mensual!M96 * 'Resumen_Cartera'!$Q96, 2), "")</f>
        <v/>
      </c>
      <c r="O96" s="29">
        <f>IF(Saldos_Capital_Mensual!N96&gt;0, ROUND(Saldos_Capital_Mensual!N96 * 'Resumen_Cartera'!$Q96, 2), "")</f>
        <v/>
      </c>
      <c r="P96" s="29">
        <f>IF(Saldos_Capital_Mensual!O96&gt;0, ROUND(Saldos_Capital_Mensual!O96 * 'Resumen_Cartera'!$Q96, 2), "")</f>
        <v/>
      </c>
      <c r="Q96" s="29">
        <f>IF(Saldos_Capital_Mensual!P96&gt;0, ROUND(Saldos_Capital_Mensual!P96 * 'Resumen_Cartera'!$Q96, 2), "")</f>
        <v/>
      </c>
      <c r="R96" s="29">
        <f>IF(Saldos_Capital_Mensual!Q96&gt;0, ROUND(Saldos_Capital_Mensual!Q96 * 'Resumen_Cartera'!$Q96, 2), "")</f>
        <v/>
      </c>
      <c r="S96" s="29" t="inlineStr"/>
      <c r="T96" s="29" t="inlineStr"/>
      <c r="U96" s="29">
        <f>SUM(I96:T96)</f>
        <v/>
      </c>
    </row>
    <row r="97">
      <c r="A97" s="20" t="inlineStr">
        <is>
          <t>0641-0002</t>
        </is>
      </c>
      <c r="B97" s="21" t="inlineStr">
        <is>
          <t>Agrideaz Sa de Cv</t>
        </is>
      </c>
      <c r="C97" s="21" t="inlineStr">
        <is>
          <t>MOBI</t>
        </is>
      </c>
      <c r="D97" s="20" t="inlineStr">
        <is>
          <t>ACTIVO</t>
        </is>
      </c>
      <c r="E97" s="20" t="inlineStr">
        <is>
          <t>2023-11-30</t>
        </is>
      </c>
      <c r="F97" s="20" t="inlineStr">
        <is>
          <t>2026-11-30</t>
        </is>
      </c>
      <c r="G97" s="22" t="n">
        <v>36</v>
      </c>
      <c r="H97" s="23" t="n">
        <v>141206.9</v>
      </c>
      <c r="I97" s="23">
        <f>ROUND(107367.28 * 'Resumen_Cartera'!$Q97, 2)</f>
        <v/>
      </c>
      <c r="J97" s="23">
        <f>IF(Saldos_Capital_Mensual!I97&gt;0, ROUND(Saldos_Capital_Mensual!I97 * 'Resumen_Cartera'!$Q97, 2), "")</f>
        <v/>
      </c>
      <c r="K97" s="23">
        <f>IF(Saldos_Capital_Mensual!J97&gt;0, ROUND(Saldos_Capital_Mensual!J97 * 'Resumen_Cartera'!$Q97, 2), "")</f>
        <v/>
      </c>
      <c r="L97" s="23">
        <f>IF(Saldos_Capital_Mensual!K97&gt;0, ROUND(Saldos_Capital_Mensual!K97 * 'Resumen_Cartera'!$Q97, 2), "")</f>
        <v/>
      </c>
      <c r="M97" s="23">
        <f>IF(Saldos_Capital_Mensual!L97&gt;0, ROUND(Saldos_Capital_Mensual!L97 * 'Resumen_Cartera'!$Q97, 2), "")</f>
        <v/>
      </c>
      <c r="N97" s="23">
        <f>IF(Saldos_Capital_Mensual!M97&gt;0, ROUND(Saldos_Capital_Mensual!M97 * 'Resumen_Cartera'!$Q97, 2), "")</f>
        <v/>
      </c>
      <c r="O97" s="23">
        <f>IF(Saldos_Capital_Mensual!N97&gt;0, ROUND(Saldos_Capital_Mensual!N97 * 'Resumen_Cartera'!$Q97, 2), "")</f>
        <v/>
      </c>
      <c r="P97" s="23">
        <f>IF(Saldos_Capital_Mensual!O97&gt;0, ROUND(Saldos_Capital_Mensual!O97 * 'Resumen_Cartera'!$Q97, 2), "")</f>
        <v/>
      </c>
      <c r="Q97" s="23">
        <f>IF(Saldos_Capital_Mensual!P97&gt;0, ROUND(Saldos_Capital_Mensual!P97 * 'Resumen_Cartera'!$Q97, 2), "")</f>
        <v/>
      </c>
      <c r="R97" s="23">
        <f>IF(Saldos_Capital_Mensual!Q97&gt;0, ROUND(Saldos_Capital_Mensual!Q97 * 'Resumen_Cartera'!$Q97, 2), "")</f>
        <v/>
      </c>
      <c r="S97" s="23" t="inlineStr"/>
      <c r="T97" s="23" t="inlineStr"/>
      <c r="U97" s="23">
        <f>SUM(I97:T97)</f>
        <v/>
      </c>
    </row>
    <row r="98">
      <c r="A98" s="26" t="inlineStr">
        <is>
          <t>0642-0001</t>
        </is>
      </c>
      <c r="B98" s="27" t="inlineStr">
        <is>
          <t>Incubadora de Occidente Sa de Cv</t>
        </is>
      </c>
      <c r="C98" s="27" t="inlineStr">
        <is>
          <t>GRAND CHEROKEE LIMITED</t>
        </is>
      </c>
      <c r="D98" s="26" t="inlineStr">
        <is>
          <t>ACTIVO</t>
        </is>
      </c>
      <c r="E98" s="26" t="inlineStr">
        <is>
          <t>2023-12-22</t>
        </is>
      </c>
      <c r="F98" s="26" t="inlineStr">
        <is>
          <t>2027-12-22</t>
        </is>
      </c>
      <c r="G98" s="28" t="n">
        <v>48</v>
      </c>
      <c r="H98" s="29" t="n">
        <v>884488.33</v>
      </c>
      <c r="I98" s="29">
        <f>ROUND(713219.34 * 'Resumen_Cartera'!$Q98, 2)</f>
        <v/>
      </c>
      <c r="J98" s="29">
        <f>IF(Saldos_Capital_Mensual!I98&gt;0, ROUND(Saldos_Capital_Mensual!I98 * 'Resumen_Cartera'!$Q98, 2), "")</f>
        <v/>
      </c>
      <c r="K98" s="29">
        <f>IF(Saldos_Capital_Mensual!J98&gt;0, ROUND(Saldos_Capital_Mensual!J98 * 'Resumen_Cartera'!$Q98, 2), "")</f>
        <v/>
      </c>
      <c r="L98" s="29">
        <f>IF(Saldos_Capital_Mensual!K98&gt;0, ROUND(Saldos_Capital_Mensual!K98 * 'Resumen_Cartera'!$Q98, 2), "")</f>
        <v/>
      </c>
      <c r="M98" s="29">
        <f>IF(Saldos_Capital_Mensual!L98&gt;0, ROUND(Saldos_Capital_Mensual!L98 * 'Resumen_Cartera'!$Q98, 2), "")</f>
        <v/>
      </c>
      <c r="N98" s="29">
        <f>IF(Saldos_Capital_Mensual!M98&gt;0, ROUND(Saldos_Capital_Mensual!M98 * 'Resumen_Cartera'!$Q98, 2), "")</f>
        <v/>
      </c>
      <c r="O98" s="29">
        <f>IF(Saldos_Capital_Mensual!N98&gt;0, ROUND(Saldos_Capital_Mensual!N98 * 'Resumen_Cartera'!$Q98, 2), "")</f>
        <v/>
      </c>
      <c r="P98" s="29">
        <f>IF(Saldos_Capital_Mensual!O98&gt;0, ROUND(Saldos_Capital_Mensual!O98 * 'Resumen_Cartera'!$Q98, 2), "")</f>
        <v/>
      </c>
      <c r="Q98" s="29">
        <f>IF(Saldos_Capital_Mensual!P98&gt;0, ROUND(Saldos_Capital_Mensual!P98 * 'Resumen_Cartera'!$Q98, 2), "")</f>
        <v/>
      </c>
      <c r="R98" s="29">
        <f>IF(Saldos_Capital_Mensual!Q98&gt;0, ROUND(Saldos_Capital_Mensual!Q98 * 'Resumen_Cartera'!$Q98, 2), "")</f>
        <v/>
      </c>
      <c r="S98" s="29">
        <f>IF(Saldos_Capital_Mensual!R98&gt;0, ROUND(Saldos_Capital_Mensual!R98 * 'Resumen_Cartera'!$Q98, 2), "")</f>
        <v/>
      </c>
      <c r="T98" s="29">
        <f>IF(Saldos_Capital_Mensual!S98&gt;0, ROUND(Saldos_Capital_Mensual!S98 * 'Resumen_Cartera'!$Q98, 2), "")</f>
        <v/>
      </c>
      <c r="U98" s="29">
        <f>SUM(I98:T98)</f>
        <v/>
      </c>
    </row>
    <row r="99">
      <c r="A99" s="20" t="inlineStr">
        <is>
          <t>0644-0005</t>
        </is>
      </c>
      <c r="B99" s="21" t="inlineStr">
        <is>
          <t>Bakaya S.A.P.I.</t>
        </is>
      </c>
      <c r="C99" s="21" t="inlineStr">
        <is>
          <t>i118</t>
        </is>
      </c>
      <c r="D99" s="20" t="inlineStr">
        <is>
          <t>ACTIVO</t>
        </is>
      </c>
      <c r="E99" s="20" t="inlineStr">
        <is>
          <t>2025-12-10</t>
        </is>
      </c>
      <c r="F99" s="20" t="inlineStr">
        <is>
          <t>2028-12-10</t>
        </is>
      </c>
      <c r="G99" s="22" t="n">
        <v>36</v>
      </c>
      <c r="H99" s="23" t="n">
        <v>639620.6899999999</v>
      </c>
      <c r="I99" s="23">
        <f>ROUND(633065.59 * 'Resumen_Cartera'!$Q99, 2)</f>
        <v/>
      </c>
      <c r="J99" s="23">
        <f>IF(Saldos_Capital_Mensual!I99&gt;0, ROUND(Saldos_Capital_Mensual!I99 * 'Resumen_Cartera'!$Q99, 2), "")</f>
        <v/>
      </c>
      <c r="K99" s="23">
        <f>IF(Saldos_Capital_Mensual!J99&gt;0, ROUND(Saldos_Capital_Mensual!J99 * 'Resumen_Cartera'!$Q99, 2), "")</f>
        <v/>
      </c>
      <c r="L99" s="23">
        <f>IF(Saldos_Capital_Mensual!K99&gt;0, ROUND(Saldos_Capital_Mensual!K99 * 'Resumen_Cartera'!$Q99, 2), "")</f>
        <v/>
      </c>
      <c r="M99" s="23">
        <f>IF(Saldos_Capital_Mensual!L99&gt;0, ROUND(Saldos_Capital_Mensual!L99 * 'Resumen_Cartera'!$Q99, 2), "")</f>
        <v/>
      </c>
      <c r="N99" s="23">
        <f>IF(Saldos_Capital_Mensual!M99&gt;0, ROUND(Saldos_Capital_Mensual!M99 * 'Resumen_Cartera'!$Q99, 2), "")</f>
        <v/>
      </c>
      <c r="O99" s="23">
        <f>IF(Saldos_Capital_Mensual!N99&gt;0, ROUND(Saldos_Capital_Mensual!N99 * 'Resumen_Cartera'!$Q99, 2), "")</f>
        <v/>
      </c>
      <c r="P99" s="23">
        <f>IF(Saldos_Capital_Mensual!O99&gt;0, ROUND(Saldos_Capital_Mensual!O99 * 'Resumen_Cartera'!$Q99, 2), "")</f>
        <v/>
      </c>
      <c r="Q99" s="23">
        <f>IF(Saldos_Capital_Mensual!P99&gt;0, ROUND(Saldos_Capital_Mensual!P99 * 'Resumen_Cartera'!$Q99, 2), "")</f>
        <v/>
      </c>
      <c r="R99" s="23">
        <f>IF(Saldos_Capital_Mensual!Q99&gt;0, ROUND(Saldos_Capital_Mensual!Q99 * 'Resumen_Cartera'!$Q99, 2), "")</f>
        <v/>
      </c>
      <c r="S99" s="23">
        <f>IF(Saldos_Capital_Mensual!R99&gt;0, ROUND(Saldos_Capital_Mensual!R99 * 'Resumen_Cartera'!$Q99, 2), "")</f>
        <v/>
      </c>
      <c r="T99" s="23">
        <f>IF(Saldos_Capital_Mensual!S99&gt;0, ROUND(Saldos_Capital_Mensual!S99 * 'Resumen_Cartera'!$Q99, 2), "")</f>
        <v/>
      </c>
      <c r="U99" s="23">
        <f>SUM(I99:T99)</f>
        <v/>
      </c>
    </row>
    <row r="100">
      <c r="A100" s="26" t="inlineStr">
        <is>
          <t>0644-0006</t>
        </is>
      </c>
      <c r="B100" s="27" t="inlineStr">
        <is>
          <t>Bkaya S.A.P.I.</t>
        </is>
      </c>
      <c r="C100" s="27" t="inlineStr">
        <is>
          <t>Highlander XLE</t>
        </is>
      </c>
      <c r="D100" s="26" t="inlineStr">
        <is>
          <t>ACTIVO</t>
        </is>
      </c>
      <c r="E100" s="26" t="inlineStr">
        <is>
          <t>2026-02-25</t>
        </is>
      </c>
      <c r="F100" s="26" t="inlineStr">
        <is>
          <t>2029-02-25</t>
        </is>
      </c>
      <c r="G100" s="28" t="n">
        <v>36</v>
      </c>
      <c r="H100" s="29" t="n">
        <v>754162.0699999999</v>
      </c>
      <c r="I100" s="29" t="inlineStr"/>
      <c r="J100" s="29">
        <f>ROUND('Resumen_Cartera'!$K100 * 'Resumen_Cartera'!$Q100, 2)</f>
        <v/>
      </c>
      <c r="K100" s="29">
        <f>IF(Saldos_Capital_Mensual!J100&gt;0, ROUND(Saldos_Capital_Mensual!J100 * 'Resumen_Cartera'!$Q100, 2), "")</f>
        <v/>
      </c>
      <c r="L100" s="29">
        <f>IF(Saldos_Capital_Mensual!K100&gt;0, ROUND(Saldos_Capital_Mensual!K100 * 'Resumen_Cartera'!$Q100, 2), "")</f>
        <v/>
      </c>
      <c r="M100" s="29">
        <f>IF(Saldos_Capital_Mensual!L100&gt;0, ROUND(Saldos_Capital_Mensual!L100 * 'Resumen_Cartera'!$Q100, 2), "")</f>
        <v/>
      </c>
      <c r="N100" s="29">
        <f>IF(Saldos_Capital_Mensual!M100&gt;0, ROUND(Saldos_Capital_Mensual!M100 * 'Resumen_Cartera'!$Q100, 2), "")</f>
        <v/>
      </c>
      <c r="O100" s="29">
        <f>IF(Saldos_Capital_Mensual!N100&gt;0, ROUND(Saldos_Capital_Mensual!N100 * 'Resumen_Cartera'!$Q100, 2), "")</f>
        <v/>
      </c>
      <c r="P100" s="29">
        <f>IF(Saldos_Capital_Mensual!O100&gt;0, ROUND(Saldos_Capital_Mensual!O100 * 'Resumen_Cartera'!$Q100, 2), "")</f>
        <v/>
      </c>
      <c r="Q100" s="29">
        <f>IF(Saldos_Capital_Mensual!P100&gt;0, ROUND(Saldos_Capital_Mensual!P100 * 'Resumen_Cartera'!$Q100, 2), "")</f>
        <v/>
      </c>
      <c r="R100" s="29">
        <f>IF(Saldos_Capital_Mensual!Q100&gt;0, ROUND(Saldos_Capital_Mensual!Q100 * 'Resumen_Cartera'!$Q100, 2), "")</f>
        <v/>
      </c>
      <c r="S100" s="29">
        <f>IF(Saldos_Capital_Mensual!R100&gt;0, ROUND(Saldos_Capital_Mensual!R100 * 'Resumen_Cartera'!$Q100, 2), "")</f>
        <v/>
      </c>
      <c r="T100" s="29">
        <f>IF(Saldos_Capital_Mensual!S100&gt;0, ROUND(Saldos_Capital_Mensual!S100 * 'Resumen_Cartera'!$Q100, 2), "")</f>
        <v/>
      </c>
      <c r="U100" s="29">
        <f>SUM(I100:T100)</f>
        <v/>
      </c>
    </row>
    <row r="101">
      <c r="A101" s="20" t="inlineStr">
        <is>
          <t>0645-0001</t>
        </is>
      </c>
      <c r="B101" s="21" t="inlineStr">
        <is>
          <t>Armando Duran Rubio</t>
        </is>
      </c>
      <c r="C101" s="21" t="inlineStr">
        <is>
          <t>Ram 1500 Bighorn</t>
        </is>
      </c>
      <c r="D101" s="20" t="inlineStr">
        <is>
          <t>ACTIVO</t>
        </is>
      </c>
      <c r="E101" s="20" t="inlineStr">
        <is>
          <t>2023-12-28</t>
        </is>
      </c>
      <c r="F101" s="20" t="inlineStr">
        <is>
          <t>2027-12-28</t>
        </is>
      </c>
      <c r="G101" s="22" t="n">
        <v>48</v>
      </c>
      <c r="H101" s="23" t="n">
        <v>665448.27</v>
      </c>
      <c r="I101" s="23">
        <f>ROUND(495476.08 * 'Resumen_Cartera'!$Q101, 2)</f>
        <v/>
      </c>
      <c r="J101" s="23">
        <f>IF(Saldos_Capital_Mensual!I101&gt;0, ROUND(Saldos_Capital_Mensual!I101 * 'Resumen_Cartera'!$Q101, 2), "")</f>
        <v/>
      </c>
      <c r="K101" s="23">
        <f>IF(Saldos_Capital_Mensual!J101&gt;0, ROUND(Saldos_Capital_Mensual!J101 * 'Resumen_Cartera'!$Q101, 2), "")</f>
        <v/>
      </c>
      <c r="L101" s="23">
        <f>IF(Saldos_Capital_Mensual!K101&gt;0, ROUND(Saldos_Capital_Mensual!K101 * 'Resumen_Cartera'!$Q101, 2), "")</f>
        <v/>
      </c>
      <c r="M101" s="23">
        <f>IF(Saldos_Capital_Mensual!L101&gt;0, ROUND(Saldos_Capital_Mensual!L101 * 'Resumen_Cartera'!$Q101, 2), "")</f>
        <v/>
      </c>
      <c r="N101" s="23">
        <f>IF(Saldos_Capital_Mensual!M101&gt;0, ROUND(Saldos_Capital_Mensual!M101 * 'Resumen_Cartera'!$Q101, 2), "")</f>
        <v/>
      </c>
      <c r="O101" s="23">
        <f>IF(Saldos_Capital_Mensual!N101&gt;0, ROUND(Saldos_Capital_Mensual!N101 * 'Resumen_Cartera'!$Q101, 2), "")</f>
        <v/>
      </c>
      <c r="P101" s="23">
        <f>IF(Saldos_Capital_Mensual!O101&gt;0, ROUND(Saldos_Capital_Mensual!O101 * 'Resumen_Cartera'!$Q101, 2), "")</f>
        <v/>
      </c>
      <c r="Q101" s="23">
        <f>IF(Saldos_Capital_Mensual!P101&gt;0, ROUND(Saldos_Capital_Mensual!P101 * 'Resumen_Cartera'!$Q101, 2), "")</f>
        <v/>
      </c>
      <c r="R101" s="23">
        <f>IF(Saldos_Capital_Mensual!Q101&gt;0, ROUND(Saldos_Capital_Mensual!Q101 * 'Resumen_Cartera'!$Q101, 2), "")</f>
        <v/>
      </c>
      <c r="S101" s="23">
        <f>IF(Saldos_Capital_Mensual!R101&gt;0, ROUND(Saldos_Capital_Mensual!R101 * 'Resumen_Cartera'!$Q101, 2), "")</f>
        <v/>
      </c>
      <c r="T101" s="23">
        <f>IF(Saldos_Capital_Mensual!S101&gt;0, ROUND(Saldos_Capital_Mensual!S101 * 'Resumen_Cartera'!$Q101, 2), "")</f>
        <v/>
      </c>
      <c r="U101" s="23">
        <f>SUM(I101:T101)</f>
        <v/>
      </c>
    </row>
    <row r="102">
      <c r="A102" s="26" t="inlineStr">
        <is>
          <t>0646-0001</t>
        </is>
      </c>
      <c r="B102" s="27" t="inlineStr">
        <is>
          <t>Liza Minerva Magallanes Reimers</t>
        </is>
      </c>
      <c r="C102" s="27" t="inlineStr">
        <is>
          <t>Wrangler</t>
        </is>
      </c>
      <c r="D102" s="26" t="inlineStr">
        <is>
          <t>ACTIVO</t>
        </is>
      </c>
      <c r="E102" s="26" t="inlineStr">
        <is>
          <t>2024-01-12</t>
        </is>
      </c>
      <c r="F102" s="26" t="inlineStr">
        <is>
          <t>2028-01-12</t>
        </is>
      </c>
      <c r="G102" s="28" t="n">
        <v>48</v>
      </c>
      <c r="H102" s="29" t="n">
        <v>784422.42</v>
      </c>
      <c r="I102" s="29">
        <f>ROUND(604474.59 * 'Resumen_Cartera'!$Q102, 2)</f>
        <v/>
      </c>
      <c r="J102" s="29">
        <f>IF(Saldos_Capital_Mensual!I102&gt;0, ROUND(Saldos_Capital_Mensual!I102 * 'Resumen_Cartera'!$Q102, 2), "")</f>
        <v/>
      </c>
      <c r="K102" s="29">
        <f>IF(Saldos_Capital_Mensual!J102&gt;0, ROUND(Saldos_Capital_Mensual!J102 * 'Resumen_Cartera'!$Q102, 2), "")</f>
        <v/>
      </c>
      <c r="L102" s="29">
        <f>IF(Saldos_Capital_Mensual!K102&gt;0, ROUND(Saldos_Capital_Mensual!K102 * 'Resumen_Cartera'!$Q102, 2), "")</f>
        <v/>
      </c>
      <c r="M102" s="29">
        <f>IF(Saldos_Capital_Mensual!L102&gt;0, ROUND(Saldos_Capital_Mensual!L102 * 'Resumen_Cartera'!$Q102, 2), "")</f>
        <v/>
      </c>
      <c r="N102" s="29">
        <f>IF(Saldos_Capital_Mensual!M102&gt;0, ROUND(Saldos_Capital_Mensual!M102 * 'Resumen_Cartera'!$Q102, 2), "")</f>
        <v/>
      </c>
      <c r="O102" s="29">
        <f>IF(Saldos_Capital_Mensual!N102&gt;0, ROUND(Saldos_Capital_Mensual!N102 * 'Resumen_Cartera'!$Q102, 2), "")</f>
        <v/>
      </c>
      <c r="P102" s="29">
        <f>IF(Saldos_Capital_Mensual!O102&gt;0, ROUND(Saldos_Capital_Mensual!O102 * 'Resumen_Cartera'!$Q102, 2), "")</f>
        <v/>
      </c>
      <c r="Q102" s="29">
        <f>IF(Saldos_Capital_Mensual!P102&gt;0, ROUND(Saldos_Capital_Mensual!P102 * 'Resumen_Cartera'!$Q102, 2), "")</f>
        <v/>
      </c>
      <c r="R102" s="29">
        <f>IF(Saldos_Capital_Mensual!Q102&gt;0, ROUND(Saldos_Capital_Mensual!Q102 * 'Resumen_Cartera'!$Q102, 2), "")</f>
        <v/>
      </c>
      <c r="S102" s="29">
        <f>IF(Saldos_Capital_Mensual!R102&gt;0, ROUND(Saldos_Capital_Mensual!R102 * 'Resumen_Cartera'!$Q102, 2), "")</f>
        <v/>
      </c>
      <c r="T102" s="29">
        <f>IF(Saldos_Capital_Mensual!S102&gt;0, ROUND(Saldos_Capital_Mensual!S102 * 'Resumen_Cartera'!$Q102, 2), "")</f>
        <v/>
      </c>
      <c r="U102" s="29">
        <f>SUM(I102:T102)</f>
        <v/>
      </c>
    </row>
    <row r="103">
      <c r="A103" s="20" t="inlineStr">
        <is>
          <t>0647-0001</t>
        </is>
      </c>
      <c r="B103" s="21" t="inlineStr">
        <is>
          <t>Cibara Gourmet S de Rl de Cv</t>
        </is>
      </c>
      <c r="C103" s="21" t="inlineStr">
        <is>
          <t>Partner Maxi</t>
        </is>
      </c>
      <c r="D103" s="20" t="inlineStr">
        <is>
          <t>ACTIVO</t>
        </is>
      </c>
      <c r="E103" s="20" t="inlineStr">
        <is>
          <t>2024-01-10</t>
        </is>
      </c>
      <c r="F103" s="20" t="inlineStr">
        <is>
          <t>2027-01-10</t>
        </is>
      </c>
      <c r="G103" s="22" t="n">
        <v>36</v>
      </c>
      <c r="H103" s="23" t="n">
        <v>302000</v>
      </c>
      <c r="I103" s="23">
        <f>ROUND(179988.84 * 'Resumen_Cartera'!$Q103, 2)</f>
        <v/>
      </c>
      <c r="J103" s="23">
        <f>IF(Saldos_Capital_Mensual!I103&gt;0, ROUND(Saldos_Capital_Mensual!I103 * 'Resumen_Cartera'!$Q103, 2), "")</f>
        <v/>
      </c>
      <c r="K103" s="23">
        <f>IF(Saldos_Capital_Mensual!J103&gt;0, ROUND(Saldos_Capital_Mensual!J103 * 'Resumen_Cartera'!$Q103, 2), "")</f>
        <v/>
      </c>
      <c r="L103" s="23">
        <f>IF(Saldos_Capital_Mensual!K103&gt;0, ROUND(Saldos_Capital_Mensual!K103 * 'Resumen_Cartera'!$Q103, 2), "")</f>
        <v/>
      </c>
      <c r="M103" s="23">
        <f>IF(Saldos_Capital_Mensual!L103&gt;0, ROUND(Saldos_Capital_Mensual!L103 * 'Resumen_Cartera'!$Q103, 2), "")</f>
        <v/>
      </c>
      <c r="N103" s="23">
        <f>IF(Saldos_Capital_Mensual!M103&gt;0, ROUND(Saldos_Capital_Mensual!M103 * 'Resumen_Cartera'!$Q103, 2), "")</f>
        <v/>
      </c>
      <c r="O103" s="23">
        <f>IF(Saldos_Capital_Mensual!N103&gt;0, ROUND(Saldos_Capital_Mensual!N103 * 'Resumen_Cartera'!$Q103, 2), "")</f>
        <v/>
      </c>
      <c r="P103" s="23">
        <f>IF(Saldos_Capital_Mensual!O103&gt;0, ROUND(Saldos_Capital_Mensual!O103 * 'Resumen_Cartera'!$Q103, 2), "")</f>
        <v/>
      </c>
      <c r="Q103" s="23">
        <f>IF(Saldos_Capital_Mensual!P103&gt;0, ROUND(Saldos_Capital_Mensual!P103 * 'Resumen_Cartera'!$Q103, 2), "")</f>
        <v/>
      </c>
      <c r="R103" s="23">
        <f>IF(Saldos_Capital_Mensual!Q103&gt;0, ROUND(Saldos_Capital_Mensual!Q103 * 'Resumen_Cartera'!$Q103, 2), "")</f>
        <v/>
      </c>
      <c r="S103" s="23">
        <f>IF(Saldos_Capital_Mensual!R103&gt;0, ROUND(Saldos_Capital_Mensual!R103 * 'Resumen_Cartera'!$Q103, 2), "")</f>
        <v/>
      </c>
      <c r="T103" s="23">
        <f>IF(Saldos_Capital_Mensual!S103&gt;0, ROUND(Saldos_Capital_Mensual!S103 * 'Resumen_Cartera'!$Q103, 2), "")</f>
        <v/>
      </c>
      <c r="U103" s="23">
        <f>SUM(I103:T103)</f>
        <v/>
      </c>
    </row>
    <row r="104">
      <c r="A104" s="26" t="inlineStr">
        <is>
          <t>0647-0002</t>
        </is>
      </c>
      <c r="B104" s="27" t="inlineStr">
        <is>
          <t>Cibara Gourmet S de Rl de Cv</t>
        </is>
      </c>
      <c r="C104" s="27" t="inlineStr">
        <is>
          <t>Rifter Allure Pack</t>
        </is>
      </c>
      <c r="D104" s="26" t="inlineStr">
        <is>
          <t>ACTIVO</t>
        </is>
      </c>
      <c r="E104" s="26" t="inlineStr">
        <is>
          <t>2024-08-14</t>
        </is>
      </c>
      <c r="F104" s="26" t="inlineStr">
        <is>
          <t>2027-08-14</t>
        </is>
      </c>
      <c r="G104" s="28" t="n">
        <v>36</v>
      </c>
      <c r="H104" s="29" t="n">
        <v>384068.97</v>
      </c>
      <c r="I104" s="29">
        <f>ROUND(266693.16 * 'Resumen_Cartera'!$Q104, 2)</f>
        <v/>
      </c>
      <c r="J104" s="29">
        <f>IF(Saldos_Capital_Mensual!I104&gt;0, ROUND(Saldos_Capital_Mensual!I104 * 'Resumen_Cartera'!$Q104, 2), "")</f>
        <v/>
      </c>
      <c r="K104" s="29">
        <f>IF(Saldos_Capital_Mensual!J104&gt;0, ROUND(Saldos_Capital_Mensual!J104 * 'Resumen_Cartera'!$Q104, 2), "")</f>
        <v/>
      </c>
      <c r="L104" s="29">
        <f>IF(Saldos_Capital_Mensual!K104&gt;0, ROUND(Saldos_Capital_Mensual!K104 * 'Resumen_Cartera'!$Q104, 2), "")</f>
        <v/>
      </c>
      <c r="M104" s="29">
        <f>IF(Saldos_Capital_Mensual!L104&gt;0, ROUND(Saldos_Capital_Mensual!L104 * 'Resumen_Cartera'!$Q104, 2), "")</f>
        <v/>
      </c>
      <c r="N104" s="29">
        <f>IF(Saldos_Capital_Mensual!M104&gt;0, ROUND(Saldos_Capital_Mensual!M104 * 'Resumen_Cartera'!$Q104, 2), "")</f>
        <v/>
      </c>
      <c r="O104" s="29">
        <f>IF(Saldos_Capital_Mensual!N104&gt;0, ROUND(Saldos_Capital_Mensual!N104 * 'Resumen_Cartera'!$Q104, 2), "")</f>
        <v/>
      </c>
      <c r="P104" s="29">
        <f>IF(Saldos_Capital_Mensual!O104&gt;0, ROUND(Saldos_Capital_Mensual!O104 * 'Resumen_Cartera'!$Q104, 2), "")</f>
        <v/>
      </c>
      <c r="Q104" s="29">
        <f>IF(Saldos_Capital_Mensual!P104&gt;0, ROUND(Saldos_Capital_Mensual!P104 * 'Resumen_Cartera'!$Q104, 2), "")</f>
        <v/>
      </c>
      <c r="R104" s="29">
        <f>IF(Saldos_Capital_Mensual!Q104&gt;0, ROUND(Saldos_Capital_Mensual!Q104 * 'Resumen_Cartera'!$Q104, 2), "")</f>
        <v/>
      </c>
      <c r="S104" s="29">
        <f>IF(Saldos_Capital_Mensual!R104&gt;0, ROUND(Saldos_Capital_Mensual!R104 * 'Resumen_Cartera'!$Q104, 2), "")</f>
        <v/>
      </c>
      <c r="T104" s="29">
        <f>IF(Saldos_Capital_Mensual!S104&gt;0, ROUND(Saldos_Capital_Mensual!S104 * 'Resumen_Cartera'!$Q104, 2), "")</f>
        <v/>
      </c>
      <c r="U104" s="29">
        <f>SUM(I104:T104)</f>
        <v/>
      </c>
    </row>
    <row r="105">
      <c r="A105" s="20" t="inlineStr">
        <is>
          <t>0647-0003</t>
        </is>
      </c>
      <c r="B105" s="21" t="inlineStr">
        <is>
          <t>Cibaria Gourmet S de Rl de Cv</t>
        </is>
      </c>
      <c r="C105" s="21" t="inlineStr">
        <is>
          <t>1200 Bighorn</t>
        </is>
      </c>
      <c r="D105" s="20" t="inlineStr">
        <is>
          <t>ACTIVO</t>
        </is>
      </c>
      <c r="E105" s="20" t="inlineStr">
        <is>
          <t>2026-06-30</t>
        </is>
      </c>
      <c r="F105" s="20" t="inlineStr">
        <is>
          <t>2029-06-30</t>
        </is>
      </c>
      <c r="G105" s="22" t="n">
        <v>36</v>
      </c>
      <c r="H105" s="23" t="n">
        <v>393752.1</v>
      </c>
      <c r="I105" s="23" t="inlineStr"/>
      <c r="J105" s="23" t="inlineStr"/>
      <c r="K105" s="23" t="inlineStr"/>
      <c r="L105" s="23" t="inlineStr"/>
      <c r="M105" s="23" t="inlineStr"/>
      <c r="N105" s="23">
        <f>ROUND('Resumen_Cartera'!$K105 * 'Resumen_Cartera'!$Q105, 2)</f>
        <v/>
      </c>
      <c r="O105" s="23">
        <f>IF(Saldos_Capital_Mensual!N105&gt;0, ROUND(Saldos_Capital_Mensual!N105 * 'Resumen_Cartera'!$Q105, 2), "")</f>
        <v/>
      </c>
      <c r="P105" s="23">
        <f>IF(Saldos_Capital_Mensual!O105&gt;0, ROUND(Saldos_Capital_Mensual!O105 * 'Resumen_Cartera'!$Q105, 2), "")</f>
        <v/>
      </c>
      <c r="Q105" s="23">
        <f>IF(Saldos_Capital_Mensual!P105&gt;0, ROUND(Saldos_Capital_Mensual!P105 * 'Resumen_Cartera'!$Q105, 2), "")</f>
        <v/>
      </c>
      <c r="R105" s="23">
        <f>IF(Saldos_Capital_Mensual!Q105&gt;0, ROUND(Saldos_Capital_Mensual!Q105 * 'Resumen_Cartera'!$Q105, 2), "")</f>
        <v/>
      </c>
      <c r="S105" s="23">
        <f>IF(Saldos_Capital_Mensual!R105&gt;0, ROUND(Saldos_Capital_Mensual!R105 * 'Resumen_Cartera'!$Q105, 2), "")</f>
        <v/>
      </c>
      <c r="T105" s="23">
        <f>IF(Saldos_Capital_Mensual!S105&gt;0, ROUND(Saldos_Capital_Mensual!S105 * 'Resumen_Cartera'!$Q105, 2), "")</f>
        <v/>
      </c>
      <c r="U105" s="23">
        <f>SUM(I105:T105)</f>
        <v/>
      </c>
    </row>
    <row r="106">
      <c r="A106" s="26" t="inlineStr">
        <is>
          <t>0647-0004</t>
        </is>
      </c>
      <c r="B106" s="27" t="inlineStr">
        <is>
          <t>Cibaria Gourmet S de Rl de Cv</t>
        </is>
      </c>
      <c r="C106" s="27" t="inlineStr">
        <is>
          <t>1200 Bighorn</t>
        </is>
      </c>
      <c r="D106" s="26" t="inlineStr">
        <is>
          <t>ACTIVO</t>
        </is>
      </c>
      <c r="E106" s="26" t="inlineStr">
        <is>
          <t>2026-06-30</t>
        </is>
      </c>
      <c r="F106" s="26" t="inlineStr">
        <is>
          <t>2029-06-30</t>
        </is>
      </c>
      <c r="G106" s="28" t="n">
        <v>36</v>
      </c>
      <c r="H106" s="29" t="n">
        <v>393752.1</v>
      </c>
      <c r="I106" s="29" t="inlineStr"/>
      <c r="J106" s="29" t="inlineStr"/>
      <c r="K106" s="29" t="inlineStr"/>
      <c r="L106" s="29" t="inlineStr"/>
      <c r="M106" s="29" t="inlineStr"/>
      <c r="N106" s="29">
        <f>ROUND('Resumen_Cartera'!$K106 * 'Resumen_Cartera'!$Q106, 2)</f>
        <v/>
      </c>
      <c r="O106" s="29">
        <f>IF(Saldos_Capital_Mensual!N106&gt;0, ROUND(Saldos_Capital_Mensual!N106 * 'Resumen_Cartera'!$Q106, 2), "")</f>
        <v/>
      </c>
      <c r="P106" s="29">
        <f>IF(Saldos_Capital_Mensual!O106&gt;0, ROUND(Saldos_Capital_Mensual!O106 * 'Resumen_Cartera'!$Q106, 2), "")</f>
        <v/>
      </c>
      <c r="Q106" s="29">
        <f>IF(Saldos_Capital_Mensual!P106&gt;0, ROUND(Saldos_Capital_Mensual!P106 * 'Resumen_Cartera'!$Q106, 2), "")</f>
        <v/>
      </c>
      <c r="R106" s="29">
        <f>IF(Saldos_Capital_Mensual!Q106&gt;0, ROUND(Saldos_Capital_Mensual!Q106 * 'Resumen_Cartera'!$Q106, 2), "")</f>
        <v/>
      </c>
      <c r="S106" s="29">
        <f>IF(Saldos_Capital_Mensual!R106&gt;0, ROUND(Saldos_Capital_Mensual!R106 * 'Resumen_Cartera'!$Q106, 2), "")</f>
        <v/>
      </c>
      <c r="T106" s="29">
        <f>IF(Saldos_Capital_Mensual!S106&gt;0, ROUND(Saldos_Capital_Mensual!S106 * 'Resumen_Cartera'!$Q106, 2), "")</f>
        <v/>
      </c>
      <c r="U106" s="29">
        <f>SUM(I106:T106)</f>
        <v/>
      </c>
    </row>
    <row r="107">
      <c r="A107" s="20" t="inlineStr">
        <is>
          <t>0648-0002</t>
        </is>
      </c>
      <c r="B107" s="21" t="inlineStr">
        <is>
          <t>Jorge Luis Cervantes Gonzalez</t>
        </is>
      </c>
      <c r="C107" s="21" t="inlineStr">
        <is>
          <t>Wagoneer</t>
        </is>
      </c>
      <c r="D107" s="20" t="inlineStr">
        <is>
          <t>ACTIVO</t>
        </is>
      </c>
      <c r="E107" s="20" t="inlineStr">
        <is>
          <t>2024-03-20</t>
        </is>
      </c>
      <c r="F107" s="20" t="inlineStr">
        <is>
          <t>2028-03-20</t>
        </is>
      </c>
      <c r="G107" s="22" t="n">
        <v>48</v>
      </c>
      <c r="H107" s="23" t="n">
        <v>1163387.93</v>
      </c>
      <c r="I107" s="23">
        <f>ROUND(930229.79 * 'Resumen_Cartera'!$Q107, 2)</f>
        <v/>
      </c>
      <c r="J107" s="23">
        <f>IF(Saldos_Capital_Mensual!I107&gt;0, ROUND(Saldos_Capital_Mensual!I107 * 'Resumen_Cartera'!$Q107, 2), "")</f>
        <v/>
      </c>
      <c r="K107" s="23">
        <f>IF(Saldos_Capital_Mensual!J107&gt;0, ROUND(Saldos_Capital_Mensual!J107 * 'Resumen_Cartera'!$Q107, 2), "")</f>
        <v/>
      </c>
      <c r="L107" s="23">
        <f>IF(Saldos_Capital_Mensual!K107&gt;0, ROUND(Saldos_Capital_Mensual!K107 * 'Resumen_Cartera'!$Q107, 2), "")</f>
        <v/>
      </c>
      <c r="M107" s="23">
        <f>IF(Saldos_Capital_Mensual!L107&gt;0, ROUND(Saldos_Capital_Mensual!L107 * 'Resumen_Cartera'!$Q107, 2), "")</f>
        <v/>
      </c>
      <c r="N107" s="23">
        <f>IF(Saldos_Capital_Mensual!M107&gt;0, ROUND(Saldos_Capital_Mensual!M107 * 'Resumen_Cartera'!$Q107, 2), "")</f>
        <v/>
      </c>
      <c r="O107" s="23">
        <f>IF(Saldos_Capital_Mensual!N107&gt;0, ROUND(Saldos_Capital_Mensual!N107 * 'Resumen_Cartera'!$Q107, 2), "")</f>
        <v/>
      </c>
      <c r="P107" s="23">
        <f>IF(Saldos_Capital_Mensual!O107&gt;0, ROUND(Saldos_Capital_Mensual!O107 * 'Resumen_Cartera'!$Q107, 2), "")</f>
        <v/>
      </c>
      <c r="Q107" s="23">
        <f>IF(Saldos_Capital_Mensual!P107&gt;0, ROUND(Saldos_Capital_Mensual!P107 * 'Resumen_Cartera'!$Q107, 2), "")</f>
        <v/>
      </c>
      <c r="R107" s="23">
        <f>IF(Saldos_Capital_Mensual!Q107&gt;0, ROUND(Saldos_Capital_Mensual!Q107 * 'Resumen_Cartera'!$Q107, 2), "")</f>
        <v/>
      </c>
      <c r="S107" s="23">
        <f>IF(Saldos_Capital_Mensual!R107&gt;0, ROUND(Saldos_Capital_Mensual!R107 * 'Resumen_Cartera'!$Q107, 2), "")</f>
        <v/>
      </c>
      <c r="T107" s="23">
        <f>IF(Saldos_Capital_Mensual!S107&gt;0, ROUND(Saldos_Capital_Mensual!S107 * 'Resumen_Cartera'!$Q107, 2), "")</f>
        <v/>
      </c>
      <c r="U107" s="23">
        <f>SUM(I107:T107)</f>
        <v/>
      </c>
    </row>
    <row r="108">
      <c r="A108" s="26" t="inlineStr">
        <is>
          <t>0648-0003</t>
        </is>
      </c>
      <c r="B108" s="27" t="inlineStr">
        <is>
          <t>Jorge Luis Cervantes Gonzalez</t>
        </is>
      </c>
      <c r="C108" s="27" t="inlineStr">
        <is>
          <t>Wrangler Tuscadero</t>
        </is>
      </c>
      <c r="D108" s="26" t="inlineStr">
        <is>
          <t>ACTIVO</t>
        </is>
      </c>
      <c r="E108" s="26" t="inlineStr">
        <is>
          <t>2024-07-30</t>
        </is>
      </c>
      <c r="F108" s="26" t="inlineStr">
        <is>
          <t>2028-07-30</t>
        </is>
      </c>
      <c r="G108" s="28" t="n">
        <v>48</v>
      </c>
      <c r="H108" s="29" t="n">
        <v>1097767.24</v>
      </c>
      <c r="I108" s="29">
        <f>ROUND(912243.27 * 'Resumen_Cartera'!$Q108, 2)</f>
        <v/>
      </c>
      <c r="J108" s="29">
        <f>IF(Saldos_Capital_Mensual!I108&gt;0, ROUND(Saldos_Capital_Mensual!I108 * 'Resumen_Cartera'!$Q108, 2), "")</f>
        <v/>
      </c>
      <c r="K108" s="29">
        <f>IF(Saldos_Capital_Mensual!J108&gt;0, ROUND(Saldos_Capital_Mensual!J108 * 'Resumen_Cartera'!$Q108, 2), "")</f>
        <v/>
      </c>
      <c r="L108" s="29">
        <f>IF(Saldos_Capital_Mensual!K108&gt;0, ROUND(Saldos_Capital_Mensual!K108 * 'Resumen_Cartera'!$Q108, 2), "")</f>
        <v/>
      </c>
      <c r="M108" s="29">
        <f>IF(Saldos_Capital_Mensual!L108&gt;0, ROUND(Saldos_Capital_Mensual!L108 * 'Resumen_Cartera'!$Q108, 2), "")</f>
        <v/>
      </c>
      <c r="N108" s="29">
        <f>IF(Saldos_Capital_Mensual!M108&gt;0, ROUND(Saldos_Capital_Mensual!M108 * 'Resumen_Cartera'!$Q108, 2), "")</f>
        <v/>
      </c>
      <c r="O108" s="29">
        <f>IF(Saldos_Capital_Mensual!N108&gt;0, ROUND(Saldos_Capital_Mensual!N108 * 'Resumen_Cartera'!$Q108, 2), "")</f>
        <v/>
      </c>
      <c r="P108" s="29">
        <f>IF(Saldos_Capital_Mensual!O108&gt;0, ROUND(Saldos_Capital_Mensual!O108 * 'Resumen_Cartera'!$Q108, 2), "")</f>
        <v/>
      </c>
      <c r="Q108" s="29">
        <f>IF(Saldos_Capital_Mensual!P108&gt;0, ROUND(Saldos_Capital_Mensual!P108 * 'Resumen_Cartera'!$Q108, 2), "")</f>
        <v/>
      </c>
      <c r="R108" s="29">
        <f>IF(Saldos_Capital_Mensual!Q108&gt;0, ROUND(Saldos_Capital_Mensual!Q108 * 'Resumen_Cartera'!$Q108, 2), "")</f>
        <v/>
      </c>
      <c r="S108" s="29">
        <f>IF(Saldos_Capital_Mensual!R108&gt;0, ROUND(Saldos_Capital_Mensual!R108 * 'Resumen_Cartera'!$Q108, 2), "")</f>
        <v/>
      </c>
      <c r="T108" s="29">
        <f>IF(Saldos_Capital_Mensual!S108&gt;0, ROUND(Saldos_Capital_Mensual!S108 * 'Resumen_Cartera'!$Q108, 2), "")</f>
        <v/>
      </c>
      <c r="U108" s="29">
        <f>SUM(I108:T108)</f>
        <v/>
      </c>
    </row>
    <row r="109">
      <c r="A109" s="20" t="inlineStr">
        <is>
          <t>0648-0004</t>
        </is>
      </c>
      <c r="B109" s="21" t="inlineStr">
        <is>
          <t>Jorge Luis Cervantes Gonzalez</t>
        </is>
      </c>
      <c r="C109" s="21" t="inlineStr">
        <is>
          <t>JEEP 392</t>
        </is>
      </c>
      <c r="D109" s="20" t="inlineStr">
        <is>
          <t>ACTIVO</t>
        </is>
      </c>
      <c r="E109" s="20" t="inlineStr">
        <is>
          <t>2025-11-13</t>
        </is>
      </c>
      <c r="F109" s="20" t="inlineStr">
        <is>
          <t>2028-11-13</t>
        </is>
      </c>
      <c r="G109" s="22" t="n">
        <v>36</v>
      </c>
      <c r="H109" s="23" t="n">
        <v>1681215.52</v>
      </c>
      <c r="I109" s="23">
        <f>ROUND(1636441.76 * 'Resumen_Cartera'!$Q109, 2)</f>
        <v/>
      </c>
      <c r="J109" s="23">
        <f>IF(Saldos_Capital_Mensual!I109&gt;0, ROUND(Saldos_Capital_Mensual!I109 * 'Resumen_Cartera'!$Q109, 2), "")</f>
        <v/>
      </c>
      <c r="K109" s="23">
        <f>IF(Saldos_Capital_Mensual!J109&gt;0, ROUND(Saldos_Capital_Mensual!J109 * 'Resumen_Cartera'!$Q109, 2), "")</f>
        <v/>
      </c>
      <c r="L109" s="23">
        <f>IF(Saldos_Capital_Mensual!K109&gt;0, ROUND(Saldos_Capital_Mensual!K109 * 'Resumen_Cartera'!$Q109, 2), "")</f>
        <v/>
      </c>
      <c r="M109" s="23">
        <f>IF(Saldos_Capital_Mensual!L109&gt;0, ROUND(Saldos_Capital_Mensual!L109 * 'Resumen_Cartera'!$Q109, 2), "")</f>
        <v/>
      </c>
      <c r="N109" s="23">
        <f>IF(Saldos_Capital_Mensual!M109&gt;0, ROUND(Saldos_Capital_Mensual!M109 * 'Resumen_Cartera'!$Q109, 2), "")</f>
        <v/>
      </c>
      <c r="O109" s="23">
        <f>IF(Saldos_Capital_Mensual!N109&gt;0, ROUND(Saldos_Capital_Mensual!N109 * 'Resumen_Cartera'!$Q109, 2), "")</f>
        <v/>
      </c>
      <c r="P109" s="23">
        <f>IF(Saldos_Capital_Mensual!O109&gt;0, ROUND(Saldos_Capital_Mensual!O109 * 'Resumen_Cartera'!$Q109, 2), "")</f>
        <v/>
      </c>
      <c r="Q109" s="23">
        <f>IF(Saldos_Capital_Mensual!P109&gt;0, ROUND(Saldos_Capital_Mensual!P109 * 'Resumen_Cartera'!$Q109, 2), "")</f>
        <v/>
      </c>
      <c r="R109" s="23">
        <f>IF(Saldos_Capital_Mensual!Q109&gt;0, ROUND(Saldos_Capital_Mensual!Q109 * 'Resumen_Cartera'!$Q109, 2), "")</f>
        <v/>
      </c>
      <c r="S109" s="23">
        <f>IF(Saldos_Capital_Mensual!R109&gt;0, ROUND(Saldos_Capital_Mensual!R109 * 'Resumen_Cartera'!$Q109, 2), "")</f>
        <v/>
      </c>
      <c r="T109" s="23">
        <f>IF(Saldos_Capital_Mensual!S109&gt;0, ROUND(Saldos_Capital_Mensual!S109 * 'Resumen_Cartera'!$Q109, 2), "")</f>
        <v/>
      </c>
      <c r="U109" s="23">
        <f>SUM(I109:T109)</f>
        <v/>
      </c>
    </row>
    <row r="110">
      <c r="A110" s="26" t="inlineStr">
        <is>
          <t>0648-0005</t>
        </is>
      </c>
      <c r="B110" s="27" t="inlineStr">
        <is>
          <t>Jorge Luis Cervantes Gonzalez</t>
        </is>
      </c>
      <c r="C110" s="27" t="inlineStr">
        <is>
          <t>1500 RHO</t>
        </is>
      </c>
      <c r="D110" s="26" t="inlineStr">
        <is>
          <t>ACTIVO</t>
        </is>
      </c>
      <c r="E110" s="26" t="inlineStr">
        <is>
          <t>2026-01-30</t>
        </is>
      </c>
      <c r="F110" s="26" t="inlineStr">
        <is>
          <t>2029-01-30</t>
        </is>
      </c>
      <c r="G110" s="28" t="n">
        <v>36</v>
      </c>
      <c r="H110" s="29" t="n">
        <v>1807758.62</v>
      </c>
      <c r="I110" s="29">
        <f>ROUND('Resumen_Cartera'!$K110 * 'Resumen_Cartera'!$Q110, 2)</f>
        <v/>
      </c>
      <c r="J110" s="29">
        <f>IF(Saldos_Capital_Mensual!I110&gt;0, ROUND(Saldos_Capital_Mensual!I110 * 'Resumen_Cartera'!$Q110, 2), "")</f>
        <v/>
      </c>
      <c r="K110" s="29">
        <f>IF(Saldos_Capital_Mensual!J110&gt;0, ROUND(Saldos_Capital_Mensual!J110 * 'Resumen_Cartera'!$Q110, 2), "")</f>
        <v/>
      </c>
      <c r="L110" s="29">
        <f>IF(Saldos_Capital_Mensual!K110&gt;0, ROUND(Saldos_Capital_Mensual!K110 * 'Resumen_Cartera'!$Q110, 2), "")</f>
        <v/>
      </c>
      <c r="M110" s="29">
        <f>IF(Saldos_Capital_Mensual!L110&gt;0, ROUND(Saldos_Capital_Mensual!L110 * 'Resumen_Cartera'!$Q110, 2), "")</f>
        <v/>
      </c>
      <c r="N110" s="29">
        <f>IF(Saldos_Capital_Mensual!M110&gt;0, ROUND(Saldos_Capital_Mensual!M110 * 'Resumen_Cartera'!$Q110, 2), "")</f>
        <v/>
      </c>
      <c r="O110" s="29">
        <f>IF(Saldos_Capital_Mensual!N110&gt;0, ROUND(Saldos_Capital_Mensual!N110 * 'Resumen_Cartera'!$Q110, 2), "")</f>
        <v/>
      </c>
      <c r="P110" s="29">
        <f>IF(Saldos_Capital_Mensual!O110&gt;0, ROUND(Saldos_Capital_Mensual!O110 * 'Resumen_Cartera'!$Q110, 2), "")</f>
        <v/>
      </c>
      <c r="Q110" s="29">
        <f>IF(Saldos_Capital_Mensual!P110&gt;0, ROUND(Saldos_Capital_Mensual!P110 * 'Resumen_Cartera'!$Q110, 2), "")</f>
        <v/>
      </c>
      <c r="R110" s="29">
        <f>IF(Saldos_Capital_Mensual!Q110&gt;0, ROUND(Saldos_Capital_Mensual!Q110 * 'Resumen_Cartera'!$Q110, 2), "")</f>
        <v/>
      </c>
      <c r="S110" s="29">
        <f>IF(Saldos_Capital_Mensual!R110&gt;0, ROUND(Saldos_Capital_Mensual!R110 * 'Resumen_Cartera'!$Q110, 2), "")</f>
        <v/>
      </c>
      <c r="T110" s="29">
        <f>IF(Saldos_Capital_Mensual!S110&gt;0, ROUND(Saldos_Capital_Mensual!S110 * 'Resumen_Cartera'!$Q110, 2), "")</f>
        <v/>
      </c>
      <c r="U110" s="29">
        <f>SUM(I110:T110)</f>
        <v/>
      </c>
    </row>
    <row r="111">
      <c r="A111" s="20" t="inlineStr">
        <is>
          <t>0648-0006</t>
        </is>
      </c>
      <c r="B111" s="21" t="inlineStr">
        <is>
          <t>Jorge Luis Cervantes Gonzalez</t>
        </is>
      </c>
      <c r="C111" s="21" t="inlineStr">
        <is>
          <t>Durango Hellcat SRT</t>
        </is>
      </c>
      <c r="D111" s="20" t="inlineStr">
        <is>
          <t>ACTIVO</t>
        </is>
      </c>
      <c r="E111" s="20" t="inlineStr">
        <is>
          <t>2026-04-01</t>
        </is>
      </c>
      <c r="F111" s="20" t="inlineStr">
        <is>
          <t>2029-04-01</t>
        </is>
      </c>
      <c r="G111" s="22" t="n">
        <v>36</v>
      </c>
      <c r="H111" s="23" t="n">
        <v>1687422.41</v>
      </c>
      <c r="I111" s="23" t="inlineStr"/>
      <c r="J111" s="23" t="inlineStr"/>
      <c r="K111" s="23" t="inlineStr"/>
      <c r="L111" s="23">
        <f>ROUND('Resumen_Cartera'!$K111 * 'Resumen_Cartera'!$Q111, 2)</f>
        <v/>
      </c>
      <c r="M111" s="23">
        <f>IF(Saldos_Capital_Mensual!L111&gt;0, ROUND(Saldos_Capital_Mensual!L111 * 'Resumen_Cartera'!$Q111, 2), "")</f>
        <v/>
      </c>
      <c r="N111" s="23">
        <f>IF(Saldos_Capital_Mensual!M111&gt;0, ROUND(Saldos_Capital_Mensual!M111 * 'Resumen_Cartera'!$Q111, 2), "")</f>
        <v/>
      </c>
      <c r="O111" s="23">
        <f>IF(Saldos_Capital_Mensual!N111&gt;0, ROUND(Saldos_Capital_Mensual!N111 * 'Resumen_Cartera'!$Q111, 2), "")</f>
        <v/>
      </c>
      <c r="P111" s="23">
        <f>IF(Saldos_Capital_Mensual!O111&gt;0, ROUND(Saldos_Capital_Mensual!O111 * 'Resumen_Cartera'!$Q111, 2), "")</f>
        <v/>
      </c>
      <c r="Q111" s="23">
        <f>IF(Saldos_Capital_Mensual!P111&gt;0, ROUND(Saldos_Capital_Mensual!P111 * 'Resumen_Cartera'!$Q111, 2), "")</f>
        <v/>
      </c>
      <c r="R111" s="23">
        <f>IF(Saldos_Capital_Mensual!Q111&gt;0, ROUND(Saldos_Capital_Mensual!Q111 * 'Resumen_Cartera'!$Q111, 2), "")</f>
        <v/>
      </c>
      <c r="S111" s="23">
        <f>IF(Saldos_Capital_Mensual!R111&gt;0, ROUND(Saldos_Capital_Mensual!R111 * 'Resumen_Cartera'!$Q111, 2), "")</f>
        <v/>
      </c>
      <c r="T111" s="23">
        <f>IF(Saldos_Capital_Mensual!S111&gt;0, ROUND(Saldos_Capital_Mensual!S111 * 'Resumen_Cartera'!$Q111, 2), "")</f>
        <v/>
      </c>
      <c r="U111" s="23">
        <f>SUM(I111:T111)</f>
        <v/>
      </c>
    </row>
    <row r="112">
      <c r="A112" s="26" t="inlineStr">
        <is>
          <t>0649-0001</t>
        </is>
      </c>
      <c r="B112" s="27" t="inlineStr">
        <is>
          <t>Compusoluciones Y Asociados Sa de Cv</t>
        </is>
      </c>
      <c r="C112" s="27" t="inlineStr">
        <is>
          <t>CX-30</t>
        </is>
      </c>
      <c r="D112" s="26" t="inlineStr">
        <is>
          <t>ACTIVO</t>
        </is>
      </c>
      <c r="E112" s="26" t="inlineStr">
        <is>
          <t>2024-02-27</t>
        </is>
      </c>
      <c r="F112" s="26" t="inlineStr">
        <is>
          <t>2028-02-27</t>
        </is>
      </c>
      <c r="G112" s="28" t="n">
        <v>48</v>
      </c>
      <c r="H112" s="29" t="n">
        <v>305284.48</v>
      </c>
      <c r="I112" s="29">
        <f>ROUND(248897.1 * 'Resumen_Cartera'!$Q112, 2)</f>
        <v/>
      </c>
      <c r="J112" s="29">
        <f>IF(Saldos_Capital_Mensual!I112&gt;0, ROUND(Saldos_Capital_Mensual!I112 * 'Resumen_Cartera'!$Q112, 2), "")</f>
        <v/>
      </c>
      <c r="K112" s="29">
        <f>IF(Saldos_Capital_Mensual!J112&gt;0, ROUND(Saldos_Capital_Mensual!J112 * 'Resumen_Cartera'!$Q112, 2), "")</f>
        <v/>
      </c>
      <c r="L112" s="29">
        <f>IF(Saldos_Capital_Mensual!K112&gt;0, ROUND(Saldos_Capital_Mensual!K112 * 'Resumen_Cartera'!$Q112, 2), "")</f>
        <v/>
      </c>
      <c r="M112" s="29">
        <f>IF(Saldos_Capital_Mensual!L112&gt;0, ROUND(Saldos_Capital_Mensual!L112 * 'Resumen_Cartera'!$Q112, 2), "")</f>
        <v/>
      </c>
      <c r="N112" s="29">
        <f>IF(Saldos_Capital_Mensual!M112&gt;0, ROUND(Saldos_Capital_Mensual!M112 * 'Resumen_Cartera'!$Q112, 2), "")</f>
        <v/>
      </c>
      <c r="O112" s="29">
        <f>IF(Saldos_Capital_Mensual!N112&gt;0, ROUND(Saldos_Capital_Mensual!N112 * 'Resumen_Cartera'!$Q112, 2), "")</f>
        <v/>
      </c>
      <c r="P112" s="29">
        <f>IF(Saldos_Capital_Mensual!O112&gt;0, ROUND(Saldos_Capital_Mensual!O112 * 'Resumen_Cartera'!$Q112, 2), "")</f>
        <v/>
      </c>
      <c r="Q112" s="29">
        <f>IF(Saldos_Capital_Mensual!P112&gt;0, ROUND(Saldos_Capital_Mensual!P112 * 'Resumen_Cartera'!$Q112, 2), "")</f>
        <v/>
      </c>
      <c r="R112" s="29">
        <f>IF(Saldos_Capital_Mensual!Q112&gt;0, ROUND(Saldos_Capital_Mensual!Q112 * 'Resumen_Cartera'!$Q112, 2), "")</f>
        <v/>
      </c>
      <c r="S112" s="29">
        <f>IF(Saldos_Capital_Mensual!R112&gt;0, ROUND(Saldos_Capital_Mensual!R112 * 'Resumen_Cartera'!$Q112, 2), "")</f>
        <v/>
      </c>
      <c r="T112" s="29">
        <f>IF(Saldos_Capital_Mensual!S112&gt;0, ROUND(Saldos_Capital_Mensual!S112 * 'Resumen_Cartera'!$Q112, 2), "")</f>
        <v/>
      </c>
      <c r="U112" s="29">
        <f>SUM(I112:T112)</f>
        <v/>
      </c>
    </row>
    <row r="113">
      <c r="A113" s="20" t="inlineStr">
        <is>
          <t>0649-0002</t>
        </is>
      </c>
      <c r="B113" s="21" t="inlineStr">
        <is>
          <t>Compusoluciones Y Asociados Sa de Cv</t>
        </is>
      </c>
      <c r="C113" s="21" t="inlineStr">
        <is>
          <t>CX5</t>
        </is>
      </c>
      <c r="D113" s="20" t="inlineStr">
        <is>
          <t>ACTIVO</t>
        </is>
      </c>
      <c r="E113" s="20" t="inlineStr">
        <is>
          <t>2024-02-27</t>
        </is>
      </c>
      <c r="F113" s="20" t="inlineStr">
        <is>
          <t>2028-02-27</t>
        </is>
      </c>
      <c r="G113" s="22" t="n">
        <v>48</v>
      </c>
      <c r="H113" s="23" t="n">
        <v>346797.41</v>
      </c>
      <c r="I113" s="23">
        <f>ROUND(288023.22 * 'Resumen_Cartera'!$Q113, 2)</f>
        <v/>
      </c>
      <c r="J113" s="23">
        <f>IF(Saldos_Capital_Mensual!I113&gt;0, ROUND(Saldos_Capital_Mensual!I113 * 'Resumen_Cartera'!$Q113, 2), "")</f>
        <v/>
      </c>
      <c r="K113" s="23">
        <f>IF(Saldos_Capital_Mensual!J113&gt;0, ROUND(Saldos_Capital_Mensual!J113 * 'Resumen_Cartera'!$Q113, 2), "")</f>
        <v/>
      </c>
      <c r="L113" s="23">
        <f>IF(Saldos_Capital_Mensual!K113&gt;0, ROUND(Saldos_Capital_Mensual!K113 * 'Resumen_Cartera'!$Q113, 2), "")</f>
        <v/>
      </c>
      <c r="M113" s="23">
        <f>IF(Saldos_Capital_Mensual!L113&gt;0, ROUND(Saldos_Capital_Mensual!L113 * 'Resumen_Cartera'!$Q113, 2), "")</f>
        <v/>
      </c>
      <c r="N113" s="23">
        <f>IF(Saldos_Capital_Mensual!M113&gt;0, ROUND(Saldos_Capital_Mensual!M113 * 'Resumen_Cartera'!$Q113, 2), "")</f>
        <v/>
      </c>
      <c r="O113" s="23">
        <f>IF(Saldos_Capital_Mensual!N113&gt;0, ROUND(Saldos_Capital_Mensual!N113 * 'Resumen_Cartera'!$Q113, 2), "")</f>
        <v/>
      </c>
      <c r="P113" s="23">
        <f>IF(Saldos_Capital_Mensual!O113&gt;0, ROUND(Saldos_Capital_Mensual!O113 * 'Resumen_Cartera'!$Q113, 2), "")</f>
        <v/>
      </c>
      <c r="Q113" s="23">
        <f>IF(Saldos_Capital_Mensual!P113&gt;0, ROUND(Saldos_Capital_Mensual!P113 * 'Resumen_Cartera'!$Q113, 2), "")</f>
        <v/>
      </c>
      <c r="R113" s="23">
        <f>IF(Saldos_Capital_Mensual!Q113&gt;0, ROUND(Saldos_Capital_Mensual!Q113 * 'Resumen_Cartera'!$Q113, 2), "")</f>
        <v/>
      </c>
      <c r="S113" s="23">
        <f>IF(Saldos_Capital_Mensual!R113&gt;0, ROUND(Saldos_Capital_Mensual!R113 * 'Resumen_Cartera'!$Q113, 2), "")</f>
        <v/>
      </c>
      <c r="T113" s="23">
        <f>IF(Saldos_Capital_Mensual!S113&gt;0, ROUND(Saldos_Capital_Mensual!S113 * 'Resumen_Cartera'!$Q113, 2), "")</f>
        <v/>
      </c>
      <c r="U113" s="23">
        <f>SUM(I113:T113)</f>
        <v/>
      </c>
    </row>
    <row r="114">
      <c r="A114" s="26" t="inlineStr">
        <is>
          <t>0649-0003</t>
        </is>
      </c>
      <c r="B114" s="27" t="inlineStr">
        <is>
          <t>Compusoluciones Y Asociados Sa de Cv</t>
        </is>
      </c>
      <c r="C114" s="27" t="inlineStr">
        <is>
          <t>Highlander XLE</t>
        </is>
      </c>
      <c r="D114" s="26" t="inlineStr">
        <is>
          <t>ACTIVO</t>
        </is>
      </c>
      <c r="E114" s="26" t="inlineStr">
        <is>
          <t>2024-03-13</t>
        </is>
      </c>
      <c r="F114" s="26" t="inlineStr">
        <is>
          <t>2028-03-13</t>
        </is>
      </c>
      <c r="G114" s="28" t="n">
        <v>48</v>
      </c>
      <c r="H114" s="29" t="n">
        <v>565672.42</v>
      </c>
      <c r="I114" s="29">
        <f>ROUND(480917.87 * 'Resumen_Cartera'!$Q114, 2)</f>
        <v/>
      </c>
      <c r="J114" s="29">
        <f>IF(Saldos_Capital_Mensual!I114&gt;0, ROUND(Saldos_Capital_Mensual!I114 * 'Resumen_Cartera'!$Q114, 2), "")</f>
        <v/>
      </c>
      <c r="K114" s="29">
        <f>IF(Saldos_Capital_Mensual!J114&gt;0, ROUND(Saldos_Capital_Mensual!J114 * 'Resumen_Cartera'!$Q114, 2), "")</f>
        <v/>
      </c>
      <c r="L114" s="29">
        <f>IF(Saldos_Capital_Mensual!K114&gt;0, ROUND(Saldos_Capital_Mensual!K114 * 'Resumen_Cartera'!$Q114, 2), "")</f>
        <v/>
      </c>
      <c r="M114" s="29">
        <f>IF(Saldos_Capital_Mensual!L114&gt;0, ROUND(Saldos_Capital_Mensual!L114 * 'Resumen_Cartera'!$Q114, 2), "")</f>
        <v/>
      </c>
      <c r="N114" s="29">
        <f>IF(Saldos_Capital_Mensual!M114&gt;0, ROUND(Saldos_Capital_Mensual!M114 * 'Resumen_Cartera'!$Q114, 2), "")</f>
        <v/>
      </c>
      <c r="O114" s="29">
        <f>IF(Saldos_Capital_Mensual!N114&gt;0, ROUND(Saldos_Capital_Mensual!N114 * 'Resumen_Cartera'!$Q114, 2), "")</f>
        <v/>
      </c>
      <c r="P114" s="29">
        <f>IF(Saldos_Capital_Mensual!O114&gt;0, ROUND(Saldos_Capital_Mensual!O114 * 'Resumen_Cartera'!$Q114, 2), "")</f>
        <v/>
      </c>
      <c r="Q114" s="29">
        <f>IF(Saldos_Capital_Mensual!P114&gt;0, ROUND(Saldos_Capital_Mensual!P114 * 'Resumen_Cartera'!$Q114, 2), "")</f>
        <v/>
      </c>
      <c r="R114" s="29">
        <f>IF(Saldos_Capital_Mensual!Q114&gt;0, ROUND(Saldos_Capital_Mensual!Q114 * 'Resumen_Cartera'!$Q114, 2), "")</f>
        <v/>
      </c>
      <c r="S114" s="29">
        <f>IF(Saldos_Capital_Mensual!R114&gt;0, ROUND(Saldos_Capital_Mensual!R114 * 'Resumen_Cartera'!$Q114, 2), "")</f>
        <v/>
      </c>
      <c r="T114" s="29">
        <f>IF(Saldos_Capital_Mensual!S114&gt;0, ROUND(Saldos_Capital_Mensual!S114 * 'Resumen_Cartera'!$Q114, 2), "")</f>
        <v/>
      </c>
      <c r="U114" s="29">
        <f>SUM(I114:T114)</f>
        <v/>
      </c>
    </row>
    <row r="115">
      <c r="A115" s="20" t="inlineStr">
        <is>
          <t>0649-0005</t>
        </is>
      </c>
      <c r="B115" s="21" t="inlineStr">
        <is>
          <t>Compusoluciones y Asociados Sa de Cv</t>
        </is>
      </c>
      <c r="C115" s="21" t="inlineStr">
        <is>
          <t>3 i Touring</t>
        </is>
      </c>
      <c r="D115" s="20" t="inlineStr">
        <is>
          <t>ACTIVO</t>
        </is>
      </c>
      <c r="E115" s="20" t="inlineStr">
        <is>
          <t>2024-07-24</t>
        </is>
      </c>
      <c r="F115" s="20" t="inlineStr">
        <is>
          <t>2028-07-24</t>
        </is>
      </c>
      <c r="G115" s="22" t="n">
        <v>48</v>
      </c>
      <c r="H115" s="23" t="n">
        <v>250978.45</v>
      </c>
      <c r="I115" s="23">
        <f>ROUND(219891.84 * 'Resumen_Cartera'!$Q115, 2)</f>
        <v/>
      </c>
      <c r="J115" s="23">
        <f>IF(Saldos_Capital_Mensual!I115&gt;0, ROUND(Saldos_Capital_Mensual!I115 * 'Resumen_Cartera'!$Q115, 2), "")</f>
        <v/>
      </c>
      <c r="K115" s="23">
        <f>IF(Saldos_Capital_Mensual!J115&gt;0, ROUND(Saldos_Capital_Mensual!J115 * 'Resumen_Cartera'!$Q115, 2), "")</f>
        <v/>
      </c>
      <c r="L115" s="23">
        <f>IF(Saldos_Capital_Mensual!K115&gt;0, ROUND(Saldos_Capital_Mensual!K115 * 'Resumen_Cartera'!$Q115, 2), "")</f>
        <v/>
      </c>
      <c r="M115" s="23">
        <f>IF(Saldos_Capital_Mensual!L115&gt;0, ROUND(Saldos_Capital_Mensual!L115 * 'Resumen_Cartera'!$Q115, 2), "")</f>
        <v/>
      </c>
      <c r="N115" s="23">
        <f>IF(Saldos_Capital_Mensual!M115&gt;0, ROUND(Saldos_Capital_Mensual!M115 * 'Resumen_Cartera'!$Q115, 2), "")</f>
        <v/>
      </c>
      <c r="O115" s="23">
        <f>IF(Saldos_Capital_Mensual!N115&gt;0, ROUND(Saldos_Capital_Mensual!N115 * 'Resumen_Cartera'!$Q115, 2), "")</f>
        <v/>
      </c>
      <c r="P115" s="23">
        <f>IF(Saldos_Capital_Mensual!O115&gt;0, ROUND(Saldos_Capital_Mensual!O115 * 'Resumen_Cartera'!$Q115, 2), "")</f>
        <v/>
      </c>
      <c r="Q115" s="23">
        <f>IF(Saldos_Capital_Mensual!P115&gt;0, ROUND(Saldos_Capital_Mensual!P115 * 'Resumen_Cartera'!$Q115, 2), "")</f>
        <v/>
      </c>
      <c r="R115" s="23">
        <f>IF(Saldos_Capital_Mensual!Q115&gt;0, ROUND(Saldos_Capital_Mensual!Q115 * 'Resumen_Cartera'!$Q115, 2), "")</f>
        <v/>
      </c>
      <c r="S115" s="23">
        <f>IF(Saldos_Capital_Mensual!R115&gt;0, ROUND(Saldos_Capital_Mensual!R115 * 'Resumen_Cartera'!$Q115, 2), "")</f>
        <v/>
      </c>
      <c r="T115" s="23">
        <f>IF(Saldos_Capital_Mensual!S115&gt;0, ROUND(Saldos_Capital_Mensual!S115 * 'Resumen_Cartera'!$Q115, 2), "")</f>
        <v/>
      </c>
      <c r="U115" s="23">
        <f>SUM(I115:T115)</f>
        <v/>
      </c>
    </row>
    <row r="116">
      <c r="A116" s="26" t="inlineStr">
        <is>
          <t>0649-0006</t>
        </is>
      </c>
      <c r="B116" s="27" t="inlineStr">
        <is>
          <t>Compusoluciones y Asociados sa de Cv</t>
        </is>
      </c>
      <c r="C116" s="27" t="inlineStr">
        <is>
          <t>Mazda Cx5</t>
        </is>
      </c>
      <c r="D116" s="26" t="inlineStr">
        <is>
          <t>ACTIVO</t>
        </is>
      </c>
      <c r="E116" s="26" t="inlineStr">
        <is>
          <t>2024-09-25</t>
        </is>
      </c>
      <c r="F116" s="26" t="inlineStr">
        <is>
          <t>2028-09-25</t>
        </is>
      </c>
      <c r="G116" s="28" t="n">
        <v>48</v>
      </c>
      <c r="H116" s="29" t="n">
        <v>367439.65</v>
      </c>
      <c r="I116" s="29">
        <f>ROUND(324521.66 * 'Resumen_Cartera'!$Q116, 2)</f>
        <v/>
      </c>
      <c r="J116" s="29">
        <f>IF(Saldos_Capital_Mensual!I116&gt;0, ROUND(Saldos_Capital_Mensual!I116 * 'Resumen_Cartera'!$Q116, 2), "")</f>
        <v/>
      </c>
      <c r="K116" s="29">
        <f>IF(Saldos_Capital_Mensual!J116&gt;0, ROUND(Saldos_Capital_Mensual!J116 * 'Resumen_Cartera'!$Q116, 2), "")</f>
        <v/>
      </c>
      <c r="L116" s="29">
        <f>IF(Saldos_Capital_Mensual!K116&gt;0, ROUND(Saldos_Capital_Mensual!K116 * 'Resumen_Cartera'!$Q116, 2), "")</f>
        <v/>
      </c>
      <c r="M116" s="29">
        <f>IF(Saldos_Capital_Mensual!L116&gt;0, ROUND(Saldos_Capital_Mensual!L116 * 'Resumen_Cartera'!$Q116, 2), "")</f>
        <v/>
      </c>
      <c r="N116" s="29">
        <f>IF(Saldos_Capital_Mensual!M116&gt;0, ROUND(Saldos_Capital_Mensual!M116 * 'Resumen_Cartera'!$Q116, 2), "")</f>
        <v/>
      </c>
      <c r="O116" s="29">
        <f>IF(Saldos_Capital_Mensual!N116&gt;0, ROUND(Saldos_Capital_Mensual!N116 * 'Resumen_Cartera'!$Q116, 2), "")</f>
        <v/>
      </c>
      <c r="P116" s="29">
        <f>IF(Saldos_Capital_Mensual!O116&gt;0, ROUND(Saldos_Capital_Mensual!O116 * 'Resumen_Cartera'!$Q116, 2), "")</f>
        <v/>
      </c>
      <c r="Q116" s="29">
        <f>IF(Saldos_Capital_Mensual!P116&gt;0, ROUND(Saldos_Capital_Mensual!P116 * 'Resumen_Cartera'!$Q116, 2), "")</f>
        <v/>
      </c>
      <c r="R116" s="29">
        <f>IF(Saldos_Capital_Mensual!Q116&gt;0, ROUND(Saldos_Capital_Mensual!Q116 * 'Resumen_Cartera'!$Q116, 2), "")</f>
        <v/>
      </c>
      <c r="S116" s="29">
        <f>IF(Saldos_Capital_Mensual!R116&gt;0, ROUND(Saldos_Capital_Mensual!R116 * 'Resumen_Cartera'!$Q116, 2), "")</f>
        <v/>
      </c>
      <c r="T116" s="29">
        <f>IF(Saldos_Capital_Mensual!S116&gt;0, ROUND(Saldos_Capital_Mensual!S116 * 'Resumen_Cartera'!$Q116, 2), "")</f>
        <v/>
      </c>
      <c r="U116" s="29">
        <f>SUM(I116:T116)</f>
        <v/>
      </c>
    </row>
    <row r="117">
      <c r="A117" s="20" t="inlineStr">
        <is>
          <t>0649-0007</t>
        </is>
      </c>
      <c r="B117" s="21" t="inlineStr">
        <is>
          <t>Compusoluciones y Asociados sa de Cv</t>
        </is>
      </c>
      <c r="C117" s="21" t="inlineStr">
        <is>
          <t>RX5</t>
        </is>
      </c>
      <c r="D117" s="20" t="inlineStr">
        <is>
          <t>ACTIVO</t>
        </is>
      </c>
      <c r="E117" s="20" t="inlineStr">
        <is>
          <t>2024-10-28</t>
        </is>
      </c>
      <c r="F117" s="20" t="inlineStr">
        <is>
          <t>2027-10-28</t>
        </is>
      </c>
      <c r="G117" s="22" t="n">
        <v>36</v>
      </c>
      <c r="H117" s="23" t="n">
        <v>254900.86</v>
      </c>
      <c r="I117" s="23">
        <f>ROUND(212662.94 * 'Resumen_Cartera'!$Q117, 2)</f>
        <v/>
      </c>
      <c r="J117" s="23">
        <f>IF(Saldos_Capital_Mensual!I117&gt;0, ROUND(Saldos_Capital_Mensual!I117 * 'Resumen_Cartera'!$Q117, 2), "")</f>
        <v/>
      </c>
      <c r="K117" s="23">
        <f>IF(Saldos_Capital_Mensual!J117&gt;0, ROUND(Saldos_Capital_Mensual!J117 * 'Resumen_Cartera'!$Q117, 2), "")</f>
        <v/>
      </c>
      <c r="L117" s="23">
        <f>IF(Saldos_Capital_Mensual!K117&gt;0, ROUND(Saldos_Capital_Mensual!K117 * 'Resumen_Cartera'!$Q117, 2), "")</f>
        <v/>
      </c>
      <c r="M117" s="23">
        <f>IF(Saldos_Capital_Mensual!L117&gt;0, ROUND(Saldos_Capital_Mensual!L117 * 'Resumen_Cartera'!$Q117, 2), "")</f>
        <v/>
      </c>
      <c r="N117" s="23">
        <f>IF(Saldos_Capital_Mensual!M117&gt;0, ROUND(Saldos_Capital_Mensual!M117 * 'Resumen_Cartera'!$Q117, 2), "")</f>
        <v/>
      </c>
      <c r="O117" s="23">
        <f>IF(Saldos_Capital_Mensual!N117&gt;0, ROUND(Saldos_Capital_Mensual!N117 * 'Resumen_Cartera'!$Q117, 2), "")</f>
        <v/>
      </c>
      <c r="P117" s="23">
        <f>IF(Saldos_Capital_Mensual!O117&gt;0, ROUND(Saldos_Capital_Mensual!O117 * 'Resumen_Cartera'!$Q117, 2), "")</f>
        <v/>
      </c>
      <c r="Q117" s="23">
        <f>IF(Saldos_Capital_Mensual!P117&gt;0, ROUND(Saldos_Capital_Mensual!P117 * 'Resumen_Cartera'!$Q117, 2), "")</f>
        <v/>
      </c>
      <c r="R117" s="23">
        <f>IF(Saldos_Capital_Mensual!Q117&gt;0, ROUND(Saldos_Capital_Mensual!Q117 * 'Resumen_Cartera'!$Q117, 2), "")</f>
        <v/>
      </c>
      <c r="S117" s="23">
        <f>IF(Saldos_Capital_Mensual!R117&gt;0, ROUND(Saldos_Capital_Mensual!R117 * 'Resumen_Cartera'!$Q117, 2), "")</f>
        <v/>
      </c>
      <c r="T117" s="23">
        <f>IF(Saldos_Capital_Mensual!S117&gt;0, ROUND(Saldos_Capital_Mensual!S117 * 'Resumen_Cartera'!$Q117, 2), "")</f>
        <v/>
      </c>
      <c r="U117" s="23">
        <f>SUM(I117:T117)</f>
        <v/>
      </c>
    </row>
    <row r="118">
      <c r="A118" s="26" t="inlineStr">
        <is>
          <t>0649-0008</t>
        </is>
      </c>
      <c r="B118" s="27" t="inlineStr">
        <is>
          <t>Compusoluciones y Asociados Sa de Cv</t>
        </is>
      </c>
      <c r="C118" s="27" t="inlineStr">
        <is>
          <t>Kicks</t>
        </is>
      </c>
      <c r="D118" s="26" t="inlineStr">
        <is>
          <t>ACTIVO</t>
        </is>
      </c>
      <c r="E118" s="26" t="inlineStr">
        <is>
          <t>2024-11-27</t>
        </is>
      </c>
      <c r="F118" s="26" t="inlineStr">
        <is>
          <t>2028-11-27</t>
        </is>
      </c>
      <c r="G118" s="28" t="n">
        <v>48</v>
      </c>
      <c r="H118" s="29" t="n">
        <v>354081.9</v>
      </c>
      <c r="I118" s="29">
        <f>ROUND(321757.4 * 'Resumen_Cartera'!$Q118, 2)</f>
        <v/>
      </c>
      <c r="J118" s="29">
        <f>IF(Saldos_Capital_Mensual!I118&gt;0, ROUND(Saldos_Capital_Mensual!I118 * 'Resumen_Cartera'!$Q118, 2), "")</f>
        <v/>
      </c>
      <c r="K118" s="29">
        <f>IF(Saldos_Capital_Mensual!J118&gt;0, ROUND(Saldos_Capital_Mensual!J118 * 'Resumen_Cartera'!$Q118, 2), "")</f>
        <v/>
      </c>
      <c r="L118" s="29">
        <f>IF(Saldos_Capital_Mensual!K118&gt;0, ROUND(Saldos_Capital_Mensual!K118 * 'Resumen_Cartera'!$Q118, 2), "")</f>
        <v/>
      </c>
      <c r="M118" s="29">
        <f>IF(Saldos_Capital_Mensual!L118&gt;0, ROUND(Saldos_Capital_Mensual!L118 * 'Resumen_Cartera'!$Q118, 2), "")</f>
        <v/>
      </c>
      <c r="N118" s="29">
        <f>IF(Saldos_Capital_Mensual!M118&gt;0, ROUND(Saldos_Capital_Mensual!M118 * 'Resumen_Cartera'!$Q118, 2), "")</f>
        <v/>
      </c>
      <c r="O118" s="29">
        <f>IF(Saldos_Capital_Mensual!N118&gt;0, ROUND(Saldos_Capital_Mensual!N118 * 'Resumen_Cartera'!$Q118, 2), "")</f>
        <v/>
      </c>
      <c r="P118" s="29">
        <f>IF(Saldos_Capital_Mensual!O118&gt;0, ROUND(Saldos_Capital_Mensual!O118 * 'Resumen_Cartera'!$Q118, 2), "")</f>
        <v/>
      </c>
      <c r="Q118" s="29">
        <f>IF(Saldos_Capital_Mensual!P118&gt;0, ROUND(Saldos_Capital_Mensual!P118 * 'Resumen_Cartera'!$Q118, 2), "")</f>
        <v/>
      </c>
      <c r="R118" s="29">
        <f>IF(Saldos_Capital_Mensual!Q118&gt;0, ROUND(Saldos_Capital_Mensual!Q118 * 'Resumen_Cartera'!$Q118, 2), "")</f>
        <v/>
      </c>
      <c r="S118" s="29">
        <f>IF(Saldos_Capital_Mensual!R118&gt;0, ROUND(Saldos_Capital_Mensual!R118 * 'Resumen_Cartera'!$Q118, 2), "")</f>
        <v/>
      </c>
      <c r="T118" s="29">
        <f>IF(Saldos_Capital_Mensual!S118&gt;0, ROUND(Saldos_Capital_Mensual!S118 * 'Resumen_Cartera'!$Q118, 2), "")</f>
        <v/>
      </c>
      <c r="U118" s="29">
        <f>SUM(I118:T118)</f>
        <v/>
      </c>
    </row>
    <row r="119">
      <c r="A119" s="20" t="inlineStr">
        <is>
          <t>0649-0009</t>
        </is>
      </c>
      <c r="B119" s="21" t="inlineStr">
        <is>
          <t>Compusoluciones y Asociados Sa de Cv</t>
        </is>
      </c>
      <c r="C119" s="21" t="inlineStr">
        <is>
          <t>Fronx Boostergreen</t>
        </is>
      </c>
      <c r="D119" s="20" t="inlineStr">
        <is>
          <t>ACTIVO</t>
        </is>
      </c>
      <c r="E119" s="20" t="inlineStr">
        <is>
          <t>2025-05-26</t>
        </is>
      </c>
      <c r="F119" s="20" t="inlineStr">
        <is>
          <t>2029-05-26</t>
        </is>
      </c>
      <c r="G119" s="22" t="n">
        <v>48</v>
      </c>
      <c r="H119" s="23" t="n">
        <v>252149.57</v>
      </c>
      <c r="I119" s="23">
        <f>ROUND(239996.49 * 'Resumen_Cartera'!$Q119, 2)</f>
        <v/>
      </c>
      <c r="J119" s="23">
        <f>IF(Saldos_Capital_Mensual!I119&gt;0, ROUND(Saldos_Capital_Mensual!I119 * 'Resumen_Cartera'!$Q119, 2), "")</f>
        <v/>
      </c>
      <c r="K119" s="23">
        <f>IF(Saldos_Capital_Mensual!J119&gt;0, ROUND(Saldos_Capital_Mensual!J119 * 'Resumen_Cartera'!$Q119, 2), "")</f>
        <v/>
      </c>
      <c r="L119" s="23">
        <f>IF(Saldos_Capital_Mensual!K119&gt;0, ROUND(Saldos_Capital_Mensual!K119 * 'Resumen_Cartera'!$Q119, 2), "")</f>
        <v/>
      </c>
      <c r="M119" s="23">
        <f>IF(Saldos_Capital_Mensual!L119&gt;0, ROUND(Saldos_Capital_Mensual!L119 * 'Resumen_Cartera'!$Q119, 2), "")</f>
        <v/>
      </c>
      <c r="N119" s="23">
        <f>IF(Saldos_Capital_Mensual!M119&gt;0, ROUND(Saldos_Capital_Mensual!M119 * 'Resumen_Cartera'!$Q119, 2), "")</f>
        <v/>
      </c>
      <c r="O119" s="23">
        <f>IF(Saldos_Capital_Mensual!N119&gt;0, ROUND(Saldos_Capital_Mensual!N119 * 'Resumen_Cartera'!$Q119, 2), "")</f>
        <v/>
      </c>
      <c r="P119" s="23">
        <f>IF(Saldos_Capital_Mensual!O119&gt;0, ROUND(Saldos_Capital_Mensual!O119 * 'Resumen_Cartera'!$Q119, 2), "")</f>
        <v/>
      </c>
      <c r="Q119" s="23">
        <f>IF(Saldos_Capital_Mensual!P119&gt;0, ROUND(Saldos_Capital_Mensual!P119 * 'Resumen_Cartera'!$Q119, 2), "")</f>
        <v/>
      </c>
      <c r="R119" s="23">
        <f>IF(Saldos_Capital_Mensual!Q119&gt;0, ROUND(Saldos_Capital_Mensual!Q119 * 'Resumen_Cartera'!$Q119, 2), "")</f>
        <v/>
      </c>
      <c r="S119" s="23">
        <f>IF(Saldos_Capital_Mensual!R119&gt;0, ROUND(Saldos_Capital_Mensual!R119 * 'Resumen_Cartera'!$Q119, 2), "")</f>
        <v/>
      </c>
      <c r="T119" s="23">
        <f>IF(Saldos_Capital_Mensual!S119&gt;0, ROUND(Saldos_Capital_Mensual!S119 * 'Resumen_Cartera'!$Q119, 2), "")</f>
        <v/>
      </c>
      <c r="U119" s="23">
        <f>SUM(I119:T119)</f>
        <v/>
      </c>
    </row>
    <row r="120">
      <c r="A120" s="26" t="inlineStr">
        <is>
          <t>0649-0010</t>
        </is>
      </c>
      <c r="B120" s="27" t="inlineStr">
        <is>
          <t>Compusoluciones y Asociados Sa de Cv</t>
        </is>
      </c>
      <c r="C120" s="27" t="inlineStr">
        <is>
          <t>Mazda CX90</t>
        </is>
      </c>
      <c r="D120" s="26" t="inlineStr">
        <is>
          <t>ACTIVO</t>
        </is>
      </c>
      <c r="E120" s="26" t="inlineStr">
        <is>
          <t>2025-09-30</t>
        </is>
      </c>
      <c r="F120" s="26" t="inlineStr">
        <is>
          <t>2029-09-30</t>
        </is>
      </c>
      <c r="G120" s="28" t="n">
        <v>48</v>
      </c>
      <c r="H120" s="29" t="n">
        <v>550202.59</v>
      </c>
      <c r="I120" s="29">
        <f>ROUND(536517.94 * 'Resumen_Cartera'!$Q120, 2)</f>
        <v/>
      </c>
      <c r="J120" s="29">
        <f>IF(Saldos_Capital_Mensual!I120&gt;0, ROUND(Saldos_Capital_Mensual!I120 * 'Resumen_Cartera'!$Q120, 2), "")</f>
        <v/>
      </c>
      <c r="K120" s="29">
        <f>IF(Saldos_Capital_Mensual!J120&gt;0, ROUND(Saldos_Capital_Mensual!J120 * 'Resumen_Cartera'!$Q120, 2), "")</f>
        <v/>
      </c>
      <c r="L120" s="29">
        <f>IF(Saldos_Capital_Mensual!K120&gt;0, ROUND(Saldos_Capital_Mensual!K120 * 'Resumen_Cartera'!$Q120, 2), "")</f>
        <v/>
      </c>
      <c r="M120" s="29">
        <f>IF(Saldos_Capital_Mensual!L120&gt;0, ROUND(Saldos_Capital_Mensual!L120 * 'Resumen_Cartera'!$Q120, 2), "")</f>
        <v/>
      </c>
      <c r="N120" s="29">
        <f>IF(Saldos_Capital_Mensual!M120&gt;0, ROUND(Saldos_Capital_Mensual!M120 * 'Resumen_Cartera'!$Q120, 2), "")</f>
        <v/>
      </c>
      <c r="O120" s="29">
        <f>IF(Saldos_Capital_Mensual!N120&gt;0, ROUND(Saldos_Capital_Mensual!N120 * 'Resumen_Cartera'!$Q120, 2), "")</f>
        <v/>
      </c>
      <c r="P120" s="29">
        <f>IF(Saldos_Capital_Mensual!O120&gt;0, ROUND(Saldos_Capital_Mensual!O120 * 'Resumen_Cartera'!$Q120, 2), "")</f>
        <v/>
      </c>
      <c r="Q120" s="29">
        <f>IF(Saldos_Capital_Mensual!P120&gt;0, ROUND(Saldos_Capital_Mensual!P120 * 'Resumen_Cartera'!$Q120, 2), "")</f>
        <v/>
      </c>
      <c r="R120" s="29">
        <f>IF(Saldos_Capital_Mensual!Q120&gt;0, ROUND(Saldos_Capital_Mensual!Q120 * 'Resumen_Cartera'!$Q120, 2), "")</f>
        <v/>
      </c>
      <c r="S120" s="29">
        <f>IF(Saldos_Capital_Mensual!R120&gt;0, ROUND(Saldos_Capital_Mensual!R120 * 'Resumen_Cartera'!$Q120, 2), "")</f>
        <v/>
      </c>
      <c r="T120" s="29">
        <f>IF(Saldos_Capital_Mensual!S120&gt;0, ROUND(Saldos_Capital_Mensual!S120 * 'Resumen_Cartera'!$Q120, 2), "")</f>
        <v/>
      </c>
      <c r="U120" s="29">
        <f>SUM(I120:T120)</f>
        <v/>
      </c>
    </row>
    <row r="121">
      <c r="A121" s="20" t="inlineStr">
        <is>
          <t>0649-0011</t>
        </is>
      </c>
      <c r="B121" s="21" t="inlineStr">
        <is>
          <t>Compusoluciones y Asociados Sa de Cv</t>
        </is>
      </c>
      <c r="C121" s="21" t="inlineStr">
        <is>
          <t>EX40</t>
        </is>
      </c>
      <c r="D121" s="20" t="inlineStr">
        <is>
          <t>ACTIVO</t>
        </is>
      </c>
      <c r="E121" s="20" t="inlineStr">
        <is>
          <t>2025-10-23</t>
        </is>
      </c>
      <c r="F121" s="20" t="inlineStr">
        <is>
          <t>2029-10-23</t>
        </is>
      </c>
      <c r="G121" s="22" t="n">
        <v>48</v>
      </c>
      <c r="H121" s="23" t="n">
        <v>504310.35</v>
      </c>
      <c r="I121" s="23">
        <f>ROUND(497152.86 * 'Resumen_Cartera'!$Q121, 2)</f>
        <v/>
      </c>
      <c r="J121" s="23">
        <f>IF(Saldos_Capital_Mensual!I121&gt;0, ROUND(Saldos_Capital_Mensual!I121 * 'Resumen_Cartera'!$Q121, 2), "")</f>
        <v/>
      </c>
      <c r="K121" s="23">
        <f>IF(Saldos_Capital_Mensual!J121&gt;0, ROUND(Saldos_Capital_Mensual!J121 * 'Resumen_Cartera'!$Q121, 2), "")</f>
        <v/>
      </c>
      <c r="L121" s="23">
        <f>IF(Saldos_Capital_Mensual!K121&gt;0, ROUND(Saldos_Capital_Mensual!K121 * 'Resumen_Cartera'!$Q121, 2), "")</f>
        <v/>
      </c>
      <c r="M121" s="23">
        <f>IF(Saldos_Capital_Mensual!L121&gt;0, ROUND(Saldos_Capital_Mensual!L121 * 'Resumen_Cartera'!$Q121, 2), "")</f>
        <v/>
      </c>
      <c r="N121" s="23">
        <f>IF(Saldos_Capital_Mensual!M121&gt;0, ROUND(Saldos_Capital_Mensual!M121 * 'Resumen_Cartera'!$Q121, 2), "")</f>
        <v/>
      </c>
      <c r="O121" s="23">
        <f>IF(Saldos_Capital_Mensual!N121&gt;0, ROUND(Saldos_Capital_Mensual!N121 * 'Resumen_Cartera'!$Q121, 2), "")</f>
        <v/>
      </c>
      <c r="P121" s="23">
        <f>IF(Saldos_Capital_Mensual!O121&gt;0, ROUND(Saldos_Capital_Mensual!O121 * 'Resumen_Cartera'!$Q121, 2), "")</f>
        <v/>
      </c>
      <c r="Q121" s="23">
        <f>IF(Saldos_Capital_Mensual!P121&gt;0, ROUND(Saldos_Capital_Mensual!P121 * 'Resumen_Cartera'!$Q121, 2), "")</f>
        <v/>
      </c>
      <c r="R121" s="23">
        <f>IF(Saldos_Capital_Mensual!Q121&gt;0, ROUND(Saldos_Capital_Mensual!Q121 * 'Resumen_Cartera'!$Q121, 2), "")</f>
        <v/>
      </c>
      <c r="S121" s="23">
        <f>IF(Saldos_Capital_Mensual!R121&gt;0, ROUND(Saldos_Capital_Mensual!R121 * 'Resumen_Cartera'!$Q121, 2), "")</f>
        <v/>
      </c>
      <c r="T121" s="23">
        <f>IF(Saldos_Capital_Mensual!S121&gt;0, ROUND(Saldos_Capital_Mensual!S121 * 'Resumen_Cartera'!$Q121, 2), "")</f>
        <v/>
      </c>
      <c r="U121" s="23">
        <f>SUM(I121:T121)</f>
        <v/>
      </c>
    </row>
    <row r="122">
      <c r="A122" s="26" t="inlineStr">
        <is>
          <t>0649-0012</t>
        </is>
      </c>
      <c r="B122" s="27" t="inlineStr">
        <is>
          <t>Compusoluciones y Asociados Sa de Cv</t>
        </is>
      </c>
      <c r="C122" s="27" t="inlineStr">
        <is>
          <t>Sportage</t>
        </is>
      </c>
      <c r="D122" s="26" t="inlineStr">
        <is>
          <t>ACTIVO</t>
        </is>
      </c>
      <c r="E122" s="26" t="inlineStr">
        <is>
          <t>2025-12-01</t>
        </is>
      </c>
      <c r="F122" s="26" t="inlineStr">
        <is>
          <t>2029-12-01</t>
        </is>
      </c>
      <c r="G122" s="28" t="n">
        <v>48</v>
      </c>
      <c r="H122" s="29" t="n">
        <v>385461.21</v>
      </c>
      <c r="I122" s="29">
        <f>ROUND(383679.31 * 'Resumen_Cartera'!$Q122, 2)</f>
        <v/>
      </c>
      <c r="J122" s="29">
        <f>IF(Saldos_Capital_Mensual!I122&gt;0, ROUND(Saldos_Capital_Mensual!I122 * 'Resumen_Cartera'!$Q122, 2), "")</f>
        <v/>
      </c>
      <c r="K122" s="29">
        <f>IF(Saldos_Capital_Mensual!J122&gt;0, ROUND(Saldos_Capital_Mensual!J122 * 'Resumen_Cartera'!$Q122, 2), "")</f>
        <v/>
      </c>
      <c r="L122" s="29">
        <f>IF(Saldos_Capital_Mensual!K122&gt;0, ROUND(Saldos_Capital_Mensual!K122 * 'Resumen_Cartera'!$Q122, 2), "")</f>
        <v/>
      </c>
      <c r="M122" s="29">
        <f>IF(Saldos_Capital_Mensual!L122&gt;0, ROUND(Saldos_Capital_Mensual!L122 * 'Resumen_Cartera'!$Q122, 2), "")</f>
        <v/>
      </c>
      <c r="N122" s="29">
        <f>IF(Saldos_Capital_Mensual!M122&gt;0, ROUND(Saldos_Capital_Mensual!M122 * 'Resumen_Cartera'!$Q122, 2), "")</f>
        <v/>
      </c>
      <c r="O122" s="29">
        <f>IF(Saldos_Capital_Mensual!N122&gt;0, ROUND(Saldos_Capital_Mensual!N122 * 'Resumen_Cartera'!$Q122, 2), "")</f>
        <v/>
      </c>
      <c r="P122" s="29">
        <f>IF(Saldos_Capital_Mensual!O122&gt;0, ROUND(Saldos_Capital_Mensual!O122 * 'Resumen_Cartera'!$Q122, 2), "")</f>
        <v/>
      </c>
      <c r="Q122" s="29">
        <f>IF(Saldos_Capital_Mensual!P122&gt;0, ROUND(Saldos_Capital_Mensual!P122 * 'Resumen_Cartera'!$Q122, 2), "")</f>
        <v/>
      </c>
      <c r="R122" s="29">
        <f>IF(Saldos_Capital_Mensual!Q122&gt;0, ROUND(Saldos_Capital_Mensual!Q122 * 'Resumen_Cartera'!$Q122, 2), "")</f>
        <v/>
      </c>
      <c r="S122" s="29">
        <f>IF(Saldos_Capital_Mensual!R122&gt;0, ROUND(Saldos_Capital_Mensual!R122 * 'Resumen_Cartera'!$Q122, 2), "")</f>
        <v/>
      </c>
      <c r="T122" s="29">
        <f>IF(Saldos_Capital_Mensual!S122&gt;0, ROUND(Saldos_Capital_Mensual!S122 * 'Resumen_Cartera'!$Q122, 2), "")</f>
        <v/>
      </c>
      <c r="U122" s="29">
        <f>SUM(I122:T122)</f>
        <v/>
      </c>
    </row>
    <row r="123">
      <c r="A123" s="20" t="inlineStr">
        <is>
          <t>0649-0013</t>
        </is>
      </c>
      <c r="B123" s="21" t="inlineStr">
        <is>
          <t>Compusoluciones y Asociados Sa de Cv</t>
        </is>
      </c>
      <c r="C123" s="21" t="inlineStr">
        <is>
          <t>Mazda Mazda 3 Hatch Back 2026</t>
        </is>
      </c>
      <c r="D123" s="20" t="inlineStr">
        <is>
          <t>ACTIVO</t>
        </is>
      </c>
      <c r="E123" s="20" t="inlineStr">
        <is>
          <t>2026-07-22</t>
        </is>
      </c>
      <c r="F123" s="20" t="inlineStr">
        <is>
          <t>2030-07-22</t>
        </is>
      </c>
      <c r="G123" s="22" t="n">
        <v>48</v>
      </c>
      <c r="H123" s="23" t="n">
        <v>307573.28</v>
      </c>
      <c r="I123" s="23" t="inlineStr"/>
      <c r="J123" s="23" t="inlineStr"/>
      <c r="K123" s="23" t="inlineStr"/>
      <c r="L123" s="23" t="inlineStr"/>
      <c r="M123" s="23" t="inlineStr"/>
      <c r="N123" s="23" t="inlineStr"/>
      <c r="O123" s="23">
        <f>ROUND('Resumen_Cartera'!$K123 * 'Resumen_Cartera'!$Q123, 2)</f>
        <v/>
      </c>
      <c r="P123" s="23">
        <f>IF(Saldos_Capital_Mensual!O123&gt;0, ROUND(Saldos_Capital_Mensual!O123 * 'Resumen_Cartera'!$Q123, 2), "")</f>
        <v/>
      </c>
      <c r="Q123" s="23">
        <f>IF(Saldos_Capital_Mensual!P123&gt;0, ROUND(Saldos_Capital_Mensual!P123 * 'Resumen_Cartera'!$Q123, 2), "")</f>
        <v/>
      </c>
      <c r="R123" s="23">
        <f>IF(Saldos_Capital_Mensual!Q123&gt;0, ROUND(Saldos_Capital_Mensual!Q123 * 'Resumen_Cartera'!$Q123, 2), "")</f>
        <v/>
      </c>
      <c r="S123" s="23">
        <f>IF(Saldos_Capital_Mensual!R123&gt;0, ROUND(Saldos_Capital_Mensual!R123 * 'Resumen_Cartera'!$Q123, 2), "")</f>
        <v/>
      </c>
      <c r="T123" s="23">
        <f>IF(Saldos_Capital_Mensual!S123&gt;0, ROUND(Saldos_Capital_Mensual!S123 * 'Resumen_Cartera'!$Q123, 2), "")</f>
        <v/>
      </c>
      <c r="U123" s="23">
        <f>SUM(I123:T123)</f>
        <v/>
      </c>
    </row>
    <row r="124">
      <c r="A124" s="26" t="inlineStr">
        <is>
          <t>0649-0014</t>
        </is>
      </c>
      <c r="B124" s="27" t="inlineStr">
        <is>
          <t>Compusoluciones y Asociados Sa de Cv</t>
        </is>
      </c>
      <c r="C124" s="27" t="inlineStr">
        <is>
          <t>Subaru Forester 2026</t>
        </is>
      </c>
      <c r="D124" s="26" t="inlineStr">
        <is>
          <t>ACTIVO</t>
        </is>
      </c>
      <c r="E124" s="26" t="inlineStr">
        <is>
          <t>2026-07-28</t>
        </is>
      </c>
      <c r="F124" s="26" t="inlineStr">
        <is>
          <t>2030-07-28</t>
        </is>
      </c>
      <c r="G124" s="28" t="n">
        <v>48</v>
      </c>
      <c r="H124" s="29" t="n">
        <v>386581.9</v>
      </c>
      <c r="I124" s="29" t="inlineStr"/>
      <c r="J124" s="29" t="inlineStr"/>
      <c r="K124" s="29" t="inlineStr"/>
      <c r="L124" s="29" t="inlineStr"/>
      <c r="M124" s="29" t="inlineStr"/>
      <c r="N124" s="29" t="inlineStr"/>
      <c r="O124" s="29">
        <f>ROUND('Resumen_Cartera'!$K124 * 'Resumen_Cartera'!$Q124, 2)</f>
        <v/>
      </c>
      <c r="P124" s="29">
        <f>IF(Saldos_Capital_Mensual!O124&gt;0, ROUND(Saldos_Capital_Mensual!O124 * 'Resumen_Cartera'!$Q124, 2), "")</f>
        <v/>
      </c>
      <c r="Q124" s="29">
        <f>IF(Saldos_Capital_Mensual!P124&gt;0, ROUND(Saldos_Capital_Mensual!P124 * 'Resumen_Cartera'!$Q124, 2), "")</f>
        <v/>
      </c>
      <c r="R124" s="29">
        <f>IF(Saldos_Capital_Mensual!Q124&gt;0, ROUND(Saldos_Capital_Mensual!Q124 * 'Resumen_Cartera'!$Q124, 2), "")</f>
        <v/>
      </c>
      <c r="S124" s="29">
        <f>IF(Saldos_Capital_Mensual!R124&gt;0, ROUND(Saldos_Capital_Mensual!R124 * 'Resumen_Cartera'!$Q124, 2), "")</f>
        <v/>
      </c>
      <c r="T124" s="29">
        <f>IF(Saldos_Capital_Mensual!S124&gt;0, ROUND(Saldos_Capital_Mensual!S124 * 'Resumen_Cartera'!$Q124, 2), "")</f>
        <v/>
      </c>
      <c r="U124" s="29">
        <f>SUM(I124:T124)</f>
        <v/>
      </c>
    </row>
    <row r="125">
      <c r="A125" s="20" t="inlineStr">
        <is>
          <t>0650-0002</t>
        </is>
      </c>
      <c r="B125" s="21" t="inlineStr">
        <is>
          <t>Creando Music</t>
        </is>
      </c>
      <c r="C125" s="21" t="inlineStr">
        <is>
          <t>3008</t>
        </is>
      </c>
      <c r="D125" s="20" t="inlineStr">
        <is>
          <t>ACTIVO</t>
        </is>
      </c>
      <c r="E125" s="20" t="inlineStr">
        <is>
          <t>2025-12-23</t>
        </is>
      </c>
      <c r="F125" s="20" t="inlineStr">
        <is>
          <t>2026-12-23</t>
        </is>
      </c>
      <c r="G125" s="22" t="n">
        <v>12</v>
      </c>
      <c r="H125" s="23" t="n">
        <v>566301.73</v>
      </c>
      <c r="I125" s="23">
        <f>ROUND(543465.42 * 'Resumen_Cartera'!$Q125, 2)</f>
        <v/>
      </c>
      <c r="J125" s="23">
        <f>IF(Saldos_Capital_Mensual!I125&gt;0, ROUND(Saldos_Capital_Mensual!I125 * 'Resumen_Cartera'!$Q125, 2), "")</f>
        <v/>
      </c>
      <c r="K125" s="23">
        <f>IF(Saldos_Capital_Mensual!J125&gt;0, ROUND(Saldos_Capital_Mensual!J125 * 'Resumen_Cartera'!$Q125, 2), "")</f>
        <v/>
      </c>
      <c r="L125" s="23">
        <f>IF(Saldos_Capital_Mensual!K125&gt;0, ROUND(Saldos_Capital_Mensual!K125 * 'Resumen_Cartera'!$Q125, 2), "")</f>
        <v/>
      </c>
      <c r="M125" s="23">
        <f>IF(Saldos_Capital_Mensual!L125&gt;0, ROUND(Saldos_Capital_Mensual!L125 * 'Resumen_Cartera'!$Q125, 2), "")</f>
        <v/>
      </c>
      <c r="N125" s="23">
        <f>IF(Saldos_Capital_Mensual!M125&gt;0, ROUND(Saldos_Capital_Mensual!M125 * 'Resumen_Cartera'!$Q125, 2), "")</f>
        <v/>
      </c>
      <c r="O125" s="23">
        <f>IF(Saldos_Capital_Mensual!N125&gt;0, ROUND(Saldos_Capital_Mensual!N125 * 'Resumen_Cartera'!$Q125, 2), "")</f>
        <v/>
      </c>
      <c r="P125" s="23">
        <f>IF(Saldos_Capital_Mensual!O125&gt;0, ROUND(Saldos_Capital_Mensual!O125 * 'Resumen_Cartera'!$Q125, 2), "")</f>
        <v/>
      </c>
      <c r="Q125" s="23">
        <f>IF(Saldos_Capital_Mensual!P125&gt;0, ROUND(Saldos_Capital_Mensual!P125 * 'Resumen_Cartera'!$Q125, 2), "")</f>
        <v/>
      </c>
      <c r="R125" s="23">
        <f>IF(Saldos_Capital_Mensual!Q125&gt;0, ROUND(Saldos_Capital_Mensual!Q125 * 'Resumen_Cartera'!$Q125, 2), "")</f>
        <v/>
      </c>
      <c r="S125" s="23">
        <f>IF(Saldos_Capital_Mensual!R125&gt;0, ROUND(Saldos_Capital_Mensual!R125 * 'Resumen_Cartera'!$Q125, 2), "")</f>
        <v/>
      </c>
      <c r="T125" s="23" t="inlineStr"/>
      <c r="U125" s="23">
        <f>SUM(I125:T125)</f>
        <v/>
      </c>
    </row>
    <row r="126">
      <c r="A126" s="26" t="inlineStr">
        <is>
          <t>0651-0001</t>
        </is>
      </c>
      <c r="B126" s="27" t="inlineStr">
        <is>
          <t>Asme Sa de Cv</t>
        </is>
      </c>
      <c r="C126" s="27" t="inlineStr">
        <is>
          <t>Compass High Altitude</t>
        </is>
      </c>
      <c r="D126" s="26" t="inlineStr">
        <is>
          <t>ACTIVO</t>
        </is>
      </c>
      <c r="E126" s="26" t="inlineStr">
        <is>
          <t>2024-02-28</t>
        </is>
      </c>
      <c r="F126" s="26" t="inlineStr">
        <is>
          <t>2028-02-28</t>
        </is>
      </c>
      <c r="G126" s="28" t="n">
        <v>48</v>
      </c>
      <c r="H126" s="29" t="n">
        <v>452525.86</v>
      </c>
      <c r="I126" s="29">
        <f>ROUND(354764.96 * 'Resumen_Cartera'!$Q126, 2)</f>
        <v/>
      </c>
      <c r="J126" s="29">
        <f>IF(Saldos_Capital_Mensual!I126&gt;0, ROUND(Saldos_Capital_Mensual!I126 * 'Resumen_Cartera'!$Q126, 2), "")</f>
        <v/>
      </c>
      <c r="K126" s="29">
        <f>IF(Saldos_Capital_Mensual!J126&gt;0, ROUND(Saldos_Capital_Mensual!J126 * 'Resumen_Cartera'!$Q126, 2), "")</f>
        <v/>
      </c>
      <c r="L126" s="29">
        <f>IF(Saldos_Capital_Mensual!K126&gt;0, ROUND(Saldos_Capital_Mensual!K126 * 'Resumen_Cartera'!$Q126, 2), "")</f>
        <v/>
      </c>
      <c r="M126" s="29">
        <f>IF(Saldos_Capital_Mensual!L126&gt;0, ROUND(Saldos_Capital_Mensual!L126 * 'Resumen_Cartera'!$Q126, 2), "")</f>
        <v/>
      </c>
      <c r="N126" s="29">
        <f>IF(Saldos_Capital_Mensual!M126&gt;0, ROUND(Saldos_Capital_Mensual!M126 * 'Resumen_Cartera'!$Q126, 2), "")</f>
        <v/>
      </c>
      <c r="O126" s="29">
        <f>IF(Saldos_Capital_Mensual!N126&gt;0, ROUND(Saldos_Capital_Mensual!N126 * 'Resumen_Cartera'!$Q126, 2), "")</f>
        <v/>
      </c>
      <c r="P126" s="29">
        <f>IF(Saldos_Capital_Mensual!O126&gt;0, ROUND(Saldos_Capital_Mensual!O126 * 'Resumen_Cartera'!$Q126, 2), "")</f>
        <v/>
      </c>
      <c r="Q126" s="29">
        <f>IF(Saldos_Capital_Mensual!P126&gt;0, ROUND(Saldos_Capital_Mensual!P126 * 'Resumen_Cartera'!$Q126, 2), "")</f>
        <v/>
      </c>
      <c r="R126" s="29">
        <f>IF(Saldos_Capital_Mensual!Q126&gt;0, ROUND(Saldos_Capital_Mensual!Q126 * 'Resumen_Cartera'!$Q126, 2), "")</f>
        <v/>
      </c>
      <c r="S126" s="29">
        <f>IF(Saldos_Capital_Mensual!R126&gt;0, ROUND(Saldos_Capital_Mensual!R126 * 'Resumen_Cartera'!$Q126, 2), "")</f>
        <v/>
      </c>
      <c r="T126" s="29">
        <f>IF(Saldos_Capital_Mensual!S126&gt;0, ROUND(Saldos_Capital_Mensual!S126 * 'Resumen_Cartera'!$Q126, 2), "")</f>
        <v/>
      </c>
      <c r="U126" s="29">
        <f>SUM(I126:T126)</f>
        <v/>
      </c>
    </row>
    <row r="127">
      <c r="A127" s="20" t="inlineStr">
        <is>
          <t>0654-0001</t>
        </is>
      </c>
      <c r="B127" s="21" t="inlineStr">
        <is>
          <t>Veronica Orozco Larios</t>
        </is>
      </c>
      <c r="C127" s="21" t="inlineStr">
        <is>
          <t>Ram 4000</t>
        </is>
      </c>
      <c r="D127" s="20" t="inlineStr">
        <is>
          <t>ACTIVO</t>
        </is>
      </c>
      <c r="E127" s="20" t="inlineStr">
        <is>
          <t>2024-03-20</t>
        </is>
      </c>
      <c r="F127" s="20" t="inlineStr">
        <is>
          <t>2027-03-20</t>
        </is>
      </c>
      <c r="G127" s="22" t="n">
        <v>36</v>
      </c>
      <c r="H127" s="23" t="n">
        <v>732666.62</v>
      </c>
      <c r="I127" s="23">
        <f>ROUND(536295.44 * 'Resumen_Cartera'!$Q127, 2)</f>
        <v/>
      </c>
      <c r="J127" s="23">
        <f>IF(Saldos_Capital_Mensual!I127&gt;0, ROUND(Saldos_Capital_Mensual!I127 * 'Resumen_Cartera'!$Q127, 2), "")</f>
        <v/>
      </c>
      <c r="K127" s="23">
        <f>IF(Saldos_Capital_Mensual!J127&gt;0, ROUND(Saldos_Capital_Mensual!J127 * 'Resumen_Cartera'!$Q127, 2), "")</f>
        <v/>
      </c>
      <c r="L127" s="23">
        <f>IF(Saldos_Capital_Mensual!K127&gt;0, ROUND(Saldos_Capital_Mensual!K127 * 'Resumen_Cartera'!$Q127, 2), "")</f>
        <v/>
      </c>
      <c r="M127" s="23">
        <f>IF(Saldos_Capital_Mensual!L127&gt;0, ROUND(Saldos_Capital_Mensual!L127 * 'Resumen_Cartera'!$Q127, 2), "")</f>
        <v/>
      </c>
      <c r="N127" s="23">
        <f>IF(Saldos_Capital_Mensual!M127&gt;0, ROUND(Saldos_Capital_Mensual!M127 * 'Resumen_Cartera'!$Q127, 2), "")</f>
        <v/>
      </c>
      <c r="O127" s="23">
        <f>IF(Saldos_Capital_Mensual!N127&gt;0, ROUND(Saldos_Capital_Mensual!N127 * 'Resumen_Cartera'!$Q127, 2), "")</f>
        <v/>
      </c>
      <c r="P127" s="23">
        <f>IF(Saldos_Capital_Mensual!O127&gt;0, ROUND(Saldos_Capital_Mensual!O127 * 'Resumen_Cartera'!$Q127, 2), "")</f>
        <v/>
      </c>
      <c r="Q127" s="23">
        <f>IF(Saldos_Capital_Mensual!P127&gt;0, ROUND(Saldos_Capital_Mensual!P127 * 'Resumen_Cartera'!$Q127, 2), "")</f>
        <v/>
      </c>
      <c r="R127" s="23">
        <f>IF(Saldos_Capital_Mensual!Q127&gt;0, ROUND(Saldos_Capital_Mensual!Q127 * 'Resumen_Cartera'!$Q127, 2), "")</f>
        <v/>
      </c>
      <c r="S127" s="23">
        <f>IF(Saldos_Capital_Mensual!R127&gt;0, ROUND(Saldos_Capital_Mensual!R127 * 'Resumen_Cartera'!$Q127, 2), "")</f>
        <v/>
      </c>
      <c r="T127" s="23">
        <f>IF(Saldos_Capital_Mensual!S127&gt;0, ROUND(Saldos_Capital_Mensual!S127 * 'Resumen_Cartera'!$Q127, 2), "")</f>
        <v/>
      </c>
      <c r="U127" s="23">
        <f>SUM(I127:T127)</f>
        <v/>
      </c>
    </row>
    <row r="128">
      <c r="A128" s="26" t="inlineStr">
        <is>
          <t>0655-0001</t>
        </is>
      </c>
      <c r="B128" s="27" t="inlineStr">
        <is>
          <t>Viñedos de la Rivera Sur de Chapala S de Rl de Cv</t>
        </is>
      </c>
      <c r="C128" s="27" t="inlineStr">
        <is>
          <t>Ram 2500 HEMI</t>
        </is>
      </c>
      <c r="D128" s="26" t="inlineStr">
        <is>
          <t>ACTIVO</t>
        </is>
      </c>
      <c r="E128" s="26" t="inlineStr">
        <is>
          <t>2024-04-04</t>
        </is>
      </c>
      <c r="F128" s="26" t="inlineStr">
        <is>
          <t>2027-04-04</t>
        </is>
      </c>
      <c r="G128" s="28" t="n">
        <v>36</v>
      </c>
      <c r="H128" s="29" t="n">
        <v>589586.21</v>
      </c>
      <c r="I128" s="29">
        <f>ROUND(441318.0 * 'Resumen_Cartera'!$Q128, 2)</f>
        <v/>
      </c>
      <c r="J128" s="29">
        <f>IF(Saldos_Capital_Mensual!I128&gt;0, ROUND(Saldos_Capital_Mensual!I128 * 'Resumen_Cartera'!$Q128, 2), "")</f>
        <v/>
      </c>
      <c r="K128" s="29">
        <f>IF(Saldos_Capital_Mensual!J128&gt;0, ROUND(Saldos_Capital_Mensual!J128 * 'Resumen_Cartera'!$Q128, 2), "")</f>
        <v/>
      </c>
      <c r="L128" s="29">
        <f>IF(Saldos_Capital_Mensual!K128&gt;0, ROUND(Saldos_Capital_Mensual!K128 * 'Resumen_Cartera'!$Q128, 2), "")</f>
        <v/>
      </c>
      <c r="M128" s="29">
        <f>IF(Saldos_Capital_Mensual!L128&gt;0, ROUND(Saldos_Capital_Mensual!L128 * 'Resumen_Cartera'!$Q128, 2), "")</f>
        <v/>
      </c>
      <c r="N128" s="29">
        <f>IF(Saldos_Capital_Mensual!M128&gt;0, ROUND(Saldos_Capital_Mensual!M128 * 'Resumen_Cartera'!$Q128, 2), "")</f>
        <v/>
      </c>
      <c r="O128" s="29">
        <f>IF(Saldos_Capital_Mensual!N128&gt;0, ROUND(Saldos_Capital_Mensual!N128 * 'Resumen_Cartera'!$Q128, 2), "")</f>
        <v/>
      </c>
      <c r="P128" s="29">
        <f>IF(Saldos_Capital_Mensual!O128&gt;0, ROUND(Saldos_Capital_Mensual!O128 * 'Resumen_Cartera'!$Q128, 2), "")</f>
        <v/>
      </c>
      <c r="Q128" s="29">
        <f>IF(Saldos_Capital_Mensual!P128&gt;0, ROUND(Saldos_Capital_Mensual!P128 * 'Resumen_Cartera'!$Q128, 2), "")</f>
        <v/>
      </c>
      <c r="R128" s="29">
        <f>IF(Saldos_Capital_Mensual!Q128&gt;0, ROUND(Saldos_Capital_Mensual!Q128 * 'Resumen_Cartera'!$Q128, 2), "")</f>
        <v/>
      </c>
      <c r="S128" s="29">
        <f>IF(Saldos_Capital_Mensual!R128&gt;0, ROUND(Saldos_Capital_Mensual!R128 * 'Resumen_Cartera'!$Q128, 2), "")</f>
        <v/>
      </c>
      <c r="T128" s="29">
        <f>IF(Saldos_Capital_Mensual!S128&gt;0, ROUND(Saldos_Capital_Mensual!S128 * 'Resumen_Cartera'!$Q128, 2), "")</f>
        <v/>
      </c>
      <c r="U128" s="29">
        <f>SUM(I128:T128)</f>
        <v/>
      </c>
    </row>
    <row r="129">
      <c r="A129" s="20" t="inlineStr">
        <is>
          <t>0658-0001</t>
        </is>
      </c>
      <c r="B129" s="21" t="inlineStr">
        <is>
          <t>Esteban Polanco Navarro</t>
        </is>
      </c>
      <c r="C129" s="21" t="inlineStr">
        <is>
          <t>RAM 1500 Long Horn</t>
        </is>
      </c>
      <c r="D129" s="20" t="inlineStr">
        <is>
          <t>ACTIVO</t>
        </is>
      </c>
      <c r="E129" s="20" t="inlineStr">
        <is>
          <t>2024-05-17</t>
        </is>
      </c>
      <c r="F129" s="20" t="inlineStr">
        <is>
          <t>2028-05-17</t>
        </is>
      </c>
      <c r="G129" s="22" t="n">
        <v>48</v>
      </c>
      <c r="H129" s="23" t="n">
        <v>1024068.97</v>
      </c>
      <c r="I129" s="23">
        <f>ROUND(832236.95 * 'Resumen_Cartera'!$Q129, 2)</f>
        <v/>
      </c>
      <c r="J129" s="23">
        <f>IF(Saldos_Capital_Mensual!I129&gt;0, ROUND(Saldos_Capital_Mensual!I129 * 'Resumen_Cartera'!$Q129, 2), "")</f>
        <v/>
      </c>
      <c r="K129" s="23">
        <f>IF(Saldos_Capital_Mensual!J129&gt;0, ROUND(Saldos_Capital_Mensual!J129 * 'Resumen_Cartera'!$Q129, 2), "")</f>
        <v/>
      </c>
      <c r="L129" s="23">
        <f>IF(Saldos_Capital_Mensual!K129&gt;0, ROUND(Saldos_Capital_Mensual!K129 * 'Resumen_Cartera'!$Q129, 2), "")</f>
        <v/>
      </c>
      <c r="M129" s="23">
        <f>IF(Saldos_Capital_Mensual!L129&gt;0, ROUND(Saldos_Capital_Mensual!L129 * 'Resumen_Cartera'!$Q129, 2), "")</f>
        <v/>
      </c>
      <c r="N129" s="23">
        <f>IF(Saldos_Capital_Mensual!M129&gt;0, ROUND(Saldos_Capital_Mensual!M129 * 'Resumen_Cartera'!$Q129, 2), "")</f>
        <v/>
      </c>
      <c r="O129" s="23">
        <f>IF(Saldos_Capital_Mensual!N129&gt;0, ROUND(Saldos_Capital_Mensual!N129 * 'Resumen_Cartera'!$Q129, 2), "")</f>
        <v/>
      </c>
      <c r="P129" s="23">
        <f>IF(Saldos_Capital_Mensual!O129&gt;0, ROUND(Saldos_Capital_Mensual!O129 * 'Resumen_Cartera'!$Q129, 2), "")</f>
        <v/>
      </c>
      <c r="Q129" s="23">
        <f>IF(Saldos_Capital_Mensual!P129&gt;0, ROUND(Saldos_Capital_Mensual!P129 * 'Resumen_Cartera'!$Q129, 2), "")</f>
        <v/>
      </c>
      <c r="R129" s="23">
        <f>IF(Saldos_Capital_Mensual!Q129&gt;0, ROUND(Saldos_Capital_Mensual!Q129 * 'Resumen_Cartera'!$Q129, 2), "")</f>
        <v/>
      </c>
      <c r="S129" s="23">
        <f>IF(Saldos_Capital_Mensual!R129&gt;0, ROUND(Saldos_Capital_Mensual!R129 * 'Resumen_Cartera'!$Q129, 2), "")</f>
        <v/>
      </c>
      <c r="T129" s="23">
        <f>IF(Saldos_Capital_Mensual!S129&gt;0, ROUND(Saldos_Capital_Mensual!S129 * 'Resumen_Cartera'!$Q129, 2), "")</f>
        <v/>
      </c>
      <c r="U129" s="23">
        <f>SUM(I129:T129)</f>
        <v/>
      </c>
    </row>
    <row r="130">
      <c r="A130" s="26" t="inlineStr">
        <is>
          <t>0660-0001</t>
        </is>
      </c>
      <c r="B130" s="27" t="inlineStr">
        <is>
          <t>Big Buck Capital sc</t>
        </is>
      </c>
      <c r="C130" s="27" t="inlineStr">
        <is>
          <t>MG 5</t>
        </is>
      </c>
      <c r="D130" s="26" t="inlineStr">
        <is>
          <t>ACTIVO</t>
        </is>
      </c>
      <c r="E130" s="26" t="inlineStr">
        <is>
          <t>2024-05-22</t>
        </is>
      </c>
      <c r="F130" s="26" t="inlineStr">
        <is>
          <t>2028-05-22</t>
        </is>
      </c>
      <c r="G130" s="28" t="n">
        <v>48</v>
      </c>
      <c r="H130" s="29" t="n">
        <v>242767.24</v>
      </c>
      <c r="I130" s="29">
        <f>ROUND(192187.48 * 'Resumen_Cartera'!$Q130, 2)</f>
        <v/>
      </c>
      <c r="J130" s="29">
        <f>IF(Saldos_Capital_Mensual!I130&gt;0, ROUND(Saldos_Capital_Mensual!I130 * 'Resumen_Cartera'!$Q130, 2), "")</f>
        <v/>
      </c>
      <c r="K130" s="29">
        <f>IF(Saldos_Capital_Mensual!J130&gt;0, ROUND(Saldos_Capital_Mensual!J130 * 'Resumen_Cartera'!$Q130, 2), "")</f>
        <v/>
      </c>
      <c r="L130" s="29">
        <f>IF(Saldos_Capital_Mensual!K130&gt;0, ROUND(Saldos_Capital_Mensual!K130 * 'Resumen_Cartera'!$Q130, 2), "")</f>
        <v/>
      </c>
      <c r="M130" s="29">
        <f>IF(Saldos_Capital_Mensual!L130&gt;0, ROUND(Saldos_Capital_Mensual!L130 * 'Resumen_Cartera'!$Q130, 2), "")</f>
        <v/>
      </c>
      <c r="N130" s="29">
        <f>IF(Saldos_Capital_Mensual!M130&gt;0, ROUND(Saldos_Capital_Mensual!M130 * 'Resumen_Cartera'!$Q130, 2), "")</f>
        <v/>
      </c>
      <c r="O130" s="29">
        <f>IF(Saldos_Capital_Mensual!N130&gt;0, ROUND(Saldos_Capital_Mensual!N130 * 'Resumen_Cartera'!$Q130, 2), "")</f>
        <v/>
      </c>
      <c r="P130" s="29">
        <f>IF(Saldos_Capital_Mensual!O130&gt;0, ROUND(Saldos_Capital_Mensual!O130 * 'Resumen_Cartera'!$Q130, 2), "")</f>
        <v/>
      </c>
      <c r="Q130" s="29">
        <f>IF(Saldos_Capital_Mensual!P130&gt;0, ROUND(Saldos_Capital_Mensual!P130 * 'Resumen_Cartera'!$Q130, 2), "")</f>
        <v/>
      </c>
      <c r="R130" s="29">
        <f>IF(Saldos_Capital_Mensual!Q130&gt;0, ROUND(Saldos_Capital_Mensual!Q130 * 'Resumen_Cartera'!$Q130, 2), "")</f>
        <v/>
      </c>
      <c r="S130" s="29">
        <f>IF(Saldos_Capital_Mensual!R130&gt;0, ROUND(Saldos_Capital_Mensual!R130 * 'Resumen_Cartera'!$Q130, 2), "")</f>
        <v/>
      </c>
      <c r="T130" s="29">
        <f>IF(Saldos_Capital_Mensual!S130&gt;0, ROUND(Saldos_Capital_Mensual!S130 * 'Resumen_Cartera'!$Q130, 2), "")</f>
        <v/>
      </c>
      <c r="U130" s="29">
        <f>SUM(I130:T130)</f>
        <v/>
      </c>
    </row>
    <row r="131">
      <c r="A131" s="20" t="inlineStr">
        <is>
          <t>0660-0002</t>
        </is>
      </c>
      <c r="B131" s="21" t="inlineStr">
        <is>
          <t>Big Buck Capital Sc</t>
        </is>
      </c>
      <c r="C131" s="21" t="inlineStr">
        <is>
          <t>Sienna</t>
        </is>
      </c>
      <c r="D131" s="20" t="inlineStr">
        <is>
          <t>ACTIVO</t>
        </is>
      </c>
      <c r="E131" s="20" t="inlineStr">
        <is>
          <t>2025-04-09</t>
        </is>
      </c>
      <c r="F131" s="20" t="inlineStr">
        <is>
          <t>2029-04-09</t>
        </is>
      </c>
      <c r="G131" s="22" t="n">
        <v>48</v>
      </c>
      <c r="H131" s="23" t="n">
        <v>729232.76</v>
      </c>
      <c r="I131" s="23">
        <f>ROUND(661347.64 * 'Resumen_Cartera'!$Q131, 2)</f>
        <v/>
      </c>
      <c r="J131" s="23">
        <f>IF(Saldos_Capital_Mensual!I131&gt;0, ROUND(Saldos_Capital_Mensual!I131 * 'Resumen_Cartera'!$Q131, 2), "")</f>
        <v/>
      </c>
      <c r="K131" s="23">
        <f>IF(Saldos_Capital_Mensual!J131&gt;0, ROUND(Saldos_Capital_Mensual!J131 * 'Resumen_Cartera'!$Q131, 2), "")</f>
        <v/>
      </c>
      <c r="L131" s="23">
        <f>IF(Saldos_Capital_Mensual!K131&gt;0, ROUND(Saldos_Capital_Mensual!K131 * 'Resumen_Cartera'!$Q131, 2), "")</f>
        <v/>
      </c>
      <c r="M131" s="23">
        <f>IF(Saldos_Capital_Mensual!L131&gt;0, ROUND(Saldos_Capital_Mensual!L131 * 'Resumen_Cartera'!$Q131, 2), "")</f>
        <v/>
      </c>
      <c r="N131" s="23">
        <f>IF(Saldos_Capital_Mensual!M131&gt;0, ROUND(Saldos_Capital_Mensual!M131 * 'Resumen_Cartera'!$Q131, 2), "")</f>
        <v/>
      </c>
      <c r="O131" s="23">
        <f>IF(Saldos_Capital_Mensual!N131&gt;0, ROUND(Saldos_Capital_Mensual!N131 * 'Resumen_Cartera'!$Q131, 2), "")</f>
        <v/>
      </c>
      <c r="P131" s="23">
        <f>IF(Saldos_Capital_Mensual!O131&gt;0, ROUND(Saldos_Capital_Mensual!O131 * 'Resumen_Cartera'!$Q131, 2), "")</f>
        <v/>
      </c>
      <c r="Q131" s="23">
        <f>IF(Saldos_Capital_Mensual!P131&gt;0, ROUND(Saldos_Capital_Mensual!P131 * 'Resumen_Cartera'!$Q131, 2), "")</f>
        <v/>
      </c>
      <c r="R131" s="23">
        <f>IF(Saldos_Capital_Mensual!Q131&gt;0, ROUND(Saldos_Capital_Mensual!Q131 * 'Resumen_Cartera'!$Q131, 2), "")</f>
        <v/>
      </c>
      <c r="S131" s="23">
        <f>IF(Saldos_Capital_Mensual!R131&gt;0, ROUND(Saldos_Capital_Mensual!R131 * 'Resumen_Cartera'!$Q131, 2), "")</f>
        <v/>
      </c>
      <c r="T131" s="23">
        <f>IF(Saldos_Capital_Mensual!S131&gt;0, ROUND(Saldos_Capital_Mensual!S131 * 'Resumen_Cartera'!$Q131, 2), "")</f>
        <v/>
      </c>
      <c r="U131" s="23">
        <f>SUM(I131:T131)</f>
        <v/>
      </c>
    </row>
    <row r="132">
      <c r="A132" s="26" t="inlineStr">
        <is>
          <t>0661-0001</t>
        </is>
      </c>
      <c r="B132" s="27" t="inlineStr">
        <is>
          <t>Veta Vertical Home Sa de Cv</t>
        </is>
      </c>
      <c r="C132" s="27" t="inlineStr">
        <is>
          <t>3008 Allure Pack</t>
        </is>
      </c>
      <c r="D132" s="26" t="inlineStr">
        <is>
          <t>ACTIVO</t>
        </is>
      </c>
      <c r="E132" s="26" t="inlineStr">
        <is>
          <t>2024-06-27</t>
        </is>
      </c>
      <c r="F132" s="26" t="inlineStr">
        <is>
          <t>2028-06-27</t>
        </is>
      </c>
      <c r="G132" s="28" t="n">
        <v>48</v>
      </c>
      <c r="H132" s="29" t="n">
        <v>360512.69</v>
      </c>
      <c r="I132" s="29">
        <f>ROUND(301304.5 * 'Resumen_Cartera'!$Q132, 2)</f>
        <v/>
      </c>
      <c r="J132" s="29">
        <f>IF(Saldos_Capital_Mensual!I132&gt;0, ROUND(Saldos_Capital_Mensual!I132 * 'Resumen_Cartera'!$Q132, 2), "")</f>
        <v/>
      </c>
      <c r="K132" s="29">
        <f>IF(Saldos_Capital_Mensual!J132&gt;0, ROUND(Saldos_Capital_Mensual!J132 * 'Resumen_Cartera'!$Q132, 2), "")</f>
        <v/>
      </c>
      <c r="L132" s="29">
        <f>IF(Saldos_Capital_Mensual!K132&gt;0, ROUND(Saldos_Capital_Mensual!K132 * 'Resumen_Cartera'!$Q132, 2), "")</f>
        <v/>
      </c>
      <c r="M132" s="29">
        <f>IF(Saldos_Capital_Mensual!L132&gt;0, ROUND(Saldos_Capital_Mensual!L132 * 'Resumen_Cartera'!$Q132, 2), "")</f>
        <v/>
      </c>
      <c r="N132" s="29">
        <f>IF(Saldos_Capital_Mensual!M132&gt;0, ROUND(Saldos_Capital_Mensual!M132 * 'Resumen_Cartera'!$Q132, 2), "")</f>
        <v/>
      </c>
      <c r="O132" s="29">
        <f>IF(Saldos_Capital_Mensual!N132&gt;0, ROUND(Saldos_Capital_Mensual!N132 * 'Resumen_Cartera'!$Q132, 2), "")</f>
        <v/>
      </c>
      <c r="P132" s="29">
        <f>IF(Saldos_Capital_Mensual!O132&gt;0, ROUND(Saldos_Capital_Mensual!O132 * 'Resumen_Cartera'!$Q132, 2), "")</f>
        <v/>
      </c>
      <c r="Q132" s="29">
        <f>IF(Saldos_Capital_Mensual!P132&gt;0, ROUND(Saldos_Capital_Mensual!P132 * 'Resumen_Cartera'!$Q132, 2), "")</f>
        <v/>
      </c>
      <c r="R132" s="29">
        <f>IF(Saldos_Capital_Mensual!Q132&gt;0, ROUND(Saldos_Capital_Mensual!Q132 * 'Resumen_Cartera'!$Q132, 2), "")</f>
        <v/>
      </c>
      <c r="S132" s="29">
        <f>IF(Saldos_Capital_Mensual!R132&gt;0, ROUND(Saldos_Capital_Mensual!R132 * 'Resumen_Cartera'!$Q132, 2), "")</f>
        <v/>
      </c>
      <c r="T132" s="29">
        <f>IF(Saldos_Capital_Mensual!S132&gt;0, ROUND(Saldos_Capital_Mensual!S132 * 'Resumen_Cartera'!$Q132, 2), "")</f>
        <v/>
      </c>
      <c r="U132" s="29">
        <f>SUM(I132:T132)</f>
        <v/>
      </c>
    </row>
    <row r="133">
      <c r="A133" s="20" t="inlineStr">
        <is>
          <t>0662-0001</t>
        </is>
      </c>
      <c r="B133" s="21" t="inlineStr">
        <is>
          <t>Luis Jorge de Loera Perez</t>
        </is>
      </c>
      <c r="C133" s="21" t="inlineStr">
        <is>
          <t>L200 GLX Diesel</t>
        </is>
      </c>
      <c r="D133" s="20" t="inlineStr">
        <is>
          <t>ACTIVO</t>
        </is>
      </c>
      <c r="E133" s="20" t="inlineStr">
        <is>
          <t>2024-06-28</t>
        </is>
      </c>
      <c r="F133" s="20" t="inlineStr">
        <is>
          <t>2028-06-28</t>
        </is>
      </c>
      <c r="G133" s="22" t="n">
        <v>48</v>
      </c>
      <c r="H133" s="23" t="n">
        <v>445724.14</v>
      </c>
      <c r="I133" s="23">
        <f>ROUND(367753.09 * 'Resumen_Cartera'!$Q133, 2)</f>
        <v/>
      </c>
      <c r="J133" s="23">
        <f>IF(Saldos_Capital_Mensual!I133&gt;0, ROUND(Saldos_Capital_Mensual!I133 * 'Resumen_Cartera'!$Q133, 2), "")</f>
        <v/>
      </c>
      <c r="K133" s="23">
        <f>IF(Saldos_Capital_Mensual!J133&gt;0, ROUND(Saldos_Capital_Mensual!J133 * 'Resumen_Cartera'!$Q133, 2), "")</f>
        <v/>
      </c>
      <c r="L133" s="23">
        <f>IF(Saldos_Capital_Mensual!K133&gt;0, ROUND(Saldos_Capital_Mensual!K133 * 'Resumen_Cartera'!$Q133, 2), "")</f>
        <v/>
      </c>
      <c r="M133" s="23">
        <f>IF(Saldos_Capital_Mensual!L133&gt;0, ROUND(Saldos_Capital_Mensual!L133 * 'Resumen_Cartera'!$Q133, 2), "")</f>
        <v/>
      </c>
      <c r="N133" s="23">
        <f>IF(Saldos_Capital_Mensual!M133&gt;0, ROUND(Saldos_Capital_Mensual!M133 * 'Resumen_Cartera'!$Q133, 2), "")</f>
        <v/>
      </c>
      <c r="O133" s="23">
        <f>IF(Saldos_Capital_Mensual!N133&gt;0, ROUND(Saldos_Capital_Mensual!N133 * 'Resumen_Cartera'!$Q133, 2), "")</f>
        <v/>
      </c>
      <c r="P133" s="23">
        <f>IF(Saldos_Capital_Mensual!O133&gt;0, ROUND(Saldos_Capital_Mensual!O133 * 'Resumen_Cartera'!$Q133, 2), "")</f>
        <v/>
      </c>
      <c r="Q133" s="23">
        <f>IF(Saldos_Capital_Mensual!P133&gt;0, ROUND(Saldos_Capital_Mensual!P133 * 'Resumen_Cartera'!$Q133, 2), "")</f>
        <v/>
      </c>
      <c r="R133" s="23">
        <f>IF(Saldos_Capital_Mensual!Q133&gt;0, ROUND(Saldos_Capital_Mensual!Q133 * 'Resumen_Cartera'!$Q133, 2), "")</f>
        <v/>
      </c>
      <c r="S133" s="23">
        <f>IF(Saldos_Capital_Mensual!R133&gt;0, ROUND(Saldos_Capital_Mensual!R133 * 'Resumen_Cartera'!$Q133, 2), "")</f>
        <v/>
      </c>
      <c r="T133" s="23">
        <f>IF(Saldos_Capital_Mensual!S133&gt;0, ROUND(Saldos_Capital_Mensual!S133 * 'Resumen_Cartera'!$Q133, 2), "")</f>
        <v/>
      </c>
      <c r="U133" s="23">
        <f>SUM(I133:T133)</f>
        <v/>
      </c>
    </row>
    <row r="134">
      <c r="A134" s="26" t="inlineStr">
        <is>
          <t>0662-0002</t>
        </is>
      </c>
      <c r="B134" s="27" t="inlineStr">
        <is>
          <t>Luis Jorge De Loera Perez</t>
        </is>
      </c>
      <c r="C134" s="27" t="inlineStr">
        <is>
          <t>NP 300</t>
        </is>
      </c>
      <c r="D134" s="26" t="inlineStr">
        <is>
          <t>ACTIVO</t>
        </is>
      </c>
      <c r="E134" s="26" t="inlineStr">
        <is>
          <t>2025-02-06</t>
        </is>
      </c>
      <c r="F134" s="26" t="inlineStr">
        <is>
          <t>2029-02-06</t>
        </is>
      </c>
      <c r="G134" s="28" t="n">
        <v>48</v>
      </c>
      <c r="H134" s="29" t="n">
        <v>394060.35</v>
      </c>
      <c r="I134" s="29">
        <f>ROUND(355865.23 * 'Resumen_Cartera'!$Q134, 2)</f>
        <v/>
      </c>
      <c r="J134" s="29">
        <f>IF(Saldos_Capital_Mensual!I134&gt;0, ROUND(Saldos_Capital_Mensual!I134 * 'Resumen_Cartera'!$Q134, 2), "")</f>
        <v/>
      </c>
      <c r="K134" s="29">
        <f>IF(Saldos_Capital_Mensual!J134&gt;0, ROUND(Saldos_Capital_Mensual!J134 * 'Resumen_Cartera'!$Q134, 2), "")</f>
        <v/>
      </c>
      <c r="L134" s="29">
        <f>IF(Saldos_Capital_Mensual!K134&gt;0, ROUND(Saldos_Capital_Mensual!K134 * 'Resumen_Cartera'!$Q134, 2), "")</f>
        <v/>
      </c>
      <c r="M134" s="29">
        <f>IF(Saldos_Capital_Mensual!L134&gt;0, ROUND(Saldos_Capital_Mensual!L134 * 'Resumen_Cartera'!$Q134, 2), "")</f>
        <v/>
      </c>
      <c r="N134" s="29">
        <f>IF(Saldos_Capital_Mensual!M134&gt;0, ROUND(Saldos_Capital_Mensual!M134 * 'Resumen_Cartera'!$Q134, 2), "")</f>
        <v/>
      </c>
      <c r="O134" s="29">
        <f>IF(Saldos_Capital_Mensual!N134&gt;0, ROUND(Saldos_Capital_Mensual!N134 * 'Resumen_Cartera'!$Q134, 2), "")</f>
        <v/>
      </c>
      <c r="P134" s="29">
        <f>IF(Saldos_Capital_Mensual!O134&gt;0, ROUND(Saldos_Capital_Mensual!O134 * 'Resumen_Cartera'!$Q134, 2), "")</f>
        <v/>
      </c>
      <c r="Q134" s="29">
        <f>IF(Saldos_Capital_Mensual!P134&gt;0, ROUND(Saldos_Capital_Mensual!P134 * 'Resumen_Cartera'!$Q134, 2), "")</f>
        <v/>
      </c>
      <c r="R134" s="29">
        <f>IF(Saldos_Capital_Mensual!Q134&gt;0, ROUND(Saldos_Capital_Mensual!Q134 * 'Resumen_Cartera'!$Q134, 2), "")</f>
        <v/>
      </c>
      <c r="S134" s="29">
        <f>IF(Saldos_Capital_Mensual!R134&gt;0, ROUND(Saldos_Capital_Mensual!R134 * 'Resumen_Cartera'!$Q134, 2), "")</f>
        <v/>
      </c>
      <c r="T134" s="29">
        <f>IF(Saldos_Capital_Mensual!S134&gt;0, ROUND(Saldos_Capital_Mensual!S134 * 'Resumen_Cartera'!$Q134, 2), "")</f>
        <v/>
      </c>
      <c r="U134" s="29">
        <f>SUM(I134:T134)</f>
        <v/>
      </c>
    </row>
    <row r="135">
      <c r="A135" s="20" t="inlineStr">
        <is>
          <t>0662-0003</t>
        </is>
      </c>
      <c r="B135" s="21" t="inlineStr">
        <is>
          <t>Luis Jorge De Loera Perez</t>
        </is>
      </c>
      <c r="C135" s="21" t="inlineStr">
        <is>
          <t>Rav 4</t>
        </is>
      </c>
      <c r="D135" s="20" t="inlineStr">
        <is>
          <t>ACTIVO</t>
        </is>
      </c>
      <c r="E135" s="20" t="inlineStr">
        <is>
          <t>2025-03-27</t>
        </is>
      </c>
      <c r="F135" s="20" t="inlineStr">
        <is>
          <t>2029-03-27</t>
        </is>
      </c>
      <c r="G135" s="22" t="n">
        <v>48</v>
      </c>
      <c r="H135" s="23" t="n">
        <v>402122.18</v>
      </c>
      <c r="I135" s="23">
        <f>ROUND(368695.37 * 'Resumen_Cartera'!$Q135, 2)</f>
        <v/>
      </c>
      <c r="J135" s="23">
        <f>IF(Saldos_Capital_Mensual!I135&gt;0, ROUND(Saldos_Capital_Mensual!I135 * 'Resumen_Cartera'!$Q135, 2), "")</f>
        <v/>
      </c>
      <c r="K135" s="23">
        <f>IF(Saldos_Capital_Mensual!J135&gt;0, ROUND(Saldos_Capital_Mensual!J135 * 'Resumen_Cartera'!$Q135, 2), "")</f>
        <v/>
      </c>
      <c r="L135" s="23">
        <f>IF(Saldos_Capital_Mensual!K135&gt;0, ROUND(Saldos_Capital_Mensual!K135 * 'Resumen_Cartera'!$Q135, 2), "")</f>
        <v/>
      </c>
      <c r="M135" s="23">
        <f>IF(Saldos_Capital_Mensual!L135&gt;0, ROUND(Saldos_Capital_Mensual!L135 * 'Resumen_Cartera'!$Q135, 2), "")</f>
        <v/>
      </c>
      <c r="N135" s="23">
        <f>IF(Saldos_Capital_Mensual!M135&gt;0, ROUND(Saldos_Capital_Mensual!M135 * 'Resumen_Cartera'!$Q135, 2), "")</f>
        <v/>
      </c>
      <c r="O135" s="23">
        <f>IF(Saldos_Capital_Mensual!N135&gt;0, ROUND(Saldos_Capital_Mensual!N135 * 'Resumen_Cartera'!$Q135, 2), "")</f>
        <v/>
      </c>
      <c r="P135" s="23">
        <f>IF(Saldos_Capital_Mensual!O135&gt;0, ROUND(Saldos_Capital_Mensual!O135 * 'Resumen_Cartera'!$Q135, 2), "")</f>
        <v/>
      </c>
      <c r="Q135" s="23">
        <f>IF(Saldos_Capital_Mensual!P135&gt;0, ROUND(Saldos_Capital_Mensual!P135 * 'Resumen_Cartera'!$Q135, 2), "")</f>
        <v/>
      </c>
      <c r="R135" s="23">
        <f>IF(Saldos_Capital_Mensual!Q135&gt;0, ROUND(Saldos_Capital_Mensual!Q135 * 'Resumen_Cartera'!$Q135, 2), "")</f>
        <v/>
      </c>
      <c r="S135" s="23">
        <f>IF(Saldos_Capital_Mensual!R135&gt;0, ROUND(Saldos_Capital_Mensual!R135 * 'Resumen_Cartera'!$Q135, 2), "")</f>
        <v/>
      </c>
      <c r="T135" s="23">
        <f>IF(Saldos_Capital_Mensual!S135&gt;0, ROUND(Saldos_Capital_Mensual!S135 * 'Resumen_Cartera'!$Q135, 2), "")</f>
        <v/>
      </c>
      <c r="U135" s="23">
        <f>SUM(I135:T135)</f>
        <v/>
      </c>
    </row>
    <row r="136">
      <c r="A136" s="26" t="inlineStr">
        <is>
          <t>0663-0001</t>
        </is>
      </c>
      <c r="B136" s="27" t="inlineStr">
        <is>
          <t>Soluciones de Transporte de Carga B de Sa de Cv</t>
        </is>
      </c>
      <c r="C136" s="27" t="inlineStr">
        <is>
          <t>L200 GLX Diesel</t>
        </is>
      </c>
      <c r="D136" s="26" t="inlineStr">
        <is>
          <t>ACTIVO</t>
        </is>
      </c>
      <c r="E136" s="26" t="inlineStr">
        <is>
          <t>2024-07-31</t>
        </is>
      </c>
      <c r="F136" s="26" t="inlineStr">
        <is>
          <t>2028-07-31</t>
        </is>
      </c>
      <c r="G136" s="28" t="n">
        <v>48</v>
      </c>
      <c r="H136" s="29" t="n">
        <v>483086.64</v>
      </c>
      <c r="I136" s="29">
        <f>ROUND(401444.52 * 'Resumen_Cartera'!$Q136, 2)</f>
        <v/>
      </c>
      <c r="J136" s="29">
        <f>IF(Saldos_Capital_Mensual!I136&gt;0, ROUND(Saldos_Capital_Mensual!I136 * 'Resumen_Cartera'!$Q136, 2), "")</f>
        <v/>
      </c>
      <c r="K136" s="29">
        <f>IF(Saldos_Capital_Mensual!J136&gt;0, ROUND(Saldos_Capital_Mensual!J136 * 'Resumen_Cartera'!$Q136, 2), "")</f>
        <v/>
      </c>
      <c r="L136" s="29">
        <f>IF(Saldos_Capital_Mensual!K136&gt;0, ROUND(Saldos_Capital_Mensual!K136 * 'Resumen_Cartera'!$Q136, 2), "")</f>
        <v/>
      </c>
      <c r="M136" s="29">
        <f>IF(Saldos_Capital_Mensual!L136&gt;0, ROUND(Saldos_Capital_Mensual!L136 * 'Resumen_Cartera'!$Q136, 2), "")</f>
        <v/>
      </c>
      <c r="N136" s="29">
        <f>IF(Saldos_Capital_Mensual!M136&gt;0, ROUND(Saldos_Capital_Mensual!M136 * 'Resumen_Cartera'!$Q136, 2), "")</f>
        <v/>
      </c>
      <c r="O136" s="29">
        <f>IF(Saldos_Capital_Mensual!N136&gt;0, ROUND(Saldos_Capital_Mensual!N136 * 'Resumen_Cartera'!$Q136, 2), "")</f>
        <v/>
      </c>
      <c r="P136" s="29">
        <f>IF(Saldos_Capital_Mensual!O136&gt;0, ROUND(Saldos_Capital_Mensual!O136 * 'Resumen_Cartera'!$Q136, 2), "")</f>
        <v/>
      </c>
      <c r="Q136" s="29">
        <f>IF(Saldos_Capital_Mensual!P136&gt;0, ROUND(Saldos_Capital_Mensual!P136 * 'Resumen_Cartera'!$Q136, 2), "")</f>
        <v/>
      </c>
      <c r="R136" s="29">
        <f>IF(Saldos_Capital_Mensual!Q136&gt;0, ROUND(Saldos_Capital_Mensual!Q136 * 'Resumen_Cartera'!$Q136, 2), "")</f>
        <v/>
      </c>
      <c r="S136" s="29">
        <f>IF(Saldos_Capital_Mensual!R136&gt;0, ROUND(Saldos_Capital_Mensual!R136 * 'Resumen_Cartera'!$Q136, 2), "")</f>
        <v/>
      </c>
      <c r="T136" s="29">
        <f>IF(Saldos_Capital_Mensual!S136&gt;0, ROUND(Saldos_Capital_Mensual!S136 * 'Resumen_Cartera'!$Q136, 2), "")</f>
        <v/>
      </c>
      <c r="U136" s="29">
        <f>SUM(I136:T136)</f>
        <v/>
      </c>
    </row>
    <row r="137">
      <c r="A137" s="20" t="inlineStr">
        <is>
          <t>0663-0002</t>
        </is>
      </c>
      <c r="B137" s="21" t="inlineStr">
        <is>
          <t>Diego Hazael Morales Iñiguez</t>
        </is>
      </c>
      <c r="C137" s="21" t="inlineStr">
        <is>
          <t>Wrangler Rubicon</t>
        </is>
      </c>
      <c r="D137" s="20" t="inlineStr">
        <is>
          <t>ACTIVO</t>
        </is>
      </c>
      <c r="E137" s="20" t="inlineStr">
        <is>
          <t>2025-01-16</t>
        </is>
      </c>
      <c r="F137" s="20" t="inlineStr">
        <is>
          <t>2029-01-16</t>
        </is>
      </c>
      <c r="G137" s="22" t="n">
        <v>48</v>
      </c>
      <c r="H137" s="23" t="n">
        <v>632534.48</v>
      </c>
      <c r="I137" s="23">
        <f>ROUND(562222.75 * 'Resumen_Cartera'!$Q137, 2)</f>
        <v/>
      </c>
      <c r="J137" s="23">
        <f>IF(Saldos_Capital_Mensual!I137&gt;0, ROUND(Saldos_Capital_Mensual!I137 * 'Resumen_Cartera'!$Q137, 2), "")</f>
        <v/>
      </c>
      <c r="K137" s="23">
        <f>IF(Saldos_Capital_Mensual!J137&gt;0, ROUND(Saldos_Capital_Mensual!J137 * 'Resumen_Cartera'!$Q137, 2), "")</f>
        <v/>
      </c>
      <c r="L137" s="23">
        <f>IF(Saldos_Capital_Mensual!K137&gt;0, ROUND(Saldos_Capital_Mensual!K137 * 'Resumen_Cartera'!$Q137, 2), "")</f>
        <v/>
      </c>
      <c r="M137" s="23">
        <f>IF(Saldos_Capital_Mensual!L137&gt;0, ROUND(Saldos_Capital_Mensual!L137 * 'Resumen_Cartera'!$Q137, 2), "")</f>
        <v/>
      </c>
      <c r="N137" s="23">
        <f>IF(Saldos_Capital_Mensual!M137&gt;0, ROUND(Saldos_Capital_Mensual!M137 * 'Resumen_Cartera'!$Q137, 2), "")</f>
        <v/>
      </c>
      <c r="O137" s="23">
        <f>IF(Saldos_Capital_Mensual!N137&gt;0, ROUND(Saldos_Capital_Mensual!N137 * 'Resumen_Cartera'!$Q137, 2), "")</f>
        <v/>
      </c>
      <c r="P137" s="23">
        <f>IF(Saldos_Capital_Mensual!O137&gt;0, ROUND(Saldos_Capital_Mensual!O137 * 'Resumen_Cartera'!$Q137, 2), "")</f>
        <v/>
      </c>
      <c r="Q137" s="23">
        <f>IF(Saldos_Capital_Mensual!P137&gt;0, ROUND(Saldos_Capital_Mensual!P137 * 'Resumen_Cartera'!$Q137, 2), "")</f>
        <v/>
      </c>
      <c r="R137" s="23">
        <f>IF(Saldos_Capital_Mensual!Q137&gt;0, ROUND(Saldos_Capital_Mensual!Q137 * 'Resumen_Cartera'!$Q137, 2), "")</f>
        <v/>
      </c>
      <c r="S137" s="23">
        <f>IF(Saldos_Capital_Mensual!R137&gt;0, ROUND(Saldos_Capital_Mensual!R137 * 'Resumen_Cartera'!$Q137, 2), "")</f>
        <v/>
      </c>
      <c r="T137" s="23">
        <f>IF(Saldos_Capital_Mensual!S137&gt;0, ROUND(Saldos_Capital_Mensual!S137 * 'Resumen_Cartera'!$Q137, 2), "")</f>
        <v/>
      </c>
      <c r="U137" s="23">
        <f>SUM(I137:T137)</f>
        <v/>
      </c>
    </row>
    <row r="138">
      <c r="A138" s="26" t="inlineStr">
        <is>
          <t>0665-0001</t>
        </is>
      </c>
      <c r="B138" s="27" t="inlineStr">
        <is>
          <t>Dulce Guadalupe Amezcua Gomez</t>
        </is>
      </c>
      <c r="C138" s="27" t="inlineStr">
        <is>
          <t>Wrangler Jt</t>
        </is>
      </c>
      <c r="D138" s="26" t="inlineStr">
        <is>
          <t>ACTIVO</t>
        </is>
      </c>
      <c r="E138" s="26" t="inlineStr">
        <is>
          <t>2024-08-27</t>
        </is>
      </c>
      <c r="F138" s="26" t="inlineStr">
        <is>
          <t>2028-08-27</t>
        </is>
      </c>
      <c r="G138" s="28" t="n">
        <v>48</v>
      </c>
      <c r="H138" s="29" t="n">
        <v>1201861.28</v>
      </c>
      <c r="I138" s="29">
        <f>ROUND(1013419.93 * 'Resumen_Cartera'!$Q138, 2)</f>
        <v/>
      </c>
      <c r="J138" s="29">
        <f>IF(Saldos_Capital_Mensual!I138&gt;0, ROUND(Saldos_Capital_Mensual!I138 * 'Resumen_Cartera'!$Q138, 2), "")</f>
        <v/>
      </c>
      <c r="K138" s="29">
        <f>IF(Saldos_Capital_Mensual!J138&gt;0, ROUND(Saldos_Capital_Mensual!J138 * 'Resumen_Cartera'!$Q138, 2), "")</f>
        <v/>
      </c>
      <c r="L138" s="29">
        <f>IF(Saldos_Capital_Mensual!K138&gt;0, ROUND(Saldos_Capital_Mensual!K138 * 'Resumen_Cartera'!$Q138, 2), "")</f>
        <v/>
      </c>
      <c r="M138" s="29">
        <f>IF(Saldos_Capital_Mensual!L138&gt;0, ROUND(Saldos_Capital_Mensual!L138 * 'Resumen_Cartera'!$Q138, 2), "")</f>
        <v/>
      </c>
      <c r="N138" s="29">
        <f>IF(Saldos_Capital_Mensual!M138&gt;0, ROUND(Saldos_Capital_Mensual!M138 * 'Resumen_Cartera'!$Q138, 2), "")</f>
        <v/>
      </c>
      <c r="O138" s="29">
        <f>IF(Saldos_Capital_Mensual!N138&gt;0, ROUND(Saldos_Capital_Mensual!N138 * 'Resumen_Cartera'!$Q138, 2), "")</f>
        <v/>
      </c>
      <c r="P138" s="29">
        <f>IF(Saldos_Capital_Mensual!O138&gt;0, ROUND(Saldos_Capital_Mensual!O138 * 'Resumen_Cartera'!$Q138, 2), "")</f>
        <v/>
      </c>
      <c r="Q138" s="29">
        <f>IF(Saldos_Capital_Mensual!P138&gt;0, ROUND(Saldos_Capital_Mensual!P138 * 'Resumen_Cartera'!$Q138, 2), "")</f>
        <v/>
      </c>
      <c r="R138" s="29">
        <f>IF(Saldos_Capital_Mensual!Q138&gt;0, ROUND(Saldos_Capital_Mensual!Q138 * 'Resumen_Cartera'!$Q138, 2), "")</f>
        <v/>
      </c>
      <c r="S138" s="29">
        <f>IF(Saldos_Capital_Mensual!R138&gt;0, ROUND(Saldos_Capital_Mensual!R138 * 'Resumen_Cartera'!$Q138, 2), "")</f>
        <v/>
      </c>
      <c r="T138" s="29">
        <f>IF(Saldos_Capital_Mensual!S138&gt;0, ROUND(Saldos_Capital_Mensual!S138 * 'Resumen_Cartera'!$Q138, 2), "")</f>
        <v/>
      </c>
      <c r="U138" s="29">
        <f>SUM(I138:T138)</f>
        <v/>
      </c>
    </row>
    <row r="139">
      <c r="A139" s="20" t="inlineStr">
        <is>
          <t>0666-0003</t>
        </is>
      </c>
      <c r="B139" s="21" t="inlineStr">
        <is>
          <t>Jaime Adrian Muñiz Ramirez</t>
        </is>
      </c>
      <c r="C139" s="21" t="inlineStr">
        <is>
          <t>Wrangler Phev</t>
        </is>
      </c>
      <c r="D139" s="20" t="inlineStr">
        <is>
          <t>ACTIVO</t>
        </is>
      </c>
      <c r="E139" s="20" t="inlineStr">
        <is>
          <t>2024-08-28</t>
        </is>
      </c>
      <c r="F139" s="20" t="inlineStr">
        <is>
          <t>2027-08-28</t>
        </is>
      </c>
      <c r="G139" s="22" t="n">
        <v>36</v>
      </c>
      <c r="H139" s="23" t="n">
        <v>944758.62</v>
      </c>
      <c r="I139" s="23">
        <f>ROUND(765069.54 * 'Resumen_Cartera'!$Q139, 2)</f>
        <v/>
      </c>
      <c r="J139" s="23">
        <f>IF(Saldos_Capital_Mensual!I139&gt;0, ROUND(Saldos_Capital_Mensual!I139 * 'Resumen_Cartera'!$Q139, 2), "")</f>
        <v/>
      </c>
      <c r="K139" s="23">
        <f>IF(Saldos_Capital_Mensual!J139&gt;0, ROUND(Saldos_Capital_Mensual!J139 * 'Resumen_Cartera'!$Q139, 2), "")</f>
        <v/>
      </c>
      <c r="L139" s="23">
        <f>IF(Saldos_Capital_Mensual!K139&gt;0, ROUND(Saldos_Capital_Mensual!K139 * 'Resumen_Cartera'!$Q139, 2), "")</f>
        <v/>
      </c>
      <c r="M139" s="23">
        <f>IF(Saldos_Capital_Mensual!L139&gt;0, ROUND(Saldos_Capital_Mensual!L139 * 'Resumen_Cartera'!$Q139, 2), "")</f>
        <v/>
      </c>
      <c r="N139" s="23">
        <f>IF(Saldos_Capital_Mensual!M139&gt;0, ROUND(Saldos_Capital_Mensual!M139 * 'Resumen_Cartera'!$Q139, 2), "")</f>
        <v/>
      </c>
      <c r="O139" s="23">
        <f>IF(Saldos_Capital_Mensual!N139&gt;0, ROUND(Saldos_Capital_Mensual!N139 * 'Resumen_Cartera'!$Q139, 2), "")</f>
        <v/>
      </c>
      <c r="P139" s="23">
        <f>IF(Saldos_Capital_Mensual!O139&gt;0, ROUND(Saldos_Capital_Mensual!O139 * 'Resumen_Cartera'!$Q139, 2), "")</f>
        <v/>
      </c>
      <c r="Q139" s="23">
        <f>IF(Saldos_Capital_Mensual!P139&gt;0, ROUND(Saldos_Capital_Mensual!P139 * 'Resumen_Cartera'!$Q139, 2), "")</f>
        <v/>
      </c>
      <c r="R139" s="23">
        <f>IF(Saldos_Capital_Mensual!Q139&gt;0, ROUND(Saldos_Capital_Mensual!Q139 * 'Resumen_Cartera'!$Q139, 2), "")</f>
        <v/>
      </c>
      <c r="S139" s="23">
        <f>IF(Saldos_Capital_Mensual!R139&gt;0, ROUND(Saldos_Capital_Mensual!R139 * 'Resumen_Cartera'!$Q139, 2), "")</f>
        <v/>
      </c>
      <c r="T139" s="23">
        <f>IF(Saldos_Capital_Mensual!S139&gt;0, ROUND(Saldos_Capital_Mensual!S139 * 'Resumen_Cartera'!$Q139, 2), "")</f>
        <v/>
      </c>
      <c r="U139" s="23">
        <f>SUM(I139:T139)</f>
        <v/>
      </c>
    </row>
    <row r="140">
      <c r="A140" s="26" t="inlineStr">
        <is>
          <t>0668-0005</t>
        </is>
      </c>
      <c r="B140" s="27" t="inlineStr">
        <is>
          <t>Jorge Alonso Alvarez Garcia</t>
        </is>
      </c>
      <c r="C140" s="27" t="inlineStr">
        <is>
          <t>RAM 700 BIGHORN "S" CREW CAB CVT</t>
        </is>
      </c>
      <c r="D140" s="26" t="inlineStr">
        <is>
          <t>ACTIVO</t>
        </is>
      </c>
      <c r="E140" s="26" t="inlineStr">
        <is>
          <t>2026-03-04</t>
        </is>
      </c>
      <c r="F140" s="26" t="inlineStr">
        <is>
          <t>2027-03-04</t>
        </is>
      </c>
      <c r="G140" s="28" t="n">
        <v>12</v>
      </c>
      <c r="H140" s="29" t="n">
        <v>344017.24</v>
      </c>
      <c r="I140" s="29" t="inlineStr"/>
      <c r="J140" s="29" t="inlineStr"/>
      <c r="K140" s="29">
        <f>ROUND('Resumen_Cartera'!$K140 * 'Resumen_Cartera'!$Q140, 2)</f>
        <v/>
      </c>
      <c r="L140" s="29">
        <f>IF(Saldos_Capital_Mensual!K140&gt;0, ROUND(Saldos_Capital_Mensual!K140 * 'Resumen_Cartera'!$Q140, 2), "")</f>
        <v/>
      </c>
      <c r="M140" s="29">
        <f>IF(Saldos_Capital_Mensual!L140&gt;0, ROUND(Saldos_Capital_Mensual!L140 * 'Resumen_Cartera'!$Q140, 2), "")</f>
        <v/>
      </c>
      <c r="N140" s="29">
        <f>IF(Saldos_Capital_Mensual!M140&gt;0, ROUND(Saldos_Capital_Mensual!M140 * 'Resumen_Cartera'!$Q140, 2), "")</f>
        <v/>
      </c>
      <c r="O140" s="29">
        <f>IF(Saldos_Capital_Mensual!N140&gt;0, ROUND(Saldos_Capital_Mensual!N140 * 'Resumen_Cartera'!$Q140, 2), "")</f>
        <v/>
      </c>
      <c r="P140" s="29">
        <f>IF(Saldos_Capital_Mensual!O140&gt;0, ROUND(Saldos_Capital_Mensual!O140 * 'Resumen_Cartera'!$Q140, 2), "")</f>
        <v/>
      </c>
      <c r="Q140" s="29">
        <f>IF(Saldos_Capital_Mensual!P140&gt;0, ROUND(Saldos_Capital_Mensual!P140 * 'Resumen_Cartera'!$Q140, 2), "")</f>
        <v/>
      </c>
      <c r="R140" s="29">
        <f>IF(Saldos_Capital_Mensual!Q140&gt;0, ROUND(Saldos_Capital_Mensual!Q140 * 'Resumen_Cartera'!$Q140, 2), "")</f>
        <v/>
      </c>
      <c r="S140" s="29">
        <f>IF(Saldos_Capital_Mensual!R140&gt;0, ROUND(Saldos_Capital_Mensual!R140 * 'Resumen_Cartera'!$Q140, 2), "")</f>
        <v/>
      </c>
      <c r="T140" s="29">
        <f>IF(Saldos_Capital_Mensual!S140&gt;0, ROUND(Saldos_Capital_Mensual!S140 * 'Resumen_Cartera'!$Q140, 2), "")</f>
        <v/>
      </c>
      <c r="U140" s="29">
        <f>SUM(I140:T140)</f>
        <v/>
      </c>
    </row>
    <row r="141">
      <c r="A141" s="20" t="inlineStr">
        <is>
          <t>0669-0001</t>
        </is>
      </c>
      <c r="B141" s="21" t="inlineStr">
        <is>
          <t>Diego Hazael Morales Iñiguez</t>
        </is>
      </c>
      <c r="C141" s="21" t="inlineStr">
        <is>
          <t>Wrangler Jt</t>
        </is>
      </c>
      <c r="D141" s="20" t="inlineStr">
        <is>
          <t>ACTIVO</t>
        </is>
      </c>
      <c r="E141" s="20" t="inlineStr">
        <is>
          <t>2024-08-23</t>
        </is>
      </c>
      <c r="F141" s="20" t="inlineStr">
        <is>
          <t>2027-08-23</t>
        </is>
      </c>
      <c r="G141" s="22" t="n">
        <v>36</v>
      </c>
      <c r="H141" s="23" t="n">
        <v>803741.38</v>
      </c>
      <c r="I141" s="23">
        <f>ROUND(576719.8 * 'Resumen_Cartera'!$Q141, 2)</f>
        <v/>
      </c>
      <c r="J141" s="23">
        <f>IF(Saldos_Capital_Mensual!I141&gt;0, ROUND(Saldos_Capital_Mensual!I141 * 'Resumen_Cartera'!$Q141, 2), "")</f>
        <v/>
      </c>
      <c r="K141" s="23">
        <f>IF(Saldos_Capital_Mensual!J141&gt;0, ROUND(Saldos_Capital_Mensual!J141 * 'Resumen_Cartera'!$Q141, 2), "")</f>
        <v/>
      </c>
      <c r="L141" s="23">
        <f>IF(Saldos_Capital_Mensual!K141&gt;0, ROUND(Saldos_Capital_Mensual!K141 * 'Resumen_Cartera'!$Q141, 2), "")</f>
        <v/>
      </c>
      <c r="M141" s="23">
        <f>IF(Saldos_Capital_Mensual!L141&gt;0, ROUND(Saldos_Capital_Mensual!L141 * 'Resumen_Cartera'!$Q141, 2), "")</f>
        <v/>
      </c>
      <c r="N141" s="23">
        <f>IF(Saldos_Capital_Mensual!M141&gt;0, ROUND(Saldos_Capital_Mensual!M141 * 'Resumen_Cartera'!$Q141, 2), "")</f>
        <v/>
      </c>
      <c r="O141" s="23">
        <f>IF(Saldos_Capital_Mensual!N141&gt;0, ROUND(Saldos_Capital_Mensual!N141 * 'Resumen_Cartera'!$Q141, 2), "")</f>
        <v/>
      </c>
      <c r="P141" s="23">
        <f>IF(Saldos_Capital_Mensual!O141&gt;0, ROUND(Saldos_Capital_Mensual!O141 * 'Resumen_Cartera'!$Q141, 2), "")</f>
        <v/>
      </c>
      <c r="Q141" s="23">
        <f>IF(Saldos_Capital_Mensual!P141&gt;0, ROUND(Saldos_Capital_Mensual!P141 * 'Resumen_Cartera'!$Q141, 2), "")</f>
        <v/>
      </c>
      <c r="R141" s="23">
        <f>IF(Saldos_Capital_Mensual!Q141&gt;0, ROUND(Saldos_Capital_Mensual!Q141 * 'Resumen_Cartera'!$Q141, 2), "")</f>
        <v/>
      </c>
      <c r="S141" s="23">
        <f>IF(Saldos_Capital_Mensual!R141&gt;0, ROUND(Saldos_Capital_Mensual!R141 * 'Resumen_Cartera'!$Q141, 2), "")</f>
        <v/>
      </c>
      <c r="T141" s="23">
        <f>IF(Saldos_Capital_Mensual!S141&gt;0, ROUND(Saldos_Capital_Mensual!S141 * 'Resumen_Cartera'!$Q141, 2), "")</f>
        <v/>
      </c>
      <c r="U141" s="23">
        <f>SUM(I141:T141)</f>
        <v/>
      </c>
    </row>
    <row r="142">
      <c r="A142" s="26" t="inlineStr">
        <is>
          <t>0670-0001</t>
        </is>
      </c>
      <c r="B142" s="27" t="inlineStr">
        <is>
          <t>Consultoria Internacional Mexincorp Sc</t>
        </is>
      </c>
      <c r="C142" s="27" t="inlineStr">
        <is>
          <t>L200 Limited</t>
        </is>
      </c>
      <c r="D142" s="26" t="inlineStr">
        <is>
          <t>ACTIVO</t>
        </is>
      </c>
      <c r="E142" s="26" t="inlineStr">
        <is>
          <t>2024-09-03</t>
        </is>
      </c>
      <c r="F142" s="26" t="inlineStr">
        <is>
          <t>2028-09-03</t>
        </is>
      </c>
      <c r="G142" s="28" t="n">
        <v>48</v>
      </c>
      <c r="H142" s="29" t="n">
        <v>601810.26</v>
      </c>
      <c r="I142" s="29">
        <f>ROUND(481413.16 * 'Resumen_Cartera'!$Q142, 2)</f>
        <v/>
      </c>
      <c r="J142" s="29">
        <f>IF(Saldos_Capital_Mensual!I142&gt;0, ROUND(Saldos_Capital_Mensual!I142 * 'Resumen_Cartera'!$Q142, 2), "")</f>
        <v/>
      </c>
      <c r="K142" s="29">
        <f>IF(Saldos_Capital_Mensual!J142&gt;0, ROUND(Saldos_Capital_Mensual!J142 * 'Resumen_Cartera'!$Q142, 2), "")</f>
        <v/>
      </c>
      <c r="L142" s="29">
        <f>IF(Saldos_Capital_Mensual!K142&gt;0, ROUND(Saldos_Capital_Mensual!K142 * 'Resumen_Cartera'!$Q142, 2), "")</f>
        <v/>
      </c>
      <c r="M142" s="29">
        <f>IF(Saldos_Capital_Mensual!L142&gt;0, ROUND(Saldos_Capital_Mensual!L142 * 'Resumen_Cartera'!$Q142, 2), "")</f>
        <v/>
      </c>
      <c r="N142" s="29">
        <f>IF(Saldos_Capital_Mensual!M142&gt;0, ROUND(Saldos_Capital_Mensual!M142 * 'Resumen_Cartera'!$Q142, 2), "")</f>
        <v/>
      </c>
      <c r="O142" s="29">
        <f>IF(Saldos_Capital_Mensual!N142&gt;0, ROUND(Saldos_Capital_Mensual!N142 * 'Resumen_Cartera'!$Q142, 2), "")</f>
        <v/>
      </c>
      <c r="P142" s="29">
        <f>IF(Saldos_Capital_Mensual!O142&gt;0, ROUND(Saldos_Capital_Mensual!O142 * 'Resumen_Cartera'!$Q142, 2), "")</f>
        <v/>
      </c>
      <c r="Q142" s="29">
        <f>IF(Saldos_Capital_Mensual!P142&gt;0, ROUND(Saldos_Capital_Mensual!P142 * 'Resumen_Cartera'!$Q142, 2), "")</f>
        <v/>
      </c>
      <c r="R142" s="29">
        <f>IF(Saldos_Capital_Mensual!Q142&gt;0, ROUND(Saldos_Capital_Mensual!Q142 * 'Resumen_Cartera'!$Q142, 2), "")</f>
        <v/>
      </c>
      <c r="S142" s="29">
        <f>IF(Saldos_Capital_Mensual!R142&gt;0, ROUND(Saldos_Capital_Mensual!R142 * 'Resumen_Cartera'!$Q142, 2), "")</f>
        <v/>
      </c>
      <c r="T142" s="29">
        <f>IF(Saldos_Capital_Mensual!S142&gt;0, ROUND(Saldos_Capital_Mensual!S142 * 'Resumen_Cartera'!$Q142, 2), "")</f>
        <v/>
      </c>
      <c r="U142" s="29">
        <f>SUM(I142:T142)</f>
        <v/>
      </c>
    </row>
    <row r="143">
      <c r="A143" s="20" t="inlineStr">
        <is>
          <t>0672-0001</t>
        </is>
      </c>
      <c r="B143" s="21" t="inlineStr">
        <is>
          <t>Bax Blockchain Services Sa de Cv</t>
        </is>
      </c>
      <c r="C143" s="21" t="inlineStr">
        <is>
          <t>Tucson Limited</t>
        </is>
      </c>
      <c r="D143" s="20" t="inlineStr">
        <is>
          <t>ACTIVO</t>
        </is>
      </c>
      <c r="E143" s="20" t="inlineStr">
        <is>
          <t>2024-09-13</t>
        </is>
      </c>
      <c r="F143" s="20" t="inlineStr">
        <is>
          <t>2027-09-13</t>
        </is>
      </c>
      <c r="G143" s="22" t="n">
        <v>36</v>
      </c>
      <c r="H143" s="23" t="n">
        <v>531000</v>
      </c>
      <c r="I143" s="23">
        <f>ROUND(423956.68 * 'Resumen_Cartera'!$Q143, 2)</f>
        <v/>
      </c>
      <c r="J143" s="23">
        <f>IF(Saldos_Capital_Mensual!I143&gt;0, ROUND(Saldos_Capital_Mensual!I143 * 'Resumen_Cartera'!$Q143, 2), "")</f>
        <v/>
      </c>
      <c r="K143" s="23">
        <f>IF(Saldos_Capital_Mensual!J143&gt;0, ROUND(Saldos_Capital_Mensual!J143 * 'Resumen_Cartera'!$Q143, 2), "")</f>
        <v/>
      </c>
      <c r="L143" s="23">
        <f>IF(Saldos_Capital_Mensual!K143&gt;0, ROUND(Saldos_Capital_Mensual!K143 * 'Resumen_Cartera'!$Q143, 2), "")</f>
        <v/>
      </c>
      <c r="M143" s="23">
        <f>IF(Saldos_Capital_Mensual!L143&gt;0, ROUND(Saldos_Capital_Mensual!L143 * 'Resumen_Cartera'!$Q143, 2), "")</f>
        <v/>
      </c>
      <c r="N143" s="23">
        <f>IF(Saldos_Capital_Mensual!M143&gt;0, ROUND(Saldos_Capital_Mensual!M143 * 'Resumen_Cartera'!$Q143, 2), "")</f>
        <v/>
      </c>
      <c r="O143" s="23">
        <f>IF(Saldos_Capital_Mensual!N143&gt;0, ROUND(Saldos_Capital_Mensual!N143 * 'Resumen_Cartera'!$Q143, 2), "")</f>
        <v/>
      </c>
      <c r="P143" s="23">
        <f>IF(Saldos_Capital_Mensual!O143&gt;0, ROUND(Saldos_Capital_Mensual!O143 * 'Resumen_Cartera'!$Q143, 2), "")</f>
        <v/>
      </c>
      <c r="Q143" s="23">
        <f>IF(Saldos_Capital_Mensual!P143&gt;0, ROUND(Saldos_Capital_Mensual!P143 * 'Resumen_Cartera'!$Q143, 2), "")</f>
        <v/>
      </c>
      <c r="R143" s="23">
        <f>IF(Saldos_Capital_Mensual!Q143&gt;0, ROUND(Saldos_Capital_Mensual!Q143 * 'Resumen_Cartera'!$Q143, 2), "")</f>
        <v/>
      </c>
      <c r="S143" s="23">
        <f>IF(Saldos_Capital_Mensual!R143&gt;0, ROUND(Saldos_Capital_Mensual!R143 * 'Resumen_Cartera'!$Q143, 2), "")</f>
        <v/>
      </c>
      <c r="T143" s="23">
        <f>IF(Saldos_Capital_Mensual!S143&gt;0, ROUND(Saldos_Capital_Mensual!S143 * 'Resumen_Cartera'!$Q143, 2), "")</f>
        <v/>
      </c>
      <c r="U143" s="23">
        <f>SUM(I143:T143)</f>
        <v/>
      </c>
    </row>
    <row r="144">
      <c r="A144" s="26" t="inlineStr">
        <is>
          <t>0673-0001</t>
        </is>
      </c>
      <c r="B144" s="27" t="inlineStr">
        <is>
          <t>Juan Carlos Cardenas Arciniega</t>
        </is>
      </c>
      <c r="C144" s="27" t="inlineStr">
        <is>
          <t>Wrangler Unlimited</t>
        </is>
      </c>
      <c r="D144" s="26" t="inlineStr">
        <is>
          <t>ACTIVO</t>
        </is>
      </c>
      <c r="E144" s="26" t="inlineStr">
        <is>
          <t>2024-09-06</t>
        </is>
      </c>
      <c r="F144" s="26" t="inlineStr">
        <is>
          <t>2028-09-06</t>
        </is>
      </c>
      <c r="G144" s="28" t="n">
        <v>48</v>
      </c>
      <c r="H144" s="29" t="n">
        <v>911396.8</v>
      </c>
      <c r="I144" s="29">
        <f>ROUND(783426.17 * 'Resumen_Cartera'!$Q144, 2)</f>
        <v/>
      </c>
      <c r="J144" s="29">
        <f>IF(Saldos_Capital_Mensual!I144&gt;0, ROUND(Saldos_Capital_Mensual!I144 * 'Resumen_Cartera'!$Q144, 2), "")</f>
        <v/>
      </c>
      <c r="K144" s="29">
        <f>IF(Saldos_Capital_Mensual!J144&gt;0, ROUND(Saldos_Capital_Mensual!J144 * 'Resumen_Cartera'!$Q144, 2), "")</f>
        <v/>
      </c>
      <c r="L144" s="29">
        <f>IF(Saldos_Capital_Mensual!K144&gt;0, ROUND(Saldos_Capital_Mensual!K144 * 'Resumen_Cartera'!$Q144, 2), "")</f>
        <v/>
      </c>
      <c r="M144" s="29">
        <f>IF(Saldos_Capital_Mensual!L144&gt;0, ROUND(Saldos_Capital_Mensual!L144 * 'Resumen_Cartera'!$Q144, 2), "")</f>
        <v/>
      </c>
      <c r="N144" s="29">
        <f>IF(Saldos_Capital_Mensual!M144&gt;0, ROUND(Saldos_Capital_Mensual!M144 * 'Resumen_Cartera'!$Q144, 2), "")</f>
        <v/>
      </c>
      <c r="O144" s="29">
        <f>IF(Saldos_Capital_Mensual!N144&gt;0, ROUND(Saldos_Capital_Mensual!N144 * 'Resumen_Cartera'!$Q144, 2), "")</f>
        <v/>
      </c>
      <c r="P144" s="29">
        <f>IF(Saldos_Capital_Mensual!O144&gt;0, ROUND(Saldos_Capital_Mensual!O144 * 'Resumen_Cartera'!$Q144, 2), "")</f>
        <v/>
      </c>
      <c r="Q144" s="29">
        <f>IF(Saldos_Capital_Mensual!P144&gt;0, ROUND(Saldos_Capital_Mensual!P144 * 'Resumen_Cartera'!$Q144, 2), "")</f>
        <v/>
      </c>
      <c r="R144" s="29">
        <f>IF(Saldos_Capital_Mensual!Q144&gt;0, ROUND(Saldos_Capital_Mensual!Q144 * 'Resumen_Cartera'!$Q144, 2), "")</f>
        <v/>
      </c>
      <c r="S144" s="29">
        <f>IF(Saldos_Capital_Mensual!R144&gt;0, ROUND(Saldos_Capital_Mensual!R144 * 'Resumen_Cartera'!$Q144, 2), "")</f>
        <v/>
      </c>
      <c r="T144" s="29">
        <f>IF(Saldos_Capital_Mensual!S144&gt;0, ROUND(Saldos_Capital_Mensual!S144 * 'Resumen_Cartera'!$Q144, 2), "")</f>
        <v/>
      </c>
      <c r="U144" s="29">
        <f>SUM(I144:T144)</f>
        <v/>
      </c>
    </row>
    <row r="145">
      <c r="A145" s="20" t="inlineStr">
        <is>
          <t>0673-0002</t>
        </is>
      </c>
      <c r="B145" s="21" t="inlineStr">
        <is>
          <t>Juan Carlos Cardenas Arciniega</t>
        </is>
      </c>
      <c r="C145" s="21" t="inlineStr">
        <is>
          <t>L200 Glx Diesel</t>
        </is>
      </c>
      <c r="D145" s="20" t="inlineStr">
        <is>
          <t>ACTIVO</t>
        </is>
      </c>
      <c r="E145" s="20" t="inlineStr">
        <is>
          <t>2025-03-25</t>
        </is>
      </c>
      <c r="F145" s="20" t="inlineStr">
        <is>
          <t>2029-03-25</t>
        </is>
      </c>
      <c r="G145" s="22" t="n">
        <v>48</v>
      </c>
      <c r="H145" s="23" t="n">
        <v>415484.14</v>
      </c>
      <c r="I145" s="23">
        <f>ROUND(372598.06 * 'Resumen_Cartera'!$Q145, 2)</f>
        <v/>
      </c>
      <c r="J145" s="23">
        <f>IF(Saldos_Capital_Mensual!I145&gt;0, ROUND(Saldos_Capital_Mensual!I145 * 'Resumen_Cartera'!$Q145, 2), "")</f>
        <v/>
      </c>
      <c r="K145" s="23">
        <f>IF(Saldos_Capital_Mensual!J145&gt;0, ROUND(Saldos_Capital_Mensual!J145 * 'Resumen_Cartera'!$Q145, 2), "")</f>
        <v/>
      </c>
      <c r="L145" s="23">
        <f>IF(Saldos_Capital_Mensual!K145&gt;0, ROUND(Saldos_Capital_Mensual!K145 * 'Resumen_Cartera'!$Q145, 2), "")</f>
        <v/>
      </c>
      <c r="M145" s="23">
        <f>IF(Saldos_Capital_Mensual!L145&gt;0, ROUND(Saldos_Capital_Mensual!L145 * 'Resumen_Cartera'!$Q145, 2), "")</f>
        <v/>
      </c>
      <c r="N145" s="23">
        <f>IF(Saldos_Capital_Mensual!M145&gt;0, ROUND(Saldos_Capital_Mensual!M145 * 'Resumen_Cartera'!$Q145, 2), "")</f>
        <v/>
      </c>
      <c r="O145" s="23">
        <f>IF(Saldos_Capital_Mensual!N145&gt;0, ROUND(Saldos_Capital_Mensual!N145 * 'Resumen_Cartera'!$Q145, 2), "")</f>
        <v/>
      </c>
      <c r="P145" s="23">
        <f>IF(Saldos_Capital_Mensual!O145&gt;0, ROUND(Saldos_Capital_Mensual!O145 * 'Resumen_Cartera'!$Q145, 2), "")</f>
        <v/>
      </c>
      <c r="Q145" s="23">
        <f>IF(Saldos_Capital_Mensual!P145&gt;0, ROUND(Saldos_Capital_Mensual!P145 * 'Resumen_Cartera'!$Q145, 2), "")</f>
        <v/>
      </c>
      <c r="R145" s="23">
        <f>IF(Saldos_Capital_Mensual!Q145&gt;0, ROUND(Saldos_Capital_Mensual!Q145 * 'Resumen_Cartera'!$Q145, 2), "")</f>
        <v/>
      </c>
      <c r="S145" s="23">
        <f>IF(Saldos_Capital_Mensual!R145&gt;0, ROUND(Saldos_Capital_Mensual!R145 * 'Resumen_Cartera'!$Q145, 2), "")</f>
        <v/>
      </c>
      <c r="T145" s="23">
        <f>IF(Saldos_Capital_Mensual!S145&gt;0, ROUND(Saldos_Capital_Mensual!S145 * 'Resumen_Cartera'!$Q145, 2), "")</f>
        <v/>
      </c>
      <c r="U145" s="23">
        <f>SUM(I145:T145)</f>
        <v/>
      </c>
    </row>
    <row r="146">
      <c r="A146" s="26" t="inlineStr">
        <is>
          <t>0673-0003</t>
        </is>
      </c>
      <c r="B146" s="27" t="inlineStr">
        <is>
          <t>Juan Carlos Cardenas Arciniega</t>
        </is>
      </c>
      <c r="C146" s="27" t="inlineStr">
        <is>
          <t>Hilux Diesel</t>
        </is>
      </c>
      <c r="D146" s="26" t="inlineStr">
        <is>
          <t>ACTIVO</t>
        </is>
      </c>
      <c r="E146" s="26" t="inlineStr">
        <is>
          <t>2025-04-30</t>
        </is>
      </c>
      <c r="F146" s="26" t="inlineStr">
        <is>
          <t>2029-04-30</t>
        </is>
      </c>
      <c r="G146" s="28" t="n">
        <v>48</v>
      </c>
      <c r="H146" s="29" t="n">
        <v>415484.14</v>
      </c>
      <c r="I146" s="29">
        <f>ROUND(390975.82 * 'Resumen_Cartera'!$Q146, 2)</f>
        <v/>
      </c>
      <c r="J146" s="29">
        <f>IF(Saldos_Capital_Mensual!I146&gt;0, ROUND(Saldos_Capital_Mensual!I146 * 'Resumen_Cartera'!$Q146, 2), "")</f>
        <v/>
      </c>
      <c r="K146" s="29">
        <f>IF(Saldos_Capital_Mensual!J146&gt;0, ROUND(Saldos_Capital_Mensual!J146 * 'Resumen_Cartera'!$Q146, 2), "")</f>
        <v/>
      </c>
      <c r="L146" s="29">
        <f>IF(Saldos_Capital_Mensual!K146&gt;0, ROUND(Saldos_Capital_Mensual!K146 * 'Resumen_Cartera'!$Q146, 2), "")</f>
        <v/>
      </c>
      <c r="M146" s="29">
        <f>IF(Saldos_Capital_Mensual!L146&gt;0, ROUND(Saldos_Capital_Mensual!L146 * 'Resumen_Cartera'!$Q146, 2), "")</f>
        <v/>
      </c>
      <c r="N146" s="29">
        <f>IF(Saldos_Capital_Mensual!M146&gt;0, ROUND(Saldos_Capital_Mensual!M146 * 'Resumen_Cartera'!$Q146, 2), "")</f>
        <v/>
      </c>
      <c r="O146" s="29">
        <f>IF(Saldos_Capital_Mensual!N146&gt;0, ROUND(Saldos_Capital_Mensual!N146 * 'Resumen_Cartera'!$Q146, 2), "")</f>
        <v/>
      </c>
      <c r="P146" s="29">
        <f>IF(Saldos_Capital_Mensual!O146&gt;0, ROUND(Saldos_Capital_Mensual!O146 * 'Resumen_Cartera'!$Q146, 2), "")</f>
        <v/>
      </c>
      <c r="Q146" s="29">
        <f>IF(Saldos_Capital_Mensual!P146&gt;0, ROUND(Saldos_Capital_Mensual!P146 * 'Resumen_Cartera'!$Q146, 2), "")</f>
        <v/>
      </c>
      <c r="R146" s="29">
        <f>IF(Saldos_Capital_Mensual!Q146&gt;0, ROUND(Saldos_Capital_Mensual!Q146 * 'Resumen_Cartera'!$Q146, 2), "")</f>
        <v/>
      </c>
      <c r="S146" s="29">
        <f>IF(Saldos_Capital_Mensual!R146&gt;0, ROUND(Saldos_Capital_Mensual!R146 * 'Resumen_Cartera'!$Q146, 2), "")</f>
        <v/>
      </c>
      <c r="T146" s="29">
        <f>IF(Saldos_Capital_Mensual!S146&gt;0, ROUND(Saldos_Capital_Mensual!S146 * 'Resumen_Cartera'!$Q146, 2), "")</f>
        <v/>
      </c>
      <c r="U146" s="29">
        <f>SUM(I146:T146)</f>
        <v/>
      </c>
    </row>
    <row r="147">
      <c r="A147" s="20" t="inlineStr">
        <is>
          <t>0673-0004</t>
        </is>
      </c>
      <c r="B147" s="21" t="inlineStr">
        <is>
          <t>Juan Carlos Cardenas Arciniega</t>
        </is>
      </c>
      <c r="C147" s="21" t="inlineStr">
        <is>
          <t>Np300</t>
        </is>
      </c>
      <c r="D147" s="20" t="inlineStr">
        <is>
          <t>ACTIVO</t>
        </is>
      </c>
      <c r="E147" s="20" t="inlineStr">
        <is>
          <t>2025-05-29</t>
        </is>
      </c>
      <c r="F147" s="20" t="inlineStr">
        <is>
          <t>2027-05-29</t>
        </is>
      </c>
      <c r="G147" s="22" t="n">
        <v>24</v>
      </c>
      <c r="H147" s="23" t="n">
        <v>366439.65</v>
      </c>
      <c r="I147" s="23">
        <f>ROUND(301165.71 * 'Resumen_Cartera'!$Q147, 2)</f>
        <v/>
      </c>
      <c r="J147" s="23">
        <f>IF(Saldos_Capital_Mensual!I147&gt;0, ROUND(Saldos_Capital_Mensual!I147 * 'Resumen_Cartera'!$Q147, 2), "")</f>
        <v/>
      </c>
      <c r="K147" s="23">
        <f>IF(Saldos_Capital_Mensual!J147&gt;0, ROUND(Saldos_Capital_Mensual!J147 * 'Resumen_Cartera'!$Q147, 2), "")</f>
        <v/>
      </c>
      <c r="L147" s="23">
        <f>IF(Saldos_Capital_Mensual!K147&gt;0, ROUND(Saldos_Capital_Mensual!K147 * 'Resumen_Cartera'!$Q147, 2), "")</f>
        <v/>
      </c>
      <c r="M147" s="23">
        <f>IF(Saldos_Capital_Mensual!L147&gt;0, ROUND(Saldos_Capital_Mensual!L147 * 'Resumen_Cartera'!$Q147, 2), "")</f>
        <v/>
      </c>
      <c r="N147" s="23">
        <f>IF(Saldos_Capital_Mensual!M147&gt;0, ROUND(Saldos_Capital_Mensual!M147 * 'Resumen_Cartera'!$Q147, 2), "")</f>
        <v/>
      </c>
      <c r="O147" s="23">
        <f>IF(Saldos_Capital_Mensual!N147&gt;0, ROUND(Saldos_Capital_Mensual!N147 * 'Resumen_Cartera'!$Q147, 2), "")</f>
        <v/>
      </c>
      <c r="P147" s="23">
        <f>IF(Saldos_Capital_Mensual!O147&gt;0, ROUND(Saldos_Capital_Mensual!O147 * 'Resumen_Cartera'!$Q147, 2), "")</f>
        <v/>
      </c>
      <c r="Q147" s="23">
        <f>IF(Saldos_Capital_Mensual!P147&gt;0, ROUND(Saldos_Capital_Mensual!P147 * 'Resumen_Cartera'!$Q147, 2), "")</f>
        <v/>
      </c>
      <c r="R147" s="23">
        <f>IF(Saldos_Capital_Mensual!Q147&gt;0, ROUND(Saldos_Capital_Mensual!Q147 * 'Resumen_Cartera'!$Q147, 2), "")</f>
        <v/>
      </c>
      <c r="S147" s="23">
        <f>IF(Saldos_Capital_Mensual!R147&gt;0, ROUND(Saldos_Capital_Mensual!R147 * 'Resumen_Cartera'!$Q147, 2), "")</f>
        <v/>
      </c>
      <c r="T147" s="23">
        <f>IF(Saldos_Capital_Mensual!S147&gt;0, ROUND(Saldos_Capital_Mensual!S147 * 'Resumen_Cartera'!$Q147, 2), "")</f>
        <v/>
      </c>
      <c r="U147" s="23">
        <f>SUM(I147:T147)</f>
        <v/>
      </c>
    </row>
    <row r="148">
      <c r="A148" s="26" t="inlineStr">
        <is>
          <t>0673-0005</t>
        </is>
      </c>
      <c r="B148" s="27" t="inlineStr">
        <is>
          <t>Juan Carlos Cardenas Arciniega</t>
        </is>
      </c>
      <c r="C148" s="27" t="inlineStr">
        <is>
          <t>L200 Glx</t>
        </is>
      </c>
      <c r="D148" s="26" t="inlineStr">
        <is>
          <t>ACTIVO</t>
        </is>
      </c>
      <c r="E148" s="26" t="inlineStr">
        <is>
          <t>2025-05-29</t>
        </is>
      </c>
      <c r="F148" s="26" t="inlineStr">
        <is>
          <t>2028-05-29</t>
        </is>
      </c>
      <c r="G148" s="28" t="n">
        <v>36</v>
      </c>
      <c r="H148" s="29" t="n">
        <v>467419.65</v>
      </c>
      <c r="I148" s="29">
        <f>ROUND(412797.27 * 'Resumen_Cartera'!$Q148, 2)</f>
        <v/>
      </c>
      <c r="J148" s="29">
        <f>IF(Saldos_Capital_Mensual!I148&gt;0, ROUND(Saldos_Capital_Mensual!I148 * 'Resumen_Cartera'!$Q148, 2), "")</f>
        <v/>
      </c>
      <c r="K148" s="29">
        <f>IF(Saldos_Capital_Mensual!J148&gt;0, ROUND(Saldos_Capital_Mensual!J148 * 'Resumen_Cartera'!$Q148, 2), "")</f>
        <v/>
      </c>
      <c r="L148" s="29">
        <f>IF(Saldos_Capital_Mensual!K148&gt;0, ROUND(Saldos_Capital_Mensual!K148 * 'Resumen_Cartera'!$Q148, 2), "")</f>
        <v/>
      </c>
      <c r="M148" s="29">
        <f>IF(Saldos_Capital_Mensual!L148&gt;0, ROUND(Saldos_Capital_Mensual!L148 * 'Resumen_Cartera'!$Q148, 2), "")</f>
        <v/>
      </c>
      <c r="N148" s="29">
        <f>IF(Saldos_Capital_Mensual!M148&gt;0, ROUND(Saldos_Capital_Mensual!M148 * 'Resumen_Cartera'!$Q148, 2), "")</f>
        <v/>
      </c>
      <c r="O148" s="29">
        <f>IF(Saldos_Capital_Mensual!N148&gt;0, ROUND(Saldos_Capital_Mensual!N148 * 'Resumen_Cartera'!$Q148, 2), "")</f>
        <v/>
      </c>
      <c r="P148" s="29">
        <f>IF(Saldos_Capital_Mensual!O148&gt;0, ROUND(Saldos_Capital_Mensual!O148 * 'Resumen_Cartera'!$Q148, 2), "")</f>
        <v/>
      </c>
      <c r="Q148" s="29">
        <f>IF(Saldos_Capital_Mensual!P148&gt;0, ROUND(Saldos_Capital_Mensual!P148 * 'Resumen_Cartera'!$Q148, 2), "")</f>
        <v/>
      </c>
      <c r="R148" s="29">
        <f>IF(Saldos_Capital_Mensual!Q148&gt;0, ROUND(Saldos_Capital_Mensual!Q148 * 'Resumen_Cartera'!$Q148, 2), "")</f>
        <v/>
      </c>
      <c r="S148" s="29">
        <f>IF(Saldos_Capital_Mensual!R148&gt;0, ROUND(Saldos_Capital_Mensual!R148 * 'Resumen_Cartera'!$Q148, 2), "")</f>
        <v/>
      </c>
      <c r="T148" s="29">
        <f>IF(Saldos_Capital_Mensual!S148&gt;0, ROUND(Saldos_Capital_Mensual!S148 * 'Resumen_Cartera'!$Q148, 2), "")</f>
        <v/>
      </c>
      <c r="U148" s="29">
        <f>SUM(I148:T148)</f>
        <v/>
      </c>
    </row>
    <row r="149">
      <c r="A149" s="20" t="inlineStr">
        <is>
          <t>0674-0001</t>
        </is>
      </c>
      <c r="B149" s="21" t="inlineStr">
        <is>
          <t>Zuji Sa de Cv</t>
        </is>
      </c>
      <c r="C149" s="21" t="inlineStr">
        <is>
          <t>2008 Allure</t>
        </is>
      </c>
      <c r="D149" s="20" t="inlineStr">
        <is>
          <t>ACTIVO</t>
        </is>
      </c>
      <c r="E149" s="20" t="inlineStr">
        <is>
          <t>2024-09-30</t>
        </is>
      </c>
      <c r="F149" s="20" t="inlineStr">
        <is>
          <t>2027-09-30</t>
        </is>
      </c>
      <c r="G149" s="22" t="n">
        <v>36</v>
      </c>
      <c r="H149" s="23" t="n">
        <v>327517.24</v>
      </c>
      <c r="I149" s="23">
        <f>ROUND(269865.87 * 'Resumen_Cartera'!$Q149, 2)</f>
        <v/>
      </c>
      <c r="J149" s="23">
        <f>IF(Saldos_Capital_Mensual!I149&gt;0, ROUND(Saldos_Capital_Mensual!I149 * 'Resumen_Cartera'!$Q149, 2), "")</f>
        <v/>
      </c>
      <c r="K149" s="23">
        <f>IF(Saldos_Capital_Mensual!J149&gt;0, ROUND(Saldos_Capital_Mensual!J149 * 'Resumen_Cartera'!$Q149, 2), "")</f>
        <v/>
      </c>
      <c r="L149" s="23">
        <f>IF(Saldos_Capital_Mensual!K149&gt;0, ROUND(Saldos_Capital_Mensual!K149 * 'Resumen_Cartera'!$Q149, 2), "")</f>
        <v/>
      </c>
      <c r="M149" s="23">
        <f>IF(Saldos_Capital_Mensual!L149&gt;0, ROUND(Saldos_Capital_Mensual!L149 * 'Resumen_Cartera'!$Q149, 2), "")</f>
        <v/>
      </c>
      <c r="N149" s="23">
        <f>IF(Saldos_Capital_Mensual!M149&gt;0, ROUND(Saldos_Capital_Mensual!M149 * 'Resumen_Cartera'!$Q149, 2), "")</f>
        <v/>
      </c>
      <c r="O149" s="23">
        <f>IF(Saldos_Capital_Mensual!N149&gt;0, ROUND(Saldos_Capital_Mensual!N149 * 'Resumen_Cartera'!$Q149, 2), "")</f>
        <v/>
      </c>
      <c r="P149" s="23">
        <f>IF(Saldos_Capital_Mensual!O149&gt;0, ROUND(Saldos_Capital_Mensual!O149 * 'Resumen_Cartera'!$Q149, 2), "")</f>
        <v/>
      </c>
      <c r="Q149" s="23">
        <f>IF(Saldos_Capital_Mensual!P149&gt;0, ROUND(Saldos_Capital_Mensual!P149 * 'Resumen_Cartera'!$Q149, 2), "")</f>
        <v/>
      </c>
      <c r="R149" s="23">
        <f>IF(Saldos_Capital_Mensual!Q149&gt;0, ROUND(Saldos_Capital_Mensual!Q149 * 'Resumen_Cartera'!$Q149, 2), "")</f>
        <v/>
      </c>
      <c r="S149" s="23">
        <f>IF(Saldos_Capital_Mensual!R149&gt;0, ROUND(Saldos_Capital_Mensual!R149 * 'Resumen_Cartera'!$Q149, 2), "")</f>
        <v/>
      </c>
      <c r="T149" s="23">
        <f>IF(Saldos_Capital_Mensual!S149&gt;0, ROUND(Saldos_Capital_Mensual!S149 * 'Resumen_Cartera'!$Q149, 2), "")</f>
        <v/>
      </c>
      <c r="U149" s="23">
        <f>SUM(I149:T149)</f>
        <v/>
      </c>
    </row>
    <row r="150">
      <c r="A150" s="26" t="inlineStr">
        <is>
          <t>0675-0002</t>
        </is>
      </c>
      <c r="B150" s="27" t="inlineStr">
        <is>
          <t>Comercializadora Industrial de Zapopan Sa de Cv</t>
        </is>
      </c>
      <c r="C150" s="27" t="inlineStr">
        <is>
          <t>Valor Residual</t>
        </is>
      </c>
      <c r="D150" s="26" t="inlineStr">
        <is>
          <t>ACTIVO</t>
        </is>
      </c>
      <c r="E150" s="26" t="inlineStr">
        <is>
          <t>2025-10-15</t>
        </is>
      </c>
      <c r="F150" s="26" t="inlineStr">
        <is>
          <t>2026-10-15</t>
        </is>
      </c>
      <c r="G150" s="28" t="n">
        <v>12</v>
      </c>
      <c r="H150" s="29" t="n">
        <v>214163.79</v>
      </c>
      <c r="I150" s="29">
        <f>ROUND(180663.49 * 'Resumen_Cartera'!$Q150, 2)</f>
        <v/>
      </c>
      <c r="J150" s="29">
        <f>IF(Saldos_Capital_Mensual!I150&gt;0, ROUND(Saldos_Capital_Mensual!I150 * 'Resumen_Cartera'!$Q150, 2), "")</f>
        <v/>
      </c>
      <c r="K150" s="29">
        <f>IF(Saldos_Capital_Mensual!J150&gt;0, ROUND(Saldos_Capital_Mensual!J150 * 'Resumen_Cartera'!$Q150, 2), "")</f>
        <v/>
      </c>
      <c r="L150" s="29">
        <f>IF(Saldos_Capital_Mensual!K150&gt;0, ROUND(Saldos_Capital_Mensual!K150 * 'Resumen_Cartera'!$Q150, 2), "")</f>
        <v/>
      </c>
      <c r="M150" s="29">
        <f>IF(Saldos_Capital_Mensual!L150&gt;0, ROUND(Saldos_Capital_Mensual!L150 * 'Resumen_Cartera'!$Q150, 2), "")</f>
        <v/>
      </c>
      <c r="N150" s="29">
        <f>IF(Saldos_Capital_Mensual!M150&gt;0, ROUND(Saldos_Capital_Mensual!M150 * 'Resumen_Cartera'!$Q150, 2), "")</f>
        <v/>
      </c>
      <c r="O150" s="29">
        <f>IF(Saldos_Capital_Mensual!N150&gt;0, ROUND(Saldos_Capital_Mensual!N150 * 'Resumen_Cartera'!$Q150, 2), "")</f>
        <v/>
      </c>
      <c r="P150" s="29">
        <f>IF(Saldos_Capital_Mensual!O150&gt;0, ROUND(Saldos_Capital_Mensual!O150 * 'Resumen_Cartera'!$Q150, 2), "")</f>
        <v/>
      </c>
      <c r="Q150" s="29">
        <f>IF(Saldos_Capital_Mensual!P150&gt;0, ROUND(Saldos_Capital_Mensual!P150 * 'Resumen_Cartera'!$Q150, 2), "")</f>
        <v/>
      </c>
      <c r="R150" s="29" t="inlineStr"/>
      <c r="S150" s="29" t="inlineStr"/>
      <c r="T150" s="29" t="inlineStr"/>
      <c r="U150" s="29">
        <f>SUM(I150:T150)</f>
        <v/>
      </c>
    </row>
    <row r="151">
      <c r="A151" s="20" t="inlineStr">
        <is>
          <t>0676-0001</t>
        </is>
      </c>
      <c r="B151" s="21" t="inlineStr">
        <is>
          <t>Productora Agricola los Amoles</t>
        </is>
      </c>
      <c r="C151" s="21" t="inlineStr">
        <is>
          <t>Ram 700 Regular Cab</t>
        </is>
      </c>
      <c r="D151" s="20" t="inlineStr">
        <is>
          <t>ACTIVO</t>
        </is>
      </c>
      <c r="E151" s="20" t="inlineStr">
        <is>
          <t>2024-10-30</t>
        </is>
      </c>
      <c r="F151" s="20" t="inlineStr">
        <is>
          <t>2027-10-30</t>
        </is>
      </c>
      <c r="G151" s="22" t="n">
        <v>36</v>
      </c>
      <c r="H151" s="23" t="n">
        <v>244515.26</v>
      </c>
      <c r="I151" s="23">
        <f>ROUND(201385.43 * 'Resumen_Cartera'!$Q151, 2)</f>
        <v/>
      </c>
      <c r="J151" s="23">
        <f>IF(Saldos_Capital_Mensual!I151&gt;0, ROUND(Saldos_Capital_Mensual!I151 * 'Resumen_Cartera'!$Q151, 2), "")</f>
        <v/>
      </c>
      <c r="K151" s="23">
        <f>IF(Saldos_Capital_Mensual!J151&gt;0, ROUND(Saldos_Capital_Mensual!J151 * 'Resumen_Cartera'!$Q151, 2), "")</f>
        <v/>
      </c>
      <c r="L151" s="23">
        <f>IF(Saldos_Capital_Mensual!K151&gt;0, ROUND(Saldos_Capital_Mensual!K151 * 'Resumen_Cartera'!$Q151, 2), "")</f>
        <v/>
      </c>
      <c r="M151" s="23">
        <f>IF(Saldos_Capital_Mensual!L151&gt;0, ROUND(Saldos_Capital_Mensual!L151 * 'Resumen_Cartera'!$Q151, 2), "")</f>
        <v/>
      </c>
      <c r="N151" s="23">
        <f>IF(Saldos_Capital_Mensual!M151&gt;0, ROUND(Saldos_Capital_Mensual!M151 * 'Resumen_Cartera'!$Q151, 2), "")</f>
        <v/>
      </c>
      <c r="O151" s="23">
        <f>IF(Saldos_Capital_Mensual!N151&gt;0, ROUND(Saldos_Capital_Mensual!N151 * 'Resumen_Cartera'!$Q151, 2), "")</f>
        <v/>
      </c>
      <c r="P151" s="23">
        <f>IF(Saldos_Capital_Mensual!O151&gt;0, ROUND(Saldos_Capital_Mensual!O151 * 'Resumen_Cartera'!$Q151, 2), "")</f>
        <v/>
      </c>
      <c r="Q151" s="23">
        <f>IF(Saldos_Capital_Mensual!P151&gt;0, ROUND(Saldos_Capital_Mensual!P151 * 'Resumen_Cartera'!$Q151, 2), "")</f>
        <v/>
      </c>
      <c r="R151" s="23">
        <f>IF(Saldos_Capital_Mensual!Q151&gt;0, ROUND(Saldos_Capital_Mensual!Q151 * 'Resumen_Cartera'!$Q151, 2), "")</f>
        <v/>
      </c>
      <c r="S151" s="23">
        <f>IF(Saldos_Capital_Mensual!R151&gt;0, ROUND(Saldos_Capital_Mensual!R151 * 'Resumen_Cartera'!$Q151, 2), "")</f>
        <v/>
      </c>
      <c r="T151" s="23">
        <f>IF(Saldos_Capital_Mensual!S151&gt;0, ROUND(Saldos_Capital_Mensual!S151 * 'Resumen_Cartera'!$Q151, 2), "")</f>
        <v/>
      </c>
      <c r="U151" s="23">
        <f>SUM(I151:T151)</f>
        <v/>
      </c>
    </row>
    <row r="152">
      <c r="A152" s="26" t="inlineStr">
        <is>
          <t>0677-0001</t>
        </is>
      </c>
      <c r="B152" s="27" t="inlineStr">
        <is>
          <t>Laboratorio Inunza Siglo XXI</t>
        </is>
      </c>
      <c r="C152" s="27" t="inlineStr">
        <is>
          <t>Outlander Diamon</t>
        </is>
      </c>
      <c r="D152" s="26" t="inlineStr">
        <is>
          <t>ACTIVO</t>
        </is>
      </c>
      <c r="E152" s="26" t="inlineStr">
        <is>
          <t>2024-10-30</t>
        </is>
      </c>
      <c r="F152" s="26" t="inlineStr">
        <is>
          <t>2027-10-30</t>
        </is>
      </c>
      <c r="G152" s="28" t="n">
        <v>36</v>
      </c>
      <c r="H152" s="29" t="n">
        <v>567181.03</v>
      </c>
      <c r="I152" s="29">
        <f>ROUND(450130.83 * 'Resumen_Cartera'!$Q152, 2)</f>
        <v/>
      </c>
      <c r="J152" s="29">
        <f>IF(Saldos_Capital_Mensual!I152&gt;0, ROUND(Saldos_Capital_Mensual!I152 * 'Resumen_Cartera'!$Q152, 2), "")</f>
        <v/>
      </c>
      <c r="K152" s="29">
        <f>IF(Saldos_Capital_Mensual!J152&gt;0, ROUND(Saldos_Capital_Mensual!J152 * 'Resumen_Cartera'!$Q152, 2), "")</f>
        <v/>
      </c>
      <c r="L152" s="29">
        <f>IF(Saldos_Capital_Mensual!K152&gt;0, ROUND(Saldos_Capital_Mensual!K152 * 'Resumen_Cartera'!$Q152, 2), "")</f>
        <v/>
      </c>
      <c r="M152" s="29">
        <f>IF(Saldos_Capital_Mensual!L152&gt;0, ROUND(Saldos_Capital_Mensual!L152 * 'Resumen_Cartera'!$Q152, 2), "")</f>
        <v/>
      </c>
      <c r="N152" s="29">
        <f>IF(Saldos_Capital_Mensual!M152&gt;0, ROUND(Saldos_Capital_Mensual!M152 * 'Resumen_Cartera'!$Q152, 2), "")</f>
        <v/>
      </c>
      <c r="O152" s="29">
        <f>IF(Saldos_Capital_Mensual!N152&gt;0, ROUND(Saldos_Capital_Mensual!N152 * 'Resumen_Cartera'!$Q152, 2), "")</f>
        <v/>
      </c>
      <c r="P152" s="29">
        <f>IF(Saldos_Capital_Mensual!O152&gt;0, ROUND(Saldos_Capital_Mensual!O152 * 'Resumen_Cartera'!$Q152, 2), "")</f>
        <v/>
      </c>
      <c r="Q152" s="29">
        <f>IF(Saldos_Capital_Mensual!P152&gt;0, ROUND(Saldos_Capital_Mensual!P152 * 'Resumen_Cartera'!$Q152, 2), "")</f>
        <v/>
      </c>
      <c r="R152" s="29">
        <f>IF(Saldos_Capital_Mensual!Q152&gt;0, ROUND(Saldos_Capital_Mensual!Q152 * 'Resumen_Cartera'!$Q152, 2), "")</f>
        <v/>
      </c>
      <c r="S152" s="29">
        <f>IF(Saldos_Capital_Mensual!R152&gt;0, ROUND(Saldos_Capital_Mensual!R152 * 'Resumen_Cartera'!$Q152, 2), "")</f>
        <v/>
      </c>
      <c r="T152" s="29">
        <f>IF(Saldos_Capital_Mensual!S152&gt;0, ROUND(Saldos_Capital_Mensual!S152 * 'Resumen_Cartera'!$Q152, 2), "")</f>
        <v/>
      </c>
      <c r="U152" s="29">
        <f>SUM(I152:T152)</f>
        <v/>
      </c>
    </row>
    <row r="153">
      <c r="A153" s="20" t="inlineStr">
        <is>
          <t>0678-0002</t>
        </is>
      </c>
      <c r="B153" s="21" t="inlineStr">
        <is>
          <t>Bhg Harmony S de Rl de Cv</t>
        </is>
      </c>
      <c r="C153" s="21" t="inlineStr">
        <is>
          <t>Teramont</t>
        </is>
      </c>
      <c r="D153" s="20" t="inlineStr">
        <is>
          <t>ACTIVO</t>
        </is>
      </c>
      <c r="E153" s="20" t="inlineStr">
        <is>
          <t>2025-12-04</t>
        </is>
      </c>
      <c r="F153" s="20" t="inlineStr">
        <is>
          <t>2026-12-04</t>
        </is>
      </c>
      <c r="G153" s="22" t="n">
        <v>12</v>
      </c>
      <c r="H153" s="23" t="n">
        <v>531176.38</v>
      </c>
      <c r="I153" s="23">
        <f>ROUND(499069.43 * 'Resumen_Cartera'!$Q153, 2)</f>
        <v/>
      </c>
      <c r="J153" s="23">
        <f>IF(Saldos_Capital_Mensual!I153&gt;0, ROUND(Saldos_Capital_Mensual!I153 * 'Resumen_Cartera'!$Q153, 2), "")</f>
        <v/>
      </c>
      <c r="K153" s="23">
        <f>IF(Saldos_Capital_Mensual!J153&gt;0, ROUND(Saldos_Capital_Mensual!J153 * 'Resumen_Cartera'!$Q153, 2), "")</f>
        <v/>
      </c>
      <c r="L153" s="23">
        <f>IF(Saldos_Capital_Mensual!K153&gt;0, ROUND(Saldos_Capital_Mensual!K153 * 'Resumen_Cartera'!$Q153, 2), "")</f>
        <v/>
      </c>
      <c r="M153" s="23">
        <f>IF(Saldos_Capital_Mensual!L153&gt;0, ROUND(Saldos_Capital_Mensual!L153 * 'Resumen_Cartera'!$Q153, 2), "")</f>
        <v/>
      </c>
      <c r="N153" s="23">
        <f>IF(Saldos_Capital_Mensual!M153&gt;0, ROUND(Saldos_Capital_Mensual!M153 * 'Resumen_Cartera'!$Q153, 2), "")</f>
        <v/>
      </c>
      <c r="O153" s="23">
        <f>IF(Saldos_Capital_Mensual!N153&gt;0, ROUND(Saldos_Capital_Mensual!N153 * 'Resumen_Cartera'!$Q153, 2), "")</f>
        <v/>
      </c>
      <c r="P153" s="23">
        <f>IF(Saldos_Capital_Mensual!O153&gt;0, ROUND(Saldos_Capital_Mensual!O153 * 'Resumen_Cartera'!$Q153, 2), "")</f>
        <v/>
      </c>
      <c r="Q153" s="23">
        <f>IF(Saldos_Capital_Mensual!P153&gt;0, ROUND(Saldos_Capital_Mensual!P153 * 'Resumen_Cartera'!$Q153, 2), "")</f>
        <v/>
      </c>
      <c r="R153" s="23">
        <f>IF(Saldos_Capital_Mensual!Q153&gt;0, ROUND(Saldos_Capital_Mensual!Q153 * 'Resumen_Cartera'!$Q153, 2), "")</f>
        <v/>
      </c>
      <c r="S153" s="23">
        <f>IF(Saldos_Capital_Mensual!R153&gt;0, ROUND(Saldos_Capital_Mensual!R153 * 'Resumen_Cartera'!$Q153, 2), "")</f>
        <v/>
      </c>
      <c r="T153" s="23" t="inlineStr"/>
      <c r="U153" s="23">
        <f>SUM(I153:T153)</f>
        <v/>
      </c>
    </row>
    <row r="154">
      <c r="A154" s="26" t="inlineStr">
        <is>
          <t>0679-0001</t>
        </is>
      </c>
      <c r="B154" s="27" t="inlineStr">
        <is>
          <t>Naikor de Occidente Sa de Cv</t>
        </is>
      </c>
      <c r="C154" s="27" t="inlineStr">
        <is>
          <t>2008</t>
        </is>
      </c>
      <c r="D154" s="26" t="inlineStr">
        <is>
          <t>ACTIVO</t>
        </is>
      </c>
      <c r="E154" s="26" t="inlineStr">
        <is>
          <t>2024-11-29</t>
        </is>
      </c>
      <c r="F154" s="26" t="inlineStr">
        <is>
          <t>2028-11-29</t>
        </is>
      </c>
      <c r="G154" s="28" t="n">
        <v>48</v>
      </c>
      <c r="H154" s="29" t="n">
        <v>327008.62</v>
      </c>
      <c r="I154" s="29">
        <f>ROUND(291652.96 * 'Resumen_Cartera'!$Q154, 2)</f>
        <v/>
      </c>
      <c r="J154" s="29">
        <f>IF(Saldos_Capital_Mensual!I154&gt;0, ROUND(Saldos_Capital_Mensual!I154 * 'Resumen_Cartera'!$Q154, 2), "")</f>
        <v/>
      </c>
      <c r="K154" s="29">
        <f>IF(Saldos_Capital_Mensual!J154&gt;0, ROUND(Saldos_Capital_Mensual!J154 * 'Resumen_Cartera'!$Q154, 2), "")</f>
        <v/>
      </c>
      <c r="L154" s="29">
        <f>IF(Saldos_Capital_Mensual!K154&gt;0, ROUND(Saldos_Capital_Mensual!K154 * 'Resumen_Cartera'!$Q154, 2), "")</f>
        <v/>
      </c>
      <c r="M154" s="29">
        <f>IF(Saldos_Capital_Mensual!L154&gt;0, ROUND(Saldos_Capital_Mensual!L154 * 'Resumen_Cartera'!$Q154, 2), "")</f>
        <v/>
      </c>
      <c r="N154" s="29">
        <f>IF(Saldos_Capital_Mensual!M154&gt;0, ROUND(Saldos_Capital_Mensual!M154 * 'Resumen_Cartera'!$Q154, 2), "")</f>
        <v/>
      </c>
      <c r="O154" s="29">
        <f>IF(Saldos_Capital_Mensual!N154&gt;0, ROUND(Saldos_Capital_Mensual!N154 * 'Resumen_Cartera'!$Q154, 2), "")</f>
        <v/>
      </c>
      <c r="P154" s="29">
        <f>IF(Saldos_Capital_Mensual!O154&gt;0, ROUND(Saldos_Capital_Mensual!O154 * 'Resumen_Cartera'!$Q154, 2), "")</f>
        <v/>
      </c>
      <c r="Q154" s="29">
        <f>IF(Saldos_Capital_Mensual!P154&gt;0, ROUND(Saldos_Capital_Mensual!P154 * 'Resumen_Cartera'!$Q154, 2), "")</f>
        <v/>
      </c>
      <c r="R154" s="29">
        <f>IF(Saldos_Capital_Mensual!Q154&gt;0, ROUND(Saldos_Capital_Mensual!Q154 * 'Resumen_Cartera'!$Q154, 2), "")</f>
        <v/>
      </c>
      <c r="S154" s="29">
        <f>IF(Saldos_Capital_Mensual!R154&gt;0, ROUND(Saldos_Capital_Mensual!R154 * 'Resumen_Cartera'!$Q154, 2), "")</f>
        <v/>
      </c>
      <c r="T154" s="29">
        <f>IF(Saldos_Capital_Mensual!S154&gt;0, ROUND(Saldos_Capital_Mensual!S154 * 'Resumen_Cartera'!$Q154, 2), "")</f>
        <v/>
      </c>
      <c r="U154" s="29">
        <f>SUM(I154:T154)</f>
        <v/>
      </c>
    </row>
    <row r="155">
      <c r="A155" s="20" t="inlineStr">
        <is>
          <t>0680-0001</t>
        </is>
      </c>
      <c r="B155" s="21" t="inlineStr">
        <is>
          <t>Madereria el Volcan Sa de Cv</t>
        </is>
      </c>
      <c r="C155" s="21" t="inlineStr">
        <is>
          <t>JT Mojave</t>
        </is>
      </c>
      <c r="D155" s="20" t="inlineStr">
        <is>
          <t>ACTIVO</t>
        </is>
      </c>
      <c r="E155" s="20" t="inlineStr">
        <is>
          <t>2024-12-27</t>
        </is>
      </c>
      <c r="F155" s="20" t="inlineStr">
        <is>
          <t>2027-12-27</t>
        </is>
      </c>
      <c r="G155" s="22" t="n">
        <v>36</v>
      </c>
      <c r="H155" s="23" t="n">
        <v>828179.33</v>
      </c>
      <c r="I155" s="23">
        <f>ROUND(658089.14 * 'Resumen_Cartera'!$Q155, 2)</f>
        <v/>
      </c>
      <c r="J155" s="23">
        <f>IF(Saldos_Capital_Mensual!I155&gt;0, ROUND(Saldos_Capital_Mensual!I155 * 'Resumen_Cartera'!$Q155, 2), "")</f>
        <v/>
      </c>
      <c r="K155" s="23">
        <f>IF(Saldos_Capital_Mensual!J155&gt;0, ROUND(Saldos_Capital_Mensual!J155 * 'Resumen_Cartera'!$Q155, 2), "")</f>
        <v/>
      </c>
      <c r="L155" s="23">
        <f>IF(Saldos_Capital_Mensual!K155&gt;0, ROUND(Saldos_Capital_Mensual!K155 * 'Resumen_Cartera'!$Q155, 2), "")</f>
        <v/>
      </c>
      <c r="M155" s="23">
        <f>IF(Saldos_Capital_Mensual!L155&gt;0, ROUND(Saldos_Capital_Mensual!L155 * 'Resumen_Cartera'!$Q155, 2), "")</f>
        <v/>
      </c>
      <c r="N155" s="23">
        <f>IF(Saldos_Capital_Mensual!M155&gt;0, ROUND(Saldos_Capital_Mensual!M155 * 'Resumen_Cartera'!$Q155, 2), "")</f>
        <v/>
      </c>
      <c r="O155" s="23">
        <f>IF(Saldos_Capital_Mensual!N155&gt;0, ROUND(Saldos_Capital_Mensual!N155 * 'Resumen_Cartera'!$Q155, 2), "")</f>
        <v/>
      </c>
      <c r="P155" s="23">
        <f>IF(Saldos_Capital_Mensual!O155&gt;0, ROUND(Saldos_Capital_Mensual!O155 * 'Resumen_Cartera'!$Q155, 2), "")</f>
        <v/>
      </c>
      <c r="Q155" s="23">
        <f>IF(Saldos_Capital_Mensual!P155&gt;0, ROUND(Saldos_Capital_Mensual!P155 * 'Resumen_Cartera'!$Q155, 2), "")</f>
        <v/>
      </c>
      <c r="R155" s="23">
        <f>IF(Saldos_Capital_Mensual!Q155&gt;0, ROUND(Saldos_Capital_Mensual!Q155 * 'Resumen_Cartera'!$Q155, 2), "")</f>
        <v/>
      </c>
      <c r="S155" s="23">
        <f>IF(Saldos_Capital_Mensual!R155&gt;0, ROUND(Saldos_Capital_Mensual!R155 * 'Resumen_Cartera'!$Q155, 2), "")</f>
        <v/>
      </c>
      <c r="T155" s="23">
        <f>IF(Saldos_Capital_Mensual!S155&gt;0, ROUND(Saldos_Capital_Mensual!S155 * 'Resumen_Cartera'!$Q155, 2), "")</f>
        <v/>
      </c>
      <c r="U155" s="23">
        <f>SUM(I155:T155)</f>
        <v/>
      </c>
    </row>
    <row r="156">
      <c r="A156" s="26" t="inlineStr">
        <is>
          <t>0682-0001</t>
        </is>
      </c>
      <c r="B156" s="27" t="inlineStr">
        <is>
          <t>Hidraneumaticos y Equipos para Gas Sa de Cv</t>
        </is>
      </c>
      <c r="C156" s="27" t="inlineStr">
        <is>
          <t>Renegade Limited</t>
        </is>
      </c>
      <c r="D156" s="26" t="inlineStr">
        <is>
          <t>ACTIVO</t>
        </is>
      </c>
      <c r="E156" s="26" t="inlineStr">
        <is>
          <t>2024-12-27</t>
        </is>
      </c>
      <c r="F156" s="26" t="inlineStr">
        <is>
          <t>2026-12-27</t>
        </is>
      </c>
      <c r="G156" s="28" t="n">
        <v>24</v>
      </c>
      <c r="H156" s="29" t="n">
        <v>385913.79</v>
      </c>
      <c r="I156" s="29">
        <f>ROUND(231459.34 * 'Resumen_Cartera'!$Q156, 2)</f>
        <v/>
      </c>
      <c r="J156" s="29">
        <f>IF(Saldos_Capital_Mensual!I156&gt;0, ROUND(Saldos_Capital_Mensual!I156 * 'Resumen_Cartera'!$Q156, 2), "")</f>
        <v/>
      </c>
      <c r="K156" s="29">
        <f>IF(Saldos_Capital_Mensual!J156&gt;0, ROUND(Saldos_Capital_Mensual!J156 * 'Resumen_Cartera'!$Q156, 2), "")</f>
        <v/>
      </c>
      <c r="L156" s="29">
        <f>IF(Saldos_Capital_Mensual!K156&gt;0, ROUND(Saldos_Capital_Mensual!K156 * 'Resumen_Cartera'!$Q156, 2), "")</f>
        <v/>
      </c>
      <c r="M156" s="29">
        <f>IF(Saldos_Capital_Mensual!L156&gt;0, ROUND(Saldos_Capital_Mensual!L156 * 'Resumen_Cartera'!$Q156, 2), "")</f>
        <v/>
      </c>
      <c r="N156" s="29">
        <f>IF(Saldos_Capital_Mensual!M156&gt;0, ROUND(Saldos_Capital_Mensual!M156 * 'Resumen_Cartera'!$Q156, 2), "")</f>
        <v/>
      </c>
      <c r="O156" s="29">
        <f>IF(Saldos_Capital_Mensual!N156&gt;0, ROUND(Saldos_Capital_Mensual!N156 * 'Resumen_Cartera'!$Q156, 2), "")</f>
        <v/>
      </c>
      <c r="P156" s="29">
        <f>IF(Saldos_Capital_Mensual!O156&gt;0, ROUND(Saldos_Capital_Mensual!O156 * 'Resumen_Cartera'!$Q156, 2), "")</f>
        <v/>
      </c>
      <c r="Q156" s="29">
        <f>IF(Saldos_Capital_Mensual!P156&gt;0, ROUND(Saldos_Capital_Mensual!P156 * 'Resumen_Cartera'!$Q156, 2), "")</f>
        <v/>
      </c>
      <c r="R156" s="29">
        <f>IF(Saldos_Capital_Mensual!Q156&gt;0, ROUND(Saldos_Capital_Mensual!Q156 * 'Resumen_Cartera'!$Q156, 2), "")</f>
        <v/>
      </c>
      <c r="S156" s="29">
        <f>IF(Saldos_Capital_Mensual!R156&gt;0, ROUND(Saldos_Capital_Mensual!R156 * 'Resumen_Cartera'!$Q156, 2), "")</f>
        <v/>
      </c>
      <c r="T156" s="29" t="inlineStr"/>
      <c r="U156" s="29">
        <f>SUM(I156:T156)</f>
        <v/>
      </c>
    </row>
    <row r="157">
      <c r="A157" s="20" t="inlineStr">
        <is>
          <t>0682-0002</t>
        </is>
      </c>
      <c r="B157" s="21" t="inlineStr">
        <is>
          <t>Hidroneumaticos y Equipos para Gas Sa de Cv</t>
        </is>
      </c>
      <c r="C157" s="21" t="inlineStr">
        <is>
          <t>RIO</t>
        </is>
      </c>
      <c r="D157" s="20" t="inlineStr">
        <is>
          <t>ACTIVO</t>
        </is>
      </c>
      <c r="E157" s="20" t="inlineStr">
        <is>
          <t>2025-02-17</t>
        </is>
      </c>
      <c r="F157" s="20" t="inlineStr">
        <is>
          <t>2027-02-17</t>
        </is>
      </c>
      <c r="G157" s="22" t="n">
        <v>24</v>
      </c>
      <c r="H157" s="23" t="n">
        <v>201646.55</v>
      </c>
      <c r="I157" s="23">
        <f>ROUND(135547.72 * 'Resumen_Cartera'!$Q157, 2)</f>
        <v/>
      </c>
      <c r="J157" s="23">
        <f>IF(Saldos_Capital_Mensual!I157&gt;0, ROUND(Saldos_Capital_Mensual!I157 * 'Resumen_Cartera'!$Q157, 2), "")</f>
        <v/>
      </c>
      <c r="K157" s="23">
        <f>IF(Saldos_Capital_Mensual!J157&gt;0, ROUND(Saldos_Capital_Mensual!J157 * 'Resumen_Cartera'!$Q157, 2), "")</f>
        <v/>
      </c>
      <c r="L157" s="23">
        <f>IF(Saldos_Capital_Mensual!K157&gt;0, ROUND(Saldos_Capital_Mensual!K157 * 'Resumen_Cartera'!$Q157, 2), "")</f>
        <v/>
      </c>
      <c r="M157" s="23">
        <f>IF(Saldos_Capital_Mensual!L157&gt;0, ROUND(Saldos_Capital_Mensual!L157 * 'Resumen_Cartera'!$Q157, 2), "")</f>
        <v/>
      </c>
      <c r="N157" s="23">
        <f>IF(Saldos_Capital_Mensual!M157&gt;0, ROUND(Saldos_Capital_Mensual!M157 * 'Resumen_Cartera'!$Q157, 2), "")</f>
        <v/>
      </c>
      <c r="O157" s="23">
        <f>IF(Saldos_Capital_Mensual!N157&gt;0, ROUND(Saldos_Capital_Mensual!N157 * 'Resumen_Cartera'!$Q157, 2), "")</f>
        <v/>
      </c>
      <c r="P157" s="23">
        <f>IF(Saldos_Capital_Mensual!O157&gt;0, ROUND(Saldos_Capital_Mensual!O157 * 'Resumen_Cartera'!$Q157, 2), "")</f>
        <v/>
      </c>
      <c r="Q157" s="23">
        <f>IF(Saldos_Capital_Mensual!P157&gt;0, ROUND(Saldos_Capital_Mensual!P157 * 'Resumen_Cartera'!$Q157, 2), "")</f>
        <v/>
      </c>
      <c r="R157" s="23">
        <f>IF(Saldos_Capital_Mensual!Q157&gt;0, ROUND(Saldos_Capital_Mensual!Q157 * 'Resumen_Cartera'!$Q157, 2), "")</f>
        <v/>
      </c>
      <c r="S157" s="23">
        <f>IF(Saldos_Capital_Mensual!R157&gt;0, ROUND(Saldos_Capital_Mensual!R157 * 'Resumen_Cartera'!$Q157, 2), "")</f>
        <v/>
      </c>
      <c r="T157" s="23">
        <f>IF(Saldos_Capital_Mensual!S157&gt;0, ROUND(Saldos_Capital_Mensual!S157 * 'Resumen_Cartera'!$Q157, 2), "")</f>
        <v/>
      </c>
      <c r="U157" s="23">
        <f>SUM(I157:T157)</f>
        <v/>
      </c>
    </row>
    <row r="158">
      <c r="A158" s="26" t="inlineStr">
        <is>
          <t>0683-0001</t>
        </is>
      </c>
      <c r="B158" s="27" t="inlineStr">
        <is>
          <t>Maria de Jesus Sanchez Aguayo</t>
        </is>
      </c>
      <c r="C158" s="27" t="inlineStr">
        <is>
          <t>Ram 700 Regular Cab</t>
        </is>
      </c>
      <c r="D158" s="26" t="inlineStr">
        <is>
          <t>ACTIVO</t>
        </is>
      </c>
      <c r="E158" s="26" t="inlineStr">
        <is>
          <t>2025-01-09</t>
        </is>
      </c>
      <c r="F158" s="26" t="inlineStr">
        <is>
          <t>2028-01-09</t>
        </is>
      </c>
      <c r="G158" s="28" t="n">
        <v>36</v>
      </c>
      <c r="H158" s="29" t="n">
        <v>249030.77</v>
      </c>
      <c r="I158" s="29">
        <f>ROUND(215591.48 * 'Resumen_Cartera'!$Q158, 2)</f>
        <v/>
      </c>
      <c r="J158" s="29">
        <f>IF(Saldos_Capital_Mensual!I158&gt;0, ROUND(Saldos_Capital_Mensual!I158 * 'Resumen_Cartera'!$Q158, 2), "")</f>
        <v/>
      </c>
      <c r="K158" s="29">
        <f>IF(Saldos_Capital_Mensual!J158&gt;0, ROUND(Saldos_Capital_Mensual!J158 * 'Resumen_Cartera'!$Q158, 2), "")</f>
        <v/>
      </c>
      <c r="L158" s="29">
        <f>IF(Saldos_Capital_Mensual!K158&gt;0, ROUND(Saldos_Capital_Mensual!K158 * 'Resumen_Cartera'!$Q158, 2), "")</f>
        <v/>
      </c>
      <c r="M158" s="29">
        <f>IF(Saldos_Capital_Mensual!L158&gt;0, ROUND(Saldos_Capital_Mensual!L158 * 'Resumen_Cartera'!$Q158, 2), "")</f>
        <v/>
      </c>
      <c r="N158" s="29">
        <f>IF(Saldos_Capital_Mensual!M158&gt;0, ROUND(Saldos_Capital_Mensual!M158 * 'Resumen_Cartera'!$Q158, 2), "")</f>
        <v/>
      </c>
      <c r="O158" s="29">
        <f>IF(Saldos_Capital_Mensual!N158&gt;0, ROUND(Saldos_Capital_Mensual!N158 * 'Resumen_Cartera'!$Q158, 2), "")</f>
        <v/>
      </c>
      <c r="P158" s="29">
        <f>IF(Saldos_Capital_Mensual!O158&gt;0, ROUND(Saldos_Capital_Mensual!O158 * 'Resumen_Cartera'!$Q158, 2), "")</f>
        <v/>
      </c>
      <c r="Q158" s="29">
        <f>IF(Saldos_Capital_Mensual!P158&gt;0, ROUND(Saldos_Capital_Mensual!P158 * 'Resumen_Cartera'!$Q158, 2), "")</f>
        <v/>
      </c>
      <c r="R158" s="29">
        <f>IF(Saldos_Capital_Mensual!Q158&gt;0, ROUND(Saldos_Capital_Mensual!Q158 * 'Resumen_Cartera'!$Q158, 2), "")</f>
        <v/>
      </c>
      <c r="S158" s="29">
        <f>IF(Saldos_Capital_Mensual!R158&gt;0, ROUND(Saldos_Capital_Mensual!R158 * 'Resumen_Cartera'!$Q158, 2), "")</f>
        <v/>
      </c>
      <c r="T158" s="29">
        <f>IF(Saldos_Capital_Mensual!S158&gt;0, ROUND(Saldos_Capital_Mensual!S158 * 'Resumen_Cartera'!$Q158, 2), "")</f>
        <v/>
      </c>
      <c r="U158" s="29">
        <f>SUM(I158:T158)</f>
        <v/>
      </c>
    </row>
    <row r="159">
      <c r="A159" s="20" t="inlineStr">
        <is>
          <t>0683-0002</t>
        </is>
      </c>
      <c r="B159" s="21" t="inlineStr">
        <is>
          <t>Maria de Jesus Sanchez Aguayo</t>
        </is>
      </c>
      <c r="C159" s="21" t="inlineStr">
        <is>
          <t>700 Tradesman Regular Cab</t>
        </is>
      </c>
      <c r="D159" s="20" t="inlineStr">
        <is>
          <t>ACTIVO</t>
        </is>
      </c>
      <c r="E159" s="20" t="inlineStr">
        <is>
          <t>2026-01-05</t>
        </is>
      </c>
      <c r="F159" s="20" t="inlineStr">
        <is>
          <t>2029-01-05</t>
        </is>
      </c>
      <c r="G159" s="22" t="n">
        <v>36</v>
      </c>
      <c r="H159" s="23" t="n">
        <v>240439.65</v>
      </c>
      <c r="I159" s="23">
        <f>ROUND('Resumen_Cartera'!$K159 * 'Resumen_Cartera'!$Q159, 2)</f>
        <v/>
      </c>
      <c r="J159" s="23">
        <f>IF(Saldos_Capital_Mensual!I159&gt;0, ROUND(Saldos_Capital_Mensual!I159 * 'Resumen_Cartera'!$Q159, 2), "")</f>
        <v/>
      </c>
      <c r="K159" s="23">
        <f>IF(Saldos_Capital_Mensual!J159&gt;0, ROUND(Saldos_Capital_Mensual!J159 * 'Resumen_Cartera'!$Q159, 2), "")</f>
        <v/>
      </c>
      <c r="L159" s="23">
        <f>IF(Saldos_Capital_Mensual!K159&gt;0, ROUND(Saldos_Capital_Mensual!K159 * 'Resumen_Cartera'!$Q159, 2), "")</f>
        <v/>
      </c>
      <c r="M159" s="23">
        <f>IF(Saldos_Capital_Mensual!L159&gt;0, ROUND(Saldos_Capital_Mensual!L159 * 'Resumen_Cartera'!$Q159, 2), "")</f>
        <v/>
      </c>
      <c r="N159" s="23">
        <f>IF(Saldos_Capital_Mensual!M159&gt;0, ROUND(Saldos_Capital_Mensual!M159 * 'Resumen_Cartera'!$Q159, 2), "")</f>
        <v/>
      </c>
      <c r="O159" s="23">
        <f>IF(Saldos_Capital_Mensual!N159&gt;0, ROUND(Saldos_Capital_Mensual!N159 * 'Resumen_Cartera'!$Q159, 2), "")</f>
        <v/>
      </c>
      <c r="P159" s="23">
        <f>IF(Saldos_Capital_Mensual!O159&gt;0, ROUND(Saldos_Capital_Mensual!O159 * 'Resumen_Cartera'!$Q159, 2), "")</f>
        <v/>
      </c>
      <c r="Q159" s="23">
        <f>IF(Saldos_Capital_Mensual!P159&gt;0, ROUND(Saldos_Capital_Mensual!P159 * 'Resumen_Cartera'!$Q159, 2), "")</f>
        <v/>
      </c>
      <c r="R159" s="23">
        <f>IF(Saldos_Capital_Mensual!Q159&gt;0, ROUND(Saldos_Capital_Mensual!Q159 * 'Resumen_Cartera'!$Q159, 2), "")</f>
        <v/>
      </c>
      <c r="S159" s="23">
        <f>IF(Saldos_Capital_Mensual!R159&gt;0, ROUND(Saldos_Capital_Mensual!R159 * 'Resumen_Cartera'!$Q159, 2), "")</f>
        <v/>
      </c>
      <c r="T159" s="23">
        <f>IF(Saldos_Capital_Mensual!S159&gt;0, ROUND(Saldos_Capital_Mensual!S159 * 'Resumen_Cartera'!$Q159, 2), "")</f>
        <v/>
      </c>
      <c r="U159" s="23">
        <f>SUM(I159:T159)</f>
        <v/>
      </c>
    </row>
    <row r="160">
      <c r="A160" s="26" t="inlineStr">
        <is>
          <t>0684-0001</t>
        </is>
      </c>
      <c r="B160" s="27" t="inlineStr">
        <is>
          <t>Corporativo Kareso Sa de v</t>
        </is>
      </c>
      <c r="C160" s="27" t="inlineStr">
        <is>
          <t>GRAND CHEROKEE LIMITED</t>
        </is>
      </c>
      <c r="D160" s="26" t="inlineStr">
        <is>
          <t>ACTIVO</t>
        </is>
      </c>
      <c r="E160" s="26" t="inlineStr">
        <is>
          <t>2024-12-20</t>
        </is>
      </c>
      <c r="F160" s="26" t="inlineStr">
        <is>
          <t>2026-12-20</t>
        </is>
      </c>
      <c r="G160" s="28" t="n">
        <v>24</v>
      </c>
      <c r="H160" s="29" t="n">
        <v>797758.62</v>
      </c>
      <c r="I160" s="29">
        <f>ROUND(540304.46 * 'Resumen_Cartera'!$Q160, 2)</f>
        <v/>
      </c>
      <c r="J160" s="29">
        <f>IF(Saldos_Capital_Mensual!I160&gt;0, ROUND(Saldos_Capital_Mensual!I160 * 'Resumen_Cartera'!$Q160, 2), "")</f>
        <v/>
      </c>
      <c r="K160" s="29">
        <f>IF(Saldos_Capital_Mensual!J160&gt;0, ROUND(Saldos_Capital_Mensual!J160 * 'Resumen_Cartera'!$Q160, 2), "")</f>
        <v/>
      </c>
      <c r="L160" s="29">
        <f>IF(Saldos_Capital_Mensual!K160&gt;0, ROUND(Saldos_Capital_Mensual!K160 * 'Resumen_Cartera'!$Q160, 2), "")</f>
        <v/>
      </c>
      <c r="M160" s="29">
        <f>IF(Saldos_Capital_Mensual!L160&gt;0, ROUND(Saldos_Capital_Mensual!L160 * 'Resumen_Cartera'!$Q160, 2), "")</f>
        <v/>
      </c>
      <c r="N160" s="29">
        <f>IF(Saldos_Capital_Mensual!M160&gt;0, ROUND(Saldos_Capital_Mensual!M160 * 'Resumen_Cartera'!$Q160, 2), "")</f>
        <v/>
      </c>
      <c r="O160" s="29">
        <f>IF(Saldos_Capital_Mensual!N160&gt;0, ROUND(Saldos_Capital_Mensual!N160 * 'Resumen_Cartera'!$Q160, 2), "")</f>
        <v/>
      </c>
      <c r="P160" s="29">
        <f>IF(Saldos_Capital_Mensual!O160&gt;0, ROUND(Saldos_Capital_Mensual!O160 * 'Resumen_Cartera'!$Q160, 2), "")</f>
        <v/>
      </c>
      <c r="Q160" s="29">
        <f>IF(Saldos_Capital_Mensual!P160&gt;0, ROUND(Saldos_Capital_Mensual!P160 * 'Resumen_Cartera'!$Q160, 2), "")</f>
        <v/>
      </c>
      <c r="R160" s="29">
        <f>IF(Saldos_Capital_Mensual!Q160&gt;0, ROUND(Saldos_Capital_Mensual!Q160 * 'Resumen_Cartera'!$Q160, 2), "")</f>
        <v/>
      </c>
      <c r="S160" s="29">
        <f>IF(Saldos_Capital_Mensual!R160&gt;0, ROUND(Saldos_Capital_Mensual!R160 * 'Resumen_Cartera'!$Q160, 2), "")</f>
        <v/>
      </c>
      <c r="T160" s="29" t="inlineStr"/>
      <c r="U160" s="29">
        <f>SUM(I160:T160)</f>
        <v/>
      </c>
    </row>
    <row r="161">
      <c r="A161" s="20" t="inlineStr">
        <is>
          <t>0684-0002</t>
        </is>
      </c>
      <c r="B161" s="21" t="inlineStr">
        <is>
          <t>Corporativo Kareso Sa de Cv</t>
        </is>
      </c>
      <c r="C161" s="21" t="inlineStr">
        <is>
          <t>NP300 Chasis</t>
        </is>
      </c>
      <c r="D161" s="20" t="inlineStr">
        <is>
          <t>ACTIVO</t>
        </is>
      </c>
      <c r="E161" s="20" t="inlineStr">
        <is>
          <t>2025-12-12</t>
        </is>
      </c>
      <c r="F161" s="20" t="inlineStr">
        <is>
          <t>2027-12-12</t>
        </is>
      </c>
      <c r="G161" s="22" t="n">
        <v>24</v>
      </c>
      <c r="H161" s="23" t="n">
        <v>327913.8</v>
      </c>
      <c r="I161" s="23">
        <f>ROUND(320772.29 * 'Resumen_Cartera'!$Q161, 2)</f>
        <v/>
      </c>
      <c r="J161" s="23">
        <f>IF(Saldos_Capital_Mensual!I161&gt;0, ROUND(Saldos_Capital_Mensual!I161 * 'Resumen_Cartera'!$Q161, 2), "")</f>
        <v/>
      </c>
      <c r="K161" s="23">
        <f>IF(Saldos_Capital_Mensual!J161&gt;0, ROUND(Saldos_Capital_Mensual!J161 * 'Resumen_Cartera'!$Q161, 2), "")</f>
        <v/>
      </c>
      <c r="L161" s="23">
        <f>IF(Saldos_Capital_Mensual!K161&gt;0, ROUND(Saldos_Capital_Mensual!K161 * 'Resumen_Cartera'!$Q161, 2), "")</f>
        <v/>
      </c>
      <c r="M161" s="23">
        <f>IF(Saldos_Capital_Mensual!L161&gt;0, ROUND(Saldos_Capital_Mensual!L161 * 'Resumen_Cartera'!$Q161, 2), "")</f>
        <v/>
      </c>
      <c r="N161" s="23">
        <f>IF(Saldos_Capital_Mensual!M161&gt;0, ROUND(Saldos_Capital_Mensual!M161 * 'Resumen_Cartera'!$Q161, 2), "")</f>
        <v/>
      </c>
      <c r="O161" s="23">
        <f>IF(Saldos_Capital_Mensual!N161&gt;0, ROUND(Saldos_Capital_Mensual!N161 * 'Resumen_Cartera'!$Q161, 2), "")</f>
        <v/>
      </c>
      <c r="P161" s="23">
        <f>IF(Saldos_Capital_Mensual!O161&gt;0, ROUND(Saldos_Capital_Mensual!O161 * 'Resumen_Cartera'!$Q161, 2), "")</f>
        <v/>
      </c>
      <c r="Q161" s="23">
        <f>IF(Saldos_Capital_Mensual!P161&gt;0, ROUND(Saldos_Capital_Mensual!P161 * 'Resumen_Cartera'!$Q161, 2), "")</f>
        <v/>
      </c>
      <c r="R161" s="23">
        <f>IF(Saldos_Capital_Mensual!Q161&gt;0, ROUND(Saldos_Capital_Mensual!Q161 * 'Resumen_Cartera'!$Q161, 2), "")</f>
        <v/>
      </c>
      <c r="S161" s="23">
        <f>IF(Saldos_Capital_Mensual!R161&gt;0, ROUND(Saldos_Capital_Mensual!R161 * 'Resumen_Cartera'!$Q161, 2), "")</f>
        <v/>
      </c>
      <c r="T161" s="23">
        <f>IF(Saldos_Capital_Mensual!S161&gt;0, ROUND(Saldos_Capital_Mensual!S161 * 'Resumen_Cartera'!$Q161, 2), "")</f>
        <v/>
      </c>
      <c r="U161" s="23">
        <f>SUM(I161:T161)</f>
        <v/>
      </c>
    </row>
    <row r="162">
      <c r="A162" s="26" t="inlineStr">
        <is>
          <t>0684-0003</t>
        </is>
      </c>
      <c r="B162" s="27" t="inlineStr">
        <is>
          <t>Corporativo Kareso Sa de Cv</t>
        </is>
      </c>
      <c r="C162" s="27" t="inlineStr">
        <is>
          <t>Yaris HB</t>
        </is>
      </c>
      <c r="D162" s="26" t="inlineStr">
        <is>
          <t>ACTIVO</t>
        </is>
      </c>
      <c r="E162" s="26" t="inlineStr">
        <is>
          <t>2026-02-17</t>
        </is>
      </c>
      <c r="F162" s="26" t="inlineStr">
        <is>
          <t>2028-02-17</t>
        </is>
      </c>
      <c r="G162" s="28" t="n">
        <v>24</v>
      </c>
      <c r="H162" s="29" t="n">
        <v>225267.24</v>
      </c>
      <c r="I162" s="29" t="inlineStr"/>
      <c r="J162" s="29">
        <f>ROUND('Resumen_Cartera'!$K162 * 'Resumen_Cartera'!$Q162, 2)</f>
        <v/>
      </c>
      <c r="K162" s="29">
        <f>IF(Saldos_Capital_Mensual!J162&gt;0, ROUND(Saldos_Capital_Mensual!J162 * 'Resumen_Cartera'!$Q162, 2), "")</f>
        <v/>
      </c>
      <c r="L162" s="29">
        <f>IF(Saldos_Capital_Mensual!K162&gt;0, ROUND(Saldos_Capital_Mensual!K162 * 'Resumen_Cartera'!$Q162, 2), "")</f>
        <v/>
      </c>
      <c r="M162" s="29">
        <f>IF(Saldos_Capital_Mensual!L162&gt;0, ROUND(Saldos_Capital_Mensual!L162 * 'Resumen_Cartera'!$Q162, 2), "")</f>
        <v/>
      </c>
      <c r="N162" s="29">
        <f>IF(Saldos_Capital_Mensual!M162&gt;0, ROUND(Saldos_Capital_Mensual!M162 * 'Resumen_Cartera'!$Q162, 2), "")</f>
        <v/>
      </c>
      <c r="O162" s="29">
        <f>IF(Saldos_Capital_Mensual!N162&gt;0, ROUND(Saldos_Capital_Mensual!N162 * 'Resumen_Cartera'!$Q162, 2), "")</f>
        <v/>
      </c>
      <c r="P162" s="29">
        <f>IF(Saldos_Capital_Mensual!O162&gt;0, ROUND(Saldos_Capital_Mensual!O162 * 'Resumen_Cartera'!$Q162, 2), "")</f>
        <v/>
      </c>
      <c r="Q162" s="29">
        <f>IF(Saldos_Capital_Mensual!P162&gt;0, ROUND(Saldos_Capital_Mensual!P162 * 'Resumen_Cartera'!$Q162, 2), "")</f>
        <v/>
      </c>
      <c r="R162" s="29">
        <f>IF(Saldos_Capital_Mensual!Q162&gt;0, ROUND(Saldos_Capital_Mensual!Q162 * 'Resumen_Cartera'!$Q162, 2), "")</f>
        <v/>
      </c>
      <c r="S162" s="29">
        <f>IF(Saldos_Capital_Mensual!R162&gt;0, ROUND(Saldos_Capital_Mensual!R162 * 'Resumen_Cartera'!$Q162, 2), "")</f>
        <v/>
      </c>
      <c r="T162" s="29">
        <f>IF(Saldos_Capital_Mensual!S162&gt;0, ROUND(Saldos_Capital_Mensual!S162 * 'Resumen_Cartera'!$Q162, 2), "")</f>
        <v/>
      </c>
      <c r="U162" s="29">
        <f>SUM(I162:T162)</f>
        <v/>
      </c>
    </row>
    <row r="163">
      <c r="A163" s="20" t="inlineStr">
        <is>
          <t>0684-0004</t>
        </is>
      </c>
      <c r="B163" s="21" t="inlineStr">
        <is>
          <t>Corporativo Kareso Sa de Cv</t>
        </is>
      </c>
      <c r="C163" s="21" t="inlineStr">
        <is>
          <t>700 LARAMIE CREW CAB</t>
        </is>
      </c>
      <c r="D163" s="20" t="inlineStr">
        <is>
          <t>ACTIVO</t>
        </is>
      </c>
      <c r="E163" s="20" t="inlineStr">
        <is>
          <t>2025-12-12</t>
        </is>
      </c>
      <c r="F163" s="20" t="inlineStr">
        <is>
          <t>2027-12-12</t>
        </is>
      </c>
      <c r="G163" s="22" t="n">
        <v>24</v>
      </c>
      <c r="H163" s="23" t="n">
        <v>294422.42</v>
      </c>
      <c r="I163" s="23">
        <f>ROUND(288010.31 * 'Resumen_Cartera'!$Q163, 2)</f>
        <v/>
      </c>
      <c r="J163" s="23">
        <f>IF(Saldos_Capital_Mensual!I163&gt;0, ROUND(Saldos_Capital_Mensual!I163 * 'Resumen_Cartera'!$Q163, 2), "")</f>
        <v/>
      </c>
      <c r="K163" s="23">
        <f>IF(Saldos_Capital_Mensual!J163&gt;0, ROUND(Saldos_Capital_Mensual!J163 * 'Resumen_Cartera'!$Q163, 2), "")</f>
        <v/>
      </c>
      <c r="L163" s="23">
        <f>IF(Saldos_Capital_Mensual!K163&gt;0, ROUND(Saldos_Capital_Mensual!K163 * 'Resumen_Cartera'!$Q163, 2), "")</f>
        <v/>
      </c>
      <c r="M163" s="23">
        <f>IF(Saldos_Capital_Mensual!L163&gt;0, ROUND(Saldos_Capital_Mensual!L163 * 'Resumen_Cartera'!$Q163, 2), "")</f>
        <v/>
      </c>
      <c r="N163" s="23">
        <f>IF(Saldos_Capital_Mensual!M163&gt;0, ROUND(Saldos_Capital_Mensual!M163 * 'Resumen_Cartera'!$Q163, 2), "")</f>
        <v/>
      </c>
      <c r="O163" s="23">
        <f>IF(Saldos_Capital_Mensual!N163&gt;0, ROUND(Saldos_Capital_Mensual!N163 * 'Resumen_Cartera'!$Q163, 2), "")</f>
        <v/>
      </c>
      <c r="P163" s="23">
        <f>IF(Saldos_Capital_Mensual!O163&gt;0, ROUND(Saldos_Capital_Mensual!O163 * 'Resumen_Cartera'!$Q163, 2), "")</f>
        <v/>
      </c>
      <c r="Q163" s="23">
        <f>IF(Saldos_Capital_Mensual!P163&gt;0, ROUND(Saldos_Capital_Mensual!P163 * 'Resumen_Cartera'!$Q163, 2), "")</f>
        <v/>
      </c>
      <c r="R163" s="23">
        <f>IF(Saldos_Capital_Mensual!Q163&gt;0, ROUND(Saldos_Capital_Mensual!Q163 * 'Resumen_Cartera'!$Q163, 2), "")</f>
        <v/>
      </c>
      <c r="S163" s="23">
        <f>IF(Saldos_Capital_Mensual!R163&gt;0, ROUND(Saldos_Capital_Mensual!R163 * 'Resumen_Cartera'!$Q163, 2), "")</f>
        <v/>
      </c>
      <c r="T163" s="23">
        <f>IF(Saldos_Capital_Mensual!S163&gt;0, ROUND(Saldos_Capital_Mensual!S163 * 'Resumen_Cartera'!$Q163, 2), "")</f>
        <v/>
      </c>
      <c r="U163" s="23">
        <f>SUM(I163:T163)</f>
        <v/>
      </c>
    </row>
    <row r="164">
      <c r="A164" s="26" t="inlineStr">
        <is>
          <t>0687-0001</t>
        </is>
      </c>
      <c r="B164" s="27" t="inlineStr">
        <is>
          <t>Roberto Carlos Borbolla Alvarado</t>
        </is>
      </c>
      <c r="C164" s="27" t="inlineStr">
        <is>
          <t>Creta</t>
        </is>
      </c>
      <c r="D164" s="26" t="inlineStr">
        <is>
          <t>ACTIVO</t>
        </is>
      </c>
      <c r="E164" s="26" t="inlineStr">
        <is>
          <t>2025-03-03</t>
        </is>
      </c>
      <c r="F164" s="26" t="inlineStr">
        <is>
          <t>2028-03-03</t>
        </is>
      </c>
      <c r="G164" s="28" t="n">
        <v>36</v>
      </c>
      <c r="H164" s="29" t="n">
        <v>430060.35</v>
      </c>
      <c r="I164" s="29">
        <f>ROUND(366255.94 * 'Resumen_Cartera'!$Q164, 2)</f>
        <v/>
      </c>
      <c r="J164" s="29">
        <f>IF(Saldos_Capital_Mensual!I164&gt;0, ROUND(Saldos_Capital_Mensual!I164 * 'Resumen_Cartera'!$Q164, 2), "")</f>
        <v/>
      </c>
      <c r="K164" s="29">
        <f>IF(Saldos_Capital_Mensual!J164&gt;0, ROUND(Saldos_Capital_Mensual!J164 * 'Resumen_Cartera'!$Q164, 2), "")</f>
        <v/>
      </c>
      <c r="L164" s="29">
        <f>IF(Saldos_Capital_Mensual!K164&gt;0, ROUND(Saldos_Capital_Mensual!K164 * 'Resumen_Cartera'!$Q164, 2), "")</f>
        <v/>
      </c>
      <c r="M164" s="29">
        <f>IF(Saldos_Capital_Mensual!L164&gt;0, ROUND(Saldos_Capital_Mensual!L164 * 'Resumen_Cartera'!$Q164, 2), "")</f>
        <v/>
      </c>
      <c r="N164" s="29">
        <f>IF(Saldos_Capital_Mensual!M164&gt;0, ROUND(Saldos_Capital_Mensual!M164 * 'Resumen_Cartera'!$Q164, 2), "")</f>
        <v/>
      </c>
      <c r="O164" s="29">
        <f>IF(Saldos_Capital_Mensual!N164&gt;0, ROUND(Saldos_Capital_Mensual!N164 * 'Resumen_Cartera'!$Q164, 2), "")</f>
        <v/>
      </c>
      <c r="P164" s="29">
        <f>IF(Saldos_Capital_Mensual!O164&gt;0, ROUND(Saldos_Capital_Mensual!O164 * 'Resumen_Cartera'!$Q164, 2), "")</f>
        <v/>
      </c>
      <c r="Q164" s="29">
        <f>IF(Saldos_Capital_Mensual!P164&gt;0, ROUND(Saldos_Capital_Mensual!P164 * 'Resumen_Cartera'!$Q164, 2), "")</f>
        <v/>
      </c>
      <c r="R164" s="29">
        <f>IF(Saldos_Capital_Mensual!Q164&gt;0, ROUND(Saldos_Capital_Mensual!Q164 * 'Resumen_Cartera'!$Q164, 2), "")</f>
        <v/>
      </c>
      <c r="S164" s="29">
        <f>IF(Saldos_Capital_Mensual!R164&gt;0, ROUND(Saldos_Capital_Mensual!R164 * 'Resumen_Cartera'!$Q164, 2), "")</f>
        <v/>
      </c>
      <c r="T164" s="29">
        <f>IF(Saldos_Capital_Mensual!S164&gt;0, ROUND(Saldos_Capital_Mensual!S164 * 'Resumen_Cartera'!$Q164, 2), "")</f>
        <v/>
      </c>
      <c r="U164" s="29">
        <f>SUM(I164:T164)</f>
        <v/>
      </c>
    </row>
    <row r="165">
      <c r="A165" s="20" t="inlineStr">
        <is>
          <t>0688-0001</t>
        </is>
      </c>
      <c r="B165" s="21" t="inlineStr">
        <is>
          <t>Dolores Magdalena Rosales Rojas</t>
        </is>
      </c>
      <c r="C165" s="21" t="inlineStr">
        <is>
          <t>1500 RHO</t>
        </is>
      </c>
      <c r="D165" s="20" t="inlineStr">
        <is>
          <t>ACTIVO</t>
        </is>
      </c>
      <c r="E165" s="20" t="inlineStr">
        <is>
          <t>2025-02-21</t>
        </is>
      </c>
      <c r="F165" s="20" t="inlineStr">
        <is>
          <t>2027-02-21</t>
        </is>
      </c>
      <c r="G165" s="22" t="n">
        <v>24</v>
      </c>
      <c r="H165" s="23" t="n">
        <v>1517172.42</v>
      </c>
      <c r="I165" s="23">
        <f>ROUND(987283.01 * 'Resumen_Cartera'!$Q165, 2)</f>
        <v/>
      </c>
      <c r="J165" s="23">
        <f>IF(Saldos_Capital_Mensual!I165&gt;0, ROUND(Saldos_Capital_Mensual!I165 * 'Resumen_Cartera'!$Q165, 2), "")</f>
        <v/>
      </c>
      <c r="K165" s="23">
        <f>IF(Saldos_Capital_Mensual!J165&gt;0, ROUND(Saldos_Capital_Mensual!J165 * 'Resumen_Cartera'!$Q165, 2), "")</f>
        <v/>
      </c>
      <c r="L165" s="23">
        <f>IF(Saldos_Capital_Mensual!K165&gt;0, ROUND(Saldos_Capital_Mensual!K165 * 'Resumen_Cartera'!$Q165, 2), "")</f>
        <v/>
      </c>
      <c r="M165" s="23">
        <f>IF(Saldos_Capital_Mensual!L165&gt;0, ROUND(Saldos_Capital_Mensual!L165 * 'Resumen_Cartera'!$Q165, 2), "")</f>
        <v/>
      </c>
      <c r="N165" s="23">
        <f>IF(Saldos_Capital_Mensual!M165&gt;0, ROUND(Saldos_Capital_Mensual!M165 * 'Resumen_Cartera'!$Q165, 2), "")</f>
        <v/>
      </c>
      <c r="O165" s="23">
        <f>IF(Saldos_Capital_Mensual!N165&gt;0, ROUND(Saldos_Capital_Mensual!N165 * 'Resumen_Cartera'!$Q165, 2), "")</f>
        <v/>
      </c>
      <c r="P165" s="23">
        <f>IF(Saldos_Capital_Mensual!O165&gt;0, ROUND(Saldos_Capital_Mensual!O165 * 'Resumen_Cartera'!$Q165, 2), "")</f>
        <v/>
      </c>
      <c r="Q165" s="23">
        <f>IF(Saldos_Capital_Mensual!P165&gt;0, ROUND(Saldos_Capital_Mensual!P165 * 'Resumen_Cartera'!$Q165, 2), "")</f>
        <v/>
      </c>
      <c r="R165" s="23">
        <f>IF(Saldos_Capital_Mensual!Q165&gt;0, ROUND(Saldos_Capital_Mensual!Q165 * 'Resumen_Cartera'!$Q165, 2), "")</f>
        <v/>
      </c>
      <c r="S165" s="23">
        <f>IF(Saldos_Capital_Mensual!R165&gt;0, ROUND(Saldos_Capital_Mensual!R165 * 'Resumen_Cartera'!$Q165, 2), "")</f>
        <v/>
      </c>
      <c r="T165" s="23">
        <f>IF(Saldos_Capital_Mensual!S165&gt;0, ROUND(Saldos_Capital_Mensual!S165 * 'Resumen_Cartera'!$Q165, 2), "")</f>
        <v/>
      </c>
      <c r="U165" s="23">
        <f>SUM(I165:T165)</f>
        <v/>
      </c>
    </row>
    <row r="166">
      <c r="A166" s="26" t="inlineStr">
        <is>
          <t>0688-0003</t>
        </is>
      </c>
      <c r="B166" s="27" t="inlineStr">
        <is>
          <t>Dolores Magdalena Rosales Rojas</t>
        </is>
      </c>
      <c r="C166" s="27" t="inlineStr">
        <is>
          <t>Jeep Jt Mojave 2025</t>
        </is>
      </c>
      <c r="D166" s="26" t="inlineStr">
        <is>
          <t>ACTIVO</t>
        </is>
      </c>
      <c r="E166" s="26" t="inlineStr">
        <is>
          <t>2026-07-30</t>
        </is>
      </c>
      <c r="F166" s="26" t="inlineStr">
        <is>
          <t>2027-07-30</t>
        </is>
      </c>
      <c r="G166" s="28" t="n">
        <v>12</v>
      </c>
      <c r="H166" s="29" t="n">
        <v>551344.83</v>
      </c>
      <c r="I166" s="29" t="inlineStr"/>
      <c r="J166" s="29" t="inlineStr"/>
      <c r="K166" s="29" t="inlineStr"/>
      <c r="L166" s="29" t="inlineStr"/>
      <c r="M166" s="29" t="inlineStr"/>
      <c r="N166" s="29" t="inlineStr"/>
      <c r="O166" s="29">
        <f>ROUND('Resumen_Cartera'!$K166 * 'Resumen_Cartera'!$Q166, 2)</f>
        <v/>
      </c>
      <c r="P166" s="29">
        <f>IF(Saldos_Capital_Mensual!O166&gt;0, ROUND(Saldos_Capital_Mensual!O166 * 'Resumen_Cartera'!$Q166, 2), "")</f>
        <v/>
      </c>
      <c r="Q166" s="29">
        <f>IF(Saldos_Capital_Mensual!P166&gt;0, ROUND(Saldos_Capital_Mensual!P166 * 'Resumen_Cartera'!$Q166, 2), "")</f>
        <v/>
      </c>
      <c r="R166" s="29">
        <f>IF(Saldos_Capital_Mensual!Q166&gt;0, ROUND(Saldos_Capital_Mensual!Q166 * 'Resumen_Cartera'!$Q166, 2), "")</f>
        <v/>
      </c>
      <c r="S166" s="29">
        <f>IF(Saldos_Capital_Mensual!R166&gt;0, ROUND(Saldos_Capital_Mensual!R166 * 'Resumen_Cartera'!$Q166, 2), "")</f>
        <v/>
      </c>
      <c r="T166" s="29">
        <f>IF(Saldos_Capital_Mensual!S166&gt;0, ROUND(Saldos_Capital_Mensual!S166 * 'Resumen_Cartera'!$Q166, 2), "")</f>
        <v/>
      </c>
      <c r="U166" s="29">
        <f>SUM(I166:T166)</f>
        <v/>
      </c>
    </row>
    <row r="167">
      <c r="A167" s="20" t="inlineStr">
        <is>
          <t>0689-0001</t>
        </is>
      </c>
      <c r="B167" s="21" t="inlineStr">
        <is>
          <t>Daniela Lizette Vargas Machuca</t>
        </is>
      </c>
      <c r="C167" s="21" t="inlineStr">
        <is>
          <t>1500 TUNGSTEN</t>
        </is>
      </c>
      <c r="D167" s="20" t="inlineStr">
        <is>
          <t>ACTIVO</t>
        </is>
      </c>
      <c r="E167" s="20" t="inlineStr">
        <is>
          <t>2025-02-26</t>
        </is>
      </c>
      <c r="F167" s="20" t="inlineStr">
        <is>
          <t>2028-02-26</t>
        </is>
      </c>
      <c r="G167" s="22" t="n">
        <v>36</v>
      </c>
      <c r="H167" s="23" t="n">
        <v>1397250</v>
      </c>
      <c r="I167" s="23">
        <f>ROUND(1166099.81 * 'Resumen_Cartera'!$Q167, 2)</f>
        <v/>
      </c>
      <c r="J167" s="23">
        <f>IF(Saldos_Capital_Mensual!I167&gt;0, ROUND(Saldos_Capital_Mensual!I167 * 'Resumen_Cartera'!$Q167, 2), "")</f>
        <v/>
      </c>
      <c r="K167" s="23">
        <f>IF(Saldos_Capital_Mensual!J167&gt;0, ROUND(Saldos_Capital_Mensual!J167 * 'Resumen_Cartera'!$Q167, 2), "")</f>
        <v/>
      </c>
      <c r="L167" s="23">
        <f>IF(Saldos_Capital_Mensual!K167&gt;0, ROUND(Saldos_Capital_Mensual!K167 * 'Resumen_Cartera'!$Q167, 2), "")</f>
        <v/>
      </c>
      <c r="M167" s="23">
        <f>IF(Saldos_Capital_Mensual!L167&gt;0, ROUND(Saldos_Capital_Mensual!L167 * 'Resumen_Cartera'!$Q167, 2), "")</f>
        <v/>
      </c>
      <c r="N167" s="23">
        <f>IF(Saldos_Capital_Mensual!M167&gt;0, ROUND(Saldos_Capital_Mensual!M167 * 'Resumen_Cartera'!$Q167, 2), "")</f>
        <v/>
      </c>
      <c r="O167" s="23">
        <f>IF(Saldos_Capital_Mensual!N167&gt;0, ROUND(Saldos_Capital_Mensual!N167 * 'Resumen_Cartera'!$Q167, 2), "")</f>
        <v/>
      </c>
      <c r="P167" s="23">
        <f>IF(Saldos_Capital_Mensual!O167&gt;0, ROUND(Saldos_Capital_Mensual!O167 * 'Resumen_Cartera'!$Q167, 2), "")</f>
        <v/>
      </c>
      <c r="Q167" s="23">
        <f>IF(Saldos_Capital_Mensual!P167&gt;0, ROUND(Saldos_Capital_Mensual!P167 * 'Resumen_Cartera'!$Q167, 2), "")</f>
        <v/>
      </c>
      <c r="R167" s="23">
        <f>IF(Saldos_Capital_Mensual!Q167&gt;0, ROUND(Saldos_Capital_Mensual!Q167 * 'Resumen_Cartera'!$Q167, 2), "")</f>
        <v/>
      </c>
      <c r="S167" s="23">
        <f>IF(Saldos_Capital_Mensual!R167&gt;0, ROUND(Saldos_Capital_Mensual!R167 * 'Resumen_Cartera'!$Q167, 2), "")</f>
        <v/>
      </c>
      <c r="T167" s="23">
        <f>IF(Saldos_Capital_Mensual!S167&gt;0, ROUND(Saldos_Capital_Mensual!S167 * 'Resumen_Cartera'!$Q167, 2), "")</f>
        <v/>
      </c>
      <c r="U167" s="23">
        <f>SUM(I167:T167)</f>
        <v/>
      </c>
    </row>
    <row r="168">
      <c r="A168" s="26" t="inlineStr">
        <is>
          <t>0690-0001</t>
        </is>
      </c>
      <c r="B168" s="27" t="inlineStr">
        <is>
          <t>Rogelio Sanchez Partida</t>
        </is>
      </c>
      <c r="C168" s="27" t="inlineStr">
        <is>
          <t>Grand Cherokee Limited</t>
        </is>
      </c>
      <c r="D168" s="26" t="inlineStr">
        <is>
          <t>ACTIVO</t>
        </is>
      </c>
      <c r="E168" s="26" t="inlineStr">
        <is>
          <t>2025-03-19</t>
        </is>
      </c>
      <c r="F168" s="26" t="inlineStr">
        <is>
          <t>2028-03-19</t>
        </is>
      </c>
      <c r="G168" s="28" t="n">
        <v>36</v>
      </c>
      <c r="H168" s="29" t="n">
        <v>666465.52</v>
      </c>
      <c r="I168" s="29">
        <f>ROUND(563772.96 * 'Resumen_Cartera'!$Q168, 2)</f>
        <v/>
      </c>
      <c r="J168" s="29">
        <f>IF(Saldos_Capital_Mensual!I168&gt;0, ROUND(Saldos_Capital_Mensual!I168 * 'Resumen_Cartera'!$Q168, 2), "")</f>
        <v/>
      </c>
      <c r="K168" s="29">
        <f>IF(Saldos_Capital_Mensual!J168&gt;0, ROUND(Saldos_Capital_Mensual!J168 * 'Resumen_Cartera'!$Q168, 2), "")</f>
        <v/>
      </c>
      <c r="L168" s="29">
        <f>IF(Saldos_Capital_Mensual!K168&gt;0, ROUND(Saldos_Capital_Mensual!K168 * 'Resumen_Cartera'!$Q168, 2), "")</f>
        <v/>
      </c>
      <c r="M168" s="29">
        <f>IF(Saldos_Capital_Mensual!L168&gt;0, ROUND(Saldos_Capital_Mensual!L168 * 'Resumen_Cartera'!$Q168, 2), "")</f>
        <v/>
      </c>
      <c r="N168" s="29">
        <f>IF(Saldos_Capital_Mensual!M168&gt;0, ROUND(Saldos_Capital_Mensual!M168 * 'Resumen_Cartera'!$Q168, 2), "")</f>
        <v/>
      </c>
      <c r="O168" s="29">
        <f>IF(Saldos_Capital_Mensual!N168&gt;0, ROUND(Saldos_Capital_Mensual!N168 * 'Resumen_Cartera'!$Q168, 2), "")</f>
        <v/>
      </c>
      <c r="P168" s="29">
        <f>IF(Saldos_Capital_Mensual!O168&gt;0, ROUND(Saldos_Capital_Mensual!O168 * 'Resumen_Cartera'!$Q168, 2), "")</f>
        <v/>
      </c>
      <c r="Q168" s="29">
        <f>IF(Saldos_Capital_Mensual!P168&gt;0, ROUND(Saldos_Capital_Mensual!P168 * 'Resumen_Cartera'!$Q168, 2), "")</f>
        <v/>
      </c>
      <c r="R168" s="29">
        <f>IF(Saldos_Capital_Mensual!Q168&gt;0, ROUND(Saldos_Capital_Mensual!Q168 * 'Resumen_Cartera'!$Q168, 2), "")</f>
        <v/>
      </c>
      <c r="S168" s="29">
        <f>IF(Saldos_Capital_Mensual!R168&gt;0, ROUND(Saldos_Capital_Mensual!R168 * 'Resumen_Cartera'!$Q168, 2), "")</f>
        <v/>
      </c>
      <c r="T168" s="29">
        <f>IF(Saldos_Capital_Mensual!S168&gt;0, ROUND(Saldos_Capital_Mensual!S168 * 'Resumen_Cartera'!$Q168, 2), "")</f>
        <v/>
      </c>
      <c r="U168" s="29">
        <f>SUM(I168:T168)</f>
        <v/>
      </c>
    </row>
    <row r="169">
      <c r="A169" s="20" t="inlineStr">
        <is>
          <t>0691-0001</t>
        </is>
      </c>
      <c r="B169" s="21" t="inlineStr">
        <is>
          <t>Pfc Films</t>
        </is>
      </c>
      <c r="C169" s="21" t="inlineStr">
        <is>
          <t>2008 allure Pack</t>
        </is>
      </c>
      <c r="D169" s="20" t="inlineStr">
        <is>
          <t>ACTIVO</t>
        </is>
      </c>
      <c r="E169" s="20" t="inlineStr">
        <is>
          <t>2025-03-20</t>
        </is>
      </c>
      <c r="F169" s="20" t="inlineStr">
        <is>
          <t>2027-03-20</t>
        </is>
      </c>
      <c r="G169" s="22" t="n">
        <v>24</v>
      </c>
      <c r="H169" s="23" t="n">
        <v>245120.69</v>
      </c>
      <c r="I169" s="23">
        <f>ROUND(174932.59 * 'Resumen_Cartera'!$Q169, 2)</f>
        <v/>
      </c>
      <c r="J169" s="23">
        <f>IF(Saldos_Capital_Mensual!I169&gt;0, ROUND(Saldos_Capital_Mensual!I169 * 'Resumen_Cartera'!$Q169, 2), "")</f>
        <v/>
      </c>
      <c r="K169" s="23">
        <f>IF(Saldos_Capital_Mensual!J169&gt;0, ROUND(Saldos_Capital_Mensual!J169 * 'Resumen_Cartera'!$Q169, 2), "")</f>
        <v/>
      </c>
      <c r="L169" s="23">
        <f>IF(Saldos_Capital_Mensual!K169&gt;0, ROUND(Saldos_Capital_Mensual!K169 * 'Resumen_Cartera'!$Q169, 2), "")</f>
        <v/>
      </c>
      <c r="M169" s="23">
        <f>IF(Saldos_Capital_Mensual!L169&gt;0, ROUND(Saldos_Capital_Mensual!L169 * 'Resumen_Cartera'!$Q169, 2), "")</f>
        <v/>
      </c>
      <c r="N169" s="23">
        <f>IF(Saldos_Capital_Mensual!M169&gt;0, ROUND(Saldos_Capital_Mensual!M169 * 'Resumen_Cartera'!$Q169, 2), "")</f>
        <v/>
      </c>
      <c r="O169" s="23">
        <f>IF(Saldos_Capital_Mensual!N169&gt;0, ROUND(Saldos_Capital_Mensual!N169 * 'Resumen_Cartera'!$Q169, 2), "")</f>
        <v/>
      </c>
      <c r="P169" s="23">
        <f>IF(Saldos_Capital_Mensual!O169&gt;0, ROUND(Saldos_Capital_Mensual!O169 * 'Resumen_Cartera'!$Q169, 2), "")</f>
        <v/>
      </c>
      <c r="Q169" s="23">
        <f>IF(Saldos_Capital_Mensual!P169&gt;0, ROUND(Saldos_Capital_Mensual!P169 * 'Resumen_Cartera'!$Q169, 2), "")</f>
        <v/>
      </c>
      <c r="R169" s="23">
        <f>IF(Saldos_Capital_Mensual!Q169&gt;0, ROUND(Saldos_Capital_Mensual!Q169 * 'Resumen_Cartera'!$Q169, 2), "")</f>
        <v/>
      </c>
      <c r="S169" s="23">
        <f>IF(Saldos_Capital_Mensual!R169&gt;0, ROUND(Saldos_Capital_Mensual!R169 * 'Resumen_Cartera'!$Q169, 2), "")</f>
        <v/>
      </c>
      <c r="T169" s="23">
        <f>IF(Saldos_Capital_Mensual!S169&gt;0, ROUND(Saldos_Capital_Mensual!S169 * 'Resumen_Cartera'!$Q169, 2), "")</f>
        <v/>
      </c>
      <c r="U169" s="23">
        <f>SUM(I169:T169)</f>
        <v/>
      </c>
    </row>
    <row r="170">
      <c r="A170" s="26" t="inlineStr">
        <is>
          <t>0692-0001</t>
        </is>
      </c>
      <c r="B170" s="27" t="inlineStr">
        <is>
          <t>Operadora de Centros Familiares Gato</t>
        </is>
      </c>
      <c r="C170" s="27" t="inlineStr">
        <is>
          <t>Partner Rapid</t>
        </is>
      </c>
      <c r="D170" s="26" t="inlineStr">
        <is>
          <t>ACTIVO</t>
        </is>
      </c>
      <c r="E170" s="26" t="inlineStr">
        <is>
          <t>2025-04-23</t>
        </is>
      </c>
      <c r="F170" s="26" t="inlineStr">
        <is>
          <t>2027-04-23</t>
        </is>
      </c>
      <c r="G170" s="28" t="n">
        <v>24</v>
      </c>
      <c r="H170" s="29" t="n">
        <v>225538.8</v>
      </c>
      <c r="I170" s="29">
        <f>ROUND(156923.94 * 'Resumen_Cartera'!$Q170, 2)</f>
        <v/>
      </c>
      <c r="J170" s="29">
        <f>IF(Saldos_Capital_Mensual!I170&gt;0, ROUND(Saldos_Capital_Mensual!I170 * 'Resumen_Cartera'!$Q170, 2), "")</f>
        <v/>
      </c>
      <c r="K170" s="29">
        <f>IF(Saldos_Capital_Mensual!J170&gt;0, ROUND(Saldos_Capital_Mensual!J170 * 'Resumen_Cartera'!$Q170, 2), "")</f>
        <v/>
      </c>
      <c r="L170" s="29">
        <f>IF(Saldos_Capital_Mensual!K170&gt;0, ROUND(Saldos_Capital_Mensual!K170 * 'Resumen_Cartera'!$Q170, 2), "")</f>
        <v/>
      </c>
      <c r="M170" s="29">
        <f>IF(Saldos_Capital_Mensual!L170&gt;0, ROUND(Saldos_Capital_Mensual!L170 * 'Resumen_Cartera'!$Q170, 2), "")</f>
        <v/>
      </c>
      <c r="N170" s="29">
        <f>IF(Saldos_Capital_Mensual!M170&gt;0, ROUND(Saldos_Capital_Mensual!M170 * 'Resumen_Cartera'!$Q170, 2), "")</f>
        <v/>
      </c>
      <c r="O170" s="29">
        <f>IF(Saldos_Capital_Mensual!N170&gt;0, ROUND(Saldos_Capital_Mensual!N170 * 'Resumen_Cartera'!$Q170, 2), "")</f>
        <v/>
      </c>
      <c r="P170" s="29">
        <f>IF(Saldos_Capital_Mensual!O170&gt;0, ROUND(Saldos_Capital_Mensual!O170 * 'Resumen_Cartera'!$Q170, 2), "")</f>
        <v/>
      </c>
      <c r="Q170" s="29">
        <f>IF(Saldos_Capital_Mensual!P170&gt;0, ROUND(Saldos_Capital_Mensual!P170 * 'Resumen_Cartera'!$Q170, 2), "")</f>
        <v/>
      </c>
      <c r="R170" s="29">
        <f>IF(Saldos_Capital_Mensual!Q170&gt;0, ROUND(Saldos_Capital_Mensual!Q170 * 'Resumen_Cartera'!$Q170, 2), "")</f>
        <v/>
      </c>
      <c r="S170" s="29">
        <f>IF(Saldos_Capital_Mensual!R170&gt;0, ROUND(Saldos_Capital_Mensual!R170 * 'Resumen_Cartera'!$Q170, 2), "")</f>
        <v/>
      </c>
      <c r="T170" s="29">
        <f>IF(Saldos_Capital_Mensual!S170&gt;0, ROUND(Saldos_Capital_Mensual!S170 * 'Resumen_Cartera'!$Q170, 2), "")</f>
        <v/>
      </c>
      <c r="U170" s="29">
        <f>SUM(I170:T170)</f>
        <v/>
      </c>
    </row>
    <row r="171">
      <c r="A171" s="20" t="inlineStr">
        <is>
          <t>0692-0002</t>
        </is>
      </c>
      <c r="B171" s="21" t="inlineStr">
        <is>
          <t>Operadora de Centros Familiares Gato</t>
        </is>
      </c>
      <c r="C171" s="21" t="inlineStr">
        <is>
          <t>Partner Rapid</t>
        </is>
      </c>
      <c r="D171" s="20" t="inlineStr">
        <is>
          <t>ACTIVO</t>
        </is>
      </c>
      <c r="E171" s="20" t="inlineStr">
        <is>
          <t>2025-04-23</t>
        </is>
      </c>
      <c r="F171" s="20" t="inlineStr">
        <is>
          <t>2027-04-23</t>
        </is>
      </c>
      <c r="G171" s="22" t="n">
        <v>24</v>
      </c>
      <c r="H171" s="23" t="n">
        <v>225538.8</v>
      </c>
      <c r="I171" s="23">
        <f>ROUND(156923.94 * 'Resumen_Cartera'!$Q171, 2)</f>
        <v/>
      </c>
      <c r="J171" s="23">
        <f>IF(Saldos_Capital_Mensual!I171&gt;0, ROUND(Saldos_Capital_Mensual!I171 * 'Resumen_Cartera'!$Q171, 2), "")</f>
        <v/>
      </c>
      <c r="K171" s="23">
        <f>IF(Saldos_Capital_Mensual!J171&gt;0, ROUND(Saldos_Capital_Mensual!J171 * 'Resumen_Cartera'!$Q171, 2), "")</f>
        <v/>
      </c>
      <c r="L171" s="23">
        <f>IF(Saldos_Capital_Mensual!K171&gt;0, ROUND(Saldos_Capital_Mensual!K171 * 'Resumen_Cartera'!$Q171, 2), "")</f>
        <v/>
      </c>
      <c r="M171" s="23">
        <f>IF(Saldos_Capital_Mensual!L171&gt;0, ROUND(Saldos_Capital_Mensual!L171 * 'Resumen_Cartera'!$Q171, 2), "")</f>
        <v/>
      </c>
      <c r="N171" s="23">
        <f>IF(Saldos_Capital_Mensual!M171&gt;0, ROUND(Saldos_Capital_Mensual!M171 * 'Resumen_Cartera'!$Q171, 2), "")</f>
        <v/>
      </c>
      <c r="O171" s="23">
        <f>IF(Saldos_Capital_Mensual!N171&gt;0, ROUND(Saldos_Capital_Mensual!N171 * 'Resumen_Cartera'!$Q171, 2), "")</f>
        <v/>
      </c>
      <c r="P171" s="23">
        <f>IF(Saldos_Capital_Mensual!O171&gt;0, ROUND(Saldos_Capital_Mensual!O171 * 'Resumen_Cartera'!$Q171, 2), "")</f>
        <v/>
      </c>
      <c r="Q171" s="23">
        <f>IF(Saldos_Capital_Mensual!P171&gt;0, ROUND(Saldos_Capital_Mensual!P171 * 'Resumen_Cartera'!$Q171, 2), "")</f>
        <v/>
      </c>
      <c r="R171" s="23">
        <f>IF(Saldos_Capital_Mensual!Q171&gt;0, ROUND(Saldos_Capital_Mensual!Q171 * 'Resumen_Cartera'!$Q171, 2), "")</f>
        <v/>
      </c>
      <c r="S171" s="23">
        <f>IF(Saldos_Capital_Mensual!R171&gt;0, ROUND(Saldos_Capital_Mensual!R171 * 'Resumen_Cartera'!$Q171, 2), "")</f>
        <v/>
      </c>
      <c r="T171" s="23">
        <f>IF(Saldos_Capital_Mensual!S171&gt;0, ROUND(Saldos_Capital_Mensual!S171 * 'Resumen_Cartera'!$Q171, 2), "")</f>
        <v/>
      </c>
      <c r="U171" s="23">
        <f>SUM(I171:T171)</f>
        <v/>
      </c>
    </row>
    <row r="172">
      <c r="A172" s="26" t="inlineStr">
        <is>
          <t>0692-0003</t>
        </is>
      </c>
      <c r="B172" s="27" t="inlineStr">
        <is>
          <t>Operadora de Centros Familiares Gato</t>
        </is>
      </c>
      <c r="C172" s="27" t="inlineStr">
        <is>
          <t>Partner Rapid</t>
        </is>
      </c>
      <c r="D172" s="26" t="inlineStr">
        <is>
          <t>ACTIVO</t>
        </is>
      </c>
      <c r="E172" s="26" t="inlineStr">
        <is>
          <t>2025-04-23</t>
        </is>
      </c>
      <c r="F172" s="26" t="inlineStr">
        <is>
          <t>2027-04-23</t>
        </is>
      </c>
      <c r="G172" s="28" t="n">
        <v>24</v>
      </c>
      <c r="H172" s="29" t="n">
        <v>225538.8</v>
      </c>
      <c r="I172" s="29">
        <f>ROUND(156923.94 * 'Resumen_Cartera'!$Q172, 2)</f>
        <v/>
      </c>
      <c r="J172" s="29">
        <f>IF(Saldos_Capital_Mensual!I172&gt;0, ROUND(Saldos_Capital_Mensual!I172 * 'Resumen_Cartera'!$Q172, 2), "")</f>
        <v/>
      </c>
      <c r="K172" s="29">
        <f>IF(Saldos_Capital_Mensual!J172&gt;0, ROUND(Saldos_Capital_Mensual!J172 * 'Resumen_Cartera'!$Q172, 2), "")</f>
        <v/>
      </c>
      <c r="L172" s="29">
        <f>IF(Saldos_Capital_Mensual!K172&gt;0, ROUND(Saldos_Capital_Mensual!K172 * 'Resumen_Cartera'!$Q172, 2), "")</f>
        <v/>
      </c>
      <c r="M172" s="29">
        <f>IF(Saldos_Capital_Mensual!L172&gt;0, ROUND(Saldos_Capital_Mensual!L172 * 'Resumen_Cartera'!$Q172, 2), "")</f>
        <v/>
      </c>
      <c r="N172" s="29">
        <f>IF(Saldos_Capital_Mensual!M172&gt;0, ROUND(Saldos_Capital_Mensual!M172 * 'Resumen_Cartera'!$Q172, 2), "")</f>
        <v/>
      </c>
      <c r="O172" s="29">
        <f>IF(Saldos_Capital_Mensual!N172&gt;0, ROUND(Saldos_Capital_Mensual!N172 * 'Resumen_Cartera'!$Q172, 2), "")</f>
        <v/>
      </c>
      <c r="P172" s="29">
        <f>IF(Saldos_Capital_Mensual!O172&gt;0, ROUND(Saldos_Capital_Mensual!O172 * 'Resumen_Cartera'!$Q172, 2), "")</f>
        <v/>
      </c>
      <c r="Q172" s="29">
        <f>IF(Saldos_Capital_Mensual!P172&gt;0, ROUND(Saldos_Capital_Mensual!P172 * 'Resumen_Cartera'!$Q172, 2), "")</f>
        <v/>
      </c>
      <c r="R172" s="29">
        <f>IF(Saldos_Capital_Mensual!Q172&gt;0, ROUND(Saldos_Capital_Mensual!Q172 * 'Resumen_Cartera'!$Q172, 2), "")</f>
        <v/>
      </c>
      <c r="S172" s="29">
        <f>IF(Saldos_Capital_Mensual!R172&gt;0, ROUND(Saldos_Capital_Mensual!R172 * 'Resumen_Cartera'!$Q172, 2), "")</f>
        <v/>
      </c>
      <c r="T172" s="29">
        <f>IF(Saldos_Capital_Mensual!S172&gt;0, ROUND(Saldos_Capital_Mensual!S172 * 'Resumen_Cartera'!$Q172, 2), "")</f>
        <v/>
      </c>
      <c r="U172" s="29">
        <f>SUM(I172:T172)</f>
        <v/>
      </c>
    </row>
    <row r="173">
      <c r="A173" s="20" t="inlineStr">
        <is>
          <t>0693-0001</t>
        </is>
      </c>
      <c r="B173" s="21" t="inlineStr">
        <is>
          <t>Neurovim</t>
        </is>
      </c>
      <c r="C173" s="21" t="inlineStr">
        <is>
          <t>Equipo Medico</t>
        </is>
      </c>
      <c r="D173" s="20" t="inlineStr">
        <is>
          <t>ACTIVO</t>
        </is>
      </c>
      <c r="E173" s="20" t="inlineStr">
        <is>
          <t>2025-04-25</t>
        </is>
      </c>
      <c r="F173" s="20" t="inlineStr">
        <is>
          <t>2028-04-25</t>
        </is>
      </c>
      <c r="G173" s="22" t="n">
        <v>36</v>
      </c>
      <c r="H173" s="23" t="n">
        <v>1661493.87</v>
      </c>
      <c r="I173" s="23">
        <f>ROUND(1490578.25 * 'Resumen_Cartera'!$Q173, 2)</f>
        <v/>
      </c>
      <c r="J173" s="23">
        <f>IF(Saldos_Capital_Mensual!I173&gt;0, ROUND(Saldos_Capital_Mensual!I173 * 'Resumen_Cartera'!$Q173, 2), "")</f>
        <v/>
      </c>
      <c r="K173" s="23">
        <f>IF(Saldos_Capital_Mensual!J173&gt;0, ROUND(Saldos_Capital_Mensual!J173 * 'Resumen_Cartera'!$Q173, 2), "")</f>
        <v/>
      </c>
      <c r="L173" s="23">
        <f>IF(Saldos_Capital_Mensual!K173&gt;0, ROUND(Saldos_Capital_Mensual!K173 * 'Resumen_Cartera'!$Q173, 2), "")</f>
        <v/>
      </c>
      <c r="M173" s="23">
        <f>IF(Saldos_Capital_Mensual!L173&gt;0, ROUND(Saldos_Capital_Mensual!L173 * 'Resumen_Cartera'!$Q173, 2), "")</f>
        <v/>
      </c>
      <c r="N173" s="23">
        <f>IF(Saldos_Capital_Mensual!M173&gt;0, ROUND(Saldos_Capital_Mensual!M173 * 'Resumen_Cartera'!$Q173, 2), "")</f>
        <v/>
      </c>
      <c r="O173" s="23">
        <f>IF(Saldos_Capital_Mensual!N173&gt;0, ROUND(Saldos_Capital_Mensual!N173 * 'Resumen_Cartera'!$Q173, 2), "")</f>
        <v/>
      </c>
      <c r="P173" s="23">
        <f>IF(Saldos_Capital_Mensual!O173&gt;0, ROUND(Saldos_Capital_Mensual!O173 * 'Resumen_Cartera'!$Q173, 2), "")</f>
        <v/>
      </c>
      <c r="Q173" s="23">
        <f>IF(Saldos_Capital_Mensual!P173&gt;0, ROUND(Saldos_Capital_Mensual!P173 * 'Resumen_Cartera'!$Q173, 2), "")</f>
        <v/>
      </c>
      <c r="R173" s="23">
        <f>IF(Saldos_Capital_Mensual!Q173&gt;0, ROUND(Saldos_Capital_Mensual!Q173 * 'Resumen_Cartera'!$Q173, 2), "")</f>
        <v/>
      </c>
      <c r="S173" s="23">
        <f>IF(Saldos_Capital_Mensual!R173&gt;0, ROUND(Saldos_Capital_Mensual!R173 * 'Resumen_Cartera'!$Q173, 2), "")</f>
        <v/>
      </c>
      <c r="T173" s="23">
        <f>IF(Saldos_Capital_Mensual!S173&gt;0, ROUND(Saldos_Capital_Mensual!S173 * 'Resumen_Cartera'!$Q173, 2), "")</f>
        <v/>
      </c>
      <c r="U173" s="23">
        <f>SUM(I173:T173)</f>
        <v/>
      </c>
    </row>
    <row r="174">
      <c r="A174" s="26" t="inlineStr">
        <is>
          <t>0694-0001</t>
        </is>
      </c>
      <c r="B174" s="27" t="inlineStr">
        <is>
          <t>Jose Gelacio Limon Reyes</t>
        </is>
      </c>
      <c r="C174" s="27" t="inlineStr">
        <is>
          <t>Outlander Sport</t>
        </is>
      </c>
      <c r="D174" s="26" t="inlineStr">
        <is>
          <t>ACTIVO</t>
        </is>
      </c>
      <c r="E174" s="26" t="inlineStr">
        <is>
          <t>2025-05-26</t>
        </is>
      </c>
      <c r="F174" s="26" t="inlineStr">
        <is>
          <t>2029-05-26</t>
        </is>
      </c>
      <c r="G174" s="28" t="n">
        <v>48</v>
      </c>
      <c r="H174" s="29" t="n">
        <v>387698.27</v>
      </c>
      <c r="I174" s="29">
        <f>ROUND(356056.16 * 'Resumen_Cartera'!$Q174, 2)</f>
        <v/>
      </c>
      <c r="J174" s="29">
        <f>IF(Saldos_Capital_Mensual!I174&gt;0, ROUND(Saldos_Capital_Mensual!I174 * 'Resumen_Cartera'!$Q174, 2), "")</f>
        <v/>
      </c>
      <c r="K174" s="29">
        <f>IF(Saldos_Capital_Mensual!J174&gt;0, ROUND(Saldos_Capital_Mensual!J174 * 'Resumen_Cartera'!$Q174, 2), "")</f>
        <v/>
      </c>
      <c r="L174" s="29">
        <f>IF(Saldos_Capital_Mensual!K174&gt;0, ROUND(Saldos_Capital_Mensual!K174 * 'Resumen_Cartera'!$Q174, 2), "")</f>
        <v/>
      </c>
      <c r="M174" s="29">
        <f>IF(Saldos_Capital_Mensual!L174&gt;0, ROUND(Saldos_Capital_Mensual!L174 * 'Resumen_Cartera'!$Q174, 2), "")</f>
        <v/>
      </c>
      <c r="N174" s="29">
        <f>IF(Saldos_Capital_Mensual!M174&gt;0, ROUND(Saldos_Capital_Mensual!M174 * 'Resumen_Cartera'!$Q174, 2), "")</f>
        <v/>
      </c>
      <c r="O174" s="29">
        <f>IF(Saldos_Capital_Mensual!N174&gt;0, ROUND(Saldos_Capital_Mensual!N174 * 'Resumen_Cartera'!$Q174, 2), "")</f>
        <v/>
      </c>
      <c r="P174" s="29">
        <f>IF(Saldos_Capital_Mensual!O174&gt;0, ROUND(Saldos_Capital_Mensual!O174 * 'Resumen_Cartera'!$Q174, 2), "")</f>
        <v/>
      </c>
      <c r="Q174" s="29">
        <f>IF(Saldos_Capital_Mensual!P174&gt;0, ROUND(Saldos_Capital_Mensual!P174 * 'Resumen_Cartera'!$Q174, 2), "")</f>
        <v/>
      </c>
      <c r="R174" s="29">
        <f>IF(Saldos_Capital_Mensual!Q174&gt;0, ROUND(Saldos_Capital_Mensual!Q174 * 'Resumen_Cartera'!$Q174, 2), "")</f>
        <v/>
      </c>
      <c r="S174" s="29">
        <f>IF(Saldos_Capital_Mensual!R174&gt;0, ROUND(Saldos_Capital_Mensual!R174 * 'Resumen_Cartera'!$Q174, 2), "")</f>
        <v/>
      </c>
      <c r="T174" s="29">
        <f>IF(Saldos_Capital_Mensual!S174&gt;0, ROUND(Saldos_Capital_Mensual!S174 * 'Resumen_Cartera'!$Q174, 2), "")</f>
        <v/>
      </c>
      <c r="U174" s="29">
        <f>SUM(I174:T174)</f>
        <v/>
      </c>
    </row>
    <row r="175">
      <c r="A175" s="20" t="inlineStr">
        <is>
          <t>0695-0001</t>
        </is>
      </c>
      <c r="B175" s="21" t="inlineStr">
        <is>
          <t>Sistemas de Seguridad Privada Ssp</t>
        </is>
      </c>
      <c r="C175" s="21" t="inlineStr">
        <is>
          <t>Attitude Sport</t>
        </is>
      </c>
      <c r="D175" s="20" t="inlineStr">
        <is>
          <t>ACTIVO</t>
        </is>
      </c>
      <c r="E175" s="20" t="inlineStr">
        <is>
          <t>2025-05-26</t>
        </is>
      </c>
      <c r="F175" s="20" t="inlineStr">
        <is>
          <t>2027-05-26</t>
        </is>
      </c>
      <c r="G175" s="22" t="n">
        <v>24</v>
      </c>
      <c r="H175" s="23" t="n">
        <v>320620.69</v>
      </c>
      <c r="I175" s="23">
        <f>ROUND(250446.82 * 'Resumen_Cartera'!$Q175, 2)</f>
        <v/>
      </c>
      <c r="J175" s="23">
        <f>IF(Saldos_Capital_Mensual!I175&gt;0, ROUND(Saldos_Capital_Mensual!I175 * 'Resumen_Cartera'!$Q175, 2), "")</f>
        <v/>
      </c>
      <c r="K175" s="23">
        <f>IF(Saldos_Capital_Mensual!J175&gt;0, ROUND(Saldos_Capital_Mensual!J175 * 'Resumen_Cartera'!$Q175, 2), "")</f>
        <v/>
      </c>
      <c r="L175" s="23">
        <f>IF(Saldos_Capital_Mensual!K175&gt;0, ROUND(Saldos_Capital_Mensual!K175 * 'Resumen_Cartera'!$Q175, 2), "")</f>
        <v/>
      </c>
      <c r="M175" s="23">
        <f>IF(Saldos_Capital_Mensual!L175&gt;0, ROUND(Saldos_Capital_Mensual!L175 * 'Resumen_Cartera'!$Q175, 2), "")</f>
        <v/>
      </c>
      <c r="N175" s="23">
        <f>IF(Saldos_Capital_Mensual!M175&gt;0, ROUND(Saldos_Capital_Mensual!M175 * 'Resumen_Cartera'!$Q175, 2), "")</f>
        <v/>
      </c>
      <c r="O175" s="23">
        <f>IF(Saldos_Capital_Mensual!N175&gt;0, ROUND(Saldos_Capital_Mensual!N175 * 'Resumen_Cartera'!$Q175, 2), "")</f>
        <v/>
      </c>
      <c r="P175" s="23">
        <f>IF(Saldos_Capital_Mensual!O175&gt;0, ROUND(Saldos_Capital_Mensual!O175 * 'Resumen_Cartera'!$Q175, 2), "")</f>
        <v/>
      </c>
      <c r="Q175" s="23">
        <f>IF(Saldos_Capital_Mensual!P175&gt;0, ROUND(Saldos_Capital_Mensual!P175 * 'Resumen_Cartera'!$Q175, 2), "")</f>
        <v/>
      </c>
      <c r="R175" s="23">
        <f>IF(Saldos_Capital_Mensual!Q175&gt;0, ROUND(Saldos_Capital_Mensual!Q175 * 'Resumen_Cartera'!$Q175, 2), "")</f>
        <v/>
      </c>
      <c r="S175" s="23">
        <f>IF(Saldos_Capital_Mensual!R175&gt;0, ROUND(Saldos_Capital_Mensual!R175 * 'Resumen_Cartera'!$Q175, 2), "")</f>
        <v/>
      </c>
      <c r="T175" s="23">
        <f>IF(Saldos_Capital_Mensual!S175&gt;0, ROUND(Saldos_Capital_Mensual!S175 * 'Resumen_Cartera'!$Q175, 2), "")</f>
        <v/>
      </c>
      <c r="U175" s="23">
        <f>SUM(I175:T175)</f>
        <v/>
      </c>
    </row>
    <row r="176">
      <c r="A176" s="26" t="inlineStr">
        <is>
          <t>0696-0001</t>
        </is>
      </c>
      <c r="B176" s="27" t="inlineStr">
        <is>
          <t>Karina Rocio Sanchez Cardenas</t>
        </is>
      </c>
      <c r="C176" s="27" t="inlineStr">
        <is>
          <t>Atittude GT</t>
        </is>
      </c>
      <c r="D176" s="26" t="inlineStr">
        <is>
          <t>ACTIVO</t>
        </is>
      </c>
      <c r="E176" s="26" t="inlineStr">
        <is>
          <t>2025-05-28</t>
        </is>
      </c>
      <c r="F176" s="26" t="inlineStr">
        <is>
          <t>2029-05-28</t>
        </is>
      </c>
      <c r="G176" s="28" t="n">
        <v>48</v>
      </c>
      <c r="H176" s="29" t="n">
        <v>387853.45</v>
      </c>
      <c r="I176" s="29">
        <f>ROUND(356198.71 * 'Resumen_Cartera'!$Q176, 2)</f>
        <v/>
      </c>
      <c r="J176" s="29">
        <f>IF(Saldos_Capital_Mensual!I176&gt;0, ROUND(Saldos_Capital_Mensual!I176 * 'Resumen_Cartera'!$Q176, 2), "")</f>
        <v/>
      </c>
      <c r="K176" s="29">
        <f>IF(Saldos_Capital_Mensual!J176&gt;0, ROUND(Saldos_Capital_Mensual!J176 * 'Resumen_Cartera'!$Q176, 2), "")</f>
        <v/>
      </c>
      <c r="L176" s="29">
        <f>IF(Saldos_Capital_Mensual!K176&gt;0, ROUND(Saldos_Capital_Mensual!K176 * 'Resumen_Cartera'!$Q176, 2), "")</f>
        <v/>
      </c>
      <c r="M176" s="29">
        <f>IF(Saldos_Capital_Mensual!L176&gt;0, ROUND(Saldos_Capital_Mensual!L176 * 'Resumen_Cartera'!$Q176, 2), "")</f>
        <v/>
      </c>
      <c r="N176" s="29">
        <f>IF(Saldos_Capital_Mensual!M176&gt;0, ROUND(Saldos_Capital_Mensual!M176 * 'Resumen_Cartera'!$Q176, 2), "")</f>
        <v/>
      </c>
      <c r="O176" s="29">
        <f>IF(Saldos_Capital_Mensual!N176&gt;0, ROUND(Saldos_Capital_Mensual!N176 * 'Resumen_Cartera'!$Q176, 2), "")</f>
        <v/>
      </c>
      <c r="P176" s="29">
        <f>IF(Saldos_Capital_Mensual!O176&gt;0, ROUND(Saldos_Capital_Mensual!O176 * 'Resumen_Cartera'!$Q176, 2), "")</f>
        <v/>
      </c>
      <c r="Q176" s="29">
        <f>IF(Saldos_Capital_Mensual!P176&gt;0, ROUND(Saldos_Capital_Mensual!P176 * 'Resumen_Cartera'!$Q176, 2), "")</f>
        <v/>
      </c>
      <c r="R176" s="29">
        <f>IF(Saldos_Capital_Mensual!Q176&gt;0, ROUND(Saldos_Capital_Mensual!Q176 * 'Resumen_Cartera'!$Q176, 2), "")</f>
        <v/>
      </c>
      <c r="S176" s="29">
        <f>IF(Saldos_Capital_Mensual!R176&gt;0, ROUND(Saldos_Capital_Mensual!R176 * 'Resumen_Cartera'!$Q176, 2), "")</f>
        <v/>
      </c>
      <c r="T176" s="29">
        <f>IF(Saldos_Capital_Mensual!S176&gt;0, ROUND(Saldos_Capital_Mensual!S176 * 'Resumen_Cartera'!$Q176, 2), "")</f>
        <v/>
      </c>
      <c r="U176" s="29">
        <f>SUM(I176:T176)</f>
        <v/>
      </c>
    </row>
    <row r="177">
      <c r="A177" s="20" t="inlineStr">
        <is>
          <t>0697-0001</t>
        </is>
      </c>
      <c r="B177" s="21" t="inlineStr">
        <is>
          <t>Guillermo Eduardo Robles Navarro</t>
        </is>
      </c>
      <c r="C177" s="21" t="inlineStr">
        <is>
          <t>Partner Rapid</t>
        </is>
      </c>
      <c r="D177" s="20" t="inlineStr">
        <is>
          <t>ACTIVO</t>
        </is>
      </c>
      <c r="E177" s="20" t="inlineStr">
        <is>
          <t>2025-05-30</t>
        </is>
      </c>
      <c r="F177" s="20" t="inlineStr">
        <is>
          <t>2027-05-30</t>
        </is>
      </c>
      <c r="G177" s="22" t="n">
        <v>24</v>
      </c>
      <c r="H177" s="23" t="n">
        <v>231905.17</v>
      </c>
      <c r="I177" s="23">
        <f>ROUND(190595.89 * 'Resumen_Cartera'!$Q177, 2)</f>
        <v/>
      </c>
      <c r="J177" s="23">
        <f>IF(Saldos_Capital_Mensual!I177&gt;0, ROUND(Saldos_Capital_Mensual!I177 * 'Resumen_Cartera'!$Q177, 2), "")</f>
        <v/>
      </c>
      <c r="K177" s="23">
        <f>IF(Saldos_Capital_Mensual!J177&gt;0, ROUND(Saldos_Capital_Mensual!J177 * 'Resumen_Cartera'!$Q177, 2), "")</f>
        <v/>
      </c>
      <c r="L177" s="23">
        <f>IF(Saldos_Capital_Mensual!K177&gt;0, ROUND(Saldos_Capital_Mensual!K177 * 'Resumen_Cartera'!$Q177, 2), "")</f>
        <v/>
      </c>
      <c r="M177" s="23">
        <f>IF(Saldos_Capital_Mensual!L177&gt;0, ROUND(Saldos_Capital_Mensual!L177 * 'Resumen_Cartera'!$Q177, 2), "")</f>
        <v/>
      </c>
      <c r="N177" s="23">
        <f>IF(Saldos_Capital_Mensual!M177&gt;0, ROUND(Saldos_Capital_Mensual!M177 * 'Resumen_Cartera'!$Q177, 2), "")</f>
        <v/>
      </c>
      <c r="O177" s="23">
        <f>IF(Saldos_Capital_Mensual!N177&gt;0, ROUND(Saldos_Capital_Mensual!N177 * 'Resumen_Cartera'!$Q177, 2), "")</f>
        <v/>
      </c>
      <c r="P177" s="23">
        <f>IF(Saldos_Capital_Mensual!O177&gt;0, ROUND(Saldos_Capital_Mensual!O177 * 'Resumen_Cartera'!$Q177, 2), "")</f>
        <v/>
      </c>
      <c r="Q177" s="23">
        <f>IF(Saldos_Capital_Mensual!P177&gt;0, ROUND(Saldos_Capital_Mensual!P177 * 'Resumen_Cartera'!$Q177, 2), "")</f>
        <v/>
      </c>
      <c r="R177" s="23">
        <f>IF(Saldos_Capital_Mensual!Q177&gt;0, ROUND(Saldos_Capital_Mensual!Q177 * 'Resumen_Cartera'!$Q177, 2), "")</f>
        <v/>
      </c>
      <c r="S177" s="23">
        <f>IF(Saldos_Capital_Mensual!R177&gt;0, ROUND(Saldos_Capital_Mensual!R177 * 'Resumen_Cartera'!$Q177, 2), "")</f>
        <v/>
      </c>
      <c r="T177" s="23">
        <f>IF(Saldos_Capital_Mensual!S177&gt;0, ROUND(Saldos_Capital_Mensual!S177 * 'Resumen_Cartera'!$Q177, 2), "")</f>
        <v/>
      </c>
      <c r="U177" s="23">
        <f>SUM(I177:T177)</f>
        <v/>
      </c>
    </row>
    <row r="178">
      <c r="A178" s="26" t="inlineStr">
        <is>
          <t>0698-0001</t>
        </is>
      </c>
      <c r="B178" s="27" t="inlineStr">
        <is>
          <t>Roberto Gontes Leon</t>
        </is>
      </c>
      <c r="C178" s="27" t="inlineStr">
        <is>
          <t>Wrangler Rubicon</t>
        </is>
      </c>
      <c r="D178" s="26" t="inlineStr">
        <is>
          <t>ACTIVO</t>
        </is>
      </c>
      <c r="E178" s="26" t="inlineStr">
        <is>
          <t>2025-06-13</t>
        </is>
      </c>
      <c r="F178" s="26" t="inlineStr">
        <is>
          <t>2029-06-13</t>
        </is>
      </c>
      <c r="G178" s="28" t="n">
        <v>48</v>
      </c>
      <c r="H178" s="29" t="n">
        <v>897338.3100000001</v>
      </c>
      <c r="I178" s="29">
        <f>ROUND(835113.3 * 'Resumen_Cartera'!$Q178, 2)</f>
        <v/>
      </c>
      <c r="J178" s="29">
        <f>IF(Saldos_Capital_Mensual!I178&gt;0, ROUND(Saldos_Capital_Mensual!I178 * 'Resumen_Cartera'!$Q178, 2), "")</f>
        <v/>
      </c>
      <c r="K178" s="29">
        <f>IF(Saldos_Capital_Mensual!J178&gt;0, ROUND(Saldos_Capital_Mensual!J178 * 'Resumen_Cartera'!$Q178, 2), "")</f>
        <v/>
      </c>
      <c r="L178" s="29">
        <f>IF(Saldos_Capital_Mensual!K178&gt;0, ROUND(Saldos_Capital_Mensual!K178 * 'Resumen_Cartera'!$Q178, 2), "")</f>
        <v/>
      </c>
      <c r="M178" s="29">
        <f>IF(Saldos_Capital_Mensual!L178&gt;0, ROUND(Saldos_Capital_Mensual!L178 * 'Resumen_Cartera'!$Q178, 2), "")</f>
        <v/>
      </c>
      <c r="N178" s="29">
        <f>IF(Saldos_Capital_Mensual!M178&gt;0, ROUND(Saldos_Capital_Mensual!M178 * 'Resumen_Cartera'!$Q178, 2), "")</f>
        <v/>
      </c>
      <c r="O178" s="29">
        <f>IF(Saldos_Capital_Mensual!N178&gt;0, ROUND(Saldos_Capital_Mensual!N178 * 'Resumen_Cartera'!$Q178, 2), "")</f>
        <v/>
      </c>
      <c r="P178" s="29">
        <f>IF(Saldos_Capital_Mensual!O178&gt;0, ROUND(Saldos_Capital_Mensual!O178 * 'Resumen_Cartera'!$Q178, 2), "")</f>
        <v/>
      </c>
      <c r="Q178" s="29">
        <f>IF(Saldos_Capital_Mensual!P178&gt;0, ROUND(Saldos_Capital_Mensual!P178 * 'Resumen_Cartera'!$Q178, 2), "")</f>
        <v/>
      </c>
      <c r="R178" s="29">
        <f>IF(Saldos_Capital_Mensual!Q178&gt;0, ROUND(Saldos_Capital_Mensual!Q178 * 'Resumen_Cartera'!$Q178, 2), "")</f>
        <v/>
      </c>
      <c r="S178" s="29">
        <f>IF(Saldos_Capital_Mensual!R178&gt;0, ROUND(Saldos_Capital_Mensual!R178 * 'Resumen_Cartera'!$Q178, 2), "")</f>
        <v/>
      </c>
      <c r="T178" s="29">
        <f>IF(Saldos_Capital_Mensual!S178&gt;0, ROUND(Saldos_Capital_Mensual!S178 * 'Resumen_Cartera'!$Q178, 2), "")</f>
        <v/>
      </c>
      <c r="U178" s="29">
        <f>SUM(I178:T178)</f>
        <v/>
      </c>
    </row>
    <row r="179">
      <c r="A179" s="20" t="inlineStr">
        <is>
          <t>0699-0001</t>
        </is>
      </c>
      <c r="B179" s="21" t="inlineStr">
        <is>
          <t>Ramona Salazar Ramos</t>
        </is>
      </c>
      <c r="C179" s="21" t="inlineStr">
        <is>
          <t>Grand Cherokee 2025</t>
        </is>
      </c>
      <c r="D179" s="20" t="inlineStr">
        <is>
          <t>ACTIVO</t>
        </is>
      </c>
      <c r="E179" s="20" t="inlineStr">
        <is>
          <t>2025-06-05</t>
        </is>
      </c>
      <c r="F179" s="20" t="inlineStr">
        <is>
          <t>2028-06-05</t>
        </is>
      </c>
      <c r="G179" s="22" t="n">
        <v>36</v>
      </c>
      <c r="H179" s="23" t="n">
        <v>996482.76</v>
      </c>
      <c r="I179" s="23">
        <f>ROUND(884668.72 * 'Resumen_Cartera'!$Q179, 2)</f>
        <v/>
      </c>
      <c r="J179" s="23">
        <f>IF(Saldos_Capital_Mensual!I179&gt;0, ROUND(Saldos_Capital_Mensual!I179 * 'Resumen_Cartera'!$Q179, 2), "")</f>
        <v/>
      </c>
      <c r="K179" s="23">
        <f>IF(Saldos_Capital_Mensual!J179&gt;0, ROUND(Saldos_Capital_Mensual!J179 * 'Resumen_Cartera'!$Q179, 2), "")</f>
        <v/>
      </c>
      <c r="L179" s="23">
        <f>IF(Saldos_Capital_Mensual!K179&gt;0, ROUND(Saldos_Capital_Mensual!K179 * 'Resumen_Cartera'!$Q179, 2), "")</f>
        <v/>
      </c>
      <c r="M179" s="23">
        <f>IF(Saldos_Capital_Mensual!L179&gt;0, ROUND(Saldos_Capital_Mensual!L179 * 'Resumen_Cartera'!$Q179, 2), "")</f>
        <v/>
      </c>
      <c r="N179" s="23">
        <f>IF(Saldos_Capital_Mensual!M179&gt;0, ROUND(Saldos_Capital_Mensual!M179 * 'Resumen_Cartera'!$Q179, 2), "")</f>
        <v/>
      </c>
      <c r="O179" s="23">
        <f>IF(Saldos_Capital_Mensual!N179&gt;0, ROUND(Saldos_Capital_Mensual!N179 * 'Resumen_Cartera'!$Q179, 2), "")</f>
        <v/>
      </c>
      <c r="P179" s="23">
        <f>IF(Saldos_Capital_Mensual!O179&gt;0, ROUND(Saldos_Capital_Mensual!O179 * 'Resumen_Cartera'!$Q179, 2), "")</f>
        <v/>
      </c>
      <c r="Q179" s="23">
        <f>IF(Saldos_Capital_Mensual!P179&gt;0, ROUND(Saldos_Capital_Mensual!P179 * 'Resumen_Cartera'!$Q179, 2), "")</f>
        <v/>
      </c>
      <c r="R179" s="23">
        <f>IF(Saldos_Capital_Mensual!Q179&gt;0, ROUND(Saldos_Capital_Mensual!Q179 * 'Resumen_Cartera'!$Q179, 2), "")</f>
        <v/>
      </c>
      <c r="S179" s="23">
        <f>IF(Saldos_Capital_Mensual!R179&gt;0, ROUND(Saldos_Capital_Mensual!R179 * 'Resumen_Cartera'!$Q179, 2), "")</f>
        <v/>
      </c>
      <c r="T179" s="23">
        <f>IF(Saldos_Capital_Mensual!S179&gt;0, ROUND(Saldos_Capital_Mensual!S179 * 'Resumen_Cartera'!$Q179, 2), "")</f>
        <v/>
      </c>
      <c r="U179" s="23">
        <f>SUM(I179:T179)</f>
        <v/>
      </c>
    </row>
    <row r="180">
      <c r="A180" s="26" t="inlineStr">
        <is>
          <t>0700-0001</t>
        </is>
      </c>
      <c r="B180" s="27" t="inlineStr">
        <is>
          <t>Felipe de Jesus Ibañez Huizar</t>
        </is>
      </c>
      <c r="C180" s="27" t="inlineStr">
        <is>
          <t>K3</t>
        </is>
      </c>
      <c r="D180" s="26" t="inlineStr">
        <is>
          <t>ACTIVO</t>
        </is>
      </c>
      <c r="E180" s="26" t="inlineStr">
        <is>
          <t>2025-06-20</t>
        </is>
      </c>
      <c r="F180" s="26" t="inlineStr">
        <is>
          <t>2028-06-20</t>
        </is>
      </c>
      <c r="G180" s="28" t="n">
        <v>36</v>
      </c>
      <c r="H180" s="29" t="n">
        <v>306853.45</v>
      </c>
      <c r="I180" s="29">
        <f>ROUND(276285.93 * 'Resumen_Cartera'!$Q180, 2)</f>
        <v/>
      </c>
      <c r="J180" s="29">
        <f>IF(Saldos_Capital_Mensual!I180&gt;0, ROUND(Saldos_Capital_Mensual!I180 * 'Resumen_Cartera'!$Q180, 2), "")</f>
        <v/>
      </c>
      <c r="K180" s="29">
        <f>IF(Saldos_Capital_Mensual!J180&gt;0, ROUND(Saldos_Capital_Mensual!J180 * 'Resumen_Cartera'!$Q180, 2), "")</f>
        <v/>
      </c>
      <c r="L180" s="29">
        <f>IF(Saldos_Capital_Mensual!K180&gt;0, ROUND(Saldos_Capital_Mensual!K180 * 'Resumen_Cartera'!$Q180, 2), "")</f>
        <v/>
      </c>
      <c r="M180" s="29">
        <f>IF(Saldos_Capital_Mensual!L180&gt;0, ROUND(Saldos_Capital_Mensual!L180 * 'Resumen_Cartera'!$Q180, 2), "")</f>
        <v/>
      </c>
      <c r="N180" s="29">
        <f>IF(Saldos_Capital_Mensual!M180&gt;0, ROUND(Saldos_Capital_Mensual!M180 * 'Resumen_Cartera'!$Q180, 2), "")</f>
        <v/>
      </c>
      <c r="O180" s="29">
        <f>IF(Saldos_Capital_Mensual!N180&gt;0, ROUND(Saldos_Capital_Mensual!N180 * 'Resumen_Cartera'!$Q180, 2), "")</f>
        <v/>
      </c>
      <c r="P180" s="29">
        <f>IF(Saldos_Capital_Mensual!O180&gt;0, ROUND(Saldos_Capital_Mensual!O180 * 'Resumen_Cartera'!$Q180, 2), "")</f>
        <v/>
      </c>
      <c r="Q180" s="29">
        <f>IF(Saldos_Capital_Mensual!P180&gt;0, ROUND(Saldos_Capital_Mensual!P180 * 'Resumen_Cartera'!$Q180, 2), "")</f>
        <v/>
      </c>
      <c r="R180" s="29">
        <f>IF(Saldos_Capital_Mensual!Q180&gt;0, ROUND(Saldos_Capital_Mensual!Q180 * 'Resumen_Cartera'!$Q180, 2), "")</f>
        <v/>
      </c>
      <c r="S180" s="29">
        <f>IF(Saldos_Capital_Mensual!R180&gt;0, ROUND(Saldos_Capital_Mensual!R180 * 'Resumen_Cartera'!$Q180, 2), "")</f>
        <v/>
      </c>
      <c r="T180" s="29">
        <f>IF(Saldos_Capital_Mensual!S180&gt;0, ROUND(Saldos_Capital_Mensual!S180 * 'Resumen_Cartera'!$Q180, 2), "")</f>
        <v/>
      </c>
      <c r="U180" s="29">
        <f>SUM(I180:T180)</f>
        <v/>
      </c>
    </row>
    <row r="181">
      <c r="A181" s="20" t="inlineStr">
        <is>
          <t>0700-0002</t>
        </is>
      </c>
      <c r="B181" s="21" t="inlineStr">
        <is>
          <t>Felipe de Jesus Ibañez Huizar</t>
        </is>
      </c>
      <c r="C181" s="21" t="inlineStr">
        <is>
          <t>Nissan NP 300 Frontier 2026</t>
        </is>
      </c>
      <c r="D181" s="20" t="inlineStr">
        <is>
          <t>ACTIVO</t>
        </is>
      </c>
      <c r="E181" s="20" t="inlineStr">
        <is>
          <t>2026-07-17</t>
        </is>
      </c>
      <c r="F181" s="20" t="inlineStr">
        <is>
          <t>2028-07-17</t>
        </is>
      </c>
      <c r="G181" s="22" t="n">
        <v>24</v>
      </c>
      <c r="H181" s="23" t="n">
        <v>504081.47</v>
      </c>
      <c r="I181" s="23" t="inlineStr"/>
      <c r="J181" s="23" t="inlineStr"/>
      <c r="K181" s="23" t="inlineStr"/>
      <c r="L181" s="23" t="inlineStr"/>
      <c r="M181" s="23" t="inlineStr"/>
      <c r="N181" s="23" t="inlineStr"/>
      <c r="O181" s="23">
        <f>ROUND('Resumen_Cartera'!$K181 * 'Resumen_Cartera'!$Q181, 2)</f>
        <v/>
      </c>
      <c r="P181" s="23">
        <f>IF(Saldos_Capital_Mensual!O181&gt;0, ROUND(Saldos_Capital_Mensual!O181 * 'Resumen_Cartera'!$Q181, 2), "")</f>
        <v/>
      </c>
      <c r="Q181" s="23">
        <f>IF(Saldos_Capital_Mensual!P181&gt;0, ROUND(Saldos_Capital_Mensual!P181 * 'Resumen_Cartera'!$Q181, 2), "")</f>
        <v/>
      </c>
      <c r="R181" s="23">
        <f>IF(Saldos_Capital_Mensual!Q181&gt;0, ROUND(Saldos_Capital_Mensual!Q181 * 'Resumen_Cartera'!$Q181, 2), "")</f>
        <v/>
      </c>
      <c r="S181" s="23">
        <f>IF(Saldos_Capital_Mensual!R181&gt;0, ROUND(Saldos_Capital_Mensual!R181 * 'Resumen_Cartera'!$Q181, 2), "")</f>
        <v/>
      </c>
      <c r="T181" s="23">
        <f>IF(Saldos_Capital_Mensual!S181&gt;0, ROUND(Saldos_Capital_Mensual!S181 * 'Resumen_Cartera'!$Q181, 2), "")</f>
        <v/>
      </c>
      <c r="U181" s="23">
        <f>SUM(I181:T181)</f>
        <v/>
      </c>
    </row>
    <row r="182">
      <c r="A182" s="26" t="inlineStr">
        <is>
          <t>0701-0001</t>
        </is>
      </c>
      <c r="B182" s="27" t="inlineStr">
        <is>
          <t>Miguel Angel Yañez Rivera</t>
        </is>
      </c>
      <c r="C182" s="27" t="inlineStr">
        <is>
          <t>Maxi Partner</t>
        </is>
      </c>
      <c r="D182" s="26" t="inlineStr">
        <is>
          <t>ACTIVO</t>
        </is>
      </c>
      <c r="E182" s="26" t="inlineStr">
        <is>
          <t>2025-06-13</t>
        </is>
      </c>
      <c r="F182" s="26" t="inlineStr">
        <is>
          <t>2029-06-13</t>
        </is>
      </c>
      <c r="G182" s="28" t="n">
        <v>48</v>
      </c>
      <c r="H182" s="29" t="n">
        <v>240715.52</v>
      </c>
      <c r="I182" s="29">
        <f>ROUND(224371.95 * 'Resumen_Cartera'!$Q182, 2)</f>
        <v/>
      </c>
      <c r="J182" s="29">
        <f>IF(Saldos_Capital_Mensual!I182&gt;0, ROUND(Saldos_Capital_Mensual!I182 * 'Resumen_Cartera'!$Q182, 2), "")</f>
        <v/>
      </c>
      <c r="K182" s="29">
        <f>IF(Saldos_Capital_Mensual!J182&gt;0, ROUND(Saldos_Capital_Mensual!J182 * 'Resumen_Cartera'!$Q182, 2), "")</f>
        <v/>
      </c>
      <c r="L182" s="29">
        <f>IF(Saldos_Capital_Mensual!K182&gt;0, ROUND(Saldos_Capital_Mensual!K182 * 'Resumen_Cartera'!$Q182, 2), "")</f>
        <v/>
      </c>
      <c r="M182" s="29">
        <f>IF(Saldos_Capital_Mensual!L182&gt;0, ROUND(Saldos_Capital_Mensual!L182 * 'Resumen_Cartera'!$Q182, 2), "")</f>
        <v/>
      </c>
      <c r="N182" s="29">
        <f>IF(Saldos_Capital_Mensual!M182&gt;0, ROUND(Saldos_Capital_Mensual!M182 * 'Resumen_Cartera'!$Q182, 2), "")</f>
        <v/>
      </c>
      <c r="O182" s="29">
        <f>IF(Saldos_Capital_Mensual!N182&gt;0, ROUND(Saldos_Capital_Mensual!N182 * 'Resumen_Cartera'!$Q182, 2), "")</f>
        <v/>
      </c>
      <c r="P182" s="29">
        <f>IF(Saldos_Capital_Mensual!O182&gt;0, ROUND(Saldos_Capital_Mensual!O182 * 'Resumen_Cartera'!$Q182, 2), "")</f>
        <v/>
      </c>
      <c r="Q182" s="29">
        <f>IF(Saldos_Capital_Mensual!P182&gt;0, ROUND(Saldos_Capital_Mensual!P182 * 'Resumen_Cartera'!$Q182, 2), "")</f>
        <v/>
      </c>
      <c r="R182" s="29">
        <f>IF(Saldos_Capital_Mensual!Q182&gt;0, ROUND(Saldos_Capital_Mensual!Q182 * 'Resumen_Cartera'!$Q182, 2), "")</f>
        <v/>
      </c>
      <c r="S182" s="29">
        <f>IF(Saldos_Capital_Mensual!R182&gt;0, ROUND(Saldos_Capital_Mensual!R182 * 'Resumen_Cartera'!$Q182, 2), "")</f>
        <v/>
      </c>
      <c r="T182" s="29">
        <f>IF(Saldos_Capital_Mensual!S182&gt;0, ROUND(Saldos_Capital_Mensual!S182 * 'Resumen_Cartera'!$Q182, 2), "")</f>
        <v/>
      </c>
      <c r="U182" s="29">
        <f>SUM(I182:T182)</f>
        <v/>
      </c>
    </row>
    <row r="183">
      <c r="A183" s="20" t="inlineStr">
        <is>
          <t>0702-0001</t>
        </is>
      </c>
      <c r="B183" s="21" t="inlineStr">
        <is>
          <t>Ramses Tadeo Galindo Calderon</t>
        </is>
      </c>
      <c r="C183" s="21" t="inlineStr">
        <is>
          <t>Song Plus</t>
        </is>
      </c>
      <c r="D183" s="20" t="inlineStr">
        <is>
          <t>ACTIVO</t>
        </is>
      </c>
      <c r="E183" s="20" t="inlineStr">
        <is>
          <t>2025-06-16</t>
        </is>
      </c>
      <c r="F183" s="20" t="inlineStr">
        <is>
          <t>2029-06-16</t>
        </is>
      </c>
      <c r="G183" s="22" t="n">
        <v>48</v>
      </c>
      <c r="H183" s="23" t="n">
        <v>713510.12</v>
      </c>
      <c r="I183" s="23">
        <f>ROUND(667133.97 * 'Resumen_Cartera'!$Q183, 2)</f>
        <v/>
      </c>
      <c r="J183" s="23">
        <f>IF(Saldos_Capital_Mensual!I183&gt;0, ROUND(Saldos_Capital_Mensual!I183 * 'Resumen_Cartera'!$Q183, 2), "")</f>
        <v/>
      </c>
      <c r="K183" s="23">
        <f>IF(Saldos_Capital_Mensual!J183&gt;0, ROUND(Saldos_Capital_Mensual!J183 * 'Resumen_Cartera'!$Q183, 2), "")</f>
        <v/>
      </c>
      <c r="L183" s="23">
        <f>IF(Saldos_Capital_Mensual!K183&gt;0, ROUND(Saldos_Capital_Mensual!K183 * 'Resumen_Cartera'!$Q183, 2), "")</f>
        <v/>
      </c>
      <c r="M183" s="23">
        <f>IF(Saldos_Capital_Mensual!L183&gt;0, ROUND(Saldos_Capital_Mensual!L183 * 'Resumen_Cartera'!$Q183, 2), "")</f>
        <v/>
      </c>
      <c r="N183" s="23">
        <f>IF(Saldos_Capital_Mensual!M183&gt;0, ROUND(Saldos_Capital_Mensual!M183 * 'Resumen_Cartera'!$Q183, 2), "")</f>
        <v/>
      </c>
      <c r="O183" s="23">
        <f>IF(Saldos_Capital_Mensual!N183&gt;0, ROUND(Saldos_Capital_Mensual!N183 * 'Resumen_Cartera'!$Q183, 2), "")</f>
        <v/>
      </c>
      <c r="P183" s="23">
        <f>IF(Saldos_Capital_Mensual!O183&gt;0, ROUND(Saldos_Capital_Mensual!O183 * 'Resumen_Cartera'!$Q183, 2), "")</f>
        <v/>
      </c>
      <c r="Q183" s="23">
        <f>IF(Saldos_Capital_Mensual!P183&gt;0, ROUND(Saldos_Capital_Mensual!P183 * 'Resumen_Cartera'!$Q183, 2), "")</f>
        <v/>
      </c>
      <c r="R183" s="23">
        <f>IF(Saldos_Capital_Mensual!Q183&gt;0, ROUND(Saldos_Capital_Mensual!Q183 * 'Resumen_Cartera'!$Q183, 2), "")</f>
        <v/>
      </c>
      <c r="S183" s="23">
        <f>IF(Saldos_Capital_Mensual!R183&gt;0, ROUND(Saldos_Capital_Mensual!R183 * 'Resumen_Cartera'!$Q183, 2), "")</f>
        <v/>
      </c>
      <c r="T183" s="23">
        <f>IF(Saldos_Capital_Mensual!S183&gt;0, ROUND(Saldos_Capital_Mensual!S183 * 'Resumen_Cartera'!$Q183, 2), "")</f>
        <v/>
      </c>
      <c r="U183" s="23">
        <f>SUM(I183:T183)</f>
        <v/>
      </c>
    </row>
    <row r="184">
      <c r="A184" s="26" t="inlineStr">
        <is>
          <t>0703-0002</t>
        </is>
      </c>
      <c r="B184" s="27" t="inlineStr">
        <is>
          <t>Jali Fresh International Sa de Cv</t>
        </is>
      </c>
      <c r="C184" s="27" t="inlineStr">
        <is>
          <t>1500 Tradesman CC</t>
        </is>
      </c>
      <c r="D184" s="26" t="inlineStr">
        <is>
          <t>ACTIVO</t>
        </is>
      </c>
      <c r="E184" s="26" t="inlineStr">
        <is>
          <t>2026-04-23</t>
        </is>
      </c>
      <c r="F184" s="26" t="inlineStr">
        <is>
          <t>2029-04-23</t>
        </is>
      </c>
      <c r="G184" s="28" t="n">
        <v>36</v>
      </c>
      <c r="H184" s="29" t="n">
        <v>845090.52</v>
      </c>
      <c r="I184" s="29" t="inlineStr"/>
      <c r="J184" s="29" t="inlineStr"/>
      <c r="K184" s="29" t="inlineStr"/>
      <c r="L184" s="29">
        <f>ROUND('Resumen_Cartera'!$K184 * 'Resumen_Cartera'!$Q184, 2)</f>
        <v/>
      </c>
      <c r="M184" s="29">
        <f>IF(Saldos_Capital_Mensual!L184&gt;0, ROUND(Saldos_Capital_Mensual!L184 * 'Resumen_Cartera'!$Q184, 2), "")</f>
        <v/>
      </c>
      <c r="N184" s="29">
        <f>IF(Saldos_Capital_Mensual!M184&gt;0, ROUND(Saldos_Capital_Mensual!M184 * 'Resumen_Cartera'!$Q184, 2), "")</f>
        <v/>
      </c>
      <c r="O184" s="29">
        <f>IF(Saldos_Capital_Mensual!N184&gt;0, ROUND(Saldos_Capital_Mensual!N184 * 'Resumen_Cartera'!$Q184, 2), "")</f>
        <v/>
      </c>
      <c r="P184" s="29">
        <f>IF(Saldos_Capital_Mensual!O184&gt;0, ROUND(Saldos_Capital_Mensual!O184 * 'Resumen_Cartera'!$Q184, 2), "")</f>
        <v/>
      </c>
      <c r="Q184" s="29">
        <f>IF(Saldos_Capital_Mensual!P184&gt;0, ROUND(Saldos_Capital_Mensual!P184 * 'Resumen_Cartera'!$Q184, 2), "")</f>
        <v/>
      </c>
      <c r="R184" s="29">
        <f>IF(Saldos_Capital_Mensual!Q184&gt;0, ROUND(Saldos_Capital_Mensual!Q184 * 'Resumen_Cartera'!$Q184, 2), "")</f>
        <v/>
      </c>
      <c r="S184" s="29">
        <f>IF(Saldos_Capital_Mensual!R184&gt;0, ROUND(Saldos_Capital_Mensual!R184 * 'Resumen_Cartera'!$Q184, 2), "")</f>
        <v/>
      </c>
      <c r="T184" s="29">
        <f>IF(Saldos_Capital_Mensual!S184&gt;0, ROUND(Saldos_Capital_Mensual!S184 * 'Resumen_Cartera'!$Q184, 2), "")</f>
        <v/>
      </c>
      <c r="U184" s="29">
        <f>SUM(I184:T184)</f>
        <v/>
      </c>
    </row>
    <row r="185">
      <c r="A185" s="20" t="inlineStr">
        <is>
          <t>0704-0001</t>
        </is>
      </c>
      <c r="B185" s="21" t="inlineStr">
        <is>
          <t>Cristian Manuel Cruz Gutierrez</t>
        </is>
      </c>
      <c r="C185" s="21" t="inlineStr">
        <is>
          <t>Ram 1200</t>
        </is>
      </c>
      <c r="D185" s="20" t="inlineStr">
        <is>
          <t>ACTIVO</t>
        </is>
      </c>
      <c r="E185" s="20" t="inlineStr">
        <is>
          <t>2025-07-22</t>
        </is>
      </c>
      <c r="F185" s="20" t="inlineStr">
        <is>
          <t>2028-07-22</t>
        </is>
      </c>
      <c r="G185" s="22" t="n">
        <v>36</v>
      </c>
      <c r="H185" s="23" t="n">
        <v>462000</v>
      </c>
      <c r="I185" s="23">
        <f>ROUND(418161.19 * 'Resumen_Cartera'!$Q185, 2)</f>
        <v/>
      </c>
      <c r="J185" s="23">
        <f>IF(Saldos_Capital_Mensual!I185&gt;0, ROUND(Saldos_Capital_Mensual!I185 * 'Resumen_Cartera'!$Q185, 2), "")</f>
        <v/>
      </c>
      <c r="K185" s="23">
        <f>IF(Saldos_Capital_Mensual!J185&gt;0, ROUND(Saldos_Capital_Mensual!J185 * 'Resumen_Cartera'!$Q185, 2), "")</f>
        <v/>
      </c>
      <c r="L185" s="23">
        <f>IF(Saldos_Capital_Mensual!K185&gt;0, ROUND(Saldos_Capital_Mensual!K185 * 'Resumen_Cartera'!$Q185, 2), "")</f>
        <v/>
      </c>
      <c r="M185" s="23">
        <f>IF(Saldos_Capital_Mensual!L185&gt;0, ROUND(Saldos_Capital_Mensual!L185 * 'Resumen_Cartera'!$Q185, 2), "")</f>
        <v/>
      </c>
      <c r="N185" s="23">
        <f>IF(Saldos_Capital_Mensual!M185&gt;0, ROUND(Saldos_Capital_Mensual!M185 * 'Resumen_Cartera'!$Q185, 2), "")</f>
        <v/>
      </c>
      <c r="O185" s="23">
        <f>IF(Saldos_Capital_Mensual!N185&gt;0, ROUND(Saldos_Capital_Mensual!N185 * 'Resumen_Cartera'!$Q185, 2), "")</f>
        <v/>
      </c>
      <c r="P185" s="23">
        <f>IF(Saldos_Capital_Mensual!O185&gt;0, ROUND(Saldos_Capital_Mensual!O185 * 'Resumen_Cartera'!$Q185, 2), "")</f>
        <v/>
      </c>
      <c r="Q185" s="23">
        <f>IF(Saldos_Capital_Mensual!P185&gt;0, ROUND(Saldos_Capital_Mensual!P185 * 'Resumen_Cartera'!$Q185, 2), "")</f>
        <v/>
      </c>
      <c r="R185" s="23">
        <f>IF(Saldos_Capital_Mensual!Q185&gt;0, ROUND(Saldos_Capital_Mensual!Q185 * 'Resumen_Cartera'!$Q185, 2), "")</f>
        <v/>
      </c>
      <c r="S185" s="23">
        <f>IF(Saldos_Capital_Mensual!R185&gt;0, ROUND(Saldos_Capital_Mensual!R185 * 'Resumen_Cartera'!$Q185, 2), "")</f>
        <v/>
      </c>
      <c r="T185" s="23">
        <f>IF(Saldos_Capital_Mensual!S185&gt;0, ROUND(Saldos_Capital_Mensual!S185 * 'Resumen_Cartera'!$Q185, 2), "")</f>
        <v/>
      </c>
      <c r="U185" s="23">
        <f>SUM(I185:T185)</f>
        <v/>
      </c>
    </row>
    <row r="186">
      <c r="A186" s="26" t="inlineStr">
        <is>
          <t>0705-0001</t>
        </is>
      </c>
      <c r="B186" s="27" t="inlineStr">
        <is>
          <t>Oscar Alejandro Pedraza Gonzalez</t>
        </is>
      </c>
      <c r="C186" s="27" t="inlineStr">
        <is>
          <t>L200</t>
        </is>
      </c>
      <c r="D186" s="26" t="inlineStr">
        <is>
          <t>ACTIVO</t>
        </is>
      </c>
      <c r="E186" s="26" t="inlineStr">
        <is>
          <t>2025-08-14</t>
        </is>
      </c>
      <c r="F186" s="26" t="inlineStr">
        <is>
          <t>2027-08-14</t>
        </is>
      </c>
      <c r="G186" s="28" t="n">
        <v>24</v>
      </c>
      <c r="H186" s="29" t="n">
        <v>368144.48</v>
      </c>
      <c r="I186" s="29">
        <f>ROUND(325925.27 * 'Resumen_Cartera'!$Q186, 2)</f>
        <v/>
      </c>
      <c r="J186" s="29">
        <f>IF(Saldos_Capital_Mensual!I186&gt;0, ROUND(Saldos_Capital_Mensual!I186 * 'Resumen_Cartera'!$Q186, 2), "")</f>
        <v/>
      </c>
      <c r="K186" s="29">
        <f>IF(Saldos_Capital_Mensual!J186&gt;0, ROUND(Saldos_Capital_Mensual!J186 * 'Resumen_Cartera'!$Q186, 2), "")</f>
        <v/>
      </c>
      <c r="L186" s="29">
        <f>IF(Saldos_Capital_Mensual!K186&gt;0, ROUND(Saldos_Capital_Mensual!K186 * 'Resumen_Cartera'!$Q186, 2), "")</f>
        <v/>
      </c>
      <c r="M186" s="29">
        <f>IF(Saldos_Capital_Mensual!L186&gt;0, ROUND(Saldos_Capital_Mensual!L186 * 'Resumen_Cartera'!$Q186, 2), "")</f>
        <v/>
      </c>
      <c r="N186" s="29">
        <f>IF(Saldos_Capital_Mensual!M186&gt;0, ROUND(Saldos_Capital_Mensual!M186 * 'Resumen_Cartera'!$Q186, 2), "")</f>
        <v/>
      </c>
      <c r="O186" s="29">
        <f>IF(Saldos_Capital_Mensual!N186&gt;0, ROUND(Saldos_Capital_Mensual!N186 * 'Resumen_Cartera'!$Q186, 2), "")</f>
        <v/>
      </c>
      <c r="P186" s="29">
        <f>IF(Saldos_Capital_Mensual!O186&gt;0, ROUND(Saldos_Capital_Mensual!O186 * 'Resumen_Cartera'!$Q186, 2), "")</f>
        <v/>
      </c>
      <c r="Q186" s="29">
        <f>IF(Saldos_Capital_Mensual!P186&gt;0, ROUND(Saldos_Capital_Mensual!P186 * 'Resumen_Cartera'!$Q186, 2), "")</f>
        <v/>
      </c>
      <c r="R186" s="29">
        <f>IF(Saldos_Capital_Mensual!Q186&gt;0, ROUND(Saldos_Capital_Mensual!Q186 * 'Resumen_Cartera'!$Q186, 2), "")</f>
        <v/>
      </c>
      <c r="S186" s="29">
        <f>IF(Saldos_Capital_Mensual!R186&gt;0, ROUND(Saldos_Capital_Mensual!R186 * 'Resumen_Cartera'!$Q186, 2), "")</f>
        <v/>
      </c>
      <c r="T186" s="29">
        <f>IF(Saldos_Capital_Mensual!S186&gt;0, ROUND(Saldos_Capital_Mensual!S186 * 'Resumen_Cartera'!$Q186, 2), "")</f>
        <v/>
      </c>
      <c r="U186" s="29">
        <f>SUM(I186:T186)</f>
        <v/>
      </c>
    </row>
    <row r="187">
      <c r="A187" s="20" t="inlineStr">
        <is>
          <t>0706-0001</t>
        </is>
      </c>
      <c r="B187" s="21" t="inlineStr">
        <is>
          <t>Jose Luis Zepeda Gomez</t>
        </is>
      </c>
      <c r="C187" s="21" t="inlineStr">
        <is>
          <t>L200 Glx Diesel</t>
        </is>
      </c>
      <c r="D187" s="20" t="inlineStr">
        <is>
          <t>ACTIVO</t>
        </is>
      </c>
      <c r="E187" s="20" t="inlineStr">
        <is>
          <t>2025-07-29</t>
        </is>
      </c>
      <c r="F187" s="20" t="inlineStr">
        <is>
          <t>2029-07-29</t>
        </is>
      </c>
      <c r="G187" s="22" t="n">
        <v>48</v>
      </c>
      <c r="H187" s="23" t="n">
        <v>473328.62</v>
      </c>
      <c r="I187" s="23">
        <f>ROUND(445138.15 * 'Resumen_Cartera'!$Q187, 2)</f>
        <v/>
      </c>
      <c r="J187" s="23">
        <f>IF(Saldos_Capital_Mensual!I187&gt;0, ROUND(Saldos_Capital_Mensual!I187 * 'Resumen_Cartera'!$Q187, 2), "")</f>
        <v/>
      </c>
      <c r="K187" s="23">
        <f>IF(Saldos_Capital_Mensual!J187&gt;0, ROUND(Saldos_Capital_Mensual!J187 * 'Resumen_Cartera'!$Q187, 2), "")</f>
        <v/>
      </c>
      <c r="L187" s="23">
        <f>IF(Saldos_Capital_Mensual!K187&gt;0, ROUND(Saldos_Capital_Mensual!K187 * 'Resumen_Cartera'!$Q187, 2), "")</f>
        <v/>
      </c>
      <c r="M187" s="23">
        <f>IF(Saldos_Capital_Mensual!L187&gt;0, ROUND(Saldos_Capital_Mensual!L187 * 'Resumen_Cartera'!$Q187, 2), "")</f>
        <v/>
      </c>
      <c r="N187" s="23">
        <f>IF(Saldos_Capital_Mensual!M187&gt;0, ROUND(Saldos_Capital_Mensual!M187 * 'Resumen_Cartera'!$Q187, 2), "")</f>
        <v/>
      </c>
      <c r="O187" s="23">
        <f>IF(Saldos_Capital_Mensual!N187&gt;0, ROUND(Saldos_Capital_Mensual!N187 * 'Resumen_Cartera'!$Q187, 2), "")</f>
        <v/>
      </c>
      <c r="P187" s="23">
        <f>IF(Saldos_Capital_Mensual!O187&gt;0, ROUND(Saldos_Capital_Mensual!O187 * 'Resumen_Cartera'!$Q187, 2), "")</f>
        <v/>
      </c>
      <c r="Q187" s="23">
        <f>IF(Saldos_Capital_Mensual!P187&gt;0, ROUND(Saldos_Capital_Mensual!P187 * 'Resumen_Cartera'!$Q187, 2), "")</f>
        <v/>
      </c>
      <c r="R187" s="23">
        <f>IF(Saldos_Capital_Mensual!Q187&gt;0, ROUND(Saldos_Capital_Mensual!Q187 * 'Resumen_Cartera'!$Q187, 2), "")</f>
        <v/>
      </c>
      <c r="S187" s="23">
        <f>IF(Saldos_Capital_Mensual!R187&gt;0, ROUND(Saldos_Capital_Mensual!R187 * 'Resumen_Cartera'!$Q187, 2), "")</f>
        <v/>
      </c>
      <c r="T187" s="23">
        <f>IF(Saldos_Capital_Mensual!S187&gt;0, ROUND(Saldos_Capital_Mensual!S187 * 'Resumen_Cartera'!$Q187, 2), "")</f>
        <v/>
      </c>
      <c r="U187" s="23">
        <f>SUM(I187:T187)</f>
        <v/>
      </c>
    </row>
    <row r="188">
      <c r="A188" s="26" t="inlineStr">
        <is>
          <t>0707-0001</t>
        </is>
      </c>
      <c r="B188" s="27" t="inlineStr">
        <is>
          <t>Cabañas Lupita Sa de Cv</t>
        </is>
      </c>
      <c r="C188" s="27" t="inlineStr">
        <is>
          <t>Jt Rubicon</t>
        </is>
      </c>
      <c r="D188" s="26" t="inlineStr">
        <is>
          <t>ACTIVO</t>
        </is>
      </c>
      <c r="E188" s="26" t="inlineStr">
        <is>
          <t>2025-07-29</t>
        </is>
      </c>
      <c r="F188" s="26" t="inlineStr">
        <is>
          <t>2029-07-29</t>
        </is>
      </c>
      <c r="G188" s="28" t="n">
        <v>48</v>
      </c>
      <c r="H188" s="29" t="n">
        <v>1004068.97</v>
      </c>
      <c r="I188" s="29">
        <f>ROUND(945158.73 * 'Resumen_Cartera'!$Q188, 2)</f>
        <v/>
      </c>
      <c r="J188" s="29">
        <f>IF(Saldos_Capital_Mensual!I188&gt;0, ROUND(Saldos_Capital_Mensual!I188 * 'Resumen_Cartera'!$Q188, 2), "")</f>
        <v/>
      </c>
      <c r="K188" s="29">
        <f>IF(Saldos_Capital_Mensual!J188&gt;0, ROUND(Saldos_Capital_Mensual!J188 * 'Resumen_Cartera'!$Q188, 2), "")</f>
        <v/>
      </c>
      <c r="L188" s="29">
        <f>IF(Saldos_Capital_Mensual!K188&gt;0, ROUND(Saldos_Capital_Mensual!K188 * 'Resumen_Cartera'!$Q188, 2), "")</f>
        <v/>
      </c>
      <c r="M188" s="29">
        <f>IF(Saldos_Capital_Mensual!L188&gt;0, ROUND(Saldos_Capital_Mensual!L188 * 'Resumen_Cartera'!$Q188, 2), "")</f>
        <v/>
      </c>
      <c r="N188" s="29">
        <f>IF(Saldos_Capital_Mensual!M188&gt;0, ROUND(Saldos_Capital_Mensual!M188 * 'Resumen_Cartera'!$Q188, 2), "")</f>
        <v/>
      </c>
      <c r="O188" s="29">
        <f>IF(Saldos_Capital_Mensual!N188&gt;0, ROUND(Saldos_Capital_Mensual!N188 * 'Resumen_Cartera'!$Q188, 2), "")</f>
        <v/>
      </c>
      <c r="P188" s="29">
        <f>IF(Saldos_Capital_Mensual!O188&gt;0, ROUND(Saldos_Capital_Mensual!O188 * 'Resumen_Cartera'!$Q188, 2), "")</f>
        <v/>
      </c>
      <c r="Q188" s="29">
        <f>IF(Saldos_Capital_Mensual!P188&gt;0, ROUND(Saldos_Capital_Mensual!P188 * 'Resumen_Cartera'!$Q188, 2), "")</f>
        <v/>
      </c>
      <c r="R188" s="29">
        <f>IF(Saldos_Capital_Mensual!Q188&gt;0, ROUND(Saldos_Capital_Mensual!Q188 * 'Resumen_Cartera'!$Q188, 2), "")</f>
        <v/>
      </c>
      <c r="S188" s="29">
        <f>IF(Saldos_Capital_Mensual!R188&gt;0, ROUND(Saldos_Capital_Mensual!R188 * 'Resumen_Cartera'!$Q188, 2), "")</f>
        <v/>
      </c>
      <c r="T188" s="29">
        <f>IF(Saldos_Capital_Mensual!S188&gt;0, ROUND(Saldos_Capital_Mensual!S188 * 'Resumen_Cartera'!$Q188, 2), "")</f>
        <v/>
      </c>
      <c r="U188" s="29">
        <f>SUM(I188:T188)</f>
        <v/>
      </c>
    </row>
    <row r="189">
      <c r="A189" s="20" t="inlineStr">
        <is>
          <t>0708-0001</t>
        </is>
      </c>
      <c r="B189" s="21" t="inlineStr">
        <is>
          <t>Pumps Company Sa de Cv</t>
        </is>
      </c>
      <c r="C189" s="21" t="inlineStr">
        <is>
          <t>L200 Glx Diesel</t>
        </is>
      </c>
      <c r="D189" s="20" t="inlineStr">
        <is>
          <t>ACTIVO</t>
        </is>
      </c>
      <c r="E189" s="20" t="inlineStr">
        <is>
          <t>2025-07-29</t>
        </is>
      </c>
      <c r="F189" s="20" t="inlineStr">
        <is>
          <t>2028-07-29</t>
        </is>
      </c>
      <c r="G189" s="22" t="n">
        <v>36</v>
      </c>
      <c r="H189" s="23" t="n">
        <v>334293.1</v>
      </c>
      <c r="I189" s="23">
        <f>ROUND(304100.02 * 'Resumen_Cartera'!$Q189, 2)</f>
        <v/>
      </c>
      <c r="J189" s="23">
        <f>IF(Saldos_Capital_Mensual!I189&gt;0, ROUND(Saldos_Capital_Mensual!I189 * 'Resumen_Cartera'!$Q189, 2), "")</f>
        <v/>
      </c>
      <c r="K189" s="23">
        <f>IF(Saldos_Capital_Mensual!J189&gt;0, ROUND(Saldos_Capital_Mensual!J189 * 'Resumen_Cartera'!$Q189, 2), "")</f>
        <v/>
      </c>
      <c r="L189" s="23">
        <f>IF(Saldos_Capital_Mensual!K189&gt;0, ROUND(Saldos_Capital_Mensual!K189 * 'Resumen_Cartera'!$Q189, 2), "")</f>
        <v/>
      </c>
      <c r="M189" s="23">
        <f>IF(Saldos_Capital_Mensual!L189&gt;0, ROUND(Saldos_Capital_Mensual!L189 * 'Resumen_Cartera'!$Q189, 2), "")</f>
        <v/>
      </c>
      <c r="N189" s="23">
        <f>IF(Saldos_Capital_Mensual!M189&gt;0, ROUND(Saldos_Capital_Mensual!M189 * 'Resumen_Cartera'!$Q189, 2), "")</f>
        <v/>
      </c>
      <c r="O189" s="23">
        <f>IF(Saldos_Capital_Mensual!N189&gt;0, ROUND(Saldos_Capital_Mensual!N189 * 'Resumen_Cartera'!$Q189, 2), "")</f>
        <v/>
      </c>
      <c r="P189" s="23">
        <f>IF(Saldos_Capital_Mensual!O189&gt;0, ROUND(Saldos_Capital_Mensual!O189 * 'Resumen_Cartera'!$Q189, 2), "")</f>
        <v/>
      </c>
      <c r="Q189" s="23">
        <f>IF(Saldos_Capital_Mensual!P189&gt;0, ROUND(Saldos_Capital_Mensual!P189 * 'Resumen_Cartera'!$Q189, 2), "")</f>
        <v/>
      </c>
      <c r="R189" s="23">
        <f>IF(Saldos_Capital_Mensual!Q189&gt;0, ROUND(Saldos_Capital_Mensual!Q189 * 'Resumen_Cartera'!$Q189, 2), "")</f>
        <v/>
      </c>
      <c r="S189" s="23">
        <f>IF(Saldos_Capital_Mensual!R189&gt;0, ROUND(Saldos_Capital_Mensual!R189 * 'Resumen_Cartera'!$Q189, 2), "")</f>
        <v/>
      </c>
      <c r="T189" s="23">
        <f>IF(Saldos_Capital_Mensual!S189&gt;0, ROUND(Saldos_Capital_Mensual!S189 * 'Resumen_Cartera'!$Q189, 2), "")</f>
        <v/>
      </c>
      <c r="U189" s="23">
        <f>SUM(I189:T189)</f>
        <v/>
      </c>
    </row>
    <row r="190">
      <c r="A190" s="26" t="inlineStr">
        <is>
          <t>0708-0002</t>
        </is>
      </c>
      <c r="B190" s="27" t="inlineStr">
        <is>
          <t>Pumps Company Sa de Cv</t>
        </is>
      </c>
      <c r="C190" s="27" t="inlineStr">
        <is>
          <t>L200 Glx Diesel</t>
        </is>
      </c>
      <c r="D190" s="26" t="inlineStr">
        <is>
          <t>ACTIVO</t>
        </is>
      </c>
      <c r="E190" s="26" t="inlineStr">
        <is>
          <t>2025-07-29</t>
        </is>
      </c>
      <c r="F190" s="26" t="inlineStr">
        <is>
          <t>2028-07-29</t>
        </is>
      </c>
      <c r="G190" s="28" t="n">
        <v>36</v>
      </c>
      <c r="H190" s="29" t="n">
        <v>334293.1</v>
      </c>
      <c r="I190" s="29">
        <f>ROUND(304100.02 * 'Resumen_Cartera'!$Q190, 2)</f>
        <v/>
      </c>
      <c r="J190" s="29">
        <f>IF(Saldos_Capital_Mensual!I190&gt;0, ROUND(Saldos_Capital_Mensual!I190 * 'Resumen_Cartera'!$Q190, 2), "")</f>
        <v/>
      </c>
      <c r="K190" s="29">
        <f>IF(Saldos_Capital_Mensual!J190&gt;0, ROUND(Saldos_Capital_Mensual!J190 * 'Resumen_Cartera'!$Q190, 2), "")</f>
        <v/>
      </c>
      <c r="L190" s="29">
        <f>IF(Saldos_Capital_Mensual!K190&gt;0, ROUND(Saldos_Capital_Mensual!K190 * 'Resumen_Cartera'!$Q190, 2), "")</f>
        <v/>
      </c>
      <c r="M190" s="29">
        <f>IF(Saldos_Capital_Mensual!L190&gt;0, ROUND(Saldos_Capital_Mensual!L190 * 'Resumen_Cartera'!$Q190, 2), "")</f>
        <v/>
      </c>
      <c r="N190" s="29">
        <f>IF(Saldos_Capital_Mensual!M190&gt;0, ROUND(Saldos_Capital_Mensual!M190 * 'Resumen_Cartera'!$Q190, 2), "")</f>
        <v/>
      </c>
      <c r="O190" s="29">
        <f>IF(Saldos_Capital_Mensual!N190&gt;0, ROUND(Saldos_Capital_Mensual!N190 * 'Resumen_Cartera'!$Q190, 2), "")</f>
        <v/>
      </c>
      <c r="P190" s="29">
        <f>IF(Saldos_Capital_Mensual!O190&gt;0, ROUND(Saldos_Capital_Mensual!O190 * 'Resumen_Cartera'!$Q190, 2), "")</f>
        <v/>
      </c>
      <c r="Q190" s="29">
        <f>IF(Saldos_Capital_Mensual!P190&gt;0, ROUND(Saldos_Capital_Mensual!P190 * 'Resumen_Cartera'!$Q190, 2), "")</f>
        <v/>
      </c>
      <c r="R190" s="29">
        <f>IF(Saldos_Capital_Mensual!Q190&gt;0, ROUND(Saldos_Capital_Mensual!Q190 * 'Resumen_Cartera'!$Q190, 2), "")</f>
        <v/>
      </c>
      <c r="S190" s="29">
        <f>IF(Saldos_Capital_Mensual!R190&gt;0, ROUND(Saldos_Capital_Mensual!R190 * 'Resumen_Cartera'!$Q190, 2), "")</f>
        <v/>
      </c>
      <c r="T190" s="29">
        <f>IF(Saldos_Capital_Mensual!S190&gt;0, ROUND(Saldos_Capital_Mensual!S190 * 'Resumen_Cartera'!$Q190, 2), "")</f>
        <v/>
      </c>
      <c r="U190" s="29">
        <f>SUM(I190:T190)</f>
        <v/>
      </c>
    </row>
    <row r="191">
      <c r="A191" s="20" t="inlineStr">
        <is>
          <t>0712-0001</t>
        </is>
      </c>
      <c r="B191" s="21" t="inlineStr">
        <is>
          <t>Containers del Pacifico sa de cv</t>
        </is>
      </c>
      <c r="C191" s="21" t="inlineStr">
        <is>
          <t>Outlander Sport</t>
        </is>
      </c>
      <c r="D191" s="20" t="inlineStr">
        <is>
          <t>ACTIVO</t>
        </is>
      </c>
      <c r="E191" s="20" t="inlineStr">
        <is>
          <t>2025-08-06</t>
        </is>
      </c>
      <c r="F191" s="20" t="inlineStr">
        <is>
          <t>2028-08-06</t>
        </is>
      </c>
      <c r="G191" s="22" t="n">
        <v>36</v>
      </c>
      <c r="H191" s="23" t="n">
        <v>369828.62</v>
      </c>
      <c r="I191" s="23">
        <f>ROUND(344215.27 * 'Resumen_Cartera'!$Q191, 2)</f>
        <v/>
      </c>
      <c r="J191" s="23">
        <f>IF(Saldos_Capital_Mensual!I191&gt;0, ROUND(Saldos_Capital_Mensual!I191 * 'Resumen_Cartera'!$Q191, 2), "")</f>
        <v/>
      </c>
      <c r="K191" s="23">
        <f>IF(Saldos_Capital_Mensual!J191&gt;0, ROUND(Saldos_Capital_Mensual!J191 * 'Resumen_Cartera'!$Q191, 2), "")</f>
        <v/>
      </c>
      <c r="L191" s="23">
        <f>IF(Saldos_Capital_Mensual!K191&gt;0, ROUND(Saldos_Capital_Mensual!K191 * 'Resumen_Cartera'!$Q191, 2), "")</f>
        <v/>
      </c>
      <c r="M191" s="23">
        <f>IF(Saldos_Capital_Mensual!L191&gt;0, ROUND(Saldos_Capital_Mensual!L191 * 'Resumen_Cartera'!$Q191, 2), "")</f>
        <v/>
      </c>
      <c r="N191" s="23">
        <f>IF(Saldos_Capital_Mensual!M191&gt;0, ROUND(Saldos_Capital_Mensual!M191 * 'Resumen_Cartera'!$Q191, 2), "")</f>
        <v/>
      </c>
      <c r="O191" s="23">
        <f>IF(Saldos_Capital_Mensual!N191&gt;0, ROUND(Saldos_Capital_Mensual!N191 * 'Resumen_Cartera'!$Q191, 2), "")</f>
        <v/>
      </c>
      <c r="P191" s="23">
        <f>IF(Saldos_Capital_Mensual!O191&gt;0, ROUND(Saldos_Capital_Mensual!O191 * 'Resumen_Cartera'!$Q191, 2), "")</f>
        <v/>
      </c>
      <c r="Q191" s="23">
        <f>IF(Saldos_Capital_Mensual!P191&gt;0, ROUND(Saldos_Capital_Mensual!P191 * 'Resumen_Cartera'!$Q191, 2), "")</f>
        <v/>
      </c>
      <c r="R191" s="23">
        <f>IF(Saldos_Capital_Mensual!Q191&gt;0, ROUND(Saldos_Capital_Mensual!Q191 * 'Resumen_Cartera'!$Q191, 2), "")</f>
        <v/>
      </c>
      <c r="S191" s="23">
        <f>IF(Saldos_Capital_Mensual!R191&gt;0, ROUND(Saldos_Capital_Mensual!R191 * 'Resumen_Cartera'!$Q191, 2), "")</f>
        <v/>
      </c>
      <c r="T191" s="23">
        <f>IF(Saldos_Capital_Mensual!S191&gt;0, ROUND(Saldos_Capital_Mensual!S191 * 'Resumen_Cartera'!$Q191, 2), "")</f>
        <v/>
      </c>
      <c r="U191" s="23">
        <f>SUM(I191:T191)</f>
        <v/>
      </c>
    </row>
    <row r="192">
      <c r="A192" s="26" t="inlineStr">
        <is>
          <t>0712-0002</t>
        </is>
      </c>
      <c r="B192" s="27" t="inlineStr">
        <is>
          <t>Containers del Pacifico sa de cv</t>
        </is>
      </c>
      <c r="C192" s="27" t="inlineStr">
        <is>
          <t>Np300</t>
        </is>
      </c>
      <c r="D192" s="26" t="inlineStr">
        <is>
          <t>ACTIVO</t>
        </is>
      </c>
      <c r="E192" s="26" t="inlineStr">
        <is>
          <t>2025-08-22</t>
        </is>
      </c>
      <c r="F192" s="26" t="inlineStr">
        <is>
          <t>2028-08-22</t>
        </is>
      </c>
      <c r="G192" s="28" t="n">
        <v>36</v>
      </c>
      <c r="H192" s="29" t="n">
        <v>365663.79</v>
      </c>
      <c r="I192" s="29">
        <f>ROUND(340338.89 * 'Resumen_Cartera'!$Q192, 2)</f>
        <v/>
      </c>
      <c r="J192" s="29">
        <f>IF(Saldos_Capital_Mensual!I192&gt;0, ROUND(Saldos_Capital_Mensual!I192 * 'Resumen_Cartera'!$Q192, 2), "")</f>
        <v/>
      </c>
      <c r="K192" s="29">
        <f>IF(Saldos_Capital_Mensual!J192&gt;0, ROUND(Saldos_Capital_Mensual!J192 * 'Resumen_Cartera'!$Q192, 2), "")</f>
        <v/>
      </c>
      <c r="L192" s="29">
        <f>IF(Saldos_Capital_Mensual!K192&gt;0, ROUND(Saldos_Capital_Mensual!K192 * 'Resumen_Cartera'!$Q192, 2), "")</f>
        <v/>
      </c>
      <c r="M192" s="29">
        <f>IF(Saldos_Capital_Mensual!L192&gt;0, ROUND(Saldos_Capital_Mensual!L192 * 'Resumen_Cartera'!$Q192, 2), "")</f>
        <v/>
      </c>
      <c r="N192" s="29">
        <f>IF(Saldos_Capital_Mensual!M192&gt;0, ROUND(Saldos_Capital_Mensual!M192 * 'Resumen_Cartera'!$Q192, 2), "")</f>
        <v/>
      </c>
      <c r="O192" s="29">
        <f>IF(Saldos_Capital_Mensual!N192&gt;0, ROUND(Saldos_Capital_Mensual!N192 * 'Resumen_Cartera'!$Q192, 2), "")</f>
        <v/>
      </c>
      <c r="P192" s="29">
        <f>IF(Saldos_Capital_Mensual!O192&gt;0, ROUND(Saldos_Capital_Mensual!O192 * 'Resumen_Cartera'!$Q192, 2), "")</f>
        <v/>
      </c>
      <c r="Q192" s="29">
        <f>IF(Saldos_Capital_Mensual!P192&gt;0, ROUND(Saldos_Capital_Mensual!P192 * 'Resumen_Cartera'!$Q192, 2), "")</f>
        <v/>
      </c>
      <c r="R192" s="29">
        <f>IF(Saldos_Capital_Mensual!Q192&gt;0, ROUND(Saldos_Capital_Mensual!Q192 * 'Resumen_Cartera'!$Q192, 2), "")</f>
        <v/>
      </c>
      <c r="S192" s="29">
        <f>IF(Saldos_Capital_Mensual!R192&gt;0, ROUND(Saldos_Capital_Mensual!R192 * 'Resumen_Cartera'!$Q192, 2), "")</f>
        <v/>
      </c>
      <c r="T192" s="29">
        <f>IF(Saldos_Capital_Mensual!S192&gt;0, ROUND(Saldos_Capital_Mensual!S192 * 'Resumen_Cartera'!$Q192, 2), "")</f>
        <v/>
      </c>
      <c r="U192" s="29">
        <f>SUM(I192:T192)</f>
        <v/>
      </c>
    </row>
    <row r="193">
      <c r="A193" s="20" t="inlineStr">
        <is>
          <t>0712-0003</t>
        </is>
      </c>
      <c r="B193" s="21" t="inlineStr">
        <is>
          <t>Containers del Pacifico sa de cv</t>
        </is>
      </c>
      <c r="C193" s="21" t="inlineStr">
        <is>
          <t>Np300</t>
        </is>
      </c>
      <c r="D193" s="20" t="inlineStr">
        <is>
          <t>ACTIVO</t>
        </is>
      </c>
      <c r="E193" s="20" t="inlineStr">
        <is>
          <t>2025-08-22</t>
        </is>
      </c>
      <c r="F193" s="20" t="inlineStr">
        <is>
          <t>2028-08-22</t>
        </is>
      </c>
      <c r="G193" s="22" t="n">
        <v>36</v>
      </c>
      <c r="H193" s="23" t="n">
        <v>365663.79</v>
      </c>
      <c r="I193" s="23">
        <f>ROUND(340338.89 * 'Resumen_Cartera'!$Q193, 2)</f>
        <v/>
      </c>
      <c r="J193" s="23">
        <f>IF(Saldos_Capital_Mensual!I193&gt;0, ROUND(Saldos_Capital_Mensual!I193 * 'Resumen_Cartera'!$Q193, 2), "")</f>
        <v/>
      </c>
      <c r="K193" s="23">
        <f>IF(Saldos_Capital_Mensual!J193&gt;0, ROUND(Saldos_Capital_Mensual!J193 * 'Resumen_Cartera'!$Q193, 2), "")</f>
        <v/>
      </c>
      <c r="L193" s="23">
        <f>IF(Saldos_Capital_Mensual!K193&gt;0, ROUND(Saldos_Capital_Mensual!K193 * 'Resumen_Cartera'!$Q193, 2), "")</f>
        <v/>
      </c>
      <c r="M193" s="23">
        <f>IF(Saldos_Capital_Mensual!L193&gt;0, ROUND(Saldos_Capital_Mensual!L193 * 'Resumen_Cartera'!$Q193, 2), "")</f>
        <v/>
      </c>
      <c r="N193" s="23">
        <f>IF(Saldos_Capital_Mensual!M193&gt;0, ROUND(Saldos_Capital_Mensual!M193 * 'Resumen_Cartera'!$Q193, 2), "")</f>
        <v/>
      </c>
      <c r="O193" s="23">
        <f>IF(Saldos_Capital_Mensual!N193&gt;0, ROUND(Saldos_Capital_Mensual!N193 * 'Resumen_Cartera'!$Q193, 2), "")</f>
        <v/>
      </c>
      <c r="P193" s="23">
        <f>IF(Saldos_Capital_Mensual!O193&gt;0, ROUND(Saldos_Capital_Mensual!O193 * 'Resumen_Cartera'!$Q193, 2), "")</f>
        <v/>
      </c>
      <c r="Q193" s="23">
        <f>IF(Saldos_Capital_Mensual!P193&gt;0, ROUND(Saldos_Capital_Mensual!P193 * 'Resumen_Cartera'!$Q193, 2), "")</f>
        <v/>
      </c>
      <c r="R193" s="23">
        <f>IF(Saldos_Capital_Mensual!Q193&gt;0, ROUND(Saldos_Capital_Mensual!Q193 * 'Resumen_Cartera'!$Q193, 2), "")</f>
        <v/>
      </c>
      <c r="S193" s="23">
        <f>IF(Saldos_Capital_Mensual!R193&gt;0, ROUND(Saldos_Capital_Mensual!R193 * 'Resumen_Cartera'!$Q193, 2), "")</f>
        <v/>
      </c>
      <c r="T193" s="23">
        <f>IF(Saldos_Capital_Mensual!S193&gt;0, ROUND(Saldos_Capital_Mensual!S193 * 'Resumen_Cartera'!$Q193, 2), "")</f>
        <v/>
      </c>
      <c r="U193" s="23">
        <f>SUM(I193:T193)</f>
        <v/>
      </c>
    </row>
    <row r="194">
      <c r="A194" s="26" t="inlineStr">
        <is>
          <t>0713-0001</t>
        </is>
      </c>
      <c r="B194" s="27" t="inlineStr">
        <is>
          <t>Ana Carolina Urzua Lopez</t>
        </is>
      </c>
      <c r="C194" s="27" t="inlineStr">
        <is>
          <t>Ram 1200</t>
        </is>
      </c>
      <c r="D194" s="26" t="inlineStr">
        <is>
          <t>ACTIVO</t>
        </is>
      </c>
      <c r="E194" s="26" t="inlineStr">
        <is>
          <t>2025-08-18</t>
        </is>
      </c>
      <c r="F194" s="26" t="inlineStr">
        <is>
          <t>2027-08-18</t>
        </is>
      </c>
      <c r="G194" s="28" t="n">
        <v>24</v>
      </c>
      <c r="H194" s="29" t="n">
        <v>519750</v>
      </c>
      <c r="I194" s="29">
        <f>ROUND(464123.75 * 'Resumen_Cartera'!$Q194, 2)</f>
        <v/>
      </c>
      <c r="J194" s="29">
        <f>IF(Saldos_Capital_Mensual!I194&gt;0, ROUND(Saldos_Capital_Mensual!I194 * 'Resumen_Cartera'!$Q194, 2), "")</f>
        <v/>
      </c>
      <c r="K194" s="29">
        <f>IF(Saldos_Capital_Mensual!J194&gt;0, ROUND(Saldos_Capital_Mensual!J194 * 'Resumen_Cartera'!$Q194, 2), "")</f>
        <v/>
      </c>
      <c r="L194" s="29">
        <f>IF(Saldos_Capital_Mensual!K194&gt;0, ROUND(Saldos_Capital_Mensual!K194 * 'Resumen_Cartera'!$Q194, 2), "")</f>
        <v/>
      </c>
      <c r="M194" s="29">
        <f>IF(Saldos_Capital_Mensual!L194&gt;0, ROUND(Saldos_Capital_Mensual!L194 * 'Resumen_Cartera'!$Q194, 2), "")</f>
        <v/>
      </c>
      <c r="N194" s="29">
        <f>IF(Saldos_Capital_Mensual!M194&gt;0, ROUND(Saldos_Capital_Mensual!M194 * 'Resumen_Cartera'!$Q194, 2), "")</f>
        <v/>
      </c>
      <c r="O194" s="29">
        <f>IF(Saldos_Capital_Mensual!N194&gt;0, ROUND(Saldos_Capital_Mensual!N194 * 'Resumen_Cartera'!$Q194, 2), "")</f>
        <v/>
      </c>
      <c r="P194" s="29">
        <f>IF(Saldos_Capital_Mensual!O194&gt;0, ROUND(Saldos_Capital_Mensual!O194 * 'Resumen_Cartera'!$Q194, 2), "")</f>
        <v/>
      </c>
      <c r="Q194" s="29">
        <f>IF(Saldos_Capital_Mensual!P194&gt;0, ROUND(Saldos_Capital_Mensual!P194 * 'Resumen_Cartera'!$Q194, 2), "")</f>
        <v/>
      </c>
      <c r="R194" s="29">
        <f>IF(Saldos_Capital_Mensual!Q194&gt;0, ROUND(Saldos_Capital_Mensual!Q194 * 'Resumen_Cartera'!$Q194, 2), "")</f>
        <v/>
      </c>
      <c r="S194" s="29">
        <f>IF(Saldos_Capital_Mensual!R194&gt;0, ROUND(Saldos_Capital_Mensual!R194 * 'Resumen_Cartera'!$Q194, 2), "")</f>
        <v/>
      </c>
      <c r="T194" s="29">
        <f>IF(Saldos_Capital_Mensual!S194&gt;0, ROUND(Saldos_Capital_Mensual!S194 * 'Resumen_Cartera'!$Q194, 2), "")</f>
        <v/>
      </c>
      <c r="U194" s="29">
        <f>SUM(I194:T194)</f>
        <v/>
      </c>
    </row>
    <row r="195">
      <c r="A195" s="20" t="inlineStr">
        <is>
          <t>0714-0001</t>
        </is>
      </c>
      <c r="B195" s="21" t="inlineStr">
        <is>
          <t>Celeste Capital Aj</t>
        </is>
      </c>
      <c r="C195" s="21" t="inlineStr">
        <is>
          <t>Wrangler 4Xe</t>
        </is>
      </c>
      <c r="D195" s="20" t="inlineStr">
        <is>
          <t>ACTIVO</t>
        </is>
      </c>
      <c r="E195" s="20" t="inlineStr">
        <is>
          <t>2025-08-26</t>
        </is>
      </c>
      <c r="F195" s="20" t="inlineStr">
        <is>
          <t>2029-08-26</t>
        </is>
      </c>
      <c r="G195" s="22" t="n">
        <v>48</v>
      </c>
      <c r="H195" s="23" t="n">
        <v>878560.35</v>
      </c>
      <c r="I195" s="23">
        <f>ROUND(837099.53 * 'Resumen_Cartera'!$Q195, 2)</f>
        <v/>
      </c>
      <c r="J195" s="23">
        <f>IF(Saldos_Capital_Mensual!I195&gt;0, ROUND(Saldos_Capital_Mensual!I195 * 'Resumen_Cartera'!$Q195, 2), "")</f>
        <v/>
      </c>
      <c r="K195" s="23">
        <f>IF(Saldos_Capital_Mensual!J195&gt;0, ROUND(Saldos_Capital_Mensual!J195 * 'Resumen_Cartera'!$Q195, 2), "")</f>
        <v/>
      </c>
      <c r="L195" s="23">
        <f>IF(Saldos_Capital_Mensual!K195&gt;0, ROUND(Saldos_Capital_Mensual!K195 * 'Resumen_Cartera'!$Q195, 2), "")</f>
        <v/>
      </c>
      <c r="M195" s="23">
        <f>IF(Saldos_Capital_Mensual!L195&gt;0, ROUND(Saldos_Capital_Mensual!L195 * 'Resumen_Cartera'!$Q195, 2), "")</f>
        <v/>
      </c>
      <c r="N195" s="23">
        <f>IF(Saldos_Capital_Mensual!M195&gt;0, ROUND(Saldos_Capital_Mensual!M195 * 'Resumen_Cartera'!$Q195, 2), "")</f>
        <v/>
      </c>
      <c r="O195" s="23">
        <f>IF(Saldos_Capital_Mensual!N195&gt;0, ROUND(Saldos_Capital_Mensual!N195 * 'Resumen_Cartera'!$Q195, 2), "")</f>
        <v/>
      </c>
      <c r="P195" s="23">
        <f>IF(Saldos_Capital_Mensual!O195&gt;0, ROUND(Saldos_Capital_Mensual!O195 * 'Resumen_Cartera'!$Q195, 2), "")</f>
        <v/>
      </c>
      <c r="Q195" s="23">
        <f>IF(Saldos_Capital_Mensual!P195&gt;0, ROUND(Saldos_Capital_Mensual!P195 * 'Resumen_Cartera'!$Q195, 2), "")</f>
        <v/>
      </c>
      <c r="R195" s="23">
        <f>IF(Saldos_Capital_Mensual!Q195&gt;0, ROUND(Saldos_Capital_Mensual!Q195 * 'Resumen_Cartera'!$Q195, 2), "")</f>
        <v/>
      </c>
      <c r="S195" s="23">
        <f>IF(Saldos_Capital_Mensual!R195&gt;0, ROUND(Saldos_Capital_Mensual!R195 * 'Resumen_Cartera'!$Q195, 2), "")</f>
        <v/>
      </c>
      <c r="T195" s="23">
        <f>IF(Saldos_Capital_Mensual!S195&gt;0, ROUND(Saldos_Capital_Mensual!S195 * 'Resumen_Cartera'!$Q195, 2), "")</f>
        <v/>
      </c>
      <c r="U195" s="23">
        <f>SUM(I195:T195)</f>
        <v/>
      </c>
    </row>
    <row r="196">
      <c r="A196" s="26" t="inlineStr">
        <is>
          <t>0715-0001</t>
        </is>
      </c>
      <c r="B196" s="27" t="inlineStr">
        <is>
          <t>Jose de Jesus Serrano Sanchez</t>
        </is>
      </c>
      <c r="C196" s="27" t="inlineStr">
        <is>
          <t>Ram 1200</t>
        </is>
      </c>
      <c r="D196" s="26" t="inlineStr">
        <is>
          <t>ACTIVO</t>
        </is>
      </c>
      <c r="E196" s="26" t="inlineStr">
        <is>
          <t>2025-08-29</t>
        </is>
      </c>
      <c r="F196" s="26" t="inlineStr">
        <is>
          <t>2029-08-29</t>
        </is>
      </c>
      <c r="G196" s="28" t="n">
        <v>48</v>
      </c>
      <c r="H196" s="29" t="n">
        <v>485979.05</v>
      </c>
      <c r="I196" s="29">
        <f>ROUND(462554.28 * 'Resumen_Cartera'!$Q196, 2)</f>
        <v/>
      </c>
      <c r="J196" s="29">
        <f>IF(Saldos_Capital_Mensual!I196&gt;0, ROUND(Saldos_Capital_Mensual!I196 * 'Resumen_Cartera'!$Q196, 2), "")</f>
        <v/>
      </c>
      <c r="K196" s="29">
        <f>IF(Saldos_Capital_Mensual!J196&gt;0, ROUND(Saldos_Capital_Mensual!J196 * 'Resumen_Cartera'!$Q196, 2), "")</f>
        <v/>
      </c>
      <c r="L196" s="29">
        <f>IF(Saldos_Capital_Mensual!K196&gt;0, ROUND(Saldos_Capital_Mensual!K196 * 'Resumen_Cartera'!$Q196, 2), "")</f>
        <v/>
      </c>
      <c r="M196" s="29">
        <f>IF(Saldos_Capital_Mensual!L196&gt;0, ROUND(Saldos_Capital_Mensual!L196 * 'Resumen_Cartera'!$Q196, 2), "")</f>
        <v/>
      </c>
      <c r="N196" s="29">
        <f>IF(Saldos_Capital_Mensual!M196&gt;0, ROUND(Saldos_Capital_Mensual!M196 * 'Resumen_Cartera'!$Q196, 2), "")</f>
        <v/>
      </c>
      <c r="O196" s="29">
        <f>IF(Saldos_Capital_Mensual!N196&gt;0, ROUND(Saldos_Capital_Mensual!N196 * 'Resumen_Cartera'!$Q196, 2), "")</f>
        <v/>
      </c>
      <c r="P196" s="29">
        <f>IF(Saldos_Capital_Mensual!O196&gt;0, ROUND(Saldos_Capital_Mensual!O196 * 'Resumen_Cartera'!$Q196, 2), "")</f>
        <v/>
      </c>
      <c r="Q196" s="29">
        <f>IF(Saldos_Capital_Mensual!P196&gt;0, ROUND(Saldos_Capital_Mensual!P196 * 'Resumen_Cartera'!$Q196, 2), "")</f>
        <v/>
      </c>
      <c r="R196" s="29">
        <f>IF(Saldos_Capital_Mensual!Q196&gt;0, ROUND(Saldos_Capital_Mensual!Q196 * 'Resumen_Cartera'!$Q196, 2), "")</f>
        <v/>
      </c>
      <c r="S196" s="29">
        <f>IF(Saldos_Capital_Mensual!R196&gt;0, ROUND(Saldos_Capital_Mensual!R196 * 'Resumen_Cartera'!$Q196, 2), "")</f>
        <v/>
      </c>
      <c r="T196" s="29">
        <f>IF(Saldos_Capital_Mensual!S196&gt;0, ROUND(Saldos_Capital_Mensual!S196 * 'Resumen_Cartera'!$Q196, 2), "")</f>
        <v/>
      </c>
      <c r="U196" s="29">
        <f>SUM(I196:T196)</f>
        <v/>
      </c>
    </row>
    <row r="197">
      <c r="A197" s="20" t="inlineStr">
        <is>
          <t>0716-0001</t>
        </is>
      </c>
      <c r="B197" s="21" t="inlineStr">
        <is>
          <t>Mayoristas Asociados en Servicio Celular SA de CV</t>
        </is>
      </c>
      <c r="C197" s="21" t="inlineStr">
        <is>
          <t>Wrangler Unlimited Rubicon</t>
        </is>
      </c>
      <c r="D197" s="20" t="inlineStr">
        <is>
          <t>ACTIVO</t>
        </is>
      </c>
      <c r="E197" s="20" t="inlineStr">
        <is>
          <t>2025-09-15</t>
        </is>
      </c>
      <c r="F197" s="20" t="inlineStr">
        <is>
          <t>2027-09-15</t>
        </is>
      </c>
      <c r="G197" s="22" t="n">
        <v>24</v>
      </c>
      <c r="H197" s="23" t="n">
        <v>770824.3100000001</v>
      </c>
      <c r="I197" s="23">
        <f>ROUND(701000.15 * 'Resumen_Cartera'!$Q197, 2)</f>
        <v/>
      </c>
      <c r="J197" s="23">
        <f>IF(Saldos_Capital_Mensual!I197&gt;0, ROUND(Saldos_Capital_Mensual!I197 * 'Resumen_Cartera'!$Q197, 2), "")</f>
        <v/>
      </c>
      <c r="K197" s="23">
        <f>IF(Saldos_Capital_Mensual!J197&gt;0, ROUND(Saldos_Capital_Mensual!J197 * 'Resumen_Cartera'!$Q197, 2), "")</f>
        <v/>
      </c>
      <c r="L197" s="23">
        <f>IF(Saldos_Capital_Mensual!K197&gt;0, ROUND(Saldos_Capital_Mensual!K197 * 'Resumen_Cartera'!$Q197, 2), "")</f>
        <v/>
      </c>
      <c r="M197" s="23">
        <f>IF(Saldos_Capital_Mensual!L197&gt;0, ROUND(Saldos_Capital_Mensual!L197 * 'Resumen_Cartera'!$Q197, 2), "")</f>
        <v/>
      </c>
      <c r="N197" s="23">
        <f>IF(Saldos_Capital_Mensual!M197&gt;0, ROUND(Saldos_Capital_Mensual!M197 * 'Resumen_Cartera'!$Q197, 2), "")</f>
        <v/>
      </c>
      <c r="O197" s="23">
        <f>IF(Saldos_Capital_Mensual!N197&gt;0, ROUND(Saldos_Capital_Mensual!N197 * 'Resumen_Cartera'!$Q197, 2), "")</f>
        <v/>
      </c>
      <c r="P197" s="23">
        <f>IF(Saldos_Capital_Mensual!O197&gt;0, ROUND(Saldos_Capital_Mensual!O197 * 'Resumen_Cartera'!$Q197, 2), "")</f>
        <v/>
      </c>
      <c r="Q197" s="23">
        <f>IF(Saldos_Capital_Mensual!P197&gt;0, ROUND(Saldos_Capital_Mensual!P197 * 'Resumen_Cartera'!$Q197, 2), "")</f>
        <v/>
      </c>
      <c r="R197" s="23">
        <f>IF(Saldos_Capital_Mensual!Q197&gt;0, ROUND(Saldos_Capital_Mensual!Q197 * 'Resumen_Cartera'!$Q197, 2), "")</f>
        <v/>
      </c>
      <c r="S197" s="23">
        <f>IF(Saldos_Capital_Mensual!R197&gt;0, ROUND(Saldos_Capital_Mensual!R197 * 'Resumen_Cartera'!$Q197, 2), "")</f>
        <v/>
      </c>
      <c r="T197" s="23">
        <f>IF(Saldos_Capital_Mensual!S197&gt;0, ROUND(Saldos_Capital_Mensual!S197 * 'Resumen_Cartera'!$Q197, 2), "")</f>
        <v/>
      </c>
      <c r="U197" s="23">
        <f>SUM(I197:T197)</f>
        <v/>
      </c>
    </row>
    <row r="198">
      <c r="A198" s="26" t="inlineStr">
        <is>
          <t>0716-0002</t>
        </is>
      </c>
      <c r="B198" s="27" t="inlineStr">
        <is>
          <t>Mayoristas Asociados en Servicio Celular SA de CV</t>
        </is>
      </c>
      <c r="C198" s="27" t="inlineStr">
        <is>
          <t>EX30</t>
        </is>
      </c>
      <c r="D198" s="26" t="inlineStr">
        <is>
          <t>ACTIVO</t>
        </is>
      </c>
      <c r="E198" s="26" t="inlineStr">
        <is>
          <t>2025-10-08</t>
        </is>
      </c>
      <c r="F198" s="26" t="inlineStr">
        <is>
          <t>2027-10-08</t>
        </is>
      </c>
      <c r="G198" s="28" t="n">
        <v>24</v>
      </c>
      <c r="H198" s="29" t="n">
        <v>476061.55</v>
      </c>
      <c r="I198" s="29">
        <f>ROUND(444153.43 * 'Resumen_Cartera'!$Q198, 2)</f>
        <v/>
      </c>
      <c r="J198" s="29">
        <f>IF(Saldos_Capital_Mensual!I198&gt;0, ROUND(Saldos_Capital_Mensual!I198 * 'Resumen_Cartera'!$Q198, 2), "")</f>
        <v/>
      </c>
      <c r="K198" s="29">
        <f>IF(Saldos_Capital_Mensual!J198&gt;0, ROUND(Saldos_Capital_Mensual!J198 * 'Resumen_Cartera'!$Q198, 2), "")</f>
        <v/>
      </c>
      <c r="L198" s="29">
        <f>IF(Saldos_Capital_Mensual!K198&gt;0, ROUND(Saldos_Capital_Mensual!K198 * 'Resumen_Cartera'!$Q198, 2), "")</f>
        <v/>
      </c>
      <c r="M198" s="29">
        <f>IF(Saldos_Capital_Mensual!L198&gt;0, ROUND(Saldos_Capital_Mensual!L198 * 'Resumen_Cartera'!$Q198, 2), "")</f>
        <v/>
      </c>
      <c r="N198" s="29">
        <f>IF(Saldos_Capital_Mensual!M198&gt;0, ROUND(Saldos_Capital_Mensual!M198 * 'Resumen_Cartera'!$Q198, 2), "")</f>
        <v/>
      </c>
      <c r="O198" s="29">
        <f>IF(Saldos_Capital_Mensual!N198&gt;0, ROUND(Saldos_Capital_Mensual!N198 * 'Resumen_Cartera'!$Q198, 2), "")</f>
        <v/>
      </c>
      <c r="P198" s="29">
        <f>IF(Saldos_Capital_Mensual!O198&gt;0, ROUND(Saldos_Capital_Mensual!O198 * 'Resumen_Cartera'!$Q198, 2), "")</f>
        <v/>
      </c>
      <c r="Q198" s="29">
        <f>IF(Saldos_Capital_Mensual!P198&gt;0, ROUND(Saldos_Capital_Mensual!P198 * 'Resumen_Cartera'!$Q198, 2), "")</f>
        <v/>
      </c>
      <c r="R198" s="29">
        <f>IF(Saldos_Capital_Mensual!Q198&gt;0, ROUND(Saldos_Capital_Mensual!Q198 * 'Resumen_Cartera'!$Q198, 2), "")</f>
        <v/>
      </c>
      <c r="S198" s="29">
        <f>IF(Saldos_Capital_Mensual!R198&gt;0, ROUND(Saldos_Capital_Mensual!R198 * 'Resumen_Cartera'!$Q198, 2), "")</f>
        <v/>
      </c>
      <c r="T198" s="29">
        <f>IF(Saldos_Capital_Mensual!S198&gt;0, ROUND(Saldos_Capital_Mensual!S198 * 'Resumen_Cartera'!$Q198, 2), "")</f>
        <v/>
      </c>
      <c r="U198" s="29">
        <f>SUM(I198:T198)</f>
        <v/>
      </c>
    </row>
    <row r="199">
      <c r="A199" s="20" t="inlineStr">
        <is>
          <t>0716-0003</t>
        </is>
      </c>
      <c r="B199" s="21" t="inlineStr">
        <is>
          <t>Mayoristas Asociados en Servicio Celular SA de CV</t>
        </is>
      </c>
      <c r="C199" s="21" t="inlineStr">
        <is>
          <t>Bronco</t>
        </is>
      </c>
      <c r="D199" s="20" t="inlineStr">
        <is>
          <t>ACTIVO</t>
        </is>
      </c>
      <c r="E199" s="20" t="inlineStr">
        <is>
          <t>2025-10-08</t>
        </is>
      </c>
      <c r="F199" s="20" t="inlineStr">
        <is>
          <t>2027-10-08</t>
        </is>
      </c>
      <c r="G199" s="22" t="n">
        <v>24</v>
      </c>
      <c r="H199" s="23" t="n">
        <v>458620.69</v>
      </c>
      <c r="I199" s="23">
        <f>ROUND(427881.53 * 'Resumen_Cartera'!$Q199, 2)</f>
        <v/>
      </c>
      <c r="J199" s="23">
        <f>IF(Saldos_Capital_Mensual!I199&gt;0, ROUND(Saldos_Capital_Mensual!I199 * 'Resumen_Cartera'!$Q199, 2), "")</f>
        <v/>
      </c>
      <c r="K199" s="23">
        <f>IF(Saldos_Capital_Mensual!J199&gt;0, ROUND(Saldos_Capital_Mensual!J199 * 'Resumen_Cartera'!$Q199, 2), "")</f>
        <v/>
      </c>
      <c r="L199" s="23">
        <f>IF(Saldos_Capital_Mensual!K199&gt;0, ROUND(Saldos_Capital_Mensual!K199 * 'Resumen_Cartera'!$Q199, 2), "")</f>
        <v/>
      </c>
      <c r="M199" s="23">
        <f>IF(Saldos_Capital_Mensual!L199&gt;0, ROUND(Saldos_Capital_Mensual!L199 * 'Resumen_Cartera'!$Q199, 2), "")</f>
        <v/>
      </c>
      <c r="N199" s="23">
        <f>IF(Saldos_Capital_Mensual!M199&gt;0, ROUND(Saldos_Capital_Mensual!M199 * 'Resumen_Cartera'!$Q199, 2), "")</f>
        <v/>
      </c>
      <c r="O199" s="23">
        <f>IF(Saldos_Capital_Mensual!N199&gt;0, ROUND(Saldos_Capital_Mensual!N199 * 'Resumen_Cartera'!$Q199, 2), "")</f>
        <v/>
      </c>
      <c r="P199" s="23">
        <f>IF(Saldos_Capital_Mensual!O199&gt;0, ROUND(Saldos_Capital_Mensual!O199 * 'Resumen_Cartera'!$Q199, 2), "")</f>
        <v/>
      </c>
      <c r="Q199" s="23">
        <f>IF(Saldos_Capital_Mensual!P199&gt;0, ROUND(Saldos_Capital_Mensual!P199 * 'Resumen_Cartera'!$Q199, 2), "")</f>
        <v/>
      </c>
      <c r="R199" s="23">
        <f>IF(Saldos_Capital_Mensual!Q199&gt;0, ROUND(Saldos_Capital_Mensual!Q199 * 'Resumen_Cartera'!$Q199, 2), "")</f>
        <v/>
      </c>
      <c r="S199" s="23">
        <f>IF(Saldos_Capital_Mensual!R199&gt;0, ROUND(Saldos_Capital_Mensual!R199 * 'Resumen_Cartera'!$Q199, 2), "")</f>
        <v/>
      </c>
      <c r="T199" s="23">
        <f>IF(Saldos_Capital_Mensual!S199&gt;0, ROUND(Saldos_Capital_Mensual!S199 * 'Resumen_Cartera'!$Q199, 2), "")</f>
        <v/>
      </c>
      <c r="U199" s="23">
        <f>SUM(I199:T199)</f>
        <v/>
      </c>
    </row>
    <row r="200">
      <c r="A200" s="26" t="inlineStr">
        <is>
          <t>0717-0001</t>
        </is>
      </c>
      <c r="B200" s="27" t="inlineStr">
        <is>
          <t>Refaccionaria San Diego SA de CV</t>
        </is>
      </c>
      <c r="C200" s="27" t="inlineStr">
        <is>
          <t>Partner Rapid</t>
        </is>
      </c>
      <c r="D200" s="26" t="inlineStr">
        <is>
          <t>ACTIVO</t>
        </is>
      </c>
      <c r="E200" s="26" t="inlineStr">
        <is>
          <t>2025-09-10</t>
        </is>
      </c>
      <c r="F200" s="26" t="inlineStr">
        <is>
          <t>2029-09-10</t>
        </is>
      </c>
      <c r="G200" s="28" t="n">
        <v>48</v>
      </c>
      <c r="H200" s="29" t="n">
        <v>206137.93</v>
      </c>
      <c r="I200" s="29">
        <f>ROUND(198284.93 * 'Resumen_Cartera'!$Q200, 2)</f>
        <v/>
      </c>
      <c r="J200" s="29">
        <f>IF(Saldos_Capital_Mensual!I200&gt;0, ROUND(Saldos_Capital_Mensual!I200 * 'Resumen_Cartera'!$Q200, 2), "")</f>
        <v/>
      </c>
      <c r="K200" s="29">
        <f>IF(Saldos_Capital_Mensual!J200&gt;0, ROUND(Saldos_Capital_Mensual!J200 * 'Resumen_Cartera'!$Q200, 2), "")</f>
        <v/>
      </c>
      <c r="L200" s="29">
        <f>IF(Saldos_Capital_Mensual!K200&gt;0, ROUND(Saldos_Capital_Mensual!K200 * 'Resumen_Cartera'!$Q200, 2), "")</f>
        <v/>
      </c>
      <c r="M200" s="29">
        <f>IF(Saldos_Capital_Mensual!L200&gt;0, ROUND(Saldos_Capital_Mensual!L200 * 'Resumen_Cartera'!$Q200, 2), "")</f>
        <v/>
      </c>
      <c r="N200" s="29">
        <f>IF(Saldos_Capital_Mensual!M200&gt;0, ROUND(Saldos_Capital_Mensual!M200 * 'Resumen_Cartera'!$Q200, 2), "")</f>
        <v/>
      </c>
      <c r="O200" s="29">
        <f>IF(Saldos_Capital_Mensual!N200&gt;0, ROUND(Saldos_Capital_Mensual!N200 * 'Resumen_Cartera'!$Q200, 2), "")</f>
        <v/>
      </c>
      <c r="P200" s="29">
        <f>IF(Saldos_Capital_Mensual!O200&gt;0, ROUND(Saldos_Capital_Mensual!O200 * 'Resumen_Cartera'!$Q200, 2), "")</f>
        <v/>
      </c>
      <c r="Q200" s="29">
        <f>IF(Saldos_Capital_Mensual!P200&gt;0, ROUND(Saldos_Capital_Mensual!P200 * 'Resumen_Cartera'!$Q200, 2), "")</f>
        <v/>
      </c>
      <c r="R200" s="29">
        <f>IF(Saldos_Capital_Mensual!Q200&gt;0, ROUND(Saldos_Capital_Mensual!Q200 * 'Resumen_Cartera'!$Q200, 2), "")</f>
        <v/>
      </c>
      <c r="S200" s="29">
        <f>IF(Saldos_Capital_Mensual!R200&gt;0, ROUND(Saldos_Capital_Mensual!R200 * 'Resumen_Cartera'!$Q200, 2), "")</f>
        <v/>
      </c>
      <c r="T200" s="29">
        <f>IF(Saldos_Capital_Mensual!S200&gt;0, ROUND(Saldos_Capital_Mensual!S200 * 'Resumen_Cartera'!$Q200, 2), "")</f>
        <v/>
      </c>
      <c r="U200" s="29">
        <f>SUM(I200:T200)</f>
        <v/>
      </c>
    </row>
    <row r="201">
      <c r="A201" s="20" t="inlineStr">
        <is>
          <t>0718-0001</t>
        </is>
      </c>
      <c r="B201" s="21" t="inlineStr">
        <is>
          <t>Capriberrys</t>
        </is>
      </c>
      <c r="C201" s="21" t="inlineStr">
        <is>
          <t>Jt Mojave</t>
        </is>
      </c>
      <c r="D201" s="20" t="inlineStr">
        <is>
          <t>ACTIVO</t>
        </is>
      </c>
      <c r="E201" s="20" t="inlineStr">
        <is>
          <t>2025-09-11</t>
        </is>
      </c>
      <c r="F201" s="20" t="inlineStr">
        <is>
          <t>2027-09-11</t>
        </is>
      </c>
      <c r="G201" s="22" t="n">
        <v>24</v>
      </c>
      <c r="H201" s="23" t="n">
        <v>780465.52</v>
      </c>
      <c r="I201" s="23">
        <f>ROUND(696424.35 * 'Resumen_Cartera'!$Q201, 2)</f>
        <v/>
      </c>
      <c r="J201" s="23">
        <f>IF(Saldos_Capital_Mensual!I201&gt;0, ROUND(Saldos_Capital_Mensual!I201 * 'Resumen_Cartera'!$Q201, 2), "")</f>
        <v/>
      </c>
      <c r="K201" s="23">
        <f>IF(Saldos_Capital_Mensual!J201&gt;0, ROUND(Saldos_Capital_Mensual!J201 * 'Resumen_Cartera'!$Q201, 2), "")</f>
        <v/>
      </c>
      <c r="L201" s="23">
        <f>IF(Saldos_Capital_Mensual!K201&gt;0, ROUND(Saldos_Capital_Mensual!K201 * 'Resumen_Cartera'!$Q201, 2), "")</f>
        <v/>
      </c>
      <c r="M201" s="23">
        <f>IF(Saldos_Capital_Mensual!L201&gt;0, ROUND(Saldos_Capital_Mensual!L201 * 'Resumen_Cartera'!$Q201, 2), "")</f>
        <v/>
      </c>
      <c r="N201" s="23">
        <f>IF(Saldos_Capital_Mensual!M201&gt;0, ROUND(Saldos_Capital_Mensual!M201 * 'Resumen_Cartera'!$Q201, 2), "")</f>
        <v/>
      </c>
      <c r="O201" s="23">
        <f>IF(Saldos_Capital_Mensual!N201&gt;0, ROUND(Saldos_Capital_Mensual!N201 * 'Resumen_Cartera'!$Q201, 2), "")</f>
        <v/>
      </c>
      <c r="P201" s="23">
        <f>IF(Saldos_Capital_Mensual!O201&gt;0, ROUND(Saldos_Capital_Mensual!O201 * 'Resumen_Cartera'!$Q201, 2), "")</f>
        <v/>
      </c>
      <c r="Q201" s="23">
        <f>IF(Saldos_Capital_Mensual!P201&gt;0, ROUND(Saldos_Capital_Mensual!P201 * 'Resumen_Cartera'!$Q201, 2), "")</f>
        <v/>
      </c>
      <c r="R201" s="23">
        <f>IF(Saldos_Capital_Mensual!Q201&gt;0, ROUND(Saldos_Capital_Mensual!Q201 * 'Resumen_Cartera'!$Q201, 2), "")</f>
        <v/>
      </c>
      <c r="S201" s="23">
        <f>IF(Saldos_Capital_Mensual!R201&gt;0, ROUND(Saldos_Capital_Mensual!R201 * 'Resumen_Cartera'!$Q201, 2), "")</f>
        <v/>
      </c>
      <c r="T201" s="23">
        <f>IF(Saldos_Capital_Mensual!S201&gt;0, ROUND(Saldos_Capital_Mensual!S201 * 'Resumen_Cartera'!$Q201, 2), "")</f>
        <v/>
      </c>
      <c r="U201" s="23">
        <f>SUM(I201:T201)</f>
        <v/>
      </c>
    </row>
    <row r="202">
      <c r="A202" s="26" t="inlineStr">
        <is>
          <t>0719-0001</t>
        </is>
      </c>
      <c r="B202" s="27" t="inlineStr">
        <is>
          <t>Maria de Los Angeles Lopez Janeiro</t>
        </is>
      </c>
      <c r="C202" s="27" t="inlineStr">
        <is>
          <t>Rifter</t>
        </is>
      </c>
      <c r="D202" s="26" t="inlineStr">
        <is>
          <t>ACTIVO</t>
        </is>
      </c>
      <c r="E202" s="26" t="inlineStr">
        <is>
          <t>2025-09-30</t>
        </is>
      </c>
      <c r="F202" s="26" t="inlineStr">
        <is>
          <t>2028-09-30</t>
        </is>
      </c>
      <c r="G202" s="28" t="n">
        <v>36</v>
      </c>
      <c r="H202" s="29" t="n">
        <v>299853.45</v>
      </c>
      <c r="I202" s="29">
        <f>ROUND(281751.26 * 'Resumen_Cartera'!$Q202, 2)</f>
        <v/>
      </c>
      <c r="J202" s="29">
        <f>IF(Saldos_Capital_Mensual!I202&gt;0, ROUND(Saldos_Capital_Mensual!I202 * 'Resumen_Cartera'!$Q202, 2), "")</f>
        <v/>
      </c>
      <c r="K202" s="29">
        <f>IF(Saldos_Capital_Mensual!J202&gt;0, ROUND(Saldos_Capital_Mensual!J202 * 'Resumen_Cartera'!$Q202, 2), "")</f>
        <v/>
      </c>
      <c r="L202" s="29">
        <f>IF(Saldos_Capital_Mensual!K202&gt;0, ROUND(Saldos_Capital_Mensual!K202 * 'Resumen_Cartera'!$Q202, 2), "")</f>
        <v/>
      </c>
      <c r="M202" s="29">
        <f>IF(Saldos_Capital_Mensual!L202&gt;0, ROUND(Saldos_Capital_Mensual!L202 * 'Resumen_Cartera'!$Q202, 2), "")</f>
        <v/>
      </c>
      <c r="N202" s="29">
        <f>IF(Saldos_Capital_Mensual!M202&gt;0, ROUND(Saldos_Capital_Mensual!M202 * 'Resumen_Cartera'!$Q202, 2), "")</f>
        <v/>
      </c>
      <c r="O202" s="29">
        <f>IF(Saldos_Capital_Mensual!N202&gt;0, ROUND(Saldos_Capital_Mensual!N202 * 'Resumen_Cartera'!$Q202, 2), "")</f>
        <v/>
      </c>
      <c r="P202" s="29">
        <f>IF(Saldos_Capital_Mensual!O202&gt;0, ROUND(Saldos_Capital_Mensual!O202 * 'Resumen_Cartera'!$Q202, 2), "")</f>
        <v/>
      </c>
      <c r="Q202" s="29">
        <f>IF(Saldos_Capital_Mensual!P202&gt;0, ROUND(Saldos_Capital_Mensual!P202 * 'Resumen_Cartera'!$Q202, 2), "")</f>
        <v/>
      </c>
      <c r="R202" s="29">
        <f>IF(Saldos_Capital_Mensual!Q202&gt;0, ROUND(Saldos_Capital_Mensual!Q202 * 'Resumen_Cartera'!$Q202, 2), "")</f>
        <v/>
      </c>
      <c r="S202" s="29">
        <f>IF(Saldos_Capital_Mensual!R202&gt;0, ROUND(Saldos_Capital_Mensual!R202 * 'Resumen_Cartera'!$Q202, 2), "")</f>
        <v/>
      </c>
      <c r="T202" s="29">
        <f>IF(Saldos_Capital_Mensual!S202&gt;0, ROUND(Saldos_Capital_Mensual!S202 * 'Resumen_Cartera'!$Q202, 2), "")</f>
        <v/>
      </c>
      <c r="U202" s="29">
        <f>SUM(I202:T202)</f>
        <v/>
      </c>
    </row>
    <row r="203">
      <c r="A203" s="20" t="inlineStr">
        <is>
          <t>0720-0001</t>
        </is>
      </c>
      <c r="B203" s="21" t="inlineStr">
        <is>
          <t>Forrajes Los 6 Hermanos S.P.R. DE R.L.</t>
        </is>
      </c>
      <c r="C203" s="21" t="inlineStr">
        <is>
          <t>Shark</t>
        </is>
      </c>
      <c r="D203" s="20" t="inlineStr">
        <is>
          <t>ACTIVO</t>
        </is>
      </c>
      <c r="E203" s="20" t="inlineStr">
        <is>
          <t>2025-10-01</t>
        </is>
      </c>
      <c r="F203" s="20" t="inlineStr">
        <is>
          <t>2028-10-01</t>
        </is>
      </c>
      <c r="G203" s="22" t="n">
        <v>36</v>
      </c>
      <c r="H203" s="23" t="n">
        <v>698260.35</v>
      </c>
      <c r="I203" s="23">
        <f>ROUND(679757.06 * 'Resumen_Cartera'!$Q203, 2)</f>
        <v/>
      </c>
      <c r="J203" s="23">
        <f>IF(Saldos_Capital_Mensual!I203&gt;0, ROUND(Saldos_Capital_Mensual!I203 * 'Resumen_Cartera'!$Q203, 2), "")</f>
        <v/>
      </c>
      <c r="K203" s="23">
        <f>IF(Saldos_Capital_Mensual!J203&gt;0, ROUND(Saldos_Capital_Mensual!J203 * 'Resumen_Cartera'!$Q203, 2), "")</f>
        <v/>
      </c>
      <c r="L203" s="23">
        <f>IF(Saldos_Capital_Mensual!K203&gt;0, ROUND(Saldos_Capital_Mensual!K203 * 'Resumen_Cartera'!$Q203, 2), "")</f>
        <v/>
      </c>
      <c r="M203" s="23">
        <f>IF(Saldos_Capital_Mensual!L203&gt;0, ROUND(Saldos_Capital_Mensual!L203 * 'Resumen_Cartera'!$Q203, 2), "")</f>
        <v/>
      </c>
      <c r="N203" s="23">
        <f>IF(Saldos_Capital_Mensual!M203&gt;0, ROUND(Saldos_Capital_Mensual!M203 * 'Resumen_Cartera'!$Q203, 2), "")</f>
        <v/>
      </c>
      <c r="O203" s="23">
        <f>IF(Saldos_Capital_Mensual!N203&gt;0, ROUND(Saldos_Capital_Mensual!N203 * 'Resumen_Cartera'!$Q203, 2), "")</f>
        <v/>
      </c>
      <c r="P203" s="23">
        <f>IF(Saldos_Capital_Mensual!O203&gt;0, ROUND(Saldos_Capital_Mensual!O203 * 'Resumen_Cartera'!$Q203, 2), "")</f>
        <v/>
      </c>
      <c r="Q203" s="23">
        <f>IF(Saldos_Capital_Mensual!P203&gt;0, ROUND(Saldos_Capital_Mensual!P203 * 'Resumen_Cartera'!$Q203, 2), "")</f>
        <v/>
      </c>
      <c r="R203" s="23">
        <f>IF(Saldos_Capital_Mensual!Q203&gt;0, ROUND(Saldos_Capital_Mensual!Q203 * 'Resumen_Cartera'!$Q203, 2), "")</f>
        <v/>
      </c>
      <c r="S203" s="23">
        <f>IF(Saldos_Capital_Mensual!R203&gt;0, ROUND(Saldos_Capital_Mensual!R203 * 'Resumen_Cartera'!$Q203, 2), "")</f>
        <v/>
      </c>
      <c r="T203" s="23">
        <f>IF(Saldos_Capital_Mensual!S203&gt;0, ROUND(Saldos_Capital_Mensual!S203 * 'Resumen_Cartera'!$Q203, 2), "")</f>
        <v/>
      </c>
      <c r="U203" s="23">
        <f>SUM(I203:T203)</f>
        <v/>
      </c>
    </row>
    <row r="204">
      <c r="A204" s="26" t="inlineStr">
        <is>
          <t>0721-0001</t>
        </is>
      </c>
      <c r="B204" s="27" t="inlineStr">
        <is>
          <t>Ricardo Ortiz Guzman</t>
        </is>
      </c>
      <c r="C204" s="27" t="inlineStr">
        <is>
          <t>Rifter</t>
        </is>
      </c>
      <c r="D204" s="26" t="inlineStr">
        <is>
          <t>ACTIVO</t>
        </is>
      </c>
      <c r="E204" s="26" t="inlineStr">
        <is>
          <t>2025-10-09</t>
        </is>
      </c>
      <c r="F204" s="26" t="inlineStr">
        <is>
          <t>2029-10-09</t>
        </is>
      </c>
      <c r="G204" s="28" t="n">
        <v>48</v>
      </c>
      <c r="H204" s="29" t="n">
        <v>299853.45</v>
      </c>
      <c r="I204" s="29">
        <f>ROUND(291589.68 * 'Resumen_Cartera'!$Q204, 2)</f>
        <v/>
      </c>
      <c r="J204" s="29">
        <f>IF(Saldos_Capital_Mensual!I204&gt;0, ROUND(Saldos_Capital_Mensual!I204 * 'Resumen_Cartera'!$Q204, 2), "")</f>
        <v/>
      </c>
      <c r="K204" s="29">
        <f>IF(Saldos_Capital_Mensual!J204&gt;0, ROUND(Saldos_Capital_Mensual!J204 * 'Resumen_Cartera'!$Q204, 2), "")</f>
        <v/>
      </c>
      <c r="L204" s="29">
        <f>IF(Saldos_Capital_Mensual!K204&gt;0, ROUND(Saldos_Capital_Mensual!K204 * 'Resumen_Cartera'!$Q204, 2), "")</f>
        <v/>
      </c>
      <c r="M204" s="29">
        <f>IF(Saldos_Capital_Mensual!L204&gt;0, ROUND(Saldos_Capital_Mensual!L204 * 'Resumen_Cartera'!$Q204, 2), "")</f>
        <v/>
      </c>
      <c r="N204" s="29">
        <f>IF(Saldos_Capital_Mensual!M204&gt;0, ROUND(Saldos_Capital_Mensual!M204 * 'Resumen_Cartera'!$Q204, 2), "")</f>
        <v/>
      </c>
      <c r="O204" s="29">
        <f>IF(Saldos_Capital_Mensual!N204&gt;0, ROUND(Saldos_Capital_Mensual!N204 * 'Resumen_Cartera'!$Q204, 2), "")</f>
        <v/>
      </c>
      <c r="P204" s="29">
        <f>IF(Saldos_Capital_Mensual!O204&gt;0, ROUND(Saldos_Capital_Mensual!O204 * 'Resumen_Cartera'!$Q204, 2), "")</f>
        <v/>
      </c>
      <c r="Q204" s="29">
        <f>IF(Saldos_Capital_Mensual!P204&gt;0, ROUND(Saldos_Capital_Mensual!P204 * 'Resumen_Cartera'!$Q204, 2), "")</f>
        <v/>
      </c>
      <c r="R204" s="29">
        <f>IF(Saldos_Capital_Mensual!Q204&gt;0, ROUND(Saldos_Capital_Mensual!Q204 * 'Resumen_Cartera'!$Q204, 2), "")</f>
        <v/>
      </c>
      <c r="S204" s="29">
        <f>IF(Saldos_Capital_Mensual!R204&gt;0, ROUND(Saldos_Capital_Mensual!R204 * 'Resumen_Cartera'!$Q204, 2), "")</f>
        <v/>
      </c>
      <c r="T204" s="29">
        <f>IF(Saldos_Capital_Mensual!S204&gt;0, ROUND(Saldos_Capital_Mensual!S204 * 'Resumen_Cartera'!$Q204, 2), "")</f>
        <v/>
      </c>
      <c r="U204" s="29">
        <f>SUM(I204:T204)</f>
        <v/>
      </c>
    </row>
    <row r="205">
      <c r="A205" s="20" t="inlineStr">
        <is>
          <t>0721-0002</t>
        </is>
      </c>
      <c r="B205" s="21" t="inlineStr">
        <is>
          <t>Ricardo Ortiz Guzman</t>
        </is>
      </c>
      <c r="C205" s="21" t="inlineStr">
        <is>
          <t>CX5</t>
        </is>
      </c>
      <c r="D205" s="20" t="inlineStr">
        <is>
          <t>ACTIVO</t>
        </is>
      </c>
      <c r="E205" s="20" t="inlineStr">
        <is>
          <t>2025-10-31</t>
        </is>
      </c>
      <c r="F205" s="20" t="inlineStr">
        <is>
          <t>2029-10-31</t>
        </is>
      </c>
      <c r="G205" s="22" t="n">
        <v>48</v>
      </c>
      <c r="H205" s="23" t="n">
        <v>422000</v>
      </c>
      <c r="I205" s="23">
        <f>ROUND(410124.63 * 'Resumen_Cartera'!$Q205, 2)</f>
        <v/>
      </c>
      <c r="J205" s="23">
        <f>IF(Saldos_Capital_Mensual!I205&gt;0, ROUND(Saldos_Capital_Mensual!I205 * 'Resumen_Cartera'!$Q205, 2), "")</f>
        <v/>
      </c>
      <c r="K205" s="23">
        <f>IF(Saldos_Capital_Mensual!J205&gt;0, ROUND(Saldos_Capital_Mensual!J205 * 'Resumen_Cartera'!$Q205, 2), "")</f>
        <v/>
      </c>
      <c r="L205" s="23">
        <f>IF(Saldos_Capital_Mensual!K205&gt;0, ROUND(Saldos_Capital_Mensual!K205 * 'Resumen_Cartera'!$Q205, 2), "")</f>
        <v/>
      </c>
      <c r="M205" s="23">
        <f>IF(Saldos_Capital_Mensual!L205&gt;0, ROUND(Saldos_Capital_Mensual!L205 * 'Resumen_Cartera'!$Q205, 2), "")</f>
        <v/>
      </c>
      <c r="N205" s="23">
        <f>IF(Saldos_Capital_Mensual!M205&gt;0, ROUND(Saldos_Capital_Mensual!M205 * 'Resumen_Cartera'!$Q205, 2), "")</f>
        <v/>
      </c>
      <c r="O205" s="23">
        <f>IF(Saldos_Capital_Mensual!N205&gt;0, ROUND(Saldos_Capital_Mensual!N205 * 'Resumen_Cartera'!$Q205, 2), "")</f>
        <v/>
      </c>
      <c r="P205" s="23">
        <f>IF(Saldos_Capital_Mensual!O205&gt;0, ROUND(Saldos_Capital_Mensual!O205 * 'Resumen_Cartera'!$Q205, 2), "")</f>
        <v/>
      </c>
      <c r="Q205" s="23">
        <f>IF(Saldos_Capital_Mensual!P205&gt;0, ROUND(Saldos_Capital_Mensual!P205 * 'Resumen_Cartera'!$Q205, 2), "")</f>
        <v/>
      </c>
      <c r="R205" s="23">
        <f>IF(Saldos_Capital_Mensual!Q205&gt;0, ROUND(Saldos_Capital_Mensual!Q205 * 'Resumen_Cartera'!$Q205, 2), "")</f>
        <v/>
      </c>
      <c r="S205" s="23">
        <f>IF(Saldos_Capital_Mensual!R205&gt;0, ROUND(Saldos_Capital_Mensual!R205 * 'Resumen_Cartera'!$Q205, 2), "")</f>
        <v/>
      </c>
      <c r="T205" s="23">
        <f>IF(Saldos_Capital_Mensual!S205&gt;0, ROUND(Saldos_Capital_Mensual!S205 * 'Resumen_Cartera'!$Q205, 2), "")</f>
        <v/>
      </c>
      <c r="U205" s="23">
        <f>SUM(I205:T205)</f>
        <v/>
      </c>
    </row>
    <row r="206">
      <c r="A206" s="26" t="inlineStr">
        <is>
          <t>0722-0001</t>
        </is>
      </c>
      <c r="B206" s="27" t="inlineStr">
        <is>
          <t>Tortas Ro S. DE R.L. DE C.V.</t>
        </is>
      </c>
      <c r="C206" s="27" t="inlineStr">
        <is>
          <t>Partner</t>
        </is>
      </c>
      <c r="D206" s="26" t="inlineStr">
        <is>
          <t>ACTIVO</t>
        </is>
      </c>
      <c r="E206" s="26" t="inlineStr">
        <is>
          <t>2025-10-13</t>
        </is>
      </c>
      <c r="F206" s="26" t="inlineStr">
        <is>
          <t>2027-10-13</t>
        </is>
      </c>
      <c r="G206" s="28" t="n">
        <v>24</v>
      </c>
      <c r="H206" s="29" t="n">
        <v>180974.14</v>
      </c>
      <c r="I206" s="29">
        <f>ROUND(168844.31 * 'Resumen_Cartera'!$Q206, 2)</f>
        <v/>
      </c>
      <c r="J206" s="29">
        <f>IF(Saldos_Capital_Mensual!I206&gt;0, ROUND(Saldos_Capital_Mensual!I206 * 'Resumen_Cartera'!$Q206, 2), "")</f>
        <v/>
      </c>
      <c r="K206" s="29">
        <f>IF(Saldos_Capital_Mensual!J206&gt;0, ROUND(Saldos_Capital_Mensual!J206 * 'Resumen_Cartera'!$Q206, 2), "")</f>
        <v/>
      </c>
      <c r="L206" s="29">
        <f>IF(Saldos_Capital_Mensual!K206&gt;0, ROUND(Saldos_Capital_Mensual!K206 * 'Resumen_Cartera'!$Q206, 2), "")</f>
        <v/>
      </c>
      <c r="M206" s="29">
        <f>IF(Saldos_Capital_Mensual!L206&gt;0, ROUND(Saldos_Capital_Mensual!L206 * 'Resumen_Cartera'!$Q206, 2), "")</f>
        <v/>
      </c>
      <c r="N206" s="29">
        <f>IF(Saldos_Capital_Mensual!M206&gt;0, ROUND(Saldos_Capital_Mensual!M206 * 'Resumen_Cartera'!$Q206, 2), "")</f>
        <v/>
      </c>
      <c r="O206" s="29">
        <f>IF(Saldos_Capital_Mensual!N206&gt;0, ROUND(Saldos_Capital_Mensual!N206 * 'Resumen_Cartera'!$Q206, 2), "")</f>
        <v/>
      </c>
      <c r="P206" s="29">
        <f>IF(Saldos_Capital_Mensual!O206&gt;0, ROUND(Saldos_Capital_Mensual!O206 * 'Resumen_Cartera'!$Q206, 2), "")</f>
        <v/>
      </c>
      <c r="Q206" s="29">
        <f>IF(Saldos_Capital_Mensual!P206&gt;0, ROUND(Saldos_Capital_Mensual!P206 * 'Resumen_Cartera'!$Q206, 2), "")</f>
        <v/>
      </c>
      <c r="R206" s="29">
        <f>IF(Saldos_Capital_Mensual!Q206&gt;0, ROUND(Saldos_Capital_Mensual!Q206 * 'Resumen_Cartera'!$Q206, 2), "")</f>
        <v/>
      </c>
      <c r="S206" s="29">
        <f>IF(Saldos_Capital_Mensual!R206&gt;0, ROUND(Saldos_Capital_Mensual!R206 * 'Resumen_Cartera'!$Q206, 2), "")</f>
        <v/>
      </c>
      <c r="T206" s="29">
        <f>IF(Saldos_Capital_Mensual!S206&gt;0, ROUND(Saldos_Capital_Mensual!S206 * 'Resumen_Cartera'!$Q206, 2), "")</f>
        <v/>
      </c>
      <c r="U206" s="29">
        <f>SUM(I206:T206)</f>
        <v/>
      </c>
    </row>
    <row r="207">
      <c r="A207" s="20" t="inlineStr">
        <is>
          <t>0723-0001</t>
        </is>
      </c>
      <c r="B207" s="21" t="inlineStr">
        <is>
          <t>Sandra Inez Velazquez Altamirano</t>
        </is>
      </c>
      <c r="C207" s="21" t="inlineStr">
        <is>
          <t>Sierra Denali</t>
        </is>
      </c>
      <c r="D207" s="20" t="inlineStr">
        <is>
          <t>ACTIVO</t>
        </is>
      </c>
      <c r="E207" s="20" t="inlineStr">
        <is>
          <t>2025-10-17</t>
        </is>
      </c>
      <c r="F207" s="20" t="inlineStr">
        <is>
          <t>2028-10-17</t>
        </is>
      </c>
      <c r="G207" s="22" t="n">
        <v>36</v>
      </c>
      <c r="H207" s="23" t="n">
        <v>1396086.21</v>
      </c>
      <c r="I207" s="23">
        <f>ROUND(1339606.25 * 'Resumen_Cartera'!$Q207, 2)</f>
        <v/>
      </c>
      <c r="J207" s="23">
        <f>IF(Saldos_Capital_Mensual!I207&gt;0, ROUND(Saldos_Capital_Mensual!I207 * 'Resumen_Cartera'!$Q207, 2), "")</f>
        <v/>
      </c>
      <c r="K207" s="23">
        <f>IF(Saldos_Capital_Mensual!J207&gt;0, ROUND(Saldos_Capital_Mensual!J207 * 'Resumen_Cartera'!$Q207, 2), "")</f>
        <v/>
      </c>
      <c r="L207" s="23">
        <f>IF(Saldos_Capital_Mensual!K207&gt;0, ROUND(Saldos_Capital_Mensual!K207 * 'Resumen_Cartera'!$Q207, 2), "")</f>
        <v/>
      </c>
      <c r="M207" s="23">
        <f>IF(Saldos_Capital_Mensual!L207&gt;0, ROUND(Saldos_Capital_Mensual!L207 * 'Resumen_Cartera'!$Q207, 2), "")</f>
        <v/>
      </c>
      <c r="N207" s="23">
        <f>IF(Saldos_Capital_Mensual!M207&gt;0, ROUND(Saldos_Capital_Mensual!M207 * 'Resumen_Cartera'!$Q207, 2), "")</f>
        <v/>
      </c>
      <c r="O207" s="23">
        <f>IF(Saldos_Capital_Mensual!N207&gt;0, ROUND(Saldos_Capital_Mensual!N207 * 'Resumen_Cartera'!$Q207, 2), "")</f>
        <v/>
      </c>
      <c r="P207" s="23">
        <f>IF(Saldos_Capital_Mensual!O207&gt;0, ROUND(Saldos_Capital_Mensual!O207 * 'Resumen_Cartera'!$Q207, 2), "")</f>
        <v/>
      </c>
      <c r="Q207" s="23">
        <f>IF(Saldos_Capital_Mensual!P207&gt;0, ROUND(Saldos_Capital_Mensual!P207 * 'Resumen_Cartera'!$Q207, 2), "")</f>
        <v/>
      </c>
      <c r="R207" s="23">
        <f>IF(Saldos_Capital_Mensual!Q207&gt;0, ROUND(Saldos_Capital_Mensual!Q207 * 'Resumen_Cartera'!$Q207, 2), "")</f>
        <v/>
      </c>
      <c r="S207" s="23">
        <f>IF(Saldos_Capital_Mensual!R207&gt;0, ROUND(Saldos_Capital_Mensual!R207 * 'Resumen_Cartera'!$Q207, 2), "")</f>
        <v/>
      </c>
      <c r="T207" s="23">
        <f>IF(Saldos_Capital_Mensual!S207&gt;0, ROUND(Saldos_Capital_Mensual!S207 * 'Resumen_Cartera'!$Q207, 2), "")</f>
        <v/>
      </c>
      <c r="U207" s="23">
        <f>SUM(I207:T207)</f>
        <v/>
      </c>
    </row>
    <row r="208">
      <c r="A208" s="26" t="inlineStr">
        <is>
          <t>0724-0001</t>
        </is>
      </c>
      <c r="B208" s="27" t="inlineStr">
        <is>
          <t>Victor Merced Brizuela Aguilar</t>
        </is>
      </c>
      <c r="C208" s="27" t="inlineStr">
        <is>
          <t>Tiggo 7 Plus</t>
        </is>
      </c>
      <c r="D208" s="26" t="inlineStr">
        <is>
          <t>ACTIVO</t>
        </is>
      </c>
      <c r="E208" s="26" t="inlineStr">
        <is>
          <t>2025-10-23</t>
        </is>
      </c>
      <c r="F208" s="26" t="inlineStr">
        <is>
          <t>2029-10-23</t>
        </is>
      </c>
      <c r="G208" s="28" t="n">
        <v>48</v>
      </c>
      <c r="H208" s="29" t="n">
        <v>301663.8</v>
      </c>
      <c r="I208" s="29">
        <f>ROUND(293350.12 * 'Resumen_Cartera'!$Q208, 2)</f>
        <v/>
      </c>
      <c r="J208" s="29">
        <f>IF(Saldos_Capital_Mensual!I208&gt;0, ROUND(Saldos_Capital_Mensual!I208 * 'Resumen_Cartera'!$Q208, 2), "")</f>
        <v/>
      </c>
      <c r="K208" s="29">
        <f>IF(Saldos_Capital_Mensual!J208&gt;0, ROUND(Saldos_Capital_Mensual!J208 * 'Resumen_Cartera'!$Q208, 2), "")</f>
        <v/>
      </c>
      <c r="L208" s="29">
        <f>IF(Saldos_Capital_Mensual!K208&gt;0, ROUND(Saldos_Capital_Mensual!K208 * 'Resumen_Cartera'!$Q208, 2), "")</f>
        <v/>
      </c>
      <c r="M208" s="29">
        <f>IF(Saldos_Capital_Mensual!L208&gt;0, ROUND(Saldos_Capital_Mensual!L208 * 'Resumen_Cartera'!$Q208, 2), "")</f>
        <v/>
      </c>
      <c r="N208" s="29">
        <f>IF(Saldos_Capital_Mensual!M208&gt;0, ROUND(Saldos_Capital_Mensual!M208 * 'Resumen_Cartera'!$Q208, 2), "")</f>
        <v/>
      </c>
      <c r="O208" s="29">
        <f>IF(Saldos_Capital_Mensual!N208&gt;0, ROUND(Saldos_Capital_Mensual!N208 * 'Resumen_Cartera'!$Q208, 2), "")</f>
        <v/>
      </c>
      <c r="P208" s="29">
        <f>IF(Saldos_Capital_Mensual!O208&gt;0, ROUND(Saldos_Capital_Mensual!O208 * 'Resumen_Cartera'!$Q208, 2), "")</f>
        <v/>
      </c>
      <c r="Q208" s="29">
        <f>IF(Saldos_Capital_Mensual!P208&gt;0, ROUND(Saldos_Capital_Mensual!P208 * 'Resumen_Cartera'!$Q208, 2), "")</f>
        <v/>
      </c>
      <c r="R208" s="29">
        <f>IF(Saldos_Capital_Mensual!Q208&gt;0, ROUND(Saldos_Capital_Mensual!Q208 * 'Resumen_Cartera'!$Q208, 2), "")</f>
        <v/>
      </c>
      <c r="S208" s="29">
        <f>IF(Saldos_Capital_Mensual!R208&gt;0, ROUND(Saldos_Capital_Mensual!R208 * 'Resumen_Cartera'!$Q208, 2), "")</f>
        <v/>
      </c>
      <c r="T208" s="29">
        <f>IF(Saldos_Capital_Mensual!S208&gt;0, ROUND(Saldos_Capital_Mensual!S208 * 'Resumen_Cartera'!$Q208, 2), "")</f>
        <v/>
      </c>
      <c r="U208" s="29">
        <f>SUM(I208:T208)</f>
        <v/>
      </c>
    </row>
    <row r="209">
      <c r="A209" s="20" t="inlineStr">
        <is>
          <t>0725-0001</t>
        </is>
      </c>
      <c r="B209" s="21" t="inlineStr">
        <is>
          <t>Octavio Cortes Flores</t>
        </is>
      </c>
      <c r="C209" s="21" t="inlineStr">
        <is>
          <t>Rifter Allure</t>
        </is>
      </c>
      <c r="D209" s="20" t="inlineStr">
        <is>
          <t>ACTIVO</t>
        </is>
      </c>
      <c r="E209" s="20" t="inlineStr">
        <is>
          <t>2025-10-29</t>
        </is>
      </c>
      <c r="F209" s="20" t="inlineStr">
        <is>
          <t>2028-10-29</t>
        </is>
      </c>
      <c r="G209" s="22" t="n">
        <v>36</v>
      </c>
      <c r="H209" s="23" t="n">
        <v>324068.97</v>
      </c>
      <c r="I209" s="23">
        <f>ROUND(309284.99 * 'Resumen_Cartera'!$Q209, 2)</f>
        <v/>
      </c>
      <c r="J209" s="23">
        <f>IF(Saldos_Capital_Mensual!I209&gt;0, ROUND(Saldos_Capital_Mensual!I209 * 'Resumen_Cartera'!$Q209, 2), "")</f>
        <v/>
      </c>
      <c r="K209" s="23">
        <f>IF(Saldos_Capital_Mensual!J209&gt;0, ROUND(Saldos_Capital_Mensual!J209 * 'Resumen_Cartera'!$Q209, 2), "")</f>
        <v/>
      </c>
      <c r="L209" s="23">
        <f>IF(Saldos_Capital_Mensual!K209&gt;0, ROUND(Saldos_Capital_Mensual!K209 * 'Resumen_Cartera'!$Q209, 2), "")</f>
        <v/>
      </c>
      <c r="M209" s="23">
        <f>IF(Saldos_Capital_Mensual!L209&gt;0, ROUND(Saldos_Capital_Mensual!L209 * 'Resumen_Cartera'!$Q209, 2), "")</f>
        <v/>
      </c>
      <c r="N209" s="23">
        <f>IF(Saldos_Capital_Mensual!M209&gt;0, ROUND(Saldos_Capital_Mensual!M209 * 'Resumen_Cartera'!$Q209, 2), "")</f>
        <v/>
      </c>
      <c r="O209" s="23">
        <f>IF(Saldos_Capital_Mensual!N209&gt;0, ROUND(Saldos_Capital_Mensual!N209 * 'Resumen_Cartera'!$Q209, 2), "")</f>
        <v/>
      </c>
      <c r="P209" s="23">
        <f>IF(Saldos_Capital_Mensual!O209&gt;0, ROUND(Saldos_Capital_Mensual!O209 * 'Resumen_Cartera'!$Q209, 2), "")</f>
        <v/>
      </c>
      <c r="Q209" s="23">
        <f>IF(Saldos_Capital_Mensual!P209&gt;0, ROUND(Saldos_Capital_Mensual!P209 * 'Resumen_Cartera'!$Q209, 2), "")</f>
        <v/>
      </c>
      <c r="R209" s="23">
        <f>IF(Saldos_Capital_Mensual!Q209&gt;0, ROUND(Saldos_Capital_Mensual!Q209 * 'Resumen_Cartera'!$Q209, 2), "")</f>
        <v/>
      </c>
      <c r="S209" s="23">
        <f>IF(Saldos_Capital_Mensual!R209&gt;0, ROUND(Saldos_Capital_Mensual!R209 * 'Resumen_Cartera'!$Q209, 2), "")</f>
        <v/>
      </c>
      <c r="T209" s="23">
        <f>IF(Saldos_Capital_Mensual!S209&gt;0, ROUND(Saldos_Capital_Mensual!S209 * 'Resumen_Cartera'!$Q209, 2), "")</f>
        <v/>
      </c>
      <c r="U209" s="23">
        <f>SUM(I209:T209)</f>
        <v/>
      </c>
    </row>
    <row r="210">
      <c r="A210" s="26" t="inlineStr">
        <is>
          <t>0726-0001</t>
        </is>
      </c>
      <c r="B210" s="27" t="inlineStr">
        <is>
          <t>Martha Viviana Anguiano Gonzalez</t>
        </is>
      </c>
      <c r="C210" s="27" t="inlineStr">
        <is>
          <t>JT Mojave</t>
        </is>
      </c>
      <c r="D210" s="26" t="inlineStr">
        <is>
          <t>ACTIVO</t>
        </is>
      </c>
      <c r="E210" s="26" t="inlineStr">
        <is>
          <t>2025-10-29</t>
        </is>
      </c>
      <c r="F210" s="26" t="inlineStr">
        <is>
          <t>2029-10-29</t>
        </is>
      </c>
      <c r="G210" s="28" t="n">
        <v>48</v>
      </c>
      <c r="H210" s="29" t="n">
        <v>914163.8</v>
      </c>
      <c r="I210" s="29">
        <f>ROUND(888970.01 * 'Resumen_Cartera'!$Q210, 2)</f>
        <v/>
      </c>
      <c r="J210" s="29">
        <f>IF(Saldos_Capital_Mensual!I210&gt;0, ROUND(Saldos_Capital_Mensual!I210 * 'Resumen_Cartera'!$Q210, 2), "")</f>
        <v/>
      </c>
      <c r="K210" s="29">
        <f>IF(Saldos_Capital_Mensual!J210&gt;0, ROUND(Saldos_Capital_Mensual!J210 * 'Resumen_Cartera'!$Q210, 2), "")</f>
        <v/>
      </c>
      <c r="L210" s="29">
        <f>IF(Saldos_Capital_Mensual!K210&gt;0, ROUND(Saldos_Capital_Mensual!K210 * 'Resumen_Cartera'!$Q210, 2), "")</f>
        <v/>
      </c>
      <c r="M210" s="29">
        <f>IF(Saldos_Capital_Mensual!L210&gt;0, ROUND(Saldos_Capital_Mensual!L210 * 'Resumen_Cartera'!$Q210, 2), "")</f>
        <v/>
      </c>
      <c r="N210" s="29">
        <f>IF(Saldos_Capital_Mensual!M210&gt;0, ROUND(Saldos_Capital_Mensual!M210 * 'Resumen_Cartera'!$Q210, 2), "")</f>
        <v/>
      </c>
      <c r="O210" s="29">
        <f>IF(Saldos_Capital_Mensual!N210&gt;0, ROUND(Saldos_Capital_Mensual!N210 * 'Resumen_Cartera'!$Q210, 2), "")</f>
        <v/>
      </c>
      <c r="P210" s="29">
        <f>IF(Saldos_Capital_Mensual!O210&gt;0, ROUND(Saldos_Capital_Mensual!O210 * 'Resumen_Cartera'!$Q210, 2), "")</f>
        <v/>
      </c>
      <c r="Q210" s="29">
        <f>IF(Saldos_Capital_Mensual!P210&gt;0, ROUND(Saldos_Capital_Mensual!P210 * 'Resumen_Cartera'!$Q210, 2), "")</f>
        <v/>
      </c>
      <c r="R210" s="29">
        <f>IF(Saldos_Capital_Mensual!Q210&gt;0, ROUND(Saldos_Capital_Mensual!Q210 * 'Resumen_Cartera'!$Q210, 2), "")</f>
        <v/>
      </c>
      <c r="S210" s="29">
        <f>IF(Saldos_Capital_Mensual!R210&gt;0, ROUND(Saldos_Capital_Mensual!R210 * 'Resumen_Cartera'!$Q210, 2), "")</f>
        <v/>
      </c>
      <c r="T210" s="29">
        <f>IF(Saldos_Capital_Mensual!S210&gt;0, ROUND(Saldos_Capital_Mensual!S210 * 'Resumen_Cartera'!$Q210, 2), "")</f>
        <v/>
      </c>
      <c r="U210" s="29">
        <f>SUM(I210:T210)</f>
        <v/>
      </c>
    </row>
    <row r="211">
      <c r="A211" s="20" t="inlineStr">
        <is>
          <t>0727-0001</t>
        </is>
      </c>
      <c r="B211" s="21" t="inlineStr">
        <is>
          <t>Edgar Adrian Sainz Vazquez</t>
        </is>
      </c>
      <c r="C211" s="21" t="inlineStr">
        <is>
          <t>1200 Laramie</t>
        </is>
      </c>
      <c r="D211" s="20" t="inlineStr">
        <is>
          <t>ACTIVO</t>
        </is>
      </c>
      <c r="E211" s="20" t="inlineStr">
        <is>
          <t>2025-10-31</t>
        </is>
      </c>
      <c r="F211" s="20" t="inlineStr">
        <is>
          <t>2029-10-31</t>
        </is>
      </c>
      <c r="G211" s="22" t="n">
        <v>48</v>
      </c>
      <c r="H211" s="23" t="n">
        <v>508112.07</v>
      </c>
      <c r="I211" s="23">
        <f>ROUND(493566.68 * 'Resumen_Cartera'!$Q211, 2)</f>
        <v/>
      </c>
      <c r="J211" s="23">
        <f>IF(Saldos_Capital_Mensual!I211&gt;0, ROUND(Saldos_Capital_Mensual!I211 * 'Resumen_Cartera'!$Q211, 2), "")</f>
        <v/>
      </c>
      <c r="K211" s="23">
        <f>IF(Saldos_Capital_Mensual!J211&gt;0, ROUND(Saldos_Capital_Mensual!J211 * 'Resumen_Cartera'!$Q211, 2), "")</f>
        <v/>
      </c>
      <c r="L211" s="23">
        <f>IF(Saldos_Capital_Mensual!K211&gt;0, ROUND(Saldos_Capital_Mensual!K211 * 'Resumen_Cartera'!$Q211, 2), "")</f>
        <v/>
      </c>
      <c r="M211" s="23">
        <f>IF(Saldos_Capital_Mensual!L211&gt;0, ROUND(Saldos_Capital_Mensual!L211 * 'Resumen_Cartera'!$Q211, 2), "")</f>
        <v/>
      </c>
      <c r="N211" s="23">
        <f>IF(Saldos_Capital_Mensual!M211&gt;0, ROUND(Saldos_Capital_Mensual!M211 * 'Resumen_Cartera'!$Q211, 2), "")</f>
        <v/>
      </c>
      <c r="O211" s="23">
        <f>IF(Saldos_Capital_Mensual!N211&gt;0, ROUND(Saldos_Capital_Mensual!N211 * 'Resumen_Cartera'!$Q211, 2), "")</f>
        <v/>
      </c>
      <c r="P211" s="23">
        <f>IF(Saldos_Capital_Mensual!O211&gt;0, ROUND(Saldos_Capital_Mensual!O211 * 'Resumen_Cartera'!$Q211, 2), "")</f>
        <v/>
      </c>
      <c r="Q211" s="23">
        <f>IF(Saldos_Capital_Mensual!P211&gt;0, ROUND(Saldos_Capital_Mensual!P211 * 'Resumen_Cartera'!$Q211, 2), "")</f>
        <v/>
      </c>
      <c r="R211" s="23">
        <f>IF(Saldos_Capital_Mensual!Q211&gt;0, ROUND(Saldos_Capital_Mensual!Q211 * 'Resumen_Cartera'!$Q211, 2), "")</f>
        <v/>
      </c>
      <c r="S211" s="23">
        <f>IF(Saldos_Capital_Mensual!R211&gt;0, ROUND(Saldos_Capital_Mensual!R211 * 'Resumen_Cartera'!$Q211, 2), "")</f>
        <v/>
      </c>
      <c r="T211" s="23">
        <f>IF(Saldos_Capital_Mensual!S211&gt;0, ROUND(Saldos_Capital_Mensual!S211 * 'Resumen_Cartera'!$Q211, 2), "")</f>
        <v/>
      </c>
      <c r="U211" s="23">
        <f>SUM(I211:T211)</f>
        <v/>
      </c>
    </row>
    <row r="212">
      <c r="A212" s="26" t="inlineStr">
        <is>
          <t>0728-0001</t>
        </is>
      </c>
      <c r="B212" s="27" t="inlineStr">
        <is>
          <t>Arrendadora Tequila, S.A. de C.V.</t>
        </is>
      </c>
      <c r="C212" s="27" t="inlineStr">
        <is>
          <t>JEEP 392</t>
        </is>
      </c>
      <c r="D212" s="26" t="inlineStr">
        <is>
          <t>ACTIVO</t>
        </is>
      </c>
      <c r="E212" s="26" t="inlineStr">
        <is>
          <t>2025-11-03</t>
        </is>
      </c>
      <c r="F212" s="26" t="inlineStr">
        <is>
          <t>2028-11-03</t>
        </is>
      </c>
      <c r="G212" s="28" t="n">
        <v>36</v>
      </c>
      <c r="H212" s="29" t="n">
        <v>1494413.79</v>
      </c>
      <c r="I212" s="29">
        <f>ROUND(1449574.74 * 'Resumen_Cartera'!$Q212, 2)</f>
        <v/>
      </c>
      <c r="J212" s="29">
        <f>IF(Saldos_Capital_Mensual!I212&gt;0, ROUND(Saldos_Capital_Mensual!I212 * 'Resumen_Cartera'!$Q212, 2), "")</f>
        <v/>
      </c>
      <c r="K212" s="29">
        <f>IF(Saldos_Capital_Mensual!J212&gt;0, ROUND(Saldos_Capital_Mensual!J212 * 'Resumen_Cartera'!$Q212, 2), "")</f>
        <v/>
      </c>
      <c r="L212" s="29">
        <f>IF(Saldos_Capital_Mensual!K212&gt;0, ROUND(Saldos_Capital_Mensual!K212 * 'Resumen_Cartera'!$Q212, 2), "")</f>
        <v/>
      </c>
      <c r="M212" s="29">
        <f>IF(Saldos_Capital_Mensual!L212&gt;0, ROUND(Saldos_Capital_Mensual!L212 * 'Resumen_Cartera'!$Q212, 2), "")</f>
        <v/>
      </c>
      <c r="N212" s="29">
        <f>IF(Saldos_Capital_Mensual!M212&gt;0, ROUND(Saldos_Capital_Mensual!M212 * 'Resumen_Cartera'!$Q212, 2), "")</f>
        <v/>
      </c>
      <c r="O212" s="29">
        <f>IF(Saldos_Capital_Mensual!N212&gt;0, ROUND(Saldos_Capital_Mensual!N212 * 'Resumen_Cartera'!$Q212, 2), "")</f>
        <v/>
      </c>
      <c r="P212" s="29">
        <f>IF(Saldos_Capital_Mensual!O212&gt;0, ROUND(Saldos_Capital_Mensual!O212 * 'Resumen_Cartera'!$Q212, 2), "")</f>
        <v/>
      </c>
      <c r="Q212" s="29">
        <f>IF(Saldos_Capital_Mensual!P212&gt;0, ROUND(Saldos_Capital_Mensual!P212 * 'Resumen_Cartera'!$Q212, 2), "")</f>
        <v/>
      </c>
      <c r="R212" s="29">
        <f>IF(Saldos_Capital_Mensual!Q212&gt;0, ROUND(Saldos_Capital_Mensual!Q212 * 'Resumen_Cartera'!$Q212, 2), "")</f>
        <v/>
      </c>
      <c r="S212" s="29">
        <f>IF(Saldos_Capital_Mensual!R212&gt;0, ROUND(Saldos_Capital_Mensual!R212 * 'Resumen_Cartera'!$Q212, 2), "")</f>
        <v/>
      </c>
      <c r="T212" s="29">
        <f>IF(Saldos_Capital_Mensual!S212&gt;0, ROUND(Saldos_Capital_Mensual!S212 * 'Resumen_Cartera'!$Q212, 2), "")</f>
        <v/>
      </c>
      <c r="U212" s="29">
        <f>SUM(I212:T212)</f>
        <v/>
      </c>
    </row>
    <row r="213">
      <c r="A213" s="20" t="inlineStr">
        <is>
          <t>0729-0001</t>
        </is>
      </c>
      <c r="B213" s="21" t="inlineStr">
        <is>
          <t>Rubén Bravo Hernández</t>
        </is>
      </c>
      <c r="C213" s="21" t="inlineStr">
        <is>
          <t>Mamut T32 DC</t>
        </is>
      </c>
      <c r="D213" s="20" t="inlineStr">
        <is>
          <t>ACTIVO</t>
        </is>
      </c>
      <c r="E213" s="20" t="inlineStr">
        <is>
          <t>2025-11-11</t>
        </is>
      </c>
      <c r="F213" s="20" t="inlineStr">
        <is>
          <t>2028-11-11</t>
        </is>
      </c>
      <c r="G213" s="22" t="n">
        <v>36</v>
      </c>
      <c r="H213" s="23" t="n">
        <v>268868.97</v>
      </c>
      <c r="I213" s="23">
        <f>ROUND(261971.51 * 'Resumen_Cartera'!$Q213, 2)</f>
        <v/>
      </c>
      <c r="J213" s="23">
        <f>IF(Saldos_Capital_Mensual!I213&gt;0, ROUND(Saldos_Capital_Mensual!I213 * 'Resumen_Cartera'!$Q213, 2), "")</f>
        <v/>
      </c>
      <c r="K213" s="23">
        <f>IF(Saldos_Capital_Mensual!J213&gt;0, ROUND(Saldos_Capital_Mensual!J213 * 'Resumen_Cartera'!$Q213, 2), "")</f>
        <v/>
      </c>
      <c r="L213" s="23">
        <f>IF(Saldos_Capital_Mensual!K213&gt;0, ROUND(Saldos_Capital_Mensual!K213 * 'Resumen_Cartera'!$Q213, 2), "")</f>
        <v/>
      </c>
      <c r="M213" s="23">
        <f>IF(Saldos_Capital_Mensual!L213&gt;0, ROUND(Saldos_Capital_Mensual!L213 * 'Resumen_Cartera'!$Q213, 2), "")</f>
        <v/>
      </c>
      <c r="N213" s="23">
        <f>IF(Saldos_Capital_Mensual!M213&gt;0, ROUND(Saldos_Capital_Mensual!M213 * 'Resumen_Cartera'!$Q213, 2), "")</f>
        <v/>
      </c>
      <c r="O213" s="23">
        <f>IF(Saldos_Capital_Mensual!N213&gt;0, ROUND(Saldos_Capital_Mensual!N213 * 'Resumen_Cartera'!$Q213, 2), "")</f>
        <v/>
      </c>
      <c r="P213" s="23">
        <f>IF(Saldos_Capital_Mensual!O213&gt;0, ROUND(Saldos_Capital_Mensual!O213 * 'Resumen_Cartera'!$Q213, 2), "")</f>
        <v/>
      </c>
      <c r="Q213" s="23">
        <f>IF(Saldos_Capital_Mensual!P213&gt;0, ROUND(Saldos_Capital_Mensual!P213 * 'Resumen_Cartera'!$Q213, 2), "")</f>
        <v/>
      </c>
      <c r="R213" s="23">
        <f>IF(Saldos_Capital_Mensual!Q213&gt;0, ROUND(Saldos_Capital_Mensual!Q213 * 'Resumen_Cartera'!$Q213, 2), "")</f>
        <v/>
      </c>
      <c r="S213" s="23">
        <f>IF(Saldos_Capital_Mensual!R213&gt;0, ROUND(Saldos_Capital_Mensual!R213 * 'Resumen_Cartera'!$Q213, 2), "")</f>
        <v/>
      </c>
      <c r="T213" s="23">
        <f>IF(Saldos_Capital_Mensual!S213&gt;0, ROUND(Saldos_Capital_Mensual!S213 * 'Resumen_Cartera'!$Q213, 2), "")</f>
        <v/>
      </c>
      <c r="U213" s="23">
        <f>SUM(I213:T213)</f>
        <v/>
      </c>
    </row>
    <row r="214">
      <c r="A214" s="26" t="inlineStr">
        <is>
          <t>0730-0001</t>
        </is>
      </c>
      <c r="B214" s="27" t="inlineStr">
        <is>
          <t>Karen Manrique Amaya</t>
        </is>
      </c>
      <c r="C214" s="27" t="inlineStr">
        <is>
          <t>Wrangler</t>
        </is>
      </c>
      <c r="D214" s="26" t="inlineStr">
        <is>
          <t>ACTIVO</t>
        </is>
      </c>
      <c r="E214" s="26" t="inlineStr">
        <is>
          <t>2025-11-24</t>
        </is>
      </c>
      <c r="F214" s="26" t="inlineStr">
        <is>
          <t>2028-11-24</t>
        </is>
      </c>
      <c r="G214" s="28" t="n">
        <v>36</v>
      </c>
      <c r="H214" s="29" t="n">
        <v>884068.97</v>
      </c>
      <c r="I214" s="29">
        <f>ROUND(862548.12 * 'Resumen_Cartera'!$Q214, 2)</f>
        <v/>
      </c>
      <c r="J214" s="29">
        <f>IF(Saldos_Capital_Mensual!I214&gt;0, ROUND(Saldos_Capital_Mensual!I214 * 'Resumen_Cartera'!$Q214, 2), "")</f>
        <v/>
      </c>
      <c r="K214" s="29">
        <f>IF(Saldos_Capital_Mensual!J214&gt;0, ROUND(Saldos_Capital_Mensual!J214 * 'Resumen_Cartera'!$Q214, 2), "")</f>
        <v/>
      </c>
      <c r="L214" s="29">
        <f>IF(Saldos_Capital_Mensual!K214&gt;0, ROUND(Saldos_Capital_Mensual!K214 * 'Resumen_Cartera'!$Q214, 2), "")</f>
        <v/>
      </c>
      <c r="M214" s="29">
        <f>IF(Saldos_Capital_Mensual!L214&gt;0, ROUND(Saldos_Capital_Mensual!L214 * 'Resumen_Cartera'!$Q214, 2), "")</f>
        <v/>
      </c>
      <c r="N214" s="29">
        <f>IF(Saldos_Capital_Mensual!M214&gt;0, ROUND(Saldos_Capital_Mensual!M214 * 'Resumen_Cartera'!$Q214, 2), "")</f>
        <v/>
      </c>
      <c r="O214" s="29">
        <f>IF(Saldos_Capital_Mensual!N214&gt;0, ROUND(Saldos_Capital_Mensual!N214 * 'Resumen_Cartera'!$Q214, 2), "")</f>
        <v/>
      </c>
      <c r="P214" s="29">
        <f>IF(Saldos_Capital_Mensual!O214&gt;0, ROUND(Saldos_Capital_Mensual!O214 * 'Resumen_Cartera'!$Q214, 2), "")</f>
        <v/>
      </c>
      <c r="Q214" s="29">
        <f>IF(Saldos_Capital_Mensual!P214&gt;0, ROUND(Saldos_Capital_Mensual!P214 * 'Resumen_Cartera'!$Q214, 2), "")</f>
        <v/>
      </c>
      <c r="R214" s="29">
        <f>IF(Saldos_Capital_Mensual!Q214&gt;0, ROUND(Saldos_Capital_Mensual!Q214 * 'Resumen_Cartera'!$Q214, 2), "")</f>
        <v/>
      </c>
      <c r="S214" s="29">
        <f>IF(Saldos_Capital_Mensual!R214&gt;0, ROUND(Saldos_Capital_Mensual!R214 * 'Resumen_Cartera'!$Q214, 2), "")</f>
        <v/>
      </c>
      <c r="T214" s="29">
        <f>IF(Saldos_Capital_Mensual!S214&gt;0, ROUND(Saldos_Capital_Mensual!S214 * 'Resumen_Cartera'!$Q214, 2), "")</f>
        <v/>
      </c>
      <c r="U214" s="29">
        <f>SUM(I214:T214)</f>
        <v/>
      </c>
    </row>
    <row r="215">
      <c r="A215" s="20" t="inlineStr">
        <is>
          <t>0731-0001</t>
        </is>
      </c>
      <c r="B215" s="21" t="inlineStr">
        <is>
          <t>Tesselar Soluciones, S.A. de C.V.</t>
        </is>
      </c>
      <c r="C215" s="21" t="inlineStr">
        <is>
          <t>Song Plus</t>
        </is>
      </c>
      <c r="D215" s="20" t="inlineStr">
        <is>
          <t>ACTIVO</t>
        </is>
      </c>
      <c r="E215" s="20" t="inlineStr">
        <is>
          <t>2025-11-20</t>
        </is>
      </c>
      <c r="F215" s="20" t="inlineStr">
        <is>
          <t>2028-11-20</t>
        </is>
      </c>
      <c r="G215" s="22" t="n">
        <v>36</v>
      </c>
      <c r="H215" s="23" t="n">
        <v>427991.38</v>
      </c>
      <c r="I215" s="23">
        <f>ROUND(421708.25 * 'Resumen_Cartera'!$Q215, 2)</f>
        <v/>
      </c>
      <c r="J215" s="23">
        <f>IF(Saldos_Capital_Mensual!I215&gt;0, ROUND(Saldos_Capital_Mensual!I215 * 'Resumen_Cartera'!$Q215, 2), "")</f>
        <v/>
      </c>
      <c r="K215" s="23">
        <f>IF(Saldos_Capital_Mensual!J215&gt;0, ROUND(Saldos_Capital_Mensual!J215 * 'Resumen_Cartera'!$Q215, 2), "")</f>
        <v/>
      </c>
      <c r="L215" s="23">
        <f>IF(Saldos_Capital_Mensual!K215&gt;0, ROUND(Saldos_Capital_Mensual!K215 * 'Resumen_Cartera'!$Q215, 2), "")</f>
        <v/>
      </c>
      <c r="M215" s="23">
        <f>IF(Saldos_Capital_Mensual!L215&gt;0, ROUND(Saldos_Capital_Mensual!L215 * 'Resumen_Cartera'!$Q215, 2), "")</f>
        <v/>
      </c>
      <c r="N215" s="23">
        <f>IF(Saldos_Capital_Mensual!M215&gt;0, ROUND(Saldos_Capital_Mensual!M215 * 'Resumen_Cartera'!$Q215, 2), "")</f>
        <v/>
      </c>
      <c r="O215" s="23">
        <f>IF(Saldos_Capital_Mensual!N215&gt;0, ROUND(Saldos_Capital_Mensual!N215 * 'Resumen_Cartera'!$Q215, 2), "")</f>
        <v/>
      </c>
      <c r="P215" s="23">
        <f>IF(Saldos_Capital_Mensual!O215&gt;0, ROUND(Saldos_Capital_Mensual!O215 * 'Resumen_Cartera'!$Q215, 2), "")</f>
        <v/>
      </c>
      <c r="Q215" s="23">
        <f>IF(Saldos_Capital_Mensual!P215&gt;0, ROUND(Saldos_Capital_Mensual!P215 * 'Resumen_Cartera'!$Q215, 2), "")</f>
        <v/>
      </c>
      <c r="R215" s="23">
        <f>IF(Saldos_Capital_Mensual!Q215&gt;0, ROUND(Saldos_Capital_Mensual!Q215 * 'Resumen_Cartera'!$Q215, 2), "")</f>
        <v/>
      </c>
      <c r="S215" s="23">
        <f>IF(Saldos_Capital_Mensual!R215&gt;0, ROUND(Saldos_Capital_Mensual!R215 * 'Resumen_Cartera'!$Q215, 2), "")</f>
        <v/>
      </c>
      <c r="T215" s="23">
        <f>IF(Saldos_Capital_Mensual!S215&gt;0, ROUND(Saldos_Capital_Mensual!S215 * 'Resumen_Cartera'!$Q215, 2), "")</f>
        <v/>
      </c>
      <c r="U215" s="23">
        <f>SUM(I215:T215)</f>
        <v/>
      </c>
    </row>
    <row r="216">
      <c r="A216" s="26" t="inlineStr">
        <is>
          <t>0731-0002</t>
        </is>
      </c>
      <c r="B216" s="27" t="inlineStr">
        <is>
          <t>Tesselar Soluciones, S.A. de C.V.</t>
        </is>
      </c>
      <c r="C216" s="27" t="inlineStr">
        <is>
          <t>Arona Style</t>
        </is>
      </c>
      <c r="D216" s="26" t="inlineStr">
        <is>
          <t>ACTIVO</t>
        </is>
      </c>
      <c r="E216" s="26" t="inlineStr">
        <is>
          <t>2025-12-26</t>
        </is>
      </c>
      <c r="F216" s="26" t="inlineStr">
        <is>
          <t>2029-12-26</t>
        </is>
      </c>
      <c r="G216" s="28" t="n">
        <v>48</v>
      </c>
      <c r="H216" s="29" t="n">
        <v>199987.07</v>
      </c>
      <c r="I216" s="29">
        <f>ROUND(199062.57 * 'Resumen_Cartera'!$Q216, 2)</f>
        <v/>
      </c>
      <c r="J216" s="29">
        <f>IF(Saldos_Capital_Mensual!I216&gt;0, ROUND(Saldos_Capital_Mensual!I216 * 'Resumen_Cartera'!$Q216, 2), "")</f>
        <v/>
      </c>
      <c r="K216" s="29">
        <f>IF(Saldos_Capital_Mensual!J216&gt;0, ROUND(Saldos_Capital_Mensual!J216 * 'Resumen_Cartera'!$Q216, 2), "")</f>
        <v/>
      </c>
      <c r="L216" s="29">
        <f>IF(Saldos_Capital_Mensual!K216&gt;0, ROUND(Saldos_Capital_Mensual!K216 * 'Resumen_Cartera'!$Q216, 2), "")</f>
        <v/>
      </c>
      <c r="M216" s="29">
        <f>IF(Saldos_Capital_Mensual!L216&gt;0, ROUND(Saldos_Capital_Mensual!L216 * 'Resumen_Cartera'!$Q216, 2), "")</f>
        <v/>
      </c>
      <c r="N216" s="29">
        <f>IF(Saldos_Capital_Mensual!M216&gt;0, ROUND(Saldos_Capital_Mensual!M216 * 'Resumen_Cartera'!$Q216, 2), "")</f>
        <v/>
      </c>
      <c r="O216" s="29">
        <f>IF(Saldos_Capital_Mensual!N216&gt;0, ROUND(Saldos_Capital_Mensual!N216 * 'Resumen_Cartera'!$Q216, 2), "")</f>
        <v/>
      </c>
      <c r="P216" s="29">
        <f>IF(Saldos_Capital_Mensual!O216&gt;0, ROUND(Saldos_Capital_Mensual!O216 * 'Resumen_Cartera'!$Q216, 2), "")</f>
        <v/>
      </c>
      <c r="Q216" s="29">
        <f>IF(Saldos_Capital_Mensual!P216&gt;0, ROUND(Saldos_Capital_Mensual!P216 * 'Resumen_Cartera'!$Q216, 2), "")</f>
        <v/>
      </c>
      <c r="R216" s="29">
        <f>IF(Saldos_Capital_Mensual!Q216&gt;0, ROUND(Saldos_Capital_Mensual!Q216 * 'Resumen_Cartera'!$Q216, 2), "")</f>
        <v/>
      </c>
      <c r="S216" s="29">
        <f>IF(Saldos_Capital_Mensual!R216&gt;0, ROUND(Saldos_Capital_Mensual!R216 * 'Resumen_Cartera'!$Q216, 2), "")</f>
        <v/>
      </c>
      <c r="T216" s="29">
        <f>IF(Saldos_Capital_Mensual!S216&gt;0, ROUND(Saldos_Capital_Mensual!S216 * 'Resumen_Cartera'!$Q216, 2), "")</f>
        <v/>
      </c>
      <c r="U216" s="29">
        <f>SUM(I216:T216)</f>
        <v/>
      </c>
    </row>
    <row r="217">
      <c r="A217" s="20" t="inlineStr">
        <is>
          <t>0732-0001</t>
        </is>
      </c>
      <c r="B217" s="21" t="inlineStr">
        <is>
          <t>Koonol Food Traders, S.A. de C.V.</t>
        </is>
      </c>
      <c r="C217" s="21" t="inlineStr">
        <is>
          <t>K4 Turbo</t>
        </is>
      </c>
      <c r="D217" s="20" t="inlineStr">
        <is>
          <t>ACTIVO</t>
        </is>
      </c>
      <c r="E217" s="20" t="inlineStr">
        <is>
          <t>2025-11-26</t>
        </is>
      </c>
      <c r="F217" s="20" t="inlineStr">
        <is>
          <t>2028-11-26</t>
        </is>
      </c>
      <c r="G217" s="22" t="n">
        <v>36</v>
      </c>
      <c r="H217" s="23" t="n">
        <v>323262.93</v>
      </c>
      <c r="I217" s="23">
        <f>ROUND(318177.68 * 'Resumen_Cartera'!$Q217, 2)</f>
        <v/>
      </c>
      <c r="J217" s="23">
        <f>IF(Saldos_Capital_Mensual!I217&gt;0, ROUND(Saldos_Capital_Mensual!I217 * 'Resumen_Cartera'!$Q217, 2), "")</f>
        <v/>
      </c>
      <c r="K217" s="23">
        <f>IF(Saldos_Capital_Mensual!J217&gt;0, ROUND(Saldos_Capital_Mensual!J217 * 'Resumen_Cartera'!$Q217, 2), "")</f>
        <v/>
      </c>
      <c r="L217" s="23">
        <f>IF(Saldos_Capital_Mensual!K217&gt;0, ROUND(Saldos_Capital_Mensual!K217 * 'Resumen_Cartera'!$Q217, 2), "")</f>
        <v/>
      </c>
      <c r="M217" s="23">
        <f>IF(Saldos_Capital_Mensual!L217&gt;0, ROUND(Saldos_Capital_Mensual!L217 * 'Resumen_Cartera'!$Q217, 2), "")</f>
        <v/>
      </c>
      <c r="N217" s="23">
        <f>IF(Saldos_Capital_Mensual!M217&gt;0, ROUND(Saldos_Capital_Mensual!M217 * 'Resumen_Cartera'!$Q217, 2), "")</f>
        <v/>
      </c>
      <c r="O217" s="23">
        <f>IF(Saldos_Capital_Mensual!N217&gt;0, ROUND(Saldos_Capital_Mensual!N217 * 'Resumen_Cartera'!$Q217, 2), "")</f>
        <v/>
      </c>
      <c r="P217" s="23">
        <f>IF(Saldos_Capital_Mensual!O217&gt;0, ROUND(Saldos_Capital_Mensual!O217 * 'Resumen_Cartera'!$Q217, 2), "")</f>
        <v/>
      </c>
      <c r="Q217" s="23">
        <f>IF(Saldos_Capital_Mensual!P217&gt;0, ROUND(Saldos_Capital_Mensual!P217 * 'Resumen_Cartera'!$Q217, 2), "")</f>
        <v/>
      </c>
      <c r="R217" s="23">
        <f>IF(Saldos_Capital_Mensual!Q217&gt;0, ROUND(Saldos_Capital_Mensual!Q217 * 'Resumen_Cartera'!$Q217, 2), "")</f>
        <v/>
      </c>
      <c r="S217" s="23">
        <f>IF(Saldos_Capital_Mensual!R217&gt;0, ROUND(Saldos_Capital_Mensual!R217 * 'Resumen_Cartera'!$Q217, 2), "")</f>
        <v/>
      </c>
      <c r="T217" s="23">
        <f>IF(Saldos_Capital_Mensual!S217&gt;0, ROUND(Saldos_Capital_Mensual!S217 * 'Resumen_Cartera'!$Q217, 2), "")</f>
        <v/>
      </c>
      <c r="U217" s="23">
        <f>SUM(I217:T217)</f>
        <v/>
      </c>
    </row>
    <row r="218">
      <c r="A218" s="26" t="inlineStr">
        <is>
          <t>0733-0001</t>
        </is>
      </c>
      <c r="B218" s="27" t="inlineStr">
        <is>
          <t>Alejandro Arias Maldonado</t>
        </is>
      </c>
      <c r="C218" s="27" t="inlineStr">
        <is>
          <t>Wrangler</t>
        </is>
      </c>
      <c r="D218" s="26" t="inlineStr">
        <is>
          <t>ACTIVO</t>
        </is>
      </c>
      <c r="E218" s="26" t="inlineStr">
        <is>
          <t>2025-11-28</t>
        </is>
      </c>
      <c r="F218" s="26" t="inlineStr">
        <is>
          <t>2029-11-28</t>
        </is>
      </c>
      <c r="G218" s="28" t="n">
        <v>48</v>
      </c>
      <c r="H218" s="29" t="n">
        <v>736750</v>
      </c>
      <c r="I218" s="29">
        <f>ROUND(723394.41 * 'Resumen_Cartera'!$Q218, 2)</f>
        <v/>
      </c>
      <c r="J218" s="29">
        <f>IF(Saldos_Capital_Mensual!I218&gt;0, ROUND(Saldos_Capital_Mensual!I218 * 'Resumen_Cartera'!$Q218, 2), "")</f>
        <v/>
      </c>
      <c r="K218" s="29">
        <f>IF(Saldos_Capital_Mensual!J218&gt;0, ROUND(Saldos_Capital_Mensual!J218 * 'Resumen_Cartera'!$Q218, 2), "")</f>
        <v/>
      </c>
      <c r="L218" s="29">
        <f>IF(Saldos_Capital_Mensual!K218&gt;0, ROUND(Saldos_Capital_Mensual!K218 * 'Resumen_Cartera'!$Q218, 2), "")</f>
        <v/>
      </c>
      <c r="M218" s="29">
        <f>IF(Saldos_Capital_Mensual!L218&gt;0, ROUND(Saldos_Capital_Mensual!L218 * 'Resumen_Cartera'!$Q218, 2), "")</f>
        <v/>
      </c>
      <c r="N218" s="29">
        <f>IF(Saldos_Capital_Mensual!M218&gt;0, ROUND(Saldos_Capital_Mensual!M218 * 'Resumen_Cartera'!$Q218, 2), "")</f>
        <v/>
      </c>
      <c r="O218" s="29">
        <f>IF(Saldos_Capital_Mensual!N218&gt;0, ROUND(Saldos_Capital_Mensual!N218 * 'Resumen_Cartera'!$Q218, 2), "")</f>
        <v/>
      </c>
      <c r="P218" s="29">
        <f>IF(Saldos_Capital_Mensual!O218&gt;0, ROUND(Saldos_Capital_Mensual!O218 * 'Resumen_Cartera'!$Q218, 2), "")</f>
        <v/>
      </c>
      <c r="Q218" s="29">
        <f>IF(Saldos_Capital_Mensual!P218&gt;0, ROUND(Saldos_Capital_Mensual!P218 * 'Resumen_Cartera'!$Q218, 2), "")</f>
        <v/>
      </c>
      <c r="R218" s="29">
        <f>IF(Saldos_Capital_Mensual!Q218&gt;0, ROUND(Saldos_Capital_Mensual!Q218 * 'Resumen_Cartera'!$Q218, 2), "")</f>
        <v/>
      </c>
      <c r="S218" s="29">
        <f>IF(Saldos_Capital_Mensual!R218&gt;0, ROUND(Saldos_Capital_Mensual!R218 * 'Resumen_Cartera'!$Q218, 2), "")</f>
        <v/>
      </c>
      <c r="T218" s="29">
        <f>IF(Saldos_Capital_Mensual!S218&gt;0, ROUND(Saldos_Capital_Mensual!S218 * 'Resumen_Cartera'!$Q218, 2), "")</f>
        <v/>
      </c>
      <c r="U218" s="29">
        <f>SUM(I218:T218)</f>
        <v/>
      </c>
    </row>
    <row r="219">
      <c r="A219" s="20" t="inlineStr">
        <is>
          <t>0734-0001</t>
        </is>
      </c>
      <c r="B219" s="21" t="inlineStr">
        <is>
          <t>Nutrientes Agricolas de Colima, S. de R.L. de C.V.</t>
        </is>
      </c>
      <c r="C219" s="21" t="inlineStr">
        <is>
          <t>1200 TRADESMAN RC</t>
        </is>
      </c>
      <c r="D219" s="20" t="inlineStr">
        <is>
          <t>ACTIVO</t>
        </is>
      </c>
      <c r="E219" s="20" t="inlineStr">
        <is>
          <t>2026-01-06</t>
        </is>
      </c>
      <c r="F219" s="20" t="inlineStr">
        <is>
          <t>2029-01-06</t>
        </is>
      </c>
      <c r="G219" s="22" t="n">
        <v>36</v>
      </c>
      <c r="H219" s="23" t="n">
        <v>313724.14</v>
      </c>
      <c r="I219" s="23">
        <f>ROUND('Resumen_Cartera'!$K219 * 'Resumen_Cartera'!$Q219, 2)</f>
        <v/>
      </c>
      <c r="J219" s="23">
        <f>IF(Saldos_Capital_Mensual!I219&gt;0, ROUND(Saldos_Capital_Mensual!I219 * 'Resumen_Cartera'!$Q219, 2), "")</f>
        <v/>
      </c>
      <c r="K219" s="23">
        <f>IF(Saldos_Capital_Mensual!J219&gt;0, ROUND(Saldos_Capital_Mensual!J219 * 'Resumen_Cartera'!$Q219, 2), "")</f>
        <v/>
      </c>
      <c r="L219" s="23">
        <f>IF(Saldos_Capital_Mensual!K219&gt;0, ROUND(Saldos_Capital_Mensual!K219 * 'Resumen_Cartera'!$Q219, 2), "")</f>
        <v/>
      </c>
      <c r="M219" s="23">
        <f>IF(Saldos_Capital_Mensual!L219&gt;0, ROUND(Saldos_Capital_Mensual!L219 * 'Resumen_Cartera'!$Q219, 2), "")</f>
        <v/>
      </c>
      <c r="N219" s="23">
        <f>IF(Saldos_Capital_Mensual!M219&gt;0, ROUND(Saldos_Capital_Mensual!M219 * 'Resumen_Cartera'!$Q219, 2), "")</f>
        <v/>
      </c>
      <c r="O219" s="23">
        <f>IF(Saldos_Capital_Mensual!N219&gt;0, ROUND(Saldos_Capital_Mensual!N219 * 'Resumen_Cartera'!$Q219, 2), "")</f>
        <v/>
      </c>
      <c r="P219" s="23">
        <f>IF(Saldos_Capital_Mensual!O219&gt;0, ROUND(Saldos_Capital_Mensual!O219 * 'Resumen_Cartera'!$Q219, 2), "")</f>
        <v/>
      </c>
      <c r="Q219" s="23">
        <f>IF(Saldos_Capital_Mensual!P219&gt;0, ROUND(Saldos_Capital_Mensual!P219 * 'Resumen_Cartera'!$Q219, 2), "")</f>
        <v/>
      </c>
      <c r="R219" s="23">
        <f>IF(Saldos_Capital_Mensual!Q219&gt;0, ROUND(Saldos_Capital_Mensual!Q219 * 'Resumen_Cartera'!$Q219, 2), "")</f>
        <v/>
      </c>
      <c r="S219" s="23">
        <f>IF(Saldos_Capital_Mensual!R219&gt;0, ROUND(Saldos_Capital_Mensual!R219 * 'Resumen_Cartera'!$Q219, 2), "")</f>
        <v/>
      </c>
      <c r="T219" s="23">
        <f>IF(Saldos_Capital_Mensual!S219&gt;0, ROUND(Saldos_Capital_Mensual!S219 * 'Resumen_Cartera'!$Q219, 2), "")</f>
        <v/>
      </c>
      <c r="U219" s="23">
        <f>SUM(I219:T219)</f>
        <v/>
      </c>
    </row>
    <row r="220">
      <c r="A220" s="26" t="inlineStr">
        <is>
          <t>0734-0002</t>
        </is>
      </c>
      <c r="B220" s="27" t="inlineStr">
        <is>
          <t>Nutrientes Agricolas de Colima, S. de R.L. de C.V.</t>
        </is>
      </c>
      <c r="C220" s="27" t="inlineStr">
        <is>
          <t>1200 TRADESMAN CHASIS CABINA</t>
        </is>
      </c>
      <c r="D220" s="26" t="inlineStr">
        <is>
          <t>ACTIVO</t>
        </is>
      </c>
      <c r="E220" s="26" t="inlineStr">
        <is>
          <t>2026-01-12</t>
        </is>
      </c>
      <c r="F220" s="26" t="inlineStr">
        <is>
          <t>2029-01-12</t>
        </is>
      </c>
      <c r="G220" s="28" t="n">
        <v>36</v>
      </c>
      <c r="H220" s="29" t="n">
        <v>339475.86</v>
      </c>
      <c r="I220" s="29">
        <f>ROUND('Resumen_Cartera'!$K220 * 'Resumen_Cartera'!$Q220, 2)</f>
        <v/>
      </c>
      <c r="J220" s="29">
        <f>IF(Saldos_Capital_Mensual!I220&gt;0, ROUND(Saldos_Capital_Mensual!I220 * 'Resumen_Cartera'!$Q220, 2), "")</f>
        <v/>
      </c>
      <c r="K220" s="29">
        <f>IF(Saldos_Capital_Mensual!J220&gt;0, ROUND(Saldos_Capital_Mensual!J220 * 'Resumen_Cartera'!$Q220, 2), "")</f>
        <v/>
      </c>
      <c r="L220" s="29">
        <f>IF(Saldos_Capital_Mensual!K220&gt;0, ROUND(Saldos_Capital_Mensual!K220 * 'Resumen_Cartera'!$Q220, 2), "")</f>
        <v/>
      </c>
      <c r="M220" s="29">
        <f>IF(Saldos_Capital_Mensual!L220&gt;0, ROUND(Saldos_Capital_Mensual!L220 * 'Resumen_Cartera'!$Q220, 2), "")</f>
        <v/>
      </c>
      <c r="N220" s="29">
        <f>IF(Saldos_Capital_Mensual!M220&gt;0, ROUND(Saldos_Capital_Mensual!M220 * 'Resumen_Cartera'!$Q220, 2), "")</f>
        <v/>
      </c>
      <c r="O220" s="29">
        <f>IF(Saldos_Capital_Mensual!N220&gt;0, ROUND(Saldos_Capital_Mensual!N220 * 'Resumen_Cartera'!$Q220, 2), "")</f>
        <v/>
      </c>
      <c r="P220" s="29">
        <f>IF(Saldos_Capital_Mensual!O220&gt;0, ROUND(Saldos_Capital_Mensual!O220 * 'Resumen_Cartera'!$Q220, 2), "")</f>
        <v/>
      </c>
      <c r="Q220" s="29">
        <f>IF(Saldos_Capital_Mensual!P220&gt;0, ROUND(Saldos_Capital_Mensual!P220 * 'Resumen_Cartera'!$Q220, 2), "")</f>
        <v/>
      </c>
      <c r="R220" s="29">
        <f>IF(Saldos_Capital_Mensual!Q220&gt;0, ROUND(Saldos_Capital_Mensual!Q220 * 'Resumen_Cartera'!$Q220, 2), "")</f>
        <v/>
      </c>
      <c r="S220" s="29">
        <f>IF(Saldos_Capital_Mensual!R220&gt;0, ROUND(Saldos_Capital_Mensual!R220 * 'Resumen_Cartera'!$Q220, 2), "")</f>
        <v/>
      </c>
      <c r="T220" s="29">
        <f>IF(Saldos_Capital_Mensual!S220&gt;0, ROUND(Saldos_Capital_Mensual!S220 * 'Resumen_Cartera'!$Q220, 2), "")</f>
        <v/>
      </c>
      <c r="U220" s="29">
        <f>SUM(I220:T220)</f>
        <v/>
      </c>
    </row>
    <row r="221">
      <c r="A221" s="20" t="inlineStr">
        <is>
          <t>0735-0001</t>
        </is>
      </c>
      <c r="B221" s="21" t="inlineStr">
        <is>
          <t>Francisco Zepeda Covarrubias</t>
        </is>
      </c>
      <c r="C221" s="21" t="inlineStr">
        <is>
          <t>Territory Trend 1.5L Hibrido</t>
        </is>
      </c>
      <c r="D221" s="20" t="inlineStr">
        <is>
          <t>ACTIVO</t>
        </is>
      </c>
      <c r="E221" s="20" t="inlineStr">
        <is>
          <t>2025-12-04</t>
        </is>
      </c>
      <c r="F221" s="20" t="inlineStr">
        <is>
          <t>2028-12-04</t>
        </is>
      </c>
      <c r="G221" s="22" t="n">
        <v>36</v>
      </c>
      <c r="H221" s="23" t="n">
        <v>482689.66</v>
      </c>
      <c r="I221" s="23">
        <f>ROUND(475548.15 * 'Resumen_Cartera'!$Q221, 2)</f>
        <v/>
      </c>
      <c r="J221" s="23">
        <f>IF(Saldos_Capital_Mensual!I221&gt;0, ROUND(Saldos_Capital_Mensual!I221 * 'Resumen_Cartera'!$Q221, 2), "")</f>
        <v/>
      </c>
      <c r="K221" s="23">
        <f>IF(Saldos_Capital_Mensual!J221&gt;0, ROUND(Saldos_Capital_Mensual!J221 * 'Resumen_Cartera'!$Q221, 2), "")</f>
        <v/>
      </c>
      <c r="L221" s="23">
        <f>IF(Saldos_Capital_Mensual!K221&gt;0, ROUND(Saldos_Capital_Mensual!K221 * 'Resumen_Cartera'!$Q221, 2), "")</f>
        <v/>
      </c>
      <c r="M221" s="23">
        <f>IF(Saldos_Capital_Mensual!L221&gt;0, ROUND(Saldos_Capital_Mensual!L221 * 'Resumen_Cartera'!$Q221, 2), "")</f>
        <v/>
      </c>
      <c r="N221" s="23">
        <f>IF(Saldos_Capital_Mensual!M221&gt;0, ROUND(Saldos_Capital_Mensual!M221 * 'Resumen_Cartera'!$Q221, 2), "")</f>
        <v/>
      </c>
      <c r="O221" s="23">
        <f>IF(Saldos_Capital_Mensual!N221&gt;0, ROUND(Saldos_Capital_Mensual!N221 * 'Resumen_Cartera'!$Q221, 2), "")</f>
        <v/>
      </c>
      <c r="P221" s="23">
        <f>IF(Saldos_Capital_Mensual!O221&gt;0, ROUND(Saldos_Capital_Mensual!O221 * 'Resumen_Cartera'!$Q221, 2), "")</f>
        <v/>
      </c>
      <c r="Q221" s="23">
        <f>IF(Saldos_Capital_Mensual!P221&gt;0, ROUND(Saldos_Capital_Mensual!P221 * 'Resumen_Cartera'!$Q221, 2), "")</f>
        <v/>
      </c>
      <c r="R221" s="23">
        <f>IF(Saldos_Capital_Mensual!Q221&gt;0, ROUND(Saldos_Capital_Mensual!Q221 * 'Resumen_Cartera'!$Q221, 2), "")</f>
        <v/>
      </c>
      <c r="S221" s="23">
        <f>IF(Saldos_Capital_Mensual!R221&gt;0, ROUND(Saldos_Capital_Mensual!R221 * 'Resumen_Cartera'!$Q221, 2), "")</f>
        <v/>
      </c>
      <c r="T221" s="23">
        <f>IF(Saldos_Capital_Mensual!S221&gt;0, ROUND(Saldos_Capital_Mensual!S221 * 'Resumen_Cartera'!$Q221, 2), "")</f>
        <v/>
      </c>
      <c r="U221" s="23">
        <f>SUM(I221:T221)</f>
        <v/>
      </c>
    </row>
    <row r="222">
      <c r="A222" s="26" t="inlineStr">
        <is>
          <t>0736-0001</t>
        </is>
      </c>
      <c r="B222" s="27" t="inlineStr">
        <is>
          <t>Industrial Castillo de Tequila S.A. de C.V.</t>
        </is>
      </c>
      <c r="C222" s="27" t="inlineStr">
        <is>
          <t>700 TRADESMAN CREW CAB</t>
        </is>
      </c>
      <c r="D222" s="26" t="inlineStr">
        <is>
          <t>ACTIVO</t>
        </is>
      </c>
      <c r="E222" s="26" t="inlineStr">
        <is>
          <t>2025-12-11</t>
        </is>
      </c>
      <c r="F222" s="26" t="inlineStr">
        <is>
          <t>2029-12-11</t>
        </is>
      </c>
      <c r="G222" s="28" t="n">
        <v>48</v>
      </c>
      <c r="H222" s="29" t="n">
        <v>181824.83</v>
      </c>
      <c r="I222" s="29">
        <f>ROUND(180483.79 * 'Resumen_Cartera'!$Q222, 2)</f>
        <v/>
      </c>
      <c r="J222" s="29">
        <f>IF(Saldos_Capital_Mensual!I222&gt;0, ROUND(Saldos_Capital_Mensual!I222 * 'Resumen_Cartera'!$Q222, 2), "")</f>
        <v/>
      </c>
      <c r="K222" s="29">
        <f>IF(Saldos_Capital_Mensual!J222&gt;0, ROUND(Saldos_Capital_Mensual!J222 * 'Resumen_Cartera'!$Q222, 2), "")</f>
        <v/>
      </c>
      <c r="L222" s="29">
        <f>IF(Saldos_Capital_Mensual!K222&gt;0, ROUND(Saldos_Capital_Mensual!K222 * 'Resumen_Cartera'!$Q222, 2), "")</f>
        <v/>
      </c>
      <c r="M222" s="29">
        <f>IF(Saldos_Capital_Mensual!L222&gt;0, ROUND(Saldos_Capital_Mensual!L222 * 'Resumen_Cartera'!$Q222, 2), "")</f>
        <v/>
      </c>
      <c r="N222" s="29">
        <f>IF(Saldos_Capital_Mensual!M222&gt;0, ROUND(Saldos_Capital_Mensual!M222 * 'Resumen_Cartera'!$Q222, 2), "")</f>
        <v/>
      </c>
      <c r="O222" s="29">
        <f>IF(Saldos_Capital_Mensual!N222&gt;0, ROUND(Saldos_Capital_Mensual!N222 * 'Resumen_Cartera'!$Q222, 2), "")</f>
        <v/>
      </c>
      <c r="P222" s="29">
        <f>IF(Saldos_Capital_Mensual!O222&gt;0, ROUND(Saldos_Capital_Mensual!O222 * 'Resumen_Cartera'!$Q222, 2), "")</f>
        <v/>
      </c>
      <c r="Q222" s="29">
        <f>IF(Saldos_Capital_Mensual!P222&gt;0, ROUND(Saldos_Capital_Mensual!P222 * 'Resumen_Cartera'!$Q222, 2), "")</f>
        <v/>
      </c>
      <c r="R222" s="29">
        <f>IF(Saldos_Capital_Mensual!Q222&gt;0, ROUND(Saldos_Capital_Mensual!Q222 * 'Resumen_Cartera'!$Q222, 2), "")</f>
        <v/>
      </c>
      <c r="S222" s="29">
        <f>IF(Saldos_Capital_Mensual!R222&gt;0, ROUND(Saldos_Capital_Mensual!R222 * 'Resumen_Cartera'!$Q222, 2), "")</f>
        <v/>
      </c>
      <c r="T222" s="29">
        <f>IF(Saldos_Capital_Mensual!S222&gt;0, ROUND(Saldos_Capital_Mensual!S222 * 'Resumen_Cartera'!$Q222, 2), "")</f>
        <v/>
      </c>
      <c r="U222" s="29">
        <f>SUM(I222:T222)</f>
        <v/>
      </c>
    </row>
    <row r="223">
      <c r="A223" s="20" t="inlineStr">
        <is>
          <t>0737-0001</t>
        </is>
      </c>
      <c r="B223" s="21" t="inlineStr">
        <is>
          <t>Nicola Briani</t>
        </is>
      </c>
      <c r="C223" s="21" t="inlineStr">
        <is>
          <t>T1 Savage</t>
        </is>
      </c>
      <c r="D223" s="20" t="inlineStr">
        <is>
          <t>ACTIVO</t>
        </is>
      </c>
      <c r="E223" s="20" t="inlineStr">
        <is>
          <t>2025-12-12</t>
        </is>
      </c>
      <c r="F223" s="20" t="inlineStr">
        <is>
          <t>2029-12-12</t>
        </is>
      </c>
      <c r="G223" s="22" t="n">
        <v>48</v>
      </c>
      <c r="H223" s="23" t="n">
        <v>392181.03</v>
      </c>
      <c r="I223" s="23">
        <f>ROUND(388673.59 * 'Resumen_Cartera'!$Q223, 2)</f>
        <v/>
      </c>
      <c r="J223" s="23">
        <f>IF(Saldos_Capital_Mensual!I223&gt;0, ROUND(Saldos_Capital_Mensual!I223 * 'Resumen_Cartera'!$Q223, 2), "")</f>
        <v/>
      </c>
      <c r="K223" s="23">
        <f>IF(Saldos_Capital_Mensual!J223&gt;0, ROUND(Saldos_Capital_Mensual!J223 * 'Resumen_Cartera'!$Q223, 2), "")</f>
        <v/>
      </c>
      <c r="L223" s="23">
        <f>IF(Saldos_Capital_Mensual!K223&gt;0, ROUND(Saldos_Capital_Mensual!K223 * 'Resumen_Cartera'!$Q223, 2), "")</f>
        <v/>
      </c>
      <c r="M223" s="23">
        <f>IF(Saldos_Capital_Mensual!L223&gt;0, ROUND(Saldos_Capital_Mensual!L223 * 'Resumen_Cartera'!$Q223, 2), "")</f>
        <v/>
      </c>
      <c r="N223" s="23">
        <f>IF(Saldos_Capital_Mensual!M223&gt;0, ROUND(Saldos_Capital_Mensual!M223 * 'Resumen_Cartera'!$Q223, 2), "")</f>
        <v/>
      </c>
      <c r="O223" s="23">
        <f>IF(Saldos_Capital_Mensual!N223&gt;0, ROUND(Saldos_Capital_Mensual!N223 * 'Resumen_Cartera'!$Q223, 2), "")</f>
        <v/>
      </c>
      <c r="P223" s="23">
        <f>IF(Saldos_Capital_Mensual!O223&gt;0, ROUND(Saldos_Capital_Mensual!O223 * 'Resumen_Cartera'!$Q223, 2), "")</f>
        <v/>
      </c>
      <c r="Q223" s="23">
        <f>IF(Saldos_Capital_Mensual!P223&gt;0, ROUND(Saldos_Capital_Mensual!P223 * 'Resumen_Cartera'!$Q223, 2), "")</f>
        <v/>
      </c>
      <c r="R223" s="23">
        <f>IF(Saldos_Capital_Mensual!Q223&gt;0, ROUND(Saldos_Capital_Mensual!Q223 * 'Resumen_Cartera'!$Q223, 2), "")</f>
        <v/>
      </c>
      <c r="S223" s="23">
        <f>IF(Saldos_Capital_Mensual!R223&gt;0, ROUND(Saldos_Capital_Mensual!R223 * 'Resumen_Cartera'!$Q223, 2), "")</f>
        <v/>
      </c>
      <c r="T223" s="23">
        <f>IF(Saldos_Capital_Mensual!S223&gt;0, ROUND(Saldos_Capital_Mensual!S223 * 'Resumen_Cartera'!$Q223, 2), "")</f>
        <v/>
      </c>
      <c r="U223" s="23">
        <f>SUM(I223:T223)</f>
        <v/>
      </c>
    </row>
    <row r="224">
      <c r="A224" s="26" t="inlineStr">
        <is>
          <t>0738-0001</t>
        </is>
      </c>
      <c r="B224" s="27" t="inlineStr">
        <is>
          <t>Vinaria Distribución S.A.S.</t>
        </is>
      </c>
      <c r="C224" s="27" t="inlineStr">
        <is>
          <t>700 BIGHORN "S" CREW CAB CVT</t>
        </is>
      </c>
      <c r="D224" s="26" t="inlineStr">
        <is>
          <t>ACTIVO</t>
        </is>
      </c>
      <c r="E224" s="26" t="inlineStr">
        <is>
          <t>2025-12-24</t>
        </is>
      </c>
      <c r="F224" s="26" t="inlineStr">
        <is>
          <t>2028-12-24</t>
        </is>
      </c>
      <c r="G224" s="28" t="n">
        <v>36</v>
      </c>
      <c r="H224" s="29" t="n">
        <v>260025.86</v>
      </c>
      <c r="I224" s="29">
        <f>ROUND(256254.15 * 'Resumen_Cartera'!$Q224, 2)</f>
        <v/>
      </c>
      <c r="J224" s="29">
        <f>IF(Saldos_Capital_Mensual!I224&gt;0, ROUND(Saldos_Capital_Mensual!I224 * 'Resumen_Cartera'!$Q224, 2), "")</f>
        <v/>
      </c>
      <c r="K224" s="29">
        <f>IF(Saldos_Capital_Mensual!J224&gt;0, ROUND(Saldos_Capital_Mensual!J224 * 'Resumen_Cartera'!$Q224, 2), "")</f>
        <v/>
      </c>
      <c r="L224" s="29">
        <f>IF(Saldos_Capital_Mensual!K224&gt;0, ROUND(Saldos_Capital_Mensual!K224 * 'Resumen_Cartera'!$Q224, 2), "")</f>
        <v/>
      </c>
      <c r="M224" s="29">
        <f>IF(Saldos_Capital_Mensual!L224&gt;0, ROUND(Saldos_Capital_Mensual!L224 * 'Resumen_Cartera'!$Q224, 2), "")</f>
        <v/>
      </c>
      <c r="N224" s="29">
        <f>IF(Saldos_Capital_Mensual!M224&gt;0, ROUND(Saldos_Capital_Mensual!M224 * 'Resumen_Cartera'!$Q224, 2), "")</f>
        <v/>
      </c>
      <c r="O224" s="29">
        <f>IF(Saldos_Capital_Mensual!N224&gt;0, ROUND(Saldos_Capital_Mensual!N224 * 'Resumen_Cartera'!$Q224, 2), "")</f>
        <v/>
      </c>
      <c r="P224" s="29">
        <f>IF(Saldos_Capital_Mensual!O224&gt;0, ROUND(Saldos_Capital_Mensual!O224 * 'Resumen_Cartera'!$Q224, 2), "")</f>
        <v/>
      </c>
      <c r="Q224" s="29">
        <f>IF(Saldos_Capital_Mensual!P224&gt;0, ROUND(Saldos_Capital_Mensual!P224 * 'Resumen_Cartera'!$Q224, 2), "")</f>
        <v/>
      </c>
      <c r="R224" s="29">
        <f>IF(Saldos_Capital_Mensual!Q224&gt;0, ROUND(Saldos_Capital_Mensual!Q224 * 'Resumen_Cartera'!$Q224, 2), "")</f>
        <v/>
      </c>
      <c r="S224" s="29">
        <f>IF(Saldos_Capital_Mensual!R224&gt;0, ROUND(Saldos_Capital_Mensual!R224 * 'Resumen_Cartera'!$Q224, 2), "")</f>
        <v/>
      </c>
      <c r="T224" s="29">
        <f>IF(Saldos_Capital_Mensual!S224&gt;0, ROUND(Saldos_Capital_Mensual!S224 * 'Resumen_Cartera'!$Q224, 2), "")</f>
        <v/>
      </c>
      <c r="U224" s="29">
        <f>SUM(I224:T224)</f>
        <v/>
      </c>
    </row>
    <row r="225">
      <c r="A225" s="20" t="inlineStr">
        <is>
          <t>0739-0001</t>
        </is>
      </c>
      <c r="B225" s="21" t="inlineStr">
        <is>
          <t>Miriam Patricia López Flores</t>
        </is>
      </c>
      <c r="C225" s="21" t="inlineStr">
        <is>
          <t>Jeep Wrangler Unlimited Rubicon</t>
        </is>
      </c>
      <c r="D225" s="20" t="inlineStr">
        <is>
          <t>ACTIVO</t>
        </is>
      </c>
      <c r="E225" s="20" t="inlineStr">
        <is>
          <t>2025-12-23</t>
        </is>
      </c>
      <c r="F225" s="20" t="inlineStr">
        <is>
          <t>2029-12-23</t>
        </is>
      </c>
      <c r="G225" s="22" t="n">
        <v>48</v>
      </c>
      <c r="H225" s="23" t="n">
        <v>1054891.73</v>
      </c>
      <c r="I225" s="23">
        <f>ROUND(1045247.9 * 'Resumen_Cartera'!$Q225, 2)</f>
        <v/>
      </c>
      <c r="J225" s="23">
        <f>IF(Saldos_Capital_Mensual!I225&gt;0, ROUND(Saldos_Capital_Mensual!I225 * 'Resumen_Cartera'!$Q225, 2), "")</f>
        <v/>
      </c>
      <c r="K225" s="23">
        <f>IF(Saldos_Capital_Mensual!J225&gt;0, ROUND(Saldos_Capital_Mensual!J225 * 'Resumen_Cartera'!$Q225, 2), "")</f>
        <v/>
      </c>
      <c r="L225" s="23">
        <f>IF(Saldos_Capital_Mensual!K225&gt;0, ROUND(Saldos_Capital_Mensual!K225 * 'Resumen_Cartera'!$Q225, 2), "")</f>
        <v/>
      </c>
      <c r="M225" s="23">
        <f>IF(Saldos_Capital_Mensual!L225&gt;0, ROUND(Saldos_Capital_Mensual!L225 * 'Resumen_Cartera'!$Q225, 2), "")</f>
        <v/>
      </c>
      <c r="N225" s="23">
        <f>IF(Saldos_Capital_Mensual!M225&gt;0, ROUND(Saldos_Capital_Mensual!M225 * 'Resumen_Cartera'!$Q225, 2), "")</f>
        <v/>
      </c>
      <c r="O225" s="23">
        <f>IF(Saldos_Capital_Mensual!N225&gt;0, ROUND(Saldos_Capital_Mensual!N225 * 'Resumen_Cartera'!$Q225, 2), "")</f>
        <v/>
      </c>
      <c r="P225" s="23">
        <f>IF(Saldos_Capital_Mensual!O225&gt;0, ROUND(Saldos_Capital_Mensual!O225 * 'Resumen_Cartera'!$Q225, 2), "")</f>
        <v/>
      </c>
      <c r="Q225" s="23">
        <f>IF(Saldos_Capital_Mensual!P225&gt;0, ROUND(Saldos_Capital_Mensual!P225 * 'Resumen_Cartera'!$Q225, 2), "")</f>
        <v/>
      </c>
      <c r="R225" s="23">
        <f>IF(Saldos_Capital_Mensual!Q225&gt;0, ROUND(Saldos_Capital_Mensual!Q225 * 'Resumen_Cartera'!$Q225, 2), "")</f>
        <v/>
      </c>
      <c r="S225" s="23">
        <f>IF(Saldos_Capital_Mensual!R225&gt;0, ROUND(Saldos_Capital_Mensual!R225 * 'Resumen_Cartera'!$Q225, 2), "")</f>
        <v/>
      </c>
      <c r="T225" s="23">
        <f>IF(Saldos_Capital_Mensual!S225&gt;0, ROUND(Saldos_Capital_Mensual!S225 * 'Resumen_Cartera'!$Q225, 2), "")</f>
        <v/>
      </c>
      <c r="U225" s="23">
        <f>SUM(I225:T225)</f>
        <v/>
      </c>
    </row>
    <row r="226">
      <c r="A226" s="26" t="inlineStr">
        <is>
          <t>0740-0001</t>
        </is>
      </c>
      <c r="B226" s="27" t="inlineStr">
        <is>
          <t>Sanatorio Versalles de Guadalajara</t>
        </is>
      </c>
      <c r="C226" s="27" t="inlineStr">
        <is>
          <t>1200 Bighorn</t>
        </is>
      </c>
      <c r="D226" s="26" t="inlineStr">
        <is>
          <t>ACTIVO</t>
        </is>
      </c>
      <c r="E226" s="26" t="inlineStr">
        <is>
          <t>2025-12-30</t>
        </is>
      </c>
      <c r="F226" s="26" t="inlineStr">
        <is>
          <t>2026-12-30</t>
        </is>
      </c>
      <c r="G226" s="28" t="n">
        <v>12</v>
      </c>
      <c r="H226" s="29" t="n">
        <v>294775.86</v>
      </c>
      <c r="I226" s="29">
        <f>ROUND(276887.4 * 'Resumen_Cartera'!$Q226, 2)</f>
        <v/>
      </c>
      <c r="J226" s="29">
        <f>IF(Saldos_Capital_Mensual!I226&gt;0, ROUND(Saldos_Capital_Mensual!I226 * 'Resumen_Cartera'!$Q226, 2), "")</f>
        <v/>
      </c>
      <c r="K226" s="29">
        <f>IF(Saldos_Capital_Mensual!J226&gt;0, ROUND(Saldos_Capital_Mensual!J226 * 'Resumen_Cartera'!$Q226, 2), "")</f>
        <v/>
      </c>
      <c r="L226" s="29">
        <f>IF(Saldos_Capital_Mensual!K226&gt;0, ROUND(Saldos_Capital_Mensual!K226 * 'Resumen_Cartera'!$Q226, 2), "")</f>
        <v/>
      </c>
      <c r="M226" s="29">
        <f>IF(Saldos_Capital_Mensual!L226&gt;0, ROUND(Saldos_Capital_Mensual!L226 * 'Resumen_Cartera'!$Q226, 2), "")</f>
        <v/>
      </c>
      <c r="N226" s="29">
        <f>IF(Saldos_Capital_Mensual!M226&gt;0, ROUND(Saldos_Capital_Mensual!M226 * 'Resumen_Cartera'!$Q226, 2), "")</f>
        <v/>
      </c>
      <c r="O226" s="29">
        <f>IF(Saldos_Capital_Mensual!N226&gt;0, ROUND(Saldos_Capital_Mensual!N226 * 'Resumen_Cartera'!$Q226, 2), "")</f>
        <v/>
      </c>
      <c r="P226" s="29">
        <f>IF(Saldos_Capital_Mensual!O226&gt;0, ROUND(Saldos_Capital_Mensual!O226 * 'Resumen_Cartera'!$Q226, 2), "")</f>
        <v/>
      </c>
      <c r="Q226" s="29">
        <f>IF(Saldos_Capital_Mensual!P226&gt;0, ROUND(Saldos_Capital_Mensual!P226 * 'Resumen_Cartera'!$Q226, 2), "")</f>
        <v/>
      </c>
      <c r="R226" s="29">
        <f>IF(Saldos_Capital_Mensual!Q226&gt;0, ROUND(Saldos_Capital_Mensual!Q226 * 'Resumen_Cartera'!$Q226, 2), "")</f>
        <v/>
      </c>
      <c r="S226" s="29">
        <f>IF(Saldos_Capital_Mensual!R226&gt;0, ROUND(Saldos_Capital_Mensual!R226 * 'Resumen_Cartera'!$Q226, 2), "")</f>
        <v/>
      </c>
      <c r="T226" s="29" t="inlineStr"/>
      <c r="U226" s="29">
        <f>SUM(I226:T226)</f>
        <v/>
      </c>
    </row>
    <row r="227">
      <c r="A227" s="20" t="inlineStr">
        <is>
          <t>0741-0001</t>
        </is>
      </c>
      <c r="B227" s="21" t="inlineStr">
        <is>
          <t>Alvaró Agustin Navarro Castellón</t>
        </is>
      </c>
      <c r="C227" s="21" t="inlineStr">
        <is>
          <t>Manager Furgon L4H2</t>
        </is>
      </c>
      <c r="D227" s="20" t="inlineStr">
        <is>
          <t>ACTIVO</t>
        </is>
      </c>
      <c r="E227" s="20" t="inlineStr">
        <is>
          <t>2025-12-31</t>
        </is>
      </c>
      <c r="F227" s="20" t="inlineStr">
        <is>
          <t>2029-12-31</t>
        </is>
      </c>
      <c r="G227" s="22" t="n">
        <v>48</v>
      </c>
      <c r="H227" s="23" t="n">
        <v>680353.45</v>
      </c>
      <c r="I227" s="23">
        <f>ROUND(675976.61 * 'Resumen_Cartera'!$Q227, 2)</f>
        <v/>
      </c>
      <c r="J227" s="23">
        <f>IF(Saldos_Capital_Mensual!I227&gt;0, ROUND(Saldos_Capital_Mensual!I227 * 'Resumen_Cartera'!$Q227, 2), "")</f>
        <v/>
      </c>
      <c r="K227" s="23">
        <f>IF(Saldos_Capital_Mensual!J227&gt;0, ROUND(Saldos_Capital_Mensual!J227 * 'Resumen_Cartera'!$Q227, 2), "")</f>
        <v/>
      </c>
      <c r="L227" s="23">
        <f>IF(Saldos_Capital_Mensual!K227&gt;0, ROUND(Saldos_Capital_Mensual!K227 * 'Resumen_Cartera'!$Q227, 2), "")</f>
        <v/>
      </c>
      <c r="M227" s="23">
        <f>IF(Saldos_Capital_Mensual!L227&gt;0, ROUND(Saldos_Capital_Mensual!L227 * 'Resumen_Cartera'!$Q227, 2), "")</f>
        <v/>
      </c>
      <c r="N227" s="23">
        <f>IF(Saldos_Capital_Mensual!M227&gt;0, ROUND(Saldos_Capital_Mensual!M227 * 'Resumen_Cartera'!$Q227, 2), "")</f>
        <v/>
      </c>
      <c r="O227" s="23">
        <f>IF(Saldos_Capital_Mensual!N227&gt;0, ROUND(Saldos_Capital_Mensual!N227 * 'Resumen_Cartera'!$Q227, 2), "")</f>
        <v/>
      </c>
      <c r="P227" s="23">
        <f>IF(Saldos_Capital_Mensual!O227&gt;0, ROUND(Saldos_Capital_Mensual!O227 * 'Resumen_Cartera'!$Q227, 2), "")</f>
        <v/>
      </c>
      <c r="Q227" s="23">
        <f>IF(Saldos_Capital_Mensual!P227&gt;0, ROUND(Saldos_Capital_Mensual!P227 * 'Resumen_Cartera'!$Q227, 2), "")</f>
        <v/>
      </c>
      <c r="R227" s="23">
        <f>IF(Saldos_Capital_Mensual!Q227&gt;0, ROUND(Saldos_Capital_Mensual!Q227 * 'Resumen_Cartera'!$Q227, 2), "")</f>
        <v/>
      </c>
      <c r="S227" s="23">
        <f>IF(Saldos_Capital_Mensual!R227&gt;0, ROUND(Saldos_Capital_Mensual!R227 * 'Resumen_Cartera'!$Q227, 2), "")</f>
        <v/>
      </c>
      <c r="T227" s="23">
        <f>IF(Saldos_Capital_Mensual!S227&gt;0, ROUND(Saldos_Capital_Mensual!S227 * 'Resumen_Cartera'!$Q227, 2), "")</f>
        <v/>
      </c>
      <c r="U227" s="23">
        <f>SUM(I227:T227)</f>
        <v/>
      </c>
    </row>
    <row r="228">
      <c r="A228" s="26" t="inlineStr">
        <is>
          <t>0742-0001</t>
        </is>
      </c>
      <c r="B228" s="27" t="inlineStr">
        <is>
          <t>Universidad de las Américas y el Caribe, S.C.</t>
        </is>
      </c>
      <c r="C228" s="27" t="inlineStr">
        <is>
          <t>700 BIGHORN "S" CREW CAB MT</t>
        </is>
      </c>
      <c r="D228" s="26" t="inlineStr">
        <is>
          <t>ACTIVO</t>
        </is>
      </c>
      <c r="E228" s="26" t="inlineStr">
        <is>
          <t>2026-01-07</t>
        </is>
      </c>
      <c r="F228" s="26" t="inlineStr">
        <is>
          <t>2029-01-07</t>
        </is>
      </c>
      <c r="G228" s="28" t="n">
        <v>36</v>
      </c>
      <c r="H228" s="29" t="n">
        <v>296443.71</v>
      </c>
      <c r="I228" s="29">
        <f>ROUND('Resumen_Cartera'!$K228 * 'Resumen_Cartera'!$Q228, 2)</f>
        <v/>
      </c>
      <c r="J228" s="29">
        <f>IF(Saldos_Capital_Mensual!I228&gt;0, ROUND(Saldos_Capital_Mensual!I228 * 'Resumen_Cartera'!$Q228, 2), "")</f>
        <v/>
      </c>
      <c r="K228" s="29">
        <f>IF(Saldos_Capital_Mensual!J228&gt;0, ROUND(Saldos_Capital_Mensual!J228 * 'Resumen_Cartera'!$Q228, 2), "")</f>
        <v/>
      </c>
      <c r="L228" s="29">
        <f>IF(Saldos_Capital_Mensual!K228&gt;0, ROUND(Saldos_Capital_Mensual!K228 * 'Resumen_Cartera'!$Q228, 2), "")</f>
        <v/>
      </c>
      <c r="M228" s="29">
        <f>IF(Saldos_Capital_Mensual!L228&gt;0, ROUND(Saldos_Capital_Mensual!L228 * 'Resumen_Cartera'!$Q228, 2), "")</f>
        <v/>
      </c>
      <c r="N228" s="29">
        <f>IF(Saldos_Capital_Mensual!M228&gt;0, ROUND(Saldos_Capital_Mensual!M228 * 'Resumen_Cartera'!$Q228, 2), "")</f>
        <v/>
      </c>
      <c r="O228" s="29">
        <f>IF(Saldos_Capital_Mensual!N228&gt;0, ROUND(Saldos_Capital_Mensual!N228 * 'Resumen_Cartera'!$Q228, 2), "")</f>
        <v/>
      </c>
      <c r="P228" s="29">
        <f>IF(Saldos_Capital_Mensual!O228&gt;0, ROUND(Saldos_Capital_Mensual!O228 * 'Resumen_Cartera'!$Q228, 2), "")</f>
        <v/>
      </c>
      <c r="Q228" s="29">
        <f>IF(Saldos_Capital_Mensual!P228&gt;0, ROUND(Saldos_Capital_Mensual!P228 * 'Resumen_Cartera'!$Q228, 2), "")</f>
        <v/>
      </c>
      <c r="R228" s="29">
        <f>IF(Saldos_Capital_Mensual!Q228&gt;0, ROUND(Saldos_Capital_Mensual!Q228 * 'Resumen_Cartera'!$Q228, 2), "")</f>
        <v/>
      </c>
      <c r="S228" s="29">
        <f>IF(Saldos_Capital_Mensual!R228&gt;0, ROUND(Saldos_Capital_Mensual!R228 * 'Resumen_Cartera'!$Q228, 2), "")</f>
        <v/>
      </c>
      <c r="T228" s="29">
        <f>IF(Saldos_Capital_Mensual!S228&gt;0, ROUND(Saldos_Capital_Mensual!S228 * 'Resumen_Cartera'!$Q228, 2), "")</f>
        <v/>
      </c>
      <c r="U228" s="29">
        <f>SUM(I228:T228)</f>
        <v/>
      </c>
    </row>
    <row r="229">
      <c r="A229" s="20" t="inlineStr">
        <is>
          <t>0742-0002</t>
        </is>
      </c>
      <c r="B229" s="21" t="inlineStr">
        <is>
          <t>Universidad de las Américas y el Caribe, S.C.</t>
        </is>
      </c>
      <c r="C229" s="21" t="inlineStr">
        <is>
          <t>700 BIGHORN "S" CREW CAB CVT</t>
        </is>
      </c>
      <c r="D229" s="20" t="inlineStr">
        <is>
          <t>ACTIVO</t>
        </is>
      </c>
      <c r="E229" s="20" t="inlineStr">
        <is>
          <t>2026-01-07</t>
        </is>
      </c>
      <c r="F229" s="20" t="inlineStr">
        <is>
          <t>2029-01-07</t>
        </is>
      </c>
      <c r="G229" s="22" t="n">
        <v>36</v>
      </c>
      <c r="H229" s="23" t="n">
        <v>324289.39</v>
      </c>
      <c r="I229" s="23">
        <f>ROUND('Resumen_Cartera'!$K229 * 'Resumen_Cartera'!$Q229, 2)</f>
        <v/>
      </c>
      <c r="J229" s="23">
        <f>IF(Saldos_Capital_Mensual!I229&gt;0, ROUND(Saldos_Capital_Mensual!I229 * 'Resumen_Cartera'!$Q229, 2), "")</f>
        <v/>
      </c>
      <c r="K229" s="23">
        <f>IF(Saldos_Capital_Mensual!J229&gt;0, ROUND(Saldos_Capital_Mensual!J229 * 'Resumen_Cartera'!$Q229, 2), "")</f>
        <v/>
      </c>
      <c r="L229" s="23">
        <f>IF(Saldos_Capital_Mensual!K229&gt;0, ROUND(Saldos_Capital_Mensual!K229 * 'Resumen_Cartera'!$Q229, 2), "")</f>
        <v/>
      </c>
      <c r="M229" s="23">
        <f>IF(Saldos_Capital_Mensual!L229&gt;0, ROUND(Saldos_Capital_Mensual!L229 * 'Resumen_Cartera'!$Q229, 2), "")</f>
        <v/>
      </c>
      <c r="N229" s="23">
        <f>IF(Saldos_Capital_Mensual!M229&gt;0, ROUND(Saldos_Capital_Mensual!M229 * 'Resumen_Cartera'!$Q229, 2), "")</f>
        <v/>
      </c>
      <c r="O229" s="23">
        <f>IF(Saldos_Capital_Mensual!N229&gt;0, ROUND(Saldos_Capital_Mensual!N229 * 'Resumen_Cartera'!$Q229, 2), "")</f>
        <v/>
      </c>
      <c r="P229" s="23">
        <f>IF(Saldos_Capital_Mensual!O229&gt;0, ROUND(Saldos_Capital_Mensual!O229 * 'Resumen_Cartera'!$Q229, 2), "")</f>
        <v/>
      </c>
      <c r="Q229" s="23">
        <f>IF(Saldos_Capital_Mensual!P229&gt;0, ROUND(Saldos_Capital_Mensual!P229 * 'Resumen_Cartera'!$Q229, 2), "")</f>
        <v/>
      </c>
      <c r="R229" s="23">
        <f>IF(Saldos_Capital_Mensual!Q229&gt;0, ROUND(Saldos_Capital_Mensual!Q229 * 'Resumen_Cartera'!$Q229, 2), "")</f>
        <v/>
      </c>
      <c r="S229" s="23">
        <f>IF(Saldos_Capital_Mensual!R229&gt;0, ROUND(Saldos_Capital_Mensual!R229 * 'Resumen_Cartera'!$Q229, 2), "")</f>
        <v/>
      </c>
      <c r="T229" s="23">
        <f>IF(Saldos_Capital_Mensual!S229&gt;0, ROUND(Saldos_Capital_Mensual!S229 * 'Resumen_Cartera'!$Q229, 2), "")</f>
        <v/>
      </c>
      <c r="U229" s="23">
        <f>SUM(I229:T229)</f>
        <v/>
      </c>
    </row>
    <row r="230">
      <c r="A230" s="26" t="inlineStr">
        <is>
          <t>0743-0001</t>
        </is>
      </c>
      <c r="B230" s="27" t="inlineStr">
        <is>
          <t>IEM Soluciones Integrales, S.C.</t>
        </is>
      </c>
      <c r="C230" s="27" t="inlineStr">
        <is>
          <t>1200 BIGHORN CC</t>
        </is>
      </c>
      <c r="D230" s="26" t="inlineStr">
        <is>
          <t>ACTIVO</t>
        </is>
      </c>
      <c r="E230" s="26" t="inlineStr">
        <is>
          <t>2026-01-23</t>
        </is>
      </c>
      <c r="F230" s="26" t="inlineStr">
        <is>
          <t>2029-01-23</t>
        </is>
      </c>
      <c r="G230" s="28" t="n">
        <v>36</v>
      </c>
      <c r="H230" s="29" t="n">
        <v>294775.86</v>
      </c>
      <c r="I230" s="29">
        <f>ROUND('Resumen_Cartera'!$K230 * 'Resumen_Cartera'!$Q230, 2)</f>
        <v/>
      </c>
      <c r="J230" s="29">
        <f>IF(Saldos_Capital_Mensual!I230&gt;0, ROUND(Saldos_Capital_Mensual!I230 * 'Resumen_Cartera'!$Q230, 2), "")</f>
        <v/>
      </c>
      <c r="K230" s="29">
        <f>IF(Saldos_Capital_Mensual!J230&gt;0, ROUND(Saldos_Capital_Mensual!J230 * 'Resumen_Cartera'!$Q230, 2), "")</f>
        <v/>
      </c>
      <c r="L230" s="29">
        <f>IF(Saldos_Capital_Mensual!K230&gt;0, ROUND(Saldos_Capital_Mensual!K230 * 'Resumen_Cartera'!$Q230, 2), "")</f>
        <v/>
      </c>
      <c r="M230" s="29">
        <f>IF(Saldos_Capital_Mensual!L230&gt;0, ROUND(Saldos_Capital_Mensual!L230 * 'Resumen_Cartera'!$Q230, 2), "")</f>
        <v/>
      </c>
      <c r="N230" s="29">
        <f>IF(Saldos_Capital_Mensual!M230&gt;0, ROUND(Saldos_Capital_Mensual!M230 * 'Resumen_Cartera'!$Q230, 2), "")</f>
        <v/>
      </c>
      <c r="O230" s="29">
        <f>IF(Saldos_Capital_Mensual!N230&gt;0, ROUND(Saldos_Capital_Mensual!N230 * 'Resumen_Cartera'!$Q230, 2), "")</f>
        <v/>
      </c>
      <c r="P230" s="29">
        <f>IF(Saldos_Capital_Mensual!O230&gt;0, ROUND(Saldos_Capital_Mensual!O230 * 'Resumen_Cartera'!$Q230, 2), "")</f>
        <v/>
      </c>
      <c r="Q230" s="29">
        <f>IF(Saldos_Capital_Mensual!P230&gt;0, ROUND(Saldos_Capital_Mensual!P230 * 'Resumen_Cartera'!$Q230, 2), "")</f>
        <v/>
      </c>
      <c r="R230" s="29">
        <f>IF(Saldos_Capital_Mensual!Q230&gt;0, ROUND(Saldos_Capital_Mensual!Q230 * 'Resumen_Cartera'!$Q230, 2), "")</f>
        <v/>
      </c>
      <c r="S230" s="29">
        <f>IF(Saldos_Capital_Mensual!R230&gt;0, ROUND(Saldos_Capital_Mensual!R230 * 'Resumen_Cartera'!$Q230, 2), "")</f>
        <v/>
      </c>
      <c r="T230" s="29">
        <f>IF(Saldos_Capital_Mensual!S230&gt;0, ROUND(Saldos_Capital_Mensual!S230 * 'Resumen_Cartera'!$Q230, 2), "")</f>
        <v/>
      </c>
      <c r="U230" s="29">
        <f>SUM(I230:T230)</f>
        <v/>
      </c>
    </row>
    <row r="231">
      <c r="A231" s="20" t="inlineStr">
        <is>
          <t>0744-0001</t>
        </is>
      </c>
      <c r="B231" s="21" t="inlineStr">
        <is>
          <t>H&amp;A Edicon, S.A. de C.V.</t>
        </is>
      </c>
      <c r="C231" s="21" t="inlineStr">
        <is>
          <t>NP 300 Chasis Cabina</t>
        </is>
      </c>
      <c r="D231" s="20" t="inlineStr">
        <is>
          <t>ACTIVO</t>
        </is>
      </c>
      <c r="E231" s="20" t="inlineStr">
        <is>
          <t>2026-01-09</t>
        </is>
      </c>
      <c r="F231" s="20" t="inlineStr">
        <is>
          <t>2028-01-09</t>
        </is>
      </c>
      <c r="G231" s="22" t="n">
        <v>24</v>
      </c>
      <c r="H231" s="23" t="n">
        <v>327913.8</v>
      </c>
      <c r="I231" s="23">
        <f>ROUND('Resumen_Cartera'!$K231 * 'Resumen_Cartera'!$Q231, 2)</f>
        <v/>
      </c>
      <c r="J231" s="23">
        <f>IF(Saldos_Capital_Mensual!I231&gt;0, ROUND(Saldos_Capital_Mensual!I231 * 'Resumen_Cartera'!$Q231, 2), "")</f>
        <v/>
      </c>
      <c r="K231" s="23">
        <f>IF(Saldos_Capital_Mensual!J231&gt;0, ROUND(Saldos_Capital_Mensual!J231 * 'Resumen_Cartera'!$Q231, 2), "")</f>
        <v/>
      </c>
      <c r="L231" s="23">
        <f>IF(Saldos_Capital_Mensual!K231&gt;0, ROUND(Saldos_Capital_Mensual!K231 * 'Resumen_Cartera'!$Q231, 2), "")</f>
        <v/>
      </c>
      <c r="M231" s="23">
        <f>IF(Saldos_Capital_Mensual!L231&gt;0, ROUND(Saldos_Capital_Mensual!L231 * 'Resumen_Cartera'!$Q231, 2), "")</f>
        <v/>
      </c>
      <c r="N231" s="23">
        <f>IF(Saldos_Capital_Mensual!M231&gt;0, ROUND(Saldos_Capital_Mensual!M231 * 'Resumen_Cartera'!$Q231, 2), "")</f>
        <v/>
      </c>
      <c r="O231" s="23">
        <f>IF(Saldos_Capital_Mensual!N231&gt;0, ROUND(Saldos_Capital_Mensual!N231 * 'Resumen_Cartera'!$Q231, 2), "")</f>
        <v/>
      </c>
      <c r="P231" s="23">
        <f>IF(Saldos_Capital_Mensual!O231&gt;0, ROUND(Saldos_Capital_Mensual!O231 * 'Resumen_Cartera'!$Q231, 2), "")</f>
        <v/>
      </c>
      <c r="Q231" s="23">
        <f>IF(Saldos_Capital_Mensual!P231&gt;0, ROUND(Saldos_Capital_Mensual!P231 * 'Resumen_Cartera'!$Q231, 2), "")</f>
        <v/>
      </c>
      <c r="R231" s="23">
        <f>IF(Saldos_Capital_Mensual!Q231&gt;0, ROUND(Saldos_Capital_Mensual!Q231 * 'Resumen_Cartera'!$Q231, 2), "")</f>
        <v/>
      </c>
      <c r="S231" s="23">
        <f>IF(Saldos_Capital_Mensual!R231&gt;0, ROUND(Saldos_Capital_Mensual!R231 * 'Resumen_Cartera'!$Q231, 2), "")</f>
        <v/>
      </c>
      <c r="T231" s="23">
        <f>IF(Saldos_Capital_Mensual!S231&gt;0, ROUND(Saldos_Capital_Mensual!S231 * 'Resumen_Cartera'!$Q231, 2), "")</f>
        <v/>
      </c>
      <c r="U231" s="23">
        <f>SUM(I231:T231)</f>
        <v/>
      </c>
    </row>
    <row r="232">
      <c r="A232" s="26" t="inlineStr">
        <is>
          <t>0745-0001</t>
        </is>
      </c>
      <c r="B232" s="27" t="inlineStr">
        <is>
          <t>Industrializadora de Productos Lácteos y Derivados los Cuates, S.A. de C.V.</t>
        </is>
      </c>
      <c r="C232" s="27" t="inlineStr">
        <is>
          <t>Outlander Sport SE Plus</t>
        </is>
      </c>
      <c r="D232" s="26" t="inlineStr">
        <is>
          <t>ACTIVO</t>
        </is>
      </c>
      <c r="E232" s="26" t="inlineStr">
        <is>
          <t>2026-01-22</t>
        </is>
      </c>
      <c r="F232" s="26" t="inlineStr">
        <is>
          <t>2029-01-22</t>
        </is>
      </c>
      <c r="G232" s="28" t="n">
        <v>36</v>
      </c>
      <c r="H232" s="29" t="n">
        <v>251889.83</v>
      </c>
      <c r="I232" s="29">
        <f>ROUND('Resumen_Cartera'!$K232 * 'Resumen_Cartera'!$Q232, 2)</f>
        <v/>
      </c>
      <c r="J232" s="29">
        <f>IF(Saldos_Capital_Mensual!I232&gt;0, ROUND(Saldos_Capital_Mensual!I232 * 'Resumen_Cartera'!$Q232, 2), "")</f>
        <v/>
      </c>
      <c r="K232" s="29">
        <f>IF(Saldos_Capital_Mensual!J232&gt;0, ROUND(Saldos_Capital_Mensual!J232 * 'Resumen_Cartera'!$Q232, 2), "")</f>
        <v/>
      </c>
      <c r="L232" s="29">
        <f>IF(Saldos_Capital_Mensual!K232&gt;0, ROUND(Saldos_Capital_Mensual!K232 * 'Resumen_Cartera'!$Q232, 2), "")</f>
        <v/>
      </c>
      <c r="M232" s="29">
        <f>IF(Saldos_Capital_Mensual!L232&gt;0, ROUND(Saldos_Capital_Mensual!L232 * 'Resumen_Cartera'!$Q232, 2), "")</f>
        <v/>
      </c>
      <c r="N232" s="29">
        <f>IF(Saldos_Capital_Mensual!M232&gt;0, ROUND(Saldos_Capital_Mensual!M232 * 'Resumen_Cartera'!$Q232, 2), "")</f>
        <v/>
      </c>
      <c r="O232" s="29">
        <f>IF(Saldos_Capital_Mensual!N232&gt;0, ROUND(Saldos_Capital_Mensual!N232 * 'Resumen_Cartera'!$Q232, 2), "")</f>
        <v/>
      </c>
      <c r="P232" s="29">
        <f>IF(Saldos_Capital_Mensual!O232&gt;0, ROUND(Saldos_Capital_Mensual!O232 * 'Resumen_Cartera'!$Q232, 2), "")</f>
        <v/>
      </c>
      <c r="Q232" s="29">
        <f>IF(Saldos_Capital_Mensual!P232&gt;0, ROUND(Saldos_Capital_Mensual!P232 * 'Resumen_Cartera'!$Q232, 2), "")</f>
        <v/>
      </c>
      <c r="R232" s="29">
        <f>IF(Saldos_Capital_Mensual!Q232&gt;0, ROUND(Saldos_Capital_Mensual!Q232 * 'Resumen_Cartera'!$Q232, 2), "")</f>
        <v/>
      </c>
      <c r="S232" s="29">
        <f>IF(Saldos_Capital_Mensual!R232&gt;0, ROUND(Saldos_Capital_Mensual!R232 * 'Resumen_Cartera'!$Q232, 2), "")</f>
        <v/>
      </c>
      <c r="T232" s="29">
        <f>IF(Saldos_Capital_Mensual!S232&gt;0, ROUND(Saldos_Capital_Mensual!S232 * 'Resumen_Cartera'!$Q232, 2), "")</f>
        <v/>
      </c>
      <c r="U232" s="29">
        <f>SUM(I232:T232)</f>
        <v/>
      </c>
    </row>
    <row r="233">
      <c r="A233" s="20" t="inlineStr">
        <is>
          <t>0746-0001</t>
        </is>
      </c>
      <c r="B233" s="21" t="inlineStr">
        <is>
          <t>Giovanni Salvador Medina Rubio</t>
        </is>
      </c>
      <c r="C233" s="21" t="inlineStr">
        <is>
          <t>Rapid</t>
        </is>
      </c>
      <c r="D233" s="20" t="inlineStr">
        <is>
          <t>ACTIVO</t>
        </is>
      </c>
      <c r="E233" s="20" t="inlineStr">
        <is>
          <t>2026-02-02</t>
        </is>
      </c>
      <c r="F233" s="20" t="inlineStr">
        <is>
          <t>2029-02-02</t>
        </is>
      </c>
      <c r="G233" s="22" t="n">
        <v>36</v>
      </c>
      <c r="H233" s="23" t="n">
        <v>231310.34</v>
      </c>
      <c r="I233" s="23" t="inlineStr"/>
      <c r="J233" s="23">
        <f>ROUND('Resumen_Cartera'!$K233 * 'Resumen_Cartera'!$Q233, 2)</f>
        <v/>
      </c>
      <c r="K233" s="23">
        <f>IF(Saldos_Capital_Mensual!J233&gt;0, ROUND(Saldos_Capital_Mensual!J233 * 'Resumen_Cartera'!$Q233, 2), "")</f>
        <v/>
      </c>
      <c r="L233" s="23">
        <f>IF(Saldos_Capital_Mensual!K233&gt;0, ROUND(Saldos_Capital_Mensual!K233 * 'Resumen_Cartera'!$Q233, 2), "")</f>
        <v/>
      </c>
      <c r="M233" s="23">
        <f>IF(Saldos_Capital_Mensual!L233&gt;0, ROUND(Saldos_Capital_Mensual!L233 * 'Resumen_Cartera'!$Q233, 2), "")</f>
        <v/>
      </c>
      <c r="N233" s="23">
        <f>IF(Saldos_Capital_Mensual!M233&gt;0, ROUND(Saldos_Capital_Mensual!M233 * 'Resumen_Cartera'!$Q233, 2), "")</f>
        <v/>
      </c>
      <c r="O233" s="23">
        <f>IF(Saldos_Capital_Mensual!N233&gt;0, ROUND(Saldos_Capital_Mensual!N233 * 'Resumen_Cartera'!$Q233, 2), "")</f>
        <v/>
      </c>
      <c r="P233" s="23">
        <f>IF(Saldos_Capital_Mensual!O233&gt;0, ROUND(Saldos_Capital_Mensual!O233 * 'Resumen_Cartera'!$Q233, 2), "")</f>
        <v/>
      </c>
      <c r="Q233" s="23">
        <f>IF(Saldos_Capital_Mensual!P233&gt;0, ROUND(Saldos_Capital_Mensual!P233 * 'Resumen_Cartera'!$Q233, 2), "")</f>
        <v/>
      </c>
      <c r="R233" s="23">
        <f>IF(Saldos_Capital_Mensual!Q233&gt;0, ROUND(Saldos_Capital_Mensual!Q233 * 'Resumen_Cartera'!$Q233, 2), "")</f>
        <v/>
      </c>
      <c r="S233" s="23">
        <f>IF(Saldos_Capital_Mensual!R233&gt;0, ROUND(Saldos_Capital_Mensual!R233 * 'Resumen_Cartera'!$Q233, 2), "")</f>
        <v/>
      </c>
      <c r="T233" s="23">
        <f>IF(Saldos_Capital_Mensual!S233&gt;0, ROUND(Saldos_Capital_Mensual!S233 * 'Resumen_Cartera'!$Q233, 2), "")</f>
        <v/>
      </c>
      <c r="U233" s="23">
        <f>SUM(I233:T233)</f>
        <v/>
      </c>
    </row>
    <row r="234">
      <c r="A234" s="26" t="inlineStr">
        <is>
          <t>0747-0001</t>
        </is>
      </c>
      <c r="B234" s="27" t="inlineStr">
        <is>
          <t>Brandon Joel Zepeda Romero</t>
        </is>
      </c>
      <c r="C234" s="27" t="inlineStr">
        <is>
          <t>Ranger Raptor</t>
        </is>
      </c>
      <c r="D234" s="26" t="inlineStr">
        <is>
          <t>ACTIVO</t>
        </is>
      </c>
      <c r="E234" s="26" t="inlineStr">
        <is>
          <t>2026-02-24</t>
        </is>
      </c>
      <c r="F234" s="26" t="inlineStr">
        <is>
          <t>2030-02-24</t>
        </is>
      </c>
      <c r="G234" s="28" t="n">
        <v>48</v>
      </c>
      <c r="H234" s="29" t="n">
        <v>862068.97</v>
      </c>
      <c r="I234" s="29" t="inlineStr"/>
      <c r="J234" s="29">
        <f>ROUND('Resumen_Cartera'!$K234 * 'Resumen_Cartera'!$Q234, 2)</f>
        <v/>
      </c>
      <c r="K234" s="29">
        <f>IF(Saldos_Capital_Mensual!J234&gt;0, ROUND(Saldos_Capital_Mensual!J234 * 'Resumen_Cartera'!$Q234, 2), "")</f>
        <v/>
      </c>
      <c r="L234" s="29">
        <f>IF(Saldos_Capital_Mensual!K234&gt;0, ROUND(Saldos_Capital_Mensual!K234 * 'Resumen_Cartera'!$Q234, 2), "")</f>
        <v/>
      </c>
      <c r="M234" s="29">
        <f>IF(Saldos_Capital_Mensual!L234&gt;0, ROUND(Saldos_Capital_Mensual!L234 * 'Resumen_Cartera'!$Q234, 2), "")</f>
        <v/>
      </c>
      <c r="N234" s="29">
        <f>IF(Saldos_Capital_Mensual!M234&gt;0, ROUND(Saldos_Capital_Mensual!M234 * 'Resumen_Cartera'!$Q234, 2), "")</f>
        <v/>
      </c>
      <c r="O234" s="29">
        <f>IF(Saldos_Capital_Mensual!N234&gt;0, ROUND(Saldos_Capital_Mensual!N234 * 'Resumen_Cartera'!$Q234, 2), "")</f>
        <v/>
      </c>
      <c r="P234" s="29">
        <f>IF(Saldos_Capital_Mensual!O234&gt;0, ROUND(Saldos_Capital_Mensual!O234 * 'Resumen_Cartera'!$Q234, 2), "")</f>
        <v/>
      </c>
      <c r="Q234" s="29">
        <f>IF(Saldos_Capital_Mensual!P234&gt;0, ROUND(Saldos_Capital_Mensual!P234 * 'Resumen_Cartera'!$Q234, 2), "")</f>
        <v/>
      </c>
      <c r="R234" s="29">
        <f>IF(Saldos_Capital_Mensual!Q234&gt;0, ROUND(Saldos_Capital_Mensual!Q234 * 'Resumen_Cartera'!$Q234, 2), "")</f>
        <v/>
      </c>
      <c r="S234" s="29">
        <f>IF(Saldos_Capital_Mensual!R234&gt;0, ROUND(Saldos_Capital_Mensual!R234 * 'Resumen_Cartera'!$Q234, 2), "")</f>
        <v/>
      </c>
      <c r="T234" s="29">
        <f>IF(Saldos_Capital_Mensual!S234&gt;0, ROUND(Saldos_Capital_Mensual!S234 * 'Resumen_Cartera'!$Q234, 2), "")</f>
        <v/>
      </c>
      <c r="U234" s="29">
        <f>SUM(I234:T234)</f>
        <v/>
      </c>
    </row>
    <row r="235">
      <c r="A235" s="20" t="inlineStr">
        <is>
          <t>0748-0001</t>
        </is>
      </c>
      <c r="B235" s="21" t="inlineStr">
        <is>
          <t>Carlos Guerra Iñiguez</t>
        </is>
      </c>
      <c r="C235" s="21" t="inlineStr">
        <is>
          <t>L200 GLX</t>
        </is>
      </c>
      <c r="D235" s="20" t="inlineStr">
        <is>
          <t>ACTIVO</t>
        </is>
      </c>
      <c r="E235" s="20" t="inlineStr">
        <is>
          <t>2026-03-02</t>
        </is>
      </c>
      <c r="F235" s="20" t="inlineStr">
        <is>
          <t>2030-03-02</t>
        </is>
      </c>
      <c r="G235" s="22" t="n">
        <v>48</v>
      </c>
      <c r="H235" s="23" t="n">
        <v>336560.69</v>
      </c>
      <c r="I235" s="23" t="inlineStr"/>
      <c r="J235" s="23" t="inlineStr"/>
      <c r="K235" s="23">
        <f>ROUND('Resumen_Cartera'!$K235 * 'Resumen_Cartera'!$Q235, 2)</f>
        <v/>
      </c>
      <c r="L235" s="23">
        <f>IF(Saldos_Capital_Mensual!K235&gt;0, ROUND(Saldos_Capital_Mensual!K235 * 'Resumen_Cartera'!$Q235, 2), "")</f>
        <v/>
      </c>
      <c r="M235" s="23">
        <f>IF(Saldos_Capital_Mensual!L235&gt;0, ROUND(Saldos_Capital_Mensual!L235 * 'Resumen_Cartera'!$Q235, 2), "")</f>
        <v/>
      </c>
      <c r="N235" s="23">
        <f>IF(Saldos_Capital_Mensual!M235&gt;0, ROUND(Saldos_Capital_Mensual!M235 * 'Resumen_Cartera'!$Q235, 2), "")</f>
        <v/>
      </c>
      <c r="O235" s="23">
        <f>IF(Saldos_Capital_Mensual!N235&gt;0, ROUND(Saldos_Capital_Mensual!N235 * 'Resumen_Cartera'!$Q235, 2), "")</f>
        <v/>
      </c>
      <c r="P235" s="23">
        <f>IF(Saldos_Capital_Mensual!O235&gt;0, ROUND(Saldos_Capital_Mensual!O235 * 'Resumen_Cartera'!$Q235, 2), "")</f>
        <v/>
      </c>
      <c r="Q235" s="23">
        <f>IF(Saldos_Capital_Mensual!P235&gt;0, ROUND(Saldos_Capital_Mensual!P235 * 'Resumen_Cartera'!$Q235, 2), "")</f>
        <v/>
      </c>
      <c r="R235" s="23">
        <f>IF(Saldos_Capital_Mensual!Q235&gt;0, ROUND(Saldos_Capital_Mensual!Q235 * 'Resumen_Cartera'!$Q235, 2), "")</f>
        <v/>
      </c>
      <c r="S235" s="23">
        <f>IF(Saldos_Capital_Mensual!R235&gt;0, ROUND(Saldos_Capital_Mensual!R235 * 'Resumen_Cartera'!$Q235, 2), "")</f>
        <v/>
      </c>
      <c r="T235" s="23">
        <f>IF(Saldos_Capital_Mensual!S235&gt;0, ROUND(Saldos_Capital_Mensual!S235 * 'Resumen_Cartera'!$Q235, 2), "")</f>
        <v/>
      </c>
      <c r="U235" s="23">
        <f>SUM(I235:T235)</f>
        <v/>
      </c>
    </row>
    <row r="236">
      <c r="A236" s="26" t="inlineStr">
        <is>
          <t>0749-0001</t>
        </is>
      </c>
      <c r="B236" s="27" t="inlineStr">
        <is>
          <t>Álvarez Fletes Nacionales, S.C.</t>
        </is>
      </c>
      <c r="C236" s="27" t="inlineStr">
        <is>
          <t>RAM 700 TRADESMAN CC</t>
        </is>
      </c>
      <c r="D236" s="26" t="inlineStr">
        <is>
          <t>ACTIVO</t>
        </is>
      </c>
      <c r="E236" s="26" t="inlineStr">
        <is>
          <t>2026-03-23</t>
        </is>
      </c>
      <c r="F236" s="26" t="inlineStr">
        <is>
          <t>2029-03-23</t>
        </is>
      </c>
      <c r="G236" s="28" t="n">
        <v>36</v>
      </c>
      <c r="H236" s="29" t="n">
        <v>272344.82</v>
      </c>
      <c r="I236" s="29" t="inlineStr"/>
      <c r="J236" s="29" t="inlineStr"/>
      <c r="K236" s="29">
        <f>ROUND('Resumen_Cartera'!$K236 * 'Resumen_Cartera'!$Q236, 2)</f>
        <v/>
      </c>
      <c r="L236" s="29">
        <f>IF(Saldos_Capital_Mensual!K236&gt;0, ROUND(Saldos_Capital_Mensual!K236 * 'Resumen_Cartera'!$Q236, 2), "")</f>
        <v/>
      </c>
      <c r="M236" s="29">
        <f>IF(Saldos_Capital_Mensual!L236&gt;0, ROUND(Saldos_Capital_Mensual!L236 * 'Resumen_Cartera'!$Q236, 2), "")</f>
        <v/>
      </c>
      <c r="N236" s="29">
        <f>IF(Saldos_Capital_Mensual!M236&gt;0, ROUND(Saldos_Capital_Mensual!M236 * 'Resumen_Cartera'!$Q236, 2), "")</f>
        <v/>
      </c>
      <c r="O236" s="29">
        <f>IF(Saldos_Capital_Mensual!N236&gt;0, ROUND(Saldos_Capital_Mensual!N236 * 'Resumen_Cartera'!$Q236, 2), "")</f>
        <v/>
      </c>
      <c r="P236" s="29">
        <f>IF(Saldos_Capital_Mensual!O236&gt;0, ROUND(Saldos_Capital_Mensual!O236 * 'Resumen_Cartera'!$Q236, 2), "")</f>
        <v/>
      </c>
      <c r="Q236" s="29">
        <f>IF(Saldos_Capital_Mensual!P236&gt;0, ROUND(Saldos_Capital_Mensual!P236 * 'Resumen_Cartera'!$Q236, 2), "")</f>
        <v/>
      </c>
      <c r="R236" s="29">
        <f>IF(Saldos_Capital_Mensual!Q236&gt;0, ROUND(Saldos_Capital_Mensual!Q236 * 'Resumen_Cartera'!$Q236, 2), "")</f>
        <v/>
      </c>
      <c r="S236" s="29">
        <f>IF(Saldos_Capital_Mensual!R236&gt;0, ROUND(Saldos_Capital_Mensual!R236 * 'Resumen_Cartera'!$Q236, 2), "")</f>
        <v/>
      </c>
      <c r="T236" s="29">
        <f>IF(Saldos_Capital_Mensual!S236&gt;0, ROUND(Saldos_Capital_Mensual!S236 * 'Resumen_Cartera'!$Q236, 2), "")</f>
        <v/>
      </c>
      <c r="U236" s="29">
        <f>SUM(I236:T236)</f>
        <v/>
      </c>
    </row>
    <row r="237">
      <c r="A237" s="20" t="inlineStr">
        <is>
          <t>0749-0002</t>
        </is>
      </c>
      <c r="B237" s="21" t="inlineStr">
        <is>
          <t>Álvarez Fletes Nacionales, S.C.</t>
        </is>
      </c>
      <c r="C237" s="21" t="inlineStr">
        <is>
          <t>RAM 700 TRADESMAN CC</t>
        </is>
      </c>
      <c r="D237" s="20" t="inlineStr">
        <is>
          <t>ACTIVO</t>
        </is>
      </c>
      <c r="E237" s="20" t="inlineStr">
        <is>
          <t>2026-03-23</t>
        </is>
      </c>
      <c r="F237" s="20" t="inlineStr">
        <is>
          <t>2029-03-23</t>
        </is>
      </c>
      <c r="G237" s="22" t="n">
        <v>36</v>
      </c>
      <c r="H237" s="23" t="n">
        <v>272344.82</v>
      </c>
      <c r="I237" s="23" t="inlineStr"/>
      <c r="J237" s="23" t="inlineStr"/>
      <c r="K237" s="23">
        <f>ROUND('Resumen_Cartera'!$K237 * 'Resumen_Cartera'!$Q237, 2)</f>
        <v/>
      </c>
      <c r="L237" s="23">
        <f>IF(Saldos_Capital_Mensual!K237&gt;0, ROUND(Saldos_Capital_Mensual!K237 * 'Resumen_Cartera'!$Q237, 2), "")</f>
        <v/>
      </c>
      <c r="M237" s="23">
        <f>IF(Saldos_Capital_Mensual!L237&gt;0, ROUND(Saldos_Capital_Mensual!L237 * 'Resumen_Cartera'!$Q237, 2), "")</f>
        <v/>
      </c>
      <c r="N237" s="23">
        <f>IF(Saldos_Capital_Mensual!M237&gt;0, ROUND(Saldos_Capital_Mensual!M237 * 'Resumen_Cartera'!$Q237, 2), "")</f>
        <v/>
      </c>
      <c r="O237" s="23">
        <f>IF(Saldos_Capital_Mensual!N237&gt;0, ROUND(Saldos_Capital_Mensual!N237 * 'Resumen_Cartera'!$Q237, 2), "")</f>
        <v/>
      </c>
      <c r="P237" s="23">
        <f>IF(Saldos_Capital_Mensual!O237&gt;0, ROUND(Saldos_Capital_Mensual!O237 * 'Resumen_Cartera'!$Q237, 2), "")</f>
        <v/>
      </c>
      <c r="Q237" s="23">
        <f>IF(Saldos_Capital_Mensual!P237&gt;0, ROUND(Saldos_Capital_Mensual!P237 * 'Resumen_Cartera'!$Q237, 2), "")</f>
        <v/>
      </c>
      <c r="R237" s="23">
        <f>IF(Saldos_Capital_Mensual!Q237&gt;0, ROUND(Saldos_Capital_Mensual!Q237 * 'Resumen_Cartera'!$Q237, 2), "")</f>
        <v/>
      </c>
      <c r="S237" s="23">
        <f>IF(Saldos_Capital_Mensual!R237&gt;0, ROUND(Saldos_Capital_Mensual!R237 * 'Resumen_Cartera'!$Q237, 2), "")</f>
        <v/>
      </c>
      <c r="T237" s="23">
        <f>IF(Saldos_Capital_Mensual!S237&gt;0, ROUND(Saldos_Capital_Mensual!S237 * 'Resumen_Cartera'!$Q237, 2), "")</f>
        <v/>
      </c>
      <c r="U237" s="23">
        <f>SUM(I237:T237)</f>
        <v/>
      </c>
    </row>
    <row r="238">
      <c r="A238" s="26" t="inlineStr">
        <is>
          <t>0750-0001</t>
        </is>
      </c>
      <c r="B238" s="27" t="inlineStr">
        <is>
          <t>Idea Gelato S de RL de CV</t>
        </is>
      </c>
      <c r="C238" s="27" t="inlineStr">
        <is>
          <t>Expert Furgon</t>
        </is>
      </c>
      <c r="D238" s="26" t="inlineStr">
        <is>
          <t>ACTIVO</t>
        </is>
      </c>
      <c r="E238" s="26" t="inlineStr">
        <is>
          <t>2026-03-31</t>
        </is>
      </c>
      <c r="F238" s="26" t="inlineStr">
        <is>
          <t>2028-03-31</t>
        </is>
      </c>
      <c r="G238" s="28" t="n">
        <v>24</v>
      </c>
      <c r="H238" s="29" t="n">
        <v>424758.62</v>
      </c>
      <c r="I238" s="29" t="inlineStr"/>
      <c r="J238" s="29" t="inlineStr"/>
      <c r="K238" s="29">
        <f>ROUND('Resumen_Cartera'!$K238 * 'Resumen_Cartera'!$Q238, 2)</f>
        <v/>
      </c>
      <c r="L238" s="29">
        <f>IF(Saldos_Capital_Mensual!K238&gt;0, ROUND(Saldos_Capital_Mensual!K238 * 'Resumen_Cartera'!$Q238, 2), "")</f>
        <v/>
      </c>
      <c r="M238" s="29">
        <f>IF(Saldos_Capital_Mensual!L238&gt;0, ROUND(Saldos_Capital_Mensual!L238 * 'Resumen_Cartera'!$Q238, 2), "")</f>
        <v/>
      </c>
      <c r="N238" s="29">
        <f>IF(Saldos_Capital_Mensual!M238&gt;0, ROUND(Saldos_Capital_Mensual!M238 * 'Resumen_Cartera'!$Q238, 2), "")</f>
        <v/>
      </c>
      <c r="O238" s="29">
        <f>IF(Saldos_Capital_Mensual!N238&gt;0, ROUND(Saldos_Capital_Mensual!N238 * 'Resumen_Cartera'!$Q238, 2), "")</f>
        <v/>
      </c>
      <c r="P238" s="29">
        <f>IF(Saldos_Capital_Mensual!O238&gt;0, ROUND(Saldos_Capital_Mensual!O238 * 'Resumen_Cartera'!$Q238, 2), "")</f>
        <v/>
      </c>
      <c r="Q238" s="29">
        <f>IF(Saldos_Capital_Mensual!P238&gt;0, ROUND(Saldos_Capital_Mensual!P238 * 'Resumen_Cartera'!$Q238, 2), "")</f>
        <v/>
      </c>
      <c r="R238" s="29">
        <f>IF(Saldos_Capital_Mensual!Q238&gt;0, ROUND(Saldos_Capital_Mensual!Q238 * 'Resumen_Cartera'!$Q238, 2), "")</f>
        <v/>
      </c>
      <c r="S238" s="29">
        <f>IF(Saldos_Capital_Mensual!R238&gt;0, ROUND(Saldos_Capital_Mensual!R238 * 'Resumen_Cartera'!$Q238, 2), "")</f>
        <v/>
      </c>
      <c r="T238" s="29">
        <f>IF(Saldos_Capital_Mensual!S238&gt;0, ROUND(Saldos_Capital_Mensual!S238 * 'Resumen_Cartera'!$Q238, 2), "")</f>
        <v/>
      </c>
      <c r="U238" s="29">
        <f>SUM(I238:T238)</f>
        <v/>
      </c>
    </row>
    <row r="239">
      <c r="A239" s="20" t="inlineStr">
        <is>
          <t>0752-0001</t>
        </is>
      </c>
      <c r="B239" s="21" t="inlineStr">
        <is>
          <t>Fernando Plasencia Lopez</t>
        </is>
      </c>
      <c r="C239" s="21" t="inlineStr">
        <is>
          <t>Grand Cherokee Limited</t>
        </is>
      </c>
      <c r="D239" s="20" t="inlineStr">
        <is>
          <t>ACTIVO</t>
        </is>
      </c>
      <c r="E239" s="20" t="inlineStr">
        <is>
          <t>2026-03-31</t>
        </is>
      </c>
      <c r="F239" s="20" t="inlineStr">
        <is>
          <t>2028-03-31</t>
        </is>
      </c>
      <c r="G239" s="22" t="n">
        <v>24</v>
      </c>
      <c r="H239" s="23" t="n">
        <v>1085353.45</v>
      </c>
      <c r="I239" s="23" t="inlineStr"/>
      <c r="J239" s="23" t="inlineStr"/>
      <c r="K239" s="23">
        <f>ROUND('Resumen_Cartera'!$K239 * 'Resumen_Cartera'!$Q239, 2)</f>
        <v/>
      </c>
      <c r="L239" s="23">
        <f>IF(Saldos_Capital_Mensual!K239&gt;0, ROUND(Saldos_Capital_Mensual!K239 * 'Resumen_Cartera'!$Q239, 2), "")</f>
        <v/>
      </c>
      <c r="M239" s="23">
        <f>IF(Saldos_Capital_Mensual!L239&gt;0, ROUND(Saldos_Capital_Mensual!L239 * 'Resumen_Cartera'!$Q239, 2), "")</f>
        <v/>
      </c>
      <c r="N239" s="23">
        <f>IF(Saldos_Capital_Mensual!M239&gt;0, ROUND(Saldos_Capital_Mensual!M239 * 'Resumen_Cartera'!$Q239, 2), "")</f>
        <v/>
      </c>
      <c r="O239" s="23">
        <f>IF(Saldos_Capital_Mensual!N239&gt;0, ROUND(Saldos_Capital_Mensual!N239 * 'Resumen_Cartera'!$Q239, 2), "")</f>
        <v/>
      </c>
      <c r="P239" s="23">
        <f>IF(Saldos_Capital_Mensual!O239&gt;0, ROUND(Saldos_Capital_Mensual!O239 * 'Resumen_Cartera'!$Q239, 2), "")</f>
        <v/>
      </c>
      <c r="Q239" s="23">
        <f>IF(Saldos_Capital_Mensual!P239&gt;0, ROUND(Saldos_Capital_Mensual!P239 * 'Resumen_Cartera'!$Q239, 2), "")</f>
        <v/>
      </c>
      <c r="R239" s="23">
        <f>IF(Saldos_Capital_Mensual!Q239&gt;0, ROUND(Saldos_Capital_Mensual!Q239 * 'Resumen_Cartera'!$Q239, 2), "")</f>
        <v/>
      </c>
      <c r="S239" s="23">
        <f>IF(Saldos_Capital_Mensual!R239&gt;0, ROUND(Saldos_Capital_Mensual!R239 * 'Resumen_Cartera'!$Q239, 2), "")</f>
        <v/>
      </c>
      <c r="T239" s="23">
        <f>IF(Saldos_Capital_Mensual!S239&gt;0, ROUND(Saldos_Capital_Mensual!S239 * 'Resumen_Cartera'!$Q239, 2), "")</f>
        <v/>
      </c>
      <c r="U239" s="23">
        <f>SUM(I239:T239)</f>
        <v/>
      </c>
    </row>
    <row r="240">
      <c r="A240" s="26" t="inlineStr">
        <is>
          <t>0752-0002</t>
        </is>
      </c>
      <c r="B240" s="27" t="inlineStr">
        <is>
          <t>Fernando Plasencia Lopez</t>
        </is>
      </c>
      <c r="C240" s="27" t="inlineStr">
        <is>
          <t>Grand Cherokee Altitude</t>
        </is>
      </c>
      <c r="D240" s="26" t="inlineStr">
        <is>
          <t>ACTIVO</t>
        </is>
      </c>
      <c r="E240" s="26" t="inlineStr">
        <is>
          <t>2026-03-31</t>
        </is>
      </c>
      <c r="F240" s="26" t="inlineStr">
        <is>
          <t>2028-03-31</t>
        </is>
      </c>
      <c r="G240" s="28" t="n">
        <v>24</v>
      </c>
      <c r="H240" s="29" t="n">
        <v>923198.27</v>
      </c>
      <c r="I240" s="29" t="inlineStr"/>
      <c r="J240" s="29" t="inlineStr"/>
      <c r="K240" s="29">
        <f>ROUND('Resumen_Cartera'!$K240 * 'Resumen_Cartera'!$Q240, 2)</f>
        <v/>
      </c>
      <c r="L240" s="29">
        <f>IF(Saldos_Capital_Mensual!K240&gt;0, ROUND(Saldos_Capital_Mensual!K240 * 'Resumen_Cartera'!$Q240, 2), "")</f>
        <v/>
      </c>
      <c r="M240" s="29">
        <f>IF(Saldos_Capital_Mensual!L240&gt;0, ROUND(Saldos_Capital_Mensual!L240 * 'Resumen_Cartera'!$Q240, 2), "")</f>
        <v/>
      </c>
      <c r="N240" s="29">
        <f>IF(Saldos_Capital_Mensual!M240&gt;0, ROUND(Saldos_Capital_Mensual!M240 * 'Resumen_Cartera'!$Q240, 2), "")</f>
        <v/>
      </c>
      <c r="O240" s="29">
        <f>IF(Saldos_Capital_Mensual!N240&gt;0, ROUND(Saldos_Capital_Mensual!N240 * 'Resumen_Cartera'!$Q240, 2), "")</f>
        <v/>
      </c>
      <c r="P240" s="29">
        <f>IF(Saldos_Capital_Mensual!O240&gt;0, ROUND(Saldos_Capital_Mensual!O240 * 'Resumen_Cartera'!$Q240, 2), "")</f>
        <v/>
      </c>
      <c r="Q240" s="29">
        <f>IF(Saldos_Capital_Mensual!P240&gt;0, ROUND(Saldos_Capital_Mensual!P240 * 'Resumen_Cartera'!$Q240, 2), "")</f>
        <v/>
      </c>
      <c r="R240" s="29">
        <f>IF(Saldos_Capital_Mensual!Q240&gt;0, ROUND(Saldos_Capital_Mensual!Q240 * 'Resumen_Cartera'!$Q240, 2), "")</f>
        <v/>
      </c>
      <c r="S240" s="29">
        <f>IF(Saldos_Capital_Mensual!R240&gt;0, ROUND(Saldos_Capital_Mensual!R240 * 'Resumen_Cartera'!$Q240, 2), "")</f>
        <v/>
      </c>
      <c r="T240" s="29">
        <f>IF(Saldos_Capital_Mensual!S240&gt;0, ROUND(Saldos_Capital_Mensual!S240 * 'Resumen_Cartera'!$Q240, 2), "")</f>
        <v/>
      </c>
      <c r="U240" s="29">
        <f>SUM(I240:T240)</f>
        <v/>
      </c>
    </row>
    <row r="241">
      <c r="A241" s="20" t="inlineStr">
        <is>
          <t>0752-0003</t>
        </is>
      </c>
      <c r="B241" s="21" t="inlineStr">
        <is>
          <t>Fernando Plasencia Lopez</t>
        </is>
      </c>
      <c r="C241" s="21" t="inlineStr">
        <is>
          <t>Grand Cherokee Summit</t>
        </is>
      </c>
      <c r="D241" s="20" t="inlineStr">
        <is>
          <t>ACTIVO</t>
        </is>
      </c>
      <c r="E241" s="20" t="inlineStr">
        <is>
          <t>2026-05-13</t>
        </is>
      </c>
      <c r="F241" s="20" t="inlineStr">
        <is>
          <t>2028-05-13</t>
        </is>
      </c>
      <c r="G241" s="22" t="n">
        <v>24</v>
      </c>
      <c r="H241" s="23" t="n">
        <v>1328530</v>
      </c>
      <c r="I241" s="23" t="inlineStr"/>
      <c r="J241" s="23" t="inlineStr"/>
      <c r="K241" s="23" t="inlineStr"/>
      <c r="L241" s="23" t="inlineStr"/>
      <c r="M241" s="23">
        <f>ROUND('Resumen_Cartera'!$K241 * 'Resumen_Cartera'!$Q241, 2)</f>
        <v/>
      </c>
      <c r="N241" s="23">
        <f>IF(Saldos_Capital_Mensual!M241&gt;0, ROUND(Saldos_Capital_Mensual!M241 * 'Resumen_Cartera'!$Q241, 2), "")</f>
        <v/>
      </c>
      <c r="O241" s="23">
        <f>IF(Saldos_Capital_Mensual!N241&gt;0, ROUND(Saldos_Capital_Mensual!N241 * 'Resumen_Cartera'!$Q241, 2), "")</f>
        <v/>
      </c>
      <c r="P241" s="23">
        <f>IF(Saldos_Capital_Mensual!O241&gt;0, ROUND(Saldos_Capital_Mensual!O241 * 'Resumen_Cartera'!$Q241, 2), "")</f>
        <v/>
      </c>
      <c r="Q241" s="23">
        <f>IF(Saldos_Capital_Mensual!P241&gt;0, ROUND(Saldos_Capital_Mensual!P241 * 'Resumen_Cartera'!$Q241, 2), "")</f>
        <v/>
      </c>
      <c r="R241" s="23">
        <f>IF(Saldos_Capital_Mensual!Q241&gt;0, ROUND(Saldos_Capital_Mensual!Q241 * 'Resumen_Cartera'!$Q241, 2), "")</f>
        <v/>
      </c>
      <c r="S241" s="23">
        <f>IF(Saldos_Capital_Mensual!R241&gt;0, ROUND(Saldos_Capital_Mensual!R241 * 'Resumen_Cartera'!$Q241, 2), "")</f>
        <v/>
      </c>
      <c r="T241" s="23">
        <f>IF(Saldos_Capital_Mensual!S241&gt;0, ROUND(Saldos_Capital_Mensual!S241 * 'Resumen_Cartera'!$Q241, 2), "")</f>
        <v/>
      </c>
      <c r="U241" s="23">
        <f>SUM(I241:T241)</f>
        <v/>
      </c>
    </row>
    <row r="242">
      <c r="A242" s="26" t="inlineStr">
        <is>
          <t>0752-0004</t>
        </is>
      </c>
      <c r="B242" s="27" t="inlineStr">
        <is>
          <t>Fernando Plasencia Lopez</t>
        </is>
      </c>
      <c r="C242" s="27" t="inlineStr">
        <is>
          <t>1200 BIGHORN CC</t>
        </is>
      </c>
      <c r="D242" s="26" t="inlineStr">
        <is>
          <t>ACTIVO</t>
        </is>
      </c>
      <c r="E242" s="26" t="inlineStr">
        <is>
          <t>2026-06-05</t>
        </is>
      </c>
      <c r="F242" s="26" t="inlineStr">
        <is>
          <t>2030-06-05</t>
        </is>
      </c>
      <c r="G242" s="28" t="n">
        <v>48</v>
      </c>
      <c r="H242" s="29" t="n">
        <v>450002.4</v>
      </c>
      <c r="I242" s="29" t="inlineStr"/>
      <c r="J242" s="29" t="inlineStr"/>
      <c r="K242" s="29" t="inlineStr"/>
      <c r="L242" s="29" t="inlineStr"/>
      <c r="M242" s="29" t="inlineStr"/>
      <c r="N242" s="29">
        <f>ROUND('Resumen_Cartera'!$K242 * 'Resumen_Cartera'!$Q242, 2)</f>
        <v/>
      </c>
      <c r="O242" s="29">
        <f>IF(Saldos_Capital_Mensual!N242&gt;0, ROUND(Saldos_Capital_Mensual!N242 * 'Resumen_Cartera'!$Q242, 2), "")</f>
        <v/>
      </c>
      <c r="P242" s="29">
        <f>IF(Saldos_Capital_Mensual!O242&gt;0, ROUND(Saldos_Capital_Mensual!O242 * 'Resumen_Cartera'!$Q242, 2), "")</f>
        <v/>
      </c>
      <c r="Q242" s="29">
        <f>IF(Saldos_Capital_Mensual!P242&gt;0, ROUND(Saldos_Capital_Mensual!P242 * 'Resumen_Cartera'!$Q242, 2), "")</f>
        <v/>
      </c>
      <c r="R242" s="29">
        <f>IF(Saldos_Capital_Mensual!Q242&gt;0, ROUND(Saldos_Capital_Mensual!Q242 * 'Resumen_Cartera'!$Q242, 2), "")</f>
        <v/>
      </c>
      <c r="S242" s="29">
        <f>IF(Saldos_Capital_Mensual!R242&gt;0, ROUND(Saldos_Capital_Mensual!R242 * 'Resumen_Cartera'!$Q242, 2), "")</f>
        <v/>
      </c>
      <c r="T242" s="29">
        <f>IF(Saldos_Capital_Mensual!S242&gt;0, ROUND(Saldos_Capital_Mensual!S242 * 'Resumen_Cartera'!$Q242, 2), "")</f>
        <v/>
      </c>
      <c r="U242" s="29">
        <f>SUM(I242:T242)</f>
        <v/>
      </c>
    </row>
    <row r="243">
      <c r="A243" s="20" t="inlineStr">
        <is>
          <t>0752-0005</t>
        </is>
      </c>
      <c r="B243" s="21" t="inlineStr">
        <is>
          <t>Fernando Plasencia Lopez</t>
        </is>
      </c>
      <c r="C243" s="21" t="inlineStr">
        <is>
          <t>Grand Charokee Altitude</t>
        </is>
      </c>
      <c r="D243" s="20" t="inlineStr">
        <is>
          <t>ACTIVO</t>
        </is>
      </c>
      <c r="E243" s="20" t="inlineStr">
        <is>
          <t>2026-06-05</t>
        </is>
      </c>
      <c r="F243" s="20" t="inlineStr">
        <is>
          <t>2028-06-05</t>
        </is>
      </c>
      <c r="G243" s="22" t="n">
        <v>24</v>
      </c>
      <c r="H243" s="23" t="n">
        <v>951920</v>
      </c>
      <c r="I243" s="23" t="inlineStr"/>
      <c r="J243" s="23" t="inlineStr"/>
      <c r="K243" s="23" t="inlineStr"/>
      <c r="L243" s="23" t="inlineStr"/>
      <c r="M243" s="23" t="inlineStr"/>
      <c r="N243" s="23">
        <f>ROUND('Resumen_Cartera'!$K243 * 'Resumen_Cartera'!$Q243, 2)</f>
        <v/>
      </c>
      <c r="O243" s="23">
        <f>IF(Saldos_Capital_Mensual!N243&gt;0, ROUND(Saldos_Capital_Mensual!N243 * 'Resumen_Cartera'!$Q243, 2), "")</f>
        <v/>
      </c>
      <c r="P243" s="23">
        <f>IF(Saldos_Capital_Mensual!O243&gt;0, ROUND(Saldos_Capital_Mensual!O243 * 'Resumen_Cartera'!$Q243, 2), "")</f>
        <v/>
      </c>
      <c r="Q243" s="23">
        <f>IF(Saldos_Capital_Mensual!P243&gt;0, ROUND(Saldos_Capital_Mensual!P243 * 'Resumen_Cartera'!$Q243, 2), "")</f>
        <v/>
      </c>
      <c r="R243" s="23">
        <f>IF(Saldos_Capital_Mensual!Q243&gt;0, ROUND(Saldos_Capital_Mensual!Q243 * 'Resumen_Cartera'!$Q243, 2), "")</f>
        <v/>
      </c>
      <c r="S243" s="23">
        <f>IF(Saldos_Capital_Mensual!R243&gt;0, ROUND(Saldos_Capital_Mensual!R243 * 'Resumen_Cartera'!$Q243, 2), "")</f>
        <v/>
      </c>
      <c r="T243" s="23">
        <f>IF(Saldos_Capital_Mensual!S243&gt;0, ROUND(Saldos_Capital_Mensual!S243 * 'Resumen_Cartera'!$Q243, 2), "")</f>
        <v/>
      </c>
      <c r="U243" s="23">
        <f>SUM(I243:T243)</f>
        <v/>
      </c>
    </row>
    <row r="244">
      <c r="A244" s="26" t="inlineStr">
        <is>
          <t>0753-0001</t>
        </is>
      </c>
      <c r="B244" s="27" t="inlineStr">
        <is>
          <t>Milodi Seguridad Privada</t>
        </is>
      </c>
      <c r="C244" s="27" t="inlineStr">
        <is>
          <t>Alsvin</t>
        </is>
      </c>
      <c r="D244" s="26" t="inlineStr">
        <is>
          <t>ACTIVO</t>
        </is>
      </c>
      <c r="E244" s="26" t="inlineStr">
        <is>
          <t>2026-03-31</t>
        </is>
      </c>
      <c r="F244" s="26" t="inlineStr">
        <is>
          <t>2029-03-31</t>
        </is>
      </c>
      <c r="G244" s="28" t="n">
        <v>36</v>
      </c>
      <c r="H244" s="29" t="n">
        <v>197794.4</v>
      </c>
      <c r="I244" s="29" t="inlineStr"/>
      <c r="J244" s="29" t="inlineStr"/>
      <c r="K244" s="29">
        <f>ROUND('Resumen_Cartera'!$K244 * 'Resumen_Cartera'!$Q244, 2)</f>
        <v/>
      </c>
      <c r="L244" s="29">
        <f>IF(Saldos_Capital_Mensual!K244&gt;0, ROUND(Saldos_Capital_Mensual!K244 * 'Resumen_Cartera'!$Q244, 2), "")</f>
        <v/>
      </c>
      <c r="M244" s="29">
        <f>IF(Saldos_Capital_Mensual!L244&gt;0, ROUND(Saldos_Capital_Mensual!L244 * 'Resumen_Cartera'!$Q244, 2), "")</f>
        <v/>
      </c>
      <c r="N244" s="29">
        <f>IF(Saldos_Capital_Mensual!M244&gt;0, ROUND(Saldos_Capital_Mensual!M244 * 'Resumen_Cartera'!$Q244, 2), "")</f>
        <v/>
      </c>
      <c r="O244" s="29">
        <f>IF(Saldos_Capital_Mensual!N244&gt;0, ROUND(Saldos_Capital_Mensual!N244 * 'Resumen_Cartera'!$Q244, 2), "")</f>
        <v/>
      </c>
      <c r="P244" s="29">
        <f>IF(Saldos_Capital_Mensual!O244&gt;0, ROUND(Saldos_Capital_Mensual!O244 * 'Resumen_Cartera'!$Q244, 2), "")</f>
        <v/>
      </c>
      <c r="Q244" s="29">
        <f>IF(Saldos_Capital_Mensual!P244&gt;0, ROUND(Saldos_Capital_Mensual!P244 * 'Resumen_Cartera'!$Q244, 2), "")</f>
        <v/>
      </c>
      <c r="R244" s="29">
        <f>IF(Saldos_Capital_Mensual!Q244&gt;0, ROUND(Saldos_Capital_Mensual!Q244 * 'Resumen_Cartera'!$Q244, 2), "")</f>
        <v/>
      </c>
      <c r="S244" s="29">
        <f>IF(Saldos_Capital_Mensual!R244&gt;0, ROUND(Saldos_Capital_Mensual!R244 * 'Resumen_Cartera'!$Q244, 2), "")</f>
        <v/>
      </c>
      <c r="T244" s="29">
        <f>IF(Saldos_Capital_Mensual!S244&gt;0, ROUND(Saldos_Capital_Mensual!S244 * 'Resumen_Cartera'!$Q244, 2), "")</f>
        <v/>
      </c>
      <c r="U244" s="29">
        <f>SUM(I244:T244)</f>
        <v/>
      </c>
    </row>
    <row r="245">
      <c r="A245" s="20" t="inlineStr">
        <is>
          <t>0753-0003</t>
        </is>
      </c>
      <c r="B245" s="21" t="inlineStr">
        <is>
          <t>Milodi Seguridad Privada</t>
        </is>
      </c>
      <c r="C245" s="21" t="inlineStr">
        <is>
          <t>CS35</t>
        </is>
      </c>
      <c r="D245" s="20" t="inlineStr">
        <is>
          <t>ACTIVO</t>
        </is>
      </c>
      <c r="E245" s="20" t="inlineStr">
        <is>
          <t>2026-06-16</t>
        </is>
      </c>
      <c r="F245" s="20" t="inlineStr">
        <is>
          <t>2029-06-16</t>
        </is>
      </c>
      <c r="G245" s="22" t="n">
        <v>36</v>
      </c>
      <c r="H245" s="23" t="n">
        <v>287155.89</v>
      </c>
      <c r="I245" s="23" t="inlineStr"/>
      <c r="J245" s="23" t="inlineStr"/>
      <c r="K245" s="23" t="inlineStr"/>
      <c r="L245" s="23" t="inlineStr"/>
      <c r="M245" s="23" t="inlineStr"/>
      <c r="N245" s="23">
        <f>ROUND('Resumen_Cartera'!$K245 * 'Resumen_Cartera'!$Q245, 2)</f>
        <v/>
      </c>
      <c r="O245" s="23">
        <f>IF(Saldos_Capital_Mensual!N245&gt;0, ROUND(Saldos_Capital_Mensual!N245 * 'Resumen_Cartera'!$Q245, 2), "")</f>
        <v/>
      </c>
      <c r="P245" s="23">
        <f>IF(Saldos_Capital_Mensual!O245&gt;0, ROUND(Saldos_Capital_Mensual!O245 * 'Resumen_Cartera'!$Q245, 2), "")</f>
        <v/>
      </c>
      <c r="Q245" s="23">
        <f>IF(Saldos_Capital_Mensual!P245&gt;0, ROUND(Saldos_Capital_Mensual!P245 * 'Resumen_Cartera'!$Q245, 2), "")</f>
        <v/>
      </c>
      <c r="R245" s="23">
        <f>IF(Saldos_Capital_Mensual!Q245&gt;0, ROUND(Saldos_Capital_Mensual!Q245 * 'Resumen_Cartera'!$Q245, 2), "")</f>
        <v/>
      </c>
      <c r="S245" s="23">
        <f>IF(Saldos_Capital_Mensual!R245&gt;0, ROUND(Saldos_Capital_Mensual!R245 * 'Resumen_Cartera'!$Q245, 2), "")</f>
        <v/>
      </c>
      <c r="T245" s="23">
        <f>IF(Saldos_Capital_Mensual!S245&gt;0, ROUND(Saldos_Capital_Mensual!S245 * 'Resumen_Cartera'!$Q245, 2), "")</f>
        <v/>
      </c>
      <c r="U245" s="23">
        <f>SUM(I245:T245)</f>
        <v/>
      </c>
    </row>
    <row r="246">
      <c r="A246" s="26" t="inlineStr">
        <is>
          <t>0754-0001</t>
        </is>
      </c>
      <c r="B246" s="27" t="inlineStr">
        <is>
          <t>Luis Guillermo Rios Villaseñor</t>
        </is>
      </c>
      <c r="C246" s="27" t="inlineStr">
        <is>
          <t>2008 GT</t>
        </is>
      </c>
      <c r="D246" s="26" t="inlineStr">
        <is>
          <t>ACTIVO</t>
        </is>
      </c>
      <c r="E246" s="26" t="inlineStr">
        <is>
          <t>2026-04-23</t>
        </is>
      </c>
      <c r="F246" s="26" t="inlineStr">
        <is>
          <t>2028-04-23</t>
        </is>
      </c>
      <c r="G246" s="28" t="n">
        <v>24</v>
      </c>
      <c r="H246" s="29" t="n">
        <v>282267.5</v>
      </c>
      <c r="I246" s="29" t="inlineStr"/>
      <c r="J246" s="29" t="inlineStr"/>
      <c r="K246" s="29" t="inlineStr"/>
      <c r="L246" s="29">
        <f>ROUND('Resumen_Cartera'!$K246 * 'Resumen_Cartera'!$Q246, 2)</f>
        <v/>
      </c>
      <c r="M246" s="29">
        <f>IF(Saldos_Capital_Mensual!L246&gt;0, ROUND(Saldos_Capital_Mensual!L246 * 'Resumen_Cartera'!$Q246, 2), "")</f>
        <v/>
      </c>
      <c r="N246" s="29">
        <f>IF(Saldos_Capital_Mensual!M246&gt;0, ROUND(Saldos_Capital_Mensual!M246 * 'Resumen_Cartera'!$Q246, 2), "")</f>
        <v/>
      </c>
      <c r="O246" s="29">
        <f>IF(Saldos_Capital_Mensual!N246&gt;0, ROUND(Saldos_Capital_Mensual!N246 * 'Resumen_Cartera'!$Q246, 2), "")</f>
        <v/>
      </c>
      <c r="P246" s="29">
        <f>IF(Saldos_Capital_Mensual!O246&gt;0, ROUND(Saldos_Capital_Mensual!O246 * 'Resumen_Cartera'!$Q246, 2), "")</f>
        <v/>
      </c>
      <c r="Q246" s="29">
        <f>IF(Saldos_Capital_Mensual!P246&gt;0, ROUND(Saldos_Capital_Mensual!P246 * 'Resumen_Cartera'!$Q246, 2), "")</f>
        <v/>
      </c>
      <c r="R246" s="29">
        <f>IF(Saldos_Capital_Mensual!Q246&gt;0, ROUND(Saldos_Capital_Mensual!Q246 * 'Resumen_Cartera'!$Q246, 2), "")</f>
        <v/>
      </c>
      <c r="S246" s="29">
        <f>IF(Saldos_Capital_Mensual!R246&gt;0, ROUND(Saldos_Capital_Mensual!R246 * 'Resumen_Cartera'!$Q246, 2), "")</f>
        <v/>
      </c>
      <c r="T246" s="29">
        <f>IF(Saldos_Capital_Mensual!S246&gt;0, ROUND(Saldos_Capital_Mensual!S246 * 'Resumen_Cartera'!$Q246, 2), "")</f>
        <v/>
      </c>
      <c r="U246" s="29">
        <f>SUM(I246:T246)</f>
        <v/>
      </c>
    </row>
    <row r="247">
      <c r="A247" s="20" t="inlineStr">
        <is>
          <t>0755-0001</t>
        </is>
      </c>
      <c r="B247" s="21" t="inlineStr">
        <is>
          <t>Abiam Antonio Reyna Aguilar</t>
        </is>
      </c>
      <c r="C247" s="21" t="inlineStr">
        <is>
          <t>1500 RHO</t>
        </is>
      </c>
      <c r="D247" s="20" t="inlineStr">
        <is>
          <t>ACTIVO</t>
        </is>
      </c>
      <c r="E247" s="20" t="inlineStr">
        <is>
          <t>2026-04-28</t>
        </is>
      </c>
      <c r="F247" s="20" t="inlineStr">
        <is>
          <t>2027-04-28</t>
        </is>
      </c>
      <c r="G247" s="22" t="n">
        <v>12</v>
      </c>
      <c r="H247" s="23" t="n">
        <v>1620689.66</v>
      </c>
      <c r="I247" s="23" t="inlineStr"/>
      <c r="J247" s="23" t="inlineStr"/>
      <c r="K247" s="23" t="inlineStr"/>
      <c r="L247" s="23">
        <f>ROUND('Resumen_Cartera'!$K247 * 'Resumen_Cartera'!$Q247, 2)</f>
        <v/>
      </c>
      <c r="M247" s="23">
        <f>IF(Saldos_Capital_Mensual!L247&gt;0, ROUND(Saldos_Capital_Mensual!L247 * 'Resumen_Cartera'!$Q247, 2), "")</f>
        <v/>
      </c>
      <c r="N247" s="23">
        <f>IF(Saldos_Capital_Mensual!M247&gt;0, ROUND(Saldos_Capital_Mensual!M247 * 'Resumen_Cartera'!$Q247, 2), "")</f>
        <v/>
      </c>
      <c r="O247" s="23">
        <f>IF(Saldos_Capital_Mensual!N247&gt;0, ROUND(Saldos_Capital_Mensual!N247 * 'Resumen_Cartera'!$Q247, 2), "")</f>
        <v/>
      </c>
      <c r="P247" s="23">
        <f>IF(Saldos_Capital_Mensual!O247&gt;0, ROUND(Saldos_Capital_Mensual!O247 * 'Resumen_Cartera'!$Q247, 2), "")</f>
        <v/>
      </c>
      <c r="Q247" s="23">
        <f>IF(Saldos_Capital_Mensual!P247&gt;0, ROUND(Saldos_Capital_Mensual!P247 * 'Resumen_Cartera'!$Q247, 2), "")</f>
        <v/>
      </c>
      <c r="R247" s="23">
        <f>IF(Saldos_Capital_Mensual!Q247&gt;0, ROUND(Saldos_Capital_Mensual!Q247 * 'Resumen_Cartera'!$Q247, 2), "")</f>
        <v/>
      </c>
      <c r="S247" s="23">
        <f>IF(Saldos_Capital_Mensual!R247&gt;0, ROUND(Saldos_Capital_Mensual!R247 * 'Resumen_Cartera'!$Q247, 2), "")</f>
        <v/>
      </c>
      <c r="T247" s="23">
        <f>IF(Saldos_Capital_Mensual!S247&gt;0, ROUND(Saldos_Capital_Mensual!S247 * 'Resumen_Cartera'!$Q247, 2), "")</f>
        <v/>
      </c>
      <c r="U247" s="23">
        <f>SUM(I247:T247)</f>
        <v/>
      </c>
    </row>
    <row r="248">
      <c r="A248" s="26" t="inlineStr">
        <is>
          <t>0756-0001</t>
        </is>
      </c>
      <c r="B248" s="27" t="inlineStr">
        <is>
          <t>Agricola Hortiberry, S.A. de C.V.</t>
        </is>
      </c>
      <c r="C248" s="27" t="inlineStr">
        <is>
          <t>1200  Tradesman Chasis Cabina</t>
        </is>
      </c>
      <c r="D248" s="26" t="inlineStr">
        <is>
          <t>ACTIVO</t>
        </is>
      </c>
      <c r="E248" s="26" t="inlineStr">
        <is>
          <t>2026-05-06</t>
        </is>
      </c>
      <c r="F248" s="26" t="inlineStr">
        <is>
          <t>2030-05-06</t>
        </is>
      </c>
      <c r="G248" s="28" t="n">
        <v>48</v>
      </c>
      <c r="H248" s="29" t="n">
        <v>272791.8</v>
      </c>
      <c r="I248" s="29" t="inlineStr"/>
      <c r="J248" s="29" t="inlineStr"/>
      <c r="K248" s="29" t="inlineStr"/>
      <c r="L248" s="29" t="inlineStr"/>
      <c r="M248" s="29">
        <f>ROUND('Resumen_Cartera'!$K248 * 'Resumen_Cartera'!$Q248, 2)</f>
        <v/>
      </c>
      <c r="N248" s="29">
        <f>IF(Saldos_Capital_Mensual!M248&gt;0, ROUND(Saldos_Capital_Mensual!M248 * 'Resumen_Cartera'!$Q248, 2), "")</f>
        <v/>
      </c>
      <c r="O248" s="29">
        <f>IF(Saldos_Capital_Mensual!N248&gt;0, ROUND(Saldos_Capital_Mensual!N248 * 'Resumen_Cartera'!$Q248, 2), "")</f>
        <v/>
      </c>
      <c r="P248" s="29">
        <f>IF(Saldos_Capital_Mensual!O248&gt;0, ROUND(Saldos_Capital_Mensual!O248 * 'Resumen_Cartera'!$Q248, 2), "")</f>
        <v/>
      </c>
      <c r="Q248" s="29">
        <f>IF(Saldos_Capital_Mensual!P248&gt;0, ROUND(Saldos_Capital_Mensual!P248 * 'Resumen_Cartera'!$Q248, 2), "")</f>
        <v/>
      </c>
      <c r="R248" s="29">
        <f>IF(Saldos_Capital_Mensual!Q248&gt;0, ROUND(Saldos_Capital_Mensual!Q248 * 'Resumen_Cartera'!$Q248, 2), "")</f>
        <v/>
      </c>
      <c r="S248" s="29">
        <f>IF(Saldos_Capital_Mensual!R248&gt;0, ROUND(Saldos_Capital_Mensual!R248 * 'Resumen_Cartera'!$Q248, 2), "")</f>
        <v/>
      </c>
      <c r="T248" s="29">
        <f>IF(Saldos_Capital_Mensual!S248&gt;0, ROUND(Saldos_Capital_Mensual!S248 * 'Resumen_Cartera'!$Q248, 2), "")</f>
        <v/>
      </c>
      <c r="U248" s="29">
        <f>SUM(I248:T248)</f>
        <v/>
      </c>
    </row>
    <row r="249">
      <c r="A249" s="20" t="inlineStr">
        <is>
          <t>0757-0001</t>
        </is>
      </c>
      <c r="B249" s="21" t="inlineStr">
        <is>
          <t>Corporativo de Servicios Integrales de Occidente, S.A. de C.V.</t>
        </is>
      </c>
      <c r="C249" s="21" t="inlineStr">
        <is>
          <t>CX5</t>
        </is>
      </c>
      <c r="D249" s="20" t="inlineStr">
        <is>
          <t>ACTIVO</t>
        </is>
      </c>
      <c r="E249" s="20" t="inlineStr">
        <is>
          <t>2026-05-13</t>
        </is>
      </c>
      <c r="F249" s="20" t="inlineStr">
        <is>
          <t>2028-05-13</t>
        </is>
      </c>
      <c r="G249" s="22" t="n">
        <v>24</v>
      </c>
      <c r="H249" s="23" t="n">
        <v>575920</v>
      </c>
      <c r="I249" s="23" t="inlineStr"/>
      <c r="J249" s="23" t="inlineStr"/>
      <c r="K249" s="23" t="inlineStr"/>
      <c r="L249" s="23" t="inlineStr"/>
      <c r="M249" s="23">
        <f>ROUND('Resumen_Cartera'!$K249 * 'Resumen_Cartera'!$Q249, 2)</f>
        <v/>
      </c>
      <c r="N249" s="23">
        <f>IF(Saldos_Capital_Mensual!M249&gt;0, ROUND(Saldos_Capital_Mensual!M249 * 'Resumen_Cartera'!$Q249, 2), "")</f>
        <v/>
      </c>
      <c r="O249" s="23">
        <f>IF(Saldos_Capital_Mensual!N249&gt;0, ROUND(Saldos_Capital_Mensual!N249 * 'Resumen_Cartera'!$Q249, 2), "")</f>
        <v/>
      </c>
      <c r="P249" s="23">
        <f>IF(Saldos_Capital_Mensual!O249&gt;0, ROUND(Saldos_Capital_Mensual!O249 * 'Resumen_Cartera'!$Q249, 2), "")</f>
        <v/>
      </c>
      <c r="Q249" s="23">
        <f>IF(Saldos_Capital_Mensual!P249&gt;0, ROUND(Saldos_Capital_Mensual!P249 * 'Resumen_Cartera'!$Q249, 2), "")</f>
        <v/>
      </c>
      <c r="R249" s="23">
        <f>IF(Saldos_Capital_Mensual!Q249&gt;0, ROUND(Saldos_Capital_Mensual!Q249 * 'Resumen_Cartera'!$Q249, 2), "")</f>
        <v/>
      </c>
      <c r="S249" s="23">
        <f>IF(Saldos_Capital_Mensual!R249&gt;0, ROUND(Saldos_Capital_Mensual!R249 * 'Resumen_Cartera'!$Q249, 2), "")</f>
        <v/>
      </c>
      <c r="T249" s="23">
        <f>IF(Saldos_Capital_Mensual!S249&gt;0, ROUND(Saldos_Capital_Mensual!S249 * 'Resumen_Cartera'!$Q249, 2), "")</f>
        <v/>
      </c>
      <c r="U249" s="23">
        <f>SUM(I249:T249)</f>
        <v/>
      </c>
    </row>
    <row r="250">
      <c r="A250" s="26" t="inlineStr">
        <is>
          <t>0757-0002</t>
        </is>
      </c>
      <c r="B250" s="27" t="inlineStr">
        <is>
          <t>Corporativo de Servicios Integrales de Occidente, S.A. de C.V.</t>
        </is>
      </c>
      <c r="C250" s="27" t="inlineStr">
        <is>
          <t>Leapmotor B10 2026</t>
        </is>
      </c>
      <c r="D250" s="26" t="inlineStr">
        <is>
          <t>ACTIVO</t>
        </is>
      </c>
      <c r="E250" s="26" t="inlineStr">
        <is>
          <t>2026-07-31</t>
        </is>
      </c>
      <c r="F250" s="26" t="inlineStr">
        <is>
          <t>2029-07-31</t>
        </is>
      </c>
      <c r="G250" s="28" t="n">
        <v>36</v>
      </c>
      <c r="H250" s="29" t="n">
        <v>298706.9</v>
      </c>
      <c r="I250" s="29" t="inlineStr"/>
      <c r="J250" s="29" t="inlineStr"/>
      <c r="K250" s="29" t="inlineStr"/>
      <c r="L250" s="29" t="inlineStr"/>
      <c r="M250" s="29" t="inlineStr"/>
      <c r="N250" s="29" t="inlineStr"/>
      <c r="O250" s="29">
        <f>ROUND('Resumen_Cartera'!$K250 * 'Resumen_Cartera'!$Q250, 2)</f>
        <v/>
      </c>
      <c r="P250" s="29">
        <f>IF(Saldos_Capital_Mensual!O250&gt;0, ROUND(Saldos_Capital_Mensual!O250 * 'Resumen_Cartera'!$Q250, 2), "")</f>
        <v/>
      </c>
      <c r="Q250" s="29">
        <f>IF(Saldos_Capital_Mensual!P250&gt;0, ROUND(Saldos_Capital_Mensual!P250 * 'Resumen_Cartera'!$Q250, 2), "")</f>
        <v/>
      </c>
      <c r="R250" s="29">
        <f>IF(Saldos_Capital_Mensual!Q250&gt;0, ROUND(Saldos_Capital_Mensual!Q250 * 'Resumen_Cartera'!$Q250, 2), "")</f>
        <v/>
      </c>
      <c r="S250" s="29">
        <f>IF(Saldos_Capital_Mensual!R250&gt;0, ROUND(Saldos_Capital_Mensual!R250 * 'Resumen_Cartera'!$Q250, 2), "")</f>
        <v/>
      </c>
      <c r="T250" s="29">
        <f>IF(Saldos_Capital_Mensual!S250&gt;0, ROUND(Saldos_Capital_Mensual!S250 * 'Resumen_Cartera'!$Q250, 2), "")</f>
        <v/>
      </c>
      <c r="U250" s="29">
        <f>SUM(I250:T250)</f>
        <v/>
      </c>
    </row>
    <row r="251">
      <c r="A251" s="20" t="inlineStr">
        <is>
          <t>0758-0001</t>
        </is>
      </c>
      <c r="B251" s="21" t="inlineStr">
        <is>
          <t>Comedores y Servicios Industriales CAMSAA, S.A. de C.V.</t>
        </is>
      </c>
      <c r="C251" s="21" t="inlineStr">
        <is>
          <t>Partner Rapid</t>
        </is>
      </c>
      <c r="D251" s="20" t="inlineStr">
        <is>
          <t>ACTIVO</t>
        </is>
      </c>
      <c r="E251" s="20" t="inlineStr">
        <is>
          <t>2026-05-08</t>
        </is>
      </c>
      <c r="F251" s="20" t="inlineStr">
        <is>
          <t>2028-05-08</t>
        </is>
      </c>
      <c r="G251" s="22" t="n">
        <v>24</v>
      </c>
      <c r="H251" s="23" t="n">
        <v>304560</v>
      </c>
      <c r="I251" s="23" t="inlineStr"/>
      <c r="J251" s="23" t="inlineStr"/>
      <c r="K251" s="23" t="inlineStr"/>
      <c r="L251" s="23" t="inlineStr"/>
      <c r="M251" s="23">
        <f>ROUND('Resumen_Cartera'!$K251 * 'Resumen_Cartera'!$Q251, 2)</f>
        <v/>
      </c>
      <c r="N251" s="23">
        <f>IF(Saldos_Capital_Mensual!M251&gt;0, ROUND(Saldos_Capital_Mensual!M251 * 'Resumen_Cartera'!$Q251, 2), "")</f>
        <v/>
      </c>
      <c r="O251" s="23">
        <f>IF(Saldos_Capital_Mensual!N251&gt;0, ROUND(Saldos_Capital_Mensual!N251 * 'Resumen_Cartera'!$Q251, 2), "")</f>
        <v/>
      </c>
      <c r="P251" s="23">
        <f>IF(Saldos_Capital_Mensual!O251&gt;0, ROUND(Saldos_Capital_Mensual!O251 * 'Resumen_Cartera'!$Q251, 2), "")</f>
        <v/>
      </c>
      <c r="Q251" s="23">
        <f>IF(Saldos_Capital_Mensual!P251&gt;0, ROUND(Saldos_Capital_Mensual!P251 * 'Resumen_Cartera'!$Q251, 2), "")</f>
        <v/>
      </c>
      <c r="R251" s="23">
        <f>IF(Saldos_Capital_Mensual!Q251&gt;0, ROUND(Saldos_Capital_Mensual!Q251 * 'Resumen_Cartera'!$Q251, 2), "")</f>
        <v/>
      </c>
      <c r="S251" s="23">
        <f>IF(Saldos_Capital_Mensual!R251&gt;0, ROUND(Saldos_Capital_Mensual!R251 * 'Resumen_Cartera'!$Q251, 2), "")</f>
        <v/>
      </c>
      <c r="T251" s="23">
        <f>IF(Saldos_Capital_Mensual!S251&gt;0, ROUND(Saldos_Capital_Mensual!S251 * 'Resumen_Cartera'!$Q251, 2), "")</f>
        <v/>
      </c>
      <c r="U251" s="23">
        <f>SUM(I251:T251)</f>
        <v/>
      </c>
    </row>
    <row r="252">
      <c r="A252" s="26" t="inlineStr">
        <is>
          <t>0759-0001</t>
        </is>
      </c>
      <c r="B252" s="27" t="inlineStr">
        <is>
          <t>Construcciones Ligeras Frin, S.A. de C.V.</t>
        </is>
      </c>
      <c r="C252" s="27" t="inlineStr">
        <is>
          <t>700 BIGHORN CREW CAB</t>
        </is>
      </c>
      <c r="D252" s="26" t="inlineStr">
        <is>
          <t>ACTIVO</t>
        </is>
      </c>
      <c r="E252" s="26" t="inlineStr">
        <is>
          <t>2026-05-14</t>
        </is>
      </c>
      <c r="F252" s="26" t="inlineStr">
        <is>
          <t>2029-05-14</t>
        </is>
      </c>
      <c r="G252" s="28" t="n">
        <v>36</v>
      </c>
      <c r="H252" s="29" t="n">
        <v>311920</v>
      </c>
      <c r="I252" s="29" t="inlineStr"/>
      <c r="J252" s="29" t="inlineStr"/>
      <c r="K252" s="29" t="inlineStr"/>
      <c r="L252" s="29" t="inlineStr"/>
      <c r="M252" s="29">
        <f>ROUND('Resumen_Cartera'!$K252 * 'Resumen_Cartera'!$Q252, 2)</f>
        <v/>
      </c>
      <c r="N252" s="29">
        <f>IF(Saldos_Capital_Mensual!M252&gt;0, ROUND(Saldos_Capital_Mensual!M252 * 'Resumen_Cartera'!$Q252, 2), "")</f>
        <v/>
      </c>
      <c r="O252" s="29">
        <f>IF(Saldos_Capital_Mensual!N252&gt;0, ROUND(Saldos_Capital_Mensual!N252 * 'Resumen_Cartera'!$Q252, 2), "")</f>
        <v/>
      </c>
      <c r="P252" s="29">
        <f>IF(Saldos_Capital_Mensual!O252&gt;0, ROUND(Saldos_Capital_Mensual!O252 * 'Resumen_Cartera'!$Q252, 2), "")</f>
        <v/>
      </c>
      <c r="Q252" s="29">
        <f>IF(Saldos_Capital_Mensual!P252&gt;0, ROUND(Saldos_Capital_Mensual!P252 * 'Resumen_Cartera'!$Q252, 2), "")</f>
        <v/>
      </c>
      <c r="R252" s="29">
        <f>IF(Saldos_Capital_Mensual!Q252&gt;0, ROUND(Saldos_Capital_Mensual!Q252 * 'Resumen_Cartera'!$Q252, 2), "")</f>
        <v/>
      </c>
      <c r="S252" s="29">
        <f>IF(Saldos_Capital_Mensual!R252&gt;0, ROUND(Saldos_Capital_Mensual!R252 * 'Resumen_Cartera'!$Q252, 2), "")</f>
        <v/>
      </c>
      <c r="T252" s="29">
        <f>IF(Saldos_Capital_Mensual!S252&gt;0, ROUND(Saldos_Capital_Mensual!S252 * 'Resumen_Cartera'!$Q252, 2), "")</f>
        <v/>
      </c>
      <c r="U252" s="29">
        <f>SUM(I252:T252)</f>
        <v/>
      </c>
    </row>
    <row r="253">
      <c r="A253" s="20" t="inlineStr">
        <is>
          <t>0759-0002</t>
        </is>
      </c>
      <c r="B253" s="21" t="inlineStr">
        <is>
          <t>Construcciones Ligeras Frin, S.A. de C.V.</t>
        </is>
      </c>
      <c r="C253" s="21" t="inlineStr">
        <is>
          <t>700 TRADESMAN CREW CAB</t>
        </is>
      </c>
      <c r="D253" s="20" t="inlineStr">
        <is>
          <t>ACTIVO</t>
        </is>
      </c>
      <c r="E253" s="20" t="inlineStr">
        <is>
          <t>2026-05-14</t>
        </is>
      </c>
      <c r="F253" s="20" t="inlineStr">
        <is>
          <t>2029-05-14</t>
        </is>
      </c>
      <c r="G253" s="22" t="n">
        <v>36</v>
      </c>
      <c r="H253" s="23" t="n">
        <v>287920</v>
      </c>
      <c r="I253" s="23" t="inlineStr"/>
      <c r="J253" s="23" t="inlineStr"/>
      <c r="K253" s="23" t="inlineStr"/>
      <c r="L253" s="23" t="inlineStr"/>
      <c r="M253" s="23">
        <f>ROUND('Resumen_Cartera'!$K253 * 'Resumen_Cartera'!$Q253, 2)</f>
        <v/>
      </c>
      <c r="N253" s="23">
        <f>IF(Saldos_Capital_Mensual!M253&gt;0, ROUND(Saldos_Capital_Mensual!M253 * 'Resumen_Cartera'!$Q253, 2), "")</f>
        <v/>
      </c>
      <c r="O253" s="23">
        <f>IF(Saldos_Capital_Mensual!N253&gt;0, ROUND(Saldos_Capital_Mensual!N253 * 'Resumen_Cartera'!$Q253, 2), "")</f>
        <v/>
      </c>
      <c r="P253" s="23">
        <f>IF(Saldos_Capital_Mensual!O253&gt;0, ROUND(Saldos_Capital_Mensual!O253 * 'Resumen_Cartera'!$Q253, 2), "")</f>
        <v/>
      </c>
      <c r="Q253" s="23">
        <f>IF(Saldos_Capital_Mensual!P253&gt;0, ROUND(Saldos_Capital_Mensual!P253 * 'Resumen_Cartera'!$Q253, 2), "")</f>
        <v/>
      </c>
      <c r="R253" s="23">
        <f>IF(Saldos_Capital_Mensual!Q253&gt;0, ROUND(Saldos_Capital_Mensual!Q253 * 'Resumen_Cartera'!$Q253, 2), "")</f>
        <v/>
      </c>
      <c r="S253" s="23">
        <f>IF(Saldos_Capital_Mensual!R253&gt;0, ROUND(Saldos_Capital_Mensual!R253 * 'Resumen_Cartera'!$Q253, 2), "")</f>
        <v/>
      </c>
      <c r="T253" s="23">
        <f>IF(Saldos_Capital_Mensual!S253&gt;0, ROUND(Saldos_Capital_Mensual!S253 * 'Resumen_Cartera'!$Q253, 2), "")</f>
        <v/>
      </c>
      <c r="U253" s="23">
        <f>SUM(I253:T253)</f>
        <v/>
      </c>
    </row>
    <row r="254">
      <c r="A254" s="26" t="inlineStr">
        <is>
          <t>0760-0001</t>
        </is>
      </c>
      <c r="B254" s="27" t="inlineStr">
        <is>
          <t>Armando Candelario Figueroa</t>
        </is>
      </c>
      <c r="C254" s="27" t="inlineStr">
        <is>
          <t>1200 TRADESMAN CHASIS CABINA</t>
        </is>
      </c>
      <c r="D254" s="26" t="inlineStr">
        <is>
          <t>ACTIVO</t>
        </is>
      </c>
      <c r="E254" s="26" t="inlineStr">
        <is>
          <t>2026-05-18</t>
        </is>
      </c>
      <c r="F254" s="26" t="inlineStr">
        <is>
          <t>2030-05-18</t>
        </is>
      </c>
      <c r="G254" s="28" t="n">
        <v>48</v>
      </c>
      <c r="H254" s="29" t="n">
        <v>291902.1</v>
      </c>
      <c r="I254" s="29" t="inlineStr"/>
      <c r="J254" s="29" t="inlineStr"/>
      <c r="K254" s="29" t="inlineStr"/>
      <c r="L254" s="29" t="inlineStr"/>
      <c r="M254" s="29">
        <f>ROUND('Resumen_Cartera'!$K254 * 'Resumen_Cartera'!$Q254, 2)</f>
        <v/>
      </c>
      <c r="N254" s="29">
        <f>IF(Saldos_Capital_Mensual!M254&gt;0, ROUND(Saldos_Capital_Mensual!M254 * 'Resumen_Cartera'!$Q254, 2), "")</f>
        <v/>
      </c>
      <c r="O254" s="29">
        <f>IF(Saldos_Capital_Mensual!N254&gt;0, ROUND(Saldos_Capital_Mensual!N254 * 'Resumen_Cartera'!$Q254, 2), "")</f>
        <v/>
      </c>
      <c r="P254" s="29">
        <f>IF(Saldos_Capital_Mensual!O254&gt;0, ROUND(Saldos_Capital_Mensual!O254 * 'Resumen_Cartera'!$Q254, 2), "")</f>
        <v/>
      </c>
      <c r="Q254" s="29">
        <f>IF(Saldos_Capital_Mensual!P254&gt;0, ROUND(Saldos_Capital_Mensual!P254 * 'Resumen_Cartera'!$Q254, 2), "")</f>
        <v/>
      </c>
      <c r="R254" s="29">
        <f>IF(Saldos_Capital_Mensual!Q254&gt;0, ROUND(Saldos_Capital_Mensual!Q254 * 'Resumen_Cartera'!$Q254, 2), "")</f>
        <v/>
      </c>
      <c r="S254" s="29">
        <f>IF(Saldos_Capital_Mensual!R254&gt;0, ROUND(Saldos_Capital_Mensual!R254 * 'Resumen_Cartera'!$Q254, 2), "")</f>
        <v/>
      </c>
      <c r="T254" s="29">
        <f>IF(Saldos_Capital_Mensual!S254&gt;0, ROUND(Saldos_Capital_Mensual!S254 * 'Resumen_Cartera'!$Q254, 2), "")</f>
        <v/>
      </c>
      <c r="U254" s="29">
        <f>SUM(I254:T254)</f>
        <v/>
      </c>
    </row>
    <row r="255">
      <c r="A255" s="20" t="inlineStr">
        <is>
          <t>0761-0001</t>
        </is>
      </c>
      <c r="B255" s="21" t="inlineStr">
        <is>
          <t>Total Experience Produce, S.A.P.I. de C.V.</t>
        </is>
      </c>
      <c r="C255" s="21" t="inlineStr">
        <is>
          <t>700 BIGHORN CREW CAB</t>
        </is>
      </c>
      <c r="D255" s="20" t="inlineStr">
        <is>
          <t>ACTIVO</t>
        </is>
      </c>
      <c r="E255" s="20" t="inlineStr">
        <is>
          <t>2026-05-18</t>
        </is>
      </c>
      <c r="F255" s="20" t="inlineStr">
        <is>
          <t>2030-05-18</t>
        </is>
      </c>
      <c r="G255" s="22" t="n">
        <v>48</v>
      </c>
      <c r="H255" s="23" t="n">
        <v>360810</v>
      </c>
      <c r="I255" s="23" t="inlineStr"/>
      <c r="J255" s="23" t="inlineStr"/>
      <c r="K255" s="23" t="inlineStr"/>
      <c r="L255" s="23" t="inlineStr"/>
      <c r="M255" s="23">
        <f>ROUND('Resumen_Cartera'!$K255 * 'Resumen_Cartera'!$Q255, 2)</f>
        <v/>
      </c>
      <c r="N255" s="23">
        <f>IF(Saldos_Capital_Mensual!M255&gt;0, ROUND(Saldos_Capital_Mensual!M255 * 'Resumen_Cartera'!$Q255, 2), "")</f>
        <v/>
      </c>
      <c r="O255" s="23">
        <f>IF(Saldos_Capital_Mensual!N255&gt;0, ROUND(Saldos_Capital_Mensual!N255 * 'Resumen_Cartera'!$Q255, 2), "")</f>
        <v/>
      </c>
      <c r="P255" s="23">
        <f>IF(Saldos_Capital_Mensual!O255&gt;0, ROUND(Saldos_Capital_Mensual!O255 * 'Resumen_Cartera'!$Q255, 2), "")</f>
        <v/>
      </c>
      <c r="Q255" s="23">
        <f>IF(Saldos_Capital_Mensual!P255&gt;0, ROUND(Saldos_Capital_Mensual!P255 * 'Resumen_Cartera'!$Q255, 2), "")</f>
        <v/>
      </c>
      <c r="R255" s="23">
        <f>IF(Saldos_Capital_Mensual!Q255&gt;0, ROUND(Saldos_Capital_Mensual!Q255 * 'Resumen_Cartera'!$Q255, 2), "")</f>
        <v/>
      </c>
      <c r="S255" s="23">
        <f>IF(Saldos_Capital_Mensual!R255&gt;0, ROUND(Saldos_Capital_Mensual!R255 * 'Resumen_Cartera'!$Q255, 2), "")</f>
        <v/>
      </c>
      <c r="T255" s="23">
        <f>IF(Saldos_Capital_Mensual!S255&gt;0, ROUND(Saldos_Capital_Mensual!S255 * 'Resumen_Cartera'!$Q255, 2), "")</f>
        <v/>
      </c>
      <c r="U255" s="23">
        <f>SUM(I255:T255)</f>
        <v/>
      </c>
    </row>
    <row r="256">
      <c r="A256" s="26" t="inlineStr">
        <is>
          <t>0763-0001</t>
        </is>
      </c>
      <c r="B256" s="27" t="inlineStr">
        <is>
          <t>Francisco Javier Fernández Gutiérrez</t>
        </is>
      </c>
      <c r="C256" s="27" t="inlineStr">
        <is>
          <t>1500 RHO</t>
        </is>
      </c>
      <c r="D256" s="26" t="inlineStr">
        <is>
          <t>ACTIVO</t>
        </is>
      </c>
      <c r="E256" s="26" t="inlineStr">
        <is>
          <t>2026-05-28</t>
        </is>
      </c>
      <c r="F256" s="26" t="inlineStr">
        <is>
          <t>2029-05-28</t>
        </is>
      </c>
      <c r="G256" s="28" t="n">
        <v>36</v>
      </c>
      <c r="H256" s="29" t="n">
        <v>1864000</v>
      </c>
      <c r="I256" s="29" t="inlineStr"/>
      <c r="J256" s="29" t="inlineStr"/>
      <c r="K256" s="29" t="inlineStr"/>
      <c r="L256" s="29" t="inlineStr"/>
      <c r="M256" s="29">
        <f>ROUND('Resumen_Cartera'!$K256 * 'Resumen_Cartera'!$Q256, 2)</f>
        <v/>
      </c>
      <c r="N256" s="29">
        <f>IF(Saldos_Capital_Mensual!M256&gt;0, ROUND(Saldos_Capital_Mensual!M256 * 'Resumen_Cartera'!$Q256, 2), "")</f>
        <v/>
      </c>
      <c r="O256" s="29">
        <f>IF(Saldos_Capital_Mensual!N256&gt;0, ROUND(Saldos_Capital_Mensual!N256 * 'Resumen_Cartera'!$Q256, 2), "")</f>
        <v/>
      </c>
      <c r="P256" s="29">
        <f>IF(Saldos_Capital_Mensual!O256&gt;0, ROUND(Saldos_Capital_Mensual!O256 * 'Resumen_Cartera'!$Q256, 2), "")</f>
        <v/>
      </c>
      <c r="Q256" s="29">
        <f>IF(Saldos_Capital_Mensual!P256&gt;0, ROUND(Saldos_Capital_Mensual!P256 * 'Resumen_Cartera'!$Q256, 2), "")</f>
        <v/>
      </c>
      <c r="R256" s="29">
        <f>IF(Saldos_Capital_Mensual!Q256&gt;0, ROUND(Saldos_Capital_Mensual!Q256 * 'Resumen_Cartera'!$Q256, 2), "")</f>
        <v/>
      </c>
      <c r="S256" s="29">
        <f>IF(Saldos_Capital_Mensual!R256&gt;0, ROUND(Saldos_Capital_Mensual!R256 * 'Resumen_Cartera'!$Q256, 2), "")</f>
        <v/>
      </c>
      <c r="T256" s="29">
        <f>IF(Saldos_Capital_Mensual!S256&gt;0, ROUND(Saldos_Capital_Mensual!S256 * 'Resumen_Cartera'!$Q256, 2), "")</f>
        <v/>
      </c>
      <c r="U256" s="29">
        <f>SUM(I256:T256)</f>
        <v/>
      </c>
    </row>
    <row r="257">
      <c r="A257" s="20" t="inlineStr">
        <is>
          <t>0764-0001</t>
        </is>
      </c>
      <c r="B257" s="21" t="inlineStr">
        <is>
          <t>Inspectores Marítimos de México, S. de R.L. de C.V.</t>
        </is>
      </c>
      <c r="C257" s="21" t="inlineStr">
        <is>
          <t>1200 Bighorn</t>
        </is>
      </c>
      <c r="D257" s="20" t="inlineStr">
        <is>
          <t>ACTIVO</t>
        </is>
      </c>
      <c r="E257" s="20" t="inlineStr">
        <is>
          <t>2026-06-30</t>
        </is>
      </c>
      <c r="F257" s="20" t="inlineStr">
        <is>
          <t>2029-06-30</t>
        </is>
      </c>
      <c r="G257" s="22" t="n">
        <v>36</v>
      </c>
      <c r="H257" s="23" t="n">
        <v>344940</v>
      </c>
      <c r="I257" s="23" t="inlineStr"/>
      <c r="J257" s="23" t="inlineStr"/>
      <c r="K257" s="23" t="inlineStr"/>
      <c r="L257" s="23" t="inlineStr"/>
      <c r="M257" s="23" t="inlineStr"/>
      <c r="N257" s="23">
        <f>ROUND('Resumen_Cartera'!$K257 * 'Resumen_Cartera'!$Q257, 2)</f>
        <v/>
      </c>
      <c r="O257" s="23">
        <f>IF(Saldos_Capital_Mensual!N257&gt;0, ROUND(Saldos_Capital_Mensual!N257 * 'Resumen_Cartera'!$Q257, 2), "")</f>
        <v/>
      </c>
      <c r="P257" s="23">
        <f>IF(Saldos_Capital_Mensual!O257&gt;0, ROUND(Saldos_Capital_Mensual!O257 * 'Resumen_Cartera'!$Q257, 2), "")</f>
        <v/>
      </c>
      <c r="Q257" s="23">
        <f>IF(Saldos_Capital_Mensual!P257&gt;0, ROUND(Saldos_Capital_Mensual!P257 * 'Resumen_Cartera'!$Q257, 2), "")</f>
        <v/>
      </c>
      <c r="R257" s="23">
        <f>IF(Saldos_Capital_Mensual!Q257&gt;0, ROUND(Saldos_Capital_Mensual!Q257 * 'Resumen_Cartera'!$Q257, 2), "")</f>
        <v/>
      </c>
      <c r="S257" s="23">
        <f>IF(Saldos_Capital_Mensual!R257&gt;0, ROUND(Saldos_Capital_Mensual!R257 * 'Resumen_Cartera'!$Q257, 2), "")</f>
        <v/>
      </c>
      <c r="T257" s="23">
        <f>IF(Saldos_Capital_Mensual!S257&gt;0, ROUND(Saldos_Capital_Mensual!S257 * 'Resumen_Cartera'!$Q257, 2), "")</f>
        <v/>
      </c>
      <c r="U257" s="23">
        <f>SUM(I257:T257)</f>
        <v/>
      </c>
    </row>
    <row r="258">
      <c r="A258" s="26" t="inlineStr">
        <is>
          <t>0765-0001</t>
        </is>
      </c>
      <c r="B258" s="27" t="inlineStr">
        <is>
          <t>Rafael Soltero Sánchez</t>
        </is>
      </c>
      <c r="C258" s="27" t="inlineStr">
        <is>
          <t>1200 Bighorn</t>
        </is>
      </c>
      <c r="D258" s="26" t="inlineStr">
        <is>
          <t>ACTIVO</t>
        </is>
      </c>
      <c r="E258" s="26" t="inlineStr">
        <is>
          <t>2026-06-30</t>
        </is>
      </c>
      <c r="F258" s="26" t="inlineStr">
        <is>
          <t>2030-06-30</t>
        </is>
      </c>
      <c r="G258" s="28" t="n">
        <v>48</v>
      </c>
      <c r="H258" s="29" t="n">
        <v>544410</v>
      </c>
      <c r="I258" s="29" t="inlineStr"/>
      <c r="J258" s="29" t="inlineStr"/>
      <c r="K258" s="29" t="inlineStr"/>
      <c r="L258" s="29" t="inlineStr"/>
      <c r="M258" s="29" t="inlineStr"/>
      <c r="N258" s="29">
        <f>ROUND('Resumen_Cartera'!$K258 * 'Resumen_Cartera'!$Q258, 2)</f>
        <v/>
      </c>
      <c r="O258" s="29">
        <f>IF(Saldos_Capital_Mensual!N258&gt;0, ROUND(Saldos_Capital_Mensual!N258 * 'Resumen_Cartera'!$Q258, 2), "")</f>
        <v/>
      </c>
      <c r="P258" s="29">
        <f>IF(Saldos_Capital_Mensual!O258&gt;0, ROUND(Saldos_Capital_Mensual!O258 * 'Resumen_Cartera'!$Q258, 2), "")</f>
        <v/>
      </c>
      <c r="Q258" s="29">
        <f>IF(Saldos_Capital_Mensual!P258&gt;0, ROUND(Saldos_Capital_Mensual!P258 * 'Resumen_Cartera'!$Q258, 2), "")</f>
        <v/>
      </c>
      <c r="R258" s="29">
        <f>IF(Saldos_Capital_Mensual!Q258&gt;0, ROUND(Saldos_Capital_Mensual!Q258 * 'Resumen_Cartera'!$Q258, 2), "")</f>
        <v/>
      </c>
      <c r="S258" s="29">
        <f>IF(Saldos_Capital_Mensual!R258&gt;0, ROUND(Saldos_Capital_Mensual!R258 * 'Resumen_Cartera'!$Q258, 2), "")</f>
        <v/>
      </c>
      <c r="T258" s="29">
        <f>IF(Saldos_Capital_Mensual!S258&gt;0, ROUND(Saldos_Capital_Mensual!S258 * 'Resumen_Cartera'!$Q258, 2), "")</f>
        <v/>
      </c>
      <c r="U258" s="29">
        <f>SUM(I258:T258)</f>
        <v/>
      </c>
    </row>
    <row r="259">
      <c r="A259" s="20" t="inlineStr">
        <is>
          <t>0766-0001</t>
        </is>
      </c>
      <c r="B259" s="21" t="inlineStr">
        <is>
          <t>Javier Alejandro Carbajal Chávez</t>
        </is>
      </c>
      <c r="C259" s="21" t="inlineStr">
        <is>
          <t>Jt Rubicon</t>
        </is>
      </c>
      <c r="D259" s="20" t="inlineStr">
        <is>
          <t>ACTIVO</t>
        </is>
      </c>
      <c r="E259" s="20" t="inlineStr">
        <is>
          <t>2026-06-30</t>
        </is>
      </c>
      <c r="F259" s="20" t="inlineStr">
        <is>
          <t>2030-06-30</t>
        </is>
      </c>
      <c r="G259" s="22" t="n">
        <v>48</v>
      </c>
      <c r="H259" s="23" t="n">
        <v>1419210</v>
      </c>
      <c r="I259" s="23" t="inlineStr"/>
      <c r="J259" s="23" t="inlineStr"/>
      <c r="K259" s="23" t="inlineStr"/>
      <c r="L259" s="23" t="inlineStr"/>
      <c r="M259" s="23" t="inlineStr"/>
      <c r="N259" s="23">
        <f>ROUND('Resumen_Cartera'!$K259 * 'Resumen_Cartera'!$Q259, 2)</f>
        <v/>
      </c>
      <c r="O259" s="23">
        <f>IF(Saldos_Capital_Mensual!N259&gt;0, ROUND(Saldos_Capital_Mensual!N259 * 'Resumen_Cartera'!$Q259, 2), "")</f>
        <v/>
      </c>
      <c r="P259" s="23">
        <f>IF(Saldos_Capital_Mensual!O259&gt;0, ROUND(Saldos_Capital_Mensual!O259 * 'Resumen_Cartera'!$Q259, 2), "")</f>
        <v/>
      </c>
      <c r="Q259" s="23">
        <f>IF(Saldos_Capital_Mensual!P259&gt;0, ROUND(Saldos_Capital_Mensual!P259 * 'Resumen_Cartera'!$Q259, 2), "")</f>
        <v/>
      </c>
      <c r="R259" s="23">
        <f>IF(Saldos_Capital_Mensual!Q259&gt;0, ROUND(Saldos_Capital_Mensual!Q259 * 'Resumen_Cartera'!$Q259, 2), "")</f>
        <v/>
      </c>
      <c r="S259" s="23">
        <f>IF(Saldos_Capital_Mensual!R259&gt;0, ROUND(Saldos_Capital_Mensual!R259 * 'Resumen_Cartera'!$Q259, 2), "")</f>
        <v/>
      </c>
      <c r="T259" s="23">
        <f>IF(Saldos_Capital_Mensual!S259&gt;0, ROUND(Saldos_Capital_Mensual!S259 * 'Resumen_Cartera'!$Q259, 2), "")</f>
        <v/>
      </c>
      <c r="U259" s="23">
        <f>SUM(I259:T259)</f>
        <v/>
      </c>
    </row>
    <row r="260">
      <c r="A260" s="26" t="inlineStr">
        <is>
          <t>0767-0001</t>
        </is>
      </c>
      <c r="B260" s="27" t="inlineStr">
        <is>
          <t>Carlos Alberto Gutiérrez Hermosillo López</t>
        </is>
      </c>
      <c r="C260" s="27" t="inlineStr">
        <is>
          <t>Commander Overland</t>
        </is>
      </c>
      <c r="D260" s="26" t="inlineStr">
        <is>
          <t>ACTIVO</t>
        </is>
      </c>
      <c r="E260" s="26" t="inlineStr">
        <is>
          <t>2026-06-30</t>
        </is>
      </c>
      <c r="F260" s="26" t="inlineStr">
        <is>
          <t>2030-06-30</t>
        </is>
      </c>
      <c r="G260" s="28" t="n">
        <v>48</v>
      </c>
      <c r="H260" s="29" t="n">
        <v>503230</v>
      </c>
      <c r="I260" s="29" t="inlineStr"/>
      <c r="J260" s="29" t="inlineStr"/>
      <c r="K260" s="29" t="inlineStr"/>
      <c r="L260" s="29" t="inlineStr"/>
      <c r="M260" s="29" t="inlineStr"/>
      <c r="N260" s="29">
        <f>ROUND('Resumen_Cartera'!$K260 * 'Resumen_Cartera'!$Q260, 2)</f>
        <v/>
      </c>
      <c r="O260" s="29">
        <f>IF(Saldos_Capital_Mensual!N260&gt;0, ROUND(Saldos_Capital_Mensual!N260 * 'Resumen_Cartera'!$Q260, 2), "")</f>
        <v/>
      </c>
      <c r="P260" s="29">
        <f>IF(Saldos_Capital_Mensual!O260&gt;0, ROUND(Saldos_Capital_Mensual!O260 * 'Resumen_Cartera'!$Q260, 2), "")</f>
        <v/>
      </c>
      <c r="Q260" s="29">
        <f>IF(Saldos_Capital_Mensual!P260&gt;0, ROUND(Saldos_Capital_Mensual!P260 * 'Resumen_Cartera'!$Q260, 2), "")</f>
        <v/>
      </c>
      <c r="R260" s="29">
        <f>IF(Saldos_Capital_Mensual!Q260&gt;0, ROUND(Saldos_Capital_Mensual!Q260 * 'Resumen_Cartera'!$Q260, 2), "")</f>
        <v/>
      </c>
      <c r="S260" s="29">
        <f>IF(Saldos_Capital_Mensual!R260&gt;0, ROUND(Saldos_Capital_Mensual!R260 * 'Resumen_Cartera'!$Q260, 2), "")</f>
        <v/>
      </c>
      <c r="T260" s="29">
        <f>IF(Saldos_Capital_Mensual!S260&gt;0, ROUND(Saldos_Capital_Mensual!S260 * 'Resumen_Cartera'!$Q260, 2), "")</f>
        <v/>
      </c>
      <c r="U260" s="29">
        <f>SUM(I260:T260)</f>
        <v/>
      </c>
    </row>
    <row r="261">
      <c r="A261" s="20" t="inlineStr">
        <is>
          <t>0768-0001</t>
        </is>
      </c>
      <c r="B261" s="21" t="inlineStr">
        <is>
          <t>Distribuidora y Comercializadora 2000, S.A. de C.V.</t>
        </is>
      </c>
      <c r="C261" s="21" t="inlineStr">
        <is>
          <t>Manager Furgon L4H2</t>
        </is>
      </c>
      <c r="D261" s="20" t="inlineStr">
        <is>
          <t>ACTIVO</t>
        </is>
      </c>
      <c r="E261" s="20" t="inlineStr">
        <is>
          <t>2026-06-29</t>
        </is>
      </c>
      <c r="F261" s="20" t="inlineStr">
        <is>
          <t>2027-06-29</t>
        </is>
      </c>
      <c r="G261" s="22" t="n">
        <v>12</v>
      </c>
      <c r="H261" s="23" t="n">
        <v>748170</v>
      </c>
      <c r="I261" s="23" t="inlineStr"/>
      <c r="J261" s="23" t="inlineStr"/>
      <c r="K261" s="23" t="inlineStr"/>
      <c r="L261" s="23" t="inlineStr"/>
      <c r="M261" s="23" t="inlineStr"/>
      <c r="N261" s="23">
        <f>ROUND('Resumen_Cartera'!$K261 * 'Resumen_Cartera'!$Q261, 2)</f>
        <v/>
      </c>
      <c r="O261" s="23">
        <f>IF(Saldos_Capital_Mensual!N261&gt;0, ROUND(Saldos_Capital_Mensual!N261 * 'Resumen_Cartera'!$Q261, 2), "")</f>
        <v/>
      </c>
      <c r="P261" s="23">
        <f>IF(Saldos_Capital_Mensual!O261&gt;0, ROUND(Saldos_Capital_Mensual!O261 * 'Resumen_Cartera'!$Q261, 2), "")</f>
        <v/>
      </c>
      <c r="Q261" s="23">
        <f>IF(Saldos_Capital_Mensual!P261&gt;0, ROUND(Saldos_Capital_Mensual!P261 * 'Resumen_Cartera'!$Q261, 2), "")</f>
        <v/>
      </c>
      <c r="R261" s="23">
        <f>IF(Saldos_Capital_Mensual!Q261&gt;0, ROUND(Saldos_Capital_Mensual!Q261 * 'Resumen_Cartera'!$Q261, 2), "")</f>
        <v/>
      </c>
      <c r="S261" s="23">
        <f>IF(Saldos_Capital_Mensual!R261&gt;0, ROUND(Saldos_Capital_Mensual!R261 * 'Resumen_Cartera'!$Q261, 2), "")</f>
        <v/>
      </c>
      <c r="T261" s="23">
        <f>IF(Saldos_Capital_Mensual!S261&gt;0, ROUND(Saldos_Capital_Mensual!S261 * 'Resumen_Cartera'!$Q261, 2), "")</f>
        <v/>
      </c>
      <c r="U261" s="23">
        <f>SUM(I261:T261)</f>
        <v/>
      </c>
    </row>
    <row r="262">
      <c r="A262" s="26" t="inlineStr">
        <is>
          <t>0768-0002</t>
        </is>
      </c>
      <c r="B262" s="27" t="inlineStr">
        <is>
          <t>Distribuidora y Comercializadora 2000, S.A. de C.V.</t>
        </is>
      </c>
      <c r="C262" s="27" t="inlineStr">
        <is>
          <t>Manager Furgon L4H2</t>
        </is>
      </c>
      <c r="D262" s="26" t="inlineStr">
        <is>
          <t>ACTIVO</t>
        </is>
      </c>
      <c r="E262" s="26" t="inlineStr">
        <is>
          <t>2026-06-29</t>
        </is>
      </c>
      <c r="F262" s="26" t="inlineStr">
        <is>
          <t>2027-06-29</t>
        </is>
      </c>
      <c r="G262" s="28" t="n">
        <v>12</v>
      </c>
      <c r="H262" s="29" t="n">
        <v>770850</v>
      </c>
      <c r="I262" s="29" t="inlineStr"/>
      <c r="J262" s="29" t="inlineStr"/>
      <c r="K262" s="29" t="inlineStr"/>
      <c r="L262" s="29" t="inlineStr"/>
      <c r="M262" s="29" t="inlineStr"/>
      <c r="N262" s="29">
        <f>ROUND('Resumen_Cartera'!$K262 * 'Resumen_Cartera'!$Q262, 2)</f>
        <v/>
      </c>
      <c r="O262" s="29">
        <f>IF(Saldos_Capital_Mensual!N262&gt;0, ROUND(Saldos_Capital_Mensual!N262 * 'Resumen_Cartera'!$Q262, 2), "")</f>
        <v/>
      </c>
      <c r="P262" s="29">
        <f>IF(Saldos_Capital_Mensual!O262&gt;0, ROUND(Saldos_Capital_Mensual!O262 * 'Resumen_Cartera'!$Q262, 2), "")</f>
        <v/>
      </c>
      <c r="Q262" s="29">
        <f>IF(Saldos_Capital_Mensual!P262&gt;0, ROUND(Saldos_Capital_Mensual!P262 * 'Resumen_Cartera'!$Q262, 2), "")</f>
        <v/>
      </c>
      <c r="R262" s="29">
        <f>IF(Saldos_Capital_Mensual!Q262&gt;0, ROUND(Saldos_Capital_Mensual!Q262 * 'Resumen_Cartera'!$Q262, 2), "")</f>
        <v/>
      </c>
      <c r="S262" s="29">
        <f>IF(Saldos_Capital_Mensual!R262&gt;0, ROUND(Saldos_Capital_Mensual!R262 * 'Resumen_Cartera'!$Q262, 2), "")</f>
        <v/>
      </c>
      <c r="T262" s="29">
        <f>IF(Saldos_Capital_Mensual!S262&gt;0, ROUND(Saldos_Capital_Mensual!S262 * 'Resumen_Cartera'!$Q262, 2), "")</f>
        <v/>
      </c>
      <c r="U262" s="29">
        <f>SUM(I262:T262)</f>
        <v/>
      </c>
    </row>
    <row r="263">
      <c r="A263" s="20" t="inlineStr">
        <is>
          <t>0769-0001</t>
        </is>
      </c>
      <c r="B263" s="21" t="inlineStr">
        <is>
          <t>Paloma Bernhardt Partida</t>
        </is>
      </c>
      <c r="C263" s="21" t="inlineStr">
        <is>
          <t>700 TRADESMAN CREW CAB</t>
        </is>
      </c>
      <c r="D263" s="20" t="inlineStr">
        <is>
          <t>ACTIVO</t>
        </is>
      </c>
      <c r="E263" s="20" t="inlineStr">
        <is>
          <t>2026-06-29</t>
        </is>
      </c>
      <c r="F263" s="20" t="inlineStr">
        <is>
          <t>2029-06-29</t>
        </is>
      </c>
      <c r="G263" s="22" t="n">
        <v>36</v>
      </c>
      <c r="H263" s="23" t="n">
        <v>344747.7</v>
      </c>
      <c r="I263" s="23" t="inlineStr"/>
      <c r="J263" s="23" t="inlineStr"/>
      <c r="K263" s="23" t="inlineStr"/>
      <c r="L263" s="23" t="inlineStr"/>
      <c r="M263" s="23" t="inlineStr"/>
      <c r="N263" s="23">
        <f>ROUND('Resumen_Cartera'!$K263 * 'Resumen_Cartera'!$Q263, 2)</f>
        <v/>
      </c>
      <c r="O263" s="23">
        <f>IF(Saldos_Capital_Mensual!N263&gt;0, ROUND(Saldos_Capital_Mensual!N263 * 'Resumen_Cartera'!$Q263, 2), "")</f>
        <v/>
      </c>
      <c r="P263" s="23">
        <f>IF(Saldos_Capital_Mensual!O263&gt;0, ROUND(Saldos_Capital_Mensual!O263 * 'Resumen_Cartera'!$Q263, 2), "")</f>
        <v/>
      </c>
      <c r="Q263" s="23">
        <f>IF(Saldos_Capital_Mensual!P263&gt;0, ROUND(Saldos_Capital_Mensual!P263 * 'Resumen_Cartera'!$Q263, 2), "")</f>
        <v/>
      </c>
      <c r="R263" s="23">
        <f>IF(Saldos_Capital_Mensual!Q263&gt;0, ROUND(Saldos_Capital_Mensual!Q263 * 'Resumen_Cartera'!$Q263, 2), "")</f>
        <v/>
      </c>
      <c r="S263" s="23">
        <f>IF(Saldos_Capital_Mensual!R263&gt;0, ROUND(Saldos_Capital_Mensual!R263 * 'Resumen_Cartera'!$Q263, 2), "")</f>
        <v/>
      </c>
      <c r="T263" s="23">
        <f>IF(Saldos_Capital_Mensual!S263&gt;0, ROUND(Saldos_Capital_Mensual!S263 * 'Resumen_Cartera'!$Q263, 2), "")</f>
        <v/>
      </c>
      <c r="U263" s="23">
        <f>SUM(I263:T263)</f>
        <v/>
      </c>
    </row>
    <row r="264">
      <c r="A264" s="26" t="inlineStr">
        <is>
          <t>0769-0002</t>
        </is>
      </c>
      <c r="B264" s="27" t="inlineStr">
        <is>
          <t>Paloma Bernhardt Partida</t>
        </is>
      </c>
      <c r="C264" s="27" t="inlineStr">
        <is>
          <t>Ram 700 Tradesman 2026</t>
        </is>
      </c>
      <c r="D264" s="26" t="inlineStr">
        <is>
          <t>ACTIVO</t>
        </is>
      </c>
      <c r="E264" s="26" t="inlineStr">
        <is>
          <t>2026-09-23</t>
        </is>
      </c>
      <c r="F264" s="26" t="inlineStr">
        <is>
          <t>2029-09-23</t>
        </is>
      </c>
      <c r="G264" s="28" t="n">
        <v>36</v>
      </c>
      <c r="H264" s="29" t="n">
        <v>299830.35</v>
      </c>
      <c r="I264" s="29" t="inlineStr"/>
      <c r="J264" s="29" t="inlineStr"/>
      <c r="K264" s="29" t="inlineStr"/>
      <c r="L264" s="29" t="inlineStr"/>
      <c r="M264" s="29" t="inlineStr"/>
      <c r="N264" s="29" t="inlineStr"/>
      <c r="O264" s="29" t="inlineStr"/>
      <c r="P264" s="29" t="inlineStr"/>
      <c r="Q264" s="29">
        <f>ROUND('Resumen_Cartera'!$K264 * 'Resumen_Cartera'!$Q264, 2)</f>
        <v/>
      </c>
      <c r="R264" s="29">
        <f>IF(Saldos_Capital_Mensual!Q264&gt;0, ROUND(Saldos_Capital_Mensual!Q264 * 'Resumen_Cartera'!$Q264, 2), "")</f>
        <v/>
      </c>
      <c r="S264" s="29">
        <f>IF(Saldos_Capital_Mensual!R264&gt;0, ROUND(Saldos_Capital_Mensual!R264 * 'Resumen_Cartera'!$Q264, 2), "")</f>
        <v/>
      </c>
      <c r="T264" s="29">
        <f>IF(Saldos_Capital_Mensual!S264&gt;0, ROUND(Saldos_Capital_Mensual!S264 * 'Resumen_Cartera'!$Q264, 2), "")</f>
        <v/>
      </c>
      <c r="U264" s="29">
        <f>SUM(I264:T264)</f>
        <v/>
      </c>
    </row>
    <row r="265">
      <c r="A265" s="20" t="inlineStr">
        <is>
          <t>0770-0001</t>
        </is>
      </c>
      <c r="B265" s="21" t="inlineStr">
        <is>
          <t>Jorge Octavio Micher Camarena</t>
        </is>
      </c>
      <c r="C265" s="21" t="inlineStr">
        <is>
          <t>Jeep Cherokee Overland 2026</t>
        </is>
      </c>
      <c r="D265" s="20" t="inlineStr">
        <is>
          <t>ACTIVO</t>
        </is>
      </c>
      <c r="E265" s="20" t="inlineStr">
        <is>
          <t>2026-07-24</t>
        </is>
      </c>
      <c r="F265" s="20" t="inlineStr">
        <is>
          <t>2029-07-24</t>
        </is>
      </c>
      <c r="G265" s="22" t="n">
        <v>36</v>
      </c>
      <c r="H265" s="23" t="n">
        <v>550286.3</v>
      </c>
      <c r="I265" s="23" t="inlineStr"/>
      <c r="J265" s="23" t="inlineStr"/>
      <c r="K265" s="23" t="inlineStr"/>
      <c r="L265" s="23" t="inlineStr"/>
      <c r="M265" s="23" t="inlineStr"/>
      <c r="N265" s="23" t="inlineStr"/>
      <c r="O265" s="23">
        <f>ROUND('Resumen_Cartera'!$K265 * 'Resumen_Cartera'!$Q265, 2)</f>
        <v/>
      </c>
      <c r="P265" s="23">
        <f>IF(Saldos_Capital_Mensual!O265&gt;0, ROUND(Saldos_Capital_Mensual!O265 * 'Resumen_Cartera'!$Q265, 2), "")</f>
        <v/>
      </c>
      <c r="Q265" s="23">
        <f>IF(Saldos_Capital_Mensual!P265&gt;0, ROUND(Saldos_Capital_Mensual!P265 * 'Resumen_Cartera'!$Q265, 2), "")</f>
        <v/>
      </c>
      <c r="R265" s="23">
        <f>IF(Saldos_Capital_Mensual!Q265&gt;0, ROUND(Saldos_Capital_Mensual!Q265 * 'Resumen_Cartera'!$Q265, 2), "")</f>
        <v/>
      </c>
      <c r="S265" s="23">
        <f>IF(Saldos_Capital_Mensual!R265&gt;0, ROUND(Saldos_Capital_Mensual!R265 * 'Resumen_Cartera'!$Q265, 2), "")</f>
        <v/>
      </c>
      <c r="T265" s="23">
        <f>IF(Saldos_Capital_Mensual!S265&gt;0, ROUND(Saldos_Capital_Mensual!S265 * 'Resumen_Cartera'!$Q265, 2), "")</f>
        <v/>
      </c>
      <c r="U265" s="23">
        <f>SUM(I265:T265)</f>
        <v/>
      </c>
    </row>
    <row r="266">
      <c r="A266" s="26" t="inlineStr">
        <is>
          <t>0771-0001</t>
        </is>
      </c>
      <c r="B266" s="27" t="inlineStr">
        <is>
          <t>Inbcom de Colima</t>
        </is>
      </c>
      <c r="C266" s="27" t="inlineStr">
        <is>
          <t>Ram 1200 Tradesman CC 2026</t>
        </is>
      </c>
      <c r="D266" s="26" t="inlineStr">
        <is>
          <t>ACTIVO</t>
        </is>
      </c>
      <c r="E266" s="26" t="inlineStr">
        <is>
          <t>2026-07-31</t>
        </is>
      </c>
      <c r="F266" s="26" t="inlineStr">
        <is>
          <t>2027-07-31</t>
        </is>
      </c>
      <c r="G266" s="28" t="n">
        <v>12</v>
      </c>
      <c r="H266" s="29" t="n">
        <v>391732.76</v>
      </c>
      <c r="I266" s="29" t="inlineStr"/>
      <c r="J266" s="29" t="inlineStr"/>
      <c r="K266" s="29" t="inlineStr"/>
      <c r="L266" s="29" t="inlineStr"/>
      <c r="M266" s="29" t="inlineStr"/>
      <c r="N266" s="29" t="inlineStr"/>
      <c r="O266" s="29">
        <f>ROUND('Resumen_Cartera'!$K266 * 'Resumen_Cartera'!$Q266, 2)</f>
        <v/>
      </c>
      <c r="P266" s="29">
        <f>IF(Saldos_Capital_Mensual!O266&gt;0, ROUND(Saldos_Capital_Mensual!O266 * 'Resumen_Cartera'!$Q266, 2), "")</f>
        <v/>
      </c>
      <c r="Q266" s="29">
        <f>IF(Saldos_Capital_Mensual!P266&gt;0, ROUND(Saldos_Capital_Mensual!P266 * 'Resumen_Cartera'!$Q266, 2), "")</f>
        <v/>
      </c>
      <c r="R266" s="29">
        <f>IF(Saldos_Capital_Mensual!Q266&gt;0, ROUND(Saldos_Capital_Mensual!Q266 * 'Resumen_Cartera'!$Q266, 2), "")</f>
        <v/>
      </c>
      <c r="S266" s="29">
        <f>IF(Saldos_Capital_Mensual!R266&gt;0, ROUND(Saldos_Capital_Mensual!R266 * 'Resumen_Cartera'!$Q266, 2), "")</f>
        <v/>
      </c>
      <c r="T266" s="29">
        <f>IF(Saldos_Capital_Mensual!S266&gt;0, ROUND(Saldos_Capital_Mensual!S266 * 'Resumen_Cartera'!$Q266, 2), "")</f>
        <v/>
      </c>
      <c r="U266" s="29">
        <f>SUM(I266:T266)</f>
        <v/>
      </c>
    </row>
    <row r="267">
      <c r="A267" s="20" t="inlineStr">
        <is>
          <t>0772-0001</t>
        </is>
      </c>
      <c r="B267" s="21" t="inlineStr">
        <is>
          <t>Logistica y Transporte de Carga LGT</t>
        </is>
      </c>
      <c r="C267" s="21" t="inlineStr">
        <is>
          <t>Ram 1200 Laramie 2026</t>
        </is>
      </c>
      <c r="D267" s="20" t="inlineStr">
        <is>
          <t>ACTIVO</t>
        </is>
      </c>
      <c r="E267" s="20" t="inlineStr">
        <is>
          <t>2026-07-31</t>
        </is>
      </c>
      <c r="F267" s="20" t="inlineStr">
        <is>
          <t>2030-07-31</t>
        </is>
      </c>
      <c r="G267" s="22" t="n">
        <v>48</v>
      </c>
      <c r="H267" s="23" t="n">
        <v>479241.38</v>
      </c>
      <c r="I267" s="23" t="inlineStr"/>
      <c r="J267" s="23" t="inlineStr"/>
      <c r="K267" s="23" t="inlineStr"/>
      <c r="L267" s="23" t="inlineStr"/>
      <c r="M267" s="23" t="inlineStr"/>
      <c r="N267" s="23" t="inlineStr"/>
      <c r="O267" s="23">
        <f>ROUND('Resumen_Cartera'!$K267 * 'Resumen_Cartera'!$Q267, 2)</f>
        <v/>
      </c>
      <c r="P267" s="23">
        <f>IF(Saldos_Capital_Mensual!O267&gt;0, ROUND(Saldos_Capital_Mensual!O267 * 'Resumen_Cartera'!$Q267, 2), "")</f>
        <v/>
      </c>
      <c r="Q267" s="23">
        <f>IF(Saldos_Capital_Mensual!P267&gt;0, ROUND(Saldos_Capital_Mensual!P267 * 'Resumen_Cartera'!$Q267, 2), "")</f>
        <v/>
      </c>
      <c r="R267" s="23">
        <f>IF(Saldos_Capital_Mensual!Q267&gt;0, ROUND(Saldos_Capital_Mensual!Q267 * 'Resumen_Cartera'!$Q267, 2), "")</f>
        <v/>
      </c>
      <c r="S267" s="23">
        <f>IF(Saldos_Capital_Mensual!R267&gt;0, ROUND(Saldos_Capital_Mensual!R267 * 'Resumen_Cartera'!$Q267, 2), "")</f>
        <v/>
      </c>
      <c r="T267" s="23">
        <f>IF(Saldos_Capital_Mensual!S267&gt;0, ROUND(Saldos_Capital_Mensual!S267 * 'Resumen_Cartera'!$Q267, 2), "")</f>
        <v/>
      </c>
      <c r="U267" s="23">
        <f>SUM(I267:T267)</f>
        <v/>
      </c>
    </row>
    <row r="268">
      <c r="A268" s="26" t="inlineStr">
        <is>
          <t>0773-0001</t>
        </is>
      </c>
      <c r="B268" s="27" t="inlineStr">
        <is>
          <t>Industrias Besthelg, S.A. de C.V.</t>
        </is>
      </c>
      <c r="C268" s="27" t="inlineStr">
        <is>
          <t>Peugeot Manager Furgon L2H2 2026</t>
        </is>
      </c>
      <c r="D268" s="26" t="inlineStr">
        <is>
          <t>ACTIVO</t>
        </is>
      </c>
      <c r="E268" s="26" t="inlineStr">
        <is>
          <t>2026-08-06</t>
        </is>
      </c>
      <c r="F268" s="26" t="inlineStr">
        <is>
          <t>2029-08-06</t>
        </is>
      </c>
      <c r="G268" s="28" t="n">
        <v>36</v>
      </c>
      <c r="H268" s="29" t="n">
        <v>664461.12</v>
      </c>
      <c r="I268" s="29" t="inlineStr"/>
      <c r="J268" s="29" t="inlineStr"/>
      <c r="K268" s="29" t="inlineStr"/>
      <c r="L268" s="29" t="inlineStr"/>
      <c r="M268" s="29" t="inlineStr"/>
      <c r="N268" s="29" t="inlineStr"/>
      <c r="O268" s="29" t="inlineStr"/>
      <c r="P268" s="29">
        <f>ROUND('Resumen_Cartera'!$K268 * 'Resumen_Cartera'!$Q268, 2)</f>
        <v/>
      </c>
      <c r="Q268" s="29">
        <f>IF(Saldos_Capital_Mensual!P268&gt;0, ROUND(Saldos_Capital_Mensual!P268 * 'Resumen_Cartera'!$Q268, 2), "")</f>
        <v/>
      </c>
      <c r="R268" s="29">
        <f>IF(Saldos_Capital_Mensual!Q268&gt;0, ROUND(Saldos_Capital_Mensual!Q268 * 'Resumen_Cartera'!$Q268, 2), "")</f>
        <v/>
      </c>
      <c r="S268" s="29">
        <f>IF(Saldos_Capital_Mensual!R268&gt;0, ROUND(Saldos_Capital_Mensual!R268 * 'Resumen_Cartera'!$Q268, 2), "")</f>
        <v/>
      </c>
      <c r="T268" s="29">
        <f>IF(Saldos_Capital_Mensual!S268&gt;0, ROUND(Saldos_Capital_Mensual!S268 * 'Resumen_Cartera'!$Q268, 2), "")</f>
        <v/>
      </c>
      <c r="U268" s="29">
        <f>SUM(I268:T268)</f>
        <v/>
      </c>
    </row>
    <row r="269">
      <c r="A269" s="20" t="inlineStr">
        <is>
          <t>0773-0002</t>
        </is>
      </c>
      <c r="B269" s="21" t="inlineStr">
        <is>
          <t>Industrias Besthelg, S.A. de C.V.</t>
        </is>
      </c>
      <c r="C269" s="21" t="inlineStr">
        <is>
          <t>Peugeot Manager L4H2 2027</t>
        </is>
      </c>
      <c r="D269" s="20" t="inlineStr">
        <is>
          <t>ACTIVO</t>
        </is>
      </c>
      <c r="E269" s="20" t="inlineStr">
        <is>
          <t>2026-07-31</t>
        </is>
      </c>
      <c r="F269" s="20" t="inlineStr">
        <is>
          <t>2029-07-31</t>
        </is>
      </c>
      <c r="G269" s="22" t="n">
        <v>36</v>
      </c>
      <c r="H269" s="23" t="n">
        <v>761120.6899999999</v>
      </c>
      <c r="I269" s="23" t="inlineStr"/>
      <c r="J269" s="23" t="inlineStr"/>
      <c r="K269" s="23" t="inlineStr"/>
      <c r="L269" s="23" t="inlineStr"/>
      <c r="M269" s="23" t="inlineStr"/>
      <c r="N269" s="23" t="inlineStr"/>
      <c r="O269" s="23">
        <f>ROUND('Resumen_Cartera'!$K269 * 'Resumen_Cartera'!$Q269, 2)</f>
        <v/>
      </c>
      <c r="P269" s="23">
        <f>IF(Saldos_Capital_Mensual!O269&gt;0, ROUND(Saldos_Capital_Mensual!O269 * 'Resumen_Cartera'!$Q269, 2), "")</f>
        <v/>
      </c>
      <c r="Q269" s="23">
        <f>IF(Saldos_Capital_Mensual!P269&gt;0, ROUND(Saldos_Capital_Mensual!P269 * 'Resumen_Cartera'!$Q269, 2), "")</f>
        <v/>
      </c>
      <c r="R269" s="23">
        <f>IF(Saldos_Capital_Mensual!Q269&gt;0, ROUND(Saldos_Capital_Mensual!Q269 * 'Resumen_Cartera'!$Q269, 2), "")</f>
        <v/>
      </c>
      <c r="S269" s="23">
        <f>IF(Saldos_Capital_Mensual!R269&gt;0, ROUND(Saldos_Capital_Mensual!R269 * 'Resumen_Cartera'!$Q269, 2), "")</f>
        <v/>
      </c>
      <c r="T269" s="23">
        <f>IF(Saldos_Capital_Mensual!S269&gt;0, ROUND(Saldos_Capital_Mensual!S269 * 'Resumen_Cartera'!$Q269, 2), "")</f>
        <v/>
      </c>
      <c r="U269" s="23">
        <f>SUM(I269:T269)</f>
        <v/>
      </c>
    </row>
    <row r="270">
      <c r="A270" s="26" t="inlineStr">
        <is>
          <t>0774-0001</t>
        </is>
      </c>
      <c r="B270" s="27" t="inlineStr">
        <is>
          <t>Grupo Plastikrom</t>
        </is>
      </c>
      <c r="C270" s="27" t="inlineStr">
        <is>
          <t>Jeep Cherokee Overland 2026</t>
        </is>
      </c>
      <c r="D270" s="26" t="inlineStr">
        <is>
          <t>ACTIVO</t>
        </is>
      </c>
      <c r="E270" s="26" t="inlineStr">
        <is>
          <t>2026-08-28</t>
        </is>
      </c>
      <c r="F270" s="26" t="inlineStr">
        <is>
          <t>2028-08-28</t>
        </is>
      </c>
      <c r="G270" s="28" t="n">
        <v>24</v>
      </c>
      <c r="H270" s="29" t="n">
        <v>537873.36</v>
      </c>
      <c r="I270" s="29" t="inlineStr"/>
      <c r="J270" s="29" t="inlineStr"/>
      <c r="K270" s="29" t="inlineStr"/>
      <c r="L270" s="29" t="inlineStr"/>
      <c r="M270" s="29" t="inlineStr"/>
      <c r="N270" s="29" t="inlineStr"/>
      <c r="O270" s="29" t="inlineStr"/>
      <c r="P270" s="29">
        <f>ROUND('Resumen_Cartera'!$K270 * 'Resumen_Cartera'!$Q270, 2)</f>
        <v/>
      </c>
      <c r="Q270" s="29">
        <f>IF(Saldos_Capital_Mensual!P270&gt;0, ROUND(Saldos_Capital_Mensual!P270 * 'Resumen_Cartera'!$Q270, 2), "")</f>
        <v/>
      </c>
      <c r="R270" s="29">
        <f>IF(Saldos_Capital_Mensual!Q270&gt;0, ROUND(Saldos_Capital_Mensual!Q270 * 'Resumen_Cartera'!$Q270, 2), "")</f>
        <v/>
      </c>
      <c r="S270" s="29">
        <f>IF(Saldos_Capital_Mensual!R270&gt;0, ROUND(Saldos_Capital_Mensual!R270 * 'Resumen_Cartera'!$Q270, 2), "")</f>
        <v/>
      </c>
      <c r="T270" s="29">
        <f>IF(Saldos_Capital_Mensual!S270&gt;0, ROUND(Saldos_Capital_Mensual!S270 * 'Resumen_Cartera'!$Q270, 2), "")</f>
        <v/>
      </c>
      <c r="U270" s="29">
        <f>SUM(I270:T270)</f>
        <v/>
      </c>
    </row>
    <row r="271">
      <c r="A271" s="20" t="inlineStr">
        <is>
          <t>0775-0001</t>
        </is>
      </c>
      <c r="B271" s="21" t="inlineStr">
        <is>
          <t>Manuel Ledezma Iñiguez</t>
        </is>
      </c>
      <c r="C271" s="21" t="inlineStr">
        <is>
          <t>Leapmotor B10 2026</t>
        </is>
      </c>
      <c r="D271" s="20" t="inlineStr">
        <is>
          <t>ACTIVO</t>
        </is>
      </c>
      <c r="E271" s="20" t="inlineStr">
        <is>
          <t>2026-08-26</t>
        </is>
      </c>
      <c r="F271" s="20" t="inlineStr">
        <is>
          <t>2030-08-26</t>
        </is>
      </c>
      <c r="G271" s="22" t="n">
        <v>48</v>
      </c>
      <c r="H271" s="23" t="n">
        <v>299250</v>
      </c>
      <c r="I271" s="23" t="inlineStr"/>
      <c r="J271" s="23" t="inlineStr"/>
      <c r="K271" s="23" t="inlineStr"/>
      <c r="L271" s="23" t="inlineStr"/>
      <c r="M271" s="23" t="inlineStr"/>
      <c r="N271" s="23" t="inlineStr"/>
      <c r="O271" s="23" t="inlineStr"/>
      <c r="P271" s="23">
        <f>ROUND('Resumen_Cartera'!$K271 * 'Resumen_Cartera'!$Q271, 2)</f>
        <v/>
      </c>
      <c r="Q271" s="23">
        <f>IF(Saldos_Capital_Mensual!P271&gt;0, ROUND(Saldos_Capital_Mensual!P271 * 'Resumen_Cartera'!$Q271, 2), "")</f>
        <v/>
      </c>
      <c r="R271" s="23">
        <f>IF(Saldos_Capital_Mensual!Q271&gt;0, ROUND(Saldos_Capital_Mensual!Q271 * 'Resumen_Cartera'!$Q271, 2), "")</f>
        <v/>
      </c>
      <c r="S271" s="23">
        <f>IF(Saldos_Capital_Mensual!R271&gt;0, ROUND(Saldos_Capital_Mensual!R271 * 'Resumen_Cartera'!$Q271, 2), "")</f>
        <v/>
      </c>
      <c r="T271" s="23">
        <f>IF(Saldos_Capital_Mensual!S271&gt;0, ROUND(Saldos_Capital_Mensual!S271 * 'Resumen_Cartera'!$Q271, 2), "")</f>
        <v/>
      </c>
      <c r="U271" s="23">
        <f>SUM(I271:T271)</f>
        <v/>
      </c>
    </row>
    <row r="272">
      <c r="A272" s="26" t="inlineStr">
        <is>
          <t>0776-0001</t>
        </is>
      </c>
      <c r="B272" s="27" t="inlineStr">
        <is>
          <t>Armando Serna Hernández</t>
        </is>
      </c>
      <c r="C272" s="27" t="inlineStr">
        <is>
          <t>Jeep Grand Cherokee Limited 2026</t>
        </is>
      </c>
      <c r="D272" s="26" t="inlineStr">
        <is>
          <t>ACTIVO</t>
        </is>
      </c>
      <c r="E272" s="26" t="inlineStr">
        <is>
          <t>2026-08-26</t>
        </is>
      </c>
      <c r="F272" s="26" t="inlineStr">
        <is>
          <t>2030-08-26</t>
        </is>
      </c>
      <c r="G272" s="28" t="n">
        <v>48</v>
      </c>
      <c r="H272" s="29" t="n">
        <v>964758.62</v>
      </c>
      <c r="I272" s="29" t="inlineStr"/>
      <c r="J272" s="29" t="inlineStr"/>
      <c r="K272" s="29" t="inlineStr"/>
      <c r="L272" s="29" t="inlineStr"/>
      <c r="M272" s="29" t="inlineStr"/>
      <c r="N272" s="29" t="inlineStr"/>
      <c r="O272" s="29" t="inlineStr"/>
      <c r="P272" s="29">
        <f>ROUND('Resumen_Cartera'!$K272 * 'Resumen_Cartera'!$Q272, 2)</f>
        <v/>
      </c>
      <c r="Q272" s="29">
        <f>IF(Saldos_Capital_Mensual!P272&gt;0, ROUND(Saldos_Capital_Mensual!P272 * 'Resumen_Cartera'!$Q272, 2), "")</f>
        <v/>
      </c>
      <c r="R272" s="29">
        <f>IF(Saldos_Capital_Mensual!Q272&gt;0, ROUND(Saldos_Capital_Mensual!Q272 * 'Resumen_Cartera'!$Q272, 2), "")</f>
        <v/>
      </c>
      <c r="S272" s="29">
        <f>IF(Saldos_Capital_Mensual!R272&gt;0, ROUND(Saldos_Capital_Mensual!R272 * 'Resumen_Cartera'!$Q272, 2), "")</f>
        <v/>
      </c>
      <c r="T272" s="29">
        <f>IF(Saldos_Capital_Mensual!S272&gt;0, ROUND(Saldos_Capital_Mensual!S272 * 'Resumen_Cartera'!$Q272, 2), "")</f>
        <v/>
      </c>
      <c r="U272" s="29">
        <f>SUM(I272:T272)</f>
        <v/>
      </c>
    </row>
    <row r="273">
      <c r="A273" s="20" t="inlineStr">
        <is>
          <t>0777-0001</t>
        </is>
      </c>
      <c r="B273" s="21" t="inlineStr">
        <is>
          <t>Yazmin Alejandra Gomez Olivas</t>
        </is>
      </c>
      <c r="C273" s="21" t="inlineStr">
        <is>
          <t>Jeep Wrangler Rubicon 2026</t>
        </is>
      </c>
      <c r="D273" s="20" t="inlineStr">
        <is>
          <t>ACTIVO</t>
        </is>
      </c>
      <c r="E273" s="20" t="inlineStr">
        <is>
          <t>2026-08-31</t>
        </is>
      </c>
      <c r="F273" s="20" t="inlineStr">
        <is>
          <t>2030-08-31</t>
        </is>
      </c>
      <c r="G273" s="22" t="n">
        <v>48</v>
      </c>
      <c r="H273" s="23" t="n">
        <v>840543.1</v>
      </c>
      <c r="I273" s="23" t="inlineStr"/>
      <c r="J273" s="23" t="inlineStr"/>
      <c r="K273" s="23" t="inlineStr"/>
      <c r="L273" s="23" t="inlineStr"/>
      <c r="M273" s="23" t="inlineStr"/>
      <c r="N273" s="23" t="inlineStr"/>
      <c r="O273" s="23" t="inlineStr"/>
      <c r="P273" s="23">
        <f>ROUND('Resumen_Cartera'!$K273 * 'Resumen_Cartera'!$Q273, 2)</f>
        <v/>
      </c>
      <c r="Q273" s="23">
        <f>IF(Saldos_Capital_Mensual!P273&gt;0, ROUND(Saldos_Capital_Mensual!P273 * 'Resumen_Cartera'!$Q273, 2), "")</f>
        <v/>
      </c>
      <c r="R273" s="23">
        <f>IF(Saldos_Capital_Mensual!Q273&gt;0, ROUND(Saldos_Capital_Mensual!Q273 * 'Resumen_Cartera'!$Q273, 2), "")</f>
        <v/>
      </c>
      <c r="S273" s="23">
        <f>IF(Saldos_Capital_Mensual!R273&gt;0, ROUND(Saldos_Capital_Mensual!R273 * 'Resumen_Cartera'!$Q273, 2), "")</f>
        <v/>
      </c>
      <c r="T273" s="23">
        <f>IF(Saldos_Capital_Mensual!S273&gt;0, ROUND(Saldos_Capital_Mensual!S273 * 'Resumen_Cartera'!$Q273, 2), "")</f>
        <v/>
      </c>
      <c r="U273" s="23">
        <f>SUM(I273:T273)</f>
        <v/>
      </c>
    </row>
    <row r="274">
      <c r="A274" s="26" t="inlineStr">
        <is>
          <t>0778-0001</t>
        </is>
      </c>
      <c r="B274" s="27" t="inlineStr">
        <is>
          <t>Construcciones y Desarrollos Inmobile, S.A. de C.V.</t>
        </is>
      </c>
      <c r="C274" s="27" t="inlineStr">
        <is>
          <t>Mitsubishi L200 2026</t>
        </is>
      </c>
      <c r="D274" s="26" t="inlineStr">
        <is>
          <t>ACTIVO</t>
        </is>
      </c>
      <c r="E274" s="26" t="inlineStr">
        <is>
          <t>2026-08-31</t>
        </is>
      </c>
      <c r="F274" s="26" t="inlineStr">
        <is>
          <t>2028-08-31</t>
        </is>
      </c>
      <c r="G274" s="28" t="n">
        <v>24</v>
      </c>
      <c r="H274" s="29" t="n">
        <v>309271.56</v>
      </c>
      <c r="I274" s="29" t="inlineStr"/>
      <c r="J274" s="29" t="inlineStr"/>
      <c r="K274" s="29" t="inlineStr"/>
      <c r="L274" s="29" t="inlineStr"/>
      <c r="M274" s="29" t="inlineStr"/>
      <c r="N274" s="29" t="inlineStr"/>
      <c r="O274" s="29" t="inlineStr"/>
      <c r="P274" s="29">
        <f>ROUND('Resumen_Cartera'!$K274 * 'Resumen_Cartera'!$Q274, 2)</f>
        <v/>
      </c>
      <c r="Q274" s="29">
        <f>IF(Saldos_Capital_Mensual!P274&gt;0, ROUND(Saldos_Capital_Mensual!P274 * 'Resumen_Cartera'!$Q274, 2), "")</f>
        <v/>
      </c>
      <c r="R274" s="29">
        <f>IF(Saldos_Capital_Mensual!Q274&gt;0, ROUND(Saldos_Capital_Mensual!Q274 * 'Resumen_Cartera'!$Q274, 2), "")</f>
        <v/>
      </c>
      <c r="S274" s="29">
        <f>IF(Saldos_Capital_Mensual!R274&gt;0, ROUND(Saldos_Capital_Mensual!R274 * 'Resumen_Cartera'!$Q274, 2), "")</f>
        <v/>
      </c>
      <c r="T274" s="29">
        <f>IF(Saldos_Capital_Mensual!S274&gt;0, ROUND(Saldos_Capital_Mensual!S274 * 'Resumen_Cartera'!$Q274, 2), "")</f>
        <v/>
      </c>
      <c r="U274" s="29">
        <f>SUM(I274:T274)</f>
        <v/>
      </c>
    </row>
    <row r="275">
      <c r="A275" s="20" t="inlineStr">
        <is>
          <t>0779-0001</t>
        </is>
      </c>
      <c r="B275" s="21" t="inlineStr">
        <is>
          <t>Margarita Kaplun Mucharrafille</t>
        </is>
      </c>
      <c r="C275" s="21" t="inlineStr">
        <is>
          <t>Ram 700 Bighorn 2026</t>
        </is>
      </c>
      <c r="D275" s="20" t="inlineStr">
        <is>
          <t>ACTIVO</t>
        </is>
      </c>
      <c r="E275" s="20" t="inlineStr">
        <is>
          <t>2026-09-03</t>
        </is>
      </c>
      <c r="F275" s="20" t="inlineStr">
        <is>
          <t>2030-09-03</t>
        </is>
      </c>
      <c r="G275" s="22" t="n">
        <v>48</v>
      </c>
      <c r="H275" s="23" t="n">
        <v>222959.48</v>
      </c>
      <c r="I275" s="23" t="inlineStr"/>
      <c r="J275" s="23" t="inlineStr"/>
      <c r="K275" s="23" t="inlineStr"/>
      <c r="L275" s="23" t="inlineStr"/>
      <c r="M275" s="23" t="inlineStr"/>
      <c r="N275" s="23" t="inlineStr"/>
      <c r="O275" s="23" t="inlineStr"/>
      <c r="P275" s="23" t="inlineStr"/>
      <c r="Q275" s="23">
        <f>ROUND('Resumen_Cartera'!$K275 * 'Resumen_Cartera'!$Q275, 2)</f>
        <v/>
      </c>
      <c r="R275" s="23">
        <f>IF(Saldos_Capital_Mensual!Q275&gt;0, ROUND(Saldos_Capital_Mensual!Q275 * 'Resumen_Cartera'!$Q275, 2), "")</f>
        <v/>
      </c>
      <c r="S275" s="23">
        <f>IF(Saldos_Capital_Mensual!R275&gt;0, ROUND(Saldos_Capital_Mensual!R275 * 'Resumen_Cartera'!$Q275, 2), "")</f>
        <v/>
      </c>
      <c r="T275" s="23">
        <f>IF(Saldos_Capital_Mensual!S275&gt;0, ROUND(Saldos_Capital_Mensual!S275 * 'Resumen_Cartera'!$Q275, 2), "")</f>
        <v/>
      </c>
      <c r="U275" s="23">
        <f>SUM(I275:T275)</f>
        <v/>
      </c>
    </row>
    <row r="276">
      <c r="A276" s="26" t="inlineStr">
        <is>
          <t>0780-0001</t>
        </is>
      </c>
      <c r="B276" s="27" t="inlineStr">
        <is>
          <t>David Rosendo Cedeño Guerrero</t>
        </is>
      </c>
      <c r="C276" s="27" t="inlineStr">
        <is>
          <t>Suzuki Jimny 2027</t>
        </is>
      </c>
      <c r="D276" s="26" t="inlineStr">
        <is>
          <t>ACTIVO</t>
        </is>
      </c>
      <c r="E276" s="26" t="inlineStr">
        <is>
          <t>2026-09-03</t>
        </is>
      </c>
      <c r="F276" s="26" t="inlineStr">
        <is>
          <t>2030-09-03</t>
        </is>
      </c>
      <c r="G276" s="28" t="n">
        <v>48</v>
      </c>
      <c r="H276" s="29" t="n">
        <v>418181.89</v>
      </c>
      <c r="I276" s="29" t="inlineStr"/>
      <c r="J276" s="29" t="inlineStr"/>
      <c r="K276" s="29" t="inlineStr"/>
      <c r="L276" s="29" t="inlineStr"/>
      <c r="M276" s="29" t="inlineStr"/>
      <c r="N276" s="29" t="inlineStr"/>
      <c r="O276" s="29" t="inlineStr"/>
      <c r="P276" s="29" t="inlineStr"/>
      <c r="Q276" s="29">
        <f>ROUND('Resumen_Cartera'!$K276 * 'Resumen_Cartera'!$Q276, 2)</f>
        <v/>
      </c>
      <c r="R276" s="29">
        <f>IF(Saldos_Capital_Mensual!Q276&gt;0, ROUND(Saldos_Capital_Mensual!Q276 * 'Resumen_Cartera'!$Q276, 2), "")</f>
        <v/>
      </c>
      <c r="S276" s="29">
        <f>IF(Saldos_Capital_Mensual!R276&gt;0, ROUND(Saldos_Capital_Mensual!R276 * 'Resumen_Cartera'!$Q276, 2), "")</f>
        <v/>
      </c>
      <c r="T276" s="29">
        <f>IF(Saldos_Capital_Mensual!S276&gt;0, ROUND(Saldos_Capital_Mensual!S276 * 'Resumen_Cartera'!$Q276, 2), "")</f>
        <v/>
      </c>
      <c r="U276" s="29">
        <f>SUM(I276:T276)</f>
        <v/>
      </c>
    </row>
    <row r="277">
      <c r="A277" s="20" t="inlineStr">
        <is>
          <t>0781-0001</t>
        </is>
      </c>
      <c r="B277" s="21" t="inlineStr">
        <is>
          <t>Northstar Marine &amp; Civil, S.A. de C.V.</t>
        </is>
      </c>
      <c r="C277" s="21" t="inlineStr">
        <is>
          <t>Sany Motoniveladora 2026</t>
        </is>
      </c>
      <c r="D277" s="20" t="inlineStr">
        <is>
          <t>ACTIVO</t>
        </is>
      </c>
      <c r="E277" s="20" t="inlineStr">
        <is>
          <t>2026-09-25</t>
        </is>
      </c>
      <c r="F277" s="20" t="inlineStr">
        <is>
          <t>2028-09-25</t>
        </is>
      </c>
      <c r="G277" s="22" t="n">
        <v>24</v>
      </c>
      <c r="H277" s="23" t="n">
        <v>2621684.14</v>
      </c>
      <c r="I277" s="23" t="inlineStr"/>
      <c r="J277" s="23" t="inlineStr"/>
      <c r="K277" s="23" t="inlineStr"/>
      <c r="L277" s="23" t="inlineStr"/>
      <c r="M277" s="23" t="inlineStr"/>
      <c r="N277" s="23" t="inlineStr"/>
      <c r="O277" s="23" t="inlineStr"/>
      <c r="P277" s="23" t="inlineStr"/>
      <c r="Q277" s="23">
        <f>ROUND('Resumen_Cartera'!$K277 * 'Resumen_Cartera'!$Q277, 2)</f>
        <v/>
      </c>
      <c r="R277" s="23">
        <f>IF(Saldos_Capital_Mensual!Q277&gt;0, ROUND(Saldos_Capital_Mensual!Q277 * 'Resumen_Cartera'!$Q277, 2), "")</f>
        <v/>
      </c>
      <c r="S277" s="23">
        <f>IF(Saldos_Capital_Mensual!R277&gt;0, ROUND(Saldos_Capital_Mensual!R277 * 'Resumen_Cartera'!$Q277, 2), "")</f>
        <v/>
      </c>
      <c r="T277" s="23">
        <f>IF(Saldos_Capital_Mensual!S277&gt;0, ROUND(Saldos_Capital_Mensual!S277 * 'Resumen_Cartera'!$Q277, 2), "")</f>
        <v/>
      </c>
      <c r="U277" s="23">
        <f>SUM(I277:T277)</f>
        <v/>
      </c>
    </row>
    <row r="278">
      <c r="A278" s="26" t="inlineStr">
        <is>
          <t>0783-0001</t>
        </is>
      </c>
      <c r="B278" s="27" t="inlineStr">
        <is>
          <t>Nuup Trading, S.A. de C.V.</t>
        </is>
      </c>
      <c r="C278" s="27" t="inlineStr">
        <is>
          <t>Jeep Renegade 2026</t>
        </is>
      </c>
      <c r="D278" s="26" t="inlineStr">
        <is>
          <t>ACTIVO</t>
        </is>
      </c>
      <c r="E278" s="26" t="inlineStr">
        <is>
          <t>2026-09-22</t>
        </is>
      </c>
      <c r="F278" s="26" t="inlineStr">
        <is>
          <t>2028-09-22</t>
        </is>
      </c>
      <c r="G278" s="28" t="n">
        <v>24</v>
      </c>
      <c r="H278" s="29" t="n">
        <v>302870.69</v>
      </c>
      <c r="I278" s="29" t="inlineStr"/>
      <c r="J278" s="29" t="inlineStr"/>
      <c r="K278" s="29" t="inlineStr"/>
      <c r="L278" s="29" t="inlineStr"/>
      <c r="M278" s="29" t="inlineStr"/>
      <c r="N278" s="29" t="inlineStr"/>
      <c r="O278" s="29" t="inlineStr"/>
      <c r="P278" s="29" t="inlineStr"/>
      <c r="Q278" s="29">
        <f>ROUND('Resumen_Cartera'!$K278 * 'Resumen_Cartera'!$Q278, 2)</f>
        <v/>
      </c>
      <c r="R278" s="29">
        <f>IF(Saldos_Capital_Mensual!Q278&gt;0, ROUND(Saldos_Capital_Mensual!Q278 * 'Resumen_Cartera'!$Q278, 2), "")</f>
        <v/>
      </c>
      <c r="S278" s="29">
        <f>IF(Saldos_Capital_Mensual!R278&gt;0, ROUND(Saldos_Capital_Mensual!R278 * 'Resumen_Cartera'!$Q278, 2), "")</f>
        <v/>
      </c>
      <c r="T278" s="29">
        <f>IF(Saldos_Capital_Mensual!S278&gt;0, ROUND(Saldos_Capital_Mensual!S278 * 'Resumen_Cartera'!$Q278, 2), "")</f>
        <v/>
      </c>
      <c r="U278" s="29">
        <f>SUM(I278:T278)</f>
        <v/>
      </c>
    </row>
    <row r="279">
      <c r="A279" s="20" t="inlineStr">
        <is>
          <t>0784-0001</t>
        </is>
      </c>
      <c r="B279" s="21" t="inlineStr">
        <is>
          <t>Enruta App, S.A. de C.V.</t>
        </is>
      </c>
      <c r="C279" s="21" t="inlineStr">
        <is>
          <t>Dodge Attitude GT 2026</t>
        </is>
      </c>
      <c r="D279" s="20" t="inlineStr">
        <is>
          <t>ACTIVO</t>
        </is>
      </c>
      <c r="E279" s="20" t="inlineStr">
        <is>
          <t>2026-09-22</t>
        </is>
      </c>
      <c r="F279" s="20" t="inlineStr">
        <is>
          <t>2027-09-22</t>
        </is>
      </c>
      <c r="G279" s="22" t="n">
        <v>12</v>
      </c>
      <c r="H279" s="23" t="n">
        <v>318360.69</v>
      </c>
      <c r="I279" s="23" t="inlineStr"/>
      <c r="J279" s="23" t="inlineStr"/>
      <c r="K279" s="23" t="inlineStr"/>
      <c r="L279" s="23" t="inlineStr"/>
      <c r="M279" s="23" t="inlineStr"/>
      <c r="N279" s="23" t="inlineStr"/>
      <c r="O279" s="23" t="inlineStr"/>
      <c r="P279" s="23" t="inlineStr"/>
      <c r="Q279" s="23">
        <f>ROUND('Resumen_Cartera'!$K279 * 'Resumen_Cartera'!$Q279, 2)</f>
        <v/>
      </c>
      <c r="R279" s="23">
        <f>IF(Saldos_Capital_Mensual!Q279&gt;0, ROUND(Saldos_Capital_Mensual!Q279 * 'Resumen_Cartera'!$Q279, 2), "")</f>
        <v/>
      </c>
      <c r="S279" s="23">
        <f>IF(Saldos_Capital_Mensual!R279&gt;0, ROUND(Saldos_Capital_Mensual!R279 * 'Resumen_Cartera'!$Q279, 2), "")</f>
        <v/>
      </c>
      <c r="T279" s="23">
        <f>IF(Saldos_Capital_Mensual!S279&gt;0, ROUND(Saldos_Capital_Mensual!S279 * 'Resumen_Cartera'!$Q279, 2), "")</f>
        <v/>
      </c>
      <c r="U279" s="23">
        <f>SUM(I279:T279)</f>
        <v/>
      </c>
    </row>
    <row r="280">
      <c r="A280" s="26" t="inlineStr">
        <is>
          <t>0785-0001</t>
        </is>
      </c>
      <c r="B280" s="27" t="inlineStr">
        <is>
          <t>Velazquez Guerrero y Asociados, S.C.</t>
        </is>
      </c>
      <c r="C280" s="27" t="inlineStr">
        <is>
          <t>Peugeot Rifter Allure Pack 2027</t>
        </is>
      </c>
      <c r="D280" s="26" t="inlineStr">
        <is>
          <t>ACTIVO</t>
        </is>
      </c>
      <c r="E280" s="26" t="inlineStr">
        <is>
          <t>2026-09-28</t>
        </is>
      </c>
      <c r="F280" s="26" t="inlineStr">
        <is>
          <t>2028-09-28</t>
        </is>
      </c>
      <c r="G280" s="28" t="n">
        <v>24</v>
      </c>
      <c r="H280" s="29" t="n">
        <v>339767.58</v>
      </c>
      <c r="I280" s="29" t="inlineStr"/>
      <c r="J280" s="29" t="inlineStr"/>
      <c r="K280" s="29" t="inlineStr"/>
      <c r="L280" s="29" t="inlineStr"/>
      <c r="M280" s="29" t="inlineStr"/>
      <c r="N280" s="29" t="inlineStr"/>
      <c r="O280" s="29" t="inlineStr"/>
      <c r="P280" s="29" t="inlineStr"/>
      <c r="Q280" s="29">
        <f>ROUND('Resumen_Cartera'!$K280 * 'Resumen_Cartera'!$Q280, 2)</f>
        <v/>
      </c>
      <c r="R280" s="29">
        <f>IF(Saldos_Capital_Mensual!Q280&gt;0, ROUND(Saldos_Capital_Mensual!Q280 * 'Resumen_Cartera'!$Q280, 2), "")</f>
        <v/>
      </c>
      <c r="S280" s="29">
        <f>IF(Saldos_Capital_Mensual!R280&gt;0, ROUND(Saldos_Capital_Mensual!R280 * 'Resumen_Cartera'!$Q280, 2), "")</f>
        <v/>
      </c>
      <c r="T280" s="29">
        <f>IF(Saldos_Capital_Mensual!S280&gt;0, ROUND(Saldos_Capital_Mensual!S280 * 'Resumen_Cartera'!$Q280, 2), "")</f>
        <v/>
      </c>
      <c r="U280" s="29">
        <f>SUM(I280:T280)</f>
        <v/>
      </c>
    </row>
    <row r="281">
      <c r="A281" s="20" t="inlineStr">
        <is>
          <t>0786-0001</t>
        </is>
      </c>
      <c r="B281" s="21" t="inlineStr">
        <is>
          <t>Consejería Jurídico Empresarial, S.C.</t>
        </is>
      </c>
      <c r="C281" s="21" t="inlineStr">
        <is>
          <t>Mitsubishi Outlander Sport Limited 2027</t>
        </is>
      </c>
      <c r="D281" s="20" t="inlineStr">
        <is>
          <t>ACTIVO</t>
        </is>
      </c>
      <c r="E281" s="20" t="inlineStr">
        <is>
          <t>2026-09-28</t>
        </is>
      </c>
      <c r="F281" s="20" t="inlineStr">
        <is>
          <t>2028-09-28</t>
        </is>
      </c>
      <c r="G281" s="22" t="n">
        <v>24</v>
      </c>
      <c r="H281" s="23" t="n">
        <v>333009.31</v>
      </c>
      <c r="I281" s="23" t="inlineStr"/>
      <c r="J281" s="23" t="inlineStr"/>
      <c r="K281" s="23" t="inlineStr"/>
      <c r="L281" s="23" t="inlineStr"/>
      <c r="M281" s="23" t="inlineStr"/>
      <c r="N281" s="23" t="inlineStr"/>
      <c r="O281" s="23" t="inlineStr"/>
      <c r="P281" s="23" t="inlineStr"/>
      <c r="Q281" s="23">
        <f>ROUND('Resumen_Cartera'!$K281 * 'Resumen_Cartera'!$Q281, 2)</f>
        <v/>
      </c>
      <c r="R281" s="23">
        <f>IF(Saldos_Capital_Mensual!Q281&gt;0, ROUND(Saldos_Capital_Mensual!Q281 * 'Resumen_Cartera'!$Q281, 2), "")</f>
        <v/>
      </c>
      <c r="S281" s="23">
        <f>IF(Saldos_Capital_Mensual!R281&gt;0, ROUND(Saldos_Capital_Mensual!R281 * 'Resumen_Cartera'!$Q281, 2), "")</f>
        <v/>
      </c>
      <c r="T281" s="23">
        <f>IF(Saldos_Capital_Mensual!S281&gt;0, ROUND(Saldos_Capital_Mensual!S281 * 'Resumen_Cartera'!$Q281, 2), "")</f>
        <v/>
      </c>
      <c r="U281" s="23">
        <f>SUM(I281:T281)</f>
        <v/>
      </c>
    </row>
    <row r="282">
      <c r="A282" s="32" t="inlineStr">
        <is>
          <t>TOTAL CARTERA</t>
        </is>
      </c>
      <c r="B282" s="33" t="inlineStr">
        <is>
          <t>277 Contratos</t>
        </is>
      </c>
      <c r="C282" s="34" t="n"/>
      <c r="D282" s="34" t="n"/>
      <c r="E282" s="34" t="n"/>
      <c r="F282" s="34" t="n"/>
      <c r="G282" s="34" t="n"/>
      <c r="H282" s="34" t="n"/>
      <c r="I282" s="35">
        <f>SUM(I5:I281)</f>
        <v/>
      </c>
      <c r="J282" s="35">
        <f>SUM(J5:J281)</f>
        <v/>
      </c>
      <c r="K282" s="35">
        <f>SUM(K5:K281)</f>
        <v/>
      </c>
      <c r="L282" s="35">
        <f>SUM(L5:L281)</f>
        <v/>
      </c>
      <c r="M282" s="35">
        <f>SUM(M5:M281)</f>
        <v/>
      </c>
      <c r="N282" s="35">
        <f>SUM(N5:N281)</f>
        <v/>
      </c>
      <c r="O282" s="35">
        <f>SUM(O5:O281)</f>
        <v/>
      </c>
      <c r="P282" s="35">
        <f>SUM(P5:P281)</f>
        <v/>
      </c>
      <c r="Q282" s="35">
        <f>SUM(Q5:Q281)</f>
        <v/>
      </c>
      <c r="R282" s="35">
        <f>SUM(R5:R281)</f>
        <v/>
      </c>
      <c r="S282" s="35">
        <f>SUM(S5:S281)</f>
        <v/>
      </c>
      <c r="T282" s="35">
        <f>SUM(T5:T281)</f>
        <v/>
      </c>
      <c r="U282" s="35">
        <f>SUM(U5:U281)</f>
        <v/>
      </c>
    </row>
  </sheetData>
  <autoFilter ref="A4:U281"/>
  <mergeCells count="2">
    <mergeCell ref="A1:O1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82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2" customWidth="1" min="4" max="4"/>
    <col width="13" customWidth="1" min="5" max="5"/>
    <col width="15" customWidth="1" min="6" max="6"/>
    <col width="10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24" customHeight="1">
      <c r="A1" s="18" t="inlineStr">
        <is>
          <t>O-LEASING · UNA APP DE ORANGE CREW · Intereses de Valor Residual Devengados (NIF C-15)</t>
        </is>
      </c>
    </row>
    <row r="2" ht="16" customHeight="1">
      <c r="A2" s="3" t="inlineStr">
        <is>
          <t>Acumulación y devengo mensual con fórmulas vivas sobre el saldo activo del residual · Auditoría Financiera NIF C-15 / IFRS 16 · Desarrollado por Orange Crew</t>
        </is>
      </c>
    </row>
    <row r="4" ht="26" customHeight="1">
      <c r="A4" s="19" t="inlineStr">
        <is>
          <t>ID_Contrato</t>
        </is>
      </c>
      <c r="B4" s="19" t="inlineStr">
        <is>
          <t>Cliente</t>
        </is>
      </c>
      <c r="C4" s="19" t="inlineStr">
        <is>
          <t>Vehiculo</t>
        </is>
      </c>
      <c r="D4" s="19" t="inlineStr">
        <is>
          <t>Estatus</t>
        </is>
      </c>
      <c r="E4" s="19" t="inlineStr">
        <is>
          <t>Fecha_Alta</t>
        </is>
      </c>
      <c r="F4" s="19" t="inlineStr">
        <is>
          <t>Fecha_Vencimiento</t>
        </is>
      </c>
      <c r="G4" s="19" t="inlineStr">
        <is>
          <t>Plazo</t>
        </is>
      </c>
      <c r="H4" s="19" t="inlineStr">
        <is>
          <t>Residual_Pactado</t>
        </is>
      </c>
      <c r="I4" s="9" t="inlineStr">
        <is>
          <t>2026-01</t>
        </is>
      </c>
      <c r="J4" s="9" t="inlineStr">
        <is>
          <t>2026-02</t>
        </is>
      </c>
      <c r="K4" s="9" t="inlineStr">
        <is>
          <t>2026-03</t>
        </is>
      </c>
      <c r="L4" s="9" t="inlineStr">
        <is>
          <t>2026-04</t>
        </is>
      </c>
      <c r="M4" s="9" t="inlineStr">
        <is>
          <t>2026-05</t>
        </is>
      </c>
      <c r="N4" s="9" t="inlineStr">
        <is>
          <t>2026-06</t>
        </is>
      </c>
      <c r="O4" s="9" t="inlineStr">
        <is>
          <t>2026-07</t>
        </is>
      </c>
      <c r="P4" s="9" t="inlineStr">
        <is>
          <t>2026-08</t>
        </is>
      </c>
      <c r="Q4" s="9" t="inlineStr">
        <is>
          <t>2026-09</t>
        </is>
      </c>
      <c r="R4" s="9" t="inlineStr">
        <is>
          <t>2026-10</t>
        </is>
      </c>
      <c r="S4" s="9" t="inlineStr">
        <is>
          <t>2026-11</t>
        </is>
      </c>
      <c r="T4" s="9" t="inlineStr">
        <is>
          <t>2026-12</t>
        </is>
      </c>
      <c r="U4" s="46" t="inlineStr">
        <is>
          <t>Total_Devengado_Residual</t>
        </is>
      </c>
    </row>
    <row r="5">
      <c r="A5" s="20" t="inlineStr">
        <is>
          <t>0326-0003</t>
        </is>
      </c>
      <c r="B5" s="21" t="inlineStr">
        <is>
          <t>Alberto Vázquez Solorio</t>
        </is>
      </c>
      <c r="C5" s="21" t="inlineStr">
        <is>
          <t>Volkswagen Tiguan R-Line 2026</t>
        </is>
      </c>
      <c r="D5" s="20" t="inlineStr">
        <is>
          <t>ACTIVO</t>
        </is>
      </c>
      <c r="E5" s="20" t="inlineStr">
        <is>
          <t>2026-09-16</t>
        </is>
      </c>
      <c r="F5" s="20" t="inlineStr">
        <is>
          <t>2030-09-16</t>
        </is>
      </c>
      <c r="G5" s="22" t="n">
        <v>48</v>
      </c>
      <c r="H5" s="23" t="n">
        <v>180650.93</v>
      </c>
      <c r="I5" s="23" t="inlineStr"/>
      <c r="J5" s="23" t="inlineStr"/>
      <c r="K5" s="23" t="inlineStr"/>
      <c r="L5" s="23" t="inlineStr"/>
      <c r="M5" s="23" t="inlineStr"/>
      <c r="N5" s="23" t="inlineStr"/>
      <c r="O5" s="23" t="inlineStr"/>
      <c r="P5" s="23" t="inlineStr"/>
      <c r="Q5" s="23">
        <f>ROUND('Resumen_Cartera'!$U5 * 'Resumen_Cartera'!$Q5, 2)</f>
        <v/>
      </c>
      <c r="R5" s="23">
        <f>IF(Saldo_Residual_Activo!Q5&gt;0, ROUND(Saldo_Residual_Activo!Q5 * 'Resumen_Cartera'!$Q5, 2), "")</f>
        <v/>
      </c>
      <c r="S5" s="23">
        <f>IF(Saldo_Residual_Activo!R5&gt;0, ROUND(Saldo_Residual_Activo!R5 * 'Resumen_Cartera'!$Q5, 2), "")</f>
        <v/>
      </c>
      <c r="T5" s="23">
        <f>IF(Saldo_Residual_Activo!S5&gt;0, ROUND(Saldo_Residual_Activo!S5 * 'Resumen_Cartera'!$Q5, 2), "")</f>
        <v/>
      </c>
      <c r="U5" s="23">
        <f>SUM(I5:T5)</f>
        <v/>
      </c>
    </row>
    <row r="6">
      <c r="A6" s="26" t="inlineStr">
        <is>
          <t>0472-0003</t>
        </is>
      </c>
      <c r="B6" s="27" t="inlineStr">
        <is>
          <t>Miguel Zazueta Beltrán</t>
        </is>
      </c>
      <c r="C6" s="27" t="inlineStr">
        <is>
          <t>Jeep Grand Cherokee</t>
        </is>
      </c>
      <c r="D6" s="26" t="inlineStr">
        <is>
          <t>ACTIVO</t>
        </is>
      </c>
      <c r="E6" s="26" t="inlineStr">
        <is>
          <t>2026-02-03</t>
        </is>
      </c>
      <c r="F6" s="26" t="inlineStr">
        <is>
          <t>2029-02-03</t>
        </is>
      </c>
      <c r="G6" s="28" t="n">
        <v>36</v>
      </c>
      <c r="H6" s="29" t="n">
        <v>121743.36</v>
      </c>
      <c r="I6" s="29" t="inlineStr"/>
      <c r="J6" s="29">
        <f>ROUND('Resumen_Cartera'!$U6 * 'Resumen_Cartera'!$Q6, 2)</f>
        <v/>
      </c>
      <c r="K6" s="29">
        <f>IF(Saldo_Residual_Activo!J6&gt;0, ROUND(Saldo_Residual_Activo!J6 * 'Resumen_Cartera'!$Q6, 2), "")</f>
        <v/>
      </c>
      <c r="L6" s="29">
        <f>IF(Saldo_Residual_Activo!K6&gt;0, ROUND(Saldo_Residual_Activo!K6 * 'Resumen_Cartera'!$Q6, 2), "")</f>
        <v/>
      </c>
      <c r="M6" s="29">
        <f>IF(Saldo_Residual_Activo!L6&gt;0, ROUND(Saldo_Residual_Activo!L6 * 'Resumen_Cartera'!$Q6, 2), "")</f>
        <v/>
      </c>
      <c r="N6" s="29">
        <f>IF(Saldo_Residual_Activo!M6&gt;0, ROUND(Saldo_Residual_Activo!M6 * 'Resumen_Cartera'!$Q6, 2), "")</f>
        <v/>
      </c>
      <c r="O6" s="29">
        <f>IF(Saldo_Residual_Activo!N6&gt;0, ROUND(Saldo_Residual_Activo!N6 * 'Resumen_Cartera'!$Q6, 2), "")</f>
        <v/>
      </c>
      <c r="P6" s="29">
        <f>IF(Saldo_Residual_Activo!O6&gt;0, ROUND(Saldo_Residual_Activo!O6 * 'Resumen_Cartera'!$Q6, 2), "")</f>
        <v/>
      </c>
      <c r="Q6" s="29">
        <f>IF(Saldo_Residual_Activo!P6&gt;0, ROUND(Saldo_Residual_Activo!P6 * 'Resumen_Cartera'!$Q6, 2), "")</f>
        <v/>
      </c>
      <c r="R6" s="29">
        <f>IF(Saldo_Residual_Activo!Q6&gt;0, ROUND(Saldo_Residual_Activo!Q6 * 'Resumen_Cartera'!$Q6, 2), "")</f>
        <v/>
      </c>
      <c r="S6" s="29">
        <f>IF(Saldo_Residual_Activo!R6&gt;0, ROUND(Saldo_Residual_Activo!R6 * 'Resumen_Cartera'!$Q6, 2), "")</f>
        <v/>
      </c>
      <c r="T6" s="29">
        <f>IF(Saldo_Residual_Activo!S6&gt;0, ROUND(Saldo_Residual_Activo!S6 * 'Resumen_Cartera'!$Q6, 2), "")</f>
        <v/>
      </c>
      <c r="U6" s="29">
        <f>SUM(I6:T6)</f>
        <v/>
      </c>
    </row>
    <row r="7">
      <c r="A7" s="20" t="inlineStr">
        <is>
          <t>0504-0004</t>
        </is>
      </c>
      <c r="B7" s="21" t="inlineStr">
        <is>
          <t>Oscar Ivan Lozano Terriquez</t>
        </is>
      </c>
      <c r="C7" s="21" t="inlineStr">
        <is>
          <t>700 BIGHORN "S" CREW CAB MT</t>
        </is>
      </c>
      <c r="D7" s="20" t="inlineStr">
        <is>
          <t>ACTIVO</t>
        </is>
      </c>
      <c r="E7" s="20" t="inlineStr">
        <is>
          <t>2026-01-05</t>
        </is>
      </c>
      <c r="F7" s="20" t="inlineStr">
        <is>
          <t>2027-01-05</t>
        </is>
      </c>
      <c r="G7" s="22" t="n">
        <v>12</v>
      </c>
      <c r="H7" s="23" t="n">
        <v>35250</v>
      </c>
      <c r="I7" s="23">
        <f>ROUND('Resumen_Cartera'!$U7 * 'Resumen_Cartera'!$Q7, 2)</f>
        <v/>
      </c>
      <c r="J7" s="23">
        <f>IF(Saldo_Residual_Activo!I7&gt;0, ROUND(Saldo_Residual_Activo!I7 * 'Resumen_Cartera'!$Q7, 2), "")</f>
        <v/>
      </c>
      <c r="K7" s="23">
        <f>IF(Saldo_Residual_Activo!J7&gt;0, ROUND(Saldo_Residual_Activo!J7 * 'Resumen_Cartera'!$Q7, 2), "")</f>
        <v/>
      </c>
      <c r="L7" s="23">
        <f>IF(Saldo_Residual_Activo!K7&gt;0, ROUND(Saldo_Residual_Activo!K7 * 'Resumen_Cartera'!$Q7, 2), "")</f>
        <v/>
      </c>
      <c r="M7" s="23">
        <f>IF(Saldo_Residual_Activo!L7&gt;0, ROUND(Saldo_Residual_Activo!L7 * 'Resumen_Cartera'!$Q7, 2), "")</f>
        <v/>
      </c>
      <c r="N7" s="23">
        <f>IF(Saldo_Residual_Activo!M7&gt;0, ROUND(Saldo_Residual_Activo!M7 * 'Resumen_Cartera'!$Q7, 2), "")</f>
        <v/>
      </c>
      <c r="O7" s="23">
        <f>IF(Saldo_Residual_Activo!N7&gt;0, ROUND(Saldo_Residual_Activo!N7 * 'Resumen_Cartera'!$Q7, 2), "")</f>
        <v/>
      </c>
      <c r="P7" s="23">
        <f>IF(Saldo_Residual_Activo!O7&gt;0, ROUND(Saldo_Residual_Activo!O7 * 'Resumen_Cartera'!$Q7, 2), "")</f>
        <v/>
      </c>
      <c r="Q7" s="23">
        <f>IF(Saldo_Residual_Activo!P7&gt;0, ROUND(Saldo_Residual_Activo!P7 * 'Resumen_Cartera'!$Q7, 2), "")</f>
        <v/>
      </c>
      <c r="R7" s="23">
        <f>IF(Saldo_Residual_Activo!Q7&gt;0, ROUND(Saldo_Residual_Activo!Q7 * 'Resumen_Cartera'!$Q7, 2), "")</f>
        <v/>
      </c>
      <c r="S7" s="23">
        <f>IF(Saldo_Residual_Activo!R7&gt;0, ROUND(Saldo_Residual_Activo!R7 * 'Resumen_Cartera'!$Q7, 2), "")</f>
        <v/>
      </c>
      <c r="T7" s="23">
        <f>IF(Saldo_Residual_Activo!S7&gt;0, ROUND(Saldo_Residual_Activo!S7 * 'Resumen_Cartera'!$Q7, 2), "")</f>
        <v/>
      </c>
      <c r="U7" s="23">
        <f>SUM(I7:T7)</f>
        <v/>
      </c>
    </row>
    <row r="8">
      <c r="A8" s="26" t="inlineStr">
        <is>
          <t>0506-0006</t>
        </is>
      </c>
      <c r="B8" s="27" t="inlineStr">
        <is>
          <t>Electronic Accounting Sa de Cv</t>
        </is>
      </c>
      <c r="C8" s="27" t="inlineStr">
        <is>
          <t>X5</t>
        </is>
      </c>
      <c r="D8" s="26" t="inlineStr">
        <is>
          <t>ACTIVO</t>
        </is>
      </c>
      <c r="E8" s="26" t="inlineStr">
        <is>
          <t>2024-01-10</t>
        </is>
      </c>
      <c r="F8" s="26" t="inlineStr">
        <is>
          <t>2027-01-10</t>
        </is>
      </c>
      <c r="G8" s="28" t="n">
        <v>36</v>
      </c>
      <c r="H8" s="29" t="n">
        <v>567818.58</v>
      </c>
      <c r="I8" s="29">
        <f>ROUND(478842.05 * 'Resumen_Cartera'!$Q8, 2)</f>
        <v/>
      </c>
      <c r="J8" s="29">
        <f>IF(Saldo_Residual_Activo!I8&gt;0, ROUND(Saldo_Residual_Activo!I8 * 'Resumen_Cartera'!$Q8, 2), "")</f>
        <v/>
      </c>
      <c r="K8" s="29">
        <f>IF(Saldo_Residual_Activo!J8&gt;0, ROUND(Saldo_Residual_Activo!J8 * 'Resumen_Cartera'!$Q8, 2), "")</f>
        <v/>
      </c>
      <c r="L8" s="29">
        <f>IF(Saldo_Residual_Activo!K8&gt;0, ROUND(Saldo_Residual_Activo!K8 * 'Resumen_Cartera'!$Q8, 2), "")</f>
        <v/>
      </c>
      <c r="M8" s="29">
        <f>IF(Saldo_Residual_Activo!L8&gt;0, ROUND(Saldo_Residual_Activo!L8 * 'Resumen_Cartera'!$Q8, 2), "")</f>
        <v/>
      </c>
      <c r="N8" s="29">
        <f>IF(Saldo_Residual_Activo!M8&gt;0, ROUND(Saldo_Residual_Activo!M8 * 'Resumen_Cartera'!$Q8, 2), "")</f>
        <v/>
      </c>
      <c r="O8" s="29">
        <f>IF(Saldo_Residual_Activo!N8&gt;0, ROUND(Saldo_Residual_Activo!N8 * 'Resumen_Cartera'!$Q8, 2), "")</f>
        <v/>
      </c>
      <c r="P8" s="29">
        <f>IF(Saldo_Residual_Activo!O8&gt;0, ROUND(Saldo_Residual_Activo!O8 * 'Resumen_Cartera'!$Q8, 2), "")</f>
        <v/>
      </c>
      <c r="Q8" s="29">
        <f>IF(Saldo_Residual_Activo!P8&gt;0, ROUND(Saldo_Residual_Activo!P8 * 'Resumen_Cartera'!$Q8, 2), "")</f>
        <v/>
      </c>
      <c r="R8" s="29">
        <f>IF(Saldo_Residual_Activo!Q8&gt;0, ROUND(Saldo_Residual_Activo!Q8 * 'Resumen_Cartera'!$Q8, 2), "")</f>
        <v/>
      </c>
      <c r="S8" s="29">
        <f>IF(Saldo_Residual_Activo!R8&gt;0, ROUND(Saldo_Residual_Activo!R8 * 'Resumen_Cartera'!$Q8, 2), "")</f>
        <v/>
      </c>
      <c r="T8" s="29">
        <f>IF(Saldo_Residual_Activo!S8&gt;0, ROUND(Saldo_Residual_Activo!S8 * 'Resumen_Cartera'!$Q8, 2), "")</f>
        <v/>
      </c>
      <c r="U8" s="29">
        <f>SUM(I8:T8)</f>
        <v/>
      </c>
    </row>
    <row r="9">
      <c r="A9" s="20" t="inlineStr">
        <is>
          <t>0506-0007</t>
        </is>
      </c>
      <c r="B9" s="21" t="inlineStr">
        <is>
          <t>Electronic Acounting</t>
        </is>
      </c>
      <c r="C9" s="21" t="inlineStr">
        <is>
          <t>L200 Glx Diesel</t>
        </is>
      </c>
      <c r="D9" s="20" t="inlineStr">
        <is>
          <t>ACTIVO</t>
        </is>
      </c>
      <c r="E9" s="20" t="inlineStr">
        <is>
          <t>2024-09-05</t>
        </is>
      </c>
      <c r="F9" s="20" t="inlineStr">
        <is>
          <t>2027-09-05</t>
        </is>
      </c>
      <c r="G9" s="22" t="n">
        <v>36</v>
      </c>
      <c r="H9" s="23" t="n">
        <v>187867.03</v>
      </c>
      <c r="I9" s="23">
        <f>ROUND(130969.49 * 'Resumen_Cartera'!$Q9, 2)</f>
        <v/>
      </c>
      <c r="J9" s="23">
        <f>IF(Saldo_Residual_Activo!I9&gt;0, ROUND(Saldo_Residual_Activo!I9 * 'Resumen_Cartera'!$Q9, 2), "")</f>
        <v/>
      </c>
      <c r="K9" s="23">
        <f>IF(Saldo_Residual_Activo!J9&gt;0, ROUND(Saldo_Residual_Activo!J9 * 'Resumen_Cartera'!$Q9, 2), "")</f>
        <v/>
      </c>
      <c r="L9" s="23">
        <f>IF(Saldo_Residual_Activo!K9&gt;0, ROUND(Saldo_Residual_Activo!K9 * 'Resumen_Cartera'!$Q9, 2), "")</f>
        <v/>
      </c>
      <c r="M9" s="23">
        <f>IF(Saldo_Residual_Activo!L9&gt;0, ROUND(Saldo_Residual_Activo!L9 * 'Resumen_Cartera'!$Q9, 2), "")</f>
        <v/>
      </c>
      <c r="N9" s="23">
        <f>IF(Saldo_Residual_Activo!M9&gt;0, ROUND(Saldo_Residual_Activo!M9 * 'Resumen_Cartera'!$Q9, 2), "")</f>
        <v/>
      </c>
      <c r="O9" s="23">
        <f>IF(Saldo_Residual_Activo!N9&gt;0, ROUND(Saldo_Residual_Activo!N9 * 'Resumen_Cartera'!$Q9, 2), "")</f>
        <v/>
      </c>
      <c r="P9" s="23">
        <f>IF(Saldo_Residual_Activo!O9&gt;0, ROUND(Saldo_Residual_Activo!O9 * 'Resumen_Cartera'!$Q9, 2), "")</f>
        <v/>
      </c>
      <c r="Q9" s="23">
        <f>IF(Saldo_Residual_Activo!P9&gt;0, ROUND(Saldo_Residual_Activo!P9 * 'Resumen_Cartera'!$Q9, 2), "")</f>
        <v/>
      </c>
      <c r="R9" s="23">
        <f>IF(Saldo_Residual_Activo!Q9&gt;0, ROUND(Saldo_Residual_Activo!Q9 * 'Resumen_Cartera'!$Q9, 2), "")</f>
        <v/>
      </c>
      <c r="S9" s="23">
        <f>IF(Saldo_Residual_Activo!R9&gt;0, ROUND(Saldo_Residual_Activo!R9 * 'Resumen_Cartera'!$Q9, 2), "")</f>
        <v/>
      </c>
      <c r="T9" s="23">
        <f>IF(Saldo_Residual_Activo!S9&gt;0, ROUND(Saldo_Residual_Activo!S9 * 'Resumen_Cartera'!$Q9, 2), "")</f>
        <v/>
      </c>
      <c r="U9" s="23">
        <f>SUM(I9:T9)</f>
        <v/>
      </c>
    </row>
    <row r="10">
      <c r="A10" s="26" t="inlineStr">
        <is>
          <t>0519-0005</t>
        </is>
      </c>
      <c r="B10" s="27" t="inlineStr">
        <is>
          <t>Tequilas el Mexicano S.A. de C.V.</t>
        </is>
      </c>
      <c r="C10" s="27" t="inlineStr">
        <is>
          <t>Attitude Sport</t>
        </is>
      </c>
      <c r="D10" s="26" t="inlineStr">
        <is>
          <t>ACTIVO</t>
        </is>
      </c>
      <c r="E10" s="26" t="inlineStr">
        <is>
          <t>2025-07-14</t>
        </is>
      </c>
      <c r="F10" s="26" t="inlineStr">
        <is>
          <t>2029-07-14</t>
        </is>
      </c>
      <c r="G10" s="28" t="n">
        <v>48</v>
      </c>
      <c r="H10" s="29" t="n">
        <v>35250</v>
      </c>
      <c r="I10" s="29">
        <f>ROUND(11552.05 * 'Resumen_Cartera'!$Q10, 2)</f>
        <v/>
      </c>
      <c r="J10" s="29">
        <f>IF(Saldo_Residual_Activo!I10&gt;0, ROUND(Saldo_Residual_Activo!I10 * 'Resumen_Cartera'!$Q10, 2), "")</f>
        <v/>
      </c>
      <c r="K10" s="29">
        <f>IF(Saldo_Residual_Activo!J10&gt;0, ROUND(Saldo_Residual_Activo!J10 * 'Resumen_Cartera'!$Q10, 2), "")</f>
        <v/>
      </c>
      <c r="L10" s="29">
        <f>IF(Saldo_Residual_Activo!K10&gt;0, ROUND(Saldo_Residual_Activo!K10 * 'Resumen_Cartera'!$Q10, 2), "")</f>
        <v/>
      </c>
      <c r="M10" s="29">
        <f>IF(Saldo_Residual_Activo!L10&gt;0, ROUND(Saldo_Residual_Activo!L10 * 'Resumen_Cartera'!$Q10, 2), "")</f>
        <v/>
      </c>
      <c r="N10" s="29">
        <f>IF(Saldo_Residual_Activo!M10&gt;0, ROUND(Saldo_Residual_Activo!M10 * 'Resumen_Cartera'!$Q10, 2), "")</f>
        <v/>
      </c>
      <c r="O10" s="29">
        <f>IF(Saldo_Residual_Activo!N10&gt;0, ROUND(Saldo_Residual_Activo!N10 * 'Resumen_Cartera'!$Q10, 2), "")</f>
        <v/>
      </c>
      <c r="P10" s="29">
        <f>IF(Saldo_Residual_Activo!O10&gt;0, ROUND(Saldo_Residual_Activo!O10 * 'Resumen_Cartera'!$Q10, 2), "")</f>
        <v/>
      </c>
      <c r="Q10" s="29">
        <f>IF(Saldo_Residual_Activo!P10&gt;0, ROUND(Saldo_Residual_Activo!P10 * 'Resumen_Cartera'!$Q10, 2), "")</f>
        <v/>
      </c>
      <c r="R10" s="29">
        <f>IF(Saldo_Residual_Activo!Q10&gt;0, ROUND(Saldo_Residual_Activo!Q10 * 'Resumen_Cartera'!$Q10, 2), "")</f>
        <v/>
      </c>
      <c r="S10" s="29">
        <f>IF(Saldo_Residual_Activo!R10&gt;0, ROUND(Saldo_Residual_Activo!R10 * 'Resumen_Cartera'!$Q10, 2), "")</f>
        <v/>
      </c>
      <c r="T10" s="29">
        <f>IF(Saldo_Residual_Activo!S10&gt;0, ROUND(Saldo_Residual_Activo!S10 * 'Resumen_Cartera'!$Q10, 2), "")</f>
        <v/>
      </c>
      <c r="U10" s="29">
        <f>SUM(I10:T10)</f>
        <v/>
      </c>
    </row>
    <row r="11">
      <c r="A11" s="20" t="inlineStr">
        <is>
          <t>0520-0003</t>
        </is>
      </c>
      <c r="B11" s="21" t="inlineStr">
        <is>
          <t>Tractomotriz Diesel Leal, S.A. de C.V.</t>
        </is>
      </c>
      <c r="C11" s="21" t="inlineStr">
        <is>
          <t>Montero Sport</t>
        </is>
      </c>
      <c r="D11" s="20" t="inlineStr">
        <is>
          <t>ACTIVO</t>
        </is>
      </c>
      <c r="E11" s="20" t="inlineStr">
        <is>
          <t>2025-11-28</t>
        </is>
      </c>
      <c r="F11" s="20" t="inlineStr">
        <is>
          <t>2028-11-28</t>
        </is>
      </c>
      <c r="G11" s="22" t="n">
        <v>36</v>
      </c>
      <c r="H11" s="23" t="n">
        <v>62146.55</v>
      </c>
      <c r="I11" s="23">
        <f>ROUND(25424.38 * 'Resumen_Cartera'!$Q11, 2)</f>
        <v/>
      </c>
      <c r="J11" s="23">
        <f>IF(Saldo_Residual_Activo!I11&gt;0, ROUND(Saldo_Residual_Activo!I11 * 'Resumen_Cartera'!$Q11, 2), "")</f>
        <v/>
      </c>
      <c r="K11" s="23">
        <f>IF(Saldo_Residual_Activo!J11&gt;0, ROUND(Saldo_Residual_Activo!J11 * 'Resumen_Cartera'!$Q11, 2), "")</f>
        <v/>
      </c>
      <c r="L11" s="23">
        <f>IF(Saldo_Residual_Activo!K11&gt;0, ROUND(Saldo_Residual_Activo!K11 * 'Resumen_Cartera'!$Q11, 2), "")</f>
        <v/>
      </c>
      <c r="M11" s="23">
        <f>IF(Saldo_Residual_Activo!L11&gt;0, ROUND(Saldo_Residual_Activo!L11 * 'Resumen_Cartera'!$Q11, 2), "")</f>
        <v/>
      </c>
      <c r="N11" s="23">
        <f>IF(Saldo_Residual_Activo!M11&gt;0, ROUND(Saldo_Residual_Activo!M11 * 'Resumen_Cartera'!$Q11, 2), "")</f>
        <v/>
      </c>
      <c r="O11" s="23">
        <f>IF(Saldo_Residual_Activo!N11&gt;0, ROUND(Saldo_Residual_Activo!N11 * 'Resumen_Cartera'!$Q11, 2), "")</f>
        <v/>
      </c>
      <c r="P11" s="23">
        <f>IF(Saldo_Residual_Activo!O11&gt;0, ROUND(Saldo_Residual_Activo!O11 * 'Resumen_Cartera'!$Q11, 2), "")</f>
        <v/>
      </c>
      <c r="Q11" s="23">
        <f>IF(Saldo_Residual_Activo!P11&gt;0, ROUND(Saldo_Residual_Activo!P11 * 'Resumen_Cartera'!$Q11, 2), "")</f>
        <v/>
      </c>
      <c r="R11" s="23">
        <f>IF(Saldo_Residual_Activo!Q11&gt;0, ROUND(Saldo_Residual_Activo!Q11 * 'Resumen_Cartera'!$Q11, 2), "")</f>
        <v/>
      </c>
      <c r="S11" s="23">
        <f>IF(Saldo_Residual_Activo!R11&gt;0, ROUND(Saldo_Residual_Activo!R11 * 'Resumen_Cartera'!$Q11, 2), "")</f>
        <v/>
      </c>
      <c r="T11" s="23">
        <f>IF(Saldo_Residual_Activo!S11&gt;0, ROUND(Saldo_Residual_Activo!S11 * 'Resumen_Cartera'!$Q11, 2), "")</f>
        <v/>
      </c>
      <c r="U11" s="23">
        <f>SUM(I11:T11)</f>
        <v/>
      </c>
    </row>
    <row r="12">
      <c r="A12" s="26" t="inlineStr">
        <is>
          <t>0520-0004</t>
        </is>
      </c>
      <c r="B12" s="27" t="inlineStr">
        <is>
          <t>Tractomotriz Diesel Leal, S.A. de C.V.</t>
        </is>
      </c>
      <c r="C12" s="27" t="inlineStr">
        <is>
          <t>Partner Maxi Pack</t>
        </is>
      </c>
      <c r="D12" s="26" t="inlineStr">
        <is>
          <t>ACTIVO</t>
        </is>
      </c>
      <c r="E12" s="26" t="inlineStr">
        <is>
          <t>2025-12-04</t>
        </is>
      </c>
      <c r="F12" s="26" t="inlineStr">
        <is>
          <t>2028-12-04</t>
        </is>
      </c>
      <c r="G12" s="28" t="n">
        <v>36</v>
      </c>
      <c r="H12" s="29" t="n">
        <v>40036.38</v>
      </c>
      <c r="I12" s="29">
        <f>ROUND(15954.06 * 'Resumen_Cartera'!$Q12, 2)</f>
        <v/>
      </c>
      <c r="J12" s="29">
        <f>IF(Saldo_Residual_Activo!I12&gt;0, ROUND(Saldo_Residual_Activo!I12 * 'Resumen_Cartera'!$Q12, 2), "")</f>
        <v/>
      </c>
      <c r="K12" s="29">
        <f>IF(Saldo_Residual_Activo!J12&gt;0, ROUND(Saldo_Residual_Activo!J12 * 'Resumen_Cartera'!$Q12, 2), "")</f>
        <v/>
      </c>
      <c r="L12" s="29">
        <f>IF(Saldo_Residual_Activo!K12&gt;0, ROUND(Saldo_Residual_Activo!K12 * 'Resumen_Cartera'!$Q12, 2), "")</f>
        <v/>
      </c>
      <c r="M12" s="29">
        <f>IF(Saldo_Residual_Activo!L12&gt;0, ROUND(Saldo_Residual_Activo!L12 * 'Resumen_Cartera'!$Q12, 2), "")</f>
        <v/>
      </c>
      <c r="N12" s="29">
        <f>IF(Saldo_Residual_Activo!M12&gt;0, ROUND(Saldo_Residual_Activo!M12 * 'Resumen_Cartera'!$Q12, 2), "")</f>
        <v/>
      </c>
      <c r="O12" s="29">
        <f>IF(Saldo_Residual_Activo!N12&gt;0, ROUND(Saldo_Residual_Activo!N12 * 'Resumen_Cartera'!$Q12, 2), "")</f>
        <v/>
      </c>
      <c r="P12" s="29">
        <f>IF(Saldo_Residual_Activo!O12&gt;0, ROUND(Saldo_Residual_Activo!O12 * 'Resumen_Cartera'!$Q12, 2), "")</f>
        <v/>
      </c>
      <c r="Q12" s="29">
        <f>IF(Saldo_Residual_Activo!P12&gt;0, ROUND(Saldo_Residual_Activo!P12 * 'Resumen_Cartera'!$Q12, 2), "")</f>
        <v/>
      </c>
      <c r="R12" s="29">
        <f>IF(Saldo_Residual_Activo!Q12&gt;0, ROUND(Saldo_Residual_Activo!Q12 * 'Resumen_Cartera'!$Q12, 2), "")</f>
        <v/>
      </c>
      <c r="S12" s="29">
        <f>IF(Saldo_Residual_Activo!R12&gt;0, ROUND(Saldo_Residual_Activo!R12 * 'Resumen_Cartera'!$Q12, 2), "")</f>
        <v/>
      </c>
      <c r="T12" s="29">
        <f>IF(Saldo_Residual_Activo!S12&gt;0, ROUND(Saldo_Residual_Activo!S12 * 'Resumen_Cartera'!$Q12, 2), "")</f>
        <v/>
      </c>
      <c r="U12" s="29">
        <f>SUM(I12:T12)</f>
        <v/>
      </c>
    </row>
    <row r="13">
      <c r="A13" s="20" t="inlineStr">
        <is>
          <t>0521-0002</t>
        </is>
      </c>
      <c r="B13" s="21" t="inlineStr">
        <is>
          <t>Carlos Hiram leal Leal</t>
        </is>
      </c>
      <c r="C13" s="21" t="inlineStr">
        <is>
          <t>Xpander</t>
        </is>
      </c>
      <c r="D13" s="20" t="inlineStr">
        <is>
          <t>ACTIVO</t>
        </is>
      </c>
      <c r="E13" s="20" t="inlineStr">
        <is>
          <t>2025-09-08</t>
        </is>
      </c>
      <c r="F13" s="20" t="inlineStr">
        <is>
          <t>2028-09-08</t>
        </is>
      </c>
      <c r="G13" s="22" t="n">
        <v>36</v>
      </c>
      <c r="H13" s="23" t="n">
        <v>73197.75999999999</v>
      </c>
      <c r="I13" s="23">
        <f>ROUND(31569.68 * 'Resumen_Cartera'!$Q13, 2)</f>
        <v/>
      </c>
      <c r="J13" s="23">
        <f>IF(Saldo_Residual_Activo!I13&gt;0, ROUND(Saldo_Residual_Activo!I13 * 'Resumen_Cartera'!$Q13, 2), "")</f>
        <v/>
      </c>
      <c r="K13" s="23">
        <f>IF(Saldo_Residual_Activo!J13&gt;0, ROUND(Saldo_Residual_Activo!J13 * 'Resumen_Cartera'!$Q13, 2), "")</f>
        <v/>
      </c>
      <c r="L13" s="23">
        <f>IF(Saldo_Residual_Activo!K13&gt;0, ROUND(Saldo_Residual_Activo!K13 * 'Resumen_Cartera'!$Q13, 2), "")</f>
        <v/>
      </c>
      <c r="M13" s="23">
        <f>IF(Saldo_Residual_Activo!L13&gt;0, ROUND(Saldo_Residual_Activo!L13 * 'Resumen_Cartera'!$Q13, 2), "")</f>
        <v/>
      </c>
      <c r="N13" s="23">
        <f>IF(Saldo_Residual_Activo!M13&gt;0, ROUND(Saldo_Residual_Activo!M13 * 'Resumen_Cartera'!$Q13, 2), "")</f>
        <v/>
      </c>
      <c r="O13" s="23">
        <f>IF(Saldo_Residual_Activo!N13&gt;0, ROUND(Saldo_Residual_Activo!N13 * 'Resumen_Cartera'!$Q13, 2), "")</f>
        <v/>
      </c>
      <c r="P13" s="23">
        <f>IF(Saldo_Residual_Activo!O13&gt;0, ROUND(Saldo_Residual_Activo!O13 * 'Resumen_Cartera'!$Q13, 2), "")</f>
        <v/>
      </c>
      <c r="Q13" s="23">
        <f>IF(Saldo_Residual_Activo!P13&gt;0, ROUND(Saldo_Residual_Activo!P13 * 'Resumen_Cartera'!$Q13, 2), "")</f>
        <v/>
      </c>
      <c r="R13" s="23">
        <f>IF(Saldo_Residual_Activo!Q13&gt;0, ROUND(Saldo_Residual_Activo!Q13 * 'Resumen_Cartera'!$Q13, 2), "")</f>
        <v/>
      </c>
      <c r="S13" s="23">
        <f>IF(Saldo_Residual_Activo!R13&gt;0, ROUND(Saldo_Residual_Activo!R13 * 'Resumen_Cartera'!$Q13, 2), "")</f>
        <v/>
      </c>
      <c r="T13" s="23">
        <f>IF(Saldo_Residual_Activo!S13&gt;0, ROUND(Saldo_Residual_Activo!S13 * 'Resumen_Cartera'!$Q13, 2), "")</f>
        <v/>
      </c>
      <c r="U13" s="23">
        <f>SUM(I13:T13)</f>
        <v/>
      </c>
    </row>
    <row r="14">
      <c r="A14" s="26" t="inlineStr">
        <is>
          <t>0524-0007</t>
        </is>
      </c>
      <c r="B14" s="27" t="inlineStr">
        <is>
          <t>Lider En Derecho De Via y Construcción SA DE CV</t>
        </is>
      </c>
      <c r="C14" s="27" t="inlineStr">
        <is>
          <t>L200 Gls</t>
        </is>
      </c>
      <c r="D14" s="26" t="inlineStr">
        <is>
          <t>ACTIVO</t>
        </is>
      </c>
      <c r="E14" s="26" t="inlineStr">
        <is>
          <t>2025-08-15</t>
        </is>
      </c>
      <c r="F14" s="26" t="inlineStr">
        <is>
          <t>2027-08-15</t>
        </is>
      </c>
      <c r="G14" s="28" t="n">
        <v>24</v>
      </c>
      <c r="H14" s="29" t="n">
        <v>194996.12</v>
      </c>
      <c r="I14" s="29">
        <f>ROUND(119282.87 * 'Resumen_Cartera'!$Q14, 2)</f>
        <v/>
      </c>
      <c r="J14" s="29">
        <f>IF(Saldo_Residual_Activo!I14&gt;0, ROUND(Saldo_Residual_Activo!I14 * 'Resumen_Cartera'!$Q14, 2), "")</f>
        <v/>
      </c>
      <c r="K14" s="29">
        <f>IF(Saldo_Residual_Activo!J14&gt;0, ROUND(Saldo_Residual_Activo!J14 * 'Resumen_Cartera'!$Q14, 2), "")</f>
        <v/>
      </c>
      <c r="L14" s="29">
        <f>IF(Saldo_Residual_Activo!K14&gt;0, ROUND(Saldo_Residual_Activo!K14 * 'Resumen_Cartera'!$Q14, 2), "")</f>
        <v/>
      </c>
      <c r="M14" s="29">
        <f>IF(Saldo_Residual_Activo!L14&gt;0, ROUND(Saldo_Residual_Activo!L14 * 'Resumen_Cartera'!$Q14, 2), "")</f>
        <v/>
      </c>
      <c r="N14" s="29">
        <f>IF(Saldo_Residual_Activo!M14&gt;0, ROUND(Saldo_Residual_Activo!M14 * 'Resumen_Cartera'!$Q14, 2), "")</f>
        <v/>
      </c>
      <c r="O14" s="29">
        <f>IF(Saldo_Residual_Activo!N14&gt;0, ROUND(Saldo_Residual_Activo!N14 * 'Resumen_Cartera'!$Q14, 2), "")</f>
        <v/>
      </c>
      <c r="P14" s="29">
        <f>IF(Saldo_Residual_Activo!O14&gt;0, ROUND(Saldo_Residual_Activo!O14 * 'Resumen_Cartera'!$Q14, 2), "")</f>
        <v/>
      </c>
      <c r="Q14" s="29">
        <f>IF(Saldo_Residual_Activo!P14&gt;0, ROUND(Saldo_Residual_Activo!P14 * 'Resumen_Cartera'!$Q14, 2), "")</f>
        <v/>
      </c>
      <c r="R14" s="29">
        <f>IF(Saldo_Residual_Activo!Q14&gt;0, ROUND(Saldo_Residual_Activo!Q14 * 'Resumen_Cartera'!$Q14, 2), "")</f>
        <v/>
      </c>
      <c r="S14" s="29">
        <f>IF(Saldo_Residual_Activo!R14&gt;0, ROUND(Saldo_Residual_Activo!R14 * 'Resumen_Cartera'!$Q14, 2), "")</f>
        <v/>
      </c>
      <c r="T14" s="29">
        <f>IF(Saldo_Residual_Activo!S14&gt;0, ROUND(Saldo_Residual_Activo!S14 * 'Resumen_Cartera'!$Q14, 2), "")</f>
        <v/>
      </c>
      <c r="U14" s="29">
        <f>SUM(I14:T14)</f>
        <v/>
      </c>
    </row>
    <row r="15">
      <c r="A15" s="20" t="inlineStr">
        <is>
          <t>0524-0011</t>
        </is>
      </c>
      <c r="B15" s="21" t="inlineStr">
        <is>
          <t>Lider En Derecho De Via y Construcción SA DE CV</t>
        </is>
      </c>
      <c r="C15" s="21" t="inlineStr">
        <is>
          <t>Wrangler Unlimited Sahara</t>
        </is>
      </c>
      <c r="D15" s="20" t="inlineStr">
        <is>
          <t>ACTIVO</t>
        </is>
      </c>
      <c r="E15" s="20" t="inlineStr">
        <is>
          <t>2025-12-31</t>
        </is>
      </c>
      <c r="F15" s="20" t="inlineStr">
        <is>
          <t>2029-12-31</t>
        </is>
      </c>
      <c r="G15" s="22" t="n">
        <v>48</v>
      </c>
      <c r="H15" s="23" t="n">
        <v>105855.43</v>
      </c>
      <c r="I15" s="23">
        <f>ROUND(30419.37 * 'Resumen_Cartera'!$Q15, 2)</f>
        <v/>
      </c>
      <c r="J15" s="23">
        <f>IF(Saldo_Residual_Activo!I15&gt;0, ROUND(Saldo_Residual_Activo!I15 * 'Resumen_Cartera'!$Q15, 2), "")</f>
        <v/>
      </c>
      <c r="K15" s="23">
        <f>IF(Saldo_Residual_Activo!J15&gt;0, ROUND(Saldo_Residual_Activo!J15 * 'Resumen_Cartera'!$Q15, 2), "")</f>
        <v/>
      </c>
      <c r="L15" s="23">
        <f>IF(Saldo_Residual_Activo!K15&gt;0, ROUND(Saldo_Residual_Activo!K15 * 'Resumen_Cartera'!$Q15, 2), "")</f>
        <v/>
      </c>
      <c r="M15" s="23">
        <f>IF(Saldo_Residual_Activo!L15&gt;0, ROUND(Saldo_Residual_Activo!L15 * 'Resumen_Cartera'!$Q15, 2), "")</f>
        <v/>
      </c>
      <c r="N15" s="23">
        <f>IF(Saldo_Residual_Activo!M15&gt;0, ROUND(Saldo_Residual_Activo!M15 * 'Resumen_Cartera'!$Q15, 2), "")</f>
        <v/>
      </c>
      <c r="O15" s="23">
        <f>IF(Saldo_Residual_Activo!N15&gt;0, ROUND(Saldo_Residual_Activo!N15 * 'Resumen_Cartera'!$Q15, 2), "")</f>
        <v/>
      </c>
      <c r="P15" s="23">
        <f>IF(Saldo_Residual_Activo!O15&gt;0, ROUND(Saldo_Residual_Activo!O15 * 'Resumen_Cartera'!$Q15, 2), "")</f>
        <v/>
      </c>
      <c r="Q15" s="23">
        <f>IF(Saldo_Residual_Activo!P15&gt;0, ROUND(Saldo_Residual_Activo!P15 * 'Resumen_Cartera'!$Q15, 2), "")</f>
        <v/>
      </c>
      <c r="R15" s="23">
        <f>IF(Saldo_Residual_Activo!Q15&gt;0, ROUND(Saldo_Residual_Activo!Q15 * 'Resumen_Cartera'!$Q15, 2), "")</f>
        <v/>
      </c>
      <c r="S15" s="23">
        <f>IF(Saldo_Residual_Activo!R15&gt;0, ROUND(Saldo_Residual_Activo!R15 * 'Resumen_Cartera'!$Q15, 2), "")</f>
        <v/>
      </c>
      <c r="T15" s="23">
        <f>IF(Saldo_Residual_Activo!S15&gt;0, ROUND(Saldo_Residual_Activo!S15 * 'Resumen_Cartera'!$Q15, 2), "")</f>
        <v/>
      </c>
      <c r="U15" s="23">
        <f>SUM(I15:T15)</f>
        <v/>
      </c>
    </row>
    <row r="16">
      <c r="A16" s="26" t="inlineStr">
        <is>
          <t>0524-0012</t>
        </is>
      </c>
      <c r="B16" s="27" t="inlineStr">
        <is>
          <t>Lider En Derecho De Via y Construcción SA DE CV</t>
        </is>
      </c>
      <c r="C16" s="27" t="inlineStr">
        <is>
          <t>L200 GLS</t>
        </is>
      </c>
      <c r="D16" s="26" t="inlineStr">
        <is>
          <t>ACTIVO</t>
        </is>
      </c>
      <c r="E16" s="26" t="inlineStr">
        <is>
          <t>2026-03-17</t>
        </is>
      </c>
      <c r="F16" s="26" t="inlineStr">
        <is>
          <t>2030-03-17</t>
        </is>
      </c>
      <c r="G16" s="28" t="n">
        <v>48</v>
      </c>
      <c r="H16" s="29" t="n">
        <v>62415.43</v>
      </c>
      <c r="I16" s="29" t="inlineStr"/>
      <c r="J16" s="29" t="inlineStr"/>
      <c r="K16" s="29">
        <f>ROUND('Resumen_Cartera'!$U16 * 'Resumen_Cartera'!$Q16, 2)</f>
        <v/>
      </c>
      <c r="L16" s="29">
        <f>IF(Saldo_Residual_Activo!K16&gt;0, ROUND(Saldo_Residual_Activo!K16 * 'Resumen_Cartera'!$Q16, 2), "")</f>
        <v/>
      </c>
      <c r="M16" s="29">
        <f>IF(Saldo_Residual_Activo!L16&gt;0, ROUND(Saldo_Residual_Activo!L16 * 'Resumen_Cartera'!$Q16, 2), "")</f>
        <v/>
      </c>
      <c r="N16" s="29">
        <f>IF(Saldo_Residual_Activo!M16&gt;0, ROUND(Saldo_Residual_Activo!M16 * 'Resumen_Cartera'!$Q16, 2), "")</f>
        <v/>
      </c>
      <c r="O16" s="29">
        <f>IF(Saldo_Residual_Activo!N16&gt;0, ROUND(Saldo_Residual_Activo!N16 * 'Resumen_Cartera'!$Q16, 2), "")</f>
        <v/>
      </c>
      <c r="P16" s="29">
        <f>IF(Saldo_Residual_Activo!O16&gt;0, ROUND(Saldo_Residual_Activo!O16 * 'Resumen_Cartera'!$Q16, 2), "")</f>
        <v/>
      </c>
      <c r="Q16" s="29">
        <f>IF(Saldo_Residual_Activo!P16&gt;0, ROUND(Saldo_Residual_Activo!P16 * 'Resumen_Cartera'!$Q16, 2), "")</f>
        <v/>
      </c>
      <c r="R16" s="29">
        <f>IF(Saldo_Residual_Activo!Q16&gt;0, ROUND(Saldo_Residual_Activo!Q16 * 'Resumen_Cartera'!$Q16, 2), "")</f>
        <v/>
      </c>
      <c r="S16" s="29">
        <f>IF(Saldo_Residual_Activo!R16&gt;0, ROUND(Saldo_Residual_Activo!R16 * 'Resumen_Cartera'!$Q16, 2), "")</f>
        <v/>
      </c>
      <c r="T16" s="29">
        <f>IF(Saldo_Residual_Activo!S16&gt;0, ROUND(Saldo_Residual_Activo!S16 * 'Resumen_Cartera'!$Q16, 2), "")</f>
        <v/>
      </c>
      <c r="U16" s="29">
        <f>SUM(I16:T16)</f>
        <v/>
      </c>
    </row>
    <row r="17">
      <c r="A17" s="20" t="inlineStr">
        <is>
          <t>0524-0013</t>
        </is>
      </c>
      <c r="B17" s="21" t="inlineStr">
        <is>
          <t>Lider En Derecho De Via y Construcción SA DE CV</t>
        </is>
      </c>
      <c r="C17" s="21" t="inlineStr">
        <is>
          <t>L200 GLX</t>
        </is>
      </c>
      <c r="D17" s="20" t="inlineStr">
        <is>
          <t>ACTIVO</t>
        </is>
      </c>
      <c r="E17" s="20" t="inlineStr">
        <is>
          <t>2026-06-23</t>
        </is>
      </c>
      <c r="F17" s="20" t="inlineStr">
        <is>
          <t>2029-06-23</t>
        </is>
      </c>
      <c r="G17" s="22" t="n">
        <v>36</v>
      </c>
      <c r="H17" s="23" t="n">
        <v>119585</v>
      </c>
      <c r="I17" s="23" t="inlineStr"/>
      <c r="J17" s="23" t="inlineStr"/>
      <c r="K17" s="23" t="inlineStr"/>
      <c r="L17" s="23" t="inlineStr"/>
      <c r="M17" s="23" t="inlineStr"/>
      <c r="N17" s="23">
        <f>ROUND('Resumen_Cartera'!$U17 * 'Resumen_Cartera'!$Q17, 2)</f>
        <v/>
      </c>
      <c r="O17" s="23">
        <f>IF(Saldo_Residual_Activo!N17&gt;0, ROUND(Saldo_Residual_Activo!N17 * 'Resumen_Cartera'!$Q17, 2), "")</f>
        <v/>
      </c>
      <c r="P17" s="23">
        <f>IF(Saldo_Residual_Activo!O17&gt;0, ROUND(Saldo_Residual_Activo!O17 * 'Resumen_Cartera'!$Q17, 2), "")</f>
        <v/>
      </c>
      <c r="Q17" s="23">
        <f>IF(Saldo_Residual_Activo!P17&gt;0, ROUND(Saldo_Residual_Activo!P17 * 'Resumen_Cartera'!$Q17, 2), "")</f>
        <v/>
      </c>
      <c r="R17" s="23">
        <f>IF(Saldo_Residual_Activo!Q17&gt;0, ROUND(Saldo_Residual_Activo!Q17 * 'Resumen_Cartera'!$Q17, 2), "")</f>
        <v/>
      </c>
      <c r="S17" s="23">
        <f>IF(Saldo_Residual_Activo!R17&gt;0, ROUND(Saldo_Residual_Activo!R17 * 'Resumen_Cartera'!$Q17, 2), "")</f>
        <v/>
      </c>
      <c r="T17" s="23">
        <f>IF(Saldo_Residual_Activo!S17&gt;0, ROUND(Saldo_Residual_Activo!S17 * 'Resumen_Cartera'!$Q17, 2), "")</f>
        <v/>
      </c>
      <c r="U17" s="23">
        <f>SUM(I17:T17)</f>
        <v/>
      </c>
    </row>
    <row r="18">
      <c r="A18" s="26" t="inlineStr">
        <is>
          <t>0524-0014</t>
        </is>
      </c>
      <c r="B18" s="27" t="inlineStr">
        <is>
          <t>Lider En Derecho De Via y Construcción SA DE CV</t>
        </is>
      </c>
      <c r="C18" s="27" t="inlineStr">
        <is>
          <t>L200 GLX</t>
        </is>
      </c>
      <c r="D18" s="26" t="inlineStr">
        <is>
          <t>ACTIVO</t>
        </is>
      </c>
      <c r="E18" s="26" t="inlineStr">
        <is>
          <t>2026-06-23</t>
        </is>
      </c>
      <c r="F18" s="26" t="inlineStr">
        <is>
          <t>2029-06-23</t>
        </is>
      </c>
      <c r="G18" s="28" t="n">
        <v>36</v>
      </c>
      <c r="H18" s="29" t="n">
        <v>119585</v>
      </c>
      <c r="I18" s="29" t="inlineStr"/>
      <c r="J18" s="29" t="inlineStr"/>
      <c r="K18" s="29" t="inlineStr"/>
      <c r="L18" s="29" t="inlineStr"/>
      <c r="M18" s="29" t="inlineStr"/>
      <c r="N18" s="29">
        <f>ROUND('Resumen_Cartera'!$U18 * 'Resumen_Cartera'!$Q18, 2)</f>
        <v/>
      </c>
      <c r="O18" s="29">
        <f>IF(Saldo_Residual_Activo!N18&gt;0, ROUND(Saldo_Residual_Activo!N18 * 'Resumen_Cartera'!$Q18, 2), "")</f>
        <v/>
      </c>
      <c r="P18" s="29">
        <f>IF(Saldo_Residual_Activo!O18&gt;0, ROUND(Saldo_Residual_Activo!O18 * 'Resumen_Cartera'!$Q18, 2), "")</f>
        <v/>
      </c>
      <c r="Q18" s="29">
        <f>IF(Saldo_Residual_Activo!P18&gt;0, ROUND(Saldo_Residual_Activo!P18 * 'Resumen_Cartera'!$Q18, 2), "")</f>
        <v/>
      </c>
      <c r="R18" s="29">
        <f>IF(Saldo_Residual_Activo!Q18&gt;0, ROUND(Saldo_Residual_Activo!Q18 * 'Resumen_Cartera'!$Q18, 2), "")</f>
        <v/>
      </c>
      <c r="S18" s="29">
        <f>IF(Saldo_Residual_Activo!R18&gt;0, ROUND(Saldo_Residual_Activo!R18 * 'Resumen_Cartera'!$Q18, 2), "")</f>
        <v/>
      </c>
      <c r="T18" s="29">
        <f>IF(Saldo_Residual_Activo!S18&gt;0, ROUND(Saldo_Residual_Activo!S18 * 'Resumen_Cartera'!$Q18, 2), "")</f>
        <v/>
      </c>
      <c r="U18" s="29">
        <f>SUM(I18:T18)</f>
        <v/>
      </c>
    </row>
    <row r="19">
      <c r="A19" s="20" t="inlineStr">
        <is>
          <t>0524-0015</t>
        </is>
      </c>
      <c r="B19" s="21" t="inlineStr">
        <is>
          <t>Lider En Derecho De Via y Construcción SA DE CV</t>
        </is>
      </c>
      <c r="C19" s="21" t="inlineStr">
        <is>
          <t>Mitsubishi L200 GLX 2026</t>
        </is>
      </c>
      <c r="D19" s="20" t="inlineStr">
        <is>
          <t>ACTIVO</t>
        </is>
      </c>
      <c r="E19" s="20" t="inlineStr">
        <is>
          <t>2026-07-29</t>
        </is>
      </c>
      <c r="F19" s="20" t="inlineStr">
        <is>
          <t>2029-07-29</t>
        </is>
      </c>
      <c r="G19" s="22" t="n">
        <v>36</v>
      </c>
      <c r="H19" s="23" t="n">
        <v>103090.52</v>
      </c>
      <c r="I19" s="23" t="inlineStr"/>
      <c r="J19" s="23" t="inlineStr"/>
      <c r="K19" s="23" t="inlineStr"/>
      <c r="L19" s="23" t="inlineStr"/>
      <c r="M19" s="23" t="inlineStr"/>
      <c r="N19" s="23" t="inlineStr"/>
      <c r="O19" s="23">
        <f>ROUND('Resumen_Cartera'!$U19 * 'Resumen_Cartera'!$Q19, 2)</f>
        <v/>
      </c>
      <c r="P19" s="23">
        <f>IF(Saldo_Residual_Activo!O19&gt;0, ROUND(Saldo_Residual_Activo!O19 * 'Resumen_Cartera'!$Q19, 2), "")</f>
        <v/>
      </c>
      <c r="Q19" s="23">
        <f>IF(Saldo_Residual_Activo!P19&gt;0, ROUND(Saldo_Residual_Activo!P19 * 'Resumen_Cartera'!$Q19, 2), "")</f>
        <v/>
      </c>
      <c r="R19" s="23">
        <f>IF(Saldo_Residual_Activo!Q19&gt;0, ROUND(Saldo_Residual_Activo!Q19 * 'Resumen_Cartera'!$Q19, 2), "")</f>
        <v/>
      </c>
      <c r="S19" s="23">
        <f>IF(Saldo_Residual_Activo!R19&gt;0, ROUND(Saldo_Residual_Activo!R19 * 'Resumen_Cartera'!$Q19, 2), "")</f>
        <v/>
      </c>
      <c r="T19" s="23">
        <f>IF(Saldo_Residual_Activo!S19&gt;0, ROUND(Saldo_Residual_Activo!S19 * 'Resumen_Cartera'!$Q19, 2), "")</f>
        <v/>
      </c>
      <c r="U19" s="23">
        <f>SUM(I19:T19)</f>
        <v/>
      </c>
    </row>
    <row r="20">
      <c r="A20" s="26" t="inlineStr">
        <is>
          <t>0524-0016</t>
        </is>
      </c>
      <c r="B20" s="27" t="inlineStr">
        <is>
          <t>Lider En Derecho De Via y Construcción SA DE CV</t>
        </is>
      </c>
      <c r="C20" s="27" t="inlineStr">
        <is>
          <t>Mitsubishi L200 GLX 2026</t>
        </is>
      </c>
      <c r="D20" s="26" t="inlineStr">
        <is>
          <t>ACTIVO</t>
        </is>
      </c>
      <c r="E20" s="26" t="inlineStr">
        <is>
          <t>2026-07-29</t>
        </is>
      </c>
      <c r="F20" s="26" t="inlineStr">
        <is>
          <t>2029-07-29</t>
        </is>
      </c>
      <c r="G20" s="28" t="n">
        <v>36</v>
      </c>
      <c r="H20" s="29" t="n">
        <v>103090.52</v>
      </c>
      <c r="I20" s="29" t="inlineStr"/>
      <c r="J20" s="29" t="inlineStr"/>
      <c r="K20" s="29" t="inlineStr"/>
      <c r="L20" s="29" t="inlineStr"/>
      <c r="M20" s="29" t="inlineStr"/>
      <c r="N20" s="29" t="inlineStr"/>
      <c r="O20" s="29">
        <f>ROUND('Resumen_Cartera'!$U20 * 'Resumen_Cartera'!$Q20, 2)</f>
        <v/>
      </c>
      <c r="P20" s="29">
        <f>IF(Saldo_Residual_Activo!O20&gt;0, ROUND(Saldo_Residual_Activo!O20 * 'Resumen_Cartera'!$Q20, 2), "")</f>
        <v/>
      </c>
      <c r="Q20" s="29">
        <f>IF(Saldo_Residual_Activo!P20&gt;0, ROUND(Saldo_Residual_Activo!P20 * 'Resumen_Cartera'!$Q20, 2), "")</f>
        <v/>
      </c>
      <c r="R20" s="29">
        <f>IF(Saldo_Residual_Activo!Q20&gt;0, ROUND(Saldo_Residual_Activo!Q20 * 'Resumen_Cartera'!$Q20, 2), "")</f>
        <v/>
      </c>
      <c r="S20" s="29">
        <f>IF(Saldo_Residual_Activo!R20&gt;0, ROUND(Saldo_Residual_Activo!R20 * 'Resumen_Cartera'!$Q20, 2), "")</f>
        <v/>
      </c>
      <c r="T20" s="29">
        <f>IF(Saldo_Residual_Activo!S20&gt;0, ROUND(Saldo_Residual_Activo!S20 * 'Resumen_Cartera'!$Q20, 2), "")</f>
        <v/>
      </c>
      <c r="U20" s="29">
        <f>SUM(I20:T20)</f>
        <v/>
      </c>
    </row>
    <row r="21">
      <c r="A21" s="20" t="inlineStr">
        <is>
          <t>0527-0003</t>
        </is>
      </c>
      <c r="B21" s="21" t="inlineStr">
        <is>
          <t>Comercilizadora e Importadora Nabega Sa de Cv</t>
        </is>
      </c>
      <c r="C21" s="21" t="inlineStr">
        <is>
          <t>RAM 700 Big Horn CVT</t>
        </is>
      </c>
      <c r="D21" s="20" t="inlineStr">
        <is>
          <t>ACTIVO</t>
        </is>
      </c>
      <c r="E21" s="20" t="inlineStr">
        <is>
          <t>2024-05-30</t>
        </is>
      </c>
      <c r="F21" s="20" t="inlineStr">
        <is>
          <t>2027-05-30</t>
        </is>
      </c>
      <c r="G21" s="22" t="n">
        <v>36</v>
      </c>
      <c r="H21" s="23" t="n">
        <v>126693.97</v>
      </c>
      <c r="I21" s="23">
        <f>ROUND(76265.33 * 'Resumen_Cartera'!$Q21, 2)</f>
        <v/>
      </c>
      <c r="J21" s="23">
        <f>IF(Saldo_Residual_Activo!I21&gt;0, ROUND(Saldo_Residual_Activo!I21 * 'Resumen_Cartera'!$Q21, 2), "")</f>
        <v/>
      </c>
      <c r="K21" s="23">
        <f>IF(Saldo_Residual_Activo!J21&gt;0, ROUND(Saldo_Residual_Activo!J21 * 'Resumen_Cartera'!$Q21, 2), "")</f>
        <v/>
      </c>
      <c r="L21" s="23">
        <f>IF(Saldo_Residual_Activo!K21&gt;0, ROUND(Saldo_Residual_Activo!K21 * 'Resumen_Cartera'!$Q21, 2), "")</f>
        <v/>
      </c>
      <c r="M21" s="23">
        <f>IF(Saldo_Residual_Activo!L21&gt;0, ROUND(Saldo_Residual_Activo!L21 * 'Resumen_Cartera'!$Q21, 2), "")</f>
        <v/>
      </c>
      <c r="N21" s="23">
        <f>IF(Saldo_Residual_Activo!M21&gt;0, ROUND(Saldo_Residual_Activo!M21 * 'Resumen_Cartera'!$Q21, 2), "")</f>
        <v/>
      </c>
      <c r="O21" s="23">
        <f>IF(Saldo_Residual_Activo!N21&gt;0, ROUND(Saldo_Residual_Activo!N21 * 'Resumen_Cartera'!$Q21, 2), "")</f>
        <v/>
      </c>
      <c r="P21" s="23">
        <f>IF(Saldo_Residual_Activo!O21&gt;0, ROUND(Saldo_Residual_Activo!O21 * 'Resumen_Cartera'!$Q21, 2), "")</f>
        <v/>
      </c>
      <c r="Q21" s="23">
        <f>IF(Saldo_Residual_Activo!P21&gt;0, ROUND(Saldo_Residual_Activo!P21 * 'Resumen_Cartera'!$Q21, 2), "")</f>
        <v/>
      </c>
      <c r="R21" s="23">
        <f>IF(Saldo_Residual_Activo!Q21&gt;0, ROUND(Saldo_Residual_Activo!Q21 * 'Resumen_Cartera'!$Q21, 2), "")</f>
        <v/>
      </c>
      <c r="S21" s="23">
        <f>IF(Saldo_Residual_Activo!R21&gt;0, ROUND(Saldo_Residual_Activo!R21 * 'Resumen_Cartera'!$Q21, 2), "")</f>
        <v/>
      </c>
      <c r="T21" s="23">
        <f>IF(Saldo_Residual_Activo!S21&gt;0, ROUND(Saldo_Residual_Activo!S21 * 'Resumen_Cartera'!$Q21, 2), "")</f>
        <v/>
      </c>
      <c r="U21" s="23">
        <f>SUM(I21:T21)</f>
        <v/>
      </c>
    </row>
    <row r="22">
      <c r="A22" s="26" t="inlineStr">
        <is>
          <t>0527-0004</t>
        </is>
      </c>
      <c r="B22" s="27" t="inlineStr">
        <is>
          <t>Comercilizadora e Importadora Nabega Sa de Cv</t>
        </is>
      </c>
      <c r="C22" s="27" t="inlineStr">
        <is>
          <t>Gmc Denali</t>
        </is>
      </c>
      <c r="D22" s="26" t="inlineStr">
        <is>
          <t>ACTIVO</t>
        </is>
      </c>
      <c r="E22" s="26" t="inlineStr">
        <is>
          <t>2025-07-31</t>
        </is>
      </c>
      <c r="F22" s="26" t="inlineStr">
        <is>
          <t>2029-07-31</t>
        </is>
      </c>
      <c r="G22" s="28" t="n">
        <v>48</v>
      </c>
      <c r="H22" s="29" t="n">
        <v>220241.38</v>
      </c>
      <c r="I22" s="29">
        <f>ROUND(72006.59 * 'Resumen_Cartera'!$Q22, 2)</f>
        <v/>
      </c>
      <c r="J22" s="29">
        <f>IF(Saldo_Residual_Activo!I22&gt;0, ROUND(Saldo_Residual_Activo!I22 * 'Resumen_Cartera'!$Q22, 2), "")</f>
        <v/>
      </c>
      <c r="K22" s="29">
        <f>IF(Saldo_Residual_Activo!J22&gt;0, ROUND(Saldo_Residual_Activo!J22 * 'Resumen_Cartera'!$Q22, 2), "")</f>
        <v/>
      </c>
      <c r="L22" s="29">
        <f>IF(Saldo_Residual_Activo!K22&gt;0, ROUND(Saldo_Residual_Activo!K22 * 'Resumen_Cartera'!$Q22, 2), "")</f>
        <v/>
      </c>
      <c r="M22" s="29">
        <f>IF(Saldo_Residual_Activo!L22&gt;0, ROUND(Saldo_Residual_Activo!L22 * 'Resumen_Cartera'!$Q22, 2), "")</f>
        <v/>
      </c>
      <c r="N22" s="29">
        <f>IF(Saldo_Residual_Activo!M22&gt;0, ROUND(Saldo_Residual_Activo!M22 * 'Resumen_Cartera'!$Q22, 2), "")</f>
        <v/>
      </c>
      <c r="O22" s="29">
        <f>IF(Saldo_Residual_Activo!N22&gt;0, ROUND(Saldo_Residual_Activo!N22 * 'Resumen_Cartera'!$Q22, 2), "")</f>
        <v/>
      </c>
      <c r="P22" s="29">
        <f>IF(Saldo_Residual_Activo!O22&gt;0, ROUND(Saldo_Residual_Activo!O22 * 'Resumen_Cartera'!$Q22, 2), "")</f>
        <v/>
      </c>
      <c r="Q22" s="29">
        <f>IF(Saldo_Residual_Activo!P22&gt;0, ROUND(Saldo_Residual_Activo!P22 * 'Resumen_Cartera'!$Q22, 2), "")</f>
        <v/>
      </c>
      <c r="R22" s="29">
        <f>IF(Saldo_Residual_Activo!Q22&gt;0, ROUND(Saldo_Residual_Activo!Q22 * 'Resumen_Cartera'!$Q22, 2), "")</f>
        <v/>
      </c>
      <c r="S22" s="29">
        <f>IF(Saldo_Residual_Activo!R22&gt;0, ROUND(Saldo_Residual_Activo!R22 * 'Resumen_Cartera'!$Q22, 2), "")</f>
        <v/>
      </c>
      <c r="T22" s="29">
        <f>IF(Saldo_Residual_Activo!S22&gt;0, ROUND(Saldo_Residual_Activo!S22 * 'Resumen_Cartera'!$Q22, 2), "")</f>
        <v/>
      </c>
      <c r="U22" s="29">
        <f>SUM(I22:T22)</f>
        <v/>
      </c>
    </row>
    <row r="23">
      <c r="A23" s="20" t="inlineStr">
        <is>
          <t>0527-0005</t>
        </is>
      </c>
      <c r="B23" s="21" t="inlineStr">
        <is>
          <t>Comercilizadora e Importadora Nabega Sa de Cv</t>
        </is>
      </c>
      <c r="C23" s="21" t="inlineStr">
        <is>
          <t>Gle 450 Sport</t>
        </is>
      </c>
      <c r="D23" s="20" t="inlineStr">
        <is>
          <t>ACTIVO</t>
        </is>
      </c>
      <c r="E23" s="20" t="inlineStr">
        <is>
          <t>2025-08-16</t>
        </is>
      </c>
      <c r="F23" s="20" t="inlineStr">
        <is>
          <t>2028-08-16</t>
        </is>
      </c>
      <c r="G23" s="22" t="n">
        <v>36</v>
      </c>
      <c r="H23" s="23" t="n">
        <v>300150</v>
      </c>
      <c r="I23" s="23">
        <f>ROUND(138864.97 * 'Resumen_Cartera'!$Q23, 2)</f>
        <v/>
      </c>
      <c r="J23" s="23">
        <f>IF(Saldo_Residual_Activo!I23&gt;0, ROUND(Saldo_Residual_Activo!I23 * 'Resumen_Cartera'!$Q23, 2), "")</f>
        <v/>
      </c>
      <c r="K23" s="23">
        <f>IF(Saldo_Residual_Activo!J23&gt;0, ROUND(Saldo_Residual_Activo!J23 * 'Resumen_Cartera'!$Q23, 2), "")</f>
        <v/>
      </c>
      <c r="L23" s="23">
        <f>IF(Saldo_Residual_Activo!K23&gt;0, ROUND(Saldo_Residual_Activo!K23 * 'Resumen_Cartera'!$Q23, 2), "")</f>
        <v/>
      </c>
      <c r="M23" s="23">
        <f>IF(Saldo_Residual_Activo!L23&gt;0, ROUND(Saldo_Residual_Activo!L23 * 'Resumen_Cartera'!$Q23, 2), "")</f>
        <v/>
      </c>
      <c r="N23" s="23">
        <f>IF(Saldo_Residual_Activo!M23&gt;0, ROUND(Saldo_Residual_Activo!M23 * 'Resumen_Cartera'!$Q23, 2), "")</f>
        <v/>
      </c>
      <c r="O23" s="23">
        <f>IF(Saldo_Residual_Activo!N23&gt;0, ROUND(Saldo_Residual_Activo!N23 * 'Resumen_Cartera'!$Q23, 2), "")</f>
        <v/>
      </c>
      <c r="P23" s="23">
        <f>IF(Saldo_Residual_Activo!O23&gt;0, ROUND(Saldo_Residual_Activo!O23 * 'Resumen_Cartera'!$Q23, 2), "")</f>
        <v/>
      </c>
      <c r="Q23" s="23">
        <f>IF(Saldo_Residual_Activo!P23&gt;0, ROUND(Saldo_Residual_Activo!P23 * 'Resumen_Cartera'!$Q23, 2), "")</f>
        <v/>
      </c>
      <c r="R23" s="23">
        <f>IF(Saldo_Residual_Activo!Q23&gt;0, ROUND(Saldo_Residual_Activo!Q23 * 'Resumen_Cartera'!$Q23, 2), "")</f>
        <v/>
      </c>
      <c r="S23" s="23">
        <f>IF(Saldo_Residual_Activo!R23&gt;0, ROUND(Saldo_Residual_Activo!R23 * 'Resumen_Cartera'!$Q23, 2), "")</f>
        <v/>
      </c>
      <c r="T23" s="23">
        <f>IF(Saldo_Residual_Activo!S23&gt;0, ROUND(Saldo_Residual_Activo!S23 * 'Resumen_Cartera'!$Q23, 2), "")</f>
        <v/>
      </c>
      <c r="U23" s="23">
        <f>SUM(I23:T23)</f>
        <v/>
      </c>
    </row>
    <row r="24">
      <c r="A24" s="26" t="inlineStr">
        <is>
          <t>0531-0002</t>
        </is>
      </c>
      <c r="B24" s="27" t="inlineStr">
        <is>
          <t>Otcada Mex, S. de R.L. de C.V.</t>
        </is>
      </c>
      <c r="C24" s="27" t="inlineStr">
        <is>
          <t>Grand Cherokee Limited</t>
        </is>
      </c>
      <c r="D24" s="26" t="inlineStr">
        <is>
          <t>ACTIVO</t>
        </is>
      </c>
      <c r="E24" s="26" t="inlineStr">
        <is>
          <t>2026-06-18</t>
        </is>
      </c>
      <c r="F24" s="26" t="inlineStr">
        <is>
          <t>2030-06-18</t>
        </is>
      </c>
      <c r="G24" s="28" t="n">
        <v>48</v>
      </c>
      <c r="H24" s="29" t="n">
        <v>129890</v>
      </c>
      <c r="I24" s="29" t="inlineStr"/>
      <c r="J24" s="29" t="inlineStr"/>
      <c r="K24" s="29" t="inlineStr"/>
      <c r="L24" s="29" t="inlineStr"/>
      <c r="M24" s="29" t="inlineStr"/>
      <c r="N24" s="29">
        <f>ROUND('Resumen_Cartera'!$U24 * 'Resumen_Cartera'!$Q24, 2)</f>
        <v/>
      </c>
      <c r="O24" s="29">
        <f>IF(Saldo_Residual_Activo!N24&gt;0, ROUND(Saldo_Residual_Activo!N24 * 'Resumen_Cartera'!$Q24, 2), "")</f>
        <v/>
      </c>
      <c r="P24" s="29">
        <f>IF(Saldo_Residual_Activo!O24&gt;0, ROUND(Saldo_Residual_Activo!O24 * 'Resumen_Cartera'!$Q24, 2), "")</f>
        <v/>
      </c>
      <c r="Q24" s="29">
        <f>IF(Saldo_Residual_Activo!P24&gt;0, ROUND(Saldo_Residual_Activo!P24 * 'Resumen_Cartera'!$Q24, 2), "")</f>
        <v/>
      </c>
      <c r="R24" s="29">
        <f>IF(Saldo_Residual_Activo!Q24&gt;0, ROUND(Saldo_Residual_Activo!Q24 * 'Resumen_Cartera'!$Q24, 2), "")</f>
        <v/>
      </c>
      <c r="S24" s="29">
        <f>IF(Saldo_Residual_Activo!R24&gt;0, ROUND(Saldo_Residual_Activo!R24 * 'Resumen_Cartera'!$Q24, 2), "")</f>
        <v/>
      </c>
      <c r="T24" s="29">
        <f>IF(Saldo_Residual_Activo!S24&gt;0, ROUND(Saldo_Residual_Activo!S24 * 'Resumen_Cartera'!$Q24, 2), "")</f>
        <v/>
      </c>
      <c r="U24" s="29">
        <f>SUM(I24:T24)</f>
        <v/>
      </c>
    </row>
    <row r="25">
      <c r="A25" s="20" t="inlineStr">
        <is>
          <t>0546-0007</t>
        </is>
      </c>
      <c r="B25" s="21" t="inlineStr">
        <is>
          <t>Norma Elena Bonilla Lupio</t>
        </is>
      </c>
      <c r="C25" s="21" t="inlineStr">
        <is>
          <t>GLC 350 E 4MATIC</t>
        </is>
      </c>
      <c r="D25" s="20" t="inlineStr">
        <is>
          <t>ACTIVO</t>
        </is>
      </c>
      <c r="E25" s="20" t="inlineStr">
        <is>
          <t>2025-10-14</t>
        </is>
      </c>
      <c r="F25" s="20" t="inlineStr">
        <is>
          <t>2027-10-14</t>
        </is>
      </c>
      <c r="G25" s="22" t="n">
        <v>24</v>
      </c>
      <c r="H25" s="23" t="n">
        <v>144486.21</v>
      </c>
      <c r="I25" s="23">
        <f>ROUND(86908.08 * 'Resumen_Cartera'!$Q25, 2)</f>
        <v/>
      </c>
      <c r="J25" s="23">
        <f>IF(Saldo_Residual_Activo!I25&gt;0, ROUND(Saldo_Residual_Activo!I25 * 'Resumen_Cartera'!$Q25, 2), "")</f>
        <v/>
      </c>
      <c r="K25" s="23">
        <f>IF(Saldo_Residual_Activo!J25&gt;0, ROUND(Saldo_Residual_Activo!J25 * 'Resumen_Cartera'!$Q25, 2), "")</f>
        <v/>
      </c>
      <c r="L25" s="23">
        <f>IF(Saldo_Residual_Activo!K25&gt;0, ROUND(Saldo_Residual_Activo!K25 * 'Resumen_Cartera'!$Q25, 2), "")</f>
        <v/>
      </c>
      <c r="M25" s="23">
        <f>IF(Saldo_Residual_Activo!L25&gt;0, ROUND(Saldo_Residual_Activo!L25 * 'Resumen_Cartera'!$Q25, 2), "")</f>
        <v/>
      </c>
      <c r="N25" s="23">
        <f>IF(Saldo_Residual_Activo!M25&gt;0, ROUND(Saldo_Residual_Activo!M25 * 'Resumen_Cartera'!$Q25, 2), "")</f>
        <v/>
      </c>
      <c r="O25" s="23">
        <f>IF(Saldo_Residual_Activo!N25&gt;0, ROUND(Saldo_Residual_Activo!N25 * 'Resumen_Cartera'!$Q25, 2), "")</f>
        <v/>
      </c>
      <c r="P25" s="23">
        <f>IF(Saldo_Residual_Activo!O25&gt;0, ROUND(Saldo_Residual_Activo!O25 * 'Resumen_Cartera'!$Q25, 2), "")</f>
        <v/>
      </c>
      <c r="Q25" s="23">
        <f>IF(Saldo_Residual_Activo!P25&gt;0, ROUND(Saldo_Residual_Activo!P25 * 'Resumen_Cartera'!$Q25, 2), "")</f>
        <v/>
      </c>
      <c r="R25" s="23">
        <f>IF(Saldo_Residual_Activo!Q25&gt;0, ROUND(Saldo_Residual_Activo!Q25 * 'Resumen_Cartera'!$Q25, 2), "")</f>
        <v/>
      </c>
      <c r="S25" s="23">
        <f>IF(Saldo_Residual_Activo!R25&gt;0, ROUND(Saldo_Residual_Activo!R25 * 'Resumen_Cartera'!$Q25, 2), "")</f>
        <v/>
      </c>
      <c r="T25" s="23">
        <f>IF(Saldo_Residual_Activo!S25&gt;0, ROUND(Saldo_Residual_Activo!S25 * 'Resumen_Cartera'!$Q25, 2), "")</f>
        <v/>
      </c>
      <c r="U25" s="23">
        <f>SUM(I25:T25)</f>
        <v/>
      </c>
    </row>
    <row r="26">
      <c r="A26" s="26" t="inlineStr">
        <is>
          <t>0546-0008</t>
        </is>
      </c>
      <c r="B26" s="27" t="inlineStr">
        <is>
          <t>Norma Elena Bonilla Lupio</t>
        </is>
      </c>
      <c r="C26" s="27" t="inlineStr">
        <is>
          <t>JT MOJAVE 4X4</t>
        </is>
      </c>
      <c r="D26" s="26" t="inlineStr">
        <is>
          <t>ACTIVO</t>
        </is>
      </c>
      <c r="E26" s="26" t="inlineStr">
        <is>
          <t>2026-01-08</t>
        </is>
      </c>
      <c r="F26" s="26" t="inlineStr">
        <is>
          <t>2028-01-08</t>
        </is>
      </c>
      <c r="G26" s="28" t="n">
        <v>24</v>
      </c>
      <c r="H26" s="29" t="n">
        <v>136293.36</v>
      </c>
      <c r="I26" s="29">
        <f>ROUND('Resumen_Cartera'!$U26 * 'Resumen_Cartera'!$Q26, 2)</f>
        <v/>
      </c>
      <c r="J26" s="29">
        <f>IF(Saldo_Residual_Activo!I26&gt;0, ROUND(Saldo_Residual_Activo!I26 * 'Resumen_Cartera'!$Q26, 2), "")</f>
        <v/>
      </c>
      <c r="K26" s="29">
        <f>IF(Saldo_Residual_Activo!J26&gt;0, ROUND(Saldo_Residual_Activo!J26 * 'Resumen_Cartera'!$Q26, 2), "")</f>
        <v/>
      </c>
      <c r="L26" s="29">
        <f>IF(Saldo_Residual_Activo!K26&gt;0, ROUND(Saldo_Residual_Activo!K26 * 'Resumen_Cartera'!$Q26, 2), "")</f>
        <v/>
      </c>
      <c r="M26" s="29">
        <f>IF(Saldo_Residual_Activo!L26&gt;0, ROUND(Saldo_Residual_Activo!L26 * 'Resumen_Cartera'!$Q26, 2), "")</f>
        <v/>
      </c>
      <c r="N26" s="29">
        <f>IF(Saldo_Residual_Activo!M26&gt;0, ROUND(Saldo_Residual_Activo!M26 * 'Resumen_Cartera'!$Q26, 2), "")</f>
        <v/>
      </c>
      <c r="O26" s="29">
        <f>IF(Saldo_Residual_Activo!N26&gt;0, ROUND(Saldo_Residual_Activo!N26 * 'Resumen_Cartera'!$Q26, 2), "")</f>
        <v/>
      </c>
      <c r="P26" s="29">
        <f>IF(Saldo_Residual_Activo!O26&gt;0, ROUND(Saldo_Residual_Activo!O26 * 'Resumen_Cartera'!$Q26, 2), "")</f>
        <v/>
      </c>
      <c r="Q26" s="29">
        <f>IF(Saldo_Residual_Activo!P26&gt;0, ROUND(Saldo_Residual_Activo!P26 * 'Resumen_Cartera'!$Q26, 2), "")</f>
        <v/>
      </c>
      <c r="R26" s="29">
        <f>IF(Saldo_Residual_Activo!Q26&gt;0, ROUND(Saldo_Residual_Activo!Q26 * 'Resumen_Cartera'!$Q26, 2), "")</f>
        <v/>
      </c>
      <c r="S26" s="29">
        <f>IF(Saldo_Residual_Activo!R26&gt;0, ROUND(Saldo_Residual_Activo!R26 * 'Resumen_Cartera'!$Q26, 2), "")</f>
        <v/>
      </c>
      <c r="T26" s="29">
        <f>IF(Saldo_Residual_Activo!S26&gt;0, ROUND(Saldo_Residual_Activo!S26 * 'Resumen_Cartera'!$Q26, 2), "")</f>
        <v/>
      </c>
      <c r="U26" s="29">
        <f>SUM(I26:T26)</f>
        <v/>
      </c>
    </row>
    <row r="27">
      <c r="A27" s="20" t="inlineStr">
        <is>
          <t>0546-0009</t>
        </is>
      </c>
      <c r="B27" s="21" t="inlineStr">
        <is>
          <t>Norma Elena Bonilla Lupio</t>
        </is>
      </c>
      <c r="C27" s="21" t="inlineStr">
        <is>
          <t>Ram 1200 Tradesman 2026</t>
        </is>
      </c>
      <c r="D27" s="20" t="inlineStr">
        <is>
          <t>ACTIVO</t>
        </is>
      </c>
      <c r="E27" s="20" t="inlineStr">
        <is>
          <t>2026-07-01</t>
        </is>
      </c>
      <c r="F27" s="20" t="inlineStr">
        <is>
          <t>2028-07-01</t>
        </is>
      </c>
      <c r="G27" s="22" t="n">
        <v>24</v>
      </c>
      <c r="H27" s="23" t="n">
        <v>36450.26</v>
      </c>
      <c r="I27" s="23" t="inlineStr"/>
      <c r="J27" s="23" t="inlineStr"/>
      <c r="K27" s="23" t="inlineStr"/>
      <c r="L27" s="23" t="inlineStr"/>
      <c r="M27" s="23" t="inlineStr"/>
      <c r="N27" s="23" t="inlineStr"/>
      <c r="O27" s="23">
        <f>ROUND('Resumen_Cartera'!$U27 * 'Resumen_Cartera'!$Q27, 2)</f>
        <v/>
      </c>
      <c r="P27" s="23">
        <f>IF(Saldo_Residual_Activo!O27&gt;0, ROUND(Saldo_Residual_Activo!O27 * 'Resumen_Cartera'!$Q27, 2), "")</f>
        <v/>
      </c>
      <c r="Q27" s="23">
        <f>IF(Saldo_Residual_Activo!P27&gt;0, ROUND(Saldo_Residual_Activo!P27 * 'Resumen_Cartera'!$Q27, 2), "")</f>
        <v/>
      </c>
      <c r="R27" s="23">
        <f>IF(Saldo_Residual_Activo!Q27&gt;0, ROUND(Saldo_Residual_Activo!Q27 * 'Resumen_Cartera'!$Q27, 2), "")</f>
        <v/>
      </c>
      <c r="S27" s="23">
        <f>IF(Saldo_Residual_Activo!R27&gt;0, ROUND(Saldo_Residual_Activo!R27 * 'Resumen_Cartera'!$Q27, 2), "")</f>
        <v/>
      </c>
      <c r="T27" s="23">
        <f>IF(Saldo_Residual_Activo!S27&gt;0, ROUND(Saldo_Residual_Activo!S27 * 'Resumen_Cartera'!$Q27, 2), "")</f>
        <v/>
      </c>
      <c r="U27" s="23">
        <f>SUM(I27:T27)</f>
        <v/>
      </c>
    </row>
    <row r="28">
      <c r="A28" s="26" t="inlineStr">
        <is>
          <t>0551-0002</t>
        </is>
      </c>
      <c r="B28" s="27" t="inlineStr">
        <is>
          <t>Agaveros Unidos de Tequila Jalisco Aun S de RL de Cv</t>
        </is>
      </c>
      <c r="C28" s="27" t="inlineStr">
        <is>
          <t>Ram 700 Laramie</t>
        </is>
      </c>
      <c r="D28" s="26" t="inlineStr">
        <is>
          <t>ACTIVO</t>
        </is>
      </c>
      <c r="E28" s="26" t="inlineStr">
        <is>
          <t>2023-07-07</t>
        </is>
      </c>
      <c r="F28" s="26" t="inlineStr">
        <is>
          <t>2027-07-07</t>
        </is>
      </c>
      <c r="G28" s="28" t="n">
        <v>48</v>
      </c>
      <c r="H28" s="29" t="n">
        <v>70672.41</v>
      </c>
      <c r="I28" s="29">
        <f>ROUND(39773.83 * 'Resumen_Cartera'!$Q28, 2)</f>
        <v/>
      </c>
      <c r="J28" s="29">
        <f>IF(Saldo_Residual_Activo!I28&gt;0, ROUND(Saldo_Residual_Activo!I28 * 'Resumen_Cartera'!$Q28, 2), "")</f>
        <v/>
      </c>
      <c r="K28" s="29">
        <f>IF(Saldo_Residual_Activo!J28&gt;0, ROUND(Saldo_Residual_Activo!J28 * 'Resumen_Cartera'!$Q28, 2), "")</f>
        <v/>
      </c>
      <c r="L28" s="29">
        <f>IF(Saldo_Residual_Activo!K28&gt;0, ROUND(Saldo_Residual_Activo!K28 * 'Resumen_Cartera'!$Q28, 2), "")</f>
        <v/>
      </c>
      <c r="M28" s="29">
        <f>IF(Saldo_Residual_Activo!L28&gt;0, ROUND(Saldo_Residual_Activo!L28 * 'Resumen_Cartera'!$Q28, 2), "")</f>
        <v/>
      </c>
      <c r="N28" s="29">
        <f>IF(Saldo_Residual_Activo!M28&gt;0, ROUND(Saldo_Residual_Activo!M28 * 'Resumen_Cartera'!$Q28, 2), "")</f>
        <v/>
      </c>
      <c r="O28" s="29">
        <f>IF(Saldo_Residual_Activo!N28&gt;0, ROUND(Saldo_Residual_Activo!N28 * 'Resumen_Cartera'!$Q28, 2), "")</f>
        <v/>
      </c>
      <c r="P28" s="29">
        <f>IF(Saldo_Residual_Activo!O28&gt;0, ROUND(Saldo_Residual_Activo!O28 * 'Resumen_Cartera'!$Q28, 2), "")</f>
        <v/>
      </c>
      <c r="Q28" s="29">
        <f>IF(Saldo_Residual_Activo!P28&gt;0, ROUND(Saldo_Residual_Activo!P28 * 'Resumen_Cartera'!$Q28, 2), "")</f>
        <v/>
      </c>
      <c r="R28" s="29">
        <f>IF(Saldo_Residual_Activo!Q28&gt;0, ROUND(Saldo_Residual_Activo!Q28 * 'Resumen_Cartera'!$Q28, 2), "")</f>
        <v/>
      </c>
      <c r="S28" s="29">
        <f>IF(Saldo_Residual_Activo!R28&gt;0, ROUND(Saldo_Residual_Activo!R28 * 'Resumen_Cartera'!$Q28, 2), "")</f>
        <v/>
      </c>
      <c r="T28" s="29">
        <f>IF(Saldo_Residual_Activo!S28&gt;0, ROUND(Saldo_Residual_Activo!S28 * 'Resumen_Cartera'!$Q28, 2), "")</f>
        <v/>
      </c>
      <c r="U28" s="29">
        <f>SUM(I28:T28)</f>
        <v/>
      </c>
    </row>
    <row r="29">
      <c r="A29" s="20" t="inlineStr">
        <is>
          <t>0552-0018</t>
        </is>
      </c>
      <c r="B29" s="21" t="inlineStr">
        <is>
          <t>Transportes y Maniobras Portuarias</t>
        </is>
      </c>
      <c r="C29" s="21" t="inlineStr">
        <is>
          <t>Raizer</t>
        </is>
      </c>
      <c r="D29" s="20" t="inlineStr">
        <is>
          <t>ACTIVO</t>
        </is>
      </c>
      <c r="E29" s="20" t="inlineStr">
        <is>
          <t>2024-11-29</t>
        </is>
      </c>
      <c r="F29" s="20" t="inlineStr">
        <is>
          <t>2026-11-29</t>
        </is>
      </c>
      <c r="G29" s="22" t="n">
        <v>24</v>
      </c>
      <c r="H29" s="23" t="n">
        <v>8900</v>
      </c>
      <c r="I29" s="23">
        <f>ROUND(6823.74 * 'Resumen_Cartera'!$Q29, 2)</f>
        <v/>
      </c>
      <c r="J29" s="23">
        <f>IF(Saldo_Residual_Activo!I29&gt;0, ROUND(Saldo_Residual_Activo!I29 * 'Resumen_Cartera'!$Q29, 2), "")</f>
        <v/>
      </c>
      <c r="K29" s="23">
        <f>IF(Saldo_Residual_Activo!J29&gt;0, ROUND(Saldo_Residual_Activo!J29 * 'Resumen_Cartera'!$Q29, 2), "")</f>
        <v/>
      </c>
      <c r="L29" s="23">
        <f>IF(Saldo_Residual_Activo!K29&gt;0, ROUND(Saldo_Residual_Activo!K29 * 'Resumen_Cartera'!$Q29, 2), "")</f>
        <v/>
      </c>
      <c r="M29" s="23">
        <f>IF(Saldo_Residual_Activo!L29&gt;0, ROUND(Saldo_Residual_Activo!L29 * 'Resumen_Cartera'!$Q29, 2), "")</f>
        <v/>
      </c>
      <c r="N29" s="23">
        <f>IF(Saldo_Residual_Activo!M29&gt;0, ROUND(Saldo_Residual_Activo!M29 * 'Resumen_Cartera'!$Q29, 2), "")</f>
        <v/>
      </c>
      <c r="O29" s="23">
        <f>IF(Saldo_Residual_Activo!N29&gt;0, ROUND(Saldo_Residual_Activo!N29 * 'Resumen_Cartera'!$Q29, 2), "")</f>
        <v/>
      </c>
      <c r="P29" s="23">
        <f>IF(Saldo_Residual_Activo!O29&gt;0, ROUND(Saldo_Residual_Activo!O29 * 'Resumen_Cartera'!$Q29, 2), "")</f>
        <v/>
      </c>
      <c r="Q29" s="23">
        <f>IF(Saldo_Residual_Activo!P29&gt;0, ROUND(Saldo_Residual_Activo!P29 * 'Resumen_Cartera'!$Q29, 2), "")</f>
        <v/>
      </c>
      <c r="R29" s="23">
        <f>IF(Saldo_Residual_Activo!Q29&gt;0, ROUND(Saldo_Residual_Activo!Q29 * 'Resumen_Cartera'!$Q29, 2), "")</f>
        <v/>
      </c>
      <c r="S29" s="23" t="inlineStr"/>
      <c r="T29" s="23" t="inlineStr"/>
      <c r="U29" s="23">
        <f>SUM(I29:T29)</f>
        <v/>
      </c>
    </row>
    <row r="30">
      <c r="A30" s="26" t="inlineStr">
        <is>
          <t>0552-0019</t>
        </is>
      </c>
      <c r="B30" s="27" t="inlineStr">
        <is>
          <t>Transportes y Maniobras Portuarias de Mexico Sa de Cv</t>
        </is>
      </c>
      <c r="C30" s="27" t="inlineStr">
        <is>
          <t>Remolque tipo Dolly</t>
        </is>
      </c>
      <c r="D30" s="26" t="inlineStr">
        <is>
          <t>ACTIVO</t>
        </is>
      </c>
      <c r="E30" s="26" t="inlineStr">
        <is>
          <t>2024-12-20</t>
        </is>
      </c>
      <c r="F30" s="26" t="inlineStr">
        <is>
          <t>2026-12-20</t>
        </is>
      </c>
      <c r="G30" s="28" t="n">
        <v>24</v>
      </c>
      <c r="H30" s="29" t="n">
        <v>2710</v>
      </c>
      <c r="I30" s="29">
        <f>ROUND(2023.33 * 'Resumen_Cartera'!$Q30, 2)</f>
        <v/>
      </c>
      <c r="J30" s="29">
        <f>IF(Saldo_Residual_Activo!I30&gt;0, ROUND(Saldo_Residual_Activo!I30 * 'Resumen_Cartera'!$Q30, 2), "")</f>
        <v/>
      </c>
      <c r="K30" s="29">
        <f>IF(Saldo_Residual_Activo!J30&gt;0, ROUND(Saldo_Residual_Activo!J30 * 'Resumen_Cartera'!$Q30, 2), "")</f>
        <v/>
      </c>
      <c r="L30" s="29">
        <f>IF(Saldo_Residual_Activo!K30&gt;0, ROUND(Saldo_Residual_Activo!K30 * 'Resumen_Cartera'!$Q30, 2), "")</f>
        <v/>
      </c>
      <c r="M30" s="29">
        <f>IF(Saldo_Residual_Activo!L30&gt;0, ROUND(Saldo_Residual_Activo!L30 * 'Resumen_Cartera'!$Q30, 2), "")</f>
        <v/>
      </c>
      <c r="N30" s="29">
        <f>IF(Saldo_Residual_Activo!M30&gt;0, ROUND(Saldo_Residual_Activo!M30 * 'Resumen_Cartera'!$Q30, 2), "")</f>
        <v/>
      </c>
      <c r="O30" s="29">
        <f>IF(Saldo_Residual_Activo!N30&gt;0, ROUND(Saldo_Residual_Activo!N30 * 'Resumen_Cartera'!$Q30, 2), "")</f>
        <v/>
      </c>
      <c r="P30" s="29">
        <f>IF(Saldo_Residual_Activo!O30&gt;0, ROUND(Saldo_Residual_Activo!O30 * 'Resumen_Cartera'!$Q30, 2), "")</f>
        <v/>
      </c>
      <c r="Q30" s="29">
        <f>IF(Saldo_Residual_Activo!P30&gt;0, ROUND(Saldo_Residual_Activo!P30 * 'Resumen_Cartera'!$Q30, 2), "")</f>
        <v/>
      </c>
      <c r="R30" s="29">
        <f>IF(Saldo_Residual_Activo!Q30&gt;0, ROUND(Saldo_Residual_Activo!Q30 * 'Resumen_Cartera'!$Q30, 2), "")</f>
        <v/>
      </c>
      <c r="S30" s="29">
        <f>IF(Saldo_Residual_Activo!R30&gt;0, ROUND(Saldo_Residual_Activo!R30 * 'Resumen_Cartera'!$Q30, 2), "")</f>
        <v/>
      </c>
      <c r="T30" s="29" t="inlineStr"/>
      <c r="U30" s="29">
        <f>SUM(I30:T30)</f>
        <v/>
      </c>
    </row>
    <row r="31">
      <c r="A31" s="20" t="inlineStr">
        <is>
          <t>0552-0020</t>
        </is>
      </c>
      <c r="B31" s="21" t="inlineStr">
        <is>
          <t>Transportes y Maniobras Portuarias de Mexico Sa de Cv</t>
        </is>
      </c>
      <c r="C31" s="21" t="inlineStr">
        <is>
          <t>PLATAFORMA MULTIMODAL</t>
        </is>
      </c>
      <c r="D31" s="20" t="inlineStr">
        <is>
          <t>ACTIVO</t>
        </is>
      </c>
      <c r="E31" s="20" t="inlineStr">
        <is>
          <t>2024-12-26</t>
        </is>
      </c>
      <c r="F31" s="20" t="inlineStr">
        <is>
          <t>2026-12-26</t>
        </is>
      </c>
      <c r="G31" s="22" t="n">
        <v>24</v>
      </c>
      <c r="H31" s="23" t="n">
        <v>5130</v>
      </c>
      <c r="I31" s="23">
        <f>ROUND(3830.13 * 'Resumen_Cartera'!$Q31, 2)</f>
        <v/>
      </c>
      <c r="J31" s="23">
        <f>IF(Saldo_Residual_Activo!I31&gt;0, ROUND(Saldo_Residual_Activo!I31 * 'Resumen_Cartera'!$Q31, 2), "")</f>
        <v/>
      </c>
      <c r="K31" s="23">
        <f>IF(Saldo_Residual_Activo!J31&gt;0, ROUND(Saldo_Residual_Activo!J31 * 'Resumen_Cartera'!$Q31, 2), "")</f>
        <v/>
      </c>
      <c r="L31" s="23">
        <f>IF(Saldo_Residual_Activo!K31&gt;0, ROUND(Saldo_Residual_Activo!K31 * 'Resumen_Cartera'!$Q31, 2), "")</f>
        <v/>
      </c>
      <c r="M31" s="23">
        <f>IF(Saldo_Residual_Activo!L31&gt;0, ROUND(Saldo_Residual_Activo!L31 * 'Resumen_Cartera'!$Q31, 2), "")</f>
        <v/>
      </c>
      <c r="N31" s="23">
        <f>IF(Saldo_Residual_Activo!M31&gt;0, ROUND(Saldo_Residual_Activo!M31 * 'Resumen_Cartera'!$Q31, 2), "")</f>
        <v/>
      </c>
      <c r="O31" s="23">
        <f>IF(Saldo_Residual_Activo!N31&gt;0, ROUND(Saldo_Residual_Activo!N31 * 'Resumen_Cartera'!$Q31, 2), "")</f>
        <v/>
      </c>
      <c r="P31" s="23">
        <f>IF(Saldo_Residual_Activo!O31&gt;0, ROUND(Saldo_Residual_Activo!O31 * 'Resumen_Cartera'!$Q31, 2), "")</f>
        <v/>
      </c>
      <c r="Q31" s="23">
        <f>IF(Saldo_Residual_Activo!P31&gt;0, ROUND(Saldo_Residual_Activo!P31 * 'Resumen_Cartera'!$Q31, 2), "")</f>
        <v/>
      </c>
      <c r="R31" s="23">
        <f>IF(Saldo_Residual_Activo!Q31&gt;0, ROUND(Saldo_Residual_Activo!Q31 * 'Resumen_Cartera'!$Q31, 2), "")</f>
        <v/>
      </c>
      <c r="S31" s="23">
        <f>IF(Saldo_Residual_Activo!R31&gt;0, ROUND(Saldo_Residual_Activo!R31 * 'Resumen_Cartera'!$Q31, 2), "")</f>
        <v/>
      </c>
      <c r="T31" s="23" t="inlineStr"/>
      <c r="U31" s="23">
        <f>SUM(I31:T31)</f>
        <v/>
      </c>
    </row>
    <row r="32">
      <c r="A32" s="26" t="inlineStr">
        <is>
          <t>0552-0021</t>
        </is>
      </c>
      <c r="B32" s="27" t="inlineStr">
        <is>
          <t>Transportes y Maniobras Portuarias de Mexico Sa de Cv</t>
        </is>
      </c>
      <c r="C32" s="27" t="inlineStr">
        <is>
          <t>PLATAFORMA MULTIMODAL</t>
        </is>
      </c>
      <c r="D32" s="26" t="inlineStr">
        <is>
          <t>ACTIVO</t>
        </is>
      </c>
      <c r="E32" s="26" t="inlineStr">
        <is>
          <t>2024-12-26</t>
        </is>
      </c>
      <c r="F32" s="26" t="inlineStr">
        <is>
          <t>2026-12-26</t>
        </is>
      </c>
      <c r="G32" s="28" t="n">
        <v>24</v>
      </c>
      <c r="H32" s="29" t="n">
        <v>5130</v>
      </c>
      <c r="I32" s="29">
        <f>ROUND(3830.13 * 'Resumen_Cartera'!$Q32, 2)</f>
        <v/>
      </c>
      <c r="J32" s="29">
        <f>IF(Saldo_Residual_Activo!I32&gt;0, ROUND(Saldo_Residual_Activo!I32 * 'Resumen_Cartera'!$Q32, 2), "")</f>
        <v/>
      </c>
      <c r="K32" s="29">
        <f>IF(Saldo_Residual_Activo!J32&gt;0, ROUND(Saldo_Residual_Activo!J32 * 'Resumen_Cartera'!$Q32, 2), "")</f>
        <v/>
      </c>
      <c r="L32" s="29">
        <f>IF(Saldo_Residual_Activo!K32&gt;0, ROUND(Saldo_Residual_Activo!K32 * 'Resumen_Cartera'!$Q32, 2), "")</f>
        <v/>
      </c>
      <c r="M32" s="29">
        <f>IF(Saldo_Residual_Activo!L32&gt;0, ROUND(Saldo_Residual_Activo!L32 * 'Resumen_Cartera'!$Q32, 2), "")</f>
        <v/>
      </c>
      <c r="N32" s="29">
        <f>IF(Saldo_Residual_Activo!M32&gt;0, ROUND(Saldo_Residual_Activo!M32 * 'Resumen_Cartera'!$Q32, 2), "")</f>
        <v/>
      </c>
      <c r="O32" s="29">
        <f>IF(Saldo_Residual_Activo!N32&gt;0, ROUND(Saldo_Residual_Activo!N32 * 'Resumen_Cartera'!$Q32, 2), "")</f>
        <v/>
      </c>
      <c r="P32" s="29">
        <f>IF(Saldo_Residual_Activo!O32&gt;0, ROUND(Saldo_Residual_Activo!O32 * 'Resumen_Cartera'!$Q32, 2), "")</f>
        <v/>
      </c>
      <c r="Q32" s="29">
        <f>IF(Saldo_Residual_Activo!P32&gt;0, ROUND(Saldo_Residual_Activo!P32 * 'Resumen_Cartera'!$Q32, 2), "")</f>
        <v/>
      </c>
      <c r="R32" s="29">
        <f>IF(Saldo_Residual_Activo!Q32&gt;0, ROUND(Saldo_Residual_Activo!Q32 * 'Resumen_Cartera'!$Q32, 2), "")</f>
        <v/>
      </c>
      <c r="S32" s="29">
        <f>IF(Saldo_Residual_Activo!R32&gt;0, ROUND(Saldo_Residual_Activo!R32 * 'Resumen_Cartera'!$Q32, 2), "")</f>
        <v/>
      </c>
      <c r="T32" s="29" t="inlineStr"/>
      <c r="U32" s="29">
        <f>SUM(I32:T32)</f>
        <v/>
      </c>
    </row>
    <row r="33">
      <c r="A33" s="20" t="inlineStr">
        <is>
          <t>0552-0022</t>
        </is>
      </c>
      <c r="B33" s="21" t="inlineStr">
        <is>
          <t>Transportes y Maniobras Portuarias de Mexico Sa de Cv</t>
        </is>
      </c>
      <c r="C33" s="21" t="inlineStr">
        <is>
          <t>RZR</t>
        </is>
      </c>
      <c r="D33" s="20" t="inlineStr">
        <is>
          <t>ACTIVO</t>
        </is>
      </c>
      <c r="E33" s="20" t="inlineStr">
        <is>
          <t>2024-12-26</t>
        </is>
      </c>
      <c r="F33" s="20" t="inlineStr">
        <is>
          <t>2026-12-26</t>
        </is>
      </c>
      <c r="G33" s="22" t="n">
        <v>24</v>
      </c>
      <c r="H33" s="23" t="n">
        <v>9223.280000000001</v>
      </c>
      <c r="I33" s="23">
        <f>ROUND(6886.2 * 'Resumen_Cartera'!$Q33, 2)</f>
        <v/>
      </c>
      <c r="J33" s="23">
        <f>IF(Saldo_Residual_Activo!I33&gt;0, ROUND(Saldo_Residual_Activo!I33 * 'Resumen_Cartera'!$Q33, 2), "")</f>
        <v/>
      </c>
      <c r="K33" s="23">
        <f>IF(Saldo_Residual_Activo!J33&gt;0, ROUND(Saldo_Residual_Activo!J33 * 'Resumen_Cartera'!$Q33, 2), "")</f>
        <v/>
      </c>
      <c r="L33" s="23">
        <f>IF(Saldo_Residual_Activo!K33&gt;0, ROUND(Saldo_Residual_Activo!K33 * 'Resumen_Cartera'!$Q33, 2), "")</f>
        <v/>
      </c>
      <c r="M33" s="23">
        <f>IF(Saldo_Residual_Activo!L33&gt;0, ROUND(Saldo_Residual_Activo!L33 * 'Resumen_Cartera'!$Q33, 2), "")</f>
        <v/>
      </c>
      <c r="N33" s="23">
        <f>IF(Saldo_Residual_Activo!M33&gt;0, ROUND(Saldo_Residual_Activo!M33 * 'Resumen_Cartera'!$Q33, 2), "")</f>
        <v/>
      </c>
      <c r="O33" s="23">
        <f>IF(Saldo_Residual_Activo!N33&gt;0, ROUND(Saldo_Residual_Activo!N33 * 'Resumen_Cartera'!$Q33, 2), "")</f>
        <v/>
      </c>
      <c r="P33" s="23">
        <f>IF(Saldo_Residual_Activo!O33&gt;0, ROUND(Saldo_Residual_Activo!O33 * 'Resumen_Cartera'!$Q33, 2), "")</f>
        <v/>
      </c>
      <c r="Q33" s="23">
        <f>IF(Saldo_Residual_Activo!P33&gt;0, ROUND(Saldo_Residual_Activo!P33 * 'Resumen_Cartera'!$Q33, 2), "")</f>
        <v/>
      </c>
      <c r="R33" s="23">
        <f>IF(Saldo_Residual_Activo!Q33&gt;0, ROUND(Saldo_Residual_Activo!Q33 * 'Resumen_Cartera'!$Q33, 2), "")</f>
        <v/>
      </c>
      <c r="S33" s="23">
        <f>IF(Saldo_Residual_Activo!R33&gt;0, ROUND(Saldo_Residual_Activo!R33 * 'Resumen_Cartera'!$Q33, 2), "")</f>
        <v/>
      </c>
      <c r="T33" s="23" t="inlineStr"/>
      <c r="U33" s="23">
        <f>SUM(I33:T33)</f>
        <v/>
      </c>
    </row>
    <row r="34">
      <c r="A34" s="26" t="inlineStr">
        <is>
          <t>0552-0023</t>
        </is>
      </c>
      <c r="B34" s="27" t="inlineStr">
        <is>
          <t>Transportes y Maniobras Portuarias de Mexico Sa de Cv</t>
        </is>
      </c>
      <c r="C34" s="27" t="inlineStr">
        <is>
          <t>Iternational Lt</t>
        </is>
      </c>
      <c r="D34" s="26" t="inlineStr">
        <is>
          <t>ACTIVO</t>
        </is>
      </c>
      <c r="E34" s="26" t="inlineStr">
        <is>
          <t>2025-08-27</t>
        </is>
      </c>
      <c r="F34" s="26" t="inlineStr">
        <is>
          <t>2027-08-27</t>
        </is>
      </c>
      <c r="G34" s="28" t="n">
        <v>24</v>
      </c>
      <c r="H34" s="29" t="n">
        <v>153103.45</v>
      </c>
      <c r="I34" s="29">
        <f>ROUND(94198.22 * 'Resumen_Cartera'!$Q34, 2)</f>
        <v/>
      </c>
      <c r="J34" s="29">
        <f>IF(Saldo_Residual_Activo!I34&gt;0, ROUND(Saldo_Residual_Activo!I34 * 'Resumen_Cartera'!$Q34, 2), "")</f>
        <v/>
      </c>
      <c r="K34" s="29">
        <f>IF(Saldo_Residual_Activo!J34&gt;0, ROUND(Saldo_Residual_Activo!J34 * 'Resumen_Cartera'!$Q34, 2), "")</f>
        <v/>
      </c>
      <c r="L34" s="29">
        <f>IF(Saldo_Residual_Activo!K34&gt;0, ROUND(Saldo_Residual_Activo!K34 * 'Resumen_Cartera'!$Q34, 2), "")</f>
        <v/>
      </c>
      <c r="M34" s="29">
        <f>IF(Saldo_Residual_Activo!L34&gt;0, ROUND(Saldo_Residual_Activo!L34 * 'Resumen_Cartera'!$Q34, 2), "")</f>
        <v/>
      </c>
      <c r="N34" s="29">
        <f>IF(Saldo_Residual_Activo!M34&gt;0, ROUND(Saldo_Residual_Activo!M34 * 'Resumen_Cartera'!$Q34, 2), "")</f>
        <v/>
      </c>
      <c r="O34" s="29">
        <f>IF(Saldo_Residual_Activo!N34&gt;0, ROUND(Saldo_Residual_Activo!N34 * 'Resumen_Cartera'!$Q34, 2), "")</f>
        <v/>
      </c>
      <c r="P34" s="29">
        <f>IF(Saldo_Residual_Activo!O34&gt;0, ROUND(Saldo_Residual_Activo!O34 * 'Resumen_Cartera'!$Q34, 2), "")</f>
        <v/>
      </c>
      <c r="Q34" s="29">
        <f>IF(Saldo_Residual_Activo!P34&gt;0, ROUND(Saldo_Residual_Activo!P34 * 'Resumen_Cartera'!$Q34, 2), "")</f>
        <v/>
      </c>
      <c r="R34" s="29">
        <f>IF(Saldo_Residual_Activo!Q34&gt;0, ROUND(Saldo_Residual_Activo!Q34 * 'Resumen_Cartera'!$Q34, 2), "")</f>
        <v/>
      </c>
      <c r="S34" s="29">
        <f>IF(Saldo_Residual_Activo!R34&gt;0, ROUND(Saldo_Residual_Activo!R34 * 'Resumen_Cartera'!$Q34, 2), "")</f>
        <v/>
      </c>
      <c r="T34" s="29">
        <f>IF(Saldo_Residual_Activo!S34&gt;0, ROUND(Saldo_Residual_Activo!S34 * 'Resumen_Cartera'!$Q34, 2), "")</f>
        <v/>
      </c>
      <c r="U34" s="29">
        <f>SUM(I34:T34)</f>
        <v/>
      </c>
    </row>
    <row r="35">
      <c r="A35" s="20" t="inlineStr">
        <is>
          <t>0552-0024</t>
        </is>
      </c>
      <c r="B35" s="21" t="inlineStr">
        <is>
          <t>Transportes y Maniobras Portuarias de Mexico Sa de Cv</t>
        </is>
      </c>
      <c r="C35" s="21" t="inlineStr">
        <is>
          <t>Iternational Lt</t>
        </is>
      </c>
      <c r="D35" s="20" t="inlineStr">
        <is>
          <t>ACTIVO</t>
        </is>
      </c>
      <c r="E35" s="20" t="inlineStr">
        <is>
          <t>2025-08-27</t>
        </is>
      </c>
      <c r="F35" s="20" t="inlineStr">
        <is>
          <t>2027-08-27</t>
        </is>
      </c>
      <c r="G35" s="22" t="n">
        <v>24</v>
      </c>
      <c r="H35" s="23" t="n">
        <v>153103.45</v>
      </c>
      <c r="I35" s="23">
        <f>ROUND(94198.22 * 'Resumen_Cartera'!$Q35, 2)</f>
        <v/>
      </c>
      <c r="J35" s="23">
        <f>IF(Saldo_Residual_Activo!I35&gt;0, ROUND(Saldo_Residual_Activo!I35 * 'Resumen_Cartera'!$Q35, 2), "")</f>
        <v/>
      </c>
      <c r="K35" s="23">
        <f>IF(Saldo_Residual_Activo!J35&gt;0, ROUND(Saldo_Residual_Activo!J35 * 'Resumen_Cartera'!$Q35, 2), "")</f>
        <v/>
      </c>
      <c r="L35" s="23">
        <f>IF(Saldo_Residual_Activo!K35&gt;0, ROUND(Saldo_Residual_Activo!K35 * 'Resumen_Cartera'!$Q35, 2), "")</f>
        <v/>
      </c>
      <c r="M35" s="23">
        <f>IF(Saldo_Residual_Activo!L35&gt;0, ROUND(Saldo_Residual_Activo!L35 * 'Resumen_Cartera'!$Q35, 2), "")</f>
        <v/>
      </c>
      <c r="N35" s="23">
        <f>IF(Saldo_Residual_Activo!M35&gt;0, ROUND(Saldo_Residual_Activo!M35 * 'Resumen_Cartera'!$Q35, 2), "")</f>
        <v/>
      </c>
      <c r="O35" s="23">
        <f>IF(Saldo_Residual_Activo!N35&gt;0, ROUND(Saldo_Residual_Activo!N35 * 'Resumen_Cartera'!$Q35, 2), "")</f>
        <v/>
      </c>
      <c r="P35" s="23">
        <f>IF(Saldo_Residual_Activo!O35&gt;0, ROUND(Saldo_Residual_Activo!O35 * 'Resumen_Cartera'!$Q35, 2), "")</f>
        <v/>
      </c>
      <c r="Q35" s="23">
        <f>IF(Saldo_Residual_Activo!P35&gt;0, ROUND(Saldo_Residual_Activo!P35 * 'Resumen_Cartera'!$Q35, 2), "")</f>
        <v/>
      </c>
      <c r="R35" s="23">
        <f>IF(Saldo_Residual_Activo!Q35&gt;0, ROUND(Saldo_Residual_Activo!Q35 * 'Resumen_Cartera'!$Q35, 2), "")</f>
        <v/>
      </c>
      <c r="S35" s="23">
        <f>IF(Saldo_Residual_Activo!R35&gt;0, ROUND(Saldo_Residual_Activo!R35 * 'Resumen_Cartera'!$Q35, 2), "")</f>
        <v/>
      </c>
      <c r="T35" s="23">
        <f>IF(Saldo_Residual_Activo!S35&gt;0, ROUND(Saldo_Residual_Activo!S35 * 'Resumen_Cartera'!$Q35, 2), "")</f>
        <v/>
      </c>
      <c r="U35" s="23">
        <f>SUM(I35:T35)</f>
        <v/>
      </c>
    </row>
    <row r="36">
      <c r="A36" s="26" t="inlineStr">
        <is>
          <t>0552-0025</t>
        </is>
      </c>
      <c r="B36" s="27" t="inlineStr">
        <is>
          <t>Transportes y Maniobras Portuarias de Mexico Sa de Cv</t>
        </is>
      </c>
      <c r="C36" s="27" t="inlineStr">
        <is>
          <t>Iternational Lt</t>
        </is>
      </c>
      <c r="D36" s="26" t="inlineStr">
        <is>
          <t>ACTIVO</t>
        </is>
      </c>
      <c r="E36" s="26" t="inlineStr">
        <is>
          <t>2025-08-27</t>
        </is>
      </c>
      <c r="F36" s="26" t="inlineStr">
        <is>
          <t>2027-08-27</t>
        </is>
      </c>
      <c r="G36" s="28" t="n">
        <v>24</v>
      </c>
      <c r="H36" s="29" t="n">
        <v>153103.45</v>
      </c>
      <c r="I36" s="29">
        <f>ROUND(94198.22 * 'Resumen_Cartera'!$Q36, 2)</f>
        <v/>
      </c>
      <c r="J36" s="29">
        <f>IF(Saldo_Residual_Activo!I36&gt;0, ROUND(Saldo_Residual_Activo!I36 * 'Resumen_Cartera'!$Q36, 2), "")</f>
        <v/>
      </c>
      <c r="K36" s="29">
        <f>IF(Saldo_Residual_Activo!J36&gt;0, ROUND(Saldo_Residual_Activo!J36 * 'Resumen_Cartera'!$Q36, 2), "")</f>
        <v/>
      </c>
      <c r="L36" s="29">
        <f>IF(Saldo_Residual_Activo!K36&gt;0, ROUND(Saldo_Residual_Activo!K36 * 'Resumen_Cartera'!$Q36, 2), "")</f>
        <v/>
      </c>
      <c r="M36" s="29">
        <f>IF(Saldo_Residual_Activo!L36&gt;0, ROUND(Saldo_Residual_Activo!L36 * 'Resumen_Cartera'!$Q36, 2), "")</f>
        <v/>
      </c>
      <c r="N36" s="29">
        <f>IF(Saldo_Residual_Activo!M36&gt;0, ROUND(Saldo_Residual_Activo!M36 * 'Resumen_Cartera'!$Q36, 2), "")</f>
        <v/>
      </c>
      <c r="O36" s="29">
        <f>IF(Saldo_Residual_Activo!N36&gt;0, ROUND(Saldo_Residual_Activo!N36 * 'Resumen_Cartera'!$Q36, 2), "")</f>
        <v/>
      </c>
      <c r="P36" s="29">
        <f>IF(Saldo_Residual_Activo!O36&gt;0, ROUND(Saldo_Residual_Activo!O36 * 'Resumen_Cartera'!$Q36, 2), "")</f>
        <v/>
      </c>
      <c r="Q36" s="29">
        <f>IF(Saldo_Residual_Activo!P36&gt;0, ROUND(Saldo_Residual_Activo!P36 * 'Resumen_Cartera'!$Q36, 2), "")</f>
        <v/>
      </c>
      <c r="R36" s="29">
        <f>IF(Saldo_Residual_Activo!Q36&gt;0, ROUND(Saldo_Residual_Activo!Q36 * 'Resumen_Cartera'!$Q36, 2), "")</f>
        <v/>
      </c>
      <c r="S36" s="29">
        <f>IF(Saldo_Residual_Activo!R36&gt;0, ROUND(Saldo_Residual_Activo!R36 * 'Resumen_Cartera'!$Q36, 2), "")</f>
        <v/>
      </c>
      <c r="T36" s="29">
        <f>IF(Saldo_Residual_Activo!S36&gt;0, ROUND(Saldo_Residual_Activo!S36 * 'Resumen_Cartera'!$Q36, 2), "")</f>
        <v/>
      </c>
      <c r="U36" s="29">
        <f>SUM(I36:T36)</f>
        <v/>
      </c>
    </row>
    <row r="37">
      <c r="A37" s="20" t="inlineStr">
        <is>
          <t>0554-0003</t>
        </is>
      </c>
      <c r="B37" s="21" t="inlineStr">
        <is>
          <t>TRANSPORTES DEL BAJIO TRANSCOLD SA DE CV</t>
        </is>
      </c>
      <c r="C37" s="21" t="inlineStr">
        <is>
          <t>RAM 4000 CHASIS PLANO LARGO "PL"</t>
        </is>
      </c>
      <c r="D37" s="20" t="inlineStr">
        <is>
          <t>ACTIVO</t>
        </is>
      </c>
      <c r="E37" s="20" t="inlineStr">
        <is>
          <t>2022-11-24</t>
        </is>
      </c>
      <c r="F37" s="20" t="inlineStr">
        <is>
          <t>2026-11-24</t>
        </is>
      </c>
      <c r="G37" s="22" t="n">
        <v>48</v>
      </c>
      <c r="H37" s="23" t="n">
        <v>69981.03</v>
      </c>
      <c r="I37" s="23">
        <f>ROUND(53141.04 * 'Resumen_Cartera'!$Q37, 2)</f>
        <v/>
      </c>
      <c r="J37" s="23">
        <f>IF(Saldo_Residual_Activo!I37&gt;0, ROUND(Saldo_Residual_Activo!I37 * 'Resumen_Cartera'!$Q37, 2), "")</f>
        <v/>
      </c>
      <c r="K37" s="23">
        <f>IF(Saldo_Residual_Activo!J37&gt;0, ROUND(Saldo_Residual_Activo!J37 * 'Resumen_Cartera'!$Q37, 2), "")</f>
        <v/>
      </c>
      <c r="L37" s="23">
        <f>IF(Saldo_Residual_Activo!K37&gt;0, ROUND(Saldo_Residual_Activo!K37 * 'Resumen_Cartera'!$Q37, 2), "")</f>
        <v/>
      </c>
      <c r="M37" s="23">
        <f>IF(Saldo_Residual_Activo!L37&gt;0, ROUND(Saldo_Residual_Activo!L37 * 'Resumen_Cartera'!$Q37, 2), "")</f>
        <v/>
      </c>
      <c r="N37" s="23">
        <f>IF(Saldo_Residual_Activo!M37&gt;0, ROUND(Saldo_Residual_Activo!M37 * 'Resumen_Cartera'!$Q37, 2), "")</f>
        <v/>
      </c>
      <c r="O37" s="23">
        <f>IF(Saldo_Residual_Activo!N37&gt;0, ROUND(Saldo_Residual_Activo!N37 * 'Resumen_Cartera'!$Q37, 2), "")</f>
        <v/>
      </c>
      <c r="P37" s="23">
        <f>IF(Saldo_Residual_Activo!O37&gt;0, ROUND(Saldo_Residual_Activo!O37 * 'Resumen_Cartera'!$Q37, 2), "")</f>
        <v/>
      </c>
      <c r="Q37" s="23">
        <f>IF(Saldo_Residual_Activo!P37&gt;0, ROUND(Saldo_Residual_Activo!P37 * 'Resumen_Cartera'!$Q37, 2), "")</f>
        <v/>
      </c>
      <c r="R37" s="23">
        <f>IF(Saldo_Residual_Activo!Q37&gt;0, ROUND(Saldo_Residual_Activo!Q37 * 'Resumen_Cartera'!$Q37, 2), "")</f>
        <v/>
      </c>
      <c r="S37" s="23" t="inlineStr"/>
      <c r="T37" s="23" t="inlineStr"/>
      <c r="U37" s="23">
        <f>SUM(I37:T37)</f>
        <v/>
      </c>
    </row>
    <row r="38">
      <c r="A38" s="26" t="inlineStr">
        <is>
          <t>0570-0006</t>
        </is>
      </c>
      <c r="B38" s="27" t="inlineStr">
        <is>
          <t>Jalco Iluminacion Sa de Cv</t>
        </is>
      </c>
      <c r="C38" s="27" t="inlineStr">
        <is>
          <t>RAM 700 BIG HORN</t>
        </is>
      </c>
      <c r="D38" s="26" t="inlineStr">
        <is>
          <t>ACTIVO</t>
        </is>
      </c>
      <c r="E38" s="26" t="inlineStr">
        <is>
          <t>2023-12-08</t>
        </is>
      </c>
      <c r="F38" s="26" t="inlineStr">
        <is>
          <t>2026-12-08</t>
        </is>
      </c>
      <c r="G38" s="28" t="n">
        <v>36</v>
      </c>
      <c r="H38" s="29" t="n">
        <v>121866.38</v>
      </c>
      <c r="I38" s="29">
        <f>ROUND(86282.78 * 'Resumen_Cartera'!$Q38, 2)</f>
        <v/>
      </c>
      <c r="J38" s="29">
        <f>IF(Saldo_Residual_Activo!I38&gt;0, ROUND(Saldo_Residual_Activo!I38 * 'Resumen_Cartera'!$Q38, 2), "")</f>
        <v/>
      </c>
      <c r="K38" s="29">
        <f>IF(Saldo_Residual_Activo!J38&gt;0, ROUND(Saldo_Residual_Activo!J38 * 'Resumen_Cartera'!$Q38, 2), "")</f>
        <v/>
      </c>
      <c r="L38" s="29">
        <f>IF(Saldo_Residual_Activo!K38&gt;0, ROUND(Saldo_Residual_Activo!K38 * 'Resumen_Cartera'!$Q38, 2), "")</f>
        <v/>
      </c>
      <c r="M38" s="29">
        <f>IF(Saldo_Residual_Activo!L38&gt;0, ROUND(Saldo_Residual_Activo!L38 * 'Resumen_Cartera'!$Q38, 2), "")</f>
        <v/>
      </c>
      <c r="N38" s="29">
        <f>IF(Saldo_Residual_Activo!M38&gt;0, ROUND(Saldo_Residual_Activo!M38 * 'Resumen_Cartera'!$Q38, 2), "")</f>
        <v/>
      </c>
      <c r="O38" s="29">
        <f>IF(Saldo_Residual_Activo!N38&gt;0, ROUND(Saldo_Residual_Activo!N38 * 'Resumen_Cartera'!$Q38, 2), "")</f>
        <v/>
      </c>
      <c r="P38" s="29">
        <f>IF(Saldo_Residual_Activo!O38&gt;0, ROUND(Saldo_Residual_Activo!O38 * 'Resumen_Cartera'!$Q38, 2), "")</f>
        <v/>
      </c>
      <c r="Q38" s="29">
        <f>IF(Saldo_Residual_Activo!P38&gt;0, ROUND(Saldo_Residual_Activo!P38 * 'Resumen_Cartera'!$Q38, 2), "")</f>
        <v/>
      </c>
      <c r="R38" s="29">
        <f>IF(Saldo_Residual_Activo!Q38&gt;0, ROUND(Saldo_Residual_Activo!Q38 * 'Resumen_Cartera'!$Q38, 2), "")</f>
        <v/>
      </c>
      <c r="S38" s="29">
        <f>IF(Saldo_Residual_Activo!R38&gt;0, ROUND(Saldo_Residual_Activo!R38 * 'Resumen_Cartera'!$Q38, 2), "")</f>
        <v/>
      </c>
      <c r="T38" s="29" t="inlineStr"/>
      <c r="U38" s="29">
        <f>SUM(I38:T38)</f>
        <v/>
      </c>
    </row>
    <row r="39">
      <c r="A39" s="20" t="inlineStr">
        <is>
          <t>0573-0007</t>
        </is>
      </c>
      <c r="B39" s="21" t="inlineStr">
        <is>
          <t>Ar Marketing Sa de Cv</t>
        </is>
      </c>
      <c r="C39" s="21" t="inlineStr">
        <is>
          <t>Promaster Rapid</t>
        </is>
      </c>
      <c r="D39" s="20" t="inlineStr">
        <is>
          <t>ACTIVO</t>
        </is>
      </c>
      <c r="E39" s="20" t="inlineStr">
        <is>
          <t>2024-05-10</t>
        </is>
      </c>
      <c r="F39" s="20" t="inlineStr">
        <is>
          <t>2027-05-10</t>
        </is>
      </c>
      <c r="G39" s="22" t="n">
        <v>36</v>
      </c>
      <c r="H39" s="23" t="n">
        <v>51517.59</v>
      </c>
      <c r="I39" s="23">
        <f>ROUND(30698.88 * 'Resumen_Cartera'!$Q39, 2)</f>
        <v/>
      </c>
      <c r="J39" s="23">
        <f>IF(Saldo_Residual_Activo!I39&gt;0, ROUND(Saldo_Residual_Activo!I39 * 'Resumen_Cartera'!$Q39, 2), "")</f>
        <v/>
      </c>
      <c r="K39" s="23">
        <f>IF(Saldo_Residual_Activo!J39&gt;0, ROUND(Saldo_Residual_Activo!J39 * 'Resumen_Cartera'!$Q39, 2), "")</f>
        <v/>
      </c>
      <c r="L39" s="23">
        <f>IF(Saldo_Residual_Activo!K39&gt;0, ROUND(Saldo_Residual_Activo!K39 * 'Resumen_Cartera'!$Q39, 2), "")</f>
        <v/>
      </c>
      <c r="M39" s="23">
        <f>IF(Saldo_Residual_Activo!L39&gt;0, ROUND(Saldo_Residual_Activo!L39 * 'Resumen_Cartera'!$Q39, 2), "")</f>
        <v/>
      </c>
      <c r="N39" s="23">
        <f>IF(Saldo_Residual_Activo!M39&gt;0, ROUND(Saldo_Residual_Activo!M39 * 'Resumen_Cartera'!$Q39, 2), "")</f>
        <v/>
      </c>
      <c r="O39" s="23">
        <f>IF(Saldo_Residual_Activo!N39&gt;0, ROUND(Saldo_Residual_Activo!N39 * 'Resumen_Cartera'!$Q39, 2), "")</f>
        <v/>
      </c>
      <c r="P39" s="23">
        <f>IF(Saldo_Residual_Activo!O39&gt;0, ROUND(Saldo_Residual_Activo!O39 * 'Resumen_Cartera'!$Q39, 2), "")</f>
        <v/>
      </c>
      <c r="Q39" s="23">
        <f>IF(Saldo_Residual_Activo!P39&gt;0, ROUND(Saldo_Residual_Activo!P39 * 'Resumen_Cartera'!$Q39, 2), "")</f>
        <v/>
      </c>
      <c r="R39" s="23">
        <f>IF(Saldo_Residual_Activo!Q39&gt;0, ROUND(Saldo_Residual_Activo!Q39 * 'Resumen_Cartera'!$Q39, 2), "")</f>
        <v/>
      </c>
      <c r="S39" s="23">
        <f>IF(Saldo_Residual_Activo!R39&gt;0, ROUND(Saldo_Residual_Activo!R39 * 'Resumen_Cartera'!$Q39, 2), "")</f>
        <v/>
      </c>
      <c r="T39" s="23">
        <f>IF(Saldo_Residual_Activo!S39&gt;0, ROUND(Saldo_Residual_Activo!S39 * 'Resumen_Cartera'!$Q39, 2), "")</f>
        <v/>
      </c>
      <c r="U39" s="23">
        <f>SUM(I39:T39)</f>
        <v/>
      </c>
    </row>
    <row r="40">
      <c r="A40" s="26" t="inlineStr">
        <is>
          <t>0573-0008</t>
        </is>
      </c>
      <c r="B40" s="27" t="inlineStr">
        <is>
          <t>Ar Marketing Sa de Cv</t>
        </is>
      </c>
      <c r="C40" s="27" t="inlineStr">
        <is>
          <t>Promaster Rapid</t>
        </is>
      </c>
      <c r="D40" s="26" t="inlineStr">
        <is>
          <t>ACTIVO</t>
        </is>
      </c>
      <c r="E40" s="26" t="inlineStr">
        <is>
          <t>2024-05-15</t>
        </is>
      </c>
      <c r="F40" s="26" t="inlineStr">
        <is>
          <t>2027-05-15</t>
        </is>
      </c>
      <c r="G40" s="28" t="n">
        <v>36</v>
      </c>
      <c r="H40" s="29" t="n">
        <v>50672.76</v>
      </c>
      <c r="I40" s="29">
        <f>ROUND(30195.45 * 'Resumen_Cartera'!$Q40, 2)</f>
        <v/>
      </c>
      <c r="J40" s="29">
        <f>IF(Saldo_Residual_Activo!I40&gt;0, ROUND(Saldo_Residual_Activo!I40 * 'Resumen_Cartera'!$Q40, 2), "")</f>
        <v/>
      </c>
      <c r="K40" s="29">
        <f>IF(Saldo_Residual_Activo!J40&gt;0, ROUND(Saldo_Residual_Activo!J40 * 'Resumen_Cartera'!$Q40, 2), "")</f>
        <v/>
      </c>
      <c r="L40" s="29">
        <f>IF(Saldo_Residual_Activo!K40&gt;0, ROUND(Saldo_Residual_Activo!K40 * 'Resumen_Cartera'!$Q40, 2), "")</f>
        <v/>
      </c>
      <c r="M40" s="29">
        <f>IF(Saldo_Residual_Activo!L40&gt;0, ROUND(Saldo_Residual_Activo!L40 * 'Resumen_Cartera'!$Q40, 2), "")</f>
        <v/>
      </c>
      <c r="N40" s="29">
        <f>IF(Saldo_Residual_Activo!M40&gt;0, ROUND(Saldo_Residual_Activo!M40 * 'Resumen_Cartera'!$Q40, 2), "")</f>
        <v/>
      </c>
      <c r="O40" s="29">
        <f>IF(Saldo_Residual_Activo!N40&gt;0, ROUND(Saldo_Residual_Activo!N40 * 'Resumen_Cartera'!$Q40, 2), "")</f>
        <v/>
      </c>
      <c r="P40" s="29">
        <f>IF(Saldo_Residual_Activo!O40&gt;0, ROUND(Saldo_Residual_Activo!O40 * 'Resumen_Cartera'!$Q40, 2), "")</f>
        <v/>
      </c>
      <c r="Q40" s="29">
        <f>IF(Saldo_Residual_Activo!P40&gt;0, ROUND(Saldo_Residual_Activo!P40 * 'Resumen_Cartera'!$Q40, 2), "")</f>
        <v/>
      </c>
      <c r="R40" s="29">
        <f>IF(Saldo_Residual_Activo!Q40&gt;0, ROUND(Saldo_Residual_Activo!Q40 * 'Resumen_Cartera'!$Q40, 2), "")</f>
        <v/>
      </c>
      <c r="S40" s="29">
        <f>IF(Saldo_Residual_Activo!R40&gt;0, ROUND(Saldo_Residual_Activo!R40 * 'Resumen_Cartera'!$Q40, 2), "")</f>
        <v/>
      </c>
      <c r="T40" s="29">
        <f>IF(Saldo_Residual_Activo!S40&gt;0, ROUND(Saldo_Residual_Activo!S40 * 'Resumen_Cartera'!$Q40, 2), "")</f>
        <v/>
      </c>
      <c r="U40" s="29">
        <f>SUM(I40:T40)</f>
        <v/>
      </c>
    </row>
    <row r="41">
      <c r="A41" s="20" t="inlineStr">
        <is>
          <t>0573-0009</t>
        </is>
      </c>
      <c r="B41" s="21" t="inlineStr">
        <is>
          <t>Ar Marketing Sa de Cv</t>
        </is>
      </c>
      <c r="C41" s="21" t="inlineStr">
        <is>
          <t>Partner</t>
        </is>
      </c>
      <c r="D41" s="20" t="inlineStr">
        <is>
          <t>ACTIVO</t>
        </is>
      </c>
      <c r="E41" s="20" t="inlineStr">
        <is>
          <t>2025-11-28</t>
        </is>
      </c>
      <c r="F41" s="20" t="inlineStr">
        <is>
          <t>2028-11-28</t>
        </is>
      </c>
      <c r="G41" s="22" t="n">
        <v>36</v>
      </c>
      <c r="H41" s="23" t="n">
        <v>49827.93</v>
      </c>
      <c r="I41" s="23">
        <f>ROUND(20325.84 * 'Resumen_Cartera'!$Q41, 2)</f>
        <v/>
      </c>
      <c r="J41" s="23">
        <f>IF(Saldo_Residual_Activo!I41&gt;0, ROUND(Saldo_Residual_Activo!I41 * 'Resumen_Cartera'!$Q41, 2), "")</f>
        <v/>
      </c>
      <c r="K41" s="23">
        <f>IF(Saldo_Residual_Activo!J41&gt;0, ROUND(Saldo_Residual_Activo!J41 * 'Resumen_Cartera'!$Q41, 2), "")</f>
        <v/>
      </c>
      <c r="L41" s="23">
        <f>IF(Saldo_Residual_Activo!K41&gt;0, ROUND(Saldo_Residual_Activo!K41 * 'Resumen_Cartera'!$Q41, 2), "")</f>
        <v/>
      </c>
      <c r="M41" s="23">
        <f>IF(Saldo_Residual_Activo!L41&gt;0, ROUND(Saldo_Residual_Activo!L41 * 'Resumen_Cartera'!$Q41, 2), "")</f>
        <v/>
      </c>
      <c r="N41" s="23">
        <f>IF(Saldo_Residual_Activo!M41&gt;0, ROUND(Saldo_Residual_Activo!M41 * 'Resumen_Cartera'!$Q41, 2), "")</f>
        <v/>
      </c>
      <c r="O41" s="23">
        <f>IF(Saldo_Residual_Activo!N41&gt;0, ROUND(Saldo_Residual_Activo!N41 * 'Resumen_Cartera'!$Q41, 2), "")</f>
        <v/>
      </c>
      <c r="P41" s="23">
        <f>IF(Saldo_Residual_Activo!O41&gt;0, ROUND(Saldo_Residual_Activo!O41 * 'Resumen_Cartera'!$Q41, 2), "")</f>
        <v/>
      </c>
      <c r="Q41" s="23">
        <f>IF(Saldo_Residual_Activo!P41&gt;0, ROUND(Saldo_Residual_Activo!P41 * 'Resumen_Cartera'!$Q41, 2), "")</f>
        <v/>
      </c>
      <c r="R41" s="23">
        <f>IF(Saldo_Residual_Activo!Q41&gt;0, ROUND(Saldo_Residual_Activo!Q41 * 'Resumen_Cartera'!$Q41, 2), "")</f>
        <v/>
      </c>
      <c r="S41" s="23">
        <f>IF(Saldo_Residual_Activo!R41&gt;0, ROUND(Saldo_Residual_Activo!R41 * 'Resumen_Cartera'!$Q41, 2), "")</f>
        <v/>
      </c>
      <c r="T41" s="23">
        <f>IF(Saldo_Residual_Activo!S41&gt;0, ROUND(Saldo_Residual_Activo!S41 * 'Resumen_Cartera'!$Q41, 2), "")</f>
        <v/>
      </c>
      <c r="U41" s="23">
        <f>SUM(I41:T41)</f>
        <v/>
      </c>
    </row>
    <row r="42">
      <c r="A42" s="26" t="inlineStr">
        <is>
          <t>0580-0001</t>
        </is>
      </c>
      <c r="B42" s="27" t="inlineStr">
        <is>
          <t>YOLANDA AVALOS CARDENAS</t>
        </is>
      </c>
      <c r="C42" s="27" t="inlineStr">
        <is>
          <t>Mojave</t>
        </is>
      </c>
      <c r="D42" s="26" t="inlineStr">
        <is>
          <t>ACTIVO</t>
        </is>
      </c>
      <c r="E42" s="26" t="inlineStr">
        <is>
          <t>2022-11-18</t>
        </is>
      </c>
      <c r="F42" s="26" t="inlineStr">
        <is>
          <t>2026-11-18</t>
        </is>
      </c>
      <c r="G42" s="28" t="n">
        <v>48</v>
      </c>
      <c r="H42" s="29" t="n">
        <v>251189.66</v>
      </c>
      <c r="I42" s="29">
        <f>ROUND(191004.78 * 'Resumen_Cartera'!$Q42, 2)</f>
        <v/>
      </c>
      <c r="J42" s="29">
        <f>IF(Saldo_Residual_Activo!I42&gt;0, ROUND(Saldo_Residual_Activo!I42 * 'Resumen_Cartera'!$Q42, 2), "")</f>
        <v/>
      </c>
      <c r="K42" s="29">
        <f>IF(Saldo_Residual_Activo!J42&gt;0, ROUND(Saldo_Residual_Activo!J42 * 'Resumen_Cartera'!$Q42, 2), "")</f>
        <v/>
      </c>
      <c r="L42" s="29">
        <f>IF(Saldo_Residual_Activo!K42&gt;0, ROUND(Saldo_Residual_Activo!K42 * 'Resumen_Cartera'!$Q42, 2), "")</f>
        <v/>
      </c>
      <c r="M42" s="29">
        <f>IF(Saldo_Residual_Activo!L42&gt;0, ROUND(Saldo_Residual_Activo!L42 * 'Resumen_Cartera'!$Q42, 2), "")</f>
        <v/>
      </c>
      <c r="N42" s="29">
        <f>IF(Saldo_Residual_Activo!M42&gt;0, ROUND(Saldo_Residual_Activo!M42 * 'Resumen_Cartera'!$Q42, 2), "")</f>
        <v/>
      </c>
      <c r="O42" s="29">
        <f>IF(Saldo_Residual_Activo!N42&gt;0, ROUND(Saldo_Residual_Activo!N42 * 'Resumen_Cartera'!$Q42, 2), "")</f>
        <v/>
      </c>
      <c r="P42" s="29">
        <f>IF(Saldo_Residual_Activo!O42&gt;0, ROUND(Saldo_Residual_Activo!O42 * 'Resumen_Cartera'!$Q42, 2), "")</f>
        <v/>
      </c>
      <c r="Q42" s="29">
        <f>IF(Saldo_Residual_Activo!P42&gt;0, ROUND(Saldo_Residual_Activo!P42 * 'Resumen_Cartera'!$Q42, 2), "")</f>
        <v/>
      </c>
      <c r="R42" s="29">
        <f>IF(Saldo_Residual_Activo!Q42&gt;0, ROUND(Saldo_Residual_Activo!Q42 * 'Resumen_Cartera'!$Q42, 2), "")</f>
        <v/>
      </c>
      <c r="S42" s="29" t="inlineStr"/>
      <c r="T42" s="29" t="inlineStr"/>
      <c r="U42" s="29">
        <f>SUM(I42:T42)</f>
        <v/>
      </c>
    </row>
    <row r="43">
      <c r="A43" s="20" t="inlineStr">
        <is>
          <t>0581-0001</t>
        </is>
      </c>
      <c r="B43" s="21" t="inlineStr">
        <is>
          <t>Aditivos y Vitaminas Mexicanas Sa de Cv</t>
        </is>
      </c>
      <c r="C43" s="21" t="inlineStr">
        <is>
          <t>RAM 700 REGULAR CAB</t>
        </is>
      </c>
      <c r="D43" s="20" t="inlineStr">
        <is>
          <t>ACTIVO</t>
        </is>
      </c>
      <c r="E43" s="20" t="inlineStr">
        <is>
          <t>2023-01-17</t>
        </is>
      </c>
      <c r="F43" s="20" t="inlineStr">
        <is>
          <t>2027-01-17</t>
        </is>
      </c>
      <c r="G43" s="22" t="n">
        <v>48</v>
      </c>
      <c r="H43" s="23" t="n">
        <v>51189.66</v>
      </c>
      <c r="I43" s="23">
        <f>ROUND(35051.24 * 'Resumen_Cartera'!$Q43, 2)</f>
        <v/>
      </c>
      <c r="J43" s="23">
        <f>IF(Saldo_Residual_Activo!I43&gt;0, ROUND(Saldo_Residual_Activo!I43 * 'Resumen_Cartera'!$Q43, 2), "")</f>
        <v/>
      </c>
      <c r="K43" s="23">
        <f>IF(Saldo_Residual_Activo!J43&gt;0, ROUND(Saldo_Residual_Activo!J43 * 'Resumen_Cartera'!$Q43, 2), "")</f>
        <v/>
      </c>
      <c r="L43" s="23">
        <f>IF(Saldo_Residual_Activo!K43&gt;0, ROUND(Saldo_Residual_Activo!K43 * 'Resumen_Cartera'!$Q43, 2), "")</f>
        <v/>
      </c>
      <c r="M43" s="23">
        <f>IF(Saldo_Residual_Activo!L43&gt;0, ROUND(Saldo_Residual_Activo!L43 * 'Resumen_Cartera'!$Q43, 2), "")</f>
        <v/>
      </c>
      <c r="N43" s="23">
        <f>IF(Saldo_Residual_Activo!M43&gt;0, ROUND(Saldo_Residual_Activo!M43 * 'Resumen_Cartera'!$Q43, 2), "")</f>
        <v/>
      </c>
      <c r="O43" s="23">
        <f>IF(Saldo_Residual_Activo!N43&gt;0, ROUND(Saldo_Residual_Activo!N43 * 'Resumen_Cartera'!$Q43, 2), "")</f>
        <v/>
      </c>
      <c r="P43" s="23">
        <f>IF(Saldo_Residual_Activo!O43&gt;0, ROUND(Saldo_Residual_Activo!O43 * 'Resumen_Cartera'!$Q43, 2), "")</f>
        <v/>
      </c>
      <c r="Q43" s="23">
        <f>IF(Saldo_Residual_Activo!P43&gt;0, ROUND(Saldo_Residual_Activo!P43 * 'Resumen_Cartera'!$Q43, 2), "")</f>
        <v/>
      </c>
      <c r="R43" s="23">
        <f>IF(Saldo_Residual_Activo!Q43&gt;0, ROUND(Saldo_Residual_Activo!Q43 * 'Resumen_Cartera'!$Q43, 2), "")</f>
        <v/>
      </c>
      <c r="S43" s="23">
        <f>IF(Saldo_Residual_Activo!R43&gt;0, ROUND(Saldo_Residual_Activo!R43 * 'Resumen_Cartera'!$Q43, 2), "")</f>
        <v/>
      </c>
      <c r="T43" s="23">
        <f>IF(Saldo_Residual_Activo!S43&gt;0, ROUND(Saldo_Residual_Activo!S43 * 'Resumen_Cartera'!$Q43, 2), "")</f>
        <v/>
      </c>
      <c r="U43" s="23">
        <f>SUM(I43:T43)</f>
        <v/>
      </c>
    </row>
    <row r="44">
      <c r="A44" s="26" t="inlineStr">
        <is>
          <t>0581-0002</t>
        </is>
      </c>
      <c r="B44" s="27" t="inlineStr">
        <is>
          <t>Aditivos y Vitaminas Mexicanas Sa de Cv</t>
        </is>
      </c>
      <c r="C44" s="27" t="inlineStr">
        <is>
          <t>Ram 700 Regular Cab</t>
        </is>
      </c>
      <c r="D44" s="26" t="inlineStr">
        <is>
          <t>ACTIVO</t>
        </is>
      </c>
      <c r="E44" s="26" t="inlineStr">
        <is>
          <t>2024-09-18</t>
        </is>
      </c>
      <c r="F44" s="26" t="inlineStr">
        <is>
          <t>2028-09-18</t>
        </is>
      </c>
      <c r="G44" s="28" t="n">
        <v>48</v>
      </c>
      <c r="H44" s="29" t="n">
        <v>56017.24</v>
      </c>
      <c r="I44" s="29">
        <f>ROUND(28717.73 * 'Resumen_Cartera'!$Q44, 2)</f>
        <v/>
      </c>
      <c r="J44" s="29">
        <f>IF(Saldo_Residual_Activo!I44&gt;0, ROUND(Saldo_Residual_Activo!I44 * 'Resumen_Cartera'!$Q44, 2), "")</f>
        <v/>
      </c>
      <c r="K44" s="29">
        <f>IF(Saldo_Residual_Activo!J44&gt;0, ROUND(Saldo_Residual_Activo!J44 * 'Resumen_Cartera'!$Q44, 2), "")</f>
        <v/>
      </c>
      <c r="L44" s="29">
        <f>IF(Saldo_Residual_Activo!K44&gt;0, ROUND(Saldo_Residual_Activo!K44 * 'Resumen_Cartera'!$Q44, 2), "")</f>
        <v/>
      </c>
      <c r="M44" s="29">
        <f>IF(Saldo_Residual_Activo!L44&gt;0, ROUND(Saldo_Residual_Activo!L44 * 'Resumen_Cartera'!$Q44, 2), "")</f>
        <v/>
      </c>
      <c r="N44" s="29">
        <f>IF(Saldo_Residual_Activo!M44&gt;0, ROUND(Saldo_Residual_Activo!M44 * 'Resumen_Cartera'!$Q44, 2), "")</f>
        <v/>
      </c>
      <c r="O44" s="29">
        <f>IF(Saldo_Residual_Activo!N44&gt;0, ROUND(Saldo_Residual_Activo!N44 * 'Resumen_Cartera'!$Q44, 2), "")</f>
        <v/>
      </c>
      <c r="P44" s="29">
        <f>IF(Saldo_Residual_Activo!O44&gt;0, ROUND(Saldo_Residual_Activo!O44 * 'Resumen_Cartera'!$Q44, 2), "")</f>
        <v/>
      </c>
      <c r="Q44" s="29">
        <f>IF(Saldo_Residual_Activo!P44&gt;0, ROUND(Saldo_Residual_Activo!P44 * 'Resumen_Cartera'!$Q44, 2), "")</f>
        <v/>
      </c>
      <c r="R44" s="29">
        <f>IF(Saldo_Residual_Activo!Q44&gt;0, ROUND(Saldo_Residual_Activo!Q44 * 'Resumen_Cartera'!$Q44, 2), "")</f>
        <v/>
      </c>
      <c r="S44" s="29">
        <f>IF(Saldo_Residual_Activo!R44&gt;0, ROUND(Saldo_Residual_Activo!R44 * 'Resumen_Cartera'!$Q44, 2), "")</f>
        <v/>
      </c>
      <c r="T44" s="29">
        <f>IF(Saldo_Residual_Activo!S44&gt;0, ROUND(Saldo_Residual_Activo!S44 * 'Resumen_Cartera'!$Q44, 2), "")</f>
        <v/>
      </c>
      <c r="U44" s="29">
        <f>SUM(I44:T44)</f>
        <v/>
      </c>
    </row>
    <row r="45">
      <c r="A45" s="20" t="inlineStr">
        <is>
          <t>0582-0003</t>
        </is>
      </c>
      <c r="B45" s="21" t="inlineStr">
        <is>
          <t>Ensaladas Frescas de Occidente Sa de Cv</t>
        </is>
      </c>
      <c r="C45" s="21" t="inlineStr">
        <is>
          <t>Pulse</t>
        </is>
      </c>
      <c r="D45" s="20" t="inlineStr">
        <is>
          <t>ACTIVO</t>
        </is>
      </c>
      <c r="E45" s="20" t="inlineStr">
        <is>
          <t>2024-07-02</t>
        </is>
      </c>
      <c r="F45" s="20" t="inlineStr">
        <is>
          <t>2028-07-02</t>
        </is>
      </c>
      <c r="G45" s="22" t="n">
        <v>48</v>
      </c>
      <c r="H45" s="23" t="n">
        <v>60948.28</v>
      </c>
      <c r="I45" s="23">
        <f>ROUND(21880.27 * 'Resumen_Cartera'!$Q45, 2)</f>
        <v/>
      </c>
      <c r="J45" s="23">
        <f>IF(Saldo_Residual_Activo!I45&gt;0, ROUND(Saldo_Residual_Activo!I45 * 'Resumen_Cartera'!$Q45, 2), "")</f>
        <v/>
      </c>
      <c r="K45" s="23">
        <f>IF(Saldo_Residual_Activo!J45&gt;0, ROUND(Saldo_Residual_Activo!J45 * 'Resumen_Cartera'!$Q45, 2), "")</f>
        <v/>
      </c>
      <c r="L45" s="23">
        <f>IF(Saldo_Residual_Activo!K45&gt;0, ROUND(Saldo_Residual_Activo!K45 * 'Resumen_Cartera'!$Q45, 2), "")</f>
        <v/>
      </c>
      <c r="M45" s="23">
        <f>IF(Saldo_Residual_Activo!L45&gt;0, ROUND(Saldo_Residual_Activo!L45 * 'Resumen_Cartera'!$Q45, 2), "")</f>
        <v/>
      </c>
      <c r="N45" s="23">
        <f>IF(Saldo_Residual_Activo!M45&gt;0, ROUND(Saldo_Residual_Activo!M45 * 'Resumen_Cartera'!$Q45, 2), "")</f>
        <v/>
      </c>
      <c r="O45" s="23">
        <f>IF(Saldo_Residual_Activo!N45&gt;0, ROUND(Saldo_Residual_Activo!N45 * 'Resumen_Cartera'!$Q45, 2), "")</f>
        <v/>
      </c>
      <c r="P45" s="23">
        <f>IF(Saldo_Residual_Activo!O45&gt;0, ROUND(Saldo_Residual_Activo!O45 * 'Resumen_Cartera'!$Q45, 2), "")</f>
        <v/>
      </c>
      <c r="Q45" s="23">
        <f>IF(Saldo_Residual_Activo!P45&gt;0, ROUND(Saldo_Residual_Activo!P45 * 'Resumen_Cartera'!$Q45, 2), "")</f>
        <v/>
      </c>
      <c r="R45" s="23">
        <f>IF(Saldo_Residual_Activo!Q45&gt;0, ROUND(Saldo_Residual_Activo!Q45 * 'Resumen_Cartera'!$Q45, 2), "")</f>
        <v/>
      </c>
      <c r="S45" s="23">
        <f>IF(Saldo_Residual_Activo!R45&gt;0, ROUND(Saldo_Residual_Activo!R45 * 'Resumen_Cartera'!$Q45, 2), "")</f>
        <v/>
      </c>
      <c r="T45" s="23">
        <f>IF(Saldo_Residual_Activo!S45&gt;0, ROUND(Saldo_Residual_Activo!S45 * 'Resumen_Cartera'!$Q45, 2), "")</f>
        <v/>
      </c>
      <c r="U45" s="23">
        <f>SUM(I45:T45)</f>
        <v/>
      </c>
    </row>
    <row r="46">
      <c r="A46" s="26" t="inlineStr">
        <is>
          <t>0583-0004</t>
        </is>
      </c>
      <c r="B46" s="27" t="inlineStr">
        <is>
          <t>Soluciones Profesionales para la Industria Alimentaria</t>
        </is>
      </c>
      <c r="C46" s="27" t="inlineStr">
        <is>
          <t>BIGHORN CREW CAB MT</t>
        </is>
      </c>
      <c r="D46" s="26" t="inlineStr">
        <is>
          <t>ACTIVO</t>
        </is>
      </c>
      <c r="E46" s="26" t="inlineStr">
        <is>
          <t>2024-12-30</t>
        </is>
      </c>
      <c r="F46" s="26" t="inlineStr">
        <is>
          <t>2026-12-30</t>
        </is>
      </c>
      <c r="G46" s="28" t="n">
        <v>24</v>
      </c>
      <c r="H46" s="29" t="n">
        <v>34129.31</v>
      </c>
      <c r="I46" s="29">
        <f>ROUND(24129.41 * 'Resumen_Cartera'!$Q46, 2)</f>
        <v/>
      </c>
      <c r="J46" s="29">
        <f>IF(Saldo_Residual_Activo!I46&gt;0, ROUND(Saldo_Residual_Activo!I46 * 'Resumen_Cartera'!$Q46, 2), "")</f>
        <v/>
      </c>
      <c r="K46" s="29">
        <f>IF(Saldo_Residual_Activo!J46&gt;0, ROUND(Saldo_Residual_Activo!J46 * 'Resumen_Cartera'!$Q46, 2), "")</f>
        <v/>
      </c>
      <c r="L46" s="29">
        <f>IF(Saldo_Residual_Activo!K46&gt;0, ROUND(Saldo_Residual_Activo!K46 * 'Resumen_Cartera'!$Q46, 2), "")</f>
        <v/>
      </c>
      <c r="M46" s="29">
        <f>IF(Saldo_Residual_Activo!L46&gt;0, ROUND(Saldo_Residual_Activo!L46 * 'Resumen_Cartera'!$Q46, 2), "")</f>
        <v/>
      </c>
      <c r="N46" s="29">
        <f>IF(Saldo_Residual_Activo!M46&gt;0, ROUND(Saldo_Residual_Activo!M46 * 'Resumen_Cartera'!$Q46, 2), "")</f>
        <v/>
      </c>
      <c r="O46" s="29">
        <f>IF(Saldo_Residual_Activo!N46&gt;0, ROUND(Saldo_Residual_Activo!N46 * 'Resumen_Cartera'!$Q46, 2), "")</f>
        <v/>
      </c>
      <c r="P46" s="29">
        <f>IF(Saldo_Residual_Activo!O46&gt;0, ROUND(Saldo_Residual_Activo!O46 * 'Resumen_Cartera'!$Q46, 2), "")</f>
        <v/>
      </c>
      <c r="Q46" s="29">
        <f>IF(Saldo_Residual_Activo!P46&gt;0, ROUND(Saldo_Residual_Activo!P46 * 'Resumen_Cartera'!$Q46, 2), "")</f>
        <v/>
      </c>
      <c r="R46" s="29">
        <f>IF(Saldo_Residual_Activo!Q46&gt;0, ROUND(Saldo_Residual_Activo!Q46 * 'Resumen_Cartera'!$Q46, 2), "")</f>
        <v/>
      </c>
      <c r="S46" s="29">
        <f>IF(Saldo_Residual_Activo!R46&gt;0, ROUND(Saldo_Residual_Activo!R46 * 'Resumen_Cartera'!$Q46, 2), "")</f>
        <v/>
      </c>
      <c r="T46" s="29" t="inlineStr"/>
      <c r="U46" s="29">
        <f>SUM(I46:T46)</f>
        <v/>
      </c>
    </row>
    <row r="47">
      <c r="A47" s="20" t="inlineStr">
        <is>
          <t>0583-0005</t>
        </is>
      </c>
      <c r="B47" s="21" t="inlineStr">
        <is>
          <t>Soluciones Profesionales para la Industria Alimentaria</t>
        </is>
      </c>
      <c r="C47" s="21" t="inlineStr">
        <is>
          <t>3008</t>
        </is>
      </c>
      <c r="D47" s="20" t="inlineStr">
        <is>
          <t>ACTIVO</t>
        </is>
      </c>
      <c r="E47" s="20" t="inlineStr">
        <is>
          <t>2025-01-09</t>
        </is>
      </c>
      <c r="F47" s="20" t="inlineStr">
        <is>
          <t>2028-01-09</t>
        </is>
      </c>
      <c r="G47" s="22" t="n">
        <v>36</v>
      </c>
      <c r="H47" s="23" t="n">
        <v>49689.66</v>
      </c>
      <c r="I47" s="23">
        <f>ROUND(23741.25 * 'Resumen_Cartera'!$Q47, 2)</f>
        <v/>
      </c>
      <c r="J47" s="23">
        <f>IF(Saldo_Residual_Activo!I47&gt;0, ROUND(Saldo_Residual_Activo!I47 * 'Resumen_Cartera'!$Q47, 2), "")</f>
        <v/>
      </c>
      <c r="K47" s="23">
        <f>IF(Saldo_Residual_Activo!J47&gt;0, ROUND(Saldo_Residual_Activo!J47 * 'Resumen_Cartera'!$Q47, 2), "")</f>
        <v/>
      </c>
      <c r="L47" s="23">
        <f>IF(Saldo_Residual_Activo!K47&gt;0, ROUND(Saldo_Residual_Activo!K47 * 'Resumen_Cartera'!$Q47, 2), "")</f>
        <v/>
      </c>
      <c r="M47" s="23">
        <f>IF(Saldo_Residual_Activo!L47&gt;0, ROUND(Saldo_Residual_Activo!L47 * 'Resumen_Cartera'!$Q47, 2), "")</f>
        <v/>
      </c>
      <c r="N47" s="23">
        <f>IF(Saldo_Residual_Activo!M47&gt;0, ROUND(Saldo_Residual_Activo!M47 * 'Resumen_Cartera'!$Q47, 2), "")</f>
        <v/>
      </c>
      <c r="O47" s="23">
        <f>IF(Saldo_Residual_Activo!N47&gt;0, ROUND(Saldo_Residual_Activo!N47 * 'Resumen_Cartera'!$Q47, 2), "")</f>
        <v/>
      </c>
      <c r="P47" s="23">
        <f>IF(Saldo_Residual_Activo!O47&gt;0, ROUND(Saldo_Residual_Activo!O47 * 'Resumen_Cartera'!$Q47, 2), "")</f>
        <v/>
      </c>
      <c r="Q47" s="23">
        <f>IF(Saldo_Residual_Activo!P47&gt;0, ROUND(Saldo_Residual_Activo!P47 * 'Resumen_Cartera'!$Q47, 2), "")</f>
        <v/>
      </c>
      <c r="R47" s="23">
        <f>IF(Saldo_Residual_Activo!Q47&gt;0, ROUND(Saldo_Residual_Activo!Q47 * 'Resumen_Cartera'!$Q47, 2), "")</f>
        <v/>
      </c>
      <c r="S47" s="23">
        <f>IF(Saldo_Residual_Activo!R47&gt;0, ROUND(Saldo_Residual_Activo!R47 * 'Resumen_Cartera'!$Q47, 2), "")</f>
        <v/>
      </c>
      <c r="T47" s="23">
        <f>IF(Saldo_Residual_Activo!S47&gt;0, ROUND(Saldo_Residual_Activo!S47 * 'Resumen_Cartera'!$Q47, 2), "")</f>
        <v/>
      </c>
      <c r="U47" s="23">
        <f>SUM(I47:T47)</f>
        <v/>
      </c>
    </row>
    <row r="48">
      <c r="A48" s="26" t="inlineStr">
        <is>
          <t>0583-0006</t>
        </is>
      </c>
      <c r="B48" s="27" t="inlineStr">
        <is>
          <t>Soluciones Profesionales para la Industria Alimentaria</t>
        </is>
      </c>
      <c r="C48" s="27" t="inlineStr">
        <is>
          <t>Montana</t>
        </is>
      </c>
      <c r="D48" s="26" t="inlineStr">
        <is>
          <t>ACTIVO</t>
        </is>
      </c>
      <c r="E48" s="26" t="inlineStr">
        <is>
          <t>2025-11-19</t>
        </is>
      </c>
      <c r="F48" s="26" t="inlineStr">
        <is>
          <t>2027-11-19</t>
        </is>
      </c>
      <c r="G48" s="28" t="n">
        <v>24</v>
      </c>
      <c r="H48" s="29" t="n">
        <v>96448.28</v>
      </c>
      <c r="I48" s="29">
        <f>ROUND(54654.73 * 'Resumen_Cartera'!$Q48, 2)</f>
        <v/>
      </c>
      <c r="J48" s="29">
        <f>IF(Saldo_Residual_Activo!I48&gt;0, ROUND(Saldo_Residual_Activo!I48 * 'Resumen_Cartera'!$Q48, 2), "")</f>
        <v/>
      </c>
      <c r="K48" s="29">
        <f>IF(Saldo_Residual_Activo!J48&gt;0, ROUND(Saldo_Residual_Activo!J48 * 'Resumen_Cartera'!$Q48, 2), "")</f>
        <v/>
      </c>
      <c r="L48" s="29">
        <f>IF(Saldo_Residual_Activo!K48&gt;0, ROUND(Saldo_Residual_Activo!K48 * 'Resumen_Cartera'!$Q48, 2), "")</f>
        <v/>
      </c>
      <c r="M48" s="29">
        <f>IF(Saldo_Residual_Activo!L48&gt;0, ROUND(Saldo_Residual_Activo!L48 * 'Resumen_Cartera'!$Q48, 2), "")</f>
        <v/>
      </c>
      <c r="N48" s="29">
        <f>IF(Saldo_Residual_Activo!M48&gt;0, ROUND(Saldo_Residual_Activo!M48 * 'Resumen_Cartera'!$Q48, 2), "")</f>
        <v/>
      </c>
      <c r="O48" s="29">
        <f>IF(Saldo_Residual_Activo!N48&gt;0, ROUND(Saldo_Residual_Activo!N48 * 'Resumen_Cartera'!$Q48, 2), "")</f>
        <v/>
      </c>
      <c r="P48" s="29">
        <f>IF(Saldo_Residual_Activo!O48&gt;0, ROUND(Saldo_Residual_Activo!O48 * 'Resumen_Cartera'!$Q48, 2), "")</f>
        <v/>
      </c>
      <c r="Q48" s="29">
        <f>IF(Saldo_Residual_Activo!P48&gt;0, ROUND(Saldo_Residual_Activo!P48 * 'Resumen_Cartera'!$Q48, 2), "")</f>
        <v/>
      </c>
      <c r="R48" s="29">
        <f>IF(Saldo_Residual_Activo!Q48&gt;0, ROUND(Saldo_Residual_Activo!Q48 * 'Resumen_Cartera'!$Q48, 2), "")</f>
        <v/>
      </c>
      <c r="S48" s="29">
        <f>IF(Saldo_Residual_Activo!R48&gt;0, ROUND(Saldo_Residual_Activo!R48 * 'Resumen_Cartera'!$Q48, 2), "")</f>
        <v/>
      </c>
      <c r="T48" s="29">
        <f>IF(Saldo_Residual_Activo!S48&gt;0, ROUND(Saldo_Residual_Activo!S48 * 'Resumen_Cartera'!$Q48, 2), "")</f>
        <v/>
      </c>
      <c r="U48" s="29">
        <f>SUM(I48:T48)</f>
        <v/>
      </c>
    </row>
    <row r="49">
      <c r="A49" s="20" t="inlineStr">
        <is>
          <t>0585-0002</t>
        </is>
      </c>
      <c r="B49" s="21" t="inlineStr">
        <is>
          <t>Julio Alberto Ramos de la Mora</t>
        </is>
      </c>
      <c r="C49" s="21" t="inlineStr">
        <is>
          <t>Ram 1500 Limited</t>
        </is>
      </c>
      <c r="D49" s="20" t="inlineStr">
        <is>
          <t>ACTIVO</t>
        </is>
      </c>
      <c r="E49" s="20" t="inlineStr">
        <is>
          <t>2025-01-08</t>
        </is>
      </c>
      <c r="F49" s="20" t="inlineStr">
        <is>
          <t>2028-01-08</t>
        </is>
      </c>
      <c r="G49" s="22" t="n">
        <v>36</v>
      </c>
      <c r="H49" s="23" t="n">
        <v>427474.14</v>
      </c>
      <c r="I49" s="23">
        <f>ROUND(203465.63 * 'Resumen_Cartera'!$Q49, 2)</f>
        <v/>
      </c>
      <c r="J49" s="23">
        <f>IF(Saldo_Residual_Activo!I49&gt;0, ROUND(Saldo_Residual_Activo!I49 * 'Resumen_Cartera'!$Q49, 2), "")</f>
        <v/>
      </c>
      <c r="K49" s="23">
        <f>IF(Saldo_Residual_Activo!J49&gt;0, ROUND(Saldo_Residual_Activo!J49 * 'Resumen_Cartera'!$Q49, 2), "")</f>
        <v/>
      </c>
      <c r="L49" s="23">
        <f>IF(Saldo_Residual_Activo!K49&gt;0, ROUND(Saldo_Residual_Activo!K49 * 'Resumen_Cartera'!$Q49, 2), "")</f>
        <v/>
      </c>
      <c r="M49" s="23">
        <f>IF(Saldo_Residual_Activo!L49&gt;0, ROUND(Saldo_Residual_Activo!L49 * 'Resumen_Cartera'!$Q49, 2), "")</f>
        <v/>
      </c>
      <c r="N49" s="23">
        <f>IF(Saldo_Residual_Activo!M49&gt;0, ROUND(Saldo_Residual_Activo!M49 * 'Resumen_Cartera'!$Q49, 2), "")</f>
        <v/>
      </c>
      <c r="O49" s="23">
        <f>IF(Saldo_Residual_Activo!N49&gt;0, ROUND(Saldo_Residual_Activo!N49 * 'Resumen_Cartera'!$Q49, 2), "")</f>
        <v/>
      </c>
      <c r="P49" s="23">
        <f>IF(Saldo_Residual_Activo!O49&gt;0, ROUND(Saldo_Residual_Activo!O49 * 'Resumen_Cartera'!$Q49, 2), "")</f>
        <v/>
      </c>
      <c r="Q49" s="23">
        <f>IF(Saldo_Residual_Activo!P49&gt;0, ROUND(Saldo_Residual_Activo!P49 * 'Resumen_Cartera'!$Q49, 2), "")</f>
        <v/>
      </c>
      <c r="R49" s="23">
        <f>IF(Saldo_Residual_Activo!Q49&gt;0, ROUND(Saldo_Residual_Activo!Q49 * 'Resumen_Cartera'!$Q49, 2), "")</f>
        <v/>
      </c>
      <c r="S49" s="23">
        <f>IF(Saldo_Residual_Activo!R49&gt;0, ROUND(Saldo_Residual_Activo!R49 * 'Resumen_Cartera'!$Q49, 2), "")</f>
        <v/>
      </c>
      <c r="T49" s="23">
        <f>IF(Saldo_Residual_Activo!S49&gt;0, ROUND(Saldo_Residual_Activo!S49 * 'Resumen_Cartera'!$Q49, 2), "")</f>
        <v/>
      </c>
      <c r="U49" s="23">
        <f>SUM(I49:T49)</f>
        <v/>
      </c>
    </row>
    <row r="50">
      <c r="A50" s="26" t="inlineStr">
        <is>
          <t>0585-0003</t>
        </is>
      </c>
      <c r="B50" s="27" t="inlineStr">
        <is>
          <t>Julio Alberto Ramos de la Mora</t>
        </is>
      </c>
      <c r="C50" s="27" t="inlineStr">
        <is>
          <t>Wrangler Rubicon</t>
        </is>
      </c>
      <c r="D50" s="26" t="inlineStr">
        <is>
          <t>ACTIVO</t>
        </is>
      </c>
      <c r="E50" s="26" t="inlineStr">
        <is>
          <t>2025-01-17</t>
        </is>
      </c>
      <c r="F50" s="26" t="inlineStr">
        <is>
          <t>2029-01-17</t>
        </is>
      </c>
      <c r="G50" s="28" t="n">
        <v>48</v>
      </c>
      <c r="H50" s="29" t="n">
        <v>380275.86</v>
      </c>
      <c r="I50" s="29">
        <f>ROUND(123554.01 * 'Resumen_Cartera'!$Q50, 2)</f>
        <v/>
      </c>
      <c r="J50" s="29">
        <f>IF(Saldo_Residual_Activo!I50&gt;0, ROUND(Saldo_Residual_Activo!I50 * 'Resumen_Cartera'!$Q50, 2), "")</f>
        <v/>
      </c>
      <c r="K50" s="29">
        <f>IF(Saldo_Residual_Activo!J50&gt;0, ROUND(Saldo_Residual_Activo!J50 * 'Resumen_Cartera'!$Q50, 2), "")</f>
        <v/>
      </c>
      <c r="L50" s="29">
        <f>IF(Saldo_Residual_Activo!K50&gt;0, ROUND(Saldo_Residual_Activo!K50 * 'Resumen_Cartera'!$Q50, 2), "")</f>
        <v/>
      </c>
      <c r="M50" s="29">
        <f>IF(Saldo_Residual_Activo!L50&gt;0, ROUND(Saldo_Residual_Activo!L50 * 'Resumen_Cartera'!$Q50, 2), "")</f>
        <v/>
      </c>
      <c r="N50" s="29">
        <f>IF(Saldo_Residual_Activo!M50&gt;0, ROUND(Saldo_Residual_Activo!M50 * 'Resumen_Cartera'!$Q50, 2), "")</f>
        <v/>
      </c>
      <c r="O50" s="29">
        <f>IF(Saldo_Residual_Activo!N50&gt;0, ROUND(Saldo_Residual_Activo!N50 * 'Resumen_Cartera'!$Q50, 2), "")</f>
        <v/>
      </c>
      <c r="P50" s="29">
        <f>IF(Saldo_Residual_Activo!O50&gt;0, ROUND(Saldo_Residual_Activo!O50 * 'Resumen_Cartera'!$Q50, 2), "")</f>
        <v/>
      </c>
      <c r="Q50" s="29">
        <f>IF(Saldo_Residual_Activo!P50&gt;0, ROUND(Saldo_Residual_Activo!P50 * 'Resumen_Cartera'!$Q50, 2), "")</f>
        <v/>
      </c>
      <c r="R50" s="29">
        <f>IF(Saldo_Residual_Activo!Q50&gt;0, ROUND(Saldo_Residual_Activo!Q50 * 'Resumen_Cartera'!$Q50, 2), "")</f>
        <v/>
      </c>
      <c r="S50" s="29">
        <f>IF(Saldo_Residual_Activo!R50&gt;0, ROUND(Saldo_Residual_Activo!R50 * 'Resumen_Cartera'!$Q50, 2), "")</f>
        <v/>
      </c>
      <c r="T50" s="29">
        <f>IF(Saldo_Residual_Activo!S50&gt;0, ROUND(Saldo_Residual_Activo!S50 * 'Resumen_Cartera'!$Q50, 2), "")</f>
        <v/>
      </c>
      <c r="U50" s="29">
        <f>SUM(I50:T50)</f>
        <v/>
      </c>
    </row>
    <row r="51">
      <c r="A51" s="20" t="inlineStr">
        <is>
          <t>0585-0004</t>
        </is>
      </c>
      <c r="B51" s="21" t="inlineStr">
        <is>
          <t>Julio Alberto Ramos de la Mora</t>
        </is>
      </c>
      <c r="C51" s="21" t="inlineStr">
        <is>
          <t>Hrv Sport</t>
        </is>
      </c>
      <c r="D51" s="20" t="inlineStr">
        <is>
          <t>ACTIVO</t>
        </is>
      </c>
      <c r="E51" s="20" t="inlineStr">
        <is>
          <t>2025-05-28</t>
        </is>
      </c>
      <c r="F51" s="20" t="inlineStr">
        <is>
          <t>2028-05-28</t>
        </is>
      </c>
      <c r="G51" s="22" t="n">
        <v>36</v>
      </c>
      <c r="H51" s="23" t="n">
        <v>54301.72</v>
      </c>
      <c r="I51" s="23">
        <f>ROUND(26010.4 * 'Resumen_Cartera'!$Q51, 2)</f>
        <v/>
      </c>
      <c r="J51" s="23">
        <f>IF(Saldo_Residual_Activo!I51&gt;0, ROUND(Saldo_Residual_Activo!I51 * 'Resumen_Cartera'!$Q51, 2), "")</f>
        <v/>
      </c>
      <c r="K51" s="23">
        <f>IF(Saldo_Residual_Activo!J51&gt;0, ROUND(Saldo_Residual_Activo!J51 * 'Resumen_Cartera'!$Q51, 2), "")</f>
        <v/>
      </c>
      <c r="L51" s="23">
        <f>IF(Saldo_Residual_Activo!K51&gt;0, ROUND(Saldo_Residual_Activo!K51 * 'Resumen_Cartera'!$Q51, 2), "")</f>
        <v/>
      </c>
      <c r="M51" s="23">
        <f>IF(Saldo_Residual_Activo!L51&gt;0, ROUND(Saldo_Residual_Activo!L51 * 'Resumen_Cartera'!$Q51, 2), "")</f>
        <v/>
      </c>
      <c r="N51" s="23">
        <f>IF(Saldo_Residual_Activo!M51&gt;0, ROUND(Saldo_Residual_Activo!M51 * 'Resumen_Cartera'!$Q51, 2), "")</f>
        <v/>
      </c>
      <c r="O51" s="23">
        <f>IF(Saldo_Residual_Activo!N51&gt;0, ROUND(Saldo_Residual_Activo!N51 * 'Resumen_Cartera'!$Q51, 2), "")</f>
        <v/>
      </c>
      <c r="P51" s="23">
        <f>IF(Saldo_Residual_Activo!O51&gt;0, ROUND(Saldo_Residual_Activo!O51 * 'Resumen_Cartera'!$Q51, 2), "")</f>
        <v/>
      </c>
      <c r="Q51" s="23">
        <f>IF(Saldo_Residual_Activo!P51&gt;0, ROUND(Saldo_Residual_Activo!P51 * 'Resumen_Cartera'!$Q51, 2), "")</f>
        <v/>
      </c>
      <c r="R51" s="23">
        <f>IF(Saldo_Residual_Activo!Q51&gt;0, ROUND(Saldo_Residual_Activo!Q51 * 'Resumen_Cartera'!$Q51, 2), "")</f>
        <v/>
      </c>
      <c r="S51" s="23">
        <f>IF(Saldo_Residual_Activo!R51&gt;0, ROUND(Saldo_Residual_Activo!R51 * 'Resumen_Cartera'!$Q51, 2), "")</f>
        <v/>
      </c>
      <c r="T51" s="23">
        <f>IF(Saldo_Residual_Activo!S51&gt;0, ROUND(Saldo_Residual_Activo!S51 * 'Resumen_Cartera'!$Q51, 2), "")</f>
        <v/>
      </c>
      <c r="U51" s="23">
        <f>SUM(I51:T51)</f>
        <v/>
      </c>
    </row>
    <row r="52">
      <c r="A52" s="26" t="inlineStr">
        <is>
          <t>0585-0005</t>
        </is>
      </c>
      <c r="B52" s="27" t="inlineStr">
        <is>
          <t>Julio Alberto Ramos de la Mora</t>
        </is>
      </c>
      <c r="C52" s="27" t="inlineStr">
        <is>
          <t>M9 GL HEV</t>
        </is>
      </c>
      <c r="D52" s="26" t="inlineStr">
        <is>
          <t>ACTIVO</t>
        </is>
      </c>
      <c r="E52" s="26" t="inlineStr">
        <is>
          <t>2025-12-12</t>
        </is>
      </c>
      <c r="F52" s="26" t="inlineStr">
        <is>
          <t>2027-12-12</t>
        </is>
      </c>
      <c r="G52" s="28" t="n">
        <v>24</v>
      </c>
      <c r="H52" s="29" t="n">
        <v>84465.52</v>
      </c>
      <c r="I52" s="29">
        <f>ROUND(46792.99 * 'Resumen_Cartera'!$Q52, 2)</f>
        <v/>
      </c>
      <c r="J52" s="29">
        <f>IF(Saldo_Residual_Activo!I52&gt;0, ROUND(Saldo_Residual_Activo!I52 * 'Resumen_Cartera'!$Q52, 2), "")</f>
        <v/>
      </c>
      <c r="K52" s="29">
        <f>IF(Saldo_Residual_Activo!J52&gt;0, ROUND(Saldo_Residual_Activo!J52 * 'Resumen_Cartera'!$Q52, 2), "")</f>
        <v/>
      </c>
      <c r="L52" s="29">
        <f>IF(Saldo_Residual_Activo!K52&gt;0, ROUND(Saldo_Residual_Activo!K52 * 'Resumen_Cartera'!$Q52, 2), "")</f>
        <v/>
      </c>
      <c r="M52" s="29">
        <f>IF(Saldo_Residual_Activo!L52&gt;0, ROUND(Saldo_Residual_Activo!L52 * 'Resumen_Cartera'!$Q52, 2), "")</f>
        <v/>
      </c>
      <c r="N52" s="29">
        <f>IF(Saldo_Residual_Activo!M52&gt;0, ROUND(Saldo_Residual_Activo!M52 * 'Resumen_Cartera'!$Q52, 2), "")</f>
        <v/>
      </c>
      <c r="O52" s="29">
        <f>IF(Saldo_Residual_Activo!N52&gt;0, ROUND(Saldo_Residual_Activo!N52 * 'Resumen_Cartera'!$Q52, 2), "")</f>
        <v/>
      </c>
      <c r="P52" s="29">
        <f>IF(Saldo_Residual_Activo!O52&gt;0, ROUND(Saldo_Residual_Activo!O52 * 'Resumen_Cartera'!$Q52, 2), "")</f>
        <v/>
      </c>
      <c r="Q52" s="29">
        <f>IF(Saldo_Residual_Activo!P52&gt;0, ROUND(Saldo_Residual_Activo!P52 * 'Resumen_Cartera'!$Q52, 2), "")</f>
        <v/>
      </c>
      <c r="R52" s="29">
        <f>IF(Saldo_Residual_Activo!Q52&gt;0, ROUND(Saldo_Residual_Activo!Q52 * 'Resumen_Cartera'!$Q52, 2), "")</f>
        <v/>
      </c>
      <c r="S52" s="29">
        <f>IF(Saldo_Residual_Activo!R52&gt;0, ROUND(Saldo_Residual_Activo!R52 * 'Resumen_Cartera'!$Q52, 2), "")</f>
        <v/>
      </c>
      <c r="T52" s="29">
        <f>IF(Saldo_Residual_Activo!S52&gt;0, ROUND(Saldo_Residual_Activo!S52 * 'Resumen_Cartera'!$Q52, 2), "")</f>
        <v/>
      </c>
      <c r="U52" s="29">
        <f>SUM(I52:T52)</f>
        <v/>
      </c>
    </row>
    <row r="53">
      <c r="A53" s="20" t="inlineStr">
        <is>
          <t>0587-0002</t>
        </is>
      </c>
      <c r="B53" s="21" t="inlineStr">
        <is>
          <t>Allioth, S.C.</t>
        </is>
      </c>
      <c r="C53" s="21" t="inlineStr">
        <is>
          <t>Grand Cherokee L Summit</t>
        </is>
      </c>
      <c r="D53" s="20" t="inlineStr">
        <is>
          <t>ACTIVO</t>
        </is>
      </c>
      <c r="E53" s="20" t="inlineStr">
        <is>
          <t>2026-02-09</t>
        </is>
      </c>
      <c r="F53" s="20" t="inlineStr">
        <is>
          <t>2027-02-09</t>
        </is>
      </c>
      <c r="G53" s="22" t="n">
        <v>12</v>
      </c>
      <c r="H53" s="23" t="n">
        <v>219281.03</v>
      </c>
      <c r="I53" s="23" t="inlineStr"/>
      <c r="J53" s="23">
        <f>ROUND('Resumen_Cartera'!$U53 * 'Resumen_Cartera'!$Q53, 2)</f>
        <v/>
      </c>
      <c r="K53" s="23">
        <f>IF(Saldo_Residual_Activo!J53&gt;0, ROUND(Saldo_Residual_Activo!J53 * 'Resumen_Cartera'!$Q53, 2), "")</f>
        <v/>
      </c>
      <c r="L53" s="23">
        <f>IF(Saldo_Residual_Activo!K53&gt;0, ROUND(Saldo_Residual_Activo!K53 * 'Resumen_Cartera'!$Q53, 2), "")</f>
        <v/>
      </c>
      <c r="M53" s="23">
        <f>IF(Saldo_Residual_Activo!L53&gt;0, ROUND(Saldo_Residual_Activo!L53 * 'Resumen_Cartera'!$Q53, 2), "")</f>
        <v/>
      </c>
      <c r="N53" s="23">
        <f>IF(Saldo_Residual_Activo!M53&gt;0, ROUND(Saldo_Residual_Activo!M53 * 'Resumen_Cartera'!$Q53, 2), "")</f>
        <v/>
      </c>
      <c r="O53" s="23">
        <f>IF(Saldo_Residual_Activo!N53&gt;0, ROUND(Saldo_Residual_Activo!N53 * 'Resumen_Cartera'!$Q53, 2), "")</f>
        <v/>
      </c>
      <c r="P53" s="23">
        <f>IF(Saldo_Residual_Activo!O53&gt;0, ROUND(Saldo_Residual_Activo!O53 * 'Resumen_Cartera'!$Q53, 2), "")</f>
        <v/>
      </c>
      <c r="Q53" s="23">
        <f>IF(Saldo_Residual_Activo!P53&gt;0, ROUND(Saldo_Residual_Activo!P53 * 'Resumen_Cartera'!$Q53, 2), "")</f>
        <v/>
      </c>
      <c r="R53" s="23">
        <f>IF(Saldo_Residual_Activo!Q53&gt;0, ROUND(Saldo_Residual_Activo!Q53 * 'Resumen_Cartera'!$Q53, 2), "")</f>
        <v/>
      </c>
      <c r="S53" s="23">
        <f>IF(Saldo_Residual_Activo!R53&gt;0, ROUND(Saldo_Residual_Activo!R53 * 'Resumen_Cartera'!$Q53, 2), "")</f>
        <v/>
      </c>
      <c r="T53" s="23">
        <f>IF(Saldo_Residual_Activo!S53&gt;0, ROUND(Saldo_Residual_Activo!S53 * 'Resumen_Cartera'!$Q53, 2), "")</f>
        <v/>
      </c>
      <c r="U53" s="23">
        <f>SUM(I53:T53)</f>
        <v/>
      </c>
    </row>
    <row r="54">
      <c r="A54" s="26" t="inlineStr">
        <is>
          <t>0591-0002</t>
        </is>
      </c>
      <c r="B54" s="27" t="inlineStr">
        <is>
          <t>Cervantech Servicios Tecnologicos Sc</t>
        </is>
      </c>
      <c r="C54" s="27" t="inlineStr">
        <is>
          <t>WRANGLER RUBICON</t>
        </is>
      </c>
      <c r="D54" s="26" t="inlineStr">
        <is>
          <t>ACTIVO</t>
        </is>
      </c>
      <c r="E54" s="26" t="inlineStr">
        <is>
          <t>2023-10-27</t>
        </is>
      </c>
      <c r="F54" s="26" t="inlineStr">
        <is>
          <t>2026-10-27</t>
        </is>
      </c>
      <c r="G54" s="28" t="n">
        <v>36</v>
      </c>
      <c r="H54" s="29" t="n">
        <v>386780.17</v>
      </c>
      <c r="I54" s="29">
        <f>ROUND(293663.68 * 'Resumen_Cartera'!$Q54, 2)</f>
        <v/>
      </c>
      <c r="J54" s="29">
        <f>IF(Saldo_Residual_Activo!I54&gt;0, ROUND(Saldo_Residual_Activo!I54 * 'Resumen_Cartera'!$Q54, 2), "")</f>
        <v/>
      </c>
      <c r="K54" s="29">
        <f>IF(Saldo_Residual_Activo!J54&gt;0, ROUND(Saldo_Residual_Activo!J54 * 'Resumen_Cartera'!$Q54, 2), "")</f>
        <v/>
      </c>
      <c r="L54" s="29">
        <f>IF(Saldo_Residual_Activo!K54&gt;0, ROUND(Saldo_Residual_Activo!K54 * 'Resumen_Cartera'!$Q54, 2), "")</f>
        <v/>
      </c>
      <c r="M54" s="29">
        <f>IF(Saldo_Residual_Activo!L54&gt;0, ROUND(Saldo_Residual_Activo!L54 * 'Resumen_Cartera'!$Q54, 2), "")</f>
        <v/>
      </c>
      <c r="N54" s="29">
        <f>IF(Saldo_Residual_Activo!M54&gt;0, ROUND(Saldo_Residual_Activo!M54 * 'Resumen_Cartera'!$Q54, 2), "")</f>
        <v/>
      </c>
      <c r="O54" s="29">
        <f>IF(Saldo_Residual_Activo!N54&gt;0, ROUND(Saldo_Residual_Activo!N54 * 'Resumen_Cartera'!$Q54, 2), "")</f>
        <v/>
      </c>
      <c r="P54" s="29">
        <f>IF(Saldo_Residual_Activo!O54&gt;0, ROUND(Saldo_Residual_Activo!O54 * 'Resumen_Cartera'!$Q54, 2), "")</f>
        <v/>
      </c>
      <c r="Q54" s="29">
        <f>IF(Saldo_Residual_Activo!P54&gt;0, ROUND(Saldo_Residual_Activo!P54 * 'Resumen_Cartera'!$Q54, 2), "")</f>
        <v/>
      </c>
      <c r="R54" s="29" t="inlineStr"/>
      <c r="S54" s="29" t="inlineStr"/>
      <c r="T54" s="29" t="inlineStr"/>
      <c r="U54" s="29">
        <f>SUM(I54:T54)</f>
        <v/>
      </c>
    </row>
    <row r="55">
      <c r="A55" s="20" t="inlineStr">
        <is>
          <t>0593-0002</t>
        </is>
      </c>
      <c r="B55" s="21" t="inlineStr">
        <is>
          <t>Metales y Minerales Moa Sa de Cv</t>
        </is>
      </c>
      <c r="C55" s="21" t="inlineStr">
        <is>
          <t>Ram 700 SLT Crew Cab</t>
        </is>
      </c>
      <c r="D55" s="20" t="inlineStr">
        <is>
          <t>ACTIVO</t>
        </is>
      </c>
      <c r="E55" s="20" t="inlineStr">
        <is>
          <t>2023-07-04</t>
        </is>
      </c>
      <c r="F55" s="20" t="inlineStr">
        <is>
          <t>2027-07-04</t>
        </is>
      </c>
      <c r="G55" s="22" t="n">
        <v>48</v>
      </c>
      <c r="H55" s="23" t="n">
        <v>56879.31</v>
      </c>
      <c r="I55" s="23">
        <f>ROUND(32472.71 * 'Resumen_Cartera'!$Q55, 2)</f>
        <v/>
      </c>
      <c r="J55" s="23">
        <f>IF(Saldo_Residual_Activo!I55&gt;0, ROUND(Saldo_Residual_Activo!I55 * 'Resumen_Cartera'!$Q55, 2), "")</f>
        <v/>
      </c>
      <c r="K55" s="23">
        <f>IF(Saldo_Residual_Activo!J55&gt;0, ROUND(Saldo_Residual_Activo!J55 * 'Resumen_Cartera'!$Q55, 2), "")</f>
        <v/>
      </c>
      <c r="L55" s="23">
        <f>IF(Saldo_Residual_Activo!K55&gt;0, ROUND(Saldo_Residual_Activo!K55 * 'Resumen_Cartera'!$Q55, 2), "")</f>
        <v/>
      </c>
      <c r="M55" s="23">
        <f>IF(Saldo_Residual_Activo!L55&gt;0, ROUND(Saldo_Residual_Activo!L55 * 'Resumen_Cartera'!$Q55, 2), "")</f>
        <v/>
      </c>
      <c r="N55" s="23">
        <f>IF(Saldo_Residual_Activo!M55&gt;0, ROUND(Saldo_Residual_Activo!M55 * 'Resumen_Cartera'!$Q55, 2), "")</f>
        <v/>
      </c>
      <c r="O55" s="23">
        <f>IF(Saldo_Residual_Activo!N55&gt;0, ROUND(Saldo_Residual_Activo!N55 * 'Resumen_Cartera'!$Q55, 2), "")</f>
        <v/>
      </c>
      <c r="P55" s="23">
        <f>IF(Saldo_Residual_Activo!O55&gt;0, ROUND(Saldo_Residual_Activo!O55 * 'Resumen_Cartera'!$Q55, 2), "")</f>
        <v/>
      </c>
      <c r="Q55" s="23">
        <f>IF(Saldo_Residual_Activo!P55&gt;0, ROUND(Saldo_Residual_Activo!P55 * 'Resumen_Cartera'!$Q55, 2), "")</f>
        <v/>
      </c>
      <c r="R55" s="23">
        <f>IF(Saldo_Residual_Activo!Q55&gt;0, ROUND(Saldo_Residual_Activo!Q55 * 'Resumen_Cartera'!$Q55, 2), "")</f>
        <v/>
      </c>
      <c r="S55" s="23">
        <f>IF(Saldo_Residual_Activo!R55&gt;0, ROUND(Saldo_Residual_Activo!R55 * 'Resumen_Cartera'!$Q55, 2), "")</f>
        <v/>
      </c>
      <c r="T55" s="23">
        <f>IF(Saldo_Residual_Activo!S55&gt;0, ROUND(Saldo_Residual_Activo!S55 * 'Resumen_Cartera'!$Q55, 2), "")</f>
        <v/>
      </c>
      <c r="U55" s="23">
        <f>SUM(I55:T55)</f>
        <v/>
      </c>
    </row>
    <row r="56">
      <c r="A56" s="26" t="inlineStr">
        <is>
          <t>0594-0001</t>
        </is>
      </c>
      <c r="B56" s="27" t="inlineStr">
        <is>
          <t>Biotecnologia Estetica Sa de Cv</t>
        </is>
      </c>
      <c r="C56" s="27" t="inlineStr">
        <is>
          <t>Mobi Like</t>
        </is>
      </c>
      <c r="D56" s="26" t="inlineStr">
        <is>
          <t>ACTIVO</t>
        </is>
      </c>
      <c r="E56" s="26" t="inlineStr">
        <is>
          <t>2023-02-23</t>
        </is>
      </c>
      <c r="F56" s="26" t="inlineStr">
        <is>
          <t>2027-02-23</t>
        </is>
      </c>
      <c r="G56" s="28" t="n">
        <v>48</v>
      </c>
      <c r="H56" s="29" t="n">
        <v>41793.1</v>
      </c>
      <c r="I56" s="29">
        <f>ROUND(27739.83 * 'Resumen_Cartera'!$Q56, 2)</f>
        <v/>
      </c>
      <c r="J56" s="29">
        <f>IF(Saldo_Residual_Activo!I56&gt;0, ROUND(Saldo_Residual_Activo!I56 * 'Resumen_Cartera'!$Q56, 2), "")</f>
        <v/>
      </c>
      <c r="K56" s="29">
        <f>IF(Saldo_Residual_Activo!J56&gt;0, ROUND(Saldo_Residual_Activo!J56 * 'Resumen_Cartera'!$Q56, 2), "")</f>
        <v/>
      </c>
      <c r="L56" s="29">
        <f>IF(Saldo_Residual_Activo!K56&gt;0, ROUND(Saldo_Residual_Activo!K56 * 'Resumen_Cartera'!$Q56, 2), "")</f>
        <v/>
      </c>
      <c r="M56" s="29">
        <f>IF(Saldo_Residual_Activo!L56&gt;0, ROUND(Saldo_Residual_Activo!L56 * 'Resumen_Cartera'!$Q56, 2), "")</f>
        <v/>
      </c>
      <c r="N56" s="29">
        <f>IF(Saldo_Residual_Activo!M56&gt;0, ROUND(Saldo_Residual_Activo!M56 * 'Resumen_Cartera'!$Q56, 2), "")</f>
        <v/>
      </c>
      <c r="O56" s="29">
        <f>IF(Saldo_Residual_Activo!N56&gt;0, ROUND(Saldo_Residual_Activo!N56 * 'Resumen_Cartera'!$Q56, 2), "")</f>
        <v/>
      </c>
      <c r="P56" s="29">
        <f>IF(Saldo_Residual_Activo!O56&gt;0, ROUND(Saldo_Residual_Activo!O56 * 'Resumen_Cartera'!$Q56, 2), "")</f>
        <v/>
      </c>
      <c r="Q56" s="29">
        <f>IF(Saldo_Residual_Activo!P56&gt;0, ROUND(Saldo_Residual_Activo!P56 * 'Resumen_Cartera'!$Q56, 2), "")</f>
        <v/>
      </c>
      <c r="R56" s="29">
        <f>IF(Saldo_Residual_Activo!Q56&gt;0, ROUND(Saldo_Residual_Activo!Q56 * 'Resumen_Cartera'!$Q56, 2), "")</f>
        <v/>
      </c>
      <c r="S56" s="29">
        <f>IF(Saldo_Residual_Activo!R56&gt;0, ROUND(Saldo_Residual_Activo!R56 * 'Resumen_Cartera'!$Q56, 2), "")</f>
        <v/>
      </c>
      <c r="T56" s="29">
        <f>IF(Saldo_Residual_Activo!S56&gt;0, ROUND(Saldo_Residual_Activo!S56 * 'Resumen_Cartera'!$Q56, 2), "")</f>
        <v/>
      </c>
      <c r="U56" s="29">
        <f>SUM(I56:T56)</f>
        <v/>
      </c>
    </row>
    <row r="57">
      <c r="A57" s="20" t="inlineStr">
        <is>
          <t>0596-0004</t>
        </is>
      </c>
      <c r="B57" s="21" t="inlineStr">
        <is>
          <t>Gruas Industriales Lb</t>
        </is>
      </c>
      <c r="C57" s="21" t="inlineStr">
        <is>
          <t>Ram 1500 TRX</t>
        </is>
      </c>
      <c r="D57" s="20" t="inlineStr">
        <is>
          <t>ACTIVO</t>
        </is>
      </c>
      <c r="E57" s="20" t="inlineStr">
        <is>
          <t>2024-03-22</t>
        </is>
      </c>
      <c r="F57" s="20" t="inlineStr">
        <is>
          <t>2028-03-22</t>
        </is>
      </c>
      <c r="G57" s="22" t="n">
        <v>48</v>
      </c>
      <c r="H57" s="23" t="n">
        <v>225853.45</v>
      </c>
      <c r="I57" s="23">
        <f>ROUND(98610.77 * 'Resumen_Cartera'!$Q57, 2)</f>
        <v/>
      </c>
      <c r="J57" s="23">
        <f>IF(Saldo_Residual_Activo!I57&gt;0, ROUND(Saldo_Residual_Activo!I57 * 'Resumen_Cartera'!$Q57, 2), "")</f>
        <v/>
      </c>
      <c r="K57" s="23">
        <f>IF(Saldo_Residual_Activo!J57&gt;0, ROUND(Saldo_Residual_Activo!J57 * 'Resumen_Cartera'!$Q57, 2), "")</f>
        <v/>
      </c>
      <c r="L57" s="23">
        <f>IF(Saldo_Residual_Activo!K57&gt;0, ROUND(Saldo_Residual_Activo!K57 * 'Resumen_Cartera'!$Q57, 2), "")</f>
        <v/>
      </c>
      <c r="M57" s="23">
        <f>IF(Saldo_Residual_Activo!L57&gt;0, ROUND(Saldo_Residual_Activo!L57 * 'Resumen_Cartera'!$Q57, 2), "")</f>
        <v/>
      </c>
      <c r="N57" s="23">
        <f>IF(Saldo_Residual_Activo!M57&gt;0, ROUND(Saldo_Residual_Activo!M57 * 'Resumen_Cartera'!$Q57, 2), "")</f>
        <v/>
      </c>
      <c r="O57" s="23">
        <f>IF(Saldo_Residual_Activo!N57&gt;0, ROUND(Saldo_Residual_Activo!N57 * 'Resumen_Cartera'!$Q57, 2), "")</f>
        <v/>
      </c>
      <c r="P57" s="23">
        <f>IF(Saldo_Residual_Activo!O57&gt;0, ROUND(Saldo_Residual_Activo!O57 * 'Resumen_Cartera'!$Q57, 2), "")</f>
        <v/>
      </c>
      <c r="Q57" s="23">
        <f>IF(Saldo_Residual_Activo!P57&gt;0, ROUND(Saldo_Residual_Activo!P57 * 'Resumen_Cartera'!$Q57, 2), "")</f>
        <v/>
      </c>
      <c r="R57" s="23">
        <f>IF(Saldo_Residual_Activo!Q57&gt;0, ROUND(Saldo_Residual_Activo!Q57 * 'Resumen_Cartera'!$Q57, 2), "")</f>
        <v/>
      </c>
      <c r="S57" s="23">
        <f>IF(Saldo_Residual_Activo!R57&gt;0, ROUND(Saldo_Residual_Activo!R57 * 'Resumen_Cartera'!$Q57, 2), "")</f>
        <v/>
      </c>
      <c r="T57" s="23">
        <f>IF(Saldo_Residual_Activo!S57&gt;0, ROUND(Saldo_Residual_Activo!S57 * 'Resumen_Cartera'!$Q57, 2), "")</f>
        <v/>
      </c>
      <c r="U57" s="23">
        <f>SUM(I57:T57)</f>
        <v/>
      </c>
    </row>
    <row r="58">
      <c r="A58" s="26" t="inlineStr">
        <is>
          <t>0596-0005</t>
        </is>
      </c>
      <c r="B58" s="27" t="inlineStr">
        <is>
          <t>Gruas Industriales Lb Sa de Cv</t>
        </is>
      </c>
      <c r="C58" s="27" t="inlineStr">
        <is>
          <t>L200 Glx Gasolina</t>
        </is>
      </c>
      <c r="D58" s="26" t="inlineStr">
        <is>
          <t>ACTIVO</t>
        </is>
      </c>
      <c r="E58" s="26" t="inlineStr">
        <is>
          <t>2024-07-19</t>
        </is>
      </c>
      <c r="F58" s="26" t="inlineStr">
        <is>
          <t>2028-07-19</t>
        </is>
      </c>
      <c r="G58" s="28" t="n">
        <v>48</v>
      </c>
      <c r="H58" s="29" t="n">
        <v>83163.45</v>
      </c>
      <c r="I58" s="29">
        <f>ROUND(32662.85 * 'Resumen_Cartera'!$Q58, 2)</f>
        <v/>
      </c>
      <c r="J58" s="29">
        <f>IF(Saldo_Residual_Activo!I58&gt;0, ROUND(Saldo_Residual_Activo!I58 * 'Resumen_Cartera'!$Q58, 2), "")</f>
        <v/>
      </c>
      <c r="K58" s="29">
        <f>IF(Saldo_Residual_Activo!J58&gt;0, ROUND(Saldo_Residual_Activo!J58 * 'Resumen_Cartera'!$Q58, 2), "")</f>
        <v/>
      </c>
      <c r="L58" s="29">
        <f>IF(Saldo_Residual_Activo!K58&gt;0, ROUND(Saldo_Residual_Activo!K58 * 'Resumen_Cartera'!$Q58, 2), "")</f>
        <v/>
      </c>
      <c r="M58" s="29">
        <f>IF(Saldo_Residual_Activo!L58&gt;0, ROUND(Saldo_Residual_Activo!L58 * 'Resumen_Cartera'!$Q58, 2), "")</f>
        <v/>
      </c>
      <c r="N58" s="29">
        <f>IF(Saldo_Residual_Activo!M58&gt;0, ROUND(Saldo_Residual_Activo!M58 * 'Resumen_Cartera'!$Q58, 2), "")</f>
        <v/>
      </c>
      <c r="O58" s="29">
        <f>IF(Saldo_Residual_Activo!N58&gt;0, ROUND(Saldo_Residual_Activo!N58 * 'Resumen_Cartera'!$Q58, 2), "")</f>
        <v/>
      </c>
      <c r="P58" s="29">
        <f>IF(Saldo_Residual_Activo!O58&gt;0, ROUND(Saldo_Residual_Activo!O58 * 'Resumen_Cartera'!$Q58, 2), "")</f>
        <v/>
      </c>
      <c r="Q58" s="29">
        <f>IF(Saldo_Residual_Activo!P58&gt;0, ROUND(Saldo_Residual_Activo!P58 * 'Resumen_Cartera'!$Q58, 2), "")</f>
        <v/>
      </c>
      <c r="R58" s="29">
        <f>IF(Saldo_Residual_Activo!Q58&gt;0, ROUND(Saldo_Residual_Activo!Q58 * 'Resumen_Cartera'!$Q58, 2), "")</f>
        <v/>
      </c>
      <c r="S58" s="29">
        <f>IF(Saldo_Residual_Activo!R58&gt;0, ROUND(Saldo_Residual_Activo!R58 * 'Resumen_Cartera'!$Q58, 2), "")</f>
        <v/>
      </c>
      <c r="T58" s="29">
        <f>IF(Saldo_Residual_Activo!S58&gt;0, ROUND(Saldo_Residual_Activo!S58 * 'Resumen_Cartera'!$Q58, 2), "")</f>
        <v/>
      </c>
      <c r="U58" s="29">
        <f>SUM(I58:T58)</f>
        <v/>
      </c>
    </row>
    <row r="59">
      <c r="A59" s="20" t="inlineStr">
        <is>
          <t>0598-0001</t>
        </is>
      </c>
      <c r="B59" s="21" t="inlineStr">
        <is>
          <t>Digitracking Solution Sa de Cv</t>
        </is>
      </c>
      <c r="C59" s="21" t="inlineStr">
        <is>
          <t>Ram 700 Laramie</t>
        </is>
      </c>
      <c r="D59" s="20" t="inlineStr">
        <is>
          <t>ACTIVO</t>
        </is>
      </c>
      <c r="E59" s="20" t="inlineStr">
        <is>
          <t>2023-03-15</t>
        </is>
      </c>
      <c r="F59" s="20" t="inlineStr">
        <is>
          <t>2027-03-15</t>
        </is>
      </c>
      <c r="G59" s="22" t="n">
        <v>48</v>
      </c>
      <c r="H59" s="23" t="n">
        <v>69810.34</v>
      </c>
      <c r="I59" s="23">
        <f>ROUND(44642.21 * 'Resumen_Cartera'!$Q59, 2)</f>
        <v/>
      </c>
      <c r="J59" s="23">
        <f>IF(Saldo_Residual_Activo!I59&gt;0, ROUND(Saldo_Residual_Activo!I59 * 'Resumen_Cartera'!$Q59, 2), "")</f>
        <v/>
      </c>
      <c r="K59" s="23">
        <f>IF(Saldo_Residual_Activo!J59&gt;0, ROUND(Saldo_Residual_Activo!J59 * 'Resumen_Cartera'!$Q59, 2), "")</f>
        <v/>
      </c>
      <c r="L59" s="23">
        <f>IF(Saldo_Residual_Activo!K59&gt;0, ROUND(Saldo_Residual_Activo!K59 * 'Resumen_Cartera'!$Q59, 2), "")</f>
        <v/>
      </c>
      <c r="M59" s="23">
        <f>IF(Saldo_Residual_Activo!L59&gt;0, ROUND(Saldo_Residual_Activo!L59 * 'Resumen_Cartera'!$Q59, 2), "")</f>
        <v/>
      </c>
      <c r="N59" s="23">
        <f>IF(Saldo_Residual_Activo!M59&gt;0, ROUND(Saldo_Residual_Activo!M59 * 'Resumen_Cartera'!$Q59, 2), "")</f>
        <v/>
      </c>
      <c r="O59" s="23">
        <f>IF(Saldo_Residual_Activo!N59&gt;0, ROUND(Saldo_Residual_Activo!N59 * 'Resumen_Cartera'!$Q59, 2), "")</f>
        <v/>
      </c>
      <c r="P59" s="23">
        <f>IF(Saldo_Residual_Activo!O59&gt;0, ROUND(Saldo_Residual_Activo!O59 * 'Resumen_Cartera'!$Q59, 2), "")</f>
        <v/>
      </c>
      <c r="Q59" s="23">
        <f>IF(Saldo_Residual_Activo!P59&gt;0, ROUND(Saldo_Residual_Activo!P59 * 'Resumen_Cartera'!$Q59, 2), "")</f>
        <v/>
      </c>
      <c r="R59" s="23">
        <f>IF(Saldo_Residual_Activo!Q59&gt;0, ROUND(Saldo_Residual_Activo!Q59 * 'Resumen_Cartera'!$Q59, 2), "")</f>
        <v/>
      </c>
      <c r="S59" s="23">
        <f>IF(Saldo_Residual_Activo!R59&gt;0, ROUND(Saldo_Residual_Activo!R59 * 'Resumen_Cartera'!$Q59, 2), "")</f>
        <v/>
      </c>
      <c r="T59" s="23">
        <f>IF(Saldo_Residual_Activo!S59&gt;0, ROUND(Saldo_Residual_Activo!S59 * 'Resumen_Cartera'!$Q59, 2), "")</f>
        <v/>
      </c>
      <c r="U59" s="23">
        <f>SUM(I59:T59)</f>
        <v/>
      </c>
    </row>
    <row r="60">
      <c r="A60" s="26" t="inlineStr">
        <is>
          <t>0600-0001</t>
        </is>
      </c>
      <c r="B60" s="27" t="inlineStr">
        <is>
          <t>Dulce Marisol Gonzalez Cuevas</t>
        </is>
      </c>
      <c r="C60" s="27" t="inlineStr">
        <is>
          <t>Ram 700 Laramie</t>
        </is>
      </c>
      <c r="D60" s="26" t="inlineStr">
        <is>
          <t>ACTIVO</t>
        </is>
      </c>
      <c r="E60" s="26" t="inlineStr">
        <is>
          <t>2023-03-15</t>
        </is>
      </c>
      <c r="F60" s="26" t="inlineStr">
        <is>
          <t>2027-03-15</t>
        </is>
      </c>
      <c r="G60" s="28" t="n">
        <v>48</v>
      </c>
      <c r="H60" s="29" t="n">
        <v>34905.17</v>
      </c>
      <c r="I60" s="29">
        <f>ROUND(22458.29 * 'Resumen_Cartera'!$Q60, 2)</f>
        <v/>
      </c>
      <c r="J60" s="29">
        <f>IF(Saldo_Residual_Activo!I60&gt;0, ROUND(Saldo_Residual_Activo!I60 * 'Resumen_Cartera'!$Q60, 2), "")</f>
        <v/>
      </c>
      <c r="K60" s="29">
        <f>IF(Saldo_Residual_Activo!J60&gt;0, ROUND(Saldo_Residual_Activo!J60 * 'Resumen_Cartera'!$Q60, 2), "")</f>
        <v/>
      </c>
      <c r="L60" s="29">
        <f>IF(Saldo_Residual_Activo!K60&gt;0, ROUND(Saldo_Residual_Activo!K60 * 'Resumen_Cartera'!$Q60, 2), "")</f>
        <v/>
      </c>
      <c r="M60" s="29">
        <f>IF(Saldo_Residual_Activo!L60&gt;0, ROUND(Saldo_Residual_Activo!L60 * 'Resumen_Cartera'!$Q60, 2), "")</f>
        <v/>
      </c>
      <c r="N60" s="29">
        <f>IF(Saldo_Residual_Activo!M60&gt;0, ROUND(Saldo_Residual_Activo!M60 * 'Resumen_Cartera'!$Q60, 2), "")</f>
        <v/>
      </c>
      <c r="O60" s="29">
        <f>IF(Saldo_Residual_Activo!N60&gt;0, ROUND(Saldo_Residual_Activo!N60 * 'Resumen_Cartera'!$Q60, 2), "")</f>
        <v/>
      </c>
      <c r="P60" s="29">
        <f>IF(Saldo_Residual_Activo!O60&gt;0, ROUND(Saldo_Residual_Activo!O60 * 'Resumen_Cartera'!$Q60, 2), "")</f>
        <v/>
      </c>
      <c r="Q60" s="29">
        <f>IF(Saldo_Residual_Activo!P60&gt;0, ROUND(Saldo_Residual_Activo!P60 * 'Resumen_Cartera'!$Q60, 2), "")</f>
        <v/>
      </c>
      <c r="R60" s="29">
        <f>IF(Saldo_Residual_Activo!Q60&gt;0, ROUND(Saldo_Residual_Activo!Q60 * 'Resumen_Cartera'!$Q60, 2), "")</f>
        <v/>
      </c>
      <c r="S60" s="29">
        <f>IF(Saldo_Residual_Activo!R60&gt;0, ROUND(Saldo_Residual_Activo!R60 * 'Resumen_Cartera'!$Q60, 2), "")</f>
        <v/>
      </c>
      <c r="T60" s="29">
        <f>IF(Saldo_Residual_Activo!S60&gt;0, ROUND(Saldo_Residual_Activo!S60 * 'Resumen_Cartera'!$Q60, 2), "")</f>
        <v/>
      </c>
      <c r="U60" s="29">
        <f>SUM(I60:T60)</f>
        <v/>
      </c>
    </row>
    <row r="61">
      <c r="A61" s="20" t="inlineStr">
        <is>
          <t>0603-0002</t>
        </is>
      </c>
      <c r="B61" s="21" t="inlineStr">
        <is>
          <t>Mario Alberto Velasco Santana</t>
        </is>
      </c>
      <c r="C61" s="21" t="inlineStr">
        <is>
          <t>Outlander Sport</t>
        </is>
      </c>
      <c r="D61" s="20" t="inlineStr">
        <is>
          <t>ACTIVO</t>
        </is>
      </c>
      <c r="E61" s="20" t="inlineStr">
        <is>
          <t>2024-07-30</t>
        </is>
      </c>
      <c r="F61" s="20" t="inlineStr">
        <is>
          <t>2028-07-30</t>
        </is>
      </c>
      <c r="G61" s="22" t="n">
        <v>48</v>
      </c>
      <c r="H61" s="23" t="n">
        <v>78931.03</v>
      </c>
      <c r="I61" s="23">
        <f>ROUND(30970.36 * 'Resumen_Cartera'!$Q61, 2)</f>
        <v/>
      </c>
      <c r="J61" s="23">
        <f>IF(Saldo_Residual_Activo!I61&gt;0, ROUND(Saldo_Residual_Activo!I61 * 'Resumen_Cartera'!$Q61, 2), "")</f>
        <v/>
      </c>
      <c r="K61" s="23">
        <f>IF(Saldo_Residual_Activo!J61&gt;0, ROUND(Saldo_Residual_Activo!J61 * 'Resumen_Cartera'!$Q61, 2), "")</f>
        <v/>
      </c>
      <c r="L61" s="23">
        <f>IF(Saldo_Residual_Activo!K61&gt;0, ROUND(Saldo_Residual_Activo!K61 * 'Resumen_Cartera'!$Q61, 2), "")</f>
        <v/>
      </c>
      <c r="M61" s="23">
        <f>IF(Saldo_Residual_Activo!L61&gt;0, ROUND(Saldo_Residual_Activo!L61 * 'Resumen_Cartera'!$Q61, 2), "")</f>
        <v/>
      </c>
      <c r="N61" s="23">
        <f>IF(Saldo_Residual_Activo!M61&gt;0, ROUND(Saldo_Residual_Activo!M61 * 'Resumen_Cartera'!$Q61, 2), "")</f>
        <v/>
      </c>
      <c r="O61" s="23">
        <f>IF(Saldo_Residual_Activo!N61&gt;0, ROUND(Saldo_Residual_Activo!N61 * 'Resumen_Cartera'!$Q61, 2), "")</f>
        <v/>
      </c>
      <c r="P61" s="23">
        <f>IF(Saldo_Residual_Activo!O61&gt;0, ROUND(Saldo_Residual_Activo!O61 * 'Resumen_Cartera'!$Q61, 2), "")</f>
        <v/>
      </c>
      <c r="Q61" s="23">
        <f>IF(Saldo_Residual_Activo!P61&gt;0, ROUND(Saldo_Residual_Activo!P61 * 'Resumen_Cartera'!$Q61, 2), "")</f>
        <v/>
      </c>
      <c r="R61" s="23">
        <f>IF(Saldo_Residual_Activo!Q61&gt;0, ROUND(Saldo_Residual_Activo!Q61 * 'Resumen_Cartera'!$Q61, 2), "")</f>
        <v/>
      </c>
      <c r="S61" s="23">
        <f>IF(Saldo_Residual_Activo!R61&gt;0, ROUND(Saldo_Residual_Activo!R61 * 'Resumen_Cartera'!$Q61, 2), "")</f>
        <v/>
      </c>
      <c r="T61" s="23">
        <f>IF(Saldo_Residual_Activo!S61&gt;0, ROUND(Saldo_Residual_Activo!S61 * 'Resumen_Cartera'!$Q61, 2), "")</f>
        <v/>
      </c>
      <c r="U61" s="23">
        <f>SUM(I61:T61)</f>
        <v/>
      </c>
    </row>
    <row r="62">
      <c r="A62" s="26" t="inlineStr">
        <is>
          <t>0605-0001</t>
        </is>
      </c>
      <c r="B62" s="27" t="inlineStr">
        <is>
          <t>Nato Arquitectos Sa de Cv</t>
        </is>
      </c>
      <c r="C62" s="27" t="inlineStr">
        <is>
          <t>Compass High Altitude</t>
        </is>
      </c>
      <c r="D62" s="26" t="inlineStr">
        <is>
          <t>ACTIVO</t>
        </is>
      </c>
      <c r="E62" s="26" t="inlineStr">
        <is>
          <t>2023-03-23</t>
        </is>
      </c>
      <c r="F62" s="26" t="inlineStr">
        <is>
          <t>2027-03-23</t>
        </is>
      </c>
      <c r="G62" s="28" t="n">
        <v>48</v>
      </c>
      <c r="H62" s="29" t="n">
        <v>136189.66</v>
      </c>
      <c r="I62" s="29">
        <f>ROUND(88010.95 * 'Resumen_Cartera'!$Q62, 2)</f>
        <v/>
      </c>
      <c r="J62" s="29">
        <f>IF(Saldo_Residual_Activo!I62&gt;0, ROUND(Saldo_Residual_Activo!I62 * 'Resumen_Cartera'!$Q62, 2), "")</f>
        <v/>
      </c>
      <c r="K62" s="29">
        <f>IF(Saldo_Residual_Activo!J62&gt;0, ROUND(Saldo_Residual_Activo!J62 * 'Resumen_Cartera'!$Q62, 2), "")</f>
        <v/>
      </c>
      <c r="L62" s="29">
        <f>IF(Saldo_Residual_Activo!K62&gt;0, ROUND(Saldo_Residual_Activo!K62 * 'Resumen_Cartera'!$Q62, 2), "")</f>
        <v/>
      </c>
      <c r="M62" s="29">
        <f>IF(Saldo_Residual_Activo!L62&gt;0, ROUND(Saldo_Residual_Activo!L62 * 'Resumen_Cartera'!$Q62, 2), "")</f>
        <v/>
      </c>
      <c r="N62" s="29">
        <f>IF(Saldo_Residual_Activo!M62&gt;0, ROUND(Saldo_Residual_Activo!M62 * 'Resumen_Cartera'!$Q62, 2), "")</f>
        <v/>
      </c>
      <c r="O62" s="29">
        <f>IF(Saldo_Residual_Activo!N62&gt;0, ROUND(Saldo_Residual_Activo!N62 * 'Resumen_Cartera'!$Q62, 2), "")</f>
        <v/>
      </c>
      <c r="P62" s="29">
        <f>IF(Saldo_Residual_Activo!O62&gt;0, ROUND(Saldo_Residual_Activo!O62 * 'Resumen_Cartera'!$Q62, 2), "")</f>
        <v/>
      </c>
      <c r="Q62" s="29">
        <f>IF(Saldo_Residual_Activo!P62&gt;0, ROUND(Saldo_Residual_Activo!P62 * 'Resumen_Cartera'!$Q62, 2), "")</f>
        <v/>
      </c>
      <c r="R62" s="29">
        <f>IF(Saldo_Residual_Activo!Q62&gt;0, ROUND(Saldo_Residual_Activo!Q62 * 'Resumen_Cartera'!$Q62, 2), "")</f>
        <v/>
      </c>
      <c r="S62" s="29">
        <f>IF(Saldo_Residual_Activo!R62&gt;0, ROUND(Saldo_Residual_Activo!R62 * 'Resumen_Cartera'!$Q62, 2), "")</f>
        <v/>
      </c>
      <c r="T62" s="29">
        <f>IF(Saldo_Residual_Activo!S62&gt;0, ROUND(Saldo_Residual_Activo!S62 * 'Resumen_Cartera'!$Q62, 2), "")</f>
        <v/>
      </c>
      <c r="U62" s="29">
        <f>SUM(I62:T62)</f>
        <v/>
      </c>
    </row>
    <row r="63">
      <c r="A63" s="20" t="inlineStr">
        <is>
          <t>0605-0002</t>
        </is>
      </c>
      <c r="B63" s="21" t="inlineStr">
        <is>
          <t>Nato Arquitectos Sa de Cv</t>
        </is>
      </c>
      <c r="C63" s="21" t="inlineStr">
        <is>
          <t>Hilux Diesel</t>
        </is>
      </c>
      <c r="D63" s="20" t="inlineStr">
        <is>
          <t>ACTIVO</t>
        </is>
      </c>
      <c r="E63" s="20" t="inlineStr">
        <is>
          <t>2025-03-28</t>
        </is>
      </c>
      <c r="F63" s="20" t="inlineStr">
        <is>
          <t>2027-03-28</t>
        </is>
      </c>
      <c r="G63" s="22" t="n">
        <v>24</v>
      </c>
      <c r="H63" s="23" t="n">
        <v>42706.9</v>
      </c>
      <c r="I63" s="23">
        <f>ROUND(28065.35 * 'Resumen_Cartera'!$Q63, 2)</f>
        <v/>
      </c>
      <c r="J63" s="23">
        <f>IF(Saldo_Residual_Activo!I63&gt;0, ROUND(Saldo_Residual_Activo!I63 * 'Resumen_Cartera'!$Q63, 2), "")</f>
        <v/>
      </c>
      <c r="K63" s="23">
        <f>IF(Saldo_Residual_Activo!J63&gt;0, ROUND(Saldo_Residual_Activo!J63 * 'Resumen_Cartera'!$Q63, 2), "")</f>
        <v/>
      </c>
      <c r="L63" s="23">
        <f>IF(Saldo_Residual_Activo!K63&gt;0, ROUND(Saldo_Residual_Activo!K63 * 'Resumen_Cartera'!$Q63, 2), "")</f>
        <v/>
      </c>
      <c r="M63" s="23">
        <f>IF(Saldo_Residual_Activo!L63&gt;0, ROUND(Saldo_Residual_Activo!L63 * 'Resumen_Cartera'!$Q63, 2), "")</f>
        <v/>
      </c>
      <c r="N63" s="23">
        <f>IF(Saldo_Residual_Activo!M63&gt;0, ROUND(Saldo_Residual_Activo!M63 * 'Resumen_Cartera'!$Q63, 2), "")</f>
        <v/>
      </c>
      <c r="O63" s="23">
        <f>IF(Saldo_Residual_Activo!N63&gt;0, ROUND(Saldo_Residual_Activo!N63 * 'Resumen_Cartera'!$Q63, 2), "")</f>
        <v/>
      </c>
      <c r="P63" s="23">
        <f>IF(Saldo_Residual_Activo!O63&gt;0, ROUND(Saldo_Residual_Activo!O63 * 'Resumen_Cartera'!$Q63, 2), "")</f>
        <v/>
      </c>
      <c r="Q63" s="23">
        <f>IF(Saldo_Residual_Activo!P63&gt;0, ROUND(Saldo_Residual_Activo!P63 * 'Resumen_Cartera'!$Q63, 2), "")</f>
        <v/>
      </c>
      <c r="R63" s="23">
        <f>IF(Saldo_Residual_Activo!Q63&gt;0, ROUND(Saldo_Residual_Activo!Q63 * 'Resumen_Cartera'!$Q63, 2), "")</f>
        <v/>
      </c>
      <c r="S63" s="23">
        <f>IF(Saldo_Residual_Activo!R63&gt;0, ROUND(Saldo_Residual_Activo!R63 * 'Resumen_Cartera'!$Q63, 2), "")</f>
        <v/>
      </c>
      <c r="T63" s="23">
        <f>IF(Saldo_Residual_Activo!S63&gt;0, ROUND(Saldo_Residual_Activo!S63 * 'Resumen_Cartera'!$Q63, 2), "")</f>
        <v/>
      </c>
      <c r="U63" s="23">
        <f>SUM(I63:T63)</f>
        <v/>
      </c>
    </row>
    <row r="64">
      <c r="A64" s="26" t="inlineStr">
        <is>
          <t>0605-0003</t>
        </is>
      </c>
      <c r="B64" s="27" t="inlineStr">
        <is>
          <t>Nato Arquitectos Sa de Cv</t>
        </is>
      </c>
      <c r="C64" s="27" t="inlineStr">
        <is>
          <t>Ranger Crew Cab 4X4 XLT</t>
        </is>
      </c>
      <c r="D64" s="26" t="inlineStr">
        <is>
          <t>ACTIVO</t>
        </is>
      </c>
      <c r="E64" s="26" t="inlineStr">
        <is>
          <t>2026-01-08</t>
        </is>
      </c>
      <c r="F64" s="26" t="inlineStr">
        <is>
          <t>2028-01-08</t>
        </is>
      </c>
      <c r="G64" s="28" t="n">
        <v>24</v>
      </c>
      <c r="H64" s="29" t="n">
        <v>153431.03</v>
      </c>
      <c r="I64" s="29">
        <f>ROUND('Resumen_Cartera'!$U64 * 'Resumen_Cartera'!$Q64, 2)</f>
        <v/>
      </c>
      <c r="J64" s="29">
        <f>IF(Saldo_Residual_Activo!I64&gt;0, ROUND(Saldo_Residual_Activo!I64 * 'Resumen_Cartera'!$Q64, 2), "")</f>
        <v/>
      </c>
      <c r="K64" s="29">
        <f>IF(Saldo_Residual_Activo!J64&gt;0, ROUND(Saldo_Residual_Activo!J64 * 'Resumen_Cartera'!$Q64, 2), "")</f>
        <v/>
      </c>
      <c r="L64" s="29">
        <f>IF(Saldo_Residual_Activo!K64&gt;0, ROUND(Saldo_Residual_Activo!K64 * 'Resumen_Cartera'!$Q64, 2), "")</f>
        <v/>
      </c>
      <c r="M64" s="29">
        <f>IF(Saldo_Residual_Activo!L64&gt;0, ROUND(Saldo_Residual_Activo!L64 * 'Resumen_Cartera'!$Q64, 2), "")</f>
        <v/>
      </c>
      <c r="N64" s="29">
        <f>IF(Saldo_Residual_Activo!M64&gt;0, ROUND(Saldo_Residual_Activo!M64 * 'Resumen_Cartera'!$Q64, 2), "")</f>
        <v/>
      </c>
      <c r="O64" s="29">
        <f>IF(Saldo_Residual_Activo!N64&gt;0, ROUND(Saldo_Residual_Activo!N64 * 'Resumen_Cartera'!$Q64, 2), "")</f>
        <v/>
      </c>
      <c r="P64" s="29">
        <f>IF(Saldo_Residual_Activo!O64&gt;0, ROUND(Saldo_Residual_Activo!O64 * 'Resumen_Cartera'!$Q64, 2), "")</f>
        <v/>
      </c>
      <c r="Q64" s="29">
        <f>IF(Saldo_Residual_Activo!P64&gt;0, ROUND(Saldo_Residual_Activo!P64 * 'Resumen_Cartera'!$Q64, 2), "")</f>
        <v/>
      </c>
      <c r="R64" s="29">
        <f>IF(Saldo_Residual_Activo!Q64&gt;0, ROUND(Saldo_Residual_Activo!Q64 * 'Resumen_Cartera'!$Q64, 2), "")</f>
        <v/>
      </c>
      <c r="S64" s="29">
        <f>IF(Saldo_Residual_Activo!R64&gt;0, ROUND(Saldo_Residual_Activo!R64 * 'Resumen_Cartera'!$Q64, 2), "")</f>
        <v/>
      </c>
      <c r="T64" s="29">
        <f>IF(Saldo_Residual_Activo!S64&gt;0, ROUND(Saldo_Residual_Activo!S64 * 'Resumen_Cartera'!$Q64, 2), "")</f>
        <v/>
      </c>
      <c r="U64" s="29">
        <f>SUM(I64:T64)</f>
        <v/>
      </c>
    </row>
    <row r="65">
      <c r="A65" s="20" t="inlineStr">
        <is>
          <t>0605-0004</t>
        </is>
      </c>
      <c r="B65" s="21" t="inlineStr">
        <is>
          <t>Nato Arquitectos Sa de Cv</t>
        </is>
      </c>
      <c r="C65" s="21" t="inlineStr">
        <is>
          <t>COLORADO DOBLE CABINA PAQ. "C"</t>
        </is>
      </c>
      <c r="D65" s="20" t="inlineStr">
        <is>
          <t>ACTIVO</t>
        </is>
      </c>
      <c r="E65" s="20" t="inlineStr">
        <is>
          <t>2026-01-08</t>
        </is>
      </c>
      <c r="F65" s="20" t="inlineStr">
        <is>
          <t>2028-01-08</t>
        </is>
      </c>
      <c r="G65" s="22" t="n">
        <v>24</v>
      </c>
      <c r="H65" s="23" t="n">
        <v>170672.41</v>
      </c>
      <c r="I65" s="23">
        <f>ROUND('Resumen_Cartera'!$U65 * 'Resumen_Cartera'!$Q65, 2)</f>
        <v/>
      </c>
      <c r="J65" s="23">
        <f>IF(Saldo_Residual_Activo!I65&gt;0, ROUND(Saldo_Residual_Activo!I65 * 'Resumen_Cartera'!$Q65, 2), "")</f>
        <v/>
      </c>
      <c r="K65" s="23">
        <f>IF(Saldo_Residual_Activo!J65&gt;0, ROUND(Saldo_Residual_Activo!J65 * 'Resumen_Cartera'!$Q65, 2), "")</f>
        <v/>
      </c>
      <c r="L65" s="23">
        <f>IF(Saldo_Residual_Activo!K65&gt;0, ROUND(Saldo_Residual_Activo!K65 * 'Resumen_Cartera'!$Q65, 2), "")</f>
        <v/>
      </c>
      <c r="M65" s="23">
        <f>IF(Saldo_Residual_Activo!L65&gt;0, ROUND(Saldo_Residual_Activo!L65 * 'Resumen_Cartera'!$Q65, 2), "")</f>
        <v/>
      </c>
      <c r="N65" s="23">
        <f>IF(Saldo_Residual_Activo!M65&gt;0, ROUND(Saldo_Residual_Activo!M65 * 'Resumen_Cartera'!$Q65, 2), "")</f>
        <v/>
      </c>
      <c r="O65" s="23">
        <f>IF(Saldo_Residual_Activo!N65&gt;0, ROUND(Saldo_Residual_Activo!N65 * 'Resumen_Cartera'!$Q65, 2), "")</f>
        <v/>
      </c>
      <c r="P65" s="23">
        <f>IF(Saldo_Residual_Activo!O65&gt;0, ROUND(Saldo_Residual_Activo!O65 * 'Resumen_Cartera'!$Q65, 2), "")</f>
        <v/>
      </c>
      <c r="Q65" s="23">
        <f>IF(Saldo_Residual_Activo!P65&gt;0, ROUND(Saldo_Residual_Activo!P65 * 'Resumen_Cartera'!$Q65, 2), "")</f>
        <v/>
      </c>
      <c r="R65" s="23">
        <f>IF(Saldo_Residual_Activo!Q65&gt;0, ROUND(Saldo_Residual_Activo!Q65 * 'Resumen_Cartera'!$Q65, 2), "")</f>
        <v/>
      </c>
      <c r="S65" s="23">
        <f>IF(Saldo_Residual_Activo!R65&gt;0, ROUND(Saldo_Residual_Activo!R65 * 'Resumen_Cartera'!$Q65, 2), "")</f>
        <v/>
      </c>
      <c r="T65" s="23">
        <f>IF(Saldo_Residual_Activo!S65&gt;0, ROUND(Saldo_Residual_Activo!S65 * 'Resumen_Cartera'!$Q65, 2), "")</f>
        <v/>
      </c>
      <c r="U65" s="23">
        <f>SUM(I65:T65)</f>
        <v/>
      </c>
    </row>
    <row r="66">
      <c r="A66" s="26" t="inlineStr">
        <is>
          <t>0606-0002</t>
        </is>
      </c>
      <c r="B66" s="27" t="inlineStr">
        <is>
          <t>Mayoreo Automotriz ML S de Rl de CV</t>
        </is>
      </c>
      <c r="C66" s="27" t="inlineStr">
        <is>
          <t>Grand Cherokee 4xE</t>
        </is>
      </c>
      <c r="D66" s="26" t="inlineStr">
        <is>
          <t>ACTIVO</t>
        </is>
      </c>
      <c r="E66" s="26" t="inlineStr">
        <is>
          <t>2026-03-17</t>
        </is>
      </c>
      <c r="F66" s="26" t="inlineStr">
        <is>
          <t>2027-03-17</t>
        </is>
      </c>
      <c r="G66" s="28" t="n">
        <v>12</v>
      </c>
      <c r="H66" s="29" t="n">
        <v>27670.69</v>
      </c>
      <c r="I66" s="29" t="inlineStr"/>
      <c r="J66" s="29" t="inlineStr"/>
      <c r="K66" s="29">
        <f>ROUND('Resumen_Cartera'!$U66 * 'Resumen_Cartera'!$Q66, 2)</f>
        <v/>
      </c>
      <c r="L66" s="29">
        <f>IF(Saldo_Residual_Activo!K66&gt;0, ROUND(Saldo_Residual_Activo!K66 * 'Resumen_Cartera'!$Q66, 2), "")</f>
        <v/>
      </c>
      <c r="M66" s="29">
        <f>IF(Saldo_Residual_Activo!L66&gt;0, ROUND(Saldo_Residual_Activo!L66 * 'Resumen_Cartera'!$Q66, 2), "")</f>
        <v/>
      </c>
      <c r="N66" s="29">
        <f>IF(Saldo_Residual_Activo!M66&gt;0, ROUND(Saldo_Residual_Activo!M66 * 'Resumen_Cartera'!$Q66, 2), "")</f>
        <v/>
      </c>
      <c r="O66" s="29">
        <f>IF(Saldo_Residual_Activo!N66&gt;0, ROUND(Saldo_Residual_Activo!N66 * 'Resumen_Cartera'!$Q66, 2), "")</f>
        <v/>
      </c>
      <c r="P66" s="29">
        <f>IF(Saldo_Residual_Activo!O66&gt;0, ROUND(Saldo_Residual_Activo!O66 * 'Resumen_Cartera'!$Q66, 2), "")</f>
        <v/>
      </c>
      <c r="Q66" s="29">
        <f>IF(Saldo_Residual_Activo!P66&gt;0, ROUND(Saldo_Residual_Activo!P66 * 'Resumen_Cartera'!$Q66, 2), "")</f>
        <v/>
      </c>
      <c r="R66" s="29">
        <f>IF(Saldo_Residual_Activo!Q66&gt;0, ROUND(Saldo_Residual_Activo!Q66 * 'Resumen_Cartera'!$Q66, 2), "")</f>
        <v/>
      </c>
      <c r="S66" s="29">
        <f>IF(Saldo_Residual_Activo!R66&gt;0, ROUND(Saldo_Residual_Activo!R66 * 'Resumen_Cartera'!$Q66, 2), "")</f>
        <v/>
      </c>
      <c r="T66" s="29">
        <f>IF(Saldo_Residual_Activo!S66&gt;0, ROUND(Saldo_Residual_Activo!S66 * 'Resumen_Cartera'!$Q66, 2), "")</f>
        <v/>
      </c>
      <c r="U66" s="29">
        <f>SUM(I66:T66)</f>
        <v/>
      </c>
    </row>
    <row r="67">
      <c r="A67" s="20" t="inlineStr">
        <is>
          <t>0607-0004</t>
        </is>
      </c>
      <c r="B67" s="21" t="inlineStr">
        <is>
          <t>Jose Guadalupe Dueñas Lomeli</t>
        </is>
      </c>
      <c r="C67" s="21" t="inlineStr">
        <is>
          <t>Rifter Allure Pack</t>
        </is>
      </c>
      <c r="D67" s="20" t="inlineStr">
        <is>
          <t>ACTIVO</t>
        </is>
      </c>
      <c r="E67" s="20" t="inlineStr">
        <is>
          <t>2025-12-08</t>
        </is>
      </c>
      <c r="F67" s="20" t="inlineStr">
        <is>
          <t>2029-12-08</t>
        </is>
      </c>
      <c r="G67" s="22" t="n">
        <v>48</v>
      </c>
      <c r="H67" s="23" t="n">
        <v>43094.83</v>
      </c>
      <c r="I67" s="23">
        <f>ROUND(12362.24 * 'Resumen_Cartera'!$Q67, 2)</f>
        <v/>
      </c>
      <c r="J67" s="23">
        <f>IF(Saldo_Residual_Activo!I67&gt;0, ROUND(Saldo_Residual_Activo!I67 * 'Resumen_Cartera'!$Q67, 2), "")</f>
        <v/>
      </c>
      <c r="K67" s="23">
        <f>IF(Saldo_Residual_Activo!J67&gt;0, ROUND(Saldo_Residual_Activo!J67 * 'Resumen_Cartera'!$Q67, 2), "")</f>
        <v/>
      </c>
      <c r="L67" s="23">
        <f>IF(Saldo_Residual_Activo!K67&gt;0, ROUND(Saldo_Residual_Activo!K67 * 'Resumen_Cartera'!$Q67, 2), "")</f>
        <v/>
      </c>
      <c r="M67" s="23">
        <f>IF(Saldo_Residual_Activo!L67&gt;0, ROUND(Saldo_Residual_Activo!L67 * 'Resumen_Cartera'!$Q67, 2), "")</f>
        <v/>
      </c>
      <c r="N67" s="23">
        <f>IF(Saldo_Residual_Activo!M67&gt;0, ROUND(Saldo_Residual_Activo!M67 * 'Resumen_Cartera'!$Q67, 2), "")</f>
        <v/>
      </c>
      <c r="O67" s="23">
        <f>IF(Saldo_Residual_Activo!N67&gt;0, ROUND(Saldo_Residual_Activo!N67 * 'Resumen_Cartera'!$Q67, 2), "")</f>
        <v/>
      </c>
      <c r="P67" s="23">
        <f>IF(Saldo_Residual_Activo!O67&gt;0, ROUND(Saldo_Residual_Activo!O67 * 'Resumen_Cartera'!$Q67, 2), "")</f>
        <v/>
      </c>
      <c r="Q67" s="23">
        <f>IF(Saldo_Residual_Activo!P67&gt;0, ROUND(Saldo_Residual_Activo!P67 * 'Resumen_Cartera'!$Q67, 2), "")</f>
        <v/>
      </c>
      <c r="R67" s="23">
        <f>IF(Saldo_Residual_Activo!Q67&gt;0, ROUND(Saldo_Residual_Activo!Q67 * 'Resumen_Cartera'!$Q67, 2), "")</f>
        <v/>
      </c>
      <c r="S67" s="23">
        <f>IF(Saldo_Residual_Activo!R67&gt;0, ROUND(Saldo_Residual_Activo!R67 * 'Resumen_Cartera'!$Q67, 2), "")</f>
        <v/>
      </c>
      <c r="T67" s="23">
        <f>IF(Saldo_Residual_Activo!S67&gt;0, ROUND(Saldo_Residual_Activo!S67 * 'Resumen_Cartera'!$Q67, 2), "")</f>
        <v/>
      </c>
      <c r="U67" s="23">
        <f>SUM(I67:T67)</f>
        <v/>
      </c>
    </row>
    <row r="68">
      <c r="A68" s="26" t="inlineStr">
        <is>
          <t>0607-0005</t>
        </is>
      </c>
      <c r="B68" s="27" t="inlineStr">
        <is>
          <t>Jose Guadalupe Dueñas Lomeli</t>
        </is>
      </c>
      <c r="C68" s="27" t="inlineStr">
        <is>
          <t>Durango Hellcat SRT</t>
        </is>
      </c>
      <c r="D68" s="26" t="inlineStr">
        <is>
          <t>ACTIVO</t>
        </is>
      </c>
      <c r="E68" s="26" t="inlineStr">
        <is>
          <t>2026-02-09</t>
        </is>
      </c>
      <c r="F68" s="26" t="inlineStr">
        <is>
          <t>2029-02-09</t>
        </is>
      </c>
      <c r="G68" s="28" t="n">
        <v>36</v>
      </c>
      <c r="H68" s="29" t="n">
        <v>374982.76</v>
      </c>
      <c r="I68" s="29" t="inlineStr"/>
      <c r="J68" s="29">
        <f>ROUND('Resumen_Cartera'!$U68 * 'Resumen_Cartera'!$Q68, 2)</f>
        <v/>
      </c>
      <c r="K68" s="29">
        <f>IF(Saldo_Residual_Activo!J68&gt;0, ROUND(Saldo_Residual_Activo!J68 * 'Resumen_Cartera'!$Q68, 2), "")</f>
        <v/>
      </c>
      <c r="L68" s="29">
        <f>IF(Saldo_Residual_Activo!K68&gt;0, ROUND(Saldo_Residual_Activo!K68 * 'Resumen_Cartera'!$Q68, 2), "")</f>
        <v/>
      </c>
      <c r="M68" s="29">
        <f>IF(Saldo_Residual_Activo!L68&gt;0, ROUND(Saldo_Residual_Activo!L68 * 'Resumen_Cartera'!$Q68, 2), "")</f>
        <v/>
      </c>
      <c r="N68" s="29">
        <f>IF(Saldo_Residual_Activo!M68&gt;0, ROUND(Saldo_Residual_Activo!M68 * 'Resumen_Cartera'!$Q68, 2), "")</f>
        <v/>
      </c>
      <c r="O68" s="29">
        <f>IF(Saldo_Residual_Activo!N68&gt;0, ROUND(Saldo_Residual_Activo!N68 * 'Resumen_Cartera'!$Q68, 2), "")</f>
        <v/>
      </c>
      <c r="P68" s="29">
        <f>IF(Saldo_Residual_Activo!O68&gt;0, ROUND(Saldo_Residual_Activo!O68 * 'Resumen_Cartera'!$Q68, 2), "")</f>
        <v/>
      </c>
      <c r="Q68" s="29">
        <f>IF(Saldo_Residual_Activo!P68&gt;0, ROUND(Saldo_Residual_Activo!P68 * 'Resumen_Cartera'!$Q68, 2), "")</f>
        <v/>
      </c>
      <c r="R68" s="29">
        <f>IF(Saldo_Residual_Activo!Q68&gt;0, ROUND(Saldo_Residual_Activo!Q68 * 'Resumen_Cartera'!$Q68, 2), "")</f>
        <v/>
      </c>
      <c r="S68" s="29">
        <f>IF(Saldo_Residual_Activo!R68&gt;0, ROUND(Saldo_Residual_Activo!R68 * 'Resumen_Cartera'!$Q68, 2), "")</f>
        <v/>
      </c>
      <c r="T68" s="29">
        <f>IF(Saldo_Residual_Activo!S68&gt;0, ROUND(Saldo_Residual_Activo!S68 * 'Resumen_Cartera'!$Q68, 2), "")</f>
        <v/>
      </c>
      <c r="U68" s="29">
        <f>SUM(I68:T68)</f>
        <v/>
      </c>
    </row>
    <row r="69">
      <c r="A69" s="20" t="inlineStr">
        <is>
          <t>0610-0003</t>
        </is>
      </c>
      <c r="B69" s="21" t="inlineStr">
        <is>
          <t>Minelaza</t>
        </is>
      </c>
      <c r="C69" s="21" t="inlineStr">
        <is>
          <t>Song Plus</t>
        </is>
      </c>
      <c r="D69" s="20" t="inlineStr">
        <is>
          <t>ACTIVO</t>
        </is>
      </c>
      <c r="E69" s="20" t="inlineStr">
        <is>
          <t>2026-04-15</t>
        </is>
      </c>
      <c r="F69" s="20" t="inlineStr">
        <is>
          <t>2029-04-15</t>
        </is>
      </c>
      <c r="G69" s="22" t="n">
        <v>36</v>
      </c>
      <c r="H69" s="23" t="n">
        <v>134275.86</v>
      </c>
      <c r="I69" s="23" t="inlineStr"/>
      <c r="J69" s="23" t="inlineStr"/>
      <c r="K69" s="23" t="inlineStr"/>
      <c r="L69" s="23">
        <f>ROUND('Resumen_Cartera'!$U69 * 'Resumen_Cartera'!$Q69, 2)</f>
        <v/>
      </c>
      <c r="M69" s="23">
        <f>IF(Saldo_Residual_Activo!L69&gt;0, ROUND(Saldo_Residual_Activo!L69 * 'Resumen_Cartera'!$Q69, 2), "")</f>
        <v/>
      </c>
      <c r="N69" s="23">
        <f>IF(Saldo_Residual_Activo!M69&gt;0, ROUND(Saldo_Residual_Activo!M69 * 'Resumen_Cartera'!$Q69, 2), "")</f>
        <v/>
      </c>
      <c r="O69" s="23">
        <f>IF(Saldo_Residual_Activo!N69&gt;0, ROUND(Saldo_Residual_Activo!N69 * 'Resumen_Cartera'!$Q69, 2), "")</f>
        <v/>
      </c>
      <c r="P69" s="23">
        <f>IF(Saldo_Residual_Activo!O69&gt;0, ROUND(Saldo_Residual_Activo!O69 * 'Resumen_Cartera'!$Q69, 2), "")</f>
        <v/>
      </c>
      <c r="Q69" s="23">
        <f>IF(Saldo_Residual_Activo!P69&gt;0, ROUND(Saldo_Residual_Activo!P69 * 'Resumen_Cartera'!$Q69, 2), "")</f>
        <v/>
      </c>
      <c r="R69" s="23">
        <f>IF(Saldo_Residual_Activo!Q69&gt;0, ROUND(Saldo_Residual_Activo!Q69 * 'Resumen_Cartera'!$Q69, 2), "")</f>
        <v/>
      </c>
      <c r="S69" s="23">
        <f>IF(Saldo_Residual_Activo!R69&gt;0, ROUND(Saldo_Residual_Activo!R69 * 'Resumen_Cartera'!$Q69, 2), "")</f>
        <v/>
      </c>
      <c r="T69" s="23">
        <f>IF(Saldo_Residual_Activo!S69&gt;0, ROUND(Saldo_Residual_Activo!S69 * 'Resumen_Cartera'!$Q69, 2), "")</f>
        <v/>
      </c>
      <c r="U69" s="23">
        <f>SUM(I69:T69)</f>
        <v/>
      </c>
    </row>
    <row r="70">
      <c r="A70" s="26" t="inlineStr">
        <is>
          <t>0612-0002</t>
        </is>
      </c>
      <c r="B70" s="27" t="inlineStr">
        <is>
          <t>Distribuidora Lopez Moctezuma Sa de Cv</t>
        </is>
      </c>
      <c r="C70" s="27" t="inlineStr">
        <is>
          <t>Ram 700 Tradesman</t>
        </is>
      </c>
      <c r="D70" s="26" t="inlineStr">
        <is>
          <t>ACTIVO</t>
        </is>
      </c>
      <c r="E70" s="26" t="inlineStr">
        <is>
          <t>2025-09-30</t>
        </is>
      </c>
      <c r="F70" s="26" t="inlineStr">
        <is>
          <t>2028-09-30</t>
        </is>
      </c>
      <c r="G70" s="28" t="n">
        <v>36</v>
      </c>
      <c r="H70" s="29" t="n">
        <v>58603.45</v>
      </c>
      <c r="I70" s="29">
        <f>ROUND(25236.05 * 'Resumen_Cartera'!$Q70, 2)</f>
        <v/>
      </c>
      <c r="J70" s="29">
        <f>IF(Saldo_Residual_Activo!I70&gt;0, ROUND(Saldo_Residual_Activo!I70 * 'Resumen_Cartera'!$Q70, 2), "")</f>
        <v/>
      </c>
      <c r="K70" s="29">
        <f>IF(Saldo_Residual_Activo!J70&gt;0, ROUND(Saldo_Residual_Activo!J70 * 'Resumen_Cartera'!$Q70, 2), "")</f>
        <v/>
      </c>
      <c r="L70" s="29">
        <f>IF(Saldo_Residual_Activo!K70&gt;0, ROUND(Saldo_Residual_Activo!K70 * 'Resumen_Cartera'!$Q70, 2), "")</f>
        <v/>
      </c>
      <c r="M70" s="29">
        <f>IF(Saldo_Residual_Activo!L70&gt;0, ROUND(Saldo_Residual_Activo!L70 * 'Resumen_Cartera'!$Q70, 2), "")</f>
        <v/>
      </c>
      <c r="N70" s="29">
        <f>IF(Saldo_Residual_Activo!M70&gt;0, ROUND(Saldo_Residual_Activo!M70 * 'Resumen_Cartera'!$Q70, 2), "")</f>
        <v/>
      </c>
      <c r="O70" s="29">
        <f>IF(Saldo_Residual_Activo!N70&gt;0, ROUND(Saldo_Residual_Activo!N70 * 'Resumen_Cartera'!$Q70, 2), "")</f>
        <v/>
      </c>
      <c r="P70" s="29">
        <f>IF(Saldo_Residual_Activo!O70&gt;0, ROUND(Saldo_Residual_Activo!O70 * 'Resumen_Cartera'!$Q70, 2), "")</f>
        <v/>
      </c>
      <c r="Q70" s="29">
        <f>IF(Saldo_Residual_Activo!P70&gt;0, ROUND(Saldo_Residual_Activo!P70 * 'Resumen_Cartera'!$Q70, 2), "")</f>
        <v/>
      </c>
      <c r="R70" s="29">
        <f>IF(Saldo_Residual_Activo!Q70&gt;0, ROUND(Saldo_Residual_Activo!Q70 * 'Resumen_Cartera'!$Q70, 2), "")</f>
        <v/>
      </c>
      <c r="S70" s="29">
        <f>IF(Saldo_Residual_Activo!R70&gt;0, ROUND(Saldo_Residual_Activo!R70 * 'Resumen_Cartera'!$Q70, 2), "")</f>
        <v/>
      </c>
      <c r="T70" s="29">
        <f>IF(Saldo_Residual_Activo!S70&gt;0, ROUND(Saldo_Residual_Activo!S70 * 'Resumen_Cartera'!$Q70, 2), "")</f>
        <v/>
      </c>
      <c r="U70" s="29">
        <f>SUM(I70:T70)</f>
        <v/>
      </c>
    </row>
    <row r="71">
      <c r="A71" s="20" t="inlineStr">
        <is>
          <t>0612-0003</t>
        </is>
      </c>
      <c r="B71" s="21" t="inlineStr">
        <is>
          <t>Distribuidora Lopez Moctezuma Sa de Cv</t>
        </is>
      </c>
      <c r="C71" s="21" t="inlineStr">
        <is>
          <t>Mitsubishi Xpander 2026</t>
        </is>
      </c>
      <c r="D71" s="20" t="inlineStr">
        <is>
          <t>ACTIVO</t>
        </is>
      </c>
      <c r="E71" s="20" t="inlineStr">
        <is>
          <t>2026-07-31</t>
        </is>
      </c>
      <c r="F71" s="20" t="inlineStr">
        <is>
          <t>2030-07-31</t>
        </is>
      </c>
      <c r="G71" s="22" t="n">
        <v>48</v>
      </c>
      <c r="H71" s="23" t="n">
        <v>39129.31</v>
      </c>
      <c r="I71" s="23" t="inlineStr"/>
      <c r="J71" s="23" t="inlineStr"/>
      <c r="K71" s="23" t="inlineStr"/>
      <c r="L71" s="23" t="inlineStr"/>
      <c r="M71" s="23" t="inlineStr"/>
      <c r="N71" s="23" t="inlineStr"/>
      <c r="O71" s="23">
        <f>ROUND('Resumen_Cartera'!$U71 * 'Resumen_Cartera'!$Q71, 2)</f>
        <v/>
      </c>
      <c r="P71" s="23">
        <f>IF(Saldo_Residual_Activo!O71&gt;0, ROUND(Saldo_Residual_Activo!O71 * 'Resumen_Cartera'!$Q71, 2), "")</f>
        <v/>
      </c>
      <c r="Q71" s="23">
        <f>IF(Saldo_Residual_Activo!P71&gt;0, ROUND(Saldo_Residual_Activo!P71 * 'Resumen_Cartera'!$Q71, 2), "")</f>
        <v/>
      </c>
      <c r="R71" s="23">
        <f>IF(Saldo_Residual_Activo!Q71&gt;0, ROUND(Saldo_Residual_Activo!Q71 * 'Resumen_Cartera'!$Q71, 2), "")</f>
        <v/>
      </c>
      <c r="S71" s="23">
        <f>IF(Saldo_Residual_Activo!R71&gt;0, ROUND(Saldo_Residual_Activo!R71 * 'Resumen_Cartera'!$Q71, 2), "")</f>
        <v/>
      </c>
      <c r="T71" s="23">
        <f>IF(Saldo_Residual_Activo!S71&gt;0, ROUND(Saldo_Residual_Activo!S71 * 'Resumen_Cartera'!$Q71, 2), "")</f>
        <v/>
      </c>
      <c r="U71" s="23">
        <f>SUM(I71:T71)</f>
        <v/>
      </c>
    </row>
    <row r="72">
      <c r="A72" s="26" t="inlineStr">
        <is>
          <t>0616-0002</t>
        </is>
      </c>
      <c r="B72" s="27" t="inlineStr">
        <is>
          <t>Commerce and Technology Connection Sas de Cv</t>
        </is>
      </c>
      <c r="C72" s="27" t="inlineStr">
        <is>
          <t>RAM 700 BIG HORN</t>
        </is>
      </c>
      <c r="D72" s="26" t="inlineStr">
        <is>
          <t>ACTIVO</t>
        </is>
      </c>
      <c r="E72" s="26" t="inlineStr">
        <is>
          <t>2024-02-16</t>
        </is>
      </c>
      <c r="F72" s="26" t="inlineStr">
        <is>
          <t>2027-02-16</t>
        </is>
      </c>
      <c r="G72" s="28" t="n">
        <v>36</v>
      </c>
      <c r="H72" s="29" t="n">
        <v>63775.86</v>
      </c>
      <c r="I72" s="29">
        <f>ROUND(41058.25 * 'Resumen_Cartera'!$Q72, 2)</f>
        <v/>
      </c>
      <c r="J72" s="29">
        <f>IF(Saldo_Residual_Activo!I72&gt;0, ROUND(Saldo_Residual_Activo!I72 * 'Resumen_Cartera'!$Q72, 2), "")</f>
        <v/>
      </c>
      <c r="K72" s="29">
        <f>IF(Saldo_Residual_Activo!J72&gt;0, ROUND(Saldo_Residual_Activo!J72 * 'Resumen_Cartera'!$Q72, 2), "")</f>
        <v/>
      </c>
      <c r="L72" s="29">
        <f>IF(Saldo_Residual_Activo!K72&gt;0, ROUND(Saldo_Residual_Activo!K72 * 'Resumen_Cartera'!$Q72, 2), "")</f>
        <v/>
      </c>
      <c r="M72" s="29">
        <f>IF(Saldo_Residual_Activo!L72&gt;0, ROUND(Saldo_Residual_Activo!L72 * 'Resumen_Cartera'!$Q72, 2), "")</f>
        <v/>
      </c>
      <c r="N72" s="29">
        <f>IF(Saldo_Residual_Activo!M72&gt;0, ROUND(Saldo_Residual_Activo!M72 * 'Resumen_Cartera'!$Q72, 2), "")</f>
        <v/>
      </c>
      <c r="O72" s="29">
        <f>IF(Saldo_Residual_Activo!N72&gt;0, ROUND(Saldo_Residual_Activo!N72 * 'Resumen_Cartera'!$Q72, 2), "")</f>
        <v/>
      </c>
      <c r="P72" s="29">
        <f>IF(Saldo_Residual_Activo!O72&gt;0, ROUND(Saldo_Residual_Activo!O72 * 'Resumen_Cartera'!$Q72, 2), "")</f>
        <v/>
      </c>
      <c r="Q72" s="29">
        <f>IF(Saldo_Residual_Activo!P72&gt;0, ROUND(Saldo_Residual_Activo!P72 * 'Resumen_Cartera'!$Q72, 2), "")</f>
        <v/>
      </c>
      <c r="R72" s="29">
        <f>IF(Saldo_Residual_Activo!Q72&gt;0, ROUND(Saldo_Residual_Activo!Q72 * 'Resumen_Cartera'!$Q72, 2), "")</f>
        <v/>
      </c>
      <c r="S72" s="29">
        <f>IF(Saldo_Residual_Activo!R72&gt;0, ROUND(Saldo_Residual_Activo!R72 * 'Resumen_Cartera'!$Q72, 2), "")</f>
        <v/>
      </c>
      <c r="T72" s="29">
        <f>IF(Saldo_Residual_Activo!S72&gt;0, ROUND(Saldo_Residual_Activo!S72 * 'Resumen_Cartera'!$Q72, 2), "")</f>
        <v/>
      </c>
      <c r="U72" s="29">
        <f>SUM(I72:T72)</f>
        <v/>
      </c>
    </row>
    <row r="73">
      <c r="A73" s="20" t="inlineStr">
        <is>
          <t>0616-0003</t>
        </is>
      </c>
      <c r="B73" s="21" t="inlineStr">
        <is>
          <t>Commerce and Technology Connection Sas de Cv</t>
        </is>
      </c>
      <c r="C73" s="21" t="inlineStr">
        <is>
          <t>FASTBACK</t>
        </is>
      </c>
      <c r="D73" s="20" t="inlineStr">
        <is>
          <t>ACTIVO</t>
        </is>
      </c>
      <c r="E73" s="20" t="inlineStr">
        <is>
          <t>2024-02-23</t>
        </is>
      </c>
      <c r="F73" s="20" t="inlineStr">
        <is>
          <t>2027-02-23</t>
        </is>
      </c>
      <c r="G73" s="22" t="n">
        <v>36</v>
      </c>
      <c r="H73" s="23" t="n">
        <v>84327.59</v>
      </c>
      <c r="I73" s="23">
        <f>ROUND(54315.53 * 'Resumen_Cartera'!$Q73, 2)</f>
        <v/>
      </c>
      <c r="J73" s="23">
        <f>IF(Saldo_Residual_Activo!I73&gt;0, ROUND(Saldo_Residual_Activo!I73 * 'Resumen_Cartera'!$Q73, 2), "")</f>
        <v/>
      </c>
      <c r="K73" s="23">
        <f>IF(Saldo_Residual_Activo!J73&gt;0, ROUND(Saldo_Residual_Activo!J73 * 'Resumen_Cartera'!$Q73, 2), "")</f>
        <v/>
      </c>
      <c r="L73" s="23">
        <f>IF(Saldo_Residual_Activo!K73&gt;0, ROUND(Saldo_Residual_Activo!K73 * 'Resumen_Cartera'!$Q73, 2), "")</f>
        <v/>
      </c>
      <c r="M73" s="23">
        <f>IF(Saldo_Residual_Activo!L73&gt;0, ROUND(Saldo_Residual_Activo!L73 * 'Resumen_Cartera'!$Q73, 2), "")</f>
        <v/>
      </c>
      <c r="N73" s="23">
        <f>IF(Saldo_Residual_Activo!M73&gt;0, ROUND(Saldo_Residual_Activo!M73 * 'Resumen_Cartera'!$Q73, 2), "")</f>
        <v/>
      </c>
      <c r="O73" s="23">
        <f>IF(Saldo_Residual_Activo!N73&gt;0, ROUND(Saldo_Residual_Activo!N73 * 'Resumen_Cartera'!$Q73, 2), "")</f>
        <v/>
      </c>
      <c r="P73" s="23">
        <f>IF(Saldo_Residual_Activo!O73&gt;0, ROUND(Saldo_Residual_Activo!O73 * 'Resumen_Cartera'!$Q73, 2), "")</f>
        <v/>
      </c>
      <c r="Q73" s="23">
        <f>IF(Saldo_Residual_Activo!P73&gt;0, ROUND(Saldo_Residual_Activo!P73 * 'Resumen_Cartera'!$Q73, 2), "")</f>
        <v/>
      </c>
      <c r="R73" s="23">
        <f>IF(Saldo_Residual_Activo!Q73&gt;0, ROUND(Saldo_Residual_Activo!Q73 * 'Resumen_Cartera'!$Q73, 2), "")</f>
        <v/>
      </c>
      <c r="S73" s="23">
        <f>IF(Saldo_Residual_Activo!R73&gt;0, ROUND(Saldo_Residual_Activo!R73 * 'Resumen_Cartera'!$Q73, 2), "")</f>
        <v/>
      </c>
      <c r="T73" s="23">
        <f>IF(Saldo_Residual_Activo!S73&gt;0, ROUND(Saldo_Residual_Activo!S73 * 'Resumen_Cartera'!$Q73, 2), "")</f>
        <v/>
      </c>
      <c r="U73" s="23">
        <f>SUM(I73:T73)</f>
        <v/>
      </c>
    </row>
    <row r="74">
      <c r="A74" s="26" t="inlineStr">
        <is>
          <t>0616-0004</t>
        </is>
      </c>
      <c r="B74" s="27" t="inlineStr">
        <is>
          <t>Commerce and Technology Connections Sas de Cv</t>
        </is>
      </c>
      <c r="C74" s="27" t="inlineStr">
        <is>
          <t>Argo</t>
        </is>
      </c>
      <c r="D74" s="26" t="inlineStr">
        <is>
          <t>ACTIVO</t>
        </is>
      </c>
      <c r="E74" s="26" t="inlineStr">
        <is>
          <t>2024-05-20</t>
        </is>
      </c>
      <c r="F74" s="26" t="inlineStr">
        <is>
          <t>2027-05-20</t>
        </is>
      </c>
      <c r="G74" s="28" t="n">
        <v>36</v>
      </c>
      <c r="H74" s="29" t="n">
        <v>29741.38</v>
      </c>
      <c r="I74" s="29">
        <f>ROUND(17131.24 * 'Resumen_Cartera'!$Q74, 2)</f>
        <v/>
      </c>
      <c r="J74" s="29">
        <f>IF(Saldo_Residual_Activo!I74&gt;0, ROUND(Saldo_Residual_Activo!I74 * 'Resumen_Cartera'!$Q74, 2), "")</f>
        <v/>
      </c>
      <c r="K74" s="29">
        <f>IF(Saldo_Residual_Activo!J74&gt;0, ROUND(Saldo_Residual_Activo!J74 * 'Resumen_Cartera'!$Q74, 2), "")</f>
        <v/>
      </c>
      <c r="L74" s="29">
        <f>IF(Saldo_Residual_Activo!K74&gt;0, ROUND(Saldo_Residual_Activo!K74 * 'Resumen_Cartera'!$Q74, 2), "")</f>
        <v/>
      </c>
      <c r="M74" s="29">
        <f>IF(Saldo_Residual_Activo!L74&gt;0, ROUND(Saldo_Residual_Activo!L74 * 'Resumen_Cartera'!$Q74, 2), "")</f>
        <v/>
      </c>
      <c r="N74" s="29">
        <f>IF(Saldo_Residual_Activo!M74&gt;0, ROUND(Saldo_Residual_Activo!M74 * 'Resumen_Cartera'!$Q74, 2), "")</f>
        <v/>
      </c>
      <c r="O74" s="29">
        <f>IF(Saldo_Residual_Activo!N74&gt;0, ROUND(Saldo_Residual_Activo!N74 * 'Resumen_Cartera'!$Q74, 2), "")</f>
        <v/>
      </c>
      <c r="P74" s="29">
        <f>IF(Saldo_Residual_Activo!O74&gt;0, ROUND(Saldo_Residual_Activo!O74 * 'Resumen_Cartera'!$Q74, 2), "")</f>
        <v/>
      </c>
      <c r="Q74" s="29">
        <f>IF(Saldo_Residual_Activo!P74&gt;0, ROUND(Saldo_Residual_Activo!P74 * 'Resumen_Cartera'!$Q74, 2), "")</f>
        <v/>
      </c>
      <c r="R74" s="29">
        <f>IF(Saldo_Residual_Activo!Q74&gt;0, ROUND(Saldo_Residual_Activo!Q74 * 'Resumen_Cartera'!$Q74, 2), "")</f>
        <v/>
      </c>
      <c r="S74" s="29">
        <f>IF(Saldo_Residual_Activo!R74&gt;0, ROUND(Saldo_Residual_Activo!R74 * 'Resumen_Cartera'!$Q74, 2), "")</f>
        <v/>
      </c>
      <c r="T74" s="29">
        <f>IF(Saldo_Residual_Activo!S74&gt;0, ROUND(Saldo_Residual_Activo!S74 * 'Resumen_Cartera'!$Q74, 2), "")</f>
        <v/>
      </c>
      <c r="U74" s="29">
        <f>SUM(I74:T74)</f>
        <v/>
      </c>
    </row>
    <row r="75">
      <c r="A75" s="20" t="inlineStr">
        <is>
          <t>0616-0005</t>
        </is>
      </c>
      <c r="B75" s="21" t="inlineStr">
        <is>
          <t>Commerce and Technology Connection Sas de Cv</t>
        </is>
      </c>
      <c r="C75" s="21" t="inlineStr">
        <is>
          <t>Journey GT</t>
        </is>
      </c>
      <c r="D75" s="20" t="inlineStr">
        <is>
          <t>ACTIVO</t>
        </is>
      </c>
      <c r="E75" s="20" t="inlineStr">
        <is>
          <t>2024-07-30</t>
        </is>
      </c>
      <c r="F75" s="20" t="inlineStr">
        <is>
          <t>2027-07-30</t>
        </is>
      </c>
      <c r="G75" s="22" t="n">
        <v>36</v>
      </c>
      <c r="H75" s="23" t="n">
        <v>113431.03</v>
      </c>
      <c r="I75" s="23">
        <f>ROUND(65076.6 * 'Resumen_Cartera'!$Q75, 2)</f>
        <v/>
      </c>
      <c r="J75" s="23">
        <f>IF(Saldo_Residual_Activo!I75&gt;0, ROUND(Saldo_Residual_Activo!I75 * 'Resumen_Cartera'!$Q75, 2), "")</f>
        <v/>
      </c>
      <c r="K75" s="23">
        <f>IF(Saldo_Residual_Activo!J75&gt;0, ROUND(Saldo_Residual_Activo!J75 * 'Resumen_Cartera'!$Q75, 2), "")</f>
        <v/>
      </c>
      <c r="L75" s="23">
        <f>IF(Saldo_Residual_Activo!K75&gt;0, ROUND(Saldo_Residual_Activo!K75 * 'Resumen_Cartera'!$Q75, 2), "")</f>
        <v/>
      </c>
      <c r="M75" s="23">
        <f>IF(Saldo_Residual_Activo!L75&gt;0, ROUND(Saldo_Residual_Activo!L75 * 'Resumen_Cartera'!$Q75, 2), "")</f>
        <v/>
      </c>
      <c r="N75" s="23">
        <f>IF(Saldo_Residual_Activo!M75&gt;0, ROUND(Saldo_Residual_Activo!M75 * 'Resumen_Cartera'!$Q75, 2), "")</f>
        <v/>
      </c>
      <c r="O75" s="23">
        <f>IF(Saldo_Residual_Activo!N75&gt;0, ROUND(Saldo_Residual_Activo!N75 * 'Resumen_Cartera'!$Q75, 2), "")</f>
        <v/>
      </c>
      <c r="P75" s="23">
        <f>IF(Saldo_Residual_Activo!O75&gt;0, ROUND(Saldo_Residual_Activo!O75 * 'Resumen_Cartera'!$Q75, 2), "")</f>
        <v/>
      </c>
      <c r="Q75" s="23">
        <f>IF(Saldo_Residual_Activo!P75&gt;0, ROUND(Saldo_Residual_Activo!P75 * 'Resumen_Cartera'!$Q75, 2), "")</f>
        <v/>
      </c>
      <c r="R75" s="23">
        <f>IF(Saldo_Residual_Activo!Q75&gt;0, ROUND(Saldo_Residual_Activo!Q75 * 'Resumen_Cartera'!$Q75, 2), "")</f>
        <v/>
      </c>
      <c r="S75" s="23">
        <f>IF(Saldo_Residual_Activo!R75&gt;0, ROUND(Saldo_Residual_Activo!R75 * 'Resumen_Cartera'!$Q75, 2), "")</f>
        <v/>
      </c>
      <c r="T75" s="23">
        <f>IF(Saldo_Residual_Activo!S75&gt;0, ROUND(Saldo_Residual_Activo!S75 * 'Resumen_Cartera'!$Q75, 2), "")</f>
        <v/>
      </c>
      <c r="U75" s="23">
        <f>SUM(I75:T75)</f>
        <v/>
      </c>
    </row>
    <row r="76">
      <c r="A76" s="26" t="inlineStr">
        <is>
          <t>0618-0001</t>
        </is>
      </c>
      <c r="B76" s="27" t="inlineStr">
        <is>
          <t>Juan Pablo Rodriguez Garcia</t>
        </is>
      </c>
      <c r="C76" s="27" t="inlineStr">
        <is>
          <t>JT MOJAVE</t>
        </is>
      </c>
      <c r="D76" s="26" t="inlineStr">
        <is>
          <t>ACTIVO</t>
        </is>
      </c>
      <c r="E76" s="26" t="inlineStr">
        <is>
          <t>2023-06-16</t>
        </is>
      </c>
      <c r="F76" s="26" t="inlineStr">
        <is>
          <t>2027-06-16</t>
        </is>
      </c>
      <c r="G76" s="28" t="n">
        <v>48</v>
      </c>
      <c r="H76" s="29" t="n">
        <v>253086.21</v>
      </c>
      <c r="I76" s="29">
        <f>ROUND(149028.92 * 'Resumen_Cartera'!$Q76, 2)</f>
        <v/>
      </c>
      <c r="J76" s="29">
        <f>IF(Saldo_Residual_Activo!I76&gt;0, ROUND(Saldo_Residual_Activo!I76 * 'Resumen_Cartera'!$Q76, 2), "")</f>
        <v/>
      </c>
      <c r="K76" s="29">
        <f>IF(Saldo_Residual_Activo!J76&gt;0, ROUND(Saldo_Residual_Activo!J76 * 'Resumen_Cartera'!$Q76, 2), "")</f>
        <v/>
      </c>
      <c r="L76" s="29">
        <f>IF(Saldo_Residual_Activo!K76&gt;0, ROUND(Saldo_Residual_Activo!K76 * 'Resumen_Cartera'!$Q76, 2), "")</f>
        <v/>
      </c>
      <c r="M76" s="29">
        <f>IF(Saldo_Residual_Activo!L76&gt;0, ROUND(Saldo_Residual_Activo!L76 * 'Resumen_Cartera'!$Q76, 2), "")</f>
        <v/>
      </c>
      <c r="N76" s="29">
        <f>IF(Saldo_Residual_Activo!M76&gt;0, ROUND(Saldo_Residual_Activo!M76 * 'Resumen_Cartera'!$Q76, 2), "")</f>
        <v/>
      </c>
      <c r="O76" s="29">
        <f>IF(Saldo_Residual_Activo!N76&gt;0, ROUND(Saldo_Residual_Activo!N76 * 'Resumen_Cartera'!$Q76, 2), "")</f>
        <v/>
      </c>
      <c r="P76" s="29">
        <f>IF(Saldo_Residual_Activo!O76&gt;0, ROUND(Saldo_Residual_Activo!O76 * 'Resumen_Cartera'!$Q76, 2), "")</f>
        <v/>
      </c>
      <c r="Q76" s="29">
        <f>IF(Saldo_Residual_Activo!P76&gt;0, ROUND(Saldo_Residual_Activo!P76 * 'Resumen_Cartera'!$Q76, 2), "")</f>
        <v/>
      </c>
      <c r="R76" s="29">
        <f>IF(Saldo_Residual_Activo!Q76&gt;0, ROUND(Saldo_Residual_Activo!Q76 * 'Resumen_Cartera'!$Q76, 2), "")</f>
        <v/>
      </c>
      <c r="S76" s="29">
        <f>IF(Saldo_Residual_Activo!R76&gt;0, ROUND(Saldo_Residual_Activo!R76 * 'Resumen_Cartera'!$Q76, 2), "")</f>
        <v/>
      </c>
      <c r="T76" s="29">
        <f>IF(Saldo_Residual_Activo!S76&gt;0, ROUND(Saldo_Residual_Activo!S76 * 'Resumen_Cartera'!$Q76, 2), "")</f>
        <v/>
      </c>
      <c r="U76" s="29">
        <f>SUM(I76:T76)</f>
        <v/>
      </c>
    </row>
    <row r="77">
      <c r="A77" s="20" t="inlineStr">
        <is>
          <t>0619-0002</t>
        </is>
      </c>
      <c r="B77" s="21" t="inlineStr">
        <is>
          <t>Horacio de la Vega Flores</t>
        </is>
      </c>
      <c r="C77" s="21" t="inlineStr">
        <is>
          <t>Bronco Sport</t>
        </is>
      </c>
      <c r="D77" s="20" t="inlineStr">
        <is>
          <t>ACTIVO</t>
        </is>
      </c>
      <c r="E77" s="20" t="inlineStr">
        <is>
          <t>2025-09-11</t>
        </is>
      </c>
      <c r="F77" s="20" t="inlineStr">
        <is>
          <t>2028-09-11</t>
        </is>
      </c>
      <c r="G77" s="22" t="n">
        <v>36</v>
      </c>
      <c r="H77" s="23" t="n">
        <v>67241.38</v>
      </c>
      <c r="I77" s="23">
        <f>ROUND(37499.83 * 'Resumen_Cartera'!$Q77, 2)</f>
        <v/>
      </c>
      <c r="J77" s="23">
        <f>IF(Saldo_Residual_Activo!I77&gt;0, ROUND(Saldo_Residual_Activo!I77 * 'Resumen_Cartera'!$Q77, 2), "")</f>
        <v/>
      </c>
      <c r="K77" s="23">
        <f>IF(Saldo_Residual_Activo!J77&gt;0, ROUND(Saldo_Residual_Activo!J77 * 'Resumen_Cartera'!$Q77, 2), "")</f>
        <v/>
      </c>
      <c r="L77" s="23">
        <f>IF(Saldo_Residual_Activo!K77&gt;0, ROUND(Saldo_Residual_Activo!K77 * 'Resumen_Cartera'!$Q77, 2), "")</f>
        <v/>
      </c>
      <c r="M77" s="23">
        <f>IF(Saldo_Residual_Activo!L77&gt;0, ROUND(Saldo_Residual_Activo!L77 * 'Resumen_Cartera'!$Q77, 2), "")</f>
        <v/>
      </c>
      <c r="N77" s="23">
        <f>IF(Saldo_Residual_Activo!M77&gt;0, ROUND(Saldo_Residual_Activo!M77 * 'Resumen_Cartera'!$Q77, 2), "")</f>
        <v/>
      </c>
      <c r="O77" s="23">
        <f>IF(Saldo_Residual_Activo!N77&gt;0, ROUND(Saldo_Residual_Activo!N77 * 'Resumen_Cartera'!$Q77, 2), "")</f>
        <v/>
      </c>
      <c r="P77" s="23">
        <f>IF(Saldo_Residual_Activo!O77&gt;0, ROUND(Saldo_Residual_Activo!O77 * 'Resumen_Cartera'!$Q77, 2), "")</f>
        <v/>
      </c>
      <c r="Q77" s="23">
        <f>IF(Saldo_Residual_Activo!P77&gt;0, ROUND(Saldo_Residual_Activo!P77 * 'Resumen_Cartera'!$Q77, 2), "")</f>
        <v/>
      </c>
      <c r="R77" s="23">
        <f>IF(Saldo_Residual_Activo!Q77&gt;0, ROUND(Saldo_Residual_Activo!Q77 * 'Resumen_Cartera'!$Q77, 2), "")</f>
        <v/>
      </c>
      <c r="S77" s="23">
        <f>IF(Saldo_Residual_Activo!R77&gt;0, ROUND(Saldo_Residual_Activo!R77 * 'Resumen_Cartera'!$Q77, 2), "")</f>
        <v/>
      </c>
      <c r="T77" s="23">
        <f>IF(Saldo_Residual_Activo!S77&gt;0, ROUND(Saldo_Residual_Activo!S77 * 'Resumen_Cartera'!$Q77, 2), "")</f>
        <v/>
      </c>
      <c r="U77" s="23">
        <f>SUM(I77:T77)</f>
        <v/>
      </c>
    </row>
    <row r="78">
      <c r="A78" s="26" t="inlineStr">
        <is>
          <t>0620-0001</t>
        </is>
      </c>
      <c r="B78" s="27" t="inlineStr">
        <is>
          <t>Desarrollos Romo Srl de Cv</t>
        </is>
      </c>
      <c r="C78" s="27" t="inlineStr">
        <is>
          <t>RAM 700 BIG HORN</t>
        </is>
      </c>
      <c r="D78" s="26" t="inlineStr">
        <is>
          <t>ACTIVO</t>
        </is>
      </c>
      <c r="E78" s="26" t="inlineStr">
        <is>
          <t>2023-07-20</t>
        </is>
      </c>
      <c r="F78" s="26" t="inlineStr">
        <is>
          <t>2027-07-20</t>
        </is>
      </c>
      <c r="G78" s="28" t="n">
        <v>48</v>
      </c>
      <c r="H78" s="29" t="n">
        <v>62051.72</v>
      </c>
      <c r="I78" s="29">
        <f>ROUND(33559.62 * 'Resumen_Cartera'!$Q78, 2)</f>
        <v/>
      </c>
      <c r="J78" s="29">
        <f>IF(Saldo_Residual_Activo!I78&gt;0, ROUND(Saldo_Residual_Activo!I78 * 'Resumen_Cartera'!$Q78, 2), "")</f>
        <v/>
      </c>
      <c r="K78" s="29">
        <f>IF(Saldo_Residual_Activo!J78&gt;0, ROUND(Saldo_Residual_Activo!J78 * 'Resumen_Cartera'!$Q78, 2), "")</f>
        <v/>
      </c>
      <c r="L78" s="29">
        <f>IF(Saldo_Residual_Activo!K78&gt;0, ROUND(Saldo_Residual_Activo!K78 * 'Resumen_Cartera'!$Q78, 2), "")</f>
        <v/>
      </c>
      <c r="M78" s="29">
        <f>IF(Saldo_Residual_Activo!L78&gt;0, ROUND(Saldo_Residual_Activo!L78 * 'Resumen_Cartera'!$Q78, 2), "")</f>
        <v/>
      </c>
      <c r="N78" s="29">
        <f>IF(Saldo_Residual_Activo!M78&gt;0, ROUND(Saldo_Residual_Activo!M78 * 'Resumen_Cartera'!$Q78, 2), "")</f>
        <v/>
      </c>
      <c r="O78" s="29">
        <f>IF(Saldo_Residual_Activo!N78&gt;0, ROUND(Saldo_Residual_Activo!N78 * 'Resumen_Cartera'!$Q78, 2), "")</f>
        <v/>
      </c>
      <c r="P78" s="29">
        <f>IF(Saldo_Residual_Activo!O78&gt;0, ROUND(Saldo_Residual_Activo!O78 * 'Resumen_Cartera'!$Q78, 2), "")</f>
        <v/>
      </c>
      <c r="Q78" s="29">
        <f>IF(Saldo_Residual_Activo!P78&gt;0, ROUND(Saldo_Residual_Activo!P78 * 'Resumen_Cartera'!$Q78, 2), "")</f>
        <v/>
      </c>
      <c r="R78" s="29">
        <f>IF(Saldo_Residual_Activo!Q78&gt;0, ROUND(Saldo_Residual_Activo!Q78 * 'Resumen_Cartera'!$Q78, 2), "")</f>
        <v/>
      </c>
      <c r="S78" s="29">
        <f>IF(Saldo_Residual_Activo!R78&gt;0, ROUND(Saldo_Residual_Activo!R78 * 'Resumen_Cartera'!$Q78, 2), "")</f>
        <v/>
      </c>
      <c r="T78" s="29">
        <f>IF(Saldo_Residual_Activo!S78&gt;0, ROUND(Saldo_Residual_Activo!S78 * 'Resumen_Cartera'!$Q78, 2), "")</f>
        <v/>
      </c>
      <c r="U78" s="29">
        <f>SUM(I78:T78)</f>
        <v/>
      </c>
    </row>
    <row r="79">
      <c r="A79" s="20" t="inlineStr">
        <is>
          <t>0620-0002</t>
        </is>
      </c>
      <c r="B79" s="21" t="inlineStr">
        <is>
          <t>Desarrollos Romo Srl de Cv</t>
        </is>
      </c>
      <c r="C79" s="21" t="inlineStr">
        <is>
          <t>RAM 700 BIG HORN</t>
        </is>
      </c>
      <c r="D79" s="20" t="inlineStr">
        <is>
          <t>ACTIVO</t>
        </is>
      </c>
      <c r="E79" s="20" t="inlineStr">
        <is>
          <t>2023-07-20</t>
        </is>
      </c>
      <c r="F79" s="20" t="inlineStr">
        <is>
          <t>2027-07-20</t>
        </is>
      </c>
      <c r="G79" s="22" t="n">
        <v>48</v>
      </c>
      <c r="H79" s="23" t="n">
        <v>62051.72</v>
      </c>
      <c r="I79" s="23">
        <f>ROUND(33559.62 * 'Resumen_Cartera'!$Q79, 2)</f>
        <v/>
      </c>
      <c r="J79" s="23">
        <f>IF(Saldo_Residual_Activo!I79&gt;0, ROUND(Saldo_Residual_Activo!I79 * 'Resumen_Cartera'!$Q79, 2), "")</f>
        <v/>
      </c>
      <c r="K79" s="23">
        <f>IF(Saldo_Residual_Activo!J79&gt;0, ROUND(Saldo_Residual_Activo!J79 * 'Resumen_Cartera'!$Q79, 2), "")</f>
        <v/>
      </c>
      <c r="L79" s="23">
        <f>IF(Saldo_Residual_Activo!K79&gt;0, ROUND(Saldo_Residual_Activo!K79 * 'Resumen_Cartera'!$Q79, 2), "")</f>
        <v/>
      </c>
      <c r="M79" s="23">
        <f>IF(Saldo_Residual_Activo!L79&gt;0, ROUND(Saldo_Residual_Activo!L79 * 'Resumen_Cartera'!$Q79, 2), "")</f>
        <v/>
      </c>
      <c r="N79" s="23">
        <f>IF(Saldo_Residual_Activo!M79&gt;0, ROUND(Saldo_Residual_Activo!M79 * 'Resumen_Cartera'!$Q79, 2), "")</f>
        <v/>
      </c>
      <c r="O79" s="23">
        <f>IF(Saldo_Residual_Activo!N79&gt;0, ROUND(Saldo_Residual_Activo!N79 * 'Resumen_Cartera'!$Q79, 2), "")</f>
        <v/>
      </c>
      <c r="P79" s="23">
        <f>IF(Saldo_Residual_Activo!O79&gt;0, ROUND(Saldo_Residual_Activo!O79 * 'Resumen_Cartera'!$Q79, 2), "")</f>
        <v/>
      </c>
      <c r="Q79" s="23">
        <f>IF(Saldo_Residual_Activo!P79&gt;0, ROUND(Saldo_Residual_Activo!P79 * 'Resumen_Cartera'!$Q79, 2), "")</f>
        <v/>
      </c>
      <c r="R79" s="23">
        <f>IF(Saldo_Residual_Activo!Q79&gt;0, ROUND(Saldo_Residual_Activo!Q79 * 'Resumen_Cartera'!$Q79, 2), "")</f>
        <v/>
      </c>
      <c r="S79" s="23">
        <f>IF(Saldo_Residual_Activo!R79&gt;0, ROUND(Saldo_Residual_Activo!R79 * 'Resumen_Cartera'!$Q79, 2), "")</f>
        <v/>
      </c>
      <c r="T79" s="23">
        <f>IF(Saldo_Residual_Activo!S79&gt;0, ROUND(Saldo_Residual_Activo!S79 * 'Resumen_Cartera'!$Q79, 2), "")</f>
        <v/>
      </c>
      <c r="U79" s="23">
        <f>SUM(I79:T79)</f>
        <v/>
      </c>
    </row>
    <row r="80">
      <c r="A80" s="26" t="inlineStr">
        <is>
          <t>0621-0008</t>
        </is>
      </c>
      <c r="B80" s="27" t="inlineStr">
        <is>
          <t>Luis Alberto Ponce Ruiz</t>
        </is>
      </c>
      <c r="C80" s="27" t="inlineStr">
        <is>
          <t>Hilux</t>
        </is>
      </c>
      <c r="D80" s="26" t="inlineStr">
        <is>
          <t>ACTIVO</t>
        </is>
      </c>
      <c r="E80" s="26" t="inlineStr">
        <is>
          <t>2025-10-30</t>
        </is>
      </c>
      <c r="F80" s="26" t="inlineStr">
        <is>
          <t>2026-10-30</t>
        </is>
      </c>
      <c r="G80" s="28" t="n">
        <v>12</v>
      </c>
      <c r="H80" s="29" t="n">
        <v>42793.1</v>
      </c>
      <c r="I80" s="29">
        <f>ROUND(34512.02 * 'Resumen_Cartera'!$Q80, 2)</f>
        <v/>
      </c>
      <c r="J80" s="29">
        <f>IF(Saldo_Residual_Activo!I80&gt;0, ROUND(Saldo_Residual_Activo!I80 * 'Resumen_Cartera'!$Q80, 2), "")</f>
        <v/>
      </c>
      <c r="K80" s="29">
        <f>IF(Saldo_Residual_Activo!J80&gt;0, ROUND(Saldo_Residual_Activo!J80 * 'Resumen_Cartera'!$Q80, 2), "")</f>
        <v/>
      </c>
      <c r="L80" s="29">
        <f>IF(Saldo_Residual_Activo!K80&gt;0, ROUND(Saldo_Residual_Activo!K80 * 'Resumen_Cartera'!$Q80, 2), "")</f>
        <v/>
      </c>
      <c r="M80" s="29">
        <f>IF(Saldo_Residual_Activo!L80&gt;0, ROUND(Saldo_Residual_Activo!L80 * 'Resumen_Cartera'!$Q80, 2), "")</f>
        <v/>
      </c>
      <c r="N80" s="29">
        <f>IF(Saldo_Residual_Activo!M80&gt;0, ROUND(Saldo_Residual_Activo!M80 * 'Resumen_Cartera'!$Q80, 2), "")</f>
        <v/>
      </c>
      <c r="O80" s="29">
        <f>IF(Saldo_Residual_Activo!N80&gt;0, ROUND(Saldo_Residual_Activo!N80 * 'Resumen_Cartera'!$Q80, 2), "")</f>
        <v/>
      </c>
      <c r="P80" s="29">
        <f>IF(Saldo_Residual_Activo!O80&gt;0, ROUND(Saldo_Residual_Activo!O80 * 'Resumen_Cartera'!$Q80, 2), "")</f>
        <v/>
      </c>
      <c r="Q80" s="29">
        <f>IF(Saldo_Residual_Activo!P80&gt;0, ROUND(Saldo_Residual_Activo!P80 * 'Resumen_Cartera'!$Q80, 2), "")</f>
        <v/>
      </c>
      <c r="R80" s="29" t="inlineStr"/>
      <c r="S80" s="29" t="inlineStr"/>
      <c r="T80" s="29" t="inlineStr"/>
      <c r="U80" s="29">
        <f>SUM(I80:T80)</f>
        <v/>
      </c>
    </row>
    <row r="81">
      <c r="A81" s="20" t="inlineStr">
        <is>
          <t>0623-0001</t>
        </is>
      </c>
      <c r="B81" s="21" t="inlineStr">
        <is>
          <t>Seguridad y Automatismos Profesionales de Occidente S de SRL de Cv</t>
        </is>
      </c>
      <c r="C81" s="21" t="inlineStr">
        <is>
          <t>RAM 700 BIG HORN</t>
        </is>
      </c>
      <c r="D81" s="20" t="inlineStr">
        <is>
          <t>ACTIVO</t>
        </is>
      </c>
      <c r="E81" s="20" t="inlineStr">
        <is>
          <t>2023-07-31</t>
        </is>
      </c>
      <c r="F81" s="20" t="inlineStr">
        <is>
          <t>2027-07-31</t>
        </is>
      </c>
      <c r="G81" s="22" t="n">
        <v>48</v>
      </c>
      <c r="H81" s="23" t="n">
        <v>62913.79</v>
      </c>
      <c r="I81" s="23">
        <f>ROUND(35428.26 * 'Resumen_Cartera'!$Q81, 2)</f>
        <v/>
      </c>
      <c r="J81" s="23">
        <f>IF(Saldo_Residual_Activo!I81&gt;0, ROUND(Saldo_Residual_Activo!I81 * 'Resumen_Cartera'!$Q81, 2), "")</f>
        <v/>
      </c>
      <c r="K81" s="23">
        <f>IF(Saldo_Residual_Activo!J81&gt;0, ROUND(Saldo_Residual_Activo!J81 * 'Resumen_Cartera'!$Q81, 2), "")</f>
        <v/>
      </c>
      <c r="L81" s="23">
        <f>IF(Saldo_Residual_Activo!K81&gt;0, ROUND(Saldo_Residual_Activo!K81 * 'Resumen_Cartera'!$Q81, 2), "")</f>
        <v/>
      </c>
      <c r="M81" s="23">
        <f>IF(Saldo_Residual_Activo!L81&gt;0, ROUND(Saldo_Residual_Activo!L81 * 'Resumen_Cartera'!$Q81, 2), "")</f>
        <v/>
      </c>
      <c r="N81" s="23">
        <f>IF(Saldo_Residual_Activo!M81&gt;0, ROUND(Saldo_Residual_Activo!M81 * 'Resumen_Cartera'!$Q81, 2), "")</f>
        <v/>
      </c>
      <c r="O81" s="23">
        <f>IF(Saldo_Residual_Activo!N81&gt;0, ROUND(Saldo_Residual_Activo!N81 * 'Resumen_Cartera'!$Q81, 2), "")</f>
        <v/>
      </c>
      <c r="P81" s="23">
        <f>IF(Saldo_Residual_Activo!O81&gt;0, ROUND(Saldo_Residual_Activo!O81 * 'Resumen_Cartera'!$Q81, 2), "")</f>
        <v/>
      </c>
      <c r="Q81" s="23">
        <f>IF(Saldo_Residual_Activo!P81&gt;0, ROUND(Saldo_Residual_Activo!P81 * 'Resumen_Cartera'!$Q81, 2), "")</f>
        <v/>
      </c>
      <c r="R81" s="23">
        <f>IF(Saldo_Residual_Activo!Q81&gt;0, ROUND(Saldo_Residual_Activo!Q81 * 'Resumen_Cartera'!$Q81, 2), "")</f>
        <v/>
      </c>
      <c r="S81" s="23">
        <f>IF(Saldo_Residual_Activo!R81&gt;0, ROUND(Saldo_Residual_Activo!R81 * 'Resumen_Cartera'!$Q81, 2), "")</f>
        <v/>
      </c>
      <c r="T81" s="23">
        <f>IF(Saldo_Residual_Activo!S81&gt;0, ROUND(Saldo_Residual_Activo!S81 * 'Resumen_Cartera'!$Q81, 2), "")</f>
        <v/>
      </c>
      <c r="U81" s="23">
        <f>SUM(I81:T81)</f>
        <v/>
      </c>
    </row>
    <row r="82">
      <c r="A82" s="26" t="inlineStr">
        <is>
          <t>0626-0001</t>
        </is>
      </c>
      <c r="B82" s="27" t="inlineStr">
        <is>
          <t>Hugo Ceja Moreno</t>
        </is>
      </c>
      <c r="C82" s="27" t="inlineStr">
        <is>
          <t>JT MOJAVE</t>
        </is>
      </c>
      <c r="D82" s="26" t="inlineStr">
        <is>
          <t>ACTIVO</t>
        </is>
      </c>
      <c r="E82" s="26" t="inlineStr">
        <is>
          <t>2023-08-18</t>
        </is>
      </c>
      <c r="F82" s="26" t="inlineStr">
        <is>
          <t>2027-08-18</t>
        </is>
      </c>
      <c r="G82" s="28" t="n">
        <v>48</v>
      </c>
      <c r="H82" s="29" t="n">
        <v>99301.72</v>
      </c>
      <c r="I82" s="29">
        <f>ROUND(54194.0 * 'Resumen_Cartera'!$Q82, 2)</f>
        <v/>
      </c>
      <c r="J82" s="29">
        <f>IF(Saldo_Residual_Activo!I82&gt;0, ROUND(Saldo_Residual_Activo!I82 * 'Resumen_Cartera'!$Q82, 2), "")</f>
        <v/>
      </c>
      <c r="K82" s="29">
        <f>IF(Saldo_Residual_Activo!J82&gt;0, ROUND(Saldo_Residual_Activo!J82 * 'Resumen_Cartera'!$Q82, 2), "")</f>
        <v/>
      </c>
      <c r="L82" s="29">
        <f>IF(Saldo_Residual_Activo!K82&gt;0, ROUND(Saldo_Residual_Activo!K82 * 'Resumen_Cartera'!$Q82, 2), "")</f>
        <v/>
      </c>
      <c r="M82" s="29">
        <f>IF(Saldo_Residual_Activo!L82&gt;0, ROUND(Saldo_Residual_Activo!L82 * 'Resumen_Cartera'!$Q82, 2), "")</f>
        <v/>
      </c>
      <c r="N82" s="29">
        <f>IF(Saldo_Residual_Activo!M82&gt;0, ROUND(Saldo_Residual_Activo!M82 * 'Resumen_Cartera'!$Q82, 2), "")</f>
        <v/>
      </c>
      <c r="O82" s="29">
        <f>IF(Saldo_Residual_Activo!N82&gt;0, ROUND(Saldo_Residual_Activo!N82 * 'Resumen_Cartera'!$Q82, 2), "")</f>
        <v/>
      </c>
      <c r="P82" s="29">
        <f>IF(Saldo_Residual_Activo!O82&gt;0, ROUND(Saldo_Residual_Activo!O82 * 'Resumen_Cartera'!$Q82, 2), "")</f>
        <v/>
      </c>
      <c r="Q82" s="29">
        <f>IF(Saldo_Residual_Activo!P82&gt;0, ROUND(Saldo_Residual_Activo!P82 * 'Resumen_Cartera'!$Q82, 2), "")</f>
        <v/>
      </c>
      <c r="R82" s="29">
        <f>IF(Saldo_Residual_Activo!Q82&gt;0, ROUND(Saldo_Residual_Activo!Q82 * 'Resumen_Cartera'!$Q82, 2), "")</f>
        <v/>
      </c>
      <c r="S82" s="29">
        <f>IF(Saldo_Residual_Activo!R82&gt;0, ROUND(Saldo_Residual_Activo!R82 * 'Resumen_Cartera'!$Q82, 2), "")</f>
        <v/>
      </c>
      <c r="T82" s="29">
        <f>IF(Saldo_Residual_Activo!S82&gt;0, ROUND(Saldo_Residual_Activo!S82 * 'Resumen_Cartera'!$Q82, 2), "")</f>
        <v/>
      </c>
      <c r="U82" s="29">
        <f>SUM(I82:T82)</f>
        <v/>
      </c>
    </row>
    <row r="83">
      <c r="A83" s="20" t="inlineStr">
        <is>
          <t>0632-0004</t>
        </is>
      </c>
      <c r="B83" s="21" t="inlineStr">
        <is>
          <t>Art &amp; Sourcing Sa de Cv</t>
        </is>
      </c>
      <c r="C83" s="21" t="inlineStr">
        <is>
          <t>Ram 700 Tradesman</t>
        </is>
      </c>
      <c r="D83" s="20" t="inlineStr">
        <is>
          <t>ACTIVO</t>
        </is>
      </c>
      <c r="E83" s="20" t="inlineStr">
        <is>
          <t>2025-05-15</t>
        </is>
      </c>
      <c r="F83" s="20" t="inlineStr">
        <is>
          <t>2029-05-15</t>
        </is>
      </c>
      <c r="G83" s="22" t="n">
        <v>48</v>
      </c>
      <c r="H83" s="23" t="n">
        <v>31801.72</v>
      </c>
      <c r="I83" s="23">
        <f>ROUND(10662.19 * 'Resumen_Cartera'!$Q83, 2)</f>
        <v/>
      </c>
      <c r="J83" s="23">
        <f>IF(Saldo_Residual_Activo!I83&gt;0, ROUND(Saldo_Residual_Activo!I83 * 'Resumen_Cartera'!$Q83, 2), "")</f>
        <v/>
      </c>
      <c r="K83" s="23">
        <f>IF(Saldo_Residual_Activo!J83&gt;0, ROUND(Saldo_Residual_Activo!J83 * 'Resumen_Cartera'!$Q83, 2), "")</f>
        <v/>
      </c>
      <c r="L83" s="23">
        <f>IF(Saldo_Residual_Activo!K83&gt;0, ROUND(Saldo_Residual_Activo!K83 * 'Resumen_Cartera'!$Q83, 2), "")</f>
        <v/>
      </c>
      <c r="M83" s="23">
        <f>IF(Saldo_Residual_Activo!L83&gt;0, ROUND(Saldo_Residual_Activo!L83 * 'Resumen_Cartera'!$Q83, 2), "")</f>
        <v/>
      </c>
      <c r="N83" s="23">
        <f>IF(Saldo_Residual_Activo!M83&gt;0, ROUND(Saldo_Residual_Activo!M83 * 'Resumen_Cartera'!$Q83, 2), "")</f>
        <v/>
      </c>
      <c r="O83" s="23">
        <f>IF(Saldo_Residual_Activo!N83&gt;0, ROUND(Saldo_Residual_Activo!N83 * 'Resumen_Cartera'!$Q83, 2), "")</f>
        <v/>
      </c>
      <c r="P83" s="23">
        <f>IF(Saldo_Residual_Activo!O83&gt;0, ROUND(Saldo_Residual_Activo!O83 * 'Resumen_Cartera'!$Q83, 2), "")</f>
        <v/>
      </c>
      <c r="Q83" s="23">
        <f>IF(Saldo_Residual_Activo!P83&gt;0, ROUND(Saldo_Residual_Activo!P83 * 'Resumen_Cartera'!$Q83, 2), "")</f>
        <v/>
      </c>
      <c r="R83" s="23">
        <f>IF(Saldo_Residual_Activo!Q83&gt;0, ROUND(Saldo_Residual_Activo!Q83 * 'Resumen_Cartera'!$Q83, 2), "")</f>
        <v/>
      </c>
      <c r="S83" s="23">
        <f>IF(Saldo_Residual_Activo!R83&gt;0, ROUND(Saldo_Residual_Activo!R83 * 'Resumen_Cartera'!$Q83, 2), "")</f>
        <v/>
      </c>
      <c r="T83" s="23">
        <f>IF(Saldo_Residual_Activo!S83&gt;0, ROUND(Saldo_Residual_Activo!S83 * 'Resumen_Cartera'!$Q83, 2), "")</f>
        <v/>
      </c>
      <c r="U83" s="23">
        <f>SUM(I83:T83)</f>
        <v/>
      </c>
    </row>
    <row r="84">
      <c r="A84" s="26" t="inlineStr">
        <is>
          <t>0632-0005</t>
        </is>
      </c>
      <c r="B84" s="27" t="inlineStr">
        <is>
          <t>Art &amp; Sourcing Sa de Cv</t>
        </is>
      </c>
      <c r="C84" s="27" t="inlineStr">
        <is>
          <t>Ram 700</t>
        </is>
      </c>
      <c r="D84" s="26" t="inlineStr">
        <is>
          <t>ACTIVO</t>
        </is>
      </c>
      <c r="E84" s="26" t="inlineStr">
        <is>
          <t>2025-11-25</t>
        </is>
      </c>
      <c r="F84" s="26" t="inlineStr">
        <is>
          <t>2027-11-25</t>
        </is>
      </c>
      <c r="G84" s="28" t="n">
        <v>24</v>
      </c>
      <c r="H84" s="29" t="n">
        <v>61189.66</v>
      </c>
      <c r="I84" s="29">
        <f>ROUND(34704.82 * 'Resumen_Cartera'!$Q84, 2)</f>
        <v/>
      </c>
      <c r="J84" s="29">
        <f>IF(Saldo_Residual_Activo!I84&gt;0, ROUND(Saldo_Residual_Activo!I84 * 'Resumen_Cartera'!$Q84, 2), "")</f>
        <v/>
      </c>
      <c r="K84" s="29">
        <f>IF(Saldo_Residual_Activo!J84&gt;0, ROUND(Saldo_Residual_Activo!J84 * 'Resumen_Cartera'!$Q84, 2), "")</f>
        <v/>
      </c>
      <c r="L84" s="29">
        <f>IF(Saldo_Residual_Activo!K84&gt;0, ROUND(Saldo_Residual_Activo!K84 * 'Resumen_Cartera'!$Q84, 2), "")</f>
        <v/>
      </c>
      <c r="M84" s="29">
        <f>IF(Saldo_Residual_Activo!L84&gt;0, ROUND(Saldo_Residual_Activo!L84 * 'Resumen_Cartera'!$Q84, 2), "")</f>
        <v/>
      </c>
      <c r="N84" s="29">
        <f>IF(Saldo_Residual_Activo!M84&gt;0, ROUND(Saldo_Residual_Activo!M84 * 'Resumen_Cartera'!$Q84, 2), "")</f>
        <v/>
      </c>
      <c r="O84" s="29">
        <f>IF(Saldo_Residual_Activo!N84&gt;0, ROUND(Saldo_Residual_Activo!N84 * 'Resumen_Cartera'!$Q84, 2), "")</f>
        <v/>
      </c>
      <c r="P84" s="29">
        <f>IF(Saldo_Residual_Activo!O84&gt;0, ROUND(Saldo_Residual_Activo!O84 * 'Resumen_Cartera'!$Q84, 2), "")</f>
        <v/>
      </c>
      <c r="Q84" s="29">
        <f>IF(Saldo_Residual_Activo!P84&gt;0, ROUND(Saldo_Residual_Activo!P84 * 'Resumen_Cartera'!$Q84, 2), "")</f>
        <v/>
      </c>
      <c r="R84" s="29">
        <f>IF(Saldo_Residual_Activo!Q84&gt;0, ROUND(Saldo_Residual_Activo!Q84 * 'Resumen_Cartera'!$Q84, 2), "")</f>
        <v/>
      </c>
      <c r="S84" s="29">
        <f>IF(Saldo_Residual_Activo!R84&gt;0, ROUND(Saldo_Residual_Activo!R84 * 'Resumen_Cartera'!$Q84, 2), "")</f>
        <v/>
      </c>
      <c r="T84" s="29">
        <f>IF(Saldo_Residual_Activo!S84&gt;0, ROUND(Saldo_Residual_Activo!S84 * 'Resumen_Cartera'!$Q84, 2), "")</f>
        <v/>
      </c>
      <c r="U84" s="29">
        <f>SUM(I84:T84)</f>
        <v/>
      </c>
    </row>
    <row r="85">
      <c r="A85" s="20" t="inlineStr">
        <is>
          <t>0632-0006</t>
        </is>
      </c>
      <c r="B85" s="21" t="inlineStr">
        <is>
          <t>Art &amp; Sourcing Sa de Cv</t>
        </is>
      </c>
      <c r="C85" s="21" t="inlineStr">
        <is>
          <t>Mirage</t>
        </is>
      </c>
      <c r="D85" s="20" t="inlineStr">
        <is>
          <t>ACTIVO</t>
        </is>
      </c>
      <c r="E85" s="20" t="inlineStr">
        <is>
          <t>2025-11-25</t>
        </is>
      </c>
      <c r="F85" s="20" t="inlineStr">
        <is>
          <t>2027-11-25</t>
        </is>
      </c>
      <c r="G85" s="22" t="n">
        <v>24</v>
      </c>
      <c r="H85" s="23" t="n">
        <v>51638.28</v>
      </c>
      <c r="I85" s="23">
        <f>ROUND(29326.06 * 'Resumen_Cartera'!$Q85, 2)</f>
        <v/>
      </c>
      <c r="J85" s="23">
        <f>IF(Saldo_Residual_Activo!I85&gt;0, ROUND(Saldo_Residual_Activo!I85 * 'Resumen_Cartera'!$Q85, 2), "")</f>
        <v/>
      </c>
      <c r="K85" s="23">
        <f>IF(Saldo_Residual_Activo!J85&gt;0, ROUND(Saldo_Residual_Activo!J85 * 'Resumen_Cartera'!$Q85, 2), "")</f>
        <v/>
      </c>
      <c r="L85" s="23">
        <f>IF(Saldo_Residual_Activo!K85&gt;0, ROUND(Saldo_Residual_Activo!K85 * 'Resumen_Cartera'!$Q85, 2), "")</f>
        <v/>
      </c>
      <c r="M85" s="23">
        <f>IF(Saldo_Residual_Activo!L85&gt;0, ROUND(Saldo_Residual_Activo!L85 * 'Resumen_Cartera'!$Q85, 2), "")</f>
        <v/>
      </c>
      <c r="N85" s="23">
        <f>IF(Saldo_Residual_Activo!M85&gt;0, ROUND(Saldo_Residual_Activo!M85 * 'Resumen_Cartera'!$Q85, 2), "")</f>
        <v/>
      </c>
      <c r="O85" s="23">
        <f>IF(Saldo_Residual_Activo!N85&gt;0, ROUND(Saldo_Residual_Activo!N85 * 'Resumen_Cartera'!$Q85, 2), "")</f>
        <v/>
      </c>
      <c r="P85" s="23">
        <f>IF(Saldo_Residual_Activo!O85&gt;0, ROUND(Saldo_Residual_Activo!O85 * 'Resumen_Cartera'!$Q85, 2), "")</f>
        <v/>
      </c>
      <c r="Q85" s="23">
        <f>IF(Saldo_Residual_Activo!P85&gt;0, ROUND(Saldo_Residual_Activo!P85 * 'Resumen_Cartera'!$Q85, 2), "")</f>
        <v/>
      </c>
      <c r="R85" s="23">
        <f>IF(Saldo_Residual_Activo!Q85&gt;0, ROUND(Saldo_Residual_Activo!Q85 * 'Resumen_Cartera'!$Q85, 2), "")</f>
        <v/>
      </c>
      <c r="S85" s="23">
        <f>IF(Saldo_Residual_Activo!R85&gt;0, ROUND(Saldo_Residual_Activo!R85 * 'Resumen_Cartera'!$Q85, 2), "")</f>
        <v/>
      </c>
      <c r="T85" s="23">
        <f>IF(Saldo_Residual_Activo!S85&gt;0, ROUND(Saldo_Residual_Activo!S85 * 'Resumen_Cartera'!$Q85, 2), "")</f>
        <v/>
      </c>
      <c r="U85" s="23">
        <f>SUM(I85:T85)</f>
        <v/>
      </c>
    </row>
    <row r="86">
      <c r="A86" s="26" t="inlineStr">
        <is>
          <t>0632-0007</t>
        </is>
      </c>
      <c r="B86" s="27" t="inlineStr">
        <is>
          <t>Art &amp; Sourcing Sa de Cv</t>
        </is>
      </c>
      <c r="C86" s="27" t="inlineStr">
        <is>
          <t>JAC Camión X350 2026</t>
        </is>
      </c>
      <c r="D86" s="26" t="inlineStr">
        <is>
          <t>ACTIVO</t>
        </is>
      </c>
      <c r="E86" s="26" t="inlineStr">
        <is>
          <t>2026-08-24</t>
        </is>
      </c>
      <c r="F86" s="26" t="inlineStr">
        <is>
          <t>2028-08-24</t>
        </is>
      </c>
      <c r="G86" s="28" t="n">
        <v>24</v>
      </c>
      <c r="H86" s="29" t="n">
        <v>104310.34</v>
      </c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>
        <f>ROUND('Resumen_Cartera'!$U86 * 'Resumen_Cartera'!$Q86, 2)</f>
        <v/>
      </c>
      <c r="Q86" s="29">
        <f>IF(Saldo_Residual_Activo!P86&gt;0, ROUND(Saldo_Residual_Activo!P86 * 'Resumen_Cartera'!$Q86, 2), "")</f>
        <v/>
      </c>
      <c r="R86" s="29">
        <f>IF(Saldo_Residual_Activo!Q86&gt;0, ROUND(Saldo_Residual_Activo!Q86 * 'Resumen_Cartera'!$Q86, 2), "")</f>
        <v/>
      </c>
      <c r="S86" s="29">
        <f>IF(Saldo_Residual_Activo!R86&gt;0, ROUND(Saldo_Residual_Activo!R86 * 'Resumen_Cartera'!$Q86, 2), "")</f>
        <v/>
      </c>
      <c r="T86" s="29">
        <f>IF(Saldo_Residual_Activo!S86&gt;0, ROUND(Saldo_Residual_Activo!S86 * 'Resumen_Cartera'!$Q86, 2), "")</f>
        <v/>
      </c>
      <c r="U86" s="29">
        <f>SUM(I86:T86)</f>
        <v/>
      </c>
    </row>
    <row r="87">
      <c r="A87" s="20" t="inlineStr">
        <is>
          <t>0634-0001</t>
        </is>
      </c>
      <c r="B87" s="21" t="inlineStr">
        <is>
          <t>Jose de Jesus Vergara Rivera</t>
        </is>
      </c>
      <c r="C87" s="21" t="inlineStr">
        <is>
          <t>NP 300 Chasis Cabina TDI</t>
        </is>
      </c>
      <c r="D87" s="20" t="inlineStr">
        <is>
          <t>ACTIVO</t>
        </is>
      </c>
      <c r="E87" s="20" t="inlineStr">
        <is>
          <t>2023-09-28</t>
        </is>
      </c>
      <c r="F87" s="20" t="inlineStr">
        <is>
          <t>2027-09-28</t>
        </is>
      </c>
      <c r="G87" s="22" t="n">
        <v>48</v>
      </c>
      <c r="H87" s="23" t="n">
        <v>76706.89999999999</v>
      </c>
      <c r="I87" s="23">
        <f>ROUND(41126.7 * 'Resumen_Cartera'!$Q87, 2)</f>
        <v/>
      </c>
      <c r="J87" s="23">
        <f>IF(Saldo_Residual_Activo!I87&gt;0, ROUND(Saldo_Residual_Activo!I87 * 'Resumen_Cartera'!$Q87, 2), "")</f>
        <v/>
      </c>
      <c r="K87" s="23">
        <f>IF(Saldo_Residual_Activo!J87&gt;0, ROUND(Saldo_Residual_Activo!J87 * 'Resumen_Cartera'!$Q87, 2), "")</f>
        <v/>
      </c>
      <c r="L87" s="23">
        <f>IF(Saldo_Residual_Activo!K87&gt;0, ROUND(Saldo_Residual_Activo!K87 * 'Resumen_Cartera'!$Q87, 2), "")</f>
        <v/>
      </c>
      <c r="M87" s="23">
        <f>IF(Saldo_Residual_Activo!L87&gt;0, ROUND(Saldo_Residual_Activo!L87 * 'Resumen_Cartera'!$Q87, 2), "")</f>
        <v/>
      </c>
      <c r="N87" s="23">
        <f>IF(Saldo_Residual_Activo!M87&gt;0, ROUND(Saldo_Residual_Activo!M87 * 'Resumen_Cartera'!$Q87, 2), "")</f>
        <v/>
      </c>
      <c r="O87" s="23">
        <f>IF(Saldo_Residual_Activo!N87&gt;0, ROUND(Saldo_Residual_Activo!N87 * 'Resumen_Cartera'!$Q87, 2), "")</f>
        <v/>
      </c>
      <c r="P87" s="23">
        <f>IF(Saldo_Residual_Activo!O87&gt;0, ROUND(Saldo_Residual_Activo!O87 * 'Resumen_Cartera'!$Q87, 2), "")</f>
        <v/>
      </c>
      <c r="Q87" s="23">
        <f>IF(Saldo_Residual_Activo!P87&gt;0, ROUND(Saldo_Residual_Activo!P87 * 'Resumen_Cartera'!$Q87, 2), "")</f>
        <v/>
      </c>
      <c r="R87" s="23">
        <f>IF(Saldo_Residual_Activo!Q87&gt;0, ROUND(Saldo_Residual_Activo!Q87 * 'Resumen_Cartera'!$Q87, 2), "")</f>
        <v/>
      </c>
      <c r="S87" s="23">
        <f>IF(Saldo_Residual_Activo!R87&gt;0, ROUND(Saldo_Residual_Activo!R87 * 'Resumen_Cartera'!$Q87, 2), "")</f>
        <v/>
      </c>
      <c r="T87" s="23">
        <f>IF(Saldo_Residual_Activo!S87&gt;0, ROUND(Saldo_Residual_Activo!S87 * 'Resumen_Cartera'!$Q87, 2), "")</f>
        <v/>
      </c>
      <c r="U87" s="23">
        <f>SUM(I87:T87)</f>
        <v/>
      </c>
    </row>
    <row r="88">
      <c r="A88" s="26" t="inlineStr">
        <is>
          <t>0634-0002</t>
        </is>
      </c>
      <c r="B88" s="27" t="inlineStr">
        <is>
          <t>Jose de Jesus Vergara Rivera</t>
        </is>
      </c>
      <c r="C88" s="27" t="inlineStr">
        <is>
          <t>700 Tradesman</t>
        </is>
      </c>
      <c r="D88" s="26" t="inlineStr">
        <is>
          <t>ACTIVO</t>
        </is>
      </c>
      <c r="E88" s="26" t="inlineStr">
        <is>
          <t>2025-10-09</t>
        </is>
      </c>
      <c r="F88" s="26" t="inlineStr">
        <is>
          <t>2029-10-09</t>
        </is>
      </c>
      <c r="G88" s="28" t="n">
        <v>48</v>
      </c>
      <c r="H88" s="29" t="n">
        <v>66362.07000000001</v>
      </c>
      <c r="I88" s="29">
        <f>ROUND(18855.01 * 'Resumen_Cartera'!$Q88, 2)</f>
        <v/>
      </c>
      <c r="J88" s="29">
        <f>IF(Saldo_Residual_Activo!I88&gt;0, ROUND(Saldo_Residual_Activo!I88 * 'Resumen_Cartera'!$Q88, 2), "")</f>
        <v/>
      </c>
      <c r="K88" s="29">
        <f>IF(Saldo_Residual_Activo!J88&gt;0, ROUND(Saldo_Residual_Activo!J88 * 'Resumen_Cartera'!$Q88, 2), "")</f>
        <v/>
      </c>
      <c r="L88" s="29">
        <f>IF(Saldo_Residual_Activo!K88&gt;0, ROUND(Saldo_Residual_Activo!K88 * 'Resumen_Cartera'!$Q88, 2), "")</f>
        <v/>
      </c>
      <c r="M88" s="29">
        <f>IF(Saldo_Residual_Activo!L88&gt;0, ROUND(Saldo_Residual_Activo!L88 * 'Resumen_Cartera'!$Q88, 2), "")</f>
        <v/>
      </c>
      <c r="N88" s="29">
        <f>IF(Saldo_Residual_Activo!M88&gt;0, ROUND(Saldo_Residual_Activo!M88 * 'Resumen_Cartera'!$Q88, 2), "")</f>
        <v/>
      </c>
      <c r="O88" s="29">
        <f>IF(Saldo_Residual_Activo!N88&gt;0, ROUND(Saldo_Residual_Activo!N88 * 'Resumen_Cartera'!$Q88, 2), "")</f>
        <v/>
      </c>
      <c r="P88" s="29">
        <f>IF(Saldo_Residual_Activo!O88&gt;0, ROUND(Saldo_Residual_Activo!O88 * 'Resumen_Cartera'!$Q88, 2), "")</f>
        <v/>
      </c>
      <c r="Q88" s="29">
        <f>IF(Saldo_Residual_Activo!P88&gt;0, ROUND(Saldo_Residual_Activo!P88 * 'Resumen_Cartera'!$Q88, 2), "")</f>
        <v/>
      </c>
      <c r="R88" s="29">
        <f>IF(Saldo_Residual_Activo!Q88&gt;0, ROUND(Saldo_Residual_Activo!Q88 * 'Resumen_Cartera'!$Q88, 2), "")</f>
        <v/>
      </c>
      <c r="S88" s="29">
        <f>IF(Saldo_Residual_Activo!R88&gt;0, ROUND(Saldo_Residual_Activo!R88 * 'Resumen_Cartera'!$Q88, 2), "")</f>
        <v/>
      </c>
      <c r="T88" s="29">
        <f>IF(Saldo_Residual_Activo!S88&gt;0, ROUND(Saldo_Residual_Activo!S88 * 'Resumen_Cartera'!$Q88, 2), "")</f>
        <v/>
      </c>
      <c r="U88" s="29">
        <f>SUM(I88:T88)</f>
        <v/>
      </c>
    </row>
    <row r="89">
      <c r="A89" s="20" t="inlineStr">
        <is>
          <t>0635-0003</t>
        </is>
      </c>
      <c r="B89" s="21" t="inlineStr">
        <is>
          <t>Ankara Food Services Sa de CV</t>
        </is>
      </c>
      <c r="C89" s="21" t="inlineStr">
        <is>
          <t>Glc 350 E</t>
        </is>
      </c>
      <c r="D89" s="20" t="inlineStr">
        <is>
          <t>ACTIVO</t>
        </is>
      </c>
      <c r="E89" s="20" t="inlineStr">
        <is>
          <t>2025-03-21</t>
        </is>
      </c>
      <c r="F89" s="20" t="inlineStr">
        <is>
          <t>2028-03-21</t>
        </is>
      </c>
      <c r="G89" s="22" t="n">
        <v>36</v>
      </c>
      <c r="H89" s="23" t="n">
        <v>13828.97</v>
      </c>
      <c r="I89" s="23">
        <f>ROUND(7283.41 * 'Resumen_Cartera'!$Q89, 2)</f>
        <v/>
      </c>
      <c r="J89" s="23">
        <f>IF(Saldo_Residual_Activo!I89&gt;0, ROUND(Saldo_Residual_Activo!I89 * 'Resumen_Cartera'!$Q89, 2), "")</f>
        <v/>
      </c>
      <c r="K89" s="23">
        <f>IF(Saldo_Residual_Activo!J89&gt;0, ROUND(Saldo_Residual_Activo!J89 * 'Resumen_Cartera'!$Q89, 2), "")</f>
        <v/>
      </c>
      <c r="L89" s="23">
        <f>IF(Saldo_Residual_Activo!K89&gt;0, ROUND(Saldo_Residual_Activo!K89 * 'Resumen_Cartera'!$Q89, 2), "")</f>
        <v/>
      </c>
      <c r="M89" s="23">
        <f>IF(Saldo_Residual_Activo!L89&gt;0, ROUND(Saldo_Residual_Activo!L89 * 'Resumen_Cartera'!$Q89, 2), "")</f>
        <v/>
      </c>
      <c r="N89" s="23">
        <f>IF(Saldo_Residual_Activo!M89&gt;0, ROUND(Saldo_Residual_Activo!M89 * 'Resumen_Cartera'!$Q89, 2), "")</f>
        <v/>
      </c>
      <c r="O89" s="23">
        <f>IF(Saldo_Residual_Activo!N89&gt;0, ROUND(Saldo_Residual_Activo!N89 * 'Resumen_Cartera'!$Q89, 2), "")</f>
        <v/>
      </c>
      <c r="P89" s="23">
        <f>IF(Saldo_Residual_Activo!O89&gt;0, ROUND(Saldo_Residual_Activo!O89 * 'Resumen_Cartera'!$Q89, 2), "")</f>
        <v/>
      </c>
      <c r="Q89" s="23">
        <f>IF(Saldo_Residual_Activo!P89&gt;0, ROUND(Saldo_Residual_Activo!P89 * 'Resumen_Cartera'!$Q89, 2), "")</f>
        <v/>
      </c>
      <c r="R89" s="23">
        <f>IF(Saldo_Residual_Activo!Q89&gt;0, ROUND(Saldo_Residual_Activo!Q89 * 'Resumen_Cartera'!$Q89, 2), "")</f>
        <v/>
      </c>
      <c r="S89" s="23">
        <f>IF(Saldo_Residual_Activo!R89&gt;0, ROUND(Saldo_Residual_Activo!R89 * 'Resumen_Cartera'!$Q89, 2), "")</f>
        <v/>
      </c>
      <c r="T89" s="23">
        <f>IF(Saldo_Residual_Activo!S89&gt;0, ROUND(Saldo_Residual_Activo!S89 * 'Resumen_Cartera'!$Q89, 2), "")</f>
        <v/>
      </c>
      <c r="U89" s="23">
        <f>SUM(I89:T89)</f>
        <v/>
      </c>
    </row>
    <row r="90">
      <c r="A90" s="26" t="inlineStr">
        <is>
          <t>0635-0004</t>
        </is>
      </c>
      <c r="B90" s="27" t="inlineStr">
        <is>
          <t>Ankara Food Services Sa de CV</t>
        </is>
      </c>
      <c r="C90" s="27" t="inlineStr">
        <is>
          <t>Partner</t>
        </is>
      </c>
      <c r="D90" s="26" t="inlineStr">
        <is>
          <t>ACTIVO</t>
        </is>
      </c>
      <c r="E90" s="26" t="inlineStr">
        <is>
          <t>2025-04-29</t>
        </is>
      </c>
      <c r="F90" s="26" t="inlineStr">
        <is>
          <t>2028-04-29</t>
        </is>
      </c>
      <c r="G90" s="28" t="n">
        <v>36</v>
      </c>
      <c r="H90" s="29" t="n">
        <v>3438.79</v>
      </c>
      <c r="I90" s="29">
        <f>ROUND(1767.01 * 'Resumen_Cartera'!$Q90, 2)</f>
        <v/>
      </c>
      <c r="J90" s="29">
        <f>IF(Saldo_Residual_Activo!I90&gt;0, ROUND(Saldo_Residual_Activo!I90 * 'Resumen_Cartera'!$Q90, 2), "")</f>
        <v/>
      </c>
      <c r="K90" s="29">
        <f>IF(Saldo_Residual_Activo!J90&gt;0, ROUND(Saldo_Residual_Activo!J90 * 'Resumen_Cartera'!$Q90, 2), "")</f>
        <v/>
      </c>
      <c r="L90" s="29">
        <f>IF(Saldo_Residual_Activo!K90&gt;0, ROUND(Saldo_Residual_Activo!K90 * 'Resumen_Cartera'!$Q90, 2), "")</f>
        <v/>
      </c>
      <c r="M90" s="29">
        <f>IF(Saldo_Residual_Activo!L90&gt;0, ROUND(Saldo_Residual_Activo!L90 * 'Resumen_Cartera'!$Q90, 2), "")</f>
        <v/>
      </c>
      <c r="N90" s="29">
        <f>IF(Saldo_Residual_Activo!M90&gt;0, ROUND(Saldo_Residual_Activo!M90 * 'Resumen_Cartera'!$Q90, 2), "")</f>
        <v/>
      </c>
      <c r="O90" s="29">
        <f>IF(Saldo_Residual_Activo!N90&gt;0, ROUND(Saldo_Residual_Activo!N90 * 'Resumen_Cartera'!$Q90, 2), "")</f>
        <v/>
      </c>
      <c r="P90" s="29">
        <f>IF(Saldo_Residual_Activo!O90&gt;0, ROUND(Saldo_Residual_Activo!O90 * 'Resumen_Cartera'!$Q90, 2), "")</f>
        <v/>
      </c>
      <c r="Q90" s="29">
        <f>IF(Saldo_Residual_Activo!P90&gt;0, ROUND(Saldo_Residual_Activo!P90 * 'Resumen_Cartera'!$Q90, 2), "")</f>
        <v/>
      </c>
      <c r="R90" s="29">
        <f>IF(Saldo_Residual_Activo!Q90&gt;0, ROUND(Saldo_Residual_Activo!Q90 * 'Resumen_Cartera'!$Q90, 2), "")</f>
        <v/>
      </c>
      <c r="S90" s="29">
        <f>IF(Saldo_Residual_Activo!R90&gt;0, ROUND(Saldo_Residual_Activo!R90 * 'Resumen_Cartera'!$Q90, 2), "")</f>
        <v/>
      </c>
      <c r="T90" s="29">
        <f>IF(Saldo_Residual_Activo!S90&gt;0, ROUND(Saldo_Residual_Activo!S90 * 'Resumen_Cartera'!$Q90, 2), "")</f>
        <v/>
      </c>
      <c r="U90" s="29">
        <f>SUM(I90:T90)</f>
        <v/>
      </c>
    </row>
    <row r="91">
      <c r="A91" s="20" t="inlineStr">
        <is>
          <t>0635-0005</t>
        </is>
      </c>
      <c r="B91" s="21" t="inlineStr">
        <is>
          <t>Ankara Food Services Sa de CV</t>
        </is>
      </c>
      <c r="C91" s="21" t="inlineStr">
        <is>
          <t>Manager</t>
        </is>
      </c>
      <c r="D91" s="20" t="inlineStr">
        <is>
          <t>ACTIVO</t>
        </is>
      </c>
      <c r="E91" s="20" t="inlineStr">
        <is>
          <t>2025-04-29</t>
        </is>
      </c>
      <c r="F91" s="20" t="inlineStr">
        <is>
          <t>2028-04-29</t>
        </is>
      </c>
      <c r="G91" s="22" t="n">
        <v>36</v>
      </c>
      <c r="H91" s="23" t="n">
        <v>5318.1</v>
      </c>
      <c r="I91" s="23">
        <f>ROUND(2732.7 * 'Resumen_Cartera'!$Q91, 2)</f>
        <v/>
      </c>
      <c r="J91" s="23">
        <f>IF(Saldo_Residual_Activo!I91&gt;0, ROUND(Saldo_Residual_Activo!I91 * 'Resumen_Cartera'!$Q91, 2), "")</f>
        <v/>
      </c>
      <c r="K91" s="23">
        <f>IF(Saldo_Residual_Activo!J91&gt;0, ROUND(Saldo_Residual_Activo!J91 * 'Resumen_Cartera'!$Q91, 2), "")</f>
        <v/>
      </c>
      <c r="L91" s="23">
        <f>IF(Saldo_Residual_Activo!K91&gt;0, ROUND(Saldo_Residual_Activo!K91 * 'Resumen_Cartera'!$Q91, 2), "")</f>
        <v/>
      </c>
      <c r="M91" s="23">
        <f>IF(Saldo_Residual_Activo!L91&gt;0, ROUND(Saldo_Residual_Activo!L91 * 'Resumen_Cartera'!$Q91, 2), "")</f>
        <v/>
      </c>
      <c r="N91" s="23">
        <f>IF(Saldo_Residual_Activo!M91&gt;0, ROUND(Saldo_Residual_Activo!M91 * 'Resumen_Cartera'!$Q91, 2), "")</f>
        <v/>
      </c>
      <c r="O91" s="23">
        <f>IF(Saldo_Residual_Activo!N91&gt;0, ROUND(Saldo_Residual_Activo!N91 * 'Resumen_Cartera'!$Q91, 2), "")</f>
        <v/>
      </c>
      <c r="P91" s="23">
        <f>IF(Saldo_Residual_Activo!O91&gt;0, ROUND(Saldo_Residual_Activo!O91 * 'Resumen_Cartera'!$Q91, 2), "")</f>
        <v/>
      </c>
      <c r="Q91" s="23">
        <f>IF(Saldo_Residual_Activo!P91&gt;0, ROUND(Saldo_Residual_Activo!P91 * 'Resumen_Cartera'!$Q91, 2), "")</f>
        <v/>
      </c>
      <c r="R91" s="23">
        <f>IF(Saldo_Residual_Activo!Q91&gt;0, ROUND(Saldo_Residual_Activo!Q91 * 'Resumen_Cartera'!$Q91, 2), "")</f>
        <v/>
      </c>
      <c r="S91" s="23">
        <f>IF(Saldo_Residual_Activo!R91&gt;0, ROUND(Saldo_Residual_Activo!R91 * 'Resumen_Cartera'!$Q91, 2), "")</f>
        <v/>
      </c>
      <c r="T91" s="23">
        <f>IF(Saldo_Residual_Activo!S91&gt;0, ROUND(Saldo_Residual_Activo!S91 * 'Resumen_Cartera'!$Q91, 2), "")</f>
        <v/>
      </c>
      <c r="U91" s="23">
        <f>SUM(I91:T91)</f>
        <v/>
      </c>
    </row>
    <row r="92">
      <c r="A92" s="26" t="inlineStr">
        <is>
          <t>0635-0006</t>
        </is>
      </c>
      <c r="B92" s="27" t="inlineStr">
        <is>
          <t>Ankara Food Services Sa de CV</t>
        </is>
      </c>
      <c r="C92" s="27" t="inlineStr">
        <is>
          <t>Mobi</t>
        </is>
      </c>
      <c r="D92" s="26" t="inlineStr">
        <is>
          <t>ACTIVO</t>
        </is>
      </c>
      <c r="E92" s="26" t="inlineStr">
        <is>
          <t>2025-06-17</t>
        </is>
      </c>
      <c r="F92" s="26" t="inlineStr">
        <is>
          <t>2027-06-17</t>
        </is>
      </c>
      <c r="G92" s="28" t="n">
        <v>24</v>
      </c>
      <c r="H92" s="29" t="n">
        <v>2129.31</v>
      </c>
      <c r="I92" s="29">
        <f>ROUND(1415.72 * 'Resumen_Cartera'!$Q92, 2)</f>
        <v/>
      </c>
      <c r="J92" s="29">
        <f>IF(Saldo_Residual_Activo!I92&gt;0, ROUND(Saldo_Residual_Activo!I92 * 'Resumen_Cartera'!$Q92, 2), "")</f>
        <v/>
      </c>
      <c r="K92" s="29">
        <f>IF(Saldo_Residual_Activo!J92&gt;0, ROUND(Saldo_Residual_Activo!J92 * 'Resumen_Cartera'!$Q92, 2), "")</f>
        <v/>
      </c>
      <c r="L92" s="29">
        <f>IF(Saldo_Residual_Activo!K92&gt;0, ROUND(Saldo_Residual_Activo!K92 * 'Resumen_Cartera'!$Q92, 2), "")</f>
        <v/>
      </c>
      <c r="M92" s="29">
        <f>IF(Saldo_Residual_Activo!L92&gt;0, ROUND(Saldo_Residual_Activo!L92 * 'Resumen_Cartera'!$Q92, 2), "")</f>
        <v/>
      </c>
      <c r="N92" s="29">
        <f>IF(Saldo_Residual_Activo!M92&gt;0, ROUND(Saldo_Residual_Activo!M92 * 'Resumen_Cartera'!$Q92, 2), "")</f>
        <v/>
      </c>
      <c r="O92" s="29">
        <f>IF(Saldo_Residual_Activo!N92&gt;0, ROUND(Saldo_Residual_Activo!N92 * 'Resumen_Cartera'!$Q92, 2), "")</f>
        <v/>
      </c>
      <c r="P92" s="29">
        <f>IF(Saldo_Residual_Activo!O92&gt;0, ROUND(Saldo_Residual_Activo!O92 * 'Resumen_Cartera'!$Q92, 2), "")</f>
        <v/>
      </c>
      <c r="Q92" s="29">
        <f>IF(Saldo_Residual_Activo!P92&gt;0, ROUND(Saldo_Residual_Activo!P92 * 'Resumen_Cartera'!$Q92, 2), "")</f>
        <v/>
      </c>
      <c r="R92" s="29">
        <f>IF(Saldo_Residual_Activo!Q92&gt;0, ROUND(Saldo_Residual_Activo!Q92 * 'Resumen_Cartera'!$Q92, 2), "")</f>
        <v/>
      </c>
      <c r="S92" s="29">
        <f>IF(Saldo_Residual_Activo!R92&gt;0, ROUND(Saldo_Residual_Activo!R92 * 'Resumen_Cartera'!$Q92, 2), "")</f>
        <v/>
      </c>
      <c r="T92" s="29">
        <f>IF(Saldo_Residual_Activo!S92&gt;0, ROUND(Saldo_Residual_Activo!S92 * 'Resumen_Cartera'!$Q92, 2), "")</f>
        <v/>
      </c>
      <c r="U92" s="29">
        <f>SUM(I92:T92)</f>
        <v/>
      </c>
    </row>
    <row r="93">
      <c r="A93" s="20" t="inlineStr">
        <is>
          <t>0635-0007</t>
        </is>
      </c>
      <c r="B93" s="21" t="inlineStr">
        <is>
          <t>Ankara Food Services Sa de CV</t>
        </is>
      </c>
      <c r="C93" s="21" t="inlineStr">
        <is>
          <t>Mobi</t>
        </is>
      </c>
      <c r="D93" s="20" t="inlineStr">
        <is>
          <t>ACTIVO</t>
        </is>
      </c>
      <c r="E93" s="20" t="inlineStr">
        <is>
          <t>2025-06-17</t>
        </is>
      </c>
      <c r="F93" s="20" t="inlineStr">
        <is>
          <t>2027-06-17</t>
        </is>
      </c>
      <c r="G93" s="22" t="n">
        <v>24</v>
      </c>
      <c r="H93" s="23" t="n">
        <v>2129.31</v>
      </c>
      <c r="I93" s="23">
        <f>ROUND(1415.72 * 'Resumen_Cartera'!$Q93, 2)</f>
        <v/>
      </c>
      <c r="J93" s="23">
        <f>IF(Saldo_Residual_Activo!I93&gt;0, ROUND(Saldo_Residual_Activo!I93 * 'Resumen_Cartera'!$Q93, 2), "")</f>
        <v/>
      </c>
      <c r="K93" s="23">
        <f>IF(Saldo_Residual_Activo!J93&gt;0, ROUND(Saldo_Residual_Activo!J93 * 'Resumen_Cartera'!$Q93, 2), "")</f>
        <v/>
      </c>
      <c r="L93" s="23">
        <f>IF(Saldo_Residual_Activo!K93&gt;0, ROUND(Saldo_Residual_Activo!K93 * 'Resumen_Cartera'!$Q93, 2), "")</f>
        <v/>
      </c>
      <c r="M93" s="23">
        <f>IF(Saldo_Residual_Activo!L93&gt;0, ROUND(Saldo_Residual_Activo!L93 * 'Resumen_Cartera'!$Q93, 2), "")</f>
        <v/>
      </c>
      <c r="N93" s="23">
        <f>IF(Saldo_Residual_Activo!M93&gt;0, ROUND(Saldo_Residual_Activo!M93 * 'Resumen_Cartera'!$Q93, 2), "")</f>
        <v/>
      </c>
      <c r="O93" s="23">
        <f>IF(Saldo_Residual_Activo!N93&gt;0, ROUND(Saldo_Residual_Activo!N93 * 'Resumen_Cartera'!$Q93, 2), "")</f>
        <v/>
      </c>
      <c r="P93" s="23">
        <f>IF(Saldo_Residual_Activo!O93&gt;0, ROUND(Saldo_Residual_Activo!O93 * 'Resumen_Cartera'!$Q93, 2), "")</f>
        <v/>
      </c>
      <c r="Q93" s="23">
        <f>IF(Saldo_Residual_Activo!P93&gt;0, ROUND(Saldo_Residual_Activo!P93 * 'Resumen_Cartera'!$Q93, 2), "")</f>
        <v/>
      </c>
      <c r="R93" s="23">
        <f>IF(Saldo_Residual_Activo!Q93&gt;0, ROUND(Saldo_Residual_Activo!Q93 * 'Resumen_Cartera'!$Q93, 2), "")</f>
        <v/>
      </c>
      <c r="S93" s="23">
        <f>IF(Saldo_Residual_Activo!R93&gt;0, ROUND(Saldo_Residual_Activo!R93 * 'Resumen_Cartera'!$Q93, 2), "")</f>
        <v/>
      </c>
      <c r="T93" s="23">
        <f>IF(Saldo_Residual_Activo!S93&gt;0, ROUND(Saldo_Residual_Activo!S93 * 'Resumen_Cartera'!$Q93, 2), "")</f>
        <v/>
      </c>
      <c r="U93" s="23">
        <f>SUM(I93:T93)</f>
        <v/>
      </c>
    </row>
    <row r="94">
      <c r="A94" s="26" t="inlineStr">
        <is>
          <t>0635-0008</t>
        </is>
      </c>
      <c r="B94" s="27" t="inlineStr">
        <is>
          <t>Ankara Food Services Sa de CV</t>
        </is>
      </c>
      <c r="C94" s="27" t="inlineStr">
        <is>
          <t>Wrangler 4 XE</t>
        </is>
      </c>
      <c r="D94" s="26" t="inlineStr">
        <is>
          <t>ACTIVO</t>
        </is>
      </c>
      <c r="E94" s="26" t="inlineStr">
        <is>
          <t>2025-10-31</t>
        </is>
      </c>
      <c r="F94" s="26" t="inlineStr">
        <is>
          <t>2029-10-31</t>
        </is>
      </c>
      <c r="G94" s="28" t="n">
        <v>48</v>
      </c>
      <c r="H94" s="29" t="n">
        <v>122922.41</v>
      </c>
      <c r="I94" s="29">
        <f>ROUND(37212.74 * 'Resumen_Cartera'!$Q94, 2)</f>
        <v/>
      </c>
      <c r="J94" s="29">
        <f>IF(Saldo_Residual_Activo!I94&gt;0, ROUND(Saldo_Residual_Activo!I94 * 'Resumen_Cartera'!$Q94, 2), "")</f>
        <v/>
      </c>
      <c r="K94" s="29">
        <f>IF(Saldo_Residual_Activo!J94&gt;0, ROUND(Saldo_Residual_Activo!J94 * 'Resumen_Cartera'!$Q94, 2), "")</f>
        <v/>
      </c>
      <c r="L94" s="29">
        <f>IF(Saldo_Residual_Activo!K94&gt;0, ROUND(Saldo_Residual_Activo!K94 * 'Resumen_Cartera'!$Q94, 2), "")</f>
        <v/>
      </c>
      <c r="M94" s="29">
        <f>IF(Saldo_Residual_Activo!L94&gt;0, ROUND(Saldo_Residual_Activo!L94 * 'Resumen_Cartera'!$Q94, 2), "")</f>
        <v/>
      </c>
      <c r="N94" s="29">
        <f>IF(Saldo_Residual_Activo!M94&gt;0, ROUND(Saldo_Residual_Activo!M94 * 'Resumen_Cartera'!$Q94, 2), "")</f>
        <v/>
      </c>
      <c r="O94" s="29">
        <f>IF(Saldo_Residual_Activo!N94&gt;0, ROUND(Saldo_Residual_Activo!N94 * 'Resumen_Cartera'!$Q94, 2), "")</f>
        <v/>
      </c>
      <c r="P94" s="29">
        <f>IF(Saldo_Residual_Activo!O94&gt;0, ROUND(Saldo_Residual_Activo!O94 * 'Resumen_Cartera'!$Q94, 2), "")</f>
        <v/>
      </c>
      <c r="Q94" s="29">
        <f>IF(Saldo_Residual_Activo!P94&gt;0, ROUND(Saldo_Residual_Activo!P94 * 'Resumen_Cartera'!$Q94, 2), "")</f>
        <v/>
      </c>
      <c r="R94" s="29">
        <f>IF(Saldo_Residual_Activo!Q94&gt;0, ROUND(Saldo_Residual_Activo!Q94 * 'Resumen_Cartera'!$Q94, 2), "")</f>
        <v/>
      </c>
      <c r="S94" s="29">
        <f>IF(Saldo_Residual_Activo!R94&gt;0, ROUND(Saldo_Residual_Activo!R94 * 'Resumen_Cartera'!$Q94, 2), "")</f>
        <v/>
      </c>
      <c r="T94" s="29">
        <f>IF(Saldo_Residual_Activo!S94&gt;0, ROUND(Saldo_Residual_Activo!S94 * 'Resumen_Cartera'!$Q94, 2), "")</f>
        <v/>
      </c>
      <c r="U94" s="29">
        <f>SUM(I94:T94)</f>
        <v/>
      </c>
    </row>
    <row r="95">
      <c r="A95" s="20" t="inlineStr">
        <is>
          <t>0640-0001</t>
        </is>
      </c>
      <c r="B95" s="21" t="inlineStr">
        <is>
          <t>Marco Abner Hernand Barragan</t>
        </is>
      </c>
      <c r="C95" s="21" t="inlineStr">
        <is>
          <t>RIFTER</t>
        </is>
      </c>
      <c r="D95" s="20" t="inlineStr">
        <is>
          <t>ACTIVO</t>
        </is>
      </c>
      <c r="E95" s="20" t="inlineStr">
        <is>
          <t>2023-12-13</t>
        </is>
      </c>
      <c r="F95" s="20" t="inlineStr">
        <is>
          <t>2027-12-13</t>
        </is>
      </c>
      <c r="G95" s="22" t="n">
        <v>48</v>
      </c>
      <c r="H95" s="23" t="n">
        <v>89293.10000000001</v>
      </c>
      <c r="I95" s="23">
        <f>ROUND(43615.84 * 'Resumen_Cartera'!$Q95, 2)</f>
        <v/>
      </c>
      <c r="J95" s="23">
        <f>IF(Saldo_Residual_Activo!I95&gt;0, ROUND(Saldo_Residual_Activo!I95 * 'Resumen_Cartera'!$Q95, 2), "")</f>
        <v/>
      </c>
      <c r="K95" s="23">
        <f>IF(Saldo_Residual_Activo!J95&gt;0, ROUND(Saldo_Residual_Activo!J95 * 'Resumen_Cartera'!$Q95, 2), "")</f>
        <v/>
      </c>
      <c r="L95" s="23">
        <f>IF(Saldo_Residual_Activo!K95&gt;0, ROUND(Saldo_Residual_Activo!K95 * 'Resumen_Cartera'!$Q95, 2), "")</f>
        <v/>
      </c>
      <c r="M95" s="23">
        <f>IF(Saldo_Residual_Activo!L95&gt;0, ROUND(Saldo_Residual_Activo!L95 * 'Resumen_Cartera'!$Q95, 2), "")</f>
        <v/>
      </c>
      <c r="N95" s="23">
        <f>IF(Saldo_Residual_Activo!M95&gt;0, ROUND(Saldo_Residual_Activo!M95 * 'Resumen_Cartera'!$Q95, 2), "")</f>
        <v/>
      </c>
      <c r="O95" s="23">
        <f>IF(Saldo_Residual_Activo!N95&gt;0, ROUND(Saldo_Residual_Activo!N95 * 'Resumen_Cartera'!$Q95, 2), "")</f>
        <v/>
      </c>
      <c r="P95" s="23">
        <f>IF(Saldo_Residual_Activo!O95&gt;0, ROUND(Saldo_Residual_Activo!O95 * 'Resumen_Cartera'!$Q95, 2), "")</f>
        <v/>
      </c>
      <c r="Q95" s="23">
        <f>IF(Saldo_Residual_Activo!P95&gt;0, ROUND(Saldo_Residual_Activo!P95 * 'Resumen_Cartera'!$Q95, 2), "")</f>
        <v/>
      </c>
      <c r="R95" s="23">
        <f>IF(Saldo_Residual_Activo!Q95&gt;0, ROUND(Saldo_Residual_Activo!Q95 * 'Resumen_Cartera'!$Q95, 2), "")</f>
        <v/>
      </c>
      <c r="S95" s="23">
        <f>IF(Saldo_Residual_Activo!R95&gt;0, ROUND(Saldo_Residual_Activo!R95 * 'Resumen_Cartera'!$Q95, 2), "")</f>
        <v/>
      </c>
      <c r="T95" s="23">
        <f>IF(Saldo_Residual_Activo!S95&gt;0, ROUND(Saldo_Residual_Activo!S95 * 'Resumen_Cartera'!$Q95, 2), "")</f>
        <v/>
      </c>
      <c r="U95" s="23">
        <f>SUM(I95:T95)</f>
        <v/>
      </c>
    </row>
    <row r="96">
      <c r="A96" s="26" t="inlineStr">
        <is>
          <t>0641-0001</t>
        </is>
      </c>
      <c r="B96" s="27" t="inlineStr">
        <is>
          <t>Agrideaz Sa de Cv</t>
        </is>
      </c>
      <c r="C96" s="27" t="inlineStr">
        <is>
          <t>Pulse Audace</t>
        </is>
      </c>
      <c r="D96" s="26" t="inlineStr">
        <is>
          <t>ACTIVO</t>
        </is>
      </c>
      <c r="E96" s="26" t="inlineStr">
        <is>
          <t>2023-11-30</t>
        </is>
      </c>
      <c r="F96" s="26" t="inlineStr">
        <is>
          <t>2026-11-30</t>
        </is>
      </c>
      <c r="G96" s="28" t="n">
        <v>36</v>
      </c>
      <c r="H96" s="29" t="n">
        <v>122620.69</v>
      </c>
      <c r="I96" s="29">
        <f>ROUND(73269.65 * 'Resumen_Cartera'!$Q96, 2)</f>
        <v/>
      </c>
      <c r="J96" s="29">
        <f>IF(Saldo_Residual_Activo!I96&gt;0, ROUND(Saldo_Residual_Activo!I96 * 'Resumen_Cartera'!$Q96, 2), "")</f>
        <v/>
      </c>
      <c r="K96" s="29">
        <f>IF(Saldo_Residual_Activo!J96&gt;0, ROUND(Saldo_Residual_Activo!J96 * 'Resumen_Cartera'!$Q96, 2), "")</f>
        <v/>
      </c>
      <c r="L96" s="29">
        <f>IF(Saldo_Residual_Activo!K96&gt;0, ROUND(Saldo_Residual_Activo!K96 * 'Resumen_Cartera'!$Q96, 2), "")</f>
        <v/>
      </c>
      <c r="M96" s="29">
        <f>IF(Saldo_Residual_Activo!L96&gt;0, ROUND(Saldo_Residual_Activo!L96 * 'Resumen_Cartera'!$Q96, 2), "")</f>
        <v/>
      </c>
      <c r="N96" s="29">
        <f>IF(Saldo_Residual_Activo!M96&gt;0, ROUND(Saldo_Residual_Activo!M96 * 'Resumen_Cartera'!$Q96, 2), "")</f>
        <v/>
      </c>
      <c r="O96" s="29">
        <f>IF(Saldo_Residual_Activo!N96&gt;0, ROUND(Saldo_Residual_Activo!N96 * 'Resumen_Cartera'!$Q96, 2), "")</f>
        <v/>
      </c>
      <c r="P96" s="29">
        <f>IF(Saldo_Residual_Activo!O96&gt;0, ROUND(Saldo_Residual_Activo!O96 * 'Resumen_Cartera'!$Q96, 2), "")</f>
        <v/>
      </c>
      <c r="Q96" s="29">
        <f>IF(Saldo_Residual_Activo!P96&gt;0, ROUND(Saldo_Residual_Activo!P96 * 'Resumen_Cartera'!$Q96, 2), "")</f>
        <v/>
      </c>
      <c r="R96" s="29">
        <f>IF(Saldo_Residual_Activo!Q96&gt;0, ROUND(Saldo_Residual_Activo!Q96 * 'Resumen_Cartera'!$Q96, 2), "")</f>
        <v/>
      </c>
      <c r="S96" s="29" t="inlineStr"/>
      <c r="T96" s="29" t="inlineStr"/>
      <c r="U96" s="29">
        <f>SUM(I96:T96)</f>
        <v/>
      </c>
    </row>
    <row r="97">
      <c r="A97" s="20" t="inlineStr">
        <is>
          <t>0641-0002</t>
        </is>
      </c>
      <c r="B97" s="21" t="inlineStr">
        <is>
          <t>Agrideaz Sa de Cv</t>
        </is>
      </c>
      <c r="C97" s="21" t="inlineStr">
        <is>
          <t>MOBI</t>
        </is>
      </c>
      <c r="D97" s="20" t="inlineStr">
        <is>
          <t>ACTIVO</t>
        </is>
      </c>
      <c r="E97" s="20" t="inlineStr">
        <is>
          <t>2023-11-30</t>
        </is>
      </c>
      <c r="F97" s="20" t="inlineStr">
        <is>
          <t>2026-11-30</t>
        </is>
      </c>
      <c r="G97" s="22" t="n">
        <v>36</v>
      </c>
      <c r="H97" s="23" t="n">
        <v>76034.48</v>
      </c>
      <c r="I97" s="23">
        <f>ROUND(45020.78 * 'Resumen_Cartera'!$Q97, 2)</f>
        <v/>
      </c>
      <c r="J97" s="23">
        <f>IF(Saldo_Residual_Activo!I97&gt;0, ROUND(Saldo_Residual_Activo!I97 * 'Resumen_Cartera'!$Q97, 2), "")</f>
        <v/>
      </c>
      <c r="K97" s="23">
        <f>IF(Saldo_Residual_Activo!J97&gt;0, ROUND(Saldo_Residual_Activo!J97 * 'Resumen_Cartera'!$Q97, 2), "")</f>
        <v/>
      </c>
      <c r="L97" s="23">
        <f>IF(Saldo_Residual_Activo!K97&gt;0, ROUND(Saldo_Residual_Activo!K97 * 'Resumen_Cartera'!$Q97, 2), "")</f>
        <v/>
      </c>
      <c r="M97" s="23">
        <f>IF(Saldo_Residual_Activo!L97&gt;0, ROUND(Saldo_Residual_Activo!L97 * 'Resumen_Cartera'!$Q97, 2), "")</f>
        <v/>
      </c>
      <c r="N97" s="23">
        <f>IF(Saldo_Residual_Activo!M97&gt;0, ROUND(Saldo_Residual_Activo!M97 * 'Resumen_Cartera'!$Q97, 2), "")</f>
        <v/>
      </c>
      <c r="O97" s="23">
        <f>IF(Saldo_Residual_Activo!N97&gt;0, ROUND(Saldo_Residual_Activo!N97 * 'Resumen_Cartera'!$Q97, 2), "")</f>
        <v/>
      </c>
      <c r="P97" s="23">
        <f>IF(Saldo_Residual_Activo!O97&gt;0, ROUND(Saldo_Residual_Activo!O97 * 'Resumen_Cartera'!$Q97, 2), "")</f>
        <v/>
      </c>
      <c r="Q97" s="23">
        <f>IF(Saldo_Residual_Activo!P97&gt;0, ROUND(Saldo_Residual_Activo!P97 * 'Resumen_Cartera'!$Q97, 2), "")</f>
        <v/>
      </c>
      <c r="R97" s="23">
        <f>IF(Saldo_Residual_Activo!Q97&gt;0, ROUND(Saldo_Residual_Activo!Q97 * 'Resumen_Cartera'!$Q97, 2), "")</f>
        <v/>
      </c>
      <c r="S97" s="23" t="inlineStr"/>
      <c r="T97" s="23" t="inlineStr"/>
      <c r="U97" s="23">
        <f>SUM(I97:T97)</f>
        <v/>
      </c>
    </row>
    <row r="98">
      <c r="A98" s="26" t="inlineStr">
        <is>
          <t>0642-0001</t>
        </is>
      </c>
      <c r="B98" s="27" t="inlineStr">
        <is>
          <t>Incubadora de Occidente Sa de Cv</t>
        </is>
      </c>
      <c r="C98" s="27" t="inlineStr">
        <is>
          <t>GRAND CHEROKEE LIMITED</t>
        </is>
      </c>
      <c r="D98" s="26" t="inlineStr">
        <is>
          <t>ACTIVO</t>
        </is>
      </c>
      <c r="E98" s="26" t="inlineStr">
        <is>
          <t>2023-12-22</t>
        </is>
      </c>
      <c r="F98" s="26" t="inlineStr">
        <is>
          <t>2027-12-22</t>
        </is>
      </c>
      <c r="G98" s="28" t="n">
        <v>48</v>
      </c>
      <c r="H98" s="29" t="n">
        <v>398264.4</v>
      </c>
      <c r="I98" s="29">
        <f>ROUND(204424.74 * 'Resumen_Cartera'!$Q98, 2)</f>
        <v/>
      </c>
      <c r="J98" s="29">
        <f>IF(Saldo_Residual_Activo!I98&gt;0, ROUND(Saldo_Residual_Activo!I98 * 'Resumen_Cartera'!$Q98, 2), "")</f>
        <v/>
      </c>
      <c r="K98" s="29">
        <f>IF(Saldo_Residual_Activo!J98&gt;0, ROUND(Saldo_Residual_Activo!J98 * 'Resumen_Cartera'!$Q98, 2), "")</f>
        <v/>
      </c>
      <c r="L98" s="29">
        <f>IF(Saldo_Residual_Activo!K98&gt;0, ROUND(Saldo_Residual_Activo!K98 * 'Resumen_Cartera'!$Q98, 2), "")</f>
        <v/>
      </c>
      <c r="M98" s="29">
        <f>IF(Saldo_Residual_Activo!L98&gt;0, ROUND(Saldo_Residual_Activo!L98 * 'Resumen_Cartera'!$Q98, 2), "")</f>
        <v/>
      </c>
      <c r="N98" s="29">
        <f>IF(Saldo_Residual_Activo!M98&gt;0, ROUND(Saldo_Residual_Activo!M98 * 'Resumen_Cartera'!$Q98, 2), "")</f>
        <v/>
      </c>
      <c r="O98" s="29">
        <f>IF(Saldo_Residual_Activo!N98&gt;0, ROUND(Saldo_Residual_Activo!N98 * 'Resumen_Cartera'!$Q98, 2), "")</f>
        <v/>
      </c>
      <c r="P98" s="29">
        <f>IF(Saldo_Residual_Activo!O98&gt;0, ROUND(Saldo_Residual_Activo!O98 * 'Resumen_Cartera'!$Q98, 2), "")</f>
        <v/>
      </c>
      <c r="Q98" s="29">
        <f>IF(Saldo_Residual_Activo!P98&gt;0, ROUND(Saldo_Residual_Activo!P98 * 'Resumen_Cartera'!$Q98, 2), "")</f>
        <v/>
      </c>
      <c r="R98" s="29">
        <f>IF(Saldo_Residual_Activo!Q98&gt;0, ROUND(Saldo_Residual_Activo!Q98 * 'Resumen_Cartera'!$Q98, 2), "")</f>
        <v/>
      </c>
      <c r="S98" s="29">
        <f>IF(Saldo_Residual_Activo!R98&gt;0, ROUND(Saldo_Residual_Activo!R98 * 'Resumen_Cartera'!$Q98, 2), "")</f>
        <v/>
      </c>
      <c r="T98" s="29">
        <f>IF(Saldo_Residual_Activo!S98&gt;0, ROUND(Saldo_Residual_Activo!S98 * 'Resumen_Cartera'!$Q98, 2), "")</f>
        <v/>
      </c>
      <c r="U98" s="29">
        <f>SUM(I98:T98)</f>
        <v/>
      </c>
    </row>
    <row r="99">
      <c r="A99" s="20" t="inlineStr">
        <is>
          <t>0644-0005</t>
        </is>
      </c>
      <c r="B99" s="21" t="inlineStr">
        <is>
          <t>Bakaya S.A.P.I.</t>
        </is>
      </c>
      <c r="C99" s="21" t="inlineStr">
        <is>
          <t>i118</t>
        </is>
      </c>
      <c r="D99" s="20" t="inlineStr">
        <is>
          <t>ACTIVO</t>
        </is>
      </c>
      <c r="E99" s="20" t="inlineStr">
        <is>
          <t>2025-12-10</t>
        </is>
      </c>
      <c r="F99" s="20" t="inlineStr">
        <is>
          <t>2028-12-10</t>
        </is>
      </c>
      <c r="G99" s="22" t="n">
        <v>36</v>
      </c>
      <c r="H99" s="23" t="n">
        <v>284275.86</v>
      </c>
      <c r="I99" s="23">
        <f>ROUND(132007.97 * 'Resumen_Cartera'!$Q99, 2)</f>
        <v/>
      </c>
      <c r="J99" s="23">
        <f>IF(Saldo_Residual_Activo!I99&gt;0, ROUND(Saldo_Residual_Activo!I99 * 'Resumen_Cartera'!$Q99, 2), "")</f>
        <v/>
      </c>
      <c r="K99" s="23">
        <f>IF(Saldo_Residual_Activo!J99&gt;0, ROUND(Saldo_Residual_Activo!J99 * 'Resumen_Cartera'!$Q99, 2), "")</f>
        <v/>
      </c>
      <c r="L99" s="23">
        <f>IF(Saldo_Residual_Activo!K99&gt;0, ROUND(Saldo_Residual_Activo!K99 * 'Resumen_Cartera'!$Q99, 2), "")</f>
        <v/>
      </c>
      <c r="M99" s="23">
        <f>IF(Saldo_Residual_Activo!L99&gt;0, ROUND(Saldo_Residual_Activo!L99 * 'Resumen_Cartera'!$Q99, 2), "")</f>
        <v/>
      </c>
      <c r="N99" s="23">
        <f>IF(Saldo_Residual_Activo!M99&gt;0, ROUND(Saldo_Residual_Activo!M99 * 'Resumen_Cartera'!$Q99, 2), "")</f>
        <v/>
      </c>
      <c r="O99" s="23">
        <f>IF(Saldo_Residual_Activo!N99&gt;0, ROUND(Saldo_Residual_Activo!N99 * 'Resumen_Cartera'!$Q99, 2), "")</f>
        <v/>
      </c>
      <c r="P99" s="23">
        <f>IF(Saldo_Residual_Activo!O99&gt;0, ROUND(Saldo_Residual_Activo!O99 * 'Resumen_Cartera'!$Q99, 2), "")</f>
        <v/>
      </c>
      <c r="Q99" s="23">
        <f>IF(Saldo_Residual_Activo!P99&gt;0, ROUND(Saldo_Residual_Activo!P99 * 'Resumen_Cartera'!$Q99, 2), "")</f>
        <v/>
      </c>
      <c r="R99" s="23">
        <f>IF(Saldo_Residual_Activo!Q99&gt;0, ROUND(Saldo_Residual_Activo!Q99 * 'Resumen_Cartera'!$Q99, 2), "")</f>
        <v/>
      </c>
      <c r="S99" s="23">
        <f>IF(Saldo_Residual_Activo!R99&gt;0, ROUND(Saldo_Residual_Activo!R99 * 'Resumen_Cartera'!$Q99, 2), "")</f>
        <v/>
      </c>
      <c r="T99" s="23">
        <f>IF(Saldo_Residual_Activo!S99&gt;0, ROUND(Saldo_Residual_Activo!S99 * 'Resumen_Cartera'!$Q99, 2), "")</f>
        <v/>
      </c>
      <c r="U99" s="23">
        <f>SUM(I99:T99)</f>
        <v/>
      </c>
    </row>
    <row r="100">
      <c r="A100" s="26" t="inlineStr">
        <is>
          <t>0644-0006</t>
        </is>
      </c>
      <c r="B100" s="27" t="inlineStr">
        <is>
          <t>Bkaya S.A.P.I.</t>
        </is>
      </c>
      <c r="C100" s="27" t="inlineStr">
        <is>
          <t>Highlander XLE</t>
        </is>
      </c>
      <c r="D100" s="26" t="inlineStr">
        <is>
          <t>ACTIVO</t>
        </is>
      </c>
      <c r="E100" s="26" t="inlineStr">
        <is>
          <t>2026-02-25</t>
        </is>
      </c>
      <c r="F100" s="26" t="inlineStr">
        <is>
          <t>2029-02-25</t>
        </is>
      </c>
      <c r="G100" s="28" t="n">
        <v>36</v>
      </c>
      <c r="H100" s="29" t="n">
        <v>409870.69</v>
      </c>
      <c r="I100" s="29" t="inlineStr"/>
      <c r="J100" s="29">
        <f>ROUND('Resumen_Cartera'!$U100 * 'Resumen_Cartera'!$Q100, 2)</f>
        <v/>
      </c>
      <c r="K100" s="29">
        <f>IF(Saldo_Residual_Activo!J100&gt;0, ROUND(Saldo_Residual_Activo!J100 * 'Resumen_Cartera'!$Q100, 2), "")</f>
        <v/>
      </c>
      <c r="L100" s="29">
        <f>IF(Saldo_Residual_Activo!K100&gt;0, ROUND(Saldo_Residual_Activo!K100 * 'Resumen_Cartera'!$Q100, 2), "")</f>
        <v/>
      </c>
      <c r="M100" s="29">
        <f>IF(Saldo_Residual_Activo!L100&gt;0, ROUND(Saldo_Residual_Activo!L100 * 'Resumen_Cartera'!$Q100, 2), "")</f>
        <v/>
      </c>
      <c r="N100" s="29">
        <f>IF(Saldo_Residual_Activo!M100&gt;0, ROUND(Saldo_Residual_Activo!M100 * 'Resumen_Cartera'!$Q100, 2), "")</f>
        <v/>
      </c>
      <c r="O100" s="29">
        <f>IF(Saldo_Residual_Activo!N100&gt;0, ROUND(Saldo_Residual_Activo!N100 * 'Resumen_Cartera'!$Q100, 2), "")</f>
        <v/>
      </c>
      <c r="P100" s="29">
        <f>IF(Saldo_Residual_Activo!O100&gt;0, ROUND(Saldo_Residual_Activo!O100 * 'Resumen_Cartera'!$Q100, 2), "")</f>
        <v/>
      </c>
      <c r="Q100" s="29">
        <f>IF(Saldo_Residual_Activo!P100&gt;0, ROUND(Saldo_Residual_Activo!P100 * 'Resumen_Cartera'!$Q100, 2), "")</f>
        <v/>
      </c>
      <c r="R100" s="29">
        <f>IF(Saldo_Residual_Activo!Q100&gt;0, ROUND(Saldo_Residual_Activo!Q100 * 'Resumen_Cartera'!$Q100, 2), "")</f>
        <v/>
      </c>
      <c r="S100" s="29">
        <f>IF(Saldo_Residual_Activo!R100&gt;0, ROUND(Saldo_Residual_Activo!R100 * 'Resumen_Cartera'!$Q100, 2), "")</f>
        <v/>
      </c>
      <c r="T100" s="29">
        <f>IF(Saldo_Residual_Activo!S100&gt;0, ROUND(Saldo_Residual_Activo!S100 * 'Resumen_Cartera'!$Q100, 2), "")</f>
        <v/>
      </c>
      <c r="U100" s="29">
        <f>SUM(I100:T100)</f>
        <v/>
      </c>
    </row>
    <row r="101">
      <c r="A101" s="20" t="inlineStr">
        <is>
          <t>0645-0001</t>
        </is>
      </c>
      <c r="B101" s="21" t="inlineStr">
        <is>
          <t>Armando Duran Rubio</t>
        </is>
      </c>
      <c r="C101" s="21" t="inlineStr">
        <is>
          <t>Ram 1500 Bighorn</t>
        </is>
      </c>
      <c r="D101" s="20" t="inlineStr">
        <is>
          <t>ACTIVO</t>
        </is>
      </c>
      <c r="E101" s="20" t="inlineStr">
        <is>
          <t>2023-12-28</t>
        </is>
      </c>
      <c r="F101" s="20" t="inlineStr">
        <is>
          <t>2027-12-28</t>
        </is>
      </c>
      <c r="G101" s="22" t="n">
        <v>48</v>
      </c>
      <c r="H101" s="23" t="n">
        <v>166362.07</v>
      </c>
      <c r="I101" s="23">
        <f>ROUND(81233.86 * 'Resumen_Cartera'!$Q101, 2)</f>
        <v/>
      </c>
      <c r="J101" s="23">
        <f>IF(Saldo_Residual_Activo!I101&gt;0, ROUND(Saldo_Residual_Activo!I101 * 'Resumen_Cartera'!$Q101, 2), "")</f>
        <v/>
      </c>
      <c r="K101" s="23">
        <f>IF(Saldo_Residual_Activo!J101&gt;0, ROUND(Saldo_Residual_Activo!J101 * 'Resumen_Cartera'!$Q101, 2), "")</f>
        <v/>
      </c>
      <c r="L101" s="23">
        <f>IF(Saldo_Residual_Activo!K101&gt;0, ROUND(Saldo_Residual_Activo!K101 * 'Resumen_Cartera'!$Q101, 2), "")</f>
        <v/>
      </c>
      <c r="M101" s="23">
        <f>IF(Saldo_Residual_Activo!L101&gt;0, ROUND(Saldo_Residual_Activo!L101 * 'Resumen_Cartera'!$Q101, 2), "")</f>
        <v/>
      </c>
      <c r="N101" s="23">
        <f>IF(Saldo_Residual_Activo!M101&gt;0, ROUND(Saldo_Residual_Activo!M101 * 'Resumen_Cartera'!$Q101, 2), "")</f>
        <v/>
      </c>
      <c r="O101" s="23">
        <f>IF(Saldo_Residual_Activo!N101&gt;0, ROUND(Saldo_Residual_Activo!N101 * 'Resumen_Cartera'!$Q101, 2), "")</f>
        <v/>
      </c>
      <c r="P101" s="23">
        <f>IF(Saldo_Residual_Activo!O101&gt;0, ROUND(Saldo_Residual_Activo!O101 * 'Resumen_Cartera'!$Q101, 2), "")</f>
        <v/>
      </c>
      <c r="Q101" s="23">
        <f>IF(Saldo_Residual_Activo!P101&gt;0, ROUND(Saldo_Residual_Activo!P101 * 'Resumen_Cartera'!$Q101, 2), "")</f>
        <v/>
      </c>
      <c r="R101" s="23">
        <f>IF(Saldo_Residual_Activo!Q101&gt;0, ROUND(Saldo_Residual_Activo!Q101 * 'Resumen_Cartera'!$Q101, 2), "")</f>
        <v/>
      </c>
      <c r="S101" s="23">
        <f>IF(Saldo_Residual_Activo!R101&gt;0, ROUND(Saldo_Residual_Activo!R101 * 'Resumen_Cartera'!$Q101, 2), "")</f>
        <v/>
      </c>
      <c r="T101" s="23">
        <f>IF(Saldo_Residual_Activo!S101&gt;0, ROUND(Saldo_Residual_Activo!S101 * 'Resumen_Cartera'!$Q101, 2), "")</f>
        <v/>
      </c>
      <c r="U101" s="23">
        <f>SUM(I101:T101)</f>
        <v/>
      </c>
    </row>
    <row r="102">
      <c r="A102" s="26" t="inlineStr">
        <is>
          <t>0646-0001</t>
        </is>
      </c>
      <c r="B102" s="27" t="inlineStr">
        <is>
          <t>Liza Minerva Magallanes Reimers</t>
        </is>
      </c>
      <c r="C102" s="27" t="inlineStr">
        <is>
          <t>Wrangler</t>
        </is>
      </c>
      <c r="D102" s="26" t="inlineStr">
        <is>
          <t>ACTIVO</t>
        </is>
      </c>
      <c r="E102" s="26" t="inlineStr">
        <is>
          <t>2024-01-12</t>
        </is>
      </c>
      <c r="F102" s="26" t="inlineStr">
        <is>
          <t>2028-01-12</t>
        </is>
      </c>
      <c r="G102" s="28" t="n">
        <v>48</v>
      </c>
      <c r="H102" s="29" t="n">
        <v>224120.69</v>
      </c>
      <c r="I102" s="29">
        <f>ROUND(106032.9 * 'Resumen_Cartera'!$Q102, 2)</f>
        <v/>
      </c>
      <c r="J102" s="29">
        <f>IF(Saldo_Residual_Activo!I102&gt;0, ROUND(Saldo_Residual_Activo!I102 * 'Resumen_Cartera'!$Q102, 2), "")</f>
        <v/>
      </c>
      <c r="K102" s="29">
        <f>IF(Saldo_Residual_Activo!J102&gt;0, ROUND(Saldo_Residual_Activo!J102 * 'Resumen_Cartera'!$Q102, 2), "")</f>
        <v/>
      </c>
      <c r="L102" s="29">
        <f>IF(Saldo_Residual_Activo!K102&gt;0, ROUND(Saldo_Residual_Activo!K102 * 'Resumen_Cartera'!$Q102, 2), "")</f>
        <v/>
      </c>
      <c r="M102" s="29">
        <f>IF(Saldo_Residual_Activo!L102&gt;0, ROUND(Saldo_Residual_Activo!L102 * 'Resumen_Cartera'!$Q102, 2), "")</f>
        <v/>
      </c>
      <c r="N102" s="29">
        <f>IF(Saldo_Residual_Activo!M102&gt;0, ROUND(Saldo_Residual_Activo!M102 * 'Resumen_Cartera'!$Q102, 2), "")</f>
        <v/>
      </c>
      <c r="O102" s="29">
        <f>IF(Saldo_Residual_Activo!N102&gt;0, ROUND(Saldo_Residual_Activo!N102 * 'Resumen_Cartera'!$Q102, 2), "")</f>
        <v/>
      </c>
      <c r="P102" s="29">
        <f>IF(Saldo_Residual_Activo!O102&gt;0, ROUND(Saldo_Residual_Activo!O102 * 'Resumen_Cartera'!$Q102, 2), "")</f>
        <v/>
      </c>
      <c r="Q102" s="29">
        <f>IF(Saldo_Residual_Activo!P102&gt;0, ROUND(Saldo_Residual_Activo!P102 * 'Resumen_Cartera'!$Q102, 2), "")</f>
        <v/>
      </c>
      <c r="R102" s="29">
        <f>IF(Saldo_Residual_Activo!Q102&gt;0, ROUND(Saldo_Residual_Activo!Q102 * 'Resumen_Cartera'!$Q102, 2), "")</f>
        <v/>
      </c>
      <c r="S102" s="29">
        <f>IF(Saldo_Residual_Activo!R102&gt;0, ROUND(Saldo_Residual_Activo!R102 * 'Resumen_Cartera'!$Q102, 2), "")</f>
        <v/>
      </c>
      <c r="T102" s="29">
        <f>IF(Saldo_Residual_Activo!S102&gt;0, ROUND(Saldo_Residual_Activo!S102 * 'Resumen_Cartera'!$Q102, 2), "")</f>
        <v/>
      </c>
      <c r="U102" s="29">
        <f>SUM(I102:T102)</f>
        <v/>
      </c>
    </row>
    <row r="103">
      <c r="A103" s="20" t="inlineStr">
        <is>
          <t>0647-0001</t>
        </is>
      </c>
      <c r="B103" s="21" t="inlineStr">
        <is>
          <t>Cibara Gourmet S de Rl de Cv</t>
        </is>
      </c>
      <c r="C103" s="21" t="inlineStr">
        <is>
          <t>Partner Maxi</t>
        </is>
      </c>
      <c r="D103" s="20" t="inlineStr">
        <is>
          <t>ACTIVO</t>
        </is>
      </c>
      <c r="E103" s="20" t="inlineStr">
        <is>
          <t>2024-01-10</t>
        </is>
      </c>
      <c r="F103" s="20" t="inlineStr">
        <is>
          <t>2027-01-10</t>
        </is>
      </c>
      <c r="G103" s="22" t="n">
        <v>36</v>
      </c>
      <c r="H103" s="23" t="n">
        <v>75500</v>
      </c>
      <c r="I103" s="23">
        <f>ROUND(52145.61 * 'Resumen_Cartera'!$Q103, 2)</f>
        <v/>
      </c>
      <c r="J103" s="23">
        <f>IF(Saldo_Residual_Activo!I103&gt;0, ROUND(Saldo_Residual_Activo!I103 * 'Resumen_Cartera'!$Q103, 2), "")</f>
        <v/>
      </c>
      <c r="K103" s="23">
        <f>IF(Saldo_Residual_Activo!J103&gt;0, ROUND(Saldo_Residual_Activo!J103 * 'Resumen_Cartera'!$Q103, 2), "")</f>
        <v/>
      </c>
      <c r="L103" s="23">
        <f>IF(Saldo_Residual_Activo!K103&gt;0, ROUND(Saldo_Residual_Activo!K103 * 'Resumen_Cartera'!$Q103, 2), "")</f>
        <v/>
      </c>
      <c r="M103" s="23">
        <f>IF(Saldo_Residual_Activo!L103&gt;0, ROUND(Saldo_Residual_Activo!L103 * 'Resumen_Cartera'!$Q103, 2), "")</f>
        <v/>
      </c>
      <c r="N103" s="23">
        <f>IF(Saldo_Residual_Activo!M103&gt;0, ROUND(Saldo_Residual_Activo!M103 * 'Resumen_Cartera'!$Q103, 2), "")</f>
        <v/>
      </c>
      <c r="O103" s="23">
        <f>IF(Saldo_Residual_Activo!N103&gt;0, ROUND(Saldo_Residual_Activo!N103 * 'Resumen_Cartera'!$Q103, 2), "")</f>
        <v/>
      </c>
      <c r="P103" s="23">
        <f>IF(Saldo_Residual_Activo!O103&gt;0, ROUND(Saldo_Residual_Activo!O103 * 'Resumen_Cartera'!$Q103, 2), "")</f>
        <v/>
      </c>
      <c r="Q103" s="23">
        <f>IF(Saldo_Residual_Activo!P103&gt;0, ROUND(Saldo_Residual_Activo!P103 * 'Resumen_Cartera'!$Q103, 2), "")</f>
        <v/>
      </c>
      <c r="R103" s="23">
        <f>IF(Saldo_Residual_Activo!Q103&gt;0, ROUND(Saldo_Residual_Activo!Q103 * 'Resumen_Cartera'!$Q103, 2), "")</f>
        <v/>
      </c>
      <c r="S103" s="23">
        <f>IF(Saldo_Residual_Activo!R103&gt;0, ROUND(Saldo_Residual_Activo!R103 * 'Resumen_Cartera'!$Q103, 2), "")</f>
        <v/>
      </c>
      <c r="T103" s="23">
        <f>IF(Saldo_Residual_Activo!S103&gt;0, ROUND(Saldo_Residual_Activo!S103 * 'Resumen_Cartera'!$Q103, 2), "")</f>
        <v/>
      </c>
      <c r="U103" s="23">
        <f>SUM(I103:T103)</f>
        <v/>
      </c>
    </row>
    <row r="104">
      <c r="A104" s="26" t="inlineStr">
        <is>
          <t>0647-0002</t>
        </is>
      </c>
      <c r="B104" s="27" t="inlineStr">
        <is>
          <t>Cibara Gourmet S de Rl de Cv</t>
        </is>
      </c>
      <c r="C104" s="27" t="inlineStr">
        <is>
          <t>Rifter Allure Pack</t>
        </is>
      </c>
      <c r="D104" s="26" t="inlineStr">
        <is>
          <t>ACTIVO</t>
        </is>
      </c>
      <c r="E104" s="26" t="inlineStr">
        <is>
          <t>2024-08-14</t>
        </is>
      </c>
      <c r="F104" s="26" t="inlineStr">
        <is>
          <t>2027-08-14</t>
        </is>
      </c>
      <c r="G104" s="28" t="n">
        <v>36</v>
      </c>
      <c r="H104" s="29" t="n">
        <v>48008.62</v>
      </c>
      <c r="I104" s="29">
        <f>ROUND(28063.95 * 'Resumen_Cartera'!$Q104, 2)</f>
        <v/>
      </c>
      <c r="J104" s="29">
        <f>IF(Saldo_Residual_Activo!I104&gt;0, ROUND(Saldo_Residual_Activo!I104 * 'Resumen_Cartera'!$Q104, 2), "")</f>
        <v/>
      </c>
      <c r="K104" s="29">
        <f>IF(Saldo_Residual_Activo!J104&gt;0, ROUND(Saldo_Residual_Activo!J104 * 'Resumen_Cartera'!$Q104, 2), "")</f>
        <v/>
      </c>
      <c r="L104" s="29">
        <f>IF(Saldo_Residual_Activo!K104&gt;0, ROUND(Saldo_Residual_Activo!K104 * 'Resumen_Cartera'!$Q104, 2), "")</f>
        <v/>
      </c>
      <c r="M104" s="29">
        <f>IF(Saldo_Residual_Activo!L104&gt;0, ROUND(Saldo_Residual_Activo!L104 * 'Resumen_Cartera'!$Q104, 2), "")</f>
        <v/>
      </c>
      <c r="N104" s="29">
        <f>IF(Saldo_Residual_Activo!M104&gt;0, ROUND(Saldo_Residual_Activo!M104 * 'Resumen_Cartera'!$Q104, 2), "")</f>
        <v/>
      </c>
      <c r="O104" s="29">
        <f>IF(Saldo_Residual_Activo!N104&gt;0, ROUND(Saldo_Residual_Activo!N104 * 'Resumen_Cartera'!$Q104, 2), "")</f>
        <v/>
      </c>
      <c r="P104" s="29">
        <f>IF(Saldo_Residual_Activo!O104&gt;0, ROUND(Saldo_Residual_Activo!O104 * 'Resumen_Cartera'!$Q104, 2), "")</f>
        <v/>
      </c>
      <c r="Q104" s="29">
        <f>IF(Saldo_Residual_Activo!P104&gt;0, ROUND(Saldo_Residual_Activo!P104 * 'Resumen_Cartera'!$Q104, 2), "")</f>
        <v/>
      </c>
      <c r="R104" s="29">
        <f>IF(Saldo_Residual_Activo!Q104&gt;0, ROUND(Saldo_Residual_Activo!Q104 * 'Resumen_Cartera'!$Q104, 2), "")</f>
        <v/>
      </c>
      <c r="S104" s="29">
        <f>IF(Saldo_Residual_Activo!R104&gt;0, ROUND(Saldo_Residual_Activo!R104 * 'Resumen_Cartera'!$Q104, 2), "")</f>
        <v/>
      </c>
      <c r="T104" s="29">
        <f>IF(Saldo_Residual_Activo!S104&gt;0, ROUND(Saldo_Residual_Activo!S104 * 'Resumen_Cartera'!$Q104, 2), "")</f>
        <v/>
      </c>
      <c r="U104" s="29">
        <f>SUM(I104:T104)</f>
        <v/>
      </c>
    </row>
    <row r="105">
      <c r="A105" s="20" t="inlineStr">
        <is>
          <t>0647-0003</t>
        </is>
      </c>
      <c r="B105" s="21" t="inlineStr">
        <is>
          <t>Cibaria Gourmet S de Rl de Cv</t>
        </is>
      </c>
      <c r="C105" s="21" t="inlineStr">
        <is>
          <t>1200 Bighorn</t>
        </is>
      </c>
      <c r="D105" s="20" t="inlineStr">
        <is>
          <t>ACTIVO</t>
        </is>
      </c>
      <c r="E105" s="20" t="inlineStr">
        <is>
          <t>2026-06-30</t>
        </is>
      </c>
      <c r="F105" s="20" t="inlineStr">
        <is>
          <t>2029-06-30</t>
        </is>
      </c>
      <c r="G105" s="22" t="n">
        <v>36</v>
      </c>
      <c r="H105" s="23" t="n">
        <v>168750.9</v>
      </c>
      <c r="I105" s="23" t="inlineStr"/>
      <c r="J105" s="23" t="inlineStr"/>
      <c r="K105" s="23" t="inlineStr"/>
      <c r="L105" s="23" t="inlineStr"/>
      <c r="M105" s="23" t="inlineStr"/>
      <c r="N105" s="23">
        <f>ROUND('Resumen_Cartera'!$U105 * 'Resumen_Cartera'!$Q105, 2)</f>
        <v/>
      </c>
      <c r="O105" s="23">
        <f>IF(Saldo_Residual_Activo!N105&gt;0, ROUND(Saldo_Residual_Activo!N105 * 'Resumen_Cartera'!$Q105, 2), "")</f>
        <v/>
      </c>
      <c r="P105" s="23">
        <f>IF(Saldo_Residual_Activo!O105&gt;0, ROUND(Saldo_Residual_Activo!O105 * 'Resumen_Cartera'!$Q105, 2), "")</f>
        <v/>
      </c>
      <c r="Q105" s="23">
        <f>IF(Saldo_Residual_Activo!P105&gt;0, ROUND(Saldo_Residual_Activo!P105 * 'Resumen_Cartera'!$Q105, 2), "")</f>
        <v/>
      </c>
      <c r="R105" s="23">
        <f>IF(Saldo_Residual_Activo!Q105&gt;0, ROUND(Saldo_Residual_Activo!Q105 * 'Resumen_Cartera'!$Q105, 2), "")</f>
        <v/>
      </c>
      <c r="S105" s="23">
        <f>IF(Saldo_Residual_Activo!R105&gt;0, ROUND(Saldo_Residual_Activo!R105 * 'Resumen_Cartera'!$Q105, 2), "")</f>
        <v/>
      </c>
      <c r="T105" s="23">
        <f>IF(Saldo_Residual_Activo!S105&gt;0, ROUND(Saldo_Residual_Activo!S105 * 'Resumen_Cartera'!$Q105, 2), "")</f>
        <v/>
      </c>
      <c r="U105" s="23">
        <f>SUM(I105:T105)</f>
        <v/>
      </c>
    </row>
    <row r="106">
      <c r="A106" s="26" t="inlineStr">
        <is>
          <t>0647-0004</t>
        </is>
      </c>
      <c r="B106" s="27" t="inlineStr">
        <is>
          <t>Cibaria Gourmet S de Rl de Cv</t>
        </is>
      </c>
      <c r="C106" s="27" t="inlineStr">
        <is>
          <t>1200 Bighorn</t>
        </is>
      </c>
      <c r="D106" s="26" t="inlineStr">
        <is>
          <t>ACTIVO</t>
        </is>
      </c>
      <c r="E106" s="26" t="inlineStr">
        <is>
          <t>2026-06-30</t>
        </is>
      </c>
      <c r="F106" s="26" t="inlineStr">
        <is>
          <t>2029-06-30</t>
        </is>
      </c>
      <c r="G106" s="28" t="n">
        <v>36</v>
      </c>
      <c r="H106" s="29" t="n">
        <v>168750.9</v>
      </c>
      <c r="I106" s="29" t="inlineStr"/>
      <c r="J106" s="29" t="inlineStr"/>
      <c r="K106" s="29" t="inlineStr"/>
      <c r="L106" s="29" t="inlineStr"/>
      <c r="M106" s="29" t="inlineStr"/>
      <c r="N106" s="29">
        <f>ROUND('Resumen_Cartera'!$U106 * 'Resumen_Cartera'!$Q106, 2)</f>
        <v/>
      </c>
      <c r="O106" s="29">
        <f>IF(Saldo_Residual_Activo!N106&gt;0, ROUND(Saldo_Residual_Activo!N106 * 'Resumen_Cartera'!$Q106, 2), "")</f>
        <v/>
      </c>
      <c r="P106" s="29">
        <f>IF(Saldo_Residual_Activo!O106&gt;0, ROUND(Saldo_Residual_Activo!O106 * 'Resumen_Cartera'!$Q106, 2), "")</f>
        <v/>
      </c>
      <c r="Q106" s="29">
        <f>IF(Saldo_Residual_Activo!P106&gt;0, ROUND(Saldo_Residual_Activo!P106 * 'Resumen_Cartera'!$Q106, 2), "")</f>
        <v/>
      </c>
      <c r="R106" s="29">
        <f>IF(Saldo_Residual_Activo!Q106&gt;0, ROUND(Saldo_Residual_Activo!Q106 * 'Resumen_Cartera'!$Q106, 2), "")</f>
        <v/>
      </c>
      <c r="S106" s="29">
        <f>IF(Saldo_Residual_Activo!R106&gt;0, ROUND(Saldo_Residual_Activo!R106 * 'Resumen_Cartera'!$Q106, 2), "")</f>
        <v/>
      </c>
      <c r="T106" s="29">
        <f>IF(Saldo_Residual_Activo!S106&gt;0, ROUND(Saldo_Residual_Activo!S106 * 'Resumen_Cartera'!$Q106, 2), "")</f>
        <v/>
      </c>
      <c r="U106" s="29">
        <f>SUM(I106:T106)</f>
        <v/>
      </c>
    </row>
    <row r="107">
      <c r="A107" s="20" t="inlineStr">
        <is>
          <t>0648-0002</t>
        </is>
      </c>
      <c r="B107" s="21" t="inlineStr">
        <is>
          <t>Jorge Luis Cervantes Gonzalez</t>
        </is>
      </c>
      <c r="C107" s="21" t="inlineStr">
        <is>
          <t>Wagoneer</t>
        </is>
      </c>
      <c r="D107" s="20" t="inlineStr">
        <is>
          <t>ACTIVO</t>
        </is>
      </c>
      <c r="E107" s="20" t="inlineStr">
        <is>
          <t>2024-03-20</t>
        </is>
      </c>
      <c r="F107" s="20" t="inlineStr">
        <is>
          <t>2028-03-20</t>
        </is>
      </c>
      <c r="G107" s="22" t="n">
        <v>48</v>
      </c>
      <c r="H107" s="23" t="n">
        <v>332396.55</v>
      </c>
      <c r="I107" s="23">
        <f>ROUND(144892.98 * 'Resumen_Cartera'!$Q107, 2)</f>
        <v/>
      </c>
      <c r="J107" s="23">
        <f>IF(Saldo_Residual_Activo!I107&gt;0, ROUND(Saldo_Residual_Activo!I107 * 'Resumen_Cartera'!$Q107, 2), "")</f>
        <v/>
      </c>
      <c r="K107" s="23">
        <f>IF(Saldo_Residual_Activo!J107&gt;0, ROUND(Saldo_Residual_Activo!J107 * 'Resumen_Cartera'!$Q107, 2), "")</f>
        <v/>
      </c>
      <c r="L107" s="23">
        <f>IF(Saldo_Residual_Activo!K107&gt;0, ROUND(Saldo_Residual_Activo!K107 * 'Resumen_Cartera'!$Q107, 2), "")</f>
        <v/>
      </c>
      <c r="M107" s="23">
        <f>IF(Saldo_Residual_Activo!L107&gt;0, ROUND(Saldo_Residual_Activo!L107 * 'Resumen_Cartera'!$Q107, 2), "")</f>
        <v/>
      </c>
      <c r="N107" s="23">
        <f>IF(Saldo_Residual_Activo!M107&gt;0, ROUND(Saldo_Residual_Activo!M107 * 'Resumen_Cartera'!$Q107, 2), "")</f>
        <v/>
      </c>
      <c r="O107" s="23">
        <f>IF(Saldo_Residual_Activo!N107&gt;0, ROUND(Saldo_Residual_Activo!N107 * 'Resumen_Cartera'!$Q107, 2), "")</f>
        <v/>
      </c>
      <c r="P107" s="23">
        <f>IF(Saldo_Residual_Activo!O107&gt;0, ROUND(Saldo_Residual_Activo!O107 * 'Resumen_Cartera'!$Q107, 2), "")</f>
        <v/>
      </c>
      <c r="Q107" s="23">
        <f>IF(Saldo_Residual_Activo!P107&gt;0, ROUND(Saldo_Residual_Activo!P107 * 'Resumen_Cartera'!$Q107, 2), "")</f>
        <v/>
      </c>
      <c r="R107" s="23">
        <f>IF(Saldo_Residual_Activo!Q107&gt;0, ROUND(Saldo_Residual_Activo!Q107 * 'Resumen_Cartera'!$Q107, 2), "")</f>
        <v/>
      </c>
      <c r="S107" s="23">
        <f>IF(Saldo_Residual_Activo!R107&gt;0, ROUND(Saldo_Residual_Activo!R107 * 'Resumen_Cartera'!$Q107, 2), "")</f>
        <v/>
      </c>
      <c r="T107" s="23">
        <f>IF(Saldo_Residual_Activo!S107&gt;0, ROUND(Saldo_Residual_Activo!S107 * 'Resumen_Cartera'!$Q107, 2), "")</f>
        <v/>
      </c>
      <c r="U107" s="23">
        <f>SUM(I107:T107)</f>
        <v/>
      </c>
    </row>
    <row r="108">
      <c r="A108" s="26" t="inlineStr">
        <is>
          <t>0648-0003</t>
        </is>
      </c>
      <c r="B108" s="27" t="inlineStr">
        <is>
          <t>Jorge Luis Cervantes Gonzalez</t>
        </is>
      </c>
      <c r="C108" s="27" t="inlineStr">
        <is>
          <t>Wrangler Tuscadero</t>
        </is>
      </c>
      <c r="D108" s="26" t="inlineStr">
        <is>
          <t>ACTIVO</t>
        </is>
      </c>
      <c r="E108" s="26" t="inlineStr">
        <is>
          <t>2024-07-30</t>
        </is>
      </c>
      <c r="F108" s="26" t="inlineStr">
        <is>
          <t>2028-07-30</t>
        </is>
      </c>
      <c r="G108" s="28" t="n">
        <v>48</v>
      </c>
      <c r="H108" s="29" t="n">
        <v>243948.28</v>
      </c>
      <c r="I108" s="29">
        <f>ROUND(95811.83 * 'Resumen_Cartera'!$Q108, 2)</f>
        <v/>
      </c>
      <c r="J108" s="29">
        <f>IF(Saldo_Residual_Activo!I108&gt;0, ROUND(Saldo_Residual_Activo!I108 * 'Resumen_Cartera'!$Q108, 2), "")</f>
        <v/>
      </c>
      <c r="K108" s="29">
        <f>IF(Saldo_Residual_Activo!J108&gt;0, ROUND(Saldo_Residual_Activo!J108 * 'Resumen_Cartera'!$Q108, 2), "")</f>
        <v/>
      </c>
      <c r="L108" s="29">
        <f>IF(Saldo_Residual_Activo!K108&gt;0, ROUND(Saldo_Residual_Activo!K108 * 'Resumen_Cartera'!$Q108, 2), "")</f>
        <v/>
      </c>
      <c r="M108" s="29">
        <f>IF(Saldo_Residual_Activo!L108&gt;0, ROUND(Saldo_Residual_Activo!L108 * 'Resumen_Cartera'!$Q108, 2), "")</f>
        <v/>
      </c>
      <c r="N108" s="29">
        <f>IF(Saldo_Residual_Activo!M108&gt;0, ROUND(Saldo_Residual_Activo!M108 * 'Resumen_Cartera'!$Q108, 2), "")</f>
        <v/>
      </c>
      <c r="O108" s="29">
        <f>IF(Saldo_Residual_Activo!N108&gt;0, ROUND(Saldo_Residual_Activo!N108 * 'Resumen_Cartera'!$Q108, 2), "")</f>
        <v/>
      </c>
      <c r="P108" s="29">
        <f>IF(Saldo_Residual_Activo!O108&gt;0, ROUND(Saldo_Residual_Activo!O108 * 'Resumen_Cartera'!$Q108, 2), "")</f>
        <v/>
      </c>
      <c r="Q108" s="29">
        <f>IF(Saldo_Residual_Activo!P108&gt;0, ROUND(Saldo_Residual_Activo!P108 * 'Resumen_Cartera'!$Q108, 2), "")</f>
        <v/>
      </c>
      <c r="R108" s="29">
        <f>IF(Saldo_Residual_Activo!Q108&gt;0, ROUND(Saldo_Residual_Activo!Q108 * 'Resumen_Cartera'!$Q108, 2), "")</f>
        <v/>
      </c>
      <c r="S108" s="29">
        <f>IF(Saldo_Residual_Activo!R108&gt;0, ROUND(Saldo_Residual_Activo!R108 * 'Resumen_Cartera'!$Q108, 2), "")</f>
        <v/>
      </c>
      <c r="T108" s="29">
        <f>IF(Saldo_Residual_Activo!S108&gt;0, ROUND(Saldo_Residual_Activo!S108 * 'Resumen_Cartera'!$Q108, 2), "")</f>
        <v/>
      </c>
      <c r="U108" s="29">
        <f>SUM(I108:T108)</f>
        <v/>
      </c>
    </row>
    <row r="109">
      <c r="A109" s="20" t="inlineStr">
        <is>
          <t>0648-0004</t>
        </is>
      </c>
      <c r="B109" s="21" t="inlineStr">
        <is>
          <t>Jorge Luis Cervantes Gonzalez</t>
        </is>
      </c>
      <c r="C109" s="21" t="inlineStr">
        <is>
          <t>JEEP 392</t>
        </is>
      </c>
      <c r="D109" s="20" t="inlineStr">
        <is>
          <t>ACTIVO</t>
        </is>
      </c>
      <c r="E109" s="20" t="inlineStr">
        <is>
          <t>2025-11-13</t>
        </is>
      </c>
      <c r="F109" s="20" t="inlineStr">
        <is>
          <t>2028-11-13</t>
        </is>
      </c>
      <c r="G109" s="22" t="n">
        <v>36</v>
      </c>
      <c r="H109" s="23" t="n">
        <v>373603.45</v>
      </c>
      <c r="I109" s="23">
        <f>ROUND(152804.95 * 'Resumen_Cartera'!$Q109, 2)</f>
        <v/>
      </c>
      <c r="J109" s="23">
        <f>IF(Saldo_Residual_Activo!I109&gt;0, ROUND(Saldo_Residual_Activo!I109 * 'Resumen_Cartera'!$Q109, 2), "")</f>
        <v/>
      </c>
      <c r="K109" s="23">
        <f>IF(Saldo_Residual_Activo!J109&gt;0, ROUND(Saldo_Residual_Activo!J109 * 'Resumen_Cartera'!$Q109, 2), "")</f>
        <v/>
      </c>
      <c r="L109" s="23">
        <f>IF(Saldo_Residual_Activo!K109&gt;0, ROUND(Saldo_Residual_Activo!K109 * 'Resumen_Cartera'!$Q109, 2), "")</f>
        <v/>
      </c>
      <c r="M109" s="23">
        <f>IF(Saldo_Residual_Activo!L109&gt;0, ROUND(Saldo_Residual_Activo!L109 * 'Resumen_Cartera'!$Q109, 2), "")</f>
        <v/>
      </c>
      <c r="N109" s="23">
        <f>IF(Saldo_Residual_Activo!M109&gt;0, ROUND(Saldo_Residual_Activo!M109 * 'Resumen_Cartera'!$Q109, 2), "")</f>
        <v/>
      </c>
      <c r="O109" s="23">
        <f>IF(Saldo_Residual_Activo!N109&gt;0, ROUND(Saldo_Residual_Activo!N109 * 'Resumen_Cartera'!$Q109, 2), "")</f>
        <v/>
      </c>
      <c r="P109" s="23">
        <f>IF(Saldo_Residual_Activo!O109&gt;0, ROUND(Saldo_Residual_Activo!O109 * 'Resumen_Cartera'!$Q109, 2), "")</f>
        <v/>
      </c>
      <c r="Q109" s="23">
        <f>IF(Saldo_Residual_Activo!P109&gt;0, ROUND(Saldo_Residual_Activo!P109 * 'Resumen_Cartera'!$Q109, 2), "")</f>
        <v/>
      </c>
      <c r="R109" s="23">
        <f>IF(Saldo_Residual_Activo!Q109&gt;0, ROUND(Saldo_Residual_Activo!Q109 * 'Resumen_Cartera'!$Q109, 2), "")</f>
        <v/>
      </c>
      <c r="S109" s="23">
        <f>IF(Saldo_Residual_Activo!R109&gt;0, ROUND(Saldo_Residual_Activo!R109 * 'Resumen_Cartera'!$Q109, 2), "")</f>
        <v/>
      </c>
      <c r="T109" s="23">
        <f>IF(Saldo_Residual_Activo!S109&gt;0, ROUND(Saldo_Residual_Activo!S109 * 'Resumen_Cartera'!$Q109, 2), "")</f>
        <v/>
      </c>
      <c r="U109" s="23">
        <f>SUM(I109:T109)</f>
        <v/>
      </c>
    </row>
    <row r="110">
      <c r="A110" s="26" t="inlineStr">
        <is>
          <t>0648-0005</t>
        </is>
      </c>
      <c r="B110" s="27" t="inlineStr">
        <is>
          <t>Jorge Luis Cervantes Gonzalez</t>
        </is>
      </c>
      <c r="C110" s="27" t="inlineStr">
        <is>
          <t>1500 RHO</t>
        </is>
      </c>
      <c r="D110" s="26" t="inlineStr">
        <is>
          <t>ACTIVO</t>
        </is>
      </c>
      <c r="E110" s="26" t="inlineStr">
        <is>
          <t>2026-01-30</t>
        </is>
      </c>
      <c r="F110" s="26" t="inlineStr">
        <is>
          <t>2029-01-30</t>
        </is>
      </c>
      <c r="G110" s="28" t="n">
        <v>36</v>
      </c>
      <c r="H110" s="29" t="n">
        <v>401724.14</v>
      </c>
      <c r="I110" s="29">
        <f>ROUND('Resumen_Cartera'!$U110 * 'Resumen_Cartera'!$Q110, 2)</f>
        <v/>
      </c>
      <c r="J110" s="29">
        <f>IF(Saldo_Residual_Activo!I110&gt;0, ROUND(Saldo_Residual_Activo!I110 * 'Resumen_Cartera'!$Q110, 2), "")</f>
        <v/>
      </c>
      <c r="K110" s="29">
        <f>IF(Saldo_Residual_Activo!J110&gt;0, ROUND(Saldo_Residual_Activo!J110 * 'Resumen_Cartera'!$Q110, 2), "")</f>
        <v/>
      </c>
      <c r="L110" s="29">
        <f>IF(Saldo_Residual_Activo!K110&gt;0, ROUND(Saldo_Residual_Activo!K110 * 'Resumen_Cartera'!$Q110, 2), "")</f>
        <v/>
      </c>
      <c r="M110" s="29">
        <f>IF(Saldo_Residual_Activo!L110&gt;0, ROUND(Saldo_Residual_Activo!L110 * 'Resumen_Cartera'!$Q110, 2), "")</f>
        <v/>
      </c>
      <c r="N110" s="29">
        <f>IF(Saldo_Residual_Activo!M110&gt;0, ROUND(Saldo_Residual_Activo!M110 * 'Resumen_Cartera'!$Q110, 2), "")</f>
        <v/>
      </c>
      <c r="O110" s="29">
        <f>IF(Saldo_Residual_Activo!N110&gt;0, ROUND(Saldo_Residual_Activo!N110 * 'Resumen_Cartera'!$Q110, 2), "")</f>
        <v/>
      </c>
      <c r="P110" s="29">
        <f>IF(Saldo_Residual_Activo!O110&gt;0, ROUND(Saldo_Residual_Activo!O110 * 'Resumen_Cartera'!$Q110, 2), "")</f>
        <v/>
      </c>
      <c r="Q110" s="29">
        <f>IF(Saldo_Residual_Activo!P110&gt;0, ROUND(Saldo_Residual_Activo!P110 * 'Resumen_Cartera'!$Q110, 2), "")</f>
        <v/>
      </c>
      <c r="R110" s="29">
        <f>IF(Saldo_Residual_Activo!Q110&gt;0, ROUND(Saldo_Residual_Activo!Q110 * 'Resumen_Cartera'!$Q110, 2), "")</f>
        <v/>
      </c>
      <c r="S110" s="29">
        <f>IF(Saldo_Residual_Activo!R110&gt;0, ROUND(Saldo_Residual_Activo!R110 * 'Resumen_Cartera'!$Q110, 2), "")</f>
        <v/>
      </c>
      <c r="T110" s="29">
        <f>IF(Saldo_Residual_Activo!S110&gt;0, ROUND(Saldo_Residual_Activo!S110 * 'Resumen_Cartera'!$Q110, 2), "")</f>
        <v/>
      </c>
      <c r="U110" s="29">
        <f>SUM(I110:T110)</f>
        <v/>
      </c>
    </row>
    <row r="111">
      <c r="A111" s="20" t="inlineStr">
        <is>
          <t>0648-0006</t>
        </is>
      </c>
      <c r="B111" s="21" t="inlineStr">
        <is>
          <t>Jorge Luis Cervantes Gonzalez</t>
        </is>
      </c>
      <c r="C111" s="21" t="inlineStr">
        <is>
          <t>Durango Hellcat SRT</t>
        </is>
      </c>
      <c r="D111" s="20" t="inlineStr">
        <is>
          <t>ACTIVO</t>
        </is>
      </c>
      <c r="E111" s="20" t="inlineStr">
        <is>
          <t>2026-04-01</t>
        </is>
      </c>
      <c r="F111" s="20" t="inlineStr">
        <is>
          <t>2029-04-01</t>
        </is>
      </c>
      <c r="G111" s="22" t="n">
        <v>36</v>
      </c>
      <c r="H111" s="23" t="n">
        <v>374982.76</v>
      </c>
      <c r="I111" s="23" t="inlineStr"/>
      <c r="J111" s="23" t="inlineStr"/>
      <c r="K111" s="23" t="inlineStr"/>
      <c r="L111" s="23">
        <f>ROUND('Resumen_Cartera'!$U111 * 'Resumen_Cartera'!$Q111, 2)</f>
        <v/>
      </c>
      <c r="M111" s="23">
        <f>IF(Saldo_Residual_Activo!L111&gt;0, ROUND(Saldo_Residual_Activo!L111 * 'Resumen_Cartera'!$Q111, 2), "")</f>
        <v/>
      </c>
      <c r="N111" s="23">
        <f>IF(Saldo_Residual_Activo!M111&gt;0, ROUND(Saldo_Residual_Activo!M111 * 'Resumen_Cartera'!$Q111, 2), "")</f>
        <v/>
      </c>
      <c r="O111" s="23">
        <f>IF(Saldo_Residual_Activo!N111&gt;0, ROUND(Saldo_Residual_Activo!N111 * 'Resumen_Cartera'!$Q111, 2), "")</f>
        <v/>
      </c>
      <c r="P111" s="23">
        <f>IF(Saldo_Residual_Activo!O111&gt;0, ROUND(Saldo_Residual_Activo!O111 * 'Resumen_Cartera'!$Q111, 2), "")</f>
        <v/>
      </c>
      <c r="Q111" s="23">
        <f>IF(Saldo_Residual_Activo!P111&gt;0, ROUND(Saldo_Residual_Activo!P111 * 'Resumen_Cartera'!$Q111, 2), "")</f>
        <v/>
      </c>
      <c r="R111" s="23">
        <f>IF(Saldo_Residual_Activo!Q111&gt;0, ROUND(Saldo_Residual_Activo!Q111 * 'Resumen_Cartera'!$Q111, 2), "")</f>
        <v/>
      </c>
      <c r="S111" s="23">
        <f>IF(Saldo_Residual_Activo!R111&gt;0, ROUND(Saldo_Residual_Activo!R111 * 'Resumen_Cartera'!$Q111, 2), "")</f>
        <v/>
      </c>
      <c r="T111" s="23">
        <f>IF(Saldo_Residual_Activo!S111&gt;0, ROUND(Saldo_Residual_Activo!S111 * 'Resumen_Cartera'!$Q111, 2), "")</f>
        <v/>
      </c>
      <c r="U111" s="23">
        <f>SUM(I111:T111)</f>
        <v/>
      </c>
    </row>
    <row r="112">
      <c r="A112" s="26" t="inlineStr">
        <is>
          <t>0649-0001</t>
        </is>
      </c>
      <c r="B112" s="27" t="inlineStr">
        <is>
          <t>Compusoluciones Y Asociados Sa de Cv</t>
        </is>
      </c>
      <c r="C112" s="27" t="inlineStr">
        <is>
          <t>CX-30</t>
        </is>
      </c>
      <c r="D112" s="26" t="inlineStr">
        <is>
          <t>ACTIVO</t>
        </is>
      </c>
      <c r="E112" s="26" t="inlineStr">
        <is>
          <t>2024-02-27</t>
        </is>
      </c>
      <c r="F112" s="26" t="inlineStr">
        <is>
          <t>2028-02-27</t>
        </is>
      </c>
      <c r="G112" s="28" t="n">
        <v>48</v>
      </c>
      <c r="H112" s="29" t="n">
        <v>136418.55</v>
      </c>
      <c r="I112" s="29">
        <f>ROUND(72669.63 * 'Resumen_Cartera'!$Q112, 2)</f>
        <v/>
      </c>
      <c r="J112" s="29">
        <f>IF(Saldo_Residual_Activo!I112&gt;0, ROUND(Saldo_Residual_Activo!I112 * 'Resumen_Cartera'!$Q112, 2), "")</f>
        <v/>
      </c>
      <c r="K112" s="29">
        <f>IF(Saldo_Residual_Activo!J112&gt;0, ROUND(Saldo_Residual_Activo!J112 * 'Resumen_Cartera'!$Q112, 2), "")</f>
        <v/>
      </c>
      <c r="L112" s="29">
        <f>IF(Saldo_Residual_Activo!K112&gt;0, ROUND(Saldo_Residual_Activo!K112 * 'Resumen_Cartera'!$Q112, 2), "")</f>
        <v/>
      </c>
      <c r="M112" s="29">
        <f>IF(Saldo_Residual_Activo!L112&gt;0, ROUND(Saldo_Residual_Activo!L112 * 'Resumen_Cartera'!$Q112, 2), "")</f>
        <v/>
      </c>
      <c r="N112" s="29">
        <f>IF(Saldo_Residual_Activo!M112&gt;0, ROUND(Saldo_Residual_Activo!M112 * 'Resumen_Cartera'!$Q112, 2), "")</f>
        <v/>
      </c>
      <c r="O112" s="29">
        <f>IF(Saldo_Residual_Activo!N112&gt;0, ROUND(Saldo_Residual_Activo!N112 * 'Resumen_Cartera'!$Q112, 2), "")</f>
        <v/>
      </c>
      <c r="P112" s="29">
        <f>IF(Saldo_Residual_Activo!O112&gt;0, ROUND(Saldo_Residual_Activo!O112 * 'Resumen_Cartera'!$Q112, 2), "")</f>
        <v/>
      </c>
      <c r="Q112" s="29">
        <f>IF(Saldo_Residual_Activo!P112&gt;0, ROUND(Saldo_Residual_Activo!P112 * 'Resumen_Cartera'!$Q112, 2), "")</f>
        <v/>
      </c>
      <c r="R112" s="29">
        <f>IF(Saldo_Residual_Activo!Q112&gt;0, ROUND(Saldo_Residual_Activo!Q112 * 'Resumen_Cartera'!$Q112, 2), "")</f>
        <v/>
      </c>
      <c r="S112" s="29">
        <f>IF(Saldo_Residual_Activo!R112&gt;0, ROUND(Saldo_Residual_Activo!R112 * 'Resumen_Cartera'!$Q112, 2), "")</f>
        <v/>
      </c>
      <c r="T112" s="29">
        <f>IF(Saldo_Residual_Activo!S112&gt;0, ROUND(Saldo_Residual_Activo!S112 * 'Resumen_Cartera'!$Q112, 2), "")</f>
        <v/>
      </c>
      <c r="U112" s="29">
        <f>SUM(I112:T112)</f>
        <v/>
      </c>
    </row>
    <row r="113">
      <c r="A113" s="20" t="inlineStr">
        <is>
          <t>0649-0002</t>
        </is>
      </c>
      <c r="B113" s="21" t="inlineStr">
        <is>
          <t>Compusoluciones Y Asociados Sa de Cv</t>
        </is>
      </c>
      <c r="C113" s="21" t="inlineStr">
        <is>
          <t>CX5</t>
        </is>
      </c>
      <c r="D113" s="20" t="inlineStr">
        <is>
          <t>ACTIVO</t>
        </is>
      </c>
      <c r="E113" s="20" t="inlineStr">
        <is>
          <t>2024-02-27</t>
        </is>
      </c>
      <c r="F113" s="20" t="inlineStr">
        <is>
          <t>2028-02-27</t>
        </is>
      </c>
      <c r="G113" s="22" t="n">
        <v>48</v>
      </c>
      <c r="H113" s="23" t="n">
        <v>170731.03</v>
      </c>
      <c r="I113" s="23">
        <f>ROUND(90905.9 * 'Resumen_Cartera'!$Q113, 2)</f>
        <v/>
      </c>
      <c r="J113" s="23">
        <f>IF(Saldo_Residual_Activo!I113&gt;0, ROUND(Saldo_Residual_Activo!I113 * 'Resumen_Cartera'!$Q113, 2), "")</f>
        <v/>
      </c>
      <c r="K113" s="23">
        <f>IF(Saldo_Residual_Activo!J113&gt;0, ROUND(Saldo_Residual_Activo!J113 * 'Resumen_Cartera'!$Q113, 2), "")</f>
        <v/>
      </c>
      <c r="L113" s="23">
        <f>IF(Saldo_Residual_Activo!K113&gt;0, ROUND(Saldo_Residual_Activo!K113 * 'Resumen_Cartera'!$Q113, 2), "")</f>
        <v/>
      </c>
      <c r="M113" s="23">
        <f>IF(Saldo_Residual_Activo!L113&gt;0, ROUND(Saldo_Residual_Activo!L113 * 'Resumen_Cartera'!$Q113, 2), "")</f>
        <v/>
      </c>
      <c r="N113" s="23">
        <f>IF(Saldo_Residual_Activo!M113&gt;0, ROUND(Saldo_Residual_Activo!M113 * 'Resumen_Cartera'!$Q113, 2), "")</f>
        <v/>
      </c>
      <c r="O113" s="23">
        <f>IF(Saldo_Residual_Activo!N113&gt;0, ROUND(Saldo_Residual_Activo!N113 * 'Resumen_Cartera'!$Q113, 2), "")</f>
        <v/>
      </c>
      <c r="P113" s="23">
        <f>IF(Saldo_Residual_Activo!O113&gt;0, ROUND(Saldo_Residual_Activo!O113 * 'Resumen_Cartera'!$Q113, 2), "")</f>
        <v/>
      </c>
      <c r="Q113" s="23">
        <f>IF(Saldo_Residual_Activo!P113&gt;0, ROUND(Saldo_Residual_Activo!P113 * 'Resumen_Cartera'!$Q113, 2), "")</f>
        <v/>
      </c>
      <c r="R113" s="23">
        <f>IF(Saldo_Residual_Activo!Q113&gt;0, ROUND(Saldo_Residual_Activo!Q113 * 'Resumen_Cartera'!$Q113, 2), "")</f>
        <v/>
      </c>
      <c r="S113" s="23">
        <f>IF(Saldo_Residual_Activo!R113&gt;0, ROUND(Saldo_Residual_Activo!R113 * 'Resumen_Cartera'!$Q113, 2), "")</f>
        <v/>
      </c>
      <c r="T113" s="23">
        <f>IF(Saldo_Residual_Activo!S113&gt;0, ROUND(Saldo_Residual_Activo!S113 * 'Resumen_Cartera'!$Q113, 2), "")</f>
        <v/>
      </c>
      <c r="U113" s="23">
        <f>SUM(I113:T113)</f>
        <v/>
      </c>
    </row>
    <row r="114">
      <c r="A114" s="26" t="inlineStr">
        <is>
          <t>0649-0003</t>
        </is>
      </c>
      <c r="B114" s="27" t="inlineStr">
        <is>
          <t>Compusoluciones Y Asociados Sa de Cv</t>
        </is>
      </c>
      <c r="C114" s="27" t="inlineStr">
        <is>
          <t>Highlander XLE</t>
        </is>
      </c>
      <c r="D114" s="26" t="inlineStr">
        <is>
          <t>ACTIVO</t>
        </is>
      </c>
      <c r="E114" s="26" t="inlineStr">
        <is>
          <t>2024-03-13</t>
        </is>
      </c>
      <c r="F114" s="26" t="inlineStr">
        <is>
          <t>2028-03-13</t>
        </is>
      </c>
      <c r="G114" s="28" t="n">
        <v>48</v>
      </c>
      <c r="H114" s="29" t="n">
        <v>315160.34</v>
      </c>
      <c r="I114" s="29">
        <f>ROUND(183303.3 * 'Resumen_Cartera'!$Q114, 2)</f>
        <v/>
      </c>
      <c r="J114" s="29">
        <f>IF(Saldo_Residual_Activo!I114&gt;0, ROUND(Saldo_Residual_Activo!I114 * 'Resumen_Cartera'!$Q114, 2), "")</f>
        <v/>
      </c>
      <c r="K114" s="29">
        <f>IF(Saldo_Residual_Activo!J114&gt;0, ROUND(Saldo_Residual_Activo!J114 * 'Resumen_Cartera'!$Q114, 2), "")</f>
        <v/>
      </c>
      <c r="L114" s="29">
        <f>IF(Saldo_Residual_Activo!K114&gt;0, ROUND(Saldo_Residual_Activo!K114 * 'Resumen_Cartera'!$Q114, 2), "")</f>
        <v/>
      </c>
      <c r="M114" s="29">
        <f>IF(Saldo_Residual_Activo!L114&gt;0, ROUND(Saldo_Residual_Activo!L114 * 'Resumen_Cartera'!$Q114, 2), "")</f>
        <v/>
      </c>
      <c r="N114" s="29">
        <f>IF(Saldo_Residual_Activo!M114&gt;0, ROUND(Saldo_Residual_Activo!M114 * 'Resumen_Cartera'!$Q114, 2), "")</f>
        <v/>
      </c>
      <c r="O114" s="29">
        <f>IF(Saldo_Residual_Activo!N114&gt;0, ROUND(Saldo_Residual_Activo!N114 * 'Resumen_Cartera'!$Q114, 2), "")</f>
        <v/>
      </c>
      <c r="P114" s="29">
        <f>IF(Saldo_Residual_Activo!O114&gt;0, ROUND(Saldo_Residual_Activo!O114 * 'Resumen_Cartera'!$Q114, 2), "")</f>
        <v/>
      </c>
      <c r="Q114" s="29">
        <f>IF(Saldo_Residual_Activo!P114&gt;0, ROUND(Saldo_Residual_Activo!P114 * 'Resumen_Cartera'!$Q114, 2), "")</f>
        <v/>
      </c>
      <c r="R114" s="29">
        <f>IF(Saldo_Residual_Activo!Q114&gt;0, ROUND(Saldo_Residual_Activo!Q114 * 'Resumen_Cartera'!$Q114, 2), "")</f>
        <v/>
      </c>
      <c r="S114" s="29">
        <f>IF(Saldo_Residual_Activo!R114&gt;0, ROUND(Saldo_Residual_Activo!R114 * 'Resumen_Cartera'!$Q114, 2), "")</f>
        <v/>
      </c>
      <c r="T114" s="29">
        <f>IF(Saldo_Residual_Activo!S114&gt;0, ROUND(Saldo_Residual_Activo!S114 * 'Resumen_Cartera'!$Q114, 2), "")</f>
        <v/>
      </c>
      <c r="U114" s="29">
        <f>SUM(I114:T114)</f>
        <v/>
      </c>
    </row>
    <row r="115">
      <c r="A115" s="20" t="inlineStr">
        <is>
          <t>0649-0005</t>
        </is>
      </c>
      <c r="B115" s="21" t="inlineStr">
        <is>
          <t>Compusoluciones y Asociados Sa de Cv</t>
        </is>
      </c>
      <c r="C115" s="21" t="inlineStr">
        <is>
          <t>3 i Touring</t>
        </is>
      </c>
      <c r="D115" s="20" t="inlineStr">
        <is>
          <t>ACTIVO</t>
        </is>
      </c>
      <c r="E115" s="20" t="inlineStr">
        <is>
          <t>2024-07-24</t>
        </is>
      </c>
      <c r="F115" s="20" t="inlineStr">
        <is>
          <t>2028-07-24</t>
        </is>
      </c>
      <c r="G115" s="22" t="n">
        <v>48</v>
      </c>
      <c r="H115" s="23" t="n">
        <v>123558.62</v>
      </c>
      <c r="I115" s="23">
        <f>ROUND(57997.37 * 'Resumen_Cartera'!$Q115, 2)</f>
        <v/>
      </c>
      <c r="J115" s="23">
        <f>IF(Saldo_Residual_Activo!I115&gt;0, ROUND(Saldo_Residual_Activo!I115 * 'Resumen_Cartera'!$Q115, 2), "")</f>
        <v/>
      </c>
      <c r="K115" s="23">
        <f>IF(Saldo_Residual_Activo!J115&gt;0, ROUND(Saldo_Residual_Activo!J115 * 'Resumen_Cartera'!$Q115, 2), "")</f>
        <v/>
      </c>
      <c r="L115" s="23">
        <f>IF(Saldo_Residual_Activo!K115&gt;0, ROUND(Saldo_Residual_Activo!K115 * 'Resumen_Cartera'!$Q115, 2), "")</f>
        <v/>
      </c>
      <c r="M115" s="23">
        <f>IF(Saldo_Residual_Activo!L115&gt;0, ROUND(Saldo_Residual_Activo!L115 * 'Resumen_Cartera'!$Q115, 2), "")</f>
        <v/>
      </c>
      <c r="N115" s="23">
        <f>IF(Saldo_Residual_Activo!M115&gt;0, ROUND(Saldo_Residual_Activo!M115 * 'Resumen_Cartera'!$Q115, 2), "")</f>
        <v/>
      </c>
      <c r="O115" s="23">
        <f>IF(Saldo_Residual_Activo!N115&gt;0, ROUND(Saldo_Residual_Activo!N115 * 'Resumen_Cartera'!$Q115, 2), "")</f>
        <v/>
      </c>
      <c r="P115" s="23">
        <f>IF(Saldo_Residual_Activo!O115&gt;0, ROUND(Saldo_Residual_Activo!O115 * 'Resumen_Cartera'!$Q115, 2), "")</f>
        <v/>
      </c>
      <c r="Q115" s="23">
        <f>IF(Saldo_Residual_Activo!P115&gt;0, ROUND(Saldo_Residual_Activo!P115 * 'Resumen_Cartera'!$Q115, 2), "")</f>
        <v/>
      </c>
      <c r="R115" s="23">
        <f>IF(Saldo_Residual_Activo!Q115&gt;0, ROUND(Saldo_Residual_Activo!Q115 * 'Resumen_Cartera'!$Q115, 2), "")</f>
        <v/>
      </c>
      <c r="S115" s="23">
        <f>IF(Saldo_Residual_Activo!R115&gt;0, ROUND(Saldo_Residual_Activo!R115 * 'Resumen_Cartera'!$Q115, 2), "")</f>
        <v/>
      </c>
      <c r="T115" s="23">
        <f>IF(Saldo_Residual_Activo!S115&gt;0, ROUND(Saldo_Residual_Activo!S115 * 'Resumen_Cartera'!$Q115, 2), "")</f>
        <v/>
      </c>
      <c r="U115" s="23">
        <f>SUM(I115:T115)</f>
        <v/>
      </c>
    </row>
    <row r="116">
      <c r="A116" s="26" t="inlineStr">
        <is>
          <t>0649-0006</t>
        </is>
      </c>
      <c r="B116" s="27" t="inlineStr">
        <is>
          <t>Compusoluciones y Asociados sa de Cv</t>
        </is>
      </c>
      <c r="C116" s="27" t="inlineStr">
        <is>
          <t>Mazda Cx5</t>
        </is>
      </c>
      <c r="D116" s="26" t="inlineStr">
        <is>
          <t>ACTIVO</t>
        </is>
      </c>
      <c r="E116" s="26" t="inlineStr">
        <is>
          <t>2024-09-25</t>
        </is>
      </c>
      <c r="F116" s="26" t="inlineStr">
        <is>
          <t>2028-09-25</t>
        </is>
      </c>
      <c r="G116" s="28" t="n">
        <v>48</v>
      </c>
      <c r="H116" s="29" t="n">
        <v>164193.03</v>
      </c>
      <c r="I116" s="29">
        <f>ROUND(73324.44 * 'Resumen_Cartera'!$Q116, 2)</f>
        <v/>
      </c>
      <c r="J116" s="29">
        <f>IF(Saldo_Residual_Activo!I116&gt;0, ROUND(Saldo_Residual_Activo!I116 * 'Resumen_Cartera'!$Q116, 2), "")</f>
        <v/>
      </c>
      <c r="K116" s="29">
        <f>IF(Saldo_Residual_Activo!J116&gt;0, ROUND(Saldo_Residual_Activo!J116 * 'Resumen_Cartera'!$Q116, 2), "")</f>
        <v/>
      </c>
      <c r="L116" s="29">
        <f>IF(Saldo_Residual_Activo!K116&gt;0, ROUND(Saldo_Residual_Activo!K116 * 'Resumen_Cartera'!$Q116, 2), "")</f>
        <v/>
      </c>
      <c r="M116" s="29">
        <f>IF(Saldo_Residual_Activo!L116&gt;0, ROUND(Saldo_Residual_Activo!L116 * 'Resumen_Cartera'!$Q116, 2), "")</f>
        <v/>
      </c>
      <c r="N116" s="29">
        <f>IF(Saldo_Residual_Activo!M116&gt;0, ROUND(Saldo_Residual_Activo!M116 * 'Resumen_Cartera'!$Q116, 2), "")</f>
        <v/>
      </c>
      <c r="O116" s="29">
        <f>IF(Saldo_Residual_Activo!N116&gt;0, ROUND(Saldo_Residual_Activo!N116 * 'Resumen_Cartera'!$Q116, 2), "")</f>
        <v/>
      </c>
      <c r="P116" s="29">
        <f>IF(Saldo_Residual_Activo!O116&gt;0, ROUND(Saldo_Residual_Activo!O116 * 'Resumen_Cartera'!$Q116, 2), "")</f>
        <v/>
      </c>
      <c r="Q116" s="29">
        <f>IF(Saldo_Residual_Activo!P116&gt;0, ROUND(Saldo_Residual_Activo!P116 * 'Resumen_Cartera'!$Q116, 2), "")</f>
        <v/>
      </c>
      <c r="R116" s="29">
        <f>IF(Saldo_Residual_Activo!Q116&gt;0, ROUND(Saldo_Residual_Activo!Q116 * 'Resumen_Cartera'!$Q116, 2), "")</f>
        <v/>
      </c>
      <c r="S116" s="29">
        <f>IF(Saldo_Residual_Activo!R116&gt;0, ROUND(Saldo_Residual_Activo!R116 * 'Resumen_Cartera'!$Q116, 2), "")</f>
        <v/>
      </c>
      <c r="T116" s="29">
        <f>IF(Saldo_Residual_Activo!S116&gt;0, ROUND(Saldo_Residual_Activo!S116 * 'Resumen_Cartera'!$Q116, 2), "")</f>
        <v/>
      </c>
      <c r="U116" s="29">
        <f>SUM(I116:T116)</f>
        <v/>
      </c>
    </row>
    <row r="117">
      <c r="A117" s="20" t="inlineStr">
        <is>
          <t>0649-0007</t>
        </is>
      </c>
      <c r="B117" s="21" t="inlineStr">
        <is>
          <t>Compusoluciones y Asociados sa de Cv</t>
        </is>
      </c>
      <c r="C117" s="21" t="inlineStr">
        <is>
          <t>RX5</t>
        </is>
      </c>
      <c r="D117" s="20" t="inlineStr">
        <is>
          <t>ACTIVO</t>
        </is>
      </c>
      <c r="E117" s="20" t="inlineStr">
        <is>
          <t>2024-10-28</t>
        </is>
      </c>
      <c r="F117" s="20" t="inlineStr">
        <is>
          <t>2027-10-28</t>
        </is>
      </c>
      <c r="G117" s="22" t="n">
        <v>36</v>
      </c>
      <c r="H117" s="23" t="n">
        <v>125489.66</v>
      </c>
      <c r="I117" s="23">
        <f>ROUND(80174.08 * 'Resumen_Cartera'!$Q117, 2)</f>
        <v/>
      </c>
      <c r="J117" s="23">
        <f>IF(Saldo_Residual_Activo!I117&gt;0, ROUND(Saldo_Residual_Activo!I117 * 'Resumen_Cartera'!$Q117, 2), "")</f>
        <v/>
      </c>
      <c r="K117" s="23">
        <f>IF(Saldo_Residual_Activo!J117&gt;0, ROUND(Saldo_Residual_Activo!J117 * 'Resumen_Cartera'!$Q117, 2), "")</f>
        <v/>
      </c>
      <c r="L117" s="23">
        <f>IF(Saldo_Residual_Activo!K117&gt;0, ROUND(Saldo_Residual_Activo!K117 * 'Resumen_Cartera'!$Q117, 2), "")</f>
        <v/>
      </c>
      <c r="M117" s="23">
        <f>IF(Saldo_Residual_Activo!L117&gt;0, ROUND(Saldo_Residual_Activo!L117 * 'Resumen_Cartera'!$Q117, 2), "")</f>
        <v/>
      </c>
      <c r="N117" s="23">
        <f>IF(Saldo_Residual_Activo!M117&gt;0, ROUND(Saldo_Residual_Activo!M117 * 'Resumen_Cartera'!$Q117, 2), "")</f>
        <v/>
      </c>
      <c r="O117" s="23">
        <f>IF(Saldo_Residual_Activo!N117&gt;0, ROUND(Saldo_Residual_Activo!N117 * 'Resumen_Cartera'!$Q117, 2), "")</f>
        <v/>
      </c>
      <c r="P117" s="23">
        <f>IF(Saldo_Residual_Activo!O117&gt;0, ROUND(Saldo_Residual_Activo!O117 * 'Resumen_Cartera'!$Q117, 2), "")</f>
        <v/>
      </c>
      <c r="Q117" s="23">
        <f>IF(Saldo_Residual_Activo!P117&gt;0, ROUND(Saldo_Residual_Activo!P117 * 'Resumen_Cartera'!$Q117, 2), "")</f>
        <v/>
      </c>
      <c r="R117" s="23">
        <f>IF(Saldo_Residual_Activo!Q117&gt;0, ROUND(Saldo_Residual_Activo!Q117 * 'Resumen_Cartera'!$Q117, 2), "")</f>
        <v/>
      </c>
      <c r="S117" s="23">
        <f>IF(Saldo_Residual_Activo!R117&gt;0, ROUND(Saldo_Residual_Activo!R117 * 'Resumen_Cartera'!$Q117, 2), "")</f>
        <v/>
      </c>
      <c r="T117" s="23">
        <f>IF(Saldo_Residual_Activo!S117&gt;0, ROUND(Saldo_Residual_Activo!S117 * 'Resumen_Cartera'!$Q117, 2), "")</f>
        <v/>
      </c>
      <c r="U117" s="23">
        <f>SUM(I117:T117)</f>
        <v/>
      </c>
    </row>
    <row r="118">
      <c r="A118" s="26" t="inlineStr">
        <is>
          <t>0649-0008</t>
        </is>
      </c>
      <c r="B118" s="27" t="inlineStr">
        <is>
          <t>Compusoluciones y Asociados Sa de Cv</t>
        </is>
      </c>
      <c r="C118" s="27" t="inlineStr">
        <is>
          <t>Kicks</t>
        </is>
      </c>
      <c r="D118" s="26" t="inlineStr">
        <is>
          <t>ACTIVO</t>
        </is>
      </c>
      <c r="E118" s="26" t="inlineStr">
        <is>
          <t>2024-11-27</t>
        </is>
      </c>
      <c r="F118" s="26" t="inlineStr">
        <is>
          <t>2028-11-27</t>
        </is>
      </c>
      <c r="G118" s="28" t="n">
        <v>48</v>
      </c>
      <c r="H118" s="29" t="n">
        <v>174317.24</v>
      </c>
      <c r="I118" s="29">
        <f>ROUND(73974.26 * 'Resumen_Cartera'!$Q118, 2)</f>
        <v/>
      </c>
      <c r="J118" s="29">
        <f>IF(Saldo_Residual_Activo!I118&gt;0, ROUND(Saldo_Residual_Activo!I118 * 'Resumen_Cartera'!$Q118, 2), "")</f>
        <v/>
      </c>
      <c r="K118" s="29">
        <f>IF(Saldo_Residual_Activo!J118&gt;0, ROUND(Saldo_Residual_Activo!J118 * 'Resumen_Cartera'!$Q118, 2), "")</f>
        <v/>
      </c>
      <c r="L118" s="29">
        <f>IF(Saldo_Residual_Activo!K118&gt;0, ROUND(Saldo_Residual_Activo!K118 * 'Resumen_Cartera'!$Q118, 2), "")</f>
        <v/>
      </c>
      <c r="M118" s="29">
        <f>IF(Saldo_Residual_Activo!L118&gt;0, ROUND(Saldo_Residual_Activo!L118 * 'Resumen_Cartera'!$Q118, 2), "")</f>
        <v/>
      </c>
      <c r="N118" s="29">
        <f>IF(Saldo_Residual_Activo!M118&gt;0, ROUND(Saldo_Residual_Activo!M118 * 'Resumen_Cartera'!$Q118, 2), "")</f>
        <v/>
      </c>
      <c r="O118" s="29">
        <f>IF(Saldo_Residual_Activo!N118&gt;0, ROUND(Saldo_Residual_Activo!N118 * 'Resumen_Cartera'!$Q118, 2), "")</f>
        <v/>
      </c>
      <c r="P118" s="29">
        <f>IF(Saldo_Residual_Activo!O118&gt;0, ROUND(Saldo_Residual_Activo!O118 * 'Resumen_Cartera'!$Q118, 2), "")</f>
        <v/>
      </c>
      <c r="Q118" s="29">
        <f>IF(Saldo_Residual_Activo!P118&gt;0, ROUND(Saldo_Residual_Activo!P118 * 'Resumen_Cartera'!$Q118, 2), "")</f>
        <v/>
      </c>
      <c r="R118" s="29">
        <f>IF(Saldo_Residual_Activo!Q118&gt;0, ROUND(Saldo_Residual_Activo!Q118 * 'Resumen_Cartera'!$Q118, 2), "")</f>
        <v/>
      </c>
      <c r="S118" s="29">
        <f>IF(Saldo_Residual_Activo!R118&gt;0, ROUND(Saldo_Residual_Activo!R118 * 'Resumen_Cartera'!$Q118, 2), "")</f>
        <v/>
      </c>
      <c r="T118" s="29">
        <f>IF(Saldo_Residual_Activo!S118&gt;0, ROUND(Saldo_Residual_Activo!S118 * 'Resumen_Cartera'!$Q118, 2), "")</f>
        <v/>
      </c>
      <c r="U118" s="29">
        <f>SUM(I118:T118)</f>
        <v/>
      </c>
    </row>
    <row r="119">
      <c r="A119" s="20" t="inlineStr">
        <is>
          <t>0649-0009</t>
        </is>
      </c>
      <c r="B119" s="21" t="inlineStr">
        <is>
          <t>Compusoluciones y Asociados Sa de Cv</t>
        </is>
      </c>
      <c r="C119" s="21" t="inlineStr">
        <is>
          <t>Fronx Boostergreen</t>
        </is>
      </c>
      <c r="D119" s="20" t="inlineStr">
        <is>
          <t>ACTIVO</t>
        </is>
      </c>
      <c r="E119" s="20" t="inlineStr">
        <is>
          <t>2025-05-26</t>
        </is>
      </c>
      <c r="F119" s="20" t="inlineStr">
        <is>
          <t>2029-05-26</t>
        </is>
      </c>
      <c r="G119" s="22" t="n">
        <v>48</v>
      </c>
      <c r="H119" s="23" t="n">
        <v>124135.17</v>
      </c>
      <c r="I119" s="23">
        <f>ROUND(45283.73 * 'Resumen_Cartera'!$Q119, 2)</f>
        <v/>
      </c>
      <c r="J119" s="23">
        <f>IF(Saldo_Residual_Activo!I119&gt;0, ROUND(Saldo_Residual_Activo!I119 * 'Resumen_Cartera'!$Q119, 2), "")</f>
        <v/>
      </c>
      <c r="K119" s="23">
        <f>IF(Saldo_Residual_Activo!J119&gt;0, ROUND(Saldo_Residual_Activo!J119 * 'Resumen_Cartera'!$Q119, 2), "")</f>
        <v/>
      </c>
      <c r="L119" s="23">
        <f>IF(Saldo_Residual_Activo!K119&gt;0, ROUND(Saldo_Residual_Activo!K119 * 'Resumen_Cartera'!$Q119, 2), "")</f>
        <v/>
      </c>
      <c r="M119" s="23">
        <f>IF(Saldo_Residual_Activo!L119&gt;0, ROUND(Saldo_Residual_Activo!L119 * 'Resumen_Cartera'!$Q119, 2), "")</f>
        <v/>
      </c>
      <c r="N119" s="23">
        <f>IF(Saldo_Residual_Activo!M119&gt;0, ROUND(Saldo_Residual_Activo!M119 * 'Resumen_Cartera'!$Q119, 2), "")</f>
        <v/>
      </c>
      <c r="O119" s="23">
        <f>IF(Saldo_Residual_Activo!N119&gt;0, ROUND(Saldo_Residual_Activo!N119 * 'Resumen_Cartera'!$Q119, 2), "")</f>
        <v/>
      </c>
      <c r="P119" s="23">
        <f>IF(Saldo_Residual_Activo!O119&gt;0, ROUND(Saldo_Residual_Activo!O119 * 'Resumen_Cartera'!$Q119, 2), "")</f>
        <v/>
      </c>
      <c r="Q119" s="23">
        <f>IF(Saldo_Residual_Activo!P119&gt;0, ROUND(Saldo_Residual_Activo!P119 * 'Resumen_Cartera'!$Q119, 2), "")</f>
        <v/>
      </c>
      <c r="R119" s="23">
        <f>IF(Saldo_Residual_Activo!Q119&gt;0, ROUND(Saldo_Residual_Activo!Q119 * 'Resumen_Cartera'!$Q119, 2), "")</f>
        <v/>
      </c>
      <c r="S119" s="23">
        <f>IF(Saldo_Residual_Activo!R119&gt;0, ROUND(Saldo_Residual_Activo!R119 * 'Resumen_Cartera'!$Q119, 2), "")</f>
        <v/>
      </c>
      <c r="T119" s="23">
        <f>IF(Saldo_Residual_Activo!S119&gt;0, ROUND(Saldo_Residual_Activo!S119 * 'Resumen_Cartera'!$Q119, 2), "")</f>
        <v/>
      </c>
      <c r="U119" s="23">
        <f>SUM(I119:T119)</f>
        <v/>
      </c>
    </row>
    <row r="120">
      <c r="A120" s="26" t="inlineStr">
        <is>
          <t>0649-0010</t>
        </is>
      </c>
      <c r="B120" s="27" t="inlineStr">
        <is>
          <t>Compusoluciones y Asociados Sa de Cv</t>
        </is>
      </c>
      <c r="C120" s="27" t="inlineStr">
        <is>
          <t>Mazda CX90</t>
        </is>
      </c>
      <c r="D120" s="26" t="inlineStr">
        <is>
          <t>ACTIVO</t>
        </is>
      </c>
      <c r="E120" s="26" t="inlineStr">
        <is>
          <t>2025-09-30</t>
        </is>
      </c>
      <c r="F120" s="26" t="inlineStr">
        <is>
          <t>2029-09-30</t>
        </is>
      </c>
      <c r="G120" s="28" t="n">
        <v>48</v>
      </c>
      <c r="H120" s="29" t="n">
        <v>270868.97</v>
      </c>
      <c r="I120" s="29">
        <f>ROUND(102626.16 * 'Resumen_Cartera'!$Q120, 2)</f>
        <v/>
      </c>
      <c r="J120" s="29">
        <f>IF(Saldo_Residual_Activo!I120&gt;0, ROUND(Saldo_Residual_Activo!I120 * 'Resumen_Cartera'!$Q120, 2), "")</f>
        <v/>
      </c>
      <c r="K120" s="29">
        <f>IF(Saldo_Residual_Activo!J120&gt;0, ROUND(Saldo_Residual_Activo!J120 * 'Resumen_Cartera'!$Q120, 2), "")</f>
        <v/>
      </c>
      <c r="L120" s="29">
        <f>IF(Saldo_Residual_Activo!K120&gt;0, ROUND(Saldo_Residual_Activo!K120 * 'Resumen_Cartera'!$Q120, 2), "")</f>
        <v/>
      </c>
      <c r="M120" s="29">
        <f>IF(Saldo_Residual_Activo!L120&gt;0, ROUND(Saldo_Residual_Activo!L120 * 'Resumen_Cartera'!$Q120, 2), "")</f>
        <v/>
      </c>
      <c r="N120" s="29">
        <f>IF(Saldo_Residual_Activo!M120&gt;0, ROUND(Saldo_Residual_Activo!M120 * 'Resumen_Cartera'!$Q120, 2), "")</f>
        <v/>
      </c>
      <c r="O120" s="29">
        <f>IF(Saldo_Residual_Activo!N120&gt;0, ROUND(Saldo_Residual_Activo!N120 * 'Resumen_Cartera'!$Q120, 2), "")</f>
        <v/>
      </c>
      <c r="P120" s="29">
        <f>IF(Saldo_Residual_Activo!O120&gt;0, ROUND(Saldo_Residual_Activo!O120 * 'Resumen_Cartera'!$Q120, 2), "")</f>
        <v/>
      </c>
      <c r="Q120" s="29">
        <f>IF(Saldo_Residual_Activo!P120&gt;0, ROUND(Saldo_Residual_Activo!P120 * 'Resumen_Cartera'!$Q120, 2), "")</f>
        <v/>
      </c>
      <c r="R120" s="29">
        <f>IF(Saldo_Residual_Activo!Q120&gt;0, ROUND(Saldo_Residual_Activo!Q120 * 'Resumen_Cartera'!$Q120, 2), "")</f>
        <v/>
      </c>
      <c r="S120" s="29">
        <f>IF(Saldo_Residual_Activo!R120&gt;0, ROUND(Saldo_Residual_Activo!R120 * 'Resumen_Cartera'!$Q120, 2), "")</f>
        <v/>
      </c>
      <c r="T120" s="29">
        <f>IF(Saldo_Residual_Activo!S120&gt;0, ROUND(Saldo_Residual_Activo!S120 * 'Resumen_Cartera'!$Q120, 2), "")</f>
        <v/>
      </c>
      <c r="U120" s="29">
        <f>SUM(I120:T120)</f>
        <v/>
      </c>
    </row>
    <row r="121">
      <c r="A121" s="20" t="inlineStr">
        <is>
          <t>0649-0011</t>
        </is>
      </c>
      <c r="B121" s="21" t="inlineStr">
        <is>
          <t>Compusoluciones y Asociados Sa de Cv</t>
        </is>
      </c>
      <c r="C121" s="21" t="inlineStr">
        <is>
          <t>EX40</t>
        </is>
      </c>
      <c r="D121" s="20" t="inlineStr">
        <is>
          <t>ACTIVO</t>
        </is>
      </c>
      <c r="E121" s="20" t="inlineStr">
        <is>
          <t>2025-10-23</t>
        </is>
      </c>
      <c r="F121" s="20" t="inlineStr">
        <is>
          <t>2029-10-23</t>
        </is>
      </c>
      <c r="G121" s="22" t="n">
        <v>48</v>
      </c>
      <c r="H121" s="23" t="n">
        <v>302586.21</v>
      </c>
      <c r="I121" s="23">
        <f>ROUND(107744.83 * 'Resumen_Cartera'!$Q121, 2)</f>
        <v/>
      </c>
      <c r="J121" s="23">
        <f>IF(Saldo_Residual_Activo!I121&gt;0, ROUND(Saldo_Residual_Activo!I121 * 'Resumen_Cartera'!$Q121, 2), "")</f>
        <v/>
      </c>
      <c r="K121" s="23">
        <f>IF(Saldo_Residual_Activo!J121&gt;0, ROUND(Saldo_Residual_Activo!J121 * 'Resumen_Cartera'!$Q121, 2), "")</f>
        <v/>
      </c>
      <c r="L121" s="23">
        <f>IF(Saldo_Residual_Activo!K121&gt;0, ROUND(Saldo_Residual_Activo!K121 * 'Resumen_Cartera'!$Q121, 2), "")</f>
        <v/>
      </c>
      <c r="M121" s="23">
        <f>IF(Saldo_Residual_Activo!L121&gt;0, ROUND(Saldo_Residual_Activo!L121 * 'Resumen_Cartera'!$Q121, 2), "")</f>
        <v/>
      </c>
      <c r="N121" s="23">
        <f>IF(Saldo_Residual_Activo!M121&gt;0, ROUND(Saldo_Residual_Activo!M121 * 'Resumen_Cartera'!$Q121, 2), "")</f>
        <v/>
      </c>
      <c r="O121" s="23">
        <f>IF(Saldo_Residual_Activo!N121&gt;0, ROUND(Saldo_Residual_Activo!N121 * 'Resumen_Cartera'!$Q121, 2), "")</f>
        <v/>
      </c>
      <c r="P121" s="23">
        <f>IF(Saldo_Residual_Activo!O121&gt;0, ROUND(Saldo_Residual_Activo!O121 * 'Resumen_Cartera'!$Q121, 2), "")</f>
        <v/>
      </c>
      <c r="Q121" s="23">
        <f>IF(Saldo_Residual_Activo!P121&gt;0, ROUND(Saldo_Residual_Activo!P121 * 'Resumen_Cartera'!$Q121, 2), "")</f>
        <v/>
      </c>
      <c r="R121" s="23">
        <f>IF(Saldo_Residual_Activo!Q121&gt;0, ROUND(Saldo_Residual_Activo!Q121 * 'Resumen_Cartera'!$Q121, 2), "")</f>
        <v/>
      </c>
      <c r="S121" s="23">
        <f>IF(Saldo_Residual_Activo!R121&gt;0, ROUND(Saldo_Residual_Activo!R121 * 'Resumen_Cartera'!$Q121, 2), "")</f>
        <v/>
      </c>
      <c r="T121" s="23">
        <f>IF(Saldo_Residual_Activo!S121&gt;0, ROUND(Saldo_Residual_Activo!S121 * 'Resumen_Cartera'!$Q121, 2), "")</f>
        <v/>
      </c>
      <c r="U121" s="23">
        <f>SUM(I121:T121)</f>
        <v/>
      </c>
    </row>
    <row r="122">
      <c r="A122" s="26" t="inlineStr">
        <is>
          <t>0649-0012</t>
        </is>
      </c>
      <c r="B122" s="27" t="inlineStr">
        <is>
          <t>Compusoluciones y Asociados Sa de Cv</t>
        </is>
      </c>
      <c r="C122" s="27" t="inlineStr">
        <is>
          <t>Sportage</t>
        </is>
      </c>
      <c r="D122" s="26" t="inlineStr">
        <is>
          <t>ACTIVO</t>
        </is>
      </c>
      <c r="E122" s="26" t="inlineStr">
        <is>
          <t>2025-12-01</t>
        </is>
      </c>
      <c r="F122" s="26" t="inlineStr">
        <is>
          <t>2029-12-01</t>
        </is>
      </c>
      <c r="G122" s="28" t="n">
        <v>48</v>
      </c>
      <c r="H122" s="29" t="n">
        <v>231276.72</v>
      </c>
      <c r="I122" s="29">
        <f>ROUND(78658.87 * 'Resumen_Cartera'!$Q122, 2)</f>
        <v/>
      </c>
      <c r="J122" s="29">
        <f>IF(Saldo_Residual_Activo!I122&gt;0, ROUND(Saldo_Residual_Activo!I122 * 'Resumen_Cartera'!$Q122, 2), "")</f>
        <v/>
      </c>
      <c r="K122" s="29">
        <f>IF(Saldo_Residual_Activo!J122&gt;0, ROUND(Saldo_Residual_Activo!J122 * 'Resumen_Cartera'!$Q122, 2), "")</f>
        <v/>
      </c>
      <c r="L122" s="29">
        <f>IF(Saldo_Residual_Activo!K122&gt;0, ROUND(Saldo_Residual_Activo!K122 * 'Resumen_Cartera'!$Q122, 2), "")</f>
        <v/>
      </c>
      <c r="M122" s="29">
        <f>IF(Saldo_Residual_Activo!L122&gt;0, ROUND(Saldo_Residual_Activo!L122 * 'Resumen_Cartera'!$Q122, 2), "")</f>
        <v/>
      </c>
      <c r="N122" s="29">
        <f>IF(Saldo_Residual_Activo!M122&gt;0, ROUND(Saldo_Residual_Activo!M122 * 'Resumen_Cartera'!$Q122, 2), "")</f>
        <v/>
      </c>
      <c r="O122" s="29">
        <f>IF(Saldo_Residual_Activo!N122&gt;0, ROUND(Saldo_Residual_Activo!N122 * 'Resumen_Cartera'!$Q122, 2), "")</f>
        <v/>
      </c>
      <c r="P122" s="29">
        <f>IF(Saldo_Residual_Activo!O122&gt;0, ROUND(Saldo_Residual_Activo!O122 * 'Resumen_Cartera'!$Q122, 2), "")</f>
        <v/>
      </c>
      <c r="Q122" s="29">
        <f>IF(Saldo_Residual_Activo!P122&gt;0, ROUND(Saldo_Residual_Activo!P122 * 'Resumen_Cartera'!$Q122, 2), "")</f>
        <v/>
      </c>
      <c r="R122" s="29">
        <f>IF(Saldo_Residual_Activo!Q122&gt;0, ROUND(Saldo_Residual_Activo!Q122 * 'Resumen_Cartera'!$Q122, 2), "")</f>
        <v/>
      </c>
      <c r="S122" s="29">
        <f>IF(Saldo_Residual_Activo!R122&gt;0, ROUND(Saldo_Residual_Activo!R122 * 'Resumen_Cartera'!$Q122, 2), "")</f>
        <v/>
      </c>
      <c r="T122" s="29">
        <f>IF(Saldo_Residual_Activo!S122&gt;0, ROUND(Saldo_Residual_Activo!S122 * 'Resumen_Cartera'!$Q122, 2), "")</f>
        <v/>
      </c>
      <c r="U122" s="29">
        <f>SUM(I122:T122)</f>
        <v/>
      </c>
    </row>
    <row r="123">
      <c r="A123" s="20" t="inlineStr">
        <is>
          <t>0649-0013</t>
        </is>
      </c>
      <c r="B123" s="21" t="inlineStr">
        <is>
          <t>Compusoluciones y Asociados Sa de Cv</t>
        </is>
      </c>
      <c r="C123" s="21" t="inlineStr">
        <is>
          <t>Mazda Mazda 3 Hatch Back 2026</t>
        </is>
      </c>
      <c r="D123" s="20" t="inlineStr">
        <is>
          <t>ACTIVO</t>
        </is>
      </c>
      <c r="E123" s="20" t="inlineStr">
        <is>
          <t>2026-07-22</t>
        </is>
      </c>
      <c r="F123" s="20" t="inlineStr">
        <is>
          <t>2030-07-22</t>
        </is>
      </c>
      <c r="G123" s="22" t="n">
        <v>48</v>
      </c>
      <c r="H123" s="23" t="n">
        <v>184543.97</v>
      </c>
      <c r="I123" s="23" t="inlineStr"/>
      <c r="J123" s="23" t="inlineStr"/>
      <c r="K123" s="23" t="inlineStr"/>
      <c r="L123" s="23" t="inlineStr"/>
      <c r="M123" s="23" t="inlineStr"/>
      <c r="N123" s="23" t="inlineStr"/>
      <c r="O123" s="23">
        <f>ROUND('Resumen_Cartera'!$U123 * 'Resumen_Cartera'!$Q123, 2)</f>
        <v/>
      </c>
      <c r="P123" s="23">
        <f>IF(Saldo_Residual_Activo!O123&gt;0, ROUND(Saldo_Residual_Activo!O123 * 'Resumen_Cartera'!$Q123, 2), "")</f>
        <v/>
      </c>
      <c r="Q123" s="23">
        <f>IF(Saldo_Residual_Activo!P123&gt;0, ROUND(Saldo_Residual_Activo!P123 * 'Resumen_Cartera'!$Q123, 2), "")</f>
        <v/>
      </c>
      <c r="R123" s="23">
        <f>IF(Saldo_Residual_Activo!Q123&gt;0, ROUND(Saldo_Residual_Activo!Q123 * 'Resumen_Cartera'!$Q123, 2), "")</f>
        <v/>
      </c>
      <c r="S123" s="23">
        <f>IF(Saldo_Residual_Activo!R123&gt;0, ROUND(Saldo_Residual_Activo!R123 * 'Resumen_Cartera'!$Q123, 2), "")</f>
        <v/>
      </c>
      <c r="T123" s="23">
        <f>IF(Saldo_Residual_Activo!S123&gt;0, ROUND(Saldo_Residual_Activo!S123 * 'Resumen_Cartera'!$Q123, 2), "")</f>
        <v/>
      </c>
      <c r="U123" s="23">
        <f>SUM(I123:T123)</f>
        <v/>
      </c>
    </row>
    <row r="124">
      <c r="A124" s="26" t="inlineStr">
        <is>
          <t>0649-0014</t>
        </is>
      </c>
      <c r="B124" s="27" t="inlineStr">
        <is>
          <t>Compusoluciones y Asociados Sa de Cv</t>
        </is>
      </c>
      <c r="C124" s="27" t="inlineStr">
        <is>
          <t>Subaru Forester 2026</t>
        </is>
      </c>
      <c r="D124" s="26" t="inlineStr">
        <is>
          <t>ACTIVO</t>
        </is>
      </c>
      <c r="E124" s="26" t="inlineStr">
        <is>
          <t>2026-07-28</t>
        </is>
      </c>
      <c r="F124" s="26" t="inlineStr">
        <is>
          <t>2030-07-28</t>
        </is>
      </c>
      <c r="G124" s="28" t="n">
        <v>48</v>
      </c>
      <c r="H124" s="29" t="n">
        <v>231949.14</v>
      </c>
      <c r="I124" s="29" t="inlineStr"/>
      <c r="J124" s="29" t="inlineStr"/>
      <c r="K124" s="29" t="inlineStr"/>
      <c r="L124" s="29" t="inlineStr"/>
      <c r="M124" s="29" t="inlineStr"/>
      <c r="N124" s="29" t="inlineStr"/>
      <c r="O124" s="29">
        <f>ROUND('Resumen_Cartera'!$U124 * 'Resumen_Cartera'!$Q124, 2)</f>
        <v/>
      </c>
      <c r="P124" s="29">
        <f>IF(Saldo_Residual_Activo!O124&gt;0, ROUND(Saldo_Residual_Activo!O124 * 'Resumen_Cartera'!$Q124, 2), "")</f>
        <v/>
      </c>
      <c r="Q124" s="29">
        <f>IF(Saldo_Residual_Activo!P124&gt;0, ROUND(Saldo_Residual_Activo!P124 * 'Resumen_Cartera'!$Q124, 2), "")</f>
        <v/>
      </c>
      <c r="R124" s="29">
        <f>IF(Saldo_Residual_Activo!Q124&gt;0, ROUND(Saldo_Residual_Activo!Q124 * 'Resumen_Cartera'!$Q124, 2), "")</f>
        <v/>
      </c>
      <c r="S124" s="29">
        <f>IF(Saldo_Residual_Activo!R124&gt;0, ROUND(Saldo_Residual_Activo!R124 * 'Resumen_Cartera'!$Q124, 2), "")</f>
        <v/>
      </c>
      <c r="T124" s="29">
        <f>IF(Saldo_Residual_Activo!S124&gt;0, ROUND(Saldo_Residual_Activo!S124 * 'Resumen_Cartera'!$Q124, 2), "")</f>
        <v/>
      </c>
      <c r="U124" s="29">
        <f>SUM(I124:T124)</f>
        <v/>
      </c>
    </row>
    <row r="125">
      <c r="A125" s="20" t="inlineStr">
        <is>
          <t>0650-0002</t>
        </is>
      </c>
      <c r="B125" s="21" t="inlineStr">
        <is>
          <t>Creando Music</t>
        </is>
      </c>
      <c r="C125" s="21" t="inlineStr">
        <is>
          <t>3008</t>
        </is>
      </c>
      <c r="D125" s="20" t="inlineStr">
        <is>
          <t>ACTIVO</t>
        </is>
      </c>
      <c r="E125" s="20" t="inlineStr">
        <is>
          <t>2025-12-23</t>
        </is>
      </c>
      <c r="F125" s="20" t="inlineStr">
        <is>
          <t>2026-12-23</t>
        </is>
      </c>
      <c r="G125" s="22" t="n">
        <v>12</v>
      </c>
      <c r="H125" s="23" t="n">
        <v>251689.66</v>
      </c>
      <c r="I125" s="23">
        <f>ROUND(192319.15 * 'Resumen_Cartera'!$Q125, 2)</f>
        <v/>
      </c>
      <c r="J125" s="23">
        <f>IF(Saldo_Residual_Activo!I125&gt;0, ROUND(Saldo_Residual_Activo!I125 * 'Resumen_Cartera'!$Q125, 2), "")</f>
        <v/>
      </c>
      <c r="K125" s="23">
        <f>IF(Saldo_Residual_Activo!J125&gt;0, ROUND(Saldo_Residual_Activo!J125 * 'Resumen_Cartera'!$Q125, 2), "")</f>
        <v/>
      </c>
      <c r="L125" s="23">
        <f>IF(Saldo_Residual_Activo!K125&gt;0, ROUND(Saldo_Residual_Activo!K125 * 'Resumen_Cartera'!$Q125, 2), "")</f>
        <v/>
      </c>
      <c r="M125" s="23">
        <f>IF(Saldo_Residual_Activo!L125&gt;0, ROUND(Saldo_Residual_Activo!L125 * 'Resumen_Cartera'!$Q125, 2), "")</f>
        <v/>
      </c>
      <c r="N125" s="23">
        <f>IF(Saldo_Residual_Activo!M125&gt;0, ROUND(Saldo_Residual_Activo!M125 * 'Resumen_Cartera'!$Q125, 2), "")</f>
        <v/>
      </c>
      <c r="O125" s="23">
        <f>IF(Saldo_Residual_Activo!N125&gt;0, ROUND(Saldo_Residual_Activo!N125 * 'Resumen_Cartera'!$Q125, 2), "")</f>
        <v/>
      </c>
      <c r="P125" s="23">
        <f>IF(Saldo_Residual_Activo!O125&gt;0, ROUND(Saldo_Residual_Activo!O125 * 'Resumen_Cartera'!$Q125, 2), "")</f>
        <v/>
      </c>
      <c r="Q125" s="23">
        <f>IF(Saldo_Residual_Activo!P125&gt;0, ROUND(Saldo_Residual_Activo!P125 * 'Resumen_Cartera'!$Q125, 2), "")</f>
        <v/>
      </c>
      <c r="R125" s="23">
        <f>IF(Saldo_Residual_Activo!Q125&gt;0, ROUND(Saldo_Residual_Activo!Q125 * 'Resumen_Cartera'!$Q125, 2), "")</f>
        <v/>
      </c>
      <c r="S125" s="23">
        <f>IF(Saldo_Residual_Activo!R125&gt;0, ROUND(Saldo_Residual_Activo!R125 * 'Resumen_Cartera'!$Q125, 2), "")</f>
        <v/>
      </c>
      <c r="T125" s="23" t="inlineStr"/>
      <c r="U125" s="23">
        <f>SUM(I125:T125)</f>
        <v/>
      </c>
    </row>
    <row r="126">
      <c r="A126" s="26" t="inlineStr">
        <is>
          <t>0651-0001</t>
        </is>
      </c>
      <c r="B126" s="27" t="inlineStr">
        <is>
          <t>Asme Sa de Cv</t>
        </is>
      </c>
      <c r="C126" s="27" t="inlineStr">
        <is>
          <t>Compass High Altitude</t>
        </is>
      </c>
      <c r="D126" s="26" t="inlineStr">
        <is>
          <t>ACTIVO</t>
        </is>
      </c>
      <c r="E126" s="26" t="inlineStr">
        <is>
          <t>2024-02-28</t>
        </is>
      </c>
      <c r="F126" s="26" t="inlineStr">
        <is>
          <t>2028-02-28</t>
        </is>
      </c>
      <c r="G126" s="28" t="n">
        <v>48</v>
      </c>
      <c r="H126" s="29" t="n">
        <v>129293.1</v>
      </c>
      <c r="I126" s="29">
        <f>ROUND(59291.26 * 'Resumen_Cartera'!$Q126, 2)</f>
        <v/>
      </c>
      <c r="J126" s="29">
        <f>IF(Saldo_Residual_Activo!I126&gt;0, ROUND(Saldo_Residual_Activo!I126 * 'Resumen_Cartera'!$Q126, 2), "")</f>
        <v/>
      </c>
      <c r="K126" s="29">
        <f>IF(Saldo_Residual_Activo!J126&gt;0, ROUND(Saldo_Residual_Activo!J126 * 'Resumen_Cartera'!$Q126, 2), "")</f>
        <v/>
      </c>
      <c r="L126" s="29">
        <f>IF(Saldo_Residual_Activo!K126&gt;0, ROUND(Saldo_Residual_Activo!K126 * 'Resumen_Cartera'!$Q126, 2), "")</f>
        <v/>
      </c>
      <c r="M126" s="29">
        <f>IF(Saldo_Residual_Activo!L126&gt;0, ROUND(Saldo_Residual_Activo!L126 * 'Resumen_Cartera'!$Q126, 2), "")</f>
        <v/>
      </c>
      <c r="N126" s="29">
        <f>IF(Saldo_Residual_Activo!M126&gt;0, ROUND(Saldo_Residual_Activo!M126 * 'Resumen_Cartera'!$Q126, 2), "")</f>
        <v/>
      </c>
      <c r="O126" s="29">
        <f>IF(Saldo_Residual_Activo!N126&gt;0, ROUND(Saldo_Residual_Activo!N126 * 'Resumen_Cartera'!$Q126, 2), "")</f>
        <v/>
      </c>
      <c r="P126" s="29">
        <f>IF(Saldo_Residual_Activo!O126&gt;0, ROUND(Saldo_Residual_Activo!O126 * 'Resumen_Cartera'!$Q126, 2), "")</f>
        <v/>
      </c>
      <c r="Q126" s="29">
        <f>IF(Saldo_Residual_Activo!P126&gt;0, ROUND(Saldo_Residual_Activo!P126 * 'Resumen_Cartera'!$Q126, 2), "")</f>
        <v/>
      </c>
      <c r="R126" s="29">
        <f>IF(Saldo_Residual_Activo!Q126&gt;0, ROUND(Saldo_Residual_Activo!Q126 * 'Resumen_Cartera'!$Q126, 2), "")</f>
        <v/>
      </c>
      <c r="S126" s="29">
        <f>IF(Saldo_Residual_Activo!R126&gt;0, ROUND(Saldo_Residual_Activo!R126 * 'Resumen_Cartera'!$Q126, 2), "")</f>
        <v/>
      </c>
      <c r="T126" s="29">
        <f>IF(Saldo_Residual_Activo!S126&gt;0, ROUND(Saldo_Residual_Activo!S126 * 'Resumen_Cartera'!$Q126, 2), "")</f>
        <v/>
      </c>
      <c r="U126" s="29">
        <f>SUM(I126:T126)</f>
        <v/>
      </c>
    </row>
    <row r="127">
      <c r="A127" s="20" t="inlineStr">
        <is>
          <t>0654-0001</t>
        </is>
      </c>
      <c r="B127" s="21" t="inlineStr">
        <is>
          <t>Veronica Orozco Larios</t>
        </is>
      </c>
      <c r="C127" s="21" t="inlineStr">
        <is>
          <t>Ram 4000</t>
        </is>
      </c>
      <c r="D127" s="20" t="inlineStr">
        <is>
          <t>ACTIVO</t>
        </is>
      </c>
      <c r="E127" s="20" t="inlineStr">
        <is>
          <t>2024-03-20</t>
        </is>
      </c>
      <c r="F127" s="20" t="inlineStr">
        <is>
          <t>2027-03-20</t>
        </is>
      </c>
      <c r="G127" s="22" t="n">
        <v>36</v>
      </c>
      <c r="H127" s="23" t="n">
        <v>320541.65</v>
      </c>
      <c r="I127" s="23">
        <f>ROUND(207752.63 * 'Resumen_Cartera'!$Q127, 2)</f>
        <v/>
      </c>
      <c r="J127" s="23">
        <f>IF(Saldo_Residual_Activo!I127&gt;0, ROUND(Saldo_Residual_Activo!I127 * 'Resumen_Cartera'!$Q127, 2), "")</f>
        <v/>
      </c>
      <c r="K127" s="23">
        <f>IF(Saldo_Residual_Activo!J127&gt;0, ROUND(Saldo_Residual_Activo!J127 * 'Resumen_Cartera'!$Q127, 2), "")</f>
        <v/>
      </c>
      <c r="L127" s="23">
        <f>IF(Saldo_Residual_Activo!K127&gt;0, ROUND(Saldo_Residual_Activo!K127 * 'Resumen_Cartera'!$Q127, 2), "")</f>
        <v/>
      </c>
      <c r="M127" s="23">
        <f>IF(Saldo_Residual_Activo!L127&gt;0, ROUND(Saldo_Residual_Activo!L127 * 'Resumen_Cartera'!$Q127, 2), "")</f>
        <v/>
      </c>
      <c r="N127" s="23">
        <f>IF(Saldo_Residual_Activo!M127&gt;0, ROUND(Saldo_Residual_Activo!M127 * 'Resumen_Cartera'!$Q127, 2), "")</f>
        <v/>
      </c>
      <c r="O127" s="23">
        <f>IF(Saldo_Residual_Activo!N127&gt;0, ROUND(Saldo_Residual_Activo!N127 * 'Resumen_Cartera'!$Q127, 2), "")</f>
        <v/>
      </c>
      <c r="P127" s="23">
        <f>IF(Saldo_Residual_Activo!O127&gt;0, ROUND(Saldo_Residual_Activo!O127 * 'Resumen_Cartera'!$Q127, 2), "")</f>
        <v/>
      </c>
      <c r="Q127" s="23">
        <f>IF(Saldo_Residual_Activo!P127&gt;0, ROUND(Saldo_Residual_Activo!P127 * 'Resumen_Cartera'!$Q127, 2), "")</f>
        <v/>
      </c>
      <c r="R127" s="23">
        <f>IF(Saldo_Residual_Activo!Q127&gt;0, ROUND(Saldo_Residual_Activo!Q127 * 'Resumen_Cartera'!$Q127, 2), "")</f>
        <v/>
      </c>
      <c r="S127" s="23">
        <f>IF(Saldo_Residual_Activo!R127&gt;0, ROUND(Saldo_Residual_Activo!R127 * 'Resumen_Cartera'!$Q127, 2), "")</f>
        <v/>
      </c>
      <c r="T127" s="23">
        <f>IF(Saldo_Residual_Activo!S127&gt;0, ROUND(Saldo_Residual_Activo!S127 * 'Resumen_Cartera'!$Q127, 2), "")</f>
        <v/>
      </c>
      <c r="U127" s="23">
        <f>SUM(I127:T127)</f>
        <v/>
      </c>
    </row>
    <row r="128">
      <c r="A128" s="26" t="inlineStr">
        <is>
          <t>0655-0001</t>
        </is>
      </c>
      <c r="B128" s="27" t="inlineStr">
        <is>
          <t>Viñedos de la Rivera Sur de Chapala S de Rl de Cv</t>
        </is>
      </c>
      <c r="C128" s="27" t="inlineStr">
        <is>
          <t>Ram 2500 HEMI</t>
        </is>
      </c>
      <c r="D128" s="26" t="inlineStr">
        <is>
          <t>ACTIVO</t>
        </is>
      </c>
      <c r="E128" s="26" t="inlineStr">
        <is>
          <t>2024-04-04</t>
        </is>
      </c>
      <c r="F128" s="26" t="inlineStr">
        <is>
          <t>2027-04-04</t>
        </is>
      </c>
      <c r="G128" s="28" t="n">
        <v>36</v>
      </c>
      <c r="H128" s="29" t="n">
        <v>257943.97</v>
      </c>
      <c r="I128" s="29">
        <f>ROUND(162081.97 * 'Resumen_Cartera'!$Q128, 2)</f>
        <v/>
      </c>
      <c r="J128" s="29">
        <f>IF(Saldo_Residual_Activo!I128&gt;0, ROUND(Saldo_Residual_Activo!I128 * 'Resumen_Cartera'!$Q128, 2), "")</f>
        <v/>
      </c>
      <c r="K128" s="29">
        <f>IF(Saldo_Residual_Activo!J128&gt;0, ROUND(Saldo_Residual_Activo!J128 * 'Resumen_Cartera'!$Q128, 2), "")</f>
        <v/>
      </c>
      <c r="L128" s="29">
        <f>IF(Saldo_Residual_Activo!K128&gt;0, ROUND(Saldo_Residual_Activo!K128 * 'Resumen_Cartera'!$Q128, 2), "")</f>
        <v/>
      </c>
      <c r="M128" s="29">
        <f>IF(Saldo_Residual_Activo!L128&gt;0, ROUND(Saldo_Residual_Activo!L128 * 'Resumen_Cartera'!$Q128, 2), "")</f>
        <v/>
      </c>
      <c r="N128" s="29">
        <f>IF(Saldo_Residual_Activo!M128&gt;0, ROUND(Saldo_Residual_Activo!M128 * 'Resumen_Cartera'!$Q128, 2), "")</f>
        <v/>
      </c>
      <c r="O128" s="29">
        <f>IF(Saldo_Residual_Activo!N128&gt;0, ROUND(Saldo_Residual_Activo!N128 * 'Resumen_Cartera'!$Q128, 2), "")</f>
        <v/>
      </c>
      <c r="P128" s="29">
        <f>IF(Saldo_Residual_Activo!O128&gt;0, ROUND(Saldo_Residual_Activo!O128 * 'Resumen_Cartera'!$Q128, 2), "")</f>
        <v/>
      </c>
      <c r="Q128" s="29">
        <f>IF(Saldo_Residual_Activo!P128&gt;0, ROUND(Saldo_Residual_Activo!P128 * 'Resumen_Cartera'!$Q128, 2), "")</f>
        <v/>
      </c>
      <c r="R128" s="29">
        <f>IF(Saldo_Residual_Activo!Q128&gt;0, ROUND(Saldo_Residual_Activo!Q128 * 'Resumen_Cartera'!$Q128, 2), "")</f>
        <v/>
      </c>
      <c r="S128" s="29">
        <f>IF(Saldo_Residual_Activo!R128&gt;0, ROUND(Saldo_Residual_Activo!R128 * 'Resumen_Cartera'!$Q128, 2), "")</f>
        <v/>
      </c>
      <c r="T128" s="29">
        <f>IF(Saldo_Residual_Activo!S128&gt;0, ROUND(Saldo_Residual_Activo!S128 * 'Resumen_Cartera'!$Q128, 2), "")</f>
        <v/>
      </c>
      <c r="U128" s="29">
        <f>SUM(I128:T128)</f>
        <v/>
      </c>
    </row>
    <row r="129">
      <c r="A129" s="20" t="inlineStr">
        <is>
          <t>0658-0001</t>
        </is>
      </c>
      <c r="B129" s="21" t="inlineStr">
        <is>
          <t>Esteban Polanco Navarro</t>
        </is>
      </c>
      <c r="C129" s="21" t="inlineStr">
        <is>
          <t>RAM 1500 Long Horn</t>
        </is>
      </c>
      <c r="D129" s="20" t="inlineStr">
        <is>
          <t>ACTIVO</t>
        </is>
      </c>
      <c r="E129" s="20" t="inlineStr">
        <is>
          <t>2024-05-17</t>
        </is>
      </c>
      <c r="F129" s="20" t="inlineStr">
        <is>
          <t>2028-05-17</t>
        </is>
      </c>
      <c r="G129" s="22" t="n">
        <v>48</v>
      </c>
      <c r="H129" s="23" t="n">
        <v>256017.24</v>
      </c>
      <c r="I129" s="23">
        <f>ROUND(106973.04 * 'Resumen_Cartera'!$Q129, 2)</f>
        <v/>
      </c>
      <c r="J129" s="23">
        <f>IF(Saldo_Residual_Activo!I129&gt;0, ROUND(Saldo_Residual_Activo!I129 * 'Resumen_Cartera'!$Q129, 2), "")</f>
        <v/>
      </c>
      <c r="K129" s="23">
        <f>IF(Saldo_Residual_Activo!J129&gt;0, ROUND(Saldo_Residual_Activo!J129 * 'Resumen_Cartera'!$Q129, 2), "")</f>
        <v/>
      </c>
      <c r="L129" s="23">
        <f>IF(Saldo_Residual_Activo!K129&gt;0, ROUND(Saldo_Residual_Activo!K129 * 'Resumen_Cartera'!$Q129, 2), "")</f>
        <v/>
      </c>
      <c r="M129" s="23">
        <f>IF(Saldo_Residual_Activo!L129&gt;0, ROUND(Saldo_Residual_Activo!L129 * 'Resumen_Cartera'!$Q129, 2), "")</f>
        <v/>
      </c>
      <c r="N129" s="23">
        <f>IF(Saldo_Residual_Activo!M129&gt;0, ROUND(Saldo_Residual_Activo!M129 * 'Resumen_Cartera'!$Q129, 2), "")</f>
        <v/>
      </c>
      <c r="O129" s="23">
        <f>IF(Saldo_Residual_Activo!N129&gt;0, ROUND(Saldo_Residual_Activo!N129 * 'Resumen_Cartera'!$Q129, 2), "")</f>
        <v/>
      </c>
      <c r="P129" s="23">
        <f>IF(Saldo_Residual_Activo!O129&gt;0, ROUND(Saldo_Residual_Activo!O129 * 'Resumen_Cartera'!$Q129, 2), "")</f>
        <v/>
      </c>
      <c r="Q129" s="23">
        <f>IF(Saldo_Residual_Activo!P129&gt;0, ROUND(Saldo_Residual_Activo!P129 * 'Resumen_Cartera'!$Q129, 2), "")</f>
        <v/>
      </c>
      <c r="R129" s="23">
        <f>IF(Saldo_Residual_Activo!Q129&gt;0, ROUND(Saldo_Residual_Activo!Q129 * 'Resumen_Cartera'!$Q129, 2), "")</f>
        <v/>
      </c>
      <c r="S129" s="23">
        <f>IF(Saldo_Residual_Activo!R129&gt;0, ROUND(Saldo_Residual_Activo!R129 * 'Resumen_Cartera'!$Q129, 2), "")</f>
        <v/>
      </c>
      <c r="T129" s="23">
        <f>IF(Saldo_Residual_Activo!S129&gt;0, ROUND(Saldo_Residual_Activo!S129 * 'Resumen_Cartera'!$Q129, 2), "")</f>
        <v/>
      </c>
      <c r="U129" s="23">
        <f>SUM(I129:T129)</f>
        <v/>
      </c>
    </row>
    <row r="130">
      <c r="A130" s="26" t="inlineStr">
        <is>
          <t>0660-0001</t>
        </is>
      </c>
      <c r="B130" s="27" t="inlineStr">
        <is>
          <t>Big Buck Capital sc</t>
        </is>
      </c>
      <c r="C130" s="27" t="inlineStr">
        <is>
          <t>MG 5</t>
        </is>
      </c>
      <c r="D130" s="26" t="inlineStr">
        <is>
          <t>ACTIVO</t>
        </is>
      </c>
      <c r="E130" s="26" t="inlineStr">
        <is>
          <t>2024-05-22</t>
        </is>
      </c>
      <c r="F130" s="26" t="inlineStr">
        <is>
          <t>2028-05-22</t>
        </is>
      </c>
      <c r="G130" s="28" t="n">
        <v>48</v>
      </c>
      <c r="H130" s="29" t="n">
        <v>53948.28</v>
      </c>
      <c r="I130" s="29">
        <f>ROUND(25064.63 * 'Resumen_Cartera'!$Q130, 2)</f>
        <v/>
      </c>
      <c r="J130" s="29">
        <f>IF(Saldo_Residual_Activo!I130&gt;0, ROUND(Saldo_Residual_Activo!I130 * 'Resumen_Cartera'!$Q130, 2), "")</f>
        <v/>
      </c>
      <c r="K130" s="29">
        <f>IF(Saldo_Residual_Activo!J130&gt;0, ROUND(Saldo_Residual_Activo!J130 * 'Resumen_Cartera'!$Q130, 2), "")</f>
        <v/>
      </c>
      <c r="L130" s="29">
        <f>IF(Saldo_Residual_Activo!K130&gt;0, ROUND(Saldo_Residual_Activo!K130 * 'Resumen_Cartera'!$Q130, 2), "")</f>
        <v/>
      </c>
      <c r="M130" s="29">
        <f>IF(Saldo_Residual_Activo!L130&gt;0, ROUND(Saldo_Residual_Activo!L130 * 'Resumen_Cartera'!$Q130, 2), "")</f>
        <v/>
      </c>
      <c r="N130" s="29">
        <f>IF(Saldo_Residual_Activo!M130&gt;0, ROUND(Saldo_Residual_Activo!M130 * 'Resumen_Cartera'!$Q130, 2), "")</f>
        <v/>
      </c>
      <c r="O130" s="29">
        <f>IF(Saldo_Residual_Activo!N130&gt;0, ROUND(Saldo_Residual_Activo!N130 * 'Resumen_Cartera'!$Q130, 2), "")</f>
        <v/>
      </c>
      <c r="P130" s="29">
        <f>IF(Saldo_Residual_Activo!O130&gt;0, ROUND(Saldo_Residual_Activo!O130 * 'Resumen_Cartera'!$Q130, 2), "")</f>
        <v/>
      </c>
      <c r="Q130" s="29">
        <f>IF(Saldo_Residual_Activo!P130&gt;0, ROUND(Saldo_Residual_Activo!P130 * 'Resumen_Cartera'!$Q130, 2), "")</f>
        <v/>
      </c>
      <c r="R130" s="29">
        <f>IF(Saldo_Residual_Activo!Q130&gt;0, ROUND(Saldo_Residual_Activo!Q130 * 'Resumen_Cartera'!$Q130, 2), "")</f>
        <v/>
      </c>
      <c r="S130" s="29">
        <f>IF(Saldo_Residual_Activo!R130&gt;0, ROUND(Saldo_Residual_Activo!R130 * 'Resumen_Cartera'!$Q130, 2), "")</f>
        <v/>
      </c>
      <c r="T130" s="29">
        <f>IF(Saldo_Residual_Activo!S130&gt;0, ROUND(Saldo_Residual_Activo!S130 * 'Resumen_Cartera'!$Q130, 2), "")</f>
        <v/>
      </c>
      <c r="U130" s="29">
        <f>SUM(I130:T130)</f>
        <v/>
      </c>
    </row>
    <row r="131">
      <c r="A131" s="20" t="inlineStr">
        <is>
          <t>0660-0002</t>
        </is>
      </c>
      <c r="B131" s="21" t="inlineStr">
        <is>
          <t>Big Buck Capital Sc</t>
        </is>
      </c>
      <c r="C131" s="21" t="inlineStr">
        <is>
          <t>Sienna</t>
        </is>
      </c>
      <c r="D131" s="20" t="inlineStr">
        <is>
          <t>ACTIVO</t>
        </is>
      </c>
      <c r="E131" s="20" t="inlineStr">
        <is>
          <t>2025-04-09</t>
        </is>
      </c>
      <c r="F131" s="20" t="inlineStr">
        <is>
          <t>2029-04-09</t>
        </is>
      </c>
      <c r="G131" s="22" t="n">
        <v>48</v>
      </c>
      <c r="H131" s="23" t="n">
        <v>81025.86</v>
      </c>
      <c r="I131" s="23">
        <f>ROUND(28756.14 * 'Resumen_Cartera'!$Q131, 2)</f>
        <v/>
      </c>
      <c r="J131" s="23">
        <f>IF(Saldo_Residual_Activo!I131&gt;0, ROUND(Saldo_Residual_Activo!I131 * 'Resumen_Cartera'!$Q131, 2), "")</f>
        <v/>
      </c>
      <c r="K131" s="23">
        <f>IF(Saldo_Residual_Activo!J131&gt;0, ROUND(Saldo_Residual_Activo!J131 * 'Resumen_Cartera'!$Q131, 2), "")</f>
        <v/>
      </c>
      <c r="L131" s="23">
        <f>IF(Saldo_Residual_Activo!K131&gt;0, ROUND(Saldo_Residual_Activo!K131 * 'Resumen_Cartera'!$Q131, 2), "")</f>
        <v/>
      </c>
      <c r="M131" s="23">
        <f>IF(Saldo_Residual_Activo!L131&gt;0, ROUND(Saldo_Residual_Activo!L131 * 'Resumen_Cartera'!$Q131, 2), "")</f>
        <v/>
      </c>
      <c r="N131" s="23">
        <f>IF(Saldo_Residual_Activo!M131&gt;0, ROUND(Saldo_Residual_Activo!M131 * 'Resumen_Cartera'!$Q131, 2), "")</f>
        <v/>
      </c>
      <c r="O131" s="23">
        <f>IF(Saldo_Residual_Activo!N131&gt;0, ROUND(Saldo_Residual_Activo!N131 * 'Resumen_Cartera'!$Q131, 2), "")</f>
        <v/>
      </c>
      <c r="P131" s="23">
        <f>IF(Saldo_Residual_Activo!O131&gt;0, ROUND(Saldo_Residual_Activo!O131 * 'Resumen_Cartera'!$Q131, 2), "")</f>
        <v/>
      </c>
      <c r="Q131" s="23">
        <f>IF(Saldo_Residual_Activo!P131&gt;0, ROUND(Saldo_Residual_Activo!P131 * 'Resumen_Cartera'!$Q131, 2), "")</f>
        <v/>
      </c>
      <c r="R131" s="23">
        <f>IF(Saldo_Residual_Activo!Q131&gt;0, ROUND(Saldo_Residual_Activo!Q131 * 'Resumen_Cartera'!$Q131, 2), "")</f>
        <v/>
      </c>
      <c r="S131" s="23">
        <f>IF(Saldo_Residual_Activo!R131&gt;0, ROUND(Saldo_Residual_Activo!R131 * 'Resumen_Cartera'!$Q131, 2), "")</f>
        <v/>
      </c>
      <c r="T131" s="23">
        <f>IF(Saldo_Residual_Activo!S131&gt;0, ROUND(Saldo_Residual_Activo!S131 * 'Resumen_Cartera'!$Q131, 2), "")</f>
        <v/>
      </c>
      <c r="U131" s="23">
        <f>SUM(I131:T131)</f>
        <v/>
      </c>
    </row>
    <row r="132">
      <c r="A132" s="26" t="inlineStr">
        <is>
          <t>0661-0001</t>
        </is>
      </c>
      <c r="B132" s="27" t="inlineStr">
        <is>
          <t>Veta Vertical Home Sa de Cv</t>
        </is>
      </c>
      <c r="C132" s="27" t="inlineStr">
        <is>
          <t>3008 Allure Pack</t>
        </is>
      </c>
      <c r="D132" s="26" t="inlineStr">
        <is>
          <t>ACTIVO</t>
        </is>
      </c>
      <c r="E132" s="26" t="inlineStr">
        <is>
          <t>2024-06-27</t>
        </is>
      </c>
      <c r="F132" s="26" t="inlineStr">
        <is>
          <t>2028-06-27</t>
        </is>
      </c>
      <c r="G132" s="28" t="n">
        <v>48</v>
      </c>
      <c r="H132" s="29" t="n">
        <v>106534.48</v>
      </c>
      <c r="I132" s="29">
        <f>ROUND(43115.09 * 'Resumen_Cartera'!$Q132, 2)</f>
        <v/>
      </c>
      <c r="J132" s="29">
        <f>IF(Saldo_Residual_Activo!I132&gt;0, ROUND(Saldo_Residual_Activo!I132 * 'Resumen_Cartera'!$Q132, 2), "")</f>
        <v/>
      </c>
      <c r="K132" s="29">
        <f>IF(Saldo_Residual_Activo!J132&gt;0, ROUND(Saldo_Residual_Activo!J132 * 'Resumen_Cartera'!$Q132, 2), "")</f>
        <v/>
      </c>
      <c r="L132" s="29">
        <f>IF(Saldo_Residual_Activo!K132&gt;0, ROUND(Saldo_Residual_Activo!K132 * 'Resumen_Cartera'!$Q132, 2), "")</f>
        <v/>
      </c>
      <c r="M132" s="29">
        <f>IF(Saldo_Residual_Activo!L132&gt;0, ROUND(Saldo_Residual_Activo!L132 * 'Resumen_Cartera'!$Q132, 2), "")</f>
        <v/>
      </c>
      <c r="N132" s="29">
        <f>IF(Saldo_Residual_Activo!M132&gt;0, ROUND(Saldo_Residual_Activo!M132 * 'Resumen_Cartera'!$Q132, 2), "")</f>
        <v/>
      </c>
      <c r="O132" s="29">
        <f>IF(Saldo_Residual_Activo!N132&gt;0, ROUND(Saldo_Residual_Activo!N132 * 'Resumen_Cartera'!$Q132, 2), "")</f>
        <v/>
      </c>
      <c r="P132" s="29">
        <f>IF(Saldo_Residual_Activo!O132&gt;0, ROUND(Saldo_Residual_Activo!O132 * 'Resumen_Cartera'!$Q132, 2), "")</f>
        <v/>
      </c>
      <c r="Q132" s="29">
        <f>IF(Saldo_Residual_Activo!P132&gt;0, ROUND(Saldo_Residual_Activo!P132 * 'Resumen_Cartera'!$Q132, 2), "")</f>
        <v/>
      </c>
      <c r="R132" s="29">
        <f>IF(Saldo_Residual_Activo!Q132&gt;0, ROUND(Saldo_Residual_Activo!Q132 * 'Resumen_Cartera'!$Q132, 2), "")</f>
        <v/>
      </c>
      <c r="S132" s="29">
        <f>IF(Saldo_Residual_Activo!R132&gt;0, ROUND(Saldo_Residual_Activo!R132 * 'Resumen_Cartera'!$Q132, 2), "")</f>
        <v/>
      </c>
      <c r="T132" s="29">
        <f>IF(Saldo_Residual_Activo!S132&gt;0, ROUND(Saldo_Residual_Activo!S132 * 'Resumen_Cartera'!$Q132, 2), "")</f>
        <v/>
      </c>
      <c r="U132" s="29">
        <f>SUM(I132:T132)</f>
        <v/>
      </c>
    </row>
    <row r="133">
      <c r="A133" s="20" t="inlineStr">
        <is>
          <t>0662-0001</t>
        </is>
      </c>
      <c r="B133" s="21" t="inlineStr">
        <is>
          <t>Luis Jorge de Loera Perez</t>
        </is>
      </c>
      <c r="C133" s="21" t="inlineStr">
        <is>
          <t>L200 GLX Diesel</t>
        </is>
      </c>
      <c r="D133" s="20" t="inlineStr">
        <is>
          <t>ACTIVO</t>
        </is>
      </c>
      <c r="E133" s="20" t="inlineStr">
        <is>
          <t>2024-06-28</t>
        </is>
      </c>
      <c r="F133" s="20" t="inlineStr">
        <is>
          <t>2028-06-28</t>
        </is>
      </c>
      <c r="G133" s="22" t="n">
        <v>48</v>
      </c>
      <c r="H133" s="23" t="n">
        <v>111431.03</v>
      </c>
      <c r="I133" s="23">
        <f>ROUND(45131.08 * 'Resumen_Cartera'!$Q133, 2)</f>
        <v/>
      </c>
      <c r="J133" s="23">
        <f>IF(Saldo_Residual_Activo!I133&gt;0, ROUND(Saldo_Residual_Activo!I133 * 'Resumen_Cartera'!$Q133, 2), "")</f>
        <v/>
      </c>
      <c r="K133" s="23">
        <f>IF(Saldo_Residual_Activo!J133&gt;0, ROUND(Saldo_Residual_Activo!J133 * 'Resumen_Cartera'!$Q133, 2), "")</f>
        <v/>
      </c>
      <c r="L133" s="23">
        <f>IF(Saldo_Residual_Activo!K133&gt;0, ROUND(Saldo_Residual_Activo!K133 * 'Resumen_Cartera'!$Q133, 2), "")</f>
        <v/>
      </c>
      <c r="M133" s="23">
        <f>IF(Saldo_Residual_Activo!L133&gt;0, ROUND(Saldo_Residual_Activo!L133 * 'Resumen_Cartera'!$Q133, 2), "")</f>
        <v/>
      </c>
      <c r="N133" s="23">
        <f>IF(Saldo_Residual_Activo!M133&gt;0, ROUND(Saldo_Residual_Activo!M133 * 'Resumen_Cartera'!$Q133, 2), "")</f>
        <v/>
      </c>
      <c r="O133" s="23">
        <f>IF(Saldo_Residual_Activo!N133&gt;0, ROUND(Saldo_Residual_Activo!N133 * 'Resumen_Cartera'!$Q133, 2), "")</f>
        <v/>
      </c>
      <c r="P133" s="23">
        <f>IF(Saldo_Residual_Activo!O133&gt;0, ROUND(Saldo_Residual_Activo!O133 * 'Resumen_Cartera'!$Q133, 2), "")</f>
        <v/>
      </c>
      <c r="Q133" s="23">
        <f>IF(Saldo_Residual_Activo!P133&gt;0, ROUND(Saldo_Residual_Activo!P133 * 'Resumen_Cartera'!$Q133, 2), "")</f>
        <v/>
      </c>
      <c r="R133" s="23">
        <f>IF(Saldo_Residual_Activo!Q133&gt;0, ROUND(Saldo_Residual_Activo!Q133 * 'Resumen_Cartera'!$Q133, 2), "")</f>
        <v/>
      </c>
      <c r="S133" s="23">
        <f>IF(Saldo_Residual_Activo!R133&gt;0, ROUND(Saldo_Residual_Activo!R133 * 'Resumen_Cartera'!$Q133, 2), "")</f>
        <v/>
      </c>
      <c r="T133" s="23">
        <f>IF(Saldo_Residual_Activo!S133&gt;0, ROUND(Saldo_Residual_Activo!S133 * 'Resumen_Cartera'!$Q133, 2), "")</f>
        <v/>
      </c>
      <c r="U133" s="23">
        <f>SUM(I133:T133)</f>
        <v/>
      </c>
    </row>
    <row r="134">
      <c r="A134" s="26" t="inlineStr">
        <is>
          <t>0662-0002</t>
        </is>
      </c>
      <c r="B134" s="27" t="inlineStr">
        <is>
          <t>Luis Jorge De Loera Perez</t>
        </is>
      </c>
      <c r="C134" s="27" t="inlineStr">
        <is>
          <t>NP 300</t>
        </is>
      </c>
      <c r="D134" s="26" t="inlineStr">
        <is>
          <t>ACTIVO</t>
        </is>
      </c>
      <c r="E134" s="26" t="inlineStr">
        <is>
          <t>2025-02-06</t>
        </is>
      </c>
      <c r="F134" s="26" t="inlineStr">
        <is>
          <t>2029-02-06</t>
        </is>
      </c>
      <c r="G134" s="28" t="n">
        <v>48</v>
      </c>
      <c r="H134" s="29" t="n">
        <v>87568.97</v>
      </c>
      <c r="I134" s="29">
        <f>ROUND(30067.27 * 'Resumen_Cartera'!$Q134, 2)</f>
        <v/>
      </c>
      <c r="J134" s="29">
        <f>IF(Saldo_Residual_Activo!I134&gt;0, ROUND(Saldo_Residual_Activo!I134 * 'Resumen_Cartera'!$Q134, 2), "")</f>
        <v/>
      </c>
      <c r="K134" s="29">
        <f>IF(Saldo_Residual_Activo!J134&gt;0, ROUND(Saldo_Residual_Activo!J134 * 'Resumen_Cartera'!$Q134, 2), "")</f>
        <v/>
      </c>
      <c r="L134" s="29">
        <f>IF(Saldo_Residual_Activo!K134&gt;0, ROUND(Saldo_Residual_Activo!K134 * 'Resumen_Cartera'!$Q134, 2), "")</f>
        <v/>
      </c>
      <c r="M134" s="29">
        <f>IF(Saldo_Residual_Activo!L134&gt;0, ROUND(Saldo_Residual_Activo!L134 * 'Resumen_Cartera'!$Q134, 2), "")</f>
        <v/>
      </c>
      <c r="N134" s="29">
        <f>IF(Saldo_Residual_Activo!M134&gt;0, ROUND(Saldo_Residual_Activo!M134 * 'Resumen_Cartera'!$Q134, 2), "")</f>
        <v/>
      </c>
      <c r="O134" s="29">
        <f>IF(Saldo_Residual_Activo!N134&gt;0, ROUND(Saldo_Residual_Activo!N134 * 'Resumen_Cartera'!$Q134, 2), "")</f>
        <v/>
      </c>
      <c r="P134" s="29">
        <f>IF(Saldo_Residual_Activo!O134&gt;0, ROUND(Saldo_Residual_Activo!O134 * 'Resumen_Cartera'!$Q134, 2), "")</f>
        <v/>
      </c>
      <c r="Q134" s="29">
        <f>IF(Saldo_Residual_Activo!P134&gt;0, ROUND(Saldo_Residual_Activo!P134 * 'Resumen_Cartera'!$Q134, 2), "")</f>
        <v/>
      </c>
      <c r="R134" s="29">
        <f>IF(Saldo_Residual_Activo!Q134&gt;0, ROUND(Saldo_Residual_Activo!Q134 * 'Resumen_Cartera'!$Q134, 2), "")</f>
        <v/>
      </c>
      <c r="S134" s="29">
        <f>IF(Saldo_Residual_Activo!R134&gt;0, ROUND(Saldo_Residual_Activo!R134 * 'Resumen_Cartera'!$Q134, 2), "")</f>
        <v/>
      </c>
      <c r="T134" s="29">
        <f>IF(Saldo_Residual_Activo!S134&gt;0, ROUND(Saldo_Residual_Activo!S134 * 'Resumen_Cartera'!$Q134, 2), "")</f>
        <v/>
      </c>
      <c r="U134" s="29">
        <f>SUM(I134:T134)</f>
        <v/>
      </c>
    </row>
    <row r="135">
      <c r="A135" s="20" t="inlineStr">
        <is>
          <t>0662-0003</t>
        </is>
      </c>
      <c r="B135" s="21" t="inlineStr">
        <is>
          <t>Luis Jorge De Loera Perez</t>
        </is>
      </c>
      <c r="C135" s="21" t="inlineStr">
        <is>
          <t>Rav 4</t>
        </is>
      </c>
      <c r="D135" s="20" t="inlineStr">
        <is>
          <t>ACTIVO</t>
        </is>
      </c>
      <c r="E135" s="20" t="inlineStr">
        <is>
          <t>2025-03-27</t>
        </is>
      </c>
      <c r="F135" s="20" t="inlineStr">
        <is>
          <t>2029-03-27</t>
        </is>
      </c>
      <c r="G135" s="22" t="n">
        <v>48</v>
      </c>
      <c r="H135" s="23" t="n">
        <v>107793.1</v>
      </c>
      <c r="I135" s="23">
        <f>ROUND(36971.78 * 'Resumen_Cartera'!$Q135, 2)</f>
        <v/>
      </c>
      <c r="J135" s="23">
        <f>IF(Saldo_Residual_Activo!I135&gt;0, ROUND(Saldo_Residual_Activo!I135 * 'Resumen_Cartera'!$Q135, 2), "")</f>
        <v/>
      </c>
      <c r="K135" s="23">
        <f>IF(Saldo_Residual_Activo!J135&gt;0, ROUND(Saldo_Residual_Activo!J135 * 'Resumen_Cartera'!$Q135, 2), "")</f>
        <v/>
      </c>
      <c r="L135" s="23">
        <f>IF(Saldo_Residual_Activo!K135&gt;0, ROUND(Saldo_Residual_Activo!K135 * 'Resumen_Cartera'!$Q135, 2), "")</f>
        <v/>
      </c>
      <c r="M135" s="23">
        <f>IF(Saldo_Residual_Activo!L135&gt;0, ROUND(Saldo_Residual_Activo!L135 * 'Resumen_Cartera'!$Q135, 2), "")</f>
        <v/>
      </c>
      <c r="N135" s="23">
        <f>IF(Saldo_Residual_Activo!M135&gt;0, ROUND(Saldo_Residual_Activo!M135 * 'Resumen_Cartera'!$Q135, 2), "")</f>
        <v/>
      </c>
      <c r="O135" s="23">
        <f>IF(Saldo_Residual_Activo!N135&gt;0, ROUND(Saldo_Residual_Activo!N135 * 'Resumen_Cartera'!$Q135, 2), "")</f>
        <v/>
      </c>
      <c r="P135" s="23">
        <f>IF(Saldo_Residual_Activo!O135&gt;0, ROUND(Saldo_Residual_Activo!O135 * 'Resumen_Cartera'!$Q135, 2), "")</f>
        <v/>
      </c>
      <c r="Q135" s="23">
        <f>IF(Saldo_Residual_Activo!P135&gt;0, ROUND(Saldo_Residual_Activo!P135 * 'Resumen_Cartera'!$Q135, 2), "")</f>
        <v/>
      </c>
      <c r="R135" s="23">
        <f>IF(Saldo_Residual_Activo!Q135&gt;0, ROUND(Saldo_Residual_Activo!Q135 * 'Resumen_Cartera'!$Q135, 2), "")</f>
        <v/>
      </c>
      <c r="S135" s="23">
        <f>IF(Saldo_Residual_Activo!R135&gt;0, ROUND(Saldo_Residual_Activo!R135 * 'Resumen_Cartera'!$Q135, 2), "")</f>
        <v/>
      </c>
      <c r="T135" s="23">
        <f>IF(Saldo_Residual_Activo!S135&gt;0, ROUND(Saldo_Residual_Activo!S135 * 'Resumen_Cartera'!$Q135, 2), "")</f>
        <v/>
      </c>
      <c r="U135" s="23">
        <f>SUM(I135:T135)</f>
        <v/>
      </c>
    </row>
    <row r="136">
      <c r="A136" s="26" t="inlineStr">
        <is>
          <t>0663-0001</t>
        </is>
      </c>
      <c r="B136" s="27" t="inlineStr">
        <is>
          <t>Soluciones de Transporte de Carga B de Sa de Cv</t>
        </is>
      </c>
      <c r="C136" s="27" t="inlineStr">
        <is>
          <t>L200 GLX Diesel</t>
        </is>
      </c>
      <c r="D136" s="26" t="inlineStr">
        <is>
          <t>ACTIVO</t>
        </is>
      </c>
      <c r="E136" s="26" t="inlineStr">
        <is>
          <t>2024-07-31</t>
        </is>
      </c>
      <c r="F136" s="26" t="inlineStr">
        <is>
          <t>2028-07-31</t>
        </is>
      </c>
      <c r="G136" s="28" t="n">
        <v>48</v>
      </c>
      <c r="H136" s="29" t="n">
        <v>107352.59</v>
      </c>
      <c r="I136" s="29">
        <f>ROUND(42163.21 * 'Resumen_Cartera'!$Q136, 2)</f>
        <v/>
      </c>
      <c r="J136" s="29">
        <f>IF(Saldo_Residual_Activo!I136&gt;0, ROUND(Saldo_Residual_Activo!I136 * 'Resumen_Cartera'!$Q136, 2), "")</f>
        <v/>
      </c>
      <c r="K136" s="29">
        <f>IF(Saldo_Residual_Activo!J136&gt;0, ROUND(Saldo_Residual_Activo!J136 * 'Resumen_Cartera'!$Q136, 2), "")</f>
        <v/>
      </c>
      <c r="L136" s="29">
        <f>IF(Saldo_Residual_Activo!K136&gt;0, ROUND(Saldo_Residual_Activo!K136 * 'Resumen_Cartera'!$Q136, 2), "")</f>
        <v/>
      </c>
      <c r="M136" s="29">
        <f>IF(Saldo_Residual_Activo!L136&gt;0, ROUND(Saldo_Residual_Activo!L136 * 'Resumen_Cartera'!$Q136, 2), "")</f>
        <v/>
      </c>
      <c r="N136" s="29">
        <f>IF(Saldo_Residual_Activo!M136&gt;0, ROUND(Saldo_Residual_Activo!M136 * 'Resumen_Cartera'!$Q136, 2), "")</f>
        <v/>
      </c>
      <c r="O136" s="29">
        <f>IF(Saldo_Residual_Activo!N136&gt;0, ROUND(Saldo_Residual_Activo!N136 * 'Resumen_Cartera'!$Q136, 2), "")</f>
        <v/>
      </c>
      <c r="P136" s="29">
        <f>IF(Saldo_Residual_Activo!O136&gt;0, ROUND(Saldo_Residual_Activo!O136 * 'Resumen_Cartera'!$Q136, 2), "")</f>
        <v/>
      </c>
      <c r="Q136" s="29">
        <f>IF(Saldo_Residual_Activo!P136&gt;0, ROUND(Saldo_Residual_Activo!P136 * 'Resumen_Cartera'!$Q136, 2), "")</f>
        <v/>
      </c>
      <c r="R136" s="29">
        <f>IF(Saldo_Residual_Activo!Q136&gt;0, ROUND(Saldo_Residual_Activo!Q136 * 'Resumen_Cartera'!$Q136, 2), "")</f>
        <v/>
      </c>
      <c r="S136" s="29">
        <f>IF(Saldo_Residual_Activo!R136&gt;0, ROUND(Saldo_Residual_Activo!R136 * 'Resumen_Cartera'!$Q136, 2), "")</f>
        <v/>
      </c>
      <c r="T136" s="29">
        <f>IF(Saldo_Residual_Activo!S136&gt;0, ROUND(Saldo_Residual_Activo!S136 * 'Resumen_Cartera'!$Q136, 2), "")</f>
        <v/>
      </c>
      <c r="U136" s="29">
        <f>SUM(I136:T136)</f>
        <v/>
      </c>
    </row>
    <row r="137">
      <c r="A137" s="20" t="inlineStr">
        <is>
          <t>0663-0002</t>
        </is>
      </c>
      <c r="B137" s="21" t="inlineStr">
        <is>
          <t>Diego Hazael Morales Iñiguez</t>
        </is>
      </c>
      <c r="C137" s="21" t="inlineStr">
        <is>
          <t>Wrangler Rubicon</t>
        </is>
      </c>
      <c r="D137" s="20" t="inlineStr">
        <is>
          <t>ACTIVO</t>
        </is>
      </c>
      <c r="E137" s="20" t="inlineStr">
        <is>
          <t>2025-01-16</t>
        </is>
      </c>
      <c r="F137" s="20" t="inlineStr">
        <is>
          <t>2029-01-16</t>
        </is>
      </c>
      <c r="G137" s="22" t="n">
        <v>48</v>
      </c>
      <c r="H137" s="23" t="n">
        <v>105422.41</v>
      </c>
      <c r="I137" s="23">
        <f>ROUND(35326.13 * 'Resumen_Cartera'!$Q137, 2)</f>
        <v/>
      </c>
      <c r="J137" s="23">
        <f>IF(Saldo_Residual_Activo!I137&gt;0, ROUND(Saldo_Residual_Activo!I137 * 'Resumen_Cartera'!$Q137, 2), "")</f>
        <v/>
      </c>
      <c r="K137" s="23">
        <f>IF(Saldo_Residual_Activo!J137&gt;0, ROUND(Saldo_Residual_Activo!J137 * 'Resumen_Cartera'!$Q137, 2), "")</f>
        <v/>
      </c>
      <c r="L137" s="23">
        <f>IF(Saldo_Residual_Activo!K137&gt;0, ROUND(Saldo_Residual_Activo!K137 * 'Resumen_Cartera'!$Q137, 2), "")</f>
        <v/>
      </c>
      <c r="M137" s="23">
        <f>IF(Saldo_Residual_Activo!L137&gt;0, ROUND(Saldo_Residual_Activo!L137 * 'Resumen_Cartera'!$Q137, 2), "")</f>
        <v/>
      </c>
      <c r="N137" s="23">
        <f>IF(Saldo_Residual_Activo!M137&gt;0, ROUND(Saldo_Residual_Activo!M137 * 'Resumen_Cartera'!$Q137, 2), "")</f>
        <v/>
      </c>
      <c r="O137" s="23">
        <f>IF(Saldo_Residual_Activo!N137&gt;0, ROUND(Saldo_Residual_Activo!N137 * 'Resumen_Cartera'!$Q137, 2), "")</f>
        <v/>
      </c>
      <c r="P137" s="23">
        <f>IF(Saldo_Residual_Activo!O137&gt;0, ROUND(Saldo_Residual_Activo!O137 * 'Resumen_Cartera'!$Q137, 2), "")</f>
        <v/>
      </c>
      <c r="Q137" s="23">
        <f>IF(Saldo_Residual_Activo!P137&gt;0, ROUND(Saldo_Residual_Activo!P137 * 'Resumen_Cartera'!$Q137, 2), "")</f>
        <v/>
      </c>
      <c r="R137" s="23">
        <f>IF(Saldo_Residual_Activo!Q137&gt;0, ROUND(Saldo_Residual_Activo!Q137 * 'Resumen_Cartera'!$Q137, 2), "")</f>
        <v/>
      </c>
      <c r="S137" s="23">
        <f>IF(Saldo_Residual_Activo!R137&gt;0, ROUND(Saldo_Residual_Activo!R137 * 'Resumen_Cartera'!$Q137, 2), "")</f>
        <v/>
      </c>
      <c r="T137" s="23">
        <f>IF(Saldo_Residual_Activo!S137&gt;0, ROUND(Saldo_Residual_Activo!S137 * 'Resumen_Cartera'!$Q137, 2), "")</f>
        <v/>
      </c>
      <c r="U137" s="23">
        <f>SUM(I137:T137)</f>
        <v/>
      </c>
    </row>
    <row r="138">
      <c r="A138" s="26" t="inlineStr">
        <is>
          <t>0665-0001</t>
        </is>
      </c>
      <c r="B138" s="27" t="inlineStr">
        <is>
          <t>Dulce Guadalupe Amezcua Gomez</t>
        </is>
      </c>
      <c r="C138" s="27" t="inlineStr">
        <is>
          <t>Wrangler Jt</t>
        </is>
      </c>
      <c r="D138" s="26" t="inlineStr">
        <is>
          <t>ACTIVO</t>
        </is>
      </c>
      <c r="E138" s="26" t="inlineStr">
        <is>
          <t>2024-08-27</t>
        </is>
      </c>
      <c r="F138" s="26" t="inlineStr">
        <is>
          <t>2028-08-27</t>
        </is>
      </c>
      <c r="G138" s="28" t="n">
        <v>48</v>
      </c>
      <c r="H138" s="29" t="n">
        <v>267913.79</v>
      </c>
      <c r="I138" s="29">
        <f>ROUND(102003.94 * 'Resumen_Cartera'!$Q138, 2)</f>
        <v/>
      </c>
      <c r="J138" s="29">
        <f>IF(Saldo_Residual_Activo!I138&gt;0, ROUND(Saldo_Residual_Activo!I138 * 'Resumen_Cartera'!$Q138, 2), "")</f>
        <v/>
      </c>
      <c r="K138" s="29">
        <f>IF(Saldo_Residual_Activo!J138&gt;0, ROUND(Saldo_Residual_Activo!J138 * 'Resumen_Cartera'!$Q138, 2), "")</f>
        <v/>
      </c>
      <c r="L138" s="29">
        <f>IF(Saldo_Residual_Activo!K138&gt;0, ROUND(Saldo_Residual_Activo!K138 * 'Resumen_Cartera'!$Q138, 2), "")</f>
        <v/>
      </c>
      <c r="M138" s="29">
        <f>IF(Saldo_Residual_Activo!L138&gt;0, ROUND(Saldo_Residual_Activo!L138 * 'Resumen_Cartera'!$Q138, 2), "")</f>
        <v/>
      </c>
      <c r="N138" s="29">
        <f>IF(Saldo_Residual_Activo!M138&gt;0, ROUND(Saldo_Residual_Activo!M138 * 'Resumen_Cartera'!$Q138, 2), "")</f>
        <v/>
      </c>
      <c r="O138" s="29">
        <f>IF(Saldo_Residual_Activo!N138&gt;0, ROUND(Saldo_Residual_Activo!N138 * 'Resumen_Cartera'!$Q138, 2), "")</f>
        <v/>
      </c>
      <c r="P138" s="29">
        <f>IF(Saldo_Residual_Activo!O138&gt;0, ROUND(Saldo_Residual_Activo!O138 * 'Resumen_Cartera'!$Q138, 2), "")</f>
        <v/>
      </c>
      <c r="Q138" s="29">
        <f>IF(Saldo_Residual_Activo!P138&gt;0, ROUND(Saldo_Residual_Activo!P138 * 'Resumen_Cartera'!$Q138, 2), "")</f>
        <v/>
      </c>
      <c r="R138" s="29">
        <f>IF(Saldo_Residual_Activo!Q138&gt;0, ROUND(Saldo_Residual_Activo!Q138 * 'Resumen_Cartera'!$Q138, 2), "")</f>
        <v/>
      </c>
      <c r="S138" s="29">
        <f>IF(Saldo_Residual_Activo!R138&gt;0, ROUND(Saldo_Residual_Activo!R138 * 'Resumen_Cartera'!$Q138, 2), "")</f>
        <v/>
      </c>
      <c r="T138" s="29">
        <f>IF(Saldo_Residual_Activo!S138&gt;0, ROUND(Saldo_Residual_Activo!S138 * 'Resumen_Cartera'!$Q138, 2), "")</f>
        <v/>
      </c>
      <c r="U138" s="29">
        <f>SUM(I138:T138)</f>
        <v/>
      </c>
    </row>
    <row r="139">
      <c r="A139" s="20" t="inlineStr">
        <is>
          <t>0666-0003</t>
        </is>
      </c>
      <c r="B139" s="21" t="inlineStr">
        <is>
          <t>Jaime Adrian Muñiz Ramirez</t>
        </is>
      </c>
      <c r="C139" s="21" t="inlineStr">
        <is>
          <t>Wrangler Phev</t>
        </is>
      </c>
      <c r="D139" s="20" t="inlineStr">
        <is>
          <t>ACTIVO</t>
        </is>
      </c>
      <c r="E139" s="20" t="inlineStr">
        <is>
          <t>2024-08-28</t>
        </is>
      </c>
      <c r="F139" s="20" t="inlineStr">
        <is>
          <t>2027-08-28</t>
        </is>
      </c>
      <c r="G139" s="22" t="n">
        <v>36</v>
      </c>
      <c r="H139" s="23" t="n">
        <v>413331.9</v>
      </c>
      <c r="I139" s="23">
        <f>ROUND(229454.91 * 'Resumen_Cartera'!$Q139, 2)</f>
        <v/>
      </c>
      <c r="J139" s="23">
        <f>IF(Saldo_Residual_Activo!I139&gt;0, ROUND(Saldo_Residual_Activo!I139 * 'Resumen_Cartera'!$Q139, 2), "")</f>
        <v/>
      </c>
      <c r="K139" s="23">
        <f>IF(Saldo_Residual_Activo!J139&gt;0, ROUND(Saldo_Residual_Activo!J139 * 'Resumen_Cartera'!$Q139, 2), "")</f>
        <v/>
      </c>
      <c r="L139" s="23">
        <f>IF(Saldo_Residual_Activo!K139&gt;0, ROUND(Saldo_Residual_Activo!K139 * 'Resumen_Cartera'!$Q139, 2), "")</f>
        <v/>
      </c>
      <c r="M139" s="23">
        <f>IF(Saldo_Residual_Activo!L139&gt;0, ROUND(Saldo_Residual_Activo!L139 * 'Resumen_Cartera'!$Q139, 2), "")</f>
        <v/>
      </c>
      <c r="N139" s="23">
        <f>IF(Saldo_Residual_Activo!M139&gt;0, ROUND(Saldo_Residual_Activo!M139 * 'Resumen_Cartera'!$Q139, 2), "")</f>
        <v/>
      </c>
      <c r="O139" s="23">
        <f>IF(Saldo_Residual_Activo!N139&gt;0, ROUND(Saldo_Residual_Activo!N139 * 'Resumen_Cartera'!$Q139, 2), "")</f>
        <v/>
      </c>
      <c r="P139" s="23">
        <f>IF(Saldo_Residual_Activo!O139&gt;0, ROUND(Saldo_Residual_Activo!O139 * 'Resumen_Cartera'!$Q139, 2), "")</f>
        <v/>
      </c>
      <c r="Q139" s="23">
        <f>IF(Saldo_Residual_Activo!P139&gt;0, ROUND(Saldo_Residual_Activo!P139 * 'Resumen_Cartera'!$Q139, 2), "")</f>
        <v/>
      </c>
      <c r="R139" s="23">
        <f>IF(Saldo_Residual_Activo!Q139&gt;0, ROUND(Saldo_Residual_Activo!Q139 * 'Resumen_Cartera'!$Q139, 2), "")</f>
        <v/>
      </c>
      <c r="S139" s="23">
        <f>IF(Saldo_Residual_Activo!R139&gt;0, ROUND(Saldo_Residual_Activo!R139 * 'Resumen_Cartera'!$Q139, 2), "")</f>
        <v/>
      </c>
      <c r="T139" s="23">
        <f>IF(Saldo_Residual_Activo!S139&gt;0, ROUND(Saldo_Residual_Activo!S139 * 'Resumen_Cartera'!$Q139, 2), "")</f>
        <v/>
      </c>
      <c r="U139" s="23">
        <f>SUM(I139:T139)</f>
        <v/>
      </c>
    </row>
    <row r="140">
      <c r="A140" s="26" t="inlineStr">
        <is>
          <t>0668-0005</t>
        </is>
      </c>
      <c r="B140" s="27" t="inlineStr">
        <is>
          <t>Jorge Alonso Alvarez Garcia</t>
        </is>
      </c>
      <c r="C140" s="27" t="inlineStr">
        <is>
          <t>RAM 700 BIGHORN "S" CREW CAB CVT</t>
        </is>
      </c>
      <c r="D140" s="26" t="inlineStr">
        <is>
          <t>ACTIVO</t>
        </is>
      </c>
      <c r="E140" s="26" t="inlineStr">
        <is>
          <t>2026-03-04</t>
        </is>
      </c>
      <c r="F140" s="26" t="inlineStr">
        <is>
          <t>2027-03-04</t>
        </is>
      </c>
      <c r="G140" s="28" t="n">
        <v>12</v>
      </c>
      <c r="H140" s="29" t="n">
        <v>76448.28</v>
      </c>
      <c r="I140" s="29" t="inlineStr"/>
      <c r="J140" s="29" t="inlineStr"/>
      <c r="K140" s="29">
        <f>ROUND('Resumen_Cartera'!$U140 * 'Resumen_Cartera'!$Q140, 2)</f>
        <v/>
      </c>
      <c r="L140" s="29">
        <f>IF(Saldo_Residual_Activo!K140&gt;0, ROUND(Saldo_Residual_Activo!K140 * 'Resumen_Cartera'!$Q140, 2), "")</f>
        <v/>
      </c>
      <c r="M140" s="29">
        <f>IF(Saldo_Residual_Activo!L140&gt;0, ROUND(Saldo_Residual_Activo!L140 * 'Resumen_Cartera'!$Q140, 2), "")</f>
        <v/>
      </c>
      <c r="N140" s="29">
        <f>IF(Saldo_Residual_Activo!M140&gt;0, ROUND(Saldo_Residual_Activo!M140 * 'Resumen_Cartera'!$Q140, 2), "")</f>
        <v/>
      </c>
      <c r="O140" s="29">
        <f>IF(Saldo_Residual_Activo!N140&gt;0, ROUND(Saldo_Residual_Activo!N140 * 'Resumen_Cartera'!$Q140, 2), "")</f>
        <v/>
      </c>
      <c r="P140" s="29">
        <f>IF(Saldo_Residual_Activo!O140&gt;0, ROUND(Saldo_Residual_Activo!O140 * 'Resumen_Cartera'!$Q140, 2), "")</f>
        <v/>
      </c>
      <c r="Q140" s="29">
        <f>IF(Saldo_Residual_Activo!P140&gt;0, ROUND(Saldo_Residual_Activo!P140 * 'Resumen_Cartera'!$Q140, 2), "")</f>
        <v/>
      </c>
      <c r="R140" s="29">
        <f>IF(Saldo_Residual_Activo!Q140&gt;0, ROUND(Saldo_Residual_Activo!Q140 * 'Resumen_Cartera'!$Q140, 2), "")</f>
        <v/>
      </c>
      <c r="S140" s="29">
        <f>IF(Saldo_Residual_Activo!R140&gt;0, ROUND(Saldo_Residual_Activo!R140 * 'Resumen_Cartera'!$Q140, 2), "")</f>
        <v/>
      </c>
      <c r="T140" s="29">
        <f>IF(Saldo_Residual_Activo!S140&gt;0, ROUND(Saldo_Residual_Activo!S140 * 'Resumen_Cartera'!$Q140, 2), "")</f>
        <v/>
      </c>
      <c r="U140" s="29">
        <f>SUM(I140:T140)</f>
        <v/>
      </c>
    </row>
    <row r="141">
      <c r="A141" s="20" t="inlineStr">
        <is>
          <t>0669-0001</t>
        </is>
      </c>
      <c r="B141" s="21" t="inlineStr">
        <is>
          <t>Diego Hazael Morales Iñiguez</t>
        </is>
      </c>
      <c r="C141" s="21" t="inlineStr">
        <is>
          <t>Wrangler Jt</t>
        </is>
      </c>
      <c r="D141" s="20" t="inlineStr">
        <is>
          <t>ACTIVO</t>
        </is>
      </c>
      <c r="E141" s="20" t="inlineStr">
        <is>
          <t>2024-08-23</t>
        </is>
      </c>
      <c r="F141" s="20" t="inlineStr">
        <is>
          <t>2027-08-23</t>
        </is>
      </c>
      <c r="G141" s="22" t="n">
        <v>36</v>
      </c>
      <c r="H141" s="23" t="n">
        <v>133956.9</v>
      </c>
      <c r="I141" s="23">
        <f>ROUND(74649.74 * 'Resumen_Cartera'!$Q141, 2)</f>
        <v/>
      </c>
      <c r="J141" s="23">
        <f>IF(Saldo_Residual_Activo!I141&gt;0, ROUND(Saldo_Residual_Activo!I141 * 'Resumen_Cartera'!$Q141, 2), "")</f>
        <v/>
      </c>
      <c r="K141" s="23">
        <f>IF(Saldo_Residual_Activo!J141&gt;0, ROUND(Saldo_Residual_Activo!J141 * 'Resumen_Cartera'!$Q141, 2), "")</f>
        <v/>
      </c>
      <c r="L141" s="23">
        <f>IF(Saldo_Residual_Activo!K141&gt;0, ROUND(Saldo_Residual_Activo!K141 * 'Resumen_Cartera'!$Q141, 2), "")</f>
        <v/>
      </c>
      <c r="M141" s="23">
        <f>IF(Saldo_Residual_Activo!L141&gt;0, ROUND(Saldo_Residual_Activo!L141 * 'Resumen_Cartera'!$Q141, 2), "")</f>
        <v/>
      </c>
      <c r="N141" s="23">
        <f>IF(Saldo_Residual_Activo!M141&gt;0, ROUND(Saldo_Residual_Activo!M141 * 'Resumen_Cartera'!$Q141, 2), "")</f>
        <v/>
      </c>
      <c r="O141" s="23">
        <f>IF(Saldo_Residual_Activo!N141&gt;0, ROUND(Saldo_Residual_Activo!N141 * 'Resumen_Cartera'!$Q141, 2), "")</f>
        <v/>
      </c>
      <c r="P141" s="23">
        <f>IF(Saldo_Residual_Activo!O141&gt;0, ROUND(Saldo_Residual_Activo!O141 * 'Resumen_Cartera'!$Q141, 2), "")</f>
        <v/>
      </c>
      <c r="Q141" s="23">
        <f>IF(Saldo_Residual_Activo!P141&gt;0, ROUND(Saldo_Residual_Activo!P141 * 'Resumen_Cartera'!$Q141, 2), "")</f>
        <v/>
      </c>
      <c r="R141" s="23">
        <f>IF(Saldo_Residual_Activo!Q141&gt;0, ROUND(Saldo_Residual_Activo!Q141 * 'Resumen_Cartera'!$Q141, 2), "")</f>
        <v/>
      </c>
      <c r="S141" s="23">
        <f>IF(Saldo_Residual_Activo!R141&gt;0, ROUND(Saldo_Residual_Activo!R141 * 'Resumen_Cartera'!$Q141, 2), "")</f>
        <v/>
      </c>
      <c r="T141" s="23">
        <f>IF(Saldo_Residual_Activo!S141&gt;0, ROUND(Saldo_Residual_Activo!S141 * 'Resumen_Cartera'!$Q141, 2), "")</f>
        <v/>
      </c>
      <c r="U141" s="23">
        <f>SUM(I141:T141)</f>
        <v/>
      </c>
    </row>
    <row r="142">
      <c r="A142" s="26" t="inlineStr">
        <is>
          <t>0670-0001</t>
        </is>
      </c>
      <c r="B142" s="27" t="inlineStr">
        <is>
          <t>Consultoria Internacional Mexincorp Sc</t>
        </is>
      </c>
      <c r="C142" s="27" t="inlineStr">
        <is>
          <t>L200 Limited</t>
        </is>
      </c>
      <c r="D142" s="26" t="inlineStr">
        <is>
          <t>ACTIVO</t>
        </is>
      </c>
      <c r="E142" s="26" t="inlineStr">
        <is>
          <t>2024-09-03</t>
        </is>
      </c>
      <c r="F142" s="26" t="inlineStr">
        <is>
          <t>2028-09-03</t>
        </is>
      </c>
      <c r="G142" s="28" t="n">
        <v>48</v>
      </c>
      <c r="H142" s="29" t="n">
        <v>7080.12</v>
      </c>
      <c r="I142" s="29">
        <f>ROUND(2958.86 * 'Resumen_Cartera'!$Q142, 2)</f>
        <v/>
      </c>
      <c r="J142" s="29">
        <f>IF(Saldo_Residual_Activo!I142&gt;0, ROUND(Saldo_Residual_Activo!I142 * 'Resumen_Cartera'!$Q142, 2), "")</f>
        <v/>
      </c>
      <c r="K142" s="29">
        <f>IF(Saldo_Residual_Activo!J142&gt;0, ROUND(Saldo_Residual_Activo!J142 * 'Resumen_Cartera'!$Q142, 2), "")</f>
        <v/>
      </c>
      <c r="L142" s="29">
        <f>IF(Saldo_Residual_Activo!K142&gt;0, ROUND(Saldo_Residual_Activo!K142 * 'Resumen_Cartera'!$Q142, 2), "")</f>
        <v/>
      </c>
      <c r="M142" s="29">
        <f>IF(Saldo_Residual_Activo!L142&gt;0, ROUND(Saldo_Residual_Activo!L142 * 'Resumen_Cartera'!$Q142, 2), "")</f>
        <v/>
      </c>
      <c r="N142" s="29">
        <f>IF(Saldo_Residual_Activo!M142&gt;0, ROUND(Saldo_Residual_Activo!M142 * 'Resumen_Cartera'!$Q142, 2), "")</f>
        <v/>
      </c>
      <c r="O142" s="29">
        <f>IF(Saldo_Residual_Activo!N142&gt;0, ROUND(Saldo_Residual_Activo!N142 * 'Resumen_Cartera'!$Q142, 2), "")</f>
        <v/>
      </c>
      <c r="P142" s="29">
        <f>IF(Saldo_Residual_Activo!O142&gt;0, ROUND(Saldo_Residual_Activo!O142 * 'Resumen_Cartera'!$Q142, 2), "")</f>
        <v/>
      </c>
      <c r="Q142" s="29">
        <f>IF(Saldo_Residual_Activo!P142&gt;0, ROUND(Saldo_Residual_Activo!P142 * 'Resumen_Cartera'!$Q142, 2), "")</f>
        <v/>
      </c>
      <c r="R142" s="29">
        <f>IF(Saldo_Residual_Activo!Q142&gt;0, ROUND(Saldo_Residual_Activo!Q142 * 'Resumen_Cartera'!$Q142, 2), "")</f>
        <v/>
      </c>
      <c r="S142" s="29">
        <f>IF(Saldo_Residual_Activo!R142&gt;0, ROUND(Saldo_Residual_Activo!R142 * 'Resumen_Cartera'!$Q142, 2), "")</f>
        <v/>
      </c>
      <c r="T142" s="29">
        <f>IF(Saldo_Residual_Activo!S142&gt;0, ROUND(Saldo_Residual_Activo!S142 * 'Resumen_Cartera'!$Q142, 2), "")</f>
        <v/>
      </c>
      <c r="U142" s="29">
        <f>SUM(I142:T142)</f>
        <v/>
      </c>
    </row>
    <row r="143">
      <c r="A143" s="20" t="inlineStr">
        <is>
          <t>0672-0001</t>
        </is>
      </c>
      <c r="B143" s="21" t="inlineStr">
        <is>
          <t>Bax Blockchain Services Sa de Cv</t>
        </is>
      </c>
      <c r="C143" s="21" t="inlineStr">
        <is>
          <t>Tucson Limited</t>
        </is>
      </c>
      <c r="D143" s="20" t="inlineStr">
        <is>
          <t>ACTIVO</t>
        </is>
      </c>
      <c r="E143" s="20" t="inlineStr">
        <is>
          <t>2024-09-13</t>
        </is>
      </c>
      <c r="F143" s="20" t="inlineStr">
        <is>
          <t>2027-09-13</t>
        </is>
      </c>
      <c r="G143" s="22" t="n">
        <v>36</v>
      </c>
      <c r="H143" s="23" t="n">
        <v>206500</v>
      </c>
      <c r="I143" s="23">
        <f>ROUND(120960.95 * 'Resumen_Cartera'!$Q143, 2)</f>
        <v/>
      </c>
      <c r="J143" s="23">
        <f>IF(Saldo_Residual_Activo!I143&gt;0, ROUND(Saldo_Residual_Activo!I143 * 'Resumen_Cartera'!$Q143, 2), "")</f>
        <v/>
      </c>
      <c r="K143" s="23">
        <f>IF(Saldo_Residual_Activo!J143&gt;0, ROUND(Saldo_Residual_Activo!J143 * 'Resumen_Cartera'!$Q143, 2), "")</f>
        <v/>
      </c>
      <c r="L143" s="23">
        <f>IF(Saldo_Residual_Activo!K143&gt;0, ROUND(Saldo_Residual_Activo!K143 * 'Resumen_Cartera'!$Q143, 2), "")</f>
        <v/>
      </c>
      <c r="M143" s="23">
        <f>IF(Saldo_Residual_Activo!L143&gt;0, ROUND(Saldo_Residual_Activo!L143 * 'Resumen_Cartera'!$Q143, 2), "")</f>
        <v/>
      </c>
      <c r="N143" s="23">
        <f>IF(Saldo_Residual_Activo!M143&gt;0, ROUND(Saldo_Residual_Activo!M143 * 'Resumen_Cartera'!$Q143, 2), "")</f>
        <v/>
      </c>
      <c r="O143" s="23">
        <f>IF(Saldo_Residual_Activo!N143&gt;0, ROUND(Saldo_Residual_Activo!N143 * 'Resumen_Cartera'!$Q143, 2), "")</f>
        <v/>
      </c>
      <c r="P143" s="23">
        <f>IF(Saldo_Residual_Activo!O143&gt;0, ROUND(Saldo_Residual_Activo!O143 * 'Resumen_Cartera'!$Q143, 2), "")</f>
        <v/>
      </c>
      <c r="Q143" s="23">
        <f>IF(Saldo_Residual_Activo!P143&gt;0, ROUND(Saldo_Residual_Activo!P143 * 'Resumen_Cartera'!$Q143, 2), "")</f>
        <v/>
      </c>
      <c r="R143" s="23">
        <f>IF(Saldo_Residual_Activo!Q143&gt;0, ROUND(Saldo_Residual_Activo!Q143 * 'Resumen_Cartera'!$Q143, 2), "")</f>
        <v/>
      </c>
      <c r="S143" s="23">
        <f>IF(Saldo_Residual_Activo!R143&gt;0, ROUND(Saldo_Residual_Activo!R143 * 'Resumen_Cartera'!$Q143, 2), "")</f>
        <v/>
      </c>
      <c r="T143" s="23">
        <f>IF(Saldo_Residual_Activo!S143&gt;0, ROUND(Saldo_Residual_Activo!S143 * 'Resumen_Cartera'!$Q143, 2), "")</f>
        <v/>
      </c>
      <c r="U143" s="23">
        <f>SUM(I143:T143)</f>
        <v/>
      </c>
    </row>
    <row r="144">
      <c r="A144" s="26" t="inlineStr">
        <is>
          <t>0673-0001</t>
        </is>
      </c>
      <c r="B144" s="27" t="inlineStr">
        <is>
          <t>Juan Carlos Cardenas Arciniega</t>
        </is>
      </c>
      <c r="C144" s="27" t="inlineStr">
        <is>
          <t>Wrangler Unlimited</t>
        </is>
      </c>
      <c r="D144" s="26" t="inlineStr">
        <is>
          <t>ACTIVO</t>
        </is>
      </c>
      <c r="E144" s="26" t="inlineStr">
        <is>
          <t>2024-09-06</t>
        </is>
      </c>
      <c r="F144" s="26" t="inlineStr">
        <is>
          <t>2028-09-06</t>
        </is>
      </c>
      <c r="G144" s="28" t="n">
        <v>48</v>
      </c>
      <c r="H144" s="29" t="n">
        <v>225844.83</v>
      </c>
      <c r="I144" s="29">
        <f>ROUND(83316.48 * 'Resumen_Cartera'!$Q144, 2)</f>
        <v/>
      </c>
      <c r="J144" s="29">
        <f>IF(Saldo_Residual_Activo!I144&gt;0, ROUND(Saldo_Residual_Activo!I144 * 'Resumen_Cartera'!$Q144, 2), "")</f>
        <v/>
      </c>
      <c r="K144" s="29">
        <f>IF(Saldo_Residual_Activo!J144&gt;0, ROUND(Saldo_Residual_Activo!J144 * 'Resumen_Cartera'!$Q144, 2), "")</f>
        <v/>
      </c>
      <c r="L144" s="29">
        <f>IF(Saldo_Residual_Activo!K144&gt;0, ROUND(Saldo_Residual_Activo!K144 * 'Resumen_Cartera'!$Q144, 2), "")</f>
        <v/>
      </c>
      <c r="M144" s="29">
        <f>IF(Saldo_Residual_Activo!L144&gt;0, ROUND(Saldo_Residual_Activo!L144 * 'Resumen_Cartera'!$Q144, 2), "")</f>
        <v/>
      </c>
      <c r="N144" s="29">
        <f>IF(Saldo_Residual_Activo!M144&gt;0, ROUND(Saldo_Residual_Activo!M144 * 'Resumen_Cartera'!$Q144, 2), "")</f>
        <v/>
      </c>
      <c r="O144" s="29">
        <f>IF(Saldo_Residual_Activo!N144&gt;0, ROUND(Saldo_Residual_Activo!N144 * 'Resumen_Cartera'!$Q144, 2), "")</f>
        <v/>
      </c>
      <c r="P144" s="29">
        <f>IF(Saldo_Residual_Activo!O144&gt;0, ROUND(Saldo_Residual_Activo!O144 * 'Resumen_Cartera'!$Q144, 2), "")</f>
        <v/>
      </c>
      <c r="Q144" s="29">
        <f>IF(Saldo_Residual_Activo!P144&gt;0, ROUND(Saldo_Residual_Activo!P144 * 'Resumen_Cartera'!$Q144, 2), "")</f>
        <v/>
      </c>
      <c r="R144" s="29">
        <f>IF(Saldo_Residual_Activo!Q144&gt;0, ROUND(Saldo_Residual_Activo!Q144 * 'Resumen_Cartera'!$Q144, 2), "")</f>
        <v/>
      </c>
      <c r="S144" s="29">
        <f>IF(Saldo_Residual_Activo!R144&gt;0, ROUND(Saldo_Residual_Activo!R144 * 'Resumen_Cartera'!$Q144, 2), "")</f>
        <v/>
      </c>
      <c r="T144" s="29">
        <f>IF(Saldo_Residual_Activo!S144&gt;0, ROUND(Saldo_Residual_Activo!S144 * 'Resumen_Cartera'!$Q144, 2), "")</f>
        <v/>
      </c>
      <c r="U144" s="29">
        <f>SUM(I144:T144)</f>
        <v/>
      </c>
    </row>
    <row r="145">
      <c r="A145" s="20" t="inlineStr">
        <is>
          <t>0673-0002</t>
        </is>
      </c>
      <c r="B145" s="21" t="inlineStr">
        <is>
          <t>Juan Carlos Cardenas Arciniega</t>
        </is>
      </c>
      <c r="C145" s="21" t="inlineStr">
        <is>
          <t>L200 Glx Diesel</t>
        </is>
      </c>
      <c r="D145" s="20" t="inlineStr">
        <is>
          <t>ACTIVO</t>
        </is>
      </c>
      <c r="E145" s="20" t="inlineStr">
        <is>
          <t>2025-03-25</t>
        </is>
      </c>
      <c r="F145" s="20" t="inlineStr">
        <is>
          <t>2029-03-25</t>
        </is>
      </c>
      <c r="G145" s="22" t="n">
        <v>48</v>
      </c>
      <c r="H145" s="23" t="n">
        <v>51935.52</v>
      </c>
      <c r="I145" s="23">
        <f>ROUND(18922.85 * 'Resumen_Cartera'!$Q145, 2)</f>
        <v/>
      </c>
      <c r="J145" s="23">
        <f>IF(Saldo_Residual_Activo!I145&gt;0, ROUND(Saldo_Residual_Activo!I145 * 'Resumen_Cartera'!$Q145, 2), "")</f>
        <v/>
      </c>
      <c r="K145" s="23">
        <f>IF(Saldo_Residual_Activo!J145&gt;0, ROUND(Saldo_Residual_Activo!J145 * 'Resumen_Cartera'!$Q145, 2), "")</f>
        <v/>
      </c>
      <c r="L145" s="23">
        <f>IF(Saldo_Residual_Activo!K145&gt;0, ROUND(Saldo_Residual_Activo!K145 * 'Resumen_Cartera'!$Q145, 2), "")</f>
        <v/>
      </c>
      <c r="M145" s="23">
        <f>IF(Saldo_Residual_Activo!L145&gt;0, ROUND(Saldo_Residual_Activo!L145 * 'Resumen_Cartera'!$Q145, 2), "")</f>
        <v/>
      </c>
      <c r="N145" s="23">
        <f>IF(Saldo_Residual_Activo!M145&gt;0, ROUND(Saldo_Residual_Activo!M145 * 'Resumen_Cartera'!$Q145, 2), "")</f>
        <v/>
      </c>
      <c r="O145" s="23">
        <f>IF(Saldo_Residual_Activo!N145&gt;0, ROUND(Saldo_Residual_Activo!N145 * 'Resumen_Cartera'!$Q145, 2), "")</f>
        <v/>
      </c>
      <c r="P145" s="23">
        <f>IF(Saldo_Residual_Activo!O145&gt;0, ROUND(Saldo_Residual_Activo!O145 * 'Resumen_Cartera'!$Q145, 2), "")</f>
        <v/>
      </c>
      <c r="Q145" s="23">
        <f>IF(Saldo_Residual_Activo!P145&gt;0, ROUND(Saldo_Residual_Activo!P145 * 'Resumen_Cartera'!$Q145, 2), "")</f>
        <v/>
      </c>
      <c r="R145" s="23">
        <f>IF(Saldo_Residual_Activo!Q145&gt;0, ROUND(Saldo_Residual_Activo!Q145 * 'Resumen_Cartera'!$Q145, 2), "")</f>
        <v/>
      </c>
      <c r="S145" s="23">
        <f>IF(Saldo_Residual_Activo!R145&gt;0, ROUND(Saldo_Residual_Activo!R145 * 'Resumen_Cartera'!$Q145, 2), "")</f>
        <v/>
      </c>
      <c r="T145" s="23">
        <f>IF(Saldo_Residual_Activo!S145&gt;0, ROUND(Saldo_Residual_Activo!S145 * 'Resumen_Cartera'!$Q145, 2), "")</f>
        <v/>
      </c>
      <c r="U145" s="23">
        <f>SUM(I145:T145)</f>
        <v/>
      </c>
    </row>
    <row r="146">
      <c r="A146" s="26" t="inlineStr">
        <is>
          <t>0673-0003</t>
        </is>
      </c>
      <c r="B146" s="27" t="inlineStr">
        <is>
          <t>Juan Carlos Cardenas Arciniega</t>
        </is>
      </c>
      <c r="C146" s="27" t="inlineStr">
        <is>
          <t>Hilux Diesel</t>
        </is>
      </c>
      <c r="D146" s="26" t="inlineStr">
        <is>
          <t>ACTIVO</t>
        </is>
      </c>
      <c r="E146" s="26" t="inlineStr">
        <is>
          <t>2025-04-30</t>
        </is>
      </c>
      <c r="F146" s="26" t="inlineStr">
        <is>
          <t>2029-04-30</t>
        </is>
      </c>
      <c r="G146" s="28" t="n">
        <v>48</v>
      </c>
      <c r="H146" s="29" t="n">
        <v>51935.52</v>
      </c>
      <c r="I146" s="29">
        <f>ROUND(9444.75 * 'Resumen_Cartera'!$Q146, 2)</f>
        <v/>
      </c>
      <c r="J146" s="29">
        <f>IF(Saldo_Residual_Activo!I146&gt;0, ROUND(Saldo_Residual_Activo!I146 * 'Resumen_Cartera'!$Q146, 2), "")</f>
        <v/>
      </c>
      <c r="K146" s="29">
        <f>IF(Saldo_Residual_Activo!J146&gt;0, ROUND(Saldo_Residual_Activo!J146 * 'Resumen_Cartera'!$Q146, 2), "")</f>
        <v/>
      </c>
      <c r="L146" s="29">
        <f>IF(Saldo_Residual_Activo!K146&gt;0, ROUND(Saldo_Residual_Activo!K146 * 'Resumen_Cartera'!$Q146, 2), "")</f>
        <v/>
      </c>
      <c r="M146" s="29">
        <f>IF(Saldo_Residual_Activo!L146&gt;0, ROUND(Saldo_Residual_Activo!L146 * 'Resumen_Cartera'!$Q146, 2), "")</f>
        <v/>
      </c>
      <c r="N146" s="29">
        <f>IF(Saldo_Residual_Activo!M146&gt;0, ROUND(Saldo_Residual_Activo!M146 * 'Resumen_Cartera'!$Q146, 2), "")</f>
        <v/>
      </c>
      <c r="O146" s="29">
        <f>IF(Saldo_Residual_Activo!N146&gt;0, ROUND(Saldo_Residual_Activo!N146 * 'Resumen_Cartera'!$Q146, 2), "")</f>
        <v/>
      </c>
      <c r="P146" s="29">
        <f>IF(Saldo_Residual_Activo!O146&gt;0, ROUND(Saldo_Residual_Activo!O146 * 'Resumen_Cartera'!$Q146, 2), "")</f>
        <v/>
      </c>
      <c r="Q146" s="29">
        <f>IF(Saldo_Residual_Activo!P146&gt;0, ROUND(Saldo_Residual_Activo!P146 * 'Resumen_Cartera'!$Q146, 2), "")</f>
        <v/>
      </c>
      <c r="R146" s="29">
        <f>IF(Saldo_Residual_Activo!Q146&gt;0, ROUND(Saldo_Residual_Activo!Q146 * 'Resumen_Cartera'!$Q146, 2), "")</f>
        <v/>
      </c>
      <c r="S146" s="29">
        <f>IF(Saldo_Residual_Activo!R146&gt;0, ROUND(Saldo_Residual_Activo!R146 * 'Resumen_Cartera'!$Q146, 2), "")</f>
        <v/>
      </c>
      <c r="T146" s="29">
        <f>IF(Saldo_Residual_Activo!S146&gt;0, ROUND(Saldo_Residual_Activo!S146 * 'Resumen_Cartera'!$Q146, 2), "")</f>
        <v/>
      </c>
      <c r="U146" s="29">
        <f>SUM(I146:T146)</f>
        <v/>
      </c>
    </row>
    <row r="147">
      <c r="A147" s="20" t="inlineStr">
        <is>
          <t>0673-0004</t>
        </is>
      </c>
      <c r="B147" s="21" t="inlineStr">
        <is>
          <t>Juan Carlos Cardenas Arciniega</t>
        </is>
      </c>
      <c r="C147" s="21" t="inlineStr">
        <is>
          <t>Np300</t>
        </is>
      </c>
      <c r="D147" s="20" t="inlineStr">
        <is>
          <t>ACTIVO</t>
        </is>
      </c>
      <c r="E147" s="20" t="inlineStr">
        <is>
          <t>2025-05-29</t>
        </is>
      </c>
      <c r="F147" s="20" t="inlineStr">
        <is>
          <t>2027-05-29</t>
        </is>
      </c>
      <c r="G147" s="22" t="n">
        <v>24</v>
      </c>
      <c r="H147" s="23" t="n">
        <v>122146.55</v>
      </c>
      <c r="I147" s="23">
        <f>ROUND(80748.71 * 'Resumen_Cartera'!$Q147, 2)</f>
        <v/>
      </c>
      <c r="J147" s="23">
        <f>IF(Saldo_Residual_Activo!I147&gt;0, ROUND(Saldo_Residual_Activo!I147 * 'Resumen_Cartera'!$Q147, 2), "")</f>
        <v/>
      </c>
      <c r="K147" s="23">
        <f>IF(Saldo_Residual_Activo!J147&gt;0, ROUND(Saldo_Residual_Activo!J147 * 'Resumen_Cartera'!$Q147, 2), "")</f>
        <v/>
      </c>
      <c r="L147" s="23">
        <f>IF(Saldo_Residual_Activo!K147&gt;0, ROUND(Saldo_Residual_Activo!K147 * 'Resumen_Cartera'!$Q147, 2), "")</f>
        <v/>
      </c>
      <c r="M147" s="23">
        <f>IF(Saldo_Residual_Activo!L147&gt;0, ROUND(Saldo_Residual_Activo!L147 * 'Resumen_Cartera'!$Q147, 2), "")</f>
        <v/>
      </c>
      <c r="N147" s="23">
        <f>IF(Saldo_Residual_Activo!M147&gt;0, ROUND(Saldo_Residual_Activo!M147 * 'Resumen_Cartera'!$Q147, 2), "")</f>
        <v/>
      </c>
      <c r="O147" s="23">
        <f>IF(Saldo_Residual_Activo!N147&gt;0, ROUND(Saldo_Residual_Activo!N147 * 'Resumen_Cartera'!$Q147, 2), "")</f>
        <v/>
      </c>
      <c r="P147" s="23">
        <f>IF(Saldo_Residual_Activo!O147&gt;0, ROUND(Saldo_Residual_Activo!O147 * 'Resumen_Cartera'!$Q147, 2), "")</f>
        <v/>
      </c>
      <c r="Q147" s="23">
        <f>IF(Saldo_Residual_Activo!P147&gt;0, ROUND(Saldo_Residual_Activo!P147 * 'Resumen_Cartera'!$Q147, 2), "")</f>
        <v/>
      </c>
      <c r="R147" s="23">
        <f>IF(Saldo_Residual_Activo!Q147&gt;0, ROUND(Saldo_Residual_Activo!Q147 * 'Resumen_Cartera'!$Q147, 2), "")</f>
        <v/>
      </c>
      <c r="S147" s="23">
        <f>IF(Saldo_Residual_Activo!R147&gt;0, ROUND(Saldo_Residual_Activo!R147 * 'Resumen_Cartera'!$Q147, 2), "")</f>
        <v/>
      </c>
      <c r="T147" s="23">
        <f>IF(Saldo_Residual_Activo!S147&gt;0, ROUND(Saldo_Residual_Activo!S147 * 'Resumen_Cartera'!$Q147, 2), "")</f>
        <v/>
      </c>
      <c r="U147" s="23">
        <f>SUM(I147:T147)</f>
        <v/>
      </c>
    </row>
    <row r="148">
      <c r="A148" s="26" t="inlineStr">
        <is>
          <t>0673-0005</t>
        </is>
      </c>
      <c r="B148" s="27" t="inlineStr">
        <is>
          <t>Juan Carlos Cardenas Arciniega</t>
        </is>
      </c>
      <c r="C148" s="27" t="inlineStr">
        <is>
          <t>L200 Glx</t>
        </is>
      </c>
      <c r="D148" s="26" t="inlineStr">
        <is>
          <t>ACTIVO</t>
        </is>
      </c>
      <c r="E148" s="26" t="inlineStr">
        <is>
          <t>2025-05-29</t>
        </is>
      </c>
      <c r="F148" s="26" t="inlineStr">
        <is>
          <t>2028-05-29</t>
        </is>
      </c>
      <c r="G148" s="28" t="n">
        <v>36</v>
      </c>
      <c r="H148" s="29" t="n">
        <v>103871.03</v>
      </c>
      <c r="I148" s="29">
        <f>ROUND(50756.01 * 'Resumen_Cartera'!$Q148, 2)</f>
        <v/>
      </c>
      <c r="J148" s="29">
        <f>IF(Saldo_Residual_Activo!I148&gt;0, ROUND(Saldo_Residual_Activo!I148 * 'Resumen_Cartera'!$Q148, 2), "")</f>
        <v/>
      </c>
      <c r="K148" s="29">
        <f>IF(Saldo_Residual_Activo!J148&gt;0, ROUND(Saldo_Residual_Activo!J148 * 'Resumen_Cartera'!$Q148, 2), "")</f>
        <v/>
      </c>
      <c r="L148" s="29">
        <f>IF(Saldo_Residual_Activo!K148&gt;0, ROUND(Saldo_Residual_Activo!K148 * 'Resumen_Cartera'!$Q148, 2), "")</f>
        <v/>
      </c>
      <c r="M148" s="29">
        <f>IF(Saldo_Residual_Activo!L148&gt;0, ROUND(Saldo_Residual_Activo!L148 * 'Resumen_Cartera'!$Q148, 2), "")</f>
        <v/>
      </c>
      <c r="N148" s="29">
        <f>IF(Saldo_Residual_Activo!M148&gt;0, ROUND(Saldo_Residual_Activo!M148 * 'Resumen_Cartera'!$Q148, 2), "")</f>
        <v/>
      </c>
      <c r="O148" s="29">
        <f>IF(Saldo_Residual_Activo!N148&gt;0, ROUND(Saldo_Residual_Activo!N148 * 'Resumen_Cartera'!$Q148, 2), "")</f>
        <v/>
      </c>
      <c r="P148" s="29">
        <f>IF(Saldo_Residual_Activo!O148&gt;0, ROUND(Saldo_Residual_Activo!O148 * 'Resumen_Cartera'!$Q148, 2), "")</f>
        <v/>
      </c>
      <c r="Q148" s="29">
        <f>IF(Saldo_Residual_Activo!P148&gt;0, ROUND(Saldo_Residual_Activo!P148 * 'Resumen_Cartera'!$Q148, 2), "")</f>
        <v/>
      </c>
      <c r="R148" s="29">
        <f>IF(Saldo_Residual_Activo!Q148&gt;0, ROUND(Saldo_Residual_Activo!Q148 * 'Resumen_Cartera'!$Q148, 2), "")</f>
        <v/>
      </c>
      <c r="S148" s="29">
        <f>IF(Saldo_Residual_Activo!R148&gt;0, ROUND(Saldo_Residual_Activo!R148 * 'Resumen_Cartera'!$Q148, 2), "")</f>
        <v/>
      </c>
      <c r="T148" s="29">
        <f>IF(Saldo_Residual_Activo!S148&gt;0, ROUND(Saldo_Residual_Activo!S148 * 'Resumen_Cartera'!$Q148, 2), "")</f>
        <v/>
      </c>
      <c r="U148" s="29">
        <f>SUM(I148:T148)</f>
        <v/>
      </c>
    </row>
    <row r="149">
      <c r="A149" s="20" t="inlineStr">
        <is>
          <t>0674-0001</t>
        </is>
      </c>
      <c r="B149" s="21" t="inlineStr">
        <is>
          <t>Zuji Sa de Cv</t>
        </is>
      </c>
      <c r="C149" s="21" t="inlineStr">
        <is>
          <t>2008 Allure</t>
        </is>
      </c>
      <c r="D149" s="20" t="inlineStr">
        <is>
          <t>ACTIVO</t>
        </is>
      </c>
      <c r="E149" s="20" t="inlineStr">
        <is>
          <t>2024-09-30</t>
        </is>
      </c>
      <c r="F149" s="20" t="inlineStr">
        <is>
          <t>2027-09-30</t>
        </is>
      </c>
      <c r="G149" s="22" t="n">
        <v>36</v>
      </c>
      <c r="H149" s="23" t="n">
        <v>143288.79</v>
      </c>
      <c r="I149" s="23">
        <f>ROUND(77118.39 * 'Resumen_Cartera'!$Q149, 2)</f>
        <v/>
      </c>
      <c r="J149" s="23">
        <f>IF(Saldo_Residual_Activo!I149&gt;0, ROUND(Saldo_Residual_Activo!I149 * 'Resumen_Cartera'!$Q149, 2), "")</f>
        <v/>
      </c>
      <c r="K149" s="23">
        <f>IF(Saldo_Residual_Activo!J149&gt;0, ROUND(Saldo_Residual_Activo!J149 * 'Resumen_Cartera'!$Q149, 2), "")</f>
        <v/>
      </c>
      <c r="L149" s="23">
        <f>IF(Saldo_Residual_Activo!K149&gt;0, ROUND(Saldo_Residual_Activo!K149 * 'Resumen_Cartera'!$Q149, 2), "")</f>
        <v/>
      </c>
      <c r="M149" s="23">
        <f>IF(Saldo_Residual_Activo!L149&gt;0, ROUND(Saldo_Residual_Activo!L149 * 'Resumen_Cartera'!$Q149, 2), "")</f>
        <v/>
      </c>
      <c r="N149" s="23">
        <f>IF(Saldo_Residual_Activo!M149&gt;0, ROUND(Saldo_Residual_Activo!M149 * 'Resumen_Cartera'!$Q149, 2), "")</f>
        <v/>
      </c>
      <c r="O149" s="23">
        <f>IF(Saldo_Residual_Activo!N149&gt;0, ROUND(Saldo_Residual_Activo!N149 * 'Resumen_Cartera'!$Q149, 2), "")</f>
        <v/>
      </c>
      <c r="P149" s="23">
        <f>IF(Saldo_Residual_Activo!O149&gt;0, ROUND(Saldo_Residual_Activo!O149 * 'Resumen_Cartera'!$Q149, 2), "")</f>
        <v/>
      </c>
      <c r="Q149" s="23">
        <f>IF(Saldo_Residual_Activo!P149&gt;0, ROUND(Saldo_Residual_Activo!P149 * 'Resumen_Cartera'!$Q149, 2), "")</f>
        <v/>
      </c>
      <c r="R149" s="23">
        <f>IF(Saldo_Residual_Activo!Q149&gt;0, ROUND(Saldo_Residual_Activo!Q149 * 'Resumen_Cartera'!$Q149, 2), "")</f>
        <v/>
      </c>
      <c r="S149" s="23">
        <f>IF(Saldo_Residual_Activo!R149&gt;0, ROUND(Saldo_Residual_Activo!R149 * 'Resumen_Cartera'!$Q149, 2), "")</f>
        <v/>
      </c>
      <c r="T149" s="23">
        <f>IF(Saldo_Residual_Activo!S149&gt;0, ROUND(Saldo_Residual_Activo!S149 * 'Resumen_Cartera'!$Q149, 2), "")</f>
        <v/>
      </c>
      <c r="U149" s="23">
        <f>SUM(I149:T149)</f>
        <v/>
      </c>
    </row>
    <row r="150">
      <c r="A150" s="26" t="inlineStr">
        <is>
          <t>0675-0002</t>
        </is>
      </c>
      <c r="B150" s="27" t="inlineStr">
        <is>
          <t>Comercializadora Industrial de Zapopan Sa de Cv</t>
        </is>
      </c>
      <c r="C150" s="27" t="inlineStr">
        <is>
          <t>Valor Residual</t>
        </is>
      </c>
      <c r="D150" s="26" t="inlineStr">
        <is>
          <t>ACTIVO</t>
        </is>
      </c>
      <c r="E150" s="26" t="inlineStr">
        <is>
          <t>2025-10-15</t>
        </is>
      </c>
      <c r="F150" s="26" t="inlineStr">
        <is>
          <t>2026-10-15</t>
        </is>
      </c>
      <c r="G150" s="28" t="n">
        <v>12</v>
      </c>
      <c r="H150" s="29" t="n">
        <v>64249.14</v>
      </c>
      <c r="I150" s="29">
        <f>ROUND(51672.18 * 'Resumen_Cartera'!$Q150, 2)</f>
        <v/>
      </c>
      <c r="J150" s="29">
        <f>IF(Saldo_Residual_Activo!I150&gt;0, ROUND(Saldo_Residual_Activo!I150 * 'Resumen_Cartera'!$Q150, 2), "")</f>
        <v/>
      </c>
      <c r="K150" s="29">
        <f>IF(Saldo_Residual_Activo!J150&gt;0, ROUND(Saldo_Residual_Activo!J150 * 'Resumen_Cartera'!$Q150, 2), "")</f>
        <v/>
      </c>
      <c r="L150" s="29">
        <f>IF(Saldo_Residual_Activo!K150&gt;0, ROUND(Saldo_Residual_Activo!K150 * 'Resumen_Cartera'!$Q150, 2), "")</f>
        <v/>
      </c>
      <c r="M150" s="29">
        <f>IF(Saldo_Residual_Activo!L150&gt;0, ROUND(Saldo_Residual_Activo!L150 * 'Resumen_Cartera'!$Q150, 2), "")</f>
        <v/>
      </c>
      <c r="N150" s="29">
        <f>IF(Saldo_Residual_Activo!M150&gt;0, ROUND(Saldo_Residual_Activo!M150 * 'Resumen_Cartera'!$Q150, 2), "")</f>
        <v/>
      </c>
      <c r="O150" s="29">
        <f>IF(Saldo_Residual_Activo!N150&gt;0, ROUND(Saldo_Residual_Activo!N150 * 'Resumen_Cartera'!$Q150, 2), "")</f>
        <v/>
      </c>
      <c r="P150" s="29">
        <f>IF(Saldo_Residual_Activo!O150&gt;0, ROUND(Saldo_Residual_Activo!O150 * 'Resumen_Cartera'!$Q150, 2), "")</f>
        <v/>
      </c>
      <c r="Q150" s="29">
        <f>IF(Saldo_Residual_Activo!P150&gt;0, ROUND(Saldo_Residual_Activo!P150 * 'Resumen_Cartera'!$Q150, 2), "")</f>
        <v/>
      </c>
      <c r="R150" s="29" t="inlineStr"/>
      <c r="S150" s="29" t="inlineStr"/>
      <c r="T150" s="29" t="inlineStr"/>
      <c r="U150" s="29">
        <f>SUM(I150:T150)</f>
        <v/>
      </c>
    </row>
    <row r="151">
      <c r="A151" s="20" t="inlineStr">
        <is>
          <t>0676-0001</t>
        </is>
      </c>
      <c r="B151" s="21" t="inlineStr">
        <is>
          <t>Productora Agricola los Amoles</t>
        </is>
      </c>
      <c r="C151" s="21" t="inlineStr">
        <is>
          <t>Ram 700 Regular Cab</t>
        </is>
      </c>
      <c r="D151" s="20" t="inlineStr">
        <is>
          <t>ACTIVO</t>
        </is>
      </c>
      <c r="E151" s="20" t="inlineStr">
        <is>
          <t>2024-10-30</t>
        </is>
      </c>
      <c r="F151" s="20" t="inlineStr">
        <is>
          <t>2027-10-30</t>
        </is>
      </c>
      <c r="G151" s="22" t="n">
        <v>36</v>
      </c>
      <c r="H151" s="23" t="n">
        <v>95089.27</v>
      </c>
      <c r="I151" s="23">
        <f>ROUND(49650.84 * 'Resumen_Cartera'!$Q151, 2)</f>
        <v/>
      </c>
      <c r="J151" s="23">
        <f>IF(Saldo_Residual_Activo!I151&gt;0, ROUND(Saldo_Residual_Activo!I151 * 'Resumen_Cartera'!$Q151, 2), "")</f>
        <v/>
      </c>
      <c r="K151" s="23">
        <f>IF(Saldo_Residual_Activo!J151&gt;0, ROUND(Saldo_Residual_Activo!J151 * 'Resumen_Cartera'!$Q151, 2), "")</f>
        <v/>
      </c>
      <c r="L151" s="23">
        <f>IF(Saldo_Residual_Activo!K151&gt;0, ROUND(Saldo_Residual_Activo!K151 * 'Resumen_Cartera'!$Q151, 2), "")</f>
        <v/>
      </c>
      <c r="M151" s="23">
        <f>IF(Saldo_Residual_Activo!L151&gt;0, ROUND(Saldo_Residual_Activo!L151 * 'Resumen_Cartera'!$Q151, 2), "")</f>
        <v/>
      </c>
      <c r="N151" s="23">
        <f>IF(Saldo_Residual_Activo!M151&gt;0, ROUND(Saldo_Residual_Activo!M151 * 'Resumen_Cartera'!$Q151, 2), "")</f>
        <v/>
      </c>
      <c r="O151" s="23">
        <f>IF(Saldo_Residual_Activo!N151&gt;0, ROUND(Saldo_Residual_Activo!N151 * 'Resumen_Cartera'!$Q151, 2), "")</f>
        <v/>
      </c>
      <c r="P151" s="23">
        <f>IF(Saldo_Residual_Activo!O151&gt;0, ROUND(Saldo_Residual_Activo!O151 * 'Resumen_Cartera'!$Q151, 2), "")</f>
        <v/>
      </c>
      <c r="Q151" s="23">
        <f>IF(Saldo_Residual_Activo!P151&gt;0, ROUND(Saldo_Residual_Activo!P151 * 'Resumen_Cartera'!$Q151, 2), "")</f>
        <v/>
      </c>
      <c r="R151" s="23">
        <f>IF(Saldo_Residual_Activo!Q151&gt;0, ROUND(Saldo_Residual_Activo!Q151 * 'Resumen_Cartera'!$Q151, 2), "")</f>
        <v/>
      </c>
      <c r="S151" s="23">
        <f>IF(Saldo_Residual_Activo!R151&gt;0, ROUND(Saldo_Residual_Activo!R151 * 'Resumen_Cartera'!$Q151, 2), "")</f>
        <v/>
      </c>
      <c r="T151" s="23">
        <f>IF(Saldo_Residual_Activo!S151&gt;0, ROUND(Saldo_Residual_Activo!S151 * 'Resumen_Cartera'!$Q151, 2), "")</f>
        <v/>
      </c>
      <c r="U151" s="23">
        <f>SUM(I151:T151)</f>
        <v/>
      </c>
    </row>
    <row r="152">
      <c r="A152" s="26" t="inlineStr">
        <is>
          <t>0677-0001</t>
        </is>
      </c>
      <c r="B152" s="27" t="inlineStr">
        <is>
          <t>Laboratorio Inunza Siglo XXI</t>
        </is>
      </c>
      <c r="C152" s="27" t="inlineStr">
        <is>
          <t>Outlander Diamon</t>
        </is>
      </c>
      <c r="D152" s="26" t="inlineStr">
        <is>
          <t>ACTIVO</t>
        </is>
      </c>
      <c r="E152" s="26" t="inlineStr">
        <is>
          <t>2024-10-30</t>
        </is>
      </c>
      <c r="F152" s="26" t="inlineStr">
        <is>
          <t>2027-10-30</t>
        </is>
      </c>
      <c r="G152" s="28" t="n">
        <v>36</v>
      </c>
      <c r="H152" s="29" t="n">
        <v>162051.72</v>
      </c>
      <c r="I152" s="29">
        <f>ROUND(84747.87 * 'Resumen_Cartera'!$Q152, 2)</f>
        <v/>
      </c>
      <c r="J152" s="29">
        <f>IF(Saldo_Residual_Activo!I152&gt;0, ROUND(Saldo_Residual_Activo!I152 * 'Resumen_Cartera'!$Q152, 2), "")</f>
        <v/>
      </c>
      <c r="K152" s="29">
        <f>IF(Saldo_Residual_Activo!J152&gt;0, ROUND(Saldo_Residual_Activo!J152 * 'Resumen_Cartera'!$Q152, 2), "")</f>
        <v/>
      </c>
      <c r="L152" s="29">
        <f>IF(Saldo_Residual_Activo!K152&gt;0, ROUND(Saldo_Residual_Activo!K152 * 'Resumen_Cartera'!$Q152, 2), "")</f>
        <v/>
      </c>
      <c r="M152" s="29">
        <f>IF(Saldo_Residual_Activo!L152&gt;0, ROUND(Saldo_Residual_Activo!L152 * 'Resumen_Cartera'!$Q152, 2), "")</f>
        <v/>
      </c>
      <c r="N152" s="29">
        <f>IF(Saldo_Residual_Activo!M152&gt;0, ROUND(Saldo_Residual_Activo!M152 * 'Resumen_Cartera'!$Q152, 2), "")</f>
        <v/>
      </c>
      <c r="O152" s="29">
        <f>IF(Saldo_Residual_Activo!N152&gt;0, ROUND(Saldo_Residual_Activo!N152 * 'Resumen_Cartera'!$Q152, 2), "")</f>
        <v/>
      </c>
      <c r="P152" s="29">
        <f>IF(Saldo_Residual_Activo!O152&gt;0, ROUND(Saldo_Residual_Activo!O152 * 'Resumen_Cartera'!$Q152, 2), "")</f>
        <v/>
      </c>
      <c r="Q152" s="29">
        <f>IF(Saldo_Residual_Activo!P152&gt;0, ROUND(Saldo_Residual_Activo!P152 * 'Resumen_Cartera'!$Q152, 2), "")</f>
        <v/>
      </c>
      <c r="R152" s="29">
        <f>IF(Saldo_Residual_Activo!Q152&gt;0, ROUND(Saldo_Residual_Activo!Q152 * 'Resumen_Cartera'!$Q152, 2), "")</f>
        <v/>
      </c>
      <c r="S152" s="29">
        <f>IF(Saldo_Residual_Activo!R152&gt;0, ROUND(Saldo_Residual_Activo!R152 * 'Resumen_Cartera'!$Q152, 2), "")</f>
        <v/>
      </c>
      <c r="T152" s="29">
        <f>IF(Saldo_Residual_Activo!S152&gt;0, ROUND(Saldo_Residual_Activo!S152 * 'Resumen_Cartera'!$Q152, 2), "")</f>
        <v/>
      </c>
      <c r="U152" s="29">
        <f>SUM(I152:T152)</f>
        <v/>
      </c>
    </row>
    <row r="153">
      <c r="A153" s="20" t="inlineStr">
        <is>
          <t>0678-0002</t>
        </is>
      </c>
      <c r="B153" s="21" t="inlineStr">
        <is>
          <t>Bhg Harmony S de Rl de Cv</t>
        </is>
      </c>
      <c r="C153" s="21" t="inlineStr">
        <is>
          <t>Teramont</t>
        </is>
      </c>
      <c r="D153" s="20" t="inlineStr">
        <is>
          <t>ACTIVO</t>
        </is>
      </c>
      <c r="E153" s="20" t="inlineStr">
        <is>
          <t>2025-12-04</t>
        </is>
      </c>
      <c r="F153" s="20" t="inlineStr">
        <is>
          <t>2026-12-04</t>
        </is>
      </c>
      <c r="G153" s="22" t="n">
        <v>12</v>
      </c>
      <c r="H153" s="23" t="n">
        <v>88529.39999999999</v>
      </c>
      <c r="I153" s="23">
        <f>ROUND(67555.08 * 'Resumen_Cartera'!$Q153, 2)</f>
        <v/>
      </c>
      <c r="J153" s="23">
        <f>IF(Saldo_Residual_Activo!I153&gt;0, ROUND(Saldo_Residual_Activo!I153 * 'Resumen_Cartera'!$Q153, 2), "")</f>
        <v/>
      </c>
      <c r="K153" s="23">
        <f>IF(Saldo_Residual_Activo!J153&gt;0, ROUND(Saldo_Residual_Activo!J153 * 'Resumen_Cartera'!$Q153, 2), "")</f>
        <v/>
      </c>
      <c r="L153" s="23">
        <f>IF(Saldo_Residual_Activo!K153&gt;0, ROUND(Saldo_Residual_Activo!K153 * 'Resumen_Cartera'!$Q153, 2), "")</f>
        <v/>
      </c>
      <c r="M153" s="23">
        <f>IF(Saldo_Residual_Activo!L153&gt;0, ROUND(Saldo_Residual_Activo!L153 * 'Resumen_Cartera'!$Q153, 2), "")</f>
        <v/>
      </c>
      <c r="N153" s="23">
        <f>IF(Saldo_Residual_Activo!M153&gt;0, ROUND(Saldo_Residual_Activo!M153 * 'Resumen_Cartera'!$Q153, 2), "")</f>
        <v/>
      </c>
      <c r="O153" s="23">
        <f>IF(Saldo_Residual_Activo!N153&gt;0, ROUND(Saldo_Residual_Activo!N153 * 'Resumen_Cartera'!$Q153, 2), "")</f>
        <v/>
      </c>
      <c r="P153" s="23">
        <f>IF(Saldo_Residual_Activo!O153&gt;0, ROUND(Saldo_Residual_Activo!O153 * 'Resumen_Cartera'!$Q153, 2), "")</f>
        <v/>
      </c>
      <c r="Q153" s="23">
        <f>IF(Saldo_Residual_Activo!P153&gt;0, ROUND(Saldo_Residual_Activo!P153 * 'Resumen_Cartera'!$Q153, 2), "")</f>
        <v/>
      </c>
      <c r="R153" s="23">
        <f>IF(Saldo_Residual_Activo!Q153&gt;0, ROUND(Saldo_Residual_Activo!Q153 * 'Resumen_Cartera'!$Q153, 2), "")</f>
        <v/>
      </c>
      <c r="S153" s="23">
        <f>IF(Saldo_Residual_Activo!R153&gt;0, ROUND(Saldo_Residual_Activo!R153 * 'Resumen_Cartera'!$Q153, 2), "")</f>
        <v/>
      </c>
      <c r="T153" s="23" t="inlineStr"/>
      <c r="U153" s="23">
        <f>SUM(I153:T153)</f>
        <v/>
      </c>
    </row>
    <row r="154">
      <c r="A154" s="26" t="inlineStr">
        <is>
          <t>0679-0001</t>
        </is>
      </c>
      <c r="B154" s="27" t="inlineStr">
        <is>
          <t>Naikor de Occidente Sa de Cv</t>
        </is>
      </c>
      <c r="C154" s="27" t="inlineStr">
        <is>
          <t>2008</t>
        </is>
      </c>
      <c r="D154" s="26" t="inlineStr">
        <is>
          <t>ACTIVO</t>
        </is>
      </c>
      <c r="E154" s="26" t="inlineStr">
        <is>
          <t>2024-11-29</t>
        </is>
      </c>
      <c r="F154" s="26" t="inlineStr">
        <is>
          <t>2028-11-29</t>
        </is>
      </c>
      <c r="G154" s="28" t="n">
        <v>48</v>
      </c>
      <c r="H154" s="29" t="n">
        <v>93431.03</v>
      </c>
      <c r="I154" s="29">
        <f>ROUND(30361.92 * 'Resumen_Cartera'!$Q154, 2)</f>
        <v/>
      </c>
      <c r="J154" s="29">
        <f>IF(Saldo_Residual_Activo!I154&gt;0, ROUND(Saldo_Residual_Activo!I154 * 'Resumen_Cartera'!$Q154, 2), "")</f>
        <v/>
      </c>
      <c r="K154" s="29">
        <f>IF(Saldo_Residual_Activo!J154&gt;0, ROUND(Saldo_Residual_Activo!J154 * 'Resumen_Cartera'!$Q154, 2), "")</f>
        <v/>
      </c>
      <c r="L154" s="29">
        <f>IF(Saldo_Residual_Activo!K154&gt;0, ROUND(Saldo_Residual_Activo!K154 * 'Resumen_Cartera'!$Q154, 2), "")</f>
        <v/>
      </c>
      <c r="M154" s="29">
        <f>IF(Saldo_Residual_Activo!L154&gt;0, ROUND(Saldo_Residual_Activo!L154 * 'Resumen_Cartera'!$Q154, 2), "")</f>
        <v/>
      </c>
      <c r="N154" s="29">
        <f>IF(Saldo_Residual_Activo!M154&gt;0, ROUND(Saldo_Residual_Activo!M154 * 'Resumen_Cartera'!$Q154, 2), "")</f>
        <v/>
      </c>
      <c r="O154" s="29">
        <f>IF(Saldo_Residual_Activo!N154&gt;0, ROUND(Saldo_Residual_Activo!N154 * 'Resumen_Cartera'!$Q154, 2), "")</f>
        <v/>
      </c>
      <c r="P154" s="29">
        <f>IF(Saldo_Residual_Activo!O154&gt;0, ROUND(Saldo_Residual_Activo!O154 * 'Resumen_Cartera'!$Q154, 2), "")</f>
        <v/>
      </c>
      <c r="Q154" s="29">
        <f>IF(Saldo_Residual_Activo!P154&gt;0, ROUND(Saldo_Residual_Activo!P154 * 'Resumen_Cartera'!$Q154, 2), "")</f>
        <v/>
      </c>
      <c r="R154" s="29">
        <f>IF(Saldo_Residual_Activo!Q154&gt;0, ROUND(Saldo_Residual_Activo!Q154 * 'Resumen_Cartera'!$Q154, 2), "")</f>
        <v/>
      </c>
      <c r="S154" s="29">
        <f>IF(Saldo_Residual_Activo!R154&gt;0, ROUND(Saldo_Residual_Activo!R154 * 'Resumen_Cartera'!$Q154, 2), "")</f>
        <v/>
      </c>
      <c r="T154" s="29">
        <f>IF(Saldo_Residual_Activo!S154&gt;0, ROUND(Saldo_Residual_Activo!S154 * 'Resumen_Cartera'!$Q154, 2), "")</f>
        <v/>
      </c>
      <c r="U154" s="29">
        <f>SUM(I154:T154)</f>
        <v/>
      </c>
    </row>
    <row r="155">
      <c r="A155" s="20" t="inlineStr">
        <is>
          <t>0680-0001</t>
        </is>
      </c>
      <c r="B155" s="21" t="inlineStr">
        <is>
          <t>Madereria el Volcan Sa de Cv</t>
        </is>
      </c>
      <c r="C155" s="21" t="inlineStr">
        <is>
          <t>JT Mojave</t>
        </is>
      </c>
      <c r="D155" s="20" t="inlineStr">
        <is>
          <t>ACTIVO</t>
        </is>
      </c>
      <c r="E155" s="20" t="inlineStr">
        <is>
          <t>2024-12-27</t>
        </is>
      </c>
      <c r="F155" s="20" t="inlineStr">
        <is>
          <t>2027-12-27</t>
        </is>
      </c>
      <c r="G155" s="22" t="n">
        <v>36</v>
      </c>
      <c r="H155" s="23" t="n">
        <v>127060.34</v>
      </c>
      <c r="I155" s="23">
        <f>ROUND(62614.89 * 'Resumen_Cartera'!$Q155, 2)</f>
        <v/>
      </c>
      <c r="J155" s="23">
        <f>IF(Saldo_Residual_Activo!I155&gt;0, ROUND(Saldo_Residual_Activo!I155 * 'Resumen_Cartera'!$Q155, 2), "")</f>
        <v/>
      </c>
      <c r="K155" s="23">
        <f>IF(Saldo_Residual_Activo!J155&gt;0, ROUND(Saldo_Residual_Activo!J155 * 'Resumen_Cartera'!$Q155, 2), "")</f>
        <v/>
      </c>
      <c r="L155" s="23">
        <f>IF(Saldo_Residual_Activo!K155&gt;0, ROUND(Saldo_Residual_Activo!K155 * 'Resumen_Cartera'!$Q155, 2), "")</f>
        <v/>
      </c>
      <c r="M155" s="23">
        <f>IF(Saldo_Residual_Activo!L155&gt;0, ROUND(Saldo_Residual_Activo!L155 * 'Resumen_Cartera'!$Q155, 2), "")</f>
        <v/>
      </c>
      <c r="N155" s="23">
        <f>IF(Saldo_Residual_Activo!M155&gt;0, ROUND(Saldo_Residual_Activo!M155 * 'Resumen_Cartera'!$Q155, 2), "")</f>
        <v/>
      </c>
      <c r="O155" s="23">
        <f>IF(Saldo_Residual_Activo!N155&gt;0, ROUND(Saldo_Residual_Activo!N155 * 'Resumen_Cartera'!$Q155, 2), "")</f>
        <v/>
      </c>
      <c r="P155" s="23">
        <f>IF(Saldo_Residual_Activo!O155&gt;0, ROUND(Saldo_Residual_Activo!O155 * 'Resumen_Cartera'!$Q155, 2), "")</f>
        <v/>
      </c>
      <c r="Q155" s="23">
        <f>IF(Saldo_Residual_Activo!P155&gt;0, ROUND(Saldo_Residual_Activo!P155 * 'Resumen_Cartera'!$Q155, 2), "")</f>
        <v/>
      </c>
      <c r="R155" s="23">
        <f>IF(Saldo_Residual_Activo!Q155&gt;0, ROUND(Saldo_Residual_Activo!Q155 * 'Resumen_Cartera'!$Q155, 2), "")</f>
        <v/>
      </c>
      <c r="S155" s="23">
        <f>IF(Saldo_Residual_Activo!R155&gt;0, ROUND(Saldo_Residual_Activo!R155 * 'Resumen_Cartera'!$Q155, 2), "")</f>
        <v/>
      </c>
      <c r="T155" s="23">
        <f>IF(Saldo_Residual_Activo!S155&gt;0, ROUND(Saldo_Residual_Activo!S155 * 'Resumen_Cartera'!$Q155, 2), "")</f>
        <v/>
      </c>
      <c r="U155" s="23">
        <f>SUM(I155:T155)</f>
        <v/>
      </c>
    </row>
    <row r="156">
      <c r="A156" s="26" t="inlineStr">
        <is>
          <t>0682-0001</t>
        </is>
      </c>
      <c r="B156" s="27" t="inlineStr">
        <is>
          <t>Hidraneumaticos y Equipos para Gas Sa de Cv</t>
        </is>
      </c>
      <c r="C156" s="27" t="inlineStr">
        <is>
          <t>Renegade Limited</t>
        </is>
      </c>
      <c r="D156" s="26" t="inlineStr">
        <is>
          <t>ACTIVO</t>
        </is>
      </c>
      <c r="E156" s="26" t="inlineStr">
        <is>
          <t>2024-12-27</t>
        </is>
      </c>
      <c r="F156" s="26" t="inlineStr">
        <is>
          <t>2026-12-27</t>
        </is>
      </c>
      <c r="G156" s="28" t="n">
        <v>24</v>
      </c>
      <c r="H156" s="29" t="n">
        <v>42879.31</v>
      </c>
      <c r="I156" s="29">
        <f>ROUND(30586.01 * 'Resumen_Cartera'!$Q156, 2)</f>
        <v/>
      </c>
      <c r="J156" s="29">
        <f>IF(Saldo_Residual_Activo!I156&gt;0, ROUND(Saldo_Residual_Activo!I156 * 'Resumen_Cartera'!$Q156, 2), "")</f>
        <v/>
      </c>
      <c r="K156" s="29">
        <f>IF(Saldo_Residual_Activo!J156&gt;0, ROUND(Saldo_Residual_Activo!J156 * 'Resumen_Cartera'!$Q156, 2), "")</f>
        <v/>
      </c>
      <c r="L156" s="29">
        <f>IF(Saldo_Residual_Activo!K156&gt;0, ROUND(Saldo_Residual_Activo!K156 * 'Resumen_Cartera'!$Q156, 2), "")</f>
        <v/>
      </c>
      <c r="M156" s="29">
        <f>IF(Saldo_Residual_Activo!L156&gt;0, ROUND(Saldo_Residual_Activo!L156 * 'Resumen_Cartera'!$Q156, 2), "")</f>
        <v/>
      </c>
      <c r="N156" s="29">
        <f>IF(Saldo_Residual_Activo!M156&gt;0, ROUND(Saldo_Residual_Activo!M156 * 'Resumen_Cartera'!$Q156, 2), "")</f>
        <v/>
      </c>
      <c r="O156" s="29">
        <f>IF(Saldo_Residual_Activo!N156&gt;0, ROUND(Saldo_Residual_Activo!N156 * 'Resumen_Cartera'!$Q156, 2), "")</f>
        <v/>
      </c>
      <c r="P156" s="29">
        <f>IF(Saldo_Residual_Activo!O156&gt;0, ROUND(Saldo_Residual_Activo!O156 * 'Resumen_Cartera'!$Q156, 2), "")</f>
        <v/>
      </c>
      <c r="Q156" s="29">
        <f>IF(Saldo_Residual_Activo!P156&gt;0, ROUND(Saldo_Residual_Activo!P156 * 'Resumen_Cartera'!$Q156, 2), "")</f>
        <v/>
      </c>
      <c r="R156" s="29">
        <f>IF(Saldo_Residual_Activo!Q156&gt;0, ROUND(Saldo_Residual_Activo!Q156 * 'Resumen_Cartera'!$Q156, 2), "")</f>
        <v/>
      </c>
      <c r="S156" s="29">
        <f>IF(Saldo_Residual_Activo!R156&gt;0, ROUND(Saldo_Residual_Activo!R156 * 'Resumen_Cartera'!$Q156, 2), "")</f>
        <v/>
      </c>
      <c r="T156" s="29" t="inlineStr"/>
      <c r="U156" s="29">
        <f>SUM(I156:T156)</f>
        <v/>
      </c>
    </row>
    <row r="157">
      <c r="A157" s="20" t="inlineStr">
        <is>
          <t>0682-0002</t>
        </is>
      </c>
      <c r="B157" s="21" t="inlineStr">
        <is>
          <t>Hidroneumaticos y Equipos para Gas Sa de Cv</t>
        </is>
      </c>
      <c r="C157" s="21" t="inlineStr">
        <is>
          <t>RIO</t>
        </is>
      </c>
      <c r="D157" s="20" t="inlineStr">
        <is>
          <t>ACTIVO</t>
        </is>
      </c>
      <c r="E157" s="20" t="inlineStr">
        <is>
          <t>2025-02-17</t>
        </is>
      </c>
      <c r="F157" s="20" t="inlineStr">
        <is>
          <t>2027-02-17</t>
        </is>
      </c>
      <c r="G157" s="22" t="n">
        <v>24</v>
      </c>
      <c r="H157" s="23" t="n">
        <v>22405.17</v>
      </c>
      <c r="I157" s="23">
        <f>ROUND(15029.56 * 'Resumen_Cartera'!$Q157, 2)</f>
        <v/>
      </c>
      <c r="J157" s="23">
        <f>IF(Saldo_Residual_Activo!I157&gt;0, ROUND(Saldo_Residual_Activo!I157 * 'Resumen_Cartera'!$Q157, 2), "")</f>
        <v/>
      </c>
      <c r="K157" s="23">
        <f>IF(Saldo_Residual_Activo!J157&gt;0, ROUND(Saldo_Residual_Activo!J157 * 'Resumen_Cartera'!$Q157, 2), "")</f>
        <v/>
      </c>
      <c r="L157" s="23">
        <f>IF(Saldo_Residual_Activo!K157&gt;0, ROUND(Saldo_Residual_Activo!K157 * 'Resumen_Cartera'!$Q157, 2), "")</f>
        <v/>
      </c>
      <c r="M157" s="23">
        <f>IF(Saldo_Residual_Activo!L157&gt;0, ROUND(Saldo_Residual_Activo!L157 * 'Resumen_Cartera'!$Q157, 2), "")</f>
        <v/>
      </c>
      <c r="N157" s="23">
        <f>IF(Saldo_Residual_Activo!M157&gt;0, ROUND(Saldo_Residual_Activo!M157 * 'Resumen_Cartera'!$Q157, 2), "")</f>
        <v/>
      </c>
      <c r="O157" s="23">
        <f>IF(Saldo_Residual_Activo!N157&gt;0, ROUND(Saldo_Residual_Activo!N157 * 'Resumen_Cartera'!$Q157, 2), "")</f>
        <v/>
      </c>
      <c r="P157" s="23">
        <f>IF(Saldo_Residual_Activo!O157&gt;0, ROUND(Saldo_Residual_Activo!O157 * 'Resumen_Cartera'!$Q157, 2), "")</f>
        <v/>
      </c>
      <c r="Q157" s="23">
        <f>IF(Saldo_Residual_Activo!P157&gt;0, ROUND(Saldo_Residual_Activo!P157 * 'Resumen_Cartera'!$Q157, 2), "")</f>
        <v/>
      </c>
      <c r="R157" s="23">
        <f>IF(Saldo_Residual_Activo!Q157&gt;0, ROUND(Saldo_Residual_Activo!Q157 * 'Resumen_Cartera'!$Q157, 2), "")</f>
        <v/>
      </c>
      <c r="S157" s="23">
        <f>IF(Saldo_Residual_Activo!R157&gt;0, ROUND(Saldo_Residual_Activo!R157 * 'Resumen_Cartera'!$Q157, 2), "")</f>
        <v/>
      </c>
      <c r="T157" s="23">
        <f>IF(Saldo_Residual_Activo!S157&gt;0, ROUND(Saldo_Residual_Activo!S157 * 'Resumen_Cartera'!$Q157, 2), "")</f>
        <v/>
      </c>
      <c r="U157" s="23">
        <f>SUM(I157:T157)</f>
        <v/>
      </c>
    </row>
    <row r="158">
      <c r="A158" s="26" t="inlineStr">
        <is>
          <t>0683-0001</t>
        </is>
      </c>
      <c r="B158" s="27" t="inlineStr">
        <is>
          <t>Maria de Jesus Sanchez Aguayo</t>
        </is>
      </c>
      <c r="C158" s="27" t="inlineStr">
        <is>
          <t>Ram 700 Regular Cab</t>
        </is>
      </c>
      <c r="D158" s="26" t="inlineStr">
        <is>
          <t>ACTIVO</t>
        </is>
      </c>
      <c r="E158" s="26" t="inlineStr">
        <is>
          <t>2025-01-09</t>
        </is>
      </c>
      <c r="F158" s="26" t="inlineStr">
        <is>
          <t>2028-01-09</t>
        </is>
      </c>
      <c r="G158" s="28" t="n">
        <v>36</v>
      </c>
      <c r="H158" s="29" t="n">
        <v>96845.3</v>
      </c>
      <c r="I158" s="29">
        <f>ROUND(46084.92 * 'Resumen_Cartera'!$Q158, 2)</f>
        <v/>
      </c>
      <c r="J158" s="29">
        <f>IF(Saldo_Residual_Activo!I158&gt;0, ROUND(Saldo_Residual_Activo!I158 * 'Resumen_Cartera'!$Q158, 2), "")</f>
        <v/>
      </c>
      <c r="K158" s="29">
        <f>IF(Saldo_Residual_Activo!J158&gt;0, ROUND(Saldo_Residual_Activo!J158 * 'Resumen_Cartera'!$Q158, 2), "")</f>
        <v/>
      </c>
      <c r="L158" s="29">
        <f>IF(Saldo_Residual_Activo!K158&gt;0, ROUND(Saldo_Residual_Activo!K158 * 'Resumen_Cartera'!$Q158, 2), "")</f>
        <v/>
      </c>
      <c r="M158" s="29">
        <f>IF(Saldo_Residual_Activo!L158&gt;0, ROUND(Saldo_Residual_Activo!L158 * 'Resumen_Cartera'!$Q158, 2), "")</f>
        <v/>
      </c>
      <c r="N158" s="29">
        <f>IF(Saldo_Residual_Activo!M158&gt;0, ROUND(Saldo_Residual_Activo!M158 * 'Resumen_Cartera'!$Q158, 2), "")</f>
        <v/>
      </c>
      <c r="O158" s="29">
        <f>IF(Saldo_Residual_Activo!N158&gt;0, ROUND(Saldo_Residual_Activo!N158 * 'Resumen_Cartera'!$Q158, 2), "")</f>
        <v/>
      </c>
      <c r="P158" s="29">
        <f>IF(Saldo_Residual_Activo!O158&gt;0, ROUND(Saldo_Residual_Activo!O158 * 'Resumen_Cartera'!$Q158, 2), "")</f>
        <v/>
      </c>
      <c r="Q158" s="29">
        <f>IF(Saldo_Residual_Activo!P158&gt;0, ROUND(Saldo_Residual_Activo!P158 * 'Resumen_Cartera'!$Q158, 2), "")</f>
        <v/>
      </c>
      <c r="R158" s="29">
        <f>IF(Saldo_Residual_Activo!Q158&gt;0, ROUND(Saldo_Residual_Activo!Q158 * 'Resumen_Cartera'!$Q158, 2), "")</f>
        <v/>
      </c>
      <c r="S158" s="29">
        <f>IF(Saldo_Residual_Activo!R158&gt;0, ROUND(Saldo_Residual_Activo!R158 * 'Resumen_Cartera'!$Q158, 2), "")</f>
        <v/>
      </c>
      <c r="T158" s="29">
        <f>IF(Saldo_Residual_Activo!S158&gt;0, ROUND(Saldo_Residual_Activo!S158 * 'Resumen_Cartera'!$Q158, 2), "")</f>
        <v/>
      </c>
      <c r="U158" s="29">
        <f>SUM(I158:T158)</f>
        <v/>
      </c>
    </row>
    <row r="159">
      <c r="A159" s="20" t="inlineStr">
        <is>
          <t>0683-0002</t>
        </is>
      </c>
      <c r="B159" s="21" t="inlineStr">
        <is>
          <t>Maria de Jesus Sanchez Aguayo</t>
        </is>
      </c>
      <c r="C159" s="21" t="inlineStr">
        <is>
          <t>700 Tradesman Regular Cab</t>
        </is>
      </c>
      <c r="D159" s="20" t="inlineStr">
        <is>
          <t>ACTIVO</t>
        </is>
      </c>
      <c r="E159" s="20" t="inlineStr">
        <is>
          <t>2026-01-05</t>
        </is>
      </c>
      <c r="F159" s="20" t="inlineStr">
        <is>
          <t>2029-01-05</t>
        </is>
      </c>
      <c r="G159" s="22" t="n">
        <v>36</v>
      </c>
      <c r="H159" s="23" t="n">
        <v>53431.03</v>
      </c>
      <c r="I159" s="23">
        <f>ROUND('Resumen_Cartera'!$U159 * 'Resumen_Cartera'!$Q159, 2)</f>
        <v/>
      </c>
      <c r="J159" s="23">
        <f>IF(Saldo_Residual_Activo!I159&gt;0, ROUND(Saldo_Residual_Activo!I159 * 'Resumen_Cartera'!$Q159, 2), "")</f>
        <v/>
      </c>
      <c r="K159" s="23">
        <f>IF(Saldo_Residual_Activo!J159&gt;0, ROUND(Saldo_Residual_Activo!J159 * 'Resumen_Cartera'!$Q159, 2), "")</f>
        <v/>
      </c>
      <c r="L159" s="23">
        <f>IF(Saldo_Residual_Activo!K159&gt;0, ROUND(Saldo_Residual_Activo!K159 * 'Resumen_Cartera'!$Q159, 2), "")</f>
        <v/>
      </c>
      <c r="M159" s="23">
        <f>IF(Saldo_Residual_Activo!L159&gt;0, ROUND(Saldo_Residual_Activo!L159 * 'Resumen_Cartera'!$Q159, 2), "")</f>
        <v/>
      </c>
      <c r="N159" s="23">
        <f>IF(Saldo_Residual_Activo!M159&gt;0, ROUND(Saldo_Residual_Activo!M159 * 'Resumen_Cartera'!$Q159, 2), "")</f>
        <v/>
      </c>
      <c r="O159" s="23">
        <f>IF(Saldo_Residual_Activo!N159&gt;0, ROUND(Saldo_Residual_Activo!N159 * 'Resumen_Cartera'!$Q159, 2), "")</f>
        <v/>
      </c>
      <c r="P159" s="23">
        <f>IF(Saldo_Residual_Activo!O159&gt;0, ROUND(Saldo_Residual_Activo!O159 * 'Resumen_Cartera'!$Q159, 2), "")</f>
        <v/>
      </c>
      <c r="Q159" s="23">
        <f>IF(Saldo_Residual_Activo!P159&gt;0, ROUND(Saldo_Residual_Activo!P159 * 'Resumen_Cartera'!$Q159, 2), "")</f>
        <v/>
      </c>
      <c r="R159" s="23">
        <f>IF(Saldo_Residual_Activo!Q159&gt;0, ROUND(Saldo_Residual_Activo!Q159 * 'Resumen_Cartera'!$Q159, 2), "")</f>
        <v/>
      </c>
      <c r="S159" s="23">
        <f>IF(Saldo_Residual_Activo!R159&gt;0, ROUND(Saldo_Residual_Activo!R159 * 'Resumen_Cartera'!$Q159, 2), "")</f>
        <v/>
      </c>
      <c r="T159" s="23">
        <f>IF(Saldo_Residual_Activo!S159&gt;0, ROUND(Saldo_Residual_Activo!S159 * 'Resumen_Cartera'!$Q159, 2), "")</f>
        <v/>
      </c>
      <c r="U159" s="23">
        <f>SUM(I159:T159)</f>
        <v/>
      </c>
    </row>
    <row r="160">
      <c r="A160" s="26" t="inlineStr">
        <is>
          <t>0684-0001</t>
        </is>
      </c>
      <c r="B160" s="27" t="inlineStr">
        <is>
          <t>Corporativo Kareso Sa de v</t>
        </is>
      </c>
      <c r="C160" s="27" t="inlineStr">
        <is>
          <t>GRAND CHEROKEE LIMITED</t>
        </is>
      </c>
      <c r="D160" s="26" t="inlineStr">
        <is>
          <t>ACTIVO</t>
        </is>
      </c>
      <c r="E160" s="26" t="inlineStr">
        <is>
          <t>2024-12-20</t>
        </is>
      </c>
      <c r="F160" s="26" t="inlineStr">
        <is>
          <t>2026-12-20</t>
        </is>
      </c>
      <c r="G160" s="28" t="n">
        <v>24</v>
      </c>
      <c r="H160" s="29" t="n">
        <v>227931.03</v>
      </c>
      <c r="I160" s="29">
        <f>ROUND(163530.31 * 'Resumen_Cartera'!$Q160, 2)</f>
        <v/>
      </c>
      <c r="J160" s="29">
        <f>IF(Saldo_Residual_Activo!I160&gt;0, ROUND(Saldo_Residual_Activo!I160 * 'Resumen_Cartera'!$Q160, 2), "")</f>
        <v/>
      </c>
      <c r="K160" s="29">
        <f>IF(Saldo_Residual_Activo!J160&gt;0, ROUND(Saldo_Residual_Activo!J160 * 'Resumen_Cartera'!$Q160, 2), "")</f>
        <v/>
      </c>
      <c r="L160" s="29">
        <f>IF(Saldo_Residual_Activo!K160&gt;0, ROUND(Saldo_Residual_Activo!K160 * 'Resumen_Cartera'!$Q160, 2), "")</f>
        <v/>
      </c>
      <c r="M160" s="29">
        <f>IF(Saldo_Residual_Activo!L160&gt;0, ROUND(Saldo_Residual_Activo!L160 * 'Resumen_Cartera'!$Q160, 2), "")</f>
        <v/>
      </c>
      <c r="N160" s="29">
        <f>IF(Saldo_Residual_Activo!M160&gt;0, ROUND(Saldo_Residual_Activo!M160 * 'Resumen_Cartera'!$Q160, 2), "")</f>
        <v/>
      </c>
      <c r="O160" s="29">
        <f>IF(Saldo_Residual_Activo!N160&gt;0, ROUND(Saldo_Residual_Activo!N160 * 'Resumen_Cartera'!$Q160, 2), "")</f>
        <v/>
      </c>
      <c r="P160" s="29">
        <f>IF(Saldo_Residual_Activo!O160&gt;0, ROUND(Saldo_Residual_Activo!O160 * 'Resumen_Cartera'!$Q160, 2), "")</f>
        <v/>
      </c>
      <c r="Q160" s="29">
        <f>IF(Saldo_Residual_Activo!P160&gt;0, ROUND(Saldo_Residual_Activo!P160 * 'Resumen_Cartera'!$Q160, 2), "")</f>
        <v/>
      </c>
      <c r="R160" s="29">
        <f>IF(Saldo_Residual_Activo!Q160&gt;0, ROUND(Saldo_Residual_Activo!Q160 * 'Resumen_Cartera'!$Q160, 2), "")</f>
        <v/>
      </c>
      <c r="S160" s="29">
        <f>IF(Saldo_Residual_Activo!R160&gt;0, ROUND(Saldo_Residual_Activo!R160 * 'Resumen_Cartera'!$Q160, 2), "")</f>
        <v/>
      </c>
      <c r="T160" s="29" t="inlineStr"/>
      <c r="U160" s="29">
        <f>SUM(I160:T160)</f>
        <v/>
      </c>
    </row>
    <row r="161">
      <c r="A161" s="20" t="inlineStr">
        <is>
          <t>0684-0002</t>
        </is>
      </c>
      <c r="B161" s="21" t="inlineStr">
        <is>
          <t>Corporativo Kareso Sa de Cv</t>
        </is>
      </c>
      <c r="C161" s="21" t="inlineStr">
        <is>
          <t>NP300 Chasis</t>
        </is>
      </c>
      <c r="D161" s="20" t="inlineStr">
        <is>
          <t>ACTIVO</t>
        </is>
      </c>
      <c r="E161" s="20" t="inlineStr">
        <is>
          <t>2025-12-12</t>
        </is>
      </c>
      <c r="F161" s="20" t="inlineStr">
        <is>
          <t>2027-12-12</t>
        </is>
      </c>
      <c r="G161" s="22" t="n">
        <v>24</v>
      </c>
      <c r="H161" s="23" t="n">
        <v>93689.66</v>
      </c>
      <c r="I161" s="23">
        <f>ROUND(51786.14 * 'Resumen_Cartera'!$Q161, 2)</f>
        <v/>
      </c>
      <c r="J161" s="23">
        <f>IF(Saldo_Residual_Activo!I161&gt;0, ROUND(Saldo_Residual_Activo!I161 * 'Resumen_Cartera'!$Q161, 2), "")</f>
        <v/>
      </c>
      <c r="K161" s="23">
        <f>IF(Saldo_Residual_Activo!J161&gt;0, ROUND(Saldo_Residual_Activo!J161 * 'Resumen_Cartera'!$Q161, 2), "")</f>
        <v/>
      </c>
      <c r="L161" s="23">
        <f>IF(Saldo_Residual_Activo!K161&gt;0, ROUND(Saldo_Residual_Activo!K161 * 'Resumen_Cartera'!$Q161, 2), "")</f>
        <v/>
      </c>
      <c r="M161" s="23">
        <f>IF(Saldo_Residual_Activo!L161&gt;0, ROUND(Saldo_Residual_Activo!L161 * 'Resumen_Cartera'!$Q161, 2), "")</f>
        <v/>
      </c>
      <c r="N161" s="23">
        <f>IF(Saldo_Residual_Activo!M161&gt;0, ROUND(Saldo_Residual_Activo!M161 * 'Resumen_Cartera'!$Q161, 2), "")</f>
        <v/>
      </c>
      <c r="O161" s="23">
        <f>IF(Saldo_Residual_Activo!N161&gt;0, ROUND(Saldo_Residual_Activo!N161 * 'Resumen_Cartera'!$Q161, 2), "")</f>
        <v/>
      </c>
      <c r="P161" s="23">
        <f>IF(Saldo_Residual_Activo!O161&gt;0, ROUND(Saldo_Residual_Activo!O161 * 'Resumen_Cartera'!$Q161, 2), "")</f>
        <v/>
      </c>
      <c r="Q161" s="23">
        <f>IF(Saldo_Residual_Activo!P161&gt;0, ROUND(Saldo_Residual_Activo!P161 * 'Resumen_Cartera'!$Q161, 2), "")</f>
        <v/>
      </c>
      <c r="R161" s="23">
        <f>IF(Saldo_Residual_Activo!Q161&gt;0, ROUND(Saldo_Residual_Activo!Q161 * 'Resumen_Cartera'!$Q161, 2), "")</f>
        <v/>
      </c>
      <c r="S161" s="23">
        <f>IF(Saldo_Residual_Activo!R161&gt;0, ROUND(Saldo_Residual_Activo!R161 * 'Resumen_Cartera'!$Q161, 2), "")</f>
        <v/>
      </c>
      <c r="T161" s="23">
        <f>IF(Saldo_Residual_Activo!S161&gt;0, ROUND(Saldo_Residual_Activo!S161 * 'Resumen_Cartera'!$Q161, 2), "")</f>
        <v/>
      </c>
      <c r="U161" s="23">
        <f>SUM(I161:T161)</f>
        <v/>
      </c>
    </row>
    <row r="162">
      <c r="A162" s="26" t="inlineStr">
        <is>
          <t>0684-0003</t>
        </is>
      </c>
      <c r="B162" s="27" t="inlineStr">
        <is>
          <t>Corporativo Kareso Sa de Cv</t>
        </is>
      </c>
      <c r="C162" s="27" t="inlineStr">
        <is>
          <t>Yaris HB</t>
        </is>
      </c>
      <c r="D162" s="26" t="inlineStr">
        <is>
          <t>ACTIVO</t>
        </is>
      </c>
      <c r="E162" s="26" t="inlineStr">
        <is>
          <t>2026-02-17</t>
        </is>
      </c>
      <c r="F162" s="26" t="inlineStr">
        <is>
          <t>2028-02-17</t>
        </is>
      </c>
      <c r="G162" s="28" t="n">
        <v>24</v>
      </c>
      <c r="H162" s="29" t="n">
        <v>64362.07</v>
      </c>
      <c r="I162" s="29" t="inlineStr"/>
      <c r="J162" s="29">
        <f>ROUND('Resumen_Cartera'!$U162 * 'Resumen_Cartera'!$Q162, 2)</f>
        <v/>
      </c>
      <c r="K162" s="29">
        <f>IF(Saldo_Residual_Activo!J162&gt;0, ROUND(Saldo_Residual_Activo!J162 * 'Resumen_Cartera'!$Q162, 2), "")</f>
        <v/>
      </c>
      <c r="L162" s="29">
        <f>IF(Saldo_Residual_Activo!K162&gt;0, ROUND(Saldo_Residual_Activo!K162 * 'Resumen_Cartera'!$Q162, 2), "")</f>
        <v/>
      </c>
      <c r="M162" s="29">
        <f>IF(Saldo_Residual_Activo!L162&gt;0, ROUND(Saldo_Residual_Activo!L162 * 'Resumen_Cartera'!$Q162, 2), "")</f>
        <v/>
      </c>
      <c r="N162" s="29">
        <f>IF(Saldo_Residual_Activo!M162&gt;0, ROUND(Saldo_Residual_Activo!M162 * 'Resumen_Cartera'!$Q162, 2), "")</f>
        <v/>
      </c>
      <c r="O162" s="29">
        <f>IF(Saldo_Residual_Activo!N162&gt;0, ROUND(Saldo_Residual_Activo!N162 * 'Resumen_Cartera'!$Q162, 2), "")</f>
        <v/>
      </c>
      <c r="P162" s="29">
        <f>IF(Saldo_Residual_Activo!O162&gt;0, ROUND(Saldo_Residual_Activo!O162 * 'Resumen_Cartera'!$Q162, 2), "")</f>
        <v/>
      </c>
      <c r="Q162" s="29">
        <f>IF(Saldo_Residual_Activo!P162&gt;0, ROUND(Saldo_Residual_Activo!P162 * 'Resumen_Cartera'!$Q162, 2), "")</f>
        <v/>
      </c>
      <c r="R162" s="29">
        <f>IF(Saldo_Residual_Activo!Q162&gt;0, ROUND(Saldo_Residual_Activo!Q162 * 'Resumen_Cartera'!$Q162, 2), "")</f>
        <v/>
      </c>
      <c r="S162" s="29">
        <f>IF(Saldo_Residual_Activo!R162&gt;0, ROUND(Saldo_Residual_Activo!R162 * 'Resumen_Cartera'!$Q162, 2), "")</f>
        <v/>
      </c>
      <c r="T162" s="29">
        <f>IF(Saldo_Residual_Activo!S162&gt;0, ROUND(Saldo_Residual_Activo!S162 * 'Resumen_Cartera'!$Q162, 2), "")</f>
        <v/>
      </c>
      <c r="U162" s="29">
        <f>SUM(I162:T162)</f>
        <v/>
      </c>
    </row>
    <row r="163">
      <c r="A163" s="20" t="inlineStr">
        <is>
          <t>0684-0004</t>
        </is>
      </c>
      <c r="B163" s="21" t="inlineStr">
        <is>
          <t>Corporativo Kareso Sa de Cv</t>
        </is>
      </c>
      <c r="C163" s="21" t="inlineStr">
        <is>
          <t>700 LARAMIE CREW CAB</t>
        </is>
      </c>
      <c r="D163" s="20" t="inlineStr">
        <is>
          <t>ACTIVO</t>
        </is>
      </c>
      <c r="E163" s="20" t="inlineStr">
        <is>
          <t>2025-12-12</t>
        </is>
      </c>
      <c r="F163" s="20" t="inlineStr">
        <is>
          <t>2027-12-12</t>
        </is>
      </c>
      <c r="G163" s="22" t="n">
        <v>24</v>
      </c>
      <c r="H163" s="23" t="n">
        <v>84120.69</v>
      </c>
      <c r="I163" s="23">
        <f>ROUND(46496.97 * 'Resumen_Cartera'!$Q163, 2)</f>
        <v/>
      </c>
      <c r="J163" s="23">
        <f>IF(Saldo_Residual_Activo!I163&gt;0, ROUND(Saldo_Residual_Activo!I163 * 'Resumen_Cartera'!$Q163, 2), "")</f>
        <v/>
      </c>
      <c r="K163" s="23">
        <f>IF(Saldo_Residual_Activo!J163&gt;0, ROUND(Saldo_Residual_Activo!J163 * 'Resumen_Cartera'!$Q163, 2), "")</f>
        <v/>
      </c>
      <c r="L163" s="23">
        <f>IF(Saldo_Residual_Activo!K163&gt;0, ROUND(Saldo_Residual_Activo!K163 * 'Resumen_Cartera'!$Q163, 2), "")</f>
        <v/>
      </c>
      <c r="M163" s="23">
        <f>IF(Saldo_Residual_Activo!L163&gt;0, ROUND(Saldo_Residual_Activo!L163 * 'Resumen_Cartera'!$Q163, 2), "")</f>
        <v/>
      </c>
      <c r="N163" s="23">
        <f>IF(Saldo_Residual_Activo!M163&gt;0, ROUND(Saldo_Residual_Activo!M163 * 'Resumen_Cartera'!$Q163, 2), "")</f>
        <v/>
      </c>
      <c r="O163" s="23">
        <f>IF(Saldo_Residual_Activo!N163&gt;0, ROUND(Saldo_Residual_Activo!N163 * 'Resumen_Cartera'!$Q163, 2), "")</f>
        <v/>
      </c>
      <c r="P163" s="23">
        <f>IF(Saldo_Residual_Activo!O163&gt;0, ROUND(Saldo_Residual_Activo!O163 * 'Resumen_Cartera'!$Q163, 2), "")</f>
        <v/>
      </c>
      <c r="Q163" s="23">
        <f>IF(Saldo_Residual_Activo!P163&gt;0, ROUND(Saldo_Residual_Activo!P163 * 'Resumen_Cartera'!$Q163, 2), "")</f>
        <v/>
      </c>
      <c r="R163" s="23">
        <f>IF(Saldo_Residual_Activo!Q163&gt;0, ROUND(Saldo_Residual_Activo!Q163 * 'Resumen_Cartera'!$Q163, 2), "")</f>
        <v/>
      </c>
      <c r="S163" s="23">
        <f>IF(Saldo_Residual_Activo!R163&gt;0, ROUND(Saldo_Residual_Activo!R163 * 'Resumen_Cartera'!$Q163, 2), "")</f>
        <v/>
      </c>
      <c r="T163" s="23">
        <f>IF(Saldo_Residual_Activo!S163&gt;0, ROUND(Saldo_Residual_Activo!S163 * 'Resumen_Cartera'!$Q163, 2), "")</f>
        <v/>
      </c>
      <c r="U163" s="23">
        <f>SUM(I163:T163)</f>
        <v/>
      </c>
    </row>
    <row r="164">
      <c r="A164" s="26" t="inlineStr">
        <is>
          <t>0687-0001</t>
        </is>
      </c>
      <c r="B164" s="27" t="inlineStr">
        <is>
          <t>Roberto Carlos Borbolla Alvarado</t>
        </is>
      </c>
      <c r="C164" s="27" t="inlineStr">
        <is>
          <t>Creta</t>
        </is>
      </c>
      <c r="D164" s="26" t="inlineStr">
        <is>
          <t>ACTIVO</t>
        </is>
      </c>
      <c r="E164" s="26" t="inlineStr">
        <is>
          <t>2025-03-03</t>
        </is>
      </c>
      <c r="F164" s="26" t="inlineStr">
        <is>
          <t>2028-03-03</t>
        </is>
      </c>
      <c r="G164" s="28" t="n">
        <v>36</v>
      </c>
      <c r="H164" s="29" t="n">
        <v>95568.97</v>
      </c>
      <c r="I164" s="29">
        <f>ROUND(48252.61 * 'Resumen_Cartera'!$Q164, 2)</f>
        <v/>
      </c>
      <c r="J164" s="29">
        <f>IF(Saldo_Residual_Activo!I164&gt;0, ROUND(Saldo_Residual_Activo!I164 * 'Resumen_Cartera'!$Q164, 2), "")</f>
        <v/>
      </c>
      <c r="K164" s="29">
        <f>IF(Saldo_Residual_Activo!J164&gt;0, ROUND(Saldo_Residual_Activo!J164 * 'Resumen_Cartera'!$Q164, 2), "")</f>
        <v/>
      </c>
      <c r="L164" s="29">
        <f>IF(Saldo_Residual_Activo!K164&gt;0, ROUND(Saldo_Residual_Activo!K164 * 'Resumen_Cartera'!$Q164, 2), "")</f>
        <v/>
      </c>
      <c r="M164" s="29">
        <f>IF(Saldo_Residual_Activo!L164&gt;0, ROUND(Saldo_Residual_Activo!L164 * 'Resumen_Cartera'!$Q164, 2), "")</f>
        <v/>
      </c>
      <c r="N164" s="29">
        <f>IF(Saldo_Residual_Activo!M164&gt;0, ROUND(Saldo_Residual_Activo!M164 * 'Resumen_Cartera'!$Q164, 2), "")</f>
        <v/>
      </c>
      <c r="O164" s="29">
        <f>IF(Saldo_Residual_Activo!N164&gt;0, ROUND(Saldo_Residual_Activo!N164 * 'Resumen_Cartera'!$Q164, 2), "")</f>
        <v/>
      </c>
      <c r="P164" s="29">
        <f>IF(Saldo_Residual_Activo!O164&gt;0, ROUND(Saldo_Residual_Activo!O164 * 'Resumen_Cartera'!$Q164, 2), "")</f>
        <v/>
      </c>
      <c r="Q164" s="29">
        <f>IF(Saldo_Residual_Activo!P164&gt;0, ROUND(Saldo_Residual_Activo!P164 * 'Resumen_Cartera'!$Q164, 2), "")</f>
        <v/>
      </c>
      <c r="R164" s="29">
        <f>IF(Saldo_Residual_Activo!Q164&gt;0, ROUND(Saldo_Residual_Activo!Q164 * 'Resumen_Cartera'!$Q164, 2), "")</f>
        <v/>
      </c>
      <c r="S164" s="29">
        <f>IF(Saldo_Residual_Activo!R164&gt;0, ROUND(Saldo_Residual_Activo!R164 * 'Resumen_Cartera'!$Q164, 2), "")</f>
        <v/>
      </c>
      <c r="T164" s="29">
        <f>IF(Saldo_Residual_Activo!S164&gt;0, ROUND(Saldo_Residual_Activo!S164 * 'Resumen_Cartera'!$Q164, 2), "")</f>
        <v/>
      </c>
      <c r="U164" s="29">
        <f>SUM(I164:T164)</f>
        <v/>
      </c>
    </row>
    <row r="165">
      <c r="A165" s="20" t="inlineStr">
        <is>
          <t>0688-0001</t>
        </is>
      </c>
      <c r="B165" s="21" t="inlineStr">
        <is>
          <t>Dolores Magdalena Rosales Rojas</t>
        </is>
      </c>
      <c r="C165" s="21" t="inlineStr">
        <is>
          <t>1500 RHO</t>
        </is>
      </c>
      <c r="D165" s="20" t="inlineStr">
        <is>
          <t>ACTIVO</t>
        </is>
      </c>
      <c r="E165" s="20" t="inlineStr">
        <is>
          <t>2025-02-21</t>
        </is>
      </c>
      <c r="F165" s="20" t="inlineStr">
        <is>
          <t>2027-02-21</t>
        </is>
      </c>
      <c r="G165" s="22" t="n">
        <v>24</v>
      </c>
      <c r="H165" s="23" t="n">
        <v>189646.55</v>
      </c>
      <c r="I165" s="23">
        <f>ROUND(146049.38 * 'Resumen_Cartera'!$Q165, 2)</f>
        <v/>
      </c>
      <c r="J165" s="23">
        <f>IF(Saldo_Residual_Activo!I165&gt;0, ROUND(Saldo_Residual_Activo!I165 * 'Resumen_Cartera'!$Q165, 2), "")</f>
        <v/>
      </c>
      <c r="K165" s="23">
        <f>IF(Saldo_Residual_Activo!J165&gt;0, ROUND(Saldo_Residual_Activo!J165 * 'Resumen_Cartera'!$Q165, 2), "")</f>
        <v/>
      </c>
      <c r="L165" s="23">
        <f>IF(Saldo_Residual_Activo!K165&gt;0, ROUND(Saldo_Residual_Activo!K165 * 'Resumen_Cartera'!$Q165, 2), "")</f>
        <v/>
      </c>
      <c r="M165" s="23">
        <f>IF(Saldo_Residual_Activo!L165&gt;0, ROUND(Saldo_Residual_Activo!L165 * 'Resumen_Cartera'!$Q165, 2), "")</f>
        <v/>
      </c>
      <c r="N165" s="23">
        <f>IF(Saldo_Residual_Activo!M165&gt;0, ROUND(Saldo_Residual_Activo!M165 * 'Resumen_Cartera'!$Q165, 2), "")</f>
        <v/>
      </c>
      <c r="O165" s="23">
        <f>IF(Saldo_Residual_Activo!N165&gt;0, ROUND(Saldo_Residual_Activo!N165 * 'Resumen_Cartera'!$Q165, 2), "")</f>
        <v/>
      </c>
      <c r="P165" s="23">
        <f>IF(Saldo_Residual_Activo!O165&gt;0, ROUND(Saldo_Residual_Activo!O165 * 'Resumen_Cartera'!$Q165, 2), "")</f>
        <v/>
      </c>
      <c r="Q165" s="23">
        <f>IF(Saldo_Residual_Activo!P165&gt;0, ROUND(Saldo_Residual_Activo!P165 * 'Resumen_Cartera'!$Q165, 2), "")</f>
        <v/>
      </c>
      <c r="R165" s="23">
        <f>IF(Saldo_Residual_Activo!Q165&gt;0, ROUND(Saldo_Residual_Activo!Q165 * 'Resumen_Cartera'!$Q165, 2), "")</f>
        <v/>
      </c>
      <c r="S165" s="23">
        <f>IF(Saldo_Residual_Activo!R165&gt;0, ROUND(Saldo_Residual_Activo!R165 * 'Resumen_Cartera'!$Q165, 2), "")</f>
        <v/>
      </c>
      <c r="T165" s="23">
        <f>IF(Saldo_Residual_Activo!S165&gt;0, ROUND(Saldo_Residual_Activo!S165 * 'Resumen_Cartera'!$Q165, 2), "")</f>
        <v/>
      </c>
      <c r="U165" s="23">
        <f>SUM(I165:T165)</f>
        <v/>
      </c>
    </row>
    <row r="166">
      <c r="A166" s="26" t="inlineStr">
        <is>
          <t>0688-0003</t>
        </is>
      </c>
      <c r="B166" s="27" t="inlineStr">
        <is>
          <t>Dolores Magdalena Rosales Rojas</t>
        </is>
      </c>
      <c r="C166" s="27" t="inlineStr">
        <is>
          <t>Jeep Jt Mojave 2025</t>
        </is>
      </c>
      <c r="D166" s="26" t="inlineStr">
        <is>
          <t>ACTIVO</t>
        </is>
      </c>
      <c r="E166" s="26" t="inlineStr">
        <is>
          <t>2026-07-30</t>
        </is>
      </c>
      <c r="F166" s="26" t="inlineStr">
        <is>
          <t>2027-07-30</t>
        </is>
      </c>
      <c r="G166" s="28" t="n">
        <v>12</v>
      </c>
      <c r="H166" s="29" t="n">
        <v>55134.48</v>
      </c>
      <c r="I166" s="29" t="inlineStr"/>
      <c r="J166" s="29" t="inlineStr"/>
      <c r="K166" s="29" t="inlineStr"/>
      <c r="L166" s="29" t="inlineStr"/>
      <c r="M166" s="29" t="inlineStr"/>
      <c r="N166" s="29" t="inlineStr"/>
      <c r="O166" s="29">
        <f>ROUND('Resumen_Cartera'!$U166 * 'Resumen_Cartera'!$Q166, 2)</f>
        <v/>
      </c>
      <c r="P166" s="29">
        <f>IF(Saldo_Residual_Activo!O166&gt;0, ROUND(Saldo_Residual_Activo!O166 * 'Resumen_Cartera'!$Q166, 2), "")</f>
        <v/>
      </c>
      <c r="Q166" s="29">
        <f>IF(Saldo_Residual_Activo!P166&gt;0, ROUND(Saldo_Residual_Activo!P166 * 'Resumen_Cartera'!$Q166, 2), "")</f>
        <v/>
      </c>
      <c r="R166" s="29">
        <f>IF(Saldo_Residual_Activo!Q166&gt;0, ROUND(Saldo_Residual_Activo!Q166 * 'Resumen_Cartera'!$Q166, 2), "")</f>
        <v/>
      </c>
      <c r="S166" s="29">
        <f>IF(Saldo_Residual_Activo!R166&gt;0, ROUND(Saldo_Residual_Activo!R166 * 'Resumen_Cartera'!$Q166, 2), "")</f>
        <v/>
      </c>
      <c r="T166" s="29">
        <f>IF(Saldo_Residual_Activo!S166&gt;0, ROUND(Saldo_Residual_Activo!S166 * 'Resumen_Cartera'!$Q166, 2), "")</f>
        <v/>
      </c>
      <c r="U166" s="29">
        <f>SUM(I166:T166)</f>
        <v/>
      </c>
    </row>
    <row r="167">
      <c r="A167" s="20" t="inlineStr">
        <is>
          <t>0689-0001</t>
        </is>
      </c>
      <c r="B167" s="21" t="inlineStr">
        <is>
          <t>Daniela Lizette Vargas Machuca</t>
        </is>
      </c>
      <c r="C167" s="21" t="inlineStr">
        <is>
          <t>1500 TUNGSTEN</t>
        </is>
      </c>
      <c r="D167" s="20" t="inlineStr">
        <is>
          <t>ACTIVO</t>
        </is>
      </c>
      <c r="E167" s="20" t="inlineStr">
        <is>
          <t>2025-02-26</t>
        </is>
      </c>
      <c r="F167" s="20" t="inlineStr">
        <is>
          <t>2028-02-26</t>
        </is>
      </c>
      <c r="G167" s="22" t="n">
        <v>36</v>
      </c>
      <c r="H167" s="23" t="n">
        <v>310500</v>
      </c>
      <c r="I167" s="23">
        <f>ROUND(160906.99 * 'Resumen_Cartera'!$Q167, 2)</f>
        <v/>
      </c>
      <c r="J167" s="23">
        <f>IF(Saldo_Residual_Activo!I167&gt;0, ROUND(Saldo_Residual_Activo!I167 * 'Resumen_Cartera'!$Q167, 2), "")</f>
        <v/>
      </c>
      <c r="K167" s="23">
        <f>IF(Saldo_Residual_Activo!J167&gt;0, ROUND(Saldo_Residual_Activo!J167 * 'Resumen_Cartera'!$Q167, 2), "")</f>
        <v/>
      </c>
      <c r="L167" s="23">
        <f>IF(Saldo_Residual_Activo!K167&gt;0, ROUND(Saldo_Residual_Activo!K167 * 'Resumen_Cartera'!$Q167, 2), "")</f>
        <v/>
      </c>
      <c r="M167" s="23">
        <f>IF(Saldo_Residual_Activo!L167&gt;0, ROUND(Saldo_Residual_Activo!L167 * 'Resumen_Cartera'!$Q167, 2), "")</f>
        <v/>
      </c>
      <c r="N167" s="23">
        <f>IF(Saldo_Residual_Activo!M167&gt;0, ROUND(Saldo_Residual_Activo!M167 * 'Resumen_Cartera'!$Q167, 2), "")</f>
        <v/>
      </c>
      <c r="O167" s="23">
        <f>IF(Saldo_Residual_Activo!N167&gt;0, ROUND(Saldo_Residual_Activo!N167 * 'Resumen_Cartera'!$Q167, 2), "")</f>
        <v/>
      </c>
      <c r="P167" s="23">
        <f>IF(Saldo_Residual_Activo!O167&gt;0, ROUND(Saldo_Residual_Activo!O167 * 'Resumen_Cartera'!$Q167, 2), "")</f>
        <v/>
      </c>
      <c r="Q167" s="23">
        <f>IF(Saldo_Residual_Activo!P167&gt;0, ROUND(Saldo_Residual_Activo!P167 * 'Resumen_Cartera'!$Q167, 2), "")</f>
        <v/>
      </c>
      <c r="R167" s="23">
        <f>IF(Saldo_Residual_Activo!Q167&gt;0, ROUND(Saldo_Residual_Activo!Q167 * 'Resumen_Cartera'!$Q167, 2), "")</f>
        <v/>
      </c>
      <c r="S167" s="23">
        <f>IF(Saldo_Residual_Activo!R167&gt;0, ROUND(Saldo_Residual_Activo!R167 * 'Resumen_Cartera'!$Q167, 2), "")</f>
        <v/>
      </c>
      <c r="T167" s="23">
        <f>IF(Saldo_Residual_Activo!S167&gt;0, ROUND(Saldo_Residual_Activo!S167 * 'Resumen_Cartera'!$Q167, 2), "")</f>
        <v/>
      </c>
      <c r="U167" s="23">
        <f>SUM(I167:T167)</f>
        <v/>
      </c>
    </row>
    <row r="168">
      <c r="A168" s="26" t="inlineStr">
        <is>
          <t>0690-0001</t>
        </is>
      </c>
      <c r="B168" s="27" t="inlineStr">
        <is>
          <t>Rogelio Sanchez Partida</t>
        </is>
      </c>
      <c r="C168" s="27" t="inlineStr">
        <is>
          <t>Grand Cherokee Limited</t>
        </is>
      </c>
      <c r="D168" s="26" t="inlineStr">
        <is>
          <t>ACTIVO</t>
        </is>
      </c>
      <c r="E168" s="26" t="inlineStr">
        <is>
          <t>2025-03-19</t>
        </is>
      </c>
      <c r="F168" s="26" t="inlineStr">
        <is>
          <t>2028-03-19</t>
        </is>
      </c>
      <c r="G168" s="28" t="n">
        <v>36</v>
      </c>
      <c r="H168" s="29" t="n">
        <v>111077.59</v>
      </c>
      <c r="I168" s="29">
        <f>ROUND(53259.4 * 'Resumen_Cartera'!$Q168, 2)</f>
        <v/>
      </c>
      <c r="J168" s="29">
        <f>IF(Saldo_Residual_Activo!I168&gt;0, ROUND(Saldo_Residual_Activo!I168 * 'Resumen_Cartera'!$Q168, 2), "")</f>
        <v/>
      </c>
      <c r="K168" s="29">
        <f>IF(Saldo_Residual_Activo!J168&gt;0, ROUND(Saldo_Residual_Activo!J168 * 'Resumen_Cartera'!$Q168, 2), "")</f>
        <v/>
      </c>
      <c r="L168" s="29">
        <f>IF(Saldo_Residual_Activo!K168&gt;0, ROUND(Saldo_Residual_Activo!K168 * 'Resumen_Cartera'!$Q168, 2), "")</f>
        <v/>
      </c>
      <c r="M168" s="29">
        <f>IF(Saldo_Residual_Activo!L168&gt;0, ROUND(Saldo_Residual_Activo!L168 * 'Resumen_Cartera'!$Q168, 2), "")</f>
        <v/>
      </c>
      <c r="N168" s="29">
        <f>IF(Saldo_Residual_Activo!M168&gt;0, ROUND(Saldo_Residual_Activo!M168 * 'Resumen_Cartera'!$Q168, 2), "")</f>
        <v/>
      </c>
      <c r="O168" s="29">
        <f>IF(Saldo_Residual_Activo!N168&gt;0, ROUND(Saldo_Residual_Activo!N168 * 'Resumen_Cartera'!$Q168, 2), "")</f>
        <v/>
      </c>
      <c r="P168" s="29">
        <f>IF(Saldo_Residual_Activo!O168&gt;0, ROUND(Saldo_Residual_Activo!O168 * 'Resumen_Cartera'!$Q168, 2), "")</f>
        <v/>
      </c>
      <c r="Q168" s="29">
        <f>IF(Saldo_Residual_Activo!P168&gt;0, ROUND(Saldo_Residual_Activo!P168 * 'Resumen_Cartera'!$Q168, 2), "")</f>
        <v/>
      </c>
      <c r="R168" s="29">
        <f>IF(Saldo_Residual_Activo!Q168&gt;0, ROUND(Saldo_Residual_Activo!Q168 * 'Resumen_Cartera'!$Q168, 2), "")</f>
        <v/>
      </c>
      <c r="S168" s="29">
        <f>IF(Saldo_Residual_Activo!R168&gt;0, ROUND(Saldo_Residual_Activo!R168 * 'Resumen_Cartera'!$Q168, 2), "")</f>
        <v/>
      </c>
      <c r="T168" s="29">
        <f>IF(Saldo_Residual_Activo!S168&gt;0, ROUND(Saldo_Residual_Activo!S168 * 'Resumen_Cartera'!$Q168, 2), "")</f>
        <v/>
      </c>
      <c r="U168" s="29">
        <f>SUM(I168:T168)</f>
        <v/>
      </c>
    </row>
    <row r="169">
      <c r="A169" s="20" t="inlineStr">
        <is>
          <t>0691-0001</t>
        </is>
      </c>
      <c r="B169" s="21" t="inlineStr">
        <is>
          <t>Pfc Films</t>
        </is>
      </c>
      <c r="C169" s="21" t="inlineStr">
        <is>
          <t>2008 allure Pack</t>
        </is>
      </c>
      <c r="D169" s="20" t="inlineStr">
        <is>
          <t>ACTIVO</t>
        </is>
      </c>
      <c r="E169" s="20" t="inlineStr">
        <is>
          <t>2025-03-20</t>
        </is>
      </c>
      <c r="F169" s="20" t="inlineStr">
        <is>
          <t>2027-03-20</t>
        </is>
      </c>
      <c r="G169" s="22" t="n">
        <v>24</v>
      </c>
      <c r="H169" s="23" t="n">
        <v>40853.45</v>
      </c>
      <c r="I169" s="23">
        <f>ROUND(28516.68 * 'Resumen_Cartera'!$Q169, 2)</f>
        <v/>
      </c>
      <c r="J169" s="23">
        <f>IF(Saldo_Residual_Activo!I169&gt;0, ROUND(Saldo_Residual_Activo!I169 * 'Resumen_Cartera'!$Q169, 2), "")</f>
        <v/>
      </c>
      <c r="K169" s="23">
        <f>IF(Saldo_Residual_Activo!J169&gt;0, ROUND(Saldo_Residual_Activo!J169 * 'Resumen_Cartera'!$Q169, 2), "")</f>
        <v/>
      </c>
      <c r="L169" s="23">
        <f>IF(Saldo_Residual_Activo!K169&gt;0, ROUND(Saldo_Residual_Activo!K169 * 'Resumen_Cartera'!$Q169, 2), "")</f>
        <v/>
      </c>
      <c r="M169" s="23">
        <f>IF(Saldo_Residual_Activo!L169&gt;0, ROUND(Saldo_Residual_Activo!L169 * 'Resumen_Cartera'!$Q169, 2), "")</f>
        <v/>
      </c>
      <c r="N169" s="23">
        <f>IF(Saldo_Residual_Activo!M169&gt;0, ROUND(Saldo_Residual_Activo!M169 * 'Resumen_Cartera'!$Q169, 2), "")</f>
        <v/>
      </c>
      <c r="O169" s="23">
        <f>IF(Saldo_Residual_Activo!N169&gt;0, ROUND(Saldo_Residual_Activo!N169 * 'Resumen_Cartera'!$Q169, 2), "")</f>
        <v/>
      </c>
      <c r="P169" s="23">
        <f>IF(Saldo_Residual_Activo!O169&gt;0, ROUND(Saldo_Residual_Activo!O169 * 'Resumen_Cartera'!$Q169, 2), "")</f>
        <v/>
      </c>
      <c r="Q169" s="23">
        <f>IF(Saldo_Residual_Activo!P169&gt;0, ROUND(Saldo_Residual_Activo!P169 * 'Resumen_Cartera'!$Q169, 2), "")</f>
        <v/>
      </c>
      <c r="R169" s="23">
        <f>IF(Saldo_Residual_Activo!Q169&gt;0, ROUND(Saldo_Residual_Activo!Q169 * 'Resumen_Cartera'!$Q169, 2), "")</f>
        <v/>
      </c>
      <c r="S169" s="23">
        <f>IF(Saldo_Residual_Activo!R169&gt;0, ROUND(Saldo_Residual_Activo!R169 * 'Resumen_Cartera'!$Q169, 2), "")</f>
        <v/>
      </c>
      <c r="T169" s="23">
        <f>IF(Saldo_Residual_Activo!S169&gt;0, ROUND(Saldo_Residual_Activo!S169 * 'Resumen_Cartera'!$Q169, 2), "")</f>
        <v/>
      </c>
      <c r="U169" s="23">
        <f>SUM(I169:T169)</f>
        <v/>
      </c>
    </row>
    <row r="170">
      <c r="A170" s="26" t="inlineStr">
        <is>
          <t>0692-0001</t>
        </is>
      </c>
      <c r="B170" s="27" t="inlineStr">
        <is>
          <t>Operadora de Centros Familiares Gato</t>
        </is>
      </c>
      <c r="C170" s="27" t="inlineStr">
        <is>
          <t>Partner Rapid</t>
        </is>
      </c>
      <c r="D170" s="26" t="inlineStr">
        <is>
          <t>ACTIVO</t>
        </is>
      </c>
      <c r="E170" s="26" t="inlineStr">
        <is>
          <t>2025-04-23</t>
        </is>
      </c>
      <c r="F170" s="26" t="inlineStr">
        <is>
          <t>2027-04-23</t>
        </is>
      </c>
      <c r="G170" s="28" t="n">
        <v>24</v>
      </c>
      <c r="H170" s="29" t="n">
        <v>2478.45</v>
      </c>
      <c r="I170" s="29">
        <f>ROUND(1710.15 * 'Resumen_Cartera'!$Q170, 2)</f>
        <v/>
      </c>
      <c r="J170" s="29">
        <f>IF(Saldo_Residual_Activo!I170&gt;0, ROUND(Saldo_Residual_Activo!I170 * 'Resumen_Cartera'!$Q170, 2), "")</f>
        <v/>
      </c>
      <c r="K170" s="29">
        <f>IF(Saldo_Residual_Activo!J170&gt;0, ROUND(Saldo_Residual_Activo!J170 * 'Resumen_Cartera'!$Q170, 2), "")</f>
        <v/>
      </c>
      <c r="L170" s="29">
        <f>IF(Saldo_Residual_Activo!K170&gt;0, ROUND(Saldo_Residual_Activo!K170 * 'Resumen_Cartera'!$Q170, 2), "")</f>
        <v/>
      </c>
      <c r="M170" s="29">
        <f>IF(Saldo_Residual_Activo!L170&gt;0, ROUND(Saldo_Residual_Activo!L170 * 'Resumen_Cartera'!$Q170, 2), "")</f>
        <v/>
      </c>
      <c r="N170" s="29">
        <f>IF(Saldo_Residual_Activo!M170&gt;0, ROUND(Saldo_Residual_Activo!M170 * 'Resumen_Cartera'!$Q170, 2), "")</f>
        <v/>
      </c>
      <c r="O170" s="29">
        <f>IF(Saldo_Residual_Activo!N170&gt;0, ROUND(Saldo_Residual_Activo!N170 * 'Resumen_Cartera'!$Q170, 2), "")</f>
        <v/>
      </c>
      <c r="P170" s="29">
        <f>IF(Saldo_Residual_Activo!O170&gt;0, ROUND(Saldo_Residual_Activo!O170 * 'Resumen_Cartera'!$Q170, 2), "")</f>
        <v/>
      </c>
      <c r="Q170" s="29">
        <f>IF(Saldo_Residual_Activo!P170&gt;0, ROUND(Saldo_Residual_Activo!P170 * 'Resumen_Cartera'!$Q170, 2), "")</f>
        <v/>
      </c>
      <c r="R170" s="29">
        <f>IF(Saldo_Residual_Activo!Q170&gt;0, ROUND(Saldo_Residual_Activo!Q170 * 'Resumen_Cartera'!$Q170, 2), "")</f>
        <v/>
      </c>
      <c r="S170" s="29">
        <f>IF(Saldo_Residual_Activo!R170&gt;0, ROUND(Saldo_Residual_Activo!R170 * 'Resumen_Cartera'!$Q170, 2), "")</f>
        <v/>
      </c>
      <c r="T170" s="29">
        <f>IF(Saldo_Residual_Activo!S170&gt;0, ROUND(Saldo_Residual_Activo!S170 * 'Resumen_Cartera'!$Q170, 2), "")</f>
        <v/>
      </c>
      <c r="U170" s="29">
        <f>SUM(I170:T170)</f>
        <v/>
      </c>
    </row>
    <row r="171">
      <c r="A171" s="20" t="inlineStr">
        <is>
          <t>0692-0002</t>
        </is>
      </c>
      <c r="B171" s="21" t="inlineStr">
        <is>
          <t>Operadora de Centros Familiares Gato</t>
        </is>
      </c>
      <c r="C171" s="21" t="inlineStr">
        <is>
          <t>Partner Rapid</t>
        </is>
      </c>
      <c r="D171" s="20" t="inlineStr">
        <is>
          <t>ACTIVO</t>
        </is>
      </c>
      <c r="E171" s="20" t="inlineStr">
        <is>
          <t>2025-04-23</t>
        </is>
      </c>
      <c r="F171" s="20" t="inlineStr">
        <is>
          <t>2027-04-23</t>
        </is>
      </c>
      <c r="G171" s="22" t="n">
        <v>24</v>
      </c>
      <c r="H171" s="23" t="n">
        <v>2478.45</v>
      </c>
      <c r="I171" s="23">
        <f>ROUND(1710.15 * 'Resumen_Cartera'!$Q171, 2)</f>
        <v/>
      </c>
      <c r="J171" s="23">
        <f>IF(Saldo_Residual_Activo!I171&gt;0, ROUND(Saldo_Residual_Activo!I171 * 'Resumen_Cartera'!$Q171, 2), "")</f>
        <v/>
      </c>
      <c r="K171" s="23">
        <f>IF(Saldo_Residual_Activo!J171&gt;0, ROUND(Saldo_Residual_Activo!J171 * 'Resumen_Cartera'!$Q171, 2), "")</f>
        <v/>
      </c>
      <c r="L171" s="23">
        <f>IF(Saldo_Residual_Activo!K171&gt;0, ROUND(Saldo_Residual_Activo!K171 * 'Resumen_Cartera'!$Q171, 2), "")</f>
        <v/>
      </c>
      <c r="M171" s="23">
        <f>IF(Saldo_Residual_Activo!L171&gt;0, ROUND(Saldo_Residual_Activo!L171 * 'Resumen_Cartera'!$Q171, 2), "")</f>
        <v/>
      </c>
      <c r="N171" s="23">
        <f>IF(Saldo_Residual_Activo!M171&gt;0, ROUND(Saldo_Residual_Activo!M171 * 'Resumen_Cartera'!$Q171, 2), "")</f>
        <v/>
      </c>
      <c r="O171" s="23">
        <f>IF(Saldo_Residual_Activo!N171&gt;0, ROUND(Saldo_Residual_Activo!N171 * 'Resumen_Cartera'!$Q171, 2), "")</f>
        <v/>
      </c>
      <c r="P171" s="23">
        <f>IF(Saldo_Residual_Activo!O171&gt;0, ROUND(Saldo_Residual_Activo!O171 * 'Resumen_Cartera'!$Q171, 2), "")</f>
        <v/>
      </c>
      <c r="Q171" s="23">
        <f>IF(Saldo_Residual_Activo!P171&gt;0, ROUND(Saldo_Residual_Activo!P171 * 'Resumen_Cartera'!$Q171, 2), "")</f>
        <v/>
      </c>
      <c r="R171" s="23">
        <f>IF(Saldo_Residual_Activo!Q171&gt;0, ROUND(Saldo_Residual_Activo!Q171 * 'Resumen_Cartera'!$Q171, 2), "")</f>
        <v/>
      </c>
      <c r="S171" s="23">
        <f>IF(Saldo_Residual_Activo!R171&gt;0, ROUND(Saldo_Residual_Activo!R171 * 'Resumen_Cartera'!$Q171, 2), "")</f>
        <v/>
      </c>
      <c r="T171" s="23">
        <f>IF(Saldo_Residual_Activo!S171&gt;0, ROUND(Saldo_Residual_Activo!S171 * 'Resumen_Cartera'!$Q171, 2), "")</f>
        <v/>
      </c>
      <c r="U171" s="23">
        <f>SUM(I171:T171)</f>
        <v/>
      </c>
    </row>
    <row r="172">
      <c r="A172" s="26" t="inlineStr">
        <is>
          <t>0692-0003</t>
        </is>
      </c>
      <c r="B172" s="27" t="inlineStr">
        <is>
          <t>Operadora de Centros Familiares Gato</t>
        </is>
      </c>
      <c r="C172" s="27" t="inlineStr">
        <is>
          <t>Partner Rapid</t>
        </is>
      </c>
      <c r="D172" s="26" t="inlineStr">
        <is>
          <t>ACTIVO</t>
        </is>
      </c>
      <c r="E172" s="26" t="inlineStr">
        <is>
          <t>2025-04-23</t>
        </is>
      </c>
      <c r="F172" s="26" t="inlineStr">
        <is>
          <t>2027-04-23</t>
        </is>
      </c>
      <c r="G172" s="28" t="n">
        <v>24</v>
      </c>
      <c r="H172" s="29" t="n">
        <v>2478.45</v>
      </c>
      <c r="I172" s="29">
        <f>ROUND(1710.15 * 'Resumen_Cartera'!$Q172, 2)</f>
        <v/>
      </c>
      <c r="J172" s="29">
        <f>IF(Saldo_Residual_Activo!I172&gt;0, ROUND(Saldo_Residual_Activo!I172 * 'Resumen_Cartera'!$Q172, 2), "")</f>
        <v/>
      </c>
      <c r="K172" s="29">
        <f>IF(Saldo_Residual_Activo!J172&gt;0, ROUND(Saldo_Residual_Activo!J172 * 'Resumen_Cartera'!$Q172, 2), "")</f>
        <v/>
      </c>
      <c r="L172" s="29">
        <f>IF(Saldo_Residual_Activo!K172&gt;0, ROUND(Saldo_Residual_Activo!K172 * 'Resumen_Cartera'!$Q172, 2), "")</f>
        <v/>
      </c>
      <c r="M172" s="29">
        <f>IF(Saldo_Residual_Activo!L172&gt;0, ROUND(Saldo_Residual_Activo!L172 * 'Resumen_Cartera'!$Q172, 2), "")</f>
        <v/>
      </c>
      <c r="N172" s="29">
        <f>IF(Saldo_Residual_Activo!M172&gt;0, ROUND(Saldo_Residual_Activo!M172 * 'Resumen_Cartera'!$Q172, 2), "")</f>
        <v/>
      </c>
      <c r="O172" s="29">
        <f>IF(Saldo_Residual_Activo!N172&gt;0, ROUND(Saldo_Residual_Activo!N172 * 'Resumen_Cartera'!$Q172, 2), "")</f>
        <v/>
      </c>
      <c r="P172" s="29">
        <f>IF(Saldo_Residual_Activo!O172&gt;0, ROUND(Saldo_Residual_Activo!O172 * 'Resumen_Cartera'!$Q172, 2), "")</f>
        <v/>
      </c>
      <c r="Q172" s="29">
        <f>IF(Saldo_Residual_Activo!P172&gt;0, ROUND(Saldo_Residual_Activo!P172 * 'Resumen_Cartera'!$Q172, 2), "")</f>
        <v/>
      </c>
      <c r="R172" s="29">
        <f>IF(Saldo_Residual_Activo!Q172&gt;0, ROUND(Saldo_Residual_Activo!Q172 * 'Resumen_Cartera'!$Q172, 2), "")</f>
        <v/>
      </c>
      <c r="S172" s="29">
        <f>IF(Saldo_Residual_Activo!R172&gt;0, ROUND(Saldo_Residual_Activo!R172 * 'Resumen_Cartera'!$Q172, 2), "")</f>
        <v/>
      </c>
      <c r="T172" s="29">
        <f>IF(Saldo_Residual_Activo!S172&gt;0, ROUND(Saldo_Residual_Activo!S172 * 'Resumen_Cartera'!$Q172, 2), "")</f>
        <v/>
      </c>
      <c r="U172" s="29">
        <f>SUM(I172:T172)</f>
        <v/>
      </c>
    </row>
    <row r="173">
      <c r="A173" s="20" t="inlineStr">
        <is>
          <t>0693-0001</t>
        </is>
      </c>
      <c r="B173" s="21" t="inlineStr">
        <is>
          <t>Neurovim</t>
        </is>
      </c>
      <c r="C173" s="21" t="inlineStr">
        <is>
          <t>Equipo Medico</t>
        </is>
      </c>
      <c r="D173" s="20" t="inlineStr">
        <is>
          <t>ACTIVO</t>
        </is>
      </c>
      <c r="E173" s="20" t="inlineStr">
        <is>
          <t>2025-04-25</t>
        </is>
      </c>
      <c r="F173" s="20" t="inlineStr">
        <is>
          <t>2028-04-25</t>
        </is>
      </c>
      <c r="G173" s="22" t="n">
        <v>36</v>
      </c>
      <c r="H173" s="23" t="n">
        <v>637285.3199999999</v>
      </c>
      <c r="I173" s="23">
        <f>ROUND(305831.53 * 'Resumen_Cartera'!$Q173, 2)</f>
        <v/>
      </c>
      <c r="J173" s="23">
        <f>IF(Saldo_Residual_Activo!I173&gt;0, ROUND(Saldo_Residual_Activo!I173 * 'Resumen_Cartera'!$Q173, 2), "")</f>
        <v/>
      </c>
      <c r="K173" s="23">
        <f>IF(Saldo_Residual_Activo!J173&gt;0, ROUND(Saldo_Residual_Activo!J173 * 'Resumen_Cartera'!$Q173, 2), "")</f>
        <v/>
      </c>
      <c r="L173" s="23">
        <f>IF(Saldo_Residual_Activo!K173&gt;0, ROUND(Saldo_Residual_Activo!K173 * 'Resumen_Cartera'!$Q173, 2), "")</f>
        <v/>
      </c>
      <c r="M173" s="23">
        <f>IF(Saldo_Residual_Activo!L173&gt;0, ROUND(Saldo_Residual_Activo!L173 * 'Resumen_Cartera'!$Q173, 2), "")</f>
        <v/>
      </c>
      <c r="N173" s="23">
        <f>IF(Saldo_Residual_Activo!M173&gt;0, ROUND(Saldo_Residual_Activo!M173 * 'Resumen_Cartera'!$Q173, 2), "")</f>
        <v/>
      </c>
      <c r="O173" s="23">
        <f>IF(Saldo_Residual_Activo!N173&gt;0, ROUND(Saldo_Residual_Activo!N173 * 'Resumen_Cartera'!$Q173, 2), "")</f>
        <v/>
      </c>
      <c r="P173" s="23">
        <f>IF(Saldo_Residual_Activo!O173&gt;0, ROUND(Saldo_Residual_Activo!O173 * 'Resumen_Cartera'!$Q173, 2), "")</f>
        <v/>
      </c>
      <c r="Q173" s="23">
        <f>IF(Saldo_Residual_Activo!P173&gt;0, ROUND(Saldo_Residual_Activo!P173 * 'Resumen_Cartera'!$Q173, 2), "")</f>
        <v/>
      </c>
      <c r="R173" s="23">
        <f>IF(Saldo_Residual_Activo!Q173&gt;0, ROUND(Saldo_Residual_Activo!Q173 * 'Resumen_Cartera'!$Q173, 2), "")</f>
        <v/>
      </c>
      <c r="S173" s="23">
        <f>IF(Saldo_Residual_Activo!R173&gt;0, ROUND(Saldo_Residual_Activo!R173 * 'Resumen_Cartera'!$Q173, 2), "")</f>
        <v/>
      </c>
      <c r="T173" s="23">
        <f>IF(Saldo_Residual_Activo!S173&gt;0, ROUND(Saldo_Residual_Activo!S173 * 'Resumen_Cartera'!$Q173, 2), "")</f>
        <v/>
      </c>
      <c r="U173" s="23">
        <f>SUM(I173:T173)</f>
        <v/>
      </c>
    </row>
    <row r="174">
      <c r="A174" s="26" t="inlineStr">
        <is>
          <t>0694-0001</t>
        </is>
      </c>
      <c r="B174" s="27" t="inlineStr">
        <is>
          <t>Jose Gelacio Limon Reyes</t>
        </is>
      </c>
      <c r="C174" s="27" t="inlineStr">
        <is>
          <t>Outlander Sport</t>
        </is>
      </c>
      <c r="D174" s="26" t="inlineStr">
        <is>
          <t>ACTIVO</t>
        </is>
      </c>
      <c r="E174" s="26" t="inlineStr">
        <is>
          <t>2025-05-26</t>
        </is>
      </c>
      <c r="F174" s="26" t="inlineStr">
        <is>
          <t>2029-05-26</t>
        </is>
      </c>
      <c r="G174" s="28" t="n">
        <v>48</v>
      </c>
      <c r="H174" s="29" t="n">
        <v>43077.59</v>
      </c>
      <c r="I174" s="29">
        <f>ROUND(14887.51 * 'Resumen_Cartera'!$Q174, 2)</f>
        <v/>
      </c>
      <c r="J174" s="29">
        <f>IF(Saldo_Residual_Activo!I174&gt;0, ROUND(Saldo_Residual_Activo!I174 * 'Resumen_Cartera'!$Q174, 2), "")</f>
        <v/>
      </c>
      <c r="K174" s="29">
        <f>IF(Saldo_Residual_Activo!J174&gt;0, ROUND(Saldo_Residual_Activo!J174 * 'Resumen_Cartera'!$Q174, 2), "")</f>
        <v/>
      </c>
      <c r="L174" s="29">
        <f>IF(Saldo_Residual_Activo!K174&gt;0, ROUND(Saldo_Residual_Activo!K174 * 'Resumen_Cartera'!$Q174, 2), "")</f>
        <v/>
      </c>
      <c r="M174" s="29">
        <f>IF(Saldo_Residual_Activo!L174&gt;0, ROUND(Saldo_Residual_Activo!L174 * 'Resumen_Cartera'!$Q174, 2), "")</f>
        <v/>
      </c>
      <c r="N174" s="29">
        <f>IF(Saldo_Residual_Activo!M174&gt;0, ROUND(Saldo_Residual_Activo!M174 * 'Resumen_Cartera'!$Q174, 2), "")</f>
        <v/>
      </c>
      <c r="O174" s="29">
        <f>IF(Saldo_Residual_Activo!N174&gt;0, ROUND(Saldo_Residual_Activo!N174 * 'Resumen_Cartera'!$Q174, 2), "")</f>
        <v/>
      </c>
      <c r="P174" s="29">
        <f>IF(Saldo_Residual_Activo!O174&gt;0, ROUND(Saldo_Residual_Activo!O174 * 'Resumen_Cartera'!$Q174, 2), "")</f>
        <v/>
      </c>
      <c r="Q174" s="29">
        <f>IF(Saldo_Residual_Activo!P174&gt;0, ROUND(Saldo_Residual_Activo!P174 * 'Resumen_Cartera'!$Q174, 2), "")</f>
        <v/>
      </c>
      <c r="R174" s="29">
        <f>IF(Saldo_Residual_Activo!Q174&gt;0, ROUND(Saldo_Residual_Activo!Q174 * 'Resumen_Cartera'!$Q174, 2), "")</f>
        <v/>
      </c>
      <c r="S174" s="29">
        <f>IF(Saldo_Residual_Activo!R174&gt;0, ROUND(Saldo_Residual_Activo!R174 * 'Resumen_Cartera'!$Q174, 2), "")</f>
        <v/>
      </c>
      <c r="T174" s="29">
        <f>IF(Saldo_Residual_Activo!S174&gt;0, ROUND(Saldo_Residual_Activo!S174 * 'Resumen_Cartera'!$Q174, 2), "")</f>
        <v/>
      </c>
      <c r="U174" s="29">
        <f>SUM(I174:T174)</f>
        <v/>
      </c>
    </row>
    <row r="175">
      <c r="A175" s="20" t="inlineStr">
        <is>
          <t>0695-0001</t>
        </is>
      </c>
      <c r="B175" s="21" t="inlineStr">
        <is>
          <t>Sistemas de Seguridad Privada Ssp</t>
        </is>
      </c>
      <c r="C175" s="21" t="inlineStr">
        <is>
          <t>Attitude Sport</t>
        </is>
      </c>
      <c r="D175" s="20" t="inlineStr">
        <is>
          <t>ACTIVO</t>
        </is>
      </c>
      <c r="E175" s="20" t="inlineStr">
        <is>
          <t>2025-05-26</t>
        </is>
      </c>
      <c r="F175" s="20" t="inlineStr">
        <is>
          <t>2027-05-26</t>
        </is>
      </c>
      <c r="G175" s="22" t="n">
        <v>24</v>
      </c>
      <c r="H175" s="23" t="n">
        <v>80155.17</v>
      </c>
      <c r="I175" s="23">
        <f>ROUND(62104.71 * 'Resumen_Cartera'!$Q175, 2)</f>
        <v/>
      </c>
      <c r="J175" s="23">
        <f>IF(Saldo_Residual_Activo!I175&gt;0, ROUND(Saldo_Residual_Activo!I175 * 'Resumen_Cartera'!$Q175, 2), "")</f>
        <v/>
      </c>
      <c r="K175" s="23">
        <f>IF(Saldo_Residual_Activo!J175&gt;0, ROUND(Saldo_Residual_Activo!J175 * 'Resumen_Cartera'!$Q175, 2), "")</f>
        <v/>
      </c>
      <c r="L175" s="23">
        <f>IF(Saldo_Residual_Activo!K175&gt;0, ROUND(Saldo_Residual_Activo!K175 * 'Resumen_Cartera'!$Q175, 2), "")</f>
        <v/>
      </c>
      <c r="M175" s="23">
        <f>IF(Saldo_Residual_Activo!L175&gt;0, ROUND(Saldo_Residual_Activo!L175 * 'Resumen_Cartera'!$Q175, 2), "")</f>
        <v/>
      </c>
      <c r="N175" s="23">
        <f>IF(Saldo_Residual_Activo!M175&gt;0, ROUND(Saldo_Residual_Activo!M175 * 'Resumen_Cartera'!$Q175, 2), "")</f>
        <v/>
      </c>
      <c r="O175" s="23">
        <f>IF(Saldo_Residual_Activo!N175&gt;0, ROUND(Saldo_Residual_Activo!N175 * 'Resumen_Cartera'!$Q175, 2), "")</f>
        <v/>
      </c>
      <c r="P175" s="23">
        <f>IF(Saldo_Residual_Activo!O175&gt;0, ROUND(Saldo_Residual_Activo!O175 * 'Resumen_Cartera'!$Q175, 2), "")</f>
        <v/>
      </c>
      <c r="Q175" s="23">
        <f>IF(Saldo_Residual_Activo!P175&gt;0, ROUND(Saldo_Residual_Activo!P175 * 'Resumen_Cartera'!$Q175, 2), "")</f>
        <v/>
      </c>
      <c r="R175" s="23">
        <f>IF(Saldo_Residual_Activo!Q175&gt;0, ROUND(Saldo_Residual_Activo!Q175 * 'Resumen_Cartera'!$Q175, 2), "")</f>
        <v/>
      </c>
      <c r="S175" s="23">
        <f>IF(Saldo_Residual_Activo!R175&gt;0, ROUND(Saldo_Residual_Activo!R175 * 'Resumen_Cartera'!$Q175, 2), "")</f>
        <v/>
      </c>
      <c r="T175" s="23">
        <f>IF(Saldo_Residual_Activo!S175&gt;0, ROUND(Saldo_Residual_Activo!S175 * 'Resumen_Cartera'!$Q175, 2), "")</f>
        <v/>
      </c>
      <c r="U175" s="23">
        <f>SUM(I175:T175)</f>
        <v/>
      </c>
    </row>
    <row r="176">
      <c r="A176" s="26" t="inlineStr">
        <is>
          <t>0696-0001</t>
        </is>
      </c>
      <c r="B176" s="27" t="inlineStr">
        <is>
          <t>Karina Rocio Sanchez Cardenas</t>
        </is>
      </c>
      <c r="C176" s="27" t="inlineStr">
        <is>
          <t>Atittude GT</t>
        </is>
      </c>
      <c r="D176" s="26" t="inlineStr">
        <is>
          <t>ACTIVO</t>
        </is>
      </c>
      <c r="E176" s="26" t="inlineStr">
        <is>
          <t>2025-05-28</t>
        </is>
      </c>
      <c r="F176" s="26" t="inlineStr">
        <is>
          <t>2029-05-28</t>
        </is>
      </c>
      <c r="G176" s="28" t="n">
        <v>48</v>
      </c>
      <c r="H176" s="29" t="n">
        <v>43094.83</v>
      </c>
      <c r="I176" s="29">
        <f>ROUND(14893.48 * 'Resumen_Cartera'!$Q176, 2)</f>
        <v/>
      </c>
      <c r="J176" s="29">
        <f>IF(Saldo_Residual_Activo!I176&gt;0, ROUND(Saldo_Residual_Activo!I176 * 'Resumen_Cartera'!$Q176, 2), "")</f>
        <v/>
      </c>
      <c r="K176" s="29">
        <f>IF(Saldo_Residual_Activo!J176&gt;0, ROUND(Saldo_Residual_Activo!J176 * 'Resumen_Cartera'!$Q176, 2), "")</f>
        <v/>
      </c>
      <c r="L176" s="29">
        <f>IF(Saldo_Residual_Activo!K176&gt;0, ROUND(Saldo_Residual_Activo!K176 * 'Resumen_Cartera'!$Q176, 2), "")</f>
        <v/>
      </c>
      <c r="M176" s="29">
        <f>IF(Saldo_Residual_Activo!L176&gt;0, ROUND(Saldo_Residual_Activo!L176 * 'Resumen_Cartera'!$Q176, 2), "")</f>
        <v/>
      </c>
      <c r="N176" s="29">
        <f>IF(Saldo_Residual_Activo!M176&gt;0, ROUND(Saldo_Residual_Activo!M176 * 'Resumen_Cartera'!$Q176, 2), "")</f>
        <v/>
      </c>
      <c r="O176" s="29">
        <f>IF(Saldo_Residual_Activo!N176&gt;0, ROUND(Saldo_Residual_Activo!N176 * 'Resumen_Cartera'!$Q176, 2), "")</f>
        <v/>
      </c>
      <c r="P176" s="29">
        <f>IF(Saldo_Residual_Activo!O176&gt;0, ROUND(Saldo_Residual_Activo!O176 * 'Resumen_Cartera'!$Q176, 2), "")</f>
        <v/>
      </c>
      <c r="Q176" s="29">
        <f>IF(Saldo_Residual_Activo!P176&gt;0, ROUND(Saldo_Residual_Activo!P176 * 'Resumen_Cartera'!$Q176, 2), "")</f>
        <v/>
      </c>
      <c r="R176" s="29">
        <f>IF(Saldo_Residual_Activo!Q176&gt;0, ROUND(Saldo_Residual_Activo!Q176 * 'Resumen_Cartera'!$Q176, 2), "")</f>
        <v/>
      </c>
      <c r="S176" s="29">
        <f>IF(Saldo_Residual_Activo!R176&gt;0, ROUND(Saldo_Residual_Activo!R176 * 'Resumen_Cartera'!$Q176, 2), "")</f>
        <v/>
      </c>
      <c r="T176" s="29">
        <f>IF(Saldo_Residual_Activo!S176&gt;0, ROUND(Saldo_Residual_Activo!S176 * 'Resumen_Cartera'!$Q176, 2), "")</f>
        <v/>
      </c>
      <c r="U176" s="29">
        <f>SUM(I176:T176)</f>
        <v/>
      </c>
    </row>
    <row r="177">
      <c r="A177" s="20" t="inlineStr">
        <is>
          <t>0697-0001</t>
        </is>
      </c>
      <c r="B177" s="21" t="inlineStr">
        <is>
          <t>Guillermo Eduardo Robles Navarro</t>
        </is>
      </c>
      <c r="C177" s="21" t="inlineStr">
        <is>
          <t>Partner Rapid</t>
        </is>
      </c>
      <c r="D177" s="20" t="inlineStr">
        <is>
          <t>ACTIVO</t>
        </is>
      </c>
      <c r="E177" s="20" t="inlineStr">
        <is>
          <t>2025-05-30</t>
        </is>
      </c>
      <c r="F177" s="20" t="inlineStr">
        <is>
          <t>2027-05-30</t>
        </is>
      </c>
      <c r="G177" s="22" t="n">
        <v>24</v>
      </c>
      <c r="H177" s="23" t="n">
        <v>77301.72</v>
      </c>
      <c r="I177" s="23">
        <f>ROUND(51102.69 * 'Resumen_Cartera'!$Q177, 2)</f>
        <v/>
      </c>
      <c r="J177" s="23">
        <f>IF(Saldo_Residual_Activo!I177&gt;0, ROUND(Saldo_Residual_Activo!I177 * 'Resumen_Cartera'!$Q177, 2), "")</f>
        <v/>
      </c>
      <c r="K177" s="23">
        <f>IF(Saldo_Residual_Activo!J177&gt;0, ROUND(Saldo_Residual_Activo!J177 * 'Resumen_Cartera'!$Q177, 2), "")</f>
        <v/>
      </c>
      <c r="L177" s="23">
        <f>IF(Saldo_Residual_Activo!K177&gt;0, ROUND(Saldo_Residual_Activo!K177 * 'Resumen_Cartera'!$Q177, 2), "")</f>
        <v/>
      </c>
      <c r="M177" s="23">
        <f>IF(Saldo_Residual_Activo!L177&gt;0, ROUND(Saldo_Residual_Activo!L177 * 'Resumen_Cartera'!$Q177, 2), "")</f>
        <v/>
      </c>
      <c r="N177" s="23">
        <f>IF(Saldo_Residual_Activo!M177&gt;0, ROUND(Saldo_Residual_Activo!M177 * 'Resumen_Cartera'!$Q177, 2), "")</f>
        <v/>
      </c>
      <c r="O177" s="23">
        <f>IF(Saldo_Residual_Activo!N177&gt;0, ROUND(Saldo_Residual_Activo!N177 * 'Resumen_Cartera'!$Q177, 2), "")</f>
        <v/>
      </c>
      <c r="P177" s="23">
        <f>IF(Saldo_Residual_Activo!O177&gt;0, ROUND(Saldo_Residual_Activo!O177 * 'Resumen_Cartera'!$Q177, 2), "")</f>
        <v/>
      </c>
      <c r="Q177" s="23">
        <f>IF(Saldo_Residual_Activo!P177&gt;0, ROUND(Saldo_Residual_Activo!P177 * 'Resumen_Cartera'!$Q177, 2), "")</f>
        <v/>
      </c>
      <c r="R177" s="23">
        <f>IF(Saldo_Residual_Activo!Q177&gt;0, ROUND(Saldo_Residual_Activo!Q177 * 'Resumen_Cartera'!$Q177, 2), "")</f>
        <v/>
      </c>
      <c r="S177" s="23">
        <f>IF(Saldo_Residual_Activo!R177&gt;0, ROUND(Saldo_Residual_Activo!R177 * 'Resumen_Cartera'!$Q177, 2), "")</f>
        <v/>
      </c>
      <c r="T177" s="23">
        <f>IF(Saldo_Residual_Activo!S177&gt;0, ROUND(Saldo_Residual_Activo!S177 * 'Resumen_Cartera'!$Q177, 2), "")</f>
        <v/>
      </c>
      <c r="U177" s="23">
        <f>SUM(I177:T177)</f>
        <v/>
      </c>
    </row>
    <row r="178">
      <c r="A178" s="26" t="inlineStr">
        <is>
          <t>0698-0001</t>
        </is>
      </c>
      <c r="B178" s="27" t="inlineStr">
        <is>
          <t>Roberto Gontes Leon</t>
        </is>
      </c>
      <c r="C178" s="27" t="inlineStr">
        <is>
          <t>Wrangler Rubicon</t>
        </is>
      </c>
      <c r="D178" s="26" t="inlineStr">
        <is>
          <t>ACTIVO</t>
        </is>
      </c>
      <c r="E178" s="26" t="inlineStr">
        <is>
          <t>2025-06-13</t>
        </is>
      </c>
      <c r="F178" s="26" t="inlineStr">
        <is>
          <t>2029-06-13</t>
        </is>
      </c>
      <c r="G178" s="28" t="n">
        <v>48</v>
      </c>
      <c r="H178" s="29" t="n">
        <v>126760.6</v>
      </c>
      <c r="I178" s="29">
        <f>ROUND(43981.67 * 'Resumen_Cartera'!$Q178, 2)</f>
        <v/>
      </c>
      <c r="J178" s="29">
        <f>IF(Saldo_Residual_Activo!I178&gt;0, ROUND(Saldo_Residual_Activo!I178 * 'Resumen_Cartera'!$Q178, 2), "")</f>
        <v/>
      </c>
      <c r="K178" s="29">
        <f>IF(Saldo_Residual_Activo!J178&gt;0, ROUND(Saldo_Residual_Activo!J178 * 'Resumen_Cartera'!$Q178, 2), "")</f>
        <v/>
      </c>
      <c r="L178" s="29">
        <f>IF(Saldo_Residual_Activo!K178&gt;0, ROUND(Saldo_Residual_Activo!K178 * 'Resumen_Cartera'!$Q178, 2), "")</f>
        <v/>
      </c>
      <c r="M178" s="29">
        <f>IF(Saldo_Residual_Activo!L178&gt;0, ROUND(Saldo_Residual_Activo!L178 * 'Resumen_Cartera'!$Q178, 2), "")</f>
        <v/>
      </c>
      <c r="N178" s="29">
        <f>IF(Saldo_Residual_Activo!M178&gt;0, ROUND(Saldo_Residual_Activo!M178 * 'Resumen_Cartera'!$Q178, 2), "")</f>
        <v/>
      </c>
      <c r="O178" s="29">
        <f>IF(Saldo_Residual_Activo!N178&gt;0, ROUND(Saldo_Residual_Activo!N178 * 'Resumen_Cartera'!$Q178, 2), "")</f>
        <v/>
      </c>
      <c r="P178" s="29">
        <f>IF(Saldo_Residual_Activo!O178&gt;0, ROUND(Saldo_Residual_Activo!O178 * 'Resumen_Cartera'!$Q178, 2), "")</f>
        <v/>
      </c>
      <c r="Q178" s="29">
        <f>IF(Saldo_Residual_Activo!P178&gt;0, ROUND(Saldo_Residual_Activo!P178 * 'Resumen_Cartera'!$Q178, 2), "")</f>
        <v/>
      </c>
      <c r="R178" s="29">
        <f>IF(Saldo_Residual_Activo!Q178&gt;0, ROUND(Saldo_Residual_Activo!Q178 * 'Resumen_Cartera'!$Q178, 2), "")</f>
        <v/>
      </c>
      <c r="S178" s="29">
        <f>IF(Saldo_Residual_Activo!R178&gt;0, ROUND(Saldo_Residual_Activo!R178 * 'Resumen_Cartera'!$Q178, 2), "")</f>
        <v/>
      </c>
      <c r="T178" s="29">
        <f>IF(Saldo_Residual_Activo!S178&gt;0, ROUND(Saldo_Residual_Activo!S178 * 'Resumen_Cartera'!$Q178, 2), "")</f>
        <v/>
      </c>
      <c r="U178" s="29">
        <f>SUM(I178:T178)</f>
        <v/>
      </c>
    </row>
    <row r="179">
      <c r="A179" s="20" t="inlineStr">
        <is>
          <t>0699-0001</t>
        </is>
      </c>
      <c r="B179" s="21" t="inlineStr">
        <is>
          <t>Ramona Salazar Ramos</t>
        </is>
      </c>
      <c r="C179" s="21" t="inlineStr">
        <is>
          <t>Grand Cherokee 2025</t>
        </is>
      </c>
      <c r="D179" s="20" t="inlineStr">
        <is>
          <t>ACTIVO</t>
        </is>
      </c>
      <c r="E179" s="20" t="inlineStr">
        <is>
          <t>2025-06-05</t>
        </is>
      </c>
      <c r="F179" s="20" t="inlineStr">
        <is>
          <t>2028-06-05</t>
        </is>
      </c>
      <c r="G179" s="22" t="n">
        <v>36</v>
      </c>
      <c r="H179" s="23" t="n">
        <v>124560.34</v>
      </c>
      <c r="I179" s="23">
        <f>ROUND(58170.17 * 'Resumen_Cartera'!$Q179, 2)</f>
        <v/>
      </c>
      <c r="J179" s="23">
        <f>IF(Saldo_Residual_Activo!I179&gt;0, ROUND(Saldo_Residual_Activo!I179 * 'Resumen_Cartera'!$Q179, 2), "")</f>
        <v/>
      </c>
      <c r="K179" s="23">
        <f>IF(Saldo_Residual_Activo!J179&gt;0, ROUND(Saldo_Residual_Activo!J179 * 'Resumen_Cartera'!$Q179, 2), "")</f>
        <v/>
      </c>
      <c r="L179" s="23">
        <f>IF(Saldo_Residual_Activo!K179&gt;0, ROUND(Saldo_Residual_Activo!K179 * 'Resumen_Cartera'!$Q179, 2), "")</f>
        <v/>
      </c>
      <c r="M179" s="23">
        <f>IF(Saldo_Residual_Activo!L179&gt;0, ROUND(Saldo_Residual_Activo!L179 * 'Resumen_Cartera'!$Q179, 2), "")</f>
        <v/>
      </c>
      <c r="N179" s="23">
        <f>IF(Saldo_Residual_Activo!M179&gt;0, ROUND(Saldo_Residual_Activo!M179 * 'Resumen_Cartera'!$Q179, 2), "")</f>
        <v/>
      </c>
      <c r="O179" s="23">
        <f>IF(Saldo_Residual_Activo!N179&gt;0, ROUND(Saldo_Residual_Activo!N179 * 'Resumen_Cartera'!$Q179, 2), "")</f>
        <v/>
      </c>
      <c r="P179" s="23">
        <f>IF(Saldo_Residual_Activo!O179&gt;0, ROUND(Saldo_Residual_Activo!O179 * 'Resumen_Cartera'!$Q179, 2), "")</f>
        <v/>
      </c>
      <c r="Q179" s="23">
        <f>IF(Saldo_Residual_Activo!P179&gt;0, ROUND(Saldo_Residual_Activo!P179 * 'Resumen_Cartera'!$Q179, 2), "")</f>
        <v/>
      </c>
      <c r="R179" s="23">
        <f>IF(Saldo_Residual_Activo!Q179&gt;0, ROUND(Saldo_Residual_Activo!Q179 * 'Resumen_Cartera'!$Q179, 2), "")</f>
        <v/>
      </c>
      <c r="S179" s="23">
        <f>IF(Saldo_Residual_Activo!R179&gt;0, ROUND(Saldo_Residual_Activo!R179 * 'Resumen_Cartera'!$Q179, 2), "")</f>
        <v/>
      </c>
      <c r="T179" s="23">
        <f>IF(Saldo_Residual_Activo!S179&gt;0, ROUND(Saldo_Residual_Activo!S179 * 'Resumen_Cartera'!$Q179, 2), "")</f>
        <v/>
      </c>
      <c r="U179" s="23">
        <f>SUM(I179:T179)</f>
        <v/>
      </c>
    </row>
    <row r="180">
      <c r="A180" s="26" t="inlineStr">
        <is>
          <t>0700-0001</t>
        </is>
      </c>
      <c r="B180" s="27" t="inlineStr">
        <is>
          <t>Felipe de Jesus Ibañez Huizar</t>
        </is>
      </c>
      <c r="C180" s="27" t="inlineStr">
        <is>
          <t>K3</t>
        </is>
      </c>
      <c r="D180" s="26" t="inlineStr">
        <is>
          <t>ACTIVO</t>
        </is>
      </c>
      <c r="E180" s="26" t="inlineStr">
        <is>
          <t>2025-06-20</t>
        </is>
      </c>
      <c r="F180" s="26" t="inlineStr">
        <is>
          <t>2028-06-20</t>
        </is>
      </c>
      <c r="G180" s="28" t="n">
        <v>36</v>
      </c>
      <c r="H180" s="29" t="n">
        <v>68189.66</v>
      </c>
      <c r="I180" s="29">
        <f>ROUND(31777.53 * 'Resumen_Cartera'!$Q180, 2)</f>
        <v/>
      </c>
      <c r="J180" s="29">
        <f>IF(Saldo_Residual_Activo!I180&gt;0, ROUND(Saldo_Residual_Activo!I180 * 'Resumen_Cartera'!$Q180, 2), "")</f>
        <v/>
      </c>
      <c r="K180" s="29">
        <f>IF(Saldo_Residual_Activo!J180&gt;0, ROUND(Saldo_Residual_Activo!J180 * 'Resumen_Cartera'!$Q180, 2), "")</f>
        <v/>
      </c>
      <c r="L180" s="29">
        <f>IF(Saldo_Residual_Activo!K180&gt;0, ROUND(Saldo_Residual_Activo!K180 * 'Resumen_Cartera'!$Q180, 2), "")</f>
        <v/>
      </c>
      <c r="M180" s="29">
        <f>IF(Saldo_Residual_Activo!L180&gt;0, ROUND(Saldo_Residual_Activo!L180 * 'Resumen_Cartera'!$Q180, 2), "")</f>
        <v/>
      </c>
      <c r="N180" s="29">
        <f>IF(Saldo_Residual_Activo!M180&gt;0, ROUND(Saldo_Residual_Activo!M180 * 'Resumen_Cartera'!$Q180, 2), "")</f>
        <v/>
      </c>
      <c r="O180" s="29">
        <f>IF(Saldo_Residual_Activo!N180&gt;0, ROUND(Saldo_Residual_Activo!N180 * 'Resumen_Cartera'!$Q180, 2), "")</f>
        <v/>
      </c>
      <c r="P180" s="29">
        <f>IF(Saldo_Residual_Activo!O180&gt;0, ROUND(Saldo_Residual_Activo!O180 * 'Resumen_Cartera'!$Q180, 2), "")</f>
        <v/>
      </c>
      <c r="Q180" s="29">
        <f>IF(Saldo_Residual_Activo!P180&gt;0, ROUND(Saldo_Residual_Activo!P180 * 'Resumen_Cartera'!$Q180, 2), "")</f>
        <v/>
      </c>
      <c r="R180" s="29">
        <f>IF(Saldo_Residual_Activo!Q180&gt;0, ROUND(Saldo_Residual_Activo!Q180 * 'Resumen_Cartera'!$Q180, 2), "")</f>
        <v/>
      </c>
      <c r="S180" s="29">
        <f>IF(Saldo_Residual_Activo!R180&gt;0, ROUND(Saldo_Residual_Activo!R180 * 'Resumen_Cartera'!$Q180, 2), "")</f>
        <v/>
      </c>
      <c r="T180" s="29">
        <f>IF(Saldo_Residual_Activo!S180&gt;0, ROUND(Saldo_Residual_Activo!S180 * 'Resumen_Cartera'!$Q180, 2), "")</f>
        <v/>
      </c>
      <c r="U180" s="29">
        <f>SUM(I180:T180)</f>
        <v/>
      </c>
    </row>
    <row r="181">
      <c r="A181" s="20" t="inlineStr">
        <is>
          <t>0700-0002</t>
        </is>
      </c>
      <c r="B181" s="21" t="inlineStr">
        <is>
          <t>Felipe de Jesus Ibañez Huizar</t>
        </is>
      </c>
      <c r="C181" s="21" t="inlineStr">
        <is>
          <t>Nissan NP 300 Frontier 2026</t>
        </is>
      </c>
      <c r="D181" s="20" t="inlineStr">
        <is>
          <t>ACTIVO</t>
        </is>
      </c>
      <c r="E181" s="20" t="inlineStr">
        <is>
          <t>2026-07-17</t>
        </is>
      </c>
      <c r="F181" s="20" t="inlineStr">
        <is>
          <t>2028-07-17</t>
        </is>
      </c>
      <c r="G181" s="22" t="n">
        <v>24</v>
      </c>
      <c r="H181" s="23" t="n">
        <v>84013.58</v>
      </c>
      <c r="I181" s="23" t="inlineStr"/>
      <c r="J181" s="23" t="inlineStr"/>
      <c r="K181" s="23" t="inlineStr"/>
      <c r="L181" s="23" t="inlineStr"/>
      <c r="M181" s="23" t="inlineStr"/>
      <c r="N181" s="23" t="inlineStr"/>
      <c r="O181" s="23">
        <f>ROUND('Resumen_Cartera'!$U181 * 'Resumen_Cartera'!$Q181, 2)</f>
        <v/>
      </c>
      <c r="P181" s="23">
        <f>IF(Saldo_Residual_Activo!O181&gt;0, ROUND(Saldo_Residual_Activo!O181 * 'Resumen_Cartera'!$Q181, 2), "")</f>
        <v/>
      </c>
      <c r="Q181" s="23">
        <f>IF(Saldo_Residual_Activo!P181&gt;0, ROUND(Saldo_Residual_Activo!P181 * 'Resumen_Cartera'!$Q181, 2), "")</f>
        <v/>
      </c>
      <c r="R181" s="23">
        <f>IF(Saldo_Residual_Activo!Q181&gt;0, ROUND(Saldo_Residual_Activo!Q181 * 'Resumen_Cartera'!$Q181, 2), "")</f>
        <v/>
      </c>
      <c r="S181" s="23">
        <f>IF(Saldo_Residual_Activo!R181&gt;0, ROUND(Saldo_Residual_Activo!R181 * 'Resumen_Cartera'!$Q181, 2), "")</f>
        <v/>
      </c>
      <c r="T181" s="23">
        <f>IF(Saldo_Residual_Activo!S181&gt;0, ROUND(Saldo_Residual_Activo!S181 * 'Resumen_Cartera'!$Q181, 2), "")</f>
        <v/>
      </c>
      <c r="U181" s="23">
        <f>SUM(I181:T181)</f>
        <v/>
      </c>
    </row>
    <row r="182">
      <c r="A182" s="26" t="inlineStr">
        <is>
          <t>0701-0001</t>
        </is>
      </c>
      <c r="B182" s="27" t="inlineStr">
        <is>
          <t>Miguel Angel Yañez Rivera</t>
        </is>
      </c>
      <c r="C182" s="27" t="inlineStr">
        <is>
          <t>Maxi Partner</t>
        </is>
      </c>
      <c r="D182" s="26" t="inlineStr">
        <is>
          <t>ACTIVO</t>
        </is>
      </c>
      <c r="E182" s="26" t="inlineStr">
        <is>
          <t>2025-06-13</t>
        </is>
      </c>
      <c r="F182" s="26" t="inlineStr">
        <is>
          <t>2029-06-13</t>
        </is>
      </c>
      <c r="G182" s="28" t="n">
        <v>48</v>
      </c>
      <c r="H182" s="29" t="n">
        <v>34387.93</v>
      </c>
      <c r="I182" s="29">
        <f>ROUND(11565.01 * 'Resumen_Cartera'!$Q182, 2)</f>
        <v/>
      </c>
      <c r="J182" s="29">
        <f>IF(Saldo_Residual_Activo!I182&gt;0, ROUND(Saldo_Residual_Activo!I182 * 'Resumen_Cartera'!$Q182, 2), "")</f>
        <v/>
      </c>
      <c r="K182" s="29">
        <f>IF(Saldo_Residual_Activo!J182&gt;0, ROUND(Saldo_Residual_Activo!J182 * 'Resumen_Cartera'!$Q182, 2), "")</f>
        <v/>
      </c>
      <c r="L182" s="29">
        <f>IF(Saldo_Residual_Activo!K182&gt;0, ROUND(Saldo_Residual_Activo!K182 * 'Resumen_Cartera'!$Q182, 2), "")</f>
        <v/>
      </c>
      <c r="M182" s="29">
        <f>IF(Saldo_Residual_Activo!L182&gt;0, ROUND(Saldo_Residual_Activo!L182 * 'Resumen_Cartera'!$Q182, 2), "")</f>
        <v/>
      </c>
      <c r="N182" s="29">
        <f>IF(Saldo_Residual_Activo!M182&gt;0, ROUND(Saldo_Residual_Activo!M182 * 'Resumen_Cartera'!$Q182, 2), "")</f>
        <v/>
      </c>
      <c r="O182" s="29">
        <f>IF(Saldo_Residual_Activo!N182&gt;0, ROUND(Saldo_Residual_Activo!N182 * 'Resumen_Cartera'!$Q182, 2), "")</f>
        <v/>
      </c>
      <c r="P182" s="29">
        <f>IF(Saldo_Residual_Activo!O182&gt;0, ROUND(Saldo_Residual_Activo!O182 * 'Resumen_Cartera'!$Q182, 2), "")</f>
        <v/>
      </c>
      <c r="Q182" s="29">
        <f>IF(Saldo_Residual_Activo!P182&gt;0, ROUND(Saldo_Residual_Activo!P182 * 'Resumen_Cartera'!$Q182, 2), "")</f>
        <v/>
      </c>
      <c r="R182" s="29">
        <f>IF(Saldo_Residual_Activo!Q182&gt;0, ROUND(Saldo_Residual_Activo!Q182 * 'Resumen_Cartera'!$Q182, 2), "")</f>
        <v/>
      </c>
      <c r="S182" s="29">
        <f>IF(Saldo_Residual_Activo!R182&gt;0, ROUND(Saldo_Residual_Activo!R182 * 'Resumen_Cartera'!$Q182, 2), "")</f>
        <v/>
      </c>
      <c r="T182" s="29">
        <f>IF(Saldo_Residual_Activo!S182&gt;0, ROUND(Saldo_Residual_Activo!S182 * 'Resumen_Cartera'!$Q182, 2), "")</f>
        <v/>
      </c>
      <c r="U182" s="29">
        <f>SUM(I182:T182)</f>
        <v/>
      </c>
    </row>
    <row r="183">
      <c r="A183" s="20" t="inlineStr">
        <is>
          <t>0702-0001</t>
        </is>
      </c>
      <c r="B183" s="21" t="inlineStr">
        <is>
          <t>Ramses Tadeo Galindo Calderon</t>
        </is>
      </c>
      <c r="C183" s="21" t="inlineStr">
        <is>
          <t>Song Plus</t>
        </is>
      </c>
      <c r="D183" s="20" t="inlineStr">
        <is>
          <t>ACTIVO</t>
        </is>
      </c>
      <c r="E183" s="20" t="inlineStr">
        <is>
          <t>2025-06-16</t>
        </is>
      </c>
      <c r="F183" s="20" t="inlineStr">
        <is>
          <t>2029-06-16</t>
        </is>
      </c>
      <c r="G183" s="22" t="n">
        <v>48</v>
      </c>
      <c r="H183" s="23" t="n">
        <v>258924.68</v>
      </c>
      <c r="I183" s="23">
        <f>ROUND(133107.56 * 'Resumen_Cartera'!$Q183, 2)</f>
        <v/>
      </c>
      <c r="J183" s="23">
        <f>IF(Saldo_Residual_Activo!I183&gt;0, ROUND(Saldo_Residual_Activo!I183 * 'Resumen_Cartera'!$Q183, 2), "")</f>
        <v/>
      </c>
      <c r="K183" s="23">
        <f>IF(Saldo_Residual_Activo!J183&gt;0, ROUND(Saldo_Residual_Activo!J183 * 'Resumen_Cartera'!$Q183, 2), "")</f>
        <v/>
      </c>
      <c r="L183" s="23">
        <f>IF(Saldo_Residual_Activo!K183&gt;0, ROUND(Saldo_Residual_Activo!K183 * 'Resumen_Cartera'!$Q183, 2), "")</f>
        <v/>
      </c>
      <c r="M183" s="23">
        <f>IF(Saldo_Residual_Activo!L183&gt;0, ROUND(Saldo_Residual_Activo!L183 * 'Resumen_Cartera'!$Q183, 2), "")</f>
        <v/>
      </c>
      <c r="N183" s="23">
        <f>IF(Saldo_Residual_Activo!M183&gt;0, ROUND(Saldo_Residual_Activo!M183 * 'Resumen_Cartera'!$Q183, 2), "")</f>
        <v/>
      </c>
      <c r="O183" s="23">
        <f>IF(Saldo_Residual_Activo!N183&gt;0, ROUND(Saldo_Residual_Activo!N183 * 'Resumen_Cartera'!$Q183, 2), "")</f>
        <v/>
      </c>
      <c r="P183" s="23">
        <f>IF(Saldo_Residual_Activo!O183&gt;0, ROUND(Saldo_Residual_Activo!O183 * 'Resumen_Cartera'!$Q183, 2), "")</f>
        <v/>
      </c>
      <c r="Q183" s="23">
        <f>IF(Saldo_Residual_Activo!P183&gt;0, ROUND(Saldo_Residual_Activo!P183 * 'Resumen_Cartera'!$Q183, 2), "")</f>
        <v/>
      </c>
      <c r="R183" s="23">
        <f>IF(Saldo_Residual_Activo!Q183&gt;0, ROUND(Saldo_Residual_Activo!Q183 * 'Resumen_Cartera'!$Q183, 2), "")</f>
        <v/>
      </c>
      <c r="S183" s="23">
        <f>IF(Saldo_Residual_Activo!R183&gt;0, ROUND(Saldo_Residual_Activo!R183 * 'Resumen_Cartera'!$Q183, 2), "")</f>
        <v/>
      </c>
      <c r="T183" s="23">
        <f>IF(Saldo_Residual_Activo!S183&gt;0, ROUND(Saldo_Residual_Activo!S183 * 'Resumen_Cartera'!$Q183, 2), "")</f>
        <v/>
      </c>
      <c r="U183" s="23">
        <f>SUM(I183:T183)</f>
        <v/>
      </c>
    </row>
    <row r="184">
      <c r="A184" s="26" t="inlineStr">
        <is>
          <t>0703-0002</t>
        </is>
      </c>
      <c r="B184" s="27" t="inlineStr">
        <is>
          <t>Jali Fresh International Sa de Cv</t>
        </is>
      </c>
      <c r="C184" s="27" t="inlineStr">
        <is>
          <t>1500 Tradesman CC</t>
        </is>
      </c>
      <c r="D184" s="26" t="inlineStr">
        <is>
          <t>ACTIVO</t>
        </is>
      </c>
      <c r="E184" s="26" t="inlineStr">
        <is>
          <t>2026-04-23</t>
        </is>
      </c>
      <c r="F184" s="26" t="inlineStr">
        <is>
          <t>2029-04-23</t>
        </is>
      </c>
      <c r="G184" s="28" t="n">
        <v>36</v>
      </c>
      <c r="H184" s="29" t="n">
        <v>88956.89999999999</v>
      </c>
      <c r="I184" s="29" t="inlineStr"/>
      <c r="J184" s="29" t="inlineStr"/>
      <c r="K184" s="29" t="inlineStr"/>
      <c r="L184" s="29">
        <f>ROUND('Resumen_Cartera'!$U184 * 'Resumen_Cartera'!$Q184, 2)</f>
        <v/>
      </c>
      <c r="M184" s="29">
        <f>IF(Saldo_Residual_Activo!L184&gt;0, ROUND(Saldo_Residual_Activo!L184 * 'Resumen_Cartera'!$Q184, 2), "")</f>
        <v/>
      </c>
      <c r="N184" s="29">
        <f>IF(Saldo_Residual_Activo!M184&gt;0, ROUND(Saldo_Residual_Activo!M184 * 'Resumen_Cartera'!$Q184, 2), "")</f>
        <v/>
      </c>
      <c r="O184" s="29">
        <f>IF(Saldo_Residual_Activo!N184&gt;0, ROUND(Saldo_Residual_Activo!N184 * 'Resumen_Cartera'!$Q184, 2), "")</f>
        <v/>
      </c>
      <c r="P184" s="29">
        <f>IF(Saldo_Residual_Activo!O184&gt;0, ROUND(Saldo_Residual_Activo!O184 * 'Resumen_Cartera'!$Q184, 2), "")</f>
        <v/>
      </c>
      <c r="Q184" s="29">
        <f>IF(Saldo_Residual_Activo!P184&gt;0, ROUND(Saldo_Residual_Activo!P184 * 'Resumen_Cartera'!$Q184, 2), "")</f>
        <v/>
      </c>
      <c r="R184" s="29">
        <f>IF(Saldo_Residual_Activo!Q184&gt;0, ROUND(Saldo_Residual_Activo!Q184 * 'Resumen_Cartera'!$Q184, 2), "")</f>
        <v/>
      </c>
      <c r="S184" s="29">
        <f>IF(Saldo_Residual_Activo!R184&gt;0, ROUND(Saldo_Residual_Activo!R184 * 'Resumen_Cartera'!$Q184, 2), "")</f>
        <v/>
      </c>
      <c r="T184" s="29">
        <f>IF(Saldo_Residual_Activo!S184&gt;0, ROUND(Saldo_Residual_Activo!S184 * 'Resumen_Cartera'!$Q184, 2), "")</f>
        <v/>
      </c>
      <c r="U184" s="29">
        <f>SUM(I184:T184)</f>
        <v/>
      </c>
    </row>
    <row r="185">
      <c r="A185" s="20" t="inlineStr">
        <is>
          <t>0704-0001</t>
        </is>
      </c>
      <c r="B185" s="21" t="inlineStr">
        <is>
          <t>Cristian Manuel Cruz Gutierrez</t>
        </is>
      </c>
      <c r="C185" s="21" t="inlineStr">
        <is>
          <t>Ram 1200</t>
        </is>
      </c>
      <c r="D185" s="20" t="inlineStr">
        <is>
          <t>ACTIVO</t>
        </is>
      </c>
      <c r="E185" s="20" t="inlineStr">
        <is>
          <t>2025-07-22</t>
        </is>
      </c>
      <c r="F185" s="20" t="inlineStr">
        <is>
          <t>2028-07-22</t>
        </is>
      </c>
      <c r="G185" s="22" t="n">
        <v>36</v>
      </c>
      <c r="H185" s="23" t="n">
        <v>57750</v>
      </c>
      <c r="I185" s="23">
        <f>ROUND(26270.58 * 'Resumen_Cartera'!$Q185, 2)</f>
        <v/>
      </c>
      <c r="J185" s="23">
        <f>IF(Saldo_Residual_Activo!I185&gt;0, ROUND(Saldo_Residual_Activo!I185 * 'Resumen_Cartera'!$Q185, 2), "")</f>
        <v/>
      </c>
      <c r="K185" s="23">
        <f>IF(Saldo_Residual_Activo!J185&gt;0, ROUND(Saldo_Residual_Activo!J185 * 'Resumen_Cartera'!$Q185, 2), "")</f>
        <v/>
      </c>
      <c r="L185" s="23">
        <f>IF(Saldo_Residual_Activo!K185&gt;0, ROUND(Saldo_Residual_Activo!K185 * 'Resumen_Cartera'!$Q185, 2), "")</f>
        <v/>
      </c>
      <c r="M185" s="23">
        <f>IF(Saldo_Residual_Activo!L185&gt;0, ROUND(Saldo_Residual_Activo!L185 * 'Resumen_Cartera'!$Q185, 2), "")</f>
        <v/>
      </c>
      <c r="N185" s="23">
        <f>IF(Saldo_Residual_Activo!M185&gt;0, ROUND(Saldo_Residual_Activo!M185 * 'Resumen_Cartera'!$Q185, 2), "")</f>
        <v/>
      </c>
      <c r="O185" s="23">
        <f>IF(Saldo_Residual_Activo!N185&gt;0, ROUND(Saldo_Residual_Activo!N185 * 'Resumen_Cartera'!$Q185, 2), "")</f>
        <v/>
      </c>
      <c r="P185" s="23">
        <f>IF(Saldo_Residual_Activo!O185&gt;0, ROUND(Saldo_Residual_Activo!O185 * 'Resumen_Cartera'!$Q185, 2), "")</f>
        <v/>
      </c>
      <c r="Q185" s="23">
        <f>IF(Saldo_Residual_Activo!P185&gt;0, ROUND(Saldo_Residual_Activo!P185 * 'Resumen_Cartera'!$Q185, 2), "")</f>
        <v/>
      </c>
      <c r="R185" s="23">
        <f>IF(Saldo_Residual_Activo!Q185&gt;0, ROUND(Saldo_Residual_Activo!Q185 * 'Resumen_Cartera'!$Q185, 2), "")</f>
        <v/>
      </c>
      <c r="S185" s="23">
        <f>IF(Saldo_Residual_Activo!R185&gt;0, ROUND(Saldo_Residual_Activo!R185 * 'Resumen_Cartera'!$Q185, 2), "")</f>
        <v/>
      </c>
      <c r="T185" s="23">
        <f>IF(Saldo_Residual_Activo!S185&gt;0, ROUND(Saldo_Residual_Activo!S185 * 'Resumen_Cartera'!$Q185, 2), "")</f>
        <v/>
      </c>
      <c r="U185" s="23">
        <f>SUM(I185:T185)</f>
        <v/>
      </c>
    </row>
    <row r="186">
      <c r="A186" s="26" t="inlineStr">
        <is>
          <t>0705-0001</t>
        </is>
      </c>
      <c r="B186" s="27" t="inlineStr">
        <is>
          <t>Oscar Alejandro Pedraza Gonzalez</t>
        </is>
      </c>
      <c r="C186" s="27" t="inlineStr">
        <is>
          <t>L200</t>
        </is>
      </c>
      <c r="D186" s="26" t="inlineStr">
        <is>
          <t>ACTIVO</t>
        </is>
      </c>
      <c r="E186" s="26" t="inlineStr">
        <is>
          <t>2025-08-14</t>
        </is>
      </c>
      <c r="F186" s="26" t="inlineStr">
        <is>
          <t>2027-08-14</t>
        </is>
      </c>
      <c r="G186" s="28" t="n">
        <v>24</v>
      </c>
      <c r="H186" s="29" t="n">
        <v>105184.14</v>
      </c>
      <c r="I186" s="29">
        <f>ROUND(64405.02 * 'Resumen_Cartera'!$Q186, 2)</f>
        <v/>
      </c>
      <c r="J186" s="29">
        <f>IF(Saldo_Residual_Activo!I186&gt;0, ROUND(Saldo_Residual_Activo!I186 * 'Resumen_Cartera'!$Q186, 2), "")</f>
        <v/>
      </c>
      <c r="K186" s="29">
        <f>IF(Saldo_Residual_Activo!J186&gt;0, ROUND(Saldo_Residual_Activo!J186 * 'Resumen_Cartera'!$Q186, 2), "")</f>
        <v/>
      </c>
      <c r="L186" s="29">
        <f>IF(Saldo_Residual_Activo!K186&gt;0, ROUND(Saldo_Residual_Activo!K186 * 'Resumen_Cartera'!$Q186, 2), "")</f>
        <v/>
      </c>
      <c r="M186" s="29">
        <f>IF(Saldo_Residual_Activo!L186&gt;0, ROUND(Saldo_Residual_Activo!L186 * 'Resumen_Cartera'!$Q186, 2), "")</f>
        <v/>
      </c>
      <c r="N186" s="29">
        <f>IF(Saldo_Residual_Activo!M186&gt;0, ROUND(Saldo_Residual_Activo!M186 * 'Resumen_Cartera'!$Q186, 2), "")</f>
        <v/>
      </c>
      <c r="O186" s="29">
        <f>IF(Saldo_Residual_Activo!N186&gt;0, ROUND(Saldo_Residual_Activo!N186 * 'Resumen_Cartera'!$Q186, 2), "")</f>
        <v/>
      </c>
      <c r="P186" s="29">
        <f>IF(Saldo_Residual_Activo!O186&gt;0, ROUND(Saldo_Residual_Activo!O186 * 'Resumen_Cartera'!$Q186, 2), "")</f>
        <v/>
      </c>
      <c r="Q186" s="29">
        <f>IF(Saldo_Residual_Activo!P186&gt;0, ROUND(Saldo_Residual_Activo!P186 * 'Resumen_Cartera'!$Q186, 2), "")</f>
        <v/>
      </c>
      <c r="R186" s="29">
        <f>IF(Saldo_Residual_Activo!Q186&gt;0, ROUND(Saldo_Residual_Activo!Q186 * 'Resumen_Cartera'!$Q186, 2), "")</f>
        <v/>
      </c>
      <c r="S186" s="29">
        <f>IF(Saldo_Residual_Activo!R186&gt;0, ROUND(Saldo_Residual_Activo!R186 * 'Resumen_Cartera'!$Q186, 2), "")</f>
        <v/>
      </c>
      <c r="T186" s="29">
        <f>IF(Saldo_Residual_Activo!S186&gt;0, ROUND(Saldo_Residual_Activo!S186 * 'Resumen_Cartera'!$Q186, 2), "")</f>
        <v/>
      </c>
      <c r="U186" s="29">
        <f>SUM(I186:T186)</f>
        <v/>
      </c>
    </row>
    <row r="187">
      <c r="A187" s="20" t="inlineStr">
        <is>
          <t>0706-0001</t>
        </is>
      </c>
      <c r="B187" s="21" t="inlineStr">
        <is>
          <t>Jose Luis Zepeda Gomez</t>
        </is>
      </c>
      <c r="C187" s="21" t="inlineStr">
        <is>
          <t>L200 Glx Diesel</t>
        </is>
      </c>
      <c r="D187" s="20" t="inlineStr">
        <is>
          <t>ACTIVO</t>
        </is>
      </c>
      <c r="E187" s="20" t="inlineStr">
        <is>
          <t>2025-07-29</t>
        </is>
      </c>
      <c r="F187" s="20" t="inlineStr">
        <is>
          <t>2029-07-29</t>
        </is>
      </c>
      <c r="G187" s="22" t="n">
        <v>48</v>
      </c>
      <c r="H187" s="23" t="n">
        <v>52592.07</v>
      </c>
      <c r="I187" s="23">
        <f>ROUND(17235.33 * 'Resumen_Cartera'!$Q187, 2)</f>
        <v/>
      </c>
      <c r="J187" s="23">
        <f>IF(Saldo_Residual_Activo!I187&gt;0, ROUND(Saldo_Residual_Activo!I187 * 'Resumen_Cartera'!$Q187, 2), "")</f>
        <v/>
      </c>
      <c r="K187" s="23">
        <f>IF(Saldo_Residual_Activo!J187&gt;0, ROUND(Saldo_Residual_Activo!J187 * 'Resumen_Cartera'!$Q187, 2), "")</f>
        <v/>
      </c>
      <c r="L187" s="23">
        <f>IF(Saldo_Residual_Activo!K187&gt;0, ROUND(Saldo_Residual_Activo!K187 * 'Resumen_Cartera'!$Q187, 2), "")</f>
        <v/>
      </c>
      <c r="M187" s="23">
        <f>IF(Saldo_Residual_Activo!L187&gt;0, ROUND(Saldo_Residual_Activo!L187 * 'Resumen_Cartera'!$Q187, 2), "")</f>
        <v/>
      </c>
      <c r="N187" s="23">
        <f>IF(Saldo_Residual_Activo!M187&gt;0, ROUND(Saldo_Residual_Activo!M187 * 'Resumen_Cartera'!$Q187, 2), "")</f>
        <v/>
      </c>
      <c r="O187" s="23">
        <f>IF(Saldo_Residual_Activo!N187&gt;0, ROUND(Saldo_Residual_Activo!N187 * 'Resumen_Cartera'!$Q187, 2), "")</f>
        <v/>
      </c>
      <c r="P187" s="23">
        <f>IF(Saldo_Residual_Activo!O187&gt;0, ROUND(Saldo_Residual_Activo!O187 * 'Resumen_Cartera'!$Q187, 2), "")</f>
        <v/>
      </c>
      <c r="Q187" s="23">
        <f>IF(Saldo_Residual_Activo!P187&gt;0, ROUND(Saldo_Residual_Activo!P187 * 'Resumen_Cartera'!$Q187, 2), "")</f>
        <v/>
      </c>
      <c r="R187" s="23">
        <f>IF(Saldo_Residual_Activo!Q187&gt;0, ROUND(Saldo_Residual_Activo!Q187 * 'Resumen_Cartera'!$Q187, 2), "")</f>
        <v/>
      </c>
      <c r="S187" s="23">
        <f>IF(Saldo_Residual_Activo!R187&gt;0, ROUND(Saldo_Residual_Activo!R187 * 'Resumen_Cartera'!$Q187, 2), "")</f>
        <v/>
      </c>
      <c r="T187" s="23">
        <f>IF(Saldo_Residual_Activo!S187&gt;0, ROUND(Saldo_Residual_Activo!S187 * 'Resumen_Cartera'!$Q187, 2), "")</f>
        <v/>
      </c>
      <c r="U187" s="23">
        <f>SUM(I187:T187)</f>
        <v/>
      </c>
    </row>
    <row r="188">
      <c r="A188" s="26" t="inlineStr">
        <is>
          <t>0707-0001</t>
        </is>
      </c>
      <c r="B188" s="27" t="inlineStr">
        <is>
          <t>Cabañas Lupita Sa de Cv</t>
        </is>
      </c>
      <c r="C188" s="27" t="inlineStr">
        <is>
          <t>Jt Rubicon</t>
        </is>
      </c>
      <c r="D188" s="26" t="inlineStr">
        <is>
          <t>ACTIVO</t>
        </is>
      </c>
      <c r="E188" s="26" t="inlineStr">
        <is>
          <t>2025-07-29</t>
        </is>
      </c>
      <c r="F188" s="26" t="inlineStr">
        <is>
          <t>2029-07-29</t>
        </is>
      </c>
      <c r="G188" s="28" t="n">
        <v>48</v>
      </c>
      <c r="H188" s="29" t="n">
        <v>125508.62</v>
      </c>
      <c r="I188" s="29">
        <f>ROUND(41181.65 * 'Resumen_Cartera'!$Q188, 2)</f>
        <v/>
      </c>
      <c r="J188" s="29">
        <f>IF(Saldo_Residual_Activo!I188&gt;0, ROUND(Saldo_Residual_Activo!I188 * 'Resumen_Cartera'!$Q188, 2), "")</f>
        <v/>
      </c>
      <c r="K188" s="29">
        <f>IF(Saldo_Residual_Activo!J188&gt;0, ROUND(Saldo_Residual_Activo!J188 * 'Resumen_Cartera'!$Q188, 2), "")</f>
        <v/>
      </c>
      <c r="L188" s="29">
        <f>IF(Saldo_Residual_Activo!K188&gt;0, ROUND(Saldo_Residual_Activo!K188 * 'Resumen_Cartera'!$Q188, 2), "")</f>
        <v/>
      </c>
      <c r="M188" s="29">
        <f>IF(Saldo_Residual_Activo!L188&gt;0, ROUND(Saldo_Residual_Activo!L188 * 'Resumen_Cartera'!$Q188, 2), "")</f>
        <v/>
      </c>
      <c r="N188" s="29">
        <f>IF(Saldo_Residual_Activo!M188&gt;0, ROUND(Saldo_Residual_Activo!M188 * 'Resumen_Cartera'!$Q188, 2), "")</f>
        <v/>
      </c>
      <c r="O188" s="29">
        <f>IF(Saldo_Residual_Activo!N188&gt;0, ROUND(Saldo_Residual_Activo!N188 * 'Resumen_Cartera'!$Q188, 2), "")</f>
        <v/>
      </c>
      <c r="P188" s="29">
        <f>IF(Saldo_Residual_Activo!O188&gt;0, ROUND(Saldo_Residual_Activo!O188 * 'Resumen_Cartera'!$Q188, 2), "")</f>
        <v/>
      </c>
      <c r="Q188" s="29">
        <f>IF(Saldo_Residual_Activo!P188&gt;0, ROUND(Saldo_Residual_Activo!P188 * 'Resumen_Cartera'!$Q188, 2), "")</f>
        <v/>
      </c>
      <c r="R188" s="29">
        <f>IF(Saldo_Residual_Activo!Q188&gt;0, ROUND(Saldo_Residual_Activo!Q188 * 'Resumen_Cartera'!$Q188, 2), "")</f>
        <v/>
      </c>
      <c r="S188" s="29">
        <f>IF(Saldo_Residual_Activo!R188&gt;0, ROUND(Saldo_Residual_Activo!R188 * 'Resumen_Cartera'!$Q188, 2), "")</f>
        <v/>
      </c>
      <c r="T188" s="29">
        <f>IF(Saldo_Residual_Activo!S188&gt;0, ROUND(Saldo_Residual_Activo!S188 * 'Resumen_Cartera'!$Q188, 2), "")</f>
        <v/>
      </c>
      <c r="U188" s="29">
        <f>SUM(I188:T188)</f>
        <v/>
      </c>
    </row>
    <row r="189">
      <c r="A189" s="20" t="inlineStr">
        <is>
          <t>0708-0001</t>
        </is>
      </c>
      <c r="B189" s="21" t="inlineStr">
        <is>
          <t>Pumps Company Sa de Cv</t>
        </is>
      </c>
      <c r="C189" s="21" t="inlineStr">
        <is>
          <t>L200 Glx Diesel</t>
        </is>
      </c>
      <c r="D189" s="20" t="inlineStr">
        <is>
          <t>ACTIVO</t>
        </is>
      </c>
      <c r="E189" s="20" t="inlineStr">
        <is>
          <t>2025-07-29</t>
        </is>
      </c>
      <c r="F189" s="20" t="inlineStr">
        <is>
          <t>2028-07-29</t>
        </is>
      </c>
      <c r="G189" s="22" t="n">
        <v>36</v>
      </c>
      <c r="H189" s="23" t="n">
        <v>55715.52</v>
      </c>
      <c r="I189" s="23">
        <f>ROUND(25320.72 * 'Resumen_Cartera'!$Q189, 2)</f>
        <v/>
      </c>
      <c r="J189" s="23">
        <f>IF(Saldo_Residual_Activo!I189&gt;0, ROUND(Saldo_Residual_Activo!I189 * 'Resumen_Cartera'!$Q189, 2), "")</f>
        <v/>
      </c>
      <c r="K189" s="23">
        <f>IF(Saldo_Residual_Activo!J189&gt;0, ROUND(Saldo_Residual_Activo!J189 * 'Resumen_Cartera'!$Q189, 2), "")</f>
        <v/>
      </c>
      <c r="L189" s="23">
        <f>IF(Saldo_Residual_Activo!K189&gt;0, ROUND(Saldo_Residual_Activo!K189 * 'Resumen_Cartera'!$Q189, 2), "")</f>
        <v/>
      </c>
      <c r="M189" s="23">
        <f>IF(Saldo_Residual_Activo!L189&gt;0, ROUND(Saldo_Residual_Activo!L189 * 'Resumen_Cartera'!$Q189, 2), "")</f>
        <v/>
      </c>
      <c r="N189" s="23">
        <f>IF(Saldo_Residual_Activo!M189&gt;0, ROUND(Saldo_Residual_Activo!M189 * 'Resumen_Cartera'!$Q189, 2), "")</f>
        <v/>
      </c>
      <c r="O189" s="23">
        <f>IF(Saldo_Residual_Activo!N189&gt;0, ROUND(Saldo_Residual_Activo!N189 * 'Resumen_Cartera'!$Q189, 2), "")</f>
        <v/>
      </c>
      <c r="P189" s="23">
        <f>IF(Saldo_Residual_Activo!O189&gt;0, ROUND(Saldo_Residual_Activo!O189 * 'Resumen_Cartera'!$Q189, 2), "")</f>
        <v/>
      </c>
      <c r="Q189" s="23">
        <f>IF(Saldo_Residual_Activo!P189&gt;0, ROUND(Saldo_Residual_Activo!P189 * 'Resumen_Cartera'!$Q189, 2), "")</f>
        <v/>
      </c>
      <c r="R189" s="23">
        <f>IF(Saldo_Residual_Activo!Q189&gt;0, ROUND(Saldo_Residual_Activo!Q189 * 'Resumen_Cartera'!$Q189, 2), "")</f>
        <v/>
      </c>
      <c r="S189" s="23">
        <f>IF(Saldo_Residual_Activo!R189&gt;0, ROUND(Saldo_Residual_Activo!R189 * 'Resumen_Cartera'!$Q189, 2), "")</f>
        <v/>
      </c>
      <c r="T189" s="23">
        <f>IF(Saldo_Residual_Activo!S189&gt;0, ROUND(Saldo_Residual_Activo!S189 * 'Resumen_Cartera'!$Q189, 2), "")</f>
        <v/>
      </c>
      <c r="U189" s="23">
        <f>SUM(I189:T189)</f>
        <v/>
      </c>
    </row>
    <row r="190">
      <c r="A190" s="26" t="inlineStr">
        <is>
          <t>0708-0002</t>
        </is>
      </c>
      <c r="B190" s="27" t="inlineStr">
        <is>
          <t>Pumps Company Sa de Cv</t>
        </is>
      </c>
      <c r="C190" s="27" t="inlineStr">
        <is>
          <t>L200 Glx Diesel</t>
        </is>
      </c>
      <c r="D190" s="26" t="inlineStr">
        <is>
          <t>ACTIVO</t>
        </is>
      </c>
      <c r="E190" s="26" t="inlineStr">
        <is>
          <t>2025-07-29</t>
        </is>
      </c>
      <c r="F190" s="26" t="inlineStr">
        <is>
          <t>2028-07-29</t>
        </is>
      </c>
      <c r="G190" s="28" t="n">
        <v>36</v>
      </c>
      <c r="H190" s="29" t="n">
        <v>55715.52</v>
      </c>
      <c r="I190" s="29">
        <f>ROUND(25320.72 * 'Resumen_Cartera'!$Q190, 2)</f>
        <v/>
      </c>
      <c r="J190" s="29">
        <f>IF(Saldo_Residual_Activo!I190&gt;0, ROUND(Saldo_Residual_Activo!I190 * 'Resumen_Cartera'!$Q190, 2), "")</f>
        <v/>
      </c>
      <c r="K190" s="29">
        <f>IF(Saldo_Residual_Activo!J190&gt;0, ROUND(Saldo_Residual_Activo!J190 * 'Resumen_Cartera'!$Q190, 2), "")</f>
        <v/>
      </c>
      <c r="L190" s="29">
        <f>IF(Saldo_Residual_Activo!K190&gt;0, ROUND(Saldo_Residual_Activo!K190 * 'Resumen_Cartera'!$Q190, 2), "")</f>
        <v/>
      </c>
      <c r="M190" s="29">
        <f>IF(Saldo_Residual_Activo!L190&gt;0, ROUND(Saldo_Residual_Activo!L190 * 'Resumen_Cartera'!$Q190, 2), "")</f>
        <v/>
      </c>
      <c r="N190" s="29">
        <f>IF(Saldo_Residual_Activo!M190&gt;0, ROUND(Saldo_Residual_Activo!M190 * 'Resumen_Cartera'!$Q190, 2), "")</f>
        <v/>
      </c>
      <c r="O190" s="29">
        <f>IF(Saldo_Residual_Activo!N190&gt;0, ROUND(Saldo_Residual_Activo!N190 * 'Resumen_Cartera'!$Q190, 2), "")</f>
        <v/>
      </c>
      <c r="P190" s="29">
        <f>IF(Saldo_Residual_Activo!O190&gt;0, ROUND(Saldo_Residual_Activo!O190 * 'Resumen_Cartera'!$Q190, 2), "")</f>
        <v/>
      </c>
      <c r="Q190" s="29">
        <f>IF(Saldo_Residual_Activo!P190&gt;0, ROUND(Saldo_Residual_Activo!P190 * 'Resumen_Cartera'!$Q190, 2), "")</f>
        <v/>
      </c>
      <c r="R190" s="29">
        <f>IF(Saldo_Residual_Activo!Q190&gt;0, ROUND(Saldo_Residual_Activo!Q190 * 'Resumen_Cartera'!$Q190, 2), "")</f>
        <v/>
      </c>
      <c r="S190" s="29">
        <f>IF(Saldo_Residual_Activo!R190&gt;0, ROUND(Saldo_Residual_Activo!R190 * 'Resumen_Cartera'!$Q190, 2), "")</f>
        <v/>
      </c>
      <c r="T190" s="29">
        <f>IF(Saldo_Residual_Activo!S190&gt;0, ROUND(Saldo_Residual_Activo!S190 * 'Resumen_Cartera'!$Q190, 2), "")</f>
        <v/>
      </c>
      <c r="U190" s="29">
        <f>SUM(I190:T190)</f>
        <v/>
      </c>
    </row>
    <row r="191">
      <c r="A191" s="20" t="inlineStr">
        <is>
          <t>0712-0001</t>
        </is>
      </c>
      <c r="B191" s="21" t="inlineStr">
        <is>
          <t>Containers del Pacifico sa de cv</t>
        </is>
      </c>
      <c r="C191" s="21" t="inlineStr">
        <is>
          <t>Outlander Sport</t>
        </is>
      </c>
      <c r="D191" s="20" t="inlineStr">
        <is>
          <t>ACTIVO</t>
        </is>
      </c>
      <c r="E191" s="20" t="inlineStr">
        <is>
          <t>2025-08-06</t>
        </is>
      </c>
      <c r="F191" s="20" t="inlineStr">
        <is>
          <t>2028-08-06</t>
        </is>
      </c>
      <c r="G191" s="22" t="n">
        <v>36</v>
      </c>
      <c r="H191" s="23" t="n">
        <v>82184.14</v>
      </c>
      <c r="I191" s="23">
        <f>ROUND(36334.64 * 'Resumen_Cartera'!$Q191, 2)</f>
        <v/>
      </c>
      <c r="J191" s="23">
        <f>IF(Saldo_Residual_Activo!I191&gt;0, ROUND(Saldo_Residual_Activo!I191 * 'Resumen_Cartera'!$Q191, 2), "")</f>
        <v/>
      </c>
      <c r="K191" s="23">
        <f>IF(Saldo_Residual_Activo!J191&gt;0, ROUND(Saldo_Residual_Activo!J191 * 'Resumen_Cartera'!$Q191, 2), "")</f>
        <v/>
      </c>
      <c r="L191" s="23">
        <f>IF(Saldo_Residual_Activo!K191&gt;0, ROUND(Saldo_Residual_Activo!K191 * 'Resumen_Cartera'!$Q191, 2), "")</f>
        <v/>
      </c>
      <c r="M191" s="23">
        <f>IF(Saldo_Residual_Activo!L191&gt;0, ROUND(Saldo_Residual_Activo!L191 * 'Resumen_Cartera'!$Q191, 2), "")</f>
        <v/>
      </c>
      <c r="N191" s="23">
        <f>IF(Saldo_Residual_Activo!M191&gt;0, ROUND(Saldo_Residual_Activo!M191 * 'Resumen_Cartera'!$Q191, 2), "")</f>
        <v/>
      </c>
      <c r="O191" s="23">
        <f>IF(Saldo_Residual_Activo!N191&gt;0, ROUND(Saldo_Residual_Activo!N191 * 'Resumen_Cartera'!$Q191, 2), "")</f>
        <v/>
      </c>
      <c r="P191" s="23">
        <f>IF(Saldo_Residual_Activo!O191&gt;0, ROUND(Saldo_Residual_Activo!O191 * 'Resumen_Cartera'!$Q191, 2), "")</f>
        <v/>
      </c>
      <c r="Q191" s="23">
        <f>IF(Saldo_Residual_Activo!P191&gt;0, ROUND(Saldo_Residual_Activo!P191 * 'Resumen_Cartera'!$Q191, 2), "")</f>
        <v/>
      </c>
      <c r="R191" s="23">
        <f>IF(Saldo_Residual_Activo!Q191&gt;0, ROUND(Saldo_Residual_Activo!Q191 * 'Resumen_Cartera'!$Q191, 2), "")</f>
        <v/>
      </c>
      <c r="S191" s="23">
        <f>IF(Saldo_Residual_Activo!R191&gt;0, ROUND(Saldo_Residual_Activo!R191 * 'Resumen_Cartera'!$Q191, 2), "")</f>
        <v/>
      </c>
      <c r="T191" s="23">
        <f>IF(Saldo_Residual_Activo!S191&gt;0, ROUND(Saldo_Residual_Activo!S191 * 'Resumen_Cartera'!$Q191, 2), "")</f>
        <v/>
      </c>
      <c r="U191" s="23">
        <f>SUM(I191:T191)</f>
        <v/>
      </c>
    </row>
    <row r="192">
      <c r="A192" s="26" t="inlineStr">
        <is>
          <t>0712-0002</t>
        </is>
      </c>
      <c r="B192" s="27" t="inlineStr">
        <is>
          <t>Containers del Pacifico sa de cv</t>
        </is>
      </c>
      <c r="C192" s="27" t="inlineStr">
        <is>
          <t>Np300</t>
        </is>
      </c>
      <c r="D192" s="26" t="inlineStr">
        <is>
          <t>ACTIVO</t>
        </is>
      </c>
      <c r="E192" s="26" t="inlineStr">
        <is>
          <t>2025-08-22</t>
        </is>
      </c>
      <c r="F192" s="26" t="inlineStr">
        <is>
          <t>2028-08-22</t>
        </is>
      </c>
      <c r="G192" s="28" t="n">
        <v>36</v>
      </c>
      <c r="H192" s="29" t="n">
        <v>81258.62</v>
      </c>
      <c r="I192" s="29">
        <f>ROUND(35925.45 * 'Resumen_Cartera'!$Q192, 2)</f>
        <v/>
      </c>
      <c r="J192" s="29">
        <f>IF(Saldo_Residual_Activo!I192&gt;0, ROUND(Saldo_Residual_Activo!I192 * 'Resumen_Cartera'!$Q192, 2), "")</f>
        <v/>
      </c>
      <c r="K192" s="29">
        <f>IF(Saldo_Residual_Activo!J192&gt;0, ROUND(Saldo_Residual_Activo!J192 * 'Resumen_Cartera'!$Q192, 2), "")</f>
        <v/>
      </c>
      <c r="L192" s="29">
        <f>IF(Saldo_Residual_Activo!K192&gt;0, ROUND(Saldo_Residual_Activo!K192 * 'Resumen_Cartera'!$Q192, 2), "")</f>
        <v/>
      </c>
      <c r="M192" s="29">
        <f>IF(Saldo_Residual_Activo!L192&gt;0, ROUND(Saldo_Residual_Activo!L192 * 'Resumen_Cartera'!$Q192, 2), "")</f>
        <v/>
      </c>
      <c r="N192" s="29">
        <f>IF(Saldo_Residual_Activo!M192&gt;0, ROUND(Saldo_Residual_Activo!M192 * 'Resumen_Cartera'!$Q192, 2), "")</f>
        <v/>
      </c>
      <c r="O192" s="29">
        <f>IF(Saldo_Residual_Activo!N192&gt;0, ROUND(Saldo_Residual_Activo!N192 * 'Resumen_Cartera'!$Q192, 2), "")</f>
        <v/>
      </c>
      <c r="P192" s="29">
        <f>IF(Saldo_Residual_Activo!O192&gt;0, ROUND(Saldo_Residual_Activo!O192 * 'Resumen_Cartera'!$Q192, 2), "")</f>
        <v/>
      </c>
      <c r="Q192" s="29">
        <f>IF(Saldo_Residual_Activo!P192&gt;0, ROUND(Saldo_Residual_Activo!P192 * 'Resumen_Cartera'!$Q192, 2), "")</f>
        <v/>
      </c>
      <c r="R192" s="29">
        <f>IF(Saldo_Residual_Activo!Q192&gt;0, ROUND(Saldo_Residual_Activo!Q192 * 'Resumen_Cartera'!$Q192, 2), "")</f>
        <v/>
      </c>
      <c r="S192" s="29">
        <f>IF(Saldo_Residual_Activo!R192&gt;0, ROUND(Saldo_Residual_Activo!R192 * 'Resumen_Cartera'!$Q192, 2), "")</f>
        <v/>
      </c>
      <c r="T192" s="29">
        <f>IF(Saldo_Residual_Activo!S192&gt;0, ROUND(Saldo_Residual_Activo!S192 * 'Resumen_Cartera'!$Q192, 2), "")</f>
        <v/>
      </c>
      <c r="U192" s="29">
        <f>SUM(I192:T192)</f>
        <v/>
      </c>
    </row>
    <row r="193">
      <c r="A193" s="20" t="inlineStr">
        <is>
          <t>0712-0003</t>
        </is>
      </c>
      <c r="B193" s="21" t="inlineStr">
        <is>
          <t>Containers del Pacifico sa de cv</t>
        </is>
      </c>
      <c r="C193" s="21" t="inlineStr">
        <is>
          <t>Np300</t>
        </is>
      </c>
      <c r="D193" s="20" t="inlineStr">
        <is>
          <t>ACTIVO</t>
        </is>
      </c>
      <c r="E193" s="20" t="inlineStr">
        <is>
          <t>2025-08-22</t>
        </is>
      </c>
      <c r="F193" s="20" t="inlineStr">
        <is>
          <t>2028-08-22</t>
        </is>
      </c>
      <c r="G193" s="22" t="n">
        <v>36</v>
      </c>
      <c r="H193" s="23" t="n">
        <v>81258.62</v>
      </c>
      <c r="I193" s="23">
        <f>ROUND(35925.45 * 'Resumen_Cartera'!$Q193, 2)</f>
        <v/>
      </c>
      <c r="J193" s="23">
        <f>IF(Saldo_Residual_Activo!I193&gt;0, ROUND(Saldo_Residual_Activo!I193 * 'Resumen_Cartera'!$Q193, 2), "")</f>
        <v/>
      </c>
      <c r="K193" s="23">
        <f>IF(Saldo_Residual_Activo!J193&gt;0, ROUND(Saldo_Residual_Activo!J193 * 'Resumen_Cartera'!$Q193, 2), "")</f>
        <v/>
      </c>
      <c r="L193" s="23">
        <f>IF(Saldo_Residual_Activo!K193&gt;0, ROUND(Saldo_Residual_Activo!K193 * 'Resumen_Cartera'!$Q193, 2), "")</f>
        <v/>
      </c>
      <c r="M193" s="23">
        <f>IF(Saldo_Residual_Activo!L193&gt;0, ROUND(Saldo_Residual_Activo!L193 * 'Resumen_Cartera'!$Q193, 2), "")</f>
        <v/>
      </c>
      <c r="N193" s="23">
        <f>IF(Saldo_Residual_Activo!M193&gt;0, ROUND(Saldo_Residual_Activo!M193 * 'Resumen_Cartera'!$Q193, 2), "")</f>
        <v/>
      </c>
      <c r="O193" s="23">
        <f>IF(Saldo_Residual_Activo!N193&gt;0, ROUND(Saldo_Residual_Activo!N193 * 'Resumen_Cartera'!$Q193, 2), "")</f>
        <v/>
      </c>
      <c r="P193" s="23">
        <f>IF(Saldo_Residual_Activo!O193&gt;0, ROUND(Saldo_Residual_Activo!O193 * 'Resumen_Cartera'!$Q193, 2), "")</f>
        <v/>
      </c>
      <c r="Q193" s="23">
        <f>IF(Saldo_Residual_Activo!P193&gt;0, ROUND(Saldo_Residual_Activo!P193 * 'Resumen_Cartera'!$Q193, 2), "")</f>
        <v/>
      </c>
      <c r="R193" s="23">
        <f>IF(Saldo_Residual_Activo!Q193&gt;0, ROUND(Saldo_Residual_Activo!Q193 * 'Resumen_Cartera'!$Q193, 2), "")</f>
        <v/>
      </c>
      <c r="S193" s="23">
        <f>IF(Saldo_Residual_Activo!R193&gt;0, ROUND(Saldo_Residual_Activo!R193 * 'Resumen_Cartera'!$Q193, 2), "")</f>
        <v/>
      </c>
      <c r="T193" s="23">
        <f>IF(Saldo_Residual_Activo!S193&gt;0, ROUND(Saldo_Residual_Activo!S193 * 'Resumen_Cartera'!$Q193, 2), "")</f>
        <v/>
      </c>
      <c r="U193" s="23">
        <f>SUM(I193:T193)</f>
        <v/>
      </c>
    </row>
    <row r="194">
      <c r="A194" s="26" t="inlineStr">
        <is>
          <t>0713-0001</t>
        </is>
      </c>
      <c r="B194" s="27" t="inlineStr">
        <is>
          <t>Ana Carolina Urzua Lopez</t>
        </is>
      </c>
      <c r="C194" s="27" t="inlineStr">
        <is>
          <t>Ram 1200</t>
        </is>
      </c>
      <c r="D194" s="26" t="inlineStr">
        <is>
          <t>ACTIVO</t>
        </is>
      </c>
      <c r="E194" s="26" t="inlineStr">
        <is>
          <t>2025-08-18</t>
        </is>
      </c>
      <c r="F194" s="26" t="inlineStr">
        <is>
          <t>2027-08-18</t>
        </is>
      </c>
      <c r="G194" s="28" t="n">
        <v>24</v>
      </c>
      <c r="H194" s="29" t="n">
        <v>173250</v>
      </c>
      <c r="I194" s="29">
        <f>ROUND(106063.33 * 'Resumen_Cartera'!$Q194, 2)</f>
        <v/>
      </c>
      <c r="J194" s="29">
        <f>IF(Saldo_Residual_Activo!I194&gt;0, ROUND(Saldo_Residual_Activo!I194 * 'Resumen_Cartera'!$Q194, 2), "")</f>
        <v/>
      </c>
      <c r="K194" s="29">
        <f>IF(Saldo_Residual_Activo!J194&gt;0, ROUND(Saldo_Residual_Activo!J194 * 'Resumen_Cartera'!$Q194, 2), "")</f>
        <v/>
      </c>
      <c r="L194" s="29">
        <f>IF(Saldo_Residual_Activo!K194&gt;0, ROUND(Saldo_Residual_Activo!K194 * 'Resumen_Cartera'!$Q194, 2), "")</f>
        <v/>
      </c>
      <c r="M194" s="29">
        <f>IF(Saldo_Residual_Activo!L194&gt;0, ROUND(Saldo_Residual_Activo!L194 * 'Resumen_Cartera'!$Q194, 2), "")</f>
        <v/>
      </c>
      <c r="N194" s="29">
        <f>IF(Saldo_Residual_Activo!M194&gt;0, ROUND(Saldo_Residual_Activo!M194 * 'Resumen_Cartera'!$Q194, 2), "")</f>
        <v/>
      </c>
      <c r="O194" s="29">
        <f>IF(Saldo_Residual_Activo!N194&gt;0, ROUND(Saldo_Residual_Activo!N194 * 'Resumen_Cartera'!$Q194, 2), "")</f>
        <v/>
      </c>
      <c r="P194" s="29">
        <f>IF(Saldo_Residual_Activo!O194&gt;0, ROUND(Saldo_Residual_Activo!O194 * 'Resumen_Cartera'!$Q194, 2), "")</f>
        <v/>
      </c>
      <c r="Q194" s="29">
        <f>IF(Saldo_Residual_Activo!P194&gt;0, ROUND(Saldo_Residual_Activo!P194 * 'Resumen_Cartera'!$Q194, 2), "")</f>
        <v/>
      </c>
      <c r="R194" s="29">
        <f>IF(Saldo_Residual_Activo!Q194&gt;0, ROUND(Saldo_Residual_Activo!Q194 * 'Resumen_Cartera'!$Q194, 2), "")</f>
        <v/>
      </c>
      <c r="S194" s="29">
        <f>IF(Saldo_Residual_Activo!R194&gt;0, ROUND(Saldo_Residual_Activo!R194 * 'Resumen_Cartera'!$Q194, 2), "")</f>
        <v/>
      </c>
      <c r="T194" s="29">
        <f>IF(Saldo_Residual_Activo!S194&gt;0, ROUND(Saldo_Residual_Activo!S194 * 'Resumen_Cartera'!$Q194, 2), "")</f>
        <v/>
      </c>
      <c r="U194" s="29">
        <f>SUM(I194:T194)</f>
        <v/>
      </c>
    </row>
    <row r="195">
      <c r="A195" s="20" t="inlineStr">
        <is>
          <t>0714-0001</t>
        </is>
      </c>
      <c r="B195" s="21" t="inlineStr">
        <is>
          <t>Celeste Capital Aj</t>
        </is>
      </c>
      <c r="C195" s="21" t="inlineStr">
        <is>
          <t>Wrangler 4Xe</t>
        </is>
      </c>
      <c r="D195" s="20" t="inlineStr">
        <is>
          <t>ACTIVO</t>
        </is>
      </c>
      <c r="E195" s="20" t="inlineStr">
        <is>
          <t>2025-08-26</t>
        </is>
      </c>
      <c r="F195" s="20" t="inlineStr">
        <is>
          <t>2029-08-26</t>
        </is>
      </c>
      <c r="G195" s="22" t="n">
        <v>48</v>
      </c>
      <c r="H195" s="23" t="n">
        <v>125508.62</v>
      </c>
      <c r="I195" s="23">
        <f>ROUND(40024.69 * 'Resumen_Cartera'!$Q195, 2)</f>
        <v/>
      </c>
      <c r="J195" s="23">
        <f>IF(Saldo_Residual_Activo!I195&gt;0, ROUND(Saldo_Residual_Activo!I195 * 'Resumen_Cartera'!$Q195, 2), "")</f>
        <v/>
      </c>
      <c r="K195" s="23">
        <f>IF(Saldo_Residual_Activo!J195&gt;0, ROUND(Saldo_Residual_Activo!J195 * 'Resumen_Cartera'!$Q195, 2), "")</f>
        <v/>
      </c>
      <c r="L195" s="23">
        <f>IF(Saldo_Residual_Activo!K195&gt;0, ROUND(Saldo_Residual_Activo!K195 * 'Resumen_Cartera'!$Q195, 2), "")</f>
        <v/>
      </c>
      <c r="M195" s="23">
        <f>IF(Saldo_Residual_Activo!L195&gt;0, ROUND(Saldo_Residual_Activo!L195 * 'Resumen_Cartera'!$Q195, 2), "")</f>
        <v/>
      </c>
      <c r="N195" s="23">
        <f>IF(Saldo_Residual_Activo!M195&gt;0, ROUND(Saldo_Residual_Activo!M195 * 'Resumen_Cartera'!$Q195, 2), "")</f>
        <v/>
      </c>
      <c r="O195" s="23">
        <f>IF(Saldo_Residual_Activo!N195&gt;0, ROUND(Saldo_Residual_Activo!N195 * 'Resumen_Cartera'!$Q195, 2), "")</f>
        <v/>
      </c>
      <c r="P195" s="23">
        <f>IF(Saldo_Residual_Activo!O195&gt;0, ROUND(Saldo_Residual_Activo!O195 * 'Resumen_Cartera'!$Q195, 2), "")</f>
        <v/>
      </c>
      <c r="Q195" s="23">
        <f>IF(Saldo_Residual_Activo!P195&gt;0, ROUND(Saldo_Residual_Activo!P195 * 'Resumen_Cartera'!$Q195, 2), "")</f>
        <v/>
      </c>
      <c r="R195" s="23">
        <f>IF(Saldo_Residual_Activo!Q195&gt;0, ROUND(Saldo_Residual_Activo!Q195 * 'Resumen_Cartera'!$Q195, 2), "")</f>
        <v/>
      </c>
      <c r="S195" s="23">
        <f>IF(Saldo_Residual_Activo!R195&gt;0, ROUND(Saldo_Residual_Activo!R195 * 'Resumen_Cartera'!$Q195, 2), "")</f>
        <v/>
      </c>
      <c r="T195" s="23">
        <f>IF(Saldo_Residual_Activo!S195&gt;0, ROUND(Saldo_Residual_Activo!S195 * 'Resumen_Cartera'!$Q195, 2), "")</f>
        <v/>
      </c>
      <c r="U195" s="23">
        <f>SUM(I195:T195)</f>
        <v/>
      </c>
    </row>
    <row r="196">
      <c r="A196" s="26" t="inlineStr">
        <is>
          <t>0715-0001</t>
        </is>
      </c>
      <c r="B196" s="27" t="inlineStr">
        <is>
          <t>Jose de Jesus Serrano Sanchez</t>
        </is>
      </c>
      <c r="C196" s="27" t="inlineStr">
        <is>
          <t>Ram 1200</t>
        </is>
      </c>
      <c r="D196" s="26" t="inlineStr">
        <is>
          <t>ACTIVO</t>
        </is>
      </c>
      <c r="E196" s="26" t="inlineStr">
        <is>
          <t>2025-08-29</t>
        </is>
      </c>
      <c r="F196" s="26" t="inlineStr">
        <is>
          <t>2029-08-29</t>
        </is>
      </c>
      <c r="G196" s="28" t="n">
        <v>48</v>
      </c>
      <c r="H196" s="29" t="n">
        <v>60603.45</v>
      </c>
      <c r="I196" s="29">
        <f>ROUND(19333.0 * 'Resumen_Cartera'!$Q196, 2)</f>
        <v/>
      </c>
      <c r="J196" s="29">
        <f>IF(Saldo_Residual_Activo!I196&gt;0, ROUND(Saldo_Residual_Activo!I196 * 'Resumen_Cartera'!$Q196, 2), "")</f>
        <v/>
      </c>
      <c r="K196" s="29">
        <f>IF(Saldo_Residual_Activo!J196&gt;0, ROUND(Saldo_Residual_Activo!J196 * 'Resumen_Cartera'!$Q196, 2), "")</f>
        <v/>
      </c>
      <c r="L196" s="29">
        <f>IF(Saldo_Residual_Activo!K196&gt;0, ROUND(Saldo_Residual_Activo!K196 * 'Resumen_Cartera'!$Q196, 2), "")</f>
        <v/>
      </c>
      <c r="M196" s="29">
        <f>IF(Saldo_Residual_Activo!L196&gt;0, ROUND(Saldo_Residual_Activo!L196 * 'Resumen_Cartera'!$Q196, 2), "")</f>
        <v/>
      </c>
      <c r="N196" s="29">
        <f>IF(Saldo_Residual_Activo!M196&gt;0, ROUND(Saldo_Residual_Activo!M196 * 'Resumen_Cartera'!$Q196, 2), "")</f>
        <v/>
      </c>
      <c r="O196" s="29">
        <f>IF(Saldo_Residual_Activo!N196&gt;0, ROUND(Saldo_Residual_Activo!N196 * 'Resumen_Cartera'!$Q196, 2), "")</f>
        <v/>
      </c>
      <c r="P196" s="29">
        <f>IF(Saldo_Residual_Activo!O196&gt;0, ROUND(Saldo_Residual_Activo!O196 * 'Resumen_Cartera'!$Q196, 2), "")</f>
        <v/>
      </c>
      <c r="Q196" s="29">
        <f>IF(Saldo_Residual_Activo!P196&gt;0, ROUND(Saldo_Residual_Activo!P196 * 'Resumen_Cartera'!$Q196, 2), "")</f>
        <v/>
      </c>
      <c r="R196" s="29">
        <f>IF(Saldo_Residual_Activo!Q196&gt;0, ROUND(Saldo_Residual_Activo!Q196 * 'Resumen_Cartera'!$Q196, 2), "")</f>
        <v/>
      </c>
      <c r="S196" s="29">
        <f>IF(Saldo_Residual_Activo!R196&gt;0, ROUND(Saldo_Residual_Activo!R196 * 'Resumen_Cartera'!$Q196, 2), "")</f>
        <v/>
      </c>
      <c r="T196" s="29">
        <f>IF(Saldo_Residual_Activo!S196&gt;0, ROUND(Saldo_Residual_Activo!S196 * 'Resumen_Cartera'!$Q196, 2), "")</f>
        <v/>
      </c>
      <c r="U196" s="29">
        <f>SUM(I196:T196)</f>
        <v/>
      </c>
    </row>
    <row r="197">
      <c r="A197" s="20" t="inlineStr">
        <is>
          <t>0716-0001</t>
        </is>
      </c>
      <c r="B197" s="21" t="inlineStr">
        <is>
          <t>Mayoristas Asociados en Servicio Celular SA de CV</t>
        </is>
      </c>
      <c r="C197" s="21" t="inlineStr">
        <is>
          <t>Wrangler Unlimited Rubicon</t>
        </is>
      </c>
      <c r="D197" s="20" t="inlineStr">
        <is>
          <t>ACTIVO</t>
        </is>
      </c>
      <c r="E197" s="20" t="inlineStr">
        <is>
          <t>2025-09-15</t>
        </is>
      </c>
      <c r="F197" s="20" t="inlineStr">
        <is>
          <t>2027-09-15</t>
        </is>
      </c>
      <c r="G197" s="22" t="n">
        <v>24</v>
      </c>
      <c r="H197" s="23" t="n">
        <v>220235.52</v>
      </c>
      <c r="I197" s="23">
        <f>ROUND(131513.81 * 'Resumen_Cartera'!$Q197, 2)</f>
        <v/>
      </c>
      <c r="J197" s="23">
        <f>IF(Saldo_Residual_Activo!I197&gt;0, ROUND(Saldo_Residual_Activo!I197 * 'Resumen_Cartera'!$Q197, 2), "")</f>
        <v/>
      </c>
      <c r="K197" s="23">
        <f>IF(Saldo_Residual_Activo!J197&gt;0, ROUND(Saldo_Residual_Activo!J197 * 'Resumen_Cartera'!$Q197, 2), "")</f>
        <v/>
      </c>
      <c r="L197" s="23">
        <f>IF(Saldo_Residual_Activo!K197&gt;0, ROUND(Saldo_Residual_Activo!K197 * 'Resumen_Cartera'!$Q197, 2), "")</f>
        <v/>
      </c>
      <c r="M197" s="23">
        <f>IF(Saldo_Residual_Activo!L197&gt;0, ROUND(Saldo_Residual_Activo!L197 * 'Resumen_Cartera'!$Q197, 2), "")</f>
        <v/>
      </c>
      <c r="N197" s="23">
        <f>IF(Saldo_Residual_Activo!M197&gt;0, ROUND(Saldo_Residual_Activo!M197 * 'Resumen_Cartera'!$Q197, 2), "")</f>
        <v/>
      </c>
      <c r="O197" s="23">
        <f>IF(Saldo_Residual_Activo!N197&gt;0, ROUND(Saldo_Residual_Activo!N197 * 'Resumen_Cartera'!$Q197, 2), "")</f>
        <v/>
      </c>
      <c r="P197" s="23">
        <f>IF(Saldo_Residual_Activo!O197&gt;0, ROUND(Saldo_Residual_Activo!O197 * 'Resumen_Cartera'!$Q197, 2), "")</f>
        <v/>
      </c>
      <c r="Q197" s="23">
        <f>IF(Saldo_Residual_Activo!P197&gt;0, ROUND(Saldo_Residual_Activo!P197 * 'Resumen_Cartera'!$Q197, 2), "")</f>
        <v/>
      </c>
      <c r="R197" s="23">
        <f>IF(Saldo_Residual_Activo!Q197&gt;0, ROUND(Saldo_Residual_Activo!Q197 * 'Resumen_Cartera'!$Q197, 2), "")</f>
        <v/>
      </c>
      <c r="S197" s="23">
        <f>IF(Saldo_Residual_Activo!R197&gt;0, ROUND(Saldo_Residual_Activo!R197 * 'Resumen_Cartera'!$Q197, 2), "")</f>
        <v/>
      </c>
      <c r="T197" s="23">
        <f>IF(Saldo_Residual_Activo!S197&gt;0, ROUND(Saldo_Residual_Activo!S197 * 'Resumen_Cartera'!$Q197, 2), "")</f>
        <v/>
      </c>
      <c r="U197" s="23">
        <f>SUM(I197:T197)</f>
        <v/>
      </c>
    </row>
    <row r="198">
      <c r="A198" s="26" t="inlineStr">
        <is>
          <t>0716-0002</t>
        </is>
      </c>
      <c r="B198" s="27" t="inlineStr">
        <is>
          <t>Mayoristas Asociados en Servicio Celular SA de CV</t>
        </is>
      </c>
      <c r="C198" s="27" t="inlineStr">
        <is>
          <t>EX30</t>
        </is>
      </c>
      <c r="D198" s="26" t="inlineStr">
        <is>
          <t>ACTIVO</t>
        </is>
      </c>
      <c r="E198" s="26" t="inlineStr">
        <is>
          <t>2025-10-08</t>
        </is>
      </c>
      <c r="F198" s="26" t="inlineStr">
        <is>
          <t>2027-10-08</t>
        </is>
      </c>
      <c r="G198" s="28" t="n">
        <v>24</v>
      </c>
      <c r="H198" s="29" t="n">
        <v>136017.59</v>
      </c>
      <c r="I198" s="29">
        <f>ROUND(79093.42 * 'Resumen_Cartera'!$Q198, 2)</f>
        <v/>
      </c>
      <c r="J198" s="29">
        <f>IF(Saldo_Residual_Activo!I198&gt;0, ROUND(Saldo_Residual_Activo!I198 * 'Resumen_Cartera'!$Q198, 2), "")</f>
        <v/>
      </c>
      <c r="K198" s="29">
        <f>IF(Saldo_Residual_Activo!J198&gt;0, ROUND(Saldo_Residual_Activo!J198 * 'Resumen_Cartera'!$Q198, 2), "")</f>
        <v/>
      </c>
      <c r="L198" s="29">
        <f>IF(Saldo_Residual_Activo!K198&gt;0, ROUND(Saldo_Residual_Activo!K198 * 'Resumen_Cartera'!$Q198, 2), "")</f>
        <v/>
      </c>
      <c r="M198" s="29">
        <f>IF(Saldo_Residual_Activo!L198&gt;0, ROUND(Saldo_Residual_Activo!L198 * 'Resumen_Cartera'!$Q198, 2), "")</f>
        <v/>
      </c>
      <c r="N198" s="29">
        <f>IF(Saldo_Residual_Activo!M198&gt;0, ROUND(Saldo_Residual_Activo!M198 * 'Resumen_Cartera'!$Q198, 2), "")</f>
        <v/>
      </c>
      <c r="O198" s="29">
        <f>IF(Saldo_Residual_Activo!N198&gt;0, ROUND(Saldo_Residual_Activo!N198 * 'Resumen_Cartera'!$Q198, 2), "")</f>
        <v/>
      </c>
      <c r="P198" s="29">
        <f>IF(Saldo_Residual_Activo!O198&gt;0, ROUND(Saldo_Residual_Activo!O198 * 'Resumen_Cartera'!$Q198, 2), "")</f>
        <v/>
      </c>
      <c r="Q198" s="29">
        <f>IF(Saldo_Residual_Activo!P198&gt;0, ROUND(Saldo_Residual_Activo!P198 * 'Resumen_Cartera'!$Q198, 2), "")</f>
        <v/>
      </c>
      <c r="R198" s="29">
        <f>IF(Saldo_Residual_Activo!Q198&gt;0, ROUND(Saldo_Residual_Activo!Q198 * 'Resumen_Cartera'!$Q198, 2), "")</f>
        <v/>
      </c>
      <c r="S198" s="29">
        <f>IF(Saldo_Residual_Activo!R198&gt;0, ROUND(Saldo_Residual_Activo!R198 * 'Resumen_Cartera'!$Q198, 2), "")</f>
        <v/>
      </c>
      <c r="T198" s="29">
        <f>IF(Saldo_Residual_Activo!S198&gt;0, ROUND(Saldo_Residual_Activo!S198 * 'Resumen_Cartera'!$Q198, 2), "")</f>
        <v/>
      </c>
      <c r="U198" s="29">
        <f>SUM(I198:T198)</f>
        <v/>
      </c>
    </row>
    <row r="199">
      <c r="A199" s="20" t="inlineStr">
        <is>
          <t>0716-0003</t>
        </is>
      </c>
      <c r="B199" s="21" t="inlineStr">
        <is>
          <t>Mayoristas Asociados en Servicio Celular SA de CV</t>
        </is>
      </c>
      <c r="C199" s="21" t="inlineStr">
        <is>
          <t>Bronco</t>
        </is>
      </c>
      <c r="D199" s="20" t="inlineStr">
        <is>
          <t>ACTIVO</t>
        </is>
      </c>
      <c r="E199" s="20" t="inlineStr">
        <is>
          <t>2025-10-08</t>
        </is>
      </c>
      <c r="F199" s="20" t="inlineStr">
        <is>
          <t>2027-10-08</t>
        </is>
      </c>
      <c r="G199" s="22" t="n">
        <v>24</v>
      </c>
      <c r="H199" s="23" t="n">
        <v>131034.48</v>
      </c>
      <c r="I199" s="23">
        <f>ROUND(76195.79 * 'Resumen_Cartera'!$Q199, 2)</f>
        <v/>
      </c>
      <c r="J199" s="23">
        <f>IF(Saldo_Residual_Activo!I199&gt;0, ROUND(Saldo_Residual_Activo!I199 * 'Resumen_Cartera'!$Q199, 2), "")</f>
        <v/>
      </c>
      <c r="K199" s="23">
        <f>IF(Saldo_Residual_Activo!J199&gt;0, ROUND(Saldo_Residual_Activo!J199 * 'Resumen_Cartera'!$Q199, 2), "")</f>
        <v/>
      </c>
      <c r="L199" s="23">
        <f>IF(Saldo_Residual_Activo!K199&gt;0, ROUND(Saldo_Residual_Activo!K199 * 'Resumen_Cartera'!$Q199, 2), "")</f>
        <v/>
      </c>
      <c r="M199" s="23">
        <f>IF(Saldo_Residual_Activo!L199&gt;0, ROUND(Saldo_Residual_Activo!L199 * 'Resumen_Cartera'!$Q199, 2), "")</f>
        <v/>
      </c>
      <c r="N199" s="23">
        <f>IF(Saldo_Residual_Activo!M199&gt;0, ROUND(Saldo_Residual_Activo!M199 * 'Resumen_Cartera'!$Q199, 2), "")</f>
        <v/>
      </c>
      <c r="O199" s="23">
        <f>IF(Saldo_Residual_Activo!N199&gt;0, ROUND(Saldo_Residual_Activo!N199 * 'Resumen_Cartera'!$Q199, 2), "")</f>
        <v/>
      </c>
      <c r="P199" s="23">
        <f>IF(Saldo_Residual_Activo!O199&gt;0, ROUND(Saldo_Residual_Activo!O199 * 'Resumen_Cartera'!$Q199, 2), "")</f>
        <v/>
      </c>
      <c r="Q199" s="23">
        <f>IF(Saldo_Residual_Activo!P199&gt;0, ROUND(Saldo_Residual_Activo!P199 * 'Resumen_Cartera'!$Q199, 2), "")</f>
        <v/>
      </c>
      <c r="R199" s="23">
        <f>IF(Saldo_Residual_Activo!Q199&gt;0, ROUND(Saldo_Residual_Activo!Q199 * 'Resumen_Cartera'!$Q199, 2), "")</f>
        <v/>
      </c>
      <c r="S199" s="23">
        <f>IF(Saldo_Residual_Activo!R199&gt;0, ROUND(Saldo_Residual_Activo!R199 * 'Resumen_Cartera'!$Q199, 2), "")</f>
        <v/>
      </c>
      <c r="T199" s="23">
        <f>IF(Saldo_Residual_Activo!S199&gt;0, ROUND(Saldo_Residual_Activo!S199 * 'Resumen_Cartera'!$Q199, 2), "")</f>
        <v/>
      </c>
      <c r="U199" s="23">
        <f>SUM(I199:T199)</f>
        <v/>
      </c>
    </row>
    <row r="200">
      <c r="A200" s="26" t="inlineStr">
        <is>
          <t>0717-0001</t>
        </is>
      </c>
      <c r="B200" s="27" t="inlineStr">
        <is>
          <t>Refaccionaria San Diego SA de CV</t>
        </is>
      </c>
      <c r="C200" s="27" t="inlineStr">
        <is>
          <t>Partner Rapid</t>
        </is>
      </c>
      <c r="D200" s="26" t="inlineStr">
        <is>
          <t>ACTIVO</t>
        </is>
      </c>
      <c r="E200" s="26" t="inlineStr">
        <is>
          <t>2025-09-10</t>
        </is>
      </c>
      <c r="F200" s="26" t="inlineStr">
        <is>
          <t>2029-09-10</t>
        </is>
      </c>
      <c r="G200" s="28" t="n">
        <v>48</v>
      </c>
      <c r="H200" s="29" t="n">
        <v>25767.24</v>
      </c>
      <c r="I200" s="29">
        <f>ROUND(8027.36 * 'Resumen_Cartera'!$Q200, 2)</f>
        <v/>
      </c>
      <c r="J200" s="29">
        <f>IF(Saldo_Residual_Activo!I200&gt;0, ROUND(Saldo_Residual_Activo!I200 * 'Resumen_Cartera'!$Q200, 2), "")</f>
        <v/>
      </c>
      <c r="K200" s="29">
        <f>IF(Saldo_Residual_Activo!J200&gt;0, ROUND(Saldo_Residual_Activo!J200 * 'Resumen_Cartera'!$Q200, 2), "")</f>
        <v/>
      </c>
      <c r="L200" s="29">
        <f>IF(Saldo_Residual_Activo!K200&gt;0, ROUND(Saldo_Residual_Activo!K200 * 'Resumen_Cartera'!$Q200, 2), "")</f>
        <v/>
      </c>
      <c r="M200" s="29">
        <f>IF(Saldo_Residual_Activo!L200&gt;0, ROUND(Saldo_Residual_Activo!L200 * 'Resumen_Cartera'!$Q200, 2), "")</f>
        <v/>
      </c>
      <c r="N200" s="29">
        <f>IF(Saldo_Residual_Activo!M200&gt;0, ROUND(Saldo_Residual_Activo!M200 * 'Resumen_Cartera'!$Q200, 2), "")</f>
        <v/>
      </c>
      <c r="O200" s="29">
        <f>IF(Saldo_Residual_Activo!N200&gt;0, ROUND(Saldo_Residual_Activo!N200 * 'Resumen_Cartera'!$Q200, 2), "")</f>
        <v/>
      </c>
      <c r="P200" s="29">
        <f>IF(Saldo_Residual_Activo!O200&gt;0, ROUND(Saldo_Residual_Activo!O200 * 'Resumen_Cartera'!$Q200, 2), "")</f>
        <v/>
      </c>
      <c r="Q200" s="29">
        <f>IF(Saldo_Residual_Activo!P200&gt;0, ROUND(Saldo_Residual_Activo!P200 * 'Resumen_Cartera'!$Q200, 2), "")</f>
        <v/>
      </c>
      <c r="R200" s="29">
        <f>IF(Saldo_Residual_Activo!Q200&gt;0, ROUND(Saldo_Residual_Activo!Q200 * 'Resumen_Cartera'!$Q200, 2), "")</f>
        <v/>
      </c>
      <c r="S200" s="29">
        <f>IF(Saldo_Residual_Activo!R200&gt;0, ROUND(Saldo_Residual_Activo!R200 * 'Resumen_Cartera'!$Q200, 2), "")</f>
        <v/>
      </c>
      <c r="T200" s="29">
        <f>IF(Saldo_Residual_Activo!S200&gt;0, ROUND(Saldo_Residual_Activo!S200 * 'Resumen_Cartera'!$Q200, 2), "")</f>
        <v/>
      </c>
      <c r="U200" s="29">
        <f>SUM(I200:T200)</f>
        <v/>
      </c>
    </row>
    <row r="201">
      <c r="A201" s="20" t="inlineStr">
        <is>
          <t>0718-0001</t>
        </is>
      </c>
      <c r="B201" s="21" t="inlineStr">
        <is>
          <t>Capriberrys</t>
        </is>
      </c>
      <c r="C201" s="21" t="inlineStr">
        <is>
          <t>Jt Mojave</t>
        </is>
      </c>
      <c r="D201" s="20" t="inlineStr">
        <is>
          <t>ACTIVO</t>
        </is>
      </c>
      <c r="E201" s="20" t="inlineStr">
        <is>
          <t>2025-09-11</t>
        </is>
      </c>
      <c r="F201" s="20" t="inlineStr">
        <is>
          <t>2027-09-11</t>
        </is>
      </c>
      <c r="G201" s="22" t="n">
        <v>24</v>
      </c>
      <c r="H201" s="23" t="n">
        <v>130077.59</v>
      </c>
      <c r="I201" s="23">
        <f>ROUND(80330.6 * 'Resumen_Cartera'!$Q201, 2)</f>
        <v/>
      </c>
      <c r="J201" s="23">
        <f>IF(Saldo_Residual_Activo!I201&gt;0, ROUND(Saldo_Residual_Activo!I201 * 'Resumen_Cartera'!$Q201, 2), "")</f>
        <v/>
      </c>
      <c r="K201" s="23">
        <f>IF(Saldo_Residual_Activo!J201&gt;0, ROUND(Saldo_Residual_Activo!J201 * 'Resumen_Cartera'!$Q201, 2), "")</f>
        <v/>
      </c>
      <c r="L201" s="23">
        <f>IF(Saldo_Residual_Activo!K201&gt;0, ROUND(Saldo_Residual_Activo!K201 * 'Resumen_Cartera'!$Q201, 2), "")</f>
        <v/>
      </c>
      <c r="M201" s="23">
        <f>IF(Saldo_Residual_Activo!L201&gt;0, ROUND(Saldo_Residual_Activo!L201 * 'Resumen_Cartera'!$Q201, 2), "")</f>
        <v/>
      </c>
      <c r="N201" s="23">
        <f>IF(Saldo_Residual_Activo!M201&gt;0, ROUND(Saldo_Residual_Activo!M201 * 'Resumen_Cartera'!$Q201, 2), "")</f>
        <v/>
      </c>
      <c r="O201" s="23">
        <f>IF(Saldo_Residual_Activo!N201&gt;0, ROUND(Saldo_Residual_Activo!N201 * 'Resumen_Cartera'!$Q201, 2), "")</f>
        <v/>
      </c>
      <c r="P201" s="23">
        <f>IF(Saldo_Residual_Activo!O201&gt;0, ROUND(Saldo_Residual_Activo!O201 * 'Resumen_Cartera'!$Q201, 2), "")</f>
        <v/>
      </c>
      <c r="Q201" s="23">
        <f>IF(Saldo_Residual_Activo!P201&gt;0, ROUND(Saldo_Residual_Activo!P201 * 'Resumen_Cartera'!$Q201, 2), "")</f>
        <v/>
      </c>
      <c r="R201" s="23">
        <f>IF(Saldo_Residual_Activo!Q201&gt;0, ROUND(Saldo_Residual_Activo!Q201 * 'Resumen_Cartera'!$Q201, 2), "")</f>
        <v/>
      </c>
      <c r="S201" s="23">
        <f>IF(Saldo_Residual_Activo!R201&gt;0, ROUND(Saldo_Residual_Activo!R201 * 'Resumen_Cartera'!$Q201, 2), "")</f>
        <v/>
      </c>
      <c r="T201" s="23">
        <f>IF(Saldo_Residual_Activo!S201&gt;0, ROUND(Saldo_Residual_Activo!S201 * 'Resumen_Cartera'!$Q201, 2), "")</f>
        <v/>
      </c>
      <c r="U201" s="23">
        <f>SUM(I201:T201)</f>
        <v/>
      </c>
    </row>
    <row r="202">
      <c r="A202" s="26" t="inlineStr">
        <is>
          <t>0719-0001</t>
        </is>
      </c>
      <c r="B202" s="27" t="inlineStr">
        <is>
          <t>Maria de Los Angeles Lopez Janeiro</t>
        </is>
      </c>
      <c r="C202" s="27" t="inlineStr">
        <is>
          <t>Rifter</t>
        </is>
      </c>
      <c r="D202" s="26" t="inlineStr">
        <is>
          <t>ACTIVO</t>
        </is>
      </c>
      <c r="E202" s="26" t="inlineStr">
        <is>
          <t>2025-09-30</t>
        </is>
      </c>
      <c r="F202" s="26" t="inlineStr">
        <is>
          <t>2028-09-30</t>
        </is>
      </c>
      <c r="G202" s="28" t="n">
        <v>36</v>
      </c>
      <c r="H202" s="29" t="n">
        <v>42836.21</v>
      </c>
      <c r="I202" s="29">
        <f>ROUND(18511.49 * 'Resumen_Cartera'!$Q202, 2)</f>
        <v/>
      </c>
      <c r="J202" s="29">
        <f>IF(Saldo_Residual_Activo!I202&gt;0, ROUND(Saldo_Residual_Activo!I202 * 'Resumen_Cartera'!$Q202, 2), "")</f>
        <v/>
      </c>
      <c r="K202" s="29">
        <f>IF(Saldo_Residual_Activo!J202&gt;0, ROUND(Saldo_Residual_Activo!J202 * 'Resumen_Cartera'!$Q202, 2), "")</f>
        <v/>
      </c>
      <c r="L202" s="29">
        <f>IF(Saldo_Residual_Activo!K202&gt;0, ROUND(Saldo_Residual_Activo!K202 * 'Resumen_Cartera'!$Q202, 2), "")</f>
        <v/>
      </c>
      <c r="M202" s="29">
        <f>IF(Saldo_Residual_Activo!L202&gt;0, ROUND(Saldo_Residual_Activo!L202 * 'Resumen_Cartera'!$Q202, 2), "")</f>
        <v/>
      </c>
      <c r="N202" s="29">
        <f>IF(Saldo_Residual_Activo!M202&gt;0, ROUND(Saldo_Residual_Activo!M202 * 'Resumen_Cartera'!$Q202, 2), "")</f>
        <v/>
      </c>
      <c r="O202" s="29">
        <f>IF(Saldo_Residual_Activo!N202&gt;0, ROUND(Saldo_Residual_Activo!N202 * 'Resumen_Cartera'!$Q202, 2), "")</f>
        <v/>
      </c>
      <c r="P202" s="29">
        <f>IF(Saldo_Residual_Activo!O202&gt;0, ROUND(Saldo_Residual_Activo!O202 * 'Resumen_Cartera'!$Q202, 2), "")</f>
        <v/>
      </c>
      <c r="Q202" s="29">
        <f>IF(Saldo_Residual_Activo!P202&gt;0, ROUND(Saldo_Residual_Activo!P202 * 'Resumen_Cartera'!$Q202, 2), "")</f>
        <v/>
      </c>
      <c r="R202" s="29">
        <f>IF(Saldo_Residual_Activo!Q202&gt;0, ROUND(Saldo_Residual_Activo!Q202 * 'Resumen_Cartera'!$Q202, 2), "")</f>
        <v/>
      </c>
      <c r="S202" s="29">
        <f>IF(Saldo_Residual_Activo!R202&gt;0, ROUND(Saldo_Residual_Activo!R202 * 'Resumen_Cartera'!$Q202, 2), "")</f>
        <v/>
      </c>
      <c r="T202" s="29">
        <f>IF(Saldo_Residual_Activo!S202&gt;0, ROUND(Saldo_Residual_Activo!S202 * 'Resumen_Cartera'!$Q202, 2), "")</f>
        <v/>
      </c>
      <c r="U202" s="29">
        <f>SUM(I202:T202)</f>
        <v/>
      </c>
    </row>
    <row r="203">
      <c r="A203" s="20" t="inlineStr">
        <is>
          <t>0720-0001</t>
        </is>
      </c>
      <c r="B203" s="21" t="inlineStr">
        <is>
          <t>Forrajes Los 6 Hermanos S.P.R. DE R.L.</t>
        </is>
      </c>
      <c r="C203" s="21" t="inlineStr">
        <is>
          <t>Shark</t>
        </is>
      </c>
      <c r="D203" s="20" t="inlineStr">
        <is>
          <t>ACTIVO</t>
        </is>
      </c>
      <c r="E203" s="20" t="inlineStr">
        <is>
          <t>2025-10-01</t>
        </is>
      </c>
      <c r="F203" s="20" t="inlineStr">
        <is>
          <t>2028-10-01</t>
        </is>
      </c>
      <c r="G203" s="22" t="n">
        <v>36</v>
      </c>
      <c r="H203" s="23" t="n">
        <v>310337.93</v>
      </c>
      <c r="I203" s="23">
        <f>ROUND(112423.73 * 'Resumen_Cartera'!$Q203, 2)</f>
        <v/>
      </c>
      <c r="J203" s="23">
        <f>IF(Saldo_Residual_Activo!I203&gt;0, ROUND(Saldo_Residual_Activo!I203 * 'Resumen_Cartera'!$Q203, 2), "")</f>
        <v/>
      </c>
      <c r="K203" s="23">
        <f>IF(Saldo_Residual_Activo!J203&gt;0, ROUND(Saldo_Residual_Activo!J203 * 'Resumen_Cartera'!$Q203, 2), "")</f>
        <v/>
      </c>
      <c r="L203" s="23">
        <f>IF(Saldo_Residual_Activo!K203&gt;0, ROUND(Saldo_Residual_Activo!K203 * 'Resumen_Cartera'!$Q203, 2), "")</f>
        <v/>
      </c>
      <c r="M203" s="23">
        <f>IF(Saldo_Residual_Activo!L203&gt;0, ROUND(Saldo_Residual_Activo!L203 * 'Resumen_Cartera'!$Q203, 2), "")</f>
        <v/>
      </c>
      <c r="N203" s="23">
        <f>IF(Saldo_Residual_Activo!M203&gt;0, ROUND(Saldo_Residual_Activo!M203 * 'Resumen_Cartera'!$Q203, 2), "")</f>
        <v/>
      </c>
      <c r="O203" s="23">
        <f>IF(Saldo_Residual_Activo!N203&gt;0, ROUND(Saldo_Residual_Activo!N203 * 'Resumen_Cartera'!$Q203, 2), "")</f>
        <v/>
      </c>
      <c r="P203" s="23">
        <f>IF(Saldo_Residual_Activo!O203&gt;0, ROUND(Saldo_Residual_Activo!O203 * 'Resumen_Cartera'!$Q203, 2), "")</f>
        <v/>
      </c>
      <c r="Q203" s="23">
        <f>IF(Saldo_Residual_Activo!P203&gt;0, ROUND(Saldo_Residual_Activo!P203 * 'Resumen_Cartera'!$Q203, 2), "")</f>
        <v/>
      </c>
      <c r="R203" s="23">
        <f>IF(Saldo_Residual_Activo!Q203&gt;0, ROUND(Saldo_Residual_Activo!Q203 * 'Resumen_Cartera'!$Q203, 2), "")</f>
        <v/>
      </c>
      <c r="S203" s="23">
        <f>IF(Saldo_Residual_Activo!R203&gt;0, ROUND(Saldo_Residual_Activo!R203 * 'Resumen_Cartera'!$Q203, 2), "")</f>
        <v/>
      </c>
      <c r="T203" s="23">
        <f>IF(Saldo_Residual_Activo!S203&gt;0, ROUND(Saldo_Residual_Activo!S203 * 'Resumen_Cartera'!$Q203, 2), "")</f>
        <v/>
      </c>
      <c r="U203" s="23">
        <f>SUM(I203:T203)</f>
        <v/>
      </c>
    </row>
    <row r="204">
      <c r="A204" s="26" t="inlineStr">
        <is>
          <t>0721-0001</t>
        </is>
      </c>
      <c r="B204" s="27" t="inlineStr">
        <is>
          <t>Ricardo Ortiz Guzman</t>
        </is>
      </c>
      <c r="C204" s="27" t="inlineStr">
        <is>
          <t>Rifter</t>
        </is>
      </c>
      <c r="D204" s="26" t="inlineStr">
        <is>
          <t>ACTIVO</t>
        </is>
      </c>
      <c r="E204" s="26" t="inlineStr">
        <is>
          <t>2025-10-09</t>
        </is>
      </c>
      <c r="F204" s="26" t="inlineStr">
        <is>
          <t>2029-10-09</t>
        </is>
      </c>
      <c r="G204" s="28" t="n">
        <v>48</v>
      </c>
      <c r="H204" s="29" t="n">
        <v>42836.21</v>
      </c>
      <c r="I204" s="29">
        <f>ROUND(12953.27 * 'Resumen_Cartera'!$Q204, 2)</f>
        <v/>
      </c>
      <c r="J204" s="29">
        <f>IF(Saldo_Residual_Activo!I204&gt;0, ROUND(Saldo_Residual_Activo!I204 * 'Resumen_Cartera'!$Q204, 2), "")</f>
        <v/>
      </c>
      <c r="K204" s="29">
        <f>IF(Saldo_Residual_Activo!J204&gt;0, ROUND(Saldo_Residual_Activo!J204 * 'Resumen_Cartera'!$Q204, 2), "")</f>
        <v/>
      </c>
      <c r="L204" s="29">
        <f>IF(Saldo_Residual_Activo!K204&gt;0, ROUND(Saldo_Residual_Activo!K204 * 'Resumen_Cartera'!$Q204, 2), "")</f>
        <v/>
      </c>
      <c r="M204" s="29">
        <f>IF(Saldo_Residual_Activo!L204&gt;0, ROUND(Saldo_Residual_Activo!L204 * 'Resumen_Cartera'!$Q204, 2), "")</f>
        <v/>
      </c>
      <c r="N204" s="29">
        <f>IF(Saldo_Residual_Activo!M204&gt;0, ROUND(Saldo_Residual_Activo!M204 * 'Resumen_Cartera'!$Q204, 2), "")</f>
        <v/>
      </c>
      <c r="O204" s="29">
        <f>IF(Saldo_Residual_Activo!N204&gt;0, ROUND(Saldo_Residual_Activo!N204 * 'Resumen_Cartera'!$Q204, 2), "")</f>
        <v/>
      </c>
      <c r="P204" s="29">
        <f>IF(Saldo_Residual_Activo!O204&gt;0, ROUND(Saldo_Residual_Activo!O204 * 'Resumen_Cartera'!$Q204, 2), "")</f>
        <v/>
      </c>
      <c r="Q204" s="29">
        <f>IF(Saldo_Residual_Activo!P204&gt;0, ROUND(Saldo_Residual_Activo!P204 * 'Resumen_Cartera'!$Q204, 2), "")</f>
        <v/>
      </c>
      <c r="R204" s="29">
        <f>IF(Saldo_Residual_Activo!Q204&gt;0, ROUND(Saldo_Residual_Activo!Q204 * 'Resumen_Cartera'!$Q204, 2), "")</f>
        <v/>
      </c>
      <c r="S204" s="29">
        <f>IF(Saldo_Residual_Activo!R204&gt;0, ROUND(Saldo_Residual_Activo!R204 * 'Resumen_Cartera'!$Q204, 2), "")</f>
        <v/>
      </c>
      <c r="T204" s="29">
        <f>IF(Saldo_Residual_Activo!S204&gt;0, ROUND(Saldo_Residual_Activo!S204 * 'Resumen_Cartera'!$Q204, 2), "")</f>
        <v/>
      </c>
      <c r="U204" s="29">
        <f>SUM(I204:T204)</f>
        <v/>
      </c>
    </row>
    <row r="205">
      <c r="A205" s="20" t="inlineStr">
        <is>
          <t>0721-0002</t>
        </is>
      </c>
      <c r="B205" s="21" t="inlineStr">
        <is>
          <t>Ricardo Ortiz Guzman</t>
        </is>
      </c>
      <c r="C205" s="21" t="inlineStr">
        <is>
          <t>CX5</t>
        </is>
      </c>
      <c r="D205" s="20" t="inlineStr">
        <is>
          <t>ACTIVO</t>
        </is>
      </c>
      <c r="E205" s="20" t="inlineStr">
        <is>
          <t>2025-10-31</t>
        </is>
      </c>
      <c r="F205" s="20" t="inlineStr">
        <is>
          <t>2029-10-31</t>
        </is>
      </c>
      <c r="G205" s="22" t="n">
        <v>48</v>
      </c>
      <c r="H205" s="23" t="n">
        <v>52750</v>
      </c>
      <c r="I205" s="23">
        <f>ROUND(15957.77 * 'Resumen_Cartera'!$Q205, 2)</f>
        <v/>
      </c>
      <c r="J205" s="23">
        <f>IF(Saldo_Residual_Activo!I205&gt;0, ROUND(Saldo_Residual_Activo!I205 * 'Resumen_Cartera'!$Q205, 2), "")</f>
        <v/>
      </c>
      <c r="K205" s="23">
        <f>IF(Saldo_Residual_Activo!J205&gt;0, ROUND(Saldo_Residual_Activo!J205 * 'Resumen_Cartera'!$Q205, 2), "")</f>
        <v/>
      </c>
      <c r="L205" s="23">
        <f>IF(Saldo_Residual_Activo!K205&gt;0, ROUND(Saldo_Residual_Activo!K205 * 'Resumen_Cartera'!$Q205, 2), "")</f>
        <v/>
      </c>
      <c r="M205" s="23">
        <f>IF(Saldo_Residual_Activo!L205&gt;0, ROUND(Saldo_Residual_Activo!L205 * 'Resumen_Cartera'!$Q205, 2), "")</f>
        <v/>
      </c>
      <c r="N205" s="23">
        <f>IF(Saldo_Residual_Activo!M205&gt;0, ROUND(Saldo_Residual_Activo!M205 * 'Resumen_Cartera'!$Q205, 2), "")</f>
        <v/>
      </c>
      <c r="O205" s="23">
        <f>IF(Saldo_Residual_Activo!N205&gt;0, ROUND(Saldo_Residual_Activo!N205 * 'Resumen_Cartera'!$Q205, 2), "")</f>
        <v/>
      </c>
      <c r="P205" s="23">
        <f>IF(Saldo_Residual_Activo!O205&gt;0, ROUND(Saldo_Residual_Activo!O205 * 'Resumen_Cartera'!$Q205, 2), "")</f>
        <v/>
      </c>
      <c r="Q205" s="23">
        <f>IF(Saldo_Residual_Activo!P205&gt;0, ROUND(Saldo_Residual_Activo!P205 * 'Resumen_Cartera'!$Q205, 2), "")</f>
        <v/>
      </c>
      <c r="R205" s="23">
        <f>IF(Saldo_Residual_Activo!Q205&gt;0, ROUND(Saldo_Residual_Activo!Q205 * 'Resumen_Cartera'!$Q205, 2), "")</f>
        <v/>
      </c>
      <c r="S205" s="23">
        <f>IF(Saldo_Residual_Activo!R205&gt;0, ROUND(Saldo_Residual_Activo!R205 * 'Resumen_Cartera'!$Q205, 2), "")</f>
        <v/>
      </c>
      <c r="T205" s="23">
        <f>IF(Saldo_Residual_Activo!S205&gt;0, ROUND(Saldo_Residual_Activo!S205 * 'Resumen_Cartera'!$Q205, 2), "")</f>
        <v/>
      </c>
      <c r="U205" s="23">
        <f>SUM(I205:T205)</f>
        <v/>
      </c>
    </row>
    <row r="206">
      <c r="A206" s="26" t="inlineStr">
        <is>
          <t>0722-0001</t>
        </is>
      </c>
      <c r="B206" s="27" t="inlineStr">
        <is>
          <t>Tortas Ro S. DE R.L. DE C.V.</t>
        </is>
      </c>
      <c r="C206" s="27" t="inlineStr">
        <is>
          <t>Partner</t>
        </is>
      </c>
      <c r="D206" s="26" t="inlineStr">
        <is>
          <t>ACTIVO</t>
        </is>
      </c>
      <c r="E206" s="26" t="inlineStr">
        <is>
          <t>2025-10-13</t>
        </is>
      </c>
      <c r="F206" s="26" t="inlineStr">
        <is>
          <t>2027-10-13</t>
        </is>
      </c>
      <c r="G206" s="28" t="n">
        <v>24</v>
      </c>
      <c r="H206" s="29" t="n">
        <v>51706.9</v>
      </c>
      <c r="I206" s="29">
        <f>ROUND(30067.26 * 'Resumen_Cartera'!$Q206, 2)</f>
        <v/>
      </c>
      <c r="J206" s="29">
        <f>IF(Saldo_Residual_Activo!I206&gt;0, ROUND(Saldo_Residual_Activo!I206 * 'Resumen_Cartera'!$Q206, 2), "")</f>
        <v/>
      </c>
      <c r="K206" s="29">
        <f>IF(Saldo_Residual_Activo!J206&gt;0, ROUND(Saldo_Residual_Activo!J206 * 'Resumen_Cartera'!$Q206, 2), "")</f>
        <v/>
      </c>
      <c r="L206" s="29">
        <f>IF(Saldo_Residual_Activo!K206&gt;0, ROUND(Saldo_Residual_Activo!K206 * 'Resumen_Cartera'!$Q206, 2), "")</f>
        <v/>
      </c>
      <c r="M206" s="29">
        <f>IF(Saldo_Residual_Activo!L206&gt;0, ROUND(Saldo_Residual_Activo!L206 * 'Resumen_Cartera'!$Q206, 2), "")</f>
        <v/>
      </c>
      <c r="N206" s="29">
        <f>IF(Saldo_Residual_Activo!M206&gt;0, ROUND(Saldo_Residual_Activo!M206 * 'Resumen_Cartera'!$Q206, 2), "")</f>
        <v/>
      </c>
      <c r="O206" s="29">
        <f>IF(Saldo_Residual_Activo!N206&gt;0, ROUND(Saldo_Residual_Activo!N206 * 'Resumen_Cartera'!$Q206, 2), "")</f>
        <v/>
      </c>
      <c r="P206" s="29">
        <f>IF(Saldo_Residual_Activo!O206&gt;0, ROUND(Saldo_Residual_Activo!O206 * 'Resumen_Cartera'!$Q206, 2), "")</f>
        <v/>
      </c>
      <c r="Q206" s="29">
        <f>IF(Saldo_Residual_Activo!P206&gt;0, ROUND(Saldo_Residual_Activo!P206 * 'Resumen_Cartera'!$Q206, 2), "")</f>
        <v/>
      </c>
      <c r="R206" s="29">
        <f>IF(Saldo_Residual_Activo!Q206&gt;0, ROUND(Saldo_Residual_Activo!Q206 * 'Resumen_Cartera'!$Q206, 2), "")</f>
        <v/>
      </c>
      <c r="S206" s="29">
        <f>IF(Saldo_Residual_Activo!R206&gt;0, ROUND(Saldo_Residual_Activo!R206 * 'Resumen_Cartera'!$Q206, 2), "")</f>
        <v/>
      </c>
      <c r="T206" s="29">
        <f>IF(Saldo_Residual_Activo!S206&gt;0, ROUND(Saldo_Residual_Activo!S206 * 'Resumen_Cartera'!$Q206, 2), "")</f>
        <v/>
      </c>
      <c r="U206" s="29">
        <f>SUM(I206:T206)</f>
        <v/>
      </c>
    </row>
    <row r="207">
      <c r="A207" s="20" t="inlineStr">
        <is>
          <t>0723-0001</t>
        </is>
      </c>
      <c r="B207" s="21" t="inlineStr">
        <is>
          <t>Sandra Inez Velazquez Altamirano</t>
        </is>
      </c>
      <c r="C207" s="21" t="inlineStr">
        <is>
          <t>Sierra Denali</t>
        </is>
      </c>
      <c r="D207" s="20" t="inlineStr">
        <is>
          <t>ACTIVO</t>
        </is>
      </c>
      <c r="E207" s="20" t="inlineStr">
        <is>
          <t>2025-10-17</t>
        </is>
      </c>
      <c r="F207" s="20" t="inlineStr">
        <is>
          <t>2028-10-17</t>
        </is>
      </c>
      <c r="G207" s="22" t="n">
        <v>36</v>
      </c>
      <c r="H207" s="23" t="n">
        <v>310241.38</v>
      </c>
      <c r="I207" s="23">
        <f>ROUND(130125.89 * 'Resumen_Cartera'!$Q207, 2)</f>
        <v/>
      </c>
      <c r="J207" s="23">
        <f>IF(Saldo_Residual_Activo!I207&gt;0, ROUND(Saldo_Residual_Activo!I207 * 'Resumen_Cartera'!$Q207, 2), "")</f>
        <v/>
      </c>
      <c r="K207" s="23">
        <f>IF(Saldo_Residual_Activo!J207&gt;0, ROUND(Saldo_Residual_Activo!J207 * 'Resumen_Cartera'!$Q207, 2), "")</f>
        <v/>
      </c>
      <c r="L207" s="23">
        <f>IF(Saldo_Residual_Activo!K207&gt;0, ROUND(Saldo_Residual_Activo!K207 * 'Resumen_Cartera'!$Q207, 2), "")</f>
        <v/>
      </c>
      <c r="M207" s="23">
        <f>IF(Saldo_Residual_Activo!L207&gt;0, ROUND(Saldo_Residual_Activo!L207 * 'Resumen_Cartera'!$Q207, 2), "")</f>
        <v/>
      </c>
      <c r="N207" s="23">
        <f>IF(Saldo_Residual_Activo!M207&gt;0, ROUND(Saldo_Residual_Activo!M207 * 'Resumen_Cartera'!$Q207, 2), "")</f>
        <v/>
      </c>
      <c r="O207" s="23">
        <f>IF(Saldo_Residual_Activo!N207&gt;0, ROUND(Saldo_Residual_Activo!N207 * 'Resumen_Cartera'!$Q207, 2), "")</f>
        <v/>
      </c>
      <c r="P207" s="23">
        <f>IF(Saldo_Residual_Activo!O207&gt;0, ROUND(Saldo_Residual_Activo!O207 * 'Resumen_Cartera'!$Q207, 2), "")</f>
        <v/>
      </c>
      <c r="Q207" s="23">
        <f>IF(Saldo_Residual_Activo!P207&gt;0, ROUND(Saldo_Residual_Activo!P207 * 'Resumen_Cartera'!$Q207, 2), "")</f>
        <v/>
      </c>
      <c r="R207" s="23">
        <f>IF(Saldo_Residual_Activo!Q207&gt;0, ROUND(Saldo_Residual_Activo!Q207 * 'Resumen_Cartera'!$Q207, 2), "")</f>
        <v/>
      </c>
      <c r="S207" s="23">
        <f>IF(Saldo_Residual_Activo!R207&gt;0, ROUND(Saldo_Residual_Activo!R207 * 'Resumen_Cartera'!$Q207, 2), "")</f>
        <v/>
      </c>
      <c r="T207" s="23">
        <f>IF(Saldo_Residual_Activo!S207&gt;0, ROUND(Saldo_Residual_Activo!S207 * 'Resumen_Cartera'!$Q207, 2), "")</f>
        <v/>
      </c>
      <c r="U207" s="23">
        <f>SUM(I207:T207)</f>
        <v/>
      </c>
    </row>
    <row r="208">
      <c r="A208" s="26" t="inlineStr">
        <is>
          <t>0724-0001</t>
        </is>
      </c>
      <c r="B208" s="27" t="inlineStr">
        <is>
          <t>Victor Merced Brizuela Aguilar</t>
        </is>
      </c>
      <c r="C208" s="27" t="inlineStr">
        <is>
          <t>Tiggo 7 Plus</t>
        </is>
      </c>
      <c r="D208" s="26" t="inlineStr">
        <is>
          <t>ACTIVO</t>
        </is>
      </c>
      <c r="E208" s="26" t="inlineStr">
        <is>
          <t>2025-10-23</t>
        </is>
      </c>
      <c r="F208" s="26" t="inlineStr">
        <is>
          <t>2029-10-23</t>
        </is>
      </c>
      <c r="G208" s="28" t="n">
        <v>48</v>
      </c>
      <c r="H208" s="29" t="n">
        <v>43094.83</v>
      </c>
      <c r="I208" s="29">
        <f>ROUND(13031.49 * 'Resumen_Cartera'!$Q208, 2)</f>
        <v/>
      </c>
      <c r="J208" s="29">
        <f>IF(Saldo_Residual_Activo!I208&gt;0, ROUND(Saldo_Residual_Activo!I208 * 'Resumen_Cartera'!$Q208, 2), "")</f>
        <v/>
      </c>
      <c r="K208" s="29">
        <f>IF(Saldo_Residual_Activo!J208&gt;0, ROUND(Saldo_Residual_Activo!J208 * 'Resumen_Cartera'!$Q208, 2), "")</f>
        <v/>
      </c>
      <c r="L208" s="29">
        <f>IF(Saldo_Residual_Activo!K208&gt;0, ROUND(Saldo_Residual_Activo!K208 * 'Resumen_Cartera'!$Q208, 2), "")</f>
        <v/>
      </c>
      <c r="M208" s="29">
        <f>IF(Saldo_Residual_Activo!L208&gt;0, ROUND(Saldo_Residual_Activo!L208 * 'Resumen_Cartera'!$Q208, 2), "")</f>
        <v/>
      </c>
      <c r="N208" s="29">
        <f>IF(Saldo_Residual_Activo!M208&gt;0, ROUND(Saldo_Residual_Activo!M208 * 'Resumen_Cartera'!$Q208, 2), "")</f>
        <v/>
      </c>
      <c r="O208" s="29">
        <f>IF(Saldo_Residual_Activo!N208&gt;0, ROUND(Saldo_Residual_Activo!N208 * 'Resumen_Cartera'!$Q208, 2), "")</f>
        <v/>
      </c>
      <c r="P208" s="29">
        <f>IF(Saldo_Residual_Activo!O208&gt;0, ROUND(Saldo_Residual_Activo!O208 * 'Resumen_Cartera'!$Q208, 2), "")</f>
        <v/>
      </c>
      <c r="Q208" s="29">
        <f>IF(Saldo_Residual_Activo!P208&gt;0, ROUND(Saldo_Residual_Activo!P208 * 'Resumen_Cartera'!$Q208, 2), "")</f>
        <v/>
      </c>
      <c r="R208" s="29">
        <f>IF(Saldo_Residual_Activo!Q208&gt;0, ROUND(Saldo_Residual_Activo!Q208 * 'Resumen_Cartera'!$Q208, 2), "")</f>
        <v/>
      </c>
      <c r="S208" s="29">
        <f>IF(Saldo_Residual_Activo!R208&gt;0, ROUND(Saldo_Residual_Activo!R208 * 'Resumen_Cartera'!$Q208, 2), "")</f>
        <v/>
      </c>
      <c r="T208" s="29">
        <f>IF(Saldo_Residual_Activo!S208&gt;0, ROUND(Saldo_Residual_Activo!S208 * 'Resumen_Cartera'!$Q208, 2), "")</f>
        <v/>
      </c>
      <c r="U208" s="29">
        <f>SUM(I208:T208)</f>
        <v/>
      </c>
    </row>
    <row r="209">
      <c r="A209" s="20" t="inlineStr">
        <is>
          <t>0725-0001</t>
        </is>
      </c>
      <c r="B209" s="21" t="inlineStr">
        <is>
          <t>Octavio Cortes Flores</t>
        </is>
      </c>
      <c r="C209" s="21" t="inlineStr">
        <is>
          <t>Rifter Allure</t>
        </is>
      </c>
      <c r="D209" s="20" t="inlineStr">
        <is>
          <t>ACTIVO</t>
        </is>
      </c>
      <c r="E209" s="20" t="inlineStr">
        <is>
          <t>2025-10-29</t>
        </is>
      </c>
      <c r="F209" s="20" t="inlineStr">
        <is>
          <t>2028-10-29</t>
        </is>
      </c>
      <c r="G209" s="22" t="n">
        <v>36</v>
      </c>
      <c r="H209" s="23" t="n">
        <v>40508.62</v>
      </c>
      <c r="I209" s="23">
        <f>ROUND(17059.1 * 'Resumen_Cartera'!$Q209, 2)</f>
        <v/>
      </c>
      <c r="J209" s="23">
        <f>IF(Saldo_Residual_Activo!I209&gt;0, ROUND(Saldo_Residual_Activo!I209 * 'Resumen_Cartera'!$Q209, 2), "")</f>
        <v/>
      </c>
      <c r="K209" s="23">
        <f>IF(Saldo_Residual_Activo!J209&gt;0, ROUND(Saldo_Residual_Activo!J209 * 'Resumen_Cartera'!$Q209, 2), "")</f>
        <v/>
      </c>
      <c r="L209" s="23">
        <f>IF(Saldo_Residual_Activo!K209&gt;0, ROUND(Saldo_Residual_Activo!K209 * 'Resumen_Cartera'!$Q209, 2), "")</f>
        <v/>
      </c>
      <c r="M209" s="23">
        <f>IF(Saldo_Residual_Activo!L209&gt;0, ROUND(Saldo_Residual_Activo!L209 * 'Resumen_Cartera'!$Q209, 2), "")</f>
        <v/>
      </c>
      <c r="N209" s="23">
        <f>IF(Saldo_Residual_Activo!M209&gt;0, ROUND(Saldo_Residual_Activo!M209 * 'Resumen_Cartera'!$Q209, 2), "")</f>
        <v/>
      </c>
      <c r="O209" s="23">
        <f>IF(Saldo_Residual_Activo!N209&gt;0, ROUND(Saldo_Residual_Activo!N209 * 'Resumen_Cartera'!$Q209, 2), "")</f>
        <v/>
      </c>
      <c r="P209" s="23">
        <f>IF(Saldo_Residual_Activo!O209&gt;0, ROUND(Saldo_Residual_Activo!O209 * 'Resumen_Cartera'!$Q209, 2), "")</f>
        <v/>
      </c>
      <c r="Q209" s="23">
        <f>IF(Saldo_Residual_Activo!P209&gt;0, ROUND(Saldo_Residual_Activo!P209 * 'Resumen_Cartera'!$Q209, 2), "")</f>
        <v/>
      </c>
      <c r="R209" s="23">
        <f>IF(Saldo_Residual_Activo!Q209&gt;0, ROUND(Saldo_Residual_Activo!Q209 * 'Resumen_Cartera'!$Q209, 2), "")</f>
        <v/>
      </c>
      <c r="S209" s="23">
        <f>IF(Saldo_Residual_Activo!R209&gt;0, ROUND(Saldo_Residual_Activo!R209 * 'Resumen_Cartera'!$Q209, 2), "")</f>
        <v/>
      </c>
      <c r="T209" s="23">
        <f>IF(Saldo_Residual_Activo!S209&gt;0, ROUND(Saldo_Residual_Activo!S209 * 'Resumen_Cartera'!$Q209, 2), "")</f>
        <v/>
      </c>
      <c r="U209" s="23">
        <f>SUM(I209:T209)</f>
        <v/>
      </c>
    </row>
    <row r="210">
      <c r="A210" s="26" t="inlineStr">
        <is>
          <t>0726-0001</t>
        </is>
      </c>
      <c r="B210" s="27" t="inlineStr">
        <is>
          <t>Martha Viviana Anguiano Gonzalez</t>
        </is>
      </c>
      <c r="C210" s="27" t="inlineStr">
        <is>
          <t>JT Mojave</t>
        </is>
      </c>
      <c r="D210" s="26" t="inlineStr">
        <is>
          <t>ACTIVO</t>
        </is>
      </c>
      <c r="E210" s="26" t="inlineStr">
        <is>
          <t>2025-10-29</t>
        </is>
      </c>
      <c r="F210" s="26" t="inlineStr">
        <is>
          <t>2029-10-29</t>
        </is>
      </c>
      <c r="G210" s="28" t="n">
        <v>48</v>
      </c>
      <c r="H210" s="29" t="n">
        <v>130594.83</v>
      </c>
      <c r="I210" s="29">
        <f>ROUND(39490.67 * 'Resumen_Cartera'!$Q210, 2)</f>
        <v/>
      </c>
      <c r="J210" s="29">
        <f>IF(Saldo_Residual_Activo!I210&gt;0, ROUND(Saldo_Residual_Activo!I210 * 'Resumen_Cartera'!$Q210, 2), "")</f>
        <v/>
      </c>
      <c r="K210" s="29">
        <f>IF(Saldo_Residual_Activo!J210&gt;0, ROUND(Saldo_Residual_Activo!J210 * 'Resumen_Cartera'!$Q210, 2), "")</f>
        <v/>
      </c>
      <c r="L210" s="29">
        <f>IF(Saldo_Residual_Activo!K210&gt;0, ROUND(Saldo_Residual_Activo!K210 * 'Resumen_Cartera'!$Q210, 2), "")</f>
        <v/>
      </c>
      <c r="M210" s="29">
        <f>IF(Saldo_Residual_Activo!L210&gt;0, ROUND(Saldo_Residual_Activo!L210 * 'Resumen_Cartera'!$Q210, 2), "")</f>
        <v/>
      </c>
      <c r="N210" s="29">
        <f>IF(Saldo_Residual_Activo!M210&gt;0, ROUND(Saldo_Residual_Activo!M210 * 'Resumen_Cartera'!$Q210, 2), "")</f>
        <v/>
      </c>
      <c r="O210" s="29">
        <f>IF(Saldo_Residual_Activo!N210&gt;0, ROUND(Saldo_Residual_Activo!N210 * 'Resumen_Cartera'!$Q210, 2), "")</f>
        <v/>
      </c>
      <c r="P210" s="29">
        <f>IF(Saldo_Residual_Activo!O210&gt;0, ROUND(Saldo_Residual_Activo!O210 * 'Resumen_Cartera'!$Q210, 2), "")</f>
        <v/>
      </c>
      <c r="Q210" s="29">
        <f>IF(Saldo_Residual_Activo!P210&gt;0, ROUND(Saldo_Residual_Activo!P210 * 'Resumen_Cartera'!$Q210, 2), "")</f>
        <v/>
      </c>
      <c r="R210" s="29">
        <f>IF(Saldo_Residual_Activo!Q210&gt;0, ROUND(Saldo_Residual_Activo!Q210 * 'Resumen_Cartera'!$Q210, 2), "")</f>
        <v/>
      </c>
      <c r="S210" s="29">
        <f>IF(Saldo_Residual_Activo!R210&gt;0, ROUND(Saldo_Residual_Activo!R210 * 'Resumen_Cartera'!$Q210, 2), "")</f>
        <v/>
      </c>
      <c r="T210" s="29">
        <f>IF(Saldo_Residual_Activo!S210&gt;0, ROUND(Saldo_Residual_Activo!S210 * 'Resumen_Cartera'!$Q210, 2), "")</f>
        <v/>
      </c>
      <c r="U210" s="29">
        <f>SUM(I210:T210)</f>
        <v/>
      </c>
    </row>
    <row r="211">
      <c r="A211" s="20" t="inlineStr">
        <is>
          <t>0727-0001</t>
        </is>
      </c>
      <c r="B211" s="21" t="inlineStr">
        <is>
          <t>Edgar Adrian Sainz Vazquez</t>
        </is>
      </c>
      <c r="C211" s="21" t="inlineStr">
        <is>
          <t>1200 Laramie</t>
        </is>
      </c>
      <c r="D211" s="20" t="inlineStr">
        <is>
          <t>ACTIVO</t>
        </is>
      </c>
      <c r="E211" s="20" t="inlineStr">
        <is>
          <t>2025-10-31</t>
        </is>
      </c>
      <c r="F211" s="20" t="inlineStr">
        <is>
          <t>2029-10-31</t>
        </is>
      </c>
      <c r="G211" s="22" t="n">
        <v>48</v>
      </c>
      <c r="H211" s="23" t="n">
        <v>56456.9</v>
      </c>
      <c r="I211" s="23">
        <f>ROUND(17117.34 * 'Resumen_Cartera'!$Q211, 2)</f>
        <v/>
      </c>
      <c r="J211" s="23">
        <f>IF(Saldo_Residual_Activo!I211&gt;0, ROUND(Saldo_Residual_Activo!I211 * 'Resumen_Cartera'!$Q211, 2), "")</f>
        <v/>
      </c>
      <c r="K211" s="23">
        <f>IF(Saldo_Residual_Activo!J211&gt;0, ROUND(Saldo_Residual_Activo!J211 * 'Resumen_Cartera'!$Q211, 2), "")</f>
        <v/>
      </c>
      <c r="L211" s="23">
        <f>IF(Saldo_Residual_Activo!K211&gt;0, ROUND(Saldo_Residual_Activo!K211 * 'Resumen_Cartera'!$Q211, 2), "")</f>
        <v/>
      </c>
      <c r="M211" s="23">
        <f>IF(Saldo_Residual_Activo!L211&gt;0, ROUND(Saldo_Residual_Activo!L211 * 'Resumen_Cartera'!$Q211, 2), "")</f>
        <v/>
      </c>
      <c r="N211" s="23">
        <f>IF(Saldo_Residual_Activo!M211&gt;0, ROUND(Saldo_Residual_Activo!M211 * 'Resumen_Cartera'!$Q211, 2), "")</f>
        <v/>
      </c>
      <c r="O211" s="23">
        <f>IF(Saldo_Residual_Activo!N211&gt;0, ROUND(Saldo_Residual_Activo!N211 * 'Resumen_Cartera'!$Q211, 2), "")</f>
        <v/>
      </c>
      <c r="P211" s="23">
        <f>IF(Saldo_Residual_Activo!O211&gt;0, ROUND(Saldo_Residual_Activo!O211 * 'Resumen_Cartera'!$Q211, 2), "")</f>
        <v/>
      </c>
      <c r="Q211" s="23">
        <f>IF(Saldo_Residual_Activo!P211&gt;0, ROUND(Saldo_Residual_Activo!P211 * 'Resumen_Cartera'!$Q211, 2), "")</f>
        <v/>
      </c>
      <c r="R211" s="23">
        <f>IF(Saldo_Residual_Activo!Q211&gt;0, ROUND(Saldo_Residual_Activo!Q211 * 'Resumen_Cartera'!$Q211, 2), "")</f>
        <v/>
      </c>
      <c r="S211" s="23">
        <f>IF(Saldo_Residual_Activo!R211&gt;0, ROUND(Saldo_Residual_Activo!R211 * 'Resumen_Cartera'!$Q211, 2), "")</f>
        <v/>
      </c>
      <c r="T211" s="23">
        <f>IF(Saldo_Residual_Activo!S211&gt;0, ROUND(Saldo_Residual_Activo!S211 * 'Resumen_Cartera'!$Q211, 2), "")</f>
        <v/>
      </c>
      <c r="U211" s="23">
        <f>SUM(I211:T211)</f>
        <v/>
      </c>
    </row>
    <row r="212">
      <c r="A212" s="26" t="inlineStr">
        <is>
          <t>0728-0001</t>
        </is>
      </c>
      <c r="B212" s="27" t="inlineStr">
        <is>
          <t>Arrendadora Tequila, S.A. de C.V.</t>
        </is>
      </c>
      <c r="C212" s="27" t="inlineStr">
        <is>
          <t>JEEP 392</t>
        </is>
      </c>
      <c r="D212" s="26" t="inlineStr">
        <is>
          <t>ACTIVO</t>
        </is>
      </c>
      <c r="E212" s="26" t="inlineStr">
        <is>
          <t>2025-11-03</t>
        </is>
      </c>
      <c r="F212" s="26" t="inlineStr">
        <is>
          <t>2028-11-03</t>
        </is>
      </c>
      <c r="G212" s="28" t="n">
        <v>36</v>
      </c>
      <c r="H212" s="29" t="n">
        <v>186801.72</v>
      </c>
      <c r="I212" s="29">
        <f>ROUND(76593.97 * 'Resumen_Cartera'!$Q212, 2)</f>
        <v/>
      </c>
      <c r="J212" s="29">
        <f>IF(Saldo_Residual_Activo!I212&gt;0, ROUND(Saldo_Residual_Activo!I212 * 'Resumen_Cartera'!$Q212, 2), "")</f>
        <v/>
      </c>
      <c r="K212" s="29">
        <f>IF(Saldo_Residual_Activo!J212&gt;0, ROUND(Saldo_Residual_Activo!J212 * 'Resumen_Cartera'!$Q212, 2), "")</f>
        <v/>
      </c>
      <c r="L212" s="29">
        <f>IF(Saldo_Residual_Activo!K212&gt;0, ROUND(Saldo_Residual_Activo!K212 * 'Resumen_Cartera'!$Q212, 2), "")</f>
        <v/>
      </c>
      <c r="M212" s="29">
        <f>IF(Saldo_Residual_Activo!L212&gt;0, ROUND(Saldo_Residual_Activo!L212 * 'Resumen_Cartera'!$Q212, 2), "")</f>
        <v/>
      </c>
      <c r="N212" s="29">
        <f>IF(Saldo_Residual_Activo!M212&gt;0, ROUND(Saldo_Residual_Activo!M212 * 'Resumen_Cartera'!$Q212, 2), "")</f>
        <v/>
      </c>
      <c r="O212" s="29">
        <f>IF(Saldo_Residual_Activo!N212&gt;0, ROUND(Saldo_Residual_Activo!N212 * 'Resumen_Cartera'!$Q212, 2), "")</f>
        <v/>
      </c>
      <c r="P212" s="29">
        <f>IF(Saldo_Residual_Activo!O212&gt;0, ROUND(Saldo_Residual_Activo!O212 * 'Resumen_Cartera'!$Q212, 2), "")</f>
        <v/>
      </c>
      <c r="Q212" s="29">
        <f>IF(Saldo_Residual_Activo!P212&gt;0, ROUND(Saldo_Residual_Activo!P212 * 'Resumen_Cartera'!$Q212, 2), "")</f>
        <v/>
      </c>
      <c r="R212" s="29">
        <f>IF(Saldo_Residual_Activo!Q212&gt;0, ROUND(Saldo_Residual_Activo!Q212 * 'Resumen_Cartera'!$Q212, 2), "")</f>
        <v/>
      </c>
      <c r="S212" s="29">
        <f>IF(Saldo_Residual_Activo!R212&gt;0, ROUND(Saldo_Residual_Activo!R212 * 'Resumen_Cartera'!$Q212, 2), "")</f>
        <v/>
      </c>
      <c r="T212" s="29">
        <f>IF(Saldo_Residual_Activo!S212&gt;0, ROUND(Saldo_Residual_Activo!S212 * 'Resumen_Cartera'!$Q212, 2), "")</f>
        <v/>
      </c>
      <c r="U212" s="29">
        <f>SUM(I212:T212)</f>
        <v/>
      </c>
    </row>
    <row r="213">
      <c r="A213" s="20" t="inlineStr">
        <is>
          <t>0729-0001</t>
        </is>
      </c>
      <c r="B213" s="21" t="inlineStr">
        <is>
          <t>Rubén Bravo Hernández</t>
        </is>
      </c>
      <c r="C213" s="21" t="inlineStr">
        <is>
          <t>Mamut T32 DC</t>
        </is>
      </c>
      <c r="D213" s="20" t="inlineStr">
        <is>
          <t>ACTIVO</t>
        </is>
      </c>
      <c r="E213" s="20" t="inlineStr">
        <is>
          <t>2025-11-11</t>
        </is>
      </c>
      <c r="F213" s="20" t="inlineStr">
        <is>
          <t>2028-11-11</t>
        </is>
      </c>
      <c r="G213" s="22" t="n">
        <v>36</v>
      </c>
      <c r="H213" s="23" t="n">
        <v>67217.24000000001</v>
      </c>
      <c r="I213" s="23">
        <f>ROUND(27442.26 * 'Resumen_Cartera'!$Q213, 2)</f>
        <v/>
      </c>
      <c r="J213" s="23">
        <f>IF(Saldo_Residual_Activo!I213&gt;0, ROUND(Saldo_Residual_Activo!I213 * 'Resumen_Cartera'!$Q213, 2), "")</f>
        <v/>
      </c>
      <c r="K213" s="23">
        <f>IF(Saldo_Residual_Activo!J213&gt;0, ROUND(Saldo_Residual_Activo!J213 * 'Resumen_Cartera'!$Q213, 2), "")</f>
        <v/>
      </c>
      <c r="L213" s="23">
        <f>IF(Saldo_Residual_Activo!K213&gt;0, ROUND(Saldo_Residual_Activo!K213 * 'Resumen_Cartera'!$Q213, 2), "")</f>
        <v/>
      </c>
      <c r="M213" s="23">
        <f>IF(Saldo_Residual_Activo!L213&gt;0, ROUND(Saldo_Residual_Activo!L213 * 'Resumen_Cartera'!$Q213, 2), "")</f>
        <v/>
      </c>
      <c r="N213" s="23">
        <f>IF(Saldo_Residual_Activo!M213&gt;0, ROUND(Saldo_Residual_Activo!M213 * 'Resumen_Cartera'!$Q213, 2), "")</f>
        <v/>
      </c>
      <c r="O213" s="23">
        <f>IF(Saldo_Residual_Activo!N213&gt;0, ROUND(Saldo_Residual_Activo!N213 * 'Resumen_Cartera'!$Q213, 2), "")</f>
        <v/>
      </c>
      <c r="P213" s="23">
        <f>IF(Saldo_Residual_Activo!O213&gt;0, ROUND(Saldo_Residual_Activo!O213 * 'Resumen_Cartera'!$Q213, 2), "")</f>
        <v/>
      </c>
      <c r="Q213" s="23">
        <f>IF(Saldo_Residual_Activo!P213&gt;0, ROUND(Saldo_Residual_Activo!P213 * 'Resumen_Cartera'!$Q213, 2), "")</f>
        <v/>
      </c>
      <c r="R213" s="23">
        <f>IF(Saldo_Residual_Activo!Q213&gt;0, ROUND(Saldo_Residual_Activo!Q213 * 'Resumen_Cartera'!$Q213, 2), "")</f>
        <v/>
      </c>
      <c r="S213" s="23">
        <f>IF(Saldo_Residual_Activo!R213&gt;0, ROUND(Saldo_Residual_Activo!R213 * 'Resumen_Cartera'!$Q213, 2), "")</f>
        <v/>
      </c>
      <c r="T213" s="23">
        <f>IF(Saldo_Residual_Activo!S213&gt;0, ROUND(Saldo_Residual_Activo!S213 * 'Resumen_Cartera'!$Q213, 2), "")</f>
        <v/>
      </c>
      <c r="U213" s="23">
        <f>SUM(I213:T213)</f>
        <v/>
      </c>
    </row>
    <row r="214">
      <c r="A214" s="26" t="inlineStr">
        <is>
          <t>0730-0001</t>
        </is>
      </c>
      <c r="B214" s="27" t="inlineStr">
        <is>
          <t>Karen Manrique Amaya</t>
        </is>
      </c>
      <c r="C214" s="27" t="inlineStr">
        <is>
          <t>Wrangler</t>
        </is>
      </c>
      <c r="D214" s="26" t="inlineStr">
        <is>
          <t>ACTIVO</t>
        </is>
      </c>
      <c r="E214" s="26" t="inlineStr">
        <is>
          <t>2025-11-24</t>
        </is>
      </c>
      <c r="F214" s="26" t="inlineStr">
        <is>
          <t>2028-11-24</t>
        </is>
      </c>
      <c r="G214" s="28" t="n">
        <v>36</v>
      </c>
      <c r="H214" s="29" t="n">
        <v>221017.24</v>
      </c>
      <c r="I214" s="29">
        <f>ROUND(82511.22 * 'Resumen_Cartera'!$Q214, 2)</f>
        <v/>
      </c>
      <c r="J214" s="29">
        <f>IF(Saldo_Residual_Activo!I214&gt;0, ROUND(Saldo_Residual_Activo!I214 * 'Resumen_Cartera'!$Q214, 2), "")</f>
        <v/>
      </c>
      <c r="K214" s="29">
        <f>IF(Saldo_Residual_Activo!J214&gt;0, ROUND(Saldo_Residual_Activo!J214 * 'Resumen_Cartera'!$Q214, 2), "")</f>
        <v/>
      </c>
      <c r="L214" s="29">
        <f>IF(Saldo_Residual_Activo!K214&gt;0, ROUND(Saldo_Residual_Activo!K214 * 'Resumen_Cartera'!$Q214, 2), "")</f>
        <v/>
      </c>
      <c r="M214" s="29">
        <f>IF(Saldo_Residual_Activo!L214&gt;0, ROUND(Saldo_Residual_Activo!L214 * 'Resumen_Cartera'!$Q214, 2), "")</f>
        <v/>
      </c>
      <c r="N214" s="29">
        <f>IF(Saldo_Residual_Activo!M214&gt;0, ROUND(Saldo_Residual_Activo!M214 * 'Resumen_Cartera'!$Q214, 2), "")</f>
        <v/>
      </c>
      <c r="O214" s="29">
        <f>IF(Saldo_Residual_Activo!N214&gt;0, ROUND(Saldo_Residual_Activo!N214 * 'Resumen_Cartera'!$Q214, 2), "")</f>
        <v/>
      </c>
      <c r="P214" s="29">
        <f>IF(Saldo_Residual_Activo!O214&gt;0, ROUND(Saldo_Residual_Activo!O214 * 'Resumen_Cartera'!$Q214, 2), "")</f>
        <v/>
      </c>
      <c r="Q214" s="29">
        <f>IF(Saldo_Residual_Activo!P214&gt;0, ROUND(Saldo_Residual_Activo!P214 * 'Resumen_Cartera'!$Q214, 2), "")</f>
        <v/>
      </c>
      <c r="R214" s="29">
        <f>IF(Saldo_Residual_Activo!Q214&gt;0, ROUND(Saldo_Residual_Activo!Q214 * 'Resumen_Cartera'!$Q214, 2), "")</f>
        <v/>
      </c>
      <c r="S214" s="29">
        <f>IF(Saldo_Residual_Activo!R214&gt;0, ROUND(Saldo_Residual_Activo!R214 * 'Resumen_Cartera'!$Q214, 2), "")</f>
        <v/>
      </c>
      <c r="T214" s="29">
        <f>IF(Saldo_Residual_Activo!S214&gt;0, ROUND(Saldo_Residual_Activo!S214 * 'Resumen_Cartera'!$Q214, 2), "")</f>
        <v/>
      </c>
      <c r="U214" s="29">
        <f>SUM(I214:T214)</f>
        <v/>
      </c>
    </row>
    <row r="215">
      <c r="A215" s="20" t="inlineStr">
        <is>
          <t>0731-0001</t>
        </is>
      </c>
      <c r="B215" s="21" t="inlineStr">
        <is>
          <t>Tesselar Soluciones, S.A. de C.V.</t>
        </is>
      </c>
      <c r="C215" s="21" t="inlineStr">
        <is>
          <t>Song Plus</t>
        </is>
      </c>
      <c r="D215" s="20" t="inlineStr">
        <is>
          <t>ACTIVO</t>
        </is>
      </c>
      <c r="E215" s="20" t="inlineStr">
        <is>
          <t>2025-11-20</t>
        </is>
      </c>
      <c r="F215" s="20" t="inlineStr">
        <is>
          <t>2028-11-20</t>
        </is>
      </c>
      <c r="G215" s="22" t="n">
        <v>36</v>
      </c>
      <c r="H215" s="23" t="n">
        <v>256794.83</v>
      </c>
      <c r="I215" s="23">
        <f>ROUND(118460.46 * 'Resumen_Cartera'!$Q215, 2)</f>
        <v/>
      </c>
      <c r="J215" s="23">
        <f>IF(Saldo_Residual_Activo!I215&gt;0, ROUND(Saldo_Residual_Activo!I215 * 'Resumen_Cartera'!$Q215, 2), "")</f>
        <v/>
      </c>
      <c r="K215" s="23">
        <f>IF(Saldo_Residual_Activo!J215&gt;0, ROUND(Saldo_Residual_Activo!J215 * 'Resumen_Cartera'!$Q215, 2), "")</f>
        <v/>
      </c>
      <c r="L215" s="23">
        <f>IF(Saldo_Residual_Activo!K215&gt;0, ROUND(Saldo_Residual_Activo!K215 * 'Resumen_Cartera'!$Q215, 2), "")</f>
        <v/>
      </c>
      <c r="M215" s="23">
        <f>IF(Saldo_Residual_Activo!L215&gt;0, ROUND(Saldo_Residual_Activo!L215 * 'Resumen_Cartera'!$Q215, 2), "")</f>
        <v/>
      </c>
      <c r="N215" s="23">
        <f>IF(Saldo_Residual_Activo!M215&gt;0, ROUND(Saldo_Residual_Activo!M215 * 'Resumen_Cartera'!$Q215, 2), "")</f>
        <v/>
      </c>
      <c r="O215" s="23">
        <f>IF(Saldo_Residual_Activo!N215&gt;0, ROUND(Saldo_Residual_Activo!N215 * 'Resumen_Cartera'!$Q215, 2), "")</f>
        <v/>
      </c>
      <c r="P215" s="23">
        <f>IF(Saldo_Residual_Activo!O215&gt;0, ROUND(Saldo_Residual_Activo!O215 * 'Resumen_Cartera'!$Q215, 2), "")</f>
        <v/>
      </c>
      <c r="Q215" s="23">
        <f>IF(Saldo_Residual_Activo!P215&gt;0, ROUND(Saldo_Residual_Activo!P215 * 'Resumen_Cartera'!$Q215, 2), "")</f>
        <v/>
      </c>
      <c r="R215" s="23">
        <f>IF(Saldo_Residual_Activo!Q215&gt;0, ROUND(Saldo_Residual_Activo!Q215 * 'Resumen_Cartera'!$Q215, 2), "")</f>
        <v/>
      </c>
      <c r="S215" s="23">
        <f>IF(Saldo_Residual_Activo!R215&gt;0, ROUND(Saldo_Residual_Activo!R215 * 'Resumen_Cartera'!$Q215, 2), "")</f>
        <v/>
      </c>
      <c r="T215" s="23">
        <f>IF(Saldo_Residual_Activo!S215&gt;0, ROUND(Saldo_Residual_Activo!S215 * 'Resumen_Cartera'!$Q215, 2), "")</f>
        <v/>
      </c>
      <c r="U215" s="23">
        <f>SUM(I215:T215)</f>
        <v/>
      </c>
    </row>
    <row r="216">
      <c r="A216" s="26" t="inlineStr">
        <is>
          <t>0731-0002</t>
        </is>
      </c>
      <c r="B216" s="27" t="inlineStr">
        <is>
          <t>Tesselar Soluciones, S.A. de C.V.</t>
        </is>
      </c>
      <c r="C216" s="27" t="inlineStr">
        <is>
          <t>Arona Style</t>
        </is>
      </c>
      <c r="D216" s="26" t="inlineStr">
        <is>
          <t>ACTIVO</t>
        </is>
      </c>
      <c r="E216" s="26" t="inlineStr">
        <is>
          <t>2025-12-26</t>
        </is>
      </c>
      <c r="F216" s="26" t="inlineStr">
        <is>
          <t>2029-12-26</t>
        </is>
      </c>
      <c r="G216" s="28" t="n">
        <v>48</v>
      </c>
      <c r="H216" s="29" t="n">
        <v>119992.24</v>
      </c>
      <c r="I216" s="29">
        <f>ROUND(40810.26 * 'Resumen_Cartera'!$Q216, 2)</f>
        <v/>
      </c>
      <c r="J216" s="29">
        <f>IF(Saldo_Residual_Activo!I216&gt;0, ROUND(Saldo_Residual_Activo!I216 * 'Resumen_Cartera'!$Q216, 2), "")</f>
        <v/>
      </c>
      <c r="K216" s="29">
        <f>IF(Saldo_Residual_Activo!J216&gt;0, ROUND(Saldo_Residual_Activo!J216 * 'Resumen_Cartera'!$Q216, 2), "")</f>
        <v/>
      </c>
      <c r="L216" s="29">
        <f>IF(Saldo_Residual_Activo!K216&gt;0, ROUND(Saldo_Residual_Activo!K216 * 'Resumen_Cartera'!$Q216, 2), "")</f>
        <v/>
      </c>
      <c r="M216" s="29">
        <f>IF(Saldo_Residual_Activo!L216&gt;0, ROUND(Saldo_Residual_Activo!L216 * 'Resumen_Cartera'!$Q216, 2), "")</f>
        <v/>
      </c>
      <c r="N216" s="29">
        <f>IF(Saldo_Residual_Activo!M216&gt;0, ROUND(Saldo_Residual_Activo!M216 * 'Resumen_Cartera'!$Q216, 2), "")</f>
        <v/>
      </c>
      <c r="O216" s="29">
        <f>IF(Saldo_Residual_Activo!N216&gt;0, ROUND(Saldo_Residual_Activo!N216 * 'Resumen_Cartera'!$Q216, 2), "")</f>
        <v/>
      </c>
      <c r="P216" s="29">
        <f>IF(Saldo_Residual_Activo!O216&gt;0, ROUND(Saldo_Residual_Activo!O216 * 'Resumen_Cartera'!$Q216, 2), "")</f>
        <v/>
      </c>
      <c r="Q216" s="29">
        <f>IF(Saldo_Residual_Activo!P216&gt;0, ROUND(Saldo_Residual_Activo!P216 * 'Resumen_Cartera'!$Q216, 2), "")</f>
        <v/>
      </c>
      <c r="R216" s="29">
        <f>IF(Saldo_Residual_Activo!Q216&gt;0, ROUND(Saldo_Residual_Activo!Q216 * 'Resumen_Cartera'!$Q216, 2), "")</f>
        <v/>
      </c>
      <c r="S216" s="29">
        <f>IF(Saldo_Residual_Activo!R216&gt;0, ROUND(Saldo_Residual_Activo!R216 * 'Resumen_Cartera'!$Q216, 2), "")</f>
        <v/>
      </c>
      <c r="T216" s="29">
        <f>IF(Saldo_Residual_Activo!S216&gt;0, ROUND(Saldo_Residual_Activo!S216 * 'Resumen_Cartera'!$Q216, 2), "")</f>
        <v/>
      </c>
      <c r="U216" s="29">
        <f>SUM(I216:T216)</f>
        <v/>
      </c>
    </row>
    <row r="217">
      <c r="A217" s="20" t="inlineStr">
        <is>
          <t>0732-0001</t>
        </is>
      </c>
      <c r="B217" s="21" t="inlineStr">
        <is>
          <t>Koonol Food Traders, S.A. de C.V.</t>
        </is>
      </c>
      <c r="C217" s="21" t="inlineStr">
        <is>
          <t>K4 Turbo</t>
        </is>
      </c>
      <c r="D217" s="20" t="inlineStr">
        <is>
          <t>ACTIVO</t>
        </is>
      </c>
      <c r="E217" s="20" t="inlineStr">
        <is>
          <t>2025-11-26</t>
        </is>
      </c>
      <c r="F217" s="20" t="inlineStr">
        <is>
          <t>2028-11-26</t>
        </is>
      </c>
      <c r="G217" s="22" t="n">
        <v>36</v>
      </c>
      <c r="H217" s="23" t="n">
        <v>174064.66</v>
      </c>
      <c r="I217" s="23">
        <f>ROUND(70633.33 * 'Resumen_Cartera'!$Q217, 2)</f>
        <v/>
      </c>
      <c r="J217" s="23">
        <f>IF(Saldo_Residual_Activo!I217&gt;0, ROUND(Saldo_Residual_Activo!I217 * 'Resumen_Cartera'!$Q217, 2), "")</f>
        <v/>
      </c>
      <c r="K217" s="23">
        <f>IF(Saldo_Residual_Activo!J217&gt;0, ROUND(Saldo_Residual_Activo!J217 * 'Resumen_Cartera'!$Q217, 2), "")</f>
        <v/>
      </c>
      <c r="L217" s="23">
        <f>IF(Saldo_Residual_Activo!K217&gt;0, ROUND(Saldo_Residual_Activo!K217 * 'Resumen_Cartera'!$Q217, 2), "")</f>
        <v/>
      </c>
      <c r="M217" s="23">
        <f>IF(Saldo_Residual_Activo!L217&gt;0, ROUND(Saldo_Residual_Activo!L217 * 'Resumen_Cartera'!$Q217, 2), "")</f>
        <v/>
      </c>
      <c r="N217" s="23">
        <f>IF(Saldo_Residual_Activo!M217&gt;0, ROUND(Saldo_Residual_Activo!M217 * 'Resumen_Cartera'!$Q217, 2), "")</f>
        <v/>
      </c>
      <c r="O217" s="23">
        <f>IF(Saldo_Residual_Activo!N217&gt;0, ROUND(Saldo_Residual_Activo!N217 * 'Resumen_Cartera'!$Q217, 2), "")</f>
        <v/>
      </c>
      <c r="P217" s="23">
        <f>IF(Saldo_Residual_Activo!O217&gt;0, ROUND(Saldo_Residual_Activo!O217 * 'Resumen_Cartera'!$Q217, 2), "")</f>
        <v/>
      </c>
      <c r="Q217" s="23">
        <f>IF(Saldo_Residual_Activo!P217&gt;0, ROUND(Saldo_Residual_Activo!P217 * 'Resumen_Cartera'!$Q217, 2), "")</f>
        <v/>
      </c>
      <c r="R217" s="23">
        <f>IF(Saldo_Residual_Activo!Q217&gt;0, ROUND(Saldo_Residual_Activo!Q217 * 'Resumen_Cartera'!$Q217, 2), "")</f>
        <v/>
      </c>
      <c r="S217" s="23">
        <f>IF(Saldo_Residual_Activo!R217&gt;0, ROUND(Saldo_Residual_Activo!R217 * 'Resumen_Cartera'!$Q217, 2), "")</f>
        <v/>
      </c>
      <c r="T217" s="23">
        <f>IF(Saldo_Residual_Activo!S217&gt;0, ROUND(Saldo_Residual_Activo!S217 * 'Resumen_Cartera'!$Q217, 2), "")</f>
        <v/>
      </c>
      <c r="U217" s="23">
        <f>SUM(I217:T217)</f>
        <v/>
      </c>
    </row>
    <row r="218">
      <c r="A218" s="26" t="inlineStr">
        <is>
          <t>0733-0001</t>
        </is>
      </c>
      <c r="B218" s="27" t="inlineStr">
        <is>
          <t>Alejandro Arias Maldonado</t>
        </is>
      </c>
      <c r="C218" s="27" t="inlineStr">
        <is>
          <t>Wrangler</t>
        </is>
      </c>
      <c r="D218" s="26" t="inlineStr">
        <is>
          <t>ACTIVO</t>
        </is>
      </c>
      <c r="E218" s="26" t="inlineStr">
        <is>
          <t>2025-11-28</t>
        </is>
      </c>
      <c r="F218" s="26" t="inlineStr">
        <is>
          <t>2029-11-28</t>
        </is>
      </c>
      <c r="G218" s="28" t="n">
        <v>48</v>
      </c>
      <c r="H218" s="29" t="n">
        <v>105250</v>
      </c>
      <c r="I218" s="29">
        <f>ROUND(30991.87 * 'Resumen_Cartera'!$Q218, 2)</f>
        <v/>
      </c>
      <c r="J218" s="29">
        <f>IF(Saldo_Residual_Activo!I218&gt;0, ROUND(Saldo_Residual_Activo!I218 * 'Resumen_Cartera'!$Q218, 2), "")</f>
        <v/>
      </c>
      <c r="K218" s="29">
        <f>IF(Saldo_Residual_Activo!J218&gt;0, ROUND(Saldo_Residual_Activo!J218 * 'Resumen_Cartera'!$Q218, 2), "")</f>
        <v/>
      </c>
      <c r="L218" s="29">
        <f>IF(Saldo_Residual_Activo!K218&gt;0, ROUND(Saldo_Residual_Activo!K218 * 'Resumen_Cartera'!$Q218, 2), "")</f>
        <v/>
      </c>
      <c r="M218" s="29">
        <f>IF(Saldo_Residual_Activo!L218&gt;0, ROUND(Saldo_Residual_Activo!L218 * 'Resumen_Cartera'!$Q218, 2), "")</f>
        <v/>
      </c>
      <c r="N218" s="29">
        <f>IF(Saldo_Residual_Activo!M218&gt;0, ROUND(Saldo_Residual_Activo!M218 * 'Resumen_Cartera'!$Q218, 2), "")</f>
        <v/>
      </c>
      <c r="O218" s="29">
        <f>IF(Saldo_Residual_Activo!N218&gt;0, ROUND(Saldo_Residual_Activo!N218 * 'Resumen_Cartera'!$Q218, 2), "")</f>
        <v/>
      </c>
      <c r="P218" s="29">
        <f>IF(Saldo_Residual_Activo!O218&gt;0, ROUND(Saldo_Residual_Activo!O218 * 'Resumen_Cartera'!$Q218, 2), "")</f>
        <v/>
      </c>
      <c r="Q218" s="29">
        <f>IF(Saldo_Residual_Activo!P218&gt;0, ROUND(Saldo_Residual_Activo!P218 * 'Resumen_Cartera'!$Q218, 2), "")</f>
        <v/>
      </c>
      <c r="R218" s="29">
        <f>IF(Saldo_Residual_Activo!Q218&gt;0, ROUND(Saldo_Residual_Activo!Q218 * 'Resumen_Cartera'!$Q218, 2), "")</f>
        <v/>
      </c>
      <c r="S218" s="29">
        <f>IF(Saldo_Residual_Activo!R218&gt;0, ROUND(Saldo_Residual_Activo!R218 * 'Resumen_Cartera'!$Q218, 2), "")</f>
        <v/>
      </c>
      <c r="T218" s="29">
        <f>IF(Saldo_Residual_Activo!S218&gt;0, ROUND(Saldo_Residual_Activo!S218 * 'Resumen_Cartera'!$Q218, 2), "")</f>
        <v/>
      </c>
      <c r="U218" s="29">
        <f>SUM(I218:T218)</f>
        <v/>
      </c>
    </row>
    <row r="219">
      <c r="A219" s="20" t="inlineStr">
        <is>
          <t>0734-0001</t>
        </is>
      </c>
      <c r="B219" s="21" t="inlineStr">
        <is>
          <t>Nutrientes Agricolas de Colima, S. de R.L. de C.V.</t>
        </is>
      </c>
      <c r="C219" s="21" t="inlineStr">
        <is>
          <t>1200 TRADESMAN RC</t>
        </is>
      </c>
      <c r="D219" s="20" t="inlineStr">
        <is>
          <t>ACTIVO</t>
        </is>
      </c>
      <c r="E219" s="20" t="inlineStr">
        <is>
          <t>2026-01-06</t>
        </is>
      </c>
      <c r="F219" s="20" t="inlineStr">
        <is>
          <t>2029-01-06</t>
        </is>
      </c>
      <c r="G219" s="22" t="n">
        <v>36</v>
      </c>
      <c r="H219" s="23" t="n">
        <v>39215.52</v>
      </c>
      <c r="I219" s="23">
        <f>ROUND('Resumen_Cartera'!$U219 * 'Resumen_Cartera'!$Q219, 2)</f>
        <v/>
      </c>
      <c r="J219" s="23">
        <f>IF(Saldo_Residual_Activo!I219&gt;0, ROUND(Saldo_Residual_Activo!I219 * 'Resumen_Cartera'!$Q219, 2), "")</f>
        <v/>
      </c>
      <c r="K219" s="23">
        <f>IF(Saldo_Residual_Activo!J219&gt;0, ROUND(Saldo_Residual_Activo!J219 * 'Resumen_Cartera'!$Q219, 2), "")</f>
        <v/>
      </c>
      <c r="L219" s="23">
        <f>IF(Saldo_Residual_Activo!K219&gt;0, ROUND(Saldo_Residual_Activo!K219 * 'Resumen_Cartera'!$Q219, 2), "")</f>
        <v/>
      </c>
      <c r="M219" s="23">
        <f>IF(Saldo_Residual_Activo!L219&gt;0, ROUND(Saldo_Residual_Activo!L219 * 'Resumen_Cartera'!$Q219, 2), "")</f>
        <v/>
      </c>
      <c r="N219" s="23">
        <f>IF(Saldo_Residual_Activo!M219&gt;0, ROUND(Saldo_Residual_Activo!M219 * 'Resumen_Cartera'!$Q219, 2), "")</f>
        <v/>
      </c>
      <c r="O219" s="23">
        <f>IF(Saldo_Residual_Activo!N219&gt;0, ROUND(Saldo_Residual_Activo!N219 * 'Resumen_Cartera'!$Q219, 2), "")</f>
        <v/>
      </c>
      <c r="P219" s="23">
        <f>IF(Saldo_Residual_Activo!O219&gt;0, ROUND(Saldo_Residual_Activo!O219 * 'Resumen_Cartera'!$Q219, 2), "")</f>
        <v/>
      </c>
      <c r="Q219" s="23">
        <f>IF(Saldo_Residual_Activo!P219&gt;0, ROUND(Saldo_Residual_Activo!P219 * 'Resumen_Cartera'!$Q219, 2), "")</f>
        <v/>
      </c>
      <c r="R219" s="23">
        <f>IF(Saldo_Residual_Activo!Q219&gt;0, ROUND(Saldo_Residual_Activo!Q219 * 'Resumen_Cartera'!$Q219, 2), "")</f>
        <v/>
      </c>
      <c r="S219" s="23">
        <f>IF(Saldo_Residual_Activo!R219&gt;0, ROUND(Saldo_Residual_Activo!R219 * 'Resumen_Cartera'!$Q219, 2), "")</f>
        <v/>
      </c>
      <c r="T219" s="23">
        <f>IF(Saldo_Residual_Activo!S219&gt;0, ROUND(Saldo_Residual_Activo!S219 * 'Resumen_Cartera'!$Q219, 2), "")</f>
        <v/>
      </c>
      <c r="U219" s="23">
        <f>SUM(I219:T219)</f>
        <v/>
      </c>
    </row>
    <row r="220">
      <c r="A220" s="26" t="inlineStr">
        <is>
          <t>0734-0002</t>
        </is>
      </c>
      <c r="B220" s="27" t="inlineStr">
        <is>
          <t>Nutrientes Agricolas de Colima, S. de R.L. de C.V.</t>
        </is>
      </c>
      <c r="C220" s="27" t="inlineStr">
        <is>
          <t>1200 TRADESMAN CHASIS CABINA</t>
        </is>
      </c>
      <c r="D220" s="26" t="inlineStr">
        <is>
          <t>ACTIVO</t>
        </is>
      </c>
      <c r="E220" s="26" t="inlineStr">
        <is>
          <t>2026-01-12</t>
        </is>
      </c>
      <c r="F220" s="26" t="inlineStr">
        <is>
          <t>2029-01-12</t>
        </is>
      </c>
      <c r="G220" s="28" t="n">
        <v>36</v>
      </c>
      <c r="H220" s="29" t="n">
        <v>84868.97</v>
      </c>
      <c r="I220" s="29">
        <f>ROUND('Resumen_Cartera'!$U220 * 'Resumen_Cartera'!$Q220, 2)</f>
        <v/>
      </c>
      <c r="J220" s="29">
        <f>IF(Saldo_Residual_Activo!I220&gt;0, ROUND(Saldo_Residual_Activo!I220 * 'Resumen_Cartera'!$Q220, 2), "")</f>
        <v/>
      </c>
      <c r="K220" s="29">
        <f>IF(Saldo_Residual_Activo!J220&gt;0, ROUND(Saldo_Residual_Activo!J220 * 'Resumen_Cartera'!$Q220, 2), "")</f>
        <v/>
      </c>
      <c r="L220" s="29">
        <f>IF(Saldo_Residual_Activo!K220&gt;0, ROUND(Saldo_Residual_Activo!K220 * 'Resumen_Cartera'!$Q220, 2), "")</f>
        <v/>
      </c>
      <c r="M220" s="29">
        <f>IF(Saldo_Residual_Activo!L220&gt;0, ROUND(Saldo_Residual_Activo!L220 * 'Resumen_Cartera'!$Q220, 2), "")</f>
        <v/>
      </c>
      <c r="N220" s="29">
        <f>IF(Saldo_Residual_Activo!M220&gt;0, ROUND(Saldo_Residual_Activo!M220 * 'Resumen_Cartera'!$Q220, 2), "")</f>
        <v/>
      </c>
      <c r="O220" s="29">
        <f>IF(Saldo_Residual_Activo!N220&gt;0, ROUND(Saldo_Residual_Activo!N220 * 'Resumen_Cartera'!$Q220, 2), "")</f>
        <v/>
      </c>
      <c r="P220" s="29">
        <f>IF(Saldo_Residual_Activo!O220&gt;0, ROUND(Saldo_Residual_Activo!O220 * 'Resumen_Cartera'!$Q220, 2), "")</f>
        <v/>
      </c>
      <c r="Q220" s="29">
        <f>IF(Saldo_Residual_Activo!P220&gt;0, ROUND(Saldo_Residual_Activo!P220 * 'Resumen_Cartera'!$Q220, 2), "")</f>
        <v/>
      </c>
      <c r="R220" s="29">
        <f>IF(Saldo_Residual_Activo!Q220&gt;0, ROUND(Saldo_Residual_Activo!Q220 * 'Resumen_Cartera'!$Q220, 2), "")</f>
        <v/>
      </c>
      <c r="S220" s="29">
        <f>IF(Saldo_Residual_Activo!R220&gt;0, ROUND(Saldo_Residual_Activo!R220 * 'Resumen_Cartera'!$Q220, 2), "")</f>
        <v/>
      </c>
      <c r="T220" s="29">
        <f>IF(Saldo_Residual_Activo!S220&gt;0, ROUND(Saldo_Residual_Activo!S220 * 'Resumen_Cartera'!$Q220, 2), "")</f>
        <v/>
      </c>
      <c r="U220" s="29">
        <f>SUM(I220:T220)</f>
        <v/>
      </c>
    </row>
    <row r="221">
      <c r="A221" s="20" t="inlineStr">
        <is>
          <t>0735-0001</t>
        </is>
      </c>
      <c r="B221" s="21" t="inlineStr">
        <is>
          <t>Francisco Zepeda Covarrubias</t>
        </is>
      </c>
      <c r="C221" s="21" t="inlineStr">
        <is>
          <t>Territory Trend 1.5L Hibrido</t>
        </is>
      </c>
      <c r="D221" s="20" t="inlineStr">
        <is>
          <t>ACTIVO</t>
        </is>
      </c>
      <c r="E221" s="20" t="inlineStr">
        <is>
          <t>2025-12-04</t>
        </is>
      </c>
      <c r="F221" s="20" t="inlineStr">
        <is>
          <t>2028-12-04</t>
        </is>
      </c>
      <c r="G221" s="22" t="n">
        <v>36</v>
      </c>
      <c r="H221" s="23" t="n">
        <v>60336.21</v>
      </c>
      <c r="I221" s="23">
        <f>ROUND(24070.33 * 'Resumen_Cartera'!$Q221, 2)</f>
        <v/>
      </c>
      <c r="J221" s="23">
        <f>IF(Saldo_Residual_Activo!I221&gt;0, ROUND(Saldo_Residual_Activo!I221 * 'Resumen_Cartera'!$Q221, 2), "")</f>
        <v/>
      </c>
      <c r="K221" s="23">
        <f>IF(Saldo_Residual_Activo!J221&gt;0, ROUND(Saldo_Residual_Activo!J221 * 'Resumen_Cartera'!$Q221, 2), "")</f>
        <v/>
      </c>
      <c r="L221" s="23">
        <f>IF(Saldo_Residual_Activo!K221&gt;0, ROUND(Saldo_Residual_Activo!K221 * 'Resumen_Cartera'!$Q221, 2), "")</f>
        <v/>
      </c>
      <c r="M221" s="23">
        <f>IF(Saldo_Residual_Activo!L221&gt;0, ROUND(Saldo_Residual_Activo!L221 * 'Resumen_Cartera'!$Q221, 2), "")</f>
        <v/>
      </c>
      <c r="N221" s="23">
        <f>IF(Saldo_Residual_Activo!M221&gt;0, ROUND(Saldo_Residual_Activo!M221 * 'Resumen_Cartera'!$Q221, 2), "")</f>
        <v/>
      </c>
      <c r="O221" s="23">
        <f>IF(Saldo_Residual_Activo!N221&gt;0, ROUND(Saldo_Residual_Activo!N221 * 'Resumen_Cartera'!$Q221, 2), "")</f>
        <v/>
      </c>
      <c r="P221" s="23">
        <f>IF(Saldo_Residual_Activo!O221&gt;0, ROUND(Saldo_Residual_Activo!O221 * 'Resumen_Cartera'!$Q221, 2), "")</f>
        <v/>
      </c>
      <c r="Q221" s="23">
        <f>IF(Saldo_Residual_Activo!P221&gt;0, ROUND(Saldo_Residual_Activo!P221 * 'Resumen_Cartera'!$Q221, 2), "")</f>
        <v/>
      </c>
      <c r="R221" s="23">
        <f>IF(Saldo_Residual_Activo!Q221&gt;0, ROUND(Saldo_Residual_Activo!Q221 * 'Resumen_Cartera'!$Q221, 2), "")</f>
        <v/>
      </c>
      <c r="S221" s="23">
        <f>IF(Saldo_Residual_Activo!R221&gt;0, ROUND(Saldo_Residual_Activo!R221 * 'Resumen_Cartera'!$Q221, 2), "")</f>
        <v/>
      </c>
      <c r="T221" s="23">
        <f>IF(Saldo_Residual_Activo!S221&gt;0, ROUND(Saldo_Residual_Activo!S221 * 'Resumen_Cartera'!$Q221, 2), "")</f>
        <v/>
      </c>
      <c r="U221" s="23">
        <f>SUM(I221:T221)</f>
        <v/>
      </c>
    </row>
    <row r="222">
      <c r="A222" s="26" t="inlineStr">
        <is>
          <t>0736-0001</t>
        </is>
      </c>
      <c r="B222" s="27" t="inlineStr">
        <is>
          <t>Industrial Castillo de Tequila S.A. de C.V.</t>
        </is>
      </c>
      <c r="C222" s="27" t="inlineStr">
        <is>
          <t>700 TRADESMAN CREW CAB</t>
        </is>
      </c>
      <c r="D222" s="26" t="inlineStr">
        <is>
          <t>ACTIVO</t>
        </is>
      </c>
      <c r="E222" s="26" t="inlineStr">
        <is>
          <t>2025-12-11</t>
        </is>
      </c>
      <c r="F222" s="26" t="inlineStr">
        <is>
          <t>2029-12-11</t>
        </is>
      </c>
      <c r="G222" s="28" t="n">
        <v>48</v>
      </c>
      <c r="H222" s="29" t="n">
        <v>30304.14</v>
      </c>
      <c r="I222" s="29">
        <f>ROUND(6652.76 * 'Resumen_Cartera'!$Q222, 2)</f>
        <v/>
      </c>
      <c r="J222" s="29">
        <f>IF(Saldo_Residual_Activo!I222&gt;0, ROUND(Saldo_Residual_Activo!I222 * 'Resumen_Cartera'!$Q222, 2), "")</f>
        <v/>
      </c>
      <c r="K222" s="29">
        <f>IF(Saldo_Residual_Activo!J222&gt;0, ROUND(Saldo_Residual_Activo!J222 * 'Resumen_Cartera'!$Q222, 2), "")</f>
        <v/>
      </c>
      <c r="L222" s="29">
        <f>IF(Saldo_Residual_Activo!K222&gt;0, ROUND(Saldo_Residual_Activo!K222 * 'Resumen_Cartera'!$Q222, 2), "")</f>
        <v/>
      </c>
      <c r="M222" s="29">
        <f>IF(Saldo_Residual_Activo!L222&gt;0, ROUND(Saldo_Residual_Activo!L222 * 'Resumen_Cartera'!$Q222, 2), "")</f>
        <v/>
      </c>
      <c r="N222" s="29">
        <f>IF(Saldo_Residual_Activo!M222&gt;0, ROUND(Saldo_Residual_Activo!M222 * 'Resumen_Cartera'!$Q222, 2), "")</f>
        <v/>
      </c>
      <c r="O222" s="29">
        <f>IF(Saldo_Residual_Activo!N222&gt;0, ROUND(Saldo_Residual_Activo!N222 * 'Resumen_Cartera'!$Q222, 2), "")</f>
        <v/>
      </c>
      <c r="P222" s="29">
        <f>IF(Saldo_Residual_Activo!O222&gt;0, ROUND(Saldo_Residual_Activo!O222 * 'Resumen_Cartera'!$Q222, 2), "")</f>
        <v/>
      </c>
      <c r="Q222" s="29">
        <f>IF(Saldo_Residual_Activo!P222&gt;0, ROUND(Saldo_Residual_Activo!P222 * 'Resumen_Cartera'!$Q222, 2), "")</f>
        <v/>
      </c>
      <c r="R222" s="29">
        <f>IF(Saldo_Residual_Activo!Q222&gt;0, ROUND(Saldo_Residual_Activo!Q222 * 'Resumen_Cartera'!$Q222, 2), "")</f>
        <v/>
      </c>
      <c r="S222" s="29">
        <f>IF(Saldo_Residual_Activo!R222&gt;0, ROUND(Saldo_Residual_Activo!R222 * 'Resumen_Cartera'!$Q222, 2), "")</f>
        <v/>
      </c>
      <c r="T222" s="29">
        <f>IF(Saldo_Residual_Activo!S222&gt;0, ROUND(Saldo_Residual_Activo!S222 * 'Resumen_Cartera'!$Q222, 2), "")</f>
        <v/>
      </c>
      <c r="U222" s="29">
        <f>SUM(I222:T222)</f>
        <v/>
      </c>
    </row>
    <row r="223">
      <c r="A223" s="20" t="inlineStr">
        <is>
          <t>0737-0001</t>
        </is>
      </c>
      <c r="B223" s="21" t="inlineStr">
        <is>
          <t>Nicola Briani</t>
        </is>
      </c>
      <c r="C223" s="21" t="inlineStr">
        <is>
          <t>T1 Savage</t>
        </is>
      </c>
      <c r="D223" s="20" t="inlineStr">
        <is>
          <t>ACTIVO</t>
        </is>
      </c>
      <c r="E223" s="20" t="inlineStr">
        <is>
          <t>2025-12-12</t>
        </is>
      </c>
      <c r="F223" s="20" t="inlineStr">
        <is>
          <t>2029-12-12</t>
        </is>
      </c>
      <c r="G223" s="22" t="n">
        <v>48</v>
      </c>
      <c r="H223" s="23" t="n">
        <v>56025.86</v>
      </c>
      <c r="I223" s="23">
        <f>ROUND(16064.65 * 'Resumen_Cartera'!$Q223, 2)</f>
        <v/>
      </c>
      <c r="J223" s="23">
        <f>IF(Saldo_Residual_Activo!I223&gt;0, ROUND(Saldo_Residual_Activo!I223 * 'Resumen_Cartera'!$Q223, 2), "")</f>
        <v/>
      </c>
      <c r="K223" s="23">
        <f>IF(Saldo_Residual_Activo!J223&gt;0, ROUND(Saldo_Residual_Activo!J223 * 'Resumen_Cartera'!$Q223, 2), "")</f>
        <v/>
      </c>
      <c r="L223" s="23">
        <f>IF(Saldo_Residual_Activo!K223&gt;0, ROUND(Saldo_Residual_Activo!K223 * 'Resumen_Cartera'!$Q223, 2), "")</f>
        <v/>
      </c>
      <c r="M223" s="23">
        <f>IF(Saldo_Residual_Activo!L223&gt;0, ROUND(Saldo_Residual_Activo!L223 * 'Resumen_Cartera'!$Q223, 2), "")</f>
        <v/>
      </c>
      <c r="N223" s="23">
        <f>IF(Saldo_Residual_Activo!M223&gt;0, ROUND(Saldo_Residual_Activo!M223 * 'Resumen_Cartera'!$Q223, 2), "")</f>
        <v/>
      </c>
      <c r="O223" s="23">
        <f>IF(Saldo_Residual_Activo!N223&gt;0, ROUND(Saldo_Residual_Activo!N223 * 'Resumen_Cartera'!$Q223, 2), "")</f>
        <v/>
      </c>
      <c r="P223" s="23">
        <f>IF(Saldo_Residual_Activo!O223&gt;0, ROUND(Saldo_Residual_Activo!O223 * 'Resumen_Cartera'!$Q223, 2), "")</f>
        <v/>
      </c>
      <c r="Q223" s="23">
        <f>IF(Saldo_Residual_Activo!P223&gt;0, ROUND(Saldo_Residual_Activo!P223 * 'Resumen_Cartera'!$Q223, 2), "")</f>
        <v/>
      </c>
      <c r="R223" s="23">
        <f>IF(Saldo_Residual_Activo!Q223&gt;0, ROUND(Saldo_Residual_Activo!Q223 * 'Resumen_Cartera'!$Q223, 2), "")</f>
        <v/>
      </c>
      <c r="S223" s="23">
        <f>IF(Saldo_Residual_Activo!R223&gt;0, ROUND(Saldo_Residual_Activo!R223 * 'Resumen_Cartera'!$Q223, 2), "")</f>
        <v/>
      </c>
      <c r="T223" s="23">
        <f>IF(Saldo_Residual_Activo!S223&gt;0, ROUND(Saldo_Residual_Activo!S223 * 'Resumen_Cartera'!$Q223, 2), "")</f>
        <v/>
      </c>
      <c r="U223" s="23">
        <f>SUM(I223:T223)</f>
        <v/>
      </c>
    </row>
    <row r="224">
      <c r="A224" s="26" t="inlineStr">
        <is>
          <t>0738-0001</t>
        </is>
      </c>
      <c r="B224" s="27" t="inlineStr">
        <is>
          <t>Vinaria Distribución S.A.S.</t>
        </is>
      </c>
      <c r="C224" s="27" t="inlineStr">
        <is>
          <t>700 BIGHORN "S" CREW CAB CVT</t>
        </is>
      </c>
      <c r="D224" s="26" t="inlineStr">
        <is>
          <t>ACTIVO</t>
        </is>
      </c>
      <c r="E224" s="26" t="inlineStr">
        <is>
          <t>2025-12-24</t>
        </is>
      </c>
      <c r="F224" s="26" t="inlineStr">
        <is>
          <t>2028-12-24</t>
        </is>
      </c>
      <c r="G224" s="28" t="n">
        <v>36</v>
      </c>
      <c r="H224" s="29" t="n">
        <v>37146.55</v>
      </c>
      <c r="I224" s="29">
        <f>ROUND(14840.04 * 'Resumen_Cartera'!$Q224, 2)</f>
        <v/>
      </c>
      <c r="J224" s="29">
        <f>IF(Saldo_Residual_Activo!I224&gt;0, ROUND(Saldo_Residual_Activo!I224 * 'Resumen_Cartera'!$Q224, 2), "")</f>
        <v/>
      </c>
      <c r="K224" s="29">
        <f>IF(Saldo_Residual_Activo!J224&gt;0, ROUND(Saldo_Residual_Activo!J224 * 'Resumen_Cartera'!$Q224, 2), "")</f>
        <v/>
      </c>
      <c r="L224" s="29">
        <f>IF(Saldo_Residual_Activo!K224&gt;0, ROUND(Saldo_Residual_Activo!K224 * 'Resumen_Cartera'!$Q224, 2), "")</f>
        <v/>
      </c>
      <c r="M224" s="29">
        <f>IF(Saldo_Residual_Activo!L224&gt;0, ROUND(Saldo_Residual_Activo!L224 * 'Resumen_Cartera'!$Q224, 2), "")</f>
        <v/>
      </c>
      <c r="N224" s="29">
        <f>IF(Saldo_Residual_Activo!M224&gt;0, ROUND(Saldo_Residual_Activo!M224 * 'Resumen_Cartera'!$Q224, 2), "")</f>
        <v/>
      </c>
      <c r="O224" s="29">
        <f>IF(Saldo_Residual_Activo!N224&gt;0, ROUND(Saldo_Residual_Activo!N224 * 'Resumen_Cartera'!$Q224, 2), "")</f>
        <v/>
      </c>
      <c r="P224" s="29">
        <f>IF(Saldo_Residual_Activo!O224&gt;0, ROUND(Saldo_Residual_Activo!O224 * 'Resumen_Cartera'!$Q224, 2), "")</f>
        <v/>
      </c>
      <c r="Q224" s="29">
        <f>IF(Saldo_Residual_Activo!P224&gt;0, ROUND(Saldo_Residual_Activo!P224 * 'Resumen_Cartera'!$Q224, 2), "")</f>
        <v/>
      </c>
      <c r="R224" s="29">
        <f>IF(Saldo_Residual_Activo!Q224&gt;0, ROUND(Saldo_Residual_Activo!Q224 * 'Resumen_Cartera'!$Q224, 2), "")</f>
        <v/>
      </c>
      <c r="S224" s="29">
        <f>IF(Saldo_Residual_Activo!R224&gt;0, ROUND(Saldo_Residual_Activo!R224 * 'Resumen_Cartera'!$Q224, 2), "")</f>
        <v/>
      </c>
      <c r="T224" s="29">
        <f>IF(Saldo_Residual_Activo!S224&gt;0, ROUND(Saldo_Residual_Activo!S224 * 'Resumen_Cartera'!$Q224, 2), "")</f>
        <v/>
      </c>
      <c r="U224" s="29">
        <f>SUM(I224:T224)</f>
        <v/>
      </c>
    </row>
    <row r="225">
      <c r="A225" s="20" t="inlineStr">
        <is>
          <t>0739-0001</t>
        </is>
      </c>
      <c r="B225" s="21" t="inlineStr">
        <is>
          <t>Miriam Patricia López Flores</t>
        </is>
      </c>
      <c r="C225" s="21" t="inlineStr">
        <is>
          <t>Jeep Wrangler Unlimited Rubicon</t>
        </is>
      </c>
      <c r="D225" s="20" t="inlineStr">
        <is>
          <t>ACTIVO</t>
        </is>
      </c>
      <c r="E225" s="20" t="inlineStr">
        <is>
          <t>2025-12-23</t>
        </is>
      </c>
      <c r="F225" s="20" t="inlineStr">
        <is>
          <t>2029-12-23</t>
        </is>
      </c>
      <c r="G225" s="22" t="n">
        <v>48</v>
      </c>
      <c r="H225" s="23" t="n">
        <v>131861.47</v>
      </c>
      <c r="I225" s="23">
        <f>ROUND(37893.5 * 'Resumen_Cartera'!$Q225, 2)</f>
        <v/>
      </c>
      <c r="J225" s="23">
        <f>IF(Saldo_Residual_Activo!I225&gt;0, ROUND(Saldo_Residual_Activo!I225 * 'Resumen_Cartera'!$Q225, 2), "")</f>
        <v/>
      </c>
      <c r="K225" s="23">
        <f>IF(Saldo_Residual_Activo!J225&gt;0, ROUND(Saldo_Residual_Activo!J225 * 'Resumen_Cartera'!$Q225, 2), "")</f>
        <v/>
      </c>
      <c r="L225" s="23">
        <f>IF(Saldo_Residual_Activo!K225&gt;0, ROUND(Saldo_Residual_Activo!K225 * 'Resumen_Cartera'!$Q225, 2), "")</f>
        <v/>
      </c>
      <c r="M225" s="23">
        <f>IF(Saldo_Residual_Activo!L225&gt;0, ROUND(Saldo_Residual_Activo!L225 * 'Resumen_Cartera'!$Q225, 2), "")</f>
        <v/>
      </c>
      <c r="N225" s="23">
        <f>IF(Saldo_Residual_Activo!M225&gt;0, ROUND(Saldo_Residual_Activo!M225 * 'Resumen_Cartera'!$Q225, 2), "")</f>
        <v/>
      </c>
      <c r="O225" s="23">
        <f>IF(Saldo_Residual_Activo!N225&gt;0, ROUND(Saldo_Residual_Activo!N225 * 'Resumen_Cartera'!$Q225, 2), "")</f>
        <v/>
      </c>
      <c r="P225" s="23">
        <f>IF(Saldo_Residual_Activo!O225&gt;0, ROUND(Saldo_Residual_Activo!O225 * 'Resumen_Cartera'!$Q225, 2), "")</f>
        <v/>
      </c>
      <c r="Q225" s="23">
        <f>IF(Saldo_Residual_Activo!P225&gt;0, ROUND(Saldo_Residual_Activo!P225 * 'Resumen_Cartera'!$Q225, 2), "")</f>
        <v/>
      </c>
      <c r="R225" s="23">
        <f>IF(Saldo_Residual_Activo!Q225&gt;0, ROUND(Saldo_Residual_Activo!Q225 * 'Resumen_Cartera'!$Q225, 2), "")</f>
        <v/>
      </c>
      <c r="S225" s="23">
        <f>IF(Saldo_Residual_Activo!R225&gt;0, ROUND(Saldo_Residual_Activo!R225 * 'Resumen_Cartera'!$Q225, 2), "")</f>
        <v/>
      </c>
      <c r="T225" s="23">
        <f>IF(Saldo_Residual_Activo!S225&gt;0, ROUND(Saldo_Residual_Activo!S225 * 'Resumen_Cartera'!$Q225, 2), "")</f>
        <v/>
      </c>
      <c r="U225" s="23">
        <f>SUM(I225:T225)</f>
        <v/>
      </c>
    </row>
    <row r="226">
      <c r="A226" s="26" t="inlineStr">
        <is>
          <t>0740-0001</t>
        </is>
      </c>
      <c r="B226" s="27" t="inlineStr">
        <is>
          <t>Sanatorio Versalles de Guadalajara</t>
        </is>
      </c>
      <c r="C226" s="27" t="inlineStr">
        <is>
          <t>1200 Bighorn</t>
        </is>
      </c>
      <c r="D226" s="26" t="inlineStr">
        <is>
          <t>ACTIVO</t>
        </is>
      </c>
      <c r="E226" s="26" t="inlineStr">
        <is>
          <t>2025-12-30</t>
        </is>
      </c>
      <c r="F226" s="26" t="inlineStr">
        <is>
          <t>2026-12-30</t>
        </is>
      </c>
      <c r="G226" s="28" t="n">
        <v>12</v>
      </c>
      <c r="H226" s="29" t="n">
        <v>49129.31</v>
      </c>
      <c r="I226" s="29">
        <f>ROUND(37772.95 * 'Resumen_Cartera'!$Q226, 2)</f>
        <v/>
      </c>
      <c r="J226" s="29">
        <f>IF(Saldo_Residual_Activo!I226&gt;0, ROUND(Saldo_Residual_Activo!I226 * 'Resumen_Cartera'!$Q226, 2), "")</f>
        <v/>
      </c>
      <c r="K226" s="29">
        <f>IF(Saldo_Residual_Activo!J226&gt;0, ROUND(Saldo_Residual_Activo!J226 * 'Resumen_Cartera'!$Q226, 2), "")</f>
        <v/>
      </c>
      <c r="L226" s="29">
        <f>IF(Saldo_Residual_Activo!K226&gt;0, ROUND(Saldo_Residual_Activo!K226 * 'Resumen_Cartera'!$Q226, 2), "")</f>
        <v/>
      </c>
      <c r="M226" s="29">
        <f>IF(Saldo_Residual_Activo!L226&gt;0, ROUND(Saldo_Residual_Activo!L226 * 'Resumen_Cartera'!$Q226, 2), "")</f>
        <v/>
      </c>
      <c r="N226" s="29">
        <f>IF(Saldo_Residual_Activo!M226&gt;0, ROUND(Saldo_Residual_Activo!M226 * 'Resumen_Cartera'!$Q226, 2), "")</f>
        <v/>
      </c>
      <c r="O226" s="29">
        <f>IF(Saldo_Residual_Activo!N226&gt;0, ROUND(Saldo_Residual_Activo!N226 * 'Resumen_Cartera'!$Q226, 2), "")</f>
        <v/>
      </c>
      <c r="P226" s="29">
        <f>IF(Saldo_Residual_Activo!O226&gt;0, ROUND(Saldo_Residual_Activo!O226 * 'Resumen_Cartera'!$Q226, 2), "")</f>
        <v/>
      </c>
      <c r="Q226" s="29">
        <f>IF(Saldo_Residual_Activo!P226&gt;0, ROUND(Saldo_Residual_Activo!P226 * 'Resumen_Cartera'!$Q226, 2), "")</f>
        <v/>
      </c>
      <c r="R226" s="29">
        <f>IF(Saldo_Residual_Activo!Q226&gt;0, ROUND(Saldo_Residual_Activo!Q226 * 'Resumen_Cartera'!$Q226, 2), "")</f>
        <v/>
      </c>
      <c r="S226" s="29">
        <f>IF(Saldo_Residual_Activo!R226&gt;0, ROUND(Saldo_Residual_Activo!R226 * 'Resumen_Cartera'!$Q226, 2), "")</f>
        <v/>
      </c>
      <c r="T226" s="29" t="inlineStr"/>
      <c r="U226" s="29">
        <f>SUM(I226:T226)</f>
        <v/>
      </c>
    </row>
    <row r="227">
      <c r="A227" s="20" t="inlineStr">
        <is>
          <t>0741-0001</t>
        </is>
      </c>
      <c r="B227" s="21" t="inlineStr">
        <is>
          <t>Alvaró Agustin Navarro Castellón</t>
        </is>
      </c>
      <c r="C227" s="21" t="inlineStr">
        <is>
          <t>Manager Furgon L4H2</t>
        </is>
      </c>
      <c r="D227" s="20" t="inlineStr">
        <is>
          <t>ACTIVO</t>
        </is>
      </c>
      <c r="E227" s="20" t="inlineStr">
        <is>
          <t>2025-12-31</t>
        </is>
      </c>
      <c r="F227" s="20" t="inlineStr">
        <is>
          <t>2029-12-31</t>
        </is>
      </c>
      <c r="G227" s="22" t="n">
        <v>48</v>
      </c>
      <c r="H227" s="23" t="n">
        <v>226784.48</v>
      </c>
      <c r="I227" s="23">
        <f>ROUND(57219.01 * 'Resumen_Cartera'!$Q227, 2)</f>
        <v/>
      </c>
      <c r="J227" s="23">
        <f>IF(Saldo_Residual_Activo!I227&gt;0, ROUND(Saldo_Residual_Activo!I227 * 'Resumen_Cartera'!$Q227, 2), "")</f>
        <v/>
      </c>
      <c r="K227" s="23">
        <f>IF(Saldo_Residual_Activo!J227&gt;0, ROUND(Saldo_Residual_Activo!J227 * 'Resumen_Cartera'!$Q227, 2), "")</f>
        <v/>
      </c>
      <c r="L227" s="23">
        <f>IF(Saldo_Residual_Activo!K227&gt;0, ROUND(Saldo_Residual_Activo!K227 * 'Resumen_Cartera'!$Q227, 2), "")</f>
        <v/>
      </c>
      <c r="M227" s="23">
        <f>IF(Saldo_Residual_Activo!L227&gt;0, ROUND(Saldo_Residual_Activo!L227 * 'Resumen_Cartera'!$Q227, 2), "")</f>
        <v/>
      </c>
      <c r="N227" s="23">
        <f>IF(Saldo_Residual_Activo!M227&gt;0, ROUND(Saldo_Residual_Activo!M227 * 'Resumen_Cartera'!$Q227, 2), "")</f>
        <v/>
      </c>
      <c r="O227" s="23">
        <f>IF(Saldo_Residual_Activo!N227&gt;0, ROUND(Saldo_Residual_Activo!N227 * 'Resumen_Cartera'!$Q227, 2), "")</f>
        <v/>
      </c>
      <c r="P227" s="23">
        <f>IF(Saldo_Residual_Activo!O227&gt;0, ROUND(Saldo_Residual_Activo!O227 * 'Resumen_Cartera'!$Q227, 2), "")</f>
        <v/>
      </c>
      <c r="Q227" s="23">
        <f>IF(Saldo_Residual_Activo!P227&gt;0, ROUND(Saldo_Residual_Activo!P227 * 'Resumen_Cartera'!$Q227, 2), "")</f>
        <v/>
      </c>
      <c r="R227" s="23">
        <f>IF(Saldo_Residual_Activo!Q227&gt;0, ROUND(Saldo_Residual_Activo!Q227 * 'Resumen_Cartera'!$Q227, 2), "")</f>
        <v/>
      </c>
      <c r="S227" s="23">
        <f>IF(Saldo_Residual_Activo!R227&gt;0, ROUND(Saldo_Residual_Activo!R227 * 'Resumen_Cartera'!$Q227, 2), "")</f>
        <v/>
      </c>
      <c r="T227" s="23">
        <f>IF(Saldo_Residual_Activo!S227&gt;0, ROUND(Saldo_Residual_Activo!S227 * 'Resumen_Cartera'!$Q227, 2), "")</f>
        <v/>
      </c>
      <c r="U227" s="23">
        <f>SUM(I227:T227)</f>
        <v/>
      </c>
    </row>
    <row r="228">
      <c r="A228" s="26" t="inlineStr">
        <is>
          <t>0742-0001</t>
        </is>
      </c>
      <c r="B228" s="27" t="inlineStr">
        <is>
          <t>Universidad de las Américas y el Caribe, S.C.</t>
        </is>
      </c>
      <c r="C228" s="27" t="inlineStr">
        <is>
          <t>700 BIGHORN "S" CREW CAB MT</t>
        </is>
      </c>
      <c r="D228" s="26" t="inlineStr">
        <is>
          <t>ACTIVO</t>
        </is>
      </c>
      <c r="E228" s="26" t="inlineStr">
        <is>
          <t>2026-01-07</t>
        </is>
      </c>
      <c r="F228" s="26" t="inlineStr">
        <is>
          <t>2029-01-07</t>
        </is>
      </c>
      <c r="G228" s="28" t="n">
        <v>36</v>
      </c>
      <c r="H228" s="29" t="n">
        <v>65876.38</v>
      </c>
      <c r="I228" s="29">
        <f>ROUND('Resumen_Cartera'!$U228 * 'Resumen_Cartera'!$Q228, 2)</f>
        <v/>
      </c>
      <c r="J228" s="29">
        <f>IF(Saldo_Residual_Activo!I228&gt;0, ROUND(Saldo_Residual_Activo!I228 * 'Resumen_Cartera'!$Q228, 2), "")</f>
        <v/>
      </c>
      <c r="K228" s="29">
        <f>IF(Saldo_Residual_Activo!J228&gt;0, ROUND(Saldo_Residual_Activo!J228 * 'Resumen_Cartera'!$Q228, 2), "")</f>
        <v/>
      </c>
      <c r="L228" s="29">
        <f>IF(Saldo_Residual_Activo!K228&gt;0, ROUND(Saldo_Residual_Activo!K228 * 'Resumen_Cartera'!$Q228, 2), "")</f>
        <v/>
      </c>
      <c r="M228" s="29">
        <f>IF(Saldo_Residual_Activo!L228&gt;0, ROUND(Saldo_Residual_Activo!L228 * 'Resumen_Cartera'!$Q228, 2), "")</f>
        <v/>
      </c>
      <c r="N228" s="29">
        <f>IF(Saldo_Residual_Activo!M228&gt;0, ROUND(Saldo_Residual_Activo!M228 * 'Resumen_Cartera'!$Q228, 2), "")</f>
        <v/>
      </c>
      <c r="O228" s="29">
        <f>IF(Saldo_Residual_Activo!N228&gt;0, ROUND(Saldo_Residual_Activo!N228 * 'Resumen_Cartera'!$Q228, 2), "")</f>
        <v/>
      </c>
      <c r="P228" s="29">
        <f>IF(Saldo_Residual_Activo!O228&gt;0, ROUND(Saldo_Residual_Activo!O228 * 'Resumen_Cartera'!$Q228, 2), "")</f>
        <v/>
      </c>
      <c r="Q228" s="29">
        <f>IF(Saldo_Residual_Activo!P228&gt;0, ROUND(Saldo_Residual_Activo!P228 * 'Resumen_Cartera'!$Q228, 2), "")</f>
        <v/>
      </c>
      <c r="R228" s="29">
        <f>IF(Saldo_Residual_Activo!Q228&gt;0, ROUND(Saldo_Residual_Activo!Q228 * 'Resumen_Cartera'!$Q228, 2), "")</f>
        <v/>
      </c>
      <c r="S228" s="29">
        <f>IF(Saldo_Residual_Activo!R228&gt;0, ROUND(Saldo_Residual_Activo!R228 * 'Resumen_Cartera'!$Q228, 2), "")</f>
        <v/>
      </c>
      <c r="T228" s="29">
        <f>IF(Saldo_Residual_Activo!S228&gt;0, ROUND(Saldo_Residual_Activo!S228 * 'Resumen_Cartera'!$Q228, 2), "")</f>
        <v/>
      </c>
      <c r="U228" s="29">
        <f>SUM(I228:T228)</f>
        <v/>
      </c>
    </row>
    <row r="229">
      <c r="A229" s="20" t="inlineStr">
        <is>
          <t>0742-0002</t>
        </is>
      </c>
      <c r="B229" s="21" t="inlineStr">
        <is>
          <t>Universidad de las Américas y el Caribe, S.C.</t>
        </is>
      </c>
      <c r="C229" s="21" t="inlineStr">
        <is>
          <t>700 BIGHORN "S" CREW CAB CVT</t>
        </is>
      </c>
      <c r="D229" s="20" t="inlineStr">
        <is>
          <t>ACTIVO</t>
        </is>
      </c>
      <c r="E229" s="20" t="inlineStr">
        <is>
          <t>2026-01-07</t>
        </is>
      </c>
      <c r="F229" s="20" t="inlineStr">
        <is>
          <t>2029-01-07</t>
        </is>
      </c>
      <c r="G229" s="22" t="n">
        <v>36</v>
      </c>
      <c r="H229" s="23" t="n">
        <v>72064.31</v>
      </c>
      <c r="I229" s="23">
        <f>ROUND('Resumen_Cartera'!$U229 * 'Resumen_Cartera'!$Q229, 2)</f>
        <v/>
      </c>
      <c r="J229" s="23">
        <f>IF(Saldo_Residual_Activo!I229&gt;0, ROUND(Saldo_Residual_Activo!I229 * 'Resumen_Cartera'!$Q229, 2), "")</f>
        <v/>
      </c>
      <c r="K229" s="23">
        <f>IF(Saldo_Residual_Activo!J229&gt;0, ROUND(Saldo_Residual_Activo!J229 * 'Resumen_Cartera'!$Q229, 2), "")</f>
        <v/>
      </c>
      <c r="L229" s="23">
        <f>IF(Saldo_Residual_Activo!K229&gt;0, ROUND(Saldo_Residual_Activo!K229 * 'Resumen_Cartera'!$Q229, 2), "")</f>
        <v/>
      </c>
      <c r="M229" s="23">
        <f>IF(Saldo_Residual_Activo!L229&gt;0, ROUND(Saldo_Residual_Activo!L229 * 'Resumen_Cartera'!$Q229, 2), "")</f>
        <v/>
      </c>
      <c r="N229" s="23">
        <f>IF(Saldo_Residual_Activo!M229&gt;0, ROUND(Saldo_Residual_Activo!M229 * 'Resumen_Cartera'!$Q229, 2), "")</f>
        <v/>
      </c>
      <c r="O229" s="23">
        <f>IF(Saldo_Residual_Activo!N229&gt;0, ROUND(Saldo_Residual_Activo!N229 * 'Resumen_Cartera'!$Q229, 2), "")</f>
        <v/>
      </c>
      <c r="P229" s="23">
        <f>IF(Saldo_Residual_Activo!O229&gt;0, ROUND(Saldo_Residual_Activo!O229 * 'Resumen_Cartera'!$Q229, 2), "")</f>
        <v/>
      </c>
      <c r="Q229" s="23">
        <f>IF(Saldo_Residual_Activo!P229&gt;0, ROUND(Saldo_Residual_Activo!P229 * 'Resumen_Cartera'!$Q229, 2), "")</f>
        <v/>
      </c>
      <c r="R229" s="23">
        <f>IF(Saldo_Residual_Activo!Q229&gt;0, ROUND(Saldo_Residual_Activo!Q229 * 'Resumen_Cartera'!$Q229, 2), "")</f>
        <v/>
      </c>
      <c r="S229" s="23">
        <f>IF(Saldo_Residual_Activo!R229&gt;0, ROUND(Saldo_Residual_Activo!R229 * 'Resumen_Cartera'!$Q229, 2), "")</f>
        <v/>
      </c>
      <c r="T229" s="23">
        <f>IF(Saldo_Residual_Activo!S229&gt;0, ROUND(Saldo_Residual_Activo!S229 * 'Resumen_Cartera'!$Q229, 2), "")</f>
        <v/>
      </c>
      <c r="U229" s="23">
        <f>SUM(I229:T229)</f>
        <v/>
      </c>
    </row>
    <row r="230">
      <c r="A230" s="26" t="inlineStr">
        <is>
          <t>0743-0001</t>
        </is>
      </c>
      <c r="B230" s="27" t="inlineStr">
        <is>
          <t>IEM Soluciones Integrales, S.C.</t>
        </is>
      </c>
      <c r="C230" s="27" t="inlineStr">
        <is>
          <t>1200 BIGHORN CC</t>
        </is>
      </c>
      <c r="D230" s="26" t="inlineStr">
        <is>
          <t>ACTIVO</t>
        </is>
      </c>
      <c r="E230" s="26" t="inlineStr">
        <is>
          <t>2026-01-23</t>
        </is>
      </c>
      <c r="F230" s="26" t="inlineStr">
        <is>
          <t>2029-01-23</t>
        </is>
      </c>
      <c r="G230" s="28" t="n">
        <v>36</v>
      </c>
      <c r="H230" s="29" t="n">
        <v>49129.31</v>
      </c>
      <c r="I230" s="29">
        <f>ROUND('Resumen_Cartera'!$U230 * 'Resumen_Cartera'!$Q230, 2)</f>
        <v/>
      </c>
      <c r="J230" s="29">
        <f>IF(Saldo_Residual_Activo!I230&gt;0, ROUND(Saldo_Residual_Activo!I230 * 'Resumen_Cartera'!$Q230, 2), "")</f>
        <v/>
      </c>
      <c r="K230" s="29">
        <f>IF(Saldo_Residual_Activo!J230&gt;0, ROUND(Saldo_Residual_Activo!J230 * 'Resumen_Cartera'!$Q230, 2), "")</f>
        <v/>
      </c>
      <c r="L230" s="29">
        <f>IF(Saldo_Residual_Activo!K230&gt;0, ROUND(Saldo_Residual_Activo!K230 * 'Resumen_Cartera'!$Q230, 2), "")</f>
        <v/>
      </c>
      <c r="M230" s="29">
        <f>IF(Saldo_Residual_Activo!L230&gt;0, ROUND(Saldo_Residual_Activo!L230 * 'Resumen_Cartera'!$Q230, 2), "")</f>
        <v/>
      </c>
      <c r="N230" s="29">
        <f>IF(Saldo_Residual_Activo!M230&gt;0, ROUND(Saldo_Residual_Activo!M230 * 'Resumen_Cartera'!$Q230, 2), "")</f>
        <v/>
      </c>
      <c r="O230" s="29">
        <f>IF(Saldo_Residual_Activo!N230&gt;0, ROUND(Saldo_Residual_Activo!N230 * 'Resumen_Cartera'!$Q230, 2), "")</f>
        <v/>
      </c>
      <c r="P230" s="29">
        <f>IF(Saldo_Residual_Activo!O230&gt;0, ROUND(Saldo_Residual_Activo!O230 * 'Resumen_Cartera'!$Q230, 2), "")</f>
        <v/>
      </c>
      <c r="Q230" s="29">
        <f>IF(Saldo_Residual_Activo!P230&gt;0, ROUND(Saldo_Residual_Activo!P230 * 'Resumen_Cartera'!$Q230, 2), "")</f>
        <v/>
      </c>
      <c r="R230" s="29">
        <f>IF(Saldo_Residual_Activo!Q230&gt;0, ROUND(Saldo_Residual_Activo!Q230 * 'Resumen_Cartera'!$Q230, 2), "")</f>
        <v/>
      </c>
      <c r="S230" s="29">
        <f>IF(Saldo_Residual_Activo!R230&gt;0, ROUND(Saldo_Residual_Activo!R230 * 'Resumen_Cartera'!$Q230, 2), "")</f>
        <v/>
      </c>
      <c r="T230" s="29">
        <f>IF(Saldo_Residual_Activo!S230&gt;0, ROUND(Saldo_Residual_Activo!S230 * 'Resumen_Cartera'!$Q230, 2), "")</f>
        <v/>
      </c>
      <c r="U230" s="29">
        <f>SUM(I230:T230)</f>
        <v/>
      </c>
    </row>
    <row r="231">
      <c r="A231" s="20" t="inlineStr">
        <is>
          <t>0744-0001</t>
        </is>
      </c>
      <c r="B231" s="21" t="inlineStr">
        <is>
          <t>H&amp;A Edicon, S.A. de C.V.</t>
        </is>
      </c>
      <c r="C231" s="21" t="inlineStr">
        <is>
          <t>NP 300 Chasis Cabina</t>
        </is>
      </c>
      <c r="D231" s="20" t="inlineStr">
        <is>
          <t>ACTIVO</t>
        </is>
      </c>
      <c r="E231" s="20" t="inlineStr">
        <is>
          <t>2026-01-09</t>
        </is>
      </c>
      <c r="F231" s="20" t="inlineStr">
        <is>
          <t>2028-01-09</t>
        </is>
      </c>
      <c r="G231" s="22" t="n">
        <v>24</v>
      </c>
      <c r="H231" s="23" t="n">
        <v>93689.66</v>
      </c>
      <c r="I231" s="23">
        <f>ROUND('Resumen_Cartera'!$U231 * 'Resumen_Cartera'!$Q231, 2)</f>
        <v/>
      </c>
      <c r="J231" s="23">
        <f>IF(Saldo_Residual_Activo!I231&gt;0, ROUND(Saldo_Residual_Activo!I231 * 'Resumen_Cartera'!$Q231, 2), "")</f>
        <v/>
      </c>
      <c r="K231" s="23">
        <f>IF(Saldo_Residual_Activo!J231&gt;0, ROUND(Saldo_Residual_Activo!J231 * 'Resumen_Cartera'!$Q231, 2), "")</f>
        <v/>
      </c>
      <c r="L231" s="23">
        <f>IF(Saldo_Residual_Activo!K231&gt;0, ROUND(Saldo_Residual_Activo!K231 * 'Resumen_Cartera'!$Q231, 2), "")</f>
        <v/>
      </c>
      <c r="M231" s="23">
        <f>IF(Saldo_Residual_Activo!L231&gt;0, ROUND(Saldo_Residual_Activo!L231 * 'Resumen_Cartera'!$Q231, 2), "")</f>
        <v/>
      </c>
      <c r="N231" s="23">
        <f>IF(Saldo_Residual_Activo!M231&gt;0, ROUND(Saldo_Residual_Activo!M231 * 'Resumen_Cartera'!$Q231, 2), "")</f>
        <v/>
      </c>
      <c r="O231" s="23">
        <f>IF(Saldo_Residual_Activo!N231&gt;0, ROUND(Saldo_Residual_Activo!N231 * 'Resumen_Cartera'!$Q231, 2), "")</f>
        <v/>
      </c>
      <c r="P231" s="23">
        <f>IF(Saldo_Residual_Activo!O231&gt;0, ROUND(Saldo_Residual_Activo!O231 * 'Resumen_Cartera'!$Q231, 2), "")</f>
        <v/>
      </c>
      <c r="Q231" s="23">
        <f>IF(Saldo_Residual_Activo!P231&gt;0, ROUND(Saldo_Residual_Activo!P231 * 'Resumen_Cartera'!$Q231, 2), "")</f>
        <v/>
      </c>
      <c r="R231" s="23">
        <f>IF(Saldo_Residual_Activo!Q231&gt;0, ROUND(Saldo_Residual_Activo!Q231 * 'Resumen_Cartera'!$Q231, 2), "")</f>
        <v/>
      </c>
      <c r="S231" s="23">
        <f>IF(Saldo_Residual_Activo!R231&gt;0, ROUND(Saldo_Residual_Activo!R231 * 'Resumen_Cartera'!$Q231, 2), "")</f>
        <v/>
      </c>
      <c r="T231" s="23">
        <f>IF(Saldo_Residual_Activo!S231&gt;0, ROUND(Saldo_Residual_Activo!S231 * 'Resumen_Cartera'!$Q231, 2), "")</f>
        <v/>
      </c>
      <c r="U231" s="23">
        <f>SUM(I231:T231)</f>
        <v/>
      </c>
    </row>
    <row r="232">
      <c r="A232" s="26" t="inlineStr">
        <is>
          <t>0745-0001</t>
        </is>
      </c>
      <c r="B232" s="27" t="inlineStr">
        <is>
          <t>Industrializadora de Productos Lácteos y Derivados los Cuates, S.A. de C.V.</t>
        </is>
      </c>
      <c r="C232" s="27" t="inlineStr">
        <is>
          <t>Outlander Sport SE Plus</t>
        </is>
      </c>
      <c r="D232" s="26" t="inlineStr">
        <is>
          <t>ACTIVO</t>
        </is>
      </c>
      <c r="E232" s="26" t="inlineStr">
        <is>
          <t>2026-01-22</t>
        </is>
      </c>
      <c r="F232" s="26" t="inlineStr">
        <is>
          <t>2029-01-22</t>
        </is>
      </c>
      <c r="G232" s="28" t="n">
        <v>36</v>
      </c>
      <c r="H232" s="29" t="n">
        <v>41981.64</v>
      </c>
      <c r="I232" s="29">
        <f>ROUND('Resumen_Cartera'!$U232 * 'Resumen_Cartera'!$Q232, 2)</f>
        <v/>
      </c>
      <c r="J232" s="29">
        <f>IF(Saldo_Residual_Activo!I232&gt;0, ROUND(Saldo_Residual_Activo!I232 * 'Resumen_Cartera'!$Q232, 2), "")</f>
        <v/>
      </c>
      <c r="K232" s="29">
        <f>IF(Saldo_Residual_Activo!J232&gt;0, ROUND(Saldo_Residual_Activo!J232 * 'Resumen_Cartera'!$Q232, 2), "")</f>
        <v/>
      </c>
      <c r="L232" s="29">
        <f>IF(Saldo_Residual_Activo!K232&gt;0, ROUND(Saldo_Residual_Activo!K232 * 'Resumen_Cartera'!$Q232, 2), "")</f>
        <v/>
      </c>
      <c r="M232" s="29">
        <f>IF(Saldo_Residual_Activo!L232&gt;0, ROUND(Saldo_Residual_Activo!L232 * 'Resumen_Cartera'!$Q232, 2), "")</f>
        <v/>
      </c>
      <c r="N232" s="29">
        <f>IF(Saldo_Residual_Activo!M232&gt;0, ROUND(Saldo_Residual_Activo!M232 * 'Resumen_Cartera'!$Q232, 2), "")</f>
        <v/>
      </c>
      <c r="O232" s="29">
        <f>IF(Saldo_Residual_Activo!N232&gt;0, ROUND(Saldo_Residual_Activo!N232 * 'Resumen_Cartera'!$Q232, 2), "")</f>
        <v/>
      </c>
      <c r="P232" s="29">
        <f>IF(Saldo_Residual_Activo!O232&gt;0, ROUND(Saldo_Residual_Activo!O232 * 'Resumen_Cartera'!$Q232, 2), "")</f>
        <v/>
      </c>
      <c r="Q232" s="29">
        <f>IF(Saldo_Residual_Activo!P232&gt;0, ROUND(Saldo_Residual_Activo!P232 * 'Resumen_Cartera'!$Q232, 2), "")</f>
        <v/>
      </c>
      <c r="R232" s="29">
        <f>IF(Saldo_Residual_Activo!Q232&gt;0, ROUND(Saldo_Residual_Activo!Q232 * 'Resumen_Cartera'!$Q232, 2), "")</f>
        <v/>
      </c>
      <c r="S232" s="29">
        <f>IF(Saldo_Residual_Activo!R232&gt;0, ROUND(Saldo_Residual_Activo!R232 * 'Resumen_Cartera'!$Q232, 2), "")</f>
        <v/>
      </c>
      <c r="T232" s="29">
        <f>IF(Saldo_Residual_Activo!S232&gt;0, ROUND(Saldo_Residual_Activo!S232 * 'Resumen_Cartera'!$Q232, 2), "")</f>
        <v/>
      </c>
      <c r="U232" s="29">
        <f>SUM(I232:T232)</f>
        <v/>
      </c>
    </row>
    <row r="233">
      <c r="A233" s="20" t="inlineStr">
        <is>
          <t>0746-0001</t>
        </is>
      </c>
      <c r="B233" s="21" t="inlineStr">
        <is>
          <t>Giovanni Salvador Medina Rubio</t>
        </is>
      </c>
      <c r="C233" s="21" t="inlineStr">
        <is>
          <t>Rapid</t>
        </is>
      </c>
      <c r="D233" s="20" t="inlineStr">
        <is>
          <t>ACTIVO</t>
        </is>
      </c>
      <c r="E233" s="20" t="inlineStr">
        <is>
          <t>2026-02-02</t>
        </is>
      </c>
      <c r="F233" s="20" t="inlineStr">
        <is>
          <t>2029-02-02</t>
        </is>
      </c>
      <c r="G233" s="22" t="n">
        <v>36</v>
      </c>
      <c r="H233" s="23" t="n">
        <v>28913.79</v>
      </c>
      <c r="I233" s="23" t="inlineStr"/>
      <c r="J233" s="23">
        <f>ROUND('Resumen_Cartera'!$U233 * 'Resumen_Cartera'!$Q233, 2)</f>
        <v/>
      </c>
      <c r="K233" s="23">
        <f>IF(Saldo_Residual_Activo!J233&gt;0, ROUND(Saldo_Residual_Activo!J233 * 'Resumen_Cartera'!$Q233, 2), "")</f>
        <v/>
      </c>
      <c r="L233" s="23">
        <f>IF(Saldo_Residual_Activo!K233&gt;0, ROUND(Saldo_Residual_Activo!K233 * 'Resumen_Cartera'!$Q233, 2), "")</f>
        <v/>
      </c>
      <c r="M233" s="23">
        <f>IF(Saldo_Residual_Activo!L233&gt;0, ROUND(Saldo_Residual_Activo!L233 * 'Resumen_Cartera'!$Q233, 2), "")</f>
        <v/>
      </c>
      <c r="N233" s="23">
        <f>IF(Saldo_Residual_Activo!M233&gt;0, ROUND(Saldo_Residual_Activo!M233 * 'Resumen_Cartera'!$Q233, 2), "")</f>
        <v/>
      </c>
      <c r="O233" s="23">
        <f>IF(Saldo_Residual_Activo!N233&gt;0, ROUND(Saldo_Residual_Activo!N233 * 'Resumen_Cartera'!$Q233, 2), "")</f>
        <v/>
      </c>
      <c r="P233" s="23">
        <f>IF(Saldo_Residual_Activo!O233&gt;0, ROUND(Saldo_Residual_Activo!O233 * 'Resumen_Cartera'!$Q233, 2), "")</f>
        <v/>
      </c>
      <c r="Q233" s="23">
        <f>IF(Saldo_Residual_Activo!P233&gt;0, ROUND(Saldo_Residual_Activo!P233 * 'Resumen_Cartera'!$Q233, 2), "")</f>
        <v/>
      </c>
      <c r="R233" s="23">
        <f>IF(Saldo_Residual_Activo!Q233&gt;0, ROUND(Saldo_Residual_Activo!Q233 * 'Resumen_Cartera'!$Q233, 2), "")</f>
        <v/>
      </c>
      <c r="S233" s="23">
        <f>IF(Saldo_Residual_Activo!R233&gt;0, ROUND(Saldo_Residual_Activo!R233 * 'Resumen_Cartera'!$Q233, 2), "")</f>
        <v/>
      </c>
      <c r="T233" s="23">
        <f>IF(Saldo_Residual_Activo!S233&gt;0, ROUND(Saldo_Residual_Activo!S233 * 'Resumen_Cartera'!$Q233, 2), "")</f>
        <v/>
      </c>
      <c r="U233" s="23">
        <f>SUM(I233:T233)</f>
        <v/>
      </c>
    </row>
    <row r="234">
      <c r="A234" s="26" t="inlineStr">
        <is>
          <t>0747-0001</t>
        </is>
      </c>
      <c r="B234" s="27" t="inlineStr">
        <is>
          <t>Brandon Joel Zepeda Romero</t>
        </is>
      </c>
      <c r="C234" s="27" t="inlineStr">
        <is>
          <t>Ranger Raptor</t>
        </is>
      </c>
      <c r="D234" s="26" t="inlineStr">
        <is>
          <t>ACTIVO</t>
        </is>
      </c>
      <c r="E234" s="26" t="inlineStr">
        <is>
          <t>2026-02-24</t>
        </is>
      </c>
      <c r="F234" s="26" t="inlineStr">
        <is>
          <t>2030-02-24</t>
        </is>
      </c>
      <c r="G234" s="28" t="n">
        <v>48</v>
      </c>
      <c r="H234" s="29" t="n">
        <v>107758.62</v>
      </c>
      <c r="I234" s="29" t="inlineStr"/>
      <c r="J234" s="29">
        <f>ROUND('Resumen_Cartera'!$U234 * 'Resumen_Cartera'!$Q234, 2)</f>
        <v/>
      </c>
      <c r="K234" s="29">
        <f>IF(Saldo_Residual_Activo!J234&gt;0, ROUND(Saldo_Residual_Activo!J234 * 'Resumen_Cartera'!$Q234, 2), "")</f>
        <v/>
      </c>
      <c r="L234" s="29">
        <f>IF(Saldo_Residual_Activo!K234&gt;0, ROUND(Saldo_Residual_Activo!K234 * 'Resumen_Cartera'!$Q234, 2), "")</f>
        <v/>
      </c>
      <c r="M234" s="29">
        <f>IF(Saldo_Residual_Activo!L234&gt;0, ROUND(Saldo_Residual_Activo!L234 * 'Resumen_Cartera'!$Q234, 2), "")</f>
        <v/>
      </c>
      <c r="N234" s="29">
        <f>IF(Saldo_Residual_Activo!M234&gt;0, ROUND(Saldo_Residual_Activo!M234 * 'Resumen_Cartera'!$Q234, 2), "")</f>
        <v/>
      </c>
      <c r="O234" s="29">
        <f>IF(Saldo_Residual_Activo!N234&gt;0, ROUND(Saldo_Residual_Activo!N234 * 'Resumen_Cartera'!$Q234, 2), "")</f>
        <v/>
      </c>
      <c r="P234" s="29">
        <f>IF(Saldo_Residual_Activo!O234&gt;0, ROUND(Saldo_Residual_Activo!O234 * 'Resumen_Cartera'!$Q234, 2), "")</f>
        <v/>
      </c>
      <c r="Q234" s="29">
        <f>IF(Saldo_Residual_Activo!P234&gt;0, ROUND(Saldo_Residual_Activo!P234 * 'Resumen_Cartera'!$Q234, 2), "")</f>
        <v/>
      </c>
      <c r="R234" s="29">
        <f>IF(Saldo_Residual_Activo!Q234&gt;0, ROUND(Saldo_Residual_Activo!Q234 * 'Resumen_Cartera'!$Q234, 2), "")</f>
        <v/>
      </c>
      <c r="S234" s="29">
        <f>IF(Saldo_Residual_Activo!R234&gt;0, ROUND(Saldo_Residual_Activo!R234 * 'Resumen_Cartera'!$Q234, 2), "")</f>
        <v/>
      </c>
      <c r="T234" s="29">
        <f>IF(Saldo_Residual_Activo!S234&gt;0, ROUND(Saldo_Residual_Activo!S234 * 'Resumen_Cartera'!$Q234, 2), "")</f>
        <v/>
      </c>
      <c r="U234" s="29">
        <f>SUM(I234:T234)</f>
        <v/>
      </c>
    </row>
    <row r="235">
      <c r="A235" s="20" t="inlineStr">
        <is>
          <t>0748-0001</t>
        </is>
      </c>
      <c r="B235" s="21" t="inlineStr">
        <is>
          <t>Carlos Guerra Iñiguez</t>
        </is>
      </c>
      <c r="C235" s="21" t="inlineStr">
        <is>
          <t>L200 GLX</t>
        </is>
      </c>
      <c r="D235" s="20" t="inlineStr">
        <is>
          <t>ACTIVO</t>
        </is>
      </c>
      <c r="E235" s="20" t="inlineStr">
        <is>
          <t>2026-03-02</t>
        </is>
      </c>
      <c r="F235" s="20" t="inlineStr">
        <is>
          <t>2030-03-02</t>
        </is>
      </c>
      <c r="G235" s="22" t="n">
        <v>48</v>
      </c>
      <c r="H235" s="23" t="n">
        <v>42070.09</v>
      </c>
      <c r="I235" s="23" t="inlineStr"/>
      <c r="J235" s="23" t="inlineStr"/>
      <c r="K235" s="23">
        <f>ROUND('Resumen_Cartera'!$U235 * 'Resumen_Cartera'!$Q235, 2)</f>
        <v/>
      </c>
      <c r="L235" s="23">
        <f>IF(Saldo_Residual_Activo!K235&gt;0, ROUND(Saldo_Residual_Activo!K235 * 'Resumen_Cartera'!$Q235, 2), "")</f>
        <v/>
      </c>
      <c r="M235" s="23">
        <f>IF(Saldo_Residual_Activo!L235&gt;0, ROUND(Saldo_Residual_Activo!L235 * 'Resumen_Cartera'!$Q235, 2), "")</f>
        <v/>
      </c>
      <c r="N235" s="23">
        <f>IF(Saldo_Residual_Activo!M235&gt;0, ROUND(Saldo_Residual_Activo!M235 * 'Resumen_Cartera'!$Q235, 2), "")</f>
        <v/>
      </c>
      <c r="O235" s="23">
        <f>IF(Saldo_Residual_Activo!N235&gt;0, ROUND(Saldo_Residual_Activo!N235 * 'Resumen_Cartera'!$Q235, 2), "")</f>
        <v/>
      </c>
      <c r="P235" s="23">
        <f>IF(Saldo_Residual_Activo!O235&gt;0, ROUND(Saldo_Residual_Activo!O235 * 'Resumen_Cartera'!$Q235, 2), "")</f>
        <v/>
      </c>
      <c r="Q235" s="23">
        <f>IF(Saldo_Residual_Activo!P235&gt;0, ROUND(Saldo_Residual_Activo!P235 * 'Resumen_Cartera'!$Q235, 2), "")</f>
        <v/>
      </c>
      <c r="R235" s="23">
        <f>IF(Saldo_Residual_Activo!Q235&gt;0, ROUND(Saldo_Residual_Activo!Q235 * 'Resumen_Cartera'!$Q235, 2), "")</f>
        <v/>
      </c>
      <c r="S235" s="23">
        <f>IF(Saldo_Residual_Activo!R235&gt;0, ROUND(Saldo_Residual_Activo!R235 * 'Resumen_Cartera'!$Q235, 2), "")</f>
        <v/>
      </c>
      <c r="T235" s="23">
        <f>IF(Saldo_Residual_Activo!S235&gt;0, ROUND(Saldo_Residual_Activo!S235 * 'Resumen_Cartera'!$Q235, 2), "")</f>
        <v/>
      </c>
      <c r="U235" s="23">
        <f>SUM(I235:T235)</f>
        <v/>
      </c>
    </row>
    <row r="236">
      <c r="A236" s="26" t="inlineStr">
        <is>
          <t>0749-0001</t>
        </is>
      </c>
      <c r="B236" s="27" t="inlineStr">
        <is>
          <t>Álvarez Fletes Nacionales, S.C.</t>
        </is>
      </c>
      <c r="C236" s="27" t="inlineStr">
        <is>
          <t>RAM 700 TRADESMAN CC</t>
        </is>
      </c>
      <c r="D236" s="26" t="inlineStr">
        <is>
          <t>ACTIVO</t>
        </is>
      </c>
      <c r="E236" s="26" t="inlineStr">
        <is>
          <t>2026-03-23</t>
        </is>
      </c>
      <c r="F236" s="26" t="inlineStr">
        <is>
          <t>2029-03-23</t>
        </is>
      </c>
      <c r="G236" s="28" t="n">
        <v>36</v>
      </c>
      <c r="H236" s="29" t="n">
        <v>34043.1</v>
      </c>
      <c r="I236" s="29" t="inlineStr"/>
      <c r="J236" s="29" t="inlineStr"/>
      <c r="K236" s="29">
        <f>ROUND('Resumen_Cartera'!$U236 * 'Resumen_Cartera'!$Q236, 2)</f>
        <v/>
      </c>
      <c r="L236" s="29">
        <f>IF(Saldo_Residual_Activo!K236&gt;0, ROUND(Saldo_Residual_Activo!K236 * 'Resumen_Cartera'!$Q236, 2), "")</f>
        <v/>
      </c>
      <c r="M236" s="29">
        <f>IF(Saldo_Residual_Activo!L236&gt;0, ROUND(Saldo_Residual_Activo!L236 * 'Resumen_Cartera'!$Q236, 2), "")</f>
        <v/>
      </c>
      <c r="N236" s="29">
        <f>IF(Saldo_Residual_Activo!M236&gt;0, ROUND(Saldo_Residual_Activo!M236 * 'Resumen_Cartera'!$Q236, 2), "")</f>
        <v/>
      </c>
      <c r="O236" s="29">
        <f>IF(Saldo_Residual_Activo!N236&gt;0, ROUND(Saldo_Residual_Activo!N236 * 'Resumen_Cartera'!$Q236, 2), "")</f>
        <v/>
      </c>
      <c r="P236" s="29">
        <f>IF(Saldo_Residual_Activo!O236&gt;0, ROUND(Saldo_Residual_Activo!O236 * 'Resumen_Cartera'!$Q236, 2), "")</f>
        <v/>
      </c>
      <c r="Q236" s="29">
        <f>IF(Saldo_Residual_Activo!P236&gt;0, ROUND(Saldo_Residual_Activo!P236 * 'Resumen_Cartera'!$Q236, 2), "")</f>
        <v/>
      </c>
      <c r="R236" s="29">
        <f>IF(Saldo_Residual_Activo!Q236&gt;0, ROUND(Saldo_Residual_Activo!Q236 * 'Resumen_Cartera'!$Q236, 2), "")</f>
        <v/>
      </c>
      <c r="S236" s="29">
        <f>IF(Saldo_Residual_Activo!R236&gt;0, ROUND(Saldo_Residual_Activo!R236 * 'Resumen_Cartera'!$Q236, 2), "")</f>
        <v/>
      </c>
      <c r="T236" s="29">
        <f>IF(Saldo_Residual_Activo!S236&gt;0, ROUND(Saldo_Residual_Activo!S236 * 'Resumen_Cartera'!$Q236, 2), "")</f>
        <v/>
      </c>
      <c r="U236" s="29">
        <f>SUM(I236:T236)</f>
        <v/>
      </c>
    </row>
    <row r="237">
      <c r="A237" s="20" t="inlineStr">
        <is>
          <t>0749-0002</t>
        </is>
      </c>
      <c r="B237" s="21" t="inlineStr">
        <is>
          <t>Álvarez Fletes Nacionales, S.C.</t>
        </is>
      </c>
      <c r="C237" s="21" t="inlineStr">
        <is>
          <t>RAM 700 TRADESMAN CC</t>
        </is>
      </c>
      <c r="D237" s="20" t="inlineStr">
        <is>
          <t>ACTIVO</t>
        </is>
      </c>
      <c r="E237" s="20" t="inlineStr">
        <is>
          <t>2026-03-23</t>
        </is>
      </c>
      <c r="F237" s="20" t="inlineStr">
        <is>
          <t>2029-03-23</t>
        </is>
      </c>
      <c r="G237" s="22" t="n">
        <v>36</v>
      </c>
      <c r="H237" s="23" t="n">
        <v>34043.1</v>
      </c>
      <c r="I237" s="23" t="inlineStr"/>
      <c r="J237" s="23" t="inlineStr"/>
      <c r="K237" s="23">
        <f>ROUND('Resumen_Cartera'!$U237 * 'Resumen_Cartera'!$Q237, 2)</f>
        <v/>
      </c>
      <c r="L237" s="23">
        <f>IF(Saldo_Residual_Activo!K237&gt;0, ROUND(Saldo_Residual_Activo!K237 * 'Resumen_Cartera'!$Q237, 2), "")</f>
        <v/>
      </c>
      <c r="M237" s="23">
        <f>IF(Saldo_Residual_Activo!L237&gt;0, ROUND(Saldo_Residual_Activo!L237 * 'Resumen_Cartera'!$Q237, 2), "")</f>
        <v/>
      </c>
      <c r="N237" s="23">
        <f>IF(Saldo_Residual_Activo!M237&gt;0, ROUND(Saldo_Residual_Activo!M237 * 'Resumen_Cartera'!$Q237, 2), "")</f>
        <v/>
      </c>
      <c r="O237" s="23">
        <f>IF(Saldo_Residual_Activo!N237&gt;0, ROUND(Saldo_Residual_Activo!N237 * 'Resumen_Cartera'!$Q237, 2), "")</f>
        <v/>
      </c>
      <c r="P237" s="23">
        <f>IF(Saldo_Residual_Activo!O237&gt;0, ROUND(Saldo_Residual_Activo!O237 * 'Resumen_Cartera'!$Q237, 2), "")</f>
        <v/>
      </c>
      <c r="Q237" s="23">
        <f>IF(Saldo_Residual_Activo!P237&gt;0, ROUND(Saldo_Residual_Activo!P237 * 'Resumen_Cartera'!$Q237, 2), "")</f>
        <v/>
      </c>
      <c r="R237" s="23">
        <f>IF(Saldo_Residual_Activo!Q237&gt;0, ROUND(Saldo_Residual_Activo!Q237 * 'Resumen_Cartera'!$Q237, 2), "")</f>
        <v/>
      </c>
      <c r="S237" s="23">
        <f>IF(Saldo_Residual_Activo!R237&gt;0, ROUND(Saldo_Residual_Activo!R237 * 'Resumen_Cartera'!$Q237, 2), "")</f>
        <v/>
      </c>
      <c r="T237" s="23">
        <f>IF(Saldo_Residual_Activo!S237&gt;0, ROUND(Saldo_Residual_Activo!S237 * 'Resumen_Cartera'!$Q237, 2), "")</f>
        <v/>
      </c>
      <c r="U237" s="23">
        <f>SUM(I237:T237)</f>
        <v/>
      </c>
    </row>
    <row r="238">
      <c r="A238" s="26" t="inlineStr">
        <is>
          <t>0750-0001</t>
        </is>
      </c>
      <c r="B238" s="27" t="inlineStr">
        <is>
          <t>Idea Gelato S de RL de CV</t>
        </is>
      </c>
      <c r="C238" s="27" t="inlineStr">
        <is>
          <t>Expert Furgon</t>
        </is>
      </c>
      <c r="D238" s="26" t="inlineStr">
        <is>
          <t>ACTIVO</t>
        </is>
      </c>
      <c r="E238" s="26" t="inlineStr">
        <is>
          <t>2026-03-31</t>
        </is>
      </c>
      <c r="F238" s="26" t="inlineStr">
        <is>
          <t>2028-03-31</t>
        </is>
      </c>
      <c r="G238" s="28" t="n">
        <v>24</v>
      </c>
      <c r="H238" s="29" t="n">
        <v>106189.66</v>
      </c>
      <c r="I238" s="29" t="inlineStr"/>
      <c r="J238" s="29" t="inlineStr"/>
      <c r="K238" s="29">
        <f>ROUND('Resumen_Cartera'!$U238 * 'Resumen_Cartera'!$Q238, 2)</f>
        <v/>
      </c>
      <c r="L238" s="29">
        <f>IF(Saldo_Residual_Activo!K238&gt;0, ROUND(Saldo_Residual_Activo!K238 * 'Resumen_Cartera'!$Q238, 2), "")</f>
        <v/>
      </c>
      <c r="M238" s="29">
        <f>IF(Saldo_Residual_Activo!L238&gt;0, ROUND(Saldo_Residual_Activo!L238 * 'Resumen_Cartera'!$Q238, 2), "")</f>
        <v/>
      </c>
      <c r="N238" s="29">
        <f>IF(Saldo_Residual_Activo!M238&gt;0, ROUND(Saldo_Residual_Activo!M238 * 'Resumen_Cartera'!$Q238, 2), "")</f>
        <v/>
      </c>
      <c r="O238" s="29">
        <f>IF(Saldo_Residual_Activo!N238&gt;0, ROUND(Saldo_Residual_Activo!N238 * 'Resumen_Cartera'!$Q238, 2), "")</f>
        <v/>
      </c>
      <c r="P238" s="29">
        <f>IF(Saldo_Residual_Activo!O238&gt;0, ROUND(Saldo_Residual_Activo!O238 * 'Resumen_Cartera'!$Q238, 2), "")</f>
        <v/>
      </c>
      <c r="Q238" s="29">
        <f>IF(Saldo_Residual_Activo!P238&gt;0, ROUND(Saldo_Residual_Activo!P238 * 'Resumen_Cartera'!$Q238, 2), "")</f>
        <v/>
      </c>
      <c r="R238" s="29">
        <f>IF(Saldo_Residual_Activo!Q238&gt;0, ROUND(Saldo_Residual_Activo!Q238 * 'Resumen_Cartera'!$Q238, 2), "")</f>
        <v/>
      </c>
      <c r="S238" s="29">
        <f>IF(Saldo_Residual_Activo!R238&gt;0, ROUND(Saldo_Residual_Activo!R238 * 'Resumen_Cartera'!$Q238, 2), "")</f>
        <v/>
      </c>
      <c r="T238" s="29">
        <f>IF(Saldo_Residual_Activo!S238&gt;0, ROUND(Saldo_Residual_Activo!S238 * 'Resumen_Cartera'!$Q238, 2), "")</f>
        <v/>
      </c>
      <c r="U238" s="29">
        <f>SUM(I238:T238)</f>
        <v/>
      </c>
    </row>
    <row r="239">
      <c r="A239" s="20" t="inlineStr">
        <is>
          <t>0752-0001</t>
        </is>
      </c>
      <c r="B239" s="21" t="inlineStr">
        <is>
          <t>Fernando Plasencia Lopez</t>
        </is>
      </c>
      <c r="C239" s="21" t="inlineStr">
        <is>
          <t>Grand Cherokee Limited</t>
        </is>
      </c>
      <c r="D239" s="20" t="inlineStr">
        <is>
          <t>ACTIVO</t>
        </is>
      </c>
      <c r="E239" s="20" t="inlineStr">
        <is>
          <t>2026-03-31</t>
        </is>
      </c>
      <c r="F239" s="20" t="inlineStr">
        <is>
          <t>2028-03-31</t>
        </is>
      </c>
      <c r="G239" s="22" t="n">
        <v>24</v>
      </c>
      <c r="H239" s="23" t="n">
        <v>361784.48</v>
      </c>
      <c r="I239" s="23" t="inlineStr"/>
      <c r="J239" s="23" t="inlineStr"/>
      <c r="K239" s="23">
        <f>ROUND('Resumen_Cartera'!$U239 * 'Resumen_Cartera'!$Q239, 2)</f>
        <v/>
      </c>
      <c r="L239" s="23">
        <f>IF(Saldo_Residual_Activo!K239&gt;0, ROUND(Saldo_Residual_Activo!K239 * 'Resumen_Cartera'!$Q239, 2), "")</f>
        <v/>
      </c>
      <c r="M239" s="23">
        <f>IF(Saldo_Residual_Activo!L239&gt;0, ROUND(Saldo_Residual_Activo!L239 * 'Resumen_Cartera'!$Q239, 2), "")</f>
        <v/>
      </c>
      <c r="N239" s="23">
        <f>IF(Saldo_Residual_Activo!M239&gt;0, ROUND(Saldo_Residual_Activo!M239 * 'Resumen_Cartera'!$Q239, 2), "")</f>
        <v/>
      </c>
      <c r="O239" s="23">
        <f>IF(Saldo_Residual_Activo!N239&gt;0, ROUND(Saldo_Residual_Activo!N239 * 'Resumen_Cartera'!$Q239, 2), "")</f>
        <v/>
      </c>
      <c r="P239" s="23">
        <f>IF(Saldo_Residual_Activo!O239&gt;0, ROUND(Saldo_Residual_Activo!O239 * 'Resumen_Cartera'!$Q239, 2), "")</f>
        <v/>
      </c>
      <c r="Q239" s="23">
        <f>IF(Saldo_Residual_Activo!P239&gt;0, ROUND(Saldo_Residual_Activo!P239 * 'Resumen_Cartera'!$Q239, 2), "")</f>
        <v/>
      </c>
      <c r="R239" s="23">
        <f>IF(Saldo_Residual_Activo!Q239&gt;0, ROUND(Saldo_Residual_Activo!Q239 * 'Resumen_Cartera'!$Q239, 2), "")</f>
        <v/>
      </c>
      <c r="S239" s="23">
        <f>IF(Saldo_Residual_Activo!R239&gt;0, ROUND(Saldo_Residual_Activo!R239 * 'Resumen_Cartera'!$Q239, 2), "")</f>
        <v/>
      </c>
      <c r="T239" s="23">
        <f>IF(Saldo_Residual_Activo!S239&gt;0, ROUND(Saldo_Residual_Activo!S239 * 'Resumen_Cartera'!$Q239, 2), "")</f>
        <v/>
      </c>
      <c r="U239" s="23">
        <f>SUM(I239:T239)</f>
        <v/>
      </c>
    </row>
    <row r="240">
      <c r="A240" s="26" t="inlineStr">
        <is>
          <t>0752-0002</t>
        </is>
      </c>
      <c r="B240" s="27" t="inlineStr">
        <is>
          <t>Fernando Plasencia Lopez</t>
        </is>
      </c>
      <c r="C240" s="27" t="inlineStr">
        <is>
          <t>Grand Cherokee Altitude</t>
        </is>
      </c>
      <c r="D240" s="26" t="inlineStr">
        <is>
          <t>ACTIVO</t>
        </is>
      </c>
      <c r="E240" s="26" t="inlineStr">
        <is>
          <t>2026-03-31</t>
        </is>
      </c>
      <c r="F240" s="26" t="inlineStr">
        <is>
          <t>2028-03-31</t>
        </is>
      </c>
      <c r="G240" s="28" t="n">
        <v>24</v>
      </c>
      <c r="H240" s="29" t="n">
        <v>307732.76</v>
      </c>
      <c r="I240" s="29" t="inlineStr"/>
      <c r="J240" s="29" t="inlineStr"/>
      <c r="K240" s="29">
        <f>ROUND('Resumen_Cartera'!$U240 * 'Resumen_Cartera'!$Q240, 2)</f>
        <v/>
      </c>
      <c r="L240" s="29">
        <f>IF(Saldo_Residual_Activo!K240&gt;0, ROUND(Saldo_Residual_Activo!K240 * 'Resumen_Cartera'!$Q240, 2), "")</f>
        <v/>
      </c>
      <c r="M240" s="29">
        <f>IF(Saldo_Residual_Activo!L240&gt;0, ROUND(Saldo_Residual_Activo!L240 * 'Resumen_Cartera'!$Q240, 2), "")</f>
        <v/>
      </c>
      <c r="N240" s="29">
        <f>IF(Saldo_Residual_Activo!M240&gt;0, ROUND(Saldo_Residual_Activo!M240 * 'Resumen_Cartera'!$Q240, 2), "")</f>
        <v/>
      </c>
      <c r="O240" s="29">
        <f>IF(Saldo_Residual_Activo!N240&gt;0, ROUND(Saldo_Residual_Activo!N240 * 'Resumen_Cartera'!$Q240, 2), "")</f>
        <v/>
      </c>
      <c r="P240" s="29">
        <f>IF(Saldo_Residual_Activo!O240&gt;0, ROUND(Saldo_Residual_Activo!O240 * 'Resumen_Cartera'!$Q240, 2), "")</f>
        <v/>
      </c>
      <c r="Q240" s="29">
        <f>IF(Saldo_Residual_Activo!P240&gt;0, ROUND(Saldo_Residual_Activo!P240 * 'Resumen_Cartera'!$Q240, 2), "")</f>
        <v/>
      </c>
      <c r="R240" s="29">
        <f>IF(Saldo_Residual_Activo!Q240&gt;0, ROUND(Saldo_Residual_Activo!Q240 * 'Resumen_Cartera'!$Q240, 2), "")</f>
        <v/>
      </c>
      <c r="S240" s="29">
        <f>IF(Saldo_Residual_Activo!R240&gt;0, ROUND(Saldo_Residual_Activo!R240 * 'Resumen_Cartera'!$Q240, 2), "")</f>
        <v/>
      </c>
      <c r="T240" s="29">
        <f>IF(Saldo_Residual_Activo!S240&gt;0, ROUND(Saldo_Residual_Activo!S240 * 'Resumen_Cartera'!$Q240, 2), "")</f>
        <v/>
      </c>
      <c r="U240" s="29">
        <f>SUM(I240:T240)</f>
        <v/>
      </c>
    </row>
    <row r="241">
      <c r="A241" s="20" t="inlineStr">
        <is>
          <t>0752-0003</t>
        </is>
      </c>
      <c r="B241" s="21" t="inlineStr">
        <is>
          <t>Fernando Plasencia Lopez</t>
        </is>
      </c>
      <c r="C241" s="21" t="inlineStr">
        <is>
          <t>Grand Cherokee Summit</t>
        </is>
      </c>
      <c r="D241" s="20" t="inlineStr">
        <is>
          <t>ACTIVO</t>
        </is>
      </c>
      <c r="E241" s="20" t="inlineStr">
        <is>
          <t>2026-05-13</t>
        </is>
      </c>
      <c r="F241" s="20" t="inlineStr">
        <is>
          <t>2028-05-13</t>
        </is>
      </c>
      <c r="G241" s="22" t="n">
        <v>24</v>
      </c>
      <c r="H241" s="23" t="n">
        <v>569370</v>
      </c>
      <c r="I241" s="23" t="inlineStr"/>
      <c r="J241" s="23" t="inlineStr"/>
      <c r="K241" s="23" t="inlineStr"/>
      <c r="L241" s="23" t="inlineStr"/>
      <c r="M241" s="23">
        <f>ROUND('Resumen_Cartera'!$U241 * 'Resumen_Cartera'!$Q241, 2)</f>
        <v/>
      </c>
      <c r="N241" s="23">
        <f>IF(Saldo_Residual_Activo!M241&gt;0, ROUND(Saldo_Residual_Activo!M241 * 'Resumen_Cartera'!$Q241, 2), "")</f>
        <v/>
      </c>
      <c r="O241" s="23">
        <f>IF(Saldo_Residual_Activo!N241&gt;0, ROUND(Saldo_Residual_Activo!N241 * 'Resumen_Cartera'!$Q241, 2), "")</f>
        <v/>
      </c>
      <c r="P241" s="23">
        <f>IF(Saldo_Residual_Activo!O241&gt;0, ROUND(Saldo_Residual_Activo!O241 * 'Resumen_Cartera'!$Q241, 2), "")</f>
        <v/>
      </c>
      <c r="Q241" s="23">
        <f>IF(Saldo_Residual_Activo!P241&gt;0, ROUND(Saldo_Residual_Activo!P241 * 'Resumen_Cartera'!$Q241, 2), "")</f>
        <v/>
      </c>
      <c r="R241" s="23">
        <f>IF(Saldo_Residual_Activo!Q241&gt;0, ROUND(Saldo_Residual_Activo!Q241 * 'Resumen_Cartera'!$Q241, 2), "")</f>
        <v/>
      </c>
      <c r="S241" s="23">
        <f>IF(Saldo_Residual_Activo!R241&gt;0, ROUND(Saldo_Residual_Activo!R241 * 'Resumen_Cartera'!$Q241, 2), "")</f>
        <v/>
      </c>
      <c r="T241" s="23">
        <f>IF(Saldo_Residual_Activo!S241&gt;0, ROUND(Saldo_Residual_Activo!S241 * 'Resumen_Cartera'!$Q241, 2), "")</f>
        <v/>
      </c>
      <c r="U241" s="23">
        <f>SUM(I241:T241)</f>
        <v/>
      </c>
    </row>
    <row r="242">
      <c r="A242" s="26" t="inlineStr">
        <is>
          <t>0752-0004</t>
        </is>
      </c>
      <c r="B242" s="27" t="inlineStr">
        <is>
          <t>Fernando Plasencia Lopez</t>
        </is>
      </c>
      <c r="C242" s="27" t="inlineStr">
        <is>
          <t>1200 BIGHORN CC</t>
        </is>
      </c>
      <c r="D242" s="26" t="inlineStr">
        <is>
          <t>ACTIVO</t>
        </is>
      </c>
      <c r="E242" s="26" t="inlineStr">
        <is>
          <t>2026-06-05</t>
        </is>
      </c>
      <c r="F242" s="26" t="inlineStr">
        <is>
          <t>2030-06-05</t>
        </is>
      </c>
      <c r="G242" s="28" t="n">
        <v>48</v>
      </c>
      <c r="H242" s="29" t="n">
        <v>168750.9</v>
      </c>
      <c r="I242" s="29" t="inlineStr"/>
      <c r="J242" s="29" t="inlineStr"/>
      <c r="K242" s="29" t="inlineStr"/>
      <c r="L242" s="29" t="inlineStr"/>
      <c r="M242" s="29" t="inlineStr"/>
      <c r="N242" s="29">
        <f>ROUND('Resumen_Cartera'!$U242 * 'Resumen_Cartera'!$Q242, 2)</f>
        <v/>
      </c>
      <c r="O242" s="29">
        <f>IF(Saldo_Residual_Activo!N242&gt;0, ROUND(Saldo_Residual_Activo!N242 * 'Resumen_Cartera'!$Q242, 2), "")</f>
        <v/>
      </c>
      <c r="P242" s="29">
        <f>IF(Saldo_Residual_Activo!O242&gt;0, ROUND(Saldo_Residual_Activo!O242 * 'Resumen_Cartera'!$Q242, 2), "")</f>
        <v/>
      </c>
      <c r="Q242" s="29">
        <f>IF(Saldo_Residual_Activo!P242&gt;0, ROUND(Saldo_Residual_Activo!P242 * 'Resumen_Cartera'!$Q242, 2), "")</f>
        <v/>
      </c>
      <c r="R242" s="29">
        <f>IF(Saldo_Residual_Activo!Q242&gt;0, ROUND(Saldo_Residual_Activo!Q242 * 'Resumen_Cartera'!$Q242, 2), "")</f>
        <v/>
      </c>
      <c r="S242" s="29">
        <f>IF(Saldo_Residual_Activo!R242&gt;0, ROUND(Saldo_Residual_Activo!R242 * 'Resumen_Cartera'!$Q242, 2), "")</f>
        <v/>
      </c>
      <c r="T242" s="29">
        <f>IF(Saldo_Residual_Activo!S242&gt;0, ROUND(Saldo_Residual_Activo!S242 * 'Resumen_Cartera'!$Q242, 2), "")</f>
        <v/>
      </c>
      <c r="U242" s="29">
        <f>SUM(I242:T242)</f>
        <v/>
      </c>
    </row>
    <row r="243">
      <c r="A243" s="20" t="inlineStr">
        <is>
          <t>0752-0005</t>
        </is>
      </c>
      <c r="B243" s="21" t="inlineStr">
        <is>
          <t>Fernando Plasencia Lopez</t>
        </is>
      </c>
      <c r="C243" s="21" t="inlineStr">
        <is>
          <t>Grand Charokee Altitude</t>
        </is>
      </c>
      <c r="D243" s="20" t="inlineStr">
        <is>
          <t>ACTIVO</t>
        </is>
      </c>
      <c r="E243" s="20" t="inlineStr">
        <is>
          <t>2026-06-05</t>
        </is>
      </c>
      <c r="F243" s="20" t="inlineStr">
        <is>
          <t>2028-06-05</t>
        </is>
      </c>
      <c r="G243" s="22" t="n">
        <v>24</v>
      </c>
      <c r="H243" s="23" t="n">
        <v>356970</v>
      </c>
      <c r="I243" s="23" t="inlineStr"/>
      <c r="J243" s="23" t="inlineStr"/>
      <c r="K243" s="23" t="inlineStr"/>
      <c r="L243" s="23" t="inlineStr"/>
      <c r="M243" s="23" t="inlineStr"/>
      <c r="N243" s="23">
        <f>ROUND('Resumen_Cartera'!$U243 * 'Resumen_Cartera'!$Q243, 2)</f>
        <v/>
      </c>
      <c r="O243" s="23">
        <f>IF(Saldo_Residual_Activo!N243&gt;0, ROUND(Saldo_Residual_Activo!N243 * 'Resumen_Cartera'!$Q243, 2), "")</f>
        <v/>
      </c>
      <c r="P243" s="23">
        <f>IF(Saldo_Residual_Activo!O243&gt;0, ROUND(Saldo_Residual_Activo!O243 * 'Resumen_Cartera'!$Q243, 2), "")</f>
        <v/>
      </c>
      <c r="Q243" s="23">
        <f>IF(Saldo_Residual_Activo!P243&gt;0, ROUND(Saldo_Residual_Activo!P243 * 'Resumen_Cartera'!$Q243, 2), "")</f>
        <v/>
      </c>
      <c r="R243" s="23">
        <f>IF(Saldo_Residual_Activo!Q243&gt;0, ROUND(Saldo_Residual_Activo!Q243 * 'Resumen_Cartera'!$Q243, 2), "")</f>
        <v/>
      </c>
      <c r="S243" s="23">
        <f>IF(Saldo_Residual_Activo!R243&gt;0, ROUND(Saldo_Residual_Activo!R243 * 'Resumen_Cartera'!$Q243, 2), "")</f>
        <v/>
      </c>
      <c r="T243" s="23">
        <f>IF(Saldo_Residual_Activo!S243&gt;0, ROUND(Saldo_Residual_Activo!S243 * 'Resumen_Cartera'!$Q243, 2), "")</f>
        <v/>
      </c>
      <c r="U243" s="23">
        <f>SUM(I243:T243)</f>
        <v/>
      </c>
    </row>
    <row r="244">
      <c r="A244" s="26" t="inlineStr">
        <is>
          <t>0753-0001</t>
        </is>
      </c>
      <c r="B244" s="27" t="inlineStr">
        <is>
          <t>Milodi Seguridad Privada</t>
        </is>
      </c>
      <c r="C244" s="27" t="inlineStr">
        <is>
          <t>Alsvin</t>
        </is>
      </c>
      <c r="D244" s="26" t="inlineStr">
        <is>
          <t>ACTIVO</t>
        </is>
      </c>
      <c r="E244" s="26" t="inlineStr">
        <is>
          <t>2026-03-31</t>
        </is>
      </c>
      <c r="F244" s="26" t="inlineStr">
        <is>
          <t>2029-03-31</t>
        </is>
      </c>
      <c r="G244" s="28" t="n">
        <v>36</v>
      </c>
      <c r="H244" s="29" t="n">
        <v>43954.31</v>
      </c>
      <c r="I244" s="29" t="inlineStr"/>
      <c r="J244" s="29" t="inlineStr"/>
      <c r="K244" s="29">
        <f>ROUND('Resumen_Cartera'!$U244 * 'Resumen_Cartera'!$Q244, 2)</f>
        <v/>
      </c>
      <c r="L244" s="29">
        <f>IF(Saldo_Residual_Activo!K244&gt;0, ROUND(Saldo_Residual_Activo!K244 * 'Resumen_Cartera'!$Q244, 2), "")</f>
        <v/>
      </c>
      <c r="M244" s="29">
        <f>IF(Saldo_Residual_Activo!L244&gt;0, ROUND(Saldo_Residual_Activo!L244 * 'Resumen_Cartera'!$Q244, 2), "")</f>
        <v/>
      </c>
      <c r="N244" s="29">
        <f>IF(Saldo_Residual_Activo!M244&gt;0, ROUND(Saldo_Residual_Activo!M244 * 'Resumen_Cartera'!$Q244, 2), "")</f>
        <v/>
      </c>
      <c r="O244" s="29">
        <f>IF(Saldo_Residual_Activo!N244&gt;0, ROUND(Saldo_Residual_Activo!N244 * 'Resumen_Cartera'!$Q244, 2), "")</f>
        <v/>
      </c>
      <c r="P244" s="29">
        <f>IF(Saldo_Residual_Activo!O244&gt;0, ROUND(Saldo_Residual_Activo!O244 * 'Resumen_Cartera'!$Q244, 2), "")</f>
        <v/>
      </c>
      <c r="Q244" s="29">
        <f>IF(Saldo_Residual_Activo!P244&gt;0, ROUND(Saldo_Residual_Activo!P244 * 'Resumen_Cartera'!$Q244, 2), "")</f>
        <v/>
      </c>
      <c r="R244" s="29">
        <f>IF(Saldo_Residual_Activo!Q244&gt;0, ROUND(Saldo_Residual_Activo!Q244 * 'Resumen_Cartera'!$Q244, 2), "")</f>
        <v/>
      </c>
      <c r="S244" s="29">
        <f>IF(Saldo_Residual_Activo!R244&gt;0, ROUND(Saldo_Residual_Activo!R244 * 'Resumen_Cartera'!$Q244, 2), "")</f>
        <v/>
      </c>
      <c r="T244" s="29">
        <f>IF(Saldo_Residual_Activo!S244&gt;0, ROUND(Saldo_Residual_Activo!S244 * 'Resumen_Cartera'!$Q244, 2), "")</f>
        <v/>
      </c>
      <c r="U244" s="29">
        <f>SUM(I244:T244)</f>
        <v/>
      </c>
    </row>
    <row r="245">
      <c r="A245" s="20" t="inlineStr">
        <is>
          <t>0753-0003</t>
        </is>
      </c>
      <c r="B245" s="21" t="inlineStr">
        <is>
          <t>Milodi Seguridad Privada</t>
        </is>
      </c>
      <c r="C245" s="21" t="inlineStr">
        <is>
          <t>CS35</t>
        </is>
      </c>
      <c r="D245" s="20" t="inlineStr">
        <is>
          <t>ACTIVO</t>
        </is>
      </c>
      <c r="E245" s="20" t="inlineStr">
        <is>
          <t>2026-06-16</t>
        </is>
      </c>
      <c r="F245" s="20" t="inlineStr">
        <is>
          <t>2029-06-16</t>
        </is>
      </c>
      <c r="G245" s="22" t="n">
        <v>36</v>
      </c>
      <c r="H245" s="23" t="n">
        <v>45580.3</v>
      </c>
      <c r="I245" s="23" t="inlineStr"/>
      <c r="J245" s="23" t="inlineStr"/>
      <c r="K245" s="23" t="inlineStr"/>
      <c r="L245" s="23" t="inlineStr"/>
      <c r="M245" s="23" t="inlineStr"/>
      <c r="N245" s="23">
        <f>ROUND('Resumen_Cartera'!$U245 * 'Resumen_Cartera'!$Q245, 2)</f>
        <v/>
      </c>
      <c r="O245" s="23">
        <f>IF(Saldo_Residual_Activo!N245&gt;0, ROUND(Saldo_Residual_Activo!N245 * 'Resumen_Cartera'!$Q245, 2), "")</f>
        <v/>
      </c>
      <c r="P245" s="23">
        <f>IF(Saldo_Residual_Activo!O245&gt;0, ROUND(Saldo_Residual_Activo!O245 * 'Resumen_Cartera'!$Q245, 2), "")</f>
        <v/>
      </c>
      <c r="Q245" s="23">
        <f>IF(Saldo_Residual_Activo!P245&gt;0, ROUND(Saldo_Residual_Activo!P245 * 'Resumen_Cartera'!$Q245, 2), "")</f>
        <v/>
      </c>
      <c r="R245" s="23">
        <f>IF(Saldo_Residual_Activo!Q245&gt;0, ROUND(Saldo_Residual_Activo!Q245 * 'Resumen_Cartera'!$Q245, 2), "")</f>
        <v/>
      </c>
      <c r="S245" s="23">
        <f>IF(Saldo_Residual_Activo!R245&gt;0, ROUND(Saldo_Residual_Activo!R245 * 'Resumen_Cartera'!$Q245, 2), "")</f>
        <v/>
      </c>
      <c r="T245" s="23">
        <f>IF(Saldo_Residual_Activo!S245&gt;0, ROUND(Saldo_Residual_Activo!S245 * 'Resumen_Cartera'!$Q245, 2), "")</f>
        <v/>
      </c>
      <c r="U245" s="23">
        <f>SUM(I245:T245)</f>
        <v/>
      </c>
    </row>
    <row r="246">
      <c r="A246" s="26" t="inlineStr">
        <is>
          <t>0754-0001</t>
        </is>
      </c>
      <c r="B246" s="27" t="inlineStr">
        <is>
          <t>Luis Guillermo Rios Villaseñor</t>
        </is>
      </c>
      <c r="C246" s="27" t="inlineStr">
        <is>
          <t>2008 GT</t>
        </is>
      </c>
      <c r="D246" s="26" t="inlineStr">
        <is>
          <t>ACTIVO</t>
        </is>
      </c>
      <c r="E246" s="26" t="inlineStr">
        <is>
          <t>2026-04-23</t>
        </is>
      </c>
      <c r="F246" s="26" t="inlineStr">
        <is>
          <t>2028-04-23</t>
        </is>
      </c>
      <c r="G246" s="28" t="n">
        <v>24</v>
      </c>
      <c r="H246" s="29" t="n">
        <v>84637.92999999999</v>
      </c>
      <c r="I246" s="29" t="inlineStr"/>
      <c r="J246" s="29" t="inlineStr"/>
      <c r="K246" s="29" t="inlineStr"/>
      <c r="L246" s="29">
        <f>ROUND('Resumen_Cartera'!$U246 * 'Resumen_Cartera'!$Q246, 2)</f>
        <v/>
      </c>
      <c r="M246" s="29">
        <f>IF(Saldo_Residual_Activo!L246&gt;0, ROUND(Saldo_Residual_Activo!L246 * 'Resumen_Cartera'!$Q246, 2), "")</f>
        <v/>
      </c>
      <c r="N246" s="29">
        <f>IF(Saldo_Residual_Activo!M246&gt;0, ROUND(Saldo_Residual_Activo!M246 * 'Resumen_Cartera'!$Q246, 2), "")</f>
        <v/>
      </c>
      <c r="O246" s="29">
        <f>IF(Saldo_Residual_Activo!N246&gt;0, ROUND(Saldo_Residual_Activo!N246 * 'Resumen_Cartera'!$Q246, 2), "")</f>
        <v/>
      </c>
      <c r="P246" s="29">
        <f>IF(Saldo_Residual_Activo!O246&gt;0, ROUND(Saldo_Residual_Activo!O246 * 'Resumen_Cartera'!$Q246, 2), "")</f>
        <v/>
      </c>
      <c r="Q246" s="29">
        <f>IF(Saldo_Residual_Activo!P246&gt;0, ROUND(Saldo_Residual_Activo!P246 * 'Resumen_Cartera'!$Q246, 2), "")</f>
        <v/>
      </c>
      <c r="R246" s="29">
        <f>IF(Saldo_Residual_Activo!Q246&gt;0, ROUND(Saldo_Residual_Activo!Q246 * 'Resumen_Cartera'!$Q246, 2), "")</f>
        <v/>
      </c>
      <c r="S246" s="29">
        <f>IF(Saldo_Residual_Activo!R246&gt;0, ROUND(Saldo_Residual_Activo!R246 * 'Resumen_Cartera'!$Q246, 2), "")</f>
        <v/>
      </c>
      <c r="T246" s="29">
        <f>IF(Saldo_Residual_Activo!S246&gt;0, ROUND(Saldo_Residual_Activo!S246 * 'Resumen_Cartera'!$Q246, 2), "")</f>
        <v/>
      </c>
      <c r="U246" s="29">
        <f>SUM(I246:T246)</f>
        <v/>
      </c>
    </row>
    <row r="247">
      <c r="A247" s="20" t="inlineStr">
        <is>
          <t>0755-0001</t>
        </is>
      </c>
      <c r="B247" s="21" t="inlineStr">
        <is>
          <t>Abiam Antonio Reyna Aguilar</t>
        </is>
      </c>
      <c r="C247" s="21" t="inlineStr">
        <is>
          <t>1500 RHO</t>
        </is>
      </c>
      <c r="D247" s="20" t="inlineStr">
        <is>
          <t>ACTIVO</t>
        </is>
      </c>
      <c r="E247" s="20" t="inlineStr">
        <is>
          <t>2026-04-28</t>
        </is>
      </c>
      <c r="F247" s="20" t="inlineStr">
        <is>
          <t>2027-04-28</t>
        </is>
      </c>
      <c r="G247" s="22" t="n">
        <v>12</v>
      </c>
      <c r="H247" s="23" t="n">
        <v>607758.62</v>
      </c>
      <c r="I247" s="23" t="inlineStr"/>
      <c r="J247" s="23" t="inlineStr"/>
      <c r="K247" s="23" t="inlineStr"/>
      <c r="L247" s="23">
        <f>ROUND('Resumen_Cartera'!$U247 * 'Resumen_Cartera'!$Q247, 2)</f>
        <v/>
      </c>
      <c r="M247" s="23">
        <f>IF(Saldo_Residual_Activo!L247&gt;0, ROUND(Saldo_Residual_Activo!L247 * 'Resumen_Cartera'!$Q247, 2), "")</f>
        <v/>
      </c>
      <c r="N247" s="23">
        <f>IF(Saldo_Residual_Activo!M247&gt;0, ROUND(Saldo_Residual_Activo!M247 * 'Resumen_Cartera'!$Q247, 2), "")</f>
        <v/>
      </c>
      <c r="O247" s="23">
        <f>IF(Saldo_Residual_Activo!N247&gt;0, ROUND(Saldo_Residual_Activo!N247 * 'Resumen_Cartera'!$Q247, 2), "")</f>
        <v/>
      </c>
      <c r="P247" s="23">
        <f>IF(Saldo_Residual_Activo!O247&gt;0, ROUND(Saldo_Residual_Activo!O247 * 'Resumen_Cartera'!$Q247, 2), "")</f>
        <v/>
      </c>
      <c r="Q247" s="23">
        <f>IF(Saldo_Residual_Activo!P247&gt;0, ROUND(Saldo_Residual_Activo!P247 * 'Resumen_Cartera'!$Q247, 2), "")</f>
        <v/>
      </c>
      <c r="R247" s="23">
        <f>IF(Saldo_Residual_Activo!Q247&gt;0, ROUND(Saldo_Residual_Activo!Q247 * 'Resumen_Cartera'!$Q247, 2), "")</f>
        <v/>
      </c>
      <c r="S247" s="23">
        <f>IF(Saldo_Residual_Activo!R247&gt;0, ROUND(Saldo_Residual_Activo!R247 * 'Resumen_Cartera'!$Q247, 2), "")</f>
        <v/>
      </c>
      <c r="T247" s="23">
        <f>IF(Saldo_Residual_Activo!S247&gt;0, ROUND(Saldo_Residual_Activo!S247 * 'Resumen_Cartera'!$Q247, 2), "")</f>
        <v/>
      </c>
      <c r="U247" s="23">
        <f>SUM(I247:T247)</f>
        <v/>
      </c>
    </row>
    <row r="248">
      <c r="A248" s="26" t="inlineStr">
        <is>
          <t>0756-0001</t>
        </is>
      </c>
      <c r="B248" s="27" t="inlineStr">
        <is>
          <t>Agricola Hortiberry, S.A. de C.V.</t>
        </is>
      </c>
      <c r="C248" s="27" t="inlineStr">
        <is>
          <t>1200  Tradesman Chasis Cabina</t>
        </is>
      </c>
      <c r="D248" s="26" t="inlineStr">
        <is>
          <t>ACTIVO</t>
        </is>
      </c>
      <c r="E248" s="26" t="inlineStr">
        <is>
          <t>2026-05-06</t>
        </is>
      </c>
      <c r="F248" s="26" t="inlineStr">
        <is>
          <t>2030-05-06</t>
        </is>
      </c>
      <c r="G248" s="28" t="n">
        <v>48</v>
      </c>
      <c r="H248" s="29" t="n">
        <v>181861.2</v>
      </c>
      <c r="I248" s="29" t="inlineStr"/>
      <c r="J248" s="29" t="inlineStr"/>
      <c r="K248" s="29" t="inlineStr"/>
      <c r="L248" s="29" t="inlineStr"/>
      <c r="M248" s="29">
        <f>ROUND('Resumen_Cartera'!$U248 * 'Resumen_Cartera'!$Q248, 2)</f>
        <v/>
      </c>
      <c r="N248" s="29">
        <f>IF(Saldo_Residual_Activo!M248&gt;0, ROUND(Saldo_Residual_Activo!M248 * 'Resumen_Cartera'!$Q248, 2), "")</f>
        <v/>
      </c>
      <c r="O248" s="29">
        <f>IF(Saldo_Residual_Activo!N248&gt;0, ROUND(Saldo_Residual_Activo!N248 * 'Resumen_Cartera'!$Q248, 2), "")</f>
        <v/>
      </c>
      <c r="P248" s="29">
        <f>IF(Saldo_Residual_Activo!O248&gt;0, ROUND(Saldo_Residual_Activo!O248 * 'Resumen_Cartera'!$Q248, 2), "")</f>
        <v/>
      </c>
      <c r="Q248" s="29">
        <f>IF(Saldo_Residual_Activo!P248&gt;0, ROUND(Saldo_Residual_Activo!P248 * 'Resumen_Cartera'!$Q248, 2), "")</f>
        <v/>
      </c>
      <c r="R248" s="29">
        <f>IF(Saldo_Residual_Activo!Q248&gt;0, ROUND(Saldo_Residual_Activo!Q248 * 'Resumen_Cartera'!$Q248, 2), "")</f>
        <v/>
      </c>
      <c r="S248" s="29">
        <f>IF(Saldo_Residual_Activo!R248&gt;0, ROUND(Saldo_Residual_Activo!R248 * 'Resumen_Cartera'!$Q248, 2), "")</f>
        <v/>
      </c>
      <c r="T248" s="29">
        <f>IF(Saldo_Residual_Activo!S248&gt;0, ROUND(Saldo_Residual_Activo!S248 * 'Resumen_Cartera'!$Q248, 2), "")</f>
        <v/>
      </c>
      <c r="U248" s="29">
        <f>SUM(I248:T248)</f>
        <v/>
      </c>
    </row>
    <row r="249">
      <c r="A249" s="20" t="inlineStr">
        <is>
          <t>0757-0001</t>
        </is>
      </c>
      <c r="B249" s="21" t="inlineStr">
        <is>
          <t>Corporativo de Servicios Integrales de Occidente, S.A. de C.V.</t>
        </is>
      </c>
      <c r="C249" s="21" t="inlineStr">
        <is>
          <t>CX5</t>
        </is>
      </c>
      <c r="D249" s="20" t="inlineStr">
        <is>
          <t>ACTIVO</t>
        </is>
      </c>
      <c r="E249" s="20" t="inlineStr">
        <is>
          <t>2026-05-13</t>
        </is>
      </c>
      <c r="F249" s="20" t="inlineStr">
        <is>
          <t>2028-05-13</t>
        </is>
      </c>
      <c r="G249" s="22" t="n">
        <v>24</v>
      </c>
      <c r="H249" s="23" t="n">
        <v>143980</v>
      </c>
      <c r="I249" s="23" t="inlineStr"/>
      <c r="J249" s="23" t="inlineStr"/>
      <c r="K249" s="23" t="inlineStr"/>
      <c r="L249" s="23" t="inlineStr"/>
      <c r="M249" s="23">
        <f>ROUND('Resumen_Cartera'!$U249 * 'Resumen_Cartera'!$Q249, 2)</f>
        <v/>
      </c>
      <c r="N249" s="23">
        <f>IF(Saldo_Residual_Activo!M249&gt;0, ROUND(Saldo_Residual_Activo!M249 * 'Resumen_Cartera'!$Q249, 2), "")</f>
        <v/>
      </c>
      <c r="O249" s="23">
        <f>IF(Saldo_Residual_Activo!N249&gt;0, ROUND(Saldo_Residual_Activo!N249 * 'Resumen_Cartera'!$Q249, 2), "")</f>
        <v/>
      </c>
      <c r="P249" s="23">
        <f>IF(Saldo_Residual_Activo!O249&gt;0, ROUND(Saldo_Residual_Activo!O249 * 'Resumen_Cartera'!$Q249, 2), "")</f>
        <v/>
      </c>
      <c r="Q249" s="23">
        <f>IF(Saldo_Residual_Activo!P249&gt;0, ROUND(Saldo_Residual_Activo!P249 * 'Resumen_Cartera'!$Q249, 2), "")</f>
        <v/>
      </c>
      <c r="R249" s="23">
        <f>IF(Saldo_Residual_Activo!Q249&gt;0, ROUND(Saldo_Residual_Activo!Q249 * 'Resumen_Cartera'!$Q249, 2), "")</f>
        <v/>
      </c>
      <c r="S249" s="23">
        <f>IF(Saldo_Residual_Activo!R249&gt;0, ROUND(Saldo_Residual_Activo!R249 * 'Resumen_Cartera'!$Q249, 2), "")</f>
        <v/>
      </c>
      <c r="T249" s="23">
        <f>IF(Saldo_Residual_Activo!S249&gt;0, ROUND(Saldo_Residual_Activo!S249 * 'Resumen_Cartera'!$Q249, 2), "")</f>
        <v/>
      </c>
      <c r="U249" s="23">
        <f>SUM(I249:T249)</f>
        <v/>
      </c>
    </row>
    <row r="250">
      <c r="A250" s="26" t="inlineStr">
        <is>
          <t>0757-0002</t>
        </is>
      </c>
      <c r="B250" s="27" t="inlineStr">
        <is>
          <t>Corporativo de Servicios Integrales de Occidente, S.A. de C.V.</t>
        </is>
      </c>
      <c r="C250" s="27" t="inlineStr">
        <is>
          <t>Leapmotor B10 2026</t>
        </is>
      </c>
      <c r="D250" s="26" t="inlineStr">
        <is>
          <t>ACTIVO</t>
        </is>
      </c>
      <c r="E250" s="26" t="inlineStr">
        <is>
          <t>2026-07-31</t>
        </is>
      </c>
      <c r="F250" s="26" t="inlineStr">
        <is>
          <t>2029-07-31</t>
        </is>
      </c>
      <c r="G250" s="28" t="n">
        <v>36</v>
      </c>
      <c r="H250" s="29" t="n">
        <v>42672.41</v>
      </c>
      <c r="I250" s="29" t="inlineStr"/>
      <c r="J250" s="29" t="inlineStr"/>
      <c r="K250" s="29" t="inlineStr"/>
      <c r="L250" s="29" t="inlineStr"/>
      <c r="M250" s="29" t="inlineStr"/>
      <c r="N250" s="29" t="inlineStr"/>
      <c r="O250" s="29">
        <f>ROUND('Resumen_Cartera'!$U250 * 'Resumen_Cartera'!$Q250, 2)</f>
        <v/>
      </c>
      <c r="P250" s="29">
        <f>IF(Saldo_Residual_Activo!O250&gt;0, ROUND(Saldo_Residual_Activo!O250 * 'Resumen_Cartera'!$Q250, 2), "")</f>
        <v/>
      </c>
      <c r="Q250" s="29">
        <f>IF(Saldo_Residual_Activo!P250&gt;0, ROUND(Saldo_Residual_Activo!P250 * 'Resumen_Cartera'!$Q250, 2), "")</f>
        <v/>
      </c>
      <c r="R250" s="29">
        <f>IF(Saldo_Residual_Activo!Q250&gt;0, ROUND(Saldo_Residual_Activo!Q250 * 'Resumen_Cartera'!$Q250, 2), "")</f>
        <v/>
      </c>
      <c r="S250" s="29">
        <f>IF(Saldo_Residual_Activo!R250&gt;0, ROUND(Saldo_Residual_Activo!R250 * 'Resumen_Cartera'!$Q250, 2), "")</f>
        <v/>
      </c>
      <c r="T250" s="29">
        <f>IF(Saldo_Residual_Activo!S250&gt;0, ROUND(Saldo_Residual_Activo!S250 * 'Resumen_Cartera'!$Q250, 2), "")</f>
        <v/>
      </c>
      <c r="U250" s="29">
        <f>SUM(I250:T250)</f>
        <v/>
      </c>
    </row>
    <row r="251">
      <c r="A251" s="20" t="inlineStr">
        <is>
          <t>0758-0001</t>
        </is>
      </c>
      <c r="B251" s="21" t="inlineStr">
        <is>
          <t>Comedores y Servicios Industriales CAMSAA, S.A. de C.V.</t>
        </is>
      </c>
      <c r="C251" s="21" t="inlineStr">
        <is>
          <t>Partner Rapid</t>
        </is>
      </c>
      <c r="D251" s="20" t="inlineStr">
        <is>
          <t>ACTIVO</t>
        </is>
      </c>
      <c r="E251" s="20" t="inlineStr">
        <is>
          <t>2026-05-08</t>
        </is>
      </c>
      <c r="F251" s="20" t="inlineStr">
        <is>
          <t>2028-05-08</t>
        </is>
      </c>
      <c r="G251" s="22" t="n">
        <v>24</v>
      </c>
      <c r="H251" s="23" t="n">
        <v>101520</v>
      </c>
      <c r="I251" s="23" t="inlineStr"/>
      <c r="J251" s="23" t="inlineStr"/>
      <c r="K251" s="23" t="inlineStr"/>
      <c r="L251" s="23" t="inlineStr"/>
      <c r="M251" s="23">
        <f>ROUND('Resumen_Cartera'!$U251 * 'Resumen_Cartera'!$Q251, 2)</f>
        <v/>
      </c>
      <c r="N251" s="23">
        <f>IF(Saldo_Residual_Activo!M251&gt;0, ROUND(Saldo_Residual_Activo!M251 * 'Resumen_Cartera'!$Q251, 2), "")</f>
        <v/>
      </c>
      <c r="O251" s="23">
        <f>IF(Saldo_Residual_Activo!N251&gt;0, ROUND(Saldo_Residual_Activo!N251 * 'Resumen_Cartera'!$Q251, 2), "")</f>
        <v/>
      </c>
      <c r="P251" s="23">
        <f>IF(Saldo_Residual_Activo!O251&gt;0, ROUND(Saldo_Residual_Activo!O251 * 'Resumen_Cartera'!$Q251, 2), "")</f>
        <v/>
      </c>
      <c r="Q251" s="23">
        <f>IF(Saldo_Residual_Activo!P251&gt;0, ROUND(Saldo_Residual_Activo!P251 * 'Resumen_Cartera'!$Q251, 2), "")</f>
        <v/>
      </c>
      <c r="R251" s="23">
        <f>IF(Saldo_Residual_Activo!Q251&gt;0, ROUND(Saldo_Residual_Activo!Q251 * 'Resumen_Cartera'!$Q251, 2), "")</f>
        <v/>
      </c>
      <c r="S251" s="23">
        <f>IF(Saldo_Residual_Activo!R251&gt;0, ROUND(Saldo_Residual_Activo!R251 * 'Resumen_Cartera'!$Q251, 2), "")</f>
        <v/>
      </c>
      <c r="T251" s="23">
        <f>IF(Saldo_Residual_Activo!S251&gt;0, ROUND(Saldo_Residual_Activo!S251 * 'Resumen_Cartera'!$Q251, 2), "")</f>
        <v/>
      </c>
      <c r="U251" s="23">
        <f>SUM(I251:T251)</f>
        <v/>
      </c>
    </row>
    <row r="252">
      <c r="A252" s="26" t="inlineStr">
        <is>
          <t>0759-0001</t>
        </is>
      </c>
      <c r="B252" s="27" t="inlineStr">
        <is>
          <t>Construcciones Ligeras Frin, S.A. de C.V.</t>
        </is>
      </c>
      <c r="C252" s="27" t="inlineStr">
        <is>
          <t>700 BIGHORN CREW CAB</t>
        </is>
      </c>
      <c r="D252" s="26" t="inlineStr">
        <is>
          <t>ACTIVO</t>
        </is>
      </c>
      <c r="E252" s="26" t="inlineStr">
        <is>
          <t>2026-05-14</t>
        </is>
      </c>
      <c r="F252" s="26" t="inlineStr">
        <is>
          <t>2029-05-14</t>
        </is>
      </c>
      <c r="G252" s="28" t="n">
        <v>36</v>
      </c>
      <c r="H252" s="29" t="n">
        <v>38990</v>
      </c>
      <c r="I252" s="29" t="inlineStr"/>
      <c r="J252" s="29" t="inlineStr"/>
      <c r="K252" s="29" t="inlineStr"/>
      <c r="L252" s="29" t="inlineStr"/>
      <c r="M252" s="29">
        <f>ROUND('Resumen_Cartera'!$U252 * 'Resumen_Cartera'!$Q252, 2)</f>
        <v/>
      </c>
      <c r="N252" s="29">
        <f>IF(Saldo_Residual_Activo!M252&gt;0, ROUND(Saldo_Residual_Activo!M252 * 'Resumen_Cartera'!$Q252, 2), "")</f>
        <v/>
      </c>
      <c r="O252" s="29">
        <f>IF(Saldo_Residual_Activo!N252&gt;0, ROUND(Saldo_Residual_Activo!N252 * 'Resumen_Cartera'!$Q252, 2), "")</f>
        <v/>
      </c>
      <c r="P252" s="29">
        <f>IF(Saldo_Residual_Activo!O252&gt;0, ROUND(Saldo_Residual_Activo!O252 * 'Resumen_Cartera'!$Q252, 2), "")</f>
        <v/>
      </c>
      <c r="Q252" s="29">
        <f>IF(Saldo_Residual_Activo!P252&gt;0, ROUND(Saldo_Residual_Activo!P252 * 'Resumen_Cartera'!$Q252, 2), "")</f>
        <v/>
      </c>
      <c r="R252" s="29">
        <f>IF(Saldo_Residual_Activo!Q252&gt;0, ROUND(Saldo_Residual_Activo!Q252 * 'Resumen_Cartera'!$Q252, 2), "")</f>
        <v/>
      </c>
      <c r="S252" s="29">
        <f>IF(Saldo_Residual_Activo!R252&gt;0, ROUND(Saldo_Residual_Activo!R252 * 'Resumen_Cartera'!$Q252, 2), "")</f>
        <v/>
      </c>
      <c r="T252" s="29">
        <f>IF(Saldo_Residual_Activo!S252&gt;0, ROUND(Saldo_Residual_Activo!S252 * 'Resumen_Cartera'!$Q252, 2), "")</f>
        <v/>
      </c>
      <c r="U252" s="29">
        <f>SUM(I252:T252)</f>
        <v/>
      </c>
    </row>
    <row r="253">
      <c r="A253" s="20" t="inlineStr">
        <is>
          <t>0759-0002</t>
        </is>
      </c>
      <c r="B253" s="21" t="inlineStr">
        <is>
          <t>Construcciones Ligeras Frin, S.A. de C.V.</t>
        </is>
      </c>
      <c r="C253" s="21" t="inlineStr">
        <is>
          <t>700 TRADESMAN CREW CAB</t>
        </is>
      </c>
      <c r="D253" s="20" t="inlineStr">
        <is>
          <t>ACTIVO</t>
        </is>
      </c>
      <c r="E253" s="20" t="inlineStr">
        <is>
          <t>2026-05-14</t>
        </is>
      </c>
      <c r="F253" s="20" t="inlineStr">
        <is>
          <t>2029-05-14</t>
        </is>
      </c>
      <c r="G253" s="22" t="n">
        <v>36</v>
      </c>
      <c r="H253" s="23" t="n">
        <v>35990</v>
      </c>
      <c r="I253" s="23" t="inlineStr"/>
      <c r="J253" s="23" t="inlineStr"/>
      <c r="K253" s="23" t="inlineStr"/>
      <c r="L253" s="23" t="inlineStr"/>
      <c r="M253" s="23">
        <f>ROUND('Resumen_Cartera'!$U253 * 'Resumen_Cartera'!$Q253, 2)</f>
        <v/>
      </c>
      <c r="N253" s="23">
        <f>IF(Saldo_Residual_Activo!M253&gt;0, ROUND(Saldo_Residual_Activo!M253 * 'Resumen_Cartera'!$Q253, 2), "")</f>
        <v/>
      </c>
      <c r="O253" s="23">
        <f>IF(Saldo_Residual_Activo!N253&gt;0, ROUND(Saldo_Residual_Activo!N253 * 'Resumen_Cartera'!$Q253, 2), "")</f>
        <v/>
      </c>
      <c r="P253" s="23">
        <f>IF(Saldo_Residual_Activo!O253&gt;0, ROUND(Saldo_Residual_Activo!O253 * 'Resumen_Cartera'!$Q253, 2), "")</f>
        <v/>
      </c>
      <c r="Q253" s="23">
        <f>IF(Saldo_Residual_Activo!P253&gt;0, ROUND(Saldo_Residual_Activo!P253 * 'Resumen_Cartera'!$Q253, 2), "")</f>
        <v/>
      </c>
      <c r="R253" s="23">
        <f>IF(Saldo_Residual_Activo!Q253&gt;0, ROUND(Saldo_Residual_Activo!Q253 * 'Resumen_Cartera'!$Q253, 2), "")</f>
        <v/>
      </c>
      <c r="S253" s="23">
        <f>IF(Saldo_Residual_Activo!R253&gt;0, ROUND(Saldo_Residual_Activo!R253 * 'Resumen_Cartera'!$Q253, 2), "")</f>
        <v/>
      </c>
      <c r="T253" s="23">
        <f>IF(Saldo_Residual_Activo!S253&gt;0, ROUND(Saldo_Residual_Activo!S253 * 'Resumen_Cartera'!$Q253, 2), "")</f>
        <v/>
      </c>
      <c r="U253" s="23">
        <f>SUM(I253:T253)</f>
        <v/>
      </c>
    </row>
    <row r="254">
      <c r="A254" s="26" t="inlineStr">
        <is>
          <t>0760-0001</t>
        </is>
      </c>
      <c r="B254" s="27" t="inlineStr">
        <is>
          <t>Armando Candelario Figueroa</t>
        </is>
      </c>
      <c r="C254" s="27" t="inlineStr">
        <is>
          <t>1200 TRADESMAN CHASIS CABINA</t>
        </is>
      </c>
      <c r="D254" s="26" t="inlineStr">
        <is>
          <t>ACTIVO</t>
        </is>
      </c>
      <c r="E254" s="26" t="inlineStr">
        <is>
          <t>2026-05-18</t>
        </is>
      </c>
      <c r="F254" s="26" t="inlineStr">
        <is>
          <t>2030-05-18</t>
        </is>
      </c>
      <c r="G254" s="28" t="n">
        <v>48</v>
      </c>
      <c r="H254" s="29" t="n">
        <v>41700.3</v>
      </c>
      <c r="I254" s="29" t="inlineStr"/>
      <c r="J254" s="29" t="inlineStr"/>
      <c r="K254" s="29" t="inlineStr"/>
      <c r="L254" s="29" t="inlineStr"/>
      <c r="M254" s="29">
        <f>ROUND('Resumen_Cartera'!$U254 * 'Resumen_Cartera'!$Q254, 2)</f>
        <v/>
      </c>
      <c r="N254" s="29">
        <f>IF(Saldo_Residual_Activo!M254&gt;0, ROUND(Saldo_Residual_Activo!M254 * 'Resumen_Cartera'!$Q254, 2), "")</f>
        <v/>
      </c>
      <c r="O254" s="29">
        <f>IF(Saldo_Residual_Activo!N254&gt;0, ROUND(Saldo_Residual_Activo!N254 * 'Resumen_Cartera'!$Q254, 2), "")</f>
        <v/>
      </c>
      <c r="P254" s="29">
        <f>IF(Saldo_Residual_Activo!O254&gt;0, ROUND(Saldo_Residual_Activo!O254 * 'Resumen_Cartera'!$Q254, 2), "")</f>
        <v/>
      </c>
      <c r="Q254" s="29">
        <f>IF(Saldo_Residual_Activo!P254&gt;0, ROUND(Saldo_Residual_Activo!P254 * 'Resumen_Cartera'!$Q254, 2), "")</f>
        <v/>
      </c>
      <c r="R254" s="29">
        <f>IF(Saldo_Residual_Activo!Q254&gt;0, ROUND(Saldo_Residual_Activo!Q254 * 'Resumen_Cartera'!$Q254, 2), "")</f>
        <v/>
      </c>
      <c r="S254" s="29">
        <f>IF(Saldo_Residual_Activo!R254&gt;0, ROUND(Saldo_Residual_Activo!R254 * 'Resumen_Cartera'!$Q254, 2), "")</f>
        <v/>
      </c>
      <c r="T254" s="29">
        <f>IF(Saldo_Residual_Activo!S254&gt;0, ROUND(Saldo_Residual_Activo!S254 * 'Resumen_Cartera'!$Q254, 2), "")</f>
        <v/>
      </c>
      <c r="U254" s="29">
        <f>SUM(I254:T254)</f>
        <v/>
      </c>
    </row>
    <row r="255">
      <c r="A255" s="20" t="inlineStr">
        <is>
          <t>0761-0001</t>
        </is>
      </c>
      <c r="B255" s="21" t="inlineStr">
        <is>
          <t>Total Experience Produce, S.A.P.I. de C.V.</t>
        </is>
      </c>
      <c r="C255" s="21" t="inlineStr">
        <is>
          <t>700 BIGHORN CREW CAB</t>
        </is>
      </c>
      <c r="D255" s="20" t="inlineStr">
        <is>
          <t>ACTIVO</t>
        </is>
      </c>
      <c r="E255" s="20" t="inlineStr">
        <is>
          <t>2026-05-18</t>
        </is>
      </c>
      <c r="F255" s="20" t="inlineStr">
        <is>
          <t>2030-05-18</t>
        </is>
      </c>
      <c r="G255" s="22" t="n">
        <v>48</v>
      </c>
      <c r="H255" s="23" t="n">
        <v>40090</v>
      </c>
      <c r="I255" s="23" t="inlineStr"/>
      <c r="J255" s="23" t="inlineStr"/>
      <c r="K255" s="23" t="inlineStr"/>
      <c r="L255" s="23" t="inlineStr"/>
      <c r="M255" s="23">
        <f>ROUND('Resumen_Cartera'!$U255 * 'Resumen_Cartera'!$Q255, 2)</f>
        <v/>
      </c>
      <c r="N255" s="23">
        <f>IF(Saldo_Residual_Activo!M255&gt;0, ROUND(Saldo_Residual_Activo!M255 * 'Resumen_Cartera'!$Q255, 2), "")</f>
        <v/>
      </c>
      <c r="O255" s="23">
        <f>IF(Saldo_Residual_Activo!N255&gt;0, ROUND(Saldo_Residual_Activo!N255 * 'Resumen_Cartera'!$Q255, 2), "")</f>
        <v/>
      </c>
      <c r="P255" s="23">
        <f>IF(Saldo_Residual_Activo!O255&gt;0, ROUND(Saldo_Residual_Activo!O255 * 'Resumen_Cartera'!$Q255, 2), "")</f>
        <v/>
      </c>
      <c r="Q255" s="23">
        <f>IF(Saldo_Residual_Activo!P255&gt;0, ROUND(Saldo_Residual_Activo!P255 * 'Resumen_Cartera'!$Q255, 2), "")</f>
        <v/>
      </c>
      <c r="R255" s="23">
        <f>IF(Saldo_Residual_Activo!Q255&gt;0, ROUND(Saldo_Residual_Activo!Q255 * 'Resumen_Cartera'!$Q255, 2), "")</f>
        <v/>
      </c>
      <c r="S255" s="23">
        <f>IF(Saldo_Residual_Activo!R255&gt;0, ROUND(Saldo_Residual_Activo!R255 * 'Resumen_Cartera'!$Q255, 2), "")</f>
        <v/>
      </c>
      <c r="T255" s="23">
        <f>IF(Saldo_Residual_Activo!S255&gt;0, ROUND(Saldo_Residual_Activo!S255 * 'Resumen_Cartera'!$Q255, 2), "")</f>
        <v/>
      </c>
      <c r="U255" s="23">
        <f>SUM(I255:T255)</f>
        <v/>
      </c>
    </row>
    <row r="256">
      <c r="A256" s="26" t="inlineStr">
        <is>
          <t>0763-0001</t>
        </is>
      </c>
      <c r="B256" s="27" t="inlineStr">
        <is>
          <t>Francisco Javier Fernández Gutiérrez</t>
        </is>
      </c>
      <c r="C256" s="27" t="inlineStr">
        <is>
          <t>1500 RHO</t>
        </is>
      </c>
      <c r="D256" s="26" t="inlineStr">
        <is>
          <t>ACTIVO</t>
        </is>
      </c>
      <c r="E256" s="26" t="inlineStr">
        <is>
          <t>2026-05-28</t>
        </is>
      </c>
      <c r="F256" s="26" t="inlineStr">
        <is>
          <t>2029-05-28</t>
        </is>
      </c>
      <c r="G256" s="28" t="n">
        <v>36</v>
      </c>
      <c r="H256" s="29" t="n">
        <v>466000</v>
      </c>
      <c r="I256" s="29" t="inlineStr"/>
      <c r="J256" s="29" t="inlineStr"/>
      <c r="K256" s="29" t="inlineStr"/>
      <c r="L256" s="29" t="inlineStr"/>
      <c r="M256" s="29">
        <f>ROUND('Resumen_Cartera'!$U256 * 'Resumen_Cartera'!$Q256, 2)</f>
        <v/>
      </c>
      <c r="N256" s="29">
        <f>IF(Saldo_Residual_Activo!M256&gt;0, ROUND(Saldo_Residual_Activo!M256 * 'Resumen_Cartera'!$Q256, 2), "")</f>
        <v/>
      </c>
      <c r="O256" s="29">
        <f>IF(Saldo_Residual_Activo!N256&gt;0, ROUND(Saldo_Residual_Activo!N256 * 'Resumen_Cartera'!$Q256, 2), "")</f>
        <v/>
      </c>
      <c r="P256" s="29">
        <f>IF(Saldo_Residual_Activo!O256&gt;0, ROUND(Saldo_Residual_Activo!O256 * 'Resumen_Cartera'!$Q256, 2), "")</f>
        <v/>
      </c>
      <c r="Q256" s="29">
        <f>IF(Saldo_Residual_Activo!P256&gt;0, ROUND(Saldo_Residual_Activo!P256 * 'Resumen_Cartera'!$Q256, 2), "")</f>
        <v/>
      </c>
      <c r="R256" s="29">
        <f>IF(Saldo_Residual_Activo!Q256&gt;0, ROUND(Saldo_Residual_Activo!Q256 * 'Resumen_Cartera'!$Q256, 2), "")</f>
        <v/>
      </c>
      <c r="S256" s="29">
        <f>IF(Saldo_Residual_Activo!R256&gt;0, ROUND(Saldo_Residual_Activo!R256 * 'Resumen_Cartera'!$Q256, 2), "")</f>
        <v/>
      </c>
      <c r="T256" s="29">
        <f>IF(Saldo_Residual_Activo!S256&gt;0, ROUND(Saldo_Residual_Activo!S256 * 'Resumen_Cartera'!$Q256, 2), "")</f>
        <v/>
      </c>
      <c r="U256" s="29">
        <f>SUM(I256:T256)</f>
        <v/>
      </c>
    </row>
    <row r="257">
      <c r="A257" s="20" t="inlineStr">
        <is>
          <t>0764-0001</t>
        </is>
      </c>
      <c r="B257" s="21" t="inlineStr">
        <is>
          <t>Inspectores Marítimos de México, S. de R.L. de C.V.</t>
        </is>
      </c>
      <c r="C257" s="21" t="inlineStr">
        <is>
          <t>1200 Bighorn</t>
        </is>
      </c>
      <c r="D257" s="20" t="inlineStr">
        <is>
          <t>ACTIVO</t>
        </is>
      </c>
      <c r="E257" s="20" t="inlineStr">
        <is>
          <t>2026-06-30</t>
        </is>
      </c>
      <c r="F257" s="20" t="inlineStr">
        <is>
          <t>2029-06-30</t>
        </is>
      </c>
      <c r="G257" s="22" t="n">
        <v>36</v>
      </c>
      <c r="H257" s="23" t="n">
        <v>57490</v>
      </c>
      <c r="I257" s="23" t="inlineStr"/>
      <c r="J257" s="23" t="inlineStr"/>
      <c r="K257" s="23" t="inlineStr"/>
      <c r="L257" s="23" t="inlineStr"/>
      <c r="M257" s="23" t="inlineStr"/>
      <c r="N257" s="23">
        <f>ROUND('Resumen_Cartera'!$U257 * 'Resumen_Cartera'!$Q257, 2)</f>
        <v/>
      </c>
      <c r="O257" s="23">
        <f>IF(Saldo_Residual_Activo!N257&gt;0, ROUND(Saldo_Residual_Activo!N257 * 'Resumen_Cartera'!$Q257, 2), "")</f>
        <v/>
      </c>
      <c r="P257" s="23">
        <f>IF(Saldo_Residual_Activo!O257&gt;0, ROUND(Saldo_Residual_Activo!O257 * 'Resumen_Cartera'!$Q257, 2), "")</f>
        <v/>
      </c>
      <c r="Q257" s="23">
        <f>IF(Saldo_Residual_Activo!P257&gt;0, ROUND(Saldo_Residual_Activo!P257 * 'Resumen_Cartera'!$Q257, 2), "")</f>
        <v/>
      </c>
      <c r="R257" s="23">
        <f>IF(Saldo_Residual_Activo!Q257&gt;0, ROUND(Saldo_Residual_Activo!Q257 * 'Resumen_Cartera'!$Q257, 2), "")</f>
        <v/>
      </c>
      <c r="S257" s="23">
        <f>IF(Saldo_Residual_Activo!R257&gt;0, ROUND(Saldo_Residual_Activo!R257 * 'Resumen_Cartera'!$Q257, 2), "")</f>
        <v/>
      </c>
      <c r="T257" s="23">
        <f>IF(Saldo_Residual_Activo!S257&gt;0, ROUND(Saldo_Residual_Activo!S257 * 'Resumen_Cartera'!$Q257, 2), "")</f>
        <v/>
      </c>
      <c r="U257" s="23">
        <f>SUM(I257:T257)</f>
        <v/>
      </c>
    </row>
    <row r="258">
      <c r="A258" s="26" t="inlineStr">
        <is>
          <t>0765-0001</t>
        </is>
      </c>
      <c r="B258" s="27" t="inlineStr">
        <is>
          <t>Rafael Soltero Sánchez</t>
        </is>
      </c>
      <c r="C258" s="27" t="inlineStr">
        <is>
          <t>1200 Bighorn</t>
        </is>
      </c>
      <c r="D258" s="26" t="inlineStr">
        <is>
          <t>ACTIVO</t>
        </is>
      </c>
      <c r="E258" s="26" t="inlineStr">
        <is>
          <t>2026-06-30</t>
        </is>
      </c>
      <c r="F258" s="26" t="inlineStr">
        <is>
          <t>2030-06-30</t>
        </is>
      </c>
      <c r="G258" s="28" t="n">
        <v>48</v>
      </c>
      <c r="H258" s="29" t="n">
        <v>60490</v>
      </c>
      <c r="I258" s="29" t="inlineStr"/>
      <c r="J258" s="29" t="inlineStr"/>
      <c r="K258" s="29" t="inlineStr"/>
      <c r="L258" s="29" t="inlineStr"/>
      <c r="M258" s="29" t="inlineStr"/>
      <c r="N258" s="29">
        <f>ROUND('Resumen_Cartera'!$U258 * 'Resumen_Cartera'!$Q258, 2)</f>
        <v/>
      </c>
      <c r="O258" s="29">
        <f>IF(Saldo_Residual_Activo!N258&gt;0, ROUND(Saldo_Residual_Activo!N258 * 'Resumen_Cartera'!$Q258, 2), "")</f>
        <v/>
      </c>
      <c r="P258" s="29">
        <f>IF(Saldo_Residual_Activo!O258&gt;0, ROUND(Saldo_Residual_Activo!O258 * 'Resumen_Cartera'!$Q258, 2), "")</f>
        <v/>
      </c>
      <c r="Q258" s="29">
        <f>IF(Saldo_Residual_Activo!P258&gt;0, ROUND(Saldo_Residual_Activo!P258 * 'Resumen_Cartera'!$Q258, 2), "")</f>
        <v/>
      </c>
      <c r="R258" s="29">
        <f>IF(Saldo_Residual_Activo!Q258&gt;0, ROUND(Saldo_Residual_Activo!Q258 * 'Resumen_Cartera'!$Q258, 2), "")</f>
        <v/>
      </c>
      <c r="S258" s="29">
        <f>IF(Saldo_Residual_Activo!R258&gt;0, ROUND(Saldo_Residual_Activo!R258 * 'Resumen_Cartera'!$Q258, 2), "")</f>
        <v/>
      </c>
      <c r="T258" s="29">
        <f>IF(Saldo_Residual_Activo!S258&gt;0, ROUND(Saldo_Residual_Activo!S258 * 'Resumen_Cartera'!$Q258, 2), "")</f>
        <v/>
      </c>
      <c r="U258" s="29">
        <f>SUM(I258:T258)</f>
        <v/>
      </c>
    </row>
    <row r="259">
      <c r="A259" s="20" t="inlineStr">
        <is>
          <t>0766-0001</t>
        </is>
      </c>
      <c r="B259" s="21" t="inlineStr">
        <is>
          <t>Javier Alejandro Carbajal Chávez</t>
        </is>
      </c>
      <c r="C259" s="21" t="inlineStr">
        <is>
          <t>Jt Rubicon</t>
        </is>
      </c>
      <c r="D259" s="20" t="inlineStr">
        <is>
          <t>ACTIVO</t>
        </is>
      </c>
      <c r="E259" s="20" t="inlineStr">
        <is>
          <t>2026-06-30</t>
        </is>
      </c>
      <c r="F259" s="20" t="inlineStr">
        <is>
          <t>2030-06-30</t>
        </is>
      </c>
      <c r="G259" s="22" t="n">
        <v>48</v>
      </c>
      <c r="H259" s="23" t="n">
        <v>157690</v>
      </c>
      <c r="I259" s="23" t="inlineStr"/>
      <c r="J259" s="23" t="inlineStr"/>
      <c r="K259" s="23" t="inlineStr"/>
      <c r="L259" s="23" t="inlineStr"/>
      <c r="M259" s="23" t="inlineStr"/>
      <c r="N259" s="23">
        <f>ROUND('Resumen_Cartera'!$U259 * 'Resumen_Cartera'!$Q259, 2)</f>
        <v/>
      </c>
      <c r="O259" s="23">
        <f>IF(Saldo_Residual_Activo!N259&gt;0, ROUND(Saldo_Residual_Activo!N259 * 'Resumen_Cartera'!$Q259, 2), "")</f>
        <v/>
      </c>
      <c r="P259" s="23">
        <f>IF(Saldo_Residual_Activo!O259&gt;0, ROUND(Saldo_Residual_Activo!O259 * 'Resumen_Cartera'!$Q259, 2), "")</f>
        <v/>
      </c>
      <c r="Q259" s="23">
        <f>IF(Saldo_Residual_Activo!P259&gt;0, ROUND(Saldo_Residual_Activo!P259 * 'Resumen_Cartera'!$Q259, 2), "")</f>
        <v/>
      </c>
      <c r="R259" s="23">
        <f>IF(Saldo_Residual_Activo!Q259&gt;0, ROUND(Saldo_Residual_Activo!Q259 * 'Resumen_Cartera'!$Q259, 2), "")</f>
        <v/>
      </c>
      <c r="S259" s="23">
        <f>IF(Saldo_Residual_Activo!R259&gt;0, ROUND(Saldo_Residual_Activo!R259 * 'Resumen_Cartera'!$Q259, 2), "")</f>
        <v/>
      </c>
      <c r="T259" s="23">
        <f>IF(Saldo_Residual_Activo!S259&gt;0, ROUND(Saldo_Residual_Activo!S259 * 'Resumen_Cartera'!$Q259, 2), "")</f>
        <v/>
      </c>
      <c r="U259" s="23">
        <f>SUM(I259:T259)</f>
        <v/>
      </c>
    </row>
    <row r="260">
      <c r="A260" s="26" t="inlineStr">
        <is>
          <t>0767-0001</t>
        </is>
      </c>
      <c r="B260" s="27" t="inlineStr">
        <is>
          <t>Carlos Alberto Gutiérrez Hermosillo López</t>
        </is>
      </c>
      <c r="C260" s="27" t="inlineStr">
        <is>
          <t>Commander Overland</t>
        </is>
      </c>
      <c r="D260" s="26" t="inlineStr">
        <is>
          <t>ACTIVO</t>
        </is>
      </c>
      <c r="E260" s="26" t="inlineStr">
        <is>
          <t>2026-06-30</t>
        </is>
      </c>
      <c r="F260" s="26" t="inlineStr">
        <is>
          <t>2030-06-30</t>
        </is>
      </c>
      <c r="G260" s="28" t="n">
        <v>48</v>
      </c>
      <c r="H260" s="29" t="n">
        <v>71890</v>
      </c>
      <c r="I260" s="29" t="inlineStr"/>
      <c r="J260" s="29" t="inlineStr"/>
      <c r="K260" s="29" t="inlineStr"/>
      <c r="L260" s="29" t="inlineStr"/>
      <c r="M260" s="29" t="inlineStr"/>
      <c r="N260" s="29">
        <f>ROUND('Resumen_Cartera'!$U260 * 'Resumen_Cartera'!$Q260, 2)</f>
        <v/>
      </c>
      <c r="O260" s="29">
        <f>IF(Saldo_Residual_Activo!N260&gt;0, ROUND(Saldo_Residual_Activo!N260 * 'Resumen_Cartera'!$Q260, 2), "")</f>
        <v/>
      </c>
      <c r="P260" s="29">
        <f>IF(Saldo_Residual_Activo!O260&gt;0, ROUND(Saldo_Residual_Activo!O260 * 'Resumen_Cartera'!$Q260, 2), "")</f>
        <v/>
      </c>
      <c r="Q260" s="29">
        <f>IF(Saldo_Residual_Activo!P260&gt;0, ROUND(Saldo_Residual_Activo!P260 * 'Resumen_Cartera'!$Q260, 2), "")</f>
        <v/>
      </c>
      <c r="R260" s="29">
        <f>IF(Saldo_Residual_Activo!Q260&gt;0, ROUND(Saldo_Residual_Activo!Q260 * 'Resumen_Cartera'!$Q260, 2), "")</f>
        <v/>
      </c>
      <c r="S260" s="29">
        <f>IF(Saldo_Residual_Activo!R260&gt;0, ROUND(Saldo_Residual_Activo!R260 * 'Resumen_Cartera'!$Q260, 2), "")</f>
        <v/>
      </c>
      <c r="T260" s="29">
        <f>IF(Saldo_Residual_Activo!S260&gt;0, ROUND(Saldo_Residual_Activo!S260 * 'Resumen_Cartera'!$Q260, 2), "")</f>
        <v/>
      </c>
      <c r="U260" s="29">
        <f>SUM(I260:T260)</f>
        <v/>
      </c>
    </row>
    <row r="261">
      <c r="A261" s="20" t="inlineStr">
        <is>
          <t>0768-0001</t>
        </is>
      </c>
      <c r="B261" s="21" t="inlineStr">
        <is>
          <t>Distribuidora y Comercializadora 2000, S.A. de C.V.</t>
        </is>
      </c>
      <c r="C261" s="21" t="inlineStr">
        <is>
          <t>Manager Furgon L4H2</t>
        </is>
      </c>
      <c r="D261" s="20" t="inlineStr">
        <is>
          <t>ACTIVO</t>
        </is>
      </c>
      <c r="E261" s="20" t="inlineStr">
        <is>
          <t>2026-06-29</t>
        </is>
      </c>
      <c r="F261" s="20" t="inlineStr">
        <is>
          <t>2027-06-29</t>
        </is>
      </c>
      <c r="G261" s="22" t="n">
        <v>12</v>
      </c>
      <c r="H261" s="23" t="n">
        <v>332520</v>
      </c>
      <c r="I261" s="23" t="inlineStr"/>
      <c r="J261" s="23" t="inlineStr"/>
      <c r="K261" s="23" t="inlineStr"/>
      <c r="L261" s="23" t="inlineStr"/>
      <c r="M261" s="23" t="inlineStr"/>
      <c r="N261" s="23">
        <f>ROUND('Resumen_Cartera'!$U261 * 'Resumen_Cartera'!$Q261, 2)</f>
        <v/>
      </c>
      <c r="O261" s="23">
        <f>IF(Saldo_Residual_Activo!N261&gt;0, ROUND(Saldo_Residual_Activo!N261 * 'Resumen_Cartera'!$Q261, 2), "")</f>
        <v/>
      </c>
      <c r="P261" s="23">
        <f>IF(Saldo_Residual_Activo!O261&gt;0, ROUND(Saldo_Residual_Activo!O261 * 'Resumen_Cartera'!$Q261, 2), "")</f>
        <v/>
      </c>
      <c r="Q261" s="23">
        <f>IF(Saldo_Residual_Activo!P261&gt;0, ROUND(Saldo_Residual_Activo!P261 * 'Resumen_Cartera'!$Q261, 2), "")</f>
        <v/>
      </c>
      <c r="R261" s="23">
        <f>IF(Saldo_Residual_Activo!Q261&gt;0, ROUND(Saldo_Residual_Activo!Q261 * 'Resumen_Cartera'!$Q261, 2), "")</f>
        <v/>
      </c>
      <c r="S261" s="23">
        <f>IF(Saldo_Residual_Activo!R261&gt;0, ROUND(Saldo_Residual_Activo!R261 * 'Resumen_Cartera'!$Q261, 2), "")</f>
        <v/>
      </c>
      <c r="T261" s="23">
        <f>IF(Saldo_Residual_Activo!S261&gt;0, ROUND(Saldo_Residual_Activo!S261 * 'Resumen_Cartera'!$Q261, 2), "")</f>
        <v/>
      </c>
      <c r="U261" s="23">
        <f>SUM(I261:T261)</f>
        <v/>
      </c>
    </row>
    <row r="262">
      <c r="A262" s="26" t="inlineStr">
        <is>
          <t>0768-0002</t>
        </is>
      </c>
      <c r="B262" s="27" t="inlineStr">
        <is>
          <t>Distribuidora y Comercializadora 2000, S.A. de C.V.</t>
        </is>
      </c>
      <c r="C262" s="27" t="inlineStr">
        <is>
          <t>Manager Furgon L4H2</t>
        </is>
      </c>
      <c r="D262" s="26" t="inlineStr">
        <is>
          <t>ACTIVO</t>
        </is>
      </c>
      <c r="E262" s="26" t="inlineStr">
        <is>
          <t>2026-06-29</t>
        </is>
      </c>
      <c r="F262" s="26" t="inlineStr">
        <is>
          <t>2027-06-29</t>
        </is>
      </c>
      <c r="G262" s="28" t="n">
        <v>12</v>
      </c>
      <c r="H262" s="29" t="n">
        <v>342600</v>
      </c>
      <c r="I262" s="29" t="inlineStr"/>
      <c r="J262" s="29" t="inlineStr"/>
      <c r="K262" s="29" t="inlineStr"/>
      <c r="L262" s="29" t="inlineStr"/>
      <c r="M262" s="29" t="inlineStr"/>
      <c r="N262" s="29">
        <f>ROUND('Resumen_Cartera'!$U262 * 'Resumen_Cartera'!$Q262, 2)</f>
        <v/>
      </c>
      <c r="O262" s="29">
        <f>IF(Saldo_Residual_Activo!N262&gt;0, ROUND(Saldo_Residual_Activo!N262 * 'Resumen_Cartera'!$Q262, 2), "")</f>
        <v/>
      </c>
      <c r="P262" s="29">
        <f>IF(Saldo_Residual_Activo!O262&gt;0, ROUND(Saldo_Residual_Activo!O262 * 'Resumen_Cartera'!$Q262, 2), "")</f>
        <v/>
      </c>
      <c r="Q262" s="29">
        <f>IF(Saldo_Residual_Activo!P262&gt;0, ROUND(Saldo_Residual_Activo!P262 * 'Resumen_Cartera'!$Q262, 2), "")</f>
        <v/>
      </c>
      <c r="R262" s="29">
        <f>IF(Saldo_Residual_Activo!Q262&gt;0, ROUND(Saldo_Residual_Activo!Q262 * 'Resumen_Cartera'!$Q262, 2), "")</f>
        <v/>
      </c>
      <c r="S262" s="29">
        <f>IF(Saldo_Residual_Activo!R262&gt;0, ROUND(Saldo_Residual_Activo!R262 * 'Resumen_Cartera'!$Q262, 2), "")</f>
        <v/>
      </c>
      <c r="T262" s="29">
        <f>IF(Saldo_Residual_Activo!S262&gt;0, ROUND(Saldo_Residual_Activo!S262 * 'Resumen_Cartera'!$Q262, 2), "")</f>
        <v/>
      </c>
      <c r="U262" s="29">
        <f>SUM(I262:T262)</f>
        <v/>
      </c>
    </row>
    <row r="263">
      <c r="A263" s="20" t="inlineStr">
        <is>
          <t>0769-0001</t>
        </is>
      </c>
      <c r="B263" s="21" t="inlineStr">
        <is>
          <t>Paloma Bernhardt Partida</t>
        </is>
      </c>
      <c r="C263" s="21" t="inlineStr">
        <is>
          <t>700 TRADESMAN CREW CAB</t>
        </is>
      </c>
      <c r="D263" s="20" t="inlineStr">
        <is>
          <t>ACTIVO</t>
        </is>
      </c>
      <c r="E263" s="20" t="inlineStr">
        <is>
          <t>2026-06-29</t>
        </is>
      </c>
      <c r="F263" s="20" t="inlineStr">
        <is>
          <t>2029-06-29</t>
        </is>
      </c>
      <c r="G263" s="22" t="n">
        <v>36</v>
      </c>
      <c r="H263" s="23" t="n">
        <v>38305.3</v>
      </c>
      <c r="I263" s="23" t="inlineStr"/>
      <c r="J263" s="23" t="inlineStr"/>
      <c r="K263" s="23" t="inlineStr"/>
      <c r="L263" s="23" t="inlineStr"/>
      <c r="M263" s="23" t="inlineStr"/>
      <c r="N263" s="23">
        <f>ROUND('Resumen_Cartera'!$U263 * 'Resumen_Cartera'!$Q263, 2)</f>
        <v/>
      </c>
      <c r="O263" s="23">
        <f>IF(Saldo_Residual_Activo!N263&gt;0, ROUND(Saldo_Residual_Activo!N263 * 'Resumen_Cartera'!$Q263, 2), "")</f>
        <v/>
      </c>
      <c r="P263" s="23">
        <f>IF(Saldo_Residual_Activo!O263&gt;0, ROUND(Saldo_Residual_Activo!O263 * 'Resumen_Cartera'!$Q263, 2), "")</f>
        <v/>
      </c>
      <c r="Q263" s="23">
        <f>IF(Saldo_Residual_Activo!P263&gt;0, ROUND(Saldo_Residual_Activo!P263 * 'Resumen_Cartera'!$Q263, 2), "")</f>
        <v/>
      </c>
      <c r="R263" s="23">
        <f>IF(Saldo_Residual_Activo!Q263&gt;0, ROUND(Saldo_Residual_Activo!Q263 * 'Resumen_Cartera'!$Q263, 2), "")</f>
        <v/>
      </c>
      <c r="S263" s="23">
        <f>IF(Saldo_Residual_Activo!R263&gt;0, ROUND(Saldo_Residual_Activo!R263 * 'Resumen_Cartera'!$Q263, 2), "")</f>
        <v/>
      </c>
      <c r="T263" s="23">
        <f>IF(Saldo_Residual_Activo!S263&gt;0, ROUND(Saldo_Residual_Activo!S263 * 'Resumen_Cartera'!$Q263, 2), "")</f>
        <v/>
      </c>
      <c r="U263" s="23">
        <f>SUM(I263:T263)</f>
        <v/>
      </c>
    </row>
    <row r="264">
      <c r="A264" s="26" t="inlineStr">
        <is>
          <t>0769-0002</t>
        </is>
      </c>
      <c r="B264" s="27" t="inlineStr">
        <is>
          <t>Paloma Bernhardt Partida</t>
        </is>
      </c>
      <c r="C264" s="27" t="inlineStr">
        <is>
          <t>Ram 700 Tradesman 2026</t>
        </is>
      </c>
      <c r="D264" s="26" t="inlineStr">
        <is>
          <t>ACTIVO</t>
        </is>
      </c>
      <c r="E264" s="26" t="inlineStr">
        <is>
          <t>2026-09-23</t>
        </is>
      </c>
      <c r="F264" s="26" t="inlineStr">
        <is>
          <t>2029-09-23</t>
        </is>
      </c>
      <c r="G264" s="28" t="n">
        <v>36</v>
      </c>
      <c r="H264" s="29" t="n">
        <v>66628.97</v>
      </c>
      <c r="I264" s="29" t="inlineStr"/>
      <c r="J264" s="29" t="inlineStr"/>
      <c r="K264" s="29" t="inlineStr"/>
      <c r="L264" s="29" t="inlineStr"/>
      <c r="M264" s="29" t="inlineStr"/>
      <c r="N264" s="29" t="inlineStr"/>
      <c r="O264" s="29" t="inlineStr"/>
      <c r="P264" s="29" t="inlineStr"/>
      <c r="Q264" s="29">
        <f>ROUND('Resumen_Cartera'!$U264 * 'Resumen_Cartera'!$Q264, 2)</f>
        <v/>
      </c>
      <c r="R264" s="29">
        <f>IF(Saldo_Residual_Activo!Q264&gt;0, ROUND(Saldo_Residual_Activo!Q264 * 'Resumen_Cartera'!$Q264, 2), "")</f>
        <v/>
      </c>
      <c r="S264" s="29">
        <f>IF(Saldo_Residual_Activo!R264&gt;0, ROUND(Saldo_Residual_Activo!R264 * 'Resumen_Cartera'!$Q264, 2), "")</f>
        <v/>
      </c>
      <c r="T264" s="29">
        <f>IF(Saldo_Residual_Activo!S264&gt;0, ROUND(Saldo_Residual_Activo!S264 * 'Resumen_Cartera'!$Q264, 2), "")</f>
        <v/>
      </c>
      <c r="U264" s="29">
        <f>SUM(I264:T264)</f>
        <v/>
      </c>
    </row>
    <row r="265">
      <c r="A265" s="20" t="inlineStr">
        <is>
          <t>0770-0001</t>
        </is>
      </c>
      <c r="B265" s="21" t="inlineStr">
        <is>
          <t>Jorge Octavio Micher Camarena</t>
        </is>
      </c>
      <c r="C265" s="21" t="inlineStr">
        <is>
          <t>Jeep Cherokee Overland 2026</t>
        </is>
      </c>
      <c r="D265" s="20" t="inlineStr">
        <is>
          <t>ACTIVO</t>
        </is>
      </c>
      <c r="E265" s="20" t="inlineStr">
        <is>
          <t>2026-07-24</t>
        </is>
      </c>
      <c r="F265" s="20" t="inlineStr">
        <is>
          <t>2029-07-24</t>
        </is>
      </c>
      <c r="G265" s="22" t="n">
        <v>36</v>
      </c>
      <c r="H265" s="23" t="n">
        <v>78612.33</v>
      </c>
      <c r="I265" s="23" t="inlineStr"/>
      <c r="J265" s="23" t="inlineStr"/>
      <c r="K265" s="23" t="inlineStr"/>
      <c r="L265" s="23" t="inlineStr"/>
      <c r="M265" s="23" t="inlineStr"/>
      <c r="N265" s="23" t="inlineStr"/>
      <c r="O265" s="23">
        <f>ROUND('Resumen_Cartera'!$U265 * 'Resumen_Cartera'!$Q265, 2)</f>
        <v/>
      </c>
      <c r="P265" s="23">
        <f>IF(Saldo_Residual_Activo!O265&gt;0, ROUND(Saldo_Residual_Activo!O265 * 'Resumen_Cartera'!$Q265, 2), "")</f>
        <v/>
      </c>
      <c r="Q265" s="23">
        <f>IF(Saldo_Residual_Activo!P265&gt;0, ROUND(Saldo_Residual_Activo!P265 * 'Resumen_Cartera'!$Q265, 2), "")</f>
        <v/>
      </c>
      <c r="R265" s="23">
        <f>IF(Saldo_Residual_Activo!Q265&gt;0, ROUND(Saldo_Residual_Activo!Q265 * 'Resumen_Cartera'!$Q265, 2), "")</f>
        <v/>
      </c>
      <c r="S265" s="23">
        <f>IF(Saldo_Residual_Activo!R265&gt;0, ROUND(Saldo_Residual_Activo!R265 * 'Resumen_Cartera'!$Q265, 2), "")</f>
        <v/>
      </c>
      <c r="T265" s="23">
        <f>IF(Saldo_Residual_Activo!S265&gt;0, ROUND(Saldo_Residual_Activo!S265 * 'Resumen_Cartera'!$Q265, 2), "")</f>
        <v/>
      </c>
      <c r="U265" s="23">
        <f>SUM(I265:T265)</f>
        <v/>
      </c>
    </row>
    <row r="266">
      <c r="A266" s="26" t="inlineStr">
        <is>
          <t>0771-0001</t>
        </is>
      </c>
      <c r="B266" s="27" t="inlineStr">
        <is>
          <t>Inbcom de Colima</t>
        </is>
      </c>
      <c r="C266" s="27" t="inlineStr">
        <is>
          <t>Ram 1200 Tradesman CC 2026</t>
        </is>
      </c>
      <c r="D266" s="26" t="inlineStr">
        <is>
          <t>ACTIVO</t>
        </is>
      </c>
      <c r="E266" s="26" t="inlineStr">
        <is>
          <t>2026-07-31</t>
        </is>
      </c>
      <c r="F266" s="26" t="inlineStr">
        <is>
          <t>2027-07-31</t>
        </is>
      </c>
      <c r="G266" s="28" t="n">
        <v>12</v>
      </c>
      <c r="H266" s="29" t="n">
        <v>330796.55</v>
      </c>
      <c r="I266" s="29" t="inlineStr"/>
      <c r="J266" s="29" t="inlineStr"/>
      <c r="K266" s="29" t="inlineStr"/>
      <c r="L266" s="29" t="inlineStr"/>
      <c r="M266" s="29" t="inlineStr"/>
      <c r="N266" s="29" t="inlineStr"/>
      <c r="O266" s="29">
        <f>ROUND('Resumen_Cartera'!$U266 * 'Resumen_Cartera'!$Q266, 2)</f>
        <v/>
      </c>
      <c r="P266" s="29">
        <f>IF(Saldo_Residual_Activo!O266&gt;0, ROUND(Saldo_Residual_Activo!O266 * 'Resumen_Cartera'!$Q266, 2), "")</f>
        <v/>
      </c>
      <c r="Q266" s="29">
        <f>IF(Saldo_Residual_Activo!P266&gt;0, ROUND(Saldo_Residual_Activo!P266 * 'Resumen_Cartera'!$Q266, 2), "")</f>
        <v/>
      </c>
      <c r="R266" s="29">
        <f>IF(Saldo_Residual_Activo!Q266&gt;0, ROUND(Saldo_Residual_Activo!Q266 * 'Resumen_Cartera'!$Q266, 2), "")</f>
        <v/>
      </c>
      <c r="S266" s="29">
        <f>IF(Saldo_Residual_Activo!R266&gt;0, ROUND(Saldo_Residual_Activo!R266 * 'Resumen_Cartera'!$Q266, 2), "")</f>
        <v/>
      </c>
      <c r="T266" s="29">
        <f>IF(Saldo_Residual_Activo!S266&gt;0, ROUND(Saldo_Residual_Activo!S266 * 'Resumen_Cartera'!$Q266, 2), "")</f>
        <v/>
      </c>
      <c r="U266" s="29">
        <f>SUM(I266:T266)</f>
        <v/>
      </c>
    </row>
    <row r="267">
      <c r="A267" s="20" t="inlineStr">
        <is>
          <t>0772-0001</t>
        </is>
      </c>
      <c r="B267" s="21" t="inlineStr">
        <is>
          <t>Logistica y Transporte de Carga LGT</t>
        </is>
      </c>
      <c r="C267" s="21" t="inlineStr">
        <is>
          <t>Ram 1200 Laramie 2026</t>
        </is>
      </c>
      <c r="D267" s="20" t="inlineStr">
        <is>
          <t>ACTIVO</t>
        </is>
      </c>
      <c r="E267" s="20" t="inlineStr">
        <is>
          <t>2026-07-31</t>
        </is>
      </c>
      <c r="F267" s="20" t="inlineStr">
        <is>
          <t>2030-07-31</t>
        </is>
      </c>
      <c r="G267" s="22" t="n">
        <v>48</v>
      </c>
      <c r="H267" s="23" t="n">
        <v>59905.17</v>
      </c>
      <c r="I267" s="23" t="inlineStr"/>
      <c r="J267" s="23" t="inlineStr"/>
      <c r="K267" s="23" t="inlineStr"/>
      <c r="L267" s="23" t="inlineStr"/>
      <c r="M267" s="23" t="inlineStr"/>
      <c r="N267" s="23" t="inlineStr"/>
      <c r="O267" s="23">
        <f>ROUND('Resumen_Cartera'!$U267 * 'Resumen_Cartera'!$Q267, 2)</f>
        <v/>
      </c>
      <c r="P267" s="23">
        <f>IF(Saldo_Residual_Activo!O267&gt;0, ROUND(Saldo_Residual_Activo!O267 * 'Resumen_Cartera'!$Q267, 2), "")</f>
        <v/>
      </c>
      <c r="Q267" s="23">
        <f>IF(Saldo_Residual_Activo!P267&gt;0, ROUND(Saldo_Residual_Activo!P267 * 'Resumen_Cartera'!$Q267, 2), "")</f>
        <v/>
      </c>
      <c r="R267" s="23">
        <f>IF(Saldo_Residual_Activo!Q267&gt;0, ROUND(Saldo_Residual_Activo!Q267 * 'Resumen_Cartera'!$Q267, 2), "")</f>
        <v/>
      </c>
      <c r="S267" s="23">
        <f>IF(Saldo_Residual_Activo!R267&gt;0, ROUND(Saldo_Residual_Activo!R267 * 'Resumen_Cartera'!$Q267, 2), "")</f>
        <v/>
      </c>
      <c r="T267" s="23">
        <f>IF(Saldo_Residual_Activo!S267&gt;0, ROUND(Saldo_Residual_Activo!S267 * 'Resumen_Cartera'!$Q267, 2), "")</f>
        <v/>
      </c>
      <c r="U267" s="23">
        <f>SUM(I267:T267)</f>
        <v/>
      </c>
    </row>
    <row r="268">
      <c r="A268" s="26" t="inlineStr">
        <is>
          <t>0773-0001</t>
        </is>
      </c>
      <c r="B268" s="27" t="inlineStr">
        <is>
          <t>Industrias Besthelg, S.A. de C.V.</t>
        </is>
      </c>
      <c r="C268" s="27" t="inlineStr">
        <is>
          <t>Peugeot Manager Furgon L2H2 2026</t>
        </is>
      </c>
      <c r="D268" s="26" t="inlineStr">
        <is>
          <t>ACTIVO</t>
        </is>
      </c>
      <c r="E268" s="26" t="inlineStr">
        <is>
          <t>2026-08-06</t>
        </is>
      </c>
      <c r="F268" s="26" t="inlineStr">
        <is>
          <t>2029-08-06</t>
        </is>
      </c>
      <c r="G268" s="28" t="n">
        <v>36</v>
      </c>
      <c r="H268" s="29" t="n">
        <v>71370.69</v>
      </c>
      <c r="I268" s="29" t="inlineStr"/>
      <c r="J268" s="29" t="inlineStr"/>
      <c r="K268" s="29" t="inlineStr"/>
      <c r="L268" s="29" t="inlineStr"/>
      <c r="M268" s="29" t="inlineStr"/>
      <c r="N268" s="29" t="inlineStr"/>
      <c r="O268" s="29" t="inlineStr"/>
      <c r="P268" s="29">
        <f>ROUND('Resumen_Cartera'!$U268 * 'Resumen_Cartera'!$Q268, 2)</f>
        <v/>
      </c>
      <c r="Q268" s="29">
        <f>IF(Saldo_Residual_Activo!P268&gt;0, ROUND(Saldo_Residual_Activo!P268 * 'Resumen_Cartera'!$Q268, 2), "")</f>
        <v/>
      </c>
      <c r="R268" s="29">
        <f>IF(Saldo_Residual_Activo!Q268&gt;0, ROUND(Saldo_Residual_Activo!Q268 * 'Resumen_Cartera'!$Q268, 2), "")</f>
        <v/>
      </c>
      <c r="S268" s="29">
        <f>IF(Saldo_Residual_Activo!R268&gt;0, ROUND(Saldo_Residual_Activo!R268 * 'Resumen_Cartera'!$Q268, 2), "")</f>
        <v/>
      </c>
      <c r="T268" s="29">
        <f>IF(Saldo_Residual_Activo!S268&gt;0, ROUND(Saldo_Residual_Activo!S268 * 'Resumen_Cartera'!$Q268, 2), "")</f>
        <v/>
      </c>
      <c r="U268" s="29">
        <f>SUM(I268:T268)</f>
        <v/>
      </c>
    </row>
    <row r="269">
      <c r="A269" s="20" t="inlineStr">
        <is>
          <t>0773-0002</t>
        </is>
      </c>
      <c r="B269" s="21" t="inlineStr">
        <is>
          <t>Industrias Besthelg, S.A. de C.V.</t>
        </is>
      </c>
      <c r="C269" s="21" t="inlineStr">
        <is>
          <t>Peugeot Manager L4H2 2027</t>
        </is>
      </c>
      <c r="D269" s="20" t="inlineStr">
        <is>
          <t>ACTIVO</t>
        </is>
      </c>
      <c r="E269" s="20" t="inlineStr">
        <is>
          <t>2026-07-31</t>
        </is>
      </c>
      <c r="F269" s="20" t="inlineStr">
        <is>
          <t>2029-07-31</t>
        </is>
      </c>
      <c r="G269" s="22" t="n">
        <v>36</v>
      </c>
      <c r="H269" s="23" t="n">
        <v>152224.14</v>
      </c>
      <c r="I269" s="23" t="inlineStr"/>
      <c r="J269" s="23" t="inlineStr"/>
      <c r="K269" s="23" t="inlineStr"/>
      <c r="L269" s="23" t="inlineStr"/>
      <c r="M269" s="23" t="inlineStr"/>
      <c r="N269" s="23" t="inlineStr"/>
      <c r="O269" s="23">
        <f>ROUND('Resumen_Cartera'!$U269 * 'Resumen_Cartera'!$Q269, 2)</f>
        <v/>
      </c>
      <c r="P269" s="23">
        <f>IF(Saldo_Residual_Activo!O269&gt;0, ROUND(Saldo_Residual_Activo!O269 * 'Resumen_Cartera'!$Q269, 2), "")</f>
        <v/>
      </c>
      <c r="Q269" s="23">
        <f>IF(Saldo_Residual_Activo!P269&gt;0, ROUND(Saldo_Residual_Activo!P269 * 'Resumen_Cartera'!$Q269, 2), "")</f>
        <v/>
      </c>
      <c r="R269" s="23">
        <f>IF(Saldo_Residual_Activo!Q269&gt;0, ROUND(Saldo_Residual_Activo!Q269 * 'Resumen_Cartera'!$Q269, 2), "")</f>
        <v/>
      </c>
      <c r="S269" s="23">
        <f>IF(Saldo_Residual_Activo!R269&gt;0, ROUND(Saldo_Residual_Activo!R269 * 'Resumen_Cartera'!$Q269, 2), "")</f>
        <v/>
      </c>
      <c r="T269" s="23">
        <f>IF(Saldo_Residual_Activo!S269&gt;0, ROUND(Saldo_Residual_Activo!S269 * 'Resumen_Cartera'!$Q269, 2), "")</f>
        <v/>
      </c>
      <c r="U269" s="23">
        <f>SUM(I269:T269)</f>
        <v/>
      </c>
    </row>
    <row r="270">
      <c r="A270" s="26" t="inlineStr">
        <is>
          <t>0774-0001</t>
        </is>
      </c>
      <c r="B270" s="27" t="inlineStr">
        <is>
          <t>Grupo Plastikrom</t>
        </is>
      </c>
      <c r="C270" s="27" t="inlineStr">
        <is>
          <t>Jeep Cherokee Overland 2026</t>
        </is>
      </c>
      <c r="D270" s="26" t="inlineStr">
        <is>
          <t>ACTIVO</t>
        </is>
      </c>
      <c r="E270" s="26" t="inlineStr">
        <is>
          <t>2026-08-28</t>
        </is>
      </c>
      <c r="F270" s="26" t="inlineStr">
        <is>
          <t>2028-08-28</t>
        </is>
      </c>
      <c r="G270" s="28" t="n">
        <v>24</v>
      </c>
      <c r="H270" s="29" t="n">
        <v>115258.58</v>
      </c>
      <c r="I270" s="29" t="inlineStr"/>
      <c r="J270" s="29" t="inlineStr"/>
      <c r="K270" s="29" t="inlineStr"/>
      <c r="L270" s="29" t="inlineStr"/>
      <c r="M270" s="29" t="inlineStr"/>
      <c r="N270" s="29" t="inlineStr"/>
      <c r="O270" s="29" t="inlineStr"/>
      <c r="P270" s="29">
        <f>ROUND('Resumen_Cartera'!$U270 * 'Resumen_Cartera'!$Q270, 2)</f>
        <v/>
      </c>
      <c r="Q270" s="29">
        <f>IF(Saldo_Residual_Activo!P270&gt;0, ROUND(Saldo_Residual_Activo!P270 * 'Resumen_Cartera'!$Q270, 2), "")</f>
        <v/>
      </c>
      <c r="R270" s="29">
        <f>IF(Saldo_Residual_Activo!Q270&gt;0, ROUND(Saldo_Residual_Activo!Q270 * 'Resumen_Cartera'!$Q270, 2), "")</f>
        <v/>
      </c>
      <c r="S270" s="29">
        <f>IF(Saldo_Residual_Activo!R270&gt;0, ROUND(Saldo_Residual_Activo!R270 * 'Resumen_Cartera'!$Q270, 2), "")</f>
        <v/>
      </c>
      <c r="T270" s="29">
        <f>IF(Saldo_Residual_Activo!S270&gt;0, ROUND(Saldo_Residual_Activo!S270 * 'Resumen_Cartera'!$Q270, 2), "")</f>
        <v/>
      </c>
      <c r="U270" s="29">
        <f>SUM(I270:T270)</f>
        <v/>
      </c>
    </row>
    <row r="271">
      <c r="A271" s="20" t="inlineStr">
        <is>
          <t>0775-0001</t>
        </is>
      </c>
      <c r="B271" s="21" t="inlineStr">
        <is>
          <t>Manuel Ledezma Iñiguez</t>
        </is>
      </c>
      <c r="C271" s="21" t="inlineStr">
        <is>
          <t>Leapmotor B10 2026</t>
        </is>
      </c>
      <c r="D271" s="20" t="inlineStr">
        <is>
          <t>ACTIVO</t>
        </is>
      </c>
      <c r="E271" s="20" t="inlineStr">
        <is>
          <t>2026-08-26</t>
        </is>
      </c>
      <c r="F271" s="20" t="inlineStr">
        <is>
          <t>2030-08-26</t>
        </is>
      </c>
      <c r="G271" s="22" t="n">
        <v>48</v>
      </c>
      <c r="H271" s="23" t="n">
        <v>85500</v>
      </c>
      <c r="I271" s="23" t="inlineStr"/>
      <c r="J271" s="23" t="inlineStr"/>
      <c r="K271" s="23" t="inlineStr"/>
      <c r="L271" s="23" t="inlineStr"/>
      <c r="M271" s="23" t="inlineStr"/>
      <c r="N271" s="23" t="inlineStr"/>
      <c r="O271" s="23" t="inlineStr"/>
      <c r="P271" s="23">
        <f>ROUND('Resumen_Cartera'!$U271 * 'Resumen_Cartera'!$Q271, 2)</f>
        <v/>
      </c>
      <c r="Q271" s="23">
        <f>IF(Saldo_Residual_Activo!P271&gt;0, ROUND(Saldo_Residual_Activo!P271 * 'Resumen_Cartera'!$Q271, 2), "")</f>
        <v/>
      </c>
      <c r="R271" s="23">
        <f>IF(Saldo_Residual_Activo!Q271&gt;0, ROUND(Saldo_Residual_Activo!Q271 * 'Resumen_Cartera'!$Q271, 2), "")</f>
        <v/>
      </c>
      <c r="S271" s="23">
        <f>IF(Saldo_Residual_Activo!R271&gt;0, ROUND(Saldo_Residual_Activo!R271 * 'Resumen_Cartera'!$Q271, 2), "")</f>
        <v/>
      </c>
      <c r="T271" s="23">
        <f>IF(Saldo_Residual_Activo!S271&gt;0, ROUND(Saldo_Residual_Activo!S271 * 'Resumen_Cartera'!$Q271, 2), "")</f>
        <v/>
      </c>
      <c r="U271" s="23">
        <f>SUM(I271:T271)</f>
        <v/>
      </c>
    </row>
    <row r="272">
      <c r="A272" s="26" t="inlineStr">
        <is>
          <t>0776-0001</t>
        </is>
      </c>
      <c r="B272" s="27" t="inlineStr">
        <is>
          <t>Armando Serna Hernández</t>
        </is>
      </c>
      <c r="C272" s="27" t="inlineStr">
        <is>
          <t>Jeep Grand Cherokee Limited 2026</t>
        </is>
      </c>
      <c r="D272" s="26" t="inlineStr">
        <is>
          <t>ACTIVO</t>
        </is>
      </c>
      <c r="E272" s="26" t="inlineStr">
        <is>
          <t>2026-08-26</t>
        </is>
      </c>
      <c r="F272" s="26" t="inlineStr">
        <is>
          <t>2030-08-26</t>
        </is>
      </c>
      <c r="G272" s="28" t="n">
        <v>48</v>
      </c>
      <c r="H272" s="29" t="n">
        <v>241189.66</v>
      </c>
      <c r="I272" s="29" t="inlineStr"/>
      <c r="J272" s="29" t="inlineStr"/>
      <c r="K272" s="29" t="inlineStr"/>
      <c r="L272" s="29" t="inlineStr"/>
      <c r="M272" s="29" t="inlineStr"/>
      <c r="N272" s="29" t="inlineStr"/>
      <c r="O272" s="29" t="inlineStr"/>
      <c r="P272" s="29">
        <f>ROUND('Resumen_Cartera'!$U272 * 'Resumen_Cartera'!$Q272, 2)</f>
        <v/>
      </c>
      <c r="Q272" s="29">
        <f>IF(Saldo_Residual_Activo!P272&gt;0, ROUND(Saldo_Residual_Activo!P272 * 'Resumen_Cartera'!$Q272, 2), "")</f>
        <v/>
      </c>
      <c r="R272" s="29">
        <f>IF(Saldo_Residual_Activo!Q272&gt;0, ROUND(Saldo_Residual_Activo!Q272 * 'Resumen_Cartera'!$Q272, 2), "")</f>
        <v/>
      </c>
      <c r="S272" s="29">
        <f>IF(Saldo_Residual_Activo!R272&gt;0, ROUND(Saldo_Residual_Activo!R272 * 'Resumen_Cartera'!$Q272, 2), "")</f>
        <v/>
      </c>
      <c r="T272" s="29">
        <f>IF(Saldo_Residual_Activo!S272&gt;0, ROUND(Saldo_Residual_Activo!S272 * 'Resumen_Cartera'!$Q272, 2), "")</f>
        <v/>
      </c>
      <c r="U272" s="29">
        <f>SUM(I272:T272)</f>
        <v/>
      </c>
    </row>
    <row r="273">
      <c r="A273" s="20" t="inlineStr">
        <is>
          <t>0777-0001</t>
        </is>
      </c>
      <c r="B273" s="21" t="inlineStr">
        <is>
          <t>Yazmin Alejandra Gomez Olivas</t>
        </is>
      </c>
      <c r="C273" s="21" t="inlineStr">
        <is>
          <t>Jeep Wrangler Rubicon 2026</t>
        </is>
      </c>
      <c r="D273" s="20" t="inlineStr">
        <is>
          <t>ACTIVO</t>
        </is>
      </c>
      <c r="E273" s="20" t="inlineStr">
        <is>
          <t>2026-08-31</t>
        </is>
      </c>
      <c r="F273" s="20" t="inlineStr">
        <is>
          <t>2030-08-31</t>
        </is>
      </c>
      <c r="G273" s="22" t="n">
        <v>48</v>
      </c>
      <c r="H273" s="23" t="n">
        <v>120077.59</v>
      </c>
      <c r="I273" s="23" t="inlineStr"/>
      <c r="J273" s="23" t="inlineStr"/>
      <c r="K273" s="23" t="inlineStr"/>
      <c r="L273" s="23" t="inlineStr"/>
      <c r="M273" s="23" t="inlineStr"/>
      <c r="N273" s="23" t="inlineStr"/>
      <c r="O273" s="23" t="inlineStr"/>
      <c r="P273" s="23">
        <f>ROUND('Resumen_Cartera'!$U273 * 'Resumen_Cartera'!$Q273, 2)</f>
        <v/>
      </c>
      <c r="Q273" s="23">
        <f>IF(Saldo_Residual_Activo!P273&gt;0, ROUND(Saldo_Residual_Activo!P273 * 'Resumen_Cartera'!$Q273, 2), "")</f>
        <v/>
      </c>
      <c r="R273" s="23">
        <f>IF(Saldo_Residual_Activo!Q273&gt;0, ROUND(Saldo_Residual_Activo!Q273 * 'Resumen_Cartera'!$Q273, 2), "")</f>
        <v/>
      </c>
      <c r="S273" s="23">
        <f>IF(Saldo_Residual_Activo!R273&gt;0, ROUND(Saldo_Residual_Activo!R273 * 'Resumen_Cartera'!$Q273, 2), "")</f>
        <v/>
      </c>
      <c r="T273" s="23">
        <f>IF(Saldo_Residual_Activo!S273&gt;0, ROUND(Saldo_Residual_Activo!S273 * 'Resumen_Cartera'!$Q273, 2), "")</f>
        <v/>
      </c>
      <c r="U273" s="23">
        <f>SUM(I273:T273)</f>
        <v/>
      </c>
    </row>
    <row r="274">
      <c r="A274" s="26" t="inlineStr">
        <is>
          <t>0778-0001</t>
        </is>
      </c>
      <c r="B274" s="27" t="inlineStr">
        <is>
          <t>Construcciones y Desarrollos Inmobile, S.A. de C.V.</t>
        </is>
      </c>
      <c r="C274" s="27" t="inlineStr">
        <is>
          <t>Mitsubishi L200 2026</t>
        </is>
      </c>
      <c r="D274" s="26" t="inlineStr">
        <is>
          <t>ACTIVO</t>
        </is>
      </c>
      <c r="E274" s="26" t="inlineStr">
        <is>
          <t>2026-08-31</t>
        </is>
      </c>
      <c r="F274" s="26" t="inlineStr">
        <is>
          <t>2028-08-31</t>
        </is>
      </c>
      <c r="G274" s="28" t="n">
        <v>24</v>
      </c>
      <c r="H274" s="29" t="n">
        <v>51545.26</v>
      </c>
      <c r="I274" s="29" t="inlineStr"/>
      <c r="J274" s="29" t="inlineStr"/>
      <c r="K274" s="29" t="inlineStr"/>
      <c r="L274" s="29" t="inlineStr"/>
      <c r="M274" s="29" t="inlineStr"/>
      <c r="N274" s="29" t="inlineStr"/>
      <c r="O274" s="29" t="inlineStr"/>
      <c r="P274" s="29">
        <f>ROUND('Resumen_Cartera'!$U274 * 'Resumen_Cartera'!$Q274, 2)</f>
        <v/>
      </c>
      <c r="Q274" s="29">
        <f>IF(Saldo_Residual_Activo!P274&gt;0, ROUND(Saldo_Residual_Activo!P274 * 'Resumen_Cartera'!$Q274, 2), "")</f>
        <v/>
      </c>
      <c r="R274" s="29">
        <f>IF(Saldo_Residual_Activo!Q274&gt;0, ROUND(Saldo_Residual_Activo!Q274 * 'Resumen_Cartera'!$Q274, 2), "")</f>
        <v/>
      </c>
      <c r="S274" s="29">
        <f>IF(Saldo_Residual_Activo!R274&gt;0, ROUND(Saldo_Residual_Activo!R274 * 'Resumen_Cartera'!$Q274, 2), "")</f>
        <v/>
      </c>
      <c r="T274" s="29">
        <f>IF(Saldo_Residual_Activo!S274&gt;0, ROUND(Saldo_Residual_Activo!S274 * 'Resumen_Cartera'!$Q274, 2), "")</f>
        <v/>
      </c>
      <c r="U274" s="29">
        <f>SUM(I274:T274)</f>
        <v/>
      </c>
    </row>
    <row r="275">
      <c r="A275" s="20" t="inlineStr">
        <is>
          <t>0779-0001</t>
        </is>
      </c>
      <c r="B275" s="21" t="inlineStr">
        <is>
          <t>Margarita Kaplun Mucharrafille</t>
        </is>
      </c>
      <c r="C275" s="21" t="inlineStr">
        <is>
          <t>Ram 700 Bighorn 2026</t>
        </is>
      </c>
      <c r="D275" s="20" t="inlineStr">
        <is>
          <t>ACTIVO</t>
        </is>
      </c>
      <c r="E275" s="20" t="inlineStr">
        <is>
          <t>2026-09-03</t>
        </is>
      </c>
      <c r="F275" s="20" t="inlineStr">
        <is>
          <t>2030-09-03</t>
        </is>
      </c>
      <c r="G275" s="22" t="n">
        <v>48</v>
      </c>
      <c r="H275" s="23" t="n">
        <v>37159.91</v>
      </c>
      <c r="I275" s="23" t="inlineStr"/>
      <c r="J275" s="23" t="inlineStr"/>
      <c r="K275" s="23" t="inlineStr"/>
      <c r="L275" s="23" t="inlineStr"/>
      <c r="M275" s="23" t="inlineStr"/>
      <c r="N275" s="23" t="inlineStr"/>
      <c r="O275" s="23" t="inlineStr"/>
      <c r="P275" s="23" t="inlineStr"/>
      <c r="Q275" s="23">
        <f>ROUND('Resumen_Cartera'!$U275 * 'Resumen_Cartera'!$Q275, 2)</f>
        <v/>
      </c>
      <c r="R275" s="23">
        <f>IF(Saldo_Residual_Activo!Q275&gt;0, ROUND(Saldo_Residual_Activo!Q275 * 'Resumen_Cartera'!$Q275, 2), "")</f>
        <v/>
      </c>
      <c r="S275" s="23">
        <f>IF(Saldo_Residual_Activo!R275&gt;0, ROUND(Saldo_Residual_Activo!R275 * 'Resumen_Cartera'!$Q275, 2), "")</f>
        <v/>
      </c>
      <c r="T275" s="23">
        <f>IF(Saldo_Residual_Activo!S275&gt;0, ROUND(Saldo_Residual_Activo!S275 * 'Resumen_Cartera'!$Q275, 2), "")</f>
        <v/>
      </c>
      <c r="U275" s="23">
        <f>SUM(I275:T275)</f>
        <v/>
      </c>
    </row>
    <row r="276">
      <c r="A276" s="26" t="inlineStr">
        <is>
          <t>0780-0001</t>
        </is>
      </c>
      <c r="B276" s="27" t="inlineStr">
        <is>
          <t>David Rosendo Cedeño Guerrero</t>
        </is>
      </c>
      <c r="C276" s="27" t="inlineStr">
        <is>
          <t>Suzuki Jimny 2027</t>
        </is>
      </c>
      <c r="D276" s="26" t="inlineStr">
        <is>
          <t>ACTIVO</t>
        </is>
      </c>
      <c r="E276" s="26" t="inlineStr">
        <is>
          <t>2026-09-03</t>
        </is>
      </c>
      <c r="F276" s="26" t="inlineStr">
        <is>
          <t>2030-09-03</t>
        </is>
      </c>
      <c r="G276" s="28" t="n">
        <v>48</v>
      </c>
      <c r="H276" s="29" t="n">
        <v>46464.66</v>
      </c>
      <c r="I276" s="29" t="inlineStr"/>
      <c r="J276" s="29" t="inlineStr"/>
      <c r="K276" s="29" t="inlineStr"/>
      <c r="L276" s="29" t="inlineStr"/>
      <c r="M276" s="29" t="inlineStr"/>
      <c r="N276" s="29" t="inlineStr"/>
      <c r="O276" s="29" t="inlineStr"/>
      <c r="P276" s="29" t="inlineStr"/>
      <c r="Q276" s="29">
        <f>ROUND('Resumen_Cartera'!$U276 * 'Resumen_Cartera'!$Q276, 2)</f>
        <v/>
      </c>
      <c r="R276" s="29">
        <f>IF(Saldo_Residual_Activo!Q276&gt;0, ROUND(Saldo_Residual_Activo!Q276 * 'Resumen_Cartera'!$Q276, 2), "")</f>
        <v/>
      </c>
      <c r="S276" s="29">
        <f>IF(Saldo_Residual_Activo!R276&gt;0, ROUND(Saldo_Residual_Activo!R276 * 'Resumen_Cartera'!$Q276, 2), "")</f>
        <v/>
      </c>
      <c r="T276" s="29">
        <f>IF(Saldo_Residual_Activo!S276&gt;0, ROUND(Saldo_Residual_Activo!S276 * 'Resumen_Cartera'!$Q276, 2), "")</f>
        <v/>
      </c>
      <c r="U276" s="29">
        <f>SUM(I276:T276)</f>
        <v/>
      </c>
    </row>
    <row r="277">
      <c r="A277" s="20" t="inlineStr">
        <is>
          <t>0781-0001</t>
        </is>
      </c>
      <c r="B277" s="21" t="inlineStr">
        <is>
          <t>Northstar Marine &amp; Civil, S.A. de C.V.</t>
        </is>
      </c>
      <c r="C277" s="21" t="inlineStr">
        <is>
          <t>Sany Motoniveladora 2026</t>
        </is>
      </c>
      <c r="D277" s="20" t="inlineStr">
        <is>
          <t>ACTIVO</t>
        </is>
      </c>
      <c r="E277" s="20" t="inlineStr">
        <is>
          <t>2026-09-25</t>
        </is>
      </c>
      <c r="F277" s="20" t="inlineStr">
        <is>
          <t>2028-09-25</t>
        </is>
      </c>
      <c r="G277" s="22" t="n">
        <v>24</v>
      </c>
      <c r="H277" s="23" t="n">
        <v>65542.10000000001</v>
      </c>
      <c r="I277" s="23" t="inlineStr"/>
      <c r="J277" s="23" t="inlineStr"/>
      <c r="K277" s="23" t="inlineStr"/>
      <c r="L277" s="23" t="inlineStr"/>
      <c r="M277" s="23" t="inlineStr"/>
      <c r="N277" s="23" t="inlineStr"/>
      <c r="O277" s="23" t="inlineStr"/>
      <c r="P277" s="23" t="inlineStr"/>
      <c r="Q277" s="23">
        <f>ROUND('Resumen_Cartera'!$U277 * 'Resumen_Cartera'!$Q277, 2)</f>
        <v/>
      </c>
      <c r="R277" s="23">
        <f>IF(Saldo_Residual_Activo!Q277&gt;0, ROUND(Saldo_Residual_Activo!Q277 * 'Resumen_Cartera'!$Q277, 2), "")</f>
        <v/>
      </c>
      <c r="S277" s="23">
        <f>IF(Saldo_Residual_Activo!R277&gt;0, ROUND(Saldo_Residual_Activo!R277 * 'Resumen_Cartera'!$Q277, 2), "")</f>
        <v/>
      </c>
      <c r="T277" s="23">
        <f>IF(Saldo_Residual_Activo!S277&gt;0, ROUND(Saldo_Residual_Activo!S277 * 'Resumen_Cartera'!$Q277, 2), "")</f>
        <v/>
      </c>
      <c r="U277" s="23">
        <f>SUM(I277:T277)</f>
        <v/>
      </c>
    </row>
    <row r="278">
      <c r="A278" s="26" t="inlineStr">
        <is>
          <t>0783-0001</t>
        </is>
      </c>
      <c r="B278" s="27" t="inlineStr">
        <is>
          <t>Nuup Trading, S.A. de C.V.</t>
        </is>
      </c>
      <c r="C278" s="27" t="inlineStr">
        <is>
          <t>Jeep Renegade 2026</t>
        </is>
      </c>
      <c r="D278" s="26" t="inlineStr">
        <is>
          <t>ACTIVO</t>
        </is>
      </c>
      <c r="E278" s="26" t="inlineStr">
        <is>
          <t>2026-09-22</t>
        </is>
      </c>
      <c r="F278" s="26" t="inlineStr">
        <is>
          <t>2028-09-22</t>
        </is>
      </c>
      <c r="G278" s="28" t="n">
        <v>24</v>
      </c>
      <c r="H278" s="29" t="n">
        <v>86534.48</v>
      </c>
      <c r="I278" s="29" t="inlineStr"/>
      <c r="J278" s="29" t="inlineStr"/>
      <c r="K278" s="29" t="inlineStr"/>
      <c r="L278" s="29" t="inlineStr"/>
      <c r="M278" s="29" t="inlineStr"/>
      <c r="N278" s="29" t="inlineStr"/>
      <c r="O278" s="29" t="inlineStr"/>
      <c r="P278" s="29" t="inlineStr"/>
      <c r="Q278" s="29">
        <f>ROUND('Resumen_Cartera'!$U278 * 'Resumen_Cartera'!$Q278, 2)</f>
        <v/>
      </c>
      <c r="R278" s="29">
        <f>IF(Saldo_Residual_Activo!Q278&gt;0, ROUND(Saldo_Residual_Activo!Q278 * 'Resumen_Cartera'!$Q278, 2), "")</f>
        <v/>
      </c>
      <c r="S278" s="29">
        <f>IF(Saldo_Residual_Activo!R278&gt;0, ROUND(Saldo_Residual_Activo!R278 * 'Resumen_Cartera'!$Q278, 2), "")</f>
        <v/>
      </c>
      <c r="T278" s="29">
        <f>IF(Saldo_Residual_Activo!S278&gt;0, ROUND(Saldo_Residual_Activo!S278 * 'Resumen_Cartera'!$Q278, 2), "")</f>
        <v/>
      </c>
      <c r="U278" s="29">
        <f>SUM(I278:T278)</f>
        <v/>
      </c>
    </row>
    <row r="279">
      <c r="A279" s="20" t="inlineStr">
        <is>
          <t>0784-0001</t>
        </is>
      </c>
      <c r="B279" s="21" t="inlineStr">
        <is>
          <t>Enruta App, S.A. de C.V.</t>
        </is>
      </c>
      <c r="C279" s="21" t="inlineStr">
        <is>
          <t>Dodge Attitude GT 2026</t>
        </is>
      </c>
      <c r="D279" s="20" t="inlineStr">
        <is>
          <t>ACTIVO</t>
        </is>
      </c>
      <c r="E279" s="20" t="inlineStr">
        <is>
          <t>2026-09-22</t>
        </is>
      </c>
      <c r="F279" s="20" t="inlineStr">
        <is>
          <t>2027-09-22</t>
        </is>
      </c>
      <c r="G279" s="22" t="n">
        <v>12</v>
      </c>
      <c r="H279" s="23" t="n">
        <v>119385.26</v>
      </c>
      <c r="I279" s="23" t="inlineStr"/>
      <c r="J279" s="23" t="inlineStr"/>
      <c r="K279" s="23" t="inlineStr"/>
      <c r="L279" s="23" t="inlineStr"/>
      <c r="M279" s="23" t="inlineStr"/>
      <c r="N279" s="23" t="inlineStr"/>
      <c r="O279" s="23" t="inlineStr"/>
      <c r="P279" s="23" t="inlineStr"/>
      <c r="Q279" s="23">
        <f>ROUND('Resumen_Cartera'!$U279 * 'Resumen_Cartera'!$Q279, 2)</f>
        <v/>
      </c>
      <c r="R279" s="23">
        <f>IF(Saldo_Residual_Activo!Q279&gt;0, ROUND(Saldo_Residual_Activo!Q279 * 'Resumen_Cartera'!$Q279, 2), "")</f>
        <v/>
      </c>
      <c r="S279" s="23">
        <f>IF(Saldo_Residual_Activo!R279&gt;0, ROUND(Saldo_Residual_Activo!R279 * 'Resumen_Cartera'!$Q279, 2), "")</f>
        <v/>
      </c>
      <c r="T279" s="23">
        <f>IF(Saldo_Residual_Activo!S279&gt;0, ROUND(Saldo_Residual_Activo!S279 * 'Resumen_Cartera'!$Q279, 2), "")</f>
        <v/>
      </c>
      <c r="U279" s="23">
        <f>SUM(I279:T279)</f>
        <v/>
      </c>
    </row>
    <row r="280">
      <c r="A280" s="26" t="inlineStr">
        <is>
          <t>0785-0001</t>
        </is>
      </c>
      <c r="B280" s="27" t="inlineStr">
        <is>
          <t>Velazquez Guerrero y Asociados, S.C.</t>
        </is>
      </c>
      <c r="C280" s="27" t="inlineStr">
        <is>
          <t>Peugeot Rifter Allure Pack 2027</t>
        </is>
      </c>
      <c r="D280" s="26" t="inlineStr">
        <is>
          <t>ACTIVO</t>
        </is>
      </c>
      <c r="E280" s="26" t="inlineStr">
        <is>
          <t>2026-09-28</t>
        </is>
      </c>
      <c r="F280" s="26" t="inlineStr">
        <is>
          <t>2028-09-28</t>
        </is>
      </c>
      <c r="G280" s="28" t="n">
        <v>24</v>
      </c>
      <c r="H280" s="29" t="n">
        <v>84941.89999999999</v>
      </c>
      <c r="I280" s="29" t="inlineStr"/>
      <c r="J280" s="29" t="inlineStr"/>
      <c r="K280" s="29" t="inlineStr"/>
      <c r="L280" s="29" t="inlineStr"/>
      <c r="M280" s="29" t="inlineStr"/>
      <c r="N280" s="29" t="inlineStr"/>
      <c r="O280" s="29" t="inlineStr"/>
      <c r="P280" s="29" t="inlineStr"/>
      <c r="Q280" s="29">
        <f>ROUND('Resumen_Cartera'!$U280 * 'Resumen_Cartera'!$Q280, 2)</f>
        <v/>
      </c>
      <c r="R280" s="29">
        <f>IF(Saldo_Residual_Activo!Q280&gt;0, ROUND(Saldo_Residual_Activo!Q280 * 'Resumen_Cartera'!$Q280, 2), "")</f>
        <v/>
      </c>
      <c r="S280" s="29">
        <f>IF(Saldo_Residual_Activo!R280&gt;0, ROUND(Saldo_Residual_Activo!R280 * 'Resumen_Cartera'!$Q280, 2), "")</f>
        <v/>
      </c>
      <c r="T280" s="29">
        <f>IF(Saldo_Residual_Activo!S280&gt;0, ROUND(Saldo_Residual_Activo!S280 * 'Resumen_Cartera'!$Q280, 2), "")</f>
        <v/>
      </c>
      <c r="U280" s="29">
        <f>SUM(I280:T280)</f>
        <v/>
      </c>
    </row>
    <row r="281">
      <c r="A281" s="20" t="inlineStr">
        <is>
          <t>0786-0001</t>
        </is>
      </c>
      <c r="B281" s="21" t="inlineStr">
        <is>
          <t>Consejería Jurídico Empresarial, S.C.</t>
        </is>
      </c>
      <c r="C281" s="21" t="inlineStr">
        <is>
          <t>Mitsubishi Outlander Sport Limited 2027</t>
        </is>
      </c>
      <c r="D281" s="20" t="inlineStr">
        <is>
          <t>ACTIVO</t>
        </is>
      </c>
      <c r="E281" s="20" t="inlineStr">
        <is>
          <t>2026-09-28</t>
        </is>
      </c>
      <c r="F281" s="20" t="inlineStr">
        <is>
          <t>2028-09-28</t>
        </is>
      </c>
      <c r="G281" s="22" t="n">
        <v>24</v>
      </c>
      <c r="H281" s="23" t="n">
        <v>95145.52</v>
      </c>
      <c r="I281" s="23" t="inlineStr"/>
      <c r="J281" s="23" t="inlineStr"/>
      <c r="K281" s="23" t="inlineStr"/>
      <c r="L281" s="23" t="inlineStr"/>
      <c r="M281" s="23" t="inlineStr"/>
      <c r="N281" s="23" t="inlineStr"/>
      <c r="O281" s="23" t="inlineStr"/>
      <c r="P281" s="23" t="inlineStr"/>
      <c r="Q281" s="23">
        <f>ROUND('Resumen_Cartera'!$U281 * 'Resumen_Cartera'!$Q281, 2)</f>
        <v/>
      </c>
      <c r="R281" s="23">
        <f>IF(Saldo_Residual_Activo!Q281&gt;0, ROUND(Saldo_Residual_Activo!Q281 * 'Resumen_Cartera'!$Q281, 2), "")</f>
        <v/>
      </c>
      <c r="S281" s="23">
        <f>IF(Saldo_Residual_Activo!R281&gt;0, ROUND(Saldo_Residual_Activo!R281 * 'Resumen_Cartera'!$Q281, 2), "")</f>
        <v/>
      </c>
      <c r="T281" s="23">
        <f>IF(Saldo_Residual_Activo!S281&gt;0, ROUND(Saldo_Residual_Activo!S281 * 'Resumen_Cartera'!$Q281, 2), "")</f>
        <v/>
      </c>
      <c r="U281" s="23">
        <f>SUM(I281:T281)</f>
        <v/>
      </c>
    </row>
    <row r="282">
      <c r="A282" s="32" t="inlineStr">
        <is>
          <t>TOTAL CARTERA</t>
        </is>
      </c>
      <c r="B282" s="33" t="inlineStr">
        <is>
          <t>277 Contratos</t>
        </is>
      </c>
      <c r="C282" s="34" t="n"/>
      <c r="D282" s="34" t="n"/>
      <c r="E282" s="34" t="n"/>
      <c r="F282" s="34" t="n"/>
      <c r="G282" s="34" t="n"/>
      <c r="H282" s="34" t="n"/>
      <c r="I282" s="35">
        <f>SUM(I5:I281)</f>
        <v/>
      </c>
      <c r="J282" s="35">
        <f>SUM(J5:J281)</f>
        <v/>
      </c>
      <c r="K282" s="35">
        <f>SUM(K5:K281)</f>
        <v/>
      </c>
      <c r="L282" s="35">
        <f>SUM(L5:L281)</f>
        <v/>
      </c>
      <c r="M282" s="35">
        <f>SUM(M5:M281)</f>
        <v/>
      </c>
      <c r="N282" s="35">
        <f>SUM(N5:N281)</f>
        <v/>
      </c>
      <c r="O282" s="35">
        <f>SUM(O5:O281)</f>
        <v/>
      </c>
      <c r="P282" s="35">
        <f>SUM(P5:P281)</f>
        <v/>
      </c>
      <c r="Q282" s="35">
        <f>SUM(Q5:Q281)</f>
        <v/>
      </c>
      <c r="R282" s="35">
        <f>SUM(R5:R281)</f>
        <v/>
      </c>
      <c r="S282" s="35">
        <f>SUM(S5:S281)</f>
        <v/>
      </c>
      <c r="T282" s="35">
        <f>SUM(T5:T281)</f>
        <v/>
      </c>
      <c r="U282" s="35">
        <f>SUM(U5:U281)</f>
        <v/>
      </c>
    </row>
  </sheetData>
  <autoFilter ref="A4:U281"/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82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2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20" customWidth="1" min="18" max="18"/>
  </cols>
  <sheetData>
    <row r="1" ht="24" customHeight="1">
      <c r="A1" s="18" t="inlineStr">
        <is>
          <t>O-LEASING · UNA APP DE ORANGE CREW · Ingreso Financiero Total Devengado (Leasing + Residual)</t>
        </is>
      </c>
    </row>
    <row r="2" ht="16" customHeight="1">
      <c r="A2" s="3" t="inlineStr">
        <is>
          <t>Fórmula inter-hoja sumando intereses de leasing y de residual en cada período · Auditoría Financiera NIF C-15 / IFRS 16 · Desarrollado por Orange Crew</t>
        </is>
      </c>
    </row>
    <row r="4" ht="26" customHeight="1">
      <c r="A4" s="19" t="inlineStr">
        <is>
          <t>ID_Contrato</t>
        </is>
      </c>
      <c r="B4" s="19" t="inlineStr">
        <is>
          <t>Cliente</t>
        </is>
      </c>
      <c r="C4" s="19" t="inlineStr">
        <is>
          <t>Vehiculo</t>
        </is>
      </c>
      <c r="D4" s="19" t="inlineStr">
        <is>
          <t>Estatus</t>
        </is>
      </c>
      <c r="E4" s="19" t="inlineStr">
        <is>
          <t>Plazo</t>
        </is>
      </c>
      <c r="F4" s="9" t="inlineStr">
        <is>
          <t>2026-01</t>
        </is>
      </c>
      <c r="G4" s="9" t="inlineStr">
        <is>
          <t>2026-02</t>
        </is>
      </c>
      <c r="H4" s="9" t="inlineStr">
        <is>
          <t>2026-03</t>
        </is>
      </c>
      <c r="I4" s="9" t="inlineStr">
        <is>
          <t>2026-04</t>
        </is>
      </c>
      <c r="J4" s="9" t="inlineStr">
        <is>
          <t>2026-05</t>
        </is>
      </c>
      <c r="K4" s="9" t="inlineStr">
        <is>
          <t>2026-06</t>
        </is>
      </c>
      <c r="L4" s="9" t="inlineStr">
        <is>
          <t>2026-07</t>
        </is>
      </c>
      <c r="M4" s="9" t="inlineStr">
        <is>
          <t>2026-08</t>
        </is>
      </c>
      <c r="N4" s="9" t="inlineStr">
        <is>
          <t>2026-09</t>
        </is>
      </c>
      <c r="O4" s="9" t="inlineStr">
        <is>
          <t>2026-10</t>
        </is>
      </c>
      <c r="P4" s="9" t="inlineStr">
        <is>
          <t>2026-11</t>
        </is>
      </c>
      <c r="Q4" s="9" t="inlineStr">
        <is>
          <t>2026-12</t>
        </is>
      </c>
      <c r="R4" s="46" t="inlineStr">
        <is>
          <t>Total_Ingreso_Financiero</t>
        </is>
      </c>
    </row>
    <row r="5">
      <c r="A5" s="20" t="inlineStr">
        <is>
          <t>0326-0003</t>
        </is>
      </c>
      <c r="B5" s="21" t="inlineStr">
        <is>
          <t>Alberto Vázquez Solorio</t>
        </is>
      </c>
      <c r="C5" s="21" t="inlineStr">
        <is>
          <t>Volkswagen Tiguan R-Line 2026</t>
        </is>
      </c>
      <c r="D5" s="20" t="inlineStr">
        <is>
          <t>ACTIVO</t>
        </is>
      </c>
      <c r="E5" s="22" t="n">
        <v>48</v>
      </c>
      <c r="F5" s="23" t="inlineStr"/>
      <c r="G5" s="23" t="inlineStr"/>
      <c r="H5" s="23" t="inlineStr"/>
      <c r="I5" s="23" t="inlineStr"/>
      <c r="J5" s="23" t="inlineStr"/>
      <c r="K5" s="23" t="inlineStr"/>
      <c r="L5" s="23" t="inlineStr"/>
      <c r="M5" s="23" t="inlineStr"/>
      <c r="N5" s="23">
        <f>ROUND(Intereses_Leasing_Mensual!Q5 + Intereses_Residual_Mensual!Q5, 2)</f>
        <v/>
      </c>
      <c r="O5" s="23">
        <f>ROUND(Intereses_Leasing_Mensual!R5 + Intereses_Residual_Mensual!R5, 2)</f>
        <v/>
      </c>
      <c r="P5" s="23">
        <f>ROUND(Intereses_Leasing_Mensual!S5 + Intereses_Residual_Mensual!S5, 2)</f>
        <v/>
      </c>
      <c r="Q5" s="23">
        <f>ROUND(Intereses_Leasing_Mensual!T5 + Intereses_Residual_Mensual!T5, 2)</f>
        <v/>
      </c>
      <c r="R5" s="23">
        <f>SUM(F5:Q5)</f>
        <v/>
      </c>
    </row>
    <row r="6">
      <c r="A6" s="26" t="inlineStr">
        <is>
          <t>0472-0003</t>
        </is>
      </c>
      <c r="B6" s="27" t="inlineStr">
        <is>
          <t>Miguel Zazueta Beltrán</t>
        </is>
      </c>
      <c r="C6" s="27" t="inlineStr">
        <is>
          <t>Jeep Grand Cherokee</t>
        </is>
      </c>
      <c r="D6" s="26" t="inlineStr">
        <is>
          <t>ACTIVO</t>
        </is>
      </c>
      <c r="E6" s="28" t="n">
        <v>36</v>
      </c>
      <c r="F6" s="29" t="inlineStr"/>
      <c r="G6" s="29">
        <f>ROUND(Intereses_Leasing_Mensual!J6 + Intereses_Residual_Mensual!J6, 2)</f>
        <v/>
      </c>
      <c r="H6" s="29">
        <f>ROUND(Intereses_Leasing_Mensual!K6 + Intereses_Residual_Mensual!K6, 2)</f>
        <v/>
      </c>
      <c r="I6" s="29">
        <f>ROUND(Intereses_Leasing_Mensual!L6 + Intereses_Residual_Mensual!L6, 2)</f>
        <v/>
      </c>
      <c r="J6" s="29">
        <f>ROUND(Intereses_Leasing_Mensual!M6 + Intereses_Residual_Mensual!M6, 2)</f>
        <v/>
      </c>
      <c r="K6" s="29">
        <f>ROUND(Intereses_Leasing_Mensual!N6 + Intereses_Residual_Mensual!N6, 2)</f>
        <v/>
      </c>
      <c r="L6" s="29">
        <f>ROUND(Intereses_Leasing_Mensual!O6 + Intereses_Residual_Mensual!O6, 2)</f>
        <v/>
      </c>
      <c r="M6" s="29">
        <f>ROUND(Intereses_Leasing_Mensual!P6 + Intereses_Residual_Mensual!P6, 2)</f>
        <v/>
      </c>
      <c r="N6" s="29">
        <f>ROUND(Intereses_Leasing_Mensual!Q6 + Intereses_Residual_Mensual!Q6, 2)</f>
        <v/>
      </c>
      <c r="O6" s="29">
        <f>ROUND(Intereses_Leasing_Mensual!R6 + Intereses_Residual_Mensual!R6, 2)</f>
        <v/>
      </c>
      <c r="P6" s="29">
        <f>ROUND(Intereses_Leasing_Mensual!S6 + Intereses_Residual_Mensual!S6, 2)</f>
        <v/>
      </c>
      <c r="Q6" s="29">
        <f>ROUND(Intereses_Leasing_Mensual!T6 + Intereses_Residual_Mensual!T6, 2)</f>
        <v/>
      </c>
      <c r="R6" s="29">
        <f>SUM(F6:Q6)</f>
        <v/>
      </c>
    </row>
    <row r="7">
      <c r="A7" s="20" t="inlineStr">
        <is>
          <t>0504-0004</t>
        </is>
      </c>
      <c r="B7" s="21" t="inlineStr">
        <is>
          <t>Oscar Ivan Lozano Terriquez</t>
        </is>
      </c>
      <c r="C7" s="21" t="inlineStr">
        <is>
          <t>700 BIGHORN "S" CREW CAB MT</t>
        </is>
      </c>
      <c r="D7" s="20" t="inlineStr">
        <is>
          <t>ACTIVO</t>
        </is>
      </c>
      <c r="E7" s="22" t="n">
        <v>12</v>
      </c>
      <c r="F7" s="23">
        <f>ROUND(Intereses_Leasing_Mensual!I7 + Intereses_Residual_Mensual!I7, 2)</f>
        <v/>
      </c>
      <c r="G7" s="23">
        <f>ROUND(Intereses_Leasing_Mensual!J7 + Intereses_Residual_Mensual!J7, 2)</f>
        <v/>
      </c>
      <c r="H7" s="23">
        <f>ROUND(Intereses_Leasing_Mensual!K7 + Intereses_Residual_Mensual!K7, 2)</f>
        <v/>
      </c>
      <c r="I7" s="23">
        <f>ROUND(Intereses_Leasing_Mensual!L7 + Intereses_Residual_Mensual!L7, 2)</f>
        <v/>
      </c>
      <c r="J7" s="23">
        <f>ROUND(Intereses_Leasing_Mensual!M7 + Intereses_Residual_Mensual!M7, 2)</f>
        <v/>
      </c>
      <c r="K7" s="23">
        <f>ROUND(Intereses_Leasing_Mensual!N7 + Intereses_Residual_Mensual!N7, 2)</f>
        <v/>
      </c>
      <c r="L7" s="23">
        <f>ROUND(Intereses_Leasing_Mensual!O7 + Intereses_Residual_Mensual!O7, 2)</f>
        <v/>
      </c>
      <c r="M7" s="23">
        <f>ROUND(Intereses_Leasing_Mensual!P7 + Intereses_Residual_Mensual!P7, 2)</f>
        <v/>
      </c>
      <c r="N7" s="23">
        <f>ROUND(Intereses_Leasing_Mensual!Q7 + Intereses_Residual_Mensual!Q7, 2)</f>
        <v/>
      </c>
      <c r="O7" s="23">
        <f>ROUND(Intereses_Leasing_Mensual!R7 + Intereses_Residual_Mensual!R7, 2)</f>
        <v/>
      </c>
      <c r="P7" s="23">
        <f>ROUND(Intereses_Leasing_Mensual!S7 + Intereses_Residual_Mensual!S7, 2)</f>
        <v/>
      </c>
      <c r="Q7" s="23">
        <f>ROUND(Intereses_Leasing_Mensual!T7 + Intereses_Residual_Mensual!T7, 2)</f>
        <v/>
      </c>
      <c r="R7" s="23">
        <f>SUM(F7:Q7)</f>
        <v/>
      </c>
    </row>
    <row r="8">
      <c r="A8" s="26" t="inlineStr">
        <is>
          <t>0506-0006</t>
        </is>
      </c>
      <c r="B8" s="27" t="inlineStr">
        <is>
          <t>Electronic Accounting Sa de Cv</t>
        </is>
      </c>
      <c r="C8" s="27" t="inlineStr">
        <is>
          <t>X5</t>
        </is>
      </c>
      <c r="D8" s="26" t="inlineStr">
        <is>
          <t>ACTIVO</t>
        </is>
      </c>
      <c r="E8" s="28" t="n">
        <v>36</v>
      </c>
      <c r="F8" s="29">
        <f>ROUND(Intereses_Leasing_Mensual!I8 + Intereses_Residual_Mensual!I8, 2)</f>
        <v/>
      </c>
      <c r="G8" s="29">
        <f>ROUND(Intereses_Leasing_Mensual!J8 + Intereses_Residual_Mensual!J8, 2)</f>
        <v/>
      </c>
      <c r="H8" s="29">
        <f>ROUND(Intereses_Leasing_Mensual!K8 + Intereses_Residual_Mensual!K8, 2)</f>
        <v/>
      </c>
      <c r="I8" s="29">
        <f>ROUND(Intereses_Leasing_Mensual!L8 + Intereses_Residual_Mensual!L8, 2)</f>
        <v/>
      </c>
      <c r="J8" s="29">
        <f>ROUND(Intereses_Leasing_Mensual!M8 + Intereses_Residual_Mensual!M8, 2)</f>
        <v/>
      </c>
      <c r="K8" s="29">
        <f>ROUND(Intereses_Leasing_Mensual!N8 + Intereses_Residual_Mensual!N8, 2)</f>
        <v/>
      </c>
      <c r="L8" s="29">
        <f>ROUND(Intereses_Leasing_Mensual!O8 + Intereses_Residual_Mensual!O8, 2)</f>
        <v/>
      </c>
      <c r="M8" s="29">
        <f>ROUND(Intereses_Leasing_Mensual!P8 + Intereses_Residual_Mensual!P8, 2)</f>
        <v/>
      </c>
      <c r="N8" s="29">
        <f>ROUND(Intereses_Leasing_Mensual!Q8 + Intereses_Residual_Mensual!Q8, 2)</f>
        <v/>
      </c>
      <c r="O8" s="29">
        <f>ROUND(Intereses_Leasing_Mensual!R8 + Intereses_Residual_Mensual!R8, 2)</f>
        <v/>
      </c>
      <c r="P8" s="29">
        <f>ROUND(Intereses_Leasing_Mensual!S8 + Intereses_Residual_Mensual!S8, 2)</f>
        <v/>
      </c>
      <c r="Q8" s="29">
        <f>ROUND(Intereses_Leasing_Mensual!T8 + Intereses_Residual_Mensual!T8, 2)</f>
        <v/>
      </c>
      <c r="R8" s="29">
        <f>SUM(F8:Q8)</f>
        <v/>
      </c>
    </row>
    <row r="9">
      <c r="A9" s="20" t="inlineStr">
        <is>
          <t>0506-0007</t>
        </is>
      </c>
      <c r="B9" s="21" t="inlineStr">
        <is>
          <t>Electronic Acounting</t>
        </is>
      </c>
      <c r="C9" s="21" t="inlineStr">
        <is>
          <t>L200 Glx Diesel</t>
        </is>
      </c>
      <c r="D9" s="20" t="inlineStr">
        <is>
          <t>ACTIVO</t>
        </is>
      </c>
      <c r="E9" s="22" t="n">
        <v>36</v>
      </c>
      <c r="F9" s="23">
        <f>ROUND(Intereses_Leasing_Mensual!I9 + Intereses_Residual_Mensual!I9, 2)</f>
        <v/>
      </c>
      <c r="G9" s="23">
        <f>ROUND(Intereses_Leasing_Mensual!J9 + Intereses_Residual_Mensual!J9, 2)</f>
        <v/>
      </c>
      <c r="H9" s="23">
        <f>ROUND(Intereses_Leasing_Mensual!K9 + Intereses_Residual_Mensual!K9, 2)</f>
        <v/>
      </c>
      <c r="I9" s="23">
        <f>ROUND(Intereses_Leasing_Mensual!L9 + Intereses_Residual_Mensual!L9, 2)</f>
        <v/>
      </c>
      <c r="J9" s="23">
        <f>ROUND(Intereses_Leasing_Mensual!M9 + Intereses_Residual_Mensual!M9, 2)</f>
        <v/>
      </c>
      <c r="K9" s="23">
        <f>ROUND(Intereses_Leasing_Mensual!N9 + Intereses_Residual_Mensual!N9, 2)</f>
        <v/>
      </c>
      <c r="L9" s="23">
        <f>ROUND(Intereses_Leasing_Mensual!O9 + Intereses_Residual_Mensual!O9, 2)</f>
        <v/>
      </c>
      <c r="M9" s="23">
        <f>ROUND(Intereses_Leasing_Mensual!P9 + Intereses_Residual_Mensual!P9, 2)</f>
        <v/>
      </c>
      <c r="N9" s="23">
        <f>ROUND(Intereses_Leasing_Mensual!Q9 + Intereses_Residual_Mensual!Q9, 2)</f>
        <v/>
      </c>
      <c r="O9" s="23">
        <f>ROUND(Intereses_Leasing_Mensual!R9 + Intereses_Residual_Mensual!R9, 2)</f>
        <v/>
      </c>
      <c r="P9" s="23">
        <f>ROUND(Intereses_Leasing_Mensual!S9 + Intereses_Residual_Mensual!S9, 2)</f>
        <v/>
      </c>
      <c r="Q9" s="23">
        <f>ROUND(Intereses_Leasing_Mensual!T9 + Intereses_Residual_Mensual!T9, 2)</f>
        <v/>
      </c>
      <c r="R9" s="23">
        <f>SUM(F9:Q9)</f>
        <v/>
      </c>
    </row>
    <row r="10">
      <c r="A10" s="26" t="inlineStr">
        <is>
          <t>0519-0005</t>
        </is>
      </c>
      <c r="B10" s="27" t="inlineStr">
        <is>
          <t>Tequilas el Mexicano S.A. de C.V.</t>
        </is>
      </c>
      <c r="C10" s="27" t="inlineStr">
        <is>
          <t>Attitude Sport</t>
        </is>
      </c>
      <c r="D10" s="26" t="inlineStr">
        <is>
          <t>ACTIVO</t>
        </is>
      </c>
      <c r="E10" s="28" t="n">
        <v>48</v>
      </c>
      <c r="F10" s="29">
        <f>ROUND(Intereses_Leasing_Mensual!I10 + Intereses_Residual_Mensual!I10, 2)</f>
        <v/>
      </c>
      <c r="G10" s="29">
        <f>ROUND(Intereses_Leasing_Mensual!J10 + Intereses_Residual_Mensual!J10, 2)</f>
        <v/>
      </c>
      <c r="H10" s="29">
        <f>ROUND(Intereses_Leasing_Mensual!K10 + Intereses_Residual_Mensual!K10, 2)</f>
        <v/>
      </c>
      <c r="I10" s="29">
        <f>ROUND(Intereses_Leasing_Mensual!L10 + Intereses_Residual_Mensual!L10, 2)</f>
        <v/>
      </c>
      <c r="J10" s="29">
        <f>ROUND(Intereses_Leasing_Mensual!M10 + Intereses_Residual_Mensual!M10, 2)</f>
        <v/>
      </c>
      <c r="K10" s="29">
        <f>ROUND(Intereses_Leasing_Mensual!N10 + Intereses_Residual_Mensual!N10, 2)</f>
        <v/>
      </c>
      <c r="L10" s="29">
        <f>ROUND(Intereses_Leasing_Mensual!O10 + Intereses_Residual_Mensual!O10, 2)</f>
        <v/>
      </c>
      <c r="M10" s="29">
        <f>ROUND(Intereses_Leasing_Mensual!P10 + Intereses_Residual_Mensual!P10, 2)</f>
        <v/>
      </c>
      <c r="N10" s="29">
        <f>ROUND(Intereses_Leasing_Mensual!Q10 + Intereses_Residual_Mensual!Q10, 2)</f>
        <v/>
      </c>
      <c r="O10" s="29">
        <f>ROUND(Intereses_Leasing_Mensual!R10 + Intereses_Residual_Mensual!R10, 2)</f>
        <v/>
      </c>
      <c r="P10" s="29">
        <f>ROUND(Intereses_Leasing_Mensual!S10 + Intereses_Residual_Mensual!S10, 2)</f>
        <v/>
      </c>
      <c r="Q10" s="29">
        <f>ROUND(Intereses_Leasing_Mensual!T10 + Intereses_Residual_Mensual!T10, 2)</f>
        <v/>
      </c>
      <c r="R10" s="29">
        <f>SUM(F10:Q10)</f>
        <v/>
      </c>
    </row>
    <row r="11">
      <c r="A11" s="20" t="inlineStr">
        <is>
          <t>0520-0003</t>
        </is>
      </c>
      <c r="B11" s="21" t="inlineStr">
        <is>
          <t>Tractomotriz Diesel Leal, S.A. de C.V.</t>
        </is>
      </c>
      <c r="C11" s="21" t="inlineStr">
        <is>
          <t>Montero Sport</t>
        </is>
      </c>
      <c r="D11" s="20" t="inlineStr">
        <is>
          <t>ACTIVO</t>
        </is>
      </c>
      <c r="E11" s="22" t="n">
        <v>36</v>
      </c>
      <c r="F11" s="23">
        <f>ROUND(Intereses_Leasing_Mensual!I11 + Intereses_Residual_Mensual!I11, 2)</f>
        <v/>
      </c>
      <c r="G11" s="23">
        <f>ROUND(Intereses_Leasing_Mensual!J11 + Intereses_Residual_Mensual!J11, 2)</f>
        <v/>
      </c>
      <c r="H11" s="23">
        <f>ROUND(Intereses_Leasing_Mensual!K11 + Intereses_Residual_Mensual!K11, 2)</f>
        <v/>
      </c>
      <c r="I11" s="23">
        <f>ROUND(Intereses_Leasing_Mensual!L11 + Intereses_Residual_Mensual!L11, 2)</f>
        <v/>
      </c>
      <c r="J11" s="23">
        <f>ROUND(Intereses_Leasing_Mensual!M11 + Intereses_Residual_Mensual!M11, 2)</f>
        <v/>
      </c>
      <c r="K11" s="23">
        <f>ROUND(Intereses_Leasing_Mensual!N11 + Intereses_Residual_Mensual!N11, 2)</f>
        <v/>
      </c>
      <c r="L11" s="23">
        <f>ROUND(Intereses_Leasing_Mensual!O11 + Intereses_Residual_Mensual!O11, 2)</f>
        <v/>
      </c>
      <c r="M11" s="23">
        <f>ROUND(Intereses_Leasing_Mensual!P11 + Intereses_Residual_Mensual!P11, 2)</f>
        <v/>
      </c>
      <c r="N11" s="23">
        <f>ROUND(Intereses_Leasing_Mensual!Q11 + Intereses_Residual_Mensual!Q11, 2)</f>
        <v/>
      </c>
      <c r="O11" s="23">
        <f>ROUND(Intereses_Leasing_Mensual!R11 + Intereses_Residual_Mensual!R11, 2)</f>
        <v/>
      </c>
      <c r="P11" s="23">
        <f>ROUND(Intereses_Leasing_Mensual!S11 + Intereses_Residual_Mensual!S11, 2)</f>
        <v/>
      </c>
      <c r="Q11" s="23">
        <f>ROUND(Intereses_Leasing_Mensual!T11 + Intereses_Residual_Mensual!T11, 2)</f>
        <v/>
      </c>
      <c r="R11" s="23">
        <f>SUM(F11:Q11)</f>
        <v/>
      </c>
    </row>
    <row r="12">
      <c r="A12" s="26" t="inlineStr">
        <is>
          <t>0520-0004</t>
        </is>
      </c>
      <c r="B12" s="27" t="inlineStr">
        <is>
          <t>Tractomotriz Diesel Leal, S.A. de C.V.</t>
        </is>
      </c>
      <c r="C12" s="27" t="inlineStr">
        <is>
          <t>Partner Maxi Pack</t>
        </is>
      </c>
      <c r="D12" s="26" t="inlineStr">
        <is>
          <t>ACTIVO</t>
        </is>
      </c>
      <c r="E12" s="28" t="n">
        <v>36</v>
      </c>
      <c r="F12" s="29">
        <f>ROUND(Intereses_Leasing_Mensual!I12 + Intereses_Residual_Mensual!I12, 2)</f>
        <v/>
      </c>
      <c r="G12" s="29">
        <f>ROUND(Intereses_Leasing_Mensual!J12 + Intereses_Residual_Mensual!J12, 2)</f>
        <v/>
      </c>
      <c r="H12" s="29">
        <f>ROUND(Intereses_Leasing_Mensual!K12 + Intereses_Residual_Mensual!K12, 2)</f>
        <v/>
      </c>
      <c r="I12" s="29">
        <f>ROUND(Intereses_Leasing_Mensual!L12 + Intereses_Residual_Mensual!L12, 2)</f>
        <v/>
      </c>
      <c r="J12" s="29">
        <f>ROUND(Intereses_Leasing_Mensual!M12 + Intereses_Residual_Mensual!M12, 2)</f>
        <v/>
      </c>
      <c r="K12" s="29">
        <f>ROUND(Intereses_Leasing_Mensual!N12 + Intereses_Residual_Mensual!N12, 2)</f>
        <v/>
      </c>
      <c r="L12" s="29">
        <f>ROUND(Intereses_Leasing_Mensual!O12 + Intereses_Residual_Mensual!O12, 2)</f>
        <v/>
      </c>
      <c r="M12" s="29">
        <f>ROUND(Intereses_Leasing_Mensual!P12 + Intereses_Residual_Mensual!P12, 2)</f>
        <v/>
      </c>
      <c r="N12" s="29">
        <f>ROUND(Intereses_Leasing_Mensual!Q12 + Intereses_Residual_Mensual!Q12, 2)</f>
        <v/>
      </c>
      <c r="O12" s="29">
        <f>ROUND(Intereses_Leasing_Mensual!R12 + Intereses_Residual_Mensual!R12, 2)</f>
        <v/>
      </c>
      <c r="P12" s="29">
        <f>ROUND(Intereses_Leasing_Mensual!S12 + Intereses_Residual_Mensual!S12, 2)</f>
        <v/>
      </c>
      <c r="Q12" s="29">
        <f>ROUND(Intereses_Leasing_Mensual!T12 + Intereses_Residual_Mensual!T12, 2)</f>
        <v/>
      </c>
      <c r="R12" s="29">
        <f>SUM(F12:Q12)</f>
        <v/>
      </c>
    </row>
    <row r="13">
      <c r="A13" s="20" t="inlineStr">
        <is>
          <t>0521-0002</t>
        </is>
      </c>
      <c r="B13" s="21" t="inlineStr">
        <is>
          <t>Carlos Hiram leal Leal</t>
        </is>
      </c>
      <c r="C13" s="21" t="inlineStr">
        <is>
          <t>Xpander</t>
        </is>
      </c>
      <c r="D13" s="20" t="inlineStr">
        <is>
          <t>ACTIVO</t>
        </is>
      </c>
      <c r="E13" s="22" t="n">
        <v>36</v>
      </c>
      <c r="F13" s="23">
        <f>ROUND(Intereses_Leasing_Mensual!I13 + Intereses_Residual_Mensual!I13, 2)</f>
        <v/>
      </c>
      <c r="G13" s="23">
        <f>ROUND(Intereses_Leasing_Mensual!J13 + Intereses_Residual_Mensual!J13, 2)</f>
        <v/>
      </c>
      <c r="H13" s="23">
        <f>ROUND(Intereses_Leasing_Mensual!K13 + Intereses_Residual_Mensual!K13, 2)</f>
        <v/>
      </c>
      <c r="I13" s="23">
        <f>ROUND(Intereses_Leasing_Mensual!L13 + Intereses_Residual_Mensual!L13, 2)</f>
        <v/>
      </c>
      <c r="J13" s="23">
        <f>ROUND(Intereses_Leasing_Mensual!M13 + Intereses_Residual_Mensual!M13, 2)</f>
        <v/>
      </c>
      <c r="K13" s="23">
        <f>ROUND(Intereses_Leasing_Mensual!N13 + Intereses_Residual_Mensual!N13, 2)</f>
        <v/>
      </c>
      <c r="L13" s="23">
        <f>ROUND(Intereses_Leasing_Mensual!O13 + Intereses_Residual_Mensual!O13, 2)</f>
        <v/>
      </c>
      <c r="M13" s="23">
        <f>ROUND(Intereses_Leasing_Mensual!P13 + Intereses_Residual_Mensual!P13, 2)</f>
        <v/>
      </c>
      <c r="N13" s="23">
        <f>ROUND(Intereses_Leasing_Mensual!Q13 + Intereses_Residual_Mensual!Q13, 2)</f>
        <v/>
      </c>
      <c r="O13" s="23">
        <f>ROUND(Intereses_Leasing_Mensual!R13 + Intereses_Residual_Mensual!R13, 2)</f>
        <v/>
      </c>
      <c r="P13" s="23">
        <f>ROUND(Intereses_Leasing_Mensual!S13 + Intereses_Residual_Mensual!S13, 2)</f>
        <v/>
      </c>
      <c r="Q13" s="23">
        <f>ROUND(Intereses_Leasing_Mensual!T13 + Intereses_Residual_Mensual!T13, 2)</f>
        <v/>
      </c>
      <c r="R13" s="23">
        <f>SUM(F13:Q13)</f>
        <v/>
      </c>
    </row>
    <row r="14">
      <c r="A14" s="26" t="inlineStr">
        <is>
          <t>0524-0007</t>
        </is>
      </c>
      <c r="B14" s="27" t="inlineStr">
        <is>
          <t>Lider En Derecho De Via y Construcción SA DE CV</t>
        </is>
      </c>
      <c r="C14" s="27" t="inlineStr">
        <is>
          <t>L200 Gls</t>
        </is>
      </c>
      <c r="D14" s="26" t="inlineStr">
        <is>
          <t>ACTIVO</t>
        </is>
      </c>
      <c r="E14" s="28" t="n">
        <v>24</v>
      </c>
      <c r="F14" s="29">
        <f>ROUND(Intereses_Leasing_Mensual!I14 + Intereses_Residual_Mensual!I14, 2)</f>
        <v/>
      </c>
      <c r="G14" s="29">
        <f>ROUND(Intereses_Leasing_Mensual!J14 + Intereses_Residual_Mensual!J14, 2)</f>
        <v/>
      </c>
      <c r="H14" s="29">
        <f>ROUND(Intereses_Leasing_Mensual!K14 + Intereses_Residual_Mensual!K14, 2)</f>
        <v/>
      </c>
      <c r="I14" s="29">
        <f>ROUND(Intereses_Leasing_Mensual!L14 + Intereses_Residual_Mensual!L14, 2)</f>
        <v/>
      </c>
      <c r="J14" s="29">
        <f>ROUND(Intereses_Leasing_Mensual!M14 + Intereses_Residual_Mensual!M14, 2)</f>
        <v/>
      </c>
      <c r="K14" s="29">
        <f>ROUND(Intereses_Leasing_Mensual!N14 + Intereses_Residual_Mensual!N14, 2)</f>
        <v/>
      </c>
      <c r="L14" s="29">
        <f>ROUND(Intereses_Leasing_Mensual!O14 + Intereses_Residual_Mensual!O14, 2)</f>
        <v/>
      </c>
      <c r="M14" s="29">
        <f>ROUND(Intereses_Leasing_Mensual!P14 + Intereses_Residual_Mensual!P14, 2)</f>
        <v/>
      </c>
      <c r="N14" s="29">
        <f>ROUND(Intereses_Leasing_Mensual!Q14 + Intereses_Residual_Mensual!Q14, 2)</f>
        <v/>
      </c>
      <c r="O14" s="29">
        <f>ROUND(Intereses_Leasing_Mensual!R14 + Intereses_Residual_Mensual!R14, 2)</f>
        <v/>
      </c>
      <c r="P14" s="29">
        <f>ROUND(Intereses_Leasing_Mensual!S14 + Intereses_Residual_Mensual!S14, 2)</f>
        <v/>
      </c>
      <c r="Q14" s="29">
        <f>ROUND(Intereses_Leasing_Mensual!T14 + Intereses_Residual_Mensual!T14, 2)</f>
        <v/>
      </c>
      <c r="R14" s="29">
        <f>SUM(F14:Q14)</f>
        <v/>
      </c>
    </row>
    <row r="15">
      <c r="A15" s="20" t="inlineStr">
        <is>
          <t>0524-0011</t>
        </is>
      </c>
      <c r="B15" s="21" t="inlineStr">
        <is>
          <t>Lider En Derecho De Via y Construcción SA DE CV</t>
        </is>
      </c>
      <c r="C15" s="21" t="inlineStr">
        <is>
          <t>Wrangler Unlimited Sahara</t>
        </is>
      </c>
      <c r="D15" s="20" t="inlineStr">
        <is>
          <t>ACTIVO</t>
        </is>
      </c>
      <c r="E15" s="22" t="n">
        <v>48</v>
      </c>
      <c r="F15" s="23">
        <f>ROUND(Intereses_Leasing_Mensual!I15 + Intereses_Residual_Mensual!I15, 2)</f>
        <v/>
      </c>
      <c r="G15" s="23">
        <f>ROUND(Intereses_Leasing_Mensual!J15 + Intereses_Residual_Mensual!J15, 2)</f>
        <v/>
      </c>
      <c r="H15" s="23">
        <f>ROUND(Intereses_Leasing_Mensual!K15 + Intereses_Residual_Mensual!K15, 2)</f>
        <v/>
      </c>
      <c r="I15" s="23">
        <f>ROUND(Intereses_Leasing_Mensual!L15 + Intereses_Residual_Mensual!L15, 2)</f>
        <v/>
      </c>
      <c r="J15" s="23">
        <f>ROUND(Intereses_Leasing_Mensual!M15 + Intereses_Residual_Mensual!M15, 2)</f>
        <v/>
      </c>
      <c r="K15" s="23">
        <f>ROUND(Intereses_Leasing_Mensual!N15 + Intereses_Residual_Mensual!N15, 2)</f>
        <v/>
      </c>
      <c r="L15" s="23">
        <f>ROUND(Intereses_Leasing_Mensual!O15 + Intereses_Residual_Mensual!O15, 2)</f>
        <v/>
      </c>
      <c r="M15" s="23">
        <f>ROUND(Intereses_Leasing_Mensual!P15 + Intereses_Residual_Mensual!P15, 2)</f>
        <v/>
      </c>
      <c r="N15" s="23">
        <f>ROUND(Intereses_Leasing_Mensual!Q15 + Intereses_Residual_Mensual!Q15, 2)</f>
        <v/>
      </c>
      <c r="O15" s="23">
        <f>ROUND(Intereses_Leasing_Mensual!R15 + Intereses_Residual_Mensual!R15, 2)</f>
        <v/>
      </c>
      <c r="P15" s="23">
        <f>ROUND(Intereses_Leasing_Mensual!S15 + Intereses_Residual_Mensual!S15, 2)</f>
        <v/>
      </c>
      <c r="Q15" s="23">
        <f>ROUND(Intereses_Leasing_Mensual!T15 + Intereses_Residual_Mensual!T15, 2)</f>
        <v/>
      </c>
      <c r="R15" s="23">
        <f>SUM(F15:Q15)</f>
        <v/>
      </c>
    </row>
    <row r="16">
      <c r="A16" s="26" t="inlineStr">
        <is>
          <t>0524-0012</t>
        </is>
      </c>
      <c r="B16" s="27" t="inlineStr">
        <is>
          <t>Lider En Derecho De Via y Construcción SA DE CV</t>
        </is>
      </c>
      <c r="C16" s="27" t="inlineStr">
        <is>
          <t>L200 GLS</t>
        </is>
      </c>
      <c r="D16" s="26" t="inlineStr">
        <is>
          <t>ACTIVO</t>
        </is>
      </c>
      <c r="E16" s="28" t="n">
        <v>48</v>
      </c>
      <c r="F16" s="29" t="inlineStr"/>
      <c r="G16" s="29" t="inlineStr"/>
      <c r="H16" s="29">
        <f>ROUND(Intereses_Leasing_Mensual!K16 + Intereses_Residual_Mensual!K16, 2)</f>
        <v/>
      </c>
      <c r="I16" s="29">
        <f>ROUND(Intereses_Leasing_Mensual!L16 + Intereses_Residual_Mensual!L16, 2)</f>
        <v/>
      </c>
      <c r="J16" s="29">
        <f>ROUND(Intereses_Leasing_Mensual!M16 + Intereses_Residual_Mensual!M16, 2)</f>
        <v/>
      </c>
      <c r="K16" s="29">
        <f>ROUND(Intereses_Leasing_Mensual!N16 + Intereses_Residual_Mensual!N16, 2)</f>
        <v/>
      </c>
      <c r="L16" s="29">
        <f>ROUND(Intereses_Leasing_Mensual!O16 + Intereses_Residual_Mensual!O16, 2)</f>
        <v/>
      </c>
      <c r="M16" s="29">
        <f>ROUND(Intereses_Leasing_Mensual!P16 + Intereses_Residual_Mensual!P16, 2)</f>
        <v/>
      </c>
      <c r="N16" s="29">
        <f>ROUND(Intereses_Leasing_Mensual!Q16 + Intereses_Residual_Mensual!Q16, 2)</f>
        <v/>
      </c>
      <c r="O16" s="29">
        <f>ROUND(Intereses_Leasing_Mensual!R16 + Intereses_Residual_Mensual!R16, 2)</f>
        <v/>
      </c>
      <c r="P16" s="29">
        <f>ROUND(Intereses_Leasing_Mensual!S16 + Intereses_Residual_Mensual!S16, 2)</f>
        <v/>
      </c>
      <c r="Q16" s="29">
        <f>ROUND(Intereses_Leasing_Mensual!T16 + Intereses_Residual_Mensual!T16, 2)</f>
        <v/>
      </c>
      <c r="R16" s="29">
        <f>SUM(F16:Q16)</f>
        <v/>
      </c>
    </row>
    <row r="17">
      <c r="A17" s="20" t="inlineStr">
        <is>
          <t>0524-0013</t>
        </is>
      </c>
      <c r="B17" s="21" t="inlineStr">
        <is>
          <t>Lider En Derecho De Via y Construcción SA DE CV</t>
        </is>
      </c>
      <c r="C17" s="21" t="inlineStr">
        <is>
          <t>L200 GLX</t>
        </is>
      </c>
      <c r="D17" s="20" t="inlineStr">
        <is>
          <t>ACTIVO</t>
        </is>
      </c>
      <c r="E17" s="22" t="n">
        <v>36</v>
      </c>
      <c r="F17" s="23" t="inlineStr"/>
      <c r="G17" s="23" t="inlineStr"/>
      <c r="H17" s="23" t="inlineStr"/>
      <c r="I17" s="23" t="inlineStr"/>
      <c r="J17" s="23" t="inlineStr"/>
      <c r="K17" s="23">
        <f>ROUND(Intereses_Leasing_Mensual!N17 + Intereses_Residual_Mensual!N17, 2)</f>
        <v/>
      </c>
      <c r="L17" s="23">
        <f>ROUND(Intereses_Leasing_Mensual!O17 + Intereses_Residual_Mensual!O17, 2)</f>
        <v/>
      </c>
      <c r="M17" s="23">
        <f>ROUND(Intereses_Leasing_Mensual!P17 + Intereses_Residual_Mensual!P17, 2)</f>
        <v/>
      </c>
      <c r="N17" s="23">
        <f>ROUND(Intereses_Leasing_Mensual!Q17 + Intereses_Residual_Mensual!Q17, 2)</f>
        <v/>
      </c>
      <c r="O17" s="23">
        <f>ROUND(Intereses_Leasing_Mensual!R17 + Intereses_Residual_Mensual!R17, 2)</f>
        <v/>
      </c>
      <c r="P17" s="23">
        <f>ROUND(Intereses_Leasing_Mensual!S17 + Intereses_Residual_Mensual!S17, 2)</f>
        <v/>
      </c>
      <c r="Q17" s="23">
        <f>ROUND(Intereses_Leasing_Mensual!T17 + Intereses_Residual_Mensual!T17, 2)</f>
        <v/>
      </c>
      <c r="R17" s="23">
        <f>SUM(F17:Q17)</f>
        <v/>
      </c>
    </row>
    <row r="18">
      <c r="A18" s="26" t="inlineStr">
        <is>
          <t>0524-0014</t>
        </is>
      </c>
      <c r="B18" s="27" t="inlineStr">
        <is>
          <t>Lider En Derecho De Via y Construcción SA DE CV</t>
        </is>
      </c>
      <c r="C18" s="27" t="inlineStr">
        <is>
          <t>L200 GLX</t>
        </is>
      </c>
      <c r="D18" s="26" t="inlineStr">
        <is>
          <t>ACTIVO</t>
        </is>
      </c>
      <c r="E18" s="28" t="n">
        <v>36</v>
      </c>
      <c r="F18" s="29" t="inlineStr"/>
      <c r="G18" s="29" t="inlineStr"/>
      <c r="H18" s="29" t="inlineStr"/>
      <c r="I18" s="29" t="inlineStr"/>
      <c r="J18" s="29" t="inlineStr"/>
      <c r="K18" s="29">
        <f>ROUND(Intereses_Leasing_Mensual!N18 + Intereses_Residual_Mensual!N18, 2)</f>
        <v/>
      </c>
      <c r="L18" s="29">
        <f>ROUND(Intereses_Leasing_Mensual!O18 + Intereses_Residual_Mensual!O18, 2)</f>
        <v/>
      </c>
      <c r="M18" s="29">
        <f>ROUND(Intereses_Leasing_Mensual!P18 + Intereses_Residual_Mensual!P18, 2)</f>
        <v/>
      </c>
      <c r="N18" s="29">
        <f>ROUND(Intereses_Leasing_Mensual!Q18 + Intereses_Residual_Mensual!Q18, 2)</f>
        <v/>
      </c>
      <c r="O18" s="29">
        <f>ROUND(Intereses_Leasing_Mensual!R18 + Intereses_Residual_Mensual!R18, 2)</f>
        <v/>
      </c>
      <c r="P18" s="29">
        <f>ROUND(Intereses_Leasing_Mensual!S18 + Intereses_Residual_Mensual!S18, 2)</f>
        <v/>
      </c>
      <c r="Q18" s="29">
        <f>ROUND(Intereses_Leasing_Mensual!T18 + Intereses_Residual_Mensual!T18, 2)</f>
        <v/>
      </c>
      <c r="R18" s="29">
        <f>SUM(F18:Q18)</f>
        <v/>
      </c>
    </row>
    <row r="19">
      <c r="A19" s="20" t="inlineStr">
        <is>
          <t>0524-0015</t>
        </is>
      </c>
      <c r="B19" s="21" t="inlineStr">
        <is>
          <t>Lider En Derecho De Via y Construcción SA DE CV</t>
        </is>
      </c>
      <c r="C19" s="21" t="inlineStr">
        <is>
          <t>Mitsubishi L200 GLX 2026</t>
        </is>
      </c>
      <c r="D19" s="20" t="inlineStr">
        <is>
          <t>ACTIVO</t>
        </is>
      </c>
      <c r="E19" s="22" t="n">
        <v>36</v>
      </c>
      <c r="F19" s="23" t="inlineStr"/>
      <c r="G19" s="23" t="inlineStr"/>
      <c r="H19" s="23" t="inlineStr"/>
      <c r="I19" s="23" t="inlineStr"/>
      <c r="J19" s="23" t="inlineStr"/>
      <c r="K19" s="23" t="inlineStr"/>
      <c r="L19" s="23">
        <f>ROUND(Intereses_Leasing_Mensual!O19 + Intereses_Residual_Mensual!O19, 2)</f>
        <v/>
      </c>
      <c r="M19" s="23">
        <f>ROUND(Intereses_Leasing_Mensual!P19 + Intereses_Residual_Mensual!P19, 2)</f>
        <v/>
      </c>
      <c r="N19" s="23">
        <f>ROUND(Intereses_Leasing_Mensual!Q19 + Intereses_Residual_Mensual!Q19, 2)</f>
        <v/>
      </c>
      <c r="O19" s="23">
        <f>ROUND(Intereses_Leasing_Mensual!R19 + Intereses_Residual_Mensual!R19, 2)</f>
        <v/>
      </c>
      <c r="P19" s="23">
        <f>ROUND(Intereses_Leasing_Mensual!S19 + Intereses_Residual_Mensual!S19, 2)</f>
        <v/>
      </c>
      <c r="Q19" s="23">
        <f>ROUND(Intereses_Leasing_Mensual!T19 + Intereses_Residual_Mensual!T19, 2)</f>
        <v/>
      </c>
      <c r="R19" s="23">
        <f>SUM(F19:Q19)</f>
        <v/>
      </c>
    </row>
    <row r="20">
      <c r="A20" s="26" t="inlineStr">
        <is>
          <t>0524-0016</t>
        </is>
      </c>
      <c r="B20" s="27" t="inlineStr">
        <is>
          <t>Lider En Derecho De Via y Construcción SA DE CV</t>
        </is>
      </c>
      <c r="C20" s="27" t="inlineStr">
        <is>
          <t>Mitsubishi L200 GLX 2026</t>
        </is>
      </c>
      <c r="D20" s="26" t="inlineStr">
        <is>
          <t>ACTIVO</t>
        </is>
      </c>
      <c r="E20" s="28" t="n">
        <v>36</v>
      </c>
      <c r="F20" s="29" t="inlineStr"/>
      <c r="G20" s="29" t="inlineStr"/>
      <c r="H20" s="29" t="inlineStr"/>
      <c r="I20" s="29" t="inlineStr"/>
      <c r="J20" s="29" t="inlineStr"/>
      <c r="K20" s="29" t="inlineStr"/>
      <c r="L20" s="29">
        <f>ROUND(Intereses_Leasing_Mensual!O20 + Intereses_Residual_Mensual!O20, 2)</f>
        <v/>
      </c>
      <c r="M20" s="29">
        <f>ROUND(Intereses_Leasing_Mensual!P20 + Intereses_Residual_Mensual!P20, 2)</f>
        <v/>
      </c>
      <c r="N20" s="29">
        <f>ROUND(Intereses_Leasing_Mensual!Q20 + Intereses_Residual_Mensual!Q20, 2)</f>
        <v/>
      </c>
      <c r="O20" s="29">
        <f>ROUND(Intereses_Leasing_Mensual!R20 + Intereses_Residual_Mensual!R20, 2)</f>
        <v/>
      </c>
      <c r="P20" s="29">
        <f>ROUND(Intereses_Leasing_Mensual!S20 + Intereses_Residual_Mensual!S20, 2)</f>
        <v/>
      </c>
      <c r="Q20" s="29">
        <f>ROUND(Intereses_Leasing_Mensual!T20 + Intereses_Residual_Mensual!T20, 2)</f>
        <v/>
      </c>
      <c r="R20" s="29">
        <f>SUM(F20:Q20)</f>
        <v/>
      </c>
    </row>
    <row r="21">
      <c r="A21" s="20" t="inlineStr">
        <is>
          <t>0527-0003</t>
        </is>
      </c>
      <c r="B21" s="21" t="inlineStr">
        <is>
          <t>Comercilizadora e Importadora Nabega Sa de Cv</t>
        </is>
      </c>
      <c r="C21" s="21" t="inlineStr">
        <is>
          <t>RAM 700 Big Horn CVT</t>
        </is>
      </c>
      <c r="D21" s="20" t="inlineStr">
        <is>
          <t>ACTIVO</t>
        </is>
      </c>
      <c r="E21" s="22" t="n">
        <v>36</v>
      </c>
      <c r="F21" s="23">
        <f>ROUND(Intereses_Leasing_Mensual!I21 + Intereses_Residual_Mensual!I21, 2)</f>
        <v/>
      </c>
      <c r="G21" s="23">
        <f>ROUND(Intereses_Leasing_Mensual!J21 + Intereses_Residual_Mensual!J21, 2)</f>
        <v/>
      </c>
      <c r="H21" s="23">
        <f>ROUND(Intereses_Leasing_Mensual!K21 + Intereses_Residual_Mensual!K21, 2)</f>
        <v/>
      </c>
      <c r="I21" s="23">
        <f>ROUND(Intereses_Leasing_Mensual!L21 + Intereses_Residual_Mensual!L21, 2)</f>
        <v/>
      </c>
      <c r="J21" s="23">
        <f>ROUND(Intereses_Leasing_Mensual!M21 + Intereses_Residual_Mensual!M21, 2)</f>
        <v/>
      </c>
      <c r="K21" s="23">
        <f>ROUND(Intereses_Leasing_Mensual!N21 + Intereses_Residual_Mensual!N21, 2)</f>
        <v/>
      </c>
      <c r="L21" s="23">
        <f>ROUND(Intereses_Leasing_Mensual!O21 + Intereses_Residual_Mensual!O21, 2)</f>
        <v/>
      </c>
      <c r="M21" s="23">
        <f>ROUND(Intereses_Leasing_Mensual!P21 + Intereses_Residual_Mensual!P21, 2)</f>
        <v/>
      </c>
      <c r="N21" s="23">
        <f>ROUND(Intereses_Leasing_Mensual!Q21 + Intereses_Residual_Mensual!Q21, 2)</f>
        <v/>
      </c>
      <c r="O21" s="23">
        <f>ROUND(Intereses_Leasing_Mensual!R21 + Intereses_Residual_Mensual!R21, 2)</f>
        <v/>
      </c>
      <c r="P21" s="23">
        <f>ROUND(Intereses_Leasing_Mensual!S21 + Intereses_Residual_Mensual!S21, 2)</f>
        <v/>
      </c>
      <c r="Q21" s="23">
        <f>ROUND(Intereses_Leasing_Mensual!T21 + Intereses_Residual_Mensual!T21, 2)</f>
        <v/>
      </c>
      <c r="R21" s="23">
        <f>SUM(F21:Q21)</f>
        <v/>
      </c>
    </row>
    <row r="22">
      <c r="A22" s="26" t="inlineStr">
        <is>
          <t>0527-0004</t>
        </is>
      </c>
      <c r="B22" s="27" t="inlineStr">
        <is>
          <t>Comercilizadora e Importadora Nabega Sa de Cv</t>
        </is>
      </c>
      <c r="C22" s="27" t="inlineStr">
        <is>
          <t>Gmc Denali</t>
        </is>
      </c>
      <c r="D22" s="26" t="inlineStr">
        <is>
          <t>ACTIVO</t>
        </is>
      </c>
      <c r="E22" s="28" t="n">
        <v>48</v>
      </c>
      <c r="F22" s="29">
        <f>ROUND(Intereses_Leasing_Mensual!I22 + Intereses_Residual_Mensual!I22, 2)</f>
        <v/>
      </c>
      <c r="G22" s="29">
        <f>ROUND(Intereses_Leasing_Mensual!J22 + Intereses_Residual_Mensual!J22, 2)</f>
        <v/>
      </c>
      <c r="H22" s="29">
        <f>ROUND(Intereses_Leasing_Mensual!K22 + Intereses_Residual_Mensual!K22, 2)</f>
        <v/>
      </c>
      <c r="I22" s="29">
        <f>ROUND(Intereses_Leasing_Mensual!L22 + Intereses_Residual_Mensual!L22, 2)</f>
        <v/>
      </c>
      <c r="J22" s="29">
        <f>ROUND(Intereses_Leasing_Mensual!M22 + Intereses_Residual_Mensual!M22, 2)</f>
        <v/>
      </c>
      <c r="K22" s="29">
        <f>ROUND(Intereses_Leasing_Mensual!N22 + Intereses_Residual_Mensual!N22, 2)</f>
        <v/>
      </c>
      <c r="L22" s="29">
        <f>ROUND(Intereses_Leasing_Mensual!O22 + Intereses_Residual_Mensual!O22, 2)</f>
        <v/>
      </c>
      <c r="M22" s="29">
        <f>ROUND(Intereses_Leasing_Mensual!P22 + Intereses_Residual_Mensual!P22, 2)</f>
        <v/>
      </c>
      <c r="N22" s="29">
        <f>ROUND(Intereses_Leasing_Mensual!Q22 + Intereses_Residual_Mensual!Q22, 2)</f>
        <v/>
      </c>
      <c r="O22" s="29">
        <f>ROUND(Intereses_Leasing_Mensual!R22 + Intereses_Residual_Mensual!R22, 2)</f>
        <v/>
      </c>
      <c r="P22" s="29">
        <f>ROUND(Intereses_Leasing_Mensual!S22 + Intereses_Residual_Mensual!S22, 2)</f>
        <v/>
      </c>
      <c r="Q22" s="29">
        <f>ROUND(Intereses_Leasing_Mensual!T22 + Intereses_Residual_Mensual!T22, 2)</f>
        <v/>
      </c>
      <c r="R22" s="29">
        <f>SUM(F22:Q22)</f>
        <v/>
      </c>
    </row>
    <row r="23">
      <c r="A23" s="20" t="inlineStr">
        <is>
          <t>0527-0005</t>
        </is>
      </c>
      <c r="B23" s="21" t="inlineStr">
        <is>
          <t>Comercilizadora e Importadora Nabega Sa de Cv</t>
        </is>
      </c>
      <c r="C23" s="21" t="inlineStr">
        <is>
          <t>Gle 450 Sport</t>
        </is>
      </c>
      <c r="D23" s="20" t="inlineStr">
        <is>
          <t>ACTIVO</t>
        </is>
      </c>
      <c r="E23" s="22" t="n">
        <v>36</v>
      </c>
      <c r="F23" s="23">
        <f>ROUND(Intereses_Leasing_Mensual!I23 + Intereses_Residual_Mensual!I23, 2)</f>
        <v/>
      </c>
      <c r="G23" s="23">
        <f>ROUND(Intereses_Leasing_Mensual!J23 + Intereses_Residual_Mensual!J23, 2)</f>
        <v/>
      </c>
      <c r="H23" s="23">
        <f>ROUND(Intereses_Leasing_Mensual!K23 + Intereses_Residual_Mensual!K23, 2)</f>
        <v/>
      </c>
      <c r="I23" s="23">
        <f>ROUND(Intereses_Leasing_Mensual!L23 + Intereses_Residual_Mensual!L23, 2)</f>
        <v/>
      </c>
      <c r="J23" s="23">
        <f>ROUND(Intereses_Leasing_Mensual!M23 + Intereses_Residual_Mensual!M23, 2)</f>
        <v/>
      </c>
      <c r="K23" s="23">
        <f>ROUND(Intereses_Leasing_Mensual!N23 + Intereses_Residual_Mensual!N23, 2)</f>
        <v/>
      </c>
      <c r="L23" s="23">
        <f>ROUND(Intereses_Leasing_Mensual!O23 + Intereses_Residual_Mensual!O23, 2)</f>
        <v/>
      </c>
      <c r="M23" s="23">
        <f>ROUND(Intereses_Leasing_Mensual!P23 + Intereses_Residual_Mensual!P23, 2)</f>
        <v/>
      </c>
      <c r="N23" s="23">
        <f>ROUND(Intereses_Leasing_Mensual!Q23 + Intereses_Residual_Mensual!Q23, 2)</f>
        <v/>
      </c>
      <c r="O23" s="23">
        <f>ROUND(Intereses_Leasing_Mensual!R23 + Intereses_Residual_Mensual!R23, 2)</f>
        <v/>
      </c>
      <c r="P23" s="23">
        <f>ROUND(Intereses_Leasing_Mensual!S23 + Intereses_Residual_Mensual!S23, 2)</f>
        <v/>
      </c>
      <c r="Q23" s="23">
        <f>ROUND(Intereses_Leasing_Mensual!T23 + Intereses_Residual_Mensual!T23, 2)</f>
        <v/>
      </c>
      <c r="R23" s="23">
        <f>SUM(F23:Q23)</f>
        <v/>
      </c>
    </row>
    <row r="24">
      <c r="A24" s="26" t="inlineStr">
        <is>
          <t>0531-0002</t>
        </is>
      </c>
      <c r="B24" s="27" t="inlineStr">
        <is>
          <t>Otcada Mex, S. de R.L. de C.V.</t>
        </is>
      </c>
      <c r="C24" s="27" t="inlineStr">
        <is>
          <t>Grand Cherokee Limited</t>
        </is>
      </c>
      <c r="D24" s="26" t="inlineStr">
        <is>
          <t>ACTIVO</t>
        </is>
      </c>
      <c r="E24" s="28" t="n">
        <v>48</v>
      </c>
      <c r="F24" s="29" t="inlineStr"/>
      <c r="G24" s="29" t="inlineStr"/>
      <c r="H24" s="29" t="inlineStr"/>
      <c r="I24" s="29" t="inlineStr"/>
      <c r="J24" s="29" t="inlineStr"/>
      <c r="K24" s="29">
        <f>ROUND(Intereses_Leasing_Mensual!N24 + Intereses_Residual_Mensual!N24, 2)</f>
        <v/>
      </c>
      <c r="L24" s="29">
        <f>ROUND(Intereses_Leasing_Mensual!O24 + Intereses_Residual_Mensual!O24, 2)</f>
        <v/>
      </c>
      <c r="M24" s="29">
        <f>ROUND(Intereses_Leasing_Mensual!P24 + Intereses_Residual_Mensual!P24, 2)</f>
        <v/>
      </c>
      <c r="N24" s="29">
        <f>ROUND(Intereses_Leasing_Mensual!Q24 + Intereses_Residual_Mensual!Q24, 2)</f>
        <v/>
      </c>
      <c r="O24" s="29">
        <f>ROUND(Intereses_Leasing_Mensual!R24 + Intereses_Residual_Mensual!R24, 2)</f>
        <v/>
      </c>
      <c r="P24" s="29">
        <f>ROUND(Intereses_Leasing_Mensual!S24 + Intereses_Residual_Mensual!S24, 2)</f>
        <v/>
      </c>
      <c r="Q24" s="29">
        <f>ROUND(Intereses_Leasing_Mensual!T24 + Intereses_Residual_Mensual!T24, 2)</f>
        <v/>
      </c>
      <c r="R24" s="29">
        <f>SUM(F24:Q24)</f>
        <v/>
      </c>
    </row>
    <row r="25">
      <c r="A25" s="20" t="inlineStr">
        <is>
          <t>0546-0007</t>
        </is>
      </c>
      <c r="B25" s="21" t="inlineStr">
        <is>
          <t>Norma Elena Bonilla Lupio</t>
        </is>
      </c>
      <c r="C25" s="21" t="inlineStr">
        <is>
          <t>GLC 350 E 4MATIC</t>
        </is>
      </c>
      <c r="D25" s="20" t="inlineStr">
        <is>
          <t>ACTIVO</t>
        </is>
      </c>
      <c r="E25" s="22" t="n">
        <v>24</v>
      </c>
      <c r="F25" s="23">
        <f>ROUND(Intereses_Leasing_Mensual!I25 + Intereses_Residual_Mensual!I25, 2)</f>
        <v/>
      </c>
      <c r="G25" s="23">
        <f>ROUND(Intereses_Leasing_Mensual!J25 + Intereses_Residual_Mensual!J25, 2)</f>
        <v/>
      </c>
      <c r="H25" s="23">
        <f>ROUND(Intereses_Leasing_Mensual!K25 + Intereses_Residual_Mensual!K25, 2)</f>
        <v/>
      </c>
      <c r="I25" s="23">
        <f>ROUND(Intereses_Leasing_Mensual!L25 + Intereses_Residual_Mensual!L25, 2)</f>
        <v/>
      </c>
      <c r="J25" s="23">
        <f>ROUND(Intereses_Leasing_Mensual!M25 + Intereses_Residual_Mensual!M25, 2)</f>
        <v/>
      </c>
      <c r="K25" s="23">
        <f>ROUND(Intereses_Leasing_Mensual!N25 + Intereses_Residual_Mensual!N25, 2)</f>
        <v/>
      </c>
      <c r="L25" s="23">
        <f>ROUND(Intereses_Leasing_Mensual!O25 + Intereses_Residual_Mensual!O25, 2)</f>
        <v/>
      </c>
      <c r="M25" s="23">
        <f>ROUND(Intereses_Leasing_Mensual!P25 + Intereses_Residual_Mensual!P25, 2)</f>
        <v/>
      </c>
      <c r="N25" s="23">
        <f>ROUND(Intereses_Leasing_Mensual!Q25 + Intereses_Residual_Mensual!Q25, 2)</f>
        <v/>
      </c>
      <c r="O25" s="23">
        <f>ROUND(Intereses_Leasing_Mensual!R25 + Intereses_Residual_Mensual!R25, 2)</f>
        <v/>
      </c>
      <c r="P25" s="23">
        <f>ROUND(Intereses_Leasing_Mensual!S25 + Intereses_Residual_Mensual!S25, 2)</f>
        <v/>
      </c>
      <c r="Q25" s="23">
        <f>ROUND(Intereses_Leasing_Mensual!T25 + Intereses_Residual_Mensual!T25, 2)</f>
        <v/>
      </c>
      <c r="R25" s="23">
        <f>SUM(F25:Q25)</f>
        <v/>
      </c>
    </row>
    <row r="26">
      <c r="A26" s="26" t="inlineStr">
        <is>
          <t>0546-0008</t>
        </is>
      </c>
      <c r="B26" s="27" t="inlineStr">
        <is>
          <t>Norma Elena Bonilla Lupio</t>
        </is>
      </c>
      <c r="C26" s="27" t="inlineStr">
        <is>
          <t>JT MOJAVE 4X4</t>
        </is>
      </c>
      <c r="D26" s="26" t="inlineStr">
        <is>
          <t>ACTIVO</t>
        </is>
      </c>
      <c r="E26" s="28" t="n">
        <v>24</v>
      </c>
      <c r="F26" s="29">
        <f>ROUND(Intereses_Leasing_Mensual!I26 + Intereses_Residual_Mensual!I26, 2)</f>
        <v/>
      </c>
      <c r="G26" s="29">
        <f>ROUND(Intereses_Leasing_Mensual!J26 + Intereses_Residual_Mensual!J26, 2)</f>
        <v/>
      </c>
      <c r="H26" s="29">
        <f>ROUND(Intereses_Leasing_Mensual!K26 + Intereses_Residual_Mensual!K26, 2)</f>
        <v/>
      </c>
      <c r="I26" s="29">
        <f>ROUND(Intereses_Leasing_Mensual!L26 + Intereses_Residual_Mensual!L26, 2)</f>
        <v/>
      </c>
      <c r="J26" s="29">
        <f>ROUND(Intereses_Leasing_Mensual!M26 + Intereses_Residual_Mensual!M26, 2)</f>
        <v/>
      </c>
      <c r="K26" s="29">
        <f>ROUND(Intereses_Leasing_Mensual!N26 + Intereses_Residual_Mensual!N26, 2)</f>
        <v/>
      </c>
      <c r="L26" s="29">
        <f>ROUND(Intereses_Leasing_Mensual!O26 + Intereses_Residual_Mensual!O26, 2)</f>
        <v/>
      </c>
      <c r="M26" s="29">
        <f>ROUND(Intereses_Leasing_Mensual!P26 + Intereses_Residual_Mensual!P26, 2)</f>
        <v/>
      </c>
      <c r="N26" s="29">
        <f>ROUND(Intereses_Leasing_Mensual!Q26 + Intereses_Residual_Mensual!Q26, 2)</f>
        <v/>
      </c>
      <c r="O26" s="29">
        <f>ROUND(Intereses_Leasing_Mensual!R26 + Intereses_Residual_Mensual!R26, 2)</f>
        <v/>
      </c>
      <c r="P26" s="29">
        <f>ROUND(Intereses_Leasing_Mensual!S26 + Intereses_Residual_Mensual!S26, 2)</f>
        <v/>
      </c>
      <c r="Q26" s="29">
        <f>ROUND(Intereses_Leasing_Mensual!T26 + Intereses_Residual_Mensual!T26, 2)</f>
        <v/>
      </c>
      <c r="R26" s="29">
        <f>SUM(F26:Q26)</f>
        <v/>
      </c>
    </row>
    <row r="27">
      <c r="A27" s="20" t="inlineStr">
        <is>
          <t>0546-0009</t>
        </is>
      </c>
      <c r="B27" s="21" t="inlineStr">
        <is>
          <t>Norma Elena Bonilla Lupio</t>
        </is>
      </c>
      <c r="C27" s="21" t="inlineStr">
        <is>
          <t>Ram 1200 Tradesman 2026</t>
        </is>
      </c>
      <c r="D27" s="20" t="inlineStr">
        <is>
          <t>ACTIVO</t>
        </is>
      </c>
      <c r="E27" s="22" t="n">
        <v>24</v>
      </c>
      <c r="F27" s="23" t="inlineStr"/>
      <c r="G27" s="23" t="inlineStr"/>
      <c r="H27" s="23" t="inlineStr"/>
      <c r="I27" s="23" t="inlineStr"/>
      <c r="J27" s="23" t="inlineStr"/>
      <c r="K27" s="23" t="inlineStr"/>
      <c r="L27" s="23">
        <f>ROUND(Intereses_Leasing_Mensual!O27 + Intereses_Residual_Mensual!O27, 2)</f>
        <v/>
      </c>
      <c r="M27" s="23">
        <f>ROUND(Intereses_Leasing_Mensual!P27 + Intereses_Residual_Mensual!P27, 2)</f>
        <v/>
      </c>
      <c r="N27" s="23">
        <f>ROUND(Intereses_Leasing_Mensual!Q27 + Intereses_Residual_Mensual!Q27, 2)</f>
        <v/>
      </c>
      <c r="O27" s="23">
        <f>ROUND(Intereses_Leasing_Mensual!R27 + Intereses_Residual_Mensual!R27, 2)</f>
        <v/>
      </c>
      <c r="P27" s="23">
        <f>ROUND(Intereses_Leasing_Mensual!S27 + Intereses_Residual_Mensual!S27, 2)</f>
        <v/>
      </c>
      <c r="Q27" s="23">
        <f>ROUND(Intereses_Leasing_Mensual!T27 + Intereses_Residual_Mensual!T27, 2)</f>
        <v/>
      </c>
      <c r="R27" s="23">
        <f>SUM(F27:Q27)</f>
        <v/>
      </c>
    </row>
    <row r="28">
      <c r="A28" s="26" t="inlineStr">
        <is>
          <t>0551-0002</t>
        </is>
      </c>
      <c r="B28" s="27" t="inlineStr">
        <is>
          <t>Agaveros Unidos de Tequila Jalisco Aun S de RL de Cv</t>
        </is>
      </c>
      <c r="C28" s="27" t="inlineStr">
        <is>
          <t>Ram 700 Laramie</t>
        </is>
      </c>
      <c r="D28" s="26" t="inlineStr">
        <is>
          <t>ACTIVO</t>
        </is>
      </c>
      <c r="E28" s="28" t="n">
        <v>48</v>
      </c>
      <c r="F28" s="29">
        <f>ROUND(Intereses_Leasing_Mensual!I28 + Intereses_Residual_Mensual!I28, 2)</f>
        <v/>
      </c>
      <c r="G28" s="29">
        <f>ROUND(Intereses_Leasing_Mensual!J28 + Intereses_Residual_Mensual!J28, 2)</f>
        <v/>
      </c>
      <c r="H28" s="29">
        <f>ROUND(Intereses_Leasing_Mensual!K28 + Intereses_Residual_Mensual!K28, 2)</f>
        <v/>
      </c>
      <c r="I28" s="29">
        <f>ROUND(Intereses_Leasing_Mensual!L28 + Intereses_Residual_Mensual!L28, 2)</f>
        <v/>
      </c>
      <c r="J28" s="29">
        <f>ROUND(Intereses_Leasing_Mensual!M28 + Intereses_Residual_Mensual!M28, 2)</f>
        <v/>
      </c>
      <c r="K28" s="29">
        <f>ROUND(Intereses_Leasing_Mensual!N28 + Intereses_Residual_Mensual!N28, 2)</f>
        <v/>
      </c>
      <c r="L28" s="29">
        <f>ROUND(Intereses_Leasing_Mensual!O28 + Intereses_Residual_Mensual!O28, 2)</f>
        <v/>
      </c>
      <c r="M28" s="29">
        <f>ROUND(Intereses_Leasing_Mensual!P28 + Intereses_Residual_Mensual!P28, 2)</f>
        <v/>
      </c>
      <c r="N28" s="29">
        <f>ROUND(Intereses_Leasing_Mensual!Q28 + Intereses_Residual_Mensual!Q28, 2)</f>
        <v/>
      </c>
      <c r="O28" s="29">
        <f>ROUND(Intereses_Leasing_Mensual!R28 + Intereses_Residual_Mensual!R28, 2)</f>
        <v/>
      </c>
      <c r="P28" s="29">
        <f>ROUND(Intereses_Leasing_Mensual!S28 + Intereses_Residual_Mensual!S28, 2)</f>
        <v/>
      </c>
      <c r="Q28" s="29">
        <f>ROUND(Intereses_Leasing_Mensual!T28 + Intereses_Residual_Mensual!T28, 2)</f>
        <v/>
      </c>
      <c r="R28" s="29">
        <f>SUM(F28:Q28)</f>
        <v/>
      </c>
    </row>
    <row r="29">
      <c r="A29" s="20" t="inlineStr">
        <is>
          <t>0552-0018</t>
        </is>
      </c>
      <c r="B29" s="21" t="inlineStr">
        <is>
          <t>Transportes y Maniobras Portuarias</t>
        </is>
      </c>
      <c r="C29" s="21" t="inlineStr">
        <is>
          <t>Raizer</t>
        </is>
      </c>
      <c r="D29" s="20" t="inlineStr">
        <is>
          <t>ACTIVO</t>
        </is>
      </c>
      <c r="E29" s="22" t="n">
        <v>24</v>
      </c>
      <c r="F29" s="23">
        <f>ROUND(Intereses_Leasing_Mensual!I29 + Intereses_Residual_Mensual!I29, 2)</f>
        <v/>
      </c>
      <c r="G29" s="23">
        <f>ROUND(Intereses_Leasing_Mensual!J29 + Intereses_Residual_Mensual!J29, 2)</f>
        <v/>
      </c>
      <c r="H29" s="23">
        <f>ROUND(Intereses_Leasing_Mensual!K29 + Intereses_Residual_Mensual!K29, 2)</f>
        <v/>
      </c>
      <c r="I29" s="23">
        <f>ROUND(Intereses_Leasing_Mensual!L29 + Intereses_Residual_Mensual!L29, 2)</f>
        <v/>
      </c>
      <c r="J29" s="23">
        <f>ROUND(Intereses_Leasing_Mensual!M29 + Intereses_Residual_Mensual!M29, 2)</f>
        <v/>
      </c>
      <c r="K29" s="23">
        <f>ROUND(Intereses_Leasing_Mensual!N29 + Intereses_Residual_Mensual!N29, 2)</f>
        <v/>
      </c>
      <c r="L29" s="23">
        <f>ROUND(Intereses_Leasing_Mensual!O29 + Intereses_Residual_Mensual!O29, 2)</f>
        <v/>
      </c>
      <c r="M29" s="23">
        <f>ROUND(Intereses_Leasing_Mensual!P29 + Intereses_Residual_Mensual!P29, 2)</f>
        <v/>
      </c>
      <c r="N29" s="23">
        <f>ROUND(Intereses_Leasing_Mensual!Q29 + Intereses_Residual_Mensual!Q29, 2)</f>
        <v/>
      </c>
      <c r="O29" s="23">
        <f>ROUND(Intereses_Leasing_Mensual!R29 + Intereses_Residual_Mensual!R29, 2)</f>
        <v/>
      </c>
      <c r="P29" s="23" t="inlineStr"/>
      <c r="Q29" s="23" t="inlineStr"/>
      <c r="R29" s="23">
        <f>SUM(F29:Q29)</f>
        <v/>
      </c>
    </row>
    <row r="30">
      <c r="A30" s="26" t="inlineStr">
        <is>
          <t>0552-0019</t>
        </is>
      </c>
      <c r="B30" s="27" t="inlineStr">
        <is>
          <t>Transportes y Maniobras Portuarias de Mexico Sa de Cv</t>
        </is>
      </c>
      <c r="C30" s="27" t="inlineStr">
        <is>
          <t>Remolque tipo Dolly</t>
        </is>
      </c>
      <c r="D30" s="26" t="inlineStr">
        <is>
          <t>ACTIVO</t>
        </is>
      </c>
      <c r="E30" s="28" t="n">
        <v>24</v>
      </c>
      <c r="F30" s="29">
        <f>ROUND(Intereses_Leasing_Mensual!I30 + Intereses_Residual_Mensual!I30, 2)</f>
        <v/>
      </c>
      <c r="G30" s="29">
        <f>ROUND(Intereses_Leasing_Mensual!J30 + Intereses_Residual_Mensual!J30, 2)</f>
        <v/>
      </c>
      <c r="H30" s="29">
        <f>ROUND(Intereses_Leasing_Mensual!K30 + Intereses_Residual_Mensual!K30, 2)</f>
        <v/>
      </c>
      <c r="I30" s="29">
        <f>ROUND(Intereses_Leasing_Mensual!L30 + Intereses_Residual_Mensual!L30, 2)</f>
        <v/>
      </c>
      <c r="J30" s="29">
        <f>ROUND(Intereses_Leasing_Mensual!M30 + Intereses_Residual_Mensual!M30, 2)</f>
        <v/>
      </c>
      <c r="K30" s="29">
        <f>ROUND(Intereses_Leasing_Mensual!N30 + Intereses_Residual_Mensual!N30, 2)</f>
        <v/>
      </c>
      <c r="L30" s="29">
        <f>ROUND(Intereses_Leasing_Mensual!O30 + Intereses_Residual_Mensual!O30, 2)</f>
        <v/>
      </c>
      <c r="M30" s="29">
        <f>ROUND(Intereses_Leasing_Mensual!P30 + Intereses_Residual_Mensual!P30, 2)</f>
        <v/>
      </c>
      <c r="N30" s="29">
        <f>ROUND(Intereses_Leasing_Mensual!Q30 + Intereses_Residual_Mensual!Q30, 2)</f>
        <v/>
      </c>
      <c r="O30" s="29">
        <f>ROUND(Intereses_Leasing_Mensual!R30 + Intereses_Residual_Mensual!R30, 2)</f>
        <v/>
      </c>
      <c r="P30" s="29">
        <f>ROUND(Intereses_Leasing_Mensual!S30 + Intereses_Residual_Mensual!S30, 2)</f>
        <v/>
      </c>
      <c r="Q30" s="29" t="inlineStr"/>
      <c r="R30" s="29">
        <f>SUM(F30:Q30)</f>
        <v/>
      </c>
    </row>
    <row r="31">
      <c r="A31" s="20" t="inlineStr">
        <is>
          <t>0552-0020</t>
        </is>
      </c>
      <c r="B31" s="21" t="inlineStr">
        <is>
          <t>Transportes y Maniobras Portuarias de Mexico Sa de Cv</t>
        </is>
      </c>
      <c r="C31" s="21" t="inlineStr">
        <is>
          <t>PLATAFORMA MULTIMODAL</t>
        </is>
      </c>
      <c r="D31" s="20" t="inlineStr">
        <is>
          <t>ACTIVO</t>
        </is>
      </c>
      <c r="E31" s="22" t="n">
        <v>24</v>
      </c>
      <c r="F31" s="23">
        <f>ROUND(Intereses_Leasing_Mensual!I31 + Intereses_Residual_Mensual!I31, 2)</f>
        <v/>
      </c>
      <c r="G31" s="23">
        <f>ROUND(Intereses_Leasing_Mensual!J31 + Intereses_Residual_Mensual!J31, 2)</f>
        <v/>
      </c>
      <c r="H31" s="23">
        <f>ROUND(Intereses_Leasing_Mensual!K31 + Intereses_Residual_Mensual!K31, 2)</f>
        <v/>
      </c>
      <c r="I31" s="23">
        <f>ROUND(Intereses_Leasing_Mensual!L31 + Intereses_Residual_Mensual!L31, 2)</f>
        <v/>
      </c>
      <c r="J31" s="23">
        <f>ROUND(Intereses_Leasing_Mensual!M31 + Intereses_Residual_Mensual!M31, 2)</f>
        <v/>
      </c>
      <c r="K31" s="23">
        <f>ROUND(Intereses_Leasing_Mensual!N31 + Intereses_Residual_Mensual!N31, 2)</f>
        <v/>
      </c>
      <c r="L31" s="23">
        <f>ROUND(Intereses_Leasing_Mensual!O31 + Intereses_Residual_Mensual!O31, 2)</f>
        <v/>
      </c>
      <c r="M31" s="23">
        <f>ROUND(Intereses_Leasing_Mensual!P31 + Intereses_Residual_Mensual!P31, 2)</f>
        <v/>
      </c>
      <c r="N31" s="23">
        <f>ROUND(Intereses_Leasing_Mensual!Q31 + Intereses_Residual_Mensual!Q31, 2)</f>
        <v/>
      </c>
      <c r="O31" s="23">
        <f>ROUND(Intereses_Leasing_Mensual!R31 + Intereses_Residual_Mensual!R31, 2)</f>
        <v/>
      </c>
      <c r="P31" s="23">
        <f>ROUND(Intereses_Leasing_Mensual!S31 + Intereses_Residual_Mensual!S31, 2)</f>
        <v/>
      </c>
      <c r="Q31" s="23" t="inlineStr"/>
      <c r="R31" s="23">
        <f>SUM(F31:Q31)</f>
        <v/>
      </c>
    </row>
    <row r="32">
      <c r="A32" s="26" t="inlineStr">
        <is>
          <t>0552-0021</t>
        </is>
      </c>
      <c r="B32" s="27" t="inlineStr">
        <is>
          <t>Transportes y Maniobras Portuarias de Mexico Sa de Cv</t>
        </is>
      </c>
      <c r="C32" s="27" t="inlineStr">
        <is>
          <t>PLATAFORMA MULTIMODAL</t>
        </is>
      </c>
      <c r="D32" s="26" t="inlineStr">
        <is>
          <t>ACTIVO</t>
        </is>
      </c>
      <c r="E32" s="28" t="n">
        <v>24</v>
      </c>
      <c r="F32" s="29">
        <f>ROUND(Intereses_Leasing_Mensual!I32 + Intereses_Residual_Mensual!I32, 2)</f>
        <v/>
      </c>
      <c r="G32" s="29">
        <f>ROUND(Intereses_Leasing_Mensual!J32 + Intereses_Residual_Mensual!J32, 2)</f>
        <v/>
      </c>
      <c r="H32" s="29">
        <f>ROUND(Intereses_Leasing_Mensual!K32 + Intereses_Residual_Mensual!K32, 2)</f>
        <v/>
      </c>
      <c r="I32" s="29">
        <f>ROUND(Intereses_Leasing_Mensual!L32 + Intereses_Residual_Mensual!L32, 2)</f>
        <v/>
      </c>
      <c r="J32" s="29">
        <f>ROUND(Intereses_Leasing_Mensual!M32 + Intereses_Residual_Mensual!M32, 2)</f>
        <v/>
      </c>
      <c r="K32" s="29">
        <f>ROUND(Intereses_Leasing_Mensual!N32 + Intereses_Residual_Mensual!N32, 2)</f>
        <v/>
      </c>
      <c r="L32" s="29">
        <f>ROUND(Intereses_Leasing_Mensual!O32 + Intereses_Residual_Mensual!O32, 2)</f>
        <v/>
      </c>
      <c r="M32" s="29">
        <f>ROUND(Intereses_Leasing_Mensual!P32 + Intereses_Residual_Mensual!P32, 2)</f>
        <v/>
      </c>
      <c r="N32" s="29">
        <f>ROUND(Intereses_Leasing_Mensual!Q32 + Intereses_Residual_Mensual!Q32, 2)</f>
        <v/>
      </c>
      <c r="O32" s="29">
        <f>ROUND(Intereses_Leasing_Mensual!R32 + Intereses_Residual_Mensual!R32, 2)</f>
        <v/>
      </c>
      <c r="P32" s="29">
        <f>ROUND(Intereses_Leasing_Mensual!S32 + Intereses_Residual_Mensual!S32, 2)</f>
        <v/>
      </c>
      <c r="Q32" s="29" t="inlineStr"/>
      <c r="R32" s="29">
        <f>SUM(F32:Q32)</f>
        <v/>
      </c>
    </row>
    <row r="33">
      <c r="A33" s="20" t="inlineStr">
        <is>
          <t>0552-0022</t>
        </is>
      </c>
      <c r="B33" s="21" t="inlineStr">
        <is>
          <t>Transportes y Maniobras Portuarias de Mexico Sa de Cv</t>
        </is>
      </c>
      <c r="C33" s="21" t="inlineStr">
        <is>
          <t>RZR</t>
        </is>
      </c>
      <c r="D33" s="20" t="inlineStr">
        <is>
          <t>ACTIVO</t>
        </is>
      </c>
      <c r="E33" s="22" t="n">
        <v>24</v>
      </c>
      <c r="F33" s="23">
        <f>ROUND(Intereses_Leasing_Mensual!I33 + Intereses_Residual_Mensual!I33, 2)</f>
        <v/>
      </c>
      <c r="G33" s="23">
        <f>ROUND(Intereses_Leasing_Mensual!J33 + Intereses_Residual_Mensual!J33, 2)</f>
        <v/>
      </c>
      <c r="H33" s="23">
        <f>ROUND(Intereses_Leasing_Mensual!K33 + Intereses_Residual_Mensual!K33, 2)</f>
        <v/>
      </c>
      <c r="I33" s="23">
        <f>ROUND(Intereses_Leasing_Mensual!L33 + Intereses_Residual_Mensual!L33, 2)</f>
        <v/>
      </c>
      <c r="J33" s="23">
        <f>ROUND(Intereses_Leasing_Mensual!M33 + Intereses_Residual_Mensual!M33, 2)</f>
        <v/>
      </c>
      <c r="K33" s="23">
        <f>ROUND(Intereses_Leasing_Mensual!N33 + Intereses_Residual_Mensual!N33, 2)</f>
        <v/>
      </c>
      <c r="L33" s="23">
        <f>ROUND(Intereses_Leasing_Mensual!O33 + Intereses_Residual_Mensual!O33, 2)</f>
        <v/>
      </c>
      <c r="M33" s="23">
        <f>ROUND(Intereses_Leasing_Mensual!P33 + Intereses_Residual_Mensual!P33, 2)</f>
        <v/>
      </c>
      <c r="N33" s="23">
        <f>ROUND(Intereses_Leasing_Mensual!Q33 + Intereses_Residual_Mensual!Q33, 2)</f>
        <v/>
      </c>
      <c r="O33" s="23">
        <f>ROUND(Intereses_Leasing_Mensual!R33 + Intereses_Residual_Mensual!R33, 2)</f>
        <v/>
      </c>
      <c r="P33" s="23">
        <f>ROUND(Intereses_Leasing_Mensual!S33 + Intereses_Residual_Mensual!S33, 2)</f>
        <v/>
      </c>
      <c r="Q33" s="23" t="inlineStr"/>
      <c r="R33" s="23">
        <f>SUM(F33:Q33)</f>
        <v/>
      </c>
    </row>
    <row r="34">
      <c r="A34" s="26" t="inlineStr">
        <is>
          <t>0552-0023</t>
        </is>
      </c>
      <c r="B34" s="27" t="inlineStr">
        <is>
          <t>Transportes y Maniobras Portuarias de Mexico Sa de Cv</t>
        </is>
      </c>
      <c r="C34" s="27" t="inlineStr">
        <is>
          <t>Iternational Lt</t>
        </is>
      </c>
      <c r="D34" s="26" t="inlineStr">
        <is>
          <t>ACTIVO</t>
        </is>
      </c>
      <c r="E34" s="28" t="n">
        <v>24</v>
      </c>
      <c r="F34" s="29">
        <f>ROUND(Intereses_Leasing_Mensual!I34 + Intereses_Residual_Mensual!I34, 2)</f>
        <v/>
      </c>
      <c r="G34" s="29">
        <f>ROUND(Intereses_Leasing_Mensual!J34 + Intereses_Residual_Mensual!J34, 2)</f>
        <v/>
      </c>
      <c r="H34" s="29">
        <f>ROUND(Intereses_Leasing_Mensual!K34 + Intereses_Residual_Mensual!K34, 2)</f>
        <v/>
      </c>
      <c r="I34" s="29">
        <f>ROUND(Intereses_Leasing_Mensual!L34 + Intereses_Residual_Mensual!L34, 2)</f>
        <v/>
      </c>
      <c r="J34" s="29">
        <f>ROUND(Intereses_Leasing_Mensual!M34 + Intereses_Residual_Mensual!M34, 2)</f>
        <v/>
      </c>
      <c r="K34" s="29">
        <f>ROUND(Intereses_Leasing_Mensual!N34 + Intereses_Residual_Mensual!N34, 2)</f>
        <v/>
      </c>
      <c r="L34" s="29">
        <f>ROUND(Intereses_Leasing_Mensual!O34 + Intereses_Residual_Mensual!O34, 2)</f>
        <v/>
      </c>
      <c r="M34" s="29">
        <f>ROUND(Intereses_Leasing_Mensual!P34 + Intereses_Residual_Mensual!P34, 2)</f>
        <v/>
      </c>
      <c r="N34" s="29">
        <f>ROUND(Intereses_Leasing_Mensual!Q34 + Intereses_Residual_Mensual!Q34, 2)</f>
        <v/>
      </c>
      <c r="O34" s="29">
        <f>ROUND(Intereses_Leasing_Mensual!R34 + Intereses_Residual_Mensual!R34, 2)</f>
        <v/>
      </c>
      <c r="P34" s="29">
        <f>ROUND(Intereses_Leasing_Mensual!S34 + Intereses_Residual_Mensual!S34, 2)</f>
        <v/>
      </c>
      <c r="Q34" s="29">
        <f>ROUND(Intereses_Leasing_Mensual!T34 + Intereses_Residual_Mensual!T34, 2)</f>
        <v/>
      </c>
      <c r="R34" s="29">
        <f>SUM(F34:Q34)</f>
        <v/>
      </c>
    </row>
    <row r="35">
      <c r="A35" s="20" t="inlineStr">
        <is>
          <t>0552-0024</t>
        </is>
      </c>
      <c r="B35" s="21" t="inlineStr">
        <is>
          <t>Transportes y Maniobras Portuarias de Mexico Sa de Cv</t>
        </is>
      </c>
      <c r="C35" s="21" t="inlineStr">
        <is>
          <t>Iternational Lt</t>
        </is>
      </c>
      <c r="D35" s="20" t="inlineStr">
        <is>
          <t>ACTIVO</t>
        </is>
      </c>
      <c r="E35" s="22" t="n">
        <v>24</v>
      </c>
      <c r="F35" s="23">
        <f>ROUND(Intereses_Leasing_Mensual!I35 + Intereses_Residual_Mensual!I35, 2)</f>
        <v/>
      </c>
      <c r="G35" s="23">
        <f>ROUND(Intereses_Leasing_Mensual!J35 + Intereses_Residual_Mensual!J35, 2)</f>
        <v/>
      </c>
      <c r="H35" s="23">
        <f>ROUND(Intereses_Leasing_Mensual!K35 + Intereses_Residual_Mensual!K35, 2)</f>
        <v/>
      </c>
      <c r="I35" s="23">
        <f>ROUND(Intereses_Leasing_Mensual!L35 + Intereses_Residual_Mensual!L35, 2)</f>
        <v/>
      </c>
      <c r="J35" s="23">
        <f>ROUND(Intereses_Leasing_Mensual!M35 + Intereses_Residual_Mensual!M35, 2)</f>
        <v/>
      </c>
      <c r="K35" s="23">
        <f>ROUND(Intereses_Leasing_Mensual!N35 + Intereses_Residual_Mensual!N35, 2)</f>
        <v/>
      </c>
      <c r="L35" s="23">
        <f>ROUND(Intereses_Leasing_Mensual!O35 + Intereses_Residual_Mensual!O35, 2)</f>
        <v/>
      </c>
      <c r="M35" s="23">
        <f>ROUND(Intereses_Leasing_Mensual!P35 + Intereses_Residual_Mensual!P35, 2)</f>
        <v/>
      </c>
      <c r="N35" s="23">
        <f>ROUND(Intereses_Leasing_Mensual!Q35 + Intereses_Residual_Mensual!Q35, 2)</f>
        <v/>
      </c>
      <c r="O35" s="23">
        <f>ROUND(Intereses_Leasing_Mensual!R35 + Intereses_Residual_Mensual!R35, 2)</f>
        <v/>
      </c>
      <c r="P35" s="23">
        <f>ROUND(Intereses_Leasing_Mensual!S35 + Intereses_Residual_Mensual!S35, 2)</f>
        <v/>
      </c>
      <c r="Q35" s="23">
        <f>ROUND(Intereses_Leasing_Mensual!T35 + Intereses_Residual_Mensual!T35, 2)</f>
        <v/>
      </c>
      <c r="R35" s="23">
        <f>SUM(F35:Q35)</f>
        <v/>
      </c>
    </row>
    <row r="36">
      <c r="A36" s="26" t="inlineStr">
        <is>
          <t>0552-0025</t>
        </is>
      </c>
      <c r="B36" s="27" t="inlineStr">
        <is>
          <t>Transportes y Maniobras Portuarias de Mexico Sa de Cv</t>
        </is>
      </c>
      <c r="C36" s="27" t="inlineStr">
        <is>
          <t>Iternational Lt</t>
        </is>
      </c>
      <c r="D36" s="26" t="inlineStr">
        <is>
          <t>ACTIVO</t>
        </is>
      </c>
      <c r="E36" s="28" t="n">
        <v>24</v>
      </c>
      <c r="F36" s="29">
        <f>ROUND(Intereses_Leasing_Mensual!I36 + Intereses_Residual_Mensual!I36, 2)</f>
        <v/>
      </c>
      <c r="G36" s="29">
        <f>ROUND(Intereses_Leasing_Mensual!J36 + Intereses_Residual_Mensual!J36, 2)</f>
        <v/>
      </c>
      <c r="H36" s="29">
        <f>ROUND(Intereses_Leasing_Mensual!K36 + Intereses_Residual_Mensual!K36, 2)</f>
        <v/>
      </c>
      <c r="I36" s="29">
        <f>ROUND(Intereses_Leasing_Mensual!L36 + Intereses_Residual_Mensual!L36, 2)</f>
        <v/>
      </c>
      <c r="J36" s="29">
        <f>ROUND(Intereses_Leasing_Mensual!M36 + Intereses_Residual_Mensual!M36, 2)</f>
        <v/>
      </c>
      <c r="K36" s="29">
        <f>ROUND(Intereses_Leasing_Mensual!N36 + Intereses_Residual_Mensual!N36, 2)</f>
        <v/>
      </c>
      <c r="L36" s="29">
        <f>ROUND(Intereses_Leasing_Mensual!O36 + Intereses_Residual_Mensual!O36, 2)</f>
        <v/>
      </c>
      <c r="M36" s="29">
        <f>ROUND(Intereses_Leasing_Mensual!P36 + Intereses_Residual_Mensual!P36, 2)</f>
        <v/>
      </c>
      <c r="N36" s="29">
        <f>ROUND(Intereses_Leasing_Mensual!Q36 + Intereses_Residual_Mensual!Q36, 2)</f>
        <v/>
      </c>
      <c r="O36" s="29">
        <f>ROUND(Intereses_Leasing_Mensual!R36 + Intereses_Residual_Mensual!R36, 2)</f>
        <v/>
      </c>
      <c r="P36" s="29">
        <f>ROUND(Intereses_Leasing_Mensual!S36 + Intereses_Residual_Mensual!S36, 2)</f>
        <v/>
      </c>
      <c r="Q36" s="29">
        <f>ROUND(Intereses_Leasing_Mensual!T36 + Intereses_Residual_Mensual!T36, 2)</f>
        <v/>
      </c>
      <c r="R36" s="29">
        <f>SUM(F36:Q36)</f>
        <v/>
      </c>
    </row>
    <row r="37">
      <c r="A37" s="20" t="inlineStr">
        <is>
          <t>0554-0003</t>
        </is>
      </c>
      <c r="B37" s="21" t="inlineStr">
        <is>
          <t>TRANSPORTES DEL BAJIO TRANSCOLD SA DE CV</t>
        </is>
      </c>
      <c r="C37" s="21" t="inlineStr">
        <is>
          <t>RAM 4000 CHASIS PLANO LARGO "PL"</t>
        </is>
      </c>
      <c r="D37" s="20" t="inlineStr">
        <is>
          <t>ACTIVO</t>
        </is>
      </c>
      <c r="E37" s="22" t="n">
        <v>48</v>
      </c>
      <c r="F37" s="23">
        <f>ROUND(Intereses_Leasing_Mensual!I37 + Intereses_Residual_Mensual!I37, 2)</f>
        <v/>
      </c>
      <c r="G37" s="23">
        <f>ROUND(Intereses_Leasing_Mensual!J37 + Intereses_Residual_Mensual!J37, 2)</f>
        <v/>
      </c>
      <c r="H37" s="23">
        <f>ROUND(Intereses_Leasing_Mensual!K37 + Intereses_Residual_Mensual!K37, 2)</f>
        <v/>
      </c>
      <c r="I37" s="23">
        <f>ROUND(Intereses_Leasing_Mensual!L37 + Intereses_Residual_Mensual!L37, 2)</f>
        <v/>
      </c>
      <c r="J37" s="23">
        <f>ROUND(Intereses_Leasing_Mensual!M37 + Intereses_Residual_Mensual!M37, 2)</f>
        <v/>
      </c>
      <c r="K37" s="23">
        <f>ROUND(Intereses_Leasing_Mensual!N37 + Intereses_Residual_Mensual!N37, 2)</f>
        <v/>
      </c>
      <c r="L37" s="23">
        <f>ROUND(Intereses_Leasing_Mensual!O37 + Intereses_Residual_Mensual!O37, 2)</f>
        <v/>
      </c>
      <c r="M37" s="23">
        <f>ROUND(Intereses_Leasing_Mensual!P37 + Intereses_Residual_Mensual!P37, 2)</f>
        <v/>
      </c>
      <c r="N37" s="23">
        <f>ROUND(Intereses_Leasing_Mensual!Q37 + Intereses_Residual_Mensual!Q37, 2)</f>
        <v/>
      </c>
      <c r="O37" s="23">
        <f>ROUND(Intereses_Leasing_Mensual!R37 + Intereses_Residual_Mensual!R37, 2)</f>
        <v/>
      </c>
      <c r="P37" s="23" t="inlineStr"/>
      <c r="Q37" s="23" t="inlineStr"/>
      <c r="R37" s="23">
        <f>SUM(F37:Q37)</f>
        <v/>
      </c>
    </row>
    <row r="38">
      <c r="A38" s="26" t="inlineStr">
        <is>
          <t>0570-0006</t>
        </is>
      </c>
      <c r="B38" s="27" t="inlineStr">
        <is>
          <t>Jalco Iluminacion Sa de Cv</t>
        </is>
      </c>
      <c r="C38" s="27" t="inlineStr">
        <is>
          <t>RAM 700 BIG HORN</t>
        </is>
      </c>
      <c r="D38" s="26" t="inlineStr">
        <is>
          <t>ACTIVO</t>
        </is>
      </c>
      <c r="E38" s="28" t="n">
        <v>36</v>
      </c>
      <c r="F38" s="29">
        <f>ROUND(Intereses_Leasing_Mensual!I38 + Intereses_Residual_Mensual!I38, 2)</f>
        <v/>
      </c>
      <c r="G38" s="29">
        <f>ROUND(Intereses_Leasing_Mensual!J38 + Intereses_Residual_Mensual!J38, 2)</f>
        <v/>
      </c>
      <c r="H38" s="29">
        <f>ROUND(Intereses_Leasing_Mensual!K38 + Intereses_Residual_Mensual!K38, 2)</f>
        <v/>
      </c>
      <c r="I38" s="29">
        <f>ROUND(Intereses_Leasing_Mensual!L38 + Intereses_Residual_Mensual!L38, 2)</f>
        <v/>
      </c>
      <c r="J38" s="29">
        <f>ROUND(Intereses_Leasing_Mensual!M38 + Intereses_Residual_Mensual!M38, 2)</f>
        <v/>
      </c>
      <c r="K38" s="29">
        <f>ROUND(Intereses_Leasing_Mensual!N38 + Intereses_Residual_Mensual!N38, 2)</f>
        <v/>
      </c>
      <c r="L38" s="29">
        <f>ROUND(Intereses_Leasing_Mensual!O38 + Intereses_Residual_Mensual!O38, 2)</f>
        <v/>
      </c>
      <c r="M38" s="29">
        <f>ROUND(Intereses_Leasing_Mensual!P38 + Intereses_Residual_Mensual!P38, 2)</f>
        <v/>
      </c>
      <c r="N38" s="29">
        <f>ROUND(Intereses_Leasing_Mensual!Q38 + Intereses_Residual_Mensual!Q38, 2)</f>
        <v/>
      </c>
      <c r="O38" s="29">
        <f>ROUND(Intereses_Leasing_Mensual!R38 + Intereses_Residual_Mensual!R38, 2)</f>
        <v/>
      </c>
      <c r="P38" s="29">
        <f>ROUND(Intereses_Leasing_Mensual!S38 + Intereses_Residual_Mensual!S38, 2)</f>
        <v/>
      </c>
      <c r="Q38" s="29" t="inlineStr"/>
      <c r="R38" s="29">
        <f>SUM(F38:Q38)</f>
        <v/>
      </c>
    </row>
    <row r="39">
      <c r="A39" s="20" t="inlineStr">
        <is>
          <t>0573-0007</t>
        </is>
      </c>
      <c r="B39" s="21" t="inlineStr">
        <is>
          <t>Ar Marketing Sa de Cv</t>
        </is>
      </c>
      <c r="C39" s="21" t="inlineStr">
        <is>
          <t>Promaster Rapid</t>
        </is>
      </c>
      <c r="D39" s="20" t="inlineStr">
        <is>
          <t>ACTIVO</t>
        </is>
      </c>
      <c r="E39" s="22" t="n">
        <v>36</v>
      </c>
      <c r="F39" s="23">
        <f>ROUND(Intereses_Leasing_Mensual!I39 + Intereses_Residual_Mensual!I39, 2)</f>
        <v/>
      </c>
      <c r="G39" s="23">
        <f>ROUND(Intereses_Leasing_Mensual!J39 + Intereses_Residual_Mensual!J39, 2)</f>
        <v/>
      </c>
      <c r="H39" s="23">
        <f>ROUND(Intereses_Leasing_Mensual!K39 + Intereses_Residual_Mensual!K39, 2)</f>
        <v/>
      </c>
      <c r="I39" s="23">
        <f>ROUND(Intereses_Leasing_Mensual!L39 + Intereses_Residual_Mensual!L39, 2)</f>
        <v/>
      </c>
      <c r="J39" s="23">
        <f>ROUND(Intereses_Leasing_Mensual!M39 + Intereses_Residual_Mensual!M39, 2)</f>
        <v/>
      </c>
      <c r="K39" s="23">
        <f>ROUND(Intereses_Leasing_Mensual!N39 + Intereses_Residual_Mensual!N39, 2)</f>
        <v/>
      </c>
      <c r="L39" s="23">
        <f>ROUND(Intereses_Leasing_Mensual!O39 + Intereses_Residual_Mensual!O39, 2)</f>
        <v/>
      </c>
      <c r="M39" s="23">
        <f>ROUND(Intereses_Leasing_Mensual!P39 + Intereses_Residual_Mensual!P39, 2)</f>
        <v/>
      </c>
      <c r="N39" s="23">
        <f>ROUND(Intereses_Leasing_Mensual!Q39 + Intereses_Residual_Mensual!Q39, 2)</f>
        <v/>
      </c>
      <c r="O39" s="23">
        <f>ROUND(Intereses_Leasing_Mensual!R39 + Intereses_Residual_Mensual!R39, 2)</f>
        <v/>
      </c>
      <c r="P39" s="23">
        <f>ROUND(Intereses_Leasing_Mensual!S39 + Intereses_Residual_Mensual!S39, 2)</f>
        <v/>
      </c>
      <c r="Q39" s="23">
        <f>ROUND(Intereses_Leasing_Mensual!T39 + Intereses_Residual_Mensual!T39, 2)</f>
        <v/>
      </c>
      <c r="R39" s="23">
        <f>SUM(F39:Q39)</f>
        <v/>
      </c>
    </row>
    <row r="40">
      <c r="A40" s="26" t="inlineStr">
        <is>
          <t>0573-0008</t>
        </is>
      </c>
      <c r="B40" s="27" t="inlineStr">
        <is>
          <t>Ar Marketing Sa de Cv</t>
        </is>
      </c>
      <c r="C40" s="27" t="inlineStr">
        <is>
          <t>Promaster Rapid</t>
        </is>
      </c>
      <c r="D40" s="26" t="inlineStr">
        <is>
          <t>ACTIVO</t>
        </is>
      </c>
      <c r="E40" s="28" t="n">
        <v>36</v>
      </c>
      <c r="F40" s="29">
        <f>ROUND(Intereses_Leasing_Mensual!I40 + Intereses_Residual_Mensual!I40, 2)</f>
        <v/>
      </c>
      <c r="G40" s="29">
        <f>ROUND(Intereses_Leasing_Mensual!J40 + Intereses_Residual_Mensual!J40, 2)</f>
        <v/>
      </c>
      <c r="H40" s="29">
        <f>ROUND(Intereses_Leasing_Mensual!K40 + Intereses_Residual_Mensual!K40, 2)</f>
        <v/>
      </c>
      <c r="I40" s="29">
        <f>ROUND(Intereses_Leasing_Mensual!L40 + Intereses_Residual_Mensual!L40, 2)</f>
        <v/>
      </c>
      <c r="J40" s="29">
        <f>ROUND(Intereses_Leasing_Mensual!M40 + Intereses_Residual_Mensual!M40, 2)</f>
        <v/>
      </c>
      <c r="K40" s="29">
        <f>ROUND(Intereses_Leasing_Mensual!N40 + Intereses_Residual_Mensual!N40, 2)</f>
        <v/>
      </c>
      <c r="L40" s="29">
        <f>ROUND(Intereses_Leasing_Mensual!O40 + Intereses_Residual_Mensual!O40, 2)</f>
        <v/>
      </c>
      <c r="M40" s="29">
        <f>ROUND(Intereses_Leasing_Mensual!P40 + Intereses_Residual_Mensual!P40, 2)</f>
        <v/>
      </c>
      <c r="N40" s="29">
        <f>ROUND(Intereses_Leasing_Mensual!Q40 + Intereses_Residual_Mensual!Q40, 2)</f>
        <v/>
      </c>
      <c r="O40" s="29">
        <f>ROUND(Intereses_Leasing_Mensual!R40 + Intereses_Residual_Mensual!R40, 2)</f>
        <v/>
      </c>
      <c r="P40" s="29">
        <f>ROUND(Intereses_Leasing_Mensual!S40 + Intereses_Residual_Mensual!S40, 2)</f>
        <v/>
      </c>
      <c r="Q40" s="29">
        <f>ROUND(Intereses_Leasing_Mensual!T40 + Intereses_Residual_Mensual!T40, 2)</f>
        <v/>
      </c>
      <c r="R40" s="29">
        <f>SUM(F40:Q40)</f>
        <v/>
      </c>
    </row>
    <row r="41">
      <c r="A41" s="20" t="inlineStr">
        <is>
          <t>0573-0009</t>
        </is>
      </c>
      <c r="B41" s="21" t="inlineStr">
        <is>
          <t>Ar Marketing Sa de Cv</t>
        </is>
      </c>
      <c r="C41" s="21" t="inlineStr">
        <is>
          <t>Partner</t>
        </is>
      </c>
      <c r="D41" s="20" t="inlineStr">
        <is>
          <t>ACTIVO</t>
        </is>
      </c>
      <c r="E41" s="22" t="n">
        <v>36</v>
      </c>
      <c r="F41" s="23">
        <f>ROUND(Intereses_Leasing_Mensual!I41 + Intereses_Residual_Mensual!I41, 2)</f>
        <v/>
      </c>
      <c r="G41" s="23">
        <f>ROUND(Intereses_Leasing_Mensual!J41 + Intereses_Residual_Mensual!J41, 2)</f>
        <v/>
      </c>
      <c r="H41" s="23">
        <f>ROUND(Intereses_Leasing_Mensual!K41 + Intereses_Residual_Mensual!K41, 2)</f>
        <v/>
      </c>
      <c r="I41" s="23">
        <f>ROUND(Intereses_Leasing_Mensual!L41 + Intereses_Residual_Mensual!L41, 2)</f>
        <v/>
      </c>
      <c r="J41" s="23">
        <f>ROUND(Intereses_Leasing_Mensual!M41 + Intereses_Residual_Mensual!M41, 2)</f>
        <v/>
      </c>
      <c r="K41" s="23">
        <f>ROUND(Intereses_Leasing_Mensual!N41 + Intereses_Residual_Mensual!N41, 2)</f>
        <v/>
      </c>
      <c r="L41" s="23">
        <f>ROUND(Intereses_Leasing_Mensual!O41 + Intereses_Residual_Mensual!O41, 2)</f>
        <v/>
      </c>
      <c r="M41" s="23">
        <f>ROUND(Intereses_Leasing_Mensual!P41 + Intereses_Residual_Mensual!P41, 2)</f>
        <v/>
      </c>
      <c r="N41" s="23">
        <f>ROUND(Intereses_Leasing_Mensual!Q41 + Intereses_Residual_Mensual!Q41, 2)</f>
        <v/>
      </c>
      <c r="O41" s="23">
        <f>ROUND(Intereses_Leasing_Mensual!R41 + Intereses_Residual_Mensual!R41, 2)</f>
        <v/>
      </c>
      <c r="P41" s="23">
        <f>ROUND(Intereses_Leasing_Mensual!S41 + Intereses_Residual_Mensual!S41, 2)</f>
        <v/>
      </c>
      <c r="Q41" s="23">
        <f>ROUND(Intereses_Leasing_Mensual!T41 + Intereses_Residual_Mensual!T41, 2)</f>
        <v/>
      </c>
      <c r="R41" s="23">
        <f>SUM(F41:Q41)</f>
        <v/>
      </c>
    </row>
    <row r="42">
      <c r="A42" s="26" t="inlineStr">
        <is>
          <t>0580-0001</t>
        </is>
      </c>
      <c r="B42" s="27" t="inlineStr">
        <is>
          <t>YOLANDA AVALOS CARDENAS</t>
        </is>
      </c>
      <c r="C42" s="27" t="inlineStr">
        <is>
          <t>Mojave</t>
        </is>
      </c>
      <c r="D42" s="26" t="inlineStr">
        <is>
          <t>ACTIVO</t>
        </is>
      </c>
      <c r="E42" s="28" t="n">
        <v>48</v>
      </c>
      <c r="F42" s="29">
        <f>ROUND(Intereses_Leasing_Mensual!I42 + Intereses_Residual_Mensual!I42, 2)</f>
        <v/>
      </c>
      <c r="G42" s="29">
        <f>ROUND(Intereses_Leasing_Mensual!J42 + Intereses_Residual_Mensual!J42, 2)</f>
        <v/>
      </c>
      <c r="H42" s="29">
        <f>ROUND(Intereses_Leasing_Mensual!K42 + Intereses_Residual_Mensual!K42, 2)</f>
        <v/>
      </c>
      <c r="I42" s="29">
        <f>ROUND(Intereses_Leasing_Mensual!L42 + Intereses_Residual_Mensual!L42, 2)</f>
        <v/>
      </c>
      <c r="J42" s="29">
        <f>ROUND(Intereses_Leasing_Mensual!M42 + Intereses_Residual_Mensual!M42, 2)</f>
        <v/>
      </c>
      <c r="K42" s="29">
        <f>ROUND(Intereses_Leasing_Mensual!N42 + Intereses_Residual_Mensual!N42, 2)</f>
        <v/>
      </c>
      <c r="L42" s="29">
        <f>ROUND(Intereses_Leasing_Mensual!O42 + Intereses_Residual_Mensual!O42, 2)</f>
        <v/>
      </c>
      <c r="M42" s="29">
        <f>ROUND(Intereses_Leasing_Mensual!P42 + Intereses_Residual_Mensual!P42, 2)</f>
        <v/>
      </c>
      <c r="N42" s="29">
        <f>ROUND(Intereses_Leasing_Mensual!Q42 + Intereses_Residual_Mensual!Q42, 2)</f>
        <v/>
      </c>
      <c r="O42" s="29">
        <f>ROUND(Intereses_Leasing_Mensual!R42 + Intereses_Residual_Mensual!R42, 2)</f>
        <v/>
      </c>
      <c r="P42" s="29" t="inlineStr"/>
      <c r="Q42" s="29" t="inlineStr"/>
      <c r="R42" s="29">
        <f>SUM(F42:Q42)</f>
        <v/>
      </c>
    </row>
    <row r="43">
      <c r="A43" s="20" t="inlineStr">
        <is>
          <t>0581-0001</t>
        </is>
      </c>
      <c r="B43" s="21" t="inlineStr">
        <is>
          <t>Aditivos y Vitaminas Mexicanas Sa de Cv</t>
        </is>
      </c>
      <c r="C43" s="21" t="inlineStr">
        <is>
          <t>RAM 700 REGULAR CAB</t>
        </is>
      </c>
      <c r="D43" s="20" t="inlineStr">
        <is>
          <t>ACTIVO</t>
        </is>
      </c>
      <c r="E43" s="22" t="n">
        <v>48</v>
      </c>
      <c r="F43" s="23">
        <f>ROUND(Intereses_Leasing_Mensual!I43 + Intereses_Residual_Mensual!I43, 2)</f>
        <v/>
      </c>
      <c r="G43" s="23">
        <f>ROUND(Intereses_Leasing_Mensual!J43 + Intereses_Residual_Mensual!J43, 2)</f>
        <v/>
      </c>
      <c r="H43" s="23">
        <f>ROUND(Intereses_Leasing_Mensual!K43 + Intereses_Residual_Mensual!K43, 2)</f>
        <v/>
      </c>
      <c r="I43" s="23">
        <f>ROUND(Intereses_Leasing_Mensual!L43 + Intereses_Residual_Mensual!L43, 2)</f>
        <v/>
      </c>
      <c r="J43" s="23">
        <f>ROUND(Intereses_Leasing_Mensual!M43 + Intereses_Residual_Mensual!M43, 2)</f>
        <v/>
      </c>
      <c r="K43" s="23">
        <f>ROUND(Intereses_Leasing_Mensual!N43 + Intereses_Residual_Mensual!N43, 2)</f>
        <v/>
      </c>
      <c r="L43" s="23">
        <f>ROUND(Intereses_Leasing_Mensual!O43 + Intereses_Residual_Mensual!O43, 2)</f>
        <v/>
      </c>
      <c r="M43" s="23">
        <f>ROUND(Intereses_Leasing_Mensual!P43 + Intereses_Residual_Mensual!P43, 2)</f>
        <v/>
      </c>
      <c r="N43" s="23">
        <f>ROUND(Intereses_Leasing_Mensual!Q43 + Intereses_Residual_Mensual!Q43, 2)</f>
        <v/>
      </c>
      <c r="O43" s="23">
        <f>ROUND(Intereses_Leasing_Mensual!R43 + Intereses_Residual_Mensual!R43, 2)</f>
        <v/>
      </c>
      <c r="P43" s="23">
        <f>ROUND(Intereses_Leasing_Mensual!S43 + Intereses_Residual_Mensual!S43, 2)</f>
        <v/>
      </c>
      <c r="Q43" s="23">
        <f>ROUND(Intereses_Leasing_Mensual!T43 + Intereses_Residual_Mensual!T43, 2)</f>
        <v/>
      </c>
      <c r="R43" s="23">
        <f>SUM(F43:Q43)</f>
        <v/>
      </c>
    </row>
    <row r="44">
      <c r="A44" s="26" t="inlineStr">
        <is>
          <t>0581-0002</t>
        </is>
      </c>
      <c r="B44" s="27" t="inlineStr">
        <is>
          <t>Aditivos y Vitaminas Mexicanas Sa de Cv</t>
        </is>
      </c>
      <c r="C44" s="27" t="inlineStr">
        <is>
          <t>Ram 700 Regular Cab</t>
        </is>
      </c>
      <c r="D44" s="26" t="inlineStr">
        <is>
          <t>ACTIVO</t>
        </is>
      </c>
      <c r="E44" s="28" t="n">
        <v>48</v>
      </c>
      <c r="F44" s="29">
        <f>ROUND(Intereses_Leasing_Mensual!I44 + Intereses_Residual_Mensual!I44, 2)</f>
        <v/>
      </c>
      <c r="G44" s="29">
        <f>ROUND(Intereses_Leasing_Mensual!J44 + Intereses_Residual_Mensual!J44, 2)</f>
        <v/>
      </c>
      <c r="H44" s="29">
        <f>ROUND(Intereses_Leasing_Mensual!K44 + Intereses_Residual_Mensual!K44, 2)</f>
        <v/>
      </c>
      <c r="I44" s="29">
        <f>ROUND(Intereses_Leasing_Mensual!L44 + Intereses_Residual_Mensual!L44, 2)</f>
        <v/>
      </c>
      <c r="J44" s="29">
        <f>ROUND(Intereses_Leasing_Mensual!M44 + Intereses_Residual_Mensual!M44, 2)</f>
        <v/>
      </c>
      <c r="K44" s="29">
        <f>ROUND(Intereses_Leasing_Mensual!N44 + Intereses_Residual_Mensual!N44, 2)</f>
        <v/>
      </c>
      <c r="L44" s="29">
        <f>ROUND(Intereses_Leasing_Mensual!O44 + Intereses_Residual_Mensual!O44, 2)</f>
        <v/>
      </c>
      <c r="M44" s="29">
        <f>ROUND(Intereses_Leasing_Mensual!P44 + Intereses_Residual_Mensual!P44, 2)</f>
        <v/>
      </c>
      <c r="N44" s="29">
        <f>ROUND(Intereses_Leasing_Mensual!Q44 + Intereses_Residual_Mensual!Q44, 2)</f>
        <v/>
      </c>
      <c r="O44" s="29">
        <f>ROUND(Intereses_Leasing_Mensual!R44 + Intereses_Residual_Mensual!R44, 2)</f>
        <v/>
      </c>
      <c r="P44" s="29">
        <f>ROUND(Intereses_Leasing_Mensual!S44 + Intereses_Residual_Mensual!S44, 2)</f>
        <v/>
      </c>
      <c r="Q44" s="29">
        <f>ROUND(Intereses_Leasing_Mensual!T44 + Intereses_Residual_Mensual!T44, 2)</f>
        <v/>
      </c>
      <c r="R44" s="29">
        <f>SUM(F44:Q44)</f>
        <v/>
      </c>
    </row>
    <row r="45">
      <c r="A45" s="20" t="inlineStr">
        <is>
          <t>0582-0003</t>
        </is>
      </c>
      <c r="B45" s="21" t="inlineStr">
        <is>
          <t>Ensaladas Frescas de Occidente Sa de Cv</t>
        </is>
      </c>
      <c r="C45" s="21" t="inlineStr">
        <is>
          <t>Pulse</t>
        </is>
      </c>
      <c r="D45" s="20" t="inlineStr">
        <is>
          <t>ACTIVO</t>
        </is>
      </c>
      <c r="E45" s="22" t="n">
        <v>48</v>
      </c>
      <c r="F45" s="23">
        <f>ROUND(Intereses_Leasing_Mensual!I45 + Intereses_Residual_Mensual!I45, 2)</f>
        <v/>
      </c>
      <c r="G45" s="23">
        <f>ROUND(Intereses_Leasing_Mensual!J45 + Intereses_Residual_Mensual!J45, 2)</f>
        <v/>
      </c>
      <c r="H45" s="23">
        <f>ROUND(Intereses_Leasing_Mensual!K45 + Intereses_Residual_Mensual!K45, 2)</f>
        <v/>
      </c>
      <c r="I45" s="23">
        <f>ROUND(Intereses_Leasing_Mensual!L45 + Intereses_Residual_Mensual!L45, 2)</f>
        <v/>
      </c>
      <c r="J45" s="23">
        <f>ROUND(Intereses_Leasing_Mensual!M45 + Intereses_Residual_Mensual!M45, 2)</f>
        <v/>
      </c>
      <c r="K45" s="23">
        <f>ROUND(Intereses_Leasing_Mensual!N45 + Intereses_Residual_Mensual!N45, 2)</f>
        <v/>
      </c>
      <c r="L45" s="23">
        <f>ROUND(Intereses_Leasing_Mensual!O45 + Intereses_Residual_Mensual!O45, 2)</f>
        <v/>
      </c>
      <c r="M45" s="23">
        <f>ROUND(Intereses_Leasing_Mensual!P45 + Intereses_Residual_Mensual!P45, 2)</f>
        <v/>
      </c>
      <c r="N45" s="23">
        <f>ROUND(Intereses_Leasing_Mensual!Q45 + Intereses_Residual_Mensual!Q45, 2)</f>
        <v/>
      </c>
      <c r="O45" s="23">
        <f>ROUND(Intereses_Leasing_Mensual!R45 + Intereses_Residual_Mensual!R45, 2)</f>
        <v/>
      </c>
      <c r="P45" s="23">
        <f>ROUND(Intereses_Leasing_Mensual!S45 + Intereses_Residual_Mensual!S45, 2)</f>
        <v/>
      </c>
      <c r="Q45" s="23">
        <f>ROUND(Intereses_Leasing_Mensual!T45 + Intereses_Residual_Mensual!T45, 2)</f>
        <v/>
      </c>
      <c r="R45" s="23">
        <f>SUM(F45:Q45)</f>
        <v/>
      </c>
    </row>
    <row r="46">
      <c r="A46" s="26" t="inlineStr">
        <is>
          <t>0583-0004</t>
        </is>
      </c>
      <c r="B46" s="27" t="inlineStr">
        <is>
          <t>Soluciones Profesionales para la Industria Alimentaria</t>
        </is>
      </c>
      <c r="C46" s="27" t="inlineStr">
        <is>
          <t>BIGHORN CREW CAB MT</t>
        </is>
      </c>
      <c r="D46" s="26" t="inlineStr">
        <is>
          <t>ACTIVO</t>
        </is>
      </c>
      <c r="E46" s="28" t="n">
        <v>24</v>
      </c>
      <c r="F46" s="29">
        <f>ROUND(Intereses_Leasing_Mensual!I46 + Intereses_Residual_Mensual!I46, 2)</f>
        <v/>
      </c>
      <c r="G46" s="29">
        <f>ROUND(Intereses_Leasing_Mensual!J46 + Intereses_Residual_Mensual!J46, 2)</f>
        <v/>
      </c>
      <c r="H46" s="29">
        <f>ROUND(Intereses_Leasing_Mensual!K46 + Intereses_Residual_Mensual!K46, 2)</f>
        <v/>
      </c>
      <c r="I46" s="29">
        <f>ROUND(Intereses_Leasing_Mensual!L46 + Intereses_Residual_Mensual!L46, 2)</f>
        <v/>
      </c>
      <c r="J46" s="29">
        <f>ROUND(Intereses_Leasing_Mensual!M46 + Intereses_Residual_Mensual!M46, 2)</f>
        <v/>
      </c>
      <c r="K46" s="29">
        <f>ROUND(Intereses_Leasing_Mensual!N46 + Intereses_Residual_Mensual!N46, 2)</f>
        <v/>
      </c>
      <c r="L46" s="29">
        <f>ROUND(Intereses_Leasing_Mensual!O46 + Intereses_Residual_Mensual!O46, 2)</f>
        <v/>
      </c>
      <c r="M46" s="29">
        <f>ROUND(Intereses_Leasing_Mensual!P46 + Intereses_Residual_Mensual!P46, 2)</f>
        <v/>
      </c>
      <c r="N46" s="29">
        <f>ROUND(Intereses_Leasing_Mensual!Q46 + Intereses_Residual_Mensual!Q46, 2)</f>
        <v/>
      </c>
      <c r="O46" s="29">
        <f>ROUND(Intereses_Leasing_Mensual!R46 + Intereses_Residual_Mensual!R46, 2)</f>
        <v/>
      </c>
      <c r="P46" s="29">
        <f>ROUND(Intereses_Leasing_Mensual!S46 + Intereses_Residual_Mensual!S46, 2)</f>
        <v/>
      </c>
      <c r="Q46" s="29" t="inlineStr"/>
      <c r="R46" s="29">
        <f>SUM(F46:Q46)</f>
        <v/>
      </c>
    </row>
    <row r="47">
      <c r="A47" s="20" t="inlineStr">
        <is>
          <t>0583-0005</t>
        </is>
      </c>
      <c r="B47" s="21" t="inlineStr">
        <is>
          <t>Soluciones Profesionales para la Industria Alimentaria</t>
        </is>
      </c>
      <c r="C47" s="21" t="inlineStr">
        <is>
          <t>3008</t>
        </is>
      </c>
      <c r="D47" s="20" t="inlineStr">
        <is>
          <t>ACTIVO</t>
        </is>
      </c>
      <c r="E47" s="22" t="n">
        <v>36</v>
      </c>
      <c r="F47" s="23">
        <f>ROUND(Intereses_Leasing_Mensual!I47 + Intereses_Residual_Mensual!I47, 2)</f>
        <v/>
      </c>
      <c r="G47" s="23">
        <f>ROUND(Intereses_Leasing_Mensual!J47 + Intereses_Residual_Mensual!J47, 2)</f>
        <v/>
      </c>
      <c r="H47" s="23">
        <f>ROUND(Intereses_Leasing_Mensual!K47 + Intereses_Residual_Mensual!K47, 2)</f>
        <v/>
      </c>
      <c r="I47" s="23">
        <f>ROUND(Intereses_Leasing_Mensual!L47 + Intereses_Residual_Mensual!L47, 2)</f>
        <v/>
      </c>
      <c r="J47" s="23">
        <f>ROUND(Intereses_Leasing_Mensual!M47 + Intereses_Residual_Mensual!M47, 2)</f>
        <v/>
      </c>
      <c r="K47" s="23">
        <f>ROUND(Intereses_Leasing_Mensual!N47 + Intereses_Residual_Mensual!N47, 2)</f>
        <v/>
      </c>
      <c r="L47" s="23">
        <f>ROUND(Intereses_Leasing_Mensual!O47 + Intereses_Residual_Mensual!O47, 2)</f>
        <v/>
      </c>
      <c r="M47" s="23">
        <f>ROUND(Intereses_Leasing_Mensual!P47 + Intereses_Residual_Mensual!P47, 2)</f>
        <v/>
      </c>
      <c r="N47" s="23">
        <f>ROUND(Intereses_Leasing_Mensual!Q47 + Intereses_Residual_Mensual!Q47, 2)</f>
        <v/>
      </c>
      <c r="O47" s="23">
        <f>ROUND(Intereses_Leasing_Mensual!R47 + Intereses_Residual_Mensual!R47, 2)</f>
        <v/>
      </c>
      <c r="P47" s="23">
        <f>ROUND(Intereses_Leasing_Mensual!S47 + Intereses_Residual_Mensual!S47, 2)</f>
        <v/>
      </c>
      <c r="Q47" s="23">
        <f>ROUND(Intereses_Leasing_Mensual!T47 + Intereses_Residual_Mensual!T47, 2)</f>
        <v/>
      </c>
      <c r="R47" s="23">
        <f>SUM(F47:Q47)</f>
        <v/>
      </c>
    </row>
    <row r="48">
      <c r="A48" s="26" t="inlineStr">
        <is>
          <t>0583-0006</t>
        </is>
      </c>
      <c r="B48" s="27" t="inlineStr">
        <is>
          <t>Soluciones Profesionales para la Industria Alimentaria</t>
        </is>
      </c>
      <c r="C48" s="27" t="inlineStr">
        <is>
          <t>Montana</t>
        </is>
      </c>
      <c r="D48" s="26" t="inlineStr">
        <is>
          <t>ACTIVO</t>
        </is>
      </c>
      <c r="E48" s="28" t="n">
        <v>24</v>
      </c>
      <c r="F48" s="29">
        <f>ROUND(Intereses_Leasing_Mensual!I48 + Intereses_Residual_Mensual!I48, 2)</f>
        <v/>
      </c>
      <c r="G48" s="29">
        <f>ROUND(Intereses_Leasing_Mensual!J48 + Intereses_Residual_Mensual!J48, 2)</f>
        <v/>
      </c>
      <c r="H48" s="29">
        <f>ROUND(Intereses_Leasing_Mensual!K48 + Intereses_Residual_Mensual!K48, 2)</f>
        <v/>
      </c>
      <c r="I48" s="29">
        <f>ROUND(Intereses_Leasing_Mensual!L48 + Intereses_Residual_Mensual!L48, 2)</f>
        <v/>
      </c>
      <c r="J48" s="29">
        <f>ROUND(Intereses_Leasing_Mensual!M48 + Intereses_Residual_Mensual!M48, 2)</f>
        <v/>
      </c>
      <c r="K48" s="29">
        <f>ROUND(Intereses_Leasing_Mensual!N48 + Intereses_Residual_Mensual!N48, 2)</f>
        <v/>
      </c>
      <c r="L48" s="29">
        <f>ROUND(Intereses_Leasing_Mensual!O48 + Intereses_Residual_Mensual!O48, 2)</f>
        <v/>
      </c>
      <c r="M48" s="29">
        <f>ROUND(Intereses_Leasing_Mensual!P48 + Intereses_Residual_Mensual!P48, 2)</f>
        <v/>
      </c>
      <c r="N48" s="29">
        <f>ROUND(Intereses_Leasing_Mensual!Q48 + Intereses_Residual_Mensual!Q48, 2)</f>
        <v/>
      </c>
      <c r="O48" s="29">
        <f>ROUND(Intereses_Leasing_Mensual!R48 + Intereses_Residual_Mensual!R48, 2)</f>
        <v/>
      </c>
      <c r="P48" s="29">
        <f>ROUND(Intereses_Leasing_Mensual!S48 + Intereses_Residual_Mensual!S48, 2)</f>
        <v/>
      </c>
      <c r="Q48" s="29">
        <f>ROUND(Intereses_Leasing_Mensual!T48 + Intereses_Residual_Mensual!T48, 2)</f>
        <v/>
      </c>
      <c r="R48" s="29">
        <f>SUM(F48:Q48)</f>
        <v/>
      </c>
    </row>
    <row r="49">
      <c r="A49" s="20" t="inlineStr">
        <is>
          <t>0585-0002</t>
        </is>
      </c>
      <c r="B49" s="21" t="inlineStr">
        <is>
          <t>Julio Alberto Ramos de la Mora</t>
        </is>
      </c>
      <c r="C49" s="21" t="inlineStr">
        <is>
          <t>Ram 1500 Limited</t>
        </is>
      </c>
      <c r="D49" s="20" t="inlineStr">
        <is>
          <t>ACTIVO</t>
        </is>
      </c>
      <c r="E49" s="22" t="n">
        <v>36</v>
      </c>
      <c r="F49" s="23">
        <f>ROUND(Intereses_Leasing_Mensual!I49 + Intereses_Residual_Mensual!I49, 2)</f>
        <v/>
      </c>
      <c r="G49" s="23">
        <f>ROUND(Intereses_Leasing_Mensual!J49 + Intereses_Residual_Mensual!J49, 2)</f>
        <v/>
      </c>
      <c r="H49" s="23">
        <f>ROUND(Intereses_Leasing_Mensual!K49 + Intereses_Residual_Mensual!K49, 2)</f>
        <v/>
      </c>
      <c r="I49" s="23">
        <f>ROUND(Intereses_Leasing_Mensual!L49 + Intereses_Residual_Mensual!L49, 2)</f>
        <v/>
      </c>
      <c r="J49" s="23">
        <f>ROUND(Intereses_Leasing_Mensual!M49 + Intereses_Residual_Mensual!M49, 2)</f>
        <v/>
      </c>
      <c r="K49" s="23">
        <f>ROUND(Intereses_Leasing_Mensual!N49 + Intereses_Residual_Mensual!N49, 2)</f>
        <v/>
      </c>
      <c r="L49" s="23">
        <f>ROUND(Intereses_Leasing_Mensual!O49 + Intereses_Residual_Mensual!O49, 2)</f>
        <v/>
      </c>
      <c r="M49" s="23">
        <f>ROUND(Intereses_Leasing_Mensual!P49 + Intereses_Residual_Mensual!P49, 2)</f>
        <v/>
      </c>
      <c r="N49" s="23">
        <f>ROUND(Intereses_Leasing_Mensual!Q49 + Intereses_Residual_Mensual!Q49, 2)</f>
        <v/>
      </c>
      <c r="O49" s="23">
        <f>ROUND(Intereses_Leasing_Mensual!R49 + Intereses_Residual_Mensual!R49, 2)</f>
        <v/>
      </c>
      <c r="P49" s="23">
        <f>ROUND(Intereses_Leasing_Mensual!S49 + Intereses_Residual_Mensual!S49, 2)</f>
        <v/>
      </c>
      <c r="Q49" s="23">
        <f>ROUND(Intereses_Leasing_Mensual!T49 + Intereses_Residual_Mensual!T49, 2)</f>
        <v/>
      </c>
      <c r="R49" s="23">
        <f>SUM(F49:Q49)</f>
        <v/>
      </c>
    </row>
    <row r="50">
      <c r="A50" s="26" t="inlineStr">
        <is>
          <t>0585-0003</t>
        </is>
      </c>
      <c r="B50" s="27" t="inlineStr">
        <is>
          <t>Julio Alberto Ramos de la Mora</t>
        </is>
      </c>
      <c r="C50" s="27" t="inlineStr">
        <is>
          <t>Wrangler Rubicon</t>
        </is>
      </c>
      <c r="D50" s="26" t="inlineStr">
        <is>
          <t>ACTIVO</t>
        </is>
      </c>
      <c r="E50" s="28" t="n">
        <v>48</v>
      </c>
      <c r="F50" s="29">
        <f>ROUND(Intereses_Leasing_Mensual!I50 + Intereses_Residual_Mensual!I50, 2)</f>
        <v/>
      </c>
      <c r="G50" s="29">
        <f>ROUND(Intereses_Leasing_Mensual!J50 + Intereses_Residual_Mensual!J50, 2)</f>
        <v/>
      </c>
      <c r="H50" s="29">
        <f>ROUND(Intereses_Leasing_Mensual!K50 + Intereses_Residual_Mensual!K50, 2)</f>
        <v/>
      </c>
      <c r="I50" s="29">
        <f>ROUND(Intereses_Leasing_Mensual!L50 + Intereses_Residual_Mensual!L50, 2)</f>
        <v/>
      </c>
      <c r="J50" s="29">
        <f>ROUND(Intereses_Leasing_Mensual!M50 + Intereses_Residual_Mensual!M50, 2)</f>
        <v/>
      </c>
      <c r="K50" s="29">
        <f>ROUND(Intereses_Leasing_Mensual!N50 + Intereses_Residual_Mensual!N50, 2)</f>
        <v/>
      </c>
      <c r="L50" s="29">
        <f>ROUND(Intereses_Leasing_Mensual!O50 + Intereses_Residual_Mensual!O50, 2)</f>
        <v/>
      </c>
      <c r="M50" s="29">
        <f>ROUND(Intereses_Leasing_Mensual!P50 + Intereses_Residual_Mensual!P50, 2)</f>
        <v/>
      </c>
      <c r="N50" s="29">
        <f>ROUND(Intereses_Leasing_Mensual!Q50 + Intereses_Residual_Mensual!Q50, 2)</f>
        <v/>
      </c>
      <c r="O50" s="29">
        <f>ROUND(Intereses_Leasing_Mensual!R50 + Intereses_Residual_Mensual!R50, 2)</f>
        <v/>
      </c>
      <c r="P50" s="29">
        <f>ROUND(Intereses_Leasing_Mensual!S50 + Intereses_Residual_Mensual!S50, 2)</f>
        <v/>
      </c>
      <c r="Q50" s="29">
        <f>ROUND(Intereses_Leasing_Mensual!T50 + Intereses_Residual_Mensual!T50, 2)</f>
        <v/>
      </c>
      <c r="R50" s="29">
        <f>SUM(F50:Q50)</f>
        <v/>
      </c>
    </row>
    <row r="51">
      <c r="A51" s="20" t="inlineStr">
        <is>
          <t>0585-0004</t>
        </is>
      </c>
      <c r="B51" s="21" t="inlineStr">
        <is>
          <t>Julio Alberto Ramos de la Mora</t>
        </is>
      </c>
      <c r="C51" s="21" t="inlineStr">
        <is>
          <t>Hrv Sport</t>
        </is>
      </c>
      <c r="D51" s="20" t="inlineStr">
        <is>
          <t>ACTIVO</t>
        </is>
      </c>
      <c r="E51" s="22" t="n">
        <v>36</v>
      </c>
      <c r="F51" s="23">
        <f>ROUND(Intereses_Leasing_Mensual!I51 + Intereses_Residual_Mensual!I51, 2)</f>
        <v/>
      </c>
      <c r="G51" s="23">
        <f>ROUND(Intereses_Leasing_Mensual!J51 + Intereses_Residual_Mensual!J51, 2)</f>
        <v/>
      </c>
      <c r="H51" s="23">
        <f>ROUND(Intereses_Leasing_Mensual!K51 + Intereses_Residual_Mensual!K51, 2)</f>
        <v/>
      </c>
      <c r="I51" s="23">
        <f>ROUND(Intereses_Leasing_Mensual!L51 + Intereses_Residual_Mensual!L51, 2)</f>
        <v/>
      </c>
      <c r="J51" s="23">
        <f>ROUND(Intereses_Leasing_Mensual!M51 + Intereses_Residual_Mensual!M51, 2)</f>
        <v/>
      </c>
      <c r="K51" s="23">
        <f>ROUND(Intereses_Leasing_Mensual!N51 + Intereses_Residual_Mensual!N51, 2)</f>
        <v/>
      </c>
      <c r="L51" s="23">
        <f>ROUND(Intereses_Leasing_Mensual!O51 + Intereses_Residual_Mensual!O51, 2)</f>
        <v/>
      </c>
      <c r="M51" s="23">
        <f>ROUND(Intereses_Leasing_Mensual!P51 + Intereses_Residual_Mensual!P51, 2)</f>
        <v/>
      </c>
      <c r="N51" s="23">
        <f>ROUND(Intereses_Leasing_Mensual!Q51 + Intereses_Residual_Mensual!Q51, 2)</f>
        <v/>
      </c>
      <c r="O51" s="23">
        <f>ROUND(Intereses_Leasing_Mensual!R51 + Intereses_Residual_Mensual!R51, 2)</f>
        <v/>
      </c>
      <c r="P51" s="23">
        <f>ROUND(Intereses_Leasing_Mensual!S51 + Intereses_Residual_Mensual!S51, 2)</f>
        <v/>
      </c>
      <c r="Q51" s="23">
        <f>ROUND(Intereses_Leasing_Mensual!T51 + Intereses_Residual_Mensual!T51, 2)</f>
        <v/>
      </c>
      <c r="R51" s="23">
        <f>SUM(F51:Q51)</f>
        <v/>
      </c>
    </row>
    <row r="52">
      <c r="A52" s="26" t="inlineStr">
        <is>
          <t>0585-0005</t>
        </is>
      </c>
      <c r="B52" s="27" t="inlineStr">
        <is>
          <t>Julio Alberto Ramos de la Mora</t>
        </is>
      </c>
      <c r="C52" s="27" t="inlineStr">
        <is>
          <t>M9 GL HEV</t>
        </is>
      </c>
      <c r="D52" s="26" t="inlineStr">
        <is>
          <t>ACTIVO</t>
        </is>
      </c>
      <c r="E52" s="28" t="n">
        <v>24</v>
      </c>
      <c r="F52" s="29">
        <f>ROUND(Intereses_Leasing_Mensual!I52 + Intereses_Residual_Mensual!I52, 2)</f>
        <v/>
      </c>
      <c r="G52" s="29">
        <f>ROUND(Intereses_Leasing_Mensual!J52 + Intereses_Residual_Mensual!J52, 2)</f>
        <v/>
      </c>
      <c r="H52" s="29">
        <f>ROUND(Intereses_Leasing_Mensual!K52 + Intereses_Residual_Mensual!K52, 2)</f>
        <v/>
      </c>
      <c r="I52" s="29">
        <f>ROUND(Intereses_Leasing_Mensual!L52 + Intereses_Residual_Mensual!L52, 2)</f>
        <v/>
      </c>
      <c r="J52" s="29">
        <f>ROUND(Intereses_Leasing_Mensual!M52 + Intereses_Residual_Mensual!M52, 2)</f>
        <v/>
      </c>
      <c r="K52" s="29">
        <f>ROUND(Intereses_Leasing_Mensual!N52 + Intereses_Residual_Mensual!N52, 2)</f>
        <v/>
      </c>
      <c r="L52" s="29">
        <f>ROUND(Intereses_Leasing_Mensual!O52 + Intereses_Residual_Mensual!O52, 2)</f>
        <v/>
      </c>
      <c r="M52" s="29">
        <f>ROUND(Intereses_Leasing_Mensual!P52 + Intereses_Residual_Mensual!P52, 2)</f>
        <v/>
      </c>
      <c r="N52" s="29">
        <f>ROUND(Intereses_Leasing_Mensual!Q52 + Intereses_Residual_Mensual!Q52, 2)</f>
        <v/>
      </c>
      <c r="O52" s="29">
        <f>ROUND(Intereses_Leasing_Mensual!R52 + Intereses_Residual_Mensual!R52, 2)</f>
        <v/>
      </c>
      <c r="P52" s="29">
        <f>ROUND(Intereses_Leasing_Mensual!S52 + Intereses_Residual_Mensual!S52, 2)</f>
        <v/>
      </c>
      <c r="Q52" s="29">
        <f>ROUND(Intereses_Leasing_Mensual!T52 + Intereses_Residual_Mensual!T52, 2)</f>
        <v/>
      </c>
      <c r="R52" s="29">
        <f>SUM(F52:Q52)</f>
        <v/>
      </c>
    </row>
    <row r="53">
      <c r="A53" s="20" t="inlineStr">
        <is>
          <t>0587-0002</t>
        </is>
      </c>
      <c r="B53" s="21" t="inlineStr">
        <is>
          <t>Allioth, S.C.</t>
        </is>
      </c>
      <c r="C53" s="21" t="inlineStr">
        <is>
          <t>Grand Cherokee L Summit</t>
        </is>
      </c>
      <c r="D53" s="20" t="inlineStr">
        <is>
          <t>ACTIVO</t>
        </is>
      </c>
      <c r="E53" s="22" t="n">
        <v>12</v>
      </c>
      <c r="F53" s="23" t="inlineStr"/>
      <c r="G53" s="23">
        <f>ROUND(Intereses_Leasing_Mensual!J53 + Intereses_Residual_Mensual!J53, 2)</f>
        <v/>
      </c>
      <c r="H53" s="23">
        <f>ROUND(Intereses_Leasing_Mensual!K53 + Intereses_Residual_Mensual!K53, 2)</f>
        <v/>
      </c>
      <c r="I53" s="23">
        <f>ROUND(Intereses_Leasing_Mensual!L53 + Intereses_Residual_Mensual!L53, 2)</f>
        <v/>
      </c>
      <c r="J53" s="23">
        <f>ROUND(Intereses_Leasing_Mensual!M53 + Intereses_Residual_Mensual!M53, 2)</f>
        <v/>
      </c>
      <c r="K53" s="23">
        <f>ROUND(Intereses_Leasing_Mensual!N53 + Intereses_Residual_Mensual!N53, 2)</f>
        <v/>
      </c>
      <c r="L53" s="23">
        <f>ROUND(Intereses_Leasing_Mensual!O53 + Intereses_Residual_Mensual!O53, 2)</f>
        <v/>
      </c>
      <c r="M53" s="23">
        <f>ROUND(Intereses_Leasing_Mensual!P53 + Intereses_Residual_Mensual!P53, 2)</f>
        <v/>
      </c>
      <c r="N53" s="23">
        <f>ROUND(Intereses_Leasing_Mensual!Q53 + Intereses_Residual_Mensual!Q53, 2)</f>
        <v/>
      </c>
      <c r="O53" s="23">
        <f>ROUND(Intereses_Leasing_Mensual!R53 + Intereses_Residual_Mensual!R53, 2)</f>
        <v/>
      </c>
      <c r="P53" s="23">
        <f>ROUND(Intereses_Leasing_Mensual!S53 + Intereses_Residual_Mensual!S53, 2)</f>
        <v/>
      </c>
      <c r="Q53" s="23">
        <f>ROUND(Intereses_Leasing_Mensual!T53 + Intereses_Residual_Mensual!T53, 2)</f>
        <v/>
      </c>
      <c r="R53" s="23">
        <f>SUM(F53:Q53)</f>
        <v/>
      </c>
    </row>
    <row r="54">
      <c r="A54" s="26" t="inlineStr">
        <is>
          <t>0591-0002</t>
        </is>
      </c>
      <c r="B54" s="27" t="inlineStr">
        <is>
          <t>Cervantech Servicios Tecnologicos Sc</t>
        </is>
      </c>
      <c r="C54" s="27" t="inlineStr">
        <is>
          <t>WRANGLER RUBICON</t>
        </is>
      </c>
      <c r="D54" s="26" t="inlineStr">
        <is>
          <t>ACTIVO</t>
        </is>
      </c>
      <c r="E54" s="28" t="n">
        <v>36</v>
      </c>
      <c r="F54" s="29">
        <f>ROUND(Intereses_Leasing_Mensual!I54 + Intereses_Residual_Mensual!I54, 2)</f>
        <v/>
      </c>
      <c r="G54" s="29">
        <f>ROUND(Intereses_Leasing_Mensual!J54 + Intereses_Residual_Mensual!J54, 2)</f>
        <v/>
      </c>
      <c r="H54" s="29">
        <f>ROUND(Intereses_Leasing_Mensual!K54 + Intereses_Residual_Mensual!K54, 2)</f>
        <v/>
      </c>
      <c r="I54" s="29">
        <f>ROUND(Intereses_Leasing_Mensual!L54 + Intereses_Residual_Mensual!L54, 2)</f>
        <v/>
      </c>
      <c r="J54" s="29">
        <f>ROUND(Intereses_Leasing_Mensual!M54 + Intereses_Residual_Mensual!M54, 2)</f>
        <v/>
      </c>
      <c r="K54" s="29">
        <f>ROUND(Intereses_Leasing_Mensual!N54 + Intereses_Residual_Mensual!N54, 2)</f>
        <v/>
      </c>
      <c r="L54" s="29">
        <f>ROUND(Intereses_Leasing_Mensual!O54 + Intereses_Residual_Mensual!O54, 2)</f>
        <v/>
      </c>
      <c r="M54" s="29">
        <f>ROUND(Intereses_Leasing_Mensual!P54 + Intereses_Residual_Mensual!P54, 2)</f>
        <v/>
      </c>
      <c r="N54" s="29">
        <f>ROUND(Intereses_Leasing_Mensual!Q54 + Intereses_Residual_Mensual!Q54, 2)</f>
        <v/>
      </c>
      <c r="O54" s="29" t="inlineStr"/>
      <c r="P54" s="29" t="inlineStr"/>
      <c r="Q54" s="29" t="inlineStr"/>
      <c r="R54" s="29">
        <f>SUM(F54:Q54)</f>
        <v/>
      </c>
    </row>
    <row r="55">
      <c r="A55" s="20" t="inlineStr">
        <is>
          <t>0593-0002</t>
        </is>
      </c>
      <c r="B55" s="21" t="inlineStr">
        <is>
          <t>Metales y Minerales Moa Sa de Cv</t>
        </is>
      </c>
      <c r="C55" s="21" t="inlineStr">
        <is>
          <t>Ram 700 SLT Crew Cab</t>
        </is>
      </c>
      <c r="D55" s="20" t="inlineStr">
        <is>
          <t>ACTIVO</t>
        </is>
      </c>
      <c r="E55" s="22" t="n">
        <v>48</v>
      </c>
      <c r="F55" s="23">
        <f>ROUND(Intereses_Leasing_Mensual!I55 + Intereses_Residual_Mensual!I55, 2)</f>
        <v/>
      </c>
      <c r="G55" s="23">
        <f>ROUND(Intereses_Leasing_Mensual!J55 + Intereses_Residual_Mensual!J55, 2)</f>
        <v/>
      </c>
      <c r="H55" s="23">
        <f>ROUND(Intereses_Leasing_Mensual!K55 + Intereses_Residual_Mensual!K55, 2)</f>
        <v/>
      </c>
      <c r="I55" s="23">
        <f>ROUND(Intereses_Leasing_Mensual!L55 + Intereses_Residual_Mensual!L55, 2)</f>
        <v/>
      </c>
      <c r="J55" s="23">
        <f>ROUND(Intereses_Leasing_Mensual!M55 + Intereses_Residual_Mensual!M55, 2)</f>
        <v/>
      </c>
      <c r="K55" s="23">
        <f>ROUND(Intereses_Leasing_Mensual!N55 + Intereses_Residual_Mensual!N55, 2)</f>
        <v/>
      </c>
      <c r="L55" s="23">
        <f>ROUND(Intereses_Leasing_Mensual!O55 + Intereses_Residual_Mensual!O55, 2)</f>
        <v/>
      </c>
      <c r="M55" s="23">
        <f>ROUND(Intereses_Leasing_Mensual!P55 + Intereses_Residual_Mensual!P55, 2)</f>
        <v/>
      </c>
      <c r="N55" s="23">
        <f>ROUND(Intereses_Leasing_Mensual!Q55 + Intereses_Residual_Mensual!Q55, 2)</f>
        <v/>
      </c>
      <c r="O55" s="23">
        <f>ROUND(Intereses_Leasing_Mensual!R55 + Intereses_Residual_Mensual!R55, 2)</f>
        <v/>
      </c>
      <c r="P55" s="23">
        <f>ROUND(Intereses_Leasing_Mensual!S55 + Intereses_Residual_Mensual!S55, 2)</f>
        <v/>
      </c>
      <c r="Q55" s="23">
        <f>ROUND(Intereses_Leasing_Mensual!T55 + Intereses_Residual_Mensual!T55, 2)</f>
        <v/>
      </c>
      <c r="R55" s="23">
        <f>SUM(F55:Q55)</f>
        <v/>
      </c>
    </row>
    <row r="56">
      <c r="A56" s="26" t="inlineStr">
        <is>
          <t>0594-0001</t>
        </is>
      </c>
      <c r="B56" s="27" t="inlineStr">
        <is>
          <t>Biotecnologia Estetica Sa de Cv</t>
        </is>
      </c>
      <c r="C56" s="27" t="inlineStr">
        <is>
          <t>Mobi Like</t>
        </is>
      </c>
      <c r="D56" s="26" t="inlineStr">
        <is>
          <t>ACTIVO</t>
        </is>
      </c>
      <c r="E56" s="28" t="n">
        <v>48</v>
      </c>
      <c r="F56" s="29">
        <f>ROUND(Intereses_Leasing_Mensual!I56 + Intereses_Residual_Mensual!I56, 2)</f>
        <v/>
      </c>
      <c r="G56" s="29">
        <f>ROUND(Intereses_Leasing_Mensual!J56 + Intereses_Residual_Mensual!J56, 2)</f>
        <v/>
      </c>
      <c r="H56" s="29">
        <f>ROUND(Intereses_Leasing_Mensual!K56 + Intereses_Residual_Mensual!K56, 2)</f>
        <v/>
      </c>
      <c r="I56" s="29">
        <f>ROUND(Intereses_Leasing_Mensual!L56 + Intereses_Residual_Mensual!L56, 2)</f>
        <v/>
      </c>
      <c r="J56" s="29">
        <f>ROUND(Intereses_Leasing_Mensual!M56 + Intereses_Residual_Mensual!M56, 2)</f>
        <v/>
      </c>
      <c r="K56" s="29">
        <f>ROUND(Intereses_Leasing_Mensual!N56 + Intereses_Residual_Mensual!N56, 2)</f>
        <v/>
      </c>
      <c r="L56" s="29">
        <f>ROUND(Intereses_Leasing_Mensual!O56 + Intereses_Residual_Mensual!O56, 2)</f>
        <v/>
      </c>
      <c r="M56" s="29">
        <f>ROUND(Intereses_Leasing_Mensual!P56 + Intereses_Residual_Mensual!P56, 2)</f>
        <v/>
      </c>
      <c r="N56" s="29">
        <f>ROUND(Intereses_Leasing_Mensual!Q56 + Intereses_Residual_Mensual!Q56, 2)</f>
        <v/>
      </c>
      <c r="O56" s="29">
        <f>ROUND(Intereses_Leasing_Mensual!R56 + Intereses_Residual_Mensual!R56, 2)</f>
        <v/>
      </c>
      <c r="P56" s="29">
        <f>ROUND(Intereses_Leasing_Mensual!S56 + Intereses_Residual_Mensual!S56, 2)</f>
        <v/>
      </c>
      <c r="Q56" s="29">
        <f>ROUND(Intereses_Leasing_Mensual!T56 + Intereses_Residual_Mensual!T56, 2)</f>
        <v/>
      </c>
      <c r="R56" s="29">
        <f>SUM(F56:Q56)</f>
        <v/>
      </c>
    </row>
    <row r="57">
      <c r="A57" s="20" t="inlineStr">
        <is>
          <t>0596-0004</t>
        </is>
      </c>
      <c r="B57" s="21" t="inlineStr">
        <is>
          <t>Gruas Industriales Lb</t>
        </is>
      </c>
      <c r="C57" s="21" t="inlineStr">
        <is>
          <t>Ram 1500 TRX</t>
        </is>
      </c>
      <c r="D57" s="20" t="inlineStr">
        <is>
          <t>ACTIVO</t>
        </is>
      </c>
      <c r="E57" s="22" t="n">
        <v>48</v>
      </c>
      <c r="F57" s="23">
        <f>ROUND(Intereses_Leasing_Mensual!I57 + Intereses_Residual_Mensual!I57, 2)</f>
        <v/>
      </c>
      <c r="G57" s="23">
        <f>ROUND(Intereses_Leasing_Mensual!J57 + Intereses_Residual_Mensual!J57, 2)</f>
        <v/>
      </c>
      <c r="H57" s="23">
        <f>ROUND(Intereses_Leasing_Mensual!K57 + Intereses_Residual_Mensual!K57, 2)</f>
        <v/>
      </c>
      <c r="I57" s="23">
        <f>ROUND(Intereses_Leasing_Mensual!L57 + Intereses_Residual_Mensual!L57, 2)</f>
        <v/>
      </c>
      <c r="J57" s="23">
        <f>ROUND(Intereses_Leasing_Mensual!M57 + Intereses_Residual_Mensual!M57, 2)</f>
        <v/>
      </c>
      <c r="K57" s="23">
        <f>ROUND(Intereses_Leasing_Mensual!N57 + Intereses_Residual_Mensual!N57, 2)</f>
        <v/>
      </c>
      <c r="L57" s="23">
        <f>ROUND(Intereses_Leasing_Mensual!O57 + Intereses_Residual_Mensual!O57, 2)</f>
        <v/>
      </c>
      <c r="M57" s="23">
        <f>ROUND(Intereses_Leasing_Mensual!P57 + Intereses_Residual_Mensual!P57, 2)</f>
        <v/>
      </c>
      <c r="N57" s="23">
        <f>ROUND(Intereses_Leasing_Mensual!Q57 + Intereses_Residual_Mensual!Q57, 2)</f>
        <v/>
      </c>
      <c r="O57" s="23">
        <f>ROUND(Intereses_Leasing_Mensual!R57 + Intereses_Residual_Mensual!R57, 2)</f>
        <v/>
      </c>
      <c r="P57" s="23">
        <f>ROUND(Intereses_Leasing_Mensual!S57 + Intereses_Residual_Mensual!S57, 2)</f>
        <v/>
      </c>
      <c r="Q57" s="23">
        <f>ROUND(Intereses_Leasing_Mensual!T57 + Intereses_Residual_Mensual!T57, 2)</f>
        <v/>
      </c>
      <c r="R57" s="23">
        <f>SUM(F57:Q57)</f>
        <v/>
      </c>
    </row>
    <row r="58">
      <c r="A58" s="26" t="inlineStr">
        <is>
          <t>0596-0005</t>
        </is>
      </c>
      <c r="B58" s="27" t="inlineStr">
        <is>
          <t>Gruas Industriales Lb Sa de Cv</t>
        </is>
      </c>
      <c r="C58" s="27" t="inlineStr">
        <is>
          <t>L200 Glx Gasolina</t>
        </is>
      </c>
      <c r="D58" s="26" t="inlineStr">
        <is>
          <t>ACTIVO</t>
        </is>
      </c>
      <c r="E58" s="28" t="n">
        <v>48</v>
      </c>
      <c r="F58" s="29">
        <f>ROUND(Intereses_Leasing_Mensual!I58 + Intereses_Residual_Mensual!I58, 2)</f>
        <v/>
      </c>
      <c r="G58" s="29">
        <f>ROUND(Intereses_Leasing_Mensual!J58 + Intereses_Residual_Mensual!J58, 2)</f>
        <v/>
      </c>
      <c r="H58" s="29">
        <f>ROUND(Intereses_Leasing_Mensual!K58 + Intereses_Residual_Mensual!K58, 2)</f>
        <v/>
      </c>
      <c r="I58" s="29">
        <f>ROUND(Intereses_Leasing_Mensual!L58 + Intereses_Residual_Mensual!L58, 2)</f>
        <v/>
      </c>
      <c r="J58" s="29">
        <f>ROUND(Intereses_Leasing_Mensual!M58 + Intereses_Residual_Mensual!M58, 2)</f>
        <v/>
      </c>
      <c r="K58" s="29">
        <f>ROUND(Intereses_Leasing_Mensual!N58 + Intereses_Residual_Mensual!N58, 2)</f>
        <v/>
      </c>
      <c r="L58" s="29">
        <f>ROUND(Intereses_Leasing_Mensual!O58 + Intereses_Residual_Mensual!O58, 2)</f>
        <v/>
      </c>
      <c r="M58" s="29">
        <f>ROUND(Intereses_Leasing_Mensual!P58 + Intereses_Residual_Mensual!P58, 2)</f>
        <v/>
      </c>
      <c r="N58" s="29">
        <f>ROUND(Intereses_Leasing_Mensual!Q58 + Intereses_Residual_Mensual!Q58, 2)</f>
        <v/>
      </c>
      <c r="O58" s="29">
        <f>ROUND(Intereses_Leasing_Mensual!R58 + Intereses_Residual_Mensual!R58, 2)</f>
        <v/>
      </c>
      <c r="P58" s="29">
        <f>ROUND(Intereses_Leasing_Mensual!S58 + Intereses_Residual_Mensual!S58, 2)</f>
        <v/>
      </c>
      <c r="Q58" s="29">
        <f>ROUND(Intereses_Leasing_Mensual!T58 + Intereses_Residual_Mensual!T58, 2)</f>
        <v/>
      </c>
      <c r="R58" s="29">
        <f>SUM(F58:Q58)</f>
        <v/>
      </c>
    </row>
    <row r="59">
      <c r="A59" s="20" t="inlineStr">
        <is>
          <t>0598-0001</t>
        </is>
      </c>
      <c r="B59" s="21" t="inlineStr">
        <is>
          <t>Digitracking Solution Sa de Cv</t>
        </is>
      </c>
      <c r="C59" s="21" t="inlineStr">
        <is>
          <t>Ram 700 Laramie</t>
        </is>
      </c>
      <c r="D59" s="20" t="inlineStr">
        <is>
          <t>ACTIVO</t>
        </is>
      </c>
      <c r="E59" s="22" t="n">
        <v>48</v>
      </c>
      <c r="F59" s="23">
        <f>ROUND(Intereses_Leasing_Mensual!I59 + Intereses_Residual_Mensual!I59, 2)</f>
        <v/>
      </c>
      <c r="G59" s="23">
        <f>ROUND(Intereses_Leasing_Mensual!J59 + Intereses_Residual_Mensual!J59, 2)</f>
        <v/>
      </c>
      <c r="H59" s="23">
        <f>ROUND(Intereses_Leasing_Mensual!K59 + Intereses_Residual_Mensual!K59, 2)</f>
        <v/>
      </c>
      <c r="I59" s="23">
        <f>ROUND(Intereses_Leasing_Mensual!L59 + Intereses_Residual_Mensual!L59, 2)</f>
        <v/>
      </c>
      <c r="J59" s="23">
        <f>ROUND(Intereses_Leasing_Mensual!M59 + Intereses_Residual_Mensual!M59, 2)</f>
        <v/>
      </c>
      <c r="K59" s="23">
        <f>ROUND(Intereses_Leasing_Mensual!N59 + Intereses_Residual_Mensual!N59, 2)</f>
        <v/>
      </c>
      <c r="L59" s="23">
        <f>ROUND(Intereses_Leasing_Mensual!O59 + Intereses_Residual_Mensual!O59, 2)</f>
        <v/>
      </c>
      <c r="M59" s="23">
        <f>ROUND(Intereses_Leasing_Mensual!P59 + Intereses_Residual_Mensual!P59, 2)</f>
        <v/>
      </c>
      <c r="N59" s="23">
        <f>ROUND(Intereses_Leasing_Mensual!Q59 + Intereses_Residual_Mensual!Q59, 2)</f>
        <v/>
      </c>
      <c r="O59" s="23">
        <f>ROUND(Intereses_Leasing_Mensual!R59 + Intereses_Residual_Mensual!R59, 2)</f>
        <v/>
      </c>
      <c r="P59" s="23">
        <f>ROUND(Intereses_Leasing_Mensual!S59 + Intereses_Residual_Mensual!S59, 2)</f>
        <v/>
      </c>
      <c r="Q59" s="23">
        <f>ROUND(Intereses_Leasing_Mensual!T59 + Intereses_Residual_Mensual!T59, 2)</f>
        <v/>
      </c>
      <c r="R59" s="23">
        <f>SUM(F59:Q59)</f>
        <v/>
      </c>
    </row>
    <row r="60">
      <c r="A60" s="26" t="inlineStr">
        <is>
          <t>0600-0001</t>
        </is>
      </c>
      <c r="B60" s="27" t="inlineStr">
        <is>
          <t>Dulce Marisol Gonzalez Cuevas</t>
        </is>
      </c>
      <c r="C60" s="27" t="inlineStr">
        <is>
          <t>Ram 700 Laramie</t>
        </is>
      </c>
      <c r="D60" s="26" t="inlineStr">
        <is>
          <t>ACTIVO</t>
        </is>
      </c>
      <c r="E60" s="28" t="n">
        <v>48</v>
      </c>
      <c r="F60" s="29">
        <f>ROUND(Intereses_Leasing_Mensual!I60 + Intereses_Residual_Mensual!I60, 2)</f>
        <v/>
      </c>
      <c r="G60" s="29">
        <f>ROUND(Intereses_Leasing_Mensual!J60 + Intereses_Residual_Mensual!J60, 2)</f>
        <v/>
      </c>
      <c r="H60" s="29">
        <f>ROUND(Intereses_Leasing_Mensual!K60 + Intereses_Residual_Mensual!K60, 2)</f>
        <v/>
      </c>
      <c r="I60" s="29">
        <f>ROUND(Intereses_Leasing_Mensual!L60 + Intereses_Residual_Mensual!L60, 2)</f>
        <v/>
      </c>
      <c r="J60" s="29">
        <f>ROUND(Intereses_Leasing_Mensual!M60 + Intereses_Residual_Mensual!M60, 2)</f>
        <v/>
      </c>
      <c r="K60" s="29">
        <f>ROUND(Intereses_Leasing_Mensual!N60 + Intereses_Residual_Mensual!N60, 2)</f>
        <v/>
      </c>
      <c r="L60" s="29">
        <f>ROUND(Intereses_Leasing_Mensual!O60 + Intereses_Residual_Mensual!O60, 2)</f>
        <v/>
      </c>
      <c r="M60" s="29">
        <f>ROUND(Intereses_Leasing_Mensual!P60 + Intereses_Residual_Mensual!P60, 2)</f>
        <v/>
      </c>
      <c r="N60" s="29">
        <f>ROUND(Intereses_Leasing_Mensual!Q60 + Intereses_Residual_Mensual!Q60, 2)</f>
        <v/>
      </c>
      <c r="O60" s="29">
        <f>ROUND(Intereses_Leasing_Mensual!R60 + Intereses_Residual_Mensual!R60, 2)</f>
        <v/>
      </c>
      <c r="P60" s="29">
        <f>ROUND(Intereses_Leasing_Mensual!S60 + Intereses_Residual_Mensual!S60, 2)</f>
        <v/>
      </c>
      <c r="Q60" s="29">
        <f>ROUND(Intereses_Leasing_Mensual!T60 + Intereses_Residual_Mensual!T60, 2)</f>
        <v/>
      </c>
      <c r="R60" s="29">
        <f>SUM(F60:Q60)</f>
        <v/>
      </c>
    </row>
    <row r="61">
      <c r="A61" s="20" t="inlineStr">
        <is>
          <t>0603-0002</t>
        </is>
      </c>
      <c r="B61" s="21" t="inlineStr">
        <is>
          <t>Mario Alberto Velasco Santana</t>
        </is>
      </c>
      <c r="C61" s="21" t="inlineStr">
        <is>
          <t>Outlander Sport</t>
        </is>
      </c>
      <c r="D61" s="20" t="inlineStr">
        <is>
          <t>ACTIVO</t>
        </is>
      </c>
      <c r="E61" s="22" t="n">
        <v>48</v>
      </c>
      <c r="F61" s="23">
        <f>ROUND(Intereses_Leasing_Mensual!I61 + Intereses_Residual_Mensual!I61, 2)</f>
        <v/>
      </c>
      <c r="G61" s="23">
        <f>ROUND(Intereses_Leasing_Mensual!J61 + Intereses_Residual_Mensual!J61, 2)</f>
        <v/>
      </c>
      <c r="H61" s="23">
        <f>ROUND(Intereses_Leasing_Mensual!K61 + Intereses_Residual_Mensual!K61, 2)</f>
        <v/>
      </c>
      <c r="I61" s="23">
        <f>ROUND(Intereses_Leasing_Mensual!L61 + Intereses_Residual_Mensual!L61, 2)</f>
        <v/>
      </c>
      <c r="J61" s="23">
        <f>ROUND(Intereses_Leasing_Mensual!M61 + Intereses_Residual_Mensual!M61, 2)</f>
        <v/>
      </c>
      <c r="K61" s="23">
        <f>ROUND(Intereses_Leasing_Mensual!N61 + Intereses_Residual_Mensual!N61, 2)</f>
        <v/>
      </c>
      <c r="L61" s="23">
        <f>ROUND(Intereses_Leasing_Mensual!O61 + Intereses_Residual_Mensual!O61, 2)</f>
        <v/>
      </c>
      <c r="M61" s="23">
        <f>ROUND(Intereses_Leasing_Mensual!P61 + Intereses_Residual_Mensual!P61, 2)</f>
        <v/>
      </c>
      <c r="N61" s="23">
        <f>ROUND(Intereses_Leasing_Mensual!Q61 + Intereses_Residual_Mensual!Q61, 2)</f>
        <v/>
      </c>
      <c r="O61" s="23">
        <f>ROUND(Intereses_Leasing_Mensual!R61 + Intereses_Residual_Mensual!R61, 2)</f>
        <v/>
      </c>
      <c r="P61" s="23">
        <f>ROUND(Intereses_Leasing_Mensual!S61 + Intereses_Residual_Mensual!S61, 2)</f>
        <v/>
      </c>
      <c r="Q61" s="23">
        <f>ROUND(Intereses_Leasing_Mensual!T61 + Intereses_Residual_Mensual!T61, 2)</f>
        <v/>
      </c>
      <c r="R61" s="23">
        <f>SUM(F61:Q61)</f>
        <v/>
      </c>
    </row>
    <row r="62">
      <c r="A62" s="26" t="inlineStr">
        <is>
          <t>0605-0001</t>
        </is>
      </c>
      <c r="B62" s="27" t="inlineStr">
        <is>
          <t>Nato Arquitectos Sa de Cv</t>
        </is>
      </c>
      <c r="C62" s="27" t="inlineStr">
        <is>
          <t>Compass High Altitude</t>
        </is>
      </c>
      <c r="D62" s="26" t="inlineStr">
        <is>
          <t>ACTIVO</t>
        </is>
      </c>
      <c r="E62" s="28" t="n">
        <v>48</v>
      </c>
      <c r="F62" s="29">
        <f>ROUND(Intereses_Leasing_Mensual!I62 + Intereses_Residual_Mensual!I62, 2)</f>
        <v/>
      </c>
      <c r="G62" s="29">
        <f>ROUND(Intereses_Leasing_Mensual!J62 + Intereses_Residual_Mensual!J62, 2)</f>
        <v/>
      </c>
      <c r="H62" s="29">
        <f>ROUND(Intereses_Leasing_Mensual!K62 + Intereses_Residual_Mensual!K62, 2)</f>
        <v/>
      </c>
      <c r="I62" s="29">
        <f>ROUND(Intereses_Leasing_Mensual!L62 + Intereses_Residual_Mensual!L62, 2)</f>
        <v/>
      </c>
      <c r="J62" s="29">
        <f>ROUND(Intereses_Leasing_Mensual!M62 + Intereses_Residual_Mensual!M62, 2)</f>
        <v/>
      </c>
      <c r="K62" s="29">
        <f>ROUND(Intereses_Leasing_Mensual!N62 + Intereses_Residual_Mensual!N62, 2)</f>
        <v/>
      </c>
      <c r="L62" s="29">
        <f>ROUND(Intereses_Leasing_Mensual!O62 + Intereses_Residual_Mensual!O62, 2)</f>
        <v/>
      </c>
      <c r="M62" s="29">
        <f>ROUND(Intereses_Leasing_Mensual!P62 + Intereses_Residual_Mensual!P62, 2)</f>
        <v/>
      </c>
      <c r="N62" s="29">
        <f>ROUND(Intereses_Leasing_Mensual!Q62 + Intereses_Residual_Mensual!Q62, 2)</f>
        <v/>
      </c>
      <c r="O62" s="29">
        <f>ROUND(Intereses_Leasing_Mensual!R62 + Intereses_Residual_Mensual!R62, 2)</f>
        <v/>
      </c>
      <c r="P62" s="29">
        <f>ROUND(Intereses_Leasing_Mensual!S62 + Intereses_Residual_Mensual!S62, 2)</f>
        <v/>
      </c>
      <c r="Q62" s="29">
        <f>ROUND(Intereses_Leasing_Mensual!T62 + Intereses_Residual_Mensual!T62, 2)</f>
        <v/>
      </c>
      <c r="R62" s="29">
        <f>SUM(F62:Q62)</f>
        <v/>
      </c>
    </row>
    <row r="63">
      <c r="A63" s="20" t="inlineStr">
        <is>
          <t>0605-0002</t>
        </is>
      </c>
      <c r="B63" s="21" t="inlineStr">
        <is>
          <t>Nato Arquitectos Sa de Cv</t>
        </is>
      </c>
      <c r="C63" s="21" t="inlineStr">
        <is>
          <t>Hilux Diesel</t>
        </is>
      </c>
      <c r="D63" s="20" t="inlineStr">
        <is>
          <t>ACTIVO</t>
        </is>
      </c>
      <c r="E63" s="22" t="n">
        <v>24</v>
      </c>
      <c r="F63" s="23">
        <f>ROUND(Intereses_Leasing_Mensual!I63 + Intereses_Residual_Mensual!I63, 2)</f>
        <v/>
      </c>
      <c r="G63" s="23">
        <f>ROUND(Intereses_Leasing_Mensual!J63 + Intereses_Residual_Mensual!J63, 2)</f>
        <v/>
      </c>
      <c r="H63" s="23">
        <f>ROUND(Intereses_Leasing_Mensual!K63 + Intereses_Residual_Mensual!K63, 2)</f>
        <v/>
      </c>
      <c r="I63" s="23">
        <f>ROUND(Intereses_Leasing_Mensual!L63 + Intereses_Residual_Mensual!L63, 2)</f>
        <v/>
      </c>
      <c r="J63" s="23">
        <f>ROUND(Intereses_Leasing_Mensual!M63 + Intereses_Residual_Mensual!M63, 2)</f>
        <v/>
      </c>
      <c r="K63" s="23">
        <f>ROUND(Intereses_Leasing_Mensual!N63 + Intereses_Residual_Mensual!N63, 2)</f>
        <v/>
      </c>
      <c r="L63" s="23">
        <f>ROUND(Intereses_Leasing_Mensual!O63 + Intereses_Residual_Mensual!O63, 2)</f>
        <v/>
      </c>
      <c r="M63" s="23">
        <f>ROUND(Intereses_Leasing_Mensual!P63 + Intereses_Residual_Mensual!P63, 2)</f>
        <v/>
      </c>
      <c r="N63" s="23">
        <f>ROUND(Intereses_Leasing_Mensual!Q63 + Intereses_Residual_Mensual!Q63, 2)</f>
        <v/>
      </c>
      <c r="O63" s="23">
        <f>ROUND(Intereses_Leasing_Mensual!R63 + Intereses_Residual_Mensual!R63, 2)</f>
        <v/>
      </c>
      <c r="P63" s="23">
        <f>ROUND(Intereses_Leasing_Mensual!S63 + Intereses_Residual_Mensual!S63, 2)</f>
        <v/>
      </c>
      <c r="Q63" s="23">
        <f>ROUND(Intereses_Leasing_Mensual!T63 + Intereses_Residual_Mensual!T63, 2)</f>
        <v/>
      </c>
      <c r="R63" s="23">
        <f>SUM(F63:Q63)</f>
        <v/>
      </c>
    </row>
    <row r="64">
      <c r="A64" s="26" t="inlineStr">
        <is>
          <t>0605-0003</t>
        </is>
      </c>
      <c r="B64" s="27" t="inlineStr">
        <is>
          <t>Nato Arquitectos Sa de Cv</t>
        </is>
      </c>
      <c r="C64" s="27" t="inlineStr">
        <is>
          <t>Ranger Crew Cab 4X4 XLT</t>
        </is>
      </c>
      <c r="D64" s="26" t="inlineStr">
        <is>
          <t>ACTIVO</t>
        </is>
      </c>
      <c r="E64" s="28" t="n">
        <v>24</v>
      </c>
      <c r="F64" s="29">
        <f>ROUND(Intereses_Leasing_Mensual!I64 + Intereses_Residual_Mensual!I64, 2)</f>
        <v/>
      </c>
      <c r="G64" s="29">
        <f>ROUND(Intereses_Leasing_Mensual!J64 + Intereses_Residual_Mensual!J64, 2)</f>
        <v/>
      </c>
      <c r="H64" s="29">
        <f>ROUND(Intereses_Leasing_Mensual!K64 + Intereses_Residual_Mensual!K64, 2)</f>
        <v/>
      </c>
      <c r="I64" s="29">
        <f>ROUND(Intereses_Leasing_Mensual!L64 + Intereses_Residual_Mensual!L64, 2)</f>
        <v/>
      </c>
      <c r="J64" s="29">
        <f>ROUND(Intereses_Leasing_Mensual!M64 + Intereses_Residual_Mensual!M64, 2)</f>
        <v/>
      </c>
      <c r="K64" s="29">
        <f>ROUND(Intereses_Leasing_Mensual!N64 + Intereses_Residual_Mensual!N64, 2)</f>
        <v/>
      </c>
      <c r="L64" s="29">
        <f>ROUND(Intereses_Leasing_Mensual!O64 + Intereses_Residual_Mensual!O64, 2)</f>
        <v/>
      </c>
      <c r="M64" s="29">
        <f>ROUND(Intereses_Leasing_Mensual!P64 + Intereses_Residual_Mensual!P64, 2)</f>
        <v/>
      </c>
      <c r="N64" s="29">
        <f>ROUND(Intereses_Leasing_Mensual!Q64 + Intereses_Residual_Mensual!Q64, 2)</f>
        <v/>
      </c>
      <c r="O64" s="29">
        <f>ROUND(Intereses_Leasing_Mensual!R64 + Intereses_Residual_Mensual!R64, 2)</f>
        <v/>
      </c>
      <c r="P64" s="29">
        <f>ROUND(Intereses_Leasing_Mensual!S64 + Intereses_Residual_Mensual!S64, 2)</f>
        <v/>
      </c>
      <c r="Q64" s="29">
        <f>ROUND(Intereses_Leasing_Mensual!T64 + Intereses_Residual_Mensual!T64, 2)</f>
        <v/>
      </c>
      <c r="R64" s="29">
        <f>SUM(F64:Q64)</f>
        <v/>
      </c>
    </row>
    <row r="65">
      <c r="A65" s="20" t="inlineStr">
        <is>
          <t>0605-0004</t>
        </is>
      </c>
      <c r="B65" s="21" t="inlineStr">
        <is>
          <t>Nato Arquitectos Sa de Cv</t>
        </is>
      </c>
      <c r="C65" s="21" t="inlineStr">
        <is>
          <t>COLORADO DOBLE CABINA PAQ. "C"</t>
        </is>
      </c>
      <c r="D65" s="20" t="inlineStr">
        <is>
          <t>ACTIVO</t>
        </is>
      </c>
      <c r="E65" s="22" t="n">
        <v>24</v>
      </c>
      <c r="F65" s="23">
        <f>ROUND(Intereses_Leasing_Mensual!I65 + Intereses_Residual_Mensual!I65, 2)</f>
        <v/>
      </c>
      <c r="G65" s="23">
        <f>ROUND(Intereses_Leasing_Mensual!J65 + Intereses_Residual_Mensual!J65, 2)</f>
        <v/>
      </c>
      <c r="H65" s="23">
        <f>ROUND(Intereses_Leasing_Mensual!K65 + Intereses_Residual_Mensual!K65, 2)</f>
        <v/>
      </c>
      <c r="I65" s="23">
        <f>ROUND(Intereses_Leasing_Mensual!L65 + Intereses_Residual_Mensual!L65, 2)</f>
        <v/>
      </c>
      <c r="J65" s="23">
        <f>ROUND(Intereses_Leasing_Mensual!M65 + Intereses_Residual_Mensual!M65, 2)</f>
        <v/>
      </c>
      <c r="K65" s="23">
        <f>ROUND(Intereses_Leasing_Mensual!N65 + Intereses_Residual_Mensual!N65, 2)</f>
        <v/>
      </c>
      <c r="L65" s="23">
        <f>ROUND(Intereses_Leasing_Mensual!O65 + Intereses_Residual_Mensual!O65, 2)</f>
        <v/>
      </c>
      <c r="M65" s="23">
        <f>ROUND(Intereses_Leasing_Mensual!P65 + Intereses_Residual_Mensual!P65, 2)</f>
        <v/>
      </c>
      <c r="N65" s="23">
        <f>ROUND(Intereses_Leasing_Mensual!Q65 + Intereses_Residual_Mensual!Q65, 2)</f>
        <v/>
      </c>
      <c r="O65" s="23">
        <f>ROUND(Intereses_Leasing_Mensual!R65 + Intereses_Residual_Mensual!R65, 2)</f>
        <v/>
      </c>
      <c r="P65" s="23">
        <f>ROUND(Intereses_Leasing_Mensual!S65 + Intereses_Residual_Mensual!S65, 2)</f>
        <v/>
      </c>
      <c r="Q65" s="23">
        <f>ROUND(Intereses_Leasing_Mensual!T65 + Intereses_Residual_Mensual!T65, 2)</f>
        <v/>
      </c>
      <c r="R65" s="23">
        <f>SUM(F65:Q65)</f>
        <v/>
      </c>
    </row>
    <row r="66">
      <c r="A66" s="26" t="inlineStr">
        <is>
          <t>0606-0002</t>
        </is>
      </c>
      <c r="B66" s="27" t="inlineStr">
        <is>
          <t>Mayoreo Automotriz ML S de Rl de CV</t>
        </is>
      </c>
      <c r="C66" s="27" t="inlineStr">
        <is>
          <t>Grand Cherokee 4xE</t>
        </is>
      </c>
      <c r="D66" s="26" t="inlineStr">
        <is>
          <t>ACTIVO</t>
        </is>
      </c>
      <c r="E66" s="28" t="n">
        <v>12</v>
      </c>
      <c r="F66" s="29" t="inlineStr"/>
      <c r="G66" s="29" t="inlineStr"/>
      <c r="H66" s="29">
        <f>ROUND(Intereses_Leasing_Mensual!K66 + Intereses_Residual_Mensual!K66, 2)</f>
        <v/>
      </c>
      <c r="I66" s="29">
        <f>ROUND(Intereses_Leasing_Mensual!L66 + Intereses_Residual_Mensual!L66, 2)</f>
        <v/>
      </c>
      <c r="J66" s="29">
        <f>ROUND(Intereses_Leasing_Mensual!M66 + Intereses_Residual_Mensual!M66, 2)</f>
        <v/>
      </c>
      <c r="K66" s="29">
        <f>ROUND(Intereses_Leasing_Mensual!N66 + Intereses_Residual_Mensual!N66, 2)</f>
        <v/>
      </c>
      <c r="L66" s="29">
        <f>ROUND(Intereses_Leasing_Mensual!O66 + Intereses_Residual_Mensual!O66, 2)</f>
        <v/>
      </c>
      <c r="M66" s="29">
        <f>ROUND(Intereses_Leasing_Mensual!P66 + Intereses_Residual_Mensual!P66, 2)</f>
        <v/>
      </c>
      <c r="N66" s="29">
        <f>ROUND(Intereses_Leasing_Mensual!Q66 + Intereses_Residual_Mensual!Q66, 2)</f>
        <v/>
      </c>
      <c r="O66" s="29">
        <f>ROUND(Intereses_Leasing_Mensual!R66 + Intereses_Residual_Mensual!R66, 2)</f>
        <v/>
      </c>
      <c r="P66" s="29">
        <f>ROUND(Intereses_Leasing_Mensual!S66 + Intereses_Residual_Mensual!S66, 2)</f>
        <v/>
      </c>
      <c r="Q66" s="29">
        <f>ROUND(Intereses_Leasing_Mensual!T66 + Intereses_Residual_Mensual!T66, 2)</f>
        <v/>
      </c>
      <c r="R66" s="29">
        <f>SUM(F66:Q66)</f>
        <v/>
      </c>
    </row>
    <row r="67">
      <c r="A67" s="20" t="inlineStr">
        <is>
          <t>0607-0004</t>
        </is>
      </c>
      <c r="B67" s="21" t="inlineStr">
        <is>
          <t>Jose Guadalupe Dueñas Lomeli</t>
        </is>
      </c>
      <c r="C67" s="21" t="inlineStr">
        <is>
          <t>Rifter Allure Pack</t>
        </is>
      </c>
      <c r="D67" s="20" t="inlineStr">
        <is>
          <t>ACTIVO</t>
        </is>
      </c>
      <c r="E67" s="22" t="n">
        <v>48</v>
      </c>
      <c r="F67" s="23">
        <f>ROUND(Intereses_Leasing_Mensual!I67 + Intereses_Residual_Mensual!I67, 2)</f>
        <v/>
      </c>
      <c r="G67" s="23">
        <f>ROUND(Intereses_Leasing_Mensual!J67 + Intereses_Residual_Mensual!J67, 2)</f>
        <v/>
      </c>
      <c r="H67" s="23">
        <f>ROUND(Intereses_Leasing_Mensual!K67 + Intereses_Residual_Mensual!K67, 2)</f>
        <v/>
      </c>
      <c r="I67" s="23">
        <f>ROUND(Intereses_Leasing_Mensual!L67 + Intereses_Residual_Mensual!L67, 2)</f>
        <v/>
      </c>
      <c r="J67" s="23">
        <f>ROUND(Intereses_Leasing_Mensual!M67 + Intereses_Residual_Mensual!M67, 2)</f>
        <v/>
      </c>
      <c r="K67" s="23">
        <f>ROUND(Intereses_Leasing_Mensual!N67 + Intereses_Residual_Mensual!N67, 2)</f>
        <v/>
      </c>
      <c r="L67" s="23">
        <f>ROUND(Intereses_Leasing_Mensual!O67 + Intereses_Residual_Mensual!O67, 2)</f>
        <v/>
      </c>
      <c r="M67" s="23">
        <f>ROUND(Intereses_Leasing_Mensual!P67 + Intereses_Residual_Mensual!P67, 2)</f>
        <v/>
      </c>
      <c r="N67" s="23">
        <f>ROUND(Intereses_Leasing_Mensual!Q67 + Intereses_Residual_Mensual!Q67, 2)</f>
        <v/>
      </c>
      <c r="O67" s="23">
        <f>ROUND(Intereses_Leasing_Mensual!R67 + Intereses_Residual_Mensual!R67, 2)</f>
        <v/>
      </c>
      <c r="P67" s="23">
        <f>ROUND(Intereses_Leasing_Mensual!S67 + Intereses_Residual_Mensual!S67, 2)</f>
        <v/>
      </c>
      <c r="Q67" s="23">
        <f>ROUND(Intereses_Leasing_Mensual!T67 + Intereses_Residual_Mensual!T67, 2)</f>
        <v/>
      </c>
      <c r="R67" s="23">
        <f>SUM(F67:Q67)</f>
        <v/>
      </c>
    </row>
    <row r="68">
      <c r="A68" s="26" t="inlineStr">
        <is>
          <t>0607-0005</t>
        </is>
      </c>
      <c r="B68" s="27" t="inlineStr">
        <is>
          <t>Jose Guadalupe Dueñas Lomeli</t>
        </is>
      </c>
      <c r="C68" s="27" t="inlineStr">
        <is>
          <t>Durango Hellcat SRT</t>
        </is>
      </c>
      <c r="D68" s="26" t="inlineStr">
        <is>
          <t>ACTIVO</t>
        </is>
      </c>
      <c r="E68" s="28" t="n">
        <v>36</v>
      </c>
      <c r="F68" s="29" t="inlineStr"/>
      <c r="G68" s="29">
        <f>ROUND(Intereses_Leasing_Mensual!J68 + Intereses_Residual_Mensual!J68, 2)</f>
        <v/>
      </c>
      <c r="H68" s="29">
        <f>ROUND(Intereses_Leasing_Mensual!K68 + Intereses_Residual_Mensual!K68, 2)</f>
        <v/>
      </c>
      <c r="I68" s="29">
        <f>ROUND(Intereses_Leasing_Mensual!L68 + Intereses_Residual_Mensual!L68, 2)</f>
        <v/>
      </c>
      <c r="J68" s="29">
        <f>ROUND(Intereses_Leasing_Mensual!M68 + Intereses_Residual_Mensual!M68, 2)</f>
        <v/>
      </c>
      <c r="K68" s="29">
        <f>ROUND(Intereses_Leasing_Mensual!N68 + Intereses_Residual_Mensual!N68, 2)</f>
        <v/>
      </c>
      <c r="L68" s="29">
        <f>ROUND(Intereses_Leasing_Mensual!O68 + Intereses_Residual_Mensual!O68, 2)</f>
        <v/>
      </c>
      <c r="M68" s="29">
        <f>ROUND(Intereses_Leasing_Mensual!P68 + Intereses_Residual_Mensual!P68, 2)</f>
        <v/>
      </c>
      <c r="N68" s="29">
        <f>ROUND(Intereses_Leasing_Mensual!Q68 + Intereses_Residual_Mensual!Q68, 2)</f>
        <v/>
      </c>
      <c r="O68" s="29">
        <f>ROUND(Intereses_Leasing_Mensual!R68 + Intereses_Residual_Mensual!R68, 2)</f>
        <v/>
      </c>
      <c r="P68" s="29">
        <f>ROUND(Intereses_Leasing_Mensual!S68 + Intereses_Residual_Mensual!S68, 2)</f>
        <v/>
      </c>
      <c r="Q68" s="29">
        <f>ROUND(Intereses_Leasing_Mensual!T68 + Intereses_Residual_Mensual!T68, 2)</f>
        <v/>
      </c>
      <c r="R68" s="29">
        <f>SUM(F68:Q68)</f>
        <v/>
      </c>
    </row>
    <row r="69">
      <c r="A69" s="20" t="inlineStr">
        <is>
          <t>0610-0003</t>
        </is>
      </c>
      <c r="B69" s="21" t="inlineStr">
        <is>
          <t>Minelaza</t>
        </is>
      </c>
      <c r="C69" s="21" t="inlineStr">
        <is>
          <t>Song Plus</t>
        </is>
      </c>
      <c r="D69" s="20" t="inlineStr">
        <is>
          <t>ACTIVO</t>
        </is>
      </c>
      <c r="E69" s="22" t="n">
        <v>36</v>
      </c>
      <c r="F69" s="23" t="inlineStr"/>
      <c r="G69" s="23" t="inlineStr"/>
      <c r="H69" s="23" t="inlineStr"/>
      <c r="I69" s="23">
        <f>ROUND(Intereses_Leasing_Mensual!L69 + Intereses_Residual_Mensual!L69, 2)</f>
        <v/>
      </c>
      <c r="J69" s="23">
        <f>ROUND(Intereses_Leasing_Mensual!M69 + Intereses_Residual_Mensual!M69, 2)</f>
        <v/>
      </c>
      <c r="K69" s="23">
        <f>ROUND(Intereses_Leasing_Mensual!N69 + Intereses_Residual_Mensual!N69, 2)</f>
        <v/>
      </c>
      <c r="L69" s="23">
        <f>ROUND(Intereses_Leasing_Mensual!O69 + Intereses_Residual_Mensual!O69, 2)</f>
        <v/>
      </c>
      <c r="M69" s="23">
        <f>ROUND(Intereses_Leasing_Mensual!P69 + Intereses_Residual_Mensual!P69, 2)</f>
        <v/>
      </c>
      <c r="N69" s="23">
        <f>ROUND(Intereses_Leasing_Mensual!Q69 + Intereses_Residual_Mensual!Q69, 2)</f>
        <v/>
      </c>
      <c r="O69" s="23">
        <f>ROUND(Intereses_Leasing_Mensual!R69 + Intereses_Residual_Mensual!R69, 2)</f>
        <v/>
      </c>
      <c r="P69" s="23">
        <f>ROUND(Intereses_Leasing_Mensual!S69 + Intereses_Residual_Mensual!S69, 2)</f>
        <v/>
      </c>
      <c r="Q69" s="23">
        <f>ROUND(Intereses_Leasing_Mensual!T69 + Intereses_Residual_Mensual!T69, 2)</f>
        <v/>
      </c>
      <c r="R69" s="23">
        <f>SUM(F69:Q69)</f>
        <v/>
      </c>
    </row>
    <row r="70">
      <c r="A70" s="26" t="inlineStr">
        <is>
          <t>0612-0002</t>
        </is>
      </c>
      <c r="B70" s="27" t="inlineStr">
        <is>
          <t>Distribuidora Lopez Moctezuma Sa de Cv</t>
        </is>
      </c>
      <c r="C70" s="27" t="inlineStr">
        <is>
          <t>Ram 700 Tradesman</t>
        </is>
      </c>
      <c r="D70" s="26" t="inlineStr">
        <is>
          <t>ACTIVO</t>
        </is>
      </c>
      <c r="E70" s="28" t="n">
        <v>36</v>
      </c>
      <c r="F70" s="29">
        <f>ROUND(Intereses_Leasing_Mensual!I70 + Intereses_Residual_Mensual!I70, 2)</f>
        <v/>
      </c>
      <c r="G70" s="29">
        <f>ROUND(Intereses_Leasing_Mensual!J70 + Intereses_Residual_Mensual!J70, 2)</f>
        <v/>
      </c>
      <c r="H70" s="29">
        <f>ROUND(Intereses_Leasing_Mensual!K70 + Intereses_Residual_Mensual!K70, 2)</f>
        <v/>
      </c>
      <c r="I70" s="29">
        <f>ROUND(Intereses_Leasing_Mensual!L70 + Intereses_Residual_Mensual!L70, 2)</f>
        <v/>
      </c>
      <c r="J70" s="29">
        <f>ROUND(Intereses_Leasing_Mensual!M70 + Intereses_Residual_Mensual!M70, 2)</f>
        <v/>
      </c>
      <c r="K70" s="29">
        <f>ROUND(Intereses_Leasing_Mensual!N70 + Intereses_Residual_Mensual!N70, 2)</f>
        <v/>
      </c>
      <c r="L70" s="29">
        <f>ROUND(Intereses_Leasing_Mensual!O70 + Intereses_Residual_Mensual!O70, 2)</f>
        <v/>
      </c>
      <c r="M70" s="29">
        <f>ROUND(Intereses_Leasing_Mensual!P70 + Intereses_Residual_Mensual!P70, 2)</f>
        <v/>
      </c>
      <c r="N70" s="29">
        <f>ROUND(Intereses_Leasing_Mensual!Q70 + Intereses_Residual_Mensual!Q70, 2)</f>
        <v/>
      </c>
      <c r="O70" s="29">
        <f>ROUND(Intereses_Leasing_Mensual!R70 + Intereses_Residual_Mensual!R70, 2)</f>
        <v/>
      </c>
      <c r="P70" s="29">
        <f>ROUND(Intereses_Leasing_Mensual!S70 + Intereses_Residual_Mensual!S70, 2)</f>
        <v/>
      </c>
      <c r="Q70" s="29">
        <f>ROUND(Intereses_Leasing_Mensual!T70 + Intereses_Residual_Mensual!T70, 2)</f>
        <v/>
      </c>
      <c r="R70" s="29">
        <f>SUM(F70:Q70)</f>
        <v/>
      </c>
    </row>
    <row r="71">
      <c r="A71" s="20" t="inlineStr">
        <is>
          <t>0612-0003</t>
        </is>
      </c>
      <c r="B71" s="21" t="inlineStr">
        <is>
          <t>Distribuidora Lopez Moctezuma Sa de Cv</t>
        </is>
      </c>
      <c r="C71" s="21" t="inlineStr">
        <is>
          <t>Mitsubishi Xpander 2026</t>
        </is>
      </c>
      <c r="D71" s="20" t="inlineStr">
        <is>
          <t>ACTIVO</t>
        </is>
      </c>
      <c r="E71" s="22" t="n">
        <v>48</v>
      </c>
      <c r="F71" s="23" t="inlineStr"/>
      <c r="G71" s="23" t="inlineStr"/>
      <c r="H71" s="23" t="inlineStr"/>
      <c r="I71" s="23" t="inlineStr"/>
      <c r="J71" s="23" t="inlineStr"/>
      <c r="K71" s="23" t="inlineStr"/>
      <c r="L71" s="23">
        <f>ROUND(Intereses_Leasing_Mensual!O71 + Intereses_Residual_Mensual!O71, 2)</f>
        <v/>
      </c>
      <c r="M71" s="23">
        <f>ROUND(Intereses_Leasing_Mensual!P71 + Intereses_Residual_Mensual!P71, 2)</f>
        <v/>
      </c>
      <c r="N71" s="23">
        <f>ROUND(Intereses_Leasing_Mensual!Q71 + Intereses_Residual_Mensual!Q71, 2)</f>
        <v/>
      </c>
      <c r="O71" s="23">
        <f>ROUND(Intereses_Leasing_Mensual!R71 + Intereses_Residual_Mensual!R71, 2)</f>
        <v/>
      </c>
      <c r="P71" s="23">
        <f>ROUND(Intereses_Leasing_Mensual!S71 + Intereses_Residual_Mensual!S71, 2)</f>
        <v/>
      </c>
      <c r="Q71" s="23">
        <f>ROUND(Intereses_Leasing_Mensual!T71 + Intereses_Residual_Mensual!T71, 2)</f>
        <v/>
      </c>
      <c r="R71" s="23">
        <f>SUM(F71:Q71)</f>
        <v/>
      </c>
    </row>
    <row r="72">
      <c r="A72" s="26" t="inlineStr">
        <is>
          <t>0616-0002</t>
        </is>
      </c>
      <c r="B72" s="27" t="inlineStr">
        <is>
          <t>Commerce and Technology Connection Sas de Cv</t>
        </is>
      </c>
      <c r="C72" s="27" t="inlineStr">
        <is>
          <t>RAM 700 BIG HORN</t>
        </is>
      </c>
      <c r="D72" s="26" t="inlineStr">
        <is>
          <t>ACTIVO</t>
        </is>
      </c>
      <c r="E72" s="28" t="n">
        <v>36</v>
      </c>
      <c r="F72" s="29">
        <f>ROUND(Intereses_Leasing_Mensual!I72 + Intereses_Residual_Mensual!I72, 2)</f>
        <v/>
      </c>
      <c r="G72" s="29">
        <f>ROUND(Intereses_Leasing_Mensual!J72 + Intereses_Residual_Mensual!J72, 2)</f>
        <v/>
      </c>
      <c r="H72" s="29">
        <f>ROUND(Intereses_Leasing_Mensual!K72 + Intereses_Residual_Mensual!K72, 2)</f>
        <v/>
      </c>
      <c r="I72" s="29">
        <f>ROUND(Intereses_Leasing_Mensual!L72 + Intereses_Residual_Mensual!L72, 2)</f>
        <v/>
      </c>
      <c r="J72" s="29">
        <f>ROUND(Intereses_Leasing_Mensual!M72 + Intereses_Residual_Mensual!M72, 2)</f>
        <v/>
      </c>
      <c r="K72" s="29">
        <f>ROUND(Intereses_Leasing_Mensual!N72 + Intereses_Residual_Mensual!N72, 2)</f>
        <v/>
      </c>
      <c r="L72" s="29">
        <f>ROUND(Intereses_Leasing_Mensual!O72 + Intereses_Residual_Mensual!O72, 2)</f>
        <v/>
      </c>
      <c r="M72" s="29">
        <f>ROUND(Intereses_Leasing_Mensual!P72 + Intereses_Residual_Mensual!P72, 2)</f>
        <v/>
      </c>
      <c r="N72" s="29">
        <f>ROUND(Intereses_Leasing_Mensual!Q72 + Intereses_Residual_Mensual!Q72, 2)</f>
        <v/>
      </c>
      <c r="O72" s="29">
        <f>ROUND(Intereses_Leasing_Mensual!R72 + Intereses_Residual_Mensual!R72, 2)</f>
        <v/>
      </c>
      <c r="P72" s="29">
        <f>ROUND(Intereses_Leasing_Mensual!S72 + Intereses_Residual_Mensual!S72, 2)</f>
        <v/>
      </c>
      <c r="Q72" s="29">
        <f>ROUND(Intereses_Leasing_Mensual!T72 + Intereses_Residual_Mensual!T72, 2)</f>
        <v/>
      </c>
      <c r="R72" s="29">
        <f>SUM(F72:Q72)</f>
        <v/>
      </c>
    </row>
    <row r="73">
      <c r="A73" s="20" t="inlineStr">
        <is>
          <t>0616-0003</t>
        </is>
      </c>
      <c r="B73" s="21" t="inlineStr">
        <is>
          <t>Commerce and Technology Connection Sas de Cv</t>
        </is>
      </c>
      <c r="C73" s="21" t="inlineStr">
        <is>
          <t>FASTBACK</t>
        </is>
      </c>
      <c r="D73" s="20" t="inlineStr">
        <is>
          <t>ACTIVO</t>
        </is>
      </c>
      <c r="E73" s="22" t="n">
        <v>36</v>
      </c>
      <c r="F73" s="23">
        <f>ROUND(Intereses_Leasing_Mensual!I73 + Intereses_Residual_Mensual!I73, 2)</f>
        <v/>
      </c>
      <c r="G73" s="23">
        <f>ROUND(Intereses_Leasing_Mensual!J73 + Intereses_Residual_Mensual!J73, 2)</f>
        <v/>
      </c>
      <c r="H73" s="23">
        <f>ROUND(Intereses_Leasing_Mensual!K73 + Intereses_Residual_Mensual!K73, 2)</f>
        <v/>
      </c>
      <c r="I73" s="23">
        <f>ROUND(Intereses_Leasing_Mensual!L73 + Intereses_Residual_Mensual!L73, 2)</f>
        <v/>
      </c>
      <c r="J73" s="23">
        <f>ROUND(Intereses_Leasing_Mensual!M73 + Intereses_Residual_Mensual!M73, 2)</f>
        <v/>
      </c>
      <c r="K73" s="23">
        <f>ROUND(Intereses_Leasing_Mensual!N73 + Intereses_Residual_Mensual!N73, 2)</f>
        <v/>
      </c>
      <c r="L73" s="23">
        <f>ROUND(Intereses_Leasing_Mensual!O73 + Intereses_Residual_Mensual!O73, 2)</f>
        <v/>
      </c>
      <c r="M73" s="23">
        <f>ROUND(Intereses_Leasing_Mensual!P73 + Intereses_Residual_Mensual!P73, 2)</f>
        <v/>
      </c>
      <c r="N73" s="23">
        <f>ROUND(Intereses_Leasing_Mensual!Q73 + Intereses_Residual_Mensual!Q73, 2)</f>
        <v/>
      </c>
      <c r="O73" s="23">
        <f>ROUND(Intereses_Leasing_Mensual!R73 + Intereses_Residual_Mensual!R73, 2)</f>
        <v/>
      </c>
      <c r="P73" s="23">
        <f>ROUND(Intereses_Leasing_Mensual!S73 + Intereses_Residual_Mensual!S73, 2)</f>
        <v/>
      </c>
      <c r="Q73" s="23">
        <f>ROUND(Intereses_Leasing_Mensual!T73 + Intereses_Residual_Mensual!T73, 2)</f>
        <v/>
      </c>
      <c r="R73" s="23">
        <f>SUM(F73:Q73)</f>
        <v/>
      </c>
    </row>
    <row r="74">
      <c r="A74" s="26" t="inlineStr">
        <is>
          <t>0616-0004</t>
        </is>
      </c>
      <c r="B74" s="27" t="inlineStr">
        <is>
          <t>Commerce and Technology Connections Sas de Cv</t>
        </is>
      </c>
      <c r="C74" s="27" t="inlineStr">
        <is>
          <t>Argo</t>
        </is>
      </c>
      <c r="D74" s="26" t="inlineStr">
        <is>
          <t>ACTIVO</t>
        </is>
      </c>
      <c r="E74" s="28" t="n">
        <v>36</v>
      </c>
      <c r="F74" s="29">
        <f>ROUND(Intereses_Leasing_Mensual!I74 + Intereses_Residual_Mensual!I74, 2)</f>
        <v/>
      </c>
      <c r="G74" s="29">
        <f>ROUND(Intereses_Leasing_Mensual!J74 + Intereses_Residual_Mensual!J74, 2)</f>
        <v/>
      </c>
      <c r="H74" s="29">
        <f>ROUND(Intereses_Leasing_Mensual!K74 + Intereses_Residual_Mensual!K74, 2)</f>
        <v/>
      </c>
      <c r="I74" s="29">
        <f>ROUND(Intereses_Leasing_Mensual!L74 + Intereses_Residual_Mensual!L74, 2)</f>
        <v/>
      </c>
      <c r="J74" s="29">
        <f>ROUND(Intereses_Leasing_Mensual!M74 + Intereses_Residual_Mensual!M74, 2)</f>
        <v/>
      </c>
      <c r="K74" s="29">
        <f>ROUND(Intereses_Leasing_Mensual!N74 + Intereses_Residual_Mensual!N74, 2)</f>
        <v/>
      </c>
      <c r="L74" s="29">
        <f>ROUND(Intereses_Leasing_Mensual!O74 + Intereses_Residual_Mensual!O74, 2)</f>
        <v/>
      </c>
      <c r="M74" s="29">
        <f>ROUND(Intereses_Leasing_Mensual!P74 + Intereses_Residual_Mensual!P74, 2)</f>
        <v/>
      </c>
      <c r="N74" s="29">
        <f>ROUND(Intereses_Leasing_Mensual!Q74 + Intereses_Residual_Mensual!Q74, 2)</f>
        <v/>
      </c>
      <c r="O74" s="29">
        <f>ROUND(Intereses_Leasing_Mensual!R74 + Intereses_Residual_Mensual!R74, 2)</f>
        <v/>
      </c>
      <c r="P74" s="29">
        <f>ROUND(Intereses_Leasing_Mensual!S74 + Intereses_Residual_Mensual!S74, 2)</f>
        <v/>
      </c>
      <c r="Q74" s="29">
        <f>ROUND(Intereses_Leasing_Mensual!T74 + Intereses_Residual_Mensual!T74, 2)</f>
        <v/>
      </c>
      <c r="R74" s="29">
        <f>SUM(F74:Q74)</f>
        <v/>
      </c>
    </row>
    <row r="75">
      <c r="A75" s="20" t="inlineStr">
        <is>
          <t>0616-0005</t>
        </is>
      </c>
      <c r="B75" s="21" t="inlineStr">
        <is>
          <t>Commerce and Technology Connection Sas de Cv</t>
        </is>
      </c>
      <c r="C75" s="21" t="inlineStr">
        <is>
          <t>Journey GT</t>
        </is>
      </c>
      <c r="D75" s="20" t="inlineStr">
        <is>
          <t>ACTIVO</t>
        </is>
      </c>
      <c r="E75" s="22" t="n">
        <v>36</v>
      </c>
      <c r="F75" s="23">
        <f>ROUND(Intereses_Leasing_Mensual!I75 + Intereses_Residual_Mensual!I75, 2)</f>
        <v/>
      </c>
      <c r="G75" s="23">
        <f>ROUND(Intereses_Leasing_Mensual!J75 + Intereses_Residual_Mensual!J75, 2)</f>
        <v/>
      </c>
      <c r="H75" s="23">
        <f>ROUND(Intereses_Leasing_Mensual!K75 + Intereses_Residual_Mensual!K75, 2)</f>
        <v/>
      </c>
      <c r="I75" s="23">
        <f>ROUND(Intereses_Leasing_Mensual!L75 + Intereses_Residual_Mensual!L75, 2)</f>
        <v/>
      </c>
      <c r="J75" s="23">
        <f>ROUND(Intereses_Leasing_Mensual!M75 + Intereses_Residual_Mensual!M75, 2)</f>
        <v/>
      </c>
      <c r="K75" s="23">
        <f>ROUND(Intereses_Leasing_Mensual!N75 + Intereses_Residual_Mensual!N75, 2)</f>
        <v/>
      </c>
      <c r="L75" s="23">
        <f>ROUND(Intereses_Leasing_Mensual!O75 + Intereses_Residual_Mensual!O75, 2)</f>
        <v/>
      </c>
      <c r="M75" s="23">
        <f>ROUND(Intereses_Leasing_Mensual!P75 + Intereses_Residual_Mensual!P75, 2)</f>
        <v/>
      </c>
      <c r="N75" s="23">
        <f>ROUND(Intereses_Leasing_Mensual!Q75 + Intereses_Residual_Mensual!Q75, 2)</f>
        <v/>
      </c>
      <c r="O75" s="23">
        <f>ROUND(Intereses_Leasing_Mensual!R75 + Intereses_Residual_Mensual!R75, 2)</f>
        <v/>
      </c>
      <c r="P75" s="23">
        <f>ROUND(Intereses_Leasing_Mensual!S75 + Intereses_Residual_Mensual!S75, 2)</f>
        <v/>
      </c>
      <c r="Q75" s="23">
        <f>ROUND(Intereses_Leasing_Mensual!T75 + Intereses_Residual_Mensual!T75, 2)</f>
        <v/>
      </c>
      <c r="R75" s="23">
        <f>SUM(F75:Q75)</f>
        <v/>
      </c>
    </row>
    <row r="76">
      <c r="A76" s="26" t="inlineStr">
        <is>
          <t>0618-0001</t>
        </is>
      </c>
      <c r="B76" s="27" t="inlineStr">
        <is>
          <t>Juan Pablo Rodriguez Garcia</t>
        </is>
      </c>
      <c r="C76" s="27" t="inlineStr">
        <is>
          <t>JT MOJAVE</t>
        </is>
      </c>
      <c r="D76" s="26" t="inlineStr">
        <is>
          <t>ACTIVO</t>
        </is>
      </c>
      <c r="E76" s="28" t="n">
        <v>48</v>
      </c>
      <c r="F76" s="29">
        <f>ROUND(Intereses_Leasing_Mensual!I76 + Intereses_Residual_Mensual!I76, 2)</f>
        <v/>
      </c>
      <c r="G76" s="29">
        <f>ROUND(Intereses_Leasing_Mensual!J76 + Intereses_Residual_Mensual!J76, 2)</f>
        <v/>
      </c>
      <c r="H76" s="29">
        <f>ROUND(Intereses_Leasing_Mensual!K76 + Intereses_Residual_Mensual!K76, 2)</f>
        <v/>
      </c>
      <c r="I76" s="29">
        <f>ROUND(Intereses_Leasing_Mensual!L76 + Intereses_Residual_Mensual!L76, 2)</f>
        <v/>
      </c>
      <c r="J76" s="29">
        <f>ROUND(Intereses_Leasing_Mensual!M76 + Intereses_Residual_Mensual!M76, 2)</f>
        <v/>
      </c>
      <c r="K76" s="29">
        <f>ROUND(Intereses_Leasing_Mensual!N76 + Intereses_Residual_Mensual!N76, 2)</f>
        <v/>
      </c>
      <c r="L76" s="29">
        <f>ROUND(Intereses_Leasing_Mensual!O76 + Intereses_Residual_Mensual!O76, 2)</f>
        <v/>
      </c>
      <c r="M76" s="29">
        <f>ROUND(Intereses_Leasing_Mensual!P76 + Intereses_Residual_Mensual!P76, 2)</f>
        <v/>
      </c>
      <c r="N76" s="29">
        <f>ROUND(Intereses_Leasing_Mensual!Q76 + Intereses_Residual_Mensual!Q76, 2)</f>
        <v/>
      </c>
      <c r="O76" s="29">
        <f>ROUND(Intereses_Leasing_Mensual!R76 + Intereses_Residual_Mensual!R76, 2)</f>
        <v/>
      </c>
      <c r="P76" s="29">
        <f>ROUND(Intereses_Leasing_Mensual!S76 + Intereses_Residual_Mensual!S76, 2)</f>
        <v/>
      </c>
      <c r="Q76" s="29">
        <f>ROUND(Intereses_Leasing_Mensual!T76 + Intereses_Residual_Mensual!T76, 2)</f>
        <v/>
      </c>
      <c r="R76" s="29">
        <f>SUM(F76:Q76)</f>
        <v/>
      </c>
    </row>
    <row r="77">
      <c r="A77" s="20" t="inlineStr">
        <is>
          <t>0619-0002</t>
        </is>
      </c>
      <c r="B77" s="21" t="inlineStr">
        <is>
          <t>Horacio de la Vega Flores</t>
        </is>
      </c>
      <c r="C77" s="21" t="inlineStr">
        <is>
          <t>Bronco Sport</t>
        </is>
      </c>
      <c r="D77" s="20" t="inlineStr">
        <is>
          <t>ACTIVO</t>
        </is>
      </c>
      <c r="E77" s="22" t="n">
        <v>36</v>
      </c>
      <c r="F77" s="23">
        <f>ROUND(Intereses_Leasing_Mensual!I77 + Intereses_Residual_Mensual!I77, 2)</f>
        <v/>
      </c>
      <c r="G77" s="23">
        <f>ROUND(Intereses_Leasing_Mensual!J77 + Intereses_Residual_Mensual!J77, 2)</f>
        <v/>
      </c>
      <c r="H77" s="23">
        <f>ROUND(Intereses_Leasing_Mensual!K77 + Intereses_Residual_Mensual!K77, 2)</f>
        <v/>
      </c>
      <c r="I77" s="23">
        <f>ROUND(Intereses_Leasing_Mensual!L77 + Intereses_Residual_Mensual!L77, 2)</f>
        <v/>
      </c>
      <c r="J77" s="23">
        <f>ROUND(Intereses_Leasing_Mensual!M77 + Intereses_Residual_Mensual!M77, 2)</f>
        <v/>
      </c>
      <c r="K77" s="23">
        <f>ROUND(Intereses_Leasing_Mensual!N77 + Intereses_Residual_Mensual!N77, 2)</f>
        <v/>
      </c>
      <c r="L77" s="23">
        <f>ROUND(Intereses_Leasing_Mensual!O77 + Intereses_Residual_Mensual!O77, 2)</f>
        <v/>
      </c>
      <c r="M77" s="23">
        <f>ROUND(Intereses_Leasing_Mensual!P77 + Intereses_Residual_Mensual!P77, 2)</f>
        <v/>
      </c>
      <c r="N77" s="23">
        <f>ROUND(Intereses_Leasing_Mensual!Q77 + Intereses_Residual_Mensual!Q77, 2)</f>
        <v/>
      </c>
      <c r="O77" s="23">
        <f>ROUND(Intereses_Leasing_Mensual!R77 + Intereses_Residual_Mensual!R77, 2)</f>
        <v/>
      </c>
      <c r="P77" s="23">
        <f>ROUND(Intereses_Leasing_Mensual!S77 + Intereses_Residual_Mensual!S77, 2)</f>
        <v/>
      </c>
      <c r="Q77" s="23">
        <f>ROUND(Intereses_Leasing_Mensual!T77 + Intereses_Residual_Mensual!T77, 2)</f>
        <v/>
      </c>
      <c r="R77" s="23">
        <f>SUM(F77:Q77)</f>
        <v/>
      </c>
    </row>
    <row r="78">
      <c r="A78" s="26" t="inlineStr">
        <is>
          <t>0620-0001</t>
        </is>
      </c>
      <c r="B78" s="27" t="inlineStr">
        <is>
          <t>Desarrollos Romo Srl de Cv</t>
        </is>
      </c>
      <c r="C78" s="27" t="inlineStr">
        <is>
          <t>RAM 700 BIG HORN</t>
        </is>
      </c>
      <c r="D78" s="26" t="inlineStr">
        <is>
          <t>ACTIVO</t>
        </is>
      </c>
      <c r="E78" s="28" t="n">
        <v>48</v>
      </c>
      <c r="F78" s="29">
        <f>ROUND(Intereses_Leasing_Mensual!I78 + Intereses_Residual_Mensual!I78, 2)</f>
        <v/>
      </c>
      <c r="G78" s="29">
        <f>ROUND(Intereses_Leasing_Mensual!J78 + Intereses_Residual_Mensual!J78, 2)</f>
        <v/>
      </c>
      <c r="H78" s="29">
        <f>ROUND(Intereses_Leasing_Mensual!K78 + Intereses_Residual_Mensual!K78, 2)</f>
        <v/>
      </c>
      <c r="I78" s="29">
        <f>ROUND(Intereses_Leasing_Mensual!L78 + Intereses_Residual_Mensual!L78, 2)</f>
        <v/>
      </c>
      <c r="J78" s="29">
        <f>ROUND(Intereses_Leasing_Mensual!M78 + Intereses_Residual_Mensual!M78, 2)</f>
        <v/>
      </c>
      <c r="K78" s="29">
        <f>ROUND(Intereses_Leasing_Mensual!N78 + Intereses_Residual_Mensual!N78, 2)</f>
        <v/>
      </c>
      <c r="L78" s="29">
        <f>ROUND(Intereses_Leasing_Mensual!O78 + Intereses_Residual_Mensual!O78, 2)</f>
        <v/>
      </c>
      <c r="M78" s="29">
        <f>ROUND(Intereses_Leasing_Mensual!P78 + Intereses_Residual_Mensual!P78, 2)</f>
        <v/>
      </c>
      <c r="N78" s="29">
        <f>ROUND(Intereses_Leasing_Mensual!Q78 + Intereses_Residual_Mensual!Q78, 2)</f>
        <v/>
      </c>
      <c r="O78" s="29">
        <f>ROUND(Intereses_Leasing_Mensual!R78 + Intereses_Residual_Mensual!R78, 2)</f>
        <v/>
      </c>
      <c r="P78" s="29">
        <f>ROUND(Intereses_Leasing_Mensual!S78 + Intereses_Residual_Mensual!S78, 2)</f>
        <v/>
      </c>
      <c r="Q78" s="29">
        <f>ROUND(Intereses_Leasing_Mensual!T78 + Intereses_Residual_Mensual!T78, 2)</f>
        <v/>
      </c>
      <c r="R78" s="29">
        <f>SUM(F78:Q78)</f>
        <v/>
      </c>
    </row>
    <row r="79">
      <c r="A79" s="20" t="inlineStr">
        <is>
          <t>0620-0002</t>
        </is>
      </c>
      <c r="B79" s="21" t="inlineStr">
        <is>
          <t>Desarrollos Romo Srl de Cv</t>
        </is>
      </c>
      <c r="C79" s="21" t="inlineStr">
        <is>
          <t>RAM 700 BIG HORN</t>
        </is>
      </c>
      <c r="D79" s="20" t="inlineStr">
        <is>
          <t>ACTIVO</t>
        </is>
      </c>
      <c r="E79" s="22" t="n">
        <v>48</v>
      </c>
      <c r="F79" s="23">
        <f>ROUND(Intereses_Leasing_Mensual!I79 + Intereses_Residual_Mensual!I79, 2)</f>
        <v/>
      </c>
      <c r="G79" s="23">
        <f>ROUND(Intereses_Leasing_Mensual!J79 + Intereses_Residual_Mensual!J79, 2)</f>
        <v/>
      </c>
      <c r="H79" s="23">
        <f>ROUND(Intereses_Leasing_Mensual!K79 + Intereses_Residual_Mensual!K79, 2)</f>
        <v/>
      </c>
      <c r="I79" s="23">
        <f>ROUND(Intereses_Leasing_Mensual!L79 + Intereses_Residual_Mensual!L79, 2)</f>
        <v/>
      </c>
      <c r="J79" s="23">
        <f>ROUND(Intereses_Leasing_Mensual!M79 + Intereses_Residual_Mensual!M79, 2)</f>
        <v/>
      </c>
      <c r="K79" s="23">
        <f>ROUND(Intereses_Leasing_Mensual!N79 + Intereses_Residual_Mensual!N79, 2)</f>
        <v/>
      </c>
      <c r="L79" s="23">
        <f>ROUND(Intereses_Leasing_Mensual!O79 + Intereses_Residual_Mensual!O79, 2)</f>
        <v/>
      </c>
      <c r="M79" s="23">
        <f>ROUND(Intereses_Leasing_Mensual!P79 + Intereses_Residual_Mensual!P79, 2)</f>
        <v/>
      </c>
      <c r="N79" s="23">
        <f>ROUND(Intereses_Leasing_Mensual!Q79 + Intereses_Residual_Mensual!Q79, 2)</f>
        <v/>
      </c>
      <c r="O79" s="23">
        <f>ROUND(Intereses_Leasing_Mensual!R79 + Intereses_Residual_Mensual!R79, 2)</f>
        <v/>
      </c>
      <c r="P79" s="23">
        <f>ROUND(Intereses_Leasing_Mensual!S79 + Intereses_Residual_Mensual!S79, 2)</f>
        <v/>
      </c>
      <c r="Q79" s="23">
        <f>ROUND(Intereses_Leasing_Mensual!T79 + Intereses_Residual_Mensual!T79, 2)</f>
        <v/>
      </c>
      <c r="R79" s="23">
        <f>SUM(F79:Q79)</f>
        <v/>
      </c>
    </row>
    <row r="80">
      <c r="A80" s="26" t="inlineStr">
        <is>
          <t>0621-0008</t>
        </is>
      </c>
      <c r="B80" s="27" t="inlineStr">
        <is>
          <t>Luis Alberto Ponce Ruiz</t>
        </is>
      </c>
      <c r="C80" s="27" t="inlineStr">
        <is>
          <t>Hilux</t>
        </is>
      </c>
      <c r="D80" s="26" t="inlineStr">
        <is>
          <t>ACTIVO</t>
        </is>
      </c>
      <c r="E80" s="28" t="n">
        <v>12</v>
      </c>
      <c r="F80" s="29">
        <f>ROUND(Intereses_Leasing_Mensual!I80 + Intereses_Residual_Mensual!I80, 2)</f>
        <v/>
      </c>
      <c r="G80" s="29">
        <f>ROUND(Intereses_Leasing_Mensual!J80 + Intereses_Residual_Mensual!J80, 2)</f>
        <v/>
      </c>
      <c r="H80" s="29">
        <f>ROUND(Intereses_Leasing_Mensual!K80 + Intereses_Residual_Mensual!K80, 2)</f>
        <v/>
      </c>
      <c r="I80" s="29">
        <f>ROUND(Intereses_Leasing_Mensual!L80 + Intereses_Residual_Mensual!L80, 2)</f>
        <v/>
      </c>
      <c r="J80" s="29">
        <f>ROUND(Intereses_Leasing_Mensual!M80 + Intereses_Residual_Mensual!M80, 2)</f>
        <v/>
      </c>
      <c r="K80" s="29">
        <f>ROUND(Intereses_Leasing_Mensual!N80 + Intereses_Residual_Mensual!N80, 2)</f>
        <v/>
      </c>
      <c r="L80" s="29">
        <f>ROUND(Intereses_Leasing_Mensual!O80 + Intereses_Residual_Mensual!O80, 2)</f>
        <v/>
      </c>
      <c r="M80" s="29">
        <f>ROUND(Intereses_Leasing_Mensual!P80 + Intereses_Residual_Mensual!P80, 2)</f>
        <v/>
      </c>
      <c r="N80" s="29">
        <f>ROUND(Intereses_Leasing_Mensual!Q80 + Intereses_Residual_Mensual!Q80, 2)</f>
        <v/>
      </c>
      <c r="O80" s="29" t="inlineStr"/>
      <c r="P80" s="29" t="inlineStr"/>
      <c r="Q80" s="29" t="inlineStr"/>
      <c r="R80" s="29">
        <f>SUM(F80:Q80)</f>
        <v/>
      </c>
    </row>
    <row r="81">
      <c r="A81" s="20" t="inlineStr">
        <is>
          <t>0623-0001</t>
        </is>
      </c>
      <c r="B81" s="21" t="inlineStr">
        <is>
          <t>Seguridad y Automatismos Profesionales de Occidente S de SRL de Cv</t>
        </is>
      </c>
      <c r="C81" s="21" t="inlineStr">
        <is>
          <t>RAM 700 BIG HORN</t>
        </is>
      </c>
      <c r="D81" s="20" t="inlineStr">
        <is>
          <t>ACTIVO</t>
        </is>
      </c>
      <c r="E81" s="22" t="n">
        <v>48</v>
      </c>
      <c r="F81" s="23">
        <f>ROUND(Intereses_Leasing_Mensual!I81 + Intereses_Residual_Mensual!I81, 2)</f>
        <v/>
      </c>
      <c r="G81" s="23">
        <f>ROUND(Intereses_Leasing_Mensual!J81 + Intereses_Residual_Mensual!J81, 2)</f>
        <v/>
      </c>
      <c r="H81" s="23">
        <f>ROUND(Intereses_Leasing_Mensual!K81 + Intereses_Residual_Mensual!K81, 2)</f>
        <v/>
      </c>
      <c r="I81" s="23">
        <f>ROUND(Intereses_Leasing_Mensual!L81 + Intereses_Residual_Mensual!L81, 2)</f>
        <v/>
      </c>
      <c r="J81" s="23">
        <f>ROUND(Intereses_Leasing_Mensual!M81 + Intereses_Residual_Mensual!M81, 2)</f>
        <v/>
      </c>
      <c r="K81" s="23">
        <f>ROUND(Intereses_Leasing_Mensual!N81 + Intereses_Residual_Mensual!N81, 2)</f>
        <v/>
      </c>
      <c r="L81" s="23">
        <f>ROUND(Intereses_Leasing_Mensual!O81 + Intereses_Residual_Mensual!O81, 2)</f>
        <v/>
      </c>
      <c r="M81" s="23">
        <f>ROUND(Intereses_Leasing_Mensual!P81 + Intereses_Residual_Mensual!P81, 2)</f>
        <v/>
      </c>
      <c r="N81" s="23">
        <f>ROUND(Intereses_Leasing_Mensual!Q81 + Intereses_Residual_Mensual!Q81, 2)</f>
        <v/>
      </c>
      <c r="O81" s="23">
        <f>ROUND(Intereses_Leasing_Mensual!R81 + Intereses_Residual_Mensual!R81, 2)</f>
        <v/>
      </c>
      <c r="P81" s="23">
        <f>ROUND(Intereses_Leasing_Mensual!S81 + Intereses_Residual_Mensual!S81, 2)</f>
        <v/>
      </c>
      <c r="Q81" s="23">
        <f>ROUND(Intereses_Leasing_Mensual!T81 + Intereses_Residual_Mensual!T81, 2)</f>
        <v/>
      </c>
      <c r="R81" s="23">
        <f>SUM(F81:Q81)</f>
        <v/>
      </c>
    </row>
    <row r="82">
      <c r="A82" s="26" t="inlineStr">
        <is>
          <t>0626-0001</t>
        </is>
      </c>
      <c r="B82" s="27" t="inlineStr">
        <is>
          <t>Hugo Ceja Moreno</t>
        </is>
      </c>
      <c r="C82" s="27" t="inlineStr">
        <is>
          <t>JT MOJAVE</t>
        </is>
      </c>
      <c r="D82" s="26" t="inlineStr">
        <is>
          <t>ACTIVO</t>
        </is>
      </c>
      <c r="E82" s="28" t="n">
        <v>48</v>
      </c>
      <c r="F82" s="29">
        <f>ROUND(Intereses_Leasing_Mensual!I82 + Intereses_Residual_Mensual!I82, 2)</f>
        <v/>
      </c>
      <c r="G82" s="29">
        <f>ROUND(Intereses_Leasing_Mensual!J82 + Intereses_Residual_Mensual!J82, 2)</f>
        <v/>
      </c>
      <c r="H82" s="29">
        <f>ROUND(Intereses_Leasing_Mensual!K82 + Intereses_Residual_Mensual!K82, 2)</f>
        <v/>
      </c>
      <c r="I82" s="29">
        <f>ROUND(Intereses_Leasing_Mensual!L82 + Intereses_Residual_Mensual!L82, 2)</f>
        <v/>
      </c>
      <c r="J82" s="29">
        <f>ROUND(Intereses_Leasing_Mensual!M82 + Intereses_Residual_Mensual!M82, 2)</f>
        <v/>
      </c>
      <c r="K82" s="29">
        <f>ROUND(Intereses_Leasing_Mensual!N82 + Intereses_Residual_Mensual!N82, 2)</f>
        <v/>
      </c>
      <c r="L82" s="29">
        <f>ROUND(Intereses_Leasing_Mensual!O82 + Intereses_Residual_Mensual!O82, 2)</f>
        <v/>
      </c>
      <c r="M82" s="29">
        <f>ROUND(Intereses_Leasing_Mensual!P82 + Intereses_Residual_Mensual!P82, 2)</f>
        <v/>
      </c>
      <c r="N82" s="29">
        <f>ROUND(Intereses_Leasing_Mensual!Q82 + Intereses_Residual_Mensual!Q82, 2)</f>
        <v/>
      </c>
      <c r="O82" s="29">
        <f>ROUND(Intereses_Leasing_Mensual!R82 + Intereses_Residual_Mensual!R82, 2)</f>
        <v/>
      </c>
      <c r="P82" s="29">
        <f>ROUND(Intereses_Leasing_Mensual!S82 + Intereses_Residual_Mensual!S82, 2)</f>
        <v/>
      </c>
      <c r="Q82" s="29">
        <f>ROUND(Intereses_Leasing_Mensual!T82 + Intereses_Residual_Mensual!T82, 2)</f>
        <v/>
      </c>
      <c r="R82" s="29">
        <f>SUM(F82:Q82)</f>
        <v/>
      </c>
    </row>
    <row r="83">
      <c r="A83" s="20" t="inlineStr">
        <is>
          <t>0632-0004</t>
        </is>
      </c>
      <c r="B83" s="21" t="inlineStr">
        <is>
          <t>Art &amp; Sourcing Sa de Cv</t>
        </is>
      </c>
      <c r="C83" s="21" t="inlineStr">
        <is>
          <t>Ram 700 Tradesman</t>
        </is>
      </c>
      <c r="D83" s="20" t="inlineStr">
        <is>
          <t>ACTIVO</t>
        </is>
      </c>
      <c r="E83" s="22" t="n">
        <v>48</v>
      </c>
      <c r="F83" s="23">
        <f>ROUND(Intereses_Leasing_Mensual!I83 + Intereses_Residual_Mensual!I83, 2)</f>
        <v/>
      </c>
      <c r="G83" s="23">
        <f>ROUND(Intereses_Leasing_Mensual!J83 + Intereses_Residual_Mensual!J83, 2)</f>
        <v/>
      </c>
      <c r="H83" s="23">
        <f>ROUND(Intereses_Leasing_Mensual!K83 + Intereses_Residual_Mensual!K83, 2)</f>
        <v/>
      </c>
      <c r="I83" s="23">
        <f>ROUND(Intereses_Leasing_Mensual!L83 + Intereses_Residual_Mensual!L83, 2)</f>
        <v/>
      </c>
      <c r="J83" s="23">
        <f>ROUND(Intereses_Leasing_Mensual!M83 + Intereses_Residual_Mensual!M83, 2)</f>
        <v/>
      </c>
      <c r="K83" s="23">
        <f>ROUND(Intereses_Leasing_Mensual!N83 + Intereses_Residual_Mensual!N83, 2)</f>
        <v/>
      </c>
      <c r="L83" s="23">
        <f>ROUND(Intereses_Leasing_Mensual!O83 + Intereses_Residual_Mensual!O83, 2)</f>
        <v/>
      </c>
      <c r="M83" s="23">
        <f>ROUND(Intereses_Leasing_Mensual!P83 + Intereses_Residual_Mensual!P83, 2)</f>
        <v/>
      </c>
      <c r="N83" s="23">
        <f>ROUND(Intereses_Leasing_Mensual!Q83 + Intereses_Residual_Mensual!Q83, 2)</f>
        <v/>
      </c>
      <c r="O83" s="23">
        <f>ROUND(Intereses_Leasing_Mensual!R83 + Intereses_Residual_Mensual!R83, 2)</f>
        <v/>
      </c>
      <c r="P83" s="23">
        <f>ROUND(Intereses_Leasing_Mensual!S83 + Intereses_Residual_Mensual!S83, 2)</f>
        <v/>
      </c>
      <c r="Q83" s="23">
        <f>ROUND(Intereses_Leasing_Mensual!T83 + Intereses_Residual_Mensual!T83, 2)</f>
        <v/>
      </c>
      <c r="R83" s="23">
        <f>SUM(F83:Q83)</f>
        <v/>
      </c>
    </row>
    <row r="84">
      <c r="A84" s="26" t="inlineStr">
        <is>
          <t>0632-0005</t>
        </is>
      </c>
      <c r="B84" s="27" t="inlineStr">
        <is>
          <t>Art &amp; Sourcing Sa de Cv</t>
        </is>
      </c>
      <c r="C84" s="27" t="inlineStr">
        <is>
          <t>Ram 700</t>
        </is>
      </c>
      <c r="D84" s="26" t="inlineStr">
        <is>
          <t>ACTIVO</t>
        </is>
      </c>
      <c r="E84" s="28" t="n">
        <v>24</v>
      </c>
      <c r="F84" s="29">
        <f>ROUND(Intereses_Leasing_Mensual!I84 + Intereses_Residual_Mensual!I84, 2)</f>
        <v/>
      </c>
      <c r="G84" s="29">
        <f>ROUND(Intereses_Leasing_Mensual!J84 + Intereses_Residual_Mensual!J84, 2)</f>
        <v/>
      </c>
      <c r="H84" s="29">
        <f>ROUND(Intereses_Leasing_Mensual!K84 + Intereses_Residual_Mensual!K84, 2)</f>
        <v/>
      </c>
      <c r="I84" s="29">
        <f>ROUND(Intereses_Leasing_Mensual!L84 + Intereses_Residual_Mensual!L84, 2)</f>
        <v/>
      </c>
      <c r="J84" s="29">
        <f>ROUND(Intereses_Leasing_Mensual!M84 + Intereses_Residual_Mensual!M84, 2)</f>
        <v/>
      </c>
      <c r="K84" s="29">
        <f>ROUND(Intereses_Leasing_Mensual!N84 + Intereses_Residual_Mensual!N84, 2)</f>
        <v/>
      </c>
      <c r="L84" s="29">
        <f>ROUND(Intereses_Leasing_Mensual!O84 + Intereses_Residual_Mensual!O84, 2)</f>
        <v/>
      </c>
      <c r="M84" s="29">
        <f>ROUND(Intereses_Leasing_Mensual!P84 + Intereses_Residual_Mensual!P84, 2)</f>
        <v/>
      </c>
      <c r="N84" s="29">
        <f>ROUND(Intereses_Leasing_Mensual!Q84 + Intereses_Residual_Mensual!Q84, 2)</f>
        <v/>
      </c>
      <c r="O84" s="29">
        <f>ROUND(Intereses_Leasing_Mensual!R84 + Intereses_Residual_Mensual!R84, 2)</f>
        <v/>
      </c>
      <c r="P84" s="29">
        <f>ROUND(Intereses_Leasing_Mensual!S84 + Intereses_Residual_Mensual!S84, 2)</f>
        <v/>
      </c>
      <c r="Q84" s="29">
        <f>ROUND(Intereses_Leasing_Mensual!T84 + Intereses_Residual_Mensual!T84, 2)</f>
        <v/>
      </c>
      <c r="R84" s="29">
        <f>SUM(F84:Q84)</f>
        <v/>
      </c>
    </row>
    <row r="85">
      <c r="A85" s="20" t="inlineStr">
        <is>
          <t>0632-0006</t>
        </is>
      </c>
      <c r="B85" s="21" t="inlineStr">
        <is>
          <t>Art &amp; Sourcing Sa de Cv</t>
        </is>
      </c>
      <c r="C85" s="21" t="inlineStr">
        <is>
          <t>Mirage</t>
        </is>
      </c>
      <c r="D85" s="20" t="inlineStr">
        <is>
          <t>ACTIVO</t>
        </is>
      </c>
      <c r="E85" s="22" t="n">
        <v>24</v>
      </c>
      <c r="F85" s="23">
        <f>ROUND(Intereses_Leasing_Mensual!I85 + Intereses_Residual_Mensual!I85, 2)</f>
        <v/>
      </c>
      <c r="G85" s="23">
        <f>ROUND(Intereses_Leasing_Mensual!J85 + Intereses_Residual_Mensual!J85, 2)</f>
        <v/>
      </c>
      <c r="H85" s="23">
        <f>ROUND(Intereses_Leasing_Mensual!K85 + Intereses_Residual_Mensual!K85, 2)</f>
        <v/>
      </c>
      <c r="I85" s="23">
        <f>ROUND(Intereses_Leasing_Mensual!L85 + Intereses_Residual_Mensual!L85, 2)</f>
        <v/>
      </c>
      <c r="J85" s="23">
        <f>ROUND(Intereses_Leasing_Mensual!M85 + Intereses_Residual_Mensual!M85, 2)</f>
        <v/>
      </c>
      <c r="K85" s="23">
        <f>ROUND(Intereses_Leasing_Mensual!N85 + Intereses_Residual_Mensual!N85, 2)</f>
        <v/>
      </c>
      <c r="L85" s="23">
        <f>ROUND(Intereses_Leasing_Mensual!O85 + Intereses_Residual_Mensual!O85, 2)</f>
        <v/>
      </c>
      <c r="M85" s="23">
        <f>ROUND(Intereses_Leasing_Mensual!P85 + Intereses_Residual_Mensual!P85, 2)</f>
        <v/>
      </c>
      <c r="N85" s="23">
        <f>ROUND(Intereses_Leasing_Mensual!Q85 + Intereses_Residual_Mensual!Q85, 2)</f>
        <v/>
      </c>
      <c r="O85" s="23">
        <f>ROUND(Intereses_Leasing_Mensual!R85 + Intereses_Residual_Mensual!R85, 2)</f>
        <v/>
      </c>
      <c r="P85" s="23">
        <f>ROUND(Intereses_Leasing_Mensual!S85 + Intereses_Residual_Mensual!S85, 2)</f>
        <v/>
      </c>
      <c r="Q85" s="23">
        <f>ROUND(Intereses_Leasing_Mensual!T85 + Intereses_Residual_Mensual!T85, 2)</f>
        <v/>
      </c>
      <c r="R85" s="23">
        <f>SUM(F85:Q85)</f>
        <v/>
      </c>
    </row>
    <row r="86">
      <c r="A86" s="26" t="inlineStr">
        <is>
          <t>0632-0007</t>
        </is>
      </c>
      <c r="B86" s="27" t="inlineStr">
        <is>
          <t>Art &amp; Sourcing Sa de Cv</t>
        </is>
      </c>
      <c r="C86" s="27" t="inlineStr">
        <is>
          <t>JAC Camión X350 2026</t>
        </is>
      </c>
      <c r="D86" s="26" t="inlineStr">
        <is>
          <t>ACTIVO</t>
        </is>
      </c>
      <c r="E86" s="28" t="n">
        <v>24</v>
      </c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>
        <f>ROUND(Intereses_Leasing_Mensual!P86 + Intereses_Residual_Mensual!P86, 2)</f>
        <v/>
      </c>
      <c r="N86" s="29">
        <f>ROUND(Intereses_Leasing_Mensual!Q86 + Intereses_Residual_Mensual!Q86, 2)</f>
        <v/>
      </c>
      <c r="O86" s="29">
        <f>ROUND(Intereses_Leasing_Mensual!R86 + Intereses_Residual_Mensual!R86, 2)</f>
        <v/>
      </c>
      <c r="P86" s="29">
        <f>ROUND(Intereses_Leasing_Mensual!S86 + Intereses_Residual_Mensual!S86, 2)</f>
        <v/>
      </c>
      <c r="Q86" s="29">
        <f>ROUND(Intereses_Leasing_Mensual!T86 + Intereses_Residual_Mensual!T86, 2)</f>
        <v/>
      </c>
      <c r="R86" s="29">
        <f>SUM(F86:Q86)</f>
        <v/>
      </c>
    </row>
    <row r="87">
      <c r="A87" s="20" t="inlineStr">
        <is>
          <t>0634-0001</t>
        </is>
      </c>
      <c r="B87" s="21" t="inlineStr">
        <is>
          <t>Jose de Jesus Vergara Rivera</t>
        </is>
      </c>
      <c r="C87" s="21" t="inlineStr">
        <is>
          <t>NP 300 Chasis Cabina TDI</t>
        </is>
      </c>
      <c r="D87" s="20" t="inlineStr">
        <is>
          <t>ACTIVO</t>
        </is>
      </c>
      <c r="E87" s="22" t="n">
        <v>48</v>
      </c>
      <c r="F87" s="23">
        <f>ROUND(Intereses_Leasing_Mensual!I87 + Intereses_Residual_Mensual!I87, 2)</f>
        <v/>
      </c>
      <c r="G87" s="23">
        <f>ROUND(Intereses_Leasing_Mensual!J87 + Intereses_Residual_Mensual!J87, 2)</f>
        <v/>
      </c>
      <c r="H87" s="23">
        <f>ROUND(Intereses_Leasing_Mensual!K87 + Intereses_Residual_Mensual!K87, 2)</f>
        <v/>
      </c>
      <c r="I87" s="23">
        <f>ROUND(Intereses_Leasing_Mensual!L87 + Intereses_Residual_Mensual!L87, 2)</f>
        <v/>
      </c>
      <c r="J87" s="23">
        <f>ROUND(Intereses_Leasing_Mensual!M87 + Intereses_Residual_Mensual!M87, 2)</f>
        <v/>
      </c>
      <c r="K87" s="23">
        <f>ROUND(Intereses_Leasing_Mensual!N87 + Intereses_Residual_Mensual!N87, 2)</f>
        <v/>
      </c>
      <c r="L87" s="23">
        <f>ROUND(Intereses_Leasing_Mensual!O87 + Intereses_Residual_Mensual!O87, 2)</f>
        <v/>
      </c>
      <c r="M87" s="23">
        <f>ROUND(Intereses_Leasing_Mensual!P87 + Intereses_Residual_Mensual!P87, 2)</f>
        <v/>
      </c>
      <c r="N87" s="23">
        <f>ROUND(Intereses_Leasing_Mensual!Q87 + Intereses_Residual_Mensual!Q87, 2)</f>
        <v/>
      </c>
      <c r="O87" s="23">
        <f>ROUND(Intereses_Leasing_Mensual!R87 + Intereses_Residual_Mensual!R87, 2)</f>
        <v/>
      </c>
      <c r="P87" s="23">
        <f>ROUND(Intereses_Leasing_Mensual!S87 + Intereses_Residual_Mensual!S87, 2)</f>
        <v/>
      </c>
      <c r="Q87" s="23">
        <f>ROUND(Intereses_Leasing_Mensual!T87 + Intereses_Residual_Mensual!T87, 2)</f>
        <v/>
      </c>
      <c r="R87" s="23">
        <f>SUM(F87:Q87)</f>
        <v/>
      </c>
    </row>
    <row r="88">
      <c r="A88" s="26" t="inlineStr">
        <is>
          <t>0634-0002</t>
        </is>
      </c>
      <c r="B88" s="27" t="inlineStr">
        <is>
          <t>Jose de Jesus Vergara Rivera</t>
        </is>
      </c>
      <c r="C88" s="27" t="inlineStr">
        <is>
          <t>700 Tradesman</t>
        </is>
      </c>
      <c r="D88" s="26" t="inlineStr">
        <is>
          <t>ACTIVO</t>
        </is>
      </c>
      <c r="E88" s="28" t="n">
        <v>48</v>
      </c>
      <c r="F88" s="29">
        <f>ROUND(Intereses_Leasing_Mensual!I88 + Intereses_Residual_Mensual!I88, 2)</f>
        <v/>
      </c>
      <c r="G88" s="29">
        <f>ROUND(Intereses_Leasing_Mensual!J88 + Intereses_Residual_Mensual!J88, 2)</f>
        <v/>
      </c>
      <c r="H88" s="29">
        <f>ROUND(Intereses_Leasing_Mensual!K88 + Intereses_Residual_Mensual!K88, 2)</f>
        <v/>
      </c>
      <c r="I88" s="29">
        <f>ROUND(Intereses_Leasing_Mensual!L88 + Intereses_Residual_Mensual!L88, 2)</f>
        <v/>
      </c>
      <c r="J88" s="29">
        <f>ROUND(Intereses_Leasing_Mensual!M88 + Intereses_Residual_Mensual!M88, 2)</f>
        <v/>
      </c>
      <c r="K88" s="29">
        <f>ROUND(Intereses_Leasing_Mensual!N88 + Intereses_Residual_Mensual!N88, 2)</f>
        <v/>
      </c>
      <c r="L88" s="29">
        <f>ROUND(Intereses_Leasing_Mensual!O88 + Intereses_Residual_Mensual!O88, 2)</f>
        <v/>
      </c>
      <c r="M88" s="29">
        <f>ROUND(Intereses_Leasing_Mensual!P88 + Intereses_Residual_Mensual!P88, 2)</f>
        <v/>
      </c>
      <c r="N88" s="29">
        <f>ROUND(Intereses_Leasing_Mensual!Q88 + Intereses_Residual_Mensual!Q88, 2)</f>
        <v/>
      </c>
      <c r="O88" s="29">
        <f>ROUND(Intereses_Leasing_Mensual!R88 + Intereses_Residual_Mensual!R88, 2)</f>
        <v/>
      </c>
      <c r="P88" s="29">
        <f>ROUND(Intereses_Leasing_Mensual!S88 + Intereses_Residual_Mensual!S88, 2)</f>
        <v/>
      </c>
      <c r="Q88" s="29">
        <f>ROUND(Intereses_Leasing_Mensual!T88 + Intereses_Residual_Mensual!T88, 2)</f>
        <v/>
      </c>
      <c r="R88" s="29">
        <f>SUM(F88:Q88)</f>
        <v/>
      </c>
    </row>
    <row r="89">
      <c r="A89" s="20" t="inlineStr">
        <is>
          <t>0635-0003</t>
        </is>
      </c>
      <c r="B89" s="21" t="inlineStr">
        <is>
          <t>Ankara Food Services Sa de CV</t>
        </is>
      </c>
      <c r="C89" s="21" t="inlineStr">
        <is>
          <t>Glc 350 E</t>
        </is>
      </c>
      <c r="D89" s="20" t="inlineStr">
        <is>
          <t>ACTIVO</t>
        </is>
      </c>
      <c r="E89" s="22" t="n">
        <v>36</v>
      </c>
      <c r="F89" s="23">
        <f>ROUND(Intereses_Leasing_Mensual!I89 + Intereses_Residual_Mensual!I89, 2)</f>
        <v/>
      </c>
      <c r="G89" s="23">
        <f>ROUND(Intereses_Leasing_Mensual!J89 + Intereses_Residual_Mensual!J89, 2)</f>
        <v/>
      </c>
      <c r="H89" s="23">
        <f>ROUND(Intereses_Leasing_Mensual!K89 + Intereses_Residual_Mensual!K89, 2)</f>
        <v/>
      </c>
      <c r="I89" s="23">
        <f>ROUND(Intereses_Leasing_Mensual!L89 + Intereses_Residual_Mensual!L89, 2)</f>
        <v/>
      </c>
      <c r="J89" s="23">
        <f>ROUND(Intereses_Leasing_Mensual!M89 + Intereses_Residual_Mensual!M89, 2)</f>
        <v/>
      </c>
      <c r="K89" s="23">
        <f>ROUND(Intereses_Leasing_Mensual!N89 + Intereses_Residual_Mensual!N89, 2)</f>
        <v/>
      </c>
      <c r="L89" s="23">
        <f>ROUND(Intereses_Leasing_Mensual!O89 + Intereses_Residual_Mensual!O89, 2)</f>
        <v/>
      </c>
      <c r="M89" s="23">
        <f>ROUND(Intereses_Leasing_Mensual!P89 + Intereses_Residual_Mensual!P89, 2)</f>
        <v/>
      </c>
      <c r="N89" s="23">
        <f>ROUND(Intereses_Leasing_Mensual!Q89 + Intereses_Residual_Mensual!Q89, 2)</f>
        <v/>
      </c>
      <c r="O89" s="23">
        <f>ROUND(Intereses_Leasing_Mensual!R89 + Intereses_Residual_Mensual!R89, 2)</f>
        <v/>
      </c>
      <c r="P89" s="23">
        <f>ROUND(Intereses_Leasing_Mensual!S89 + Intereses_Residual_Mensual!S89, 2)</f>
        <v/>
      </c>
      <c r="Q89" s="23">
        <f>ROUND(Intereses_Leasing_Mensual!T89 + Intereses_Residual_Mensual!T89, 2)</f>
        <v/>
      </c>
      <c r="R89" s="23">
        <f>SUM(F89:Q89)</f>
        <v/>
      </c>
    </row>
    <row r="90">
      <c r="A90" s="26" t="inlineStr">
        <is>
          <t>0635-0004</t>
        </is>
      </c>
      <c r="B90" s="27" t="inlineStr">
        <is>
          <t>Ankara Food Services Sa de CV</t>
        </is>
      </c>
      <c r="C90" s="27" t="inlineStr">
        <is>
          <t>Partner</t>
        </is>
      </c>
      <c r="D90" s="26" t="inlineStr">
        <is>
          <t>ACTIVO</t>
        </is>
      </c>
      <c r="E90" s="28" t="n">
        <v>36</v>
      </c>
      <c r="F90" s="29">
        <f>ROUND(Intereses_Leasing_Mensual!I90 + Intereses_Residual_Mensual!I90, 2)</f>
        <v/>
      </c>
      <c r="G90" s="29">
        <f>ROUND(Intereses_Leasing_Mensual!J90 + Intereses_Residual_Mensual!J90, 2)</f>
        <v/>
      </c>
      <c r="H90" s="29">
        <f>ROUND(Intereses_Leasing_Mensual!K90 + Intereses_Residual_Mensual!K90, 2)</f>
        <v/>
      </c>
      <c r="I90" s="29">
        <f>ROUND(Intereses_Leasing_Mensual!L90 + Intereses_Residual_Mensual!L90, 2)</f>
        <v/>
      </c>
      <c r="J90" s="29">
        <f>ROUND(Intereses_Leasing_Mensual!M90 + Intereses_Residual_Mensual!M90, 2)</f>
        <v/>
      </c>
      <c r="K90" s="29">
        <f>ROUND(Intereses_Leasing_Mensual!N90 + Intereses_Residual_Mensual!N90, 2)</f>
        <v/>
      </c>
      <c r="L90" s="29">
        <f>ROUND(Intereses_Leasing_Mensual!O90 + Intereses_Residual_Mensual!O90, 2)</f>
        <v/>
      </c>
      <c r="M90" s="29">
        <f>ROUND(Intereses_Leasing_Mensual!P90 + Intereses_Residual_Mensual!P90, 2)</f>
        <v/>
      </c>
      <c r="N90" s="29">
        <f>ROUND(Intereses_Leasing_Mensual!Q90 + Intereses_Residual_Mensual!Q90, 2)</f>
        <v/>
      </c>
      <c r="O90" s="29">
        <f>ROUND(Intereses_Leasing_Mensual!R90 + Intereses_Residual_Mensual!R90, 2)</f>
        <v/>
      </c>
      <c r="P90" s="29">
        <f>ROUND(Intereses_Leasing_Mensual!S90 + Intereses_Residual_Mensual!S90, 2)</f>
        <v/>
      </c>
      <c r="Q90" s="29">
        <f>ROUND(Intereses_Leasing_Mensual!T90 + Intereses_Residual_Mensual!T90, 2)</f>
        <v/>
      </c>
      <c r="R90" s="29">
        <f>SUM(F90:Q90)</f>
        <v/>
      </c>
    </row>
    <row r="91">
      <c r="A91" s="20" t="inlineStr">
        <is>
          <t>0635-0005</t>
        </is>
      </c>
      <c r="B91" s="21" t="inlineStr">
        <is>
          <t>Ankara Food Services Sa de CV</t>
        </is>
      </c>
      <c r="C91" s="21" t="inlineStr">
        <is>
          <t>Manager</t>
        </is>
      </c>
      <c r="D91" s="20" t="inlineStr">
        <is>
          <t>ACTIVO</t>
        </is>
      </c>
      <c r="E91" s="22" t="n">
        <v>36</v>
      </c>
      <c r="F91" s="23">
        <f>ROUND(Intereses_Leasing_Mensual!I91 + Intereses_Residual_Mensual!I91, 2)</f>
        <v/>
      </c>
      <c r="G91" s="23">
        <f>ROUND(Intereses_Leasing_Mensual!J91 + Intereses_Residual_Mensual!J91, 2)</f>
        <v/>
      </c>
      <c r="H91" s="23">
        <f>ROUND(Intereses_Leasing_Mensual!K91 + Intereses_Residual_Mensual!K91, 2)</f>
        <v/>
      </c>
      <c r="I91" s="23">
        <f>ROUND(Intereses_Leasing_Mensual!L91 + Intereses_Residual_Mensual!L91, 2)</f>
        <v/>
      </c>
      <c r="J91" s="23">
        <f>ROUND(Intereses_Leasing_Mensual!M91 + Intereses_Residual_Mensual!M91, 2)</f>
        <v/>
      </c>
      <c r="K91" s="23">
        <f>ROUND(Intereses_Leasing_Mensual!N91 + Intereses_Residual_Mensual!N91, 2)</f>
        <v/>
      </c>
      <c r="L91" s="23">
        <f>ROUND(Intereses_Leasing_Mensual!O91 + Intereses_Residual_Mensual!O91, 2)</f>
        <v/>
      </c>
      <c r="M91" s="23">
        <f>ROUND(Intereses_Leasing_Mensual!P91 + Intereses_Residual_Mensual!P91, 2)</f>
        <v/>
      </c>
      <c r="N91" s="23">
        <f>ROUND(Intereses_Leasing_Mensual!Q91 + Intereses_Residual_Mensual!Q91, 2)</f>
        <v/>
      </c>
      <c r="O91" s="23">
        <f>ROUND(Intereses_Leasing_Mensual!R91 + Intereses_Residual_Mensual!R91, 2)</f>
        <v/>
      </c>
      <c r="P91" s="23">
        <f>ROUND(Intereses_Leasing_Mensual!S91 + Intereses_Residual_Mensual!S91, 2)</f>
        <v/>
      </c>
      <c r="Q91" s="23">
        <f>ROUND(Intereses_Leasing_Mensual!T91 + Intereses_Residual_Mensual!T91, 2)</f>
        <v/>
      </c>
      <c r="R91" s="23">
        <f>SUM(F91:Q91)</f>
        <v/>
      </c>
    </row>
    <row r="92">
      <c r="A92" s="26" t="inlineStr">
        <is>
          <t>0635-0006</t>
        </is>
      </c>
      <c r="B92" s="27" t="inlineStr">
        <is>
          <t>Ankara Food Services Sa de CV</t>
        </is>
      </c>
      <c r="C92" s="27" t="inlineStr">
        <is>
          <t>Mobi</t>
        </is>
      </c>
      <c r="D92" s="26" t="inlineStr">
        <is>
          <t>ACTIVO</t>
        </is>
      </c>
      <c r="E92" s="28" t="n">
        <v>24</v>
      </c>
      <c r="F92" s="29">
        <f>ROUND(Intereses_Leasing_Mensual!I92 + Intereses_Residual_Mensual!I92, 2)</f>
        <v/>
      </c>
      <c r="G92" s="29">
        <f>ROUND(Intereses_Leasing_Mensual!J92 + Intereses_Residual_Mensual!J92, 2)</f>
        <v/>
      </c>
      <c r="H92" s="29">
        <f>ROUND(Intereses_Leasing_Mensual!K92 + Intereses_Residual_Mensual!K92, 2)</f>
        <v/>
      </c>
      <c r="I92" s="29">
        <f>ROUND(Intereses_Leasing_Mensual!L92 + Intereses_Residual_Mensual!L92, 2)</f>
        <v/>
      </c>
      <c r="J92" s="29">
        <f>ROUND(Intereses_Leasing_Mensual!M92 + Intereses_Residual_Mensual!M92, 2)</f>
        <v/>
      </c>
      <c r="K92" s="29">
        <f>ROUND(Intereses_Leasing_Mensual!N92 + Intereses_Residual_Mensual!N92, 2)</f>
        <v/>
      </c>
      <c r="L92" s="29">
        <f>ROUND(Intereses_Leasing_Mensual!O92 + Intereses_Residual_Mensual!O92, 2)</f>
        <v/>
      </c>
      <c r="M92" s="29">
        <f>ROUND(Intereses_Leasing_Mensual!P92 + Intereses_Residual_Mensual!P92, 2)</f>
        <v/>
      </c>
      <c r="N92" s="29">
        <f>ROUND(Intereses_Leasing_Mensual!Q92 + Intereses_Residual_Mensual!Q92, 2)</f>
        <v/>
      </c>
      <c r="O92" s="29">
        <f>ROUND(Intereses_Leasing_Mensual!R92 + Intereses_Residual_Mensual!R92, 2)</f>
        <v/>
      </c>
      <c r="P92" s="29">
        <f>ROUND(Intereses_Leasing_Mensual!S92 + Intereses_Residual_Mensual!S92, 2)</f>
        <v/>
      </c>
      <c r="Q92" s="29">
        <f>ROUND(Intereses_Leasing_Mensual!T92 + Intereses_Residual_Mensual!T92, 2)</f>
        <v/>
      </c>
      <c r="R92" s="29">
        <f>SUM(F92:Q92)</f>
        <v/>
      </c>
    </row>
    <row r="93">
      <c r="A93" s="20" t="inlineStr">
        <is>
          <t>0635-0007</t>
        </is>
      </c>
      <c r="B93" s="21" t="inlineStr">
        <is>
          <t>Ankara Food Services Sa de CV</t>
        </is>
      </c>
      <c r="C93" s="21" t="inlineStr">
        <is>
          <t>Mobi</t>
        </is>
      </c>
      <c r="D93" s="20" t="inlineStr">
        <is>
          <t>ACTIVO</t>
        </is>
      </c>
      <c r="E93" s="22" t="n">
        <v>24</v>
      </c>
      <c r="F93" s="23">
        <f>ROUND(Intereses_Leasing_Mensual!I93 + Intereses_Residual_Mensual!I93, 2)</f>
        <v/>
      </c>
      <c r="G93" s="23">
        <f>ROUND(Intereses_Leasing_Mensual!J93 + Intereses_Residual_Mensual!J93, 2)</f>
        <v/>
      </c>
      <c r="H93" s="23">
        <f>ROUND(Intereses_Leasing_Mensual!K93 + Intereses_Residual_Mensual!K93, 2)</f>
        <v/>
      </c>
      <c r="I93" s="23">
        <f>ROUND(Intereses_Leasing_Mensual!L93 + Intereses_Residual_Mensual!L93, 2)</f>
        <v/>
      </c>
      <c r="J93" s="23">
        <f>ROUND(Intereses_Leasing_Mensual!M93 + Intereses_Residual_Mensual!M93, 2)</f>
        <v/>
      </c>
      <c r="K93" s="23">
        <f>ROUND(Intereses_Leasing_Mensual!N93 + Intereses_Residual_Mensual!N93, 2)</f>
        <v/>
      </c>
      <c r="L93" s="23">
        <f>ROUND(Intereses_Leasing_Mensual!O93 + Intereses_Residual_Mensual!O93, 2)</f>
        <v/>
      </c>
      <c r="M93" s="23">
        <f>ROUND(Intereses_Leasing_Mensual!P93 + Intereses_Residual_Mensual!P93, 2)</f>
        <v/>
      </c>
      <c r="N93" s="23">
        <f>ROUND(Intereses_Leasing_Mensual!Q93 + Intereses_Residual_Mensual!Q93, 2)</f>
        <v/>
      </c>
      <c r="O93" s="23">
        <f>ROUND(Intereses_Leasing_Mensual!R93 + Intereses_Residual_Mensual!R93, 2)</f>
        <v/>
      </c>
      <c r="P93" s="23">
        <f>ROUND(Intereses_Leasing_Mensual!S93 + Intereses_Residual_Mensual!S93, 2)</f>
        <v/>
      </c>
      <c r="Q93" s="23">
        <f>ROUND(Intereses_Leasing_Mensual!T93 + Intereses_Residual_Mensual!T93, 2)</f>
        <v/>
      </c>
      <c r="R93" s="23">
        <f>SUM(F93:Q93)</f>
        <v/>
      </c>
    </row>
    <row r="94">
      <c r="A94" s="26" t="inlineStr">
        <is>
          <t>0635-0008</t>
        </is>
      </c>
      <c r="B94" s="27" t="inlineStr">
        <is>
          <t>Ankara Food Services Sa de CV</t>
        </is>
      </c>
      <c r="C94" s="27" t="inlineStr">
        <is>
          <t>Wrangler 4 XE</t>
        </is>
      </c>
      <c r="D94" s="26" t="inlineStr">
        <is>
          <t>ACTIVO</t>
        </is>
      </c>
      <c r="E94" s="28" t="n">
        <v>48</v>
      </c>
      <c r="F94" s="29">
        <f>ROUND(Intereses_Leasing_Mensual!I94 + Intereses_Residual_Mensual!I94, 2)</f>
        <v/>
      </c>
      <c r="G94" s="29">
        <f>ROUND(Intereses_Leasing_Mensual!J94 + Intereses_Residual_Mensual!J94, 2)</f>
        <v/>
      </c>
      <c r="H94" s="29">
        <f>ROUND(Intereses_Leasing_Mensual!K94 + Intereses_Residual_Mensual!K94, 2)</f>
        <v/>
      </c>
      <c r="I94" s="29">
        <f>ROUND(Intereses_Leasing_Mensual!L94 + Intereses_Residual_Mensual!L94, 2)</f>
        <v/>
      </c>
      <c r="J94" s="29">
        <f>ROUND(Intereses_Leasing_Mensual!M94 + Intereses_Residual_Mensual!M94, 2)</f>
        <v/>
      </c>
      <c r="K94" s="29">
        <f>ROUND(Intereses_Leasing_Mensual!N94 + Intereses_Residual_Mensual!N94, 2)</f>
        <v/>
      </c>
      <c r="L94" s="29">
        <f>ROUND(Intereses_Leasing_Mensual!O94 + Intereses_Residual_Mensual!O94, 2)</f>
        <v/>
      </c>
      <c r="M94" s="29">
        <f>ROUND(Intereses_Leasing_Mensual!P94 + Intereses_Residual_Mensual!P94, 2)</f>
        <v/>
      </c>
      <c r="N94" s="29">
        <f>ROUND(Intereses_Leasing_Mensual!Q94 + Intereses_Residual_Mensual!Q94, 2)</f>
        <v/>
      </c>
      <c r="O94" s="29">
        <f>ROUND(Intereses_Leasing_Mensual!R94 + Intereses_Residual_Mensual!R94, 2)</f>
        <v/>
      </c>
      <c r="P94" s="29">
        <f>ROUND(Intereses_Leasing_Mensual!S94 + Intereses_Residual_Mensual!S94, 2)</f>
        <v/>
      </c>
      <c r="Q94" s="29">
        <f>ROUND(Intereses_Leasing_Mensual!T94 + Intereses_Residual_Mensual!T94, 2)</f>
        <v/>
      </c>
      <c r="R94" s="29">
        <f>SUM(F94:Q94)</f>
        <v/>
      </c>
    </row>
    <row r="95">
      <c r="A95" s="20" t="inlineStr">
        <is>
          <t>0640-0001</t>
        </is>
      </c>
      <c r="B95" s="21" t="inlineStr">
        <is>
          <t>Marco Abner Hernand Barragan</t>
        </is>
      </c>
      <c r="C95" s="21" t="inlineStr">
        <is>
          <t>RIFTER</t>
        </is>
      </c>
      <c r="D95" s="20" t="inlineStr">
        <is>
          <t>ACTIVO</t>
        </is>
      </c>
      <c r="E95" s="22" t="n">
        <v>48</v>
      </c>
      <c r="F95" s="23">
        <f>ROUND(Intereses_Leasing_Mensual!I95 + Intereses_Residual_Mensual!I95, 2)</f>
        <v/>
      </c>
      <c r="G95" s="23">
        <f>ROUND(Intereses_Leasing_Mensual!J95 + Intereses_Residual_Mensual!J95, 2)</f>
        <v/>
      </c>
      <c r="H95" s="23">
        <f>ROUND(Intereses_Leasing_Mensual!K95 + Intereses_Residual_Mensual!K95, 2)</f>
        <v/>
      </c>
      <c r="I95" s="23">
        <f>ROUND(Intereses_Leasing_Mensual!L95 + Intereses_Residual_Mensual!L95, 2)</f>
        <v/>
      </c>
      <c r="J95" s="23">
        <f>ROUND(Intereses_Leasing_Mensual!M95 + Intereses_Residual_Mensual!M95, 2)</f>
        <v/>
      </c>
      <c r="K95" s="23">
        <f>ROUND(Intereses_Leasing_Mensual!N95 + Intereses_Residual_Mensual!N95, 2)</f>
        <v/>
      </c>
      <c r="L95" s="23">
        <f>ROUND(Intereses_Leasing_Mensual!O95 + Intereses_Residual_Mensual!O95, 2)</f>
        <v/>
      </c>
      <c r="M95" s="23">
        <f>ROUND(Intereses_Leasing_Mensual!P95 + Intereses_Residual_Mensual!P95, 2)</f>
        <v/>
      </c>
      <c r="N95" s="23">
        <f>ROUND(Intereses_Leasing_Mensual!Q95 + Intereses_Residual_Mensual!Q95, 2)</f>
        <v/>
      </c>
      <c r="O95" s="23">
        <f>ROUND(Intereses_Leasing_Mensual!R95 + Intereses_Residual_Mensual!R95, 2)</f>
        <v/>
      </c>
      <c r="P95" s="23">
        <f>ROUND(Intereses_Leasing_Mensual!S95 + Intereses_Residual_Mensual!S95, 2)</f>
        <v/>
      </c>
      <c r="Q95" s="23">
        <f>ROUND(Intereses_Leasing_Mensual!T95 + Intereses_Residual_Mensual!T95, 2)</f>
        <v/>
      </c>
      <c r="R95" s="23">
        <f>SUM(F95:Q95)</f>
        <v/>
      </c>
    </row>
    <row r="96">
      <c r="A96" s="26" t="inlineStr">
        <is>
          <t>0641-0001</t>
        </is>
      </c>
      <c r="B96" s="27" t="inlineStr">
        <is>
          <t>Agrideaz Sa de Cv</t>
        </is>
      </c>
      <c r="C96" s="27" t="inlineStr">
        <is>
          <t>Pulse Audace</t>
        </is>
      </c>
      <c r="D96" s="26" t="inlineStr">
        <is>
          <t>ACTIVO</t>
        </is>
      </c>
      <c r="E96" s="28" t="n">
        <v>36</v>
      </c>
      <c r="F96" s="29">
        <f>ROUND(Intereses_Leasing_Mensual!I96 + Intereses_Residual_Mensual!I96, 2)</f>
        <v/>
      </c>
      <c r="G96" s="29">
        <f>ROUND(Intereses_Leasing_Mensual!J96 + Intereses_Residual_Mensual!J96, 2)</f>
        <v/>
      </c>
      <c r="H96" s="29">
        <f>ROUND(Intereses_Leasing_Mensual!K96 + Intereses_Residual_Mensual!K96, 2)</f>
        <v/>
      </c>
      <c r="I96" s="29">
        <f>ROUND(Intereses_Leasing_Mensual!L96 + Intereses_Residual_Mensual!L96, 2)</f>
        <v/>
      </c>
      <c r="J96" s="29">
        <f>ROUND(Intereses_Leasing_Mensual!M96 + Intereses_Residual_Mensual!M96, 2)</f>
        <v/>
      </c>
      <c r="K96" s="29">
        <f>ROUND(Intereses_Leasing_Mensual!N96 + Intereses_Residual_Mensual!N96, 2)</f>
        <v/>
      </c>
      <c r="L96" s="29">
        <f>ROUND(Intereses_Leasing_Mensual!O96 + Intereses_Residual_Mensual!O96, 2)</f>
        <v/>
      </c>
      <c r="M96" s="29">
        <f>ROUND(Intereses_Leasing_Mensual!P96 + Intereses_Residual_Mensual!P96, 2)</f>
        <v/>
      </c>
      <c r="N96" s="29">
        <f>ROUND(Intereses_Leasing_Mensual!Q96 + Intereses_Residual_Mensual!Q96, 2)</f>
        <v/>
      </c>
      <c r="O96" s="29">
        <f>ROUND(Intereses_Leasing_Mensual!R96 + Intereses_Residual_Mensual!R96, 2)</f>
        <v/>
      </c>
      <c r="P96" s="29" t="inlineStr"/>
      <c r="Q96" s="29" t="inlineStr"/>
      <c r="R96" s="29">
        <f>SUM(F96:Q96)</f>
        <v/>
      </c>
    </row>
    <row r="97">
      <c r="A97" s="20" t="inlineStr">
        <is>
          <t>0641-0002</t>
        </is>
      </c>
      <c r="B97" s="21" t="inlineStr">
        <is>
          <t>Agrideaz Sa de Cv</t>
        </is>
      </c>
      <c r="C97" s="21" t="inlineStr">
        <is>
          <t>MOBI</t>
        </is>
      </c>
      <c r="D97" s="20" t="inlineStr">
        <is>
          <t>ACTIVO</t>
        </is>
      </c>
      <c r="E97" s="22" t="n">
        <v>36</v>
      </c>
      <c r="F97" s="23">
        <f>ROUND(Intereses_Leasing_Mensual!I97 + Intereses_Residual_Mensual!I97, 2)</f>
        <v/>
      </c>
      <c r="G97" s="23">
        <f>ROUND(Intereses_Leasing_Mensual!J97 + Intereses_Residual_Mensual!J97, 2)</f>
        <v/>
      </c>
      <c r="H97" s="23">
        <f>ROUND(Intereses_Leasing_Mensual!K97 + Intereses_Residual_Mensual!K97, 2)</f>
        <v/>
      </c>
      <c r="I97" s="23">
        <f>ROUND(Intereses_Leasing_Mensual!L97 + Intereses_Residual_Mensual!L97, 2)</f>
        <v/>
      </c>
      <c r="J97" s="23">
        <f>ROUND(Intereses_Leasing_Mensual!M97 + Intereses_Residual_Mensual!M97, 2)</f>
        <v/>
      </c>
      <c r="K97" s="23">
        <f>ROUND(Intereses_Leasing_Mensual!N97 + Intereses_Residual_Mensual!N97, 2)</f>
        <v/>
      </c>
      <c r="L97" s="23">
        <f>ROUND(Intereses_Leasing_Mensual!O97 + Intereses_Residual_Mensual!O97, 2)</f>
        <v/>
      </c>
      <c r="M97" s="23">
        <f>ROUND(Intereses_Leasing_Mensual!P97 + Intereses_Residual_Mensual!P97, 2)</f>
        <v/>
      </c>
      <c r="N97" s="23">
        <f>ROUND(Intereses_Leasing_Mensual!Q97 + Intereses_Residual_Mensual!Q97, 2)</f>
        <v/>
      </c>
      <c r="O97" s="23">
        <f>ROUND(Intereses_Leasing_Mensual!R97 + Intereses_Residual_Mensual!R97, 2)</f>
        <v/>
      </c>
      <c r="P97" s="23" t="inlineStr"/>
      <c r="Q97" s="23" t="inlineStr"/>
      <c r="R97" s="23">
        <f>SUM(F97:Q97)</f>
        <v/>
      </c>
    </row>
    <row r="98">
      <c r="A98" s="26" t="inlineStr">
        <is>
          <t>0642-0001</t>
        </is>
      </c>
      <c r="B98" s="27" t="inlineStr">
        <is>
          <t>Incubadora de Occidente Sa de Cv</t>
        </is>
      </c>
      <c r="C98" s="27" t="inlineStr">
        <is>
          <t>GRAND CHEROKEE LIMITED</t>
        </is>
      </c>
      <c r="D98" s="26" t="inlineStr">
        <is>
          <t>ACTIVO</t>
        </is>
      </c>
      <c r="E98" s="28" t="n">
        <v>48</v>
      </c>
      <c r="F98" s="29">
        <f>ROUND(Intereses_Leasing_Mensual!I98 + Intereses_Residual_Mensual!I98, 2)</f>
        <v/>
      </c>
      <c r="G98" s="29">
        <f>ROUND(Intereses_Leasing_Mensual!J98 + Intereses_Residual_Mensual!J98, 2)</f>
        <v/>
      </c>
      <c r="H98" s="29">
        <f>ROUND(Intereses_Leasing_Mensual!K98 + Intereses_Residual_Mensual!K98, 2)</f>
        <v/>
      </c>
      <c r="I98" s="29">
        <f>ROUND(Intereses_Leasing_Mensual!L98 + Intereses_Residual_Mensual!L98, 2)</f>
        <v/>
      </c>
      <c r="J98" s="29">
        <f>ROUND(Intereses_Leasing_Mensual!M98 + Intereses_Residual_Mensual!M98, 2)</f>
        <v/>
      </c>
      <c r="K98" s="29">
        <f>ROUND(Intereses_Leasing_Mensual!N98 + Intereses_Residual_Mensual!N98, 2)</f>
        <v/>
      </c>
      <c r="L98" s="29">
        <f>ROUND(Intereses_Leasing_Mensual!O98 + Intereses_Residual_Mensual!O98, 2)</f>
        <v/>
      </c>
      <c r="M98" s="29">
        <f>ROUND(Intereses_Leasing_Mensual!P98 + Intereses_Residual_Mensual!P98, 2)</f>
        <v/>
      </c>
      <c r="N98" s="29">
        <f>ROUND(Intereses_Leasing_Mensual!Q98 + Intereses_Residual_Mensual!Q98, 2)</f>
        <v/>
      </c>
      <c r="O98" s="29">
        <f>ROUND(Intereses_Leasing_Mensual!R98 + Intereses_Residual_Mensual!R98, 2)</f>
        <v/>
      </c>
      <c r="P98" s="29">
        <f>ROUND(Intereses_Leasing_Mensual!S98 + Intereses_Residual_Mensual!S98, 2)</f>
        <v/>
      </c>
      <c r="Q98" s="29">
        <f>ROUND(Intereses_Leasing_Mensual!T98 + Intereses_Residual_Mensual!T98, 2)</f>
        <v/>
      </c>
      <c r="R98" s="29">
        <f>SUM(F98:Q98)</f>
        <v/>
      </c>
    </row>
    <row r="99">
      <c r="A99" s="20" t="inlineStr">
        <is>
          <t>0644-0005</t>
        </is>
      </c>
      <c r="B99" s="21" t="inlineStr">
        <is>
          <t>Bakaya S.A.P.I.</t>
        </is>
      </c>
      <c r="C99" s="21" t="inlineStr">
        <is>
          <t>i118</t>
        </is>
      </c>
      <c r="D99" s="20" t="inlineStr">
        <is>
          <t>ACTIVO</t>
        </is>
      </c>
      <c r="E99" s="22" t="n">
        <v>36</v>
      </c>
      <c r="F99" s="23">
        <f>ROUND(Intereses_Leasing_Mensual!I99 + Intereses_Residual_Mensual!I99, 2)</f>
        <v/>
      </c>
      <c r="G99" s="23">
        <f>ROUND(Intereses_Leasing_Mensual!J99 + Intereses_Residual_Mensual!J99, 2)</f>
        <v/>
      </c>
      <c r="H99" s="23">
        <f>ROUND(Intereses_Leasing_Mensual!K99 + Intereses_Residual_Mensual!K99, 2)</f>
        <v/>
      </c>
      <c r="I99" s="23">
        <f>ROUND(Intereses_Leasing_Mensual!L99 + Intereses_Residual_Mensual!L99, 2)</f>
        <v/>
      </c>
      <c r="J99" s="23">
        <f>ROUND(Intereses_Leasing_Mensual!M99 + Intereses_Residual_Mensual!M99, 2)</f>
        <v/>
      </c>
      <c r="K99" s="23">
        <f>ROUND(Intereses_Leasing_Mensual!N99 + Intereses_Residual_Mensual!N99, 2)</f>
        <v/>
      </c>
      <c r="L99" s="23">
        <f>ROUND(Intereses_Leasing_Mensual!O99 + Intereses_Residual_Mensual!O99, 2)</f>
        <v/>
      </c>
      <c r="M99" s="23">
        <f>ROUND(Intereses_Leasing_Mensual!P99 + Intereses_Residual_Mensual!P99, 2)</f>
        <v/>
      </c>
      <c r="N99" s="23">
        <f>ROUND(Intereses_Leasing_Mensual!Q99 + Intereses_Residual_Mensual!Q99, 2)</f>
        <v/>
      </c>
      <c r="O99" s="23">
        <f>ROUND(Intereses_Leasing_Mensual!R99 + Intereses_Residual_Mensual!R99, 2)</f>
        <v/>
      </c>
      <c r="P99" s="23">
        <f>ROUND(Intereses_Leasing_Mensual!S99 + Intereses_Residual_Mensual!S99, 2)</f>
        <v/>
      </c>
      <c r="Q99" s="23">
        <f>ROUND(Intereses_Leasing_Mensual!T99 + Intereses_Residual_Mensual!T99, 2)</f>
        <v/>
      </c>
      <c r="R99" s="23">
        <f>SUM(F99:Q99)</f>
        <v/>
      </c>
    </row>
    <row r="100">
      <c r="A100" s="26" t="inlineStr">
        <is>
          <t>0644-0006</t>
        </is>
      </c>
      <c r="B100" s="27" t="inlineStr">
        <is>
          <t>Bkaya S.A.P.I.</t>
        </is>
      </c>
      <c r="C100" s="27" t="inlineStr">
        <is>
          <t>Highlander XLE</t>
        </is>
      </c>
      <c r="D100" s="26" t="inlineStr">
        <is>
          <t>ACTIVO</t>
        </is>
      </c>
      <c r="E100" s="28" t="n">
        <v>36</v>
      </c>
      <c r="F100" s="29" t="inlineStr"/>
      <c r="G100" s="29">
        <f>ROUND(Intereses_Leasing_Mensual!J100 + Intereses_Residual_Mensual!J100, 2)</f>
        <v/>
      </c>
      <c r="H100" s="29">
        <f>ROUND(Intereses_Leasing_Mensual!K100 + Intereses_Residual_Mensual!K100, 2)</f>
        <v/>
      </c>
      <c r="I100" s="29">
        <f>ROUND(Intereses_Leasing_Mensual!L100 + Intereses_Residual_Mensual!L100, 2)</f>
        <v/>
      </c>
      <c r="J100" s="29">
        <f>ROUND(Intereses_Leasing_Mensual!M100 + Intereses_Residual_Mensual!M100, 2)</f>
        <v/>
      </c>
      <c r="K100" s="29">
        <f>ROUND(Intereses_Leasing_Mensual!N100 + Intereses_Residual_Mensual!N100, 2)</f>
        <v/>
      </c>
      <c r="L100" s="29">
        <f>ROUND(Intereses_Leasing_Mensual!O100 + Intereses_Residual_Mensual!O100, 2)</f>
        <v/>
      </c>
      <c r="M100" s="29">
        <f>ROUND(Intereses_Leasing_Mensual!P100 + Intereses_Residual_Mensual!P100, 2)</f>
        <v/>
      </c>
      <c r="N100" s="29">
        <f>ROUND(Intereses_Leasing_Mensual!Q100 + Intereses_Residual_Mensual!Q100, 2)</f>
        <v/>
      </c>
      <c r="O100" s="29">
        <f>ROUND(Intereses_Leasing_Mensual!R100 + Intereses_Residual_Mensual!R100, 2)</f>
        <v/>
      </c>
      <c r="P100" s="29">
        <f>ROUND(Intereses_Leasing_Mensual!S100 + Intereses_Residual_Mensual!S100, 2)</f>
        <v/>
      </c>
      <c r="Q100" s="29">
        <f>ROUND(Intereses_Leasing_Mensual!T100 + Intereses_Residual_Mensual!T100, 2)</f>
        <v/>
      </c>
      <c r="R100" s="29">
        <f>SUM(F100:Q100)</f>
        <v/>
      </c>
    </row>
    <row r="101">
      <c r="A101" s="20" t="inlineStr">
        <is>
          <t>0645-0001</t>
        </is>
      </c>
      <c r="B101" s="21" t="inlineStr">
        <is>
          <t>Armando Duran Rubio</t>
        </is>
      </c>
      <c r="C101" s="21" t="inlineStr">
        <is>
          <t>Ram 1500 Bighorn</t>
        </is>
      </c>
      <c r="D101" s="20" t="inlineStr">
        <is>
          <t>ACTIVO</t>
        </is>
      </c>
      <c r="E101" s="22" t="n">
        <v>48</v>
      </c>
      <c r="F101" s="23">
        <f>ROUND(Intereses_Leasing_Mensual!I101 + Intereses_Residual_Mensual!I101, 2)</f>
        <v/>
      </c>
      <c r="G101" s="23">
        <f>ROUND(Intereses_Leasing_Mensual!J101 + Intereses_Residual_Mensual!J101, 2)</f>
        <v/>
      </c>
      <c r="H101" s="23">
        <f>ROUND(Intereses_Leasing_Mensual!K101 + Intereses_Residual_Mensual!K101, 2)</f>
        <v/>
      </c>
      <c r="I101" s="23">
        <f>ROUND(Intereses_Leasing_Mensual!L101 + Intereses_Residual_Mensual!L101, 2)</f>
        <v/>
      </c>
      <c r="J101" s="23">
        <f>ROUND(Intereses_Leasing_Mensual!M101 + Intereses_Residual_Mensual!M101, 2)</f>
        <v/>
      </c>
      <c r="K101" s="23">
        <f>ROUND(Intereses_Leasing_Mensual!N101 + Intereses_Residual_Mensual!N101, 2)</f>
        <v/>
      </c>
      <c r="L101" s="23">
        <f>ROUND(Intereses_Leasing_Mensual!O101 + Intereses_Residual_Mensual!O101, 2)</f>
        <v/>
      </c>
      <c r="M101" s="23">
        <f>ROUND(Intereses_Leasing_Mensual!P101 + Intereses_Residual_Mensual!P101, 2)</f>
        <v/>
      </c>
      <c r="N101" s="23">
        <f>ROUND(Intereses_Leasing_Mensual!Q101 + Intereses_Residual_Mensual!Q101, 2)</f>
        <v/>
      </c>
      <c r="O101" s="23">
        <f>ROUND(Intereses_Leasing_Mensual!R101 + Intereses_Residual_Mensual!R101, 2)</f>
        <v/>
      </c>
      <c r="P101" s="23">
        <f>ROUND(Intereses_Leasing_Mensual!S101 + Intereses_Residual_Mensual!S101, 2)</f>
        <v/>
      </c>
      <c r="Q101" s="23">
        <f>ROUND(Intereses_Leasing_Mensual!T101 + Intereses_Residual_Mensual!T101, 2)</f>
        <v/>
      </c>
      <c r="R101" s="23">
        <f>SUM(F101:Q101)</f>
        <v/>
      </c>
    </row>
    <row r="102">
      <c r="A102" s="26" t="inlineStr">
        <is>
          <t>0646-0001</t>
        </is>
      </c>
      <c r="B102" s="27" t="inlineStr">
        <is>
          <t>Liza Minerva Magallanes Reimers</t>
        </is>
      </c>
      <c r="C102" s="27" t="inlineStr">
        <is>
          <t>Wrangler</t>
        </is>
      </c>
      <c r="D102" s="26" t="inlineStr">
        <is>
          <t>ACTIVO</t>
        </is>
      </c>
      <c r="E102" s="28" t="n">
        <v>48</v>
      </c>
      <c r="F102" s="29">
        <f>ROUND(Intereses_Leasing_Mensual!I102 + Intereses_Residual_Mensual!I102, 2)</f>
        <v/>
      </c>
      <c r="G102" s="29">
        <f>ROUND(Intereses_Leasing_Mensual!J102 + Intereses_Residual_Mensual!J102, 2)</f>
        <v/>
      </c>
      <c r="H102" s="29">
        <f>ROUND(Intereses_Leasing_Mensual!K102 + Intereses_Residual_Mensual!K102, 2)</f>
        <v/>
      </c>
      <c r="I102" s="29">
        <f>ROUND(Intereses_Leasing_Mensual!L102 + Intereses_Residual_Mensual!L102, 2)</f>
        <v/>
      </c>
      <c r="J102" s="29">
        <f>ROUND(Intereses_Leasing_Mensual!M102 + Intereses_Residual_Mensual!M102, 2)</f>
        <v/>
      </c>
      <c r="K102" s="29">
        <f>ROUND(Intereses_Leasing_Mensual!N102 + Intereses_Residual_Mensual!N102, 2)</f>
        <v/>
      </c>
      <c r="L102" s="29">
        <f>ROUND(Intereses_Leasing_Mensual!O102 + Intereses_Residual_Mensual!O102, 2)</f>
        <v/>
      </c>
      <c r="M102" s="29">
        <f>ROUND(Intereses_Leasing_Mensual!P102 + Intereses_Residual_Mensual!P102, 2)</f>
        <v/>
      </c>
      <c r="N102" s="29">
        <f>ROUND(Intereses_Leasing_Mensual!Q102 + Intereses_Residual_Mensual!Q102, 2)</f>
        <v/>
      </c>
      <c r="O102" s="29">
        <f>ROUND(Intereses_Leasing_Mensual!R102 + Intereses_Residual_Mensual!R102, 2)</f>
        <v/>
      </c>
      <c r="P102" s="29">
        <f>ROUND(Intereses_Leasing_Mensual!S102 + Intereses_Residual_Mensual!S102, 2)</f>
        <v/>
      </c>
      <c r="Q102" s="29">
        <f>ROUND(Intereses_Leasing_Mensual!T102 + Intereses_Residual_Mensual!T102, 2)</f>
        <v/>
      </c>
      <c r="R102" s="29">
        <f>SUM(F102:Q102)</f>
        <v/>
      </c>
    </row>
    <row r="103">
      <c r="A103" s="20" t="inlineStr">
        <is>
          <t>0647-0001</t>
        </is>
      </c>
      <c r="B103" s="21" t="inlineStr">
        <is>
          <t>Cibara Gourmet S de Rl de Cv</t>
        </is>
      </c>
      <c r="C103" s="21" t="inlineStr">
        <is>
          <t>Partner Maxi</t>
        </is>
      </c>
      <c r="D103" s="20" t="inlineStr">
        <is>
          <t>ACTIVO</t>
        </is>
      </c>
      <c r="E103" s="22" t="n">
        <v>36</v>
      </c>
      <c r="F103" s="23">
        <f>ROUND(Intereses_Leasing_Mensual!I103 + Intereses_Residual_Mensual!I103, 2)</f>
        <v/>
      </c>
      <c r="G103" s="23">
        <f>ROUND(Intereses_Leasing_Mensual!J103 + Intereses_Residual_Mensual!J103, 2)</f>
        <v/>
      </c>
      <c r="H103" s="23">
        <f>ROUND(Intereses_Leasing_Mensual!K103 + Intereses_Residual_Mensual!K103, 2)</f>
        <v/>
      </c>
      <c r="I103" s="23">
        <f>ROUND(Intereses_Leasing_Mensual!L103 + Intereses_Residual_Mensual!L103, 2)</f>
        <v/>
      </c>
      <c r="J103" s="23">
        <f>ROUND(Intereses_Leasing_Mensual!M103 + Intereses_Residual_Mensual!M103, 2)</f>
        <v/>
      </c>
      <c r="K103" s="23">
        <f>ROUND(Intereses_Leasing_Mensual!N103 + Intereses_Residual_Mensual!N103, 2)</f>
        <v/>
      </c>
      <c r="L103" s="23">
        <f>ROUND(Intereses_Leasing_Mensual!O103 + Intereses_Residual_Mensual!O103, 2)</f>
        <v/>
      </c>
      <c r="M103" s="23">
        <f>ROUND(Intereses_Leasing_Mensual!P103 + Intereses_Residual_Mensual!P103, 2)</f>
        <v/>
      </c>
      <c r="N103" s="23">
        <f>ROUND(Intereses_Leasing_Mensual!Q103 + Intereses_Residual_Mensual!Q103, 2)</f>
        <v/>
      </c>
      <c r="O103" s="23">
        <f>ROUND(Intereses_Leasing_Mensual!R103 + Intereses_Residual_Mensual!R103, 2)</f>
        <v/>
      </c>
      <c r="P103" s="23">
        <f>ROUND(Intereses_Leasing_Mensual!S103 + Intereses_Residual_Mensual!S103, 2)</f>
        <v/>
      </c>
      <c r="Q103" s="23">
        <f>ROUND(Intereses_Leasing_Mensual!T103 + Intereses_Residual_Mensual!T103, 2)</f>
        <v/>
      </c>
      <c r="R103" s="23">
        <f>SUM(F103:Q103)</f>
        <v/>
      </c>
    </row>
    <row r="104">
      <c r="A104" s="26" t="inlineStr">
        <is>
          <t>0647-0002</t>
        </is>
      </c>
      <c r="B104" s="27" t="inlineStr">
        <is>
          <t>Cibara Gourmet S de Rl de Cv</t>
        </is>
      </c>
      <c r="C104" s="27" t="inlineStr">
        <is>
          <t>Rifter Allure Pack</t>
        </is>
      </c>
      <c r="D104" s="26" t="inlineStr">
        <is>
          <t>ACTIVO</t>
        </is>
      </c>
      <c r="E104" s="28" t="n">
        <v>36</v>
      </c>
      <c r="F104" s="29">
        <f>ROUND(Intereses_Leasing_Mensual!I104 + Intereses_Residual_Mensual!I104, 2)</f>
        <v/>
      </c>
      <c r="G104" s="29">
        <f>ROUND(Intereses_Leasing_Mensual!J104 + Intereses_Residual_Mensual!J104, 2)</f>
        <v/>
      </c>
      <c r="H104" s="29">
        <f>ROUND(Intereses_Leasing_Mensual!K104 + Intereses_Residual_Mensual!K104, 2)</f>
        <v/>
      </c>
      <c r="I104" s="29">
        <f>ROUND(Intereses_Leasing_Mensual!L104 + Intereses_Residual_Mensual!L104, 2)</f>
        <v/>
      </c>
      <c r="J104" s="29">
        <f>ROUND(Intereses_Leasing_Mensual!M104 + Intereses_Residual_Mensual!M104, 2)</f>
        <v/>
      </c>
      <c r="K104" s="29">
        <f>ROUND(Intereses_Leasing_Mensual!N104 + Intereses_Residual_Mensual!N104, 2)</f>
        <v/>
      </c>
      <c r="L104" s="29">
        <f>ROUND(Intereses_Leasing_Mensual!O104 + Intereses_Residual_Mensual!O104, 2)</f>
        <v/>
      </c>
      <c r="M104" s="29">
        <f>ROUND(Intereses_Leasing_Mensual!P104 + Intereses_Residual_Mensual!P104, 2)</f>
        <v/>
      </c>
      <c r="N104" s="29">
        <f>ROUND(Intereses_Leasing_Mensual!Q104 + Intereses_Residual_Mensual!Q104, 2)</f>
        <v/>
      </c>
      <c r="O104" s="29">
        <f>ROUND(Intereses_Leasing_Mensual!R104 + Intereses_Residual_Mensual!R104, 2)</f>
        <v/>
      </c>
      <c r="P104" s="29">
        <f>ROUND(Intereses_Leasing_Mensual!S104 + Intereses_Residual_Mensual!S104, 2)</f>
        <v/>
      </c>
      <c r="Q104" s="29">
        <f>ROUND(Intereses_Leasing_Mensual!T104 + Intereses_Residual_Mensual!T104, 2)</f>
        <v/>
      </c>
      <c r="R104" s="29">
        <f>SUM(F104:Q104)</f>
        <v/>
      </c>
    </row>
    <row r="105">
      <c r="A105" s="20" t="inlineStr">
        <is>
          <t>0647-0003</t>
        </is>
      </c>
      <c r="B105" s="21" t="inlineStr">
        <is>
          <t>Cibaria Gourmet S de Rl de Cv</t>
        </is>
      </c>
      <c r="C105" s="21" t="inlineStr">
        <is>
          <t>1200 Bighorn</t>
        </is>
      </c>
      <c r="D105" s="20" t="inlineStr">
        <is>
          <t>ACTIVO</t>
        </is>
      </c>
      <c r="E105" s="22" t="n">
        <v>36</v>
      </c>
      <c r="F105" s="23" t="inlineStr"/>
      <c r="G105" s="23" t="inlineStr"/>
      <c r="H105" s="23" t="inlineStr"/>
      <c r="I105" s="23" t="inlineStr"/>
      <c r="J105" s="23" t="inlineStr"/>
      <c r="K105" s="23">
        <f>ROUND(Intereses_Leasing_Mensual!N105 + Intereses_Residual_Mensual!N105, 2)</f>
        <v/>
      </c>
      <c r="L105" s="23">
        <f>ROUND(Intereses_Leasing_Mensual!O105 + Intereses_Residual_Mensual!O105, 2)</f>
        <v/>
      </c>
      <c r="M105" s="23">
        <f>ROUND(Intereses_Leasing_Mensual!P105 + Intereses_Residual_Mensual!P105, 2)</f>
        <v/>
      </c>
      <c r="N105" s="23">
        <f>ROUND(Intereses_Leasing_Mensual!Q105 + Intereses_Residual_Mensual!Q105, 2)</f>
        <v/>
      </c>
      <c r="O105" s="23">
        <f>ROUND(Intereses_Leasing_Mensual!R105 + Intereses_Residual_Mensual!R105, 2)</f>
        <v/>
      </c>
      <c r="P105" s="23">
        <f>ROUND(Intereses_Leasing_Mensual!S105 + Intereses_Residual_Mensual!S105, 2)</f>
        <v/>
      </c>
      <c r="Q105" s="23">
        <f>ROUND(Intereses_Leasing_Mensual!T105 + Intereses_Residual_Mensual!T105, 2)</f>
        <v/>
      </c>
      <c r="R105" s="23">
        <f>SUM(F105:Q105)</f>
        <v/>
      </c>
    </row>
    <row r="106">
      <c r="A106" s="26" t="inlineStr">
        <is>
          <t>0647-0004</t>
        </is>
      </c>
      <c r="B106" s="27" t="inlineStr">
        <is>
          <t>Cibaria Gourmet S de Rl de Cv</t>
        </is>
      </c>
      <c r="C106" s="27" t="inlineStr">
        <is>
          <t>1200 Bighorn</t>
        </is>
      </c>
      <c r="D106" s="26" t="inlineStr">
        <is>
          <t>ACTIVO</t>
        </is>
      </c>
      <c r="E106" s="28" t="n">
        <v>36</v>
      </c>
      <c r="F106" s="29" t="inlineStr"/>
      <c r="G106" s="29" t="inlineStr"/>
      <c r="H106" s="29" t="inlineStr"/>
      <c r="I106" s="29" t="inlineStr"/>
      <c r="J106" s="29" t="inlineStr"/>
      <c r="K106" s="29">
        <f>ROUND(Intereses_Leasing_Mensual!N106 + Intereses_Residual_Mensual!N106, 2)</f>
        <v/>
      </c>
      <c r="L106" s="29">
        <f>ROUND(Intereses_Leasing_Mensual!O106 + Intereses_Residual_Mensual!O106, 2)</f>
        <v/>
      </c>
      <c r="M106" s="29">
        <f>ROUND(Intereses_Leasing_Mensual!P106 + Intereses_Residual_Mensual!P106, 2)</f>
        <v/>
      </c>
      <c r="N106" s="29">
        <f>ROUND(Intereses_Leasing_Mensual!Q106 + Intereses_Residual_Mensual!Q106, 2)</f>
        <v/>
      </c>
      <c r="O106" s="29">
        <f>ROUND(Intereses_Leasing_Mensual!R106 + Intereses_Residual_Mensual!R106, 2)</f>
        <v/>
      </c>
      <c r="P106" s="29">
        <f>ROUND(Intereses_Leasing_Mensual!S106 + Intereses_Residual_Mensual!S106, 2)</f>
        <v/>
      </c>
      <c r="Q106" s="29">
        <f>ROUND(Intereses_Leasing_Mensual!T106 + Intereses_Residual_Mensual!T106, 2)</f>
        <v/>
      </c>
      <c r="R106" s="29">
        <f>SUM(F106:Q106)</f>
        <v/>
      </c>
    </row>
    <row r="107">
      <c r="A107" s="20" t="inlineStr">
        <is>
          <t>0648-0002</t>
        </is>
      </c>
      <c r="B107" s="21" t="inlineStr">
        <is>
          <t>Jorge Luis Cervantes Gonzalez</t>
        </is>
      </c>
      <c r="C107" s="21" t="inlineStr">
        <is>
          <t>Wagoneer</t>
        </is>
      </c>
      <c r="D107" s="20" t="inlineStr">
        <is>
          <t>ACTIVO</t>
        </is>
      </c>
      <c r="E107" s="22" t="n">
        <v>48</v>
      </c>
      <c r="F107" s="23">
        <f>ROUND(Intereses_Leasing_Mensual!I107 + Intereses_Residual_Mensual!I107, 2)</f>
        <v/>
      </c>
      <c r="G107" s="23">
        <f>ROUND(Intereses_Leasing_Mensual!J107 + Intereses_Residual_Mensual!J107, 2)</f>
        <v/>
      </c>
      <c r="H107" s="23">
        <f>ROUND(Intereses_Leasing_Mensual!K107 + Intereses_Residual_Mensual!K107, 2)</f>
        <v/>
      </c>
      <c r="I107" s="23">
        <f>ROUND(Intereses_Leasing_Mensual!L107 + Intereses_Residual_Mensual!L107, 2)</f>
        <v/>
      </c>
      <c r="J107" s="23">
        <f>ROUND(Intereses_Leasing_Mensual!M107 + Intereses_Residual_Mensual!M107, 2)</f>
        <v/>
      </c>
      <c r="K107" s="23">
        <f>ROUND(Intereses_Leasing_Mensual!N107 + Intereses_Residual_Mensual!N107, 2)</f>
        <v/>
      </c>
      <c r="L107" s="23">
        <f>ROUND(Intereses_Leasing_Mensual!O107 + Intereses_Residual_Mensual!O107, 2)</f>
        <v/>
      </c>
      <c r="M107" s="23">
        <f>ROUND(Intereses_Leasing_Mensual!P107 + Intereses_Residual_Mensual!P107, 2)</f>
        <v/>
      </c>
      <c r="N107" s="23">
        <f>ROUND(Intereses_Leasing_Mensual!Q107 + Intereses_Residual_Mensual!Q107, 2)</f>
        <v/>
      </c>
      <c r="O107" s="23">
        <f>ROUND(Intereses_Leasing_Mensual!R107 + Intereses_Residual_Mensual!R107, 2)</f>
        <v/>
      </c>
      <c r="P107" s="23">
        <f>ROUND(Intereses_Leasing_Mensual!S107 + Intereses_Residual_Mensual!S107, 2)</f>
        <v/>
      </c>
      <c r="Q107" s="23">
        <f>ROUND(Intereses_Leasing_Mensual!T107 + Intereses_Residual_Mensual!T107, 2)</f>
        <v/>
      </c>
      <c r="R107" s="23">
        <f>SUM(F107:Q107)</f>
        <v/>
      </c>
    </row>
    <row r="108">
      <c r="A108" s="26" t="inlineStr">
        <is>
          <t>0648-0003</t>
        </is>
      </c>
      <c r="B108" s="27" t="inlineStr">
        <is>
          <t>Jorge Luis Cervantes Gonzalez</t>
        </is>
      </c>
      <c r="C108" s="27" t="inlineStr">
        <is>
          <t>Wrangler Tuscadero</t>
        </is>
      </c>
      <c r="D108" s="26" t="inlineStr">
        <is>
          <t>ACTIVO</t>
        </is>
      </c>
      <c r="E108" s="28" t="n">
        <v>48</v>
      </c>
      <c r="F108" s="29">
        <f>ROUND(Intereses_Leasing_Mensual!I108 + Intereses_Residual_Mensual!I108, 2)</f>
        <v/>
      </c>
      <c r="G108" s="29">
        <f>ROUND(Intereses_Leasing_Mensual!J108 + Intereses_Residual_Mensual!J108, 2)</f>
        <v/>
      </c>
      <c r="H108" s="29">
        <f>ROUND(Intereses_Leasing_Mensual!K108 + Intereses_Residual_Mensual!K108, 2)</f>
        <v/>
      </c>
      <c r="I108" s="29">
        <f>ROUND(Intereses_Leasing_Mensual!L108 + Intereses_Residual_Mensual!L108, 2)</f>
        <v/>
      </c>
      <c r="J108" s="29">
        <f>ROUND(Intereses_Leasing_Mensual!M108 + Intereses_Residual_Mensual!M108, 2)</f>
        <v/>
      </c>
      <c r="K108" s="29">
        <f>ROUND(Intereses_Leasing_Mensual!N108 + Intereses_Residual_Mensual!N108, 2)</f>
        <v/>
      </c>
      <c r="L108" s="29">
        <f>ROUND(Intereses_Leasing_Mensual!O108 + Intereses_Residual_Mensual!O108, 2)</f>
        <v/>
      </c>
      <c r="M108" s="29">
        <f>ROUND(Intereses_Leasing_Mensual!P108 + Intereses_Residual_Mensual!P108, 2)</f>
        <v/>
      </c>
      <c r="N108" s="29">
        <f>ROUND(Intereses_Leasing_Mensual!Q108 + Intereses_Residual_Mensual!Q108, 2)</f>
        <v/>
      </c>
      <c r="O108" s="29">
        <f>ROUND(Intereses_Leasing_Mensual!R108 + Intereses_Residual_Mensual!R108, 2)</f>
        <v/>
      </c>
      <c r="P108" s="29">
        <f>ROUND(Intereses_Leasing_Mensual!S108 + Intereses_Residual_Mensual!S108, 2)</f>
        <v/>
      </c>
      <c r="Q108" s="29">
        <f>ROUND(Intereses_Leasing_Mensual!T108 + Intereses_Residual_Mensual!T108, 2)</f>
        <v/>
      </c>
      <c r="R108" s="29">
        <f>SUM(F108:Q108)</f>
        <v/>
      </c>
    </row>
    <row r="109">
      <c r="A109" s="20" t="inlineStr">
        <is>
          <t>0648-0004</t>
        </is>
      </c>
      <c r="B109" s="21" t="inlineStr">
        <is>
          <t>Jorge Luis Cervantes Gonzalez</t>
        </is>
      </c>
      <c r="C109" s="21" t="inlineStr">
        <is>
          <t>JEEP 392</t>
        </is>
      </c>
      <c r="D109" s="20" t="inlineStr">
        <is>
          <t>ACTIVO</t>
        </is>
      </c>
      <c r="E109" s="22" t="n">
        <v>36</v>
      </c>
      <c r="F109" s="23">
        <f>ROUND(Intereses_Leasing_Mensual!I109 + Intereses_Residual_Mensual!I109, 2)</f>
        <v/>
      </c>
      <c r="G109" s="23">
        <f>ROUND(Intereses_Leasing_Mensual!J109 + Intereses_Residual_Mensual!J109, 2)</f>
        <v/>
      </c>
      <c r="H109" s="23">
        <f>ROUND(Intereses_Leasing_Mensual!K109 + Intereses_Residual_Mensual!K109, 2)</f>
        <v/>
      </c>
      <c r="I109" s="23">
        <f>ROUND(Intereses_Leasing_Mensual!L109 + Intereses_Residual_Mensual!L109, 2)</f>
        <v/>
      </c>
      <c r="J109" s="23">
        <f>ROUND(Intereses_Leasing_Mensual!M109 + Intereses_Residual_Mensual!M109, 2)</f>
        <v/>
      </c>
      <c r="K109" s="23">
        <f>ROUND(Intereses_Leasing_Mensual!N109 + Intereses_Residual_Mensual!N109, 2)</f>
        <v/>
      </c>
      <c r="L109" s="23">
        <f>ROUND(Intereses_Leasing_Mensual!O109 + Intereses_Residual_Mensual!O109, 2)</f>
        <v/>
      </c>
      <c r="M109" s="23">
        <f>ROUND(Intereses_Leasing_Mensual!P109 + Intereses_Residual_Mensual!P109, 2)</f>
        <v/>
      </c>
      <c r="N109" s="23">
        <f>ROUND(Intereses_Leasing_Mensual!Q109 + Intereses_Residual_Mensual!Q109, 2)</f>
        <v/>
      </c>
      <c r="O109" s="23">
        <f>ROUND(Intereses_Leasing_Mensual!R109 + Intereses_Residual_Mensual!R109, 2)</f>
        <v/>
      </c>
      <c r="P109" s="23">
        <f>ROUND(Intereses_Leasing_Mensual!S109 + Intereses_Residual_Mensual!S109, 2)</f>
        <v/>
      </c>
      <c r="Q109" s="23">
        <f>ROUND(Intereses_Leasing_Mensual!T109 + Intereses_Residual_Mensual!T109, 2)</f>
        <v/>
      </c>
      <c r="R109" s="23">
        <f>SUM(F109:Q109)</f>
        <v/>
      </c>
    </row>
    <row r="110">
      <c r="A110" s="26" t="inlineStr">
        <is>
          <t>0648-0005</t>
        </is>
      </c>
      <c r="B110" s="27" t="inlineStr">
        <is>
          <t>Jorge Luis Cervantes Gonzalez</t>
        </is>
      </c>
      <c r="C110" s="27" t="inlineStr">
        <is>
          <t>1500 RHO</t>
        </is>
      </c>
      <c r="D110" s="26" t="inlineStr">
        <is>
          <t>ACTIVO</t>
        </is>
      </c>
      <c r="E110" s="28" t="n">
        <v>36</v>
      </c>
      <c r="F110" s="29">
        <f>ROUND(Intereses_Leasing_Mensual!I110 + Intereses_Residual_Mensual!I110, 2)</f>
        <v/>
      </c>
      <c r="G110" s="29">
        <f>ROUND(Intereses_Leasing_Mensual!J110 + Intereses_Residual_Mensual!J110, 2)</f>
        <v/>
      </c>
      <c r="H110" s="29">
        <f>ROUND(Intereses_Leasing_Mensual!K110 + Intereses_Residual_Mensual!K110, 2)</f>
        <v/>
      </c>
      <c r="I110" s="29">
        <f>ROUND(Intereses_Leasing_Mensual!L110 + Intereses_Residual_Mensual!L110, 2)</f>
        <v/>
      </c>
      <c r="J110" s="29">
        <f>ROUND(Intereses_Leasing_Mensual!M110 + Intereses_Residual_Mensual!M110, 2)</f>
        <v/>
      </c>
      <c r="K110" s="29">
        <f>ROUND(Intereses_Leasing_Mensual!N110 + Intereses_Residual_Mensual!N110, 2)</f>
        <v/>
      </c>
      <c r="L110" s="29">
        <f>ROUND(Intereses_Leasing_Mensual!O110 + Intereses_Residual_Mensual!O110, 2)</f>
        <v/>
      </c>
      <c r="M110" s="29">
        <f>ROUND(Intereses_Leasing_Mensual!P110 + Intereses_Residual_Mensual!P110, 2)</f>
        <v/>
      </c>
      <c r="N110" s="29">
        <f>ROUND(Intereses_Leasing_Mensual!Q110 + Intereses_Residual_Mensual!Q110, 2)</f>
        <v/>
      </c>
      <c r="O110" s="29">
        <f>ROUND(Intereses_Leasing_Mensual!R110 + Intereses_Residual_Mensual!R110, 2)</f>
        <v/>
      </c>
      <c r="P110" s="29">
        <f>ROUND(Intereses_Leasing_Mensual!S110 + Intereses_Residual_Mensual!S110, 2)</f>
        <v/>
      </c>
      <c r="Q110" s="29">
        <f>ROUND(Intereses_Leasing_Mensual!T110 + Intereses_Residual_Mensual!T110, 2)</f>
        <v/>
      </c>
      <c r="R110" s="29">
        <f>SUM(F110:Q110)</f>
        <v/>
      </c>
    </row>
    <row r="111">
      <c r="A111" s="20" t="inlineStr">
        <is>
          <t>0648-0006</t>
        </is>
      </c>
      <c r="B111" s="21" t="inlineStr">
        <is>
          <t>Jorge Luis Cervantes Gonzalez</t>
        </is>
      </c>
      <c r="C111" s="21" t="inlineStr">
        <is>
          <t>Durango Hellcat SRT</t>
        </is>
      </c>
      <c r="D111" s="20" t="inlineStr">
        <is>
          <t>ACTIVO</t>
        </is>
      </c>
      <c r="E111" s="22" t="n">
        <v>36</v>
      </c>
      <c r="F111" s="23" t="inlineStr"/>
      <c r="G111" s="23" t="inlineStr"/>
      <c r="H111" s="23" t="inlineStr"/>
      <c r="I111" s="23">
        <f>ROUND(Intereses_Leasing_Mensual!L111 + Intereses_Residual_Mensual!L111, 2)</f>
        <v/>
      </c>
      <c r="J111" s="23">
        <f>ROUND(Intereses_Leasing_Mensual!M111 + Intereses_Residual_Mensual!M111, 2)</f>
        <v/>
      </c>
      <c r="K111" s="23">
        <f>ROUND(Intereses_Leasing_Mensual!N111 + Intereses_Residual_Mensual!N111, 2)</f>
        <v/>
      </c>
      <c r="L111" s="23">
        <f>ROUND(Intereses_Leasing_Mensual!O111 + Intereses_Residual_Mensual!O111, 2)</f>
        <v/>
      </c>
      <c r="M111" s="23">
        <f>ROUND(Intereses_Leasing_Mensual!P111 + Intereses_Residual_Mensual!P111, 2)</f>
        <v/>
      </c>
      <c r="N111" s="23">
        <f>ROUND(Intereses_Leasing_Mensual!Q111 + Intereses_Residual_Mensual!Q111, 2)</f>
        <v/>
      </c>
      <c r="O111" s="23">
        <f>ROUND(Intereses_Leasing_Mensual!R111 + Intereses_Residual_Mensual!R111, 2)</f>
        <v/>
      </c>
      <c r="P111" s="23">
        <f>ROUND(Intereses_Leasing_Mensual!S111 + Intereses_Residual_Mensual!S111, 2)</f>
        <v/>
      </c>
      <c r="Q111" s="23">
        <f>ROUND(Intereses_Leasing_Mensual!T111 + Intereses_Residual_Mensual!T111, 2)</f>
        <v/>
      </c>
      <c r="R111" s="23">
        <f>SUM(F111:Q111)</f>
        <v/>
      </c>
    </row>
    <row r="112">
      <c r="A112" s="26" t="inlineStr">
        <is>
          <t>0649-0001</t>
        </is>
      </c>
      <c r="B112" s="27" t="inlineStr">
        <is>
          <t>Compusoluciones Y Asociados Sa de Cv</t>
        </is>
      </c>
      <c r="C112" s="27" t="inlineStr">
        <is>
          <t>CX-30</t>
        </is>
      </c>
      <c r="D112" s="26" t="inlineStr">
        <is>
          <t>ACTIVO</t>
        </is>
      </c>
      <c r="E112" s="28" t="n">
        <v>48</v>
      </c>
      <c r="F112" s="29">
        <f>ROUND(Intereses_Leasing_Mensual!I112 + Intereses_Residual_Mensual!I112, 2)</f>
        <v/>
      </c>
      <c r="G112" s="29">
        <f>ROUND(Intereses_Leasing_Mensual!J112 + Intereses_Residual_Mensual!J112, 2)</f>
        <v/>
      </c>
      <c r="H112" s="29">
        <f>ROUND(Intereses_Leasing_Mensual!K112 + Intereses_Residual_Mensual!K112, 2)</f>
        <v/>
      </c>
      <c r="I112" s="29">
        <f>ROUND(Intereses_Leasing_Mensual!L112 + Intereses_Residual_Mensual!L112, 2)</f>
        <v/>
      </c>
      <c r="J112" s="29">
        <f>ROUND(Intereses_Leasing_Mensual!M112 + Intereses_Residual_Mensual!M112, 2)</f>
        <v/>
      </c>
      <c r="K112" s="29">
        <f>ROUND(Intereses_Leasing_Mensual!N112 + Intereses_Residual_Mensual!N112, 2)</f>
        <v/>
      </c>
      <c r="L112" s="29">
        <f>ROUND(Intereses_Leasing_Mensual!O112 + Intereses_Residual_Mensual!O112, 2)</f>
        <v/>
      </c>
      <c r="M112" s="29">
        <f>ROUND(Intereses_Leasing_Mensual!P112 + Intereses_Residual_Mensual!P112, 2)</f>
        <v/>
      </c>
      <c r="N112" s="29">
        <f>ROUND(Intereses_Leasing_Mensual!Q112 + Intereses_Residual_Mensual!Q112, 2)</f>
        <v/>
      </c>
      <c r="O112" s="29">
        <f>ROUND(Intereses_Leasing_Mensual!R112 + Intereses_Residual_Mensual!R112, 2)</f>
        <v/>
      </c>
      <c r="P112" s="29">
        <f>ROUND(Intereses_Leasing_Mensual!S112 + Intereses_Residual_Mensual!S112, 2)</f>
        <v/>
      </c>
      <c r="Q112" s="29">
        <f>ROUND(Intereses_Leasing_Mensual!T112 + Intereses_Residual_Mensual!T112, 2)</f>
        <v/>
      </c>
      <c r="R112" s="29">
        <f>SUM(F112:Q112)</f>
        <v/>
      </c>
    </row>
    <row r="113">
      <c r="A113" s="20" t="inlineStr">
        <is>
          <t>0649-0002</t>
        </is>
      </c>
      <c r="B113" s="21" t="inlineStr">
        <is>
          <t>Compusoluciones Y Asociados Sa de Cv</t>
        </is>
      </c>
      <c r="C113" s="21" t="inlineStr">
        <is>
          <t>CX5</t>
        </is>
      </c>
      <c r="D113" s="20" t="inlineStr">
        <is>
          <t>ACTIVO</t>
        </is>
      </c>
      <c r="E113" s="22" t="n">
        <v>48</v>
      </c>
      <c r="F113" s="23">
        <f>ROUND(Intereses_Leasing_Mensual!I113 + Intereses_Residual_Mensual!I113, 2)</f>
        <v/>
      </c>
      <c r="G113" s="23">
        <f>ROUND(Intereses_Leasing_Mensual!J113 + Intereses_Residual_Mensual!J113, 2)</f>
        <v/>
      </c>
      <c r="H113" s="23">
        <f>ROUND(Intereses_Leasing_Mensual!K113 + Intereses_Residual_Mensual!K113, 2)</f>
        <v/>
      </c>
      <c r="I113" s="23">
        <f>ROUND(Intereses_Leasing_Mensual!L113 + Intereses_Residual_Mensual!L113, 2)</f>
        <v/>
      </c>
      <c r="J113" s="23">
        <f>ROUND(Intereses_Leasing_Mensual!M113 + Intereses_Residual_Mensual!M113, 2)</f>
        <v/>
      </c>
      <c r="K113" s="23">
        <f>ROUND(Intereses_Leasing_Mensual!N113 + Intereses_Residual_Mensual!N113, 2)</f>
        <v/>
      </c>
      <c r="L113" s="23">
        <f>ROUND(Intereses_Leasing_Mensual!O113 + Intereses_Residual_Mensual!O113, 2)</f>
        <v/>
      </c>
      <c r="M113" s="23">
        <f>ROUND(Intereses_Leasing_Mensual!P113 + Intereses_Residual_Mensual!P113, 2)</f>
        <v/>
      </c>
      <c r="N113" s="23">
        <f>ROUND(Intereses_Leasing_Mensual!Q113 + Intereses_Residual_Mensual!Q113, 2)</f>
        <v/>
      </c>
      <c r="O113" s="23">
        <f>ROUND(Intereses_Leasing_Mensual!R113 + Intereses_Residual_Mensual!R113, 2)</f>
        <v/>
      </c>
      <c r="P113" s="23">
        <f>ROUND(Intereses_Leasing_Mensual!S113 + Intereses_Residual_Mensual!S113, 2)</f>
        <v/>
      </c>
      <c r="Q113" s="23">
        <f>ROUND(Intereses_Leasing_Mensual!T113 + Intereses_Residual_Mensual!T113, 2)</f>
        <v/>
      </c>
      <c r="R113" s="23">
        <f>SUM(F113:Q113)</f>
        <v/>
      </c>
    </row>
    <row r="114">
      <c r="A114" s="26" t="inlineStr">
        <is>
          <t>0649-0003</t>
        </is>
      </c>
      <c r="B114" s="27" t="inlineStr">
        <is>
          <t>Compusoluciones Y Asociados Sa de Cv</t>
        </is>
      </c>
      <c r="C114" s="27" t="inlineStr">
        <is>
          <t>Highlander XLE</t>
        </is>
      </c>
      <c r="D114" s="26" t="inlineStr">
        <is>
          <t>ACTIVO</t>
        </is>
      </c>
      <c r="E114" s="28" t="n">
        <v>48</v>
      </c>
      <c r="F114" s="29">
        <f>ROUND(Intereses_Leasing_Mensual!I114 + Intereses_Residual_Mensual!I114, 2)</f>
        <v/>
      </c>
      <c r="G114" s="29">
        <f>ROUND(Intereses_Leasing_Mensual!J114 + Intereses_Residual_Mensual!J114, 2)</f>
        <v/>
      </c>
      <c r="H114" s="29">
        <f>ROUND(Intereses_Leasing_Mensual!K114 + Intereses_Residual_Mensual!K114, 2)</f>
        <v/>
      </c>
      <c r="I114" s="29">
        <f>ROUND(Intereses_Leasing_Mensual!L114 + Intereses_Residual_Mensual!L114, 2)</f>
        <v/>
      </c>
      <c r="J114" s="29">
        <f>ROUND(Intereses_Leasing_Mensual!M114 + Intereses_Residual_Mensual!M114, 2)</f>
        <v/>
      </c>
      <c r="K114" s="29">
        <f>ROUND(Intereses_Leasing_Mensual!N114 + Intereses_Residual_Mensual!N114, 2)</f>
        <v/>
      </c>
      <c r="L114" s="29">
        <f>ROUND(Intereses_Leasing_Mensual!O114 + Intereses_Residual_Mensual!O114, 2)</f>
        <v/>
      </c>
      <c r="M114" s="29">
        <f>ROUND(Intereses_Leasing_Mensual!P114 + Intereses_Residual_Mensual!P114, 2)</f>
        <v/>
      </c>
      <c r="N114" s="29">
        <f>ROUND(Intereses_Leasing_Mensual!Q114 + Intereses_Residual_Mensual!Q114, 2)</f>
        <v/>
      </c>
      <c r="O114" s="29">
        <f>ROUND(Intereses_Leasing_Mensual!R114 + Intereses_Residual_Mensual!R114, 2)</f>
        <v/>
      </c>
      <c r="P114" s="29">
        <f>ROUND(Intereses_Leasing_Mensual!S114 + Intereses_Residual_Mensual!S114, 2)</f>
        <v/>
      </c>
      <c r="Q114" s="29">
        <f>ROUND(Intereses_Leasing_Mensual!T114 + Intereses_Residual_Mensual!T114, 2)</f>
        <v/>
      </c>
      <c r="R114" s="29">
        <f>SUM(F114:Q114)</f>
        <v/>
      </c>
    </row>
    <row r="115">
      <c r="A115" s="20" t="inlineStr">
        <is>
          <t>0649-0005</t>
        </is>
      </c>
      <c r="B115" s="21" t="inlineStr">
        <is>
          <t>Compusoluciones y Asociados Sa de Cv</t>
        </is>
      </c>
      <c r="C115" s="21" t="inlineStr">
        <is>
          <t>3 i Touring</t>
        </is>
      </c>
      <c r="D115" s="20" t="inlineStr">
        <is>
          <t>ACTIVO</t>
        </is>
      </c>
      <c r="E115" s="22" t="n">
        <v>48</v>
      </c>
      <c r="F115" s="23">
        <f>ROUND(Intereses_Leasing_Mensual!I115 + Intereses_Residual_Mensual!I115, 2)</f>
        <v/>
      </c>
      <c r="G115" s="23">
        <f>ROUND(Intereses_Leasing_Mensual!J115 + Intereses_Residual_Mensual!J115, 2)</f>
        <v/>
      </c>
      <c r="H115" s="23">
        <f>ROUND(Intereses_Leasing_Mensual!K115 + Intereses_Residual_Mensual!K115, 2)</f>
        <v/>
      </c>
      <c r="I115" s="23">
        <f>ROUND(Intereses_Leasing_Mensual!L115 + Intereses_Residual_Mensual!L115, 2)</f>
        <v/>
      </c>
      <c r="J115" s="23">
        <f>ROUND(Intereses_Leasing_Mensual!M115 + Intereses_Residual_Mensual!M115, 2)</f>
        <v/>
      </c>
      <c r="K115" s="23">
        <f>ROUND(Intereses_Leasing_Mensual!N115 + Intereses_Residual_Mensual!N115, 2)</f>
        <v/>
      </c>
      <c r="L115" s="23">
        <f>ROUND(Intereses_Leasing_Mensual!O115 + Intereses_Residual_Mensual!O115, 2)</f>
        <v/>
      </c>
      <c r="M115" s="23">
        <f>ROUND(Intereses_Leasing_Mensual!P115 + Intereses_Residual_Mensual!P115, 2)</f>
        <v/>
      </c>
      <c r="N115" s="23">
        <f>ROUND(Intereses_Leasing_Mensual!Q115 + Intereses_Residual_Mensual!Q115, 2)</f>
        <v/>
      </c>
      <c r="O115" s="23">
        <f>ROUND(Intereses_Leasing_Mensual!R115 + Intereses_Residual_Mensual!R115, 2)</f>
        <v/>
      </c>
      <c r="P115" s="23">
        <f>ROUND(Intereses_Leasing_Mensual!S115 + Intereses_Residual_Mensual!S115, 2)</f>
        <v/>
      </c>
      <c r="Q115" s="23">
        <f>ROUND(Intereses_Leasing_Mensual!T115 + Intereses_Residual_Mensual!T115, 2)</f>
        <v/>
      </c>
      <c r="R115" s="23">
        <f>SUM(F115:Q115)</f>
        <v/>
      </c>
    </row>
    <row r="116">
      <c r="A116" s="26" t="inlineStr">
        <is>
          <t>0649-0006</t>
        </is>
      </c>
      <c r="B116" s="27" t="inlineStr">
        <is>
          <t>Compusoluciones y Asociados sa de Cv</t>
        </is>
      </c>
      <c r="C116" s="27" t="inlineStr">
        <is>
          <t>Mazda Cx5</t>
        </is>
      </c>
      <c r="D116" s="26" t="inlineStr">
        <is>
          <t>ACTIVO</t>
        </is>
      </c>
      <c r="E116" s="28" t="n">
        <v>48</v>
      </c>
      <c r="F116" s="29">
        <f>ROUND(Intereses_Leasing_Mensual!I116 + Intereses_Residual_Mensual!I116, 2)</f>
        <v/>
      </c>
      <c r="G116" s="29">
        <f>ROUND(Intereses_Leasing_Mensual!J116 + Intereses_Residual_Mensual!J116, 2)</f>
        <v/>
      </c>
      <c r="H116" s="29">
        <f>ROUND(Intereses_Leasing_Mensual!K116 + Intereses_Residual_Mensual!K116, 2)</f>
        <v/>
      </c>
      <c r="I116" s="29">
        <f>ROUND(Intereses_Leasing_Mensual!L116 + Intereses_Residual_Mensual!L116, 2)</f>
        <v/>
      </c>
      <c r="J116" s="29">
        <f>ROUND(Intereses_Leasing_Mensual!M116 + Intereses_Residual_Mensual!M116, 2)</f>
        <v/>
      </c>
      <c r="K116" s="29">
        <f>ROUND(Intereses_Leasing_Mensual!N116 + Intereses_Residual_Mensual!N116, 2)</f>
        <v/>
      </c>
      <c r="L116" s="29">
        <f>ROUND(Intereses_Leasing_Mensual!O116 + Intereses_Residual_Mensual!O116, 2)</f>
        <v/>
      </c>
      <c r="M116" s="29">
        <f>ROUND(Intereses_Leasing_Mensual!P116 + Intereses_Residual_Mensual!P116, 2)</f>
        <v/>
      </c>
      <c r="N116" s="29">
        <f>ROUND(Intereses_Leasing_Mensual!Q116 + Intereses_Residual_Mensual!Q116, 2)</f>
        <v/>
      </c>
      <c r="O116" s="29">
        <f>ROUND(Intereses_Leasing_Mensual!R116 + Intereses_Residual_Mensual!R116, 2)</f>
        <v/>
      </c>
      <c r="P116" s="29">
        <f>ROUND(Intereses_Leasing_Mensual!S116 + Intereses_Residual_Mensual!S116, 2)</f>
        <v/>
      </c>
      <c r="Q116" s="29">
        <f>ROUND(Intereses_Leasing_Mensual!T116 + Intereses_Residual_Mensual!T116, 2)</f>
        <v/>
      </c>
      <c r="R116" s="29">
        <f>SUM(F116:Q116)</f>
        <v/>
      </c>
    </row>
    <row r="117">
      <c r="A117" s="20" t="inlineStr">
        <is>
          <t>0649-0007</t>
        </is>
      </c>
      <c r="B117" s="21" t="inlineStr">
        <is>
          <t>Compusoluciones y Asociados sa de Cv</t>
        </is>
      </c>
      <c r="C117" s="21" t="inlineStr">
        <is>
          <t>RX5</t>
        </is>
      </c>
      <c r="D117" s="20" t="inlineStr">
        <is>
          <t>ACTIVO</t>
        </is>
      </c>
      <c r="E117" s="22" t="n">
        <v>36</v>
      </c>
      <c r="F117" s="23">
        <f>ROUND(Intereses_Leasing_Mensual!I117 + Intereses_Residual_Mensual!I117, 2)</f>
        <v/>
      </c>
      <c r="G117" s="23">
        <f>ROUND(Intereses_Leasing_Mensual!J117 + Intereses_Residual_Mensual!J117, 2)</f>
        <v/>
      </c>
      <c r="H117" s="23">
        <f>ROUND(Intereses_Leasing_Mensual!K117 + Intereses_Residual_Mensual!K117, 2)</f>
        <v/>
      </c>
      <c r="I117" s="23">
        <f>ROUND(Intereses_Leasing_Mensual!L117 + Intereses_Residual_Mensual!L117, 2)</f>
        <v/>
      </c>
      <c r="J117" s="23">
        <f>ROUND(Intereses_Leasing_Mensual!M117 + Intereses_Residual_Mensual!M117, 2)</f>
        <v/>
      </c>
      <c r="K117" s="23">
        <f>ROUND(Intereses_Leasing_Mensual!N117 + Intereses_Residual_Mensual!N117, 2)</f>
        <v/>
      </c>
      <c r="L117" s="23">
        <f>ROUND(Intereses_Leasing_Mensual!O117 + Intereses_Residual_Mensual!O117, 2)</f>
        <v/>
      </c>
      <c r="M117" s="23">
        <f>ROUND(Intereses_Leasing_Mensual!P117 + Intereses_Residual_Mensual!P117, 2)</f>
        <v/>
      </c>
      <c r="N117" s="23">
        <f>ROUND(Intereses_Leasing_Mensual!Q117 + Intereses_Residual_Mensual!Q117, 2)</f>
        <v/>
      </c>
      <c r="O117" s="23">
        <f>ROUND(Intereses_Leasing_Mensual!R117 + Intereses_Residual_Mensual!R117, 2)</f>
        <v/>
      </c>
      <c r="P117" s="23">
        <f>ROUND(Intereses_Leasing_Mensual!S117 + Intereses_Residual_Mensual!S117, 2)</f>
        <v/>
      </c>
      <c r="Q117" s="23">
        <f>ROUND(Intereses_Leasing_Mensual!T117 + Intereses_Residual_Mensual!T117, 2)</f>
        <v/>
      </c>
      <c r="R117" s="23">
        <f>SUM(F117:Q117)</f>
        <v/>
      </c>
    </row>
    <row r="118">
      <c r="A118" s="26" t="inlineStr">
        <is>
          <t>0649-0008</t>
        </is>
      </c>
      <c r="B118" s="27" t="inlineStr">
        <is>
          <t>Compusoluciones y Asociados Sa de Cv</t>
        </is>
      </c>
      <c r="C118" s="27" t="inlineStr">
        <is>
          <t>Kicks</t>
        </is>
      </c>
      <c r="D118" s="26" t="inlineStr">
        <is>
          <t>ACTIVO</t>
        </is>
      </c>
      <c r="E118" s="28" t="n">
        <v>48</v>
      </c>
      <c r="F118" s="29">
        <f>ROUND(Intereses_Leasing_Mensual!I118 + Intereses_Residual_Mensual!I118, 2)</f>
        <v/>
      </c>
      <c r="G118" s="29">
        <f>ROUND(Intereses_Leasing_Mensual!J118 + Intereses_Residual_Mensual!J118, 2)</f>
        <v/>
      </c>
      <c r="H118" s="29">
        <f>ROUND(Intereses_Leasing_Mensual!K118 + Intereses_Residual_Mensual!K118, 2)</f>
        <v/>
      </c>
      <c r="I118" s="29">
        <f>ROUND(Intereses_Leasing_Mensual!L118 + Intereses_Residual_Mensual!L118, 2)</f>
        <v/>
      </c>
      <c r="J118" s="29">
        <f>ROUND(Intereses_Leasing_Mensual!M118 + Intereses_Residual_Mensual!M118, 2)</f>
        <v/>
      </c>
      <c r="K118" s="29">
        <f>ROUND(Intereses_Leasing_Mensual!N118 + Intereses_Residual_Mensual!N118, 2)</f>
        <v/>
      </c>
      <c r="L118" s="29">
        <f>ROUND(Intereses_Leasing_Mensual!O118 + Intereses_Residual_Mensual!O118, 2)</f>
        <v/>
      </c>
      <c r="M118" s="29">
        <f>ROUND(Intereses_Leasing_Mensual!P118 + Intereses_Residual_Mensual!P118, 2)</f>
        <v/>
      </c>
      <c r="N118" s="29">
        <f>ROUND(Intereses_Leasing_Mensual!Q118 + Intereses_Residual_Mensual!Q118, 2)</f>
        <v/>
      </c>
      <c r="O118" s="29">
        <f>ROUND(Intereses_Leasing_Mensual!R118 + Intereses_Residual_Mensual!R118, 2)</f>
        <v/>
      </c>
      <c r="P118" s="29">
        <f>ROUND(Intereses_Leasing_Mensual!S118 + Intereses_Residual_Mensual!S118, 2)</f>
        <v/>
      </c>
      <c r="Q118" s="29">
        <f>ROUND(Intereses_Leasing_Mensual!T118 + Intereses_Residual_Mensual!T118, 2)</f>
        <v/>
      </c>
      <c r="R118" s="29">
        <f>SUM(F118:Q118)</f>
        <v/>
      </c>
    </row>
    <row r="119">
      <c r="A119" s="20" t="inlineStr">
        <is>
          <t>0649-0009</t>
        </is>
      </c>
      <c r="B119" s="21" t="inlineStr">
        <is>
          <t>Compusoluciones y Asociados Sa de Cv</t>
        </is>
      </c>
      <c r="C119" s="21" t="inlineStr">
        <is>
          <t>Fronx Boostergreen</t>
        </is>
      </c>
      <c r="D119" s="20" t="inlineStr">
        <is>
          <t>ACTIVO</t>
        </is>
      </c>
      <c r="E119" s="22" t="n">
        <v>48</v>
      </c>
      <c r="F119" s="23">
        <f>ROUND(Intereses_Leasing_Mensual!I119 + Intereses_Residual_Mensual!I119, 2)</f>
        <v/>
      </c>
      <c r="G119" s="23">
        <f>ROUND(Intereses_Leasing_Mensual!J119 + Intereses_Residual_Mensual!J119, 2)</f>
        <v/>
      </c>
      <c r="H119" s="23">
        <f>ROUND(Intereses_Leasing_Mensual!K119 + Intereses_Residual_Mensual!K119, 2)</f>
        <v/>
      </c>
      <c r="I119" s="23">
        <f>ROUND(Intereses_Leasing_Mensual!L119 + Intereses_Residual_Mensual!L119, 2)</f>
        <v/>
      </c>
      <c r="J119" s="23">
        <f>ROUND(Intereses_Leasing_Mensual!M119 + Intereses_Residual_Mensual!M119, 2)</f>
        <v/>
      </c>
      <c r="K119" s="23">
        <f>ROUND(Intereses_Leasing_Mensual!N119 + Intereses_Residual_Mensual!N119, 2)</f>
        <v/>
      </c>
      <c r="L119" s="23">
        <f>ROUND(Intereses_Leasing_Mensual!O119 + Intereses_Residual_Mensual!O119, 2)</f>
        <v/>
      </c>
      <c r="M119" s="23">
        <f>ROUND(Intereses_Leasing_Mensual!P119 + Intereses_Residual_Mensual!P119, 2)</f>
        <v/>
      </c>
      <c r="N119" s="23">
        <f>ROUND(Intereses_Leasing_Mensual!Q119 + Intereses_Residual_Mensual!Q119, 2)</f>
        <v/>
      </c>
      <c r="O119" s="23">
        <f>ROUND(Intereses_Leasing_Mensual!R119 + Intereses_Residual_Mensual!R119, 2)</f>
        <v/>
      </c>
      <c r="P119" s="23">
        <f>ROUND(Intereses_Leasing_Mensual!S119 + Intereses_Residual_Mensual!S119, 2)</f>
        <v/>
      </c>
      <c r="Q119" s="23">
        <f>ROUND(Intereses_Leasing_Mensual!T119 + Intereses_Residual_Mensual!T119, 2)</f>
        <v/>
      </c>
      <c r="R119" s="23">
        <f>SUM(F119:Q119)</f>
        <v/>
      </c>
    </row>
    <row r="120">
      <c r="A120" s="26" t="inlineStr">
        <is>
          <t>0649-0010</t>
        </is>
      </c>
      <c r="B120" s="27" t="inlineStr">
        <is>
          <t>Compusoluciones y Asociados Sa de Cv</t>
        </is>
      </c>
      <c r="C120" s="27" t="inlineStr">
        <is>
          <t>Mazda CX90</t>
        </is>
      </c>
      <c r="D120" s="26" t="inlineStr">
        <is>
          <t>ACTIVO</t>
        </is>
      </c>
      <c r="E120" s="28" t="n">
        <v>48</v>
      </c>
      <c r="F120" s="29">
        <f>ROUND(Intereses_Leasing_Mensual!I120 + Intereses_Residual_Mensual!I120, 2)</f>
        <v/>
      </c>
      <c r="G120" s="29">
        <f>ROUND(Intereses_Leasing_Mensual!J120 + Intereses_Residual_Mensual!J120, 2)</f>
        <v/>
      </c>
      <c r="H120" s="29">
        <f>ROUND(Intereses_Leasing_Mensual!K120 + Intereses_Residual_Mensual!K120, 2)</f>
        <v/>
      </c>
      <c r="I120" s="29">
        <f>ROUND(Intereses_Leasing_Mensual!L120 + Intereses_Residual_Mensual!L120, 2)</f>
        <v/>
      </c>
      <c r="J120" s="29">
        <f>ROUND(Intereses_Leasing_Mensual!M120 + Intereses_Residual_Mensual!M120, 2)</f>
        <v/>
      </c>
      <c r="K120" s="29">
        <f>ROUND(Intereses_Leasing_Mensual!N120 + Intereses_Residual_Mensual!N120, 2)</f>
        <v/>
      </c>
      <c r="L120" s="29">
        <f>ROUND(Intereses_Leasing_Mensual!O120 + Intereses_Residual_Mensual!O120, 2)</f>
        <v/>
      </c>
      <c r="M120" s="29">
        <f>ROUND(Intereses_Leasing_Mensual!P120 + Intereses_Residual_Mensual!P120, 2)</f>
        <v/>
      </c>
      <c r="N120" s="29">
        <f>ROUND(Intereses_Leasing_Mensual!Q120 + Intereses_Residual_Mensual!Q120, 2)</f>
        <v/>
      </c>
      <c r="O120" s="29">
        <f>ROUND(Intereses_Leasing_Mensual!R120 + Intereses_Residual_Mensual!R120, 2)</f>
        <v/>
      </c>
      <c r="P120" s="29">
        <f>ROUND(Intereses_Leasing_Mensual!S120 + Intereses_Residual_Mensual!S120, 2)</f>
        <v/>
      </c>
      <c r="Q120" s="29">
        <f>ROUND(Intereses_Leasing_Mensual!T120 + Intereses_Residual_Mensual!T120, 2)</f>
        <v/>
      </c>
      <c r="R120" s="29">
        <f>SUM(F120:Q120)</f>
        <v/>
      </c>
    </row>
    <row r="121">
      <c r="A121" s="20" t="inlineStr">
        <is>
          <t>0649-0011</t>
        </is>
      </c>
      <c r="B121" s="21" t="inlineStr">
        <is>
          <t>Compusoluciones y Asociados Sa de Cv</t>
        </is>
      </c>
      <c r="C121" s="21" t="inlineStr">
        <is>
          <t>EX40</t>
        </is>
      </c>
      <c r="D121" s="20" t="inlineStr">
        <is>
          <t>ACTIVO</t>
        </is>
      </c>
      <c r="E121" s="22" t="n">
        <v>48</v>
      </c>
      <c r="F121" s="23">
        <f>ROUND(Intereses_Leasing_Mensual!I121 + Intereses_Residual_Mensual!I121, 2)</f>
        <v/>
      </c>
      <c r="G121" s="23">
        <f>ROUND(Intereses_Leasing_Mensual!J121 + Intereses_Residual_Mensual!J121, 2)</f>
        <v/>
      </c>
      <c r="H121" s="23">
        <f>ROUND(Intereses_Leasing_Mensual!K121 + Intereses_Residual_Mensual!K121, 2)</f>
        <v/>
      </c>
      <c r="I121" s="23">
        <f>ROUND(Intereses_Leasing_Mensual!L121 + Intereses_Residual_Mensual!L121, 2)</f>
        <v/>
      </c>
      <c r="J121" s="23">
        <f>ROUND(Intereses_Leasing_Mensual!M121 + Intereses_Residual_Mensual!M121, 2)</f>
        <v/>
      </c>
      <c r="K121" s="23">
        <f>ROUND(Intereses_Leasing_Mensual!N121 + Intereses_Residual_Mensual!N121, 2)</f>
        <v/>
      </c>
      <c r="L121" s="23">
        <f>ROUND(Intereses_Leasing_Mensual!O121 + Intereses_Residual_Mensual!O121, 2)</f>
        <v/>
      </c>
      <c r="M121" s="23">
        <f>ROUND(Intereses_Leasing_Mensual!P121 + Intereses_Residual_Mensual!P121, 2)</f>
        <v/>
      </c>
      <c r="N121" s="23">
        <f>ROUND(Intereses_Leasing_Mensual!Q121 + Intereses_Residual_Mensual!Q121, 2)</f>
        <v/>
      </c>
      <c r="O121" s="23">
        <f>ROUND(Intereses_Leasing_Mensual!R121 + Intereses_Residual_Mensual!R121, 2)</f>
        <v/>
      </c>
      <c r="P121" s="23">
        <f>ROUND(Intereses_Leasing_Mensual!S121 + Intereses_Residual_Mensual!S121, 2)</f>
        <v/>
      </c>
      <c r="Q121" s="23">
        <f>ROUND(Intereses_Leasing_Mensual!T121 + Intereses_Residual_Mensual!T121, 2)</f>
        <v/>
      </c>
      <c r="R121" s="23">
        <f>SUM(F121:Q121)</f>
        <v/>
      </c>
    </row>
    <row r="122">
      <c r="A122" s="26" t="inlineStr">
        <is>
          <t>0649-0012</t>
        </is>
      </c>
      <c r="B122" s="27" t="inlineStr">
        <is>
          <t>Compusoluciones y Asociados Sa de Cv</t>
        </is>
      </c>
      <c r="C122" s="27" t="inlineStr">
        <is>
          <t>Sportage</t>
        </is>
      </c>
      <c r="D122" s="26" t="inlineStr">
        <is>
          <t>ACTIVO</t>
        </is>
      </c>
      <c r="E122" s="28" t="n">
        <v>48</v>
      </c>
      <c r="F122" s="29">
        <f>ROUND(Intereses_Leasing_Mensual!I122 + Intereses_Residual_Mensual!I122, 2)</f>
        <v/>
      </c>
      <c r="G122" s="29">
        <f>ROUND(Intereses_Leasing_Mensual!J122 + Intereses_Residual_Mensual!J122, 2)</f>
        <v/>
      </c>
      <c r="H122" s="29">
        <f>ROUND(Intereses_Leasing_Mensual!K122 + Intereses_Residual_Mensual!K122, 2)</f>
        <v/>
      </c>
      <c r="I122" s="29">
        <f>ROUND(Intereses_Leasing_Mensual!L122 + Intereses_Residual_Mensual!L122, 2)</f>
        <v/>
      </c>
      <c r="J122" s="29">
        <f>ROUND(Intereses_Leasing_Mensual!M122 + Intereses_Residual_Mensual!M122, 2)</f>
        <v/>
      </c>
      <c r="K122" s="29">
        <f>ROUND(Intereses_Leasing_Mensual!N122 + Intereses_Residual_Mensual!N122, 2)</f>
        <v/>
      </c>
      <c r="L122" s="29">
        <f>ROUND(Intereses_Leasing_Mensual!O122 + Intereses_Residual_Mensual!O122, 2)</f>
        <v/>
      </c>
      <c r="M122" s="29">
        <f>ROUND(Intereses_Leasing_Mensual!P122 + Intereses_Residual_Mensual!P122, 2)</f>
        <v/>
      </c>
      <c r="N122" s="29">
        <f>ROUND(Intereses_Leasing_Mensual!Q122 + Intereses_Residual_Mensual!Q122, 2)</f>
        <v/>
      </c>
      <c r="O122" s="29">
        <f>ROUND(Intereses_Leasing_Mensual!R122 + Intereses_Residual_Mensual!R122, 2)</f>
        <v/>
      </c>
      <c r="P122" s="29">
        <f>ROUND(Intereses_Leasing_Mensual!S122 + Intereses_Residual_Mensual!S122, 2)</f>
        <v/>
      </c>
      <c r="Q122" s="29">
        <f>ROUND(Intereses_Leasing_Mensual!T122 + Intereses_Residual_Mensual!T122, 2)</f>
        <v/>
      </c>
      <c r="R122" s="29">
        <f>SUM(F122:Q122)</f>
        <v/>
      </c>
    </row>
    <row r="123">
      <c r="A123" s="20" t="inlineStr">
        <is>
          <t>0649-0013</t>
        </is>
      </c>
      <c r="B123" s="21" t="inlineStr">
        <is>
          <t>Compusoluciones y Asociados Sa de Cv</t>
        </is>
      </c>
      <c r="C123" s="21" t="inlineStr">
        <is>
          <t>Mazda Mazda 3 Hatch Back 2026</t>
        </is>
      </c>
      <c r="D123" s="20" t="inlineStr">
        <is>
          <t>ACTIVO</t>
        </is>
      </c>
      <c r="E123" s="22" t="n">
        <v>48</v>
      </c>
      <c r="F123" s="23" t="inlineStr"/>
      <c r="G123" s="23" t="inlineStr"/>
      <c r="H123" s="23" t="inlineStr"/>
      <c r="I123" s="23" t="inlineStr"/>
      <c r="J123" s="23" t="inlineStr"/>
      <c r="K123" s="23" t="inlineStr"/>
      <c r="L123" s="23">
        <f>ROUND(Intereses_Leasing_Mensual!O123 + Intereses_Residual_Mensual!O123, 2)</f>
        <v/>
      </c>
      <c r="M123" s="23">
        <f>ROUND(Intereses_Leasing_Mensual!P123 + Intereses_Residual_Mensual!P123, 2)</f>
        <v/>
      </c>
      <c r="N123" s="23">
        <f>ROUND(Intereses_Leasing_Mensual!Q123 + Intereses_Residual_Mensual!Q123, 2)</f>
        <v/>
      </c>
      <c r="O123" s="23">
        <f>ROUND(Intereses_Leasing_Mensual!R123 + Intereses_Residual_Mensual!R123, 2)</f>
        <v/>
      </c>
      <c r="P123" s="23">
        <f>ROUND(Intereses_Leasing_Mensual!S123 + Intereses_Residual_Mensual!S123, 2)</f>
        <v/>
      </c>
      <c r="Q123" s="23">
        <f>ROUND(Intereses_Leasing_Mensual!T123 + Intereses_Residual_Mensual!T123, 2)</f>
        <v/>
      </c>
      <c r="R123" s="23">
        <f>SUM(F123:Q123)</f>
        <v/>
      </c>
    </row>
    <row r="124">
      <c r="A124" s="26" t="inlineStr">
        <is>
          <t>0649-0014</t>
        </is>
      </c>
      <c r="B124" s="27" t="inlineStr">
        <is>
          <t>Compusoluciones y Asociados Sa de Cv</t>
        </is>
      </c>
      <c r="C124" s="27" t="inlineStr">
        <is>
          <t>Subaru Forester 2026</t>
        </is>
      </c>
      <c r="D124" s="26" t="inlineStr">
        <is>
          <t>ACTIVO</t>
        </is>
      </c>
      <c r="E124" s="28" t="n">
        <v>48</v>
      </c>
      <c r="F124" s="29" t="inlineStr"/>
      <c r="G124" s="29" t="inlineStr"/>
      <c r="H124" s="29" t="inlineStr"/>
      <c r="I124" s="29" t="inlineStr"/>
      <c r="J124" s="29" t="inlineStr"/>
      <c r="K124" s="29" t="inlineStr"/>
      <c r="L124" s="29">
        <f>ROUND(Intereses_Leasing_Mensual!O124 + Intereses_Residual_Mensual!O124, 2)</f>
        <v/>
      </c>
      <c r="M124" s="29">
        <f>ROUND(Intereses_Leasing_Mensual!P124 + Intereses_Residual_Mensual!P124, 2)</f>
        <v/>
      </c>
      <c r="N124" s="29">
        <f>ROUND(Intereses_Leasing_Mensual!Q124 + Intereses_Residual_Mensual!Q124, 2)</f>
        <v/>
      </c>
      <c r="O124" s="29">
        <f>ROUND(Intereses_Leasing_Mensual!R124 + Intereses_Residual_Mensual!R124, 2)</f>
        <v/>
      </c>
      <c r="P124" s="29">
        <f>ROUND(Intereses_Leasing_Mensual!S124 + Intereses_Residual_Mensual!S124, 2)</f>
        <v/>
      </c>
      <c r="Q124" s="29">
        <f>ROUND(Intereses_Leasing_Mensual!T124 + Intereses_Residual_Mensual!T124, 2)</f>
        <v/>
      </c>
      <c r="R124" s="29">
        <f>SUM(F124:Q124)</f>
        <v/>
      </c>
    </row>
    <row r="125">
      <c r="A125" s="20" t="inlineStr">
        <is>
          <t>0650-0002</t>
        </is>
      </c>
      <c r="B125" s="21" t="inlineStr">
        <is>
          <t>Creando Music</t>
        </is>
      </c>
      <c r="C125" s="21" t="inlineStr">
        <is>
          <t>3008</t>
        </is>
      </c>
      <c r="D125" s="20" t="inlineStr">
        <is>
          <t>ACTIVO</t>
        </is>
      </c>
      <c r="E125" s="22" t="n">
        <v>12</v>
      </c>
      <c r="F125" s="23">
        <f>ROUND(Intereses_Leasing_Mensual!I125 + Intereses_Residual_Mensual!I125, 2)</f>
        <v/>
      </c>
      <c r="G125" s="23">
        <f>ROUND(Intereses_Leasing_Mensual!J125 + Intereses_Residual_Mensual!J125, 2)</f>
        <v/>
      </c>
      <c r="H125" s="23">
        <f>ROUND(Intereses_Leasing_Mensual!K125 + Intereses_Residual_Mensual!K125, 2)</f>
        <v/>
      </c>
      <c r="I125" s="23">
        <f>ROUND(Intereses_Leasing_Mensual!L125 + Intereses_Residual_Mensual!L125, 2)</f>
        <v/>
      </c>
      <c r="J125" s="23">
        <f>ROUND(Intereses_Leasing_Mensual!M125 + Intereses_Residual_Mensual!M125, 2)</f>
        <v/>
      </c>
      <c r="K125" s="23">
        <f>ROUND(Intereses_Leasing_Mensual!N125 + Intereses_Residual_Mensual!N125, 2)</f>
        <v/>
      </c>
      <c r="L125" s="23">
        <f>ROUND(Intereses_Leasing_Mensual!O125 + Intereses_Residual_Mensual!O125, 2)</f>
        <v/>
      </c>
      <c r="M125" s="23">
        <f>ROUND(Intereses_Leasing_Mensual!P125 + Intereses_Residual_Mensual!P125, 2)</f>
        <v/>
      </c>
      <c r="N125" s="23">
        <f>ROUND(Intereses_Leasing_Mensual!Q125 + Intereses_Residual_Mensual!Q125, 2)</f>
        <v/>
      </c>
      <c r="O125" s="23">
        <f>ROUND(Intereses_Leasing_Mensual!R125 + Intereses_Residual_Mensual!R125, 2)</f>
        <v/>
      </c>
      <c r="P125" s="23">
        <f>ROUND(Intereses_Leasing_Mensual!S125 + Intereses_Residual_Mensual!S125, 2)</f>
        <v/>
      </c>
      <c r="Q125" s="23" t="inlineStr"/>
      <c r="R125" s="23">
        <f>SUM(F125:Q125)</f>
        <v/>
      </c>
    </row>
    <row r="126">
      <c r="A126" s="26" t="inlineStr">
        <is>
          <t>0651-0001</t>
        </is>
      </c>
      <c r="B126" s="27" t="inlineStr">
        <is>
          <t>Asme Sa de Cv</t>
        </is>
      </c>
      <c r="C126" s="27" t="inlineStr">
        <is>
          <t>Compass High Altitude</t>
        </is>
      </c>
      <c r="D126" s="26" t="inlineStr">
        <is>
          <t>ACTIVO</t>
        </is>
      </c>
      <c r="E126" s="28" t="n">
        <v>48</v>
      </c>
      <c r="F126" s="29">
        <f>ROUND(Intereses_Leasing_Mensual!I126 + Intereses_Residual_Mensual!I126, 2)</f>
        <v/>
      </c>
      <c r="G126" s="29">
        <f>ROUND(Intereses_Leasing_Mensual!J126 + Intereses_Residual_Mensual!J126, 2)</f>
        <v/>
      </c>
      <c r="H126" s="29">
        <f>ROUND(Intereses_Leasing_Mensual!K126 + Intereses_Residual_Mensual!K126, 2)</f>
        <v/>
      </c>
      <c r="I126" s="29">
        <f>ROUND(Intereses_Leasing_Mensual!L126 + Intereses_Residual_Mensual!L126, 2)</f>
        <v/>
      </c>
      <c r="J126" s="29">
        <f>ROUND(Intereses_Leasing_Mensual!M126 + Intereses_Residual_Mensual!M126, 2)</f>
        <v/>
      </c>
      <c r="K126" s="29">
        <f>ROUND(Intereses_Leasing_Mensual!N126 + Intereses_Residual_Mensual!N126, 2)</f>
        <v/>
      </c>
      <c r="L126" s="29">
        <f>ROUND(Intereses_Leasing_Mensual!O126 + Intereses_Residual_Mensual!O126, 2)</f>
        <v/>
      </c>
      <c r="M126" s="29">
        <f>ROUND(Intereses_Leasing_Mensual!P126 + Intereses_Residual_Mensual!P126, 2)</f>
        <v/>
      </c>
      <c r="N126" s="29">
        <f>ROUND(Intereses_Leasing_Mensual!Q126 + Intereses_Residual_Mensual!Q126, 2)</f>
        <v/>
      </c>
      <c r="O126" s="29">
        <f>ROUND(Intereses_Leasing_Mensual!R126 + Intereses_Residual_Mensual!R126, 2)</f>
        <v/>
      </c>
      <c r="P126" s="29">
        <f>ROUND(Intereses_Leasing_Mensual!S126 + Intereses_Residual_Mensual!S126, 2)</f>
        <v/>
      </c>
      <c r="Q126" s="29">
        <f>ROUND(Intereses_Leasing_Mensual!T126 + Intereses_Residual_Mensual!T126, 2)</f>
        <v/>
      </c>
      <c r="R126" s="29">
        <f>SUM(F126:Q126)</f>
        <v/>
      </c>
    </row>
    <row r="127">
      <c r="A127" s="20" t="inlineStr">
        <is>
          <t>0654-0001</t>
        </is>
      </c>
      <c r="B127" s="21" t="inlineStr">
        <is>
          <t>Veronica Orozco Larios</t>
        </is>
      </c>
      <c r="C127" s="21" t="inlineStr">
        <is>
          <t>Ram 4000</t>
        </is>
      </c>
      <c r="D127" s="20" t="inlineStr">
        <is>
          <t>ACTIVO</t>
        </is>
      </c>
      <c r="E127" s="22" t="n">
        <v>36</v>
      </c>
      <c r="F127" s="23">
        <f>ROUND(Intereses_Leasing_Mensual!I127 + Intereses_Residual_Mensual!I127, 2)</f>
        <v/>
      </c>
      <c r="G127" s="23">
        <f>ROUND(Intereses_Leasing_Mensual!J127 + Intereses_Residual_Mensual!J127, 2)</f>
        <v/>
      </c>
      <c r="H127" s="23">
        <f>ROUND(Intereses_Leasing_Mensual!K127 + Intereses_Residual_Mensual!K127, 2)</f>
        <v/>
      </c>
      <c r="I127" s="23">
        <f>ROUND(Intereses_Leasing_Mensual!L127 + Intereses_Residual_Mensual!L127, 2)</f>
        <v/>
      </c>
      <c r="J127" s="23">
        <f>ROUND(Intereses_Leasing_Mensual!M127 + Intereses_Residual_Mensual!M127, 2)</f>
        <v/>
      </c>
      <c r="K127" s="23">
        <f>ROUND(Intereses_Leasing_Mensual!N127 + Intereses_Residual_Mensual!N127, 2)</f>
        <v/>
      </c>
      <c r="L127" s="23">
        <f>ROUND(Intereses_Leasing_Mensual!O127 + Intereses_Residual_Mensual!O127, 2)</f>
        <v/>
      </c>
      <c r="M127" s="23">
        <f>ROUND(Intereses_Leasing_Mensual!P127 + Intereses_Residual_Mensual!P127, 2)</f>
        <v/>
      </c>
      <c r="N127" s="23">
        <f>ROUND(Intereses_Leasing_Mensual!Q127 + Intereses_Residual_Mensual!Q127, 2)</f>
        <v/>
      </c>
      <c r="O127" s="23">
        <f>ROUND(Intereses_Leasing_Mensual!R127 + Intereses_Residual_Mensual!R127, 2)</f>
        <v/>
      </c>
      <c r="P127" s="23">
        <f>ROUND(Intereses_Leasing_Mensual!S127 + Intereses_Residual_Mensual!S127, 2)</f>
        <v/>
      </c>
      <c r="Q127" s="23">
        <f>ROUND(Intereses_Leasing_Mensual!T127 + Intereses_Residual_Mensual!T127, 2)</f>
        <v/>
      </c>
      <c r="R127" s="23">
        <f>SUM(F127:Q127)</f>
        <v/>
      </c>
    </row>
    <row r="128">
      <c r="A128" s="26" t="inlineStr">
        <is>
          <t>0655-0001</t>
        </is>
      </c>
      <c r="B128" s="27" t="inlineStr">
        <is>
          <t>Viñedos de la Rivera Sur de Chapala S de Rl de Cv</t>
        </is>
      </c>
      <c r="C128" s="27" t="inlineStr">
        <is>
          <t>Ram 2500 HEMI</t>
        </is>
      </c>
      <c r="D128" s="26" t="inlineStr">
        <is>
          <t>ACTIVO</t>
        </is>
      </c>
      <c r="E128" s="28" t="n">
        <v>36</v>
      </c>
      <c r="F128" s="29">
        <f>ROUND(Intereses_Leasing_Mensual!I128 + Intereses_Residual_Mensual!I128, 2)</f>
        <v/>
      </c>
      <c r="G128" s="29">
        <f>ROUND(Intereses_Leasing_Mensual!J128 + Intereses_Residual_Mensual!J128, 2)</f>
        <v/>
      </c>
      <c r="H128" s="29">
        <f>ROUND(Intereses_Leasing_Mensual!K128 + Intereses_Residual_Mensual!K128, 2)</f>
        <v/>
      </c>
      <c r="I128" s="29">
        <f>ROUND(Intereses_Leasing_Mensual!L128 + Intereses_Residual_Mensual!L128, 2)</f>
        <v/>
      </c>
      <c r="J128" s="29">
        <f>ROUND(Intereses_Leasing_Mensual!M128 + Intereses_Residual_Mensual!M128, 2)</f>
        <v/>
      </c>
      <c r="K128" s="29">
        <f>ROUND(Intereses_Leasing_Mensual!N128 + Intereses_Residual_Mensual!N128, 2)</f>
        <v/>
      </c>
      <c r="L128" s="29">
        <f>ROUND(Intereses_Leasing_Mensual!O128 + Intereses_Residual_Mensual!O128, 2)</f>
        <v/>
      </c>
      <c r="M128" s="29">
        <f>ROUND(Intereses_Leasing_Mensual!P128 + Intereses_Residual_Mensual!P128, 2)</f>
        <v/>
      </c>
      <c r="N128" s="29">
        <f>ROUND(Intereses_Leasing_Mensual!Q128 + Intereses_Residual_Mensual!Q128, 2)</f>
        <v/>
      </c>
      <c r="O128" s="29">
        <f>ROUND(Intereses_Leasing_Mensual!R128 + Intereses_Residual_Mensual!R128, 2)</f>
        <v/>
      </c>
      <c r="P128" s="29">
        <f>ROUND(Intereses_Leasing_Mensual!S128 + Intereses_Residual_Mensual!S128, 2)</f>
        <v/>
      </c>
      <c r="Q128" s="29">
        <f>ROUND(Intereses_Leasing_Mensual!T128 + Intereses_Residual_Mensual!T128, 2)</f>
        <v/>
      </c>
      <c r="R128" s="29">
        <f>SUM(F128:Q128)</f>
        <v/>
      </c>
    </row>
    <row r="129">
      <c r="A129" s="20" t="inlineStr">
        <is>
          <t>0658-0001</t>
        </is>
      </c>
      <c r="B129" s="21" t="inlineStr">
        <is>
          <t>Esteban Polanco Navarro</t>
        </is>
      </c>
      <c r="C129" s="21" t="inlineStr">
        <is>
          <t>RAM 1500 Long Horn</t>
        </is>
      </c>
      <c r="D129" s="20" t="inlineStr">
        <is>
          <t>ACTIVO</t>
        </is>
      </c>
      <c r="E129" s="22" t="n">
        <v>48</v>
      </c>
      <c r="F129" s="23">
        <f>ROUND(Intereses_Leasing_Mensual!I129 + Intereses_Residual_Mensual!I129, 2)</f>
        <v/>
      </c>
      <c r="G129" s="23">
        <f>ROUND(Intereses_Leasing_Mensual!J129 + Intereses_Residual_Mensual!J129, 2)</f>
        <v/>
      </c>
      <c r="H129" s="23">
        <f>ROUND(Intereses_Leasing_Mensual!K129 + Intereses_Residual_Mensual!K129, 2)</f>
        <v/>
      </c>
      <c r="I129" s="23">
        <f>ROUND(Intereses_Leasing_Mensual!L129 + Intereses_Residual_Mensual!L129, 2)</f>
        <v/>
      </c>
      <c r="J129" s="23">
        <f>ROUND(Intereses_Leasing_Mensual!M129 + Intereses_Residual_Mensual!M129, 2)</f>
        <v/>
      </c>
      <c r="K129" s="23">
        <f>ROUND(Intereses_Leasing_Mensual!N129 + Intereses_Residual_Mensual!N129, 2)</f>
        <v/>
      </c>
      <c r="L129" s="23">
        <f>ROUND(Intereses_Leasing_Mensual!O129 + Intereses_Residual_Mensual!O129, 2)</f>
        <v/>
      </c>
      <c r="M129" s="23">
        <f>ROUND(Intereses_Leasing_Mensual!P129 + Intereses_Residual_Mensual!P129, 2)</f>
        <v/>
      </c>
      <c r="N129" s="23">
        <f>ROUND(Intereses_Leasing_Mensual!Q129 + Intereses_Residual_Mensual!Q129, 2)</f>
        <v/>
      </c>
      <c r="O129" s="23">
        <f>ROUND(Intereses_Leasing_Mensual!R129 + Intereses_Residual_Mensual!R129, 2)</f>
        <v/>
      </c>
      <c r="P129" s="23">
        <f>ROUND(Intereses_Leasing_Mensual!S129 + Intereses_Residual_Mensual!S129, 2)</f>
        <v/>
      </c>
      <c r="Q129" s="23">
        <f>ROUND(Intereses_Leasing_Mensual!T129 + Intereses_Residual_Mensual!T129, 2)</f>
        <v/>
      </c>
      <c r="R129" s="23">
        <f>SUM(F129:Q129)</f>
        <v/>
      </c>
    </row>
    <row r="130">
      <c r="A130" s="26" t="inlineStr">
        <is>
          <t>0660-0001</t>
        </is>
      </c>
      <c r="B130" s="27" t="inlineStr">
        <is>
          <t>Big Buck Capital sc</t>
        </is>
      </c>
      <c r="C130" s="27" t="inlineStr">
        <is>
          <t>MG 5</t>
        </is>
      </c>
      <c r="D130" s="26" t="inlineStr">
        <is>
          <t>ACTIVO</t>
        </is>
      </c>
      <c r="E130" s="28" t="n">
        <v>48</v>
      </c>
      <c r="F130" s="29">
        <f>ROUND(Intereses_Leasing_Mensual!I130 + Intereses_Residual_Mensual!I130, 2)</f>
        <v/>
      </c>
      <c r="G130" s="29">
        <f>ROUND(Intereses_Leasing_Mensual!J130 + Intereses_Residual_Mensual!J130, 2)</f>
        <v/>
      </c>
      <c r="H130" s="29">
        <f>ROUND(Intereses_Leasing_Mensual!K130 + Intereses_Residual_Mensual!K130, 2)</f>
        <v/>
      </c>
      <c r="I130" s="29">
        <f>ROUND(Intereses_Leasing_Mensual!L130 + Intereses_Residual_Mensual!L130, 2)</f>
        <v/>
      </c>
      <c r="J130" s="29">
        <f>ROUND(Intereses_Leasing_Mensual!M130 + Intereses_Residual_Mensual!M130, 2)</f>
        <v/>
      </c>
      <c r="K130" s="29">
        <f>ROUND(Intereses_Leasing_Mensual!N130 + Intereses_Residual_Mensual!N130, 2)</f>
        <v/>
      </c>
      <c r="L130" s="29">
        <f>ROUND(Intereses_Leasing_Mensual!O130 + Intereses_Residual_Mensual!O130, 2)</f>
        <v/>
      </c>
      <c r="M130" s="29">
        <f>ROUND(Intereses_Leasing_Mensual!P130 + Intereses_Residual_Mensual!P130, 2)</f>
        <v/>
      </c>
      <c r="N130" s="29">
        <f>ROUND(Intereses_Leasing_Mensual!Q130 + Intereses_Residual_Mensual!Q130, 2)</f>
        <v/>
      </c>
      <c r="O130" s="29">
        <f>ROUND(Intereses_Leasing_Mensual!R130 + Intereses_Residual_Mensual!R130, 2)</f>
        <v/>
      </c>
      <c r="P130" s="29">
        <f>ROUND(Intereses_Leasing_Mensual!S130 + Intereses_Residual_Mensual!S130, 2)</f>
        <v/>
      </c>
      <c r="Q130" s="29">
        <f>ROUND(Intereses_Leasing_Mensual!T130 + Intereses_Residual_Mensual!T130, 2)</f>
        <v/>
      </c>
      <c r="R130" s="29">
        <f>SUM(F130:Q130)</f>
        <v/>
      </c>
    </row>
    <row r="131">
      <c r="A131" s="20" t="inlineStr">
        <is>
          <t>0660-0002</t>
        </is>
      </c>
      <c r="B131" s="21" t="inlineStr">
        <is>
          <t>Big Buck Capital Sc</t>
        </is>
      </c>
      <c r="C131" s="21" t="inlineStr">
        <is>
          <t>Sienna</t>
        </is>
      </c>
      <c r="D131" s="20" t="inlineStr">
        <is>
          <t>ACTIVO</t>
        </is>
      </c>
      <c r="E131" s="22" t="n">
        <v>48</v>
      </c>
      <c r="F131" s="23">
        <f>ROUND(Intereses_Leasing_Mensual!I131 + Intereses_Residual_Mensual!I131, 2)</f>
        <v/>
      </c>
      <c r="G131" s="23">
        <f>ROUND(Intereses_Leasing_Mensual!J131 + Intereses_Residual_Mensual!J131, 2)</f>
        <v/>
      </c>
      <c r="H131" s="23">
        <f>ROUND(Intereses_Leasing_Mensual!K131 + Intereses_Residual_Mensual!K131, 2)</f>
        <v/>
      </c>
      <c r="I131" s="23">
        <f>ROUND(Intereses_Leasing_Mensual!L131 + Intereses_Residual_Mensual!L131, 2)</f>
        <v/>
      </c>
      <c r="J131" s="23">
        <f>ROUND(Intereses_Leasing_Mensual!M131 + Intereses_Residual_Mensual!M131, 2)</f>
        <v/>
      </c>
      <c r="K131" s="23">
        <f>ROUND(Intereses_Leasing_Mensual!N131 + Intereses_Residual_Mensual!N131, 2)</f>
        <v/>
      </c>
      <c r="L131" s="23">
        <f>ROUND(Intereses_Leasing_Mensual!O131 + Intereses_Residual_Mensual!O131, 2)</f>
        <v/>
      </c>
      <c r="M131" s="23">
        <f>ROUND(Intereses_Leasing_Mensual!P131 + Intereses_Residual_Mensual!P131, 2)</f>
        <v/>
      </c>
      <c r="N131" s="23">
        <f>ROUND(Intereses_Leasing_Mensual!Q131 + Intereses_Residual_Mensual!Q131, 2)</f>
        <v/>
      </c>
      <c r="O131" s="23">
        <f>ROUND(Intereses_Leasing_Mensual!R131 + Intereses_Residual_Mensual!R131, 2)</f>
        <v/>
      </c>
      <c r="P131" s="23">
        <f>ROUND(Intereses_Leasing_Mensual!S131 + Intereses_Residual_Mensual!S131, 2)</f>
        <v/>
      </c>
      <c r="Q131" s="23">
        <f>ROUND(Intereses_Leasing_Mensual!T131 + Intereses_Residual_Mensual!T131, 2)</f>
        <v/>
      </c>
      <c r="R131" s="23">
        <f>SUM(F131:Q131)</f>
        <v/>
      </c>
    </row>
    <row r="132">
      <c r="A132" s="26" t="inlineStr">
        <is>
          <t>0661-0001</t>
        </is>
      </c>
      <c r="B132" s="27" t="inlineStr">
        <is>
          <t>Veta Vertical Home Sa de Cv</t>
        </is>
      </c>
      <c r="C132" s="27" t="inlineStr">
        <is>
          <t>3008 Allure Pack</t>
        </is>
      </c>
      <c r="D132" s="26" t="inlineStr">
        <is>
          <t>ACTIVO</t>
        </is>
      </c>
      <c r="E132" s="28" t="n">
        <v>48</v>
      </c>
      <c r="F132" s="29">
        <f>ROUND(Intereses_Leasing_Mensual!I132 + Intereses_Residual_Mensual!I132, 2)</f>
        <v/>
      </c>
      <c r="G132" s="29">
        <f>ROUND(Intereses_Leasing_Mensual!J132 + Intereses_Residual_Mensual!J132, 2)</f>
        <v/>
      </c>
      <c r="H132" s="29">
        <f>ROUND(Intereses_Leasing_Mensual!K132 + Intereses_Residual_Mensual!K132, 2)</f>
        <v/>
      </c>
      <c r="I132" s="29">
        <f>ROUND(Intereses_Leasing_Mensual!L132 + Intereses_Residual_Mensual!L132, 2)</f>
        <v/>
      </c>
      <c r="J132" s="29">
        <f>ROUND(Intereses_Leasing_Mensual!M132 + Intereses_Residual_Mensual!M132, 2)</f>
        <v/>
      </c>
      <c r="K132" s="29">
        <f>ROUND(Intereses_Leasing_Mensual!N132 + Intereses_Residual_Mensual!N132, 2)</f>
        <v/>
      </c>
      <c r="L132" s="29">
        <f>ROUND(Intereses_Leasing_Mensual!O132 + Intereses_Residual_Mensual!O132, 2)</f>
        <v/>
      </c>
      <c r="M132" s="29">
        <f>ROUND(Intereses_Leasing_Mensual!P132 + Intereses_Residual_Mensual!P132, 2)</f>
        <v/>
      </c>
      <c r="N132" s="29">
        <f>ROUND(Intereses_Leasing_Mensual!Q132 + Intereses_Residual_Mensual!Q132, 2)</f>
        <v/>
      </c>
      <c r="O132" s="29">
        <f>ROUND(Intereses_Leasing_Mensual!R132 + Intereses_Residual_Mensual!R132, 2)</f>
        <v/>
      </c>
      <c r="P132" s="29">
        <f>ROUND(Intereses_Leasing_Mensual!S132 + Intereses_Residual_Mensual!S132, 2)</f>
        <v/>
      </c>
      <c r="Q132" s="29">
        <f>ROUND(Intereses_Leasing_Mensual!T132 + Intereses_Residual_Mensual!T132, 2)</f>
        <v/>
      </c>
      <c r="R132" s="29">
        <f>SUM(F132:Q132)</f>
        <v/>
      </c>
    </row>
    <row r="133">
      <c r="A133" s="20" t="inlineStr">
        <is>
          <t>0662-0001</t>
        </is>
      </c>
      <c r="B133" s="21" t="inlineStr">
        <is>
          <t>Luis Jorge de Loera Perez</t>
        </is>
      </c>
      <c r="C133" s="21" t="inlineStr">
        <is>
          <t>L200 GLX Diesel</t>
        </is>
      </c>
      <c r="D133" s="20" t="inlineStr">
        <is>
          <t>ACTIVO</t>
        </is>
      </c>
      <c r="E133" s="22" t="n">
        <v>48</v>
      </c>
      <c r="F133" s="23">
        <f>ROUND(Intereses_Leasing_Mensual!I133 + Intereses_Residual_Mensual!I133, 2)</f>
        <v/>
      </c>
      <c r="G133" s="23">
        <f>ROUND(Intereses_Leasing_Mensual!J133 + Intereses_Residual_Mensual!J133, 2)</f>
        <v/>
      </c>
      <c r="H133" s="23">
        <f>ROUND(Intereses_Leasing_Mensual!K133 + Intereses_Residual_Mensual!K133, 2)</f>
        <v/>
      </c>
      <c r="I133" s="23">
        <f>ROUND(Intereses_Leasing_Mensual!L133 + Intereses_Residual_Mensual!L133, 2)</f>
        <v/>
      </c>
      <c r="J133" s="23">
        <f>ROUND(Intereses_Leasing_Mensual!M133 + Intereses_Residual_Mensual!M133, 2)</f>
        <v/>
      </c>
      <c r="K133" s="23">
        <f>ROUND(Intereses_Leasing_Mensual!N133 + Intereses_Residual_Mensual!N133, 2)</f>
        <v/>
      </c>
      <c r="L133" s="23">
        <f>ROUND(Intereses_Leasing_Mensual!O133 + Intereses_Residual_Mensual!O133, 2)</f>
        <v/>
      </c>
      <c r="M133" s="23">
        <f>ROUND(Intereses_Leasing_Mensual!P133 + Intereses_Residual_Mensual!P133, 2)</f>
        <v/>
      </c>
      <c r="N133" s="23">
        <f>ROUND(Intereses_Leasing_Mensual!Q133 + Intereses_Residual_Mensual!Q133, 2)</f>
        <v/>
      </c>
      <c r="O133" s="23">
        <f>ROUND(Intereses_Leasing_Mensual!R133 + Intereses_Residual_Mensual!R133, 2)</f>
        <v/>
      </c>
      <c r="P133" s="23">
        <f>ROUND(Intereses_Leasing_Mensual!S133 + Intereses_Residual_Mensual!S133, 2)</f>
        <v/>
      </c>
      <c r="Q133" s="23">
        <f>ROUND(Intereses_Leasing_Mensual!T133 + Intereses_Residual_Mensual!T133, 2)</f>
        <v/>
      </c>
      <c r="R133" s="23">
        <f>SUM(F133:Q133)</f>
        <v/>
      </c>
    </row>
    <row r="134">
      <c r="A134" s="26" t="inlineStr">
        <is>
          <t>0662-0002</t>
        </is>
      </c>
      <c r="B134" s="27" t="inlineStr">
        <is>
          <t>Luis Jorge De Loera Perez</t>
        </is>
      </c>
      <c r="C134" s="27" t="inlineStr">
        <is>
          <t>NP 300</t>
        </is>
      </c>
      <c r="D134" s="26" t="inlineStr">
        <is>
          <t>ACTIVO</t>
        </is>
      </c>
      <c r="E134" s="28" t="n">
        <v>48</v>
      </c>
      <c r="F134" s="29">
        <f>ROUND(Intereses_Leasing_Mensual!I134 + Intereses_Residual_Mensual!I134, 2)</f>
        <v/>
      </c>
      <c r="G134" s="29">
        <f>ROUND(Intereses_Leasing_Mensual!J134 + Intereses_Residual_Mensual!J134, 2)</f>
        <v/>
      </c>
      <c r="H134" s="29">
        <f>ROUND(Intereses_Leasing_Mensual!K134 + Intereses_Residual_Mensual!K134, 2)</f>
        <v/>
      </c>
      <c r="I134" s="29">
        <f>ROUND(Intereses_Leasing_Mensual!L134 + Intereses_Residual_Mensual!L134, 2)</f>
        <v/>
      </c>
      <c r="J134" s="29">
        <f>ROUND(Intereses_Leasing_Mensual!M134 + Intereses_Residual_Mensual!M134, 2)</f>
        <v/>
      </c>
      <c r="K134" s="29">
        <f>ROUND(Intereses_Leasing_Mensual!N134 + Intereses_Residual_Mensual!N134, 2)</f>
        <v/>
      </c>
      <c r="L134" s="29">
        <f>ROUND(Intereses_Leasing_Mensual!O134 + Intereses_Residual_Mensual!O134, 2)</f>
        <v/>
      </c>
      <c r="M134" s="29">
        <f>ROUND(Intereses_Leasing_Mensual!P134 + Intereses_Residual_Mensual!P134, 2)</f>
        <v/>
      </c>
      <c r="N134" s="29">
        <f>ROUND(Intereses_Leasing_Mensual!Q134 + Intereses_Residual_Mensual!Q134, 2)</f>
        <v/>
      </c>
      <c r="O134" s="29">
        <f>ROUND(Intereses_Leasing_Mensual!R134 + Intereses_Residual_Mensual!R134, 2)</f>
        <v/>
      </c>
      <c r="P134" s="29">
        <f>ROUND(Intereses_Leasing_Mensual!S134 + Intereses_Residual_Mensual!S134, 2)</f>
        <v/>
      </c>
      <c r="Q134" s="29">
        <f>ROUND(Intereses_Leasing_Mensual!T134 + Intereses_Residual_Mensual!T134, 2)</f>
        <v/>
      </c>
      <c r="R134" s="29">
        <f>SUM(F134:Q134)</f>
        <v/>
      </c>
    </row>
    <row r="135">
      <c r="A135" s="20" t="inlineStr">
        <is>
          <t>0662-0003</t>
        </is>
      </c>
      <c r="B135" s="21" t="inlineStr">
        <is>
          <t>Luis Jorge De Loera Perez</t>
        </is>
      </c>
      <c r="C135" s="21" t="inlineStr">
        <is>
          <t>Rav 4</t>
        </is>
      </c>
      <c r="D135" s="20" t="inlineStr">
        <is>
          <t>ACTIVO</t>
        </is>
      </c>
      <c r="E135" s="22" t="n">
        <v>48</v>
      </c>
      <c r="F135" s="23">
        <f>ROUND(Intereses_Leasing_Mensual!I135 + Intereses_Residual_Mensual!I135, 2)</f>
        <v/>
      </c>
      <c r="G135" s="23">
        <f>ROUND(Intereses_Leasing_Mensual!J135 + Intereses_Residual_Mensual!J135, 2)</f>
        <v/>
      </c>
      <c r="H135" s="23">
        <f>ROUND(Intereses_Leasing_Mensual!K135 + Intereses_Residual_Mensual!K135, 2)</f>
        <v/>
      </c>
      <c r="I135" s="23">
        <f>ROUND(Intereses_Leasing_Mensual!L135 + Intereses_Residual_Mensual!L135, 2)</f>
        <v/>
      </c>
      <c r="J135" s="23">
        <f>ROUND(Intereses_Leasing_Mensual!M135 + Intereses_Residual_Mensual!M135, 2)</f>
        <v/>
      </c>
      <c r="K135" s="23">
        <f>ROUND(Intereses_Leasing_Mensual!N135 + Intereses_Residual_Mensual!N135, 2)</f>
        <v/>
      </c>
      <c r="L135" s="23">
        <f>ROUND(Intereses_Leasing_Mensual!O135 + Intereses_Residual_Mensual!O135, 2)</f>
        <v/>
      </c>
      <c r="M135" s="23">
        <f>ROUND(Intereses_Leasing_Mensual!P135 + Intereses_Residual_Mensual!P135, 2)</f>
        <v/>
      </c>
      <c r="N135" s="23">
        <f>ROUND(Intereses_Leasing_Mensual!Q135 + Intereses_Residual_Mensual!Q135, 2)</f>
        <v/>
      </c>
      <c r="O135" s="23">
        <f>ROUND(Intereses_Leasing_Mensual!R135 + Intereses_Residual_Mensual!R135, 2)</f>
        <v/>
      </c>
      <c r="P135" s="23">
        <f>ROUND(Intereses_Leasing_Mensual!S135 + Intereses_Residual_Mensual!S135, 2)</f>
        <v/>
      </c>
      <c r="Q135" s="23">
        <f>ROUND(Intereses_Leasing_Mensual!T135 + Intereses_Residual_Mensual!T135, 2)</f>
        <v/>
      </c>
      <c r="R135" s="23">
        <f>SUM(F135:Q135)</f>
        <v/>
      </c>
    </row>
    <row r="136">
      <c r="A136" s="26" t="inlineStr">
        <is>
          <t>0663-0001</t>
        </is>
      </c>
      <c r="B136" s="27" t="inlineStr">
        <is>
          <t>Soluciones de Transporte de Carga B de Sa de Cv</t>
        </is>
      </c>
      <c r="C136" s="27" t="inlineStr">
        <is>
          <t>L200 GLX Diesel</t>
        </is>
      </c>
      <c r="D136" s="26" t="inlineStr">
        <is>
          <t>ACTIVO</t>
        </is>
      </c>
      <c r="E136" s="28" t="n">
        <v>48</v>
      </c>
      <c r="F136" s="29">
        <f>ROUND(Intereses_Leasing_Mensual!I136 + Intereses_Residual_Mensual!I136, 2)</f>
        <v/>
      </c>
      <c r="G136" s="29">
        <f>ROUND(Intereses_Leasing_Mensual!J136 + Intereses_Residual_Mensual!J136, 2)</f>
        <v/>
      </c>
      <c r="H136" s="29">
        <f>ROUND(Intereses_Leasing_Mensual!K136 + Intereses_Residual_Mensual!K136, 2)</f>
        <v/>
      </c>
      <c r="I136" s="29">
        <f>ROUND(Intereses_Leasing_Mensual!L136 + Intereses_Residual_Mensual!L136, 2)</f>
        <v/>
      </c>
      <c r="J136" s="29">
        <f>ROUND(Intereses_Leasing_Mensual!M136 + Intereses_Residual_Mensual!M136, 2)</f>
        <v/>
      </c>
      <c r="K136" s="29">
        <f>ROUND(Intereses_Leasing_Mensual!N136 + Intereses_Residual_Mensual!N136, 2)</f>
        <v/>
      </c>
      <c r="L136" s="29">
        <f>ROUND(Intereses_Leasing_Mensual!O136 + Intereses_Residual_Mensual!O136, 2)</f>
        <v/>
      </c>
      <c r="M136" s="29">
        <f>ROUND(Intereses_Leasing_Mensual!P136 + Intereses_Residual_Mensual!P136, 2)</f>
        <v/>
      </c>
      <c r="N136" s="29">
        <f>ROUND(Intereses_Leasing_Mensual!Q136 + Intereses_Residual_Mensual!Q136, 2)</f>
        <v/>
      </c>
      <c r="O136" s="29">
        <f>ROUND(Intereses_Leasing_Mensual!R136 + Intereses_Residual_Mensual!R136, 2)</f>
        <v/>
      </c>
      <c r="P136" s="29">
        <f>ROUND(Intereses_Leasing_Mensual!S136 + Intereses_Residual_Mensual!S136, 2)</f>
        <v/>
      </c>
      <c r="Q136" s="29">
        <f>ROUND(Intereses_Leasing_Mensual!T136 + Intereses_Residual_Mensual!T136, 2)</f>
        <v/>
      </c>
      <c r="R136" s="29">
        <f>SUM(F136:Q136)</f>
        <v/>
      </c>
    </row>
    <row r="137">
      <c r="A137" s="20" t="inlineStr">
        <is>
          <t>0663-0002</t>
        </is>
      </c>
      <c r="B137" s="21" t="inlineStr">
        <is>
          <t>Diego Hazael Morales Iñiguez</t>
        </is>
      </c>
      <c r="C137" s="21" t="inlineStr">
        <is>
          <t>Wrangler Rubicon</t>
        </is>
      </c>
      <c r="D137" s="20" t="inlineStr">
        <is>
          <t>ACTIVO</t>
        </is>
      </c>
      <c r="E137" s="22" t="n">
        <v>48</v>
      </c>
      <c r="F137" s="23">
        <f>ROUND(Intereses_Leasing_Mensual!I137 + Intereses_Residual_Mensual!I137, 2)</f>
        <v/>
      </c>
      <c r="G137" s="23">
        <f>ROUND(Intereses_Leasing_Mensual!J137 + Intereses_Residual_Mensual!J137, 2)</f>
        <v/>
      </c>
      <c r="H137" s="23">
        <f>ROUND(Intereses_Leasing_Mensual!K137 + Intereses_Residual_Mensual!K137, 2)</f>
        <v/>
      </c>
      <c r="I137" s="23">
        <f>ROUND(Intereses_Leasing_Mensual!L137 + Intereses_Residual_Mensual!L137, 2)</f>
        <v/>
      </c>
      <c r="J137" s="23">
        <f>ROUND(Intereses_Leasing_Mensual!M137 + Intereses_Residual_Mensual!M137, 2)</f>
        <v/>
      </c>
      <c r="K137" s="23">
        <f>ROUND(Intereses_Leasing_Mensual!N137 + Intereses_Residual_Mensual!N137, 2)</f>
        <v/>
      </c>
      <c r="L137" s="23">
        <f>ROUND(Intereses_Leasing_Mensual!O137 + Intereses_Residual_Mensual!O137, 2)</f>
        <v/>
      </c>
      <c r="M137" s="23">
        <f>ROUND(Intereses_Leasing_Mensual!P137 + Intereses_Residual_Mensual!P137, 2)</f>
        <v/>
      </c>
      <c r="N137" s="23">
        <f>ROUND(Intereses_Leasing_Mensual!Q137 + Intereses_Residual_Mensual!Q137, 2)</f>
        <v/>
      </c>
      <c r="O137" s="23">
        <f>ROUND(Intereses_Leasing_Mensual!R137 + Intereses_Residual_Mensual!R137, 2)</f>
        <v/>
      </c>
      <c r="P137" s="23">
        <f>ROUND(Intereses_Leasing_Mensual!S137 + Intereses_Residual_Mensual!S137, 2)</f>
        <v/>
      </c>
      <c r="Q137" s="23">
        <f>ROUND(Intereses_Leasing_Mensual!T137 + Intereses_Residual_Mensual!T137, 2)</f>
        <v/>
      </c>
      <c r="R137" s="23">
        <f>SUM(F137:Q137)</f>
        <v/>
      </c>
    </row>
    <row r="138">
      <c r="A138" s="26" t="inlineStr">
        <is>
          <t>0665-0001</t>
        </is>
      </c>
      <c r="B138" s="27" t="inlineStr">
        <is>
          <t>Dulce Guadalupe Amezcua Gomez</t>
        </is>
      </c>
      <c r="C138" s="27" t="inlineStr">
        <is>
          <t>Wrangler Jt</t>
        </is>
      </c>
      <c r="D138" s="26" t="inlineStr">
        <is>
          <t>ACTIVO</t>
        </is>
      </c>
      <c r="E138" s="28" t="n">
        <v>48</v>
      </c>
      <c r="F138" s="29">
        <f>ROUND(Intereses_Leasing_Mensual!I138 + Intereses_Residual_Mensual!I138, 2)</f>
        <v/>
      </c>
      <c r="G138" s="29">
        <f>ROUND(Intereses_Leasing_Mensual!J138 + Intereses_Residual_Mensual!J138, 2)</f>
        <v/>
      </c>
      <c r="H138" s="29">
        <f>ROUND(Intereses_Leasing_Mensual!K138 + Intereses_Residual_Mensual!K138, 2)</f>
        <v/>
      </c>
      <c r="I138" s="29">
        <f>ROUND(Intereses_Leasing_Mensual!L138 + Intereses_Residual_Mensual!L138, 2)</f>
        <v/>
      </c>
      <c r="J138" s="29">
        <f>ROUND(Intereses_Leasing_Mensual!M138 + Intereses_Residual_Mensual!M138, 2)</f>
        <v/>
      </c>
      <c r="K138" s="29">
        <f>ROUND(Intereses_Leasing_Mensual!N138 + Intereses_Residual_Mensual!N138, 2)</f>
        <v/>
      </c>
      <c r="L138" s="29">
        <f>ROUND(Intereses_Leasing_Mensual!O138 + Intereses_Residual_Mensual!O138, 2)</f>
        <v/>
      </c>
      <c r="M138" s="29">
        <f>ROUND(Intereses_Leasing_Mensual!P138 + Intereses_Residual_Mensual!P138, 2)</f>
        <v/>
      </c>
      <c r="N138" s="29">
        <f>ROUND(Intereses_Leasing_Mensual!Q138 + Intereses_Residual_Mensual!Q138, 2)</f>
        <v/>
      </c>
      <c r="O138" s="29">
        <f>ROUND(Intereses_Leasing_Mensual!R138 + Intereses_Residual_Mensual!R138, 2)</f>
        <v/>
      </c>
      <c r="P138" s="29">
        <f>ROUND(Intereses_Leasing_Mensual!S138 + Intereses_Residual_Mensual!S138, 2)</f>
        <v/>
      </c>
      <c r="Q138" s="29">
        <f>ROUND(Intereses_Leasing_Mensual!T138 + Intereses_Residual_Mensual!T138, 2)</f>
        <v/>
      </c>
      <c r="R138" s="29">
        <f>SUM(F138:Q138)</f>
        <v/>
      </c>
    </row>
    <row r="139">
      <c r="A139" s="20" t="inlineStr">
        <is>
          <t>0666-0003</t>
        </is>
      </c>
      <c r="B139" s="21" t="inlineStr">
        <is>
          <t>Jaime Adrian Muñiz Ramirez</t>
        </is>
      </c>
      <c r="C139" s="21" t="inlineStr">
        <is>
          <t>Wrangler Phev</t>
        </is>
      </c>
      <c r="D139" s="20" t="inlineStr">
        <is>
          <t>ACTIVO</t>
        </is>
      </c>
      <c r="E139" s="22" t="n">
        <v>36</v>
      </c>
      <c r="F139" s="23">
        <f>ROUND(Intereses_Leasing_Mensual!I139 + Intereses_Residual_Mensual!I139, 2)</f>
        <v/>
      </c>
      <c r="G139" s="23">
        <f>ROUND(Intereses_Leasing_Mensual!J139 + Intereses_Residual_Mensual!J139, 2)</f>
        <v/>
      </c>
      <c r="H139" s="23">
        <f>ROUND(Intereses_Leasing_Mensual!K139 + Intereses_Residual_Mensual!K139, 2)</f>
        <v/>
      </c>
      <c r="I139" s="23">
        <f>ROUND(Intereses_Leasing_Mensual!L139 + Intereses_Residual_Mensual!L139, 2)</f>
        <v/>
      </c>
      <c r="J139" s="23">
        <f>ROUND(Intereses_Leasing_Mensual!M139 + Intereses_Residual_Mensual!M139, 2)</f>
        <v/>
      </c>
      <c r="K139" s="23">
        <f>ROUND(Intereses_Leasing_Mensual!N139 + Intereses_Residual_Mensual!N139, 2)</f>
        <v/>
      </c>
      <c r="L139" s="23">
        <f>ROUND(Intereses_Leasing_Mensual!O139 + Intereses_Residual_Mensual!O139, 2)</f>
        <v/>
      </c>
      <c r="M139" s="23">
        <f>ROUND(Intereses_Leasing_Mensual!P139 + Intereses_Residual_Mensual!P139, 2)</f>
        <v/>
      </c>
      <c r="N139" s="23">
        <f>ROUND(Intereses_Leasing_Mensual!Q139 + Intereses_Residual_Mensual!Q139, 2)</f>
        <v/>
      </c>
      <c r="O139" s="23">
        <f>ROUND(Intereses_Leasing_Mensual!R139 + Intereses_Residual_Mensual!R139, 2)</f>
        <v/>
      </c>
      <c r="P139" s="23">
        <f>ROUND(Intereses_Leasing_Mensual!S139 + Intereses_Residual_Mensual!S139, 2)</f>
        <v/>
      </c>
      <c r="Q139" s="23">
        <f>ROUND(Intereses_Leasing_Mensual!T139 + Intereses_Residual_Mensual!T139, 2)</f>
        <v/>
      </c>
      <c r="R139" s="23">
        <f>SUM(F139:Q139)</f>
        <v/>
      </c>
    </row>
    <row r="140">
      <c r="A140" s="26" t="inlineStr">
        <is>
          <t>0668-0005</t>
        </is>
      </c>
      <c r="B140" s="27" t="inlineStr">
        <is>
          <t>Jorge Alonso Alvarez Garcia</t>
        </is>
      </c>
      <c r="C140" s="27" t="inlineStr">
        <is>
          <t>RAM 700 BIGHORN "S" CREW CAB CVT</t>
        </is>
      </c>
      <c r="D140" s="26" t="inlineStr">
        <is>
          <t>ACTIVO</t>
        </is>
      </c>
      <c r="E140" s="28" t="n">
        <v>12</v>
      </c>
      <c r="F140" s="29" t="inlineStr"/>
      <c r="G140" s="29" t="inlineStr"/>
      <c r="H140" s="29">
        <f>ROUND(Intereses_Leasing_Mensual!K140 + Intereses_Residual_Mensual!K140, 2)</f>
        <v/>
      </c>
      <c r="I140" s="29">
        <f>ROUND(Intereses_Leasing_Mensual!L140 + Intereses_Residual_Mensual!L140, 2)</f>
        <v/>
      </c>
      <c r="J140" s="29">
        <f>ROUND(Intereses_Leasing_Mensual!M140 + Intereses_Residual_Mensual!M140, 2)</f>
        <v/>
      </c>
      <c r="K140" s="29">
        <f>ROUND(Intereses_Leasing_Mensual!N140 + Intereses_Residual_Mensual!N140, 2)</f>
        <v/>
      </c>
      <c r="L140" s="29">
        <f>ROUND(Intereses_Leasing_Mensual!O140 + Intereses_Residual_Mensual!O140, 2)</f>
        <v/>
      </c>
      <c r="M140" s="29">
        <f>ROUND(Intereses_Leasing_Mensual!P140 + Intereses_Residual_Mensual!P140, 2)</f>
        <v/>
      </c>
      <c r="N140" s="29">
        <f>ROUND(Intereses_Leasing_Mensual!Q140 + Intereses_Residual_Mensual!Q140, 2)</f>
        <v/>
      </c>
      <c r="O140" s="29">
        <f>ROUND(Intereses_Leasing_Mensual!R140 + Intereses_Residual_Mensual!R140, 2)</f>
        <v/>
      </c>
      <c r="P140" s="29">
        <f>ROUND(Intereses_Leasing_Mensual!S140 + Intereses_Residual_Mensual!S140, 2)</f>
        <v/>
      </c>
      <c r="Q140" s="29">
        <f>ROUND(Intereses_Leasing_Mensual!T140 + Intereses_Residual_Mensual!T140, 2)</f>
        <v/>
      </c>
      <c r="R140" s="29">
        <f>SUM(F140:Q140)</f>
        <v/>
      </c>
    </row>
    <row r="141">
      <c r="A141" s="20" t="inlineStr">
        <is>
          <t>0669-0001</t>
        </is>
      </c>
      <c r="B141" s="21" t="inlineStr">
        <is>
          <t>Diego Hazael Morales Iñiguez</t>
        </is>
      </c>
      <c r="C141" s="21" t="inlineStr">
        <is>
          <t>Wrangler Jt</t>
        </is>
      </c>
      <c r="D141" s="20" t="inlineStr">
        <is>
          <t>ACTIVO</t>
        </is>
      </c>
      <c r="E141" s="22" t="n">
        <v>36</v>
      </c>
      <c r="F141" s="23">
        <f>ROUND(Intereses_Leasing_Mensual!I141 + Intereses_Residual_Mensual!I141, 2)</f>
        <v/>
      </c>
      <c r="G141" s="23">
        <f>ROUND(Intereses_Leasing_Mensual!J141 + Intereses_Residual_Mensual!J141, 2)</f>
        <v/>
      </c>
      <c r="H141" s="23">
        <f>ROUND(Intereses_Leasing_Mensual!K141 + Intereses_Residual_Mensual!K141, 2)</f>
        <v/>
      </c>
      <c r="I141" s="23">
        <f>ROUND(Intereses_Leasing_Mensual!L141 + Intereses_Residual_Mensual!L141, 2)</f>
        <v/>
      </c>
      <c r="J141" s="23">
        <f>ROUND(Intereses_Leasing_Mensual!M141 + Intereses_Residual_Mensual!M141, 2)</f>
        <v/>
      </c>
      <c r="K141" s="23">
        <f>ROUND(Intereses_Leasing_Mensual!N141 + Intereses_Residual_Mensual!N141, 2)</f>
        <v/>
      </c>
      <c r="L141" s="23">
        <f>ROUND(Intereses_Leasing_Mensual!O141 + Intereses_Residual_Mensual!O141, 2)</f>
        <v/>
      </c>
      <c r="M141" s="23">
        <f>ROUND(Intereses_Leasing_Mensual!P141 + Intereses_Residual_Mensual!P141, 2)</f>
        <v/>
      </c>
      <c r="N141" s="23">
        <f>ROUND(Intereses_Leasing_Mensual!Q141 + Intereses_Residual_Mensual!Q141, 2)</f>
        <v/>
      </c>
      <c r="O141" s="23">
        <f>ROUND(Intereses_Leasing_Mensual!R141 + Intereses_Residual_Mensual!R141, 2)</f>
        <v/>
      </c>
      <c r="P141" s="23">
        <f>ROUND(Intereses_Leasing_Mensual!S141 + Intereses_Residual_Mensual!S141, 2)</f>
        <v/>
      </c>
      <c r="Q141" s="23">
        <f>ROUND(Intereses_Leasing_Mensual!T141 + Intereses_Residual_Mensual!T141, 2)</f>
        <v/>
      </c>
      <c r="R141" s="23">
        <f>SUM(F141:Q141)</f>
        <v/>
      </c>
    </row>
    <row r="142">
      <c r="A142" s="26" t="inlineStr">
        <is>
          <t>0670-0001</t>
        </is>
      </c>
      <c r="B142" s="27" t="inlineStr">
        <is>
          <t>Consultoria Internacional Mexincorp Sc</t>
        </is>
      </c>
      <c r="C142" s="27" t="inlineStr">
        <is>
          <t>L200 Limited</t>
        </is>
      </c>
      <c r="D142" s="26" t="inlineStr">
        <is>
          <t>ACTIVO</t>
        </is>
      </c>
      <c r="E142" s="28" t="n">
        <v>48</v>
      </c>
      <c r="F142" s="29">
        <f>ROUND(Intereses_Leasing_Mensual!I142 + Intereses_Residual_Mensual!I142, 2)</f>
        <v/>
      </c>
      <c r="G142" s="29">
        <f>ROUND(Intereses_Leasing_Mensual!J142 + Intereses_Residual_Mensual!J142, 2)</f>
        <v/>
      </c>
      <c r="H142" s="29">
        <f>ROUND(Intereses_Leasing_Mensual!K142 + Intereses_Residual_Mensual!K142, 2)</f>
        <v/>
      </c>
      <c r="I142" s="29">
        <f>ROUND(Intereses_Leasing_Mensual!L142 + Intereses_Residual_Mensual!L142, 2)</f>
        <v/>
      </c>
      <c r="J142" s="29">
        <f>ROUND(Intereses_Leasing_Mensual!M142 + Intereses_Residual_Mensual!M142, 2)</f>
        <v/>
      </c>
      <c r="K142" s="29">
        <f>ROUND(Intereses_Leasing_Mensual!N142 + Intereses_Residual_Mensual!N142, 2)</f>
        <v/>
      </c>
      <c r="L142" s="29">
        <f>ROUND(Intereses_Leasing_Mensual!O142 + Intereses_Residual_Mensual!O142, 2)</f>
        <v/>
      </c>
      <c r="M142" s="29">
        <f>ROUND(Intereses_Leasing_Mensual!P142 + Intereses_Residual_Mensual!P142, 2)</f>
        <v/>
      </c>
      <c r="N142" s="29">
        <f>ROUND(Intereses_Leasing_Mensual!Q142 + Intereses_Residual_Mensual!Q142, 2)</f>
        <v/>
      </c>
      <c r="O142" s="29">
        <f>ROUND(Intereses_Leasing_Mensual!R142 + Intereses_Residual_Mensual!R142, 2)</f>
        <v/>
      </c>
      <c r="P142" s="29">
        <f>ROUND(Intereses_Leasing_Mensual!S142 + Intereses_Residual_Mensual!S142, 2)</f>
        <v/>
      </c>
      <c r="Q142" s="29">
        <f>ROUND(Intereses_Leasing_Mensual!T142 + Intereses_Residual_Mensual!T142, 2)</f>
        <v/>
      </c>
      <c r="R142" s="29">
        <f>SUM(F142:Q142)</f>
        <v/>
      </c>
    </row>
    <row r="143">
      <c r="A143" s="20" t="inlineStr">
        <is>
          <t>0672-0001</t>
        </is>
      </c>
      <c r="B143" s="21" t="inlineStr">
        <is>
          <t>Bax Blockchain Services Sa de Cv</t>
        </is>
      </c>
      <c r="C143" s="21" t="inlineStr">
        <is>
          <t>Tucson Limited</t>
        </is>
      </c>
      <c r="D143" s="20" t="inlineStr">
        <is>
          <t>ACTIVO</t>
        </is>
      </c>
      <c r="E143" s="22" t="n">
        <v>36</v>
      </c>
      <c r="F143" s="23">
        <f>ROUND(Intereses_Leasing_Mensual!I143 + Intereses_Residual_Mensual!I143, 2)</f>
        <v/>
      </c>
      <c r="G143" s="23">
        <f>ROUND(Intereses_Leasing_Mensual!J143 + Intereses_Residual_Mensual!J143, 2)</f>
        <v/>
      </c>
      <c r="H143" s="23">
        <f>ROUND(Intereses_Leasing_Mensual!K143 + Intereses_Residual_Mensual!K143, 2)</f>
        <v/>
      </c>
      <c r="I143" s="23">
        <f>ROUND(Intereses_Leasing_Mensual!L143 + Intereses_Residual_Mensual!L143, 2)</f>
        <v/>
      </c>
      <c r="J143" s="23">
        <f>ROUND(Intereses_Leasing_Mensual!M143 + Intereses_Residual_Mensual!M143, 2)</f>
        <v/>
      </c>
      <c r="K143" s="23">
        <f>ROUND(Intereses_Leasing_Mensual!N143 + Intereses_Residual_Mensual!N143, 2)</f>
        <v/>
      </c>
      <c r="L143" s="23">
        <f>ROUND(Intereses_Leasing_Mensual!O143 + Intereses_Residual_Mensual!O143, 2)</f>
        <v/>
      </c>
      <c r="M143" s="23">
        <f>ROUND(Intereses_Leasing_Mensual!P143 + Intereses_Residual_Mensual!P143, 2)</f>
        <v/>
      </c>
      <c r="N143" s="23">
        <f>ROUND(Intereses_Leasing_Mensual!Q143 + Intereses_Residual_Mensual!Q143, 2)</f>
        <v/>
      </c>
      <c r="O143" s="23">
        <f>ROUND(Intereses_Leasing_Mensual!R143 + Intereses_Residual_Mensual!R143, 2)</f>
        <v/>
      </c>
      <c r="P143" s="23">
        <f>ROUND(Intereses_Leasing_Mensual!S143 + Intereses_Residual_Mensual!S143, 2)</f>
        <v/>
      </c>
      <c r="Q143" s="23">
        <f>ROUND(Intereses_Leasing_Mensual!T143 + Intereses_Residual_Mensual!T143, 2)</f>
        <v/>
      </c>
      <c r="R143" s="23">
        <f>SUM(F143:Q143)</f>
        <v/>
      </c>
    </row>
    <row r="144">
      <c r="A144" s="26" t="inlineStr">
        <is>
          <t>0673-0001</t>
        </is>
      </c>
      <c r="B144" s="27" t="inlineStr">
        <is>
          <t>Juan Carlos Cardenas Arciniega</t>
        </is>
      </c>
      <c r="C144" s="27" t="inlineStr">
        <is>
          <t>Wrangler Unlimited</t>
        </is>
      </c>
      <c r="D144" s="26" t="inlineStr">
        <is>
          <t>ACTIVO</t>
        </is>
      </c>
      <c r="E144" s="28" t="n">
        <v>48</v>
      </c>
      <c r="F144" s="29">
        <f>ROUND(Intereses_Leasing_Mensual!I144 + Intereses_Residual_Mensual!I144, 2)</f>
        <v/>
      </c>
      <c r="G144" s="29">
        <f>ROUND(Intereses_Leasing_Mensual!J144 + Intereses_Residual_Mensual!J144, 2)</f>
        <v/>
      </c>
      <c r="H144" s="29">
        <f>ROUND(Intereses_Leasing_Mensual!K144 + Intereses_Residual_Mensual!K144, 2)</f>
        <v/>
      </c>
      <c r="I144" s="29">
        <f>ROUND(Intereses_Leasing_Mensual!L144 + Intereses_Residual_Mensual!L144, 2)</f>
        <v/>
      </c>
      <c r="J144" s="29">
        <f>ROUND(Intereses_Leasing_Mensual!M144 + Intereses_Residual_Mensual!M144, 2)</f>
        <v/>
      </c>
      <c r="K144" s="29">
        <f>ROUND(Intereses_Leasing_Mensual!N144 + Intereses_Residual_Mensual!N144, 2)</f>
        <v/>
      </c>
      <c r="L144" s="29">
        <f>ROUND(Intereses_Leasing_Mensual!O144 + Intereses_Residual_Mensual!O144, 2)</f>
        <v/>
      </c>
      <c r="M144" s="29">
        <f>ROUND(Intereses_Leasing_Mensual!P144 + Intereses_Residual_Mensual!P144, 2)</f>
        <v/>
      </c>
      <c r="N144" s="29">
        <f>ROUND(Intereses_Leasing_Mensual!Q144 + Intereses_Residual_Mensual!Q144, 2)</f>
        <v/>
      </c>
      <c r="O144" s="29">
        <f>ROUND(Intereses_Leasing_Mensual!R144 + Intereses_Residual_Mensual!R144, 2)</f>
        <v/>
      </c>
      <c r="P144" s="29">
        <f>ROUND(Intereses_Leasing_Mensual!S144 + Intereses_Residual_Mensual!S144, 2)</f>
        <v/>
      </c>
      <c r="Q144" s="29">
        <f>ROUND(Intereses_Leasing_Mensual!T144 + Intereses_Residual_Mensual!T144, 2)</f>
        <v/>
      </c>
      <c r="R144" s="29">
        <f>SUM(F144:Q144)</f>
        <v/>
      </c>
    </row>
    <row r="145">
      <c r="A145" s="20" t="inlineStr">
        <is>
          <t>0673-0002</t>
        </is>
      </c>
      <c r="B145" s="21" t="inlineStr">
        <is>
          <t>Juan Carlos Cardenas Arciniega</t>
        </is>
      </c>
      <c r="C145" s="21" t="inlineStr">
        <is>
          <t>L200 Glx Diesel</t>
        </is>
      </c>
      <c r="D145" s="20" t="inlineStr">
        <is>
          <t>ACTIVO</t>
        </is>
      </c>
      <c r="E145" s="22" t="n">
        <v>48</v>
      </c>
      <c r="F145" s="23">
        <f>ROUND(Intereses_Leasing_Mensual!I145 + Intereses_Residual_Mensual!I145, 2)</f>
        <v/>
      </c>
      <c r="G145" s="23">
        <f>ROUND(Intereses_Leasing_Mensual!J145 + Intereses_Residual_Mensual!J145, 2)</f>
        <v/>
      </c>
      <c r="H145" s="23">
        <f>ROUND(Intereses_Leasing_Mensual!K145 + Intereses_Residual_Mensual!K145, 2)</f>
        <v/>
      </c>
      <c r="I145" s="23">
        <f>ROUND(Intereses_Leasing_Mensual!L145 + Intereses_Residual_Mensual!L145, 2)</f>
        <v/>
      </c>
      <c r="J145" s="23">
        <f>ROUND(Intereses_Leasing_Mensual!M145 + Intereses_Residual_Mensual!M145, 2)</f>
        <v/>
      </c>
      <c r="K145" s="23">
        <f>ROUND(Intereses_Leasing_Mensual!N145 + Intereses_Residual_Mensual!N145, 2)</f>
        <v/>
      </c>
      <c r="L145" s="23">
        <f>ROUND(Intereses_Leasing_Mensual!O145 + Intereses_Residual_Mensual!O145, 2)</f>
        <v/>
      </c>
      <c r="M145" s="23">
        <f>ROUND(Intereses_Leasing_Mensual!P145 + Intereses_Residual_Mensual!P145, 2)</f>
        <v/>
      </c>
      <c r="N145" s="23">
        <f>ROUND(Intereses_Leasing_Mensual!Q145 + Intereses_Residual_Mensual!Q145, 2)</f>
        <v/>
      </c>
      <c r="O145" s="23">
        <f>ROUND(Intereses_Leasing_Mensual!R145 + Intereses_Residual_Mensual!R145, 2)</f>
        <v/>
      </c>
      <c r="P145" s="23">
        <f>ROUND(Intereses_Leasing_Mensual!S145 + Intereses_Residual_Mensual!S145, 2)</f>
        <v/>
      </c>
      <c r="Q145" s="23">
        <f>ROUND(Intereses_Leasing_Mensual!T145 + Intereses_Residual_Mensual!T145, 2)</f>
        <v/>
      </c>
      <c r="R145" s="23">
        <f>SUM(F145:Q145)</f>
        <v/>
      </c>
    </row>
    <row r="146">
      <c r="A146" s="26" t="inlineStr">
        <is>
          <t>0673-0003</t>
        </is>
      </c>
      <c r="B146" s="27" t="inlineStr">
        <is>
          <t>Juan Carlos Cardenas Arciniega</t>
        </is>
      </c>
      <c r="C146" s="27" t="inlineStr">
        <is>
          <t>Hilux Diesel</t>
        </is>
      </c>
      <c r="D146" s="26" t="inlineStr">
        <is>
          <t>ACTIVO</t>
        </is>
      </c>
      <c r="E146" s="28" t="n">
        <v>48</v>
      </c>
      <c r="F146" s="29">
        <f>ROUND(Intereses_Leasing_Mensual!I146 + Intereses_Residual_Mensual!I146, 2)</f>
        <v/>
      </c>
      <c r="G146" s="29">
        <f>ROUND(Intereses_Leasing_Mensual!J146 + Intereses_Residual_Mensual!J146, 2)</f>
        <v/>
      </c>
      <c r="H146" s="29">
        <f>ROUND(Intereses_Leasing_Mensual!K146 + Intereses_Residual_Mensual!K146, 2)</f>
        <v/>
      </c>
      <c r="I146" s="29">
        <f>ROUND(Intereses_Leasing_Mensual!L146 + Intereses_Residual_Mensual!L146, 2)</f>
        <v/>
      </c>
      <c r="J146" s="29">
        <f>ROUND(Intereses_Leasing_Mensual!M146 + Intereses_Residual_Mensual!M146, 2)</f>
        <v/>
      </c>
      <c r="K146" s="29">
        <f>ROUND(Intereses_Leasing_Mensual!N146 + Intereses_Residual_Mensual!N146, 2)</f>
        <v/>
      </c>
      <c r="L146" s="29">
        <f>ROUND(Intereses_Leasing_Mensual!O146 + Intereses_Residual_Mensual!O146, 2)</f>
        <v/>
      </c>
      <c r="M146" s="29">
        <f>ROUND(Intereses_Leasing_Mensual!P146 + Intereses_Residual_Mensual!P146, 2)</f>
        <v/>
      </c>
      <c r="N146" s="29">
        <f>ROUND(Intereses_Leasing_Mensual!Q146 + Intereses_Residual_Mensual!Q146, 2)</f>
        <v/>
      </c>
      <c r="O146" s="29">
        <f>ROUND(Intereses_Leasing_Mensual!R146 + Intereses_Residual_Mensual!R146, 2)</f>
        <v/>
      </c>
      <c r="P146" s="29">
        <f>ROUND(Intereses_Leasing_Mensual!S146 + Intereses_Residual_Mensual!S146, 2)</f>
        <v/>
      </c>
      <c r="Q146" s="29">
        <f>ROUND(Intereses_Leasing_Mensual!T146 + Intereses_Residual_Mensual!T146, 2)</f>
        <v/>
      </c>
      <c r="R146" s="29">
        <f>SUM(F146:Q146)</f>
        <v/>
      </c>
    </row>
    <row r="147">
      <c r="A147" s="20" t="inlineStr">
        <is>
          <t>0673-0004</t>
        </is>
      </c>
      <c r="B147" s="21" t="inlineStr">
        <is>
          <t>Juan Carlos Cardenas Arciniega</t>
        </is>
      </c>
      <c r="C147" s="21" t="inlineStr">
        <is>
          <t>Np300</t>
        </is>
      </c>
      <c r="D147" s="20" t="inlineStr">
        <is>
          <t>ACTIVO</t>
        </is>
      </c>
      <c r="E147" s="22" t="n">
        <v>24</v>
      </c>
      <c r="F147" s="23">
        <f>ROUND(Intereses_Leasing_Mensual!I147 + Intereses_Residual_Mensual!I147, 2)</f>
        <v/>
      </c>
      <c r="G147" s="23">
        <f>ROUND(Intereses_Leasing_Mensual!J147 + Intereses_Residual_Mensual!J147, 2)</f>
        <v/>
      </c>
      <c r="H147" s="23">
        <f>ROUND(Intereses_Leasing_Mensual!K147 + Intereses_Residual_Mensual!K147, 2)</f>
        <v/>
      </c>
      <c r="I147" s="23">
        <f>ROUND(Intereses_Leasing_Mensual!L147 + Intereses_Residual_Mensual!L147, 2)</f>
        <v/>
      </c>
      <c r="J147" s="23">
        <f>ROUND(Intereses_Leasing_Mensual!M147 + Intereses_Residual_Mensual!M147, 2)</f>
        <v/>
      </c>
      <c r="K147" s="23">
        <f>ROUND(Intereses_Leasing_Mensual!N147 + Intereses_Residual_Mensual!N147, 2)</f>
        <v/>
      </c>
      <c r="L147" s="23">
        <f>ROUND(Intereses_Leasing_Mensual!O147 + Intereses_Residual_Mensual!O147, 2)</f>
        <v/>
      </c>
      <c r="M147" s="23">
        <f>ROUND(Intereses_Leasing_Mensual!P147 + Intereses_Residual_Mensual!P147, 2)</f>
        <v/>
      </c>
      <c r="N147" s="23">
        <f>ROUND(Intereses_Leasing_Mensual!Q147 + Intereses_Residual_Mensual!Q147, 2)</f>
        <v/>
      </c>
      <c r="O147" s="23">
        <f>ROUND(Intereses_Leasing_Mensual!R147 + Intereses_Residual_Mensual!R147, 2)</f>
        <v/>
      </c>
      <c r="P147" s="23">
        <f>ROUND(Intereses_Leasing_Mensual!S147 + Intereses_Residual_Mensual!S147, 2)</f>
        <v/>
      </c>
      <c r="Q147" s="23">
        <f>ROUND(Intereses_Leasing_Mensual!T147 + Intereses_Residual_Mensual!T147, 2)</f>
        <v/>
      </c>
      <c r="R147" s="23">
        <f>SUM(F147:Q147)</f>
        <v/>
      </c>
    </row>
    <row r="148">
      <c r="A148" s="26" t="inlineStr">
        <is>
          <t>0673-0005</t>
        </is>
      </c>
      <c r="B148" s="27" t="inlineStr">
        <is>
          <t>Juan Carlos Cardenas Arciniega</t>
        </is>
      </c>
      <c r="C148" s="27" t="inlineStr">
        <is>
          <t>L200 Glx</t>
        </is>
      </c>
      <c r="D148" s="26" t="inlineStr">
        <is>
          <t>ACTIVO</t>
        </is>
      </c>
      <c r="E148" s="28" t="n">
        <v>36</v>
      </c>
      <c r="F148" s="29">
        <f>ROUND(Intereses_Leasing_Mensual!I148 + Intereses_Residual_Mensual!I148, 2)</f>
        <v/>
      </c>
      <c r="G148" s="29">
        <f>ROUND(Intereses_Leasing_Mensual!J148 + Intereses_Residual_Mensual!J148, 2)</f>
        <v/>
      </c>
      <c r="H148" s="29">
        <f>ROUND(Intereses_Leasing_Mensual!K148 + Intereses_Residual_Mensual!K148, 2)</f>
        <v/>
      </c>
      <c r="I148" s="29">
        <f>ROUND(Intereses_Leasing_Mensual!L148 + Intereses_Residual_Mensual!L148, 2)</f>
        <v/>
      </c>
      <c r="J148" s="29">
        <f>ROUND(Intereses_Leasing_Mensual!M148 + Intereses_Residual_Mensual!M148, 2)</f>
        <v/>
      </c>
      <c r="K148" s="29">
        <f>ROUND(Intereses_Leasing_Mensual!N148 + Intereses_Residual_Mensual!N148, 2)</f>
        <v/>
      </c>
      <c r="L148" s="29">
        <f>ROUND(Intereses_Leasing_Mensual!O148 + Intereses_Residual_Mensual!O148, 2)</f>
        <v/>
      </c>
      <c r="M148" s="29">
        <f>ROUND(Intereses_Leasing_Mensual!P148 + Intereses_Residual_Mensual!P148, 2)</f>
        <v/>
      </c>
      <c r="N148" s="29">
        <f>ROUND(Intereses_Leasing_Mensual!Q148 + Intereses_Residual_Mensual!Q148, 2)</f>
        <v/>
      </c>
      <c r="O148" s="29">
        <f>ROUND(Intereses_Leasing_Mensual!R148 + Intereses_Residual_Mensual!R148, 2)</f>
        <v/>
      </c>
      <c r="P148" s="29">
        <f>ROUND(Intereses_Leasing_Mensual!S148 + Intereses_Residual_Mensual!S148, 2)</f>
        <v/>
      </c>
      <c r="Q148" s="29">
        <f>ROUND(Intereses_Leasing_Mensual!T148 + Intereses_Residual_Mensual!T148, 2)</f>
        <v/>
      </c>
      <c r="R148" s="29">
        <f>SUM(F148:Q148)</f>
        <v/>
      </c>
    </row>
    <row r="149">
      <c r="A149" s="20" t="inlineStr">
        <is>
          <t>0674-0001</t>
        </is>
      </c>
      <c r="B149" s="21" t="inlineStr">
        <is>
          <t>Zuji Sa de Cv</t>
        </is>
      </c>
      <c r="C149" s="21" t="inlineStr">
        <is>
          <t>2008 Allure</t>
        </is>
      </c>
      <c r="D149" s="20" t="inlineStr">
        <is>
          <t>ACTIVO</t>
        </is>
      </c>
      <c r="E149" s="22" t="n">
        <v>36</v>
      </c>
      <c r="F149" s="23">
        <f>ROUND(Intereses_Leasing_Mensual!I149 + Intereses_Residual_Mensual!I149, 2)</f>
        <v/>
      </c>
      <c r="G149" s="23">
        <f>ROUND(Intereses_Leasing_Mensual!J149 + Intereses_Residual_Mensual!J149, 2)</f>
        <v/>
      </c>
      <c r="H149" s="23">
        <f>ROUND(Intereses_Leasing_Mensual!K149 + Intereses_Residual_Mensual!K149, 2)</f>
        <v/>
      </c>
      <c r="I149" s="23">
        <f>ROUND(Intereses_Leasing_Mensual!L149 + Intereses_Residual_Mensual!L149, 2)</f>
        <v/>
      </c>
      <c r="J149" s="23">
        <f>ROUND(Intereses_Leasing_Mensual!M149 + Intereses_Residual_Mensual!M149, 2)</f>
        <v/>
      </c>
      <c r="K149" s="23">
        <f>ROUND(Intereses_Leasing_Mensual!N149 + Intereses_Residual_Mensual!N149, 2)</f>
        <v/>
      </c>
      <c r="L149" s="23">
        <f>ROUND(Intereses_Leasing_Mensual!O149 + Intereses_Residual_Mensual!O149, 2)</f>
        <v/>
      </c>
      <c r="M149" s="23">
        <f>ROUND(Intereses_Leasing_Mensual!P149 + Intereses_Residual_Mensual!P149, 2)</f>
        <v/>
      </c>
      <c r="N149" s="23">
        <f>ROUND(Intereses_Leasing_Mensual!Q149 + Intereses_Residual_Mensual!Q149, 2)</f>
        <v/>
      </c>
      <c r="O149" s="23">
        <f>ROUND(Intereses_Leasing_Mensual!R149 + Intereses_Residual_Mensual!R149, 2)</f>
        <v/>
      </c>
      <c r="P149" s="23">
        <f>ROUND(Intereses_Leasing_Mensual!S149 + Intereses_Residual_Mensual!S149, 2)</f>
        <v/>
      </c>
      <c r="Q149" s="23">
        <f>ROUND(Intereses_Leasing_Mensual!T149 + Intereses_Residual_Mensual!T149, 2)</f>
        <v/>
      </c>
      <c r="R149" s="23">
        <f>SUM(F149:Q149)</f>
        <v/>
      </c>
    </row>
    <row r="150">
      <c r="A150" s="26" t="inlineStr">
        <is>
          <t>0675-0002</t>
        </is>
      </c>
      <c r="B150" s="27" t="inlineStr">
        <is>
          <t>Comercializadora Industrial de Zapopan Sa de Cv</t>
        </is>
      </c>
      <c r="C150" s="27" t="inlineStr">
        <is>
          <t>Valor Residual</t>
        </is>
      </c>
      <c r="D150" s="26" t="inlineStr">
        <is>
          <t>ACTIVO</t>
        </is>
      </c>
      <c r="E150" s="28" t="n">
        <v>12</v>
      </c>
      <c r="F150" s="29">
        <f>ROUND(Intereses_Leasing_Mensual!I150 + Intereses_Residual_Mensual!I150, 2)</f>
        <v/>
      </c>
      <c r="G150" s="29">
        <f>ROUND(Intereses_Leasing_Mensual!J150 + Intereses_Residual_Mensual!J150, 2)</f>
        <v/>
      </c>
      <c r="H150" s="29">
        <f>ROUND(Intereses_Leasing_Mensual!K150 + Intereses_Residual_Mensual!K150, 2)</f>
        <v/>
      </c>
      <c r="I150" s="29">
        <f>ROUND(Intereses_Leasing_Mensual!L150 + Intereses_Residual_Mensual!L150, 2)</f>
        <v/>
      </c>
      <c r="J150" s="29">
        <f>ROUND(Intereses_Leasing_Mensual!M150 + Intereses_Residual_Mensual!M150, 2)</f>
        <v/>
      </c>
      <c r="K150" s="29">
        <f>ROUND(Intereses_Leasing_Mensual!N150 + Intereses_Residual_Mensual!N150, 2)</f>
        <v/>
      </c>
      <c r="L150" s="29">
        <f>ROUND(Intereses_Leasing_Mensual!O150 + Intereses_Residual_Mensual!O150, 2)</f>
        <v/>
      </c>
      <c r="M150" s="29">
        <f>ROUND(Intereses_Leasing_Mensual!P150 + Intereses_Residual_Mensual!P150, 2)</f>
        <v/>
      </c>
      <c r="N150" s="29">
        <f>ROUND(Intereses_Leasing_Mensual!Q150 + Intereses_Residual_Mensual!Q150, 2)</f>
        <v/>
      </c>
      <c r="O150" s="29" t="inlineStr"/>
      <c r="P150" s="29" t="inlineStr"/>
      <c r="Q150" s="29" t="inlineStr"/>
      <c r="R150" s="29">
        <f>SUM(F150:Q150)</f>
        <v/>
      </c>
    </row>
    <row r="151">
      <c r="A151" s="20" t="inlineStr">
        <is>
          <t>0676-0001</t>
        </is>
      </c>
      <c r="B151" s="21" t="inlineStr">
        <is>
          <t>Productora Agricola los Amoles</t>
        </is>
      </c>
      <c r="C151" s="21" t="inlineStr">
        <is>
          <t>Ram 700 Regular Cab</t>
        </is>
      </c>
      <c r="D151" s="20" t="inlineStr">
        <is>
          <t>ACTIVO</t>
        </is>
      </c>
      <c r="E151" s="22" t="n">
        <v>36</v>
      </c>
      <c r="F151" s="23">
        <f>ROUND(Intereses_Leasing_Mensual!I151 + Intereses_Residual_Mensual!I151, 2)</f>
        <v/>
      </c>
      <c r="G151" s="23">
        <f>ROUND(Intereses_Leasing_Mensual!J151 + Intereses_Residual_Mensual!J151, 2)</f>
        <v/>
      </c>
      <c r="H151" s="23">
        <f>ROUND(Intereses_Leasing_Mensual!K151 + Intereses_Residual_Mensual!K151, 2)</f>
        <v/>
      </c>
      <c r="I151" s="23">
        <f>ROUND(Intereses_Leasing_Mensual!L151 + Intereses_Residual_Mensual!L151, 2)</f>
        <v/>
      </c>
      <c r="J151" s="23">
        <f>ROUND(Intereses_Leasing_Mensual!M151 + Intereses_Residual_Mensual!M151, 2)</f>
        <v/>
      </c>
      <c r="K151" s="23">
        <f>ROUND(Intereses_Leasing_Mensual!N151 + Intereses_Residual_Mensual!N151, 2)</f>
        <v/>
      </c>
      <c r="L151" s="23">
        <f>ROUND(Intereses_Leasing_Mensual!O151 + Intereses_Residual_Mensual!O151, 2)</f>
        <v/>
      </c>
      <c r="M151" s="23">
        <f>ROUND(Intereses_Leasing_Mensual!P151 + Intereses_Residual_Mensual!P151, 2)</f>
        <v/>
      </c>
      <c r="N151" s="23">
        <f>ROUND(Intereses_Leasing_Mensual!Q151 + Intereses_Residual_Mensual!Q151, 2)</f>
        <v/>
      </c>
      <c r="O151" s="23">
        <f>ROUND(Intereses_Leasing_Mensual!R151 + Intereses_Residual_Mensual!R151, 2)</f>
        <v/>
      </c>
      <c r="P151" s="23">
        <f>ROUND(Intereses_Leasing_Mensual!S151 + Intereses_Residual_Mensual!S151, 2)</f>
        <v/>
      </c>
      <c r="Q151" s="23">
        <f>ROUND(Intereses_Leasing_Mensual!T151 + Intereses_Residual_Mensual!T151, 2)</f>
        <v/>
      </c>
      <c r="R151" s="23">
        <f>SUM(F151:Q151)</f>
        <v/>
      </c>
    </row>
    <row r="152">
      <c r="A152" s="26" t="inlineStr">
        <is>
          <t>0677-0001</t>
        </is>
      </c>
      <c r="B152" s="27" t="inlineStr">
        <is>
          <t>Laboratorio Inunza Siglo XXI</t>
        </is>
      </c>
      <c r="C152" s="27" t="inlineStr">
        <is>
          <t>Outlander Diamon</t>
        </is>
      </c>
      <c r="D152" s="26" t="inlineStr">
        <is>
          <t>ACTIVO</t>
        </is>
      </c>
      <c r="E152" s="28" t="n">
        <v>36</v>
      </c>
      <c r="F152" s="29">
        <f>ROUND(Intereses_Leasing_Mensual!I152 + Intereses_Residual_Mensual!I152, 2)</f>
        <v/>
      </c>
      <c r="G152" s="29">
        <f>ROUND(Intereses_Leasing_Mensual!J152 + Intereses_Residual_Mensual!J152, 2)</f>
        <v/>
      </c>
      <c r="H152" s="29">
        <f>ROUND(Intereses_Leasing_Mensual!K152 + Intereses_Residual_Mensual!K152, 2)</f>
        <v/>
      </c>
      <c r="I152" s="29">
        <f>ROUND(Intereses_Leasing_Mensual!L152 + Intereses_Residual_Mensual!L152, 2)</f>
        <v/>
      </c>
      <c r="J152" s="29">
        <f>ROUND(Intereses_Leasing_Mensual!M152 + Intereses_Residual_Mensual!M152, 2)</f>
        <v/>
      </c>
      <c r="K152" s="29">
        <f>ROUND(Intereses_Leasing_Mensual!N152 + Intereses_Residual_Mensual!N152, 2)</f>
        <v/>
      </c>
      <c r="L152" s="29">
        <f>ROUND(Intereses_Leasing_Mensual!O152 + Intereses_Residual_Mensual!O152, 2)</f>
        <v/>
      </c>
      <c r="M152" s="29">
        <f>ROUND(Intereses_Leasing_Mensual!P152 + Intereses_Residual_Mensual!P152, 2)</f>
        <v/>
      </c>
      <c r="N152" s="29">
        <f>ROUND(Intereses_Leasing_Mensual!Q152 + Intereses_Residual_Mensual!Q152, 2)</f>
        <v/>
      </c>
      <c r="O152" s="29">
        <f>ROUND(Intereses_Leasing_Mensual!R152 + Intereses_Residual_Mensual!R152, 2)</f>
        <v/>
      </c>
      <c r="P152" s="29">
        <f>ROUND(Intereses_Leasing_Mensual!S152 + Intereses_Residual_Mensual!S152, 2)</f>
        <v/>
      </c>
      <c r="Q152" s="29">
        <f>ROUND(Intereses_Leasing_Mensual!T152 + Intereses_Residual_Mensual!T152, 2)</f>
        <v/>
      </c>
      <c r="R152" s="29">
        <f>SUM(F152:Q152)</f>
        <v/>
      </c>
    </row>
    <row r="153">
      <c r="A153" s="20" t="inlineStr">
        <is>
          <t>0678-0002</t>
        </is>
      </c>
      <c r="B153" s="21" t="inlineStr">
        <is>
          <t>Bhg Harmony S de Rl de Cv</t>
        </is>
      </c>
      <c r="C153" s="21" t="inlineStr">
        <is>
          <t>Teramont</t>
        </is>
      </c>
      <c r="D153" s="20" t="inlineStr">
        <is>
          <t>ACTIVO</t>
        </is>
      </c>
      <c r="E153" s="22" t="n">
        <v>12</v>
      </c>
      <c r="F153" s="23">
        <f>ROUND(Intereses_Leasing_Mensual!I153 + Intereses_Residual_Mensual!I153, 2)</f>
        <v/>
      </c>
      <c r="G153" s="23">
        <f>ROUND(Intereses_Leasing_Mensual!J153 + Intereses_Residual_Mensual!J153, 2)</f>
        <v/>
      </c>
      <c r="H153" s="23">
        <f>ROUND(Intereses_Leasing_Mensual!K153 + Intereses_Residual_Mensual!K153, 2)</f>
        <v/>
      </c>
      <c r="I153" s="23">
        <f>ROUND(Intereses_Leasing_Mensual!L153 + Intereses_Residual_Mensual!L153, 2)</f>
        <v/>
      </c>
      <c r="J153" s="23">
        <f>ROUND(Intereses_Leasing_Mensual!M153 + Intereses_Residual_Mensual!M153, 2)</f>
        <v/>
      </c>
      <c r="K153" s="23">
        <f>ROUND(Intereses_Leasing_Mensual!N153 + Intereses_Residual_Mensual!N153, 2)</f>
        <v/>
      </c>
      <c r="L153" s="23">
        <f>ROUND(Intereses_Leasing_Mensual!O153 + Intereses_Residual_Mensual!O153, 2)</f>
        <v/>
      </c>
      <c r="M153" s="23">
        <f>ROUND(Intereses_Leasing_Mensual!P153 + Intereses_Residual_Mensual!P153, 2)</f>
        <v/>
      </c>
      <c r="N153" s="23">
        <f>ROUND(Intereses_Leasing_Mensual!Q153 + Intereses_Residual_Mensual!Q153, 2)</f>
        <v/>
      </c>
      <c r="O153" s="23">
        <f>ROUND(Intereses_Leasing_Mensual!R153 + Intereses_Residual_Mensual!R153, 2)</f>
        <v/>
      </c>
      <c r="P153" s="23">
        <f>ROUND(Intereses_Leasing_Mensual!S153 + Intereses_Residual_Mensual!S153, 2)</f>
        <v/>
      </c>
      <c r="Q153" s="23" t="inlineStr"/>
      <c r="R153" s="23">
        <f>SUM(F153:Q153)</f>
        <v/>
      </c>
    </row>
    <row r="154">
      <c r="A154" s="26" t="inlineStr">
        <is>
          <t>0679-0001</t>
        </is>
      </c>
      <c r="B154" s="27" t="inlineStr">
        <is>
          <t>Naikor de Occidente Sa de Cv</t>
        </is>
      </c>
      <c r="C154" s="27" t="inlineStr">
        <is>
          <t>2008</t>
        </is>
      </c>
      <c r="D154" s="26" t="inlineStr">
        <is>
          <t>ACTIVO</t>
        </is>
      </c>
      <c r="E154" s="28" t="n">
        <v>48</v>
      </c>
      <c r="F154" s="29">
        <f>ROUND(Intereses_Leasing_Mensual!I154 + Intereses_Residual_Mensual!I154, 2)</f>
        <v/>
      </c>
      <c r="G154" s="29">
        <f>ROUND(Intereses_Leasing_Mensual!J154 + Intereses_Residual_Mensual!J154, 2)</f>
        <v/>
      </c>
      <c r="H154" s="29">
        <f>ROUND(Intereses_Leasing_Mensual!K154 + Intereses_Residual_Mensual!K154, 2)</f>
        <v/>
      </c>
      <c r="I154" s="29">
        <f>ROUND(Intereses_Leasing_Mensual!L154 + Intereses_Residual_Mensual!L154, 2)</f>
        <v/>
      </c>
      <c r="J154" s="29">
        <f>ROUND(Intereses_Leasing_Mensual!M154 + Intereses_Residual_Mensual!M154, 2)</f>
        <v/>
      </c>
      <c r="K154" s="29">
        <f>ROUND(Intereses_Leasing_Mensual!N154 + Intereses_Residual_Mensual!N154, 2)</f>
        <v/>
      </c>
      <c r="L154" s="29">
        <f>ROUND(Intereses_Leasing_Mensual!O154 + Intereses_Residual_Mensual!O154, 2)</f>
        <v/>
      </c>
      <c r="M154" s="29">
        <f>ROUND(Intereses_Leasing_Mensual!P154 + Intereses_Residual_Mensual!P154, 2)</f>
        <v/>
      </c>
      <c r="N154" s="29">
        <f>ROUND(Intereses_Leasing_Mensual!Q154 + Intereses_Residual_Mensual!Q154, 2)</f>
        <v/>
      </c>
      <c r="O154" s="29">
        <f>ROUND(Intereses_Leasing_Mensual!R154 + Intereses_Residual_Mensual!R154, 2)</f>
        <v/>
      </c>
      <c r="P154" s="29">
        <f>ROUND(Intereses_Leasing_Mensual!S154 + Intereses_Residual_Mensual!S154, 2)</f>
        <v/>
      </c>
      <c r="Q154" s="29">
        <f>ROUND(Intereses_Leasing_Mensual!T154 + Intereses_Residual_Mensual!T154, 2)</f>
        <v/>
      </c>
      <c r="R154" s="29">
        <f>SUM(F154:Q154)</f>
        <v/>
      </c>
    </row>
    <row r="155">
      <c r="A155" s="20" t="inlineStr">
        <is>
          <t>0680-0001</t>
        </is>
      </c>
      <c r="B155" s="21" t="inlineStr">
        <is>
          <t>Madereria el Volcan Sa de Cv</t>
        </is>
      </c>
      <c r="C155" s="21" t="inlineStr">
        <is>
          <t>JT Mojave</t>
        </is>
      </c>
      <c r="D155" s="20" t="inlineStr">
        <is>
          <t>ACTIVO</t>
        </is>
      </c>
      <c r="E155" s="22" t="n">
        <v>36</v>
      </c>
      <c r="F155" s="23">
        <f>ROUND(Intereses_Leasing_Mensual!I155 + Intereses_Residual_Mensual!I155, 2)</f>
        <v/>
      </c>
      <c r="G155" s="23">
        <f>ROUND(Intereses_Leasing_Mensual!J155 + Intereses_Residual_Mensual!J155, 2)</f>
        <v/>
      </c>
      <c r="H155" s="23">
        <f>ROUND(Intereses_Leasing_Mensual!K155 + Intereses_Residual_Mensual!K155, 2)</f>
        <v/>
      </c>
      <c r="I155" s="23">
        <f>ROUND(Intereses_Leasing_Mensual!L155 + Intereses_Residual_Mensual!L155, 2)</f>
        <v/>
      </c>
      <c r="J155" s="23">
        <f>ROUND(Intereses_Leasing_Mensual!M155 + Intereses_Residual_Mensual!M155, 2)</f>
        <v/>
      </c>
      <c r="K155" s="23">
        <f>ROUND(Intereses_Leasing_Mensual!N155 + Intereses_Residual_Mensual!N155, 2)</f>
        <v/>
      </c>
      <c r="L155" s="23">
        <f>ROUND(Intereses_Leasing_Mensual!O155 + Intereses_Residual_Mensual!O155, 2)</f>
        <v/>
      </c>
      <c r="M155" s="23">
        <f>ROUND(Intereses_Leasing_Mensual!P155 + Intereses_Residual_Mensual!P155, 2)</f>
        <v/>
      </c>
      <c r="N155" s="23">
        <f>ROUND(Intereses_Leasing_Mensual!Q155 + Intereses_Residual_Mensual!Q155, 2)</f>
        <v/>
      </c>
      <c r="O155" s="23">
        <f>ROUND(Intereses_Leasing_Mensual!R155 + Intereses_Residual_Mensual!R155, 2)</f>
        <v/>
      </c>
      <c r="P155" s="23">
        <f>ROUND(Intereses_Leasing_Mensual!S155 + Intereses_Residual_Mensual!S155, 2)</f>
        <v/>
      </c>
      <c r="Q155" s="23">
        <f>ROUND(Intereses_Leasing_Mensual!T155 + Intereses_Residual_Mensual!T155, 2)</f>
        <v/>
      </c>
      <c r="R155" s="23">
        <f>SUM(F155:Q155)</f>
        <v/>
      </c>
    </row>
    <row r="156">
      <c r="A156" s="26" t="inlineStr">
        <is>
          <t>0682-0001</t>
        </is>
      </c>
      <c r="B156" s="27" t="inlineStr">
        <is>
          <t>Hidraneumaticos y Equipos para Gas Sa de Cv</t>
        </is>
      </c>
      <c r="C156" s="27" t="inlineStr">
        <is>
          <t>Renegade Limited</t>
        </is>
      </c>
      <c r="D156" s="26" t="inlineStr">
        <is>
          <t>ACTIVO</t>
        </is>
      </c>
      <c r="E156" s="28" t="n">
        <v>24</v>
      </c>
      <c r="F156" s="29">
        <f>ROUND(Intereses_Leasing_Mensual!I156 + Intereses_Residual_Mensual!I156, 2)</f>
        <v/>
      </c>
      <c r="G156" s="29">
        <f>ROUND(Intereses_Leasing_Mensual!J156 + Intereses_Residual_Mensual!J156, 2)</f>
        <v/>
      </c>
      <c r="H156" s="29">
        <f>ROUND(Intereses_Leasing_Mensual!K156 + Intereses_Residual_Mensual!K156, 2)</f>
        <v/>
      </c>
      <c r="I156" s="29">
        <f>ROUND(Intereses_Leasing_Mensual!L156 + Intereses_Residual_Mensual!L156, 2)</f>
        <v/>
      </c>
      <c r="J156" s="29">
        <f>ROUND(Intereses_Leasing_Mensual!M156 + Intereses_Residual_Mensual!M156, 2)</f>
        <v/>
      </c>
      <c r="K156" s="29">
        <f>ROUND(Intereses_Leasing_Mensual!N156 + Intereses_Residual_Mensual!N156, 2)</f>
        <v/>
      </c>
      <c r="L156" s="29">
        <f>ROUND(Intereses_Leasing_Mensual!O156 + Intereses_Residual_Mensual!O156, 2)</f>
        <v/>
      </c>
      <c r="M156" s="29">
        <f>ROUND(Intereses_Leasing_Mensual!P156 + Intereses_Residual_Mensual!P156, 2)</f>
        <v/>
      </c>
      <c r="N156" s="29">
        <f>ROUND(Intereses_Leasing_Mensual!Q156 + Intereses_Residual_Mensual!Q156, 2)</f>
        <v/>
      </c>
      <c r="O156" s="29">
        <f>ROUND(Intereses_Leasing_Mensual!R156 + Intereses_Residual_Mensual!R156, 2)</f>
        <v/>
      </c>
      <c r="P156" s="29">
        <f>ROUND(Intereses_Leasing_Mensual!S156 + Intereses_Residual_Mensual!S156, 2)</f>
        <v/>
      </c>
      <c r="Q156" s="29" t="inlineStr"/>
      <c r="R156" s="29">
        <f>SUM(F156:Q156)</f>
        <v/>
      </c>
    </row>
    <row r="157">
      <c r="A157" s="20" t="inlineStr">
        <is>
          <t>0682-0002</t>
        </is>
      </c>
      <c r="B157" s="21" t="inlineStr">
        <is>
          <t>Hidroneumaticos y Equipos para Gas Sa de Cv</t>
        </is>
      </c>
      <c r="C157" s="21" t="inlineStr">
        <is>
          <t>RIO</t>
        </is>
      </c>
      <c r="D157" s="20" t="inlineStr">
        <is>
          <t>ACTIVO</t>
        </is>
      </c>
      <c r="E157" s="22" t="n">
        <v>24</v>
      </c>
      <c r="F157" s="23">
        <f>ROUND(Intereses_Leasing_Mensual!I157 + Intereses_Residual_Mensual!I157, 2)</f>
        <v/>
      </c>
      <c r="G157" s="23">
        <f>ROUND(Intereses_Leasing_Mensual!J157 + Intereses_Residual_Mensual!J157, 2)</f>
        <v/>
      </c>
      <c r="H157" s="23">
        <f>ROUND(Intereses_Leasing_Mensual!K157 + Intereses_Residual_Mensual!K157, 2)</f>
        <v/>
      </c>
      <c r="I157" s="23">
        <f>ROUND(Intereses_Leasing_Mensual!L157 + Intereses_Residual_Mensual!L157, 2)</f>
        <v/>
      </c>
      <c r="J157" s="23">
        <f>ROUND(Intereses_Leasing_Mensual!M157 + Intereses_Residual_Mensual!M157, 2)</f>
        <v/>
      </c>
      <c r="K157" s="23">
        <f>ROUND(Intereses_Leasing_Mensual!N157 + Intereses_Residual_Mensual!N157, 2)</f>
        <v/>
      </c>
      <c r="L157" s="23">
        <f>ROUND(Intereses_Leasing_Mensual!O157 + Intereses_Residual_Mensual!O157, 2)</f>
        <v/>
      </c>
      <c r="M157" s="23">
        <f>ROUND(Intereses_Leasing_Mensual!P157 + Intereses_Residual_Mensual!P157, 2)</f>
        <v/>
      </c>
      <c r="N157" s="23">
        <f>ROUND(Intereses_Leasing_Mensual!Q157 + Intereses_Residual_Mensual!Q157, 2)</f>
        <v/>
      </c>
      <c r="O157" s="23">
        <f>ROUND(Intereses_Leasing_Mensual!R157 + Intereses_Residual_Mensual!R157, 2)</f>
        <v/>
      </c>
      <c r="P157" s="23">
        <f>ROUND(Intereses_Leasing_Mensual!S157 + Intereses_Residual_Mensual!S157, 2)</f>
        <v/>
      </c>
      <c r="Q157" s="23">
        <f>ROUND(Intereses_Leasing_Mensual!T157 + Intereses_Residual_Mensual!T157, 2)</f>
        <v/>
      </c>
      <c r="R157" s="23">
        <f>SUM(F157:Q157)</f>
        <v/>
      </c>
    </row>
    <row r="158">
      <c r="A158" s="26" t="inlineStr">
        <is>
          <t>0683-0001</t>
        </is>
      </c>
      <c r="B158" s="27" t="inlineStr">
        <is>
          <t>Maria de Jesus Sanchez Aguayo</t>
        </is>
      </c>
      <c r="C158" s="27" t="inlineStr">
        <is>
          <t>Ram 700 Regular Cab</t>
        </is>
      </c>
      <c r="D158" s="26" t="inlineStr">
        <is>
          <t>ACTIVO</t>
        </is>
      </c>
      <c r="E158" s="28" t="n">
        <v>36</v>
      </c>
      <c r="F158" s="29">
        <f>ROUND(Intereses_Leasing_Mensual!I158 + Intereses_Residual_Mensual!I158, 2)</f>
        <v/>
      </c>
      <c r="G158" s="29">
        <f>ROUND(Intereses_Leasing_Mensual!J158 + Intereses_Residual_Mensual!J158, 2)</f>
        <v/>
      </c>
      <c r="H158" s="29">
        <f>ROUND(Intereses_Leasing_Mensual!K158 + Intereses_Residual_Mensual!K158, 2)</f>
        <v/>
      </c>
      <c r="I158" s="29">
        <f>ROUND(Intereses_Leasing_Mensual!L158 + Intereses_Residual_Mensual!L158, 2)</f>
        <v/>
      </c>
      <c r="J158" s="29">
        <f>ROUND(Intereses_Leasing_Mensual!M158 + Intereses_Residual_Mensual!M158, 2)</f>
        <v/>
      </c>
      <c r="K158" s="29">
        <f>ROUND(Intereses_Leasing_Mensual!N158 + Intereses_Residual_Mensual!N158, 2)</f>
        <v/>
      </c>
      <c r="L158" s="29">
        <f>ROUND(Intereses_Leasing_Mensual!O158 + Intereses_Residual_Mensual!O158, 2)</f>
        <v/>
      </c>
      <c r="M158" s="29">
        <f>ROUND(Intereses_Leasing_Mensual!P158 + Intereses_Residual_Mensual!P158, 2)</f>
        <v/>
      </c>
      <c r="N158" s="29">
        <f>ROUND(Intereses_Leasing_Mensual!Q158 + Intereses_Residual_Mensual!Q158, 2)</f>
        <v/>
      </c>
      <c r="O158" s="29">
        <f>ROUND(Intereses_Leasing_Mensual!R158 + Intereses_Residual_Mensual!R158, 2)</f>
        <v/>
      </c>
      <c r="P158" s="29">
        <f>ROUND(Intereses_Leasing_Mensual!S158 + Intereses_Residual_Mensual!S158, 2)</f>
        <v/>
      </c>
      <c r="Q158" s="29">
        <f>ROUND(Intereses_Leasing_Mensual!T158 + Intereses_Residual_Mensual!T158, 2)</f>
        <v/>
      </c>
      <c r="R158" s="29">
        <f>SUM(F158:Q158)</f>
        <v/>
      </c>
    </row>
    <row r="159">
      <c r="A159" s="20" t="inlineStr">
        <is>
          <t>0683-0002</t>
        </is>
      </c>
      <c r="B159" s="21" t="inlineStr">
        <is>
          <t>Maria de Jesus Sanchez Aguayo</t>
        </is>
      </c>
      <c r="C159" s="21" t="inlineStr">
        <is>
          <t>700 Tradesman Regular Cab</t>
        </is>
      </c>
      <c r="D159" s="20" t="inlineStr">
        <is>
          <t>ACTIVO</t>
        </is>
      </c>
      <c r="E159" s="22" t="n">
        <v>36</v>
      </c>
      <c r="F159" s="23">
        <f>ROUND(Intereses_Leasing_Mensual!I159 + Intereses_Residual_Mensual!I159, 2)</f>
        <v/>
      </c>
      <c r="G159" s="23">
        <f>ROUND(Intereses_Leasing_Mensual!J159 + Intereses_Residual_Mensual!J159, 2)</f>
        <v/>
      </c>
      <c r="H159" s="23">
        <f>ROUND(Intereses_Leasing_Mensual!K159 + Intereses_Residual_Mensual!K159, 2)</f>
        <v/>
      </c>
      <c r="I159" s="23">
        <f>ROUND(Intereses_Leasing_Mensual!L159 + Intereses_Residual_Mensual!L159, 2)</f>
        <v/>
      </c>
      <c r="J159" s="23">
        <f>ROUND(Intereses_Leasing_Mensual!M159 + Intereses_Residual_Mensual!M159, 2)</f>
        <v/>
      </c>
      <c r="K159" s="23">
        <f>ROUND(Intereses_Leasing_Mensual!N159 + Intereses_Residual_Mensual!N159, 2)</f>
        <v/>
      </c>
      <c r="L159" s="23">
        <f>ROUND(Intereses_Leasing_Mensual!O159 + Intereses_Residual_Mensual!O159, 2)</f>
        <v/>
      </c>
      <c r="M159" s="23">
        <f>ROUND(Intereses_Leasing_Mensual!P159 + Intereses_Residual_Mensual!P159, 2)</f>
        <v/>
      </c>
      <c r="N159" s="23">
        <f>ROUND(Intereses_Leasing_Mensual!Q159 + Intereses_Residual_Mensual!Q159, 2)</f>
        <v/>
      </c>
      <c r="O159" s="23">
        <f>ROUND(Intereses_Leasing_Mensual!R159 + Intereses_Residual_Mensual!R159, 2)</f>
        <v/>
      </c>
      <c r="P159" s="23">
        <f>ROUND(Intereses_Leasing_Mensual!S159 + Intereses_Residual_Mensual!S159, 2)</f>
        <v/>
      </c>
      <c r="Q159" s="23">
        <f>ROUND(Intereses_Leasing_Mensual!T159 + Intereses_Residual_Mensual!T159, 2)</f>
        <v/>
      </c>
      <c r="R159" s="23">
        <f>SUM(F159:Q159)</f>
        <v/>
      </c>
    </row>
    <row r="160">
      <c r="A160" s="26" t="inlineStr">
        <is>
          <t>0684-0001</t>
        </is>
      </c>
      <c r="B160" s="27" t="inlineStr">
        <is>
          <t>Corporativo Kareso Sa de v</t>
        </is>
      </c>
      <c r="C160" s="27" t="inlineStr">
        <is>
          <t>GRAND CHEROKEE LIMITED</t>
        </is>
      </c>
      <c r="D160" s="26" t="inlineStr">
        <is>
          <t>ACTIVO</t>
        </is>
      </c>
      <c r="E160" s="28" t="n">
        <v>24</v>
      </c>
      <c r="F160" s="29">
        <f>ROUND(Intereses_Leasing_Mensual!I160 + Intereses_Residual_Mensual!I160, 2)</f>
        <v/>
      </c>
      <c r="G160" s="29">
        <f>ROUND(Intereses_Leasing_Mensual!J160 + Intereses_Residual_Mensual!J160, 2)</f>
        <v/>
      </c>
      <c r="H160" s="29">
        <f>ROUND(Intereses_Leasing_Mensual!K160 + Intereses_Residual_Mensual!K160, 2)</f>
        <v/>
      </c>
      <c r="I160" s="29">
        <f>ROUND(Intereses_Leasing_Mensual!L160 + Intereses_Residual_Mensual!L160, 2)</f>
        <v/>
      </c>
      <c r="J160" s="29">
        <f>ROUND(Intereses_Leasing_Mensual!M160 + Intereses_Residual_Mensual!M160, 2)</f>
        <v/>
      </c>
      <c r="K160" s="29">
        <f>ROUND(Intereses_Leasing_Mensual!N160 + Intereses_Residual_Mensual!N160, 2)</f>
        <v/>
      </c>
      <c r="L160" s="29">
        <f>ROUND(Intereses_Leasing_Mensual!O160 + Intereses_Residual_Mensual!O160, 2)</f>
        <v/>
      </c>
      <c r="M160" s="29">
        <f>ROUND(Intereses_Leasing_Mensual!P160 + Intereses_Residual_Mensual!P160, 2)</f>
        <v/>
      </c>
      <c r="N160" s="29">
        <f>ROUND(Intereses_Leasing_Mensual!Q160 + Intereses_Residual_Mensual!Q160, 2)</f>
        <v/>
      </c>
      <c r="O160" s="29">
        <f>ROUND(Intereses_Leasing_Mensual!R160 + Intereses_Residual_Mensual!R160, 2)</f>
        <v/>
      </c>
      <c r="P160" s="29">
        <f>ROUND(Intereses_Leasing_Mensual!S160 + Intereses_Residual_Mensual!S160, 2)</f>
        <v/>
      </c>
      <c r="Q160" s="29" t="inlineStr"/>
      <c r="R160" s="29">
        <f>SUM(F160:Q160)</f>
        <v/>
      </c>
    </row>
    <row r="161">
      <c r="A161" s="20" t="inlineStr">
        <is>
          <t>0684-0002</t>
        </is>
      </c>
      <c r="B161" s="21" t="inlineStr">
        <is>
          <t>Corporativo Kareso Sa de Cv</t>
        </is>
      </c>
      <c r="C161" s="21" t="inlineStr">
        <is>
          <t>NP300 Chasis</t>
        </is>
      </c>
      <c r="D161" s="20" t="inlineStr">
        <is>
          <t>ACTIVO</t>
        </is>
      </c>
      <c r="E161" s="22" t="n">
        <v>24</v>
      </c>
      <c r="F161" s="23">
        <f>ROUND(Intereses_Leasing_Mensual!I161 + Intereses_Residual_Mensual!I161, 2)</f>
        <v/>
      </c>
      <c r="G161" s="23">
        <f>ROUND(Intereses_Leasing_Mensual!J161 + Intereses_Residual_Mensual!J161, 2)</f>
        <v/>
      </c>
      <c r="H161" s="23">
        <f>ROUND(Intereses_Leasing_Mensual!K161 + Intereses_Residual_Mensual!K161, 2)</f>
        <v/>
      </c>
      <c r="I161" s="23">
        <f>ROUND(Intereses_Leasing_Mensual!L161 + Intereses_Residual_Mensual!L161, 2)</f>
        <v/>
      </c>
      <c r="J161" s="23">
        <f>ROUND(Intereses_Leasing_Mensual!M161 + Intereses_Residual_Mensual!M161, 2)</f>
        <v/>
      </c>
      <c r="K161" s="23">
        <f>ROUND(Intereses_Leasing_Mensual!N161 + Intereses_Residual_Mensual!N161, 2)</f>
        <v/>
      </c>
      <c r="L161" s="23">
        <f>ROUND(Intereses_Leasing_Mensual!O161 + Intereses_Residual_Mensual!O161, 2)</f>
        <v/>
      </c>
      <c r="M161" s="23">
        <f>ROUND(Intereses_Leasing_Mensual!P161 + Intereses_Residual_Mensual!P161, 2)</f>
        <v/>
      </c>
      <c r="N161" s="23">
        <f>ROUND(Intereses_Leasing_Mensual!Q161 + Intereses_Residual_Mensual!Q161, 2)</f>
        <v/>
      </c>
      <c r="O161" s="23">
        <f>ROUND(Intereses_Leasing_Mensual!R161 + Intereses_Residual_Mensual!R161, 2)</f>
        <v/>
      </c>
      <c r="P161" s="23">
        <f>ROUND(Intereses_Leasing_Mensual!S161 + Intereses_Residual_Mensual!S161, 2)</f>
        <v/>
      </c>
      <c r="Q161" s="23">
        <f>ROUND(Intereses_Leasing_Mensual!T161 + Intereses_Residual_Mensual!T161, 2)</f>
        <v/>
      </c>
      <c r="R161" s="23">
        <f>SUM(F161:Q161)</f>
        <v/>
      </c>
    </row>
    <row r="162">
      <c r="A162" s="26" t="inlineStr">
        <is>
          <t>0684-0003</t>
        </is>
      </c>
      <c r="B162" s="27" t="inlineStr">
        <is>
          <t>Corporativo Kareso Sa de Cv</t>
        </is>
      </c>
      <c r="C162" s="27" t="inlineStr">
        <is>
          <t>Yaris HB</t>
        </is>
      </c>
      <c r="D162" s="26" t="inlineStr">
        <is>
          <t>ACTIVO</t>
        </is>
      </c>
      <c r="E162" s="28" t="n">
        <v>24</v>
      </c>
      <c r="F162" s="29" t="inlineStr"/>
      <c r="G162" s="29">
        <f>ROUND(Intereses_Leasing_Mensual!J162 + Intereses_Residual_Mensual!J162, 2)</f>
        <v/>
      </c>
      <c r="H162" s="29">
        <f>ROUND(Intereses_Leasing_Mensual!K162 + Intereses_Residual_Mensual!K162, 2)</f>
        <v/>
      </c>
      <c r="I162" s="29">
        <f>ROUND(Intereses_Leasing_Mensual!L162 + Intereses_Residual_Mensual!L162, 2)</f>
        <v/>
      </c>
      <c r="J162" s="29">
        <f>ROUND(Intereses_Leasing_Mensual!M162 + Intereses_Residual_Mensual!M162, 2)</f>
        <v/>
      </c>
      <c r="K162" s="29">
        <f>ROUND(Intereses_Leasing_Mensual!N162 + Intereses_Residual_Mensual!N162, 2)</f>
        <v/>
      </c>
      <c r="L162" s="29">
        <f>ROUND(Intereses_Leasing_Mensual!O162 + Intereses_Residual_Mensual!O162, 2)</f>
        <v/>
      </c>
      <c r="M162" s="29">
        <f>ROUND(Intereses_Leasing_Mensual!P162 + Intereses_Residual_Mensual!P162, 2)</f>
        <v/>
      </c>
      <c r="N162" s="29">
        <f>ROUND(Intereses_Leasing_Mensual!Q162 + Intereses_Residual_Mensual!Q162, 2)</f>
        <v/>
      </c>
      <c r="O162" s="29">
        <f>ROUND(Intereses_Leasing_Mensual!R162 + Intereses_Residual_Mensual!R162, 2)</f>
        <v/>
      </c>
      <c r="P162" s="29">
        <f>ROUND(Intereses_Leasing_Mensual!S162 + Intereses_Residual_Mensual!S162, 2)</f>
        <v/>
      </c>
      <c r="Q162" s="29">
        <f>ROUND(Intereses_Leasing_Mensual!T162 + Intereses_Residual_Mensual!T162, 2)</f>
        <v/>
      </c>
      <c r="R162" s="29">
        <f>SUM(F162:Q162)</f>
        <v/>
      </c>
    </row>
    <row r="163">
      <c r="A163" s="20" t="inlineStr">
        <is>
          <t>0684-0004</t>
        </is>
      </c>
      <c r="B163" s="21" t="inlineStr">
        <is>
          <t>Corporativo Kareso Sa de Cv</t>
        </is>
      </c>
      <c r="C163" s="21" t="inlineStr">
        <is>
          <t>700 LARAMIE CREW CAB</t>
        </is>
      </c>
      <c r="D163" s="20" t="inlineStr">
        <is>
          <t>ACTIVO</t>
        </is>
      </c>
      <c r="E163" s="22" t="n">
        <v>24</v>
      </c>
      <c r="F163" s="23">
        <f>ROUND(Intereses_Leasing_Mensual!I163 + Intereses_Residual_Mensual!I163, 2)</f>
        <v/>
      </c>
      <c r="G163" s="23">
        <f>ROUND(Intereses_Leasing_Mensual!J163 + Intereses_Residual_Mensual!J163, 2)</f>
        <v/>
      </c>
      <c r="H163" s="23">
        <f>ROUND(Intereses_Leasing_Mensual!K163 + Intereses_Residual_Mensual!K163, 2)</f>
        <v/>
      </c>
      <c r="I163" s="23">
        <f>ROUND(Intereses_Leasing_Mensual!L163 + Intereses_Residual_Mensual!L163, 2)</f>
        <v/>
      </c>
      <c r="J163" s="23">
        <f>ROUND(Intereses_Leasing_Mensual!M163 + Intereses_Residual_Mensual!M163, 2)</f>
        <v/>
      </c>
      <c r="K163" s="23">
        <f>ROUND(Intereses_Leasing_Mensual!N163 + Intereses_Residual_Mensual!N163, 2)</f>
        <v/>
      </c>
      <c r="L163" s="23">
        <f>ROUND(Intereses_Leasing_Mensual!O163 + Intereses_Residual_Mensual!O163, 2)</f>
        <v/>
      </c>
      <c r="M163" s="23">
        <f>ROUND(Intereses_Leasing_Mensual!P163 + Intereses_Residual_Mensual!P163, 2)</f>
        <v/>
      </c>
      <c r="N163" s="23">
        <f>ROUND(Intereses_Leasing_Mensual!Q163 + Intereses_Residual_Mensual!Q163, 2)</f>
        <v/>
      </c>
      <c r="O163" s="23">
        <f>ROUND(Intereses_Leasing_Mensual!R163 + Intereses_Residual_Mensual!R163, 2)</f>
        <v/>
      </c>
      <c r="P163" s="23">
        <f>ROUND(Intereses_Leasing_Mensual!S163 + Intereses_Residual_Mensual!S163, 2)</f>
        <v/>
      </c>
      <c r="Q163" s="23">
        <f>ROUND(Intereses_Leasing_Mensual!T163 + Intereses_Residual_Mensual!T163, 2)</f>
        <v/>
      </c>
      <c r="R163" s="23">
        <f>SUM(F163:Q163)</f>
        <v/>
      </c>
    </row>
    <row r="164">
      <c r="A164" s="26" t="inlineStr">
        <is>
          <t>0687-0001</t>
        </is>
      </c>
      <c r="B164" s="27" t="inlineStr">
        <is>
          <t>Roberto Carlos Borbolla Alvarado</t>
        </is>
      </c>
      <c r="C164" s="27" t="inlineStr">
        <is>
          <t>Creta</t>
        </is>
      </c>
      <c r="D164" s="26" t="inlineStr">
        <is>
          <t>ACTIVO</t>
        </is>
      </c>
      <c r="E164" s="28" t="n">
        <v>36</v>
      </c>
      <c r="F164" s="29">
        <f>ROUND(Intereses_Leasing_Mensual!I164 + Intereses_Residual_Mensual!I164, 2)</f>
        <v/>
      </c>
      <c r="G164" s="29">
        <f>ROUND(Intereses_Leasing_Mensual!J164 + Intereses_Residual_Mensual!J164, 2)</f>
        <v/>
      </c>
      <c r="H164" s="29">
        <f>ROUND(Intereses_Leasing_Mensual!K164 + Intereses_Residual_Mensual!K164, 2)</f>
        <v/>
      </c>
      <c r="I164" s="29">
        <f>ROUND(Intereses_Leasing_Mensual!L164 + Intereses_Residual_Mensual!L164, 2)</f>
        <v/>
      </c>
      <c r="J164" s="29">
        <f>ROUND(Intereses_Leasing_Mensual!M164 + Intereses_Residual_Mensual!M164, 2)</f>
        <v/>
      </c>
      <c r="K164" s="29">
        <f>ROUND(Intereses_Leasing_Mensual!N164 + Intereses_Residual_Mensual!N164, 2)</f>
        <v/>
      </c>
      <c r="L164" s="29">
        <f>ROUND(Intereses_Leasing_Mensual!O164 + Intereses_Residual_Mensual!O164, 2)</f>
        <v/>
      </c>
      <c r="M164" s="29">
        <f>ROUND(Intereses_Leasing_Mensual!P164 + Intereses_Residual_Mensual!P164, 2)</f>
        <v/>
      </c>
      <c r="N164" s="29">
        <f>ROUND(Intereses_Leasing_Mensual!Q164 + Intereses_Residual_Mensual!Q164, 2)</f>
        <v/>
      </c>
      <c r="O164" s="29">
        <f>ROUND(Intereses_Leasing_Mensual!R164 + Intereses_Residual_Mensual!R164, 2)</f>
        <v/>
      </c>
      <c r="P164" s="29">
        <f>ROUND(Intereses_Leasing_Mensual!S164 + Intereses_Residual_Mensual!S164, 2)</f>
        <v/>
      </c>
      <c r="Q164" s="29">
        <f>ROUND(Intereses_Leasing_Mensual!T164 + Intereses_Residual_Mensual!T164, 2)</f>
        <v/>
      </c>
      <c r="R164" s="29">
        <f>SUM(F164:Q164)</f>
        <v/>
      </c>
    </row>
    <row r="165">
      <c r="A165" s="20" t="inlineStr">
        <is>
          <t>0688-0001</t>
        </is>
      </c>
      <c r="B165" s="21" t="inlineStr">
        <is>
          <t>Dolores Magdalena Rosales Rojas</t>
        </is>
      </c>
      <c r="C165" s="21" t="inlineStr">
        <is>
          <t>1500 RHO</t>
        </is>
      </c>
      <c r="D165" s="20" t="inlineStr">
        <is>
          <t>ACTIVO</t>
        </is>
      </c>
      <c r="E165" s="22" t="n">
        <v>24</v>
      </c>
      <c r="F165" s="23">
        <f>ROUND(Intereses_Leasing_Mensual!I165 + Intereses_Residual_Mensual!I165, 2)</f>
        <v/>
      </c>
      <c r="G165" s="23">
        <f>ROUND(Intereses_Leasing_Mensual!J165 + Intereses_Residual_Mensual!J165, 2)</f>
        <v/>
      </c>
      <c r="H165" s="23">
        <f>ROUND(Intereses_Leasing_Mensual!K165 + Intereses_Residual_Mensual!K165, 2)</f>
        <v/>
      </c>
      <c r="I165" s="23">
        <f>ROUND(Intereses_Leasing_Mensual!L165 + Intereses_Residual_Mensual!L165, 2)</f>
        <v/>
      </c>
      <c r="J165" s="23">
        <f>ROUND(Intereses_Leasing_Mensual!M165 + Intereses_Residual_Mensual!M165, 2)</f>
        <v/>
      </c>
      <c r="K165" s="23">
        <f>ROUND(Intereses_Leasing_Mensual!N165 + Intereses_Residual_Mensual!N165, 2)</f>
        <v/>
      </c>
      <c r="L165" s="23">
        <f>ROUND(Intereses_Leasing_Mensual!O165 + Intereses_Residual_Mensual!O165, 2)</f>
        <v/>
      </c>
      <c r="M165" s="23">
        <f>ROUND(Intereses_Leasing_Mensual!P165 + Intereses_Residual_Mensual!P165, 2)</f>
        <v/>
      </c>
      <c r="N165" s="23">
        <f>ROUND(Intereses_Leasing_Mensual!Q165 + Intereses_Residual_Mensual!Q165, 2)</f>
        <v/>
      </c>
      <c r="O165" s="23">
        <f>ROUND(Intereses_Leasing_Mensual!R165 + Intereses_Residual_Mensual!R165, 2)</f>
        <v/>
      </c>
      <c r="P165" s="23">
        <f>ROUND(Intereses_Leasing_Mensual!S165 + Intereses_Residual_Mensual!S165, 2)</f>
        <v/>
      </c>
      <c r="Q165" s="23">
        <f>ROUND(Intereses_Leasing_Mensual!T165 + Intereses_Residual_Mensual!T165, 2)</f>
        <v/>
      </c>
      <c r="R165" s="23">
        <f>SUM(F165:Q165)</f>
        <v/>
      </c>
    </row>
    <row r="166">
      <c r="A166" s="26" t="inlineStr">
        <is>
          <t>0688-0003</t>
        </is>
      </c>
      <c r="B166" s="27" t="inlineStr">
        <is>
          <t>Dolores Magdalena Rosales Rojas</t>
        </is>
      </c>
      <c r="C166" s="27" t="inlineStr">
        <is>
          <t>Jeep Jt Mojave 2025</t>
        </is>
      </c>
      <c r="D166" s="26" t="inlineStr">
        <is>
          <t>ACTIVO</t>
        </is>
      </c>
      <c r="E166" s="28" t="n">
        <v>12</v>
      </c>
      <c r="F166" s="29" t="inlineStr"/>
      <c r="G166" s="29" t="inlineStr"/>
      <c r="H166" s="29" t="inlineStr"/>
      <c r="I166" s="29" t="inlineStr"/>
      <c r="J166" s="29" t="inlineStr"/>
      <c r="K166" s="29" t="inlineStr"/>
      <c r="L166" s="29">
        <f>ROUND(Intereses_Leasing_Mensual!O166 + Intereses_Residual_Mensual!O166, 2)</f>
        <v/>
      </c>
      <c r="M166" s="29">
        <f>ROUND(Intereses_Leasing_Mensual!P166 + Intereses_Residual_Mensual!P166, 2)</f>
        <v/>
      </c>
      <c r="N166" s="29">
        <f>ROUND(Intereses_Leasing_Mensual!Q166 + Intereses_Residual_Mensual!Q166, 2)</f>
        <v/>
      </c>
      <c r="O166" s="29">
        <f>ROUND(Intereses_Leasing_Mensual!R166 + Intereses_Residual_Mensual!R166, 2)</f>
        <v/>
      </c>
      <c r="P166" s="29">
        <f>ROUND(Intereses_Leasing_Mensual!S166 + Intereses_Residual_Mensual!S166, 2)</f>
        <v/>
      </c>
      <c r="Q166" s="29">
        <f>ROUND(Intereses_Leasing_Mensual!T166 + Intereses_Residual_Mensual!T166, 2)</f>
        <v/>
      </c>
      <c r="R166" s="29">
        <f>SUM(F166:Q166)</f>
        <v/>
      </c>
    </row>
    <row r="167">
      <c r="A167" s="20" t="inlineStr">
        <is>
          <t>0689-0001</t>
        </is>
      </c>
      <c r="B167" s="21" t="inlineStr">
        <is>
          <t>Daniela Lizette Vargas Machuca</t>
        </is>
      </c>
      <c r="C167" s="21" t="inlineStr">
        <is>
          <t>1500 TUNGSTEN</t>
        </is>
      </c>
      <c r="D167" s="20" t="inlineStr">
        <is>
          <t>ACTIVO</t>
        </is>
      </c>
      <c r="E167" s="22" t="n">
        <v>36</v>
      </c>
      <c r="F167" s="23">
        <f>ROUND(Intereses_Leasing_Mensual!I167 + Intereses_Residual_Mensual!I167, 2)</f>
        <v/>
      </c>
      <c r="G167" s="23">
        <f>ROUND(Intereses_Leasing_Mensual!J167 + Intereses_Residual_Mensual!J167, 2)</f>
        <v/>
      </c>
      <c r="H167" s="23">
        <f>ROUND(Intereses_Leasing_Mensual!K167 + Intereses_Residual_Mensual!K167, 2)</f>
        <v/>
      </c>
      <c r="I167" s="23">
        <f>ROUND(Intereses_Leasing_Mensual!L167 + Intereses_Residual_Mensual!L167, 2)</f>
        <v/>
      </c>
      <c r="J167" s="23">
        <f>ROUND(Intereses_Leasing_Mensual!M167 + Intereses_Residual_Mensual!M167, 2)</f>
        <v/>
      </c>
      <c r="K167" s="23">
        <f>ROUND(Intereses_Leasing_Mensual!N167 + Intereses_Residual_Mensual!N167, 2)</f>
        <v/>
      </c>
      <c r="L167" s="23">
        <f>ROUND(Intereses_Leasing_Mensual!O167 + Intereses_Residual_Mensual!O167, 2)</f>
        <v/>
      </c>
      <c r="M167" s="23">
        <f>ROUND(Intereses_Leasing_Mensual!P167 + Intereses_Residual_Mensual!P167, 2)</f>
        <v/>
      </c>
      <c r="N167" s="23">
        <f>ROUND(Intereses_Leasing_Mensual!Q167 + Intereses_Residual_Mensual!Q167, 2)</f>
        <v/>
      </c>
      <c r="O167" s="23">
        <f>ROUND(Intereses_Leasing_Mensual!R167 + Intereses_Residual_Mensual!R167, 2)</f>
        <v/>
      </c>
      <c r="P167" s="23">
        <f>ROUND(Intereses_Leasing_Mensual!S167 + Intereses_Residual_Mensual!S167, 2)</f>
        <v/>
      </c>
      <c r="Q167" s="23">
        <f>ROUND(Intereses_Leasing_Mensual!T167 + Intereses_Residual_Mensual!T167, 2)</f>
        <v/>
      </c>
      <c r="R167" s="23">
        <f>SUM(F167:Q167)</f>
        <v/>
      </c>
    </row>
    <row r="168">
      <c r="A168" s="26" t="inlineStr">
        <is>
          <t>0690-0001</t>
        </is>
      </c>
      <c r="B168" s="27" t="inlineStr">
        <is>
          <t>Rogelio Sanchez Partida</t>
        </is>
      </c>
      <c r="C168" s="27" t="inlineStr">
        <is>
          <t>Grand Cherokee Limited</t>
        </is>
      </c>
      <c r="D168" s="26" t="inlineStr">
        <is>
          <t>ACTIVO</t>
        </is>
      </c>
      <c r="E168" s="28" t="n">
        <v>36</v>
      </c>
      <c r="F168" s="29">
        <f>ROUND(Intereses_Leasing_Mensual!I168 + Intereses_Residual_Mensual!I168, 2)</f>
        <v/>
      </c>
      <c r="G168" s="29">
        <f>ROUND(Intereses_Leasing_Mensual!J168 + Intereses_Residual_Mensual!J168, 2)</f>
        <v/>
      </c>
      <c r="H168" s="29">
        <f>ROUND(Intereses_Leasing_Mensual!K168 + Intereses_Residual_Mensual!K168, 2)</f>
        <v/>
      </c>
      <c r="I168" s="29">
        <f>ROUND(Intereses_Leasing_Mensual!L168 + Intereses_Residual_Mensual!L168, 2)</f>
        <v/>
      </c>
      <c r="J168" s="29">
        <f>ROUND(Intereses_Leasing_Mensual!M168 + Intereses_Residual_Mensual!M168, 2)</f>
        <v/>
      </c>
      <c r="K168" s="29">
        <f>ROUND(Intereses_Leasing_Mensual!N168 + Intereses_Residual_Mensual!N168, 2)</f>
        <v/>
      </c>
      <c r="L168" s="29">
        <f>ROUND(Intereses_Leasing_Mensual!O168 + Intereses_Residual_Mensual!O168, 2)</f>
        <v/>
      </c>
      <c r="M168" s="29">
        <f>ROUND(Intereses_Leasing_Mensual!P168 + Intereses_Residual_Mensual!P168, 2)</f>
        <v/>
      </c>
      <c r="N168" s="29">
        <f>ROUND(Intereses_Leasing_Mensual!Q168 + Intereses_Residual_Mensual!Q168, 2)</f>
        <v/>
      </c>
      <c r="O168" s="29">
        <f>ROUND(Intereses_Leasing_Mensual!R168 + Intereses_Residual_Mensual!R168, 2)</f>
        <v/>
      </c>
      <c r="P168" s="29">
        <f>ROUND(Intereses_Leasing_Mensual!S168 + Intereses_Residual_Mensual!S168, 2)</f>
        <v/>
      </c>
      <c r="Q168" s="29">
        <f>ROUND(Intereses_Leasing_Mensual!T168 + Intereses_Residual_Mensual!T168, 2)</f>
        <v/>
      </c>
      <c r="R168" s="29">
        <f>SUM(F168:Q168)</f>
        <v/>
      </c>
    </row>
    <row r="169">
      <c r="A169" s="20" t="inlineStr">
        <is>
          <t>0691-0001</t>
        </is>
      </c>
      <c r="B169" s="21" t="inlineStr">
        <is>
          <t>Pfc Films</t>
        </is>
      </c>
      <c r="C169" s="21" t="inlineStr">
        <is>
          <t>2008 allure Pack</t>
        </is>
      </c>
      <c r="D169" s="20" t="inlineStr">
        <is>
          <t>ACTIVO</t>
        </is>
      </c>
      <c r="E169" s="22" t="n">
        <v>24</v>
      </c>
      <c r="F169" s="23">
        <f>ROUND(Intereses_Leasing_Mensual!I169 + Intereses_Residual_Mensual!I169, 2)</f>
        <v/>
      </c>
      <c r="G169" s="23">
        <f>ROUND(Intereses_Leasing_Mensual!J169 + Intereses_Residual_Mensual!J169, 2)</f>
        <v/>
      </c>
      <c r="H169" s="23">
        <f>ROUND(Intereses_Leasing_Mensual!K169 + Intereses_Residual_Mensual!K169, 2)</f>
        <v/>
      </c>
      <c r="I169" s="23">
        <f>ROUND(Intereses_Leasing_Mensual!L169 + Intereses_Residual_Mensual!L169, 2)</f>
        <v/>
      </c>
      <c r="J169" s="23">
        <f>ROUND(Intereses_Leasing_Mensual!M169 + Intereses_Residual_Mensual!M169, 2)</f>
        <v/>
      </c>
      <c r="K169" s="23">
        <f>ROUND(Intereses_Leasing_Mensual!N169 + Intereses_Residual_Mensual!N169, 2)</f>
        <v/>
      </c>
      <c r="L169" s="23">
        <f>ROUND(Intereses_Leasing_Mensual!O169 + Intereses_Residual_Mensual!O169, 2)</f>
        <v/>
      </c>
      <c r="M169" s="23">
        <f>ROUND(Intereses_Leasing_Mensual!P169 + Intereses_Residual_Mensual!P169, 2)</f>
        <v/>
      </c>
      <c r="N169" s="23">
        <f>ROUND(Intereses_Leasing_Mensual!Q169 + Intereses_Residual_Mensual!Q169, 2)</f>
        <v/>
      </c>
      <c r="O169" s="23">
        <f>ROUND(Intereses_Leasing_Mensual!R169 + Intereses_Residual_Mensual!R169, 2)</f>
        <v/>
      </c>
      <c r="P169" s="23">
        <f>ROUND(Intereses_Leasing_Mensual!S169 + Intereses_Residual_Mensual!S169, 2)</f>
        <v/>
      </c>
      <c r="Q169" s="23">
        <f>ROUND(Intereses_Leasing_Mensual!T169 + Intereses_Residual_Mensual!T169, 2)</f>
        <v/>
      </c>
      <c r="R169" s="23">
        <f>SUM(F169:Q169)</f>
        <v/>
      </c>
    </row>
    <row r="170">
      <c r="A170" s="26" t="inlineStr">
        <is>
          <t>0692-0001</t>
        </is>
      </c>
      <c r="B170" s="27" t="inlineStr">
        <is>
          <t>Operadora de Centros Familiares Gato</t>
        </is>
      </c>
      <c r="C170" s="27" t="inlineStr">
        <is>
          <t>Partner Rapid</t>
        </is>
      </c>
      <c r="D170" s="26" t="inlineStr">
        <is>
          <t>ACTIVO</t>
        </is>
      </c>
      <c r="E170" s="28" t="n">
        <v>24</v>
      </c>
      <c r="F170" s="29">
        <f>ROUND(Intereses_Leasing_Mensual!I170 + Intereses_Residual_Mensual!I170, 2)</f>
        <v/>
      </c>
      <c r="G170" s="29">
        <f>ROUND(Intereses_Leasing_Mensual!J170 + Intereses_Residual_Mensual!J170, 2)</f>
        <v/>
      </c>
      <c r="H170" s="29">
        <f>ROUND(Intereses_Leasing_Mensual!K170 + Intereses_Residual_Mensual!K170, 2)</f>
        <v/>
      </c>
      <c r="I170" s="29">
        <f>ROUND(Intereses_Leasing_Mensual!L170 + Intereses_Residual_Mensual!L170, 2)</f>
        <v/>
      </c>
      <c r="J170" s="29">
        <f>ROUND(Intereses_Leasing_Mensual!M170 + Intereses_Residual_Mensual!M170, 2)</f>
        <v/>
      </c>
      <c r="K170" s="29">
        <f>ROUND(Intereses_Leasing_Mensual!N170 + Intereses_Residual_Mensual!N170, 2)</f>
        <v/>
      </c>
      <c r="L170" s="29">
        <f>ROUND(Intereses_Leasing_Mensual!O170 + Intereses_Residual_Mensual!O170, 2)</f>
        <v/>
      </c>
      <c r="M170" s="29">
        <f>ROUND(Intereses_Leasing_Mensual!P170 + Intereses_Residual_Mensual!P170, 2)</f>
        <v/>
      </c>
      <c r="N170" s="29">
        <f>ROUND(Intereses_Leasing_Mensual!Q170 + Intereses_Residual_Mensual!Q170, 2)</f>
        <v/>
      </c>
      <c r="O170" s="29">
        <f>ROUND(Intereses_Leasing_Mensual!R170 + Intereses_Residual_Mensual!R170, 2)</f>
        <v/>
      </c>
      <c r="P170" s="29">
        <f>ROUND(Intereses_Leasing_Mensual!S170 + Intereses_Residual_Mensual!S170, 2)</f>
        <v/>
      </c>
      <c r="Q170" s="29">
        <f>ROUND(Intereses_Leasing_Mensual!T170 + Intereses_Residual_Mensual!T170, 2)</f>
        <v/>
      </c>
      <c r="R170" s="29">
        <f>SUM(F170:Q170)</f>
        <v/>
      </c>
    </row>
    <row r="171">
      <c r="A171" s="20" t="inlineStr">
        <is>
          <t>0692-0002</t>
        </is>
      </c>
      <c r="B171" s="21" t="inlineStr">
        <is>
          <t>Operadora de Centros Familiares Gato</t>
        </is>
      </c>
      <c r="C171" s="21" t="inlineStr">
        <is>
          <t>Partner Rapid</t>
        </is>
      </c>
      <c r="D171" s="20" t="inlineStr">
        <is>
          <t>ACTIVO</t>
        </is>
      </c>
      <c r="E171" s="22" t="n">
        <v>24</v>
      </c>
      <c r="F171" s="23">
        <f>ROUND(Intereses_Leasing_Mensual!I171 + Intereses_Residual_Mensual!I171, 2)</f>
        <v/>
      </c>
      <c r="G171" s="23">
        <f>ROUND(Intereses_Leasing_Mensual!J171 + Intereses_Residual_Mensual!J171, 2)</f>
        <v/>
      </c>
      <c r="H171" s="23">
        <f>ROUND(Intereses_Leasing_Mensual!K171 + Intereses_Residual_Mensual!K171, 2)</f>
        <v/>
      </c>
      <c r="I171" s="23">
        <f>ROUND(Intereses_Leasing_Mensual!L171 + Intereses_Residual_Mensual!L171, 2)</f>
        <v/>
      </c>
      <c r="J171" s="23">
        <f>ROUND(Intereses_Leasing_Mensual!M171 + Intereses_Residual_Mensual!M171, 2)</f>
        <v/>
      </c>
      <c r="K171" s="23">
        <f>ROUND(Intereses_Leasing_Mensual!N171 + Intereses_Residual_Mensual!N171, 2)</f>
        <v/>
      </c>
      <c r="L171" s="23">
        <f>ROUND(Intereses_Leasing_Mensual!O171 + Intereses_Residual_Mensual!O171, 2)</f>
        <v/>
      </c>
      <c r="M171" s="23">
        <f>ROUND(Intereses_Leasing_Mensual!P171 + Intereses_Residual_Mensual!P171, 2)</f>
        <v/>
      </c>
      <c r="N171" s="23">
        <f>ROUND(Intereses_Leasing_Mensual!Q171 + Intereses_Residual_Mensual!Q171, 2)</f>
        <v/>
      </c>
      <c r="O171" s="23">
        <f>ROUND(Intereses_Leasing_Mensual!R171 + Intereses_Residual_Mensual!R171, 2)</f>
        <v/>
      </c>
      <c r="P171" s="23">
        <f>ROUND(Intereses_Leasing_Mensual!S171 + Intereses_Residual_Mensual!S171, 2)</f>
        <v/>
      </c>
      <c r="Q171" s="23">
        <f>ROUND(Intereses_Leasing_Mensual!T171 + Intereses_Residual_Mensual!T171, 2)</f>
        <v/>
      </c>
      <c r="R171" s="23">
        <f>SUM(F171:Q171)</f>
        <v/>
      </c>
    </row>
    <row r="172">
      <c r="A172" s="26" t="inlineStr">
        <is>
          <t>0692-0003</t>
        </is>
      </c>
      <c r="B172" s="27" t="inlineStr">
        <is>
          <t>Operadora de Centros Familiares Gato</t>
        </is>
      </c>
      <c r="C172" s="27" t="inlineStr">
        <is>
          <t>Partner Rapid</t>
        </is>
      </c>
      <c r="D172" s="26" t="inlineStr">
        <is>
          <t>ACTIVO</t>
        </is>
      </c>
      <c r="E172" s="28" t="n">
        <v>24</v>
      </c>
      <c r="F172" s="29">
        <f>ROUND(Intereses_Leasing_Mensual!I172 + Intereses_Residual_Mensual!I172, 2)</f>
        <v/>
      </c>
      <c r="G172" s="29">
        <f>ROUND(Intereses_Leasing_Mensual!J172 + Intereses_Residual_Mensual!J172, 2)</f>
        <v/>
      </c>
      <c r="H172" s="29">
        <f>ROUND(Intereses_Leasing_Mensual!K172 + Intereses_Residual_Mensual!K172, 2)</f>
        <v/>
      </c>
      <c r="I172" s="29">
        <f>ROUND(Intereses_Leasing_Mensual!L172 + Intereses_Residual_Mensual!L172, 2)</f>
        <v/>
      </c>
      <c r="J172" s="29">
        <f>ROUND(Intereses_Leasing_Mensual!M172 + Intereses_Residual_Mensual!M172, 2)</f>
        <v/>
      </c>
      <c r="K172" s="29">
        <f>ROUND(Intereses_Leasing_Mensual!N172 + Intereses_Residual_Mensual!N172, 2)</f>
        <v/>
      </c>
      <c r="L172" s="29">
        <f>ROUND(Intereses_Leasing_Mensual!O172 + Intereses_Residual_Mensual!O172, 2)</f>
        <v/>
      </c>
      <c r="M172" s="29">
        <f>ROUND(Intereses_Leasing_Mensual!P172 + Intereses_Residual_Mensual!P172, 2)</f>
        <v/>
      </c>
      <c r="N172" s="29">
        <f>ROUND(Intereses_Leasing_Mensual!Q172 + Intereses_Residual_Mensual!Q172, 2)</f>
        <v/>
      </c>
      <c r="O172" s="29">
        <f>ROUND(Intereses_Leasing_Mensual!R172 + Intereses_Residual_Mensual!R172, 2)</f>
        <v/>
      </c>
      <c r="P172" s="29">
        <f>ROUND(Intereses_Leasing_Mensual!S172 + Intereses_Residual_Mensual!S172, 2)</f>
        <v/>
      </c>
      <c r="Q172" s="29">
        <f>ROUND(Intereses_Leasing_Mensual!T172 + Intereses_Residual_Mensual!T172, 2)</f>
        <v/>
      </c>
      <c r="R172" s="29">
        <f>SUM(F172:Q172)</f>
        <v/>
      </c>
    </row>
    <row r="173">
      <c r="A173" s="20" t="inlineStr">
        <is>
          <t>0693-0001</t>
        </is>
      </c>
      <c r="B173" s="21" t="inlineStr">
        <is>
          <t>Neurovim</t>
        </is>
      </c>
      <c r="C173" s="21" t="inlineStr">
        <is>
          <t>Equipo Medico</t>
        </is>
      </c>
      <c r="D173" s="20" t="inlineStr">
        <is>
          <t>ACTIVO</t>
        </is>
      </c>
      <c r="E173" s="22" t="n">
        <v>36</v>
      </c>
      <c r="F173" s="23">
        <f>ROUND(Intereses_Leasing_Mensual!I173 + Intereses_Residual_Mensual!I173, 2)</f>
        <v/>
      </c>
      <c r="G173" s="23">
        <f>ROUND(Intereses_Leasing_Mensual!J173 + Intereses_Residual_Mensual!J173, 2)</f>
        <v/>
      </c>
      <c r="H173" s="23">
        <f>ROUND(Intereses_Leasing_Mensual!K173 + Intereses_Residual_Mensual!K173, 2)</f>
        <v/>
      </c>
      <c r="I173" s="23">
        <f>ROUND(Intereses_Leasing_Mensual!L173 + Intereses_Residual_Mensual!L173, 2)</f>
        <v/>
      </c>
      <c r="J173" s="23">
        <f>ROUND(Intereses_Leasing_Mensual!M173 + Intereses_Residual_Mensual!M173, 2)</f>
        <v/>
      </c>
      <c r="K173" s="23">
        <f>ROUND(Intereses_Leasing_Mensual!N173 + Intereses_Residual_Mensual!N173, 2)</f>
        <v/>
      </c>
      <c r="L173" s="23">
        <f>ROUND(Intereses_Leasing_Mensual!O173 + Intereses_Residual_Mensual!O173, 2)</f>
        <v/>
      </c>
      <c r="M173" s="23">
        <f>ROUND(Intereses_Leasing_Mensual!P173 + Intereses_Residual_Mensual!P173, 2)</f>
        <v/>
      </c>
      <c r="N173" s="23">
        <f>ROUND(Intereses_Leasing_Mensual!Q173 + Intereses_Residual_Mensual!Q173, 2)</f>
        <v/>
      </c>
      <c r="O173" s="23">
        <f>ROUND(Intereses_Leasing_Mensual!R173 + Intereses_Residual_Mensual!R173, 2)</f>
        <v/>
      </c>
      <c r="P173" s="23">
        <f>ROUND(Intereses_Leasing_Mensual!S173 + Intereses_Residual_Mensual!S173, 2)</f>
        <v/>
      </c>
      <c r="Q173" s="23">
        <f>ROUND(Intereses_Leasing_Mensual!T173 + Intereses_Residual_Mensual!T173, 2)</f>
        <v/>
      </c>
      <c r="R173" s="23">
        <f>SUM(F173:Q173)</f>
        <v/>
      </c>
    </row>
    <row r="174">
      <c r="A174" s="26" t="inlineStr">
        <is>
          <t>0694-0001</t>
        </is>
      </c>
      <c r="B174" s="27" t="inlineStr">
        <is>
          <t>Jose Gelacio Limon Reyes</t>
        </is>
      </c>
      <c r="C174" s="27" t="inlineStr">
        <is>
          <t>Outlander Sport</t>
        </is>
      </c>
      <c r="D174" s="26" t="inlineStr">
        <is>
          <t>ACTIVO</t>
        </is>
      </c>
      <c r="E174" s="28" t="n">
        <v>48</v>
      </c>
      <c r="F174" s="29">
        <f>ROUND(Intereses_Leasing_Mensual!I174 + Intereses_Residual_Mensual!I174, 2)</f>
        <v/>
      </c>
      <c r="G174" s="29">
        <f>ROUND(Intereses_Leasing_Mensual!J174 + Intereses_Residual_Mensual!J174, 2)</f>
        <v/>
      </c>
      <c r="H174" s="29">
        <f>ROUND(Intereses_Leasing_Mensual!K174 + Intereses_Residual_Mensual!K174, 2)</f>
        <v/>
      </c>
      <c r="I174" s="29">
        <f>ROUND(Intereses_Leasing_Mensual!L174 + Intereses_Residual_Mensual!L174, 2)</f>
        <v/>
      </c>
      <c r="J174" s="29">
        <f>ROUND(Intereses_Leasing_Mensual!M174 + Intereses_Residual_Mensual!M174, 2)</f>
        <v/>
      </c>
      <c r="K174" s="29">
        <f>ROUND(Intereses_Leasing_Mensual!N174 + Intereses_Residual_Mensual!N174, 2)</f>
        <v/>
      </c>
      <c r="L174" s="29">
        <f>ROUND(Intereses_Leasing_Mensual!O174 + Intereses_Residual_Mensual!O174, 2)</f>
        <v/>
      </c>
      <c r="M174" s="29">
        <f>ROUND(Intereses_Leasing_Mensual!P174 + Intereses_Residual_Mensual!P174, 2)</f>
        <v/>
      </c>
      <c r="N174" s="29">
        <f>ROUND(Intereses_Leasing_Mensual!Q174 + Intereses_Residual_Mensual!Q174, 2)</f>
        <v/>
      </c>
      <c r="O174" s="29">
        <f>ROUND(Intereses_Leasing_Mensual!R174 + Intereses_Residual_Mensual!R174, 2)</f>
        <v/>
      </c>
      <c r="P174" s="29">
        <f>ROUND(Intereses_Leasing_Mensual!S174 + Intereses_Residual_Mensual!S174, 2)</f>
        <v/>
      </c>
      <c r="Q174" s="29">
        <f>ROUND(Intereses_Leasing_Mensual!T174 + Intereses_Residual_Mensual!T174, 2)</f>
        <v/>
      </c>
      <c r="R174" s="29">
        <f>SUM(F174:Q174)</f>
        <v/>
      </c>
    </row>
    <row r="175">
      <c r="A175" s="20" t="inlineStr">
        <is>
          <t>0695-0001</t>
        </is>
      </c>
      <c r="B175" s="21" t="inlineStr">
        <is>
          <t>Sistemas de Seguridad Privada Ssp</t>
        </is>
      </c>
      <c r="C175" s="21" t="inlineStr">
        <is>
          <t>Attitude Sport</t>
        </is>
      </c>
      <c r="D175" s="20" t="inlineStr">
        <is>
          <t>ACTIVO</t>
        </is>
      </c>
      <c r="E175" s="22" t="n">
        <v>24</v>
      </c>
      <c r="F175" s="23">
        <f>ROUND(Intereses_Leasing_Mensual!I175 + Intereses_Residual_Mensual!I175, 2)</f>
        <v/>
      </c>
      <c r="G175" s="23">
        <f>ROUND(Intereses_Leasing_Mensual!J175 + Intereses_Residual_Mensual!J175, 2)</f>
        <v/>
      </c>
      <c r="H175" s="23">
        <f>ROUND(Intereses_Leasing_Mensual!K175 + Intereses_Residual_Mensual!K175, 2)</f>
        <v/>
      </c>
      <c r="I175" s="23">
        <f>ROUND(Intereses_Leasing_Mensual!L175 + Intereses_Residual_Mensual!L175, 2)</f>
        <v/>
      </c>
      <c r="J175" s="23">
        <f>ROUND(Intereses_Leasing_Mensual!M175 + Intereses_Residual_Mensual!M175, 2)</f>
        <v/>
      </c>
      <c r="K175" s="23">
        <f>ROUND(Intereses_Leasing_Mensual!N175 + Intereses_Residual_Mensual!N175, 2)</f>
        <v/>
      </c>
      <c r="L175" s="23">
        <f>ROUND(Intereses_Leasing_Mensual!O175 + Intereses_Residual_Mensual!O175, 2)</f>
        <v/>
      </c>
      <c r="M175" s="23">
        <f>ROUND(Intereses_Leasing_Mensual!P175 + Intereses_Residual_Mensual!P175, 2)</f>
        <v/>
      </c>
      <c r="N175" s="23">
        <f>ROUND(Intereses_Leasing_Mensual!Q175 + Intereses_Residual_Mensual!Q175, 2)</f>
        <v/>
      </c>
      <c r="O175" s="23">
        <f>ROUND(Intereses_Leasing_Mensual!R175 + Intereses_Residual_Mensual!R175, 2)</f>
        <v/>
      </c>
      <c r="P175" s="23">
        <f>ROUND(Intereses_Leasing_Mensual!S175 + Intereses_Residual_Mensual!S175, 2)</f>
        <v/>
      </c>
      <c r="Q175" s="23">
        <f>ROUND(Intereses_Leasing_Mensual!T175 + Intereses_Residual_Mensual!T175, 2)</f>
        <v/>
      </c>
      <c r="R175" s="23">
        <f>SUM(F175:Q175)</f>
        <v/>
      </c>
    </row>
    <row r="176">
      <c r="A176" s="26" t="inlineStr">
        <is>
          <t>0696-0001</t>
        </is>
      </c>
      <c r="B176" s="27" t="inlineStr">
        <is>
          <t>Karina Rocio Sanchez Cardenas</t>
        </is>
      </c>
      <c r="C176" s="27" t="inlineStr">
        <is>
          <t>Atittude GT</t>
        </is>
      </c>
      <c r="D176" s="26" t="inlineStr">
        <is>
          <t>ACTIVO</t>
        </is>
      </c>
      <c r="E176" s="28" t="n">
        <v>48</v>
      </c>
      <c r="F176" s="29">
        <f>ROUND(Intereses_Leasing_Mensual!I176 + Intereses_Residual_Mensual!I176, 2)</f>
        <v/>
      </c>
      <c r="G176" s="29">
        <f>ROUND(Intereses_Leasing_Mensual!J176 + Intereses_Residual_Mensual!J176, 2)</f>
        <v/>
      </c>
      <c r="H176" s="29">
        <f>ROUND(Intereses_Leasing_Mensual!K176 + Intereses_Residual_Mensual!K176, 2)</f>
        <v/>
      </c>
      <c r="I176" s="29">
        <f>ROUND(Intereses_Leasing_Mensual!L176 + Intereses_Residual_Mensual!L176, 2)</f>
        <v/>
      </c>
      <c r="J176" s="29">
        <f>ROUND(Intereses_Leasing_Mensual!M176 + Intereses_Residual_Mensual!M176, 2)</f>
        <v/>
      </c>
      <c r="K176" s="29">
        <f>ROUND(Intereses_Leasing_Mensual!N176 + Intereses_Residual_Mensual!N176, 2)</f>
        <v/>
      </c>
      <c r="L176" s="29">
        <f>ROUND(Intereses_Leasing_Mensual!O176 + Intereses_Residual_Mensual!O176, 2)</f>
        <v/>
      </c>
      <c r="M176" s="29">
        <f>ROUND(Intereses_Leasing_Mensual!P176 + Intereses_Residual_Mensual!P176, 2)</f>
        <v/>
      </c>
      <c r="N176" s="29">
        <f>ROUND(Intereses_Leasing_Mensual!Q176 + Intereses_Residual_Mensual!Q176, 2)</f>
        <v/>
      </c>
      <c r="O176" s="29">
        <f>ROUND(Intereses_Leasing_Mensual!R176 + Intereses_Residual_Mensual!R176, 2)</f>
        <v/>
      </c>
      <c r="P176" s="29">
        <f>ROUND(Intereses_Leasing_Mensual!S176 + Intereses_Residual_Mensual!S176, 2)</f>
        <v/>
      </c>
      <c r="Q176" s="29">
        <f>ROUND(Intereses_Leasing_Mensual!T176 + Intereses_Residual_Mensual!T176, 2)</f>
        <v/>
      </c>
      <c r="R176" s="29">
        <f>SUM(F176:Q176)</f>
        <v/>
      </c>
    </row>
    <row r="177">
      <c r="A177" s="20" t="inlineStr">
        <is>
          <t>0697-0001</t>
        </is>
      </c>
      <c r="B177" s="21" t="inlineStr">
        <is>
          <t>Guillermo Eduardo Robles Navarro</t>
        </is>
      </c>
      <c r="C177" s="21" t="inlineStr">
        <is>
          <t>Partner Rapid</t>
        </is>
      </c>
      <c r="D177" s="20" t="inlineStr">
        <is>
          <t>ACTIVO</t>
        </is>
      </c>
      <c r="E177" s="22" t="n">
        <v>24</v>
      </c>
      <c r="F177" s="23">
        <f>ROUND(Intereses_Leasing_Mensual!I177 + Intereses_Residual_Mensual!I177, 2)</f>
        <v/>
      </c>
      <c r="G177" s="23">
        <f>ROUND(Intereses_Leasing_Mensual!J177 + Intereses_Residual_Mensual!J177, 2)</f>
        <v/>
      </c>
      <c r="H177" s="23">
        <f>ROUND(Intereses_Leasing_Mensual!K177 + Intereses_Residual_Mensual!K177, 2)</f>
        <v/>
      </c>
      <c r="I177" s="23">
        <f>ROUND(Intereses_Leasing_Mensual!L177 + Intereses_Residual_Mensual!L177, 2)</f>
        <v/>
      </c>
      <c r="J177" s="23">
        <f>ROUND(Intereses_Leasing_Mensual!M177 + Intereses_Residual_Mensual!M177, 2)</f>
        <v/>
      </c>
      <c r="K177" s="23">
        <f>ROUND(Intereses_Leasing_Mensual!N177 + Intereses_Residual_Mensual!N177, 2)</f>
        <v/>
      </c>
      <c r="L177" s="23">
        <f>ROUND(Intereses_Leasing_Mensual!O177 + Intereses_Residual_Mensual!O177, 2)</f>
        <v/>
      </c>
      <c r="M177" s="23">
        <f>ROUND(Intereses_Leasing_Mensual!P177 + Intereses_Residual_Mensual!P177, 2)</f>
        <v/>
      </c>
      <c r="N177" s="23">
        <f>ROUND(Intereses_Leasing_Mensual!Q177 + Intereses_Residual_Mensual!Q177, 2)</f>
        <v/>
      </c>
      <c r="O177" s="23">
        <f>ROUND(Intereses_Leasing_Mensual!R177 + Intereses_Residual_Mensual!R177, 2)</f>
        <v/>
      </c>
      <c r="P177" s="23">
        <f>ROUND(Intereses_Leasing_Mensual!S177 + Intereses_Residual_Mensual!S177, 2)</f>
        <v/>
      </c>
      <c r="Q177" s="23">
        <f>ROUND(Intereses_Leasing_Mensual!T177 + Intereses_Residual_Mensual!T177, 2)</f>
        <v/>
      </c>
      <c r="R177" s="23">
        <f>SUM(F177:Q177)</f>
        <v/>
      </c>
    </row>
    <row r="178">
      <c r="A178" s="26" t="inlineStr">
        <is>
          <t>0698-0001</t>
        </is>
      </c>
      <c r="B178" s="27" t="inlineStr">
        <is>
          <t>Roberto Gontes Leon</t>
        </is>
      </c>
      <c r="C178" s="27" t="inlineStr">
        <is>
          <t>Wrangler Rubicon</t>
        </is>
      </c>
      <c r="D178" s="26" t="inlineStr">
        <is>
          <t>ACTIVO</t>
        </is>
      </c>
      <c r="E178" s="28" t="n">
        <v>48</v>
      </c>
      <c r="F178" s="29">
        <f>ROUND(Intereses_Leasing_Mensual!I178 + Intereses_Residual_Mensual!I178, 2)</f>
        <v/>
      </c>
      <c r="G178" s="29">
        <f>ROUND(Intereses_Leasing_Mensual!J178 + Intereses_Residual_Mensual!J178, 2)</f>
        <v/>
      </c>
      <c r="H178" s="29">
        <f>ROUND(Intereses_Leasing_Mensual!K178 + Intereses_Residual_Mensual!K178, 2)</f>
        <v/>
      </c>
      <c r="I178" s="29">
        <f>ROUND(Intereses_Leasing_Mensual!L178 + Intereses_Residual_Mensual!L178, 2)</f>
        <v/>
      </c>
      <c r="J178" s="29">
        <f>ROUND(Intereses_Leasing_Mensual!M178 + Intereses_Residual_Mensual!M178, 2)</f>
        <v/>
      </c>
      <c r="K178" s="29">
        <f>ROUND(Intereses_Leasing_Mensual!N178 + Intereses_Residual_Mensual!N178, 2)</f>
        <v/>
      </c>
      <c r="L178" s="29">
        <f>ROUND(Intereses_Leasing_Mensual!O178 + Intereses_Residual_Mensual!O178, 2)</f>
        <v/>
      </c>
      <c r="M178" s="29">
        <f>ROUND(Intereses_Leasing_Mensual!P178 + Intereses_Residual_Mensual!P178, 2)</f>
        <v/>
      </c>
      <c r="N178" s="29">
        <f>ROUND(Intereses_Leasing_Mensual!Q178 + Intereses_Residual_Mensual!Q178, 2)</f>
        <v/>
      </c>
      <c r="O178" s="29">
        <f>ROUND(Intereses_Leasing_Mensual!R178 + Intereses_Residual_Mensual!R178, 2)</f>
        <v/>
      </c>
      <c r="P178" s="29">
        <f>ROUND(Intereses_Leasing_Mensual!S178 + Intereses_Residual_Mensual!S178, 2)</f>
        <v/>
      </c>
      <c r="Q178" s="29">
        <f>ROUND(Intereses_Leasing_Mensual!T178 + Intereses_Residual_Mensual!T178, 2)</f>
        <v/>
      </c>
      <c r="R178" s="29">
        <f>SUM(F178:Q178)</f>
        <v/>
      </c>
    </row>
    <row r="179">
      <c r="A179" s="20" t="inlineStr">
        <is>
          <t>0699-0001</t>
        </is>
      </c>
      <c r="B179" s="21" t="inlineStr">
        <is>
          <t>Ramona Salazar Ramos</t>
        </is>
      </c>
      <c r="C179" s="21" t="inlineStr">
        <is>
          <t>Grand Cherokee 2025</t>
        </is>
      </c>
      <c r="D179" s="20" t="inlineStr">
        <is>
          <t>ACTIVO</t>
        </is>
      </c>
      <c r="E179" s="22" t="n">
        <v>36</v>
      </c>
      <c r="F179" s="23">
        <f>ROUND(Intereses_Leasing_Mensual!I179 + Intereses_Residual_Mensual!I179, 2)</f>
        <v/>
      </c>
      <c r="G179" s="23">
        <f>ROUND(Intereses_Leasing_Mensual!J179 + Intereses_Residual_Mensual!J179, 2)</f>
        <v/>
      </c>
      <c r="H179" s="23">
        <f>ROUND(Intereses_Leasing_Mensual!K179 + Intereses_Residual_Mensual!K179, 2)</f>
        <v/>
      </c>
      <c r="I179" s="23">
        <f>ROUND(Intereses_Leasing_Mensual!L179 + Intereses_Residual_Mensual!L179, 2)</f>
        <v/>
      </c>
      <c r="J179" s="23">
        <f>ROUND(Intereses_Leasing_Mensual!M179 + Intereses_Residual_Mensual!M179, 2)</f>
        <v/>
      </c>
      <c r="K179" s="23">
        <f>ROUND(Intereses_Leasing_Mensual!N179 + Intereses_Residual_Mensual!N179, 2)</f>
        <v/>
      </c>
      <c r="L179" s="23">
        <f>ROUND(Intereses_Leasing_Mensual!O179 + Intereses_Residual_Mensual!O179, 2)</f>
        <v/>
      </c>
      <c r="M179" s="23">
        <f>ROUND(Intereses_Leasing_Mensual!P179 + Intereses_Residual_Mensual!P179, 2)</f>
        <v/>
      </c>
      <c r="N179" s="23">
        <f>ROUND(Intereses_Leasing_Mensual!Q179 + Intereses_Residual_Mensual!Q179, 2)</f>
        <v/>
      </c>
      <c r="O179" s="23">
        <f>ROUND(Intereses_Leasing_Mensual!R179 + Intereses_Residual_Mensual!R179, 2)</f>
        <v/>
      </c>
      <c r="P179" s="23">
        <f>ROUND(Intereses_Leasing_Mensual!S179 + Intereses_Residual_Mensual!S179, 2)</f>
        <v/>
      </c>
      <c r="Q179" s="23">
        <f>ROUND(Intereses_Leasing_Mensual!T179 + Intereses_Residual_Mensual!T179, 2)</f>
        <v/>
      </c>
      <c r="R179" s="23">
        <f>SUM(F179:Q179)</f>
        <v/>
      </c>
    </row>
    <row r="180">
      <c r="A180" s="26" t="inlineStr">
        <is>
          <t>0700-0001</t>
        </is>
      </c>
      <c r="B180" s="27" t="inlineStr">
        <is>
          <t>Felipe de Jesus Ibañez Huizar</t>
        </is>
      </c>
      <c r="C180" s="27" t="inlineStr">
        <is>
          <t>K3</t>
        </is>
      </c>
      <c r="D180" s="26" t="inlineStr">
        <is>
          <t>ACTIVO</t>
        </is>
      </c>
      <c r="E180" s="28" t="n">
        <v>36</v>
      </c>
      <c r="F180" s="29">
        <f>ROUND(Intereses_Leasing_Mensual!I180 + Intereses_Residual_Mensual!I180, 2)</f>
        <v/>
      </c>
      <c r="G180" s="29">
        <f>ROUND(Intereses_Leasing_Mensual!J180 + Intereses_Residual_Mensual!J180, 2)</f>
        <v/>
      </c>
      <c r="H180" s="29">
        <f>ROUND(Intereses_Leasing_Mensual!K180 + Intereses_Residual_Mensual!K180, 2)</f>
        <v/>
      </c>
      <c r="I180" s="29">
        <f>ROUND(Intereses_Leasing_Mensual!L180 + Intereses_Residual_Mensual!L180, 2)</f>
        <v/>
      </c>
      <c r="J180" s="29">
        <f>ROUND(Intereses_Leasing_Mensual!M180 + Intereses_Residual_Mensual!M180, 2)</f>
        <v/>
      </c>
      <c r="K180" s="29">
        <f>ROUND(Intereses_Leasing_Mensual!N180 + Intereses_Residual_Mensual!N180, 2)</f>
        <v/>
      </c>
      <c r="L180" s="29">
        <f>ROUND(Intereses_Leasing_Mensual!O180 + Intereses_Residual_Mensual!O180, 2)</f>
        <v/>
      </c>
      <c r="M180" s="29">
        <f>ROUND(Intereses_Leasing_Mensual!P180 + Intereses_Residual_Mensual!P180, 2)</f>
        <v/>
      </c>
      <c r="N180" s="29">
        <f>ROUND(Intereses_Leasing_Mensual!Q180 + Intereses_Residual_Mensual!Q180, 2)</f>
        <v/>
      </c>
      <c r="O180" s="29">
        <f>ROUND(Intereses_Leasing_Mensual!R180 + Intereses_Residual_Mensual!R180, 2)</f>
        <v/>
      </c>
      <c r="P180" s="29">
        <f>ROUND(Intereses_Leasing_Mensual!S180 + Intereses_Residual_Mensual!S180, 2)</f>
        <v/>
      </c>
      <c r="Q180" s="29">
        <f>ROUND(Intereses_Leasing_Mensual!T180 + Intereses_Residual_Mensual!T180, 2)</f>
        <v/>
      </c>
      <c r="R180" s="29">
        <f>SUM(F180:Q180)</f>
        <v/>
      </c>
    </row>
    <row r="181">
      <c r="A181" s="20" t="inlineStr">
        <is>
          <t>0700-0002</t>
        </is>
      </c>
      <c r="B181" s="21" t="inlineStr">
        <is>
          <t>Felipe de Jesus Ibañez Huizar</t>
        </is>
      </c>
      <c r="C181" s="21" t="inlineStr">
        <is>
          <t>Nissan NP 300 Frontier 2026</t>
        </is>
      </c>
      <c r="D181" s="20" t="inlineStr">
        <is>
          <t>ACTIVO</t>
        </is>
      </c>
      <c r="E181" s="22" t="n">
        <v>24</v>
      </c>
      <c r="F181" s="23" t="inlineStr"/>
      <c r="G181" s="23" t="inlineStr"/>
      <c r="H181" s="23" t="inlineStr"/>
      <c r="I181" s="23" t="inlineStr"/>
      <c r="J181" s="23" t="inlineStr"/>
      <c r="K181" s="23" t="inlineStr"/>
      <c r="L181" s="23">
        <f>ROUND(Intereses_Leasing_Mensual!O181 + Intereses_Residual_Mensual!O181, 2)</f>
        <v/>
      </c>
      <c r="M181" s="23">
        <f>ROUND(Intereses_Leasing_Mensual!P181 + Intereses_Residual_Mensual!P181, 2)</f>
        <v/>
      </c>
      <c r="N181" s="23">
        <f>ROUND(Intereses_Leasing_Mensual!Q181 + Intereses_Residual_Mensual!Q181, 2)</f>
        <v/>
      </c>
      <c r="O181" s="23">
        <f>ROUND(Intereses_Leasing_Mensual!R181 + Intereses_Residual_Mensual!R181, 2)</f>
        <v/>
      </c>
      <c r="P181" s="23">
        <f>ROUND(Intereses_Leasing_Mensual!S181 + Intereses_Residual_Mensual!S181, 2)</f>
        <v/>
      </c>
      <c r="Q181" s="23">
        <f>ROUND(Intereses_Leasing_Mensual!T181 + Intereses_Residual_Mensual!T181, 2)</f>
        <v/>
      </c>
      <c r="R181" s="23">
        <f>SUM(F181:Q181)</f>
        <v/>
      </c>
    </row>
    <row r="182">
      <c r="A182" s="26" t="inlineStr">
        <is>
          <t>0701-0001</t>
        </is>
      </c>
      <c r="B182" s="27" t="inlineStr">
        <is>
          <t>Miguel Angel Yañez Rivera</t>
        </is>
      </c>
      <c r="C182" s="27" t="inlineStr">
        <is>
          <t>Maxi Partner</t>
        </is>
      </c>
      <c r="D182" s="26" t="inlineStr">
        <is>
          <t>ACTIVO</t>
        </is>
      </c>
      <c r="E182" s="28" t="n">
        <v>48</v>
      </c>
      <c r="F182" s="29">
        <f>ROUND(Intereses_Leasing_Mensual!I182 + Intereses_Residual_Mensual!I182, 2)</f>
        <v/>
      </c>
      <c r="G182" s="29">
        <f>ROUND(Intereses_Leasing_Mensual!J182 + Intereses_Residual_Mensual!J182, 2)</f>
        <v/>
      </c>
      <c r="H182" s="29">
        <f>ROUND(Intereses_Leasing_Mensual!K182 + Intereses_Residual_Mensual!K182, 2)</f>
        <v/>
      </c>
      <c r="I182" s="29">
        <f>ROUND(Intereses_Leasing_Mensual!L182 + Intereses_Residual_Mensual!L182, 2)</f>
        <v/>
      </c>
      <c r="J182" s="29">
        <f>ROUND(Intereses_Leasing_Mensual!M182 + Intereses_Residual_Mensual!M182, 2)</f>
        <v/>
      </c>
      <c r="K182" s="29">
        <f>ROUND(Intereses_Leasing_Mensual!N182 + Intereses_Residual_Mensual!N182, 2)</f>
        <v/>
      </c>
      <c r="L182" s="29">
        <f>ROUND(Intereses_Leasing_Mensual!O182 + Intereses_Residual_Mensual!O182, 2)</f>
        <v/>
      </c>
      <c r="M182" s="29">
        <f>ROUND(Intereses_Leasing_Mensual!P182 + Intereses_Residual_Mensual!P182, 2)</f>
        <v/>
      </c>
      <c r="N182" s="29">
        <f>ROUND(Intereses_Leasing_Mensual!Q182 + Intereses_Residual_Mensual!Q182, 2)</f>
        <v/>
      </c>
      <c r="O182" s="29">
        <f>ROUND(Intereses_Leasing_Mensual!R182 + Intereses_Residual_Mensual!R182, 2)</f>
        <v/>
      </c>
      <c r="P182" s="29">
        <f>ROUND(Intereses_Leasing_Mensual!S182 + Intereses_Residual_Mensual!S182, 2)</f>
        <v/>
      </c>
      <c r="Q182" s="29">
        <f>ROUND(Intereses_Leasing_Mensual!T182 + Intereses_Residual_Mensual!T182, 2)</f>
        <v/>
      </c>
      <c r="R182" s="29">
        <f>SUM(F182:Q182)</f>
        <v/>
      </c>
    </row>
    <row r="183">
      <c r="A183" s="20" t="inlineStr">
        <is>
          <t>0702-0001</t>
        </is>
      </c>
      <c r="B183" s="21" t="inlineStr">
        <is>
          <t>Ramses Tadeo Galindo Calderon</t>
        </is>
      </c>
      <c r="C183" s="21" t="inlineStr">
        <is>
          <t>Song Plus</t>
        </is>
      </c>
      <c r="D183" s="20" t="inlineStr">
        <is>
          <t>ACTIVO</t>
        </is>
      </c>
      <c r="E183" s="22" t="n">
        <v>48</v>
      </c>
      <c r="F183" s="23">
        <f>ROUND(Intereses_Leasing_Mensual!I183 + Intereses_Residual_Mensual!I183, 2)</f>
        <v/>
      </c>
      <c r="G183" s="23">
        <f>ROUND(Intereses_Leasing_Mensual!J183 + Intereses_Residual_Mensual!J183, 2)</f>
        <v/>
      </c>
      <c r="H183" s="23">
        <f>ROUND(Intereses_Leasing_Mensual!K183 + Intereses_Residual_Mensual!K183, 2)</f>
        <v/>
      </c>
      <c r="I183" s="23">
        <f>ROUND(Intereses_Leasing_Mensual!L183 + Intereses_Residual_Mensual!L183, 2)</f>
        <v/>
      </c>
      <c r="J183" s="23">
        <f>ROUND(Intereses_Leasing_Mensual!M183 + Intereses_Residual_Mensual!M183, 2)</f>
        <v/>
      </c>
      <c r="K183" s="23">
        <f>ROUND(Intereses_Leasing_Mensual!N183 + Intereses_Residual_Mensual!N183, 2)</f>
        <v/>
      </c>
      <c r="L183" s="23">
        <f>ROUND(Intereses_Leasing_Mensual!O183 + Intereses_Residual_Mensual!O183, 2)</f>
        <v/>
      </c>
      <c r="M183" s="23">
        <f>ROUND(Intereses_Leasing_Mensual!P183 + Intereses_Residual_Mensual!P183, 2)</f>
        <v/>
      </c>
      <c r="N183" s="23">
        <f>ROUND(Intereses_Leasing_Mensual!Q183 + Intereses_Residual_Mensual!Q183, 2)</f>
        <v/>
      </c>
      <c r="O183" s="23">
        <f>ROUND(Intereses_Leasing_Mensual!R183 + Intereses_Residual_Mensual!R183, 2)</f>
        <v/>
      </c>
      <c r="P183" s="23">
        <f>ROUND(Intereses_Leasing_Mensual!S183 + Intereses_Residual_Mensual!S183, 2)</f>
        <v/>
      </c>
      <c r="Q183" s="23">
        <f>ROUND(Intereses_Leasing_Mensual!T183 + Intereses_Residual_Mensual!T183, 2)</f>
        <v/>
      </c>
      <c r="R183" s="23">
        <f>SUM(F183:Q183)</f>
        <v/>
      </c>
    </row>
    <row r="184">
      <c r="A184" s="26" t="inlineStr">
        <is>
          <t>0703-0002</t>
        </is>
      </c>
      <c r="B184" s="27" t="inlineStr">
        <is>
          <t>Jali Fresh International Sa de Cv</t>
        </is>
      </c>
      <c r="C184" s="27" t="inlineStr">
        <is>
          <t>1500 Tradesman CC</t>
        </is>
      </c>
      <c r="D184" s="26" t="inlineStr">
        <is>
          <t>ACTIVO</t>
        </is>
      </c>
      <c r="E184" s="28" t="n">
        <v>36</v>
      </c>
      <c r="F184" s="29" t="inlineStr"/>
      <c r="G184" s="29" t="inlineStr"/>
      <c r="H184" s="29" t="inlineStr"/>
      <c r="I184" s="29">
        <f>ROUND(Intereses_Leasing_Mensual!L184 + Intereses_Residual_Mensual!L184, 2)</f>
        <v/>
      </c>
      <c r="J184" s="29">
        <f>ROUND(Intereses_Leasing_Mensual!M184 + Intereses_Residual_Mensual!M184, 2)</f>
        <v/>
      </c>
      <c r="K184" s="29">
        <f>ROUND(Intereses_Leasing_Mensual!N184 + Intereses_Residual_Mensual!N184, 2)</f>
        <v/>
      </c>
      <c r="L184" s="29">
        <f>ROUND(Intereses_Leasing_Mensual!O184 + Intereses_Residual_Mensual!O184, 2)</f>
        <v/>
      </c>
      <c r="M184" s="29">
        <f>ROUND(Intereses_Leasing_Mensual!P184 + Intereses_Residual_Mensual!P184, 2)</f>
        <v/>
      </c>
      <c r="N184" s="29">
        <f>ROUND(Intereses_Leasing_Mensual!Q184 + Intereses_Residual_Mensual!Q184, 2)</f>
        <v/>
      </c>
      <c r="O184" s="29">
        <f>ROUND(Intereses_Leasing_Mensual!R184 + Intereses_Residual_Mensual!R184, 2)</f>
        <v/>
      </c>
      <c r="P184" s="29">
        <f>ROUND(Intereses_Leasing_Mensual!S184 + Intereses_Residual_Mensual!S184, 2)</f>
        <v/>
      </c>
      <c r="Q184" s="29">
        <f>ROUND(Intereses_Leasing_Mensual!T184 + Intereses_Residual_Mensual!T184, 2)</f>
        <v/>
      </c>
      <c r="R184" s="29">
        <f>SUM(F184:Q184)</f>
        <v/>
      </c>
    </row>
    <row r="185">
      <c r="A185" s="20" t="inlineStr">
        <is>
          <t>0704-0001</t>
        </is>
      </c>
      <c r="B185" s="21" t="inlineStr">
        <is>
          <t>Cristian Manuel Cruz Gutierrez</t>
        </is>
      </c>
      <c r="C185" s="21" t="inlineStr">
        <is>
          <t>Ram 1200</t>
        </is>
      </c>
      <c r="D185" s="20" t="inlineStr">
        <is>
          <t>ACTIVO</t>
        </is>
      </c>
      <c r="E185" s="22" t="n">
        <v>36</v>
      </c>
      <c r="F185" s="23">
        <f>ROUND(Intereses_Leasing_Mensual!I185 + Intereses_Residual_Mensual!I185, 2)</f>
        <v/>
      </c>
      <c r="G185" s="23">
        <f>ROUND(Intereses_Leasing_Mensual!J185 + Intereses_Residual_Mensual!J185, 2)</f>
        <v/>
      </c>
      <c r="H185" s="23">
        <f>ROUND(Intereses_Leasing_Mensual!K185 + Intereses_Residual_Mensual!K185, 2)</f>
        <v/>
      </c>
      <c r="I185" s="23">
        <f>ROUND(Intereses_Leasing_Mensual!L185 + Intereses_Residual_Mensual!L185, 2)</f>
        <v/>
      </c>
      <c r="J185" s="23">
        <f>ROUND(Intereses_Leasing_Mensual!M185 + Intereses_Residual_Mensual!M185, 2)</f>
        <v/>
      </c>
      <c r="K185" s="23">
        <f>ROUND(Intereses_Leasing_Mensual!N185 + Intereses_Residual_Mensual!N185, 2)</f>
        <v/>
      </c>
      <c r="L185" s="23">
        <f>ROUND(Intereses_Leasing_Mensual!O185 + Intereses_Residual_Mensual!O185, 2)</f>
        <v/>
      </c>
      <c r="M185" s="23">
        <f>ROUND(Intereses_Leasing_Mensual!P185 + Intereses_Residual_Mensual!P185, 2)</f>
        <v/>
      </c>
      <c r="N185" s="23">
        <f>ROUND(Intereses_Leasing_Mensual!Q185 + Intereses_Residual_Mensual!Q185, 2)</f>
        <v/>
      </c>
      <c r="O185" s="23">
        <f>ROUND(Intereses_Leasing_Mensual!R185 + Intereses_Residual_Mensual!R185, 2)</f>
        <v/>
      </c>
      <c r="P185" s="23">
        <f>ROUND(Intereses_Leasing_Mensual!S185 + Intereses_Residual_Mensual!S185, 2)</f>
        <v/>
      </c>
      <c r="Q185" s="23">
        <f>ROUND(Intereses_Leasing_Mensual!T185 + Intereses_Residual_Mensual!T185, 2)</f>
        <v/>
      </c>
      <c r="R185" s="23">
        <f>SUM(F185:Q185)</f>
        <v/>
      </c>
    </row>
    <row r="186">
      <c r="A186" s="26" t="inlineStr">
        <is>
          <t>0705-0001</t>
        </is>
      </c>
      <c r="B186" s="27" t="inlineStr">
        <is>
          <t>Oscar Alejandro Pedraza Gonzalez</t>
        </is>
      </c>
      <c r="C186" s="27" t="inlineStr">
        <is>
          <t>L200</t>
        </is>
      </c>
      <c r="D186" s="26" t="inlineStr">
        <is>
          <t>ACTIVO</t>
        </is>
      </c>
      <c r="E186" s="28" t="n">
        <v>24</v>
      </c>
      <c r="F186" s="29">
        <f>ROUND(Intereses_Leasing_Mensual!I186 + Intereses_Residual_Mensual!I186, 2)</f>
        <v/>
      </c>
      <c r="G186" s="29">
        <f>ROUND(Intereses_Leasing_Mensual!J186 + Intereses_Residual_Mensual!J186, 2)</f>
        <v/>
      </c>
      <c r="H186" s="29">
        <f>ROUND(Intereses_Leasing_Mensual!K186 + Intereses_Residual_Mensual!K186, 2)</f>
        <v/>
      </c>
      <c r="I186" s="29">
        <f>ROUND(Intereses_Leasing_Mensual!L186 + Intereses_Residual_Mensual!L186, 2)</f>
        <v/>
      </c>
      <c r="J186" s="29">
        <f>ROUND(Intereses_Leasing_Mensual!M186 + Intereses_Residual_Mensual!M186, 2)</f>
        <v/>
      </c>
      <c r="K186" s="29">
        <f>ROUND(Intereses_Leasing_Mensual!N186 + Intereses_Residual_Mensual!N186, 2)</f>
        <v/>
      </c>
      <c r="L186" s="29">
        <f>ROUND(Intereses_Leasing_Mensual!O186 + Intereses_Residual_Mensual!O186, 2)</f>
        <v/>
      </c>
      <c r="M186" s="29">
        <f>ROUND(Intereses_Leasing_Mensual!P186 + Intereses_Residual_Mensual!P186, 2)</f>
        <v/>
      </c>
      <c r="N186" s="29">
        <f>ROUND(Intereses_Leasing_Mensual!Q186 + Intereses_Residual_Mensual!Q186, 2)</f>
        <v/>
      </c>
      <c r="O186" s="29">
        <f>ROUND(Intereses_Leasing_Mensual!R186 + Intereses_Residual_Mensual!R186, 2)</f>
        <v/>
      </c>
      <c r="P186" s="29">
        <f>ROUND(Intereses_Leasing_Mensual!S186 + Intereses_Residual_Mensual!S186, 2)</f>
        <v/>
      </c>
      <c r="Q186" s="29">
        <f>ROUND(Intereses_Leasing_Mensual!T186 + Intereses_Residual_Mensual!T186, 2)</f>
        <v/>
      </c>
      <c r="R186" s="29">
        <f>SUM(F186:Q186)</f>
        <v/>
      </c>
    </row>
    <row r="187">
      <c r="A187" s="20" t="inlineStr">
        <is>
          <t>0706-0001</t>
        </is>
      </c>
      <c r="B187" s="21" t="inlineStr">
        <is>
          <t>Jose Luis Zepeda Gomez</t>
        </is>
      </c>
      <c r="C187" s="21" t="inlineStr">
        <is>
          <t>L200 Glx Diesel</t>
        </is>
      </c>
      <c r="D187" s="20" t="inlineStr">
        <is>
          <t>ACTIVO</t>
        </is>
      </c>
      <c r="E187" s="22" t="n">
        <v>48</v>
      </c>
      <c r="F187" s="23">
        <f>ROUND(Intereses_Leasing_Mensual!I187 + Intereses_Residual_Mensual!I187, 2)</f>
        <v/>
      </c>
      <c r="G187" s="23">
        <f>ROUND(Intereses_Leasing_Mensual!J187 + Intereses_Residual_Mensual!J187, 2)</f>
        <v/>
      </c>
      <c r="H187" s="23">
        <f>ROUND(Intereses_Leasing_Mensual!K187 + Intereses_Residual_Mensual!K187, 2)</f>
        <v/>
      </c>
      <c r="I187" s="23">
        <f>ROUND(Intereses_Leasing_Mensual!L187 + Intereses_Residual_Mensual!L187, 2)</f>
        <v/>
      </c>
      <c r="J187" s="23">
        <f>ROUND(Intereses_Leasing_Mensual!M187 + Intereses_Residual_Mensual!M187, 2)</f>
        <v/>
      </c>
      <c r="K187" s="23">
        <f>ROUND(Intereses_Leasing_Mensual!N187 + Intereses_Residual_Mensual!N187, 2)</f>
        <v/>
      </c>
      <c r="L187" s="23">
        <f>ROUND(Intereses_Leasing_Mensual!O187 + Intereses_Residual_Mensual!O187, 2)</f>
        <v/>
      </c>
      <c r="M187" s="23">
        <f>ROUND(Intereses_Leasing_Mensual!P187 + Intereses_Residual_Mensual!P187, 2)</f>
        <v/>
      </c>
      <c r="N187" s="23">
        <f>ROUND(Intereses_Leasing_Mensual!Q187 + Intereses_Residual_Mensual!Q187, 2)</f>
        <v/>
      </c>
      <c r="O187" s="23">
        <f>ROUND(Intereses_Leasing_Mensual!R187 + Intereses_Residual_Mensual!R187, 2)</f>
        <v/>
      </c>
      <c r="P187" s="23">
        <f>ROUND(Intereses_Leasing_Mensual!S187 + Intereses_Residual_Mensual!S187, 2)</f>
        <v/>
      </c>
      <c r="Q187" s="23">
        <f>ROUND(Intereses_Leasing_Mensual!T187 + Intereses_Residual_Mensual!T187, 2)</f>
        <v/>
      </c>
      <c r="R187" s="23">
        <f>SUM(F187:Q187)</f>
        <v/>
      </c>
    </row>
    <row r="188">
      <c r="A188" s="26" t="inlineStr">
        <is>
          <t>0707-0001</t>
        </is>
      </c>
      <c r="B188" s="27" t="inlineStr">
        <is>
          <t>Cabañas Lupita Sa de Cv</t>
        </is>
      </c>
      <c r="C188" s="27" t="inlineStr">
        <is>
          <t>Jt Rubicon</t>
        </is>
      </c>
      <c r="D188" s="26" t="inlineStr">
        <is>
          <t>ACTIVO</t>
        </is>
      </c>
      <c r="E188" s="28" t="n">
        <v>48</v>
      </c>
      <c r="F188" s="29">
        <f>ROUND(Intereses_Leasing_Mensual!I188 + Intereses_Residual_Mensual!I188, 2)</f>
        <v/>
      </c>
      <c r="G188" s="29">
        <f>ROUND(Intereses_Leasing_Mensual!J188 + Intereses_Residual_Mensual!J188, 2)</f>
        <v/>
      </c>
      <c r="H188" s="29">
        <f>ROUND(Intereses_Leasing_Mensual!K188 + Intereses_Residual_Mensual!K188, 2)</f>
        <v/>
      </c>
      <c r="I188" s="29">
        <f>ROUND(Intereses_Leasing_Mensual!L188 + Intereses_Residual_Mensual!L188, 2)</f>
        <v/>
      </c>
      <c r="J188" s="29">
        <f>ROUND(Intereses_Leasing_Mensual!M188 + Intereses_Residual_Mensual!M188, 2)</f>
        <v/>
      </c>
      <c r="K188" s="29">
        <f>ROUND(Intereses_Leasing_Mensual!N188 + Intereses_Residual_Mensual!N188, 2)</f>
        <v/>
      </c>
      <c r="L188" s="29">
        <f>ROUND(Intereses_Leasing_Mensual!O188 + Intereses_Residual_Mensual!O188, 2)</f>
        <v/>
      </c>
      <c r="M188" s="29">
        <f>ROUND(Intereses_Leasing_Mensual!P188 + Intereses_Residual_Mensual!P188, 2)</f>
        <v/>
      </c>
      <c r="N188" s="29">
        <f>ROUND(Intereses_Leasing_Mensual!Q188 + Intereses_Residual_Mensual!Q188, 2)</f>
        <v/>
      </c>
      <c r="O188" s="29">
        <f>ROUND(Intereses_Leasing_Mensual!R188 + Intereses_Residual_Mensual!R188, 2)</f>
        <v/>
      </c>
      <c r="P188" s="29">
        <f>ROUND(Intereses_Leasing_Mensual!S188 + Intereses_Residual_Mensual!S188, 2)</f>
        <v/>
      </c>
      <c r="Q188" s="29">
        <f>ROUND(Intereses_Leasing_Mensual!T188 + Intereses_Residual_Mensual!T188, 2)</f>
        <v/>
      </c>
      <c r="R188" s="29">
        <f>SUM(F188:Q188)</f>
        <v/>
      </c>
    </row>
    <row r="189">
      <c r="A189" s="20" t="inlineStr">
        <is>
          <t>0708-0001</t>
        </is>
      </c>
      <c r="B189" s="21" t="inlineStr">
        <is>
          <t>Pumps Company Sa de Cv</t>
        </is>
      </c>
      <c r="C189" s="21" t="inlineStr">
        <is>
          <t>L200 Glx Diesel</t>
        </is>
      </c>
      <c r="D189" s="20" t="inlineStr">
        <is>
          <t>ACTIVO</t>
        </is>
      </c>
      <c r="E189" s="22" t="n">
        <v>36</v>
      </c>
      <c r="F189" s="23">
        <f>ROUND(Intereses_Leasing_Mensual!I189 + Intereses_Residual_Mensual!I189, 2)</f>
        <v/>
      </c>
      <c r="G189" s="23">
        <f>ROUND(Intereses_Leasing_Mensual!J189 + Intereses_Residual_Mensual!J189, 2)</f>
        <v/>
      </c>
      <c r="H189" s="23">
        <f>ROUND(Intereses_Leasing_Mensual!K189 + Intereses_Residual_Mensual!K189, 2)</f>
        <v/>
      </c>
      <c r="I189" s="23">
        <f>ROUND(Intereses_Leasing_Mensual!L189 + Intereses_Residual_Mensual!L189, 2)</f>
        <v/>
      </c>
      <c r="J189" s="23">
        <f>ROUND(Intereses_Leasing_Mensual!M189 + Intereses_Residual_Mensual!M189, 2)</f>
        <v/>
      </c>
      <c r="K189" s="23">
        <f>ROUND(Intereses_Leasing_Mensual!N189 + Intereses_Residual_Mensual!N189, 2)</f>
        <v/>
      </c>
      <c r="L189" s="23">
        <f>ROUND(Intereses_Leasing_Mensual!O189 + Intereses_Residual_Mensual!O189, 2)</f>
        <v/>
      </c>
      <c r="M189" s="23">
        <f>ROUND(Intereses_Leasing_Mensual!P189 + Intereses_Residual_Mensual!P189, 2)</f>
        <v/>
      </c>
      <c r="N189" s="23">
        <f>ROUND(Intereses_Leasing_Mensual!Q189 + Intereses_Residual_Mensual!Q189, 2)</f>
        <v/>
      </c>
      <c r="O189" s="23">
        <f>ROUND(Intereses_Leasing_Mensual!R189 + Intereses_Residual_Mensual!R189, 2)</f>
        <v/>
      </c>
      <c r="P189" s="23">
        <f>ROUND(Intereses_Leasing_Mensual!S189 + Intereses_Residual_Mensual!S189, 2)</f>
        <v/>
      </c>
      <c r="Q189" s="23">
        <f>ROUND(Intereses_Leasing_Mensual!T189 + Intereses_Residual_Mensual!T189, 2)</f>
        <v/>
      </c>
      <c r="R189" s="23">
        <f>SUM(F189:Q189)</f>
        <v/>
      </c>
    </row>
    <row r="190">
      <c r="A190" s="26" t="inlineStr">
        <is>
          <t>0708-0002</t>
        </is>
      </c>
      <c r="B190" s="27" t="inlineStr">
        <is>
          <t>Pumps Company Sa de Cv</t>
        </is>
      </c>
      <c r="C190" s="27" t="inlineStr">
        <is>
          <t>L200 Glx Diesel</t>
        </is>
      </c>
      <c r="D190" s="26" t="inlineStr">
        <is>
          <t>ACTIVO</t>
        </is>
      </c>
      <c r="E190" s="28" t="n">
        <v>36</v>
      </c>
      <c r="F190" s="29">
        <f>ROUND(Intereses_Leasing_Mensual!I190 + Intereses_Residual_Mensual!I190, 2)</f>
        <v/>
      </c>
      <c r="G190" s="29">
        <f>ROUND(Intereses_Leasing_Mensual!J190 + Intereses_Residual_Mensual!J190, 2)</f>
        <v/>
      </c>
      <c r="H190" s="29">
        <f>ROUND(Intereses_Leasing_Mensual!K190 + Intereses_Residual_Mensual!K190, 2)</f>
        <v/>
      </c>
      <c r="I190" s="29">
        <f>ROUND(Intereses_Leasing_Mensual!L190 + Intereses_Residual_Mensual!L190, 2)</f>
        <v/>
      </c>
      <c r="J190" s="29">
        <f>ROUND(Intereses_Leasing_Mensual!M190 + Intereses_Residual_Mensual!M190, 2)</f>
        <v/>
      </c>
      <c r="K190" s="29">
        <f>ROUND(Intereses_Leasing_Mensual!N190 + Intereses_Residual_Mensual!N190, 2)</f>
        <v/>
      </c>
      <c r="L190" s="29">
        <f>ROUND(Intereses_Leasing_Mensual!O190 + Intereses_Residual_Mensual!O190, 2)</f>
        <v/>
      </c>
      <c r="M190" s="29">
        <f>ROUND(Intereses_Leasing_Mensual!P190 + Intereses_Residual_Mensual!P190, 2)</f>
        <v/>
      </c>
      <c r="N190" s="29">
        <f>ROUND(Intereses_Leasing_Mensual!Q190 + Intereses_Residual_Mensual!Q190, 2)</f>
        <v/>
      </c>
      <c r="O190" s="29">
        <f>ROUND(Intereses_Leasing_Mensual!R190 + Intereses_Residual_Mensual!R190, 2)</f>
        <v/>
      </c>
      <c r="P190" s="29">
        <f>ROUND(Intereses_Leasing_Mensual!S190 + Intereses_Residual_Mensual!S190, 2)</f>
        <v/>
      </c>
      <c r="Q190" s="29">
        <f>ROUND(Intereses_Leasing_Mensual!T190 + Intereses_Residual_Mensual!T190, 2)</f>
        <v/>
      </c>
      <c r="R190" s="29">
        <f>SUM(F190:Q190)</f>
        <v/>
      </c>
    </row>
    <row r="191">
      <c r="A191" s="20" t="inlineStr">
        <is>
          <t>0712-0001</t>
        </is>
      </c>
      <c r="B191" s="21" t="inlineStr">
        <is>
          <t>Containers del Pacifico sa de cv</t>
        </is>
      </c>
      <c r="C191" s="21" t="inlineStr">
        <is>
          <t>Outlander Sport</t>
        </is>
      </c>
      <c r="D191" s="20" t="inlineStr">
        <is>
          <t>ACTIVO</t>
        </is>
      </c>
      <c r="E191" s="22" t="n">
        <v>36</v>
      </c>
      <c r="F191" s="23">
        <f>ROUND(Intereses_Leasing_Mensual!I191 + Intereses_Residual_Mensual!I191, 2)</f>
        <v/>
      </c>
      <c r="G191" s="23">
        <f>ROUND(Intereses_Leasing_Mensual!J191 + Intereses_Residual_Mensual!J191, 2)</f>
        <v/>
      </c>
      <c r="H191" s="23">
        <f>ROUND(Intereses_Leasing_Mensual!K191 + Intereses_Residual_Mensual!K191, 2)</f>
        <v/>
      </c>
      <c r="I191" s="23">
        <f>ROUND(Intereses_Leasing_Mensual!L191 + Intereses_Residual_Mensual!L191, 2)</f>
        <v/>
      </c>
      <c r="J191" s="23">
        <f>ROUND(Intereses_Leasing_Mensual!M191 + Intereses_Residual_Mensual!M191, 2)</f>
        <v/>
      </c>
      <c r="K191" s="23">
        <f>ROUND(Intereses_Leasing_Mensual!N191 + Intereses_Residual_Mensual!N191, 2)</f>
        <v/>
      </c>
      <c r="L191" s="23">
        <f>ROUND(Intereses_Leasing_Mensual!O191 + Intereses_Residual_Mensual!O191, 2)</f>
        <v/>
      </c>
      <c r="M191" s="23">
        <f>ROUND(Intereses_Leasing_Mensual!P191 + Intereses_Residual_Mensual!P191, 2)</f>
        <v/>
      </c>
      <c r="N191" s="23">
        <f>ROUND(Intereses_Leasing_Mensual!Q191 + Intereses_Residual_Mensual!Q191, 2)</f>
        <v/>
      </c>
      <c r="O191" s="23">
        <f>ROUND(Intereses_Leasing_Mensual!R191 + Intereses_Residual_Mensual!R191, 2)</f>
        <v/>
      </c>
      <c r="P191" s="23">
        <f>ROUND(Intereses_Leasing_Mensual!S191 + Intereses_Residual_Mensual!S191, 2)</f>
        <v/>
      </c>
      <c r="Q191" s="23">
        <f>ROUND(Intereses_Leasing_Mensual!T191 + Intereses_Residual_Mensual!T191, 2)</f>
        <v/>
      </c>
      <c r="R191" s="23">
        <f>SUM(F191:Q191)</f>
        <v/>
      </c>
    </row>
    <row r="192">
      <c r="A192" s="26" t="inlineStr">
        <is>
          <t>0712-0002</t>
        </is>
      </c>
      <c r="B192" s="27" t="inlineStr">
        <is>
          <t>Containers del Pacifico sa de cv</t>
        </is>
      </c>
      <c r="C192" s="27" t="inlineStr">
        <is>
          <t>Np300</t>
        </is>
      </c>
      <c r="D192" s="26" t="inlineStr">
        <is>
          <t>ACTIVO</t>
        </is>
      </c>
      <c r="E192" s="28" t="n">
        <v>36</v>
      </c>
      <c r="F192" s="29">
        <f>ROUND(Intereses_Leasing_Mensual!I192 + Intereses_Residual_Mensual!I192, 2)</f>
        <v/>
      </c>
      <c r="G192" s="29">
        <f>ROUND(Intereses_Leasing_Mensual!J192 + Intereses_Residual_Mensual!J192, 2)</f>
        <v/>
      </c>
      <c r="H192" s="29">
        <f>ROUND(Intereses_Leasing_Mensual!K192 + Intereses_Residual_Mensual!K192, 2)</f>
        <v/>
      </c>
      <c r="I192" s="29">
        <f>ROUND(Intereses_Leasing_Mensual!L192 + Intereses_Residual_Mensual!L192, 2)</f>
        <v/>
      </c>
      <c r="J192" s="29">
        <f>ROUND(Intereses_Leasing_Mensual!M192 + Intereses_Residual_Mensual!M192, 2)</f>
        <v/>
      </c>
      <c r="K192" s="29">
        <f>ROUND(Intereses_Leasing_Mensual!N192 + Intereses_Residual_Mensual!N192, 2)</f>
        <v/>
      </c>
      <c r="L192" s="29">
        <f>ROUND(Intereses_Leasing_Mensual!O192 + Intereses_Residual_Mensual!O192, 2)</f>
        <v/>
      </c>
      <c r="M192" s="29">
        <f>ROUND(Intereses_Leasing_Mensual!P192 + Intereses_Residual_Mensual!P192, 2)</f>
        <v/>
      </c>
      <c r="N192" s="29">
        <f>ROUND(Intereses_Leasing_Mensual!Q192 + Intereses_Residual_Mensual!Q192, 2)</f>
        <v/>
      </c>
      <c r="O192" s="29">
        <f>ROUND(Intereses_Leasing_Mensual!R192 + Intereses_Residual_Mensual!R192, 2)</f>
        <v/>
      </c>
      <c r="P192" s="29">
        <f>ROUND(Intereses_Leasing_Mensual!S192 + Intereses_Residual_Mensual!S192, 2)</f>
        <v/>
      </c>
      <c r="Q192" s="29">
        <f>ROUND(Intereses_Leasing_Mensual!T192 + Intereses_Residual_Mensual!T192, 2)</f>
        <v/>
      </c>
      <c r="R192" s="29">
        <f>SUM(F192:Q192)</f>
        <v/>
      </c>
    </row>
    <row r="193">
      <c r="A193" s="20" t="inlineStr">
        <is>
          <t>0712-0003</t>
        </is>
      </c>
      <c r="B193" s="21" t="inlineStr">
        <is>
          <t>Containers del Pacifico sa de cv</t>
        </is>
      </c>
      <c r="C193" s="21" t="inlineStr">
        <is>
          <t>Np300</t>
        </is>
      </c>
      <c r="D193" s="20" t="inlineStr">
        <is>
          <t>ACTIVO</t>
        </is>
      </c>
      <c r="E193" s="22" t="n">
        <v>36</v>
      </c>
      <c r="F193" s="23">
        <f>ROUND(Intereses_Leasing_Mensual!I193 + Intereses_Residual_Mensual!I193, 2)</f>
        <v/>
      </c>
      <c r="G193" s="23">
        <f>ROUND(Intereses_Leasing_Mensual!J193 + Intereses_Residual_Mensual!J193, 2)</f>
        <v/>
      </c>
      <c r="H193" s="23">
        <f>ROUND(Intereses_Leasing_Mensual!K193 + Intereses_Residual_Mensual!K193, 2)</f>
        <v/>
      </c>
      <c r="I193" s="23">
        <f>ROUND(Intereses_Leasing_Mensual!L193 + Intereses_Residual_Mensual!L193, 2)</f>
        <v/>
      </c>
      <c r="J193" s="23">
        <f>ROUND(Intereses_Leasing_Mensual!M193 + Intereses_Residual_Mensual!M193, 2)</f>
        <v/>
      </c>
      <c r="K193" s="23">
        <f>ROUND(Intereses_Leasing_Mensual!N193 + Intereses_Residual_Mensual!N193, 2)</f>
        <v/>
      </c>
      <c r="L193" s="23">
        <f>ROUND(Intereses_Leasing_Mensual!O193 + Intereses_Residual_Mensual!O193, 2)</f>
        <v/>
      </c>
      <c r="M193" s="23">
        <f>ROUND(Intereses_Leasing_Mensual!P193 + Intereses_Residual_Mensual!P193, 2)</f>
        <v/>
      </c>
      <c r="N193" s="23">
        <f>ROUND(Intereses_Leasing_Mensual!Q193 + Intereses_Residual_Mensual!Q193, 2)</f>
        <v/>
      </c>
      <c r="O193" s="23">
        <f>ROUND(Intereses_Leasing_Mensual!R193 + Intereses_Residual_Mensual!R193, 2)</f>
        <v/>
      </c>
      <c r="P193" s="23">
        <f>ROUND(Intereses_Leasing_Mensual!S193 + Intereses_Residual_Mensual!S193, 2)</f>
        <v/>
      </c>
      <c r="Q193" s="23">
        <f>ROUND(Intereses_Leasing_Mensual!T193 + Intereses_Residual_Mensual!T193, 2)</f>
        <v/>
      </c>
      <c r="R193" s="23">
        <f>SUM(F193:Q193)</f>
        <v/>
      </c>
    </row>
    <row r="194">
      <c r="A194" s="26" t="inlineStr">
        <is>
          <t>0713-0001</t>
        </is>
      </c>
      <c r="B194" s="27" t="inlineStr">
        <is>
          <t>Ana Carolina Urzua Lopez</t>
        </is>
      </c>
      <c r="C194" s="27" t="inlineStr">
        <is>
          <t>Ram 1200</t>
        </is>
      </c>
      <c r="D194" s="26" t="inlineStr">
        <is>
          <t>ACTIVO</t>
        </is>
      </c>
      <c r="E194" s="28" t="n">
        <v>24</v>
      </c>
      <c r="F194" s="29">
        <f>ROUND(Intereses_Leasing_Mensual!I194 + Intereses_Residual_Mensual!I194, 2)</f>
        <v/>
      </c>
      <c r="G194" s="29">
        <f>ROUND(Intereses_Leasing_Mensual!J194 + Intereses_Residual_Mensual!J194, 2)</f>
        <v/>
      </c>
      <c r="H194" s="29">
        <f>ROUND(Intereses_Leasing_Mensual!K194 + Intereses_Residual_Mensual!K194, 2)</f>
        <v/>
      </c>
      <c r="I194" s="29">
        <f>ROUND(Intereses_Leasing_Mensual!L194 + Intereses_Residual_Mensual!L194, 2)</f>
        <v/>
      </c>
      <c r="J194" s="29">
        <f>ROUND(Intereses_Leasing_Mensual!M194 + Intereses_Residual_Mensual!M194, 2)</f>
        <v/>
      </c>
      <c r="K194" s="29">
        <f>ROUND(Intereses_Leasing_Mensual!N194 + Intereses_Residual_Mensual!N194, 2)</f>
        <v/>
      </c>
      <c r="L194" s="29">
        <f>ROUND(Intereses_Leasing_Mensual!O194 + Intereses_Residual_Mensual!O194, 2)</f>
        <v/>
      </c>
      <c r="M194" s="29">
        <f>ROUND(Intereses_Leasing_Mensual!P194 + Intereses_Residual_Mensual!P194, 2)</f>
        <v/>
      </c>
      <c r="N194" s="29">
        <f>ROUND(Intereses_Leasing_Mensual!Q194 + Intereses_Residual_Mensual!Q194, 2)</f>
        <v/>
      </c>
      <c r="O194" s="29">
        <f>ROUND(Intereses_Leasing_Mensual!R194 + Intereses_Residual_Mensual!R194, 2)</f>
        <v/>
      </c>
      <c r="P194" s="29">
        <f>ROUND(Intereses_Leasing_Mensual!S194 + Intereses_Residual_Mensual!S194, 2)</f>
        <v/>
      </c>
      <c r="Q194" s="29">
        <f>ROUND(Intereses_Leasing_Mensual!T194 + Intereses_Residual_Mensual!T194, 2)</f>
        <v/>
      </c>
      <c r="R194" s="29">
        <f>SUM(F194:Q194)</f>
        <v/>
      </c>
    </row>
    <row r="195">
      <c r="A195" s="20" t="inlineStr">
        <is>
          <t>0714-0001</t>
        </is>
      </c>
      <c r="B195" s="21" t="inlineStr">
        <is>
          <t>Celeste Capital Aj</t>
        </is>
      </c>
      <c r="C195" s="21" t="inlineStr">
        <is>
          <t>Wrangler 4Xe</t>
        </is>
      </c>
      <c r="D195" s="20" t="inlineStr">
        <is>
          <t>ACTIVO</t>
        </is>
      </c>
      <c r="E195" s="22" t="n">
        <v>48</v>
      </c>
      <c r="F195" s="23">
        <f>ROUND(Intereses_Leasing_Mensual!I195 + Intereses_Residual_Mensual!I195, 2)</f>
        <v/>
      </c>
      <c r="G195" s="23">
        <f>ROUND(Intereses_Leasing_Mensual!J195 + Intereses_Residual_Mensual!J195, 2)</f>
        <v/>
      </c>
      <c r="H195" s="23">
        <f>ROUND(Intereses_Leasing_Mensual!K195 + Intereses_Residual_Mensual!K195, 2)</f>
        <v/>
      </c>
      <c r="I195" s="23">
        <f>ROUND(Intereses_Leasing_Mensual!L195 + Intereses_Residual_Mensual!L195, 2)</f>
        <v/>
      </c>
      <c r="J195" s="23">
        <f>ROUND(Intereses_Leasing_Mensual!M195 + Intereses_Residual_Mensual!M195, 2)</f>
        <v/>
      </c>
      <c r="K195" s="23">
        <f>ROUND(Intereses_Leasing_Mensual!N195 + Intereses_Residual_Mensual!N195, 2)</f>
        <v/>
      </c>
      <c r="L195" s="23">
        <f>ROUND(Intereses_Leasing_Mensual!O195 + Intereses_Residual_Mensual!O195, 2)</f>
        <v/>
      </c>
      <c r="M195" s="23">
        <f>ROUND(Intereses_Leasing_Mensual!P195 + Intereses_Residual_Mensual!P195, 2)</f>
        <v/>
      </c>
      <c r="N195" s="23">
        <f>ROUND(Intereses_Leasing_Mensual!Q195 + Intereses_Residual_Mensual!Q195, 2)</f>
        <v/>
      </c>
      <c r="O195" s="23">
        <f>ROUND(Intereses_Leasing_Mensual!R195 + Intereses_Residual_Mensual!R195, 2)</f>
        <v/>
      </c>
      <c r="P195" s="23">
        <f>ROUND(Intereses_Leasing_Mensual!S195 + Intereses_Residual_Mensual!S195, 2)</f>
        <v/>
      </c>
      <c r="Q195" s="23">
        <f>ROUND(Intereses_Leasing_Mensual!T195 + Intereses_Residual_Mensual!T195, 2)</f>
        <v/>
      </c>
      <c r="R195" s="23">
        <f>SUM(F195:Q195)</f>
        <v/>
      </c>
    </row>
    <row r="196">
      <c r="A196" s="26" t="inlineStr">
        <is>
          <t>0715-0001</t>
        </is>
      </c>
      <c r="B196" s="27" t="inlineStr">
        <is>
          <t>Jose de Jesus Serrano Sanchez</t>
        </is>
      </c>
      <c r="C196" s="27" t="inlineStr">
        <is>
          <t>Ram 1200</t>
        </is>
      </c>
      <c r="D196" s="26" t="inlineStr">
        <is>
          <t>ACTIVO</t>
        </is>
      </c>
      <c r="E196" s="28" t="n">
        <v>48</v>
      </c>
      <c r="F196" s="29">
        <f>ROUND(Intereses_Leasing_Mensual!I196 + Intereses_Residual_Mensual!I196, 2)</f>
        <v/>
      </c>
      <c r="G196" s="29">
        <f>ROUND(Intereses_Leasing_Mensual!J196 + Intereses_Residual_Mensual!J196, 2)</f>
        <v/>
      </c>
      <c r="H196" s="29">
        <f>ROUND(Intereses_Leasing_Mensual!K196 + Intereses_Residual_Mensual!K196, 2)</f>
        <v/>
      </c>
      <c r="I196" s="29">
        <f>ROUND(Intereses_Leasing_Mensual!L196 + Intereses_Residual_Mensual!L196, 2)</f>
        <v/>
      </c>
      <c r="J196" s="29">
        <f>ROUND(Intereses_Leasing_Mensual!M196 + Intereses_Residual_Mensual!M196, 2)</f>
        <v/>
      </c>
      <c r="K196" s="29">
        <f>ROUND(Intereses_Leasing_Mensual!N196 + Intereses_Residual_Mensual!N196, 2)</f>
        <v/>
      </c>
      <c r="L196" s="29">
        <f>ROUND(Intereses_Leasing_Mensual!O196 + Intereses_Residual_Mensual!O196, 2)</f>
        <v/>
      </c>
      <c r="M196" s="29">
        <f>ROUND(Intereses_Leasing_Mensual!P196 + Intereses_Residual_Mensual!P196, 2)</f>
        <v/>
      </c>
      <c r="N196" s="29">
        <f>ROUND(Intereses_Leasing_Mensual!Q196 + Intereses_Residual_Mensual!Q196, 2)</f>
        <v/>
      </c>
      <c r="O196" s="29">
        <f>ROUND(Intereses_Leasing_Mensual!R196 + Intereses_Residual_Mensual!R196, 2)</f>
        <v/>
      </c>
      <c r="P196" s="29">
        <f>ROUND(Intereses_Leasing_Mensual!S196 + Intereses_Residual_Mensual!S196, 2)</f>
        <v/>
      </c>
      <c r="Q196" s="29">
        <f>ROUND(Intereses_Leasing_Mensual!T196 + Intereses_Residual_Mensual!T196, 2)</f>
        <v/>
      </c>
      <c r="R196" s="29">
        <f>SUM(F196:Q196)</f>
        <v/>
      </c>
    </row>
    <row r="197">
      <c r="A197" s="20" t="inlineStr">
        <is>
          <t>0716-0001</t>
        </is>
      </c>
      <c r="B197" s="21" t="inlineStr">
        <is>
          <t>Mayoristas Asociados en Servicio Celular SA de CV</t>
        </is>
      </c>
      <c r="C197" s="21" t="inlineStr">
        <is>
          <t>Wrangler Unlimited Rubicon</t>
        </is>
      </c>
      <c r="D197" s="20" t="inlineStr">
        <is>
          <t>ACTIVO</t>
        </is>
      </c>
      <c r="E197" s="22" t="n">
        <v>24</v>
      </c>
      <c r="F197" s="23">
        <f>ROUND(Intereses_Leasing_Mensual!I197 + Intereses_Residual_Mensual!I197, 2)</f>
        <v/>
      </c>
      <c r="G197" s="23">
        <f>ROUND(Intereses_Leasing_Mensual!J197 + Intereses_Residual_Mensual!J197, 2)</f>
        <v/>
      </c>
      <c r="H197" s="23">
        <f>ROUND(Intereses_Leasing_Mensual!K197 + Intereses_Residual_Mensual!K197, 2)</f>
        <v/>
      </c>
      <c r="I197" s="23">
        <f>ROUND(Intereses_Leasing_Mensual!L197 + Intereses_Residual_Mensual!L197, 2)</f>
        <v/>
      </c>
      <c r="J197" s="23">
        <f>ROUND(Intereses_Leasing_Mensual!M197 + Intereses_Residual_Mensual!M197, 2)</f>
        <v/>
      </c>
      <c r="K197" s="23">
        <f>ROUND(Intereses_Leasing_Mensual!N197 + Intereses_Residual_Mensual!N197, 2)</f>
        <v/>
      </c>
      <c r="L197" s="23">
        <f>ROUND(Intereses_Leasing_Mensual!O197 + Intereses_Residual_Mensual!O197, 2)</f>
        <v/>
      </c>
      <c r="M197" s="23">
        <f>ROUND(Intereses_Leasing_Mensual!P197 + Intereses_Residual_Mensual!P197, 2)</f>
        <v/>
      </c>
      <c r="N197" s="23">
        <f>ROUND(Intereses_Leasing_Mensual!Q197 + Intereses_Residual_Mensual!Q197, 2)</f>
        <v/>
      </c>
      <c r="O197" s="23">
        <f>ROUND(Intereses_Leasing_Mensual!R197 + Intereses_Residual_Mensual!R197, 2)</f>
        <v/>
      </c>
      <c r="P197" s="23">
        <f>ROUND(Intereses_Leasing_Mensual!S197 + Intereses_Residual_Mensual!S197, 2)</f>
        <v/>
      </c>
      <c r="Q197" s="23">
        <f>ROUND(Intereses_Leasing_Mensual!T197 + Intereses_Residual_Mensual!T197, 2)</f>
        <v/>
      </c>
      <c r="R197" s="23">
        <f>SUM(F197:Q197)</f>
        <v/>
      </c>
    </row>
    <row r="198">
      <c r="A198" s="26" t="inlineStr">
        <is>
          <t>0716-0002</t>
        </is>
      </c>
      <c r="B198" s="27" t="inlineStr">
        <is>
          <t>Mayoristas Asociados en Servicio Celular SA de CV</t>
        </is>
      </c>
      <c r="C198" s="27" t="inlineStr">
        <is>
          <t>EX30</t>
        </is>
      </c>
      <c r="D198" s="26" t="inlineStr">
        <is>
          <t>ACTIVO</t>
        </is>
      </c>
      <c r="E198" s="28" t="n">
        <v>24</v>
      </c>
      <c r="F198" s="29">
        <f>ROUND(Intereses_Leasing_Mensual!I198 + Intereses_Residual_Mensual!I198, 2)</f>
        <v/>
      </c>
      <c r="G198" s="29">
        <f>ROUND(Intereses_Leasing_Mensual!J198 + Intereses_Residual_Mensual!J198, 2)</f>
        <v/>
      </c>
      <c r="H198" s="29">
        <f>ROUND(Intereses_Leasing_Mensual!K198 + Intereses_Residual_Mensual!K198, 2)</f>
        <v/>
      </c>
      <c r="I198" s="29">
        <f>ROUND(Intereses_Leasing_Mensual!L198 + Intereses_Residual_Mensual!L198, 2)</f>
        <v/>
      </c>
      <c r="J198" s="29">
        <f>ROUND(Intereses_Leasing_Mensual!M198 + Intereses_Residual_Mensual!M198, 2)</f>
        <v/>
      </c>
      <c r="K198" s="29">
        <f>ROUND(Intereses_Leasing_Mensual!N198 + Intereses_Residual_Mensual!N198, 2)</f>
        <v/>
      </c>
      <c r="L198" s="29">
        <f>ROUND(Intereses_Leasing_Mensual!O198 + Intereses_Residual_Mensual!O198, 2)</f>
        <v/>
      </c>
      <c r="M198" s="29">
        <f>ROUND(Intereses_Leasing_Mensual!P198 + Intereses_Residual_Mensual!P198, 2)</f>
        <v/>
      </c>
      <c r="N198" s="29">
        <f>ROUND(Intereses_Leasing_Mensual!Q198 + Intereses_Residual_Mensual!Q198, 2)</f>
        <v/>
      </c>
      <c r="O198" s="29">
        <f>ROUND(Intereses_Leasing_Mensual!R198 + Intereses_Residual_Mensual!R198, 2)</f>
        <v/>
      </c>
      <c r="P198" s="29">
        <f>ROUND(Intereses_Leasing_Mensual!S198 + Intereses_Residual_Mensual!S198, 2)</f>
        <v/>
      </c>
      <c r="Q198" s="29">
        <f>ROUND(Intereses_Leasing_Mensual!T198 + Intereses_Residual_Mensual!T198, 2)</f>
        <v/>
      </c>
      <c r="R198" s="29">
        <f>SUM(F198:Q198)</f>
        <v/>
      </c>
    </row>
    <row r="199">
      <c r="A199" s="20" t="inlineStr">
        <is>
          <t>0716-0003</t>
        </is>
      </c>
      <c r="B199" s="21" t="inlineStr">
        <is>
          <t>Mayoristas Asociados en Servicio Celular SA de CV</t>
        </is>
      </c>
      <c r="C199" s="21" t="inlineStr">
        <is>
          <t>Bronco</t>
        </is>
      </c>
      <c r="D199" s="20" t="inlineStr">
        <is>
          <t>ACTIVO</t>
        </is>
      </c>
      <c r="E199" s="22" t="n">
        <v>24</v>
      </c>
      <c r="F199" s="23">
        <f>ROUND(Intereses_Leasing_Mensual!I199 + Intereses_Residual_Mensual!I199, 2)</f>
        <v/>
      </c>
      <c r="G199" s="23">
        <f>ROUND(Intereses_Leasing_Mensual!J199 + Intereses_Residual_Mensual!J199, 2)</f>
        <v/>
      </c>
      <c r="H199" s="23">
        <f>ROUND(Intereses_Leasing_Mensual!K199 + Intereses_Residual_Mensual!K199, 2)</f>
        <v/>
      </c>
      <c r="I199" s="23">
        <f>ROUND(Intereses_Leasing_Mensual!L199 + Intereses_Residual_Mensual!L199, 2)</f>
        <v/>
      </c>
      <c r="J199" s="23">
        <f>ROUND(Intereses_Leasing_Mensual!M199 + Intereses_Residual_Mensual!M199, 2)</f>
        <v/>
      </c>
      <c r="K199" s="23">
        <f>ROUND(Intereses_Leasing_Mensual!N199 + Intereses_Residual_Mensual!N199, 2)</f>
        <v/>
      </c>
      <c r="L199" s="23">
        <f>ROUND(Intereses_Leasing_Mensual!O199 + Intereses_Residual_Mensual!O199, 2)</f>
        <v/>
      </c>
      <c r="M199" s="23">
        <f>ROUND(Intereses_Leasing_Mensual!P199 + Intereses_Residual_Mensual!P199, 2)</f>
        <v/>
      </c>
      <c r="N199" s="23">
        <f>ROUND(Intereses_Leasing_Mensual!Q199 + Intereses_Residual_Mensual!Q199, 2)</f>
        <v/>
      </c>
      <c r="O199" s="23">
        <f>ROUND(Intereses_Leasing_Mensual!R199 + Intereses_Residual_Mensual!R199, 2)</f>
        <v/>
      </c>
      <c r="P199" s="23">
        <f>ROUND(Intereses_Leasing_Mensual!S199 + Intereses_Residual_Mensual!S199, 2)</f>
        <v/>
      </c>
      <c r="Q199" s="23">
        <f>ROUND(Intereses_Leasing_Mensual!T199 + Intereses_Residual_Mensual!T199, 2)</f>
        <v/>
      </c>
      <c r="R199" s="23">
        <f>SUM(F199:Q199)</f>
        <v/>
      </c>
    </row>
    <row r="200">
      <c r="A200" s="26" t="inlineStr">
        <is>
          <t>0717-0001</t>
        </is>
      </c>
      <c r="B200" s="27" t="inlineStr">
        <is>
          <t>Refaccionaria San Diego SA de CV</t>
        </is>
      </c>
      <c r="C200" s="27" t="inlineStr">
        <is>
          <t>Partner Rapid</t>
        </is>
      </c>
      <c r="D200" s="26" t="inlineStr">
        <is>
          <t>ACTIVO</t>
        </is>
      </c>
      <c r="E200" s="28" t="n">
        <v>48</v>
      </c>
      <c r="F200" s="29">
        <f>ROUND(Intereses_Leasing_Mensual!I200 + Intereses_Residual_Mensual!I200, 2)</f>
        <v/>
      </c>
      <c r="G200" s="29">
        <f>ROUND(Intereses_Leasing_Mensual!J200 + Intereses_Residual_Mensual!J200, 2)</f>
        <v/>
      </c>
      <c r="H200" s="29">
        <f>ROUND(Intereses_Leasing_Mensual!K200 + Intereses_Residual_Mensual!K200, 2)</f>
        <v/>
      </c>
      <c r="I200" s="29">
        <f>ROUND(Intereses_Leasing_Mensual!L200 + Intereses_Residual_Mensual!L200, 2)</f>
        <v/>
      </c>
      <c r="J200" s="29">
        <f>ROUND(Intereses_Leasing_Mensual!M200 + Intereses_Residual_Mensual!M200, 2)</f>
        <v/>
      </c>
      <c r="K200" s="29">
        <f>ROUND(Intereses_Leasing_Mensual!N200 + Intereses_Residual_Mensual!N200, 2)</f>
        <v/>
      </c>
      <c r="L200" s="29">
        <f>ROUND(Intereses_Leasing_Mensual!O200 + Intereses_Residual_Mensual!O200, 2)</f>
        <v/>
      </c>
      <c r="M200" s="29">
        <f>ROUND(Intereses_Leasing_Mensual!P200 + Intereses_Residual_Mensual!P200, 2)</f>
        <v/>
      </c>
      <c r="N200" s="29">
        <f>ROUND(Intereses_Leasing_Mensual!Q200 + Intereses_Residual_Mensual!Q200, 2)</f>
        <v/>
      </c>
      <c r="O200" s="29">
        <f>ROUND(Intereses_Leasing_Mensual!R200 + Intereses_Residual_Mensual!R200, 2)</f>
        <v/>
      </c>
      <c r="P200" s="29">
        <f>ROUND(Intereses_Leasing_Mensual!S200 + Intereses_Residual_Mensual!S200, 2)</f>
        <v/>
      </c>
      <c r="Q200" s="29">
        <f>ROUND(Intereses_Leasing_Mensual!T200 + Intereses_Residual_Mensual!T200, 2)</f>
        <v/>
      </c>
      <c r="R200" s="29">
        <f>SUM(F200:Q200)</f>
        <v/>
      </c>
    </row>
    <row r="201">
      <c r="A201" s="20" t="inlineStr">
        <is>
          <t>0718-0001</t>
        </is>
      </c>
      <c r="B201" s="21" t="inlineStr">
        <is>
          <t>Capriberrys</t>
        </is>
      </c>
      <c r="C201" s="21" t="inlineStr">
        <is>
          <t>Jt Mojave</t>
        </is>
      </c>
      <c r="D201" s="20" t="inlineStr">
        <is>
          <t>ACTIVO</t>
        </is>
      </c>
      <c r="E201" s="22" t="n">
        <v>24</v>
      </c>
      <c r="F201" s="23">
        <f>ROUND(Intereses_Leasing_Mensual!I201 + Intereses_Residual_Mensual!I201, 2)</f>
        <v/>
      </c>
      <c r="G201" s="23">
        <f>ROUND(Intereses_Leasing_Mensual!J201 + Intereses_Residual_Mensual!J201, 2)</f>
        <v/>
      </c>
      <c r="H201" s="23">
        <f>ROUND(Intereses_Leasing_Mensual!K201 + Intereses_Residual_Mensual!K201, 2)</f>
        <v/>
      </c>
      <c r="I201" s="23">
        <f>ROUND(Intereses_Leasing_Mensual!L201 + Intereses_Residual_Mensual!L201, 2)</f>
        <v/>
      </c>
      <c r="J201" s="23">
        <f>ROUND(Intereses_Leasing_Mensual!M201 + Intereses_Residual_Mensual!M201, 2)</f>
        <v/>
      </c>
      <c r="K201" s="23">
        <f>ROUND(Intereses_Leasing_Mensual!N201 + Intereses_Residual_Mensual!N201, 2)</f>
        <v/>
      </c>
      <c r="L201" s="23">
        <f>ROUND(Intereses_Leasing_Mensual!O201 + Intereses_Residual_Mensual!O201, 2)</f>
        <v/>
      </c>
      <c r="M201" s="23">
        <f>ROUND(Intereses_Leasing_Mensual!P201 + Intereses_Residual_Mensual!P201, 2)</f>
        <v/>
      </c>
      <c r="N201" s="23">
        <f>ROUND(Intereses_Leasing_Mensual!Q201 + Intereses_Residual_Mensual!Q201, 2)</f>
        <v/>
      </c>
      <c r="O201" s="23">
        <f>ROUND(Intereses_Leasing_Mensual!R201 + Intereses_Residual_Mensual!R201, 2)</f>
        <v/>
      </c>
      <c r="P201" s="23">
        <f>ROUND(Intereses_Leasing_Mensual!S201 + Intereses_Residual_Mensual!S201, 2)</f>
        <v/>
      </c>
      <c r="Q201" s="23">
        <f>ROUND(Intereses_Leasing_Mensual!T201 + Intereses_Residual_Mensual!T201, 2)</f>
        <v/>
      </c>
      <c r="R201" s="23">
        <f>SUM(F201:Q201)</f>
        <v/>
      </c>
    </row>
    <row r="202">
      <c r="A202" s="26" t="inlineStr">
        <is>
          <t>0719-0001</t>
        </is>
      </c>
      <c r="B202" s="27" t="inlineStr">
        <is>
          <t>Maria de Los Angeles Lopez Janeiro</t>
        </is>
      </c>
      <c r="C202" s="27" t="inlineStr">
        <is>
          <t>Rifter</t>
        </is>
      </c>
      <c r="D202" s="26" t="inlineStr">
        <is>
          <t>ACTIVO</t>
        </is>
      </c>
      <c r="E202" s="28" t="n">
        <v>36</v>
      </c>
      <c r="F202" s="29">
        <f>ROUND(Intereses_Leasing_Mensual!I202 + Intereses_Residual_Mensual!I202, 2)</f>
        <v/>
      </c>
      <c r="G202" s="29">
        <f>ROUND(Intereses_Leasing_Mensual!J202 + Intereses_Residual_Mensual!J202, 2)</f>
        <v/>
      </c>
      <c r="H202" s="29">
        <f>ROUND(Intereses_Leasing_Mensual!K202 + Intereses_Residual_Mensual!K202, 2)</f>
        <v/>
      </c>
      <c r="I202" s="29">
        <f>ROUND(Intereses_Leasing_Mensual!L202 + Intereses_Residual_Mensual!L202, 2)</f>
        <v/>
      </c>
      <c r="J202" s="29">
        <f>ROUND(Intereses_Leasing_Mensual!M202 + Intereses_Residual_Mensual!M202, 2)</f>
        <v/>
      </c>
      <c r="K202" s="29">
        <f>ROUND(Intereses_Leasing_Mensual!N202 + Intereses_Residual_Mensual!N202, 2)</f>
        <v/>
      </c>
      <c r="L202" s="29">
        <f>ROUND(Intereses_Leasing_Mensual!O202 + Intereses_Residual_Mensual!O202, 2)</f>
        <v/>
      </c>
      <c r="M202" s="29">
        <f>ROUND(Intereses_Leasing_Mensual!P202 + Intereses_Residual_Mensual!P202, 2)</f>
        <v/>
      </c>
      <c r="N202" s="29">
        <f>ROUND(Intereses_Leasing_Mensual!Q202 + Intereses_Residual_Mensual!Q202, 2)</f>
        <v/>
      </c>
      <c r="O202" s="29">
        <f>ROUND(Intereses_Leasing_Mensual!R202 + Intereses_Residual_Mensual!R202, 2)</f>
        <v/>
      </c>
      <c r="P202" s="29">
        <f>ROUND(Intereses_Leasing_Mensual!S202 + Intereses_Residual_Mensual!S202, 2)</f>
        <v/>
      </c>
      <c r="Q202" s="29">
        <f>ROUND(Intereses_Leasing_Mensual!T202 + Intereses_Residual_Mensual!T202, 2)</f>
        <v/>
      </c>
      <c r="R202" s="29">
        <f>SUM(F202:Q202)</f>
        <v/>
      </c>
    </row>
    <row r="203">
      <c r="A203" s="20" t="inlineStr">
        <is>
          <t>0720-0001</t>
        </is>
      </c>
      <c r="B203" s="21" t="inlineStr">
        <is>
          <t>Forrajes Los 6 Hermanos S.P.R. DE R.L.</t>
        </is>
      </c>
      <c r="C203" s="21" t="inlineStr">
        <is>
          <t>Shark</t>
        </is>
      </c>
      <c r="D203" s="20" t="inlineStr">
        <is>
          <t>ACTIVO</t>
        </is>
      </c>
      <c r="E203" s="22" t="n">
        <v>36</v>
      </c>
      <c r="F203" s="23">
        <f>ROUND(Intereses_Leasing_Mensual!I203 + Intereses_Residual_Mensual!I203, 2)</f>
        <v/>
      </c>
      <c r="G203" s="23">
        <f>ROUND(Intereses_Leasing_Mensual!J203 + Intereses_Residual_Mensual!J203, 2)</f>
        <v/>
      </c>
      <c r="H203" s="23">
        <f>ROUND(Intereses_Leasing_Mensual!K203 + Intereses_Residual_Mensual!K203, 2)</f>
        <v/>
      </c>
      <c r="I203" s="23">
        <f>ROUND(Intereses_Leasing_Mensual!L203 + Intereses_Residual_Mensual!L203, 2)</f>
        <v/>
      </c>
      <c r="J203" s="23">
        <f>ROUND(Intereses_Leasing_Mensual!M203 + Intereses_Residual_Mensual!M203, 2)</f>
        <v/>
      </c>
      <c r="K203" s="23">
        <f>ROUND(Intereses_Leasing_Mensual!N203 + Intereses_Residual_Mensual!N203, 2)</f>
        <v/>
      </c>
      <c r="L203" s="23">
        <f>ROUND(Intereses_Leasing_Mensual!O203 + Intereses_Residual_Mensual!O203, 2)</f>
        <v/>
      </c>
      <c r="M203" s="23">
        <f>ROUND(Intereses_Leasing_Mensual!P203 + Intereses_Residual_Mensual!P203, 2)</f>
        <v/>
      </c>
      <c r="N203" s="23">
        <f>ROUND(Intereses_Leasing_Mensual!Q203 + Intereses_Residual_Mensual!Q203, 2)</f>
        <v/>
      </c>
      <c r="O203" s="23">
        <f>ROUND(Intereses_Leasing_Mensual!R203 + Intereses_Residual_Mensual!R203, 2)</f>
        <v/>
      </c>
      <c r="P203" s="23">
        <f>ROUND(Intereses_Leasing_Mensual!S203 + Intereses_Residual_Mensual!S203, 2)</f>
        <v/>
      </c>
      <c r="Q203" s="23">
        <f>ROUND(Intereses_Leasing_Mensual!T203 + Intereses_Residual_Mensual!T203, 2)</f>
        <v/>
      </c>
      <c r="R203" s="23">
        <f>SUM(F203:Q203)</f>
        <v/>
      </c>
    </row>
    <row r="204">
      <c r="A204" s="26" t="inlineStr">
        <is>
          <t>0721-0001</t>
        </is>
      </c>
      <c r="B204" s="27" t="inlineStr">
        <is>
          <t>Ricardo Ortiz Guzman</t>
        </is>
      </c>
      <c r="C204" s="27" t="inlineStr">
        <is>
          <t>Rifter</t>
        </is>
      </c>
      <c r="D204" s="26" t="inlineStr">
        <is>
          <t>ACTIVO</t>
        </is>
      </c>
      <c r="E204" s="28" t="n">
        <v>48</v>
      </c>
      <c r="F204" s="29">
        <f>ROUND(Intereses_Leasing_Mensual!I204 + Intereses_Residual_Mensual!I204, 2)</f>
        <v/>
      </c>
      <c r="G204" s="29">
        <f>ROUND(Intereses_Leasing_Mensual!J204 + Intereses_Residual_Mensual!J204, 2)</f>
        <v/>
      </c>
      <c r="H204" s="29">
        <f>ROUND(Intereses_Leasing_Mensual!K204 + Intereses_Residual_Mensual!K204, 2)</f>
        <v/>
      </c>
      <c r="I204" s="29">
        <f>ROUND(Intereses_Leasing_Mensual!L204 + Intereses_Residual_Mensual!L204, 2)</f>
        <v/>
      </c>
      <c r="J204" s="29">
        <f>ROUND(Intereses_Leasing_Mensual!M204 + Intereses_Residual_Mensual!M204, 2)</f>
        <v/>
      </c>
      <c r="K204" s="29">
        <f>ROUND(Intereses_Leasing_Mensual!N204 + Intereses_Residual_Mensual!N204, 2)</f>
        <v/>
      </c>
      <c r="L204" s="29">
        <f>ROUND(Intereses_Leasing_Mensual!O204 + Intereses_Residual_Mensual!O204, 2)</f>
        <v/>
      </c>
      <c r="M204" s="29">
        <f>ROUND(Intereses_Leasing_Mensual!P204 + Intereses_Residual_Mensual!P204, 2)</f>
        <v/>
      </c>
      <c r="N204" s="29">
        <f>ROUND(Intereses_Leasing_Mensual!Q204 + Intereses_Residual_Mensual!Q204, 2)</f>
        <v/>
      </c>
      <c r="O204" s="29">
        <f>ROUND(Intereses_Leasing_Mensual!R204 + Intereses_Residual_Mensual!R204, 2)</f>
        <v/>
      </c>
      <c r="P204" s="29">
        <f>ROUND(Intereses_Leasing_Mensual!S204 + Intereses_Residual_Mensual!S204, 2)</f>
        <v/>
      </c>
      <c r="Q204" s="29">
        <f>ROUND(Intereses_Leasing_Mensual!T204 + Intereses_Residual_Mensual!T204, 2)</f>
        <v/>
      </c>
      <c r="R204" s="29">
        <f>SUM(F204:Q204)</f>
        <v/>
      </c>
    </row>
    <row r="205">
      <c r="A205" s="20" t="inlineStr">
        <is>
          <t>0721-0002</t>
        </is>
      </c>
      <c r="B205" s="21" t="inlineStr">
        <is>
          <t>Ricardo Ortiz Guzman</t>
        </is>
      </c>
      <c r="C205" s="21" t="inlineStr">
        <is>
          <t>CX5</t>
        </is>
      </c>
      <c r="D205" s="20" t="inlineStr">
        <is>
          <t>ACTIVO</t>
        </is>
      </c>
      <c r="E205" s="22" t="n">
        <v>48</v>
      </c>
      <c r="F205" s="23">
        <f>ROUND(Intereses_Leasing_Mensual!I205 + Intereses_Residual_Mensual!I205, 2)</f>
        <v/>
      </c>
      <c r="G205" s="23">
        <f>ROUND(Intereses_Leasing_Mensual!J205 + Intereses_Residual_Mensual!J205, 2)</f>
        <v/>
      </c>
      <c r="H205" s="23">
        <f>ROUND(Intereses_Leasing_Mensual!K205 + Intereses_Residual_Mensual!K205, 2)</f>
        <v/>
      </c>
      <c r="I205" s="23">
        <f>ROUND(Intereses_Leasing_Mensual!L205 + Intereses_Residual_Mensual!L205, 2)</f>
        <v/>
      </c>
      <c r="J205" s="23">
        <f>ROUND(Intereses_Leasing_Mensual!M205 + Intereses_Residual_Mensual!M205, 2)</f>
        <v/>
      </c>
      <c r="K205" s="23">
        <f>ROUND(Intereses_Leasing_Mensual!N205 + Intereses_Residual_Mensual!N205, 2)</f>
        <v/>
      </c>
      <c r="L205" s="23">
        <f>ROUND(Intereses_Leasing_Mensual!O205 + Intereses_Residual_Mensual!O205, 2)</f>
        <v/>
      </c>
      <c r="M205" s="23">
        <f>ROUND(Intereses_Leasing_Mensual!P205 + Intereses_Residual_Mensual!P205, 2)</f>
        <v/>
      </c>
      <c r="N205" s="23">
        <f>ROUND(Intereses_Leasing_Mensual!Q205 + Intereses_Residual_Mensual!Q205, 2)</f>
        <v/>
      </c>
      <c r="O205" s="23">
        <f>ROUND(Intereses_Leasing_Mensual!R205 + Intereses_Residual_Mensual!R205, 2)</f>
        <v/>
      </c>
      <c r="P205" s="23">
        <f>ROUND(Intereses_Leasing_Mensual!S205 + Intereses_Residual_Mensual!S205, 2)</f>
        <v/>
      </c>
      <c r="Q205" s="23">
        <f>ROUND(Intereses_Leasing_Mensual!T205 + Intereses_Residual_Mensual!T205, 2)</f>
        <v/>
      </c>
      <c r="R205" s="23">
        <f>SUM(F205:Q205)</f>
        <v/>
      </c>
    </row>
    <row r="206">
      <c r="A206" s="26" t="inlineStr">
        <is>
          <t>0722-0001</t>
        </is>
      </c>
      <c r="B206" s="27" t="inlineStr">
        <is>
          <t>Tortas Ro S. DE R.L. DE C.V.</t>
        </is>
      </c>
      <c r="C206" s="27" t="inlineStr">
        <is>
          <t>Partner</t>
        </is>
      </c>
      <c r="D206" s="26" t="inlineStr">
        <is>
          <t>ACTIVO</t>
        </is>
      </c>
      <c r="E206" s="28" t="n">
        <v>24</v>
      </c>
      <c r="F206" s="29">
        <f>ROUND(Intereses_Leasing_Mensual!I206 + Intereses_Residual_Mensual!I206, 2)</f>
        <v/>
      </c>
      <c r="G206" s="29">
        <f>ROUND(Intereses_Leasing_Mensual!J206 + Intereses_Residual_Mensual!J206, 2)</f>
        <v/>
      </c>
      <c r="H206" s="29">
        <f>ROUND(Intereses_Leasing_Mensual!K206 + Intereses_Residual_Mensual!K206, 2)</f>
        <v/>
      </c>
      <c r="I206" s="29">
        <f>ROUND(Intereses_Leasing_Mensual!L206 + Intereses_Residual_Mensual!L206, 2)</f>
        <v/>
      </c>
      <c r="J206" s="29">
        <f>ROUND(Intereses_Leasing_Mensual!M206 + Intereses_Residual_Mensual!M206, 2)</f>
        <v/>
      </c>
      <c r="K206" s="29">
        <f>ROUND(Intereses_Leasing_Mensual!N206 + Intereses_Residual_Mensual!N206, 2)</f>
        <v/>
      </c>
      <c r="L206" s="29">
        <f>ROUND(Intereses_Leasing_Mensual!O206 + Intereses_Residual_Mensual!O206, 2)</f>
        <v/>
      </c>
      <c r="M206" s="29">
        <f>ROUND(Intereses_Leasing_Mensual!P206 + Intereses_Residual_Mensual!P206, 2)</f>
        <v/>
      </c>
      <c r="N206" s="29">
        <f>ROUND(Intereses_Leasing_Mensual!Q206 + Intereses_Residual_Mensual!Q206, 2)</f>
        <v/>
      </c>
      <c r="O206" s="29">
        <f>ROUND(Intereses_Leasing_Mensual!R206 + Intereses_Residual_Mensual!R206, 2)</f>
        <v/>
      </c>
      <c r="P206" s="29">
        <f>ROUND(Intereses_Leasing_Mensual!S206 + Intereses_Residual_Mensual!S206, 2)</f>
        <v/>
      </c>
      <c r="Q206" s="29">
        <f>ROUND(Intereses_Leasing_Mensual!T206 + Intereses_Residual_Mensual!T206, 2)</f>
        <v/>
      </c>
      <c r="R206" s="29">
        <f>SUM(F206:Q206)</f>
        <v/>
      </c>
    </row>
    <row r="207">
      <c r="A207" s="20" t="inlineStr">
        <is>
          <t>0723-0001</t>
        </is>
      </c>
      <c r="B207" s="21" t="inlineStr">
        <is>
          <t>Sandra Inez Velazquez Altamirano</t>
        </is>
      </c>
      <c r="C207" s="21" t="inlineStr">
        <is>
          <t>Sierra Denali</t>
        </is>
      </c>
      <c r="D207" s="20" t="inlineStr">
        <is>
          <t>ACTIVO</t>
        </is>
      </c>
      <c r="E207" s="22" t="n">
        <v>36</v>
      </c>
      <c r="F207" s="23">
        <f>ROUND(Intereses_Leasing_Mensual!I207 + Intereses_Residual_Mensual!I207, 2)</f>
        <v/>
      </c>
      <c r="G207" s="23">
        <f>ROUND(Intereses_Leasing_Mensual!J207 + Intereses_Residual_Mensual!J207, 2)</f>
        <v/>
      </c>
      <c r="H207" s="23">
        <f>ROUND(Intereses_Leasing_Mensual!K207 + Intereses_Residual_Mensual!K207, 2)</f>
        <v/>
      </c>
      <c r="I207" s="23">
        <f>ROUND(Intereses_Leasing_Mensual!L207 + Intereses_Residual_Mensual!L207, 2)</f>
        <v/>
      </c>
      <c r="J207" s="23">
        <f>ROUND(Intereses_Leasing_Mensual!M207 + Intereses_Residual_Mensual!M207, 2)</f>
        <v/>
      </c>
      <c r="K207" s="23">
        <f>ROUND(Intereses_Leasing_Mensual!N207 + Intereses_Residual_Mensual!N207, 2)</f>
        <v/>
      </c>
      <c r="L207" s="23">
        <f>ROUND(Intereses_Leasing_Mensual!O207 + Intereses_Residual_Mensual!O207, 2)</f>
        <v/>
      </c>
      <c r="M207" s="23">
        <f>ROUND(Intereses_Leasing_Mensual!P207 + Intereses_Residual_Mensual!P207, 2)</f>
        <v/>
      </c>
      <c r="N207" s="23">
        <f>ROUND(Intereses_Leasing_Mensual!Q207 + Intereses_Residual_Mensual!Q207, 2)</f>
        <v/>
      </c>
      <c r="O207" s="23">
        <f>ROUND(Intereses_Leasing_Mensual!R207 + Intereses_Residual_Mensual!R207, 2)</f>
        <v/>
      </c>
      <c r="P207" s="23">
        <f>ROUND(Intereses_Leasing_Mensual!S207 + Intereses_Residual_Mensual!S207, 2)</f>
        <v/>
      </c>
      <c r="Q207" s="23">
        <f>ROUND(Intereses_Leasing_Mensual!T207 + Intereses_Residual_Mensual!T207, 2)</f>
        <v/>
      </c>
      <c r="R207" s="23">
        <f>SUM(F207:Q207)</f>
        <v/>
      </c>
    </row>
    <row r="208">
      <c r="A208" s="26" t="inlineStr">
        <is>
          <t>0724-0001</t>
        </is>
      </c>
      <c r="B208" s="27" t="inlineStr">
        <is>
          <t>Victor Merced Brizuela Aguilar</t>
        </is>
      </c>
      <c r="C208" s="27" t="inlineStr">
        <is>
          <t>Tiggo 7 Plus</t>
        </is>
      </c>
      <c r="D208" s="26" t="inlineStr">
        <is>
          <t>ACTIVO</t>
        </is>
      </c>
      <c r="E208" s="28" t="n">
        <v>48</v>
      </c>
      <c r="F208" s="29">
        <f>ROUND(Intereses_Leasing_Mensual!I208 + Intereses_Residual_Mensual!I208, 2)</f>
        <v/>
      </c>
      <c r="G208" s="29">
        <f>ROUND(Intereses_Leasing_Mensual!J208 + Intereses_Residual_Mensual!J208, 2)</f>
        <v/>
      </c>
      <c r="H208" s="29">
        <f>ROUND(Intereses_Leasing_Mensual!K208 + Intereses_Residual_Mensual!K208, 2)</f>
        <v/>
      </c>
      <c r="I208" s="29">
        <f>ROUND(Intereses_Leasing_Mensual!L208 + Intereses_Residual_Mensual!L208, 2)</f>
        <v/>
      </c>
      <c r="J208" s="29">
        <f>ROUND(Intereses_Leasing_Mensual!M208 + Intereses_Residual_Mensual!M208, 2)</f>
        <v/>
      </c>
      <c r="K208" s="29">
        <f>ROUND(Intereses_Leasing_Mensual!N208 + Intereses_Residual_Mensual!N208, 2)</f>
        <v/>
      </c>
      <c r="L208" s="29">
        <f>ROUND(Intereses_Leasing_Mensual!O208 + Intereses_Residual_Mensual!O208, 2)</f>
        <v/>
      </c>
      <c r="M208" s="29">
        <f>ROUND(Intereses_Leasing_Mensual!P208 + Intereses_Residual_Mensual!P208, 2)</f>
        <v/>
      </c>
      <c r="N208" s="29">
        <f>ROUND(Intereses_Leasing_Mensual!Q208 + Intereses_Residual_Mensual!Q208, 2)</f>
        <v/>
      </c>
      <c r="O208" s="29">
        <f>ROUND(Intereses_Leasing_Mensual!R208 + Intereses_Residual_Mensual!R208, 2)</f>
        <v/>
      </c>
      <c r="P208" s="29">
        <f>ROUND(Intereses_Leasing_Mensual!S208 + Intereses_Residual_Mensual!S208, 2)</f>
        <v/>
      </c>
      <c r="Q208" s="29">
        <f>ROUND(Intereses_Leasing_Mensual!T208 + Intereses_Residual_Mensual!T208, 2)</f>
        <v/>
      </c>
      <c r="R208" s="29">
        <f>SUM(F208:Q208)</f>
        <v/>
      </c>
    </row>
    <row r="209">
      <c r="A209" s="20" t="inlineStr">
        <is>
          <t>0725-0001</t>
        </is>
      </c>
      <c r="B209" s="21" t="inlineStr">
        <is>
          <t>Octavio Cortes Flores</t>
        </is>
      </c>
      <c r="C209" s="21" t="inlineStr">
        <is>
          <t>Rifter Allure</t>
        </is>
      </c>
      <c r="D209" s="20" t="inlineStr">
        <is>
          <t>ACTIVO</t>
        </is>
      </c>
      <c r="E209" s="22" t="n">
        <v>36</v>
      </c>
      <c r="F209" s="23">
        <f>ROUND(Intereses_Leasing_Mensual!I209 + Intereses_Residual_Mensual!I209, 2)</f>
        <v/>
      </c>
      <c r="G209" s="23">
        <f>ROUND(Intereses_Leasing_Mensual!J209 + Intereses_Residual_Mensual!J209, 2)</f>
        <v/>
      </c>
      <c r="H209" s="23">
        <f>ROUND(Intereses_Leasing_Mensual!K209 + Intereses_Residual_Mensual!K209, 2)</f>
        <v/>
      </c>
      <c r="I209" s="23">
        <f>ROUND(Intereses_Leasing_Mensual!L209 + Intereses_Residual_Mensual!L209, 2)</f>
        <v/>
      </c>
      <c r="J209" s="23">
        <f>ROUND(Intereses_Leasing_Mensual!M209 + Intereses_Residual_Mensual!M209, 2)</f>
        <v/>
      </c>
      <c r="K209" s="23">
        <f>ROUND(Intereses_Leasing_Mensual!N209 + Intereses_Residual_Mensual!N209, 2)</f>
        <v/>
      </c>
      <c r="L209" s="23">
        <f>ROUND(Intereses_Leasing_Mensual!O209 + Intereses_Residual_Mensual!O209, 2)</f>
        <v/>
      </c>
      <c r="M209" s="23">
        <f>ROUND(Intereses_Leasing_Mensual!P209 + Intereses_Residual_Mensual!P209, 2)</f>
        <v/>
      </c>
      <c r="N209" s="23">
        <f>ROUND(Intereses_Leasing_Mensual!Q209 + Intereses_Residual_Mensual!Q209, 2)</f>
        <v/>
      </c>
      <c r="O209" s="23">
        <f>ROUND(Intereses_Leasing_Mensual!R209 + Intereses_Residual_Mensual!R209, 2)</f>
        <v/>
      </c>
      <c r="P209" s="23">
        <f>ROUND(Intereses_Leasing_Mensual!S209 + Intereses_Residual_Mensual!S209, 2)</f>
        <v/>
      </c>
      <c r="Q209" s="23">
        <f>ROUND(Intereses_Leasing_Mensual!T209 + Intereses_Residual_Mensual!T209, 2)</f>
        <v/>
      </c>
      <c r="R209" s="23">
        <f>SUM(F209:Q209)</f>
        <v/>
      </c>
    </row>
    <row r="210">
      <c r="A210" s="26" t="inlineStr">
        <is>
          <t>0726-0001</t>
        </is>
      </c>
      <c r="B210" s="27" t="inlineStr">
        <is>
          <t>Martha Viviana Anguiano Gonzalez</t>
        </is>
      </c>
      <c r="C210" s="27" t="inlineStr">
        <is>
          <t>JT Mojave</t>
        </is>
      </c>
      <c r="D210" s="26" t="inlineStr">
        <is>
          <t>ACTIVO</t>
        </is>
      </c>
      <c r="E210" s="28" t="n">
        <v>48</v>
      </c>
      <c r="F210" s="29">
        <f>ROUND(Intereses_Leasing_Mensual!I210 + Intereses_Residual_Mensual!I210, 2)</f>
        <v/>
      </c>
      <c r="G210" s="29">
        <f>ROUND(Intereses_Leasing_Mensual!J210 + Intereses_Residual_Mensual!J210, 2)</f>
        <v/>
      </c>
      <c r="H210" s="29">
        <f>ROUND(Intereses_Leasing_Mensual!K210 + Intereses_Residual_Mensual!K210, 2)</f>
        <v/>
      </c>
      <c r="I210" s="29">
        <f>ROUND(Intereses_Leasing_Mensual!L210 + Intereses_Residual_Mensual!L210, 2)</f>
        <v/>
      </c>
      <c r="J210" s="29">
        <f>ROUND(Intereses_Leasing_Mensual!M210 + Intereses_Residual_Mensual!M210, 2)</f>
        <v/>
      </c>
      <c r="K210" s="29">
        <f>ROUND(Intereses_Leasing_Mensual!N210 + Intereses_Residual_Mensual!N210, 2)</f>
        <v/>
      </c>
      <c r="L210" s="29">
        <f>ROUND(Intereses_Leasing_Mensual!O210 + Intereses_Residual_Mensual!O210, 2)</f>
        <v/>
      </c>
      <c r="M210" s="29">
        <f>ROUND(Intereses_Leasing_Mensual!P210 + Intereses_Residual_Mensual!P210, 2)</f>
        <v/>
      </c>
      <c r="N210" s="29">
        <f>ROUND(Intereses_Leasing_Mensual!Q210 + Intereses_Residual_Mensual!Q210, 2)</f>
        <v/>
      </c>
      <c r="O210" s="29">
        <f>ROUND(Intereses_Leasing_Mensual!R210 + Intereses_Residual_Mensual!R210, 2)</f>
        <v/>
      </c>
      <c r="P210" s="29">
        <f>ROUND(Intereses_Leasing_Mensual!S210 + Intereses_Residual_Mensual!S210, 2)</f>
        <v/>
      </c>
      <c r="Q210" s="29">
        <f>ROUND(Intereses_Leasing_Mensual!T210 + Intereses_Residual_Mensual!T210, 2)</f>
        <v/>
      </c>
      <c r="R210" s="29">
        <f>SUM(F210:Q210)</f>
        <v/>
      </c>
    </row>
    <row r="211">
      <c r="A211" s="20" t="inlineStr">
        <is>
          <t>0727-0001</t>
        </is>
      </c>
      <c r="B211" s="21" t="inlineStr">
        <is>
          <t>Edgar Adrian Sainz Vazquez</t>
        </is>
      </c>
      <c r="C211" s="21" t="inlineStr">
        <is>
          <t>1200 Laramie</t>
        </is>
      </c>
      <c r="D211" s="20" t="inlineStr">
        <is>
          <t>ACTIVO</t>
        </is>
      </c>
      <c r="E211" s="22" t="n">
        <v>48</v>
      </c>
      <c r="F211" s="23">
        <f>ROUND(Intereses_Leasing_Mensual!I211 + Intereses_Residual_Mensual!I211, 2)</f>
        <v/>
      </c>
      <c r="G211" s="23">
        <f>ROUND(Intereses_Leasing_Mensual!J211 + Intereses_Residual_Mensual!J211, 2)</f>
        <v/>
      </c>
      <c r="H211" s="23">
        <f>ROUND(Intereses_Leasing_Mensual!K211 + Intereses_Residual_Mensual!K211, 2)</f>
        <v/>
      </c>
      <c r="I211" s="23">
        <f>ROUND(Intereses_Leasing_Mensual!L211 + Intereses_Residual_Mensual!L211, 2)</f>
        <v/>
      </c>
      <c r="J211" s="23">
        <f>ROUND(Intereses_Leasing_Mensual!M211 + Intereses_Residual_Mensual!M211, 2)</f>
        <v/>
      </c>
      <c r="K211" s="23">
        <f>ROUND(Intereses_Leasing_Mensual!N211 + Intereses_Residual_Mensual!N211, 2)</f>
        <v/>
      </c>
      <c r="L211" s="23">
        <f>ROUND(Intereses_Leasing_Mensual!O211 + Intereses_Residual_Mensual!O211, 2)</f>
        <v/>
      </c>
      <c r="M211" s="23">
        <f>ROUND(Intereses_Leasing_Mensual!P211 + Intereses_Residual_Mensual!P211, 2)</f>
        <v/>
      </c>
      <c r="N211" s="23">
        <f>ROUND(Intereses_Leasing_Mensual!Q211 + Intereses_Residual_Mensual!Q211, 2)</f>
        <v/>
      </c>
      <c r="O211" s="23">
        <f>ROUND(Intereses_Leasing_Mensual!R211 + Intereses_Residual_Mensual!R211, 2)</f>
        <v/>
      </c>
      <c r="P211" s="23">
        <f>ROUND(Intereses_Leasing_Mensual!S211 + Intereses_Residual_Mensual!S211, 2)</f>
        <v/>
      </c>
      <c r="Q211" s="23">
        <f>ROUND(Intereses_Leasing_Mensual!T211 + Intereses_Residual_Mensual!T211, 2)</f>
        <v/>
      </c>
      <c r="R211" s="23">
        <f>SUM(F211:Q211)</f>
        <v/>
      </c>
    </row>
    <row r="212">
      <c r="A212" s="26" t="inlineStr">
        <is>
          <t>0728-0001</t>
        </is>
      </c>
      <c r="B212" s="27" t="inlineStr">
        <is>
          <t>Arrendadora Tequila, S.A. de C.V.</t>
        </is>
      </c>
      <c r="C212" s="27" t="inlineStr">
        <is>
          <t>JEEP 392</t>
        </is>
      </c>
      <c r="D212" s="26" t="inlineStr">
        <is>
          <t>ACTIVO</t>
        </is>
      </c>
      <c r="E212" s="28" t="n">
        <v>36</v>
      </c>
      <c r="F212" s="29">
        <f>ROUND(Intereses_Leasing_Mensual!I212 + Intereses_Residual_Mensual!I212, 2)</f>
        <v/>
      </c>
      <c r="G212" s="29">
        <f>ROUND(Intereses_Leasing_Mensual!J212 + Intereses_Residual_Mensual!J212, 2)</f>
        <v/>
      </c>
      <c r="H212" s="29">
        <f>ROUND(Intereses_Leasing_Mensual!K212 + Intereses_Residual_Mensual!K212, 2)</f>
        <v/>
      </c>
      <c r="I212" s="29">
        <f>ROUND(Intereses_Leasing_Mensual!L212 + Intereses_Residual_Mensual!L212, 2)</f>
        <v/>
      </c>
      <c r="J212" s="29">
        <f>ROUND(Intereses_Leasing_Mensual!M212 + Intereses_Residual_Mensual!M212, 2)</f>
        <v/>
      </c>
      <c r="K212" s="29">
        <f>ROUND(Intereses_Leasing_Mensual!N212 + Intereses_Residual_Mensual!N212, 2)</f>
        <v/>
      </c>
      <c r="L212" s="29">
        <f>ROUND(Intereses_Leasing_Mensual!O212 + Intereses_Residual_Mensual!O212, 2)</f>
        <v/>
      </c>
      <c r="M212" s="29">
        <f>ROUND(Intereses_Leasing_Mensual!P212 + Intereses_Residual_Mensual!P212, 2)</f>
        <v/>
      </c>
      <c r="N212" s="29">
        <f>ROUND(Intereses_Leasing_Mensual!Q212 + Intereses_Residual_Mensual!Q212, 2)</f>
        <v/>
      </c>
      <c r="O212" s="29">
        <f>ROUND(Intereses_Leasing_Mensual!R212 + Intereses_Residual_Mensual!R212, 2)</f>
        <v/>
      </c>
      <c r="P212" s="29">
        <f>ROUND(Intereses_Leasing_Mensual!S212 + Intereses_Residual_Mensual!S212, 2)</f>
        <v/>
      </c>
      <c r="Q212" s="29">
        <f>ROUND(Intereses_Leasing_Mensual!T212 + Intereses_Residual_Mensual!T212, 2)</f>
        <v/>
      </c>
      <c r="R212" s="29">
        <f>SUM(F212:Q212)</f>
        <v/>
      </c>
    </row>
    <row r="213">
      <c r="A213" s="20" t="inlineStr">
        <is>
          <t>0729-0001</t>
        </is>
      </c>
      <c r="B213" s="21" t="inlineStr">
        <is>
          <t>Rubén Bravo Hernández</t>
        </is>
      </c>
      <c r="C213" s="21" t="inlineStr">
        <is>
          <t>Mamut T32 DC</t>
        </is>
      </c>
      <c r="D213" s="20" t="inlineStr">
        <is>
          <t>ACTIVO</t>
        </is>
      </c>
      <c r="E213" s="22" t="n">
        <v>36</v>
      </c>
      <c r="F213" s="23">
        <f>ROUND(Intereses_Leasing_Mensual!I213 + Intereses_Residual_Mensual!I213, 2)</f>
        <v/>
      </c>
      <c r="G213" s="23">
        <f>ROUND(Intereses_Leasing_Mensual!J213 + Intereses_Residual_Mensual!J213, 2)</f>
        <v/>
      </c>
      <c r="H213" s="23">
        <f>ROUND(Intereses_Leasing_Mensual!K213 + Intereses_Residual_Mensual!K213, 2)</f>
        <v/>
      </c>
      <c r="I213" s="23">
        <f>ROUND(Intereses_Leasing_Mensual!L213 + Intereses_Residual_Mensual!L213, 2)</f>
        <v/>
      </c>
      <c r="J213" s="23">
        <f>ROUND(Intereses_Leasing_Mensual!M213 + Intereses_Residual_Mensual!M213, 2)</f>
        <v/>
      </c>
      <c r="K213" s="23">
        <f>ROUND(Intereses_Leasing_Mensual!N213 + Intereses_Residual_Mensual!N213, 2)</f>
        <v/>
      </c>
      <c r="L213" s="23">
        <f>ROUND(Intereses_Leasing_Mensual!O213 + Intereses_Residual_Mensual!O213, 2)</f>
        <v/>
      </c>
      <c r="M213" s="23">
        <f>ROUND(Intereses_Leasing_Mensual!P213 + Intereses_Residual_Mensual!P213, 2)</f>
        <v/>
      </c>
      <c r="N213" s="23">
        <f>ROUND(Intereses_Leasing_Mensual!Q213 + Intereses_Residual_Mensual!Q213, 2)</f>
        <v/>
      </c>
      <c r="O213" s="23">
        <f>ROUND(Intereses_Leasing_Mensual!R213 + Intereses_Residual_Mensual!R213, 2)</f>
        <v/>
      </c>
      <c r="P213" s="23">
        <f>ROUND(Intereses_Leasing_Mensual!S213 + Intereses_Residual_Mensual!S213, 2)</f>
        <v/>
      </c>
      <c r="Q213" s="23">
        <f>ROUND(Intereses_Leasing_Mensual!T213 + Intereses_Residual_Mensual!T213, 2)</f>
        <v/>
      </c>
      <c r="R213" s="23">
        <f>SUM(F213:Q213)</f>
        <v/>
      </c>
    </row>
    <row r="214">
      <c r="A214" s="26" t="inlineStr">
        <is>
          <t>0730-0001</t>
        </is>
      </c>
      <c r="B214" s="27" t="inlineStr">
        <is>
          <t>Karen Manrique Amaya</t>
        </is>
      </c>
      <c r="C214" s="27" t="inlineStr">
        <is>
          <t>Wrangler</t>
        </is>
      </c>
      <c r="D214" s="26" t="inlineStr">
        <is>
          <t>ACTIVO</t>
        </is>
      </c>
      <c r="E214" s="28" t="n">
        <v>36</v>
      </c>
      <c r="F214" s="29">
        <f>ROUND(Intereses_Leasing_Mensual!I214 + Intereses_Residual_Mensual!I214, 2)</f>
        <v/>
      </c>
      <c r="G214" s="29">
        <f>ROUND(Intereses_Leasing_Mensual!J214 + Intereses_Residual_Mensual!J214, 2)</f>
        <v/>
      </c>
      <c r="H214" s="29">
        <f>ROUND(Intereses_Leasing_Mensual!K214 + Intereses_Residual_Mensual!K214, 2)</f>
        <v/>
      </c>
      <c r="I214" s="29">
        <f>ROUND(Intereses_Leasing_Mensual!L214 + Intereses_Residual_Mensual!L214, 2)</f>
        <v/>
      </c>
      <c r="J214" s="29">
        <f>ROUND(Intereses_Leasing_Mensual!M214 + Intereses_Residual_Mensual!M214, 2)</f>
        <v/>
      </c>
      <c r="K214" s="29">
        <f>ROUND(Intereses_Leasing_Mensual!N214 + Intereses_Residual_Mensual!N214, 2)</f>
        <v/>
      </c>
      <c r="L214" s="29">
        <f>ROUND(Intereses_Leasing_Mensual!O214 + Intereses_Residual_Mensual!O214, 2)</f>
        <v/>
      </c>
      <c r="M214" s="29">
        <f>ROUND(Intereses_Leasing_Mensual!P214 + Intereses_Residual_Mensual!P214, 2)</f>
        <v/>
      </c>
      <c r="N214" s="29">
        <f>ROUND(Intereses_Leasing_Mensual!Q214 + Intereses_Residual_Mensual!Q214, 2)</f>
        <v/>
      </c>
      <c r="O214" s="29">
        <f>ROUND(Intereses_Leasing_Mensual!R214 + Intereses_Residual_Mensual!R214, 2)</f>
        <v/>
      </c>
      <c r="P214" s="29">
        <f>ROUND(Intereses_Leasing_Mensual!S214 + Intereses_Residual_Mensual!S214, 2)</f>
        <v/>
      </c>
      <c r="Q214" s="29">
        <f>ROUND(Intereses_Leasing_Mensual!T214 + Intereses_Residual_Mensual!T214, 2)</f>
        <v/>
      </c>
      <c r="R214" s="29">
        <f>SUM(F214:Q214)</f>
        <v/>
      </c>
    </row>
    <row r="215">
      <c r="A215" s="20" t="inlineStr">
        <is>
          <t>0731-0001</t>
        </is>
      </c>
      <c r="B215" s="21" t="inlineStr">
        <is>
          <t>Tesselar Soluciones, S.A. de C.V.</t>
        </is>
      </c>
      <c r="C215" s="21" t="inlineStr">
        <is>
          <t>Song Plus</t>
        </is>
      </c>
      <c r="D215" s="20" t="inlineStr">
        <is>
          <t>ACTIVO</t>
        </is>
      </c>
      <c r="E215" s="22" t="n">
        <v>36</v>
      </c>
      <c r="F215" s="23">
        <f>ROUND(Intereses_Leasing_Mensual!I215 + Intereses_Residual_Mensual!I215, 2)</f>
        <v/>
      </c>
      <c r="G215" s="23">
        <f>ROUND(Intereses_Leasing_Mensual!J215 + Intereses_Residual_Mensual!J215, 2)</f>
        <v/>
      </c>
      <c r="H215" s="23">
        <f>ROUND(Intereses_Leasing_Mensual!K215 + Intereses_Residual_Mensual!K215, 2)</f>
        <v/>
      </c>
      <c r="I215" s="23">
        <f>ROUND(Intereses_Leasing_Mensual!L215 + Intereses_Residual_Mensual!L215, 2)</f>
        <v/>
      </c>
      <c r="J215" s="23">
        <f>ROUND(Intereses_Leasing_Mensual!M215 + Intereses_Residual_Mensual!M215, 2)</f>
        <v/>
      </c>
      <c r="K215" s="23">
        <f>ROUND(Intereses_Leasing_Mensual!N215 + Intereses_Residual_Mensual!N215, 2)</f>
        <v/>
      </c>
      <c r="L215" s="23">
        <f>ROUND(Intereses_Leasing_Mensual!O215 + Intereses_Residual_Mensual!O215, 2)</f>
        <v/>
      </c>
      <c r="M215" s="23">
        <f>ROUND(Intereses_Leasing_Mensual!P215 + Intereses_Residual_Mensual!P215, 2)</f>
        <v/>
      </c>
      <c r="N215" s="23">
        <f>ROUND(Intereses_Leasing_Mensual!Q215 + Intereses_Residual_Mensual!Q215, 2)</f>
        <v/>
      </c>
      <c r="O215" s="23">
        <f>ROUND(Intereses_Leasing_Mensual!R215 + Intereses_Residual_Mensual!R215, 2)</f>
        <v/>
      </c>
      <c r="P215" s="23">
        <f>ROUND(Intereses_Leasing_Mensual!S215 + Intereses_Residual_Mensual!S215, 2)</f>
        <v/>
      </c>
      <c r="Q215" s="23">
        <f>ROUND(Intereses_Leasing_Mensual!T215 + Intereses_Residual_Mensual!T215, 2)</f>
        <v/>
      </c>
      <c r="R215" s="23">
        <f>SUM(F215:Q215)</f>
        <v/>
      </c>
    </row>
    <row r="216">
      <c r="A216" s="26" t="inlineStr">
        <is>
          <t>0731-0002</t>
        </is>
      </c>
      <c r="B216" s="27" t="inlineStr">
        <is>
          <t>Tesselar Soluciones, S.A. de C.V.</t>
        </is>
      </c>
      <c r="C216" s="27" t="inlineStr">
        <is>
          <t>Arona Style</t>
        </is>
      </c>
      <c r="D216" s="26" t="inlineStr">
        <is>
          <t>ACTIVO</t>
        </is>
      </c>
      <c r="E216" s="28" t="n">
        <v>48</v>
      </c>
      <c r="F216" s="29">
        <f>ROUND(Intereses_Leasing_Mensual!I216 + Intereses_Residual_Mensual!I216, 2)</f>
        <v/>
      </c>
      <c r="G216" s="29">
        <f>ROUND(Intereses_Leasing_Mensual!J216 + Intereses_Residual_Mensual!J216, 2)</f>
        <v/>
      </c>
      <c r="H216" s="29">
        <f>ROUND(Intereses_Leasing_Mensual!K216 + Intereses_Residual_Mensual!K216, 2)</f>
        <v/>
      </c>
      <c r="I216" s="29">
        <f>ROUND(Intereses_Leasing_Mensual!L216 + Intereses_Residual_Mensual!L216, 2)</f>
        <v/>
      </c>
      <c r="J216" s="29">
        <f>ROUND(Intereses_Leasing_Mensual!M216 + Intereses_Residual_Mensual!M216, 2)</f>
        <v/>
      </c>
      <c r="K216" s="29">
        <f>ROUND(Intereses_Leasing_Mensual!N216 + Intereses_Residual_Mensual!N216, 2)</f>
        <v/>
      </c>
      <c r="L216" s="29">
        <f>ROUND(Intereses_Leasing_Mensual!O216 + Intereses_Residual_Mensual!O216, 2)</f>
        <v/>
      </c>
      <c r="M216" s="29">
        <f>ROUND(Intereses_Leasing_Mensual!P216 + Intereses_Residual_Mensual!P216, 2)</f>
        <v/>
      </c>
      <c r="N216" s="29">
        <f>ROUND(Intereses_Leasing_Mensual!Q216 + Intereses_Residual_Mensual!Q216, 2)</f>
        <v/>
      </c>
      <c r="O216" s="29">
        <f>ROUND(Intereses_Leasing_Mensual!R216 + Intereses_Residual_Mensual!R216, 2)</f>
        <v/>
      </c>
      <c r="P216" s="29">
        <f>ROUND(Intereses_Leasing_Mensual!S216 + Intereses_Residual_Mensual!S216, 2)</f>
        <v/>
      </c>
      <c r="Q216" s="29">
        <f>ROUND(Intereses_Leasing_Mensual!T216 + Intereses_Residual_Mensual!T216, 2)</f>
        <v/>
      </c>
      <c r="R216" s="29">
        <f>SUM(F216:Q216)</f>
        <v/>
      </c>
    </row>
    <row r="217">
      <c r="A217" s="20" t="inlineStr">
        <is>
          <t>0732-0001</t>
        </is>
      </c>
      <c r="B217" s="21" t="inlineStr">
        <is>
          <t>Koonol Food Traders, S.A. de C.V.</t>
        </is>
      </c>
      <c r="C217" s="21" t="inlineStr">
        <is>
          <t>K4 Turbo</t>
        </is>
      </c>
      <c r="D217" s="20" t="inlineStr">
        <is>
          <t>ACTIVO</t>
        </is>
      </c>
      <c r="E217" s="22" t="n">
        <v>36</v>
      </c>
      <c r="F217" s="23">
        <f>ROUND(Intereses_Leasing_Mensual!I217 + Intereses_Residual_Mensual!I217, 2)</f>
        <v/>
      </c>
      <c r="G217" s="23">
        <f>ROUND(Intereses_Leasing_Mensual!J217 + Intereses_Residual_Mensual!J217, 2)</f>
        <v/>
      </c>
      <c r="H217" s="23">
        <f>ROUND(Intereses_Leasing_Mensual!K217 + Intereses_Residual_Mensual!K217, 2)</f>
        <v/>
      </c>
      <c r="I217" s="23">
        <f>ROUND(Intereses_Leasing_Mensual!L217 + Intereses_Residual_Mensual!L217, 2)</f>
        <v/>
      </c>
      <c r="J217" s="23">
        <f>ROUND(Intereses_Leasing_Mensual!M217 + Intereses_Residual_Mensual!M217, 2)</f>
        <v/>
      </c>
      <c r="K217" s="23">
        <f>ROUND(Intereses_Leasing_Mensual!N217 + Intereses_Residual_Mensual!N217, 2)</f>
        <v/>
      </c>
      <c r="L217" s="23">
        <f>ROUND(Intereses_Leasing_Mensual!O217 + Intereses_Residual_Mensual!O217, 2)</f>
        <v/>
      </c>
      <c r="M217" s="23">
        <f>ROUND(Intereses_Leasing_Mensual!P217 + Intereses_Residual_Mensual!P217, 2)</f>
        <v/>
      </c>
      <c r="N217" s="23">
        <f>ROUND(Intereses_Leasing_Mensual!Q217 + Intereses_Residual_Mensual!Q217, 2)</f>
        <v/>
      </c>
      <c r="O217" s="23">
        <f>ROUND(Intereses_Leasing_Mensual!R217 + Intereses_Residual_Mensual!R217, 2)</f>
        <v/>
      </c>
      <c r="P217" s="23">
        <f>ROUND(Intereses_Leasing_Mensual!S217 + Intereses_Residual_Mensual!S217, 2)</f>
        <v/>
      </c>
      <c r="Q217" s="23">
        <f>ROUND(Intereses_Leasing_Mensual!T217 + Intereses_Residual_Mensual!T217, 2)</f>
        <v/>
      </c>
      <c r="R217" s="23">
        <f>SUM(F217:Q217)</f>
        <v/>
      </c>
    </row>
    <row r="218">
      <c r="A218" s="26" t="inlineStr">
        <is>
          <t>0733-0001</t>
        </is>
      </c>
      <c r="B218" s="27" t="inlineStr">
        <is>
          <t>Alejandro Arias Maldonado</t>
        </is>
      </c>
      <c r="C218" s="27" t="inlineStr">
        <is>
          <t>Wrangler</t>
        </is>
      </c>
      <c r="D218" s="26" t="inlineStr">
        <is>
          <t>ACTIVO</t>
        </is>
      </c>
      <c r="E218" s="28" t="n">
        <v>48</v>
      </c>
      <c r="F218" s="29">
        <f>ROUND(Intereses_Leasing_Mensual!I218 + Intereses_Residual_Mensual!I218, 2)</f>
        <v/>
      </c>
      <c r="G218" s="29">
        <f>ROUND(Intereses_Leasing_Mensual!J218 + Intereses_Residual_Mensual!J218, 2)</f>
        <v/>
      </c>
      <c r="H218" s="29">
        <f>ROUND(Intereses_Leasing_Mensual!K218 + Intereses_Residual_Mensual!K218, 2)</f>
        <v/>
      </c>
      <c r="I218" s="29">
        <f>ROUND(Intereses_Leasing_Mensual!L218 + Intereses_Residual_Mensual!L218, 2)</f>
        <v/>
      </c>
      <c r="J218" s="29">
        <f>ROUND(Intereses_Leasing_Mensual!M218 + Intereses_Residual_Mensual!M218, 2)</f>
        <v/>
      </c>
      <c r="K218" s="29">
        <f>ROUND(Intereses_Leasing_Mensual!N218 + Intereses_Residual_Mensual!N218, 2)</f>
        <v/>
      </c>
      <c r="L218" s="29">
        <f>ROUND(Intereses_Leasing_Mensual!O218 + Intereses_Residual_Mensual!O218, 2)</f>
        <v/>
      </c>
      <c r="M218" s="29">
        <f>ROUND(Intereses_Leasing_Mensual!P218 + Intereses_Residual_Mensual!P218, 2)</f>
        <v/>
      </c>
      <c r="N218" s="29">
        <f>ROUND(Intereses_Leasing_Mensual!Q218 + Intereses_Residual_Mensual!Q218, 2)</f>
        <v/>
      </c>
      <c r="O218" s="29">
        <f>ROUND(Intereses_Leasing_Mensual!R218 + Intereses_Residual_Mensual!R218, 2)</f>
        <v/>
      </c>
      <c r="P218" s="29">
        <f>ROUND(Intereses_Leasing_Mensual!S218 + Intereses_Residual_Mensual!S218, 2)</f>
        <v/>
      </c>
      <c r="Q218" s="29">
        <f>ROUND(Intereses_Leasing_Mensual!T218 + Intereses_Residual_Mensual!T218, 2)</f>
        <v/>
      </c>
      <c r="R218" s="29">
        <f>SUM(F218:Q218)</f>
        <v/>
      </c>
    </row>
    <row r="219">
      <c r="A219" s="20" t="inlineStr">
        <is>
          <t>0734-0001</t>
        </is>
      </c>
      <c r="B219" s="21" t="inlineStr">
        <is>
          <t>Nutrientes Agricolas de Colima, S. de R.L. de C.V.</t>
        </is>
      </c>
      <c r="C219" s="21" t="inlineStr">
        <is>
          <t>1200 TRADESMAN RC</t>
        </is>
      </c>
      <c r="D219" s="20" t="inlineStr">
        <is>
          <t>ACTIVO</t>
        </is>
      </c>
      <c r="E219" s="22" t="n">
        <v>36</v>
      </c>
      <c r="F219" s="23">
        <f>ROUND(Intereses_Leasing_Mensual!I219 + Intereses_Residual_Mensual!I219, 2)</f>
        <v/>
      </c>
      <c r="G219" s="23">
        <f>ROUND(Intereses_Leasing_Mensual!J219 + Intereses_Residual_Mensual!J219, 2)</f>
        <v/>
      </c>
      <c r="H219" s="23">
        <f>ROUND(Intereses_Leasing_Mensual!K219 + Intereses_Residual_Mensual!K219, 2)</f>
        <v/>
      </c>
      <c r="I219" s="23">
        <f>ROUND(Intereses_Leasing_Mensual!L219 + Intereses_Residual_Mensual!L219, 2)</f>
        <v/>
      </c>
      <c r="J219" s="23">
        <f>ROUND(Intereses_Leasing_Mensual!M219 + Intereses_Residual_Mensual!M219, 2)</f>
        <v/>
      </c>
      <c r="K219" s="23">
        <f>ROUND(Intereses_Leasing_Mensual!N219 + Intereses_Residual_Mensual!N219, 2)</f>
        <v/>
      </c>
      <c r="L219" s="23">
        <f>ROUND(Intereses_Leasing_Mensual!O219 + Intereses_Residual_Mensual!O219, 2)</f>
        <v/>
      </c>
      <c r="M219" s="23">
        <f>ROUND(Intereses_Leasing_Mensual!P219 + Intereses_Residual_Mensual!P219, 2)</f>
        <v/>
      </c>
      <c r="N219" s="23">
        <f>ROUND(Intereses_Leasing_Mensual!Q219 + Intereses_Residual_Mensual!Q219, 2)</f>
        <v/>
      </c>
      <c r="O219" s="23">
        <f>ROUND(Intereses_Leasing_Mensual!R219 + Intereses_Residual_Mensual!R219, 2)</f>
        <v/>
      </c>
      <c r="P219" s="23">
        <f>ROUND(Intereses_Leasing_Mensual!S219 + Intereses_Residual_Mensual!S219, 2)</f>
        <v/>
      </c>
      <c r="Q219" s="23">
        <f>ROUND(Intereses_Leasing_Mensual!T219 + Intereses_Residual_Mensual!T219, 2)</f>
        <v/>
      </c>
      <c r="R219" s="23">
        <f>SUM(F219:Q219)</f>
        <v/>
      </c>
    </row>
    <row r="220">
      <c r="A220" s="26" t="inlineStr">
        <is>
          <t>0734-0002</t>
        </is>
      </c>
      <c r="B220" s="27" t="inlineStr">
        <is>
          <t>Nutrientes Agricolas de Colima, S. de R.L. de C.V.</t>
        </is>
      </c>
      <c r="C220" s="27" t="inlineStr">
        <is>
          <t>1200 TRADESMAN CHASIS CABINA</t>
        </is>
      </c>
      <c r="D220" s="26" t="inlineStr">
        <is>
          <t>ACTIVO</t>
        </is>
      </c>
      <c r="E220" s="28" t="n">
        <v>36</v>
      </c>
      <c r="F220" s="29">
        <f>ROUND(Intereses_Leasing_Mensual!I220 + Intereses_Residual_Mensual!I220, 2)</f>
        <v/>
      </c>
      <c r="G220" s="29">
        <f>ROUND(Intereses_Leasing_Mensual!J220 + Intereses_Residual_Mensual!J220, 2)</f>
        <v/>
      </c>
      <c r="H220" s="29">
        <f>ROUND(Intereses_Leasing_Mensual!K220 + Intereses_Residual_Mensual!K220, 2)</f>
        <v/>
      </c>
      <c r="I220" s="29">
        <f>ROUND(Intereses_Leasing_Mensual!L220 + Intereses_Residual_Mensual!L220, 2)</f>
        <v/>
      </c>
      <c r="J220" s="29">
        <f>ROUND(Intereses_Leasing_Mensual!M220 + Intereses_Residual_Mensual!M220, 2)</f>
        <v/>
      </c>
      <c r="K220" s="29">
        <f>ROUND(Intereses_Leasing_Mensual!N220 + Intereses_Residual_Mensual!N220, 2)</f>
        <v/>
      </c>
      <c r="L220" s="29">
        <f>ROUND(Intereses_Leasing_Mensual!O220 + Intereses_Residual_Mensual!O220, 2)</f>
        <v/>
      </c>
      <c r="M220" s="29">
        <f>ROUND(Intereses_Leasing_Mensual!P220 + Intereses_Residual_Mensual!P220, 2)</f>
        <v/>
      </c>
      <c r="N220" s="29">
        <f>ROUND(Intereses_Leasing_Mensual!Q220 + Intereses_Residual_Mensual!Q220, 2)</f>
        <v/>
      </c>
      <c r="O220" s="29">
        <f>ROUND(Intereses_Leasing_Mensual!R220 + Intereses_Residual_Mensual!R220, 2)</f>
        <v/>
      </c>
      <c r="P220" s="29">
        <f>ROUND(Intereses_Leasing_Mensual!S220 + Intereses_Residual_Mensual!S220, 2)</f>
        <v/>
      </c>
      <c r="Q220" s="29">
        <f>ROUND(Intereses_Leasing_Mensual!T220 + Intereses_Residual_Mensual!T220, 2)</f>
        <v/>
      </c>
      <c r="R220" s="29">
        <f>SUM(F220:Q220)</f>
        <v/>
      </c>
    </row>
    <row r="221">
      <c r="A221" s="20" t="inlineStr">
        <is>
          <t>0735-0001</t>
        </is>
      </c>
      <c r="B221" s="21" t="inlineStr">
        <is>
          <t>Francisco Zepeda Covarrubias</t>
        </is>
      </c>
      <c r="C221" s="21" t="inlineStr">
        <is>
          <t>Territory Trend 1.5L Hibrido</t>
        </is>
      </c>
      <c r="D221" s="20" t="inlineStr">
        <is>
          <t>ACTIVO</t>
        </is>
      </c>
      <c r="E221" s="22" t="n">
        <v>36</v>
      </c>
      <c r="F221" s="23">
        <f>ROUND(Intereses_Leasing_Mensual!I221 + Intereses_Residual_Mensual!I221, 2)</f>
        <v/>
      </c>
      <c r="G221" s="23">
        <f>ROUND(Intereses_Leasing_Mensual!J221 + Intereses_Residual_Mensual!J221, 2)</f>
        <v/>
      </c>
      <c r="H221" s="23">
        <f>ROUND(Intereses_Leasing_Mensual!K221 + Intereses_Residual_Mensual!K221, 2)</f>
        <v/>
      </c>
      <c r="I221" s="23">
        <f>ROUND(Intereses_Leasing_Mensual!L221 + Intereses_Residual_Mensual!L221, 2)</f>
        <v/>
      </c>
      <c r="J221" s="23">
        <f>ROUND(Intereses_Leasing_Mensual!M221 + Intereses_Residual_Mensual!M221, 2)</f>
        <v/>
      </c>
      <c r="K221" s="23">
        <f>ROUND(Intereses_Leasing_Mensual!N221 + Intereses_Residual_Mensual!N221, 2)</f>
        <v/>
      </c>
      <c r="L221" s="23">
        <f>ROUND(Intereses_Leasing_Mensual!O221 + Intereses_Residual_Mensual!O221, 2)</f>
        <v/>
      </c>
      <c r="M221" s="23">
        <f>ROUND(Intereses_Leasing_Mensual!P221 + Intereses_Residual_Mensual!P221, 2)</f>
        <v/>
      </c>
      <c r="N221" s="23">
        <f>ROUND(Intereses_Leasing_Mensual!Q221 + Intereses_Residual_Mensual!Q221, 2)</f>
        <v/>
      </c>
      <c r="O221" s="23">
        <f>ROUND(Intereses_Leasing_Mensual!R221 + Intereses_Residual_Mensual!R221, 2)</f>
        <v/>
      </c>
      <c r="P221" s="23">
        <f>ROUND(Intereses_Leasing_Mensual!S221 + Intereses_Residual_Mensual!S221, 2)</f>
        <v/>
      </c>
      <c r="Q221" s="23">
        <f>ROUND(Intereses_Leasing_Mensual!T221 + Intereses_Residual_Mensual!T221, 2)</f>
        <v/>
      </c>
      <c r="R221" s="23">
        <f>SUM(F221:Q221)</f>
        <v/>
      </c>
    </row>
    <row r="222">
      <c r="A222" s="26" t="inlineStr">
        <is>
          <t>0736-0001</t>
        </is>
      </c>
      <c r="B222" s="27" t="inlineStr">
        <is>
          <t>Industrial Castillo de Tequila S.A. de C.V.</t>
        </is>
      </c>
      <c r="C222" s="27" t="inlineStr">
        <is>
          <t>700 TRADESMAN CREW CAB</t>
        </is>
      </c>
      <c r="D222" s="26" t="inlineStr">
        <is>
          <t>ACTIVO</t>
        </is>
      </c>
      <c r="E222" s="28" t="n">
        <v>48</v>
      </c>
      <c r="F222" s="29">
        <f>ROUND(Intereses_Leasing_Mensual!I222 + Intereses_Residual_Mensual!I222, 2)</f>
        <v/>
      </c>
      <c r="G222" s="29">
        <f>ROUND(Intereses_Leasing_Mensual!J222 + Intereses_Residual_Mensual!J222, 2)</f>
        <v/>
      </c>
      <c r="H222" s="29">
        <f>ROUND(Intereses_Leasing_Mensual!K222 + Intereses_Residual_Mensual!K222, 2)</f>
        <v/>
      </c>
      <c r="I222" s="29">
        <f>ROUND(Intereses_Leasing_Mensual!L222 + Intereses_Residual_Mensual!L222, 2)</f>
        <v/>
      </c>
      <c r="J222" s="29">
        <f>ROUND(Intereses_Leasing_Mensual!M222 + Intereses_Residual_Mensual!M222, 2)</f>
        <v/>
      </c>
      <c r="K222" s="29">
        <f>ROUND(Intereses_Leasing_Mensual!N222 + Intereses_Residual_Mensual!N222, 2)</f>
        <v/>
      </c>
      <c r="L222" s="29">
        <f>ROUND(Intereses_Leasing_Mensual!O222 + Intereses_Residual_Mensual!O222, 2)</f>
        <v/>
      </c>
      <c r="M222" s="29">
        <f>ROUND(Intereses_Leasing_Mensual!P222 + Intereses_Residual_Mensual!P222, 2)</f>
        <v/>
      </c>
      <c r="N222" s="29">
        <f>ROUND(Intereses_Leasing_Mensual!Q222 + Intereses_Residual_Mensual!Q222, 2)</f>
        <v/>
      </c>
      <c r="O222" s="29">
        <f>ROUND(Intereses_Leasing_Mensual!R222 + Intereses_Residual_Mensual!R222, 2)</f>
        <v/>
      </c>
      <c r="P222" s="29">
        <f>ROUND(Intereses_Leasing_Mensual!S222 + Intereses_Residual_Mensual!S222, 2)</f>
        <v/>
      </c>
      <c r="Q222" s="29">
        <f>ROUND(Intereses_Leasing_Mensual!T222 + Intereses_Residual_Mensual!T222, 2)</f>
        <v/>
      </c>
      <c r="R222" s="29">
        <f>SUM(F222:Q222)</f>
        <v/>
      </c>
    </row>
    <row r="223">
      <c r="A223" s="20" t="inlineStr">
        <is>
          <t>0737-0001</t>
        </is>
      </c>
      <c r="B223" s="21" t="inlineStr">
        <is>
          <t>Nicola Briani</t>
        </is>
      </c>
      <c r="C223" s="21" t="inlineStr">
        <is>
          <t>T1 Savage</t>
        </is>
      </c>
      <c r="D223" s="20" t="inlineStr">
        <is>
          <t>ACTIVO</t>
        </is>
      </c>
      <c r="E223" s="22" t="n">
        <v>48</v>
      </c>
      <c r="F223" s="23">
        <f>ROUND(Intereses_Leasing_Mensual!I223 + Intereses_Residual_Mensual!I223, 2)</f>
        <v/>
      </c>
      <c r="G223" s="23">
        <f>ROUND(Intereses_Leasing_Mensual!J223 + Intereses_Residual_Mensual!J223, 2)</f>
        <v/>
      </c>
      <c r="H223" s="23">
        <f>ROUND(Intereses_Leasing_Mensual!K223 + Intereses_Residual_Mensual!K223, 2)</f>
        <v/>
      </c>
      <c r="I223" s="23">
        <f>ROUND(Intereses_Leasing_Mensual!L223 + Intereses_Residual_Mensual!L223, 2)</f>
        <v/>
      </c>
      <c r="J223" s="23">
        <f>ROUND(Intereses_Leasing_Mensual!M223 + Intereses_Residual_Mensual!M223, 2)</f>
        <v/>
      </c>
      <c r="K223" s="23">
        <f>ROUND(Intereses_Leasing_Mensual!N223 + Intereses_Residual_Mensual!N223, 2)</f>
        <v/>
      </c>
      <c r="L223" s="23">
        <f>ROUND(Intereses_Leasing_Mensual!O223 + Intereses_Residual_Mensual!O223, 2)</f>
        <v/>
      </c>
      <c r="M223" s="23">
        <f>ROUND(Intereses_Leasing_Mensual!P223 + Intereses_Residual_Mensual!P223, 2)</f>
        <v/>
      </c>
      <c r="N223" s="23">
        <f>ROUND(Intereses_Leasing_Mensual!Q223 + Intereses_Residual_Mensual!Q223, 2)</f>
        <v/>
      </c>
      <c r="O223" s="23">
        <f>ROUND(Intereses_Leasing_Mensual!R223 + Intereses_Residual_Mensual!R223, 2)</f>
        <v/>
      </c>
      <c r="P223" s="23">
        <f>ROUND(Intereses_Leasing_Mensual!S223 + Intereses_Residual_Mensual!S223, 2)</f>
        <v/>
      </c>
      <c r="Q223" s="23">
        <f>ROUND(Intereses_Leasing_Mensual!T223 + Intereses_Residual_Mensual!T223, 2)</f>
        <v/>
      </c>
      <c r="R223" s="23">
        <f>SUM(F223:Q223)</f>
        <v/>
      </c>
    </row>
    <row r="224">
      <c r="A224" s="26" t="inlineStr">
        <is>
          <t>0738-0001</t>
        </is>
      </c>
      <c r="B224" s="27" t="inlineStr">
        <is>
          <t>Vinaria Distribución S.A.S.</t>
        </is>
      </c>
      <c r="C224" s="27" t="inlineStr">
        <is>
          <t>700 BIGHORN "S" CREW CAB CVT</t>
        </is>
      </c>
      <c r="D224" s="26" t="inlineStr">
        <is>
          <t>ACTIVO</t>
        </is>
      </c>
      <c r="E224" s="28" t="n">
        <v>36</v>
      </c>
      <c r="F224" s="29">
        <f>ROUND(Intereses_Leasing_Mensual!I224 + Intereses_Residual_Mensual!I224, 2)</f>
        <v/>
      </c>
      <c r="G224" s="29">
        <f>ROUND(Intereses_Leasing_Mensual!J224 + Intereses_Residual_Mensual!J224, 2)</f>
        <v/>
      </c>
      <c r="H224" s="29">
        <f>ROUND(Intereses_Leasing_Mensual!K224 + Intereses_Residual_Mensual!K224, 2)</f>
        <v/>
      </c>
      <c r="I224" s="29">
        <f>ROUND(Intereses_Leasing_Mensual!L224 + Intereses_Residual_Mensual!L224, 2)</f>
        <v/>
      </c>
      <c r="J224" s="29">
        <f>ROUND(Intereses_Leasing_Mensual!M224 + Intereses_Residual_Mensual!M224, 2)</f>
        <v/>
      </c>
      <c r="K224" s="29">
        <f>ROUND(Intereses_Leasing_Mensual!N224 + Intereses_Residual_Mensual!N224, 2)</f>
        <v/>
      </c>
      <c r="L224" s="29">
        <f>ROUND(Intereses_Leasing_Mensual!O224 + Intereses_Residual_Mensual!O224, 2)</f>
        <v/>
      </c>
      <c r="M224" s="29">
        <f>ROUND(Intereses_Leasing_Mensual!P224 + Intereses_Residual_Mensual!P224, 2)</f>
        <v/>
      </c>
      <c r="N224" s="29">
        <f>ROUND(Intereses_Leasing_Mensual!Q224 + Intereses_Residual_Mensual!Q224, 2)</f>
        <v/>
      </c>
      <c r="O224" s="29">
        <f>ROUND(Intereses_Leasing_Mensual!R224 + Intereses_Residual_Mensual!R224, 2)</f>
        <v/>
      </c>
      <c r="P224" s="29">
        <f>ROUND(Intereses_Leasing_Mensual!S224 + Intereses_Residual_Mensual!S224, 2)</f>
        <v/>
      </c>
      <c r="Q224" s="29">
        <f>ROUND(Intereses_Leasing_Mensual!T224 + Intereses_Residual_Mensual!T224, 2)</f>
        <v/>
      </c>
      <c r="R224" s="29">
        <f>SUM(F224:Q224)</f>
        <v/>
      </c>
    </row>
    <row r="225">
      <c r="A225" s="20" t="inlineStr">
        <is>
          <t>0739-0001</t>
        </is>
      </c>
      <c r="B225" s="21" t="inlineStr">
        <is>
          <t>Miriam Patricia López Flores</t>
        </is>
      </c>
      <c r="C225" s="21" t="inlineStr">
        <is>
          <t>Jeep Wrangler Unlimited Rubicon</t>
        </is>
      </c>
      <c r="D225" s="20" t="inlineStr">
        <is>
          <t>ACTIVO</t>
        </is>
      </c>
      <c r="E225" s="22" t="n">
        <v>48</v>
      </c>
      <c r="F225" s="23">
        <f>ROUND(Intereses_Leasing_Mensual!I225 + Intereses_Residual_Mensual!I225, 2)</f>
        <v/>
      </c>
      <c r="G225" s="23">
        <f>ROUND(Intereses_Leasing_Mensual!J225 + Intereses_Residual_Mensual!J225, 2)</f>
        <v/>
      </c>
      <c r="H225" s="23">
        <f>ROUND(Intereses_Leasing_Mensual!K225 + Intereses_Residual_Mensual!K225, 2)</f>
        <v/>
      </c>
      <c r="I225" s="23">
        <f>ROUND(Intereses_Leasing_Mensual!L225 + Intereses_Residual_Mensual!L225, 2)</f>
        <v/>
      </c>
      <c r="J225" s="23">
        <f>ROUND(Intereses_Leasing_Mensual!M225 + Intereses_Residual_Mensual!M225, 2)</f>
        <v/>
      </c>
      <c r="K225" s="23">
        <f>ROUND(Intereses_Leasing_Mensual!N225 + Intereses_Residual_Mensual!N225, 2)</f>
        <v/>
      </c>
      <c r="L225" s="23">
        <f>ROUND(Intereses_Leasing_Mensual!O225 + Intereses_Residual_Mensual!O225, 2)</f>
        <v/>
      </c>
      <c r="M225" s="23">
        <f>ROUND(Intereses_Leasing_Mensual!P225 + Intereses_Residual_Mensual!P225, 2)</f>
        <v/>
      </c>
      <c r="N225" s="23">
        <f>ROUND(Intereses_Leasing_Mensual!Q225 + Intereses_Residual_Mensual!Q225, 2)</f>
        <v/>
      </c>
      <c r="O225" s="23">
        <f>ROUND(Intereses_Leasing_Mensual!R225 + Intereses_Residual_Mensual!R225, 2)</f>
        <v/>
      </c>
      <c r="P225" s="23">
        <f>ROUND(Intereses_Leasing_Mensual!S225 + Intereses_Residual_Mensual!S225, 2)</f>
        <v/>
      </c>
      <c r="Q225" s="23">
        <f>ROUND(Intereses_Leasing_Mensual!T225 + Intereses_Residual_Mensual!T225, 2)</f>
        <v/>
      </c>
      <c r="R225" s="23">
        <f>SUM(F225:Q225)</f>
        <v/>
      </c>
    </row>
    <row r="226">
      <c r="A226" s="26" t="inlineStr">
        <is>
          <t>0740-0001</t>
        </is>
      </c>
      <c r="B226" s="27" t="inlineStr">
        <is>
          <t>Sanatorio Versalles de Guadalajara</t>
        </is>
      </c>
      <c r="C226" s="27" t="inlineStr">
        <is>
          <t>1200 Bighorn</t>
        </is>
      </c>
      <c r="D226" s="26" t="inlineStr">
        <is>
          <t>ACTIVO</t>
        </is>
      </c>
      <c r="E226" s="28" t="n">
        <v>12</v>
      </c>
      <c r="F226" s="29">
        <f>ROUND(Intereses_Leasing_Mensual!I226 + Intereses_Residual_Mensual!I226, 2)</f>
        <v/>
      </c>
      <c r="G226" s="29">
        <f>ROUND(Intereses_Leasing_Mensual!J226 + Intereses_Residual_Mensual!J226, 2)</f>
        <v/>
      </c>
      <c r="H226" s="29">
        <f>ROUND(Intereses_Leasing_Mensual!K226 + Intereses_Residual_Mensual!K226, 2)</f>
        <v/>
      </c>
      <c r="I226" s="29">
        <f>ROUND(Intereses_Leasing_Mensual!L226 + Intereses_Residual_Mensual!L226, 2)</f>
        <v/>
      </c>
      <c r="J226" s="29">
        <f>ROUND(Intereses_Leasing_Mensual!M226 + Intereses_Residual_Mensual!M226, 2)</f>
        <v/>
      </c>
      <c r="K226" s="29">
        <f>ROUND(Intereses_Leasing_Mensual!N226 + Intereses_Residual_Mensual!N226, 2)</f>
        <v/>
      </c>
      <c r="L226" s="29">
        <f>ROUND(Intereses_Leasing_Mensual!O226 + Intereses_Residual_Mensual!O226, 2)</f>
        <v/>
      </c>
      <c r="M226" s="29">
        <f>ROUND(Intereses_Leasing_Mensual!P226 + Intereses_Residual_Mensual!P226, 2)</f>
        <v/>
      </c>
      <c r="N226" s="29">
        <f>ROUND(Intereses_Leasing_Mensual!Q226 + Intereses_Residual_Mensual!Q226, 2)</f>
        <v/>
      </c>
      <c r="O226" s="29">
        <f>ROUND(Intereses_Leasing_Mensual!R226 + Intereses_Residual_Mensual!R226, 2)</f>
        <v/>
      </c>
      <c r="P226" s="29">
        <f>ROUND(Intereses_Leasing_Mensual!S226 + Intereses_Residual_Mensual!S226, 2)</f>
        <v/>
      </c>
      <c r="Q226" s="29" t="inlineStr"/>
      <c r="R226" s="29">
        <f>SUM(F226:Q226)</f>
        <v/>
      </c>
    </row>
    <row r="227">
      <c r="A227" s="20" t="inlineStr">
        <is>
          <t>0741-0001</t>
        </is>
      </c>
      <c r="B227" s="21" t="inlineStr">
        <is>
          <t>Alvaró Agustin Navarro Castellón</t>
        </is>
      </c>
      <c r="C227" s="21" t="inlineStr">
        <is>
          <t>Manager Furgon L4H2</t>
        </is>
      </c>
      <c r="D227" s="20" t="inlineStr">
        <is>
          <t>ACTIVO</t>
        </is>
      </c>
      <c r="E227" s="22" t="n">
        <v>48</v>
      </c>
      <c r="F227" s="23">
        <f>ROUND(Intereses_Leasing_Mensual!I227 + Intereses_Residual_Mensual!I227, 2)</f>
        <v/>
      </c>
      <c r="G227" s="23">
        <f>ROUND(Intereses_Leasing_Mensual!J227 + Intereses_Residual_Mensual!J227, 2)</f>
        <v/>
      </c>
      <c r="H227" s="23">
        <f>ROUND(Intereses_Leasing_Mensual!K227 + Intereses_Residual_Mensual!K227, 2)</f>
        <v/>
      </c>
      <c r="I227" s="23">
        <f>ROUND(Intereses_Leasing_Mensual!L227 + Intereses_Residual_Mensual!L227, 2)</f>
        <v/>
      </c>
      <c r="J227" s="23">
        <f>ROUND(Intereses_Leasing_Mensual!M227 + Intereses_Residual_Mensual!M227, 2)</f>
        <v/>
      </c>
      <c r="K227" s="23">
        <f>ROUND(Intereses_Leasing_Mensual!N227 + Intereses_Residual_Mensual!N227, 2)</f>
        <v/>
      </c>
      <c r="L227" s="23">
        <f>ROUND(Intereses_Leasing_Mensual!O227 + Intereses_Residual_Mensual!O227, 2)</f>
        <v/>
      </c>
      <c r="M227" s="23">
        <f>ROUND(Intereses_Leasing_Mensual!P227 + Intereses_Residual_Mensual!P227, 2)</f>
        <v/>
      </c>
      <c r="N227" s="23">
        <f>ROUND(Intereses_Leasing_Mensual!Q227 + Intereses_Residual_Mensual!Q227, 2)</f>
        <v/>
      </c>
      <c r="O227" s="23">
        <f>ROUND(Intereses_Leasing_Mensual!R227 + Intereses_Residual_Mensual!R227, 2)</f>
        <v/>
      </c>
      <c r="P227" s="23">
        <f>ROUND(Intereses_Leasing_Mensual!S227 + Intereses_Residual_Mensual!S227, 2)</f>
        <v/>
      </c>
      <c r="Q227" s="23">
        <f>ROUND(Intereses_Leasing_Mensual!T227 + Intereses_Residual_Mensual!T227, 2)</f>
        <v/>
      </c>
      <c r="R227" s="23">
        <f>SUM(F227:Q227)</f>
        <v/>
      </c>
    </row>
    <row r="228">
      <c r="A228" s="26" t="inlineStr">
        <is>
          <t>0742-0001</t>
        </is>
      </c>
      <c r="B228" s="27" t="inlineStr">
        <is>
          <t>Universidad de las Américas y el Caribe, S.C.</t>
        </is>
      </c>
      <c r="C228" s="27" t="inlineStr">
        <is>
          <t>700 BIGHORN "S" CREW CAB MT</t>
        </is>
      </c>
      <c r="D228" s="26" t="inlineStr">
        <is>
          <t>ACTIVO</t>
        </is>
      </c>
      <c r="E228" s="28" t="n">
        <v>36</v>
      </c>
      <c r="F228" s="29">
        <f>ROUND(Intereses_Leasing_Mensual!I228 + Intereses_Residual_Mensual!I228, 2)</f>
        <v/>
      </c>
      <c r="G228" s="29">
        <f>ROUND(Intereses_Leasing_Mensual!J228 + Intereses_Residual_Mensual!J228, 2)</f>
        <v/>
      </c>
      <c r="H228" s="29">
        <f>ROUND(Intereses_Leasing_Mensual!K228 + Intereses_Residual_Mensual!K228, 2)</f>
        <v/>
      </c>
      <c r="I228" s="29">
        <f>ROUND(Intereses_Leasing_Mensual!L228 + Intereses_Residual_Mensual!L228, 2)</f>
        <v/>
      </c>
      <c r="J228" s="29">
        <f>ROUND(Intereses_Leasing_Mensual!M228 + Intereses_Residual_Mensual!M228, 2)</f>
        <v/>
      </c>
      <c r="K228" s="29">
        <f>ROUND(Intereses_Leasing_Mensual!N228 + Intereses_Residual_Mensual!N228, 2)</f>
        <v/>
      </c>
      <c r="L228" s="29">
        <f>ROUND(Intereses_Leasing_Mensual!O228 + Intereses_Residual_Mensual!O228, 2)</f>
        <v/>
      </c>
      <c r="M228" s="29">
        <f>ROUND(Intereses_Leasing_Mensual!P228 + Intereses_Residual_Mensual!P228, 2)</f>
        <v/>
      </c>
      <c r="N228" s="29">
        <f>ROUND(Intereses_Leasing_Mensual!Q228 + Intereses_Residual_Mensual!Q228, 2)</f>
        <v/>
      </c>
      <c r="O228" s="29">
        <f>ROUND(Intereses_Leasing_Mensual!R228 + Intereses_Residual_Mensual!R228, 2)</f>
        <v/>
      </c>
      <c r="P228" s="29">
        <f>ROUND(Intereses_Leasing_Mensual!S228 + Intereses_Residual_Mensual!S228, 2)</f>
        <v/>
      </c>
      <c r="Q228" s="29">
        <f>ROUND(Intereses_Leasing_Mensual!T228 + Intereses_Residual_Mensual!T228, 2)</f>
        <v/>
      </c>
      <c r="R228" s="29">
        <f>SUM(F228:Q228)</f>
        <v/>
      </c>
    </row>
    <row r="229">
      <c r="A229" s="20" t="inlineStr">
        <is>
          <t>0742-0002</t>
        </is>
      </c>
      <c r="B229" s="21" t="inlineStr">
        <is>
          <t>Universidad de las Américas y el Caribe, S.C.</t>
        </is>
      </c>
      <c r="C229" s="21" t="inlineStr">
        <is>
          <t>700 BIGHORN "S" CREW CAB CVT</t>
        </is>
      </c>
      <c r="D229" s="20" t="inlineStr">
        <is>
          <t>ACTIVO</t>
        </is>
      </c>
      <c r="E229" s="22" t="n">
        <v>36</v>
      </c>
      <c r="F229" s="23">
        <f>ROUND(Intereses_Leasing_Mensual!I229 + Intereses_Residual_Mensual!I229, 2)</f>
        <v/>
      </c>
      <c r="G229" s="23">
        <f>ROUND(Intereses_Leasing_Mensual!J229 + Intereses_Residual_Mensual!J229, 2)</f>
        <v/>
      </c>
      <c r="H229" s="23">
        <f>ROUND(Intereses_Leasing_Mensual!K229 + Intereses_Residual_Mensual!K229, 2)</f>
        <v/>
      </c>
      <c r="I229" s="23">
        <f>ROUND(Intereses_Leasing_Mensual!L229 + Intereses_Residual_Mensual!L229, 2)</f>
        <v/>
      </c>
      <c r="J229" s="23">
        <f>ROUND(Intereses_Leasing_Mensual!M229 + Intereses_Residual_Mensual!M229, 2)</f>
        <v/>
      </c>
      <c r="K229" s="23">
        <f>ROUND(Intereses_Leasing_Mensual!N229 + Intereses_Residual_Mensual!N229, 2)</f>
        <v/>
      </c>
      <c r="L229" s="23">
        <f>ROUND(Intereses_Leasing_Mensual!O229 + Intereses_Residual_Mensual!O229, 2)</f>
        <v/>
      </c>
      <c r="M229" s="23">
        <f>ROUND(Intereses_Leasing_Mensual!P229 + Intereses_Residual_Mensual!P229, 2)</f>
        <v/>
      </c>
      <c r="N229" s="23">
        <f>ROUND(Intereses_Leasing_Mensual!Q229 + Intereses_Residual_Mensual!Q229, 2)</f>
        <v/>
      </c>
      <c r="O229" s="23">
        <f>ROUND(Intereses_Leasing_Mensual!R229 + Intereses_Residual_Mensual!R229, 2)</f>
        <v/>
      </c>
      <c r="P229" s="23">
        <f>ROUND(Intereses_Leasing_Mensual!S229 + Intereses_Residual_Mensual!S229, 2)</f>
        <v/>
      </c>
      <c r="Q229" s="23">
        <f>ROUND(Intereses_Leasing_Mensual!T229 + Intereses_Residual_Mensual!T229, 2)</f>
        <v/>
      </c>
      <c r="R229" s="23">
        <f>SUM(F229:Q229)</f>
        <v/>
      </c>
    </row>
    <row r="230">
      <c r="A230" s="26" t="inlineStr">
        <is>
          <t>0743-0001</t>
        </is>
      </c>
      <c r="B230" s="27" t="inlineStr">
        <is>
          <t>IEM Soluciones Integrales, S.C.</t>
        </is>
      </c>
      <c r="C230" s="27" t="inlineStr">
        <is>
          <t>1200 BIGHORN CC</t>
        </is>
      </c>
      <c r="D230" s="26" t="inlineStr">
        <is>
          <t>ACTIVO</t>
        </is>
      </c>
      <c r="E230" s="28" t="n">
        <v>36</v>
      </c>
      <c r="F230" s="29">
        <f>ROUND(Intereses_Leasing_Mensual!I230 + Intereses_Residual_Mensual!I230, 2)</f>
        <v/>
      </c>
      <c r="G230" s="29">
        <f>ROUND(Intereses_Leasing_Mensual!J230 + Intereses_Residual_Mensual!J230, 2)</f>
        <v/>
      </c>
      <c r="H230" s="29">
        <f>ROUND(Intereses_Leasing_Mensual!K230 + Intereses_Residual_Mensual!K230, 2)</f>
        <v/>
      </c>
      <c r="I230" s="29">
        <f>ROUND(Intereses_Leasing_Mensual!L230 + Intereses_Residual_Mensual!L230, 2)</f>
        <v/>
      </c>
      <c r="J230" s="29">
        <f>ROUND(Intereses_Leasing_Mensual!M230 + Intereses_Residual_Mensual!M230, 2)</f>
        <v/>
      </c>
      <c r="K230" s="29">
        <f>ROUND(Intereses_Leasing_Mensual!N230 + Intereses_Residual_Mensual!N230, 2)</f>
        <v/>
      </c>
      <c r="L230" s="29">
        <f>ROUND(Intereses_Leasing_Mensual!O230 + Intereses_Residual_Mensual!O230, 2)</f>
        <v/>
      </c>
      <c r="M230" s="29">
        <f>ROUND(Intereses_Leasing_Mensual!P230 + Intereses_Residual_Mensual!P230, 2)</f>
        <v/>
      </c>
      <c r="N230" s="29">
        <f>ROUND(Intereses_Leasing_Mensual!Q230 + Intereses_Residual_Mensual!Q230, 2)</f>
        <v/>
      </c>
      <c r="O230" s="29">
        <f>ROUND(Intereses_Leasing_Mensual!R230 + Intereses_Residual_Mensual!R230, 2)</f>
        <v/>
      </c>
      <c r="P230" s="29">
        <f>ROUND(Intereses_Leasing_Mensual!S230 + Intereses_Residual_Mensual!S230, 2)</f>
        <v/>
      </c>
      <c r="Q230" s="29">
        <f>ROUND(Intereses_Leasing_Mensual!T230 + Intereses_Residual_Mensual!T230, 2)</f>
        <v/>
      </c>
      <c r="R230" s="29">
        <f>SUM(F230:Q230)</f>
        <v/>
      </c>
    </row>
    <row r="231">
      <c r="A231" s="20" t="inlineStr">
        <is>
          <t>0744-0001</t>
        </is>
      </c>
      <c r="B231" s="21" t="inlineStr">
        <is>
          <t>H&amp;A Edicon, S.A. de C.V.</t>
        </is>
      </c>
      <c r="C231" s="21" t="inlineStr">
        <is>
          <t>NP 300 Chasis Cabina</t>
        </is>
      </c>
      <c r="D231" s="20" t="inlineStr">
        <is>
          <t>ACTIVO</t>
        </is>
      </c>
      <c r="E231" s="22" t="n">
        <v>24</v>
      </c>
      <c r="F231" s="23">
        <f>ROUND(Intereses_Leasing_Mensual!I231 + Intereses_Residual_Mensual!I231, 2)</f>
        <v/>
      </c>
      <c r="G231" s="23">
        <f>ROUND(Intereses_Leasing_Mensual!J231 + Intereses_Residual_Mensual!J231, 2)</f>
        <v/>
      </c>
      <c r="H231" s="23">
        <f>ROUND(Intereses_Leasing_Mensual!K231 + Intereses_Residual_Mensual!K231, 2)</f>
        <v/>
      </c>
      <c r="I231" s="23">
        <f>ROUND(Intereses_Leasing_Mensual!L231 + Intereses_Residual_Mensual!L231, 2)</f>
        <v/>
      </c>
      <c r="J231" s="23">
        <f>ROUND(Intereses_Leasing_Mensual!M231 + Intereses_Residual_Mensual!M231, 2)</f>
        <v/>
      </c>
      <c r="K231" s="23">
        <f>ROUND(Intereses_Leasing_Mensual!N231 + Intereses_Residual_Mensual!N231, 2)</f>
        <v/>
      </c>
      <c r="L231" s="23">
        <f>ROUND(Intereses_Leasing_Mensual!O231 + Intereses_Residual_Mensual!O231, 2)</f>
        <v/>
      </c>
      <c r="M231" s="23">
        <f>ROUND(Intereses_Leasing_Mensual!P231 + Intereses_Residual_Mensual!P231, 2)</f>
        <v/>
      </c>
      <c r="N231" s="23">
        <f>ROUND(Intereses_Leasing_Mensual!Q231 + Intereses_Residual_Mensual!Q231, 2)</f>
        <v/>
      </c>
      <c r="O231" s="23">
        <f>ROUND(Intereses_Leasing_Mensual!R231 + Intereses_Residual_Mensual!R231, 2)</f>
        <v/>
      </c>
      <c r="P231" s="23">
        <f>ROUND(Intereses_Leasing_Mensual!S231 + Intereses_Residual_Mensual!S231, 2)</f>
        <v/>
      </c>
      <c r="Q231" s="23">
        <f>ROUND(Intereses_Leasing_Mensual!T231 + Intereses_Residual_Mensual!T231, 2)</f>
        <v/>
      </c>
      <c r="R231" s="23">
        <f>SUM(F231:Q231)</f>
        <v/>
      </c>
    </row>
    <row r="232">
      <c r="A232" s="26" t="inlineStr">
        <is>
          <t>0745-0001</t>
        </is>
      </c>
      <c r="B232" s="27" t="inlineStr">
        <is>
          <t>Industrializadora de Productos Lácteos y Derivados los Cuates, S.A. de C.V.</t>
        </is>
      </c>
      <c r="C232" s="27" t="inlineStr">
        <is>
          <t>Outlander Sport SE Plus</t>
        </is>
      </c>
      <c r="D232" s="26" t="inlineStr">
        <is>
          <t>ACTIVO</t>
        </is>
      </c>
      <c r="E232" s="28" t="n">
        <v>36</v>
      </c>
      <c r="F232" s="29">
        <f>ROUND(Intereses_Leasing_Mensual!I232 + Intereses_Residual_Mensual!I232, 2)</f>
        <v/>
      </c>
      <c r="G232" s="29">
        <f>ROUND(Intereses_Leasing_Mensual!J232 + Intereses_Residual_Mensual!J232, 2)</f>
        <v/>
      </c>
      <c r="H232" s="29">
        <f>ROUND(Intereses_Leasing_Mensual!K232 + Intereses_Residual_Mensual!K232, 2)</f>
        <v/>
      </c>
      <c r="I232" s="29">
        <f>ROUND(Intereses_Leasing_Mensual!L232 + Intereses_Residual_Mensual!L232, 2)</f>
        <v/>
      </c>
      <c r="J232" s="29">
        <f>ROUND(Intereses_Leasing_Mensual!M232 + Intereses_Residual_Mensual!M232, 2)</f>
        <v/>
      </c>
      <c r="K232" s="29">
        <f>ROUND(Intereses_Leasing_Mensual!N232 + Intereses_Residual_Mensual!N232, 2)</f>
        <v/>
      </c>
      <c r="L232" s="29">
        <f>ROUND(Intereses_Leasing_Mensual!O232 + Intereses_Residual_Mensual!O232, 2)</f>
        <v/>
      </c>
      <c r="M232" s="29">
        <f>ROUND(Intereses_Leasing_Mensual!P232 + Intereses_Residual_Mensual!P232, 2)</f>
        <v/>
      </c>
      <c r="N232" s="29">
        <f>ROUND(Intereses_Leasing_Mensual!Q232 + Intereses_Residual_Mensual!Q232, 2)</f>
        <v/>
      </c>
      <c r="O232" s="29">
        <f>ROUND(Intereses_Leasing_Mensual!R232 + Intereses_Residual_Mensual!R232, 2)</f>
        <v/>
      </c>
      <c r="P232" s="29">
        <f>ROUND(Intereses_Leasing_Mensual!S232 + Intereses_Residual_Mensual!S232, 2)</f>
        <v/>
      </c>
      <c r="Q232" s="29">
        <f>ROUND(Intereses_Leasing_Mensual!T232 + Intereses_Residual_Mensual!T232, 2)</f>
        <v/>
      </c>
      <c r="R232" s="29">
        <f>SUM(F232:Q232)</f>
        <v/>
      </c>
    </row>
    <row r="233">
      <c r="A233" s="20" t="inlineStr">
        <is>
          <t>0746-0001</t>
        </is>
      </c>
      <c r="B233" s="21" t="inlineStr">
        <is>
          <t>Giovanni Salvador Medina Rubio</t>
        </is>
      </c>
      <c r="C233" s="21" t="inlineStr">
        <is>
          <t>Rapid</t>
        </is>
      </c>
      <c r="D233" s="20" t="inlineStr">
        <is>
          <t>ACTIVO</t>
        </is>
      </c>
      <c r="E233" s="22" t="n">
        <v>36</v>
      </c>
      <c r="F233" s="23" t="inlineStr"/>
      <c r="G233" s="23">
        <f>ROUND(Intereses_Leasing_Mensual!J233 + Intereses_Residual_Mensual!J233, 2)</f>
        <v/>
      </c>
      <c r="H233" s="23">
        <f>ROUND(Intereses_Leasing_Mensual!K233 + Intereses_Residual_Mensual!K233, 2)</f>
        <v/>
      </c>
      <c r="I233" s="23">
        <f>ROUND(Intereses_Leasing_Mensual!L233 + Intereses_Residual_Mensual!L233, 2)</f>
        <v/>
      </c>
      <c r="J233" s="23">
        <f>ROUND(Intereses_Leasing_Mensual!M233 + Intereses_Residual_Mensual!M233, 2)</f>
        <v/>
      </c>
      <c r="K233" s="23">
        <f>ROUND(Intereses_Leasing_Mensual!N233 + Intereses_Residual_Mensual!N233, 2)</f>
        <v/>
      </c>
      <c r="L233" s="23">
        <f>ROUND(Intereses_Leasing_Mensual!O233 + Intereses_Residual_Mensual!O233, 2)</f>
        <v/>
      </c>
      <c r="M233" s="23">
        <f>ROUND(Intereses_Leasing_Mensual!P233 + Intereses_Residual_Mensual!P233, 2)</f>
        <v/>
      </c>
      <c r="N233" s="23">
        <f>ROUND(Intereses_Leasing_Mensual!Q233 + Intereses_Residual_Mensual!Q233, 2)</f>
        <v/>
      </c>
      <c r="O233" s="23">
        <f>ROUND(Intereses_Leasing_Mensual!R233 + Intereses_Residual_Mensual!R233, 2)</f>
        <v/>
      </c>
      <c r="P233" s="23">
        <f>ROUND(Intereses_Leasing_Mensual!S233 + Intereses_Residual_Mensual!S233, 2)</f>
        <v/>
      </c>
      <c r="Q233" s="23">
        <f>ROUND(Intereses_Leasing_Mensual!T233 + Intereses_Residual_Mensual!T233, 2)</f>
        <v/>
      </c>
      <c r="R233" s="23">
        <f>SUM(F233:Q233)</f>
        <v/>
      </c>
    </row>
    <row r="234">
      <c r="A234" s="26" t="inlineStr">
        <is>
          <t>0747-0001</t>
        </is>
      </c>
      <c r="B234" s="27" t="inlineStr">
        <is>
          <t>Brandon Joel Zepeda Romero</t>
        </is>
      </c>
      <c r="C234" s="27" t="inlineStr">
        <is>
          <t>Ranger Raptor</t>
        </is>
      </c>
      <c r="D234" s="26" t="inlineStr">
        <is>
          <t>ACTIVO</t>
        </is>
      </c>
      <c r="E234" s="28" t="n">
        <v>48</v>
      </c>
      <c r="F234" s="29" t="inlineStr"/>
      <c r="G234" s="29">
        <f>ROUND(Intereses_Leasing_Mensual!J234 + Intereses_Residual_Mensual!J234, 2)</f>
        <v/>
      </c>
      <c r="H234" s="29">
        <f>ROUND(Intereses_Leasing_Mensual!K234 + Intereses_Residual_Mensual!K234, 2)</f>
        <v/>
      </c>
      <c r="I234" s="29">
        <f>ROUND(Intereses_Leasing_Mensual!L234 + Intereses_Residual_Mensual!L234, 2)</f>
        <v/>
      </c>
      <c r="J234" s="29">
        <f>ROUND(Intereses_Leasing_Mensual!M234 + Intereses_Residual_Mensual!M234, 2)</f>
        <v/>
      </c>
      <c r="K234" s="29">
        <f>ROUND(Intereses_Leasing_Mensual!N234 + Intereses_Residual_Mensual!N234, 2)</f>
        <v/>
      </c>
      <c r="L234" s="29">
        <f>ROUND(Intereses_Leasing_Mensual!O234 + Intereses_Residual_Mensual!O234, 2)</f>
        <v/>
      </c>
      <c r="M234" s="29">
        <f>ROUND(Intereses_Leasing_Mensual!P234 + Intereses_Residual_Mensual!P234, 2)</f>
        <v/>
      </c>
      <c r="N234" s="29">
        <f>ROUND(Intereses_Leasing_Mensual!Q234 + Intereses_Residual_Mensual!Q234, 2)</f>
        <v/>
      </c>
      <c r="O234" s="29">
        <f>ROUND(Intereses_Leasing_Mensual!R234 + Intereses_Residual_Mensual!R234, 2)</f>
        <v/>
      </c>
      <c r="P234" s="29">
        <f>ROUND(Intereses_Leasing_Mensual!S234 + Intereses_Residual_Mensual!S234, 2)</f>
        <v/>
      </c>
      <c r="Q234" s="29">
        <f>ROUND(Intereses_Leasing_Mensual!T234 + Intereses_Residual_Mensual!T234, 2)</f>
        <v/>
      </c>
      <c r="R234" s="29">
        <f>SUM(F234:Q234)</f>
        <v/>
      </c>
    </row>
    <row r="235">
      <c r="A235" s="20" t="inlineStr">
        <is>
          <t>0748-0001</t>
        </is>
      </c>
      <c r="B235" s="21" t="inlineStr">
        <is>
          <t>Carlos Guerra Iñiguez</t>
        </is>
      </c>
      <c r="C235" s="21" t="inlineStr">
        <is>
          <t>L200 GLX</t>
        </is>
      </c>
      <c r="D235" s="20" t="inlineStr">
        <is>
          <t>ACTIVO</t>
        </is>
      </c>
      <c r="E235" s="22" t="n">
        <v>48</v>
      </c>
      <c r="F235" s="23" t="inlineStr"/>
      <c r="G235" s="23" t="inlineStr"/>
      <c r="H235" s="23">
        <f>ROUND(Intereses_Leasing_Mensual!K235 + Intereses_Residual_Mensual!K235, 2)</f>
        <v/>
      </c>
      <c r="I235" s="23">
        <f>ROUND(Intereses_Leasing_Mensual!L235 + Intereses_Residual_Mensual!L235, 2)</f>
        <v/>
      </c>
      <c r="J235" s="23">
        <f>ROUND(Intereses_Leasing_Mensual!M235 + Intereses_Residual_Mensual!M235, 2)</f>
        <v/>
      </c>
      <c r="K235" s="23">
        <f>ROUND(Intereses_Leasing_Mensual!N235 + Intereses_Residual_Mensual!N235, 2)</f>
        <v/>
      </c>
      <c r="L235" s="23">
        <f>ROUND(Intereses_Leasing_Mensual!O235 + Intereses_Residual_Mensual!O235, 2)</f>
        <v/>
      </c>
      <c r="M235" s="23">
        <f>ROUND(Intereses_Leasing_Mensual!P235 + Intereses_Residual_Mensual!P235, 2)</f>
        <v/>
      </c>
      <c r="N235" s="23">
        <f>ROUND(Intereses_Leasing_Mensual!Q235 + Intereses_Residual_Mensual!Q235, 2)</f>
        <v/>
      </c>
      <c r="O235" s="23">
        <f>ROUND(Intereses_Leasing_Mensual!R235 + Intereses_Residual_Mensual!R235, 2)</f>
        <v/>
      </c>
      <c r="P235" s="23">
        <f>ROUND(Intereses_Leasing_Mensual!S235 + Intereses_Residual_Mensual!S235, 2)</f>
        <v/>
      </c>
      <c r="Q235" s="23">
        <f>ROUND(Intereses_Leasing_Mensual!T235 + Intereses_Residual_Mensual!T235, 2)</f>
        <v/>
      </c>
      <c r="R235" s="23">
        <f>SUM(F235:Q235)</f>
        <v/>
      </c>
    </row>
    <row r="236">
      <c r="A236" s="26" t="inlineStr">
        <is>
          <t>0749-0001</t>
        </is>
      </c>
      <c r="B236" s="27" t="inlineStr">
        <is>
          <t>Álvarez Fletes Nacionales, S.C.</t>
        </is>
      </c>
      <c r="C236" s="27" t="inlineStr">
        <is>
          <t>RAM 700 TRADESMAN CC</t>
        </is>
      </c>
      <c r="D236" s="26" t="inlineStr">
        <is>
          <t>ACTIVO</t>
        </is>
      </c>
      <c r="E236" s="28" t="n">
        <v>36</v>
      </c>
      <c r="F236" s="29" t="inlineStr"/>
      <c r="G236" s="29" t="inlineStr"/>
      <c r="H236" s="29">
        <f>ROUND(Intereses_Leasing_Mensual!K236 + Intereses_Residual_Mensual!K236, 2)</f>
        <v/>
      </c>
      <c r="I236" s="29">
        <f>ROUND(Intereses_Leasing_Mensual!L236 + Intereses_Residual_Mensual!L236, 2)</f>
        <v/>
      </c>
      <c r="J236" s="29">
        <f>ROUND(Intereses_Leasing_Mensual!M236 + Intereses_Residual_Mensual!M236, 2)</f>
        <v/>
      </c>
      <c r="K236" s="29">
        <f>ROUND(Intereses_Leasing_Mensual!N236 + Intereses_Residual_Mensual!N236, 2)</f>
        <v/>
      </c>
      <c r="L236" s="29">
        <f>ROUND(Intereses_Leasing_Mensual!O236 + Intereses_Residual_Mensual!O236, 2)</f>
        <v/>
      </c>
      <c r="M236" s="29">
        <f>ROUND(Intereses_Leasing_Mensual!P236 + Intereses_Residual_Mensual!P236, 2)</f>
        <v/>
      </c>
      <c r="N236" s="29">
        <f>ROUND(Intereses_Leasing_Mensual!Q236 + Intereses_Residual_Mensual!Q236, 2)</f>
        <v/>
      </c>
      <c r="O236" s="29">
        <f>ROUND(Intereses_Leasing_Mensual!R236 + Intereses_Residual_Mensual!R236, 2)</f>
        <v/>
      </c>
      <c r="P236" s="29">
        <f>ROUND(Intereses_Leasing_Mensual!S236 + Intereses_Residual_Mensual!S236, 2)</f>
        <v/>
      </c>
      <c r="Q236" s="29">
        <f>ROUND(Intereses_Leasing_Mensual!T236 + Intereses_Residual_Mensual!T236, 2)</f>
        <v/>
      </c>
      <c r="R236" s="29">
        <f>SUM(F236:Q236)</f>
        <v/>
      </c>
    </row>
    <row r="237">
      <c r="A237" s="20" t="inlineStr">
        <is>
          <t>0749-0002</t>
        </is>
      </c>
      <c r="B237" s="21" t="inlineStr">
        <is>
          <t>Álvarez Fletes Nacionales, S.C.</t>
        </is>
      </c>
      <c r="C237" s="21" t="inlineStr">
        <is>
          <t>RAM 700 TRADESMAN CC</t>
        </is>
      </c>
      <c r="D237" s="20" t="inlineStr">
        <is>
          <t>ACTIVO</t>
        </is>
      </c>
      <c r="E237" s="22" t="n">
        <v>36</v>
      </c>
      <c r="F237" s="23" t="inlineStr"/>
      <c r="G237" s="23" t="inlineStr"/>
      <c r="H237" s="23">
        <f>ROUND(Intereses_Leasing_Mensual!K237 + Intereses_Residual_Mensual!K237, 2)</f>
        <v/>
      </c>
      <c r="I237" s="23">
        <f>ROUND(Intereses_Leasing_Mensual!L237 + Intereses_Residual_Mensual!L237, 2)</f>
        <v/>
      </c>
      <c r="J237" s="23">
        <f>ROUND(Intereses_Leasing_Mensual!M237 + Intereses_Residual_Mensual!M237, 2)</f>
        <v/>
      </c>
      <c r="K237" s="23">
        <f>ROUND(Intereses_Leasing_Mensual!N237 + Intereses_Residual_Mensual!N237, 2)</f>
        <v/>
      </c>
      <c r="L237" s="23">
        <f>ROUND(Intereses_Leasing_Mensual!O237 + Intereses_Residual_Mensual!O237, 2)</f>
        <v/>
      </c>
      <c r="M237" s="23">
        <f>ROUND(Intereses_Leasing_Mensual!P237 + Intereses_Residual_Mensual!P237, 2)</f>
        <v/>
      </c>
      <c r="N237" s="23">
        <f>ROUND(Intereses_Leasing_Mensual!Q237 + Intereses_Residual_Mensual!Q237, 2)</f>
        <v/>
      </c>
      <c r="O237" s="23">
        <f>ROUND(Intereses_Leasing_Mensual!R237 + Intereses_Residual_Mensual!R237, 2)</f>
        <v/>
      </c>
      <c r="P237" s="23">
        <f>ROUND(Intereses_Leasing_Mensual!S237 + Intereses_Residual_Mensual!S237, 2)</f>
        <v/>
      </c>
      <c r="Q237" s="23">
        <f>ROUND(Intereses_Leasing_Mensual!T237 + Intereses_Residual_Mensual!T237, 2)</f>
        <v/>
      </c>
      <c r="R237" s="23">
        <f>SUM(F237:Q237)</f>
        <v/>
      </c>
    </row>
    <row r="238">
      <c r="A238" s="26" t="inlineStr">
        <is>
          <t>0750-0001</t>
        </is>
      </c>
      <c r="B238" s="27" t="inlineStr">
        <is>
          <t>Idea Gelato S de RL de CV</t>
        </is>
      </c>
      <c r="C238" s="27" t="inlineStr">
        <is>
          <t>Expert Furgon</t>
        </is>
      </c>
      <c r="D238" s="26" t="inlineStr">
        <is>
          <t>ACTIVO</t>
        </is>
      </c>
      <c r="E238" s="28" t="n">
        <v>24</v>
      </c>
      <c r="F238" s="29" t="inlineStr"/>
      <c r="G238" s="29" t="inlineStr"/>
      <c r="H238" s="29">
        <f>ROUND(Intereses_Leasing_Mensual!K238 + Intereses_Residual_Mensual!K238, 2)</f>
        <v/>
      </c>
      <c r="I238" s="29">
        <f>ROUND(Intereses_Leasing_Mensual!L238 + Intereses_Residual_Mensual!L238, 2)</f>
        <v/>
      </c>
      <c r="J238" s="29">
        <f>ROUND(Intereses_Leasing_Mensual!M238 + Intereses_Residual_Mensual!M238, 2)</f>
        <v/>
      </c>
      <c r="K238" s="29">
        <f>ROUND(Intereses_Leasing_Mensual!N238 + Intereses_Residual_Mensual!N238, 2)</f>
        <v/>
      </c>
      <c r="L238" s="29">
        <f>ROUND(Intereses_Leasing_Mensual!O238 + Intereses_Residual_Mensual!O238, 2)</f>
        <v/>
      </c>
      <c r="M238" s="29">
        <f>ROUND(Intereses_Leasing_Mensual!P238 + Intereses_Residual_Mensual!P238, 2)</f>
        <v/>
      </c>
      <c r="N238" s="29">
        <f>ROUND(Intereses_Leasing_Mensual!Q238 + Intereses_Residual_Mensual!Q238, 2)</f>
        <v/>
      </c>
      <c r="O238" s="29">
        <f>ROUND(Intereses_Leasing_Mensual!R238 + Intereses_Residual_Mensual!R238, 2)</f>
        <v/>
      </c>
      <c r="P238" s="29">
        <f>ROUND(Intereses_Leasing_Mensual!S238 + Intereses_Residual_Mensual!S238, 2)</f>
        <v/>
      </c>
      <c r="Q238" s="29">
        <f>ROUND(Intereses_Leasing_Mensual!T238 + Intereses_Residual_Mensual!T238, 2)</f>
        <v/>
      </c>
      <c r="R238" s="29">
        <f>SUM(F238:Q238)</f>
        <v/>
      </c>
    </row>
    <row r="239">
      <c r="A239" s="20" t="inlineStr">
        <is>
          <t>0752-0001</t>
        </is>
      </c>
      <c r="B239" s="21" t="inlineStr">
        <is>
          <t>Fernando Plasencia Lopez</t>
        </is>
      </c>
      <c r="C239" s="21" t="inlineStr">
        <is>
          <t>Grand Cherokee Limited</t>
        </is>
      </c>
      <c r="D239" s="20" t="inlineStr">
        <is>
          <t>ACTIVO</t>
        </is>
      </c>
      <c r="E239" s="22" t="n">
        <v>24</v>
      </c>
      <c r="F239" s="23" t="inlineStr"/>
      <c r="G239" s="23" t="inlineStr"/>
      <c r="H239" s="23">
        <f>ROUND(Intereses_Leasing_Mensual!K239 + Intereses_Residual_Mensual!K239, 2)</f>
        <v/>
      </c>
      <c r="I239" s="23">
        <f>ROUND(Intereses_Leasing_Mensual!L239 + Intereses_Residual_Mensual!L239, 2)</f>
        <v/>
      </c>
      <c r="J239" s="23">
        <f>ROUND(Intereses_Leasing_Mensual!M239 + Intereses_Residual_Mensual!M239, 2)</f>
        <v/>
      </c>
      <c r="K239" s="23">
        <f>ROUND(Intereses_Leasing_Mensual!N239 + Intereses_Residual_Mensual!N239, 2)</f>
        <v/>
      </c>
      <c r="L239" s="23">
        <f>ROUND(Intereses_Leasing_Mensual!O239 + Intereses_Residual_Mensual!O239, 2)</f>
        <v/>
      </c>
      <c r="M239" s="23">
        <f>ROUND(Intereses_Leasing_Mensual!P239 + Intereses_Residual_Mensual!P239, 2)</f>
        <v/>
      </c>
      <c r="N239" s="23">
        <f>ROUND(Intereses_Leasing_Mensual!Q239 + Intereses_Residual_Mensual!Q239, 2)</f>
        <v/>
      </c>
      <c r="O239" s="23">
        <f>ROUND(Intereses_Leasing_Mensual!R239 + Intereses_Residual_Mensual!R239, 2)</f>
        <v/>
      </c>
      <c r="P239" s="23">
        <f>ROUND(Intereses_Leasing_Mensual!S239 + Intereses_Residual_Mensual!S239, 2)</f>
        <v/>
      </c>
      <c r="Q239" s="23">
        <f>ROUND(Intereses_Leasing_Mensual!T239 + Intereses_Residual_Mensual!T239, 2)</f>
        <v/>
      </c>
      <c r="R239" s="23">
        <f>SUM(F239:Q239)</f>
        <v/>
      </c>
    </row>
    <row r="240">
      <c r="A240" s="26" t="inlineStr">
        <is>
          <t>0752-0002</t>
        </is>
      </c>
      <c r="B240" s="27" t="inlineStr">
        <is>
          <t>Fernando Plasencia Lopez</t>
        </is>
      </c>
      <c r="C240" s="27" t="inlineStr">
        <is>
          <t>Grand Cherokee Altitude</t>
        </is>
      </c>
      <c r="D240" s="26" t="inlineStr">
        <is>
          <t>ACTIVO</t>
        </is>
      </c>
      <c r="E240" s="28" t="n">
        <v>24</v>
      </c>
      <c r="F240" s="29" t="inlineStr"/>
      <c r="G240" s="29" t="inlineStr"/>
      <c r="H240" s="29">
        <f>ROUND(Intereses_Leasing_Mensual!K240 + Intereses_Residual_Mensual!K240, 2)</f>
        <v/>
      </c>
      <c r="I240" s="29">
        <f>ROUND(Intereses_Leasing_Mensual!L240 + Intereses_Residual_Mensual!L240, 2)</f>
        <v/>
      </c>
      <c r="J240" s="29">
        <f>ROUND(Intereses_Leasing_Mensual!M240 + Intereses_Residual_Mensual!M240, 2)</f>
        <v/>
      </c>
      <c r="K240" s="29">
        <f>ROUND(Intereses_Leasing_Mensual!N240 + Intereses_Residual_Mensual!N240, 2)</f>
        <v/>
      </c>
      <c r="L240" s="29">
        <f>ROUND(Intereses_Leasing_Mensual!O240 + Intereses_Residual_Mensual!O240, 2)</f>
        <v/>
      </c>
      <c r="M240" s="29">
        <f>ROUND(Intereses_Leasing_Mensual!P240 + Intereses_Residual_Mensual!P240, 2)</f>
        <v/>
      </c>
      <c r="N240" s="29">
        <f>ROUND(Intereses_Leasing_Mensual!Q240 + Intereses_Residual_Mensual!Q240, 2)</f>
        <v/>
      </c>
      <c r="O240" s="29">
        <f>ROUND(Intereses_Leasing_Mensual!R240 + Intereses_Residual_Mensual!R240, 2)</f>
        <v/>
      </c>
      <c r="P240" s="29">
        <f>ROUND(Intereses_Leasing_Mensual!S240 + Intereses_Residual_Mensual!S240, 2)</f>
        <v/>
      </c>
      <c r="Q240" s="29">
        <f>ROUND(Intereses_Leasing_Mensual!T240 + Intereses_Residual_Mensual!T240, 2)</f>
        <v/>
      </c>
      <c r="R240" s="29">
        <f>SUM(F240:Q240)</f>
        <v/>
      </c>
    </row>
    <row r="241">
      <c r="A241" s="20" t="inlineStr">
        <is>
          <t>0752-0003</t>
        </is>
      </c>
      <c r="B241" s="21" t="inlineStr">
        <is>
          <t>Fernando Plasencia Lopez</t>
        </is>
      </c>
      <c r="C241" s="21" t="inlineStr">
        <is>
          <t>Grand Cherokee Summit</t>
        </is>
      </c>
      <c r="D241" s="20" t="inlineStr">
        <is>
          <t>ACTIVO</t>
        </is>
      </c>
      <c r="E241" s="22" t="n">
        <v>24</v>
      </c>
      <c r="F241" s="23" t="inlineStr"/>
      <c r="G241" s="23" t="inlineStr"/>
      <c r="H241" s="23" t="inlineStr"/>
      <c r="I241" s="23" t="inlineStr"/>
      <c r="J241" s="23">
        <f>ROUND(Intereses_Leasing_Mensual!M241 + Intereses_Residual_Mensual!M241, 2)</f>
        <v/>
      </c>
      <c r="K241" s="23">
        <f>ROUND(Intereses_Leasing_Mensual!N241 + Intereses_Residual_Mensual!N241, 2)</f>
        <v/>
      </c>
      <c r="L241" s="23">
        <f>ROUND(Intereses_Leasing_Mensual!O241 + Intereses_Residual_Mensual!O241, 2)</f>
        <v/>
      </c>
      <c r="M241" s="23">
        <f>ROUND(Intereses_Leasing_Mensual!P241 + Intereses_Residual_Mensual!P241, 2)</f>
        <v/>
      </c>
      <c r="N241" s="23">
        <f>ROUND(Intereses_Leasing_Mensual!Q241 + Intereses_Residual_Mensual!Q241, 2)</f>
        <v/>
      </c>
      <c r="O241" s="23">
        <f>ROUND(Intereses_Leasing_Mensual!R241 + Intereses_Residual_Mensual!R241, 2)</f>
        <v/>
      </c>
      <c r="P241" s="23">
        <f>ROUND(Intereses_Leasing_Mensual!S241 + Intereses_Residual_Mensual!S241, 2)</f>
        <v/>
      </c>
      <c r="Q241" s="23">
        <f>ROUND(Intereses_Leasing_Mensual!T241 + Intereses_Residual_Mensual!T241, 2)</f>
        <v/>
      </c>
      <c r="R241" s="23">
        <f>SUM(F241:Q241)</f>
        <v/>
      </c>
    </row>
    <row r="242">
      <c r="A242" s="26" t="inlineStr">
        <is>
          <t>0752-0004</t>
        </is>
      </c>
      <c r="B242" s="27" t="inlineStr">
        <is>
          <t>Fernando Plasencia Lopez</t>
        </is>
      </c>
      <c r="C242" s="27" t="inlineStr">
        <is>
          <t>1200 BIGHORN CC</t>
        </is>
      </c>
      <c r="D242" s="26" t="inlineStr">
        <is>
          <t>ACTIVO</t>
        </is>
      </c>
      <c r="E242" s="28" t="n">
        <v>48</v>
      </c>
      <c r="F242" s="29" t="inlineStr"/>
      <c r="G242" s="29" t="inlineStr"/>
      <c r="H242" s="29" t="inlineStr"/>
      <c r="I242" s="29" t="inlineStr"/>
      <c r="J242" s="29" t="inlineStr"/>
      <c r="K242" s="29">
        <f>ROUND(Intereses_Leasing_Mensual!N242 + Intereses_Residual_Mensual!N242, 2)</f>
        <v/>
      </c>
      <c r="L242" s="29">
        <f>ROUND(Intereses_Leasing_Mensual!O242 + Intereses_Residual_Mensual!O242, 2)</f>
        <v/>
      </c>
      <c r="M242" s="29">
        <f>ROUND(Intereses_Leasing_Mensual!P242 + Intereses_Residual_Mensual!P242, 2)</f>
        <v/>
      </c>
      <c r="N242" s="29">
        <f>ROUND(Intereses_Leasing_Mensual!Q242 + Intereses_Residual_Mensual!Q242, 2)</f>
        <v/>
      </c>
      <c r="O242" s="29">
        <f>ROUND(Intereses_Leasing_Mensual!R242 + Intereses_Residual_Mensual!R242, 2)</f>
        <v/>
      </c>
      <c r="P242" s="29">
        <f>ROUND(Intereses_Leasing_Mensual!S242 + Intereses_Residual_Mensual!S242, 2)</f>
        <v/>
      </c>
      <c r="Q242" s="29">
        <f>ROUND(Intereses_Leasing_Mensual!T242 + Intereses_Residual_Mensual!T242, 2)</f>
        <v/>
      </c>
      <c r="R242" s="29">
        <f>SUM(F242:Q242)</f>
        <v/>
      </c>
    </row>
    <row r="243">
      <c r="A243" s="20" t="inlineStr">
        <is>
          <t>0752-0005</t>
        </is>
      </c>
      <c r="B243" s="21" t="inlineStr">
        <is>
          <t>Fernando Plasencia Lopez</t>
        </is>
      </c>
      <c r="C243" s="21" t="inlineStr">
        <is>
          <t>Grand Charokee Altitude</t>
        </is>
      </c>
      <c r="D243" s="20" t="inlineStr">
        <is>
          <t>ACTIVO</t>
        </is>
      </c>
      <c r="E243" s="22" t="n">
        <v>24</v>
      </c>
      <c r="F243" s="23" t="inlineStr"/>
      <c r="G243" s="23" t="inlineStr"/>
      <c r="H243" s="23" t="inlineStr"/>
      <c r="I243" s="23" t="inlineStr"/>
      <c r="J243" s="23" t="inlineStr"/>
      <c r="K243" s="23">
        <f>ROUND(Intereses_Leasing_Mensual!N243 + Intereses_Residual_Mensual!N243, 2)</f>
        <v/>
      </c>
      <c r="L243" s="23">
        <f>ROUND(Intereses_Leasing_Mensual!O243 + Intereses_Residual_Mensual!O243, 2)</f>
        <v/>
      </c>
      <c r="M243" s="23">
        <f>ROUND(Intereses_Leasing_Mensual!P243 + Intereses_Residual_Mensual!P243, 2)</f>
        <v/>
      </c>
      <c r="N243" s="23">
        <f>ROUND(Intereses_Leasing_Mensual!Q243 + Intereses_Residual_Mensual!Q243, 2)</f>
        <v/>
      </c>
      <c r="O243" s="23">
        <f>ROUND(Intereses_Leasing_Mensual!R243 + Intereses_Residual_Mensual!R243, 2)</f>
        <v/>
      </c>
      <c r="P243" s="23">
        <f>ROUND(Intereses_Leasing_Mensual!S243 + Intereses_Residual_Mensual!S243, 2)</f>
        <v/>
      </c>
      <c r="Q243" s="23">
        <f>ROUND(Intereses_Leasing_Mensual!T243 + Intereses_Residual_Mensual!T243, 2)</f>
        <v/>
      </c>
      <c r="R243" s="23">
        <f>SUM(F243:Q243)</f>
        <v/>
      </c>
    </row>
    <row r="244">
      <c r="A244" s="26" t="inlineStr">
        <is>
          <t>0753-0001</t>
        </is>
      </c>
      <c r="B244" s="27" t="inlineStr">
        <is>
          <t>Milodi Seguridad Privada</t>
        </is>
      </c>
      <c r="C244" s="27" t="inlineStr">
        <is>
          <t>Alsvin</t>
        </is>
      </c>
      <c r="D244" s="26" t="inlineStr">
        <is>
          <t>ACTIVO</t>
        </is>
      </c>
      <c r="E244" s="28" t="n">
        <v>36</v>
      </c>
      <c r="F244" s="29" t="inlineStr"/>
      <c r="G244" s="29" t="inlineStr"/>
      <c r="H244" s="29">
        <f>ROUND(Intereses_Leasing_Mensual!K244 + Intereses_Residual_Mensual!K244, 2)</f>
        <v/>
      </c>
      <c r="I244" s="29">
        <f>ROUND(Intereses_Leasing_Mensual!L244 + Intereses_Residual_Mensual!L244, 2)</f>
        <v/>
      </c>
      <c r="J244" s="29">
        <f>ROUND(Intereses_Leasing_Mensual!M244 + Intereses_Residual_Mensual!M244, 2)</f>
        <v/>
      </c>
      <c r="K244" s="29">
        <f>ROUND(Intereses_Leasing_Mensual!N244 + Intereses_Residual_Mensual!N244, 2)</f>
        <v/>
      </c>
      <c r="L244" s="29">
        <f>ROUND(Intereses_Leasing_Mensual!O244 + Intereses_Residual_Mensual!O244, 2)</f>
        <v/>
      </c>
      <c r="M244" s="29">
        <f>ROUND(Intereses_Leasing_Mensual!P244 + Intereses_Residual_Mensual!P244, 2)</f>
        <v/>
      </c>
      <c r="N244" s="29">
        <f>ROUND(Intereses_Leasing_Mensual!Q244 + Intereses_Residual_Mensual!Q244, 2)</f>
        <v/>
      </c>
      <c r="O244" s="29">
        <f>ROUND(Intereses_Leasing_Mensual!R244 + Intereses_Residual_Mensual!R244, 2)</f>
        <v/>
      </c>
      <c r="P244" s="29">
        <f>ROUND(Intereses_Leasing_Mensual!S244 + Intereses_Residual_Mensual!S244, 2)</f>
        <v/>
      </c>
      <c r="Q244" s="29">
        <f>ROUND(Intereses_Leasing_Mensual!T244 + Intereses_Residual_Mensual!T244, 2)</f>
        <v/>
      </c>
      <c r="R244" s="29">
        <f>SUM(F244:Q244)</f>
        <v/>
      </c>
    </row>
    <row r="245">
      <c r="A245" s="20" t="inlineStr">
        <is>
          <t>0753-0003</t>
        </is>
      </c>
      <c r="B245" s="21" t="inlineStr">
        <is>
          <t>Milodi Seguridad Privada</t>
        </is>
      </c>
      <c r="C245" s="21" t="inlineStr">
        <is>
          <t>CS35</t>
        </is>
      </c>
      <c r="D245" s="20" t="inlineStr">
        <is>
          <t>ACTIVO</t>
        </is>
      </c>
      <c r="E245" s="22" t="n">
        <v>36</v>
      </c>
      <c r="F245" s="23" t="inlineStr"/>
      <c r="G245" s="23" t="inlineStr"/>
      <c r="H245" s="23" t="inlineStr"/>
      <c r="I245" s="23" t="inlineStr"/>
      <c r="J245" s="23" t="inlineStr"/>
      <c r="K245" s="23">
        <f>ROUND(Intereses_Leasing_Mensual!N245 + Intereses_Residual_Mensual!N245, 2)</f>
        <v/>
      </c>
      <c r="L245" s="23">
        <f>ROUND(Intereses_Leasing_Mensual!O245 + Intereses_Residual_Mensual!O245, 2)</f>
        <v/>
      </c>
      <c r="M245" s="23">
        <f>ROUND(Intereses_Leasing_Mensual!P245 + Intereses_Residual_Mensual!P245, 2)</f>
        <v/>
      </c>
      <c r="N245" s="23">
        <f>ROUND(Intereses_Leasing_Mensual!Q245 + Intereses_Residual_Mensual!Q245, 2)</f>
        <v/>
      </c>
      <c r="O245" s="23">
        <f>ROUND(Intereses_Leasing_Mensual!R245 + Intereses_Residual_Mensual!R245, 2)</f>
        <v/>
      </c>
      <c r="P245" s="23">
        <f>ROUND(Intereses_Leasing_Mensual!S245 + Intereses_Residual_Mensual!S245, 2)</f>
        <v/>
      </c>
      <c r="Q245" s="23">
        <f>ROUND(Intereses_Leasing_Mensual!T245 + Intereses_Residual_Mensual!T245, 2)</f>
        <v/>
      </c>
      <c r="R245" s="23">
        <f>SUM(F245:Q245)</f>
        <v/>
      </c>
    </row>
    <row r="246">
      <c r="A246" s="26" t="inlineStr">
        <is>
          <t>0754-0001</t>
        </is>
      </c>
      <c r="B246" s="27" t="inlineStr">
        <is>
          <t>Luis Guillermo Rios Villaseñor</t>
        </is>
      </c>
      <c r="C246" s="27" t="inlineStr">
        <is>
          <t>2008 GT</t>
        </is>
      </c>
      <c r="D246" s="26" t="inlineStr">
        <is>
          <t>ACTIVO</t>
        </is>
      </c>
      <c r="E246" s="28" t="n">
        <v>24</v>
      </c>
      <c r="F246" s="29" t="inlineStr"/>
      <c r="G246" s="29" t="inlineStr"/>
      <c r="H246" s="29" t="inlineStr"/>
      <c r="I246" s="29">
        <f>ROUND(Intereses_Leasing_Mensual!L246 + Intereses_Residual_Mensual!L246, 2)</f>
        <v/>
      </c>
      <c r="J246" s="29">
        <f>ROUND(Intereses_Leasing_Mensual!M246 + Intereses_Residual_Mensual!M246, 2)</f>
        <v/>
      </c>
      <c r="K246" s="29">
        <f>ROUND(Intereses_Leasing_Mensual!N246 + Intereses_Residual_Mensual!N246, 2)</f>
        <v/>
      </c>
      <c r="L246" s="29">
        <f>ROUND(Intereses_Leasing_Mensual!O246 + Intereses_Residual_Mensual!O246, 2)</f>
        <v/>
      </c>
      <c r="M246" s="29">
        <f>ROUND(Intereses_Leasing_Mensual!P246 + Intereses_Residual_Mensual!P246, 2)</f>
        <v/>
      </c>
      <c r="N246" s="29">
        <f>ROUND(Intereses_Leasing_Mensual!Q246 + Intereses_Residual_Mensual!Q246, 2)</f>
        <v/>
      </c>
      <c r="O246" s="29">
        <f>ROUND(Intereses_Leasing_Mensual!R246 + Intereses_Residual_Mensual!R246, 2)</f>
        <v/>
      </c>
      <c r="P246" s="29">
        <f>ROUND(Intereses_Leasing_Mensual!S246 + Intereses_Residual_Mensual!S246, 2)</f>
        <v/>
      </c>
      <c r="Q246" s="29">
        <f>ROUND(Intereses_Leasing_Mensual!T246 + Intereses_Residual_Mensual!T246, 2)</f>
        <v/>
      </c>
      <c r="R246" s="29">
        <f>SUM(F246:Q246)</f>
        <v/>
      </c>
    </row>
    <row r="247">
      <c r="A247" s="20" t="inlineStr">
        <is>
          <t>0755-0001</t>
        </is>
      </c>
      <c r="B247" s="21" t="inlineStr">
        <is>
          <t>Abiam Antonio Reyna Aguilar</t>
        </is>
      </c>
      <c r="C247" s="21" t="inlineStr">
        <is>
          <t>1500 RHO</t>
        </is>
      </c>
      <c r="D247" s="20" t="inlineStr">
        <is>
          <t>ACTIVO</t>
        </is>
      </c>
      <c r="E247" s="22" t="n">
        <v>12</v>
      </c>
      <c r="F247" s="23" t="inlineStr"/>
      <c r="G247" s="23" t="inlineStr"/>
      <c r="H247" s="23" t="inlineStr"/>
      <c r="I247" s="23">
        <f>ROUND(Intereses_Leasing_Mensual!L247 + Intereses_Residual_Mensual!L247, 2)</f>
        <v/>
      </c>
      <c r="J247" s="23">
        <f>ROUND(Intereses_Leasing_Mensual!M247 + Intereses_Residual_Mensual!M247, 2)</f>
        <v/>
      </c>
      <c r="K247" s="23">
        <f>ROUND(Intereses_Leasing_Mensual!N247 + Intereses_Residual_Mensual!N247, 2)</f>
        <v/>
      </c>
      <c r="L247" s="23">
        <f>ROUND(Intereses_Leasing_Mensual!O247 + Intereses_Residual_Mensual!O247, 2)</f>
        <v/>
      </c>
      <c r="M247" s="23">
        <f>ROUND(Intereses_Leasing_Mensual!P247 + Intereses_Residual_Mensual!P247, 2)</f>
        <v/>
      </c>
      <c r="N247" s="23">
        <f>ROUND(Intereses_Leasing_Mensual!Q247 + Intereses_Residual_Mensual!Q247, 2)</f>
        <v/>
      </c>
      <c r="O247" s="23">
        <f>ROUND(Intereses_Leasing_Mensual!R247 + Intereses_Residual_Mensual!R247, 2)</f>
        <v/>
      </c>
      <c r="P247" s="23">
        <f>ROUND(Intereses_Leasing_Mensual!S247 + Intereses_Residual_Mensual!S247, 2)</f>
        <v/>
      </c>
      <c r="Q247" s="23">
        <f>ROUND(Intereses_Leasing_Mensual!T247 + Intereses_Residual_Mensual!T247, 2)</f>
        <v/>
      </c>
      <c r="R247" s="23">
        <f>SUM(F247:Q247)</f>
        <v/>
      </c>
    </row>
    <row r="248">
      <c r="A248" s="26" t="inlineStr">
        <is>
          <t>0756-0001</t>
        </is>
      </c>
      <c r="B248" s="27" t="inlineStr">
        <is>
          <t>Agricola Hortiberry, S.A. de C.V.</t>
        </is>
      </c>
      <c r="C248" s="27" t="inlineStr">
        <is>
          <t>1200  Tradesman Chasis Cabina</t>
        </is>
      </c>
      <c r="D248" s="26" t="inlineStr">
        <is>
          <t>ACTIVO</t>
        </is>
      </c>
      <c r="E248" s="28" t="n">
        <v>48</v>
      </c>
      <c r="F248" s="29" t="inlineStr"/>
      <c r="G248" s="29" t="inlineStr"/>
      <c r="H248" s="29" t="inlineStr"/>
      <c r="I248" s="29" t="inlineStr"/>
      <c r="J248" s="29">
        <f>ROUND(Intereses_Leasing_Mensual!M248 + Intereses_Residual_Mensual!M248, 2)</f>
        <v/>
      </c>
      <c r="K248" s="29">
        <f>ROUND(Intereses_Leasing_Mensual!N248 + Intereses_Residual_Mensual!N248, 2)</f>
        <v/>
      </c>
      <c r="L248" s="29">
        <f>ROUND(Intereses_Leasing_Mensual!O248 + Intereses_Residual_Mensual!O248, 2)</f>
        <v/>
      </c>
      <c r="M248" s="29">
        <f>ROUND(Intereses_Leasing_Mensual!P248 + Intereses_Residual_Mensual!P248, 2)</f>
        <v/>
      </c>
      <c r="N248" s="29">
        <f>ROUND(Intereses_Leasing_Mensual!Q248 + Intereses_Residual_Mensual!Q248, 2)</f>
        <v/>
      </c>
      <c r="O248" s="29">
        <f>ROUND(Intereses_Leasing_Mensual!R248 + Intereses_Residual_Mensual!R248, 2)</f>
        <v/>
      </c>
      <c r="P248" s="29">
        <f>ROUND(Intereses_Leasing_Mensual!S248 + Intereses_Residual_Mensual!S248, 2)</f>
        <v/>
      </c>
      <c r="Q248" s="29">
        <f>ROUND(Intereses_Leasing_Mensual!T248 + Intereses_Residual_Mensual!T248, 2)</f>
        <v/>
      </c>
      <c r="R248" s="29">
        <f>SUM(F248:Q248)</f>
        <v/>
      </c>
    </row>
    <row r="249">
      <c r="A249" s="20" t="inlineStr">
        <is>
          <t>0757-0001</t>
        </is>
      </c>
      <c r="B249" s="21" t="inlineStr">
        <is>
          <t>Corporativo de Servicios Integrales de Occidente, S.A. de C.V.</t>
        </is>
      </c>
      <c r="C249" s="21" t="inlineStr">
        <is>
          <t>CX5</t>
        </is>
      </c>
      <c r="D249" s="20" t="inlineStr">
        <is>
          <t>ACTIVO</t>
        </is>
      </c>
      <c r="E249" s="22" t="n">
        <v>24</v>
      </c>
      <c r="F249" s="23" t="inlineStr"/>
      <c r="G249" s="23" t="inlineStr"/>
      <c r="H249" s="23" t="inlineStr"/>
      <c r="I249" s="23" t="inlineStr"/>
      <c r="J249" s="23">
        <f>ROUND(Intereses_Leasing_Mensual!M249 + Intereses_Residual_Mensual!M249, 2)</f>
        <v/>
      </c>
      <c r="K249" s="23">
        <f>ROUND(Intereses_Leasing_Mensual!N249 + Intereses_Residual_Mensual!N249, 2)</f>
        <v/>
      </c>
      <c r="L249" s="23">
        <f>ROUND(Intereses_Leasing_Mensual!O249 + Intereses_Residual_Mensual!O249, 2)</f>
        <v/>
      </c>
      <c r="M249" s="23">
        <f>ROUND(Intereses_Leasing_Mensual!P249 + Intereses_Residual_Mensual!P249, 2)</f>
        <v/>
      </c>
      <c r="N249" s="23">
        <f>ROUND(Intereses_Leasing_Mensual!Q249 + Intereses_Residual_Mensual!Q249, 2)</f>
        <v/>
      </c>
      <c r="O249" s="23">
        <f>ROUND(Intereses_Leasing_Mensual!R249 + Intereses_Residual_Mensual!R249, 2)</f>
        <v/>
      </c>
      <c r="P249" s="23">
        <f>ROUND(Intereses_Leasing_Mensual!S249 + Intereses_Residual_Mensual!S249, 2)</f>
        <v/>
      </c>
      <c r="Q249" s="23">
        <f>ROUND(Intereses_Leasing_Mensual!T249 + Intereses_Residual_Mensual!T249, 2)</f>
        <v/>
      </c>
      <c r="R249" s="23">
        <f>SUM(F249:Q249)</f>
        <v/>
      </c>
    </row>
    <row r="250">
      <c r="A250" s="26" t="inlineStr">
        <is>
          <t>0757-0002</t>
        </is>
      </c>
      <c r="B250" s="27" t="inlineStr">
        <is>
          <t>Corporativo de Servicios Integrales de Occidente, S.A. de C.V.</t>
        </is>
      </c>
      <c r="C250" s="27" t="inlineStr">
        <is>
          <t>Leapmotor B10 2026</t>
        </is>
      </c>
      <c r="D250" s="26" t="inlineStr">
        <is>
          <t>ACTIVO</t>
        </is>
      </c>
      <c r="E250" s="28" t="n">
        <v>36</v>
      </c>
      <c r="F250" s="29" t="inlineStr"/>
      <c r="G250" s="29" t="inlineStr"/>
      <c r="H250" s="29" t="inlineStr"/>
      <c r="I250" s="29" t="inlineStr"/>
      <c r="J250" s="29" t="inlineStr"/>
      <c r="K250" s="29" t="inlineStr"/>
      <c r="L250" s="29">
        <f>ROUND(Intereses_Leasing_Mensual!O250 + Intereses_Residual_Mensual!O250, 2)</f>
        <v/>
      </c>
      <c r="M250" s="29">
        <f>ROUND(Intereses_Leasing_Mensual!P250 + Intereses_Residual_Mensual!P250, 2)</f>
        <v/>
      </c>
      <c r="N250" s="29">
        <f>ROUND(Intereses_Leasing_Mensual!Q250 + Intereses_Residual_Mensual!Q250, 2)</f>
        <v/>
      </c>
      <c r="O250" s="29">
        <f>ROUND(Intereses_Leasing_Mensual!R250 + Intereses_Residual_Mensual!R250, 2)</f>
        <v/>
      </c>
      <c r="P250" s="29">
        <f>ROUND(Intereses_Leasing_Mensual!S250 + Intereses_Residual_Mensual!S250, 2)</f>
        <v/>
      </c>
      <c r="Q250" s="29">
        <f>ROUND(Intereses_Leasing_Mensual!T250 + Intereses_Residual_Mensual!T250, 2)</f>
        <v/>
      </c>
      <c r="R250" s="29">
        <f>SUM(F250:Q250)</f>
        <v/>
      </c>
    </row>
    <row r="251">
      <c r="A251" s="20" t="inlineStr">
        <is>
          <t>0758-0001</t>
        </is>
      </c>
      <c r="B251" s="21" t="inlineStr">
        <is>
          <t>Comedores y Servicios Industriales CAMSAA, S.A. de C.V.</t>
        </is>
      </c>
      <c r="C251" s="21" t="inlineStr">
        <is>
          <t>Partner Rapid</t>
        </is>
      </c>
      <c r="D251" s="20" t="inlineStr">
        <is>
          <t>ACTIVO</t>
        </is>
      </c>
      <c r="E251" s="22" t="n">
        <v>24</v>
      </c>
      <c r="F251" s="23" t="inlineStr"/>
      <c r="G251" s="23" t="inlineStr"/>
      <c r="H251" s="23" t="inlineStr"/>
      <c r="I251" s="23" t="inlineStr"/>
      <c r="J251" s="23">
        <f>ROUND(Intereses_Leasing_Mensual!M251 + Intereses_Residual_Mensual!M251, 2)</f>
        <v/>
      </c>
      <c r="K251" s="23">
        <f>ROUND(Intereses_Leasing_Mensual!N251 + Intereses_Residual_Mensual!N251, 2)</f>
        <v/>
      </c>
      <c r="L251" s="23">
        <f>ROUND(Intereses_Leasing_Mensual!O251 + Intereses_Residual_Mensual!O251, 2)</f>
        <v/>
      </c>
      <c r="M251" s="23">
        <f>ROUND(Intereses_Leasing_Mensual!P251 + Intereses_Residual_Mensual!P251, 2)</f>
        <v/>
      </c>
      <c r="N251" s="23">
        <f>ROUND(Intereses_Leasing_Mensual!Q251 + Intereses_Residual_Mensual!Q251, 2)</f>
        <v/>
      </c>
      <c r="O251" s="23">
        <f>ROUND(Intereses_Leasing_Mensual!R251 + Intereses_Residual_Mensual!R251, 2)</f>
        <v/>
      </c>
      <c r="P251" s="23">
        <f>ROUND(Intereses_Leasing_Mensual!S251 + Intereses_Residual_Mensual!S251, 2)</f>
        <v/>
      </c>
      <c r="Q251" s="23">
        <f>ROUND(Intereses_Leasing_Mensual!T251 + Intereses_Residual_Mensual!T251, 2)</f>
        <v/>
      </c>
      <c r="R251" s="23">
        <f>SUM(F251:Q251)</f>
        <v/>
      </c>
    </row>
    <row r="252">
      <c r="A252" s="26" t="inlineStr">
        <is>
          <t>0759-0001</t>
        </is>
      </c>
      <c r="B252" s="27" t="inlineStr">
        <is>
          <t>Construcciones Ligeras Frin, S.A. de C.V.</t>
        </is>
      </c>
      <c r="C252" s="27" t="inlineStr">
        <is>
          <t>700 BIGHORN CREW CAB</t>
        </is>
      </c>
      <c r="D252" s="26" t="inlineStr">
        <is>
          <t>ACTIVO</t>
        </is>
      </c>
      <c r="E252" s="28" t="n">
        <v>36</v>
      </c>
      <c r="F252" s="29" t="inlineStr"/>
      <c r="G252" s="29" t="inlineStr"/>
      <c r="H252" s="29" t="inlineStr"/>
      <c r="I252" s="29" t="inlineStr"/>
      <c r="J252" s="29">
        <f>ROUND(Intereses_Leasing_Mensual!M252 + Intereses_Residual_Mensual!M252, 2)</f>
        <v/>
      </c>
      <c r="K252" s="29">
        <f>ROUND(Intereses_Leasing_Mensual!N252 + Intereses_Residual_Mensual!N252, 2)</f>
        <v/>
      </c>
      <c r="L252" s="29">
        <f>ROUND(Intereses_Leasing_Mensual!O252 + Intereses_Residual_Mensual!O252, 2)</f>
        <v/>
      </c>
      <c r="M252" s="29">
        <f>ROUND(Intereses_Leasing_Mensual!P252 + Intereses_Residual_Mensual!P252, 2)</f>
        <v/>
      </c>
      <c r="N252" s="29">
        <f>ROUND(Intereses_Leasing_Mensual!Q252 + Intereses_Residual_Mensual!Q252, 2)</f>
        <v/>
      </c>
      <c r="O252" s="29">
        <f>ROUND(Intereses_Leasing_Mensual!R252 + Intereses_Residual_Mensual!R252, 2)</f>
        <v/>
      </c>
      <c r="P252" s="29">
        <f>ROUND(Intereses_Leasing_Mensual!S252 + Intereses_Residual_Mensual!S252, 2)</f>
        <v/>
      </c>
      <c r="Q252" s="29">
        <f>ROUND(Intereses_Leasing_Mensual!T252 + Intereses_Residual_Mensual!T252, 2)</f>
        <v/>
      </c>
      <c r="R252" s="29">
        <f>SUM(F252:Q252)</f>
        <v/>
      </c>
    </row>
    <row r="253">
      <c r="A253" s="20" t="inlineStr">
        <is>
          <t>0759-0002</t>
        </is>
      </c>
      <c r="B253" s="21" t="inlineStr">
        <is>
          <t>Construcciones Ligeras Frin, S.A. de C.V.</t>
        </is>
      </c>
      <c r="C253" s="21" t="inlineStr">
        <is>
          <t>700 TRADESMAN CREW CAB</t>
        </is>
      </c>
      <c r="D253" s="20" t="inlineStr">
        <is>
          <t>ACTIVO</t>
        </is>
      </c>
      <c r="E253" s="22" t="n">
        <v>36</v>
      </c>
      <c r="F253" s="23" t="inlineStr"/>
      <c r="G253" s="23" t="inlineStr"/>
      <c r="H253" s="23" t="inlineStr"/>
      <c r="I253" s="23" t="inlineStr"/>
      <c r="J253" s="23">
        <f>ROUND(Intereses_Leasing_Mensual!M253 + Intereses_Residual_Mensual!M253, 2)</f>
        <v/>
      </c>
      <c r="K253" s="23">
        <f>ROUND(Intereses_Leasing_Mensual!N253 + Intereses_Residual_Mensual!N253, 2)</f>
        <v/>
      </c>
      <c r="L253" s="23">
        <f>ROUND(Intereses_Leasing_Mensual!O253 + Intereses_Residual_Mensual!O253, 2)</f>
        <v/>
      </c>
      <c r="M253" s="23">
        <f>ROUND(Intereses_Leasing_Mensual!P253 + Intereses_Residual_Mensual!P253, 2)</f>
        <v/>
      </c>
      <c r="N253" s="23">
        <f>ROUND(Intereses_Leasing_Mensual!Q253 + Intereses_Residual_Mensual!Q253, 2)</f>
        <v/>
      </c>
      <c r="O253" s="23">
        <f>ROUND(Intereses_Leasing_Mensual!R253 + Intereses_Residual_Mensual!R253, 2)</f>
        <v/>
      </c>
      <c r="P253" s="23">
        <f>ROUND(Intereses_Leasing_Mensual!S253 + Intereses_Residual_Mensual!S253, 2)</f>
        <v/>
      </c>
      <c r="Q253" s="23">
        <f>ROUND(Intereses_Leasing_Mensual!T253 + Intereses_Residual_Mensual!T253, 2)</f>
        <v/>
      </c>
      <c r="R253" s="23">
        <f>SUM(F253:Q253)</f>
        <v/>
      </c>
    </row>
    <row r="254">
      <c r="A254" s="26" t="inlineStr">
        <is>
          <t>0760-0001</t>
        </is>
      </c>
      <c r="B254" s="27" t="inlineStr">
        <is>
          <t>Armando Candelario Figueroa</t>
        </is>
      </c>
      <c r="C254" s="27" t="inlineStr">
        <is>
          <t>1200 TRADESMAN CHASIS CABINA</t>
        </is>
      </c>
      <c r="D254" s="26" t="inlineStr">
        <is>
          <t>ACTIVO</t>
        </is>
      </c>
      <c r="E254" s="28" t="n">
        <v>48</v>
      </c>
      <c r="F254" s="29" t="inlineStr"/>
      <c r="G254" s="29" t="inlineStr"/>
      <c r="H254" s="29" t="inlineStr"/>
      <c r="I254" s="29" t="inlineStr"/>
      <c r="J254" s="29">
        <f>ROUND(Intereses_Leasing_Mensual!M254 + Intereses_Residual_Mensual!M254, 2)</f>
        <v/>
      </c>
      <c r="K254" s="29">
        <f>ROUND(Intereses_Leasing_Mensual!N254 + Intereses_Residual_Mensual!N254, 2)</f>
        <v/>
      </c>
      <c r="L254" s="29">
        <f>ROUND(Intereses_Leasing_Mensual!O254 + Intereses_Residual_Mensual!O254, 2)</f>
        <v/>
      </c>
      <c r="M254" s="29">
        <f>ROUND(Intereses_Leasing_Mensual!P254 + Intereses_Residual_Mensual!P254, 2)</f>
        <v/>
      </c>
      <c r="N254" s="29">
        <f>ROUND(Intereses_Leasing_Mensual!Q254 + Intereses_Residual_Mensual!Q254, 2)</f>
        <v/>
      </c>
      <c r="O254" s="29">
        <f>ROUND(Intereses_Leasing_Mensual!R254 + Intereses_Residual_Mensual!R254, 2)</f>
        <v/>
      </c>
      <c r="P254" s="29">
        <f>ROUND(Intereses_Leasing_Mensual!S254 + Intereses_Residual_Mensual!S254, 2)</f>
        <v/>
      </c>
      <c r="Q254" s="29">
        <f>ROUND(Intereses_Leasing_Mensual!T254 + Intereses_Residual_Mensual!T254, 2)</f>
        <v/>
      </c>
      <c r="R254" s="29">
        <f>SUM(F254:Q254)</f>
        <v/>
      </c>
    </row>
    <row r="255">
      <c r="A255" s="20" t="inlineStr">
        <is>
          <t>0761-0001</t>
        </is>
      </c>
      <c r="B255" s="21" t="inlineStr">
        <is>
          <t>Total Experience Produce, S.A.P.I. de C.V.</t>
        </is>
      </c>
      <c r="C255" s="21" t="inlineStr">
        <is>
          <t>700 BIGHORN CREW CAB</t>
        </is>
      </c>
      <c r="D255" s="20" t="inlineStr">
        <is>
          <t>ACTIVO</t>
        </is>
      </c>
      <c r="E255" s="22" t="n">
        <v>48</v>
      </c>
      <c r="F255" s="23" t="inlineStr"/>
      <c r="G255" s="23" t="inlineStr"/>
      <c r="H255" s="23" t="inlineStr"/>
      <c r="I255" s="23" t="inlineStr"/>
      <c r="J255" s="23">
        <f>ROUND(Intereses_Leasing_Mensual!M255 + Intereses_Residual_Mensual!M255, 2)</f>
        <v/>
      </c>
      <c r="K255" s="23">
        <f>ROUND(Intereses_Leasing_Mensual!N255 + Intereses_Residual_Mensual!N255, 2)</f>
        <v/>
      </c>
      <c r="L255" s="23">
        <f>ROUND(Intereses_Leasing_Mensual!O255 + Intereses_Residual_Mensual!O255, 2)</f>
        <v/>
      </c>
      <c r="M255" s="23">
        <f>ROUND(Intereses_Leasing_Mensual!P255 + Intereses_Residual_Mensual!P255, 2)</f>
        <v/>
      </c>
      <c r="N255" s="23">
        <f>ROUND(Intereses_Leasing_Mensual!Q255 + Intereses_Residual_Mensual!Q255, 2)</f>
        <v/>
      </c>
      <c r="O255" s="23">
        <f>ROUND(Intereses_Leasing_Mensual!R255 + Intereses_Residual_Mensual!R255, 2)</f>
        <v/>
      </c>
      <c r="P255" s="23">
        <f>ROUND(Intereses_Leasing_Mensual!S255 + Intereses_Residual_Mensual!S255, 2)</f>
        <v/>
      </c>
      <c r="Q255" s="23">
        <f>ROUND(Intereses_Leasing_Mensual!T255 + Intereses_Residual_Mensual!T255, 2)</f>
        <v/>
      </c>
      <c r="R255" s="23">
        <f>SUM(F255:Q255)</f>
        <v/>
      </c>
    </row>
    <row r="256">
      <c r="A256" s="26" t="inlineStr">
        <is>
          <t>0763-0001</t>
        </is>
      </c>
      <c r="B256" s="27" t="inlineStr">
        <is>
          <t>Francisco Javier Fernández Gutiérrez</t>
        </is>
      </c>
      <c r="C256" s="27" t="inlineStr">
        <is>
          <t>1500 RHO</t>
        </is>
      </c>
      <c r="D256" s="26" t="inlineStr">
        <is>
          <t>ACTIVO</t>
        </is>
      </c>
      <c r="E256" s="28" t="n">
        <v>36</v>
      </c>
      <c r="F256" s="29" t="inlineStr"/>
      <c r="G256" s="29" t="inlineStr"/>
      <c r="H256" s="29" t="inlineStr"/>
      <c r="I256" s="29" t="inlineStr"/>
      <c r="J256" s="29">
        <f>ROUND(Intereses_Leasing_Mensual!M256 + Intereses_Residual_Mensual!M256, 2)</f>
        <v/>
      </c>
      <c r="K256" s="29">
        <f>ROUND(Intereses_Leasing_Mensual!N256 + Intereses_Residual_Mensual!N256, 2)</f>
        <v/>
      </c>
      <c r="L256" s="29">
        <f>ROUND(Intereses_Leasing_Mensual!O256 + Intereses_Residual_Mensual!O256, 2)</f>
        <v/>
      </c>
      <c r="M256" s="29">
        <f>ROUND(Intereses_Leasing_Mensual!P256 + Intereses_Residual_Mensual!P256, 2)</f>
        <v/>
      </c>
      <c r="N256" s="29">
        <f>ROUND(Intereses_Leasing_Mensual!Q256 + Intereses_Residual_Mensual!Q256, 2)</f>
        <v/>
      </c>
      <c r="O256" s="29">
        <f>ROUND(Intereses_Leasing_Mensual!R256 + Intereses_Residual_Mensual!R256, 2)</f>
        <v/>
      </c>
      <c r="P256" s="29">
        <f>ROUND(Intereses_Leasing_Mensual!S256 + Intereses_Residual_Mensual!S256, 2)</f>
        <v/>
      </c>
      <c r="Q256" s="29">
        <f>ROUND(Intereses_Leasing_Mensual!T256 + Intereses_Residual_Mensual!T256, 2)</f>
        <v/>
      </c>
      <c r="R256" s="29">
        <f>SUM(F256:Q256)</f>
        <v/>
      </c>
    </row>
    <row r="257">
      <c r="A257" s="20" t="inlineStr">
        <is>
          <t>0764-0001</t>
        </is>
      </c>
      <c r="B257" s="21" t="inlineStr">
        <is>
          <t>Inspectores Marítimos de México, S. de R.L. de C.V.</t>
        </is>
      </c>
      <c r="C257" s="21" t="inlineStr">
        <is>
          <t>1200 Bighorn</t>
        </is>
      </c>
      <c r="D257" s="20" t="inlineStr">
        <is>
          <t>ACTIVO</t>
        </is>
      </c>
      <c r="E257" s="22" t="n">
        <v>36</v>
      </c>
      <c r="F257" s="23" t="inlineStr"/>
      <c r="G257" s="23" t="inlineStr"/>
      <c r="H257" s="23" t="inlineStr"/>
      <c r="I257" s="23" t="inlineStr"/>
      <c r="J257" s="23" t="inlineStr"/>
      <c r="K257" s="23">
        <f>ROUND(Intereses_Leasing_Mensual!N257 + Intereses_Residual_Mensual!N257, 2)</f>
        <v/>
      </c>
      <c r="L257" s="23">
        <f>ROUND(Intereses_Leasing_Mensual!O257 + Intereses_Residual_Mensual!O257, 2)</f>
        <v/>
      </c>
      <c r="M257" s="23">
        <f>ROUND(Intereses_Leasing_Mensual!P257 + Intereses_Residual_Mensual!P257, 2)</f>
        <v/>
      </c>
      <c r="N257" s="23">
        <f>ROUND(Intereses_Leasing_Mensual!Q257 + Intereses_Residual_Mensual!Q257, 2)</f>
        <v/>
      </c>
      <c r="O257" s="23">
        <f>ROUND(Intereses_Leasing_Mensual!R257 + Intereses_Residual_Mensual!R257, 2)</f>
        <v/>
      </c>
      <c r="P257" s="23">
        <f>ROUND(Intereses_Leasing_Mensual!S257 + Intereses_Residual_Mensual!S257, 2)</f>
        <v/>
      </c>
      <c r="Q257" s="23">
        <f>ROUND(Intereses_Leasing_Mensual!T257 + Intereses_Residual_Mensual!T257, 2)</f>
        <v/>
      </c>
      <c r="R257" s="23">
        <f>SUM(F257:Q257)</f>
        <v/>
      </c>
    </row>
    <row r="258">
      <c r="A258" s="26" t="inlineStr">
        <is>
          <t>0765-0001</t>
        </is>
      </c>
      <c r="B258" s="27" t="inlineStr">
        <is>
          <t>Rafael Soltero Sánchez</t>
        </is>
      </c>
      <c r="C258" s="27" t="inlineStr">
        <is>
          <t>1200 Bighorn</t>
        </is>
      </c>
      <c r="D258" s="26" t="inlineStr">
        <is>
          <t>ACTIVO</t>
        </is>
      </c>
      <c r="E258" s="28" t="n">
        <v>48</v>
      </c>
      <c r="F258" s="29" t="inlineStr"/>
      <c r="G258" s="29" t="inlineStr"/>
      <c r="H258" s="29" t="inlineStr"/>
      <c r="I258" s="29" t="inlineStr"/>
      <c r="J258" s="29" t="inlineStr"/>
      <c r="K258" s="29">
        <f>ROUND(Intereses_Leasing_Mensual!N258 + Intereses_Residual_Mensual!N258, 2)</f>
        <v/>
      </c>
      <c r="L258" s="29">
        <f>ROUND(Intereses_Leasing_Mensual!O258 + Intereses_Residual_Mensual!O258, 2)</f>
        <v/>
      </c>
      <c r="M258" s="29">
        <f>ROUND(Intereses_Leasing_Mensual!P258 + Intereses_Residual_Mensual!P258, 2)</f>
        <v/>
      </c>
      <c r="N258" s="29">
        <f>ROUND(Intereses_Leasing_Mensual!Q258 + Intereses_Residual_Mensual!Q258, 2)</f>
        <v/>
      </c>
      <c r="O258" s="29">
        <f>ROUND(Intereses_Leasing_Mensual!R258 + Intereses_Residual_Mensual!R258, 2)</f>
        <v/>
      </c>
      <c r="P258" s="29">
        <f>ROUND(Intereses_Leasing_Mensual!S258 + Intereses_Residual_Mensual!S258, 2)</f>
        <v/>
      </c>
      <c r="Q258" s="29">
        <f>ROUND(Intereses_Leasing_Mensual!T258 + Intereses_Residual_Mensual!T258, 2)</f>
        <v/>
      </c>
      <c r="R258" s="29">
        <f>SUM(F258:Q258)</f>
        <v/>
      </c>
    </row>
    <row r="259">
      <c r="A259" s="20" t="inlineStr">
        <is>
          <t>0766-0001</t>
        </is>
      </c>
      <c r="B259" s="21" t="inlineStr">
        <is>
          <t>Javier Alejandro Carbajal Chávez</t>
        </is>
      </c>
      <c r="C259" s="21" t="inlineStr">
        <is>
          <t>Jt Rubicon</t>
        </is>
      </c>
      <c r="D259" s="20" t="inlineStr">
        <is>
          <t>ACTIVO</t>
        </is>
      </c>
      <c r="E259" s="22" t="n">
        <v>48</v>
      </c>
      <c r="F259" s="23" t="inlineStr"/>
      <c r="G259" s="23" t="inlineStr"/>
      <c r="H259" s="23" t="inlineStr"/>
      <c r="I259" s="23" t="inlineStr"/>
      <c r="J259" s="23" t="inlineStr"/>
      <c r="K259" s="23">
        <f>ROUND(Intereses_Leasing_Mensual!N259 + Intereses_Residual_Mensual!N259, 2)</f>
        <v/>
      </c>
      <c r="L259" s="23">
        <f>ROUND(Intereses_Leasing_Mensual!O259 + Intereses_Residual_Mensual!O259, 2)</f>
        <v/>
      </c>
      <c r="M259" s="23">
        <f>ROUND(Intereses_Leasing_Mensual!P259 + Intereses_Residual_Mensual!P259, 2)</f>
        <v/>
      </c>
      <c r="N259" s="23">
        <f>ROUND(Intereses_Leasing_Mensual!Q259 + Intereses_Residual_Mensual!Q259, 2)</f>
        <v/>
      </c>
      <c r="O259" s="23">
        <f>ROUND(Intereses_Leasing_Mensual!R259 + Intereses_Residual_Mensual!R259, 2)</f>
        <v/>
      </c>
      <c r="P259" s="23">
        <f>ROUND(Intereses_Leasing_Mensual!S259 + Intereses_Residual_Mensual!S259, 2)</f>
        <v/>
      </c>
      <c r="Q259" s="23">
        <f>ROUND(Intereses_Leasing_Mensual!T259 + Intereses_Residual_Mensual!T259, 2)</f>
        <v/>
      </c>
      <c r="R259" s="23">
        <f>SUM(F259:Q259)</f>
        <v/>
      </c>
    </row>
    <row r="260">
      <c r="A260" s="26" t="inlineStr">
        <is>
          <t>0767-0001</t>
        </is>
      </c>
      <c r="B260" s="27" t="inlineStr">
        <is>
          <t>Carlos Alberto Gutiérrez Hermosillo López</t>
        </is>
      </c>
      <c r="C260" s="27" t="inlineStr">
        <is>
          <t>Commander Overland</t>
        </is>
      </c>
      <c r="D260" s="26" t="inlineStr">
        <is>
          <t>ACTIVO</t>
        </is>
      </c>
      <c r="E260" s="28" t="n">
        <v>48</v>
      </c>
      <c r="F260" s="29" t="inlineStr"/>
      <c r="G260" s="29" t="inlineStr"/>
      <c r="H260" s="29" t="inlineStr"/>
      <c r="I260" s="29" t="inlineStr"/>
      <c r="J260" s="29" t="inlineStr"/>
      <c r="K260" s="29">
        <f>ROUND(Intereses_Leasing_Mensual!N260 + Intereses_Residual_Mensual!N260, 2)</f>
        <v/>
      </c>
      <c r="L260" s="29">
        <f>ROUND(Intereses_Leasing_Mensual!O260 + Intereses_Residual_Mensual!O260, 2)</f>
        <v/>
      </c>
      <c r="M260" s="29">
        <f>ROUND(Intereses_Leasing_Mensual!P260 + Intereses_Residual_Mensual!P260, 2)</f>
        <v/>
      </c>
      <c r="N260" s="29">
        <f>ROUND(Intereses_Leasing_Mensual!Q260 + Intereses_Residual_Mensual!Q260, 2)</f>
        <v/>
      </c>
      <c r="O260" s="29">
        <f>ROUND(Intereses_Leasing_Mensual!R260 + Intereses_Residual_Mensual!R260, 2)</f>
        <v/>
      </c>
      <c r="P260" s="29">
        <f>ROUND(Intereses_Leasing_Mensual!S260 + Intereses_Residual_Mensual!S260, 2)</f>
        <v/>
      </c>
      <c r="Q260" s="29">
        <f>ROUND(Intereses_Leasing_Mensual!T260 + Intereses_Residual_Mensual!T260, 2)</f>
        <v/>
      </c>
      <c r="R260" s="29">
        <f>SUM(F260:Q260)</f>
        <v/>
      </c>
    </row>
    <row r="261">
      <c r="A261" s="20" t="inlineStr">
        <is>
          <t>0768-0001</t>
        </is>
      </c>
      <c r="B261" s="21" t="inlineStr">
        <is>
          <t>Distribuidora y Comercializadora 2000, S.A. de C.V.</t>
        </is>
      </c>
      <c r="C261" s="21" t="inlineStr">
        <is>
          <t>Manager Furgon L4H2</t>
        </is>
      </c>
      <c r="D261" s="20" t="inlineStr">
        <is>
          <t>ACTIVO</t>
        </is>
      </c>
      <c r="E261" s="22" t="n">
        <v>12</v>
      </c>
      <c r="F261" s="23" t="inlineStr"/>
      <c r="G261" s="23" t="inlineStr"/>
      <c r="H261" s="23" t="inlineStr"/>
      <c r="I261" s="23" t="inlineStr"/>
      <c r="J261" s="23" t="inlineStr"/>
      <c r="K261" s="23">
        <f>ROUND(Intereses_Leasing_Mensual!N261 + Intereses_Residual_Mensual!N261, 2)</f>
        <v/>
      </c>
      <c r="L261" s="23">
        <f>ROUND(Intereses_Leasing_Mensual!O261 + Intereses_Residual_Mensual!O261, 2)</f>
        <v/>
      </c>
      <c r="M261" s="23">
        <f>ROUND(Intereses_Leasing_Mensual!P261 + Intereses_Residual_Mensual!P261, 2)</f>
        <v/>
      </c>
      <c r="N261" s="23">
        <f>ROUND(Intereses_Leasing_Mensual!Q261 + Intereses_Residual_Mensual!Q261, 2)</f>
        <v/>
      </c>
      <c r="O261" s="23">
        <f>ROUND(Intereses_Leasing_Mensual!R261 + Intereses_Residual_Mensual!R261, 2)</f>
        <v/>
      </c>
      <c r="P261" s="23">
        <f>ROUND(Intereses_Leasing_Mensual!S261 + Intereses_Residual_Mensual!S261, 2)</f>
        <v/>
      </c>
      <c r="Q261" s="23">
        <f>ROUND(Intereses_Leasing_Mensual!T261 + Intereses_Residual_Mensual!T261, 2)</f>
        <v/>
      </c>
      <c r="R261" s="23">
        <f>SUM(F261:Q261)</f>
        <v/>
      </c>
    </row>
    <row r="262">
      <c r="A262" s="26" t="inlineStr">
        <is>
          <t>0768-0002</t>
        </is>
      </c>
      <c r="B262" s="27" t="inlineStr">
        <is>
          <t>Distribuidora y Comercializadora 2000, S.A. de C.V.</t>
        </is>
      </c>
      <c r="C262" s="27" t="inlineStr">
        <is>
          <t>Manager Furgon L4H2</t>
        </is>
      </c>
      <c r="D262" s="26" t="inlineStr">
        <is>
          <t>ACTIVO</t>
        </is>
      </c>
      <c r="E262" s="28" t="n">
        <v>12</v>
      </c>
      <c r="F262" s="29" t="inlineStr"/>
      <c r="G262" s="29" t="inlineStr"/>
      <c r="H262" s="29" t="inlineStr"/>
      <c r="I262" s="29" t="inlineStr"/>
      <c r="J262" s="29" t="inlineStr"/>
      <c r="K262" s="29">
        <f>ROUND(Intereses_Leasing_Mensual!N262 + Intereses_Residual_Mensual!N262, 2)</f>
        <v/>
      </c>
      <c r="L262" s="29">
        <f>ROUND(Intereses_Leasing_Mensual!O262 + Intereses_Residual_Mensual!O262, 2)</f>
        <v/>
      </c>
      <c r="M262" s="29">
        <f>ROUND(Intereses_Leasing_Mensual!P262 + Intereses_Residual_Mensual!P262, 2)</f>
        <v/>
      </c>
      <c r="N262" s="29">
        <f>ROUND(Intereses_Leasing_Mensual!Q262 + Intereses_Residual_Mensual!Q262, 2)</f>
        <v/>
      </c>
      <c r="O262" s="29">
        <f>ROUND(Intereses_Leasing_Mensual!R262 + Intereses_Residual_Mensual!R262, 2)</f>
        <v/>
      </c>
      <c r="P262" s="29">
        <f>ROUND(Intereses_Leasing_Mensual!S262 + Intereses_Residual_Mensual!S262, 2)</f>
        <v/>
      </c>
      <c r="Q262" s="29">
        <f>ROUND(Intereses_Leasing_Mensual!T262 + Intereses_Residual_Mensual!T262, 2)</f>
        <v/>
      </c>
      <c r="R262" s="29">
        <f>SUM(F262:Q262)</f>
        <v/>
      </c>
    </row>
    <row r="263">
      <c r="A263" s="20" t="inlineStr">
        <is>
          <t>0769-0001</t>
        </is>
      </c>
      <c r="B263" s="21" t="inlineStr">
        <is>
          <t>Paloma Bernhardt Partida</t>
        </is>
      </c>
      <c r="C263" s="21" t="inlineStr">
        <is>
          <t>700 TRADESMAN CREW CAB</t>
        </is>
      </c>
      <c r="D263" s="20" t="inlineStr">
        <is>
          <t>ACTIVO</t>
        </is>
      </c>
      <c r="E263" s="22" t="n">
        <v>36</v>
      </c>
      <c r="F263" s="23" t="inlineStr"/>
      <c r="G263" s="23" t="inlineStr"/>
      <c r="H263" s="23" t="inlineStr"/>
      <c r="I263" s="23" t="inlineStr"/>
      <c r="J263" s="23" t="inlineStr"/>
      <c r="K263" s="23">
        <f>ROUND(Intereses_Leasing_Mensual!N263 + Intereses_Residual_Mensual!N263, 2)</f>
        <v/>
      </c>
      <c r="L263" s="23">
        <f>ROUND(Intereses_Leasing_Mensual!O263 + Intereses_Residual_Mensual!O263, 2)</f>
        <v/>
      </c>
      <c r="M263" s="23">
        <f>ROUND(Intereses_Leasing_Mensual!P263 + Intereses_Residual_Mensual!P263, 2)</f>
        <v/>
      </c>
      <c r="N263" s="23">
        <f>ROUND(Intereses_Leasing_Mensual!Q263 + Intereses_Residual_Mensual!Q263, 2)</f>
        <v/>
      </c>
      <c r="O263" s="23">
        <f>ROUND(Intereses_Leasing_Mensual!R263 + Intereses_Residual_Mensual!R263, 2)</f>
        <v/>
      </c>
      <c r="P263" s="23">
        <f>ROUND(Intereses_Leasing_Mensual!S263 + Intereses_Residual_Mensual!S263, 2)</f>
        <v/>
      </c>
      <c r="Q263" s="23">
        <f>ROUND(Intereses_Leasing_Mensual!T263 + Intereses_Residual_Mensual!T263, 2)</f>
        <v/>
      </c>
      <c r="R263" s="23">
        <f>SUM(F263:Q263)</f>
        <v/>
      </c>
    </row>
    <row r="264">
      <c r="A264" s="26" t="inlineStr">
        <is>
          <t>0769-0002</t>
        </is>
      </c>
      <c r="B264" s="27" t="inlineStr">
        <is>
          <t>Paloma Bernhardt Partida</t>
        </is>
      </c>
      <c r="C264" s="27" t="inlineStr">
        <is>
          <t>Ram 700 Tradesman 2026</t>
        </is>
      </c>
      <c r="D264" s="26" t="inlineStr">
        <is>
          <t>ACTIVO</t>
        </is>
      </c>
      <c r="E264" s="28" t="n">
        <v>36</v>
      </c>
      <c r="F264" s="29" t="inlineStr"/>
      <c r="G264" s="29" t="inlineStr"/>
      <c r="H264" s="29" t="inlineStr"/>
      <c r="I264" s="29" t="inlineStr"/>
      <c r="J264" s="29" t="inlineStr"/>
      <c r="K264" s="29" t="inlineStr"/>
      <c r="L264" s="29" t="inlineStr"/>
      <c r="M264" s="29" t="inlineStr"/>
      <c r="N264" s="29">
        <f>ROUND(Intereses_Leasing_Mensual!Q264 + Intereses_Residual_Mensual!Q264, 2)</f>
        <v/>
      </c>
      <c r="O264" s="29">
        <f>ROUND(Intereses_Leasing_Mensual!R264 + Intereses_Residual_Mensual!R264, 2)</f>
        <v/>
      </c>
      <c r="P264" s="29">
        <f>ROUND(Intereses_Leasing_Mensual!S264 + Intereses_Residual_Mensual!S264, 2)</f>
        <v/>
      </c>
      <c r="Q264" s="29">
        <f>ROUND(Intereses_Leasing_Mensual!T264 + Intereses_Residual_Mensual!T264, 2)</f>
        <v/>
      </c>
      <c r="R264" s="29">
        <f>SUM(F264:Q264)</f>
        <v/>
      </c>
    </row>
    <row r="265">
      <c r="A265" s="20" t="inlineStr">
        <is>
          <t>0770-0001</t>
        </is>
      </c>
      <c r="B265" s="21" t="inlineStr">
        <is>
          <t>Jorge Octavio Micher Camarena</t>
        </is>
      </c>
      <c r="C265" s="21" t="inlineStr">
        <is>
          <t>Jeep Cherokee Overland 2026</t>
        </is>
      </c>
      <c r="D265" s="20" t="inlineStr">
        <is>
          <t>ACTIVO</t>
        </is>
      </c>
      <c r="E265" s="22" t="n">
        <v>36</v>
      </c>
      <c r="F265" s="23" t="inlineStr"/>
      <c r="G265" s="23" t="inlineStr"/>
      <c r="H265" s="23" t="inlineStr"/>
      <c r="I265" s="23" t="inlineStr"/>
      <c r="J265" s="23" t="inlineStr"/>
      <c r="K265" s="23" t="inlineStr"/>
      <c r="L265" s="23">
        <f>ROUND(Intereses_Leasing_Mensual!O265 + Intereses_Residual_Mensual!O265, 2)</f>
        <v/>
      </c>
      <c r="M265" s="23">
        <f>ROUND(Intereses_Leasing_Mensual!P265 + Intereses_Residual_Mensual!P265, 2)</f>
        <v/>
      </c>
      <c r="N265" s="23">
        <f>ROUND(Intereses_Leasing_Mensual!Q265 + Intereses_Residual_Mensual!Q265, 2)</f>
        <v/>
      </c>
      <c r="O265" s="23">
        <f>ROUND(Intereses_Leasing_Mensual!R265 + Intereses_Residual_Mensual!R265, 2)</f>
        <v/>
      </c>
      <c r="P265" s="23">
        <f>ROUND(Intereses_Leasing_Mensual!S265 + Intereses_Residual_Mensual!S265, 2)</f>
        <v/>
      </c>
      <c r="Q265" s="23">
        <f>ROUND(Intereses_Leasing_Mensual!T265 + Intereses_Residual_Mensual!T265, 2)</f>
        <v/>
      </c>
      <c r="R265" s="23">
        <f>SUM(F265:Q265)</f>
        <v/>
      </c>
    </row>
    <row r="266">
      <c r="A266" s="26" t="inlineStr">
        <is>
          <t>0771-0001</t>
        </is>
      </c>
      <c r="B266" s="27" t="inlineStr">
        <is>
          <t>Inbcom de Colima</t>
        </is>
      </c>
      <c r="C266" s="27" t="inlineStr">
        <is>
          <t>Ram 1200 Tradesman CC 2026</t>
        </is>
      </c>
      <c r="D266" s="26" t="inlineStr">
        <is>
          <t>ACTIVO</t>
        </is>
      </c>
      <c r="E266" s="28" t="n">
        <v>12</v>
      </c>
      <c r="F266" s="29" t="inlineStr"/>
      <c r="G266" s="29" t="inlineStr"/>
      <c r="H266" s="29" t="inlineStr"/>
      <c r="I266" s="29" t="inlineStr"/>
      <c r="J266" s="29" t="inlineStr"/>
      <c r="K266" s="29" t="inlineStr"/>
      <c r="L266" s="29">
        <f>ROUND(Intereses_Leasing_Mensual!O266 + Intereses_Residual_Mensual!O266, 2)</f>
        <v/>
      </c>
      <c r="M266" s="29">
        <f>ROUND(Intereses_Leasing_Mensual!P266 + Intereses_Residual_Mensual!P266, 2)</f>
        <v/>
      </c>
      <c r="N266" s="29">
        <f>ROUND(Intereses_Leasing_Mensual!Q266 + Intereses_Residual_Mensual!Q266, 2)</f>
        <v/>
      </c>
      <c r="O266" s="29">
        <f>ROUND(Intereses_Leasing_Mensual!R266 + Intereses_Residual_Mensual!R266, 2)</f>
        <v/>
      </c>
      <c r="P266" s="29">
        <f>ROUND(Intereses_Leasing_Mensual!S266 + Intereses_Residual_Mensual!S266, 2)</f>
        <v/>
      </c>
      <c r="Q266" s="29">
        <f>ROUND(Intereses_Leasing_Mensual!T266 + Intereses_Residual_Mensual!T266, 2)</f>
        <v/>
      </c>
      <c r="R266" s="29">
        <f>SUM(F266:Q266)</f>
        <v/>
      </c>
    </row>
    <row r="267">
      <c r="A267" s="20" t="inlineStr">
        <is>
          <t>0772-0001</t>
        </is>
      </c>
      <c r="B267" s="21" t="inlineStr">
        <is>
          <t>Logistica y Transporte de Carga LGT</t>
        </is>
      </c>
      <c r="C267" s="21" t="inlineStr">
        <is>
          <t>Ram 1200 Laramie 2026</t>
        </is>
      </c>
      <c r="D267" s="20" t="inlineStr">
        <is>
          <t>ACTIVO</t>
        </is>
      </c>
      <c r="E267" s="22" t="n">
        <v>48</v>
      </c>
      <c r="F267" s="23" t="inlineStr"/>
      <c r="G267" s="23" t="inlineStr"/>
      <c r="H267" s="23" t="inlineStr"/>
      <c r="I267" s="23" t="inlineStr"/>
      <c r="J267" s="23" t="inlineStr"/>
      <c r="K267" s="23" t="inlineStr"/>
      <c r="L267" s="23">
        <f>ROUND(Intereses_Leasing_Mensual!O267 + Intereses_Residual_Mensual!O267, 2)</f>
        <v/>
      </c>
      <c r="M267" s="23">
        <f>ROUND(Intereses_Leasing_Mensual!P267 + Intereses_Residual_Mensual!P267, 2)</f>
        <v/>
      </c>
      <c r="N267" s="23">
        <f>ROUND(Intereses_Leasing_Mensual!Q267 + Intereses_Residual_Mensual!Q267, 2)</f>
        <v/>
      </c>
      <c r="O267" s="23">
        <f>ROUND(Intereses_Leasing_Mensual!R267 + Intereses_Residual_Mensual!R267, 2)</f>
        <v/>
      </c>
      <c r="P267" s="23">
        <f>ROUND(Intereses_Leasing_Mensual!S267 + Intereses_Residual_Mensual!S267, 2)</f>
        <v/>
      </c>
      <c r="Q267" s="23">
        <f>ROUND(Intereses_Leasing_Mensual!T267 + Intereses_Residual_Mensual!T267, 2)</f>
        <v/>
      </c>
      <c r="R267" s="23">
        <f>SUM(F267:Q267)</f>
        <v/>
      </c>
    </row>
    <row r="268">
      <c r="A268" s="26" t="inlineStr">
        <is>
          <t>0773-0001</t>
        </is>
      </c>
      <c r="B268" s="27" t="inlineStr">
        <is>
          <t>Industrias Besthelg, S.A. de C.V.</t>
        </is>
      </c>
      <c r="C268" s="27" t="inlineStr">
        <is>
          <t>Peugeot Manager Furgon L2H2 2026</t>
        </is>
      </c>
      <c r="D268" s="26" t="inlineStr">
        <is>
          <t>ACTIVO</t>
        </is>
      </c>
      <c r="E268" s="28" t="n">
        <v>36</v>
      </c>
      <c r="F268" s="29" t="inlineStr"/>
      <c r="G268" s="29" t="inlineStr"/>
      <c r="H268" s="29" t="inlineStr"/>
      <c r="I268" s="29" t="inlineStr"/>
      <c r="J268" s="29" t="inlineStr"/>
      <c r="K268" s="29" t="inlineStr"/>
      <c r="L268" s="29" t="inlineStr"/>
      <c r="M268" s="29">
        <f>ROUND(Intereses_Leasing_Mensual!P268 + Intereses_Residual_Mensual!P268, 2)</f>
        <v/>
      </c>
      <c r="N268" s="29">
        <f>ROUND(Intereses_Leasing_Mensual!Q268 + Intereses_Residual_Mensual!Q268, 2)</f>
        <v/>
      </c>
      <c r="O268" s="29">
        <f>ROUND(Intereses_Leasing_Mensual!R268 + Intereses_Residual_Mensual!R268, 2)</f>
        <v/>
      </c>
      <c r="P268" s="29">
        <f>ROUND(Intereses_Leasing_Mensual!S268 + Intereses_Residual_Mensual!S268, 2)</f>
        <v/>
      </c>
      <c r="Q268" s="29">
        <f>ROUND(Intereses_Leasing_Mensual!T268 + Intereses_Residual_Mensual!T268, 2)</f>
        <v/>
      </c>
      <c r="R268" s="29">
        <f>SUM(F268:Q268)</f>
        <v/>
      </c>
    </row>
    <row r="269">
      <c r="A269" s="20" t="inlineStr">
        <is>
          <t>0773-0002</t>
        </is>
      </c>
      <c r="B269" s="21" t="inlineStr">
        <is>
          <t>Industrias Besthelg, S.A. de C.V.</t>
        </is>
      </c>
      <c r="C269" s="21" t="inlineStr">
        <is>
          <t>Peugeot Manager L4H2 2027</t>
        </is>
      </c>
      <c r="D269" s="20" t="inlineStr">
        <is>
          <t>ACTIVO</t>
        </is>
      </c>
      <c r="E269" s="22" t="n">
        <v>36</v>
      </c>
      <c r="F269" s="23" t="inlineStr"/>
      <c r="G269" s="23" t="inlineStr"/>
      <c r="H269" s="23" t="inlineStr"/>
      <c r="I269" s="23" t="inlineStr"/>
      <c r="J269" s="23" t="inlineStr"/>
      <c r="K269" s="23" t="inlineStr"/>
      <c r="L269" s="23">
        <f>ROUND(Intereses_Leasing_Mensual!O269 + Intereses_Residual_Mensual!O269, 2)</f>
        <v/>
      </c>
      <c r="M269" s="23">
        <f>ROUND(Intereses_Leasing_Mensual!P269 + Intereses_Residual_Mensual!P269, 2)</f>
        <v/>
      </c>
      <c r="N269" s="23">
        <f>ROUND(Intereses_Leasing_Mensual!Q269 + Intereses_Residual_Mensual!Q269, 2)</f>
        <v/>
      </c>
      <c r="O269" s="23">
        <f>ROUND(Intereses_Leasing_Mensual!R269 + Intereses_Residual_Mensual!R269, 2)</f>
        <v/>
      </c>
      <c r="P269" s="23">
        <f>ROUND(Intereses_Leasing_Mensual!S269 + Intereses_Residual_Mensual!S269, 2)</f>
        <v/>
      </c>
      <c r="Q269" s="23">
        <f>ROUND(Intereses_Leasing_Mensual!T269 + Intereses_Residual_Mensual!T269, 2)</f>
        <v/>
      </c>
      <c r="R269" s="23">
        <f>SUM(F269:Q269)</f>
        <v/>
      </c>
    </row>
    <row r="270">
      <c r="A270" s="26" t="inlineStr">
        <is>
          <t>0774-0001</t>
        </is>
      </c>
      <c r="B270" s="27" t="inlineStr">
        <is>
          <t>Grupo Plastikrom</t>
        </is>
      </c>
      <c r="C270" s="27" t="inlineStr">
        <is>
          <t>Jeep Cherokee Overland 2026</t>
        </is>
      </c>
      <c r="D270" s="26" t="inlineStr">
        <is>
          <t>ACTIVO</t>
        </is>
      </c>
      <c r="E270" s="28" t="n">
        <v>24</v>
      </c>
      <c r="F270" s="29" t="inlineStr"/>
      <c r="G270" s="29" t="inlineStr"/>
      <c r="H270" s="29" t="inlineStr"/>
      <c r="I270" s="29" t="inlineStr"/>
      <c r="J270" s="29" t="inlineStr"/>
      <c r="K270" s="29" t="inlineStr"/>
      <c r="L270" s="29" t="inlineStr"/>
      <c r="M270" s="29">
        <f>ROUND(Intereses_Leasing_Mensual!P270 + Intereses_Residual_Mensual!P270, 2)</f>
        <v/>
      </c>
      <c r="N270" s="29">
        <f>ROUND(Intereses_Leasing_Mensual!Q270 + Intereses_Residual_Mensual!Q270, 2)</f>
        <v/>
      </c>
      <c r="O270" s="29">
        <f>ROUND(Intereses_Leasing_Mensual!R270 + Intereses_Residual_Mensual!R270, 2)</f>
        <v/>
      </c>
      <c r="P270" s="29">
        <f>ROUND(Intereses_Leasing_Mensual!S270 + Intereses_Residual_Mensual!S270, 2)</f>
        <v/>
      </c>
      <c r="Q270" s="29">
        <f>ROUND(Intereses_Leasing_Mensual!T270 + Intereses_Residual_Mensual!T270, 2)</f>
        <v/>
      </c>
      <c r="R270" s="29">
        <f>SUM(F270:Q270)</f>
        <v/>
      </c>
    </row>
    <row r="271">
      <c r="A271" s="20" t="inlineStr">
        <is>
          <t>0775-0001</t>
        </is>
      </c>
      <c r="B271" s="21" t="inlineStr">
        <is>
          <t>Manuel Ledezma Iñiguez</t>
        </is>
      </c>
      <c r="C271" s="21" t="inlineStr">
        <is>
          <t>Leapmotor B10 2026</t>
        </is>
      </c>
      <c r="D271" s="20" t="inlineStr">
        <is>
          <t>ACTIVO</t>
        </is>
      </c>
      <c r="E271" s="22" t="n">
        <v>48</v>
      </c>
      <c r="F271" s="23" t="inlineStr"/>
      <c r="G271" s="23" t="inlineStr"/>
      <c r="H271" s="23" t="inlineStr"/>
      <c r="I271" s="23" t="inlineStr"/>
      <c r="J271" s="23" t="inlineStr"/>
      <c r="K271" s="23" t="inlineStr"/>
      <c r="L271" s="23" t="inlineStr"/>
      <c r="M271" s="23">
        <f>ROUND(Intereses_Leasing_Mensual!P271 + Intereses_Residual_Mensual!P271, 2)</f>
        <v/>
      </c>
      <c r="N271" s="23">
        <f>ROUND(Intereses_Leasing_Mensual!Q271 + Intereses_Residual_Mensual!Q271, 2)</f>
        <v/>
      </c>
      <c r="O271" s="23">
        <f>ROUND(Intereses_Leasing_Mensual!R271 + Intereses_Residual_Mensual!R271, 2)</f>
        <v/>
      </c>
      <c r="P271" s="23">
        <f>ROUND(Intereses_Leasing_Mensual!S271 + Intereses_Residual_Mensual!S271, 2)</f>
        <v/>
      </c>
      <c r="Q271" s="23">
        <f>ROUND(Intereses_Leasing_Mensual!T271 + Intereses_Residual_Mensual!T271, 2)</f>
        <v/>
      </c>
      <c r="R271" s="23">
        <f>SUM(F271:Q271)</f>
        <v/>
      </c>
    </row>
    <row r="272">
      <c r="A272" s="26" t="inlineStr">
        <is>
          <t>0776-0001</t>
        </is>
      </c>
      <c r="B272" s="27" t="inlineStr">
        <is>
          <t>Armando Serna Hernández</t>
        </is>
      </c>
      <c r="C272" s="27" t="inlineStr">
        <is>
          <t>Jeep Grand Cherokee Limited 2026</t>
        </is>
      </c>
      <c r="D272" s="26" t="inlineStr">
        <is>
          <t>ACTIVO</t>
        </is>
      </c>
      <c r="E272" s="28" t="n">
        <v>48</v>
      </c>
      <c r="F272" s="29" t="inlineStr"/>
      <c r="G272" s="29" t="inlineStr"/>
      <c r="H272" s="29" t="inlineStr"/>
      <c r="I272" s="29" t="inlineStr"/>
      <c r="J272" s="29" t="inlineStr"/>
      <c r="K272" s="29" t="inlineStr"/>
      <c r="L272" s="29" t="inlineStr"/>
      <c r="M272" s="29">
        <f>ROUND(Intereses_Leasing_Mensual!P272 + Intereses_Residual_Mensual!P272, 2)</f>
        <v/>
      </c>
      <c r="N272" s="29">
        <f>ROUND(Intereses_Leasing_Mensual!Q272 + Intereses_Residual_Mensual!Q272, 2)</f>
        <v/>
      </c>
      <c r="O272" s="29">
        <f>ROUND(Intereses_Leasing_Mensual!R272 + Intereses_Residual_Mensual!R272, 2)</f>
        <v/>
      </c>
      <c r="P272" s="29">
        <f>ROUND(Intereses_Leasing_Mensual!S272 + Intereses_Residual_Mensual!S272, 2)</f>
        <v/>
      </c>
      <c r="Q272" s="29">
        <f>ROUND(Intereses_Leasing_Mensual!T272 + Intereses_Residual_Mensual!T272, 2)</f>
        <v/>
      </c>
      <c r="R272" s="29">
        <f>SUM(F272:Q272)</f>
        <v/>
      </c>
    </row>
    <row r="273">
      <c r="A273" s="20" t="inlineStr">
        <is>
          <t>0777-0001</t>
        </is>
      </c>
      <c r="B273" s="21" t="inlineStr">
        <is>
          <t>Yazmin Alejandra Gomez Olivas</t>
        </is>
      </c>
      <c r="C273" s="21" t="inlineStr">
        <is>
          <t>Jeep Wrangler Rubicon 2026</t>
        </is>
      </c>
      <c r="D273" s="20" t="inlineStr">
        <is>
          <t>ACTIVO</t>
        </is>
      </c>
      <c r="E273" s="22" t="n">
        <v>48</v>
      </c>
      <c r="F273" s="23" t="inlineStr"/>
      <c r="G273" s="23" t="inlineStr"/>
      <c r="H273" s="23" t="inlineStr"/>
      <c r="I273" s="23" t="inlineStr"/>
      <c r="J273" s="23" t="inlineStr"/>
      <c r="K273" s="23" t="inlineStr"/>
      <c r="L273" s="23" t="inlineStr"/>
      <c r="M273" s="23">
        <f>ROUND(Intereses_Leasing_Mensual!P273 + Intereses_Residual_Mensual!P273, 2)</f>
        <v/>
      </c>
      <c r="N273" s="23">
        <f>ROUND(Intereses_Leasing_Mensual!Q273 + Intereses_Residual_Mensual!Q273, 2)</f>
        <v/>
      </c>
      <c r="O273" s="23">
        <f>ROUND(Intereses_Leasing_Mensual!R273 + Intereses_Residual_Mensual!R273, 2)</f>
        <v/>
      </c>
      <c r="P273" s="23">
        <f>ROUND(Intereses_Leasing_Mensual!S273 + Intereses_Residual_Mensual!S273, 2)</f>
        <v/>
      </c>
      <c r="Q273" s="23">
        <f>ROUND(Intereses_Leasing_Mensual!T273 + Intereses_Residual_Mensual!T273, 2)</f>
        <v/>
      </c>
      <c r="R273" s="23">
        <f>SUM(F273:Q273)</f>
        <v/>
      </c>
    </row>
    <row r="274">
      <c r="A274" s="26" t="inlineStr">
        <is>
          <t>0778-0001</t>
        </is>
      </c>
      <c r="B274" s="27" t="inlineStr">
        <is>
          <t>Construcciones y Desarrollos Inmobile, S.A. de C.V.</t>
        </is>
      </c>
      <c r="C274" s="27" t="inlineStr">
        <is>
          <t>Mitsubishi L200 2026</t>
        </is>
      </c>
      <c r="D274" s="26" t="inlineStr">
        <is>
          <t>ACTIVO</t>
        </is>
      </c>
      <c r="E274" s="28" t="n">
        <v>24</v>
      </c>
      <c r="F274" s="29" t="inlineStr"/>
      <c r="G274" s="29" t="inlineStr"/>
      <c r="H274" s="29" t="inlineStr"/>
      <c r="I274" s="29" t="inlineStr"/>
      <c r="J274" s="29" t="inlineStr"/>
      <c r="K274" s="29" t="inlineStr"/>
      <c r="L274" s="29" t="inlineStr"/>
      <c r="M274" s="29">
        <f>ROUND(Intereses_Leasing_Mensual!P274 + Intereses_Residual_Mensual!P274, 2)</f>
        <v/>
      </c>
      <c r="N274" s="29">
        <f>ROUND(Intereses_Leasing_Mensual!Q274 + Intereses_Residual_Mensual!Q274, 2)</f>
        <v/>
      </c>
      <c r="O274" s="29">
        <f>ROUND(Intereses_Leasing_Mensual!R274 + Intereses_Residual_Mensual!R274, 2)</f>
        <v/>
      </c>
      <c r="P274" s="29">
        <f>ROUND(Intereses_Leasing_Mensual!S274 + Intereses_Residual_Mensual!S274, 2)</f>
        <v/>
      </c>
      <c r="Q274" s="29">
        <f>ROUND(Intereses_Leasing_Mensual!T274 + Intereses_Residual_Mensual!T274, 2)</f>
        <v/>
      </c>
      <c r="R274" s="29">
        <f>SUM(F274:Q274)</f>
        <v/>
      </c>
    </row>
    <row r="275">
      <c r="A275" s="20" t="inlineStr">
        <is>
          <t>0779-0001</t>
        </is>
      </c>
      <c r="B275" s="21" t="inlineStr">
        <is>
          <t>Margarita Kaplun Mucharrafille</t>
        </is>
      </c>
      <c r="C275" s="21" t="inlineStr">
        <is>
          <t>Ram 700 Bighorn 2026</t>
        </is>
      </c>
      <c r="D275" s="20" t="inlineStr">
        <is>
          <t>ACTIVO</t>
        </is>
      </c>
      <c r="E275" s="22" t="n">
        <v>48</v>
      </c>
      <c r="F275" s="23" t="inlineStr"/>
      <c r="G275" s="23" t="inlineStr"/>
      <c r="H275" s="23" t="inlineStr"/>
      <c r="I275" s="23" t="inlineStr"/>
      <c r="J275" s="23" t="inlineStr"/>
      <c r="K275" s="23" t="inlineStr"/>
      <c r="L275" s="23" t="inlineStr"/>
      <c r="M275" s="23" t="inlineStr"/>
      <c r="N275" s="23">
        <f>ROUND(Intereses_Leasing_Mensual!Q275 + Intereses_Residual_Mensual!Q275, 2)</f>
        <v/>
      </c>
      <c r="O275" s="23">
        <f>ROUND(Intereses_Leasing_Mensual!R275 + Intereses_Residual_Mensual!R275, 2)</f>
        <v/>
      </c>
      <c r="P275" s="23">
        <f>ROUND(Intereses_Leasing_Mensual!S275 + Intereses_Residual_Mensual!S275, 2)</f>
        <v/>
      </c>
      <c r="Q275" s="23">
        <f>ROUND(Intereses_Leasing_Mensual!T275 + Intereses_Residual_Mensual!T275, 2)</f>
        <v/>
      </c>
      <c r="R275" s="23">
        <f>SUM(F275:Q275)</f>
        <v/>
      </c>
    </row>
    <row r="276">
      <c r="A276" s="26" t="inlineStr">
        <is>
          <t>0780-0001</t>
        </is>
      </c>
      <c r="B276" s="27" t="inlineStr">
        <is>
          <t>David Rosendo Cedeño Guerrero</t>
        </is>
      </c>
      <c r="C276" s="27" t="inlineStr">
        <is>
          <t>Suzuki Jimny 2027</t>
        </is>
      </c>
      <c r="D276" s="26" t="inlineStr">
        <is>
          <t>ACTIVO</t>
        </is>
      </c>
      <c r="E276" s="28" t="n">
        <v>48</v>
      </c>
      <c r="F276" s="29" t="inlineStr"/>
      <c r="G276" s="29" t="inlineStr"/>
      <c r="H276" s="29" t="inlineStr"/>
      <c r="I276" s="29" t="inlineStr"/>
      <c r="J276" s="29" t="inlineStr"/>
      <c r="K276" s="29" t="inlineStr"/>
      <c r="L276" s="29" t="inlineStr"/>
      <c r="M276" s="29" t="inlineStr"/>
      <c r="N276" s="29">
        <f>ROUND(Intereses_Leasing_Mensual!Q276 + Intereses_Residual_Mensual!Q276, 2)</f>
        <v/>
      </c>
      <c r="O276" s="29">
        <f>ROUND(Intereses_Leasing_Mensual!R276 + Intereses_Residual_Mensual!R276, 2)</f>
        <v/>
      </c>
      <c r="P276" s="29">
        <f>ROUND(Intereses_Leasing_Mensual!S276 + Intereses_Residual_Mensual!S276, 2)</f>
        <v/>
      </c>
      <c r="Q276" s="29">
        <f>ROUND(Intereses_Leasing_Mensual!T276 + Intereses_Residual_Mensual!T276, 2)</f>
        <v/>
      </c>
      <c r="R276" s="29">
        <f>SUM(F276:Q276)</f>
        <v/>
      </c>
    </row>
    <row r="277">
      <c r="A277" s="20" t="inlineStr">
        <is>
          <t>0781-0001</t>
        </is>
      </c>
      <c r="B277" s="21" t="inlineStr">
        <is>
          <t>Northstar Marine &amp; Civil, S.A. de C.V.</t>
        </is>
      </c>
      <c r="C277" s="21" t="inlineStr">
        <is>
          <t>Sany Motoniveladora 2026</t>
        </is>
      </c>
      <c r="D277" s="20" t="inlineStr">
        <is>
          <t>ACTIVO</t>
        </is>
      </c>
      <c r="E277" s="22" t="n">
        <v>24</v>
      </c>
      <c r="F277" s="23" t="inlineStr"/>
      <c r="G277" s="23" t="inlineStr"/>
      <c r="H277" s="23" t="inlineStr"/>
      <c r="I277" s="23" t="inlineStr"/>
      <c r="J277" s="23" t="inlineStr"/>
      <c r="K277" s="23" t="inlineStr"/>
      <c r="L277" s="23" t="inlineStr"/>
      <c r="M277" s="23" t="inlineStr"/>
      <c r="N277" s="23">
        <f>ROUND(Intereses_Leasing_Mensual!Q277 + Intereses_Residual_Mensual!Q277, 2)</f>
        <v/>
      </c>
      <c r="O277" s="23">
        <f>ROUND(Intereses_Leasing_Mensual!R277 + Intereses_Residual_Mensual!R277, 2)</f>
        <v/>
      </c>
      <c r="P277" s="23">
        <f>ROUND(Intereses_Leasing_Mensual!S277 + Intereses_Residual_Mensual!S277, 2)</f>
        <v/>
      </c>
      <c r="Q277" s="23">
        <f>ROUND(Intereses_Leasing_Mensual!T277 + Intereses_Residual_Mensual!T277, 2)</f>
        <v/>
      </c>
      <c r="R277" s="23">
        <f>SUM(F277:Q277)</f>
        <v/>
      </c>
    </row>
    <row r="278">
      <c r="A278" s="26" t="inlineStr">
        <is>
          <t>0783-0001</t>
        </is>
      </c>
      <c r="B278" s="27" t="inlineStr">
        <is>
          <t>Nuup Trading, S.A. de C.V.</t>
        </is>
      </c>
      <c r="C278" s="27" t="inlineStr">
        <is>
          <t>Jeep Renegade 2026</t>
        </is>
      </c>
      <c r="D278" s="26" t="inlineStr">
        <is>
          <t>ACTIVO</t>
        </is>
      </c>
      <c r="E278" s="28" t="n">
        <v>24</v>
      </c>
      <c r="F278" s="29" t="inlineStr"/>
      <c r="G278" s="29" t="inlineStr"/>
      <c r="H278" s="29" t="inlineStr"/>
      <c r="I278" s="29" t="inlineStr"/>
      <c r="J278" s="29" t="inlineStr"/>
      <c r="K278" s="29" t="inlineStr"/>
      <c r="L278" s="29" t="inlineStr"/>
      <c r="M278" s="29" t="inlineStr"/>
      <c r="N278" s="29">
        <f>ROUND(Intereses_Leasing_Mensual!Q278 + Intereses_Residual_Mensual!Q278, 2)</f>
        <v/>
      </c>
      <c r="O278" s="29">
        <f>ROUND(Intereses_Leasing_Mensual!R278 + Intereses_Residual_Mensual!R278, 2)</f>
        <v/>
      </c>
      <c r="P278" s="29">
        <f>ROUND(Intereses_Leasing_Mensual!S278 + Intereses_Residual_Mensual!S278, 2)</f>
        <v/>
      </c>
      <c r="Q278" s="29">
        <f>ROUND(Intereses_Leasing_Mensual!T278 + Intereses_Residual_Mensual!T278, 2)</f>
        <v/>
      </c>
      <c r="R278" s="29">
        <f>SUM(F278:Q278)</f>
        <v/>
      </c>
    </row>
    <row r="279">
      <c r="A279" s="20" t="inlineStr">
        <is>
          <t>0784-0001</t>
        </is>
      </c>
      <c r="B279" s="21" t="inlineStr">
        <is>
          <t>Enruta App, S.A. de C.V.</t>
        </is>
      </c>
      <c r="C279" s="21" t="inlineStr">
        <is>
          <t>Dodge Attitude GT 2026</t>
        </is>
      </c>
      <c r="D279" s="20" t="inlineStr">
        <is>
          <t>ACTIVO</t>
        </is>
      </c>
      <c r="E279" s="22" t="n">
        <v>12</v>
      </c>
      <c r="F279" s="23" t="inlineStr"/>
      <c r="G279" s="23" t="inlineStr"/>
      <c r="H279" s="23" t="inlineStr"/>
      <c r="I279" s="23" t="inlineStr"/>
      <c r="J279" s="23" t="inlineStr"/>
      <c r="K279" s="23" t="inlineStr"/>
      <c r="L279" s="23" t="inlineStr"/>
      <c r="M279" s="23" t="inlineStr"/>
      <c r="N279" s="23">
        <f>ROUND(Intereses_Leasing_Mensual!Q279 + Intereses_Residual_Mensual!Q279, 2)</f>
        <v/>
      </c>
      <c r="O279" s="23">
        <f>ROUND(Intereses_Leasing_Mensual!R279 + Intereses_Residual_Mensual!R279, 2)</f>
        <v/>
      </c>
      <c r="P279" s="23">
        <f>ROUND(Intereses_Leasing_Mensual!S279 + Intereses_Residual_Mensual!S279, 2)</f>
        <v/>
      </c>
      <c r="Q279" s="23">
        <f>ROUND(Intereses_Leasing_Mensual!T279 + Intereses_Residual_Mensual!T279, 2)</f>
        <v/>
      </c>
      <c r="R279" s="23">
        <f>SUM(F279:Q279)</f>
        <v/>
      </c>
    </row>
    <row r="280">
      <c r="A280" s="26" t="inlineStr">
        <is>
          <t>0785-0001</t>
        </is>
      </c>
      <c r="B280" s="27" t="inlineStr">
        <is>
          <t>Velazquez Guerrero y Asociados, S.C.</t>
        </is>
      </c>
      <c r="C280" s="27" t="inlineStr">
        <is>
          <t>Peugeot Rifter Allure Pack 2027</t>
        </is>
      </c>
      <c r="D280" s="26" t="inlineStr">
        <is>
          <t>ACTIVO</t>
        </is>
      </c>
      <c r="E280" s="28" t="n">
        <v>24</v>
      </c>
      <c r="F280" s="29" t="inlineStr"/>
      <c r="G280" s="29" t="inlineStr"/>
      <c r="H280" s="29" t="inlineStr"/>
      <c r="I280" s="29" t="inlineStr"/>
      <c r="J280" s="29" t="inlineStr"/>
      <c r="K280" s="29" t="inlineStr"/>
      <c r="L280" s="29" t="inlineStr"/>
      <c r="M280" s="29" t="inlineStr"/>
      <c r="N280" s="29">
        <f>ROUND(Intereses_Leasing_Mensual!Q280 + Intereses_Residual_Mensual!Q280, 2)</f>
        <v/>
      </c>
      <c r="O280" s="29">
        <f>ROUND(Intereses_Leasing_Mensual!R280 + Intereses_Residual_Mensual!R280, 2)</f>
        <v/>
      </c>
      <c r="P280" s="29">
        <f>ROUND(Intereses_Leasing_Mensual!S280 + Intereses_Residual_Mensual!S280, 2)</f>
        <v/>
      </c>
      <c r="Q280" s="29">
        <f>ROUND(Intereses_Leasing_Mensual!T280 + Intereses_Residual_Mensual!T280, 2)</f>
        <v/>
      </c>
      <c r="R280" s="29">
        <f>SUM(F280:Q280)</f>
        <v/>
      </c>
    </row>
    <row r="281">
      <c r="A281" s="20" t="inlineStr">
        <is>
          <t>0786-0001</t>
        </is>
      </c>
      <c r="B281" s="21" t="inlineStr">
        <is>
          <t>Consejería Jurídico Empresarial, S.C.</t>
        </is>
      </c>
      <c r="C281" s="21" t="inlineStr">
        <is>
          <t>Mitsubishi Outlander Sport Limited 2027</t>
        </is>
      </c>
      <c r="D281" s="20" t="inlineStr">
        <is>
          <t>ACTIVO</t>
        </is>
      </c>
      <c r="E281" s="22" t="n">
        <v>24</v>
      </c>
      <c r="F281" s="23" t="inlineStr"/>
      <c r="G281" s="23" t="inlineStr"/>
      <c r="H281" s="23" t="inlineStr"/>
      <c r="I281" s="23" t="inlineStr"/>
      <c r="J281" s="23" t="inlineStr"/>
      <c r="K281" s="23" t="inlineStr"/>
      <c r="L281" s="23" t="inlineStr"/>
      <c r="M281" s="23" t="inlineStr"/>
      <c r="N281" s="23">
        <f>ROUND(Intereses_Leasing_Mensual!Q281 + Intereses_Residual_Mensual!Q281, 2)</f>
        <v/>
      </c>
      <c r="O281" s="23">
        <f>ROUND(Intereses_Leasing_Mensual!R281 + Intereses_Residual_Mensual!R281, 2)</f>
        <v/>
      </c>
      <c r="P281" s="23">
        <f>ROUND(Intereses_Leasing_Mensual!S281 + Intereses_Residual_Mensual!S281, 2)</f>
        <v/>
      </c>
      <c r="Q281" s="23">
        <f>ROUND(Intereses_Leasing_Mensual!T281 + Intereses_Residual_Mensual!T281, 2)</f>
        <v/>
      </c>
      <c r="R281" s="23">
        <f>SUM(F281:Q281)</f>
        <v/>
      </c>
    </row>
    <row r="282">
      <c r="A282" s="32" t="inlineStr">
        <is>
          <t>TOTAL CARTERA</t>
        </is>
      </c>
      <c r="B282" s="33" t="inlineStr">
        <is>
          <t>277 Contratos</t>
        </is>
      </c>
      <c r="C282" s="34" t="n"/>
      <c r="D282" s="34" t="n"/>
      <c r="E282" s="34" t="n"/>
      <c r="F282" s="35">
        <f>SUM(F5:F281)</f>
        <v/>
      </c>
      <c r="G282" s="35">
        <f>SUM(G5:G281)</f>
        <v/>
      </c>
      <c r="H282" s="35">
        <f>SUM(H5:H281)</f>
        <v/>
      </c>
      <c r="I282" s="35">
        <f>SUM(I5:I281)</f>
        <v/>
      </c>
      <c r="J282" s="35">
        <f>SUM(J5:J281)</f>
        <v/>
      </c>
      <c r="K282" s="35">
        <f>SUM(K5:K281)</f>
        <v/>
      </c>
      <c r="L282" s="35">
        <f>SUM(L5:L281)</f>
        <v/>
      </c>
      <c r="M282" s="35">
        <f>SUM(M5:M281)</f>
        <v/>
      </c>
      <c r="N282" s="35">
        <f>SUM(N5:N281)</f>
        <v/>
      </c>
      <c r="O282" s="35">
        <f>SUM(O5:O281)</f>
        <v/>
      </c>
      <c r="P282" s="35">
        <f>SUM(P5:P281)</f>
        <v/>
      </c>
      <c r="Q282" s="35">
        <f>SUM(Q5:Q281)</f>
        <v/>
      </c>
      <c r="R282" s="35">
        <f>SUM(R5:R281)</f>
        <v/>
      </c>
    </row>
  </sheetData>
  <autoFilter ref="A4:R281"/>
  <mergeCells count="2">
    <mergeCell ref="A1:O1"/>
    <mergeCell ref="A2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82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2" customWidth="1" min="4" max="4"/>
    <col width="13" customWidth="1" min="5" max="5"/>
    <col width="15" customWidth="1" min="6" max="6"/>
    <col width="10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20" customWidth="1" min="22" max="22"/>
  </cols>
  <sheetData>
    <row r="1" ht="24" customHeight="1">
      <c r="A1" s="18" t="inlineStr">
        <is>
          <t>O-LEASING · UNA APP DE ORANGE CREW · Amortización de Capital de Cartera Mes a Mes</t>
        </is>
      </c>
    </row>
    <row r="2" ht="16" customHeight="1">
      <c r="A2" s="3" t="inlineStr">
        <is>
          <t>Recuperación mensual de capital principal mediante fórmula: Capital = Renta - Intereses · Auditoría Financiera NIF C-15 / IFRS 16 · Desarrollado por Orange Crew</t>
        </is>
      </c>
    </row>
    <row r="4" ht="26" customHeight="1">
      <c r="A4" s="19" t="inlineStr">
        <is>
          <t>ID_Contrato</t>
        </is>
      </c>
      <c r="B4" s="19" t="inlineStr">
        <is>
          <t>Cliente</t>
        </is>
      </c>
      <c r="C4" s="19" t="inlineStr">
        <is>
          <t>Vehiculo</t>
        </is>
      </c>
      <c r="D4" s="19" t="inlineStr">
        <is>
          <t>Estatus</t>
        </is>
      </c>
      <c r="E4" s="19" t="inlineStr">
        <is>
          <t>Fecha_Alta</t>
        </is>
      </c>
      <c r="F4" s="19" t="inlineStr">
        <is>
          <t>Fecha_Vencimiento</t>
        </is>
      </c>
      <c r="G4" s="19" t="inlineStr">
        <is>
          <t>Plazo</t>
        </is>
      </c>
      <c r="H4" s="19" t="inlineStr">
        <is>
          <t>Inversion_Neta</t>
        </is>
      </c>
      <c r="I4" s="19" t="inlineStr">
        <is>
          <t>Renta_Sin_IVA</t>
        </is>
      </c>
      <c r="J4" s="9" t="inlineStr">
        <is>
          <t>2026-01</t>
        </is>
      </c>
      <c r="K4" s="9" t="inlineStr">
        <is>
          <t>2026-02</t>
        </is>
      </c>
      <c r="L4" s="9" t="inlineStr">
        <is>
          <t>2026-03</t>
        </is>
      </c>
      <c r="M4" s="9" t="inlineStr">
        <is>
          <t>2026-04</t>
        </is>
      </c>
      <c r="N4" s="9" t="inlineStr">
        <is>
          <t>2026-05</t>
        </is>
      </c>
      <c r="O4" s="9" t="inlineStr">
        <is>
          <t>2026-06</t>
        </is>
      </c>
      <c r="P4" s="9" t="inlineStr">
        <is>
          <t>2026-07</t>
        </is>
      </c>
      <c r="Q4" s="9" t="inlineStr">
        <is>
          <t>2026-08</t>
        </is>
      </c>
      <c r="R4" s="9" t="inlineStr">
        <is>
          <t>2026-09</t>
        </is>
      </c>
      <c r="S4" s="9" t="inlineStr">
        <is>
          <t>2026-10</t>
        </is>
      </c>
      <c r="T4" s="9" t="inlineStr">
        <is>
          <t>2026-11</t>
        </is>
      </c>
      <c r="U4" s="9" t="inlineStr">
        <is>
          <t>2026-12</t>
        </is>
      </c>
      <c r="V4" s="46" t="inlineStr">
        <is>
          <t>Total_Capital_Recuperado</t>
        </is>
      </c>
    </row>
    <row r="5">
      <c r="A5" s="20" t="inlineStr">
        <is>
          <t>0326-0003</t>
        </is>
      </c>
      <c r="B5" s="21" t="inlineStr">
        <is>
          <t>Alberto Vázquez Solorio</t>
        </is>
      </c>
      <c r="C5" s="21" t="inlineStr">
        <is>
          <t>Volkswagen Tiguan R-Line 2026</t>
        </is>
      </c>
      <c r="D5" s="20" t="inlineStr">
        <is>
          <t>ACTIVO</t>
        </is>
      </c>
      <c r="E5" s="20" t="inlineStr">
        <is>
          <t>2026-09-16</t>
        </is>
      </c>
      <c r="F5" s="20" t="inlineStr">
        <is>
          <t>2030-09-16</t>
        </is>
      </c>
      <c r="G5" s="22" t="n">
        <v>48</v>
      </c>
      <c r="H5" s="23" t="n">
        <v>406120.26</v>
      </c>
      <c r="I5" s="23" t="n">
        <v>8393.91</v>
      </c>
      <c r="J5" s="23" t="inlineStr"/>
      <c r="K5" s="23" t="inlineStr"/>
      <c r="L5" s="23" t="inlineStr"/>
      <c r="M5" s="23" t="inlineStr"/>
      <c r="N5" s="23" t="inlineStr"/>
      <c r="O5" s="23" t="inlineStr"/>
      <c r="P5" s="23" t="inlineStr"/>
      <c r="Q5" s="23" t="inlineStr"/>
      <c r="R5" s="23">
        <f>IF(Intereses_Leasing_Mensual!Q5&gt;0, ROUND($I5-Intereses_Leasing_Mensual!Q5, 2), "")</f>
        <v/>
      </c>
      <c r="S5" s="23">
        <f>IF(Intereses_Leasing_Mensual!R5&gt;0, ROUND($I5-Intereses_Leasing_Mensual!R5, 2), "")</f>
        <v/>
      </c>
      <c r="T5" s="23">
        <f>IF(Intereses_Leasing_Mensual!S5&gt;0, ROUND($I5-Intereses_Leasing_Mensual!S5, 2), "")</f>
        <v/>
      </c>
      <c r="U5" s="23">
        <f>IF(Intereses_Leasing_Mensual!T5&gt;0, ROUND($I5-Intereses_Leasing_Mensual!T5, 2), "")</f>
        <v/>
      </c>
      <c r="V5" s="23">
        <f>SUM(J5:U5)</f>
        <v/>
      </c>
    </row>
    <row r="6">
      <c r="A6" s="26" t="inlineStr">
        <is>
          <t>0472-0003</t>
        </is>
      </c>
      <c r="B6" s="27" t="inlineStr">
        <is>
          <t>Miguel Zazueta Beltrán</t>
        </is>
      </c>
      <c r="C6" s="27" t="inlineStr">
        <is>
          <t>Jeep Grand Cherokee</t>
        </is>
      </c>
      <c r="D6" s="26" t="inlineStr">
        <is>
          <t>ACTIVO</t>
        </is>
      </c>
      <c r="E6" s="26" t="inlineStr">
        <is>
          <t>2026-02-03</t>
        </is>
      </c>
      <c r="F6" s="26" t="inlineStr">
        <is>
          <t>2029-02-03</t>
        </is>
      </c>
      <c r="G6" s="28" t="n">
        <v>36</v>
      </c>
      <c r="H6" s="29" t="n">
        <v>852203.53</v>
      </c>
      <c r="I6" s="29" t="n">
        <v>35031.5</v>
      </c>
      <c r="J6" s="29" t="inlineStr"/>
      <c r="K6" s="29">
        <f>IF(Intereses_Leasing_Mensual!J6&gt;0, ROUND($I6-Intereses_Leasing_Mensual!J6, 2), "")</f>
        <v/>
      </c>
      <c r="L6" s="29">
        <f>IF(Intereses_Leasing_Mensual!K6&gt;0, ROUND($I6-Intereses_Leasing_Mensual!K6, 2), "")</f>
        <v/>
      </c>
      <c r="M6" s="29">
        <f>IF(Intereses_Leasing_Mensual!L6&gt;0, ROUND($I6-Intereses_Leasing_Mensual!L6, 2), "")</f>
        <v/>
      </c>
      <c r="N6" s="29">
        <f>IF(Intereses_Leasing_Mensual!M6&gt;0, ROUND($I6-Intereses_Leasing_Mensual!M6, 2), "")</f>
        <v/>
      </c>
      <c r="O6" s="29">
        <f>IF(Intereses_Leasing_Mensual!N6&gt;0, ROUND($I6-Intereses_Leasing_Mensual!N6, 2), "")</f>
        <v/>
      </c>
      <c r="P6" s="29">
        <f>IF(Intereses_Leasing_Mensual!O6&gt;0, ROUND($I6-Intereses_Leasing_Mensual!O6, 2), "")</f>
        <v/>
      </c>
      <c r="Q6" s="29">
        <f>IF(Intereses_Leasing_Mensual!P6&gt;0, ROUND($I6-Intereses_Leasing_Mensual!P6, 2), "")</f>
        <v/>
      </c>
      <c r="R6" s="29">
        <f>IF(Intereses_Leasing_Mensual!Q6&gt;0, ROUND($I6-Intereses_Leasing_Mensual!Q6, 2), "")</f>
        <v/>
      </c>
      <c r="S6" s="29">
        <f>IF(Intereses_Leasing_Mensual!R6&gt;0, ROUND($I6-Intereses_Leasing_Mensual!R6, 2), "")</f>
        <v/>
      </c>
      <c r="T6" s="29">
        <f>IF(Intereses_Leasing_Mensual!S6&gt;0, ROUND($I6-Intereses_Leasing_Mensual!S6, 2), "")</f>
        <v/>
      </c>
      <c r="U6" s="29">
        <f>IF(Intereses_Leasing_Mensual!T6&gt;0, ROUND($I6-Intereses_Leasing_Mensual!T6, 2), "")</f>
        <v/>
      </c>
      <c r="V6" s="29">
        <f>SUM(J6:U6)</f>
        <v/>
      </c>
    </row>
    <row r="7">
      <c r="A7" s="20" t="inlineStr">
        <is>
          <t>0504-0004</t>
        </is>
      </c>
      <c r="B7" s="21" t="inlineStr">
        <is>
          <t>Oscar Ivan Lozano Terriquez</t>
        </is>
      </c>
      <c r="C7" s="21" t="inlineStr">
        <is>
          <t>700 BIGHORN "S" CREW CAB MT</t>
        </is>
      </c>
      <c r="D7" s="20" t="inlineStr">
        <is>
          <t>ACTIVO</t>
        </is>
      </c>
      <c r="E7" s="20" t="inlineStr">
        <is>
          <t>2026-01-05</t>
        </is>
      </c>
      <c r="F7" s="20" t="inlineStr">
        <is>
          <t>2027-01-05</t>
        </is>
      </c>
      <c r="G7" s="22" t="n">
        <v>12</v>
      </c>
      <c r="H7" s="23" t="n">
        <v>229125</v>
      </c>
      <c r="I7" s="23" t="n">
        <v>19654.64</v>
      </c>
      <c r="J7" s="23">
        <f>IF(Intereses_Leasing_Mensual!I7&gt;0, ROUND($I7-Intereses_Leasing_Mensual!I7, 2), "")</f>
        <v/>
      </c>
      <c r="K7" s="23">
        <f>IF(Intereses_Leasing_Mensual!J7&gt;0, ROUND($I7-Intereses_Leasing_Mensual!J7, 2), "")</f>
        <v/>
      </c>
      <c r="L7" s="23">
        <f>IF(Intereses_Leasing_Mensual!K7&gt;0, ROUND($I7-Intereses_Leasing_Mensual!K7, 2), "")</f>
        <v/>
      </c>
      <c r="M7" s="23">
        <f>IF(Intereses_Leasing_Mensual!L7&gt;0, ROUND($I7-Intereses_Leasing_Mensual!L7, 2), "")</f>
        <v/>
      </c>
      <c r="N7" s="23">
        <f>IF(Intereses_Leasing_Mensual!M7&gt;0, ROUND($I7-Intereses_Leasing_Mensual!M7, 2), "")</f>
        <v/>
      </c>
      <c r="O7" s="23">
        <f>IF(Intereses_Leasing_Mensual!N7&gt;0, ROUND($I7-Intereses_Leasing_Mensual!N7, 2), "")</f>
        <v/>
      </c>
      <c r="P7" s="23">
        <f>IF(Intereses_Leasing_Mensual!O7&gt;0, ROUND($I7-Intereses_Leasing_Mensual!O7, 2), "")</f>
        <v/>
      </c>
      <c r="Q7" s="23">
        <f>IF(Intereses_Leasing_Mensual!P7&gt;0, ROUND($I7-Intereses_Leasing_Mensual!P7, 2), "")</f>
        <v/>
      </c>
      <c r="R7" s="23">
        <f>IF(Intereses_Leasing_Mensual!Q7&gt;0, ROUND($I7-Intereses_Leasing_Mensual!Q7, 2), "")</f>
        <v/>
      </c>
      <c r="S7" s="23">
        <f>IF(Intereses_Leasing_Mensual!R7&gt;0, ROUND($I7-Intereses_Leasing_Mensual!R7, 2), "")</f>
        <v/>
      </c>
      <c r="T7" s="23">
        <f>IF(Intereses_Leasing_Mensual!S7&gt;0, ROUND($I7-Intereses_Leasing_Mensual!S7, 2), "")</f>
        <v/>
      </c>
      <c r="U7" s="23">
        <f>IF(Intereses_Leasing_Mensual!T7&gt;0, ROUND($I7-Intereses_Leasing_Mensual!T7, 2), "")</f>
        <v/>
      </c>
      <c r="V7" s="23">
        <f>SUM(J7:U7)</f>
        <v/>
      </c>
    </row>
    <row r="8">
      <c r="A8" s="26" t="inlineStr">
        <is>
          <t>0506-0006</t>
        </is>
      </c>
      <c r="B8" s="27" t="inlineStr">
        <is>
          <t>Electronic Accounting Sa de Cv</t>
        </is>
      </c>
      <c r="C8" s="27" t="inlineStr">
        <is>
          <t>X5</t>
        </is>
      </c>
      <c r="D8" s="26" t="inlineStr">
        <is>
          <t>ACTIVO</t>
        </is>
      </c>
      <c r="E8" s="26" t="inlineStr">
        <is>
          <t>2024-01-10</t>
        </is>
      </c>
      <c r="F8" s="26" t="inlineStr">
        <is>
          <t>2027-01-10</t>
        </is>
      </c>
      <c r="G8" s="28" t="n">
        <v>36</v>
      </c>
      <c r="H8" s="29" t="n">
        <v>1336969.4</v>
      </c>
      <c r="I8" s="29" t="n">
        <v>35607.45</v>
      </c>
      <c r="J8" s="29">
        <f>IF(Intereses_Leasing_Mensual!I8&gt;0, ROUND($I8-Intereses_Leasing_Mensual!I8, 2), "")</f>
        <v/>
      </c>
      <c r="K8" s="29">
        <f>IF(Intereses_Leasing_Mensual!J8&gt;0, ROUND($I8-Intereses_Leasing_Mensual!J8, 2), "")</f>
        <v/>
      </c>
      <c r="L8" s="29">
        <f>IF(Intereses_Leasing_Mensual!K8&gt;0, ROUND($I8-Intereses_Leasing_Mensual!K8, 2), "")</f>
        <v/>
      </c>
      <c r="M8" s="29">
        <f>IF(Intereses_Leasing_Mensual!L8&gt;0, ROUND($I8-Intereses_Leasing_Mensual!L8, 2), "")</f>
        <v/>
      </c>
      <c r="N8" s="29">
        <f>IF(Intereses_Leasing_Mensual!M8&gt;0, ROUND($I8-Intereses_Leasing_Mensual!M8, 2), "")</f>
        <v/>
      </c>
      <c r="O8" s="29">
        <f>IF(Intereses_Leasing_Mensual!N8&gt;0, ROUND($I8-Intereses_Leasing_Mensual!N8, 2), "")</f>
        <v/>
      </c>
      <c r="P8" s="29">
        <f>IF(Intereses_Leasing_Mensual!O8&gt;0, ROUND($I8-Intereses_Leasing_Mensual!O8, 2), "")</f>
        <v/>
      </c>
      <c r="Q8" s="29">
        <f>IF(Intereses_Leasing_Mensual!P8&gt;0, ROUND($I8-Intereses_Leasing_Mensual!P8, 2), "")</f>
        <v/>
      </c>
      <c r="R8" s="29">
        <f>IF(Intereses_Leasing_Mensual!Q8&gt;0, ROUND($I8-Intereses_Leasing_Mensual!Q8, 2), "")</f>
        <v/>
      </c>
      <c r="S8" s="29">
        <f>IF(Intereses_Leasing_Mensual!R8&gt;0, ROUND($I8-Intereses_Leasing_Mensual!R8, 2), "")</f>
        <v/>
      </c>
      <c r="T8" s="29">
        <f>IF(Intereses_Leasing_Mensual!S8&gt;0, ROUND($I8-Intereses_Leasing_Mensual!S8, 2), "")</f>
        <v/>
      </c>
      <c r="U8" s="29">
        <f>IF(Intereses_Leasing_Mensual!T8&gt;0, ROUND($I8-Intereses_Leasing_Mensual!T8, 2), "")</f>
        <v/>
      </c>
      <c r="V8" s="29">
        <f>SUM(J8:U8)</f>
        <v/>
      </c>
    </row>
    <row r="9">
      <c r="A9" s="20" t="inlineStr">
        <is>
          <t>0506-0007</t>
        </is>
      </c>
      <c r="B9" s="21" t="inlineStr">
        <is>
          <t>Electronic Acounting</t>
        </is>
      </c>
      <c r="C9" s="21" t="inlineStr">
        <is>
          <t>L200 Glx Diesel</t>
        </is>
      </c>
      <c r="D9" s="20" t="inlineStr">
        <is>
          <t>ACTIVO</t>
        </is>
      </c>
      <c r="E9" s="20" t="inlineStr">
        <is>
          <t>2024-09-05</t>
        </is>
      </c>
      <c r="F9" s="20" t="inlineStr">
        <is>
          <t>2027-09-05</t>
        </is>
      </c>
      <c r="G9" s="22" t="n">
        <v>36</v>
      </c>
      <c r="H9" s="23" t="n">
        <v>536762.9300000001</v>
      </c>
      <c r="I9" s="23" t="n">
        <v>16715.69</v>
      </c>
      <c r="J9" s="23">
        <f>IF(Intereses_Leasing_Mensual!I9&gt;0, ROUND($I9-Intereses_Leasing_Mensual!I9, 2), "")</f>
        <v/>
      </c>
      <c r="K9" s="23">
        <f>IF(Intereses_Leasing_Mensual!J9&gt;0, ROUND($I9-Intereses_Leasing_Mensual!J9, 2), "")</f>
        <v/>
      </c>
      <c r="L9" s="23">
        <f>IF(Intereses_Leasing_Mensual!K9&gt;0, ROUND($I9-Intereses_Leasing_Mensual!K9, 2), "")</f>
        <v/>
      </c>
      <c r="M9" s="23">
        <f>IF(Intereses_Leasing_Mensual!L9&gt;0, ROUND($I9-Intereses_Leasing_Mensual!L9, 2), "")</f>
        <v/>
      </c>
      <c r="N9" s="23">
        <f>IF(Intereses_Leasing_Mensual!M9&gt;0, ROUND($I9-Intereses_Leasing_Mensual!M9, 2), "")</f>
        <v/>
      </c>
      <c r="O9" s="23">
        <f>IF(Intereses_Leasing_Mensual!N9&gt;0, ROUND($I9-Intereses_Leasing_Mensual!N9, 2), "")</f>
        <v/>
      </c>
      <c r="P9" s="23">
        <f>IF(Intereses_Leasing_Mensual!O9&gt;0, ROUND($I9-Intereses_Leasing_Mensual!O9, 2), "")</f>
        <v/>
      </c>
      <c r="Q9" s="23">
        <f>IF(Intereses_Leasing_Mensual!P9&gt;0, ROUND($I9-Intereses_Leasing_Mensual!P9, 2), "")</f>
        <v/>
      </c>
      <c r="R9" s="23">
        <f>IF(Intereses_Leasing_Mensual!Q9&gt;0, ROUND($I9-Intereses_Leasing_Mensual!Q9, 2), "")</f>
        <v/>
      </c>
      <c r="S9" s="23">
        <f>IF(Intereses_Leasing_Mensual!R9&gt;0, ROUND($I9-Intereses_Leasing_Mensual!R9, 2), "")</f>
        <v/>
      </c>
      <c r="T9" s="23">
        <f>IF(Intereses_Leasing_Mensual!S9&gt;0, ROUND($I9-Intereses_Leasing_Mensual!S9, 2), "")</f>
        <v/>
      </c>
      <c r="U9" s="23">
        <f>IF(Intereses_Leasing_Mensual!T9&gt;0, ROUND($I9-Intereses_Leasing_Mensual!T9, 2), "")</f>
        <v/>
      </c>
      <c r="V9" s="23">
        <f>SUM(J9:U9)</f>
        <v/>
      </c>
    </row>
    <row r="10">
      <c r="A10" s="26" t="inlineStr">
        <is>
          <t>0519-0005</t>
        </is>
      </c>
      <c r="B10" s="27" t="inlineStr">
        <is>
          <t>Tequilas el Mexicano S.A. de C.V.</t>
        </is>
      </c>
      <c r="C10" s="27" t="inlineStr">
        <is>
          <t>Attitude Sport</t>
        </is>
      </c>
      <c r="D10" s="26" t="inlineStr">
        <is>
          <t>ACTIVO</t>
        </is>
      </c>
      <c r="E10" s="26" t="inlineStr">
        <is>
          <t>2025-07-14</t>
        </is>
      </c>
      <c r="F10" s="26" t="inlineStr">
        <is>
          <t>2029-07-14</t>
        </is>
      </c>
      <c r="G10" s="28" t="n">
        <v>48</v>
      </c>
      <c r="H10" s="29" t="n">
        <v>317250</v>
      </c>
      <c r="I10" s="29" t="n">
        <v>11483.47</v>
      </c>
      <c r="J10" s="29">
        <f>IF(Intereses_Leasing_Mensual!I10&gt;0, ROUND($I10-Intereses_Leasing_Mensual!I10, 2), "")</f>
        <v/>
      </c>
      <c r="K10" s="29">
        <f>IF(Intereses_Leasing_Mensual!J10&gt;0, ROUND($I10-Intereses_Leasing_Mensual!J10, 2), "")</f>
        <v/>
      </c>
      <c r="L10" s="29">
        <f>IF(Intereses_Leasing_Mensual!K10&gt;0, ROUND($I10-Intereses_Leasing_Mensual!K10, 2), "")</f>
        <v/>
      </c>
      <c r="M10" s="29">
        <f>IF(Intereses_Leasing_Mensual!L10&gt;0, ROUND($I10-Intereses_Leasing_Mensual!L10, 2), "")</f>
        <v/>
      </c>
      <c r="N10" s="29">
        <f>IF(Intereses_Leasing_Mensual!M10&gt;0, ROUND($I10-Intereses_Leasing_Mensual!M10, 2), "")</f>
        <v/>
      </c>
      <c r="O10" s="29">
        <f>IF(Intereses_Leasing_Mensual!N10&gt;0, ROUND($I10-Intereses_Leasing_Mensual!N10, 2), "")</f>
        <v/>
      </c>
      <c r="P10" s="29">
        <f>IF(Intereses_Leasing_Mensual!O10&gt;0, ROUND($I10-Intereses_Leasing_Mensual!O10, 2), "")</f>
        <v/>
      </c>
      <c r="Q10" s="29">
        <f>IF(Intereses_Leasing_Mensual!P10&gt;0, ROUND($I10-Intereses_Leasing_Mensual!P10, 2), "")</f>
        <v/>
      </c>
      <c r="R10" s="29">
        <f>IF(Intereses_Leasing_Mensual!Q10&gt;0, ROUND($I10-Intereses_Leasing_Mensual!Q10, 2), "")</f>
        <v/>
      </c>
      <c r="S10" s="29">
        <f>IF(Intereses_Leasing_Mensual!R10&gt;0, ROUND($I10-Intereses_Leasing_Mensual!R10, 2), "")</f>
        <v/>
      </c>
      <c r="T10" s="29">
        <f>IF(Intereses_Leasing_Mensual!S10&gt;0, ROUND($I10-Intereses_Leasing_Mensual!S10, 2), "")</f>
        <v/>
      </c>
      <c r="U10" s="29">
        <f>IF(Intereses_Leasing_Mensual!T10&gt;0, ROUND($I10-Intereses_Leasing_Mensual!T10, 2), "")</f>
        <v/>
      </c>
      <c r="V10" s="29">
        <f>SUM(J10:U10)</f>
        <v/>
      </c>
    </row>
    <row r="11">
      <c r="A11" s="20" t="inlineStr">
        <is>
          <t>0520-0003</t>
        </is>
      </c>
      <c r="B11" s="21" t="inlineStr">
        <is>
          <t>Tractomotriz Diesel Leal, S.A. de C.V.</t>
        </is>
      </c>
      <c r="C11" s="21" t="inlineStr">
        <is>
          <t>Montero Sport</t>
        </is>
      </c>
      <c r="D11" s="20" t="inlineStr">
        <is>
          <t>ACTIVO</t>
        </is>
      </c>
      <c r="E11" s="20" t="inlineStr">
        <is>
          <t>2025-11-28</t>
        </is>
      </c>
      <c r="F11" s="20" t="inlineStr">
        <is>
          <t>2028-11-28</t>
        </is>
      </c>
      <c r="G11" s="22" t="n">
        <v>36</v>
      </c>
      <c r="H11" s="23" t="n">
        <v>372879.31</v>
      </c>
      <c r="I11" s="23" t="n">
        <v>15182.88</v>
      </c>
      <c r="J11" s="23">
        <f>IF(Intereses_Leasing_Mensual!I11&gt;0, ROUND($I11-Intereses_Leasing_Mensual!I11, 2), "")</f>
        <v/>
      </c>
      <c r="K11" s="23">
        <f>IF(Intereses_Leasing_Mensual!J11&gt;0, ROUND($I11-Intereses_Leasing_Mensual!J11, 2), "")</f>
        <v/>
      </c>
      <c r="L11" s="23">
        <f>IF(Intereses_Leasing_Mensual!K11&gt;0, ROUND($I11-Intereses_Leasing_Mensual!K11, 2), "")</f>
        <v/>
      </c>
      <c r="M11" s="23">
        <f>IF(Intereses_Leasing_Mensual!L11&gt;0, ROUND($I11-Intereses_Leasing_Mensual!L11, 2), "")</f>
        <v/>
      </c>
      <c r="N11" s="23">
        <f>IF(Intereses_Leasing_Mensual!M11&gt;0, ROUND($I11-Intereses_Leasing_Mensual!M11, 2), "")</f>
        <v/>
      </c>
      <c r="O11" s="23">
        <f>IF(Intereses_Leasing_Mensual!N11&gt;0, ROUND($I11-Intereses_Leasing_Mensual!N11, 2), "")</f>
        <v/>
      </c>
      <c r="P11" s="23">
        <f>IF(Intereses_Leasing_Mensual!O11&gt;0, ROUND($I11-Intereses_Leasing_Mensual!O11, 2), "")</f>
        <v/>
      </c>
      <c r="Q11" s="23">
        <f>IF(Intereses_Leasing_Mensual!P11&gt;0, ROUND($I11-Intereses_Leasing_Mensual!P11, 2), "")</f>
        <v/>
      </c>
      <c r="R11" s="23">
        <f>IF(Intereses_Leasing_Mensual!Q11&gt;0, ROUND($I11-Intereses_Leasing_Mensual!Q11, 2), "")</f>
        <v/>
      </c>
      <c r="S11" s="23">
        <f>IF(Intereses_Leasing_Mensual!R11&gt;0, ROUND($I11-Intereses_Leasing_Mensual!R11, 2), "")</f>
        <v/>
      </c>
      <c r="T11" s="23">
        <f>IF(Intereses_Leasing_Mensual!S11&gt;0, ROUND($I11-Intereses_Leasing_Mensual!S11, 2), "")</f>
        <v/>
      </c>
      <c r="U11" s="23">
        <f>IF(Intereses_Leasing_Mensual!T11&gt;0, ROUND($I11-Intereses_Leasing_Mensual!T11, 2), "")</f>
        <v/>
      </c>
      <c r="V11" s="23">
        <f>SUM(J11:U11)</f>
        <v/>
      </c>
    </row>
    <row r="12">
      <c r="A12" s="26" t="inlineStr">
        <is>
          <t>0520-0004</t>
        </is>
      </c>
      <c r="B12" s="27" t="inlineStr">
        <is>
          <t>Tractomotriz Diesel Leal, S.A. de C.V.</t>
        </is>
      </c>
      <c r="C12" s="27" t="inlineStr">
        <is>
          <t>Partner Maxi Pack</t>
        </is>
      </c>
      <c r="D12" s="26" t="inlineStr">
        <is>
          <t>ACTIVO</t>
        </is>
      </c>
      <c r="E12" s="26" t="inlineStr">
        <is>
          <t>2025-12-04</t>
        </is>
      </c>
      <c r="F12" s="26" t="inlineStr">
        <is>
          <t>2028-12-04</t>
        </is>
      </c>
      <c r="G12" s="28" t="n">
        <v>36</v>
      </c>
      <c r="H12" s="29" t="n">
        <v>240218.27</v>
      </c>
      <c r="I12" s="29" t="n">
        <v>9781.200000000001</v>
      </c>
      <c r="J12" s="29">
        <f>IF(Intereses_Leasing_Mensual!I12&gt;0, ROUND($I12-Intereses_Leasing_Mensual!I12, 2), "")</f>
        <v/>
      </c>
      <c r="K12" s="29">
        <f>IF(Intereses_Leasing_Mensual!J12&gt;0, ROUND($I12-Intereses_Leasing_Mensual!J12, 2), "")</f>
        <v/>
      </c>
      <c r="L12" s="29">
        <f>IF(Intereses_Leasing_Mensual!K12&gt;0, ROUND($I12-Intereses_Leasing_Mensual!K12, 2), "")</f>
        <v/>
      </c>
      <c r="M12" s="29">
        <f>IF(Intereses_Leasing_Mensual!L12&gt;0, ROUND($I12-Intereses_Leasing_Mensual!L12, 2), "")</f>
        <v/>
      </c>
      <c r="N12" s="29">
        <f>IF(Intereses_Leasing_Mensual!M12&gt;0, ROUND($I12-Intereses_Leasing_Mensual!M12, 2), "")</f>
        <v/>
      </c>
      <c r="O12" s="29">
        <f>IF(Intereses_Leasing_Mensual!N12&gt;0, ROUND($I12-Intereses_Leasing_Mensual!N12, 2), "")</f>
        <v/>
      </c>
      <c r="P12" s="29">
        <f>IF(Intereses_Leasing_Mensual!O12&gt;0, ROUND($I12-Intereses_Leasing_Mensual!O12, 2), "")</f>
        <v/>
      </c>
      <c r="Q12" s="29">
        <f>IF(Intereses_Leasing_Mensual!P12&gt;0, ROUND($I12-Intereses_Leasing_Mensual!P12, 2), "")</f>
        <v/>
      </c>
      <c r="R12" s="29">
        <f>IF(Intereses_Leasing_Mensual!Q12&gt;0, ROUND($I12-Intereses_Leasing_Mensual!Q12, 2), "")</f>
        <v/>
      </c>
      <c r="S12" s="29">
        <f>IF(Intereses_Leasing_Mensual!R12&gt;0, ROUND($I12-Intereses_Leasing_Mensual!R12, 2), "")</f>
        <v/>
      </c>
      <c r="T12" s="29">
        <f>IF(Intereses_Leasing_Mensual!S12&gt;0, ROUND($I12-Intereses_Leasing_Mensual!S12, 2), "")</f>
        <v/>
      </c>
      <c r="U12" s="29">
        <f>IF(Intereses_Leasing_Mensual!T12&gt;0, ROUND($I12-Intereses_Leasing_Mensual!T12, 2), "")</f>
        <v/>
      </c>
      <c r="V12" s="29">
        <f>SUM(J12:U12)</f>
        <v/>
      </c>
    </row>
    <row r="13">
      <c r="A13" s="20" t="inlineStr">
        <is>
          <t>0521-0002</t>
        </is>
      </c>
      <c r="B13" s="21" t="inlineStr">
        <is>
          <t>Carlos Hiram leal Leal</t>
        </is>
      </c>
      <c r="C13" s="21" t="inlineStr">
        <is>
          <t>Xpander</t>
        </is>
      </c>
      <c r="D13" s="20" t="inlineStr">
        <is>
          <t>ACTIVO</t>
        </is>
      </c>
      <c r="E13" s="20" t="inlineStr">
        <is>
          <t>2025-09-08</t>
        </is>
      </c>
      <c r="F13" s="20" t="inlineStr">
        <is>
          <t>2028-09-08</t>
        </is>
      </c>
      <c r="G13" s="22" t="n">
        <v>36</v>
      </c>
      <c r="H13" s="23" t="n">
        <v>329389.91</v>
      </c>
      <c r="I13" s="23" t="n">
        <v>13100.96</v>
      </c>
      <c r="J13" s="23">
        <f>IF(Intereses_Leasing_Mensual!I13&gt;0, ROUND($I13-Intereses_Leasing_Mensual!I13, 2), "")</f>
        <v/>
      </c>
      <c r="K13" s="23">
        <f>IF(Intereses_Leasing_Mensual!J13&gt;0, ROUND($I13-Intereses_Leasing_Mensual!J13, 2), "")</f>
        <v/>
      </c>
      <c r="L13" s="23">
        <f>IF(Intereses_Leasing_Mensual!K13&gt;0, ROUND($I13-Intereses_Leasing_Mensual!K13, 2), "")</f>
        <v/>
      </c>
      <c r="M13" s="23">
        <f>IF(Intereses_Leasing_Mensual!L13&gt;0, ROUND($I13-Intereses_Leasing_Mensual!L13, 2), "")</f>
        <v/>
      </c>
      <c r="N13" s="23">
        <f>IF(Intereses_Leasing_Mensual!M13&gt;0, ROUND($I13-Intereses_Leasing_Mensual!M13, 2), "")</f>
        <v/>
      </c>
      <c r="O13" s="23">
        <f>IF(Intereses_Leasing_Mensual!N13&gt;0, ROUND($I13-Intereses_Leasing_Mensual!N13, 2), "")</f>
        <v/>
      </c>
      <c r="P13" s="23">
        <f>IF(Intereses_Leasing_Mensual!O13&gt;0, ROUND($I13-Intereses_Leasing_Mensual!O13, 2), "")</f>
        <v/>
      </c>
      <c r="Q13" s="23">
        <f>IF(Intereses_Leasing_Mensual!P13&gt;0, ROUND($I13-Intereses_Leasing_Mensual!P13, 2), "")</f>
        <v/>
      </c>
      <c r="R13" s="23">
        <f>IF(Intereses_Leasing_Mensual!Q13&gt;0, ROUND($I13-Intereses_Leasing_Mensual!Q13, 2), "")</f>
        <v/>
      </c>
      <c r="S13" s="23">
        <f>IF(Intereses_Leasing_Mensual!R13&gt;0, ROUND($I13-Intereses_Leasing_Mensual!R13, 2), "")</f>
        <v/>
      </c>
      <c r="T13" s="23">
        <f>IF(Intereses_Leasing_Mensual!S13&gt;0, ROUND($I13-Intereses_Leasing_Mensual!S13, 2), "")</f>
        <v/>
      </c>
      <c r="U13" s="23">
        <f>IF(Intereses_Leasing_Mensual!T13&gt;0, ROUND($I13-Intereses_Leasing_Mensual!T13, 2), "")</f>
        <v/>
      </c>
      <c r="V13" s="23">
        <f>SUM(J13:U13)</f>
        <v/>
      </c>
    </row>
    <row r="14">
      <c r="A14" s="26" t="inlineStr">
        <is>
          <t>0524-0007</t>
        </is>
      </c>
      <c r="B14" s="27" t="inlineStr">
        <is>
          <t>Lider En Derecho De Via y Construcción SA DE CV</t>
        </is>
      </c>
      <c r="C14" s="27" t="inlineStr">
        <is>
          <t>L200 Gls</t>
        </is>
      </c>
      <c r="D14" s="26" t="inlineStr">
        <is>
          <t>ACTIVO</t>
        </is>
      </c>
      <c r="E14" s="26" t="inlineStr">
        <is>
          <t>2025-08-15</t>
        </is>
      </c>
      <c r="F14" s="26" t="inlineStr">
        <is>
          <t>2027-08-15</t>
        </is>
      </c>
      <c r="G14" s="28" t="n">
        <v>24</v>
      </c>
      <c r="H14" s="29" t="n">
        <v>584988.36</v>
      </c>
      <c r="I14" s="29" t="n">
        <v>27206.74</v>
      </c>
      <c r="J14" s="29">
        <f>IF(Intereses_Leasing_Mensual!I14&gt;0, ROUND($I14-Intereses_Leasing_Mensual!I14, 2), "")</f>
        <v/>
      </c>
      <c r="K14" s="29">
        <f>IF(Intereses_Leasing_Mensual!J14&gt;0, ROUND($I14-Intereses_Leasing_Mensual!J14, 2), "")</f>
        <v/>
      </c>
      <c r="L14" s="29">
        <f>IF(Intereses_Leasing_Mensual!K14&gt;0, ROUND($I14-Intereses_Leasing_Mensual!K14, 2), "")</f>
        <v/>
      </c>
      <c r="M14" s="29">
        <f>IF(Intereses_Leasing_Mensual!L14&gt;0, ROUND($I14-Intereses_Leasing_Mensual!L14, 2), "")</f>
        <v/>
      </c>
      <c r="N14" s="29">
        <f>IF(Intereses_Leasing_Mensual!M14&gt;0, ROUND($I14-Intereses_Leasing_Mensual!M14, 2), "")</f>
        <v/>
      </c>
      <c r="O14" s="29">
        <f>IF(Intereses_Leasing_Mensual!N14&gt;0, ROUND($I14-Intereses_Leasing_Mensual!N14, 2), "")</f>
        <v/>
      </c>
      <c r="P14" s="29">
        <f>IF(Intereses_Leasing_Mensual!O14&gt;0, ROUND($I14-Intereses_Leasing_Mensual!O14, 2), "")</f>
        <v/>
      </c>
      <c r="Q14" s="29">
        <f>IF(Intereses_Leasing_Mensual!P14&gt;0, ROUND($I14-Intereses_Leasing_Mensual!P14, 2), "")</f>
        <v/>
      </c>
      <c r="R14" s="29">
        <f>IF(Intereses_Leasing_Mensual!Q14&gt;0, ROUND($I14-Intereses_Leasing_Mensual!Q14, 2), "")</f>
        <v/>
      </c>
      <c r="S14" s="29">
        <f>IF(Intereses_Leasing_Mensual!R14&gt;0, ROUND($I14-Intereses_Leasing_Mensual!R14, 2), "")</f>
        <v/>
      </c>
      <c r="T14" s="29">
        <f>IF(Intereses_Leasing_Mensual!S14&gt;0, ROUND($I14-Intereses_Leasing_Mensual!S14, 2), "")</f>
        <v/>
      </c>
      <c r="U14" s="29">
        <f>IF(Intereses_Leasing_Mensual!T14&gt;0, ROUND($I14-Intereses_Leasing_Mensual!T14, 2), "")</f>
        <v/>
      </c>
      <c r="V14" s="29">
        <f>SUM(J14:U14)</f>
        <v/>
      </c>
    </row>
    <row r="15">
      <c r="A15" s="20" t="inlineStr">
        <is>
          <t>0524-0011</t>
        </is>
      </c>
      <c r="B15" s="21" t="inlineStr">
        <is>
          <t>Lider En Derecho De Via y Construcción SA DE CV</t>
        </is>
      </c>
      <c r="C15" s="21" t="inlineStr">
        <is>
          <t>Wrangler Unlimited Sahara</t>
        </is>
      </c>
      <c r="D15" s="20" t="inlineStr">
        <is>
          <t>ACTIVO</t>
        </is>
      </c>
      <c r="E15" s="20" t="inlineStr">
        <is>
          <t>2025-12-31</t>
        </is>
      </c>
      <c r="F15" s="20" t="inlineStr">
        <is>
          <t>2029-12-31</t>
        </is>
      </c>
      <c r="G15" s="22" t="n">
        <v>48</v>
      </c>
      <c r="H15" s="23" t="n">
        <v>846843.45</v>
      </c>
      <c r="I15" s="23" t="n">
        <v>30510.75</v>
      </c>
      <c r="J15" s="23">
        <f>IF(Intereses_Leasing_Mensual!I15&gt;0, ROUND($I15-Intereses_Leasing_Mensual!I15, 2), "")</f>
        <v/>
      </c>
      <c r="K15" s="23">
        <f>IF(Intereses_Leasing_Mensual!J15&gt;0, ROUND($I15-Intereses_Leasing_Mensual!J15, 2), "")</f>
        <v/>
      </c>
      <c r="L15" s="23">
        <f>IF(Intereses_Leasing_Mensual!K15&gt;0, ROUND($I15-Intereses_Leasing_Mensual!K15, 2), "")</f>
        <v/>
      </c>
      <c r="M15" s="23">
        <f>IF(Intereses_Leasing_Mensual!L15&gt;0, ROUND($I15-Intereses_Leasing_Mensual!L15, 2), "")</f>
        <v/>
      </c>
      <c r="N15" s="23">
        <f>IF(Intereses_Leasing_Mensual!M15&gt;0, ROUND($I15-Intereses_Leasing_Mensual!M15, 2), "")</f>
        <v/>
      </c>
      <c r="O15" s="23">
        <f>IF(Intereses_Leasing_Mensual!N15&gt;0, ROUND($I15-Intereses_Leasing_Mensual!N15, 2), "")</f>
        <v/>
      </c>
      <c r="P15" s="23">
        <f>IF(Intereses_Leasing_Mensual!O15&gt;0, ROUND($I15-Intereses_Leasing_Mensual!O15, 2), "")</f>
        <v/>
      </c>
      <c r="Q15" s="23">
        <f>IF(Intereses_Leasing_Mensual!P15&gt;0, ROUND($I15-Intereses_Leasing_Mensual!P15, 2), "")</f>
        <v/>
      </c>
      <c r="R15" s="23">
        <f>IF(Intereses_Leasing_Mensual!Q15&gt;0, ROUND($I15-Intereses_Leasing_Mensual!Q15, 2), "")</f>
        <v/>
      </c>
      <c r="S15" s="23">
        <f>IF(Intereses_Leasing_Mensual!R15&gt;0, ROUND($I15-Intereses_Leasing_Mensual!R15, 2), "")</f>
        <v/>
      </c>
      <c r="T15" s="23">
        <f>IF(Intereses_Leasing_Mensual!S15&gt;0, ROUND($I15-Intereses_Leasing_Mensual!S15, 2), "")</f>
        <v/>
      </c>
      <c r="U15" s="23">
        <f>IF(Intereses_Leasing_Mensual!T15&gt;0, ROUND($I15-Intereses_Leasing_Mensual!T15, 2), "")</f>
        <v/>
      </c>
      <c r="V15" s="23">
        <f>SUM(J15:U15)</f>
        <v/>
      </c>
    </row>
    <row r="16">
      <c r="A16" s="26" t="inlineStr">
        <is>
          <t>0524-0012</t>
        </is>
      </c>
      <c r="B16" s="27" t="inlineStr">
        <is>
          <t>Lider En Derecho De Via y Construcción SA DE CV</t>
        </is>
      </c>
      <c r="C16" s="27" t="inlineStr">
        <is>
          <t>L200 GLS</t>
        </is>
      </c>
      <c r="D16" s="26" t="inlineStr">
        <is>
          <t>ACTIVO</t>
        </is>
      </c>
      <c r="E16" s="26" t="inlineStr">
        <is>
          <t>2026-03-17</t>
        </is>
      </c>
      <c r="F16" s="26" t="inlineStr">
        <is>
          <t>2030-03-17</t>
        </is>
      </c>
      <c r="G16" s="28" t="n">
        <v>48</v>
      </c>
      <c r="H16" s="29" t="n">
        <v>561738.88</v>
      </c>
      <c r="I16" s="29" t="n">
        <v>20333.22</v>
      </c>
      <c r="J16" s="29" t="inlineStr"/>
      <c r="K16" s="29" t="inlineStr"/>
      <c r="L16" s="29">
        <f>IF(Intereses_Leasing_Mensual!K16&gt;0, ROUND($I16-Intereses_Leasing_Mensual!K16, 2), "")</f>
        <v/>
      </c>
      <c r="M16" s="29">
        <f>IF(Intereses_Leasing_Mensual!L16&gt;0, ROUND($I16-Intereses_Leasing_Mensual!L16, 2), "")</f>
        <v/>
      </c>
      <c r="N16" s="29">
        <f>IF(Intereses_Leasing_Mensual!M16&gt;0, ROUND($I16-Intereses_Leasing_Mensual!M16, 2), "")</f>
        <v/>
      </c>
      <c r="O16" s="29">
        <f>IF(Intereses_Leasing_Mensual!N16&gt;0, ROUND($I16-Intereses_Leasing_Mensual!N16, 2), "")</f>
        <v/>
      </c>
      <c r="P16" s="29">
        <f>IF(Intereses_Leasing_Mensual!O16&gt;0, ROUND($I16-Intereses_Leasing_Mensual!O16, 2), "")</f>
        <v/>
      </c>
      <c r="Q16" s="29">
        <f>IF(Intereses_Leasing_Mensual!P16&gt;0, ROUND($I16-Intereses_Leasing_Mensual!P16, 2), "")</f>
        <v/>
      </c>
      <c r="R16" s="29">
        <f>IF(Intereses_Leasing_Mensual!Q16&gt;0, ROUND($I16-Intereses_Leasing_Mensual!Q16, 2), "")</f>
        <v/>
      </c>
      <c r="S16" s="29">
        <f>IF(Intereses_Leasing_Mensual!R16&gt;0, ROUND($I16-Intereses_Leasing_Mensual!R16, 2), "")</f>
        <v/>
      </c>
      <c r="T16" s="29">
        <f>IF(Intereses_Leasing_Mensual!S16&gt;0, ROUND($I16-Intereses_Leasing_Mensual!S16, 2), "")</f>
        <v/>
      </c>
      <c r="U16" s="29">
        <f>IF(Intereses_Leasing_Mensual!T16&gt;0, ROUND($I16-Intereses_Leasing_Mensual!T16, 2), "")</f>
        <v/>
      </c>
      <c r="V16" s="29">
        <f>SUM(J16:U16)</f>
        <v/>
      </c>
    </row>
    <row r="17">
      <c r="A17" s="20" t="inlineStr">
        <is>
          <t>0524-0013</t>
        </is>
      </c>
      <c r="B17" s="21" t="inlineStr">
        <is>
          <t>Lider En Derecho De Via y Construcción SA DE CV</t>
        </is>
      </c>
      <c r="C17" s="21" t="inlineStr">
        <is>
          <t>L200 GLX</t>
        </is>
      </c>
      <c r="D17" s="20" t="inlineStr">
        <is>
          <t>ACTIVO</t>
        </is>
      </c>
      <c r="E17" s="20" t="inlineStr">
        <is>
          <t>2026-06-23</t>
        </is>
      </c>
      <c r="F17" s="20" t="inlineStr">
        <is>
          <t>2029-06-23</t>
        </is>
      </c>
      <c r="G17" s="22" t="n">
        <v>36</v>
      </c>
      <c r="H17" s="23" t="n">
        <v>597925</v>
      </c>
      <c r="I17" s="23" t="n">
        <v>24020.64</v>
      </c>
      <c r="J17" s="23" t="inlineStr"/>
      <c r="K17" s="23" t="inlineStr"/>
      <c r="L17" s="23" t="inlineStr"/>
      <c r="M17" s="23" t="inlineStr"/>
      <c r="N17" s="23" t="inlineStr"/>
      <c r="O17" s="23">
        <f>IF(Intereses_Leasing_Mensual!N17&gt;0, ROUND($I17-Intereses_Leasing_Mensual!N17, 2), "")</f>
        <v/>
      </c>
      <c r="P17" s="23">
        <f>IF(Intereses_Leasing_Mensual!O17&gt;0, ROUND($I17-Intereses_Leasing_Mensual!O17, 2), "")</f>
        <v/>
      </c>
      <c r="Q17" s="23">
        <f>IF(Intereses_Leasing_Mensual!P17&gt;0, ROUND($I17-Intereses_Leasing_Mensual!P17, 2), "")</f>
        <v/>
      </c>
      <c r="R17" s="23">
        <f>IF(Intereses_Leasing_Mensual!Q17&gt;0, ROUND($I17-Intereses_Leasing_Mensual!Q17, 2), "")</f>
        <v/>
      </c>
      <c r="S17" s="23">
        <f>IF(Intereses_Leasing_Mensual!R17&gt;0, ROUND($I17-Intereses_Leasing_Mensual!R17, 2), "")</f>
        <v/>
      </c>
      <c r="T17" s="23">
        <f>IF(Intereses_Leasing_Mensual!S17&gt;0, ROUND($I17-Intereses_Leasing_Mensual!S17, 2), "")</f>
        <v/>
      </c>
      <c r="U17" s="23">
        <f>IF(Intereses_Leasing_Mensual!T17&gt;0, ROUND($I17-Intereses_Leasing_Mensual!T17, 2), "")</f>
        <v/>
      </c>
      <c r="V17" s="23">
        <f>SUM(J17:U17)</f>
        <v/>
      </c>
    </row>
    <row r="18">
      <c r="A18" s="26" t="inlineStr">
        <is>
          <t>0524-0014</t>
        </is>
      </c>
      <c r="B18" s="27" t="inlineStr">
        <is>
          <t>Lider En Derecho De Via y Construcción SA DE CV</t>
        </is>
      </c>
      <c r="C18" s="27" t="inlineStr">
        <is>
          <t>L200 GLX</t>
        </is>
      </c>
      <c r="D18" s="26" t="inlineStr">
        <is>
          <t>ACTIVO</t>
        </is>
      </c>
      <c r="E18" s="26" t="inlineStr">
        <is>
          <t>2026-06-23</t>
        </is>
      </c>
      <c r="F18" s="26" t="inlineStr">
        <is>
          <t>2029-06-23</t>
        </is>
      </c>
      <c r="G18" s="28" t="n">
        <v>36</v>
      </c>
      <c r="H18" s="29" t="n">
        <v>597925</v>
      </c>
      <c r="I18" s="29" t="n">
        <v>24020.64</v>
      </c>
      <c r="J18" s="29" t="inlineStr"/>
      <c r="K18" s="29" t="inlineStr"/>
      <c r="L18" s="29" t="inlineStr"/>
      <c r="M18" s="29" t="inlineStr"/>
      <c r="N18" s="29" t="inlineStr"/>
      <c r="O18" s="29">
        <f>IF(Intereses_Leasing_Mensual!N18&gt;0, ROUND($I18-Intereses_Leasing_Mensual!N18, 2), "")</f>
        <v/>
      </c>
      <c r="P18" s="29">
        <f>IF(Intereses_Leasing_Mensual!O18&gt;0, ROUND($I18-Intereses_Leasing_Mensual!O18, 2), "")</f>
        <v/>
      </c>
      <c r="Q18" s="29">
        <f>IF(Intereses_Leasing_Mensual!P18&gt;0, ROUND($I18-Intereses_Leasing_Mensual!P18, 2), "")</f>
        <v/>
      </c>
      <c r="R18" s="29">
        <f>IF(Intereses_Leasing_Mensual!Q18&gt;0, ROUND($I18-Intereses_Leasing_Mensual!Q18, 2), "")</f>
        <v/>
      </c>
      <c r="S18" s="29">
        <f>IF(Intereses_Leasing_Mensual!R18&gt;0, ROUND($I18-Intereses_Leasing_Mensual!R18, 2), "")</f>
        <v/>
      </c>
      <c r="T18" s="29">
        <f>IF(Intereses_Leasing_Mensual!S18&gt;0, ROUND($I18-Intereses_Leasing_Mensual!S18, 2), "")</f>
        <v/>
      </c>
      <c r="U18" s="29">
        <f>IF(Intereses_Leasing_Mensual!T18&gt;0, ROUND($I18-Intereses_Leasing_Mensual!T18, 2), "")</f>
        <v/>
      </c>
      <c r="V18" s="29">
        <f>SUM(J18:U18)</f>
        <v/>
      </c>
    </row>
    <row r="19">
      <c r="A19" s="20" t="inlineStr">
        <is>
          <t>0524-0015</t>
        </is>
      </c>
      <c r="B19" s="21" t="inlineStr">
        <is>
          <t>Lider En Derecho De Via y Construcción SA DE CV</t>
        </is>
      </c>
      <c r="C19" s="21" t="inlineStr">
        <is>
          <t>Mitsubishi L200 GLX 2026</t>
        </is>
      </c>
      <c r="D19" s="20" t="inlineStr">
        <is>
          <t>ACTIVO</t>
        </is>
      </c>
      <c r="E19" s="20" t="inlineStr">
        <is>
          <t>2026-07-29</t>
        </is>
      </c>
      <c r="F19" s="20" t="inlineStr">
        <is>
          <t>2029-07-29</t>
        </is>
      </c>
      <c r="G19" s="22" t="n">
        <v>36</v>
      </c>
      <c r="H19" s="23" t="n">
        <v>515452.59</v>
      </c>
      <c r="I19" s="23" t="n">
        <v>20707.45</v>
      </c>
      <c r="J19" s="23" t="inlineStr"/>
      <c r="K19" s="23" t="inlineStr"/>
      <c r="L19" s="23" t="inlineStr"/>
      <c r="M19" s="23" t="inlineStr"/>
      <c r="N19" s="23" t="inlineStr"/>
      <c r="O19" s="23" t="inlineStr"/>
      <c r="P19" s="23">
        <f>IF(Intereses_Leasing_Mensual!O19&gt;0, ROUND($I19-Intereses_Leasing_Mensual!O19, 2), "")</f>
        <v/>
      </c>
      <c r="Q19" s="23">
        <f>IF(Intereses_Leasing_Mensual!P19&gt;0, ROUND($I19-Intereses_Leasing_Mensual!P19, 2), "")</f>
        <v/>
      </c>
      <c r="R19" s="23">
        <f>IF(Intereses_Leasing_Mensual!Q19&gt;0, ROUND($I19-Intereses_Leasing_Mensual!Q19, 2), "")</f>
        <v/>
      </c>
      <c r="S19" s="23">
        <f>IF(Intereses_Leasing_Mensual!R19&gt;0, ROUND($I19-Intereses_Leasing_Mensual!R19, 2), "")</f>
        <v/>
      </c>
      <c r="T19" s="23">
        <f>IF(Intereses_Leasing_Mensual!S19&gt;0, ROUND($I19-Intereses_Leasing_Mensual!S19, 2), "")</f>
        <v/>
      </c>
      <c r="U19" s="23">
        <f>IF(Intereses_Leasing_Mensual!T19&gt;0, ROUND($I19-Intereses_Leasing_Mensual!T19, 2), "")</f>
        <v/>
      </c>
      <c r="V19" s="23">
        <f>SUM(J19:U19)</f>
        <v/>
      </c>
    </row>
    <row r="20">
      <c r="A20" s="26" t="inlineStr">
        <is>
          <t>0524-0016</t>
        </is>
      </c>
      <c r="B20" s="27" t="inlineStr">
        <is>
          <t>Lider En Derecho De Via y Construcción SA DE CV</t>
        </is>
      </c>
      <c r="C20" s="27" t="inlineStr">
        <is>
          <t>Mitsubishi L200 GLX 2026</t>
        </is>
      </c>
      <c r="D20" s="26" t="inlineStr">
        <is>
          <t>ACTIVO</t>
        </is>
      </c>
      <c r="E20" s="26" t="inlineStr">
        <is>
          <t>2026-07-29</t>
        </is>
      </c>
      <c r="F20" s="26" t="inlineStr">
        <is>
          <t>2029-07-29</t>
        </is>
      </c>
      <c r="G20" s="28" t="n">
        <v>36</v>
      </c>
      <c r="H20" s="29" t="n">
        <v>515452.59</v>
      </c>
      <c r="I20" s="29" t="n">
        <v>20707.45</v>
      </c>
      <c r="J20" s="29" t="inlineStr"/>
      <c r="K20" s="29" t="inlineStr"/>
      <c r="L20" s="29" t="inlineStr"/>
      <c r="M20" s="29" t="inlineStr"/>
      <c r="N20" s="29" t="inlineStr"/>
      <c r="O20" s="29" t="inlineStr"/>
      <c r="P20" s="29">
        <f>IF(Intereses_Leasing_Mensual!O20&gt;0, ROUND($I20-Intereses_Leasing_Mensual!O20, 2), "")</f>
        <v/>
      </c>
      <c r="Q20" s="29">
        <f>IF(Intereses_Leasing_Mensual!P20&gt;0, ROUND($I20-Intereses_Leasing_Mensual!P20, 2), "")</f>
        <v/>
      </c>
      <c r="R20" s="29">
        <f>IF(Intereses_Leasing_Mensual!Q20&gt;0, ROUND($I20-Intereses_Leasing_Mensual!Q20, 2), "")</f>
        <v/>
      </c>
      <c r="S20" s="29">
        <f>IF(Intereses_Leasing_Mensual!R20&gt;0, ROUND($I20-Intereses_Leasing_Mensual!R20, 2), "")</f>
        <v/>
      </c>
      <c r="T20" s="29">
        <f>IF(Intereses_Leasing_Mensual!S20&gt;0, ROUND($I20-Intereses_Leasing_Mensual!S20, 2), "")</f>
        <v/>
      </c>
      <c r="U20" s="29">
        <f>IF(Intereses_Leasing_Mensual!T20&gt;0, ROUND($I20-Intereses_Leasing_Mensual!T20, 2), "")</f>
        <v/>
      </c>
      <c r="V20" s="29">
        <f>SUM(J20:U20)</f>
        <v/>
      </c>
    </row>
    <row r="21">
      <c r="A21" s="20" t="inlineStr">
        <is>
          <t>0527-0003</t>
        </is>
      </c>
      <c r="B21" s="21" t="inlineStr">
        <is>
          <t>Comercilizadora e Importadora Nabega Sa de Cv</t>
        </is>
      </c>
      <c r="C21" s="21" t="inlineStr">
        <is>
          <t>RAM 700 Big Horn CVT</t>
        </is>
      </c>
      <c r="D21" s="20" t="inlineStr">
        <is>
          <t>ACTIVO</t>
        </is>
      </c>
      <c r="E21" s="20" t="inlineStr">
        <is>
          <t>2024-05-30</t>
        </is>
      </c>
      <c r="F21" s="20" t="inlineStr">
        <is>
          <t>2027-05-30</t>
        </is>
      </c>
      <c r="G21" s="22" t="n">
        <v>36</v>
      </c>
      <c r="H21" s="23" t="n">
        <v>289586.21</v>
      </c>
      <c r="I21" s="23" t="n">
        <v>11794.94</v>
      </c>
      <c r="J21" s="23">
        <f>IF(Intereses_Leasing_Mensual!I21&gt;0, ROUND($I21-Intereses_Leasing_Mensual!I21, 2), "")</f>
        <v/>
      </c>
      <c r="K21" s="23">
        <f>IF(Intereses_Leasing_Mensual!J21&gt;0, ROUND($I21-Intereses_Leasing_Mensual!J21, 2), "")</f>
        <v/>
      </c>
      <c r="L21" s="23">
        <f>IF(Intereses_Leasing_Mensual!K21&gt;0, ROUND($I21-Intereses_Leasing_Mensual!K21, 2), "")</f>
        <v/>
      </c>
      <c r="M21" s="23">
        <f>IF(Intereses_Leasing_Mensual!L21&gt;0, ROUND($I21-Intereses_Leasing_Mensual!L21, 2), "")</f>
        <v/>
      </c>
      <c r="N21" s="23">
        <f>IF(Intereses_Leasing_Mensual!M21&gt;0, ROUND($I21-Intereses_Leasing_Mensual!M21, 2), "")</f>
        <v/>
      </c>
      <c r="O21" s="23">
        <f>IF(Intereses_Leasing_Mensual!N21&gt;0, ROUND($I21-Intereses_Leasing_Mensual!N21, 2), "")</f>
        <v/>
      </c>
      <c r="P21" s="23">
        <f>IF(Intereses_Leasing_Mensual!O21&gt;0, ROUND($I21-Intereses_Leasing_Mensual!O21, 2), "")</f>
        <v/>
      </c>
      <c r="Q21" s="23">
        <f>IF(Intereses_Leasing_Mensual!P21&gt;0, ROUND($I21-Intereses_Leasing_Mensual!P21, 2), "")</f>
        <v/>
      </c>
      <c r="R21" s="23">
        <f>IF(Intereses_Leasing_Mensual!Q21&gt;0, ROUND($I21-Intereses_Leasing_Mensual!Q21, 2), "")</f>
        <v/>
      </c>
      <c r="S21" s="23">
        <f>IF(Intereses_Leasing_Mensual!R21&gt;0, ROUND($I21-Intereses_Leasing_Mensual!R21, 2), "")</f>
        <v/>
      </c>
      <c r="T21" s="23">
        <f>IF(Intereses_Leasing_Mensual!S21&gt;0, ROUND($I21-Intereses_Leasing_Mensual!S21, 2), "")</f>
        <v/>
      </c>
      <c r="U21" s="23">
        <f>IF(Intereses_Leasing_Mensual!T21&gt;0, ROUND($I21-Intereses_Leasing_Mensual!T21, 2), "")</f>
        <v/>
      </c>
      <c r="V21" s="23">
        <f>SUM(J21:U21)</f>
        <v/>
      </c>
    </row>
    <row r="22">
      <c r="A22" s="26" t="inlineStr">
        <is>
          <t>0527-0004</t>
        </is>
      </c>
      <c r="B22" s="27" t="inlineStr">
        <is>
          <t>Comercilizadora e Importadora Nabega Sa de Cv</t>
        </is>
      </c>
      <c r="C22" s="27" t="inlineStr">
        <is>
          <t>Gmc Denali</t>
        </is>
      </c>
      <c r="D22" s="26" t="inlineStr">
        <is>
          <t>ACTIVO</t>
        </is>
      </c>
      <c r="E22" s="26" t="inlineStr">
        <is>
          <t>2025-07-31</t>
        </is>
      </c>
      <c r="F22" s="26" t="inlineStr">
        <is>
          <t>2029-07-31</t>
        </is>
      </c>
      <c r="G22" s="28" t="n">
        <v>48</v>
      </c>
      <c r="H22" s="29" t="n">
        <v>991086.21</v>
      </c>
      <c r="I22" s="29" t="n">
        <v>34769.12</v>
      </c>
      <c r="J22" s="29">
        <f>IF(Intereses_Leasing_Mensual!I22&gt;0, ROUND($I22-Intereses_Leasing_Mensual!I22, 2), "")</f>
        <v/>
      </c>
      <c r="K22" s="29">
        <f>IF(Intereses_Leasing_Mensual!J22&gt;0, ROUND($I22-Intereses_Leasing_Mensual!J22, 2), "")</f>
        <v/>
      </c>
      <c r="L22" s="29">
        <f>IF(Intereses_Leasing_Mensual!K22&gt;0, ROUND($I22-Intereses_Leasing_Mensual!K22, 2), "")</f>
        <v/>
      </c>
      <c r="M22" s="29">
        <f>IF(Intereses_Leasing_Mensual!L22&gt;0, ROUND($I22-Intereses_Leasing_Mensual!L22, 2), "")</f>
        <v/>
      </c>
      <c r="N22" s="29">
        <f>IF(Intereses_Leasing_Mensual!M22&gt;0, ROUND($I22-Intereses_Leasing_Mensual!M22, 2), "")</f>
        <v/>
      </c>
      <c r="O22" s="29">
        <f>IF(Intereses_Leasing_Mensual!N22&gt;0, ROUND($I22-Intereses_Leasing_Mensual!N22, 2), "")</f>
        <v/>
      </c>
      <c r="P22" s="29">
        <f>IF(Intereses_Leasing_Mensual!O22&gt;0, ROUND($I22-Intereses_Leasing_Mensual!O22, 2), "")</f>
        <v/>
      </c>
      <c r="Q22" s="29">
        <f>IF(Intereses_Leasing_Mensual!P22&gt;0, ROUND($I22-Intereses_Leasing_Mensual!P22, 2), "")</f>
        <v/>
      </c>
      <c r="R22" s="29">
        <f>IF(Intereses_Leasing_Mensual!Q22&gt;0, ROUND($I22-Intereses_Leasing_Mensual!Q22, 2), "")</f>
        <v/>
      </c>
      <c r="S22" s="29">
        <f>IF(Intereses_Leasing_Mensual!R22&gt;0, ROUND($I22-Intereses_Leasing_Mensual!R22, 2), "")</f>
        <v/>
      </c>
      <c r="T22" s="29">
        <f>IF(Intereses_Leasing_Mensual!S22&gt;0, ROUND($I22-Intereses_Leasing_Mensual!S22, 2), "")</f>
        <v/>
      </c>
      <c r="U22" s="29">
        <f>IF(Intereses_Leasing_Mensual!T22&gt;0, ROUND($I22-Intereses_Leasing_Mensual!T22, 2), "")</f>
        <v/>
      </c>
      <c r="V22" s="29">
        <f>SUM(J22:U22)</f>
        <v/>
      </c>
    </row>
    <row r="23">
      <c r="A23" s="20" t="inlineStr">
        <is>
          <t>0527-0005</t>
        </is>
      </c>
      <c r="B23" s="21" t="inlineStr">
        <is>
          <t>Comercilizadora e Importadora Nabega Sa de Cv</t>
        </is>
      </c>
      <c r="C23" s="21" t="inlineStr">
        <is>
          <t>Gle 450 Sport</t>
        </is>
      </c>
      <c r="D23" s="20" t="inlineStr">
        <is>
          <t>ACTIVO</t>
        </is>
      </c>
      <c r="E23" s="20" t="inlineStr">
        <is>
          <t>2025-08-16</t>
        </is>
      </c>
      <c r="F23" s="20" t="inlineStr">
        <is>
          <t>2028-08-16</t>
        </is>
      </c>
      <c r="G23" s="22" t="n">
        <v>36</v>
      </c>
      <c r="H23" s="23" t="n">
        <v>1050525</v>
      </c>
      <c r="I23" s="23" t="n">
        <v>39497.7</v>
      </c>
      <c r="J23" s="23">
        <f>IF(Intereses_Leasing_Mensual!I23&gt;0, ROUND($I23-Intereses_Leasing_Mensual!I23, 2), "")</f>
        <v/>
      </c>
      <c r="K23" s="23">
        <f>IF(Intereses_Leasing_Mensual!J23&gt;0, ROUND($I23-Intereses_Leasing_Mensual!J23, 2), "")</f>
        <v/>
      </c>
      <c r="L23" s="23">
        <f>IF(Intereses_Leasing_Mensual!K23&gt;0, ROUND($I23-Intereses_Leasing_Mensual!K23, 2), "")</f>
        <v/>
      </c>
      <c r="M23" s="23">
        <f>IF(Intereses_Leasing_Mensual!L23&gt;0, ROUND($I23-Intereses_Leasing_Mensual!L23, 2), "")</f>
        <v/>
      </c>
      <c r="N23" s="23">
        <f>IF(Intereses_Leasing_Mensual!M23&gt;0, ROUND($I23-Intereses_Leasing_Mensual!M23, 2), "")</f>
        <v/>
      </c>
      <c r="O23" s="23">
        <f>IF(Intereses_Leasing_Mensual!N23&gt;0, ROUND($I23-Intereses_Leasing_Mensual!N23, 2), "")</f>
        <v/>
      </c>
      <c r="P23" s="23">
        <f>IF(Intereses_Leasing_Mensual!O23&gt;0, ROUND($I23-Intereses_Leasing_Mensual!O23, 2), "")</f>
        <v/>
      </c>
      <c r="Q23" s="23">
        <f>IF(Intereses_Leasing_Mensual!P23&gt;0, ROUND($I23-Intereses_Leasing_Mensual!P23, 2), "")</f>
        <v/>
      </c>
      <c r="R23" s="23">
        <f>IF(Intereses_Leasing_Mensual!Q23&gt;0, ROUND($I23-Intereses_Leasing_Mensual!Q23, 2), "")</f>
        <v/>
      </c>
      <c r="S23" s="23">
        <f>IF(Intereses_Leasing_Mensual!R23&gt;0, ROUND($I23-Intereses_Leasing_Mensual!R23, 2), "")</f>
        <v/>
      </c>
      <c r="T23" s="23">
        <f>IF(Intereses_Leasing_Mensual!S23&gt;0, ROUND($I23-Intereses_Leasing_Mensual!S23, 2), "")</f>
        <v/>
      </c>
      <c r="U23" s="23">
        <f>IF(Intereses_Leasing_Mensual!T23&gt;0, ROUND($I23-Intereses_Leasing_Mensual!T23, 2), "")</f>
        <v/>
      </c>
      <c r="V23" s="23">
        <f>SUM(J23:U23)</f>
        <v/>
      </c>
    </row>
    <row r="24">
      <c r="A24" s="26" t="inlineStr">
        <is>
          <t>0531-0002</t>
        </is>
      </c>
      <c r="B24" s="27" t="inlineStr">
        <is>
          <t>Otcada Mex, S. de R.L. de C.V.</t>
        </is>
      </c>
      <c r="C24" s="27" t="inlineStr">
        <is>
          <t>Grand Cherokee Limited</t>
        </is>
      </c>
      <c r="D24" s="26" t="inlineStr">
        <is>
          <t>ACTIVO</t>
        </is>
      </c>
      <c r="E24" s="26" t="inlineStr">
        <is>
          <t>2026-06-18</t>
        </is>
      </c>
      <c r="F24" s="26" t="inlineStr">
        <is>
          <t>2030-06-18</t>
        </is>
      </c>
      <c r="G24" s="28" t="n">
        <v>48</v>
      </c>
      <c r="H24" s="29" t="n">
        <v>779340</v>
      </c>
      <c r="I24" s="29" t="n">
        <v>26856.7</v>
      </c>
      <c r="J24" s="29" t="inlineStr"/>
      <c r="K24" s="29" t="inlineStr"/>
      <c r="L24" s="29" t="inlineStr"/>
      <c r="M24" s="29" t="inlineStr"/>
      <c r="N24" s="29" t="inlineStr"/>
      <c r="O24" s="29">
        <f>IF(Intereses_Leasing_Mensual!N24&gt;0, ROUND($I24-Intereses_Leasing_Mensual!N24, 2), "")</f>
        <v/>
      </c>
      <c r="P24" s="29">
        <f>IF(Intereses_Leasing_Mensual!O24&gt;0, ROUND($I24-Intereses_Leasing_Mensual!O24, 2), "")</f>
        <v/>
      </c>
      <c r="Q24" s="29">
        <f>IF(Intereses_Leasing_Mensual!P24&gt;0, ROUND($I24-Intereses_Leasing_Mensual!P24, 2), "")</f>
        <v/>
      </c>
      <c r="R24" s="29">
        <f>IF(Intereses_Leasing_Mensual!Q24&gt;0, ROUND($I24-Intereses_Leasing_Mensual!Q24, 2), "")</f>
        <v/>
      </c>
      <c r="S24" s="29">
        <f>IF(Intereses_Leasing_Mensual!R24&gt;0, ROUND($I24-Intereses_Leasing_Mensual!R24, 2), "")</f>
        <v/>
      </c>
      <c r="T24" s="29">
        <f>IF(Intereses_Leasing_Mensual!S24&gt;0, ROUND($I24-Intereses_Leasing_Mensual!S24, 2), "")</f>
        <v/>
      </c>
      <c r="U24" s="29">
        <f>IF(Intereses_Leasing_Mensual!T24&gt;0, ROUND($I24-Intereses_Leasing_Mensual!T24, 2), "")</f>
        <v/>
      </c>
      <c r="V24" s="29">
        <f>SUM(J24:U24)</f>
        <v/>
      </c>
    </row>
    <row r="25">
      <c r="A25" s="20" t="inlineStr">
        <is>
          <t>0546-0007</t>
        </is>
      </c>
      <c r="B25" s="21" t="inlineStr">
        <is>
          <t>Norma Elena Bonilla Lupio</t>
        </is>
      </c>
      <c r="C25" s="21" t="inlineStr">
        <is>
          <t>GLC 350 E 4MATIC</t>
        </is>
      </c>
      <c r="D25" s="20" t="inlineStr">
        <is>
          <t>ACTIVO</t>
        </is>
      </c>
      <c r="E25" s="20" t="inlineStr">
        <is>
          <t>2025-10-14</t>
        </is>
      </c>
      <c r="F25" s="20" t="inlineStr">
        <is>
          <t>2027-10-14</t>
        </is>
      </c>
      <c r="G25" s="22" t="n">
        <v>24</v>
      </c>
      <c r="H25" s="23" t="n">
        <v>866917.24</v>
      </c>
      <c r="I25" s="23" t="n">
        <v>43711.28</v>
      </c>
      <c r="J25" s="23">
        <f>IF(Intereses_Leasing_Mensual!I25&gt;0, ROUND($I25-Intereses_Leasing_Mensual!I25, 2), "")</f>
        <v/>
      </c>
      <c r="K25" s="23">
        <f>IF(Intereses_Leasing_Mensual!J25&gt;0, ROUND($I25-Intereses_Leasing_Mensual!J25, 2), "")</f>
        <v/>
      </c>
      <c r="L25" s="23">
        <f>IF(Intereses_Leasing_Mensual!K25&gt;0, ROUND($I25-Intereses_Leasing_Mensual!K25, 2), "")</f>
        <v/>
      </c>
      <c r="M25" s="23">
        <f>IF(Intereses_Leasing_Mensual!L25&gt;0, ROUND($I25-Intereses_Leasing_Mensual!L25, 2), "")</f>
        <v/>
      </c>
      <c r="N25" s="23">
        <f>IF(Intereses_Leasing_Mensual!M25&gt;0, ROUND($I25-Intereses_Leasing_Mensual!M25, 2), "")</f>
        <v/>
      </c>
      <c r="O25" s="23">
        <f>IF(Intereses_Leasing_Mensual!N25&gt;0, ROUND($I25-Intereses_Leasing_Mensual!N25, 2), "")</f>
        <v/>
      </c>
      <c r="P25" s="23">
        <f>IF(Intereses_Leasing_Mensual!O25&gt;0, ROUND($I25-Intereses_Leasing_Mensual!O25, 2), "")</f>
        <v/>
      </c>
      <c r="Q25" s="23">
        <f>IF(Intereses_Leasing_Mensual!P25&gt;0, ROUND($I25-Intereses_Leasing_Mensual!P25, 2), "")</f>
        <v/>
      </c>
      <c r="R25" s="23">
        <f>IF(Intereses_Leasing_Mensual!Q25&gt;0, ROUND($I25-Intereses_Leasing_Mensual!Q25, 2), "")</f>
        <v/>
      </c>
      <c r="S25" s="23">
        <f>IF(Intereses_Leasing_Mensual!R25&gt;0, ROUND($I25-Intereses_Leasing_Mensual!R25, 2), "")</f>
        <v/>
      </c>
      <c r="T25" s="23">
        <f>IF(Intereses_Leasing_Mensual!S25&gt;0, ROUND($I25-Intereses_Leasing_Mensual!S25, 2), "")</f>
        <v/>
      </c>
      <c r="U25" s="23">
        <f>IF(Intereses_Leasing_Mensual!T25&gt;0, ROUND($I25-Intereses_Leasing_Mensual!T25, 2), "")</f>
        <v/>
      </c>
      <c r="V25" s="23">
        <f>SUM(J25:U25)</f>
        <v/>
      </c>
    </row>
    <row r="26">
      <c r="A26" s="26" t="inlineStr">
        <is>
          <t>0546-0008</t>
        </is>
      </c>
      <c r="B26" s="27" t="inlineStr">
        <is>
          <t>Norma Elena Bonilla Lupio</t>
        </is>
      </c>
      <c r="C26" s="27" t="inlineStr">
        <is>
          <t>JT MOJAVE 4X4</t>
        </is>
      </c>
      <c r="D26" s="26" t="inlineStr">
        <is>
          <t>ACTIVO</t>
        </is>
      </c>
      <c r="E26" s="26" t="inlineStr">
        <is>
          <t>2026-01-08</t>
        </is>
      </c>
      <c r="F26" s="26" t="inlineStr">
        <is>
          <t>2028-01-08</t>
        </is>
      </c>
      <c r="G26" s="28" t="n">
        <v>24</v>
      </c>
      <c r="H26" s="29" t="n">
        <v>817760.17</v>
      </c>
      <c r="I26" s="29" t="n">
        <v>42074.85</v>
      </c>
      <c r="J26" s="29">
        <f>IF(Intereses_Leasing_Mensual!I26&gt;0, ROUND($I26-Intereses_Leasing_Mensual!I26, 2), "")</f>
        <v/>
      </c>
      <c r="K26" s="29">
        <f>IF(Intereses_Leasing_Mensual!J26&gt;0, ROUND($I26-Intereses_Leasing_Mensual!J26, 2), "")</f>
        <v/>
      </c>
      <c r="L26" s="29">
        <f>IF(Intereses_Leasing_Mensual!K26&gt;0, ROUND($I26-Intereses_Leasing_Mensual!K26, 2), "")</f>
        <v/>
      </c>
      <c r="M26" s="29">
        <f>IF(Intereses_Leasing_Mensual!L26&gt;0, ROUND($I26-Intereses_Leasing_Mensual!L26, 2), "")</f>
        <v/>
      </c>
      <c r="N26" s="29">
        <f>IF(Intereses_Leasing_Mensual!M26&gt;0, ROUND($I26-Intereses_Leasing_Mensual!M26, 2), "")</f>
        <v/>
      </c>
      <c r="O26" s="29">
        <f>IF(Intereses_Leasing_Mensual!N26&gt;0, ROUND($I26-Intereses_Leasing_Mensual!N26, 2), "")</f>
        <v/>
      </c>
      <c r="P26" s="29">
        <f>IF(Intereses_Leasing_Mensual!O26&gt;0, ROUND($I26-Intereses_Leasing_Mensual!O26, 2), "")</f>
        <v/>
      </c>
      <c r="Q26" s="29">
        <f>IF(Intereses_Leasing_Mensual!P26&gt;0, ROUND($I26-Intereses_Leasing_Mensual!P26, 2), "")</f>
        <v/>
      </c>
      <c r="R26" s="29">
        <f>IF(Intereses_Leasing_Mensual!Q26&gt;0, ROUND($I26-Intereses_Leasing_Mensual!Q26, 2), "")</f>
        <v/>
      </c>
      <c r="S26" s="29">
        <f>IF(Intereses_Leasing_Mensual!R26&gt;0, ROUND($I26-Intereses_Leasing_Mensual!R26, 2), "")</f>
        <v/>
      </c>
      <c r="T26" s="29">
        <f>IF(Intereses_Leasing_Mensual!S26&gt;0, ROUND($I26-Intereses_Leasing_Mensual!S26, 2), "")</f>
        <v/>
      </c>
      <c r="U26" s="29">
        <f>IF(Intereses_Leasing_Mensual!T26&gt;0, ROUND($I26-Intereses_Leasing_Mensual!T26, 2), "")</f>
        <v/>
      </c>
      <c r="V26" s="29">
        <f>SUM(J26:U26)</f>
        <v/>
      </c>
    </row>
    <row r="27">
      <c r="A27" s="20" t="inlineStr">
        <is>
          <t>0546-0009</t>
        </is>
      </c>
      <c r="B27" s="21" t="inlineStr">
        <is>
          <t>Norma Elena Bonilla Lupio</t>
        </is>
      </c>
      <c r="C27" s="21" t="inlineStr">
        <is>
          <t>Ram 1200 Tradesman 2026</t>
        </is>
      </c>
      <c r="D27" s="20" t="inlineStr">
        <is>
          <t>ACTIVO</t>
        </is>
      </c>
      <c r="E27" s="20" t="inlineStr">
        <is>
          <t>2026-07-01</t>
        </is>
      </c>
      <c r="F27" s="20" t="inlineStr">
        <is>
          <t>2028-07-01</t>
        </is>
      </c>
      <c r="G27" s="22" t="n">
        <v>24</v>
      </c>
      <c r="H27" s="23" t="n">
        <v>270028.97</v>
      </c>
      <c r="I27" s="23" t="n">
        <v>14147.07</v>
      </c>
      <c r="J27" s="23" t="inlineStr"/>
      <c r="K27" s="23" t="inlineStr"/>
      <c r="L27" s="23" t="inlineStr"/>
      <c r="M27" s="23" t="inlineStr"/>
      <c r="N27" s="23" t="inlineStr"/>
      <c r="O27" s="23" t="inlineStr"/>
      <c r="P27" s="23">
        <f>IF(Intereses_Leasing_Mensual!O27&gt;0, ROUND($I27-Intereses_Leasing_Mensual!O27, 2), "")</f>
        <v/>
      </c>
      <c r="Q27" s="23">
        <f>IF(Intereses_Leasing_Mensual!P27&gt;0, ROUND($I27-Intereses_Leasing_Mensual!P27, 2), "")</f>
        <v/>
      </c>
      <c r="R27" s="23">
        <f>IF(Intereses_Leasing_Mensual!Q27&gt;0, ROUND($I27-Intereses_Leasing_Mensual!Q27, 2), "")</f>
        <v/>
      </c>
      <c r="S27" s="23">
        <f>IF(Intereses_Leasing_Mensual!R27&gt;0, ROUND($I27-Intereses_Leasing_Mensual!R27, 2), "")</f>
        <v/>
      </c>
      <c r="T27" s="23">
        <f>IF(Intereses_Leasing_Mensual!S27&gt;0, ROUND($I27-Intereses_Leasing_Mensual!S27, 2), "")</f>
        <v/>
      </c>
      <c r="U27" s="23">
        <f>IF(Intereses_Leasing_Mensual!T27&gt;0, ROUND($I27-Intereses_Leasing_Mensual!T27, 2), "")</f>
        <v/>
      </c>
      <c r="V27" s="23">
        <f>SUM(J27:U27)</f>
        <v/>
      </c>
    </row>
    <row r="28">
      <c r="A28" s="26" t="inlineStr">
        <is>
          <t>0551-0002</t>
        </is>
      </c>
      <c r="B28" s="27" t="inlineStr">
        <is>
          <t>Agaveros Unidos de Tequila Jalisco Aun S de RL de Cv</t>
        </is>
      </c>
      <c r="C28" s="27" t="inlineStr">
        <is>
          <t>Ram 700 Laramie</t>
        </is>
      </c>
      <c r="D28" s="26" t="inlineStr">
        <is>
          <t>ACTIVO</t>
        </is>
      </c>
      <c r="E28" s="26" t="inlineStr">
        <is>
          <t>2023-07-07</t>
        </is>
      </c>
      <c r="F28" s="26" t="inlineStr">
        <is>
          <t>2027-07-07</t>
        </is>
      </c>
      <c r="G28" s="28" t="n">
        <v>48</v>
      </c>
      <c r="H28" s="29" t="n">
        <v>247353.45</v>
      </c>
      <c r="I28" s="29" t="n">
        <v>9605.690000000001</v>
      </c>
      <c r="J28" s="29">
        <f>IF(Intereses_Leasing_Mensual!I28&gt;0, ROUND($I28-Intereses_Leasing_Mensual!I28, 2), "")</f>
        <v/>
      </c>
      <c r="K28" s="29">
        <f>IF(Intereses_Leasing_Mensual!J28&gt;0, ROUND($I28-Intereses_Leasing_Mensual!J28, 2), "")</f>
        <v/>
      </c>
      <c r="L28" s="29">
        <f>IF(Intereses_Leasing_Mensual!K28&gt;0, ROUND($I28-Intereses_Leasing_Mensual!K28, 2), "")</f>
        <v/>
      </c>
      <c r="M28" s="29">
        <f>IF(Intereses_Leasing_Mensual!L28&gt;0, ROUND($I28-Intereses_Leasing_Mensual!L28, 2), "")</f>
        <v/>
      </c>
      <c r="N28" s="29">
        <f>IF(Intereses_Leasing_Mensual!M28&gt;0, ROUND($I28-Intereses_Leasing_Mensual!M28, 2), "")</f>
        <v/>
      </c>
      <c r="O28" s="29">
        <f>IF(Intereses_Leasing_Mensual!N28&gt;0, ROUND($I28-Intereses_Leasing_Mensual!N28, 2), "")</f>
        <v/>
      </c>
      <c r="P28" s="29">
        <f>IF(Intereses_Leasing_Mensual!O28&gt;0, ROUND($I28-Intereses_Leasing_Mensual!O28, 2), "")</f>
        <v/>
      </c>
      <c r="Q28" s="29">
        <f>IF(Intereses_Leasing_Mensual!P28&gt;0, ROUND($I28-Intereses_Leasing_Mensual!P28, 2), "")</f>
        <v/>
      </c>
      <c r="R28" s="29">
        <f>IF(Intereses_Leasing_Mensual!Q28&gt;0, ROUND($I28-Intereses_Leasing_Mensual!Q28, 2), "")</f>
        <v/>
      </c>
      <c r="S28" s="29">
        <f>IF(Intereses_Leasing_Mensual!R28&gt;0, ROUND($I28-Intereses_Leasing_Mensual!R28, 2), "")</f>
        <v/>
      </c>
      <c r="T28" s="29">
        <f>IF(Intereses_Leasing_Mensual!S28&gt;0, ROUND($I28-Intereses_Leasing_Mensual!S28, 2), "")</f>
        <v/>
      </c>
      <c r="U28" s="29">
        <f>IF(Intereses_Leasing_Mensual!T28&gt;0, ROUND($I28-Intereses_Leasing_Mensual!T28, 2), "")</f>
        <v/>
      </c>
      <c r="V28" s="29">
        <f>SUM(J28:U28)</f>
        <v/>
      </c>
    </row>
    <row r="29">
      <c r="A29" s="20" t="inlineStr">
        <is>
          <t>0552-0018</t>
        </is>
      </c>
      <c r="B29" s="21" t="inlineStr">
        <is>
          <t>Transportes y Maniobras Portuarias</t>
        </is>
      </c>
      <c r="C29" s="21" t="inlineStr">
        <is>
          <t>Raizer</t>
        </is>
      </c>
      <c r="D29" s="20" t="inlineStr">
        <is>
          <t>ACTIVO</t>
        </is>
      </c>
      <c r="E29" s="20" t="inlineStr">
        <is>
          <t>2024-11-29</t>
        </is>
      </c>
      <c r="F29" s="20" t="inlineStr">
        <is>
          <t>2026-11-29</t>
        </is>
      </c>
      <c r="G29" s="22" t="n">
        <v>24</v>
      </c>
      <c r="H29" s="23" t="n">
        <v>720900</v>
      </c>
      <c r="I29" s="23" t="n">
        <v>40898.96</v>
      </c>
      <c r="J29" s="23">
        <f>IF(Intereses_Leasing_Mensual!I29&gt;0, ROUND($I29-Intereses_Leasing_Mensual!I29, 2), "")</f>
        <v/>
      </c>
      <c r="K29" s="23">
        <f>IF(Intereses_Leasing_Mensual!J29&gt;0, ROUND($I29-Intereses_Leasing_Mensual!J29, 2), "")</f>
        <v/>
      </c>
      <c r="L29" s="23">
        <f>IF(Intereses_Leasing_Mensual!K29&gt;0, ROUND($I29-Intereses_Leasing_Mensual!K29, 2), "")</f>
        <v/>
      </c>
      <c r="M29" s="23">
        <f>IF(Intereses_Leasing_Mensual!L29&gt;0, ROUND($I29-Intereses_Leasing_Mensual!L29, 2), "")</f>
        <v/>
      </c>
      <c r="N29" s="23">
        <f>IF(Intereses_Leasing_Mensual!M29&gt;0, ROUND($I29-Intereses_Leasing_Mensual!M29, 2), "")</f>
        <v/>
      </c>
      <c r="O29" s="23">
        <f>IF(Intereses_Leasing_Mensual!N29&gt;0, ROUND($I29-Intereses_Leasing_Mensual!N29, 2), "")</f>
        <v/>
      </c>
      <c r="P29" s="23">
        <f>IF(Intereses_Leasing_Mensual!O29&gt;0, ROUND($I29-Intereses_Leasing_Mensual!O29, 2), "")</f>
        <v/>
      </c>
      <c r="Q29" s="23">
        <f>IF(Intereses_Leasing_Mensual!P29&gt;0, ROUND($I29-Intereses_Leasing_Mensual!P29, 2), "")</f>
        <v/>
      </c>
      <c r="R29" s="23">
        <f>IF(Intereses_Leasing_Mensual!Q29&gt;0, ROUND($I29-Intereses_Leasing_Mensual!Q29, 2), "")</f>
        <v/>
      </c>
      <c r="S29" s="23">
        <f>IF(Intereses_Leasing_Mensual!R29&gt;0, ROUND($I29-Intereses_Leasing_Mensual!R29, 2), "")</f>
        <v/>
      </c>
      <c r="T29" s="23" t="inlineStr"/>
      <c r="U29" s="23" t="inlineStr"/>
      <c r="V29" s="23">
        <f>SUM(J29:U29)</f>
        <v/>
      </c>
    </row>
    <row r="30">
      <c r="A30" s="26" t="inlineStr">
        <is>
          <t>0552-0019</t>
        </is>
      </c>
      <c r="B30" s="27" t="inlineStr">
        <is>
          <t>Transportes y Maniobras Portuarias de Mexico Sa de Cv</t>
        </is>
      </c>
      <c r="C30" s="27" t="inlineStr">
        <is>
          <t>Remolque tipo Dolly</t>
        </is>
      </c>
      <c r="D30" s="26" t="inlineStr">
        <is>
          <t>ACTIVO</t>
        </is>
      </c>
      <c r="E30" s="26" t="inlineStr">
        <is>
          <t>2024-12-20</t>
        </is>
      </c>
      <c r="F30" s="26" t="inlineStr">
        <is>
          <t>2026-12-20</t>
        </is>
      </c>
      <c r="G30" s="28" t="n">
        <v>24</v>
      </c>
      <c r="H30" s="29" t="n">
        <v>219510</v>
      </c>
      <c r="I30" s="29" t="n">
        <v>12453.5</v>
      </c>
      <c r="J30" s="29">
        <f>IF(Intereses_Leasing_Mensual!I30&gt;0, ROUND($I30-Intereses_Leasing_Mensual!I30, 2), "")</f>
        <v/>
      </c>
      <c r="K30" s="29">
        <f>IF(Intereses_Leasing_Mensual!J30&gt;0, ROUND($I30-Intereses_Leasing_Mensual!J30, 2), "")</f>
        <v/>
      </c>
      <c r="L30" s="29">
        <f>IF(Intereses_Leasing_Mensual!K30&gt;0, ROUND($I30-Intereses_Leasing_Mensual!K30, 2), "")</f>
        <v/>
      </c>
      <c r="M30" s="29">
        <f>IF(Intereses_Leasing_Mensual!L30&gt;0, ROUND($I30-Intereses_Leasing_Mensual!L30, 2), "")</f>
        <v/>
      </c>
      <c r="N30" s="29">
        <f>IF(Intereses_Leasing_Mensual!M30&gt;0, ROUND($I30-Intereses_Leasing_Mensual!M30, 2), "")</f>
        <v/>
      </c>
      <c r="O30" s="29">
        <f>IF(Intereses_Leasing_Mensual!N30&gt;0, ROUND($I30-Intereses_Leasing_Mensual!N30, 2), "")</f>
        <v/>
      </c>
      <c r="P30" s="29">
        <f>IF(Intereses_Leasing_Mensual!O30&gt;0, ROUND($I30-Intereses_Leasing_Mensual!O30, 2), "")</f>
        <v/>
      </c>
      <c r="Q30" s="29">
        <f>IF(Intereses_Leasing_Mensual!P30&gt;0, ROUND($I30-Intereses_Leasing_Mensual!P30, 2), "")</f>
        <v/>
      </c>
      <c r="R30" s="29">
        <f>IF(Intereses_Leasing_Mensual!Q30&gt;0, ROUND($I30-Intereses_Leasing_Mensual!Q30, 2), "")</f>
        <v/>
      </c>
      <c r="S30" s="29">
        <f>IF(Intereses_Leasing_Mensual!R30&gt;0, ROUND($I30-Intereses_Leasing_Mensual!R30, 2), "")</f>
        <v/>
      </c>
      <c r="T30" s="29">
        <f>IF(Intereses_Leasing_Mensual!S30&gt;0, ROUND($I30-Intereses_Leasing_Mensual!S30, 2), "")</f>
        <v/>
      </c>
      <c r="U30" s="29" t="inlineStr"/>
      <c r="V30" s="29">
        <f>SUM(J30:U30)</f>
        <v/>
      </c>
    </row>
    <row r="31">
      <c r="A31" s="20" t="inlineStr">
        <is>
          <t>0552-0020</t>
        </is>
      </c>
      <c r="B31" s="21" t="inlineStr">
        <is>
          <t>Transportes y Maniobras Portuarias de Mexico Sa de Cv</t>
        </is>
      </c>
      <c r="C31" s="21" t="inlineStr">
        <is>
          <t>PLATAFORMA MULTIMODAL</t>
        </is>
      </c>
      <c r="D31" s="20" t="inlineStr">
        <is>
          <t>ACTIVO</t>
        </is>
      </c>
      <c r="E31" s="20" t="inlineStr">
        <is>
          <t>2024-12-26</t>
        </is>
      </c>
      <c r="F31" s="20" t="inlineStr">
        <is>
          <t>2026-12-26</t>
        </is>
      </c>
      <c r="G31" s="22" t="n">
        <v>24</v>
      </c>
      <c r="H31" s="23" t="n">
        <v>415530</v>
      </c>
      <c r="I31" s="23" t="n">
        <v>23574.34</v>
      </c>
      <c r="J31" s="23">
        <f>IF(Intereses_Leasing_Mensual!I31&gt;0, ROUND($I31-Intereses_Leasing_Mensual!I31, 2), "")</f>
        <v/>
      </c>
      <c r="K31" s="23">
        <f>IF(Intereses_Leasing_Mensual!J31&gt;0, ROUND($I31-Intereses_Leasing_Mensual!J31, 2), "")</f>
        <v/>
      </c>
      <c r="L31" s="23">
        <f>IF(Intereses_Leasing_Mensual!K31&gt;0, ROUND($I31-Intereses_Leasing_Mensual!K31, 2), "")</f>
        <v/>
      </c>
      <c r="M31" s="23">
        <f>IF(Intereses_Leasing_Mensual!L31&gt;0, ROUND($I31-Intereses_Leasing_Mensual!L31, 2), "")</f>
        <v/>
      </c>
      <c r="N31" s="23">
        <f>IF(Intereses_Leasing_Mensual!M31&gt;0, ROUND($I31-Intereses_Leasing_Mensual!M31, 2), "")</f>
        <v/>
      </c>
      <c r="O31" s="23">
        <f>IF(Intereses_Leasing_Mensual!N31&gt;0, ROUND($I31-Intereses_Leasing_Mensual!N31, 2), "")</f>
        <v/>
      </c>
      <c r="P31" s="23">
        <f>IF(Intereses_Leasing_Mensual!O31&gt;0, ROUND($I31-Intereses_Leasing_Mensual!O31, 2), "")</f>
        <v/>
      </c>
      <c r="Q31" s="23">
        <f>IF(Intereses_Leasing_Mensual!P31&gt;0, ROUND($I31-Intereses_Leasing_Mensual!P31, 2), "")</f>
        <v/>
      </c>
      <c r="R31" s="23">
        <f>IF(Intereses_Leasing_Mensual!Q31&gt;0, ROUND($I31-Intereses_Leasing_Mensual!Q31, 2), "")</f>
        <v/>
      </c>
      <c r="S31" s="23">
        <f>IF(Intereses_Leasing_Mensual!R31&gt;0, ROUND($I31-Intereses_Leasing_Mensual!R31, 2), "")</f>
        <v/>
      </c>
      <c r="T31" s="23">
        <f>IF(Intereses_Leasing_Mensual!S31&gt;0, ROUND($I31-Intereses_Leasing_Mensual!S31, 2), "")</f>
        <v/>
      </c>
      <c r="U31" s="23" t="inlineStr"/>
      <c r="V31" s="23">
        <f>SUM(J31:U31)</f>
        <v/>
      </c>
    </row>
    <row r="32">
      <c r="A32" s="26" t="inlineStr">
        <is>
          <t>0552-0021</t>
        </is>
      </c>
      <c r="B32" s="27" t="inlineStr">
        <is>
          <t>Transportes y Maniobras Portuarias de Mexico Sa de Cv</t>
        </is>
      </c>
      <c r="C32" s="27" t="inlineStr">
        <is>
          <t>PLATAFORMA MULTIMODAL</t>
        </is>
      </c>
      <c r="D32" s="26" t="inlineStr">
        <is>
          <t>ACTIVO</t>
        </is>
      </c>
      <c r="E32" s="26" t="inlineStr">
        <is>
          <t>2024-12-26</t>
        </is>
      </c>
      <c r="F32" s="26" t="inlineStr">
        <is>
          <t>2026-12-26</t>
        </is>
      </c>
      <c r="G32" s="28" t="n">
        <v>24</v>
      </c>
      <c r="H32" s="29" t="n">
        <v>415530</v>
      </c>
      <c r="I32" s="29" t="n">
        <v>23574.34</v>
      </c>
      <c r="J32" s="29">
        <f>IF(Intereses_Leasing_Mensual!I32&gt;0, ROUND($I32-Intereses_Leasing_Mensual!I32, 2), "")</f>
        <v/>
      </c>
      <c r="K32" s="29">
        <f>IF(Intereses_Leasing_Mensual!J32&gt;0, ROUND($I32-Intereses_Leasing_Mensual!J32, 2), "")</f>
        <v/>
      </c>
      <c r="L32" s="29">
        <f>IF(Intereses_Leasing_Mensual!K32&gt;0, ROUND($I32-Intereses_Leasing_Mensual!K32, 2), "")</f>
        <v/>
      </c>
      <c r="M32" s="29">
        <f>IF(Intereses_Leasing_Mensual!L32&gt;0, ROUND($I32-Intereses_Leasing_Mensual!L32, 2), "")</f>
        <v/>
      </c>
      <c r="N32" s="29">
        <f>IF(Intereses_Leasing_Mensual!M32&gt;0, ROUND($I32-Intereses_Leasing_Mensual!M32, 2), "")</f>
        <v/>
      </c>
      <c r="O32" s="29">
        <f>IF(Intereses_Leasing_Mensual!N32&gt;0, ROUND($I32-Intereses_Leasing_Mensual!N32, 2), "")</f>
        <v/>
      </c>
      <c r="P32" s="29">
        <f>IF(Intereses_Leasing_Mensual!O32&gt;0, ROUND($I32-Intereses_Leasing_Mensual!O32, 2), "")</f>
        <v/>
      </c>
      <c r="Q32" s="29">
        <f>IF(Intereses_Leasing_Mensual!P32&gt;0, ROUND($I32-Intereses_Leasing_Mensual!P32, 2), "")</f>
        <v/>
      </c>
      <c r="R32" s="29">
        <f>IF(Intereses_Leasing_Mensual!Q32&gt;0, ROUND($I32-Intereses_Leasing_Mensual!Q32, 2), "")</f>
        <v/>
      </c>
      <c r="S32" s="29">
        <f>IF(Intereses_Leasing_Mensual!R32&gt;0, ROUND($I32-Intereses_Leasing_Mensual!R32, 2), "")</f>
        <v/>
      </c>
      <c r="T32" s="29">
        <f>IF(Intereses_Leasing_Mensual!S32&gt;0, ROUND($I32-Intereses_Leasing_Mensual!S32, 2), "")</f>
        <v/>
      </c>
      <c r="U32" s="29" t="inlineStr"/>
      <c r="V32" s="29">
        <f>SUM(J32:U32)</f>
        <v/>
      </c>
    </row>
    <row r="33">
      <c r="A33" s="20" t="inlineStr">
        <is>
          <t>0552-0022</t>
        </is>
      </c>
      <c r="B33" s="21" t="inlineStr">
        <is>
          <t>Transportes y Maniobras Portuarias de Mexico Sa de Cv</t>
        </is>
      </c>
      <c r="C33" s="21" t="inlineStr">
        <is>
          <t>RZR</t>
        </is>
      </c>
      <c r="D33" s="20" t="inlineStr">
        <is>
          <t>ACTIVO</t>
        </is>
      </c>
      <c r="E33" s="20" t="inlineStr">
        <is>
          <t>2024-12-26</t>
        </is>
      </c>
      <c r="F33" s="20" t="inlineStr">
        <is>
          <t>2026-12-26</t>
        </is>
      </c>
      <c r="G33" s="22" t="n">
        <v>24</v>
      </c>
      <c r="H33" s="23" t="n">
        <v>737862.0699999999</v>
      </c>
      <c r="I33" s="23" t="n">
        <v>41857.95</v>
      </c>
      <c r="J33" s="23">
        <f>IF(Intereses_Leasing_Mensual!I33&gt;0, ROUND($I33-Intereses_Leasing_Mensual!I33, 2), "")</f>
        <v/>
      </c>
      <c r="K33" s="23">
        <f>IF(Intereses_Leasing_Mensual!J33&gt;0, ROUND($I33-Intereses_Leasing_Mensual!J33, 2), "")</f>
        <v/>
      </c>
      <c r="L33" s="23">
        <f>IF(Intereses_Leasing_Mensual!K33&gt;0, ROUND($I33-Intereses_Leasing_Mensual!K33, 2), "")</f>
        <v/>
      </c>
      <c r="M33" s="23">
        <f>IF(Intereses_Leasing_Mensual!L33&gt;0, ROUND($I33-Intereses_Leasing_Mensual!L33, 2), "")</f>
        <v/>
      </c>
      <c r="N33" s="23">
        <f>IF(Intereses_Leasing_Mensual!M33&gt;0, ROUND($I33-Intereses_Leasing_Mensual!M33, 2), "")</f>
        <v/>
      </c>
      <c r="O33" s="23">
        <f>IF(Intereses_Leasing_Mensual!N33&gt;0, ROUND($I33-Intereses_Leasing_Mensual!N33, 2), "")</f>
        <v/>
      </c>
      <c r="P33" s="23">
        <f>IF(Intereses_Leasing_Mensual!O33&gt;0, ROUND($I33-Intereses_Leasing_Mensual!O33, 2), "")</f>
        <v/>
      </c>
      <c r="Q33" s="23">
        <f>IF(Intereses_Leasing_Mensual!P33&gt;0, ROUND($I33-Intereses_Leasing_Mensual!P33, 2), "")</f>
        <v/>
      </c>
      <c r="R33" s="23">
        <f>IF(Intereses_Leasing_Mensual!Q33&gt;0, ROUND($I33-Intereses_Leasing_Mensual!Q33, 2), "")</f>
        <v/>
      </c>
      <c r="S33" s="23">
        <f>IF(Intereses_Leasing_Mensual!R33&gt;0, ROUND($I33-Intereses_Leasing_Mensual!R33, 2), "")</f>
        <v/>
      </c>
      <c r="T33" s="23">
        <f>IF(Intereses_Leasing_Mensual!S33&gt;0, ROUND($I33-Intereses_Leasing_Mensual!S33, 2), "")</f>
        <v/>
      </c>
      <c r="U33" s="23" t="inlineStr"/>
      <c r="V33" s="23">
        <f>SUM(J33:U33)</f>
        <v/>
      </c>
    </row>
    <row r="34">
      <c r="A34" s="26" t="inlineStr">
        <is>
          <t>0552-0023</t>
        </is>
      </c>
      <c r="B34" s="27" t="inlineStr">
        <is>
          <t>Transportes y Maniobras Portuarias de Mexico Sa de Cv</t>
        </is>
      </c>
      <c r="C34" s="27" t="inlineStr">
        <is>
          <t>Iternational Lt</t>
        </is>
      </c>
      <c r="D34" s="26" t="inlineStr">
        <is>
          <t>ACTIVO</t>
        </is>
      </c>
      <c r="E34" s="26" t="inlineStr">
        <is>
          <t>2025-08-27</t>
        </is>
      </c>
      <c r="F34" s="26" t="inlineStr">
        <is>
          <t>2027-08-27</t>
        </is>
      </c>
      <c r="G34" s="28" t="n">
        <v>24</v>
      </c>
      <c r="H34" s="29" t="n">
        <v>1377931.03</v>
      </c>
      <c r="I34" s="29" t="n">
        <v>73125.64999999999</v>
      </c>
      <c r="J34" s="29">
        <f>IF(Intereses_Leasing_Mensual!I34&gt;0, ROUND($I34-Intereses_Leasing_Mensual!I34, 2), "")</f>
        <v/>
      </c>
      <c r="K34" s="29">
        <f>IF(Intereses_Leasing_Mensual!J34&gt;0, ROUND($I34-Intereses_Leasing_Mensual!J34, 2), "")</f>
        <v/>
      </c>
      <c r="L34" s="29">
        <f>IF(Intereses_Leasing_Mensual!K34&gt;0, ROUND($I34-Intereses_Leasing_Mensual!K34, 2), "")</f>
        <v/>
      </c>
      <c r="M34" s="29">
        <f>IF(Intereses_Leasing_Mensual!L34&gt;0, ROUND($I34-Intereses_Leasing_Mensual!L34, 2), "")</f>
        <v/>
      </c>
      <c r="N34" s="29">
        <f>IF(Intereses_Leasing_Mensual!M34&gt;0, ROUND($I34-Intereses_Leasing_Mensual!M34, 2), "")</f>
        <v/>
      </c>
      <c r="O34" s="29">
        <f>IF(Intereses_Leasing_Mensual!N34&gt;0, ROUND($I34-Intereses_Leasing_Mensual!N34, 2), "")</f>
        <v/>
      </c>
      <c r="P34" s="29">
        <f>IF(Intereses_Leasing_Mensual!O34&gt;0, ROUND($I34-Intereses_Leasing_Mensual!O34, 2), "")</f>
        <v/>
      </c>
      <c r="Q34" s="29">
        <f>IF(Intereses_Leasing_Mensual!P34&gt;0, ROUND($I34-Intereses_Leasing_Mensual!P34, 2), "")</f>
        <v/>
      </c>
      <c r="R34" s="29">
        <f>IF(Intereses_Leasing_Mensual!Q34&gt;0, ROUND($I34-Intereses_Leasing_Mensual!Q34, 2), "")</f>
        <v/>
      </c>
      <c r="S34" s="29">
        <f>IF(Intereses_Leasing_Mensual!R34&gt;0, ROUND($I34-Intereses_Leasing_Mensual!R34, 2), "")</f>
        <v/>
      </c>
      <c r="T34" s="29">
        <f>IF(Intereses_Leasing_Mensual!S34&gt;0, ROUND($I34-Intereses_Leasing_Mensual!S34, 2), "")</f>
        <v/>
      </c>
      <c r="U34" s="29">
        <f>IF(Intereses_Leasing_Mensual!T34&gt;0, ROUND($I34-Intereses_Leasing_Mensual!T34, 2), "")</f>
        <v/>
      </c>
      <c r="V34" s="29">
        <f>SUM(J34:U34)</f>
        <v/>
      </c>
    </row>
    <row r="35">
      <c r="A35" s="20" t="inlineStr">
        <is>
          <t>0552-0024</t>
        </is>
      </c>
      <c r="B35" s="21" t="inlineStr">
        <is>
          <t>Transportes y Maniobras Portuarias de Mexico Sa de Cv</t>
        </is>
      </c>
      <c r="C35" s="21" t="inlineStr">
        <is>
          <t>Iternational Lt</t>
        </is>
      </c>
      <c r="D35" s="20" t="inlineStr">
        <is>
          <t>ACTIVO</t>
        </is>
      </c>
      <c r="E35" s="20" t="inlineStr">
        <is>
          <t>2025-08-27</t>
        </is>
      </c>
      <c r="F35" s="20" t="inlineStr">
        <is>
          <t>2027-08-27</t>
        </is>
      </c>
      <c r="G35" s="22" t="n">
        <v>24</v>
      </c>
      <c r="H35" s="23" t="n">
        <v>1377931.03</v>
      </c>
      <c r="I35" s="23" t="n">
        <v>73125.64999999999</v>
      </c>
      <c r="J35" s="23">
        <f>IF(Intereses_Leasing_Mensual!I35&gt;0, ROUND($I35-Intereses_Leasing_Mensual!I35, 2), "")</f>
        <v/>
      </c>
      <c r="K35" s="23">
        <f>IF(Intereses_Leasing_Mensual!J35&gt;0, ROUND($I35-Intereses_Leasing_Mensual!J35, 2), "")</f>
        <v/>
      </c>
      <c r="L35" s="23">
        <f>IF(Intereses_Leasing_Mensual!K35&gt;0, ROUND($I35-Intereses_Leasing_Mensual!K35, 2), "")</f>
        <v/>
      </c>
      <c r="M35" s="23">
        <f>IF(Intereses_Leasing_Mensual!L35&gt;0, ROUND($I35-Intereses_Leasing_Mensual!L35, 2), "")</f>
        <v/>
      </c>
      <c r="N35" s="23">
        <f>IF(Intereses_Leasing_Mensual!M35&gt;0, ROUND($I35-Intereses_Leasing_Mensual!M35, 2), "")</f>
        <v/>
      </c>
      <c r="O35" s="23">
        <f>IF(Intereses_Leasing_Mensual!N35&gt;0, ROUND($I35-Intereses_Leasing_Mensual!N35, 2), "")</f>
        <v/>
      </c>
      <c r="P35" s="23">
        <f>IF(Intereses_Leasing_Mensual!O35&gt;0, ROUND($I35-Intereses_Leasing_Mensual!O35, 2), "")</f>
        <v/>
      </c>
      <c r="Q35" s="23">
        <f>IF(Intereses_Leasing_Mensual!P35&gt;0, ROUND($I35-Intereses_Leasing_Mensual!P35, 2), "")</f>
        <v/>
      </c>
      <c r="R35" s="23">
        <f>IF(Intereses_Leasing_Mensual!Q35&gt;0, ROUND($I35-Intereses_Leasing_Mensual!Q35, 2), "")</f>
        <v/>
      </c>
      <c r="S35" s="23">
        <f>IF(Intereses_Leasing_Mensual!R35&gt;0, ROUND($I35-Intereses_Leasing_Mensual!R35, 2), "")</f>
        <v/>
      </c>
      <c r="T35" s="23">
        <f>IF(Intereses_Leasing_Mensual!S35&gt;0, ROUND($I35-Intereses_Leasing_Mensual!S35, 2), "")</f>
        <v/>
      </c>
      <c r="U35" s="23">
        <f>IF(Intereses_Leasing_Mensual!T35&gt;0, ROUND($I35-Intereses_Leasing_Mensual!T35, 2), "")</f>
        <v/>
      </c>
      <c r="V35" s="23">
        <f>SUM(J35:U35)</f>
        <v/>
      </c>
    </row>
    <row r="36">
      <c r="A36" s="26" t="inlineStr">
        <is>
          <t>0552-0025</t>
        </is>
      </c>
      <c r="B36" s="27" t="inlineStr">
        <is>
          <t>Transportes y Maniobras Portuarias de Mexico Sa de Cv</t>
        </is>
      </c>
      <c r="C36" s="27" t="inlineStr">
        <is>
          <t>Iternational Lt</t>
        </is>
      </c>
      <c r="D36" s="26" t="inlineStr">
        <is>
          <t>ACTIVO</t>
        </is>
      </c>
      <c r="E36" s="26" t="inlineStr">
        <is>
          <t>2025-08-27</t>
        </is>
      </c>
      <c r="F36" s="26" t="inlineStr">
        <is>
          <t>2027-08-27</t>
        </is>
      </c>
      <c r="G36" s="28" t="n">
        <v>24</v>
      </c>
      <c r="H36" s="29" t="n">
        <v>1377931.03</v>
      </c>
      <c r="I36" s="29" t="n">
        <v>73125.64999999999</v>
      </c>
      <c r="J36" s="29">
        <f>IF(Intereses_Leasing_Mensual!I36&gt;0, ROUND($I36-Intereses_Leasing_Mensual!I36, 2), "")</f>
        <v/>
      </c>
      <c r="K36" s="29">
        <f>IF(Intereses_Leasing_Mensual!J36&gt;0, ROUND($I36-Intereses_Leasing_Mensual!J36, 2), "")</f>
        <v/>
      </c>
      <c r="L36" s="29">
        <f>IF(Intereses_Leasing_Mensual!K36&gt;0, ROUND($I36-Intereses_Leasing_Mensual!K36, 2), "")</f>
        <v/>
      </c>
      <c r="M36" s="29">
        <f>IF(Intereses_Leasing_Mensual!L36&gt;0, ROUND($I36-Intereses_Leasing_Mensual!L36, 2), "")</f>
        <v/>
      </c>
      <c r="N36" s="29">
        <f>IF(Intereses_Leasing_Mensual!M36&gt;0, ROUND($I36-Intereses_Leasing_Mensual!M36, 2), "")</f>
        <v/>
      </c>
      <c r="O36" s="29">
        <f>IF(Intereses_Leasing_Mensual!N36&gt;0, ROUND($I36-Intereses_Leasing_Mensual!N36, 2), "")</f>
        <v/>
      </c>
      <c r="P36" s="29">
        <f>IF(Intereses_Leasing_Mensual!O36&gt;0, ROUND($I36-Intereses_Leasing_Mensual!O36, 2), "")</f>
        <v/>
      </c>
      <c r="Q36" s="29">
        <f>IF(Intereses_Leasing_Mensual!P36&gt;0, ROUND($I36-Intereses_Leasing_Mensual!P36, 2), "")</f>
        <v/>
      </c>
      <c r="R36" s="29">
        <f>IF(Intereses_Leasing_Mensual!Q36&gt;0, ROUND($I36-Intereses_Leasing_Mensual!Q36, 2), "")</f>
        <v/>
      </c>
      <c r="S36" s="29">
        <f>IF(Intereses_Leasing_Mensual!R36&gt;0, ROUND($I36-Intereses_Leasing_Mensual!R36, 2), "")</f>
        <v/>
      </c>
      <c r="T36" s="29">
        <f>IF(Intereses_Leasing_Mensual!S36&gt;0, ROUND($I36-Intereses_Leasing_Mensual!S36, 2), "")</f>
        <v/>
      </c>
      <c r="U36" s="29">
        <f>IF(Intereses_Leasing_Mensual!T36&gt;0, ROUND($I36-Intereses_Leasing_Mensual!T36, 2), "")</f>
        <v/>
      </c>
      <c r="V36" s="29">
        <f>SUM(J36:U36)</f>
        <v/>
      </c>
    </row>
    <row r="37">
      <c r="A37" s="20" t="inlineStr">
        <is>
          <t>0554-0003</t>
        </is>
      </c>
      <c r="B37" s="21" t="inlineStr">
        <is>
          <t>TRANSPORTES DEL BAJIO TRANSCOLD SA DE CV</t>
        </is>
      </c>
      <c r="C37" s="21" t="inlineStr">
        <is>
          <t>RAM 4000 CHASIS PLANO LARGO "PL"</t>
        </is>
      </c>
      <c r="D37" s="20" t="inlineStr">
        <is>
          <t>ACTIVO</t>
        </is>
      </c>
      <c r="E37" s="20" t="inlineStr">
        <is>
          <t>2022-11-24</t>
        </is>
      </c>
      <c r="F37" s="20" t="inlineStr">
        <is>
          <t>2026-11-24</t>
        </is>
      </c>
      <c r="G37" s="22" t="n">
        <v>48</v>
      </c>
      <c r="H37" s="23" t="n">
        <v>643825.51</v>
      </c>
      <c r="I37" s="23" t="n">
        <v>23796.53</v>
      </c>
      <c r="J37" s="23">
        <f>IF(Intereses_Leasing_Mensual!I37&gt;0, ROUND($I37-Intereses_Leasing_Mensual!I37, 2), "")</f>
        <v/>
      </c>
      <c r="K37" s="23">
        <f>IF(Intereses_Leasing_Mensual!J37&gt;0, ROUND($I37-Intereses_Leasing_Mensual!J37, 2), "")</f>
        <v/>
      </c>
      <c r="L37" s="23">
        <f>IF(Intereses_Leasing_Mensual!K37&gt;0, ROUND($I37-Intereses_Leasing_Mensual!K37, 2), "")</f>
        <v/>
      </c>
      <c r="M37" s="23">
        <f>IF(Intereses_Leasing_Mensual!L37&gt;0, ROUND($I37-Intereses_Leasing_Mensual!L37, 2), "")</f>
        <v/>
      </c>
      <c r="N37" s="23">
        <f>IF(Intereses_Leasing_Mensual!M37&gt;0, ROUND($I37-Intereses_Leasing_Mensual!M37, 2), "")</f>
        <v/>
      </c>
      <c r="O37" s="23">
        <f>IF(Intereses_Leasing_Mensual!N37&gt;0, ROUND($I37-Intereses_Leasing_Mensual!N37, 2), "")</f>
        <v/>
      </c>
      <c r="P37" s="23">
        <f>IF(Intereses_Leasing_Mensual!O37&gt;0, ROUND($I37-Intereses_Leasing_Mensual!O37, 2), "")</f>
        <v/>
      </c>
      <c r="Q37" s="23">
        <f>IF(Intereses_Leasing_Mensual!P37&gt;0, ROUND($I37-Intereses_Leasing_Mensual!P37, 2), "")</f>
        <v/>
      </c>
      <c r="R37" s="23">
        <f>IF(Intereses_Leasing_Mensual!Q37&gt;0, ROUND($I37-Intereses_Leasing_Mensual!Q37, 2), "")</f>
        <v/>
      </c>
      <c r="S37" s="23">
        <f>IF(Intereses_Leasing_Mensual!R37&gt;0, ROUND($I37-Intereses_Leasing_Mensual!R37, 2), "")</f>
        <v/>
      </c>
      <c r="T37" s="23" t="inlineStr"/>
      <c r="U37" s="23" t="inlineStr"/>
      <c r="V37" s="23">
        <f>SUM(J37:U37)</f>
        <v/>
      </c>
    </row>
    <row r="38">
      <c r="A38" s="26" t="inlineStr">
        <is>
          <t>0570-0006</t>
        </is>
      </c>
      <c r="B38" s="27" t="inlineStr">
        <is>
          <t>Jalco Iluminacion Sa de Cv</t>
        </is>
      </c>
      <c r="C38" s="27" t="inlineStr">
        <is>
          <t>RAM 700 BIG HORN</t>
        </is>
      </c>
      <c r="D38" s="26" t="inlineStr">
        <is>
          <t>ACTIVO</t>
        </is>
      </c>
      <c r="E38" s="26" t="inlineStr">
        <is>
          <t>2023-12-08</t>
        </is>
      </c>
      <c r="F38" s="26" t="inlineStr">
        <is>
          <t>2026-12-08</t>
        </is>
      </c>
      <c r="G38" s="28" t="n">
        <v>36</v>
      </c>
      <c r="H38" s="29" t="n">
        <v>313370.69</v>
      </c>
      <c r="I38" s="29" t="n">
        <v>12906.63</v>
      </c>
      <c r="J38" s="29">
        <f>IF(Intereses_Leasing_Mensual!I38&gt;0, ROUND($I38-Intereses_Leasing_Mensual!I38, 2), "")</f>
        <v/>
      </c>
      <c r="K38" s="29">
        <f>IF(Intereses_Leasing_Mensual!J38&gt;0, ROUND($I38-Intereses_Leasing_Mensual!J38, 2), "")</f>
        <v/>
      </c>
      <c r="L38" s="29">
        <f>IF(Intereses_Leasing_Mensual!K38&gt;0, ROUND($I38-Intereses_Leasing_Mensual!K38, 2), "")</f>
        <v/>
      </c>
      <c r="M38" s="29">
        <f>IF(Intereses_Leasing_Mensual!L38&gt;0, ROUND($I38-Intereses_Leasing_Mensual!L38, 2), "")</f>
        <v/>
      </c>
      <c r="N38" s="29">
        <f>IF(Intereses_Leasing_Mensual!M38&gt;0, ROUND($I38-Intereses_Leasing_Mensual!M38, 2), "")</f>
        <v/>
      </c>
      <c r="O38" s="29">
        <f>IF(Intereses_Leasing_Mensual!N38&gt;0, ROUND($I38-Intereses_Leasing_Mensual!N38, 2), "")</f>
        <v/>
      </c>
      <c r="P38" s="29">
        <f>IF(Intereses_Leasing_Mensual!O38&gt;0, ROUND($I38-Intereses_Leasing_Mensual!O38, 2), "")</f>
        <v/>
      </c>
      <c r="Q38" s="29">
        <f>IF(Intereses_Leasing_Mensual!P38&gt;0, ROUND($I38-Intereses_Leasing_Mensual!P38, 2), "")</f>
        <v/>
      </c>
      <c r="R38" s="29">
        <f>IF(Intereses_Leasing_Mensual!Q38&gt;0, ROUND($I38-Intereses_Leasing_Mensual!Q38, 2), "")</f>
        <v/>
      </c>
      <c r="S38" s="29">
        <f>IF(Intereses_Leasing_Mensual!R38&gt;0, ROUND($I38-Intereses_Leasing_Mensual!R38, 2), "")</f>
        <v/>
      </c>
      <c r="T38" s="29">
        <f>IF(Intereses_Leasing_Mensual!S38&gt;0, ROUND($I38-Intereses_Leasing_Mensual!S38, 2), "")</f>
        <v/>
      </c>
      <c r="U38" s="29" t="inlineStr"/>
      <c r="V38" s="29">
        <f>SUM(J38:U38)</f>
        <v/>
      </c>
    </row>
    <row r="39">
      <c r="A39" s="20" t="inlineStr">
        <is>
          <t>0573-0007</t>
        </is>
      </c>
      <c r="B39" s="21" t="inlineStr">
        <is>
          <t>Ar Marketing Sa de Cv</t>
        </is>
      </c>
      <c r="C39" s="21" t="inlineStr">
        <is>
          <t>Promaster Rapid</t>
        </is>
      </c>
      <c r="D39" s="20" t="inlineStr">
        <is>
          <t>ACTIVO</t>
        </is>
      </c>
      <c r="E39" s="20" t="inlineStr">
        <is>
          <t>2024-05-10</t>
        </is>
      </c>
      <c r="F39" s="20" t="inlineStr">
        <is>
          <t>2027-05-10</t>
        </is>
      </c>
      <c r="G39" s="22" t="n">
        <v>36</v>
      </c>
      <c r="H39" s="23" t="n">
        <v>180311.55</v>
      </c>
      <c r="I39" s="23" t="n">
        <v>7850.11</v>
      </c>
      <c r="J39" s="23">
        <f>IF(Intereses_Leasing_Mensual!I39&gt;0, ROUND($I39-Intereses_Leasing_Mensual!I39, 2), "")</f>
        <v/>
      </c>
      <c r="K39" s="23">
        <f>IF(Intereses_Leasing_Mensual!J39&gt;0, ROUND($I39-Intereses_Leasing_Mensual!J39, 2), "")</f>
        <v/>
      </c>
      <c r="L39" s="23">
        <f>IF(Intereses_Leasing_Mensual!K39&gt;0, ROUND($I39-Intereses_Leasing_Mensual!K39, 2), "")</f>
        <v/>
      </c>
      <c r="M39" s="23">
        <f>IF(Intereses_Leasing_Mensual!L39&gt;0, ROUND($I39-Intereses_Leasing_Mensual!L39, 2), "")</f>
        <v/>
      </c>
      <c r="N39" s="23">
        <f>IF(Intereses_Leasing_Mensual!M39&gt;0, ROUND($I39-Intereses_Leasing_Mensual!M39, 2), "")</f>
        <v/>
      </c>
      <c r="O39" s="23">
        <f>IF(Intereses_Leasing_Mensual!N39&gt;0, ROUND($I39-Intereses_Leasing_Mensual!N39, 2), "")</f>
        <v/>
      </c>
      <c r="P39" s="23">
        <f>IF(Intereses_Leasing_Mensual!O39&gt;0, ROUND($I39-Intereses_Leasing_Mensual!O39, 2), "")</f>
        <v/>
      </c>
      <c r="Q39" s="23">
        <f>IF(Intereses_Leasing_Mensual!P39&gt;0, ROUND($I39-Intereses_Leasing_Mensual!P39, 2), "")</f>
        <v/>
      </c>
      <c r="R39" s="23">
        <f>IF(Intereses_Leasing_Mensual!Q39&gt;0, ROUND($I39-Intereses_Leasing_Mensual!Q39, 2), "")</f>
        <v/>
      </c>
      <c r="S39" s="23">
        <f>IF(Intereses_Leasing_Mensual!R39&gt;0, ROUND($I39-Intereses_Leasing_Mensual!R39, 2), "")</f>
        <v/>
      </c>
      <c r="T39" s="23">
        <f>IF(Intereses_Leasing_Mensual!S39&gt;0, ROUND($I39-Intereses_Leasing_Mensual!S39, 2), "")</f>
        <v/>
      </c>
      <c r="U39" s="23">
        <f>IF(Intereses_Leasing_Mensual!T39&gt;0, ROUND($I39-Intereses_Leasing_Mensual!T39, 2), "")</f>
        <v/>
      </c>
      <c r="V39" s="23">
        <f>SUM(J39:U39)</f>
        <v/>
      </c>
    </row>
    <row r="40">
      <c r="A40" s="26" t="inlineStr">
        <is>
          <t>0573-0008</t>
        </is>
      </c>
      <c r="B40" s="27" t="inlineStr">
        <is>
          <t>Ar Marketing Sa de Cv</t>
        </is>
      </c>
      <c r="C40" s="27" t="inlineStr">
        <is>
          <t>Promaster Rapid</t>
        </is>
      </c>
      <c r="D40" s="26" t="inlineStr">
        <is>
          <t>ACTIVO</t>
        </is>
      </c>
      <c r="E40" s="26" t="inlineStr">
        <is>
          <t>2024-05-15</t>
        </is>
      </c>
      <c r="F40" s="26" t="inlineStr">
        <is>
          <t>2027-05-15</t>
        </is>
      </c>
      <c r="G40" s="28" t="n">
        <v>36</v>
      </c>
      <c r="H40" s="29" t="n">
        <v>177354.65</v>
      </c>
      <c r="I40" s="29" t="n">
        <v>7721.38</v>
      </c>
      <c r="J40" s="29">
        <f>IF(Intereses_Leasing_Mensual!I40&gt;0, ROUND($I40-Intereses_Leasing_Mensual!I40, 2), "")</f>
        <v/>
      </c>
      <c r="K40" s="29">
        <f>IF(Intereses_Leasing_Mensual!J40&gt;0, ROUND($I40-Intereses_Leasing_Mensual!J40, 2), "")</f>
        <v/>
      </c>
      <c r="L40" s="29">
        <f>IF(Intereses_Leasing_Mensual!K40&gt;0, ROUND($I40-Intereses_Leasing_Mensual!K40, 2), "")</f>
        <v/>
      </c>
      <c r="M40" s="29">
        <f>IF(Intereses_Leasing_Mensual!L40&gt;0, ROUND($I40-Intereses_Leasing_Mensual!L40, 2), "")</f>
        <v/>
      </c>
      <c r="N40" s="29">
        <f>IF(Intereses_Leasing_Mensual!M40&gt;0, ROUND($I40-Intereses_Leasing_Mensual!M40, 2), "")</f>
        <v/>
      </c>
      <c r="O40" s="29">
        <f>IF(Intereses_Leasing_Mensual!N40&gt;0, ROUND($I40-Intereses_Leasing_Mensual!N40, 2), "")</f>
        <v/>
      </c>
      <c r="P40" s="29">
        <f>IF(Intereses_Leasing_Mensual!O40&gt;0, ROUND($I40-Intereses_Leasing_Mensual!O40, 2), "")</f>
        <v/>
      </c>
      <c r="Q40" s="29">
        <f>IF(Intereses_Leasing_Mensual!P40&gt;0, ROUND($I40-Intereses_Leasing_Mensual!P40, 2), "")</f>
        <v/>
      </c>
      <c r="R40" s="29">
        <f>IF(Intereses_Leasing_Mensual!Q40&gt;0, ROUND($I40-Intereses_Leasing_Mensual!Q40, 2), "")</f>
        <v/>
      </c>
      <c r="S40" s="29">
        <f>IF(Intereses_Leasing_Mensual!R40&gt;0, ROUND($I40-Intereses_Leasing_Mensual!R40, 2), "")</f>
        <v/>
      </c>
      <c r="T40" s="29">
        <f>IF(Intereses_Leasing_Mensual!S40&gt;0, ROUND($I40-Intereses_Leasing_Mensual!S40, 2), "")</f>
        <v/>
      </c>
      <c r="U40" s="29">
        <f>IF(Intereses_Leasing_Mensual!T40&gt;0, ROUND($I40-Intereses_Leasing_Mensual!T40, 2), "")</f>
        <v/>
      </c>
      <c r="V40" s="29">
        <f>SUM(J40:U40)</f>
        <v/>
      </c>
    </row>
    <row r="41">
      <c r="A41" s="20" t="inlineStr">
        <is>
          <t>0573-0009</t>
        </is>
      </c>
      <c r="B41" s="21" t="inlineStr">
        <is>
          <t>Ar Marketing Sa de Cv</t>
        </is>
      </c>
      <c r="C41" s="21" t="inlineStr">
        <is>
          <t>Partner</t>
        </is>
      </c>
      <c r="D41" s="20" t="inlineStr">
        <is>
          <t>ACTIVO</t>
        </is>
      </c>
      <c r="E41" s="20" t="inlineStr">
        <is>
          <t>2025-11-28</t>
        </is>
      </c>
      <c r="F41" s="20" t="inlineStr">
        <is>
          <t>2028-11-28</t>
        </is>
      </c>
      <c r="G41" s="22" t="n">
        <v>36</v>
      </c>
      <c r="H41" s="23" t="n">
        <v>174397.76</v>
      </c>
      <c r="I41" s="23" t="n">
        <v>6761.91</v>
      </c>
      <c r="J41" s="23">
        <f>IF(Intereses_Leasing_Mensual!I41&gt;0, ROUND($I41-Intereses_Leasing_Mensual!I41, 2), "")</f>
        <v/>
      </c>
      <c r="K41" s="23">
        <f>IF(Intereses_Leasing_Mensual!J41&gt;0, ROUND($I41-Intereses_Leasing_Mensual!J41, 2), "")</f>
        <v/>
      </c>
      <c r="L41" s="23">
        <f>IF(Intereses_Leasing_Mensual!K41&gt;0, ROUND($I41-Intereses_Leasing_Mensual!K41, 2), "")</f>
        <v/>
      </c>
      <c r="M41" s="23">
        <f>IF(Intereses_Leasing_Mensual!L41&gt;0, ROUND($I41-Intereses_Leasing_Mensual!L41, 2), "")</f>
        <v/>
      </c>
      <c r="N41" s="23">
        <f>IF(Intereses_Leasing_Mensual!M41&gt;0, ROUND($I41-Intereses_Leasing_Mensual!M41, 2), "")</f>
        <v/>
      </c>
      <c r="O41" s="23">
        <f>IF(Intereses_Leasing_Mensual!N41&gt;0, ROUND($I41-Intereses_Leasing_Mensual!N41, 2), "")</f>
        <v/>
      </c>
      <c r="P41" s="23">
        <f>IF(Intereses_Leasing_Mensual!O41&gt;0, ROUND($I41-Intereses_Leasing_Mensual!O41, 2), "")</f>
        <v/>
      </c>
      <c r="Q41" s="23">
        <f>IF(Intereses_Leasing_Mensual!P41&gt;0, ROUND($I41-Intereses_Leasing_Mensual!P41, 2), "")</f>
        <v/>
      </c>
      <c r="R41" s="23">
        <f>IF(Intereses_Leasing_Mensual!Q41&gt;0, ROUND($I41-Intereses_Leasing_Mensual!Q41, 2), "")</f>
        <v/>
      </c>
      <c r="S41" s="23">
        <f>IF(Intereses_Leasing_Mensual!R41&gt;0, ROUND($I41-Intereses_Leasing_Mensual!R41, 2), "")</f>
        <v/>
      </c>
      <c r="T41" s="23">
        <f>IF(Intereses_Leasing_Mensual!S41&gt;0, ROUND($I41-Intereses_Leasing_Mensual!S41, 2), "")</f>
        <v/>
      </c>
      <c r="U41" s="23">
        <f>IF(Intereses_Leasing_Mensual!T41&gt;0, ROUND($I41-Intereses_Leasing_Mensual!T41, 2), "")</f>
        <v/>
      </c>
      <c r="V41" s="23">
        <f>SUM(J41:U41)</f>
        <v/>
      </c>
    </row>
    <row r="42">
      <c r="A42" s="26" t="inlineStr">
        <is>
          <t>0580-0001</t>
        </is>
      </c>
      <c r="B42" s="27" t="inlineStr">
        <is>
          <t>YOLANDA AVALOS CARDENAS</t>
        </is>
      </c>
      <c r="C42" s="27" t="inlineStr">
        <is>
          <t>Mojave</t>
        </is>
      </c>
      <c r="D42" s="26" t="inlineStr">
        <is>
          <t>ACTIVO</t>
        </is>
      </c>
      <c r="E42" s="26" t="inlineStr">
        <is>
          <t>2022-11-18</t>
        </is>
      </c>
      <c r="F42" s="26" t="inlineStr">
        <is>
          <t>2026-11-18</t>
        </is>
      </c>
      <c r="G42" s="28" t="n">
        <v>48</v>
      </c>
      <c r="H42" s="29" t="n">
        <v>1004758.62</v>
      </c>
      <c r="I42" s="29" t="n">
        <v>35584.21</v>
      </c>
      <c r="J42" s="29">
        <f>IF(Intereses_Leasing_Mensual!I42&gt;0, ROUND($I42-Intereses_Leasing_Mensual!I42, 2), "")</f>
        <v/>
      </c>
      <c r="K42" s="29">
        <f>IF(Intereses_Leasing_Mensual!J42&gt;0, ROUND($I42-Intereses_Leasing_Mensual!J42, 2), "")</f>
        <v/>
      </c>
      <c r="L42" s="29">
        <f>IF(Intereses_Leasing_Mensual!K42&gt;0, ROUND($I42-Intereses_Leasing_Mensual!K42, 2), "")</f>
        <v/>
      </c>
      <c r="M42" s="29">
        <f>IF(Intereses_Leasing_Mensual!L42&gt;0, ROUND($I42-Intereses_Leasing_Mensual!L42, 2), "")</f>
        <v/>
      </c>
      <c r="N42" s="29">
        <f>IF(Intereses_Leasing_Mensual!M42&gt;0, ROUND($I42-Intereses_Leasing_Mensual!M42, 2), "")</f>
        <v/>
      </c>
      <c r="O42" s="29">
        <f>IF(Intereses_Leasing_Mensual!N42&gt;0, ROUND($I42-Intereses_Leasing_Mensual!N42, 2), "")</f>
        <v/>
      </c>
      <c r="P42" s="29">
        <f>IF(Intereses_Leasing_Mensual!O42&gt;0, ROUND($I42-Intereses_Leasing_Mensual!O42, 2), "")</f>
        <v/>
      </c>
      <c r="Q42" s="29">
        <f>IF(Intereses_Leasing_Mensual!P42&gt;0, ROUND($I42-Intereses_Leasing_Mensual!P42, 2), "")</f>
        <v/>
      </c>
      <c r="R42" s="29">
        <f>IF(Intereses_Leasing_Mensual!Q42&gt;0, ROUND($I42-Intereses_Leasing_Mensual!Q42, 2), "")</f>
        <v/>
      </c>
      <c r="S42" s="29">
        <f>IF(Intereses_Leasing_Mensual!R42&gt;0, ROUND($I42-Intereses_Leasing_Mensual!R42, 2), "")</f>
        <v/>
      </c>
      <c r="T42" s="29" t="inlineStr"/>
      <c r="U42" s="29" t="inlineStr"/>
      <c r="V42" s="29">
        <f>SUM(J42:U42)</f>
        <v/>
      </c>
    </row>
    <row r="43">
      <c r="A43" s="20" t="inlineStr">
        <is>
          <t>0581-0001</t>
        </is>
      </c>
      <c r="B43" s="21" t="inlineStr">
        <is>
          <t>Aditivos y Vitaminas Mexicanas Sa de Cv</t>
        </is>
      </c>
      <c r="C43" s="21" t="inlineStr">
        <is>
          <t>RAM 700 REGULAR CAB</t>
        </is>
      </c>
      <c r="D43" s="20" t="inlineStr">
        <is>
          <t>ACTIVO</t>
        </is>
      </c>
      <c r="E43" s="20" t="inlineStr">
        <is>
          <t>2023-01-17</t>
        </is>
      </c>
      <c r="F43" s="20" t="inlineStr">
        <is>
          <t>2027-01-17</t>
        </is>
      </c>
      <c r="G43" s="22" t="n">
        <v>48</v>
      </c>
      <c r="H43" s="23" t="n">
        <v>179163.8</v>
      </c>
      <c r="I43" s="23" t="n">
        <v>6900.88</v>
      </c>
      <c r="J43" s="23">
        <f>IF(Intereses_Leasing_Mensual!I43&gt;0, ROUND($I43-Intereses_Leasing_Mensual!I43, 2), "")</f>
        <v/>
      </c>
      <c r="K43" s="23">
        <f>IF(Intereses_Leasing_Mensual!J43&gt;0, ROUND($I43-Intereses_Leasing_Mensual!J43, 2), "")</f>
        <v/>
      </c>
      <c r="L43" s="23">
        <f>IF(Intereses_Leasing_Mensual!K43&gt;0, ROUND($I43-Intereses_Leasing_Mensual!K43, 2), "")</f>
        <v/>
      </c>
      <c r="M43" s="23">
        <f>IF(Intereses_Leasing_Mensual!L43&gt;0, ROUND($I43-Intereses_Leasing_Mensual!L43, 2), "")</f>
        <v/>
      </c>
      <c r="N43" s="23">
        <f>IF(Intereses_Leasing_Mensual!M43&gt;0, ROUND($I43-Intereses_Leasing_Mensual!M43, 2), "")</f>
        <v/>
      </c>
      <c r="O43" s="23">
        <f>IF(Intereses_Leasing_Mensual!N43&gt;0, ROUND($I43-Intereses_Leasing_Mensual!N43, 2), "")</f>
        <v/>
      </c>
      <c r="P43" s="23">
        <f>IF(Intereses_Leasing_Mensual!O43&gt;0, ROUND($I43-Intereses_Leasing_Mensual!O43, 2), "")</f>
        <v/>
      </c>
      <c r="Q43" s="23">
        <f>IF(Intereses_Leasing_Mensual!P43&gt;0, ROUND($I43-Intereses_Leasing_Mensual!P43, 2), "")</f>
        <v/>
      </c>
      <c r="R43" s="23">
        <f>IF(Intereses_Leasing_Mensual!Q43&gt;0, ROUND($I43-Intereses_Leasing_Mensual!Q43, 2), "")</f>
        <v/>
      </c>
      <c r="S43" s="23">
        <f>IF(Intereses_Leasing_Mensual!R43&gt;0, ROUND($I43-Intereses_Leasing_Mensual!R43, 2), "")</f>
        <v/>
      </c>
      <c r="T43" s="23">
        <f>IF(Intereses_Leasing_Mensual!S43&gt;0, ROUND($I43-Intereses_Leasing_Mensual!S43, 2), "")</f>
        <v/>
      </c>
      <c r="U43" s="23">
        <f>IF(Intereses_Leasing_Mensual!T43&gt;0, ROUND($I43-Intereses_Leasing_Mensual!T43, 2), "")</f>
        <v/>
      </c>
      <c r="V43" s="23">
        <f>SUM(J43:U43)</f>
        <v/>
      </c>
    </row>
    <row r="44">
      <c r="A44" s="26" t="inlineStr">
        <is>
          <t>0581-0002</t>
        </is>
      </c>
      <c r="B44" s="27" t="inlineStr">
        <is>
          <t>Aditivos y Vitaminas Mexicanas Sa de Cv</t>
        </is>
      </c>
      <c r="C44" s="27" t="inlineStr">
        <is>
          <t>Ram 700 Regular Cab</t>
        </is>
      </c>
      <c r="D44" s="26" t="inlineStr">
        <is>
          <t>ACTIVO</t>
        </is>
      </c>
      <c r="E44" s="26" t="inlineStr">
        <is>
          <t>2024-09-18</t>
        </is>
      </c>
      <c r="F44" s="26" t="inlineStr">
        <is>
          <t>2028-09-18</t>
        </is>
      </c>
      <c r="G44" s="28" t="n">
        <v>48</v>
      </c>
      <c r="H44" s="29" t="n">
        <v>252077.59</v>
      </c>
      <c r="I44" s="29" t="n">
        <v>7717.62</v>
      </c>
      <c r="J44" s="29">
        <f>IF(Intereses_Leasing_Mensual!I44&gt;0, ROUND($I44-Intereses_Leasing_Mensual!I44, 2), "")</f>
        <v/>
      </c>
      <c r="K44" s="29">
        <f>IF(Intereses_Leasing_Mensual!J44&gt;0, ROUND($I44-Intereses_Leasing_Mensual!J44, 2), "")</f>
        <v/>
      </c>
      <c r="L44" s="29">
        <f>IF(Intereses_Leasing_Mensual!K44&gt;0, ROUND($I44-Intereses_Leasing_Mensual!K44, 2), "")</f>
        <v/>
      </c>
      <c r="M44" s="29">
        <f>IF(Intereses_Leasing_Mensual!L44&gt;0, ROUND($I44-Intereses_Leasing_Mensual!L44, 2), "")</f>
        <v/>
      </c>
      <c r="N44" s="29">
        <f>IF(Intereses_Leasing_Mensual!M44&gt;0, ROUND($I44-Intereses_Leasing_Mensual!M44, 2), "")</f>
        <v/>
      </c>
      <c r="O44" s="29">
        <f>IF(Intereses_Leasing_Mensual!N44&gt;0, ROUND($I44-Intereses_Leasing_Mensual!N44, 2), "")</f>
        <v/>
      </c>
      <c r="P44" s="29">
        <f>IF(Intereses_Leasing_Mensual!O44&gt;0, ROUND($I44-Intereses_Leasing_Mensual!O44, 2), "")</f>
        <v/>
      </c>
      <c r="Q44" s="29">
        <f>IF(Intereses_Leasing_Mensual!P44&gt;0, ROUND($I44-Intereses_Leasing_Mensual!P44, 2), "")</f>
        <v/>
      </c>
      <c r="R44" s="29">
        <f>IF(Intereses_Leasing_Mensual!Q44&gt;0, ROUND($I44-Intereses_Leasing_Mensual!Q44, 2), "")</f>
        <v/>
      </c>
      <c r="S44" s="29">
        <f>IF(Intereses_Leasing_Mensual!R44&gt;0, ROUND($I44-Intereses_Leasing_Mensual!R44, 2), "")</f>
        <v/>
      </c>
      <c r="T44" s="29">
        <f>IF(Intereses_Leasing_Mensual!S44&gt;0, ROUND($I44-Intereses_Leasing_Mensual!S44, 2), "")</f>
        <v/>
      </c>
      <c r="U44" s="29">
        <f>IF(Intereses_Leasing_Mensual!T44&gt;0, ROUND($I44-Intereses_Leasing_Mensual!T44, 2), "")</f>
        <v/>
      </c>
      <c r="V44" s="29">
        <f>SUM(J44:U44)</f>
        <v/>
      </c>
    </row>
    <row r="45">
      <c r="A45" s="20" t="inlineStr">
        <is>
          <t>0582-0003</t>
        </is>
      </c>
      <c r="B45" s="21" t="inlineStr">
        <is>
          <t>Ensaladas Frescas de Occidente Sa de Cv</t>
        </is>
      </c>
      <c r="C45" s="21" t="inlineStr">
        <is>
          <t>Pulse</t>
        </is>
      </c>
      <c r="D45" s="20" t="inlineStr">
        <is>
          <t>ACTIVO</t>
        </is>
      </c>
      <c r="E45" s="20" t="inlineStr">
        <is>
          <t>2024-07-02</t>
        </is>
      </c>
      <c r="F45" s="20" t="inlineStr">
        <is>
          <t>2028-07-02</t>
        </is>
      </c>
      <c r="G45" s="22" t="n">
        <v>48</v>
      </c>
      <c r="H45" s="23" t="n">
        <v>274267.24</v>
      </c>
      <c r="I45" s="23" t="n">
        <v>11312.78</v>
      </c>
      <c r="J45" s="23">
        <f>IF(Intereses_Leasing_Mensual!I45&gt;0, ROUND($I45-Intereses_Leasing_Mensual!I45, 2), "")</f>
        <v/>
      </c>
      <c r="K45" s="23">
        <f>IF(Intereses_Leasing_Mensual!J45&gt;0, ROUND($I45-Intereses_Leasing_Mensual!J45, 2), "")</f>
        <v/>
      </c>
      <c r="L45" s="23">
        <f>IF(Intereses_Leasing_Mensual!K45&gt;0, ROUND($I45-Intereses_Leasing_Mensual!K45, 2), "")</f>
        <v/>
      </c>
      <c r="M45" s="23">
        <f>IF(Intereses_Leasing_Mensual!L45&gt;0, ROUND($I45-Intereses_Leasing_Mensual!L45, 2), "")</f>
        <v/>
      </c>
      <c r="N45" s="23">
        <f>IF(Intereses_Leasing_Mensual!M45&gt;0, ROUND($I45-Intereses_Leasing_Mensual!M45, 2), "")</f>
        <v/>
      </c>
      <c r="O45" s="23">
        <f>IF(Intereses_Leasing_Mensual!N45&gt;0, ROUND($I45-Intereses_Leasing_Mensual!N45, 2), "")</f>
        <v/>
      </c>
      <c r="P45" s="23">
        <f>IF(Intereses_Leasing_Mensual!O45&gt;0, ROUND($I45-Intereses_Leasing_Mensual!O45, 2), "")</f>
        <v/>
      </c>
      <c r="Q45" s="23">
        <f>IF(Intereses_Leasing_Mensual!P45&gt;0, ROUND($I45-Intereses_Leasing_Mensual!P45, 2), "")</f>
        <v/>
      </c>
      <c r="R45" s="23">
        <f>IF(Intereses_Leasing_Mensual!Q45&gt;0, ROUND($I45-Intereses_Leasing_Mensual!Q45, 2), "")</f>
        <v/>
      </c>
      <c r="S45" s="23">
        <f>IF(Intereses_Leasing_Mensual!R45&gt;0, ROUND($I45-Intereses_Leasing_Mensual!R45, 2), "")</f>
        <v/>
      </c>
      <c r="T45" s="23">
        <f>IF(Intereses_Leasing_Mensual!S45&gt;0, ROUND($I45-Intereses_Leasing_Mensual!S45, 2), "")</f>
        <v/>
      </c>
      <c r="U45" s="23">
        <f>IF(Intereses_Leasing_Mensual!T45&gt;0, ROUND($I45-Intereses_Leasing_Mensual!T45, 2), "")</f>
        <v/>
      </c>
      <c r="V45" s="23">
        <f>SUM(J45:U45)</f>
        <v/>
      </c>
    </row>
    <row r="46">
      <c r="A46" s="26" t="inlineStr">
        <is>
          <t>0583-0004</t>
        </is>
      </c>
      <c r="B46" s="27" t="inlineStr">
        <is>
          <t>Soluciones Profesionales para la Industria Alimentaria</t>
        </is>
      </c>
      <c r="C46" s="27" t="inlineStr">
        <is>
          <t>BIGHORN CREW CAB MT</t>
        </is>
      </c>
      <c r="D46" s="26" t="inlineStr">
        <is>
          <t>ACTIVO</t>
        </is>
      </c>
      <c r="E46" s="26" t="inlineStr">
        <is>
          <t>2024-12-30</t>
        </is>
      </c>
      <c r="F46" s="26" t="inlineStr">
        <is>
          <t>2026-12-30</t>
        </is>
      </c>
      <c r="G46" s="28" t="n">
        <v>24</v>
      </c>
      <c r="H46" s="29" t="n">
        <v>204775.86</v>
      </c>
      <c r="I46" s="29" t="n">
        <v>11389.94</v>
      </c>
      <c r="J46" s="29">
        <f>IF(Intereses_Leasing_Mensual!I46&gt;0, ROUND($I46-Intereses_Leasing_Mensual!I46, 2), "")</f>
        <v/>
      </c>
      <c r="K46" s="29">
        <f>IF(Intereses_Leasing_Mensual!J46&gt;0, ROUND($I46-Intereses_Leasing_Mensual!J46, 2), "")</f>
        <v/>
      </c>
      <c r="L46" s="29">
        <f>IF(Intereses_Leasing_Mensual!K46&gt;0, ROUND($I46-Intereses_Leasing_Mensual!K46, 2), "")</f>
        <v/>
      </c>
      <c r="M46" s="29">
        <f>IF(Intereses_Leasing_Mensual!L46&gt;0, ROUND($I46-Intereses_Leasing_Mensual!L46, 2), "")</f>
        <v/>
      </c>
      <c r="N46" s="29">
        <f>IF(Intereses_Leasing_Mensual!M46&gt;0, ROUND($I46-Intereses_Leasing_Mensual!M46, 2), "")</f>
        <v/>
      </c>
      <c r="O46" s="29">
        <f>IF(Intereses_Leasing_Mensual!N46&gt;0, ROUND($I46-Intereses_Leasing_Mensual!N46, 2), "")</f>
        <v/>
      </c>
      <c r="P46" s="29">
        <f>IF(Intereses_Leasing_Mensual!O46&gt;0, ROUND($I46-Intereses_Leasing_Mensual!O46, 2), "")</f>
        <v/>
      </c>
      <c r="Q46" s="29">
        <f>IF(Intereses_Leasing_Mensual!P46&gt;0, ROUND($I46-Intereses_Leasing_Mensual!P46, 2), "")</f>
        <v/>
      </c>
      <c r="R46" s="29">
        <f>IF(Intereses_Leasing_Mensual!Q46&gt;0, ROUND($I46-Intereses_Leasing_Mensual!Q46, 2), "")</f>
        <v/>
      </c>
      <c r="S46" s="29">
        <f>IF(Intereses_Leasing_Mensual!R46&gt;0, ROUND($I46-Intereses_Leasing_Mensual!R46, 2), "")</f>
        <v/>
      </c>
      <c r="T46" s="29">
        <f>IF(Intereses_Leasing_Mensual!S46&gt;0, ROUND($I46-Intereses_Leasing_Mensual!S46, 2), "")</f>
        <v/>
      </c>
      <c r="U46" s="29" t="inlineStr"/>
      <c r="V46" s="29">
        <f>SUM(J46:U46)</f>
        <v/>
      </c>
    </row>
    <row r="47">
      <c r="A47" s="20" t="inlineStr">
        <is>
          <t>0583-0005</t>
        </is>
      </c>
      <c r="B47" s="21" t="inlineStr">
        <is>
          <t>Soluciones Profesionales para la Industria Alimentaria</t>
        </is>
      </c>
      <c r="C47" s="21" t="inlineStr">
        <is>
          <t>3008</t>
        </is>
      </c>
      <c r="D47" s="20" t="inlineStr">
        <is>
          <t>ACTIVO</t>
        </is>
      </c>
      <c r="E47" s="20" t="inlineStr">
        <is>
          <t>2025-01-09</t>
        </is>
      </c>
      <c r="F47" s="20" t="inlineStr">
        <is>
          <t>2028-01-09</t>
        </is>
      </c>
      <c r="G47" s="22" t="n">
        <v>36</v>
      </c>
      <c r="H47" s="23" t="n">
        <v>298137.93</v>
      </c>
      <c r="I47" s="23" t="n">
        <v>13146.52</v>
      </c>
      <c r="J47" s="23">
        <f>IF(Intereses_Leasing_Mensual!I47&gt;0, ROUND($I47-Intereses_Leasing_Mensual!I47, 2), "")</f>
        <v/>
      </c>
      <c r="K47" s="23">
        <f>IF(Intereses_Leasing_Mensual!J47&gt;0, ROUND($I47-Intereses_Leasing_Mensual!J47, 2), "")</f>
        <v/>
      </c>
      <c r="L47" s="23">
        <f>IF(Intereses_Leasing_Mensual!K47&gt;0, ROUND($I47-Intereses_Leasing_Mensual!K47, 2), "")</f>
        <v/>
      </c>
      <c r="M47" s="23">
        <f>IF(Intereses_Leasing_Mensual!L47&gt;0, ROUND($I47-Intereses_Leasing_Mensual!L47, 2), "")</f>
        <v/>
      </c>
      <c r="N47" s="23">
        <f>IF(Intereses_Leasing_Mensual!M47&gt;0, ROUND($I47-Intereses_Leasing_Mensual!M47, 2), "")</f>
        <v/>
      </c>
      <c r="O47" s="23">
        <f>IF(Intereses_Leasing_Mensual!N47&gt;0, ROUND($I47-Intereses_Leasing_Mensual!N47, 2), "")</f>
        <v/>
      </c>
      <c r="P47" s="23">
        <f>IF(Intereses_Leasing_Mensual!O47&gt;0, ROUND($I47-Intereses_Leasing_Mensual!O47, 2), "")</f>
        <v/>
      </c>
      <c r="Q47" s="23">
        <f>IF(Intereses_Leasing_Mensual!P47&gt;0, ROUND($I47-Intereses_Leasing_Mensual!P47, 2), "")</f>
        <v/>
      </c>
      <c r="R47" s="23">
        <f>IF(Intereses_Leasing_Mensual!Q47&gt;0, ROUND($I47-Intereses_Leasing_Mensual!Q47, 2), "")</f>
        <v/>
      </c>
      <c r="S47" s="23">
        <f>IF(Intereses_Leasing_Mensual!R47&gt;0, ROUND($I47-Intereses_Leasing_Mensual!R47, 2), "")</f>
        <v/>
      </c>
      <c r="T47" s="23">
        <f>IF(Intereses_Leasing_Mensual!S47&gt;0, ROUND($I47-Intereses_Leasing_Mensual!S47, 2), "")</f>
        <v/>
      </c>
      <c r="U47" s="23">
        <f>IF(Intereses_Leasing_Mensual!T47&gt;0, ROUND($I47-Intereses_Leasing_Mensual!T47, 2), "")</f>
        <v/>
      </c>
      <c r="V47" s="23">
        <f>SUM(J47:U47)</f>
        <v/>
      </c>
    </row>
    <row r="48">
      <c r="A48" s="26" t="inlineStr">
        <is>
          <t>0583-0006</t>
        </is>
      </c>
      <c r="B48" s="27" t="inlineStr">
        <is>
          <t>Soluciones Profesionales para la Industria Alimentaria</t>
        </is>
      </c>
      <c r="C48" s="27" t="inlineStr">
        <is>
          <t>Montana</t>
        </is>
      </c>
      <c r="D48" s="26" t="inlineStr">
        <is>
          <t>ACTIVO</t>
        </is>
      </c>
      <c r="E48" s="26" t="inlineStr">
        <is>
          <t>2025-11-19</t>
        </is>
      </c>
      <c r="F48" s="26" t="inlineStr">
        <is>
          <t>2027-11-19</t>
        </is>
      </c>
      <c r="G48" s="28" t="n">
        <v>24</v>
      </c>
      <c r="H48" s="29" t="n">
        <v>337568.97</v>
      </c>
      <c r="I48" s="29" t="n">
        <v>16176.47</v>
      </c>
      <c r="J48" s="29">
        <f>IF(Intereses_Leasing_Mensual!I48&gt;0, ROUND($I48-Intereses_Leasing_Mensual!I48, 2), "")</f>
        <v/>
      </c>
      <c r="K48" s="29">
        <f>IF(Intereses_Leasing_Mensual!J48&gt;0, ROUND($I48-Intereses_Leasing_Mensual!J48, 2), "")</f>
        <v/>
      </c>
      <c r="L48" s="29">
        <f>IF(Intereses_Leasing_Mensual!K48&gt;0, ROUND($I48-Intereses_Leasing_Mensual!K48, 2), "")</f>
        <v/>
      </c>
      <c r="M48" s="29">
        <f>IF(Intereses_Leasing_Mensual!L48&gt;0, ROUND($I48-Intereses_Leasing_Mensual!L48, 2), "")</f>
        <v/>
      </c>
      <c r="N48" s="29">
        <f>IF(Intereses_Leasing_Mensual!M48&gt;0, ROUND($I48-Intereses_Leasing_Mensual!M48, 2), "")</f>
        <v/>
      </c>
      <c r="O48" s="29">
        <f>IF(Intereses_Leasing_Mensual!N48&gt;0, ROUND($I48-Intereses_Leasing_Mensual!N48, 2), "")</f>
        <v/>
      </c>
      <c r="P48" s="29">
        <f>IF(Intereses_Leasing_Mensual!O48&gt;0, ROUND($I48-Intereses_Leasing_Mensual!O48, 2), "")</f>
        <v/>
      </c>
      <c r="Q48" s="29">
        <f>IF(Intereses_Leasing_Mensual!P48&gt;0, ROUND($I48-Intereses_Leasing_Mensual!P48, 2), "")</f>
        <v/>
      </c>
      <c r="R48" s="29">
        <f>IF(Intereses_Leasing_Mensual!Q48&gt;0, ROUND($I48-Intereses_Leasing_Mensual!Q48, 2), "")</f>
        <v/>
      </c>
      <c r="S48" s="29">
        <f>IF(Intereses_Leasing_Mensual!R48&gt;0, ROUND($I48-Intereses_Leasing_Mensual!R48, 2), "")</f>
        <v/>
      </c>
      <c r="T48" s="29">
        <f>IF(Intereses_Leasing_Mensual!S48&gt;0, ROUND($I48-Intereses_Leasing_Mensual!S48, 2), "")</f>
        <v/>
      </c>
      <c r="U48" s="29">
        <f>IF(Intereses_Leasing_Mensual!T48&gt;0, ROUND($I48-Intereses_Leasing_Mensual!T48, 2), "")</f>
        <v/>
      </c>
      <c r="V48" s="29">
        <f>SUM(J48:U48)</f>
        <v/>
      </c>
    </row>
    <row r="49">
      <c r="A49" s="20" t="inlineStr">
        <is>
          <t>0585-0002</t>
        </is>
      </c>
      <c r="B49" s="21" t="inlineStr">
        <is>
          <t>Julio Alberto Ramos de la Mora</t>
        </is>
      </c>
      <c r="C49" s="21" t="inlineStr">
        <is>
          <t>Ram 1500 Limited</t>
        </is>
      </c>
      <c r="D49" s="20" t="inlineStr">
        <is>
          <t>ACTIVO</t>
        </is>
      </c>
      <c r="E49" s="20" t="inlineStr">
        <is>
          <t>2025-01-08</t>
        </is>
      </c>
      <c r="F49" s="20" t="inlineStr">
        <is>
          <t>2028-01-08</t>
        </is>
      </c>
      <c r="G49" s="22" t="n">
        <v>36</v>
      </c>
      <c r="H49" s="23" t="n">
        <v>1139931.03</v>
      </c>
      <c r="I49" s="23" t="n">
        <v>46756.44</v>
      </c>
      <c r="J49" s="23">
        <f>IF(Intereses_Leasing_Mensual!I49&gt;0, ROUND($I49-Intereses_Leasing_Mensual!I49, 2), "")</f>
        <v/>
      </c>
      <c r="K49" s="23">
        <f>IF(Intereses_Leasing_Mensual!J49&gt;0, ROUND($I49-Intereses_Leasing_Mensual!J49, 2), "")</f>
        <v/>
      </c>
      <c r="L49" s="23">
        <f>IF(Intereses_Leasing_Mensual!K49&gt;0, ROUND($I49-Intereses_Leasing_Mensual!K49, 2), "")</f>
        <v/>
      </c>
      <c r="M49" s="23">
        <f>IF(Intereses_Leasing_Mensual!L49&gt;0, ROUND($I49-Intereses_Leasing_Mensual!L49, 2), "")</f>
        <v/>
      </c>
      <c r="N49" s="23">
        <f>IF(Intereses_Leasing_Mensual!M49&gt;0, ROUND($I49-Intereses_Leasing_Mensual!M49, 2), "")</f>
        <v/>
      </c>
      <c r="O49" s="23">
        <f>IF(Intereses_Leasing_Mensual!N49&gt;0, ROUND($I49-Intereses_Leasing_Mensual!N49, 2), "")</f>
        <v/>
      </c>
      <c r="P49" s="23">
        <f>IF(Intereses_Leasing_Mensual!O49&gt;0, ROUND($I49-Intereses_Leasing_Mensual!O49, 2), "")</f>
        <v/>
      </c>
      <c r="Q49" s="23">
        <f>IF(Intereses_Leasing_Mensual!P49&gt;0, ROUND($I49-Intereses_Leasing_Mensual!P49, 2), "")</f>
        <v/>
      </c>
      <c r="R49" s="23">
        <f>IF(Intereses_Leasing_Mensual!Q49&gt;0, ROUND($I49-Intereses_Leasing_Mensual!Q49, 2), "")</f>
        <v/>
      </c>
      <c r="S49" s="23">
        <f>IF(Intereses_Leasing_Mensual!R49&gt;0, ROUND($I49-Intereses_Leasing_Mensual!R49, 2), "")</f>
        <v/>
      </c>
      <c r="T49" s="23">
        <f>IF(Intereses_Leasing_Mensual!S49&gt;0, ROUND($I49-Intereses_Leasing_Mensual!S49, 2), "")</f>
        <v/>
      </c>
      <c r="U49" s="23">
        <f>IF(Intereses_Leasing_Mensual!T49&gt;0, ROUND($I49-Intereses_Leasing_Mensual!T49, 2), "")</f>
        <v/>
      </c>
      <c r="V49" s="23">
        <f>SUM(J49:U49)</f>
        <v/>
      </c>
    </row>
    <row r="50">
      <c r="A50" s="26" t="inlineStr">
        <is>
          <t>0585-0003</t>
        </is>
      </c>
      <c r="B50" s="27" t="inlineStr">
        <is>
          <t>Julio Alberto Ramos de la Mora</t>
        </is>
      </c>
      <c r="C50" s="27" t="inlineStr">
        <is>
          <t>Wrangler Rubicon</t>
        </is>
      </c>
      <c r="D50" s="26" t="inlineStr">
        <is>
          <t>ACTIVO</t>
        </is>
      </c>
      <c r="E50" s="26" t="inlineStr">
        <is>
          <t>2025-01-17</t>
        </is>
      </c>
      <c r="F50" s="26" t="inlineStr">
        <is>
          <t>2029-01-17</t>
        </is>
      </c>
      <c r="G50" s="28" t="n">
        <v>48</v>
      </c>
      <c r="H50" s="29" t="n">
        <v>1014068.97</v>
      </c>
      <c r="I50" s="29" t="n">
        <v>37949.41</v>
      </c>
      <c r="J50" s="29">
        <f>IF(Intereses_Leasing_Mensual!I50&gt;0, ROUND($I50-Intereses_Leasing_Mensual!I50, 2), "")</f>
        <v/>
      </c>
      <c r="K50" s="29">
        <f>IF(Intereses_Leasing_Mensual!J50&gt;0, ROUND($I50-Intereses_Leasing_Mensual!J50, 2), "")</f>
        <v/>
      </c>
      <c r="L50" s="29">
        <f>IF(Intereses_Leasing_Mensual!K50&gt;0, ROUND($I50-Intereses_Leasing_Mensual!K50, 2), "")</f>
        <v/>
      </c>
      <c r="M50" s="29">
        <f>IF(Intereses_Leasing_Mensual!L50&gt;0, ROUND($I50-Intereses_Leasing_Mensual!L50, 2), "")</f>
        <v/>
      </c>
      <c r="N50" s="29">
        <f>IF(Intereses_Leasing_Mensual!M50&gt;0, ROUND($I50-Intereses_Leasing_Mensual!M50, 2), "")</f>
        <v/>
      </c>
      <c r="O50" s="29">
        <f>IF(Intereses_Leasing_Mensual!N50&gt;0, ROUND($I50-Intereses_Leasing_Mensual!N50, 2), "")</f>
        <v/>
      </c>
      <c r="P50" s="29">
        <f>IF(Intereses_Leasing_Mensual!O50&gt;0, ROUND($I50-Intereses_Leasing_Mensual!O50, 2), "")</f>
        <v/>
      </c>
      <c r="Q50" s="29">
        <f>IF(Intereses_Leasing_Mensual!P50&gt;0, ROUND($I50-Intereses_Leasing_Mensual!P50, 2), "")</f>
        <v/>
      </c>
      <c r="R50" s="29">
        <f>IF(Intereses_Leasing_Mensual!Q50&gt;0, ROUND($I50-Intereses_Leasing_Mensual!Q50, 2), "")</f>
        <v/>
      </c>
      <c r="S50" s="29">
        <f>IF(Intereses_Leasing_Mensual!R50&gt;0, ROUND($I50-Intereses_Leasing_Mensual!R50, 2), "")</f>
        <v/>
      </c>
      <c r="T50" s="29">
        <f>IF(Intereses_Leasing_Mensual!S50&gt;0, ROUND($I50-Intereses_Leasing_Mensual!S50, 2), "")</f>
        <v/>
      </c>
      <c r="U50" s="29">
        <f>IF(Intereses_Leasing_Mensual!T50&gt;0, ROUND($I50-Intereses_Leasing_Mensual!T50, 2), "")</f>
        <v/>
      </c>
      <c r="V50" s="29">
        <f>SUM(J50:U50)</f>
        <v/>
      </c>
    </row>
    <row r="51">
      <c r="A51" s="20" t="inlineStr">
        <is>
          <t>0585-0004</t>
        </is>
      </c>
      <c r="B51" s="21" t="inlineStr">
        <is>
          <t>Julio Alberto Ramos de la Mora</t>
        </is>
      </c>
      <c r="C51" s="21" t="inlineStr">
        <is>
          <t>Hrv Sport</t>
        </is>
      </c>
      <c r="D51" s="20" t="inlineStr">
        <is>
          <t>ACTIVO</t>
        </is>
      </c>
      <c r="E51" s="20" t="inlineStr">
        <is>
          <t>2025-05-28</t>
        </is>
      </c>
      <c r="F51" s="20" t="inlineStr">
        <is>
          <t>2028-05-28</t>
        </is>
      </c>
      <c r="G51" s="22" t="n">
        <v>36</v>
      </c>
      <c r="H51" s="23" t="n">
        <v>325810.34</v>
      </c>
      <c r="I51" s="23" t="n">
        <v>13266.33</v>
      </c>
      <c r="J51" s="23">
        <f>IF(Intereses_Leasing_Mensual!I51&gt;0, ROUND($I51-Intereses_Leasing_Mensual!I51, 2), "")</f>
        <v/>
      </c>
      <c r="K51" s="23">
        <f>IF(Intereses_Leasing_Mensual!J51&gt;0, ROUND($I51-Intereses_Leasing_Mensual!J51, 2), "")</f>
        <v/>
      </c>
      <c r="L51" s="23">
        <f>IF(Intereses_Leasing_Mensual!K51&gt;0, ROUND($I51-Intereses_Leasing_Mensual!K51, 2), "")</f>
        <v/>
      </c>
      <c r="M51" s="23">
        <f>IF(Intereses_Leasing_Mensual!L51&gt;0, ROUND($I51-Intereses_Leasing_Mensual!L51, 2), "")</f>
        <v/>
      </c>
      <c r="N51" s="23">
        <f>IF(Intereses_Leasing_Mensual!M51&gt;0, ROUND($I51-Intereses_Leasing_Mensual!M51, 2), "")</f>
        <v/>
      </c>
      <c r="O51" s="23">
        <f>IF(Intereses_Leasing_Mensual!N51&gt;0, ROUND($I51-Intereses_Leasing_Mensual!N51, 2), "")</f>
        <v/>
      </c>
      <c r="P51" s="23">
        <f>IF(Intereses_Leasing_Mensual!O51&gt;0, ROUND($I51-Intereses_Leasing_Mensual!O51, 2), "")</f>
        <v/>
      </c>
      <c r="Q51" s="23">
        <f>IF(Intereses_Leasing_Mensual!P51&gt;0, ROUND($I51-Intereses_Leasing_Mensual!P51, 2), "")</f>
        <v/>
      </c>
      <c r="R51" s="23">
        <f>IF(Intereses_Leasing_Mensual!Q51&gt;0, ROUND($I51-Intereses_Leasing_Mensual!Q51, 2), "")</f>
        <v/>
      </c>
      <c r="S51" s="23">
        <f>IF(Intereses_Leasing_Mensual!R51&gt;0, ROUND($I51-Intereses_Leasing_Mensual!R51, 2), "")</f>
        <v/>
      </c>
      <c r="T51" s="23">
        <f>IF(Intereses_Leasing_Mensual!S51&gt;0, ROUND($I51-Intereses_Leasing_Mensual!S51, 2), "")</f>
        <v/>
      </c>
      <c r="U51" s="23">
        <f>IF(Intereses_Leasing_Mensual!T51&gt;0, ROUND($I51-Intereses_Leasing_Mensual!T51, 2), "")</f>
        <v/>
      </c>
      <c r="V51" s="23">
        <f>SUM(J51:U51)</f>
        <v/>
      </c>
    </row>
    <row r="52">
      <c r="A52" s="26" t="inlineStr">
        <is>
          <t>0585-0005</t>
        </is>
      </c>
      <c r="B52" s="27" t="inlineStr">
        <is>
          <t>Julio Alberto Ramos de la Mora</t>
        </is>
      </c>
      <c r="C52" s="27" t="inlineStr">
        <is>
          <t>M9 GL HEV</t>
        </is>
      </c>
      <c r="D52" s="26" t="inlineStr">
        <is>
          <t>ACTIVO</t>
        </is>
      </c>
      <c r="E52" s="26" t="inlineStr">
        <is>
          <t>2025-12-12</t>
        </is>
      </c>
      <c r="F52" s="26" t="inlineStr">
        <is>
          <t>2027-12-12</t>
        </is>
      </c>
      <c r="G52" s="28" t="n">
        <v>24</v>
      </c>
      <c r="H52" s="29" t="n">
        <v>506793.1</v>
      </c>
      <c r="I52" s="29" t="n">
        <v>26075.18</v>
      </c>
      <c r="J52" s="29">
        <f>IF(Intereses_Leasing_Mensual!I52&gt;0, ROUND($I52-Intereses_Leasing_Mensual!I52, 2), "")</f>
        <v/>
      </c>
      <c r="K52" s="29">
        <f>IF(Intereses_Leasing_Mensual!J52&gt;0, ROUND($I52-Intereses_Leasing_Mensual!J52, 2), "")</f>
        <v/>
      </c>
      <c r="L52" s="29">
        <f>IF(Intereses_Leasing_Mensual!K52&gt;0, ROUND($I52-Intereses_Leasing_Mensual!K52, 2), "")</f>
        <v/>
      </c>
      <c r="M52" s="29">
        <f>IF(Intereses_Leasing_Mensual!L52&gt;0, ROUND($I52-Intereses_Leasing_Mensual!L52, 2), "")</f>
        <v/>
      </c>
      <c r="N52" s="29">
        <f>IF(Intereses_Leasing_Mensual!M52&gt;0, ROUND($I52-Intereses_Leasing_Mensual!M52, 2), "")</f>
        <v/>
      </c>
      <c r="O52" s="29">
        <f>IF(Intereses_Leasing_Mensual!N52&gt;0, ROUND($I52-Intereses_Leasing_Mensual!N52, 2), "")</f>
        <v/>
      </c>
      <c r="P52" s="29">
        <f>IF(Intereses_Leasing_Mensual!O52&gt;0, ROUND($I52-Intereses_Leasing_Mensual!O52, 2), "")</f>
        <v/>
      </c>
      <c r="Q52" s="29">
        <f>IF(Intereses_Leasing_Mensual!P52&gt;0, ROUND($I52-Intereses_Leasing_Mensual!P52, 2), "")</f>
        <v/>
      </c>
      <c r="R52" s="29">
        <f>IF(Intereses_Leasing_Mensual!Q52&gt;0, ROUND($I52-Intereses_Leasing_Mensual!Q52, 2), "")</f>
        <v/>
      </c>
      <c r="S52" s="29">
        <f>IF(Intereses_Leasing_Mensual!R52&gt;0, ROUND($I52-Intereses_Leasing_Mensual!R52, 2), "")</f>
        <v/>
      </c>
      <c r="T52" s="29">
        <f>IF(Intereses_Leasing_Mensual!S52&gt;0, ROUND($I52-Intereses_Leasing_Mensual!S52, 2), "")</f>
        <v/>
      </c>
      <c r="U52" s="29">
        <f>IF(Intereses_Leasing_Mensual!T52&gt;0, ROUND($I52-Intereses_Leasing_Mensual!T52, 2), "")</f>
        <v/>
      </c>
      <c r="V52" s="29">
        <f>SUM(J52:U52)</f>
        <v/>
      </c>
    </row>
    <row r="53">
      <c r="A53" s="20" t="inlineStr">
        <is>
          <t>0587-0002</t>
        </is>
      </c>
      <c r="B53" s="21" t="inlineStr">
        <is>
          <t>Allioth, S.C.</t>
        </is>
      </c>
      <c r="C53" s="21" t="inlineStr">
        <is>
          <t>Grand Cherokee L Summit</t>
        </is>
      </c>
      <c r="D53" s="20" t="inlineStr">
        <is>
          <t>ACTIVO</t>
        </is>
      </c>
      <c r="E53" s="20" t="inlineStr">
        <is>
          <t>2026-02-09</t>
        </is>
      </c>
      <c r="F53" s="20" t="inlineStr">
        <is>
          <t>2027-02-09</t>
        </is>
      </c>
      <c r="G53" s="22" t="n">
        <v>12</v>
      </c>
      <c r="H53" s="23" t="n">
        <v>548202.59</v>
      </c>
      <c r="I53" s="23" t="n">
        <v>37131.09</v>
      </c>
      <c r="J53" s="23" t="inlineStr"/>
      <c r="K53" s="23">
        <f>IF(Intereses_Leasing_Mensual!J53&gt;0, ROUND($I53-Intereses_Leasing_Mensual!J53, 2), "")</f>
        <v/>
      </c>
      <c r="L53" s="23">
        <f>IF(Intereses_Leasing_Mensual!K53&gt;0, ROUND($I53-Intereses_Leasing_Mensual!K53, 2), "")</f>
        <v/>
      </c>
      <c r="M53" s="23">
        <f>IF(Intereses_Leasing_Mensual!L53&gt;0, ROUND($I53-Intereses_Leasing_Mensual!L53, 2), "")</f>
        <v/>
      </c>
      <c r="N53" s="23">
        <f>IF(Intereses_Leasing_Mensual!M53&gt;0, ROUND($I53-Intereses_Leasing_Mensual!M53, 2), "")</f>
        <v/>
      </c>
      <c r="O53" s="23">
        <f>IF(Intereses_Leasing_Mensual!N53&gt;0, ROUND($I53-Intereses_Leasing_Mensual!N53, 2), "")</f>
        <v/>
      </c>
      <c r="P53" s="23">
        <f>IF(Intereses_Leasing_Mensual!O53&gt;0, ROUND($I53-Intereses_Leasing_Mensual!O53, 2), "")</f>
        <v/>
      </c>
      <c r="Q53" s="23">
        <f>IF(Intereses_Leasing_Mensual!P53&gt;0, ROUND($I53-Intereses_Leasing_Mensual!P53, 2), "")</f>
        <v/>
      </c>
      <c r="R53" s="23">
        <f>IF(Intereses_Leasing_Mensual!Q53&gt;0, ROUND($I53-Intereses_Leasing_Mensual!Q53, 2), "")</f>
        <v/>
      </c>
      <c r="S53" s="23">
        <f>IF(Intereses_Leasing_Mensual!R53&gt;0, ROUND($I53-Intereses_Leasing_Mensual!R53, 2), "")</f>
        <v/>
      </c>
      <c r="T53" s="23">
        <f>IF(Intereses_Leasing_Mensual!S53&gt;0, ROUND($I53-Intereses_Leasing_Mensual!S53, 2), "")</f>
        <v/>
      </c>
      <c r="U53" s="23">
        <f>IF(Intereses_Leasing_Mensual!T53&gt;0, ROUND($I53-Intereses_Leasing_Mensual!T53, 2), "")</f>
        <v/>
      </c>
      <c r="V53" s="23">
        <f>SUM(J53:U53)</f>
        <v/>
      </c>
    </row>
    <row r="54">
      <c r="A54" s="26" t="inlineStr">
        <is>
          <t>0591-0002</t>
        </is>
      </c>
      <c r="B54" s="27" t="inlineStr">
        <is>
          <t>Cervantech Servicios Tecnologicos Sc</t>
        </is>
      </c>
      <c r="C54" s="27" t="inlineStr">
        <is>
          <t>WRANGLER RUBICON</t>
        </is>
      </c>
      <c r="D54" s="26" t="inlineStr">
        <is>
          <t>ACTIVO</t>
        </is>
      </c>
      <c r="E54" s="26" t="inlineStr">
        <is>
          <t>2023-10-27</t>
        </is>
      </c>
      <c r="F54" s="26" t="inlineStr">
        <is>
          <t>2026-10-27</t>
        </is>
      </c>
      <c r="G54" s="28" t="n">
        <v>36</v>
      </c>
      <c r="H54" s="29" t="n">
        <v>884068.97</v>
      </c>
      <c r="I54" s="29" t="n">
        <v>35164.06</v>
      </c>
      <c r="J54" s="29">
        <f>IF(Intereses_Leasing_Mensual!I54&gt;0, ROUND($I54-Intereses_Leasing_Mensual!I54, 2), "")</f>
        <v/>
      </c>
      <c r="K54" s="29">
        <f>IF(Intereses_Leasing_Mensual!J54&gt;0, ROUND($I54-Intereses_Leasing_Mensual!J54, 2), "")</f>
        <v/>
      </c>
      <c r="L54" s="29">
        <f>IF(Intereses_Leasing_Mensual!K54&gt;0, ROUND($I54-Intereses_Leasing_Mensual!K54, 2), "")</f>
        <v/>
      </c>
      <c r="M54" s="29">
        <f>IF(Intereses_Leasing_Mensual!L54&gt;0, ROUND($I54-Intereses_Leasing_Mensual!L54, 2), "")</f>
        <v/>
      </c>
      <c r="N54" s="29">
        <f>IF(Intereses_Leasing_Mensual!M54&gt;0, ROUND($I54-Intereses_Leasing_Mensual!M54, 2), "")</f>
        <v/>
      </c>
      <c r="O54" s="29">
        <f>IF(Intereses_Leasing_Mensual!N54&gt;0, ROUND($I54-Intereses_Leasing_Mensual!N54, 2), "")</f>
        <v/>
      </c>
      <c r="P54" s="29">
        <f>IF(Intereses_Leasing_Mensual!O54&gt;0, ROUND($I54-Intereses_Leasing_Mensual!O54, 2), "")</f>
        <v/>
      </c>
      <c r="Q54" s="29">
        <f>IF(Intereses_Leasing_Mensual!P54&gt;0, ROUND($I54-Intereses_Leasing_Mensual!P54, 2), "")</f>
        <v/>
      </c>
      <c r="R54" s="29">
        <f>IF(Intereses_Leasing_Mensual!Q54&gt;0, ROUND($I54-Intereses_Leasing_Mensual!Q54, 2), "")</f>
        <v/>
      </c>
      <c r="S54" s="29" t="inlineStr"/>
      <c r="T54" s="29" t="inlineStr"/>
      <c r="U54" s="29" t="inlineStr"/>
      <c r="V54" s="29">
        <f>SUM(J54:U54)</f>
        <v/>
      </c>
    </row>
    <row r="55">
      <c r="A55" s="20" t="inlineStr">
        <is>
          <t>0593-0002</t>
        </is>
      </c>
      <c r="B55" s="21" t="inlineStr">
        <is>
          <t>Metales y Minerales Moa Sa de Cv</t>
        </is>
      </c>
      <c r="C55" s="21" t="inlineStr">
        <is>
          <t>Ram 700 SLT Crew Cab</t>
        </is>
      </c>
      <c r="D55" s="20" t="inlineStr">
        <is>
          <t>ACTIVO</t>
        </is>
      </c>
      <c r="E55" s="20" t="inlineStr">
        <is>
          <t>2023-07-04</t>
        </is>
      </c>
      <c r="F55" s="20" t="inlineStr">
        <is>
          <t>2027-07-04</t>
        </is>
      </c>
      <c r="G55" s="22" t="n">
        <v>48</v>
      </c>
      <c r="H55" s="23" t="n">
        <v>284396.55</v>
      </c>
      <c r="I55" s="23" t="n">
        <v>11076.61</v>
      </c>
      <c r="J55" s="23">
        <f>IF(Intereses_Leasing_Mensual!I55&gt;0, ROUND($I55-Intereses_Leasing_Mensual!I55, 2), "")</f>
        <v/>
      </c>
      <c r="K55" s="23">
        <f>IF(Intereses_Leasing_Mensual!J55&gt;0, ROUND($I55-Intereses_Leasing_Mensual!J55, 2), "")</f>
        <v/>
      </c>
      <c r="L55" s="23">
        <f>IF(Intereses_Leasing_Mensual!K55&gt;0, ROUND($I55-Intereses_Leasing_Mensual!K55, 2), "")</f>
        <v/>
      </c>
      <c r="M55" s="23">
        <f>IF(Intereses_Leasing_Mensual!L55&gt;0, ROUND($I55-Intereses_Leasing_Mensual!L55, 2), "")</f>
        <v/>
      </c>
      <c r="N55" s="23">
        <f>IF(Intereses_Leasing_Mensual!M55&gt;0, ROUND($I55-Intereses_Leasing_Mensual!M55, 2), "")</f>
        <v/>
      </c>
      <c r="O55" s="23">
        <f>IF(Intereses_Leasing_Mensual!N55&gt;0, ROUND($I55-Intereses_Leasing_Mensual!N55, 2), "")</f>
        <v/>
      </c>
      <c r="P55" s="23">
        <f>IF(Intereses_Leasing_Mensual!O55&gt;0, ROUND($I55-Intereses_Leasing_Mensual!O55, 2), "")</f>
        <v/>
      </c>
      <c r="Q55" s="23">
        <f>IF(Intereses_Leasing_Mensual!P55&gt;0, ROUND($I55-Intereses_Leasing_Mensual!P55, 2), "")</f>
        <v/>
      </c>
      <c r="R55" s="23">
        <f>IF(Intereses_Leasing_Mensual!Q55&gt;0, ROUND($I55-Intereses_Leasing_Mensual!Q55, 2), "")</f>
        <v/>
      </c>
      <c r="S55" s="23">
        <f>IF(Intereses_Leasing_Mensual!R55&gt;0, ROUND($I55-Intereses_Leasing_Mensual!R55, 2), "")</f>
        <v/>
      </c>
      <c r="T55" s="23">
        <f>IF(Intereses_Leasing_Mensual!S55&gt;0, ROUND($I55-Intereses_Leasing_Mensual!S55, 2), "")</f>
        <v/>
      </c>
      <c r="U55" s="23">
        <f>IF(Intereses_Leasing_Mensual!T55&gt;0, ROUND($I55-Intereses_Leasing_Mensual!T55, 2), "")</f>
        <v/>
      </c>
      <c r="V55" s="23">
        <f>SUM(J55:U55)</f>
        <v/>
      </c>
    </row>
    <row r="56">
      <c r="A56" s="26" t="inlineStr">
        <is>
          <t>0594-0001</t>
        </is>
      </c>
      <c r="B56" s="27" t="inlineStr">
        <is>
          <t>Biotecnologia Estetica Sa de Cv</t>
        </is>
      </c>
      <c r="C56" s="27" t="inlineStr">
        <is>
          <t>Mobi Like</t>
        </is>
      </c>
      <c r="D56" s="26" t="inlineStr">
        <is>
          <t>ACTIVO</t>
        </is>
      </c>
      <c r="E56" s="26" t="inlineStr">
        <is>
          <t>2023-02-23</t>
        </is>
      </c>
      <c r="F56" s="26" t="inlineStr">
        <is>
          <t>2027-02-23</t>
        </is>
      </c>
      <c r="G56" s="28" t="n">
        <v>48</v>
      </c>
      <c r="H56" s="29" t="n">
        <v>188068.97</v>
      </c>
      <c r="I56" s="29" t="n">
        <v>7346.7</v>
      </c>
      <c r="J56" s="29">
        <f>IF(Intereses_Leasing_Mensual!I56&gt;0, ROUND($I56-Intereses_Leasing_Mensual!I56, 2), "")</f>
        <v/>
      </c>
      <c r="K56" s="29">
        <f>IF(Intereses_Leasing_Mensual!J56&gt;0, ROUND($I56-Intereses_Leasing_Mensual!J56, 2), "")</f>
        <v/>
      </c>
      <c r="L56" s="29">
        <f>IF(Intereses_Leasing_Mensual!K56&gt;0, ROUND($I56-Intereses_Leasing_Mensual!K56, 2), "")</f>
        <v/>
      </c>
      <c r="M56" s="29">
        <f>IF(Intereses_Leasing_Mensual!L56&gt;0, ROUND($I56-Intereses_Leasing_Mensual!L56, 2), "")</f>
        <v/>
      </c>
      <c r="N56" s="29">
        <f>IF(Intereses_Leasing_Mensual!M56&gt;0, ROUND($I56-Intereses_Leasing_Mensual!M56, 2), "")</f>
        <v/>
      </c>
      <c r="O56" s="29">
        <f>IF(Intereses_Leasing_Mensual!N56&gt;0, ROUND($I56-Intereses_Leasing_Mensual!N56, 2), "")</f>
        <v/>
      </c>
      <c r="P56" s="29">
        <f>IF(Intereses_Leasing_Mensual!O56&gt;0, ROUND($I56-Intereses_Leasing_Mensual!O56, 2), "")</f>
        <v/>
      </c>
      <c r="Q56" s="29">
        <f>IF(Intereses_Leasing_Mensual!P56&gt;0, ROUND($I56-Intereses_Leasing_Mensual!P56, 2), "")</f>
        <v/>
      </c>
      <c r="R56" s="29">
        <f>IF(Intereses_Leasing_Mensual!Q56&gt;0, ROUND($I56-Intereses_Leasing_Mensual!Q56, 2), "")</f>
        <v/>
      </c>
      <c r="S56" s="29">
        <f>IF(Intereses_Leasing_Mensual!R56&gt;0, ROUND($I56-Intereses_Leasing_Mensual!R56, 2), "")</f>
        <v/>
      </c>
      <c r="T56" s="29">
        <f>IF(Intereses_Leasing_Mensual!S56&gt;0, ROUND($I56-Intereses_Leasing_Mensual!S56, 2), "")</f>
        <v/>
      </c>
      <c r="U56" s="29">
        <f>IF(Intereses_Leasing_Mensual!T56&gt;0, ROUND($I56-Intereses_Leasing_Mensual!T56, 2), "")</f>
        <v/>
      </c>
      <c r="V56" s="29">
        <f>SUM(J56:U56)</f>
        <v/>
      </c>
    </row>
    <row r="57">
      <c r="A57" s="20" t="inlineStr">
        <is>
          <t>0596-0004</t>
        </is>
      </c>
      <c r="B57" s="21" t="inlineStr">
        <is>
          <t>Gruas Industriales Lb</t>
        </is>
      </c>
      <c r="C57" s="21" t="inlineStr">
        <is>
          <t>Ram 1500 TRX</t>
        </is>
      </c>
      <c r="D57" s="20" t="inlineStr">
        <is>
          <t>ACTIVO</t>
        </is>
      </c>
      <c r="E57" s="20" t="inlineStr">
        <is>
          <t>2024-03-22</t>
        </is>
      </c>
      <c r="F57" s="20" t="inlineStr">
        <is>
          <t>2028-03-22</t>
        </is>
      </c>
      <c r="G57" s="22" t="n">
        <v>48</v>
      </c>
      <c r="H57" s="23" t="n">
        <v>1355120.69</v>
      </c>
      <c r="I57" s="23" t="n">
        <v>53997.12</v>
      </c>
      <c r="J57" s="23">
        <f>IF(Intereses_Leasing_Mensual!I57&gt;0, ROUND($I57-Intereses_Leasing_Mensual!I57, 2), "")</f>
        <v/>
      </c>
      <c r="K57" s="23">
        <f>IF(Intereses_Leasing_Mensual!J57&gt;0, ROUND($I57-Intereses_Leasing_Mensual!J57, 2), "")</f>
        <v/>
      </c>
      <c r="L57" s="23">
        <f>IF(Intereses_Leasing_Mensual!K57&gt;0, ROUND($I57-Intereses_Leasing_Mensual!K57, 2), "")</f>
        <v/>
      </c>
      <c r="M57" s="23">
        <f>IF(Intereses_Leasing_Mensual!L57&gt;0, ROUND($I57-Intereses_Leasing_Mensual!L57, 2), "")</f>
        <v/>
      </c>
      <c r="N57" s="23">
        <f>IF(Intereses_Leasing_Mensual!M57&gt;0, ROUND($I57-Intereses_Leasing_Mensual!M57, 2), "")</f>
        <v/>
      </c>
      <c r="O57" s="23">
        <f>IF(Intereses_Leasing_Mensual!N57&gt;0, ROUND($I57-Intereses_Leasing_Mensual!N57, 2), "")</f>
        <v/>
      </c>
      <c r="P57" s="23">
        <f>IF(Intereses_Leasing_Mensual!O57&gt;0, ROUND($I57-Intereses_Leasing_Mensual!O57, 2), "")</f>
        <v/>
      </c>
      <c r="Q57" s="23">
        <f>IF(Intereses_Leasing_Mensual!P57&gt;0, ROUND($I57-Intereses_Leasing_Mensual!P57, 2), "")</f>
        <v/>
      </c>
      <c r="R57" s="23">
        <f>IF(Intereses_Leasing_Mensual!Q57&gt;0, ROUND($I57-Intereses_Leasing_Mensual!Q57, 2), "")</f>
        <v/>
      </c>
      <c r="S57" s="23">
        <f>IF(Intereses_Leasing_Mensual!R57&gt;0, ROUND($I57-Intereses_Leasing_Mensual!R57, 2), "")</f>
        <v/>
      </c>
      <c r="T57" s="23">
        <f>IF(Intereses_Leasing_Mensual!S57&gt;0, ROUND($I57-Intereses_Leasing_Mensual!S57, 2), "")</f>
        <v/>
      </c>
      <c r="U57" s="23">
        <f>IF(Intereses_Leasing_Mensual!T57&gt;0, ROUND($I57-Intereses_Leasing_Mensual!T57, 2), "")</f>
        <v/>
      </c>
      <c r="V57" s="23">
        <f>SUM(J57:U57)</f>
        <v/>
      </c>
    </row>
    <row r="58">
      <c r="A58" s="26" t="inlineStr">
        <is>
          <t>0596-0005</t>
        </is>
      </c>
      <c r="B58" s="27" t="inlineStr">
        <is>
          <t>Gruas Industriales Lb Sa de Cv</t>
        </is>
      </c>
      <c r="C58" s="27" t="inlineStr">
        <is>
          <t>L200 Glx Gasolina</t>
        </is>
      </c>
      <c r="D58" s="26" t="inlineStr">
        <is>
          <t>ACTIVO</t>
        </is>
      </c>
      <c r="E58" s="26" t="inlineStr">
        <is>
          <t>2024-07-19</t>
        </is>
      </c>
      <c r="F58" s="26" t="inlineStr">
        <is>
          <t>2028-07-19</t>
        </is>
      </c>
      <c r="G58" s="28" t="n">
        <v>48</v>
      </c>
      <c r="H58" s="29" t="n">
        <v>374235.52</v>
      </c>
      <c r="I58" s="29" t="n">
        <v>14503.17</v>
      </c>
      <c r="J58" s="29">
        <f>IF(Intereses_Leasing_Mensual!I58&gt;0, ROUND($I58-Intereses_Leasing_Mensual!I58, 2), "")</f>
        <v/>
      </c>
      <c r="K58" s="29">
        <f>IF(Intereses_Leasing_Mensual!J58&gt;0, ROUND($I58-Intereses_Leasing_Mensual!J58, 2), "")</f>
        <v/>
      </c>
      <c r="L58" s="29">
        <f>IF(Intereses_Leasing_Mensual!K58&gt;0, ROUND($I58-Intereses_Leasing_Mensual!K58, 2), "")</f>
        <v/>
      </c>
      <c r="M58" s="29">
        <f>IF(Intereses_Leasing_Mensual!L58&gt;0, ROUND($I58-Intereses_Leasing_Mensual!L58, 2), "")</f>
        <v/>
      </c>
      <c r="N58" s="29">
        <f>IF(Intereses_Leasing_Mensual!M58&gt;0, ROUND($I58-Intereses_Leasing_Mensual!M58, 2), "")</f>
        <v/>
      </c>
      <c r="O58" s="29">
        <f>IF(Intereses_Leasing_Mensual!N58&gt;0, ROUND($I58-Intereses_Leasing_Mensual!N58, 2), "")</f>
        <v/>
      </c>
      <c r="P58" s="29">
        <f>IF(Intereses_Leasing_Mensual!O58&gt;0, ROUND($I58-Intereses_Leasing_Mensual!O58, 2), "")</f>
        <v/>
      </c>
      <c r="Q58" s="29">
        <f>IF(Intereses_Leasing_Mensual!P58&gt;0, ROUND($I58-Intereses_Leasing_Mensual!P58, 2), "")</f>
        <v/>
      </c>
      <c r="R58" s="29">
        <f>IF(Intereses_Leasing_Mensual!Q58&gt;0, ROUND($I58-Intereses_Leasing_Mensual!Q58, 2), "")</f>
        <v/>
      </c>
      <c r="S58" s="29">
        <f>IF(Intereses_Leasing_Mensual!R58&gt;0, ROUND($I58-Intereses_Leasing_Mensual!R58, 2), "")</f>
        <v/>
      </c>
      <c r="T58" s="29">
        <f>IF(Intereses_Leasing_Mensual!S58&gt;0, ROUND($I58-Intereses_Leasing_Mensual!S58, 2), "")</f>
        <v/>
      </c>
      <c r="U58" s="29">
        <f>IF(Intereses_Leasing_Mensual!T58&gt;0, ROUND($I58-Intereses_Leasing_Mensual!T58, 2), "")</f>
        <v/>
      </c>
      <c r="V58" s="29">
        <f>SUM(J58:U58)</f>
        <v/>
      </c>
    </row>
    <row r="59">
      <c r="A59" s="20" t="inlineStr">
        <is>
          <t>0598-0001</t>
        </is>
      </c>
      <c r="B59" s="21" t="inlineStr">
        <is>
          <t>Digitracking Solution Sa de Cv</t>
        </is>
      </c>
      <c r="C59" s="21" t="inlineStr">
        <is>
          <t>Ram 700 Laramie</t>
        </is>
      </c>
      <c r="D59" s="20" t="inlineStr">
        <is>
          <t>ACTIVO</t>
        </is>
      </c>
      <c r="E59" s="20" t="inlineStr">
        <is>
          <t>2023-03-15</t>
        </is>
      </c>
      <c r="F59" s="20" t="inlineStr">
        <is>
          <t>2027-03-15</t>
        </is>
      </c>
      <c r="G59" s="22" t="n">
        <v>48</v>
      </c>
      <c r="H59" s="23" t="n">
        <v>244336.2</v>
      </c>
      <c r="I59" s="23" t="n">
        <v>9488.52</v>
      </c>
      <c r="J59" s="23">
        <f>IF(Intereses_Leasing_Mensual!I59&gt;0, ROUND($I59-Intereses_Leasing_Mensual!I59, 2), "")</f>
        <v/>
      </c>
      <c r="K59" s="23">
        <f>IF(Intereses_Leasing_Mensual!J59&gt;0, ROUND($I59-Intereses_Leasing_Mensual!J59, 2), "")</f>
        <v/>
      </c>
      <c r="L59" s="23">
        <f>IF(Intereses_Leasing_Mensual!K59&gt;0, ROUND($I59-Intereses_Leasing_Mensual!K59, 2), "")</f>
        <v/>
      </c>
      <c r="M59" s="23">
        <f>IF(Intereses_Leasing_Mensual!L59&gt;0, ROUND($I59-Intereses_Leasing_Mensual!L59, 2), "")</f>
        <v/>
      </c>
      <c r="N59" s="23">
        <f>IF(Intereses_Leasing_Mensual!M59&gt;0, ROUND($I59-Intereses_Leasing_Mensual!M59, 2), "")</f>
        <v/>
      </c>
      <c r="O59" s="23">
        <f>IF(Intereses_Leasing_Mensual!N59&gt;0, ROUND($I59-Intereses_Leasing_Mensual!N59, 2), "")</f>
        <v/>
      </c>
      <c r="P59" s="23">
        <f>IF(Intereses_Leasing_Mensual!O59&gt;0, ROUND($I59-Intereses_Leasing_Mensual!O59, 2), "")</f>
        <v/>
      </c>
      <c r="Q59" s="23">
        <f>IF(Intereses_Leasing_Mensual!P59&gt;0, ROUND($I59-Intereses_Leasing_Mensual!P59, 2), "")</f>
        <v/>
      </c>
      <c r="R59" s="23">
        <f>IF(Intereses_Leasing_Mensual!Q59&gt;0, ROUND($I59-Intereses_Leasing_Mensual!Q59, 2), "")</f>
        <v/>
      </c>
      <c r="S59" s="23">
        <f>IF(Intereses_Leasing_Mensual!R59&gt;0, ROUND($I59-Intereses_Leasing_Mensual!R59, 2), "")</f>
        <v/>
      </c>
      <c r="T59" s="23">
        <f>IF(Intereses_Leasing_Mensual!S59&gt;0, ROUND($I59-Intereses_Leasing_Mensual!S59, 2), "")</f>
        <v/>
      </c>
      <c r="U59" s="23">
        <f>IF(Intereses_Leasing_Mensual!T59&gt;0, ROUND($I59-Intereses_Leasing_Mensual!T59, 2), "")</f>
        <v/>
      </c>
      <c r="V59" s="23">
        <f>SUM(J59:U59)</f>
        <v/>
      </c>
    </row>
    <row r="60">
      <c r="A60" s="26" t="inlineStr">
        <is>
          <t>0600-0001</t>
        </is>
      </c>
      <c r="B60" s="27" t="inlineStr">
        <is>
          <t>Dulce Marisol Gonzalez Cuevas</t>
        </is>
      </c>
      <c r="C60" s="27" t="inlineStr">
        <is>
          <t>Ram 700 Laramie</t>
        </is>
      </c>
      <c r="D60" s="26" t="inlineStr">
        <is>
          <t>ACTIVO</t>
        </is>
      </c>
      <c r="E60" s="26" t="inlineStr">
        <is>
          <t>2023-03-15</t>
        </is>
      </c>
      <c r="F60" s="26" t="inlineStr">
        <is>
          <t>2027-03-15</t>
        </is>
      </c>
      <c r="G60" s="28" t="n">
        <v>48</v>
      </c>
      <c r="H60" s="29" t="n">
        <v>209431.03</v>
      </c>
      <c r="I60" s="29" t="n">
        <v>8281.360000000001</v>
      </c>
      <c r="J60" s="29">
        <f>IF(Intereses_Leasing_Mensual!I60&gt;0, ROUND($I60-Intereses_Leasing_Mensual!I60, 2), "")</f>
        <v/>
      </c>
      <c r="K60" s="29">
        <f>IF(Intereses_Leasing_Mensual!J60&gt;0, ROUND($I60-Intereses_Leasing_Mensual!J60, 2), "")</f>
        <v/>
      </c>
      <c r="L60" s="29">
        <f>IF(Intereses_Leasing_Mensual!K60&gt;0, ROUND($I60-Intereses_Leasing_Mensual!K60, 2), "")</f>
        <v/>
      </c>
      <c r="M60" s="29">
        <f>IF(Intereses_Leasing_Mensual!L60&gt;0, ROUND($I60-Intereses_Leasing_Mensual!L60, 2), "")</f>
        <v/>
      </c>
      <c r="N60" s="29">
        <f>IF(Intereses_Leasing_Mensual!M60&gt;0, ROUND($I60-Intereses_Leasing_Mensual!M60, 2), "")</f>
        <v/>
      </c>
      <c r="O60" s="29">
        <f>IF(Intereses_Leasing_Mensual!N60&gt;0, ROUND($I60-Intereses_Leasing_Mensual!N60, 2), "")</f>
        <v/>
      </c>
      <c r="P60" s="29">
        <f>IF(Intereses_Leasing_Mensual!O60&gt;0, ROUND($I60-Intereses_Leasing_Mensual!O60, 2), "")</f>
        <v/>
      </c>
      <c r="Q60" s="29">
        <f>IF(Intereses_Leasing_Mensual!P60&gt;0, ROUND($I60-Intereses_Leasing_Mensual!P60, 2), "")</f>
        <v/>
      </c>
      <c r="R60" s="29">
        <f>IF(Intereses_Leasing_Mensual!Q60&gt;0, ROUND($I60-Intereses_Leasing_Mensual!Q60, 2), "")</f>
        <v/>
      </c>
      <c r="S60" s="29">
        <f>IF(Intereses_Leasing_Mensual!R60&gt;0, ROUND($I60-Intereses_Leasing_Mensual!R60, 2), "")</f>
        <v/>
      </c>
      <c r="T60" s="29">
        <f>IF(Intereses_Leasing_Mensual!S60&gt;0, ROUND($I60-Intereses_Leasing_Mensual!S60, 2), "")</f>
        <v/>
      </c>
      <c r="U60" s="29">
        <f>IF(Intereses_Leasing_Mensual!T60&gt;0, ROUND($I60-Intereses_Leasing_Mensual!T60, 2), "")</f>
        <v/>
      </c>
      <c r="V60" s="29">
        <f>SUM(J60:U60)</f>
        <v/>
      </c>
    </row>
    <row r="61">
      <c r="A61" s="20" t="inlineStr">
        <is>
          <t>0603-0002</t>
        </is>
      </c>
      <c r="B61" s="21" t="inlineStr">
        <is>
          <t>Mario Alberto Velasco Santana</t>
        </is>
      </c>
      <c r="C61" s="21" t="inlineStr">
        <is>
          <t>Outlander Sport</t>
        </is>
      </c>
      <c r="D61" s="20" t="inlineStr">
        <is>
          <t>ACTIVO</t>
        </is>
      </c>
      <c r="E61" s="20" t="inlineStr">
        <is>
          <t>2024-07-30</t>
        </is>
      </c>
      <c r="F61" s="20" t="inlineStr">
        <is>
          <t>2028-07-30</t>
        </is>
      </c>
      <c r="G61" s="22" t="n">
        <v>48</v>
      </c>
      <c r="H61" s="23" t="n">
        <v>276258.62</v>
      </c>
      <c r="I61" s="23" t="n">
        <v>10553.33</v>
      </c>
      <c r="J61" s="23">
        <f>IF(Intereses_Leasing_Mensual!I61&gt;0, ROUND($I61-Intereses_Leasing_Mensual!I61, 2), "")</f>
        <v/>
      </c>
      <c r="K61" s="23">
        <f>IF(Intereses_Leasing_Mensual!J61&gt;0, ROUND($I61-Intereses_Leasing_Mensual!J61, 2), "")</f>
        <v/>
      </c>
      <c r="L61" s="23">
        <f>IF(Intereses_Leasing_Mensual!K61&gt;0, ROUND($I61-Intereses_Leasing_Mensual!K61, 2), "")</f>
        <v/>
      </c>
      <c r="M61" s="23">
        <f>IF(Intereses_Leasing_Mensual!L61&gt;0, ROUND($I61-Intereses_Leasing_Mensual!L61, 2), "")</f>
        <v/>
      </c>
      <c r="N61" s="23">
        <f>IF(Intereses_Leasing_Mensual!M61&gt;0, ROUND($I61-Intereses_Leasing_Mensual!M61, 2), "")</f>
        <v/>
      </c>
      <c r="O61" s="23">
        <f>IF(Intereses_Leasing_Mensual!N61&gt;0, ROUND($I61-Intereses_Leasing_Mensual!N61, 2), "")</f>
        <v/>
      </c>
      <c r="P61" s="23">
        <f>IF(Intereses_Leasing_Mensual!O61&gt;0, ROUND($I61-Intereses_Leasing_Mensual!O61, 2), "")</f>
        <v/>
      </c>
      <c r="Q61" s="23">
        <f>IF(Intereses_Leasing_Mensual!P61&gt;0, ROUND($I61-Intereses_Leasing_Mensual!P61, 2), "")</f>
        <v/>
      </c>
      <c r="R61" s="23">
        <f>IF(Intereses_Leasing_Mensual!Q61&gt;0, ROUND($I61-Intereses_Leasing_Mensual!Q61, 2), "")</f>
        <v/>
      </c>
      <c r="S61" s="23">
        <f>IF(Intereses_Leasing_Mensual!R61&gt;0, ROUND($I61-Intereses_Leasing_Mensual!R61, 2), "")</f>
        <v/>
      </c>
      <c r="T61" s="23">
        <f>IF(Intereses_Leasing_Mensual!S61&gt;0, ROUND($I61-Intereses_Leasing_Mensual!S61, 2), "")</f>
        <v/>
      </c>
      <c r="U61" s="23">
        <f>IF(Intereses_Leasing_Mensual!T61&gt;0, ROUND($I61-Intereses_Leasing_Mensual!T61, 2), "")</f>
        <v/>
      </c>
      <c r="V61" s="23">
        <f>SUM(J61:U61)</f>
        <v/>
      </c>
    </row>
    <row r="62">
      <c r="A62" s="26" t="inlineStr">
        <is>
          <t>0605-0001</t>
        </is>
      </c>
      <c r="B62" s="27" t="inlineStr">
        <is>
          <t>Nato Arquitectos Sa de Cv</t>
        </is>
      </c>
      <c r="C62" s="27" t="inlineStr">
        <is>
          <t>Compass High Altitude</t>
        </is>
      </c>
      <c r="D62" s="26" t="inlineStr">
        <is>
          <t>ACTIVO</t>
        </is>
      </c>
      <c r="E62" s="26" t="inlineStr">
        <is>
          <t>2023-03-23</t>
        </is>
      </c>
      <c r="F62" s="26" t="inlineStr">
        <is>
          <t>2027-03-23</t>
        </is>
      </c>
      <c r="G62" s="28" t="n">
        <v>48</v>
      </c>
      <c r="H62" s="29" t="n">
        <v>476663.8</v>
      </c>
      <c r="I62" s="29" t="n">
        <v>18208.99</v>
      </c>
      <c r="J62" s="29">
        <f>IF(Intereses_Leasing_Mensual!I62&gt;0, ROUND($I62-Intereses_Leasing_Mensual!I62, 2), "")</f>
        <v/>
      </c>
      <c r="K62" s="29">
        <f>IF(Intereses_Leasing_Mensual!J62&gt;0, ROUND($I62-Intereses_Leasing_Mensual!J62, 2), "")</f>
        <v/>
      </c>
      <c r="L62" s="29">
        <f>IF(Intereses_Leasing_Mensual!K62&gt;0, ROUND($I62-Intereses_Leasing_Mensual!K62, 2), "")</f>
        <v/>
      </c>
      <c r="M62" s="29">
        <f>IF(Intereses_Leasing_Mensual!L62&gt;0, ROUND($I62-Intereses_Leasing_Mensual!L62, 2), "")</f>
        <v/>
      </c>
      <c r="N62" s="29">
        <f>IF(Intereses_Leasing_Mensual!M62&gt;0, ROUND($I62-Intereses_Leasing_Mensual!M62, 2), "")</f>
        <v/>
      </c>
      <c r="O62" s="29">
        <f>IF(Intereses_Leasing_Mensual!N62&gt;0, ROUND($I62-Intereses_Leasing_Mensual!N62, 2), "")</f>
        <v/>
      </c>
      <c r="P62" s="29">
        <f>IF(Intereses_Leasing_Mensual!O62&gt;0, ROUND($I62-Intereses_Leasing_Mensual!O62, 2), "")</f>
        <v/>
      </c>
      <c r="Q62" s="29">
        <f>IF(Intereses_Leasing_Mensual!P62&gt;0, ROUND($I62-Intereses_Leasing_Mensual!P62, 2), "")</f>
        <v/>
      </c>
      <c r="R62" s="29">
        <f>IF(Intereses_Leasing_Mensual!Q62&gt;0, ROUND($I62-Intereses_Leasing_Mensual!Q62, 2), "")</f>
        <v/>
      </c>
      <c r="S62" s="29">
        <f>IF(Intereses_Leasing_Mensual!R62&gt;0, ROUND($I62-Intereses_Leasing_Mensual!R62, 2), "")</f>
        <v/>
      </c>
      <c r="T62" s="29">
        <f>IF(Intereses_Leasing_Mensual!S62&gt;0, ROUND($I62-Intereses_Leasing_Mensual!S62, 2), "")</f>
        <v/>
      </c>
      <c r="U62" s="29">
        <f>IF(Intereses_Leasing_Mensual!T62&gt;0, ROUND($I62-Intereses_Leasing_Mensual!T62, 2), "")</f>
        <v/>
      </c>
      <c r="V62" s="29">
        <f>SUM(J62:U62)</f>
        <v/>
      </c>
    </row>
    <row r="63">
      <c r="A63" s="20" t="inlineStr">
        <is>
          <t>0605-0002</t>
        </is>
      </c>
      <c r="B63" s="21" t="inlineStr">
        <is>
          <t>Nato Arquitectos Sa de Cv</t>
        </is>
      </c>
      <c r="C63" s="21" t="inlineStr">
        <is>
          <t>Hilux Diesel</t>
        </is>
      </c>
      <c r="D63" s="20" t="inlineStr">
        <is>
          <t>ACTIVO</t>
        </is>
      </c>
      <c r="E63" s="20" t="inlineStr">
        <is>
          <t>2025-03-28</t>
        </is>
      </c>
      <c r="F63" s="20" t="inlineStr">
        <is>
          <t>2027-03-28</t>
        </is>
      </c>
      <c r="G63" s="22" t="n">
        <v>24</v>
      </c>
      <c r="H63" s="23" t="n">
        <v>384362.07</v>
      </c>
      <c r="I63" s="23" t="n">
        <v>21570.02</v>
      </c>
      <c r="J63" s="23">
        <f>IF(Intereses_Leasing_Mensual!I63&gt;0, ROUND($I63-Intereses_Leasing_Mensual!I63, 2), "")</f>
        <v/>
      </c>
      <c r="K63" s="23">
        <f>IF(Intereses_Leasing_Mensual!J63&gt;0, ROUND($I63-Intereses_Leasing_Mensual!J63, 2), "")</f>
        <v/>
      </c>
      <c r="L63" s="23">
        <f>IF(Intereses_Leasing_Mensual!K63&gt;0, ROUND($I63-Intereses_Leasing_Mensual!K63, 2), "")</f>
        <v/>
      </c>
      <c r="M63" s="23">
        <f>IF(Intereses_Leasing_Mensual!L63&gt;0, ROUND($I63-Intereses_Leasing_Mensual!L63, 2), "")</f>
        <v/>
      </c>
      <c r="N63" s="23">
        <f>IF(Intereses_Leasing_Mensual!M63&gt;0, ROUND($I63-Intereses_Leasing_Mensual!M63, 2), "")</f>
        <v/>
      </c>
      <c r="O63" s="23">
        <f>IF(Intereses_Leasing_Mensual!N63&gt;0, ROUND($I63-Intereses_Leasing_Mensual!N63, 2), "")</f>
        <v/>
      </c>
      <c r="P63" s="23">
        <f>IF(Intereses_Leasing_Mensual!O63&gt;0, ROUND($I63-Intereses_Leasing_Mensual!O63, 2), "")</f>
        <v/>
      </c>
      <c r="Q63" s="23">
        <f>IF(Intereses_Leasing_Mensual!P63&gt;0, ROUND($I63-Intereses_Leasing_Mensual!P63, 2), "")</f>
        <v/>
      </c>
      <c r="R63" s="23">
        <f>IF(Intereses_Leasing_Mensual!Q63&gt;0, ROUND($I63-Intereses_Leasing_Mensual!Q63, 2), "")</f>
        <v/>
      </c>
      <c r="S63" s="23">
        <f>IF(Intereses_Leasing_Mensual!R63&gt;0, ROUND($I63-Intereses_Leasing_Mensual!R63, 2), "")</f>
        <v/>
      </c>
      <c r="T63" s="23">
        <f>IF(Intereses_Leasing_Mensual!S63&gt;0, ROUND($I63-Intereses_Leasing_Mensual!S63, 2), "")</f>
        <v/>
      </c>
      <c r="U63" s="23">
        <f>IF(Intereses_Leasing_Mensual!T63&gt;0, ROUND($I63-Intereses_Leasing_Mensual!T63, 2), "")</f>
        <v/>
      </c>
      <c r="V63" s="23">
        <f>SUM(J63:U63)</f>
        <v/>
      </c>
    </row>
    <row r="64">
      <c r="A64" s="26" t="inlineStr">
        <is>
          <t>0605-0003</t>
        </is>
      </c>
      <c r="B64" s="27" t="inlineStr">
        <is>
          <t>Nato Arquitectos Sa de Cv</t>
        </is>
      </c>
      <c r="C64" s="27" t="inlineStr">
        <is>
          <t>Ranger Crew Cab 4X4 XLT</t>
        </is>
      </c>
      <c r="D64" s="26" t="inlineStr">
        <is>
          <t>ACTIVO</t>
        </is>
      </c>
      <c r="E64" s="26" t="inlineStr">
        <is>
          <t>2026-01-08</t>
        </is>
      </c>
      <c r="F64" s="26" t="inlineStr">
        <is>
          <t>2028-01-08</t>
        </is>
      </c>
      <c r="G64" s="28" t="n">
        <v>24</v>
      </c>
      <c r="H64" s="29" t="n">
        <v>507439.65</v>
      </c>
      <c r="I64" s="29" t="n">
        <v>24066.2</v>
      </c>
      <c r="J64" s="29">
        <f>IF(Intereses_Leasing_Mensual!I64&gt;0, ROUND($I64-Intereses_Leasing_Mensual!I64, 2), "")</f>
        <v/>
      </c>
      <c r="K64" s="29">
        <f>IF(Intereses_Leasing_Mensual!J64&gt;0, ROUND($I64-Intereses_Leasing_Mensual!J64, 2), "")</f>
        <v/>
      </c>
      <c r="L64" s="29">
        <f>IF(Intereses_Leasing_Mensual!K64&gt;0, ROUND($I64-Intereses_Leasing_Mensual!K64, 2), "")</f>
        <v/>
      </c>
      <c r="M64" s="29">
        <f>IF(Intereses_Leasing_Mensual!L64&gt;0, ROUND($I64-Intereses_Leasing_Mensual!L64, 2), "")</f>
        <v/>
      </c>
      <c r="N64" s="29">
        <f>IF(Intereses_Leasing_Mensual!M64&gt;0, ROUND($I64-Intereses_Leasing_Mensual!M64, 2), "")</f>
        <v/>
      </c>
      <c r="O64" s="29">
        <f>IF(Intereses_Leasing_Mensual!N64&gt;0, ROUND($I64-Intereses_Leasing_Mensual!N64, 2), "")</f>
        <v/>
      </c>
      <c r="P64" s="29">
        <f>IF(Intereses_Leasing_Mensual!O64&gt;0, ROUND($I64-Intereses_Leasing_Mensual!O64, 2), "")</f>
        <v/>
      </c>
      <c r="Q64" s="29">
        <f>IF(Intereses_Leasing_Mensual!P64&gt;0, ROUND($I64-Intereses_Leasing_Mensual!P64, 2), "")</f>
        <v/>
      </c>
      <c r="R64" s="29">
        <f>IF(Intereses_Leasing_Mensual!Q64&gt;0, ROUND($I64-Intereses_Leasing_Mensual!Q64, 2), "")</f>
        <v/>
      </c>
      <c r="S64" s="29">
        <f>IF(Intereses_Leasing_Mensual!R64&gt;0, ROUND($I64-Intereses_Leasing_Mensual!R64, 2), "")</f>
        <v/>
      </c>
      <c r="T64" s="29">
        <f>IF(Intereses_Leasing_Mensual!S64&gt;0, ROUND($I64-Intereses_Leasing_Mensual!S64, 2), "")</f>
        <v/>
      </c>
      <c r="U64" s="29">
        <f>IF(Intereses_Leasing_Mensual!T64&gt;0, ROUND($I64-Intereses_Leasing_Mensual!T64, 2), "")</f>
        <v/>
      </c>
      <c r="V64" s="29">
        <f>SUM(J64:U64)</f>
        <v/>
      </c>
    </row>
    <row r="65">
      <c r="A65" s="20" t="inlineStr">
        <is>
          <t>0605-0004</t>
        </is>
      </c>
      <c r="B65" s="21" t="inlineStr">
        <is>
          <t>Nato Arquitectos Sa de Cv</t>
        </is>
      </c>
      <c r="C65" s="21" t="inlineStr">
        <is>
          <t>COLORADO DOBLE CABINA PAQ. "C"</t>
        </is>
      </c>
      <c r="D65" s="20" t="inlineStr">
        <is>
          <t>ACTIVO</t>
        </is>
      </c>
      <c r="E65" s="20" t="inlineStr">
        <is>
          <t>2026-01-08</t>
        </is>
      </c>
      <c r="F65" s="20" t="inlineStr">
        <is>
          <t>2028-01-08</t>
        </is>
      </c>
      <c r="G65" s="22" t="n">
        <v>24</v>
      </c>
      <c r="H65" s="23" t="n">
        <v>597353.45</v>
      </c>
      <c r="I65" s="23" t="n">
        <v>28559.43</v>
      </c>
      <c r="J65" s="23">
        <f>IF(Intereses_Leasing_Mensual!I65&gt;0, ROUND($I65-Intereses_Leasing_Mensual!I65, 2), "")</f>
        <v/>
      </c>
      <c r="K65" s="23">
        <f>IF(Intereses_Leasing_Mensual!J65&gt;0, ROUND($I65-Intereses_Leasing_Mensual!J65, 2), "")</f>
        <v/>
      </c>
      <c r="L65" s="23">
        <f>IF(Intereses_Leasing_Mensual!K65&gt;0, ROUND($I65-Intereses_Leasing_Mensual!K65, 2), "")</f>
        <v/>
      </c>
      <c r="M65" s="23">
        <f>IF(Intereses_Leasing_Mensual!L65&gt;0, ROUND($I65-Intereses_Leasing_Mensual!L65, 2), "")</f>
        <v/>
      </c>
      <c r="N65" s="23">
        <f>IF(Intereses_Leasing_Mensual!M65&gt;0, ROUND($I65-Intereses_Leasing_Mensual!M65, 2), "")</f>
        <v/>
      </c>
      <c r="O65" s="23">
        <f>IF(Intereses_Leasing_Mensual!N65&gt;0, ROUND($I65-Intereses_Leasing_Mensual!N65, 2), "")</f>
        <v/>
      </c>
      <c r="P65" s="23">
        <f>IF(Intereses_Leasing_Mensual!O65&gt;0, ROUND($I65-Intereses_Leasing_Mensual!O65, 2), "")</f>
        <v/>
      </c>
      <c r="Q65" s="23">
        <f>IF(Intereses_Leasing_Mensual!P65&gt;0, ROUND($I65-Intereses_Leasing_Mensual!P65, 2), "")</f>
        <v/>
      </c>
      <c r="R65" s="23">
        <f>IF(Intereses_Leasing_Mensual!Q65&gt;0, ROUND($I65-Intereses_Leasing_Mensual!Q65, 2), "")</f>
        <v/>
      </c>
      <c r="S65" s="23">
        <f>IF(Intereses_Leasing_Mensual!R65&gt;0, ROUND($I65-Intereses_Leasing_Mensual!R65, 2), "")</f>
        <v/>
      </c>
      <c r="T65" s="23">
        <f>IF(Intereses_Leasing_Mensual!S65&gt;0, ROUND($I65-Intereses_Leasing_Mensual!S65, 2), "")</f>
        <v/>
      </c>
      <c r="U65" s="23">
        <f>IF(Intereses_Leasing_Mensual!T65&gt;0, ROUND($I65-Intereses_Leasing_Mensual!T65, 2), "")</f>
        <v/>
      </c>
      <c r="V65" s="23">
        <f>SUM(J65:U65)</f>
        <v/>
      </c>
    </row>
    <row r="66">
      <c r="A66" s="26" t="inlineStr">
        <is>
          <t>0606-0002</t>
        </is>
      </c>
      <c r="B66" s="27" t="inlineStr">
        <is>
          <t>Mayoreo Automotriz ML S de Rl de CV</t>
        </is>
      </c>
      <c r="C66" s="27" t="inlineStr">
        <is>
          <t>Grand Cherokee 4xE</t>
        </is>
      </c>
      <c r="D66" s="26" t="inlineStr">
        <is>
          <t>ACTIVO</t>
        </is>
      </c>
      <c r="E66" s="26" t="inlineStr">
        <is>
          <t>2026-03-17</t>
        </is>
      </c>
      <c r="F66" s="26" t="inlineStr">
        <is>
          <t>2027-03-17</t>
        </is>
      </c>
      <c r="G66" s="28" t="n">
        <v>12</v>
      </c>
      <c r="H66" s="29" t="n">
        <v>276706.9</v>
      </c>
      <c r="I66" s="29" t="n">
        <v>24796.11</v>
      </c>
      <c r="J66" s="29" t="inlineStr"/>
      <c r="K66" s="29" t="inlineStr"/>
      <c r="L66" s="29">
        <f>IF(Intereses_Leasing_Mensual!K66&gt;0, ROUND($I66-Intereses_Leasing_Mensual!K66, 2), "")</f>
        <v/>
      </c>
      <c r="M66" s="29">
        <f>IF(Intereses_Leasing_Mensual!L66&gt;0, ROUND($I66-Intereses_Leasing_Mensual!L66, 2), "")</f>
        <v/>
      </c>
      <c r="N66" s="29">
        <f>IF(Intereses_Leasing_Mensual!M66&gt;0, ROUND($I66-Intereses_Leasing_Mensual!M66, 2), "")</f>
        <v/>
      </c>
      <c r="O66" s="29">
        <f>IF(Intereses_Leasing_Mensual!N66&gt;0, ROUND($I66-Intereses_Leasing_Mensual!N66, 2), "")</f>
        <v/>
      </c>
      <c r="P66" s="29">
        <f>IF(Intereses_Leasing_Mensual!O66&gt;0, ROUND($I66-Intereses_Leasing_Mensual!O66, 2), "")</f>
        <v/>
      </c>
      <c r="Q66" s="29">
        <f>IF(Intereses_Leasing_Mensual!P66&gt;0, ROUND($I66-Intereses_Leasing_Mensual!P66, 2), "")</f>
        <v/>
      </c>
      <c r="R66" s="29">
        <f>IF(Intereses_Leasing_Mensual!Q66&gt;0, ROUND($I66-Intereses_Leasing_Mensual!Q66, 2), "")</f>
        <v/>
      </c>
      <c r="S66" s="29">
        <f>IF(Intereses_Leasing_Mensual!R66&gt;0, ROUND($I66-Intereses_Leasing_Mensual!R66, 2), "")</f>
        <v/>
      </c>
      <c r="T66" s="29">
        <f>IF(Intereses_Leasing_Mensual!S66&gt;0, ROUND($I66-Intereses_Leasing_Mensual!S66, 2), "")</f>
        <v/>
      </c>
      <c r="U66" s="29">
        <f>IF(Intereses_Leasing_Mensual!T66&gt;0, ROUND($I66-Intereses_Leasing_Mensual!T66, 2), "")</f>
        <v/>
      </c>
      <c r="V66" s="29">
        <f>SUM(J66:U66)</f>
        <v/>
      </c>
    </row>
    <row r="67">
      <c r="A67" s="20" t="inlineStr">
        <is>
          <t>0607-0004</t>
        </is>
      </c>
      <c r="B67" s="21" t="inlineStr">
        <is>
          <t>Jose Guadalupe Dueñas Lomeli</t>
        </is>
      </c>
      <c r="C67" s="21" t="inlineStr">
        <is>
          <t>Rifter Allure Pack</t>
        </is>
      </c>
      <c r="D67" s="20" t="inlineStr">
        <is>
          <t>ACTIVO</t>
        </is>
      </c>
      <c r="E67" s="20" t="inlineStr">
        <is>
          <t>2025-12-08</t>
        </is>
      </c>
      <c r="F67" s="20" t="inlineStr">
        <is>
          <t>2029-12-08</t>
        </is>
      </c>
      <c r="G67" s="22" t="n">
        <v>48</v>
      </c>
      <c r="H67" s="23" t="n">
        <v>344758.62</v>
      </c>
      <c r="I67" s="23" t="n">
        <v>12431.15</v>
      </c>
      <c r="J67" s="23">
        <f>IF(Intereses_Leasing_Mensual!I67&gt;0, ROUND($I67-Intereses_Leasing_Mensual!I67, 2), "")</f>
        <v/>
      </c>
      <c r="K67" s="23">
        <f>IF(Intereses_Leasing_Mensual!J67&gt;0, ROUND($I67-Intereses_Leasing_Mensual!J67, 2), "")</f>
        <v/>
      </c>
      <c r="L67" s="23">
        <f>IF(Intereses_Leasing_Mensual!K67&gt;0, ROUND($I67-Intereses_Leasing_Mensual!K67, 2), "")</f>
        <v/>
      </c>
      <c r="M67" s="23">
        <f>IF(Intereses_Leasing_Mensual!L67&gt;0, ROUND($I67-Intereses_Leasing_Mensual!L67, 2), "")</f>
        <v/>
      </c>
      <c r="N67" s="23">
        <f>IF(Intereses_Leasing_Mensual!M67&gt;0, ROUND($I67-Intereses_Leasing_Mensual!M67, 2), "")</f>
        <v/>
      </c>
      <c r="O67" s="23">
        <f>IF(Intereses_Leasing_Mensual!N67&gt;0, ROUND($I67-Intereses_Leasing_Mensual!N67, 2), "")</f>
        <v/>
      </c>
      <c r="P67" s="23">
        <f>IF(Intereses_Leasing_Mensual!O67&gt;0, ROUND($I67-Intereses_Leasing_Mensual!O67, 2), "")</f>
        <v/>
      </c>
      <c r="Q67" s="23">
        <f>IF(Intereses_Leasing_Mensual!P67&gt;0, ROUND($I67-Intereses_Leasing_Mensual!P67, 2), "")</f>
        <v/>
      </c>
      <c r="R67" s="23">
        <f>IF(Intereses_Leasing_Mensual!Q67&gt;0, ROUND($I67-Intereses_Leasing_Mensual!Q67, 2), "")</f>
        <v/>
      </c>
      <c r="S67" s="23">
        <f>IF(Intereses_Leasing_Mensual!R67&gt;0, ROUND($I67-Intereses_Leasing_Mensual!R67, 2), "")</f>
        <v/>
      </c>
      <c r="T67" s="23">
        <f>IF(Intereses_Leasing_Mensual!S67&gt;0, ROUND($I67-Intereses_Leasing_Mensual!S67, 2), "")</f>
        <v/>
      </c>
      <c r="U67" s="23">
        <f>IF(Intereses_Leasing_Mensual!T67&gt;0, ROUND($I67-Intereses_Leasing_Mensual!T67, 2), "")</f>
        <v/>
      </c>
      <c r="V67" s="23">
        <f>SUM(J67:U67)</f>
        <v/>
      </c>
    </row>
    <row r="68">
      <c r="A68" s="26" t="inlineStr">
        <is>
          <t>0607-0005</t>
        </is>
      </c>
      <c r="B68" s="27" t="inlineStr">
        <is>
          <t>Jose Guadalupe Dueñas Lomeli</t>
        </is>
      </c>
      <c r="C68" s="27" t="inlineStr">
        <is>
          <t>Durango Hellcat SRT</t>
        </is>
      </c>
      <c r="D68" s="26" t="inlineStr">
        <is>
          <t>ACTIVO</t>
        </is>
      </c>
      <c r="E68" s="26" t="inlineStr">
        <is>
          <t>2026-02-09</t>
        </is>
      </c>
      <c r="F68" s="26" t="inlineStr">
        <is>
          <t>2029-02-09</t>
        </is>
      </c>
      <c r="G68" s="28" t="n">
        <v>36</v>
      </c>
      <c r="H68" s="29" t="n">
        <v>1687422.41</v>
      </c>
      <c r="I68" s="29" t="n">
        <v>67080.24000000001</v>
      </c>
      <c r="J68" s="29" t="inlineStr"/>
      <c r="K68" s="29">
        <f>IF(Intereses_Leasing_Mensual!J68&gt;0, ROUND($I68-Intereses_Leasing_Mensual!J68, 2), "")</f>
        <v/>
      </c>
      <c r="L68" s="29">
        <f>IF(Intereses_Leasing_Mensual!K68&gt;0, ROUND($I68-Intereses_Leasing_Mensual!K68, 2), "")</f>
        <v/>
      </c>
      <c r="M68" s="29">
        <f>IF(Intereses_Leasing_Mensual!L68&gt;0, ROUND($I68-Intereses_Leasing_Mensual!L68, 2), "")</f>
        <v/>
      </c>
      <c r="N68" s="29">
        <f>IF(Intereses_Leasing_Mensual!M68&gt;0, ROUND($I68-Intereses_Leasing_Mensual!M68, 2), "")</f>
        <v/>
      </c>
      <c r="O68" s="29">
        <f>IF(Intereses_Leasing_Mensual!N68&gt;0, ROUND($I68-Intereses_Leasing_Mensual!N68, 2), "")</f>
        <v/>
      </c>
      <c r="P68" s="29">
        <f>IF(Intereses_Leasing_Mensual!O68&gt;0, ROUND($I68-Intereses_Leasing_Mensual!O68, 2), "")</f>
        <v/>
      </c>
      <c r="Q68" s="29">
        <f>IF(Intereses_Leasing_Mensual!P68&gt;0, ROUND($I68-Intereses_Leasing_Mensual!P68, 2), "")</f>
        <v/>
      </c>
      <c r="R68" s="29">
        <f>IF(Intereses_Leasing_Mensual!Q68&gt;0, ROUND($I68-Intereses_Leasing_Mensual!Q68, 2), "")</f>
        <v/>
      </c>
      <c r="S68" s="29">
        <f>IF(Intereses_Leasing_Mensual!R68&gt;0, ROUND($I68-Intereses_Leasing_Mensual!R68, 2), "")</f>
        <v/>
      </c>
      <c r="T68" s="29">
        <f>IF(Intereses_Leasing_Mensual!S68&gt;0, ROUND($I68-Intereses_Leasing_Mensual!S68, 2), "")</f>
        <v/>
      </c>
      <c r="U68" s="29">
        <f>IF(Intereses_Leasing_Mensual!T68&gt;0, ROUND($I68-Intereses_Leasing_Mensual!T68, 2), "")</f>
        <v/>
      </c>
      <c r="V68" s="29">
        <f>SUM(J68:U68)</f>
        <v/>
      </c>
    </row>
    <row r="69">
      <c r="A69" s="20" t="inlineStr">
        <is>
          <t>0610-0003</t>
        </is>
      </c>
      <c r="B69" s="21" t="inlineStr">
        <is>
          <t>Minelaza</t>
        </is>
      </c>
      <c r="C69" s="21" t="inlineStr">
        <is>
          <t>Song Plus</t>
        </is>
      </c>
      <c r="D69" s="20" t="inlineStr">
        <is>
          <t>ACTIVO</t>
        </is>
      </c>
      <c r="E69" s="20" t="inlineStr">
        <is>
          <t>2026-04-15</t>
        </is>
      </c>
      <c r="F69" s="20" t="inlineStr">
        <is>
          <t>2029-04-15</t>
        </is>
      </c>
      <c r="G69" s="22" t="n">
        <v>36</v>
      </c>
      <c r="H69" s="23" t="n">
        <v>604241.38</v>
      </c>
      <c r="I69" s="23" t="n">
        <v>24055.01</v>
      </c>
      <c r="J69" s="23" t="inlineStr"/>
      <c r="K69" s="23" t="inlineStr"/>
      <c r="L69" s="23" t="inlineStr"/>
      <c r="M69" s="23">
        <f>IF(Intereses_Leasing_Mensual!L69&gt;0, ROUND($I69-Intereses_Leasing_Mensual!L69, 2), "")</f>
        <v/>
      </c>
      <c r="N69" s="23">
        <f>IF(Intereses_Leasing_Mensual!M69&gt;0, ROUND($I69-Intereses_Leasing_Mensual!M69, 2), "")</f>
        <v/>
      </c>
      <c r="O69" s="23">
        <f>IF(Intereses_Leasing_Mensual!N69&gt;0, ROUND($I69-Intereses_Leasing_Mensual!N69, 2), "")</f>
        <v/>
      </c>
      <c r="P69" s="23">
        <f>IF(Intereses_Leasing_Mensual!O69&gt;0, ROUND($I69-Intereses_Leasing_Mensual!O69, 2), "")</f>
        <v/>
      </c>
      <c r="Q69" s="23">
        <f>IF(Intereses_Leasing_Mensual!P69&gt;0, ROUND($I69-Intereses_Leasing_Mensual!P69, 2), "")</f>
        <v/>
      </c>
      <c r="R69" s="23">
        <f>IF(Intereses_Leasing_Mensual!Q69&gt;0, ROUND($I69-Intereses_Leasing_Mensual!Q69, 2), "")</f>
        <v/>
      </c>
      <c r="S69" s="23">
        <f>IF(Intereses_Leasing_Mensual!R69&gt;0, ROUND($I69-Intereses_Leasing_Mensual!R69, 2), "")</f>
        <v/>
      </c>
      <c r="T69" s="23">
        <f>IF(Intereses_Leasing_Mensual!S69&gt;0, ROUND($I69-Intereses_Leasing_Mensual!S69, 2), "")</f>
        <v/>
      </c>
      <c r="U69" s="23">
        <f>IF(Intereses_Leasing_Mensual!T69&gt;0, ROUND($I69-Intereses_Leasing_Mensual!T69, 2), "")</f>
        <v/>
      </c>
      <c r="V69" s="23">
        <f>SUM(J69:U69)</f>
        <v/>
      </c>
    </row>
    <row r="70">
      <c r="A70" s="26" t="inlineStr">
        <is>
          <t>0612-0002</t>
        </is>
      </c>
      <c r="B70" s="27" t="inlineStr">
        <is>
          <t>Distribuidora Lopez Moctezuma Sa de Cv</t>
        </is>
      </c>
      <c r="C70" s="27" t="inlineStr">
        <is>
          <t>Ram 700 Tradesman</t>
        </is>
      </c>
      <c r="D70" s="26" t="inlineStr">
        <is>
          <t>ACTIVO</t>
        </is>
      </c>
      <c r="E70" s="26" t="inlineStr">
        <is>
          <t>2025-09-30</t>
        </is>
      </c>
      <c r="F70" s="26" t="inlineStr">
        <is>
          <t>2028-09-30</t>
        </is>
      </c>
      <c r="G70" s="28" t="n">
        <v>36</v>
      </c>
      <c r="H70" s="29" t="n">
        <v>263715.52</v>
      </c>
      <c r="I70" s="29" t="n">
        <v>10498.59</v>
      </c>
      <c r="J70" s="29">
        <f>IF(Intereses_Leasing_Mensual!I70&gt;0, ROUND($I70-Intereses_Leasing_Mensual!I70, 2), "")</f>
        <v/>
      </c>
      <c r="K70" s="29">
        <f>IF(Intereses_Leasing_Mensual!J70&gt;0, ROUND($I70-Intereses_Leasing_Mensual!J70, 2), "")</f>
        <v/>
      </c>
      <c r="L70" s="29">
        <f>IF(Intereses_Leasing_Mensual!K70&gt;0, ROUND($I70-Intereses_Leasing_Mensual!K70, 2), "")</f>
        <v/>
      </c>
      <c r="M70" s="29">
        <f>IF(Intereses_Leasing_Mensual!L70&gt;0, ROUND($I70-Intereses_Leasing_Mensual!L70, 2), "")</f>
        <v/>
      </c>
      <c r="N70" s="29">
        <f>IF(Intereses_Leasing_Mensual!M70&gt;0, ROUND($I70-Intereses_Leasing_Mensual!M70, 2), "")</f>
        <v/>
      </c>
      <c r="O70" s="29">
        <f>IF(Intereses_Leasing_Mensual!N70&gt;0, ROUND($I70-Intereses_Leasing_Mensual!N70, 2), "")</f>
        <v/>
      </c>
      <c r="P70" s="29">
        <f>IF(Intereses_Leasing_Mensual!O70&gt;0, ROUND($I70-Intereses_Leasing_Mensual!O70, 2), "")</f>
        <v/>
      </c>
      <c r="Q70" s="29">
        <f>IF(Intereses_Leasing_Mensual!P70&gt;0, ROUND($I70-Intereses_Leasing_Mensual!P70, 2), "")</f>
        <v/>
      </c>
      <c r="R70" s="29">
        <f>IF(Intereses_Leasing_Mensual!Q70&gt;0, ROUND($I70-Intereses_Leasing_Mensual!Q70, 2), "")</f>
        <v/>
      </c>
      <c r="S70" s="29">
        <f>IF(Intereses_Leasing_Mensual!R70&gt;0, ROUND($I70-Intereses_Leasing_Mensual!R70, 2), "")</f>
        <v/>
      </c>
      <c r="T70" s="29">
        <f>IF(Intereses_Leasing_Mensual!S70&gt;0, ROUND($I70-Intereses_Leasing_Mensual!S70, 2), "")</f>
        <v/>
      </c>
      <c r="U70" s="29">
        <f>IF(Intereses_Leasing_Mensual!T70&gt;0, ROUND($I70-Intereses_Leasing_Mensual!T70, 2), "")</f>
        <v/>
      </c>
      <c r="V70" s="29">
        <f>SUM(J70:U70)</f>
        <v/>
      </c>
    </row>
    <row r="71">
      <c r="A71" s="20" t="inlineStr">
        <is>
          <t>0612-0003</t>
        </is>
      </c>
      <c r="B71" s="21" t="inlineStr">
        <is>
          <t>Distribuidora Lopez Moctezuma Sa de Cv</t>
        </is>
      </c>
      <c r="C71" s="21" t="inlineStr">
        <is>
          <t>Mitsubishi Xpander 2026</t>
        </is>
      </c>
      <c r="D71" s="20" t="inlineStr">
        <is>
          <t>ACTIVO</t>
        </is>
      </c>
      <c r="E71" s="20" t="inlineStr">
        <is>
          <t>2026-07-31</t>
        </is>
      </c>
      <c r="F71" s="20" t="inlineStr">
        <is>
          <t>2030-07-31</t>
        </is>
      </c>
      <c r="G71" s="22" t="n">
        <v>48</v>
      </c>
      <c r="H71" s="23" t="n">
        <v>348642.15</v>
      </c>
      <c r="I71" s="23" t="n">
        <v>12615.84</v>
      </c>
      <c r="J71" s="23" t="inlineStr"/>
      <c r="K71" s="23" t="inlineStr"/>
      <c r="L71" s="23" t="inlineStr"/>
      <c r="M71" s="23" t="inlineStr"/>
      <c r="N71" s="23" t="inlineStr"/>
      <c r="O71" s="23" t="inlineStr"/>
      <c r="P71" s="23">
        <f>IF(Intereses_Leasing_Mensual!O71&gt;0, ROUND($I71-Intereses_Leasing_Mensual!O71, 2), "")</f>
        <v/>
      </c>
      <c r="Q71" s="23">
        <f>IF(Intereses_Leasing_Mensual!P71&gt;0, ROUND($I71-Intereses_Leasing_Mensual!P71, 2), "")</f>
        <v/>
      </c>
      <c r="R71" s="23">
        <f>IF(Intereses_Leasing_Mensual!Q71&gt;0, ROUND($I71-Intereses_Leasing_Mensual!Q71, 2), "")</f>
        <v/>
      </c>
      <c r="S71" s="23">
        <f>IF(Intereses_Leasing_Mensual!R71&gt;0, ROUND($I71-Intereses_Leasing_Mensual!R71, 2), "")</f>
        <v/>
      </c>
      <c r="T71" s="23">
        <f>IF(Intereses_Leasing_Mensual!S71&gt;0, ROUND($I71-Intereses_Leasing_Mensual!S71, 2), "")</f>
        <v/>
      </c>
      <c r="U71" s="23">
        <f>IF(Intereses_Leasing_Mensual!T71&gt;0, ROUND($I71-Intereses_Leasing_Mensual!T71, 2), "")</f>
        <v/>
      </c>
      <c r="V71" s="23">
        <f>SUM(J71:U71)</f>
        <v/>
      </c>
    </row>
    <row r="72">
      <c r="A72" s="26" t="inlineStr">
        <is>
          <t>0616-0002</t>
        </is>
      </c>
      <c r="B72" s="27" t="inlineStr">
        <is>
          <t>Commerce and Technology Connection Sas de Cv</t>
        </is>
      </c>
      <c r="C72" s="27" t="inlineStr">
        <is>
          <t>RAM 700 BIG HORN</t>
        </is>
      </c>
      <c r="D72" s="26" t="inlineStr">
        <is>
          <t>ACTIVO</t>
        </is>
      </c>
      <c r="E72" s="26" t="inlineStr">
        <is>
          <t>2024-02-16</t>
        </is>
      </c>
      <c r="F72" s="26" t="inlineStr">
        <is>
          <t>2027-02-16</t>
        </is>
      </c>
      <c r="G72" s="28" t="n">
        <v>36</v>
      </c>
      <c r="H72" s="29" t="n">
        <v>191327.59</v>
      </c>
      <c r="I72" s="29" t="n">
        <v>8434.66</v>
      </c>
      <c r="J72" s="29">
        <f>IF(Intereses_Leasing_Mensual!I72&gt;0, ROUND($I72-Intereses_Leasing_Mensual!I72, 2), "")</f>
        <v/>
      </c>
      <c r="K72" s="29">
        <f>IF(Intereses_Leasing_Mensual!J72&gt;0, ROUND($I72-Intereses_Leasing_Mensual!J72, 2), "")</f>
        <v/>
      </c>
      <c r="L72" s="29">
        <f>IF(Intereses_Leasing_Mensual!K72&gt;0, ROUND($I72-Intereses_Leasing_Mensual!K72, 2), "")</f>
        <v/>
      </c>
      <c r="M72" s="29">
        <f>IF(Intereses_Leasing_Mensual!L72&gt;0, ROUND($I72-Intereses_Leasing_Mensual!L72, 2), "")</f>
        <v/>
      </c>
      <c r="N72" s="29">
        <f>IF(Intereses_Leasing_Mensual!M72&gt;0, ROUND($I72-Intereses_Leasing_Mensual!M72, 2), "")</f>
        <v/>
      </c>
      <c r="O72" s="29">
        <f>IF(Intereses_Leasing_Mensual!N72&gt;0, ROUND($I72-Intereses_Leasing_Mensual!N72, 2), "")</f>
        <v/>
      </c>
      <c r="P72" s="29">
        <f>IF(Intereses_Leasing_Mensual!O72&gt;0, ROUND($I72-Intereses_Leasing_Mensual!O72, 2), "")</f>
        <v/>
      </c>
      <c r="Q72" s="29">
        <f>IF(Intereses_Leasing_Mensual!P72&gt;0, ROUND($I72-Intereses_Leasing_Mensual!P72, 2), "")</f>
        <v/>
      </c>
      <c r="R72" s="29">
        <f>IF(Intereses_Leasing_Mensual!Q72&gt;0, ROUND($I72-Intereses_Leasing_Mensual!Q72, 2), "")</f>
        <v/>
      </c>
      <c r="S72" s="29">
        <f>IF(Intereses_Leasing_Mensual!R72&gt;0, ROUND($I72-Intereses_Leasing_Mensual!R72, 2), "")</f>
        <v/>
      </c>
      <c r="T72" s="29">
        <f>IF(Intereses_Leasing_Mensual!S72&gt;0, ROUND($I72-Intereses_Leasing_Mensual!S72, 2), "")</f>
        <v/>
      </c>
      <c r="U72" s="29">
        <f>IF(Intereses_Leasing_Mensual!T72&gt;0, ROUND($I72-Intereses_Leasing_Mensual!T72, 2), "")</f>
        <v/>
      </c>
      <c r="V72" s="29">
        <f>SUM(J72:U72)</f>
        <v/>
      </c>
    </row>
    <row r="73">
      <c r="A73" s="20" t="inlineStr">
        <is>
          <t>0616-0003</t>
        </is>
      </c>
      <c r="B73" s="21" t="inlineStr">
        <is>
          <t>Commerce and Technology Connection Sas de Cv</t>
        </is>
      </c>
      <c r="C73" s="21" t="inlineStr">
        <is>
          <t>FASTBACK</t>
        </is>
      </c>
      <c r="D73" s="20" t="inlineStr">
        <is>
          <t>ACTIVO</t>
        </is>
      </c>
      <c r="E73" s="20" t="inlineStr">
        <is>
          <t>2024-02-23</t>
        </is>
      </c>
      <c r="F73" s="20" t="inlineStr">
        <is>
          <t>2027-02-23</t>
        </is>
      </c>
      <c r="G73" s="22" t="n">
        <v>36</v>
      </c>
      <c r="H73" s="23" t="n">
        <v>295146.55</v>
      </c>
      <c r="I73" s="23" t="n">
        <v>13205.53</v>
      </c>
      <c r="J73" s="23">
        <f>IF(Intereses_Leasing_Mensual!I73&gt;0, ROUND($I73-Intereses_Leasing_Mensual!I73, 2), "")</f>
        <v/>
      </c>
      <c r="K73" s="23">
        <f>IF(Intereses_Leasing_Mensual!J73&gt;0, ROUND($I73-Intereses_Leasing_Mensual!J73, 2), "")</f>
        <v/>
      </c>
      <c r="L73" s="23">
        <f>IF(Intereses_Leasing_Mensual!K73&gt;0, ROUND($I73-Intereses_Leasing_Mensual!K73, 2), "")</f>
        <v/>
      </c>
      <c r="M73" s="23">
        <f>IF(Intereses_Leasing_Mensual!L73&gt;0, ROUND($I73-Intereses_Leasing_Mensual!L73, 2), "")</f>
        <v/>
      </c>
      <c r="N73" s="23">
        <f>IF(Intereses_Leasing_Mensual!M73&gt;0, ROUND($I73-Intereses_Leasing_Mensual!M73, 2), "")</f>
        <v/>
      </c>
      <c r="O73" s="23">
        <f>IF(Intereses_Leasing_Mensual!N73&gt;0, ROUND($I73-Intereses_Leasing_Mensual!N73, 2), "")</f>
        <v/>
      </c>
      <c r="P73" s="23">
        <f>IF(Intereses_Leasing_Mensual!O73&gt;0, ROUND($I73-Intereses_Leasing_Mensual!O73, 2), "")</f>
        <v/>
      </c>
      <c r="Q73" s="23">
        <f>IF(Intereses_Leasing_Mensual!P73&gt;0, ROUND($I73-Intereses_Leasing_Mensual!P73, 2), "")</f>
        <v/>
      </c>
      <c r="R73" s="23">
        <f>IF(Intereses_Leasing_Mensual!Q73&gt;0, ROUND($I73-Intereses_Leasing_Mensual!Q73, 2), "")</f>
        <v/>
      </c>
      <c r="S73" s="23">
        <f>IF(Intereses_Leasing_Mensual!R73&gt;0, ROUND($I73-Intereses_Leasing_Mensual!R73, 2), "")</f>
        <v/>
      </c>
      <c r="T73" s="23">
        <f>IF(Intereses_Leasing_Mensual!S73&gt;0, ROUND($I73-Intereses_Leasing_Mensual!S73, 2), "")</f>
        <v/>
      </c>
      <c r="U73" s="23">
        <f>IF(Intereses_Leasing_Mensual!T73&gt;0, ROUND($I73-Intereses_Leasing_Mensual!T73, 2), "")</f>
        <v/>
      </c>
      <c r="V73" s="23">
        <f>SUM(J73:U73)</f>
        <v/>
      </c>
    </row>
    <row r="74">
      <c r="A74" s="26" t="inlineStr">
        <is>
          <t>0616-0004</t>
        </is>
      </c>
      <c r="B74" s="27" t="inlineStr">
        <is>
          <t>Commerce and Technology Connections Sas de Cv</t>
        </is>
      </c>
      <c r="C74" s="27" t="inlineStr">
        <is>
          <t>Argo</t>
        </is>
      </c>
      <c r="D74" s="26" t="inlineStr">
        <is>
          <t>ACTIVO</t>
        </is>
      </c>
      <c r="E74" s="26" t="inlineStr">
        <is>
          <t>2024-05-20</t>
        </is>
      </c>
      <c r="F74" s="26" t="inlineStr">
        <is>
          <t>2027-05-20</t>
        </is>
      </c>
      <c r="G74" s="28" t="n">
        <v>36</v>
      </c>
      <c r="H74" s="29" t="n">
        <v>178448.27</v>
      </c>
      <c r="I74" s="29" t="n">
        <v>8380.450000000001</v>
      </c>
      <c r="J74" s="29">
        <f>IF(Intereses_Leasing_Mensual!I74&gt;0, ROUND($I74-Intereses_Leasing_Mensual!I74, 2), "")</f>
        <v/>
      </c>
      <c r="K74" s="29">
        <f>IF(Intereses_Leasing_Mensual!J74&gt;0, ROUND($I74-Intereses_Leasing_Mensual!J74, 2), "")</f>
        <v/>
      </c>
      <c r="L74" s="29">
        <f>IF(Intereses_Leasing_Mensual!K74&gt;0, ROUND($I74-Intereses_Leasing_Mensual!K74, 2), "")</f>
        <v/>
      </c>
      <c r="M74" s="29">
        <f>IF(Intereses_Leasing_Mensual!L74&gt;0, ROUND($I74-Intereses_Leasing_Mensual!L74, 2), "")</f>
        <v/>
      </c>
      <c r="N74" s="29">
        <f>IF(Intereses_Leasing_Mensual!M74&gt;0, ROUND($I74-Intereses_Leasing_Mensual!M74, 2), "")</f>
        <v/>
      </c>
      <c r="O74" s="29">
        <f>IF(Intereses_Leasing_Mensual!N74&gt;0, ROUND($I74-Intereses_Leasing_Mensual!N74, 2), "")</f>
        <v/>
      </c>
      <c r="P74" s="29">
        <f>IF(Intereses_Leasing_Mensual!O74&gt;0, ROUND($I74-Intereses_Leasing_Mensual!O74, 2), "")</f>
        <v/>
      </c>
      <c r="Q74" s="29">
        <f>IF(Intereses_Leasing_Mensual!P74&gt;0, ROUND($I74-Intereses_Leasing_Mensual!P74, 2), "")</f>
        <v/>
      </c>
      <c r="R74" s="29">
        <f>IF(Intereses_Leasing_Mensual!Q74&gt;0, ROUND($I74-Intereses_Leasing_Mensual!Q74, 2), "")</f>
        <v/>
      </c>
      <c r="S74" s="29">
        <f>IF(Intereses_Leasing_Mensual!R74&gt;0, ROUND($I74-Intereses_Leasing_Mensual!R74, 2), "")</f>
        <v/>
      </c>
      <c r="T74" s="29">
        <f>IF(Intereses_Leasing_Mensual!S74&gt;0, ROUND($I74-Intereses_Leasing_Mensual!S74, 2), "")</f>
        <v/>
      </c>
      <c r="U74" s="29">
        <f>IF(Intereses_Leasing_Mensual!T74&gt;0, ROUND($I74-Intereses_Leasing_Mensual!T74, 2), "")</f>
        <v/>
      </c>
      <c r="V74" s="29">
        <f>SUM(J74:U74)</f>
        <v/>
      </c>
    </row>
    <row r="75">
      <c r="A75" s="20" t="inlineStr">
        <is>
          <t>0616-0005</t>
        </is>
      </c>
      <c r="B75" s="21" t="inlineStr">
        <is>
          <t>Commerce and Technology Connection Sas de Cv</t>
        </is>
      </c>
      <c r="C75" s="21" t="inlineStr">
        <is>
          <t>Journey GT</t>
        </is>
      </c>
      <c r="D75" s="20" t="inlineStr">
        <is>
          <t>ACTIVO</t>
        </is>
      </c>
      <c r="E75" s="20" t="inlineStr">
        <is>
          <t>2024-07-30</t>
        </is>
      </c>
      <c r="F75" s="20" t="inlineStr">
        <is>
          <t>2027-07-30</t>
        </is>
      </c>
      <c r="G75" s="22" t="n">
        <v>36</v>
      </c>
      <c r="H75" s="23" t="n">
        <v>397008.62</v>
      </c>
      <c r="I75" s="23" t="n">
        <v>16807.86</v>
      </c>
      <c r="J75" s="23">
        <f>IF(Intereses_Leasing_Mensual!I75&gt;0, ROUND($I75-Intereses_Leasing_Mensual!I75, 2), "")</f>
        <v/>
      </c>
      <c r="K75" s="23">
        <f>IF(Intereses_Leasing_Mensual!J75&gt;0, ROUND($I75-Intereses_Leasing_Mensual!J75, 2), "")</f>
        <v/>
      </c>
      <c r="L75" s="23">
        <f>IF(Intereses_Leasing_Mensual!K75&gt;0, ROUND($I75-Intereses_Leasing_Mensual!K75, 2), "")</f>
        <v/>
      </c>
      <c r="M75" s="23">
        <f>IF(Intereses_Leasing_Mensual!L75&gt;0, ROUND($I75-Intereses_Leasing_Mensual!L75, 2), "")</f>
        <v/>
      </c>
      <c r="N75" s="23">
        <f>IF(Intereses_Leasing_Mensual!M75&gt;0, ROUND($I75-Intereses_Leasing_Mensual!M75, 2), "")</f>
        <v/>
      </c>
      <c r="O75" s="23">
        <f>IF(Intereses_Leasing_Mensual!N75&gt;0, ROUND($I75-Intereses_Leasing_Mensual!N75, 2), "")</f>
        <v/>
      </c>
      <c r="P75" s="23">
        <f>IF(Intereses_Leasing_Mensual!O75&gt;0, ROUND($I75-Intereses_Leasing_Mensual!O75, 2), "")</f>
        <v/>
      </c>
      <c r="Q75" s="23">
        <f>IF(Intereses_Leasing_Mensual!P75&gt;0, ROUND($I75-Intereses_Leasing_Mensual!P75, 2), "")</f>
        <v/>
      </c>
      <c r="R75" s="23">
        <f>IF(Intereses_Leasing_Mensual!Q75&gt;0, ROUND($I75-Intereses_Leasing_Mensual!Q75, 2), "")</f>
        <v/>
      </c>
      <c r="S75" s="23">
        <f>IF(Intereses_Leasing_Mensual!R75&gt;0, ROUND($I75-Intereses_Leasing_Mensual!R75, 2), "")</f>
        <v/>
      </c>
      <c r="T75" s="23">
        <f>IF(Intereses_Leasing_Mensual!S75&gt;0, ROUND($I75-Intereses_Leasing_Mensual!S75, 2), "")</f>
        <v/>
      </c>
      <c r="U75" s="23">
        <f>IF(Intereses_Leasing_Mensual!T75&gt;0, ROUND($I75-Intereses_Leasing_Mensual!T75, 2), "")</f>
        <v/>
      </c>
      <c r="V75" s="23">
        <f>SUM(J75:U75)</f>
        <v/>
      </c>
    </row>
    <row r="76">
      <c r="A76" s="26" t="inlineStr">
        <is>
          <t>0618-0001</t>
        </is>
      </c>
      <c r="B76" s="27" t="inlineStr">
        <is>
          <t>Juan Pablo Rodriguez Garcia</t>
        </is>
      </c>
      <c r="C76" s="27" t="inlineStr">
        <is>
          <t>JT MOJAVE</t>
        </is>
      </c>
      <c r="D76" s="26" t="inlineStr">
        <is>
          <t>ACTIVO</t>
        </is>
      </c>
      <c r="E76" s="26" t="inlineStr">
        <is>
          <t>2023-06-16</t>
        </is>
      </c>
      <c r="F76" s="26" t="inlineStr">
        <is>
          <t>2027-06-16</t>
        </is>
      </c>
      <c r="G76" s="28" t="n">
        <v>48</v>
      </c>
      <c r="H76" s="29" t="n">
        <v>1138887.93</v>
      </c>
      <c r="I76" s="29" t="n">
        <v>44136.62</v>
      </c>
      <c r="J76" s="29">
        <f>IF(Intereses_Leasing_Mensual!I76&gt;0, ROUND($I76-Intereses_Leasing_Mensual!I76, 2), "")</f>
        <v/>
      </c>
      <c r="K76" s="29">
        <f>IF(Intereses_Leasing_Mensual!J76&gt;0, ROUND($I76-Intereses_Leasing_Mensual!J76, 2), "")</f>
        <v/>
      </c>
      <c r="L76" s="29">
        <f>IF(Intereses_Leasing_Mensual!K76&gt;0, ROUND($I76-Intereses_Leasing_Mensual!K76, 2), "")</f>
        <v/>
      </c>
      <c r="M76" s="29">
        <f>IF(Intereses_Leasing_Mensual!L76&gt;0, ROUND($I76-Intereses_Leasing_Mensual!L76, 2), "")</f>
        <v/>
      </c>
      <c r="N76" s="29">
        <f>IF(Intereses_Leasing_Mensual!M76&gt;0, ROUND($I76-Intereses_Leasing_Mensual!M76, 2), "")</f>
        <v/>
      </c>
      <c r="O76" s="29">
        <f>IF(Intereses_Leasing_Mensual!N76&gt;0, ROUND($I76-Intereses_Leasing_Mensual!N76, 2), "")</f>
        <v/>
      </c>
      <c r="P76" s="29">
        <f>IF(Intereses_Leasing_Mensual!O76&gt;0, ROUND($I76-Intereses_Leasing_Mensual!O76, 2), "")</f>
        <v/>
      </c>
      <c r="Q76" s="29">
        <f>IF(Intereses_Leasing_Mensual!P76&gt;0, ROUND($I76-Intereses_Leasing_Mensual!P76, 2), "")</f>
        <v/>
      </c>
      <c r="R76" s="29">
        <f>IF(Intereses_Leasing_Mensual!Q76&gt;0, ROUND($I76-Intereses_Leasing_Mensual!Q76, 2), "")</f>
        <v/>
      </c>
      <c r="S76" s="29">
        <f>IF(Intereses_Leasing_Mensual!R76&gt;0, ROUND($I76-Intereses_Leasing_Mensual!R76, 2), "")</f>
        <v/>
      </c>
      <c r="T76" s="29">
        <f>IF(Intereses_Leasing_Mensual!S76&gt;0, ROUND($I76-Intereses_Leasing_Mensual!S76, 2), "")</f>
        <v/>
      </c>
      <c r="U76" s="29">
        <f>IF(Intereses_Leasing_Mensual!T76&gt;0, ROUND($I76-Intereses_Leasing_Mensual!T76, 2), "")</f>
        <v/>
      </c>
      <c r="V76" s="29">
        <f>SUM(J76:U76)</f>
        <v/>
      </c>
    </row>
    <row r="77">
      <c r="A77" s="20" t="inlineStr">
        <is>
          <t>0619-0002</t>
        </is>
      </c>
      <c r="B77" s="21" t="inlineStr">
        <is>
          <t>Horacio de la Vega Flores</t>
        </is>
      </c>
      <c r="C77" s="21" t="inlineStr">
        <is>
          <t>Bronco Sport</t>
        </is>
      </c>
      <c r="D77" s="20" t="inlineStr">
        <is>
          <t>ACTIVO</t>
        </is>
      </c>
      <c r="E77" s="20" t="inlineStr">
        <is>
          <t>2025-09-11</t>
        </is>
      </c>
      <c r="F77" s="20" t="inlineStr">
        <is>
          <t>2028-09-11</t>
        </is>
      </c>
      <c r="G77" s="22" t="n">
        <v>36</v>
      </c>
      <c r="H77" s="23" t="n">
        <v>470689.65</v>
      </c>
      <c r="I77" s="23" t="n">
        <v>16666.91</v>
      </c>
      <c r="J77" s="23">
        <f>IF(Intereses_Leasing_Mensual!I77&gt;0, ROUND($I77-Intereses_Leasing_Mensual!I77, 2), "")</f>
        <v/>
      </c>
      <c r="K77" s="23">
        <f>IF(Intereses_Leasing_Mensual!J77&gt;0, ROUND($I77-Intereses_Leasing_Mensual!J77, 2), "")</f>
        <v/>
      </c>
      <c r="L77" s="23">
        <f>IF(Intereses_Leasing_Mensual!K77&gt;0, ROUND($I77-Intereses_Leasing_Mensual!K77, 2), "")</f>
        <v/>
      </c>
      <c r="M77" s="23">
        <f>IF(Intereses_Leasing_Mensual!L77&gt;0, ROUND($I77-Intereses_Leasing_Mensual!L77, 2), "")</f>
        <v/>
      </c>
      <c r="N77" s="23">
        <f>IF(Intereses_Leasing_Mensual!M77&gt;0, ROUND($I77-Intereses_Leasing_Mensual!M77, 2), "")</f>
        <v/>
      </c>
      <c r="O77" s="23">
        <f>IF(Intereses_Leasing_Mensual!N77&gt;0, ROUND($I77-Intereses_Leasing_Mensual!N77, 2), "")</f>
        <v/>
      </c>
      <c r="P77" s="23">
        <f>IF(Intereses_Leasing_Mensual!O77&gt;0, ROUND($I77-Intereses_Leasing_Mensual!O77, 2), "")</f>
        <v/>
      </c>
      <c r="Q77" s="23">
        <f>IF(Intereses_Leasing_Mensual!P77&gt;0, ROUND($I77-Intereses_Leasing_Mensual!P77, 2), "")</f>
        <v/>
      </c>
      <c r="R77" s="23">
        <f>IF(Intereses_Leasing_Mensual!Q77&gt;0, ROUND($I77-Intereses_Leasing_Mensual!Q77, 2), "")</f>
        <v/>
      </c>
      <c r="S77" s="23">
        <f>IF(Intereses_Leasing_Mensual!R77&gt;0, ROUND($I77-Intereses_Leasing_Mensual!R77, 2), "")</f>
        <v/>
      </c>
      <c r="T77" s="23">
        <f>IF(Intereses_Leasing_Mensual!S77&gt;0, ROUND($I77-Intereses_Leasing_Mensual!S77, 2), "")</f>
        <v/>
      </c>
      <c r="U77" s="23">
        <f>IF(Intereses_Leasing_Mensual!T77&gt;0, ROUND($I77-Intereses_Leasing_Mensual!T77, 2), "")</f>
        <v/>
      </c>
      <c r="V77" s="23">
        <f>SUM(J77:U77)</f>
        <v/>
      </c>
    </row>
    <row r="78">
      <c r="A78" s="26" t="inlineStr">
        <is>
          <t>0620-0001</t>
        </is>
      </c>
      <c r="B78" s="27" t="inlineStr">
        <is>
          <t>Desarrollos Romo Srl de Cv</t>
        </is>
      </c>
      <c r="C78" s="27" t="inlineStr">
        <is>
          <t>RAM 700 BIG HORN</t>
        </is>
      </c>
      <c r="D78" s="26" t="inlineStr">
        <is>
          <t>ACTIVO</t>
        </is>
      </c>
      <c r="E78" s="26" t="inlineStr">
        <is>
          <t>2023-07-20</t>
        </is>
      </c>
      <c r="F78" s="26" t="inlineStr">
        <is>
          <t>2027-07-20</t>
        </is>
      </c>
      <c r="G78" s="28" t="n">
        <v>48</v>
      </c>
      <c r="H78" s="29" t="n">
        <v>279232.76</v>
      </c>
      <c r="I78" s="29" t="n">
        <v>11517.34</v>
      </c>
      <c r="J78" s="29">
        <f>IF(Intereses_Leasing_Mensual!I78&gt;0, ROUND($I78-Intereses_Leasing_Mensual!I78, 2), "")</f>
        <v/>
      </c>
      <c r="K78" s="29">
        <f>IF(Intereses_Leasing_Mensual!J78&gt;0, ROUND($I78-Intereses_Leasing_Mensual!J78, 2), "")</f>
        <v/>
      </c>
      <c r="L78" s="29">
        <f>IF(Intereses_Leasing_Mensual!K78&gt;0, ROUND($I78-Intereses_Leasing_Mensual!K78, 2), "")</f>
        <v/>
      </c>
      <c r="M78" s="29">
        <f>IF(Intereses_Leasing_Mensual!L78&gt;0, ROUND($I78-Intereses_Leasing_Mensual!L78, 2), "")</f>
        <v/>
      </c>
      <c r="N78" s="29">
        <f>IF(Intereses_Leasing_Mensual!M78&gt;0, ROUND($I78-Intereses_Leasing_Mensual!M78, 2), "")</f>
        <v/>
      </c>
      <c r="O78" s="29">
        <f>IF(Intereses_Leasing_Mensual!N78&gt;0, ROUND($I78-Intereses_Leasing_Mensual!N78, 2), "")</f>
        <v/>
      </c>
      <c r="P78" s="29">
        <f>IF(Intereses_Leasing_Mensual!O78&gt;0, ROUND($I78-Intereses_Leasing_Mensual!O78, 2), "")</f>
        <v/>
      </c>
      <c r="Q78" s="29">
        <f>IF(Intereses_Leasing_Mensual!P78&gt;0, ROUND($I78-Intereses_Leasing_Mensual!P78, 2), "")</f>
        <v/>
      </c>
      <c r="R78" s="29">
        <f>IF(Intereses_Leasing_Mensual!Q78&gt;0, ROUND($I78-Intereses_Leasing_Mensual!Q78, 2), "")</f>
        <v/>
      </c>
      <c r="S78" s="29">
        <f>IF(Intereses_Leasing_Mensual!R78&gt;0, ROUND($I78-Intereses_Leasing_Mensual!R78, 2), "")</f>
        <v/>
      </c>
      <c r="T78" s="29">
        <f>IF(Intereses_Leasing_Mensual!S78&gt;0, ROUND($I78-Intereses_Leasing_Mensual!S78, 2), "")</f>
        <v/>
      </c>
      <c r="U78" s="29">
        <f>IF(Intereses_Leasing_Mensual!T78&gt;0, ROUND($I78-Intereses_Leasing_Mensual!T78, 2), "")</f>
        <v/>
      </c>
      <c r="V78" s="29">
        <f>SUM(J78:U78)</f>
        <v/>
      </c>
    </row>
    <row r="79">
      <c r="A79" s="20" t="inlineStr">
        <is>
          <t>0620-0002</t>
        </is>
      </c>
      <c r="B79" s="21" t="inlineStr">
        <is>
          <t>Desarrollos Romo Srl de Cv</t>
        </is>
      </c>
      <c r="C79" s="21" t="inlineStr">
        <is>
          <t>RAM 700 BIG HORN</t>
        </is>
      </c>
      <c r="D79" s="20" t="inlineStr">
        <is>
          <t>ACTIVO</t>
        </is>
      </c>
      <c r="E79" s="20" t="inlineStr">
        <is>
          <t>2023-07-20</t>
        </is>
      </c>
      <c r="F79" s="20" t="inlineStr">
        <is>
          <t>2027-07-20</t>
        </is>
      </c>
      <c r="G79" s="22" t="n">
        <v>48</v>
      </c>
      <c r="H79" s="23" t="n">
        <v>279232.76</v>
      </c>
      <c r="I79" s="23" t="n">
        <v>11517.34</v>
      </c>
      <c r="J79" s="23">
        <f>IF(Intereses_Leasing_Mensual!I79&gt;0, ROUND($I79-Intereses_Leasing_Mensual!I79, 2), "")</f>
        <v/>
      </c>
      <c r="K79" s="23">
        <f>IF(Intereses_Leasing_Mensual!J79&gt;0, ROUND($I79-Intereses_Leasing_Mensual!J79, 2), "")</f>
        <v/>
      </c>
      <c r="L79" s="23">
        <f>IF(Intereses_Leasing_Mensual!K79&gt;0, ROUND($I79-Intereses_Leasing_Mensual!K79, 2), "")</f>
        <v/>
      </c>
      <c r="M79" s="23">
        <f>IF(Intereses_Leasing_Mensual!L79&gt;0, ROUND($I79-Intereses_Leasing_Mensual!L79, 2), "")</f>
        <v/>
      </c>
      <c r="N79" s="23">
        <f>IF(Intereses_Leasing_Mensual!M79&gt;0, ROUND($I79-Intereses_Leasing_Mensual!M79, 2), "")</f>
        <v/>
      </c>
      <c r="O79" s="23">
        <f>IF(Intereses_Leasing_Mensual!N79&gt;0, ROUND($I79-Intereses_Leasing_Mensual!N79, 2), "")</f>
        <v/>
      </c>
      <c r="P79" s="23">
        <f>IF(Intereses_Leasing_Mensual!O79&gt;0, ROUND($I79-Intereses_Leasing_Mensual!O79, 2), "")</f>
        <v/>
      </c>
      <c r="Q79" s="23">
        <f>IF(Intereses_Leasing_Mensual!P79&gt;0, ROUND($I79-Intereses_Leasing_Mensual!P79, 2), "")</f>
        <v/>
      </c>
      <c r="R79" s="23">
        <f>IF(Intereses_Leasing_Mensual!Q79&gt;0, ROUND($I79-Intereses_Leasing_Mensual!Q79, 2), "")</f>
        <v/>
      </c>
      <c r="S79" s="23">
        <f>IF(Intereses_Leasing_Mensual!R79&gt;0, ROUND($I79-Intereses_Leasing_Mensual!R79, 2), "")</f>
        <v/>
      </c>
      <c r="T79" s="23">
        <f>IF(Intereses_Leasing_Mensual!S79&gt;0, ROUND($I79-Intereses_Leasing_Mensual!S79, 2), "")</f>
        <v/>
      </c>
      <c r="U79" s="23">
        <f>IF(Intereses_Leasing_Mensual!T79&gt;0, ROUND($I79-Intereses_Leasing_Mensual!T79, 2), "")</f>
        <v/>
      </c>
      <c r="V79" s="23">
        <f>SUM(J79:U79)</f>
        <v/>
      </c>
    </row>
    <row r="80">
      <c r="A80" s="26" t="inlineStr">
        <is>
          <t>0621-0008</t>
        </is>
      </c>
      <c r="B80" s="27" t="inlineStr">
        <is>
          <t>Luis Alberto Ponce Ruiz</t>
        </is>
      </c>
      <c r="C80" s="27" t="inlineStr">
        <is>
          <t>Hilux</t>
        </is>
      </c>
      <c r="D80" s="26" t="inlineStr">
        <is>
          <t>ACTIVO</t>
        </is>
      </c>
      <c r="E80" s="26" t="inlineStr">
        <is>
          <t>2025-10-30</t>
        </is>
      </c>
      <c r="F80" s="26" t="inlineStr">
        <is>
          <t>2026-10-30</t>
        </is>
      </c>
      <c r="G80" s="28" t="n">
        <v>12</v>
      </c>
      <c r="H80" s="29" t="n">
        <v>256758.62</v>
      </c>
      <c r="I80" s="29" t="n">
        <v>21790.94</v>
      </c>
      <c r="J80" s="29">
        <f>IF(Intereses_Leasing_Mensual!I80&gt;0, ROUND($I80-Intereses_Leasing_Mensual!I80, 2), "")</f>
        <v/>
      </c>
      <c r="K80" s="29">
        <f>IF(Intereses_Leasing_Mensual!J80&gt;0, ROUND($I80-Intereses_Leasing_Mensual!J80, 2), "")</f>
        <v/>
      </c>
      <c r="L80" s="29">
        <f>IF(Intereses_Leasing_Mensual!K80&gt;0, ROUND($I80-Intereses_Leasing_Mensual!K80, 2), "")</f>
        <v/>
      </c>
      <c r="M80" s="29">
        <f>IF(Intereses_Leasing_Mensual!L80&gt;0, ROUND($I80-Intereses_Leasing_Mensual!L80, 2), "")</f>
        <v/>
      </c>
      <c r="N80" s="29">
        <f>IF(Intereses_Leasing_Mensual!M80&gt;0, ROUND($I80-Intereses_Leasing_Mensual!M80, 2), "")</f>
        <v/>
      </c>
      <c r="O80" s="29">
        <f>IF(Intereses_Leasing_Mensual!N80&gt;0, ROUND($I80-Intereses_Leasing_Mensual!N80, 2), "")</f>
        <v/>
      </c>
      <c r="P80" s="29">
        <f>IF(Intereses_Leasing_Mensual!O80&gt;0, ROUND($I80-Intereses_Leasing_Mensual!O80, 2), "")</f>
        <v/>
      </c>
      <c r="Q80" s="29">
        <f>IF(Intereses_Leasing_Mensual!P80&gt;0, ROUND($I80-Intereses_Leasing_Mensual!P80, 2), "")</f>
        <v/>
      </c>
      <c r="R80" s="29">
        <f>IF(Intereses_Leasing_Mensual!Q80&gt;0, ROUND($I80-Intereses_Leasing_Mensual!Q80, 2), "")</f>
        <v/>
      </c>
      <c r="S80" s="29" t="inlineStr"/>
      <c r="T80" s="29" t="inlineStr"/>
      <c r="U80" s="29" t="inlineStr"/>
      <c r="V80" s="29">
        <f>SUM(J80:U80)</f>
        <v/>
      </c>
    </row>
    <row r="81">
      <c r="A81" s="20" t="inlineStr">
        <is>
          <t>0623-0001</t>
        </is>
      </c>
      <c r="B81" s="21" t="inlineStr">
        <is>
          <t>Seguridad y Automatismos Profesionales de Occidente S de SRL de Cv</t>
        </is>
      </c>
      <c r="C81" s="21" t="inlineStr">
        <is>
          <t>RAM 700 BIG HORN</t>
        </is>
      </c>
      <c r="D81" s="20" t="inlineStr">
        <is>
          <t>ACTIVO</t>
        </is>
      </c>
      <c r="E81" s="20" t="inlineStr">
        <is>
          <t>2023-07-31</t>
        </is>
      </c>
      <c r="F81" s="20" t="inlineStr">
        <is>
          <t>2027-07-31</t>
        </is>
      </c>
      <c r="G81" s="22" t="n">
        <v>48</v>
      </c>
      <c r="H81" s="23" t="n">
        <v>283112.07</v>
      </c>
      <c r="I81" s="23" t="n">
        <v>11147.27</v>
      </c>
      <c r="J81" s="23">
        <f>IF(Intereses_Leasing_Mensual!I81&gt;0, ROUND($I81-Intereses_Leasing_Mensual!I81, 2), "")</f>
        <v/>
      </c>
      <c r="K81" s="23">
        <f>IF(Intereses_Leasing_Mensual!J81&gt;0, ROUND($I81-Intereses_Leasing_Mensual!J81, 2), "")</f>
        <v/>
      </c>
      <c r="L81" s="23">
        <f>IF(Intereses_Leasing_Mensual!K81&gt;0, ROUND($I81-Intereses_Leasing_Mensual!K81, 2), "")</f>
        <v/>
      </c>
      <c r="M81" s="23">
        <f>IF(Intereses_Leasing_Mensual!L81&gt;0, ROUND($I81-Intereses_Leasing_Mensual!L81, 2), "")</f>
        <v/>
      </c>
      <c r="N81" s="23">
        <f>IF(Intereses_Leasing_Mensual!M81&gt;0, ROUND($I81-Intereses_Leasing_Mensual!M81, 2), "")</f>
        <v/>
      </c>
      <c r="O81" s="23">
        <f>IF(Intereses_Leasing_Mensual!N81&gt;0, ROUND($I81-Intereses_Leasing_Mensual!N81, 2), "")</f>
        <v/>
      </c>
      <c r="P81" s="23">
        <f>IF(Intereses_Leasing_Mensual!O81&gt;0, ROUND($I81-Intereses_Leasing_Mensual!O81, 2), "")</f>
        <v/>
      </c>
      <c r="Q81" s="23">
        <f>IF(Intereses_Leasing_Mensual!P81&gt;0, ROUND($I81-Intereses_Leasing_Mensual!P81, 2), "")</f>
        <v/>
      </c>
      <c r="R81" s="23">
        <f>IF(Intereses_Leasing_Mensual!Q81&gt;0, ROUND($I81-Intereses_Leasing_Mensual!Q81, 2), "")</f>
        <v/>
      </c>
      <c r="S81" s="23">
        <f>IF(Intereses_Leasing_Mensual!R81&gt;0, ROUND($I81-Intereses_Leasing_Mensual!R81, 2), "")</f>
        <v/>
      </c>
      <c r="T81" s="23">
        <f>IF(Intereses_Leasing_Mensual!S81&gt;0, ROUND($I81-Intereses_Leasing_Mensual!S81, 2), "")</f>
        <v/>
      </c>
      <c r="U81" s="23">
        <f>IF(Intereses_Leasing_Mensual!T81&gt;0, ROUND($I81-Intereses_Leasing_Mensual!T81, 2), "")</f>
        <v/>
      </c>
      <c r="V81" s="23">
        <f>SUM(J81:U81)</f>
        <v/>
      </c>
    </row>
    <row r="82">
      <c r="A82" s="26" t="inlineStr">
        <is>
          <t>0626-0001</t>
        </is>
      </c>
      <c r="B82" s="27" t="inlineStr">
        <is>
          <t>Hugo Ceja Moreno</t>
        </is>
      </c>
      <c r="C82" s="27" t="inlineStr">
        <is>
          <t>JT MOJAVE</t>
        </is>
      </c>
      <c r="D82" s="26" t="inlineStr">
        <is>
          <t>ACTIVO</t>
        </is>
      </c>
      <c r="E82" s="26" t="inlineStr">
        <is>
          <t>2023-08-18</t>
        </is>
      </c>
      <c r="F82" s="26" t="inlineStr">
        <is>
          <t>2027-08-18</t>
        </is>
      </c>
      <c r="G82" s="28" t="n">
        <v>48</v>
      </c>
      <c r="H82" s="29" t="n">
        <v>595810.34</v>
      </c>
      <c r="I82" s="29" t="n">
        <v>23741.09</v>
      </c>
      <c r="J82" s="29">
        <f>IF(Intereses_Leasing_Mensual!I82&gt;0, ROUND($I82-Intereses_Leasing_Mensual!I82, 2), "")</f>
        <v/>
      </c>
      <c r="K82" s="29">
        <f>IF(Intereses_Leasing_Mensual!J82&gt;0, ROUND($I82-Intereses_Leasing_Mensual!J82, 2), "")</f>
        <v/>
      </c>
      <c r="L82" s="29">
        <f>IF(Intereses_Leasing_Mensual!K82&gt;0, ROUND($I82-Intereses_Leasing_Mensual!K82, 2), "")</f>
        <v/>
      </c>
      <c r="M82" s="29">
        <f>IF(Intereses_Leasing_Mensual!L82&gt;0, ROUND($I82-Intereses_Leasing_Mensual!L82, 2), "")</f>
        <v/>
      </c>
      <c r="N82" s="29">
        <f>IF(Intereses_Leasing_Mensual!M82&gt;0, ROUND($I82-Intereses_Leasing_Mensual!M82, 2), "")</f>
        <v/>
      </c>
      <c r="O82" s="29">
        <f>IF(Intereses_Leasing_Mensual!N82&gt;0, ROUND($I82-Intereses_Leasing_Mensual!N82, 2), "")</f>
        <v/>
      </c>
      <c r="P82" s="29">
        <f>IF(Intereses_Leasing_Mensual!O82&gt;0, ROUND($I82-Intereses_Leasing_Mensual!O82, 2), "")</f>
        <v/>
      </c>
      <c r="Q82" s="29">
        <f>IF(Intereses_Leasing_Mensual!P82&gt;0, ROUND($I82-Intereses_Leasing_Mensual!P82, 2), "")</f>
        <v/>
      </c>
      <c r="R82" s="29">
        <f>IF(Intereses_Leasing_Mensual!Q82&gt;0, ROUND($I82-Intereses_Leasing_Mensual!Q82, 2), "")</f>
        <v/>
      </c>
      <c r="S82" s="29">
        <f>IF(Intereses_Leasing_Mensual!R82&gt;0, ROUND($I82-Intereses_Leasing_Mensual!R82, 2), "")</f>
        <v/>
      </c>
      <c r="T82" s="29">
        <f>IF(Intereses_Leasing_Mensual!S82&gt;0, ROUND($I82-Intereses_Leasing_Mensual!S82, 2), "")</f>
        <v/>
      </c>
      <c r="U82" s="29">
        <f>IF(Intereses_Leasing_Mensual!T82&gt;0, ROUND($I82-Intereses_Leasing_Mensual!T82, 2), "")</f>
        <v/>
      </c>
      <c r="V82" s="29">
        <f>SUM(J82:U82)</f>
        <v/>
      </c>
    </row>
    <row r="83">
      <c r="A83" s="20" t="inlineStr">
        <is>
          <t>0632-0004</t>
        </is>
      </c>
      <c r="B83" s="21" t="inlineStr">
        <is>
          <t>Art &amp; Sourcing Sa de Cv</t>
        </is>
      </c>
      <c r="C83" s="21" t="inlineStr">
        <is>
          <t>Ram 700 Tradesman</t>
        </is>
      </c>
      <c r="D83" s="20" t="inlineStr">
        <is>
          <t>ACTIVO</t>
        </is>
      </c>
      <c r="E83" s="20" t="inlineStr">
        <is>
          <t>2025-05-15</t>
        </is>
      </c>
      <c r="F83" s="20" t="inlineStr">
        <is>
          <t>2029-05-15</t>
        </is>
      </c>
      <c r="G83" s="22" t="n">
        <v>48</v>
      </c>
      <c r="H83" s="23" t="n">
        <v>286215.52</v>
      </c>
      <c r="I83" s="23" t="n">
        <v>10526.27</v>
      </c>
      <c r="J83" s="23">
        <f>IF(Intereses_Leasing_Mensual!I83&gt;0, ROUND($I83-Intereses_Leasing_Mensual!I83, 2), "")</f>
        <v/>
      </c>
      <c r="K83" s="23">
        <f>IF(Intereses_Leasing_Mensual!J83&gt;0, ROUND($I83-Intereses_Leasing_Mensual!J83, 2), "")</f>
        <v/>
      </c>
      <c r="L83" s="23">
        <f>IF(Intereses_Leasing_Mensual!K83&gt;0, ROUND($I83-Intereses_Leasing_Mensual!K83, 2), "")</f>
        <v/>
      </c>
      <c r="M83" s="23">
        <f>IF(Intereses_Leasing_Mensual!L83&gt;0, ROUND($I83-Intereses_Leasing_Mensual!L83, 2), "")</f>
        <v/>
      </c>
      <c r="N83" s="23">
        <f>IF(Intereses_Leasing_Mensual!M83&gt;0, ROUND($I83-Intereses_Leasing_Mensual!M83, 2), "")</f>
        <v/>
      </c>
      <c r="O83" s="23">
        <f>IF(Intereses_Leasing_Mensual!N83&gt;0, ROUND($I83-Intereses_Leasing_Mensual!N83, 2), "")</f>
        <v/>
      </c>
      <c r="P83" s="23">
        <f>IF(Intereses_Leasing_Mensual!O83&gt;0, ROUND($I83-Intereses_Leasing_Mensual!O83, 2), "")</f>
        <v/>
      </c>
      <c r="Q83" s="23">
        <f>IF(Intereses_Leasing_Mensual!P83&gt;0, ROUND($I83-Intereses_Leasing_Mensual!P83, 2), "")</f>
        <v/>
      </c>
      <c r="R83" s="23">
        <f>IF(Intereses_Leasing_Mensual!Q83&gt;0, ROUND($I83-Intereses_Leasing_Mensual!Q83, 2), "")</f>
        <v/>
      </c>
      <c r="S83" s="23">
        <f>IF(Intereses_Leasing_Mensual!R83&gt;0, ROUND($I83-Intereses_Leasing_Mensual!R83, 2), "")</f>
        <v/>
      </c>
      <c r="T83" s="23">
        <f>IF(Intereses_Leasing_Mensual!S83&gt;0, ROUND($I83-Intereses_Leasing_Mensual!S83, 2), "")</f>
        <v/>
      </c>
      <c r="U83" s="23">
        <f>IF(Intereses_Leasing_Mensual!T83&gt;0, ROUND($I83-Intereses_Leasing_Mensual!T83, 2), "")</f>
        <v/>
      </c>
      <c r="V83" s="23">
        <f>SUM(J83:U83)</f>
        <v/>
      </c>
    </row>
    <row r="84">
      <c r="A84" s="26" t="inlineStr">
        <is>
          <t>0632-0005</t>
        </is>
      </c>
      <c r="B84" s="27" t="inlineStr">
        <is>
          <t>Art &amp; Sourcing Sa de Cv</t>
        </is>
      </c>
      <c r="C84" s="27" t="inlineStr">
        <is>
          <t>Ram 700</t>
        </is>
      </c>
      <c r="D84" s="26" t="inlineStr">
        <is>
          <t>ACTIVO</t>
        </is>
      </c>
      <c r="E84" s="26" t="inlineStr">
        <is>
          <t>2025-11-25</t>
        </is>
      </c>
      <c r="F84" s="26" t="inlineStr">
        <is>
          <t>2027-11-25</t>
        </is>
      </c>
      <c r="G84" s="28" t="n">
        <v>24</v>
      </c>
      <c r="H84" s="29" t="n">
        <v>244758.62</v>
      </c>
      <c r="I84" s="29" t="n">
        <v>11988.22</v>
      </c>
      <c r="J84" s="29">
        <f>IF(Intereses_Leasing_Mensual!I84&gt;0, ROUND($I84-Intereses_Leasing_Mensual!I84, 2), "")</f>
        <v/>
      </c>
      <c r="K84" s="29">
        <f>IF(Intereses_Leasing_Mensual!J84&gt;0, ROUND($I84-Intereses_Leasing_Mensual!J84, 2), "")</f>
        <v/>
      </c>
      <c r="L84" s="29">
        <f>IF(Intereses_Leasing_Mensual!K84&gt;0, ROUND($I84-Intereses_Leasing_Mensual!K84, 2), "")</f>
        <v/>
      </c>
      <c r="M84" s="29">
        <f>IF(Intereses_Leasing_Mensual!L84&gt;0, ROUND($I84-Intereses_Leasing_Mensual!L84, 2), "")</f>
        <v/>
      </c>
      <c r="N84" s="29">
        <f>IF(Intereses_Leasing_Mensual!M84&gt;0, ROUND($I84-Intereses_Leasing_Mensual!M84, 2), "")</f>
        <v/>
      </c>
      <c r="O84" s="29">
        <f>IF(Intereses_Leasing_Mensual!N84&gt;0, ROUND($I84-Intereses_Leasing_Mensual!N84, 2), "")</f>
        <v/>
      </c>
      <c r="P84" s="29">
        <f>IF(Intereses_Leasing_Mensual!O84&gt;0, ROUND($I84-Intereses_Leasing_Mensual!O84, 2), "")</f>
        <v/>
      </c>
      <c r="Q84" s="29">
        <f>IF(Intereses_Leasing_Mensual!P84&gt;0, ROUND($I84-Intereses_Leasing_Mensual!P84, 2), "")</f>
        <v/>
      </c>
      <c r="R84" s="29">
        <f>IF(Intereses_Leasing_Mensual!Q84&gt;0, ROUND($I84-Intereses_Leasing_Mensual!Q84, 2), "")</f>
        <v/>
      </c>
      <c r="S84" s="29">
        <f>IF(Intereses_Leasing_Mensual!R84&gt;0, ROUND($I84-Intereses_Leasing_Mensual!R84, 2), "")</f>
        <v/>
      </c>
      <c r="T84" s="29">
        <f>IF(Intereses_Leasing_Mensual!S84&gt;0, ROUND($I84-Intereses_Leasing_Mensual!S84, 2), "")</f>
        <v/>
      </c>
      <c r="U84" s="29">
        <f>IF(Intereses_Leasing_Mensual!T84&gt;0, ROUND($I84-Intereses_Leasing_Mensual!T84, 2), "")</f>
        <v/>
      </c>
      <c r="V84" s="29">
        <f>SUM(J84:U84)</f>
        <v/>
      </c>
    </row>
    <row r="85">
      <c r="A85" s="20" t="inlineStr">
        <is>
          <t>0632-0006</t>
        </is>
      </c>
      <c r="B85" s="21" t="inlineStr">
        <is>
          <t>Art &amp; Sourcing Sa de Cv</t>
        </is>
      </c>
      <c r="C85" s="21" t="inlineStr">
        <is>
          <t>Mirage</t>
        </is>
      </c>
      <c r="D85" s="20" t="inlineStr">
        <is>
          <t>ACTIVO</t>
        </is>
      </c>
      <c r="E85" s="20" t="inlineStr">
        <is>
          <t>2025-11-25</t>
        </is>
      </c>
      <c r="F85" s="20" t="inlineStr">
        <is>
          <t>2027-11-25</t>
        </is>
      </c>
      <c r="G85" s="22" t="n">
        <v>24</v>
      </c>
      <c r="H85" s="23" t="n">
        <v>206553.1</v>
      </c>
      <c r="I85" s="23" t="n">
        <v>10107.86</v>
      </c>
      <c r="J85" s="23">
        <f>IF(Intereses_Leasing_Mensual!I85&gt;0, ROUND($I85-Intereses_Leasing_Mensual!I85, 2), "")</f>
        <v/>
      </c>
      <c r="K85" s="23">
        <f>IF(Intereses_Leasing_Mensual!J85&gt;0, ROUND($I85-Intereses_Leasing_Mensual!J85, 2), "")</f>
        <v/>
      </c>
      <c r="L85" s="23">
        <f>IF(Intereses_Leasing_Mensual!K85&gt;0, ROUND($I85-Intereses_Leasing_Mensual!K85, 2), "")</f>
        <v/>
      </c>
      <c r="M85" s="23">
        <f>IF(Intereses_Leasing_Mensual!L85&gt;0, ROUND($I85-Intereses_Leasing_Mensual!L85, 2), "")</f>
        <v/>
      </c>
      <c r="N85" s="23">
        <f>IF(Intereses_Leasing_Mensual!M85&gt;0, ROUND($I85-Intereses_Leasing_Mensual!M85, 2), "")</f>
        <v/>
      </c>
      <c r="O85" s="23">
        <f>IF(Intereses_Leasing_Mensual!N85&gt;0, ROUND($I85-Intereses_Leasing_Mensual!N85, 2), "")</f>
        <v/>
      </c>
      <c r="P85" s="23">
        <f>IF(Intereses_Leasing_Mensual!O85&gt;0, ROUND($I85-Intereses_Leasing_Mensual!O85, 2), "")</f>
        <v/>
      </c>
      <c r="Q85" s="23">
        <f>IF(Intereses_Leasing_Mensual!P85&gt;0, ROUND($I85-Intereses_Leasing_Mensual!P85, 2), "")</f>
        <v/>
      </c>
      <c r="R85" s="23">
        <f>IF(Intereses_Leasing_Mensual!Q85&gt;0, ROUND($I85-Intereses_Leasing_Mensual!Q85, 2), "")</f>
        <v/>
      </c>
      <c r="S85" s="23">
        <f>IF(Intereses_Leasing_Mensual!R85&gt;0, ROUND($I85-Intereses_Leasing_Mensual!R85, 2), "")</f>
        <v/>
      </c>
      <c r="T85" s="23">
        <f>IF(Intereses_Leasing_Mensual!S85&gt;0, ROUND($I85-Intereses_Leasing_Mensual!S85, 2), "")</f>
        <v/>
      </c>
      <c r="U85" s="23">
        <f>IF(Intereses_Leasing_Mensual!T85&gt;0, ROUND($I85-Intereses_Leasing_Mensual!T85, 2), "")</f>
        <v/>
      </c>
      <c r="V85" s="23">
        <f>SUM(J85:U85)</f>
        <v/>
      </c>
    </row>
    <row r="86">
      <c r="A86" s="26" t="inlineStr">
        <is>
          <t>0632-0007</t>
        </is>
      </c>
      <c r="B86" s="27" t="inlineStr">
        <is>
          <t>Art &amp; Sourcing Sa de Cv</t>
        </is>
      </c>
      <c r="C86" s="27" t="inlineStr">
        <is>
          <t>JAC Camión X350 2026</t>
        </is>
      </c>
      <c r="D86" s="26" t="inlineStr">
        <is>
          <t>ACTIVO</t>
        </is>
      </c>
      <c r="E86" s="26" t="inlineStr">
        <is>
          <t>2026-08-24</t>
        </is>
      </c>
      <c r="F86" s="26" t="inlineStr">
        <is>
          <t>2028-08-24</t>
        </is>
      </c>
      <c r="G86" s="28" t="n">
        <v>24</v>
      </c>
      <c r="H86" s="29" t="n">
        <v>417241.38</v>
      </c>
      <c r="I86" s="29" t="n">
        <v>20422.69</v>
      </c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>
        <f>IF(Intereses_Leasing_Mensual!P86&gt;0, ROUND($I86-Intereses_Leasing_Mensual!P86, 2), "")</f>
        <v/>
      </c>
      <c r="R86" s="29">
        <f>IF(Intereses_Leasing_Mensual!Q86&gt;0, ROUND($I86-Intereses_Leasing_Mensual!Q86, 2), "")</f>
        <v/>
      </c>
      <c r="S86" s="29">
        <f>IF(Intereses_Leasing_Mensual!R86&gt;0, ROUND($I86-Intereses_Leasing_Mensual!R86, 2), "")</f>
        <v/>
      </c>
      <c r="T86" s="29">
        <f>IF(Intereses_Leasing_Mensual!S86&gt;0, ROUND($I86-Intereses_Leasing_Mensual!S86, 2), "")</f>
        <v/>
      </c>
      <c r="U86" s="29">
        <f>IF(Intereses_Leasing_Mensual!T86&gt;0, ROUND($I86-Intereses_Leasing_Mensual!T86, 2), "")</f>
        <v/>
      </c>
      <c r="V86" s="29">
        <f>SUM(J86:U86)</f>
        <v/>
      </c>
    </row>
    <row r="87">
      <c r="A87" s="20" t="inlineStr">
        <is>
          <t>0634-0001</t>
        </is>
      </c>
      <c r="B87" s="21" t="inlineStr">
        <is>
          <t>Jose de Jesus Vergara Rivera</t>
        </is>
      </c>
      <c r="C87" s="21" t="inlineStr">
        <is>
          <t>NP 300 Chasis Cabina TDI</t>
        </is>
      </c>
      <c r="D87" s="20" t="inlineStr">
        <is>
          <t>ACTIVO</t>
        </is>
      </c>
      <c r="E87" s="20" t="inlineStr">
        <is>
          <t>2023-09-28</t>
        </is>
      </c>
      <c r="F87" s="20" t="inlineStr">
        <is>
          <t>2027-09-28</t>
        </is>
      </c>
      <c r="G87" s="22" t="n">
        <v>48</v>
      </c>
      <c r="H87" s="23" t="n">
        <v>306827.58</v>
      </c>
      <c r="I87" s="23" t="n">
        <v>11816.58</v>
      </c>
      <c r="J87" s="23">
        <f>IF(Intereses_Leasing_Mensual!I87&gt;0, ROUND($I87-Intereses_Leasing_Mensual!I87, 2), "")</f>
        <v/>
      </c>
      <c r="K87" s="23">
        <f>IF(Intereses_Leasing_Mensual!J87&gt;0, ROUND($I87-Intereses_Leasing_Mensual!J87, 2), "")</f>
        <v/>
      </c>
      <c r="L87" s="23">
        <f>IF(Intereses_Leasing_Mensual!K87&gt;0, ROUND($I87-Intereses_Leasing_Mensual!K87, 2), "")</f>
        <v/>
      </c>
      <c r="M87" s="23">
        <f>IF(Intereses_Leasing_Mensual!L87&gt;0, ROUND($I87-Intereses_Leasing_Mensual!L87, 2), "")</f>
        <v/>
      </c>
      <c r="N87" s="23">
        <f>IF(Intereses_Leasing_Mensual!M87&gt;0, ROUND($I87-Intereses_Leasing_Mensual!M87, 2), "")</f>
        <v/>
      </c>
      <c r="O87" s="23">
        <f>IF(Intereses_Leasing_Mensual!N87&gt;0, ROUND($I87-Intereses_Leasing_Mensual!N87, 2), "")</f>
        <v/>
      </c>
      <c r="P87" s="23">
        <f>IF(Intereses_Leasing_Mensual!O87&gt;0, ROUND($I87-Intereses_Leasing_Mensual!O87, 2), "")</f>
        <v/>
      </c>
      <c r="Q87" s="23">
        <f>IF(Intereses_Leasing_Mensual!P87&gt;0, ROUND($I87-Intereses_Leasing_Mensual!P87, 2), "")</f>
        <v/>
      </c>
      <c r="R87" s="23">
        <f>IF(Intereses_Leasing_Mensual!Q87&gt;0, ROUND($I87-Intereses_Leasing_Mensual!Q87, 2), "")</f>
        <v/>
      </c>
      <c r="S87" s="23">
        <f>IF(Intereses_Leasing_Mensual!R87&gt;0, ROUND($I87-Intereses_Leasing_Mensual!R87, 2), "")</f>
        <v/>
      </c>
      <c r="T87" s="23">
        <f>IF(Intereses_Leasing_Mensual!S87&gt;0, ROUND($I87-Intereses_Leasing_Mensual!S87, 2), "")</f>
        <v/>
      </c>
      <c r="U87" s="23">
        <f>IF(Intereses_Leasing_Mensual!T87&gt;0, ROUND($I87-Intereses_Leasing_Mensual!T87, 2), "")</f>
        <v/>
      </c>
      <c r="V87" s="23">
        <f>SUM(J87:U87)</f>
        <v/>
      </c>
    </row>
    <row r="88">
      <c r="A88" s="26" t="inlineStr">
        <is>
          <t>0634-0002</t>
        </is>
      </c>
      <c r="B88" s="27" t="inlineStr">
        <is>
          <t>Jose de Jesus Vergara Rivera</t>
        </is>
      </c>
      <c r="C88" s="27" t="inlineStr">
        <is>
          <t>700 Tradesman</t>
        </is>
      </c>
      <c r="D88" s="26" t="inlineStr">
        <is>
          <t>ACTIVO</t>
        </is>
      </c>
      <c r="E88" s="26" t="inlineStr">
        <is>
          <t>2025-10-09</t>
        </is>
      </c>
      <c r="F88" s="26" t="inlineStr">
        <is>
          <t>2029-10-09</t>
        </is>
      </c>
      <c r="G88" s="28" t="n">
        <v>48</v>
      </c>
      <c r="H88" s="29" t="n">
        <v>298629.31</v>
      </c>
      <c r="I88" s="29" t="n">
        <v>10797.91</v>
      </c>
      <c r="J88" s="29">
        <f>IF(Intereses_Leasing_Mensual!I88&gt;0, ROUND($I88-Intereses_Leasing_Mensual!I88, 2), "")</f>
        <v/>
      </c>
      <c r="K88" s="29">
        <f>IF(Intereses_Leasing_Mensual!J88&gt;0, ROUND($I88-Intereses_Leasing_Mensual!J88, 2), "")</f>
        <v/>
      </c>
      <c r="L88" s="29">
        <f>IF(Intereses_Leasing_Mensual!K88&gt;0, ROUND($I88-Intereses_Leasing_Mensual!K88, 2), "")</f>
        <v/>
      </c>
      <c r="M88" s="29">
        <f>IF(Intereses_Leasing_Mensual!L88&gt;0, ROUND($I88-Intereses_Leasing_Mensual!L88, 2), "")</f>
        <v/>
      </c>
      <c r="N88" s="29">
        <f>IF(Intereses_Leasing_Mensual!M88&gt;0, ROUND($I88-Intereses_Leasing_Mensual!M88, 2), "")</f>
        <v/>
      </c>
      <c r="O88" s="29">
        <f>IF(Intereses_Leasing_Mensual!N88&gt;0, ROUND($I88-Intereses_Leasing_Mensual!N88, 2), "")</f>
        <v/>
      </c>
      <c r="P88" s="29">
        <f>IF(Intereses_Leasing_Mensual!O88&gt;0, ROUND($I88-Intereses_Leasing_Mensual!O88, 2), "")</f>
        <v/>
      </c>
      <c r="Q88" s="29">
        <f>IF(Intereses_Leasing_Mensual!P88&gt;0, ROUND($I88-Intereses_Leasing_Mensual!P88, 2), "")</f>
        <v/>
      </c>
      <c r="R88" s="29">
        <f>IF(Intereses_Leasing_Mensual!Q88&gt;0, ROUND($I88-Intereses_Leasing_Mensual!Q88, 2), "")</f>
        <v/>
      </c>
      <c r="S88" s="29">
        <f>IF(Intereses_Leasing_Mensual!R88&gt;0, ROUND($I88-Intereses_Leasing_Mensual!R88, 2), "")</f>
        <v/>
      </c>
      <c r="T88" s="29">
        <f>IF(Intereses_Leasing_Mensual!S88&gt;0, ROUND($I88-Intereses_Leasing_Mensual!S88, 2), "")</f>
        <v/>
      </c>
      <c r="U88" s="29">
        <f>IF(Intereses_Leasing_Mensual!T88&gt;0, ROUND($I88-Intereses_Leasing_Mensual!T88, 2), "")</f>
        <v/>
      </c>
      <c r="V88" s="29">
        <f>SUM(J88:U88)</f>
        <v/>
      </c>
    </row>
    <row r="89">
      <c r="A89" s="20" t="inlineStr">
        <is>
          <t>0635-0003</t>
        </is>
      </c>
      <c r="B89" s="21" t="inlineStr">
        <is>
          <t>Ankara Food Services Sa de CV</t>
        </is>
      </c>
      <c r="C89" s="21" t="inlineStr">
        <is>
          <t>Glc 350 E</t>
        </is>
      </c>
      <c r="D89" s="20" t="inlineStr">
        <is>
          <t>ACTIVO</t>
        </is>
      </c>
      <c r="E89" s="20" t="inlineStr">
        <is>
          <t>2025-03-21</t>
        </is>
      </c>
      <c r="F89" s="20" t="inlineStr">
        <is>
          <t>2028-03-21</t>
        </is>
      </c>
      <c r="G89" s="22" t="n">
        <v>36</v>
      </c>
      <c r="H89" s="23" t="n">
        <v>1176983.25</v>
      </c>
      <c r="I89" s="23" t="n">
        <v>49697.64</v>
      </c>
      <c r="J89" s="23">
        <f>IF(Intereses_Leasing_Mensual!I89&gt;0, ROUND($I89-Intereses_Leasing_Mensual!I89, 2), "")</f>
        <v/>
      </c>
      <c r="K89" s="23">
        <f>IF(Intereses_Leasing_Mensual!J89&gt;0, ROUND($I89-Intereses_Leasing_Mensual!J89, 2), "")</f>
        <v/>
      </c>
      <c r="L89" s="23">
        <f>IF(Intereses_Leasing_Mensual!K89&gt;0, ROUND($I89-Intereses_Leasing_Mensual!K89, 2), "")</f>
        <v/>
      </c>
      <c r="M89" s="23">
        <f>IF(Intereses_Leasing_Mensual!L89&gt;0, ROUND($I89-Intereses_Leasing_Mensual!L89, 2), "")</f>
        <v/>
      </c>
      <c r="N89" s="23">
        <f>IF(Intereses_Leasing_Mensual!M89&gt;0, ROUND($I89-Intereses_Leasing_Mensual!M89, 2), "")</f>
        <v/>
      </c>
      <c r="O89" s="23">
        <f>IF(Intereses_Leasing_Mensual!N89&gt;0, ROUND($I89-Intereses_Leasing_Mensual!N89, 2), "")</f>
        <v/>
      </c>
      <c r="P89" s="23">
        <f>IF(Intereses_Leasing_Mensual!O89&gt;0, ROUND($I89-Intereses_Leasing_Mensual!O89, 2), "")</f>
        <v/>
      </c>
      <c r="Q89" s="23">
        <f>IF(Intereses_Leasing_Mensual!P89&gt;0, ROUND($I89-Intereses_Leasing_Mensual!P89, 2), "")</f>
        <v/>
      </c>
      <c r="R89" s="23">
        <f>IF(Intereses_Leasing_Mensual!Q89&gt;0, ROUND($I89-Intereses_Leasing_Mensual!Q89, 2), "")</f>
        <v/>
      </c>
      <c r="S89" s="23">
        <f>IF(Intereses_Leasing_Mensual!R89&gt;0, ROUND($I89-Intereses_Leasing_Mensual!R89, 2), "")</f>
        <v/>
      </c>
      <c r="T89" s="23">
        <f>IF(Intereses_Leasing_Mensual!S89&gt;0, ROUND($I89-Intereses_Leasing_Mensual!S89, 2), "")</f>
        <v/>
      </c>
      <c r="U89" s="23">
        <f>IF(Intereses_Leasing_Mensual!T89&gt;0, ROUND($I89-Intereses_Leasing_Mensual!T89, 2), "")</f>
        <v/>
      </c>
      <c r="V89" s="23">
        <f>SUM(J89:U89)</f>
        <v/>
      </c>
    </row>
    <row r="90">
      <c r="A90" s="26" t="inlineStr">
        <is>
          <t>0635-0004</t>
        </is>
      </c>
      <c r="B90" s="27" t="inlineStr">
        <is>
          <t>Ankara Food Services Sa de CV</t>
        </is>
      </c>
      <c r="C90" s="27" t="inlineStr">
        <is>
          <t>Partner</t>
        </is>
      </c>
      <c r="D90" s="26" t="inlineStr">
        <is>
          <t>ACTIVO</t>
        </is>
      </c>
      <c r="E90" s="26" t="inlineStr">
        <is>
          <t>2025-04-29</t>
        </is>
      </c>
      <c r="F90" s="26" t="inlineStr">
        <is>
          <t>2028-04-29</t>
        </is>
      </c>
      <c r="G90" s="28" t="n">
        <v>36</v>
      </c>
      <c r="H90" s="29" t="n">
        <v>292675.68</v>
      </c>
      <c r="I90" s="29" t="n">
        <v>12358.11</v>
      </c>
      <c r="J90" s="29">
        <f>IF(Intereses_Leasing_Mensual!I90&gt;0, ROUND($I90-Intereses_Leasing_Mensual!I90, 2), "")</f>
        <v/>
      </c>
      <c r="K90" s="29">
        <f>IF(Intereses_Leasing_Mensual!J90&gt;0, ROUND($I90-Intereses_Leasing_Mensual!J90, 2), "")</f>
        <v/>
      </c>
      <c r="L90" s="29">
        <f>IF(Intereses_Leasing_Mensual!K90&gt;0, ROUND($I90-Intereses_Leasing_Mensual!K90, 2), "")</f>
        <v/>
      </c>
      <c r="M90" s="29">
        <f>IF(Intereses_Leasing_Mensual!L90&gt;0, ROUND($I90-Intereses_Leasing_Mensual!L90, 2), "")</f>
        <v/>
      </c>
      <c r="N90" s="29">
        <f>IF(Intereses_Leasing_Mensual!M90&gt;0, ROUND($I90-Intereses_Leasing_Mensual!M90, 2), "")</f>
        <v/>
      </c>
      <c r="O90" s="29">
        <f>IF(Intereses_Leasing_Mensual!N90&gt;0, ROUND($I90-Intereses_Leasing_Mensual!N90, 2), "")</f>
        <v/>
      </c>
      <c r="P90" s="29">
        <f>IF(Intereses_Leasing_Mensual!O90&gt;0, ROUND($I90-Intereses_Leasing_Mensual!O90, 2), "")</f>
        <v/>
      </c>
      <c r="Q90" s="29">
        <f>IF(Intereses_Leasing_Mensual!P90&gt;0, ROUND($I90-Intereses_Leasing_Mensual!P90, 2), "")</f>
        <v/>
      </c>
      <c r="R90" s="29">
        <f>IF(Intereses_Leasing_Mensual!Q90&gt;0, ROUND($I90-Intereses_Leasing_Mensual!Q90, 2), "")</f>
        <v/>
      </c>
      <c r="S90" s="29">
        <f>IF(Intereses_Leasing_Mensual!R90&gt;0, ROUND($I90-Intereses_Leasing_Mensual!R90, 2), "")</f>
        <v/>
      </c>
      <c r="T90" s="29">
        <f>IF(Intereses_Leasing_Mensual!S90&gt;0, ROUND($I90-Intereses_Leasing_Mensual!S90, 2), "")</f>
        <v/>
      </c>
      <c r="U90" s="29">
        <f>IF(Intereses_Leasing_Mensual!T90&gt;0, ROUND($I90-Intereses_Leasing_Mensual!T90, 2), "")</f>
        <v/>
      </c>
      <c r="V90" s="29">
        <f>SUM(J90:U90)</f>
        <v/>
      </c>
    </row>
    <row r="91">
      <c r="A91" s="20" t="inlineStr">
        <is>
          <t>0635-0005</t>
        </is>
      </c>
      <c r="B91" s="21" t="inlineStr">
        <is>
          <t>Ankara Food Services Sa de CV</t>
        </is>
      </c>
      <c r="C91" s="21" t="inlineStr">
        <is>
          <t>Manager</t>
        </is>
      </c>
      <c r="D91" s="20" t="inlineStr">
        <is>
          <t>ACTIVO</t>
        </is>
      </c>
      <c r="E91" s="20" t="inlineStr">
        <is>
          <t>2025-04-29</t>
        </is>
      </c>
      <c r="F91" s="20" t="inlineStr">
        <is>
          <t>2028-04-29</t>
        </is>
      </c>
      <c r="G91" s="22" t="n">
        <v>36</v>
      </c>
      <c r="H91" s="23" t="n">
        <v>452623.78</v>
      </c>
      <c r="I91" s="23" t="n">
        <v>19111.85</v>
      </c>
      <c r="J91" s="23">
        <f>IF(Intereses_Leasing_Mensual!I91&gt;0, ROUND($I91-Intereses_Leasing_Mensual!I91, 2), "")</f>
        <v/>
      </c>
      <c r="K91" s="23">
        <f>IF(Intereses_Leasing_Mensual!J91&gt;0, ROUND($I91-Intereses_Leasing_Mensual!J91, 2), "")</f>
        <v/>
      </c>
      <c r="L91" s="23">
        <f>IF(Intereses_Leasing_Mensual!K91&gt;0, ROUND($I91-Intereses_Leasing_Mensual!K91, 2), "")</f>
        <v/>
      </c>
      <c r="M91" s="23">
        <f>IF(Intereses_Leasing_Mensual!L91&gt;0, ROUND($I91-Intereses_Leasing_Mensual!L91, 2), "")</f>
        <v/>
      </c>
      <c r="N91" s="23">
        <f>IF(Intereses_Leasing_Mensual!M91&gt;0, ROUND($I91-Intereses_Leasing_Mensual!M91, 2), "")</f>
        <v/>
      </c>
      <c r="O91" s="23">
        <f>IF(Intereses_Leasing_Mensual!N91&gt;0, ROUND($I91-Intereses_Leasing_Mensual!N91, 2), "")</f>
        <v/>
      </c>
      <c r="P91" s="23">
        <f>IF(Intereses_Leasing_Mensual!O91&gt;0, ROUND($I91-Intereses_Leasing_Mensual!O91, 2), "")</f>
        <v/>
      </c>
      <c r="Q91" s="23">
        <f>IF(Intereses_Leasing_Mensual!P91&gt;0, ROUND($I91-Intereses_Leasing_Mensual!P91, 2), "")</f>
        <v/>
      </c>
      <c r="R91" s="23">
        <f>IF(Intereses_Leasing_Mensual!Q91&gt;0, ROUND($I91-Intereses_Leasing_Mensual!Q91, 2), "")</f>
        <v/>
      </c>
      <c r="S91" s="23">
        <f>IF(Intereses_Leasing_Mensual!R91&gt;0, ROUND($I91-Intereses_Leasing_Mensual!R91, 2), "")</f>
        <v/>
      </c>
      <c r="T91" s="23">
        <f>IF(Intereses_Leasing_Mensual!S91&gt;0, ROUND($I91-Intereses_Leasing_Mensual!S91, 2), "")</f>
        <v/>
      </c>
      <c r="U91" s="23">
        <f>IF(Intereses_Leasing_Mensual!T91&gt;0, ROUND($I91-Intereses_Leasing_Mensual!T91, 2), "")</f>
        <v/>
      </c>
      <c r="V91" s="23">
        <f>SUM(J91:U91)</f>
        <v/>
      </c>
    </row>
    <row r="92">
      <c r="A92" s="26" t="inlineStr">
        <is>
          <t>0635-0006</t>
        </is>
      </c>
      <c r="B92" s="27" t="inlineStr">
        <is>
          <t>Ankara Food Services Sa de CV</t>
        </is>
      </c>
      <c r="C92" s="27" t="inlineStr">
        <is>
          <t>Mobi</t>
        </is>
      </c>
      <c r="D92" s="26" t="inlineStr">
        <is>
          <t>ACTIVO</t>
        </is>
      </c>
      <c r="E92" s="26" t="inlineStr">
        <is>
          <t>2025-06-17</t>
        </is>
      </c>
      <c r="F92" s="26" t="inlineStr">
        <is>
          <t>2027-06-17</t>
        </is>
      </c>
      <c r="G92" s="28" t="n">
        <v>24</v>
      </c>
      <c r="H92" s="29" t="n">
        <v>149051.72</v>
      </c>
      <c r="I92" s="29" t="n">
        <v>8203.17</v>
      </c>
      <c r="J92" s="29">
        <f>IF(Intereses_Leasing_Mensual!I92&gt;0, ROUND($I92-Intereses_Leasing_Mensual!I92, 2), "")</f>
        <v/>
      </c>
      <c r="K92" s="29">
        <f>IF(Intereses_Leasing_Mensual!J92&gt;0, ROUND($I92-Intereses_Leasing_Mensual!J92, 2), "")</f>
        <v/>
      </c>
      <c r="L92" s="29">
        <f>IF(Intereses_Leasing_Mensual!K92&gt;0, ROUND($I92-Intereses_Leasing_Mensual!K92, 2), "")</f>
        <v/>
      </c>
      <c r="M92" s="29">
        <f>IF(Intereses_Leasing_Mensual!L92&gt;0, ROUND($I92-Intereses_Leasing_Mensual!L92, 2), "")</f>
        <v/>
      </c>
      <c r="N92" s="29">
        <f>IF(Intereses_Leasing_Mensual!M92&gt;0, ROUND($I92-Intereses_Leasing_Mensual!M92, 2), "")</f>
        <v/>
      </c>
      <c r="O92" s="29">
        <f>IF(Intereses_Leasing_Mensual!N92&gt;0, ROUND($I92-Intereses_Leasing_Mensual!N92, 2), "")</f>
        <v/>
      </c>
      <c r="P92" s="29">
        <f>IF(Intereses_Leasing_Mensual!O92&gt;0, ROUND($I92-Intereses_Leasing_Mensual!O92, 2), "")</f>
        <v/>
      </c>
      <c r="Q92" s="29">
        <f>IF(Intereses_Leasing_Mensual!P92&gt;0, ROUND($I92-Intereses_Leasing_Mensual!P92, 2), "")</f>
        <v/>
      </c>
      <c r="R92" s="29">
        <f>IF(Intereses_Leasing_Mensual!Q92&gt;0, ROUND($I92-Intereses_Leasing_Mensual!Q92, 2), "")</f>
        <v/>
      </c>
      <c r="S92" s="29">
        <f>IF(Intereses_Leasing_Mensual!R92&gt;0, ROUND($I92-Intereses_Leasing_Mensual!R92, 2), "")</f>
        <v/>
      </c>
      <c r="T92" s="29">
        <f>IF(Intereses_Leasing_Mensual!S92&gt;0, ROUND($I92-Intereses_Leasing_Mensual!S92, 2), "")</f>
        <v/>
      </c>
      <c r="U92" s="29">
        <f>IF(Intereses_Leasing_Mensual!T92&gt;0, ROUND($I92-Intereses_Leasing_Mensual!T92, 2), "")</f>
        <v/>
      </c>
      <c r="V92" s="29">
        <f>SUM(J92:U92)</f>
        <v/>
      </c>
    </row>
    <row r="93">
      <c r="A93" s="20" t="inlineStr">
        <is>
          <t>0635-0007</t>
        </is>
      </c>
      <c r="B93" s="21" t="inlineStr">
        <is>
          <t>Ankara Food Services Sa de CV</t>
        </is>
      </c>
      <c r="C93" s="21" t="inlineStr">
        <is>
          <t>Mobi</t>
        </is>
      </c>
      <c r="D93" s="20" t="inlineStr">
        <is>
          <t>ACTIVO</t>
        </is>
      </c>
      <c r="E93" s="20" t="inlineStr">
        <is>
          <t>2025-06-17</t>
        </is>
      </c>
      <c r="F93" s="20" t="inlineStr">
        <is>
          <t>2027-06-17</t>
        </is>
      </c>
      <c r="G93" s="22" t="n">
        <v>24</v>
      </c>
      <c r="H93" s="23" t="n">
        <v>149051.72</v>
      </c>
      <c r="I93" s="23" t="n">
        <v>8203.17</v>
      </c>
      <c r="J93" s="23">
        <f>IF(Intereses_Leasing_Mensual!I93&gt;0, ROUND($I93-Intereses_Leasing_Mensual!I93, 2), "")</f>
        <v/>
      </c>
      <c r="K93" s="23">
        <f>IF(Intereses_Leasing_Mensual!J93&gt;0, ROUND($I93-Intereses_Leasing_Mensual!J93, 2), "")</f>
        <v/>
      </c>
      <c r="L93" s="23">
        <f>IF(Intereses_Leasing_Mensual!K93&gt;0, ROUND($I93-Intereses_Leasing_Mensual!K93, 2), "")</f>
        <v/>
      </c>
      <c r="M93" s="23">
        <f>IF(Intereses_Leasing_Mensual!L93&gt;0, ROUND($I93-Intereses_Leasing_Mensual!L93, 2), "")</f>
        <v/>
      </c>
      <c r="N93" s="23">
        <f>IF(Intereses_Leasing_Mensual!M93&gt;0, ROUND($I93-Intereses_Leasing_Mensual!M93, 2), "")</f>
        <v/>
      </c>
      <c r="O93" s="23">
        <f>IF(Intereses_Leasing_Mensual!N93&gt;0, ROUND($I93-Intereses_Leasing_Mensual!N93, 2), "")</f>
        <v/>
      </c>
      <c r="P93" s="23">
        <f>IF(Intereses_Leasing_Mensual!O93&gt;0, ROUND($I93-Intereses_Leasing_Mensual!O93, 2), "")</f>
        <v/>
      </c>
      <c r="Q93" s="23">
        <f>IF(Intereses_Leasing_Mensual!P93&gt;0, ROUND($I93-Intereses_Leasing_Mensual!P93, 2), "")</f>
        <v/>
      </c>
      <c r="R93" s="23">
        <f>IF(Intereses_Leasing_Mensual!Q93&gt;0, ROUND($I93-Intereses_Leasing_Mensual!Q93, 2), "")</f>
        <v/>
      </c>
      <c r="S93" s="23">
        <f>IF(Intereses_Leasing_Mensual!R93&gt;0, ROUND($I93-Intereses_Leasing_Mensual!R93, 2), "")</f>
        <v/>
      </c>
      <c r="T93" s="23">
        <f>IF(Intereses_Leasing_Mensual!S93&gt;0, ROUND($I93-Intereses_Leasing_Mensual!S93, 2), "")</f>
        <v/>
      </c>
      <c r="U93" s="23">
        <f>IF(Intereses_Leasing_Mensual!T93&gt;0, ROUND($I93-Intereses_Leasing_Mensual!T93, 2), "")</f>
        <v/>
      </c>
      <c r="V93" s="23">
        <f>SUM(J93:U93)</f>
        <v/>
      </c>
    </row>
    <row r="94">
      <c r="A94" s="26" t="inlineStr">
        <is>
          <t>0635-0008</t>
        </is>
      </c>
      <c r="B94" s="27" t="inlineStr">
        <is>
          <t>Ankara Food Services Sa de CV</t>
        </is>
      </c>
      <c r="C94" s="27" t="inlineStr">
        <is>
          <t>Wrangler 4 XE</t>
        </is>
      </c>
      <c r="D94" s="26" t="inlineStr">
        <is>
          <t>ACTIVO</t>
        </is>
      </c>
      <c r="E94" s="26" t="inlineStr">
        <is>
          <t>2025-10-31</t>
        </is>
      </c>
      <c r="F94" s="26" t="inlineStr">
        <is>
          <t>2029-10-31</t>
        </is>
      </c>
      <c r="G94" s="28" t="n">
        <v>48</v>
      </c>
      <c r="H94" s="29" t="n">
        <v>737534.48</v>
      </c>
      <c r="I94" s="29" t="n">
        <v>26263.81</v>
      </c>
      <c r="J94" s="29">
        <f>IF(Intereses_Leasing_Mensual!I94&gt;0, ROUND($I94-Intereses_Leasing_Mensual!I94, 2), "")</f>
        <v/>
      </c>
      <c r="K94" s="29">
        <f>IF(Intereses_Leasing_Mensual!J94&gt;0, ROUND($I94-Intereses_Leasing_Mensual!J94, 2), "")</f>
        <v/>
      </c>
      <c r="L94" s="29">
        <f>IF(Intereses_Leasing_Mensual!K94&gt;0, ROUND($I94-Intereses_Leasing_Mensual!K94, 2), "")</f>
        <v/>
      </c>
      <c r="M94" s="29">
        <f>IF(Intereses_Leasing_Mensual!L94&gt;0, ROUND($I94-Intereses_Leasing_Mensual!L94, 2), "")</f>
        <v/>
      </c>
      <c r="N94" s="29">
        <f>IF(Intereses_Leasing_Mensual!M94&gt;0, ROUND($I94-Intereses_Leasing_Mensual!M94, 2), "")</f>
        <v/>
      </c>
      <c r="O94" s="29">
        <f>IF(Intereses_Leasing_Mensual!N94&gt;0, ROUND($I94-Intereses_Leasing_Mensual!N94, 2), "")</f>
        <v/>
      </c>
      <c r="P94" s="29">
        <f>IF(Intereses_Leasing_Mensual!O94&gt;0, ROUND($I94-Intereses_Leasing_Mensual!O94, 2), "")</f>
        <v/>
      </c>
      <c r="Q94" s="29">
        <f>IF(Intereses_Leasing_Mensual!P94&gt;0, ROUND($I94-Intereses_Leasing_Mensual!P94, 2), "")</f>
        <v/>
      </c>
      <c r="R94" s="29">
        <f>IF(Intereses_Leasing_Mensual!Q94&gt;0, ROUND($I94-Intereses_Leasing_Mensual!Q94, 2), "")</f>
        <v/>
      </c>
      <c r="S94" s="29">
        <f>IF(Intereses_Leasing_Mensual!R94&gt;0, ROUND($I94-Intereses_Leasing_Mensual!R94, 2), "")</f>
        <v/>
      </c>
      <c r="T94" s="29">
        <f>IF(Intereses_Leasing_Mensual!S94&gt;0, ROUND($I94-Intereses_Leasing_Mensual!S94, 2), "")</f>
        <v/>
      </c>
      <c r="U94" s="29">
        <f>IF(Intereses_Leasing_Mensual!T94&gt;0, ROUND($I94-Intereses_Leasing_Mensual!T94, 2), "")</f>
        <v/>
      </c>
      <c r="V94" s="29">
        <f>SUM(J94:U94)</f>
        <v/>
      </c>
    </row>
    <row r="95">
      <c r="A95" s="20" t="inlineStr">
        <is>
          <t>0640-0001</t>
        </is>
      </c>
      <c r="B95" s="21" t="inlineStr">
        <is>
          <t>Marco Abner Hernand Barragan</t>
        </is>
      </c>
      <c r="C95" s="21" t="inlineStr">
        <is>
          <t>RIFTER</t>
        </is>
      </c>
      <c r="D95" s="20" t="inlineStr">
        <is>
          <t>ACTIVO</t>
        </is>
      </c>
      <c r="E95" s="20" t="inlineStr">
        <is>
          <t>2023-12-13</t>
        </is>
      </c>
      <c r="F95" s="20" t="inlineStr">
        <is>
          <t>2027-12-13</t>
        </is>
      </c>
      <c r="G95" s="22" t="n">
        <v>48</v>
      </c>
      <c r="H95" s="23" t="n">
        <v>401818.97</v>
      </c>
      <c r="I95" s="23" t="n">
        <v>15572.15</v>
      </c>
      <c r="J95" s="23">
        <f>IF(Intereses_Leasing_Mensual!I95&gt;0, ROUND($I95-Intereses_Leasing_Mensual!I95, 2), "")</f>
        <v/>
      </c>
      <c r="K95" s="23">
        <f>IF(Intereses_Leasing_Mensual!J95&gt;0, ROUND($I95-Intereses_Leasing_Mensual!J95, 2), "")</f>
        <v/>
      </c>
      <c r="L95" s="23">
        <f>IF(Intereses_Leasing_Mensual!K95&gt;0, ROUND($I95-Intereses_Leasing_Mensual!K95, 2), "")</f>
        <v/>
      </c>
      <c r="M95" s="23">
        <f>IF(Intereses_Leasing_Mensual!L95&gt;0, ROUND($I95-Intereses_Leasing_Mensual!L95, 2), "")</f>
        <v/>
      </c>
      <c r="N95" s="23">
        <f>IF(Intereses_Leasing_Mensual!M95&gt;0, ROUND($I95-Intereses_Leasing_Mensual!M95, 2), "")</f>
        <v/>
      </c>
      <c r="O95" s="23">
        <f>IF(Intereses_Leasing_Mensual!N95&gt;0, ROUND($I95-Intereses_Leasing_Mensual!N95, 2), "")</f>
        <v/>
      </c>
      <c r="P95" s="23">
        <f>IF(Intereses_Leasing_Mensual!O95&gt;0, ROUND($I95-Intereses_Leasing_Mensual!O95, 2), "")</f>
        <v/>
      </c>
      <c r="Q95" s="23">
        <f>IF(Intereses_Leasing_Mensual!P95&gt;0, ROUND($I95-Intereses_Leasing_Mensual!P95, 2), "")</f>
        <v/>
      </c>
      <c r="R95" s="23">
        <f>IF(Intereses_Leasing_Mensual!Q95&gt;0, ROUND($I95-Intereses_Leasing_Mensual!Q95, 2), "")</f>
        <v/>
      </c>
      <c r="S95" s="23">
        <f>IF(Intereses_Leasing_Mensual!R95&gt;0, ROUND($I95-Intereses_Leasing_Mensual!R95, 2), "")</f>
        <v/>
      </c>
      <c r="T95" s="23">
        <f>IF(Intereses_Leasing_Mensual!S95&gt;0, ROUND($I95-Intereses_Leasing_Mensual!S95, 2), "")</f>
        <v/>
      </c>
      <c r="U95" s="23">
        <f>IF(Intereses_Leasing_Mensual!T95&gt;0, ROUND($I95-Intereses_Leasing_Mensual!T95, 2), "")</f>
        <v/>
      </c>
      <c r="V95" s="23">
        <f>SUM(J95:U95)</f>
        <v/>
      </c>
    </row>
    <row r="96">
      <c r="A96" s="26" t="inlineStr">
        <is>
          <t>0641-0001</t>
        </is>
      </c>
      <c r="B96" s="27" t="inlineStr">
        <is>
          <t>Agrideaz Sa de Cv</t>
        </is>
      </c>
      <c r="C96" s="27" t="inlineStr">
        <is>
          <t>Pulse Audace</t>
        </is>
      </c>
      <c r="D96" s="26" t="inlineStr">
        <is>
          <t>ACTIVO</t>
        </is>
      </c>
      <c r="E96" s="26" t="inlineStr">
        <is>
          <t>2023-11-30</t>
        </is>
      </c>
      <c r="F96" s="26" t="inlineStr">
        <is>
          <t>2026-11-30</t>
        </is>
      </c>
      <c r="G96" s="28" t="n">
        <v>36</v>
      </c>
      <c r="H96" s="29" t="n">
        <v>227724.14</v>
      </c>
      <c r="I96" s="29" t="n">
        <v>13065.38</v>
      </c>
      <c r="J96" s="29">
        <f>IF(Intereses_Leasing_Mensual!I96&gt;0, ROUND($I96-Intereses_Leasing_Mensual!I96, 2), "")</f>
        <v/>
      </c>
      <c r="K96" s="29">
        <f>IF(Intereses_Leasing_Mensual!J96&gt;0, ROUND($I96-Intereses_Leasing_Mensual!J96, 2), "")</f>
        <v/>
      </c>
      <c r="L96" s="29">
        <f>IF(Intereses_Leasing_Mensual!K96&gt;0, ROUND($I96-Intereses_Leasing_Mensual!K96, 2), "")</f>
        <v/>
      </c>
      <c r="M96" s="29">
        <f>IF(Intereses_Leasing_Mensual!L96&gt;0, ROUND($I96-Intereses_Leasing_Mensual!L96, 2), "")</f>
        <v/>
      </c>
      <c r="N96" s="29">
        <f>IF(Intereses_Leasing_Mensual!M96&gt;0, ROUND($I96-Intereses_Leasing_Mensual!M96, 2), "")</f>
        <v/>
      </c>
      <c r="O96" s="29">
        <f>IF(Intereses_Leasing_Mensual!N96&gt;0, ROUND($I96-Intereses_Leasing_Mensual!N96, 2), "")</f>
        <v/>
      </c>
      <c r="P96" s="29">
        <f>IF(Intereses_Leasing_Mensual!O96&gt;0, ROUND($I96-Intereses_Leasing_Mensual!O96, 2), "")</f>
        <v/>
      </c>
      <c r="Q96" s="29">
        <f>IF(Intereses_Leasing_Mensual!P96&gt;0, ROUND($I96-Intereses_Leasing_Mensual!P96, 2), "")</f>
        <v/>
      </c>
      <c r="R96" s="29">
        <f>IF(Intereses_Leasing_Mensual!Q96&gt;0, ROUND($I96-Intereses_Leasing_Mensual!Q96, 2), "")</f>
        <v/>
      </c>
      <c r="S96" s="29">
        <f>IF(Intereses_Leasing_Mensual!R96&gt;0, ROUND($I96-Intereses_Leasing_Mensual!R96, 2), "")</f>
        <v/>
      </c>
      <c r="T96" s="29" t="inlineStr"/>
      <c r="U96" s="29" t="inlineStr"/>
      <c r="V96" s="29">
        <f>SUM(J96:U96)</f>
        <v/>
      </c>
    </row>
    <row r="97">
      <c r="A97" s="20" t="inlineStr">
        <is>
          <t>0641-0002</t>
        </is>
      </c>
      <c r="B97" s="21" t="inlineStr">
        <is>
          <t>Agrideaz Sa de Cv</t>
        </is>
      </c>
      <c r="C97" s="21" t="inlineStr">
        <is>
          <t>MOBI</t>
        </is>
      </c>
      <c r="D97" s="20" t="inlineStr">
        <is>
          <t>ACTIVO</t>
        </is>
      </c>
      <c r="E97" s="20" t="inlineStr">
        <is>
          <t>2023-11-30</t>
        </is>
      </c>
      <c r="F97" s="20" t="inlineStr">
        <is>
          <t>2026-11-30</t>
        </is>
      </c>
      <c r="G97" s="22" t="n">
        <v>36</v>
      </c>
      <c r="H97" s="23" t="n">
        <v>141206.9</v>
      </c>
      <c r="I97" s="23" t="n">
        <v>8223.959999999999</v>
      </c>
      <c r="J97" s="23">
        <f>IF(Intereses_Leasing_Mensual!I97&gt;0, ROUND($I97-Intereses_Leasing_Mensual!I97, 2), "")</f>
        <v/>
      </c>
      <c r="K97" s="23">
        <f>IF(Intereses_Leasing_Mensual!J97&gt;0, ROUND($I97-Intereses_Leasing_Mensual!J97, 2), "")</f>
        <v/>
      </c>
      <c r="L97" s="23">
        <f>IF(Intereses_Leasing_Mensual!K97&gt;0, ROUND($I97-Intereses_Leasing_Mensual!K97, 2), "")</f>
        <v/>
      </c>
      <c r="M97" s="23">
        <f>IF(Intereses_Leasing_Mensual!L97&gt;0, ROUND($I97-Intereses_Leasing_Mensual!L97, 2), "")</f>
        <v/>
      </c>
      <c r="N97" s="23">
        <f>IF(Intereses_Leasing_Mensual!M97&gt;0, ROUND($I97-Intereses_Leasing_Mensual!M97, 2), "")</f>
        <v/>
      </c>
      <c r="O97" s="23">
        <f>IF(Intereses_Leasing_Mensual!N97&gt;0, ROUND($I97-Intereses_Leasing_Mensual!N97, 2), "")</f>
        <v/>
      </c>
      <c r="P97" s="23">
        <f>IF(Intereses_Leasing_Mensual!O97&gt;0, ROUND($I97-Intereses_Leasing_Mensual!O97, 2), "")</f>
        <v/>
      </c>
      <c r="Q97" s="23">
        <f>IF(Intereses_Leasing_Mensual!P97&gt;0, ROUND($I97-Intereses_Leasing_Mensual!P97, 2), "")</f>
        <v/>
      </c>
      <c r="R97" s="23">
        <f>IF(Intereses_Leasing_Mensual!Q97&gt;0, ROUND($I97-Intereses_Leasing_Mensual!Q97, 2), "")</f>
        <v/>
      </c>
      <c r="S97" s="23">
        <f>IF(Intereses_Leasing_Mensual!R97&gt;0, ROUND($I97-Intereses_Leasing_Mensual!R97, 2), "")</f>
        <v/>
      </c>
      <c r="T97" s="23" t="inlineStr"/>
      <c r="U97" s="23" t="inlineStr"/>
      <c r="V97" s="23">
        <f>SUM(J97:U97)</f>
        <v/>
      </c>
    </row>
    <row r="98">
      <c r="A98" s="26" t="inlineStr">
        <is>
          <t>0642-0001</t>
        </is>
      </c>
      <c r="B98" s="27" t="inlineStr">
        <is>
          <t>Incubadora de Occidente Sa de Cv</t>
        </is>
      </c>
      <c r="C98" s="27" t="inlineStr">
        <is>
          <t>GRAND CHEROKEE LIMITED</t>
        </is>
      </c>
      <c r="D98" s="26" t="inlineStr">
        <is>
          <t>ACTIVO</t>
        </is>
      </c>
      <c r="E98" s="26" t="inlineStr">
        <is>
          <t>2023-12-22</t>
        </is>
      </c>
      <c r="F98" s="26" t="inlineStr">
        <is>
          <t>2027-12-22</t>
        </is>
      </c>
      <c r="G98" s="28" t="n">
        <v>48</v>
      </c>
      <c r="H98" s="29" t="n">
        <v>884488.33</v>
      </c>
      <c r="I98" s="29" t="n">
        <v>30755.77</v>
      </c>
      <c r="J98" s="29">
        <f>IF(Intereses_Leasing_Mensual!I98&gt;0, ROUND($I98-Intereses_Leasing_Mensual!I98, 2), "")</f>
        <v/>
      </c>
      <c r="K98" s="29">
        <f>IF(Intereses_Leasing_Mensual!J98&gt;0, ROUND($I98-Intereses_Leasing_Mensual!J98, 2), "")</f>
        <v/>
      </c>
      <c r="L98" s="29">
        <f>IF(Intereses_Leasing_Mensual!K98&gt;0, ROUND($I98-Intereses_Leasing_Mensual!K98, 2), "")</f>
        <v/>
      </c>
      <c r="M98" s="29">
        <f>IF(Intereses_Leasing_Mensual!L98&gt;0, ROUND($I98-Intereses_Leasing_Mensual!L98, 2), "")</f>
        <v/>
      </c>
      <c r="N98" s="29">
        <f>IF(Intereses_Leasing_Mensual!M98&gt;0, ROUND($I98-Intereses_Leasing_Mensual!M98, 2), "")</f>
        <v/>
      </c>
      <c r="O98" s="29">
        <f>IF(Intereses_Leasing_Mensual!N98&gt;0, ROUND($I98-Intereses_Leasing_Mensual!N98, 2), "")</f>
        <v/>
      </c>
      <c r="P98" s="29">
        <f>IF(Intereses_Leasing_Mensual!O98&gt;0, ROUND($I98-Intereses_Leasing_Mensual!O98, 2), "")</f>
        <v/>
      </c>
      <c r="Q98" s="29">
        <f>IF(Intereses_Leasing_Mensual!P98&gt;0, ROUND($I98-Intereses_Leasing_Mensual!P98, 2), "")</f>
        <v/>
      </c>
      <c r="R98" s="29">
        <f>IF(Intereses_Leasing_Mensual!Q98&gt;0, ROUND($I98-Intereses_Leasing_Mensual!Q98, 2), "")</f>
        <v/>
      </c>
      <c r="S98" s="29">
        <f>IF(Intereses_Leasing_Mensual!R98&gt;0, ROUND($I98-Intereses_Leasing_Mensual!R98, 2), "")</f>
        <v/>
      </c>
      <c r="T98" s="29">
        <f>IF(Intereses_Leasing_Mensual!S98&gt;0, ROUND($I98-Intereses_Leasing_Mensual!S98, 2), "")</f>
        <v/>
      </c>
      <c r="U98" s="29">
        <f>IF(Intereses_Leasing_Mensual!T98&gt;0, ROUND($I98-Intereses_Leasing_Mensual!T98, 2), "")</f>
        <v/>
      </c>
      <c r="V98" s="29">
        <f>SUM(J98:U98)</f>
        <v/>
      </c>
    </row>
    <row r="99">
      <c r="A99" s="20" t="inlineStr">
        <is>
          <t>0644-0005</t>
        </is>
      </c>
      <c r="B99" s="21" t="inlineStr">
        <is>
          <t>Bakaya S.A.P.I.</t>
        </is>
      </c>
      <c r="C99" s="21" t="inlineStr">
        <is>
          <t>i118</t>
        </is>
      </c>
      <c r="D99" s="20" t="inlineStr">
        <is>
          <t>ACTIVO</t>
        </is>
      </c>
      <c r="E99" s="20" t="inlineStr">
        <is>
          <t>2025-12-10</t>
        </is>
      </c>
      <c r="F99" s="20" t="inlineStr">
        <is>
          <t>2028-12-10</t>
        </is>
      </c>
      <c r="G99" s="22" t="n">
        <v>36</v>
      </c>
      <c r="H99" s="23" t="n">
        <v>639620.6899999999</v>
      </c>
      <c r="I99" s="23" t="n">
        <v>20728.19</v>
      </c>
      <c r="J99" s="23">
        <f>IF(Intereses_Leasing_Mensual!I99&gt;0, ROUND($I99-Intereses_Leasing_Mensual!I99, 2), "")</f>
        <v/>
      </c>
      <c r="K99" s="23">
        <f>IF(Intereses_Leasing_Mensual!J99&gt;0, ROUND($I99-Intereses_Leasing_Mensual!J99, 2), "")</f>
        <v/>
      </c>
      <c r="L99" s="23">
        <f>IF(Intereses_Leasing_Mensual!K99&gt;0, ROUND($I99-Intereses_Leasing_Mensual!K99, 2), "")</f>
        <v/>
      </c>
      <c r="M99" s="23">
        <f>IF(Intereses_Leasing_Mensual!L99&gt;0, ROUND($I99-Intereses_Leasing_Mensual!L99, 2), "")</f>
        <v/>
      </c>
      <c r="N99" s="23">
        <f>IF(Intereses_Leasing_Mensual!M99&gt;0, ROUND($I99-Intereses_Leasing_Mensual!M99, 2), "")</f>
        <v/>
      </c>
      <c r="O99" s="23">
        <f>IF(Intereses_Leasing_Mensual!N99&gt;0, ROUND($I99-Intereses_Leasing_Mensual!N99, 2), "")</f>
        <v/>
      </c>
      <c r="P99" s="23">
        <f>IF(Intereses_Leasing_Mensual!O99&gt;0, ROUND($I99-Intereses_Leasing_Mensual!O99, 2), "")</f>
        <v/>
      </c>
      <c r="Q99" s="23">
        <f>IF(Intereses_Leasing_Mensual!P99&gt;0, ROUND($I99-Intereses_Leasing_Mensual!P99, 2), "")</f>
        <v/>
      </c>
      <c r="R99" s="23">
        <f>IF(Intereses_Leasing_Mensual!Q99&gt;0, ROUND($I99-Intereses_Leasing_Mensual!Q99, 2), "")</f>
        <v/>
      </c>
      <c r="S99" s="23">
        <f>IF(Intereses_Leasing_Mensual!R99&gt;0, ROUND($I99-Intereses_Leasing_Mensual!R99, 2), "")</f>
        <v/>
      </c>
      <c r="T99" s="23">
        <f>IF(Intereses_Leasing_Mensual!S99&gt;0, ROUND($I99-Intereses_Leasing_Mensual!S99, 2), "")</f>
        <v/>
      </c>
      <c r="U99" s="23">
        <f>IF(Intereses_Leasing_Mensual!T99&gt;0, ROUND($I99-Intereses_Leasing_Mensual!T99, 2), "")</f>
        <v/>
      </c>
      <c r="V99" s="23">
        <f>SUM(J99:U99)</f>
        <v/>
      </c>
    </row>
    <row r="100">
      <c r="A100" s="26" t="inlineStr">
        <is>
          <t>0644-0006</t>
        </is>
      </c>
      <c r="B100" s="27" t="inlineStr">
        <is>
          <t>Bkaya S.A.P.I.</t>
        </is>
      </c>
      <c r="C100" s="27" t="inlineStr">
        <is>
          <t>Highlander XLE</t>
        </is>
      </c>
      <c r="D100" s="26" t="inlineStr">
        <is>
          <t>ACTIVO</t>
        </is>
      </c>
      <c r="E100" s="26" t="inlineStr">
        <is>
          <t>2026-02-25</t>
        </is>
      </c>
      <c r="F100" s="26" t="inlineStr">
        <is>
          <t>2029-02-25</t>
        </is>
      </c>
      <c r="G100" s="28" t="n">
        <v>36</v>
      </c>
      <c r="H100" s="29" t="n">
        <v>754162.0699999999</v>
      </c>
      <c r="I100" s="29" t="n">
        <v>24081.62</v>
      </c>
      <c r="J100" s="29" t="inlineStr"/>
      <c r="K100" s="29">
        <f>IF(Intereses_Leasing_Mensual!J100&gt;0, ROUND($I100-Intereses_Leasing_Mensual!J100, 2), "")</f>
        <v/>
      </c>
      <c r="L100" s="29">
        <f>IF(Intereses_Leasing_Mensual!K100&gt;0, ROUND($I100-Intereses_Leasing_Mensual!K100, 2), "")</f>
        <v/>
      </c>
      <c r="M100" s="29">
        <f>IF(Intereses_Leasing_Mensual!L100&gt;0, ROUND($I100-Intereses_Leasing_Mensual!L100, 2), "")</f>
        <v/>
      </c>
      <c r="N100" s="29">
        <f>IF(Intereses_Leasing_Mensual!M100&gt;0, ROUND($I100-Intereses_Leasing_Mensual!M100, 2), "")</f>
        <v/>
      </c>
      <c r="O100" s="29">
        <f>IF(Intereses_Leasing_Mensual!N100&gt;0, ROUND($I100-Intereses_Leasing_Mensual!N100, 2), "")</f>
        <v/>
      </c>
      <c r="P100" s="29">
        <f>IF(Intereses_Leasing_Mensual!O100&gt;0, ROUND($I100-Intereses_Leasing_Mensual!O100, 2), "")</f>
        <v/>
      </c>
      <c r="Q100" s="29">
        <f>IF(Intereses_Leasing_Mensual!P100&gt;0, ROUND($I100-Intereses_Leasing_Mensual!P100, 2), "")</f>
        <v/>
      </c>
      <c r="R100" s="29">
        <f>IF(Intereses_Leasing_Mensual!Q100&gt;0, ROUND($I100-Intereses_Leasing_Mensual!Q100, 2), "")</f>
        <v/>
      </c>
      <c r="S100" s="29">
        <f>IF(Intereses_Leasing_Mensual!R100&gt;0, ROUND($I100-Intereses_Leasing_Mensual!R100, 2), "")</f>
        <v/>
      </c>
      <c r="T100" s="29">
        <f>IF(Intereses_Leasing_Mensual!S100&gt;0, ROUND($I100-Intereses_Leasing_Mensual!S100, 2), "")</f>
        <v/>
      </c>
      <c r="U100" s="29">
        <f>IF(Intereses_Leasing_Mensual!T100&gt;0, ROUND($I100-Intereses_Leasing_Mensual!T100, 2), "")</f>
        <v/>
      </c>
      <c r="V100" s="29">
        <f>SUM(J100:U100)</f>
        <v/>
      </c>
    </row>
    <row r="101">
      <c r="A101" s="20" t="inlineStr">
        <is>
          <t>0645-0001</t>
        </is>
      </c>
      <c r="B101" s="21" t="inlineStr">
        <is>
          <t>Armando Duran Rubio</t>
        </is>
      </c>
      <c r="C101" s="21" t="inlineStr">
        <is>
          <t>Ram 1500 Bighorn</t>
        </is>
      </c>
      <c r="D101" s="20" t="inlineStr">
        <is>
          <t>ACTIVO</t>
        </is>
      </c>
      <c r="E101" s="20" t="inlineStr">
        <is>
          <t>2023-12-28</t>
        </is>
      </c>
      <c r="F101" s="20" t="inlineStr">
        <is>
          <t>2027-12-28</t>
        </is>
      </c>
      <c r="G101" s="22" t="n">
        <v>48</v>
      </c>
      <c r="H101" s="23" t="n">
        <v>665448.27</v>
      </c>
      <c r="I101" s="23" t="n">
        <v>25627.81</v>
      </c>
      <c r="J101" s="23">
        <f>IF(Intereses_Leasing_Mensual!I101&gt;0, ROUND($I101-Intereses_Leasing_Mensual!I101, 2), "")</f>
        <v/>
      </c>
      <c r="K101" s="23">
        <f>IF(Intereses_Leasing_Mensual!J101&gt;0, ROUND($I101-Intereses_Leasing_Mensual!J101, 2), "")</f>
        <v/>
      </c>
      <c r="L101" s="23">
        <f>IF(Intereses_Leasing_Mensual!K101&gt;0, ROUND($I101-Intereses_Leasing_Mensual!K101, 2), "")</f>
        <v/>
      </c>
      <c r="M101" s="23">
        <f>IF(Intereses_Leasing_Mensual!L101&gt;0, ROUND($I101-Intereses_Leasing_Mensual!L101, 2), "")</f>
        <v/>
      </c>
      <c r="N101" s="23">
        <f>IF(Intereses_Leasing_Mensual!M101&gt;0, ROUND($I101-Intereses_Leasing_Mensual!M101, 2), "")</f>
        <v/>
      </c>
      <c r="O101" s="23">
        <f>IF(Intereses_Leasing_Mensual!N101&gt;0, ROUND($I101-Intereses_Leasing_Mensual!N101, 2), "")</f>
        <v/>
      </c>
      <c r="P101" s="23">
        <f>IF(Intereses_Leasing_Mensual!O101&gt;0, ROUND($I101-Intereses_Leasing_Mensual!O101, 2), "")</f>
        <v/>
      </c>
      <c r="Q101" s="23">
        <f>IF(Intereses_Leasing_Mensual!P101&gt;0, ROUND($I101-Intereses_Leasing_Mensual!P101, 2), "")</f>
        <v/>
      </c>
      <c r="R101" s="23">
        <f>IF(Intereses_Leasing_Mensual!Q101&gt;0, ROUND($I101-Intereses_Leasing_Mensual!Q101, 2), "")</f>
        <v/>
      </c>
      <c r="S101" s="23">
        <f>IF(Intereses_Leasing_Mensual!R101&gt;0, ROUND($I101-Intereses_Leasing_Mensual!R101, 2), "")</f>
        <v/>
      </c>
      <c r="T101" s="23">
        <f>IF(Intereses_Leasing_Mensual!S101&gt;0, ROUND($I101-Intereses_Leasing_Mensual!S101, 2), "")</f>
        <v/>
      </c>
      <c r="U101" s="23">
        <f>IF(Intereses_Leasing_Mensual!T101&gt;0, ROUND($I101-Intereses_Leasing_Mensual!T101, 2), "")</f>
        <v/>
      </c>
      <c r="V101" s="23">
        <f>SUM(J101:U101)</f>
        <v/>
      </c>
    </row>
    <row r="102">
      <c r="A102" s="26" t="inlineStr">
        <is>
          <t>0646-0001</t>
        </is>
      </c>
      <c r="B102" s="27" t="inlineStr">
        <is>
          <t>Liza Minerva Magallanes Reimers</t>
        </is>
      </c>
      <c r="C102" s="27" t="inlineStr">
        <is>
          <t>Wrangler</t>
        </is>
      </c>
      <c r="D102" s="26" t="inlineStr">
        <is>
          <t>ACTIVO</t>
        </is>
      </c>
      <c r="E102" s="26" t="inlineStr">
        <is>
          <t>2024-01-12</t>
        </is>
      </c>
      <c r="F102" s="26" t="inlineStr">
        <is>
          <t>2028-01-12</t>
        </is>
      </c>
      <c r="G102" s="28" t="n">
        <v>48</v>
      </c>
      <c r="H102" s="29" t="n">
        <v>784422.42</v>
      </c>
      <c r="I102" s="29" t="n">
        <v>29965.65</v>
      </c>
      <c r="J102" s="29">
        <f>IF(Intereses_Leasing_Mensual!I102&gt;0, ROUND($I102-Intereses_Leasing_Mensual!I102, 2), "")</f>
        <v/>
      </c>
      <c r="K102" s="29">
        <f>IF(Intereses_Leasing_Mensual!J102&gt;0, ROUND($I102-Intereses_Leasing_Mensual!J102, 2), "")</f>
        <v/>
      </c>
      <c r="L102" s="29">
        <f>IF(Intereses_Leasing_Mensual!K102&gt;0, ROUND($I102-Intereses_Leasing_Mensual!K102, 2), "")</f>
        <v/>
      </c>
      <c r="M102" s="29">
        <f>IF(Intereses_Leasing_Mensual!L102&gt;0, ROUND($I102-Intereses_Leasing_Mensual!L102, 2), "")</f>
        <v/>
      </c>
      <c r="N102" s="29">
        <f>IF(Intereses_Leasing_Mensual!M102&gt;0, ROUND($I102-Intereses_Leasing_Mensual!M102, 2), "")</f>
        <v/>
      </c>
      <c r="O102" s="29">
        <f>IF(Intereses_Leasing_Mensual!N102&gt;0, ROUND($I102-Intereses_Leasing_Mensual!N102, 2), "")</f>
        <v/>
      </c>
      <c r="P102" s="29">
        <f>IF(Intereses_Leasing_Mensual!O102&gt;0, ROUND($I102-Intereses_Leasing_Mensual!O102, 2), "")</f>
        <v/>
      </c>
      <c r="Q102" s="29">
        <f>IF(Intereses_Leasing_Mensual!P102&gt;0, ROUND($I102-Intereses_Leasing_Mensual!P102, 2), "")</f>
        <v/>
      </c>
      <c r="R102" s="29">
        <f>IF(Intereses_Leasing_Mensual!Q102&gt;0, ROUND($I102-Intereses_Leasing_Mensual!Q102, 2), "")</f>
        <v/>
      </c>
      <c r="S102" s="29">
        <f>IF(Intereses_Leasing_Mensual!R102&gt;0, ROUND($I102-Intereses_Leasing_Mensual!R102, 2), "")</f>
        <v/>
      </c>
      <c r="T102" s="29">
        <f>IF(Intereses_Leasing_Mensual!S102&gt;0, ROUND($I102-Intereses_Leasing_Mensual!S102, 2), "")</f>
        <v/>
      </c>
      <c r="U102" s="29">
        <f>IF(Intereses_Leasing_Mensual!T102&gt;0, ROUND($I102-Intereses_Leasing_Mensual!T102, 2), "")</f>
        <v/>
      </c>
      <c r="V102" s="29">
        <f>SUM(J102:U102)</f>
        <v/>
      </c>
    </row>
    <row r="103">
      <c r="A103" s="20" t="inlineStr">
        <is>
          <t>0647-0001</t>
        </is>
      </c>
      <c r="B103" s="21" t="inlineStr">
        <is>
          <t>Cibara Gourmet S de Rl de Cv</t>
        </is>
      </c>
      <c r="C103" s="21" t="inlineStr">
        <is>
          <t>Partner Maxi</t>
        </is>
      </c>
      <c r="D103" s="20" t="inlineStr">
        <is>
          <t>ACTIVO</t>
        </is>
      </c>
      <c r="E103" s="20" t="inlineStr">
        <is>
          <t>2024-01-10</t>
        </is>
      </c>
      <c r="F103" s="20" t="inlineStr">
        <is>
          <t>2027-01-10</t>
        </is>
      </c>
      <c r="G103" s="22" t="n">
        <v>36</v>
      </c>
      <c r="H103" s="23" t="n">
        <v>302000</v>
      </c>
      <c r="I103" s="23" t="n">
        <v>12944.93</v>
      </c>
      <c r="J103" s="23">
        <f>IF(Intereses_Leasing_Mensual!I103&gt;0, ROUND($I103-Intereses_Leasing_Mensual!I103, 2), "")</f>
        <v/>
      </c>
      <c r="K103" s="23">
        <f>IF(Intereses_Leasing_Mensual!J103&gt;0, ROUND($I103-Intereses_Leasing_Mensual!J103, 2), "")</f>
        <v/>
      </c>
      <c r="L103" s="23">
        <f>IF(Intereses_Leasing_Mensual!K103&gt;0, ROUND($I103-Intereses_Leasing_Mensual!K103, 2), "")</f>
        <v/>
      </c>
      <c r="M103" s="23">
        <f>IF(Intereses_Leasing_Mensual!L103&gt;0, ROUND($I103-Intereses_Leasing_Mensual!L103, 2), "")</f>
        <v/>
      </c>
      <c r="N103" s="23">
        <f>IF(Intereses_Leasing_Mensual!M103&gt;0, ROUND($I103-Intereses_Leasing_Mensual!M103, 2), "")</f>
        <v/>
      </c>
      <c r="O103" s="23">
        <f>IF(Intereses_Leasing_Mensual!N103&gt;0, ROUND($I103-Intereses_Leasing_Mensual!N103, 2), "")</f>
        <v/>
      </c>
      <c r="P103" s="23">
        <f>IF(Intereses_Leasing_Mensual!O103&gt;0, ROUND($I103-Intereses_Leasing_Mensual!O103, 2), "")</f>
        <v/>
      </c>
      <c r="Q103" s="23">
        <f>IF(Intereses_Leasing_Mensual!P103&gt;0, ROUND($I103-Intereses_Leasing_Mensual!P103, 2), "")</f>
        <v/>
      </c>
      <c r="R103" s="23">
        <f>IF(Intereses_Leasing_Mensual!Q103&gt;0, ROUND($I103-Intereses_Leasing_Mensual!Q103, 2), "")</f>
        <v/>
      </c>
      <c r="S103" s="23">
        <f>IF(Intereses_Leasing_Mensual!R103&gt;0, ROUND($I103-Intereses_Leasing_Mensual!R103, 2), "")</f>
        <v/>
      </c>
      <c r="T103" s="23">
        <f>IF(Intereses_Leasing_Mensual!S103&gt;0, ROUND($I103-Intereses_Leasing_Mensual!S103, 2), "")</f>
        <v/>
      </c>
      <c r="U103" s="23">
        <f>IF(Intereses_Leasing_Mensual!T103&gt;0, ROUND($I103-Intereses_Leasing_Mensual!T103, 2), "")</f>
        <v/>
      </c>
      <c r="V103" s="23">
        <f>SUM(J103:U103)</f>
        <v/>
      </c>
    </row>
    <row r="104">
      <c r="A104" s="26" t="inlineStr">
        <is>
          <t>0647-0002</t>
        </is>
      </c>
      <c r="B104" s="27" t="inlineStr">
        <is>
          <t>Cibara Gourmet S de Rl de Cv</t>
        </is>
      </c>
      <c r="C104" s="27" t="inlineStr">
        <is>
          <t>Rifter Allure Pack</t>
        </is>
      </c>
      <c r="D104" s="26" t="inlineStr">
        <is>
          <t>ACTIVO</t>
        </is>
      </c>
      <c r="E104" s="26" t="inlineStr">
        <is>
          <t>2024-08-14</t>
        </is>
      </c>
      <c r="F104" s="26" t="inlineStr">
        <is>
          <t>2027-08-14</t>
        </is>
      </c>
      <c r="G104" s="28" t="n">
        <v>36</v>
      </c>
      <c r="H104" s="29" t="n">
        <v>384068.97</v>
      </c>
      <c r="I104" s="29" t="n">
        <v>16462.73</v>
      </c>
      <c r="J104" s="29">
        <f>IF(Intereses_Leasing_Mensual!I104&gt;0, ROUND($I104-Intereses_Leasing_Mensual!I104, 2), "")</f>
        <v/>
      </c>
      <c r="K104" s="29">
        <f>IF(Intereses_Leasing_Mensual!J104&gt;0, ROUND($I104-Intereses_Leasing_Mensual!J104, 2), "")</f>
        <v/>
      </c>
      <c r="L104" s="29">
        <f>IF(Intereses_Leasing_Mensual!K104&gt;0, ROUND($I104-Intereses_Leasing_Mensual!K104, 2), "")</f>
        <v/>
      </c>
      <c r="M104" s="29">
        <f>IF(Intereses_Leasing_Mensual!L104&gt;0, ROUND($I104-Intereses_Leasing_Mensual!L104, 2), "")</f>
        <v/>
      </c>
      <c r="N104" s="29">
        <f>IF(Intereses_Leasing_Mensual!M104&gt;0, ROUND($I104-Intereses_Leasing_Mensual!M104, 2), "")</f>
        <v/>
      </c>
      <c r="O104" s="29">
        <f>IF(Intereses_Leasing_Mensual!N104&gt;0, ROUND($I104-Intereses_Leasing_Mensual!N104, 2), "")</f>
        <v/>
      </c>
      <c r="P104" s="29">
        <f>IF(Intereses_Leasing_Mensual!O104&gt;0, ROUND($I104-Intereses_Leasing_Mensual!O104, 2), "")</f>
        <v/>
      </c>
      <c r="Q104" s="29">
        <f>IF(Intereses_Leasing_Mensual!P104&gt;0, ROUND($I104-Intereses_Leasing_Mensual!P104, 2), "")</f>
        <v/>
      </c>
      <c r="R104" s="29">
        <f>IF(Intereses_Leasing_Mensual!Q104&gt;0, ROUND($I104-Intereses_Leasing_Mensual!Q104, 2), "")</f>
        <v/>
      </c>
      <c r="S104" s="29">
        <f>IF(Intereses_Leasing_Mensual!R104&gt;0, ROUND($I104-Intereses_Leasing_Mensual!R104, 2), "")</f>
        <v/>
      </c>
      <c r="T104" s="29">
        <f>IF(Intereses_Leasing_Mensual!S104&gt;0, ROUND($I104-Intereses_Leasing_Mensual!S104, 2), "")</f>
        <v/>
      </c>
      <c r="U104" s="29">
        <f>IF(Intereses_Leasing_Mensual!T104&gt;0, ROUND($I104-Intereses_Leasing_Mensual!T104, 2), "")</f>
        <v/>
      </c>
      <c r="V104" s="29">
        <f>SUM(J104:U104)</f>
        <v/>
      </c>
    </row>
    <row r="105">
      <c r="A105" s="20" t="inlineStr">
        <is>
          <t>0647-0003</t>
        </is>
      </c>
      <c r="B105" s="21" t="inlineStr">
        <is>
          <t>Cibaria Gourmet S de Rl de Cv</t>
        </is>
      </c>
      <c r="C105" s="21" t="inlineStr">
        <is>
          <t>1200 Bighorn</t>
        </is>
      </c>
      <c r="D105" s="20" t="inlineStr">
        <is>
          <t>ACTIVO</t>
        </is>
      </c>
      <c r="E105" s="20" t="inlineStr">
        <is>
          <t>2026-06-30</t>
        </is>
      </c>
      <c r="F105" s="20" t="inlineStr">
        <is>
          <t>2029-06-30</t>
        </is>
      </c>
      <c r="G105" s="22" t="n">
        <v>36</v>
      </c>
      <c r="H105" s="23" t="n">
        <v>393752.1</v>
      </c>
      <c r="I105" s="23" t="n">
        <v>16185.96</v>
      </c>
      <c r="J105" s="23" t="inlineStr"/>
      <c r="K105" s="23" t="inlineStr"/>
      <c r="L105" s="23" t="inlineStr"/>
      <c r="M105" s="23" t="inlineStr"/>
      <c r="N105" s="23" t="inlineStr"/>
      <c r="O105" s="23">
        <f>IF(Intereses_Leasing_Mensual!N105&gt;0, ROUND($I105-Intereses_Leasing_Mensual!N105, 2), "")</f>
        <v/>
      </c>
      <c r="P105" s="23">
        <f>IF(Intereses_Leasing_Mensual!O105&gt;0, ROUND($I105-Intereses_Leasing_Mensual!O105, 2), "")</f>
        <v/>
      </c>
      <c r="Q105" s="23">
        <f>IF(Intereses_Leasing_Mensual!P105&gt;0, ROUND($I105-Intereses_Leasing_Mensual!P105, 2), "")</f>
        <v/>
      </c>
      <c r="R105" s="23">
        <f>IF(Intereses_Leasing_Mensual!Q105&gt;0, ROUND($I105-Intereses_Leasing_Mensual!Q105, 2), "")</f>
        <v/>
      </c>
      <c r="S105" s="23">
        <f>IF(Intereses_Leasing_Mensual!R105&gt;0, ROUND($I105-Intereses_Leasing_Mensual!R105, 2), "")</f>
        <v/>
      </c>
      <c r="T105" s="23">
        <f>IF(Intereses_Leasing_Mensual!S105&gt;0, ROUND($I105-Intereses_Leasing_Mensual!S105, 2), "")</f>
        <v/>
      </c>
      <c r="U105" s="23">
        <f>IF(Intereses_Leasing_Mensual!T105&gt;0, ROUND($I105-Intereses_Leasing_Mensual!T105, 2), "")</f>
        <v/>
      </c>
      <c r="V105" s="23">
        <f>SUM(J105:U105)</f>
        <v/>
      </c>
    </row>
    <row r="106">
      <c r="A106" s="26" t="inlineStr">
        <is>
          <t>0647-0004</t>
        </is>
      </c>
      <c r="B106" s="27" t="inlineStr">
        <is>
          <t>Cibaria Gourmet S de Rl de Cv</t>
        </is>
      </c>
      <c r="C106" s="27" t="inlineStr">
        <is>
          <t>1200 Bighorn</t>
        </is>
      </c>
      <c r="D106" s="26" t="inlineStr">
        <is>
          <t>ACTIVO</t>
        </is>
      </c>
      <c r="E106" s="26" t="inlineStr">
        <is>
          <t>2026-06-30</t>
        </is>
      </c>
      <c r="F106" s="26" t="inlineStr">
        <is>
          <t>2029-06-30</t>
        </is>
      </c>
      <c r="G106" s="28" t="n">
        <v>36</v>
      </c>
      <c r="H106" s="29" t="n">
        <v>393752.1</v>
      </c>
      <c r="I106" s="29" t="n">
        <v>16185.96</v>
      </c>
      <c r="J106" s="29" t="inlineStr"/>
      <c r="K106" s="29" t="inlineStr"/>
      <c r="L106" s="29" t="inlineStr"/>
      <c r="M106" s="29" t="inlineStr"/>
      <c r="N106" s="29" t="inlineStr"/>
      <c r="O106" s="29">
        <f>IF(Intereses_Leasing_Mensual!N106&gt;0, ROUND($I106-Intereses_Leasing_Mensual!N106, 2), "")</f>
        <v/>
      </c>
      <c r="P106" s="29">
        <f>IF(Intereses_Leasing_Mensual!O106&gt;0, ROUND($I106-Intereses_Leasing_Mensual!O106, 2), "")</f>
        <v/>
      </c>
      <c r="Q106" s="29">
        <f>IF(Intereses_Leasing_Mensual!P106&gt;0, ROUND($I106-Intereses_Leasing_Mensual!P106, 2), "")</f>
        <v/>
      </c>
      <c r="R106" s="29">
        <f>IF(Intereses_Leasing_Mensual!Q106&gt;0, ROUND($I106-Intereses_Leasing_Mensual!Q106, 2), "")</f>
        <v/>
      </c>
      <c r="S106" s="29">
        <f>IF(Intereses_Leasing_Mensual!R106&gt;0, ROUND($I106-Intereses_Leasing_Mensual!R106, 2), "")</f>
        <v/>
      </c>
      <c r="T106" s="29">
        <f>IF(Intereses_Leasing_Mensual!S106&gt;0, ROUND($I106-Intereses_Leasing_Mensual!S106, 2), "")</f>
        <v/>
      </c>
      <c r="U106" s="29">
        <f>IF(Intereses_Leasing_Mensual!T106&gt;0, ROUND($I106-Intereses_Leasing_Mensual!T106, 2), "")</f>
        <v/>
      </c>
      <c r="V106" s="29">
        <f>SUM(J106:U106)</f>
        <v/>
      </c>
    </row>
    <row r="107">
      <c r="A107" s="20" t="inlineStr">
        <is>
          <t>0648-0002</t>
        </is>
      </c>
      <c r="B107" s="21" t="inlineStr">
        <is>
          <t>Jorge Luis Cervantes Gonzalez</t>
        </is>
      </c>
      <c r="C107" s="21" t="inlineStr">
        <is>
          <t>Wagoneer</t>
        </is>
      </c>
      <c r="D107" s="20" t="inlineStr">
        <is>
          <t>ACTIVO</t>
        </is>
      </c>
      <c r="E107" s="20" t="inlineStr">
        <is>
          <t>2024-03-20</t>
        </is>
      </c>
      <c r="F107" s="20" t="inlineStr">
        <is>
          <t>2028-03-20</t>
        </is>
      </c>
      <c r="G107" s="22" t="n">
        <v>48</v>
      </c>
      <c r="H107" s="23" t="n">
        <v>1163387.93</v>
      </c>
      <c r="I107" s="23" t="n">
        <v>45178.87</v>
      </c>
      <c r="J107" s="23">
        <f>IF(Intereses_Leasing_Mensual!I107&gt;0, ROUND($I107-Intereses_Leasing_Mensual!I107, 2), "")</f>
        <v/>
      </c>
      <c r="K107" s="23">
        <f>IF(Intereses_Leasing_Mensual!J107&gt;0, ROUND($I107-Intereses_Leasing_Mensual!J107, 2), "")</f>
        <v/>
      </c>
      <c r="L107" s="23">
        <f>IF(Intereses_Leasing_Mensual!K107&gt;0, ROUND($I107-Intereses_Leasing_Mensual!K107, 2), "")</f>
        <v/>
      </c>
      <c r="M107" s="23">
        <f>IF(Intereses_Leasing_Mensual!L107&gt;0, ROUND($I107-Intereses_Leasing_Mensual!L107, 2), "")</f>
        <v/>
      </c>
      <c r="N107" s="23">
        <f>IF(Intereses_Leasing_Mensual!M107&gt;0, ROUND($I107-Intereses_Leasing_Mensual!M107, 2), "")</f>
        <v/>
      </c>
      <c r="O107" s="23">
        <f>IF(Intereses_Leasing_Mensual!N107&gt;0, ROUND($I107-Intereses_Leasing_Mensual!N107, 2), "")</f>
        <v/>
      </c>
      <c r="P107" s="23">
        <f>IF(Intereses_Leasing_Mensual!O107&gt;0, ROUND($I107-Intereses_Leasing_Mensual!O107, 2), "")</f>
        <v/>
      </c>
      <c r="Q107" s="23">
        <f>IF(Intereses_Leasing_Mensual!P107&gt;0, ROUND($I107-Intereses_Leasing_Mensual!P107, 2), "")</f>
        <v/>
      </c>
      <c r="R107" s="23">
        <f>IF(Intereses_Leasing_Mensual!Q107&gt;0, ROUND($I107-Intereses_Leasing_Mensual!Q107, 2), "")</f>
        <v/>
      </c>
      <c r="S107" s="23">
        <f>IF(Intereses_Leasing_Mensual!R107&gt;0, ROUND($I107-Intereses_Leasing_Mensual!R107, 2), "")</f>
        <v/>
      </c>
      <c r="T107" s="23">
        <f>IF(Intereses_Leasing_Mensual!S107&gt;0, ROUND($I107-Intereses_Leasing_Mensual!S107, 2), "")</f>
        <v/>
      </c>
      <c r="U107" s="23">
        <f>IF(Intereses_Leasing_Mensual!T107&gt;0, ROUND($I107-Intereses_Leasing_Mensual!T107, 2), "")</f>
        <v/>
      </c>
      <c r="V107" s="23">
        <f>SUM(J107:U107)</f>
        <v/>
      </c>
    </row>
    <row r="108">
      <c r="A108" s="26" t="inlineStr">
        <is>
          <t>0648-0003</t>
        </is>
      </c>
      <c r="B108" s="27" t="inlineStr">
        <is>
          <t>Jorge Luis Cervantes Gonzalez</t>
        </is>
      </c>
      <c r="C108" s="27" t="inlineStr">
        <is>
          <t>Wrangler Tuscadero</t>
        </is>
      </c>
      <c r="D108" s="26" t="inlineStr">
        <is>
          <t>ACTIVO</t>
        </is>
      </c>
      <c r="E108" s="26" t="inlineStr">
        <is>
          <t>2024-07-30</t>
        </is>
      </c>
      <c r="F108" s="26" t="inlineStr">
        <is>
          <t>2028-07-30</t>
        </is>
      </c>
      <c r="G108" s="28" t="n">
        <v>48</v>
      </c>
      <c r="H108" s="29" t="n">
        <v>1097767.24</v>
      </c>
      <c r="I108" s="29" t="n">
        <v>42543.03</v>
      </c>
      <c r="J108" s="29">
        <f>IF(Intereses_Leasing_Mensual!I108&gt;0, ROUND($I108-Intereses_Leasing_Mensual!I108, 2), "")</f>
        <v/>
      </c>
      <c r="K108" s="29">
        <f>IF(Intereses_Leasing_Mensual!J108&gt;0, ROUND($I108-Intereses_Leasing_Mensual!J108, 2), "")</f>
        <v/>
      </c>
      <c r="L108" s="29">
        <f>IF(Intereses_Leasing_Mensual!K108&gt;0, ROUND($I108-Intereses_Leasing_Mensual!K108, 2), "")</f>
        <v/>
      </c>
      <c r="M108" s="29">
        <f>IF(Intereses_Leasing_Mensual!L108&gt;0, ROUND($I108-Intereses_Leasing_Mensual!L108, 2), "")</f>
        <v/>
      </c>
      <c r="N108" s="29">
        <f>IF(Intereses_Leasing_Mensual!M108&gt;0, ROUND($I108-Intereses_Leasing_Mensual!M108, 2), "")</f>
        <v/>
      </c>
      <c r="O108" s="29">
        <f>IF(Intereses_Leasing_Mensual!N108&gt;0, ROUND($I108-Intereses_Leasing_Mensual!N108, 2), "")</f>
        <v/>
      </c>
      <c r="P108" s="29">
        <f>IF(Intereses_Leasing_Mensual!O108&gt;0, ROUND($I108-Intereses_Leasing_Mensual!O108, 2), "")</f>
        <v/>
      </c>
      <c r="Q108" s="29">
        <f>IF(Intereses_Leasing_Mensual!P108&gt;0, ROUND($I108-Intereses_Leasing_Mensual!P108, 2), "")</f>
        <v/>
      </c>
      <c r="R108" s="29">
        <f>IF(Intereses_Leasing_Mensual!Q108&gt;0, ROUND($I108-Intereses_Leasing_Mensual!Q108, 2), "")</f>
        <v/>
      </c>
      <c r="S108" s="29">
        <f>IF(Intereses_Leasing_Mensual!R108&gt;0, ROUND($I108-Intereses_Leasing_Mensual!R108, 2), "")</f>
        <v/>
      </c>
      <c r="T108" s="29">
        <f>IF(Intereses_Leasing_Mensual!S108&gt;0, ROUND($I108-Intereses_Leasing_Mensual!S108, 2), "")</f>
        <v/>
      </c>
      <c r="U108" s="29">
        <f>IF(Intereses_Leasing_Mensual!T108&gt;0, ROUND($I108-Intereses_Leasing_Mensual!T108, 2), "")</f>
        <v/>
      </c>
      <c r="V108" s="29">
        <f>SUM(J108:U108)</f>
        <v/>
      </c>
    </row>
    <row r="109">
      <c r="A109" s="20" t="inlineStr">
        <is>
          <t>0648-0004</t>
        </is>
      </c>
      <c r="B109" s="21" t="inlineStr">
        <is>
          <t>Jorge Luis Cervantes Gonzalez</t>
        </is>
      </c>
      <c r="C109" s="21" t="inlineStr">
        <is>
          <t>JEEP 392</t>
        </is>
      </c>
      <c r="D109" s="20" t="inlineStr">
        <is>
          <t>ACTIVO</t>
        </is>
      </c>
      <c r="E109" s="20" t="inlineStr">
        <is>
          <t>2025-11-13</t>
        </is>
      </c>
      <c r="F109" s="20" t="inlineStr">
        <is>
          <t>2028-11-13</t>
        </is>
      </c>
      <c r="G109" s="22" t="n">
        <v>36</v>
      </c>
      <c r="H109" s="23" t="n">
        <v>1681215.52</v>
      </c>
      <c r="I109" s="23" t="n">
        <v>66886.62</v>
      </c>
      <c r="J109" s="23">
        <f>IF(Intereses_Leasing_Mensual!I109&gt;0, ROUND($I109-Intereses_Leasing_Mensual!I109, 2), "")</f>
        <v/>
      </c>
      <c r="K109" s="23">
        <f>IF(Intereses_Leasing_Mensual!J109&gt;0, ROUND($I109-Intereses_Leasing_Mensual!J109, 2), "")</f>
        <v/>
      </c>
      <c r="L109" s="23">
        <f>IF(Intereses_Leasing_Mensual!K109&gt;0, ROUND($I109-Intereses_Leasing_Mensual!K109, 2), "")</f>
        <v/>
      </c>
      <c r="M109" s="23">
        <f>IF(Intereses_Leasing_Mensual!L109&gt;0, ROUND($I109-Intereses_Leasing_Mensual!L109, 2), "")</f>
        <v/>
      </c>
      <c r="N109" s="23">
        <f>IF(Intereses_Leasing_Mensual!M109&gt;0, ROUND($I109-Intereses_Leasing_Mensual!M109, 2), "")</f>
        <v/>
      </c>
      <c r="O109" s="23">
        <f>IF(Intereses_Leasing_Mensual!N109&gt;0, ROUND($I109-Intereses_Leasing_Mensual!N109, 2), "")</f>
        <v/>
      </c>
      <c r="P109" s="23">
        <f>IF(Intereses_Leasing_Mensual!O109&gt;0, ROUND($I109-Intereses_Leasing_Mensual!O109, 2), "")</f>
        <v/>
      </c>
      <c r="Q109" s="23">
        <f>IF(Intereses_Leasing_Mensual!P109&gt;0, ROUND($I109-Intereses_Leasing_Mensual!P109, 2), "")</f>
        <v/>
      </c>
      <c r="R109" s="23">
        <f>IF(Intereses_Leasing_Mensual!Q109&gt;0, ROUND($I109-Intereses_Leasing_Mensual!Q109, 2), "")</f>
        <v/>
      </c>
      <c r="S109" s="23">
        <f>IF(Intereses_Leasing_Mensual!R109&gt;0, ROUND($I109-Intereses_Leasing_Mensual!R109, 2), "")</f>
        <v/>
      </c>
      <c r="T109" s="23">
        <f>IF(Intereses_Leasing_Mensual!S109&gt;0, ROUND($I109-Intereses_Leasing_Mensual!S109, 2), "")</f>
        <v/>
      </c>
      <c r="U109" s="23">
        <f>IF(Intereses_Leasing_Mensual!T109&gt;0, ROUND($I109-Intereses_Leasing_Mensual!T109, 2), "")</f>
        <v/>
      </c>
      <c r="V109" s="23">
        <f>SUM(J109:U109)</f>
        <v/>
      </c>
    </row>
    <row r="110">
      <c r="A110" s="26" t="inlineStr">
        <is>
          <t>0648-0005</t>
        </is>
      </c>
      <c r="B110" s="27" t="inlineStr">
        <is>
          <t>Jorge Luis Cervantes Gonzalez</t>
        </is>
      </c>
      <c r="C110" s="27" t="inlineStr">
        <is>
          <t>1500 RHO</t>
        </is>
      </c>
      <c r="D110" s="26" t="inlineStr">
        <is>
          <t>ACTIVO</t>
        </is>
      </c>
      <c r="E110" s="26" t="inlineStr">
        <is>
          <t>2026-01-30</t>
        </is>
      </c>
      <c r="F110" s="26" t="inlineStr">
        <is>
          <t>2029-01-30</t>
        </is>
      </c>
      <c r="G110" s="28" t="n">
        <v>36</v>
      </c>
      <c r="H110" s="29" t="n">
        <v>1807758.62</v>
      </c>
      <c r="I110" s="29" t="n">
        <v>71967.34</v>
      </c>
      <c r="J110" s="29">
        <f>IF(Intereses_Leasing_Mensual!I110&gt;0, ROUND($I110-Intereses_Leasing_Mensual!I110, 2), "")</f>
        <v/>
      </c>
      <c r="K110" s="29">
        <f>IF(Intereses_Leasing_Mensual!J110&gt;0, ROUND($I110-Intereses_Leasing_Mensual!J110, 2), "")</f>
        <v/>
      </c>
      <c r="L110" s="29">
        <f>IF(Intereses_Leasing_Mensual!K110&gt;0, ROUND($I110-Intereses_Leasing_Mensual!K110, 2), "")</f>
        <v/>
      </c>
      <c r="M110" s="29">
        <f>IF(Intereses_Leasing_Mensual!L110&gt;0, ROUND($I110-Intereses_Leasing_Mensual!L110, 2), "")</f>
        <v/>
      </c>
      <c r="N110" s="29">
        <f>IF(Intereses_Leasing_Mensual!M110&gt;0, ROUND($I110-Intereses_Leasing_Mensual!M110, 2), "")</f>
        <v/>
      </c>
      <c r="O110" s="29">
        <f>IF(Intereses_Leasing_Mensual!N110&gt;0, ROUND($I110-Intereses_Leasing_Mensual!N110, 2), "")</f>
        <v/>
      </c>
      <c r="P110" s="29">
        <f>IF(Intereses_Leasing_Mensual!O110&gt;0, ROUND($I110-Intereses_Leasing_Mensual!O110, 2), "")</f>
        <v/>
      </c>
      <c r="Q110" s="29">
        <f>IF(Intereses_Leasing_Mensual!P110&gt;0, ROUND($I110-Intereses_Leasing_Mensual!P110, 2), "")</f>
        <v/>
      </c>
      <c r="R110" s="29">
        <f>IF(Intereses_Leasing_Mensual!Q110&gt;0, ROUND($I110-Intereses_Leasing_Mensual!Q110, 2), "")</f>
        <v/>
      </c>
      <c r="S110" s="29">
        <f>IF(Intereses_Leasing_Mensual!R110&gt;0, ROUND($I110-Intereses_Leasing_Mensual!R110, 2), "")</f>
        <v/>
      </c>
      <c r="T110" s="29">
        <f>IF(Intereses_Leasing_Mensual!S110&gt;0, ROUND($I110-Intereses_Leasing_Mensual!S110, 2), "")</f>
        <v/>
      </c>
      <c r="U110" s="29">
        <f>IF(Intereses_Leasing_Mensual!T110&gt;0, ROUND($I110-Intereses_Leasing_Mensual!T110, 2), "")</f>
        <v/>
      </c>
      <c r="V110" s="29">
        <f>SUM(J110:U110)</f>
        <v/>
      </c>
    </row>
    <row r="111">
      <c r="A111" s="20" t="inlineStr">
        <is>
          <t>0648-0006</t>
        </is>
      </c>
      <c r="B111" s="21" t="inlineStr">
        <is>
          <t>Jorge Luis Cervantes Gonzalez</t>
        </is>
      </c>
      <c r="C111" s="21" t="inlineStr">
        <is>
          <t>Durango Hellcat SRT</t>
        </is>
      </c>
      <c r="D111" s="20" t="inlineStr">
        <is>
          <t>ACTIVO</t>
        </is>
      </c>
      <c r="E111" s="20" t="inlineStr">
        <is>
          <t>2026-04-01</t>
        </is>
      </c>
      <c r="F111" s="20" t="inlineStr">
        <is>
          <t>2029-04-01</t>
        </is>
      </c>
      <c r="G111" s="22" t="n">
        <v>36</v>
      </c>
      <c r="H111" s="23" t="n">
        <v>1687422.41</v>
      </c>
      <c r="I111" s="23" t="n">
        <v>67176.72</v>
      </c>
      <c r="J111" s="23" t="inlineStr"/>
      <c r="K111" s="23" t="inlineStr"/>
      <c r="L111" s="23" t="inlineStr"/>
      <c r="M111" s="23">
        <f>IF(Intereses_Leasing_Mensual!L111&gt;0, ROUND($I111-Intereses_Leasing_Mensual!L111, 2), "")</f>
        <v/>
      </c>
      <c r="N111" s="23">
        <f>IF(Intereses_Leasing_Mensual!M111&gt;0, ROUND($I111-Intereses_Leasing_Mensual!M111, 2), "")</f>
        <v/>
      </c>
      <c r="O111" s="23">
        <f>IF(Intereses_Leasing_Mensual!N111&gt;0, ROUND($I111-Intereses_Leasing_Mensual!N111, 2), "")</f>
        <v/>
      </c>
      <c r="P111" s="23">
        <f>IF(Intereses_Leasing_Mensual!O111&gt;0, ROUND($I111-Intereses_Leasing_Mensual!O111, 2), "")</f>
        <v/>
      </c>
      <c r="Q111" s="23">
        <f>IF(Intereses_Leasing_Mensual!P111&gt;0, ROUND($I111-Intereses_Leasing_Mensual!P111, 2), "")</f>
        <v/>
      </c>
      <c r="R111" s="23">
        <f>IF(Intereses_Leasing_Mensual!Q111&gt;0, ROUND($I111-Intereses_Leasing_Mensual!Q111, 2), "")</f>
        <v/>
      </c>
      <c r="S111" s="23">
        <f>IF(Intereses_Leasing_Mensual!R111&gt;0, ROUND($I111-Intereses_Leasing_Mensual!R111, 2), "")</f>
        <v/>
      </c>
      <c r="T111" s="23">
        <f>IF(Intereses_Leasing_Mensual!S111&gt;0, ROUND($I111-Intereses_Leasing_Mensual!S111, 2), "")</f>
        <v/>
      </c>
      <c r="U111" s="23">
        <f>IF(Intereses_Leasing_Mensual!T111&gt;0, ROUND($I111-Intereses_Leasing_Mensual!T111, 2), "")</f>
        <v/>
      </c>
      <c r="V111" s="23">
        <f>SUM(J111:U111)</f>
        <v/>
      </c>
    </row>
    <row r="112">
      <c r="A112" s="26" t="inlineStr">
        <is>
          <t>0649-0001</t>
        </is>
      </c>
      <c r="B112" s="27" t="inlineStr">
        <is>
          <t>Compusoluciones Y Asociados Sa de Cv</t>
        </is>
      </c>
      <c r="C112" s="27" t="inlineStr">
        <is>
          <t>CX-30</t>
        </is>
      </c>
      <c r="D112" s="26" t="inlineStr">
        <is>
          <t>ACTIVO</t>
        </is>
      </c>
      <c r="E112" s="26" t="inlineStr">
        <is>
          <t>2024-02-27</t>
        </is>
      </c>
      <c r="F112" s="26" t="inlineStr">
        <is>
          <t>2028-02-27</t>
        </is>
      </c>
      <c r="G112" s="28" t="n">
        <v>48</v>
      </c>
      <c r="H112" s="29" t="n">
        <v>305284.48</v>
      </c>
      <c r="I112" s="29" t="n">
        <v>9621.030000000001</v>
      </c>
      <c r="J112" s="29">
        <f>IF(Intereses_Leasing_Mensual!I112&gt;0, ROUND($I112-Intereses_Leasing_Mensual!I112, 2), "")</f>
        <v/>
      </c>
      <c r="K112" s="29">
        <f>IF(Intereses_Leasing_Mensual!J112&gt;0, ROUND($I112-Intereses_Leasing_Mensual!J112, 2), "")</f>
        <v/>
      </c>
      <c r="L112" s="29">
        <f>IF(Intereses_Leasing_Mensual!K112&gt;0, ROUND($I112-Intereses_Leasing_Mensual!K112, 2), "")</f>
        <v/>
      </c>
      <c r="M112" s="29">
        <f>IF(Intereses_Leasing_Mensual!L112&gt;0, ROUND($I112-Intereses_Leasing_Mensual!L112, 2), "")</f>
        <v/>
      </c>
      <c r="N112" s="29">
        <f>IF(Intereses_Leasing_Mensual!M112&gt;0, ROUND($I112-Intereses_Leasing_Mensual!M112, 2), "")</f>
        <v/>
      </c>
      <c r="O112" s="29">
        <f>IF(Intereses_Leasing_Mensual!N112&gt;0, ROUND($I112-Intereses_Leasing_Mensual!N112, 2), "")</f>
        <v/>
      </c>
      <c r="P112" s="29">
        <f>IF(Intereses_Leasing_Mensual!O112&gt;0, ROUND($I112-Intereses_Leasing_Mensual!O112, 2), "")</f>
        <v/>
      </c>
      <c r="Q112" s="29">
        <f>IF(Intereses_Leasing_Mensual!P112&gt;0, ROUND($I112-Intereses_Leasing_Mensual!P112, 2), "")</f>
        <v/>
      </c>
      <c r="R112" s="29">
        <f>IF(Intereses_Leasing_Mensual!Q112&gt;0, ROUND($I112-Intereses_Leasing_Mensual!Q112, 2), "")</f>
        <v/>
      </c>
      <c r="S112" s="29">
        <f>IF(Intereses_Leasing_Mensual!R112&gt;0, ROUND($I112-Intereses_Leasing_Mensual!R112, 2), "")</f>
        <v/>
      </c>
      <c r="T112" s="29">
        <f>IF(Intereses_Leasing_Mensual!S112&gt;0, ROUND($I112-Intereses_Leasing_Mensual!S112, 2), "")</f>
        <v/>
      </c>
      <c r="U112" s="29">
        <f>IF(Intereses_Leasing_Mensual!T112&gt;0, ROUND($I112-Intereses_Leasing_Mensual!T112, 2), "")</f>
        <v/>
      </c>
      <c r="V112" s="29">
        <f>SUM(J112:U112)</f>
        <v/>
      </c>
    </row>
    <row r="113">
      <c r="A113" s="20" t="inlineStr">
        <is>
          <t>0649-0002</t>
        </is>
      </c>
      <c r="B113" s="21" t="inlineStr">
        <is>
          <t>Compusoluciones Y Asociados Sa de Cv</t>
        </is>
      </c>
      <c r="C113" s="21" t="inlineStr">
        <is>
          <t>CX5</t>
        </is>
      </c>
      <c r="D113" s="20" t="inlineStr">
        <is>
          <t>ACTIVO</t>
        </is>
      </c>
      <c r="E113" s="20" t="inlineStr">
        <is>
          <t>2024-02-27</t>
        </is>
      </c>
      <c r="F113" s="20" t="inlineStr">
        <is>
          <t>2028-02-27</t>
        </is>
      </c>
      <c r="G113" s="22" t="n">
        <v>48</v>
      </c>
      <c r="H113" s="23" t="n">
        <v>346797.41</v>
      </c>
      <c r="I113" s="23" t="n">
        <v>10763.81</v>
      </c>
      <c r="J113" s="23">
        <f>IF(Intereses_Leasing_Mensual!I113&gt;0, ROUND($I113-Intereses_Leasing_Mensual!I113, 2), "")</f>
        <v/>
      </c>
      <c r="K113" s="23">
        <f>IF(Intereses_Leasing_Mensual!J113&gt;0, ROUND($I113-Intereses_Leasing_Mensual!J113, 2), "")</f>
        <v/>
      </c>
      <c r="L113" s="23">
        <f>IF(Intereses_Leasing_Mensual!K113&gt;0, ROUND($I113-Intereses_Leasing_Mensual!K113, 2), "")</f>
        <v/>
      </c>
      <c r="M113" s="23">
        <f>IF(Intereses_Leasing_Mensual!L113&gt;0, ROUND($I113-Intereses_Leasing_Mensual!L113, 2), "")</f>
        <v/>
      </c>
      <c r="N113" s="23">
        <f>IF(Intereses_Leasing_Mensual!M113&gt;0, ROUND($I113-Intereses_Leasing_Mensual!M113, 2), "")</f>
        <v/>
      </c>
      <c r="O113" s="23">
        <f>IF(Intereses_Leasing_Mensual!N113&gt;0, ROUND($I113-Intereses_Leasing_Mensual!N113, 2), "")</f>
        <v/>
      </c>
      <c r="P113" s="23">
        <f>IF(Intereses_Leasing_Mensual!O113&gt;0, ROUND($I113-Intereses_Leasing_Mensual!O113, 2), "")</f>
        <v/>
      </c>
      <c r="Q113" s="23">
        <f>IF(Intereses_Leasing_Mensual!P113&gt;0, ROUND($I113-Intereses_Leasing_Mensual!P113, 2), "")</f>
        <v/>
      </c>
      <c r="R113" s="23">
        <f>IF(Intereses_Leasing_Mensual!Q113&gt;0, ROUND($I113-Intereses_Leasing_Mensual!Q113, 2), "")</f>
        <v/>
      </c>
      <c r="S113" s="23">
        <f>IF(Intereses_Leasing_Mensual!R113&gt;0, ROUND($I113-Intereses_Leasing_Mensual!R113, 2), "")</f>
        <v/>
      </c>
      <c r="T113" s="23">
        <f>IF(Intereses_Leasing_Mensual!S113&gt;0, ROUND($I113-Intereses_Leasing_Mensual!S113, 2), "")</f>
        <v/>
      </c>
      <c r="U113" s="23">
        <f>IF(Intereses_Leasing_Mensual!T113&gt;0, ROUND($I113-Intereses_Leasing_Mensual!T113, 2), "")</f>
        <v/>
      </c>
      <c r="V113" s="23">
        <f>SUM(J113:U113)</f>
        <v/>
      </c>
    </row>
    <row r="114">
      <c r="A114" s="26" t="inlineStr">
        <is>
          <t>0649-0003</t>
        </is>
      </c>
      <c r="B114" s="27" t="inlineStr">
        <is>
          <t>Compusoluciones Y Asociados Sa de Cv</t>
        </is>
      </c>
      <c r="C114" s="27" t="inlineStr">
        <is>
          <t>Highlander XLE</t>
        </is>
      </c>
      <c r="D114" s="26" t="inlineStr">
        <is>
          <t>ACTIVO</t>
        </is>
      </c>
      <c r="E114" s="26" t="inlineStr">
        <is>
          <t>2024-03-13</t>
        </is>
      </c>
      <c r="F114" s="26" t="inlineStr">
        <is>
          <t>2028-03-13</t>
        </is>
      </c>
      <c r="G114" s="28" t="n">
        <v>48</v>
      </c>
      <c r="H114" s="29" t="n">
        <v>565672.42</v>
      </c>
      <c r="I114" s="29" t="n">
        <v>14982.83</v>
      </c>
      <c r="J114" s="29">
        <f>IF(Intereses_Leasing_Mensual!I114&gt;0, ROUND($I114-Intereses_Leasing_Mensual!I114, 2), "")</f>
        <v/>
      </c>
      <c r="K114" s="29">
        <f>IF(Intereses_Leasing_Mensual!J114&gt;0, ROUND($I114-Intereses_Leasing_Mensual!J114, 2), "")</f>
        <v/>
      </c>
      <c r="L114" s="29">
        <f>IF(Intereses_Leasing_Mensual!K114&gt;0, ROUND($I114-Intereses_Leasing_Mensual!K114, 2), "")</f>
        <v/>
      </c>
      <c r="M114" s="29">
        <f>IF(Intereses_Leasing_Mensual!L114&gt;0, ROUND($I114-Intereses_Leasing_Mensual!L114, 2), "")</f>
        <v/>
      </c>
      <c r="N114" s="29">
        <f>IF(Intereses_Leasing_Mensual!M114&gt;0, ROUND($I114-Intereses_Leasing_Mensual!M114, 2), "")</f>
        <v/>
      </c>
      <c r="O114" s="29">
        <f>IF(Intereses_Leasing_Mensual!N114&gt;0, ROUND($I114-Intereses_Leasing_Mensual!N114, 2), "")</f>
        <v/>
      </c>
      <c r="P114" s="29">
        <f>IF(Intereses_Leasing_Mensual!O114&gt;0, ROUND($I114-Intereses_Leasing_Mensual!O114, 2), "")</f>
        <v/>
      </c>
      <c r="Q114" s="29">
        <f>IF(Intereses_Leasing_Mensual!P114&gt;0, ROUND($I114-Intereses_Leasing_Mensual!P114, 2), "")</f>
        <v/>
      </c>
      <c r="R114" s="29">
        <f>IF(Intereses_Leasing_Mensual!Q114&gt;0, ROUND($I114-Intereses_Leasing_Mensual!Q114, 2), "")</f>
        <v/>
      </c>
      <c r="S114" s="29">
        <f>IF(Intereses_Leasing_Mensual!R114&gt;0, ROUND($I114-Intereses_Leasing_Mensual!R114, 2), "")</f>
        <v/>
      </c>
      <c r="T114" s="29">
        <f>IF(Intereses_Leasing_Mensual!S114&gt;0, ROUND($I114-Intereses_Leasing_Mensual!S114, 2), "")</f>
        <v/>
      </c>
      <c r="U114" s="29">
        <f>IF(Intereses_Leasing_Mensual!T114&gt;0, ROUND($I114-Intereses_Leasing_Mensual!T114, 2), "")</f>
        <v/>
      </c>
      <c r="V114" s="29">
        <f>SUM(J114:U114)</f>
        <v/>
      </c>
    </row>
    <row r="115">
      <c r="A115" s="20" t="inlineStr">
        <is>
          <t>0649-0005</t>
        </is>
      </c>
      <c r="B115" s="21" t="inlineStr">
        <is>
          <t>Compusoluciones y Asociados Sa de Cv</t>
        </is>
      </c>
      <c r="C115" s="21" t="inlineStr">
        <is>
          <t>3 i Touring</t>
        </is>
      </c>
      <c r="D115" s="20" t="inlineStr">
        <is>
          <t>ACTIVO</t>
        </is>
      </c>
      <c r="E115" s="20" t="inlineStr">
        <is>
          <t>2024-07-24</t>
        </is>
      </c>
      <c r="F115" s="20" t="inlineStr">
        <is>
          <t>2028-07-24</t>
        </is>
      </c>
      <c r="G115" s="22" t="n">
        <v>48</v>
      </c>
      <c r="H115" s="23" t="n">
        <v>250978.45</v>
      </c>
      <c r="I115" s="23" t="n">
        <v>7789.81</v>
      </c>
      <c r="J115" s="23">
        <f>IF(Intereses_Leasing_Mensual!I115&gt;0, ROUND($I115-Intereses_Leasing_Mensual!I115, 2), "")</f>
        <v/>
      </c>
      <c r="K115" s="23">
        <f>IF(Intereses_Leasing_Mensual!J115&gt;0, ROUND($I115-Intereses_Leasing_Mensual!J115, 2), "")</f>
        <v/>
      </c>
      <c r="L115" s="23">
        <f>IF(Intereses_Leasing_Mensual!K115&gt;0, ROUND($I115-Intereses_Leasing_Mensual!K115, 2), "")</f>
        <v/>
      </c>
      <c r="M115" s="23">
        <f>IF(Intereses_Leasing_Mensual!L115&gt;0, ROUND($I115-Intereses_Leasing_Mensual!L115, 2), "")</f>
        <v/>
      </c>
      <c r="N115" s="23">
        <f>IF(Intereses_Leasing_Mensual!M115&gt;0, ROUND($I115-Intereses_Leasing_Mensual!M115, 2), "")</f>
        <v/>
      </c>
      <c r="O115" s="23">
        <f>IF(Intereses_Leasing_Mensual!N115&gt;0, ROUND($I115-Intereses_Leasing_Mensual!N115, 2), "")</f>
        <v/>
      </c>
      <c r="P115" s="23">
        <f>IF(Intereses_Leasing_Mensual!O115&gt;0, ROUND($I115-Intereses_Leasing_Mensual!O115, 2), "")</f>
        <v/>
      </c>
      <c r="Q115" s="23">
        <f>IF(Intereses_Leasing_Mensual!P115&gt;0, ROUND($I115-Intereses_Leasing_Mensual!P115, 2), "")</f>
        <v/>
      </c>
      <c r="R115" s="23">
        <f>IF(Intereses_Leasing_Mensual!Q115&gt;0, ROUND($I115-Intereses_Leasing_Mensual!Q115, 2), "")</f>
        <v/>
      </c>
      <c r="S115" s="23">
        <f>IF(Intereses_Leasing_Mensual!R115&gt;0, ROUND($I115-Intereses_Leasing_Mensual!R115, 2), "")</f>
        <v/>
      </c>
      <c r="T115" s="23">
        <f>IF(Intereses_Leasing_Mensual!S115&gt;0, ROUND($I115-Intereses_Leasing_Mensual!S115, 2), "")</f>
        <v/>
      </c>
      <c r="U115" s="23">
        <f>IF(Intereses_Leasing_Mensual!T115&gt;0, ROUND($I115-Intereses_Leasing_Mensual!T115, 2), "")</f>
        <v/>
      </c>
      <c r="V115" s="23">
        <f>SUM(J115:U115)</f>
        <v/>
      </c>
    </row>
    <row r="116">
      <c r="A116" s="26" t="inlineStr">
        <is>
          <t>0649-0006</t>
        </is>
      </c>
      <c r="B116" s="27" t="inlineStr">
        <is>
          <t>Compusoluciones y Asociados sa de Cv</t>
        </is>
      </c>
      <c r="C116" s="27" t="inlineStr">
        <is>
          <t>Mazda Cx5</t>
        </is>
      </c>
      <c r="D116" s="26" t="inlineStr">
        <is>
          <t>ACTIVO</t>
        </is>
      </c>
      <c r="E116" s="26" t="inlineStr">
        <is>
          <t>2024-09-25</t>
        </is>
      </c>
      <c r="F116" s="26" t="inlineStr">
        <is>
          <t>2028-09-25</t>
        </is>
      </c>
      <c r="G116" s="28" t="n">
        <v>48</v>
      </c>
      <c r="H116" s="29" t="n">
        <v>367439.65</v>
      </c>
      <c r="I116" s="29" t="n">
        <v>11579.84</v>
      </c>
      <c r="J116" s="29">
        <f>IF(Intereses_Leasing_Mensual!I116&gt;0, ROUND($I116-Intereses_Leasing_Mensual!I116, 2), "")</f>
        <v/>
      </c>
      <c r="K116" s="29">
        <f>IF(Intereses_Leasing_Mensual!J116&gt;0, ROUND($I116-Intereses_Leasing_Mensual!J116, 2), "")</f>
        <v/>
      </c>
      <c r="L116" s="29">
        <f>IF(Intereses_Leasing_Mensual!K116&gt;0, ROUND($I116-Intereses_Leasing_Mensual!K116, 2), "")</f>
        <v/>
      </c>
      <c r="M116" s="29">
        <f>IF(Intereses_Leasing_Mensual!L116&gt;0, ROUND($I116-Intereses_Leasing_Mensual!L116, 2), "")</f>
        <v/>
      </c>
      <c r="N116" s="29">
        <f>IF(Intereses_Leasing_Mensual!M116&gt;0, ROUND($I116-Intereses_Leasing_Mensual!M116, 2), "")</f>
        <v/>
      </c>
      <c r="O116" s="29">
        <f>IF(Intereses_Leasing_Mensual!N116&gt;0, ROUND($I116-Intereses_Leasing_Mensual!N116, 2), "")</f>
        <v/>
      </c>
      <c r="P116" s="29">
        <f>IF(Intereses_Leasing_Mensual!O116&gt;0, ROUND($I116-Intereses_Leasing_Mensual!O116, 2), "")</f>
        <v/>
      </c>
      <c r="Q116" s="29">
        <f>IF(Intereses_Leasing_Mensual!P116&gt;0, ROUND($I116-Intereses_Leasing_Mensual!P116, 2), "")</f>
        <v/>
      </c>
      <c r="R116" s="29">
        <f>IF(Intereses_Leasing_Mensual!Q116&gt;0, ROUND($I116-Intereses_Leasing_Mensual!Q116, 2), "")</f>
        <v/>
      </c>
      <c r="S116" s="29">
        <f>IF(Intereses_Leasing_Mensual!R116&gt;0, ROUND($I116-Intereses_Leasing_Mensual!R116, 2), "")</f>
        <v/>
      </c>
      <c r="T116" s="29">
        <f>IF(Intereses_Leasing_Mensual!S116&gt;0, ROUND($I116-Intereses_Leasing_Mensual!S116, 2), "")</f>
        <v/>
      </c>
      <c r="U116" s="29">
        <f>IF(Intereses_Leasing_Mensual!T116&gt;0, ROUND($I116-Intereses_Leasing_Mensual!T116, 2), "")</f>
        <v/>
      </c>
      <c r="V116" s="29">
        <f>SUM(J116:U116)</f>
        <v/>
      </c>
    </row>
    <row r="117">
      <c r="A117" s="20" t="inlineStr">
        <is>
          <t>0649-0007</t>
        </is>
      </c>
      <c r="B117" s="21" t="inlineStr">
        <is>
          <t>Compusoluciones y Asociados sa de Cv</t>
        </is>
      </c>
      <c r="C117" s="21" t="inlineStr">
        <is>
          <t>RX5</t>
        </is>
      </c>
      <c r="D117" s="20" t="inlineStr">
        <is>
          <t>ACTIVO</t>
        </is>
      </c>
      <c r="E117" s="20" t="inlineStr">
        <is>
          <t>2024-10-28</t>
        </is>
      </c>
      <c r="F117" s="20" t="inlineStr">
        <is>
          <t>2027-10-28</t>
        </is>
      </c>
      <c r="G117" s="22" t="n">
        <v>36</v>
      </c>
      <c r="H117" s="23" t="n">
        <v>254900.86</v>
      </c>
      <c r="I117" s="23" t="n">
        <v>7911.55</v>
      </c>
      <c r="J117" s="23">
        <f>IF(Intereses_Leasing_Mensual!I117&gt;0, ROUND($I117-Intereses_Leasing_Mensual!I117, 2), "")</f>
        <v/>
      </c>
      <c r="K117" s="23">
        <f>IF(Intereses_Leasing_Mensual!J117&gt;0, ROUND($I117-Intereses_Leasing_Mensual!J117, 2), "")</f>
        <v/>
      </c>
      <c r="L117" s="23">
        <f>IF(Intereses_Leasing_Mensual!K117&gt;0, ROUND($I117-Intereses_Leasing_Mensual!K117, 2), "")</f>
        <v/>
      </c>
      <c r="M117" s="23">
        <f>IF(Intereses_Leasing_Mensual!L117&gt;0, ROUND($I117-Intereses_Leasing_Mensual!L117, 2), "")</f>
        <v/>
      </c>
      <c r="N117" s="23">
        <f>IF(Intereses_Leasing_Mensual!M117&gt;0, ROUND($I117-Intereses_Leasing_Mensual!M117, 2), "")</f>
        <v/>
      </c>
      <c r="O117" s="23">
        <f>IF(Intereses_Leasing_Mensual!N117&gt;0, ROUND($I117-Intereses_Leasing_Mensual!N117, 2), "")</f>
        <v/>
      </c>
      <c r="P117" s="23">
        <f>IF(Intereses_Leasing_Mensual!O117&gt;0, ROUND($I117-Intereses_Leasing_Mensual!O117, 2), "")</f>
        <v/>
      </c>
      <c r="Q117" s="23">
        <f>IF(Intereses_Leasing_Mensual!P117&gt;0, ROUND($I117-Intereses_Leasing_Mensual!P117, 2), "")</f>
        <v/>
      </c>
      <c r="R117" s="23">
        <f>IF(Intereses_Leasing_Mensual!Q117&gt;0, ROUND($I117-Intereses_Leasing_Mensual!Q117, 2), "")</f>
        <v/>
      </c>
      <c r="S117" s="23">
        <f>IF(Intereses_Leasing_Mensual!R117&gt;0, ROUND($I117-Intereses_Leasing_Mensual!R117, 2), "")</f>
        <v/>
      </c>
      <c r="T117" s="23">
        <f>IF(Intereses_Leasing_Mensual!S117&gt;0, ROUND($I117-Intereses_Leasing_Mensual!S117, 2), "")</f>
        <v/>
      </c>
      <c r="U117" s="23">
        <f>IF(Intereses_Leasing_Mensual!T117&gt;0, ROUND($I117-Intereses_Leasing_Mensual!T117, 2), "")</f>
        <v/>
      </c>
      <c r="V117" s="23">
        <f>SUM(J117:U117)</f>
        <v/>
      </c>
    </row>
    <row r="118">
      <c r="A118" s="26" t="inlineStr">
        <is>
          <t>0649-0008</t>
        </is>
      </c>
      <c r="B118" s="27" t="inlineStr">
        <is>
          <t>Compusoluciones y Asociados Sa de Cv</t>
        </is>
      </c>
      <c r="C118" s="27" t="inlineStr">
        <is>
          <t>Kicks</t>
        </is>
      </c>
      <c r="D118" s="26" t="inlineStr">
        <is>
          <t>ACTIVO</t>
        </is>
      </c>
      <c r="E118" s="26" t="inlineStr">
        <is>
          <t>2024-11-27</t>
        </is>
      </c>
      <c r="F118" s="26" t="inlineStr">
        <is>
          <t>2028-11-27</t>
        </is>
      </c>
      <c r="G118" s="28" t="n">
        <v>48</v>
      </c>
      <c r="H118" s="29" t="n">
        <v>354081.9</v>
      </c>
      <c r="I118" s="29" t="n">
        <v>10989.91</v>
      </c>
      <c r="J118" s="29">
        <f>IF(Intereses_Leasing_Mensual!I118&gt;0, ROUND($I118-Intereses_Leasing_Mensual!I118, 2), "")</f>
        <v/>
      </c>
      <c r="K118" s="29">
        <f>IF(Intereses_Leasing_Mensual!J118&gt;0, ROUND($I118-Intereses_Leasing_Mensual!J118, 2), "")</f>
        <v/>
      </c>
      <c r="L118" s="29">
        <f>IF(Intereses_Leasing_Mensual!K118&gt;0, ROUND($I118-Intereses_Leasing_Mensual!K118, 2), "")</f>
        <v/>
      </c>
      <c r="M118" s="29">
        <f>IF(Intereses_Leasing_Mensual!L118&gt;0, ROUND($I118-Intereses_Leasing_Mensual!L118, 2), "")</f>
        <v/>
      </c>
      <c r="N118" s="29">
        <f>IF(Intereses_Leasing_Mensual!M118&gt;0, ROUND($I118-Intereses_Leasing_Mensual!M118, 2), "")</f>
        <v/>
      </c>
      <c r="O118" s="29">
        <f>IF(Intereses_Leasing_Mensual!N118&gt;0, ROUND($I118-Intereses_Leasing_Mensual!N118, 2), "")</f>
        <v/>
      </c>
      <c r="P118" s="29">
        <f>IF(Intereses_Leasing_Mensual!O118&gt;0, ROUND($I118-Intereses_Leasing_Mensual!O118, 2), "")</f>
        <v/>
      </c>
      <c r="Q118" s="29">
        <f>IF(Intereses_Leasing_Mensual!P118&gt;0, ROUND($I118-Intereses_Leasing_Mensual!P118, 2), "")</f>
        <v/>
      </c>
      <c r="R118" s="29">
        <f>IF(Intereses_Leasing_Mensual!Q118&gt;0, ROUND($I118-Intereses_Leasing_Mensual!Q118, 2), "")</f>
        <v/>
      </c>
      <c r="S118" s="29">
        <f>IF(Intereses_Leasing_Mensual!R118&gt;0, ROUND($I118-Intereses_Leasing_Mensual!R118, 2), "")</f>
        <v/>
      </c>
      <c r="T118" s="29">
        <f>IF(Intereses_Leasing_Mensual!S118&gt;0, ROUND($I118-Intereses_Leasing_Mensual!S118, 2), "")</f>
        <v/>
      </c>
      <c r="U118" s="29">
        <f>IF(Intereses_Leasing_Mensual!T118&gt;0, ROUND($I118-Intereses_Leasing_Mensual!T118, 2), "")</f>
        <v/>
      </c>
      <c r="V118" s="29">
        <f>SUM(J118:U118)</f>
        <v/>
      </c>
    </row>
    <row r="119">
      <c r="A119" s="20" t="inlineStr">
        <is>
          <t>0649-0009</t>
        </is>
      </c>
      <c r="B119" s="21" t="inlineStr">
        <is>
          <t>Compusoluciones y Asociados Sa de Cv</t>
        </is>
      </c>
      <c r="C119" s="21" t="inlineStr">
        <is>
          <t>Fronx Boostergreen</t>
        </is>
      </c>
      <c r="D119" s="20" t="inlineStr">
        <is>
          <t>ACTIVO</t>
        </is>
      </c>
      <c r="E119" s="20" t="inlineStr">
        <is>
          <t>2025-05-26</t>
        </is>
      </c>
      <c r="F119" s="20" t="inlineStr">
        <is>
          <t>2029-05-26</t>
        </is>
      </c>
      <c r="G119" s="22" t="n">
        <v>48</v>
      </c>
      <c r="H119" s="23" t="n">
        <v>252149.57</v>
      </c>
      <c r="I119" s="23" t="n">
        <v>7826.16</v>
      </c>
      <c r="J119" s="23">
        <f>IF(Intereses_Leasing_Mensual!I119&gt;0, ROUND($I119-Intereses_Leasing_Mensual!I119, 2), "")</f>
        <v/>
      </c>
      <c r="K119" s="23">
        <f>IF(Intereses_Leasing_Mensual!J119&gt;0, ROUND($I119-Intereses_Leasing_Mensual!J119, 2), "")</f>
        <v/>
      </c>
      <c r="L119" s="23">
        <f>IF(Intereses_Leasing_Mensual!K119&gt;0, ROUND($I119-Intereses_Leasing_Mensual!K119, 2), "")</f>
        <v/>
      </c>
      <c r="M119" s="23">
        <f>IF(Intereses_Leasing_Mensual!L119&gt;0, ROUND($I119-Intereses_Leasing_Mensual!L119, 2), "")</f>
        <v/>
      </c>
      <c r="N119" s="23">
        <f>IF(Intereses_Leasing_Mensual!M119&gt;0, ROUND($I119-Intereses_Leasing_Mensual!M119, 2), "")</f>
        <v/>
      </c>
      <c r="O119" s="23">
        <f>IF(Intereses_Leasing_Mensual!N119&gt;0, ROUND($I119-Intereses_Leasing_Mensual!N119, 2), "")</f>
        <v/>
      </c>
      <c r="P119" s="23">
        <f>IF(Intereses_Leasing_Mensual!O119&gt;0, ROUND($I119-Intereses_Leasing_Mensual!O119, 2), "")</f>
        <v/>
      </c>
      <c r="Q119" s="23">
        <f>IF(Intereses_Leasing_Mensual!P119&gt;0, ROUND($I119-Intereses_Leasing_Mensual!P119, 2), "")</f>
        <v/>
      </c>
      <c r="R119" s="23">
        <f>IF(Intereses_Leasing_Mensual!Q119&gt;0, ROUND($I119-Intereses_Leasing_Mensual!Q119, 2), "")</f>
        <v/>
      </c>
      <c r="S119" s="23">
        <f>IF(Intereses_Leasing_Mensual!R119&gt;0, ROUND($I119-Intereses_Leasing_Mensual!R119, 2), "")</f>
        <v/>
      </c>
      <c r="T119" s="23">
        <f>IF(Intereses_Leasing_Mensual!S119&gt;0, ROUND($I119-Intereses_Leasing_Mensual!S119, 2), "")</f>
        <v/>
      </c>
      <c r="U119" s="23">
        <f>IF(Intereses_Leasing_Mensual!T119&gt;0, ROUND($I119-Intereses_Leasing_Mensual!T119, 2), "")</f>
        <v/>
      </c>
      <c r="V119" s="23">
        <f>SUM(J119:U119)</f>
        <v/>
      </c>
    </row>
    <row r="120">
      <c r="A120" s="26" t="inlineStr">
        <is>
          <t>0649-0010</t>
        </is>
      </c>
      <c r="B120" s="27" t="inlineStr">
        <is>
          <t>Compusoluciones y Asociados Sa de Cv</t>
        </is>
      </c>
      <c r="C120" s="27" t="inlineStr">
        <is>
          <t>Mazda CX90</t>
        </is>
      </c>
      <c r="D120" s="26" t="inlineStr">
        <is>
          <t>ACTIVO</t>
        </is>
      </c>
      <c r="E120" s="26" t="inlineStr">
        <is>
          <t>2025-09-30</t>
        </is>
      </c>
      <c r="F120" s="26" t="inlineStr">
        <is>
          <t>2029-09-30</t>
        </is>
      </c>
      <c r="G120" s="28" t="n">
        <v>48</v>
      </c>
      <c r="H120" s="29" t="n">
        <v>550202.59</v>
      </c>
      <c r="I120" s="29" t="n">
        <v>15579.9</v>
      </c>
      <c r="J120" s="29">
        <f>IF(Intereses_Leasing_Mensual!I120&gt;0, ROUND($I120-Intereses_Leasing_Mensual!I120, 2), "")</f>
        <v/>
      </c>
      <c r="K120" s="29">
        <f>IF(Intereses_Leasing_Mensual!J120&gt;0, ROUND($I120-Intereses_Leasing_Mensual!J120, 2), "")</f>
        <v/>
      </c>
      <c r="L120" s="29">
        <f>IF(Intereses_Leasing_Mensual!K120&gt;0, ROUND($I120-Intereses_Leasing_Mensual!K120, 2), "")</f>
        <v/>
      </c>
      <c r="M120" s="29">
        <f>IF(Intereses_Leasing_Mensual!L120&gt;0, ROUND($I120-Intereses_Leasing_Mensual!L120, 2), "")</f>
        <v/>
      </c>
      <c r="N120" s="29">
        <f>IF(Intereses_Leasing_Mensual!M120&gt;0, ROUND($I120-Intereses_Leasing_Mensual!M120, 2), "")</f>
        <v/>
      </c>
      <c r="O120" s="29">
        <f>IF(Intereses_Leasing_Mensual!N120&gt;0, ROUND($I120-Intereses_Leasing_Mensual!N120, 2), "")</f>
        <v/>
      </c>
      <c r="P120" s="29">
        <f>IF(Intereses_Leasing_Mensual!O120&gt;0, ROUND($I120-Intereses_Leasing_Mensual!O120, 2), "")</f>
        <v/>
      </c>
      <c r="Q120" s="29">
        <f>IF(Intereses_Leasing_Mensual!P120&gt;0, ROUND($I120-Intereses_Leasing_Mensual!P120, 2), "")</f>
        <v/>
      </c>
      <c r="R120" s="29">
        <f>IF(Intereses_Leasing_Mensual!Q120&gt;0, ROUND($I120-Intereses_Leasing_Mensual!Q120, 2), "")</f>
        <v/>
      </c>
      <c r="S120" s="29">
        <f>IF(Intereses_Leasing_Mensual!R120&gt;0, ROUND($I120-Intereses_Leasing_Mensual!R120, 2), "")</f>
        <v/>
      </c>
      <c r="T120" s="29">
        <f>IF(Intereses_Leasing_Mensual!S120&gt;0, ROUND($I120-Intereses_Leasing_Mensual!S120, 2), "")</f>
        <v/>
      </c>
      <c r="U120" s="29">
        <f>IF(Intereses_Leasing_Mensual!T120&gt;0, ROUND($I120-Intereses_Leasing_Mensual!T120, 2), "")</f>
        <v/>
      </c>
      <c r="V120" s="29">
        <f>SUM(J120:U120)</f>
        <v/>
      </c>
    </row>
    <row r="121">
      <c r="A121" s="20" t="inlineStr">
        <is>
          <t>0649-0011</t>
        </is>
      </c>
      <c r="B121" s="21" t="inlineStr">
        <is>
          <t>Compusoluciones y Asociados Sa de Cv</t>
        </is>
      </c>
      <c r="C121" s="21" t="inlineStr">
        <is>
          <t>EX40</t>
        </is>
      </c>
      <c r="D121" s="20" t="inlineStr">
        <is>
          <t>ACTIVO</t>
        </is>
      </c>
      <c r="E121" s="20" t="inlineStr">
        <is>
          <t>2025-10-23</t>
        </is>
      </c>
      <c r="F121" s="20" t="inlineStr">
        <is>
          <t>2029-10-23</t>
        </is>
      </c>
      <c r="G121" s="22" t="n">
        <v>48</v>
      </c>
      <c r="H121" s="23" t="n">
        <v>504310.35</v>
      </c>
      <c r="I121" s="23" t="n">
        <v>14037.34</v>
      </c>
      <c r="J121" s="23">
        <f>IF(Intereses_Leasing_Mensual!I121&gt;0, ROUND($I121-Intereses_Leasing_Mensual!I121, 2), "")</f>
        <v/>
      </c>
      <c r="K121" s="23">
        <f>IF(Intereses_Leasing_Mensual!J121&gt;0, ROUND($I121-Intereses_Leasing_Mensual!J121, 2), "")</f>
        <v/>
      </c>
      <c r="L121" s="23">
        <f>IF(Intereses_Leasing_Mensual!K121&gt;0, ROUND($I121-Intereses_Leasing_Mensual!K121, 2), "")</f>
        <v/>
      </c>
      <c r="M121" s="23">
        <f>IF(Intereses_Leasing_Mensual!L121&gt;0, ROUND($I121-Intereses_Leasing_Mensual!L121, 2), "")</f>
        <v/>
      </c>
      <c r="N121" s="23">
        <f>IF(Intereses_Leasing_Mensual!M121&gt;0, ROUND($I121-Intereses_Leasing_Mensual!M121, 2), "")</f>
        <v/>
      </c>
      <c r="O121" s="23">
        <f>IF(Intereses_Leasing_Mensual!N121&gt;0, ROUND($I121-Intereses_Leasing_Mensual!N121, 2), "")</f>
        <v/>
      </c>
      <c r="P121" s="23">
        <f>IF(Intereses_Leasing_Mensual!O121&gt;0, ROUND($I121-Intereses_Leasing_Mensual!O121, 2), "")</f>
        <v/>
      </c>
      <c r="Q121" s="23">
        <f>IF(Intereses_Leasing_Mensual!P121&gt;0, ROUND($I121-Intereses_Leasing_Mensual!P121, 2), "")</f>
        <v/>
      </c>
      <c r="R121" s="23">
        <f>IF(Intereses_Leasing_Mensual!Q121&gt;0, ROUND($I121-Intereses_Leasing_Mensual!Q121, 2), "")</f>
        <v/>
      </c>
      <c r="S121" s="23">
        <f>IF(Intereses_Leasing_Mensual!R121&gt;0, ROUND($I121-Intereses_Leasing_Mensual!R121, 2), "")</f>
        <v/>
      </c>
      <c r="T121" s="23">
        <f>IF(Intereses_Leasing_Mensual!S121&gt;0, ROUND($I121-Intereses_Leasing_Mensual!S121, 2), "")</f>
        <v/>
      </c>
      <c r="U121" s="23">
        <f>IF(Intereses_Leasing_Mensual!T121&gt;0, ROUND($I121-Intereses_Leasing_Mensual!T121, 2), "")</f>
        <v/>
      </c>
      <c r="V121" s="23">
        <f>SUM(J121:U121)</f>
        <v/>
      </c>
    </row>
    <row r="122">
      <c r="A122" s="26" t="inlineStr">
        <is>
          <t>0649-0012</t>
        </is>
      </c>
      <c r="B122" s="27" t="inlineStr">
        <is>
          <t>Compusoluciones y Asociados Sa de Cv</t>
        </is>
      </c>
      <c r="C122" s="27" t="inlineStr">
        <is>
          <t>Sportage</t>
        </is>
      </c>
      <c r="D122" s="26" t="inlineStr">
        <is>
          <t>ACTIVO</t>
        </is>
      </c>
      <c r="E122" s="26" t="inlineStr">
        <is>
          <t>2025-12-01</t>
        </is>
      </c>
      <c r="F122" s="26" t="inlineStr">
        <is>
          <t>2029-12-01</t>
        </is>
      </c>
      <c r="G122" s="28" t="n">
        <v>48</v>
      </c>
      <c r="H122" s="29" t="n">
        <v>385461.21</v>
      </c>
      <c r="I122" s="29" t="n">
        <v>10729.22</v>
      </c>
      <c r="J122" s="29">
        <f>IF(Intereses_Leasing_Mensual!I122&gt;0, ROUND($I122-Intereses_Leasing_Mensual!I122, 2), "")</f>
        <v/>
      </c>
      <c r="K122" s="29">
        <f>IF(Intereses_Leasing_Mensual!J122&gt;0, ROUND($I122-Intereses_Leasing_Mensual!J122, 2), "")</f>
        <v/>
      </c>
      <c r="L122" s="29">
        <f>IF(Intereses_Leasing_Mensual!K122&gt;0, ROUND($I122-Intereses_Leasing_Mensual!K122, 2), "")</f>
        <v/>
      </c>
      <c r="M122" s="29">
        <f>IF(Intereses_Leasing_Mensual!L122&gt;0, ROUND($I122-Intereses_Leasing_Mensual!L122, 2), "")</f>
        <v/>
      </c>
      <c r="N122" s="29">
        <f>IF(Intereses_Leasing_Mensual!M122&gt;0, ROUND($I122-Intereses_Leasing_Mensual!M122, 2), "")</f>
        <v/>
      </c>
      <c r="O122" s="29">
        <f>IF(Intereses_Leasing_Mensual!N122&gt;0, ROUND($I122-Intereses_Leasing_Mensual!N122, 2), "")</f>
        <v/>
      </c>
      <c r="P122" s="29">
        <f>IF(Intereses_Leasing_Mensual!O122&gt;0, ROUND($I122-Intereses_Leasing_Mensual!O122, 2), "")</f>
        <v/>
      </c>
      <c r="Q122" s="29">
        <f>IF(Intereses_Leasing_Mensual!P122&gt;0, ROUND($I122-Intereses_Leasing_Mensual!P122, 2), "")</f>
        <v/>
      </c>
      <c r="R122" s="29">
        <f>IF(Intereses_Leasing_Mensual!Q122&gt;0, ROUND($I122-Intereses_Leasing_Mensual!Q122, 2), "")</f>
        <v/>
      </c>
      <c r="S122" s="29">
        <f>IF(Intereses_Leasing_Mensual!R122&gt;0, ROUND($I122-Intereses_Leasing_Mensual!R122, 2), "")</f>
        <v/>
      </c>
      <c r="T122" s="29">
        <f>IF(Intereses_Leasing_Mensual!S122&gt;0, ROUND($I122-Intereses_Leasing_Mensual!S122, 2), "")</f>
        <v/>
      </c>
      <c r="U122" s="29">
        <f>IF(Intereses_Leasing_Mensual!T122&gt;0, ROUND($I122-Intereses_Leasing_Mensual!T122, 2), "")</f>
        <v/>
      </c>
      <c r="V122" s="29">
        <f>SUM(J122:U122)</f>
        <v/>
      </c>
    </row>
    <row r="123">
      <c r="A123" s="20" t="inlineStr">
        <is>
          <t>0649-0013</t>
        </is>
      </c>
      <c r="B123" s="21" t="inlineStr">
        <is>
          <t>Compusoluciones y Asociados Sa de Cv</t>
        </is>
      </c>
      <c r="C123" s="21" t="inlineStr">
        <is>
          <t>Mazda Mazda 3 Hatch Back 2026</t>
        </is>
      </c>
      <c r="D123" s="20" t="inlineStr">
        <is>
          <t>ACTIVO</t>
        </is>
      </c>
      <c r="E123" s="20" t="inlineStr">
        <is>
          <t>2026-07-22</t>
        </is>
      </c>
      <c r="F123" s="20" t="inlineStr">
        <is>
          <t>2030-07-22</t>
        </is>
      </c>
      <c r="G123" s="22" t="n">
        <v>48</v>
      </c>
      <c r="H123" s="23" t="n">
        <v>307573.28</v>
      </c>
      <c r="I123" s="23" t="n">
        <v>8561.219999999999</v>
      </c>
      <c r="J123" s="23" t="inlineStr"/>
      <c r="K123" s="23" t="inlineStr"/>
      <c r="L123" s="23" t="inlineStr"/>
      <c r="M123" s="23" t="inlineStr"/>
      <c r="N123" s="23" t="inlineStr"/>
      <c r="O123" s="23" t="inlineStr"/>
      <c r="P123" s="23">
        <f>IF(Intereses_Leasing_Mensual!O123&gt;0, ROUND($I123-Intereses_Leasing_Mensual!O123, 2), "")</f>
        <v/>
      </c>
      <c r="Q123" s="23">
        <f>IF(Intereses_Leasing_Mensual!P123&gt;0, ROUND($I123-Intereses_Leasing_Mensual!P123, 2), "")</f>
        <v/>
      </c>
      <c r="R123" s="23">
        <f>IF(Intereses_Leasing_Mensual!Q123&gt;0, ROUND($I123-Intereses_Leasing_Mensual!Q123, 2), "")</f>
        <v/>
      </c>
      <c r="S123" s="23">
        <f>IF(Intereses_Leasing_Mensual!R123&gt;0, ROUND($I123-Intereses_Leasing_Mensual!R123, 2), "")</f>
        <v/>
      </c>
      <c r="T123" s="23">
        <f>IF(Intereses_Leasing_Mensual!S123&gt;0, ROUND($I123-Intereses_Leasing_Mensual!S123, 2), "")</f>
        <v/>
      </c>
      <c r="U123" s="23">
        <f>IF(Intereses_Leasing_Mensual!T123&gt;0, ROUND($I123-Intereses_Leasing_Mensual!T123, 2), "")</f>
        <v/>
      </c>
      <c r="V123" s="23">
        <f>SUM(J123:U123)</f>
        <v/>
      </c>
    </row>
    <row r="124">
      <c r="A124" s="26" t="inlineStr">
        <is>
          <t>0649-0014</t>
        </is>
      </c>
      <c r="B124" s="27" t="inlineStr">
        <is>
          <t>Compusoluciones y Asociados Sa de Cv</t>
        </is>
      </c>
      <c r="C124" s="27" t="inlineStr">
        <is>
          <t>Subaru Forester 2026</t>
        </is>
      </c>
      <c r="D124" s="26" t="inlineStr">
        <is>
          <t>ACTIVO</t>
        </is>
      </c>
      <c r="E124" s="26" t="inlineStr">
        <is>
          <t>2026-07-28</t>
        </is>
      </c>
      <c r="F124" s="26" t="inlineStr">
        <is>
          <t>2030-07-28</t>
        </is>
      </c>
      <c r="G124" s="28" t="n">
        <v>48</v>
      </c>
      <c r="H124" s="29" t="n">
        <v>386581.9</v>
      </c>
      <c r="I124" s="29" t="n">
        <v>10760.41</v>
      </c>
      <c r="J124" s="29" t="inlineStr"/>
      <c r="K124" s="29" t="inlineStr"/>
      <c r="L124" s="29" t="inlineStr"/>
      <c r="M124" s="29" t="inlineStr"/>
      <c r="N124" s="29" t="inlineStr"/>
      <c r="O124" s="29" t="inlineStr"/>
      <c r="P124" s="29">
        <f>IF(Intereses_Leasing_Mensual!O124&gt;0, ROUND($I124-Intereses_Leasing_Mensual!O124, 2), "")</f>
        <v/>
      </c>
      <c r="Q124" s="29">
        <f>IF(Intereses_Leasing_Mensual!P124&gt;0, ROUND($I124-Intereses_Leasing_Mensual!P124, 2), "")</f>
        <v/>
      </c>
      <c r="R124" s="29">
        <f>IF(Intereses_Leasing_Mensual!Q124&gt;0, ROUND($I124-Intereses_Leasing_Mensual!Q124, 2), "")</f>
        <v/>
      </c>
      <c r="S124" s="29">
        <f>IF(Intereses_Leasing_Mensual!R124&gt;0, ROUND($I124-Intereses_Leasing_Mensual!R124, 2), "")</f>
        <v/>
      </c>
      <c r="T124" s="29">
        <f>IF(Intereses_Leasing_Mensual!S124&gt;0, ROUND($I124-Intereses_Leasing_Mensual!S124, 2), "")</f>
        <v/>
      </c>
      <c r="U124" s="29">
        <f>IF(Intereses_Leasing_Mensual!T124&gt;0, ROUND($I124-Intereses_Leasing_Mensual!T124, 2), "")</f>
        <v/>
      </c>
      <c r="V124" s="29">
        <f>SUM(J124:U124)</f>
        <v/>
      </c>
    </row>
    <row r="125">
      <c r="A125" s="20" t="inlineStr">
        <is>
          <t>0650-0002</t>
        </is>
      </c>
      <c r="B125" s="21" t="inlineStr">
        <is>
          <t>Creando Music</t>
        </is>
      </c>
      <c r="C125" s="21" t="inlineStr">
        <is>
          <t>3008</t>
        </is>
      </c>
      <c r="D125" s="20" t="inlineStr">
        <is>
          <t>ACTIVO</t>
        </is>
      </c>
      <c r="E125" s="20" t="inlineStr">
        <is>
          <t>2025-12-23</t>
        </is>
      </c>
      <c r="F125" s="20" t="inlineStr">
        <is>
          <t>2026-12-23</t>
        </is>
      </c>
      <c r="G125" s="22" t="n">
        <v>12</v>
      </c>
      <c r="H125" s="23" t="n">
        <v>566301.73</v>
      </c>
      <c r="I125" s="23" t="n">
        <v>36857.82</v>
      </c>
      <c r="J125" s="23">
        <f>IF(Intereses_Leasing_Mensual!I125&gt;0, ROUND($I125-Intereses_Leasing_Mensual!I125, 2), "")</f>
        <v/>
      </c>
      <c r="K125" s="23">
        <f>IF(Intereses_Leasing_Mensual!J125&gt;0, ROUND($I125-Intereses_Leasing_Mensual!J125, 2), "")</f>
        <v/>
      </c>
      <c r="L125" s="23">
        <f>IF(Intereses_Leasing_Mensual!K125&gt;0, ROUND($I125-Intereses_Leasing_Mensual!K125, 2), "")</f>
        <v/>
      </c>
      <c r="M125" s="23">
        <f>IF(Intereses_Leasing_Mensual!L125&gt;0, ROUND($I125-Intereses_Leasing_Mensual!L125, 2), "")</f>
        <v/>
      </c>
      <c r="N125" s="23">
        <f>IF(Intereses_Leasing_Mensual!M125&gt;0, ROUND($I125-Intereses_Leasing_Mensual!M125, 2), "")</f>
        <v/>
      </c>
      <c r="O125" s="23">
        <f>IF(Intereses_Leasing_Mensual!N125&gt;0, ROUND($I125-Intereses_Leasing_Mensual!N125, 2), "")</f>
        <v/>
      </c>
      <c r="P125" s="23">
        <f>IF(Intereses_Leasing_Mensual!O125&gt;0, ROUND($I125-Intereses_Leasing_Mensual!O125, 2), "")</f>
        <v/>
      </c>
      <c r="Q125" s="23">
        <f>IF(Intereses_Leasing_Mensual!P125&gt;0, ROUND($I125-Intereses_Leasing_Mensual!P125, 2), "")</f>
        <v/>
      </c>
      <c r="R125" s="23">
        <f>IF(Intereses_Leasing_Mensual!Q125&gt;0, ROUND($I125-Intereses_Leasing_Mensual!Q125, 2), "")</f>
        <v/>
      </c>
      <c r="S125" s="23">
        <f>IF(Intereses_Leasing_Mensual!R125&gt;0, ROUND($I125-Intereses_Leasing_Mensual!R125, 2), "")</f>
        <v/>
      </c>
      <c r="T125" s="23">
        <f>IF(Intereses_Leasing_Mensual!S125&gt;0, ROUND($I125-Intereses_Leasing_Mensual!S125, 2), "")</f>
        <v/>
      </c>
      <c r="U125" s="23" t="inlineStr"/>
      <c r="V125" s="23">
        <f>SUM(J125:U125)</f>
        <v/>
      </c>
    </row>
    <row r="126">
      <c r="A126" s="26" t="inlineStr">
        <is>
          <t>0651-0001</t>
        </is>
      </c>
      <c r="B126" s="27" t="inlineStr">
        <is>
          <t>Asme Sa de Cv</t>
        </is>
      </c>
      <c r="C126" s="27" t="inlineStr">
        <is>
          <t>Compass High Altitude</t>
        </is>
      </c>
      <c r="D126" s="26" t="inlineStr">
        <is>
          <t>ACTIVO</t>
        </is>
      </c>
      <c r="E126" s="26" t="inlineStr">
        <is>
          <t>2024-02-28</t>
        </is>
      </c>
      <c r="F126" s="26" t="inlineStr">
        <is>
          <t>2028-02-28</t>
        </is>
      </c>
      <c r="G126" s="28" t="n">
        <v>48</v>
      </c>
      <c r="H126" s="29" t="n">
        <v>452525.86</v>
      </c>
      <c r="I126" s="29" t="n">
        <v>17286.9</v>
      </c>
      <c r="J126" s="29">
        <f>IF(Intereses_Leasing_Mensual!I126&gt;0, ROUND($I126-Intereses_Leasing_Mensual!I126, 2), "")</f>
        <v/>
      </c>
      <c r="K126" s="29">
        <f>IF(Intereses_Leasing_Mensual!J126&gt;0, ROUND($I126-Intereses_Leasing_Mensual!J126, 2), "")</f>
        <v/>
      </c>
      <c r="L126" s="29">
        <f>IF(Intereses_Leasing_Mensual!K126&gt;0, ROUND($I126-Intereses_Leasing_Mensual!K126, 2), "")</f>
        <v/>
      </c>
      <c r="M126" s="29">
        <f>IF(Intereses_Leasing_Mensual!L126&gt;0, ROUND($I126-Intereses_Leasing_Mensual!L126, 2), "")</f>
        <v/>
      </c>
      <c r="N126" s="29">
        <f>IF(Intereses_Leasing_Mensual!M126&gt;0, ROUND($I126-Intereses_Leasing_Mensual!M126, 2), "")</f>
        <v/>
      </c>
      <c r="O126" s="29">
        <f>IF(Intereses_Leasing_Mensual!N126&gt;0, ROUND($I126-Intereses_Leasing_Mensual!N126, 2), "")</f>
        <v/>
      </c>
      <c r="P126" s="29">
        <f>IF(Intereses_Leasing_Mensual!O126&gt;0, ROUND($I126-Intereses_Leasing_Mensual!O126, 2), "")</f>
        <v/>
      </c>
      <c r="Q126" s="29">
        <f>IF(Intereses_Leasing_Mensual!P126&gt;0, ROUND($I126-Intereses_Leasing_Mensual!P126, 2), "")</f>
        <v/>
      </c>
      <c r="R126" s="29">
        <f>IF(Intereses_Leasing_Mensual!Q126&gt;0, ROUND($I126-Intereses_Leasing_Mensual!Q126, 2), "")</f>
        <v/>
      </c>
      <c r="S126" s="29">
        <f>IF(Intereses_Leasing_Mensual!R126&gt;0, ROUND($I126-Intereses_Leasing_Mensual!R126, 2), "")</f>
        <v/>
      </c>
      <c r="T126" s="29">
        <f>IF(Intereses_Leasing_Mensual!S126&gt;0, ROUND($I126-Intereses_Leasing_Mensual!S126, 2), "")</f>
        <v/>
      </c>
      <c r="U126" s="29">
        <f>IF(Intereses_Leasing_Mensual!T126&gt;0, ROUND($I126-Intereses_Leasing_Mensual!T126, 2), "")</f>
        <v/>
      </c>
      <c r="V126" s="29">
        <f>SUM(J126:U126)</f>
        <v/>
      </c>
    </row>
    <row r="127">
      <c r="A127" s="20" t="inlineStr">
        <is>
          <t>0654-0001</t>
        </is>
      </c>
      <c r="B127" s="21" t="inlineStr">
        <is>
          <t>Veronica Orozco Larios</t>
        </is>
      </c>
      <c r="C127" s="21" t="inlineStr">
        <is>
          <t>Ram 4000</t>
        </is>
      </c>
      <c r="D127" s="20" t="inlineStr">
        <is>
          <t>ACTIVO</t>
        </is>
      </c>
      <c r="E127" s="20" t="inlineStr">
        <is>
          <t>2024-03-20</t>
        </is>
      </c>
      <c r="F127" s="20" t="inlineStr">
        <is>
          <t>2027-03-20</t>
        </is>
      </c>
      <c r="G127" s="22" t="n">
        <v>36</v>
      </c>
      <c r="H127" s="23" t="n">
        <v>732666.62</v>
      </c>
      <c r="I127" s="23" t="n">
        <v>29375.06</v>
      </c>
      <c r="J127" s="23">
        <f>IF(Intereses_Leasing_Mensual!I127&gt;0, ROUND($I127-Intereses_Leasing_Mensual!I127, 2), "")</f>
        <v/>
      </c>
      <c r="K127" s="23">
        <f>IF(Intereses_Leasing_Mensual!J127&gt;0, ROUND($I127-Intereses_Leasing_Mensual!J127, 2), "")</f>
        <v/>
      </c>
      <c r="L127" s="23">
        <f>IF(Intereses_Leasing_Mensual!K127&gt;0, ROUND($I127-Intereses_Leasing_Mensual!K127, 2), "")</f>
        <v/>
      </c>
      <c r="M127" s="23">
        <f>IF(Intereses_Leasing_Mensual!L127&gt;0, ROUND($I127-Intereses_Leasing_Mensual!L127, 2), "")</f>
        <v/>
      </c>
      <c r="N127" s="23">
        <f>IF(Intereses_Leasing_Mensual!M127&gt;0, ROUND($I127-Intereses_Leasing_Mensual!M127, 2), "")</f>
        <v/>
      </c>
      <c r="O127" s="23">
        <f>IF(Intereses_Leasing_Mensual!N127&gt;0, ROUND($I127-Intereses_Leasing_Mensual!N127, 2), "")</f>
        <v/>
      </c>
      <c r="P127" s="23">
        <f>IF(Intereses_Leasing_Mensual!O127&gt;0, ROUND($I127-Intereses_Leasing_Mensual!O127, 2), "")</f>
        <v/>
      </c>
      <c r="Q127" s="23">
        <f>IF(Intereses_Leasing_Mensual!P127&gt;0, ROUND($I127-Intereses_Leasing_Mensual!P127, 2), "")</f>
        <v/>
      </c>
      <c r="R127" s="23">
        <f>IF(Intereses_Leasing_Mensual!Q127&gt;0, ROUND($I127-Intereses_Leasing_Mensual!Q127, 2), "")</f>
        <v/>
      </c>
      <c r="S127" s="23">
        <f>IF(Intereses_Leasing_Mensual!R127&gt;0, ROUND($I127-Intereses_Leasing_Mensual!R127, 2), "")</f>
        <v/>
      </c>
      <c r="T127" s="23">
        <f>IF(Intereses_Leasing_Mensual!S127&gt;0, ROUND($I127-Intereses_Leasing_Mensual!S127, 2), "")</f>
        <v/>
      </c>
      <c r="U127" s="23">
        <f>IF(Intereses_Leasing_Mensual!T127&gt;0, ROUND($I127-Intereses_Leasing_Mensual!T127, 2), "")</f>
        <v/>
      </c>
      <c r="V127" s="23">
        <f>SUM(J127:U127)</f>
        <v/>
      </c>
    </row>
    <row r="128">
      <c r="A128" s="26" t="inlineStr">
        <is>
          <t>0655-0001</t>
        </is>
      </c>
      <c r="B128" s="27" t="inlineStr">
        <is>
          <t>Viñedos de la Rivera Sur de Chapala S de Rl de Cv</t>
        </is>
      </c>
      <c r="C128" s="27" t="inlineStr">
        <is>
          <t>Ram 2500 HEMI</t>
        </is>
      </c>
      <c r="D128" s="26" t="inlineStr">
        <is>
          <t>ACTIVO</t>
        </is>
      </c>
      <c r="E128" s="26" t="inlineStr">
        <is>
          <t>2024-04-04</t>
        </is>
      </c>
      <c r="F128" s="26" t="inlineStr">
        <is>
          <t>2027-04-04</t>
        </is>
      </c>
      <c r="G128" s="28" t="n">
        <v>36</v>
      </c>
      <c r="H128" s="29" t="n">
        <v>589586.21</v>
      </c>
      <c r="I128" s="29" t="n">
        <v>23638.49</v>
      </c>
      <c r="J128" s="29">
        <f>IF(Intereses_Leasing_Mensual!I128&gt;0, ROUND($I128-Intereses_Leasing_Mensual!I128, 2), "")</f>
        <v/>
      </c>
      <c r="K128" s="29">
        <f>IF(Intereses_Leasing_Mensual!J128&gt;0, ROUND($I128-Intereses_Leasing_Mensual!J128, 2), "")</f>
        <v/>
      </c>
      <c r="L128" s="29">
        <f>IF(Intereses_Leasing_Mensual!K128&gt;0, ROUND($I128-Intereses_Leasing_Mensual!K128, 2), "")</f>
        <v/>
      </c>
      <c r="M128" s="29">
        <f>IF(Intereses_Leasing_Mensual!L128&gt;0, ROUND($I128-Intereses_Leasing_Mensual!L128, 2), "")</f>
        <v/>
      </c>
      <c r="N128" s="29">
        <f>IF(Intereses_Leasing_Mensual!M128&gt;0, ROUND($I128-Intereses_Leasing_Mensual!M128, 2), "")</f>
        <v/>
      </c>
      <c r="O128" s="29">
        <f>IF(Intereses_Leasing_Mensual!N128&gt;0, ROUND($I128-Intereses_Leasing_Mensual!N128, 2), "")</f>
        <v/>
      </c>
      <c r="P128" s="29">
        <f>IF(Intereses_Leasing_Mensual!O128&gt;0, ROUND($I128-Intereses_Leasing_Mensual!O128, 2), "")</f>
        <v/>
      </c>
      <c r="Q128" s="29">
        <f>IF(Intereses_Leasing_Mensual!P128&gt;0, ROUND($I128-Intereses_Leasing_Mensual!P128, 2), "")</f>
        <v/>
      </c>
      <c r="R128" s="29">
        <f>IF(Intereses_Leasing_Mensual!Q128&gt;0, ROUND($I128-Intereses_Leasing_Mensual!Q128, 2), "")</f>
        <v/>
      </c>
      <c r="S128" s="29">
        <f>IF(Intereses_Leasing_Mensual!R128&gt;0, ROUND($I128-Intereses_Leasing_Mensual!R128, 2), "")</f>
        <v/>
      </c>
      <c r="T128" s="29">
        <f>IF(Intereses_Leasing_Mensual!S128&gt;0, ROUND($I128-Intereses_Leasing_Mensual!S128, 2), "")</f>
        <v/>
      </c>
      <c r="U128" s="29">
        <f>IF(Intereses_Leasing_Mensual!T128&gt;0, ROUND($I128-Intereses_Leasing_Mensual!T128, 2), "")</f>
        <v/>
      </c>
      <c r="V128" s="29">
        <f>SUM(J128:U128)</f>
        <v/>
      </c>
    </row>
    <row r="129">
      <c r="A129" s="20" t="inlineStr">
        <is>
          <t>0658-0001</t>
        </is>
      </c>
      <c r="B129" s="21" t="inlineStr">
        <is>
          <t>Esteban Polanco Navarro</t>
        </is>
      </c>
      <c r="C129" s="21" t="inlineStr">
        <is>
          <t>RAM 1500 Long Horn</t>
        </is>
      </c>
      <c r="D129" s="20" t="inlineStr">
        <is>
          <t>ACTIVO</t>
        </is>
      </c>
      <c r="E129" s="20" t="inlineStr">
        <is>
          <t>2024-05-17</t>
        </is>
      </c>
      <c r="F129" s="20" t="inlineStr">
        <is>
          <t>2028-05-17</t>
        </is>
      </c>
      <c r="G129" s="22" t="n">
        <v>48</v>
      </c>
      <c r="H129" s="23" t="n">
        <v>1024068.97</v>
      </c>
      <c r="I129" s="23" t="n">
        <v>39439.05</v>
      </c>
      <c r="J129" s="23">
        <f>IF(Intereses_Leasing_Mensual!I129&gt;0, ROUND($I129-Intereses_Leasing_Mensual!I129, 2), "")</f>
        <v/>
      </c>
      <c r="K129" s="23">
        <f>IF(Intereses_Leasing_Mensual!J129&gt;0, ROUND($I129-Intereses_Leasing_Mensual!J129, 2), "")</f>
        <v/>
      </c>
      <c r="L129" s="23">
        <f>IF(Intereses_Leasing_Mensual!K129&gt;0, ROUND($I129-Intereses_Leasing_Mensual!K129, 2), "")</f>
        <v/>
      </c>
      <c r="M129" s="23">
        <f>IF(Intereses_Leasing_Mensual!L129&gt;0, ROUND($I129-Intereses_Leasing_Mensual!L129, 2), "")</f>
        <v/>
      </c>
      <c r="N129" s="23">
        <f>IF(Intereses_Leasing_Mensual!M129&gt;0, ROUND($I129-Intereses_Leasing_Mensual!M129, 2), "")</f>
        <v/>
      </c>
      <c r="O129" s="23">
        <f>IF(Intereses_Leasing_Mensual!N129&gt;0, ROUND($I129-Intereses_Leasing_Mensual!N129, 2), "")</f>
        <v/>
      </c>
      <c r="P129" s="23">
        <f>IF(Intereses_Leasing_Mensual!O129&gt;0, ROUND($I129-Intereses_Leasing_Mensual!O129, 2), "")</f>
        <v/>
      </c>
      <c r="Q129" s="23">
        <f>IF(Intereses_Leasing_Mensual!P129&gt;0, ROUND($I129-Intereses_Leasing_Mensual!P129, 2), "")</f>
        <v/>
      </c>
      <c r="R129" s="23">
        <f>IF(Intereses_Leasing_Mensual!Q129&gt;0, ROUND($I129-Intereses_Leasing_Mensual!Q129, 2), "")</f>
        <v/>
      </c>
      <c r="S129" s="23">
        <f>IF(Intereses_Leasing_Mensual!R129&gt;0, ROUND($I129-Intereses_Leasing_Mensual!R129, 2), "")</f>
        <v/>
      </c>
      <c r="T129" s="23">
        <f>IF(Intereses_Leasing_Mensual!S129&gt;0, ROUND($I129-Intereses_Leasing_Mensual!S129, 2), "")</f>
        <v/>
      </c>
      <c r="U129" s="23">
        <f>IF(Intereses_Leasing_Mensual!T129&gt;0, ROUND($I129-Intereses_Leasing_Mensual!T129, 2), "")</f>
        <v/>
      </c>
      <c r="V129" s="23">
        <f>SUM(J129:U129)</f>
        <v/>
      </c>
    </row>
    <row r="130">
      <c r="A130" s="26" t="inlineStr">
        <is>
          <t>0660-0001</t>
        </is>
      </c>
      <c r="B130" s="27" t="inlineStr">
        <is>
          <t>Big Buck Capital sc</t>
        </is>
      </c>
      <c r="C130" s="27" t="inlineStr">
        <is>
          <t>MG 5</t>
        </is>
      </c>
      <c r="D130" s="26" t="inlineStr">
        <is>
          <t>ACTIVO</t>
        </is>
      </c>
      <c r="E130" s="26" t="inlineStr">
        <is>
          <t>2024-05-22</t>
        </is>
      </c>
      <c r="F130" s="26" t="inlineStr">
        <is>
          <t>2028-05-22</t>
        </is>
      </c>
      <c r="G130" s="28" t="n">
        <v>48</v>
      </c>
      <c r="H130" s="29" t="n">
        <v>242767.24</v>
      </c>
      <c r="I130" s="29" t="n">
        <v>8663.889999999999</v>
      </c>
      <c r="J130" s="29">
        <f>IF(Intereses_Leasing_Mensual!I130&gt;0, ROUND($I130-Intereses_Leasing_Mensual!I130, 2), "")</f>
        <v/>
      </c>
      <c r="K130" s="29">
        <f>IF(Intereses_Leasing_Mensual!J130&gt;0, ROUND($I130-Intereses_Leasing_Mensual!J130, 2), "")</f>
        <v/>
      </c>
      <c r="L130" s="29">
        <f>IF(Intereses_Leasing_Mensual!K130&gt;0, ROUND($I130-Intereses_Leasing_Mensual!K130, 2), "")</f>
        <v/>
      </c>
      <c r="M130" s="29">
        <f>IF(Intereses_Leasing_Mensual!L130&gt;0, ROUND($I130-Intereses_Leasing_Mensual!L130, 2), "")</f>
        <v/>
      </c>
      <c r="N130" s="29">
        <f>IF(Intereses_Leasing_Mensual!M130&gt;0, ROUND($I130-Intereses_Leasing_Mensual!M130, 2), "")</f>
        <v/>
      </c>
      <c r="O130" s="29">
        <f>IF(Intereses_Leasing_Mensual!N130&gt;0, ROUND($I130-Intereses_Leasing_Mensual!N130, 2), "")</f>
        <v/>
      </c>
      <c r="P130" s="29">
        <f>IF(Intereses_Leasing_Mensual!O130&gt;0, ROUND($I130-Intereses_Leasing_Mensual!O130, 2), "")</f>
        <v/>
      </c>
      <c r="Q130" s="29">
        <f>IF(Intereses_Leasing_Mensual!P130&gt;0, ROUND($I130-Intereses_Leasing_Mensual!P130, 2), "")</f>
        <v/>
      </c>
      <c r="R130" s="29">
        <f>IF(Intereses_Leasing_Mensual!Q130&gt;0, ROUND($I130-Intereses_Leasing_Mensual!Q130, 2), "")</f>
        <v/>
      </c>
      <c r="S130" s="29">
        <f>IF(Intereses_Leasing_Mensual!R130&gt;0, ROUND($I130-Intereses_Leasing_Mensual!R130, 2), "")</f>
        <v/>
      </c>
      <c r="T130" s="29">
        <f>IF(Intereses_Leasing_Mensual!S130&gt;0, ROUND($I130-Intereses_Leasing_Mensual!S130, 2), "")</f>
        <v/>
      </c>
      <c r="U130" s="29">
        <f>IF(Intereses_Leasing_Mensual!T130&gt;0, ROUND($I130-Intereses_Leasing_Mensual!T130, 2), "")</f>
        <v/>
      </c>
      <c r="V130" s="29">
        <f>SUM(J130:U130)</f>
        <v/>
      </c>
    </row>
    <row r="131">
      <c r="A131" s="20" t="inlineStr">
        <is>
          <t>0660-0002</t>
        </is>
      </c>
      <c r="B131" s="21" t="inlineStr">
        <is>
          <t>Big Buck Capital Sc</t>
        </is>
      </c>
      <c r="C131" s="21" t="inlineStr">
        <is>
          <t>Sienna</t>
        </is>
      </c>
      <c r="D131" s="20" t="inlineStr">
        <is>
          <t>ACTIVO</t>
        </is>
      </c>
      <c r="E131" s="20" t="inlineStr">
        <is>
          <t>2025-04-09</t>
        </is>
      </c>
      <c r="F131" s="20" t="inlineStr">
        <is>
          <t>2029-04-09</t>
        </is>
      </c>
      <c r="G131" s="22" t="n">
        <v>48</v>
      </c>
      <c r="H131" s="23" t="n">
        <v>729232.76</v>
      </c>
      <c r="I131" s="23" t="n">
        <v>26395.98</v>
      </c>
      <c r="J131" s="23">
        <f>IF(Intereses_Leasing_Mensual!I131&gt;0, ROUND($I131-Intereses_Leasing_Mensual!I131, 2), "")</f>
        <v/>
      </c>
      <c r="K131" s="23">
        <f>IF(Intereses_Leasing_Mensual!J131&gt;0, ROUND($I131-Intereses_Leasing_Mensual!J131, 2), "")</f>
        <v/>
      </c>
      <c r="L131" s="23">
        <f>IF(Intereses_Leasing_Mensual!K131&gt;0, ROUND($I131-Intereses_Leasing_Mensual!K131, 2), "")</f>
        <v/>
      </c>
      <c r="M131" s="23">
        <f>IF(Intereses_Leasing_Mensual!L131&gt;0, ROUND($I131-Intereses_Leasing_Mensual!L131, 2), "")</f>
        <v/>
      </c>
      <c r="N131" s="23">
        <f>IF(Intereses_Leasing_Mensual!M131&gt;0, ROUND($I131-Intereses_Leasing_Mensual!M131, 2), "")</f>
        <v/>
      </c>
      <c r="O131" s="23">
        <f>IF(Intereses_Leasing_Mensual!N131&gt;0, ROUND($I131-Intereses_Leasing_Mensual!N131, 2), "")</f>
        <v/>
      </c>
      <c r="P131" s="23">
        <f>IF(Intereses_Leasing_Mensual!O131&gt;0, ROUND($I131-Intereses_Leasing_Mensual!O131, 2), "")</f>
        <v/>
      </c>
      <c r="Q131" s="23">
        <f>IF(Intereses_Leasing_Mensual!P131&gt;0, ROUND($I131-Intereses_Leasing_Mensual!P131, 2), "")</f>
        <v/>
      </c>
      <c r="R131" s="23">
        <f>IF(Intereses_Leasing_Mensual!Q131&gt;0, ROUND($I131-Intereses_Leasing_Mensual!Q131, 2), "")</f>
        <v/>
      </c>
      <c r="S131" s="23">
        <f>IF(Intereses_Leasing_Mensual!R131&gt;0, ROUND($I131-Intereses_Leasing_Mensual!R131, 2), "")</f>
        <v/>
      </c>
      <c r="T131" s="23">
        <f>IF(Intereses_Leasing_Mensual!S131&gt;0, ROUND($I131-Intereses_Leasing_Mensual!S131, 2), "")</f>
        <v/>
      </c>
      <c r="U131" s="23">
        <f>IF(Intereses_Leasing_Mensual!T131&gt;0, ROUND($I131-Intereses_Leasing_Mensual!T131, 2), "")</f>
        <v/>
      </c>
      <c r="V131" s="23">
        <f>SUM(J131:U131)</f>
        <v/>
      </c>
    </row>
    <row r="132">
      <c r="A132" s="26" t="inlineStr">
        <is>
          <t>0661-0001</t>
        </is>
      </c>
      <c r="B132" s="27" t="inlineStr">
        <is>
          <t>Veta Vertical Home Sa de Cv</t>
        </is>
      </c>
      <c r="C132" s="27" t="inlineStr">
        <is>
          <t>3008 Allure Pack</t>
        </is>
      </c>
      <c r="D132" s="26" t="inlineStr">
        <is>
          <t>ACTIVO</t>
        </is>
      </c>
      <c r="E132" s="26" t="inlineStr">
        <is>
          <t>2024-06-27</t>
        </is>
      </c>
      <c r="F132" s="26" t="inlineStr">
        <is>
          <t>2028-06-27</t>
        </is>
      </c>
      <c r="G132" s="28" t="n">
        <v>48</v>
      </c>
      <c r="H132" s="29" t="n">
        <v>360512.69</v>
      </c>
      <c r="I132" s="29" t="n">
        <v>13742.14</v>
      </c>
      <c r="J132" s="29">
        <f>IF(Intereses_Leasing_Mensual!I132&gt;0, ROUND($I132-Intereses_Leasing_Mensual!I132, 2), "")</f>
        <v/>
      </c>
      <c r="K132" s="29">
        <f>IF(Intereses_Leasing_Mensual!J132&gt;0, ROUND($I132-Intereses_Leasing_Mensual!J132, 2), "")</f>
        <v/>
      </c>
      <c r="L132" s="29">
        <f>IF(Intereses_Leasing_Mensual!K132&gt;0, ROUND($I132-Intereses_Leasing_Mensual!K132, 2), "")</f>
        <v/>
      </c>
      <c r="M132" s="29">
        <f>IF(Intereses_Leasing_Mensual!L132&gt;0, ROUND($I132-Intereses_Leasing_Mensual!L132, 2), "")</f>
        <v/>
      </c>
      <c r="N132" s="29">
        <f>IF(Intereses_Leasing_Mensual!M132&gt;0, ROUND($I132-Intereses_Leasing_Mensual!M132, 2), "")</f>
        <v/>
      </c>
      <c r="O132" s="29">
        <f>IF(Intereses_Leasing_Mensual!N132&gt;0, ROUND($I132-Intereses_Leasing_Mensual!N132, 2), "")</f>
        <v/>
      </c>
      <c r="P132" s="29">
        <f>IF(Intereses_Leasing_Mensual!O132&gt;0, ROUND($I132-Intereses_Leasing_Mensual!O132, 2), "")</f>
        <v/>
      </c>
      <c r="Q132" s="29">
        <f>IF(Intereses_Leasing_Mensual!P132&gt;0, ROUND($I132-Intereses_Leasing_Mensual!P132, 2), "")</f>
        <v/>
      </c>
      <c r="R132" s="29">
        <f>IF(Intereses_Leasing_Mensual!Q132&gt;0, ROUND($I132-Intereses_Leasing_Mensual!Q132, 2), "")</f>
        <v/>
      </c>
      <c r="S132" s="29">
        <f>IF(Intereses_Leasing_Mensual!R132&gt;0, ROUND($I132-Intereses_Leasing_Mensual!R132, 2), "")</f>
        <v/>
      </c>
      <c r="T132" s="29">
        <f>IF(Intereses_Leasing_Mensual!S132&gt;0, ROUND($I132-Intereses_Leasing_Mensual!S132, 2), "")</f>
        <v/>
      </c>
      <c r="U132" s="29">
        <f>IF(Intereses_Leasing_Mensual!T132&gt;0, ROUND($I132-Intereses_Leasing_Mensual!T132, 2), "")</f>
        <v/>
      </c>
      <c r="V132" s="29">
        <f>SUM(J132:U132)</f>
        <v/>
      </c>
    </row>
    <row r="133">
      <c r="A133" s="20" t="inlineStr">
        <is>
          <t>0662-0001</t>
        </is>
      </c>
      <c r="B133" s="21" t="inlineStr">
        <is>
          <t>Luis Jorge de Loera Perez</t>
        </is>
      </c>
      <c r="C133" s="21" t="inlineStr">
        <is>
          <t>L200 GLX Diesel</t>
        </is>
      </c>
      <c r="D133" s="20" t="inlineStr">
        <is>
          <t>ACTIVO</t>
        </is>
      </c>
      <c r="E133" s="20" t="inlineStr">
        <is>
          <t>2024-06-28</t>
        </is>
      </c>
      <c r="F133" s="20" t="inlineStr">
        <is>
          <t>2028-06-28</t>
        </is>
      </c>
      <c r="G133" s="22" t="n">
        <v>48</v>
      </c>
      <c r="H133" s="23" t="n">
        <v>445724.14</v>
      </c>
      <c r="I133" s="23" t="n">
        <v>17165.78</v>
      </c>
      <c r="J133" s="23">
        <f>IF(Intereses_Leasing_Mensual!I133&gt;0, ROUND($I133-Intereses_Leasing_Mensual!I133, 2), "")</f>
        <v/>
      </c>
      <c r="K133" s="23">
        <f>IF(Intereses_Leasing_Mensual!J133&gt;0, ROUND($I133-Intereses_Leasing_Mensual!J133, 2), "")</f>
        <v/>
      </c>
      <c r="L133" s="23">
        <f>IF(Intereses_Leasing_Mensual!K133&gt;0, ROUND($I133-Intereses_Leasing_Mensual!K133, 2), "")</f>
        <v/>
      </c>
      <c r="M133" s="23">
        <f>IF(Intereses_Leasing_Mensual!L133&gt;0, ROUND($I133-Intereses_Leasing_Mensual!L133, 2), "")</f>
        <v/>
      </c>
      <c r="N133" s="23">
        <f>IF(Intereses_Leasing_Mensual!M133&gt;0, ROUND($I133-Intereses_Leasing_Mensual!M133, 2), "")</f>
        <v/>
      </c>
      <c r="O133" s="23">
        <f>IF(Intereses_Leasing_Mensual!N133&gt;0, ROUND($I133-Intereses_Leasing_Mensual!N133, 2), "")</f>
        <v/>
      </c>
      <c r="P133" s="23">
        <f>IF(Intereses_Leasing_Mensual!O133&gt;0, ROUND($I133-Intereses_Leasing_Mensual!O133, 2), "")</f>
        <v/>
      </c>
      <c r="Q133" s="23">
        <f>IF(Intereses_Leasing_Mensual!P133&gt;0, ROUND($I133-Intereses_Leasing_Mensual!P133, 2), "")</f>
        <v/>
      </c>
      <c r="R133" s="23">
        <f>IF(Intereses_Leasing_Mensual!Q133&gt;0, ROUND($I133-Intereses_Leasing_Mensual!Q133, 2), "")</f>
        <v/>
      </c>
      <c r="S133" s="23">
        <f>IF(Intereses_Leasing_Mensual!R133&gt;0, ROUND($I133-Intereses_Leasing_Mensual!R133, 2), "")</f>
        <v/>
      </c>
      <c r="T133" s="23">
        <f>IF(Intereses_Leasing_Mensual!S133&gt;0, ROUND($I133-Intereses_Leasing_Mensual!S133, 2), "")</f>
        <v/>
      </c>
      <c r="U133" s="23">
        <f>IF(Intereses_Leasing_Mensual!T133&gt;0, ROUND($I133-Intereses_Leasing_Mensual!T133, 2), "")</f>
        <v/>
      </c>
      <c r="V133" s="23">
        <f>SUM(J133:U133)</f>
        <v/>
      </c>
    </row>
    <row r="134">
      <c r="A134" s="26" t="inlineStr">
        <is>
          <t>0662-0002</t>
        </is>
      </c>
      <c r="B134" s="27" t="inlineStr">
        <is>
          <t>Luis Jorge De Loera Perez</t>
        </is>
      </c>
      <c r="C134" s="27" t="inlineStr">
        <is>
          <t>NP 300</t>
        </is>
      </c>
      <c r="D134" s="26" t="inlineStr">
        <is>
          <t>ACTIVO</t>
        </is>
      </c>
      <c r="E134" s="26" t="inlineStr">
        <is>
          <t>2025-02-06</t>
        </is>
      </c>
      <c r="F134" s="26" t="inlineStr">
        <is>
          <t>2029-02-06</t>
        </is>
      </c>
      <c r="G134" s="28" t="n">
        <v>48</v>
      </c>
      <c r="H134" s="29" t="n">
        <v>394060.35</v>
      </c>
      <c r="I134" s="29" t="n">
        <v>14543.82</v>
      </c>
      <c r="J134" s="29">
        <f>IF(Intereses_Leasing_Mensual!I134&gt;0, ROUND($I134-Intereses_Leasing_Mensual!I134, 2), "")</f>
        <v/>
      </c>
      <c r="K134" s="29">
        <f>IF(Intereses_Leasing_Mensual!J134&gt;0, ROUND($I134-Intereses_Leasing_Mensual!J134, 2), "")</f>
        <v/>
      </c>
      <c r="L134" s="29">
        <f>IF(Intereses_Leasing_Mensual!K134&gt;0, ROUND($I134-Intereses_Leasing_Mensual!K134, 2), "")</f>
        <v/>
      </c>
      <c r="M134" s="29">
        <f>IF(Intereses_Leasing_Mensual!L134&gt;0, ROUND($I134-Intereses_Leasing_Mensual!L134, 2), "")</f>
        <v/>
      </c>
      <c r="N134" s="29">
        <f>IF(Intereses_Leasing_Mensual!M134&gt;0, ROUND($I134-Intereses_Leasing_Mensual!M134, 2), "")</f>
        <v/>
      </c>
      <c r="O134" s="29">
        <f>IF(Intereses_Leasing_Mensual!N134&gt;0, ROUND($I134-Intereses_Leasing_Mensual!N134, 2), "")</f>
        <v/>
      </c>
      <c r="P134" s="29">
        <f>IF(Intereses_Leasing_Mensual!O134&gt;0, ROUND($I134-Intereses_Leasing_Mensual!O134, 2), "")</f>
        <v/>
      </c>
      <c r="Q134" s="29">
        <f>IF(Intereses_Leasing_Mensual!P134&gt;0, ROUND($I134-Intereses_Leasing_Mensual!P134, 2), "")</f>
        <v/>
      </c>
      <c r="R134" s="29">
        <f>IF(Intereses_Leasing_Mensual!Q134&gt;0, ROUND($I134-Intereses_Leasing_Mensual!Q134, 2), "")</f>
        <v/>
      </c>
      <c r="S134" s="29">
        <f>IF(Intereses_Leasing_Mensual!R134&gt;0, ROUND($I134-Intereses_Leasing_Mensual!R134, 2), "")</f>
        <v/>
      </c>
      <c r="T134" s="29">
        <f>IF(Intereses_Leasing_Mensual!S134&gt;0, ROUND($I134-Intereses_Leasing_Mensual!S134, 2), "")</f>
        <v/>
      </c>
      <c r="U134" s="29">
        <f>IF(Intereses_Leasing_Mensual!T134&gt;0, ROUND($I134-Intereses_Leasing_Mensual!T134, 2), "")</f>
        <v/>
      </c>
      <c r="V134" s="29">
        <f>SUM(J134:U134)</f>
        <v/>
      </c>
    </row>
    <row r="135">
      <c r="A135" s="20" t="inlineStr">
        <is>
          <t>0662-0003</t>
        </is>
      </c>
      <c r="B135" s="21" t="inlineStr">
        <is>
          <t>Luis Jorge De Loera Perez</t>
        </is>
      </c>
      <c r="C135" s="21" t="inlineStr">
        <is>
          <t>Rav 4</t>
        </is>
      </c>
      <c r="D135" s="20" t="inlineStr">
        <is>
          <t>ACTIVO</t>
        </is>
      </c>
      <c r="E135" s="20" t="inlineStr">
        <is>
          <t>2025-03-27</t>
        </is>
      </c>
      <c r="F135" s="20" t="inlineStr">
        <is>
          <t>2029-03-27</t>
        </is>
      </c>
      <c r="G135" s="22" t="n">
        <v>48</v>
      </c>
      <c r="H135" s="23" t="n">
        <v>402122.18</v>
      </c>
      <c r="I135" s="23" t="n">
        <v>14419.71</v>
      </c>
      <c r="J135" s="23">
        <f>IF(Intereses_Leasing_Mensual!I135&gt;0, ROUND($I135-Intereses_Leasing_Mensual!I135, 2), "")</f>
        <v/>
      </c>
      <c r="K135" s="23">
        <f>IF(Intereses_Leasing_Mensual!J135&gt;0, ROUND($I135-Intereses_Leasing_Mensual!J135, 2), "")</f>
        <v/>
      </c>
      <c r="L135" s="23">
        <f>IF(Intereses_Leasing_Mensual!K135&gt;0, ROUND($I135-Intereses_Leasing_Mensual!K135, 2), "")</f>
        <v/>
      </c>
      <c r="M135" s="23">
        <f>IF(Intereses_Leasing_Mensual!L135&gt;0, ROUND($I135-Intereses_Leasing_Mensual!L135, 2), "")</f>
        <v/>
      </c>
      <c r="N135" s="23">
        <f>IF(Intereses_Leasing_Mensual!M135&gt;0, ROUND($I135-Intereses_Leasing_Mensual!M135, 2), "")</f>
        <v/>
      </c>
      <c r="O135" s="23">
        <f>IF(Intereses_Leasing_Mensual!N135&gt;0, ROUND($I135-Intereses_Leasing_Mensual!N135, 2), "")</f>
        <v/>
      </c>
      <c r="P135" s="23">
        <f>IF(Intereses_Leasing_Mensual!O135&gt;0, ROUND($I135-Intereses_Leasing_Mensual!O135, 2), "")</f>
        <v/>
      </c>
      <c r="Q135" s="23">
        <f>IF(Intereses_Leasing_Mensual!P135&gt;0, ROUND($I135-Intereses_Leasing_Mensual!P135, 2), "")</f>
        <v/>
      </c>
      <c r="R135" s="23">
        <f>IF(Intereses_Leasing_Mensual!Q135&gt;0, ROUND($I135-Intereses_Leasing_Mensual!Q135, 2), "")</f>
        <v/>
      </c>
      <c r="S135" s="23">
        <f>IF(Intereses_Leasing_Mensual!R135&gt;0, ROUND($I135-Intereses_Leasing_Mensual!R135, 2), "")</f>
        <v/>
      </c>
      <c r="T135" s="23">
        <f>IF(Intereses_Leasing_Mensual!S135&gt;0, ROUND($I135-Intereses_Leasing_Mensual!S135, 2), "")</f>
        <v/>
      </c>
      <c r="U135" s="23">
        <f>IF(Intereses_Leasing_Mensual!T135&gt;0, ROUND($I135-Intereses_Leasing_Mensual!T135, 2), "")</f>
        <v/>
      </c>
      <c r="V135" s="23">
        <f>SUM(J135:U135)</f>
        <v/>
      </c>
    </row>
    <row r="136">
      <c r="A136" s="26" t="inlineStr">
        <is>
          <t>0663-0001</t>
        </is>
      </c>
      <c r="B136" s="27" t="inlineStr">
        <is>
          <t>Soluciones de Transporte de Carga B de Sa de Cv</t>
        </is>
      </c>
      <c r="C136" s="27" t="inlineStr">
        <is>
          <t>L200 GLX Diesel</t>
        </is>
      </c>
      <c r="D136" s="26" t="inlineStr">
        <is>
          <t>ACTIVO</t>
        </is>
      </c>
      <c r="E136" s="26" t="inlineStr">
        <is>
          <t>2024-07-31</t>
        </is>
      </c>
      <c r="F136" s="26" t="inlineStr">
        <is>
          <t>2028-07-31</t>
        </is>
      </c>
      <c r="G136" s="28" t="n">
        <v>48</v>
      </c>
      <c r="H136" s="29" t="n">
        <v>483086.64</v>
      </c>
      <c r="I136" s="29" t="n">
        <v>18721.61</v>
      </c>
      <c r="J136" s="29">
        <f>IF(Intereses_Leasing_Mensual!I136&gt;0, ROUND($I136-Intereses_Leasing_Mensual!I136, 2), "")</f>
        <v/>
      </c>
      <c r="K136" s="29">
        <f>IF(Intereses_Leasing_Mensual!J136&gt;0, ROUND($I136-Intereses_Leasing_Mensual!J136, 2), "")</f>
        <v/>
      </c>
      <c r="L136" s="29">
        <f>IF(Intereses_Leasing_Mensual!K136&gt;0, ROUND($I136-Intereses_Leasing_Mensual!K136, 2), "")</f>
        <v/>
      </c>
      <c r="M136" s="29">
        <f>IF(Intereses_Leasing_Mensual!L136&gt;0, ROUND($I136-Intereses_Leasing_Mensual!L136, 2), "")</f>
        <v/>
      </c>
      <c r="N136" s="29">
        <f>IF(Intereses_Leasing_Mensual!M136&gt;0, ROUND($I136-Intereses_Leasing_Mensual!M136, 2), "")</f>
        <v/>
      </c>
      <c r="O136" s="29">
        <f>IF(Intereses_Leasing_Mensual!N136&gt;0, ROUND($I136-Intereses_Leasing_Mensual!N136, 2), "")</f>
        <v/>
      </c>
      <c r="P136" s="29">
        <f>IF(Intereses_Leasing_Mensual!O136&gt;0, ROUND($I136-Intereses_Leasing_Mensual!O136, 2), "")</f>
        <v/>
      </c>
      <c r="Q136" s="29">
        <f>IF(Intereses_Leasing_Mensual!P136&gt;0, ROUND($I136-Intereses_Leasing_Mensual!P136, 2), "")</f>
        <v/>
      </c>
      <c r="R136" s="29">
        <f>IF(Intereses_Leasing_Mensual!Q136&gt;0, ROUND($I136-Intereses_Leasing_Mensual!Q136, 2), "")</f>
        <v/>
      </c>
      <c r="S136" s="29">
        <f>IF(Intereses_Leasing_Mensual!R136&gt;0, ROUND($I136-Intereses_Leasing_Mensual!R136, 2), "")</f>
        <v/>
      </c>
      <c r="T136" s="29">
        <f>IF(Intereses_Leasing_Mensual!S136&gt;0, ROUND($I136-Intereses_Leasing_Mensual!S136, 2), "")</f>
        <v/>
      </c>
      <c r="U136" s="29">
        <f>IF(Intereses_Leasing_Mensual!T136&gt;0, ROUND($I136-Intereses_Leasing_Mensual!T136, 2), "")</f>
        <v/>
      </c>
      <c r="V136" s="29">
        <f>SUM(J136:U136)</f>
        <v/>
      </c>
    </row>
    <row r="137">
      <c r="A137" s="20" t="inlineStr">
        <is>
          <t>0663-0002</t>
        </is>
      </c>
      <c r="B137" s="21" t="inlineStr">
        <is>
          <t>Diego Hazael Morales Iñiguez</t>
        </is>
      </c>
      <c r="C137" s="21" t="inlineStr">
        <is>
          <t>Wrangler Rubicon</t>
        </is>
      </c>
      <c r="D137" s="20" t="inlineStr">
        <is>
          <t>ACTIVO</t>
        </is>
      </c>
      <c r="E137" s="20" t="inlineStr">
        <is>
          <t>2025-01-16</t>
        </is>
      </c>
      <c r="F137" s="20" t="inlineStr">
        <is>
          <t>2029-01-16</t>
        </is>
      </c>
      <c r="G137" s="22" t="n">
        <v>48</v>
      </c>
      <c r="H137" s="23" t="n">
        <v>632534.48</v>
      </c>
      <c r="I137" s="23" t="n">
        <v>24436.15</v>
      </c>
      <c r="J137" s="23">
        <f>IF(Intereses_Leasing_Mensual!I137&gt;0, ROUND($I137-Intereses_Leasing_Mensual!I137, 2), "")</f>
        <v/>
      </c>
      <c r="K137" s="23">
        <f>IF(Intereses_Leasing_Mensual!J137&gt;0, ROUND($I137-Intereses_Leasing_Mensual!J137, 2), "")</f>
        <v/>
      </c>
      <c r="L137" s="23">
        <f>IF(Intereses_Leasing_Mensual!K137&gt;0, ROUND($I137-Intereses_Leasing_Mensual!K137, 2), "")</f>
        <v/>
      </c>
      <c r="M137" s="23">
        <f>IF(Intereses_Leasing_Mensual!L137&gt;0, ROUND($I137-Intereses_Leasing_Mensual!L137, 2), "")</f>
        <v/>
      </c>
      <c r="N137" s="23">
        <f>IF(Intereses_Leasing_Mensual!M137&gt;0, ROUND($I137-Intereses_Leasing_Mensual!M137, 2), "")</f>
        <v/>
      </c>
      <c r="O137" s="23">
        <f>IF(Intereses_Leasing_Mensual!N137&gt;0, ROUND($I137-Intereses_Leasing_Mensual!N137, 2), "")</f>
        <v/>
      </c>
      <c r="P137" s="23">
        <f>IF(Intereses_Leasing_Mensual!O137&gt;0, ROUND($I137-Intereses_Leasing_Mensual!O137, 2), "")</f>
        <v/>
      </c>
      <c r="Q137" s="23">
        <f>IF(Intereses_Leasing_Mensual!P137&gt;0, ROUND($I137-Intereses_Leasing_Mensual!P137, 2), "")</f>
        <v/>
      </c>
      <c r="R137" s="23">
        <f>IF(Intereses_Leasing_Mensual!Q137&gt;0, ROUND($I137-Intereses_Leasing_Mensual!Q137, 2), "")</f>
        <v/>
      </c>
      <c r="S137" s="23">
        <f>IF(Intereses_Leasing_Mensual!R137&gt;0, ROUND($I137-Intereses_Leasing_Mensual!R137, 2), "")</f>
        <v/>
      </c>
      <c r="T137" s="23">
        <f>IF(Intereses_Leasing_Mensual!S137&gt;0, ROUND($I137-Intereses_Leasing_Mensual!S137, 2), "")</f>
        <v/>
      </c>
      <c r="U137" s="23">
        <f>IF(Intereses_Leasing_Mensual!T137&gt;0, ROUND($I137-Intereses_Leasing_Mensual!T137, 2), "")</f>
        <v/>
      </c>
      <c r="V137" s="23">
        <f>SUM(J137:U137)</f>
        <v/>
      </c>
    </row>
    <row r="138">
      <c r="A138" s="26" t="inlineStr">
        <is>
          <t>0665-0001</t>
        </is>
      </c>
      <c r="B138" s="27" t="inlineStr">
        <is>
          <t>Dulce Guadalupe Amezcua Gomez</t>
        </is>
      </c>
      <c r="C138" s="27" t="inlineStr">
        <is>
          <t>Wrangler Jt</t>
        </is>
      </c>
      <c r="D138" s="26" t="inlineStr">
        <is>
          <t>ACTIVO</t>
        </is>
      </c>
      <c r="E138" s="26" t="inlineStr">
        <is>
          <t>2024-08-27</t>
        </is>
      </c>
      <c r="F138" s="26" t="inlineStr">
        <is>
          <t>2028-08-27</t>
        </is>
      </c>
      <c r="G138" s="28" t="n">
        <v>48</v>
      </c>
      <c r="H138" s="29" t="n">
        <v>1201861.28</v>
      </c>
      <c r="I138" s="29" t="n">
        <v>46567.29</v>
      </c>
      <c r="J138" s="29">
        <f>IF(Intereses_Leasing_Mensual!I138&gt;0, ROUND($I138-Intereses_Leasing_Mensual!I138, 2), "")</f>
        <v/>
      </c>
      <c r="K138" s="29">
        <f>IF(Intereses_Leasing_Mensual!J138&gt;0, ROUND($I138-Intereses_Leasing_Mensual!J138, 2), "")</f>
        <v/>
      </c>
      <c r="L138" s="29">
        <f>IF(Intereses_Leasing_Mensual!K138&gt;0, ROUND($I138-Intereses_Leasing_Mensual!K138, 2), "")</f>
        <v/>
      </c>
      <c r="M138" s="29">
        <f>IF(Intereses_Leasing_Mensual!L138&gt;0, ROUND($I138-Intereses_Leasing_Mensual!L138, 2), "")</f>
        <v/>
      </c>
      <c r="N138" s="29">
        <f>IF(Intereses_Leasing_Mensual!M138&gt;0, ROUND($I138-Intereses_Leasing_Mensual!M138, 2), "")</f>
        <v/>
      </c>
      <c r="O138" s="29">
        <f>IF(Intereses_Leasing_Mensual!N138&gt;0, ROUND($I138-Intereses_Leasing_Mensual!N138, 2), "")</f>
        <v/>
      </c>
      <c r="P138" s="29">
        <f>IF(Intereses_Leasing_Mensual!O138&gt;0, ROUND($I138-Intereses_Leasing_Mensual!O138, 2), "")</f>
        <v/>
      </c>
      <c r="Q138" s="29">
        <f>IF(Intereses_Leasing_Mensual!P138&gt;0, ROUND($I138-Intereses_Leasing_Mensual!P138, 2), "")</f>
        <v/>
      </c>
      <c r="R138" s="29">
        <f>IF(Intereses_Leasing_Mensual!Q138&gt;0, ROUND($I138-Intereses_Leasing_Mensual!Q138, 2), "")</f>
        <v/>
      </c>
      <c r="S138" s="29">
        <f>IF(Intereses_Leasing_Mensual!R138&gt;0, ROUND($I138-Intereses_Leasing_Mensual!R138, 2), "")</f>
        <v/>
      </c>
      <c r="T138" s="29">
        <f>IF(Intereses_Leasing_Mensual!S138&gt;0, ROUND($I138-Intereses_Leasing_Mensual!S138, 2), "")</f>
        <v/>
      </c>
      <c r="U138" s="29">
        <f>IF(Intereses_Leasing_Mensual!T138&gt;0, ROUND($I138-Intereses_Leasing_Mensual!T138, 2), "")</f>
        <v/>
      </c>
      <c r="V138" s="29">
        <f>SUM(J138:U138)</f>
        <v/>
      </c>
    </row>
    <row r="139">
      <c r="A139" s="20" t="inlineStr">
        <is>
          <t>0666-0003</t>
        </is>
      </c>
      <c r="B139" s="21" t="inlineStr">
        <is>
          <t>Jaime Adrian Muñiz Ramirez</t>
        </is>
      </c>
      <c r="C139" s="21" t="inlineStr">
        <is>
          <t>Wrangler Phev</t>
        </is>
      </c>
      <c r="D139" s="20" t="inlineStr">
        <is>
          <t>ACTIVO</t>
        </is>
      </c>
      <c r="E139" s="20" t="inlineStr">
        <is>
          <t>2024-08-28</t>
        </is>
      </c>
      <c r="F139" s="20" t="inlineStr">
        <is>
          <t>2027-08-28</t>
        </is>
      </c>
      <c r="G139" s="22" t="n">
        <v>36</v>
      </c>
      <c r="H139" s="23" t="n">
        <v>944758.62</v>
      </c>
      <c r="I139" s="23" t="n">
        <v>37878.54</v>
      </c>
      <c r="J139" s="23">
        <f>IF(Intereses_Leasing_Mensual!I139&gt;0, ROUND($I139-Intereses_Leasing_Mensual!I139, 2), "")</f>
        <v/>
      </c>
      <c r="K139" s="23">
        <f>IF(Intereses_Leasing_Mensual!J139&gt;0, ROUND($I139-Intereses_Leasing_Mensual!J139, 2), "")</f>
        <v/>
      </c>
      <c r="L139" s="23">
        <f>IF(Intereses_Leasing_Mensual!K139&gt;0, ROUND($I139-Intereses_Leasing_Mensual!K139, 2), "")</f>
        <v/>
      </c>
      <c r="M139" s="23">
        <f>IF(Intereses_Leasing_Mensual!L139&gt;0, ROUND($I139-Intereses_Leasing_Mensual!L139, 2), "")</f>
        <v/>
      </c>
      <c r="N139" s="23">
        <f>IF(Intereses_Leasing_Mensual!M139&gt;0, ROUND($I139-Intereses_Leasing_Mensual!M139, 2), "")</f>
        <v/>
      </c>
      <c r="O139" s="23">
        <f>IF(Intereses_Leasing_Mensual!N139&gt;0, ROUND($I139-Intereses_Leasing_Mensual!N139, 2), "")</f>
        <v/>
      </c>
      <c r="P139" s="23">
        <f>IF(Intereses_Leasing_Mensual!O139&gt;0, ROUND($I139-Intereses_Leasing_Mensual!O139, 2), "")</f>
        <v/>
      </c>
      <c r="Q139" s="23">
        <f>IF(Intereses_Leasing_Mensual!P139&gt;0, ROUND($I139-Intereses_Leasing_Mensual!P139, 2), "")</f>
        <v/>
      </c>
      <c r="R139" s="23">
        <f>IF(Intereses_Leasing_Mensual!Q139&gt;0, ROUND($I139-Intereses_Leasing_Mensual!Q139, 2), "")</f>
        <v/>
      </c>
      <c r="S139" s="23">
        <f>IF(Intereses_Leasing_Mensual!R139&gt;0, ROUND($I139-Intereses_Leasing_Mensual!R139, 2), "")</f>
        <v/>
      </c>
      <c r="T139" s="23">
        <f>IF(Intereses_Leasing_Mensual!S139&gt;0, ROUND($I139-Intereses_Leasing_Mensual!S139, 2), "")</f>
        <v/>
      </c>
      <c r="U139" s="23">
        <f>IF(Intereses_Leasing_Mensual!T139&gt;0, ROUND($I139-Intereses_Leasing_Mensual!T139, 2), "")</f>
        <v/>
      </c>
      <c r="V139" s="23">
        <f>SUM(J139:U139)</f>
        <v/>
      </c>
    </row>
    <row r="140">
      <c r="A140" s="26" t="inlineStr">
        <is>
          <t>0668-0005</t>
        </is>
      </c>
      <c r="B140" s="27" t="inlineStr">
        <is>
          <t>Jorge Alonso Alvarez Garcia</t>
        </is>
      </c>
      <c r="C140" s="27" t="inlineStr">
        <is>
          <t>RAM 700 BIGHORN "S" CREW CAB CVT</t>
        </is>
      </c>
      <c r="D140" s="26" t="inlineStr">
        <is>
          <t>ACTIVO</t>
        </is>
      </c>
      <c r="E140" s="26" t="inlineStr">
        <is>
          <t>2026-03-04</t>
        </is>
      </c>
      <c r="F140" s="26" t="inlineStr">
        <is>
          <t>2027-03-04</t>
        </is>
      </c>
      <c r="G140" s="28" t="n">
        <v>12</v>
      </c>
      <c r="H140" s="29" t="n">
        <v>344017.24</v>
      </c>
      <c r="I140" s="29" t="n">
        <v>27837.04</v>
      </c>
      <c r="J140" s="29" t="inlineStr"/>
      <c r="K140" s="29" t="inlineStr"/>
      <c r="L140" s="29">
        <f>IF(Intereses_Leasing_Mensual!K140&gt;0, ROUND($I140-Intereses_Leasing_Mensual!K140, 2), "")</f>
        <v/>
      </c>
      <c r="M140" s="29">
        <f>IF(Intereses_Leasing_Mensual!L140&gt;0, ROUND($I140-Intereses_Leasing_Mensual!L140, 2), "")</f>
        <v/>
      </c>
      <c r="N140" s="29">
        <f>IF(Intereses_Leasing_Mensual!M140&gt;0, ROUND($I140-Intereses_Leasing_Mensual!M140, 2), "")</f>
        <v/>
      </c>
      <c r="O140" s="29">
        <f>IF(Intereses_Leasing_Mensual!N140&gt;0, ROUND($I140-Intereses_Leasing_Mensual!N140, 2), "")</f>
        <v/>
      </c>
      <c r="P140" s="29">
        <f>IF(Intereses_Leasing_Mensual!O140&gt;0, ROUND($I140-Intereses_Leasing_Mensual!O140, 2), "")</f>
        <v/>
      </c>
      <c r="Q140" s="29">
        <f>IF(Intereses_Leasing_Mensual!P140&gt;0, ROUND($I140-Intereses_Leasing_Mensual!P140, 2), "")</f>
        <v/>
      </c>
      <c r="R140" s="29">
        <f>IF(Intereses_Leasing_Mensual!Q140&gt;0, ROUND($I140-Intereses_Leasing_Mensual!Q140, 2), "")</f>
        <v/>
      </c>
      <c r="S140" s="29">
        <f>IF(Intereses_Leasing_Mensual!R140&gt;0, ROUND($I140-Intereses_Leasing_Mensual!R140, 2), "")</f>
        <v/>
      </c>
      <c r="T140" s="29">
        <f>IF(Intereses_Leasing_Mensual!S140&gt;0, ROUND($I140-Intereses_Leasing_Mensual!S140, 2), "")</f>
        <v/>
      </c>
      <c r="U140" s="29">
        <f>IF(Intereses_Leasing_Mensual!T140&gt;0, ROUND($I140-Intereses_Leasing_Mensual!T140, 2), "")</f>
        <v/>
      </c>
      <c r="V140" s="29">
        <f>SUM(J140:U140)</f>
        <v/>
      </c>
    </row>
    <row r="141">
      <c r="A141" s="20" t="inlineStr">
        <is>
          <t>0669-0001</t>
        </is>
      </c>
      <c r="B141" s="21" t="inlineStr">
        <is>
          <t>Diego Hazael Morales Iñiguez</t>
        </is>
      </c>
      <c r="C141" s="21" t="inlineStr">
        <is>
          <t>Wrangler Jt</t>
        </is>
      </c>
      <c r="D141" s="20" t="inlineStr">
        <is>
          <t>ACTIVO</t>
        </is>
      </c>
      <c r="E141" s="20" t="inlineStr">
        <is>
          <t>2024-08-23</t>
        </is>
      </c>
      <c r="F141" s="20" t="inlineStr">
        <is>
          <t>2027-08-23</t>
        </is>
      </c>
      <c r="G141" s="22" t="n">
        <v>36</v>
      </c>
      <c r="H141" s="23" t="n">
        <v>803741.38</v>
      </c>
      <c r="I141" s="23" t="n">
        <v>35441.3</v>
      </c>
      <c r="J141" s="23">
        <f>IF(Intereses_Leasing_Mensual!I141&gt;0, ROUND($I141-Intereses_Leasing_Mensual!I141, 2), "")</f>
        <v/>
      </c>
      <c r="K141" s="23">
        <f>IF(Intereses_Leasing_Mensual!J141&gt;0, ROUND($I141-Intereses_Leasing_Mensual!J141, 2), "")</f>
        <v/>
      </c>
      <c r="L141" s="23">
        <f>IF(Intereses_Leasing_Mensual!K141&gt;0, ROUND($I141-Intereses_Leasing_Mensual!K141, 2), "")</f>
        <v/>
      </c>
      <c r="M141" s="23">
        <f>IF(Intereses_Leasing_Mensual!L141&gt;0, ROUND($I141-Intereses_Leasing_Mensual!L141, 2), "")</f>
        <v/>
      </c>
      <c r="N141" s="23">
        <f>IF(Intereses_Leasing_Mensual!M141&gt;0, ROUND($I141-Intereses_Leasing_Mensual!M141, 2), "")</f>
        <v/>
      </c>
      <c r="O141" s="23">
        <f>IF(Intereses_Leasing_Mensual!N141&gt;0, ROUND($I141-Intereses_Leasing_Mensual!N141, 2), "")</f>
        <v/>
      </c>
      <c r="P141" s="23">
        <f>IF(Intereses_Leasing_Mensual!O141&gt;0, ROUND($I141-Intereses_Leasing_Mensual!O141, 2), "")</f>
        <v/>
      </c>
      <c r="Q141" s="23">
        <f>IF(Intereses_Leasing_Mensual!P141&gt;0, ROUND($I141-Intereses_Leasing_Mensual!P141, 2), "")</f>
        <v/>
      </c>
      <c r="R141" s="23">
        <f>IF(Intereses_Leasing_Mensual!Q141&gt;0, ROUND($I141-Intereses_Leasing_Mensual!Q141, 2), "")</f>
        <v/>
      </c>
      <c r="S141" s="23">
        <f>IF(Intereses_Leasing_Mensual!R141&gt;0, ROUND($I141-Intereses_Leasing_Mensual!R141, 2), "")</f>
        <v/>
      </c>
      <c r="T141" s="23">
        <f>IF(Intereses_Leasing_Mensual!S141&gt;0, ROUND($I141-Intereses_Leasing_Mensual!S141, 2), "")</f>
        <v/>
      </c>
      <c r="U141" s="23">
        <f>IF(Intereses_Leasing_Mensual!T141&gt;0, ROUND($I141-Intereses_Leasing_Mensual!T141, 2), "")</f>
        <v/>
      </c>
      <c r="V141" s="23">
        <f>SUM(J141:U141)</f>
        <v/>
      </c>
    </row>
    <row r="142">
      <c r="A142" s="26" t="inlineStr">
        <is>
          <t>0670-0001</t>
        </is>
      </c>
      <c r="B142" s="27" t="inlineStr">
        <is>
          <t>Consultoria Internacional Mexincorp Sc</t>
        </is>
      </c>
      <c r="C142" s="27" t="inlineStr">
        <is>
          <t>L200 Limited</t>
        </is>
      </c>
      <c r="D142" s="26" t="inlineStr">
        <is>
          <t>ACTIVO</t>
        </is>
      </c>
      <c r="E142" s="26" t="inlineStr">
        <is>
          <t>2024-09-03</t>
        </is>
      </c>
      <c r="F142" s="26" t="inlineStr">
        <is>
          <t>2028-09-03</t>
        </is>
      </c>
      <c r="G142" s="28" t="n">
        <v>48</v>
      </c>
      <c r="H142" s="29" t="n">
        <v>601810.26</v>
      </c>
      <c r="I142" s="29" t="n">
        <v>22719.23</v>
      </c>
      <c r="J142" s="29">
        <f>IF(Intereses_Leasing_Mensual!I142&gt;0, ROUND($I142-Intereses_Leasing_Mensual!I142, 2), "")</f>
        <v/>
      </c>
      <c r="K142" s="29">
        <f>IF(Intereses_Leasing_Mensual!J142&gt;0, ROUND($I142-Intereses_Leasing_Mensual!J142, 2), "")</f>
        <v/>
      </c>
      <c r="L142" s="29">
        <f>IF(Intereses_Leasing_Mensual!K142&gt;0, ROUND($I142-Intereses_Leasing_Mensual!K142, 2), "")</f>
        <v/>
      </c>
      <c r="M142" s="29">
        <f>IF(Intereses_Leasing_Mensual!L142&gt;0, ROUND($I142-Intereses_Leasing_Mensual!L142, 2), "")</f>
        <v/>
      </c>
      <c r="N142" s="29">
        <f>IF(Intereses_Leasing_Mensual!M142&gt;0, ROUND($I142-Intereses_Leasing_Mensual!M142, 2), "")</f>
        <v/>
      </c>
      <c r="O142" s="29">
        <f>IF(Intereses_Leasing_Mensual!N142&gt;0, ROUND($I142-Intereses_Leasing_Mensual!N142, 2), "")</f>
        <v/>
      </c>
      <c r="P142" s="29">
        <f>IF(Intereses_Leasing_Mensual!O142&gt;0, ROUND($I142-Intereses_Leasing_Mensual!O142, 2), "")</f>
        <v/>
      </c>
      <c r="Q142" s="29">
        <f>IF(Intereses_Leasing_Mensual!P142&gt;0, ROUND($I142-Intereses_Leasing_Mensual!P142, 2), "")</f>
        <v/>
      </c>
      <c r="R142" s="29">
        <f>IF(Intereses_Leasing_Mensual!Q142&gt;0, ROUND($I142-Intereses_Leasing_Mensual!Q142, 2), "")</f>
        <v/>
      </c>
      <c r="S142" s="29">
        <f>IF(Intereses_Leasing_Mensual!R142&gt;0, ROUND($I142-Intereses_Leasing_Mensual!R142, 2), "")</f>
        <v/>
      </c>
      <c r="T142" s="29">
        <f>IF(Intereses_Leasing_Mensual!S142&gt;0, ROUND($I142-Intereses_Leasing_Mensual!S142, 2), "")</f>
        <v/>
      </c>
      <c r="U142" s="29">
        <f>IF(Intereses_Leasing_Mensual!T142&gt;0, ROUND($I142-Intereses_Leasing_Mensual!T142, 2), "")</f>
        <v/>
      </c>
      <c r="V142" s="29">
        <f>SUM(J142:U142)</f>
        <v/>
      </c>
    </row>
    <row r="143">
      <c r="A143" s="20" t="inlineStr">
        <is>
          <t>0672-0001</t>
        </is>
      </c>
      <c r="B143" s="21" t="inlineStr">
        <is>
          <t>Bax Blockchain Services Sa de Cv</t>
        </is>
      </c>
      <c r="C143" s="21" t="inlineStr">
        <is>
          <t>Tucson Limited</t>
        </is>
      </c>
      <c r="D143" s="20" t="inlineStr">
        <is>
          <t>ACTIVO</t>
        </is>
      </c>
      <c r="E143" s="20" t="inlineStr">
        <is>
          <t>2024-09-13</t>
        </is>
      </c>
      <c r="F143" s="20" t="inlineStr">
        <is>
          <t>2027-09-13</t>
        </is>
      </c>
      <c r="G143" s="22" t="n">
        <v>36</v>
      </c>
      <c r="H143" s="23" t="n">
        <v>531000</v>
      </c>
      <c r="I143" s="23" t="n">
        <v>19824.4</v>
      </c>
      <c r="J143" s="23">
        <f>IF(Intereses_Leasing_Mensual!I143&gt;0, ROUND($I143-Intereses_Leasing_Mensual!I143, 2), "")</f>
        <v/>
      </c>
      <c r="K143" s="23">
        <f>IF(Intereses_Leasing_Mensual!J143&gt;0, ROUND($I143-Intereses_Leasing_Mensual!J143, 2), "")</f>
        <v/>
      </c>
      <c r="L143" s="23">
        <f>IF(Intereses_Leasing_Mensual!K143&gt;0, ROUND($I143-Intereses_Leasing_Mensual!K143, 2), "")</f>
        <v/>
      </c>
      <c r="M143" s="23">
        <f>IF(Intereses_Leasing_Mensual!L143&gt;0, ROUND($I143-Intereses_Leasing_Mensual!L143, 2), "")</f>
        <v/>
      </c>
      <c r="N143" s="23">
        <f>IF(Intereses_Leasing_Mensual!M143&gt;0, ROUND($I143-Intereses_Leasing_Mensual!M143, 2), "")</f>
        <v/>
      </c>
      <c r="O143" s="23">
        <f>IF(Intereses_Leasing_Mensual!N143&gt;0, ROUND($I143-Intereses_Leasing_Mensual!N143, 2), "")</f>
        <v/>
      </c>
      <c r="P143" s="23">
        <f>IF(Intereses_Leasing_Mensual!O143&gt;0, ROUND($I143-Intereses_Leasing_Mensual!O143, 2), "")</f>
        <v/>
      </c>
      <c r="Q143" s="23">
        <f>IF(Intereses_Leasing_Mensual!P143&gt;0, ROUND($I143-Intereses_Leasing_Mensual!P143, 2), "")</f>
        <v/>
      </c>
      <c r="R143" s="23">
        <f>IF(Intereses_Leasing_Mensual!Q143&gt;0, ROUND($I143-Intereses_Leasing_Mensual!Q143, 2), "")</f>
        <v/>
      </c>
      <c r="S143" s="23">
        <f>IF(Intereses_Leasing_Mensual!R143&gt;0, ROUND($I143-Intereses_Leasing_Mensual!R143, 2), "")</f>
        <v/>
      </c>
      <c r="T143" s="23">
        <f>IF(Intereses_Leasing_Mensual!S143&gt;0, ROUND($I143-Intereses_Leasing_Mensual!S143, 2), "")</f>
        <v/>
      </c>
      <c r="U143" s="23">
        <f>IF(Intereses_Leasing_Mensual!T143&gt;0, ROUND($I143-Intereses_Leasing_Mensual!T143, 2), "")</f>
        <v/>
      </c>
      <c r="V143" s="23">
        <f>SUM(J143:U143)</f>
        <v/>
      </c>
    </row>
    <row r="144">
      <c r="A144" s="26" t="inlineStr">
        <is>
          <t>0673-0001</t>
        </is>
      </c>
      <c r="B144" s="27" t="inlineStr">
        <is>
          <t>Juan Carlos Cardenas Arciniega</t>
        </is>
      </c>
      <c r="C144" s="27" t="inlineStr">
        <is>
          <t>Wrangler Unlimited</t>
        </is>
      </c>
      <c r="D144" s="26" t="inlineStr">
        <is>
          <t>ACTIVO</t>
        </is>
      </c>
      <c r="E144" s="26" t="inlineStr">
        <is>
          <t>2024-09-06</t>
        </is>
      </c>
      <c r="F144" s="26" t="inlineStr">
        <is>
          <t>2028-09-06</t>
        </is>
      </c>
      <c r="G144" s="28" t="n">
        <v>48</v>
      </c>
      <c r="H144" s="29" t="n">
        <v>911396.8</v>
      </c>
      <c r="I144" s="29" t="n">
        <v>35114.98</v>
      </c>
      <c r="J144" s="29">
        <f>IF(Intereses_Leasing_Mensual!I144&gt;0, ROUND($I144-Intereses_Leasing_Mensual!I144, 2), "")</f>
        <v/>
      </c>
      <c r="K144" s="29">
        <f>IF(Intereses_Leasing_Mensual!J144&gt;0, ROUND($I144-Intereses_Leasing_Mensual!J144, 2), "")</f>
        <v/>
      </c>
      <c r="L144" s="29">
        <f>IF(Intereses_Leasing_Mensual!K144&gt;0, ROUND($I144-Intereses_Leasing_Mensual!K144, 2), "")</f>
        <v/>
      </c>
      <c r="M144" s="29">
        <f>IF(Intereses_Leasing_Mensual!L144&gt;0, ROUND($I144-Intereses_Leasing_Mensual!L144, 2), "")</f>
        <v/>
      </c>
      <c r="N144" s="29">
        <f>IF(Intereses_Leasing_Mensual!M144&gt;0, ROUND($I144-Intereses_Leasing_Mensual!M144, 2), "")</f>
        <v/>
      </c>
      <c r="O144" s="29">
        <f>IF(Intereses_Leasing_Mensual!N144&gt;0, ROUND($I144-Intereses_Leasing_Mensual!N144, 2), "")</f>
        <v/>
      </c>
      <c r="P144" s="29">
        <f>IF(Intereses_Leasing_Mensual!O144&gt;0, ROUND($I144-Intereses_Leasing_Mensual!O144, 2), "")</f>
        <v/>
      </c>
      <c r="Q144" s="29">
        <f>IF(Intereses_Leasing_Mensual!P144&gt;0, ROUND($I144-Intereses_Leasing_Mensual!P144, 2), "")</f>
        <v/>
      </c>
      <c r="R144" s="29">
        <f>IF(Intereses_Leasing_Mensual!Q144&gt;0, ROUND($I144-Intereses_Leasing_Mensual!Q144, 2), "")</f>
        <v/>
      </c>
      <c r="S144" s="29">
        <f>IF(Intereses_Leasing_Mensual!R144&gt;0, ROUND($I144-Intereses_Leasing_Mensual!R144, 2), "")</f>
        <v/>
      </c>
      <c r="T144" s="29">
        <f>IF(Intereses_Leasing_Mensual!S144&gt;0, ROUND($I144-Intereses_Leasing_Mensual!S144, 2), "")</f>
        <v/>
      </c>
      <c r="U144" s="29">
        <f>IF(Intereses_Leasing_Mensual!T144&gt;0, ROUND($I144-Intereses_Leasing_Mensual!T144, 2), "")</f>
        <v/>
      </c>
      <c r="V144" s="29">
        <f>SUM(J144:U144)</f>
        <v/>
      </c>
    </row>
    <row r="145">
      <c r="A145" s="20" t="inlineStr">
        <is>
          <t>0673-0002</t>
        </is>
      </c>
      <c r="B145" s="21" t="inlineStr">
        <is>
          <t>Juan Carlos Cardenas Arciniega</t>
        </is>
      </c>
      <c r="C145" s="21" t="inlineStr">
        <is>
          <t>L200 Glx Diesel</t>
        </is>
      </c>
      <c r="D145" s="20" t="inlineStr">
        <is>
          <t>ACTIVO</t>
        </is>
      </c>
      <c r="E145" s="20" t="inlineStr">
        <is>
          <t>2025-03-25</t>
        </is>
      </c>
      <c r="F145" s="20" t="inlineStr">
        <is>
          <t>2029-03-25</t>
        </is>
      </c>
      <c r="G145" s="22" t="n">
        <v>48</v>
      </c>
      <c r="H145" s="23" t="n">
        <v>415484.14</v>
      </c>
      <c r="I145" s="23" t="n">
        <v>14981.34</v>
      </c>
      <c r="J145" s="23">
        <f>IF(Intereses_Leasing_Mensual!I145&gt;0, ROUND($I145-Intereses_Leasing_Mensual!I145, 2), "")</f>
        <v/>
      </c>
      <c r="K145" s="23">
        <f>IF(Intereses_Leasing_Mensual!J145&gt;0, ROUND($I145-Intereses_Leasing_Mensual!J145, 2), "")</f>
        <v/>
      </c>
      <c r="L145" s="23">
        <f>IF(Intereses_Leasing_Mensual!K145&gt;0, ROUND($I145-Intereses_Leasing_Mensual!K145, 2), "")</f>
        <v/>
      </c>
      <c r="M145" s="23">
        <f>IF(Intereses_Leasing_Mensual!L145&gt;0, ROUND($I145-Intereses_Leasing_Mensual!L145, 2), "")</f>
        <v/>
      </c>
      <c r="N145" s="23">
        <f>IF(Intereses_Leasing_Mensual!M145&gt;0, ROUND($I145-Intereses_Leasing_Mensual!M145, 2), "")</f>
        <v/>
      </c>
      <c r="O145" s="23">
        <f>IF(Intereses_Leasing_Mensual!N145&gt;0, ROUND($I145-Intereses_Leasing_Mensual!N145, 2), "")</f>
        <v/>
      </c>
      <c r="P145" s="23">
        <f>IF(Intereses_Leasing_Mensual!O145&gt;0, ROUND($I145-Intereses_Leasing_Mensual!O145, 2), "")</f>
        <v/>
      </c>
      <c r="Q145" s="23">
        <f>IF(Intereses_Leasing_Mensual!P145&gt;0, ROUND($I145-Intereses_Leasing_Mensual!P145, 2), "")</f>
        <v/>
      </c>
      <c r="R145" s="23">
        <f>IF(Intereses_Leasing_Mensual!Q145&gt;0, ROUND($I145-Intereses_Leasing_Mensual!Q145, 2), "")</f>
        <v/>
      </c>
      <c r="S145" s="23">
        <f>IF(Intereses_Leasing_Mensual!R145&gt;0, ROUND($I145-Intereses_Leasing_Mensual!R145, 2), "")</f>
        <v/>
      </c>
      <c r="T145" s="23">
        <f>IF(Intereses_Leasing_Mensual!S145&gt;0, ROUND($I145-Intereses_Leasing_Mensual!S145, 2), "")</f>
        <v/>
      </c>
      <c r="U145" s="23">
        <f>IF(Intereses_Leasing_Mensual!T145&gt;0, ROUND($I145-Intereses_Leasing_Mensual!T145, 2), "")</f>
        <v/>
      </c>
      <c r="V145" s="23">
        <f>SUM(J145:U145)</f>
        <v/>
      </c>
    </row>
    <row r="146">
      <c r="A146" s="26" t="inlineStr">
        <is>
          <t>0673-0003</t>
        </is>
      </c>
      <c r="B146" s="27" t="inlineStr">
        <is>
          <t>Juan Carlos Cardenas Arciniega</t>
        </is>
      </c>
      <c r="C146" s="27" t="inlineStr">
        <is>
          <t>Hilux Diesel</t>
        </is>
      </c>
      <c r="D146" s="26" t="inlineStr">
        <is>
          <t>ACTIVO</t>
        </is>
      </c>
      <c r="E146" s="26" t="inlineStr">
        <is>
          <t>2025-04-30</t>
        </is>
      </c>
      <c r="F146" s="26" t="inlineStr">
        <is>
          <t>2029-04-30</t>
        </is>
      </c>
      <c r="G146" s="28" t="n">
        <v>48</v>
      </c>
      <c r="H146" s="29" t="n">
        <v>415484.14</v>
      </c>
      <c r="I146" s="29" t="n">
        <v>20833.8</v>
      </c>
      <c r="J146" s="29">
        <f>IF(Intereses_Leasing_Mensual!I146&gt;0, ROUND($I146-Intereses_Leasing_Mensual!I146, 2), "")</f>
        <v/>
      </c>
      <c r="K146" s="29">
        <f>IF(Intereses_Leasing_Mensual!J146&gt;0, ROUND($I146-Intereses_Leasing_Mensual!J146, 2), "")</f>
        <v/>
      </c>
      <c r="L146" s="29">
        <f>IF(Intereses_Leasing_Mensual!K146&gt;0, ROUND($I146-Intereses_Leasing_Mensual!K146, 2), "")</f>
        <v/>
      </c>
      <c r="M146" s="29">
        <f>IF(Intereses_Leasing_Mensual!L146&gt;0, ROUND($I146-Intereses_Leasing_Mensual!L146, 2), "")</f>
        <v/>
      </c>
      <c r="N146" s="29">
        <f>IF(Intereses_Leasing_Mensual!M146&gt;0, ROUND($I146-Intereses_Leasing_Mensual!M146, 2), "")</f>
        <v/>
      </c>
      <c r="O146" s="29">
        <f>IF(Intereses_Leasing_Mensual!N146&gt;0, ROUND($I146-Intereses_Leasing_Mensual!N146, 2), "")</f>
        <v/>
      </c>
      <c r="P146" s="29">
        <f>IF(Intereses_Leasing_Mensual!O146&gt;0, ROUND($I146-Intereses_Leasing_Mensual!O146, 2), "")</f>
        <v/>
      </c>
      <c r="Q146" s="29">
        <f>IF(Intereses_Leasing_Mensual!P146&gt;0, ROUND($I146-Intereses_Leasing_Mensual!P146, 2), "")</f>
        <v/>
      </c>
      <c r="R146" s="29">
        <f>IF(Intereses_Leasing_Mensual!Q146&gt;0, ROUND($I146-Intereses_Leasing_Mensual!Q146, 2), "")</f>
        <v/>
      </c>
      <c r="S146" s="29">
        <f>IF(Intereses_Leasing_Mensual!R146&gt;0, ROUND($I146-Intereses_Leasing_Mensual!R146, 2), "")</f>
        <v/>
      </c>
      <c r="T146" s="29">
        <f>IF(Intereses_Leasing_Mensual!S146&gt;0, ROUND($I146-Intereses_Leasing_Mensual!S146, 2), "")</f>
        <v/>
      </c>
      <c r="U146" s="29">
        <f>IF(Intereses_Leasing_Mensual!T146&gt;0, ROUND($I146-Intereses_Leasing_Mensual!T146, 2), "")</f>
        <v/>
      </c>
      <c r="V146" s="29">
        <f>SUM(J146:U146)</f>
        <v/>
      </c>
    </row>
    <row r="147">
      <c r="A147" s="20" t="inlineStr">
        <is>
          <t>0673-0004</t>
        </is>
      </c>
      <c r="B147" s="21" t="inlineStr">
        <is>
          <t>Juan Carlos Cardenas Arciniega</t>
        </is>
      </c>
      <c r="C147" s="21" t="inlineStr">
        <is>
          <t>Np300</t>
        </is>
      </c>
      <c r="D147" s="20" t="inlineStr">
        <is>
          <t>ACTIVO</t>
        </is>
      </c>
      <c r="E147" s="20" t="inlineStr">
        <is>
          <t>2025-05-29</t>
        </is>
      </c>
      <c r="F147" s="20" t="inlineStr">
        <is>
          <t>2027-05-29</t>
        </is>
      </c>
      <c r="G147" s="22" t="n">
        <v>24</v>
      </c>
      <c r="H147" s="23" t="n">
        <v>366439.65</v>
      </c>
      <c r="I147" s="23" t="n">
        <v>17042.44</v>
      </c>
      <c r="J147" s="23">
        <f>IF(Intereses_Leasing_Mensual!I147&gt;0, ROUND($I147-Intereses_Leasing_Mensual!I147, 2), "")</f>
        <v/>
      </c>
      <c r="K147" s="23">
        <f>IF(Intereses_Leasing_Mensual!J147&gt;0, ROUND($I147-Intereses_Leasing_Mensual!J147, 2), "")</f>
        <v/>
      </c>
      <c r="L147" s="23">
        <f>IF(Intereses_Leasing_Mensual!K147&gt;0, ROUND($I147-Intereses_Leasing_Mensual!K147, 2), "")</f>
        <v/>
      </c>
      <c r="M147" s="23">
        <f>IF(Intereses_Leasing_Mensual!L147&gt;0, ROUND($I147-Intereses_Leasing_Mensual!L147, 2), "")</f>
        <v/>
      </c>
      <c r="N147" s="23">
        <f>IF(Intereses_Leasing_Mensual!M147&gt;0, ROUND($I147-Intereses_Leasing_Mensual!M147, 2), "")</f>
        <v/>
      </c>
      <c r="O147" s="23">
        <f>IF(Intereses_Leasing_Mensual!N147&gt;0, ROUND($I147-Intereses_Leasing_Mensual!N147, 2), "")</f>
        <v/>
      </c>
      <c r="P147" s="23">
        <f>IF(Intereses_Leasing_Mensual!O147&gt;0, ROUND($I147-Intereses_Leasing_Mensual!O147, 2), "")</f>
        <v/>
      </c>
      <c r="Q147" s="23">
        <f>IF(Intereses_Leasing_Mensual!P147&gt;0, ROUND($I147-Intereses_Leasing_Mensual!P147, 2), "")</f>
        <v/>
      </c>
      <c r="R147" s="23">
        <f>IF(Intereses_Leasing_Mensual!Q147&gt;0, ROUND($I147-Intereses_Leasing_Mensual!Q147, 2), "")</f>
        <v/>
      </c>
      <c r="S147" s="23">
        <f>IF(Intereses_Leasing_Mensual!R147&gt;0, ROUND($I147-Intereses_Leasing_Mensual!R147, 2), "")</f>
        <v/>
      </c>
      <c r="T147" s="23">
        <f>IF(Intereses_Leasing_Mensual!S147&gt;0, ROUND($I147-Intereses_Leasing_Mensual!S147, 2), "")</f>
        <v/>
      </c>
      <c r="U147" s="23">
        <f>IF(Intereses_Leasing_Mensual!T147&gt;0, ROUND($I147-Intereses_Leasing_Mensual!T147, 2), "")</f>
        <v/>
      </c>
      <c r="V147" s="23">
        <f>SUM(J147:U147)</f>
        <v/>
      </c>
    </row>
    <row r="148">
      <c r="A148" s="26" t="inlineStr">
        <is>
          <t>0673-0005</t>
        </is>
      </c>
      <c r="B148" s="27" t="inlineStr">
        <is>
          <t>Juan Carlos Cardenas Arciniega</t>
        </is>
      </c>
      <c r="C148" s="27" t="inlineStr">
        <is>
          <t>L200 Glx</t>
        </is>
      </c>
      <c r="D148" s="26" t="inlineStr">
        <is>
          <t>ACTIVO</t>
        </is>
      </c>
      <c r="E148" s="26" t="inlineStr">
        <is>
          <t>2025-05-29</t>
        </is>
      </c>
      <c r="F148" s="26" t="inlineStr">
        <is>
          <t>2028-05-29</t>
        </is>
      </c>
      <c r="G148" s="28" t="n">
        <v>36</v>
      </c>
      <c r="H148" s="29" t="n">
        <v>467419.65</v>
      </c>
      <c r="I148" s="29" t="n">
        <v>18341.23</v>
      </c>
      <c r="J148" s="29">
        <f>IF(Intereses_Leasing_Mensual!I148&gt;0, ROUND($I148-Intereses_Leasing_Mensual!I148, 2), "")</f>
        <v/>
      </c>
      <c r="K148" s="29">
        <f>IF(Intereses_Leasing_Mensual!J148&gt;0, ROUND($I148-Intereses_Leasing_Mensual!J148, 2), "")</f>
        <v/>
      </c>
      <c r="L148" s="29">
        <f>IF(Intereses_Leasing_Mensual!K148&gt;0, ROUND($I148-Intereses_Leasing_Mensual!K148, 2), "")</f>
        <v/>
      </c>
      <c r="M148" s="29">
        <f>IF(Intereses_Leasing_Mensual!L148&gt;0, ROUND($I148-Intereses_Leasing_Mensual!L148, 2), "")</f>
        <v/>
      </c>
      <c r="N148" s="29">
        <f>IF(Intereses_Leasing_Mensual!M148&gt;0, ROUND($I148-Intereses_Leasing_Mensual!M148, 2), "")</f>
        <v/>
      </c>
      <c r="O148" s="29">
        <f>IF(Intereses_Leasing_Mensual!N148&gt;0, ROUND($I148-Intereses_Leasing_Mensual!N148, 2), "")</f>
        <v/>
      </c>
      <c r="P148" s="29">
        <f>IF(Intereses_Leasing_Mensual!O148&gt;0, ROUND($I148-Intereses_Leasing_Mensual!O148, 2), "")</f>
        <v/>
      </c>
      <c r="Q148" s="29">
        <f>IF(Intereses_Leasing_Mensual!P148&gt;0, ROUND($I148-Intereses_Leasing_Mensual!P148, 2), "")</f>
        <v/>
      </c>
      <c r="R148" s="29">
        <f>IF(Intereses_Leasing_Mensual!Q148&gt;0, ROUND($I148-Intereses_Leasing_Mensual!Q148, 2), "")</f>
        <v/>
      </c>
      <c r="S148" s="29">
        <f>IF(Intereses_Leasing_Mensual!R148&gt;0, ROUND($I148-Intereses_Leasing_Mensual!R148, 2), "")</f>
        <v/>
      </c>
      <c r="T148" s="29">
        <f>IF(Intereses_Leasing_Mensual!S148&gt;0, ROUND($I148-Intereses_Leasing_Mensual!S148, 2), "")</f>
        <v/>
      </c>
      <c r="U148" s="29">
        <f>IF(Intereses_Leasing_Mensual!T148&gt;0, ROUND($I148-Intereses_Leasing_Mensual!T148, 2), "")</f>
        <v/>
      </c>
      <c r="V148" s="29">
        <f>SUM(J148:U148)</f>
        <v/>
      </c>
    </row>
    <row r="149">
      <c r="A149" s="20" t="inlineStr">
        <is>
          <t>0674-0001</t>
        </is>
      </c>
      <c r="B149" s="21" t="inlineStr">
        <is>
          <t>Zuji Sa de Cv</t>
        </is>
      </c>
      <c r="C149" s="21" t="inlineStr">
        <is>
          <t>2008 Allure</t>
        </is>
      </c>
      <c r="D149" s="20" t="inlineStr">
        <is>
          <t>ACTIVO</t>
        </is>
      </c>
      <c r="E149" s="20" t="inlineStr">
        <is>
          <t>2024-09-30</t>
        </is>
      </c>
      <c r="F149" s="20" t="inlineStr">
        <is>
          <t>2027-09-30</t>
        </is>
      </c>
      <c r="G149" s="22" t="n">
        <v>36</v>
      </c>
      <c r="H149" s="23" t="n">
        <v>327517.24</v>
      </c>
      <c r="I149" s="23" t="n">
        <v>13131.27</v>
      </c>
      <c r="J149" s="23">
        <f>IF(Intereses_Leasing_Mensual!I149&gt;0, ROUND($I149-Intereses_Leasing_Mensual!I149, 2), "")</f>
        <v/>
      </c>
      <c r="K149" s="23">
        <f>IF(Intereses_Leasing_Mensual!J149&gt;0, ROUND($I149-Intereses_Leasing_Mensual!J149, 2), "")</f>
        <v/>
      </c>
      <c r="L149" s="23">
        <f>IF(Intereses_Leasing_Mensual!K149&gt;0, ROUND($I149-Intereses_Leasing_Mensual!K149, 2), "")</f>
        <v/>
      </c>
      <c r="M149" s="23">
        <f>IF(Intereses_Leasing_Mensual!L149&gt;0, ROUND($I149-Intereses_Leasing_Mensual!L149, 2), "")</f>
        <v/>
      </c>
      <c r="N149" s="23">
        <f>IF(Intereses_Leasing_Mensual!M149&gt;0, ROUND($I149-Intereses_Leasing_Mensual!M149, 2), "")</f>
        <v/>
      </c>
      <c r="O149" s="23">
        <f>IF(Intereses_Leasing_Mensual!N149&gt;0, ROUND($I149-Intereses_Leasing_Mensual!N149, 2), "")</f>
        <v/>
      </c>
      <c r="P149" s="23">
        <f>IF(Intereses_Leasing_Mensual!O149&gt;0, ROUND($I149-Intereses_Leasing_Mensual!O149, 2), "")</f>
        <v/>
      </c>
      <c r="Q149" s="23">
        <f>IF(Intereses_Leasing_Mensual!P149&gt;0, ROUND($I149-Intereses_Leasing_Mensual!P149, 2), "")</f>
        <v/>
      </c>
      <c r="R149" s="23">
        <f>IF(Intereses_Leasing_Mensual!Q149&gt;0, ROUND($I149-Intereses_Leasing_Mensual!Q149, 2), "")</f>
        <v/>
      </c>
      <c r="S149" s="23">
        <f>IF(Intereses_Leasing_Mensual!R149&gt;0, ROUND($I149-Intereses_Leasing_Mensual!R149, 2), "")</f>
        <v/>
      </c>
      <c r="T149" s="23">
        <f>IF(Intereses_Leasing_Mensual!S149&gt;0, ROUND($I149-Intereses_Leasing_Mensual!S149, 2), "")</f>
        <v/>
      </c>
      <c r="U149" s="23">
        <f>IF(Intereses_Leasing_Mensual!T149&gt;0, ROUND($I149-Intereses_Leasing_Mensual!T149, 2), "")</f>
        <v/>
      </c>
      <c r="V149" s="23">
        <f>SUM(J149:U149)</f>
        <v/>
      </c>
    </row>
    <row r="150">
      <c r="A150" s="26" t="inlineStr">
        <is>
          <t>0675-0002</t>
        </is>
      </c>
      <c r="B150" s="27" t="inlineStr">
        <is>
          <t>Comercializadora Industrial de Zapopan Sa de Cv</t>
        </is>
      </c>
      <c r="C150" s="27" t="inlineStr">
        <is>
          <t>Valor Residual</t>
        </is>
      </c>
      <c r="D150" s="26" t="inlineStr">
        <is>
          <t>ACTIVO</t>
        </is>
      </c>
      <c r="E150" s="26" t="inlineStr">
        <is>
          <t>2025-10-15</t>
        </is>
      </c>
      <c r="F150" s="26" t="inlineStr">
        <is>
          <t>2026-10-15</t>
        </is>
      </c>
      <c r="G150" s="28" t="n">
        <v>12</v>
      </c>
      <c r="H150" s="29" t="n">
        <v>214163.79</v>
      </c>
      <c r="I150" s="29" t="n">
        <v>16144.76</v>
      </c>
      <c r="J150" s="29">
        <f>IF(Intereses_Leasing_Mensual!I150&gt;0, ROUND($I150-Intereses_Leasing_Mensual!I150, 2), "")</f>
        <v/>
      </c>
      <c r="K150" s="29">
        <f>IF(Intereses_Leasing_Mensual!J150&gt;0, ROUND($I150-Intereses_Leasing_Mensual!J150, 2), "")</f>
        <v/>
      </c>
      <c r="L150" s="29">
        <f>IF(Intereses_Leasing_Mensual!K150&gt;0, ROUND($I150-Intereses_Leasing_Mensual!K150, 2), "")</f>
        <v/>
      </c>
      <c r="M150" s="29">
        <f>IF(Intereses_Leasing_Mensual!L150&gt;0, ROUND($I150-Intereses_Leasing_Mensual!L150, 2), "")</f>
        <v/>
      </c>
      <c r="N150" s="29">
        <f>IF(Intereses_Leasing_Mensual!M150&gt;0, ROUND($I150-Intereses_Leasing_Mensual!M150, 2), "")</f>
        <v/>
      </c>
      <c r="O150" s="29">
        <f>IF(Intereses_Leasing_Mensual!N150&gt;0, ROUND($I150-Intereses_Leasing_Mensual!N150, 2), "")</f>
        <v/>
      </c>
      <c r="P150" s="29">
        <f>IF(Intereses_Leasing_Mensual!O150&gt;0, ROUND($I150-Intereses_Leasing_Mensual!O150, 2), "")</f>
        <v/>
      </c>
      <c r="Q150" s="29">
        <f>IF(Intereses_Leasing_Mensual!P150&gt;0, ROUND($I150-Intereses_Leasing_Mensual!P150, 2), "")</f>
        <v/>
      </c>
      <c r="R150" s="29">
        <f>IF(Intereses_Leasing_Mensual!Q150&gt;0, ROUND($I150-Intereses_Leasing_Mensual!Q150, 2), "")</f>
        <v/>
      </c>
      <c r="S150" s="29" t="inlineStr"/>
      <c r="T150" s="29" t="inlineStr"/>
      <c r="U150" s="29" t="inlineStr"/>
      <c r="V150" s="29">
        <f>SUM(J150:U150)</f>
        <v/>
      </c>
    </row>
    <row r="151">
      <c r="A151" s="20" t="inlineStr">
        <is>
          <t>0676-0001</t>
        </is>
      </c>
      <c r="B151" s="21" t="inlineStr">
        <is>
          <t>Productora Agricola los Amoles</t>
        </is>
      </c>
      <c r="C151" s="21" t="inlineStr">
        <is>
          <t>Ram 700 Regular Cab</t>
        </is>
      </c>
      <c r="D151" s="20" t="inlineStr">
        <is>
          <t>ACTIVO</t>
        </is>
      </c>
      <c r="E151" s="20" t="inlineStr">
        <is>
          <t>2024-10-30</t>
        </is>
      </c>
      <c r="F151" s="20" t="inlineStr">
        <is>
          <t>2027-10-30</t>
        </is>
      </c>
      <c r="G151" s="22" t="n">
        <v>36</v>
      </c>
      <c r="H151" s="23" t="n">
        <v>244515.26</v>
      </c>
      <c r="I151" s="23" t="n">
        <v>9979.08</v>
      </c>
      <c r="J151" s="23">
        <f>IF(Intereses_Leasing_Mensual!I151&gt;0, ROUND($I151-Intereses_Leasing_Mensual!I151, 2), "")</f>
        <v/>
      </c>
      <c r="K151" s="23">
        <f>IF(Intereses_Leasing_Mensual!J151&gt;0, ROUND($I151-Intereses_Leasing_Mensual!J151, 2), "")</f>
        <v/>
      </c>
      <c r="L151" s="23">
        <f>IF(Intereses_Leasing_Mensual!K151&gt;0, ROUND($I151-Intereses_Leasing_Mensual!K151, 2), "")</f>
        <v/>
      </c>
      <c r="M151" s="23">
        <f>IF(Intereses_Leasing_Mensual!L151&gt;0, ROUND($I151-Intereses_Leasing_Mensual!L151, 2), "")</f>
        <v/>
      </c>
      <c r="N151" s="23">
        <f>IF(Intereses_Leasing_Mensual!M151&gt;0, ROUND($I151-Intereses_Leasing_Mensual!M151, 2), "")</f>
        <v/>
      </c>
      <c r="O151" s="23">
        <f>IF(Intereses_Leasing_Mensual!N151&gt;0, ROUND($I151-Intereses_Leasing_Mensual!N151, 2), "")</f>
        <v/>
      </c>
      <c r="P151" s="23">
        <f>IF(Intereses_Leasing_Mensual!O151&gt;0, ROUND($I151-Intereses_Leasing_Mensual!O151, 2), "")</f>
        <v/>
      </c>
      <c r="Q151" s="23">
        <f>IF(Intereses_Leasing_Mensual!P151&gt;0, ROUND($I151-Intereses_Leasing_Mensual!P151, 2), "")</f>
        <v/>
      </c>
      <c r="R151" s="23">
        <f>IF(Intereses_Leasing_Mensual!Q151&gt;0, ROUND($I151-Intereses_Leasing_Mensual!Q151, 2), "")</f>
        <v/>
      </c>
      <c r="S151" s="23">
        <f>IF(Intereses_Leasing_Mensual!R151&gt;0, ROUND($I151-Intereses_Leasing_Mensual!R151, 2), "")</f>
        <v/>
      </c>
      <c r="T151" s="23">
        <f>IF(Intereses_Leasing_Mensual!S151&gt;0, ROUND($I151-Intereses_Leasing_Mensual!S151, 2), "")</f>
        <v/>
      </c>
      <c r="U151" s="23">
        <f>IF(Intereses_Leasing_Mensual!T151&gt;0, ROUND($I151-Intereses_Leasing_Mensual!T151, 2), "")</f>
        <v/>
      </c>
      <c r="V151" s="23">
        <f>SUM(J151:U151)</f>
        <v/>
      </c>
    </row>
    <row r="152">
      <c r="A152" s="26" t="inlineStr">
        <is>
          <t>0677-0001</t>
        </is>
      </c>
      <c r="B152" s="27" t="inlineStr">
        <is>
          <t>Laboratorio Inunza Siglo XXI</t>
        </is>
      </c>
      <c r="C152" s="27" t="inlineStr">
        <is>
          <t>Outlander Diamon</t>
        </is>
      </c>
      <c r="D152" s="26" t="inlineStr">
        <is>
          <t>ACTIVO</t>
        </is>
      </c>
      <c r="E152" s="26" t="inlineStr">
        <is>
          <t>2024-10-30</t>
        </is>
      </c>
      <c r="F152" s="26" t="inlineStr">
        <is>
          <t>2027-10-30</t>
        </is>
      </c>
      <c r="G152" s="28" t="n">
        <v>36</v>
      </c>
      <c r="H152" s="29" t="n">
        <v>567181.03</v>
      </c>
      <c r="I152" s="29" t="n">
        <v>24012.33</v>
      </c>
      <c r="J152" s="29">
        <f>IF(Intereses_Leasing_Mensual!I152&gt;0, ROUND($I152-Intereses_Leasing_Mensual!I152, 2), "")</f>
        <v/>
      </c>
      <c r="K152" s="29">
        <f>IF(Intereses_Leasing_Mensual!J152&gt;0, ROUND($I152-Intereses_Leasing_Mensual!J152, 2), "")</f>
        <v/>
      </c>
      <c r="L152" s="29">
        <f>IF(Intereses_Leasing_Mensual!K152&gt;0, ROUND($I152-Intereses_Leasing_Mensual!K152, 2), "")</f>
        <v/>
      </c>
      <c r="M152" s="29">
        <f>IF(Intereses_Leasing_Mensual!L152&gt;0, ROUND($I152-Intereses_Leasing_Mensual!L152, 2), "")</f>
        <v/>
      </c>
      <c r="N152" s="29">
        <f>IF(Intereses_Leasing_Mensual!M152&gt;0, ROUND($I152-Intereses_Leasing_Mensual!M152, 2), "")</f>
        <v/>
      </c>
      <c r="O152" s="29">
        <f>IF(Intereses_Leasing_Mensual!N152&gt;0, ROUND($I152-Intereses_Leasing_Mensual!N152, 2), "")</f>
        <v/>
      </c>
      <c r="P152" s="29">
        <f>IF(Intereses_Leasing_Mensual!O152&gt;0, ROUND($I152-Intereses_Leasing_Mensual!O152, 2), "")</f>
        <v/>
      </c>
      <c r="Q152" s="29">
        <f>IF(Intereses_Leasing_Mensual!P152&gt;0, ROUND($I152-Intereses_Leasing_Mensual!P152, 2), "")</f>
        <v/>
      </c>
      <c r="R152" s="29">
        <f>IF(Intereses_Leasing_Mensual!Q152&gt;0, ROUND($I152-Intereses_Leasing_Mensual!Q152, 2), "")</f>
        <v/>
      </c>
      <c r="S152" s="29">
        <f>IF(Intereses_Leasing_Mensual!R152&gt;0, ROUND($I152-Intereses_Leasing_Mensual!R152, 2), "")</f>
        <v/>
      </c>
      <c r="T152" s="29">
        <f>IF(Intereses_Leasing_Mensual!S152&gt;0, ROUND($I152-Intereses_Leasing_Mensual!S152, 2), "")</f>
        <v/>
      </c>
      <c r="U152" s="29">
        <f>IF(Intereses_Leasing_Mensual!T152&gt;0, ROUND($I152-Intereses_Leasing_Mensual!T152, 2), "")</f>
        <v/>
      </c>
      <c r="V152" s="29">
        <f>SUM(J152:U152)</f>
        <v/>
      </c>
    </row>
    <row r="153">
      <c r="A153" s="20" t="inlineStr">
        <is>
          <t>0678-0002</t>
        </is>
      </c>
      <c r="B153" s="21" t="inlineStr">
        <is>
          <t>Bhg Harmony S de Rl de Cv</t>
        </is>
      </c>
      <c r="C153" s="21" t="inlineStr">
        <is>
          <t>Teramont</t>
        </is>
      </c>
      <c r="D153" s="20" t="inlineStr">
        <is>
          <t>ACTIVO</t>
        </is>
      </c>
      <c r="E153" s="20" t="inlineStr">
        <is>
          <t>2025-12-04</t>
        </is>
      </c>
      <c r="F153" s="20" t="inlineStr">
        <is>
          <t>2026-12-04</t>
        </is>
      </c>
      <c r="G153" s="22" t="n">
        <v>12</v>
      </c>
      <c r="H153" s="23" t="n">
        <v>531176.38</v>
      </c>
      <c r="I153" s="23" t="n">
        <v>45325.62</v>
      </c>
      <c r="J153" s="23">
        <f>IF(Intereses_Leasing_Mensual!I153&gt;0, ROUND($I153-Intereses_Leasing_Mensual!I153, 2), "")</f>
        <v/>
      </c>
      <c r="K153" s="23">
        <f>IF(Intereses_Leasing_Mensual!J153&gt;0, ROUND($I153-Intereses_Leasing_Mensual!J153, 2), "")</f>
        <v/>
      </c>
      <c r="L153" s="23">
        <f>IF(Intereses_Leasing_Mensual!K153&gt;0, ROUND($I153-Intereses_Leasing_Mensual!K153, 2), "")</f>
        <v/>
      </c>
      <c r="M153" s="23">
        <f>IF(Intereses_Leasing_Mensual!L153&gt;0, ROUND($I153-Intereses_Leasing_Mensual!L153, 2), "")</f>
        <v/>
      </c>
      <c r="N153" s="23">
        <f>IF(Intereses_Leasing_Mensual!M153&gt;0, ROUND($I153-Intereses_Leasing_Mensual!M153, 2), "")</f>
        <v/>
      </c>
      <c r="O153" s="23">
        <f>IF(Intereses_Leasing_Mensual!N153&gt;0, ROUND($I153-Intereses_Leasing_Mensual!N153, 2), "")</f>
        <v/>
      </c>
      <c r="P153" s="23">
        <f>IF(Intereses_Leasing_Mensual!O153&gt;0, ROUND($I153-Intereses_Leasing_Mensual!O153, 2), "")</f>
        <v/>
      </c>
      <c r="Q153" s="23">
        <f>IF(Intereses_Leasing_Mensual!P153&gt;0, ROUND($I153-Intereses_Leasing_Mensual!P153, 2), "")</f>
        <v/>
      </c>
      <c r="R153" s="23">
        <f>IF(Intereses_Leasing_Mensual!Q153&gt;0, ROUND($I153-Intereses_Leasing_Mensual!Q153, 2), "")</f>
        <v/>
      </c>
      <c r="S153" s="23">
        <f>IF(Intereses_Leasing_Mensual!R153&gt;0, ROUND($I153-Intereses_Leasing_Mensual!R153, 2), "")</f>
        <v/>
      </c>
      <c r="T153" s="23">
        <f>IF(Intereses_Leasing_Mensual!S153&gt;0, ROUND($I153-Intereses_Leasing_Mensual!S153, 2), "")</f>
        <v/>
      </c>
      <c r="U153" s="23" t="inlineStr"/>
      <c r="V153" s="23">
        <f>SUM(J153:U153)</f>
        <v/>
      </c>
    </row>
    <row r="154">
      <c r="A154" s="26" t="inlineStr">
        <is>
          <t>0679-0001</t>
        </is>
      </c>
      <c r="B154" s="27" t="inlineStr">
        <is>
          <t>Naikor de Occidente Sa de Cv</t>
        </is>
      </c>
      <c r="C154" s="27" t="inlineStr">
        <is>
          <t>2008</t>
        </is>
      </c>
      <c r="D154" s="26" t="inlineStr">
        <is>
          <t>ACTIVO</t>
        </is>
      </c>
      <c r="E154" s="26" t="inlineStr">
        <is>
          <t>2024-11-29</t>
        </is>
      </c>
      <c r="F154" s="26" t="inlineStr">
        <is>
          <t>2028-11-29</t>
        </is>
      </c>
      <c r="G154" s="28" t="n">
        <v>48</v>
      </c>
      <c r="H154" s="29" t="n">
        <v>327008.62</v>
      </c>
      <c r="I154" s="29" t="n">
        <v>13010.63</v>
      </c>
      <c r="J154" s="29">
        <f>IF(Intereses_Leasing_Mensual!I154&gt;0, ROUND($I154-Intereses_Leasing_Mensual!I154, 2), "")</f>
        <v/>
      </c>
      <c r="K154" s="29">
        <f>IF(Intereses_Leasing_Mensual!J154&gt;0, ROUND($I154-Intereses_Leasing_Mensual!J154, 2), "")</f>
        <v/>
      </c>
      <c r="L154" s="29">
        <f>IF(Intereses_Leasing_Mensual!K154&gt;0, ROUND($I154-Intereses_Leasing_Mensual!K154, 2), "")</f>
        <v/>
      </c>
      <c r="M154" s="29">
        <f>IF(Intereses_Leasing_Mensual!L154&gt;0, ROUND($I154-Intereses_Leasing_Mensual!L154, 2), "")</f>
        <v/>
      </c>
      <c r="N154" s="29">
        <f>IF(Intereses_Leasing_Mensual!M154&gt;0, ROUND($I154-Intereses_Leasing_Mensual!M154, 2), "")</f>
        <v/>
      </c>
      <c r="O154" s="29">
        <f>IF(Intereses_Leasing_Mensual!N154&gt;0, ROUND($I154-Intereses_Leasing_Mensual!N154, 2), "")</f>
        <v/>
      </c>
      <c r="P154" s="29">
        <f>IF(Intereses_Leasing_Mensual!O154&gt;0, ROUND($I154-Intereses_Leasing_Mensual!O154, 2), "")</f>
        <v/>
      </c>
      <c r="Q154" s="29">
        <f>IF(Intereses_Leasing_Mensual!P154&gt;0, ROUND($I154-Intereses_Leasing_Mensual!P154, 2), "")</f>
        <v/>
      </c>
      <c r="R154" s="29">
        <f>IF(Intereses_Leasing_Mensual!Q154&gt;0, ROUND($I154-Intereses_Leasing_Mensual!Q154, 2), "")</f>
        <v/>
      </c>
      <c r="S154" s="29">
        <f>IF(Intereses_Leasing_Mensual!R154&gt;0, ROUND($I154-Intereses_Leasing_Mensual!R154, 2), "")</f>
        <v/>
      </c>
      <c r="T154" s="29">
        <f>IF(Intereses_Leasing_Mensual!S154&gt;0, ROUND($I154-Intereses_Leasing_Mensual!S154, 2), "")</f>
        <v/>
      </c>
      <c r="U154" s="29">
        <f>IF(Intereses_Leasing_Mensual!T154&gt;0, ROUND($I154-Intereses_Leasing_Mensual!T154, 2), "")</f>
        <v/>
      </c>
      <c r="V154" s="29">
        <f>SUM(J154:U154)</f>
        <v/>
      </c>
    </row>
    <row r="155">
      <c r="A155" s="20" t="inlineStr">
        <is>
          <t>0680-0001</t>
        </is>
      </c>
      <c r="B155" s="21" t="inlineStr">
        <is>
          <t>Madereria el Volcan Sa de Cv</t>
        </is>
      </c>
      <c r="C155" s="21" t="inlineStr">
        <is>
          <t>JT Mojave</t>
        </is>
      </c>
      <c r="D155" s="20" t="inlineStr">
        <is>
          <t>ACTIVO</t>
        </is>
      </c>
      <c r="E155" s="20" t="inlineStr">
        <is>
          <t>2024-12-27</t>
        </is>
      </c>
      <c r="F155" s="20" t="inlineStr">
        <is>
          <t>2027-12-27</t>
        </is>
      </c>
      <c r="G155" s="22" t="n">
        <v>36</v>
      </c>
      <c r="H155" s="23" t="n">
        <v>828179.33</v>
      </c>
      <c r="I155" s="23" t="n">
        <v>36683.87</v>
      </c>
      <c r="J155" s="23">
        <f>IF(Intereses_Leasing_Mensual!I155&gt;0, ROUND($I155-Intereses_Leasing_Mensual!I155, 2), "")</f>
        <v/>
      </c>
      <c r="K155" s="23">
        <f>IF(Intereses_Leasing_Mensual!J155&gt;0, ROUND($I155-Intereses_Leasing_Mensual!J155, 2), "")</f>
        <v/>
      </c>
      <c r="L155" s="23">
        <f>IF(Intereses_Leasing_Mensual!K155&gt;0, ROUND($I155-Intereses_Leasing_Mensual!K155, 2), "")</f>
        <v/>
      </c>
      <c r="M155" s="23">
        <f>IF(Intereses_Leasing_Mensual!L155&gt;0, ROUND($I155-Intereses_Leasing_Mensual!L155, 2), "")</f>
        <v/>
      </c>
      <c r="N155" s="23">
        <f>IF(Intereses_Leasing_Mensual!M155&gt;0, ROUND($I155-Intereses_Leasing_Mensual!M155, 2), "")</f>
        <v/>
      </c>
      <c r="O155" s="23">
        <f>IF(Intereses_Leasing_Mensual!N155&gt;0, ROUND($I155-Intereses_Leasing_Mensual!N155, 2), "")</f>
        <v/>
      </c>
      <c r="P155" s="23">
        <f>IF(Intereses_Leasing_Mensual!O155&gt;0, ROUND($I155-Intereses_Leasing_Mensual!O155, 2), "")</f>
        <v/>
      </c>
      <c r="Q155" s="23">
        <f>IF(Intereses_Leasing_Mensual!P155&gt;0, ROUND($I155-Intereses_Leasing_Mensual!P155, 2), "")</f>
        <v/>
      </c>
      <c r="R155" s="23">
        <f>IF(Intereses_Leasing_Mensual!Q155&gt;0, ROUND($I155-Intereses_Leasing_Mensual!Q155, 2), "")</f>
        <v/>
      </c>
      <c r="S155" s="23">
        <f>IF(Intereses_Leasing_Mensual!R155&gt;0, ROUND($I155-Intereses_Leasing_Mensual!R155, 2), "")</f>
        <v/>
      </c>
      <c r="T155" s="23">
        <f>IF(Intereses_Leasing_Mensual!S155&gt;0, ROUND($I155-Intereses_Leasing_Mensual!S155, 2), "")</f>
        <v/>
      </c>
      <c r="U155" s="23">
        <f>IF(Intereses_Leasing_Mensual!T155&gt;0, ROUND($I155-Intereses_Leasing_Mensual!T155, 2), "")</f>
        <v/>
      </c>
      <c r="V155" s="23">
        <f>SUM(J155:U155)</f>
        <v/>
      </c>
    </row>
    <row r="156">
      <c r="A156" s="26" t="inlineStr">
        <is>
          <t>0682-0001</t>
        </is>
      </c>
      <c r="B156" s="27" t="inlineStr">
        <is>
          <t>Hidraneumaticos y Equipos para Gas Sa de Cv</t>
        </is>
      </c>
      <c r="C156" s="27" t="inlineStr">
        <is>
          <t>Renegade Limited</t>
        </is>
      </c>
      <c r="D156" s="26" t="inlineStr">
        <is>
          <t>ACTIVO</t>
        </is>
      </c>
      <c r="E156" s="26" t="inlineStr">
        <is>
          <t>2024-12-27</t>
        </is>
      </c>
      <c r="F156" s="26" t="inlineStr">
        <is>
          <t>2026-12-27</t>
        </is>
      </c>
      <c r="G156" s="28" t="n">
        <v>24</v>
      </c>
      <c r="H156" s="29" t="n">
        <v>385913.79</v>
      </c>
      <c r="I156" s="29" t="n">
        <v>21853.21</v>
      </c>
      <c r="J156" s="29">
        <f>IF(Intereses_Leasing_Mensual!I156&gt;0, ROUND($I156-Intereses_Leasing_Mensual!I156, 2), "")</f>
        <v/>
      </c>
      <c r="K156" s="29">
        <f>IF(Intereses_Leasing_Mensual!J156&gt;0, ROUND($I156-Intereses_Leasing_Mensual!J156, 2), "")</f>
        <v/>
      </c>
      <c r="L156" s="29">
        <f>IF(Intereses_Leasing_Mensual!K156&gt;0, ROUND($I156-Intereses_Leasing_Mensual!K156, 2), "")</f>
        <v/>
      </c>
      <c r="M156" s="29">
        <f>IF(Intereses_Leasing_Mensual!L156&gt;0, ROUND($I156-Intereses_Leasing_Mensual!L156, 2), "")</f>
        <v/>
      </c>
      <c r="N156" s="29">
        <f>IF(Intereses_Leasing_Mensual!M156&gt;0, ROUND($I156-Intereses_Leasing_Mensual!M156, 2), "")</f>
        <v/>
      </c>
      <c r="O156" s="29">
        <f>IF(Intereses_Leasing_Mensual!N156&gt;0, ROUND($I156-Intereses_Leasing_Mensual!N156, 2), "")</f>
        <v/>
      </c>
      <c r="P156" s="29">
        <f>IF(Intereses_Leasing_Mensual!O156&gt;0, ROUND($I156-Intereses_Leasing_Mensual!O156, 2), "")</f>
        <v/>
      </c>
      <c r="Q156" s="29">
        <f>IF(Intereses_Leasing_Mensual!P156&gt;0, ROUND($I156-Intereses_Leasing_Mensual!P156, 2), "")</f>
        <v/>
      </c>
      <c r="R156" s="29">
        <f>IF(Intereses_Leasing_Mensual!Q156&gt;0, ROUND($I156-Intereses_Leasing_Mensual!Q156, 2), "")</f>
        <v/>
      </c>
      <c r="S156" s="29">
        <f>IF(Intereses_Leasing_Mensual!R156&gt;0, ROUND($I156-Intereses_Leasing_Mensual!R156, 2), "")</f>
        <v/>
      </c>
      <c r="T156" s="29">
        <f>IF(Intereses_Leasing_Mensual!S156&gt;0, ROUND($I156-Intereses_Leasing_Mensual!S156, 2), "")</f>
        <v/>
      </c>
      <c r="U156" s="29" t="inlineStr"/>
      <c r="V156" s="29">
        <f>SUM(J156:U156)</f>
        <v/>
      </c>
    </row>
    <row r="157">
      <c r="A157" s="20" t="inlineStr">
        <is>
          <t>0682-0002</t>
        </is>
      </c>
      <c r="B157" s="21" t="inlineStr">
        <is>
          <t>Hidroneumaticos y Equipos para Gas Sa de Cv</t>
        </is>
      </c>
      <c r="C157" s="21" t="inlineStr">
        <is>
          <t>RIO</t>
        </is>
      </c>
      <c r="D157" s="20" t="inlineStr">
        <is>
          <t>ACTIVO</t>
        </is>
      </c>
      <c r="E157" s="20" t="inlineStr">
        <is>
          <t>2025-02-17</t>
        </is>
      </c>
      <c r="F157" s="20" t="inlineStr">
        <is>
          <t>2027-02-17</t>
        </is>
      </c>
      <c r="G157" s="22" t="n">
        <v>24</v>
      </c>
      <c r="H157" s="23" t="n">
        <v>201646.55</v>
      </c>
      <c r="I157" s="23" t="n">
        <v>11418.67</v>
      </c>
      <c r="J157" s="23">
        <f>IF(Intereses_Leasing_Mensual!I157&gt;0, ROUND($I157-Intereses_Leasing_Mensual!I157, 2), "")</f>
        <v/>
      </c>
      <c r="K157" s="23">
        <f>IF(Intereses_Leasing_Mensual!J157&gt;0, ROUND($I157-Intereses_Leasing_Mensual!J157, 2), "")</f>
        <v/>
      </c>
      <c r="L157" s="23">
        <f>IF(Intereses_Leasing_Mensual!K157&gt;0, ROUND($I157-Intereses_Leasing_Mensual!K157, 2), "")</f>
        <v/>
      </c>
      <c r="M157" s="23">
        <f>IF(Intereses_Leasing_Mensual!L157&gt;0, ROUND($I157-Intereses_Leasing_Mensual!L157, 2), "")</f>
        <v/>
      </c>
      <c r="N157" s="23">
        <f>IF(Intereses_Leasing_Mensual!M157&gt;0, ROUND($I157-Intereses_Leasing_Mensual!M157, 2), "")</f>
        <v/>
      </c>
      <c r="O157" s="23">
        <f>IF(Intereses_Leasing_Mensual!N157&gt;0, ROUND($I157-Intereses_Leasing_Mensual!N157, 2), "")</f>
        <v/>
      </c>
      <c r="P157" s="23">
        <f>IF(Intereses_Leasing_Mensual!O157&gt;0, ROUND($I157-Intereses_Leasing_Mensual!O157, 2), "")</f>
        <v/>
      </c>
      <c r="Q157" s="23">
        <f>IF(Intereses_Leasing_Mensual!P157&gt;0, ROUND($I157-Intereses_Leasing_Mensual!P157, 2), "")</f>
        <v/>
      </c>
      <c r="R157" s="23">
        <f>IF(Intereses_Leasing_Mensual!Q157&gt;0, ROUND($I157-Intereses_Leasing_Mensual!Q157, 2), "")</f>
        <v/>
      </c>
      <c r="S157" s="23">
        <f>IF(Intereses_Leasing_Mensual!R157&gt;0, ROUND($I157-Intereses_Leasing_Mensual!R157, 2), "")</f>
        <v/>
      </c>
      <c r="T157" s="23">
        <f>IF(Intereses_Leasing_Mensual!S157&gt;0, ROUND($I157-Intereses_Leasing_Mensual!S157, 2), "")</f>
        <v/>
      </c>
      <c r="U157" s="23">
        <f>IF(Intereses_Leasing_Mensual!T157&gt;0, ROUND($I157-Intereses_Leasing_Mensual!T157, 2), "")</f>
        <v/>
      </c>
      <c r="V157" s="23">
        <f>SUM(J157:U157)</f>
        <v/>
      </c>
    </row>
    <row r="158">
      <c r="A158" s="26" t="inlineStr">
        <is>
          <t>0683-0001</t>
        </is>
      </c>
      <c r="B158" s="27" t="inlineStr">
        <is>
          <t>Maria de Jesus Sanchez Aguayo</t>
        </is>
      </c>
      <c r="C158" s="27" t="inlineStr">
        <is>
          <t>Ram 700 Regular Cab</t>
        </is>
      </c>
      <c r="D158" s="26" t="inlineStr">
        <is>
          <t>ACTIVO</t>
        </is>
      </c>
      <c r="E158" s="26" t="inlineStr">
        <is>
          <t>2025-01-09</t>
        </is>
      </c>
      <c r="F158" s="26" t="inlineStr">
        <is>
          <t>2028-01-09</t>
        </is>
      </c>
      <c r="G158" s="28" t="n">
        <v>36</v>
      </c>
      <c r="H158" s="29" t="n">
        <v>249030.77</v>
      </c>
      <c r="I158" s="29" t="n">
        <v>10163.36</v>
      </c>
      <c r="J158" s="29">
        <f>IF(Intereses_Leasing_Mensual!I158&gt;0, ROUND($I158-Intereses_Leasing_Mensual!I158, 2), "")</f>
        <v/>
      </c>
      <c r="K158" s="29">
        <f>IF(Intereses_Leasing_Mensual!J158&gt;0, ROUND($I158-Intereses_Leasing_Mensual!J158, 2), "")</f>
        <v/>
      </c>
      <c r="L158" s="29">
        <f>IF(Intereses_Leasing_Mensual!K158&gt;0, ROUND($I158-Intereses_Leasing_Mensual!K158, 2), "")</f>
        <v/>
      </c>
      <c r="M158" s="29">
        <f>IF(Intereses_Leasing_Mensual!L158&gt;0, ROUND($I158-Intereses_Leasing_Mensual!L158, 2), "")</f>
        <v/>
      </c>
      <c r="N158" s="29">
        <f>IF(Intereses_Leasing_Mensual!M158&gt;0, ROUND($I158-Intereses_Leasing_Mensual!M158, 2), "")</f>
        <v/>
      </c>
      <c r="O158" s="29">
        <f>IF(Intereses_Leasing_Mensual!N158&gt;0, ROUND($I158-Intereses_Leasing_Mensual!N158, 2), "")</f>
        <v/>
      </c>
      <c r="P158" s="29">
        <f>IF(Intereses_Leasing_Mensual!O158&gt;0, ROUND($I158-Intereses_Leasing_Mensual!O158, 2), "")</f>
        <v/>
      </c>
      <c r="Q158" s="29">
        <f>IF(Intereses_Leasing_Mensual!P158&gt;0, ROUND($I158-Intereses_Leasing_Mensual!P158, 2), "")</f>
        <v/>
      </c>
      <c r="R158" s="29">
        <f>IF(Intereses_Leasing_Mensual!Q158&gt;0, ROUND($I158-Intereses_Leasing_Mensual!Q158, 2), "")</f>
        <v/>
      </c>
      <c r="S158" s="29">
        <f>IF(Intereses_Leasing_Mensual!R158&gt;0, ROUND($I158-Intereses_Leasing_Mensual!R158, 2), "")</f>
        <v/>
      </c>
      <c r="T158" s="29">
        <f>IF(Intereses_Leasing_Mensual!S158&gt;0, ROUND($I158-Intereses_Leasing_Mensual!S158, 2), "")</f>
        <v/>
      </c>
      <c r="U158" s="29">
        <f>IF(Intereses_Leasing_Mensual!T158&gt;0, ROUND($I158-Intereses_Leasing_Mensual!T158, 2), "")</f>
        <v/>
      </c>
      <c r="V158" s="29">
        <f>SUM(J158:U158)</f>
        <v/>
      </c>
    </row>
    <row r="159">
      <c r="A159" s="20" t="inlineStr">
        <is>
          <t>0683-0002</t>
        </is>
      </c>
      <c r="B159" s="21" t="inlineStr">
        <is>
          <t>Maria de Jesus Sanchez Aguayo</t>
        </is>
      </c>
      <c r="C159" s="21" t="inlineStr">
        <is>
          <t>700 Tradesman Regular Cab</t>
        </is>
      </c>
      <c r="D159" s="20" t="inlineStr">
        <is>
          <t>ACTIVO</t>
        </is>
      </c>
      <c r="E159" s="20" t="inlineStr">
        <is>
          <t>2026-01-05</t>
        </is>
      </c>
      <c r="F159" s="20" t="inlineStr">
        <is>
          <t>2029-01-05</t>
        </is>
      </c>
      <c r="G159" s="22" t="n">
        <v>36</v>
      </c>
      <c r="H159" s="23" t="n">
        <v>240439.65</v>
      </c>
      <c r="I159" s="23" t="n">
        <v>9571.969999999999</v>
      </c>
      <c r="J159" s="23">
        <f>IF(Intereses_Leasing_Mensual!I159&gt;0, ROUND($I159-Intereses_Leasing_Mensual!I159, 2), "")</f>
        <v/>
      </c>
      <c r="K159" s="23">
        <f>IF(Intereses_Leasing_Mensual!J159&gt;0, ROUND($I159-Intereses_Leasing_Mensual!J159, 2), "")</f>
        <v/>
      </c>
      <c r="L159" s="23">
        <f>IF(Intereses_Leasing_Mensual!K159&gt;0, ROUND($I159-Intereses_Leasing_Mensual!K159, 2), "")</f>
        <v/>
      </c>
      <c r="M159" s="23">
        <f>IF(Intereses_Leasing_Mensual!L159&gt;0, ROUND($I159-Intereses_Leasing_Mensual!L159, 2), "")</f>
        <v/>
      </c>
      <c r="N159" s="23">
        <f>IF(Intereses_Leasing_Mensual!M159&gt;0, ROUND($I159-Intereses_Leasing_Mensual!M159, 2), "")</f>
        <v/>
      </c>
      <c r="O159" s="23">
        <f>IF(Intereses_Leasing_Mensual!N159&gt;0, ROUND($I159-Intereses_Leasing_Mensual!N159, 2), "")</f>
        <v/>
      </c>
      <c r="P159" s="23">
        <f>IF(Intereses_Leasing_Mensual!O159&gt;0, ROUND($I159-Intereses_Leasing_Mensual!O159, 2), "")</f>
        <v/>
      </c>
      <c r="Q159" s="23">
        <f>IF(Intereses_Leasing_Mensual!P159&gt;0, ROUND($I159-Intereses_Leasing_Mensual!P159, 2), "")</f>
        <v/>
      </c>
      <c r="R159" s="23">
        <f>IF(Intereses_Leasing_Mensual!Q159&gt;0, ROUND($I159-Intereses_Leasing_Mensual!Q159, 2), "")</f>
        <v/>
      </c>
      <c r="S159" s="23">
        <f>IF(Intereses_Leasing_Mensual!R159&gt;0, ROUND($I159-Intereses_Leasing_Mensual!R159, 2), "")</f>
        <v/>
      </c>
      <c r="T159" s="23">
        <f>IF(Intereses_Leasing_Mensual!S159&gt;0, ROUND($I159-Intereses_Leasing_Mensual!S159, 2), "")</f>
        <v/>
      </c>
      <c r="U159" s="23">
        <f>IF(Intereses_Leasing_Mensual!T159&gt;0, ROUND($I159-Intereses_Leasing_Mensual!T159, 2), "")</f>
        <v/>
      </c>
      <c r="V159" s="23">
        <f>SUM(J159:U159)</f>
        <v/>
      </c>
    </row>
    <row r="160">
      <c r="A160" s="26" t="inlineStr">
        <is>
          <t>0684-0001</t>
        </is>
      </c>
      <c r="B160" s="27" t="inlineStr">
        <is>
          <t>Corporativo Kareso Sa de v</t>
        </is>
      </c>
      <c r="C160" s="27" t="inlineStr">
        <is>
          <t>GRAND CHEROKEE LIMITED</t>
        </is>
      </c>
      <c r="D160" s="26" t="inlineStr">
        <is>
          <t>ACTIVO</t>
        </is>
      </c>
      <c r="E160" s="26" t="inlineStr">
        <is>
          <t>2024-12-20</t>
        </is>
      </c>
      <c r="F160" s="26" t="inlineStr">
        <is>
          <t>2026-12-20</t>
        </is>
      </c>
      <c r="G160" s="28" t="n">
        <v>24</v>
      </c>
      <c r="H160" s="29" t="n">
        <v>797758.62</v>
      </c>
      <c r="I160" s="29" t="n">
        <v>40866.66</v>
      </c>
      <c r="J160" s="29">
        <f>IF(Intereses_Leasing_Mensual!I160&gt;0, ROUND($I160-Intereses_Leasing_Mensual!I160, 2), "")</f>
        <v/>
      </c>
      <c r="K160" s="29">
        <f>IF(Intereses_Leasing_Mensual!J160&gt;0, ROUND($I160-Intereses_Leasing_Mensual!J160, 2), "")</f>
        <v/>
      </c>
      <c r="L160" s="29">
        <f>IF(Intereses_Leasing_Mensual!K160&gt;0, ROUND($I160-Intereses_Leasing_Mensual!K160, 2), "")</f>
        <v/>
      </c>
      <c r="M160" s="29">
        <f>IF(Intereses_Leasing_Mensual!L160&gt;0, ROUND($I160-Intereses_Leasing_Mensual!L160, 2), "")</f>
        <v/>
      </c>
      <c r="N160" s="29">
        <f>IF(Intereses_Leasing_Mensual!M160&gt;0, ROUND($I160-Intereses_Leasing_Mensual!M160, 2), "")</f>
        <v/>
      </c>
      <c r="O160" s="29">
        <f>IF(Intereses_Leasing_Mensual!N160&gt;0, ROUND($I160-Intereses_Leasing_Mensual!N160, 2), "")</f>
        <v/>
      </c>
      <c r="P160" s="29">
        <f>IF(Intereses_Leasing_Mensual!O160&gt;0, ROUND($I160-Intereses_Leasing_Mensual!O160, 2), "")</f>
        <v/>
      </c>
      <c r="Q160" s="29">
        <f>IF(Intereses_Leasing_Mensual!P160&gt;0, ROUND($I160-Intereses_Leasing_Mensual!P160, 2), "")</f>
        <v/>
      </c>
      <c r="R160" s="29">
        <f>IF(Intereses_Leasing_Mensual!Q160&gt;0, ROUND($I160-Intereses_Leasing_Mensual!Q160, 2), "")</f>
        <v/>
      </c>
      <c r="S160" s="29">
        <f>IF(Intereses_Leasing_Mensual!R160&gt;0, ROUND($I160-Intereses_Leasing_Mensual!R160, 2), "")</f>
        <v/>
      </c>
      <c r="T160" s="29">
        <f>IF(Intereses_Leasing_Mensual!S160&gt;0, ROUND($I160-Intereses_Leasing_Mensual!S160, 2), "")</f>
        <v/>
      </c>
      <c r="U160" s="29" t="inlineStr"/>
      <c r="V160" s="29">
        <f>SUM(J160:U160)</f>
        <v/>
      </c>
    </row>
    <row r="161">
      <c r="A161" s="20" t="inlineStr">
        <is>
          <t>0684-0002</t>
        </is>
      </c>
      <c r="B161" s="21" t="inlineStr">
        <is>
          <t>Corporativo Kareso Sa de Cv</t>
        </is>
      </c>
      <c r="C161" s="21" t="inlineStr">
        <is>
          <t>NP300 Chasis</t>
        </is>
      </c>
      <c r="D161" s="20" t="inlineStr">
        <is>
          <t>ACTIVO</t>
        </is>
      </c>
      <c r="E161" s="20" t="inlineStr">
        <is>
          <t>2025-12-12</t>
        </is>
      </c>
      <c r="F161" s="20" t="inlineStr">
        <is>
          <t>2027-12-12</t>
        </is>
      </c>
      <c r="G161" s="22" t="n">
        <v>24</v>
      </c>
      <c r="H161" s="23" t="n">
        <v>327913.8</v>
      </c>
      <c r="I161" s="23" t="n">
        <v>15703.94</v>
      </c>
      <c r="J161" s="23">
        <f>IF(Intereses_Leasing_Mensual!I161&gt;0, ROUND($I161-Intereses_Leasing_Mensual!I161, 2), "")</f>
        <v/>
      </c>
      <c r="K161" s="23">
        <f>IF(Intereses_Leasing_Mensual!J161&gt;0, ROUND($I161-Intereses_Leasing_Mensual!J161, 2), "")</f>
        <v/>
      </c>
      <c r="L161" s="23">
        <f>IF(Intereses_Leasing_Mensual!K161&gt;0, ROUND($I161-Intereses_Leasing_Mensual!K161, 2), "")</f>
        <v/>
      </c>
      <c r="M161" s="23">
        <f>IF(Intereses_Leasing_Mensual!L161&gt;0, ROUND($I161-Intereses_Leasing_Mensual!L161, 2), "")</f>
        <v/>
      </c>
      <c r="N161" s="23">
        <f>IF(Intereses_Leasing_Mensual!M161&gt;0, ROUND($I161-Intereses_Leasing_Mensual!M161, 2), "")</f>
        <v/>
      </c>
      <c r="O161" s="23">
        <f>IF(Intereses_Leasing_Mensual!N161&gt;0, ROUND($I161-Intereses_Leasing_Mensual!N161, 2), "")</f>
        <v/>
      </c>
      <c r="P161" s="23">
        <f>IF(Intereses_Leasing_Mensual!O161&gt;0, ROUND($I161-Intereses_Leasing_Mensual!O161, 2), "")</f>
        <v/>
      </c>
      <c r="Q161" s="23">
        <f>IF(Intereses_Leasing_Mensual!P161&gt;0, ROUND($I161-Intereses_Leasing_Mensual!P161, 2), "")</f>
        <v/>
      </c>
      <c r="R161" s="23">
        <f>IF(Intereses_Leasing_Mensual!Q161&gt;0, ROUND($I161-Intereses_Leasing_Mensual!Q161, 2), "")</f>
        <v/>
      </c>
      <c r="S161" s="23">
        <f>IF(Intereses_Leasing_Mensual!R161&gt;0, ROUND($I161-Intereses_Leasing_Mensual!R161, 2), "")</f>
        <v/>
      </c>
      <c r="T161" s="23">
        <f>IF(Intereses_Leasing_Mensual!S161&gt;0, ROUND($I161-Intereses_Leasing_Mensual!S161, 2), "")</f>
        <v/>
      </c>
      <c r="U161" s="23">
        <f>IF(Intereses_Leasing_Mensual!T161&gt;0, ROUND($I161-Intereses_Leasing_Mensual!T161, 2), "")</f>
        <v/>
      </c>
      <c r="V161" s="23">
        <f>SUM(J161:U161)</f>
        <v/>
      </c>
    </row>
    <row r="162">
      <c r="A162" s="26" t="inlineStr">
        <is>
          <t>0684-0003</t>
        </is>
      </c>
      <c r="B162" s="27" t="inlineStr">
        <is>
          <t>Corporativo Kareso Sa de Cv</t>
        </is>
      </c>
      <c r="C162" s="27" t="inlineStr">
        <is>
          <t>Yaris HB</t>
        </is>
      </c>
      <c r="D162" s="26" t="inlineStr">
        <is>
          <t>ACTIVO</t>
        </is>
      </c>
      <c r="E162" s="26" t="inlineStr">
        <is>
          <t>2026-02-17</t>
        </is>
      </c>
      <c r="F162" s="26" t="inlineStr">
        <is>
          <t>2028-02-17</t>
        </is>
      </c>
      <c r="G162" s="28" t="n">
        <v>24</v>
      </c>
      <c r="H162" s="29" t="n">
        <v>225267.24</v>
      </c>
      <c r="I162" s="29" t="n">
        <v>10788.16</v>
      </c>
      <c r="J162" s="29" t="inlineStr"/>
      <c r="K162" s="29">
        <f>IF(Intereses_Leasing_Mensual!J162&gt;0, ROUND($I162-Intereses_Leasing_Mensual!J162, 2), "")</f>
        <v/>
      </c>
      <c r="L162" s="29">
        <f>IF(Intereses_Leasing_Mensual!K162&gt;0, ROUND($I162-Intereses_Leasing_Mensual!K162, 2), "")</f>
        <v/>
      </c>
      <c r="M162" s="29">
        <f>IF(Intereses_Leasing_Mensual!L162&gt;0, ROUND($I162-Intereses_Leasing_Mensual!L162, 2), "")</f>
        <v/>
      </c>
      <c r="N162" s="29">
        <f>IF(Intereses_Leasing_Mensual!M162&gt;0, ROUND($I162-Intereses_Leasing_Mensual!M162, 2), "")</f>
        <v/>
      </c>
      <c r="O162" s="29">
        <f>IF(Intereses_Leasing_Mensual!N162&gt;0, ROUND($I162-Intereses_Leasing_Mensual!N162, 2), "")</f>
        <v/>
      </c>
      <c r="P162" s="29">
        <f>IF(Intereses_Leasing_Mensual!O162&gt;0, ROUND($I162-Intereses_Leasing_Mensual!O162, 2), "")</f>
        <v/>
      </c>
      <c r="Q162" s="29">
        <f>IF(Intereses_Leasing_Mensual!P162&gt;0, ROUND($I162-Intereses_Leasing_Mensual!P162, 2), "")</f>
        <v/>
      </c>
      <c r="R162" s="29">
        <f>IF(Intereses_Leasing_Mensual!Q162&gt;0, ROUND($I162-Intereses_Leasing_Mensual!Q162, 2), "")</f>
        <v/>
      </c>
      <c r="S162" s="29">
        <f>IF(Intereses_Leasing_Mensual!R162&gt;0, ROUND($I162-Intereses_Leasing_Mensual!R162, 2), "")</f>
        <v/>
      </c>
      <c r="T162" s="29">
        <f>IF(Intereses_Leasing_Mensual!S162&gt;0, ROUND($I162-Intereses_Leasing_Mensual!S162, 2), "")</f>
        <v/>
      </c>
      <c r="U162" s="29">
        <f>IF(Intereses_Leasing_Mensual!T162&gt;0, ROUND($I162-Intereses_Leasing_Mensual!T162, 2), "")</f>
        <v/>
      </c>
      <c r="V162" s="29">
        <f>SUM(J162:U162)</f>
        <v/>
      </c>
    </row>
    <row r="163">
      <c r="A163" s="20" t="inlineStr">
        <is>
          <t>0684-0004</t>
        </is>
      </c>
      <c r="B163" s="21" t="inlineStr">
        <is>
          <t>Corporativo Kareso Sa de Cv</t>
        </is>
      </c>
      <c r="C163" s="21" t="inlineStr">
        <is>
          <t>700 LARAMIE CREW CAB</t>
        </is>
      </c>
      <c r="D163" s="20" t="inlineStr">
        <is>
          <t>ACTIVO</t>
        </is>
      </c>
      <c r="E163" s="20" t="inlineStr">
        <is>
          <t>2025-12-12</t>
        </is>
      </c>
      <c r="F163" s="20" t="inlineStr">
        <is>
          <t>2027-12-12</t>
        </is>
      </c>
      <c r="G163" s="22" t="n">
        <v>24</v>
      </c>
      <c r="H163" s="23" t="n">
        <v>294422.42</v>
      </c>
      <c r="I163" s="23" t="n">
        <v>14100.03</v>
      </c>
      <c r="J163" s="23">
        <f>IF(Intereses_Leasing_Mensual!I163&gt;0, ROUND($I163-Intereses_Leasing_Mensual!I163, 2), "")</f>
        <v/>
      </c>
      <c r="K163" s="23">
        <f>IF(Intereses_Leasing_Mensual!J163&gt;0, ROUND($I163-Intereses_Leasing_Mensual!J163, 2), "")</f>
        <v/>
      </c>
      <c r="L163" s="23">
        <f>IF(Intereses_Leasing_Mensual!K163&gt;0, ROUND($I163-Intereses_Leasing_Mensual!K163, 2), "")</f>
        <v/>
      </c>
      <c r="M163" s="23">
        <f>IF(Intereses_Leasing_Mensual!L163&gt;0, ROUND($I163-Intereses_Leasing_Mensual!L163, 2), "")</f>
        <v/>
      </c>
      <c r="N163" s="23">
        <f>IF(Intereses_Leasing_Mensual!M163&gt;0, ROUND($I163-Intereses_Leasing_Mensual!M163, 2), "")</f>
        <v/>
      </c>
      <c r="O163" s="23">
        <f>IF(Intereses_Leasing_Mensual!N163&gt;0, ROUND($I163-Intereses_Leasing_Mensual!N163, 2), "")</f>
        <v/>
      </c>
      <c r="P163" s="23">
        <f>IF(Intereses_Leasing_Mensual!O163&gt;0, ROUND($I163-Intereses_Leasing_Mensual!O163, 2), "")</f>
        <v/>
      </c>
      <c r="Q163" s="23">
        <f>IF(Intereses_Leasing_Mensual!P163&gt;0, ROUND($I163-Intereses_Leasing_Mensual!P163, 2), "")</f>
        <v/>
      </c>
      <c r="R163" s="23">
        <f>IF(Intereses_Leasing_Mensual!Q163&gt;0, ROUND($I163-Intereses_Leasing_Mensual!Q163, 2), "")</f>
        <v/>
      </c>
      <c r="S163" s="23">
        <f>IF(Intereses_Leasing_Mensual!R163&gt;0, ROUND($I163-Intereses_Leasing_Mensual!R163, 2), "")</f>
        <v/>
      </c>
      <c r="T163" s="23">
        <f>IF(Intereses_Leasing_Mensual!S163&gt;0, ROUND($I163-Intereses_Leasing_Mensual!S163, 2), "")</f>
        <v/>
      </c>
      <c r="U163" s="23">
        <f>IF(Intereses_Leasing_Mensual!T163&gt;0, ROUND($I163-Intereses_Leasing_Mensual!T163, 2), "")</f>
        <v/>
      </c>
      <c r="V163" s="23">
        <f>SUM(J163:U163)</f>
        <v/>
      </c>
    </row>
    <row r="164">
      <c r="A164" s="26" t="inlineStr">
        <is>
          <t>0687-0001</t>
        </is>
      </c>
      <c r="B164" s="27" t="inlineStr">
        <is>
          <t>Roberto Carlos Borbolla Alvarado</t>
        </is>
      </c>
      <c r="C164" s="27" t="inlineStr">
        <is>
          <t>Creta</t>
        </is>
      </c>
      <c r="D164" s="26" t="inlineStr">
        <is>
          <t>ACTIVO</t>
        </is>
      </c>
      <c r="E164" s="26" t="inlineStr">
        <is>
          <t>2025-03-03</t>
        </is>
      </c>
      <c r="F164" s="26" t="inlineStr">
        <is>
          <t>2028-03-03</t>
        </is>
      </c>
      <c r="G164" s="28" t="n">
        <v>36</v>
      </c>
      <c r="H164" s="29" t="n">
        <v>430060.35</v>
      </c>
      <c r="I164" s="29" t="n">
        <v>17106.37</v>
      </c>
      <c r="J164" s="29">
        <f>IF(Intereses_Leasing_Mensual!I164&gt;0, ROUND($I164-Intereses_Leasing_Mensual!I164, 2), "")</f>
        <v/>
      </c>
      <c r="K164" s="29">
        <f>IF(Intereses_Leasing_Mensual!J164&gt;0, ROUND($I164-Intereses_Leasing_Mensual!J164, 2), "")</f>
        <v/>
      </c>
      <c r="L164" s="29">
        <f>IF(Intereses_Leasing_Mensual!K164&gt;0, ROUND($I164-Intereses_Leasing_Mensual!K164, 2), "")</f>
        <v/>
      </c>
      <c r="M164" s="29">
        <f>IF(Intereses_Leasing_Mensual!L164&gt;0, ROUND($I164-Intereses_Leasing_Mensual!L164, 2), "")</f>
        <v/>
      </c>
      <c r="N164" s="29">
        <f>IF(Intereses_Leasing_Mensual!M164&gt;0, ROUND($I164-Intereses_Leasing_Mensual!M164, 2), "")</f>
        <v/>
      </c>
      <c r="O164" s="29">
        <f>IF(Intereses_Leasing_Mensual!N164&gt;0, ROUND($I164-Intereses_Leasing_Mensual!N164, 2), "")</f>
        <v/>
      </c>
      <c r="P164" s="29">
        <f>IF(Intereses_Leasing_Mensual!O164&gt;0, ROUND($I164-Intereses_Leasing_Mensual!O164, 2), "")</f>
        <v/>
      </c>
      <c r="Q164" s="29">
        <f>IF(Intereses_Leasing_Mensual!P164&gt;0, ROUND($I164-Intereses_Leasing_Mensual!P164, 2), "")</f>
        <v/>
      </c>
      <c r="R164" s="29">
        <f>IF(Intereses_Leasing_Mensual!Q164&gt;0, ROUND($I164-Intereses_Leasing_Mensual!Q164, 2), "")</f>
        <v/>
      </c>
      <c r="S164" s="29">
        <f>IF(Intereses_Leasing_Mensual!R164&gt;0, ROUND($I164-Intereses_Leasing_Mensual!R164, 2), "")</f>
        <v/>
      </c>
      <c r="T164" s="29">
        <f>IF(Intereses_Leasing_Mensual!S164&gt;0, ROUND($I164-Intereses_Leasing_Mensual!S164, 2), "")</f>
        <v/>
      </c>
      <c r="U164" s="29">
        <f>IF(Intereses_Leasing_Mensual!T164&gt;0, ROUND($I164-Intereses_Leasing_Mensual!T164, 2), "")</f>
        <v/>
      </c>
      <c r="V164" s="29">
        <f>SUM(J164:U164)</f>
        <v/>
      </c>
    </row>
    <row r="165">
      <c r="A165" s="20" t="inlineStr">
        <is>
          <t>0688-0001</t>
        </is>
      </c>
      <c r="B165" s="21" t="inlineStr">
        <is>
          <t>Dolores Magdalena Rosales Rojas</t>
        </is>
      </c>
      <c r="C165" s="21" t="inlineStr">
        <is>
          <t>1500 RHO</t>
        </is>
      </c>
      <c r="D165" s="20" t="inlineStr">
        <is>
          <t>ACTIVO</t>
        </is>
      </c>
      <c r="E165" s="20" t="inlineStr">
        <is>
          <t>2025-02-21</t>
        </is>
      </c>
      <c r="F165" s="20" t="inlineStr">
        <is>
          <t>2027-02-21</t>
        </is>
      </c>
      <c r="G165" s="22" t="n">
        <v>24</v>
      </c>
      <c r="H165" s="23" t="n">
        <v>1517172.42</v>
      </c>
      <c r="I165" s="23" t="n">
        <v>74273.25</v>
      </c>
      <c r="J165" s="23">
        <f>IF(Intereses_Leasing_Mensual!I165&gt;0, ROUND($I165-Intereses_Leasing_Mensual!I165, 2), "")</f>
        <v/>
      </c>
      <c r="K165" s="23">
        <f>IF(Intereses_Leasing_Mensual!J165&gt;0, ROUND($I165-Intereses_Leasing_Mensual!J165, 2), "")</f>
        <v/>
      </c>
      <c r="L165" s="23">
        <f>IF(Intereses_Leasing_Mensual!K165&gt;0, ROUND($I165-Intereses_Leasing_Mensual!K165, 2), "")</f>
        <v/>
      </c>
      <c r="M165" s="23">
        <f>IF(Intereses_Leasing_Mensual!L165&gt;0, ROUND($I165-Intereses_Leasing_Mensual!L165, 2), "")</f>
        <v/>
      </c>
      <c r="N165" s="23">
        <f>IF(Intereses_Leasing_Mensual!M165&gt;0, ROUND($I165-Intereses_Leasing_Mensual!M165, 2), "")</f>
        <v/>
      </c>
      <c r="O165" s="23">
        <f>IF(Intereses_Leasing_Mensual!N165&gt;0, ROUND($I165-Intereses_Leasing_Mensual!N165, 2), "")</f>
        <v/>
      </c>
      <c r="P165" s="23">
        <f>IF(Intereses_Leasing_Mensual!O165&gt;0, ROUND($I165-Intereses_Leasing_Mensual!O165, 2), "")</f>
        <v/>
      </c>
      <c r="Q165" s="23">
        <f>IF(Intereses_Leasing_Mensual!P165&gt;0, ROUND($I165-Intereses_Leasing_Mensual!P165, 2), "")</f>
        <v/>
      </c>
      <c r="R165" s="23">
        <f>IF(Intereses_Leasing_Mensual!Q165&gt;0, ROUND($I165-Intereses_Leasing_Mensual!Q165, 2), "")</f>
        <v/>
      </c>
      <c r="S165" s="23">
        <f>IF(Intereses_Leasing_Mensual!R165&gt;0, ROUND($I165-Intereses_Leasing_Mensual!R165, 2), "")</f>
        <v/>
      </c>
      <c r="T165" s="23">
        <f>IF(Intereses_Leasing_Mensual!S165&gt;0, ROUND($I165-Intereses_Leasing_Mensual!S165, 2), "")</f>
        <v/>
      </c>
      <c r="U165" s="23">
        <f>IF(Intereses_Leasing_Mensual!T165&gt;0, ROUND($I165-Intereses_Leasing_Mensual!T165, 2), "")</f>
        <v/>
      </c>
      <c r="V165" s="23">
        <f>SUM(J165:U165)</f>
        <v/>
      </c>
    </row>
    <row r="166">
      <c r="A166" s="26" t="inlineStr">
        <is>
          <t>0688-0003</t>
        </is>
      </c>
      <c r="B166" s="27" t="inlineStr">
        <is>
          <t>Dolores Magdalena Rosales Rojas</t>
        </is>
      </c>
      <c r="C166" s="27" t="inlineStr">
        <is>
          <t>Jeep Jt Mojave 2025</t>
        </is>
      </c>
      <c r="D166" s="26" t="inlineStr">
        <is>
          <t>ACTIVO</t>
        </is>
      </c>
      <c r="E166" s="26" t="inlineStr">
        <is>
          <t>2026-07-30</t>
        </is>
      </c>
      <c r="F166" s="26" t="inlineStr">
        <is>
          <t>2027-07-30</t>
        </is>
      </c>
      <c r="G166" s="28" t="n">
        <v>12</v>
      </c>
      <c r="H166" s="29" t="n">
        <v>551344.83</v>
      </c>
      <c r="I166" s="29" t="n">
        <v>49406.82</v>
      </c>
      <c r="J166" s="29" t="inlineStr"/>
      <c r="K166" s="29" t="inlineStr"/>
      <c r="L166" s="29" t="inlineStr"/>
      <c r="M166" s="29" t="inlineStr"/>
      <c r="N166" s="29" t="inlineStr"/>
      <c r="O166" s="29" t="inlineStr"/>
      <c r="P166" s="29">
        <f>IF(Intereses_Leasing_Mensual!O166&gt;0, ROUND($I166-Intereses_Leasing_Mensual!O166, 2), "")</f>
        <v/>
      </c>
      <c r="Q166" s="29">
        <f>IF(Intereses_Leasing_Mensual!P166&gt;0, ROUND($I166-Intereses_Leasing_Mensual!P166, 2), "")</f>
        <v/>
      </c>
      <c r="R166" s="29">
        <f>IF(Intereses_Leasing_Mensual!Q166&gt;0, ROUND($I166-Intereses_Leasing_Mensual!Q166, 2), "")</f>
        <v/>
      </c>
      <c r="S166" s="29">
        <f>IF(Intereses_Leasing_Mensual!R166&gt;0, ROUND($I166-Intereses_Leasing_Mensual!R166, 2), "")</f>
        <v/>
      </c>
      <c r="T166" s="29">
        <f>IF(Intereses_Leasing_Mensual!S166&gt;0, ROUND($I166-Intereses_Leasing_Mensual!S166, 2), "")</f>
        <v/>
      </c>
      <c r="U166" s="29">
        <f>IF(Intereses_Leasing_Mensual!T166&gt;0, ROUND($I166-Intereses_Leasing_Mensual!T166, 2), "")</f>
        <v/>
      </c>
      <c r="V166" s="29">
        <f>SUM(J166:U166)</f>
        <v/>
      </c>
    </row>
    <row r="167">
      <c r="A167" s="20" t="inlineStr">
        <is>
          <t>0689-0001</t>
        </is>
      </c>
      <c r="B167" s="21" t="inlineStr">
        <is>
          <t>Daniela Lizette Vargas Machuca</t>
        </is>
      </c>
      <c r="C167" s="21" t="inlineStr">
        <is>
          <t>1500 TUNGSTEN</t>
        </is>
      </c>
      <c r="D167" s="20" t="inlineStr">
        <is>
          <t>ACTIVO</t>
        </is>
      </c>
      <c r="E167" s="20" t="inlineStr">
        <is>
          <t>2025-02-26</t>
        </is>
      </c>
      <c r="F167" s="20" t="inlineStr">
        <is>
          <t>2028-02-26</t>
        </is>
      </c>
      <c r="G167" s="22" t="n">
        <v>36</v>
      </c>
      <c r="H167" s="23" t="n">
        <v>1397250</v>
      </c>
      <c r="I167" s="23" t="n">
        <v>55588.31</v>
      </c>
      <c r="J167" s="23">
        <f>IF(Intereses_Leasing_Mensual!I167&gt;0, ROUND($I167-Intereses_Leasing_Mensual!I167, 2), "")</f>
        <v/>
      </c>
      <c r="K167" s="23">
        <f>IF(Intereses_Leasing_Mensual!J167&gt;0, ROUND($I167-Intereses_Leasing_Mensual!J167, 2), "")</f>
        <v/>
      </c>
      <c r="L167" s="23">
        <f>IF(Intereses_Leasing_Mensual!K167&gt;0, ROUND($I167-Intereses_Leasing_Mensual!K167, 2), "")</f>
        <v/>
      </c>
      <c r="M167" s="23">
        <f>IF(Intereses_Leasing_Mensual!L167&gt;0, ROUND($I167-Intereses_Leasing_Mensual!L167, 2), "")</f>
        <v/>
      </c>
      <c r="N167" s="23">
        <f>IF(Intereses_Leasing_Mensual!M167&gt;0, ROUND($I167-Intereses_Leasing_Mensual!M167, 2), "")</f>
        <v/>
      </c>
      <c r="O167" s="23">
        <f>IF(Intereses_Leasing_Mensual!N167&gt;0, ROUND($I167-Intereses_Leasing_Mensual!N167, 2), "")</f>
        <v/>
      </c>
      <c r="P167" s="23">
        <f>IF(Intereses_Leasing_Mensual!O167&gt;0, ROUND($I167-Intereses_Leasing_Mensual!O167, 2), "")</f>
        <v/>
      </c>
      <c r="Q167" s="23">
        <f>IF(Intereses_Leasing_Mensual!P167&gt;0, ROUND($I167-Intereses_Leasing_Mensual!P167, 2), "")</f>
        <v/>
      </c>
      <c r="R167" s="23">
        <f>IF(Intereses_Leasing_Mensual!Q167&gt;0, ROUND($I167-Intereses_Leasing_Mensual!Q167, 2), "")</f>
        <v/>
      </c>
      <c r="S167" s="23">
        <f>IF(Intereses_Leasing_Mensual!R167&gt;0, ROUND($I167-Intereses_Leasing_Mensual!R167, 2), "")</f>
        <v/>
      </c>
      <c r="T167" s="23">
        <f>IF(Intereses_Leasing_Mensual!S167&gt;0, ROUND($I167-Intereses_Leasing_Mensual!S167, 2), "")</f>
        <v/>
      </c>
      <c r="U167" s="23">
        <f>IF(Intereses_Leasing_Mensual!T167&gt;0, ROUND($I167-Intereses_Leasing_Mensual!T167, 2), "")</f>
        <v/>
      </c>
      <c r="V167" s="23">
        <f>SUM(J167:U167)</f>
        <v/>
      </c>
    </row>
    <row r="168">
      <c r="A168" s="26" t="inlineStr">
        <is>
          <t>0690-0001</t>
        </is>
      </c>
      <c r="B168" s="27" t="inlineStr">
        <is>
          <t>Rogelio Sanchez Partida</t>
        </is>
      </c>
      <c r="C168" s="27" t="inlineStr">
        <is>
          <t>Grand Cherokee Limited</t>
        </is>
      </c>
      <c r="D168" s="26" t="inlineStr">
        <is>
          <t>ACTIVO</t>
        </is>
      </c>
      <c r="E168" s="26" t="inlineStr">
        <is>
          <t>2025-03-19</t>
        </is>
      </c>
      <c r="F168" s="26" t="inlineStr">
        <is>
          <t>2028-03-19</t>
        </is>
      </c>
      <c r="G168" s="28" t="n">
        <v>36</v>
      </c>
      <c r="H168" s="29" t="n">
        <v>666465.52</v>
      </c>
      <c r="I168" s="29" t="n">
        <v>28123.47</v>
      </c>
      <c r="J168" s="29">
        <f>IF(Intereses_Leasing_Mensual!I168&gt;0, ROUND($I168-Intereses_Leasing_Mensual!I168, 2), "")</f>
        <v/>
      </c>
      <c r="K168" s="29">
        <f>IF(Intereses_Leasing_Mensual!J168&gt;0, ROUND($I168-Intereses_Leasing_Mensual!J168, 2), "")</f>
        <v/>
      </c>
      <c r="L168" s="29">
        <f>IF(Intereses_Leasing_Mensual!K168&gt;0, ROUND($I168-Intereses_Leasing_Mensual!K168, 2), "")</f>
        <v/>
      </c>
      <c r="M168" s="29">
        <f>IF(Intereses_Leasing_Mensual!L168&gt;0, ROUND($I168-Intereses_Leasing_Mensual!L168, 2), "")</f>
        <v/>
      </c>
      <c r="N168" s="29">
        <f>IF(Intereses_Leasing_Mensual!M168&gt;0, ROUND($I168-Intereses_Leasing_Mensual!M168, 2), "")</f>
        <v/>
      </c>
      <c r="O168" s="29">
        <f>IF(Intereses_Leasing_Mensual!N168&gt;0, ROUND($I168-Intereses_Leasing_Mensual!N168, 2), "")</f>
        <v/>
      </c>
      <c r="P168" s="29">
        <f>IF(Intereses_Leasing_Mensual!O168&gt;0, ROUND($I168-Intereses_Leasing_Mensual!O168, 2), "")</f>
        <v/>
      </c>
      <c r="Q168" s="29">
        <f>IF(Intereses_Leasing_Mensual!P168&gt;0, ROUND($I168-Intereses_Leasing_Mensual!P168, 2), "")</f>
        <v/>
      </c>
      <c r="R168" s="29">
        <f>IF(Intereses_Leasing_Mensual!Q168&gt;0, ROUND($I168-Intereses_Leasing_Mensual!Q168, 2), "")</f>
        <v/>
      </c>
      <c r="S168" s="29">
        <f>IF(Intereses_Leasing_Mensual!R168&gt;0, ROUND($I168-Intereses_Leasing_Mensual!R168, 2), "")</f>
        <v/>
      </c>
      <c r="T168" s="29">
        <f>IF(Intereses_Leasing_Mensual!S168&gt;0, ROUND($I168-Intereses_Leasing_Mensual!S168, 2), "")</f>
        <v/>
      </c>
      <c r="U168" s="29">
        <f>IF(Intereses_Leasing_Mensual!T168&gt;0, ROUND($I168-Intereses_Leasing_Mensual!T168, 2), "")</f>
        <v/>
      </c>
      <c r="V168" s="29">
        <f>SUM(J168:U168)</f>
        <v/>
      </c>
    </row>
    <row r="169">
      <c r="A169" s="20" t="inlineStr">
        <is>
          <t>0691-0001</t>
        </is>
      </c>
      <c r="B169" s="21" t="inlineStr">
        <is>
          <t>Pfc Films</t>
        </is>
      </c>
      <c r="C169" s="21" t="inlineStr">
        <is>
          <t>2008 allure Pack</t>
        </is>
      </c>
      <c r="D169" s="20" t="inlineStr">
        <is>
          <t>ACTIVO</t>
        </is>
      </c>
      <c r="E169" s="20" t="inlineStr">
        <is>
          <t>2025-03-20</t>
        </is>
      </c>
      <c r="F169" s="20" t="inlineStr">
        <is>
          <t>2027-03-20</t>
        </is>
      </c>
      <c r="G169" s="22" t="n">
        <v>24</v>
      </c>
      <c r="H169" s="23" t="n">
        <v>245120.69</v>
      </c>
      <c r="I169" s="23" t="n">
        <v>12611.79</v>
      </c>
      <c r="J169" s="23">
        <f>IF(Intereses_Leasing_Mensual!I169&gt;0, ROUND($I169-Intereses_Leasing_Mensual!I169, 2), "")</f>
        <v/>
      </c>
      <c r="K169" s="23">
        <f>IF(Intereses_Leasing_Mensual!J169&gt;0, ROUND($I169-Intereses_Leasing_Mensual!J169, 2), "")</f>
        <v/>
      </c>
      <c r="L169" s="23">
        <f>IF(Intereses_Leasing_Mensual!K169&gt;0, ROUND($I169-Intereses_Leasing_Mensual!K169, 2), "")</f>
        <v/>
      </c>
      <c r="M169" s="23">
        <f>IF(Intereses_Leasing_Mensual!L169&gt;0, ROUND($I169-Intereses_Leasing_Mensual!L169, 2), "")</f>
        <v/>
      </c>
      <c r="N169" s="23">
        <f>IF(Intereses_Leasing_Mensual!M169&gt;0, ROUND($I169-Intereses_Leasing_Mensual!M169, 2), "")</f>
        <v/>
      </c>
      <c r="O169" s="23">
        <f>IF(Intereses_Leasing_Mensual!N169&gt;0, ROUND($I169-Intereses_Leasing_Mensual!N169, 2), "")</f>
        <v/>
      </c>
      <c r="P169" s="23">
        <f>IF(Intereses_Leasing_Mensual!O169&gt;0, ROUND($I169-Intereses_Leasing_Mensual!O169, 2), "")</f>
        <v/>
      </c>
      <c r="Q169" s="23">
        <f>IF(Intereses_Leasing_Mensual!P169&gt;0, ROUND($I169-Intereses_Leasing_Mensual!P169, 2), "")</f>
        <v/>
      </c>
      <c r="R169" s="23">
        <f>IF(Intereses_Leasing_Mensual!Q169&gt;0, ROUND($I169-Intereses_Leasing_Mensual!Q169, 2), "")</f>
        <v/>
      </c>
      <c r="S169" s="23">
        <f>IF(Intereses_Leasing_Mensual!R169&gt;0, ROUND($I169-Intereses_Leasing_Mensual!R169, 2), "")</f>
        <v/>
      </c>
      <c r="T169" s="23">
        <f>IF(Intereses_Leasing_Mensual!S169&gt;0, ROUND($I169-Intereses_Leasing_Mensual!S169, 2), "")</f>
        <v/>
      </c>
      <c r="U169" s="23">
        <f>IF(Intereses_Leasing_Mensual!T169&gt;0, ROUND($I169-Intereses_Leasing_Mensual!T169, 2), "")</f>
        <v/>
      </c>
      <c r="V169" s="23">
        <f>SUM(J169:U169)</f>
        <v/>
      </c>
    </row>
    <row r="170">
      <c r="A170" s="26" t="inlineStr">
        <is>
          <t>0692-0001</t>
        </is>
      </c>
      <c r="B170" s="27" t="inlineStr">
        <is>
          <t>Operadora de Centros Familiares Gato</t>
        </is>
      </c>
      <c r="C170" s="27" t="inlineStr">
        <is>
          <t>Partner Rapid</t>
        </is>
      </c>
      <c r="D170" s="26" t="inlineStr">
        <is>
          <t>ACTIVO</t>
        </is>
      </c>
      <c r="E170" s="26" t="inlineStr">
        <is>
          <t>2025-04-23</t>
        </is>
      </c>
      <c r="F170" s="26" t="inlineStr">
        <is>
          <t>2027-04-23</t>
        </is>
      </c>
      <c r="G170" s="28" t="n">
        <v>24</v>
      </c>
      <c r="H170" s="29" t="n">
        <v>225538.8</v>
      </c>
      <c r="I170" s="29" t="n">
        <v>12540.23</v>
      </c>
      <c r="J170" s="29">
        <f>IF(Intereses_Leasing_Mensual!I170&gt;0, ROUND($I170-Intereses_Leasing_Mensual!I170, 2), "")</f>
        <v/>
      </c>
      <c r="K170" s="29">
        <f>IF(Intereses_Leasing_Mensual!J170&gt;0, ROUND($I170-Intereses_Leasing_Mensual!J170, 2), "")</f>
        <v/>
      </c>
      <c r="L170" s="29">
        <f>IF(Intereses_Leasing_Mensual!K170&gt;0, ROUND($I170-Intereses_Leasing_Mensual!K170, 2), "")</f>
        <v/>
      </c>
      <c r="M170" s="29">
        <f>IF(Intereses_Leasing_Mensual!L170&gt;0, ROUND($I170-Intereses_Leasing_Mensual!L170, 2), "")</f>
        <v/>
      </c>
      <c r="N170" s="29">
        <f>IF(Intereses_Leasing_Mensual!M170&gt;0, ROUND($I170-Intereses_Leasing_Mensual!M170, 2), "")</f>
        <v/>
      </c>
      <c r="O170" s="29">
        <f>IF(Intereses_Leasing_Mensual!N170&gt;0, ROUND($I170-Intereses_Leasing_Mensual!N170, 2), "")</f>
        <v/>
      </c>
      <c r="P170" s="29">
        <f>IF(Intereses_Leasing_Mensual!O170&gt;0, ROUND($I170-Intereses_Leasing_Mensual!O170, 2), "")</f>
        <v/>
      </c>
      <c r="Q170" s="29">
        <f>IF(Intereses_Leasing_Mensual!P170&gt;0, ROUND($I170-Intereses_Leasing_Mensual!P170, 2), "")</f>
        <v/>
      </c>
      <c r="R170" s="29">
        <f>IF(Intereses_Leasing_Mensual!Q170&gt;0, ROUND($I170-Intereses_Leasing_Mensual!Q170, 2), "")</f>
        <v/>
      </c>
      <c r="S170" s="29">
        <f>IF(Intereses_Leasing_Mensual!R170&gt;0, ROUND($I170-Intereses_Leasing_Mensual!R170, 2), "")</f>
        <v/>
      </c>
      <c r="T170" s="29">
        <f>IF(Intereses_Leasing_Mensual!S170&gt;0, ROUND($I170-Intereses_Leasing_Mensual!S170, 2), "")</f>
        <v/>
      </c>
      <c r="U170" s="29">
        <f>IF(Intereses_Leasing_Mensual!T170&gt;0, ROUND($I170-Intereses_Leasing_Mensual!T170, 2), "")</f>
        <v/>
      </c>
      <c r="V170" s="29">
        <f>SUM(J170:U170)</f>
        <v/>
      </c>
    </row>
    <row r="171">
      <c r="A171" s="20" t="inlineStr">
        <is>
          <t>0692-0002</t>
        </is>
      </c>
      <c r="B171" s="21" t="inlineStr">
        <is>
          <t>Operadora de Centros Familiares Gato</t>
        </is>
      </c>
      <c r="C171" s="21" t="inlineStr">
        <is>
          <t>Partner Rapid</t>
        </is>
      </c>
      <c r="D171" s="20" t="inlineStr">
        <is>
          <t>ACTIVO</t>
        </is>
      </c>
      <c r="E171" s="20" t="inlineStr">
        <is>
          <t>2025-04-23</t>
        </is>
      </c>
      <c r="F171" s="20" t="inlineStr">
        <is>
          <t>2027-04-23</t>
        </is>
      </c>
      <c r="G171" s="22" t="n">
        <v>24</v>
      </c>
      <c r="H171" s="23" t="n">
        <v>225538.8</v>
      </c>
      <c r="I171" s="23" t="n">
        <v>12540.23</v>
      </c>
      <c r="J171" s="23">
        <f>IF(Intereses_Leasing_Mensual!I171&gt;0, ROUND($I171-Intereses_Leasing_Mensual!I171, 2), "")</f>
        <v/>
      </c>
      <c r="K171" s="23">
        <f>IF(Intereses_Leasing_Mensual!J171&gt;0, ROUND($I171-Intereses_Leasing_Mensual!J171, 2), "")</f>
        <v/>
      </c>
      <c r="L171" s="23">
        <f>IF(Intereses_Leasing_Mensual!K171&gt;0, ROUND($I171-Intereses_Leasing_Mensual!K171, 2), "")</f>
        <v/>
      </c>
      <c r="M171" s="23">
        <f>IF(Intereses_Leasing_Mensual!L171&gt;0, ROUND($I171-Intereses_Leasing_Mensual!L171, 2), "")</f>
        <v/>
      </c>
      <c r="N171" s="23">
        <f>IF(Intereses_Leasing_Mensual!M171&gt;0, ROUND($I171-Intereses_Leasing_Mensual!M171, 2), "")</f>
        <v/>
      </c>
      <c r="O171" s="23">
        <f>IF(Intereses_Leasing_Mensual!N171&gt;0, ROUND($I171-Intereses_Leasing_Mensual!N171, 2), "")</f>
        <v/>
      </c>
      <c r="P171" s="23">
        <f>IF(Intereses_Leasing_Mensual!O171&gt;0, ROUND($I171-Intereses_Leasing_Mensual!O171, 2), "")</f>
        <v/>
      </c>
      <c r="Q171" s="23">
        <f>IF(Intereses_Leasing_Mensual!P171&gt;0, ROUND($I171-Intereses_Leasing_Mensual!P171, 2), "")</f>
        <v/>
      </c>
      <c r="R171" s="23">
        <f>IF(Intereses_Leasing_Mensual!Q171&gt;0, ROUND($I171-Intereses_Leasing_Mensual!Q171, 2), "")</f>
        <v/>
      </c>
      <c r="S171" s="23">
        <f>IF(Intereses_Leasing_Mensual!R171&gt;0, ROUND($I171-Intereses_Leasing_Mensual!R171, 2), "")</f>
        <v/>
      </c>
      <c r="T171" s="23">
        <f>IF(Intereses_Leasing_Mensual!S171&gt;0, ROUND($I171-Intereses_Leasing_Mensual!S171, 2), "")</f>
        <v/>
      </c>
      <c r="U171" s="23">
        <f>IF(Intereses_Leasing_Mensual!T171&gt;0, ROUND($I171-Intereses_Leasing_Mensual!T171, 2), "")</f>
        <v/>
      </c>
      <c r="V171" s="23">
        <f>SUM(J171:U171)</f>
        <v/>
      </c>
    </row>
    <row r="172">
      <c r="A172" s="26" t="inlineStr">
        <is>
          <t>0692-0003</t>
        </is>
      </c>
      <c r="B172" s="27" t="inlineStr">
        <is>
          <t>Operadora de Centros Familiares Gato</t>
        </is>
      </c>
      <c r="C172" s="27" t="inlineStr">
        <is>
          <t>Partner Rapid</t>
        </is>
      </c>
      <c r="D172" s="26" t="inlineStr">
        <is>
          <t>ACTIVO</t>
        </is>
      </c>
      <c r="E172" s="26" t="inlineStr">
        <is>
          <t>2025-04-23</t>
        </is>
      </c>
      <c r="F172" s="26" t="inlineStr">
        <is>
          <t>2027-04-23</t>
        </is>
      </c>
      <c r="G172" s="28" t="n">
        <v>24</v>
      </c>
      <c r="H172" s="29" t="n">
        <v>225538.8</v>
      </c>
      <c r="I172" s="29" t="n">
        <v>12540.23</v>
      </c>
      <c r="J172" s="29">
        <f>IF(Intereses_Leasing_Mensual!I172&gt;0, ROUND($I172-Intereses_Leasing_Mensual!I172, 2), "")</f>
        <v/>
      </c>
      <c r="K172" s="29">
        <f>IF(Intereses_Leasing_Mensual!J172&gt;0, ROUND($I172-Intereses_Leasing_Mensual!J172, 2), "")</f>
        <v/>
      </c>
      <c r="L172" s="29">
        <f>IF(Intereses_Leasing_Mensual!K172&gt;0, ROUND($I172-Intereses_Leasing_Mensual!K172, 2), "")</f>
        <v/>
      </c>
      <c r="M172" s="29">
        <f>IF(Intereses_Leasing_Mensual!L172&gt;0, ROUND($I172-Intereses_Leasing_Mensual!L172, 2), "")</f>
        <v/>
      </c>
      <c r="N172" s="29">
        <f>IF(Intereses_Leasing_Mensual!M172&gt;0, ROUND($I172-Intereses_Leasing_Mensual!M172, 2), "")</f>
        <v/>
      </c>
      <c r="O172" s="29">
        <f>IF(Intereses_Leasing_Mensual!N172&gt;0, ROUND($I172-Intereses_Leasing_Mensual!N172, 2), "")</f>
        <v/>
      </c>
      <c r="P172" s="29">
        <f>IF(Intereses_Leasing_Mensual!O172&gt;0, ROUND($I172-Intereses_Leasing_Mensual!O172, 2), "")</f>
        <v/>
      </c>
      <c r="Q172" s="29">
        <f>IF(Intereses_Leasing_Mensual!P172&gt;0, ROUND($I172-Intereses_Leasing_Mensual!P172, 2), "")</f>
        <v/>
      </c>
      <c r="R172" s="29">
        <f>IF(Intereses_Leasing_Mensual!Q172&gt;0, ROUND($I172-Intereses_Leasing_Mensual!Q172, 2), "")</f>
        <v/>
      </c>
      <c r="S172" s="29">
        <f>IF(Intereses_Leasing_Mensual!R172&gt;0, ROUND($I172-Intereses_Leasing_Mensual!R172, 2), "")</f>
        <v/>
      </c>
      <c r="T172" s="29">
        <f>IF(Intereses_Leasing_Mensual!S172&gt;0, ROUND($I172-Intereses_Leasing_Mensual!S172, 2), "")</f>
        <v/>
      </c>
      <c r="U172" s="29">
        <f>IF(Intereses_Leasing_Mensual!T172&gt;0, ROUND($I172-Intereses_Leasing_Mensual!T172, 2), "")</f>
        <v/>
      </c>
      <c r="V172" s="29">
        <f>SUM(J172:U172)</f>
        <v/>
      </c>
    </row>
    <row r="173">
      <c r="A173" s="20" t="inlineStr">
        <is>
          <t>0693-0001</t>
        </is>
      </c>
      <c r="B173" s="21" t="inlineStr">
        <is>
          <t>Neurovim</t>
        </is>
      </c>
      <c r="C173" s="21" t="inlineStr">
        <is>
          <t>Equipo Medico</t>
        </is>
      </c>
      <c r="D173" s="20" t="inlineStr">
        <is>
          <t>ACTIVO</t>
        </is>
      </c>
      <c r="E173" s="20" t="inlineStr">
        <is>
          <t>2025-04-25</t>
        </is>
      </c>
      <c r="F173" s="20" t="inlineStr">
        <is>
          <t>2028-04-25</t>
        </is>
      </c>
      <c r="G173" s="22" t="n">
        <v>36</v>
      </c>
      <c r="H173" s="23" t="n">
        <v>1661493.87</v>
      </c>
      <c r="I173" s="23" t="n">
        <v>62790.66</v>
      </c>
      <c r="J173" s="23">
        <f>IF(Intereses_Leasing_Mensual!I173&gt;0, ROUND($I173-Intereses_Leasing_Mensual!I173, 2), "")</f>
        <v/>
      </c>
      <c r="K173" s="23">
        <f>IF(Intereses_Leasing_Mensual!J173&gt;0, ROUND($I173-Intereses_Leasing_Mensual!J173, 2), "")</f>
        <v/>
      </c>
      <c r="L173" s="23">
        <f>IF(Intereses_Leasing_Mensual!K173&gt;0, ROUND($I173-Intereses_Leasing_Mensual!K173, 2), "")</f>
        <v/>
      </c>
      <c r="M173" s="23">
        <f>IF(Intereses_Leasing_Mensual!L173&gt;0, ROUND($I173-Intereses_Leasing_Mensual!L173, 2), "")</f>
        <v/>
      </c>
      <c r="N173" s="23">
        <f>IF(Intereses_Leasing_Mensual!M173&gt;0, ROUND($I173-Intereses_Leasing_Mensual!M173, 2), "")</f>
        <v/>
      </c>
      <c r="O173" s="23">
        <f>IF(Intereses_Leasing_Mensual!N173&gt;0, ROUND($I173-Intereses_Leasing_Mensual!N173, 2), "")</f>
        <v/>
      </c>
      <c r="P173" s="23">
        <f>IF(Intereses_Leasing_Mensual!O173&gt;0, ROUND($I173-Intereses_Leasing_Mensual!O173, 2), "")</f>
        <v/>
      </c>
      <c r="Q173" s="23">
        <f>IF(Intereses_Leasing_Mensual!P173&gt;0, ROUND($I173-Intereses_Leasing_Mensual!P173, 2), "")</f>
        <v/>
      </c>
      <c r="R173" s="23">
        <f>IF(Intereses_Leasing_Mensual!Q173&gt;0, ROUND($I173-Intereses_Leasing_Mensual!Q173, 2), "")</f>
        <v/>
      </c>
      <c r="S173" s="23">
        <f>IF(Intereses_Leasing_Mensual!R173&gt;0, ROUND($I173-Intereses_Leasing_Mensual!R173, 2), "")</f>
        <v/>
      </c>
      <c r="T173" s="23">
        <f>IF(Intereses_Leasing_Mensual!S173&gt;0, ROUND($I173-Intereses_Leasing_Mensual!S173, 2), "")</f>
        <v/>
      </c>
      <c r="U173" s="23">
        <f>IF(Intereses_Leasing_Mensual!T173&gt;0, ROUND($I173-Intereses_Leasing_Mensual!T173, 2), "")</f>
        <v/>
      </c>
      <c r="V173" s="23">
        <f>SUM(J173:U173)</f>
        <v/>
      </c>
    </row>
    <row r="174">
      <c r="A174" s="26" t="inlineStr">
        <is>
          <t>0694-0001</t>
        </is>
      </c>
      <c r="B174" s="27" t="inlineStr">
        <is>
          <t>Jose Gelacio Limon Reyes</t>
        </is>
      </c>
      <c r="C174" s="27" t="inlineStr">
        <is>
          <t>Outlander Sport</t>
        </is>
      </c>
      <c r="D174" s="26" t="inlineStr">
        <is>
          <t>ACTIVO</t>
        </is>
      </c>
      <c r="E174" s="26" t="inlineStr">
        <is>
          <t>2025-05-26</t>
        </is>
      </c>
      <c r="F174" s="26" t="inlineStr">
        <is>
          <t>2029-05-26</t>
        </is>
      </c>
      <c r="G174" s="28" t="n">
        <v>48</v>
      </c>
      <c r="H174" s="29" t="n">
        <v>387698.27</v>
      </c>
      <c r="I174" s="29" t="n">
        <v>14033.49</v>
      </c>
      <c r="J174" s="29">
        <f>IF(Intereses_Leasing_Mensual!I174&gt;0, ROUND($I174-Intereses_Leasing_Mensual!I174, 2), "")</f>
        <v/>
      </c>
      <c r="K174" s="29">
        <f>IF(Intereses_Leasing_Mensual!J174&gt;0, ROUND($I174-Intereses_Leasing_Mensual!J174, 2), "")</f>
        <v/>
      </c>
      <c r="L174" s="29">
        <f>IF(Intereses_Leasing_Mensual!K174&gt;0, ROUND($I174-Intereses_Leasing_Mensual!K174, 2), "")</f>
        <v/>
      </c>
      <c r="M174" s="29">
        <f>IF(Intereses_Leasing_Mensual!L174&gt;0, ROUND($I174-Intereses_Leasing_Mensual!L174, 2), "")</f>
        <v/>
      </c>
      <c r="N174" s="29">
        <f>IF(Intereses_Leasing_Mensual!M174&gt;0, ROUND($I174-Intereses_Leasing_Mensual!M174, 2), "")</f>
        <v/>
      </c>
      <c r="O174" s="29">
        <f>IF(Intereses_Leasing_Mensual!N174&gt;0, ROUND($I174-Intereses_Leasing_Mensual!N174, 2), "")</f>
        <v/>
      </c>
      <c r="P174" s="29">
        <f>IF(Intereses_Leasing_Mensual!O174&gt;0, ROUND($I174-Intereses_Leasing_Mensual!O174, 2), "")</f>
        <v/>
      </c>
      <c r="Q174" s="29">
        <f>IF(Intereses_Leasing_Mensual!P174&gt;0, ROUND($I174-Intereses_Leasing_Mensual!P174, 2), "")</f>
        <v/>
      </c>
      <c r="R174" s="29">
        <f>IF(Intereses_Leasing_Mensual!Q174&gt;0, ROUND($I174-Intereses_Leasing_Mensual!Q174, 2), "")</f>
        <v/>
      </c>
      <c r="S174" s="29">
        <f>IF(Intereses_Leasing_Mensual!R174&gt;0, ROUND($I174-Intereses_Leasing_Mensual!R174, 2), "")</f>
        <v/>
      </c>
      <c r="T174" s="29">
        <f>IF(Intereses_Leasing_Mensual!S174&gt;0, ROUND($I174-Intereses_Leasing_Mensual!S174, 2), "")</f>
        <v/>
      </c>
      <c r="U174" s="29">
        <f>IF(Intereses_Leasing_Mensual!T174&gt;0, ROUND($I174-Intereses_Leasing_Mensual!T174, 2), "")</f>
        <v/>
      </c>
      <c r="V174" s="29">
        <f>SUM(J174:U174)</f>
        <v/>
      </c>
    </row>
    <row r="175">
      <c r="A175" s="20" t="inlineStr">
        <is>
          <t>0695-0001</t>
        </is>
      </c>
      <c r="B175" s="21" t="inlineStr">
        <is>
          <t>Sistemas de Seguridad Privada Ssp</t>
        </is>
      </c>
      <c r="C175" s="21" t="inlineStr">
        <is>
          <t>Attitude Sport</t>
        </is>
      </c>
      <c r="D175" s="20" t="inlineStr">
        <is>
          <t>ACTIVO</t>
        </is>
      </c>
      <c r="E175" s="20" t="inlineStr">
        <is>
          <t>2025-05-26</t>
        </is>
      </c>
      <c r="F175" s="20" t="inlineStr">
        <is>
          <t>2027-05-26</t>
        </is>
      </c>
      <c r="G175" s="22" t="n">
        <v>24</v>
      </c>
      <c r="H175" s="23" t="n">
        <v>320620.69</v>
      </c>
      <c r="I175" s="23" t="n">
        <v>13443.77</v>
      </c>
      <c r="J175" s="23">
        <f>IF(Intereses_Leasing_Mensual!I175&gt;0, ROUND($I175-Intereses_Leasing_Mensual!I175, 2), "")</f>
        <v/>
      </c>
      <c r="K175" s="23">
        <f>IF(Intereses_Leasing_Mensual!J175&gt;0, ROUND($I175-Intereses_Leasing_Mensual!J175, 2), "")</f>
        <v/>
      </c>
      <c r="L175" s="23">
        <f>IF(Intereses_Leasing_Mensual!K175&gt;0, ROUND($I175-Intereses_Leasing_Mensual!K175, 2), "")</f>
        <v/>
      </c>
      <c r="M175" s="23">
        <f>IF(Intereses_Leasing_Mensual!L175&gt;0, ROUND($I175-Intereses_Leasing_Mensual!L175, 2), "")</f>
        <v/>
      </c>
      <c r="N175" s="23">
        <f>IF(Intereses_Leasing_Mensual!M175&gt;0, ROUND($I175-Intereses_Leasing_Mensual!M175, 2), "")</f>
        <v/>
      </c>
      <c r="O175" s="23">
        <f>IF(Intereses_Leasing_Mensual!N175&gt;0, ROUND($I175-Intereses_Leasing_Mensual!N175, 2), "")</f>
        <v/>
      </c>
      <c r="P175" s="23">
        <f>IF(Intereses_Leasing_Mensual!O175&gt;0, ROUND($I175-Intereses_Leasing_Mensual!O175, 2), "")</f>
        <v/>
      </c>
      <c r="Q175" s="23">
        <f>IF(Intereses_Leasing_Mensual!P175&gt;0, ROUND($I175-Intereses_Leasing_Mensual!P175, 2), "")</f>
        <v/>
      </c>
      <c r="R175" s="23">
        <f>IF(Intereses_Leasing_Mensual!Q175&gt;0, ROUND($I175-Intereses_Leasing_Mensual!Q175, 2), "")</f>
        <v/>
      </c>
      <c r="S175" s="23">
        <f>IF(Intereses_Leasing_Mensual!R175&gt;0, ROUND($I175-Intereses_Leasing_Mensual!R175, 2), "")</f>
        <v/>
      </c>
      <c r="T175" s="23">
        <f>IF(Intereses_Leasing_Mensual!S175&gt;0, ROUND($I175-Intereses_Leasing_Mensual!S175, 2), "")</f>
        <v/>
      </c>
      <c r="U175" s="23">
        <f>IF(Intereses_Leasing_Mensual!T175&gt;0, ROUND($I175-Intereses_Leasing_Mensual!T175, 2), "")</f>
        <v/>
      </c>
      <c r="V175" s="23">
        <f>SUM(J175:U175)</f>
        <v/>
      </c>
    </row>
    <row r="176">
      <c r="A176" s="26" t="inlineStr">
        <is>
          <t>0696-0001</t>
        </is>
      </c>
      <c r="B176" s="27" t="inlineStr">
        <is>
          <t>Karina Rocio Sanchez Cardenas</t>
        </is>
      </c>
      <c r="C176" s="27" t="inlineStr">
        <is>
          <t>Atittude GT</t>
        </is>
      </c>
      <c r="D176" s="26" t="inlineStr">
        <is>
          <t>ACTIVO</t>
        </is>
      </c>
      <c r="E176" s="26" t="inlineStr">
        <is>
          <t>2025-05-28</t>
        </is>
      </c>
      <c r="F176" s="26" t="inlineStr">
        <is>
          <t>2029-05-28</t>
        </is>
      </c>
      <c r="G176" s="28" t="n">
        <v>48</v>
      </c>
      <c r="H176" s="29" t="n">
        <v>387853.45</v>
      </c>
      <c r="I176" s="29" t="n">
        <v>14039.1</v>
      </c>
      <c r="J176" s="29">
        <f>IF(Intereses_Leasing_Mensual!I176&gt;0, ROUND($I176-Intereses_Leasing_Mensual!I176, 2), "")</f>
        <v/>
      </c>
      <c r="K176" s="29">
        <f>IF(Intereses_Leasing_Mensual!J176&gt;0, ROUND($I176-Intereses_Leasing_Mensual!J176, 2), "")</f>
        <v/>
      </c>
      <c r="L176" s="29">
        <f>IF(Intereses_Leasing_Mensual!K176&gt;0, ROUND($I176-Intereses_Leasing_Mensual!K176, 2), "")</f>
        <v/>
      </c>
      <c r="M176" s="29">
        <f>IF(Intereses_Leasing_Mensual!L176&gt;0, ROUND($I176-Intereses_Leasing_Mensual!L176, 2), "")</f>
        <v/>
      </c>
      <c r="N176" s="29">
        <f>IF(Intereses_Leasing_Mensual!M176&gt;0, ROUND($I176-Intereses_Leasing_Mensual!M176, 2), "")</f>
        <v/>
      </c>
      <c r="O176" s="29">
        <f>IF(Intereses_Leasing_Mensual!N176&gt;0, ROUND($I176-Intereses_Leasing_Mensual!N176, 2), "")</f>
        <v/>
      </c>
      <c r="P176" s="29">
        <f>IF(Intereses_Leasing_Mensual!O176&gt;0, ROUND($I176-Intereses_Leasing_Mensual!O176, 2), "")</f>
        <v/>
      </c>
      <c r="Q176" s="29">
        <f>IF(Intereses_Leasing_Mensual!P176&gt;0, ROUND($I176-Intereses_Leasing_Mensual!P176, 2), "")</f>
        <v/>
      </c>
      <c r="R176" s="29">
        <f>IF(Intereses_Leasing_Mensual!Q176&gt;0, ROUND($I176-Intereses_Leasing_Mensual!Q176, 2), "")</f>
        <v/>
      </c>
      <c r="S176" s="29">
        <f>IF(Intereses_Leasing_Mensual!R176&gt;0, ROUND($I176-Intereses_Leasing_Mensual!R176, 2), "")</f>
        <v/>
      </c>
      <c r="T176" s="29">
        <f>IF(Intereses_Leasing_Mensual!S176&gt;0, ROUND($I176-Intereses_Leasing_Mensual!S176, 2), "")</f>
        <v/>
      </c>
      <c r="U176" s="29">
        <f>IF(Intereses_Leasing_Mensual!T176&gt;0, ROUND($I176-Intereses_Leasing_Mensual!T176, 2), "")</f>
        <v/>
      </c>
      <c r="V176" s="29">
        <f>SUM(J176:U176)</f>
        <v/>
      </c>
    </row>
    <row r="177">
      <c r="A177" s="20" t="inlineStr">
        <is>
          <t>0697-0001</t>
        </is>
      </c>
      <c r="B177" s="21" t="inlineStr">
        <is>
          <t>Guillermo Eduardo Robles Navarro</t>
        </is>
      </c>
      <c r="C177" s="21" t="inlineStr">
        <is>
          <t>Partner Rapid</t>
        </is>
      </c>
      <c r="D177" s="20" t="inlineStr">
        <is>
          <t>ACTIVO</t>
        </is>
      </c>
      <c r="E177" s="20" t="inlineStr">
        <is>
          <t>2025-05-30</t>
        </is>
      </c>
      <c r="F177" s="20" t="inlineStr">
        <is>
          <t>2027-05-30</t>
        </is>
      </c>
      <c r="G177" s="22" t="n">
        <v>24</v>
      </c>
      <c r="H177" s="23" t="n">
        <v>231905.17</v>
      </c>
      <c r="I177" s="23" t="n">
        <v>10785.48</v>
      </c>
      <c r="J177" s="23">
        <f>IF(Intereses_Leasing_Mensual!I177&gt;0, ROUND($I177-Intereses_Leasing_Mensual!I177, 2), "")</f>
        <v/>
      </c>
      <c r="K177" s="23">
        <f>IF(Intereses_Leasing_Mensual!J177&gt;0, ROUND($I177-Intereses_Leasing_Mensual!J177, 2), "")</f>
        <v/>
      </c>
      <c r="L177" s="23">
        <f>IF(Intereses_Leasing_Mensual!K177&gt;0, ROUND($I177-Intereses_Leasing_Mensual!K177, 2), "")</f>
        <v/>
      </c>
      <c r="M177" s="23">
        <f>IF(Intereses_Leasing_Mensual!L177&gt;0, ROUND($I177-Intereses_Leasing_Mensual!L177, 2), "")</f>
        <v/>
      </c>
      <c r="N177" s="23">
        <f>IF(Intereses_Leasing_Mensual!M177&gt;0, ROUND($I177-Intereses_Leasing_Mensual!M177, 2), "")</f>
        <v/>
      </c>
      <c r="O177" s="23">
        <f>IF(Intereses_Leasing_Mensual!N177&gt;0, ROUND($I177-Intereses_Leasing_Mensual!N177, 2), "")</f>
        <v/>
      </c>
      <c r="P177" s="23">
        <f>IF(Intereses_Leasing_Mensual!O177&gt;0, ROUND($I177-Intereses_Leasing_Mensual!O177, 2), "")</f>
        <v/>
      </c>
      <c r="Q177" s="23">
        <f>IF(Intereses_Leasing_Mensual!P177&gt;0, ROUND($I177-Intereses_Leasing_Mensual!P177, 2), "")</f>
        <v/>
      </c>
      <c r="R177" s="23">
        <f>IF(Intereses_Leasing_Mensual!Q177&gt;0, ROUND($I177-Intereses_Leasing_Mensual!Q177, 2), "")</f>
        <v/>
      </c>
      <c r="S177" s="23">
        <f>IF(Intereses_Leasing_Mensual!R177&gt;0, ROUND($I177-Intereses_Leasing_Mensual!R177, 2), "")</f>
        <v/>
      </c>
      <c r="T177" s="23">
        <f>IF(Intereses_Leasing_Mensual!S177&gt;0, ROUND($I177-Intereses_Leasing_Mensual!S177, 2), "")</f>
        <v/>
      </c>
      <c r="U177" s="23">
        <f>IF(Intereses_Leasing_Mensual!T177&gt;0, ROUND($I177-Intereses_Leasing_Mensual!T177, 2), "")</f>
        <v/>
      </c>
      <c r="V177" s="23">
        <f>SUM(J177:U177)</f>
        <v/>
      </c>
    </row>
    <row r="178">
      <c r="A178" s="26" t="inlineStr">
        <is>
          <t>0698-0001</t>
        </is>
      </c>
      <c r="B178" s="27" t="inlineStr">
        <is>
          <t>Roberto Gontes Leon</t>
        </is>
      </c>
      <c r="C178" s="27" t="inlineStr">
        <is>
          <t>Wrangler Rubicon</t>
        </is>
      </c>
      <c r="D178" s="26" t="inlineStr">
        <is>
          <t>ACTIVO</t>
        </is>
      </c>
      <c r="E178" s="26" t="inlineStr">
        <is>
          <t>2025-06-13</t>
        </is>
      </c>
      <c r="F178" s="26" t="inlineStr">
        <is>
          <t>2029-06-13</t>
        </is>
      </c>
      <c r="G178" s="28" t="n">
        <v>48</v>
      </c>
      <c r="H178" s="29" t="n">
        <v>897338.3100000001</v>
      </c>
      <c r="I178" s="29" t="n">
        <v>31684.72</v>
      </c>
      <c r="J178" s="29">
        <f>IF(Intereses_Leasing_Mensual!I178&gt;0, ROUND($I178-Intereses_Leasing_Mensual!I178, 2), "")</f>
        <v/>
      </c>
      <c r="K178" s="29">
        <f>IF(Intereses_Leasing_Mensual!J178&gt;0, ROUND($I178-Intereses_Leasing_Mensual!J178, 2), "")</f>
        <v/>
      </c>
      <c r="L178" s="29">
        <f>IF(Intereses_Leasing_Mensual!K178&gt;0, ROUND($I178-Intereses_Leasing_Mensual!K178, 2), "")</f>
        <v/>
      </c>
      <c r="M178" s="29">
        <f>IF(Intereses_Leasing_Mensual!L178&gt;0, ROUND($I178-Intereses_Leasing_Mensual!L178, 2), "")</f>
        <v/>
      </c>
      <c r="N178" s="29">
        <f>IF(Intereses_Leasing_Mensual!M178&gt;0, ROUND($I178-Intereses_Leasing_Mensual!M178, 2), "")</f>
        <v/>
      </c>
      <c r="O178" s="29">
        <f>IF(Intereses_Leasing_Mensual!N178&gt;0, ROUND($I178-Intereses_Leasing_Mensual!N178, 2), "")</f>
        <v/>
      </c>
      <c r="P178" s="29">
        <f>IF(Intereses_Leasing_Mensual!O178&gt;0, ROUND($I178-Intereses_Leasing_Mensual!O178, 2), "")</f>
        <v/>
      </c>
      <c r="Q178" s="29">
        <f>IF(Intereses_Leasing_Mensual!P178&gt;0, ROUND($I178-Intereses_Leasing_Mensual!P178, 2), "")</f>
        <v/>
      </c>
      <c r="R178" s="29">
        <f>IF(Intereses_Leasing_Mensual!Q178&gt;0, ROUND($I178-Intereses_Leasing_Mensual!Q178, 2), "")</f>
        <v/>
      </c>
      <c r="S178" s="29">
        <f>IF(Intereses_Leasing_Mensual!R178&gt;0, ROUND($I178-Intereses_Leasing_Mensual!R178, 2), "")</f>
        <v/>
      </c>
      <c r="T178" s="29">
        <f>IF(Intereses_Leasing_Mensual!S178&gt;0, ROUND($I178-Intereses_Leasing_Mensual!S178, 2), "")</f>
        <v/>
      </c>
      <c r="U178" s="29">
        <f>IF(Intereses_Leasing_Mensual!T178&gt;0, ROUND($I178-Intereses_Leasing_Mensual!T178, 2), "")</f>
        <v/>
      </c>
      <c r="V178" s="29">
        <f>SUM(J178:U178)</f>
        <v/>
      </c>
    </row>
    <row r="179">
      <c r="A179" s="20" t="inlineStr">
        <is>
          <t>0699-0001</t>
        </is>
      </c>
      <c r="B179" s="21" t="inlineStr">
        <is>
          <t>Ramona Salazar Ramos</t>
        </is>
      </c>
      <c r="C179" s="21" t="inlineStr">
        <is>
          <t>Grand Cherokee 2025</t>
        </is>
      </c>
      <c r="D179" s="20" t="inlineStr">
        <is>
          <t>ACTIVO</t>
        </is>
      </c>
      <c r="E179" s="20" t="inlineStr">
        <is>
          <t>2025-06-05</t>
        </is>
      </c>
      <c r="F179" s="20" t="inlineStr">
        <is>
          <t>2028-06-05</t>
        </is>
      </c>
      <c r="G179" s="22" t="n">
        <v>36</v>
      </c>
      <c r="H179" s="23" t="n">
        <v>996482.76</v>
      </c>
      <c r="I179" s="23" t="n">
        <v>41253.12</v>
      </c>
      <c r="J179" s="23">
        <f>IF(Intereses_Leasing_Mensual!I179&gt;0, ROUND($I179-Intereses_Leasing_Mensual!I179, 2), "")</f>
        <v/>
      </c>
      <c r="K179" s="23">
        <f>IF(Intereses_Leasing_Mensual!J179&gt;0, ROUND($I179-Intereses_Leasing_Mensual!J179, 2), "")</f>
        <v/>
      </c>
      <c r="L179" s="23">
        <f>IF(Intereses_Leasing_Mensual!K179&gt;0, ROUND($I179-Intereses_Leasing_Mensual!K179, 2), "")</f>
        <v/>
      </c>
      <c r="M179" s="23">
        <f>IF(Intereses_Leasing_Mensual!L179&gt;0, ROUND($I179-Intereses_Leasing_Mensual!L179, 2), "")</f>
        <v/>
      </c>
      <c r="N179" s="23">
        <f>IF(Intereses_Leasing_Mensual!M179&gt;0, ROUND($I179-Intereses_Leasing_Mensual!M179, 2), "")</f>
        <v/>
      </c>
      <c r="O179" s="23">
        <f>IF(Intereses_Leasing_Mensual!N179&gt;0, ROUND($I179-Intereses_Leasing_Mensual!N179, 2), "")</f>
        <v/>
      </c>
      <c r="P179" s="23">
        <f>IF(Intereses_Leasing_Mensual!O179&gt;0, ROUND($I179-Intereses_Leasing_Mensual!O179, 2), "")</f>
        <v/>
      </c>
      <c r="Q179" s="23">
        <f>IF(Intereses_Leasing_Mensual!P179&gt;0, ROUND($I179-Intereses_Leasing_Mensual!P179, 2), "")</f>
        <v/>
      </c>
      <c r="R179" s="23">
        <f>IF(Intereses_Leasing_Mensual!Q179&gt;0, ROUND($I179-Intereses_Leasing_Mensual!Q179, 2), "")</f>
        <v/>
      </c>
      <c r="S179" s="23">
        <f>IF(Intereses_Leasing_Mensual!R179&gt;0, ROUND($I179-Intereses_Leasing_Mensual!R179, 2), "")</f>
        <v/>
      </c>
      <c r="T179" s="23">
        <f>IF(Intereses_Leasing_Mensual!S179&gt;0, ROUND($I179-Intereses_Leasing_Mensual!S179, 2), "")</f>
        <v/>
      </c>
      <c r="U179" s="23">
        <f>IF(Intereses_Leasing_Mensual!T179&gt;0, ROUND($I179-Intereses_Leasing_Mensual!T179, 2), "")</f>
        <v/>
      </c>
      <c r="V179" s="23">
        <f>SUM(J179:U179)</f>
        <v/>
      </c>
    </row>
    <row r="180">
      <c r="A180" s="26" t="inlineStr">
        <is>
          <t>0700-0001</t>
        </is>
      </c>
      <c r="B180" s="27" t="inlineStr">
        <is>
          <t>Felipe de Jesus Ibañez Huizar</t>
        </is>
      </c>
      <c r="C180" s="27" t="inlineStr">
        <is>
          <t>K3</t>
        </is>
      </c>
      <c r="D180" s="26" t="inlineStr">
        <is>
          <t>ACTIVO</t>
        </is>
      </c>
      <c r="E180" s="26" t="inlineStr">
        <is>
          <t>2025-06-20</t>
        </is>
      </c>
      <c r="F180" s="26" t="inlineStr">
        <is>
          <t>2028-06-20</t>
        </is>
      </c>
      <c r="G180" s="28" t="n">
        <v>36</v>
      </c>
      <c r="H180" s="29" t="n">
        <v>306853.45</v>
      </c>
      <c r="I180" s="29" t="n">
        <v>12215.91</v>
      </c>
      <c r="J180" s="29">
        <f>IF(Intereses_Leasing_Mensual!I180&gt;0, ROUND($I180-Intereses_Leasing_Mensual!I180, 2), "")</f>
        <v/>
      </c>
      <c r="K180" s="29">
        <f>IF(Intereses_Leasing_Mensual!J180&gt;0, ROUND($I180-Intereses_Leasing_Mensual!J180, 2), "")</f>
        <v/>
      </c>
      <c r="L180" s="29">
        <f>IF(Intereses_Leasing_Mensual!K180&gt;0, ROUND($I180-Intereses_Leasing_Mensual!K180, 2), "")</f>
        <v/>
      </c>
      <c r="M180" s="29">
        <f>IF(Intereses_Leasing_Mensual!L180&gt;0, ROUND($I180-Intereses_Leasing_Mensual!L180, 2), "")</f>
        <v/>
      </c>
      <c r="N180" s="29">
        <f>IF(Intereses_Leasing_Mensual!M180&gt;0, ROUND($I180-Intereses_Leasing_Mensual!M180, 2), "")</f>
        <v/>
      </c>
      <c r="O180" s="29">
        <f>IF(Intereses_Leasing_Mensual!N180&gt;0, ROUND($I180-Intereses_Leasing_Mensual!N180, 2), "")</f>
        <v/>
      </c>
      <c r="P180" s="29">
        <f>IF(Intereses_Leasing_Mensual!O180&gt;0, ROUND($I180-Intereses_Leasing_Mensual!O180, 2), "")</f>
        <v/>
      </c>
      <c r="Q180" s="29">
        <f>IF(Intereses_Leasing_Mensual!P180&gt;0, ROUND($I180-Intereses_Leasing_Mensual!P180, 2), "")</f>
        <v/>
      </c>
      <c r="R180" s="29">
        <f>IF(Intereses_Leasing_Mensual!Q180&gt;0, ROUND($I180-Intereses_Leasing_Mensual!Q180, 2), "")</f>
        <v/>
      </c>
      <c r="S180" s="29">
        <f>IF(Intereses_Leasing_Mensual!R180&gt;0, ROUND($I180-Intereses_Leasing_Mensual!R180, 2), "")</f>
        <v/>
      </c>
      <c r="T180" s="29">
        <f>IF(Intereses_Leasing_Mensual!S180&gt;0, ROUND($I180-Intereses_Leasing_Mensual!S180, 2), "")</f>
        <v/>
      </c>
      <c r="U180" s="29">
        <f>IF(Intereses_Leasing_Mensual!T180&gt;0, ROUND($I180-Intereses_Leasing_Mensual!T180, 2), "")</f>
        <v/>
      </c>
      <c r="V180" s="29">
        <f>SUM(J180:U180)</f>
        <v/>
      </c>
    </row>
    <row r="181">
      <c r="A181" s="20" t="inlineStr">
        <is>
          <t>0700-0002</t>
        </is>
      </c>
      <c r="B181" s="21" t="inlineStr">
        <is>
          <t>Felipe de Jesus Ibañez Huizar</t>
        </is>
      </c>
      <c r="C181" s="21" t="inlineStr">
        <is>
          <t>Nissan NP 300 Frontier 2026</t>
        </is>
      </c>
      <c r="D181" s="20" t="inlineStr">
        <is>
          <t>ACTIVO</t>
        </is>
      </c>
      <c r="E181" s="20" t="inlineStr">
        <is>
          <t>2026-07-17</t>
        </is>
      </c>
      <c r="F181" s="20" t="inlineStr">
        <is>
          <t>2028-07-17</t>
        </is>
      </c>
      <c r="G181" s="22" t="n">
        <v>24</v>
      </c>
      <c r="H181" s="23" t="n">
        <v>504081.47</v>
      </c>
      <c r="I181" s="23" t="n">
        <v>25935.66</v>
      </c>
      <c r="J181" s="23" t="inlineStr"/>
      <c r="K181" s="23" t="inlineStr"/>
      <c r="L181" s="23" t="inlineStr"/>
      <c r="M181" s="23" t="inlineStr"/>
      <c r="N181" s="23" t="inlineStr"/>
      <c r="O181" s="23" t="inlineStr"/>
      <c r="P181" s="23">
        <f>IF(Intereses_Leasing_Mensual!O181&gt;0, ROUND($I181-Intereses_Leasing_Mensual!O181, 2), "")</f>
        <v/>
      </c>
      <c r="Q181" s="23">
        <f>IF(Intereses_Leasing_Mensual!P181&gt;0, ROUND($I181-Intereses_Leasing_Mensual!P181, 2), "")</f>
        <v/>
      </c>
      <c r="R181" s="23">
        <f>IF(Intereses_Leasing_Mensual!Q181&gt;0, ROUND($I181-Intereses_Leasing_Mensual!Q181, 2), "")</f>
        <v/>
      </c>
      <c r="S181" s="23">
        <f>IF(Intereses_Leasing_Mensual!R181&gt;0, ROUND($I181-Intereses_Leasing_Mensual!R181, 2), "")</f>
        <v/>
      </c>
      <c r="T181" s="23">
        <f>IF(Intereses_Leasing_Mensual!S181&gt;0, ROUND($I181-Intereses_Leasing_Mensual!S181, 2), "")</f>
        <v/>
      </c>
      <c r="U181" s="23">
        <f>IF(Intereses_Leasing_Mensual!T181&gt;0, ROUND($I181-Intereses_Leasing_Mensual!T181, 2), "")</f>
        <v/>
      </c>
      <c r="V181" s="23">
        <f>SUM(J181:U181)</f>
        <v/>
      </c>
    </row>
    <row r="182">
      <c r="A182" s="26" t="inlineStr">
        <is>
          <t>0701-0001</t>
        </is>
      </c>
      <c r="B182" s="27" t="inlineStr">
        <is>
          <t>Miguel Angel Yañez Rivera</t>
        </is>
      </c>
      <c r="C182" s="27" t="inlineStr">
        <is>
          <t>Maxi Partner</t>
        </is>
      </c>
      <c r="D182" s="26" t="inlineStr">
        <is>
          <t>ACTIVO</t>
        </is>
      </c>
      <c r="E182" s="26" t="inlineStr">
        <is>
          <t>2025-06-13</t>
        </is>
      </c>
      <c r="F182" s="26" t="inlineStr">
        <is>
          <t>2029-06-13</t>
        </is>
      </c>
      <c r="G182" s="28" t="n">
        <v>48</v>
      </c>
      <c r="H182" s="29" t="n">
        <v>240715.52</v>
      </c>
      <c r="I182" s="29" t="n">
        <v>8636.469999999999</v>
      </c>
      <c r="J182" s="29">
        <f>IF(Intereses_Leasing_Mensual!I182&gt;0, ROUND($I182-Intereses_Leasing_Mensual!I182, 2), "")</f>
        <v/>
      </c>
      <c r="K182" s="29">
        <f>IF(Intereses_Leasing_Mensual!J182&gt;0, ROUND($I182-Intereses_Leasing_Mensual!J182, 2), "")</f>
        <v/>
      </c>
      <c r="L182" s="29">
        <f>IF(Intereses_Leasing_Mensual!K182&gt;0, ROUND($I182-Intereses_Leasing_Mensual!K182, 2), "")</f>
        <v/>
      </c>
      <c r="M182" s="29">
        <f>IF(Intereses_Leasing_Mensual!L182&gt;0, ROUND($I182-Intereses_Leasing_Mensual!L182, 2), "")</f>
        <v/>
      </c>
      <c r="N182" s="29">
        <f>IF(Intereses_Leasing_Mensual!M182&gt;0, ROUND($I182-Intereses_Leasing_Mensual!M182, 2), "")</f>
        <v/>
      </c>
      <c r="O182" s="29">
        <f>IF(Intereses_Leasing_Mensual!N182&gt;0, ROUND($I182-Intereses_Leasing_Mensual!N182, 2), "")</f>
        <v/>
      </c>
      <c r="P182" s="29">
        <f>IF(Intereses_Leasing_Mensual!O182&gt;0, ROUND($I182-Intereses_Leasing_Mensual!O182, 2), "")</f>
        <v/>
      </c>
      <c r="Q182" s="29">
        <f>IF(Intereses_Leasing_Mensual!P182&gt;0, ROUND($I182-Intereses_Leasing_Mensual!P182, 2), "")</f>
        <v/>
      </c>
      <c r="R182" s="29">
        <f>IF(Intereses_Leasing_Mensual!Q182&gt;0, ROUND($I182-Intereses_Leasing_Mensual!Q182, 2), "")</f>
        <v/>
      </c>
      <c r="S182" s="29">
        <f>IF(Intereses_Leasing_Mensual!R182&gt;0, ROUND($I182-Intereses_Leasing_Mensual!R182, 2), "")</f>
        <v/>
      </c>
      <c r="T182" s="29">
        <f>IF(Intereses_Leasing_Mensual!S182&gt;0, ROUND($I182-Intereses_Leasing_Mensual!S182, 2), "")</f>
        <v/>
      </c>
      <c r="U182" s="29">
        <f>IF(Intereses_Leasing_Mensual!T182&gt;0, ROUND($I182-Intereses_Leasing_Mensual!T182, 2), "")</f>
        <v/>
      </c>
      <c r="V182" s="29">
        <f>SUM(J182:U182)</f>
        <v/>
      </c>
    </row>
    <row r="183">
      <c r="A183" s="20" t="inlineStr">
        <is>
          <t>0702-0001</t>
        </is>
      </c>
      <c r="B183" s="21" t="inlineStr">
        <is>
          <t>Ramses Tadeo Galindo Calderon</t>
        </is>
      </c>
      <c r="C183" s="21" t="inlineStr">
        <is>
          <t>Song Plus</t>
        </is>
      </c>
      <c r="D183" s="20" t="inlineStr">
        <is>
          <t>ACTIVO</t>
        </is>
      </c>
      <c r="E183" s="20" t="inlineStr">
        <is>
          <t>2025-06-16</t>
        </is>
      </c>
      <c r="F183" s="20" t="inlineStr">
        <is>
          <t>2029-06-16</t>
        </is>
      </c>
      <c r="G183" s="22" t="n">
        <v>48</v>
      </c>
      <c r="H183" s="23" t="n">
        <v>713510.12</v>
      </c>
      <c r="I183" s="23" t="n">
        <v>17980.88</v>
      </c>
      <c r="J183" s="23">
        <f>IF(Intereses_Leasing_Mensual!I183&gt;0, ROUND($I183-Intereses_Leasing_Mensual!I183, 2), "")</f>
        <v/>
      </c>
      <c r="K183" s="23">
        <f>IF(Intereses_Leasing_Mensual!J183&gt;0, ROUND($I183-Intereses_Leasing_Mensual!J183, 2), "")</f>
        <v/>
      </c>
      <c r="L183" s="23">
        <f>IF(Intereses_Leasing_Mensual!K183&gt;0, ROUND($I183-Intereses_Leasing_Mensual!K183, 2), "")</f>
        <v/>
      </c>
      <c r="M183" s="23">
        <f>IF(Intereses_Leasing_Mensual!L183&gt;0, ROUND($I183-Intereses_Leasing_Mensual!L183, 2), "")</f>
        <v/>
      </c>
      <c r="N183" s="23">
        <f>IF(Intereses_Leasing_Mensual!M183&gt;0, ROUND($I183-Intereses_Leasing_Mensual!M183, 2), "")</f>
        <v/>
      </c>
      <c r="O183" s="23">
        <f>IF(Intereses_Leasing_Mensual!N183&gt;0, ROUND($I183-Intereses_Leasing_Mensual!N183, 2), "")</f>
        <v/>
      </c>
      <c r="P183" s="23">
        <f>IF(Intereses_Leasing_Mensual!O183&gt;0, ROUND($I183-Intereses_Leasing_Mensual!O183, 2), "")</f>
        <v/>
      </c>
      <c r="Q183" s="23">
        <f>IF(Intereses_Leasing_Mensual!P183&gt;0, ROUND($I183-Intereses_Leasing_Mensual!P183, 2), "")</f>
        <v/>
      </c>
      <c r="R183" s="23">
        <f>IF(Intereses_Leasing_Mensual!Q183&gt;0, ROUND($I183-Intereses_Leasing_Mensual!Q183, 2), "")</f>
        <v/>
      </c>
      <c r="S183" s="23">
        <f>IF(Intereses_Leasing_Mensual!R183&gt;0, ROUND($I183-Intereses_Leasing_Mensual!R183, 2), "")</f>
        <v/>
      </c>
      <c r="T183" s="23">
        <f>IF(Intereses_Leasing_Mensual!S183&gt;0, ROUND($I183-Intereses_Leasing_Mensual!S183, 2), "")</f>
        <v/>
      </c>
      <c r="U183" s="23">
        <f>IF(Intereses_Leasing_Mensual!T183&gt;0, ROUND($I183-Intereses_Leasing_Mensual!T183, 2), "")</f>
        <v/>
      </c>
      <c r="V183" s="23">
        <f>SUM(J183:U183)</f>
        <v/>
      </c>
    </row>
    <row r="184">
      <c r="A184" s="26" t="inlineStr">
        <is>
          <t>0703-0002</t>
        </is>
      </c>
      <c r="B184" s="27" t="inlineStr">
        <is>
          <t>Jali Fresh International Sa de Cv</t>
        </is>
      </c>
      <c r="C184" s="27" t="inlineStr">
        <is>
          <t>1500 Tradesman CC</t>
        </is>
      </c>
      <c r="D184" s="26" t="inlineStr">
        <is>
          <t>ACTIVO</t>
        </is>
      </c>
      <c r="E184" s="26" t="inlineStr">
        <is>
          <t>2026-04-23</t>
        </is>
      </c>
      <c r="F184" s="26" t="inlineStr">
        <is>
          <t>2029-04-23</t>
        </is>
      </c>
      <c r="G184" s="28" t="n">
        <v>36</v>
      </c>
      <c r="H184" s="29" t="n">
        <v>845090.52</v>
      </c>
      <c r="I184" s="29" t="n">
        <v>35258.19</v>
      </c>
      <c r="J184" s="29" t="inlineStr"/>
      <c r="K184" s="29" t="inlineStr"/>
      <c r="L184" s="29" t="inlineStr"/>
      <c r="M184" s="29">
        <f>IF(Intereses_Leasing_Mensual!L184&gt;0, ROUND($I184-Intereses_Leasing_Mensual!L184, 2), "")</f>
        <v/>
      </c>
      <c r="N184" s="29">
        <f>IF(Intereses_Leasing_Mensual!M184&gt;0, ROUND($I184-Intereses_Leasing_Mensual!M184, 2), "")</f>
        <v/>
      </c>
      <c r="O184" s="29">
        <f>IF(Intereses_Leasing_Mensual!N184&gt;0, ROUND($I184-Intereses_Leasing_Mensual!N184, 2), "")</f>
        <v/>
      </c>
      <c r="P184" s="29">
        <f>IF(Intereses_Leasing_Mensual!O184&gt;0, ROUND($I184-Intereses_Leasing_Mensual!O184, 2), "")</f>
        <v/>
      </c>
      <c r="Q184" s="29">
        <f>IF(Intereses_Leasing_Mensual!P184&gt;0, ROUND($I184-Intereses_Leasing_Mensual!P184, 2), "")</f>
        <v/>
      </c>
      <c r="R184" s="29">
        <f>IF(Intereses_Leasing_Mensual!Q184&gt;0, ROUND($I184-Intereses_Leasing_Mensual!Q184, 2), "")</f>
        <v/>
      </c>
      <c r="S184" s="29">
        <f>IF(Intereses_Leasing_Mensual!R184&gt;0, ROUND($I184-Intereses_Leasing_Mensual!R184, 2), "")</f>
        <v/>
      </c>
      <c r="T184" s="29">
        <f>IF(Intereses_Leasing_Mensual!S184&gt;0, ROUND($I184-Intereses_Leasing_Mensual!S184, 2), "")</f>
        <v/>
      </c>
      <c r="U184" s="29">
        <f>IF(Intereses_Leasing_Mensual!T184&gt;0, ROUND($I184-Intereses_Leasing_Mensual!T184, 2), "")</f>
        <v/>
      </c>
      <c r="V184" s="29">
        <f>SUM(J184:U184)</f>
        <v/>
      </c>
    </row>
    <row r="185">
      <c r="A185" s="20" t="inlineStr">
        <is>
          <t>0704-0001</t>
        </is>
      </c>
      <c r="B185" s="21" t="inlineStr">
        <is>
          <t>Cristian Manuel Cruz Gutierrez</t>
        </is>
      </c>
      <c r="C185" s="21" t="inlineStr">
        <is>
          <t>Ram 1200</t>
        </is>
      </c>
      <c r="D185" s="20" t="inlineStr">
        <is>
          <t>ACTIVO</t>
        </is>
      </c>
      <c r="E185" s="20" t="inlineStr">
        <is>
          <t>2025-07-22</t>
        </is>
      </c>
      <c r="F185" s="20" t="inlineStr">
        <is>
          <t>2028-07-22</t>
        </is>
      </c>
      <c r="G185" s="22" t="n">
        <v>36</v>
      </c>
      <c r="H185" s="23" t="n">
        <v>462000</v>
      </c>
      <c r="I185" s="23" t="n">
        <v>19126.22</v>
      </c>
      <c r="J185" s="23">
        <f>IF(Intereses_Leasing_Mensual!I185&gt;0, ROUND($I185-Intereses_Leasing_Mensual!I185, 2), "")</f>
        <v/>
      </c>
      <c r="K185" s="23">
        <f>IF(Intereses_Leasing_Mensual!J185&gt;0, ROUND($I185-Intereses_Leasing_Mensual!J185, 2), "")</f>
        <v/>
      </c>
      <c r="L185" s="23">
        <f>IF(Intereses_Leasing_Mensual!K185&gt;0, ROUND($I185-Intereses_Leasing_Mensual!K185, 2), "")</f>
        <v/>
      </c>
      <c r="M185" s="23">
        <f>IF(Intereses_Leasing_Mensual!L185&gt;0, ROUND($I185-Intereses_Leasing_Mensual!L185, 2), "")</f>
        <v/>
      </c>
      <c r="N185" s="23">
        <f>IF(Intereses_Leasing_Mensual!M185&gt;0, ROUND($I185-Intereses_Leasing_Mensual!M185, 2), "")</f>
        <v/>
      </c>
      <c r="O185" s="23">
        <f>IF(Intereses_Leasing_Mensual!N185&gt;0, ROUND($I185-Intereses_Leasing_Mensual!N185, 2), "")</f>
        <v/>
      </c>
      <c r="P185" s="23">
        <f>IF(Intereses_Leasing_Mensual!O185&gt;0, ROUND($I185-Intereses_Leasing_Mensual!O185, 2), "")</f>
        <v/>
      </c>
      <c r="Q185" s="23">
        <f>IF(Intereses_Leasing_Mensual!P185&gt;0, ROUND($I185-Intereses_Leasing_Mensual!P185, 2), "")</f>
        <v/>
      </c>
      <c r="R185" s="23">
        <f>IF(Intereses_Leasing_Mensual!Q185&gt;0, ROUND($I185-Intereses_Leasing_Mensual!Q185, 2), "")</f>
        <v/>
      </c>
      <c r="S185" s="23">
        <f>IF(Intereses_Leasing_Mensual!R185&gt;0, ROUND($I185-Intereses_Leasing_Mensual!R185, 2), "")</f>
        <v/>
      </c>
      <c r="T185" s="23">
        <f>IF(Intereses_Leasing_Mensual!S185&gt;0, ROUND($I185-Intereses_Leasing_Mensual!S185, 2), "")</f>
        <v/>
      </c>
      <c r="U185" s="23">
        <f>IF(Intereses_Leasing_Mensual!T185&gt;0, ROUND($I185-Intereses_Leasing_Mensual!T185, 2), "")</f>
        <v/>
      </c>
      <c r="V185" s="23">
        <f>SUM(J185:U185)</f>
        <v/>
      </c>
    </row>
    <row r="186">
      <c r="A186" s="26" t="inlineStr">
        <is>
          <t>0705-0001</t>
        </is>
      </c>
      <c r="B186" s="27" t="inlineStr">
        <is>
          <t>Oscar Alejandro Pedraza Gonzalez</t>
        </is>
      </c>
      <c r="C186" s="27" t="inlineStr">
        <is>
          <t>L200</t>
        </is>
      </c>
      <c r="D186" s="26" t="inlineStr">
        <is>
          <t>ACTIVO</t>
        </is>
      </c>
      <c r="E186" s="26" t="inlineStr">
        <is>
          <t>2025-08-14</t>
        </is>
      </c>
      <c r="F186" s="26" t="inlineStr">
        <is>
          <t>2027-08-14</t>
        </is>
      </c>
      <c r="G186" s="28" t="n">
        <v>24</v>
      </c>
      <c r="H186" s="29" t="n">
        <v>368144.48</v>
      </c>
      <c r="I186" s="29" t="n">
        <v>17641.67</v>
      </c>
      <c r="J186" s="29">
        <f>IF(Intereses_Leasing_Mensual!I186&gt;0, ROUND($I186-Intereses_Leasing_Mensual!I186, 2), "")</f>
        <v/>
      </c>
      <c r="K186" s="29">
        <f>IF(Intereses_Leasing_Mensual!J186&gt;0, ROUND($I186-Intereses_Leasing_Mensual!J186, 2), "")</f>
        <v/>
      </c>
      <c r="L186" s="29">
        <f>IF(Intereses_Leasing_Mensual!K186&gt;0, ROUND($I186-Intereses_Leasing_Mensual!K186, 2), "")</f>
        <v/>
      </c>
      <c r="M186" s="29">
        <f>IF(Intereses_Leasing_Mensual!L186&gt;0, ROUND($I186-Intereses_Leasing_Mensual!L186, 2), "")</f>
        <v/>
      </c>
      <c r="N186" s="29">
        <f>IF(Intereses_Leasing_Mensual!M186&gt;0, ROUND($I186-Intereses_Leasing_Mensual!M186, 2), "")</f>
        <v/>
      </c>
      <c r="O186" s="29">
        <f>IF(Intereses_Leasing_Mensual!N186&gt;0, ROUND($I186-Intereses_Leasing_Mensual!N186, 2), "")</f>
        <v/>
      </c>
      <c r="P186" s="29">
        <f>IF(Intereses_Leasing_Mensual!O186&gt;0, ROUND($I186-Intereses_Leasing_Mensual!O186, 2), "")</f>
        <v/>
      </c>
      <c r="Q186" s="29">
        <f>IF(Intereses_Leasing_Mensual!P186&gt;0, ROUND($I186-Intereses_Leasing_Mensual!P186, 2), "")</f>
        <v/>
      </c>
      <c r="R186" s="29">
        <f>IF(Intereses_Leasing_Mensual!Q186&gt;0, ROUND($I186-Intereses_Leasing_Mensual!Q186, 2), "")</f>
        <v/>
      </c>
      <c r="S186" s="29">
        <f>IF(Intereses_Leasing_Mensual!R186&gt;0, ROUND($I186-Intereses_Leasing_Mensual!R186, 2), "")</f>
        <v/>
      </c>
      <c r="T186" s="29">
        <f>IF(Intereses_Leasing_Mensual!S186&gt;0, ROUND($I186-Intereses_Leasing_Mensual!S186, 2), "")</f>
        <v/>
      </c>
      <c r="U186" s="29">
        <f>IF(Intereses_Leasing_Mensual!T186&gt;0, ROUND($I186-Intereses_Leasing_Mensual!T186, 2), "")</f>
        <v/>
      </c>
      <c r="V186" s="29">
        <f>SUM(J186:U186)</f>
        <v/>
      </c>
    </row>
    <row r="187">
      <c r="A187" s="20" t="inlineStr">
        <is>
          <t>0706-0001</t>
        </is>
      </c>
      <c r="B187" s="21" t="inlineStr">
        <is>
          <t>Jose Luis Zepeda Gomez</t>
        </is>
      </c>
      <c r="C187" s="21" t="inlineStr">
        <is>
          <t>L200 Glx Diesel</t>
        </is>
      </c>
      <c r="D187" s="20" t="inlineStr">
        <is>
          <t>ACTIVO</t>
        </is>
      </c>
      <c r="E187" s="20" t="inlineStr">
        <is>
          <t>2025-07-29</t>
        </is>
      </c>
      <c r="F187" s="20" t="inlineStr">
        <is>
          <t>2029-07-29</t>
        </is>
      </c>
      <c r="G187" s="22" t="n">
        <v>48</v>
      </c>
      <c r="H187" s="23" t="n">
        <v>473328.62</v>
      </c>
      <c r="I187" s="23" t="n">
        <v>17133.04</v>
      </c>
      <c r="J187" s="23">
        <f>IF(Intereses_Leasing_Mensual!I187&gt;0, ROUND($I187-Intereses_Leasing_Mensual!I187, 2), "")</f>
        <v/>
      </c>
      <c r="K187" s="23">
        <f>IF(Intereses_Leasing_Mensual!J187&gt;0, ROUND($I187-Intereses_Leasing_Mensual!J187, 2), "")</f>
        <v/>
      </c>
      <c r="L187" s="23">
        <f>IF(Intereses_Leasing_Mensual!K187&gt;0, ROUND($I187-Intereses_Leasing_Mensual!K187, 2), "")</f>
        <v/>
      </c>
      <c r="M187" s="23">
        <f>IF(Intereses_Leasing_Mensual!L187&gt;0, ROUND($I187-Intereses_Leasing_Mensual!L187, 2), "")</f>
        <v/>
      </c>
      <c r="N187" s="23">
        <f>IF(Intereses_Leasing_Mensual!M187&gt;0, ROUND($I187-Intereses_Leasing_Mensual!M187, 2), "")</f>
        <v/>
      </c>
      <c r="O187" s="23">
        <f>IF(Intereses_Leasing_Mensual!N187&gt;0, ROUND($I187-Intereses_Leasing_Mensual!N187, 2), "")</f>
        <v/>
      </c>
      <c r="P187" s="23">
        <f>IF(Intereses_Leasing_Mensual!O187&gt;0, ROUND($I187-Intereses_Leasing_Mensual!O187, 2), "")</f>
        <v/>
      </c>
      <c r="Q187" s="23">
        <f>IF(Intereses_Leasing_Mensual!P187&gt;0, ROUND($I187-Intereses_Leasing_Mensual!P187, 2), "")</f>
        <v/>
      </c>
      <c r="R187" s="23">
        <f>IF(Intereses_Leasing_Mensual!Q187&gt;0, ROUND($I187-Intereses_Leasing_Mensual!Q187, 2), "")</f>
        <v/>
      </c>
      <c r="S187" s="23">
        <f>IF(Intereses_Leasing_Mensual!R187&gt;0, ROUND($I187-Intereses_Leasing_Mensual!R187, 2), "")</f>
        <v/>
      </c>
      <c r="T187" s="23">
        <f>IF(Intereses_Leasing_Mensual!S187&gt;0, ROUND($I187-Intereses_Leasing_Mensual!S187, 2), "")</f>
        <v/>
      </c>
      <c r="U187" s="23">
        <f>IF(Intereses_Leasing_Mensual!T187&gt;0, ROUND($I187-Intereses_Leasing_Mensual!T187, 2), "")</f>
        <v/>
      </c>
      <c r="V187" s="23">
        <f>SUM(J187:U187)</f>
        <v/>
      </c>
    </row>
    <row r="188">
      <c r="A188" s="26" t="inlineStr">
        <is>
          <t>0707-0001</t>
        </is>
      </c>
      <c r="B188" s="27" t="inlineStr">
        <is>
          <t>Cabañas Lupita Sa de Cv</t>
        </is>
      </c>
      <c r="C188" s="27" t="inlineStr">
        <is>
          <t>Jt Rubicon</t>
        </is>
      </c>
      <c r="D188" s="26" t="inlineStr">
        <is>
          <t>ACTIVO</t>
        </is>
      </c>
      <c r="E188" s="26" t="inlineStr">
        <is>
          <t>2025-07-29</t>
        </is>
      </c>
      <c r="F188" s="26" t="inlineStr">
        <is>
          <t>2029-07-29</t>
        </is>
      </c>
      <c r="G188" s="28" t="n">
        <v>48</v>
      </c>
      <c r="H188" s="29" t="n">
        <v>1004068.97</v>
      </c>
      <c r="I188" s="29" t="n">
        <v>36176.24</v>
      </c>
      <c r="J188" s="29">
        <f>IF(Intereses_Leasing_Mensual!I188&gt;0, ROUND($I188-Intereses_Leasing_Mensual!I188, 2), "")</f>
        <v/>
      </c>
      <c r="K188" s="29">
        <f>IF(Intereses_Leasing_Mensual!J188&gt;0, ROUND($I188-Intereses_Leasing_Mensual!J188, 2), "")</f>
        <v/>
      </c>
      <c r="L188" s="29">
        <f>IF(Intereses_Leasing_Mensual!K188&gt;0, ROUND($I188-Intereses_Leasing_Mensual!K188, 2), "")</f>
        <v/>
      </c>
      <c r="M188" s="29">
        <f>IF(Intereses_Leasing_Mensual!L188&gt;0, ROUND($I188-Intereses_Leasing_Mensual!L188, 2), "")</f>
        <v/>
      </c>
      <c r="N188" s="29">
        <f>IF(Intereses_Leasing_Mensual!M188&gt;0, ROUND($I188-Intereses_Leasing_Mensual!M188, 2), "")</f>
        <v/>
      </c>
      <c r="O188" s="29">
        <f>IF(Intereses_Leasing_Mensual!N188&gt;0, ROUND($I188-Intereses_Leasing_Mensual!N188, 2), "")</f>
        <v/>
      </c>
      <c r="P188" s="29">
        <f>IF(Intereses_Leasing_Mensual!O188&gt;0, ROUND($I188-Intereses_Leasing_Mensual!O188, 2), "")</f>
        <v/>
      </c>
      <c r="Q188" s="29">
        <f>IF(Intereses_Leasing_Mensual!P188&gt;0, ROUND($I188-Intereses_Leasing_Mensual!P188, 2), "")</f>
        <v/>
      </c>
      <c r="R188" s="29">
        <f>IF(Intereses_Leasing_Mensual!Q188&gt;0, ROUND($I188-Intereses_Leasing_Mensual!Q188, 2), "")</f>
        <v/>
      </c>
      <c r="S188" s="29">
        <f>IF(Intereses_Leasing_Mensual!R188&gt;0, ROUND($I188-Intereses_Leasing_Mensual!R188, 2), "")</f>
        <v/>
      </c>
      <c r="T188" s="29">
        <f>IF(Intereses_Leasing_Mensual!S188&gt;0, ROUND($I188-Intereses_Leasing_Mensual!S188, 2), "")</f>
        <v/>
      </c>
      <c r="U188" s="29">
        <f>IF(Intereses_Leasing_Mensual!T188&gt;0, ROUND($I188-Intereses_Leasing_Mensual!T188, 2), "")</f>
        <v/>
      </c>
      <c r="V188" s="29">
        <f>SUM(J188:U188)</f>
        <v/>
      </c>
    </row>
    <row r="189">
      <c r="A189" s="20" t="inlineStr">
        <is>
          <t>0708-0001</t>
        </is>
      </c>
      <c r="B189" s="21" t="inlineStr">
        <is>
          <t>Pumps Company Sa de Cv</t>
        </is>
      </c>
      <c r="C189" s="21" t="inlineStr">
        <is>
          <t>L200 Glx Diesel</t>
        </is>
      </c>
      <c r="D189" s="20" t="inlineStr">
        <is>
          <t>ACTIVO</t>
        </is>
      </c>
      <c r="E189" s="20" t="inlineStr">
        <is>
          <t>2025-07-29</t>
        </is>
      </c>
      <c r="F189" s="20" t="inlineStr">
        <is>
          <t>2028-07-29</t>
        </is>
      </c>
      <c r="G189" s="22" t="n">
        <v>36</v>
      </c>
      <c r="H189" s="23" t="n">
        <v>334293.1</v>
      </c>
      <c r="I189" s="23" t="n">
        <v>13611.73</v>
      </c>
      <c r="J189" s="23">
        <f>IF(Intereses_Leasing_Mensual!I189&gt;0, ROUND($I189-Intereses_Leasing_Mensual!I189, 2), "")</f>
        <v/>
      </c>
      <c r="K189" s="23">
        <f>IF(Intereses_Leasing_Mensual!J189&gt;0, ROUND($I189-Intereses_Leasing_Mensual!J189, 2), "")</f>
        <v/>
      </c>
      <c r="L189" s="23">
        <f>IF(Intereses_Leasing_Mensual!K189&gt;0, ROUND($I189-Intereses_Leasing_Mensual!K189, 2), "")</f>
        <v/>
      </c>
      <c r="M189" s="23">
        <f>IF(Intereses_Leasing_Mensual!L189&gt;0, ROUND($I189-Intereses_Leasing_Mensual!L189, 2), "")</f>
        <v/>
      </c>
      <c r="N189" s="23">
        <f>IF(Intereses_Leasing_Mensual!M189&gt;0, ROUND($I189-Intereses_Leasing_Mensual!M189, 2), "")</f>
        <v/>
      </c>
      <c r="O189" s="23">
        <f>IF(Intereses_Leasing_Mensual!N189&gt;0, ROUND($I189-Intereses_Leasing_Mensual!N189, 2), "")</f>
        <v/>
      </c>
      <c r="P189" s="23">
        <f>IF(Intereses_Leasing_Mensual!O189&gt;0, ROUND($I189-Intereses_Leasing_Mensual!O189, 2), "")</f>
        <v/>
      </c>
      <c r="Q189" s="23">
        <f>IF(Intereses_Leasing_Mensual!P189&gt;0, ROUND($I189-Intereses_Leasing_Mensual!P189, 2), "")</f>
        <v/>
      </c>
      <c r="R189" s="23">
        <f>IF(Intereses_Leasing_Mensual!Q189&gt;0, ROUND($I189-Intereses_Leasing_Mensual!Q189, 2), "")</f>
        <v/>
      </c>
      <c r="S189" s="23">
        <f>IF(Intereses_Leasing_Mensual!R189&gt;0, ROUND($I189-Intereses_Leasing_Mensual!R189, 2), "")</f>
        <v/>
      </c>
      <c r="T189" s="23">
        <f>IF(Intereses_Leasing_Mensual!S189&gt;0, ROUND($I189-Intereses_Leasing_Mensual!S189, 2), "")</f>
        <v/>
      </c>
      <c r="U189" s="23">
        <f>IF(Intereses_Leasing_Mensual!T189&gt;0, ROUND($I189-Intereses_Leasing_Mensual!T189, 2), "")</f>
        <v/>
      </c>
      <c r="V189" s="23">
        <f>SUM(J189:U189)</f>
        <v/>
      </c>
    </row>
    <row r="190">
      <c r="A190" s="26" t="inlineStr">
        <is>
          <t>0708-0002</t>
        </is>
      </c>
      <c r="B190" s="27" t="inlineStr">
        <is>
          <t>Pumps Company Sa de Cv</t>
        </is>
      </c>
      <c r="C190" s="27" t="inlineStr">
        <is>
          <t>L200 Glx Diesel</t>
        </is>
      </c>
      <c r="D190" s="26" t="inlineStr">
        <is>
          <t>ACTIVO</t>
        </is>
      </c>
      <c r="E190" s="26" t="inlineStr">
        <is>
          <t>2025-07-29</t>
        </is>
      </c>
      <c r="F190" s="26" t="inlineStr">
        <is>
          <t>2028-07-29</t>
        </is>
      </c>
      <c r="G190" s="28" t="n">
        <v>36</v>
      </c>
      <c r="H190" s="29" t="n">
        <v>334293.1</v>
      </c>
      <c r="I190" s="29" t="n">
        <v>13611.73</v>
      </c>
      <c r="J190" s="29">
        <f>IF(Intereses_Leasing_Mensual!I190&gt;0, ROUND($I190-Intereses_Leasing_Mensual!I190, 2), "")</f>
        <v/>
      </c>
      <c r="K190" s="29">
        <f>IF(Intereses_Leasing_Mensual!J190&gt;0, ROUND($I190-Intereses_Leasing_Mensual!J190, 2), "")</f>
        <v/>
      </c>
      <c r="L190" s="29">
        <f>IF(Intereses_Leasing_Mensual!K190&gt;0, ROUND($I190-Intereses_Leasing_Mensual!K190, 2), "")</f>
        <v/>
      </c>
      <c r="M190" s="29">
        <f>IF(Intereses_Leasing_Mensual!L190&gt;0, ROUND($I190-Intereses_Leasing_Mensual!L190, 2), "")</f>
        <v/>
      </c>
      <c r="N190" s="29">
        <f>IF(Intereses_Leasing_Mensual!M190&gt;0, ROUND($I190-Intereses_Leasing_Mensual!M190, 2), "")</f>
        <v/>
      </c>
      <c r="O190" s="29">
        <f>IF(Intereses_Leasing_Mensual!N190&gt;0, ROUND($I190-Intereses_Leasing_Mensual!N190, 2), "")</f>
        <v/>
      </c>
      <c r="P190" s="29">
        <f>IF(Intereses_Leasing_Mensual!O190&gt;0, ROUND($I190-Intereses_Leasing_Mensual!O190, 2), "")</f>
        <v/>
      </c>
      <c r="Q190" s="29">
        <f>IF(Intereses_Leasing_Mensual!P190&gt;0, ROUND($I190-Intereses_Leasing_Mensual!P190, 2), "")</f>
        <v/>
      </c>
      <c r="R190" s="29">
        <f>IF(Intereses_Leasing_Mensual!Q190&gt;0, ROUND($I190-Intereses_Leasing_Mensual!Q190, 2), "")</f>
        <v/>
      </c>
      <c r="S190" s="29">
        <f>IF(Intereses_Leasing_Mensual!R190&gt;0, ROUND($I190-Intereses_Leasing_Mensual!R190, 2), "")</f>
        <v/>
      </c>
      <c r="T190" s="29">
        <f>IF(Intereses_Leasing_Mensual!S190&gt;0, ROUND($I190-Intereses_Leasing_Mensual!S190, 2), "")</f>
        <v/>
      </c>
      <c r="U190" s="29">
        <f>IF(Intereses_Leasing_Mensual!T190&gt;0, ROUND($I190-Intereses_Leasing_Mensual!T190, 2), "")</f>
        <v/>
      </c>
      <c r="V190" s="29">
        <f>SUM(J190:U190)</f>
        <v/>
      </c>
    </row>
    <row r="191">
      <c r="A191" s="20" t="inlineStr">
        <is>
          <t>0712-0001</t>
        </is>
      </c>
      <c r="B191" s="21" t="inlineStr">
        <is>
          <t>Containers del Pacifico sa de cv</t>
        </is>
      </c>
      <c r="C191" s="21" t="inlineStr">
        <is>
          <t>Outlander Sport</t>
        </is>
      </c>
      <c r="D191" s="20" t="inlineStr">
        <is>
          <t>ACTIVO</t>
        </is>
      </c>
      <c r="E191" s="20" t="inlineStr">
        <is>
          <t>2025-08-06</t>
        </is>
      </c>
      <c r="F191" s="20" t="inlineStr">
        <is>
          <t>2028-08-06</t>
        </is>
      </c>
      <c r="G191" s="22" t="n">
        <v>36</v>
      </c>
      <c r="H191" s="23" t="n">
        <v>369828.62</v>
      </c>
      <c r="I191" s="23" t="n">
        <v>14722.97</v>
      </c>
      <c r="J191" s="23">
        <f>IF(Intereses_Leasing_Mensual!I191&gt;0, ROUND($I191-Intereses_Leasing_Mensual!I191, 2), "")</f>
        <v/>
      </c>
      <c r="K191" s="23">
        <f>IF(Intereses_Leasing_Mensual!J191&gt;0, ROUND($I191-Intereses_Leasing_Mensual!J191, 2), "")</f>
        <v/>
      </c>
      <c r="L191" s="23">
        <f>IF(Intereses_Leasing_Mensual!K191&gt;0, ROUND($I191-Intereses_Leasing_Mensual!K191, 2), "")</f>
        <v/>
      </c>
      <c r="M191" s="23">
        <f>IF(Intereses_Leasing_Mensual!L191&gt;0, ROUND($I191-Intereses_Leasing_Mensual!L191, 2), "")</f>
        <v/>
      </c>
      <c r="N191" s="23">
        <f>IF(Intereses_Leasing_Mensual!M191&gt;0, ROUND($I191-Intereses_Leasing_Mensual!M191, 2), "")</f>
        <v/>
      </c>
      <c r="O191" s="23">
        <f>IF(Intereses_Leasing_Mensual!N191&gt;0, ROUND($I191-Intereses_Leasing_Mensual!N191, 2), "")</f>
        <v/>
      </c>
      <c r="P191" s="23">
        <f>IF(Intereses_Leasing_Mensual!O191&gt;0, ROUND($I191-Intereses_Leasing_Mensual!O191, 2), "")</f>
        <v/>
      </c>
      <c r="Q191" s="23">
        <f>IF(Intereses_Leasing_Mensual!P191&gt;0, ROUND($I191-Intereses_Leasing_Mensual!P191, 2), "")</f>
        <v/>
      </c>
      <c r="R191" s="23">
        <f>IF(Intereses_Leasing_Mensual!Q191&gt;0, ROUND($I191-Intereses_Leasing_Mensual!Q191, 2), "")</f>
        <v/>
      </c>
      <c r="S191" s="23">
        <f>IF(Intereses_Leasing_Mensual!R191&gt;0, ROUND($I191-Intereses_Leasing_Mensual!R191, 2), "")</f>
        <v/>
      </c>
      <c r="T191" s="23">
        <f>IF(Intereses_Leasing_Mensual!S191&gt;0, ROUND($I191-Intereses_Leasing_Mensual!S191, 2), "")</f>
        <v/>
      </c>
      <c r="U191" s="23">
        <f>IF(Intereses_Leasing_Mensual!T191&gt;0, ROUND($I191-Intereses_Leasing_Mensual!T191, 2), "")</f>
        <v/>
      </c>
      <c r="V191" s="23">
        <f>SUM(J191:U191)</f>
        <v/>
      </c>
    </row>
    <row r="192">
      <c r="A192" s="26" t="inlineStr">
        <is>
          <t>0712-0002</t>
        </is>
      </c>
      <c r="B192" s="27" t="inlineStr">
        <is>
          <t>Containers del Pacifico sa de cv</t>
        </is>
      </c>
      <c r="C192" s="27" t="inlineStr">
        <is>
          <t>Np300</t>
        </is>
      </c>
      <c r="D192" s="26" t="inlineStr">
        <is>
          <t>ACTIVO</t>
        </is>
      </c>
      <c r="E192" s="26" t="inlineStr">
        <is>
          <t>2025-08-22</t>
        </is>
      </c>
      <c r="F192" s="26" t="inlineStr">
        <is>
          <t>2028-08-22</t>
        </is>
      </c>
      <c r="G192" s="28" t="n">
        <v>36</v>
      </c>
      <c r="H192" s="29" t="n">
        <v>365663.79</v>
      </c>
      <c r="I192" s="29" t="n">
        <v>14557.17</v>
      </c>
      <c r="J192" s="29">
        <f>IF(Intereses_Leasing_Mensual!I192&gt;0, ROUND($I192-Intereses_Leasing_Mensual!I192, 2), "")</f>
        <v/>
      </c>
      <c r="K192" s="29">
        <f>IF(Intereses_Leasing_Mensual!J192&gt;0, ROUND($I192-Intereses_Leasing_Mensual!J192, 2), "")</f>
        <v/>
      </c>
      <c r="L192" s="29">
        <f>IF(Intereses_Leasing_Mensual!K192&gt;0, ROUND($I192-Intereses_Leasing_Mensual!K192, 2), "")</f>
        <v/>
      </c>
      <c r="M192" s="29">
        <f>IF(Intereses_Leasing_Mensual!L192&gt;0, ROUND($I192-Intereses_Leasing_Mensual!L192, 2), "")</f>
        <v/>
      </c>
      <c r="N192" s="29">
        <f>IF(Intereses_Leasing_Mensual!M192&gt;0, ROUND($I192-Intereses_Leasing_Mensual!M192, 2), "")</f>
        <v/>
      </c>
      <c r="O192" s="29">
        <f>IF(Intereses_Leasing_Mensual!N192&gt;0, ROUND($I192-Intereses_Leasing_Mensual!N192, 2), "")</f>
        <v/>
      </c>
      <c r="P192" s="29">
        <f>IF(Intereses_Leasing_Mensual!O192&gt;0, ROUND($I192-Intereses_Leasing_Mensual!O192, 2), "")</f>
        <v/>
      </c>
      <c r="Q192" s="29">
        <f>IF(Intereses_Leasing_Mensual!P192&gt;0, ROUND($I192-Intereses_Leasing_Mensual!P192, 2), "")</f>
        <v/>
      </c>
      <c r="R192" s="29">
        <f>IF(Intereses_Leasing_Mensual!Q192&gt;0, ROUND($I192-Intereses_Leasing_Mensual!Q192, 2), "")</f>
        <v/>
      </c>
      <c r="S192" s="29">
        <f>IF(Intereses_Leasing_Mensual!R192&gt;0, ROUND($I192-Intereses_Leasing_Mensual!R192, 2), "")</f>
        <v/>
      </c>
      <c r="T192" s="29">
        <f>IF(Intereses_Leasing_Mensual!S192&gt;0, ROUND($I192-Intereses_Leasing_Mensual!S192, 2), "")</f>
        <v/>
      </c>
      <c r="U192" s="29">
        <f>IF(Intereses_Leasing_Mensual!T192&gt;0, ROUND($I192-Intereses_Leasing_Mensual!T192, 2), "")</f>
        <v/>
      </c>
      <c r="V192" s="29">
        <f>SUM(J192:U192)</f>
        <v/>
      </c>
    </row>
    <row r="193">
      <c r="A193" s="20" t="inlineStr">
        <is>
          <t>0712-0003</t>
        </is>
      </c>
      <c r="B193" s="21" t="inlineStr">
        <is>
          <t>Containers del Pacifico sa de cv</t>
        </is>
      </c>
      <c r="C193" s="21" t="inlineStr">
        <is>
          <t>Np300</t>
        </is>
      </c>
      <c r="D193" s="20" t="inlineStr">
        <is>
          <t>ACTIVO</t>
        </is>
      </c>
      <c r="E193" s="20" t="inlineStr">
        <is>
          <t>2025-08-22</t>
        </is>
      </c>
      <c r="F193" s="20" t="inlineStr">
        <is>
          <t>2028-08-22</t>
        </is>
      </c>
      <c r="G193" s="22" t="n">
        <v>36</v>
      </c>
      <c r="H193" s="23" t="n">
        <v>365663.79</v>
      </c>
      <c r="I193" s="23" t="n">
        <v>14557.17</v>
      </c>
      <c r="J193" s="23">
        <f>IF(Intereses_Leasing_Mensual!I193&gt;0, ROUND($I193-Intereses_Leasing_Mensual!I193, 2), "")</f>
        <v/>
      </c>
      <c r="K193" s="23">
        <f>IF(Intereses_Leasing_Mensual!J193&gt;0, ROUND($I193-Intereses_Leasing_Mensual!J193, 2), "")</f>
        <v/>
      </c>
      <c r="L193" s="23">
        <f>IF(Intereses_Leasing_Mensual!K193&gt;0, ROUND($I193-Intereses_Leasing_Mensual!K193, 2), "")</f>
        <v/>
      </c>
      <c r="M193" s="23">
        <f>IF(Intereses_Leasing_Mensual!L193&gt;0, ROUND($I193-Intereses_Leasing_Mensual!L193, 2), "")</f>
        <v/>
      </c>
      <c r="N193" s="23">
        <f>IF(Intereses_Leasing_Mensual!M193&gt;0, ROUND($I193-Intereses_Leasing_Mensual!M193, 2), "")</f>
        <v/>
      </c>
      <c r="O193" s="23">
        <f>IF(Intereses_Leasing_Mensual!N193&gt;0, ROUND($I193-Intereses_Leasing_Mensual!N193, 2), "")</f>
        <v/>
      </c>
      <c r="P193" s="23">
        <f>IF(Intereses_Leasing_Mensual!O193&gt;0, ROUND($I193-Intereses_Leasing_Mensual!O193, 2), "")</f>
        <v/>
      </c>
      <c r="Q193" s="23">
        <f>IF(Intereses_Leasing_Mensual!P193&gt;0, ROUND($I193-Intereses_Leasing_Mensual!P193, 2), "")</f>
        <v/>
      </c>
      <c r="R193" s="23">
        <f>IF(Intereses_Leasing_Mensual!Q193&gt;0, ROUND($I193-Intereses_Leasing_Mensual!Q193, 2), "")</f>
        <v/>
      </c>
      <c r="S193" s="23">
        <f>IF(Intereses_Leasing_Mensual!R193&gt;0, ROUND($I193-Intereses_Leasing_Mensual!R193, 2), "")</f>
        <v/>
      </c>
      <c r="T193" s="23">
        <f>IF(Intereses_Leasing_Mensual!S193&gt;0, ROUND($I193-Intereses_Leasing_Mensual!S193, 2), "")</f>
        <v/>
      </c>
      <c r="U193" s="23">
        <f>IF(Intereses_Leasing_Mensual!T193&gt;0, ROUND($I193-Intereses_Leasing_Mensual!T193, 2), "")</f>
        <v/>
      </c>
      <c r="V193" s="23">
        <f>SUM(J193:U193)</f>
        <v/>
      </c>
    </row>
    <row r="194">
      <c r="A194" s="26" t="inlineStr">
        <is>
          <t>0713-0001</t>
        </is>
      </c>
      <c r="B194" s="27" t="inlineStr">
        <is>
          <t>Ana Carolina Urzua Lopez</t>
        </is>
      </c>
      <c r="C194" s="27" t="inlineStr">
        <is>
          <t>Ram 1200</t>
        </is>
      </c>
      <c r="D194" s="26" t="inlineStr">
        <is>
          <t>ACTIVO</t>
        </is>
      </c>
      <c r="E194" s="26" t="inlineStr">
        <is>
          <t>2025-08-18</t>
        </is>
      </c>
      <c r="F194" s="26" t="inlineStr">
        <is>
          <t>2027-08-18</t>
        </is>
      </c>
      <c r="G194" s="28" t="n">
        <v>24</v>
      </c>
      <c r="H194" s="29" t="n">
        <v>519750</v>
      </c>
      <c r="I194" s="29" t="n">
        <v>24156.19</v>
      </c>
      <c r="J194" s="29">
        <f>IF(Intereses_Leasing_Mensual!I194&gt;0, ROUND($I194-Intereses_Leasing_Mensual!I194, 2), "")</f>
        <v/>
      </c>
      <c r="K194" s="29">
        <f>IF(Intereses_Leasing_Mensual!J194&gt;0, ROUND($I194-Intereses_Leasing_Mensual!J194, 2), "")</f>
        <v/>
      </c>
      <c r="L194" s="29">
        <f>IF(Intereses_Leasing_Mensual!K194&gt;0, ROUND($I194-Intereses_Leasing_Mensual!K194, 2), "")</f>
        <v/>
      </c>
      <c r="M194" s="29">
        <f>IF(Intereses_Leasing_Mensual!L194&gt;0, ROUND($I194-Intereses_Leasing_Mensual!L194, 2), "")</f>
        <v/>
      </c>
      <c r="N194" s="29">
        <f>IF(Intereses_Leasing_Mensual!M194&gt;0, ROUND($I194-Intereses_Leasing_Mensual!M194, 2), "")</f>
        <v/>
      </c>
      <c r="O194" s="29">
        <f>IF(Intereses_Leasing_Mensual!N194&gt;0, ROUND($I194-Intereses_Leasing_Mensual!N194, 2), "")</f>
        <v/>
      </c>
      <c r="P194" s="29">
        <f>IF(Intereses_Leasing_Mensual!O194&gt;0, ROUND($I194-Intereses_Leasing_Mensual!O194, 2), "")</f>
        <v/>
      </c>
      <c r="Q194" s="29">
        <f>IF(Intereses_Leasing_Mensual!P194&gt;0, ROUND($I194-Intereses_Leasing_Mensual!P194, 2), "")</f>
        <v/>
      </c>
      <c r="R194" s="29">
        <f>IF(Intereses_Leasing_Mensual!Q194&gt;0, ROUND($I194-Intereses_Leasing_Mensual!Q194, 2), "")</f>
        <v/>
      </c>
      <c r="S194" s="29">
        <f>IF(Intereses_Leasing_Mensual!R194&gt;0, ROUND($I194-Intereses_Leasing_Mensual!R194, 2), "")</f>
        <v/>
      </c>
      <c r="T194" s="29">
        <f>IF(Intereses_Leasing_Mensual!S194&gt;0, ROUND($I194-Intereses_Leasing_Mensual!S194, 2), "")</f>
        <v/>
      </c>
      <c r="U194" s="29">
        <f>IF(Intereses_Leasing_Mensual!T194&gt;0, ROUND($I194-Intereses_Leasing_Mensual!T194, 2), "")</f>
        <v/>
      </c>
      <c r="V194" s="29">
        <f>SUM(J194:U194)</f>
        <v/>
      </c>
    </row>
    <row r="195">
      <c r="A195" s="20" t="inlineStr">
        <is>
          <t>0714-0001</t>
        </is>
      </c>
      <c r="B195" s="21" t="inlineStr">
        <is>
          <t>Celeste Capital Aj</t>
        </is>
      </c>
      <c r="C195" s="21" t="inlineStr">
        <is>
          <t>Wrangler 4Xe</t>
        </is>
      </c>
      <c r="D195" s="20" t="inlineStr">
        <is>
          <t>ACTIVO</t>
        </is>
      </c>
      <c r="E195" s="20" t="inlineStr">
        <is>
          <t>2025-08-26</t>
        </is>
      </c>
      <c r="F195" s="20" t="inlineStr">
        <is>
          <t>2029-08-26</t>
        </is>
      </c>
      <c r="G195" s="22" t="n">
        <v>48</v>
      </c>
      <c r="H195" s="23" t="n">
        <v>878560.35</v>
      </c>
      <c r="I195" s="23" t="n">
        <v>31521.28</v>
      </c>
      <c r="J195" s="23">
        <f>IF(Intereses_Leasing_Mensual!I195&gt;0, ROUND($I195-Intereses_Leasing_Mensual!I195, 2), "")</f>
        <v/>
      </c>
      <c r="K195" s="23">
        <f>IF(Intereses_Leasing_Mensual!J195&gt;0, ROUND($I195-Intereses_Leasing_Mensual!J195, 2), "")</f>
        <v/>
      </c>
      <c r="L195" s="23">
        <f>IF(Intereses_Leasing_Mensual!K195&gt;0, ROUND($I195-Intereses_Leasing_Mensual!K195, 2), "")</f>
        <v/>
      </c>
      <c r="M195" s="23">
        <f>IF(Intereses_Leasing_Mensual!L195&gt;0, ROUND($I195-Intereses_Leasing_Mensual!L195, 2), "")</f>
        <v/>
      </c>
      <c r="N195" s="23">
        <f>IF(Intereses_Leasing_Mensual!M195&gt;0, ROUND($I195-Intereses_Leasing_Mensual!M195, 2), "")</f>
        <v/>
      </c>
      <c r="O195" s="23">
        <f>IF(Intereses_Leasing_Mensual!N195&gt;0, ROUND($I195-Intereses_Leasing_Mensual!N195, 2), "")</f>
        <v/>
      </c>
      <c r="P195" s="23">
        <f>IF(Intereses_Leasing_Mensual!O195&gt;0, ROUND($I195-Intereses_Leasing_Mensual!O195, 2), "")</f>
        <v/>
      </c>
      <c r="Q195" s="23">
        <f>IF(Intereses_Leasing_Mensual!P195&gt;0, ROUND($I195-Intereses_Leasing_Mensual!P195, 2), "")</f>
        <v/>
      </c>
      <c r="R195" s="23">
        <f>IF(Intereses_Leasing_Mensual!Q195&gt;0, ROUND($I195-Intereses_Leasing_Mensual!Q195, 2), "")</f>
        <v/>
      </c>
      <c r="S195" s="23">
        <f>IF(Intereses_Leasing_Mensual!R195&gt;0, ROUND($I195-Intereses_Leasing_Mensual!R195, 2), "")</f>
        <v/>
      </c>
      <c r="T195" s="23">
        <f>IF(Intereses_Leasing_Mensual!S195&gt;0, ROUND($I195-Intereses_Leasing_Mensual!S195, 2), "")</f>
        <v/>
      </c>
      <c r="U195" s="23">
        <f>IF(Intereses_Leasing_Mensual!T195&gt;0, ROUND($I195-Intereses_Leasing_Mensual!T195, 2), "")</f>
        <v/>
      </c>
      <c r="V195" s="23">
        <f>SUM(J195:U195)</f>
        <v/>
      </c>
    </row>
    <row r="196">
      <c r="A196" s="26" t="inlineStr">
        <is>
          <t>0715-0001</t>
        </is>
      </c>
      <c r="B196" s="27" t="inlineStr">
        <is>
          <t>Jose de Jesus Serrano Sanchez</t>
        </is>
      </c>
      <c r="C196" s="27" t="inlineStr">
        <is>
          <t>Ram 1200</t>
        </is>
      </c>
      <c r="D196" s="26" t="inlineStr">
        <is>
          <t>ACTIVO</t>
        </is>
      </c>
      <c r="E196" s="26" t="inlineStr">
        <is>
          <t>2025-08-29</t>
        </is>
      </c>
      <c r="F196" s="26" t="inlineStr">
        <is>
          <t>2029-08-29</t>
        </is>
      </c>
      <c r="G196" s="28" t="n">
        <v>48</v>
      </c>
      <c r="H196" s="29" t="n">
        <v>485979.05</v>
      </c>
      <c r="I196" s="29" t="n">
        <v>17525.22</v>
      </c>
      <c r="J196" s="29">
        <f>IF(Intereses_Leasing_Mensual!I196&gt;0, ROUND($I196-Intereses_Leasing_Mensual!I196, 2), "")</f>
        <v/>
      </c>
      <c r="K196" s="29">
        <f>IF(Intereses_Leasing_Mensual!J196&gt;0, ROUND($I196-Intereses_Leasing_Mensual!J196, 2), "")</f>
        <v/>
      </c>
      <c r="L196" s="29">
        <f>IF(Intereses_Leasing_Mensual!K196&gt;0, ROUND($I196-Intereses_Leasing_Mensual!K196, 2), "")</f>
        <v/>
      </c>
      <c r="M196" s="29">
        <f>IF(Intereses_Leasing_Mensual!L196&gt;0, ROUND($I196-Intereses_Leasing_Mensual!L196, 2), "")</f>
        <v/>
      </c>
      <c r="N196" s="29">
        <f>IF(Intereses_Leasing_Mensual!M196&gt;0, ROUND($I196-Intereses_Leasing_Mensual!M196, 2), "")</f>
        <v/>
      </c>
      <c r="O196" s="29">
        <f>IF(Intereses_Leasing_Mensual!N196&gt;0, ROUND($I196-Intereses_Leasing_Mensual!N196, 2), "")</f>
        <v/>
      </c>
      <c r="P196" s="29">
        <f>IF(Intereses_Leasing_Mensual!O196&gt;0, ROUND($I196-Intereses_Leasing_Mensual!O196, 2), "")</f>
        <v/>
      </c>
      <c r="Q196" s="29">
        <f>IF(Intereses_Leasing_Mensual!P196&gt;0, ROUND($I196-Intereses_Leasing_Mensual!P196, 2), "")</f>
        <v/>
      </c>
      <c r="R196" s="29">
        <f>IF(Intereses_Leasing_Mensual!Q196&gt;0, ROUND($I196-Intereses_Leasing_Mensual!Q196, 2), "")</f>
        <v/>
      </c>
      <c r="S196" s="29">
        <f>IF(Intereses_Leasing_Mensual!R196&gt;0, ROUND($I196-Intereses_Leasing_Mensual!R196, 2), "")</f>
        <v/>
      </c>
      <c r="T196" s="29">
        <f>IF(Intereses_Leasing_Mensual!S196&gt;0, ROUND($I196-Intereses_Leasing_Mensual!S196, 2), "")</f>
        <v/>
      </c>
      <c r="U196" s="29">
        <f>IF(Intereses_Leasing_Mensual!T196&gt;0, ROUND($I196-Intereses_Leasing_Mensual!T196, 2), "")</f>
        <v/>
      </c>
      <c r="V196" s="29">
        <f>SUM(J196:U196)</f>
        <v/>
      </c>
    </row>
    <row r="197">
      <c r="A197" s="20" t="inlineStr">
        <is>
          <t>0716-0001</t>
        </is>
      </c>
      <c r="B197" s="21" t="inlineStr">
        <is>
          <t>Mayoristas Asociados en Servicio Celular SA de CV</t>
        </is>
      </c>
      <c r="C197" s="21" t="inlineStr">
        <is>
          <t>Wrangler Unlimited Rubicon</t>
        </is>
      </c>
      <c r="D197" s="20" t="inlineStr">
        <is>
          <t>ACTIVO</t>
        </is>
      </c>
      <c r="E197" s="20" t="inlineStr">
        <is>
          <t>2025-09-15</t>
        </is>
      </c>
      <c r="F197" s="20" t="inlineStr">
        <is>
          <t>2027-09-15</t>
        </is>
      </c>
      <c r="G197" s="22" t="n">
        <v>24</v>
      </c>
      <c r="H197" s="23" t="n">
        <v>770824.3100000001</v>
      </c>
      <c r="I197" s="23" t="n">
        <v>36916.59</v>
      </c>
      <c r="J197" s="23">
        <f>IF(Intereses_Leasing_Mensual!I197&gt;0, ROUND($I197-Intereses_Leasing_Mensual!I197, 2), "")</f>
        <v/>
      </c>
      <c r="K197" s="23">
        <f>IF(Intereses_Leasing_Mensual!J197&gt;0, ROUND($I197-Intereses_Leasing_Mensual!J197, 2), "")</f>
        <v/>
      </c>
      <c r="L197" s="23">
        <f>IF(Intereses_Leasing_Mensual!K197&gt;0, ROUND($I197-Intereses_Leasing_Mensual!K197, 2), "")</f>
        <v/>
      </c>
      <c r="M197" s="23">
        <f>IF(Intereses_Leasing_Mensual!L197&gt;0, ROUND($I197-Intereses_Leasing_Mensual!L197, 2), "")</f>
        <v/>
      </c>
      <c r="N197" s="23">
        <f>IF(Intereses_Leasing_Mensual!M197&gt;0, ROUND($I197-Intereses_Leasing_Mensual!M197, 2), "")</f>
        <v/>
      </c>
      <c r="O197" s="23">
        <f>IF(Intereses_Leasing_Mensual!N197&gt;0, ROUND($I197-Intereses_Leasing_Mensual!N197, 2), "")</f>
        <v/>
      </c>
      <c r="P197" s="23">
        <f>IF(Intereses_Leasing_Mensual!O197&gt;0, ROUND($I197-Intereses_Leasing_Mensual!O197, 2), "")</f>
        <v/>
      </c>
      <c r="Q197" s="23">
        <f>IF(Intereses_Leasing_Mensual!P197&gt;0, ROUND($I197-Intereses_Leasing_Mensual!P197, 2), "")</f>
        <v/>
      </c>
      <c r="R197" s="23">
        <f>IF(Intereses_Leasing_Mensual!Q197&gt;0, ROUND($I197-Intereses_Leasing_Mensual!Q197, 2), "")</f>
        <v/>
      </c>
      <c r="S197" s="23">
        <f>IF(Intereses_Leasing_Mensual!R197&gt;0, ROUND($I197-Intereses_Leasing_Mensual!R197, 2), "")</f>
        <v/>
      </c>
      <c r="T197" s="23">
        <f>IF(Intereses_Leasing_Mensual!S197&gt;0, ROUND($I197-Intereses_Leasing_Mensual!S197, 2), "")</f>
        <v/>
      </c>
      <c r="U197" s="23">
        <f>IF(Intereses_Leasing_Mensual!T197&gt;0, ROUND($I197-Intereses_Leasing_Mensual!T197, 2), "")</f>
        <v/>
      </c>
      <c r="V197" s="23">
        <f>SUM(J197:U197)</f>
        <v/>
      </c>
    </row>
    <row r="198">
      <c r="A198" s="26" t="inlineStr">
        <is>
          <t>0716-0002</t>
        </is>
      </c>
      <c r="B198" s="27" t="inlineStr">
        <is>
          <t>Mayoristas Asociados en Servicio Celular SA de CV</t>
        </is>
      </c>
      <c r="C198" s="27" t="inlineStr">
        <is>
          <t>EX30</t>
        </is>
      </c>
      <c r="D198" s="26" t="inlineStr">
        <is>
          <t>ACTIVO</t>
        </is>
      </c>
      <c r="E198" s="26" t="inlineStr">
        <is>
          <t>2025-10-08</t>
        </is>
      </c>
      <c r="F198" s="26" t="inlineStr">
        <is>
          <t>2027-10-08</t>
        </is>
      </c>
      <c r="G198" s="28" t="n">
        <v>24</v>
      </c>
      <c r="H198" s="29" t="n">
        <v>476061.55</v>
      </c>
      <c r="I198" s="29" t="n">
        <v>22813.11</v>
      </c>
      <c r="J198" s="29">
        <f>IF(Intereses_Leasing_Mensual!I198&gt;0, ROUND($I198-Intereses_Leasing_Mensual!I198, 2), "")</f>
        <v/>
      </c>
      <c r="K198" s="29">
        <f>IF(Intereses_Leasing_Mensual!J198&gt;0, ROUND($I198-Intereses_Leasing_Mensual!J198, 2), "")</f>
        <v/>
      </c>
      <c r="L198" s="29">
        <f>IF(Intereses_Leasing_Mensual!K198&gt;0, ROUND($I198-Intereses_Leasing_Mensual!K198, 2), "")</f>
        <v/>
      </c>
      <c r="M198" s="29">
        <f>IF(Intereses_Leasing_Mensual!L198&gt;0, ROUND($I198-Intereses_Leasing_Mensual!L198, 2), "")</f>
        <v/>
      </c>
      <c r="N198" s="29">
        <f>IF(Intereses_Leasing_Mensual!M198&gt;0, ROUND($I198-Intereses_Leasing_Mensual!M198, 2), "")</f>
        <v/>
      </c>
      <c r="O198" s="29">
        <f>IF(Intereses_Leasing_Mensual!N198&gt;0, ROUND($I198-Intereses_Leasing_Mensual!N198, 2), "")</f>
        <v/>
      </c>
      <c r="P198" s="29">
        <f>IF(Intereses_Leasing_Mensual!O198&gt;0, ROUND($I198-Intereses_Leasing_Mensual!O198, 2), "")</f>
        <v/>
      </c>
      <c r="Q198" s="29">
        <f>IF(Intereses_Leasing_Mensual!P198&gt;0, ROUND($I198-Intereses_Leasing_Mensual!P198, 2), "")</f>
        <v/>
      </c>
      <c r="R198" s="29">
        <f>IF(Intereses_Leasing_Mensual!Q198&gt;0, ROUND($I198-Intereses_Leasing_Mensual!Q198, 2), "")</f>
        <v/>
      </c>
      <c r="S198" s="29">
        <f>IF(Intereses_Leasing_Mensual!R198&gt;0, ROUND($I198-Intereses_Leasing_Mensual!R198, 2), "")</f>
        <v/>
      </c>
      <c r="T198" s="29">
        <f>IF(Intereses_Leasing_Mensual!S198&gt;0, ROUND($I198-Intereses_Leasing_Mensual!S198, 2), "")</f>
        <v/>
      </c>
      <c r="U198" s="29">
        <f>IF(Intereses_Leasing_Mensual!T198&gt;0, ROUND($I198-Intereses_Leasing_Mensual!T198, 2), "")</f>
        <v/>
      </c>
      <c r="V198" s="29">
        <f>SUM(J198:U198)</f>
        <v/>
      </c>
    </row>
    <row r="199">
      <c r="A199" s="20" t="inlineStr">
        <is>
          <t>0716-0003</t>
        </is>
      </c>
      <c r="B199" s="21" t="inlineStr">
        <is>
          <t>Mayoristas Asociados en Servicio Celular SA de CV</t>
        </is>
      </c>
      <c r="C199" s="21" t="inlineStr">
        <is>
          <t>Bronco</t>
        </is>
      </c>
      <c r="D199" s="20" t="inlineStr">
        <is>
          <t>ACTIVO</t>
        </is>
      </c>
      <c r="E199" s="20" t="inlineStr">
        <is>
          <t>2025-10-08</t>
        </is>
      </c>
      <c r="F199" s="20" t="inlineStr">
        <is>
          <t>2027-10-08</t>
        </is>
      </c>
      <c r="G199" s="22" t="n">
        <v>24</v>
      </c>
      <c r="H199" s="23" t="n">
        <v>458620.69</v>
      </c>
      <c r="I199" s="23" t="n">
        <v>21977.34</v>
      </c>
      <c r="J199" s="23">
        <f>IF(Intereses_Leasing_Mensual!I199&gt;0, ROUND($I199-Intereses_Leasing_Mensual!I199, 2), "")</f>
        <v/>
      </c>
      <c r="K199" s="23">
        <f>IF(Intereses_Leasing_Mensual!J199&gt;0, ROUND($I199-Intereses_Leasing_Mensual!J199, 2), "")</f>
        <v/>
      </c>
      <c r="L199" s="23">
        <f>IF(Intereses_Leasing_Mensual!K199&gt;0, ROUND($I199-Intereses_Leasing_Mensual!K199, 2), "")</f>
        <v/>
      </c>
      <c r="M199" s="23">
        <f>IF(Intereses_Leasing_Mensual!L199&gt;0, ROUND($I199-Intereses_Leasing_Mensual!L199, 2), "")</f>
        <v/>
      </c>
      <c r="N199" s="23">
        <f>IF(Intereses_Leasing_Mensual!M199&gt;0, ROUND($I199-Intereses_Leasing_Mensual!M199, 2), "")</f>
        <v/>
      </c>
      <c r="O199" s="23">
        <f>IF(Intereses_Leasing_Mensual!N199&gt;0, ROUND($I199-Intereses_Leasing_Mensual!N199, 2), "")</f>
        <v/>
      </c>
      <c r="P199" s="23">
        <f>IF(Intereses_Leasing_Mensual!O199&gt;0, ROUND($I199-Intereses_Leasing_Mensual!O199, 2), "")</f>
        <v/>
      </c>
      <c r="Q199" s="23">
        <f>IF(Intereses_Leasing_Mensual!P199&gt;0, ROUND($I199-Intereses_Leasing_Mensual!P199, 2), "")</f>
        <v/>
      </c>
      <c r="R199" s="23">
        <f>IF(Intereses_Leasing_Mensual!Q199&gt;0, ROUND($I199-Intereses_Leasing_Mensual!Q199, 2), "")</f>
        <v/>
      </c>
      <c r="S199" s="23">
        <f>IF(Intereses_Leasing_Mensual!R199&gt;0, ROUND($I199-Intereses_Leasing_Mensual!R199, 2), "")</f>
        <v/>
      </c>
      <c r="T199" s="23">
        <f>IF(Intereses_Leasing_Mensual!S199&gt;0, ROUND($I199-Intereses_Leasing_Mensual!S199, 2), "")</f>
        <v/>
      </c>
      <c r="U199" s="23">
        <f>IF(Intereses_Leasing_Mensual!T199&gt;0, ROUND($I199-Intereses_Leasing_Mensual!T199, 2), "")</f>
        <v/>
      </c>
      <c r="V199" s="23">
        <f>SUM(J199:U199)</f>
        <v/>
      </c>
    </row>
    <row r="200">
      <c r="A200" s="26" t="inlineStr">
        <is>
          <t>0717-0001</t>
        </is>
      </c>
      <c r="B200" s="27" t="inlineStr">
        <is>
          <t>Refaccionaria San Diego SA de CV</t>
        </is>
      </c>
      <c r="C200" s="27" t="inlineStr">
        <is>
          <t>Partner Rapid</t>
        </is>
      </c>
      <c r="D200" s="26" t="inlineStr">
        <is>
          <t>ACTIVO</t>
        </is>
      </c>
      <c r="E200" s="26" t="inlineStr">
        <is>
          <t>2025-09-10</t>
        </is>
      </c>
      <c r="F200" s="26" t="inlineStr">
        <is>
          <t>2029-09-10</t>
        </is>
      </c>
      <c r="G200" s="28" t="n">
        <v>48</v>
      </c>
      <c r="H200" s="29" t="n">
        <v>206137.93</v>
      </c>
      <c r="I200" s="29" t="n">
        <v>7422.77</v>
      </c>
      <c r="J200" s="29">
        <f>IF(Intereses_Leasing_Mensual!I200&gt;0, ROUND($I200-Intereses_Leasing_Mensual!I200, 2), "")</f>
        <v/>
      </c>
      <c r="K200" s="29">
        <f>IF(Intereses_Leasing_Mensual!J200&gt;0, ROUND($I200-Intereses_Leasing_Mensual!J200, 2), "")</f>
        <v/>
      </c>
      <c r="L200" s="29">
        <f>IF(Intereses_Leasing_Mensual!K200&gt;0, ROUND($I200-Intereses_Leasing_Mensual!K200, 2), "")</f>
        <v/>
      </c>
      <c r="M200" s="29">
        <f>IF(Intereses_Leasing_Mensual!L200&gt;0, ROUND($I200-Intereses_Leasing_Mensual!L200, 2), "")</f>
        <v/>
      </c>
      <c r="N200" s="29">
        <f>IF(Intereses_Leasing_Mensual!M200&gt;0, ROUND($I200-Intereses_Leasing_Mensual!M200, 2), "")</f>
        <v/>
      </c>
      <c r="O200" s="29">
        <f>IF(Intereses_Leasing_Mensual!N200&gt;0, ROUND($I200-Intereses_Leasing_Mensual!N200, 2), "")</f>
        <v/>
      </c>
      <c r="P200" s="29">
        <f>IF(Intereses_Leasing_Mensual!O200&gt;0, ROUND($I200-Intereses_Leasing_Mensual!O200, 2), "")</f>
        <v/>
      </c>
      <c r="Q200" s="29">
        <f>IF(Intereses_Leasing_Mensual!P200&gt;0, ROUND($I200-Intereses_Leasing_Mensual!P200, 2), "")</f>
        <v/>
      </c>
      <c r="R200" s="29">
        <f>IF(Intereses_Leasing_Mensual!Q200&gt;0, ROUND($I200-Intereses_Leasing_Mensual!Q200, 2), "")</f>
        <v/>
      </c>
      <c r="S200" s="29">
        <f>IF(Intereses_Leasing_Mensual!R200&gt;0, ROUND($I200-Intereses_Leasing_Mensual!R200, 2), "")</f>
        <v/>
      </c>
      <c r="T200" s="29">
        <f>IF(Intereses_Leasing_Mensual!S200&gt;0, ROUND($I200-Intereses_Leasing_Mensual!S200, 2), "")</f>
        <v/>
      </c>
      <c r="U200" s="29">
        <f>IF(Intereses_Leasing_Mensual!T200&gt;0, ROUND($I200-Intereses_Leasing_Mensual!T200, 2), "")</f>
        <v/>
      </c>
      <c r="V200" s="29">
        <f>SUM(J200:U200)</f>
        <v/>
      </c>
    </row>
    <row r="201">
      <c r="A201" s="20" t="inlineStr">
        <is>
          <t>0718-0001</t>
        </is>
      </c>
      <c r="B201" s="21" t="inlineStr">
        <is>
          <t>Capriberrys</t>
        </is>
      </c>
      <c r="C201" s="21" t="inlineStr">
        <is>
          <t>Jt Mojave</t>
        </is>
      </c>
      <c r="D201" s="20" t="inlineStr">
        <is>
          <t>ACTIVO</t>
        </is>
      </c>
      <c r="E201" s="20" t="inlineStr">
        <is>
          <t>2025-09-11</t>
        </is>
      </c>
      <c r="F201" s="20" t="inlineStr">
        <is>
          <t>2027-09-11</t>
        </is>
      </c>
      <c r="G201" s="22" t="n">
        <v>24</v>
      </c>
      <c r="H201" s="23" t="n">
        <v>780465.52</v>
      </c>
      <c r="I201" s="23" t="n">
        <v>39293.93</v>
      </c>
      <c r="J201" s="23">
        <f>IF(Intereses_Leasing_Mensual!I201&gt;0, ROUND($I201-Intereses_Leasing_Mensual!I201, 2), "")</f>
        <v/>
      </c>
      <c r="K201" s="23">
        <f>IF(Intereses_Leasing_Mensual!J201&gt;0, ROUND($I201-Intereses_Leasing_Mensual!J201, 2), "")</f>
        <v/>
      </c>
      <c r="L201" s="23">
        <f>IF(Intereses_Leasing_Mensual!K201&gt;0, ROUND($I201-Intereses_Leasing_Mensual!K201, 2), "")</f>
        <v/>
      </c>
      <c r="M201" s="23">
        <f>IF(Intereses_Leasing_Mensual!L201&gt;0, ROUND($I201-Intereses_Leasing_Mensual!L201, 2), "")</f>
        <v/>
      </c>
      <c r="N201" s="23">
        <f>IF(Intereses_Leasing_Mensual!M201&gt;0, ROUND($I201-Intereses_Leasing_Mensual!M201, 2), "")</f>
        <v/>
      </c>
      <c r="O201" s="23">
        <f>IF(Intereses_Leasing_Mensual!N201&gt;0, ROUND($I201-Intereses_Leasing_Mensual!N201, 2), "")</f>
        <v/>
      </c>
      <c r="P201" s="23">
        <f>IF(Intereses_Leasing_Mensual!O201&gt;0, ROUND($I201-Intereses_Leasing_Mensual!O201, 2), "")</f>
        <v/>
      </c>
      <c r="Q201" s="23">
        <f>IF(Intereses_Leasing_Mensual!P201&gt;0, ROUND($I201-Intereses_Leasing_Mensual!P201, 2), "")</f>
        <v/>
      </c>
      <c r="R201" s="23">
        <f>IF(Intereses_Leasing_Mensual!Q201&gt;0, ROUND($I201-Intereses_Leasing_Mensual!Q201, 2), "")</f>
        <v/>
      </c>
      <c r="S201" s="23">
        <f>IF(Intereses_Leasing_Mensual!R201&gt;0, ROUND($I201-Intereses_Leasing_Mensual!R201, 2), "")</f>
        <v/>
      </c>
      <c r="T201" s="23">
        <f>IF(Intereses_Leasing_Mensual!S201&gt;0, ROUND($I201-Intereses_Leasing_Mensual!S201, 2), "")</f>
        <v/>
      </c>
      <c r="U201" s="23">
        <f>IF(Intereses_Leasing_Mensual!T201&gt;0, ROUND($I201-Intereses_Leasing_Mensual!T201, 2), "")</f>
        <v/>
      </c>
      <c r="V201" s="23">
        <f>SUM(J201:U201)</f>
        <v/>
      </c>
    </row>
    <row r="202">
      <c r="A202" s="26" t="inlineStr">
        <is>
          <t>0719-0001</t>
        </is>
      </c>
      <c r="B202" s="27" t="inlineStr">
        <is>
          <t>Maria de Los Angeles Lopez Janeiro</t>
        </is>
      </c>
      <c r="C202" s="27" t="inlineStr">
        <is>
          <t>Rifter</t>
        </is>
      </c>
      <c r="D202" s="26" t="inlineStr">
        <is>
          <t>ACTIVO</t>
        </is>
      </c>
      <c r="E202" s="26" t="inlineStr">
        <is>
          <t>2025-09-30</t>
        </is>
      </c>
      <c r="F202" s="26" t="inlineStr">
        <is>
          <t>2028-09-30</t>
        </is>
      </c>
      <c r="G202" s="28" t="n">
        <v>36</v>
      </c>
      <c r="H202" s="29" t="n">
        <v>299853.45</v>
      </c>
      <c r="I202" s="29" t="n">
        <v>12314.83</v>
      </c>
      <c r="J202" s="29">
        <f>IF(Intereses_Leasing_Mensual!I202&gt;0, ROUND($I202-Intereses_Leasing_Mensual!I202, 2), "")</f>
        <v/>
      </c>
      <c r="K202" s="29">
        <f>IF(Intereses_Leasing_Mensual!J202&gt;0, ROUND($I202-Intereses_Leasing_Mensual!J202, 2), "")</f>
        <v/>
      </c>
      <c r="L202" s="29">
        <f>IF(Intereses_Leasing_Mensual!K202&gt;0, ROUND($I202-Intereses_Leasing_Mensual!K202, 2), "")</f>
        <v/>
      </c>
      <c r="M202" s="29">
        <f>IF(Intereses_Leasing_Mensual!L202&gt;0, ROUND($I202-Intereses_Leasing_Mensual!L202, 2), "")</f>
        <v/>
      </c>
      <c r="N202" s="29">
        <f>IF(Intereses_Leasing_Mensual!M202&gt;0, ROUND($I202-Intereses_Leasing_Mensual!M202, 2), "")</f>
        <v/>
      </c>
      <c r="O202" s="29">
        <f>IF(Intereses_Leasing_Mensual!N202&gt;0, ROUND($I202-Intereses_Leasing_Mensual!N202, 2), "")</f>
        <v/>
      </c>
      <c r="P202" s="29">
        <f>IF(Intereses_Leasing_Mensual!O202&gt;0, ROUND($I202-Intereses_Leasing_Mensual!O202, 2), "")</f>
        <v/>
      </c>
      <c r="Q202" s="29">
        <f>IF(Intereses_Leasing_Mensual!P202&gt;0, ROUND($I202-Intereses_Leasing_Mensual!P202, 2), "")</f>
        <v/>
      </c>
      <c r="R202" s="29">
        <f>IF(Intereses_Leasing_Mensual!Q202&gt;0, ROUND($I202-Intereses_Leasing_Mensual!Q202, 2), "")</f>
        <v/>
      </c>
      <c r="S202" s="29">
        <f>IF(Intereses_Leasing_Mensual!R202&gt;0, ROUND($I202-Intereses_Leasing_Mensual!R202, 2), "")</f>
        <v/>
      </c>
      <c r="T202" s="29">
        <f>IF(Intereses_Leasing_Mensual!S202&gt;0, ROUND($I202-Intereses_Leasing_Mensual!S202, 2), "")</f>
        <v/>
      </c>
      <c r="U202" s="29">
        <f>IF(Intereses_Leasing_Mensual!T202&gt;0, ROUND($I202-Intereses_Leasing_Mensual!T202, 2), "")</f>
        <v/>
      </c>
      <c r="V202" s="29">
        <f>SUM(J202:U202)</f>
        <v/>
      </c>
    </row>
    <row r="203">
      <c r="A203" s="20" t="inlineStr">
        <is>
          <t>0720-0001</t>
        </is>
      </c>
      <c r="B203" s="21" t="inlineStr">
        <is>
          <t>Forrajes Los 6 Hermanos S.P.R. DE R.L.</t>
        </is>
      </c>
      <c r="C203" s="21" t="inlineStr">
        <is>
          <t>Shark</t>
        </is>
      </c>
      <c r="D203" s="20" t="inlineStr">
        <is>
          <t>ACTIVO</t>
        </is>
      </c>
      <c r="E203" s="20" t="inlineStr">
        <is>
          <t>2025-10-01</t>
        </is>
      </c>
      <c r="F203" s="20" t="inlineStr">
        <is>
          <t>2028-10-01</t>
        </is>
      </c>
      <c r="G203" s="22" t="n">
        <v>36</v>
      </c>
      <c r="H203" s="23" t="n">
        <v>698260.35</v>
      </c>
      <c r="I203" s="23" t="n">
        <v>27797.92</v>
      </c>
      <c r="J203" s="23">
        <f>IF(Intereses_Leasing_Mensual!I203&gt;0, ROUND($I203-Intereses_Leasing_Mensual!I203, 2), "")</f>
        <v/>
      </c>
      <c r="K203" s="23">
        <f>IF(Intereses_Leasing_Mensual!J203&gt;0, ROUND($I203-Intereses_Leasing_Mensual!J203, 2), "")</f>
        <v/>
      </c>
      <c r="L203" s="23">
        <f>IF(Intereses_Leasing_Mensual!K203&gt;0, ROUND($I203-Intereses_Leasing_Mensual!K203, 2), "")</f>
        <v/>
      </c>
      <c r="M203" s="23">
        <f>IF(Intereses_Leasing_Mensual!L203&gt;0, ROUND($I203-Intereses_Leasing_Mensual!L203, 2), "")</f>
        <v/>
      </c>
      <c r="N203" s="23">
        <f>IF(Intereses_Leasing_Mensual!M203&gt;0, ROUND($I203-Intereses_Leasing_Mensual!M203, 2), "")</f>
        <v/>
      </c>
      <c r="O203" s="23">
        <f>IF(Intereses_Leasing_Mensual!N203&gt;0, ROUND($I203-Intereses_Leasing_Mensual!N203, 2), "")</f>
        <v/>
      </c>
      <c r="P203" s="23">
        <f>IF(Intereses_Leasing_Mensual!O203&gt;0, ROUND($I203-Intereses_Leasing_Mensual!O203, 2), "")</f>
        <v/>
      </c>
      <c r="Q203" s="23">
        <f>IF(Intereses_Leasing_Mensual!P203&gt;0, ROUND($I203-Intereses_Leasing_Mensual!P203, 2), "")</f>
        <v/>
      </c>
      <c r="R203" s="23">
        <f>IF(Intereses_Leasing_Mensual!Q203&gt;0, ROUND($I203-Intereses_Leasing_Mensual!Q203, 2), "")</f>
        <v/>
      </c>
      <c r="S203" s="23">
        <f>IF(Intereses_Leasing_Mensual!R203&gt;0, ROUND($I203-Intereses_Leasing_Mensual!R203, 2), "")</f>
        <v/>
      </c>
      <c r="T203" s="23">
        <f>IF(Intereses_Leasing_Mensual!S203&gt;0, ROUND($I203-Intereses_Leasing_Mensual!S203, 2), "")</f>
        <v/>
      </c>
      <c r="U203" s="23">
        <f>IF(Intereses_Leasing_Mensual!T203&gt;0, ROUND($I203-Intereses_Leasing_Mensual!T203, 2), "")</f>
        <v/>
      </c>
      <c r="V203" s="23">
        <f>SUM(J203:U203)</f>
        <v/>
      </c>
    </row>
    <row r="204">
      <c r="A204" s="26" t="inlineStr">
        <is>
          <t>0721-0001</t>
        </is>
      </c>
      <c r="B204" s="27" t="inlineStr">
        <is>
          <t>Ricardo Ortiz Guzman</t>
        </is>
      </c>
      <c r="C204" s="27" t="inlineStr">
        <is>
          <t>Rifter</t>
        </is>
      </c>
      <c r="D204" s="26" t="inlineStr">
        <is>
          <t>ACTIVO</t>
        </is>
      </c>
      <c r="E204" s="26" t="inlineStr">
        <is>
          <t>2025-10-09</t>
        </is>
      </c>
      <c r="F204" s="26" t="inlineStr">
        <is>
          <t>2029-10-09</t>
        </is>
      </c>
      <c r="G204" s="28" t="n">
        <v>48</v>
      </c>
      <c r="H204" s="29" t="n">
        <v>299853.45</v>
      </c>
      <c r="I204" s="29" t="n">
        <v>10758.24</v>
      </c>
      <c r="J204" s="29">
        <f>IF(Intereses_Leasing_Mensual!I204&gt;0, ROUND($I204-Intereses_Leasing_Mensual!I204, 2), "")</f>
        <v/>
      </c>
      <c r="K204" s="29">
        <f>IF(Intereses_Leasing_Mensual!J204&gt;0, ROUND($I204-Intereses_Leasing_Mensual!J204, 2), "")</f>
        <v/>
      </c>
      <c r="L204" s="29">
        <f>IF(Intereses_Leasing_Mensual!K204&gt;0, ROUND($I204-Intereses_Leasing_Mensual!K204, 2), "")</f>
        <v/>
      </c>
      <c r="M204" s="29">
        <f>IF(Intereses_Leasing_Mensual!L204&gt;0, ROUND($I204-Intereses_Leasing_Mensual!L204, 2), "")</f>
        <v/>
      </c>
      <c r="N204" s="29">
        <f>IF(Intereses_Leasing_Mensual!M204&gt;0, ROUND($I204-Intereses_Leasing_Mensual!M204, 2), "")</f>
        <v/>
      </c>
      <c r="O204" s="29">
        <f>IF(Intereses_Leasing_Mensual!N204&gt;0, ROUND($I204-Intereses_Leasing_Mensual!N204, 2), "")</f>
        <v/>
      </c>
      <c r="P204" s="29">
        <f>IF(Intereses_Leasing_Mensual!O204&gt;0, ROUND($I204-Intereses_Leasing_Mensual!O204, 2), "")</f>
        <v/>
      </c>
      <c r="Q204" s="29">
        <f>IF(Intereses_Leasing_Mensual!P204&gt;0, ROUND($I204-Intereses_Leasing_Mensual!P204, 2), "")</f>
        <v/>
      </c>
      <c r="R204" s="29">
        <f>IF(Intereses_Leasing_Mensual!Q204&gt;0, ROUND($I204-Intereses_Leasing_Mensual!Q204, 2), "")</f>
        <v/>
      </c>
      <c r="S204" s="29">
        <f>IF(Intereses_Leasing_Mensual!R204&gt;0, ROUND($I204-Intereses_Leasing_Mensual!R204, 2), "")</f>
        <v/>
      </c>
      <c r="T204" s="29">
        <f>IF(Intereses_Leasing_Mensual!S204&gt;0, ROUND($I204-Intereses_Leasing_Mensual!S204, 2), "")</f>
        <v/>
      </c>
      <c r="U204" s="29">
        <f>IF(Intereses_Leasing_Mensual!T204&gt;0, ROUND($I204-Intereses_Leasing_Mensual!T204, 2), "")</f>
        <v/>
      </c>
      <c r="V204" s="29">
        <f>SUM(J204:U204)</f>
        <v/>
      </c>
    </row>
    <row r="205">
      <c r="A205" s="20" t="inlineStr">
        <is>
          <t>0721-0002</t>
        </is>
      </c>
      <c r="B205" s="21" t="inlineStr">
        <is>
          <t>Ricardo Ortiz Guzman</t>
        </is>
      </c>
      <c r="C205" s="21" t="inlineStr">
        <is>
          <t>CX5</t>
        </is>
      </c>
      <c r="D205" s="20" t="inlineStr">
        <is>
          <t>ACTIVO</t>
        </is>
      </c>
      <c r="E205" s="20" t="inlineStr">
        <is>
          <t>2025-10-31</t>
        </is>
      </c>
      <c r="F205" s="20" t="inlineStr">
        <is>
          <t>2029-10-31</t>
        </is>
      </c>
      <c r="G205" s="22" t="n">
        <v>48</v>
      </c>
      <c r="H205" s="23" t="n">
        <v>422000</v>
      </c>
      <c r="I205" s="23" t="n">
        <v>15216.28</v>
      </c>
      <c r="J205" s="23">
        <f>IF(Intereses_Leasing_Mensual!I205&gt;0, ROUND($I205-Intereses_Leasing_Mensual!I205, 2), "")</f>
        <v/>
      </c>
      <c r="K205" s="23">
        <f>IF(Intereses_Leasing_Mensual!J205&gt;0, ROUND($I205-Intereses_Leasing_Mensual!J205, 2), "")</f>
        <v/>
      </c>
      <c r="L205" s="23">
        <f>IF(Intereses_Leasing_Mensual!K205&gt;0, ROUND($I205-Intereses_Leasing_Mensual!K205, 2), "")</f>
        <v/>
      </c>
      <c r="M205" s="23">
        <f>IF(Intereses_Leasing_Mensual!L205&gt;0, ROUND($I205-Intereses_Leasing_Mensual!L205, 2), "")</f>
        <v/>
      </c>
      <c r="N205" s="23">
        <f>IF(Intereses_Leasing_Mensual!M205&gt;0, ROUND($I205-Intereses_Leasing_Mensual!M205, 2), "")</f>
        <v/>
      </c>
      <c r="O205" s="23">
        <f>IF(Intereses_Leasing_Mensual!N205&gt;0, ROUND($I205-Intereses_Leasing_Mensual!N205, 2), "")</f>
        <v/>
      </c>
      <c r="P205" s="23">
        <f>IF(Intereses_Leasing_Mensual!O205&gt;0, ROUND($I205-Intereses_Leasing_Mensual!O205, 2), "")</f>
        <v/>
      </c>
      <c r="Q205" s="23">
        <f>IF(Intereses_Leasing_Mensual!P205&gt;0, ROUND($I205-Intereses_Leasing_Mensual!P205, 2), "")</f>
        <v/>
      </c>
      <c r="R205" s="23">
        <f>IF(Intereses_Leasing_Mensual!Q205&gt;0, ROUND($I205-Intereses_Leasing_Mensual!Q205, 2), "")</f>
        <v/>
      </c>
      <c r="S205" s="23">
        <f>IF(Intereses_Leasing_Mensual!R205&gt;0, ROUND($I205-Intereses_Leasing_Mensual!R205, 2), "")</f>
        <v/>
      </c>
      <c r="T205" s="23">
        <f>IF(Intereses_Leasing_Mensual!S205&gt;0, ROUND($I205-Intereses_Leasing_Mensual!S205, 2), "")</f>
        <v/>
      </c>
      <c r="U205" s="23">
        <f>IF(Intereses_Leasing_Mensual!T205&gt;0, ROUND($I205-Intereses_Leasing_Mensual!T205, 2), "")</f>
        <v/>
      </c>
      <c r="V205" s="23">
        <f>SUM(J205:U205)</f>
        <v/>
      </c>
    </row>
    <row r="206">
      <c r="A206" s="26" t="inlineStr">
        <is>
          <t>0722-0001</t>
        </is>
      </c>
      <c r="B206" s="27" t="inlineStr">
        <is>
          <t>Tortas Ro S. DE R.L. DE C.V.</t>
        </is>
      </c>
      <c r="C206" s="27" t="inlineStr">
        <is>
          <t>Partner</t>
        </is>
      </c>
      <c r="D206" s="26" t="inlineStr">
        <is>
          <t>ACTIVO</t>
        </is>
      </c>
      <c r="E206" s="26" t="inlineStr">
        <is>
          <t>2025-10-13</t>
        </is>
      </c>
      <c r="F206" s="26" t="inlineStr">
        <is>
          <t>2027-10-13</t>
        </is>
      </c>
      <c r="G206" s="28" t="n">
        <v>24</v>
      </c>
      <c r="H206" s="29" t="n">
        <v>180974.14</v>
      </c>
      <c r="I206" s="29" t="n">
        <v>8672.370000000001</v>
      </c>
      <c r="J206" s="29">
        <f>IF(Intereses_Leasing_Mensual!I206&gt;0, ROUND($I206-Intereses_Leasing_Mensual!I206, 2), "")</f>
        <v/>
      </c>
      <c r="K206" s="29">
        <f>IF(Intereses_Leasing_Mensual!J206&gt;0, ROUND($I206-Intereses_Leasing_Mensual!J206, 2), "")</f>
        <v/>
      </c>
      <c r="L206" s="29">
        <f>IF(Intereses_Leasing_Mensual!K206&gt;0, ROUND($I206-Intereses_Leasing_Mensual!K206, 2), "")</f>
        <v/>
      </c>
      <c r="M206" s="29">
        <f>IF(Intereses_Leasing_Mensual!L206&gt;0, ROUND($I206-Intereses_Leasing_Mensual!L206, 2), "")</f>
        <v/>
      </c>
      <c r="N206" s="29">
        <f>IF(Intereses_Leasing_Mensual!M206&gt;0, ROUND($I206-Intereses_Leasing_Mensual!M206, 2), "")</f>
        <v/>
      </c>
      <c r="O206" s="29">
        <f>IF(Intereses_Leasing_Mensual!N206&gt;0, ROUND($I206-Intereses_Leasing_Mensual!N206, 2), "")</f>
        <v/>
      </c>
      <c r="P206" s="29">
        <f>IF(Intereses_Leasing_Mensual!O206&gt;0, ROUND($I206-Intereses_Leasing_Mensual!O206, 2), "")</f>
        <v/>
      </c>
      <c r="Q206" s="29">
        <f>IF(Intereses_Leasing_Mensual!P206&gt;0, ROUND($I206-Intereses_Leasing_Mensual!P206, 2), "")</f>
        <v/>
      </c>
      <c r="R206" s="29">
        <f>IF(Intereses_Leasing_Mensual!Q206&gt;0, ROUND($I206-Intereses_Leasing_Mensual!Q206, 2), "")</f>
        <v/>
      </c>
      <c r="S206" s="29">
        <f>IF(Intereses_Leasing_Mensual!R206&gt;0, ROUND($I206-Intereses_Leasing_Mensual!R206, 2), "")</f>
        <v/>
      </c>
      <c r="T206" s="29">
        <f>IF(Intereses_Leasing_Mensual!S206&gt;0, ROUND($I206-Intereses_Leasing_Mensual!S206, 2), "")</f>
        <v/>
      </c>
      <c r="U206" s="29">
        <f>IF(Intereses_Leasing_Mensual!T206&gt;0, ROUND($I206-Intereses_Leasing_Mensual!T206, 2), "")</f>
        <v/>
      </c>
      <c r="V206" s="29">
        <f>SUM(J206:U206)</f>
        <v/>
      </c>
    </row>
    <row r="207">
      <c r="A207" s="20" t="inlineStr">
        <is>
          <t>0723-0001</t>
        </is>
      </c>
      <c r="B207" s="21" t="inlineStr">
        <is>
          <t>Sandra Inez Velazquez Altamirano</t>
        </is>
      </c>
      <c r="C207" s="21" t="inlineStr">
        <is>
          <t>Sierra Denali</t>
        </is>
      </c>
      <c r="D207" s="20" t="inlineStr">
        <is>
          <t>ACTIVO</t>
        </is>
      </c>
      <c r="E207" s="20" t="inlineStr">
        <is>
          <t>2025-10-17</t>
        </is>
      </c>
      <c r="F207" s="20" t="inlineStr">
        <is>
          <t>2028-10-17</t>
        </is>
      </c>
      <c r="G207" s="22" t="n">
        <v>36</v>
      </c>
      <c r="H207" s="23" t="n">
        <v>1396086.21</v>
      </c>
      <c r="I207" s="23" t="n">
        <v>55578.55</v>
      </c>
      <c r="J207" s="23">
        <f>IF(Intereses_Leasing_Mensual!I207&gt;0, ROUND($I207-Intereses_Leasing_Mensual!I207, 2), "")</f>
        <v/>
      </c>
      <c r="K207" s="23">
        <f>IF(Intereses_Leasing_Mensual!J207&gt;0, ROUND($I207-Intereses_Leasing_Mensual!J207, 2), "")</f>
        <v/>
      </c>
      <c r="L207" s="23">
        <f>IF(Intereses_Leasing_Mensual!K207&gt;0, ROUND($I207-Intereses_Leasing_Mensual!K207, 2), "")</f>
        <v/>
      </c>
      <c r="M207" s="23">
        <f>IF(Intereses_Leasing_Mensual!L207&gt;0, ROUND($I207-Intereses_Leasing_Mensual!L207, 2), "")</f>
        <v/>
      </c>
      <c r="N207" s="23">
        <f>IF(Intereses_Leasing_Mensual!M207&gt;0, ROUND($I207-Intereses_Leasing_Mensual!M207, 2), "")</f>
        <v/>
      </c>
      <c r="O207" s="23">
        <f>IF(Intereses_Leasing_Mensual!N207&gt;0, ROUND($I207-Intereses_Leasing_Mensual!N207, 2), "")</f>
        <v/>
      </c>
      <c r="P207" s="23">
        <f>IF(Intereses_Leasing_Mensual!O207&gt;0, ROUND($I207-Intereses_Leasing_Mensual!O207, 2), "")</f>
        <v/>
      </c>
      <c r="Q207" s="23">
        <f>IF(Intereses_Leasing_Mensual!P207&gt;0, ROUND($I207-Intereses_Leasing_Mensual!P207, 2), "")</f>
        <v/>
      </c>
      <c r="R207" s="23">
        <f>IF(Intereses_Leasing_Mensual!Q207&gt;0, ROUND($I207-Intereses_Leasing_Mensual!Q207, 2), "")</f>
        <v/>
      </c>
      <c r="S207" s="23">
        <f>IF(Intereses_Leasing_Mensual!R207&gt;0, ROUND($I207-Intereses_Leasing_Mensual!R207, 2), "")</f>
        <v/>
      </c>
      <c r="T207" s="23">
        <f>IF(Intereses_Leasing_Mensual!S207&gt;0, ROUND($I207-Intereses_Leasing_Mensual!S207, 2), "")</f>
        <v/>
      </c>
      <c r="U207" s="23">
        <f>IF(Intereses_Leasing_Mensual!T207&gt;0, ROUND($I207-Intereses_Leasing_Mensual!T207, 2), "")</f>
        <v/>
      </c>
      <c r="V207" s="23">
        <f>SUM(J207:U207)</f>
        <v/>
      </c>
    </row>
    <row r="208">
      <c r="A208" s="26" t="inlineStr">
        <is>
          <t>0724-0001</t>
        </is>
      </c>
      <c r="B208" s="27" t="inlineStr">
        <is>
          <t>Victor Merced Brizuela Aguilar</t>
        </is>
      </c>
      <c r="C208" s="27" t="inlineStr">
        <is>
          <t>Tiggo 7 Plus</t>
        </is>
      </c>
      <c r="D208" s="26" t="inlineStr">
        <is>
          <t>ACTIVO</t>
        </is>
      </c>
      <c r="E208" s="26" t="inlineStr">
        <is>
          <t>2025-10-23</t>
        </is>
      </c>
      <c r="F208" s="26" t="inlineStr">
        <is>
          <t>2029-10-23</t>
        </is>
      </c>
      <c r="G208" s="28" t="n">
        <v>48</v>
      </c>
      <c r="H208" s="29" t="n">
        <v>301663.8</v>
      </c>
      <c r="I208" s="29" t="n">
        <v>10823.19</v>
      </c>
      <c r="J208" s="29">
        <f>IF(Intereses_Leasing_Mensual!I208&gt;0, ROUND($I208-Intereses_Leasing_Mensual!I208, 2), "")</f>
        <v/>
      </c>
      <c r="K208" s="29">
        <f>IF(Intereses_Leasing_Mensual!J208&gt;0, ROUND($I208-Intereses_Leasing_Mensual!J208, 2), "")</f>
        <v/>
      </c>
      <c r="L208" s="29">
        <f>IF(Intereses_Leasing_Mensual!K208&gt;0, ROUND($I208-Intereses_Leasing_Mensual!K208, 2), "")</f>
        <v/>
      </c>
      <c r="M208" s="29">
        <f>IF(Intereses_Leasing_Mensual!L208&gt;0, ROUND($I208-Intereses_Leasing_Mensual!L208, 2), "")</f>
        <v/>
      </c>
      <c r="N208" s="29">
        <f>IF(Intereses_Leasing_Mensual!M208&gt;0, ROUND($I208-Intereses_Leasing_Mensual!M208, 2), "")</f>
        <v/>
      </c>
      <c r="O208" s="29">
        <f>IF(Intereses_Leasing_Mensual!N208&gt;0, ROUND($I208-Intereses_Leasing_Mensual!N208, 2), "")</f>
        <v/>
      </c>
      <c r="P208" s="29">
        <f>IF(Intereses_Leasing_Mensual!O208&gt;0, ROUND($I208-Intereses_Leasing_Mensual!O208, 2), "")</f>
        <v/>
      </c>
      <c r="Q208" s="29">
        <f>IF(Intereses_Leasing_Mensual!P208&gt;0, ROUND($I208-Intereses_Leasing_Mensual!P208, 2), "")</f>
        <v/>
      </c>
      <c r="R208" s="29">
        <f>IF(Intereses_Leasing_Mensual!Q208&gt;0, ROUND($I208-Intereses_Leasing_Mensual!Q208, 2), "")</f>
        <v/>
      </c>
      <c r="S208" s="29">
        <f>IF(Intereses_Leasing_Mensual!R208&gt;0, ROUND($I208-Intereses_Leasing_Mensual!R208, 2), "")</f>
        <v/>
      </c>
      <c r="T208" s="29">
        <f>IF(Intereses_Leasing_Mensual!S208&gt;0, ROUND($I208-Intereses_Leasing_Mensual!S208, 2), "")</f>
        <v/>
      </c>
      <c r="U208" s="29">
        <f>IF(Intereses_Leasing_Mensual!T208&gt;0, ROUND($I208-Intereses_Leasing_Mensual!T208, 2), "")</f>
        <v/>
      </c>
      <c r="V208" s="29">
        <f>SUM(J208:U208)</f>
        <v/>
      </c>
    </row>
    <row r="209">
      <c r="A209" s="20" t="inlineStr">
        <is>
          <t>0725-0001</t>
        </is>
      </c>
      <c r="B209" s="21" t="inlineStr">
        <is>
          <t>Octavio Cortes Flores</t>
        </is>
      </c>
      <c r="C209" s="21" t="inlineStr">
        <is>
          <t>Rifter Allure</t>
        </is>
      </c>
      <c r="D209" s="20" t="inlineStr">
        <is>
          <t>ACTIVO</t>
        </is>
      </c>
      <c r="E209" s="20" t="inlineStr">
        <is>
          <t>2025-10-29</t>
        </is>
      </c>
      <c r="F209" s="20" t="inlineStr">
        <is>
          <t>2028-10-29</t>
        </is>
      </c>
      <c r="G209" s="22" t="n">
        <v>36</v>
      </c>
      <c r="H209" s="23" t="n">
        <v>324068.97</v>
      </c>
      <c r="I209" s="23" t="n">
        <v>13404.56</v>
      </c>
      <c r="J209" s="23">
        <f>IF(Intereses_Leasing_Mensual!I209&gt;0, ROUND($I209-Intereses_Leasing_Mensual!I209, 2), "")</f>
        <v/>
      </c>
      <c r="K209" s="23">
        <f>IF(Intereses_Leasing_Mensual!J209&gt;0, ROUND($I209-Intereses_Leasing_Mensual!J209, 2), "")</f>
        <v/>
      </c>
      <c r="L209" s="23">
        <f>IF(Intereses_Leasing_Mensual!K209&gt;0, ROUND($I209-Intereses_Leasing_Mensual!K209, 2), "")</f>
        <v/>
      </c>
      <c r="M209" s="23">
        <f>IF(Intereses_Leasing_Mensual!L209&gt;0, ROUND($I209-Intereses_Leasing_Mensual!L209, 2), "")</f>
        <v/>
      </c>
      <c r="N209" s="23">
        <f>IF(Intereses_Leasing_Mensual!M209&gt;0, ROUND($I209-Intereses_Leasing_Mensual!M209, 2), "")</f>
        <v/>
      </c>
      <c r="O209" s="23">
        <f>IF(Intereses_Leasing_Mensual!N209&gt;0, ROUND($I209-Intereses_Leasing_Mensual!N209, 2), "")</f>
        <v/>
      </c>
      <c r="P209" s="23">
        <f>IF(Intereses_Leasing_Mensual!O209&gt;0, ROUND($I209-Intereses_Leasing_Mensual!O209, 2), "")</f>
        <v/>
      </c>
      <c r="Q209" s="23">
        <f>IF(Intereses_Leasing_Mensual!P209&gt;0, ROUND($I209-Intereses_Leasing_Mensual!P209, 2), "")</f>
        <v/>
      </c>
      <c r="R209" s="23">
        <f>IF(Intereses_Leasing_Mensual!Q209&gt;0, ROUND($I209-Intereses_Leasing_Mensual!Q209, 2), "")</f>
        <v/>
      </c>
      <c r="S209" s="23">
        <f>IF(Intereses_Leasing_Mensual!R209&gt;0, ROUND($I209-Intereses_Leasing_Mensual!R209, 2), "")</f>
        <v/>
      </c>
      <c r="T209" s="23">
        <f>IF(Intereses_Leasing_Mensual!S209&gt;0, ROUND($I209-Intereses_Leasing_Mensual!S209, 2), "")</f>
        <v/>
      </c>
      <c r="U209" s="23">
        <f>IF(Intereses_Leasing_Mensual!T209&gt;0, ROUND($I209-Intereses_Leasing_Mensual!T209, 2), "")</f>
        <v/>
      </c>
      <c r="V209" s="23">
        <f>SUM(J209:U209)</f>
        <v/>
      </c>
    </row>
    <row r="210">
      <c r="A210" s="26" t="inlineStr">
        <is>
          <t>0726-0001</t>
        </is>
      </c>
      <c r="B210" s="27" t="inlineStr">
        <is>
          <t>Martha Viviana Anguiano Gonzalez</t>
        </is>
      </c>
      <c r="C210" s="27" t="inlineStr">
        <is>
          <t>JT Mojave</t>
        </is>
      </c>
      <c r="D210" s="26" t="inlineStr">
        <is>
          <t>ACTIVO</t>
        </is>
      </c>
      <c r="E210" s="26" t="inlineStr">
        <is>
          <t>2025-10-29</t>
        </is>
      </c>
      <c r="F210" s="26" t="inlineStr">
        <is>
          <t>2029-10-29</t>
        </is>
      </c>
      <c r="G210" s="28" t="n">
        <v>48</v>
      </c>
      <c r="H210" s="29" t="n">
        <v>914163.8</v>
      </c>
      <c r="I210" s="29" t="n">
        <v>32798.67</v>
      </c>
      <c r="J210" s="29">
        <f>IF(Intereses_Leasing_Mensual!I210&gt;0, ROUND($I210-Intereses_Leasing_Mensual!I210, 2), "")</f>
        <v/>
      </c>
      <c r="K210" s="29">
        <f>IF(Intereses_Leasing_Mensual!J210&gt;0, ROUND($I210-Intereses_Leasing_Mensual!J210, 2), "")</f>
        <v/>
      </c>
      <c r="L210" s="29">
        <f>IF(Intereses_Leasing_Mensual!K210&gt;0, ROUND($I210-Intereses_Leasing_Mensual!K210, 2), "")</f>
        <v/>
      </c>
      <c r="M210" s="29">
        <f>IF(Intereses_Leasing_Mensual!L210&gt;0, ROUND($I210-Intereses_Leasing_Mensual!L210, 2), "")</f>
        <v/>
      </c>
      <c r="N210" s="29">
        <f>IF(Intereses_Leasing_Mensual!M210&gt;0, ROUND($I210-Intereses_Leasing_Mensual!M210, 2), "")</f>
        <v/>
      </c>
      <c r="O210" s="29">
        <f>IF(Intereses_Leasing_Mensual!N210&gt;0, ROUND($I210-Intereses_Leasing_Mensual!N210, 2), "")</f>
        <v/>
      </c>
      <c r="P210" s="29">
        <f>IF(Intereses_Leasing_Mensual!O210&gt;0, ROUND($I210-Intereses_Leasing_Mensual!O210, 2), "")</f>
        <v/>
      </c>
      <c r="Q210" s="29">
        <f>IF(Intereses_Leasing_Mensual!P210&gt;0, ROUND($I210-Intereses_Leasing_Mensual!P210, 2), "")</f>
        <v/>
      </c>
      <c r="R210" s="29">
        <f>IF(Intereses_Leasing_Mensual!Q210&gt;0, ROUND($I210-Intereses_Leasing_Mensual!Q210, 2), "")</f>
        <v/>
      </c>
      <c r="S210" s="29">
        <f>IF(Intereses_Leasing_Mensual!R210&gt;0, ROUND($I210-Intereses_Leasing_Mensual!R210, 2), "")</f>
        <v/>
      </c>
      <c r="T210" s="29">
        <f>IF(Intereses_Leasing_Mensual!S210&gt;0, ROUND($I210-Intereses_Leasing_Mensual!S210, 2), "")</f>
        <v/>
      </c>
      <c r="U210" s="29">
        <f>IF(Intereses_Leasing_Mensual!T210&gt;0, ROUND($I210-Intereses_Leasing_Mensual!T210, 2), "")</f>
        <v/>
      </c>
      <c r="V210" s="29">
        <f>SUM(J210:U210)</f>
        <v/>
      </c>
    </row>
    <row r="211">
      <c r="A211" s="20" t="inlineStr">
        <is>
          <t>0727-0001</t>
        </is>
      </c>
      <c r="B211" s="21" t="inlineStr">
        <is>
          <t>Edgar Adrian Sainz Vazquez</t>
        </is>
      </c>
      <c r="C211" s="21" t="inlineStr">
        <is>
          <t>1200 Laramie</t>
        </is>
      </c>
      <c r="D211" s="20" t="inlineStr">
        <is>
          <t>ACTIVO</t>
        </is>
      </c>
      <c r="E211" s="20" t="inlineStr">
        <is>
          <t>2025-10-31</t>
        </is>
      </c>
      <c r="F211" s="20" t="inlineStr">
        <is>
          <t>2029-10-31</t>
        </is>
      </c>
      <c r="G211" s="22" t="n">
        <v>48</v>
      </c>
      <c r="H211" s="23" t="n">
        <v>508112.07</v>
      </c>
      <c r="I211" s="23" t="n">
        <v>18375.7</v>
      </c>
      <c r="J211" s="23">
        <f>IF(Intereses_Leasing_Mensual!I211&gt;0, ROUND($I211-Intereses_Leasing_Mensual!I211, 2), "")</f>
        <v/>
      </c>
      <c r="K211" s="23">
        <f>IF(Intereses_Leasing_Mensual!J211&gt;0, ROUND($I211-Intereses_Leasing_Mensual!J211, 2), "")</f>
        <v/>
      </c>
      <c r="L211" s="23">
        <f>IF(Intereses_Leasing_Mensual!K211&gt;0, ROUND($I211-Intereses_Leasing_Mensual!K211, 2), "")</f>
        <v/>
      </c>
      <c r="M211" s="23">
        <f>IF(Intereses_Leasing_Mensual!L211&gt;0, ROUND($I211-Intereses_Leasing_Mensual!L211, 2), "")</f>
        <v/>
      </c>
      <c r="N211" s="23">
        <f>IF(Intereses_Leasing_Mensual!M211&gt;0, ROUND($I211-Intereses_Leasing_Mensual!M211, 2), "")</f>
        <v/>
      </c>
      <c r="O211" s="23">
        <f>IF(Intereses_Leasing_Mensual!N211&gt;0, ROUND($I211-Intereses_Leasing_Mensual!N211, 2), "")</f>
        <v/>
      </c>
      <c r="P211" s="23">
        <f>IF(Intereses_Leasing_Mensual!O211&gt;0, ROUND($I211-Intereses_Leasing_Mensual!O211, 2), "")</f>
        <v/>
      </c>
      <c r="Q211" s="23">
        <f>IF(Intereses_Leasing_Mensual!P211&gt;0, ROUND($I211-Intereses_Leasing_Mensual!P211, 2), "")</f>
        <v/>
      </c>
      <c r="R211" s="23">
        <f>IF(Intereses_Leasing_Mensual!Q211&gt;0, ROUND($I211-Intereses_Leasing_Mensual!Q211, 2), "")</f>
        <v/>
      </c>
      <c r="S211" s="23">
        <f>IF(Intereses_Leasing_Mensual!R211&gt;0, ROUND($I211-Intereses_Leasing_Mensual!R211, 2), "")</f>
        <v/>
      </c>
      <c r="T211" s="23">
        <f>IF(Intereses_Leasing_Mensual!S211&gt;0, ROUND($I211-Intereses_Leasing_Mensual!S211, 2), "")</f>
        <v/>
      </c>
      <c r="U211" s="23">
        <f>IF(Intereses_Leasing_Mensual!T211&gt;0, ROUND($I211-Intereses_Leasing_Mensual!T211, 2), "")</f>
        <v/>
      </c>
      <c r="V211" s="23">
        <f>SUM(J211:U211)</f>
        <v/>
      </c>
    </row>
    <row r="212">
      <c r="A212" s="26" t="inlineStr">
        <is>
          <t>0728-0001</t>
        </is>
      </c>
      <c r="B212" s="27" t="inlineStr">
        <is>
          <t>Arrendadora Tequila, S.A. de C.V.</t>
        </is>
      </c>
      <c r="C212" s="27" t="inlineStr">
        <is>
          <t>JEEP 392</t>
        </is>
      </c>
      <c r="D212" s="26" t="inlineStr">
        <is>
          <t>ACTIVO</t>
        </is>
      </c>
      <c r="E212" s="26" t="inlineStr">
        <is>
          <t>2025-11-03</t>
        </is>
      </c>
      <c r="F212" s="26" t="inlineStr">
        <is>
          <t>2028-11-03</t>
        </is>
      </c>
      <c r="G212" s="28" t="n">
        <v>36</v>
      </c>
      <c r="H212" s="29" t="n">
        <v>1494413.79</v>
      </c>
      <c r="I212" s="29" t="n">
        <v>61829.58</v>
      </c>
      <c r="J212" s="29">
        <f>IF(Intereses_Leasing_Mensual!I212&gt;0, ROUND($I212-Intereses_Leasing_Mensual!I212, 2), "")</f>
        <v/>
      </c>
      <c r="K212" s="29">
        <f>IF(Intereses_Leasing_Mensual!J212&gt;0, ROUND($I212-Intereses_Leasing_Mensual!J212, 2), "")</f>
        <v/>
      </c>
      <c r="L212" s="29">
        <f>IF(Intereses_Leasing_Mensual!K212&gt;0, ROUND($I212-Intereses_Leasing_Mensual!K212, 2), "")</f>
        <v/>
      </c>
      <c r="M212" s="29">
        <f>IF(Intereses_Leasing_Mensual!L212&gt;0, ROUND($I212-Intereses_Leasing_Mensual!L212, 2), "")</f>
        <v/>
      </c>
      <c r="N212" s="29">
        <f>IF(Intereses_Leasing_Mensual!M212&gt;0, ROUND($I212-Intereses_Leasing_Mensual!M212, 2), "")</f>
        <v/>
      </c>
      <c r="O212" s="29">
        <f>IF(Intereses_Leasing_Mensual!N212&gt;0, ROUND($I212-Intereses_Leasing_Mensual!N212, 2), "")</f>
        <v/>
      </c>
      <c r="P212" s="29">
        <f>IF(Intereses_Leasing_Mensual!O212&gt;0, ROUND($I212-Intereses_Leasing_Mensual!O212, 2), "")</f>
        <v/>
      </c>
      <c r="Q212" s="29">
        <f>IF(Intereses_Leasing_Mensual!P212&gt;0, ROUND($I212-Intereses_Leasing_Mensual!P212, 2), "")</f>
        <v/>
      </c>
      <c r="R212" s="29">
        <f>IF(Intereses_Leasing_Mensual!Q212&gt;0, ROUND($I212-Intereses_Leasing_Mensual!Q212, 2), "")</f>
        <v/>
      </c>
      <c r="S212" s="29">
        <f>IF(Intereses_Leasing_Mensual!R212&gt;0, ROUND($I212-Intereses_Leasing_Mensual!R212, 2), "")</f>
        <v/>
      </c>
      <c r="T212" s="29">
        <f>IF(Intereses_Leasing_Mensual!S212&gt;0, ROUND($I212-Intereses_Leasing_Mensual!S212, 2), "")</f>
        <v/>
      </c>
      <c r="U212" s="29">
        <f>IF(Intereses_Leasing_Mensual!T212&gt;0, ROUND($I212-Intereses_Leasing_Mensual!T212, 2), "")</f>
        <v/>
      </c>
      <c r="V212" s="29">
        <f>SUM(J212:U212)</f>
        <v/>
      </c>
    </row>
    <row r="213">
      <c r="A213" s="20" t="inlineStr">
        <is>
          <t>0729-0001</t>
        </is>
      </c>
      <c r="B213" s="21" t="inlineStr">
        <is>
          <t>Rubén Bravo Hernández</t>
        </is>
      </c>
      <c r="C213" s="21" t="inlineStr">
        <is>
          <t>Mamut T32 DC</t>
        </is>
      </c>
      <c r="D213" s="20" t="inlineStr">
        <is>
          <t>ACTIVO</t>
        </is>
      </c>
      <c r="E213" s="20" t="inlineStr">
        <is>
          <t>2025-11-11</t>
        </is>
      </c>
      <c r="F213" s="20" t="inlineStr">
        <is>
          <t>2028-11-11</t>
        </is>
      </c>
      <c r="G213" s="22" t="n">
        <v>36</v>
      </c>
      <c r="H213" s="23" t="n">
        <v>268868.97</v>
      </c>
      <c r="I213" s="23" t="n">
        <v>10581.72</v>
      </c>
      <c r="J213" s="23">
        <f>IF(Intereses_Leasing_Mensual!I213&gt;0, ROUND($I213-Intereses_Leasing_Mensual!I213, 2), "")</f>
        <v/>
      </c>
      <c r="K213" s="23">
        <f>IF(Intereses_Leasing_Mensual!J213&gt;0, ROUND($I213-Intereses_Leasing_Mensual!J213, 2), "")</f>
        <v/>
      </c>
      <c r="L213" s="23">
        <f>IF(Intereses_Leasing_Mensual!K213&gt;0, ROUND($I213-Intereses_Leasing_Mensual!K213, 2), "")</f>
        <v/>
      </c>
      <c r="M213" s="23">
        <f>IF(Intereses_Leasing_Mensual!L213&gt;0, ROUND($I213-Intereses_Leasing_Mensual!L213, 2), "")</f>
        <v/>
      </c>
      <c r="N213" s="23">
        <f>IF(Intereses_Leasing_Mensual!M213&gt;0, ROUND($I213-Intereses_Leasing_Mensual!M213, 2), "")</f>
        <v/>
      </c>
      <c r="O213" s="23">
        <f>IF(Intereses_Leasing_Mensual!N213&gt;0, ROUND($I213-Intereses_Leasing_Mensual!N213, 2), "")</f>
        <v/>
      </c>
      <c r="P213" s="23">
        <f>IF(Intereses_Leasing_Mensual!O213&gt;0, ROUND($I213-Intereses_Leasing_Mensual!O213, 2), "")</f>
        <v/>
      </c>
      <c r="Q213" s="23">
        <f>IF(Intereses_Leasing_Mensual!P213&gt;0, ROUND($I213-Intereses_Leasing_Mensual!P213, 2), "")</f>
        <v/>
      </c>
      <c r="R213" s="23">
        <f>IF(Intereses_Leasing_Mensual!Q213&gt;0, ROUND($I213-Intereses_Leasing_Mensual!Q213, 2), "")</f>
        <v/>
      </c>
      <c r="S213" s="23">
        <f>IF(Intereses_Leasing_Mensual!R213&gt;0, ROUND($I213-Intereses_Leasing_Mensual!R213, 2), "")</f>
        <v/>
      </c>
      <c r="T213" s="23">
        <f>IF(Intereses_Leasing_Mensual!S213&gt;0, ROUND($I213-Intereses_Leasing_Mensual!S213, 2), "")</f>
        <v/>
      </c>
      <c r="U213" s="23">
        <f>IF(Intereses_Leasing_Mensual!T213&gt;0, ROUND($I213-Intereses_Leasing_Mensual!T213, 2), "")</f>
        <v/>
      </c>
      <c r="V213" s="23">
        <f>SUM(J213:U213)</f>
        <v/>
      </c>
    </row>
    <row r="214">
      <c r="A214" s="26" t="inlineStr">
        <is>
          <t>0730-0001</t>
        </is>
      </c>
      <c r="B214" s="27" t="inlineStr">
        <is>
          <t>Karen Manrique Amaya</t>
        </is>
      </c>
      <c r="C214" s="27" t="inlineStr">
        <is>
          <t>Wrangler</t>
        </is>
      </c>
      <c r="D214" s="26" t="inlineStr">
        <is>
          <t>ACTIVO</t>
        </is>
      </c>
      <c r="E214" s="26" t="inlineStr">
        <is>
          <t>2025-11-24</t>
        </is>
      </c>
      <c r="F214" s="26" t="inlineStr">
        <is>
          <t>2028-11-24</t>
        </is>
      </c>
      <c r="G214" s="28" t="n">
        <v>36</v>
      </c>
      <c r="H214" s="29" t="n">
        <v>884068.97</v>
      </c>
      <c r="I214" s="29" t="n">
        <v>36599.33</v>
      </c>
      <c r="J214" s="29">
        <f>IF(Intereses_Leasing_Mensual!I214&gt;0, ROUND($I214-Intereses_Leasing_Mensual!I214, 2), "")</f>
        <v/>
      </c>
      <c r="K214" s="29">
        <f>IF(Intereses_Leasing_Mensual!J214&gt;0, ROUND($I214-Intereses_Leasing_Mensual!J214, 2), "")</f>
        <v/>
      </c>
      <c r="L214" s="29">
        <f>IF(Intereses_Leasing_Mensual!K214&gt;0, ROUND($I214-Intereses_Leasing_Mensual!K214, 2), "")</f>
        <v/>
      </c>
      <c r="M214" s="29">
        <f>IF(Intereses_Leasing_Mensual!L214&gt;0, ROUND($I214-Intereses_Leasing_Mensual!L214, 2), "")</f>
        <v/>
      </c>
      <c r="N214" s="29">
        <f>IF(Intereses_Leasing_Mensual!M214&gt;0, ROUND($I214-Intereses_Leasing_Mensual!M214, 2), "")</f>
        <v/>
      </c>
      <c r="O214" s="29">
        <f>IF(Intereses_Leasing_Mensual!N214&gt;0, ROUND($I214-Intereses_Leasing_Mensual!N214, 2), "")</f>
        <v/>
      </c>
      <c r="P214" s="29">
        <f>IF(Intereses_Leasing_Mensual!O214&gt;0, ROUND($I214-Intereses_Leasing_Mensual!O214, 2), "")</f>
        <v/>
      </c>
      <c r="Q214" s="29">
        <f>IF(Intereses_Leasing_Mensual!P214&gt;0, ROUND($I214-Intereses_Leasing_Mensual!P214, 2), "")</f>
        <v/>
      </c>
      <c r="R214" s="29">
        <f>IF(Intereses_Leasing_Mensual!Q214&gt;0, ROUND($I214-Intereses_Leasing_Mensual!Q214, 2), "")</f>
        <v/>
      </c>
      <c r="S214" s="29">
        <f>IF(Intereses_Leasing_Mensual!R214&gt;0, ROUND($I214-Intereses_Leasing_Mensual!R214, 2), "")</f>
        <v/>
      </c>
      <c r="T214" s="29">
        <f>IF(Intereses_Leasing_Mensual!S214&gt;0, ROUND($I214-Intereses_Leasing_Mensual!S214, 2), "")</f>
        <v/>
      </c>
      <c r="U214" s="29">
        <f>IF(Intereses_Leasing_Mensual!T214&gt;0, ROUND($I214-Intereses_Leasing_Mensual!T214, 2), "")</f>
        <v/>
      </c>
      <c r="V214" s="29">
        <f>SUM(J214:U214)</f>
        <v/>
      </c>
    </row>
    <row r="215">
      <c r="A215" s="20" t="inlineStr">
        <is>
          <t>0731-0001</t>
        </is>
      </c>
      <c r="B215" s="21" t="inlineStr">
        <is>
          <t>Tesselar Soluciones, S.A. de C.V.</t>
        </is>
      </c>
      <c r="C215" s="21" t="inlineStr">
        <is>
          <t>Song Plus</t>
        </is>
      </c>
      <c r="D215" s="20" t="inlineStr">
        <is>
          <t>ACTIVO</t>
        </is>
      </c>
      <c r="E215" s="20" t="inlineStr">
        <is>
          <t>2025-11-20</t>
        </is>
      </c>
      <c r="F215" s="20" t="inlineStr">
        <is>
          <t>2028-11-20</t>
        </is>
      </c>
      <c r="G215" s="22" t="n">
        <v>36</v>
      </c>
      <c r="H215" s="23" t="n">
        <v>427991.38</v>
      </c>
      <c r="I215" s="23" t="n">
        <v>12956.78</v>
      </c>
      <c r="J215" s="23">
        <f>IF(Intereses_Leasing_Mensual!I215&gt;0, ROUND($I215-Intereses_Leasing_Mensual!I215, 2), "")</f>
        <v/>
      </c>
      <c r="K215" s="23">
        <f>IF(Intereses_Leasing_Mensual!J215&gt;0, ROUND($I215-Intereses_Leasing_Mensual!J215, 2), "")</f>
        <v/>
      </c>
      <c r="L215" s="23">
        <f>IF(Intereses_Leasing_Mensual!K215&gt;0, ROUND($I215-Intereses_Leasing_Mensual!K215, 2), "")</f>
        <v/>
      </c>
      <c r="M215" s="23">
        <f>IF(Intereses_Leasing_Mensual!L215&gt;0, ROUND($I215-Intereses_Leasing_Mensual!L215, 2), "")</f>
        <v/>
      </c>
      <c r="N215" s="23">
        <f>IF(Intereses_Leasing_Mensual!M215&gt;0, ROUND($I215-Intereses_Leasing_Mensual!M215, 2), "")</f>
        <v/>
      </c>
      <c r="O215" s="23">
        <f>IF(Intereses_Leasing_Mensual!N215&gt;0, ROUND($I215-Intereses_Leasing_Mensual!N215, 2), "")</f>
        <v/>
      </c>
      <c r="P215" s="23">
        <f>IF(Intereses_Leasing_Mensual!O215&gt;0, ROUND($I215-Intereses_Leasing_Mensual!O215, 2), "")</f>
        <v/>
      </c>
      <c r="Q215" s="23">
        <f>IF(Intereses_Leasing_Mensual!P215&gt;0, ROUND($I215-Intereses_Leasing_Mensual!P215, 2), "")</f>
        <v/>
      </c>
      <c r="R215" s="23">
        <f>IF(Intereses_Leasing_Mensual!Q215&gt;0, ROUND($I215-Intereses_Leasing_Mensual!Q215, 2), "")</f>
        <v/>
      </c>
      <c r="S215" s="23">
        <f>IF(Intereses_Leasing_Mensual!R215&gt;0, ROUND($I215-Intereses_Leasing_Mensual!R215, 2), "")</f>
        <v/>
      </c>
      <c r="T215" s="23">
        <f>IF(Intereses_Leasing_Mensual!S215&gt;0, ROUND($I215-Intereses_Leasing_Mensual!S215, 2), "")</f>
        <v/>
      </c>
      <c r="U215" s="23">
        <f>IF(Intereses_Leasing_Mensual!T215&gt;0, ROUND($I215-Intereses_Leasing_Mensual!T215, 2), "")</f>
        <v/>
      </c>
      <c r="V215" s="23">
        <f>SUM(J215:U215)</f>
        <v/>
      </c>
    </row>
    <row r="216">
      <c r="A216" s="26" t="inlineStr">
        <is>
          <t>0731-0002</t>
        </is>
      </c>
      <c r="B216" s="27" t="inlineStr">
        <is>
          <t>Tesselar Soluciones, S.A. de C.V.</t>
        </is>
      </c>
      <c r="C216" s="27" t="inlineStr">
        <is>
          <t>Arona Style</t>
        </is>
      </c>
      <c r="D216" s="26" t="inlineStr">
        <is>
          <t>ACTIVO</t>
        </is>
      </c>
      <c r="E216" s="26" t="inlineStr">
        <is>
          <t>2025-12-26</t>
        </is>
      </c>
      <c r="F216" s="26" t="inlineStr">
        <is>
          <t>2029-12-26</t>
        </is>
      </c>
      <c r="G216" s="28" t="n">
        <v>48</v>
      </c>
      <c r="H216" s="29" t="n">
        <v>199987.07</v>
      </c>
      <c r="I216" s="29" t="n">
        <v>5566.59</v>
      </c>
      <c r="J216" s="29">
        <f>IF(Intereses_Leasing_Mensual!I216&gt;0, ROUND($I216-Intereses_Leasing_Mensual!I216, 2), "")</f>
        <v/>
      </c>
      <c r="K216" s="29">
        <f>IF(Intereses_Leasing_Mensual!J216&gt;0, ROUND($I216-Intereses_Leasing_Mensual!J216, 2), "")</f>
        <v/>
      </c>
      <c r="L216" s="29">
        <f>IF(Intereses_Leasing_Mensual!K216&gt;0, ROUND($I216-Intereses_Leasing_Mensual!K216, 2), "")</f>
        <v/>
      </c>
      <c r="M216" s="29">
        <f>IF(Intereses_Leasing_Mensual!L216&gt;0, ROUND($I216-Intereses_Leasing_Mensual!L216, 2), "")</f>
        <v/>
      </c>
      <c r="N216" s="29">
        <f>IF(Intereses_Leasing_Mensual!M216&gt;0, ROUND($I216-Intereses_Leasing_Mensual!M216, 2), "")</f>
        <v/>
      </c>
      <c r="O216" s="29">
        <f>IF(Intereses_Leasing_Mensual!N216&gt;0, ROUND($I216-Intereses_Leasing_Mensual!N216, 2), "")</f>
        <v/>
      </c>
      <c r="P216" s="29">
        <f>IF(Intereses_Leasing_Mensual!O216&gt;0, ROUND($I216-Intereses_Leasing_Mensual!O216, 2), "")</f>
        <v/>
      </c>
      <c r="Q216" s="29">
        <f>IF(Intereses_Leasing_Mensual!P216&gt;0, ROUND($I216-Intereses_Leasing_Mensual!P216, 2), "")</f>
        <v/>
      </c>
      <c r="R216" s="29">
        <f>IF(Intereses_Leasing_Mensual!Q216&gt;0, ROUND($I216-Intereses_Leasing_Mensual!Q216, 2), "")</f>
        <v/>
      </c>
      <c r="S216" s="29">
        <f>IF(Intereses_Leasing_Mensual!R216&gt;0, ROUND($I216-Intereses_Leasing_Mensual!R216, 2), "")</f>
        <v/>
      </c>
      <c r="T216" s="29">
        <f>IF(Intereses_Leasing_Mensual!S216&gt;0, ROUND($I216-Intereses_Leasing_Mensual!S216, 2), "")</f>
        <v/>
      </c>
      <c r="U216" s="29">
        <f>IF(Intereses_Leasing_Mensual!T216&gt;0, ROUND($I216-Intereses_Leasing_Mensual!T216, 2), "")</f>
        <v/>
      </c>
      <c r="V216" s="29">
        <f>SUM(J216:U216)</f>
        <v/>
      </c>
    </row>
    <row r="217">
      <c r="A217" s="20" t="inlineStr">
        <is>
          <t>0732-0001</t>
        </is>
      </c>
      <c r="B217" s="21" t="inlineStr">
        <is>
          <t>Koonol Food Traders, S.A. de C.V.</t>
        </is>
      </c>
      <c r="C217" s="21" t="inlineStr">
        <is>
          <t>K4 Turbo</t>
        </is>
      </c>
      <c r="D217" s="20" t="inlineStr">
        <is>
          <t>ACTIVO</t>
        </is>
      </c>
      <c r="E217" s="20" t="inlineStr">
        <is>
          <t>2025-11-26</t>
        </is>
      </c>
      <c r="F217" s="20" t="inlineStr">
        <is>
          <t>2028-11-26</t>
        </is>
      </c>
      <c r="G217" s="22" t="n">
        <v>36</v>
      </c>
      <c r="H217" s="23" t="n">
        <v>323262.93</v>
      </c>
      <c r="I217" s="23" t="n">
        <v>11198.91</v>
      </c>
      <c r="J217" s="23">
        <f>IF(Intereses_Leasing_Mensual!I217&gt;0, ROUND($I217-Intereses_Leasing_Mensual!I217, 2), "")</f>
        <v/>
      </c>
      <c r="K217" s="23">
        <f>IF(Intereses_Leasing_Mensual!J217&gt;0, ROUND($I217-Intereses_Leasing_Mensual!J217, 2), "")</f>
        <v/>
      </c>
      <c r="L217" s="23">
        <f>IF(Intereses_Leasing_Mensual!K217&gt;0, ROUND($I217-Intereses_Leasing_Mensual!K217, 2), "")</f>
        <v/>
      </c>
      <c r="M217" s="23">
        <f>IF(Intereses_Leasing_Mensual!L217&gt;0, ROUND($I217-Intereses_Leasing_Mensual!L217, 2), "")</f>
        <v/>
      </c>
      <c r="N217" s="23">
        <f>IF(Intereses_Leasing_Mensual!M217&gt;0, ROUND($I217-Intereses_Leasing_Mensual!M217, 2), "")</f>
        <v/>
      </c>
      <c r="O217" s="23">
        <f>IF(Intereses_Leasing_Mensual!N217&gt;0, ROUND($I217-Intereses_Leasing_Mensual!N217, 2), "")</f>
        <v/>
      </c>
      <c r="P217" s="23">
        <f>IF(Intereses_Leasing_Mensual!O217&gt;0, ROUND($I217-Intereses_Leasing_Mensual!O217, 2), "")</f>
        <v/>
      </c>
      <c r="Q217" s="23">
        <f>IF(Intereses_Leasing_Mensual!P217&gt;0, ROUND($I217-Intereses_Leasing_Mensual!P217, 2), "")</f>
        <v/>
      </c>
      <c r="R217" s="23">
        <f>IF(Intereses_Leasing_Mensual!Q217&gt;0, ROUND($I217-Intereses_Leasing_Mensual!Q217, 2), "")</f>
        <v/>
      </c>
      <c r="S217" s="23">
        <f>IF(Intereses_Leasing_Mensual!R217&gt;0, ROUND($I217-Intereses_Leasing_Mensual!R217, 2), "")</f>
        <v/>
      </c>
      <c r="T217" s="23">
        <f>IF(Intereses_Leasing_Mensual!S217&gt;0, ROUND($I217-Intereses_Leasing_Mensual!S217, 2), "")</f>
        <v/>
      </c>
      <c r="U217" s="23">
        <f>IF(Intereses_Leasing_Mensual!T217&gt;0, ROUND($I217-Intereses_Leasing_Mensual!T217, 2), "")</f>
        <v/>
      </c>
      <c r="V217" s="23">
        <f>SUM(J217:U217)</f>
        <v/>
      </c>
    </row>
    <row r="218">
      <c r="A218" s="26" t="inlineStr">
        <is>
          <t>0733-0001</t>
        </is>
      </c>
      <c r="B218" s="27" t="inlineStr">
        <is>
          <t>Alejandro Arias Maldonado</t>
        </is>
      </c>
      <c r="C218" s="27" t="inlineStr">
        <is>
          <t>Wrangler</t>
        </is>
      </c>
      <c r="D218" s="26" t="inlineStr">
        <is>
          <t>ACTIVO</t>
        </is>
      </c>
      <c r="E218" s="26" t="inlineStr">
        <is>
          <t>2025-11-28</t>
        </is>
      </c>
      <c r="F218" s="26" t="inlineStr">
        <is>
          <t>2029-11-28</t>
        </is>
      </c>
      <c r="G218" s="28" t="n">
        <v>48</v>
      </c>
      <c r="H218" s="29" t="n">
        <v>736750</v>
      </c>
      <c r="I218" s="29" t="n">
        <v>26433.36</v>
      </c>
      <c r="J218" s="29">
        <f>IF(Intereses_Leasing_Mensual!I218&gt;0, ROUND($I218-Intereses_Leasing_Mensual!I218, 2), "")</f>
        <v/>
      </c>
      <c r="K218" s="29">
        <f>IF(Intereses_Leasing_Mensual!J218&gt;0, ROUND($I218-Intereses_Leasing_Mensual!J218, 2), "")</f>
        <v/>
      </c>
      <c r="L218" s="29">
        <f>IF(Intereses_Leasing_Mensual!K218&gt;0, ROUND($I218-Intereses_Leasing_Mensual!K218, 2), "")</f>
        <v/>
      </c>
      <c r="M218" s="29">
        <f>IF(Intereses_Leasing_Mensual!L218&gt;0, ROUND($I218-Intereses_Leasing_Mensual!L218, 2), "")</f>
        <v/>
      </c>
      <c r="N218" s="29">
        <f>IF(Intereses_Leasing_Mensual!M218&gt;0, ROUND($I218-Intereses_Leasing_Mensual!M218, 2), "")</f>
        <v/>
      </c>
      <c r="O218" s="29">
        <f>IF(Intereses_Leasing_Mensual!N218&gt;0, ROUND($I218-Intereses_Leasing_Mensual!N218, 2), "")</f>
        <v/>
      </c>
      <c r="P218" s="29">
        <f>IF(Intereses_Leasing_Mensual!O218&gt;0, ROUND($I218-Intereses_Leasing_Mensual!O218, 2), "")</f>
        <v/>
      </c>
      <c r="Q218" s="29">
        <f>IF(Intereses_Leasing_Mensual!P218&gt;0, ROUND($I218-Intereses_Leasing_Mensual!P218, 2), "")</f>
        <v/>
      </c>
      <c r="R218" s="29">
        <f>IF(Intereses_Leasing_Mensual!Q218&gt;0, ROUND($I218-Intereses_Leasing_Mensual!Q218, 2), "")</f>
        <v/>
      </c>
      <c r="S218" s="29">
        <f>IF(Intereses_Leasing_Mensual!R218&gt;0, ROUND($I218-Intereses_Leasing_Mensual!R218, 2), "")</f>
        <v/>
      </c>
      <c r="T218" s="29">
        <f>IF(Intereses_Leasing_Mensual!S218&gt;0, ROUND($I218-Intereses_Leasing_Mensual!S218, 2), "")</f>
        <v/>
      </c>
      <c r="U218" s="29">
        <f>IF(Intereses_Leasing_Mensual!T218&gt;0, ROUND($I218-Intereses_Leasing_Mensual!T218, 2), "")</f>
        <v/>
      </c>
      <c r="V218" s="29">
        <f>SUM(J218:U218)</f>
        <v/>
      </c>
    </row>
    <row r="219">
      <c r="A219" s="20" t="inlineStr">
        <is>
          <t>0734-0001</t>
        </is>
      </c>
      <c r="B219" s="21" t="inlineStr">
        <is>
          <t>Nutrientes Agricolas de Colima, S. de R.L. de C.V.</t>
        </is>
      </c>
      <c r="C219" s="21" t="inlineStr">
        <is>
          <t>1200 TRADESMAN RC</t>
        </is>
      </c>
      <c r="D219" s="20" t="inlineStr">
        <is>
          <t>ACTIVO</t>
        </is>
      </c>
      <c r="E219" s="20" t="inlineStr">
        <is>
          <t>2026-01-06</t>
        </is>
      </c>
      <c r="F219" s="20" t="inlineStr">
        <is>
          <t>2029-01-06</t>
        </is>
      </c>
      <c r="G219" s="22" t="n">
        <v>36</v>
      </c>
      <c r="H219" s="23" t="n">
        <v>313724.14</v>
      </c>
      <c r="I219" s="23" t="n">
        <v>12987.78</v>
      </c>
      <c r="J219" s="23">
        <f>IF(Intereses_Leasing_Mensual!I219&gt;0, ROUND($I219-Intereses_Leasing_Mensual!I219, 2), "")</f>
        <v/>
      </c>
      <c r="K219" s="23">
        <f>IF(Intereses_Leasing_Mensual!J219&gt;0, ROUND($I219-Intereses_Leasing_Mensual!J219, 2), "")</f>
        <v/>
      </c>
      <c r="L219" s="23">
        <f>IF(Intereses_Leasing_Mensual!K219&gt;0, ROUND($I219-Intereses_Leasing_Mensual!K219, 2), "")</f>
        <v/>
      </c>
      <c r="M219" s="23">
        <f>IF(Intereses_Leasing_Mensual!L219&gt;0, ROUND($I219-Intereses_Leasing_Mensual!L219, 2), "")</f>
        <v/>
      </c>
      <c r="N219" s="23">
        <f>IF(Intereses_Leasing_Mensual!M219&gt;0, ROUND($I219-Intereses_Leasing_Mensual!M219, 2), "")</f>
        <v/>
      </c>
      <c r="O219" s="23">
        <f>IF(Intereses_Leasing_Mensual!N219&gt;0, ROUND($I219-Intereses_Leasing_Mensual!N219, 2), "")</f>
        <v/>
      </c>
      <c r="P219" s="23">
        <f>IF(Intereses_Leasing_Mensual!O219&gt;0, ROUND($I219-Intereses_Leasing_Mensual!O219, 2), "")</f>
        <v/>
      </c>
      <c r="Q219" s="23">
        <f>IF(Intereses_Leasing_Mensual!P219&gt;0, ROUND($I219-Intereses_Leasing_Mensual!P219, 2), "")</f>
        <v/>
      </c>
      <c r="R219" s="23">
        <f>IF(Intereses_Leasing_Mensual!Q219&gt;0, ROUND($I219-Intereses_Leasing_Mensual!Q219, 2), "")</f>
        <v/>
      </c>
      <c r="S219" s="23">
        <f>IF(Intereses_Leasing_Mensual!R219&gt;0, ROUND($I219-Intereses_Leasing_Mensual!R219, 2), "")</f>
        <v/>
      </c>
      <c r="T219" s="23">
        <f>IF(Intereses_Leasing_Mensual!S219&gt;0, ROUND($I219-Intereses_Leasing_Mensual!S219, 2), "")</f>
        <v/>
      </c>
      <c r="U219" s="23">
        <f>IF(Intereses_Leasing_Mensual!T219&gt;0, ROUND($I219-Intereses_Leasing_Mensual!T219, 2), "")</f>
        <v/>
      </c>
      <c r="V219" s="23">
        <f>SUM(J219:U219)</f>
        <v/>
      </c>
    </row>
    <row r="220">
      <c r="A220" s="26" t="inlineStr">
        <is>
          <t>0734-0002</t>
        </is>
      </c>
      <c r="B220" s="27" t="inlineStr">
        <is>
          <t>Nutrientes Agricolas de Colima, S. de R.L. de C.V.</t>
        </is>
      </c>
      <c r="C220" s="27" t="inlineStr">
        <is>
          <t>1200 TRADESMAN CHASIS CABINA</t>
        </is>
      </c>
      <c r="D220" s="26" t="inlineStr">
        <is>
          <t>ACTIVO</t>
        </is>
      </c>
      <c r="E220" s="26" t="inlineStr">
        <is>
          <t>2026-01-12</t>
        </is>
      </c>
      <c r="F220" s="26" t="inlineStr">
        <is>
          <t>2029-01-12</t>
        </is>
      </c>
      <c r="G220" s="28" t="n">
        <v>36</v>
      </c>
      <c r="H220" s="29" t="n">
        <v>339475.86</v>
      </c>
      <c r="I220" s="29" t="n">
        <v>14053.87</v>
      </c>
      <c r="J220" s="29">
        <f>IF(Intereses_Leasing_Mensual!I220&gt;0, ROUND($I220-Intereses_Leasing_Mensual!I220, 2), "")</f>
        <v/>
      </c>
      <c r="K220" s="29">
        <f>IF(Intereses_Leasing_Mensual!J220&gt;0, ROUND($I220-Intereses_Leasing_Mensual!J220, 2), "")</f>
        <v/>
      </c>
      <c r="L220" s="29">
        <f>IF(Intereses_Leasing_Mensual!K220&gt;0, ROUND($I220-Intereses_Leasing_Mensual!K220, 2), "")</f>
        <v/>
      </c>
      <c r="M220" s="29">
        <f>IF(Intereses_Leasing_Mensual!L220&gt;0, ROUND($I220-Intereses_Leasing_Mensual!L220, 2), "")</f>
        <v/>
      </c>
      <c r="N220" s="29">
        <f>IF(Intereses_Leasing_Mensual!M220&gt;0, ROUND($I220-Intereses_Leasing_Mensual!M220, 2), "")</f>
        <v/>
      </c>
      <c r="O220" s="29">
        <f>IF(Intereses_Leasing_Mensual!N220&gt;0, ROUND($I220-Intereses_Leasing_Mensual!N220, 2), "")</f>
        <v/>
      </c>
      <c r="P220" s="29">
        <f>IF(Intereses_Leasing_Mensual!O220&gt;0, ROUND($I220-Intereses_Leasing_Mensual!O220, 2), "")</f>
        <v/>
      </c>
      <c r="Q220" s="29">
        <f>IF(Intereses_Leasing_Mensual!P220&gt;0, ROUND($I220-Intereses_Leasing_Mensual!P220, 2), "")</f>
        <v/>
      </c>
      <c r="R220" s="29">
        <f>IF(Intereses_Leasing_Mensual!Q220&gt;0, ROUND($I220-Intereses_Leasing_Mensual!Q220, 2), "")</f>
        <v/>
      </c>
      <c r="S220" s="29">
        <f>IF(Intereses_Leasing_Mensual!R220&gt;0, ROUND($I220-Intereses_Leasing_Mensual!R220, 2), "")</f>
        <v/>
      </c>
      <c r="T220" s="29">
        <f>IF(Intereses_Leasing_Mensual!S220&gt;0, ROUND($I220-Intereses_Leasing_Mensual!S220, 2), "")</f>
        <v/>
      </c>
      <c r="U220" s="29">
        <f>IF(Intereses_Leasing_Mensual!T220&gt;0, ROUND($I220-Intereses_Leasing_Mensual!T220, 2), "")</f>
        <v/>
      </c>
      <c r="V220" s="29">
        <f>SUM(J220:U220)</f>
        <v/>
      </c>
    </row>
    <row r="221">
      <c r="A221" s="20" t="inlineStr">
        <is>
          <t>0735-0001</t>
        </is>
      </c>
      <c r="B221" s="21" t="inlineStr">
        <is>
          <t>Francisco Zepeda Covarrubias</t>
        </is>
      </c>
      <c r="C221" s="21" t="inlineStr">
        <is>
          <t>Territory Trend 1.5L Hibrido</t>
        </is>
      </c>
      <c r="D221" s="20" t="inlineStr">
        <is>
          <t>ACTIVO</t>
        </is>
      </c>
      <c r="E221" s="20" t="inlineStr">
        <is>
          <t>2025-12-04</t>
        </is>
      </c>
      <c r="F221" s="20" t="inlineStr">
        <is>
          <t>2028-12-04</t>
        </is>
      </c>
      <c r="G221" s="22" t="n">
        <v>36</v>
      </c>
      <c r="H221" s="23" t="n">
        <v>482689.66</v>
      </c>
      <c r="I221" s="23" t="n">
        <v>19982.74</v>
      </c>
      <c r="J221" s="23">
        <f>IF(Intereses_Leasing_Mensual!I221&gt;0, ROUND($I221-Intereses_Leasing_Mensual!I221, 2), "")</f>
        <v/>
      </c>
      <c r="K221" s="23">
        <f>IF(Intereses_Leasing_Mensual!J221&gt;0, ROUND($I221-Intereses_Leasing_Mensual!J221, 2), "")</f>
        <v/>
      </c>
      <c r="L221" s="23">
        <f>IF(Intereses_Leasing_Mensual!K221&gt;0, ROUND($I221-Intereses_Leasing_Mensual!K221, 2), "")</f>
        <v/>
      </c>
      <c r="M221" s="23">
        <f>IF(Intereses_Leasing_Mensual!L221&gt;0, ROUND($I221-Intereses_Leasing_Mensual!L221, 2), "")</f>
        <v/>
      </c>
      <c r="N221" s="23">
        <f>IF(Intereses_Leasing_Mensual!M221&gt;0, ROUND($I221-Intereses_Leasing_Mensual!M221, 2), "")</f>
        <v/>
      </c>
      <c r="O221" s="23">
        <f>IF(Intereses_Leasing_Mensual!N221&gt;0, ROUND($I221-Intereses_Leasing_Mensual!N221, 2), "")</f>
        <v/>
      </c>
      <c r="P221" s="23">
        <f>IF(Intereses_Leasing_Mensual!O221&gt;0, ROUND($I221-Intereses_Leasing_Mensual!O221, 2), "")</f>
        <v/>
      </c>
      <c r="Q221" s="23">
        <f>IF(Intereses_Leasing_Mensual!P221&gt;0, ROUND($I221-Intereses_Leasing_Mensual!P221, 2), "")</f>
        <v/>
      </c>
      <c r="R221" s="23">
        <f>IF(Intereses_Leasing_Mensual!Q221&gt;0, ROUND($I221-Intereses_Leasing_Mensual!Q221, 2), "")</f>
        <v/>
      </c>
      <c r="S221" s="23">
        <f>IF(Intereses_Leasing_Mensual!R221&gt;0, ROUND($I221-Intereses_Leasing_Mensual!R221, 2), "")</f>
        <v/>
      </c>
      <c r="T221" s="23">
        <f>IF(Intereses_Leasing_Mensual!S221&gt;0, ROUND($I221-Intereses_Leasing_Mensual!S221, 2), "")</f>
        <v/>
      </c>
      <c r="U221" s="23">
        <f>IF(Intereses_Leasing_Mensual!T221&gt;0, ROUND($I221-Intereses_Leasing_Mensual!T221, 2), "")</f>
        <v/>
      </c>
      <c r="V221" s="23">
        <f>SUM(J221:U221)</f>
        <v/>
      </c>
    </row>
    <row r="222">
      <c r="A222" s="26" t="inlineStr">
        <is>
          <t>0736-0001</t>
        </is>
      </c>
      <c r="B222" s="27" t="inlineStr">
        <is>
          <t>Industrial Castillo de Tequila S.A. de C.V.</t>
        </is>
      </c>
      <c r="C222" s="27" t="inlineStr">
        <is>
          <t>700 TRADESMAN CREW CAB</t>
        </is>
      </c>
      <c r="D222" s="26" t="inlineStr">
        <is>
          <t>ACTIVO</t>
        </is>
      </c>
      <c r="E222" s="26" t="inlineStr">
        <is>
          <t>2025-12-11</t>
        </is>
      </c>
      <c r="F222" s="26" t="inlineStr">
        <is>
          <t>2029-12-11</t>
        </is>
      </c>
      <c r="G222" s="28" t="n">
        <v>48</v>
      </c>
      <c r="H222" s="29" t="n">
        <v>181824.83</v>
      </c>
      <c r="I222" s="29" t="n">
        <v>7302.48</v>
      </c>
      <c r="J222" s="29">
        <f>IF(Intereses_Leasing_Mensual!I222&gt;0, ROUND($I222-Intereses_Leasing_Mensual!I222, 2), "")</f>
        <v/>
      </c>
      <c r="K222" s="29">
        <f>IF(Intereses_Leasing_Mensual!J222&gt;0, ROUND($I222-Intereses_Leasing_Mensual!J222, 2), "")</f>
        <v/>
      </c>
      <c r="L222" s="29">
        <f>IF(Intereses_Leasing_Mensual!K222&gt;0, ROUND($I222-Intereses_Leasing_Mensual!K222, 2), "")</f>
        <v/>
      </c>
      <c r="M222" s="29">
        <f>IF(Intereses_Leasing_Mensual!L222&gt;0, ROUND($I222-Intereses_Leasing_Mensual!L222, 2), "")</f>
        <v/>
      </c>
      <c r="N222" s="29">
        <f>IF(Intereses_Leasing_Mensual!M222&gt;0, ROUND($I222-Intereses_Leasing_Mensual!M222, 2), "")</f>
        <v/>
      </c>
      <c r="O222" s="29">
        <f>IF(Intereses_Leasing_Mensual!N222&gt;0, ROUND($I222-Intereses_Leasing_Mensual!N222, 2), "")</f>
        <v/>
      </c>
      <c r="P222" s="29">
        <f>IF(Intereses_Leasing_Mensual!O222&gt;0, ROUND($I222-Intereses_Leasing_Mensual!O222, 2), "")</f>
        <v/>
      </c>
      <c r="Q222" s="29">
        <f>IF(Intereses_Leasing_Mensual!P222&gt;0, ROUND($I222-Intereses_Leasing_Mensual!P222, 2), "")</f>
        <v/>
      </c>
      <c r="R222" s="29">
        <f>IF(Intereses_Leasing_Mensual!Q222&gt;0, ROUND($I222-Intereses_Leasing_Mensual!Q222, 2), "")</f>
        <v/>
      </c>
      <c r="S222" s="29">
        <f>IF(Intereses_Leasing_Mensual!R222&gt;0, ROUND($I222-Intereses_Leasing_Mensual!R222, 2), "")</f>
        <v/>
      </c>
      <c r="T222" s="29">
        <f>IF(Intereses_Leasing_Mensual!S222&gt;0, ROUND($I222-Intereses_Leasing_Mensual!S222, 2), "")</f>
        <v/>
      </c>
      <c r="U222" s="29">
        <f>IF(Intereses_Leasing_Mensual!T222&gt;0, ROUND($I222-Intereses_Leasing_Mensual!T222, 2), "")</f>
        <v/>
      </c>
      <c r="V222" s="29">
        <f>SUM(J222:U222)</f>
        <v/>
      </c>
    </row>
    <row r="223">
      <c r="A223" s="20" t="inlineStr">
        <is>
          <t>0737-0001</t>
        </is>
      </c>
      <c r="B223" s="21" t="inlineStr">
        <is>
          <t>Nicola Briani</t>
        </is>
      </c>
      <c r="C223" s="21" t="inlineStr">
        <is>
          <t>T1 Savage</t>
        </is>
      </c>
      <c r="D223" s="20" t="inlineStr">
        <is>
          <t>ACTIVO</t>
        </is>
      </c>
      <c r="E223" s="20" t="inlineStr">
        <is>
          <t>2025-12-12</t>
        </is>
      </c>
      <c r="F223" s="20" t="inlineStr">
        <is>
          <t>2029-12-12</t>
        </is>
      </c>
      <c r="G223" s="22" t="n">
        <v>48</v>
      </c>
      <c r="H223" s="23" t="n">
        <v>392181.03</v>
      </c>
      <c r="I223" s="23" t="n">
        <v>14070.8</v>
      </c>
      <c r="J223" s="23">
        <f>IF(Intereses_Leasing_Mensual!I223&gt;0, ROUND($I223-Intereses_Leasing_Mensual!I223, 2), "")</f>
        <v/>
      </c>
      <c r="K223" s="23">
        <f>IF(Intereses_Leasing_Mensual!J223&gt;0, ROUND($I223-Intereses_Leasing_Mensual!J223, 2), "")</f>
        <v/>
      </c>
      <c r="L223" s="23">
        <f>IF(Intereses_Leasing_Mensual!K223&gt;0, ROUND($I223-Intereses_Leasing_Mensual!K223, 2), "")</f>
        <v/>
      </c>
      <c r="M223" s="23">
        <f>IF(Intereses_Leasing_Mensual!L223&gt;0, ROUND($I223-Intereses_Leasing_Mensual!L223, 2), "")</f>
        <v/>
      </c>
      <c r="N223" s="23">
        <f>IF(Intereses_Leasing_Mensual!M223&gt;0, ROUND($I223-Intereses_Leasing_Mensual!M223, 2), "")</f>
        <v/>
      </c>
      <c r="O223" s="23">
        <f>IF(Intereses_Leasing_Mensual!N223&gt;0, ROUND($I223-Intereses_Leasing_Mensual!N223, 2), "")</f>
        <v/>
      </c>
      <c r="P223" s="23">
        <f>IF(Intereses_Leasing_Mensual!O223&gt;0, ROUND($I223-Intereses_Leasing_Mensual!O223, 2), "")</f>
        <v/>
      </c>
      <c r="Q223" s="23">
        <f>IF(Intereses_Leasing_Mensual!P223&gt;0, ROUND($I223-Intereses_Leasing_Mensual!P223, 2), "")</f>
        <v/>
      </c>
      <c r="R223" s="23">
        <f>IF(Intereses_Leasing_Mensual!Q223&gt;0, ROUND($I223-Intereses_Leasing_Mensual!Q223, 2), "")</f>
        <v/>
      </c>
      <c r="S223" s="23">
        <f>IF(Intereses_Leasing_Mensual!R223&gt;0, ROUND($I223-Intereses_Leasing_Mensual!R223, 2), "")</f>
        <v/>
      </c>
      <c r="T223" s="23">
        <f>IF(Intereses_Leasing_Mensual!S223&gt;0, ROUND($I223-Intereses_Leasing_Mensual!S223, 2), "")</f>
        <v/>
      </c>
      <c r="U223" s="23">
        <f>IF(Intereses_Leasing_Mensual!T223&gt;0, ROUND($I223-Intereses_Leasing_Mensual!T223, 2), "")</f>
        <v/>
      </c>
      <c r="V223" s="23">
        <f>SUM(J223:U223)</f>
        <v/>
      </c>
    </row>
    <row r="224">
      <c r="A224" s="26" t="inlineStr">
        <is>
          <t>0738-0001</t>
        </is>
      </c>
      <c r="B224" s="27" t="inlineStr">
        <is>
          <t>Vinaria Distribución S.A.S.</t>
        </is>
      </c>
      <c r="C224" s="27" t="inlineStr">
        <is>
          <t>700 BIGHORN "S" CREW CAB CVT</t>
        </is>
      </c>
      <c r="D224" s="26" t="inlineStr">
        <is>
          <t>ACTIVO</t>
        </is>
      </c>
      <c r="E224" s="26" t="inlineStr">
        <is>
          <t>2025-12-24</t>
        </is>
      </c>
      <c r="F224" s="26" t="inlineStr">
        <is>
          <t>2028-12-24</t>
        </is>
      </c>
      <c r="G224" s="28" t="n">
        <v>36</v>
      </c>
      <c r="H224" s="29" t="n">
        <v>260025.86</v>
      </c>
      <c r="I224" s="29" t="n">
        <v>10678.55</v>
      </c>
      <c r="J224" s="29">
        <f>IF(Intereses_Leasing_Mensual!I224&gt;0, ROUND($I224-Intereses_Leasing_Mensual!I224, 2), "")</f>
        <v/>
      </c>
      <c r="K224" s="29">
        <f>IF(Intereses_Leasing_Mensual!J224&gt;0, ROUND($I224-Intereses_Leasing_Mensual!J224, 2), "")</f>
        <v/>
      </c>
      <c r="L224" s="29">
        <f>IF(Intereses_Leasing_Mensual!K224&gt;0, ROUND($I224-Intereses_Leasing_Mensual!K224, 2), "")</f>
        <v/>
      </c>
      <c r="M224" s="29">
        <f>IF(Intereses_Leasing_Mensual!L224&gt;0, ROUND($I224-Intereses_Leasing_Mensual!L224, 2), "")</f>
        <v/>
      </c>
      <c r="N224" s="29">
        <f>IF(Intereses_Leasing_Mensual!M224&gt;0, ROUND($I224-Intereses_Leasing_Mensual!M224, 2), "")</f>
        <v/>
      </c>
      <c r="O224" s="29">
        <f>IF(Intereses_Leasing_Mensual!N224&gt;0, ROUND($I224-Intereses_Leasing_Mensual!N224, 2), "")</f>
        <v/>
      </c>
      <c r="P224" s="29">
        <f>IF(Intereses_Leasing_Mensual!O224&gt;0, ROUND($I224-Intereses_Leasing_Mensual!O224, 2), "")</f>
        <v/>
      </c>
      <c r="Q224" s="29">
        <f>IF(Intereses_Leasing_Mensual!P224&gt;0, ROUND($I224-Intereses_Leasing_Mensual!P224, 2), "")</f>
        <v/>
      </c>
      <c r="R224" s="29">
        <f>IF(Intereses_Leasing_Mensual!Q224&gt;0, ROUND($I224-Intereses_Leasing_Mensual!Q224, 2), "")</f>
        <v/>
      </c>
      <c r="S224" s="29">
        <f>IF(Intereses_Leasing_Mensual!R224&gt;0, ROUND($I224-Intereses_Leasing_Mensual!R224, 2), "")</f>
        <v/>
      </c>
      <c r="T224" s="29">
        <f>IF(Intereses_Leasing_Mensual!S224&gt;0, ROUND($I224-Intereses_Leasing_Mensual!S224, 2), "")</f>
        <v/>
      </c>
      <c r="U224" s="29">
        <f>IF(Intereses_Leasing_Mensual!T224&gt;0, ROUND($I224-Intereses_Leasing_Mensual!T224, 2), "")</f>
        <v/>
      </c>
      <c r="V224" s="29">
        <f>SUM(J224:U224)</f>
        <v/>
      </c>
    </row>
    <row r="225">
      <c r="A225" s="20" t="inlineStr">
        <is>
          <t>0739-0001</t>
        </is>
      </c>
      <c r="B225" s="21" t="inlineStr">
        <is>
          <t>Miriam Patricia López Flores</t>
        </is>
      </c>
      <c r="C225" s="21" t="inlineStr">
        <is>
          <t>Jeep Wrangler Unlimited Rubicon</t>
        </is>
      </c>
      <c r="D225" s="20" t="inlineStr">
        <is>
          <t>ACTIVO</t>
        </is>
      </c>
      <c r="E225" s="20" t="inlineStr">
        <is>
          <t>2025-12-23</t>
        </is>
      </c>
      <c r="F225" s="20" t="inlineStr">
        <is>
          <t>2029-12-23</t>
        </is>
      </c>
      <c r="G225" s="22" t="n">
        <v>48</v>
      </c>
      <c r="H225" s="23" t="n">
        <v>1054891.73</v>
      </c>
      <c r="I225" s="23" t="n">
        <v>38006.09</v>
      </c>
      <c r="J225" s="23">
        <f>IF(Intereses_Leasing_Mensual!I225&gt;0, ROUND($I225-Intereses_Leasing_Mensual!I225, 2), "")</f>
        <v/>
      </c>
      <c r="K225" s="23">
        <f>IF(Intereses_Leasing_Mensual!J225&gt;0, ROUND($I225-Intereses_Leasing_Mensual!J225, 2), "")</f>
        <v/>
      </c>
      <c r="L225" s="23">
        <f>IF(Intereses_Leasing_Mensual!K225&gt;0, ROUND($I225-Intereses_Leasing_Mensual!K225, 2), "")</f>
        <v/>
      </c>
      <c r="M225" s="23">
        <f>IF(Intereses_Leasing_Mensual!L225&gt;0, ROUND($I225-Intereses_Leasing_Mensual!L225, 2), "")</f>
        <v/>
      </c>
      <c r="N225" s="23">
        <f>IF(Intereses_Leasing_Mensual!M225&gt;0, ROUND($I225-Intereses_Leasing_Mensual!M225, 2), "")</f>
        <v/>
      </c>
      <c r="O225" s="23">
        <f>IF(Intereses_Leasing_Mensual!N225&gt;0, ROUND($I225-Intereses_Leasing_Mensual!N225, 2), "")</f>
        <v/>
      </c>
      <c r="P225" s="23">
        <f>IF(Intereses_Leasing_Mensual!O225&gt;0, ROUND($I225-Intereses_Leasing_Mensual!O225, 2), "")</f>
        <v/>
      </c>
      <c r="Q225" s="23">
        <f>IF(Intereses_Leasing_Mensual!P225&gt;0, ROUND($I225-Intereses_Leasing_Mensual!P225, 2), "")</f>
        <v/>
      </c>
      <c r="R225" s="23">
        <f>IF(Intereses_Leasing_Mensual!Q225&gt;0, ROUND($I225-Intereses_Leasing_Mensual!Q225, 2), "")</f>
        <v/>
      </c>
      <c r="S225" s="23">
        <f>IF(Intereses_Leasing_Mensual!R225&gt;0, ROUND($I225-Intereses_Leasing_Mensual!R225, 2), "")</f>
        <v/>
      </c>
      <c r="T225" s="23">
        <f>IF(Intereses_Leasing_Mensual!S225&gt;0, ROUND($I225-Intereses_Leasing_Mensual!S225, 2), "")</f>
        <v/>
      </c>
      <c r="U225" s="23">
        <f>IF(Intereses_Leasing_Mensual!T225&gt;0, ROUND($I225-Intereses_Leasing_Mensual!T225, 2), "")</f>
        <v/>
      </c>
      <c r="V225" s="23">
        <f>SUM(J225:U225)</f>
        <v/>
      </c>
    </row>
    <row r="226">
      <c r="A226" s="26" t="inlineStr">
        <is>
          <t>0740-0001</t>
        </is>
      </c>
      <c r="B226" s="27" t="inlineStr">
        <is>
          <t>Sanatorio Versalles de Guadalajara</t>
        </is>
      </c>
      <c r="C226" s="27" t="inlineStr">
        <is>
          <t>1200 Bighorn</t>
        </is>
      </c>
      <c r="D226" s="26" t="inlineStr">
        <is>
          <t>ACTIVO</t>
        </is>
      </c>
      <c r="E226" s="26" t="inlineStr">
        <is>
          <t>2025-12-30</t>
        </is>
      </c>
      <c r="F226" s="26" t="inlineStr">
        <is>
          <t>2026-12-30</t>
        </is>
      </c>
      <c r="G226" s="28" t="n">
        <v>12</v>
      </c>
      <c r="H226" s="29" t="n">
        <v>294775.86</v>
      </c>
      <c r="I226" s="29" t="n">
        <v>25017.44</v>
      </c>
      <c r="J226" s="29">
        <f>IF(Intereses_Leasing_Mensual!I226&gt;0, ROUND($I226-Intereses_Leasing_Mensual!I226, 2), "")</f>
        <v/>
      </c>
      <c r="K226" s="29">
        <f>IF(Intereses_Leasing_Mensual!J226&gt;0, ROUND($I226-Intereses_Leasing_Mensual!J226, 2), "")</f>
        <v/>
      </c>
      <c r="L226" s="29">
        <f>IF(Intereses_Leasing_Mensual!K226&gt;0, ROUND($I226-Intereses_Leasing_Mensual!K226, 2), "")</f>
        <v/>
      </c>
      <c r="M226" s="29">
        <f>IF(Intereses_Leasing_Mensual!L226&gt;0, ROUND($I226-Intereses_Leasing_Mensual!L226, 2), "")</f>
        <v/>
      </c>
      <c r="N226" s="29">
        <f>IF(Intereses_Leasing_Mensual!M226&gt;0, ROUND($I226-Intereses_Leasing_Mensual!M226, 2), "")</f>
        <v/>
      </c>
      <c r="O226" s="29">
        <f>IF(Intereses_Leasing_Mensual!N226&gt;0, ROUND($I226-Intereses_Leasing_Mensual!N226, 2), "")</f>
        <v/>
      </c>
      <c r="P226" s="29">
        <f>IF(Intereses_Leasing_Mensual!O226&gt;0, ROUND($I226-Intereses_Leasing_Mensual!O226, 2), "")</f>
        <v/>
      </c>
      <c r="Q226" s="29">
        <f>IF(Intereses_Leasing_Mensual!P226&gt;0, ROUND($I226-Intereses_Leasing_Mensual!P226, 2), "")</f>
        <v/>
      </c>
      <c r="R226" s="29">
        <f>IF(Intereses_Leasing_Mensual!Q226&gt;0, ROUND($I226-Intereses_Leasing_Mensual!Q226, 2), "")</f>
        <v/>
      </c>
      <c r="S226" s="29">
        <f>IF(Intereses_Leasing_Mensual!R226&gt;0, ROUND($I226-Intereses_Leasing_Mensual!R226, 2), "")</f>
        <v/>
      </c>
      <c r="T226" s="29">
        <f>IF(Intereses_Leasing_Mensual!S226&gt;0, ROUND($I226-Intereses_Leasing_Mensual!S226, 2), "")</f>
        <v/>
      </c>
      <c r="U226" s="29" t="inlineStr"/>
      <c r="V226" s="29">
        <f>SUM(J226:U226)</f>
        <v/>
      </c>
    </row>
    <row r="227">
      <c r="A227" s="20" t="inlineStr">
        <is>
          <t>0741-0001</t>
        </is>
      </c>
      <c r="B227" s="21" t="inlineStr">
        <is>
          <t>Alvaró Agustin Navarro Castellón</t>
        </is>
      </c>
      <c r="C227" s="21" t="inlineStr">
        <is>
          <t>Manager Furgon L4H2</t>
        </is>
      </c>
      <c r="D227" s="20" t="inlineStr">
        <is>
          <t>ACTIVO</t>
        </is>
      </c>
      <c r="E227" s="20" t="inlineStr">
        <is>
          <t>2025-12-31</t>
        </is>
      </c>
      <c r="F227" s="20" t="inlineStr">
        <is>
          <t>2029-12-31</t>
        </is>
      </c>
      <c r="G227" s="22" t="n">
        <v>48</v>
      </c>
      <c r="H227" s="23" t="n">
        <v>680353.45</v>
      </c>
      <c r="I227" s="23" t="n">
        <v>24606.31</v>
      </c>
      <c r="J227" s="23">
        <f>IF(Intereses_Leasing_Mensual!I227&gt;0, ROUND($I227-Intereses_Leasing_Mensual!I227, 2), "")</f>
        <v/>
      </c>
      <c r="K227" s="23">
        <f>IF(Intereses_Leasing_Mensual!J227&gt;0, ROUND($I227-Intereses_Leasing_Mensual!J227, 2), "")</f>
        <v/>
      </c>
      <c r="L227" s="23">
        <f>IF(Intereses_Leasing_Mensual!K227&gt;0, ROUND($I227-Intereses_Leasing_Mensual!K227, 2), "")</f>
        <v/>
      </c>
      <c r="M227" s="23">
        <f>IF(Intereses_Leasing_Mensual!L227&gt;0, ROUND($I227-Intereses_Leasing_Mensual!L227, 2), "")</f>
        <v/>
      </c>
      <c r="N227" s="23">
        <f>IF(Intereses_Leasing_Mensual!M227&gt;0, ROUND($I227-Intereses_Leasing_Mensual!M227, 2), "")</f>
        <v/>
      </c>
      <c r="O227" s="23">
        <f>IF(Intereses_Leasing_Mensual!N227&gt;0, ROUND($I227-Intereses_Leasing_Mensual!N227, 2), "")</f>
        <v/>
      </c>
      <c r="P227" s="23">
        <f>IF(Intereses_Leasing_Mensual!O227&gt;0, ROUND($I227-Intereses_Leasing_Mensual!O227, 2), "")</f>
        <v/>
      </c>
      <c r="Q227" s="23">
        <f>IF(Intereses_Leasing_Mensual!P227&gt;0, ROUND($I227-Intereses_Leasing_Mensual!P227, 2), "")</f>
        <v/>
      </c>
      <c r="R227" s="23">
        <f>IF(Intereses_Leasing_Mensual!Q227&gt;0, ROUND($I227-Intereses_Leasing_Mensual!Q227, 2), "")</f>
        <v/>
      </c>
      <c r="S227" s="23">
        <f>IF(Intereses_Leasing_Mensual!R227&gt;0, ROUND($I227-Intereses_Leasing_Mensual!R227, 2), "")</f>
        <v/>
      </c>
      <c r="T227" s="23">
        <f>IF(Intereses_Leasing_Mensual!S227&gt;0, ROUND($I227-Intereses_Leasing_Mensual!S227, 2), "")</f>
        <v/>
      </c>
      <c r="U227" s="23">
        <f>IF(Intereses_Leasing_Mensual!T227&gt;0, ROUND($I227-Intereses_Leasing_Mensual!T227, 2), "")</f>
        <v/>
      </c>
      <c r="V227" s="23">
        <f>SUM(J227:U227)</f>
        <v/>
      </c>
    </row>
    <row r="228">
      <c r="A228" s="26" t="inlineStr">
        <is>
          <t>0742-0001</t>
        </is>
      </c>
      <c r="B228" s="27" t="inlineStr">
        <is>
          <t>Universidad de las Américas y el Caribe, S.C.</t>
        </is>
      </c>
      <c r="C228" s="27" t="inlineStr">
        <is>
          <t>700 BIGHORN "S" CREW CAB MT</t>
        </is>
      </c>
      <c r="D228" s="26" t="inlineStr">
        <is>
          <t>ACTIVO</t>
        </is>
      </c>
      <c r="E228" s="26" t="inlineStr">
        <is>
          <t>2026-01-07</t>
        </is>
      </c>
      <c r="F228" s="26" t="inlineStr">
        <is>
          <t>2029-01-07</t>
        </is>
      </c>
      <c r="G228" s="28" t="n">
        <v>36</v>
      </c>
      <c r="H228" s="29" t="n">
        <v>296443.71</v>
      </c>
      <c r="I228" s="29" t="n">
        <v>11801.5</v>
      </c>
      <c r="J228" s="29">
        <f>IF(Intereses_Leasing_Mensual!I228&gt;0, ROUND($I228-Intereses_Leasing_Mensual!I228, 2), "")</f>
        <v/>
      </c>
      <c r="K228" s="29">
        <f>IF(Intereses_Leasing_Mensual!J228&gt;0, ROUND($I228-Intereses_Leasing_Mensual!J228, 2), "")</f>
        <v/>
      </c>
      <c r="L228" s="29">
        <f>IF(Intereses_Leasing_Mensual!K228&gt;0, ROUND($I228-Intereses_Leasing_Mensual!K228, 2), "")</f>
        <v/>
      </c>
      <c r="M228" s="29">
        <f>IF(Intereses_Leasing_Mensual!L228&gt;0, ROUND($I228-Intereses_Leasing_Mensual!L228, 2), "")</f>
        <v/>
      </c>
      <c r="N228" s="29">
        <f>IF(Intereses_Leasing_Mensual!M228&gt;0, ROUND($I228-Intereses_Leasing_Mensual!M228, 2), "")</f>
        <v/>
      </c>
      <c r="O228" s="29">
        <f>IF(Intereses_Leasing_Mensual!N228&gt;0, ROUND($I228-Intereses_Leasing_Mensual!N228, 2), "")</f>
        <v/>
      </c>
      <c r="P228" s="29">
        <f>IF(Intereses_Leasing_Mensual!O228&gt;0, ROUND($I228-Intereses_Leasing_Mensual!O228, 2), "")</f>
        <v/>
      </c>
      <c r="Q228" s="29">
        <f>IF(Intereses_Leasing_Mensual!P228&gt;0, ROUND($I228-Intereses_Leasing_Mensual!P228, 2), "")</f>
        <v/>
      </c>
      <c r="R228" s="29">
        <f>IF(Intereses_Leasing_Mensual!Q228&gt;0, ROUND($I228-Intereses_Leasing_Mensual!Q228, 2), "")</f>
        <v/>
      </c>
      <c r="S228" s="29">
        <f>IF(Intereses_Leasing_Mensual!R228&gt;0, ROUND($I228-Intereses_Leasing_Mensual!R228, 2), "")</f>
        <v/>
      </c>
      <c r="T228" s="29">
        <f>IF(Intereses_Leasing_Mensual!S228&gt;0, ROUND($I228-Intereses_Leasing_Mensual!S228, 2), "")</f>
        <v/>
      </c>
      <c r="U228" s="29">
        <f>IF(Intereses_Leasing_Mensual!T228&gt;0, ROUND($I228-Intereses_Leasing_Mensual!T228, 2), "")</f>
        <v/>
      </c>
      <c r="V228" s="29">
        <f>SUM(J228:U228)</f>
        <v/>
      </c>
    </row>
    <row r="229">
      <c r="A229" s="20" t="inlineStr">
        <is>
          <t>0742-0002</t>
        </is>
      </c>
      <c r="B229" s="21" t="inlineStr">
        <is>
          <t>Universidad de las Américas y el Caribe, S.C.</t>
        </is>
      </c>
      <c r="C229" s="21" t="inlineStr">
        <is>
          <t>700 BIGHORN "S" CREW CAB CVT</t>
        </is>
      </c>
      <c r="D229" s="20" t="inlineStr">
        <is>
          <t>ACTIVO</t>
        </is>
      </c>
      <c r="E229" s="20" t="inlineStr">
        <is>
          <t>2026-01-07</t>
        </is>
      </c>
      <c r="F229" s="20" t="inlineStr">
        <is>
          <t>2029-01-07</t>
        </is>
      </c>
      <c r="G229" s="22" t="n">
        <v>36</v>
      </c>
      <c r="H229" s="23" t="n">
        <v>324289.39</v>
      </c>
      <c r="I229" s="23" t="n">
        <v>12910.04</v>
      </c>
      <c r="J229" s="23">
        <f>IF(Intereses_Leasing_Mensual!I229&gt;0, ROUND($I229-Intereses_Leasing_Mensual!I229, 2), "")</f>
        <v/>
      </c>
      <c r="K229" s="23">
        <f>IF(Intereses_Leasing_Mensual!J229&gt;0, ROUND($I229-Intereses_Leasing_Mensual!J229, 2), "")</f>
        <v/>
      </c>
      <c r="L229" s="23">
        <f>IF(Intereses_Leasing_Mensual!K229&gt;0, ROUND($I229-Intereses_Leasing_Mensual!K229, 2), "")</f>
        <v/>
      </c>
      <c r="M229" s="23">
        <f>IF(Intereses_Leasing_Mensual!L229&gt;0, ROUND($I229-Intereses_Leasing_Mensual!L229, 2), "")</f>
        <v/>
      </c>
      <c r="N229" s="23">
        <f>IF(Intereses_Leasing_Mensual!M229&gt;0, ROUND($I229-Intereses_Leasing_Mensual!M229, 2), "")</f>
        <v/>
      </c>
      <c r="O229" s="23">
        <f>IF(Intereses_Leasing_Mensual!N229&gt;0, ROUND($I229-Intereses_Leasing_Mensual!N229, 2), "")</f>
        <v/>
      </c>
      <c r="P229" s="23">
        <f>IF(Intereses_Leasing_Mensual!O229&gt;0, ROUND($I229-Intereses_Leasing_Mensual!O229, 2), "")</f>
        <v/>
      </c>
      <c r="Q229" s="23">
        <f>IF(Intereses_Leasing_Mensual!P229&gt;0, ROUND($I229-Intereses_Leasing_Mensual!P229, 2), "")</f>
        <v/>
      </c>
      <c r="R229" s="23">
        <f>IF(Intereses_Leasing_Mensual!Q229&gt;0, ROUND($I229-Intereses_Leasing_Mensual!Q229, 2), "")</f>
        <v/>
      </c>
      <c r="S229" s="23">
        <f>IF(Intereses_Leasing_Mensual!R229&gt;0, ROUND($I229-Intereses_Leasing_Mensual!R229, 2), "")</f>
        <v/>
      </c>
      <c r="T229" s="23">
        <f>IF(Intereses_Leasing_Mensual!S229&gt;0, ROUND($I229-Intereses_Leasing_Mensual!S229, 2), "")</f>
        <v/>
      </c>
      <c r="U229" s="23">
        <f>IF(Intereses_Leasing_Mensual!T229&gt;0, ROUND($I229-Intereses_Leasing_Mensual!T229, 2), "")</f>
        <v/>
      </c>
      <c r="V229" s="23">
        <f>SUM(J229:U229)</f>
        <v/>
      </c>
    </row>
    <row r="230">
      <c r="A230" s="26" t="inlineStr">
        <is>
          <t>0743-0001</t>
        </is>
      </c>
      <c r="B230" s="27" t="inlineStr">
        <is>
          <t>IEM Soluciones Integrales, S.C.</t>
        </is>
      </c>
      <c r="C230" s="27" t="inlineStr">
        <is>
          <t>1200 BIGHORN CC</t>
        </is>
      </c>
      <c r="D230" s="26" t="inlineStr">
        <is>
          <t>ACTIVO</t>
        </is>
      </c>
      <c r="E230" s="26" t="inlineStr">
        <is>
          <t>2026-01-23</t>
        </is>
      </c>
      <c r="F230" s="26" t="inlineStr">
        <is>
          <t>2029-01-23</t>
        </is>
      </c>
      <c r="G230" s="28" t="n">
        <v>36</v>
      </c>
      <c r="H230" s="29" t="n">
        <v>294775.86</v>
      </c>
      <c r="I230" s="29" t="n">
        <v>12002.67</v>
      </c>
      <c r="J230" s="29">
        <f>IF(Intereses_Leasing_Mensual!I230&gt;0, ROUND($I230-Intereses_Leasing_Mensual!I230, 2), "")</f>
        <v/>
      </c>
      <c r="K230" s="29">
        <f>IF(Intereses_Leasing_Mensual!J230&gt;0, ROUND($I230-Intereses_Leasing_Mensual!J230, 2), "")</f>
        <v/>
      </c>
      <c r="L230" s="29">
        <f>IF(Intereses_Leasing_Mensual!K230&gt;0, ROUND($I230-Intereses_Leasing_Mensual!K230, 2), "")</f>
        <v/>
      </c>
      <c r="M230" s="29">
        <f>IF(Intereses_Leasing_Mensual!L230&gt;0, ROUND($I230-Intereses_Leasing_Mensual!L230, 2), "")</f>
        <v/>
      </c>
      <c r="N230" s="29">
        <f>IF(Intereses_Leasing_Mensual!M230&gt;0, ROUND($I230-Intereses_Leasing_Mensual!M230, 2), "")</f>
        <v/>
      </c>
      <c r="O230" s="29">
        <f>IF(Intereses_Leasing_Mensual!N230&gt;0, ROUND($I230-Intereses_Leasing_Mensual!N230, 2), "")</f>
        <v/>
      </c>
      <c r="P230" s="29">
        <f>IF(Intereses_Leasing_Mensual!O230&gt;0, ROUND($I230-Intereses_Leasing_Mensual!O230, 2), "")</f>
        <v/>
      </c>
      <c r="Q230" s="29">
        <f>IF(Intereses_Leasing_Mensual!P230&gt;0, ROUND($I230-Intereses_Leasing_Mensual!P230, 2), "")</f>
        <v/>
      </c>
      <c r="R230" s="29">
        <f>IF(Intereses_Leasing_Mensual!Q230&gt;0, ROUND($I230-Intereses_Leasing_Mensual!Q230, 2), "")</f>
        <v/>
      </c>
      <c r="S230" s="29">
        <f>IF(Intereses_Leasing_Mensual!R230&gt;0, ROUND($I230-Intereses_Leasing_Mensual!R230, 2), "")</f>
        <v/>
      </c>
      <c r="T230" s="29">
        <f>IF(Intereses_Leasing_Mensual!S230&gt;0, ROUND($I230-Intereses_Leasing_Mensual!S230, 2), "")</f>
        <v/>
      </c>
      <c r="U230" s="29">
        <f>IF(Intereses_Leasing_Mensual!T230&gt;0, ROUND($I230-Intereses_Leasing_Mensual!T230, 2), "")</f>
        <v/>
      </c>
      <c r="V230" s="29">
        <f>SUM(J230:U230)</f>
        <v/>
      </c>
    </row>
    <row r="231">
      <c r="A231" s="20" t="inlineStr">
        <is>
          <t>0744-0001</t>
        </is>
      </c>
      <c r="B231" s="21" t="inlineStr">
        <is>
          <t>H&amp;A Edicon, S.A. de C.V.</t>
        </is>
      </c>
      <c r="C231" s="21" t="inlineStr">
        <is>
          <t>NP 300 Chasis Cabina</t>
        </is>
      </c>
      <c r="D231" s="20" t="inlineStr">
        <is>
          <t>ACTIVO</t>
        </is>
      </c>
      <c r="E231" s="20" t="inlineStr">
        <is>
          <t>2026-01-09</t>
        </is>
      </c>
      <c r="F231" s="20" t="inlineStr">
        <is>
          <t>2028-01-09</t>
        </is>
      </c>
      <c r="G231" s="22" t="n">
        <v>24</v>
      </c>
      <c r="H231" s="23" t="n">
        <v>327913.8</v>
      </c>
      <c r="I231" s="23" t="n">
        <v>15703.94</v>
      </c>
      <c r="J231" s="23">
        <f>IF(Intereses_Leasing_Mensual!I231&gt;0, ROUND($I231-Intereses_Leasing_Mensual!I231, 2), "")</f>
        <v/>
      </c>
      <c r="K231" s="23">
        <f>IF(Intereses_Leasing_Mensual!J231&gt;0, ROUND($I231-Intereses_Leasing_Mensual!J231, 2), "")</f>
        <v/>
      </c>
      <c r="L231" s="23">
        <f>IF(Intereses_Leasing_Mensual!K231&gt;0, ROUND($I231-Intereses_Leasing_Mensual!K231, 2), "")</f>
        <v/>
      </c>
      <c r="M231" s="23">
        <f>IF(Intereses_Leasing_Mensual!L231&gt;0, ROUND($I231-Intereses_Leasing_Mensual!L231, 2), "")</f>
        <v/>
      </c>
      <c r="N231" s="23">
        <f>IF(Intereses_Leasing_Mensual!M231&gt;0, ROUND($I231-Intereses_Leasing_Mensual!M231, 2), "")</f>
        <v/>
      </c>
      <c r="O231" s="23">
        <f>IF(Intereses_Leasing_Mensual!N231&gt;0, ROUND($I231-Intereses_Leasing_Mensual!N231, 2), "")</f>
        <v/>
      </c>
      <c r="P231" s="23">
        <f>IF(Intereses_Leasing_Mensual!O231&gt;0, ROUND($I231-Intereses_Leasing_Mensual!O231, 2), "")</f>
        <v/>
      </c>
      <c r="Q231" s="23">
        <f>IF(Intereses_Leasing_Mensual!P231&gt;0, ROUND($I231-Intereses_Leasing_Mensual!P231, 2), "")</f>
        <v/>
      </c>
      <c r="R231" s="23">
        <f>IF(Intereses_Leasing_Mensual!Q231&gt;0, ROUND($I231-Intereses_Leasing_Mensual!Q231, 2), "")</f>
        <v/>
      </c>
      <c r="S231" s="23">
        <f>IF(Intereses_Leasing_Mensual!R231&gt;0, ROUND($I231-Intereses_Leasing_Mensual!R231, 2), "")</f>
        <v/>
      </c>
      <c r="T231" s="23">
        <f>IF(Intereses_Leasing_Mensual!S231&gt;0, ROUND($I231-Intereses_Leasing_Mensual!S231, 2), "")</f>
        <v/>
      </c>
      <c r="U231" s="23">
        <f>IF(Intereses_Leasing_Mensual!T231&gt;0, ROUND($I231-Intereses_Leasing_Mensual!T231, 2), "")</f>
        <v/>
      </c>
      <c r="V231" s="23">
        <f>SUM(J231:U231)</f>
        <v/>
      </c>
    </row>
    <row r="232">
      <c r="A232" s="26" t="inlineStr">
        <is>
          <t>0745-0001</t>
        </is>
      </c>
      <c r="B232" s="27" t="inlineStr">
        <is>
          <t>Industrializadora de Productos Lácteos y Derivados los Cuates, S.A. de C.V.</t>
        </is>
      </c>
      <c r="C232" s="27" t="inlineStr">
        <is>
          <t>Outlander Sport SE Plus</t>
        </is>
      </c>
      <c r="D232" s="26" t="inlineStr">
        <is>
          <t>ACTIVO</t>
        </is>
      </c>
      <c r="E232" s="26" t="inlineStr">
        <is>
          <t>2026-01-22</t>
        </is>
      </c>
      <c r="F232" s="26" t="inlineStr">
        <is>
          <t>2029-01-22</t>
        </is>
      </c>
      <c r="G232" s="28" t="n">
        <v>36</v>
      </c>
      <c r="H232" s="29" t="n">
        <v>251889.83</v>
      </c>
      <c r="I232" s="29" t="n">
        <v>10256.44</v>
      </c>
      <c r="J232" s="29">
        <f>IF(Intereses_Leasing_Mensual!I232&gt;0, ROUND($I232-Intereses_Leasing_Mensual!I232, 2), "")</f>
        <v/>
      </c>
      <c r="K232" s="29">
        <f>IF(Intereses_Leasing_Mensual!J232&gt;0, ROUND($I232-Intereses_Leasing_Mensual!J232, 2), "")</f>
        <v/>
      </c>
      <c r="L232" s="29">
        <f>IF(Intereses_Leasing_Mensual!K232&gt;0, ROUND($I232-Intereses_Leasing_Mensual!K232, 2), "")</f>
        <v/>
      </c>
      <c r="M232" s="29">
        <f>IF(Intereses_Leasing_Mensual!L232&gt;0, ROUND($I232-Intereses_Leasing_Mensual!L232, 2), "")</f>
        <v/>
      </c>
      <c r="N232" s="29">
        <f>IF(Intereses_Leasing_Mensual!M232&gt;0, ROUND($I232-Intereses_Leasing_Mensual!M232, 2), "")</f>
        <v/>
      </c>
      <c r="O232" s="29">
        <f>IF(Intereses_Leasing_Mensual!N232&gt;0, ROUND($I232-Intereses_Leasing_Mensual!N232, 2), "")</f>
        <v/>
      </c>
      <c r="P232" s="29">
        <f>IF(Intereses_Leasing_Mensual!O232&gt;0, ROUND($I232-Intereses_Leasing_Mensual!O232, 2), "")</f>
        <v/>
      </c>
      <c r="Q232" s="29">
        <f>IF(Intereses_Leasing_Mensual!P232&gt;0, ROUND($I232-Intereses_Leasing_Mensual!P232, 2), "")</f>
        <v/>
      </c>
      <c r="R232" s="29">
        <f>IF(Intereses_Leasing_Mensual!Q232&gt;0, ROUND($I232-Intereses_Leasing_Mensual!Q232, 2), "")</f>
        <v/>
      </c>
      <c r="S232" s="29">
        <f>IF(Intereses_Leasing_Mensual!R232&gt;0, ROUND($I232-Intereses_Leasing_Mensual!R232, 2), "")</f>
        <v/>
      </c>
      <c r="T232" s="29">
        <f>IF(Intereses_Leasing_Mensual!S232&gt;0, ROUND($I232-Intereses_Leasing_Mensual!S232, 2), "")</f>
        <v/>
      </c>
      <c r="U232" s="29">
        <f>IF(Intereses_Leasing_Mensual!T232&gt;0, ROUND($I232-Intereses_Leasing_Mensual!T232, 2), "")</f>
        <v/>
      </c>
      <c r="V232" s="29">
        <f>SUM(J232:U232)</f>
        <v/>
      </c>
    </row>
    <row r="233">
      <c r="A233" s="20" t="inlineStr">
        <is>
          <t>0746-0001</t>
        </is>
      </c>
      <c r="B233" s="21" t="inlineStr">
        <is>
          <t>Giovanni Salvador Medina Rubio</t>
        </is>
      </c>
      <c r="C233" s="21" t="inlineStr">
        <is>
          <t>Rapid</t>
        </is>
      </c>
      <c r="D233" s="20" t="inlineStr">
        <is>
          <t>ACTIVO</t>
        </is>
      </c>
      <c r="E233" s="20" t="inlineStr">
        <is>
          <t>2026-02-02</t>
        </is>
      </c>
      <c r="F233" s="20" t="inlineStr">
        <is>
          <t>2029-02-02</t>
        </is>
      </c>
      <c r="G233" s="22" t="n">
        <v>36</v>
      </c>
      <c r="H233" s="23" t="n">
        <v>231310.34</v>
      </c>
      <c r="I233" s="23" t="n">
        <v>9575.959999999999</v>
      </c>
      <c r="J233" s="23" t="inlineStr"/>
      <c r="K233" s="23">
        <f>IF(Intereses_Leasing_Mensual!J233&gt;0, ROUND($I233-Intereses_Leasing_Mensual!J233, 2), "")</f>
        <v/>
      </c>
      <c r="L233" s="23">
        <f>IF(Intereses_Leasing_Mensual!K233&gt;0, ROUND($I233-Intereses_Leasing_Mensual!K233, 2), "")</f>
        <v/>
      </c>
      <c r="M233" s="23">
        <f>IF(Intereses_Leasing_Mensual!L233&gt;0, ROUND($I233-Intereses_Leasing_Mensual!L233, 2), "")</f>
        <v/>
      </c>
      <c r="N233" s="23">
        <f>IF(Intereses_Leasing_Mensual!M233&gt;0, ROUND($I233-Intereses_Leasing_Mensual!M233, 2), "")</f>
        <v/>
      </c>
      <c r="O233" s="23">
        <f>IF(Intereses_Leasing_Mensual!N233&gt;0, ROUND($I233-Intereses_Leasing_Mensual!N233, 2), "")</f>
        <v/>
      </c>
      <c r="P233" s="23">
        <f>IF(Intereses_Leasing_Mensual!O233&gt;0, ROUND($I233-Intereses_Leasing_Mensual!O233, 2), "")</f>
        <v/>
      </c>
      <c r="Q233" s="23">
        <f>IF(Intereses_Leasing_Mensual!P233&gt;0, ROUND($I233-Intereses_Leasing_Mensual!P233, 2), "")</f>
        <v/>
      </c>
      <c r="R233" s="23">
        <f>IF(Intereses_Leasing_Mensual!Q233&gt;0, ROUND($I233-Intereses_Leasing_Mensual!Q233, 2), "")</f>
        <v/>
      </c>
      <c r="S233" s="23">
        <f>IF(Intereses_Leasing_Mensual!R233&gt;0, ROUND($I233-Intereses_Leasing_Mensual!R233, 2), "")</f>
        <v/>
      </c>
      <c r="T233" s="23">
        <f>IF(Intereses_Leasing_Mensual!S233&gt;0, ROUND($I233-Intereses_Leasing_Mensual!S233, 2), "")</f>
        <v/>
      </c>
      <c r="U233" s="23">
        <f>IF(Intereses_Leasing_Mensual!T233&gt;0, ROUND($I233-Intereses_Leasing_Mensual!T233, 2), "")</f>
        <v/>
      </c>
      <c r="V233" s="23">
        <f>SUM(J233:U233)</f>
        <v/>
      </c>
    </row>
    <row r="234">
      <c r="A234" s="26" t="inlineStr">
        <is>
          <t>0747-0001</t>
        </is>
      </c>
      <c r="B234" s="27" t="inlineStr">
        <is>
          <t>Brandon Joel Zepeda Romero</t>
        </is>
      </c>
      <c r="C234" s="27" t="inlineStr">
        <is>
          <t>Ranger Raptor</t>
        </is>
      </c>
      <c r="D234" s="26" t="inlineStr">
        <is>
          <t>ACTIVO</t>
        </is>
      </c>
      <c r="E234" s="26" t="inlineStr">
        <is>
          <t>2026-02-24</t>
        </is>
      </c>
      <c r="F234" s="26" t="inlineStr">
        <is>
          <t>2030-02-24</t>
        </is>
      </c>
      <c r="G234" s="28" t="n">
        <v>48</v>
      </c>
      <c r="H234" s="29" t="n">
        <v>862068.97</v>
      </c>
      <c r="I234" s="29" t="n">
        <v>31084.09</v>
      </c>
      <c r="J234" s="29" t="inlineStr"/>
      <c r="K234" s="29">
        <f>IF(Intereses_Leasing_Mensual!J234&gt;0, ROUND($I234-Intereses_Leasing_Mensual!J234, 2), "")</f>
        <v/>
      </c>
      <c r="L234" s="29">
        <f>IF(Intereses_Leasing_Mensual!K234&gt;0, ROUND($I234-Intereses_Leasing_Mensual!K234, 2), "")</f>
        <v/>
      </c>
      <c r="M234" s="29">
        <f>IF(Intereses_Leasing_Mensual!L234&gt;0, ROUND($I234-Intereses_Leasing_Mensual!L234, 2), "")</f>
        <v/>
      </c>
      <c r="N234" s="29">
        <f>IF(Intereses_Leasing_Mensual!M234&gt;0, ROUND($I234-Intereses_Leasing_Mensual!M234, 2), "")</f>
        <v/>
      </c>
      <c r="O234" s="29">
        <f>IF(Intereses_Leasing_Mensual!N234&gt;0, ROUND($I234-Intereses_Leasing_Mensual!N234, 2), "")</f>
        <v/>
      </c>
      <c r="P234" s="29">
        <f>IF(Intereses_Leasing_Mensual!O234&gt;0, ROUND($I234-Intereses_Leasing_Mensual!O234, 2), "")</f>
        <v/>
      </c>
      <c r="Q234" s="29">
        <f>IF(Intereses_Leasing_Mensual!P234&gt;0, ROUND($I234-Intereses_Leasing_Mensual!P234, 2), "")</f>
        <v/>
      </c>
      <c r="R234" s="29">
        <f>IF(Intereses_Leasing_Mensual!Q234&gt;0, ROUND($I234-Intereses_Leasing_Mensual!Q234, 2), "")</f>
        <v/>
      </c>
      <c r="S234" s="29">
        <f>IF(Intereses_Leasing_Mensual!R234&gt;0, ROUND($I234-Intereses_Leasing_Mensual!R234, 2), "")</f>
        <v/>
      </c>
      <c r="T234" s="29">
        <f>IF(Intereses_Leasing_Mensual!S234&gt;0, ROUND($I234-Intereses_Leasing_Mensual!S234, 2), "")</f>
        <v/>
      </c>
      <c r="U234" s="29">
        <f>IF(Intereses_Leasing_Mensual!T234&gt;0, ROUND($I234-Intereses_Leasing_Mensual!T234, 2), "")</f>
        <v/>
      </c>
      <c r="V234" s="29">
        <f>SUM(J234:U234)</f>
        <v/>
      </c>
    </row>
    <row r="235">
      <c r="A235" s="20" t="inlineStr">
        <is>
          <t>0748-0001</t>
        </is>
      </c>
      <c r="B235" s="21" t="inlineStr">
        <is>
          <t>Carlos Guerra Iñiguez</t>
        </is>
      </c>
      <c r="C235" s="21" t="inlineStr">
        <is>
          <t>L200 GLX</t>
        </is>
      </c>
      <c r="D235" s="20" t="inlineStr">
        <is>
          <t>ACTIVO</t>
        </is>
      </c>
      <c r="E235" s="20" t="inlineStr">
        <is>
          <t>2026-03-02</t>
        </is>
      </c>
      <c r="F235" s="20" t="inlineStr">
        <is>
          <t>2030-03-02</t>
        </is>
      </c>
      <c r="G235" s="22" t="n">
        <v>48</v>
      </c>
      <c r="H235" s="23" t="n">
        <v>336560.69</v>
      </c>
      <c r="I235" s="23" t="n">
        <v>12135.55</v>
      </c>
      <c r="J235" s="23" t="inlineStr"/>
      <c r="K235" s="23" t="inlineStr"/>
      <c r="L235" s="23">
        <f>IF(Intereses_Leasing_Mensual!K235&gt;0, ROUND($I235-Intereses_Leasing_Mensual!K235, 2), "")</f>
        <v/>
      </c>
      <c r="M235" s="23">
        <f>IF(Intereses_Leasing_Mensual!L235&gt;0, ROUND($I235-Intereses_Leasing_Mensual!L235, 2), "")</f>
        <v/>
      </c>
      <c r="N235" s="23">
        <f>IF(Intereses_Leasing_Mensual!M235&gt;0, ROUND($I235-Intereses_Leasing_Mensual!M235, 2), "")</f>
        <v/>
      </c>
      <c r="O235" s="23">
        <f>IF(Intereses_Leasing_Mensual!N235&gt;0, ROUND($I235-Intereses_Leasing_Mensual!N235, 2), "")</f>
        <v/>
      </c>
      <c r="P235" s="23">
        <f>IF(Intereses_Leasing_Mensual!O235&gt;0, ROUND($I235-Intereses_Leasing_Mensual!O235, 2), "")</f>
        <v/>
      </c>
      <c r="Q235" s="23">
        <f>IF(Intereses_Leasing_Mensual!P235&gt;0, ROUND($I235-Intereses_Leasing_Mensual!P235, 2), "")</f>
        <v/>
      </c>
      <c r="R235" s="23">
        <f>IF(Intereses_Leasing_Mensual!Q235&gt;0, ROUND($I235-Intereses_Leasing_Mensual!Q235, 2), "")</f>
        <v/>
      </c>
      <c r="S235" s="23">
        <f>IF(Intereses_Leasing_Mensual!R235&gt;0, ROUND($I235-Intereses_Leasing_Mensual!R235, 2), "")</f>
        <v/>
      </c>
      <c r="T235" s="23">
        <f>IF(Intereses_Leasing_Mensual!S235&gt;0, ROUND($I235-Intereses_Leasing_Mensual!S235, 2), "")</f>
        <v/>
      </c>
      <c r="U235" s="23">
        <f>IF(Intereses_Leasing_Mensual!T235&gt;0, ROUND($I235-Intereses_Leasing_Mensual!T235, 2), "")</f>
        <v/>
      </c>
      <c r="V235" s="23">
        <f>SUM(J235:U235)</f>
        <v/>
      </c>
    </row>
    <row r="236">
      <c r="A236" s="26" t="inlineStr">
        <is>
          <t>0749-0001</t>
        </is>
      </c>
      <c r="B236" s="27" t="inlineStr">
        <is>
          <t>Álvarez Fletes Nacionales, S.C.</t>
        </is>
      </c>
      <c r="C236" s="27" t="inlineStr">
        <is>
          <t>RAM 700 TRADESMAN CC</t>
        </is>
      </c>
      <c r="D236" s="26" t="inlineStr">
        <is>
          <t>ACTIVO</t>
        </is>
      </c>
      <c r="E236" s="26" t="inlineStr">
        <is>
          <t>2026-03-23</t>
        </is>
      </c>
      <c r="F236" s="26" t="inlineStr">
        <is>
          <t>2029-03-23</t>
        </is>
      </c>
      <c r="G236" s="28" t="n">
        <v>36</v>
      </c>
      <c r="H236" s="29" t="n">
        <v>272344.82</v>
      </c>
      <c r="I236" s="29" t="n">
        <v>11274.73</v>
      </c>
      <c r="J236" s="29" t="inlineStr"/>
      <c r="K236" s="29" t="inlineStr"/>
      <c r="L236" s="29">
        <f>IF(Intereses_Leasing_Mensual!K236&gt;0, ROUND($I236-Intereses_Leasing_Mensual!K236, 2), "")</f>
        <v/>
      </c>
      <c r="M236" s="29">
        <f>IF(Intereses_Leasing_Mensual!L236&gt;0, ROUND($I236-Intereses_Leasing_Mensual!L236, 2), "")</f>
        <v/>
      </c>
      <c r="N236" s="29">
        <f>IF(Intereses_Leasing_Mensual!M236&gt;0, ROUND($I236-Intereses_Leasing_Mensual!M236, 2), "")</f>
        <v/>
      </c>
      <c r="O236" s="29">
        <f>IF(Intereses_Leasing_Mensual!N236&gt;0, ROUND($I236-Intereses_Leasing_Mensual!N236, 2), "")</f>
        <v/>
      </c>
      <c r="P236" s="29">
        <f>IF(Intereses_Leasing_Mensual!O236&gt;0, ROUND($I236-Intereses_Leasing_Mensual!O236, 2), "")</f>
        <v/>
      </c>
      <c r="Q236" s="29">
        <f>IF(Intereses_Leasing_Mensual!P236&gt;0, ROUND($I236-Intereses_Leasing_Mensual!P236, 2), "")</f>
        <v/>
      </c>
      <c r="R236" s="29">
        <f>IF(Intereses_Leasing_Mensual!Q236&gt;0, ROUND($I236-Intereses_Leasing_Mensual!Q236, 2), "")</f>
        <v/>
      </c>
      <c r="S236" s="29">
        <f>IF(Intereses_Leasing_Mensual!R236&gt;0, ROUND($I236-Intereses_Leasing_Mensual!R236, 2), "")</f>
        <v/>
      </c>
      <c r="T236" s="29">
        <f>IF(Intereses_Leasing_Mensual!S236&gt;0, ROUND($I236-Intereses_Leasing_Mensual!S236, 2), "")</f>
        <v/>
      </c>
      <c r="U236" s="29">
        <f>IF(Intereses_Leasing_Mensual!T236&gt;0, ROUND($I236-Intereses_Leasing_Mensual!T236, 2), "")</f>
        <v/>
      </c>
      <c r="V236" s="29">
        <f>SUM(J236:U236)</f>
        <v/>
      </c>
    </row>
    <row r="237">
      <c r="A237" s="20" t="inlineStr">
        <is>
          <t>0749-0002</t>
        </is>
      </c>
      <c r="B237" s="21" t="inlineStr">
        <is>
          <t>Álvarez Fletes Nacionales, S.C.</t>
        </is>
      </c>
      <c r="C237" s="21" t="inlineStr">
        <is>
          <t>RAM 700 TRADESMAN CC</t>
        </is>
      </c>
      <c r="D237" s="20" t="inlineStr">
        <is>
          <t>ACTIVO</t>
        </is>
      </c>
      <c r="E237" s="20" t="inlineStr">
        <is>
          <t>2026-03-23</t>
        </is>
      </c>
      <c r="F237" s="20" t="inlineStr">
        <is>
          <t>2029-03-23</t>
        </is>
      </c>
      <c r="G237" s="22" t="n">
        <v>36</v>
      </c>
      <c r="H237" s="23" t="n">
        <v>272344.82</v>
      </c>
      <c r="I237" s="23" t="n">
        <v>11274.73</v>
      </c>
      <c r="J237" s="23" t="inlineStr"/>
      <c r="K237" s="23" t="inlineStr"/>
      <c r="L237" s="23">
        <f>IF(Intereses_Leasing_Mensual!K237&gt;0, ROUND($I237-Intereses_Leasing_Mensual!K237, 2), "")</f>
        <v/>
      </c>
      <c r="M237" s="23">
        <f>IF(Intereses_Leasing_Mensual!L237&gt;0, ROUND($I237-Intereses_Leasing_Mensual!L237, 2), "")</f>
        <v/>
      </c>
      <c r="N237" s="23">
        <f>IF(Intereses_Leasing_Mensual!M237&gt;0, ROUND($I237-Intereses_Leasing_Mensual!M237, 2), "")</f>
        <v/>
      </c>
      <c r="O237" s="23">
        <f>IF(Intereses_Leasing_Mensual!N237&gt;0, ROUND($I237-Intereses_Leasing_Mensual!N237, 2), "")</f>
        <v/>
      </c>
      <c r="P237" s="23">
        <f>IF(Intereses_Leasing_Mensual!O237&gt;0, ROUND($I237-Intereses_Leasing_Mensual!O237, 2), "")</f>
        <v/>
      </c>
      <c r="Q237" s="23">
        <f>IF(Intereses_Leasing_Mensual!P237&gt;0, ROUND($I237-Intereses_Leasing_Mensual!P237, 2), "")</f>
        <v/>
      </c>
      <c r="R237" s="23">
        <f>IF(Intereses_Leasing_Mensual!Q237&gt;0, ROUND($I237-Intereses_Leasing_Mensual!Q237, 2), "")</f>
        <v/>
      </c>
      <c r="S237" s="23">
        <f>IF(Intereses_Leasing_Mensual!R237&gt;0, ROUND($I237-Intereses_Leasing_Mensual!R237, 2), "")</f>
        <v/>
      </c>
      <c r="T237" s="23">
        <f>IF(Intereses_Leasing_Mensual!S237&gt;0, ROUND($I237-Intereses_Leasing_Mensual!S237, 2), "")</f>
        <v/>
      </c>
      <c r="U237" s="23">
        <f>IF(Intereses_Leasing_Mensual!T237&gt;0, ROUND($I237-Intereses_Leasing_Mensual!T237, 2), "")</f>
        <v/>
      </c>
      <c r="V237" s="23">
        <f>SUM(J237:U237)</f>
        <v/>
      </c>
    </row>
    <row r="238">
      <c r="A238" s="26" t="inlineStr">
        <is>
          <t>0750-0001</t>
        </is>
      </c>
      <c r="B238" s="27" t="inlineStr">
        <is>
          <t>Idea Gelato S de RL de CV</t>
        </is>
      </c>
      <c r="C238" s="27" t="inlineStr">
        <is>
          <t>Expert Furgon</t>
        </is>
      </c>
      <c r="D238" s="26" t="inlineStr">
        <is>
          <t>ACTIVO</t>
        </is>
      </c>
      <c r="E238" s="26" t="inlineStr">
        <is>
          <t>2026-03-31</t>
        </is>
      </c>
      <c r="F238" s="26" t="inlineStr">
        <is>
          <t>2028-03-31</t>
        </is>
      </c>
      <c r="G238" s="28" t="n">
        <v>24</v>
      </c>
      <c r="H238" s="29" t="n">
        <v>424758.62</v>
      </c>
      <c r="I238" s="29" t="n">
        <v>20804.57</v>
      </c>
      <c r="J238" s="29" t="inlineStr"/>
      <c r="K238" s="29" t="inlineStr"/>
      <c r="L238" s="29">
        <f>IF(Intereses_Leasing_Mensual!K238&gt;0, ROUND($I238-Intereses_Leasing_Mensual!K238, 2), "")</f>
        <v/>
      </c>
      <c r="M238" s="29">
        <f>IF(Intereses_Leasing_Mensual!L238&gt;0, ROUND($I238-Intereses_Leasing_Mensual!L238, 2), "")</f>
        <v/>
      </c>
      <c r="N238" s="29">
        <f>IF(Intereses_Leasing_Mensual!M238&gt;0, ROUND($I238-Intereses_Leasing_Mensual!M238, 2), "")</f>
        <v/>
      </c>
      <c r="O238" s="29">
        <f>IF(Intereses_Leasing_Mensual!N238&gt;0, ROUND($I238-Intereses_Leasing_Mensual!N238, 2), "")</f>
        <v/>
      </c>
      <c r="P238" s="29">
        <f>IF(Intereses_Leasing_Mensual!O238&gt;0, ROUND($I238-Intereses_Leasing_Mensual!O238, 2), "")</f>
        <v/>
      </c>
      <c r="Q238" s="29">
        <f>IF(Intereses_Leasing_Mensual!P238&gt;0, ROUND($I238-Intereses_Leasing_Mensual!P238, 2), "")</f>
        <v/>
      </c>
      <c r="R238" s="29">
        <f>IF(Intereses_Leasing_Mensual!Q238&gt;0, ROUND($I238-Intereses_Leasing_Mensual!Q238, 2), "")</f>
        <v/>
      </c>
      <c r="S238" s="29">
        <f>IF(Intereses_Leasing_Mensual!R238&gt;0, ROUND($I238-Intereses_Leasing_Mensual!R238, 2), "")</f>
        <v/>
      </c>
      <c r="T238" s="29">
        <f>IF(Intereses_Leasing_Mensual!S238&gt;0, ROUND($I238-Intereses_Leasing_Mensual!S238, 2), "")</f>
        <v/>
      </c>
      <c r="U238" s="29">
        <f>IF(Intereses_Leasing_Mensual!T238&gt;0, ROUND($I238-Intereses_Leasing_Mensual!T238, 2), "")</f>
        <v/>
      </c>
      <c r="V238" s="29">
        <f>SUM(J238:U238)</f>
        <v/>
      </c>
    </row>
    <row r="239">
      <c r="A239" s="20" t="inlineStr">
        <is>
          <t>0752-0001</t>
        </is>
      </c>
      <c r="B239" s="21" t="inlineStr">
        <is>
          <t>Fernando Plasencia Lopez</t>
        </is>
      </c>
      <c r="C239" s="21" t="inlineStr">
        <is>
          <t>Grand Cherokee Limited</t>
        </is>
      </c>
      <c r="D239" s="20" t="inlineStr">
        <is>
          <t>ACTIVO</t>
        </is>
      </c>
      <c r="E239" s="20" t="inlineStr">
        <is>
          <t>2026-03-31</t>
        </is>
      </c>
      <c r="F239" s="20" t="inlineStr">
        <is>
          <t>2028-03-31</t>
        </is>
      </c>
      <c r="G239" s="22" t="n">
        <v>24</v>
      </c>
      <c r="H239" s="23" t="n">
        <v>1085353.45</v>
      </c>
      <c r="I239" s="23" t="n">
        <v>50477.8</v>
      </c>
      <c r="J239" s="23" t="inlineStr"/>
      <c r="K239" s="23" t="inlineStr"/>
      <c r="L239" s="23">
        <f>IF(Intereses_Leasing_Mensual!K239&gt;0, ROUND($I239-Intereses_Leasing_Mensual!K239, 2), "")</f>
        <v/>
      </c>
      <c r="M239" s="23">
        <f>IF(Intereses_Leasing_Mensual!L239&gt;0, ROUND($I239-Intereses_Leasing_Mensual!L239, 2), "")</f>
        <v/>
      </c>
      <c r="N239" s="23">
        <f>IF(Intereses_Leasing_Mensual!M239&gt;0, ROUND($I239-Intereses_Leasing_Mensual!M239, 2), "")</f>
        <v/>
      </c>
      <c r="O239" s="23">
        <f>IF(Intereses_Leasing_Mensual!N239&gt;0, ROUND($I239-Intereses_Leasing_Mensual!N239, 2), "")</f>
        <v/>
      </c>
      <c r="P239" s="23">
        <f>IF(Intereses_Leasing_Mensual!O239&gt;0, ROUND($I239-Intereses_Leasing_Mensual!O239, 2), "")</f>
        <v/>
      </c>
      <c r="Q239" s="23">
        <f>IF(Intereses_Leasing_Mensual!P239&gt;0, ROUND($I239-Intereses_Leasing_Mensual!P239, 2), "")</f>
        <v/>
      </c>
      <c r="R239" s="23">
        <f>IF(Intereses_Leasing_Mensual!Q239&gt;0, ROUND($I239-Intereses_Leasing_Mensual!Q239, 2), "")</f>
        <v/>
      </c>
      <c r="S239" s="23">
        <f>IF(Intereses_Leasing_Mensual!R239&gt;0, ROUND($I239-Intereses_Leasing_Mensual!R239, 2), "")</f>
        <v/>
      </c>
      <c r="T239" s="23">
        <f>IF(Intereses_Leasing_Mensual!S239&gt;0, ROUND($I239-Intereses_Leasing_Mensual!S239, 2), "")</f>
        <v/>
      </c>
      <c r="U239" s="23">
        <f>IF(Intereses_Leasing_Mensual!T239&gt;0, ROUND($I239-Intereses_Leasing_Mensual!T239, 2), "")</f>
        <v/>
      </c>
      <c r="V239" s="23">
        <f>SUM(J239:U239)</f>
        <v/>
      </c>
    </row>
    <row r="240">
      <c r="A240" s="26" t="inlineStr">
        <is>
          <t>0752-0002</t>
        </is>
      </c>
      <c r="B240" s="27" t="inlineStr">
        <is>
          <t>Fernando Plasencia Lopez</t>
        </is>
      </c>
      <c r="C240" s="27" t="inlineStr">
        <is>
          <t>Grand Cherokee Altitude</t>
        </is>
      </c>
      <c r="D240" s="26" t="inlineStr">
        <is>
          <t>ACTIVO</t>
        </is>
      </c>
      <c r="E240" s="26" t="inlineStr">
        <is>
          <t>2026-03-31</t>
        </is>
      </c>
      <c r="F240" s="26" t="inlineStr">
        <is>
          <t>2028-03-31</t>
        </is>
      </c>
      <c r="G240" s="28" t="n">
        <v>24</v>
      </c>
      <c r="H240" s="29" t="n">
        <v>923198.27</v>
      </c>
      <c r="I240" s="29" t="n">
        <v>42936.26</v>
      </c>
      <c r="J240" s="29" t="inlineStr"/>
      <c r="K240" s="29" t="inlineStr"/>
      <c r="L240" s="29">
        <f>IF(Intereses_Leasing_Mensual!K240&gt;0, ROUND($I240-Intereses_Leasing_Mensual!K240, 2), "")</f>
        <v/>
      </c>
      <c r="M240" s="29">
        <f>IF(Intereses_Leasing_Mensual!L240&gt;0, ROUND($I240-Intereses_Leasing_Mensual!L240, 2), "")</f>
        <v/>
      </c>
      <c r="N240" s="29">
        <f>IF(Intereses_Leasing_Mensual!M240&gt;0, ROUND($I240-Intereses_Leasing_Mensual!M240, 2), "")</f>
        <v/>
      </c>
      <c r="O240" s="29">
        <f>IF(Intereses_Leasing_Mensual!N240&gt;0, ROUND($I240-Intereses_Leasing_Mensual!N240, 2), "")</f>
        <v/>
      </c>
      <c r="P240" s="29">
        <f>IF(Intereses_Leasing_Mensual!O240&gt;0, ROUND($I240-Intereses_Leasing_Mensual!O240, 2), "")</f>
        <v/>
      </c>
      <c r="Q240" s="29">
        <f>IF(Intereses_Leasing_Mensual!P240&gt;0, ROUND($I240-Intereses_Leasing_Mensual!P240, 2), "")</f>
        <v/>
      </c>
      <c r="R240" s="29">
        <f>IF(Intereses_Leasing_Mensual!Q240&gt;0, ROUND($I240-Intereses_Leasing_Mensual!Q240, 2), "")</f>
        <v/>
      </c>
      <c r="S240" s="29">
        <f>IF(Intereses_Leasing_Mensual!R240&gt;0, ROUND($I240-Intereses_Leasing_Mensual!R240, 2), "")</f>
        <v/>
      </c>
      <c r="T240" s="29">
        <f>IF(Intereses_Leasing_Mensual!S240&gt;0, ROUND($I240-Intereses_Leasing_Mensual!S240, 2), "")</f>
        <v/>
      </c>
      <c r="U240" s="29">
        <f>IF(Intereses_Leasing_Mensual!T240&gt;0, ROUND($I240-Intereses_Leasing_Mensual!T240, 2), "")</f>
        <v/>
      </c>
      <c r="V240" s="29">
        <f>SUM(J240:U240)</f>
        <v/>
      </c>
    </row>
    <row r="241">
      <c r="A241" s="20" t="inlineStr">
        <is>
          <t>0752-0003</t>
        </is>
      </c>
      <c r="B241" s="21" t="inlineStr">
        <is>
          <t>Fernando Plasencia Lopez</t>
        </is>
      </c>
      <c r="C241" s="21" t="inlineStr">
        <is>
          <t>Grand Cherokee Summit</t>
        </is>
      </c>
      <c r="D241" s="20" t="inlineStr">
        <is>
          <t>ACTIVO</t>
        </is>
      </c>
      <c r="E241" s="20" t="inlineStr">
        <is>
          <t>2026-05-13</t>
        </is>
      </c>
      <c r="F241" s="20" t="inlineStr">
        <is>
          <t>2028-05-13</t>
        </is>
      </c>
      <c r="G241" s="22" t="n">
        <v>24</v>
      </c>
      <c r="H241" s="23" t="n">
        <v>1328530</v>
      </c>
      <c r="I241" s="23" t="n">
        <v>79441.07000000001</v>
      </c>
      <c r="J241" s="23" t="inlineStr"/>
      <c r="K241" s="23" t="inlineStr"/>
      <c r="L241" s="23" t="inlineStr"/>
      <c r="M241" s="23" t="inlineStr"/>
      <c r="N241" s="23">
        <f>IF(Intereses_Leasing_Mensual!M241&gt;0, ROUND($I241-Intereses_Leasing_Mensual!M241, 2), "")</f>
        <v/>
      </c>
      <c r="O241" s="23">
        <f>IF(Intereses_Leasing_Mensual!N241&gt;0, ROUND($I241-Intereses_Leasing_Mensual!N241, 2), "")</f>
        <v/>
      </c>
      <c r="P241" s="23">
        <f>IF(Intereses_Leasing_Mensual!O241&gt;0, ROUND($I241-Intereses_Leasing_Mensual!O241, 2), "")</f>
        <v/>
      </c>
      <c r="Q241" s="23">
        <f>IF(Intereses_Leasing_Mensual!P241&gt;0, ROUND($I241-Intereses_Leasing_Mensual!P241, 2), "")</f>
        <v/>
      </c>
      <c r="R241" s="23">
        <f>IF(Intereses_Leasing_Mensual!Q241&gt;0, ROUND($I241-Intereses_Leasing_Mensual!Q241, 2), "")</f>
        <v/>
      </c>
      <c r="S241" s="23">
        <f>IF(Intereses_Leasing_Mensual!R241&gt;0, ROUND($I241-Intereses_Leasing_Mensual!R241, 2), "")</f>
        <v/>
      </c>
      <c r="T241" s="23">
        <f>IF(Intereses_Leasing_Mensual!S241&gt;0, ROUND($I241-Intereses_Leasing_Mensual!S241, 2), "")</f>
        <v/>
      </c>
      <c r="U241" s="23">
        <f>IF(Intereses_Leasing_Mensual!T241&gt;0, ROUND($I241-Intereses_Leasing_Mensual!T241, 2), "")</f>
        <v/>
      </c>
      <c r="V241" s="23">
        <f>SUM(J241:U241)</f>
        <v/>
      </c>
    </row>
    <row r="242">
      <c r="A242" s="26" t="inlineStr">
        <is>
          <t>0752-0004</t>
        </is>
      </c>
      <c r="B242" s="27" t="inlineStr">
        <is>
          <t>Fernando Plasencia Lopez</t>
        </is>
      </c>
      <c r="C242" s="27" t="inlineStr">
        <is>
          <t>1200 BIGHORN CC</t>
        </is>
      </c>
      <c r="D242" s="26" t="inlineStr">
        <is>
          <t>ACTIVO</t>
        </is>
      </c>
      <c r="E242" s="26" t="inlineStr">
        <is>
          <t>2026-06-05</t>
        </is>
      </c>
      <c r="F242" s="26" t="inlineStr">
        <is>
          <t>2030-06-05</t>
        </is>
      </c>
      <c r="G242" s="28" t="n">
        <v>48</v>
      </c>
      <c r="H242" s="29" t="n">
        <v>450002.4</v>
      </c>
      <c r="I242" s="29" t="n">
        <v>15096.94</v>
      </c>
      <c r="J242" s="29" t="inlineStr"/>
      <c r="K242" s="29" t="inlineStr"/>
      <c r="L242" s="29" t="inlineStr"/>
      <c r="M242" s="29" t="inlineStr"/>
      <c r="N242" s="29" t="inlineStr"/>
      <c r="O242" s="29">
        <f>IF(Intereses_Leasing_Mensual!N242&gt;0, ROUND($I242-Intereses_Leasing_Mensual!N242, 2), "")</f>
        <v/>
      </c>
      <c r="P242" s="29">
        <f>IF(Intereses_Leasing_Mensual!O242&gt;0, ROUND($I242-Intereses_Leasing_Mensual!O242, 2), "")</f>
        <v/>
      </c>
      <c r="Q242" s="29">
        <f>IF(Intereses_Leasing_Mensual!P242&gt;0, ROUND($I242-Intereses_Leasing_Mensual!P242, 2), "")</f>
        <v/>
      </c>
      <c r="R242" s="29">
        <f>IF(Intereses_Leasing_Mensual!Q242&gt;0, ROUND($I242-Intereses_Leasing_Mensual!Q242, 2), "")</f>
        <v/>
      </c>
      <c r="S242" s="29">
        <f>IF(Intereses_Leasing_Mensual!R242&gt;0, ROUND($I242-Intereses_Leasing_Mensual!R242, 2), "")</f>
        <v/>
      </c>
      <c r="T242" s="29">
        <f>IF(Intereses_Leasing_Mensual!S242&gt;0, ROUND($I242-Intereses_Leasing_Mensual!S242, 2), "")</f>
        <v/>
      </c>
      <c r="U242" s="29">
        <f>IF(Intereses_Leasing_Mensual!T242&gt;0, ROUND($I242-Intereses_Leasing_Mensual!T242, 2), "")</f>
        <v/>
      </c>
      <c r="V242" s="29">
        <f>SUM(J242:U242)</f>
        <v/>
      </c>
    </row>
    <row r="243">
      <c r="A243" s="20" t="inlineStr">
        <is>
          <t>0752-0005</t>
        </is>
      </c>
      <c r="B243" s="21" t="inlineStr">
        <is>
          <t>Fernando Plasencia Lopez</t>
        </is>
      </c>
      <c r="C243" s="21" t="inlineStr">
        <is>
          <t>Grand Charokee Altitude</t>
        </is>
      </c>
      <c r="D243" s="20" t="inlineStr">
        <is>
          <t>ACTIVO</t>
        </is>
      </c>
      <c r="E243" s="20" t="inlineStr">
        <is>
          <t>2026-06-05</t>
        </is>
      </c>
      <c r="F243" s="20" t="inlineStr">
        <is>
          <t>2028-06-05</t>
        </is>
      </c>
      <c r="G243" s="22" t="n">
        <v>24</v>
      </c>
      <c r="H243" s="23" t="n">
        <v>951920</v>
      </c>
      <c r="I243" s="23" t="n">
        <v>43095.68</v>
      </c>
      <c r="J243" s="23" t="inlineStr"/>
      <c r="K243" s="23" t="inlineStr"/>
      <c r="L243" s="23" t="inlineStr"/>
      <c r="M243" s="23" t="inlineStr"/>
      <c r="N243" s="23" t="inlineStr"/>
      <c r="O243" s="23">
        <f>IF(Intereses_Leasing_Mensual!N243&gt;0, ROUND($I243-Intereses_Leasing_Mensual!N243, 2), "")</f>
        <v/>
      </c>
      <c r="P243" s="23">
        <f>IF(Intereses_Leasing_Mensual!O243&gt;0, ROUND($I243-Intereses_Leasing_Mensual!O243, 2), "")</f>
        <v/>
      </c>
      <c r="Q243" s="23">
        <f>IF(Intereses_Leasing_Mensual!P243&gt;0, ROUND($I243-Intereses_Leasing_Mensual!P243, 2), "")</f>
        <v/>
      </c>
      <c r="R243" s="23">
        <f>IF(Intereses_Leasing_Mensual!Q243&gt;0, ROUND($I243-Intereses_Leasing_Mensual!Q243, 2), "")</f>
        <v/>
      </c>
      <c r="S243" s="23">
        <f>IF(Intereses_Leasing_Mensual!R243&gt;0, ROUND($I243-Intereses_Leasing_Mensual!R243, 2), "")</f>
        <v/>
      </c>
      <c r="T243" s="23">
        <f>IF(Intereses_Leasing_Mensual!S243&gt;0, ROUND($I243-Intereses_Leasing_Mensual!S243, 2), "")</f>
        <v/>
      </c>
      <c r="U243" s="23">
        <f>IF(Intereses_Leasing_Mensual!T243&gt;0, ROUND($I243-Intereses_Leasing_Mensual!T243, 2), "")</f>
        <v/>
      </c>
      <c r="V243" s="23">
        <f>SUM(J243:U243)</f>
        <v/>
      </c>
    </row>
    <row r="244">
      <c r="A244" s="26" t="inlineStr">
        <is>
          <t>0753-0001</t>
        </is>
      </c>
      <c r="B244" s="27" t="inlineStr">
        <is>
          <t>Milodi Seguridad Privada</t>
        </is>
      </c>
      <c r="C244" s="27" t="inlineStr">
        <is>
          <t>Alsvin</t>
        </is>
      </c>
      <c r="D244" s="26" t="inlineStr">
        <is>
          <t>ACTIVO</t>
        </is>
      </c>
      <c r="E244" s="26" t="inlineStr">
        <is>
          <t>2026-03-31</t>
        </is>
      </c>
      <c r="F244" s="26" t="inlineStr">
        <is>
          <t>2029-03-31</t>
        </is>
      </c>
      <c r="G244" s="28" t="n">
        <v>36</v>
      </c>
      <c r="H244" s="29" t="n">
        <v>197794.4</v>
      </c>
      <c r="I244" s="29" t="n">
        <v>7874.25</v>
      </c>
      <c r="J244" s="29" t="inlineStr"/>
      <c r="K244" s="29" t="inlineStr"/>
      <c r="L244" s="29">
        <f>IF(Intereses_Leasing_Mensual!K244&gt;0, ROUND($I244-Intereses_Leasing_Mensual!K244, 2), "")</f>
        <v/>
      </c>
      <c r="M244" s="29">
        <f>IF(Intereses_Leasing_Mensual!L244&gt;0, ROUND($I244-Intereses_Leasing_Mensual!L244, 2), "")</f>
        <v/>
      </c>
      <c r="N244" s="29">
        <f>IF(Intereses_Leasing_Mensual!M244&gt;0, ROUND($I244-Intereses_Leasing_Mensual!M244, 2), "")</f>
        <v/>
      </c>
      <c r="O244" s="29">
        <f>IF(Intereses_Leasing_Mensual!N244&gt;0, ROUND($I244-Intereses_Leasing_Mensual!N244, 2), "")</f>
        <v/>
      </c>
      <c r="P244" s="29">
        <f>IF(Intereses_Leasing_Mensual!O244&gt;0, ROUND($I244-Intereses_Leasing_Mensual!O244, 2), "")</f>
        <v/>
      </c>
      <c r="Q244" s="29">
        <f>IF(Intereses_Leasing_Mensual!P244&gt;0, ROUND($I244-Intereses_Leasing_Mensual!P244, 2), "")</f>
        <v/>
      </c>
      <c r="R244" s="29">
        <f>IF(Intereses_Leasing_Mensual!Q244&gt;0, ROUND($I244-Intereses_Leasing_Mensual!Q244, 2), "")</f>
        <v/>
      </c>
      <c r="S244" s="29">
        <f>IF(Intereses_Leasing_Mensual!R244&gt;0, ROUND($I244-Intereses_Leasing_Mensual!R244, 2), "")</f>
        <v/>
      </c>
      <c r="T244" s="29">
        <f>IF(Intereses_Leasing_Mensual!S244&gt;0, ROUND($I244-Intereses_Leasing_Mensual!S244, 2), "")</f>
        <v/>
      </c>
      <c r="U244" s="29">
        <f>IF(Intereses_Leasing_Mensual!T244&gt;0, ROUND($I244-Intereses_Leasing_Mensual!T244, 2), "")</f>
        <v/>
      </c>
      <c r="V244" s="29">
        <f>SUM(J244:U244)</f>
        <v/>
      </c>
    </row>
    <row r="245">
      <c r="A245" s="20" t="inlineStr">
        <is>
          <t>0753-0003</t>
        </is>
      </c>
      <c r="B245" s="21" t="inlineStr">
        <is>
          <t>Milodi Seguridad Privada</t>
        </is>
      </c>
      <c r="C245" s="21" t="inlineStr">
        <is>
          <t>CS35</t>
        </is>
      </c>
      <c r="D245" s="20" t="inlineStr">
        <is>
          <t>ACTIVO</t>
        </is>
      </c>
      <c r="E245" s="20" t="inlineStr">
        <is>
          <t>2026-06-16</t>
        </is>
      </c>
      <c r="F245" s="20" t="inlineStr">
        <is>
          <t>2029-06-16</t>
        </is>
      </c>
      <c r="G245" s="22" t="n">
        <v>36</v>
      </c>
      <c r="H245" s="23" t="n">
        <v>287155.89</v>
      </c>
      <c r="I245" s="23" t="n">
        <v>11729.64</v>
      </c>
      <c r="J245" s="23" t="inlineStr"/>
      <c r="K245" s="23" t="inlineStr"/>
      <c r="L245" s="23" t="inlineStr"/>
      <c r="M245" s="23" t="inlineStr"/>
      <c r="N245" s="23" t="inlineStr"/>
      <c r="O245" s="23">
        <f>IF(Intereses_Leasing_Mensual!N245&gt;0, ROUND($I245-Intereses_Leasing_Mensual!N245, 2), "")</f>
        <v/>
      </c>
      <c r="P245" s="23">
        <f>IF(Intereses_Leasing_Mensual!O245&gt;0, ROUND($I245-Intereses_Leasing_Mensual!O245, 2), "")</f>
        <v/>
      </c>
      <c r="Q245" s="23">
        <f>IF(Intereses_Leasing_Mensual!P245&gt;0, ROUND($I245-Intereses_Leasing_Mensual!P245, 2), "")</f>
        <v/>
      </c>
      <c r="R245" s="23">
        <f>IF(Intereses_Leasing_Mensual!Q245&gt;0, ROUND($I245-Intereses_Leasing_Mensual!Q245, 2), "")</f>
        <v/>
      </c>
      <c r="S245" s="23">
        <f>IF(Intereses_Leasing_Mensual!R245&gt;0, ROUND($I245-Intereses_Leasing_Mensual!R245, 2), "")</f>
        <v/>
      </c>
      <c r="T245" s="23">
        <f>IF(Intereses_Leasing_Mensual!S245&gt;0, ROUND($I245-Intereses_Leasing_Mensual!S245, 2), "")</f>
        <v/>
      </c>
      <c r="U245" s="23">
        <f>IF(Intereses_Leasing_Mensual!T245&gt;0, ROUND($I245-Intereses_Leasing_Mensual!T245, 2), "")</f>
        <v/>
      </c>
      <c r="V245" s="23">
        <f>SUM(J245:U245)</f>
        <v/>
      </c>
    </row>
    <row r="246">
      <c r="A246" s="26" t="inlineStr">
        <is>
          <t>0754-0001</t>
        </is>
      </c>
      <c r="B246" s="27" t="inlineStr">
        <is>
          <t>Luis Guillermo Rios Villaseñor</t>
        </is>
      </c>
      <c r="C246" s="27" t="inlineStr">
        <is>
          <t>2008 GT</t>
        </is>
      </c>
      <c r="D246" s="26" t="inlineStr">
        <is>
          <t>ACTIVO</t>
        </is>
      </c>
      <c r="E246" s="26" t="inlineStr">
        <is>
          <t>2026-04-23</t>
        </is>
      </c>
      <c r="F246" s="26" t="inlineStr">
        <is>
          <t>2028-04-23</t>
        </is>
      </c>
      <c r="G246" s="28" t="n">
        <v>24</v>
      </c>
      <c r="H246" s="29" t="n">
        <v>282267.5</v>
      </c>
      <c r="I246" s="29" t="n">
        <v>13408.06</v>
      </c>
      <c r="J246" s="29" t="inlineStr"/>
      <c r="K246" s="29" t="inlineStr"/>
      <c r="L246" s="29" t="inlineStr"/>
      <c r="M246" s="29">
        <f>IF(Intereses_Leasing_Mensual!L246&gt;0, ROUND($I246-Intereses_Leasing_Mensual!L246, 2), "")</f>
        <v/>
      </c>
      <c r="N246" s="29">
        <f>IF(Intereses_Leasing_Mensual!M246&gt;0, ROUND($I246-Intereses_Leasing_Mensual!M246, 2), "")</f>
        <v/>
      </c>
      <c r="O246" s="29">
        <f>IF(Intereses_Leasing_Mensual!N246&gt;0, ROUND($I246-Intereses_Leasing_Mensual!N246, 2), "")</f>
        <v/>
      </c>
      <c r="P246" s="29">
        <f>IF(Intereses_Leasing_Mensual!O246&gt;0, ROUND($I246-Intereses_Leasing_Mensual!O246, 2), "")</f>
        <v/>
      </c>
      <c r="Q246" s="29">
        <f>IF(Intereses_Leasing_Mensual!P246&gt;0, ROUND($I246-Intereses_Leasing_Mensual!P246, 2), "")</f>
        <v/>
      </c>
      <c r="R246" s="29">
        <f>IF(Intereses_Leasing_Mensual!Q246&gt;0, ROUND($I246-Intereses_Leasing_Mensual!Q246, 2), "")</f>
        <v/>
      </c>
      <c r="S246" s="29">
        <f>IF(Intereses_Leasing_Mensual!R246&gt;0, ROUND($I246-Intereses_Leasing_Mensual!R246, 2), "")</f>
        <v/>
      </c>
      <c r="T246" s="29">
        <f>IF(Intereses_Leasing_Mensual!S246&gt;0, ROUND($I246-Intereses_Leasing_Mensual!S246, 2), "")</f>
        <v/>
      </c>
      <c r="U246" s="29">
        <f>IF(Intereses_Leasing_Mensual!T246&gt;0, ROUND($I246-Intereses_Leasing_Mensual!T246, 2), "")</f>
        <v/>
      </c>
      <c r="V246" s="29">
        <f>SUM(J246:U246)</f>
        <v/>
      </c>
    </row>
    <row r="247">
      <c r="A247" s="20" t="inlineStr">
        <is>
          <t>0755-0001</t>
        </is>
      </c>
      <c r="B247" s="21" t="inlineStr">
        <is>
          <t>Abiam Antonio Reyna Aguilar</t>
        </is>
      </c>
      <c r="C247" s="21" t="inlineStr">
        <is>
          <t>1500 RHO</t>
        </is>
      </c>
      <c r="D247" s="20" t="inlineStr">
        <is>
          <t>ACTIVO</t>
        </is>
      </c>
      <c r="E247" s="20" t="inlineStr">
        <is>
          <t>2026-04-28</t>
        </is>
      </c>
      <c r="F247" s="20" t="inlineStr">
        <is>
          <t>2027-04-28</t>
        </is>
      </c>
      <c r="G247" s="22" t="n">
        <v>12</v>
      </c>
      <c r="H247" s="23" t="n">
        <v>1620689.66</v>
      </c>
      <c r="I247" s="23" t="n">
        <v>111259.79</v>
      </c>
      <c r="J247" s="23" t="inlineStr"/>
      <c r="K247" s="23" t="inlineStr"/>
      <c r="L247" s="23" t="inlineStr"/>
      <c r="M247" s="23">
        <f>IF(Intereses_Leasing_Mensual!L247&gt;0, ROUND($I247-Intereses_Leasing_Mensual!L247, 2), "")</f>
        <v/>
      </c>
      <c r="N247" s="23">
        <f>IF(Intereses_Leasing_Mensual!M247&gt;0, ROUND($I247-Intereses_Leasing_Mensual!M247, 2), "")</f>
        <v/>
      </c>
      <c r="O247" s="23">
        <f>IF(Intereses_Leasing_Mensual!N247&gt;0, ROUND($I247-Intereses_Leasing_Mensual!N247, 2), "")</f>
        <v/>
      </c>
      <c r="P247" s="23">
        <f>IF(Intereses_Leasing_Mensual!O247&gt;0, ROUND($I247-Intereses_Leasing_Mensual!O247, 2), "")</f>
        <v/>
      </c>
      <c r="Q247" s="23">
        <f>IF(Intereses_Leasing_Mensual!P247&gt;0, ROUND($I247-Intereses_Leasing_Mensual!P247, 2), "")</f>
        <v/>
      </c>
      <c r="R247" s="23">
        <f>IF(Intereses_Leasing_Mensual!Q247&gt;0, ROUND($I247-Intereses_Leasing_Mensual!Q247, 2), "")</f>
        <v/>
      </c>
      <c r="S247" s="23">
        <f>IF(Intereses_Leasing_Mensual!R247&gt;0, ROUND($I247-Intereses_Leasing_Mensual!R247, 2), "")</f>
        <v/>
      </c>
      <c r="T247" s="23">
        <f>IF(Intereses_Leasing_Mensual!S247&gt;0, ROUND($I247-Intereses_Leasing_Mensual!S247, 2), "")</f>
        <v/>
      </c>
      <c r="U247" s="23">
        <f>IF(Intereses_Leasing_Mensual!T247&gt;0, ROUND($I247-Intereses_Leasing_Mensual!T247, 2), "")</f>
        <v/>
      </c>
      <c r="V247" s="23">
        <f>SUM(J247:U247)</f>
        <v/>
      </c>
    </row>
    <row r="248">
      <c r="A248" s="26" t="inlineStr">
        <is>
          <t>0756-0001</t>
        </is>
      </c>
      <c r="B248" s="27" t="inlineStr">
        <is>
          <t>Agricola Hortiberry, S.A. de C.V.</t>
        </is>
      </c>
      <c r="C248" s="27" t="inlineStr">
        <is>
          <t>1200  Tradesman Chasis Cabina</t>
        </is>
      </c>
      <c r="D248" s="26" t="inlineStr">
        <is>
          <t>ACTIVO</t>
        </is>
      </c>
      <c r="E248" s="26" t="inlineStr">
        <is>
          <t>2026-05-06</t>
        </is>
      </c>
      <c r="F248" s="26" t="inlineStr">
        <is>
          <t>2030-05-06</t>
        </is>
      </c>
      <c r="G248" s="28" t="n">
        <v>48</v>
      </c>
      <c r="H248" s="29" t="n">
        <v>272791.8</v>
      </c>
      <c r="I248" s="29" t="n">
        <v>9722.129999999999</v>
      </c>
      <c r="J248" s="29" t="inlineStr"/>
      <c r="K248" s="29" t="inlineStr"/>
      <c r="L248" s="29" t="inlineStr"/>
      <c r="M248" s="29" t="inlineStr"/>
      <c r="N248" s="29">
        <f>IF(Intereses_Leasing_Mensual!M248&gt;0, ROUND($I248-Intereses_Leasing_Mensual!M248, 2), "")</f>
        <v/>
      </c>
      <c r="O248" s="29">
        <f>IF(Intereses_Leasing_Mensual!N248&gt;0, ROUND($I248-Intereses_Leasing_Mensual!N248, 2), "")</f>
        <v/>
      </c>
      <c r="P248" s="29">
        <f>IF(Intereses_Leasing_Mensual!O248&gt;0, ROUND($I248-Intereses_Leasing_Mensual!O248, 2), "")</f>
        <v/>
      </c>
      <c r="Q248" s="29">
        <f>IF(Intereses_Leasing_Mensual!P248&gt;0, ROUND($I248-Intereses_Leasing_Mensual!P248, 2), "")</f>
        <v/>
      </c>
      <c r="R248" s="29">
        <f>IF(Intereses_Leasing_Mensual!Q248&gt;0, ROUND($I248-Intereses_Leasing_Mensual!Q248, 2), "")</f>
        <v/>
      </c>
      <c r="S248" s="29">
        <f>IF(Intereses_Leasing_Mensual!R248&gt;0, ROUND($I248-Intereses_Leasing_Mensual!R248, 2), "")</f>
        <v/>
      </c>
      <c r="T248" s="29">
        <f>IF(Intereses_Leasing_Mensual!S248&gt;0, ROUND($I248-Intereses_Leasing_Mensual!S248, 2), "")</f>
        <v/>
      </c>
      <c r="U248" s="29">
        <f>IF(Intereses_Leasing_Mensual!T248&gt;0, ROUND($I248-Intereses_Leasing_Mensual!T248, 2), "")</f>
        <v/>
      </c>
      <c r="V248" s="29">
        <f>SUM(J248:U248)</f>
        <v/>
      </c>
    </row>
    <row r="249">
      <c r="A249" s="20" t="inlineStr">
        <is>
          <t>0757-0001</t>
        </is>
      </c>
      <c r="B249" s="21" t="inlineStr">
        <is>
          <t>Corporativo de Servicios Integrales de Occidente, S.A. de C.V.</t>
        </is>
      </c>
      <c r="C249" s="21" t="inlineStr">
        <is>
          <t>CX5</t>
        </is>
      </c>
      <c r="D249" s="20" t="inlineStr">
        <is>
          <t>ACTIVO</t>
        </is>
      </c>
      <c r="E249" s="20" t="inlineStr">
        <is>
          <t>2026-05-13</t>
        </is>
      </c>
      <c r="F249" s="20" t="inlineStr">
        <is>
          <t>2028-05-13</t>
        </is>
      </c>
      <c r="G249" s="22" t="n">
        <v>24</v>
      </c>
      <c r="H249" s="23" t="n">
        <v>575920</v>
      </c>
      <c r="I249" s="23" t="n">
        <v>28208.42</v>
      </c>
      <c r="J249" s="23" t="inlineStr"/>
      <c r="K249" s="23" t="inlineStr"/>
      <c r="L249" s="23" t="inlineStr"/>
      <c r="M249" s="23" t="inlineStr"/>
      <c r="N249" s="23">
        <f>IF(Intereses_Leasing_Mensual!M249&gt;0, ROUND($I249-Intereses_Leasing_Mensual!M249, 2), "")</f>
        <v/>
      </c>
      <c r="O249" s="23">
        <f>IF(Intereses_Leasing_Mensual!N249&gt;0, ROUND($I249-Intereses_Leasing_Mensual!N249, 2), "")</f>
        <v/>
      </c>
      <c r="P249" s="23">
        <f>IF(Intereses_Leasing_Mensual!O249&gt;0, ROUND($I249-Intereses_Leasing_Mensual!O249, 2), "")</f>
        <v/>
      </c>
      <c r="Q249" s="23">
        <f>IF(Intereses_Leasing_Mensual!P249&gt;0, ROUND($I249-Intereses_Leasing_Mensual!P249, 2), "")</f>
        <v/>
      </c>
      <c r="R249" s="23">
        <f>IF(Intereses_Leasing_Mensual!Q249&gt;0, ROUND($I249-Intereses_Leasing_Mensual!Q249, 2), "")</f>
        <v/>
      </c>
      <c r="S249" s="23">
        <f>IF(Intereses_Leasing_Mensual!R249&gt;0, ROUND($I249-Intereses_Leasing_Mensual!R249, 2), "")</f>
        <v/>
      </c>
      <c r="T249" s="23">
        <f>IF(Intereses_Leasing_Mensual!S249&gt;0, ROUND($I249-Intereses_Leasing_Mensual!S249, 2), "")</f>
        <v/>
      </c>
      <c r="U249" s="23">
        <f>IF(Intereses_Leasing_Mensual!T249&gt;0, ROUND($I249-Intereses_Leasing_Mensual!T249, 2), "")</f>
        <v/>
      </c>
      <c r="V249" s="23">
        <f>SUM(J249:U249)</f>
        <v/>
      </c>
    </row>
    <row r="250">
      <c r="A250" s="26" t="inlineStr">
        <is>
          <t>0757-0002</t>
        </is>
      </c>
      <c r="B250" s="27" t="inlineStr">
        <is>
          <t>Corporativo de Servicios Integrales de Occidente, S.A. de C.V.</t>
        </is>
      </c>
      <c r="C250" s="27" t="inlineStr">
        <is>
          <t>Leapmotor B10 2026</t>
        </is>
      </c>
      <c r="D250" s="26" t="inlineStr">
        <is>
          <t>ACTIVO</t>
        </is>
      </c>
      <c r="E250" s="26" t="inlineStr">
        <is>
          <t>2026-07-31</t>
        </is>
      </c>
      <c r="F250" s="26" t="inlineStr">
        <is>
          <t>2029-07-31</t>
        </is>
      </c>
      <c r="G250" s="28" t="n">
        <v>36</v>
      </c>
      <c r="H250" s="29" t="n">
        <v>298706.9</v>
      </c>
      <c r="I250" s="29" t="n">
        <v>12278.93</v>
      </c>
      <c r="J250" s="29" t="inlineStr"/>
      <c r="K250" s="29" t="inlineStr"/>
      <c r="L250" s="29" t="inlineStr"/>
      <c r="M250" s="29" t="inlineStr"/>
      <c r="N250" s="29" t="inlineStr"/>
      <c r="O250" s="29" t="inlineStr"/>
      <c r="P250" s="29">
        <f>IF(Intereses_Leasing_Mensual!O250&gt;0, ROUND($I250-Intereses_Leasing_Mensual!O250, 2), "")</f>
        <v/>
      </c>
      <c r="Q250" s="29">
        <f>IF(Intereses_Leasing_Mensual!P250&gt;0, ROUND($I250-Intereses_Leasing_Mensual!P250, 2), "")</f>
        <v/>
      </c>
      <c r="R250" s="29">
        <f>IF(Intereses_Leasing_Mensual!Q250&gt;0, ROUND($I250-Intereses_Leasing_Mensual!Q250, 2), "")</f>
        <v/>
      </c>
      <c r="S250" s="29">
        <f>IF(Intereses_Leasing_Mensual!R250&gt;0, ROUND($I250-Intereses_Leasing_Mensual!R250, 2), "")</f>
        <v/>
      </c>
      <c r="T250" s="29">
        <f>IF(Intereses_Leasing_Mensual!S250&gt;0, ROUND($I250-Intereses_Leasing_Mensual!S250, 2), "")</f>
        <v/>
      </c>
      <c r="U250" s="29">
        <f>IF(Intereses_Leasing_Mensual!T250&gt;0, ROUND($I250-Intereses_Leasing_Mensual!T250, 2), "")</f>
        <v/>
      </c>
      <c r="V250" s="29">
        <f>SUM(J250:U250)</f>
        <v/>
      </c>
    </row>
    <row r="251">
      <c r="A251" s="20" t="inlineStr">
        <is>
          <t>0758-0001</t>
        </is>
      </c>
      <c r="B251" s="21" t="inlineStr">
        <is>
          <t>Comedores y Servicios Industriales CAMSAA, S.A. de C.V.</t>
        </is>
      </c>
      <c r="C251" s="21" t="inlineStr">
        <is>
          <t>Partner Rapid</t>
        </is>
      </c>
      <c r="D251" s="20" t="inlineStr">
        <is>
          <t>ACTIVO</t>
        </is>
      </c>
      <c r="E251" s="20" t="inlineStr">
        <is>
          <t>2026-05-08</t>
        </is>
      </c>
      <c r="F251" s="20" t="inlineStr">
        <is>
          <t>2028-05-08</t>
        </is>
      </c>
      <c r="G251" s="22" t="n">
        <v>24</v>
      </c>
      <c r="H251" s="23" t="n">
        <v>304560</v>
      </c>
      <c r="I251" s="23" t="n">
        <v>14164.53</v>
      </c>
      <c r="J251" s="23" t="inlineStr"/>
      <c r="K251" s="23" t="inlineStr"/>
      <c r="L251" s="23" t="inlineStr"/>
      <c r="M251" s="23" t="inlineStr"/>
      <c r="N251" s="23">
        <f>IF(Intereses_Leasing_Mensual!M251&gt;0, ROUND($I251-Intereses_Leasing_Mensual!M251, 2), "")</f>
        <v/>
      </c>
      <c r="O251" s="23">
        <f>IF(Intereses_Leasing_Mensual!N251&gt;0, ROUND($I251-Intereses_Leasing_Mensual!N251, 2), "")</f>
        <v/>
      </c>
      <c r="P251" s="23">
        <f>IF(Intereses_Leasing_Mensual!O251&gt;0, ROUND($I251-Intereses_Leasing_Mensual!O251, 2), "")</f>
        <v/>
      </c>
      <c r="Q251" s="23">
        <f>IF(Intereses_Leasing_Mensual!P251&gt;0, ROUND($I251-Intereses_Leasing_Mensual!P251, 2), "")</f>
        <v/>
      </c>
      <c r="R251" s="23">
        <f>IF(Intereses_Leasing_Mensual!Q251&gt;0, ROUND($I251-Intereses_Leasing_Mensual!Q251, 2), "")</f>
        <v/>
      </c>
      <c r="S251" s="23">
        <f>IF(Intereses_Leasing_Mensual!R251&gt;0, ROUND($I251-Intereses_Leasing_Mensual!R251, 2), "")</f>
        <v/>
      </c>
      <c r="T251" s="23">
        <f>IF(Intereses_Leasing_Mensual!S251&gt;0, ROUND($I251-Intereses_Leasing_Mensual!S251, 2), "")</f>
        <v/>
      </c>
      <c r="U251" s="23">
        <f>IF(Intereses_Leasing_Mensual!T251&gt;0, ROUND($I251-Intereses_Leasing_Mensual!T251, 2), "")</f>
        <v/>
      </c>
      <c r="V251" s="23">
        <f>SUM(J251:U251)</f>
        <v/>
      </c>
    </row>
    <row r="252">
      <c r="A252" s="26" t="inlineStr">
        <is>
          <t>0759-0001</t>
        </is>
      </c>
      <c r="B252" s="27" t="inlineStr">
        <is>
          <t>Construcciones Ligeras Frin, S.A. de C.V.</t>
        </is>
      </c>
      <c r="C252" s="27" t="inlineStr">
        <is>
          <t>700 BIGHORN CREW CAB</t>
        </is>
      </c>
      <c r="D252" s="26" t="inlineStr">
        <is>
          <t>ACTIVO</t>
        </is>
      </c>
      <c r="E252" s="26" t="inlineStr">
        <is>
          <t>2026-05-14</t>
        </is>
      </c>
      <c r="F252" s="26" t="inlineStr">
        <is>
          <t>2029-05-14</t>
        </is>
      </c>
      <c r="G252" s="28" t="n">
        <v>36</v>
      </c>
      <c r="H252" s="29" t="n">
        <v>311920</v>
      </c>
      <c r="I252" s="29" t="n">
        <v>12913.09</v>
      </c>
      <c r="J252" s="29" t="inlineStr"/>
      <c r="K252" s="29" t="inlineStr"/>
      <c r="L252" s="29" t="inlineStr"/>
      <c r="M252" s="29" t="inlineStr"/>
      <c r="N252" s="29">
        <f>IF(Intereses_Leasing_Mensual!M252&gt;0, ROUND($I252-Intereses_Leasing_Mensual!M252, 2), "")</f>
        <v/>
      </c>
      <c r="O252" s="29">
        <f>IF(Intereses_Leasing_Mensual!N252&gt;0, ROUND($I252-Intereses_Leasing_Mensual!N252, 2), "")</f>
        <v/>
      </c>
      <c r="P252" s="29">
        <f>IF(Intereses_Leasing_Mensual!O252&gt;0, ROUND($I252-Intereses_Leasing_Mensual!O252, 2), "")</f>
        <v/>
      </c>
      <c r="Q252" s="29">
        <f>IF(Intereses_Leasing_Mensual!P252&gt;0, ROUND($I252-Intereses_Leasing_Mensual!P252, 2), "")</f>
        <v/>
      </c>
      <c r="R252" s="29">
        <f>IF(Intereses_Leasing_Mensual!Q252&gt;0, ROUND($I252-Intereses_Leasing_Mensual!Q252, 2), "")</f>
        <v/>
      </c>
      <c r="S252" s="29">
        <f>IF(Intereses_Leasing_Mensual!R252&gt;0, ROUND($I252-Intereses_Leasing_Mensual!R252, 2), "")</f>
        <v/>
      </c>
      <c r="T252" s="29">
        <f>IF(Intereses_Leasing_Mensual!S252&gt;0, ROUND($I252-Intereses_Leasing_Mensual!S252, 2), "")</f>
        <v/>
      </c>
      <c r="U252" s="29">
        <f>IF(Intereses_Leasing_Mensual!T252&gt;0, ROUND($I252-Intereses_Leasing_Mensual!T252, 2), "")</f>
        <v/>
      </c>
      <c r="V252" s="29">
        <f>SUM(J252:U252)</f>
        <v/>
      </c>
    </row>
    <row r="253">
      <c r="A253" s="20" t="inlineStr">
        <is>
          <t>0759-0002</t>
        </is>
      </c>
      <c r="B253" s="21" t="inlineStr">
        <is>
          <t>Construcciones Ligeras Frin, S.A. de C.V.</t>
        </is>
      </c>
      <c r="C253" s="21" t="inlineStr">
        <is>
          <t>700 TRADESMAN CREW CAB</t>
        </is>
      </c>
      <c r="D253" s="20" t="inlineStr">
        <is>
          <t>ACTIVO</t>
        </is>
      </c>
      <c r="E253" s="20" t="inlineStr">
        <is>
          <t>2026-05-14</t>
        </is>
      </c>
      <c r="F253" s="20" t="inlineStr">
        <is>
          <t>2029-05-14</t>
        </is>
      </c>
      <c r="G253" s="22" t="n">
        <v>36</v>
      </c>
      <c r="H253" s="23" t="n">
        <v>287920</v>
      </c>
      <c r="I253" s="23" t="n">
        <v>11919.52</v>
      </c>
      <c r="J253" s="23" t="inlineStr"/>
      <c r="K253" s="23" t="inlineStr"/>
      <c r="L253" s="23" t="inlineStr"/>
      <c r="M253" s="23" t="inlineStr"/>
      <c r="N253" s="23">
        <f>IF(Intereses_Leasing_Mensual!M253&gt;0, ROUND($I253-Intereses_Leasing_Mensual!M253, 2), "")</f>
        <v/>
      </c>
      <c r="O253" s="23">
        <f>IF(Intereses_Leasing_Mensual!N253&gt;0, ROUND($I253-Intereses_Leasing_Mensual!N253, 2), "")</f>
        <v/>
      </c>
      <c r="P253" s="23">
        <f>IF(Intereses_Leasing_Mensual!O253&gt;0, ROUND($I253-Intereses_Leasing_Mensual!O253, 2), "")</f>
        <v/>
      </c>
      <c r="Q253" s="23">
        <f>IF(Intereses_Leasing_Mensual!P253&gt;0, ROUND($I253-Intereses_Leasing_Mensual!P253, 2), "")</f>
        <v/>
      </c>
      <c r="R253" s="23">
        <f>IF(Intereses_Leasing_Mensual!Q253&gt;0, ROUND($I253-Intereses_Leasing_Mensual!Q253, 2), "")</f>
        <v/>
      </c>
      <c r="S253" s="23">
        <f>IF(Intereses_Leasing_Mensual!R253&gt;0, ROUND($I253-Intereses_Leasing_Mensual!R253, 2), "")</f>
        <v/>
      </c>
      <c r="T253" s="23">
        <f>IF(Intereses_Leasing_Mensual!S253&gt;0, ROUND($I253-Intereses_Leasing_Mensual!S253, 2), "")</f>
        <v/>
      </c>
      <c r="U253" s="23">
        <f>IF(Intereses_Leasing_Mensual!T253&gt;0, ROUND($I253-Intereses_Leasing_Mensual!T253, 2), "")</f>
        <v/>
      </c>
      <c r="V253" s="23">
        <f>SUM(J253:U253)</f>
        <v/>
      </c>
    </row>
    <row r="254">
      <c r="A254" s="26" t="inlineStr">
        <is>
          <t>0760-0001</t>
        </is>
      </c>
      <c r="B254" s="27" t="inlineStr">
        <is>
          <t>Armando Candelario Figueroa</t>
        </is>
      </c>
      <c r="C254" s="27" t="inlineStr">
        <is>
          <t>1200 TRADESMAN CHASIS CABINA</t>
        </is>
      </c>
      <c r="D254" s="26" t="inlineStr">
        <is>
          <t>ACTIVO</t>
        </is>
      </c>
      <c r="E254" s="26" t="inlineStr">
        <is>
          <t>2026-05-18</t>
        </is>
      </c>
      <c r="F254" s="26" t="inlineStr">
        <is>
          <t>2030-05-18</t>
        </is>
      </c>
      <c r="G254" s="28" t="n">
        <v>48</v>
      </c>
      <c r="H254" s="29" t="n">
        <v>291902.1</v>
      </c>
      <c r="I254" s="29" t="n">
        <v>10472.96</v>
      </c>
      <c r="J254" s="29" t="inlineStr"/>
      <c r="K254" s="29" t="inlineStr"/>
      <c r="L254" s="29" t="inlineStr"/>
      <c r="M254" s="29" t="inlineStr"/>
      <c r="N254" s="29">
        <f>IF(Intereses_Leasing_Mensual!M254&gt;0, ROUND($I254-Intereses_Leasing_Mensual!M254, 2), "")</f>
        <v/>
      </c>
      <c r="O254" s="29">
        <f>IF(Intereses_Leasing_Mensual!N254&gt;0, ROUND($I254-Intereses_Leasing_Mensual!N254, 2), "")</f>
        <v/>
      </c>
      <c r="P254" s="29">
        <f>IF(Intereses_Leasing_Mensual!O254&gt;0, ROUND($I254-Intereses_Leasing_Mensual!O254, 2), "")</f>
        <v/>
      </c>
      <c r="Q254" s="29">
        <f>IF(Intereses_Leasing_Mensual!P254&gt;0, ROUND($I254-Intereses_Leasing_Mensual!P254, 2), "")</f>
        <v/>
      </c>
      <c r="R254" s="29">
        <f>IF(Intereses_Leasing_Mensual!Q254&gt;0, ROUND($I254-Intereses_Leasing_Mensual!Q254, 2), "")</f>
        <v/>
      </c>
      <c r="S254" s="29">
        <f>IF(Intereses_Leasing_Mensual!R254&gt;0, ROUND($I254-Intereses_Leasing_Mensual!R254, 2), "")</f>
        <v/>
      </c>
      <c r="T254" s="29">
        <f>IF(Intereses_Leasing_Mensual!S254&gt;0, ROUND($I254-Intereses_Leasing_Mensual!S254, 2), "")</f>
        <v/>
      </c>
      <c r="U254" s="29">
        <f>IF(Intereses_Leasing_Mensual!T254&gt;0, ROUND($I254-Intereses_Leasing_Mensual!T254, 2), "")</f>
        <v/>
      </c>
      <c r="V254" s="29">
        <f>SUM(J254:U254)</f>
        <v/>
      </c>
    </row>
    <row r="255">
      <c r="A255" s="20" t="inlineStr">
        <is>
          <t>0761-0001</t>
        </is>
      </c>
      <c r="B255" s="21" t="inlineStr">
        <is>
          <t>Total Experience Produce, S.A.P.I. de C.V.</t>
        </is>
      </c>
      <c r="C255" s="21" t="inlineStr">
        <is>
          <t>700 BIGHORN CREW CAB</t>
        </is>
      </c>
      <c r="D255" s="20" t="inlineStr">
        <is>
          <t>ACTIVO</t>
        </is>
      </c>
      <c r="E255" s="20" t="inlineStr">
        <is>
          <t>2026-05-18</t>
        </is>
      </c>
      <c r="F255" s="20" t="inlineStr">
        <is>
          <t>2030-05-18</t>
        </is>
      </c>
      <c r="G255" s="22" t="n">
        <v>48</v>
      </c>
      <c r="H255" s="23" t="n">
        <v>360810</v>
      </c>
      <c r="I255" s="23" t="n">
        <v>13060.21</v>
      </c>
      <c r="J255" s="23" t="inlineStr"/>
      <c r="K255" s="23" t="inlineStr"/>
      <c r="L255" s="23" t="inlineStr"/>
      <c r="M255" s="23" t="inlineStr"/>
      <c r="N255" s="23">
        <f>IF(Intereses_Leasing_Mensual!M255&gt;0, ROUND($I255-Intereses_Leasing_Mensual!M255, 2), "")</f>
        <v/>
      </c>
      <c r="O255" s="23">
        <f>IF(Intereses_Leasing_Mensual!N255&gt;0, ROUND($I255-Intereses_Leasing_Mensual!N255, 2), "")</f>
        <v/>
      </c>
      <c r="P255" s="23">
        <f>IF(Intereses_Leasing_Mensual!O255&gt;0, ROUND($I255-Intereses_Leasing_Mensual!O255, 2), "")</f>
        <v/>
      </c>
      <c r="Q255" s="23">
        <f>IF(Intereses_Leasing_Mensual!P255&gt;0, ROUND($I255-Intereses_Leasing_Mensual!P255, 2), "")</f>
        <v/>
      </c>
      <c r="R255" s="23">
        <f>IF(Intereses_Leasing_Mensual!Q255&gt;0, ROUND($I255-Intereses_Leasing_Mensual!Q255, 2), "")</f>
        <v/>
      </c>
      <c r="S255" s="23">
        <f>IF(Intereses_Leasing_Mensual!R255&gt;0, ROUND($I255-Intereses_Leasing_Mensual!R255, 2), "")</f>
        <v/>
      </c>
      <c r="T255" s="23">
        <f>IF(Intereses_Leasing_Mensual!S255&gt;0, ROUND($I255-Intereses_Leasing_Mensual!S255, 2), "")</f>
        <v/>
      </c>
      <c r="U255" s="23">
        <f>IF(Intereses_Leasing_Mensual!T255&gt;0, ROUND($I255-Intereses_Leasing_Mensual!T255, 2), "")</f>
        <v/>
      </c>
      <c r="V255" s="23">
        <f>SUM(J255:U255)</f>
        <v/>
      </c>
    </row>
    <row r="256">
      <c r="A256" s="26" t="inlineStr">
        <is>
          <t>0763-0001</t>
        </is>
      </c>
      <c r="B256" s="27" t="inlineStr">
        <is>
          <t>Francisco Javier Fernández Gutiérrez</t>
        </is>
      </c>
      <c r="C256" s="27" t="inlineStr">
        <is>
          <t>1500 RHO</t>
        </is>
      </c>
      <c r="D256" s="26" t="inlineStr">
        <is>
          <t>ACTIVO</t>
        </is>
      </c>
      <c r="E256" s="26" t="inlineStr">
        <is>
          <t>2026-05-28</t>
        </is>
      </c>
      <c r="F256" s="26" t="inlineStr">
        <is>
          <t>2029-05-28</t>
        </is>
      </c>
      <c r="G256" s="28" t="n">
        <v>36</v>
      </c>
      <c r="H256" s="29" t="n">
        <v>1864000</v>
      </c>
      <c r="I256" s="29" t="n">
        <v>70058.7</v>
      </c>
      <c r="J256" s="29" t="inlineStr"/>
      <c r="K256" s="29" t="inlineStr"/>
      <c r="L256" s="29" t="inlineStr"/>
      <c r="M256" s="29" t="inlineStr"/>
      <c r="N256" s="29">
        <f>IF(Intereses_Leasing_Mensual!M256&gt;0, ROUND($I256-Intereses_Leasing_Mensual!M256, 2), "")</f>
        <v/>
      </c>
      <c r="O256" s="29">
        <f>IF(Intereses_Leasing_Mensual!N256&gt;0, ROUND($I256-Intereses_Leasing_Mensual!N256, 2), "")</f>
        <v/>
      </c>
      <c r="P256" s="29">
        <f>IF(Intereses_Leasing_Mensual!O256&gt;0, ROUND($I256-Intereses_Leasing_Mensual!O256, 2), "")</f>
        <v/>
      </c>
      <c r="Q256" s="29">
        <f>IF(Intereses_Leasing_Mensual!P256&gt;0, ROUND($I256-Intereses_Leasing_Mensual!P256, 2), "")</f>
        <v/>
      </c>
      <c r="R256" s="29">
        <f>IF(Intereses_Leasing_Mensual!Q256&gt;0, ROUND($I256-Intereses_Leasing_Mensual!Q256, 2), "")</f>
        <v/>
      </c>
      <c r="S256" s="29">
        <f>IF(Intereses_Leasing_Mensual!R256&gt;0, ROUND($I256-Intereses_Leasing_Mensual!R256, 2), "")</f>
        <v/>
      </c>
      <c r="T256" s="29">
        <f>IF(Intereses_Leasing_Mensual!S256&gt;0, ROUND($I256-Intereses_Leasing_Mensual!S256, 2), "")</f>
        <v/>
      </c>
      <c r="U256" s="29">
        <f>IF(Intereses_Leasing_Mensual!T256&gt;0, ROUND($I256-Intereses_Leasing_Mensual!T256, 2), "")</f>
        <v/>
      </c>
      <c r="V256" s="29">
        <f>SUM(J256:U256)</f>
        <v/>
      </c>
    </row>
    <row r="257">
      <c r="A257" s="20" t="inlineStr">
        <is>
          <t>0764-0001</t>
        </is>
      </c>
      <c r="B257" s="21" t="inlineStr">
        <is>
          <t>Inspectores Marítimos de México, S. de R.L. de C.V.</t>
        </is>
      </c>
      <c r="C257" s="21" t="inlineStr">
        <is>
          <t>1200 Bighorn</t>
        </is>
      </c>
      <c r="D257" s="20" t="inlineStr">
        <is>
          <t>ACTIVO</t>
        </is>
      </c>
      <c r="E257" s="20" t="inlineStr">
        <is>
          <t>2026-06-30</t>
        </is>
      </c>
      <c r="F257" s="20" t="inlineStr">
        <is>
          <t>2029-06-30</t>
        </is>
      </c>
      <c r="G257" s="22" t="n">
        <v>36</v>
      </c>
      <c r="H257" s="23" t="n">
        <v>344940</v>
      </c>
      <c r="I257" s="23" t="n">
        <v>14045.25</v>
      </c>
      <c r="J257" s="23" t="inlineStr"/>
      <c r="K257" s="23" t="inlineStr"/>
      <c r="L257" s="23" t="inlineStr"/>
      <c r="M257" s="23" t="inlineStr"/>
      <c r="N257" s="23" t="inlineStr"/>
      <c r="O257" s="23">
        <f>IF(Intereses_Leasing_Mensual!N257&gt;0, ROUND($I257-Intereses_Leasing_Mensual!N257, 2), "")</f>
        <v/>
      </c>
      <c r="P257" s="23">
        <f>IF(Intereses_Leasing_Mensual!O257&gt;0, ROUND($I257-Intereses_Leasing_Mensual!O257, 2), "")</f>
        <v/>
      </c>
      <c r="Q257" s="23">
        <f>IF(Intereses_Leasing_Mensual!P257&gt;0, ROUND($I257-Intereses_Leasing_Mensual!P257, 2), "")</f>
        <v/>
      </c>
      <c r="R257" s="23">
        <f>IF(Intereses_Leasing_Mensual!Q257&gt;0, ROUND($I257-Intereses_Leasing_Mensual!Q257, 2), "")</f>
        <v/>
      </c>
      <c r="S257" s="23">
        <f>IF(Intereses_Leasing_Mensual!R257&gt;0, ROUND($I257-Intereses_Leasing_Mensual!R257, 2), "")</f>
        <v/>
      </c>
      <c r="T257" s="23">
        <f>IF(Intereses_Leasing_Mensual!S257&gt;0, ROUND($I257-Intereses_Leasing_Mensual!S257, 2), "")</f>
        <v/>
      </c>
      <c r="U257" s="23">
        <f>IF(Intereses_Leasing_Mensual!T257&gt;0, ROUND($I257-Intereses_Leasing_Mensual!T257, 2), "")</f>
        <v/>
      </c>
      <c r="V257" s="23">
        <f>SUM(J257:U257)</f>
        <v/>
      </c>
    </row>
    <row r="258">
      <c r="A258" s="26" t="inlineStr">
        <is>
          <t>0765-0001</t>
        </is>
      </c>
      <c r="B258" s="27" t="inlineStr">
        <is>
          <t>Rafael Soltero Sánchez</t>
        </is>
      </c>
      <c r="C258" s="27" t="inlineStr">
        <is>
          <t>1200 Bighorn</t>
        </is>
      </c>
      <c r="D258" s="26" t="inlineStr">
        <is>
          <t>ACTIVO</t>
        </is>
      </c>
      <c r="E258" s="26" t="inlineStr">
        <is>
          <t>2026-06-30</t>
        </is>
      </c>
      <c r="F258" s="26" t="inlineStr">
        <is>
          <t>2030-06-30</t>
        </is>
      </c>
      <c r="G258" s="28" t="n">
        <v>48</v>
      </c>
      <c r="H258" s="29" t="n">
        <v>544410</v>
      </c>
      <c r="I258" s="29" t="n">
        <v>19705.97</v>
      </c>
      <c r="J258" s="29" t="inlineStr"/>
      <c r="K258" s="29" t="inlineStr"/>
      <c r="L258" s="29" t="inlineStr"/>
      <c r="M258" s="29" t="inlineStr"/>
      <c r="N258" s="29" t="inlineStr"/>
      <c r="O258" s="29">
        <f>IF(Intereses_Leasing_Mensual!N258&gt;0, ROUND($I258-Intereses_Leasing_Mensual!N258, 2), "")</f>
        <v/>
      </c>
      <c r="P258" s="29">
        <f>IF(Intereses_Leasing_Mensual!O258&gt;0, ROUND($I258-Intereses_Leasing_Mensual!O258, 2), "")</f>
        <v/>
      </c>
      <c r="Q258" s="29">
        <f>IF(Intereses_Leasing_Mensual!P258&gt;0, ROUND($I258-Intereses_Leasing_Mensual!P258, 2), "")</f>
        <v/>
      </c>
      <c r="R258" s="29">
        <f>IF(Intereses_Leasing_Mensual!Q258&gt;0, ROUND($I258-Intereses_Leasing_Mensual!Q258, 2), "")</f>
        <v/>
      </c>
      <c r="S258" s="29">
        <f>IF(Intereses_Leasing_Mensual!R258&gt;0, ROUND($I258-Intereses_Leasing_Mensual!R258, 2), "")</f>
        <v/>
      </c>
      <c r="T258" s="29">
        <f>IF(Intereses_Leasing_Mensual!S258&gt;0, ROUND($I258-Intereses_Leasing_Mensual!S258, 2), "")</f>
        <v/>
      </c>
      <c r="U258" s="29">
        <f>IF(Intereses_Leasing_Mensual!T258&gt;0, ROUND($I258-Intereses_Leasing_Mensual!T258, 2), "")</f>
        <v/>
      </c>
      <c r="V258" s="29">
        <f>SUM(J258:U258)</f>
        <v/>
      </c>
    </row>
    <row r="259">
      <c r="A259" s="20" t="inlineStr">
        <is>
          <t>0766-0001</t>
        </is>
      </c>
      <c r="B259" s="21" t="inlineStr">
        <is>
          <t>Javier Alejandro Carbajal Chávez</t>
        </is>
      </c>
      <c r="C259" s="21" t="inlineStr">
        <is>
          <t>Jt Rubicon</t>
        </is>
      </c>
      <c r="D259" s="20" t="inlineStr">
        <is>
          <t>ACTIVO</t>
        </is>
      </c>
      <c r="E259" s="20" t="inlineStr">
        <is>
          <t>2026-06-30</t>
        </is>
      </c>
      <c r="F259" s="20" t="inlineStr">
        <is>
          <t>2030-06-30</t>
        </is>
      </c>
      <c r="G259" s="22" t="n">
        <v>48</v>
      </c>
      <c r="H259" s="23" t="n">
        <v>1419210</v>
      </c>
      <c r="I259" s="23" t="n">
        <v>51371.04</v>
      </c>
      <c r="J259" s="23" t="inlineStr"/>
      <c r="K259" s="23" t="inlineStr"/>
      <c r="L259" s="23" t="inlineStr"/>
      <c r="M259" s="23" t="inlineStr"/>
      <c r="N259" s="23" t="inlineStr"/>
      <c r="O259" s="23">
        <f>IF(Intereses_Leasing_Mensual!N259&gt;0, ROUND($I259-Intereses_Leasing_Mensual!N259, 2), "")</f>
        <v/>
      </c>
      <c r="P259" s="23">
        <f>IF(Intereses_Leasing_Mensual!O259&gt;0, ROUND($I259-Intereses_Leasing_Mensual!O259, 2), "")</f>
        <v/>
      </c>
      <c r="Q259" s="23">
        <f>IF(Intereses_Leasing_Mensual!P259&gt;0, ROUND($I259-Intereses_Leasing_Mensual!P259, 2), "")</f>
        <v/>
      </c>
      <c r="R259" s="23">
        <f>IF(Intereses_Leasing_Mensual!Q259&gt;0, ROUND($I259-Intereses_Leasing_Mensual!Q259, 2), "")</f>
        <v/>
      </c>
      <c r="S259" s="23">
        <f>IF(Intereses_Leasing_Mensual!R259&gt;0, ROUND($I259-Intereses_Leasing_Mensual!R259, 2), "")</f>
        <v/>
      </c>
      <c r="T259" s="23">
        <f>IF(Intereses_Leasing_Mensual!S259&gt;0, ROUND($I259-Intereses_Leasing_Mensual!S259, 2), "")</f>
        <v/>
      </c>
      <c r="U259" s="23">
        <f>IF(Intereses_Leasing_Mensual!T259&gt;0, ROUND($I259-Intereses_Leasing_Mensual!T259, 2), "")</f>
        <v/>
      </c>
      <c r="V259" s="23">
        <f>SUM(J259:U259)</f>
        <v/>
      </c>
    </row>
    <row r="260">
      <c r="A260" s="26" t="inlineStr">
        <is>
          <t>0767-0001</t>
        </is>
      </c>
      <c r="B260" s="27" t="inlineStr">
        <is>
          <t>Carlos Alberto Gutiérrez Hermosillo López</t>
        </is>
      </c>
      <c r="C260" s="27" t="inlineStr">
        <is>
          <t>Commander Overland</t>
        </is>
      </c>
      <c r="D260" s="26" t="inlineStr">
        <is>
          <t>ACTIVO</t>
        </is>
      </c>
      <c r="E260" s="26" t="inlineStr">
        <is>
          <t>2026-06-30</t>
        </is>
      </c>
      <c r="F260" s="26" t="inlineStr">
        <is>
          <t>2030-06-30</t>
        </is>
      </c>
      <c r="G260" s="28" t="n">
        <v>48</v>
      </c>
      <c r="H260" s="29" t="n">
        <v>503230</v>
      </c>
      <c r="I260" s="29" t="n">
        <v>18055.05</v>
      </c>
      <c r="J260" s="29" t="inlineStr"/>
      <c r="K260" s="29" t="inlineStr"/>
      <c r="L260" s="29" t="inlineStr"/>
      <c r="M260" s="29" t="inlineStr"/>
      <c r="N260" s="29" t="inlineStr"/>
      <c r="O260" s="29">
        <f>IF(Intereses_Leasing_Mensual!N260&gt;0, ROUND($I260-Intereses_Leasing_Mensual!N260, 2), "")</f>
        <v/>
      </c>
      <c r="P260" s="29">
        <f>IF(Intereses_Leasing_Mensual!O260&gt;0, ROUND($I260-Intereses_Leasing_Mensual!O260, 2), "")</f>
        <v/>
      </c>
      <c r="Q260" s="29">
        <f>IF(Intereses_Leasing_Mensual!P260&gt;0, ROUND($I260-Intereses_Leasing_Mensual!P260, 2), "")</f>
        <v/>
      </c>
      <c r="R260" s="29">
        <f>IF(Intereses_Leasing_Mensual!Q260&gt;0, ROUND($I260-Intereses_Leasing_Mensual!Q260, 2), "")</f>
        <v/>
      </c>
      <c r="S260" s="29">
        <f>IF(Intereses_Leasing_Mensual!R260&gt;0, ROUND($I260-Intereses_Leasing_Mensual!R260, 2), "")</f>
        <v/>
      </c>
      <c r="T260" s="29">
        <f>IF(Intereses_Leasing_Mensual!S260&gt;0, ROUND($I260-Intereses_Leasing_Mensual!S260, 2), "")</f>
        <v/>
      </c>
      <c r="U260" s="29">
        <f>IF(Intereses_Leasing_Mensual!T260&gt;0, ROUND($I260-Intereses_Leasing_Mensual!T260, 2), "")</f>
        <v/>
      </c>
      <c r="V260" s="29">
        <f>SUM(J260:U260)</f>
        <v/>
      </c>
    </row>
    <row r="261">
      <c r="A261" s="20" t="inlineStr">
        <is>
          <t>0768-0001</t>
        </is>
      </c>
      <c r="B261" s="21" t="inlineStr">
        <is>
          <t>Distribuidora y Comercializadora 2000, S.A. de C.V.</t>
        </is>
      </c>
      <c r="C261" s="21" t="inlineStr">
        <is>
          <t>Manager Furgon L4H2</t>
        </is>
      </c>
      <c r="D261" s="20" t="inlineStr">
        <is>
          <t>ACTIVO</t>
        </is>
      </c>
      <c r="E261" s="20" t="inlineStr">
        <is>
          <t>2026-06-29</t>
        </is>
      </c>
      <c r="F261" s="20" t="inlineStr">
        <is>
          <t>2027-06-29</t>
        </is>
      </c>
      <c r="G261" s="22" t="n">
        <v>12</v>
      </c>
      <c r="H261" s="23" t="n">
        <v>748170</v>
      </c>
      <c r="I261" s="23" t="n">
        <v>47248.21</v>
      </c>
      <c r="J261" s="23" t="inlineStr"/>
      <c r="K261" s="23" t="inlineStr"/>
      <c r="L261" s="23" t="inlineStr"/>
      <c r="M261" s="23" t="inlineStr"/>
      <c r="N261" s="23" t="inlineStr"/>
      <c r="O261" s="23">
        <f>IF(Intereses_Leasing_Mensual!N261&gt;0, ROUND($I261-Intereses_Leasing_Mensual!N261, 2), "")</f>
        <v/>
      </c>
      <c r="P261" s="23">
        <f>IF(Intereses_Leasing_Mensual!O261&gt;0, ROUND($I261-Intereses_Leasing_Mensual!O261, 2), "")</f>
        <v/>
      </c>
      <c r="Q261" s="23">
        <f>IF(Intereses_Leasing_Mensual!P261&gt;0, ROUND($I261-Intereses_Leasing_Mensual!P261, 2), "")</f>
        <v/>
      </c>
      <c r="R261" s="23">
        <f>IF(Intereses_Leasing_Mensual!Q261&gt;0, ROUND($I261-Intereses_Leasing_Mensual!Q261, 2), "")</f>
        <v/>
      </c>
      <c r="S261" s="23">
        <f>IF(Intereses_Leasing_Mensual!R261&gt;0, ROUND($I261-Intereses_Leasing_Mensual!R261, 2), "")</f>
        <v/>
      </c>
      <c r="T261" s="23">
        <f>IF(Intereses_Leasing_Mensual!S261&gt;0, ROUND($I261-Intereses_Leasing_Mensual!S261, 2), "")</f>
        <v/>
      </c>
      <c r="U261" s="23">
        <f>IF(Intereses_Leasing_Mensual!T261&gt;0, ROUND($I261-Intereses_Leasing_Mensual!T261, 2), "")</f>
        <v/>
      </c>
      <c r="V261" s="23">
        <f>SUM(J261:U261)</f>
        <v/>
      </c>
    </row>
    <row r="262">
      <c r="A262" s="26" t="inlineStr">
        <is>
          <t>0768-0002</t>
        </is>
      </c>
      <c r="B262" s="27" t="inlineStr">
        <is>
          <t>Distribuidora y Comercializadora 2000, S.A. de C.V.</t>
        </is>
      </c>
      <c r="C262" s="27" t="inlineStr">
        <is>
          <t>Manager Furgon L4H2</t>
        </is>
      </c>
      <c r="D262" s="26" t="inlineStr">
        <is>
          <t>ACTIVO</t>
        </is>
      </c>
      <c r="E262" s="26" t="inlineStr">
        <is>
          <t>2026-06-29</t>
        </is>
      </c>
      <c r="F262" s="26" t="inlineStr">
        <is>
          <t>2027-06-29</t>
        </is>
      </c>
      <c r="G262" s="28" t="n">
        <v>12</v>
      </c>
      <c r="H262" s="29" t="n">
        <v>770850</v>
      </c>
      <c r="I262" s="29" t="n">
        <v>48680.69</v>
      </c>
      <c r="J262" s="29" t="inlineStr"/>
      <c r="K262" s="29" t="inlineStr"/>
      <c r="L262" s="29" t="inlineStr"/>
      <c r="M262" s="29" t="inlineStr"/>
      <c r="N262" s="29" t="inlineStr"/>
      <c r="O262" s="29">
        <f>IF(Intereses_Leasing_Mensual!N262&gt;0, ROUND($I262-Intereses_Leasing_Mensual!N262, 2), "")</f>
        <v/>
      </c>
      <c r="P262" s="29">
        <f>IF(Intereses_Leasing_Mensual!O262&gt;0, ROUND($I262-Intereses_Leasing_Mensual!O262, 2), "")</f>
        <v/>
      </c>
      <c r="Q262" s="29">
        <f>IF(Intereses_Leasing_Mensual!P262&gt;0, ROUND($I262-Intereses_Leasing_Mensual!P262, 2), "")</f>
        <v/>
      </c>
      <c r="R262" s="29">
        <f>IF(Intereses_Leasing_Mensual!Q262&gt;0, ROUND($I262-Intereses_Leasing_Mensual!Q262, 2), "")</f>
        <v/>
      </c>
      <c r="S262" s="29">
        <f>IF(Intereses_Leasing_Mensual!R262&gt;0, ROUND($I262-Intereses_Leasing_Mensual!R262, 2), "")</f>
        <v/>
      </c>
      <c r="T262" s="29">
        <f>IF(Intereses_Leasing_Mensual!S262&gt;0, ROUND($I262-Intereses_Leasing_Mensual!S262, 2), "")</f>
        <v/>
      </c>
      <c r="U262" s="29">
        <f>IF(Intereses_Leasing_Mensual!T262&gt;0, ROUND($I262-Intereses_Leasing_Mensual!T262, 2), "")</f>
        <v/>
      </c>
      <c r="V262" s="29">
        <f>SUM(J262:U262)</f>
        <v/>
      </c>
    </row>
    <row r="263">
      <c r="A263" s="20" t="inlineStr">
        <is>
          <t>0769-0001</t>
        </is>
      </c>
      <c r="B263" s="21" t="inlineStr">
        <is>
          <t>Paloma Bernhardt Partida</t>
        </is>
      </c>
      <c r="C263" s="21" t="inlineStr">
        <is>
          <t>700 TRADESMAN CREW CAB</t>
        </is>
      </c>
      <c r="D263" s="20" t="inlineStr">
        <is>
          <t>ACTIVO</t>
        </is>
      </c>
      <c r="E263" s="20" t="inlineStr">
        <is>
          <t>2026-06-29</t>
        </is>
      </c>
      <c r="F263" s="20" t="inlineStr">
        <is>
          <t>2029-06-29</t>
        </is>
      </c>
      <c r="G263" s="22" t="n">
        <v>36</v>
      </c>
      <c r="H263" s="23" t="n">
        <v>344747.7</v>
      </c>
      <c r="I263" s="23" t="n">
        <v>13724.5</v>
      </c>
      <c r="J263" s="23" t="inlineStr"/>
      <c r="K263" s="23" t="inlineStr"/>
      <c r="L263" s="23" t="inlineStr"/>
      <c r="M263" s="23" t="inlineStr"/>
      <c r="N263" s="23" t="inlineStr"/>
      <c r="O263" s="23">
        <f>IF(Intereses_Leasing_Mensual!N263&gt;0, ROUND($I263-Intereses_Leasing_Mensual!N263, 2), "")</f>
        <v/>
      </c>
      <c r="P263" s="23">
        <f>IF(Intereses_Leasing_Mensual!O263&gt;0, ROUND($I263-Intereses_Leasing_Mensual!O263, 2), "")</f>
        <v/>
      </c>
      <c r="Q263" s="23">
        <f>IF(Intereses_Leasing_Mensual!P263&gt;0, ROUND($I263-Intereses_Leasing_Mensual!P263, 2), "")</f>
        <v/>
      </c>
      <c r="R263" s="23">
        <f>IF(Intereses_Leasing_Mensual!Q263&gt;0, ROUND($I263-Intereses_Leasing_Mensual!Q263, 2), "")</f>
        <v/>
      </c>
      <c r="S263" s="23">
        <f>IF(Intereses_Leasing_Mensual!R263&gt;0, ROUND($I263-Intereses_Leasing_Mensual!R263, 2), "")</f>
        <v/>
      </c>
      <c r="T263" s="23">
        <f>IF(Intereses_Leasing_Mensual!S263&gt;0, ROUND($I263-Intereses_Leasing_Mensual!S263, 2), "")</f>
        <v/>
      </c>
      <c r="U263" s="23">
        <f>IF(Intereses_Leasing_Mensual!T263&gt;0, ROUND($I263-Intereses_Leasing_Mensual!T263, 2), "")</f>
        <v/>
      </c>
      <c r="V263" s="23">
        <f>SUM(J263:U263)</f>
        <v/>
      </c>
    </row>
    <row r="264">
      <c r="A264" s="26" t="inlineStr">
        <is>
          <t>0769-0002</t>
        </is>
      </c>
      <c r="B264" s="27" t="inlineStr">
        <is>
          <t>Paloma Bernhardt Partida</t>
        </is>
      </c>
      <c r="C264" s="27" t="inlineStr">
        <is>
          <t>Ram 700 Tradesman 2026</t>
        </is>
      </c>
      <c r="D264" s="26" t="inlineStr">
        <is>
          <t>ACTIVO</t>
        </is>
      </c>
      <c r="E264" s="26" t="inlineStr">
        <is>
          <t>2026-09-23</t>
        </is>
      </c>
      <c r="F264" s="26" t="inlineStr">
        <is>
          <t>2029-09-23</t>
        </is>
      </c>
      <c r="G264" s="28" t="n">
        <v>36</v>
      </c>
      <c r="H264" s="29" t="n">
        <v>299830.35</v>
      </c>
      <c r="I264" s="29" t="n">
        <v>11936.33</v>
      </c>
      <c r="J264" s="29" t="inlineStr"/>
      <c r="K264" s="29" t="inlineStr"/>
      <c r="L264" s="29" t="inlineStr"/>
      <c r="M264" s="29" t="inlineStr"/>
      <c r="N264" s="29" t="inlineStr"/>
      <c r="O264" s="29" t="inlineStr"/>
      <c r="P264" s="29" t="inlineStr"/>
      <c r="Q264" s="29" t="inlineStr"/>
      <c r="R264" s="29">
        <f>IF(Intereses_Leasing_Mensual!Q264&gt;0, ROUND($I264-Intereses_Leasing_Mensual!Q264, 2), "")</f>
        <v/>
      </c>
      <c r="S264" s="29">
        <f>IF(Intereses_Leasing_Mensual!R264&gt;0, ROUND($I264-Intereses_Leasing_Mensual!R264, 2), "")</f>
        <v/>
      </c>
      <c r="T264" s="29">
        <f>IF(Intereses_Leasing_Mensual!S264&gt;0, ROUND($I264-Intereses_Leasing_Mensual!S264, 2), "")</f>
        <v/>
      </c>
      <c r="U264" s="29">
        <f>IF(Intereses_Leasing_Mensual!T264&gt;0, ROUND($I264-Intereses_Leasing_Mensual!T264, 2), "")</f>
        <v/>
      </c>
      <c r="V264" s="29">
        <f>SUM(J264:U264)</f>
        <v/>
      </c>
    </row>
    <row r="265">
      <c r="A265" s="20" t="inlineStr">
        <is>
          <t>0770-0001</t>
        </is>
      </c>
      <c r="B265" s="21" t="inlineStr">
        <is>
          <t>Jorge Octavio Micher Camarena</t>
        </is>
      </c>
      <c r="C265" s="21" t="inlineStr">
        <is>
          <t>Jeep Cherokee Overland 2026</t>
        </is>
      </c>
      <c r="D265" s="20" t="inlineStr">
        <is>
          <t>ACTIVO</t>
        </is>
      </c>
      <c r="E265" s="20" t="inlineStr">
        <is>
          <t>2026-07-24</t>
        </is>
      </c>
      <c r="F265" s="20" t="inlineStr">
        <is>
          <t>2029-07-24</t>
        </is>
      </c>
      <c r="G265" s="22" t="n">
        <v>36</v>
      </c>
      <c r="H265" s="23" t="n">
        <v>550286.3</v>
      </c>
      <c r="I265" s="23" t="n">
        <v>22620.6</v>
      </c>
      <c r="J265" s="23" t="inlineStr"/>
      <c r="K265" s="23" t="inlineStr"/>
      <c r="L265" s="23" t="inlineStr"/>
      <c r="M265" s="23" t="inlineStr"/>
      <c r="N265" s="23" t="inlineStr"/>
      <c r="O265" s="23" t="inlineStr"/>
      <c r="P265" s="23">
        <f>IF(Intereses_Leasing_Mensual!O265&gt;0, ROUND($I265-Intereses_Leasing_Mensual!O265, 2), "")</f>
        <v/>
      </c>
      <c r="Q265" s="23">
        <f>IF(Intereses_Leasing_Mensual!P265&gt;0, ROUND($I265-Intereses_Leasing_Mensual!P265, 2), "")</f>
        <v/>
      </c>
      <c r="R265" s="23">
        <f>IF(Intereses_Leasing_Mensual!Q265&gt;0, ROUND($I265-Intereses_Leasing_Mensual!Q265, 2), "")</f>
        <v/>
      </c>
      <c r="S265" s="23">
        <f>IF(Intereses_Leasing_Mensual!R265&gt;0, ROUND($I265-Intereses_Leasing_Mensual!R265, 2), "")</f>
        <v/>
      </c>
      <c r="T265" s="23">
        <f>IF(Intereses_Leasing_Mensual!S265&gt;0, ROUND($I265-Intereses_Leasing_Mensual!S265, 2), "")</f>
        <v/>
      </c>
      <c r="U265" s="23">
        <f>IF(Intereses_Leasing_Mensual!T265&gt;0, ROUND($I265-Intereses_Leasing_Mensual!T265, 2), "")</f>
        <v/>
      </c>
      <c r="V265" s="23">
        <f>SUM(J265:U265)</f>
        <v/>
      </c>
    </row>
    <row r="266">
      <c r="A266" s="26" t="inlineStr">
        <is>
          <t>0771-0001</t>
        </is>
      </c>
      <c r="B266" s="27" t="inlineStr">
        <is>
          <t>Inbcom de Colima</t>
        </is>
      </c>
      <c r="C266" s="27" t="inlineStr">
        <is>
          <t>Ram 1200 Tradesman CC 2026</t>
        </is>
      </c>
      <c r="D266" s="26" t="inlineStr">
        <is>
          <t>ACTIVO</t>
        </is>
      </c>
      <c r="E266" s="26" t="inlineStr">
        <is>
          <t>2026-07-31</t>
        </is>
      </c>
      <c r="F266" s="26" t="inlineStr">
        <is>
          <t>2027-07-31</t>
        </is>
      </c>
      <c r="G266" s="28" t="n">
        <v>12</v>
      </c>
      <c r="H266" s="29" t="n">
        <v>391732.76</v>
      </c>
      <c r="I266" s="29" t="n">
        <v>14360.04</v>
      </c>
      <c r="J266" s="29" t="inlineStr"/>
      <c r="K266" s="29" t="inlineStr"/>
      <c r="L266" s="29" t="inlineStr"/>
      <c r="M266" s="29" t="inlineStr"/>
      <c r="N266" s="29" t="inlineStr"/>
      <c r="O266" s="29" t="inlineStr"/>
      <c r="P266" s="29">
        <f>IF(Intereses_Leasing_Mensual!O266&gt;0, ROUND($I266-Intereses_Leasing_Mensual!O266, 2), "")</f>
        <v/>
      </c>
      <c r="Q266" s="29">
        <f>IF(Intereses_Leasing_Mensual!P266&gt;0, ROUND($I266-Intereses_Leasing_Mensual!P266, 2), "")</f>
        <v/>
      </c>
      <c r="R266" s="29">
        <f>IF(Intereses_Leasing_Mensual!Q266&gt;0, ROUND($I266-Intereses_Leasing_Mensual!Q266, 2), "")</f>
        <v/>
      </c>
      <c r="S266" s="29">
        <f>IF(Intereses_Leasing_Mensual!R266&gt;0, ROUND($I266-Intereses_Leasing_Mensual!R266, 2), "")</f>
        <v/>
      </c>
      <c r="T266" s="29">
        <f>IF(Intereses_Leasing_Mensual!S266&gt;0, ROUND($I266-Intereses_Leasing_Mensual!S266, 2), "")</f>
        <v/>
      </c>
      <c r="U266" s="29">
        <f>IF(Intereses_Leasing_Mensual!T266&gt;0, ROUND($I266-Intereses_Leasing_Mensual!T266, 2), "")</f>
        <v/>
      </c>
      <c r="V266" s="29">
        <f>SUM(J266:U266)</f>
        <v/>
      </c>
    </row>
    <row r="267">
      <c r="A267" s="20" t="inlineStr">
        <is>
          <t>0772-0001</t>
        </is>
      </c>
      <c r="B267" s="21" t="inlineStr">
        <is>
          <t>Logistica y Transporte de Carga LGT</t>
        </is>
      </c>
      <c r="C267" s="21" t="inlineStr">
        <is>
          <t>Ram 1200 Laramie 2026</t>
        </is>
      </c>
      <c r="D267" s="20" t="inlineStr">
        <is>
          <t>ACTIVO</t>
        </is>
      </c>
      <c r="E267" s="20" t="inlineStr">
        <is>
          <t>2026-07-31</t>
        </is>
      </c>
      <c r="F267" s="20" t="inlineStr">
        <is>
          <t>2030-07-31</t>
        </is>
      </c>
      <c r="G267" s="22" t="n">
        <v>48</v>
      </c>
      <c r="H267" s="23" t="n">
        <v>479241.38</v>
      </c>
      <c r="I267" s="23" t="n">
        <v>17280.27</v>
      </c>
      <c r="J267" s="23" t="inlineStr"/>
      <c r="K267" s="23" t="inlineStr"/>
      <c r="L267" s="23" t="inlineStr"/>
      <c r="M267" s="23" t="inlineStr"/>
      <c r="N267" s="23" t="inlineStr"/>
      <c r="O267" s="23" t="inlineStr"/>
      <c r="P267" s="23">
        <f>IF(Intereses_Leasing_Mensual!O267&gt;0, ROUND($I267-Intereses_Leasing_Mensual!O267, 2), "")</f>
        <v/>
      </c>
      <c r="Q267" s="23">
        <f>IF(Intereses_Leasing_Mensual!P267&gt;0, ROUND($I267-Intereses_Leasing_Mensual!P267, 2), "")</f>
        <v/>
      </c>
      <c r="R267" s="23">
        <f>IF(Intereses_Leasing_Mensual!Q267&gt;0, ROUND($I267-Intereses_Leasing_Mensual!Q267, 2), "")</f>
        <v/>
      </c>
      <c r="S267" s="23">
        <f>IF(Intereses_Leasing_Mensual!R267&gt;0, ROUND($I267-Intereses_Leasing_Mensual!R267, 2), "")</f>
        <v/>
      </c>
      <c r="T267" s="23">
        <f>IF(Intereses_Leasing_Mensual!S267&gt;0, ROUND($I267-Intereses_Leasing_Mensual!S267, 2), "")</f>
        <v/>
      </c>
      <c r="U267" s="23">
        <f>IF(Intereses_Leasing_Mensual!T267&gt;0, ROUND($I267-Intereses_Leasing_Mensual!T267, 2), "")</f>
        <v/>
      </c>
      <c r="V267" s="23">
        <f>SUM(J267:U267)</f>
        <v/>
      </c>
    </row>
    <row r="268">
      <c r="A268" s="26" t="inlineStr">
        <is>
          <t>0773-0001</t>
        </is>
      </c>
      <c r="B268" s="27" t="inlineStr">
        <is>
          <t>Industrias Besthelg, S.A. de C.V.</t>
        </is>
      </c>
      <c r="C268" s="27" t="inlineStr">
        <is>
          <t>Peugeot Manager Furgon L2H2 2026</t>
        </is>
      </c>
      <c r="D268" s="26" t="inlineStr">
        <is>
          <t>ACTIVO</t>
        </is>
      </c>
      <c r="E268" s="26" t="inlineStr">
        <is>
          <t>2026-08-06</t>
        </is>
      </c>
      <c r="F268" s="26" t="inlineStr">
        <is>
          <t>2029-08-06</t>
        </is>
      </c>
      <c r="G268" s="28" t="n">
        <v>36</v>
      </c>
      <c r="H268" s="29" t="n">
        <v>664461.12</v>
      </c>
      <c r="I268" s="29" t="n">
        <v>27698.79</v>
      </c>
      <c r="J268" s="29" t="inlineStr"/>
      <c r="K268" s="29" t="inlineStr"/>
      <c r="L268" s="29" t="inlineStr"/>
      <c r="M268" s="29" t="inlineStr"/>
      <c r="N268" s="29" t="inlineStr"/>
      <c r="O268" s="29" t="inlineStr"/>
      <c r="P268" s="29" t="inlineStr"/>
      <c r="Q268" s="29">
        <f>IF(Intereses_Leasing_Mensual!P268&gt;0, ROUND($I268-Intereses_Leasing_Mensual!P268, 2), "")</f>
        <v/>
      </c>
      <c r="R268" s="29">
        <f>IF(Intereses_Leasing_Mensual!Q268&gt;0, ROUND($I268-Intereses_Leasing_Mensual!Q268, 2), "")</f>
        <v/>
      </c>
      <c r="S268" s="29">
        <f>IF(Intereses_Leasing_Mensual!R268&gt;0, ROUND($I268-Intereses_Leasing_Mensual!R268, 2), "")</f>
        <v/>
      </c>
      <c r="T268" s="29">
        <f>IF(Intereses_Leasing_Mensual!S268&gt;0, ROUND($I268-Intereses_Leasing_Mensual!S268, 2), "")</f>
        <v/>
      </c>
      <c r="U268" s="29">
        <f>IF(Intereses_Leasing_Mensual!T268&gt;0, ROUND($I268-Intereses_Leasing_Mensual!T268, 2), "")</f>
        <v/>
      </c>
      <c r="V268" s="29">
        <f>SUM(J268:U268)</f>
        <v/>
      </c>
    </row>
    <row r="269">
      <c r="A269" s="20" t="inlineStr">
        <is>
          <t>0773-0002</t>
        </is>
      </c>
      <c r="B269" s="21" t="inlineStr">
        <is>
          <t>Industrias Besthelg, S.A. de C.V.</t>
        </is>
      </c>
      <c r="C269" s="21" t="inlineStr">
        <is>
          <t>Peugeot Manager L4H2 2027</t>
        </is>
      </c>
      <c r="D269" s="20" t="inlineStr">
        <is>
          <t>ACTIVO</t>
        </is>
      </c>
      <c r="E269" s="20" t="inlineStr">
        <is>
          <t>2026-07-31</t>
        </is>
      </c>
      <c r="F269" s="20" t="inlineStr">
        <is>
          <t>2029-07-31</t>
        </is>
      </c>
      <c r="G269" s="22" t="n">
        <v>36</v>
      </c>
      <c r="H269" s="23" t="n">
        <v>761120.6899999999</v>
      </c>
      <c r="I269" s="23" t="n">
        <v>30576.76</v>
      </c>
      <c r="J269" s="23" t="inlineStr"/>
      <c r="K269" s="23" t="inlineStr"/>
      <c r="L269" s="23" t="inlineStr"/>
      <c r="M269" s="23" t="inlineStr"/>
      <c r="N269" s="23" t="inlineStr"/>
      <c r="O269" s="23" t="inlineStr"/>
      <c r="P269" s="23">
        <f>IF(Intereses_Leasing_Mensual!O269&gt;0, ROUND($I269-Intereses_Leasing_Mensual!O269, 2), "")</f>
        <v/>
      </c>
      <c r="Q269" s="23">
        <f>IF(Intereses_Leasing_Mensual!P269&gt;0, ROUND($I269-Intereses_Leasing_Mensual!P269, 2), "")</f>
        <v/>
      </c>
      <c r="R269" s="23">
        <f>IF(Intereses_Leasing_Mensual!Q269&gt;0, ROUND($I269-Intereses_Leasing_Mensual!Q269, 2), "")</f>
        <v/>
      </c>
      <c r="S269" s="23">
        <f>IF(Intereses_Leasing_Mensual!R269&gt;0, ROUND($I269-Intereses_Leasing_Mensual!R269, 2), "")</f>
        <v/>
      </c>
      <c r="T269" s="23">
        <f>IF(Intereses_Leasing_Mensual!S269&gt;0, ROUND($I269-Intereses_Leasing_Mensual!S269, 2), "")</f>
        <v/>
      </c>
      <c r="U269" s="23">
        <f>IF(Intereses_Leasing_Mensual!T269&gt;0, ROUND($I269-Intereses_Leasing_Mensual!T269, 2), "")</f>
        <v/>
      </c>
      <c r="V269" s="23">
        <f>SUM(J269:U269)</f>
        <v/>
      </c>
    </row>
    <row r="270">
      <c r="A270" s="26" t="inlineStr">
        <is>
          <t>0774-0001</t>
        </is>
      </c>
      <c r="B270" s="27" t="inlineStr">
        <is>
          <t>Grupo Plastikrom</t>
        </is>
      </c>
      <c r="C270" s="27" t="inlineStr">
        <is>
          <t>Jeep Cherokee Overland 2026</t>
        </is>
      </c>
      <c r="D270" s="26" t="inlineStr">
        <is>
          <t>ACTIVO</t>
        </is>
      </c>
      <c r="E270" s="26" t="inlineStr">
        <is>
          <t>2026-08-28</t>
        </is>
      </c>
      <c r="F270" s="26" t="inlineStr">
        <is>
          <t>2028-08-28</t>
        </is>
      </c>
      <c r="G270" s="28" t="n">
        <v>24</v>
      </c>
      <c r="H270" s="29" t="n">
        <v>537873.36</v>
      </c>
      <c r="I270" s="29" t="n">
        <v>25777.53</v>
      </c>
      <c r="J270" s="29" t="inlineStr"/>
      <c r="K270" s="29" t="inlineStr"/>
      <c r="L270" s="29" t="inlineStr"/>
      <c r="M270" s="29" t="inlineStr"/>
      <c r="N270" s="29" t="inlineStr"/>
      <c r="O270" s="29" t="inlineStr"/>
      <c r="P270" s="29" t="inlineStr"/>
      <c r="Q270" s="29">
        <f>IF(Intereses_Leasing_Mensual!P270&gt;0, ROUND($I270-Intereses_Leasing_Mensual!P270, 2), "")</f>
        <v/>
      </c>
      <c r="R270" s="29">
        <f>IF(Intereses_Leasing_Mensual!Q270&gt;0, ROUND($I270-Intereses_Leasing_Mensual!Q270, 2), "")</f>
        <v/>
      </c>
      <c r="S270" s="29">
        <f>IF(Intereses_Leasing_Mensual!R270&gt;0, ROUND($I270-Intereses_Leasing_Mensual!R270, 2), "")</f>
        <v/>
      </c>
      <c r="T270" s="29">
        <f>IF(Intereses_Leasing_Mensual!S270&gt;0, ROUND($I270-Intereses_Leasing_Mensual!S270, 2), "")</f>
        <v/>
      </c>
      <c r="U270" s="29">
        <f>IF(Intereses_Leasing_Mensual!T270&gt;0, ROUND($I270-Intereses_Leasing_Mensual!T270, 2), "")</f>
        <v/>
      </c>
      <c r="V270" s="29">
        <f>SUM(J270:U270)</f>
        <v/>
      </c>
    </row>
    <row r="271">
      <c r="A271" s="20" t="inlineStr">
        <is>
          <t>0775-0001</t>
        </is>
      </c>
      <c r="B271" s="21" t="inlineStr">
        <is>
          <t>Manuel Ledezma Iñiguez</t>
        </is>
      </c>
      <c r="C271" s="21" t="inlineStr">
        <is>
          <t>Leapmotor B10 2026</t>
        </is>
      </c>
      <c r="D271" s="20" t="inlineStr">
        <is>
          <t>ACTIVO</t>
        </is>
      </c>
      <c r="E271" s="20" t="inlineStr">
        <is>
          <t>2026-08-26</t>
        </is>
      </c>
      <c r="F271" s="20" t="inlineStr">
        <is>
          <t>2030-08-26</t>
        </is>
      </c>
      <c r="G271" s="22" t="n">
        <v>48</v>
      </c>
      <c r="H271" s="23" t="n">
        <v>299250</v>
      </c>
      <c r="I271" s="23" t="n">
        <v>10307.56</v>
      </c>
      <c r="J271" s="23" t="inlineStr"/>
      <c r="K271" s="23" t="inlineStr"/>
      <c r="L271" s="23" t="inlineStr"/>
      <c r="M271" s="23" t="inlineStr"/>
      <c r="N271" s="23" t="inlineStr"/>
      <c r="O271" s="23" t="inlineStr"/>
      <c r="P271" s="23" t="inlineStr"/>
      <c r="Q271" s="23">
        <f>IF(Intereses_Leasing_Mensual!P271&gt;0, ROUND($I271-Intereses_Leasing_Mensual!P271, 2), "")</f>
        <v/>
      </c>
      <c r="R271" s="23">
        <f>IF(Intereses_Leasing_Mensual!Q271&gt;0, ROUND($I271-Intereses_Leasing_Mensual!Q271, 2), "")</f>
        <v/>
      </c>
      <c r="S271" s="23">
        <f>IF(Intereses_Leasing_Mensual!R271&gt;0, ROUND($I271-Intereses_Leasing_Mensual!R271, 2), "")</f>
        <v/>
      </c>
      <c r="T271" s="23">
        <f>IF(Intereses_Leasing_Mensual!S271&gt;0, ROUND($I271-Intereses_Leasing_Mensual!S271, 2), "")</f>
        <v/>
      </c>
      <c r="U271" s="23">
        <f>IF(Intereses_Leasing_Mensual!T271&gt;0, ROUND($I271-Intereses_Leasing_Mensual!T271, 2), "")</f>
        <v/>
      </c>
      <c r="V271" s="23">
        <f>SUM(J271:U271)</f>
        <v/>
      </c>
    </row>
    <row r="272">
      <c r="A272" s="26" t="inlineStr">
        <is>
          <t>0776-0001</t>
        </is>
      </c>
      <c r="B272" s="27" t="inlineStr">
        <is>
          <t>Armando Serna Hernández</t>
        </is>
      </c>
      <c r="C272" s="27" t="inlineStr">
        <is>
          <t>Jeep Grand Cherokee Limited 2026</t>
        </is>
      </c>
      <c r="D272" s="26" t="inlineStr">
        <is>
          <t>ACTIVO</t>
        </is>
      </c>
      <c r="E272" s="26" t="inlineStr">
        <is>
          <t>2026-08-26</t>
        </is>
      </c>
      <c r="F272" s="26" t="inlineStr">
        <is>
          <t>2030-08-26</t>
        </is>
      </c>
      <c r="G272" s="28" t="n">
        <v>48</v>
      </c>
      <c r="H272" s="29" t="n">
        <v>964758.62</v>
      </c>
      <c r="I272" s="29" t="n">
        <v>33576.55</v>
      </c>
      <c r="J272" s="29" t="inlineStr"/>
      <c r="K272" s="29" t="inlineStr"/>
      <c r="L272" s="29" t="inlineStr"/>
      <c r="M272" s="29" t="inlineStr"/>
      <c r="N272" s="29" t="inlineStr"/>
      <c r="O272" s="29" t="inlineStr"/>
      <c r="P272" s="29" t="inlineStr"/>
      <c r="Q272" s="29">
        <f>IF(Intereses_Leasing_Mensual!P272&gt;0, ROUND($I272-Intereses_Leasing_Mensual!P272, 2), "")</f>
        <v/>
      </c>
      <c r="R272" s="29">
        <f>IF(Intereses_Leasing_Mensual!Q272&gt;0, ROUND($I272-Intereses_Leasing_Mensual!Q272, 2), "")</f>
        <v/>
      </c>
      <c r="S272" s="29">
        <f>IF(Intereses_Leasing_Mensual!R272&gt;0, ROUND($I272-Intereses_Leasing_Mensual!R272, 2), "")</f>
        <v/>
      </c>
      <c r="T272" s="29">
        <f>IF(Intereses_Leasing_Mensual!S272&gt;0, ROUND($I272-Intereses_Leasing_Mensual!S272, 2), "")</f>
        <v/>
      </c>
      <c r="U272" s="29">
        <f>IF(Intereses_Leasing_Mensual!T272&gt;0, ROUND($I272-Intereses_Leasing_Mensual!T272, 2), "")</f>
        <v/>
      </c>
      <c r="V272" s="29">
        <f>SUM(J272:U272)</f>
        <v/>
      </c>
    </row>
    <row r="273">
      <c r="A273" s="20" t="inlineStr">
        <is>
          <t>0777-0001</t>
        </is>
      </c>
      <c r="B273" s="21" t="inlineStr">
        <is>
          <t>Yazmin Alejandra Gomez Olivas</t>
        </is>
      </c>
      <c r="C273" s="21" t="inlineStr">
        <is>
          <t>Jeep Wrangler Rubicon 2026</t>
        </is>
      </c>
      <c r="D273" s="20" t="inlineStr">
        <is>
          <t>ACTIVO</t>
        </is>
      </c>
      <c r="E273" s="20" t="inlineStr">
        <is>
          <t>2026-08-31</t>
        </is>
      </c>
      <c r="F273" s="20" t="inlineStr">
        <is>
          <t>2030-08-31</t>
        </is>
      </c>
      <c r="G273" s="22" t="n">
        <v>48</v>
      </c>
      <c r="H273" s="23" t="n">
        <v>840543.1</v>
      </c>
      <c r="I273" s="23" t="n">
        <v>30157.28</v>
      </c>
      <c r="J273" s="23" t="inlineStr"/>
      <c r="K273" s="23" t="inlineStr"/>
      <c r="L273" s="23" t="inlineStr"/>
      <c r="M273" s="23" t="inlineStr"/>
      <c r="N273" s="23" t="inlineStr"/>
      <c r="O273" s="23" t="inlineStr"/>
      <c r="P273" s="23" t="inlineStr"/>
      <c r="Q273" s="23">
        <f>IF(Intereses_Leasing_Mensual!P273&gt;0, ROUND($I273-Intereses_Leasing_Mensual!P273, 2), "")</f>
        <v/>
      </c>
      <c r="R273" s="23">
        <f>IF(Intereses_Leasing_Mensual!Q273&gt;0, ROUND($I273-Intereses_Leasing_Mensual!Q273, 2), "")</f>
        <v/>
      </c>
      <c r="S273" s="23">
        <f>IF(Intereses_Leasing_Mensual!R273&gt;0, ROUND($I273-Intereses_Leasing_Mensual!R273, 2), "")</f>
        <v/>
      </c>
      <c r="T273" s="23">
        <f>IF(Intereses_Leasing_Mensual!S273&gt;0, ROUND($I273-Intereses_Leasing_Mensual!S273, 2), "")</f>
        <v/>
      </c>
      <c r="U273" s="23">
        <f>IF(Intereses_Leasing_Mensual!T273&gt;0, ROUND($I273-Intereses_Leasing_Mensual!T273, 2), "")</f>
        <v/>
      </c>
      <c r="V273" s="23">
        <f>SUM(J273:U273)</f>
        <v/>
      </c>
    </row>
    <row r="274">
      <c r="A274" s="26" t="inlineStr">
        <is>
          <t>0778-0001</t>
        </is>
      </c>
      <c r="B274" s="27" t="inlineStr">
        <is>
          <t>Construcciones y Desarrollos Inmobile, S.A. de C.V.</t>
        </is>
      </c>
      <c r="C274" s="27" t="inlineStr">
        <is>
          <t>Mitsubishi L200 2026</t>
        </is>
      </c>
      <c r="D274" s="26" t="inlineStr">
        <is>
          <t>ACTIVO</t>
        </is>
      </c>
      <c r="E274" s="26" t="inlineStr">
        <is>
          <t>2026-08-31</t>
        </is>
      </c>
      <c r="F274" s="26" t="inlineStr">
        <is>
          <t>2028-08-31</t>
        </is>
      </c>
      <c r="G274" s="28" t="n">
        <v>24</v>
      </c>
      <c r="H274" s="29" t="n">
        <v>309271.56</v>
      </c>
      <c r="I274" s="29" t="n">
        <v>15912.44</v>
      </c>
      <c r="J274" s="29" t="inlineStr"/>
      <c r="K274" s="29" t="inlineStr"/>
      <c r="L274" s="29" t="inlineStr"/>
      <c r="M274" s="29" t="inlineStr"/>
      <c r="N274" s="29" t="inlineStr"/>
      <c r="O274" s="29" t="inlineStr"/>
      <c r="P274" s="29" t="inlineStr"/>
      <c r="Q274" s="29">
        <f>IF(Intereses_Leasing_Mensual!P274&gt;0, ROUND($I274-Intereses_Leasing_Mensual!P274, 2), "")</f>
        <v/>
      </c>
      <c r="R274" s="29">
        <f>IF(Intereses_Leasing_Mensual!Q274&gt;0, ROUND($I274-Intereses_Leasing_Mensual!Q274, 2), "")</f>
        <v/>
      </c>
      <c r="S274" s="29">
        <f>IF(Intereses_Leasing_Mensual!R274&gt;0, ROUND($I274-Intereses_Leasing_Mensual!R274, 2), "")</f>
        <v/>
      </c>
      <c r="T274" s="29">
        <f>IF(Intereses_Leasing_Mensual!S274&gt;0, ROUND($I274-Intereses_Leasing_Mensual!S274, 2), "")</f>
        <v/>
      </c>
      <c r="U274" s="29">
        <f>IF(Intereses_Leasing_Mensual!T274&gt;0, ROUND($I274-Intereses_Leasing_Mensual!T274, 2), "")</f>
        <v/>
      </c>
      <c r="V274" s="29">
        <f>SUM(J274:U274)</f>
        <v/>
      </c>
    </row>
    <row r="275">
      <c r="A275" s="20" t="inlineStr">
        <is>
          <t>0779-0001</t>
        </is>
      </c>
      <c r="B275" s="21" t="inlineStr">
        <is>
          <t>Margarita Kaplun Mucharrafille</t>
        </is>
      </c>
      <c r="C275" s="21" t="inlineStr">
        <is>
          <t>Ram 700 Bighorn 2026</t>
        </is>
      </c>
      <c r="D275" s="20" t="inlineStr">
        <is>
          <t>ACTIVO</t>
        </is>
      </c>
      <c r="E275" s="20" t="inlineStr">
        <is>
          <t>2026-09-03</t>
        </is>
      </c>
      <c r="F275" s="20" t="inlineStr">
        <is>
          <t>2030-09-03</t>
        </is>
      </c>
      <c r="G275" s="22" t="n">
        <v>48</v>
      </c>
      <c r="H275" s="23" t="n">
        <v>222959.48</v>
      </c>
      <c r="I275" s="23" t="n">
        <v>7946.14</v>
      </c>
      <c r="J275" s="23" t="inlineStr"/>
      <c r="K275" s="23" t="inlineStr"/>
      <c r="L275" s="23" t="inlineStr"/>
      <c r="M275" s="23" t="inlineStr"/>
      <c r="N275" s="23" t="inlineStr"/>
      <c r="O275" s="23" t="inlineStr"/>
      <c r="P275" s="23" t="inlineStr"/>
      <c r="Q275" s="23" t="inlineStr"/>
      <c r="R275" s="23">
        <f>IF(Intereses_Leasing_Mensual!Q275&gt;0, ROUND($I275-Intereses_Leasing_Mensual!Q275, 2), "")</f>
        <v/>
      </c>
      <c r="S275" s="23">
        <f>IF(Intereses_Leasing_Mensual!R275&gt;0, ROUND($I275-Intereses_Leasing_Mensual!R275, 2), "")</f>
        <v/>
      </c>
      <c r="T275" s="23">
        <f>IF(Intereses_Leasing_Mensual!S275&gt;0, ROUND($I275-Intereses_Leasing_Mensual!S275, 2), "")</f>
        <v/>
      </c>
      <c r="U275" s="23">
        <f>IF(Intereses_Leasing_Mensual!T275&gt;0, ROUND($I275-Intereses_Leasing_Mensual!T275, 2), "")</f>
        <v/>
      </c>
      <c r="V275" s="23">
        <f>SUM(J275:U275)</f>
        <v/>
      </c>
    </row>
    <row r="276">
      <c r="A276" s="26" t="inlineStr">
        <is>
          <t>0780-0001</t>
        </is>
      </c>
      <c r="B276" s="27" t="inlineStr">
        <is>
          <t>David Rosendo Cedeño Guerrero</t>
        </is>
      </c>
      <c r="C276" s="27" t="inlineStr">
        <is>
          <t>Suzuki Jimny 2027</t>
        </is>
      </c>
      <c r="D276" s="26" t="inlineStr">
        <is>
          <t>ACTIVO</t>
        </is>
      </c>
      <c r="E276" s="26" t="inlineStr">
        <is>
          <t>2026-09-03</t>
        </is>
      </c>
      <c r="F276" s="26" t="inlineStr">
        <is>
          <t>2030-09-03</t>
        </is>
      </c>
      <c r="G276" s="28" t="n">
        <v>48</v>
      </c>
      <c r="H276" s="29" t="n">
        <v>418181.89</v>
      </c>
      <c r="I276" s="29" t="n">
        <v>15122.6</v>
      </c>
      <c r="J276" s="29" t="inlineStr"/>
      <c r="K276" s="29" t="inlineStr"/>
      <c r="L276" s="29" t="inlineStr"/>
      <c r="M276" s="29" t="inlineStr"/>
      <c r="N276" s="29" t="inlineStr"/>
      <c r="O276" s="29" t="inlineStr"/>
      <c r="P276" s="29" t="inlineStr"/>
      <c r="Q276" s="29" t="inlineStr"/>
      <c r="R276" s="29">
        <f>IF(Intereses_Leasing_Mensual!Q276&gt;0, ROUND($I276-Intereses_Leasing_Mensual!Q276, 2), "")</f>
        <v/>
      </c>
      <c r="S276" s="29">
        <f>IF(Intereses_Leasing_Mensual!R276&gt;0, ROUND($I276-Intereses_Leasing_Mensual!R276, 2), "")</f>
        <v/>
      </c>
      <c r="T276" s="29">
        <f>IF(Intereses_Leasing_Mensual!S276&gt;0, ROUND($I276-Intereses_Leasing_Mensual!S276, 2), "")</f>
        <v/>
      </c>
      <c r="U276" s="29">
        <f>IF(Intereses_Leasing_Mensual!T276&gt;0, ROUND($I276-Intereses_Leasing_Mensual!T276, 2), "")</f>
        <v/>
      </c>
      <c r="V276" s="29">
        <f>SUM(J276:U276)</f>
        <v/>
      </c>
    </row>
    <row r="277">
      <c r="A277" s="20" t="inlineStr">
        <is>
          <t>0781-0001</t>
        </is>
      </c>
      <c r="B277" s="21" t="inlineStr">
        <is>
          <t>Northstar Marine &amp; Civil, S.A. de C.V.</t>
        </is>
      </c>
      <c r="C277" s="21" t="inlineStr">
        <is>
          <t>Sany Motoniveladora 2026</t>
        </is>
      </c>
      <c r="D277" s="20" t="inlineStr">
        <is>
          <t>ACTIVO</t>
        </is>
      </c>
      <c r="E277" s="20" t="inlineStr">
        <is>
          <t>2026-09-25</t>
        </is>
      </c>
      <c r="F277" s="20" t="inlineStr">
        <is>
          <t>2028-09-25</t>
        </is>
      </c>
      <c r="G277" s="22" t="n">
        <v>24</v>
      </c>
      <c r="H277" s="23" t="n">
        <v>2621684.14</v>
      </c>
      <c r="I277" s="23" t="n">
        <v>139765.45</v>
      </c>
      <c r="J277" s="23" t="inlineStr"/>
      <c r="K277" s="23" t="inlineStr"/>
      <c r="L277" s="23" t="inlineStr"/>
      <c r="M277" s="23" t="inlineStr"/>
      <c r="N277" s="23" t="inlineStr"/>
      <c r="O277" s="23" t="inlineStr"/>
      <c r="P277" s="23" t="inlineStr"/>
      <c r="Q277" s="23" t="inlineStr"/>
      <c r="R277" s="23">
        <f>IF(Intereses_Leasing_Mensual!Q277&gt;0, ROUND($I277-Intereses_Leasing_Mensual!Q277, 2), "")</f>
        <v/>
      </c>
      <c r="S277" s="23">
        <f>IF(Intereses_Leasing_Mensual!R277&gt;0, ROUND($I277-Intereses_Leasing_Mensual!R277, 2), "")</f>
        <v/>
      </c>
      <c r="T277" s="23">
        <f>IF(Intereses_Leasing_Mensual!S277&gt;0, ROUND($I277-Intereses_Leasing_Mensual!S277, 2), "")</f>
        <v/>
      </c>
      <c r="U277" s="23">
        <f>IF(Intereses_Leasing_Mensual!T277&gt;0, ROUND($I277-Intereses_Leasing_Mensual!T277, 2), "")</f>
        <v/>
      </c>
      <c r="V277" s="23">
        <f>SUM(J277:U277)</f>
        <v/>
      </c>
    </row>
    <row r="278">
      <c r="A278" s="26" t="inlineStr">
        <is>
          <t>0783-0001</t>
        </is>
      </c>
      <c r="B278" s="27" t="inlineStr">
        <is>
          <t>Nuup Trading, S.A. de C.V.</t>
        </is>
      </c>
      <c r="C278" s="27" t="inlineStr">
        <is>
          <t>Jeep Renegade 2026</t>
        </is>
      </c>
      <c r="D278" s="26" t="inlineStr">
        <is>
          <t>ACTIVO</t>
        </is>
      </c>
      <c r="E278" s="26" t="inlineStr">
        <is>
          <t>2026-09-22</t>
        </is>
      </c>
      <c r="F278" s="26" t="inlineStr">
        <is>
          <t>2028-09-22</t>
        </is>
      </c>
      <c r="G278" s="28" t="n">
        <v>24</v>
      </c>
      <c r="H278" s="29" t="n">
        <v>302870.69</v>
      </c>
      <c r="I278" s="29" t="n">
        <v>14513.72</v>
      </c>
      <c r="J278" s="29" t="inlineStr"/>
      <c r="K278" s="29" t="inlineStr"/>
      <c r="L278" s="29" t="inlineStr"/>
      <c r="M278" s="29" t="inlineStr"/>
      <c r="N278" s="29" t="inlineStr"/>
      <c r="O278" s="29" t="inlineStr"/>
      <c r="P278" s="29" t="inlineStr"/>
      <c r="Q278" s="29" t="inlineStr"/>
      <c r="R278" s="29">
        <f>IF(Intereses_Leasing_Mensual!Q278&gt;0, ROUND($I278-Intereses_Leasing_Mensual!Q278, 2), "")</f>
        <v/>
      </c>
      <c r="S278" s="29">
        <f>IF(Intereses_Leasing_Mensual!R278&gt;0, ROUND($I278-Intereses_Leasing_Mensual!R278, 2), "")</f>
        <v/>
      </c>
      <c r="T278" s="29">
        <f>IF(Intereses_Leasing_Mensual!S278&gt;0, ROUND($I278-Intereses_Leasing_Mensual!S278, 2), "")</f>
        <v/>
      </c>
      <c r="U278" s="29">
        <f>IF(Intereses_Leasing_Mensual!T278&gt;0, ROUND($I278-Intereses_Leasing_Mensual!T278, 2), "")</f>
        <v/>
      </c>
      <c r="V278" s="29">
        <f>SUM(J278:U278)</f>
        <v/>
      </c>
    </row>
    <row r="279">
      <c r="A279" s="20" t="inlineStr">
        <is>
          <t>0784-0001</t>
        </is>
      </c>
      <c r="B279" s="21" t="inlineStr">
        <is>
          <t>Enruta App, S.A. de C.V.</t>
        </is>
      </c>
      <c r="C279" s="21" t="inlineStr">
        <is>
          <t>Dodge Attitude GT 2026</t>
        </is>
      </c>
      <c r="D279" s="20" t="inlineStr">
        <is>
          <t>ACTIVO</t>
        </is>
      </c>
      <c r="E279" s="20" t="inlineStr">
        <is>
          <t>2026-09-22</t>
        </is>
      </c>
      <c r="F279" s="20" t="inlineStr">
        <is>
          <t>2027-09-22</t>
        </is>
      </c>
      <c r="G279" s="22" t="n">
        <v>12</v>
      </c>
      <c r="H279" s="23" t="n">
        <v>318360.69</v>
      </c>
      <c r="I279" s="23" t="n">
        <v>21723.01</v>
      </c>
      <c r="J279" s="23" t="inlineStr"/>
      <c r="K279" s="23" t="inlineStr"/>
      <c r="L279" s="23" t="inlineStr"/>
      <c r="M279" s="23" t="inlineStr"/>
      <c r="N279" s="23" t="inlineStr"/>
      <c r="O279" s="23" t="inlineStr"/>
      <c r="P279" s="23" t="inlineStr"/>
      <c r="Q279" s="23" t="inlineStr"/>
      <c r="R279" s="23">
        <f>IF(Intereses_Leasing_Mensual!Q279&gt;0, ROUND($I279-Intereses_Leasing_Mensual!Q279, 2), "")</f>
        <v/>
      </c>
      <c r="S279" s="23">
        <f>IF(Intereses_Leasing_Mensual!R279&gt;0, ROUND($I279-Intereses_Leasing_Mensual!R279, 2), "")</f>
        <v/>
      </c>
      <c r="T279" s="23">
        <f>IF(Intereses_Leasing_Mensual!S279&gt;0, ROUND($I279-Intereses_Leasing_Mensual!S279, 2), "")</f>
        <v/>
      </c>
      <c r="U279" s="23">
        <f>IF(Intereses_Leasing_Mensual!T279&gt;0, ROUND($I279-Intereses_Leasing_Mensual!T279, 2), "")</f>
        <v/>
      </c>
      <c r="V279" s="23">
        <f>SUM(J279:U279)</f>
        <v/>
      </c>
    </row>
    <row r="280">
      <c r="A280" s="26" t="inlineStr">
        <is>
          <t>0785-0001</t>
        </is>
      </c>
      <c r="B280" s="27" t="inlineStr">
        <is>
          <t>Velazquez Guerrero y Asociados, S.C.</t>
        </is>
      </c>
      <c r="C280" s="27" t="inlineStr">
        <is>
          <t>Peugeot Rifter Allure Pack 2027</t>
        </is>
      </c>
      <c r="D280" s="26" t="inlineStr">
        <is>
          <t>ACTIVO</t>
        </is>
      </c>
      <c r="E280" s="26" t="inlineStr">
        <is>
          <t>2026-09-28</t>
        </is>
      </c>
      <c r="F280" s="26" t="inlineStr">
        <is>
          <t>2028-09-28</t>
        </is>
      </c>
      <c r="G280" s="28" t="n">
        <v>24</v>
      </c>
      <c r="H280" s="29" t="n">
        <v>339767.58</v>
      </c>
      <c r="I280" s="29" t="n">
        <v>16641.73</v>
      </c>
      <c r="J280" s="29" t="inlineStr"/>
      <c r="K280" s="29" t="inlineStr"/>
      <c r="L280" s="29" t="inlineStr"/>
      <c r="M280" s="29" t="inlineStr"/>
      <c r="N280" s="29" t="inlineStr"/>
      <c r="O280" s="29" t="inlineStr"/>
      <c r="P280" s="29" t="inlineStr"/>
      <c r="Q280" s="29" t="inlineStr"/>
      <c r="R280" s="29">
        <f>IF(Intereses_Leasing_Mensual!Q280&gt;0, ROUND($I280-Intereses_Leasing_Mensual!Q280, 2), "")</f>
        <v/>
      </c>
      <c r="S280" s="29">
        <f>IF(Intereses_Leasing_Mensual!R280&gt;0, ROUND($I280-Intereses_Leasing_Mensual!R280, 2), "")</f>
        <v/>
      </c>
      <c r="T280" s="29">
        <f>IF(Intereses_Leasing_Mensual!S280&gt;0, ROUND($I280-Intereses_Leasing_Mensual!S280, 2), "")</f>
        <v/>
      </c>
      <c r="U280" s="29">
        <f>IF(Intereses_Leasing_Mensual!T280&gt;0, ROUND($I280-Intereses_Leasing_Mensual!T280, 2), "")</f>
        <v/>
      </c>
      <c r="V280" s="29">
        <f>SUM(J280:U280)</f>
        <v/>
      </c>
    </row>
    <row r="281">
      <c r="A281" s="20" t="inlineStr">
        <is>
          <t>0786-0001</t>
        </is>
      </c>
      <c r="B281" s="21" t="inlineStr">
        <is>
          <t>Consejería Jurídico Empresarial, S.C.</t>
        </is>
      </c>
      <c r="C281" s="21" t="inlineStr">
        <is>
          <t>Mitsubishi Outlander Sport Limited 2027</t>
        </is>
      </c>
      <c r="D281" s="20" t="inlineStr">
        <is>
          <t>ACTIVO</t>
        </is>
      </c>
      <c r="E281" s="20" t="inlineStr">
        <is>
          <t>2026-09-28</t>
        </is>
      </c>
      <c r="F281" s="20" t="inlineStr">
        <is>
          <t>2028-09-28</t>
        </is>
      </c>
      <c r="G281" s="22" t="n">
        <v>24</v>
      </c>
      <c r="H281" s="23" t="n">
        <v>333009.31</v>
      </c>
      <c r="I281" s="23" t="n">
        <v>15957.97</v>
      </c>
      <c r="J281" s="23" t="inlineStr"/>
      <c r="K281" s="23" t="inlineStr"/>
      <c r="L281" s="23" t="inlineStr"/>
      <c r="M281" s="23" t="inlineStr"/>
      <c r="N281" s="23" t="inlineStr"/>
      <c r="O281" s="23" t="inlineStr"/>
      <c r="P281" s="23" t="inlineStr"/>
      <c r="Q281" s="23" t="inlineStr"/>
      <c r="R281" s="23">
        <f>IF(Intereses_Leasing_Mensual!Q281&gt;0, ROUND($I281-Intereses_Leasing_Mensual!Q281, 2), "")</f>
        <v/>
      </c>
      <c r="S281" s="23">
        <f>IF(Intereses_Leasing_Mensual!R281&gt;0, ROUND($I281-Intereses_Leasing_Mensual!R281, 2), "")</f>
        <v/>
      </c>
      <c r="T281" s="23">
        <f>IF(Intereses_Leasing_Mensual!S281&gt;0, ROUND($I281-Intereses_Leasing_Mensual!S281, 2), "")</f>
        <v/>
      </c>
      <c r="U281" s="23">
        <f>IF(Intereses_Leasing_Mensual!T281&gt;0, ROUND($I281-Intereses_Leasing_Mensual!T281, 2), "")</f>
        <v/>
      </c>
      <c r="V281" s="23">
        <f>SUM(J281:U281)</f>
        <v/>
      </c>
    </row>
    <row r="282">
      <c r="A282" s="32" t="inlineStr">
        <is>
          <t>TOTAL CARTERA</t>
        </is>
      </c>
      <c r="B282" s="33" t="inlineStr">
        <is>
          <t>277 Contratos</t>
        </is>
      </c>
      <c r="C282" s="34" t="n"/>
      <c r="D282" s="34" t="n"/>
      <c r="E282" s="34" t="n"/>
      <c r="F282" s="34" t="n"/>
      <c r="G282" s="34" t="n"/>
      <c r="H282" s="34" t="n"/>
      <c r="I282" s="34" t="n"/>
      <c r="J282" s="35">
        <f>SUM(J5:J281)</f>
        <v/>
      </c>
      <c r="K282" s="35">
        <f>SUM(K5:K281)</f>
        <v/>
      </c>
      <c r="L282" s="35">
        <f>SUM(L5:L281)</f>
        <v/>
      </c>
      <c r="M282" s="35">
        <f>SUM(M5:M281)</f>
        <v/>
      </c>
      <c r="N282" s="35">
        <f>SUM(N5:N281)</f>
        <v/>
      </c>
      <c r="O282" s="35">
        <f>SUM(O5:O281)</f>
        <v/>
      </c>
      <c r="P282" s="35">
        <f>SUM(P5:P281)</f>
        <v/>
      </c>
      <c r="Q282" s="35">
        <f>SUM(Q5:Q281)</f>
        <v/>
      </c>
      <c r="R282" s="35">
        <f>SUM(R5:R281)</f>
        <v/>
      </c>
      <c r="S282" s="35">
        <f>SUM(S5:S281)</f>
        <v/>
      </c>
      <c r="T282" s="35">
        <f>SUM(T5:T281)</f>
        <v/>
      </c>
      <c r="U282" s="35">
        <f>SUM(U5:U281)</f>
        <v/>
      </c>
      <c r="V282" s="35">
        <f>SUM(V5:V281)</f>
        <v/>
      </c>
    </row>
  </sheetData>
  <autoFilter ref="A4:V281"/>
  <mergeCells count="2">
    <mergeCell ref="A1:O1"/>
    <mergeCell ref="A2: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82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2" customWidth="1" min="4" max="4"/>
    <col width="13" customWidth="1" min="5" max="5"/>
    <col width="15" customWidth="1" min="6" max="6"/>
    <col width="10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24" customHeight="1">
      <c r="A1" s="18" t="inlineStr">
        <is>
          <t>O-LEASING · UNA APP DE ORANGE CREW · Saldos Insolutos de Capital al Cierre de Cada Mes</t>
        </is>
      </c>
    </row>
    <row r="2" ht="16" customHeight="1">
      <c r="A2" s="3" t="inlineStr">
        <is>
          <t>Saldo insoluto de principal con fórmulas vivas: Saldo_Anterior - Capital_Amortizado · Auditoría Financiera NIF C-15 / IFRS 16 · Desarrollado por Orange Crew</t>
        </is>
      </c>
    </row>
    <row r="4" ht="26" customHeight="1">
      <c r="A4" s="19" t="inlineStr">
        <is>
          <t>ID_Contrato</t>
        </is>
      </c>
      <c r="B4" s="19" t="inlineStr">
        <is>
          <t>Cliente</t>
        </is>
      </c>
      <c r="C4" s="19" t="inlineStr">
        <is>
          <t>Vehiculo</t>
        </is>
      </c>
      <c r="D4" s="19" t="inlineStr">
        <is>
          <t>Estatus</t>
        </is>
      </c>
      <c r="E4" s="19" t="inlineStr">
        <is>
          <t>Fecha_Alta</t>
        </is>
      </c>
      <c r="F4" s="19" t="inlineStr">
        <is>
          <t>Fecha_Vencimiento</t>
        </is>
      </c>
      <c r="G4" s="19" t="inlineStr">
        <is>
          <t>Plazo</t>
        </is>
      </c>
      <c r="H4" s="19" t="inlineStr">
        <is>
          <t>Inversion_Neta</t>
        </is>
      </c>
      <c r="I4" s="9" t="inlineStr">
        <is>
          <t>2026-01</t>
        </is>
      </c>
      <c r="J4" s="9" t="inlineStr">
        <is>
          <t>2026-02</t>
        </is>
      </c>
      <c r="K4" s="9" t="inlineStr">
        <is>
          <t>2026-03</t>
        </is>
      </c>
      <c r="L4" s="9" t="inlineStr">
        <is>
          <t>2026-04</t>
        </is>
      </c>
      <c r="M4" s="9" t="inlineStr">
        <is>
          <t>2026-05</t>
        </is>
      </c>
      <c r="N4" s="9" t="inlineStr">
        <is>
          <t>2026-06</t>
        </is>
      </c>
      <c r="O4" s="9" t="inlineStr">
        <is>
          <t>2026-07</t>
        </is>
      </c>
      <c r="P4" s="9" t="inlineStr">
        <is>
          <t>2026-08</t>
        </is>
      </c>
      <c r="Q4" s="9" t="inlineStr">
        <is>
          <t>2026-09</t>
        </is>
      </c>
      <c r="R4" s="9" t="inlineStr">
        <is>
          <t>2026-10</t>
        </is>
      </c>
      <c r="S4" s="9" t="inlineStr">
        <is>
          <t>2026-11</t>
        </is>
      </c>
      <c r="T4" s="9" t="inlineStr">
        <is>
          <t>2026-12</t>
        </is>
      </c>
      <c r="U4" s="46" t="inlineStr">
        <is>
          <t>Saldo_Capital_Cierre</t>
        </is>
      </c>
    </row>
    <row r="5">
      <c r="A5" s="20" t="inlineStr">
        <is>
          <t>0326-0003</t>
        </is>
      </c>
      <c r="B5" s="21" t="inlineStr">
        <is>
          <t>Alberto Vázquez Solorio</t>
        </is>
      </c>
      <c r="C5" s="21" t="inlineStr">
        <is>
          <t>Volkswagen Tiguan R-Line 2026</t>
        </is>
      </c>
      <c r="D5" s="20" t="inlineStr">
        <is>
          <t>ACTIVO</t>
        </is>
      </c>
      <c r="E5" s="20" t="inlineStr">
        <is>
          <t>2026-09-16</t>
        </is>
      </c>
      <c r="F5" s="20" t="inlineStr">
        <is>
          <t>2030-09-16</t>
        </is>
      </c>
      <c r="G5" s="22" t="n">
        <v>48</v>
      </c>
      <c r="H5" s="23" t="n">
        <v>406120.26</v>
      </c>
      <c r="I5" s="23" t="inlineStr"/>
      <c r="J5" s="23" t="inlineStr"/>
      <c r="K5" s="23" t="inlineStr"/>
      <c r="L5" s="23" t="inlineStr"/>
      <c r="M5" s="23" t="inlineStr"/>
      <c r="N5" s="23" t="inlineStr"/>
      <c r="O5" s="23" t="inlineStr"/>
      <c r="P5" s="23" t="inlineStr"/>
      <c r="Q5" s="23">
        <f>IF(Amortizacion_Capital_Mensual!R5&gt;0, ROUND($H5 - Amortizacion_Capital_Mensual!R5, 2), "")</f>
        <v/>
      </c>
      <c r="R5" s="23">
        <f>IF(Amortizacion_Capital_Mensual!S5&gt;0, ROUND(Q5 - Amortizacion_Capital_Mensual!S5, 2), "")</f>
        <v/>
      </c>
      <c r="S5" s="23">
        <f>IF(Amortizacion_Capital_Mensual!T5&gt;0, ROUND(R5 - Amortizacion_Capital_Mensual!T5, 2), "")</f>
        <v/>
      </c>
      <c r="T5" s="23">
        <f>IF(Amortizacion_Capital_Mensual!U5&gt;0, ROUND(S5 - Amortizacion_Capital_Mensual!U5, 2), "")</f>
        <v/>
      </c>
      <c r="U5" s="23">
        <f>MAX(I5:T5)</f>
        <v/>
      </c>
    </row>
    <row r="6">
      <c r="A6" s="26" t="inlineStr">
        <is>
          <t>0472-0003</t>
        </is>
      </c>
      <c r="B6" s="27" t="inlineStr">
        <is>
          <t>Miguel Zazueta Beltrán</t>
        </is>
      </c>
      <c r="C6" s="27" t="inlineStr">
        <is>
          <t>Jeep Grand Cherokee</t>
        </is>
      </c>
      <c r="D6" s="26" t="inlineStr">
        <is>
          <t>ACTIVO</t>
        </is>
      </c>
      <c r="E6" s="26" t="inlineStr">
        <is>
          <t>2026-02-03</t>
        </is>
      </c>
      <c r="F6" s="26" t="inlineStr">
        <is>
          <t>2029-02-03</t>
        </is>
      </c>
      <c r="G6" s="28" t="n">
        <v>36</v>
      </c>
      <c r="H6" s="29" t="n">
        <v>852203.53</v>
      </c>
      <c r="I6" s="29" t="inlineStr"/>
      <c r="J6" s="29">
        <f>IF(Amortizacion_Capital_Mensual!K6&gt;0, ROUND($H6 - Amortizacion_Capital_Mensual!K6, 2), "")</f>
        <v/>
      </c>
      <c r="K6" s="29">
        <f>IF(Amortizacion_Capital_Mensual!L6&gt;0, ROUND(J6 - Amortizacion_Capital_Mensual!L6, 2), "")</f>
        <v/>
      </c>
      <c r="L6" s="29">
        <f>IF(Amortizacion_Capital_Mensual!M6&gt;0, ROUND(K6 - Amortizacion_Capital_Mensual!M6, 2), "")</f>
        <v/>
      </c>
      <c r="M6" s="29">
        <f>IF(Amortizacion_Capital_Mensual!N6&gt;0, ROUND(L6 - Amortizacion_Capital_Mensual!N6, 2), "")</f>
        <v/>
      </c>
      <c r="N6" s="29">
        <f>IF(Amortizacion_Capital_Mensual!O6&gt;0, ROUND(M6 - Amortizacion_Capital_Mensual!O6, 2), "")</f>
        <v/>
      </c>
      <c r="O6" s="29">
        <f>IF(Amortizacion_Capital_Mensual!P6&gt;0, ROUND(N6 - Amortizacion_Capital_Mensual!P6, 2), "")</f>
        <v/>
      </c>
      <c r="P6" s="29">
        <f>IF(Amortizacion_Capital_Mensual!Q6&gt;0, ROUND(O6 - Amortizacion_Capital_Mensual!Q6, 2), "")</f>
        <v/>
      </c>
      <c r="Q6" s="29">
        <f>IF(Amortizacion_Capital_Mensual!R6&gt;0, ROUND(P6 - Amortizacion_Capital_Mensual!R6, 2), "")</f>
        <v/>
      </c>
      <c r="R6" s="29">
        <f>IF(Amortizacion_Capital_Mensual!S6&gt;0, ROUND(Q6 - Amortizacion_Capital_Mensual!S6, 2), "")</f>
        <v/>
      </c>
      <c r="S6" s="29">
        <f>IF(Amortizacion_Capital_Mensual!T6&gt;0, ROUND(R6 - Amortizacion_Capital_Mensual!T6, 2), "")</f>
        <v/>
      </c>
      <c r="T6" s="29">
        <f>IF(Amortizacion_Capital_Mensual!U6&gt;0, ROUND(S6 - Amortizacion_Capital_Mensual!U6, 2), "")</f>
        <v/>
      </c>
      <c r="U6" s="29">
        <f>MAX(I6:T6)</f>
        <v/>
      </c>
    </row>
    <row r="7">
      <c r="A7" s="20" t="inlineStr">
        <is>
          <t>0504-0004</t>
        </is>
      </c>
      <c r="B7" s="21" t="inlineStr">
        <is>
          <t>Oscar Ivan Lozano Terriquez</t>
        </is>
      </c>
      <c r="C7" s="21" t="inlineStr">
        <is>
          <t>700 BIGHORN "S" CREW CAB MT</t>
        </is>
      </c>
      <c r="D7" s="20" t="inlineStr">
        <is>
          <t>ACTIVO</t>
        </is>
      </c>
      <c r="E7" s="20" t="inlineStr">
        <is>
          <t>2026-01-05</t>
        </is>
      </c>
      <c r="F7" s="20" t="inlineStr">
        <is>
          <t>2027-01-05</t>
        </is>
      </c>
      <c r="G7" s="22" t="n">
        <v>12</v>
      </c>
      <c r="H7" s="23" t="n">
        <v>229125</v>
      </c>
      <c r="I7" s="23">
        <f>IF(Amortizacion_Capital_Mensual!J7&gt;0, ROUND($H7 - Amortizacion_Capital_Mensual!J7, 2), "")</f>
        <v/>
      </c>
      <c r="J7" s="23">
        <f>IF(Amortizacion_Capital_Mensual!K7&gt;0, ROUND(I7 - Amortizacion_Capital_Mensual!K7, 2), "")</f>
        <v/>
      </c>
      <c r="K7" s="23">
        <f>IF(Amortizacion_Capital_Mensual!L7&gt;0, ROUND(J7 - Amortizacion_Capital_Mensual!L7, 2), "")</f>
        <v/>
      </c>
      <c r="L7" s="23">
        <f>IF(Amortizacion_Capital_Mensual!M7&gt;0, ROUND(K7 - Amortizacion_Capital_Mensual!M7, 2), "")</f>
        <v/>
      </c>
      <c r="M7" s="23">
        <f>IF(Amortizacion_Capital_Mensual!N7&gt;0, ROUND(L7 - Amortizacion_Capital_Mensual!N7, 2), "")</f>
        <v/>
      </c>
      <c r="N7" s="23">
        <f>IF(Amortizacion_Capital_Mensual!O7&gt;0, ROUND(M7 - Amortizacion_Capital_Mensual!O7, 2), "")</f>
        <v/>
      </c>
      <c r="O7" s="23">
        <f>IF(Amortizacion_Capital_Mensual!P7&gt;0, ROUND(N7 - Amortizacion_Capital_Mensual!P7, 2), "")</f>
        <v/>
      </c>
      <c r="P7" s="23">
        <f>IF(Amortizacion_Capital_Mensual!Q7&gt;0, ROUND(O7 - Amortizacion_Capital_Mensual!Q7, 2), "")</f>
        <v/>
      </c>
      <c r="Q7" s="23">
        <f>IF(Amortizacion_Capital_Mensual!R7&gt;0, ROUND(P7 - Amortizacion_Capital_Mensual!R7, 2), "")</f>
        <v/>
      </c>
      <c r="R7" s="23">
        <f>IF(Amortizacion_Capital_Mensual!S7&gt;0, ROUND(Q7 - Amortizacion_Capital_Mensual!S7, 2), "")</f>
        <v/>
      </c>
      <c r="S7" s="23">
        <f>IF(Amortizacion_Capital_Mensual!T7&gt;0, ROUND(R7 - Amortizacion_Capital_Mensual!T7, 2), "")</f>
        <v/>
      </c>
      <c r="T7" s="23">
        <f>IF(Amortizacion_Capital_Mensual!U7&gt;0, ROUND(S7 - Amortizacion_Capital_Mensual!U7, 2), "")</f>
        <v/>
      </c>
      <c r="U7" s="23">
        <f>MAX(I7:T7)</f>
        <v/>
      </c>
    </row>
    <row r="8">
      <c r="A8" s="26" t="inlineStr">
        <is>
          <t>0506-0006</t>
        </is>
      </c>
      <c r="B8" s="27" t="inlineStr">
        <is>
          <t>Electronic Accounting Sa de Cv</t>
        </is>
      </c>
      <c r="C8" s="27" t="inlineStr">
        <is>
          <t>X5</t>
        </is>
      </c>
      <c r="D8" s="26" t="inlineStr">
        <is>
          <t>ACTIVO</t>
        </is>
      </c>
      <c r="E8" s="26" t="inlineStr">
        <is>
          <t>2024-01-10</t>
        </is>
      </c>
      <c r="F8" s="26" t="inlineStr">
        <is>
          <t>2027-01-10</t>
        </is>
      </c>
      <c r="G8" s="28" t="n">
        <v>36</v>
      </c>
      <c r="H8" s="29" t="n">
        <v>1336969.4</v>
      </c>
      <c r="I8" s="29">
        <f>IF(Amortizacion_Capital_Mensual!J8&gt;0, ROUND(868919.79 - Amortizacion_Capital_Mensual!J8, 2), "")</f>
        <v/>
      </c>
      <c r="J8" s="29">
        <f>IF(Amortizacion_Capital_Mensual!K8&gt;0, ROUND(I8 - Amortizacion_Capital_Mensual!K8, 2), "")</f>
        <v/>
      </c>
      <c r="K8" s="29">
        <f>IF(Amortizacion_Capital_Mensual!L8&gt;0, ROUND(J8 - Amortizacion_Capital_Mensual!L8, 2), "")</f>
        <v/>
      </c>
      <c r="L8" s="29">
        <f>IF(Amortizacion_Capital_Mensual!M8&gt;0, ROUND(K8 - Amortizacion_Capital_Mensual!M8, 2), "")</f>
        <v/>
      </c>
      <c r="M8" s="29">
        <f>IF(Amortizacion_Capital_Mensual!N8&gt;0, ROUND(L8 - Amortizacion_Capital_Mensual!N8, 2), "")</f>
        <v/>
      </c>
      <c r="N8" s="29">
        <f>IF(Amortizacion_Capital_Mensual!O8&gt;0, ROUND(M8 - Amortizacion_Capital_Mensual!O8, 2), "")</f>
        <v/>
      </c>
      <c r="O8" s="29">
        <f>IF(Amortizacion_Capital_Mensual!P8&gt;0, ROUND(N8 - Amortizacion_Capital_Mensual!P8, 2), "")</f>
        <v/>
      </c>
      <c r="P8" s="29">
        <f>IF(Amortizacion_Capital_Mensual!Q8&gt;0, ROUND(O8 - Amortizacion_Capital_Mensual!Q8, 2), "")</f>
        <v/>
      </c>
      <c r="Q8" s="29">
        <f>IF(Amortizacion_Capital_Mensual!R8&gt;0, ROUND(P8 - Amortizacion_Capital_Mensual!R8, 2), "")</f>
        <v/>
      </c>
      <c r="R8" s="29">
        <f>IF(Amortizacion_Capital_Mensual!S8&gt;0, ROUND(Q8 - Amortizacion_Capital_Mensual!S8, 2), "")</f>
        <v/>
      </c>
      <c r="S8" s="29">
        <f>IF(Amortizacion_Capital_Mensual!T8&gt;0, ROUND(R8 - Amortizacion_Capital_Mensual!T8, 2), "")</f>
        <v/>
      </c>
      <c r="T8" s="29">
        <f>IF(Amortizacion_Capital_Mensual!U8&gt;0, ROUND(S8 - Amortizacion_Capital_Mensual!U8, 2), "")</f>
        <v/>
      </c>
      <c r="U8" s="29">
        <f>MAX(I8:T8)</f>
        <v/>
      </c>
    </row>
    <row r="9">
      <c r="A9" s="20" t="inlineStr">
        <is>
          <t>0506-0007</t>
        </is>
      </c>
      <c r="B9" s="21" t="inlineStr">
        <is>
          <t>Electronic Acounting</t>
        </is>
      </c>
      <c r="C9" s="21" t="inlineStr">
        <is>
          <t>L200 Glx Diesel</t>
        </is>
      </c>
      <c r="D9" s="20" t="inlineStr">
        <is>
          <t>ACTIVO</t>
        </is>
      </c>
      <c r="E9" s="20" t="inlineStr">
        <is>
          <t>2024-09-05</t>
        </is>
      </c>
      <c r="F9" s="20" t="inlineStr">
        <is>
          <t>2027-09-05</t>
        </is>
      </c>
      <c r="G9" s="22" t="n">
        <v>36</v>
      </c>
      <c r="H9" s="23" t="n">
        <v>536762.9300000001</v>
      </c>
      <c r="I9" s="23">
        <f>IF(Amortizacion_Capital_Mensual!J9&gt;0, ROUND(409096.92 - Amortizacion_Capital_Mensual!J9, 2), "")</f>
        <v/>
      </c>
      <c r="J9" s="23">
        <f>IF(Amortizacion_Capital_Mensual!K9&gt;0, ROUND(I9 - Amortizacion_Capital_Mensual!K9, 2), "")</f>
        <v/>
      </c>
      <c r="K9" s="23">
        <f>IF(Amortizacion_Capital_Mensual!L9&gt;0, ROUND(J9 - Amortizacion_Capital_Mensual!L9, 2), "")</f>
        <v/>
      </c>
      <c r="L9" s="23">
        <f>IF(Amortizacion_Capital_Mensual!M9&gt;0, ROUND(K9 - Amortizacion_Capital_Mensual!M9, 2), "")</f>
        <v/>
      </c>
      <c r="M9" s="23">
        <f>IF(Amortizacion_Capital_Mensual!N9&gt;0, ROUND(L9 - Amortizacion_Capital_Mensual!N9, 2), "")</f>
        <v/>
      </c>
      <c r="N9" s="23">
        <f>IF(Amortizacion_Capital_Mensual!O9&gt;0, ROUND(M9 - Amortizacion_Capital_Mensual!O9, 2), "")</f>
        <v/>
      </c>
      <c r="O9" s="23">
        <f>IF(Amortizacion_Capital_Mensual!P9&gt;0, ROUND(N9 - Amortizacion_Capital_Mensual!P9, 2), "")</f>
        <v/>
      </c>
      <c r="P9" s="23">
        <f>IF(Amortizacion_Capital_Mensual!Q9&gt;0, ROUND(O9 - Amortizacion_Capital_Mensual!Q9, 2), "")</f>
        <v/>
      </c>
      <c r="Q9" s="23">
        <f>IF(Amortizacion_Capital_Mensual!R9&gt;0, ROUND(P9 - Amortizacion_Capital_Mensual!R9, 2), "")</f>
        <v/>
      </c>
      <c r="R9" s="23">
        <f>IF(Amortizacion_Capital_Mensual!S9&gt;0, ROUND(Q9 - Amortizacion_Capital_Mensual!S9, 2), "")</f>
        <v/>
      </c>
      <c r="S9" s="23">
        <f>IF(Amortizacion_Capital_Mensual!T9&gt;0, ROUND(R9 - Amortizacion_Capital_Mensual!T9, 2), "")</f>
        <v/>
      </c>
      <c r="T9" s="23">
        <f>IF(Amortizacion_Capital_Mensual!U9&gt;0, ROUND(S9 - Amortizacion_Capital_Mensual!U9, 2), "")</f>
        <v/>
      </c>
      <c r="U9" s="23">
        <f>MAX(I9:T9)</f>
        <v/>
      </c>
    </row>
    <row r="10">
      <c r="A10" s="26" t="inlineStr">
        <is>
          <t>0519-0005</t>
        </is>
      </c>
      <c r="B10" s="27" t="inlineStr">
        <is>
          <t>Tequilas el Mexicano S.A. de C.V.</t>
        </is>
      </c>
      <c r="C10" s="27" t="inlineStr">
        <is>
          <t>Attitude Sport</t>
        </is>
      </c>
      <c r="D10" s="26" t="inlineStr">
        <is>
          <t>ACTIVO</t>
        </is>
      </c>
      <c r="E10" s="26" t="inlineStr">
        <is>
          <t>2025-07-14</t>
        </is>
      </c>
      <c r="F10" s="26" t="inlineStr">
        <is>
          <t>2029-07-14</t>
        </is>
      </c>
      <c r="G10" s="28" t="n">
        <v>48</v>
      </c>
      <c r="H10" s="29" t="n">
        <v>317250</v>
      </c>
      <c r="I10" s="29">
        <f>IF(Amortizacion_Capital_Mensual!J10&gt;0, ROUND(298355.25 - Amortizacion_Capital_Mensual!J10, 2), "")</f>
        <v/>
      </c>
      <c r="J10" s="29">
        <f>IF(Amortizacion_Capital_Mensual!K10&gt;0, ROUND(I10 - Amortizacion_Capital_Mensual!K10, 2), "")</f>
        <v/>
      </c>
      <c r="K10" s="29">
        <f>IF(Amortizacion_Capital_Mensual!L10&gt;0, ROUND(J10 - Amortizacion_Capital_Mensual!L10, 2), "")</f>
        <v/>
      </c>
      <c r="L10" s="29">
        <f>IF(Amortizacion_Capital_Mensual!M10&gt;0, ROUND(K10 - Amortizacion_Capital_Mensual!M10, 2), "")</f>
        <v/>
      </c>
      <c r="M10" s="29">
        <f>IF(Amortizacion_Capital_Mensual!N10&gt;0, ROUND(L10 - Amortizacion_Capital_Mensual!N10, 2), "")</f>
        <v/>
      </c>
      <c r="N10" s="29">
        <f>IF(Amortizacion_Capital_Mensual!O10&gt;0, ROUND(M10 - Amortizacion_Capital_Mensual!O10, 2), "")</f>
        <v/>
      </c>
      <c r="O10" s="29">
        <f>IF(Amortizacion_Capital_Mensual!P10&gt;0, ROUND(N10 - Amortizacion_Capital_Mensual!P10, 2), "")</f>
        <v/>
      </c>
      <c r="P10" s="29">
        <f>IF(Amortizacion_Capital_Mensual!Q10&gt;0, ROUND(O10 - Amortizacion_Capital_Mensual!Q10, 2), "")</f>
        <v/>
      </c>
      <c r="Q10" s="29">
        <f>IF(Amortizacion_Capital_Mensual!R10&gt;0, ROUND(P10 - Amortizacion_Capital_Mensual!R10, 2), "")</f>
        <v/>
      </c>
      <c r="R10" s="29">
        <f>IF(Amortizacion_Capital_Mensual!S10&gt;0, ROUND(Q10 - Amortizacion_Capital_Mensual!S10, 2), "")</f>
        <v/>
      </c>
      <c r="S10" s="29">
        <f>IF(Amortizacion_Capital_Mensual!T10&gt;0, ROUND(R10 - Amortizacion_Capital_Mensual!T10, 2), "")</f>
        <v/>
      </c>
      <c r="T10" s="29">
        <f>IF(Amortizacion_Capital_Mensual!U10&gt;0, ROUND(S10 - Amortizacion_Capital_Mensual!U10, 2), "")</f>
        <v/>
      </c>
      <c r="U10" s="29">
        <f>MAX(I10:T10)</f>
        <v/>
      </c>
    </row>
    <row r="11">
      <c r="A11" s="20" t="inlineStr">
        <is>
          <t>0520-0003</t>
        </is>
      </c>
      <c r="B11" s="21" t="inlineStr">
        <is>
          <t>Tractomotriz Diesel Leal, S.A. de C.V.</t>
        </is>
      </c>
      <c r="C11" s="21" t="inlineStr">
        <is>
          <t>Montero Sport</t>
        </is>
      </c>
      <c r="D11" s="20" t="inlineStr">
        <is>
          <t>ACTIVO</t>
        </is>
      </c>
      <c r="E11" s="20" t="inlineStr">
        <is>
          <t>2025-11-28</t>
        </is>
      </c>
      <c r="F11" s="20" t="inlineStr">
        <is>
          <t>2028-11-28</t>
        </is>
      </c>
      <c r="G11" s="22" t="n">
        <v>36</v>
      </c>
      <c r="H11" s="23" t="n">
        <v>372879.31</v>
      </c>
      <c r="I11" s="23">
        <f>IF(Amortizacion_Capital_Mensual!J11&gt;0, ROUND(362238.02 - Amortizacion_Capital_Mensual!J11, 2), "")</f>
        <v/>
      </c>
      <c r="J11" s="23">
        <f>IF(Amortizacion_Capital_Mensual!K11&gt;0, ROUND(I11 - Amortizacion_Capital_Mensual!K11, 2), "")</f>
        <v/>
      </c>
      <c r="K11" s="23">
        <f>IF(Amortizacion_Capital_Mensual!L11&gt;0, ROUND(J11 - Amortizacion_Capital_Mensual!L11, 2), "")</f>
        <v/>
      </c>
      <c r="L11" s="23">
        <f>IF(Amortizacion_Capital_Mensual!M11&gt;0, ROUND(K11 - Amortizacion_Capital_Mensual!M11, 2), "")</f>
        <v/>
      </c>
      <c r="M11" s="23">
        <f>IF(Amortizacion_Capital_Mensual!N11&gt;0, ROUND(L11 - Amortizacion_Capital_Mensual!N11, 2), "")</f>
        <v/>
      </c>
      <c r="N11" s="23">
        <f>IF(Amortizacion_Capital_Mensual!O11&gt;0, ROUND(M11 - Amortizacion_Capital_Mensual!O11, 2), "")</f>
        <v/>
      </c>
      <c r="O11" s="23">
        <f>IF(Amortizacion_Capital_Mensual!P11&gt;0, ROUND(N11 - Amortizacion_Capital_Mensual!P11, 2), "")</f>
        <v/>
      </c>
      <c r="P11" s="23">
        <f>IF(Amortizacion_Capital_Mensual!Q11&gt;0, ROUND(O11 - Amortizacion_Capital_Mensual!Q11, 2), "")</f>
        <v/>
      </c>
      <c r="Q11" s="23">
        <f>IF(Amortizacion_Capital_Mensual!R11&gt;0, ROUND(P11 - Amortizacion_Capital_Mensual!R11, 2), "")</f>
        <v/>
      </c>
      <c r="R11" s="23">
        <f>IF(Amortizacion_Capital_Mensual!S11&gt;0, ROUND(Q11 - Amortizacion_Capital_Mensual!S11, 2), "")</f>
        <v/>
      </c>
      <c r="S11" s="23">
        <f>IF(Amortizacion_Capital_Mensual!T11&gt;0, ROUND(R11 - Amortizacion_Capital_Mensual!T11, 2), "")</f>
        <v/>
      </c>
      <c r="T11" s="23">
        <f>IF(Amortizacion_Capital_Mensual!U11&gt;0, ROUND(S11 - Amortizacion_Capital_Mensual!U11, 2), "")</f>
        <v/>
      </c>
      <c r="U11" s="23">
        <f>MAX(I11:T11)</f>
        <v/>
      </c>
    </row>
    <row r="12">
      <c r="A12" s="26" t="inlineStr">
        <is>
          <t>0520-0004</t>
        </is>
      </c>
      <c r="B12" s="27" t="inlineStr">
        <is>
          <t>Tractomotriz Diesel Leal, S.A. de C.V.</t>
        </is>
      </c>
      <c r="C12" s="27" t="inlineStr">
        <is>
          <t>Partner Maxi Pack</t>
        </is>
      </c>
      <c r="D12" s="26" t="inlineStr">
        <is>
          <t>ACTIVO</t>
        </is>
      </c>
      <c r="E12" s="26" t="inlineStr">
        <is>
          <t>2025-12-04</t>
        </is>
      </c>
      <c r="F12" s="26" t="inlineStr">
        <is>
          <t>2028-12-04</t>
        </is>
      </c>
      <c r="G12" s="28" t="n">
        <v>36</v>
      </c>
      <c r="H12" s="29" t="n">
        <v>240218.27</v>
      </c>
      <c r="I12" s="29">
        <f>IF(Amortizacion_Capital_Mensual!J12&gt;0, ROUND(236835.63 - Amortizacion_Capital_Mensual!J12, 2), "")</f>
        <v/>
      </c>
      <c r="J12" s="29">
        <f>IF(Amortizacion_Capital_Mensual!K12&gt;0, ROUND(I12 - Amortizacion_Capital_Mensual!K12, 2), "")</f>
        <v/>
      </c>
      <c r="K12" s="29">
        <f>IF(Amortizacion_Capital_Mensual!L12&gt;0, ROUND(J12 - Amortizacion_Capital_Mensual!L12, 2), "")</f>
        <v/>
      </c>
      <c r="L12" s="29">
        <f>IF(Amortizacion_Capital_Mensual!M12&gt;0, ROUND(K12 - Amortizacion_Capital_Mensual!M12, 2), "")</f>
        <v/>
      </c>
      <c r="M12" s="29">
        <f>IF(Amortizacion_Capital_Mensual!N12&gt;0, ROUND(L12 - Amortizacion_Capital_Mensual!N12, 2), "")</f>
        <v/>
      </c>
      <c r="N12" s="29">
        <f>IF(Amortizacion_Capital_Mensual!O12&gt;0, ROUND(M12 - Amortizacion_Capital_Mensual!O12, 2), "")</f>
        <v/>
      </c>
      <c r="O12" s="29">
        <f>IF(Amortizacion_Capital_Mensual!P12&gt;0, ROUND(N12 - Amortizacion_Capital_Mensual!P12, 2), "")</f>
        <v/>
      </c>
      <c r="P12" s="29">
        <f>IF(Amortizacion_Capital_Mensual!Q12&gt;0, ROUND(O12 - Amortizacion_Capital_Mensual!Q12, 2), "")</f>
        <v/>
      </c>
      <c r="Q12" s="29">
        <f>IF(Amortizacion_Capital_Mensual!R12&gt;0, ROUND(P12 - Amortizacion_Capital_Mensual!R12, 2), "")</f>
        <v/>
      </c>
      <c r="R12" s="29">
        <f>IF(Amortizacion_Capital_Mensual!S12&gt;0, ROUND(Q12 - Amortizacion_Capital_Mensual!S12, 2), "")</f>
        <v/>
      </c>
      <c r="S12" s="29">
        <f>IF(Amortizacion_Capital_Mensual!T12&gt;0, ROUND(R12 - Amortizacion_Capital_Mensual!T12, 2), "")</f>
        <v/>
      </c>
      <c r="T12" s="29">
        <f>IF(Amortizacion_Capital_Mensual!U12&gt;0, ROUND(S12 - Amortizacion_Capital_Mensual!U12, 2), "")</f>
        <v/>
      </c>
      <c r="U12" s="29">
        <f>MAX(I12:T12)</f>
        <v/>
      </c>
    </row>
    <row r="13">
      <c r="A13" s="20" t="inlineStr">
        <is>
          <t>0521-0002</t>
        </is>
      </c>
      <c r="B13" s="21" t="inlineStr">
        <is>
          <t>Carlos Hiram leal Leal</t>
        </is>
      </c>
      <c r="C13" s="21" t="inlineStr">
        <is>
          <t>Xpander</t>
        </is>
      </c>
      <c r="D13" s="20" t="inlineStr">
        <is>
          <t>ACTIVO</t>
        </is>
      </c>
      <c r="E13" s="20" t="inlineStr">
        <is>
          <t>2025-09-08</t>
        </is>
      </c>
      <c r="F13" s="20" t="inlineStr">
        <is>
          <t>2028-09-08</t>
        </is>
      </c>
      <c r="G13" s="22" t="n">
        <v>36</v>
      </c>
      <c r="H13" s="23" t="n">
        <v>329389.91</v>
      </c>
      <c r="I13" s="23">
        <f>IF(Amortizacion_Capital_Mensual!J13&gt;0, ROUND(311366.72 - Amortizacion_Capital_Mensual!J13, 2), "")</f>
        <v/>
      </c>
      <c r="J13" s="23">
        <f>IF(Amortizacion_Capital_Mensual!K13&gt;0, ROUND(I13 - Amortizacion_Capital_Mensual!K13, 2), "")</f>
        <v/>
      </c>
      <c r="K13" s="23">
        <f>IF(Amortizacion_Capital_Mensual!L13&gt;0, ROUND(J13 - Amortizacion_Capital_Mensual!L13, 2), "")</f>
        <v/>
      </c>
      <c r="L13" s="23">
        <f>IF(Amortizacion_Capital_Mensual!M13&gt;0, ROUND(K13 - Amortizacion_Capital_Mensual!M13, 2), "")</f>
        <v/>
      </c>
      <c r="M13" s="23">
        <f>IF(Amortizacion_Capital_Mensual!N13&gt;0, ROUND(L13 - Amortizacion_Capital_Mensual!N13, 2), "")</f>
        <v/>
      </c>
      <c r="N13" s="23">
        <f>IF(Amortizacion_Capital_Mensual!O13&gt;0, ROUND(M13 - Amortizacion_Capital_Mensual!O13, 2), "")</f>
        <v/>
      </c>
      <c r="O13" s="23">
        <f>IF(Amortizacion_Capital_Mensual!P13&gt;0, ROUND(N13 - Amortizacion_Capital_Mensual!P13, 2), "")</f>
        <v/>
      </c>
      <c r="P13" s="23">
        <f>IF(Amortizacion_Capital_Mensual!Q13&gt;0, ROUND(O13 - Amortizacion_Capital_Mensual!Q13, 2), "")</f>
        <v/>
      </c>
      <c r="Q13" s="23">
        <f>IF(Amortizacion_Capital_Mensual!R13&gt;0, ROUND(P13 - Amortizacion_Capital_Mensual!R13, 2), "")</f>
        <v/>
      </c>
      <c r="R13" s="23">
        <f>IF(Amortizacion_Capital_Mensual!S13&gt;0, ROUND(Q13 - Amortizacion_Capital_Mensual!S13, 2), "")</f>
        <v/>
      </c>
      <c r="S13" s="23">
        <f>IF(Amortizacion_Capital_Mensual!T13&gt;0, ROUND(R13 - Amortizacion_Capital_Mensual!T13, 2), "")</f>
        <v/>
      </c>
      <c r="T13" s="23">
        <f>IF(Amortizacion_Capital_Mensual!U13&gt;0, ROUND(S13 - Amortizacion_Capital_Mensual!U13, 2), "")</f>
        <v/>
      </c>
      <c r="U13" s="23">
        <f>MAX(I13:T13)</f>
        <v/>
      </c>
    </row>
    <row r="14">
      <c r="A14" s="26" t="inlineStr">
        <is>
          <t>0524-0007</t>
        </is>
      </c>
      <c r="B14" s="27" t="inlineStr">
        <is>
          <t>Lider En Derecho De Via y Construcción SA DE CV</t>
        </is>
      </c>
      <c r="C14" s="27" t="inlineStr">
        <is>
          <t>L200 Gls</t>
        </is>
      </c>
      <c r="D14" s="26" t="inlineStr">
        <is>
          <t>ACTIVO</t>
        </is>
      </c>
      <c r="E14" s="26" t="inlineStr">
        <is>
          <t>2025-08-15</t>
        </is>
      </c>
      <c r="F14" s="26" t="inlineStr">
        <is>
          <t>2027-08-15</t>
        </is>
      </c>
      <c r="G14" s="28" t="n">
        <v>24</v>
      </c>
      <c r="H14" s="29" t="n">
        <v>584988.36</v>
      </c>
      <c r="I14" s="29">
        <f>IF(Amortizacion_Capital_Mensual!J14&gt;0, ROUND(522407.52 - Amortizacion_Capital_Mensual!J14, 2), "")</f>
        <v/>
      </c>
      <c r="J14" s="29">
        <f>IF(Amortizacion_Capital_Mensual!K14&gt;0, ROUND(I14 - Amortizacion_Capital_Mensual!K14, 2), "")</f>
        <v/>
      </c>
      <c r="K14" s="29">
        <f>IF(Amortizacion_Capital_Mensual!L14&gt;0, ROUND(J14 - Amortizacion_Capital_Mensual!L14, 2), "")</f>
        <v/>
      </c>
      <c r="L14" s="29">
        <f>IF(Amortizacion_Capital_Mensual!M14&gt;0, ROUND(K14 - Amortizacion_Capital_Mensual!M14, 2), "")</f>
        <v/>
      </c>
      <c r="M14" s="29">
        <f>IF(Amortizacion_Capital_Mensual!N14&gt;0, ROUND(L14 - Amortizacion_Capital_Mensual!N14, 2), "")</f>
        <v/>
      </c>
      <c r="N14" s="29">
        <f>IF(Amortizacion_Capital_Mensual!O14&gt;0, ROUND(M14 - Amortizacion_Capital_Mensual!O14, 2), "")</f>
        <v/>
      </c>
      <c r="O14" s="29">
        <f>IF(Amortizacion_Capital_Mensual!P14&gt;0, ROUND(N14 - Amortizacion_Capital_Mensual!P14, 2), "")</f>
        <v/>
      </c>
      <c r="P14" s="29">
        <f>IF(Amortizacion_Capital_Mensual!Q14&gt;0, ROUND(O14 - Amortizacion_Capital_Mensual!Q14, 2), "")</f>
        <v/>
      </c>
      <c r="Q14" s="29">
        <f>IF(Amortizacion_Capital_Mensual!R14&gt;0, ROUND(P14 - Amortizacion_Capital_Mensual!R14, 2), "")</f>
        <v/>
      </c>
      <c r="R14" s="29">
        <f>IF(Amortizacion_Capital_Mensual!S14&gt;0, ROUND(Q14 - Amortizacion_Capital_Mensual!S14, 2), "")</f>
        <v/>
      </c>
      <c r="S14" s="29">
        <f>IF(Amortizacion_Capital_Mensual!T14&gt;0, ROUND(R14 - Amortizacion_Capital_Mensual!T14, 2), "")</f>
        <v/>
      </c>
      <c r="T14" s="29">
        <f>IF(Amortizacion_Capital_Mensual!U14&gt;0, ROUND(S14 - Amortizacion_Capital_Mensual!U14, 2), "")</f>
        <v/>
      </c>
      <c r="U14" s="29">
        <f>MAX(I14:T14)</f>
        <v/>
      </c>
    </row>
    <row r="15">
      <c r="A15" s="20" t="inlineStr">
        <is>
          <t>0524-0011</t>
        </is>
      </c>
      <c r="B15" s="21" t="inlineStr">
        <is>
          <t>Lider En Derecho De Via y Construcción SA DE CV</t>
        </is>
      </c>
      <c r="C15" s="21" t="inlineStr">
        <is>
          <t>Wrangler Unlimited Sahara</t>
        </is>
      </c>
      <c r="D15" s="20" t="inlineStr">
        <is>
          <t>ACTIVO</t>
        </is>
      </c>
      <c r="E15" s="20" t="inlineStr">
        <is>
          <t>2025-12-31</t>
        </is>
      </c>
      <c r="F15" s="20" t="inlineStr">
        <is>
          <t>2029-12-31</t>
        </is>
      </c>
      <c r="G15" s="22" t="n">
        <v>48</v>
      </c>
      <c r="H15" s="23" t="n">
        <v>846843.45</v>
      </c>
      <c r="I15" s="23">
        <f>IF(Amortizacion_Capital_Mensual!J15&gt;0, ROUND(839101.7 - Amortizacion_Capital_Mensual!J15, 2), "")</f>
        <v/>
      </c>
      <c r="J15" s="23">
        <f>IF(Amortizacion_Capital_Mensual!K15&gt;0, ROUND(I15 - Amortizacion_Capital_Mensual!K15, 2), "")</f>
        <v/>
      </c>
      <c r="K15" s="23">
        <f>IF(Amortizacion_Capital_Mensual!L15&gt;0, ROUND(J15 - Amortizacion_Capital_Mensual!L15, 2), "")</f>
        <v/>
      </c>
      <c r="L15" s="23">
        <f>IF(Amortizacion_Capital_Mensual!M15&gt;0, ROUND(K15 - Amortizacion_Capital_Mensual!M15, 2), "")</f>
        <v/>
      </c>
      <c r="M15" s="23">
        <f>IF(Amortizacion_Capital_Mensual!N15&gt;0, ROUND(L15 - Amortizacion_Capital_Mensual!N15, 2), "")</f>
        <v/>
      </c>
      <c r="N15" s="23">
        <f>IF(Amortizacion_Capital_Mensual!O15&gt;0, ROUND(M15 - Amortizacion_Capital_Mensual!O15, 2), "")</f>
        <v/>
      </c>
      <c r="O15" s="23">
        <f>IF(Amortizacion_Capital_Mensual!P15&gt;0, ROUND(N15 - Amortizacion_Capital_Mensual!P15, 2), "")</f>
        <v/>
      </c>
      <c r="P15" s="23">
        <f>IF(Amortizacion_Capital_Mensual!Q15&gt;0, ROUND(O15 - Amortizacion_Capital_Mensual!Q15, 2), "")</f>
        <v/>
      </c>
      <c r="Q15" s="23">
        <f>IF(Amortizacion_Capital_Mensual!R15&gt;0, ROUND(P15 - Amortizacion_Capital_Mensual!R15, 2), "")</f>
        <v/>
      </c>
      <c r="R15" s="23">
        <f>IF(Amortizacion_Capital_Mensual!S15&gt;0, ROUND(Q15 - Amortizacion_Capital_Mensual!S15, 2), "")</f>
        <v/>
      </c>
      <c r="S15" s="23">
        <f>IF(Amortizacion_Capital_Mensual!T15&gt;0, ROUND(R15 - Amortizacion_Capital_Mensual!T15, 2), "")</f>
        <v/>
      </c>
      <c r="T15" s="23">
        <f>IF(Amortizacion_Capital_Mensual!U15&gt;0, ROUND(S15 - Amortizacion_Capital_Mensual!U15, 2), "")</f>
        <v/>
      </c>
      <c r="U15" s="23">
        <f>MAX(I15:T15)</f>
        <v/>
      </c>
    </row>
    <row r="16">
      <c r="A16" s="26" t="inlineStr">
        <is>
          <t>0524-0012</t>
        </is>
      </c>
      <c r="B16" s="27" t="inlineStr">
        <is>
          <t>Lider En Derecho De Via y Construcción SA DE CV</t>
        </is>
      </c>
      <c r="C16" s="27" t="inlineStr">
        <is>
          <t>L200 GLS</t>
        </is>
      </c>
      <c r="D16" s="26" t="inlineStr">
        <is>
          <t>ACTIVO</t>
        </is>
      </c>
      <c r="E16" s="26" t="inlineStr">
        <is>
          <t>2026-03-17</t>
        </is>
      </c>
      <c r="F16" s="26" t="inlineStr">
        <is>
          <t>2030-03-17</t>
        </is>
      </c>
      <c r="G16" s="28" t="n">
        <v>48</v>
      </c>
      <c r="H16" s="29" t="n">
        <v>561738.88</v>
      </c>
      <c r="I16" s="29" t="inlineStr"/>
      <c r="J16" s="29" t="inlineStr"/>
      <c r="K16" s="29">
        <f>IF(Amortizacion_Capital_Mensual!L16&gt;0, ROUND($H16 - Amortizacion_Capital_Mensual!L16, 2), "")</f>
        <v/>
      </c>
      <c r="L16" s="29">
        <f>IF(Amortizacion_Capital_Mensual!M16&gt;0, ROUND(K16 - Amortizacion_Capital_Mensual!M16, 2), "")</f>
        <v/>
      </c>
      <c r="M16" s="29">
        <f>IF(Amortizacion_Capital_Mensual!N16&gt;0, ROUND(L16 - Amortizacion_Capital_Mensual!N16, 2), "")</f>
        <v/>
      </c>
      <c r="N16" s="29">
        <f>IF(Amortizacion_Capital_Mensual!O16&gt;0, ROUND(M16 - Amortizacion_Capital_Mensual!O16, 2), "")</f>
        <v/>
      </c>
      <c r="O16" s="29">
        <f>IF(Amortizacion_Capital_Mensual!P16&gt;0, ROUND(N16 - Amortizacion_Capital_Mensual!P16, 2), "")</f>
        <v/>
      </c>
      <c r="P16" s="29">
        <f>IF(Amortizacion_Capital_Mensual!Q16&gt;0, ROUND(O16 - Amortizacion_Capital_Mensual!Q16, 2), "")</f>
        <v/>
      </c>
      <c r="Q16" s="29">
        <f>IF(Amortizacion_Capital_Mensual!R16&gt;0, ROUND(P16 - Amortizacion_Capital_Mensual!R16, 2), "")</f>
        <v/>
      </c>
      <c r="R16" s="29">
        <f>IF(Amortizacion_Capital_Mensual!S16&gt;0, ROUND(Q16 - Amortizacion_Capital_Mensual!S16, 2), "")</f>
        <v/>
      </c>
      <c r="S16" s="29">
        <f>IF(Amortizacion_Capital_Mensual!T16&gt;0, ROUND(R16 - Amortizacion_Capital_Mensual!T16, 2), "")</f>
        <v/>
      </c>
      <c r="T16" s="29">
        <f>IF(Amortizacion_Capital_Mensual!U16&gt;0, ROUND(S16 - Amortizacion_Capital_Mensual!U16, 2), "")</f>
        <v/>
      </c>
      <c r="U16" s="29">
        <f>MAX(I16:T16)</f>
        <v/>
      </c>
    </row>
    <row r="17">
      <c r="A17" s="20" t="inlineStr">
        <is>
          <t>0524-0013</t>
        </is>
      </c>
      <c r="B17" s="21" t="inlineStr">
        <is>
          <t>Lider En Derecho De Via y Construcción SA DE CV</t>
        </is>
      </c>
      <c r="C17" s="21" t="inlineStr">
        <is>
          <t>L200 GLX</t>
        </is>
      </c>
      <c r="D17" s="20" t="inlineStr">
        <is>
          <t>ACTIVO</t>
        </is>
      </c>
      <c r="E17" s="20" t="inlineStr">
        <is>
          <t>2026-06-23</t>
        </is>
      </c>
      <c r="F17" s="20" t="inlineStr">
        <is>
          <t>2029-06-23</t>
        </is>
      </c>
      <c r="G17" s="22" t="n">
        <v>36</v>
      </c>
      <c r="H17" s="23" t="n">
        <v>597925</v>
      </c>
      <c r="I17" s="23" t="inlineStr"/>
      <c r="J17" s="23" t="inlineStr"/>
      <c r="K17" s="23" t="inlineStr"/>
      <c r="L17" s="23" t="inlineStr"/>
      <c r="M17" s="23" t="inlineStr"/>
      <c r="N17" s="23">
        <f>IF(Amortizacion_Capital_Mensual!O17&gt;0, ROUND($H17 - Amortizacion_Capital_Mensual!O17, 2), "")</f>
        <v/>
      </c>
      <c r="O17" s="23">
        <f>IF(Amortizacion_Capital_Mensual!P17&gt;0, ROUND(N17 - Amortizacion_Capital_Mensual!P17, 2), "")</f>
        <v/>
      </c>
      <c r="P17" s="23">
        <f>IF(Amortizacion_Capital_Mensual!Q17&gt;0, ROUND(O17 - Amortizacion_Capital_Mensual!Q17, 2), "")</f>
        <v/>
      </c>
      <c r="Q17" s="23">
        <f>IF(Amortizacion_Capital_Mensual!R17&gt;0, ROUND(P17 - Amortizacion_Capital_Mensual!R17, 2), "")</f>
        <v/>
      </c>
      <c r="R17" s="23">
        <f>IF(Amortizacion_Capital_Mensual!S17&gt;0, ROUND(Q17 - Amortizacion_Capital_Mensual!S17, 2), "")</f>
        <v/>
      </c>
      <c r="S17" s="23">
        <f>IF(Amortizacion_Capital_Mensual!T17&gt;0, ROUND(R17 - Amortizacion_Capital_Mensual!T17, 2), "")</f>
        <v/>
      </c>
      <c r="T17" s="23">
        <f>IF(Amortizacion_Capital_Mensual!U17&gt;0, ROUND(S17 - Amortizacion_Capital_Mensual!U17, 2), "")</f>
        <v/>
      </c>
      <c r="U17" s="23">
        <f>MAX(I17:T17)</f>
        <v/>
      </c>
    </row>
    <row r="18">
      <c r="A18" s="26" t="inlineStr">
        <is>
          <t>0524-0014</t>
        </is>
      </c>
      <c r="B18" s="27" t="inlineStr">
        <is>
          <t>Lider En Derecho De Via y Construcción SA DE CV</t>
        </is>
      </c>
      <c r="C18" s="27" t="inlineStr">
        <is>
          <t>L200 GLX</t>
        </is>
      </c>
      <c r="D18" s="26" t="inlineStr">
        <is>
          <t>ACTIVO</t>
        </is>
      </c>
      <c r="E18" s="26" t="inlineStr">
        <is>
          <t>2026-06-23</t>
        </is>
      </c>
      <c r="F18" s="26" t="inlineStr">
        <is>
          <t>2029-06-23</t>
        </is>
      </c>
      <c r="G18" s="28" t="n">
        <v>36</v>
      </c>
      <c r="H18" s="29" t="n">
        <v>597925</v>
      </c>
      <c r="I18" s="29" t="inlineStr"/>
      <c r="J18" s="29" t="inlineStr"/>
      <c r="K18" s="29" t="inlineStr"/>
      <c r="L18" s="29" t="inlineStr"/>
      <c r="M18" s="29" t="inlineStr"/>
      <c r="N18" s="29">
        <f>IF(Amortizacion_Capital_Mensual!O18&gt;0, ROUND($H18 - Amortizacion_Capital_Mensual!O18, 2), "")</f>
        <v/>
      </c>
      <c r="O18" s="29">
        <f>IF(Amortizacion_Capital_Mensual!P18&gt;0, ROUND(N18 - Amortizacion_Capital_Mensual!P18, 2), "")</f>
        <v/>
      </c>
      <c r="P18" s="29">
        <f>IF(Amortizacion_Capital_Mensual!Q18&gt;0, ROUND(O18 - Amortizacion_Capital_Mensual!Q18, 2), "")</f>
        <v/>
      </c>
      <c r="Q18" s="29">
        <f>IF(Amortizacion_Capital_Mensual!R18&gt;0, ROUND(P18 - Amortizacion_Capital_Mensual!R18, 2), "")</f>
        <v/>
      </c>
      <c r="R18" s="29">
        <f>IF(Amortizacion_Capital_Mensual!S18&gt;0, ROUND(Q18 - Amortizacion_Capital_Mensual!S18, 2), "")</f>
        <v/>
      </c>
      <c r="S18" s="29">
        <f>IF(Amortizacion_Capital_Mensual!T18&gt;0, ROUND(R18 - Amortizacion_Capital_Mensual!T18, 2), "")</f>
        <v/>
      </c>
      <c r="T18" s="29">
        <f>IF(Amortizacion_Capital_Mensual!U18&gt;0, ROUND(S18 - Amortizacion_Capital_Mensual!U18, 2), "")</f>
        <v/>
      </c>
      <c r="U18" s="29">
        <f>MAX(I18:T18)</f>
        <v/>
      </c>
    </row>
    <row r="19">
      <c r="A19" s="20" t="inlineStr">
        <is>
          <t>0524-0015</t>
        </is>
      </c>
      <c r="B19" s="21" t="inlineStr">
        <is>
          <t>Lider En Derecho De Via y Construcción SA DE CV</t>
        </is>
      </c>
      <c r="C19" s="21" t="inlineStr">
        <is>
          <t>Mitsubishi L200 GLX 2026</t>
        </is>
      </c>
      <c r="D19" s="20" t="inlineStr">
        <is>
          <t>ACTIVO</t>
        </is>
      </c>
      <c r="E19" s="20" t="inlineStr">
        <is>
          <t>2026-07-29</t>
        </is>
      </c>
      <c r="F19" s="20" t="inlineStr">
        <is>
          <t>2029-07-29</t>
        </is>
      </c>
      <c r="G19" s="22" t="n">
        <v>36</v>
      </c>
      <c r="H19" s="23" t="n">
        <v>515452.59</v>
      </c>
      <c r="I19" s="23" t="inlineStr"/>
      <c r="J19" s="23" t="inlineStr"/>
      <c r="K19" s="23" t="inlineStr"/>
      <c r="L19" s="23" t="inlineStr"/>
      <c r="M19" s="23" t="inlineStr"/>
      <c r="N19" s="23" t="inlineStr"/>
      <c r="O19" s="23">
        <f>IF(Amortizacion_Capital_Mensual!P19&gt;0, ROUND($H19 - Amortizacion_Capital_Mensual!P19, 2), "")</f>
        <v/>
      </c>
      <c r="P19" s="23">
        <f>IF(Amortizacion_Capital_Mensual!Q19&gt;0, ROUND(O19 - Amortizacion_Capital_Mensual!Q19, 2), "")</f>
        <v/>
      </c>
      <c r="Q19" s="23">
        <f>IF(Amortizacion_Capital_Mensual!R19&gt;0, ROUND(P19 - Amortizacion_Capital_Mensual!R19, 2), "")</f>
        <v/>
      </c>
      <c r="R19" s="23">
        <f>IF(Amortizacion_Capital_Mensual!S19&gt;0, ROUND(Q19 - Amortizacion_Capital_Mensual!S19, 2), "")</f>
        <v/>
      </c>
      <c r="S19" s="23">
        <f>IF(Amortizacion_Capital_Mensual!T19&gt;0, ROUND(R19 - Amortizacion_Capital_Mensual!T19, 2), "")</f>
        <v/>
      </c>
      <c r="T19" s="23">
        <f>IF(Amortizacion_Capital_Mensual!U19&gt;0, ROUND(S19 - Amortizacion_Capital_Mensual!U19, 2), "")</f>
        <v/>
      </c>
      <c r="U19" s="23">
        <f>MAX(I19:T19)</f>
        <v/>
      </c>
    </row>
    <row r="20">
      <c r="A20" s="26" t="inlineStr">
        <is>
          <t>0524-0016</t>
        </is>
      </c>
      <c r="B20" s="27" t="inlineStr">
        <is>
          <t>Lider En Derecho De Via y Construcción SA DE CV</t>
        </is>
      </c>
      <c r="C20" s="27" t="inlineStr">
        <is>
          <t>Mitsubishi L200 GLX 2026</t>
        </is>
      </c>
      <c r="D20" s="26" t="inlineStr">
        <is>
          <t>ACTIVO</t>
        </is>
      </c>
      <c r="E20" s="26" t="inlineStr">
        <is>
          <t>2026-07-29</t>
        </is>
      </c>
      <c r="F20" s="26" t="inlineStr">
        <is>
          <t>2029-07-29</t>
        </is>
      </c>
      <c r="G20" s="28" t="n">
        <v>36</v>
      </c>
      <c r="H20" s="29" t="n">
        <v>515452.59</v>
      </c>
      <c r="I20" s="29" t="inlineStr"/>
      <c r="J20" s="29" t="inlineStr"/>
      <c r="K20" s="29" t="inlineStr"/>
      <c r="L20" s="29" t="inlineStr"/>
      <c r="M20" s="29" t="inlineStr"/>
      <c r="N20" s="29" t="inlineStr"/>
      <c r="O20" s="29">
        <f>IF(Amortizacion_Capital_Mensual!P20&gt;0, ROUND($H20 - Amortizacion_Capital_Mensual!P20, 2), "")</f>
        <v/>
      </c>
      <c r="P20" s="29">
        <f>IF(Amortizacion_Capital_Mensual!Q20&gt;0, ROUND(O20 - Amortizacion_Capital_Mensual!Q20, 2), "")</f>
        <v/>
      </c>
      <c r="Q20" s="29">
        <f>IF(Amortizacion_Capital_Mensual!R20&gt;0, ROUND(P20 - Amortizacion_Capital_Mensual!R20, 2), "")</f>
        <v/>
      </c>
      <c r="R20" s="29">
        <f>IF(Amortizacion_Capital_Mensual!S20&gt;0, ROUND(Q20 - Amortizacion_Capital_Mensual!S20, 2), "")</f>
        <v/>
      </c>
      <c r="S20" s="29">
        <f>IF(Amortizacion_Capital_Mensual!T20&gt;0, ROUND(R20 - Amortizacion_Capital_Mensual!T20, 2), "")</f>
        <v/>
      </c>
      <c r="T20" s="29">
        <f>IF(Amortizacion_Capital_Mensual!U20&gt;0, ROUND(S20 - Amortizacion_Capital_Mensual!U20, 2), "")</f>
        <v/>
      </c>
      <c r="U20" s="29">
        <f>MAX(I20:T20)</f>
        <v/>
      </c>
    </row>
    <row r="21">
      <c r="A21" s="20" t="inlineStr">
        <is>
          <t>0527-0003</t>
        </is>
      </c>
      <c r="B21" s="21" t="inlineStr">
        <is>
          <t>Comercilizadora e Importadora Nabega Sa de Cv</t>
        </is>
      </c>
      <c r="C21" s="21" t="inlineStr">
        <is>
          <t>RAM 700 Big Horn CVT</t>
        </is>
      </c>
      <c r="D21" s="20" t="inlineStr">
        <is>
          <t>ACTIVO</t>
        </is>
      </c>
      <c r="E21" s="20" t="inlineStr">
        <is>
          <t>2024-05-30</t>
        </is>
      </c>
      <c r="F21" s="20" t="inlineStr">
        <is>
          <t>2027-05-30</t>
        </is>
      </c>
      <c r="G21" s="22" t="n">
        <v>36</v>
      </c>
      <c r="H21" s="23" t="n">
        <v>289586.21</v>
      </c>
      <c r="I21" s="23">
        <f>IF(Amortizacion_Capital_Mensual!J21&gt;0, ROUND(221927.38 - Amortizacion_Capital_Mensual!J21, 2), "")</f>
        <v/>
      </c>
      <c r="J21" s="23">
        <f>IF(Amortizacion_Capital_Mensual!K21&gt;0, ROUND(I21 - Amortizacion_Capital_Mensual!K21, 2), "")</f>
        <v/>
      </c>
      <c r="K21" s="23">
        <f>IF(Amortizacion_Capital_Mensual!L21&gt;0, ROUND(J21 - Amortizacion_Capital_Mensual!L21, 2), "")</f>
        <v/>
      </c>
      <c r="L21" s="23">
        <f>IF(Amortizacion_Capital_Mensual!M21&gt;0, ROUND(K21 - Amortizacion_Capital_Mensual!M21, 2), "")</f>
        <v/>
      </c>
      <c r="M21" s="23">
        <f>IF(Amortizacion_Capital_Mensual!N21&gt;0, ROUND(L21 - Amortizacion_Capital_Mensual!N21, 2), "")</f>
        <v/>
      </c>
      <c r="N21" s="23">
        <f>IF(Amortizacion_Capital_Mensual!O21&gt;0, ROUND(M21 - Amortizacion_Capital_Mensual!O21, 2), "")</f>
        <v/>
      </c>
      <c r="O21" s="23">
        <f>IF(Amortizacion_Capital_Mensual!P21&gt;0, ROUND(N21 - Amortizacion_Capital_Mensual!P21, 2), "")</f>
        <v/>
      </c>
      <c r="P21" s="23">
        <f>IF(Amortizacion_Capital_Mensual!Q21&gt;0, ROUND(O21 - Amortizacion_Capital_Mensual!Q21, 2), "")</f>
        <v/>
      </c>
      <c r="Q21" s="23">
        <f>IF(Amortizacion_Capital_Mensual!R21&gt;0, ROUND(P21 - Amortizacion_Capital_Mensual!R21, 2), "")</f>
        <v/>
      </c>
      <c r="R21" s="23">
        <f>IF(Amortizacion_Capital_Mensual!S21&gt;0, ROUND(Q21 - Amortizacion_Capital_Mensual!S21, 2), "")</f>
        <v/>
      </c>
      <c r="S21" s="23">
        <f>IF(Amortizacion_Capital_Mensual!T21&gt;0, ROUND(R21 - Amortizacion_Capital_Mensual!T21, 2), "")</f>
        <v/>
      </c>
      <c r="T21" s="23">
        <f>IF(Amortizacion_Capital_Mensual!U21&gt;0, ROUND(S21 - Amortizacion_Capital_Mensual!U21, 2), "")</f>
        <v/>
      </c>
      <c r="U21" s="23">
        <f>MAX(I21:T21)</f>
        <v/>
      </c>
    </row>
    <row r="22">
      <c r="A22" s="26" t="inlineStr">
        <is>
          <t>0527-0004</t>
        </is>
      </c>
      <c r="B22" s="27" t="inlineStr">
        <is>
          <t>Comercilizadora e Importadora Nabega Sa de Cv</t>
        </is>
      </c>
      <c r="C22" s="27" t="inlineStr">
        <is>
          <t>Gmc Denali</t>
        </is>
      </c>
      <c r="D22" s="26" t="inlineStr">
        <is>
          <t>ACTIVO</t>
        </is>
      </c>
      <c r="E22" s="26" t="inlineStr">
        <is>
          <t>2025-07-31</t>
        </is>
      </c>
      <c r="F22" s="26" t="inlineStr">
        <is>
          <t>2029-07-31</t>
        </is>
      </c>
      <c r="G22" s="28" t="n">
        <v>48</v>
      </c>
      <c r="H22" s="29" t="n">
        <v>991086.21</v>
      </c>
      <c r="I22" s="29">
        <f>IF(Amortizacion_Capital_Mensual!J22&gt;0, ROUND(939512.73 - Amortizacion_Capital_Mensual!J22, 2), "")</f>
        <v/>
      </c>
      <c r="J22" s="29">
        <f>IF(Amortizacion_Capital_Mensual!K22&gt;0, ROUND(I22 - Amortizacion_Capital_Mensual!K22, 2), "")</f>
        <v/>
      </c>
      <c r="K22" s="29">
        <f>IF(Amortizacion_Capital_Mensual!L22&gt;0, ROUND(J22 - Amortizacion_Capital_Mensual!L22, 2), "")</f>
        <v/>
      </c>
      <c r="L22" s="29">
        <f>IF(Amortizacion_Capital_Mensual!M22&gt;0, ROUND(K22 - Amortizacion_Capital_Mensual!M22, 2), "")</f>
        <v/>
      </c>
      <c r="M22" s="29">
        <f>IF(Amortizacion_Capital_Mensual!N22&gt;0, ROUND(L22 - Amortizacion_Capital_Mensual!N22, 2), "")</f>
        <v/>
      </c>
      <c r="N22" s="29">
        <f>IF(Amortizacion_Capital_Mensual!O22&gt;0, ROUND(M22 - Amortizacion_Capital_Mensual!O22, 2), "")</f>
        <v/>
      </c>
      <c r="O22" s="29">
        <f>IF(Amortizacion_Capital_Mensual!P22&gt;0, ROUND(N22 - Amortizacion_Capital_Mensual!P22, 2), "")</f>
        <v/>
      </c>
      <c r="P22" s="29">
        <f>IF(Amortizacion_Capital_Mensual!Q22&gt;0, ROUND(O22 - Amortizacion_Capital_Mensual!Q22, 2), "")</f>
        <v/>
      </c>
      <c r="Q22" s="29">
        <f>IF(Amortizacion_Capital_Mensual!R22&gt;0, ROUND(P22 - Amortizacion_Capital_Mensual!R22, 2), "")</f>
        <v/>
      </c>
      <c r="R22" s="29">
        <f>IF(Amortizacion_Capital_Mensual!S22&gt;0, ROUND(Q22 - Amortizacion_Capital_Mensual!S22, 2), "")</f>
        <v/>
      </c>
      <c r="S22" s="29">
        <f>IF(Amortizacion_Capital_Mensual!T22&gt;0, ROUND(R22 - Amortizacion_Capital_Mensual!T22, 2), "")</f>
        <v/>
      </c>
      <c r="T22" s="29">
        <f>IF(Amortizacion_Capital_Mensual!U22&gt;0, ROUND(S22 - Amortizacion_Capital_Mensual!U22, 2), "")</f>
        <v/>
      </c>
      <c r="U22" s="29">
        <f>MAX(I22:T22)</f>
        <v/>
      </c>
    </row>
    <row r="23">
      <c r="A23" s="20" t="inlineStr">
        <is>
          <t>0527-0005</t>
        </is>
      </c>
      <c r="B23" s="21" t="inlineStr">
        <is>
          <t>Comercilizadora e Importadora Nabega Sa de Cv</t>
        </is>
      </c>
      <c r="C23" s="21" t="inlineStr">
        <is>
          <t>Gle 450 Sport</t>
        </is>
      </c>
      <c r="D23" s="20" t="inlineStr">
        <is>
          <t>ACTIVO</t>
        </is>
      </c>
      <c r="E23" s="20" t="inlineStr">
        <is>
          <t>2025-08-16</t>
        </is>
      </c>
      <c r="F23" s="20" t="inlineStr">
        <is>
          <t>2028-08-16</t>
        </is>
      </c>
      <c r="G23" s="22" t="n">
        <v>36</v>
      </c>
      <c r="H23" s="23" t="n">
        <v>1050525</v>
      </c>
      <c r="I23" s="23">
        <f>IF(Amortizacion_Capital_Mensual!J23&gt;0, ROUND(981905.12 - Amortizacion_Capital_Mensual!J23, 2), "")</f>
        <v/>
      </c>
      <c r="J23" s="23">
        <f>IF(Amortizacion_Capital_Mensual!K23&gt;0, ROUND(I23 - Amortizacion_Capital_Mensual!K23, 2), "")</f>
        <v/>
      </c>
      <c r="K23" s="23">
        <f>IF(Amortizacion_Capital_Mensual!L23&gt;0, ROUND(J23 - Amortizacion_Capital_Mensual!L23, 2), "")</f>
        <v/>
      </c>
      <c r="L23" s="23">
        <f>IF(Amortizacion_Capital_Mensual!M23&gt;0, ROUND(K23 - Amortizacion_Capital_Mensual!M23, 2), "")</f>
        <v/>
      </c>
      <c r="M23" s="23">
        <f>IF(Amortizacion_Capital_Mensual!N23&gt;0, ROUND(L23 - Amortizacion_Capital_Mensual!N23, 2), "")</f>
        <v/>
      </c>
      <c r="N23" s="23">
        <f>IF(Amortizacion_Capital_Mensual!O23&gt;0, ROUND(M23 - Amortizacion_Capital_Mensual!O23, 2), "")</f>
        <v/>
      </c>
      <c r="O23" s="23">
        <f>IF(Amortizacion_Capital_Mensual!P23&gt;0, ROUND(N23 - Amortizacion_Capital_Mensual!P23, 2), "")</f>
        <v/>
      </c>
      <c r="P23" s="23">
        <f>IF(Amortizacion_Capital_Mensual!Q23&gt;0, ROUND(O23 - Amortizacion_Capital_Mensual!Q23, 2), "")</f>
        <v/>
      </c>
      <c r="Q23" s="23">
        <f>IF(Amortizacion_Capital_Mensual!R23&gt;0, ROUND(P23 - Amortizacion_Capital_Mensual!R23, 2), "")</f>
        <v/>
      </c>
      <c r="R23" s="23">
        <f>IF(Amortizacion_Capital_Mensual!S23&gt;0, ROUND(Q23 - Amortizacion_Capital_Mensual!S23, 2), "")</f>
        <v/>
      </c>
      <c r="S23" s="23">
        <f>IF(Amortizacion_Capital_Mensual!T23&gt;0, ROUND(R23 - Amortizacion_Capital_Mensual!T23, 2), "")</f>
        <v/>
      </c>
      <c r="T23" s="23">
        <f>IF(Amortizacion_Capital_Mensual!U23&gt;0, ROUND(S23 - Amortizacion_Capital_Mensual!U23, 2), "")</f>
        <v/>
      </c>
      <c r="U23" s="23">
        <f>MAX(I23:T23)</f>
        <v/>
      </c>
    </row>
    <row r="24">
      <c r="A24" s="26" t="inlineStr">
        <is>
          <t>0531-0002</t>
        </is>
      </c>
      <c r="B24" s="27" t="inlineStr">
        <is>
          <t>Otcada Mex, S. de R.L. de C.V.</t>
        </is>
      </c>
      <c r="C24" s="27" t="inlineStr">
        <is>
          <t>Grand Cherokee Limited</t>
        </is>
      </c>
      <c r="D24" s="26" t="inlineStr">
        <is>
          <t>ACTIVO</t>
        </is>
      </c>
      <c r="E24" s="26" t="inlineStr">
        <is>
          <t>2026-06-18</t>
        </is>
      </c>
      <c r="F24" s="26" t="inlineStr">
        <is>
          <t>2030-06-18</t>
        </is>
      </c>
      <c r="G24" s="28" t="n">
        <v>48</v>
      </c>
      <c r="H24" s="29" t="n">
        <v>779340</v>
      </c>
      <c r="I24" s="29" t="inlineStr"/>
      <c r="J24" s="29" t="inlineStr"/>
      <c r="K24" s="29" t="inlineStr"/>
      <c r="L24" s="29" t="inlineStr"/>
      <c r="M24" s="29" t="inlineStr"/>
      <c r="N24" s="29">
        <f>IF(Amortizacion_Capital_Mensual!O24&gt;0, ROUND($H24 - Amortizacion_Capital_Mensual!O24, 2), "")</f>
        <v/>
      </c>
      <c r="O24" s="29">
        <f>IF(Amortizacion_Capital_Mensual!P24&gt;0, ROUND(N24 - Amortizacion_Capital_Mensual!P24, 2), "")</f>
        <v/>
      </c>
      <c r="P24" s="29">
        <f>IF(Amortizacion_Capital_Mensual!Q24&gt;0, ROUND(O24 - Amortizacion_Capital_Mensual!Q24, 2), "")</f>
        <v/>
      </c>
      <c r="Q24" s="29">
        <f>IF(Amortizacion_Capital_Mensual!R24&gt;0, ROUND(P24 - Amortizacion_Capital_Mensual!R24, 2), "")</f>
        <v/>
      </c>
      <c r="R24" s="29">
        <f>IF(Amortizacion_Capital_Mensual!S24&gt;0, ROUND(Q24 - Amortizacion_Capital_Mensual!S24, 2), "")</f>
        <v/>
      </c>
      <c r="S24" s="29">
        <f>IF(Amortizacion_Capital_Mensual!T24&gt;0, ROUND(R24 - Amortizacion_Capital_Mensual!T24, 2), "")</f>
        <v/>
      </c>
      <c r="T24" s="29">
        <f>IF(Amortizacion_Capital_Mensual!U24&gt;0, ROUND(S24 - Amortizacion_Capital_Mensual!U24, 2), "")</f>
        <v/>
      </c>
      <c r="U24" s="29">
        <f>MAX(I24:T24)</f>
        <v/>
      </c>
    </row>
    <row r="25">
      <c r="A25" s="20" t="inlineStr">
        <is>
          <t>0546-0007</t>
        </is>
      </c>
      <c r="B25" s="21" t="inlineStr">
        <is>
          <t>Norma Elena Bonilla Lupio</t>
        </is>
      </c>
      <c r="C25" s="21" t="inlineStr">
        <is>
          <t>GLC 350 E 4MATIC</t>
        </is>
      </c>
      <c r="D25" s="20" t="inlineStr">
        <is>
          <t>ACTIVO</t>
        </is>
      </c>
      <c r="E25" s="20" t="inlineStr">
        <is>
          <t>2025-10-14</t>
        </is>
      </c>
      <c r="F25" s="20" t="inlineStr">
        <is>
          <t>2027-10-14</t>
        </is>
      </c>
      <c r="G25" s="22" t="n">
        <v>24</v>
      </c>
      <c r="H25" s="23" t="n">
        <v>866917.24</v>
      </c>
      <c r="I25" s="23">
        <f>IF(Amortizacion_Capital_Mensual!J25&gt;0, ROUND(797841.04 - Amortizacion_Capital_Mensual!J25, 2), "")</f>
        <v/>
      </c>
      <c r="J25" s="23">
        <f>IF(Amortizacion_Capital_Mensual!K25&gt;0, ROUND(I25 - Amortizacion_Capital_Mensual!K25, 2), "")</f>
        <v/>
      </c>
      <c r="K25" s="23">
        <f>IF(Amortizacion_Capital_Mensual!L25&gt;0, ROUND(J25 - Amortizacion_Capital_Mensual!L25, 2), "")</f>
        <v/>
      </c>
      <c r="L25" s="23">
        <f>IF(Amortizacion_Capital_Mensual!M25&gt;0, ROUND(K25 - Amortizacion_Capital_Mensual!M25, 2), "")</f>
        <v/>
      </c>
      <c r="M25" s="23">
        <f>IF(Amortizacion_Capital_Mensual!N25&gt;0, ROUND(L25 - Amortizacion_Capital_Mensual!N25, 2), "")</f>
        <v/>
      </c>
      <c r="N25" s="23">
        <f>IF(Amortizacion_Capital_Mensual!O25&gt;0, ROUND(M25 - Amortizacion_Capital_Mensual!O25, 2), "")</f>
        <v/>
      </c>
      <c r="O25" s="23">
        <f>IF(Amortizacion_Capital_Mensual!P25&gt;0, ROUND(N25 - Amortizacion_Capital_Mensual!P25, 2), "")</f>
        <v/>
      </c>
      <c r="P25" s="23">
        <f>IF(Amortizacion_Capital_Mensual!Q25&gt;0, ROUND(O25 - Amortizacion_Capital_Mensual!Q25, 2), "")</f>
        <v/>
      </c>
      <c r="Q25" s="23">
        <f>IF(Amortizacion_Capital_Mensual!R25&gt;0, ROUND(P25 - Amortizacion_Capital_Mensual!R25, 2), "")</f>
        <v/>
      </c>
      <c r="R25" s="23">
        <f>IF(Amortizacion_Capital_Mensual!S25&gt;0, ROUND(Q25 - Amortizacion_Capital_Mensual!S25, 2), "")</f>
        <v/>
      </c>
      <c r="S25" s="23">
        <f>IF(Amortizacion_Capital_Mensual!T25&gt;0, ROUND(R25 - Amortizacion_Capital_Mensual!T25, 2), "")</f>
        <v/>
      </c>
      <c r="T25" s="23">
        <f>IF(Amortizacion_Capital_Mensual!U25&gt;0, ROUND(S25 - Amortizacion_Capital_Mensual!U25, 2), "")</f>
        <v/>
      </c>
      <c r="U25" s="23">
        <f>MAX(I25:T25)</f>
        <v/>
      </c>
    </row>
    <row r="26">
      <c r="A26" s="26" t="inlineStr">
        <is>
          <t>0546-0008</t>
        </is>
      </c>
      <c r="B26" s="27" t="inlineStr">
        <is>
          <t>Norma Elena Bonilla Lupio</t>
        </is>
      </c>
      <c r="C26" s="27" t="inlineStr">
        <is>
          <t>JT MOJAVE 4X4</t>
        </is>
      </c>
      <c r="D26" s="26" t="inlineStr">
        <is>
          <t>ACTIVO</t>
        </is>
      </c>
      <c r="E26" s="26" t="inlineStr">
        <is>
          <t>2026-01-08</t>
        </is>
      </c>
      <c r="F26" s="26" t="inlineStr">
        <is>
          <t>2028-01-08</t>
        </is>
      </c>
      <c r="G26" s="28" t="n">
        <v>24</v>
      </c>
      <c r="H26" s="29" t="n">
        <v>817760.17</v>
      </c>
      <c r="I26" s="29">
        <f>IF(Amortizacion_Capital_Mensual!J26&gt;0, ROUND($H26 - Amortizacion_Capital_Mensual!J26, 2), "")</f>
        <v/>
      </c>
      <c r="J26" s="29">
        <f>IF(Amortizacion_Capital_Mensual!K26&gt;0, ROUND(I26 - Amortizacion_Capital_Mensual!K26, 2), "")</f>
        <v/>
      </c>
      <c r="K26" s="29">
        <f>IF(Amortizacion_Capital_Mensual!L26&gt;0, ROUND(J26 - Amortizacion_Capital_Mensual!L26, 2), "")</f>
        <v/>
      </c>
      <c r="L26" s="29">
        <f>IF(Amortizacion_Capital_Mensual!M26&gt;0, ROUND(K26 - Amortizacion_Capital_Mensual!M26, 2), "")</f>
        <v/>
      </c>
      <c r="M26" s="29">
        <f>IF(Amortizacion_Capital_Mensual!N26&gt;0, ROUND(L26 - Amortizacion_Capital_Mensual!N26, 2), "")</f>
        <v/>
      </c>
      <c r="N26" s="29">
        <f>IF(Amortizacion_Capital_Mensual!O26&gt;0, ROUND(M26 - Amortizacion_Capital_Mensual!O26, 2), "")</f>
        <v/>
      </c>
      <c r="O26" s="29">
        <f>IF(Amortizacion_Capital_Mensual!P26&gt;0, ROUND(N26 - Amortizacion_Capital_Mensual!P26, 2), "")</f>
        <v/>
      </c>
      <c r="P26" s="29">
        <f>IF(Amortizacion_Capital_Mensual!Q26&gt;0, ROUND(O26 - Amortizacion_Capital_Mensual!Q26, 2), "")</f>
        <v/>
      </c>
      <c r="Q26" s="29">
        <f>IF(Amortizacion_Capital_Mensual!R26&gt;0, ROUND(P26 - Amortizacion_Capital_Mensual!R26, 2), "")</f>
        <v/>
      </c>
      <c r="R26" s="29">
        <f>IF(Amortizacion_Capital_Mensual!S26&gt;0, ROUND(Q26 - Amortizacion_Capital_Mensual!S26, 2), "")</f>
        <v/>
      </c>
      <c r="S26" s="29">
        <f>IF(Amortizacion_Capital_Mensual!T26&gt;0, ROUND(R26 - Amortizacion_Capital_Mensual!T26, 2), "")</f>
        <v/>
      </c>
      <c r="T26" s="29">
        <f>IF(Amortizacion_Capital_Mensual!U26&gt;0, ROUND(S26 - Amortizacion_Capital_Mensual!U26, 2), "")</f>
        <v/>
      </c>
      <c r="U26" s="29">
        <f>MAX(I26:T26)</f>
        <v/>
      </c>
    </row>
    <row r="27">
      <c r="A27" s="20" t="inlineStr">
        <is>
          <t>0546-0009</t>
        </is>
      </c>
      <c r="B27" s="21" t="inlineStr">
        <is>
          <t>Norma Elena Bonilla Lupio</t>
        </is>
      </c>
      <c r="C27" s="21" t="inlineStr">
        <is>
          <t>Ram 1200 Tradesman 2026</t>
        </is>
      </c>
      <c r="D27" s="20" t="inlineStr">
        <is>
          <t>ACTIVO</t>
        </is>
      </c>
      <c r="E27" s="20" t="inlineStr">
        <is>
          <t>2026-07-01</t>
        </is>
      </c>
      <c r="F27" s="20" t="inlineStr">
        <is>
          <t>2028-07-01</t>
        </is>
      </c>
      <c r="G27" s="22" t="n">
        <v>24</v>
      </c>
      <c r="H27" s="23" t="n">
        <v>270028.97</v>
      </c>
      <c r="I27" s="23" t="inlineStr"/>
      <c r="J27" s="23" t="inlineStr"/>
      <c r="K27" s="23" t="inlineStr"/>
      <c r="L27" s="23" t="inlineStr"/>
      <c r="M27" s="23" t="inlineStr"/>
      <c r="N27" s="23" t="inlineStr"/>
      <c r="O27" s="23">
        <f>IF(Amortizacion_Capital_Mensual!P27&gt;0, ROUND($H27 - Amortizacion_Capital_Mensual!P27, 2), "")</f>
        <v/>
      </c>
      <c r="P27" s="23">
        <f>IF(Amortizacion_Capital_Mensual!Q27&gt;0, ROUND(O27 - Amortizacion_Capital_Mensual!Q27, 2), "")</f>
        <v/>
      </c>
      <c r="Q27" s="23">
        <f>IF(Amortizacion_Capital_Mensual!R27&gt;0, ROUND(P27 - Amortizacion_Capital_Mensual!R27, 2), "")</f>
        <v/>
      </c>
      <c r="R27" s="23">
        <f>IF(Amortizacion_Capital_Mensual!S27&gt;0, ROUND(Q27 - Amortizacion_Capital_Mensual!S27, 2), "")</f>
        <v/>
      </c>
      <c r="S27" s="23">
        <f>IF(Amortizacion_Capital_Mensual!T27&gt;0, ROUND(R27 - Amortizacion_Capital_Mensual!T27, 2), "")</f>
        <v/>
      </c>
      <c r="T27" s="23">
        <f>IF(Amortizacion_Capital_Mensual!U27&gt;0, ROUND(S27 - Amortizacion_Capital_Mensual!U27, 2), "")</f>
        <v/>
      </c>
      <c r="U27" s="23">
        <f>MAX(I27:T27)</f>
        <v/>
      </c>
    </row>
    <row r="28">
      <c r="A28" s="26" t="inlineStr">
        <is>
          <t>0551-0002</t>
        </is>
      </c>
      <c r="B28" s="27" t="inlineStr">
        <is>
          <t>Agaveros Unidos de Tequila Jalisco Aun S de RL de Cv</t>
        </is>
      </c>
      <c r="C28" s="27" t="inlineStr">
        <is>
          <t>Ram 700 Laramie</t>
        </is>
      </c>
      <c r="D28" s="26" t="inlineStr">
        <is>
          <t>ACTIVO</t>
        </is>
      </c>
      <c r="E28" s="26" t="inlineStr">
        <is>
          <t>2023-07-07</t>
        </is>
      </c>
      <c r="F28" s="26" t="inlineStr">
        <is>
          <t>2027-07-07</t>
        </is>
      </c>
      <c r="G28" s="28" t="n">
        <v>48</v>
      </c>
      <c r="H28" s="29" t="n">
        <v>247353.45</v>
      </c>
      <c r="I28" s="29">
        <f>IF(Amortizacion_Capital_Mensual!J28&gt;0, ROUND(169189.16 - Amortizacion_Capital_Mensual!J28, 2), "")</f>
        <v/>
      </c>
      <c r="J28" s="29">
        <f>IF(Amortizacion_Capital_Mensual!K28&gt;0, ROUND(I28 - Amortizacion_Capital_Mensual!K28, 2), "")</f>
        <v/>
      </c>
      <c r="K28" s="29">
        <f>IF(Amortizacion_Capital_Mensual!L28&gt;0, ROUND(J28 - Amortizacion_Capital_Mensual!L28, 2), "")</f>
        <v/>
      </c>
      <c r="L28" s="29">
        <f>IF(Amortizacion_Capital_Mensual!M28&gt;0, ROUND(K28 - Amortizacion_Capital_Mensual!M28, 2), "")</f>
        <v/>
      </c>
      <c r="M28" s="29">
        <f>IF(Amortizacion_Capital_Mensual!N28&gt;0, ROUND(L28 - Amortizacion_Capital_Mensual!N28, 2), "")</f>
        <v/>
      </c>
      <c r="N28" s="29">
        <f>IF(Amortizacion_Capital_Mensual!O28&gt;0, ROUND(M28 - Amortizacion_Capital_Mensual!O28, 2), "")</f>
        <v/>
      </c>
      <c r="O28" s="29">
        <f>IF(Amortizacion_Capital_Mensual!P28&gt;0, ROUND(N28 - Amortizacion_Capital_Mensual!P28, 2), "")</f>
        <v/>
      </c>
      <c r="P28" s="29">
        <f>IF(Amortizacion_Capital_Mensual!Q28&gt;0, ROUND(O28 - Amortizacion_Capital_Mensual!Q28, 2), "")</f>
        <v/>
      </c>
      <c r="Q28" s="29">
        <f>IF(Amortizacion_Capital_Mensual!R28&gt;0, ROUND(P28 - Amortizacion_Capital_Mensual!R28, 2), "")</f>
        <v/>
      </c>
      <c r="R28" s="29">
        <f>IF(Amortizacion_Capital_Mensual!S28&gt;0, ROUND(Q28 - Amortizacion_Capital_Mensual!S28, 2), "")</f>
        <v/>
      </c>
      <c r="S28" s="29">
        <f>IF(Amortizacion_Capital_Mensual!T28&gt;0, ROUND(R28 - Amortizacion_Capital_Mensual!T28, 2), "")</f>
        <v/>
      </c>
      <c r="T28" s="29">
        <f>IF(Amortizacion_Capital_Mensual!U28&gt;0, ROUND(S28 - Amortizacion_Capital_Mensual!U28, 2), "")</f>
        <v/>
      </c>
      <c r="U28" s="29">
        <f>MAX(I28:T28)</f>
        <v/>
      </c>
    </row>
    <row r="29">
      <c r="A29" s="20" t="inlineStr">
        <is>
          <t>0552-0018</t>
        </is>
      </c>
      <c r="B29" s="21" t="inlineStr">
        <is>
          <t>Transportes y Maniobras Portuarias</t>
        </is>
      </c>
      <c r="C29" s="21" t="inlineStr">
        <is>
          <t>Raizer</t>
        </is>
      </c>
      <c r="D29" s="20" t="inlineStr">
        <is>
          <t>ACTIVO</t>
        </is>
      </c>
      <c r="E29" s="20" t="inlineStr">
        <is>
          <t>2024-11-29</t>
        </is>
      </c>
      <c r="F29" s="20" t="inlineStr">
        <is>
          <t>2026-11-29</t>
        </is>
      </c>
      <c r="G29" s="22" t="n">
        <v>24</v>
      </c>
      <c r="H29" s="23" t="n">
        <v>720900</v>
      </c>
      <c r="I29" s="23">
        <f>IF(Amortizacion_Capital_Mensual!J29&gt;0, ROUND(361248.01 - Amortizacion_Capital_Mensual!J29, 2), "")</f>
        <v/>
      </c>
      <c r="J29" s="23">
        <f>IF(Amortizacion_Capital_Mensual!K29&gt;0, ROUND(I29 - Amortizacion_Capital_Mensual!K29, 2), "")</f>
        <v/>
      </c>
      <c r="K29" s="23">
        <f>IF(Amortizacion_Capital_Mensual!L29&gt;0, ROUND(J29 - Amortizacion_Capital_Mensual!L29, 2), "")</f>
        <v/>
      </c>
      <c r="L29" s="23">
        <f>IF(Amortizacion_Capital_Mensual!M29&gt;0, ROUND(K29 - Amortizacion_Capital_Mensual!M29, 2), "")</f>
        <v/>
      </c>
      <c r="M29" s="23">
        <f>IF(Amortizacion_Capital_Mensual!N29&gt;0, ROUND(L29 - Amortizacion_Capital_Mensual!N29, 2), "")</f>
        <v/>
      </c>
      <c r="N29" s="23">
        <f>IF(Amortizacion_Capital_Mensual!O29&gt;0, ROUND(M29 - Amortizacion_Capital_Mensual!O29, 2), "")</f>
        <v/>
      </c>
      <c r="O29" s="23">
        <f>IF(Amortizacion_Capital_Mensual!P29&gt;0, ROUND(N29 - Amortizacion_Capital_Mensual!P29, 2), "")</f>
        <v/>
      </c>
      <c r="P29" s="23">
        <f>IF(Amortizacion_Capital_Mensual!Q29&gt;0, ROUND(O29 - Amortizacion_Capital_Mensual!Q29, 2), "")</f>
        <v/>
      </c>
      <c r="Q29" s="23">
        <f>IF(Amortizacion_Capital_Mensual!R29&gt;0, ROUND(P29 - Amortizacion_Capital_Mensual!R29, 2), "")</f>
        <v/>
      </c>
      <c r="R29" s="23">
        <f>IF(Amortizacion_Capital_Mensual!S29&gt;0, ROUND(Q29 - Amortizacion_Capital_Mensual!S29, 2), "")</f>
        <v/>
      </c>
      <c r="S29" s="23" t="inlineStr"/>
      <c r="T29" s="23" t="inlineStr"/>
      <c r="U29" s="23">
        <f>MAX(I29:T29)</f>
        <v/>
      </c>
    </row>
    <row r="30">
      <c r="A30" s="26" t="inlineStr">
        <is>
          <t>0552-0019</t>
        </is>
      </c>
      <c r="B30" s="27" t="inlineStr">
        <is>
          <t>Transportes y Maniobras Portuarias de Mexico Sa de Cv</t>
        </is>
      </c>
      <c r="C30" s="27" t="inlineStr">
        <is>
          <t>Remolque tipo Dolly</t>
        </is>
      </c>
      <c r="D30" s="26" t="inlineStr">
        <is>
          <t>ACTIVO</t>
        </is>
      </c>
      <c r="E30" s="26" t="inlineStr">
        <is>
          <t>2024-12-20</t>
        </is>
      </c>
      <c r="F30" s="26" t="inlineStr">
        <is>
          <t>2026-12-20</t>
        </is>
      </c>
      <c r="G30" s="28" t="n">
        <v>24</v>
      </c>
      <c r="H30" s="29" t="n">
        <v>219510</v>
      </c>
      <c r="I30" s="29">
        <f>IF(Amortizacion_Capital_Mensual!J30&gt;0, ROUND(119241.47 - Amortizacion_Capital_Mensual!J30, 2), "")</f>
        <v/>
      </c>
      <c r="J30" s="29">
        <f>IF(Amortizacion_Capital_Mensual!K30&gt;0, ROUND(I30 - Amortizacion_Capital_Mensual!K30, 2), "")</f>
        <v/>
      </c>
      <c r="K30" s="29">
        <f>IF(Amortizacion_Capital_Mensual!L30&gt;0, ROUND(J30 - Amortizacion_Capital_Mensual!L30, 2), "")</f>
        <v/>
      </c>
      <c r="L30" s="29">
        <f>IF(Amortizacion_Capital_Mensual!M30&gt;0, ROUND(K30 - Amortizacion_Capital_Mensual!M30, 2), "")</f>
        <v/>
      </c>
      <c r="M30" s="29">
        <f>IF(Amortizacion_Capital_Mensual!N30&gt;0, ROUND(L30 - Amortizacion_Capital_Mensual!N30, 2), "")</f>
        <v/>
      </c>
      <c r="N30" s="29">
        <f>IF(Amortizacion_Capital_Mensual!O30&gt;0, ROUND(M30 - Amortizacion_Capital_Mensual!O30, 2), "")</f>
        <v/>
      </c>
      <c r="O30" s="29">
        <f>IF(Amortizacion_Capital_Mensual!P30&gt;0, ROUND(N30 - Amortizacion_Capital_Mensual!P30, 2), "")</f>
        <v/>
      </c>
      <c r="P30" s="29">
        <f>IF(Amortizacion_Capital_Mensual!Q30&gt;0, ROUND(O30 - Amortizacion_Capital_Mensual!Q30, 2), "")</f>
        <v/>
      </c>
      <c r="Q30" s="29">
        <f>IF(Amortizacion_Capital_Mensual!R30&gt;0, ROUND(P30 - Amortizacion_Capital_Mensual!R30, 2), "")</f>
        <v/>
      </c>
      <c r="R30" s="29">
        <f>IF(Amortizacion_Capital_Mensual!S30&gt;0, ROUND(Q30 - Amortizacion_Capital_Mensual!S30, 2), "")</f>
        <v/>
      </c>
      <c r="S30" s="29">
        <f>IF(Amortizacion_Capital_Mensual!T30&gt;0, ROUND(R30 - Amortizacion_Capital_Mensual!T30, 2), "")</f>
        <v/>
      </c>
      <c r="T30" s="29" t="inlineStr"/>
      <c r="U30" s="29">
        <f>MAX(I30:T30)</f>
        <v/>
      </c>
    </row>
    <row r="31">
      <c r="A31" s="20" t="inlineStr">
        <is>
          <t>0552-0020</t>
        </is>
      </c>
      <c r="B31" s="21" t="inlineStr">
        <is>
          <t>Transportes y Maniobras Portuarias de Mexico Sa de Cv</t>
        </is>
      </c>
      <c r="C31" s="21" t="inlineStr">
        <is>
          <t>PLATAFORMA MULTIMODAL</t>
        </is>
      </c>
      <c r="D31" s="20" t="inlineStr">
        <is>
          <t>ACTIVO</t>
        </is>
      </c>
      <c r="E31" s="20" t="inlineStr">
        <is>
          <t>2024-12-26</t>
        </is>
      </c>
      <c r="F31" s="20" t="inlineStr">
        <is>
          <t>2026-12-26</t>
        </is>
      </c>
      <c r="G31" s="22" t="n">
        <v>24</v>
      </c>
      <c r="H31" s="23" t="n">
        <v>415530</v>
      </c>
      <c r="I31" s="23">
        <f>IF(Amortizacion_Capital_Mensual!J31&gt;0, ROUND(225722.85 - Amortizacion_Capital_Mensual!J31, 2), "")</f>
        <v/>
      </c>
      <c r="J31" s="23">
        <f>IF(Amortizacion_Capital_Mensual!K31&gt;0, ROUND(I31 - Amortizacion_Capital_Mensual!K31, 2), "")</f>
        <v/>
      </c>
      <c r="K31" s="23">
        <f>IF(Amortizacion_Capital_Mensual!L31&gt;0, ROUND(J31 - Amortizacion_Capital_Mensual!L31, 2), "")</f>
        <v/>
      </c>
      <c r="L31" s="23">
        <f>IF(Amortizacion_Capital_Mensual!M31&gt;0, ROUND(K31 - Amortizacion_Capital_Mensual!M31, 2), "")</f>
        <v/>
      </c>
      <c r="M31" s="23">
        <f>IF(Amortizacion_Capital_Mensual!N31&gt;0, ROUND(L31 - Amortizacion_Capital_Mensual!N31, 2), "")</f>
        <v/>
      </c>
      <c r="N31" s="23">
        <f>IF(Amortizacion_Capital_Mensual!O31&gt;0, ROUND(M31 - Amortizacion_Capital_Mensual!O31, 2), "")</f>
        <v/>
      </c>
      <c r="O31" s="23">
        <f>IF(Amortizacion_Capital_Mensual!P31&gt;0, ROUND(N31 - Amortizacion_Capital_Mensual!P31, 2), "")</f>
        <v/>
      </c>
      <c r="P31" s="23">
        <f>IF(Amortizacion_Capital_Mensual!Q31&gt;0, ROUND(O31 - Amortizacion_Capital_Mensual!Q31, 2), "")</f>
        <v/>
      </c>
      <c r="Q31" s="23">
        <f>IF(Amortizacion_Capital_Mensual!R31&gt;0, ROUND(P31 - Amortizacion_Capital_Mensual!R31, 2), "")</f>
        <v/>
      </c>
      <c r="R31" s="23">
        <f>IF(Amortizacion_Capital_Mensual!S31&gt;0, ROUND(Q31 - Amortizacion_Capital_Mensual!S31, 2), "")</f>
        <v/>
      </c>
      <c r="S31" s="23">
        <f>IF(Amortizacion_Capital_Mensual!T31&gt;0, ROUND(R31 - Amortizacion_Capital_Mensual!T31, 2), "")</f>
        <v/>
      </c>
      <c r="T31" s="23" t="inlineStr"/>
      <c r="U31" s="23">
        <f>MAX(I31:T31)</f>
        <v/>
      </c>
    </row>
    <row r="32">
      <c r="A32" s="26" t="inlineStr">
        <is>
          <t>0552-0021</t>
        </is>
      </c>
      <c r="B32" s="27" t="inlineStr">
        <is>
          <t>Transportes y Maniobras Portuarias de Mexico Sa de Cv</t>
        </is>
      </c>
      <c r="C32" s="27" t="inlineStr">
        <is>
          <t>PLATAFORMA MULTIMODAL</t>
        </is>
      </c>
      <c r="D32" s="26" t="inlineStr">
        <is>
          <t>ACTIVO</t>
        </is>
      </c>
      <c r="E32" s="26" t="inlineStr">
        <is>
          <t>2024-12-26</t>
        </is>
      </c>
      <c r="F32" s="26" t="inlineStr">
        <is>
          <t>2026-12-26</t>
        </is>
      </c>
      <c r="G32" s="28" t="n">
        <v>24</v>
      </c>
      <c r="H32" s="29" t="n">
        <v>415530</v>
      </c>
      <c r="I32" s="29">
        <f>IF(Amortizacion_Capital_Mensual!J32&gt;0, ROUND(225722.85 - Amortizacion_Capital_Mensual!J32, 2), "")</f>
        <v/>
      </c>
      <c r="J32" s="29">
        <f>IF(Amortizacion_Capital_Mensual!K32&gt;0, ROUND(I32 - Amortizacion_Capital_Mensual!K32, 2), "")</f>
        <v/>
      </c>
      <c r="K32" s="29">
        <f>IF(Amortizacion_Capital_Mensual!L32&gt;0, ROUND(J32 - Amortizacion_Capital_Mensual!L32, 2), "")</f>
        <v/>
      </c>
      <c r="L32" s="29">
        <f>IF(Amortizacion_Capital_Mensual!M32&gt;0, ROUND(K32 - Amortizacion_Capital_Mensual!M32, 2), "")</f>
        <v/>
      </c>
      <c r="M32" s="29">
        <f>IF(Amortizacion_Capital_Mensual!N32&gt;0, ROUND(L32 - Amortizacion_Capital_Mensual!N32, 2), "")</f>
        <v/>
      </c>
      <c r="N32" s="29">
        <f>IF(Amortizacion_Capital_Mensual!O32&gt;0, ROUND(M32 - Amortizacion_Capital_Mensual!O32, 2), "")</f>
        <v/>
      </c>
      <c r="O32" s="29">
        <f>IF(Amortizacion_Capital_Mensual!P32&gt;0, ROUND(N32 - Amortizacion_Capital_Mensual!P32, 2), "")</f>
        <v/>
      </c>
      <c r="P32" s="29">
        <f>IF(Amortizacion_Capital_Mensual!Q32&gt;0, ROUND(O32 - Amortizacion_Capital_Mensual!Q32, 2), "")</f>
        <v/>
      </c>
      <c r="Q32" s="29">
        <f>IF(Amortizacion_Capital_Mensual!R32&gt;0, ROUND(P32 - Amortizacion_Capital_Mensual!R32, 2), "")</f>
        <v/>
      </c>
      <c r="R32" s="29">
        <f>IF(Amortizacion_Capital_Mensual!S32&gt;0, ROUND(Q32 - Amortizacion_Capital_Mensual!S32, 2), "")</f>
        <v/>
      </c>
      <c r="S32" s="29">
        <f>IF(Amortizacion_Capital_Mensual!T32&gt;0, ROUND(R32 - Amortizacion_Capital_Mensual!T32, 2), "")</f>
        <v/>
      </c>
      <c r="T32" s="29" t="inlineStr"/>
      <c r="U32" s="29">
        <f>MAX(I32:T32)</f>
        <v/>
      </c>
    </row>
    <row r="33">
      <c r="A33" s="20" t="inlineStr">
        <is>
          <t>0552-0022</t>
        </is>
      </c>
      <c r="B33" s="21" t="inlineStr">
        <is>
          <t>Transportes y Maniobras Portuarias de Mexico Sa de Cv</t>
        </is>
      </c>
      <c r="C33" s="21" t="inlineStr">
        <is>
          <t>RZR</t>
        </is>
      </c>
      <c r="D33" s="20" t="inlineStr">
        <is>
          <t>ACTIVO</t>
        </is>
      </c>
      <c r="E33" s="20" t="inlineStr">
        <is>
          <t>2024-12-26</t>
        </is>
      </c>
      <c r="F33" s="20" t="inlineStr">
        <is>
          <t>2026-12-26</t>
        </is>
      </c>
      <c r="G33" s="22" t="n">
        <v>24</v>
      </c>
      <c r="H33" s="23" t="n">
        <v>737862.0699999999</v>
      </c>
      <c r="I33" s="23">
        <f>IF(Amortizacion_Capital_Mensual!J33&gt;0, ROUND(400872.11 - Amortizacion_Capital_Mensual!J33, 2), "")</f>
        <v/>
      </c>
      <c r="J33" s="23">
        <f>IF(Amortizacion_Capital_Mensual!K33&gt;0, ROUND(I33 - Amortizacion_Capital_Mensual!K33, 2), "")</f>
        <v/>
      </c>
      <c r="K33" s="23">
        <f>IF(Amortizacion_Capital_Mensual!L33&gt;0, ROUND(J33 - Amortizacion_Capital_Mensual!L33, 2), "")</f>
        <v/>
      </c>
      <c r="L33" s="23">
        <f>IF(Amortizacion_Capital_Mensual!M33&gt;0, ROUND(K33 - Amortizacion_Capital_Mensual!M33, 2), "")</f>
        <v/>
      </c>
      <c r="M33" s="23">
        <f>IF(Amortizacion_Capital_Mensual!N33&gt;0, ROUND(L33 - Amortizacion_Capital_Mensual!N33, 2), "")</f>
        <v/>
      </c>
      <c r="N33" s="23">
        <f>IF(Amortizacion_Capital_Mensual!O33&gt;0, ROUND(M33 - Amortizacion_Capital_Mensual!O33, 2), "")</f>
        <v/>
      </c>
      <c r="O33" s="23">
        <f>IF(Amortizacion_Capital_Mensual!P33&gt;0, ROUND(N33 - Amortizacion_Capital_Mensual!P33, 2), "")</f>
        <v/>
      </c>
      <c r="P33" s="23">
        <f>IF(Amortizacion_Capital_Mensual!Q33&gt;0, ROUND(O33 - Amortizacion_Capital_Mensual!Q33, 2), "")</f>
        <v/>
      </c>
      <c r="Q33" s="23">
        <f>IF(Amortizacion_Capital_Mensual!R33&gt;0, ROUND(P33 - Amortizacion_Capital_Mensual!R33, 2), "")</f>
        <v/>
      </c>
      <c r="R33" s="23">
        <f>IF(Amortizacion_Capital_Mensual!S33&gt;0, ROUND(Q33 - Amortizacion_Capital_Mensual!S33, 2), "")</f>
        <v/>
      </c>
      <c r="S33" s="23">
        <f>IF(Amortizacion_Capital_Mensual!T33&gt;0, ROUND(R33 - Amortizacion_Capital_Mensual!T33, 2), "")</f>
        <v/>
      </c>
      <c r="T33" s="23" t="inlineStr"/>
      <c r="U33" s="23">
        <f>MAX(I33:T33)</f>
        <v/>
      </c>
    </row>
    <row r="34">
      <c r="A34" s="26" t="inlineStr">
        <is>
          <t>0552-0023</t>
        </is>
      </c>
      <c r="B34" s="27" t="inlineStr">
        <is>
          <t>Transportes y Maniobras Portuarias de Mexico Sa de Cv</t>
        </is>
      </c>
      <c r="C34" s="27" t="inlineStr">
        <is>
          <t>Iternational Lt</t>
        </is>
      </c>
      <c r="D34" s="26" t="inlineStr">
        <is>
          <t>ACTIVO</t>
        </is>
      </c>
      <c r="E34" s="26" t="inlineStr">
        <is>
          <t>2025-08-27</t>
        </is>
      </c>
      <c r="F34" s="26" t="inlineStr">
        <is>
          <t>2027-08-27</t>
        </is>
      </c>
      <c r="G34" s="28" t="n">
        <v>24</v>
      </c>
      <c r="H34" s="29" t="n">
        <v>1377931.03</v>
      </c>
      <c r="I34" s="29">
        <f>IF(Amortizacion_Capital_Mensual!J34&gt;0, ROUND(1180748.71 - Amortizacion_Capital_Mensual!J34, 2), "")</f>
        <v/>
      </c>
      <c r="J34" s="29">
        <f>IF(Amortizacion_Capital_Mensual!K34&gt;0, ROUND(I34 - Amortizacion_Capital_Mensual!K34, 2), "")</f>
        <v/>
      </c>
      <c r="K34" s="29">
        <f>IF(Amortizacion_Capital_Mensual!L34&gt;0, ROUND(J34 - Amortizacion_Capital_Mensual!L34, 2), "")</f>
        <v/>
      </c>
      <c r="L34" s="29">
        <f>IF(Amortizacion_Capital_Mensual!M34&gt;0, ROUND(K34 - Amortizacion_Capital_Mensual!M34, 2), "")</f>
        <v/>
      </c>
      <c r="M34" s="29">
        <f>IF(Amortizacion_Capital_Mensual!N34&gt;0, ROUND(L34 - Amortizacion_Capital_Mensual!N34, 2), "")</f>
        <v/>
      </c>
      <c r="N34" s="29">
        <f>IF(Amortizacion_Capital_Mensual!O34&gt;0, ROUND(M34 - Amortizacion_Capital_Mensual!O34, 2), "")</f>
        <v/>
      </c>
      <c r="O34" s="29">
        <f>IF(Amortizacion_Capital_Mensual!P34&gt;0, ROUND(N34 - Amortizacion_Capital_Mensual!P34, 2), "")</f>
        <v/>
      </c>
      <c r="P34" s="29">
        <f>IF(Amortizacion_Capital_Mensual!Q34&gt;0, ROUND(O34 - Amortizacion_Capital_Mensual!Q34, 2), "")</f>
        <v/>
      </c>
      <c r="Q34" s="29">
        <f>IF(Amortizacion_Capital_Mensual!R34&gt;0, ROUND(P34 - Amortizacion_Capital_Mensual!R34, 2), "")</f>
        <v/>
      </c>
      <c r="R34" s="29">
        <f>IF(Amortizacion_Capital_Mensual!S34&gt;0, ROUND(Q34 - Amortizacion_Capital_Mensual!S34, 2), "")</f>
        <v/>
      </c>
      <c r="S34" s="29">
        <f>IF(Amortizacion_Capital_Mensual!T34&gt;0, ROUND(R34 - Amortizacion_Capital_Mensual!T34, 2), "")</f>
        <v/>
      </c>
      <c r="T34" s="29">
        <f>IF(Amortizacion_Capital_Mensual!U34&gt;0, ROUND(S34 - Amortizacion_Capital_Mensual!U34, 2), "")</f>
        <v/>
      </c>
      <c r="U34" s="29">
        <f>MAX(I34:T34)</f>
        <v/>
      </c>
    </row>
    <row r="35">
      <c r="A35" s="20" t="inlineStr">
        <is>
          <t>0552-0024</t>
        </is>
      </c>
      <c r="B35" s="21" t="inlineStr">
        <is>
          <t>Transportes y Maniobras Portuarias de Mexico Sa de Cv</t>
        </is>
      </c>
      <c r="C35" s="21" t="inlineStr">
        <is>
          <t>Iternational Lt</t>
        </is>
      </c>
      <c r="D35" s="20" t="inlineStr">
        <is>
          <t>ACTIVO</t>
        </is>
      </c>
      <c r="E35" s="20" t="inlineStr">
        <is>
          <t>2025-08-27</t>
        </is>
      </c>
      <c r="F35" s="20" t="inlineStr">
        <is>
          <t>2027-08-27</t>
        </is>
      </c>
      <c r="G35" s="22" t="n">
        <v>24</v>
      </c>
      <c r="H35" s="23" t="n">
        <v>1377931.03</v>
      </c>
      <c r="I35" s="23">
        <f>IF(Amortizacion_Capital_Mensual!J35&gt;0, ROUND(1180748.71 - Amortizacion_Capital_Mensual!J35, 2), "")</f>
        <v/>
      </c>
      <c r="J35" s="23">
        <f>IF(Amortizacion_Capital_Mensual!K35&gt;0, ROUND(I35 - Amortizacion_Capital_Mensual!K35, 2), "")</f>
        <v/>
      </c>
      <c r="K35" s="23">
        <f>IF(Amortizacion_Capital_Mensual!L35&gt;0, ROUND(J35 - Amortizacion_Capital_Mensual!L35, 2), "")</f>
        <v/>
      </c>
      <c r="L35" s="23">
        <f>IF(Amortizacion_Capital_Mensual!M35&gt;0, ROUND(K35 - Amortizacion_Capital_Mensual!M35, 2), "")</f>
        <v/>
      </c>
      <c r="M35" s="23">
        <f>IF(Amortizacion_Capital_Mensual!N35&gt;0, ROUND(L35 - Amortizacion_Capital_Mensual!N35, 2), "")</f>
        <v/>
      </c>
      <c r="N35" s="23">
        <f>IF(Amortizacion_Capital_Mensual!O35&gt;0, ROUND(M35 - Amortizacion_Capital_Mensual!O35, 2), "")</f>
        <v/>
      </c>
      <c r="O35" s="23">
        <f>IF(Amortizacion_Capital_Mensual!P35&gt;0, ROUND(N35 - Amortizacion_Capital_Mensual!P35, 2), "")</f>
        <v/>
      </c>
      <c r="P35" s="23">
        <f>IF(Amortizacion_Capital_Mensual!Q35&gt;0, ROUND(O35 - Amortizacion_Capital_Mensual!Q35, 2), "")</f>
        <v/>
      </c>
      <c r="Q35" s="23">
        <f>IF(Amortizacion_Capital_Mensual!R35&gt;0, ROUND(P35 - Amortizacion_Capital_Mensual!R35, 2), "")</f>
        <v/>
      </c>
      <c r="R35" s="23">
        <f>IF(Amortizacion_Capital_Mensual!S35&gt;0, ROUND(Q35 - Amortizacion_Capital_Mensual!S35, 2), "")</f>
        <v/>
      </c>
      <c r="S35" s="23">
        <f>IF(Amortizacion_Capital_Mensual!T35&gt;0, ROUND(R35 - Amortizacion_Capital_Mensual!T35, 2), "")</f>
        <v/>
      </c>
      <c r="T35" s="23">
        <f>IF(Amortizacion_Capital_Mensual!U35&gt;0, ROUND(S35 - Amortizacion_Capital_Mensual!U35, 2), "")</f>
        <v/>
      </c>
      <c r="U35" s="23">
        <f>MAX(I35:T35)</f>
        <v/>
      </c>
    </row>
    <row r="36">
      <c r="A36" s="26" t="inlineStr">
        <is>
          <t>0552-0025</t>
        </is>
      </c>
      <c r="B36" s="27" t="inlineStr">
        <is>
          <t>Transportes y Maniobras Portuarias de Mexico Sa de Cv</t>
        </is>
      </c>
      <c r="C36" s="27" t="inlineStr">
        <is>
          <t>Iternational Lt</t>
        </is>
      </c>
      <c r="D36" s="26" t="inlineStr">
        <is>
          <t>ACTIVO</t>
        </is>
      </c>
      <c r="E36" s="26" t="inlineStr">
        <is>
          <t>2025-08-27</t>
        </is>
      </c>
      <c r="F36" s="26" t="inlineStr">
        <is>
          <t>2027-08-27</t>
        </is>
      </c>
      <c r="G36" s="28" t="n">
        <v>24</v>
      </c>
      <c r="H36" s="29" t="n">
        <v>1377931.03</v>
      </c>
      <c r="I36" s="29">
        <f>IF(Amortizacion_Capital_Mensual!J36&gt;0, ROUND(1180748.71 - Amortizacion_Capital_Mensual!J36, 2), "")</f>
        <v/>
      </c>
      <c r="J36" s="29">
        <f>IF(Amortizacion_Capital_Mensual!K36&gt;0, ROUND(I36 - Amortizacion_Capital_Mensual!K36, 2), "")</f>
        <v/>
      </c>
      <c r="K36" s="29">
        <f>IF(Amortizacion_Capital_Mensual!L36&gt;0, ROUND(J36 - Amortizacion_Capital_Mensual!L36, 2), "")</f>
        <v/>
      </c>
      <c r="L36" s="29">
        <f>IF(Amortizacion_Capital_Mensual!M36&gt;0, ROUND(K36 - Amortizacion_Capital_Mensual!M36, 2), "")</f>
        <v/>
      </c>
      <c r="M36" s="29">
        <f>IF(Amortizacion_Capital_Mensual!N36&gt;0, ROUND(L36 - Amortizacion_Capital_Mensual!N36, 2), "")</f>
        <v/>
      </c>
      <c r="N36" s="29">
        <f>IF(Amortizacion_Capital_Mensual!O36&gt;0, ROUND(M36 - Amortizacion_Capital_Mensual!O36, 2), "")</f>
        <v/>
      </c>
      <c r="O36" s="29">
        <f>IF(Amortizacion_Capital_Mensual!P36&gt;0, ROUND(N36 - Amortizacion_Capital_Mensual!P36, 2), "")</f>
        <v/>
      </c>
      <c r="P36" s="29">
        <f>IF(Amortizacion_Capital_Mensual!Q36&gt;0, ROUND(O36 - Amortizacion_Capital_Mensual!Q36, 2), "")</f>
        <v/>
      </c>
      <c r="Q36" s="29">
        <f>IF(Amortizacion_Capital_Mensual!R36&gt;0, ROUND(P36 - Amortizacion_Capital_Mensual!R36, 2), "")</f>
        <v/>
      </c>
      <c r="R36" s="29">
        <f>IF(Amortizacion_Capital_Mensual!S36&gt;0, ROUND(Q36 - Amortizacion_Capital_Mensual!S36, 2), "")</f>
        <v/>
      </c>
      <c r="S36" s="29">
        <f>IF(Amortizacion_Capital_Mensual!T36&gt;0, ROUND(R36 - Amortizacion_Capital_Mensual!T36, 2), "")</f>
        <v/>
      </c>
      <c r="T36" s="29">
        <f>IF(Amortizacion_Capital_Mensual!U36&gt;0, ROUND(S36 - Amortizacion_Capital_Mensual!U36, 2), "")</f>
        <v/>
      </c>
      <c r="U36" s="29">
        <f>MAX(I36:T36)</f>
        <v/>
      </c>
    </row>
    <row r="37">
      <c r="A37" s="20" t="inlineStr">
        <is>
          <t>0554-0003</t>
        </is>
      </c>
      <c r="B37" s="21" t="inlineStr">
        <is>
          <t>TRANSPORTES DEL BAJIO TRANSCOLD SA DE CV</t>
        </is>
      </c>
      <c r="C37" s="21" t="inlineStr">
        <is>
          <t>RAM 4000 CHASIS PLANO LARGO "PL"</t>
        </is>
      </c>
      <c r="D37" s="20" t="inlineStr">
        <is>
          <t>ACTIVO</t>
        </is>
      </c>
      <c r="E37" s="20" t="inlineStr">
        <is>
          <t>2022-11-24</t>
        </is>
      </c>
      <c r="F37" s="20" t="inlineStr">
        <is>
          <t>2026-11-24</t>
        </is>
      </c>
      <c r="G37" s="22" t="n">
        <v>48</v>
      </c>
      <c r="H37" s="23" t="n">
        <v>643825.51</v>
      </c>
      <c r="I37" s="23">
        <f>IF(Amortizacion_Capital_Mensual!J37&gt;0, ROUND(258312.84 - Amortizacion_Capital_Mensual!J37, 2), "")</f>
        <v/>
      </c>
      <c r="J37" s="23">
        <f>IF(Amortizacion_Capital_Mensual!K37&gt;0, ROUND(I37 - Amortizacion_Capital_Mensual!K37, 2), "")</f>
        <v/>
      </c>
      <c r="K37" s="23">
        <f>IF(Amortizacion_Capital_Mensual!L37&gt;0, ROUND(J37 - Amortizacion_Capital_Mensual!L37, 2), "")</f>
        <v/>
      </c>
      <c r="L37" s="23">
        <f>IF(Amortizacion_Capital_Mensual!M37&gt;0, ROUND(K37 - Amortizacion_Capital_Mensual!M37, 2), "")</f>
        <v/>
      </c>
      <c r="M37" s="23">
        <f>IF(Amortizacion_Capital_Mensual!N37&gt;0, ROUND(L37 - Amortizacion_Capital_Mensual!N37, 2), "")</f>
        <v/>
      </c>
      <c r="N37" s="23">
        <f>IF(Amortizacion_Capital_Mensual!O37&gt;0, ROUND(M37 - Amortizacion_Capital_Mensual!O37, 2), "")</f>
        <v/>
      </c>
      <c r="O37" s="23">
        <f>IF(Amortizacion_Capital_Mensual!P37&gt;0, ROUND(N37 - Amortizacion_Capital_Mensual!P37, 2), "")</f>
        <v/>
      </c>
      <c r="P37" s="23">
        <f>IF(Amortizacion_Capital_Mensual!Q37&gt;0, ROUND(O37 - Amortizacion_Capital_Mensual!Q37, 2), "")</f>
        <v/>
      </c>
      <c r="Q37" s="23">
        <f>IF(Amortizacion_Capital_Mensual!R37&gt;0, ROUND(P37 - Amortizacion_Capital_Mensual!R37, 2), "")</f>
        <v/>
      </c>
      <c r="R37" s="23">
        <f>IF(Amortizacion_Capital_Mensual!S37&gt;0, ROUND(Q37 - Amortizacion_Capital_Mensual!S37, 2), "")</f>
        <v/>
      </c>
      <c r="S37" s="23" t="inlineStr"/>
      <c r="T37" s="23" t="inlineStr"/>
      <c r="U37" s="23">
        <f>MAX(I37:T37)</f>
        <v/>
      </c>
    </row>
    <row r="38">
      <c r="A38" s="26" t="inlineStr">
        <is>
          <t>0570-0006</t>
        </is>
      </c>
      <c r="B38" s="27" t="inlineStr">
        <is>
          <t>Jalco Iluminacion Sa de Cv</t>
        </is>
      </c>
      <c r="C38" s="27" t="inlineStr">
        <is>
          <t>RAM 700 BIG HORN</t>
        </is>
      </c>
      <c r="D38" s="26" t="inlineStr">
        <is>
          <t>ACTIVO</t>
        </is>
      </c>
      <c r="E38" s="26" t="inlineStr">
        <is>
          <t>2023-12-08</t>
        </is>
      </c>
      <c r="F38" s="26" t="inlineStr">
        <is>
          <t>2026-12-08</t>
        </is>
      </c>
      <c r="G38" s="28" t="n">
        <v>36</v>
      </c>
      <c r="H38" s="29" t="n">
        <v>313370.69</v>
      </c>
      <c r="I38" s="29">
        <f>IF(Amortizacion_Capital_Mensual!J38&gt;0, ROUND(204463.69 - Amortizacion_Capital_Mensual!J38, 2), "")</f>
        <v/>
      </c>
      <c r="J38" s="29">
        <f>IF(Amortizacion_Capital_Mensual!K38&gt;0, ROUND(I38 - Amortizacion_Capital_Mensual!K38, 2), "")</f>
        <v/>
      </c>
      <c r="K38" s="29">
        <f>IF(Amortizacion_Capital_Mensual!L38&gt;0, ROUND(J38 - Amortizacion_Capital_Mensual!L38, 2), "")</f>
        <v/>
      </c>
      <c r="L38" s="29">
        <f>IF(Amortizacion_Capital_Mensual!M38&gt;0, ROUND(K38 - Amortizacion_Capital_Mensual!M38, 2), "")</f>
        <v/>
      </c>
      <c r="M38" s="29">
        <f>IF(Amortizacion_Capital_Mensual!N38&gt;0, ROUND(L38 - Amortizacion_Capital_Mensual!N38, 2), "")</f>
        <v/>
      </c>
      <c r="N38" s="29">
        <f>IF(Amortizacion_Capital_Mensual!O38&gt;0, ROUND(M38 - Amortizacion_Capital_Mensual!O38, 2), "")</f>
        <v/>
      </c>
      <c r="O38" s="29">
        <f>IF(Amortizacion_Capital_Mensual!P38&gt;0, ROUND(N38 - Amortizacion_Capital_Mensual!P38, 2), "")</f>
        <v/>
      </c>
      <c r="P38" s="29">
        <f>IF(Amortizacion_Capital_Mensual!Q38&gt;0, ROUND(O38 - Amortizacion_Capital_Mensual!Q38, 2), "")</f>
        <v/>
      </c>
      <c r="Q38" s="29">
        <f>IF(Amortizacion_Capital_Mensual!R38&gt;0, ROUND(P38 - Amortizacion_Capital_Mensual!R38, 2), "")</f>
        <v/>
      </c>
      <c r="R38" s="29">
        <f>IF(Amortizacion_Capital_Mensual!S38&gt;0, ROUND(Q38 - Amortizacion_Capital_Mensual!S38, 2), "")</f>
        <v/>
      </c>
      <c r="S38" s="29">
        <f>IF(Amortizacion_Capital_Mensual!T38&gt;0, ROUND(R38 - Amortizacion_Capital_Mensual!T38, 2), "")</f>
        <v/>
      </c>
      <c r="T38" s="29" t="inlineStr"/>
      <c r="U38" s="29">
        <f>MAX(I38:T38)</f>
        <v/>
      </c>
    </row>
    <row r="39">
      <c r="A39" s="20" t="inlineStr">
        <is>
          <t>0573-0007</t>
        </is>
      </c>
      <c r="B39" s="21" t="inlineStr">
        <is>
          <t>Ar Marketing Sa de Cv</t>
        </is>
      </c>
      <c r="C39" s="21" t="inlineStr">
        <is>
          <t>Promaster Rapid</t>
        </is>
      </c>
      <c r="D39" s="20" t="inlineStr">
        <is>
          <t>ACTIVO</t>
        </is>
      </c>
      <c r="E39" s="20" t="inlineStr">
        <is>
          <t>2024-05-10</t>
        </is>
      </c>
      <c r="F39" s="20" t="inlineStr">
        <is>
          <t>2027-05-10</t>
        </is>
      </c>
      <c r="G39" s="22" t="n">
        <v>36</v>
      </c>
      <c r="H39" s="23" t="n">
        <v>180311.55</v>
      </c>
      <c r="I39" s="23">
        <f>IF(Amortizacion_Capital_Mensual!J39&gt;0, ROUND(127164.74 - Amortizacion_Capital_Mensual!J39, 2), "")</f>
        <v/>
      </c>
      <c r="J39" s="23">
        <f>IF(Amortizacion_Capital_Mensual!K39&gt;0, ROUND(I39 - Amortizacion_Capital_Mensual!K39, 2), "")</f>
        <v/>
      </c>
      <c r="K39" s="23">
        <f>IF(Amortizacion_Capital_Mensual!L39&gt;0, ROUND(J39 - Amortizacion_Capital_Mensual!L39, 2), "")</f>
        <v/>
      </c>
      <c r="L39" s="23">
        <f>IF(Amortizacion_Capital_Mensual!M39&gt;0, ROUND(K39 - Amortizacion_Capital_Mensual!M39, 2), "")</f>
        <v/>
      </c>
      <c r="M39" s="23">
        <f>IF(Amortizacion_Capital_Mensual!N39&gt;0, ROUND(L39 - Amortizacion_Capital_Mensual!N39, 2), "")</f>
        <v/>
      </c>
      <c r="N39" s="23">
        <f>IF(Amortizacion_Capital_Mensual!O39&gt;0, ROUND(M39 - Amortizacion_Capital_Mensual!O39, 2), "")</f>
        <v/>
      </c>
      <c r="O39" s="23">
        <f>IF(Amortizacion_Capital_Mensual!P39&gt;0, ROUND(N39 - Amortizacion_Capital_Mensual!P39, 2), "")</f>
        <v/>
      </c>
      <c r="P39" s="23">
        <f>IF(Amortizacion_Capital_Mensual!Q39&gt;0, ROUND(O39 - Amortizacion_Capital_Mensual!Q39, 2), "")</f>
        <v/>
      </c>
      <c r="Q39" s="23">
        <f>IF(Amortizacion_Capital_Mensual!R39&gt;0, ROUND(P39 - Amortizacion_Capital_Mensual!R39, 2), "")</f>
        <v/>
      </c>
      <c r="R39" s="23">
        <f>IF(Amortizacion_Capital_Mensual!S39&gt;0, ROUND(Q39 - Amortizacion_Capital_Mensual!S39, 2), "")</f>
        <v/>
      </c>
      <c r="S39" s="23">
        <f>IF(Amortizacion_Capital_Mensual!T39&gt;0, ROUND(R39 - Amortizacion_Capital_Mensual!T39, 2), "")</f>
        <v/>
      </c>
      <c r="T39" s="23">
        <f>IF(Amortizacion_Capital_Mensual!U39&gt;0, ROUND(S39 - Amortizacion_Capital_Mensual!U39, 2), "")</f>
        <v/>
      </c>
      <c r="U39" s="23">
        <f>MAX(I39:T39)</f>
        <v/>
      </c>
    </row>
    <row r="40">
      <c r="A40" s="26" t="inlineStr">
        <is>
          <t>0573-0008</t>
        </is>
      </c>
      <c r="B40" s="27" t="inlineStr">
        <is>
          <t>Ar Marketing Sa de Cv</t>
        </is>
      </c>
      <c r="C40" s="27" t="inlineStr">
        <is>
          <t>Promaster Rapid</t>
        </is>
      </c>
      <c r="D40" s="26" t="inlineStr">
        <is>
          <t>ACTIVO</t>
        </is>
      </c>
      <c r="E40" s="26" t="inlineStr">
        <is>
          <t>2024-05-15</t>
        </is>
      </c>
      <c r="F40" s="26" t="inlineStr">
        <is>
          <t>2027-05-15</t>
        </is>
      </c>
      <c r="G40" s="28" t="n">
        <v>36</v>
      </c>
      <c r="H40" s="29" t="n">
        <v>177354.65</v>
      </c>
      <c r="I40" s="29">
        <f>IF(Amortizacion_Capital_Mensual!J40&gt;0, ROUND(125079.32 - Amortizacion_Capital_Mensual!J40, 2), "")</f>
        <v/>
      </c>
      <c r="J40" s="29">
        <f>IF(Amortizacion_Capital_Mensual!K40&gt;0, ROUND(I40 - Amortizacion_Capital_Mensual!K40, 2), "")</f>
        <v/>
      </c>
      <c r="K40" s="29">
        <f>IF(Amortizacion_Capital_Mensual!L40&gt;0, ROUND(J40 - Amortizacion_Capital_Mensual!L40, 2), "")</f>
        <v/>
      </c>
      <c r="L40" s="29">
        <f>IF(Amortizacion_Capital_Mensual!M40&gt;0, ROUND(K40 - Amortizacion_Capital_Mensual!M40, 2), "")</f>
        <v/>
      </c>
      <c r="M40" s="29">
        <f>IF(Amortizacion_Capital_Mensual!N40&gt;0, ROUND(L40 - Amortizacion_Capital_Mensual!N40, 2), "")</f>
        <v/>
      </c>
      <c r="N40" s="29">
        <f>IF(Amortizacion_Capital_Mensual!O40&gt;0, ROUND(M40 - Amortizacion_Capital_Mensual!O40, 2), "")</f>
        <v/>
      </c>
      <c r="O40" s="29">
        <f>IF(Amortizacion_Capital_Mensual!P40&gt;0, ROUND(N40 - Amortizacion_Capital_Mensual!P40, 2), "")</f>
        <v/>
      </c>
      <c r="P40" s="29">
        <f>IF(Amortizacion_Capital_Mensual!Q40&gt;0, ROUND(O40 - Amortizacion_Capital_Mensual!Q40, 2), "")</f>
        <v/>
      </c>
      <c r="Q40" s="29">
        <f>IF(Amortizacion_Capital_Mensual!R40&gt;0, ROUND(P40 - Amortizacion_Capital_Mensual!R40, 2), "")</f>
        <v/>
      </c>
      <c r="R40" s="29">
        <f>IF(Amortizacion_Capital_Mensual!S40&gt;0, ROUND(Q40 - Amortizacion_Capital_Mensual!S40, 2), "")</f>
        <v/>
      </c>
      <c r="S40" s="29">
        <f>IF(Amortizacion_Capital_Mensual!T40&gt;0, ROUND(R40 - Amortizacion_Capital_Mensual!T40, 2), "")</f>
        <v/>
      </c>
      <c r="T40" s="29">
        <f>IF(Amortizacion_Capital_Mensual!U40&gt;0, ROUND(S40 - Amortizacion_Capital_Mensual!U40, 2), "")</f>
        <v/>
      </c>
      <c r="U40" s="29">
        <f>MAX(I40:T40)</f>
        <v/>
      </c>
    </row>
    <row r="41">
      <c r="A41" s="20" t="inlineStr">
        <is>
          <t>0573-0009</t>
        </is>
      </c>
      <c r="B41" s="21" t="inlineStr">
        <is>
          <t>Ar Marketing Sa de Cv</t>
        </is>
      </c>
      <c r="C41" s="21" t="inlineStr">
        <is>
          <t>Partner</t>
        </is>
      </c>
      <c r="D41" s="20" t="inlineStr">
        <is>
          <t>ACTIVO</t>
        </is>
      </c>
      <c r="E41" s="20" t="inlineStr">
        <is>
          <t>2025-11-28</t>
        </is>
      </c>
      <c r="F41" s="20" t="inlineStr">
        <is>
          <t>2028-11-28</t>
        </is>
      </c>
      <c r="G41" s="22" t="n">
        <v>36</v>
      </c>
      <c r="H41" s="23" t="n">
        <v>174397.76</v>
      </c>
      <c r="I41" s="23">
        <f>IF(Amortizacion_Capital_Mensual!J41&gt;0, ROUND(170138.94 - Amortizacion_Capital_Mensual!J41, 2), "")</f>
        <v/>
      </c>
      <c r="J41" s="23">
        <f>IF(Amortizacion_Capital_Mensual!K41&gt;0, ROUND(I41 - Amortizacion_Capital_Mensual!K41, 2), "")</f>
        <v/>
      </c>
      <c r="K41" s="23">
        <f>IF(Amortizacion_Capital_Mensual!L41&gt;0, ROUND(J41 - Amortizacion_Capital_Mensual!L41, 2), "")</f>
        <v/>
      </c>
      <c r="L41" s="23">
        <f>IF(Amortizacion_Capital_Mensual!M41&gt;0, ROUND(K41 - Amortizacion_Capital_Mensual!M41, 2), "")</f>
        <v/>
      </c>
      <c r="M41" s="23">
        <f>IF(Amortizacion_Capital_Mensual!N41&gt;0, ROUND(L41 - Amortizacion_Capital_Mensual!N41, 2), "")</f>
        <v/>
      </c>
      <c r="N41" s="23">
        <f>IF(Amortizacion_Capital_Mensual!O41&gt;0, ROUND(M41 - Amortizacion_Capital_Mensual!O41, 2), "")</f>
        <v/>
      </c>
      <c r="O41" s="23">
        <f>IF(Amortizacion_Capital_Mensual!P41&gt;0, ROUND(N41 - Amortizacion_Capital_Mensual!P41, 2), "")</f>
        <v/>
      </c>
      <c r="P41" s="23">
        <f>IF(Amortizacion_Capital_Mensual!Q41&gt;0, ROUND(O41 - Amortizacion_Capital_Mensual!Q41, 2), "")</f>
        <v/>
      </c>
      <c r="Q41" s="23">
        <f>IF(Amortizacion_Capital_Mensual!R41&gt;0, ROUND(P41 - Amortizacion_Capital_Mensual!R41, 2), "")</f>
        <v/>
      </c>
      <c r="R41" s="23">
        <f>IF(Amortizacion_Capital_Mensual!S41&gt;0, ROUND(Q41 - Amortizacion_Capital_Mensual!S41, 2), "")</f>
        <v/>
      </c>
      <c r="S41" s="23">
        <f>IF(Amortizacion_Capital_Mensual!T41&gt;0, ROUND(R41 - Amortizacion_Capital_Mensual!T41, 2), "")</f>
        <v/>
      </c>
      <c r="T41" s="23">
        <f>IF(Amortizacion_Capital_Mensual!U41&gt;0, ROUND(S41 - Amortizacion_Capital_Mensual!U41, 2), "")</f>
        <v/>
      </c>
      <c r="U41" s="23">
        <f>MAX(I41:T41)</f>
        <v/>
      </c>
    </row>
    <row r="42">
      <c r="A42" s="26" t="inlineStr">
        <is>
          <t>0580-0001</t>
        </is>
      </c>
      <c r="B42" s="27" t="inlineStr">
        <is>
          <t>YOLANDA AVALOS CARDENAS</t>
        </is>
      </c>
      <c r="C42" s="27" t="inlineStr">
        <is>
          <t>Mojave</t>
        </is>
      </c>
      <c r="D42" s="26" t="inlineStr">
        <is>
          <t>ACTIVO</t>
        </is>
      </c>
      <c r="E42" s="26" t="inlineStr">
        <is>
          <t>2022-11-18</t>
        </is>
      </c>
      <c r="F42" s="26" t="inlineStr">
        <is>
          <t>2026-11-18</t>
        </is>
      </c>
      <c r="G42" s="28" t="n">
        <v>48</v>
      </c>
      <c r="H42" s="29" t="n">
        <v>1004758.62</v>
      </c>
      <c r="I42" s="29">
        <f>IF(Amortizacion_Capital_Mensual!J42&gt;0, ROUND(498029.69 - Amortizacion_Capital_Mensual!J42, 2), "")</f>
        <v/>
      </c>
      <c r="J42" s="29">
        <f>IF(Amortizacion_Capital_Mensual!K42&gt;0, ROUND(I42 - Amortizacion_Capital_Mensual!K42, 2), "")</f>
        <v/>
      </c>
      <c r="K42" s="29">
        <f>IF(Amortizacion_Capital_Mensual!L42&gt;0, ROUND(J42 - Amortizacion_Capital_Mensual!L42, 2), "")</f>
        <v/>
      </c>
      <c r="L42" s="29">
        <f>IF(Amortizacion_Capital_Mensual!M42&gt;0, ROUND(K42 - Amortizacion_Capital_Mensual!M42, 2), "")</f>
        <v/>
      </c>
      <c r="M42" s="29">
        <f>IF(Amortizacion_Capital_Mensual!N42&gt;0, ROUND(L42 - Amortizacion_Capital_Mensual!N42, 2), "")</f>
        <v/>
      </c>
      <c r="N42" s="29">
        <f>IF(Amortizacion_Capital_Mensual!O42&gt;0, ROUND(M42 - Amortizacion_Capital_Mensual!O42, 2), "")</f>
        <v/>
      </c>
      <c r="O42" s="29">
        <f>IF(Amortizacion_Capital_Mensual!P42&gt;0, ROUND(N42 - Amortizacion_Capital_Mensual!P42, 2), "")</f>
        <v/>
      </c>
      <c r="P42" s="29">
        <f>IF(Amortizacion_Capital_Mensual!Q42&gt;0, ROUND(O42 - Amortizacion_Capital_Mensual!Q42, 2), "")</f>
        <v/>
      </c>
      <c r="Q42" s="29">
        <f>IF(Amortizacion_Capital_Mensual!R42&gt;0, ROUND(P42 - Amortizacion_Capital_Mensual!R42, 2), "")</f>
        <v/>
      </c>
      <c r="R42" s="29">
        <f>IF(Amortizacion_Capital_Mensual!S42&gt;0, ROUND(Q42 - Amortizacion_Capital_Mensual!S42, 2), "")</f>
        <v/>
      </c>
      <c r="S42" s="29" t="inlineStr"/>
      <c r="T42" s="29" t="inlineStr"/>
      <c r="U42" s="29">
        <f>MAX(I42:T42)</f>
        <v/>
      </c>
    </row>
    <row r="43">
      <c r="A43" s="20" t="inlineStr">
        <is>
          <t>0581-0001</t>
        </is>
      </c>
      <c r="B43" s="21" t="inlineStr">
        <is>
          <t>Aditivos y Vitaminas Mexicanas Sa de Cv</t>
        </is>
      </c>
      <c r="C43" s="21" t="inlineStr">
        <is>
          <t>RAM 700 REGULAR CAB</t>
        </is>
      </c>
      <c r="D43" s="20" t="inlineStr">
        <is>
          <t>ACTIVO</t>
        </is>
      </c>
      <c r="E43" s="20" t="inlineStr">
        <is>
          <t>2023-01-17</t>
        </is>
      </c>
      <c r="F43" s="20" t="inlineStr">
        <is>
          <t>2027-01-17</t>
        </is>
      </c>
      <c r="G43" s="22" t="n">
        <v>48</v>
      </c>
      <c r="H43" s="23" t="n">
        <v>179163.8</v>
      </c>
      <c r="I43" s="23">
        <f>IF(Amortizacion_Capital_Mensual!J43&gt;0, ROUND(102903.96 - Amortizacion_Capital_Mensual!J43, 2), "")</f>
        <v/>
      </c>
      <c r="J43" s="23">
        <f>IF(Amortizacion_Capital_Mensual!K43&gt;0, ROUND(I43 - Amortizacion_Capital_Mensual!K43, 2), "")</f>
        <v/>
      </c>
      <c r="K43" s="23">
        <f>IF(Amortizacion_Capital_Mensual!L43&gt;0, ROUND(J43 - Amortizacion_Capital_Mensual!L43, 2), "")</f>
        <v/>
      </c>
      <c r="L43" s="23">
        <f>IF(Amortizacion_Capital_Mensual!M43&gt;0, ROUND(K43 - Amortizacion_Capital_Mensual!M43, 2), "")</f>
        <v/>
      </c>
      <c r="M43" s="23">
        <f>IF(Amortizacion_Capital_Mensual!N43&gt;0, ROUND(L43 - Amortizacion_Capital_Mensual!N43, 2), "")</f>
        <v/>
      </c>
      <c r="N43" s="23">
        <f>IF(Amortizacion_Capital_Mensual!O43&gt;0, ROUND(M43 - Amortizacion_Capital_Mensual!O43, 2), "")</f>
        <v/>
      </c>
      <c r="O43" s="23">
        <f>IF(Amortizacion_Capital_Mensual!P43&gt;0, ROUND(N43 - Amortizacion_Capital_Mensual!P43, 2), "")</f>
        <v/>
      </c>
      <c r="P43" s="23">
        <f>IF(Amortizacion_Capital_Mensual!Q43&gt;0, ROUND(O43 - Amortizacion_Capital_Mensual!Q43, 2), "")</f>
        <v/>
      </c>
      <c r="Q43" s="23">
        <f>IF(Amortizacion_Capital_Mensual!R43&gt;0, ROUND(P43 - Amortizacion_Capital_Mensual!R43, 2), "")</f>
        <v/>
      </c>
      <c r="R43" s="23">
        <f>IF(Amortizacion_Capital_Mensual!S43&gt;0, ROUND(Q43 - Amortizacion_Capital_Mensual!S43, 2), "")</f>
        <v/>
      </c>
      <c r="S43" s="23">
        <f>IF(Amortizacion_Capital_Mensual!T43&gt;0, ROUND(R43 - Amortizacion_Capital_Mensual!T43, 2), "")</f>
        <v/>
      </c>
      <c r="T43" s="23">
        <f>IF(Amortizacion_Capital_Mensual!U43&gt;0, ROUND(S43 - Amortizacion_Capital_Mensual!U43, 2), "")</f>
        <v/>
      </c>
      <c r="U43" s="23">
        <f>MAX(I43:T43)</f>
        <v/>
      </c>
    </row>
    <row r="44">
      <c r="A44" s="26" t="inlineStr">
        <is>
          <t>0581-0002</t>
        </is>
      </c>
      <c r="B44" s="27" t="inlineStr">
        <is>
          <t>Aditivos y Vitaminas Mexicanas Sa de Cv</t>
        </is>
      </c>
      <c r="C44" s="27" t="inlineStr">
        <is>
          <t>Ram 700 Regular Cab</t>
        </is>
      </c>
      <c r="D44" s="26" t="inlineStr">
        <is>
          <t>ACTIVO</t>
        </is>
      </c>
      <c r="E44" s="26" t="inlineStr">
        <is>
          <t>2024-09-18</t>
        </is>
      </c>
      <c r="F44" s="26" t="inlineStr">
        <is>
          <t>2028-09-18</t>
        </is>
      </c>
      <c r="G44" s="28" t="n">
        <v>48</v>
      </c>
      <c r="H44" s="29" t="n">
        <v>252077.59</v>
      </c>
      <c r="I44" s="29">
        <f>IF(Amortizacion_Capital_Mensual!J44&gt;0, ROUND(206977.86 - Amortizacion_Capital_Mensual!J44, 2), "")</f>
        <v/>
      </c>
      <c r="J44" s="29">
        <f>IF(Amortizacion_Capital_Mensual!K44&gt;0, ROUND(I44 - Amortizacion_Capital_Mensual!K44, 2), "")</f>
        <v/>
      </c>
      <c r="K44" s="29">
        <f>IF(Amortizacion_Capital_Mensual!L44&gt;0, ROUND(J44 - Amortizacion_Capital_Mensual!L44, 2), "")</f>
        <v/>
      </c>
      <c r="L44" s="29">
        <f>IF(Amortizacion_Capital_Mensual!M44&gt;0, ROUND(K44 - Amortizacion_Capital_Mensual!M44, 2), "")</f>
        <v/>
      </c>
      <c r="M44" s="29">
        <f>IF(Amortizacion_Capital_Mensual!N44&gt;0, ROUND(L44 - Amortizacion_Capital_Mensual!N44, 2), "")</f>
        <v/>
      </c>
      <c r="N44" s="29">
        <f>IF(Amortizacion_Capital_Mensual!O44&gt;0, ROUND(M44 - Amortizacion_Capital_Mensual!O44, 2), "")</f>
        <v/>
      </c>
      <c r="O44" s="29">
        <f>IF(Amortizacion_Capital_Mensual!P44&gt;0, ROUND(N44 - Amortizacion_Capital_Mensual!P44, 2), "")</f>
        <v/>
      </c>
      <c r="P44" s="29">
        <f>IF(Amortizacion_Capital_Mensual!Q44&gt;0, ROUND(O44 - Amortizacion_Capital_Mensual!Q44, 2), "")</f>
        <v/>
      </c>
      <c r="Q44" s="29">
        <f>IF(Amortizacion_Capital_Mensual!R44&gt;0, ROUND(P44 - Amortizacion_Capital_Mensual!R44, 2), "")</f>
        <v/>
      </c>
      <c r="R44" s="29">
        <f>IF(Amortizacion_Capital_Mensual!S44&gt;0, ROUND(Q44 - Amortizacion_Capital_Mensual!S44, 2), "")</f>
        <v/>
      </c>
      <c r="S44" s="29">
        <f>IF(Amortizacion_Capital_Mensual!T44&gt;0, ROUND(R44 - Amortizacion_Capital_Mensual!T44, 2), "")</f>
        <v/>
      </c>
      <c r="T44" s="29">
        <f>IF(Amortizacion_Capital_Mensual!U44&gt;0, ROUND(S44 - Amortizacion_Capital_Mensual!U44, 2), "")</f>
        <v/>
      </c>
      <c r="U44" s="29">
        <f>MAX(I44:T44)</f>
        <v/>
      </c>
    </row>
    <row r="45">
      <c r="A45" s="20" t="inlineStr">
        <is>
          <t>0582-0003</t>
        </is>
      </c>
      <c r="B45" s="21" t="inlineStr">
        <is>
          <t>Ensaladas Frescas de Occidente Sa de Cv</t>
        </is>
      </c>
      <c r="C45" s="21" t="inlineStr">
        <is>
          <t>Pulse</t>
        </is>
      </c>
      <c r="D45" s="20" t="inlineStr">
        <is>
          <t>ACTIVO</t>
        </is>
      </c>
      <c r="E45" s="20" t="inlineStr">
        <is>
          <t>2024-07-02</t>
        </is>
      </c>
      <c r="F45" s="20" t="inlineStr">
        <is>
          <t>2028-07-02</t>
        </is>
      </c>
      <c r="G45" s="22" t="n">
        <v>48</v>
      </c>
      <c r="H45" s="23" t="n">
        <v>274267.24</v>
      </c>
      <c r="I45" s="23">
        <f>IF(Amortizacion_Capital_Mensual!J45&gt;0, ROUND(230630.96 - Amortizacion_Capital_Mensual!J45, 2), "")</f>
        <v/>
      </c>
      <c r="J45" s="23">
        <f>IF(Amortizacion_Capital_Mensual!K45&gt;0, ROUND(I45 - Amortizacion_Capital_Mensual!K45, 2), "")</f>
        <v/>
      </c>
      <c r="K45" s="23">
        <f>IF(Amortizacion_Capital_Mensual!L45&gt;0, ROUND(J45 - Amortizacion_Capital_Mensual!L45, 2), "")</f>
        <v/>
      </c>
      <c r="L45" s="23">
        <f>IF(Amortizacion_Capital_Mensual!M45&gt;0, ROUND(K45 - Amortizacion_Capital_Mensual!M45, 2), "")</f>
        <v/>
      </c>
      <c r="M45" s="23">
        <f>IF(Amortizacion_Capital_Mensual!N45&gt;0, ROUND(L45 - Amortizacion_Capital_Mensual!N45, 2), "")</f>
        <v/>
      </c>
      <c r="N45" s="23">
        <f>IF(Amortizacion_Capital_Mensual!O45&gt;0, ROUND(M45 - Amortizacion_Capital_Mensual!O45, 2), "")</f>
        <v/>
      </c>
      <c r="O45" s="23">
        <f>IF(Amortizacion_Capital_Mensual!P45&gt;0, ROUND(N45 - Amortizacion_Capital_Mensual!P45, 2), "")</f>
        <v/>
      </c>
      <c r="P45" s="23">
        <f>IF(Amortizacion_Capital_Mensual!Q45&gt;0, ROUND(O45 - Amortizacion_Capital_Mensual!Q45, 2), "")</f>
        <v/>
      </c>
      <c r="Q45" s="23">
        <f>IF(Amortizacion_Capital_Mensual!R45&gt;0, ROUND(P45 - Amortizacion_Capital_Mensual!R45, 2), "")</f>
        <v/>
      </c>
      <c r="R45" s="23">
        <f>IF(Amortizacion_Capital_Mensual!S45&gt;0, ROUND(Q45 - Amortizacion_Capital_Mensual!S45, 2), "")</f>
        <v/>
      </c>
      <c r="S45" s="23">
        <f>IF(Amortizacion_Capital_Mensual!T45&gt;0, ROUND(R45 - Amortizacion_Capital_Mensual!T45, 2), "")</f>
        <v/>
      </c>
      <c r="T45" s="23">
        <f>IF(Amortizacion_Capital_Mensual!U45&gt;0, ROUND(S45 - Amortizacion_Capital_Mensual!U45, 2), "")</f>
        <v/>
      </c>
      <c r="U45" s="23">
        <f>MAX(I45:T45)</f>
        <v/>
      </c>
    </row>
    <row r="46">
      <c r="A46" s="26" t="inlineStr">
        <is>
          <t>0583-0004</t>
        </is>
      </c>
      <c r="B46" s="27" t="inlineStr">
        <is>
          <t>Soluciones Profesionales para la Industria Alimentaria</t>
        </is>
      </c>
      <c r="C46" s="27" t="inlineStr">
        <is>
          <t>BIGHORN CREW CAB MT</t>
        </is>
      </c>
      <c r="D46" s="26" t="inlineStr">
        <is>
          <t>ACTIVO</t>
        </is>
      </c>
      <c r="E46" s="26" t="inlineStr">
        <is>
          <t>2024-12-30</t>
        </is>
      </c>
      <c r="F46" s="26" t="inlineStr">
        <is>
          <t>2026-12-30</t>
        </is>
      </c>
      <c r="G46" s="28" t="n">
        <v>24</v>
      </c>
      <c r="H46" s="29" t="n">
        <v>204775.86</v>
      </c>
      <c r="I46" s="29">
        <f>IF(Amortizacion_Capital_Mensual!J46&gt;0, ROUND(128345.39 - Amortizacion_Capital_Mensual!J46, 2), "")</f>
        <v/>
      </c>
      <c r="J46" s="29">
        <f>IF(Amortizacion_Capital_Mensual!K46&gt;0, ROUND(I46 - Amortizacion_Capital_Mensual!K46, 2), "")</f>
        <v/>
      </c>
      <c r="K46" s="29">
        <f>IF(Amortizacion_Capital_Mensual!L46&gt;0, ROUND(J46 - Amortizacion_Capital_Mensual!L46, 2), "")</f>
        <v/>
      </c>
      <c r="L46" s="29">
        <f>IF(Amortizacion_Capital_Mensual!M46&gt;0, ROUND(K46 - Amortizacion_Capital_Mensual!M46, 2), "")</f>
        <v/>
      </c>
      <c r="M46" s="29">
        <f>IF(Amortizacion_Capital_Mensual!N46&gt;0, ROUND(L46 - Amortizacion_Capital_Mensual!N46, 2), "")</f>
        <v/>
      </c>
      <c r="N46" s="29">
        <f>IF(Amortizacion_Capital_Mensual!O46&gt;0, ROUND(M46 - Amortizacion_Capital_Mensual!O46, 2), "")</f>
        <v/>
      </c>
      <c r="O46" s="29">
        <f>IF(Amortizacion_Capital_Mensual!P46&gt;0, ROUND(N46 - Amortizacion_Capital_Mensual!P46, 2), "")</f>
        <v/>
      </c>
      <c r="P46" s="29">
        <f>IF(Amortizacion_Capital_Mensual!Q46&gt;0, ROUND(O46 - Amortizacion_Capital_Mensual!Q46, 2), "")</f>
        <v/>
      </c>
      <c r="Q46" s="29">
        <f>IF(Amortizacion_Capital_Mensual!R46&gt;0, ROUND(P46 - Amortizacion_Capital_Mensual!R46, 2), "")</f>
        <v/>
      </c>
      <c r="R46" s="29">
        <f>IF(Amortizacion_Capital_Mensual!S46&gt;0, ROUND(Q46 - Amortizacion_Capital_Mensual!S46, 2), "")</f>
        <v/>
      </c>
      <c r="S46" s="29">
        <f>IF(Amortizacion_Capital_Mensual!T46&gt;0, ROUND(R46 - Amortizacion_Capital_Mensual!T46, 2), "")</f>
        <v/>
      </c>
      <c r="T46" s="29" t="inlineStr"/>
      <c r="U46" s="29">
        <f>MAX(I46:T46)</f>
        <v/>
      </c>
    </row>
    <row r="47">
      <c r="A47" s="20" t="inlineStr">
        <is>
          <t>0583-0005</t>
        </is>
      </c>
      <c r="B47" s="21" t="inlineStr">
        <is>
          <t>Soluciones Profesionales para la Industria Alimentaria</t>
        </is>
      </c>
      <c r="C47" s="21" t="inlineStr">
        <is>
          <t>3008</t>
        </is>
      </c>
      <c r="D47" s="20" t="inlineStr">
        <is>
          <t>ACTIVO</t>
        </is>
      </c>
      <c r="E47" s="20" t="inlineStr">
        <is>
          <t>2025-01-09</t>
        </is>
      </c>
      <c r="F47" s="20" t="inlineStr">
        <is>
          <t>2028-01-09</t>
        </is>
      </c>
      <c r="G47" s="22" t="n">
        <v>36</v>
      </c>
      <c r="H47" s="23" t="n">
        <v>298137.93</v>
      </c>
      <c r="I47" s="23">
        <f>IF(Amortizacion_Capital_Mensual!J47&gt;0, ROUND(243409.7 - Amortizacion_Capital_Mensual!J47, 2), "")</f>
        <v/>
      </c>
      <c r="J47" s="23">
        <f>IF(Amortizacion_Capital_Mensual!K47&gt;0, ROUND(I47 - Amortizacion_Capital_Mensual!K47, 2), "")</f>
        <v/>
      </c>
      <c r="K47" s="23">
        <f>IF(Amortizacion_Capital_Mensual!L47&gt;0, ROUND(J47 - Amortizacion_Capital_Mensual!L47, 2), "")</f>
        <v/>
      </c>
      <c r="L47" s="23">
        <f>IF(Amortizacion_Capital_Mensual!M47&gt;0, ROUND(K47 - Amortizacion_Capital_Mensual!M47, 2), "")</f>
        <v/>
      </c>
      <c r="M47" s="23">
        <f>IF(Amortizacion_Capital_Mensual!N47&gt;0, ROUND(L47 - Amortizacion_Capital_Mensual!N47, 2), "")</f>
        <v/>
      </c>
      <c r="N47" s="23">
        <f>IF(Amortizacion_Capital_Mensual!O47&gt;0, ROUND(M47 - Amortizacion_Capital_Mensual!O47, 2), "")</f>
        <v/>
      </c>
      <c r="O47" s="23">
        <f>IF(Amortizacion_Capital_Mensual!P47&gt;0, ROUND(N47 - Amortizacion_Capital_Mensual!P47, 2), "")</f>
        <v/>
      </c>
      <c r="P47" s="23">
        <f>IF(Amortizacion_Capital_Mensual!Q47&gt;0, ROUND(O47 - Amortizacion_Capital_Mensual!Q47, 2), "")</f>
        <v/>
      </c>
      <c r="Q47" s="23">
        <f>IF(Amortizacion_Capital_Mensual!R47&gt;0, ROUND(P47 - Amortizacion_Capital_Mensual!R47, 2), "")</f>
        <v/>
      </c>
      <c r="R47" s="23">
        <f>IF(Amortizacion_Capital_Mensual!S47&gt;0, ROUND(Q47 - Amortizacion_Capital_Mensual!S47, 2), "")</f>
        <v/>
      </c>
      <c r="S47" s="23">
        <f>IF(Amortizacion_Capital_Mensual!T47&gt;0, ROUND(R47 - Amortizacion_Capital_Mensual!T47, 2), "")</f>
        <v/>
      </c>
      <c r="T47" s="23">
        <f>IF(Amortizacion_Capital_Mensual!U47&gt;0, ROUND(S47 - Amortizacion_Capital_Mensual!U47, 2), "")</f>
        <v/>
      </c>
      <c r="U47" s="23">
        <f>MAX(I47:T47)</f>
        <v/>
      </c>
    </row>
    <row r="48">
      <c r="A48" s="26" t="inlineStr">
        <is>
          <t>0583-0006</t>
        </is>
      </c>
      <c r="B48" s="27" t="inlineStr">
        <is>
          <t>Soluciones Profesionales para la Industria Alimentaria</t>
        </is>
      </c>
      <c r="C48" s="27" t="inlineStr">
        <is>
          <t>Montana</t>
        </is>
      </c>
      <c r="D48" s="26" t="inlineStr">
        <is>
          <t>ACTIVO</t>
        </is>
      </c>
      <c r="E48" s="26" t="inlineStr">
        <is>
          <t>2025-11-19</t>
        </is>
      </c>
      <c r="F48" s="26" t="inlineStr">
        <is>
          <t>2027-11-19</t>
        </is>
      </c>
      <c r="G48" s="28" t="n">
        <v>24</v>
      </c>
      <c r="H48" s="29" t="n">
        <v>337568.97</v>
      </c>
      <c r="I48" s="29">
        <f>IF(Amortizacion_Capital_Mensual!J48&gt;0, ROUND(322680.75 - Amortizacion_Capital_Mensual!J48, 2), "")</f>
        <v/>
      </c>
      <c r="J48" s="29">
        <f>IF(Amortizacion_Capital_Mensual!K48&gt;0, ROUND(I48 - Amortizacion_Capital_Mensual!K48, 2), "")</f>
        <v/>
      </c>
      <c r="K48" s="29">
        <f>IF(Amortizacion_Capital_Mensual!L48&gt;0, ROUND(J48 - Amortizacion_Capital_Mensual!L48, 2), "")</f>
        <v/>
      </c>
      <c r="L48" s="29">
        <f>IF(Amortizacion_Capital_Mensual!M48&gt;0, ROUND(K48 - Amortizacion_Capital_Mensual!M48, 2), "")</f>
        <v/>
      </c>
      <c r="M48" s="29">
        <f>IF(Amortizacion_Capital_Mensual!N48&gt;0, ROUND(L48 - Amortizacion_Capital_Mensual!N48, 2), "")</f>
        <v/>
      </c>
      <c r="N48" s="29">
        <f>IF(Amortizacion_Capital_Mensual!O48&gt;0, ROUND(M48 - Amortizacion_Capital_Mensual!O48, 2), "")</f>
        <v/>
      </c>
      <c r="O48" s="29">
        <f>IF(Amortizacion_Capital_Mensual!P48&gt;0, ROUND(N48 - Amortizacion_Capital_Mensual!P48, 2), "")</f>
        <v/>
      </c>
      <c r="P48" s="29">
        <f>IF(Amortizacion_Capital_Mensual!Q48&gt;0, ROUND(O48 - Amortizacion_Capital_Mensual!Q48, 2), "")</f>
        <v/>
      </c>
      <c r="Q48" s="29">
        <f>IF(Amortizacion_Capital_Mensual!R48&gt;0, ROUND(P48 - Amortizacion_Capital_Mensual!R48, 2), "")</f>
        <v/>
      </c>
      <c r="R48" s="29">
        <f>IF(Amortizacion_Capital_Mensual!S48&gt;0, ROUND(Q48 - Amortizacion_Capital_Mensual!S48, 2), "")</f>
        <v/>
      </c>
      <c r="S48" s="29">
        <f>IF(Amortizacion_Capital_Mensual!T48&gt;0, ROUND(R48 - Amortizacion_Capital_Mensual!T48, 2), "")</f>
        <v/>
      </c>
      <c r="T48" s="29">
        <f>IF(Amortizacion_Capital_Mensual!U48&gt;0, ROUND(S48 - Amortizacion_Capital_Mensual!U48, 2), "")</f>
        <v/>
      </c>
      <c r="U48" s="29">
        <f>MAX(I48:T48)</f>
        <v/>
      </c>
    </row>
    <row r="49">
      <c r="A49" s="20" t="inlineStr">
        <is>
          <t>0585-0002</t>
        </is>
      </c>
      <c r="B49" s="21" t="inlineStr">
        <is>
          <t>Julio Alberto Ramos de la Mora</t>
        </is>
      </c>
      <c r="C49" s="21" t="inlineStr">
        <is>
          <t>Ram 1500 Limited</t>
        </is>
      </c>
      <c r="D49" s="20" t="inlineStr">
        <is>
          <t>ACTIVO</t>
        </is>
      </c>
      <c r="E49" s="20" t="inlineStr">
        <is>
          <t>2025-01-08</t>
        </is>
      </c>
      <c r="F49" s="20" t="inlineStr">
        <is>
          <t>2028-01-08</t>
        </is>
      </c>
      <c r="G49" s="22" t="n">
        <v>36</v>
      </c>
      <c r="H49" s="23" t="n">
        <v>1139931.03</v>
      </c>
      <c r="I49" s="23">
        <f>IF(Amortizacion_Capital_Mensual!J49&gt;0, ROUND(983362.1 - Amortizacion_Capital_Mensual!J49, 2), "")</f>
        <v/>
      </c>
      <c r="J49" s="23">
        <f>IF(Amortizacion_Capital_Mensual!K49&gt;0, ROUND(I49 - Amortizacion_Capital_Mensual!K49, 2), "")</f>
        <v/>
      </c>
      <c r="K49" s="23">
        <f>IF(Amortizacion_Capital_Mensual!L49&gt;0, ROUND(J49 - Amortizacion_Capital_Mensual!L49, 2), "")</f>
        <v/>
      </c>
      <c r="L49" s="23">
        <f>IF(Amortizacion_Capital_Mensual!M49&gt;0, ROUND(K49 - Amortizacion_Capital_Mensual!M49, 2), "")</f>
        <v/>
      </c>
      <c r="M49" s="23">
        <f>IF(Amortizacion_Capital_Mensual!N49&gt;0, ROUND(L49 - Amortizacion_Capital_Mensual!N49, 2), "")</f>
        <v/>
      </c>
      <c r="N49" s="23">
        <f>IF(Amortizacion_Capital_Mensual!O49&gt;0, ROUND(M49 - Amortizacion_Capital_Mensual!O49, 2), "")</f>
        <v/>
      </c>
      <c r="O49" s="23">
        <f>IF(Amortizacion_Capital_Mensual!P49&gt;0, ROUND(N49 - Amortizacion_Capital_Mensual!P49, 2), "")</f>
        <v/>
      </c>
      <c r="P49" s="23">
        <f>IF(Amortizacion_Capital_Mensual!Q49&gt;0, ROUND(O49 - Amortizacion_Capital_Mensual!Q49, 2), "")</f>
        <v/>
      </c>
      <c r="Q49" s="23">
        <f>IF(Amortizacion_Capital_Mensual!R49&gt;0, ROUND(P49 - Amortizacion_Capital_Mensual!R49, 2), "")</f>
        <v/>
      </c>
      <c r="R49" s="23">
        <f>IF(Amortizacion_Capital_Mensual!S49&gt;0, ROUND(Q49 - Amortizacion_Capital_Mensual!S49, 2), "")</f>
        <v/>
      </c>
      <c r="S49" s="23">
        <f>IF(Amortizacion_Capital_Mensual!T49&gt;0, ROUND(R49 - Amortizacion_Capital_Mensual!T49, 2), "")</f>
        <v/>
      </c>
      <c r="T49" s="23">
        <f>IF(Amortizacion_Capital_Mensual!U49&gt;0, ROUND(S49 - Amortizacion_Capital_Mensual!U49, 2), "")</f>
        <v/>
      </c>
      <c r="U49" s="23">
        <f>MAX(I49:T49)</f>
        <v/>
      </c>
    </row>
    <row r="50">
      <c r="A50" s="26" t="inlineStr">
        <is>
          <t>0585-0003</t>
        </is>
      </c>
      <c r="B50" s="27" t="inlineStr">
        <is>
          <t>Julio Alberto Ramos de la Mora</t>
        </is>
      </c>
      <c r="C50" s="27" t="inlineStr">
        <is>
          <t>Wrangler Rubicon</t>
        </is>
      </c>
      <c r="D50" s="26" t="inlineStr">
        <is>
          <t>ACTIVO</t>
        </is>
      </c>
      <c r="E50" s="26" t="inlineStr">
        <is>
          <t>2025-01-17</t>
        </is>
      </c>
      <c r="F50" s="26" t="inlineStr">
        <is>
          <t>2029-01-17</t>
        </is>
      </c>
      <c r="G50" s="28" t="n">
        <v>48</v>
      </c>
      <c r="H50" s="29" t="n">
        <v>1014068.97</v>
      </c>
      <c r="I50" s="29">
        <f>IF(Amortizacion_Capital_Mensual!J50&gt;0, ROUND(931202.04 - Amortizacion_Capital_Mensual!J50, 2), "")</f>
        <v/>
      </c>
      <c r="J50" s="29">
        <f>IF(Amortizacion_Capital_Mensual!K50&gt;0, ROUND(I50 - Amortizacion_Capital_Mensual!K50, 2), "")</f>
        <v/>
      </c>
      <c r="K50" s="29">
        <f>IF(Amortizacion_Capital_Mensual!L50&gt;0, ROUND(J50 - Amortizacion_Capital_Mensual!L50, 2), "")</f>
        <v/>
      </c>
      <c r="L50" s="29">
        <f>IF(Amortizacion_Capital_Mensual!M50&gt;0, ROUND(K50 - Amortizacion_Capital_Mensual!M50, 2), "")</f>
        <v/>
      </c>
      <c r="M50" s="29">
        <f>IF(Amortizacion_Capital_Mensual!N50&gt;0, ROUND(L50 - Amortizacion_Capital_Mensual!N50, 2), "")</f>
        <v/>
      </c>
      <c r="N50" s="29">
        <f>IF(Amortizacion_Capital_Mensual!O50&gt;0, ROUND(M50 - Amortizacion_Capital_Mensual!O50, 2), "")</f>
        <v/>
      </c>
      <c r="O50" s="29">
        <f>IF(Amortizacion_Capital_Mensual!P50&gt;0, ROUND(N50 - Amortizacion_Capital_Mensual!P50, 2), "")</f>
        <v/>
      </c>
      <c r="P50" s="29">
        <f>IF(Amortizacion_Capital_Mensual!Q50&gt;0, ROUND(O50 - Amortizacion_Capital_Mensual!Q50, 2), "")</f>
        <v/>
      </c>
      <c r="Q50" s="29">
        <f>IF(Amortizacion_Capital_Mensual!R50&gt;0, ROUND(P50 - Amortizacion_Capital_Mensual!R50, 2), "")</f>
        <v/>
      </c>
      <c r="R50" s="29">
        <f>IF(Amortizacion_Capital_Mensual!S50&gt;0, ROUND(Q50 - Amortizacion_Capital_Mensual!S50, 2), "")</f>
        <v/>
      </c>
      <c r="S50" s="29">
        <f>IF(Amortizacion_Capital_Mensual!T50&gt;0, ROUND(R50 - Amortizacion_Capital_Mensual!T50, 2), "")</f>
        <v/>
      </c>
      <c r="T50" s="29">
        <f>IF(Amortizacion_Capital_Mensual!U50&gt;0, ROUND(S50 - Amortizacion_Capital_Mensual!U50, 2), "")</f>
        <v/>
      </c>
      <c r="U50" s="29">
        <f>MAX(I50:T50)</f>
        <v/>
      </c>
    </row>
    <row r="51">
      <c r="A51" s="20" t="inlineStr">
        <is>
          <t>0585-0004</t>
        </is>
      </c>
      <c r="B51" s="21" t="inlineStr">
        <is>
          <t>Julio Alberto Ramos de la Mora</t>
        </is>
      </c>
      <c r="C51" s="21" t="inlineStr">
        <is>
          <t>Hrv Sport</t>
        </is>
      </c>
      <c r="D51" s="20" t="inlineStr">
        <is>
          <t>ACTIVO</t>
        </is>
      </c>
      <c r="E51" s="20" t="inlineStr">
        <is>
          <t>2025-05-28</t>
        </is>
      </c>
      <c r="F51" s="20" t="inlineStr">
        <is>
          <t>2028-05-28</t>
        </is>
      </c>
      <c r="G51" s="22" t="n">
        <v>36</v>
      </c>
      <c r="H51" s="23" t="n">
        <v>325810.34</v>
      </c>
      <c r="I51" s="23">
        <f>IF(Amortizacion_Capital_Mensual!J51&gt;0, ROUND(285496.8 - Amortizacion_Capital_Mensual!J51, 2), "")</f>
        <v/>
      </c>
      <c r="J51" s="23">
        <f>IF(Amortizacion_Capital_Mensual!K51&gt;0, ROUND(I51 - Amortizacion_Capital_Mensual!K51, 2), "")</f>
        <v/>
      </c>
      <c r="K51" s="23">
        <f>IF(Amortizacion_Capital_Mensual!L51&gt;0, ROUND(J51 - Amortizacion_Capital_Mensual!L51, 2), "")</f>
        <v/>
      </c>
      <c r="L51" s="23">
        <f>IF(Amortizacion_Capital_Mensual!M51&gt;0, ROUND(K51 - Amortizacion_Capital_Mensual!M51, 2), "")</f>
        <v/>
      </c>
      <c r="M51" s="23">
        <f>IF(Amortizacion_Capital_Mensual!N51&gt;0, ROUND(L51 - Amortizacion_Capital_Mensual!N51, 2), "")</f>
        <v/>
      </c>
      <c r="N51" s="23">
        <f>IF(Amortizacion_Capital_Mensual!O51&gt;0, ROUND(M51 - Amortizacion_Capital_Mensual!O51, 2), "")</f>
        <v/>
      </c>
      <c r="O51" s="23">
        <f>IF(Amortizacion_Capital_Mensual!P51&gt;0, ROUND(N51 - Amortizacion_Capital_Mensual!P51, 2), "")</f>
        <v/>
      </c>
      <c r="P51" s="23">
        <f>IF(Amortizacion_Capital_Mensual!Q51&gt;0, ROUND(O51 - Amortizacion_Capital_Mensual!Q51, 2), "")</f>
        <v/>
      </c>
      <c r="Q51" s="23">
        <f>IF(Amortizacion_Capital_Mensual!R51&gt;0, ROUND(P51 - Amortizacion_Capital_Mensual!R51, 2), "")</f>
        <v/>
      </c>
      <c r="R51" s="23">
        <f>IF(Amortizacion_Capital_Mensual!S51&gt;0, ROUND(Q51 - Amortizacion_Capital_Mensual!S51, 2), "")</f>
        <v/>
      </c>
      <c r="S51" s="23">
        <f>IF(Amortizacion_Capital_Mensual!T51&gt;0, ROUND(R51 - Amortizacion_Capital_Mensual!T51, 2), "")</f>
        <v/>
      </c>
      <c r="T51" s="23">
        <f>IF(Amortizacion_Capital_Mensual!U51&gt;0, ROUND(S51 - Amortizacion_Capital_Mensual!U51, 2), "")</f>
        <v/>
      </c>
      <c r="U51" s="23">
        <f>MAX(I51:T51)</f>
        <v/>
      </c>
    </row>
    <row r="52">
      <c r="A52" s="26" t="inlineStr">
        <is>
          <t>0585-0005</t>
        </is>
      </c>
      <c r="B52" s="27" t="inlineStr">
        <is>
          <t>Julio Alberto Ramos de la Mora</t>
        </is>
      </c>
      <c r="C52" s="27" t="inlineStr">
        <is>
          <t>M9 GL HEV</t>
        </is>
      </c>
      <c r="D52" s="26" t="inlineStr">
        <is>
          <t>ACTIVO</t>
        </is>
      </c>
      <c r="E52" s="26" t="inlineStr">
        <is>
          <t>2025-12-12</t>
        </is>
      </c>
      <c r="F52" s="26" t="inlineStr">
        <is>
          <t>2027-12-12</t>
        </is>
      </c>
      <c r="G52" s="28" t="n">
        <v>24</v>
      </c>
      <c r="H52" s="29" t="n">
        <v>506793.1</v>
      </c>
      <c r="I52" s="29">
        <f>IF(Amortizacion_Capital_Mensual!J52&gt;0, ROUND(493900.23 - Amortizacion_Capital_Mensual!J52, 2), "")</f>
        <v/>
      </c>
      <c r="J52" s="29">
        <f>IF(Amortizacion_Capital_Mensual!K52&gt;0, ROUND(I52 - Amortizacion_Capital_Mensual!K52, 2), "")</f>
        <v/>
      </c>
      <c r="K52" s="29">
        <f>IF(Amortizacion_Capital_Mensual!L52&gt;0, ROUND(J52 - Amortizacion_Capital_Mensual!L52, 2), "")</f>
        <v/>
      </c>
      <c r="L52" s="29">
        <f>IF(Amortizacion_Capital_Mensual!M52&gt;0, ROUND(K52 - Amortizacion_Capital_Mensual!M52, 2), "")</f>
        <v/>
      </c>
      <c r="M52" s="29">
        <f>IF(Amortizacion_Capital_Mensual!N52&gt;0, ROUND(L52 - Amortizacion_Capital_Mensual!N52, 2), "")</f>
        <v/>
      </c>
      <c r="N52" s="29">
        <f>IF(Amortizacion_Capital_Mensual!O52&gt;0, ROUND(M52 - Amortizacion_Capital_Mensual!O52, 2), "")</f>
        <v/>
      </c>
      <c r="O52" s="29">
        <f>IF(Amortizacion_Capital_Mensual!P52&gt;0, ROUND(N52 - Amortizacion_Capital_Mensual!P52, 2), "")</f>
        <v/>
      </c>
      <c r="P52" s="29">
        <f>IF(Amortizacion_Capital_Mensual!Q52&gt;0, ROUND(O52 - Amortizacion_Capital_Mensual!Q52, 2), "")</f>
        <v/>
      </c>
      <c r="Q52" s="29">
        <f>IF(Amortizacion_Capital_Mensual!R52&gt;0, ROUND(P52 - Amortizacion_Capital_Mensual!R52, 2), "")</f>
        <v/>
      </c>
      <c r="R52" s="29">
        <f>IF(Amortizacion_Capital_Mensual!S52&gt;0, ROUND(Q52 - Amortizacion_Capital_Mensual!S52, 2), "")</f>
        <v/>
      </c>
      <c r="S52" s="29">
        <f>IF(Amortizacion_Capital_Mensual!T52&gt;0, ROUND(R52 - Amortizacion_Capital_Mensual!T52, 2), "")</f>
        <v/>
      </c>
      <c r="T52" s="29">
        <f>IF(Amortizacion_Capital_Mensual!U52&gt;0, ROUND(S52 - Amortizacion_Capital_Mensual!U52, 2), "")</f>
        <v/>
      </c>
      <c r="U52" s="29">
        <f>MAX(I52:T52)</f>
        <v/>
      </c>
    </row>
    <row r="53">
      <c r="A53" s="20" t="inlineStr">
        <is>
          <t>0587-0002</t>
        </is>
      </c>
      <c r="B53" s="21" t="inlineStr">
        <is>
          <t>Allioth, S.C.</t>
        </is>
      </c>
      <c r="C53" s="21" t="inlineStr">
        <is>
          <t>Grand Cherokee L Summit</t>
        </is>
      </c>
      <c r="D53" s="20" t="inlineStr">
        <is>
          <t>ACTIVO</t>
        </is>
      </c>
      <c r="E53" s="20" t="inlineStr">
        <is>
          <t>2026-02-09</t>
        </is>
      </c>
      <c r="F53" s="20" t="inlineStr">
        <is>
          <t>2027-02-09</t>
        </is>
      </c>
      <c r="G53" s="22" t="n">
        <v>12</v>
      </c>
      <c r="H53" s="23" t="n">
        <v>548202.59</v>
      </c>
      <c r="I53" s="23" t="inlineStr"/>
      <c r="J53" s="23">
        <f>IF(Amortizacion_Capital_Mensual!K53&gt;0, ROUND($H53 - Amortizacion_Capital_Mensual!K53, 2), "")</f>
        <v/>
      </c>
      <c r="K53" s="23">
        <f>IF(Amortizacion_Capital_Mensual!L53&gt;0, ROUND(J53 - Amortizacion_Capital_Mensual!L53, 2), "")</f>
        <v/>
      </c>
      <c r="L53" s="23">
        <f>IF(Amortizacion_Capital_Mensual!M53&gt;0, ROUND(K53 - Amortizacion_Capital_Mensual!M53, 2), "")</f>
        <v/>
      </c>
      <c r="M53" s="23">
        <f>IF(Amortizacion_Capital_Mensual!N53&gt;0, ROUND(L53 - Amortizacion_Capital_Mensual!N53, 2), "")</f>
        <v/>
      </c>
      <c r="N53" s="23">
        <f>IF(Amortizacion_Capital_Mensual!O53&gt;0, ROUND(M53 - Amortizacion_Capital_Mensual!O53, 2), "")</f>
        <v/>
      </c>
      <c r="O53" s="23">
        <f>IF(Amortizacion_Capital_Mensual!P53&gt;0, ROUND(N53 - Amortizacion_Capital_Mensual!P53, 2), "")</f>
        <v/>
      </c>
      <c r="P53" s="23">
        <f>IF(Amortizacion_Capital_Mensual!Q53&gt;0, ROUND(O53 - Amortizacion_Capital_Mensual!Q53, 2), "")</f>
        <v/>
      </c>
      <c r="Q53" s="23">
        <f>IF(Amortizacion_Capital_Mensual!R53&gt;0, ROUND(P53 - Amortizacion_Capital_Mensual!R53, 2), "")</f>
        <v/>
      </c>
      <c r="R53" s="23">
        <f>IF(Amortizacion_Capital_Mensual!S53&gt;0, ROUND(Q53 - Amortizacion_Capital_Mensual!S53, 2), "")</f>
        <v/>
      </c>
      <c r="S53" s="23">
        <f>IF(Amortizacion_Capital_Mensual!T53&gt;0, ROUND(R53 - Amortizacion_Capital_Mensual!T53, 2), "")</f>
        <v/>
      </c>
      <c r="T53" s="23">
        <f>IF(Amortizacion_Capital_Mensual!U53&gt;0, ROUND(S53 - Amortizacion_Capital_Mensual!U53, 2), "")</f>
        <v/>
      </c>
      <c r="U53" s="23">
        <f>MAX(I53:T53)</f>
        <v/>
      </c>
    </row>
    <row r="54">
      <c r="A54" s="26" t="inlineStr">
        <is>
          <t>0591-0002</t>
        </is>
      </c>
      <c r="B54" s="27" t="inlineStr">
        <is>
          <t>Cervantech Servicios Tecnologicos Sc</t>
        </is>
      </c>
      <c r="C54" s="27" t="inlineStr">
        <is>
          <t>WRANGLER RUBICON</t>
        </is>
      </c>
      <c r="D54" s="26" t="inlineStr">
        <is>
          <t>ACTIVO</t>
        </is>
      </c>
      <c r="E54" s="26" t="inlineStr">
        <is>
          <t>2023-10-27</t>
        </is>
      </c>
      <c r="F54" s="26" t="inlineStr">
        <is>
          <t>2026-10-27</t>
        </is>
      </c>
      <c r="G54" s="28" t="n">
        <v>36</v>
      </c>
      <c r="H54" s="29" t="n">
        <v>884068.97</v>
      </c>
      <c r="I54" s="29">
        <f>IF(Amortizacion_Capital_Mensual!J54&gt;0, ROUND(566086.78 - Amortizacion_Capital_Mensual!J54, 2), "")</f>
        <v/>
      </c>
      <c r="J54" s="29">
        <f>IF(Amortizacion_Capital_Mensual!K54&gt;0, ROUND(I54 - Amortizacion_Capital_Mensual!K54, 2), "")</f>
        <v/>
      </c>
      <c r="K54" s="29">
        <f>IF(Amortizacion_Capital_Mensual!L54&gt;0, ROUND(J54 - Amortizacion_Capital_Mensual!L54, 2), "")</f>
        <v/>
      </c>
      <c r="L54" s="29">
        <f>IF(Amortizacion_Capital_Mensual!M54&gt;0, ROUND(K54 - Amortizacion_Capital_Mensual!M54, 2), "")</f>
        <v/>
      </c>
      <c r="M54" s="29">
        <f>IF(Amortizacion_Capital_Mensual!N54&gt;0, ROUND(L54 - Amortizacion_Capital_Mensual!N54, 2), "")</f>
        <v/>
      </c>
      <c r="N54" s="29">
        <f>IF(Amortizacion_Capital_Mensual!O54&gt;0, ROUND(M54 - Amortizacion_Capital_Mensual!O54, 2), "")</f>
        <v/>
      </c>
      <c r="O54" s="29">
        <f>IF(Amortizacion_Capital_Mensual!P54&gt;0, ROUND(N54 - Amortizacion_Capital_Mensual!P54, 2), "")</f>
        <v/>
      </c>
      <c r="P54" s="29">
        <f>IF(Amortizacion_Capital_Mensual!Q54&gt;0, ROUND(O54 - Amortizacion_Capital_Mensual!Q54, 2), "")</f>
        <v/>
      </c>
      <c r="Q54" s="29">
        <f>IF(Amortizacion_Capital_Mensual!R54&gt;0, ROUND(P54 - Amortizacion_Capital_Mensual!R54, 2), "")</f>
        <v/>
      </c>
      <c r="R54" s="29" t="inlineStr"/>
      <c r="S54" s="29" t="inlineStr"/>
      <c r="T54" s="29" t="inlineStr"/>
      <c r="U54" s="29">
        <f>MAX(I54:T54)</f>
        <v/>
      </c>
    </row>
    <row r="55">
      <c r="A55" s="20" t="inlineStr">
        <is>
          <t>0593-0002</t>
        </is>
      </c>
      <c r="B55" s="21" t="inlineStr">
        <is>
          <t>Metales y Minerales Moa Sa de Cv</t>
        </is>
      </c>
      <c r="C55" s="21" t="inlineStr">
        <is>
          <t>Ram 700 SLT Crew Cab</t>
        </is>
      </c>
      <c r="D55" s="20" t="inlineStr">
        <is>
          <t>ACTIVO</t>
        </is>
      </c>
      <c r="E55" s="20" t="inlineStr">
        <is>
          <t>2023-07-04</t>
        </is>
      </c>
      <c r="F55" s="20" t="inlineStr">
        <is>
          <t>2027-07-04</t>
        </is>
      </c>
      <c r="G55" s="22" t="n">
        <v>48</v>
      </c>
      <c r="H55" s="23" t="n">
        <v>284396.55</v>
      </c>
      <c r="I55" s="23">
        <f>IF(Amortizacion_Capital_Mensual!J55&gt;0, ROUND(182736.12 - Amortizacion_Capital_Mensual!J55, 2), "")</f>
        <v/>
      </c>
      <c r="J55" s="23">
        <f>IF(Amortizacion_Capital_Mensual!K55&gt;0, ROUND(I55 - Amortizacion_Capital_Mensual!K55, 2), "")</f>
        <v/>
      </c>
      <c r="K55" s="23">
        <f>IF(Amortizacion_Capital_Mensual!L55&gt;0, ROUND(J55 - Amortizacion_Capital_Mensual!L55, 2), "")</f>
        <v/>
      </c>
      <c r="L55" s="23">
        <f>IF(Amortizacion_Capital_Mensual!M55&gt;0, ROUND(K55 - Amortizacion_Capital_Mensual!M55, 2), "")</f>
        <v/>
      </c>
      <c r="M55" s="23">
        <f>IF(Amortizacion_Capital_Mensual!N55&gt;0, ROUND(L55 - Amortizacion_Capital_Mensual!N55, 2), "")</f>
        <v/>
      </c>
      <c r="N55" s="23">
        <f>IF(Amortizacion_Capital_Mensual!O55&gt;0, ROUND(M55 - Amortizacion_Capital_Mensual!O55, 2), "")</f>
        <v/>
      </c>
      <c r="O55" s="23">
        <f>IF(Amortizacion_Capital_Mensual!P55&gt;0, ROUND(N55 - Amortizacion_Capital_Mensual!P55, 2), "")</f>
        <v/>
      </c>
      <c r="P55" s="23">
        <f>IF(Amortizacion_Capital_Mensual!Q55&gt;0, ROUND(O55 - Amortizacion_Capital_Mensual!Q55, 2), "")</f>
        <v/>
      </c>
      <c r="Q55" s="23">
        <f>IF(Amortizacion_Capital_Mensual!R55&gt;0, ROUND(P55 - Amortizacion_Capital_Mensual!R55, 2), "")</f>
        <v/>
      </c>
      <c r="R55" s="23">
        <f>IF(Amortizacion_Capital_Mensual!S55&gt;0, ROUND(Q55 - Amortizacion_Capital_Mensual!S55, 2), "")</f>
        <v/>
      </c>
      <c r="S55" s="23">
        <f>IF(Amortizacion_Capital_Mensual!T55&gt;0, ROUND(R55 - Amortizacion_Capital_Mensual!T55, 2), "")</f>
        <v/>
      </c>
      <c r="T55" s="23">
        <f>IF(Amortizacion_Capital_Mensual!U55&gt;0, ROUND(S55 - Amortizacion_Capital_Mensual!U55, 2), "")</f>
        <v/>
      </c>
      <c r="U55" s="23">
        <f>MAX(I55:T55)</f>
        <v/>
      </c>
    </row>
    <row r="56">
      <c r="A56" s="26" t="inlineStr">
        <is>
          <t>0594-0001</t>
        </is>
      </c>
      <c r="B56" s="27" t="inlineStr">
        <is>
          <t>Biotecnologia Estetica Sa de Cv</t>
        </is>
      </c>
      <c r="C56" s="27" t="inlineStr">
        <is>
          <t>Mobi Like</t>
        </is>
      </c>
      <c r="D56" s="26" t="inlineStr">
        <is>
          <t>ACTIVO</t>
        </is>
      </c>
      <c r="E56" s="26" t="inlineStr">
        <is>
          <t>2023-02-23</t>
        </is>
      </c>
      <c r="F56" s="26" t="inlineStr">
        <is>
          <t>2027-02-23</t>
        </is>
      </c>
      <c r="G56" s="28" t="n">
        <v>48</v>
      </c>
      <c r="H56" s="29" t="n">
        <v>188068.97</v>
      </c>
      <c r="I56" s="29">
        <f>IF(Amortizacion_Capital_Mensual!J56&gt;0, ROUND(104866.53 - Amortizacion_Capital_Mensual!J56, 2), "")</f>
        <v/>
      </c>
      <c r="J56" s="29">
        <f>IF(Amortizacion_Capital_Mensual!K56&gt;0, ROUND(I56 - Amortizacion_Capital_Mensual!K56, 2), "")</f>
        <v/>
      </c>
      <c r="K56" s="29">
        <f>IF(Amortizacion_Capital_Mensual!L56&gt;0, ROUND(J56 - Amortizacion_Capital_Mensual!L56, 2), "")</f>
        <v/>
      </c>
      <c r="L56" s="29">
        <f>IF(Amortizacion_Capital_Mensual!M56&gt;0, ROUND(K56 - Amortizacion_Capital_Mensual!M56, 2), "")</f>
        <v/>
      </c>
      <c r="M56" s="29">
        <f>IF(Amortizacion_Capital_Mensual!N56&gt;0, ROUND(L56 - Amortizacion_Capital_Mensual!N56, 2), "")</f>
        <v/>
      </c>
      <c r="N56" s="29">
        <f>IF(Amortizacion_Capital_Mensual!O56&gt;0, ROUND(M56 - Amortizacion_Capital_Mensual!O56, 2), "")</f>
        <v/>
      </c>
      <c r="O56" s="29">
        <f>IF(Amortizacion_Capital_Mensual!P56&gt;0, ROUND(N56 - Amortizacion_Capital_Mensual!P56, 2), "")</f>
        <v/>
      </c>
      <c r="P56" s="29">
        <f>IF(Amortizacion_Capital_Mensual!Q56&gt;0, ROUND(O56 - Amortizacion_Capital_Mensual!Q56, 2), "")</f>
        <v/>
      </c>
      <c r="Q56" s="29">
        <f>IF(Amortizacion_Capital_Mensual!R56&gt;0, ROUND(P56 - Amortizacion_Capital_Mensual!R56, 2), "")</f>
        <v/>
      </c>
      <c r="R56" s="29">
        <f>IF(Amortizacion_Capital_Mensual!S56&gt;0, ROUND(Q56 - Amortizacion_Capital_Mensual!S56, 2), "")</f>
        <v/>
      </c>
      <c r="S56" s="29">
        <f>IF(Amortizacion_Capital_Mensual!T56&gt;0, ROUND(R56 - Amortizacion_Capital_Mensual!T56, 2), "")</f>
        <v/>
      </c>
      <c r="T56" s="29">
        <f>IF(Amortizacion_Capital_Mensual!U56&gt;0, ROUND(S56 - Amortizacion_Capital_Mensual!U56, 2), "")</f>
        <v/>
      </c>
      <c r="U56" s="29">
        <f>MAX(I56:T56)</f>
        <v/>
      </c>
    </row>
    <row r="57">
      <c r="A57" s="20" t="inlineStr">
        <is>
          <t>0596-0004</t>
        </is>
      </c>
      <c r="B57" s="21" t="inlineStr">
        <is>
          <t>Gruas Industriales Lb</t>
        </is>
      </c>
      <c r="C57" s="21" t="inlineStr">
        <is>
          <t>Ram 1500 TRX</t>
        </is>
      </c>
      <c r="D57" s="20" t="inlineStr">
        <is>
          <t>ACTIVO</t>
        </is>
      </c>
      <c r="E57" s="20" t="inlineStr">
        <is>
          <t>2024-03-22</t>
        </is>
      </c>
      <c r="F57" s="20" t="inlineStr">
        <is>
          <t>2028-03-22</t>
        </is>
      </c>
      <c r="G57" s="22" t="n">
        <v>48</v>
      </c>
      <c r="H57" s="23" t="n">
        <v>1355120.69</v>
      </c>
      <c r="I57" s="23">
        <f>IF(Amortizacion_Capital_Mensual!J57&gt;0, ROUND(1037923.26 - Amortizacion_Capital_Mensual!J57, 2), "")</f>
        <v/>
      </c>
      <c r="J57" s="23">
        <f>IF(Amortizacion_Capital_Mensual!K57&gt;0, ROUND(I57 - Amortizacion_Capital_Mensual!K57, 2), "")</f>
        <v/>
      </c>
      <c r="K57" s="23">
        <f>IF(Amortizacion_Capital_Mensual!L57&gt;0, ROUND(J57 - Amortizacion_Capital_Mensual!L57, 2), "")</f>
        <v/>
      </c>
      <c r="L57" s="23">
        <f>IF(Amortizacion_Capital_Mensual!M57&gt;0, ROUND(K57 - Amortizacion_Capital_Mensual!M57, 2), "")</f>
        <v/>
      </c>
      <c r="M57" s="23">
        <f>IF(Amortizacion_Capital_Mensual!N57&gt;0, ROUND(L57 - Amortizacion_Capital_Mensual!N57, 2), "")</f>
        <v/>
      </c>
      <c r="N57" s="23">
        <f>IF(Amortizacion_Capital_Mensual!O57&gt;0, ROUND(M57 - Amortizacion_Capital_Mensual!O57, 2), "")</f>
        <v/>
      </c>
      <c r="O57" s="23">
        <f>IF(Amortizacion_Capital_Mensual!P57&gt;0, ROUND(N57 - Amortizacion_Capital_Mensual!P57, 2), "")</f>
        <v/>
      </c>
      <c r="P57" s="23">
        <f>IF(Amortizacion_Capital_Mensual!Q57&gt;0, ROUND(O57 - Amortizacion_Capital_Mensual!Q57, 2), "")</f>
        <v/>
      </c>
      <c r="Q57" s="23">
        <f>IF(Amortizacion_Capital_Mensual!R57&gt;0, ROUND(P57 - Amortizacion_Capital_Mensual!R57, 2), "")</f>
        <v/>
      </c>
      <c r="R57" s="23">
        <f>IF(Amortizacion_Capital_Mensual!S57&gt;0, ROUND(Q57 - Amortizacion_Capital_Mensual!S57, 2), "")</f>
        <v/>
      </c>
      <c r="S57" s="23">
        <f>IF(Amortizacion_Capital_Mensual!T57&gt;0, ROUND(R57 - Amortizacion_Capital_Mensual!T57, 2), "")</f>
        <v/>
      </c>
      <c r="T57" s="23">
        <f>IF(Amortizacion_Capital_Mensual!U57&gt;0, ROUND(S57 - Amortizacion_Capital_Mensual!U57, 2), "")</f>
        <v/>
      </c>
      <c r="U57" s="23">
        <f>MAX(I57:T57)</f>
        <v/>
      </c>
    </row>
    <row r="58">
      <c r="A58" s="26" t="inlineStr">
        <is>
          <t>0596-0005</t>
        </is>
      </c>
      <c r="B58" s="27" t="inlineStr">
        <is>
          <t>Gruas Industriales Lb Sa de Cv</t>
        </is>
      </c>
      <c r="C58" s="27" t="inlineStr">
        <is>
          <t>L200 Glx Gasolina</t>
        </is>
      </c>
      <c r="D58" s="26" t="inlineStr">
        <is>
          <t>ACTIVO</t>
        </is>
      </c>
      <c r="E58" s="26" t="inlineStr">
        <is>
          <t>2024-07-19</t>
        </is>
      </c>
      <c r="F58" s="26" t="inlineStr">
        <is>
          <t>2028-07-19</t>
        </is>
      </c>
      <c r="G58" s="28" t="n">
        <v>48</v>
      </c>
      <c r="H58" s="29" t="n">
        <v>374235.52</v>
      </c>
      <c r="I58" s="29">
        <f>IF(Amortizacion_Capital_Mensual!J58&gt;0, ROUND(310989.36 - Amortizacion_Capital_Mensual!J58, 2), "")</f>
        <v/>
      </c>
      <c r="J58" s="29">
        <f>IF(Amortizacion_Capital_Mensual!K58&gt;0, ROUND(I58 - Amortizacion_Capital_Mensual!K58, 2), "")</f>
        <v/>
      </c>
      <c r="K58" s="29">
        <f>IF(Amortizacion_Capital_Mensual!L58&gt;0, ROUND(J58 - Amortizacion_Capital_Mensual!L58, 2), "")</f>
        <v/>
      </c>
      <c r="L58" s="29">
        <f>IF(Amortizacion_Capital_Mensual!M58&gt;0, ROUND(K58 - Amortizacion_Capital_Mensual!M58, 2), "")</f>
        <v/>
      </c>
      <c r="M58" s="29">
        <f>IF(Amortizacion_Capital_Mensual!N58&gt;0, ROUND(L58 - Amortizacion_Capital_Mensual!N58, 2), "")</f>
        <v/>
      </c>
      <c r="N58" s="29">
        <f>IF(Amortizacion_Capital_Mensual!O58&gt;0, ROUND(M58 - Amortizacion_Capital_Mensual!O58, 2), "")</f>
        <v/>
      </c>
      <c r="O58" s="29">
        <f>IF(Amortizacion_Capital_Mensual!P58&gt;0, ROUND(N58 - Amortizacion_Capital_Mensual!P58, 2), "")</f>
        <v/>
      </c>
      <c r="P58" s="29">
        <f>IF(Amortizacion_Capital_Mensual!Q58&gt;0, ROUND(O58 - Amortizacion_Capital_Mensual!Q58, 2), "")</f>
        <v/>
      </c>
      <c r="Q58" s="29">
        <f>IF(Amortizacion_Capital_Mensual!R58&gt;0, ROUND(P58 - Amortizacion_Capital_Mensual!R58, 2), "")</f>
        <v/>
      </c>
      <c r="R58" s="29">
        <f>IF(Amortizacion_Capital_Mensual!S58&gt;0, ROUND(Q58 - Amortizacion_Capital_Mensual!S58, 2), "")</f>
        <v/>
      </c>
      <c r="S58" s="29">
        <f>IF(Amortizacion_Capital_Mensual!T58&gt;0, ROUND(R58 - Amortizacion_Capital_Mensual!T58, 2), "")</f>
        <v/>
      </c>
      <c r="T58" s="29">
        <f>IF(Amortizacion_Capital_Mensual!U58&gt;0, ROUND(S58 - Amortizacion_Capital_Mensual!U58, 2), "")</f>
        <v/>
      </c>
      <c r="U58" s="29">
        <f>MAX(I58:T58)</f>
        <v/>
      </c>
    </row>
    <row r="59">
      <c r="A59" s="20" t="inlineStr">
        <is>
          <t>0598-0001</t>
        </is>
      </c>
      <c r="B59" s="21" t="inlineStr">
        <is>
          <t>Digitracking Solution Sa de Cv</t>
        </is>
      </c>
      <c r="C59" s="21" t="inlineStr">
        <is>
          <t>Ram 700 Laramie</t>
        </is>
      </c>
      <c r="D59" s="20" t="inlineStr">
        <is>
          <t>ACTIVO</t>
        </is>
      </c>
      <c r="E59" s="20" t="inlineStr">
        <is>
          <t>2023-03-15</t>
        </is>
      </c>
      <c r="F59" s="20" t="inlineStr">
        <is>
          <t>2027-03-15</t>
        </is>
      </c>
      <c r="G59" s="22" t="n">
        <v>48</v>
      </c>
      <c r="H59" s="23" t="n">
        <v>244336.2</v>
      </c>
      <c r="I59" s="23">
        <f>IF(Amortizacion_Capital_Mensual!J59&gt;0, ROUND(150056.19 - Amortizacion_Capital_Mensual!J59, 2), "")</f>
        <v/>
      </c>
      <c r="J59" s="23">
        <f>IF(Amortizacion_Capital_Mensual!K59&gt;0, ROUND(I59 - Amortizacion_Capital_Mensual!K59, 2), "")</f>
        <v/>
      </c>
      <c r="K59" s="23">
        <f>IF(Amortizacion_Capital_Mensual!L59&gt;0, ROUND(J59 - Amortizacion_Capital_Mensual!L59, 2), "")</f>
        <v/>
      </c>
      <c r="L59" s="23">
        <f>IF(Amortizacion_Capital_Mensual!M59&gt;0, ROUND(K59 - Amortizacion_Capital_Mensual!M59, 2), "")</f>
        <v/>
      </c>
      <c r="M59" s="23">
        <f>IF(Amortizacion_Capital_Mensual!N59&gt;0, ROUND(L59 - Amortizacion_Capital_Mensual!N59, 2), "")</f>
        <v/>
      </c>
      <c r="N59" s="23">
        <f>IF(Amortizacion_Capital_Mensual!O59&gt;0, ROUND(M59 - Amortizacion_Capital_Mensual!O59, 2), "")</f>
        <v/>
      </c>
      <c r="O59" s="23">
        <f>IF(Amortizacion_Capital_Mensual!P59&gt;0, ROUND(N59 - Amortizacion_Capital_Mensual!P59, 2), "")</f>
        <v/>
      </c>
      <c r="P59" s="23">
        <f>IF(Amortizacion_Capital_Mensual!Q59&gt;0, ROUND(O59 - Amortizacion_Capital_Mensual!Q59, 2), "")</f>
        <v/>
      </c>
      <c r="Q59" s="23">
        <f>IF(Amortizacion_Capital_Mensual!R59&gt;0, ROUND(P59 - Amortizacion_Capital_Mensual!R59, 2), "")</f>
        <v/>
      </c>
      <c r="R59" s="23">
        <f>IF(Amortizacion_Capital_Mensual!S59&gt;0, ROUND(Q59 - Amortizacion_Capital_Mensual!S59, 2), "")</f>
        <v/>
      </c>
      <c r="S59" s="23">
        <f>IF(Amortizacion_Capital_Mensual!T59&gt;0, ROUND(R59 - Amortizacion_Capital_Mensual!T59, 2), "")</f>
        <v/>
      </c>
      <c r="T59" s="23">
        <f>IF(Amortizacion_Capital_Mensual!U59&gt;0, ROUND(S59 - Amortizacion_Capital_Mensual!U59, 2), "")</f>
        <v/>
      </c>
      <c r="U59" s="23">
        <f>MAX(I59:T59)</f>
        <v/>
      </c>
    </row>
    <row r="60">
      <c r="A60" s="26" t="inlineStr">
        <is>
          <t>0600-0001</t>
        </is>
      </c>
      <c r="B60" s="27" t="inlineStr">
        <is>
          <t>Dulce Marisol Gonzalez Cuevas</t>
        </is>
      </c>
      <c r="C60" s="27" t="inlineStr">
        <is>
          <t>Ram 700 Laramie</t>
        </is>
      </c>
      <c r="D60" s="26" t="inlineStr">
        <is>
          <t>ACTIVO</t>
        </is>
      </c>
      <c r="E60" s="26" t="inlineStr">
        <is>
          <t>2023-03-15</t>
        </is>
      </c>
      <c r="F60" s="26" t="inlineStr">
        <is>
          <t>2027-03-15</t>
        </is>
      </c>
      <c r="G60" s="28" t="n">
        <v>48</v>
      </c>
      <c r="H60" s="29" t="n">
        <v>209431.03</v>
      </c>
      <c r="I60" s="29">
        <f>IF(Amortizacion_Capital_Mensual!J60&gt;0, ROUND(114742.68 - Amortizacion_Capital_Mensual!J60, 2), "")</f>
        <v/>
      </c>
      <c r="J60" s="29">
        <f>IF(Amortizacion_Capital_Mensual!K60&gt;0, ROUND(I60 - Amortizacion_Capital_Mensual!K60, 2), "")</f>
        <v/>
      </c>
      <c r="K60" s="29">
        <f>IF(Amortizacion_Capital_Mensual!L60&gt;0, ROUND(J60 - Amortizacion_Capital_Mensual!L60, 2), "")</f>
        <v/>
      </c>
      <c r="L60" s="29">
        <f>IF(Amortizacion_Capital_Mensual!M60&gt;0, ROUND(K60 - Amortizacion_Capital_Mensual!M60, 2), "")</f>
        <v/>
      </c>
      <c r="M60" s="29">
        <f>IF(Amortizacion_Capital_Mensual!N60&gt;0, ROUND(L60 - Amortizacion_Capital_Mensual!N60, 2), "")</f>
        <v/>
      </c>
      <c r="N60" s="29">
        <f>IF(Amortizacion_Capital_Mensual!O60&gt;0, ROUND(M60 - Amortizacion_Capital_Mensual!O60, 2), "")</f>
        <v/>
      </c>
      <c r="O60" s="29">
        <f>IF(Amortizacion_Capital_Mensual!P60&gt;0, ROUND(N60 - Amortizacion_Capital_Mensual!P60, 2), "")</f>
        <v/>
      </c>
      <c r="P60" s="29">
        <f>IF(Amortizacion_Capital_Mensual!Q60&gt;0, ROUND(O60 - Amortizacion_Capital_Mensual!Q60, 2), "")</f>
        <v/>
      </c>
      <c r="Q60" s="29">
        <f>IF(Amortizacion_Capital_Mensual!R60&gt;0, ROUND(P60 - Amortizacion_Capital_Mensual!R60, 2), "")</f>
        <v/>
      </c>
      <c r="R60" s="29">
        <f>IF(Amortizacion_Capital_Mensual!S60&gt;0, ROUND(Q60 - Amortizacion_Capital_Mensual!S60, 2), "")</f>
        <v/>
      </c>
      <c r="S60" s="29">
        <f>IF(Amortizacion_Capital_Mensual!T60&gt;0, ROUND(R60 - Amortizacion_Capital_Mensual!T60, 2), "")</f>
        <v/>
      </c>
      <c r="T60" s="29">
        <f>IF(Amortizacion_Capital_Mensual!U60&gt;0, ROUND(S60 - Amortizacion_Capital_Mensual!U60, 2), "")</f>
        <v/>
      </c>
      <c r="U60" s="29">
        <f>MAX(I60:T60)</f>
        <v/>
      </c>
    </row>
    <row r="61">
      <c r="A61" s="20" t="inlineStr">
        <is>
          <t>0603-0002</t>
        </is>
      </c>
      <c r="B61" s="21" t="inlineStr">
        <is>
          <t>Mario Alberto Velasco Santana</t>
        </is>
      </c>
      <c r="C61" s="21" t="inlineStr">
        <is>
          <t>Outlander Sport</t>
        </is>
      </c>
      <c r="D61" s="20" t="inlineStr">
        <is>
          <t>ACTIVO</t>
        </is>
      </c>
      <c r="E61" s="20" t="inlineStr">
        <is>
          <t>2024-07-30</t>
        </is>
      </c>
      <c r="F61" s="20" t="inlineStr">
        <is>
          <t>2028-07-30</t>
        </is>
      </c>
      <c r="G61" s="22" t="n">
        <v>48</v>
      </c>
      <c r="H61" s="23" t="n">
        <v>276258.62</v>
      </c>
      <c r="I61" s="23">
        <f>IF(Amortizacion_Capital_Mensual!J61&gt;0, ROUND(233409.55 - Amortizacion_Capital_Mensual!J61, 2), "")</f>
        <v/>
      </c>
      <c r="J61" s="23">
        <f>IF(Amortizacion_Capital_Mensual!K61&gt;0, ROUND(I61 - Amortizacion_Capital_Mensual!K61, 2), "")</f>
        <v/>
      </c>
      <c r="K61" s="23">
        <f>IF(Amortizacion_Capital_Mensual!L61&gt;0, ROUND(J61 - Amortizacion_Capital_Mensual!L61, 2), "")</f>
        <v/>
      </c>
      <c r="L61" s="23">
        <f>IF(Amortizacion_Capital_Mensual!M61&gt;0, ROUND(K61 - Amortizacion_Capital_Mensual!M61, 2), "")</f>
        <v/>
      </c>
      <c r="M61" s="23">
        <f>IF(Amortizacion_Capital_Mensual!N61&gt;0, ROUND(L61 - Amortizacion_Capital_Mensual!N61, 2), "")</f>
        <v/>
      </c>
      <c r="N61" s="23">
        <f>IF(Amortizacion_Capital_Mensual!O61&gt;0, ROUND(M61 - Amortizacion_Capital_Mensual!O61, 2), "")</f>
        <v/>
      </c>
      <c r="O61" s="23">
        <f>IF(Amortizacion_Capital_Mensual!P61&gt;0, ROUND(N61 - Amortizacion_Capital_Mensual!P61, 2), "")</f>
        <v/>
      </c>
      <c r="P61" s="23">
        <f>IF(Amortizacion_Capital_Mensual!Q61&gt;0, ROUND(O61 - Amortizacion_Capital_Mensual!Q61, 2), "")</f>
        <v/>
      </c>
      <c r="Q61" s="23">
        <f>IF(Amortizacion_Capital_Mensual!R61&gt;0, ROUND(P61 - Amortizacion_Capital_Mensual!R61, 2), "")</f>
        <v/>
      </c>
      <c r="R61" s="23">
        <f>IF(Amortizacion_Capital_Mensual!S61&gt;0, ROUND(Q61 - Amortizacion_Capital_Mensual!S61, 2), "")</f>
        <v/>
      </c>
      <c r="S61" s="23">
        <f>IF(Amortizacion_Capital_Mensual!T61&gt;0, ROUND(R61 - Amortizacion_Capital_Mensual!T61, 2), "")</f>
        <v/>
      </c>
      <c r="T61" s="23">
        <f>IF(Amortizacion_Capital_Mensual!U61&gt;0, ROUND(S61 - Amortizacion_Capital_Mensual!U61, 2), "")</f>
        <v/>
      </c>
      <c r="U61" s="23">
        <f>MAX(I61:T61)</f>
        <v/>
      </c>
    </row>
    <row r="62">
      <c r="A62" s="26" t="inlineStr">
        <is>
          <t>0605-0001</t>
        </is>
      </c>
      <c r="B62" s="27" t="inlineStr">
        <is>
          <t>Nato Arquitectos Sa de Cv</t>
        </is>
      </c>
      <c r="C62" s="27" t="inlineStr">
        <is>
          <t>Compass High Altitude</t>
        </is>
      </c>
      <c r="D62" s="26" t="inlineStr">
        <is>
          <t>ACTIVO</t>
        </is>
      </c>
      <c r="E62" s="26" t="inlineStr">
        <is>
          <t>2023-03-23</t>
        </is>
      </c>
      <c r="F62" s="26" t="inlineStr">
        <is>
          <t>2027-03-23</t>
        </is>
      </c>
      <c r="G62" s="28" t="n">
        <v>48</v>
      </c>
      <c r="H62" s="29" t="n">
        <v>476663.8</v>
      </c>
      <c r="I62" s="29">
        <f>IF(Amortizacion_Capital_Mensual!J62&gt;0, ROUND(291370.51 - Amortizacion_Capital_Mensual!J62, 2), "")</f>
        <v/>
      </c>
      <c r="J62" s="29">
        <f>IF(Amortizacion_Capital_Mensual!K62&gt;0, ROUND(I62 - Amortizacion_Capital_Mensual!K62, 2), "")</f>
        <v/>
      </c>
      <c r="K62" s="29">
        <f>IF(Amortizacion_Capital_Mensual!L62&gt;0, ROUND(J62 - Amortizacion_Capital_Mensual!L62, 2), "")</f>
        <v/>
      </c>
      <c r="L62" s="29">
        <f>IF(Amortizacion_Capital_Mensual!M62&gt;0, ROUND(K62 - Amortizacion_Capital_Mensual!M62, 2), "")</f>
        <v/>
      </c>
      <c r="M62" s="29">
        <f>IF(Amortizacion_Capital_Mensual!N62&gt;0, ROUND(L62 - Amortizacion_Capital_Mensual!N62, 2), "")</f>
        <v/>
      </c>
      <c r="N62" s="29">
        <f>IF(Amortizacion_Capital_Mensual!O62&gt;0, ROUND(M62 - Amortizacion_Capital_Mensual!O62, 2), "")</f>
        <v/>
      </c>
      <c r="O62" s="29">
        <f>IF(Amortizacion_Capital_Mensual!P62&gt;0, ROUND(N62 - Amortizacion_Capital_Mensual!P62, 2), "")</f>
        <v/>
      </c>
      <c r="P62" s="29">
        <f>IF(Amortizacion_Capital_Mensual!Q62&gt;0, ROUND(O62 - Amortizacion_Capital_Mensual!Q62, 2), "")</f>
        <v/>
      </c>
      <c r="Q62" s="29">
        <f>IF(Amortizacion_Capital_Mensual!R62&gt;0, ROUND(P62 - Amortizacion_Capital_Mensual!R62, 2), "")</f>
        <v/>
      </c>
      <c r="R62" s="29">
        <f>IF(Amortizacion_Capital_Mensual!S62&gt;0, ROUND(Q62 - Amortizacion_Capital_Mensual!S62, 2), "")</f>
        <v/>
      </c>
      <c r="S62" s="29">
        <f>IF(Amortizacion_Capital_Mensual!T62&gt;0, ROUND(R62 - Amortizacion_Capital_Mensual!T62, 2), "")</f>
        <v/>
      </c>
      <c r="T62" s="29">
        <f>IF(Amortizacion_Capital_Mensual!U62&gt;0, ROUND(S62 - Amortizacion_Capital_Mensual!U62, 2), "")</f>
        <v/>
      </c>
      <c r="U62" s="29">
        <f>MAX(I62:T62)</f>
        <v/>
      </c>
    </row>
    <row r="63">
      <c r="A63" s="20" t="inlineStr">
        <is>
          <t>0605-0002</t>
        </is>
      </c>
      <c r="B63" s="21" t="inlineStr">
        <is>
          <t>Nato Arquitectos Sa de Cv</t>
        </is>
      </c>
      <c r="C63" s="21" t="inlineStr">
        <is>
          <t>Hilux Diesel</t>
        </is>
      </c>
      <c r="D63" s="20" t="inlineStr">
        <is>
          <t>ACTIVO</t>
        </is>
      </c>
      <c r="E63" s="20" t="inlineStr">
        <is>
          <t>2025-03-28</t>
        </is>
      </c>
      <c r="F63" s="20" t="inlineStr">
        <is>
          <t>2027-03-28</t>
        </is>
      </c>
      <c r="G63" s="22" t="n">
        <v>24</v>
      </c>
      <c r="H63" s="23" t="n">
        <v>384362.07</v>
      </c>
      <c r="I63" s="23">
        <f>IF(Amortizacion_Capital_Mensual!J63&gt;0, ROUND(270989.94 - Amortizacion_Capital_Mensual!J63, 2), "")</f>
        <v/>
      </c>
      <c r="J63" s="23">
        <f>IF(Amortizacion_Capital_Mensual!K63&gt;0, ROUND(I63 - Amortizacion_Capital_Mensual!K63, 2), "")</f>
        <v/>
      </c>
      <c r="K63" s="23">
        <f>IF(Amortizacion_Capital_Mensual!L63&gt;0, ROUND(J63 - Amortizacion_Capital_Mensual!L63, 2), "")</f>
        <v/>
      </c>
      <c r="L63" s="23">
        <f>IF(Amortizacion_Capital_Mensual!M63&gt;0, ROUND(K63 - Amortizacion_Capital_Mensual!M63, 2), "")</f>
        <v/>
      </c>
      <c r="M63" s="23">
        <f>IF(Amortizacion_Capital_Mensual!N63&gt;0, ROUND(L63 - Amortizacion_Capital_Mensual!N63, 2), "")</f>
        <v/>
      </c>
      <c r="N63" s="23">
        <f>IF(Amortizacion_Capital_Mensual!O63&gt;0, ROUND(M63 - Amortizacion_Capital_Mensual!O63, 2), "")</f>
        <v/>
      </c>
      <c r="O63" s="23">
        <f>IF(Amortizacion_Capital_Mensual!P63&gt;0, ROUND(N63 - Amortizacion_Capital_Mensual!P63, 2), "")</f>
        <v/>
      </c>
      <c r="P63" s="23">
        <f>IF(Amortizacion_Capital_Mensual!Q63&gt;0, ROUND(O63 - Amortizacion_Capital_Mensual!Q63, 2), "")</f>
        <v/>
      </c>
      <c r="Q63" s="23">
        <f>IF(Amortizacion_Capital_Mensual!R63&gt;0, ROUND(P63 - Amortizacion_Capital_Mensual!R63, 2), "")</f>
        <v/>
      </c>
      <c r="R63" s="23">
        <f>IF(Amortizacion_Capital_Mensual!S63&gt;0, ROUND(Q63 - Amortizacion_Capital_Mensual!S63, 2), "")</f>
        <v/>
      </c>
      <c r="S63" s="23">
        <f>IF(Amortizacion_Capital_Mensual!T63&gt;0, ROUND(R63 - Amortizacion_Capital_Mensual!T63, 2), "")</f>
        <v/>
      </c>
      <c r="T63" s="23">
        <f>IF(Amortizacion_Capital_Mensual!U63&gt;0, ROUND(S63 - Amortizacion_Capital_Mensual!U63, 2), "")</f>
        <v/>
      </c>
      <c r="U63" s="23">
        <f>MAX(I63:T63)</f>
        <v/>
      </c>
    </row>
    <row r="64">
      <c r="A64" s="26" t="inlineStr">
        <is>
          <t>0605-0003</t>
        </is>
      </c>
      <c r="B64" s="27" t="inlineStr">
        <is>
          <t>Nato Arquitectos Sa de Cv</t>
        </is>
      </c>
      <c r="C64" s="27" t="inlineStr">
        <is>
          <t>Ranger Crew Cab 4X4 XLT</t>
        </is>
      </c>
      <c r="D64" s="26" t="inlineStr">
        <is>
          <t>ACTIVO</t>
        </is>
      </c>
      <c r="E64" s="26" t="inlineStr">
        <is>
          <t>2026-01-08</t>
        </is>
      </c>
      <c r="F64" s="26" t="inlineStr">
        <is>
          <t>2028-01-08</t>
        </is>
      </c>
      <c r="G64" s="28" t="n">
        <v>24</v>
      </c>
      <c r="H64" s="29" t="n">
        <v>507439.65</v>
      </c>
      <c r="I64" s="29">
        <f>IF(Amortizacion_Capital_Mensual!J64&gt;0, ROUND($H64 - Amortizacion_Capital_Mensual!J64, 2), "")</f>
        <v/>
      </c>
      <c r="J64" s="29">
        <f>IF(Amortizacion_Capital_Mensual!K64&gt;0, ROUND(I64 - Amortizacion_Capital_Mensual!K64, 2), "")</f>
        <v/>
      </c>
      <c r="K64" s="29">
        <f>IF(Amortizacion_Capital_Mensual!L64&gt;0, ROUND(J64 - Amortizacion_Capital_Mensual!L64, 2), "")</f>
        <v/>
      </c>
      <c r="L64" s="29">
        <f>IF(Amortizacion_Capital_Mensual!M64&gt;0, ROUND(K64 - Amortizacion_Capital_Mensual!M64, 2), "")</f>
        <v/>
      </c>
      <c r="M64" s="29">
        <f>IF(Amortizacion_Capital_Mensual!N64&gt;0, ROUND(L64 - Amortizacion_Capital_Mensual!N64, 2), "")</f>
        <v/>
      </c>
      <c r="N64" s="29">
        <f>IF(Amortizacion_Capital_Mensual!O64&gt;0, ROUND(M64 - Amortizacion_Capital_Mensual!O64, 2), "")</f>
        <v/>
      </c>
      <c r="O64" s="29">
        <f>IF(Amortizacion_Capital_Mensual!P64&gt;0, ROUND(N64 - Amortizacion_Capital_Mensual!P64, 2), "")</f>
        <v/>
      </c>
      <c r="P64" s="29">
        <f>IF(Amortizacion_Capital_Mensual!Q64&gt;0, ROUND(O64 - Amortizacion_Capital_Mensual!Q64, 2), "")</f>
        <v/>
      </c>
      <c r="Q64" s="29">
        <f>IF(Amortizacion_Capital_Mensual!R64&gt;0, ROUND(P64 - Amortizacion_Capital_Mensual!R64, 2), "")</f>
        <v/>
      </c>
      <c r="R64" s="29">
        <f>IF(Amortizacion_Capital_Mensual!S64&gt;0, ROUND(Q64 - Amortizacion_Capital_Mensual!S64, 2), "")</f>
        <v/>
      </c>
      <c r="S64" s="29">
        <f>IF(Amortizacion_Capital_Mensual!T64&gt;0, ROUND(R64 - Amortizacion_Capital_Mensual!T64, 2), "")</f>
        <v/>
      </c>
      <c r="T64" s="29">
        <f>IF(Amortizacion_Capital_Mensual!U64&gt;0, ROUND(S64 - Amortizacion_Capital_Mensual!U64, 2), "")</f>
        <v/>
      </c>
      <c r="U64" s="29">
        <f>MAX(I64:T64)</f>
        <v/>
      </c>
    </row>
    <row r="65">
      <c r="A65" s="20" t="inlineStr">
        <is>
          <t>0605-0004</t>
        </is>
      </c>
      <c r="B65" s="21" t="inlineStr">
        <is>
          <t>Nato Arquitectos Sa de Cv</t>
        </is>
      </c>
      <c r="C65" s="21" t="inlineStr">
        <is>
          <t>COLORADO DOBLE CABINA PAQ. "C"</t>
        </is>
      </c>
      <c r="D65" s="20" t="inlineStr">
        <is>
          <t>ACTIVO</t>
        </is>
      </c>
      <c r="E65" s="20" t="inlineStr">
        <is>
          <t>2026-01-08</t>
        </is>
      </c>
      <c r="F65" s="20" t="inlineStr">
        <is>
          <t>2028-01-08</t>
        </is>
      </c>
      <c r="G65" s="22" t="n">
        <v>24</v>
      </c>
      <c r="H65" s="23" t="n">
        <v>597353.45</v>
      </c>
      <c r="I65" s="23">
        <f>IF(Amortizacion_Capital_Mensual!J65&gt;0, ROUND($H65 - Amortizacion_Capital_Mensual!J65, 2), "")</f>
        <v/>
      </c>
      <c r="J65" s="23">
        <f>IF(Amortizacion_Capital_Mensual!K65&gt;0, ROUND(I65 - Amortizacion_Capital_Mensual!K65, 2), "")</f>
        <v/>
      </c>
      <c r="K65" s="23">
        <f>IF(Amortizacion_Capital_Mensual!L65&gt;0, ROUND(J65 - Amortizacion_Capital_Mensual!L65, 2), "")</f>
        <v/>
      </c>
      <c r="L65" s="23">
        <f>IF(Amortizacion_Capital_Mensual!M65&gt;0, ROUND(K65 - Amortizacion_Capital_Mensual!M65, 2), "")</f>
        <v/>
      </c>
      <c r="M65" s="23">
        <f>IF(Amortizacion_Capital_Mensual!N65&gt;0, ROUND(L65 - Amortizacion_Capital_Mensual!N65, 2), "")</f>
        <v/>
      </c>
      <c r="N65" s="23">
        <f>IF(Amortizacion_Capital_Mensual!O65&gt;0, ROUND(M65 - Amortizacion_Capital_Mensual!O65, 2), "")</f>
        <v/>
      </c>
      <c r="O65" s="23">
        <f>IF(Amortizacion_Capital_Mensual!P65&gt;0, ROUND(N65 - Amortizacion_Capital_Mensual!P65, 2), "")</f>
        <v/>
      </c>
      <c r="P65" s="23">
        <f>IF(Amortizacion_Capital_Mensual!Q65&gt;0, ROUND(O65 - Amortizacion_Capital_Mensual!Q65, 2), "")</f>
        <v/>
      </c>
      <c r="Q65" s="23">
        <f>IF(Amortizacion_Capital_Mensual!R65&gt;0, ROUND(P65 - Amortizacion_Capital_Mensual!R65, 2), "")</f>
        <v/>
      </c>
      <c r="R65" s="23">
        <f>IF(Amortizacion_Capital_Mensual!S65&gt;0, ROUND(Q65 - Amortizacion_Capital_Mensual!S65, 2), "")</f>
        <v/>
      </c>
      <c r="S65" s="23">
        <f>IF(Amortizacion_Capital_Mensual!T65&gt;0, ROUND(R65 - Amortizacion_Capital_Mensual!T65, 2), "")</f>
        <v/>
      </c>
      <c r="T65" s="23">
        <f>IF(Amortizacion_Capital_Mensual!U65&gt;0, ROUND(S65 - Amortizacion_Capital_Mensual!U65, 2), "")</f>
        <v/>
      </c>
      <c r="U65" s="23">
        <f>MAX(I65:T65)</f>
        <v/>
      </c>
    </row>
    <row r="66">
      <c r="A66" s="26" t="inlineStr">
        <is>
          <t>0606-0002</t>
        </is>
      </c>
      <c r="B66" s="27" t="inlineStr">
        <is>
          <t>Mayoreo Automotriz ML S de Rl de CV</t>
        </is>
      </c>
      <c r="C66" s="27" t="inlineStr">
        <is>
          <t>Grand Cherokee 4xE</t>
        </is>
      </c>
      <c r="D66" s="26" t="inlineStr">
        <is>
          <t>ACTIVO</t>
        </is>
      </c>
      <c r="E66" s="26" t="inlineStr">
        <is>
          <t>2026-03-17</t>
        </is>
      </c>
      <c r="F66" s="26" t="inlineStr">
        <is>
          <t>2027-03-17</t>
        </is>
      </c>
      <c r="G66" s="28" t="n">
        <v>12</v>
      </c>
      <c r="H66" s="29" t="n">
        <v>276706.9</v>
      </c>
      <c r="I66" s="29" t="inlineStr"/>
      <c r="J66" s="29" t="inlineStr"/>
      <c r="K66" s="29">
        <f>IF(Amortizacion_Capital_Mensual!L66&gt;0, ROUND($H66 - Amortizacion_Capital_Mensual!L66, 2), "")</f>
        <v/>
      </c>
      <c r="L66" s="29">
        <f>IF(Amortizacion_Capital_Mensual!M66&gt;0, ROUND(K66 - Amortizacion_Capital_Mensual!M66, 2), "")</f>
        <v/>
      </c>
      <c r="M66" s="29">
        <f>IF(Amortizacion_Capital_Mensual!N66&gt;0, ROUND(L66 - Amortizacion_Capital_Mensual!N66, 2), "")</f>
        <v/>
      </c>
      <c r="N66" s="29">
        <f>IF(Amortizacion_Capital_Mensual!O66&gt;0, ROUND(M66 - Amortizacion_Capital_Mensual!O66, 2), "")</f>
        <v/>
      </c>
      <c r="O66" s="29">
        <f>IF(Amortizacion_Capital_Mensual!P66&gt;0, ROUND(N66 - Amortizacion_Capital_Mensual!P66, 2), "")</f>
        <v/>
      </c>
      <c r="P66" s="29">
        <f>IF(Amortizacion_Capital_Mensual!Q66&gt;0, ROUND(O66 - Amortizacion_Capital_Mensual!Q66, 2), "")</f>
        <v/>
      </c>
      <c r="Q66" s="29">
        <f>IF(Amortizacion_Capital_Mensual!R66&gt;0, ROUND(P66 - Amortizacion_Capital_Mensual!R66, 2), "")</f>
        <v/>
      </c>
      <c r="R66" s="29">
        <f>IF(Amortizacion_Capital_Mensual!S66&gt;0, ROUND(Q66 - Amortizacion_Capital_Mensual!S66, 2), "")</f>
        <v/>
      </c>
      <c r="S66" s="29">
        <f>IF(Amortizacion_Capital_Mensual!T66&gt;0, ROUND(R66 - Amortizacion_Capital_Mensual!T66, 2), "")</f>
        <v/>
      </c>
      <c r="T66" s="29">
        <f>IF(Amortizacion_Capital_Mensual!U66&gt;0, ROUND(S66 - Amortizacion_Capital_Mensual!U66, 2), "")</f>
        <v/>
      </c>
      <c r="U66" s="29">
        <f>MAX(I66:T66)</f>
        <v/>
      </c>
    </row>
    <row r="67">
      <c r="A67" s="20" t="inlineStr">
        <is>
          <t>0607-0004</t>
        </is>
      </c>
      <c r="B67" s="21" t="inlineStr">
        <is>
          <t>Jose Guadalupe Dueñas Lomeli</t>
        </is>
      </c>
      <c r="C67" s="21" t="inlineStr">
        <is>
          <t>Rifter Allure Pack</t>
        </is>
      </c>
      <c r="D67" s="20" t="inlineStr">
        <is>
          <t>ACTIVO</t>
        </is>
      </c>
      <c r="E67" s="20" t="inlineStr">
        <is>
          <t>2025-12-08</t>
        </is>
      </c>
      <c r="F67" s="20" t="inlineStr">
        <is>
          <t>2029-12-08</t>
        </is>
      </c>
      <c r="G67" s="22" t="n">
        <v>48</v>
      </c>
      <c r="H67" s="23" t="n">
        <v>344758.62</v>
      </c>
      <c r="I67" s="23">
        <f>IF(Amortizacion_Capital_Mensual!J67&gt;0, ROUND(341610.23 - Amortizacion_Capital_Mensual!J67, 2), "")</f>
        <v/>
      </c>
      <c r="J67" s="23">
        <f>IF(Amortizacion_Capital_Mensual!K67&gt;0, ROUND(I67 - Amortizacion_Capital_Mensual!K67, 2), "")</f>
        <v/>
      </c>
      <c r="K67" s="23">
        <f>IF(Amortizacion_Capital_Mensual!L67&gt;0, ROUND(J67 - Amortizacion_Capital_Mensual!L67, 2), "")</f>
        <v/>
      </c>
      <c r="L67" s="23">
        <f>IF(Amortizacion_Capital_Mensual!M67&gt;0, ROUND(K67 - Amortizacion_Capital_Mensual!M67, 2), "")</f>
        <v/>
      </c>
      <c r="M67" s="23">
        <f>IF(Amortizacion_Capital_Mensual!N67&gt;0, ROUND(L67 - Amortizacion_Capital_Mensual!N67, 2), "")</f>
        <v/>
      </c>
      <c r="N67" s="23">
        <f>IF(Amortizacion_Capital_Mensual!O67&gt;0, ROUND(M67 - Amortizacion_Capital_Mensual!O67, 2), "")</f>
        <v/>
      </c>
      <c r="O67" s="23">
        <f>IF(Amortizacion_Capital_Mensual!P67&gt;0, ROUND(N67 - Amortizacion_Capital_Mensual!P67, 2), "")</f>
        <v/>
      </c>
      <c r="P67" s="23">
        <f>IF(Amortizacion_Capital_Mensual!Q67&gt;0, ROUND(O67 - Amortizacion_Capital_Mensual!Q67, 2), "")</f>
        <v/>
      </c>
      <c r="Q67" s="23">
        <f>IF(Amortizacion_Capital_Mensual!R67&gt;0, ROUND(P67 - Amortizacion_Capital_Mensual!R67, 2), "")</f>
        <v/>
      </c>
      <c r="R67" s="23">
        <f>IF(Amortizacion_Capital_Mensual!S67&gt;0, ROUND(Q67 - Amortizacion_Capital_Mensual!S67, 2), "")</f>
        <v/>
      </c>
      <c r="S67" s="23">
        <f>IF(Amortizacion_Capital_Mensual!T67&gt;0, ROUND(R67 - Amortizacion_Capital_Mensual!T67, 2), "")</f>
        <v/>
      </c>
      <c r="T67" s="23">
        <f>IF(Amortizacion_Capital_Mensual!U67&gt;0, ROUND(S67 - Amortizacion_Capital_Mensual!U67, 2), "")</f>
        <v/>
      </c>
      <c r="U67" s="23">
        <f>MAX(I67:T67)</f>
        <v/>
      </c>
    </row>
    <row r="68">
      <c r="A68" s="26" t="inlineStr">
        <is>
          <t>0607-0005</t>
        </is>
      </c>
      <c r="B68" s="27" t="inlineStr">
        <is>
          <t>Jose Guadalupe Dueñas Lomeli</t>
        </is>
      </c>
      <c r="C68" s="27" t="inlineStr">
        <is>
          <t>Durango Hellcat SRT</t>
        </is>
      </c>
      <c r="D68" s="26" t="inlineStr">
        <is>
          <t>ACTIVO</t>
        </is>
      </c>
      <c r="E68" s="26" t="inlineStr">
        <is>
          <t>2026-02-09</t>
        </is>
      </c>
      <c r="F68" s="26" t="inlineStr">
        <is>
          <t>2029-02-09</t>
        </is>
      </c>
      <c r="G68" s="28" t="n">
        <v>36</v>
      </c>
      <c r="H68" s="29" t="n">
        <v>1687422.41</v>
      </c>
      <c r="I68" s="29" t="inlineStr"/>
      <c r="J68" s="29">
        <f>IF(Amortizacion_Capital_Mensual!K68&gt;0, ROUND($H68 - Amortizacion_Capital_Mensual!K68, 2), "")</f>
        <v/>
      </c>
      <c r="K68" s="29">
        <f>IF(Amortizacion_Capital_Mensual!L68&gt;0, ROUND(J68 - Amortizacion_Capital_Mensual!L68, 2), "")</f>
        <v/>
      </c>
      <c r="L68" s="29">
        <f>IF(Amortizacion_Capital_Mensual!M68&gt;0, ROUND(K68 - Amortizacion_Capital_Mensual!M68, 2), "")</f>
        <v/>
      </c>
      <c r="M68" s="29">
        <f>IF(Amortizacion_Capital_Mensual!N68&gt;0, ROUND(L68 - Amortizacion_Capital_Mensual!N68, 2), "")</f>
        <v/>
      </c>
      <c r="N68" s="29">
        <f>IF(Amortizacion_Capital_Mensual!O68&gt;0, ROUND(M68 - Amortizacion_Capital_Mensual!O68, 2), "")</f>
        <v/>
      </c>
      <c r="O68" s="29">
        <f>IF(Amortizacion_Capital_Mensual!P68&gt;0, ROUND(N68 - Amortizacion_Capital_Mensual!P68, 2), "")</f>
        <v/>
      </c>
      <c r="P68" s="29">
        <f>IF(Amortizacion_Capital_Mensual!Q68&gt;0, ROUND(O68 - Amortizacion_Capital_Mensual!Q68, 2), "")</f>
        <v/>
      </c>
      <c r="Q68" s="29">
        <f>IF(Amortizacion_Capital_Mensual!R68&gt;0, ROUND(P68 - Amortizacion_Capital_Mensual!R68, 2), "")</f>
        <v/>
      </c>
      <c r="R68" s="29">
        <f>IF(Amortizacion_Capital_Mensual!S68&gt;0, ROUND(Q68 - Amortizacion_Capital_Mensual!S68, 2), "")</f>
        <v/>
      </c>
      <c r="S68" s="29">
        <f>IF(Amortizacion_Capital_Mensual!T68&gt;0, ROUND(R68 - Amortizacion_Capital_Mensual!T68, 2), "")</f>
        <v/>
      </c>
      <c r="T68" s="29">
        <f>IF(Amortizacion_Capital_Mensual!U68&gt;0, ROUND(S68 - Amortizacion_Capital_Mensual!U68, 2), "")</f>
        <v/>
      </c>
      <c r="U68" s="29">
        <f>MAX(I68:T68)</f>
        <v/>
      </c>
    </row>
    <row r="69">
      <c r="A69" s="20" t="inlineStr">
        <is>
          <t>0610-0003</t>
        </is>
      </c>
      <c r="B69" s="21" t="inlineStr">
        <is>
          <t>Minelaza</t>
        </is>
      </c>
      <c r="C69" s="21" t="inlineStr">
        <is>
          <t>Song Plus</t>
        </is>
      </c>
      <c r="D69" s="20" t="inlineStr">
        <is>
          <t>ACTIVO</t>
        </is>
      </c>
      <c r="E69" s="20" t="inlineStr">
        <is>
          <t>2026-04-15</t>
        </is>
      </c>
      <c r="F69" s="20" t="inlineStr">
        <is>
          <t>2029-04-15</t>
        </is>
      </c>
      <c r="G69" s="22" t="n">
        <v>36</v>
      </c>
      <c r="H69" s="23" t="n">
        <v>604241.38</v>
      </c>
      <c r="I69" s="23" t="inlineStr"/>
      <c r="J69" s="23" t="inlineStr"/>
      <c r="K69" s="23" t="inlineStr"/>
      <c r="L69" s="23">
        <f>IF(Amortizacion_Capital_Mensual!M69&gt;0, ROUND($H69 - Amortizacion_Capital_Mensual!M69, 2), "")</f>
        <v/>
      </c>
      <c r="M69" s="23">
        <f>IF(Amortizacion_Capital_Mensual!N69&gt;0, ROUND(L69 - Amortizacion_Capital_Mensual!N69, 2), "")</f>
        <v/>
      </c>
      <c r="N69" s="23">
        <f>IF(Amortizacion_Capital_Mensual!O69&gt;0, ROUND(M69 - Amortizacion_Capital_Mensual!O69, 2), "")</f>
        <v/>
      </c>
      <c r="O69" s="23">
        <f>IF(Amortizacion_Capital_Mensual!P69&gt;0, ROUND(N69 - Amortizacion_Capital_Mensual!P69, 2), "")</f>
        <v/>
      </c>
      <c r="P69" s="23">
        <f>IF(Amortizacion_Capital_Mensual!Q69&gt;0, ROUND(O69 - Amortizacion_Capital_Mensual!Q69, 2), "")</f>
        <v/>
      </c>
      <c r="Q69" s="23">
        <f>IF(Amortizacion_Capital_Mensual!R69&gt;0, ROUND(P69 - Amortizacion_Capital_Mensual!R69, 2), "")</f>
        <v/>
      </c>
      <c r="R69" s="23">
        <f>IF(Amortizacion_Capital_Mensual!S69&gt;0, ROUND(Q69 - Amortizacion_Capital_Mensual!S69, 2), "")</f>
        <v/>
      </c>
      <c r="S69" s="23">
        <f>IF(Amortizacion_Capital_Mensual!T69&gt;0, ROUND(R69 - Amortizacion_Capital_Mensual!T69, 2), "")</f>
        <v/>
      </c>
      <c r="T69" s="23">
        <f>IF(Amortizacion_Capital_Mensual!U69&gt;0, ROUND(S69 - Amortizacion_Capital_Mensual!U69, 2), "")</f>
        <v/>
      </c>
      <c r="U69" s="23">
        <f>MAX(I69:T69)</f>
        <v/>
      </c>
    </row>
    <row r="70">
      <c r="A70" s="26" t="inlineStr">
        <is>
          <t>0612-0002</t>
        </is>
      </c>
      <c r="B70" s="27" t="inlineStr">
        <is>
          <t>Distribuidora Lopez Moctezuma Sa de Cv</t>
        </is>
      </c>
      <c r="C70" s="27" t="inlineStr">
        <is>
          <t>Ram 700 Tradesman</t>
        </is>
      </c>
      <c r="D70" s="26" t="inlineStr">
        <is>
          <t>ACTIVO</t>
        </is>
      </c>
      <c r="E70" s="26" t="inlineStr">
        <is>
          <t>2025-09-30</t>
        </is>
      </c>
      <c r="F70" s="26" t="inlineStr">
        <is>
          <t>2028-09-30</t>
        </is>
      </c>
      <c r="G70" s="28" t="n">
        <v>36</v>
      </c>
      <c r="H70" s="29" t="n">
        <v>263715.52</v>
      </c>
      <c r="I70" s="29">
        <f>IF(Amortizacion_Capital_Mensual!J70&gt;0, ROUND(249298.95 - Amortizacion_Capital_Mensual!J70, 2), "")</f>
        <v/>
      </c>
      <c r="J70" s="29">
        <f>IF(Amortizacion_Capital_Mensual!K70&gt;0, ROUND(I70 - Amortizacion_Capital_Mensual!K70, 2), "")</f>
        <v/>
      </c>
      <c r="K70" s="29">
        <f>IF(Amortizacion_Capital_Mensual!L70&gt;0, ROUND(J70 - Amortizacion_Capital_Mensual!L70, 2), "")</f>
        <v/>
      </c>
      <c r="L70" s="29">
        <f>IF(Amortizacion_Capital_Mensual!M70&gt;0, ROUND(K70 - Amortizacion_Capital_Mensual!M70, 2), "")</f>
        <v/>
      </c>
      <c r="M70" s="29">
        <f>IF(Amortizacion_Capital_Mensual!N70&gt;0, ROUND(L70 - Amortizacion_Capital_Mensual!N70, 2), "")</f>
        <v/>
      </c>
      <c r="N70" s="29">
        <f>IF(Amortizacion_Capital_Mensual!O70&gt;0, ROUND(M70 - Amortizacion_Capital_Mensual!O70, 2), "")</f>
        <v/>
      </c>
      <c r="O70" s="29">
        <f>IF(Amortizacion_Capital_Mensual!P70&gt;0, ROUND(N70 - Amortizacion_Capital_Mensual!P70, 2), "")</f>
        <v/>
      </c>
      <c r="P70" s="29">
        <f>IF(Amortizacion_Capital_Mensual!Q70&gt;0, ROUND(O70 - Amortizacion_Capital_Mensual!Q70, 2), "")</f>
        <v/>
      </c>
      <c r="Q70" s="29">
        <f>IF(Amortizacion_Capital_Mensual!R70&gt;0, ROUND(P70 - Amortizacion_Capital_Mensual!R70, 2), "")</f>
        <v/>
      </c>
      <c r="R70" s="29">
        <f>IF(Amortizacion_Capital_Mensual!S70&gt;0, ROUND(Q70 - Amortizacion_Capital_Mensual!S70, 2), "")</f>
        <v/>
      </c>
      <c r="S70" s="29">
        <f>IF(Amortizacion_Capital_Mensual!T70&gt;0, ROUND(R70 - Amortizacion_Capital_Mensual!T70, 2), "")</f>
        <v/>
      </c>
      <c r="T70" s="29">
        <f>IF(Amortizacion_Capital_Mensual!U70&gt;0, ROUND(S70 - Amortizacion_Capital_Mensual!U70, 2), "")</f>
        <v/>
      </c>
      <c r="U70" s="29">
        <f>MAX(I70:T70)</f>
        <v/>
      </c>
    </row>
    <row r="71">
      <c r="A71" s="20" t="inlineStr">
        <is>
          <t>0612-0003</t>
        </is>
      </c>
      <c r="B71" s="21" t="inlineStr">
        <is>
          <t>Distribuidora Lopez Moctezuma Sa de Cv</t>
        </is>
      </c>
      <c r="C71" s="21" t="inlineStr">
        <is>
          <t>Mitsubishi Xpander 2026</t>
        </is>
      </c>
      <c r="D71" s="20" t="inlineStr">
        <is>
          <t>ACTIVO</t>
        </is>
      </c>
      <c r="E71" s="20" t="inlineStr">
        <is>
          <t>2026-07-31</t>
        </is>
      </c>
      <c r="F71" s="20" t="inlineStr">
        <is>
          <t>2030-07-31</t>
        </is>
      </c>
      <c r="G71" s="22" t="n">
        <v>48</v>
      </c>
      <c r="H71" s="23" t="n">
        <v>348642.15</v>
      </c>
      <c r="I71" s="23" t="inlineStr"/>
      <c r="J71" s="23" t="inlineStr"/>
      <c r="K71" s="23" t="inlineStr"/>
      <c r="L71" s="23" t="inlineStr"/>
      <c r="M71" s="23" t="inlineStr"/>
      <c r="N71" s="23" t="inlineStr"/>
      <c r="O71" s="23">
        <f>IF(Amortizacion_Capital_Mensual!P71&gt;0, ROUND($H71 - Amortizacion_Capital_Mensual!P71, 2), "")</f>
        <v/>
      </c>
      <c r="P71" s="23">
        <f>IF(Amortizacion_Capital_Mensual!Q71&gt;0, ROUND(O71 - Amortizacion_Capital_Mensual!Q71, 2), "")</f>
        <v/>
      </c>
      <c r="Q71" s="23">
        <f>IF(Amortizacion_Capital_Mensual!R71&gt;0, ROUND(P71 - Amortizacion_Capital_Mensual!R71, 2), "")</f>
        <v/>
      </c>
      <c r="R71" s="23">
        <f>IF(Amortizacion_Capital_Mensual!S71&gt;0, ROUND(Q71 - Amortizacion_Capital_Mensual!S71, 2), "")</f>
        <v/>
      </c>
      <c r="S71" s="23">
        <f>IF(Amortizacion_Capital_Mensual!T71&gt;0, ROUND(R71 - Amortizacion_Capital_Mensual!T71, 2), "")</f>
        <v/>
      </c>
      <c r="T71" s="23">
        <f>IF(Amortizacion_Capital_Mensual!U71&gt;0, ROUND(S71 - Amortizacion_Capital_Mensual!U71, 2), "")</f>
        <v/>
      </c>
      <c r="U71" s="23">
        <f>MAX(I71:T71)</f>
        <v/>
      </c>
    </row>
    <row r="72">
      <c r="A72" s="26" t="inlineStr">
        <is>
          <t>0616-0002</t>
        </is>
      </c>
      <c r="B72" s="27" t="inlineStr">
        <is>
          <t>Commerce and Technology Connection Sas de Cv</t>
        </is>
      </c>
      <c r="C72" s="27" t="inlineStr">
        <is>
          <t>RAM 700 BIG HORN</t>
        </is>
      </c>
      <c r="D72" s="26" t="inlineStr">
        <is>
          <t>ACTIVO</t>
        </is>
      </c>
      <c r="E72" s="26" t="inlineStr">
        <is>
          <t>2024-02-16</t>
        </is>
      </c>
      <c r="F72" s="26" t="inlineStr">
        <is>
          <t>2027-02-16</t>
        </is>
      </c>
      <c r="G72" s="28" t="n">
        <v>36</v>
      </c>
      <c r="H72" s="29" t="n">
        <v>191327.59</v>
      </c>
      <c r="I72" s="29">
        <f>IF(Amortizacion_Capital_Mensual!J72&gt;0, ROUND(128256.81 - Amortizacion_Capital_Mensual!J72, 2), "")</f>
        <v/>
      </c>
      <c r="J72" s="29">
        <f>IF(Amortizacion_Capital_Mensual!K72&gt;0, ROUND(I72 - Amortizacion_Capital_Mensual!K72, 2), "")</f>
        <v/>
      </c>
      <c r="K72" s="29">
        <f>IF(Amortizacion_Capital_Mensual!L72&gt;0, ROUND(J72 - Amortizacion_Capital_Mensual!L72, 2), "")</f>
        <v/>
      </c>
      <c r="L72" s="29">
        <f>IF(Amortizacion_Capital_Mensual!M72&gt;0, ROUND(K72 - Amortizacion_Capital_Mensual!M72, 2), "")</f>
        <v/>
      </c>
      <c r="M72" s="29">
        <f>IF(Amortizacion_Capital_Mensual!N72&gt;0, ROUND(L72 - Amortizacion_Capital_Mensual!N72, 2), "")</f>
        <v/>
      </c>
      <c r="N72" s="29">
        <f>IF(Amortizacion_Capital_Mensual!O72&gt;0, ROUND(M72 - Amortizacion_Capital_Mensual!O72, 2), "")</f>
        <v/>
      </c>
      <c r="O72" s="29">
        <f>IF(Amortizacion_Capital_Mensual!P72&gt;0, ROUND(N72 - Amortizacion_Capital_Mensual!P72, 2), "")</f>
        <v/>
      </c>
      <c r="P72" s="29">
        <f>IF(Amortizacion_Capital_Mensual!Q72&gt;0, ROUND(O72 - Amortizacion_Capital_Mensual!Q72, 2), "")</f>
        <v/>
      </c>
      <c r="Q72" s="29">
        <f>IF(Amortizacion_Capital_Mensual!R72&gt;0, ROUND(P72 - Amortizacion_Capital_Mensual!R72, 2), "")</f>
        <v/>
      </c>
      <c r="R72" s="29">
        <f>IF(Amortizacion_Capital_Mensual!S72&gt;0, ROUND(Q72 - Amortizacion_Capital_Mensual!S72, 2), "")</f>
        <v/>
      </c>
      <c r="S72" s="29">
        <f>IF(Amortizacion_Capital_Mensual!T72&gt;0, ROUND(R72 - Amortizacion_Capital_Mensual!T72, 2), "")</f>
        <v/>
      </c>
      <c r="T72" s="29">
        <f>IF(Amortizacion_Capital_Mensual!U72&gt;0, ROUND(S72 - Amortizacion_Capital_Mensual!U72, 2), "")</f>
        <v/>
      </c>
      <c r="U72" s="29">
        <f>MAX(I72:T72)</f>
        <v/>
      </c>
    </row>
    <row r="73">
      <c r="A73" s="20" t="inlineStr">
        <is>
          <t>0616-0003</t>
        </is>
      </c>
      <c r="B73" s="21" t="inlineStr">
        <is>
          <t>Commerce and Technology Connection Sas de Cv</t>
        </is>
      </c>
      <c r="C73" s="21" t="inlineStr">
        <is>
          <t>FASTBACK</t>
        </is>
      </c>
      <c r="D73" s="20" t="inlineStr">
        <is>
          <t>ACTIVO</t>
        </is>
      </c>
      <c r="E73" s="20" t="inlineStr">
        <is>
          <t>2024-02-23</t>
        </is>
      </c>
      <c r="F73" s="20" t="inlineStr">
        <is>
          <t>2027-02-23</t>
        </is>
      </c>
      <c r="G73" s="22" t="n">
        <v>36</v>
      </c>
      <c r="H73" s="23" t="n">
        <v>295146.55</v>
      </c>
      <c r="I73" s="23">
        <f>IF(Amortizacion_Capital_Mensual!J73&gt;0, ROUND(190869.28 - Amortizacion_Capital_Mensual!J73, 2), "")</f>
        <v/>
      </c>
      <c r="J73" s="23">
        <f>IF(Amortizacion_Capital_Mensual!K73&gt;0, ROUND(I73 - Amortizacion_Capital_Mensual!K73, 2), "")</f>
        <v/>
      </c>
      <c r="K73" s="23">
        <f>IF(Amortizacion_Capital_Mensual!L73&gt;0, ROUND(J73 - Amortizacion_Capital_Mensual!L73, 2), "")</f>
        <v/>
      </c>
      <c r="L73" s="23">
        <f>IF(Amortizacion_Capital_Mensual!M73&gt;0, ROUND(K73 - Amortizacion_Capital_Mensual!M73, 2), "")</f>
        <v/>
      </c>
      <c r="M73" s="23">
        <f>IF(Amortizacion_Capital_Mensual!N73&gt;0, ROUND(L73 - Amortizacion_Capital_Mensual!N73, 2), "")</f>
        <v/>
      </c>
      <c r="N73" s="23">
        <f>IF(Amortizacion_Capital_Mensual!O73&gt;0, ROUND(M73 - Amortizacion_Capital_Mensual!O73, 2), "")</f>
        <v/>
      </c>
      <c r="O73" s="23">
        <f>IF(Amortizacion_Capital_Mensual!P73&gt;0, ROUND(N73 - Amortizacion_Capital_Mensual!P73, 2), "")</f>
        <v/>
      </c>
      <c r="P73" s="23">
        <f>IF(Amortizacion_Capital_Mensual!Q73&gt;0, ROUND(O73 - Amortizacion_Capital_Mensual!Q73, 2), "")</f>
        <v/>
      </c>
      <c r="Q73" s="23">
        <f>IF(Amortizacion_Capital_Mensual!R73&gt;0, ROUND(P73 - Amortizacion_Capital_Mensual!R73, 2), "")</f>
        <v/>
      </c>
      <c r="R73" s="23">
        <f>IF(Amortizacion_Capital_Mensual!S73&gt;0, ROUND(Q73 - Amortizacion_Capital_Mensual!S73, 2), "")</f>
        <v/>
      </c>
      <c r="S73" s="23">
        <f>IF(Amortizacion_Capital_Mensual!T73&gt;0, ROUND(R73 - Amortizacion_Capital_Mensual!T73, 2), "")</f>
        <v/>
      </c>
      <c r="T73" s="23">
        <f>IF(Amortizacion_Capital_Mensual!U73&gt;0, ROUND(S73 - Amortizacion_Capital_Mensual!U73, 2), "")</f>
        <v/>
      </c>
      <c r="U73" s="23">
        <f>MAX(I73:T73)</f>
        <v/>
      </c>
    </row>
    <row r="74">
      <c r="A74" s="26" t="inlineStr">
        <is>
          <t>0616-0004</t>
        </is>
      </c>
      <c r="B74" s="27" t="inlineStr">
        <is>
          <t>Commerce and Technology Connections Sas de Cv</t>
        </is>
      </c>
      <c r="C74" s="27" t="inlineStr">
        <is>
          <t>Argo</t>
        </is>
      </c>
      <c r="D74" s="26" t="inlineStr">
        <is>
          <t>ACTIVO</t>
        </is>
      </c>
      <c r="E74" s="26" t="inlineStr">
        <is>
          <t>2024-05-20</t>
        </is>
      </c>
      <c r="F74" s="26" t="inlineStr">
        <is>
          <t>2027-05-20</t>
        </is>
      </c>
      <c r="G74" s="28" t="n">
        <v>36</v>
      </c>
      <c r="H74" s="29" t="n">
        <v>178448.27</v>
      </c>
      <c r="I74" s="29">
        <f>IF(Amortizacion_Capital_Mensual!J74&gt;0, ROUND(118425.58 - Amortizacion_Capital_Mensual!J74, 2), "")</f>
        <v/>
      </c>
      <c r="J74" s="29">
        <f>IF(Amortizacion_Capital_Mensual!K74&gt;0, ROUND(I74 - Amortizacion_Capital_Mensual!K74, 2), "")</f>
        <v/>
      </c>
      <c r="K74" s="29">
        <f>IF(Amortizacion_Capital_Mensual!L74&gt;0, ROUND(J74 - Amortizacion_Capital_Mensual!L74, 2), "")</f>
        <v/>
      </c>
      <c r="L74" s="29">
        <f>IF(Amortizacion_Capital_Mensual!M74&gt;0, ROUND(K74 - Amortizacion_Capital_Mensual!M74, 2), "")</f>
        <v/>
      </c>
      <c r="M74" s="29">
        <f>IF(Amortizacion_Capital_Mensual!N74&gt;0, ROUND(L74 - Amortizacion_Capital_Mensual!N74, 2), "")</f>
        <v/>
      </c>
      <c r="N74" s="29">
        <f>IF(Amortizacion_Capital_Mensual!O74&gt;0, ROUND(M74 - Amortizacion_Capital_Mensual!O74, 2), "")</f>
        <v/>
      </c>
      <c r="O74" s="29">
        <f>IF(Amortizacion_Capital_Mensual!P74&gt;0, ROUND(N74 - Amortizacion_Capital_Mensual!P74, 2), "")</f>
        <v/>
      </c>
      <c r="P74" s="29">
        <f>IF(Amortizacion_Capital_Mensual!Q74&gt;0, ROUND(O74 - Amortizacion_Capital_Mensual!Q74, 2), "")</f>
        <v/>
      </c>
      <c r="Q74" s="29">
        <f>IF(Amortizacion_Capital_Mensual!R74&gt;0, ROUND(P74 - Amortizacion_Capital_Mensual!R74, 2), "")</f>
        <v/>
      </c>
      <c r="R74" s="29">
        <f>IF(Amortizacion_Capital_Mensual!S74&gt;0, ROUND(Q74 - Amortizacion_Capital_Mensual!S74, 2), "")</f>
        <v/>
      </c>
      <c r="S74" s="29">
        <f>IF(Amortizacion_Capital_Mensual!T74&gt;0, ROUND(R74 - Amortizacion_Capital_Mensual!T74, 2), "")</f>
        <v/>
      </c>
      <c r="T74" s="29">
        <f>IF(Amortizacion_Capital_Mensual!U74&gt;0, ROUND(S74 - Amortizacion_Capital_Mensual!U74, 2), "")</f>
        <v/>
      </c>
      <c r="U74" s="29">
        <f>MAX(I74:T74)</f>
        <v/>
      </c>
    </row>
    <row r="75">
      <c r="A75" s="20" t="inlineStr">
        <is>
          <t>0616-0005</t>
        </is>
      </c>
      <c r="B75" s="21" t="inlineStr">
        <is>
          <t>Commerce and Technology Connection Sas de Cv</t>
        </is>
      </c>
      <c r="C75" s="21" t="inlineStr">
        <is>
          <t>Journey GT</t>
        </is>
      </c>
      <c r="D75" s="20" t="inlineStr">
        <is>
          <t>ACTIVO</t>
        </is>
      </c>
      <c r="E75" s="20" t="inlineStr">
        <is>
          <t>2024-07-30</t>
        </is>
      </c>
      <c r="F75" s="20" t="inlineStr">
        <is>
          <t>2027-07-30</t>
        </is>
      </c>
      <c r="G75" s="22" t="n">
        <v>36</v>
      </c>
      <c r="H75" s="23" t="n">
        <v>397008.62</v>
      </c>
      <c r="I75" s="23">
        <f>IF(Amortizacion_Capital_Mensual!J75&gt;0, ROUND(293627.86 - Amortizacion_Capital_Mensual!J75, 2), "")</f>
        <v/>
      </c>
      <c r="J75" s="23">
        <f>IF(Amortizacion_Capital_Mensual!K75&gt;0, ROUND(I75 - Amortizacion_Capital_Mensual!K75, 2), "")</f>
        <v/>
      </c>
      <c r="K75" s="23">
        <f>IF(Amortizacion_Capital_Mensual!L75&gt;0, ROUND(J75 - Amortizacion_Capital_Mensual!L75, 2), "")</f>
        <v/>
      </c>
      <c r="L75" s="23">
        <f>IF(Amortizacion_Capital_Mensual!M75&gt;0, ROUND(K75 - Amortizacion_Capital_Mensual!M75, 2), "")</f>
        <v/>
      </c>
      <c r="M75" s="23">
        <f>IF(Amortizacion_Capital_Mensual!N75&gt;0, ROUND(L75 - Amortizacion_Capital_Mensual!N75, 2), "")</f>
        <v/>
      </c>
      <c r="N75" s="23">
        <f>IF(Amortizacion_Capital_Mensual!O75&gt;0, ROUND(M75 - Amortizacion_Capital_Mensual!O75, 2), "")</f>
        <v/>
      </c>
      <c r="O75" s="23">
        <f>IF(Amortizacion_Capital_Mensual!P75&gt;0, ROUND(N75 - Amortizacion_Capital_Mensual!P75, 2), "")</f>
        <v/>
      </c>
      <c r="P75" s="23">
        <f>IF(Amortizacion_Capital_Mensual!Q75&gt;0, ROUND(O75 - Amortizacion_Capital_Mensual!Q75, 2), "")</f>
        <v/>
      </c>
      <c r="Q75" s="23">
        <f>IF(Amortizacion_Capital_Mensual!R75&gt;0, ROUND(P75 - Amortizacion_Capital_Mensual!R75, 2), "")</f>
        <v/>
      </c>
      <c r="R75" s="23">
        <f>IF(Amortizacion_Capital_Mensual!S75&gt;0, ROUND(Q75 - Amortizacion_Capital_Mensual!S75, 2), "")</f>
        <v/>
      </c>
      <c r="S75" s="23">
        <f>IF(Amortizacion_Capital_Mensual!T75&gt;0, ROUND(R75 - Amortizacion_Capital_Mensual!T75, 2), "")</f>
        <v/>
      </c>
      <c r="T75" s="23">
        <f>IF(Amortizacion_Capital_Mensual!U75&gt;0, ROUND(S75 - Amortizacion_Capital_Mensual!U75, 2), "")</f>
        <v/>
      </c>
      <c r="U75" s="23">
        <f>MAX(I75:T75)</f>
        <v/>
      </c>
    </row>
    <row r="76">
      <c r="A76" s="26" t="inlineStr">
        <is>
          <t>0618-0001</t>
        </is>
      </c>
      <c r="B76" s="27" t="inlineStr">
        <is>
          <t>Juan Pablo Rodriguez Garcia</t>
        </is>
      </c>
      <c r="C76" s="27" t="inlineStr">
        <is>
          <t>JT MOJAVE</t>
        </is>
      </c>
      <c r="D76" s="26" t="inlineStr">
        <is>
          <t>ACTIVO</t>
        </is>
      </c>
      <c r="E76" s="26" t="inlineStr">
        <is>
          <t>2023-06-16</t>
        </is>
      </c>
      <c r="F76" s="26" t="inlineStr">
        <is>
          <t>2027-06-16</t>
        </is>
      </c>
      <c r="G76" s="28" t="n">
        <v>48</v>
      </c>
      <c r="H76" s="29" t="n">
        <v>1138887.93</v>
      </c>
      <c r="I76" s="29">
        <f>IF(Amortizacion_Capital_Mensual!J76&gt;0, ROUND(722525.06 - Amortizacion_Capital_Mensual!J76, 2), "")</f>
        <v/>
      </c>
      <c r="J76" s="29">
        <f>IF(Amortizacion_Capital_Mensual!K76&gt;0, ROUND(I76 - Amortizacion_Capital_Mensual!K76, 2), "")</f>
        <v/>
      </c>
      <c r="K76" s="29">
        <f>IF(Amortizacion_Capital_Mensual!L76&gt;0, ROUND(J76 - Amortizacion_Capital_Mensual!L76, 2), "")</f>
        <v/>
      </c>
      <c r="L76" s="29">
        <f>IF(Amortizacion_Capital_Mensual!M76&gt;0, ROUND(K76 - Amortizacion_Capital_Mensual!M76, 2), "")</f>
        <v/>
      </c>
      <c r="M76" s="29">
        <f>IF(Amortizacion_Capital_Mensual!N76&gt;0, ROUND(L76 - Amortizacion_Capital_Mensual!N76, 2), "")</f>
        <v/>
      </c>
      <c r="N76" s="29">
        <f>IF(Amortizacion_Capital_Mensual!O76&gt;0, ROUND(M76 - Amortizacion_Capital_Mensual!O76, 2), "")</f>
        <v/>
      </c>
      <c r="O76" s="29">
        <f>IF(Amortizacion_Capital_Mensual!P76&gt;0, ROUND(N76 - Amortizacion_Capital_Mensual!P76, 2), "")</f>
        <v/>
      </c>
      <c r="P76" s="29">
        <f>IF(Amortizacion_Capital_Mensual!Q76&gt;0, ROUND(O76 - Amortizacion_Capital_Mensual!Q76, 2), "")</f>
        <v/>
      </c>
      <c r="Q76" s="29">
        <f>IF(Amortizacion_Capital_Mensual!R76&gt;0, ROUND(P76 - Amortizacion_Capital_Mensual!R76, 2), "")</f>
        <v/>
      </c>
      <c r="R76" s="29">
        <f>IF(Amortizacion_Capital_Mensual!S76&gt;0, ROUND(Q76 - Amortizacion_Capital_Mensual!S76, 2), "")</f>
        <v/>
      </c>
      <c r="S76" s="29">
        <f>IF(Amortizacion_Capital_Mensual!T76&gt;0, ROUND(R76 - Amortizacion_Capital_Mensual!T76, 2), "")</f>
        <v/>
      </c>
      <c r="T76" s="29">
        <f>IF(Amortizacion_Capital_Mensual!U76&gt;0, ROUND(S76 - Amortizacion_Capital_Mensual!U76, 2), "")</f>
        <v/>
      </c>
      <c r="U76" s="29">
        <f>MAX(I76:T76)</f>
        <v/>
      </c>
    </row>
    <row r="77">
      <c r="A77" s="20" t="inlineStr">
        <is>
          <t>0619-0002</t>
        </is>
      </c>
      <c r="B77" s="21" t="inlineStr">
        <is>
          <t>Horacio de la Vega Flores</t>
        </is>
      </c>
      <c r="C77" s="21" t="inlineStr">
        <is>
          <t>Bronco Sport</t>
        </is>
      </c>
      <c r="D77" s="20" t="inlineStr">
        <is>
          <t>ACTIVO</t>
        </is>
      </c>
      <c r="E77" s="20" t="inlineStr">
        <is>
          <t>2025-09-11</t>
        </is>
      </c>
      <c r="F77" s="20" t="inlineStr">
        <is>
          <t>2028-09-11</t>
        </is>
      </c>
      <c r="G77" s="22" t="n">
        <v>36</v>
      </c>
      <c r="H77" s="23" t="n">
        <v>470689.65</v>
      </c>
      <c r="I77" s="23">
        <f>IF(Amortizacion_Capital_Mensual!J77&gt;0, ROUND(437800.24 - Amortizacion_Capital_Mensual!J77, 2), "")</f>
        <v/>
      </c>
      <c r="J77" s="23">
        <f>IF(Amortizacion_Capital_Mensual!K77&gt;0, ROUND(I77 - Amortizacion_Capital_Mensual!K77, 2), "")</f>
        <v/>
      </c>
      <c r="K77" s="23">
        <f>IF(Amortizacion_Capital_Mensual!L77&gt;0, ROUND(J77 - Amortizacion_Capital_Mensual!L77, 2), "")</f>
        <v/>
      </c>
      <c r="L77" s="23">
        <f>IF(Amortizacion_Capital_Mensual!M77&gt;0, ROUND(K77 - Amortizacion_Capital_Mensual!M77, 2), "")</f>
        <v/>
      </c>
      <c r="M77" s="23">
        <f>IF(Amortizacion_Capital_Mensual!N77&gt;0, ROUND(L77 - Amortizacion_Capital_Mensual!N77, 2), "")</f>
        <v/>
      </c>
      <c r="N77" s="23">
        <f>IF(Amortizacion_Capital_Mensual!O77&gt;0, ROUND(M77 - Amortizacion_Capital_Mensual!O77, 2), "")</f>
        <v/>
      </c>
      <c r="O77" s="23">
        <f>IF(Amortizacion_Capital_Mensual!P77&gt;0, ROUND(N77 - Amortizacion_Capital_Mensual!P77, 2), "")</f>
        <v/>
      </c>
      <c r="P77" s="23">
        <f>IF(Amortizacion_Capital_Mensual!Q77&gt;0, ROUND(O77 - Amortizacion_Capital_Mensual!Q77, 2), "")</f>
        <v/>
      </c>
      <c r="Q77" s="23">
        <f>IF(Amortizacion_Capital_Mensual!R77&gt;0, ROUND(P77 - Amortizacion_Capital_Mensual!R77, 2), "")</f>
        <v/>
      </c>
      <c r="R77" s="23">
        <f>IF(Amortizacion_Capital_Mensual!S77&gt;0, ROUND(Q77 - Amortizacion_Capital_Mensual!S77, 2), "")</f>
        <v/>
      </c>
      <c r="S77" s="23">
        <f>IF(Amortizacion_Capital_Mensual!T77&gt;0, ROUND(R77 - Amortizacion_Capital_Mensual!T77, 2), "")</f>
        <v/>
      </c>
      <c r="T77" s="23">
        <f>IF(Amortizacion_Capital_Mensual!U77&gt;0, ROUND(S77 - Amortizacion_Capital_Mensual!U77, 2), "")</f>
        <v/>
      </c>
      <c r="U77" s="23">
        <f>MAX(I77:T77)</f>
        <v/>
      </c>
    </row>
    <row r="78">
      <c r="A78" s="26" t="inlineStr">
        <is>
          <t>0620-0001</t>
        </is>
      </c>
      <c r="B78" s="27" t="inlineStr">
        <is>
          <t>Desarrollos Romo Srl de Cv</t>
        </is>
      </c>
      <c r="C78" s="27" t="inlineStr">
        <is>
          <t>RAM 700 BIG HORN</t>
        </is>
      </c>
      <c r="D78" s="26" t="inlineStr">
        <is>
          <t>ACTIVO</t>
        </is>
      </c>
      <c r="E78" s="26" t="inlineStr">
        <is>
          <t>2023-07-20</t>
        </is>
      </c>
      <c r="F78" s="26" t="inlineStr">
        <is>
          <t>2027-07-20</t>
        </is>
      </c>
      <c r="G78" s="28" t="n">
        <v>48</v>
      </c>
      <c r="H78" s="29" t="n">
        <v>279232.76</v>
      </c>
      <c r="I78" s="29">
        <f>IF(Amortizacion_Capital_Mensual!J78&gt;0, ROUND(185801.82 - Amortizacion_Capital_Mensual!J78, 2), "")</f>
        <v/>
      </c>
      <c r="J78" s="29">
        <f>IF(Amortizacion_Capital_Mensual!K78&gt;0, ROUND(I78 - Amortizacion_Capital_Mensual!K78, 2), "")</f>
        <v/>
      </c>
      <c r="K78" s="29">
        <f>IF(Amortizacion_Capital_Mensual!L78&gt;0, ROUND(J78 - Amortizacion_Capital_Mensual!L78, 2), "")</f>
        <v/>
      </c>
      <c r="L78" s="29">
        <f>IF(Amortizacion_Capital_Mensual!M78&gt;0, ROUND(K78 - Amortizacion_Capital_Mensual!M78, 2), "")</f>
        <v/>
      </c>
      <c r="M78" s="29">
        <f>IF(Amortizacion_Capital_Mensual!N78&gt;0, ROUND(L78 - Amortizacion_Capital_Mensual!N78, 2), "")</f>
        <v/>
      </c>
      <c r="N78" s="29">
        <f>IF(Amortizacion_Capital_Mensual!O78&gt;0, ROUND(M78 - Amortizacion_Capital_Mensual!O78, 2), "")</f>
        <v/>
      </c>
      <c r="O78" s="29">
        <f>IF(Amortizacion_Capital_Mensual!P78&gt;0, ROUND(N78 - Amortizacion_Capital_Mensual!P78, 2), "")</f>
        <v/>
      </c>
      <c r="P78" s="29">
        <f>IF(Amortizacion_Capital_Mensual!Q78&gt;0, ROUND(O78 - Amortizacion_Capital_Mensual!Q78, 2), "")</f>
        <v/>
      </c>
      <c r="Q78" s="29">
        <f>IF(Amortizacion_Capital_Mensual!R78&gt;0, ROUND(P78 - Amortizacion_Capital_Mensual!R78, 2), "")</f>
        <v/>
      </c>
      <c r="R78" s="29">
        <f>IF(Amortizacion_Capital_Mensual!S78&gt;0, ROUND(Q78 - Amortizacion_Capital_Mensual!S78, 2), "")</f>
        <v/>
      </c>
      <c r="S78" s="29">
        <f>IF(Amortizacion_Capital_Mensual!T78&gt;0, ROUND(R78 - Amortizacion_Capital_Mensual!T78, 2), "")</f>
        <v/>
      </c>
      <c r="T78" s="29">
        <f>IF(Amortizacion_Capital_Mensual!U78&gt;0, ROUND(S78 - Amortizacion_Capital_Mensual!U78, 2), "")</f>
        <v/>
      </c>
      <c r="U78" s="29">
        <f>MAX(I78:T78)</f>
        <v/>
      </c>
    </row>
    <row r="79">
      <c r="A79" s="20" t="inlineStr">
        <is>
          <t>0620-0002</t>
        </is>
      </c>
      <c r="B79" s="21" t="inlineStr">
        <is>
          <t>Desarrollos Romo Srl de Cv</t>
        </is>
      </c>
      <c r="C79" s="21" t="inlineStr">
        <is>
          <t>RAM 700 BIG HORN</t>
        </is>
      </c>
      <c r="D79" s="20" t="inlineStr">
        <is>
          <t>ACTIVO</t>
        </is>
      </c>
      <c r="E79" s="20" t="inlineStr">
        <is>
          <t>2023-07-20</t>
        </is>
      </c>
      <c r="F79" s="20" t="inlineStr">
        <is>
          <t>2027-07-20</t>
        </is>
      </c>
      <c r="G79" s="22" t="n">
        <v>48</v>
      </c>
      <c r="H79" s="23" t="n">
        <v>279232.76</v>
      </c>
      <c r="I79" s="23">
        <f>IF(Amortizacion_Capital_Mensual!J79&gt;0, ROUND(185801.82 - Amortizacion_Capital_Mensual!J79, 2), "")</f>
        <v/>
      </c>
      <c r="J79" s="23">
        <f>IF(Amortizacion_Capital_Mensual!K79&gt;0, ROUND(I79 - Amortizacion_Capital_Mensual!K79, 2), "")</f>
        <v/>
      </c>
      <c r="K79" s="23">
        <f>IF(Amortizacion_Capital_Mensual!L79&gt;0, ROUND(J79 - Amortizacion_Capital_Mensual!L79, 2), "")</f>
        <v/>
      </c>
      <c r="L79" s="23">
        <f>IF(Amortizacion_Capital_Mensual!M79&gt;0, ROUND(K79 - Amortizacion_Capital_Mensual!M79, 2), "")</f>
        <v/>
      </c>
      <c r="M79" s="23">
        <f>IF(Amortizacion_Capital_Mensual!N79&gt;0, ROUND(L79 - Amortizacion_Capital_Mensual!N79, 2), "")</f>
        <v/>
      </c>
      <c r="N79" s="23">
        <f>IF(Amortizacion_Capital_Mensual!O79&gt;0, ROUND(M79 - Amortizacion_Capital_Mensual!O79, 2), "")</f>
        <v/>
      </c>
      <c r="O79" s="23">
        <f>IF(Amortizacion_Capital_Mensual!P79&gt;0, ROUND(N79 - Amortizacion_Capital_Mensual!P79, 2), "")</f>
        <v/>
      </c>
      <c r="P79" s="23">
        <f>IF(Amortizacion_Capital_Mensual!Q79&gt;0, ROUND(O79 - Amortizacion_Capital_Mensual!Q79, 2), "")</f>
        <v/>
      </c>
      <c r="Q79" s="23">
        <f>IF(Amortizacion_Capital_Mensual!R79&gt;0, ROUND(P79 - Amortizacion_Capital_Mensual!R79, 2), "")</f>
        <v/>
      </c>
      <c r="R79" s="23">
        <f>IF(Amortizacion_Capital_Mensual!S79&gt;0, ROUND(Q79 - Amortizacion_Capital_Mensual!S79, 2), "")</f>
        <v/>
      </c>
      <c r="S79" s="23">
        <f>IF(Amortizacion_Capital_Mensual!T79&gt;0, ROUND(R79 - Amortizacion_Capital_Mensual!T79, 2), "")</f>
        <v/>
      </c>
      <c r="T79" s="23">
        <f>IF(Amortizacion_Capital_Mensual!U79&gt;0, ROUND(S79 - Amortizacion_Capital_Mensual!U79, 2), "")</f>
        <v/>
      </c>
      <c r="U79" s="23">
        <f>MAX(I79:T79)</f>
        <v/>
      </c>
    </row>
    <row r="80">
      <c r="A80" s="26" t="inlineStr">
        <is>
          <t>0621-0008</t>
        </is>
      </c>
      <c r="B80" s="27" t="inlineStr">
        <is>
          <t>Luis Alberto Ponce Ruiz</t>
        </is>
      </c>
      <c r="C80" s="27" t="inlineStr">
        <is>
          <t>Hilux</t>
        </is>
      </c>
      <c r="D80" s="26" t="inlineStr">
        <is>
          <t>ACTIVO</t>
        </is>
      </c>
      <c r="E80" s="26" t="inlineStr">
        <is>
          <t>2025-10-30</t>
        </is>
      </c>
      <c r="F80" s="26" t="inlineStr">
        <is>
          <t>2026-10-30</t>
        </is>
      </c>
      <c r="G80" s="28" t="n">
        <v>12</v>
      </c>
      <c r="H80" s="29" t="n">
        <v>256758.62</v>
      </c>
      <c r="I80" s="29">
        <f>IF(Amortizacion_Capital_Mensual!J80&gt;0, ROUND(208874.88 - Amortizacion_Capital_Mensual!J80, 2), "")</f>
        <v/>
      </c>
      <c r="J80" s="29">
        <f>IF(Amortizacion_Capital_Mensual!K80&gt;0, ROUND(I80 - Amortizacion_Capital_Mensual!K80, 2), "")</f>
        <v/>
      </c>
      <c r="K80" s="29">
        <f>IF(Amortizacion_Capital_Mensual!L80&gt;0, ROUND(J80 - Amortizacion_Capital_Mensual!L80, 2), "")</f>
        <v/>
      </c>
      <c r="L80" s="29">
        <f>IF(Amortizacion_Capital_Mensual!M80&gt;0, ROUND(K80 - Amortizacion_Capital_Mensual!M80, 2), "")</f>
        <v/>
      </c>
      <c r="M80" s="29">
        <f>IF(Amortizacion_Capital_Mensual!N80&gt;0, ROUND(L80 - Amortizacion_Capital_Mensual!N80, 2), "")</f>
        <v/>
      </c>
      <c r="N80" s="29">
        <f>IF(Amortizacion_Capital_Mensual!O80&gt;0, ROUND(M80 - Amortizacion_Capital_Mensual!O80, 2), "")</f>
        <v/>
      </c>
      <c r="O80" s="29">
        <f>IF(Amortizacion_Capital_Mensual!P80&gt;0, ROUND(N80 - Amortizacion_Capital_Mensual!P80, 2), "")</f>
        <v/>
      </c>
      <c r="P80" s="29">
        <f>IF(Amortizacion_Capital_Mensual!Q80&gt;0, ROUND(O80 - Amortizacion_Capital_Mensual!Q80, 2), "")</f>
        <v/>
      </c>
      <c r="Q80" s="29">
        <f>IF(Amortizacion_Capital_Mensual!R80&gt;0, ROUND(P80 - Amortizacion_Capital_Mensual!R80, 2), "")</f>
        <v/>
      </c>
      <c r="R80" s="29" t="inlineStr"/>
      <c r="S80" s="29" t="inlineStr"/>
      <c r="T80" s="29" t="inlineStr"/>
      <c r="U80" s="29">
        <f>MAX(I80:T80)</f>
        <v/>
      </c>
    </row>
    <row r="81">
      <c r="A81" s="20" t="inlineStr">
        <is>
          <t>0623-0001</t>
        </is>
      </c>
      <c r="B81" s="21" t="inlineStr">
        <is>
          <t>Seguridad y Automatismos Profesionales de Occidente S de SRL de Cv</t>
        </is>
      </c>
      <c r="C81" s="21" t="inlineStr">
        <is>
          <t>RAM 700 BIG HORN</t>
        </is>
      </c>
      <c r="D81" s="20" t="inlineStr">
        <is>
          <t>ACTIVO</t>
        </is>
      </c>
      <c r="E81" s="20" t="inlineStr">
        <is>
          <t>2023-07-31</t>
        </is>
      </c>
      <c r="F81" s="20" t="inlineStr">
        <is>
          <t>2027-07-31</t>
        </is>
      </c>
      <c r="G81" s="22" t="n">
        <v>48</v>
      </c>
      <c r="H81" s="23" t="n">
        <v>283112.07</v>
      </c>
      <c r="I81" s="23">
        <f>IF(Amortizacion_Capital_Mensual!J81&gt;0, ROUND(185655.38 - Amortizacion_Capital_Mensual!J81, 2), "")</f>
        <v/>
      </c>
      <c r="J81" s="23">
        <f>IF(Amortizacion_Capital_Mensual!K81&gt;0, ROUND(I81 - Amortizacion_Capital_Mensual!K81, 2), "")</f>
        <v/>
      </c>
      <c r="K81" s="23">
        <f>IF(Amortizacion_Capital_Mensual!L81&gt;0, ROUND(J81 - Amortizacion_Capital_Mensual!L81, 2), "")</f>
        <v/>
      </c>
      <c r="L81" s="23">
        <f>IF(Amortizacion_Capital_Mensual!M81&gt;0, ROUND(K81 - Amortizacion_Capital_Mensual!M81, 2), "")</f>
        <v/>
      </c>
      <c r="M81" s="23">
        <f>IF(Amortizacion_Capital_Mensual!N81&gt;0, ROUND(L81 - Amortizacion_Capital_Mensual!N81, 2), "")</f>
        <v/>
      </c>
      <c r="N81" s="23">
        <f>IF(Amortizacion_Capital_Mensual!O81&gt;0, ROUND(M81 - Amortizacion_Capital_Mensual!O81, 2), "")</f>
        <v/>
      </c>
      <c r="O81" s="23">
        <f>IF(Amortizacion_Capital_Mensual!P81&gt;0, ROUND(N81 - Amortizacion_Capital_Mensual!P81, 2), "")</f>
        <v/>
      </c>
      <c r="P81" s="23">
        <f>IF(Amortizacion_Capital_Mensual!Q81&gt;0, ROUND(O81 - Amortizacion_Capital_Mensual!Q81, 2), "")</f>
        <v/>
      </c>
      <c r="Q81" s="23">
        <f>IF(Amortizacion_Capital_Mensual!R81&gt;0, ROUND(P81 - Amortizacion_Capital_Mensual!R81, 2), "")</f>
        <v/>
      </c>
      <c r="R81" s="23">
        <f>IF(Amortizacion_Capital_Mensual!S81&gt;0, ROUND(Q81 - Amortizacion_Capital_Mensual!S81, 2), "")</f>
        <v/>
      </c>
      <c r="S81" s="23">
        <f>IF(Amortizacion_Capital_Mensual!T81&gt;0, ROUND(R81 - Amortizacion_Capital_Mensual!T81, 2), "")</f>
        <v/>
      </c>
      <c r="T81" s="23">
        <f>IF(Amortizacion_Capital_Mensual!U81&gt;0, ROUND(S81 - Amortizacion_Capital_Mensual!U81, 2), "")</f>
        <v/>
      </c>
      <c r="U81" s="23">
        <f>MAX(I81:T81)</f>
        <v/>
      </c>
    </row>
    <row r="82">
      <c r="A82" s="26" t="inlineStr">
        <is>
          <t>0626-0001</t>
        </is>
      </c>
      <c r="B82" s="27" t="inlineStr">
        <is>
          <t>Hugo Ceja Moreno</t>
        </is>
      </c>
      <c r="C82" s="27" t="inlineStr">
        <is>
          <t>JT MOJAVE</t>
        </is>
      </c>
      <c r="D82" s="26" t="inlineStr">
        <is>
          <t>ACTIVO</t>
        </is>
      </c>
      <c r="E82" s="26" t="inlineStr">
        <is>
          <t>2023-08-18</t>
        </is>
      </c>
      <c r="F82" s="26" t="inlineStr">
        <is>
          <t>2027-08-18</t>
        </is>
      </c>
      <c r="G82" s="28" t="n">
        <v>48</v>
      </c>
      <c r="H82" s="29" t="n">
        <v>595810.34</v>
      </c>
      <c r="I82" s="29">
        <f>IF(Amortizacion_Capital_Mensual!J82&gt;0, ROUND(387181.73 - Amortizacion_Capital_Mensual!J82, 2), "")</f>
        <v/>
      </c>
      <c r="J82" s="29">
        <f>IF(Amortizacion_Capital_Mensual!K82&gt;0, ROUND(I82 - Amortizacion_Capital_Mensual!K82, 2), "")</f>
        <v/>
      </c>
      <c r="K82" s="29">
        <f>IF(Amortizacion_Capital_Mensual!L82&gt;0, ROUND(J82 - Amortizacion_Capital_Mensual!L82, 2), "")</f>
        <v/>
      </c>
      <c r="L82" s="29">
        <f>IF(Amortizacion_Capital_Mensual!M82&gt;0, ROUND(K82 - Amortizacion_Capital_Mensual!M82, 2), "")</f>
        <v/>
      </c>
      <c r="M82" s="29">
        <f>IF(Amortizacion_Capital_Mensual!N82&gt;0, ROUND(L82 - Amortizacion_Capital_Mensual!N82, 2), "")</f>
        <v/>
      </c>
      <c r="N82" s="29">
        <f>IF(Amortizacion_Capital_Mensual!O82&gt;0, ROUND(M82 - Amortizacion_Capital_Mensual!O82, 2), "")</f>
        <v/>
      </c>
      <c r="O82" s="29">
        <f>IF(Amortizacion_Capital_Mensual!P82&gt;0, ROUND(N82 - Amortizacion_Capital_Mensual!P82, 2), "")</f>
        <v/>
      </c>
      <c r="P82" s="29">
        <f>IF(Amortizacion_Capital_Mensual!Q82&gt;0, ROUND(O82 - Amortizacion_Capital_Mensual!Q82, 2), "")</f>
        <v/>
      </c>
      <c r="Q82" s="29">
        <f>IF(Amortizacion_Capital_Mensual!R82&gt;0, ROUND(P82 - Amortizacion_Capital_Mensual!R82, 2), "")</f>
        <v/>
      </c>
      <c r="R82" s="29">
        <f>IF(Amortizacion_Capital_Mensual!S82&gt;0, ROUND(Q82 - Amortizacion_Capital_Mensual!S82, 2), "")</f>
        <v/>
      </c>
      <c r="S82" s="29">
        <f>IF(Amortizacion_Capital_Mensual!T82&gt;0, ROUND(R82 - Amortizacion_Capital_Mensual!T82, 2), "")</f>
        <v/>
      </c>
      <c r="T82" s="29">
        <f>IF(Amortizacion_Capital_Mensual!U82&gt;0, ROUND(S82 - Amortizacion_Capital_Mensual!U82, 2), "")</f>
        <v/>
      </c>
      <c r="U82" s="29">
        <f>MAX(I82:T82)</f>
        <v/>
      </c>
    </row>
    <row r="83">
      <c r="A83" s="20" t="inlineStr">
        <is>
          <t>0632-0004</t>
        </is>
      </c>
      <c r="B83" s="21" t="inlineStr">
        <is>
          <t>Art &amp; Sourcing Sa de Cv</t>
        </is>
      </c>
      <c r="C83" s="21" t="inlineStr">
        <is>
          <t>Ram 700 Tradesman</t>
        </is>
      </c>
      <c r="D83" s="20" t="inlineStr">
        <is>
          <t>ACTIVO</t>
        </is>
      </c>
      <c r="E83" s="20" t="inlineStr">
        <is>
          <t>2025-05-15</t>
        </is>
      </c>
      <c r="F83" s="20" t="inlineStr">
        <is>
          <t>2029-05-15</t>
        </is>
      </c>
      <c r="G83" s="22" t="n">
        <v>48</v>
      </c>
      <c r="H83" s="23" t="n">
        <v>286215.52</v>
      </c>
      <c r="I83" s="23">
        <f>IF(Amortizacion_Capital_Mensual!J83&gt;0, ROUND(263292.79 - Amortizacion_Capital_Mensual!J83, 2), "")</f>
        <v/>
      </c>
      <c r="J83" s="23">
        <f>IF(Amortizacion_Capital_Mensual!K83&gt;0, ROUND(I83 - Amortizacion_Capital_Mensual!K83, 2), "")</f>
        <v/>
      </c>
      <c r="K83" s="23">
        <f>IF(Amortizacion_Capital_Mensual!L83&gt;0, ROUND(J83 - Amortizacion_Capital_Mensual!L83, 2), "")</f>
        <v/>
      </c>
      <c r="L83" s="23">
        <f>IF(Amortizacion_Capital_Mensual!M83&gt;0, ROUND(K83 - Amortizacion_Capital_Mensual!M83, 2), "")</f>
        <v/>
      </c>
      <c r="M83" s="23">
        <f>IF(Amortizacion_Capital_Mensual!N83&gt;0, ROUND(L83 - Amortizacion_Capital_Mensual!N83, 2), "")</f>
        <v/>
      </c>
      <c r="N83" s="23">
        <f>IF(Amortizacion_Capital_Mensual!O83&gt;0, ROUND(M83 - Amortizacion_Capital_Mensual!O83, 2), "")</f>
        <v/>
      </c>
      <c r="O83" s="23">
        <f>IF(Amortizacion_Capital_Mensual!P83&gt;0, ROUND(N83 - Amortizacion_Capital_Mensual!P83, 2), "")</f>
        <v/>
      </c>
      <c r="P83" s="23">
        <f>IF(Amortizacion_Capital_Mensual!Q83&gt;0, ROUND(O83 - Amortizacion_Capital_Mensual!Q83, 2), "")</f>
        <v/>
      </c>
      <c r="Q83" s="23">
        <f>IF(Amortizacion_Capital_Mensual!R83&gt;0, ROUND(P83 - Amortizacion_Capital_Mensual!R83, 2), "")</f>
        <v/>
      </c>
      <c r="R83" s="23">
        <f>IF(Amortizacion_Capital_Mensual!S83&gt;0, ROUND(Q83 - Amortizacion_Capital_Mensual!S83, 2), "")</f>
        <v/>
      </c>
      <c r="S83" s="23">
        <f>IF(Amortizacion_Capital_Mensual!T83&gt;0, ROUND(R83 - Amortizacion_Capital_Mensual!T83, 2), "")</f>
        <v/>
      </c>
      <c r="T83" s="23">
        <f>IF(Amortizacion_Capital_Mensual!U83&gt;0, ROUND(S83 - Amortizacion_Capital_Mensual!U83, 2), "")</f>
        <v/>
      </c>
      <c r="U83" s="23">
        <f>MAX(I83:T83)</f>
        <v/>
      </c>
    </row>
    <row r="84">
      <c r="A84" s="26" t="inlineStr">
        <is>
          <t>0632-0005</t>
        </is>
      </c>
      <c r="B84" s="27" t="inlineStr">
        <is>
          <t>Art &amp; Sourcing Sa de Cv</t>
        </is>
      </c>
      <c r="C84" s="27" t="inlineStr">
        <is>
          <t>Ram 700</t>
        </is>
      </c>
      <c r="D84" s="26" t="inlineStr">
        <is>
          <t>ACTIVO</t>
        </is>
      </c>
      <c r="E84" s="26" t="inlineStr">
        <is>
          <t>2025-11-25</t>
        </is>
      </c>
      <c r="F84" s="26" t="inlineStr">
        <is>
          <t>2027-11-25</t>
        </is>
      </c>
      <c r="G84" s="28" t="n">
        <v>24</v>
      </c>
      <c r="H84" s="29" t="n">
        <v>244758.62</v>
      </c>
      <c r="I84" s="29">
        <f>IF(Amortizacion_Capital_Mensual!J84&gt;0, ROUND(233418.47 - Amortizacion_Capital_Mensual!J84, 2), "")</f>
        <v/>
      </c>
      <c r="J84" s="29">
        <f>IF(Amortizacion_Capital_Mensual!K84&gt;0, ROUND(I84 - Amortizacion_Capital_Mensual!K84, 2), "")</f>
        <v/>
      </c>
      <c r="K84" s="29">
        <f>IF(Amortizacion_Capital_Mensual!L84&gt;0, ROUND(J84 - Amortizacion_Capital_Mensual!L84, 2), "")</f>
        <v/>
      </c>
      <c r="L84" s="29">
        <f>IF(Amortizacion_Capital_Mensual!M84&gt;0, ROUND(K84 - Amortizacion_Capital_Mensual!M84, 2), "")</f>
        <v/>
      </c>
      <c r="M84" s="29">
        <f>IF(Amortizacion_Capital_Mensual!N84&gt;0, ROUND(L84 - Amortizacion_Capital_Mensual!N84, 2), "")</f>
        <v/>
      </c>
      <c r="N84" s="29">
        <f>IF(Amortizacion_Capital_Mensual!O84&gt;0, ROUND(M84 - Amortizacion_Capital_Mensual!O84, 2), "")</f>
        <v/>
      </c>
      <c r="O84" s="29">
        <f>IF(Amortizacion_Capital_Mensual!P84&gt;0, ROUND(N84 - Amortizacion_Capital_Mensual!P84, 2), "")</f>
        <v/>
      </c>
      <c r="P84" s="29">
        <f>IF(Amortizacion_Capital_Mensual!Q84&gt;0, ROUND(O84 - Amortizacion_Capital_Mensual!Q84, 2), "")</f>
        <v/>
      </c>
      <c r="Q84" s="29">
        <f>IF(Amortizacion_Capital_Mensual!R84&gt;0, ROUND(P84 - Amortizacion_Capital_Mensual!R84, 2), "")</f>
        <v/>
      </c>
      <c r="R84" s="29">
        <f>IF(Amortizacion_Capital_Mensual!S84&gt;0, ROUND(Q84 - Amortizacion_Capital_Mensual!S84, 2), "")</f>
        <v/>
      </c>
      <c r="S84" s="29">
        <f>IF(Amortizacion_Capital_Mensual!T84&gt;0, ROUND(R84 - Amortizacion_Capital_Mensual!T84, 2), "")</f>
        <v/>
      </c>
      <c r="T84" s="29">
        <f>IF(Amortizacion_Capital_Mensual!U84&gt;0, ROUND(S84 - Amortizacion_Capital_Mensual!U84, 2), "")</f>
        <v/>
      </c>
      <c r="U84" s="29">
        <f>MAX(I84:T84)</f>
        <v/>
      </c>
    </row>
    <row r="85">
      <c r="A85" s="20" t="inlineStr">
        <is>
          <t>0632-0006</t>
        </is>
      </c>
      <c r="B85" s="21" t="inlineStr">
        <is>
          <t>Art &amp; Sourcing Sa de Cv</t>
        </is>
      </c>
      <c r="C85" s="21" t="inlineStr">
        <is>
          <t>Mirage</t>
        </is>
      </c>
      <c r="D85" s="20" t="inlineStr">
        <is>
          <t>ACTIVO</t>
        </is>
      </c>
      <c r="E85" s="20" t="inlineStr">
        <is>
          <t>2025-11-25</t>
        </is>
      </c>
      <c r="F85" s="20" t="inlineStr">
        <is>
          <t>2027-11-25</t>
        </is>
      </c>
      <c r="G85" s="22" t="n">
        <v>24</v>
      </c>
      <c r="H85" s="23" t="n">
        <v>206553.1</v>
      </c>
      <c r="I85" s="23">
        <f>IF(Amortizacion_Capital_Mensual!J85&gt;0, ROUND(196976.13 - Amortizacion_Capital_Mensual!J85, 2), "")</f>
        <v/>
      </c>
      <c r="J85" s="23">
        <f>IF(Amortizacion_Capital_Mensual!K85&gt;0, ROUND(I85 - Amortizacion_Capital_Mensual!K85, 2), "")</f>
        <v/>
      </c>
      <c r="K85" s="23">
        <f>IF(Amortizacion_Capital_Mensual!L85&gt;0, ROUND(J85 - Amortizacion_Capital_Mensual!L85, 2), "")</f>
        <v/>
      </c>
      <c r="L85" s="23">
        <f>IF(Amortizacion_Capital_Mensual!M85&gt;0, ROUND(K85 - Amortizacion_Capital_Mensual!M85, 2), "")</f>
        <v/>
      </c>
      <c r="M85" s="23">
        <f>IF(Amortizacion_Capital_Mensual!N85&gt;0, ROUND(L85 - Amortizacion_Capital_Mensual!N85, 2), "")</f>
        <v/>
      </c>
      <c r="N85" s="23">
        <f>IF(Amortizacion_Capital_Mensual!O85&gt;0, ROUND(M85 - Amortizacion_Capital_Mensual!O85, 2), "")</f>
        <v/>
      </c>
      <c r="O85" s="23">
        <f>IF(Amortizacion_Capital_Mensual!P85&gt;0, ROUND(N85 - Amortizacion_Capital_Mensual!P85, 2), "")</f>
        <v/>
      </c>
      <c r="P85" s="23">
        <f>IF(Amortizacion_Capital_Mensual!Q85&gt;0, ROUND(O85 - Amortizacion_Capital_Mensual!Q85, 2), "")</f>
        <v/>
      </c>
      <c r="Q85" s="23">
        <f>IF(Amortizacion_Capital_Mensual!R85&gt;0, ROUND(P85 - Amortizacion_Capital_Mensual!R85, 2), "")</f>
        <v/>
      </c>
      <c r="R85" s="23">
        <f>IF(Amortizacion_Capital_Mensual!S85&gt;0, ROUND(Q85 - Amortizacion_Capital_Mensual!S85, 2), "")</f>
        <v/>
      </c>
      <c r="S85" s="23">
        <f>IF(Amortizacion_Capital_Mensual!T85&gt;0, ROUND(R85 - Amortizacion_Capital_Mensual!T85, 2), "")</f>
        <v/>
      </c>
      <c r="T85" s="23">
        <f>IF(Amortizacion_Capital_Mensual!U85&gt;0, ROUND(S85 - Amortizacion_Capital_Mensual!U85, 2), "")</f>
        <v/>
      </c>
      <c r="U85" s="23">
        <f>MAX(I85:T85)</f>
        <v/>
      </c>
    </row>
    <row r="86">
      <c r="A86" s="26" t="inlineStr">
        <is>
          <t>0632-0007</t>
        </is>
      </c>
      <c r="B86" s="27" t="inlineStr">
        <is>
          <t>Art &amp; Sourcing Sa de Cv</t>
        </is>
      </c>
      <c r="C86" s="27" t="inlineStr">
        <is>
          <t>JAC Camión X350 2026</t>
        </is>
      </c>
      <c r="D86" s="26" t="inlineStr">
        <is>
          <t>ACTIVO</t>
        </is>
      </c>
      <c r="E86" s="26" t="inlineStr">
        <is>
          <t>2026-08-24</t>
        </is>
      </c>
      <c r="F86" s="26" t="inlineStr">
        <is>
          <t>2028-08-24</t>
        </is>
      </c>
      <c r="G86" s="28" t="n">
        <v>24</v>
      </c>
      <c r="H86" s="29" t="n">
        <v>417241.38</v>
      </c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>
        <f>IF(Amortizacion_Capital_Mensual!Q86&gt;0, ROUND($H86 - Amortizacion_Capital_Mensual!Q86, 2), "")</f>
        <v/>
      </c>
      <c r="Q86" s="29">
        <f>IF(Amortizacion_Capital_Mensual!R86&gt;0, ROUND(P86 - Amortizacion_Capital_Mensual!R86, 2), "")</f>
        <v/>
      </c>
      <c r="R86" s="29">
        <f>IF(Amortizacion_Capital_Mensual!S86&gt;0, ROUND(Q86 - Amortizacion_Capital_Mensual!S86, 2), "")</f>
        <v/>
      </c>
      <c r="S86" s="29">
        <f>IF(Amortizacion_Capital_Mensual!T86&gt;0, ROUND(R86 - Amortizacion_Capital_Mensual!T86, 2), "")</f>
        <v/>
      </c>
      <c r="T86" s="29">
        <f>IF(Amortizacion_Capital_Mensual!U86&gt;0, ROUND(S86 - Amortizacion_Capital_Mensual!U86, 2), "")</f>
        <v/>
      </c>
      <c r="U86" s="29">
        <f>MAX(I86:T86)</f>
        <v/>
      </c>
    </row>
    <row r="87">
      <c r="A87" s="20" t="inlineStr">
        <is>
          <t>0634-0001</t>
        </is>
      </c>
      <c r="B87" s="21" t="inlineStr">
        <is>
          <t>Jose de Jesus Vergara Rivera</t>
        </is>
      </c>
      <c r="C87" s="21" t="inlineStr">
        <is>
          <t>NP 300 Chasis Cabina TDI</t>
        </is>
      </c>
      <c r="D87" s="20" t="inlineStr">
        <is>
          <t>ACTIVO</t>
        </is>
      </c>
      <c r="E87" s="20" t="inlineStr">
        <is>
          <t>2023-09-28</t>
        </is>
      </c>
      <c r="F87" s="20" t="inlineStr">
        <is>
          <t>2027-09-28</t>
        </is>
      </c>
      <c r="G87" s="22" t="n">
        <v>48</v>
      </c>
      <c r="H87" s="23" t="n">
        <v>306827.58</v>
      </c>
      <c r="I87" s="23">
        <f>IF(Amortizacion_Capital_Mensual!J87&gt;0, ROUND(214263.2 - Amortizacion_Capital_Mensual!J87, 2), "")</f>
        <v/>
      </c>
      <c r="J87" s="23">
        <f>IF(Amortizacion_Capital_Mensual!K87&gt;0, ROUND(I87 - Amortizacion_Capital_Mensual!K87, 2), "")</f>
        <v/>
      </c>
      <c r="K87" s="23">
        <f>IF(Amortizacion_Capital_Mensual!L87&gt;0, ROUND(J87 - Amortizacion_Capital_Mensual!L87, 2), "")</f>
        <v/>
      </c>
      <c r="L87" s="23">
        <f>IF(Amortizacion_Capital_Mensual!M87&gt;0, ROUND(K87 - Amortizacion_Capital_Mensual!M87, 2), "")</f>
        <v/>
      </c>
      <c r="M87" s="23">
        <f>IF(Amortizacion_Capital_Mensual!N87&gt;0, ROUND(L87 - Amortizacion_Capital_Mensual!N87, 2), "")</f>
        <v/>
      </c>
      <c r="N87" s="23">
        <f>IF(Amortizacion_Capital_Mensual!O87&gt;0, ROUND(M87 - Amortizacion_Capital_Mensual!O87, 2), "")</f>
        <v/>
      </c>
      <c r="O87" s="23">
        <f>IF(Amortizacion_Capital_Mensual!P87&gt;0, ROUND(N87 - Amortizacion_Capital_Mensual!P87, 2), "")</f>
        <v/>
      </c>
      <c r="P87" s="23">
        <f>IF(Amortizacion_Capital_Mensual!Q87&gt;0, ROUND(O87 - Amortizacion_Capital_Mensual!Q87, 2), "")</f>
        <v/>
      </c>
      <c r="Q87" s="23">
        <f>IF(Amortizacion_Capital_Mensual!R87&gt;0, ROUND(P87 - Amortizacion_Capital_Mensual!R87, 2), "")</f>
        <v/>
      </c>
      <c r="R87" s="23">
        <f>IF(Amortizacion_Capital_Mensual!S87&gt;0, ROUND(Q87 - Amortizacion_Capital_Mensual!S87, 2), "")</f>
        <v/>
      </c>
      <c r="S87" s="23">
        <f>IF(Amortizacion_Capital_Mensual!T87&gt;0, ROUND(R87 - Amortizacion_Capital_Mensual!T87, 2), "")</f>
        <v/>
      </c>
      <c r="T87" s="23">
        <f>IF(Amortizacion_Capital_Mensual!U87&gt;0, ROUND(S87 - Amortizacion_Capital_Mensual!U87, 2), "")</f>
        <v/>
      </c>
      <c r="U87" s="23">
        <f>MAX(I87:T87)</f>
        <v/>
      </c>
    </row>
    <row r="88">
      <c r="A88" s="26" t="inlineStr">
        <is>
          <t>0634-0002</t>
        </is>
      </c>
      <c r="B88" s="27" t="inlineStr">
        <is>
          <t>Jose de Jesus Vergara Rivera</t>
        </is>
      </c>
      <c r="C88" s="27" t="inlineStr">
        <is>
          <t>700 Tradesman</t>
        </is>
      </c>
      <c r="D88" s="26" t="inlineStr">
        <is>
          <t>ACTIVO</t>
        </is>
      </c>
      <c r="E88" s="26" t="inlineStr">
        <is>
          <t>2025-10-09</t>
        </is>
      </c>
      <c r="F88" s="26" t="inlineStr">
        <is>
          <t>2029-10-09</t>
        </is>
      </c>
      <c r="G88" s="28" t="n">
        <v>48</v>
      </c>
      <c r="H88" s="29" t="n">
        <v>298629.31</v>
      </c>
      <c r="I88" s="29">
        <f>IF(Amortizacion_Capital_Mensual!J88&gt;0, ROUND(291441.04 - Amortizacion_Capital_Mensual!J88, 2), "")</f>
        <v/>
      </c>
      <c r="J88" s="29">
        <f>IF(Amortizacion_Capital_Mensual!K88&gt;0, ROUND(I88 - Amortizacion_Capital_Mensual!K88, 2), "")</f>
        <v/>
      </c>
      <c r="K88" s="29">
        <f>IF(Amortizacion_Capital_Mensual!L88&gt;0, ROUND(J88 - Amortizacion_Capital_Mensual!L88, 2), "")</f>
        <v/>
      </c>
      <c r="L88" s="29">
        <f>IF(Amortizacion_Capital_Mensual!M88&gt;0, ROUND(K88 - Amortizacion_Capital_Mensual!M88, 2), "")</f>
        <v/>
      </c>
      <c r="M88" s="29">
        <f>IF(Amortizacion_Capital_Mensual!N88&gt;0, ROUND(L88 - Amortizacion_Capital_Mensual!N88, 2), "")</f>
        <v/>
      </c>
      <c r="N88" s="29">
        <f>IF(Amortizacion_Capital_Mensual!O88&gt;0, ROUND(M88 - Amortizacion_Capital_Mensual!O88, 2), "")</f>
        <v/>
      </c>
      <c r="O88" s="29">
        <f>IF(Amortizacion_Capital_Mensual!P88&gt;0, ROUND(N88 - Amortizacion_Capital_Mensual!P88, 2), "")</f>
        <v/>
      </c>
      <c r="P88" s="29">
        <f>IF(Amortizacion_Capital_Mensual!Q88&gt;0, ROUND(O88 - Amortizacion_Capital_Mensual!Q88, 2), "")</f>
        <v/>
      </c>
      <c r="Q88" s="29">
        <f>IF(Amortizacion_Capital_Mensual!R88&gt;0, ROUND(P88 - Amortizacion_Capital_Mensual!R88, 2), "")</f>
        <v/>
      </c>
      <c r="R88" s="29">
        <f>IF(Amortizacion_Capital_Mensual!S88&gt;0, ROUND(Q88 - Amortizacion_Capital_Mensual!S88, 2), "")</f>
        <v/>
      </c>
      <c r="S88" s="29">
        <f>IF(Amortizacion_Capital_Mensual!T88&gt;0, ROUND(R88 - Amortizacion_Capital_Mensual!T88, 2), "")</f>
        <v/>
      </c>
      <c r="T88" s="29">
        <f>IF(Amortizacion_Capital_Mensual!U88&gt;0, ROUND(S88 - Amortizacion_Capital_Mensual!U88, 2), "")</f>
        <v/>
      </c>
      <c r="U88" s="29">
        <f>MAX(I88:T88)</f>
        <v/>
      </c>
    </row>
    <row r="89">
      <c r="A89" s="20" t="inlineStr">
        <is>
          <t>0635-0003</t>
        </is>
      </c>
      <c r="B89" s="21" t="inlineStr">
        <is>
          <t>Ankara Food Services Sa de CV</t>
        </is>
      </c>
      <c r="C89" s="21" t="inlineStr">
        <is>
          <t>Glc 350 E</t>
        </is>
      </c>
      <c r="D89" s="20" t="inlineStr">
        <is>
          <t>ACTIVO</t>
        </is>
      </c>
      <c r="E89" s="20" t="inlineStr">
        <is>
          <t>2025-03-21</t>
        </is>
      </c>
      <c r="F89" s="20" t="inlineStr">
        <is>
          <t>2028-03-21</t>
        </is>
      </c>
      <c r="G89" s="22" t="n">
        <v>36</v>
      </c>
      <c r="H89" s="23" t="n">
        <v>1176983.25</v>
      </c>
      <c r="I89" s="23">
        <f>IF(Amortizacion_Capital_Mensual!J89&gt;0, ROUND(949453.56 - Amortizacion_Capital_Mensual!J89, 2), "")</f>
        <v/>
      </c>
      <c r="J89" s="23">
        <f>IF(Amortizacion_Capital_Mensual!K89&gt;0, ROUND(I89 - Amortizacion_Capital_Mensual!K89, 2), "")</f>
        <v/>
      </c>
      <c r="K89" s="23">
        <f>IF(Amortizacion_Capital_Mensual!L89&gt;0, ROUND(J89 - Amortizacion_Capital_Mensual!L89, 2), "")</f>
        <v/>
      </c>
      <c r="L89" s="23">
        <f>IF(Amortizacion_Capital_Mensual!M89&gt;0, ROUND(K89 - Amortizacion_Capital_Mensual!M89, 2), "")</f>
        <v/>
      </c>
      <c r="M89" s="23">
        <f>IF(Amortizacion_Capital_Mensual!N89&gt;0, ROUND(L89 - Amortizacion_Capital_Mensual!N89, 2), "")</f>
        <v/>
      </c>
      <c r="N89" s="23">
        <f>IF(Amortizacion_Capital_Mensual!O89&gt;0, ROUND(M89 - Amortizacion_Capital_Mensual!O89, 2), "")</f>
        <v/>
      </c>
      <c r="O89" s="23">
        <f>IF(Amortizacion_Capital_Mensual!P89&gt;0, ROUND(N89 - Amortizacion_Capital_Mensual!P89, 2), "")</f>
        <v/>
      </c>
      <c r="P89" s="23">
        <f>IF(Amortizacion_Capital_Mensual!Q89&gt;0, ROUND(O89 - Amortizacion_Capital_Mensual!Q89, 2), "")</f>
        <v/>
      </c>
      <c r="Q89" s="23">
        <f>IF(Amortizacion_Capital_Mensual!R89&gt;0, ROUND(P89 - Amortizacion_Capital_Mensual!R89, 2), "")</f>
        <v/>
      </c>
      <c r="R89" s="23">
        <f>IF(Amortizacion_Capital_Mensual!S89&gt;0, ROUND(Q89 - Amortizacion_Capital_Mensual!S89, 2), "")</f>
        <v/>
      </c>
      <c r="S89" s="23">
        <f>IF(Amortizacion_Capital_Mensual!T89&gt;0, ROUND(R89 - Amortizacion_Capital_Mensual!T89, 2), "")</f>
        <v/>
      </c>
      <c r="T89" s="23">
        <f>IF(Amortizacion_Capital_Mensual!U89&gt;0, ROUND(S89 - Amortizacion_Capital_Mensual!U89, 2), "")</f>
        <v/>
      </c>
      <c r="U89" s="23">
        <f>MAX(I89:T89)</f>
        <v/>
      </c>
    </row>
    <row r="90">
      <c r="A90" s="26" t="inlineStr">
        <is>
          <t>0635-0004</t>
        </is>
      </c>
      <c r="B90" s="27" t="inlineStr">
        <is>
          <t>Ankara Food Services Sa de CV</t>
        </is>
      </c>
      <c r="C90" s="27" t="inlineStr">
        <is>
          <t>Partner</t>
        </is>
      </c>
      <c r="D90" s="26" t="inlineStr">
        <is>
          <t>ACTIVO</t>
        </is>
      </c>
      <c r="E90" s="26" t="inlineStr">
        <is>
          <t>2025-04-29</t>
        </is>
      </c>
      <c r="F90" s="26" t="inlineStr">
        <is>
          <t>2028-04-29</t>
        </is>
      </c>
      <c r="G90" s="28" t="n">
        <v>36</v>
      </c>
      <c r="H90" s="29" t="n">
        <v>292675.68</v>
      </c>
      <c r="I90" s="29">
        <f>IF(Amortizacion_Capital_Mensual!J90&gt;0, ROUND(242402.92 - Amortizacion_Capital_Mensual!J90, 2), "")</f>
        <v/>
      </c>
      <c r="J90" s="29">
        <f>IF(Amortizacion_Capital_Mensual!K90&gt;0, ROUND(I90 - Amortizacion_Capital_Mensual!K90, 2), "")</f>
        <v/>
      </c>
      <c r="K90" s="29">
        <f>IF(Amortizacion_Capital_Mensual!L90&gt;0, ROUND(J90 - Amortizacion_Capital_Mensual!L90, 2), "")</f>
        <v/>
      </c>
      <c r="L90" s="29">
        <f>IF(Amortizacion_Capital_Mensual!M90&gt;0, ROUND(K90 - Amortizacion_Capital_Mensual!M90, 2), "")</f>
        <v/>
      </c>
      <c r="M90" s="29">
        <f>IF(Amortizacion_Capital_Mensual!N90&gt;0, ROUND(L90 - Amortizacion_Capital_Mensual!N90, 2), "")</f>
        <v/>
      </c>
      <c r="N90" s="29">
        <f>IF(Amortizacion_Capital_Mensual!O90&gt;0, ROUND(M90 - Amortizacion_Capital_Mensual!O90, 2), "")</f>
        <v/>
      </c>
      <c r="O90" s="29">
        <f>IF(Amortizacion_Capital_Mensual!P90&gt;0, ROUND(N90 - Amortizacion_Capital_Mensual!P90, 2), "")</f>
        <v/>
      </c>
      <c r="P90" s="29">
        <f>IF(Amortizacion_Capital_Mensual!Q90&gt;0, ROUND(O90 - Amortizacion_Capital_Mensual!Q90, 2), "")</f>
        <v/>
      </c>
      <c r="Q90" s="29">
        <f>IF(Amortizacion_Capital_Mensual!R90&gt;0, ROUND(P90 - Amortizacion_Capital_Mensual!R90, 2), "")</f>
        <v/>
      </c>
      <c r="R90" s="29">
        <f>IF(Amortizacion_Capital_Mensual!S90&gt;0, ROUND(Q90 - Amortizacion_Capital_Mensual!S90, 2), "")</f>
        <v/>
      </c>
      <c r="S90" s="29">
        <f>IF(Amortizacion_Capital_Mensual!T90&gt;0, ROUND(R90 - Amortizacion_Capital_Mensual!T90, 2), "")</f>
        <v/>
      </c>
      <c r="T90" s="29">
        <f>IF(Amortizacion_Capital_Mensual!U90&gt;0, ROUND(S90 - Amortizacion_Capital_Mensual!U90, 2), "")</f>
        <v/>
      </c>
      <c r="U90" s="29">
        <f>MAX(I90:T90)</f>
        <v/>
      </c>
    </row>
    <row r="91">
      <c r="A91" s="20" t="inlineStr">
        <is>
          <t>0635-0005</t>
        </is>
      </c>
      <c r="B91" s="21" t="inlineStr">
        <is>
          <t>Ankara Food Services Sa de CV</t>
        </is>
      </c>
      <c r="C91" s="21" t="inlineStr">
        <is>
          <t>Manager</t>
        </is>
      </c>
      <c r="D91" s="20" t="inlineStr">
        <is>
          <t>ACTIVO</t>
        </is>
      </c>
      <c r="E91" s="20" t="inlineStr">
        <is>
          <t>2025-04-29</t>
        </is>
      </c>
      <c r="F91" s="20" t="inlineStr">
        <is>
          <t>2028-04-29</t>
        </is>
      </c>
      <c r="G91" s="22" t="n">
        <v>36</v>
      </c>
      <c r="H91" s="23" t="n">
        <v>452623.78</v>
      </c>
      <c r="I91" s="23">
        <f>IF(Amortizacion_Capital_Mensual!J91&gt;0, ROUND(374876.79 - Amortizacion_Capital_Mensual!J91, 2), "")</f>
        <v/>
      </c>
      <c r="J91" s="23">
        <f>IF(Amortizacion_Capital_Mensual!K91&gt;0, ROUND(I91 - Amortizacion_Capital_Mensual!K91, 2), "")</f>
        <v/>
      </c>
      <c r="K91" s="23">
        <f>IF(Amortizacion_Capital_Mensual!L91&gt;0, ROUND(J91 - Amortizacion_Capital_Mensual!L91, 2), "")</f>
        <v/>
      </c>
      <c r="L91" s="23">
        <f>IF(Amortizacion_Capital_Mensual!M91&gt;0, ROUND(K91 - Amortizacion_Capital_Mensual!M91, 2), "")</f>
        <v/>
      </c>
      <c r="M91" s="23">
        <f>IF(Amortizacion_Capital_Mensual!N91&gt;0, ROUND(L91 - Amortizacion_Capital_Mensual!N91, 2), "")</f>
        <v/>
      </c>
      <c r="N91" s="23">
        <f>IF(Amortizacion_Capital_Mensual!O91&gt;0, ROUND(M91 - Amortizacion_Capital_Mensual!O91, 2), "")</f>
        <v/>
      </c>
      <c r="O91" s="23">
        <f>IF(Amortizacion_Capital_Mensual!P91&gt;0, ROUND(N91 - Amortizacion_Capital_Mensual!P91, 2), "")</f>
        <v/>
      </c>
      <c r="P91" s="23">
        <f>IF(Amortizacion_Capital_Mensual!Q91&gt;0, ROUND(O91 - Amortizacion_Capital_Mensual!Q91, 2), "")</f>
        <v/>
      </c>
      <c r="Q91" s="23">
        <f>IF(Amortizacion_Capital_Mensual!R91&gt;0, ROUND(P91 - Amortizacion_Capital_Mensual!R91, 2), "")</f>
        <v/>
      </c>
      <c r="R91" s="23">
        <f>IF(Amortizacion_Capital_Mensual!S91&gt;0, ROUND(Q91 - Amortizacion_Capital_Mensual!S91, 2), "")</f>
        <v/>
      </c>
      <c r="S91" s="23">
        <f>IF(Amortizacion_Capital_Mensual!T91&gt;0, ROUND(R91 - Amortizacion_Capital_Mensual!T91, 2), "")</f>
        <v/>
      </c>
      <c r="T91" s="23">
        <f>IF(Amortizacion_Capital_Mensual!U91&gt;0, ROUND(S91 - Amortizacion_Capital_Mensual!U91, 2), "")</f>
        <v/>
      </c>
      <c r="U91" s="23">
        <f>MAX(I91:T91)</f>
        <v/>
      </c>
    </row>
    <row r="92">
      <c r="A92" s="26" t="inlineStr">
        <is>
          <t>0635-0006</t>
        </is>
      </c>
      <c r="B92" s="27" t="inlineStr">
        <is>
          <t>Ankara Food Services Sa de CV</t>
        </is>
      </c>
      <c r="C92" s="27" t="inlineStr">
        <is>
          <t>Mobi</t>
        </is>
      </c>
      <c r="D92" s="26" t="inlineStr">
        <is>
          <t>ACTIVO</t>
        </is>
      </c>
      <c r="E92" s="26" t="inlineStr">
        <is>
          <t>2025-06-17</t>
        </is>
      </c>
      <c r="F92" s="26" t="inlineStr">
        <is>
          <t>2027-06-17</t>
        </is>
      </c>
      <c r="G92" s="28" t="n">
        <v>24</v>
      </c>
      <c r="H92" s="29" t="n">
        <v>149051.72</v>
      </c>
      <c r="I92" s="29">
        <f>IF(Amortizacion_Capital_Mensual!J92&gt;0, ROUND(114548.16 - Amortizacion_Capital_Mensual!J92, 2), "")</f>
        <v/>
      </c>
      <c r="J92" s="29">
        <f>IF(Amortizacion_Capital_Mensual!K92&gt;0, ROUND(I92 - Amortizacion_Capital_Mensual!K92, 2), "")</f>
        <v/>
      </c>
      <c r="K92" s="29">
        <f>IF(Amortizacion_Capital_Mensual!L92&gt;0, ROUND(J92 - Amortizacion_Capital_Mensual!L92, 2), "")</f>
        <v/>
      </c>
      <c r="L92" s="29">
        <f>IF(Amortizacion_Capital_Mensual!M92&gt;0, ROUND(K92 - Amortizacion_Capital_Mensual!M92, 2), "")</f>
        <v/>
      </c>
      <c r="M92" s="29">
        <f>IF(Amortizacion_Capital_Mensual!N92&gt;0, ROUND(L92 - Amortizacion_Capital_Mensual!N92, 2), "")</f>
        <v/>
      </c>
      <c r="N92" s="29">
        <f>IF(Amortizacion_Capital_Mensual!O92&gt;0, ROUND(M92 - Amortizacion_Capital_Mensual!O92, 2), "")</f>
        <v/>
      </c>
      <c r="O92" s="29">
        <f>IF(Amortizacion_Capital_Mensual!P92&gt;0, ROUND(N92 - Amortizacion_Capital_Mensual!P92, 2), "")</f>
        <v/>
      </c>
      <c r="P92" s="29">
        <f>IF(Amortizacion_Capital_Mensual!Q92&gt;0, ROUND(O92 - Amortizacion_Capital_Mensual!Q92, 2), "")</f>
        <v/>
      </c>
      <c r="Q92" s="29">
        <f>IF(Amortizacion_Capital_Mensual!R92&gt;0, ROUND(P92 - Amortizacion_Capital_Mensual!R92, 2), "")</f>
        <v/>
      </c>
      <c r="R92" s="29">
        <f>IF(Amortizacion_Capital_Mensual!S92&gt;0, ROUND(Q92 - Amortizacion_Capital_Mensual!S92, 2), "")</f>
        <v/>
      </c>
      <c r="S92" s="29">
        <f>IF(Amortizacion_Capital_Mensual!T92&gt;0, ROUND(R92 - Amortizacion_Capital_Mensual!T92, 2), "")</f>
        <v/>
      </c>
      <c r="T92" s="29">
        <f>IF(Amortizacion_Capital_Mensual!U92&gt;0, ROUND(S92 - Amortizacion_Capital_Mensual!U92, 2), "")</f>
        <v/>
      </c>
      <c r="U92" s="29">
        <f>MAX(I92:T92)</f>
        <v/>
      </c>
    </row>
    <row r="93">
      <c r="A93" s="20" t="inlineStr">
        <is>
          <t>0635-0007</t>
        </is>
      </c>
      <c r="B93" s="21" t="inlineStr">
        <is>
          <t>Ankara Food Services Sa de CV</t>
        </is>
      </c>
      <c r="C93" s="21" t="inlineStr">
        <is>
          <t>Mobi</t>
        </is>
      </c>
      <c r="D93" s="20" t="inlineStr">
        <is>
          <t>ACTIVO</t>
        </is>
      </c>
      <c r="E93" s="20" t="inlineStr">
        <is>
          <t>2025-06-17</t>
        </is>
      </c>
      <c r="F93" s="20" t="inlineStr">
        <is>
          <t>2027-06-17</t>
        </is>
      </c>
      <c r="G93" s="22" t="n">
        <v>24</v>
      </c>
      <c r="H93" s="23" t="n">
        <v>149051.72</v>
      </c>
      <c r="I93" s="23">
        <f>IF(Amortizacion_Capital_Mensual!J93&gt;0, ROUND(114548.16 - Amortizacion_Capital_Mensual!J93, 2), "")</f>
        <v/>
      </c>
      <c r="J93" s="23">
        <f>IF(Amortizacion_Capital_Mensual!K93&gt;0, ROUND(I93 - Amortizacion_Capital_Mensual!K93, 2), "")</f>
        <v/>
      </c>
      <c r="K93" s="23">
        <f>IF(Amortizacion_Capital_Mensual!L93&gt;0, ROUND(J93 - Amortizacion_Capital_Mensual!L93, 2), "")</f>
        <v/>
      </c>
      <c r="L93" s="23">
        <f>IF(Amortizacion_Capital_Mensual!M93&gt;0, ROUND(K93 - Amortizacion_Capital_Mensual!M93, 2), "")</f>
        <v/>
      </c>
      <c r="M93" s="23">
        <f>IF(Amortizacion_Capital_Mensual!N93&gt;0, ROUND(L93 - Amortizacion_Capital_Mensual!N93, 2), "")</f>
        <v/>
      </c>
      <c r="N93" s="23">
        <f>IF(Amortizacion_Capital_Mensual!O93&gt;0, ROUND(M93 - Amortizacion_Capital_Mensual!O93, 2), "")</f>
        <v/>
      </c>
      <c r="O93" s="23">
        <f>IF(Amortizacion_Capital_Mensual!P93&gt;0, ROUND(N93 - Amortizacion_Capital_Mensual!P93, 2), "")</f>
        <v/>
      </c>
      <c r="P93" s="23">
        <f>IF(Amortizacion_Capital_Mensual!Q93&gt;0, ROUND(O93 - Amortizacion_Capital_Mensual!Q93, 2), "")</f>
        <v/>
      </c>
      <c r="Q93" s="23">
        <f>IF(Amortizacion_Capital_Mensual!R93&gt;0, ROUND(P93 - Amortizacion_Capital_Mensual!R93, 2), "")</f>
        <v/>
      </c>
      <c r="R93" s="23">
        <f>IF(Amortizacion_Capital_Mensual!S93&gt;0, ROUND(Q93 - Amortizacion_Capital_Mensual!S93, 2), "")</f>
        <v/>
      </c>
      <c r="S93" s="23">
        <f>IF(Amortizacion_Capital_Mensual!T93&gt;0, ROUND(R93 - Amortizacion_Capital_Mensual!T93, 2), "")</f>
        <v/>
      </c>
      <c r="T93" s="23">
        <f>IF(Amortizacion_Capital_Mensual!U93&gt;0, ROUND(S93 - Amortizacion_Capital_Mensual!U93, 2), "")</f>
        <v/>
      </c>
      <c r="U93" s="23">
        <f>MAX(I93:T93)</f>
        <v/>
      </c>
    </row>
    <row r="94">
      <c r="A94" s="26" t="inlineStr">
        <is>
          <t>0635-0008</t>
        </is>
      </c>
      <c r="B94" s="27" t="inlineStr">
        <is>
          <t>Ankara Food Services Sa de CV</t>
        </is>
      </c>
      <c r="C94" s="27" t="inlineStr">
        <is>
          <t>Wrangler 4 XE</t>
        </is>
      </c>
      <c r="D94" s="26" t="inlineStr">
        <is>
          <t>ACTIVO</t>
        </is>
      </c>
      <c r="E94" s="26" t="inlineStr">
        <is>
          <t>2025-10-31</t>
        </is>
      </c>
      <c r="F94" s="26" t="inlineStr">
        <is>
          <t>2029-10-31</t>
        </is>
      </c>
      <c r="G94" s="28" t="n">
        <v>48</v>
      </c>
      <c r="H94" s="29" t="n">
        <v>737534.48</v>
      </c>
      <c r="I94" s="29">
        <f>IF(Amortizacion_Capital_Mensual!J94&gt;0, ROUND(717759.42 - Amortizacion_Capital_Mensual!J94, 2), "")</f>
        <v/>
      </c>
      <c r="J94" s="29">
        <f>IF(Amortizacion_Capital_Mensual!K94&gt;0, ROUND(I94 - Amortizacion_Capital_Mensual!K94, 2), "")</f>
        <v/>
      </c>
      <c r="K94" s="29">
        <f>IF(Amortizacion_Capital_Mensual!L94&gt;0, ROUND(J94 - Amortizacion_Capital_Mensual!L94, 2), "")</f>
        <v/>
      </c>
      <c r="L94" s="29">
        <f>IF(Amortizacion_Capital_Mensual!M94&gt;0, ROUND(K94 - Amortizacion_Capital_Mensual!M94, 2), "")</f>
        <v/>
      </c>
      <c r="M94" s="29">
        <f>IF(Amortizacion_Capital_Mensual!N94&gt;0, ROUND(L94 - Amortizacion_Capital_Mensual!N94, 2), "")</f>
        <v/>
      </c>
      <c r="N94" s="29">
        <f>IF(Amortizacion_Capital_Mensual!O94&gt;0, ROUND(M94 - Amortizacion_Capital_Mensual!O94, 2), "")</f>
        <v/>
      </c>
      <c r="O94" s="29">
        <f>IF(Amortizacion_Capital_Mensual!P94&gt;0, ROUND(N94 - Amortizacion_Capital_Mensual!P94, 2), "")</f>
        <v/>
      </c>
      <c r="P94" s="29">
        <f>IF(Amortizacion_Capital_Mensual!Q94&gt;0, ROUND(O94 - Amortizacion_Capital_Mensual!Q94, 2), "")</f>
        <v/>
      </c>
      <c r="Q94" s="29">
        <f>IF(Amortizacion_Capital_Mensual!R94&gt;0, ROUND(P94 - Amortizacion_Capital_Mensual!R94, 2), "")</f>
        <v/>
      </c>
      <c r="R94" s="29">
        <f>IF(Amortizacion_Capital_Mensual!S94&gt;0, ROUND(Q94 - Amortizacion_Capital_Mensual!S94, 2), "")</f>
        <v/>
      </c>
      <c r="S94" s="29">
        <f>IF(Amortizacion_Capital_Mensual!T94&gt;0, ROUND(R94 - Amortizacion_Capital_Mensual!T94, 2), "")</f>
        <v/>
      </c>
      <c r="T94" s="29">
        <f>IF(Amortizacion_Capital_Mensual!U94&gt;0, ROUND(S94 - Amortizacion_Capital_Mensual!U94, 2), "")</f>
        <v/>
      </c>
      <c r="U94" s="29">
        <f>MAX(I94:T94)</f>
        <v/>
      </c>
    </row>
    <row r="95">
      <c r="A95" s="20" t="inlineStr">
        <is>
          <t>0640-0001</t>
        </is>
      </c>
      <c r="B95" s="21" t="inlineStr">
        <is>
          <t>Marco Abner Hernand Barragan</t>
        </is>
      </c>
      <c r="C95" s="21" t="inlineStr">
        <is>
          <t>RIFTER</t>
        </is>
      </c>
      <c r="D95" s="20" t="inlineStr">
        <is>
          <t>ACTIVO</t>
        </is>
      </c>
      <c r="E95" s="20" t="inlineStr">
        <is>
          <t>2023-12-13</t>
        </is>
      </c>
      <c r="F95" s="20" t="inlineStr">
        <is>
          <t>2027-12-13</t>
        </is>
      </c>
      <c r="G95" s="22" t="n">
        <v>48</v>
      </c>
      <c r="H95" s="23" t="n">
        <v>401818.97</v>
      </c>
      <c r="I95" s="23">
        <f>IF(Amortizacion_Capital_Mensual!J95&gt;0, ROUND(295359.09 - Amortizacion_Capital_Mensual!J95, 2), "")</f>
        <v/>
      </c>
      <c r="J95" s="23">
        <f>IF(Amortizacion_Capital_Mensual!K95&gt;0, ROUND(I95 - Amortizacion_Capital_Mensual!K95, 2), "")</f>
        <v/>
      </c>
      <c r="K95" s="23">
        <f>IF(Amortizacion_Capital_Mensual!L95&gt;0, ROUND(J95 - Amortizacion_Capital_Mensual!L95, 2), "")</f>
        <v/>
      </c>
      <c r="L95" s="23">
        <f>IF(Amortizacion_Capital_Mensual!M95&gt;0, ROUND(K95 - Amortizacion_Capital_Mensual!M95, 2), "")</f>
        <v/>
      </c>
      <c r="M95" s="23">
        <f>IF(Amortizacion_Capital_Mensual!N95&gt;0, ROUND(L95 - Amortizacion_Capital_Mensual!N95, 2), "")</f>
        <v/>
      </c>
      <c r="N95" s="23">
        <f>IF(Amortizacion_Capital_Mensual!O95&gt;0, ROUND(M95 - Amortizacion_Capital_Mensual!O95, 2), "")</f>
        <v/>
      </c>
      <c r="O95" s="23">
        <f>IF(Amortizacion_Capital_Mensual!P95&gt;0, ROUND(N95 - Amortizacion_Capital_Mensual!P95, 2), "")</f>
        <v/>
      </c>
      <c r="P95" s="23">
        <f>IF(Amortizacion_Capital_Mensual!Q95&gt;0, ROUND(O95 - Amortizacion_Capital_Mensual!Q95, 2), "")</f>
        <v/>
      </c>
      <c r="Q95" s="23">
        <f>IF(Amortizacion_Capital_Mensual!R95&gt;0, ROUND(P95 - Amortizacion_Capital_Mensual!R95, 2), "")</f>
        <v/>
      </c>
      <c r="R95" s="23">
        <f>IF(Amortizacion_Capital_Mensual!S95&gt;0, ROUND(Q95 - Amortizacion_Capital_Mensual!S95, 2), "")</f>
        <v/>
      </c>
      <c r="S95" s="23">
        <f>IF(Amortizacion_Capital_Mensual!T95&gt;0, ROUND(R95 - Amortizacion_Capital_Mensual!T95, 2), "")</f>
        <v/>
      </c>
      <c r="T95" s="23">
        <f>IF(Amortizacion_Capital_Mensual!U95&gt;0, ROUND(S95 - Amortizacion_Capital_Mensual!U95, 2), "")</f>
        <v/>
      </c>
      <c r="U95" s="23">
        <f>MAX(I95:T95)</f>
        <v/>
      </c>
    </row>
    <row r="96">
      <c r="A96" s="26" t="inlineStr">
        <is>
          <t>0641-0001</t>
        </is>
      </c>
      <c r="B96" s="27" t="inlineStr">
        <is>
          <t>Agrideaz Sa de Cv</t>
        </is>
      </c>
      <c r="C96" s="27" t="inlineStr">
        <is>
          <t>Pulse Audace</t>
        </is>
      </c>
      <c r="D96" s="26" t="inlineStr">
        <is>
          <t>ACTIVO</t>
        </is>
      </c>
      <c r="E96" s="26" t="inlineStr">
        <is>
          <t>2023-11-30</t>
        </is>
      </c>
      <c r="F96" s="26" t="inlineStr">
        <is>
          <t>2026-11-30</t>
        </is>
      </c>
      <c r="G96" s="28" t="n">
        <v>36</v>
      </c>
      <c r="H96" s="29" t="n">
        <v>227724.14</v>
      </c>
      <c r="I96" s="29">
        <f>IF(Amortizacion_Capital_Mensual!J96&gt;0, ROUND(172778.08 - Amortizacion_Capital_Mensual!J96, 2), "")</f>
        <v/>
      </c>
      <c r="J96" s="29">
        <f>IF(Amortizacion_Capital_Mensual!K96&gt;0, ROUND(I96 - Amortizacion_Capital_Mensual!K96, 2), "")</f>
        <v/>
      </c>
      <c r="K96" s="29">
        <f>IF(Amortizacion_Capital_Mensual!L96&gt;0, ROUND(J96 - Amortizacion_Capital_Mensual!L96, 2), "")</f>
        <v/>
      </c>
      <c r="L96" s="29">
        <f>IF(Amortizacion_Capital_Mensual!M96&gt;0, ROUND(K96 - Amortizacion_Capital_Mensual!M96, 2), "")</f>
        <v/>
      </c>
      <c r="M96" s="29">
        <f>IF(Amortizacion_Capital_Mensual!N96&gt;0, ROUND(L96 - Amortizacion_Capital_Mensual!N96, 2), "")</f>
        <v/>
      </c>
      <c r="N96" s="29">
        <f>IF(Amortizacion_Capital_Mensual!O96&gt;0, ROUND(M96 - Amortizacion_Capital_Mensual!O96, 2), "")</f>
        <v/>
      </c>
      <c r="O96" s="29">
        <f>IF(Amortizacion_Capital_Mensual!P96&gt;0, ROUND(N96 - Amortizacion_Capital_Mensual!P96, 2), "")</f>
        <v/>
      </c>
      <c r="P96" s="29">
        <f>IF(Amortizacion_Capital_Mensual!Q96&gt;0, ROUND(O96 - Amortizacion_Capital_Mensual!Q96, 2), "")</f>
        <v/>
      </c>
      <c r="Q96" s="29">
        <f>IF(Amortizacion_Capital_Mensual!R96&gt;0, ROUND(P96 - Amortizacion_Capital_Mensual!R96, 2), "")</f>
        <v/>
      </c>
      <c r="R96" s="29">
        <f>IF(Amortizacion_Capital_Mensual!S96&gt;0, ROUND(Q96 - Amortizacion_Capital_Mensual!S96, 2), "")</f>
        <v/>
      </c>
      <c r="S96" s="29" t="inlineStr"/>
      <c r="T96" s="29" t="inlineStr"/>
      <c r="U96" s="29">
        <f>MAX(I96:T96)</f>
        <v/>
      </c>
    </row>
    <row r="97">
      <c r="A97" s="20" t="inlineStr">
        <is>
          <t>0641-0002</t>
        </is>
      </c>
      <c r="B97" s="21" t="inlineStr">
        <is>
          <t>Agrideaz Sa de Cv</t>
        </is>
      </c>
      <c r="C97" s="21" t="inlineStr">
        <is>
          <t>MOBI</t>
        </is>
      </c>
      <c r="D97" s="20" t="inlineStr">
        <is>
          <t>ACTIVO</t>
        </is>
      </c>
      <c r="E97" s="20" t="inlineStr">
        <is>
          <t>2023-11-30</t>
        </is>
      </c>
      <c r="F97" s="20" t="inlineStr">
        <is>
          <t>2026-11-30</t>
        </is>
      </c>
      <c r="G97" s="22" t="n">
        <v>36</v>
      </c>
      <c r="H97" s="23" t="n">
        <v>141206.9</v>
      </c>
      <c r="I97" s="23">
        <f>IF(Amortizacion_Capital_Mensual!J97&gt;0, ROUND(107367.28 - Amortizacion_Capital_Mensual!J97, 2), "")</f>
        <v/>
      </c>
      <c r="J97" s="23">
        <f>IF(Amortizacion_Capital_Mensual!K97&gt;0, ROUND(I97 - Amortizacion_Capital_Mensual!K97, 2), "")</f>
        <v/>
      </c>
      <c r="K97" s="23">
        <f>IF(Amortizacion_Capital_Mensual!L97&gt;0, ROUND(J97 - Amortizacion_Capital_Mensual!L97, 2), "")</f>
        <v/>
      </c>
      <c r="L97" s="23">
        <f>IF(Amortizacion_Capital_Mensual!M97&gt;0, ROUND(K97 - Amortizacion_Capital_Mensual!M97, 2), "")</f>
        <v/>
      </c>
      <c r="M97" s="23">
        <f>IF(Amortizacion_Capital_Mensual!N97&gt;0, ROUND(L97 - Amortizacion_Capital_Mensual!N97, 2), "")</f>
        <v/>
      </c>
      <c r="N97" s="23">
        <f>IF(Amortizacion_Capital_Mensual!O97&gt;0, ROUND(M97 - Amortizacion_Capital_Mensual!O97, 2), "")</f>
        <v/>
      </c>
      <c r="O97" s="23">
        <f>IF(Amortizacion_Capital_Mensual!P97&gt;0, ROUND(N97 - Amortizacion_Capital_Mensual!P97, 2), "")</f>
        <v/>
      </c>
      <c r="P97" s="23">
        <f>IF(Amortizacion_Capital_Mensual!Q97&gt;0, ROUND(O97 - Amortizacion_Capital_Mensual!Q97, 2), "")</f>
        <v/>
      </c>
      <c r="Q97" s="23">
        <f>IF(Amortizacion_Capital_Mensual!R97&gt;0, ROUND(P97 - Amortizacion_Capital_Mensual!R97, 2), "")</f>
        <v/>
      </c>
      <c r="R97" s="23">
        <f>IF(Amortizacion_Capital_Mensual!S97&gt;0, ROUND(Q97 - Amortizacion_Capital_Mensual!S97, 2), "")</f>
        <v/>
      </c>
      <c r="S97" s="23" t="inlineStr"/>
      <c r="T97" s="23" t="inlineStr"/>
      <c r="U97" s="23">
        <f>MAX(I97:T97)</f>
        <v/>
      </c>
    </row>
    <row r="98">
      <c r="A98" s="26" t="inlineStr">
        <is>
          <t>0642-0001</t>
        </is>
      </c>
      <c r="B98" s="27" t="inlineStr">
        <is>
          <t>Incubadora de Occidente Sa de Cv</t>
        </is>
      </c>
      <c r="C98" s="27" t="inlineStr">
        <is>
          <t>GRAND CHEROKEE LIMITED</t>
        </is>
      </c>
      <c r="D98" s="26" t="inlineStr">
        <is>
          <t>ACTIVO</t>
        </is>
      </c>
      <c r="E98" s="26" t="inlineStr">
        <is>
          <t>2023-12-22</t>
        </is>
      </c>
      <c r="F98" s="26" t="inlineStr">
        <is>
          <t>2027-12-22</t>
        </is>
      </c>
      <c r="G98" s="28" t="n">
        <v>48</v>
      </c>
      <c r="H98" s="29" t="n">
        <v>884488.33</v>
      </c>
      <c r="I98" s="29">
        <f>IF(Amortizacion_Capital_Mensual!J98&gt;0, ROUND(713219.34 - Amortizacion_Capital_Mensual!J98, 2), "")</f>
        <v/>
      </c>
      <c r="J98" s="29">
        <f>IF(Amortizacion_Capital_Mensual!K98&gt;0, ROUND(I98 - Amortizacion_Capital_Mensual!K98, 2), "")</f>
        <v/>
      </c>
      <c r="K98" s="29">
        <f>IF(Amortizacion_Capital_Mensual!L98&gt;0, ROUND(J98 - Amortizacion_Capital_Mensual!L98, 2), "")</f>
        <v/>
      </c>
      <c r="L98" s="29">
        <f>IF(Amortizacion_Capital_Mensual!M98&gt;0, ROUND(K98 - Amortizacion_Capital_Mensual!M98, 2), "")</f>
        <v/>
      </c>
      <c r="M98" s="29">
        <f>IF(Amortizacion_Capital_Mensual!N98&gt;0, ROUND(L98 - Amortizacion_Capital_Mensual!N98, 2), "")</f>
        <v/>
      </c>
      <c r="N98" s="29">
        <f>IF(Amortizacion_Capital_Mensual!O98&gt;0, ROUND(M98 - Amortizacion_Capital_Mensual!O98, 2), "")</f>
        <v/>
      </c>
      <c r="O98" s="29">
        <f>IF(Amortizacion_Capital_Mensual!P98&gt;0, ROUND(N98 - Amortizacion_Capital_Mensual!P98, 2), "")</f>
        <v/>
      </c>
      <c r="P98" s="29">
        <f>IF(Amortizacion_Capital_Mensual!Q98&gt;0, ROUND(O98 - Amortizacion_Capital_Mensual!Q98, 2), "")</f>
        <v/>
      </c>
      <c r="Q98" s="29">
        <f>IF(Amortizacion_Capital_Mensual!R98&gt;0, ROUND(P98 - Amortizacion_Capital_Mensual!R98, 2), "")</f>
        <v/>
      </c>
      <c r="R98" s="29">
        <f>IF(Amortizacion_Capital_Mensual!S98&gt;0, ROUND(Q98 - Amortizacion_Capital_Mensual!S98, 2), "")</f>
        <v/>
      </c>
      <c r="S98" s="29">
        <f>IF(Amortizacion_Capital_Mensual!T98&gt;0, ROUND(R98 - Amortizacion_Capital_Mensual!T98, 2), "")</f>
        <v/>
      </c>
      <c r="T98" s="29">
        <f>IF(Amortizacion_Capital_Mensual!U98&gt;0, ROUND(S98 - Amortizacion_Capital_Mensual!U98, 2), "")</f>
        <v/>
      </c>
      <c r="U98" s="29">
        <f>MAX(I98:T98)</f>
        <v/>
      </c>
    </row>
    <row r="99">
      <c r="A99" s="20" t="inlineStr">
        <is>
          <t>0644-0005</t>
        </is>
      </c>
      <c r="B99" s="21" t="inlineStr">
        <is>
          <t>Bakaya S.A.P.I.</t>
        </is>
      </c>
      <c r="C99" s="21" t="inlineStr">
        <is>
          <t>i118</t>
        </is>
      </c>
      <c r="D99" s="20" t="inlineStr">
        <is>
          <t>ACTIVO</t>
        </is>
      </c>
      <c r="E99" s="20" t="inlineStr">
        <is>
          <t>2025-12-10</t>
        </is>
      </c>
      <c r="F99" s="20" t="inlineStr">
        <is>
          <t>2028-12-10</t>
        </is>
      </c>
      <c r="G99" s="22" t="n">
        <v>36</v>
      </c>
      <c r="H99" s="23" t="n">
        <v>639620.6899999999</v>
      </c>
      <c r="I99" s="23">
        <f>IF(Amortizacion_Capital_Mensual!J99&gt;0, ROUND(633065.59 - Amortizacion_Capital_Mensual!J99, 2), "")</f>
        <v/>
      </c>
      <c r="J99" s="23">
        <f>IF(Amortizacion_Capital_Mensual!K99&gt;0, ROUND(I99 - Amortizacion_Capital_Mensual!K99, 2), "")</f>
        <v/>
      </c>
      <c r="K99" s="23">
        <f>IF(Amortizacion_Capital_Mensual!L99&gt;0, ROUND(J99 - Amortizacion_Capital_Mensual!L99, 2), "")</f>
        <v/>
      </c>
      <c r="L99" s="23">
        <f>IF(Amortizacion_Capital_Mensual!M99&gt;0, ROUND(K99 - Amortizacion_Capital_Mensual!M99, 2), "")</f>
        <v/>
      </c>
      <c r="M99" s="23">
        <f>IF(Amortizacion_Capital_Mensual!N99&gt;0, ROUND(L99 - Amortizacion_Capital_Mensual!N99, 2), "")</f>
        <v/>
      </c>
      <c r="N99" s="23">
        <f>IF(Amortizacion_Capital_Mensual!O99&gt;0, ROUND(M99 - Amortizacion_Capital_Mensual!O99, 2), "")</f>
        <v/>
      </c>
      <c r="O99" s="23">
        <f>IF(Amortizacion_Capital_Mensual!P99&gt;0, ROUND(N99 - Amortizacion_Capital_Mensual!P99, 2), "")</f>
        <v/>
      </c>
      <c r="P99" s="23">
        <f>IF(Amortizacion_Capital_Mensual!Q99&gt;0, ROUND(O99 - Amortizacion_Capital_Mensual!Q99, 2), "")</f>
        <v/>
      </c>
      <c r="Q99" s="23">
        <f>IF(Amortizacion_Capital_Mensual!R99&gt;0, ROUND(P99 - Amortizacion_Capital_Mensual!R99, 2), "")</f>
        <v/>
      </c>
      <c r="R99" s="23">
        <f>IF(Amortizacion_Capital_Mensual!S99&gt;0, ROUND(Q99 - Amortizacion_Capital_Mensual!S99, 2), "")</f>
        <v/>
      </c>
      <c r="S99" s="23">
        <f>IF(Amortizacion_Capital_Mensual!T99&gt;0, ROUND(R99 - Amortizacion_Capital_Mensual!T99, 2), "")</f>
        <v/>
      </c>
      <c r="T99" s="23">
        <f>IF(Amortizacion_Capital_Mensual!U99&gt;0, ROUND(S99 - Amortizacion_Capital_Mensual!U99, 2), "")</f>
        <v/>
      </c>
      <c r="U99" s="23">
        <f>MAX(I99:T99)</f>
        <v/>
      </c>
    </row>
    <row r="100">
      <c r="A100" s="26" t="inlineStr">
        <is>
          <t>0644-0006</t>
        </is>
      </c>
      <c r="B100" s="27" t="inlineStr">
        <is>
          <t>Bkaya S.A.P.I.</t>
        </is>
      </c>
      <c r="C100" s="27" t="inlineStr">
        <is>
          <t>Highlander XLE</t>
        </is>
      </c>
      <c r="D100" s="26" t="inlineStr">
        <is>
          <t>ACTIVO</t>
        </is>
      </c>
      <c r="E100" s="26" t="inlineStr">
        <is>
          <t>2026-02-25</t>
        </is>
      </c>
      <c r="F100" s="26" t="inlineStr">
        <is>
          <t>2029-02-25</t>
        </is>
      </c>
      <c r="G100" s="28" t="n">
        <v>36</v>
      </c>
      <c r="H100" s="29" t="n">
        <v>754162.0699999999</v>
      </c>
      <c r="I100" s="29" t="inlineStr"/>
      <c r="J100" s="29">
        <f>IF(Amortizacion_Capital_Mensual!K100&gt;0, ROUND($H100 - Amortizacion_Capital_Mensual!K100, 2), "")</f>
        <v/>
      </c>
      <c r="K100" s="29">
        <f>IF(Amortizacion_Capital_Mensual!L100&gt;0, ROUND(J100 - Amortizacion_Capital_Mensual!L100, 2), "")</f>
        <v/>
      </c>
      <c r="L100" s="29">
        <f>IF(Amortizacion_Capital_Mensual!M100&gt;0, ROUND(K100 - Amortizacion_Capital_Mensual!M100, 2), "")</f>
        <v/>
      </c>
      <c r="M100" s="29">
        <f>IF(Amortizacion_Capital_Mensual!N100&gt;0, ROUND(L100 - Amortizacion_Capital_Mensual!N100, 2), "")</f>
        <v/>
      </c>
      <c r="N100" s="29">
        <f>IF(Amortizacion_Capital_Mensual!O100&gt;0, ROUND(M100 - Amortizacion_Capital_Mensual!O100, 2), "")</f>
        <v/>
      </c>
      <c r="O100" s="29">
        <f>IF(Amortizacion_Capital_Mensual!P100&gt;0, ROUND(N100 - Amortizacion_Capital_Mensual!P100, 2), "")</f>
        <v/>
      </c>
      <c r="P100" s="29">
        <f>IF(Amortizacion_Capital_Mensual!Q100&gt;0, ROUND(O100 - Amortizacion_Capital_Mensual!Q100, 2), "")</f>
        <v/>
      </c>
      <c r="Q100" s="29">
        <f>IF(Amortizacion_Capital_Mensual!R100&gt;0, ROUND(P100 - Amortizacion_Capital_Mensual!R100, 2), "")</f>
        <v/>
      </c>
      <c r="R100" s="29">
        <f>IF(Amortizacion_Capital_Mensual!S100&gt;0, ROUND(Q100 - Amortizacion_Capital_Mensual!S100, 2), "")</f>
        <v/>
      </c>
      <c r="S100" s="29">
        <f>IF(Amortizacion_Capital_Mensual!T100&gt;0, ROUND(R100 - Amortizacion_Capital_Mensual!T100, 2), "")</f>
        <v/>
      </c>
      <c r="T100" s="29">
        <f>IF(Amortizacion_Capital_Mensual!U100&gt;0, ROUND(S100 - Amortizacion_Capital_Mensual!U100, 2), "")</f>
        <v/>
      </c>
      <c r="U100" s="29">
        <f>MAX(I100:T100)</f>
        <v/>
      </c>
    </row>
    <row r="101">
      <c r="A101" s="20" t="inlineStr">
        <is>
          <t>0645-0001</t>
        </is>
      </c>
      <c r="B101" s="21" t="inlineStr">
        <is>
          <t>Armando Duran Rubio</t>
        </is>
      </c>
      <c r="C101" s="21" t="inlineStr">
        <is>
          <t>Ram 1500 Bighorn</t>
        </is>
      </c>
      <c r="D101" s="20" t="inlineStr">
        <is>
          <t>ACTIVO</t>
        </is>
      </c>
      <c r="E101" s="20" t="inlineStr">
        <is>
          <t>2023-12-28</t>
        </is>
      </c>
      <c r="F101" s="20" t="inlineStr">
        <is>
          <t>2027-12-28</t>
        </is>
      </c>
      <c r="G101" s="22" t="n">
        <v>48</v>
      </c>
      <c r="H101" s="23" t="n">
        <v>665448.27</v>
      </c>
      <c r="I101" s="23">
        <f>IF(Amortizacion_Capital_Mensual!J101&gt;0, ROUND(495476.08 - Amortizacion_Capital_Mensual!J101, 2), "")</f>
        <v/>
      </c>
      <c r="J101" s="23">
        <f>IF(Amortizacion_Capital_Mensual!K101&gt;0, ROUND(I101 - Amortizacion_Capital_Mensual!K101, 2), "")</f>
        <v/>
      </c>
      <c r="K101" s="23">
        <f>IF(Amortizacion_Capital_Mensual!L101&gt;0, ROUND(J101 - Amortizacion_Capital_Mensual!L101, 2), "")</f>
        <v/>
      </c>
      <c r="L101" s="23">
        <f>IF(Amortizacion_Capital_Mensual!M101&gt;0, ROUND(K101 - Amortizacion_Capital_Mensual!M101, 2), "")</f>
        <v/>
      </c>
      <c r="M101" s="23">
        <f>IF(Amortizacion_Capital_Mensual!N101&gt;0, ROUND(L101 - Amortizacion_Capital_Mensual!N101, 2), "")</f>
        <v/>
      </c>
      <c r="N101" s="23">
        <f>IF(Amortizacion_Capital_Mensual!O101&gt;0, ROUND(M101 - Amortizacion_Capital_Mensual!O101, 2), "")</f>
        <v/>
      </c>
      <c r="O101" s="23">
        <f>IF(Amortizacion_Capital_Mensual!P101&gt;0, ROUND(N101 - Amortizacion_Capital_Mensual!P101, 2), "")</f>
        <v/>
      </c>
      <c r="P101" s="23">
        <f>IF(Amortizacion_Capital_Mensual!Q101&gt;0, ROUND(O101 - Amortizacion_Capital_Mensual!Q101, 2), "")</f>
        <v/>
      </c>
      <c r="Q101" s="23">
        <f>IF(Amortizacion_Capital_Mensual!R101&gt;0, ROUND(P101 - Amortizacion_Capital_Mensual!R101, 2), "")</f>
        <v/>
      </c>
      <c r="R101" s="23">
        <f>IF(Amortizacion_Capital_Mensual!S101&gt;0, ROUND(Q101 - Amortizacion_Capital_Mensual!S101, 2), "")</f>
        <v/>
      </c>
      <c r="S101" s="23">
        <f>IF(Amortizacion_Capital_Mensual!T101&gt;0, ROUND(R101 - Amortizacion_Capital_Mensual!T101, 2), "")</f>
        <v/>
      </c>
      <c r="T101" s="23">
        <f>IF(Amortizacion_Capital_Mensual!U101&gt;0, ROUND(S101 - Amortizacion_Capital_Mensual!U101, 2), "")</f>
        <v/>
      </c>
      <c r="U101" s="23">
        <f>MAX(I101:T101)</f>
        <v/>
      </c>
    </row>
    <row r="102">
      <c r="A102" s="26" t="inlineStr">
        <is>
          <t>0646-0001</t>
        </is>
      </c>
      <c r="B102" s="27" t="inlineStr">
        <is>
          <t>Liza Minerva Magallanes Reimers</t>
        </is>
      </c>
      <c r="C102" s="27" t="inlineStr">
        <is>
          <t>Wrangler</t>
        </is>
      </c>
      <c r="D102" s="26" t="inlineStr">
        <is>
          <t>ACTIVO</t>
        </is>
      </c>
      <c r="E102" s="26" t="inlineStr">
        <is>
          <t>2024-01-12</t>
        </is>
      </c>
      <c r="F102" s="26" t="inlineStr">
        <is>
          <t>2028-01-12</t>
        </is>
      </c>
      <c r="G102" s="28" t="n">
        <v>48</v>
      </c>
      <c r="H102" s="29" t="n">
        <v>784422.42</v>
      </c>
      <c r="I102" s="29">
        <f>IF(Amortizacion_Capital_Mensual!J102&gt;0, ROUND(604474.59 - Amortizacion_Capital_Mensual!J102, 2), "")</f>
        <v/>
      </c>
      <c r="J102" s="29">
        <f>IF(Amortizacion_Capital_Mensual!K102&gt;0, ROUND(I102 - Amortizacion_Capital_Mensual!K102, 2), "")</f>
        <v/>
      </c>
      <c r="K102" s="29">
        <f>IF(Amortizacion_Capital_Mensual!L102&gt;0, ROUND(J102 - Amortizacion_Capital_Mensual!L102, 2), "")</f>
        <v/>
      </c>
      <c r="L102" s="29">
        <f>IF(Amortizacion_Capital_Mensual!M102&gt;0, ROUND(K102 - Amortizacion_Capital_Mensual!M102, 2), "")</f>
        <v/>
      </c>
      <c r="M102" s="29">
        <f>IF(Amortizacion_Capital_Mensual!N102&gt;0, ROUND(L102 - Amortizacion_Capital_Mensual!N102, 2), "")</f>
        <v/>
      </c>
      <c r="N102" s="29">
        <f>IF(Amortizacion_Capital_Mensual!O102&gt;0, ROUND(M102 - Amortizacion_Capital_Mensual!O102, 2), "")</f>
        <v/>
      </c>
      <c r="O102" s="29">
        <f>IF(Amortizacion_Capital_Mensual!P102&gt;0, ROUND(N102 - Amortizacion_Capital_Mensual!P102, 2), "")</f>
        <v/>
      </c>
      <c r="P102" s="29">
        <f>IF(Amortizacion_Capital_Mensual!Q102&gt;0, ROUND(O102 - Amortizacion_Capital_Mensual!Q102, 2), "")</f>
        <v/>
      </c>
      <c r="Q102" s="29">
        <f>IF(Amortizacion_Capital_Mensual!R102&gt;0, ROUND(P102 - Amortizacion_Capital_Mensual!R102, 2), "")</f>
        <v/>
      </c>
      <c r="R102" s="29">
        <f>IF(Amortizacion_Capital_Mensual!S102&gt;0, ROUND(Q102 - Amortizacion_Capital_Mensual!S102, 2), "")</f>
        <v/>
      </c>
      <c r="S102" s="29">
        <f>IF(Amortizacion_Capital_Mensual!T102&gt;0, ROUND(R102 - Amortizacion_Capital_Mensual!T102, 2), "")</f>
        <v/>
      </c>
      <c r="T102" s="29">
        <f>IF(Amortizacion_Capital_Mensual!U102&gt;0, ROUND(S102 - Amortizacion_Capital_Mensual!U102, 2), "")</f>
        <v/>
      </c>
      <c r="U102" s="29">
        <f>MAX(I102:T102)</f>
        <v/>
      </c>
    </row>
    <row r="103">
      <c r="A103" s="20" t="inlineStr">
        <is>
          <t>0647-0001</t>
        </is>
      </c>
      <c r="B103" s="21" t="inlineStr">
        <is>
          <t>Cibara Gourmet S de Rl de Cv</t>
        </is>
      </c>
      <c r="C103" s="21" t="inlineStr">
        <is>
          <t>Partner Maxi</t>
        </is>
      </c>
      <c r="D103" s="20" t="inlineStr">
        <is>
          <t>ACTIVO</t>
        </is>
      </c>
      <c r="E103" s="20" t="inlineStr">
        <is>
          <t>2024-01-10</t>
        </is>
      </c>
      <c r="F103" s="20" t="inlineStr">
        <is>
          <t>2027-01-10</t>
        </is>
      </c>
      <c r="G103" s="22" t="n">
        <v>36</v>
      </c>
      <c r="H103" s="23" t="n">
        <v>302000</v>
      </c>
      <c r="I103" s="23">
        <f>IF(Amortizacion_Capital_Mensual!J103&gt;0, ROUND(179988.84 - Amortizacion_Capital_Mensual!J103, 2), "")</f>
        <v/>
      </c>
      <c r="J103" s="23">
        <f>IF(Amortizacion_Capital_Mensual!K103&gt;0, ROUND(I103 - Amortizacion_Capital_Mensual!K103, 2), "")</f>
        <v/>
      </c>
      <c r="K103" s="23">
        <f>IF(Amortizacion_Capital_Mensual!L103&gt;0, ROUND(J103 - Amortizacion_Capital_Mensual!L103, 2), "")</f>
        <v/>
      </c>
      <c r="L103" s="23">
        <f>IF(Amortizacion_Capital_Mensual!M103&gt;0, ROUND(K103 - Amortizacion_Capital_Mensual!M103, 2), "")</f>
        <v/>
      </c>
      <c r="M103" s="23">
        <f>IF(Amortizacion_Capital_Mensual!N103&gt;0, ROUND(L103 - Amortizacion_Capital_Mensual!N103, 2), "")</f>
        <v/>
      </c>
      <c r="N103" s="23">
        <f>IF(Amortizacion_Capital_Mensual!O103&gt;0, ROUND(M103 - Amortizacion_Capital_Mensual!O103, 2), "")</f>
        <v/>
      </c>
      <c r="O103" s="23">
        <f>IF(Amortizacion_Capital_Mensual!P103&gt;0, ROUND(N103 - Amortizacion_Capital_Mensual!P103, 2), "")</f>
        <v/>
      </c>
      <c r="P103" s="23">
        <f>IF(Amortizacion_Capital_Mensual!Q103&gt;0, ROUND(O103 - Amortizacion_Capital_Mensual!Q103, 2), "")</f>
        <v/>
      </c>
      <c r="Q103" s="23">
        <f>IF(Amortizacion_Capital_Mensual!R103&gt;0, ROUND(P103 - Amortizacion_Capital_Mensual!R103, 2), "")</f>
        <v/>
      </c>
      <c r="R103" s="23">
        <f>IF(Amortizacion_Capital_Mensual!S103&gt;0, ROUND(Q103 - Amortizacion_Capital_Mensual!S103, 2), "")</f>
        <v/>
      </c>
      <c r="S103" s="23">
        <f>IF(Amortizacion_Capital_Mensual!T103&gt;0, ROUND(R103 - Amortizacion_Capital_Mensual!T103, 2), "")</f>
        <v/>
      </c>
      <c r="T103" s="23">
        <f>IF(Amortizacion_Capital_Mensual!U103&gt;0, ROUND(S103 - Amortizacion_Capital_Mensual!U103, 2), "")</f>
        <v/>
      </c>
      <c r="U103" s="23">
        <f>MAX(I103:T103)</f>
        <v/>
      </c>
    </row>
    <row r="104">
      <c r="A104" s="26" t="inlineStr">
        <is>
          <t>0647-0002</t>
        </is>
      </c>
      <c r="B104" s="27" t="inlineStr">
        <is>
          <t>Cibara Gourmet S de Rl de Cv</t>
        </is>
      </c>
      <c r="C104" s="27" t="inlineStr">
        <is>
          <t>Rifter Allure Pack</t>
        </is>
      </c>
      <c r="D104" s="26" t="inlineStr">
        <is>
          <t>ACTIVO</t>
        </is>
      </c>
      <c r="E104" s="26" t="inlineStr">
        <is>
          <t>2024-08-14</t>
        </is>
      </c>
      <c r="F104" s="26" t="inlineStr">
        <is>
          <t>2027-08-14</t>
        </is>
      </c>
      <c r="G104" s="28" t="n">
        <v>36</v>
      </c>
      <c r="H104" s="29" t="n">
        <v>384068.97</v>
      </c>
      <c r="I104" s="29">
        <f>IF(Amortizacion_Capital_Mensual!J104&gt;0, ROUND(266693.16 - Amortizacion_Capital_Mensual!J104, 2), "")</f>
        <v/>
      </c>
      <c r="J104" s="29">
        <f>IF(Amortizacion_Capital_Mensual!K104&gt;0, ROUND(I104 - Amortizacion_Capital_Mensual!K104, 2), "")</f>
        <v/>
      </c>
      <c r="K104" s="29">
        <f>IF(Amortizacion_Capital_Mensual!L104&gt;0, ROUND(J104 - Amortizacion_Capital_Mensual!L104, 2), "")</f>
        <v/>
      </c>
      <c r="L104" s="29">
        <f>IF(Amortizacion_Capital_Mensual!M104&gt;0, ROUND(K104 - Amortizacion_Capital_Mensual!M104, 2), "")</f>
        <v/>
      </c>
      <c r="M104" s="29">
        <f>IF(Amortizacion_Capital_Mensual!N104&gt;0, ROUND(L104 - Amortizacion_Capital_Mensual!N104, 2), "")</f>
        <v/>
      </c>
      <c r="N104" s="29">
        <f>IF(Amortizacion_Capital_Mensual!O104&gt;0, ROUND(M104 - Amortizacion_Capital_Mensual!O104, 2), "")</f>
        <v/>
      </c>
      <c r="O104" s="29">
        <f>IF(Amortizacion_Capital_Mensual!P104&gt;0, ROUND(N104 - Amortizacion_Capital_Mensual!P104, 2), "")</f>
        <v/>
      </c>
      <c r="P104" s="29">
        <f>IF(Amortizacion_Capital_Mensual!Q104&gt;0, ROUND(O104 - Amortizacion_Capital_Mensual!Q104, 2), "")</f>
        <v/>
      </c>
      <c r="Q104" s="29">
        <f>IF(Amortizacion_Capital_Mensual!R104&gt;0, ROUND(P104 - Amortizacion_Capital_Mensual!R104, 2), "")</f>
        <v/>
      </c>
      <c r="R104" s="29">
        <f>IF(Amortizacion_Capital_Mensual!S104&gt;0, ROUND(Q104 - Amortizacion_Capital_Mensual!S104, 2), "")</f>
        <v/>
      </c>
      <c r="S104" s="29">
        <f>IF(Amortizacion_Capital_Mensual!T104&gt;0, ROUND(R104 - Amortizacion_Capital_Mensual!T104, 2), "")</f>
        <v/>
      </c>
      <c r="T104" s="29">
        <f>IF(Amortizacion_Capital_Mensual!U104&gt;0, ROUND(S104 - Amortizacion_Capital_Mensual!U104, 2), "")</f>
        <v/>
      </c>
      <c r="U104" s="29">
        <f>MAX(I104:T104)</f>
        <v/>
      </c>
    </row>
    <row r="105">
      <c r="A105" s="20" t="inlineStr">
        <is>
          <t>0647-0003</t>
        </is>
      </c>
      <c r="B105" s="21" t="inlineStr">
        <is>
          <t>Cibaria Gourmet S de Rl de Cv</t>
        </is>
      </c>
      <c r="C105" s="21" t="inlineStr">
        <is>
          <t>1200 Bighorn</t>
        </is>
      </c>
      <c r="D105" s="20" t="inlineStr">
        <is>
          <t>ACTIVO</t>
        </is>
      </c>
      <c r="E105" s="20" t="inlineStr">
        <is>
          <t>2026-06-30</t>
        </is>
      </c>
      <c r="F105" s="20" t="inlineStr">
        <is>
          <t>2029-06-30</t>
        </is>
      </c>
      <c r="G105" s="22" t="n">
        <v>36</v>
      </c>
      <c r="H105" s="23" t="n">
        <v>393752.1</v>
      </c>
      <c r="I105" s="23" t="inlineStr"/>
      <c r="J105" s="23" t="inlineStr"/>
      <c r="K105" s="23" t="inlineStr"/>
      <c r="L105" s="23" t="inlineStr"/>
      <c r="M105" s="23" t="inlineStr"/>
      <c r="N105" s="23">
        <f>IF(Amortizacion_Capital_Mensual!O105&gt;0, ROUND($H105 - Amortizacion_Capital_Mensual!O105, 2), "")</f>
        <v/>
      </c>
      <c r="O105" s="23">
        <f>IF(Amortizacion_Capital_Mensual!P105&gt;0, ROUND(N105 - Amortizacion_Capital_Mensual!P105, 2), "")</f>
        <v/>
      </c>
      <c r="P105" s="23">
        <f>IF(Amortizacion_Capital_Mensual!Q105&gt;0, ROUND(O105 - Amortizacion_Capital_Mensual!Q105, 2), "")</f>
        <v/>
      </c>
      <c r="Q105" s="23">
        <f>IF(Amortizacion_Capital_Mensual!R105&gt;0, ROUND(P105 - Amortizacion_Capital_Mensual!R105, 2), "")</f>
        <v/>
      </c>
      <c r="R105" s="23">
        <f>IF(Amortizacion_Capital_Mensual!S105&gt;0, ROUND(Q105 - Amortizacion_Capital_Mensual!S105, 2), "")</f>
        <v/>
      </c>
      <c r="S105" s="23">
        <f>IF(Amortizacion_Capital_Mensual!T105&gt;0, ROUND(R105 - Amortizacion_Capital_Mensual!T105, 2), "")</f>
        <v/>
      </c>
      <c r="T105" s="23">
        <f>IF(Amortizacion_Capital_Mensual!U105&gt;0, ROUND(S105 - Amortizacion_Capital_Mensual!U105, 2), "")</f>
        <v/>
      </c>
      <c r="U105" s="23">
        <f>MAX(I105:T105)</f>
        <v/>
      </c>
    </row>
    <row r="106">
      <c r="A106" s="26" t="inlineStr">
        <is>
          <t>0647-0004</t>
        </is>
      </c>
      <c r="B106" s="27" t="inlineStr">
        <is>
          <t>Cibaria Gourmet S de Rl de Cv</t>
        </is>
      </c>
      <c r="C106" s="27" t="inlineStr">
        <is>
          <t>1200 Bighorn</t>
        </is>
      </c>
      <c r="D106" s="26" t="inlineStr">
        <is>
          <t>ACTIVO</t>
        </is>
      </c>
      <c r="E106" s="26" t="inlineStr">
        <is>
          <t>2026-06-30</t>
        </is>
      </c>
      <c r="F106" s="26" t="inlineStr">
        <is>
          <t>2029-06-30</t>
        </is>
      </c>
      <c r="G106" s="28" t="n">
        <v>36</v>
      </c>
      <c r="H106" s="29" t="n">
        <v>393752.1</v>
      </c>
      <c r="I106" s="29" t="inlineStr"/>
      <c r="J106" s="29" t="inlineStr"/>
      <c r="K106" s="29" t="inlineStr"/>
      <c r="L106" s="29" t="inlineStr"/>
      <c r="M106" s="29" t="inlineStr"/>
      <c r="N106" s="29">
        <f>IF(Amortizacion_Capital_Mensual!O106&gt;0, ROUND($H106 - Amortizacion_Capital_Mensual!O106, 2), "")</f>
        <v/>
      </c>
      <c r="O106" s="29">
        <f>IF(Amortizacion_Capital_Mensual!P106&gt;0, ROUND(N106 - Amortizacion_Capital_Mensual!P106, 2), "")</f>
        <v/>
      </c>
      <c r="P106" s="29">
        <f>IF(Amortizacion_Capital_Mensual!Q106&gt;0, ROUND(O106 - Amortizacion_Capital_Mensual!Q106, 2), "")</f>
        <v/>
      </c>
      <c r="Q106" s="29">
        <f>IF(Amortizacion_Capital_Mensual!R106&gt;0, ROUND(P106 - Amortizacion_Capital_Mensual!R106, 2), "")</f>
        <v/>
      </c>
      <c r="R106" s="29">
        <f>IF(Amortizacion_Capital_Mensual!S106&gt;0, ROUND(Q106 - Amortizacion_Capital_Mensual!S106, 2), "")</f>
        <v/>
      </c>
      <c r="S106" s="29">
        <f>IF(Amortizacion_Capital_Mensual!T106&gt;0, ROUND(R106 - Amortizacion_Capital_Mensual!T106, 2), "")</f>
        <v/>
      </c>
      <c r="T106" s="29">
        <f>IF(Amortizacion_Capital_Mensual!U106&gt;0, ROUND(S106 - Amortizacion_Capital_Mensual!U106, 2), "")</f>
        <v/>
      </c>
      <c r="U106" s="29">
        <f>MAX(I106:T106)</f>
        <v/>
      </c>
    </row>
    <row r="107">
      <c r="A107" s="20" t="inlineStr">
        <is>
          <t>0648-0002</t>
        </is>
      </c>
      <c r="B107" s="21" t="inlineStr">
        <is>
          <t>Jorge Luis Cervantes Gonzalez</t>
        </is>
      </c>
      <c r="C107" s="21" t="inlineStr">
        <is>
          <t>Wagoneer</t>
        </is>
      </c>
      <c r="D107" s="20" t="inlineStr">
        <is>
          <t>ACTIVO</t>
        </is>
      </c>
      <c r="E107" s="20" t="inlineStr">
        <is>
          <t>2024-03-20</t>
        </is>
      </c>
      <c r="F107" s="20" t="inlineStr">
        <is>
          <t>2028-03-20</t>
        </is>
      </c>
      <c r="G107" s="22" t="n">
        <v>48</v>
      </c>
      <c r="H107" s="23" t="n">
        <v>1163387.93</v>
      </c>
      <c r="I107" s="23">
        <f>IF(Amortizacion_Capital_Mensual!J107&gt;0, ROUND(930229.79 - Amortizacion_Capital_Mensual!J107, 2), "")</f>
        <v/>
      </c>
      <c r="J107" s="23">
        <f>IF(Amortizacion_Capital_Mensual!K107&gt;0, ROUND(I107 - Amortizacion_Capital_Mensual!K107, 2), "")</f>
        <v/>
      </c>
      <c r="K107" s="23">
        <f>IF(Amortizacion_Capital_Mensual!L107&gt;0, ROUND(J107 - Amortizacion_Capital_Mensual!L107, 2), "")</f>
        <v/>
      </c>
      <c r="L107" s="23">
        <f>IF(Amortizacion_Capital_Mensual!M107&gt;0, ROUND(K107 - Amortizacion_Capital_Mensual!M107, 2), "")</f>
        <v/>
      </c>
      <c r="M107" s="23">
        <f>IF(Amortizacion_Capital_Mensual!N107&gt;0, ROUND(L107 - Amortizacion_Capital_Mensual!N107, 2), "")</f>
        <v/>
      </c>
      <c r="N107" s="23">
        <f>IF(Amortizacion_Capital_Mensual!O107&gt;0, ROUND(M107 - Amortizacion_Capital_Mensual!O107, 2), "")</f>
        <v/>
      </c>
      <c r="O107" s="23">
        <f>IF(Amortizacion_Capital_Mensual!P107&gt;0, ROUND(N107 - Amortizacion_Capital_Mensual!P107, 2), "")</f>
        <v/>
      </c>
      <c r="P107" s="23">
        <f>IF(Amortizacion_Capital_Mensual!Q107&gt;0, ROUND(O107 - Amortizacion_Capital_Mensual!Q107, 2), "")</f>
        <v/>
      </c>
      <c r="Q107" s="23">
        <f>IF(Amortizacion_Capital_Mensual!R107&gt;0, ROUND(P107 - Amortizacion_Capital_Mensual!R107, 2), "")</f>
        <v/>
      </c>
      <c r="R107" s="23">
        <f>IF(Amortizacion_Capital_Mensual!S107&gt;0, ROUND(Q107 - Amortizacion_Capital_Mensual!S107, 2), "")</f>
        <v/>
      </c>
      <c r="S107" s="23">
        <f>IF(Amortizacion_Capital_Mensual!T107&gt;0, ROUND(R107 - Amortizacion_Capital_Mensual!T107, 2), "")</f>
        <v/>
      </c>
      <c r="T107" s="23">
        <f>IF(Amortizacion_Capital_Mensual!U107&gt;0, ROUND(S107 - Amortizacion_Capital_Mensual!U107, 2), "")</f>
        <v/>
      </c>
      <c r="U107" s="23">
        <f>MAX(I107:T107)</f>
        <v/>
      </c>
    </row>
    <row r="108">
      <c r="A108" s="26" t="inlineStr">
        <is>
          <t>0648-0003</t>
        </is>
      </c>
      <c r="B108" s="27" t="inlineStr">
        <is>
          <t>Jorge Luis Cervantes Gonzalez</t>
        </is>
      </c>
      <c r="C108" s="27" t="inlineStr">
        <is>
          <t>Wrangler Tuscadero</t>
        </is>
      </c>
      <c r="D108" s="26" t="inlineStr">
        <is>
          <t>ACTIVO</t>
        </is>
      </c>
      <c r="E108" s="26" t="inlineStr">
        <is>
          <t>2024-07-30</t>
        </is>
      </c>
      <c r="F108" s="26" t="inlineStr">
        <is>
          <t>2028-07-30</t>
        </is>
      </c>
      <c r="G108" s="28" t="n">
        <v>48</v>
      </c>
      <c r="H108" s="29" t="n">
        <v>1097767.24</v>
      </c>
      <c r="I108" s="29">
        <f>IF(Amortizacion_Capital_Mensual!J108&gt;0, ROUND(912243.27 - Amortizacion_Capital_Mensual!J108, 2), "")</f>
        <v/>
      </c>
      <c r="J108" s="29">
        <f>IF(Amortizacion_Capital_Mensual!K108&gt;0, ROUND(I108 - Amortizacion_Capital_Mensual!K108, 2), "")</f>
        <v/>
      </c>
      <c r="K108" s="29">
        <f>IF(Amortizacion_Capital_Mensual!L108&gt;0, ROUND(J108 - Amortizacion_Capital_Mensual!L108, 2), "")</f>
        <v/>
      </c>
      <c r="L108" s="29">
        <f>IF(Amortizacion_Capital_Mensual!M108&gt;0, ROUND(K108 - Amortizacion_Capital_Mensual!M108, 2), "")</f>
        <v/>
      </c>
      <c r="M108" s="29">
        <f>IF(Amortizacion_Capital_Mensual!N108&gt;0, ROUND(L108 - Amortizacion_Capital_Mensual!N108, 2), "")</f>
        <v/>
      </c>
      <c r="N108" s="29">
        <f>IF(Amortizacion_Capital_Mensual!O108&gt;0, ROUND(M108 - Amortizacion_Capital_Mensual!O108, 2), "")</f>
        <v/>
      </c>
      <c r="O108" s="29">
        <f>IF(Amortizacion_Capital_Mensual!P108&gt;0, ROUND(N108 - Amortizacion_Capital_Mensual!P108, 2), "")</f>
        <v/>
      </c>
      <c r="P108" s="29">
        <f>IF(Amortizacion_Capital_Mensual!Q108&gt;0, ROUND(O108 - Amortizacion_Capital_Mensual!Q108, 2), "")</f>
        <v/>
      </c>
      <c r="Q108" s="29">
        <f>IF(Amortizacion_Capital_Mensual!R108&gt;0, ROUND(P108 - Amortizacion_Capital_Mensual!R108, 2), "")</f>
        <v/>
      </c>
      <c r="R108" s="29">
        <f>IF(Amortizacion_Capital_Mensual!S108&gt;0, ROUND(Q108 - Amortizacion_Capital_Mensual!S108, 2), "")</f>
        <v/>
      </c>
      <c r="S108" s="29">
        <f>IF(Amortizacion_Capital_Mensual!T108&gt;0, ROUND(R108 - Amortizacion_Capital_Mensual!T108, 2), "")</f>
        <v/>
      </c>
      <c r="T108" s="29">
        <f>IF(Amortizacion_Capital_Mensual!U108&gt;0, ROUND(S108 - Amortizacion_Capital_Mensual!U108, 2), "")</f>
        <v/>
      </c>
      <c r="U108" s="29">
        <f>MAX(I108:T108)</f>
        <v/>
      </c>
    </row>
    <row r="109">
      <c r="A109" s="20" t="inlineStr">
        <is>
          <t>0648-0004</t>
        </is>
      </c>
      <c r="B109" s="21" t="inlineStr">
        <is>
          <t>Jorge Luis Cervantes Gonzalez</t>
        </is>
      </c>
      <c r="C109" s="21" t="inlineStr">
        <is>
          <t>JEEP 392</t>
        </is>
      </c>
      <c r="D109" s="20" t="inlineStr">
        <is>
          <t>ACTIVO</t>
        </is>
      </c>
      <c r="E109" s="20" t="inlineStr">
        <is>
          <t>2025-11-13</t>
        </is>
      </c>
      <c r="F109" s="20" t="inlineStr">
        <is>
          <t>2028-11-13</t>
        </is>
      </c>
      <c r="G109" s="22" t="n">
        <v>36</v>
      </c>
      <c r="H109" s="23" t="n">
        <v>1681215.52</v>
      </c>
      <c r="I109" s="23">
        <f>IF(Amortizacion_Capital_Mensual!J109&gt;0, ROUND(1636441.76 - Amortizacion_Capital_Mensual!J109, 2), "")</f>
        <v/>
      </c>
      <c r="J109" s="23">
        <f>IF(Amortizacion_Capital_Mensual!K109&gt;0, ROUND(I109 - Amortizacion_Capital_Mensual!K109, 2), "")</f>
        <v/>
      </c>
      <c r="K109" s="23">
        <f>IF(Amortizacion_Capital_Mensual!L109&gt;0, ROUND(J109 - Amortizacion_Capital_Mensual!L109, 2), "")</f>
        <v/>
      </c>
      <c r="L109" s="23">
        <f>IF(Amortizacion_Capital_Mensual!M109&gt;0, ROUND(K109 - Amortizacion_Capital_Mensual!M109, 2), "")</f>
        <v/>
      </c>
      <c r="M109" s="23">
        <f>IF(Amortizacion_Capital_Mensual!N109&gt;0, ROUND(L109 - Amortizacion_Capital_Mensual!N109, 2), "")</f>
        <v/>
      </c>
      <c r="N109" s="23">
        <f>IF(Amortizacion_Capital_Mensual!O109&gt;0, ROUND(M109 - Amortizacion_Capital_Mensual!O109, 2), "")</f>
        <v/>
      </c>
      <c r="O109" s="23">
        <f>IF(Amortizacion_Capital_Mensual!P109&gt;0, ROUND(N109 - Amortizacion_Capital_Mensual!P109, 2), "")</f>
        <v/>
      </c>
      <c r="P109" s="23">
        <f>IF(Amortizacion_Capital_Mensual!Q109&gt;0, ROUND(O109 - Amortizacion_Capital_Mensual!Q109, 2), "")</f>
        <v/>
      </c>
      <c r="Q109" s="23">
        <f>IF(Amortizacion_Capital_Mensual!R109&gt;0, ROUND(P109 - Amortizacion_Capital_Mensual!R109, 2), "")</f>
        <v/>
      </c>
      <c r="R109" s="23">
        <f>IF(Amortizacion_Capital_Mensual!S109&gt;0, ROUND(Q109 - Amortizacion_Capital_Mensual!S109, 2), "")</f>
        <v/>
      </c>
      <c r="S109" s="23">
        <f>IF(Amortizacion_Capital_Mensual!T109&gt;0, ROUND(R109 - Amortizacion_Capital_Mensual!T109, 2), "")</f>
        <v/>
      </c>
      <c r="T109" s="23">
        <f>IF(Amortizacion_Capital_Mensual!U109&gt;0, ROUND(S109 - Amortizacion_Capital_Mensual!U109, 2), "")</f>
        <v/>
      </c>
      <c r="U109" s="23">
        <f>MAX(I109:T109)</f>
        <v/>
      </c>
    </row>
    <row r="110">
      <c r="A110" s="26" t="inlineStr">
        <is>
          <t>0648-0005</t>
        </is>
      </c>
      <c r="B110" s="27" t="inlineStr">
        <is>
          <t>Jorge Luis Cervantes Gonzalez</t>
        </is>
      </c>
      <c r="C110" s="27" t="inlineStr">
        <is>
          <t>1500 RHO</t>
        </is>
      </c>
      <c r="D110" s="26" t="inlineStr">
        <is>
          <t>ACTIVO</t>
        </is>
      </c>
      <c r="E110" s="26" t="inlineStr">
        <is>
          <t>2026-01-30</t>
        </is>
      </c>
      <c r="F110" s="26" t="inlineStr">
        <is>
          <t>2029-01-30</t>
        </is>
      </c>
      <c r="G110" s="28" t="n">
        <v>36</v>
      </c>
      <c r="H110" s="29" t="n">
        <v>1807758.62</v>
      </c>
      <c r="I110" s="29">
        <f>IF(Amortizacion_Capital_Mensual!J110&gt;0, ROUND($H110 - Amortizacion_Capital_Mensual!J110, 2), "")</f>
        <v/>
      </c>
      <c r="J110" s="29">
        <f>IF(Amortizacion_Capital_Mensual!K110&gt;0, ROUND(I110 - Amortizacion_Capital_Mensual!K110, 2), "")</f>
        <v/>
      </c>
      <c r="K110" s="29">
        <f>IF(Amortizacion_Capital_Mensual!L110&gt;0, ROUND(J110 - Amortizacion_Capital_Mensual!L110, 2), "")</f>
        <v/>
      </c>
      <c r="L110" s="29">
        <f>IF(Amortizacion_Capital_Mensual!M110&gt;0, ROUND(K110 - Amortizacion_Capital_Mensual!M110, 2), "")</f>
        <v/>
      </c>
      <c r="M110" s="29">
        <f>IF(Amortizacion_Capital_Mensual!N110&gt;0, ROUND(L110 - Amortizacion_Capital_Mensual!N110, 2), "")</f>
        <v/>
      </c>
      <c r="N110" s="29">
        <f>IF(Amortizacion_Capital_Mensual!O110&gt;0, ROUND(M110 - Amortizacion_Capital_Mensual!O110, 2), "")</f>
        <v/>
      </c>
      <c r="O110" s="29">
        <f>IF(Amortizacion_Capital_Mensual!P110&gt;0, ROUND(N110 - Amortizacion_Capital_Mensual!P110, 2), "")</f>
        <v/>
      </c>
      <c r="P110" s="29">
        <f>IF(Amortizacion_Capital_Mensual!Q110&gt;0, ROUND(O110 - Amortizacion_Capital_Mensual!Q110, 2), "")</f>
        <v/>
      </c>
      <c r="Q110" s="29">
        <f>IF(Amortizacion_Capital_Mensual!R110&gt;0, ROUND(P110 - Amortizacion_Capital_Mensual!R110, 2), "")</f>
        <v/>
      </c>
      <c r="R110" s="29">
        <f>IF(Amortizacion_Capital_Mensual!S110&gt;0, ROUND(Q110 - Amortizacion_Capital_Mensual!S110, 2), "")</f>
        <v/>
      </c>
      <c r="S110" s="29">
        <f>IF(Amortizacion_Capital_Mensual!T110&gt;0, ROUND(R110 - Amortizacion_Capital_Mensual!T110, 2), "")</f>
        <v/>
      </c>
      <c r="T110" s="29">
        <f>IF(Amortizacion_Capital_Mensual!U110&gt;0, ROUND(S110 - Amortizacion_Capital_Mensual!U110, 2), "")</f>
        <v/>
      </c>
      <c r="U110" s="29">
        <f>MAX(I110:T110)</f>
        <v/>
      </c>
    </row>
    <row r="111">
      <c r="A111" s="20" t="inlineStr">
        <is>
          <t>0648-0006</t>
        </is>
      </c>
      <c r="B111" s="21" t="inlineStr">
        <is>
          <t>Jorge Luis Cervantes Gonzalez</t>
        </is>
      </c>
      <c r="C111" s="21" t="inlineStr">
        <is>
          <t>Durango Hellcat SRT</t>
        </is>
      </c>
      <c r="D111" s="20" t="inlineStr">
        <is>
          <t>ACTIVO</t>
        </is>
      </c>
      <c r="E111" s="20" t="inlineStr">
        <is>
          <t>2026-04-01</t>
        </is>
      </c>
      <c r="F111" s="20" t="inlineStr">
        <is>
          <t>2029-04-01</t>
        </is>
      </c>
      <c r="G111" s="22" t="n">
        <v>36</v>
      </c>
      <c r="H111" s="23" t="n">
        <v>1687422.41</v>
      </c>
      <c r="I111" s="23" t="inlineStr"/>
      <c r="J111" s="23" t="inlineStr"/>
      <c r="K111" s="23" t="inlineStr"/>
      <c r="L111" s="23">
        <f>IF(Amortizacion_Capital_Mensual!M111&gt;0, ROUND($H111 - Amortizacion_Capital_Mensual!M111, 2), "")</f>
        <v/>
      </c>
      <c r="M111" s="23">
        <f>IF(Amortizacion_Capital_Mensual!N111&gt;0, ROUND(L111 - Amortizacion_Capital_Mensual!N111, 2), "")</f>
        <v/>
      </c>
      <c r="N111" s="23">
        <f>IF(Amortizacion_Capital_Mensual!O111&gt;0, ROUND(M111 - Amortizacion_Capital_Mensual!O111, 2), "")</f>
        <v/>
      </c>
      <c r="O111" s="23">
        <f>IF(Amortizacion_Capital_Mensual!P111&gt;0, ROUND(N111 - Amortizacion_Capital_Mensual!P111, 2), "")</f>
        <v/>
      </c>
      <c r="P111" s="23">
        <f>IF(Amortizacion_Capital_Mensual!Q111&gt;0, ROUND(O111 - Amortizacion_Capital_Mensual!Q111, 2), "")</f>
        <v/>
      </c>
      <c r="Q111" s="23">
        <f>IF(Amortizacion_Capital_Mensual!R111&gt;0, ROUND(P111 - Amortizacion_Capital_Mensual!R111, 2), "")</f>
        <v/>
      </c>
      <c r="R111" s="23">
        <f>IF(Amortizacion_Capital_Mensual!S111&gt;0, ROUND(Q111 - Amortizacion_Capital_Mensual!S111, 2), "")</f>
        <v/>
      </c>
      <c r="S111" s="23">
        <f>IF(Amortizacion_Capital_Mensual!T111&gt;0, ROUND(R111 - Amortizacion_Capital_Mensual!T111, 2), "")</f>
        <v/>
      </c>
      <c r="T111" s="23">
        <f>IF(Amortizacion_Capital_Mensual!U111&gt;0, ROUND(S111 - Amortizacion_Capital_Mensual!U111, 2), "")</f>
        <v/>
      </c>
      <c r="U111" s="23">
        <f>MAX(I111:T111)</f>
        <v/>
      </c>
    </row>
    <row r="112">
      <c r="A112" s="26" t="inlineStr">
        <is>
          <t>0649-0001</t>
        </is>
      </c>
      <c r="B112" s="27" t="inlineStr">
        <is>
          <t>Compusoluciones Y Asociados Sa de Cv</t>
        </is>
      </c>
      <c r="C112" s="27" t="inlineStr">
        <is>
          <t>CX-30</t>
        </is>
      </c>
      <c r="D112" s="26" t="inlineStr">
        <is>
          <t>ACTIVO</t>
        </is>
      </c>
      <c r="E112" s="26" t="inlineStr">
        <is>
          <t>2024-02-27</t>
        </is>
      </c>
      <c r="F112" s="26" t="inlineStr">
        <is>
          <t>2028-02-27</t>
        </is>
      </c>
      <c r="G112" s="28" t="n">
        <v>48</v>
      </c>
      <c r="H112" s="29" t="n">
        <v>305284.48</v>
      </c>
      <c r="I112" s="29">
        <f>IF(Amortizacion_Capital_Mensual!J112&gt;0, ROUND(248897.1 - Amortizacion_Capital_Mensual!J112, 2), "")</f>
        <v/>
      </c>
      <c r="J112" s="29">
        <f>IF(Amortizacion_Capital_Mensual!K112&gt;0, ROUND(I112 - Amortizacion_Capital_Mensual!K112, 2), "")</f>
        <v/>
      </c>
      <c r="K112" s="29">
        <f>IF(Amortizacion_Capital_Mensual!L112&gt;0, ROUND(J112 - Amortizacion_Capital_Mensual!L112, 2), "")</f>
        <v/>
      </c>
      <c r="L112" s="29">
        <f>IF(Amortizacion_Capital_Mensual!M112&gt;0, ROUND(K112 - Amortizacion_Capital_Mensual!M112, 2), "")</f>
        <v/>
      </c>
      <c r="M112" s="29">
        <f>IF(Amortizacion_Capital_Mensual!N112&gt;0, ROUND(L112 - Amortizacion_Capital_Mensual!N112, 2), "")</f>
        <v/>
      </c>
      <c r="N112" s="29">
        <f>IF(Amortizacion_Capital_Mensual!O112&gt;0, ROUND(M112 - Amortizacion_Capital_Mensual!O112, 2), "")</f>
        <v/>
      </c>
      <c r="O112" s="29">
        <f>IF(Amortizacion_Capital_Mensual!P112&gt;0, ROUND(N112 - Amortizacion_Capital_Mensual!P112, 2), "")</f>
        <v/>
      </c>
      <c r="P112" s="29">
        <f>IF(Amortizacion_Capital_Mensual!Q112&gt;0, ROUND(O112 - Amortizacion_Capital_Mensual!Q112, 2), "")</f>
        <v/>
      </c>
      <c r="Q112" s="29">
        <f>IF(Amortizacion_Capital_Mensual!R112&gt;0, ROUND(P112 - Amortizacion_Capital_Mensual!R112, 2), "")</f>
        <v/>
      </c>
      <c r="R112" s="29">
        <f>IF(Amortizacion_Capital_Mensual!S112&gt;0, ROUND(Q112 - Amortizacion_Capital_Mensual!S112, 2), "")</f>
        <v/>
      </c>
      <c r="S112" s="29">
        <f>IF(Amortizacion_Capital_Mensual!T112&gt;0, ROUND(R112 - Amortizacion_Capital_Mensual!T112, 2), "")</f>
        <v/>
      </c>
      <c r="T112" s="29">
        <f>IF(Amortizacion_Capital_Mensual!U112&gt;0, ROUND(S112 - Amortizacion_Capital_Mensual!U112, 2), "")</f>
        <v/>
      </c>
      <c r="U112" s="29">
        <f>MAX(I112:T112)</f>
        <v/>
      </c>
    </row>
    <row r="113">
      <c r="A113" s="20" t="inlineStr">
        <is>
          <t>0649-0002</t>
        </is>
      </c>
      <c r="B113" s="21" t="inlineStr">
        <is>
          <t>Compusoluciones Y Asociados Sa de Cv</t>
        </is>
      </c>
      <c r="C113" s="21" t="inlineStr">
        <is>
          <t>CX5</t>
        </is>
      </c>
      <c r="D113" s="20" t="inlineStr">
        <is>
          <t>ACTIVO</t>
        </is>
      </c>
      <c r="E113" s="20" t="inlineStr">
        <is>
          <t>2024-02-27</t>
        </is>
      </c>
      <c r="F113" s="20" t="inlineStr">
        <is>
          <t>2028-02-27</t>
        </is>
      </c>
      <c r="G113" s="22" t="n">
        <v>48</v>
      </c>
      <c r="H113" s="23" t="n">
        <v>346797.41</v>
      </c>
      <c r="I113" s="23">
        <f>IF(Amortizacion_Capital_Mensual!J113&gt;0, ROUND(288023.22 - Amortizacion_Capital_Mensual!J113, 2), "")</f>
        <v/>
      </c>
      <c r="J113" s="23">
        <f>IF(Amortizacion_Capital_Mensual!K113&gt;0, ROUND(I113 - Amortizacion_Capital_Mensual!K113, 2), "")</f>
        <v/>
      </c>
      <c r="K113" s="23">
        <f>IF(Amortizacion_Capital_Mensual!L113&gt;0, ROUND(J113 - Amortizacion_Capital_Mensual!L113, 2), "")</f>
        <v/>
      </c>
      <c r="L113" s="23">
        <f>IF(Amortizacion_Capital_Mensual!M113&gt;0, ROUND(K113 - Amortizacion_Capital_Mensual!M113, 2), "")</f>
        <v/>
      </c>
      <c r="M113" s="23">
        <f>IF(Amortizacion_Capital_Mensual!N113&gt;0, ROUND(L113 - Amortizacion_Capital_Mensual!N113, 2), "")</f>
        <v/>
      </c>
      <c r="N113" s="23">
        <f>IF(Amortizacion_Capital_Mensual!O113&gt;0, ROUND(M113 - Amortizacion_Capital_Mensual!O113, 2), "")</f>
        <v/>
      </c>
      <c r="O113" s="23">
        <f>IF(Amortizacion_Capital_Mensual!P113&gt;0, ROUND(N113 - Amortizacion_Capital_Mensual!P113, 2), "")</f>
        <v/>
      </c>
      <c r="P113" s="23">
        <f>IF(Amortizacion_Capital_Mensual!Q113&gt;0, ROUND(O113 - Amortizacion_Capital_Mensual!Q113, 2), "")</f>
        <v/>
      </c>
      <c r="Q113" s="23">
        <f>IF(Amortizacion_Capital_Mensual!R113&gt;0, ROUND(P113 - Amortizacion_Capital_Mensual!R113, 2), "")</f>
        <v/>
      </c>
      <c r="R113" s="23">
        <f>IF(Amortizacion_Capital_Mensual!S113&gt;0, ROUND(Q113 - Amortizacion_Capital_Mensual!S113, 2), "")</f>
        <v/>
      </c>
      <c r="S113" s="23">
        <f>IF(Amortizacion_Capital_Mensual!T113&gt;0, ROUND(R113 - Amortizacion_Capital_Mensual!T113, 2), "")</f>
        <v/>
      </c>
      <c r="T113" s="23">
        <f>IF(Amortizacion_Capital_Mensual!U113&gt;0, ROUND(S113 - Amortizacion_Capital_Mensual!U113, 2), "")</f>
        <v/>
      </c>
      <c r="U113" s="23">
        <f>MAX(I113:T113)</f>
        <v/>
      </c>
    </row>
    <row r="114">
      <c r="A114" s="26" t="inlineStr">
        <is>
          <t>0649-0003</t>
        </is>
      </c>
      <c r="B114" s="27" t="inlineStr">
        <is>
          <t>Compusoluciones Y Asociados Sa de Cv</t>
        </is>
      </c>
      <c r="C114" s="27" t="inlineStr">
        <is>
          <t>Highlander XLE</t>
        </is>
      </c>
      <c r="D114" s="26" t="inlineStr">
        <is>
          <t>ACTIVO</t>
        </is>
      </c>
      <c r="E114" s="26" t="inlineStr">
        <is>
          <t>2024-03-13</t>
        </is>
      </c>
      <c r="F114" s="26" t="inlineStr">
        <is>
          <t>2028-03-13</t>
        </is>
      </c>
      <c r="G114" s="28" t="n">
        <v>48</v>
      </c>
      <c r="H114" s="29" t="n">
        <v>565672.42</v>
      </c>
      <c r="I114" s="29">
        <f>IF(Amortizacion_Capital_Mensual!J114&gt;0, ROUND(480917.87 - Amortizacion_Capital_Mensual!J114, 2), "")</f>
        <v/>
      </c>
      <c r="J114" s="29">
        <f>IF(Amortizacion_Capital_Mensual!K114&gt;0, ROUND(I114 - Amortizacion_Capital_Mensual!K114, 2), "")</f>
        <v/>
      </c>
      <c r="K114" s="29">
        <f>IF(Amortizacion_Capital_Mensual!L114&gt;0, ROUND(J114 - Amortizacion_Capital_Mensual!L114, 2), "")</f>
        <v/>
      </c>
      <c r="L114" s="29">
        <f>IF(Amortizacion_Capital_Mensual!M114&gt;0, ROUND(K114 - Amortizacion_Capital_Mensual!M114, 2), "")</f>
        <v/>
      </c>
      <c r="M114" s="29">
        <f>IF(Amortizacion_Capital_Mensual!N114&gt;0, ROUND(L114 - Amortizacion_Capital_Mensual!N114, 2), "")</f>
        <v/>
      </c>
      <c r="N114" s="29">
        <f>IF(Amortizacion_Capital_Mensual!O114&gt;0, ROUND(M114 - Amortizacion_Capital_Mensual!O114, 2), "")</f>
        <v/>
      </c>
      <c r="O114" s="29">
        <f>IF(Amortizacion_Capital_Mensual!P114&gt;0, ROUND(N114 - Amortizacion_Capital_Mensual!P114, 2), "")</f>
        <v/>
      </c>
      <c r="P114" s="29">
        <f>IF(Amortizacion_Capital_Mensual!Q114&gt;0, ROUND(O114 - Amortizacion_Capital_Mensual!Q114, 2), "")</f>
        <v/>
      </c>
      <c r="Q114" s="29">
        <f>IF(Amortizacion_Capital_Mensual!R114&gt;0, ROUND(P114 - Amortizacion_Capital_Mensual!R114, 2), "")</f>
        <v/>
      </c>
      <c r="R114" s="29">
        <f>IF(Amortizacion_Capital_Mensual!S114&gt;0, ROUND(Q114 - Amortizacion_Capital_Mensual!S114, 2), "")</f>
        <v/>
      </c>
      <c r="S114" s="29">
        <f>IF(Amortizacion_Capital_Mensual!T114&gt;0, ROUND(R114 - Amortizacion_Capital_Mensual!T114, 2), "")</f>
        <v/>
      </c>
      <c r="T114" s="29">
        <f>IF(Amortizacion_Capital_Mensual!U114&gt;0, ROUND(S114 - Amortizacion_Capital_Mensual!U114, 2), "")</f>
        <v/>
      </c>
      <c r="U114" s="29">
        <f>MAX(I114:T114)</f>
        <v/>
      </c>
    </row>
    <row r="115">
      <c r="A115" s="20" t="inlineStr">
        <is>
          <t>0649-0005</t>
        </is>
      </c>
      <c r="B115" s="21" t="inlineStr">
        <is>
          <t>Compusoluciones y Asociados Sa de Cv</t>
        </is>
      </c>
      <c r="C115" s="21" t="inlineStr">
        <is>
          <t>3 i Touring</t>
        </is>
      </c>
      <c r="D115" s="20" t="inlineStr">
        <is>
          <t>ACTIVO</t>
        </is>
      </c>
      <c r="E115" s="20" t="inlineStr">
        <is>
          <t>2024-07-24</t>
        </is>
      </c>
      <c r="F115" s="20" t="inlineStr">
        <is>
          <t>2028-07-24</t>
        </is>
      </c>
      <c r="G115" s="22" t="n">
        <v>48</v>
      </c>
      <c r="H115" s="23" t="n">
        <v>250978.45</v>
      </c>
      <c r="I115" s="23">
        <f>IF(Amortizacion_Capital_Mensual!J115&gt;0, ROUND(219891.84 - Amortizacion_Capital_Mensual!J115, 2), "")</f>
        <v/>
      </c>
      <c r="J115" s="23">
        <f>IF(Amortizacion_Capital_Mensual!K115&gt;0, ROUND(I115 - Amortizacion_Capital_Mensual!K115, 2), "")</f>
        <v/>
      </c>
      <c r="K115" s="23">
        <f>IF(Amortizacion_Capital_Mensual!L115&gt;0, ROUND(J115 - Amortizacion_Capital_Mensual!L115, 2), "")</f>
        <v/>
      </c>
      <c r="L115" s="23">
        <f>IF(Amortizacion_Capital_Mensual!M115&gt;0, ROUND(K115 - Amortizacion_Capital_Mensual!M115, 2), "")</f>
        <v/>
      </c>
      <c r="M115" s="23">
        <f>IF(Amortizacion_Capital_Mensual!N115&gt;0, ROUND(L115 - Amortizacion_Capital_Mensual!N115, 2), "")</f>
        <v/>
      </c>
      <c r="N115" s="23">
        <f>IF(Amortizacion_Capital_Mensual!O115&gt;0, ROUND(M115 - Amortizacion_Capital_Mensual!O115, 2), "")</f>
        <v/>
      </c>
      <c r="O115" s="23">
        <f>IF(Amortizacion_Capital_Mensual!P115&gt;0, ROUND(N115 - Amortizacion_Capital_Mensual!P115, 2), "")</f>
        <v/>
      </c>
      <c r="P115" s="23">
        <f>IF(Amortizacion_Capital_Mensual!Q115&gt;0, ROUND(O115 - Amortizacion_Capital_Mensual!Q115, 2), "")</f>
        <v/>
      </c>
      <c r="Q115" s="23">
        <f>IF(Amortizacion_Capital_Mensual!R115&gt;0, ROUND(P115 - Amortizacion_Capital_Mensual!R115, 2), "")</f>
        <v/>
      </c>
      <c r="R115" s="23">
        <f>IF(Amortizacion_Capital_Mensual!S115&gt;0, ROUND(Q115 - Amortizacion_Capital_Mensual!S115, 2), "")</f>
        <v/>
      </c>
      <c r="S115" s="23">
        <f>IF(Amortizacion_Capital_Mensual!T115&gt;0, ROUND(R115 - Amortizacion_Capital_Mensual!T115, 2), "")</f>
        <v/>
      </c>
      <c r="T115" s="23">
        <f>IF(Amortizacion_Capital_Mensual!U115&gt;0, ROUND(S115 - Amortizacion_Capital_Mensual!U115, 2), "")</f>
        <v/>
      </c>
      <c r="U115" s="23">
        <f>MAX(I115:T115)</f>
        <v/>
      </c>
    </row>
    <row r="116">
      <c r="A116" s="26" t="inlineStr">
        <is>
          <t>0649-0006</t>
        </is>
      </c>
      <c r="B116" s="27" t="inlineStr">
        <is>
          <t>Compusoluciones y Asociados sa de Cv</t>
        </is>
      </c>
      <c r="C116" s="27" t="inlineStr">
        <is>
          <t>Mazda Cx5</t>
        </is>
      </c>
      <c r="D116" s="26" t="inlineStr">
        <is>
          <t>ACTIVO</t>
        </is>
      </c>
      <c r="E116" s="26" t="inlineStr">
        <is>
          <t>2024-09-25</t>
        </is>
      </c>
      <c r="F116" s="26" t="inlineStr">
        <is>
          <t>2028-09-25</t>
        </is>
      </c>
      <c r="G116" s="28" t="n">
        <v>48</v>
      </c>
      <c r="H116" s="29" t="n">
        <v>367439.65</v>
      </c>
      <c r="I116" s="29">
        <f>IF(Amortizacion_Capital_Mensual!J116&gt;0, ROUND(324521.66 - Amortizacion_Capital_Mensual!J116, 2), "")</f>
        <v/>
      </c>
      <c r="J116" s="29">
        <f>IF(Amortizacion_Capital_Mensual!K116&gt;0, ROUND(I116 - Amortizacion_Capital_Mensual!K116, 2), "")</f>
        <v/>
      </c>
      <c r="K116" s="29">
        <f>IF(Amortizacion_Capital_Mensual!L116&gt;0, ROUND(J116 - Amortizacion_Capital_Mensual!L116, 2), "")</f>
        <v/>
      </c>
      <c r="L116" s="29">
        <f>IF(Amortizacion_Capital_Mensual!M116&gt;0, ROUND(K116 - Amortizacion_Capital_Mensual!M116, 2), "")</f>
        <v/>
      </c>
      <c r="M116" s="29">
        <f>IF(Amortizacion_Capital_Mensual!N116&gt;0, ROUND(L116 - Amortizacion_Capital_Mensual!N116, 2), "")</f>
        <v/>
      </c>
      <c r="N116" s="29">
        <f>IF(Amortizacion_Capital_Mensual!O116&gt;0, ROUND(M116 - Amortizacion_Capital_Mensual!O116, 2), "")</f>
        <v/>
      </c>
      <c r="O116" s="29">
        <f>IF(Amortizacion_Capital_Mensual!P116&gt;0, ROUND(N116 - Amortizacion_Capital_Mensual!P116, 2), "")</f>
        <v/>
      </c>
      <c r="P116" s="29">
        <f>IF(Amortizacion_Capital_Mensual!Q116&gt;0, ROUND(O116 - Amortizacion_Capital_Mensual!Q116, 2), "")</f>
        <v/>
      </c>
      <c r="Q116" s="29">
        <f>IF(Amortizacion_Capital_Mensual!R116&gt;0, ROUND(P116 - Amortizacion_Capital_Mensual!R116, 2), "")</f>
        <v/>
      </c>
      <c r="R116" s="29">
        <f>IF(Amortizacion_Capital_Mensual!S116&gt;0, ROUND(Q116 - Amortizacion_Capital_Mensual!S116, 2), "")</f>
        <v/>
      </c>
      <c r="S116" s="29">
        <f>IF(Amortizacion_Capital_Mensual!T116&gt;0, ROUND(R116 - Amortizacion_Capital_Mensual!T116, 2), "")</f>
        <v/>
      </c>
      <c r="T116" s="29">
        <f>IF(Amortizacion_Capital_Mensual!U116&gt;0, ROUND(S116 - Amortizacion_Capital_Mensual!U116, 2), "")</f>
        <v/>
      </c>
      <c r="U116" s="29">
        <f>MAX(I116:T116)</f>
        <v/>
      </c>
    </row>
    <row r="117">
      <c r="A117" s="20" t="inlineStr">
        <is>
          <t>0649-0007</t>
        </is>
      </c>
      <c r="B117" s="21" t="inlineStr">
        <is>
          <t>Compusoluciones y Asociados sa de Cv</t>
        </is>
      </c>
      <c r="C117" s="21" t="inlineStr">
        <is>
          <t>RX5</t>
        </is>
      </c>
      <c r="D117" s="20" t="inlineStr">
        <is>
          <t>ACTIVO</t>
        </is>
      </c>
      <c r="E117" s="20" t="inlineStr">
        <is>
          <t>2024-10-28</t>
        </is>
      </c>
      <c r="F117" s="20" t="inlineStr">
        <is>
          <t>2027-10-28</t>
        </is>
      </c>
      <c r="G117" s="22" t="n">
        <v>36</v>
      </c>
      <c r="H117" s="23" t="n">
        <v>254900.86</v>
      </c>
      <c r="I117" s="23">
        <f>IF(Amortizacion_Capital_Mensual!J117&gt;0, ROUND(212662.94 - Amortizacion_Capital_Mensual!J117, 2), "")</f>
        <v/>
      </c>
      <c r="J117" s="23">
        <f>IF(Amortizacion_Capital_Mensual!K117&gt;0, ROUND(I117 - Amortizacion_Capital_Mensual!K117, 2), "")</f>
        <v/>
      </c>
      <c r="K117" s="23">
        <f>IF(Amortizacion_Capital_Mensual!L117&gt;0, ROUND(J117 - Amortizacion_Capital_Mensual!L117, 2), "")</f>
        <v/>
      </c>
      <c r="L117" s="23">
        <f>IF(Amortizacion_Capital_Mensual!M117&gt;0, ROUND(K117 - Amortizacion_Capital_Mensual!M117, 2), "")</f>
        <v/>
      </c>
      <c r="M117" s="23">
        <f>IF(Amortizacion_Capital_Mensual!N117&gt;0, ROUND(L117 - Amortizacion_Capital_Mensual!N117, 2), "")</f>
        <v/>
      </c>
      <c r="N117" s="23">
        <f>IF(Amortizacion_Capital_Mensual!O117&gt;0, ROUND(M117 - Amortizacion_Capital_Mensual!O117, 2), "")</f>
        <v/>
      </c>
      <c r="O117" s="23">
        <f>IF(Amortizacion_Capital_Mensual!P117&gt;0, ROUND(N117 - Amortizacion_Capital_Mensual!P117, 2), "")</f>
        <v/>
      </c>
      <c r="P117" s="23">
        <f>IF(Amortizacion_Capital_Mensual!Q117&gt;0, ROUND(O117 - Amortizacion_Capital_Mensual!Q117, 2), "")</f>
        <v/>
      </c>
      <c r="Q117" s="23">
        <f>IF(Amortizacion_Capital_Mensual!R117&gt;0, ROUND(P117 - Amortizacion_Capital_Mensual!R117, 2), "")</f>
        <v/>
      </c>
      <c r="R117" s="23">
        <f>IF(Amortizacion_Capital_Mensual!S117&gt;0, ROUND(Q117 - Amortizacion_Capital_Mensual!S117, 2), "")</f>
        <v/>
      </c>
      <c r="S117" s="23">
        <f>IF(Amortizacion_Capital_Mensual!T117&gt;0, ROUND(R117 - Amortizacion_Capital_Mensual!T117, 2), "")</f>
        <v/>
      </c>
      <c r="T117" s="23">
        <f>IF(Amortizacion_Capital_Mensual!U117&gt;0, ROUND(S117 - Amortizacion_Capital_Mensual!U117, 2), "")</f>
        <v/>
      </c>
      <c r="U117" s="23">
        <f>MAX(I117:T117)</f>
        <v/>
      </c>
    </row>
    <row r="118">
      <c r="A118" s="26" t="inlineStr">
        <is>
          <t>0649-0008</t>
        </is>
      </c>
      <c r="B118" s="27" t="inlineStr">
        <is>
          <t>Compusoluciones y Asociados Sa de Cv</t>
        </is>
      </c>
      <c r="C118" s="27" t="inlineStr">
        <is>
          <t>Kicks</t>
        </is>
      </c>
      <c r="D118" s="26" t="inlineStr">
        <is>
          <t>ACTIVO</t>
        </is>
      </c>
      <c r="E118" s="26" t="inlineStr">
        <is>
          <t>2024-11-27</t>
        </is>
      </c>
      <c r="F118" s="26" t="inlineStr">
        <is>
          <t>2028-11-27</t>
        </is>
      </c>
      <c r="G118" s="28" t="n">
        <v>48</v>
      </c>
      <c r="H118" s="29" t="n">
        <v>354081.9</v>
      </c>
      <c r="I118" s="29">
        <f>IF(Amortizacion_Capital_Mensual!J118&gt;0, ROUND(321757.4 - Amortizacion_Capital_Mensual!J118, 2), "")</f>
        <v/>
      </c>
      <c r="J118" s="29">
        <f>IF(Amortizacion_Capital_Mensual!K118&gt;0, ROUND(I118 - Amortizacion_Capital_Mensual!K118, 2), "")</f>
        <v/>
      </c>
      <c r="K118" s="29">
        <f>IF(Amortizacion_Capital_Mensual!L118&gt;0, ROUND(J118 - Amortizacion_Capital_Mensual!L118, 2), "")</f>
        <v/>
      </c>
      <c r="L118" s="29">
        <f>IF(Amortizacion_Capital_Mensual!M118&gt;0, ROUND(K118 - Amortizacion_Capital_Mensual!M118, 2), "")</f>
        <v/>
      </c>
      <c r="M118" s="29">
        <f>IF(Amortizacion_Capital_Mensual!N118&gt;0, ROUND(L118 - Amortizacion_Capital_Mensual!N118, 2), "")</f>
        <v/>
      </c>
      <c r="N118" s="29">
        <f>IF(Amortizacion_Capital_Mensual!O118&gt;0, ROUND(M118 - Amortizacion_Capital_Mensual!O118, 2), "")</f>
        <v/>
      </c>
      <c r="O118" s="29">
        <f>IF(Amortizacion_Capital_Mensual!P118&gt;0, ROUND(N118 - Amortizacion_Capital_Mensual!P118, 2), "")</f>
        <v/>
      </c>
      <c r="P118" s="29">
        <f>IF(Amortizacion_Capital_Mensual!Q118&gt;0, ROUND(O118 - Amortizacion_Capital_Mensual!Q118, 2), "")</f>
        <v/>
      </c>
      <c r="Q118" s="29">
        <f>IF(Amortizacion_Capital_Mensual!R118&gt;0, ROUND(P118 - Amortizacion_Capital_Mensual!R118, 2), "")</f>
        <v/>
      </c>
      <c r="R118" s="29">
        <f>IF(Amortizacion_Capital_Mensual!S118&gt;0, ROUND(Q118 - Amortizacion_Capital_Mensual!S118, 2), "")</f>
        <v/>
      </c>
      <c r="S118" s="29">
        <f>IF(Amortizacion_Capital_Mensual!T118&gt;0, ROUND(R118 - Amortizacion_Capital_Mensual!T118, 2), "")</f>
        <v/>
      </c>
      <c r="T118" s="29">
        <f>IF(Amortizacion_Capital_Mensual!U118&gt;0, ROUND(S118 - Amortizacion_Capital_Mensual!U118, 2), "")</f>
        <v/>
      </c>
      <c r="U118" s="29">
        <f>MAX(I118:T118)</f>
        <v/>
      </c>
    </row>
    <row r="119">
      <c r="A119" s="20" t="inlineStr">
        <is>
          <t>0649-0009</t>
        </is>
      </c>
      <c r="B119" s="21" t="inlineStr">
        <is>
          <t>Compusoluciones y Asociados Sa de Cv</t>
        </is>
      </c>
      <c r="C119" s="21" t="inlineStr">
        <is>
          <t>Fronx Boostergreen</t>
        </is>
      </c>
      <c r="D119" s="20" t="inlineStr">
        <is>
          <t>ACTIVO</t>
        </is>
      </c>
      <c r="E119" s="20" t="inlineStr">
        <is>
          <t>2025-05-26</t>
        </is>
      </c>
      <c r="F119" s="20" t="inlineStr">
        <is>
          <t>2029-05-26</t>
        </is>
      </c>
      <c r="G119" s="22" t="n">
        <v>48</v>
      </c>
      <c r="H119" s="23" t="n">
        <v>252149.57</v>
      </c>
      <c r="I119" s="23">
        <f>IF(Amortizacion_Capital_Mensual!J119&gt;0, ROUND(239996.49 - Amortizacion_Capital_Mensual!J119, 2), "")</f>
        <v/>
      </c>
      <c r="J119" s="23">
        <f>IF(Amortizacion_Capital_Mensual!K119&gt;0, ROUND(I119 - Amortizacion_Capital_Mensual!K119, 2), "")</f>
        <v/>
      </c>
      <c r="K119" s="23">
        <f>IF(Amortizacion_Capital_Mensual!L119&gt;0, ROUND(J119 - Amortizacion_Capital_Mensual!L119, 2), "")</f>
        <v/>
      </c>
      <c r="L119" s="23">
        <f>IF(Amortizacion_Capital_Mensual!M119&gt;0, ROUND(K119 - Amortizacion_Capital_Mensual!M119, 2), "")</f>
        <v/>
      </c>
      <c r="M119" s="23">
        <f>IF(Amortizacion_Capital_Mensual!N119&gt;0, ROUND(L119 - Amortizacion_Capital_Mensual!N119, 2), "")</f>
        <v/>
      </c>
      <c r="N119" s="23">
        <f>IF(Amortizacion_Capital_Mensual!O119&gt;0, ROUND(M119 - Amortizacion_Capital_Mensual!O119, 2), "")</f>
        <v/>
      </c>
      <c r="O119" s="23">
        <f>IF(Amortizacion_Capital_Mensual!P119&gt;0, ROUND(N119 - Amortizacion_Capital_Mensual!P119, 2), "")</f>
        <v/>
      </c>
      <c r="P119" s="23">
        <f>IF(Amortizacion_Capital_Mensual!Q119&gt;0, ROUND(O119 - Amortizacion_Capital_Mensual!Q119, 2), "")</f>
        <v/>
      </c>
      <c r="Q119" s="23">
        <f>IF(Amortizacion_Capital_Mensual!R119&gt;0, ROUND(P119 - Amortizacion_Capital_Mensual!R119, 2), "")</f>
        <v/>
      </c>
      <c r="R119" s="23">
        <f>IF(Amortizacion_Capital_Mensual!S119&gt;0, ROUND(Q119 - Amortizacion_Capital_Mensual!S119, 2), "")</f>
        <v/>
      </c>
      <c r="S119" s="23">
        <f>IF(Amortizacion_Capital_Mensual!T119&gt;0, ROUND(R119 - Amortizacion_Capital_Mensual!T119, 2), "")</f>
        <v/>
      </c>
      <c r="T119" s="23">
        <f>IF(Amortizacion_Capital_Mensual!U119&gt;0, ROUND(S119 - Amortizacion_Capital_Mensual!U119, 2), "")</f>
        <v/>
      </c>
      <c r="U119" s="23">
        <f>MAX(I119:T119)</f>
        <v/>
      </c>
    </row>
    <row r="120">
      <c r="A120" s="26" t="inlineStr">
        <is>
          <t>0649-0010</t>
        </is>
      </c>
      <c r="B120" s="27" t="inlineStr">
        <is>
          <t>Compusoluciones y Asociados Sa de Cv</t>
        </is>
      </c>
      <c r="C120" s="27" t="inlineStr">
        <is>
          <t>Mazda CX90</t>
        </is>
      </c>
      <c r="D120" s="26" t="inlineStr">
        <is>
          <t>ACTIVO</t>
        </is>
      </c>
      <c r="E120" s="26" t="inlineStr">
        <is>
          <t>2025-09-30</t>
        </is>
      </c>
      <c r="F120" s="26" t="inlineStr">
        <is>
          <t>2029-09-30</t>
        </is>
      </c>
      <c r="G120" s="28" t="n">
        <v>48</v>
      </c>
      <c r="H120" s="29" t="n">
        <v>550202.59</v>
      </c>
      <c r="I120" s="29">
        <f>IF(Amortizacion_Capital_Mensual!J120&gt;0, ROUND(536517.94 - Amortizacion_Capital_Mensual!J120, 2), "")</f>
        <v/>
      </c>
      <c r="J120" s="29">
        <f>IF(Amortizacion_Capital_Mensual!K120&gt;0, ROUND(I120 - Amortizacion_Capital_Mensual!K120, 2), "")</f>
        <v/>
      </c>
      <c r="K120" s="29">
        <f>IF(Amortizacion_Capital_Mensual!L120&gt;0, ROUND(J120 - Amortizacion_Capital_Mensual!L120, 2), "")</f>
        <v/>
      </c>
      <c r="L120" s="29">
        <f>IF(Amortizacion_Capital_Mensual!M120&gt;0, ROUND(K120 - Amortizacion_Capital_Mensual!M120, 2), "")</f>
        <v/>
      </c>
      <c r="M120" s="29">
        <f>IF(Amortizacion_Capital_Mensual!N120&gt;0, ROUND(L120 - Amortizacion_Capital_Mensual!N120, 2), "")</f>
        <v/>
      </c>
      <c r="N120" s="29">
        <f>IF(Amortizacion_Capital_Mensual!O120&gt;0, ROUND(M120 - Amortizacion_Capital_Mensual!O120, 2), "")</f>
        <v/>
      </c>
      <c r="O120" s="29">
        <f>IF(Amortizacion_Capital_Mensual!P120&gt;0, ROUND(N120 - Amortizacion_Capital_Mensual!P120, 2), "")</f>
        <v/>
      </c>
      <c r="P120" s="29">
        <f>IF(Amortizacion_Capital_Mensual!Q120&gt;0, ROUND(O120 - Amortizacion_Capital_Mensual!Q120, 2), "")</f>
        <v/>
      </c>
      <c r="Q120" s="29">
        <f>IF(Amortizacion_Capital_Mensual!R120&gt;0, ROUND(P120 - Amortizacion_Capital_Mensual!R120, 2), "")</f>
        <v/>
      </c>
      <c r="R120" s="29">
        <f>IF(Amortizacion_Capital_Mensual!S120&gt;0, ROUND(Q120 - Amortizacion_Capital_Mensual!S120, 2), "")</f>
        <v/>
      </c>
      <c r="S120" s="29">
        <f>IF(Amortizacion_Capital_Mensual!T120&gt;0, ROUND(R120 - Amortizacion_Capital_Mensual!T120, 2), "")</f>
        <v/>
      </c>
      <c r="T120" s="29">
        <f>IF(Amortizacion_Capital_Mensual!U120&gt;0, ROUND(S120 - Amortizacion_Capital_Mensual!U120, 2), "")</f>
        <v/>
      </c>
      <c r="U120" s="29">
        <f>MAX(I120:T120)</f>
        <v/>
      </c>
    </row>
    <row r="121">
      <c r="A121" s="20" t="inlineStr">
        <is>
          <t>0649-0011</t>
        </is>
      </c>
      <c r="B121" s="21" t="inlineStr">
        <is>
          <t>Compusoluciones y Asociados Sa de Cv</t>
        </is>
      </c>
      <c r="C121" s="21" t="inlineStr">
        <is>
          <t>EX40</t>
        </is>
      </c>
      <c r="D121" s="20" t="inlineStr">
        <is>
          <t>ACTIVO</t>
        </is>
      </c>
      <c r="E121" s="20" t="inlineStr">
        <is>
          <t>2025-10-23</t>
        </is>
      </c>
      <c r="F121" s="20" t="inlineStr">
        <is>
          <t>2029-10-23</t>
        </is>
      </c>
      <c r="G121" s="22" t="n">
        <v>48</v>
      </c>
      <c r="H121" s="23" t="n">
        <v>504310.35</v>
      </c>
      <c r="I121" s="23">
        <f>IF(Amortizacion_Capital_Mensual!J121&gt;0, ROUND(497152.86 - Amortizacion_Capital_Mensual!J121, 2), "")</f>
        <v/>
      </c>
      <c r="J121" s="23">
        <f>IF(Amortizacion_Capital_Mensual!K121&gt;0, ROUND(I121 - Amortizacion_Capital_Mensual!K121, 2), "")</f>
        <v/>
      </c>
      <c r="K121" s="23">
        <f>IF(Amortizacion_Capital_Mensual!L121&gt;0, ROUND(J121 - Amortizacion_Capital_Mensual!L121, 2), "")</f>
        <v/>
      </c>
      <c r="L121" s="23">
        <f>IF(Amortizacion_Capital_Mensual!M121&gt;0, ROUND(K121 - Amortizacion_Capital_Mensual!M121, 2), "")</f>
        <v/>
      </c>
      <c r="M121" s="23">
        <f>IF(Amortizacion_Capital_Mensual!N121&gt;0, ROUND(L121 - Amortizacion_Capital_Mensual!N121, 2), "")</f>
        <v/>
      </c>
      <c r="N121" s="23">
        <f>IF(Amortizacion_Capital_Mensual!O121&gt;0, ROUND(M121 - Amortizacion_Capital_Mensual!O121, 2), "")</f>
        <v/>
      </c>
      <c r="O121" s="23">
        <f>IF(Amortizacion_Capital_Mensual!P121&gt;0, ROUND(N121 - Amortizacion_Capital_Mensual!P121, 2), "")</f>
        <v/>
      </c>
      <c r="P121" s="23">
        <f>IF(Amortizacion_Capital_Mensual!Q121&gt;0, ROUND(O121 - Amortizacion_Capital_Mensual!Q121, 2), "")</f>
        <v/>
      </c>
      <c r="Q121" s="23">
        <f>IF(Amortizacion_Capital_Mensual!R121&gt;0, ROUND(P121 - Amortizacion_Capital_Mensual!R121, 2), "")</f>
        <v/>
      </c>
      <c r="R121" s="23">
        <f>IF(Amortizacion_Capital_Mensual!S121&gt;0, ROUND(Q121 - Amortizacion_Capital_Mensual!S121, 2), "")</f>
        <v/>
      </c>
      <c r="S121" s="23">
        <f>IF(Amortizacion_Capital_Mensual!T121&gt;0, ROUND(R121 - Amortizacion_Capital_Mensual!T121, 2), "")</f>
        <v/>
      </c>
      <c r="T121" s="23">
        <f>IF(Amortizacion_Capital_Mensual!U121&gt;0, ROUND(S121 - Amortizacion_Capital_Mensual!U121, 2), "")</f>
        <v/>
      </c>
      <c r="U121" s="23">
        <f>MAX(I121:T121)</f>
        <v/>
      </c>
    </row>
    <row r="122">
      <c r="A122" s="26" t="inlineStr">
        <is>
          <t>0649-0012</t>
        </is>
      </c>
      <c r="B122" s="27" t="inlineStr">
        <is>
          <t>Compusoluciones y Asociados Sa de Cv</t>
        </is>
      </c>
      <c r="C122" s="27" t="inlineStr">
        <is>
          <t>Sportage</t>
        </is>
      </c>
      <c r="D122" s="26" t="inlineStr">
        <is>
          <t>ACTIVO</t>
        </is>
      </c>
      <c r="E122" s="26" t="inlineStr">
        <is>
          <t>2025-12-01</t>
        </is>
      </c>
      <c r="F122" s="26" t="inlineStr">
        <is>
          <t>2029-12-01</t>
        </is>
      </c>
      <c r="G122" s="28" t="n">
        <v>48</v>
      </c>
      <c r="H122" s="29" t="n">
        <v>385461.21</v>
      </c>
      <c r="I122" s="29">
        <f>IF(Amortizacion_Capital_Mensual!J122&gt;0, ROUND(383679.31 - Amortizacion_Capital_Mensual!J122, 2), "")</f>
        <v/>
      </c>
      <c r="J122" s="29">
        <f>IF(Amortizacion_Capital_Mensual!K122&gt;0, ROUND(I122 - Amortizacion_Capital_Mensual!K122, 2), "")</f>
        <v/>
      </c>
      <c r="K122" s="29">
        <f>IF(Amortizacion_Capital_Mensual!L122&gt;0, ROUND(J122 - Amortizacion_Capital_Mensual!L122, 2), "")</f>
        <v/>
      </c>
      <c r="L122" s="29">
        <f>IF(Amortizacion_Capital_Mensual!M122&gt;0, ROUND(K122 - Amortizacion_Capital_Mensual!M122, 2), "")</f>
        <v/>
      </c>
      <c r="M122" s="29">
        <f>IF(Amortizacion_Capital_Mensual!N122&gt;0, ROUND(L122 - Amortizacion_Capital_Mensual!N122, 2), "")</f>
        <v/>
      </c>
      <c r="N122" s="29">
        <f>IF(Amortizacion_Capital_Mensual!O122&gt;0, ROUND(M122 - Amortizacion_Capital_Mensual!O122, 2), "")</f>
        <v/>
      </c>
      <c r="O122" s="29">
        <f>IF(Amortizacion_Capital_Mensual!P122&gt;0, ROUND(N122 - Amortizacion_Capital_Mensual!P122, 2), "")</f>
        <v/>
      </c>
      <c r="P122" s="29">
        <f>IF(Amortizacion_Capital_Mensual!Q122&gt;0, ROUND(O122 - Amortizacion_Capital_Mensual!Q122, 2), "")</f>
        <v/>
      </c>
      <c r="Q122" s="29">
        <f>IF(Amortizacion_Capital_Mensual!R122&gt;0, ROUND(P122 - Amortizacion_Capital_Mensual!R122, 2), "")</f>
        <v/>
      </c>
      <c r="R122" s="29">
        <f>IF(Amortizacion_Capital_Mensual!S122&gt;0, ROUND(Q122 - Amortizacion_Capital_Mensual!S122, 2), "")</f>
        <v/>
      </c>
      <c r="S122" s="29">
        <f>IF(Amortizacion_Capital_Mensual!T122&gt;0, ROUND(R122 - Amortizacion_Capital_Mensual!T122, 2), "")</f>
        <v/>
      </c>
      <c r="T122" s="29">
        <f>IF(Amortizacion_Capital_Mensual!U122&gt;0, ROUND(S122 - Amortizacion_Capital_Mensual!U122, 2), "")</f>
        <v/>
      </c>
      <c r="U122" s="29">
        <f>MAX(I122:T122)</f>
        <v/>
      </c>
    </row>
    <row r="123">
      <c r="A123" s="20" t="inlineStr">
        <is>
          <t>0649-0013</t>
        </is>
      </c>
      <c r="B123" s="21" t="inlineStr">
        <is>
          <t>Compusoluciones y Asociados Sa de Cv</t>
        </is>
      </c>
      <c r="C123" s="21" t="inlineStr">
        <is>
          <t>Mazda Mazda 3 Hatch Back 2026</t>
        </is>
      </c>
      <c r="D123" s="20" t="inlineStr">
        <is>
          <t>ACTIVO</t>
        </is>
      </c>
      <c r="E123" s="20" t="inlineStr">
        <is>
          <t>2026-07-22</t>
        </is>
      </c>
      <c r="F123" s="20" t="inlineStr">
        <is>
          <t>2030-07-22</t>
        </is>
      </c>
      <c r="G123" s="22" t="n">
        <v>48</v>
      </c>
      <c r="H123" s="23" t="n">
        <v>307573.28</v>
      </c>
      <c r="I123" s="23" t="inlineStr"/>
      <c r="J123" s="23" t="inlineStr"/>
      <c r="K123" s="23" t="inlineStr"/>
      <c r="L123" s="23" t="inlineStr"/>
      <c r="M123" s="23" t="inlineStr"/>
      <c r="N123" s="23" t="inlineStr"/>
      <c r="O123" s="23">
        <f>IF(Amortizacion_Capital_Mensual!P123&gt;0, ROUND($H123 - Amortizacion_Capital_Mensual!P123, 2), "")</f>
        <v/>
      </c>
      <c r="P123" s="23">
        <f>IF(Amortizacion_Capital_Mensual!Q123&gt;0, ROUND(O123 - Amortizacion_Capital_Mensual!Q123, 2), "")</f>
        <v/>
      </c>
      <c r="Q123" s="23">
        <f>IF(Amortizacion_Capital_Mensual!R123&gt;0, ROUND(P123 - Amortizacion_Capital_Mensual!R123, 2), "")</f>
        <v/>
      </c>
      <c r="R123" s="23">
        <f>IF(Amortizacion_Capital_Mensual!S123&gt;0, ROUND(Q123 - Amortizacion_Capital_Mensual!S123, 2), "")</f>
        <v/>
      </c>
      <c r="S123" s="23">
        <f>IF(Amortizacion_Capital_Mensual!T123&gt;0, ROUND(R123 - Amortizacion_Capital_Mensual!T123, 2), "")</f>
        <v/>
      </c>
      <c r="T123" s="23">
        <f>IF(Amortizacion_Capital_Mensual!U123&gt;0, ROUND(S123 - Amortizacion_Capital_Mensual!U123, 2), "")</f>
        <v/>
      </c>
      <c r="U123" s="23">
        <f>MAX(I123:T123)</f>
        <v/>
      </c>
    </row>
    <row r="124">
      <c r="A124" s="26" t="inlineStr">
        <is>
          <t>0649-0014</t>
        </is>
      </c>
      <c r="B124" s="27" t="inlineStr">
        <is>
          <t>Compusoluciones y Asociados Sa de Cv</t>
        </is>
      </c>
      <c r="C124" s="27" t="inlineStr">
        <is>
          <t>Subaru Forester 2026</t>
        </is>
      </c>
      <c r="D124" s="26" t="inlineStr">
        <is>
          <t>ACTIVO</t>
        </is>
      </c>
      <c r="E124" s="26" t="inlineStr">
        <is>
          <t>2026-07-28</t>
        </is>
      </c>
      <c r="F124" s="26" t="inlineStr">
        <is>
          <t>2030-07-28</t>
        </is>
      </c>
      <c r="G124" s="28" t="n">
        <v>48</v>
      </c>
      <c r="H124" s="29" t="n">
        <v>386581.9</v>
      </c>
      <c r="I124" s="29" t="inlineStr"/>
      <c r="J124" s="29" t="inlineStr"/>
      <c r="K124" s="29" t="inlineStr"/>
      <c r="L124" s="29" t="inlineStr"/>
      <c r="M124" s="29" t="inlineStr"/>
      <c r="N124" s="29" t="inlineStr"/>
      <c r="O124" s="29">
        <f>IF(Amortizacion_Capital_Mensual!P124&gt;0, ROUND($H124 - Amortizacion_Capital_Mensual!P124, 2), "")</f>
        <v/>
      </c>
      <c r="P124" s="29">
        <f>IF(Amortizacion_Capital_Mensual!Q124&gt;0, ROUND(O124 - Amortizacion_Capital_Mensual!Q124, 2), "")</f>
        <v/>
      </c>
      <c r="Q124" s="29">
        <f>IF(Amortizacion_Capital_Mensual!R124&gt;0, ROUND(P124 - Amortizacion_Capital_Mensual!R124, 2), "")</f>
        <v/>
      </c>
      <c r="R124" s="29">
        <f>IF(Amortizacion_Capital_Mensual!S124&gt;0, ROUND(Q124 - Amortizacion_Capital_Mensual!S124, 2), "")</f>
        <v/>
      </c>
      <c r="S124" s="29">
        <f>IF(Amortizacion_Capital_Mensual!T124&gt;0, ROUND(R124 - Amortizacion_Capital_Mensual!T124, 2), "")</f>
        <v/>
      </c>
      <c r="T124" s="29">
        <f>IF(Amortizacion_Capital_Mensual!U124&gt;0, ROUND(S124 - Amortizacion_Capital_Mensual!U124, 2), "")</f>
        <v/>
      </c>
      <c r="U124" s="29">
        <f>MAX(I124:T124)</f>
        <v/>
      </c>
    </row>
    <row r="125">
      <c r="A125" s="20" t="inlineStr">
        <is>
          <t>0650-0002</t>
        </is>
      </c>
      <c r="B125" s="21" t="inlineStr">
        <is>
          <t>Creando Music</t>
        </is>
      </c>
      <c r="C125" s="21" t="inlineStr">
        <is>
          <t>3008</t>
        </is>
      </c>
      <c r="D125" s="20" t="inlineStr">
        <is>
          <t>ACTIVO</t>
        </is>
      </c>
      <c r="E125" s="20" t="inlineStr">
        <is>
          <t>2025-12-23</t>
        </is>
      </c>
      <c r="F125" s="20" t="inlineStr">
        <is>
          <t>2026-12-23</t>
        </is>
      </c>
      <c r="G125" s="22" t="n">
        <v>12</v>
      </c>
      <c r="H125" s="23" t="n">
        <v>566301.73</v>
      </c>
      <c r="I125" s="23">
        <f>IF(Amortizacion_Capital_Mensual!J125&gt;0, ROUND(543465.42 - Amortizacion_Capital_Mensual!J125, 2), "")</f>
        <v/>
      </c>
      <c r="J125" s="23">
        <f>IF(Amortizacion_Capital_Mensual!K125&gt;0, ROUND(I125 - Amortizacion_Capital_Mensual!K125, 2), "")</f>
        <v/>
      </c>
      <c r="K125" s="23">
        <f>IF(Amortizacion_Capital_Mensual!L125&gt;0, ROUND(J125 - Amortizacion_Capital_Mensual!L125, 2), "")</f>
        <v/>
      </c>
      <c r="L125" s="23">
        <f>IF(Amortizacion_Capital_Mensual!M125&gt;0, ROUND(K125 - Amortizacion_Capital_Mensual!M125, 2), "")</f>
        <v/>
      </c>
      <c r="M125" s="23">
        <f>IF(Amortizacion_Capital_Mensual!N125&gt;0, ROUND(L125 - Amortizacion_Capital_Mensual!N125, 2), "")</f>
        <v/>
      </c>
      <c r="N125" s="23">
        <f>IF(Amortizacion_Capital_Mensual!O125&gt;0, ROUND(M125 - Amortizacion_Capital_Mensual!O125, 2), "")</f>
        <v/>
      </c>
      <c r="O125" s="23">
        <f>IF(Amortizacion_Capital_Mensual!P125&gt;0, ROUND(N125 - Amortizacion_Capital_Mensual!P125, 2), "")</f>
        <v/>
      </c>
      <c r="P125" s="23">
        <f>IF(Amortizacion_Capital_Mensual!Q125&gt;0, ROUND(O125 - Amortizacion_Capital_Mensual!Q125, 2), "")</f>
        <v/>
      </c>
      <c r="Q125" s="23">
        <f>IF(Amortizacion_Capital_Mensual!R125&gt;0, ROUND(P125 - Amortizacion_Capital_Mensual!R125, 2), "")</f>
        <v/>
      </c>
      <c r="R125" s="23">
        <f>IF(Amortizacion_Capital_Mensual!S125&gt;0, ROUND(Q125 - Amortizacion_Capital_Mensual!S125, 2), "")</f>
        <v/>
      </c>
      <c r="S125" s="23">
        <f>IF(Amortizacion_Capital_Mensual!T125&gt;0, ROUND(R125 - Amortizacion_Capital_Mensual!T125, 2), "")</f>
        <v/>
      </c>
      <c r="T125" s="23" t="inlineStr"/>
      <c r="U125" s="23">
        <f>MAX(I125:T125)</f>
        <v/>
      </c>
    </row>
    <row r="126">
      <c r="A126" s="26" t="inlineStr">
        <is>
          <t>0651-0001</t>
        </is>
      </c>
      <c r="B126" s="27" t="inlineStr">
        <is>
          <t>Asme Sa de Cv</t>
        </is>
      </c>
      <c r="C126" s="27" t="inlineStr">
        <is>
          <t>Compass High Altitude</t>
        </is>
      </c>
      <c r="D126" s="26" t="inlineStr">
        <is>
          <t>ACTIVO</t>
        </is>
      </c>
      <c r="E126" s="26" t="inlineStr">
        <is>
          <t>2024-02-28</t>
        </is>
      </c>
      <c r="F126" s="26" t="inlineStr">
        <is>
          <t>2028-02-28</t>
        </is>
      </c>
      <c r="G126" s="28" t="n">
        <v>48</v>
      </c>
      <c r="H126" s="29" t="n">
        <v>452525.86</v>
      </c>
      <c r="I126" s="29">
        <f>IF(Amortizacion_Capital_Mensual!J126&gt;0, ROUND(354764.96 - Amortizacion_Capital_Mensual!J126, 2), "")</f>
        <v/>
      </c>
      <c r="J126" s="29">
        <f>IF(Amortizacion_Capital_Mensual!K126&gt;0, ROUND(I126 - Amortizacion_Capital_Mensual!K126, 2), "")</f>
        <v/>
      </c>
      <c r="K126" s="29">
        <f>IF(Amortizacion_Capital_Mensual!L126&gt;0, ROUND(J126 - Amortizacion_Capital_Mensual!L126, 2), "")</f>
        <v/>
      </c>
      <c r="L126" s="29">
        <f>IF(Amortizacion_Capital_Mensual!M126&gt;0, ROUND(K126 - Amortizacion_Capital_Mensual!M126, 2), "")</f>
        <v/>
      </c>
      <c r="M126" s="29">
        <f>IF(Amortizacion_Capital_Mensual!N126&gt;0, ROUND(L126 - Amortizacion_Capital_Mensual!N126, 2), "")</f>
        <v/>
      </c>
      <c r="N126" s="29">
        <f>IF(Amortizacion_Capital_Mensual!O126&gt;0, ROUND(M126 - Amortizacion_Capital_Mensual!O126, 2), "")</f>
        <v/>
      </c>
      <c r="O126" s="29">
        <f>IF(Amortizacion_Capital_Mensual!P126&gt;0, ROUND(N126 - Amortizacion_Capital_Mensual!P126, 2), "")</f>
        <v/>
      </c>
      <c r="P126" s="29">
        <f>IF(Amortizacion_Capital_Mensual!Q126&gt;0, ROUND(O126 - Amortizacion_Capital_Mensual!Q126, 2), "")</f>
        <v/>
      </c>
      <c r="Q126" s="29">
        <f>IF(Amortizacion_Capital_Mensual!R126&gt;0, ROUND(P126 - Amortizacion_Capital_Mensual!R126, 2), "")</f>
        <v/>
      </c>
      <c r="R126" s="29">
        <f>IF(Amortizacion_Capital_Mensual!S126&gt;0, ROUND(Q126 - Amortizacion_Capital_Mensual!S126, 2), "")</f>
        <v/>
      </c>
      <c r="S126" s="29">
        <f>IF(Amortizacion_Capital_Mensual!T126&gt;0, ROUND(R126 - Amortizacion_Capital_Mensual!T126, 2), "")</f>
        <v/>
      </c>
      <c r="T126" s="29">
        <f>IF(Amortizacion_Capital_Mensual!U126&gt;0, ROUND(S126 - Amortizacion_Capital_Mensual!U126, 2), "")</f>
        <v/>
      </c>
      <c r="U126" s="29">
        <f>MAX(I126:T126)</f>
        <v/>
      </c>
    </row>
    <row r="127">
      <c r="A127" s="20" t="inlineStr">
        <is>
          <t>0654-0001</t>
        </is>
      </c>
      <c r="B127" s="21" t="inlineStr">
        <is>
          <t>Veronica Orozco Larios</t>
        </is>
      </c>
      <c r="C127" s="21" t="inlineStr">
        <is>
          <t>Ram 4000</t>
        </is>
      </c>
      <c r="D127" s="20" t="inlineStr">
        <is>
          <t>ACTIVO</t>
        </is>
      </c>
      <c r="E127" s="20" t="inlineStr">
        <is>
          <t>2024-03-20</t>
        </is>
      </c>
      <c r="F127" s="20" t="inlineStr">
        <is>
          <t>2027-03-20</t>
        </is>
      </c>
      <c r="G127" s="22" t="n">
        <v>36</v>
      </c>
      <c r="H127" s="23" t="n">
        <v>732666.62</v>
      </c>
      <c r="I127" s="23">
        <f>IF(Amortizacion_Capital_Mensual!J127&gt;0, ROUND(536295.44 - Amortizacion_Capital_Mensual!J127, 2), "")</f>
        <v/>
      </c>
      <c r="J127" s="23">
        <f>IF(Amortizacion_Capital_Mensual!K127&gt;0, ROUND(I127 - Amortizacion_Capital_Mensual!K127, 2), "")</f>
        <v/>
      </c>
      <c r="K127" s="23">
        <f>IF(Amortizacion_Capital_Mensual!L127&gt;0, ROUND(J127 - Amortizacion_Capital_Mensual!L127, 2), "")</f>
        <v/>
      </c>
      <c r="L127" s="23">
        <f>IF(Amortizacion_Capital_Mensual!M127&gt;0, ROUND(K127 - Amortizacion_Capital_Mensual!M127, 2), "")</f>
        <v/>
      </c>
      <c r="M127" s="23">
        <f>IF(Amortizacion_Capital_Mensual!N127&gt;0, ROUND(L127 - Amortizacion_Capital_Mensual!N127, 2), "")</f>
        <v/>
      </c>
      <c r="N127" s="23">
        <f>IF(Amortizacion_Capital_Mensual!O127&gt;0, ROUND(M127 - Amortizacion_Capital_Mensual!O127, 2), "")</f>
        <v/>
      </c>
      <c r="O127" s="23">
        <f>IF(Amortizacion_Capital_Mensual!P127&gt;0, ROUND(N127 - Amortizacion_Capital_Mensual!P127, 2), "")</f>
        <v/>
      </c>
      <c r="P127" s="23">
        <f>IF(Amortizacion_Capital_Mensual!Q127&gt;0, ROUND(O127 - Amortizacion_Capital_Mensual!Q127, 2), "")</f>
        <v/>
      </c>
      <c r="Q127" s="23">
        <f>IF(Amortizacion_Capital_Mensual!R127&gt;0, ROUND(P127 - Amortizacion_Capital_Mensual!R127, 2), "")</f>
        <v/>
      </c>
      <c r="R127" s="23">
        <f>IF(Amortizacion_Capital_Mensual!S127&gt;0, ROUND(Q127 - Amortizacion_Capital_Mensual!S127, 2), "")</f>
        <v/>
      </c>
      <c r="S127" s="23">
        <f>IF(Amortizacion_Capital_Mensual!T127&gt;0, ROUND(R127 - Amortizacion_Capital_Mensual!T127, 2), "")</f>
        <v/>
      </c>
      <c r="T127" s="23">
        <f>IF(Amortizacion_Capital_Mensual!U127&gt;0, ROUND(S127 - Amortizacion_Capital_Mensual!U127, 2), "")</f>
        <v/>
      </c>
      <c r="U127" s="23">
        <f>MAX(I127:T127)</f>
        <v/>
      </c>
    </row>
    <row r="128">
      <c r="A128" s="26" t="inlineStr">
        <is>
          <t>0655-0001</t>
        </is>
      </c>
      <c r="B128" s="27" t="inlineStr">
        <is>
          <t>Viñedos de la Rivera Sur de Chapala S de Rl de Cv</t>
        </is>
      </c>
      <c r="C128" s="27" t="inlineStr">
        <is>
          <t>Ram 2500 HEMI</t>
        </is>
      </c>
      <c r="D128" s="26" t="inlineStr">
        <is>
          <t>ACTIVO</t>
        </is>
      </c>
      <c r="E128" s="26" t="inlineStr">
        <is>
          <t>2024-04-04</t>
        </is>
      </c>
      <c r="F128" s="26" t="inlineStr">
        <is>
          <t>2027-04-04</t>
        </is>
      </c>
      <c r="G128" s="28" t="n">
        <v>36</v>
      </c>
      <c r="H128" s="29" t="n">
        <v>589586.21</v>
      </c>
      <c r="I128" s="29">
        <f>IF(Amortizacion_Capital_Mensual!J128&gt;0, ROUND(441318.0 - Amortizacion_Capital_Mensual!J128, 2), "")</f>
        <v/>
      </c>
      <c r="J128" s="29">
        <f>IF(Amortizacion_Capital_Mensual!K128&gt;0, ROUND(I128 - Amortizacion_Capital_Mensual!K128, 2), "")</f>
        <v/>
      </c>
      <c r="K128" s="29">
        <f>IF(Amortizacion_Capital_Mensual!L128&gt;0, ROUND(J128 - Amortizacion_Capital_Mensual!L128, 2), "")</f>
        <v/>
      </c>
      <c r="L128" s="29">
        <f>IF(Amortizacion_Capital_Mensual!M128&gt;0, ROUND(K128 - Amortizacion_Capital_Mensual!M128, 2), "")</f>
        <v/>
      </c>
      <c r="M128" s="29">
        <f>IF(Amortizacion_Capital_Mensual!N128&gt;0, ROUND(L128 - Amortizacion_Capital_Mensual!N128, 2), "")</f>
        <v/>
      </c>
      <c r="N128" s="29">
        <f>IF(Amortizacion_Capital_Mensual!O128&gt;0, ROUND(M128 - Amortizacion_Capital_Mensual!O128, 2), "")</f>
        <v/>
      </c>
      <c r="O128" s="29">
        <f>IF(Amortizacion_Capital_Mensual!P128&gt;0, ROUND(N128 - Amortizacion_Capital_Mensual!P128, 2), "")</f>
        <v/>
      </c>
      <c r="P128" s="29">
        <f>IF(Amortizacion_Capital_Mensual!Q128&gt;0, ROUND(O128 - Amortizacion_Capital_Mensual!Q128, 2), "")</f>
        <v/>
      </c>
      <c r="Q128" s="29">
        <f>IF(Amortizacion_Capital_Mensual!R128&gt;0, ROUND(P128 - Amortizacion_Capital_Mensual!R128, 2), "")</f>
        <v/>
      </c>
      <c r="R128" s="29">
        <f>IF(Amortizacion_Capital_Mensual!S128&gt;0, ROUND(Q128 - Amortizacion_Capital_Mensual!S128, 2), "")</f>
        <v/>
      </c>
      <c r="S128" s="29">
        <f>IF(Amortizacion_Capital_Mensual!T128&gt;0, ROUND(R128 - Amortizacion_Capital_Mensual!T128, 2), "")</f>
        <v/>
      </c>
      <c r="T128" s="29">
        <f>IF(Amortizacion_Capital_Mensual!U128&gt;0, ROUND(S128 - Amortizacion_Capital_Mensual!U128, 2), "")</f>
        <v/>
      </c>
      <c r="U128" s="29">
        <f>MAX(I128:T128)</f>
        <v/>
      </c>
    </row>
    <row r="129">
      <c r="A129" s="20" t="inlineStr">
        <is>
          <t>0658-0001</t>
        </is>
      </c>
      <c r="B129" s="21" t="inlineStr">
        <is>
          <t>Esteban Polanco Navarro</t>
        </is>
      </c>
      <c r="C129" s="21" t="inlineStr">
        <is>
          <t>RAM 1500 Long Horn</t>
        </is>
      </c>
      <c r="D129" s="20" t="inlineStr">
        <is>
          <t>ACTIVO</t>
        </is>
      </c>
      <c r="E129" s="20" t="inlineStr">
        <is>
          <t>2024-05-17</t>
        </is>
      </c>
      <c r="F129" s="20" t="inlineStr">
        <is>
          <t>2028-05-17</t>
        </is>
      </c>
      <c r="G129" s="22" t="n">
        <v>48</v>
      </c>
      <c r="H129" s="23" t="n">
        <v>1024068.97</v>
      </c>
      <c r="I129" s="23">
        <f>IF(Amortizacion_Capital_Mensual!J129&gt;0, ROUND(832236.95 - Amortizacion_Capital_Mensual!J129, 2), "")</f>
        <v/>
      </c>
      <c r="J129" s="23">
        <f>IF(Amortizacion_Capital_Mensual!K129&gt;0, ROUND(I129 - Amortizacion_Capital_Mensual!K129, 2), "")</f>
        <v/>
      </c>
      <c r="K129" s="23">
        <f>IF(Amortizacion_Capital_Mensual!L129&gt;0, ROUND(J129 - Amortizacion_Capital_Mensual!L129, 2), "")</f>
        <v/>
      </c>
      <c r="L129" s="23">
        <f>IF(Amortizacion_Capital_Mensual!M129&gt;0, ROUND(K129 - Amortizacion_Capital_Mensual!M129, 2), "")</f>
        <v/>
      </c>
      <c r="M129" s="23">
        <f>IF(Amortizacion_Capital_Mensual!N129&gt;0, ROUND(L129 - Amortizacion_Capital_Mensual!N129, 2), "")</f>
        <v/>
      </c>
      <c r="N129" s="23">
        <f>IF(Amortizacion_Capital_Mensual!O129&gt;0, ROUND(M129 - Amortizacion_Capital_Mensual!O129, 2), "")</f>
        <v/>
      </c>
      <c r="O129" s="23">
        <f>IF(Amortizacion_Capital_Mensual!P129&gt;0, ROUND(N129 - Amortizacion_Capital_Mensual!P129, 2), "")</f>
        <v/>
      </c>
      <c r="P129" s="23">
        <f>IF(Amortizacion_Capital_Mensual!Q129&gt;0, ROUND(O129 - Amortizacion_Capital_Mensual!Q129, 2), "")</f>
        <v/>
      </c>
      <c r="Q129" s="23">
        <f>IF(Amortizacion_Capital_Mensual!R129&gt;0, ROUND(P129 - Amortizacion_Capital_Mensual!R129, 2), "")</f>
        <v/>
      </c>
      <c r="R129" s="23">
        <f>IF(Amortizacion_Capital_Mensual!S129&gt;0, ROUND(Q129 - Amortizacion_Capital_Mensual!S129, 2), "")</f>
        <v/>
      </c>
      <c r="S129" s="23">
        <f>IF(Amortizacion_Capital_Mensual!T129&gt;0, ROUND(R129 - Amortizacion_Capital_Mensual!T129, 2), "")</f>
        <v/>
      </c>
      <c r="T129" s="23">
        <f>IF(Amortizacion_Capital_Mensual!U129&gt;0, ROUND(S129 - Amortizacion_Capital_Mensual!U129, 2), "")</f>
        <v/>
      </c>
      <c r="U129" s="23">
        <f>MAX(I129:T129)</f>
        <v/>
      </c>
    </row>
    <row r="130">
      <c r="A130" s="26" t="inlineStr">
        <is>
          <t>0660-0001</t>
        </is>
      </c>
      <c r="B130" s="27" t="inlineStr">
        <is>
          <t>Big Buck Capital sc</t>
        </is>
      </c>
      <c r="C130" s="27" t="inlineStr">
        <is>
          <t>MG 5</t>
        </is>
      </c>
      <c r="D130" s="26" t="inlineStr">
        <is>
          <t>ACTIVO</t>
        </is>
      </c>
      <c r="E130" s="26" t="inlineStr">
        <is>
          <t>2024-05-22</t>
        </is>
      </c>
      <c r="F130" s="26" t="inlineStr">
        <is>
          <t>2028-05-22</t>
        </is>
      </c>
      <c r="G130" s="28" t="n">
        <v>48</v>
      </c>
      <c r="H130" s="29" t="n">
        <v>242767.24</v>
      </c>
      <c r="I130" s="29">
        <f>IF(Amortizacion_Capital_Mensual!J130&gt;0, ROUND(192187.48 - Amortizacion_Capital_Mensual!J130, 2), "")</f>
        <v/>
      </c>
      <c r="J130" s="29">
        <f>IF(Amortizacion_Capital_Mensual!K130&gt;0, ROUND(I130 - Amortizacion_Capital_Mensual!K130, 2), "")</f>
        <v/>
      </c>
      <c r="K130" s="29">
        <f>IF(Amortizacion_Capital_Mensual!L130&gt;0, ROUND(J130 - Amortizacion_Capital_Mensual!L130, 2), "")</f>
        <v/>
      </c>
      <c r="L130" s="29">
        <f>IF(Amortizacion_Capital_Mensual!M130&gt;0, ROUND(K130 - Amortizacion_Capital_Mensual!M130, 2), "")</f>
        <v/>
      </c>
      <c r="M130" s="29">
        <f>IF(Amortizacion_Capital_Mensual!N130&gt;0, ROUND(L130 - Amortizacion_Capital_Mensual!N130, 2), "")</f>
        <v/>
      </c>
      <c r="N130" s="29">
        <f>IF(Amortizacion_Capital_Mensual!O130&gt;0, ROUND(M130 - Amortizacion_Capital_Mensual!O130, 2), "")</f>
        <v/>
      </c>
      <c r="O130" s="29">
        <f>IF(Amortizacion_Capital_Mensual!P130&gt;0, ROUND(N130 - Amortizacion_Capital_Mensual!P130, 2), "")</f>
        <v/>
      </c>
      <c r="P130" s="29">
        <f>IF(Amortizacion_Capital_Mensual!Q130&gt;0, ROUND(O130 - Amortizacion_Capital_Mensual!Q130, 2), "")</f>
        <v/>
      </c>
      <c r="Q130" s="29">
        <f>IF(Amortizacion_Capital_Mensual!R130&gt;0, ROUND(P130 - Amortizacion_Capital_Mensual!R130, 2), "")</f>
        <v/>
      </c>
      <c r="R130" s="29">
        <f>IF(Amortizacion_Capital_Mensual!S130&gt;0, ROUND(Q130 - Amortizacion_Capital_Mensual!S130, 2), "")</f>
        <v/>
      </c>
      <c r="S130" s="29">
        <f>IF(Amortizacion_Capital_Mensual!T130&gt;0, ROUND(R130 - Amortizacion_Capital_Mensual!T130, 2), "")</f>
        <v/>
      </c>
      <c r="T130" s="29">
        <f>IF(Amortizacion_Capital_Mensual!U130&gt;0, ROUND(S130 - Amortizacion_Capital_Mensual!U130, 2), "")</f>
        <v/>
      </c>
      <c r="U130" s="29">
        <f>MAX(I130:T130)</f>
        <v/>
      </c>
    </row>
    <row r="131">
      <c r="A131" s="20" t="inlineStr">
        <is>
          <t>0660-0002</t>
        </is>
      </c>
      <c r="B131" s="21" t="inlineStr">
        <is>
          <t>Big Buck Capital Sc</t>
        </is>
      </c>
      <c r="C131" s="21" t="inlineStr">
        <is>
          <t>Sienna</t>
        </is>
      </c>
      <c r="D131" s="20" t="inlineStr">
        <is>
          <t>ACTIVO</t>
        </is>
      </c>
      <c r="E131" s="20" t="inlineStr">
        <is>
          <t>2025-04-09</t>
        </is>
      </c>
      <c r="F131" s="20" t="inlineStr">
        <is>
          <t>2029-04-09</t>
        </is>
      </c>
      <c r="G131" s="22" t="n">
        <v>48</v>
      </c>
      <c r="H131" s="23" t="n">
        <v>729232.76</v>
      </c>
      <c r="I131" s="23">
        <f>IF(Amortizacion_Capital_Mensual!J131&gt;0, ROUND(661347.64 - Amortizacion_Capital_Mensual!J131, 2), "")</f>
        <v/>
      </c>
      <c r="J131" s="23">
        <f>IF(Amortizacion_Capital_Mensual!K131&gt;0, ROUND(I131 - Amortizacion_Capital_Mensual!K131, 2), "")</f>
        <v/>
      </c>
      <c r="K131" s="23">
        <f>IF(Amortizacion_Capital_Mensual!L131&gt;0, ROUND(J131 - Amortizacion_Capital_Mensual!L131, 2), "")</f>
        <v/>
      </c>
      <c r="L131" s="23">
        <f>IF(Amortizacion_Capital_Mensual!M131&gt;0, ROUND(K131 - Amortizacion_Capital_Mensual!M131, 2), "")</f>
        <v/>
      </c>
      <c r="M131" s="23">
        <f>IF(Amortizacion_Capital_Mensual!N131&gt;0, ROUND(L131 - Amortizacion_Capital_Mensual!N131, 2), "")</f>
        <v/>
      </c>
      <c r="N131" s="23">
        <f>IF(Amortizacion_Capital_Mensual!O131&gt;0, ROUND(M131 - Amortizacion_Capital_Mensual!O131, 2), "")</f>
        <v/>
      </c>
      <c r="O131" s="23">
        <f>IF(Amortizacion_Capital_Mensual!P131&gt;0, ROUND(N131 - Amortizacion_Capital_Mensual!P131, 2), "")</f>
        <v/>
      </c>
      <c r="P131" s="23">
        <f>IF(Amortizacion_Capital_Mensual!Q131&gt;0, ROUND(O131 - Amortizacion_Capital_Mensual!Q131, 2), "")</f>
        <v/>
      </c>
      <c r="Q131" s="23">
        <f>IF(Amortizacion_Capital_Mensual!R131&gt;0, ROUND(P131 - Amortizacion_Capital_Mensual!R131, 2), "")</f>
        <v/>
      </c>
      <c r="R131" s="23">
        <f>IF(Amortizacion_Capital_Mensual!S131&gt;0, ROUND(Q131 - Amortizacion_Capital_Mensual!S131, 2), "")</f>
        <v/>
      </c>
      <c r="S131" s="23">
        <f>IF(Amortizacion_Capital_Mensual!T131&gt;0, ROUND(R131 - Amortizacion_Capital_Mensual!T131, 2), "")</f>
        <v/>
      </c>
      <c r="T131" s="23">
        <f>IF(Amortizacion_Capital_Mensual!U131&gt;0, ROUND(S131 - Amortizacion_Capital_Mensual!U131, 2), "")</f>
        <v/>
      </c>
      <c r="U131" s="23">
        <f>MAX(I131:T131)</f>
        <v/>
      </c>
    </row>
    <row r="132">
      <c r="A132" s="26" t="inlineStr">
        <is>
          <t>0661-0001</t>
        </is>
      </c>
      <c r="B132" s="27" t="inlineStr">
        <is>
          <t>Veta Vertical Home Sa de Cv</t>
        </is>
      </c>
      <c r="C132" s="27" t="inlineStr">
        <is>
          <t>3008 Allure Pack</t>
        </is>
      </c>
      <c r="D132" s="26" t="inlineStr">
        <is>
          <t>ACTIVO</t>
        </is>
      </c>
      <c r="E132" s="26" t="inlineStr">
        <is>
          <t>2024-06-27</t>
        </is>
      </c>
      <c r="F132" s="26" t="inlineStr">
        <is>
          <t>2028-06-27</t>
        </is>
      </c>
      <c r="G132" s="28" t="n">
        <v>48</v>
      </c>
      <c r="H132" s="29" t="n">
        <v>360512.69</v>
      </c>
      <c r="I132" s="29">
        <f>IF(Amortizacion_Capital_Mensual!J132&gt;0, ROUND(301304.5 - Amortizacion_Capital_Mensual!J132, 2), "")</f>
        <v/>
      </c>
      <c r="J132" s="29">
        <f>IF(Amortizacion_Capital_Mensual!K132&gt;0, ROUND(I132 - Amortizacion_Capital_Mensual!K132, 2), "")</f>
        <v/>
      </c>
      <c r="K132" s="29">
        <f>IF(Amortizacion_Capital_Mensual!L132&gt;0, ROUND(J132 - Amortizacion_Capital_Mensual!L132, 2), "")</f>
        <v/>
      </c>
      <c r="L132" s="29">
        <f>IF(Amortizacion_Capital_Mensual!M132&gt;0, ROUND(K132 - Amortizacion_Capital_Mensual!M132, 2), "")</f>
        <v/>
      </c>
      <c r="M132" s="29">
        <f>IF(Amortizacion_Capital_Mensual!N132&gt;0, ROUND(L132 - Amortizacion_Capital_Mensual!N132, 2), "")</f>
        <v/>
      </c>
      <c r="N132" s="29">
        <f>IF(Amortizacion_Capital_Mensual!O132&gt;0, ROUND(M132 - Amortizacion_Capital_Mensual!O132, 2), "")</f>
        <v/>
      </c>
      <c r="O132" s="29">
        <f>IF(Amortizacion_Capital_Mensual!P132&gt;0, ROUND(N132 - Amortizacion_Capital_Mensual!P132, 2), "")</f>
        <v/>
      </c>
      <c r="P132" s="29">
        <f>IF(Amortizacion_Capital_Mensual!Q132&gt;0, ROUND(O132 - Amortizacion_Capital_Mensual!Q132, 2), "")</f>
        <v/>
      </c>
      <c r="Q132" s="29">
        <f>IF(Amortizacion_Capital_Mensual!R132&gt;0, ROUND(P132 - Amortizacion_Capital_Mensual!R132, 2), "")</f>
        <v/>
      </c>
      <c r="R132" s="29">
        <f>IF(Amortizacion_Capital_Mensual!S132&gt;0, ROUND(Q132 - Amortizacion_Capital_Mensual!S132, 2), "")</f>
        <v/>
      </c>
      <c r="S132" s="29">
        <f>IF(Amortizacion_Capital_Mensual!T132&gt;0, ROUND(R132 - Amortizacion_Capital_Mensual!T132, 2), "")</f>
        <v/>
      </c>
      <c r="T132" s="29">
        <f>IF(Amortizacion_Capital_Mensual!U132&gt;0, ROUND(S132 - Amortizacion_Capital_Mensual!U132, 2), "")</f>
        <v/>
      </c>
      <c r="U132" s="29">
        <f>MAX(I132:T132)</f>
        <v/>
      </c>
    </row>
    <row r="133">
      <c r="A133" s="20" t="inlineStr">
        <is>
          <t>0662-0001</t>
        </is>
      </c>
      <c r="B133" s="21" t="inlineStr">
        <is>
          <t>Luis Jorge de Loera Perez</t>
        </is>
      </c>
      <c r="C133" s="21" t="inlineStr">
        <is>
          <t>L200 GLX Diesel</t>
        </is>
      </c>
      <c r="D133" s="20" t="inlineStr">
        <is>
          <t>ACTIVO</t>
        </is>
      </c>
      <c r="E133" s="20" t="inlineStr">
        <is>
          <t>2024-06-28</t>
        </is>
      </c>
      <c r="F133" s="20" t="inlineStr">
        <is>
          <t>2028-06-28</t>
        </is>
      </c>
      <c r="G133" s="22" t="n">
        <v>48</v>
      </c>
      <c r="H133" s="23" t="n">
        <v>445724.14</v>
      </c>
      <c r="I133" s="23">
        <f>IF(Amortizacion_Capital_Mensual!J133&gt;0, ROUND(367753.09 - Amortizacion_Capital_Mensual!J133, 2), "")</f>
        <v/>
      </c>
      <c r="J133" s="23">
        <f>IF(Amortizacion_Capital_Mensual!K133&gt;0, ROUND(I133 - Amortizacion_Capital_Mensual!K133, 2), "")</f>
        <v/>
      </c>
      <c r="K133" s="23">
        <f>IF(Amortizacion_Capital_Mensual!L133&gt;0, ROUND(J133 - Amortizacion_Capital_Mensual!L133, 2), "")</f>
        <v/>
      </c>
      <c r="L133" s="23">
        <f>IF(Amortizacion_Capital_Mensual!M133&gt;0, ROUND(K133 - Amortizacion_Capital_Mensual!M133, 2), "")</f>
        <v/>
      </c>
      <c r="M133" s="23">
        <f>IF(Amortizacion_Capital_Mensual!N133&gt;0, ROUND(L133 - Amortizacion_Capital_Mensual!N133, 2), "")</f>
        <v/>
      </c>
      <c r="N133" s="23">
        <f>IF(Amortizacion_Capital_Mensual!O133&gt;0, ROUND(M133 - Amortizacion_Capital_Mensual!O133, 2), "")</f>
        <v/>
      </c>
      <c r="O133" s="23">
        <f>IF(Amortizacion_Capital_Mensual!P133&gt;0, ROUND(N133 - Amortizacion_Capital_Mensual!P133, 2), "")</f>
        <v/>
      </c>
      <c r="P133" s="23">
        <f>IF(Amortizacion_Capital_Mensual!Q133&gt;0, ROUND(O133 - Amortizacion_Capital_Mensual!Q133, 2), "")</f>
        <v/>
      </c>
      <c r="Q133" s="23">
        <f>IF(Amortizacion_Capital_Mensual!R133&gt;0, ROUND(P133 - Amortizacion_Capital_Mensual!R133, 2), "")</f>
        <v/>
      </c>
      <c r="R133" s="23">
        <f>IF(Amortizacion_Capital_Mensual!S133&gt;0, ROUND(Q133 - Amortizacion_Capital_Mensual!S133, 2), "")</f>
        <v/>
      </c>
      <c r="S133" s="23">
        <f>IF(Amortizacion_Capital_Mensual!T133&gt;0, ROUND(R133 - Amortizacion_Capital_Mensual!T133, 2), "")</f>
        <v/>
      </c>
      <c r="T133" s="23">
        <f>IF(Amortizacion_Capital_Mensual!U133&gt;0, ROUND(S133 - Amortizacion_Capital_Mensual!U133, 2), "")</f>
        <v/>
      </c>
      <c r="U133" s="23">
        <f>MAX(I133:T133)</f>
        <v/>
      </c>
    </row>
    <row r="134">
      <c r="A134" s="26" t="inlineStr">
        <is>
          <t>0662-0002</t>
        </is>
      </c>
      <c r="B134" s="27" t="inlineStr">
        <is>
          <t>Luis Jorge De Loera Perez</t>
        </is>
      </c>
      <c r="C134" s="27" t="inlineStr">
        <is>
          <t>NP 300</t>
        </is>
      </c>
      <c r="D134" s="26" t="inlineStr">
        <is>
          <t>ACTIVO</t>
        </is>
      </c>
      <c r="E134" s="26" t="inlineStr">
        <is>
          <t>2025-02-06</t>
        </is>
      </c>
      <c r="F134" s="26" t="inlineStr">
        <is>
          <t>2029-02-06</t>
        </is>
      </c>
      <c r="G134" s="28" t="n">
        <v>48</v>
      </c>
      <c r="H134" s="29" t="n">
        <v>394060.35</v>
      </c>
      <c r="I134" s="29">
        <f>IF(Amortizacion_Capital_Mensual!J134&gt;0, ROUND(355865.23 - Amortizacion_Capital_Mensual!J134, 2), "")</f>
        <v/>
      </c>
      <c r="J134" s="29">
        <f>IF(Amortizacion_Capital_Mensual!K134&gt;0, ROUND(I134 - Amortizacion_Capital_Mensual!K134, 2), "")</f>
        <v/>
      </c>
      <c r="K134" s="29">
        <f>IF(Amortizacion_Capital_Mensual!L134&gt;0, ROUND(J134 - Amortizacion_Capital_Mensual!L134, 2), "")</f>
        <v/>
      </c>
      <c r="L134" s="29">
        <f>IF(Amortizacion_Capital_Mensual!M134&gt;0, ROUND(K134 - Amortizacion_Capital_Mensual!M134, 2), "")</f>
        <v/>
      </c>
      <c r="M134" s="29">
        <f>IF(Amortizacion_Capital_Mensual!N134&gt;0, ROUND(L134 - Amortizacion_Capital_Mensual!N134, 2), "")</f>
        <v/>
      </c>
      <c r="N134" s="29">
        <f>IF(Amortizacion_Capital_Mensual!O134&gt;0, ROUND(M134 - Amortizacion_Capital_Mensual!O134, 2), "")</f>
        <v/>
      </c>
      <c r="O134" s="29">
        <f>IF(Amortizacion_Capital_Mensual!P134&gt;0, ROUND(N134 - Amortizacion_Capital_Mensual!P134, 2), "")</f>
        <v/>
      </c>
      <c r="P134" s="29">
        <f>IF(Amortizacion_Capital_Mensual!Q134&gt;0, ROUND(O134 - Amortizacion_Capital_Mensual!Q134, 2), "")</f>
        <v/>
      </c>
      <c r="Q134" s="29">
        <f>IF(Amortizacion_Capital_Mensual!R134&gt;0, ROUND(P134 - Amortizacion_Capital_Mensual!R134, 2), "")</f>
        <v/>
      </c>
      <c r="R134" s="29">
        <f>IF(Amortizacion_Capital_Mensual!S134&gt;0, ROUND(Q134 - Amortizacion_Capital_Mensual!S134, 2), "")</f>
        <v/>
      </c>
      <c r="S134" s="29">
        <f>IF(Amortizacion_Capital_Mensual!T134&gt;0, ROUND(R134 - Amortizacion_Capital_Mensual!T134, 2), "")</f>
        <v/>
      </c>
      <c r="T134" s="29">
        <f>IF(Amortizacion_Capital_Mensual!U134&gt;0, ROUND(S134 - Amortizacion_Capital_Mensual!U134, 2), "")</f>
        <v/>
      </c>
      <c r="U134" s="29">
        <f>MAX(I134:T134)</f>
        <v/>
      </c>
    </row>
    <row r="135">
      <c r="A135" s="20" t="inlineStr">
        <is>
          <t>0662-0003</t>
        </is>
      </c>
      <c r="B135" s="21" t="inlineStr">
        <is>
          <t>Luis Jorge De Loera Perez</t>
        </is>
      </c>
      <c r="C135" s="21" t="inlineStr">
        <is>
          <t>Rav 4</t>
        </is>
      </c>
      <c r="D135" s="20" t="inlineStr">
        <is>
          <t>ACTIVO</t>
        </is>
      </c>
      <c r="E135" s="20" t="inlineStr">
        <is>
          <t>2025-03-27</t>
        </is>
      </c>
      <c r="F135" s="20" t="inlineStr">
        <is>
          <t>2029-03-27</t>
        </is>
      </c>
      <c r="G135" s="22" t="n">
        <v>48</v>
      </c>
      <c r="H135" s="23" t="n">
        <v>402122.18</v>
      </c>
      <c r="I135" s="23">
        <f>IF(Amortizacion_Capital_Mensual!J135&gt;0, ROUND(368695.37 - Amortizacion_Capital_Mensual!J135, 2), "")</f>
        <v/>
      </c>
      <c r="J135" s="23">
        <f>IF(Amortizacion_Capital_Mensual!K135&gt;0, ROUND(I135 - Amortizacion_Capital_Mensual!K135, 2), "")</f>
        <v/>
      </c>
      <c r="K135" s="23">
        <f>IF(Amortizacion_Capital_Mensual!L135&gt;0, ROUND(J135 - Amortizacion_Capital_Mensual!L135, 2), "")</f>
        <v/>
      </c>
      <c r="L135" s="23">
        <f>IF(Amortizacion_Capital_Mensual!M135&gt;0, ROUND(K135 - Amortizacion_Capital_Mensual!M135, 2), "")</f>
        <v/>
      </c>
      <c r="M135" s="23">
        <f>IF(Amortizacion_Capital_Mensual!N135&gt;0, ROUND(L135 - Amortizacion_Capital_Mensual!N135, 2), "")</f>
        <v/>
      </c>
      <c r="N135" s="23">
        <f>IF(Amortizacion_Capital_Mensual!O135&gt;0, ROUND(M135 - Amortizacion_Capital_Mensual!O135, 2), "")</f>
        <v/>
      </c>
      <c r="O135" s="23">
        <f>IF(Amortizacion_Capital_Mensual!P135&gt;0, ROUND(N135 - Amortizacion_Capital_Mensual!P135, 2), "")</f>
        <v/>
      </c>
      <c r="P135" s="23">
        <f>IF(Amortizacion_Capital_Mensual!Q135&gt;0, ROUND(O135 - Amortizacion_Capital_Mensual!Q135, 2), "")</f>
        <v/>
      </c>
      <c r="Q135" s="23">
        <f>IF(Amortizacion_Capital_Mensual!R135&gt;0, ROUND(P135 - Amortizacion_Capital_Mensual!R135, 2), "")</f>
        <v/>
      </c>
      <c r="R135" s="23">
        <f>IF(Amortizacion_Capital_Mensual!S135&gt;0, ROUND(Q135 - Amortizacion_Capital_Mensual!S135, 2), "")</f>
        <v/>
      </c>
      <c r="S135" s="23">
        <f>IF(Amortizacion_Capital_Mensual!T135&gt;0, ROUND(R135 - Amortizacion_Capital_Mensual!T135, 2), "")</f>
        <v/>
      </c>
      <c r="T135" s="23">
        <f>IF(Amortizacion_Capital_Mensual!U135&gt;0, ROUND(S135 - Amortizacion_Capital_Mensual!U135, 2), "")</f>
        <v/>
      </c>
      <c r="U135" s="23">
        <f>MAX(I135:T135)</f>
        <v/>
      </c>
    </row>
    <row r="136">
      <c r="A136" s="26" t="inlineStr">
        <is>
          <t>0663-0001</t>
        </is>
      </c>
      <c r="B136" s="27" t="inlineStr">
        <is>
          <t>Soluciones de Transporte de Carga B de Sa de Cv</t>
        </is>
      </c>
      <c r="C136" s="27" t="inlineStr">
        <is>
          <t>L200 GLX Diesel</t>
        </is>
      </c>
      <c r="D136" s="26" t="inlineStr">
        <is>
          <t>ACTIVO</t>
        </is>
      </c>
      <c r="E136" s="26" t="inlineStr">
        <is>
          <t>2024-07-31</t>
        </is>
      </c>
      <c r="F136" s="26" t="inlineStr">
        <is>
          <t>2028-07-31</t>
        </is>
      </c>
      <c r="G136" s="28" t="n">
        <v>48</v>
      </c>
      <c r="H136" s="29" t="n">
        <v>483086.64</v>
      </c>
      <c r="I136" s="29">
        <f>IF(Amortizacion_Capital_Mensual!J136&gt;0, ROUND(401444.52 - Amortizacion_Capital_Mensual!J136, 2), "")</f>
        <v/>
      </c>
      <c r="J136" s="29">
        <f>IF(Amortizacion_Capital_Mensual!K136&gt;0, ROUND(I136 - Amortizacion_Capital_Mensual!K136, 2), "")</f>
        <v/>
      </c>
      <c r="K136" s="29">
        <f>IF(Amortizacion_Capital_Mensual!L136&gt;0, ROUND(J136 - Amortizacion_Capital_Mensual!L136, 2), "")</f>
        <v/>
      </c>
      <c r="L136" s="29">
        <f>IF(Amortizacion_Capital_Mensual!M136&gt;0, ROUND(K136 - Amortizacion_Capital_Mensual!M136, 2), "")</f>
        <v/>
      </c>
      <c r="M136" s="29">
        <f>IF(Amortizacion_Capital_Mensual!N136&gt;0, ROUND(L136 - Amortizacion_Capital_Mensual!N136, 2), "")</f>
        <v/>
      </c>
      <c r="N136" s="29">
        <f>IF(Amortizacion_Capital_Mensual!O136&gt;0, ROUND(M136 - Amortizacion_Capital_Mensual!O136, 2), "")</f>
        <v/>
      </c>
      <c r="O136" s="29">
        <f>IF(Amortizacion_Capital_Mensual!P136&gt;0, ROUND(N136 - Amortizacion_Capital_Mensual!P136, 2), "")</f>
        <v/>
      </c>
      <c r="P136" s="29">
        <f>IF(Amortizacion_Capital_Mensual!Q136&gt;0, ROUND(O136 - Amortizacion_Capital_Mensual!Q136, 2), "")</f>
        <v/>
      </c>
      <c r="Q136" s="29">
        <f>IF(Amortizacion_Capital_Mensual!R136&gt;0, ROUND(P136 - Amortizacion_Capital_Mensual!R136, 2), "")</f>
        <v/>
      </c>
      <c r="R136" s="29">
        <f>IF(Amortizacion_Capital_Mensual!S136&gt;0, ROUND(Q136 - Amortizacion_Capital_Mensual!S136, 2), "")</f>
        <v/>
      </c>
      <c r="S136" s="29">
        <f>IF(Amortizacion_Capital_Mensual!T136&gt;0, ROUND(R136 - Amortizacion_Capital_Mensual!T136, 2), "")</f>
        <v/>
      </c>
      <c r="T136" s="29">
        <f>IF(Amortizacion_Capital_Mensual!U136&gt;0, ROUND(S136 - Amortizacion_Capital_Mensual!U136, 2), "")</f>
        <v/>
      </c>
      <c r="U136" s="29">
        <f>MAX(I136:T136)</f>
        <v/>
      </c>
    </row>
    <row r="137">
      <c r="A137" s="20" t="inlineStr">
        <is>
          <t>0663-0002</t>
        </is>
      </c>
      <c r="B137" s="21" t="inlineStr">
        <is>
          <t>Diego Hazael Morales Iñiguez</t>
        </is>
      </c>
      <c r="C137" s="21" t="inlineStr">
        <is>
          <t>Wrangler Rubicon</t>
        </is>
      </c>
      <c r="D137" s="20" t="inlineStr">
        <is>
          <t>ACTIVO</t>
        </is>
      </c>
      <c r="E137" s="20" t="inlineStr">
        <is>
          <t>2025-01-16</t>
        </is>
      </c>
      <c r="F137" s="20" t="inlineStr">
        <is>
          <t>2029-01-16</t>
        </is>
      </c>
      <c r="G137" s="22" t="n">
        <v>48</v>
      </c>
      <c r="H137" s="23" t="n">
        <v>632534.48</v>
      </c>
      <c r="I137" s="23">
        <f>IF(Amortizacion_Capital_Mensual!J137&gt;0, ROUND(562222.75 - Amortizacion_Capital_Mensual!J137, 2), "")</f>
        <v/>
      </c>
      <c r="J137" s="23">
        <f>IF(Amortizacion_Capital_Mensual!K137&gt;0, ROUND(I137 - Amortizacion_Capital_Mensual!K137, 2), "")</f>
        <v/>
      </c>
      <c r="K137" s="23">
        <f>IF(Amortizacion_Capital_Mensual!L137&gt;0, ROUND(J137 - Amortizacion_Capital_Mensual!L137, 2), "")</f>
        <v/>
      </c>
      <c r="L137" s="23">
        <f>IF(Amortizacion_Capital_Mensual!M137&gt;0, ROUND(K137 - Amortizacion_Capital_Mensual!M137, 2), "")</f>
        <v/>
      </c>
      <c r="M137" s="23">
        <f>IF(Amortizacion_Capital_Mensual!N137&gt;0, ROUND(L137 - Amortizacion_Capital_Mensual!N137, 2), "")</f>
        <v/>
      </c>
      <c r="N137" s="23">
        <f>IF(Amortizacion_Capital_Mensual!O137&gt;0, ROUND(M137 - Amortizacion_Capital_Mensual!O137, 2), "")</f>
        <v/>
      </c>
      <c r="O137" s="23">
        <f>IF(Amortizacion_Capital_Mensual!P137&gt;0, ROUND(N137 - Amortizacion_Capital_Mensual!P137, 2), "")</f>
        <v/>
      </c>
      <c r="P137" s="23">
        <f>IF(Amortizacion_Capital_Mensual!Q137&gt;0, ROUND(O137 - Amortizacion_Capital_Mensual!Q137, 2), "")</f>
        <v/>
      </c>
      <c r="Q137" s="23">
        <f>IF(Amortizacion_Capital_Mensual!R137&gt;0, ROUND(P137 - Amortizacion_Capital_Mensual!R137, 2), "")</f>
        <v/>
      </c>
      <c r="R137" s="23">
        <f>IF(Amortizacion_Capital_Mensual!S137&gt;0, ROUND(Q137 - Amortizacion_Capital_Mensual!S137, 2), "")</f>
        <v/>
      </c>
      <c r="S137" s="23">
        <f>IF(Amortizacion_Capital_Mensual!T137&gt;0, ROUND(R137 - Amortizacion_Capital_Mensual!T137, 2), "")</f>
        <v/>
      </c>
      <c r="T137" s="23">
        <f>IF(Amortizacion_Capital_Mensual!U137&gt;0, ROUND(S137 - Amortizacion_Capital_Mensual!U137, 2), "")</f>
        <v/>
      </c>
      <c r="U137" s="23">
        <f>MAX(I137:T137)</f>
        <v/>
      </c>
    </row>
    <row r="138">
      <c r="A138" s="26" t="inlineStr">
        <is>
          <t>0665-0001</t>
        </is>
      </c>
      <c r="B138" s="27" t="inlineStr">
        <is>
          <t>Dulce Guadalupe Amezcua Gomez</t>
        </is>
      </c>
      <c r="C138" s="27" t="inlineStr">
        <is>
          <t>Wrangler Jt</t>
        </is>
      </c>
      <c r="D138" s="26" t="inlineStr">
        <is>
          <t>ACTIVO</t>
        </is>
      </c>
      <c r="E138" s="26" t="inlineStr">
        <is>
          <t>2024-08-27</t>
        </is>
      </c>
      <c r="F138" s="26" t="inlineStr">
        <is>
          <t>2028-08-27</t>
        </is>
      </c>
      <c r="G138" s="28" t="n">
        <v>48</v>
      </c>
      <c r="H138" s="29" t="n">
        <v>1201861.28</v>
      </c>
      <c r="I138" s="29">
        <f>IF(Amortizacion_Capital_Mensual!J138&gt;0, ROUND(1013419.93 - Amortizacion_Capital_Mensual!J138, 2), "")</f>
        <v/>
      </c>
      <c r="J138" s="29">
        <f>IF(Amortizacion_Capital_Mensual!K138&gt;0, ROUND(I138 - Amortizacion_Capital_Mensual!K138, 2), "")</f>
        <v/>
      </c>
      <c r="K138" s="29">
        <f>IF(Amortizacion_Capital_Mensual!L138&gt;0, ROUND(J138 - Amortizacion_Capital_Mensual!L138, 2), "")</f>
        <v/>
      </c>
      <c r="L138" s="29">
        <f>IF(Amortizacion_Capital_Mensual!M138&gt;0, ROUND(K138 - Amortizacion_Capital_Mensual!M138, 2), "")</f>
        <v/>
      </c>
      <c r="M138" s="29">
        <f>IF(Amortizacion_Capital_Mensual!N138&gt;0, ROUND(L138 - Amortizacion_Capital_Mensual!N138, 2), "")</f>
        <v/>
      </c>
      <c r="N138" s="29">
        <f>IF(Amortizacion_Capital_Mensual!O138&gt;0, ROUND(M138 - Amortizacion_Capital_Mensual!O138, 2), "")</f>
        <v/>
      </c>
      <c r="O138" s="29">
        <f>IF(Amortizacion_Capital_Mensual!P138&gt;0, ROUND(N138 - Amortizacion_Capital_Mensual!P138, 2), "")</f>
        <v/>
      </c>
      <c r="P138" s="29">
        <f>IF(Amortizacion_Capital_Mensual!Q138&gt;0, ROUND(O138 - Amortizacion_Capital_Mensual!Q138, 2), "")</f>
        <v/>
      </c>
      <c r="Q138" s="29">
        <f>IF(Amortizacion_Capital_Mensual!R138&gt;0, ROUND(P138 - Amortizacion_Capital_Mensual!R138, 2), "")</f>
        <v/>
      </c>
      <c r="R138" s="29">
        <f>IF(Amortizacion_Capital_Mensual!S138&gt;0, ROUND(Q138 - Amortizacion_Capital_Mensual!S138, 2), "")</f>
        <v/>
      </c>
      <c r="S138" s="29">
        <f>IF(Amortizacion_Capital_Mensual!T138&gt;0, ROUND(R138 - Amortizacion_Capital_Mensual!T138, 2), "")</f>
        <v/>
      </c>
      <c r="T138" s="29">
        <f>IF(Amortizacion_Capital_Mensual!U138&gt;0, ROUND(S138 - Amortizacion_Capital_Mensual!U138, 2), "")</f>
        <v/>
      </c>
      <c r="U138" s="29">
        <f>MAX(I138:T138)</f>
        <v/>
      </c>
    </row>
    <row r="139">
      <c r="A139" s="20" t="inlineStr">
        <is>
          <t>0666-0003</t>
        </is>
      </c>
      <c r="B139" s="21" t="inlineStr">
        <is>
          <t>Jaime Adrian Muñiz Ramirez</t>
        </is>
      </c>
      <c r="C139" s="21" t="inlineStr">
        <is>
          <t>Wrangler Phev</t>
        </is>
      </c>
      <c r="D139" s="20" t="inlineStr">
        <is>
          <t>ACTIVO</t>
        </is>
      </c>
      <c r="E139" s="20" t="inlineStr">
        <is>
          <t>2024-08-28</t>
        </is>
      </c>
      <c r="F139" s="20" t="inlineStr">
        <is>
          <t>2027-08-28</t>
        </is>
      </c>
      <c r="G139" s="22" t="n">
        <v>36</v>
      </c>
      <c r="H139" s="23" t="n">
        <v>944758.62</v>
      </c>
      <c r="I139" s="23">
        <f>IF(Amortizacion_Capital_Mensual!J139&gt;0, ROUND(765069.54 - Amortizacion_Capital_Mensual!J139, 2), "")</f>
        <v/>
      </c>
      <c r="J139" s="23">
        <f>IF(Amortizacion_Capital_Mensual!K139&gt;0, ROUND(I139 - Amortizacion_Capital_Mensual!K139, 2), "")</f>
        <v/>
      </c>
      <c r="K139" s="23">
        <f>IF(Amortizacion_Capital_Mensual!L139&gt;0, ROUND(J139 - Amortizacion_Capital_Mensual!L139, 2), "")</f>
        <v/>
      </c>
      <c r="L139" s="23">
        <f>IF(Amortizacion_Capital_Mensual!M139&gt;0, ROUND(K139 - Amortizacion_Capital_Mensual!M139, 2), "")</f>
        <v/>
      </c>
      <c r="M139" s="23">
        <f>IF(Amortizacion_Capital_Mensual!N139&gt;0, ROUND(L139 - Amortizacion_Capital_Mensual!N139, 2), "")</f>
        <v/>
      </c>
      <c r="N139" s="23">
        <f>IF(Amortizacion_Capital_Mensual!O139&gt;0, ROUND(M139 - Amortizacion_Capital_Mensual!O139, 2), "")</f>
        <v/>
      </c>
      <c r="O139" s="23">
        <f>IF(Amortizacion_Capital_Mensual!P139&gt;0, ROUND(N139 - Amortizacion_Capital_Mensual!P139, 2), "")</f>
        <v/>
      </c>
      <c r="P139" s="23">
        <f>IF(Amortizacion_Capital_Mensual!Q139&gt;0, ROUND(O139 - Amortizacion_Capital_Mensual!Q139, 2), "")</f>
        <v/>
      </c>
      <c r="Q139" s="23">
        <f>IF(Amortizacion_Capital_Mensual!R139&gt;0, ROUND(P139 - Amortizacion_Capital_Mensual!R139, 2), "")</f>
        <v/>
      </c>
      <c r="R139" s="23">
        <f>IF(Amortizacion_Capital_Mensual!S139&gt;0, ROUND(Q139 - Amortizacion_Capital_Mensual!S139, 2), "")</f>
        <v/>
      </c>
      <c r="S139" s="23">
        <f>IF(Amortizacion_Capital_Mensual!T139&gt;0, ROUND(R139 - Amortizacion_Capital_Mensual!T139, 2), "")</f>
        <v/>
      </c>
      <c r="T139" s="23">
        <f>IF(Amortizacion_Capital_Mensual!U139&gt;0, ROUND(S139 - Amortizacion_Capital_Mensual!U139, 2), "")</f>
        <v/>
      </c>
      <c r="U139" s="23">
        <f>MAX(I139:T139)</f>
        <v/>
      </c>
    </row>
    <row r="140">
      <c r="A140" s="26" t="inlineStr">
        <is>
          <t>0668-0005</t>
        </is>
      </c>
      <c r="B140" s="27" t="inlineStr">
        <is>
          <t>Jorge Alonso Alvarez Garcia</t>
        </is>
      </c>
      <c r="C140" s="27" t="inlineStr">
        <is>
          <t>RAM 700 BIGHORN "S" CREW CAB CVT</t>
        </is>
      </c>
      <c r="D140" s="26" t="inlineStr">
        <is>
          <t>ACTIVO</t>
        </is>
      </c>
      <c r="E140" s="26" t="inlineStr">
        <is>
          <t>2026-03-04</t>
        </is>
      </c>
      <c r="F140" s="26" t="inlineStr">
        <is>
          <t>2027-03-04</t>
        </is>
      </c>
      <c r="G140" s="28" t="n">
        <v>12</v>
      </c>
      <c r="H140" s="29" t="n">
        <v>344017.24</v>
      </c>
      <c r="I140" s="29" t="inlineStr"/>
      <c r="J140" s="29" t="inlineStr"/>
      <c r="K140" s="29">
        <f>IF(Amortizacion_Capital_Mensual!L140&gt;0, ROUND($H140 - Amortizacion_Capital_Mensual!L140, 2), "")</f>
        <v/>
      </c>
      <c r="L140" s="29">
        <f>IF(Amortizacion_Capital_Mensual!M140&gt;0, ROUND(K140 - Amortizacion_Capital_Mensual!M140, 2), "")</f>
        <v/>
      </c>
      <c r="M140" s="29">
        <f>IF(Amortizacion_Capital_Mensual!N140&gt;0, ROUND(L140 - Amortizacion_Capital_Mensual!N140, 2), "")</f>
        <v/>
      </c>
      <c r="N140" s="29">
        <f>IF(Amortizacion_Capital_Mensual!O140&gt;0, ROUND(M140 - Amortizacion_Capital_Mensual!O140, 2), "")</f>
        <v/>
      </c>
      <c r="O140" s="29">
        <f>IF(Amortizacion_Capital_Mensual!P140&gt;0, ROUND(N140 - Amortizacion_Capital_Mensual!P140, 2), "")</f>
        <v/>
      </c>
      <c r="P140" s="29">
        <f>IF(Amortizacion_Capital_Mensual!Q140&gt;0, ROUND(O140 - Amortizacion_Capital_Mensual!Q140, 2), "")</f>
        <v/>
      </c>
      <c r="Q140" s="29">
        <f>IF(Amortizacion_Capital_Mensual!R140&gt;0, ROUND(P140 - Amortizacion_Capital_Mensual!R140, 2), "")</f>
        <v/>
      </c>
      <c r="R140" s="29">
        <f>IF(Amortizacion_Capital_Mensual!S140&gt;0, ROUND(Q140 - Amortizacion_Capital_Mensual!S140, 2), "")</f>
        <v/>
      </c>
      <c r="S140" s="29">
        <f>IF(Amortizacion_Capital_Mensual!T140&gt;0, ROUND(R140 - Amortizacion_Capital_Mensual!T140, 2), "")</f>
        <v/>
      </c>
      <c r="T140" s="29">
        <f>IF(Amortizacion_Capital_Mensual!U140&gt;0, ROUND(S140 - Amortizacion_Capital_Mensual!U140, 2), "")</f>
        <v/>
      </c>
      <c r="U140" s="29">
        <f>MAX(I140:T140)</f>
        <v/>
      </c>
    </row>
    <row r="141">
      <c r="A141" s="20" t="inlineStr">
        <is>
          <t>0669-0001</t>
        </is>
      </c>
      <c r="B141" s="21" t="inlineStr">
        <is>
          <t>Diego Hazael Morales Iñiguez</t>
        </is>
      </c>
      <c r="C141" s="21" t="inlineStr">
        <is>
          <t>Wrangler Jt</t>
        </is>
      </c>
      <c r="D141" s="20" t="inlineStr">
        <is>
          <t>ACTIVO</t>
        </is>
      </c>
      <c r="E141" s="20" t="inlineStr">
        <is>
          <t>2024-08-23</t>
        </is>
      </c>
      <c r="F141" s="20" t="inlineStr">
        <is>
          <t>2027-08-23</t>
        </is>
      </c>
      <c r="G141" s="22" t="n">
        <v>36</v>
      </c>
      <c r="H141" s="23" t="n">
        <v>803741.38</v>
      </c>
      <c r="I141" s="23">
        <f>IF(Amortizacion_Capital_Mensual!J141&gt;0, ROUND(576719.8 - Amortizacion_Capital_Mensual!J141, 2), "")</f>
        <v/>
      </c>
      <c r="J141" s="23">
        <f>IF(Amortizacion_Capital_Mensual!K141&gt;0, ROUND(I141 - Amortizacion_Capital_Mensual!K141, 2), "")</f>
        <v/>
      </c>
      <c r="K141" s="23">
        <f>IF(Amortizacion_Capital_Mensual!L141&gt;0, ROUND(J141 - Amortizacion_Capital_Mensual!L141, 2), "")</f>
        <v/>
      </c>
      <c r="L141" s="23">
        <f>IF(Amortizacion_Capital_Mensual!M141&gt;0, ROUND(K141 - Amortizacion_Capital_Mensual!M141, 2), "")</f>
        <v/>
      </c>
      <c r="M141" s="23">
        <f>IF(Amortizacion_Capital_Mensual!N141&gt;0, ROUND(L141 - Amortizacion_Capital_Mensual!N141, 2), "")</f>
        <v/>
      </c>
      <c r="N141" s="23">
        <f>IF(Amortizacion_Capital_Mensual!O141&gt;0, ROUND(M141 - Amortizacion_Capital_Mensual!O141, 2), "")</f>
        <v/>
      </c>
      <c r="O141" s="23">
        <f>IF(Amortizacion_Capital_Mensual!P141&gt;0, ROUND(N141 - Amortizacion_Capital_Mensual!P141, 2), "")</f>
        <v/>
      </c>
      <c r="P141" s="23">
        <f>IF(Amortizacion_Capital_Mensual!Q141&gt;0, ROUND(O141 - Amortizacion_Capital_Mensual!Q141, 2), "")</f>
        <v/>
      </c>
      <c r="Q141" s="23">
        <f>IF(Amortizacion_Capital_Mensual!R141&gt;0, ROUND(P141 - Amortizacion_Capital_Mensual!R141, 2), "")</f>
        <v/>
      </c>
      <c r="R141" s="23">
        <f>IF(Amortizacion_Capital_Mensual!S141&gt;0, ROUND(Q141 - Amortizacion_Capital_Mensual!S141, 2), "")</f>
        <v/>
      </c>
      <c r="S141" s="23">
        <f>IF(Amortizacion_Capital_Mensual!T141&gt;0, ROUND(R141 - Amortizacion_Capital_Mensual!T141, 2), "")</f>
        <v/>
      </c>
      <c r="T141" s="23">
        <f>IF(Amortizacion_Capital_Mensual!U141&gt;0, ROUND(S141 - Amortizacion_Capital_Mensual!U141, 2), "")</f>
        <v/>
      </c>
      <c r="U141" s="23">
        <f>MAX(I141:T141)</f>
        <v/>
      </c>
    </row>
    <row r="142">
      <c r="A142" s="26" t="inlineStr">
        <is>
          <t>0670-0001</t>
        </is>
      </c>
      <c r="B142" s="27" t="inlineStr">
        <is>
          <t>Consultoria Internacional Mexincorp Sc</t>
        </is>
      </c>
      <c r="C142" s="27" t="inlineStr">
        <is>
          <t>L200 Limited</t>
        </is>
      </c>
      <c r="D142" s="26" t="inlineStr">
        <is>
          <t>ACTIVO</t>
        </is>
      </c>
      <c r="E142" s="26" t="inlineStr">
        <is>
          <t>2024-09-03</t>
        </is>
      </c>
      <c r="F142" s="26" t="inlineStr">
        <is>
          <t>2028-09-03</t>
        </is>
      </c>
      <c r="G142" s="28" t="n">
        <v>48</v>
      </c>
      <c r="H142" s="29" t="n">
        <v>601810.26</v>
      </c>
      <c r="I142" s="29">
        <f>IF(Amortizacion_Capital_Mensual!J142&gt;0, ROUND(481413.16 - Amortizacion_Capital_Mensual!J142, 2), "")</f>
        <v/>
      </c>
      <c r="J142" s="29">
        <f>IF(Amortizacion_Capital_Mensual!K142&gt;0, ROUND(I142 - Amortizacion_Capital_Mensual!K142, 2), "")</f>
        <v/>
      </c>
      <c r="K142" s="29">
        <f>IF(Amortizacion_Capital_Mensual!L142&gt;0, ROUND(J142 - Amortizacion_Capital_Mensual!L142, 2), "")</f>
        <v/>
      </c>
      <c r="L142" s="29">
        <f>IF(Amortizacion_Capital_Mensual!M142&gt;0, ROUND(K142 - Amortizacion_Capital_Mensual!M142, 2), "")</f>
        <v/>
      </c>
      <c r="M142" s="29">
        <f>IF(Amortizacion_Capital_Mensual!N142&gt;0, ROUND(L142 - Amortizacion_Capital_Mensual!N142, 2), "")</f>
        <v/>
      </c>
      <c r="N142" s="29">
        <f>IF(Amortizacion_Capital_Mensual!O142&gt;0, ROUND(M142 - Amortizacion_Capital_Mensual!O142, 2), "")</f>
        <v/>
      </c>
      <c r="O142" s="29">
        <f>IF(Amortizacion_Capital_Mensual!P142&gt;0, ROUND(N142 - Amortizacion_Capital_Mensual!P142, 2), "")</f>
        <v/>
      </c>
      <c r="P142" s="29">
        <f>IF(Amortizacion_Capital_Mensual!Q142&gt;0, ROUND(O142 - Amortizacion_Capital_Mensual!Q142, 2), "")</f>
        <v/>
      </c>
      <c r="Q142" s="29">
        <f>IF(Amortizacion_Capital_Mensual!R142&gt;0, ROUND(P142 - Amortizacion_Capital_Mensual!R142, 2), "")</f>
        <v/>
      </c>
      <c r="R142" s="29">
        <f>IF(Amortizacion_Capital_Mensual!S142&gt;0, ROUND(Q142 - Amortizacion_Capital_Mensual!S142, 2), "")</f>
        <v/>
      </c>
      <c r="S142" s="29">
        <f>IF(Amortizacion_Capital_Mensual!T142&gt;0, ROUND(R142 - Amortizacion_Capital_Mensual!T142, 2), "")</f>
        <v/>
      </c>
      <c r="T142" s="29">
        <f>IF(Amortizacion_Capital_Mensual!U142&gt;0, ROUND(S142 - Amortizacion_Capital_Mensual!U142, 2), "")</f>
        <v/>
      </c>
      <c r="U142" s="29">
        <f>MAX(I142:T142)</f>
        <v/>
      </c>
    </row>
    <row r="143">
      <c r="A143" s="20" t="inlineStr">
        <is>
          <t>0672-0001</t>
        </is>
      </c>
      <c r="B143" s="21" t="inlineStr">
        <is>
          <t>Bax Blockchain Services Sa de Cv</t>
        </is>
      </c>
      <c r="C143" s="21" t="inlineStr">
        <is>
          <t>Tucson Limited</t>
        </is>
      </c>
      <c r="D143" s="20" t="inlineStr">
        <is>
          <t>ACTIVO</t>
        </is>
      </c>
      <c r="E143" s="20" t="inlineStr">
        <is>
          <t>2024-09-13</t>
        </is>
      </c>
      <c r="F143" s="20" t="inlineStr">
        <is>
          <t>2027-09-13</t>
        </is>
      </c>
      <c r="G143" s="22" t="n">
        <v>36</v>
      </c>
      <c r="H143" s="23" t="n">
        <v>531000</v>
      </c>
      <c r="I143" s="23">
        <f>IF(Amortizacion_Capital_Mensual!J143&gt;0, ROUND(423956.68 - Amortizacion_Capital_Mensual!J143, 2), "")</f>
        <v/>
      </c>
      <c r="J143" s="23">
        <f>IF(Amortizacion_Capital_Mensual!K143&gt;0, ROUND(I143 - Amortizacion_Capital_Mensual!K143, 2), "")</f>
        <v/>
      </c>
      <c r="K143" s="23">
        <f>IF(Amortizacion_Capital_Mensual!L143&gt;0, ROUND(J143 - Amortizacion_Capital_Mensual!L143, 2), "")</f>
        <v/>
      </c>
      <c r="L143" s="23">
        <f>IF(Amortizacion_Capital_Mensual!M143&gt;0, ROUND(K143 - Amortizacion_Capital_Mensual!M143, 2), "")</f>
        <v/>
      </c>
      <c r="M143" s="23">
        <f>IF(Amortizacion_Capital_Mensual!N143&gt;0, ROUND(L143 - Amortizacion_Capital_Mensual!N143, 2), "")</f>
        <v/>
      </c>
      <c r="N143" s="23">
        <f>IF(Amortizacion_Capital_Mensual!O143&gt;0, ROUND(M143 - Amortizacion_Capital_Mensual!O143, 2), "")</f>
        <v/>
      </c>
      <c r="O143" s="23">
        <f>IF(Amortizacion_Capital_Mensual!P143&gt;0, ROUND(N143 - Amortizacion_Capital_Mensual!P143, 2), "")</f>
        <v/>
      </c>
      <c r="P143" s="23">
        <f>IF(Amortizacion_Capital_Mensual!Q143&gt;0, ROUND(O143 - Amortizacion_Capital_Mensual!Q143, 2), "")</f>
        <v/>
      </c>
      <c r="Q143" s="23">
        <f>IF(Amortizacion_Capital_Mensual!R143&gt;0, ROUND(P143 - Amortizacion_Capital_Mensual!R143, 2), "")</f>
        <v/>
      </c>
      <c r="R143" s="23">
        <f>IF(Amortizacion_Capital_Mensual!S143&gt;0, ROUND(Q143 - Amortizacion_Capital_Mensual!S143, 2), "")</f>
        <v/>
      </c>
      <c r="S143" s="23">
        <f>IF(Amortizacion_Capital_Mensual!T143&gt;0, ROUND(R143 - Amortizacion_Capital_Mensual!T143, 2), "")</f>
        <v/>
      </c>
      <c r="T143" s="23">
        <f>IF(Amortizacion_Capital_Mensual!U143&gt;0, ROUND(S143 - Amortizacion_Capital_Mensual!U143, 2), "")</f>
        <v/>
      </c>
      <c r="U143" s="23">
        <f>MAX(I143:T143)</f>
        <v/>
      </c>
    </row>
    <row r="144">
      <c r="A144" s="26" t="inlineStr">
        <is>
          <t>0673-0001</t>
        </is>
      </c>
      <c r="B144" s="27" t="inlineStr">
        <is>
          <t>Juan Carlos Cardenas Arciniega</t>
        </is>
      </c>
      <c r="C144" s="27" t="inlineStr">
        <is>
          <t>Wrangler Unlimited</t>
        </is>
      </c>
      <c r="D144" s="26" t="inlineStr">
        <is>
          <t>ACTIVO</t>
        </is>
      </c>
      <c r="E144" s="26" t="inlineStr">
        <is>
          <t>2024-09-06</t>
        </is>
      </c>
      <c r="F144" s="26" t="inlineStr">
        <is>
          <t>2028-09-06</t>
        </is>
      </c>
      <c r="G144" s="28" t="n">
        <v>48</v>
      </c>
      <c r="H144" s="29" t="n">
        <v>911396.8</v>
      </c>
      <c r="I144" s="29">
        <f>IF(Amortizacion_Capital_Mensual!J144&gt;0, ROUND(783426.17 - Amortizacion_Capital_Mensual!J144, 2), "")</f>
        <v/>
      </c>
      <c r="J144" s="29">
        <f>IF(Amortizacion_Capital_Mensual!K144&gt;0, ROUND(I144 - Amortizacion_Capital_Mensual!K144, 2), "")</f>
        <v/>
      </c>
      <c r="K144" s="29">
        <f>IF(Amortizacion_Capital_Mensual!L144&gt;0, ROUND(J144 - Amortizacion_Capital_Mensual!L144, 2), "")</f>
        <v/>
      </c>
      <c r="L144" s="29">
        <f>IF(Amortizacion_Capital_Mensual!M144&gt;0, ROUND(K144 - Amortizacion_Capital_Mensual!M144, 2), "")</f>
        <v/>
      </c>
      <c r="M144" s="29">
        <f>IF(Amortizacion_Capital_Mensual!N144&gt;0, ROUND(L144 - Amortizacion_Capital_Mensual!N144, 2), "")</f>
        <v/>
      </c>
      <c r="N144" s="29">
        <f>IF(Amortizacion_Capital_Mensual!O144&gt;0, ROUND(M144 - Amortizacion_Capital_Mensual!O144, 2), "")</f>
        <v/>
      </c>
      <c r="O144" s="29">
        <f>IF(Amortizacion_Capital_Mensual!P144&gt;0, ROUND(N144 - Amortizacion_Capital_Mensual!P144, 2), "")</f>
        <v/>
      </c>
      <c r="P144" s="29">
        <f>IF(Amortizacion_Capital_Mensual!Q144&gt;0, ROUND(O144 - Amortizacion_Capital_Mensual!Q144, 2), "")</f>
        <v/>
      </c>
      <c r="Q144" s="29">
        <f>IF(Amortizacion_Capital_Mensual!R144&gt;0, ROUND(P144 - Amortizacion_Capital_Mensual!R144, 2), "")</f>
        <v/>
      </c>
      <c r="R144" s="29">
        <f>IF(Amortizacion_Capital_Mensual!S144&gt;0, ROUND(Q144 - Amortizacion_Capital_Mensual!S144, 2), "")</f>
        <v/>
      </c>
      <c r="S144" s="29">
        <f>IF(Amortizacion_Capital_Mensual!T144&gt;0, ROUND(R144 - Amortizacion_Capital_Mensual!T144, 2), "")</f>
        <v/>
      </c>
      <c r="T144" s="29">
        <f>IF(Amortizacion_Capital_Mensual!U144&gt;0, ROUND(S144 - Amortizacion_Capital_Mensual!U144, 2), "")</f>
        <v/>
      </c>
      <c r="U144" s="29">
        <f>MAX(I144:T144)</f>
        <v/>
      </c>
    </row>
    <row r="145">
      <c r="A145" s="20" t="inlineStr">
        <is>
          <t>0673-0002</t>
        </is>
      </c>
      <c r="B145" s="21" t="inlineStr">
        <is>
          <t>Juan Carlos Cardenas Arciniega</t>
        </is>
      </c>
      <c r="C145" s="21" t="inlineStr">
        <is>
          <t>L200 Glx Diesel</t>
        </is>
      </c>
      <c r="D145" s="20" t="inlineStr">
        <is>
          <t>ACTIVO</t>
        </is>
      </c>
      <c r="E145" s="20" t="inlineStr">
        <is>
          <t>2025-03-25</t>
        </is>
      </c>
      <c r="F145" s="20" t="inlineStr">
        <is>
          <t>2029-03-25</t>
        </is>
      </c>
      <c r="G145" s="22" t="n">
        <v>48</v>
      </c>
      <c r="H145" s="23" t="n">
        <v>415484.14</v>
      </c>
      <c r="I145" s="23">
        <f>IF(Amortizacion_Capital_Mensual!J145&gt;0, ROUND(372598.06 - Amortizacion_Capital_Mensual!J145, 2), "")</f>
        <v/>
      </c>
      <c r="J145" s="23">
        <f>IF(Amortizacion_Capital_Mensual!K145&gt;0, ROUND(I145 - Amortizacion_Capital_Mensual!K145, 2), "")</f>
        <v/>
      </c>
      <c r="K145" s="23">
        <f>IF(Amortizacion_Capital_Mensual!L145&gt;0, ROUND(J145 - Amortizacion_Capital_Mensual!L145, 2), "")</f>
        <v/>
      </c>
      <c r="L145" s="23">
        <f>IF(Amortizacion_Capital_Mensual!M145&gt;0, ROUND(K145 - Amortizacion_Capital_Mensual!M145, 2), "")</f>
        <v/>
      </c>
      <c r="M145" s="23">
        <f>IF(Amortizacion_Capital_Mensual!N145&gt;0, ROUND(L145 - Amortizacion_Capital_Mensual!N145, 2), "")</f>
        <v/>
      </c>
      <c r="N145" s="23">
        <f>IF(Amortizacion_Capital_Mensual!O145&gt;0, ROUND(M145 - Amortizacion_Capital_Mensual!O145, 2), "")</f>
        <v/>
      </c>
      <c r="O145" s="23">
        <f>IF(Amortizacion_Capital_Mensual!P145&gt;0, ROUND(N145 - Amortizacion_Capital_Mensual!P145, 2), "")</f>
        <v/>
      </c>
      <c r="P145" s="23">
        <f>IF(Amortizacion_Capital_Mensual!Q145&gt;0, ROUND(O145 - Amortizacion_Capital_Mensual!Q145, 2), "")</f>
        <v/>
      </c>
      <c r="Q145" s="23">
        <f>IF(Amortizacion_Capital_Mensual!R145&gt;0, ROUND(P145 - Amortizacion_Capital_Mensual!R145, 2), "")</f>
        <v/>
      </c>
      <c r="R145" s="23">
        <f>IF(Amortizacion_Capital_Mensual!S145&gt;0, ROUND(Q145 - Amortizacion_Capital_Mensual!S145, 2), "")</f>
        <v/>
      </c>
      <c r="S145" s="23">
        <f>IF(Amortizacion_Capital_Mensual!T145&gt;0, ROUND(R145 - Amortizacion_Capital_Mensual!T145, 2), "")</f>
        <v/>
      </c>
      <c r="T145" s="23">
        <f>IF(Amortizacion_Capital_Mensual!U145&gt;0, ROUND(S145 - Amortizacion_Capital_Mensual!U145, 2), "")</f>
        <v/>
      </c>
      <c r="U145" s="23">
        <f>MAX(I145:T145)</f>
        <v/>
      </c>
    </row>
    <row r="146">
      <c r="A146" s="26" t="inlineStr">
        <is>
          <t>0673-0003</t>
        </is>
      </c>
      <c r="B146" s="27" t="inlineStr">
        <is>
          <t>Juan Carlos Cardenas Arciniega</t>
        </is>
      </c>
      <c r="C146" s="27" t="inlineStr">
        <is>
          <t>Hilux Diesel</t>
        </is>
      </c>
      <c r="D146" s="26" t="inlineStr">
        <is>
          <t>ACTIVO</t>
        </is>
      </c>
      <c r="E146" s="26" t="inlineStr">
        <is>
          <t>2025-04-30</t>
        </is>
      </c>
      <c r="F146" s="26" t="inlineStr">
        <is>
          <t>2029-04-30</t>
        </is>
      </c>
      <c r="G146" s="28" t="n">
        <v>48</v>
      </c>
      <c r="H146" s="29" t="n">
        <v>415484.14</v>
      </c>
      <c r="I146" s="29">
        <f>IF(Amortizacion_Capital_Mensual!J146&gt;0, ROUND(390975.82 - Amortizacion_Capital_Mensual!J146, 2), "")</f>
        <v/>
      </c>
      <c r="J146" s="29">
        <f>IF(Amortizacion_Capital_Mensual!K146&gt;0, ROUND(I146 - Amortizacion_Capital_Mensual!K146, 2), "")</f>
        <v/>
      </c>
      <c r="K146" s="29">
        <f>IF(Amortizacion_Capital_Mensual!L146&gt;0, ROUND(J146 - Amortizacion_Capital_Mensual!L146, 2), "")</f>
        <v/>
      </c>
      <c r="L146" s="29">
        <f>IF(Amortizacion_Capital_Mensual!M146&gt;0, ROUND(K146 - Amortizacion_Capital_Mensual!M146, 2), "")</f>
        <v/>
      </c>
      <c r="M146" s="29">
        <f>IF(Amortizacion_Capital_Mensual!N146&gt;0, ROUND(L146 - Amortizacion_Capital_Mensual!N146, 2), "")</f>
        <v/>
      </c>
      <c r="N146" s="29">
        <f>IF(Amortizacion_Capital_Mensual!O146&gt;0, ROUND(M146 - Amortizacion_Capital_Mensual!O146, 2), "")</f>
        <v/>
      </c>
      <c r="O146" s="29">
        <f>IF(Amortizacion_Capital_Mensual!P146&gt;0, ROUND(N146 - Amortizacion_Capital_Mensual!P146, 2), "")</f>
        <v/>
      </c>
      <c r="P146" s="29">
        <f>IF(Amortizacion_Capital_Mensual!Q146&gt;0, ROUND(O146 - Amortizacion_Capital_Mensual!Q146, 2), "")</f>
        <v/>
      </c>
      <c r="Q146" s="29">
        <f>IF(Amortizacion_Capital_Mensual!R146&gt;0, ROUND(P146 - Amortizacion_Capital_Mensual!R146, 2), "")</f>
        <v/>
      </c>
      <c r="R146" s="29">
        <f>IF(Amortizacion_Capital_Mensual!S146&gt;0, ROUND(Q146 - Amortizacion_Capital_Mensual!S146, 2), "")</f>
        <v/>
      </c>
      <c r="S146" s="29">
        <f>IF(Amortizacion_Capital_Mensual!T146&gt;0, ROUND(R146 - Amortizacion_Capital_Mensual!T146, 2), "")</f>
        <v/>
      </c>
      <c r="T146" s="29">
        <f>IF(Amortizacion_Capital_Mensual!U146&gt;0, ROUND(S146 - Amortizacion_Capital_Mensual!U146, 2), "")</f>
        <v/>
      </c>
      <c r="U146" s="29">
        <f>MAX(I146:T146)</f>
        <v/>
      </c>
    </row>
    <row r="147">
      <c r="A147" s="20" t="inlineStr">
        <is>
          <t>0673-0004</t>
        </is>
      </c>
      <c r="B147" s="21" t="inlineStr">
        <is>
          <t>Juan Carlos Cardenas Arciniega</t>
        </is>
      </c>
      <c r="C147" s="21" t="inlineStr">
        <is>
          <t>Np300</t>
        </is>
      </c>
      <c r="D147" s="20" t="inlineStr">
        <is>
          <t>ACTIVO</t>
        </is>
      </c>
      <c r="E147" s="20" t="inlineStr">
        <is>
          <t>2025-05-29</t>
        </is>
      </c>
      <c r="F147" s="20" t="inlineStr">
        <is>
          <t>2027-05-29</t>
        </is>
      </c>
      <c r="G147" s="22" t="n">
        <v>24</v>
      </c>
      <c r="H147" s="23" t="n">
        <v>366439.65</v>
      </c>
      <c r="I147" s="23">
        <f>IF(Amortizacion_Capital_Mensual!J147&gt;0, ROUND(301165.71 - Amortizacion_Capital_Mensual!J147, 2), "")</f>
        <v/>
      </c>
      <c r="J147" s="23">
        <f>IF(Amortizacion_Capital_Mensual!K147&gt;0, ROUND(I147 - Amortizacion_Capital_Mensual!K147, 2), "")</f>
        <v/>
      </c>
      <c r="K147" s="23">
        <f>IF(Amortizacion_Capital_Mensual!L147&gt;0, ROUND(J147 - Amortizacion_Capital_Mensual!L147, 2), "")</f>
        <v/>
      </c>
      <c r="L147" s="23">
        <f>IF(Amortizacion_Capital_Mensual!M147&gt;0, ROUND(K147 - Amortizacion_Capital_Mensual!M147, 2), "")</f>
        <v/>
      </c>
      <c r="M147" s="23">
        <f>IF(Amortizacion_Capital_Mensual!N147&gt;0, ROUND(L147 - Amortizacion_Capital_Mensual!N147, 2), "")</f>
        <v/>
      </c>
      <c r="N147" s="23">
        <f>IF(Amortizacion_Capital_Mensual!O147&gt;0, ROUND(M147 - Amortizacion_Capital_Mensual!O147, 2), "")</f>
        <v/>
      </c>
      <c r="O147" s="23">
        <f>IF(Amortizacion_Capital_Mensual!P147&gt;0, ROUND(N147 - Amortizacion_Capital_Mensual!P147, 2), "")</f>
        <v/>
      </c>
      <c r="P147" s="23">
        <f>IF(Amortizacion_Capital_Mensual!Q147&gt;0, ROUND(O147 - Amortizacion_Capital_Mensual!Q147, 2), "")</f>
        <v/>
      </c>
      <c r="Q147" s="23">
        <f>IF(Amortizacion_Capital_Mensual!R147&gt;0, ROUND(P147 - Amortizacion_Capital_Mensual!R147, 2), "")</f>
        <v/>
      </c>
      <c r="R147" s="23">
        <f>IF(Amortizacion_Capital_Mensual!S147&gt;0, ROUND(Q147 - Amortizacion_Capital_Mensual!S147, 2), "")</f>
        <v/>
      </c>
      <c r="S147" s="23">
        <f>IF(Amortizacion_Capital_Mensual!T147&gt;0, ROUND(R147 - Amortizacion_Capital_Mensual!T147, 2), "")</f>
        <v/>
      </c>
      <c r="T147" s="23">
        <f>IF(Amortizacion_Capital_Mensual!U147&gt;0, ROUND(S147 - Amortizacion_Capital_Mensual!U147, 2), "")</f>
        <v/>
      </c>
      <c r="U147" s="23">
        <f>MAX(I147:T147)</f>
        <v/>
      </c>
    </row>
    <row r="148">
      <c r="A148" s="26" t="inlineStr">
        <is>
          <t>0673-0005</t>
        </is>
      </c>
      <c r="B148" s="27" t="inlineStr">
        <is>
          <t>Juan Carlos Cardenas Arciniega</t>
        </is>
      </c>
      <c r="C148" s="27" t="inlineStr">
        <is>
          <t>L200 Glx</t>
        </is>
      </c>
      <c r="D148" s="26" t="inlineStr">
        <is>
          <t>ACTIVO</t>
        </is>
      </c>
      <c r="E148" s="26" t="inlineStr">
        <is>
          <t>2025-05-29</t>
        </is>
      </c>
      <c r="F148" s="26" t="inlineStr">
        <is>
          <t>2028-05-29</t>
        </is>
      </c>
      <c r="G148" s="28" t="n">
        <v>36</v>
      </c>
      <c r="H148" s="29" t="n">
        <v>467419.65</v>
      </c>
      <c r="I148" s="29">
        <f>IF(Amortizacion_Capital_Mensual!J148&gt;0, ROUND(412797.27 - Amortizacion_Capital_Mensual!J148, 2), "")</f>
        <v/>
      </c>
      <c r="J148" s="29">
        <f>IF(Amortizacion_Capital_Mensual!K148&gt;0, ROUND(I148 - Amortizacion_Capital_Mensual!K148, 2), "")</f>
        <v/>
      </c>
      <c r="K148" s="29">
        <f>IF(Amortizacion_Capital_Mensual!L148&gt;0, ROUND(J148 - Amortizacion_Capital_Mensual!L148, 2), "")</f>
        <v/>
      </c>
      <c r="L148" s="29">
        <f>IF(Amortizacion_Capital_Mensual!M148&gt;0, ROUND(K148 - Amortizacion_Capital_Mensual!M148, 2), "")</f>
        <v/>
      </c>
      <c r="M148" s="29">
        <f>IF(Amortizacion_Capital_Mensual!N148&gt;0, ROUND(L148 - Amortizacion_Capital_Mensual!N148, 2), "")</f>
        <v/>
      </c>
      <c r="N148" s="29">
        <f>IF(Amortizacion_Capital_Mensual!O148&gt;0, ROUND(M148 - Amortizacion_Capital_Mensual!O148, 2), "")</f>
        <v/>
      </c>
      <c r="O148" s="29">
        <f>IF(Amortizacion_Capital_Mensual!P148&gt;0, ROUND(N148 - Amortizacion_Capital_Mensual!P148, 2), "")</f>
        <v/>
      </c>
      <c r="P148" s="29">
        <f>IF(Amortizacion_Capital_Mensual!Q148&gt;0, ROUND(O148 - Amortizacion_Capital_Mensual!Q148, 2), "")</f>
        <v/>
      </c>
      <c r="Q148" s="29">
        <f>IF(Amortizacion_Capital_Mensual!R148&gt;0, ROUND(P148 - Amortizacion_Capital_Mensual!R148, 2), "")</f>
        <v/>
      </c>
      <c r="R148" s="29">
        <f>IF(Amortizacion_Capital_Mensual!S148&gt;0, ROUND(Q148 - Amortizacion_Capital_Mensual!S148, 2), "")</f>
        <v/>
      </c>
      <c r="S148" s="29">
        <f>IF(Amortizacion_Capital_Mensual!T148&gt;0, ROUND(R148 - Amortizacion_Capital_Mensual!T148, 2), "")</f>
        <v/>
      </c>
      <c r="T148" s="29">
        <f>IF(Amortizacion_Capital_Mensual!U148&gt;0, ROUND(S148 - Amortizacion_Capital_Mensual!U148, 2), "")</f>
        <v/>
      </c>
      <c r="U148" s="29">
        <f>MAX(I148:T148)</f>
        <v/>
      </c>
    </row>
    <row r="149">
      <c r="A149" s="20" t="inlineStr">
        <is>
          <t>0674-0001</t>
        </is>
      </c>
      <c r="B149" s="21" t="inlineStr">
        <is>
          <t>Zuji Sa de Cv</t>
        </is>
      </c>
      <c r="C149" s="21" t="inlineStr">
        <is>
          <t>2008 Allure</t>
        </is>
      </c>
      <c r="D149" s="20" t="inlineStr">
        <is>
          <t>ACTIVO</t>
        </is>
      </c>
      <c r="E149" s="20" t="inlineStr">
        <is>
          <t>2024-09-30</t>
        </is>
      </c>
      <c r="F149" s="20" t="inlineStr">
        <is>
          <t>2027-09-30</t>
        </is>
      </c>
      <c r="G149" s="22" t="n">
        <v>36</v>
      </c>
      <c r="H149" s="23" t="n">
        <v>327517.24</v>
      </c>
      <c r="I149" s="23">
        <f>IF(Amortizacion_Capital_Mensual!J149&gt;0, ROUND(269865.87 - Amortizacion_Capital_Mensual!J149, 2), "")</f>
        <v/>
      </c>
      <c r="J149" s="23">
        <f>IF(Amortizacion_Capital_Mensual!K149&gt;0, ROUND(I149 - Amortizacion_Capital_Mensual!K149, 2), "")</f>
        <v/>
      </c>
      <c r="K149" s="23">
        <f>IF(Amortizacion_Capital_Mensual!L149&gt;0, ROUND(J149 - Amortizacion_Capital_Mensual!L149, 2), "")</f>
        <v/>
      </c>
      <c r="L149" s="23">
        <f>IF(Amortizacion_Capital_Mensual!M149&gt;0, ROUND(K149 - Amortizacion_Capital_Mensual!M149, 2), "")</f>
        <v/>
      </c>
      <c r="M149" s="23">
        <f>IF(Amortizacion_Capital_Mensual!N149&gt;0, ROUND(L149 - Amortizacion_Capital_Mensual!N149, 2), "")</f>
        <v/>
      </c>
      <c r="N149" s="23">
        <f>IF(Amortizacion_Capital_Mensual!O149&gt;0, ROUND(M149 - Amortizacion_Capital_Mensual!O149, 2), "")</f>
        <v/>
      </c>
      <c r="O149" s="23">
        <f>IF(Amortizacion_Capital_Mensual!P149&gt;0, ROUND(N149 - Amortizacion_Capital_Mensual!P149, 2), "")</f>
        <v/>
      </c>
      <c r="P149" s="23">
        <f>IF(Amortizacion_Capital_Mensual!Q149&gt;0, ROUND(O149 - Amortizacion_Capital_Mensual!Q149, 2), "")</f>
        <v/>
      </c>
      <c r="Q149" s="23">
        <f>IF(Amortizacion_Capital_Mensual!R149&gt;0, ROUND(P149 - Amortizacion_Capital_Mensual!R149, 2), "")</f>
        <v/>
      </c>
      <c r="R149" s="23">
        <f>IF(Amortizacion_Capital_Mensual!S149&gt;0, ROUND(Q149 - Amortizacion_Capital_Mensual!S149, 2), "")</f>
        <v/>
      </c>
      <c r="S149" s="23">
        <f>IF(Amortizacion_Capital_Mensual!T149&gt;0, ROUND(R149 - Amortizacion_Capital_Mensual!T149, 2), "")</f>
        <v/>
      </c>
      <c r="T149" s="23">
        <f>IF(Amortizacion_Capital_Mensual!U149&gt;0, ROUND(S149 - Amortizacion_Capital_Mensual!U149, 2), "")</f>
        <v/>
      </c>
      <c r="U149" s="23">
        <f>MAX(I149:T149)</f>
        <v/>
      </c>
    </row>
    <row r="150">
      <c r="A150" s="26" t="inlineStr">
        <is>
          <t>0675-0002</t>
        </is>
      </c>
      <c r="B150" s="27" t="inlineStr">
        <is>
          <t>Comercializadora Industrial de Zapopan Sa de Cv</t>
        </is>
      </c>
      <c r="C150" s="27" t="inlineStr">
        <is>
          <t>Valor Residual</t>
        </is>
      </c>
      <c r="D150" s="26" t="inlineStr">
        <is>
          <t>ACTIVO</t>
        </is>
      </c>
      <c r="E150" s="26" t="inlineStr">
        <is>
          <t>2025-10-15</t>
        </is>
      </c>
      <c r="F150" s="26" t="inlineStr">
        <is>
          <t>2026-10-15</t>
        </is>
      </c>
      <c r="G150" s="28" t="n">
        <v>12</v>
      </c>
      <c r="H150" s="29" t="n">
        <v>214163.79</v>
      </c>
      <c r="I150" s="29">
        <f>IF(Amortizacion_Capital_Mensual!J150&gt;0, ROUND(180663.49 - Amortizacion_Capital_Mensual!J150, 2), "")</f>
        <v/>
      </c>
      <c r="J150" s="29">
        <f>IF(Amortizacion_Capital_Mensual!K150&gt;0, ROUND(I150 - Amortizacion_Capital_Mensual!K150, 2), "")</f>
        <v/>
      </c>
      <c r="K150" s="29">
        <f>IF(Amortizacion_Capital_Mensual!L150&gt;0, ROUND(J150 - Amortizacion_Capital_Mensual!L150, 2), "")</f>
        <v/>
      </c>
      <c r="L150" s="29">
        <f>IF(Amortizacion_Capital_Mensual!M150&gt;0, ROUND(K150 - Amortizacion_Capital_Mensual!M150, 2), "")</f>
        <v/>
      </c>
      <c r="M150" s="29">
        <f>IF(Amortizacion_Capital_Mensual!N150&gt;0, ROUND(L150 - Amortizacion_Capital_Mensual!N150, 2), "")</f>
        <v/>
      </c>
      <c r="N150" s="29">
        <f>IF(Amortizacion_Capital_Mensual!O150&gt;0, ROUND(M150 - Amortizacion_Capital_Mensual!O150, 2), "")</f>
        <v/>
      </c>
      <c r="O150" s="29">
        <f>IF(Amortizacion_Capital_Mensual!P150&gt;0, ROUND(N150 - Amortizacion_Capital_Mensual!P150, 2), "")</f>
        <v/>
      </c>
      <c r="P150" s="29">
        <f>IF(Amortizacion_Capital_Mensual!Q150&gt;0, ROUND(O150 - Amortizacion_Capital_Mensual!Q150, 2), "")</f>
        <v/>
      </c>
      <c r="Q150" s="29">
        <f>IF(Amortizacion_Capital_Mensual!R150&gt;0, ROUND(P150 - Amortizacion_Capital_Mensual!R150, 2), "")</f>
        <v/>
      </c>
      <c r="R150" s="29" t="inlineStr"/>
      <c r="S150" s="29" t="inlineStr"/>
      <c r="T150" s="29" t="inlineStr"/>
      <c r="U150" s="29">
        <f>MAX(I150:T150)</f>
        <v/>
      </c>
    </row>
    <row r="151">
      <c r="A151" s="20" t="inlineStr">
        <is>
          <t>0676-0001</t>
        </is>
      </c>
      <c r="B151" s="21" t="inlineStr">
        <is>
          <t>Productora Agricola los Amoles</t>
        </is>
      </c>
      <c r="C151" s="21" t="inlineStr">
        <is>
          <t>Ram 700 Regular Cab</t>
        </is>
      </c>
      <c r="D151" s="20" t="inlineStr">
        <is>
          <t>ACTIVO</t>
        </is>
      </c>
      <c r="E151" s="20" t="inlineStr">
        <is>
          <t>2024-10-30</t>
        </is>
      </c>
      <c r="F151" s="20" t="inlineStr">
        <is>
          <t>2027-10-30</t>
        </is>
      </c>
      <c r="G151" s="22" t="n">
        <v>36</v>
      </c>
      <c r="H151" s="23" t="n">
        <v>244515.26</v>
      </c>
      <c r="I151" s="23">
        <f>IF(Amortizacion_Capital_Mensual!J151&gt;0, ROUND(201385.43 - Amortizacion_Capital_Mensual!J151, 2), "")</f>
        <v/>
      </c>
      <c r="J151" s="23">
        <f>IF(Amortizacion_Capital_Mensual!K151&gt;0, ROUND(I151 - Amortizacion_Capital_Mensual!K151, 2), "")</f>
        <v/>
      </c>
      <c r="K151" s="23">
        <f>IF(Amortizacion_Capital_Mensual!L151&gt;0, ROUND(J151 - Amortizacion_Capital_Mensual!L151, 2), "")</f>
        <v/>
      </c>
      <c r="L151" s="23">
        <f>IF(Amortizacion_Capital_Mensual!M151&gt;0, ROUND(K151 - Amortizacion_Capital_Mensual!M151, 2), "")</f>
        <v/>
      </c>
      <c r="M151" s="23">
        <f>IF(Amortizacion_Capital_Mensual!N151&gt;0, ROUND(L151 - Amortizacion_Capital_Mensual!N151, 2), "")</f>
        <v/>
      </c>
      <c r="N151" s="23">
        <f>IF(Amortizacion_Capital_Mensual!O151&gt;0, ROUND(M151 - Amortizacion_Capital_Mensual!O151, 2), "")</f>
        <v/>
      </c>
      <c r="O151" s="23">
        <f>IF(Amortizacion_Capital_Mensual!P151&gt;0, ROUND(N151 - Amortizacion_Capital_Mensual!P151, 2), "")</f>
        <v/>
      </c>
      <c r="P151" s="23">
        <f>IF(Amortizacion_Capital_Mensual!Q151&gt;0, ROUND(O151 - Amortizacion_Capital_Mensual!Q151, 2), "")</f>
        <v/>
      </c>
      <c r="Q151" s="23">
        <f>IF(Amortizacion_Capital_Mensual!R151&gt;0, ROUND(P151 - Amortizacion_Capital_Mensual!R151, 2), "")</f>
        <v/>
      </c>
      <c r="R151" s="23">
        <f>IF(Amortizacion_Capital_Mensual!S151&gt;0, ROUND(Q151 - Amortizacion_Capital_Mensual!S151, 2), "")</f>
        <v/>
      </c>
      <c r="S151" s="23">
        <f>IF(Amortizacion_Capital_Mensual!T151&gt;0, ROUND(R151 - Amortizacion_Capital_Mensual!T151, 2), "")</f>
        <v/>
      </c>
      <c r="T151" s="23">
        <f>IF(Amortizacion_Capital_Mensual!U151&gt;0, ROUND(S151 - Amortizacion_Capital_Mensual!U151, 2), "")</f>
        <v/>
      </c>
      <c r="U151" s="23">
        <f>MAX(I151:T151)</f>
        <v/>
      </c>
    </row>
    <row r="152">
      <c r="A152" s="26" t="inlineStr">
        <is>
          <t>0677-0001</t>
        </is>
      </c>
      <c r="B152" s="27" t="inlineStr">
        <is>
          <t>Laboratorio Inunza Siglo XXI</t>
        </is>
      </c>
      <c r="C152" s="27" t="inlineStr">
        <is>
          <t>Outlander Diamon</t>
        </is>
      </c>
      <c r="D152" s="26" t="inlineStr">
        <is>
          <t>ACTIVO</t>
        </is>
      </c>
      <c r="E152" s="26" t="inlineStr">
        <is>
          <t>2024-10-30</t>
        </is>
      </c>
      <c r="F152" s="26" t="inlineStr">
        <is>
          <t>2027-10-30</t>
        </is>
      </c>
      <c r="G152" s="28" t="n">
        <v>36</v>
      </c>
      <c r="H152" s="29" t="n">
        <v>567181.03</v>
      </c>
      <c r="I152" s="29">
        <f>IF(Amortizacion_Capital_Mensual!J152&gt;0, ROUND(450130.83 - Amortizacion_Capital_Mensual!J152, 2), "")</f>
        <v/>
      </c>
      <c r="J152" s="29">
        <f>IF(Amortizacion_Capital_Mensual!K152&gt;0, ROUND(I152 - Amortizacion_Capital_Mensual!K152, 2), "")</f>
        <v/>
      </c>
      <c r="K152" s="29">
        <f>IF(Amortizacion_Capital_Mensual!L152&gt;0, ROUND(J152 - Amortizacion_Capital_Mensual!L152, 2), "")</f>
        <v/>
      </c>
      <c r="L152" s="29">
        <f>IF(Amortizacion_Capital_Mensual!M152&gt;0, ROUND(K152 - Amortizacion_Capital_Mensual!M152, 2), "")</f>
        <v/>
      </c>
      <c r="M152" s="29">
        <f>IF(Amortizacion_Capital_Mensual!N152&gt;0, ROUND(L152 - Amortizacion_Capital_Mensual!N152, 2), "")</f>
        <v/>
      </c>
      <c r="N152" s="29">
        <f>IF(Amortizacion_Capital_Mensual!O152&gt;0, ROUND(M152 - Amortizacion_Capital_Mensual!O152, 2), "")</f>
        <v/>
      </c>
      <c r="O152" s="29">
        <f>IF(Amortizacion_Capital_Mensual!P152&gt;0, ROUND(N152 - Amortizacion_Capital_Mensual!P152, 2), "")</f>
        <v/>
      </c>
      <c r="P152" s="29">
        <f>IF(Amortizacion_Capital_Mensual!Q152&gt;0, ROUND(O152 - Amortizacion_Capital_Mensual!Q152, 2), "")</f>
        <v/>
      </c>
      <c r="Q152" s="29">
        <f>IF(Amortizacion_Capital_Mensual!R152&gt;0, ROUND(P152 - Amortizacion_Capital_Mensual!R152, 2), "")</f>
        <v/>
      </c>
      <c r="R152" s="29">
        <f>IF(Amortizacion_Capital_Mensual!S152&gt;0, ROUND(Q152 - Amortizacion_Capital_Mensual!S152, 2), "")</f>
        <v/>
      </c>
      <c r="S152" s="29">
        <f>IF(Amortizacion_Capital_Mensual!T152&gt;0, ROUND(R152 - Amortizacion_Capital_Mensual!T152, 2), "")</f>
        <v/>
      </c>
      <c r="T152" s="29">
        <f>IF(Amortizacion_Capital_Mensual!U152&gt;0, ROUND(S152 - Amortizacion_Capital_Mensual!U152, 2), "")</f>
        <v/>
      </c>
      <c r="U152" s="29">
        <f>MAX(I152:T152)</f>
        <v/>
      </c>
    </row>
    <row r="153">
      <c r="A153" s="20" t="inlineStr">
        <is>
          <t>0678-0002</t>
        </is>
      </c>
      <c r="B153" s="21" t="inlineStr">
        <is>
          <t>Bhg Harmony S de Rl de Cv</t>
        </is>
      </c>
      <c r="C153" s="21" t="inlineStr">
        <is>
          <t>Teramont</t>
        </is>
      </c>
      <c r="D153" s="20" t="inlineStr">
        <is>
          <t>ACTIVO</t>
        </is>
      </c>
      <c r="E153" s="20" t="inlineStr">
        <is>
          <t>2025-12-04</t>
        </is>
      </c>
      <c r="F153" s="20" t="inlineStr">
        <is>
          <t>2026-12-04</t>
        </is>
      </c>
      <c r="G153" s="22" t="n">
        <v>12</v>
      </c>
      <c r="H153" s="23" t="n">
        <v>531176.38</v>
      </c>
      <c r="I153" s="23">
        <f>IF(Amortizacion_Capital_Mensual!J153&gt;0, ROUND(499069.43 - Amortizacion_Capital_Mensual!J153, 2), "")</f>
        <v/>
      </c>
      <c r="J153" s="23">
        <f>IF(Amortizacion_Capital_Mensual!K153&gt;0, ROUND(I153 - Amortizacion_Capital_Mensual!K153, 2), "")</f>
        <v/>
      </c>
      <c r="K153" s="23">
        <f>IF(Amortizacion_Capital_Mensual!L153&gt;0, ROUND(J153 - Amortizacion_Capital_Mensual!L153, 2), "")</f>
        <v/>
      </c>
      <c r="L153" s="23">
        <f>IF(Amortizacion_Capital_Mensual!M153&gt;0, ROUND(K153 - Amortizacion_Capital_Mensual!M153, 2), "")</f>
        <v/>
      </c>
      <c r="M153" s="23">
        <f>IF(Amortizacion_Capital_Mensual!N153&gt;0, ROUND(L153 - Amortizacion_Capital_Mensual!N153, 2), "")</f>
        <v/>
      </c>
      <c r="N153" s="23">
        <f>IF(Amortizacion_Capital_Mensual!O153&gt;0, ROUND(M153 - Amortizacion_Capital_Mensual!O153, 2), "")</f>
        <v/>
      </c>
      <c r="O153" s="23">
        <f>IF(Amortizacion_Capital_Mensual!P153&gt;0, ROUND(N153 - Amortizacion_Capital_Mensual!P153, 2), "")</f>
        <v/>
      </c>
      <c r="P153" s="23">
        <f>IF(Amortizacion_Capital_Mensual!Q153&gt;0, ROUND(O153 - Amortizacion_Capital_Mensual!Q153, 2), "")</f>
        <v/>
      </c>
      <c r="Q153" s="23">
        <f>IF(Amortizacion_Capital_Mensual!R153&gt;0, ROUND(P153 - Amortizacion_Capital_Mensual!R153, 2), "")</f>
        <v/>
      </c>
      <c r="R153" s="23">
        <f>IF(Amortizacion_Capital_Mensual!S153&gt;0, ROUND(Q153 - Amortizacion_Capital_Mensual!S153, 2), "")</f>
        <v/>
      </c>
      <c r="S153" s="23">
        <f>IF(Amortizacion_Capital_Mensual!T153&gt;0, ROUND(R153 - Amortizacion_Capital_Mensual!T153, 2), "")</f>
        <v/>
      </c>
      <c r="T153" s="23" t="inlineStr"/>
      <c r="U153" s="23">
        <f>MAX(I153:T153)</f>
        <v/>
      </c>
    </row>
    <row r="154">
      <c r="A154" s="26" t="inlineStr">
        <is>
          <t>0679-0001</t>
        </is>
      </c>
      <c r="B154" s="27" t="inlineStr">
        <is>
          <t>Naikor de Occidente Sa de Cv</t>
        </is>
      </c>
      <c r="C154" s="27" t="inlineStr">
        <is>
          <t>2008</t>
        </is>
      </c>
      <c r="D154" s="26" t="inlineStr">
        <is>
          <t>ACTIVO</t>
        </is>
      </c>
      <c r="E154" s="26" t="inlineStr">
        <is>
          <t>2024-11-29</t>
        </is>
      </c>
      <c r="F154" s="26" t="inlineStr">
        <is>
          <t>2028-11-29</t>
        </is>
      </c>
      <c r="G154" s="28" t="n">
        <v>48</v>
      </c>
      <c r="H154" s="29" t="n">
        <v>327008.62</v>
      </c>
      <c r="I154" s="29">
        <f>IF(Amortizacion_Capital_Mensual!J154&gt;0, ROUND(291652.96 - Amortizacion_Capital_Mensual!J154, 2), "")</f>
        <v/>
      </c>
      <c r="J154" s="29">
        <f>IF(Amortizacion_Capital_Mensual!K154&gt;0, ROUND(I154 - Amortizacion_Capital_Mensual!K154, 2), "")</f>
        <v/>
      </c>
      <c r="K154" s="29">
        <f>IF(Amortizacion_Capital_Mensual!L154&gt;0, ROUND(J154 - Amortizacion_Capital_Mensual!L154, 2), "")</f>
        <v/>
      </c>
      <c r="L154" s="29">
        <f>IF(Amortizacion_Capital_Mensual!M154&gt;0, ROUND(K154 - Amortizacion_Capital_Mensual!M154, 2), "")</f>
        <v/>
      </c>
      <c r="M154" s="29">
        <f>IF(Amortizacion_Capital_Mensual!N154&gt;0, ROUND(L154 - Amortizacion_Capital_Mensual!N154, 2), "")</f>
        <v/>
      </c>
      <c r="N154" s="29">
        <f>IF(Amortizacion_Capital_Mensual!O154&gt;0, ROUND(M154 - Amortizacion_Capital_Mensual!O154, 2), "")</f>
        <v/>
      </c>
      <c r="O154" s="29">
        <f>IF(Amortizacion_Capital_Mensual!P154&gt;0, ROUND(N154 - Amortizacion_Capital_Mensual!P154, 2), "")</f>
        <v/>
      </c>
      <c r="P154" s="29">
        <f>IF(Amortizacion_Capital_Mensual!Q154&gt;0, ROUND(O154 - Amortizacion_Capital_Mensual!Q154, 2), "")</f>
        <v/>
      </c>
      <c r="Q154" s="29">
        <f>IF(Amortizacion_Capital_Mensual!R154&gt;0, ROUND(P154 - Amortizacion_Capital_Mensual!R154, 2), "")</f>
        <v/>
      </c>
      <c r="R154" s="29">
        <f>IF(Amortizacion_Capital_Mensual!S154&gt;0, ROUND(Q154 - Amortizacion_Capital_Mensual!S154, 2), "")</f>
        <v/>
      </c>
      <c r="S154" s="29">
        <f>IF(Amortizacion_Capital_Mensual!T154&gt;0, ROUND(R154 - Amortizacion_Capital_Mensual!T154, 2), "")</f>
        <v/>
      </c>
      <c r="T154" s="29">
        <f>IF(Amortizacion_Capital_Mensual!U154&gt;0, ROUND(S154 - Amortizacion_Capital_Mensual!U154, 2), "")</f>
        <v/>
      </c>
      <c r="U154" s="29">
        <f>MAX(I154:T154)</f>
        <v/>
      </c>
    </row>
    <row r="155">
      <c r="A155" s="20" t="inlineStr">
        <is>
          <t>0680-0001</t>
        </is>
      </c>
      <c r="B155" s="21" t="inlineStr">
        <is>
          <t>Madereria el Volcan Sa de Cv</t>
        </is>
      </c>
      <c r="C155" s="21" t="inlineStr">
        <is>
          <t>JT Mojave</t>
        </is>
      </c>
      <c r="D155" s="20" t="inlineStr">
        <is>
          <t>ACTIVO</t>
        </is>
      </c>
      <c r="E155" s="20" t="inlineStr">
        <is>
          <t>2024-12-27</t>
        </is>
      </c>
      <c r="F155" s="20" t="inlineStr">
        <is>
          <t>2027-12-27</t>
        </is>
      </c>
      <c r="G155" s="22" t="n">
        <v>36</v>
      </c>
      <c r="H155" s="23" t="n">
        <v>828179.33</v>
      </c>
      <c r="I155" s="23">
        <f>IF(Amortizacion_Capital_Mensual!J155&gt;0, ROUND(658089.14 - Amortizacion_Capital_Mensual!J155, 2), "")</f>
        <v/>
      </c>
      <c r="J155" s="23">
        <f>IF(Amortizacion_Capital_Mensual!K155&gt;0, ROUND(I155 - Amortizacion_Capital_Mensual!K155, 2), "")</f>
        <v/>
      </c>
      <c r="K155" s="23">
        <f>IF(Amortizacion_Capital_Mensual!L155&gt;0, ROUND(J155 - Amortizacion_Capital_Mensual!L155, 2), "")</f>
        <v/>
      </c>
      <c r="L155" s="23">
        <f>IF(Amortizacion_Capital_Mensual!M155&gt;0, ROUND(K155 - Amortizacion_Capital_Mensual!M155, 2), "")</f>
        <v/>
      </c>
      <c r="M155" s="23">
        <f>IF(Amortizacion_Capital_Mensual!N155&gt;0, ROUND(L155 - Amortizacion_Capital_Mensual!N155, 2), "")</f>
        <v/>
      </c>
      <c r="N155" s="23">
        <f>IF(Amortizacion_Capital_Mensual!O155&gt;0, ROUND(M155 - Amortizacion_Capital_Mensual!O155, 2), "")</f>
        <v/>
      </c>
      <c r="O155" s="23">
        <f>IF(Amortizacion_Capital_Mensual!P155&gt;0, ROUND(N155 - Amortizacion_Capital_Mensual!P155, 2), "")</f>
        <v/>
      </c>
      <c r="P155" s="23">
        <f>IF(Amortizacion_Capital_Mensual!Q155&gt;0, ROUND(O155 - Amortizacion_Capital_Mensual!Q155, 2), "")</f>
        <v/>
      </c>
      <c r="Q155" s="23">
        <f>IF(Amortizacion_Capital_Mensual!R155&gt;0, ROUND(P155 - Amortizacion_Capital_Mensual!R155, 2), "")</f>
        <v/>
      </c>
      <c r="R155" s="23">
        <f>IF(Amortizacion_Capital_Mensual!S155&gt;0, ROUND(Q155 - Amortizacion_Capital_Mensual!S155, 2), "")</f>
        <v/>
      </c>
      <c r="S155" s="23">
        <f>IF(Amortizacion_Capital_Mensual!T155&gt;0, ROUND(R155 - Amortizacion_Capital_Mensual!T155, 2), "")</f>
        <v/>
      </c>
      <c r="T155" s="23">
        <f>IF(Amortizacion_Capital_Mensual!U155&gt;0, ROUND(S155 - Amortizacion_Capital_Mensual!U155, 2), "")</f>
        <v/>
      </c>
      <c r="U155" s="23">
        <f>MAX(I155:T155)</f>
        <v/>
      </c>
    </row>
    <row r="156">
      <c r="A156" s="26" t="inlineStr">
        <is>
          <t>0682-0001</t>
        </is>
      </c>
      <c r="B156" s="27" t="inlineStr">
        <is>
          <t>Hidraneumaticos y Equipos para Gas Sa de Cv</t>
        </is>
      </c>
      <c r="C156" s="27" t="inlineStr">
        <is>
          <t>Renegade Limited</t>
        </is>
      </c>
      <c r="D156" s="26" t="inlineStr">
        <is>
          <t>ACTIVO</t>
        </is>
      </c>
      <c r="E156" s="26" t="inlineStr">
        <is>
          <t>2024-12-27</t>
        </is>
      </c>
      <c r="F156" s="26" t="inlineStr">
        <is>
          <t>2026-12-27</t>
        </is>
      </c>
      <c r="G156" s="28" t="n">
        <v>24</v>
      </c>
      <c r="H156" s="29" t="n">
        <v>385913.79</v>
      </c>
      <c r="I156" s="29">
        <f>IF(Amortizacion_Capital_Mensual!J156&gt;0, ROUND(231459.34 - Amortizacion_Capital_Mensual!J156, 2), "")</f>
        <v/>
      </c>
      <c r="J156" s="29">
        <f>IF(Amortizacion_Capital_Mensual!K156&gt;0, ROUND(I156 - Amortizacion_Capital_Mensual!K156, 2), "")</f>
        <v/>
      </c>
      <c r="K156" s="29">
        <f>IF(Amortizacion_Capital_Mensual!L156&gt;0, ROUND(J156 - Amortizacion_Capital_Mensual!L156, 2), "")</f>
        <v/>
      </c>
      <c r="L156" s="29">
        <f>IF(Amortizacion_Capital_Mensual!M156&gt;0, ROUND(K156 - Amortizacion_Capital_Mensual!M156, 2), "")</f>
        <v/>
      </c>
      <c r="M156" s="29">
        <f>IF(Amortizacion_Capital_Mensual!N156&gt;0, ROUND(L156 - Amortizacion_Capital_Mensual!N156, 2), "")</f>
        <v/>
      </c>
      <c r="N156" s="29">
        <f>IF(Amortizacion_Capital_Mensual!O156&gt;0, ROUND(M156 - Amortizacion_Capital_Mensual!O156, 2), "")</f>
        <v/>
      </c>
      <c r="O156" s="29">
        <f>IF(Amortizacion_Capital_Mensual!P156&gt;0, ROUND(N156 - Amortizacion_Capital_Mensual!P156, 2), "")</f>
        <v/>
      </c>
      <c r="P156" s="29">
        <f>IF(Amortizacion_Capital_Mensual!Q156&gt;0, ROUND(O156 - Amortizacion_Capital_Mensual!Q156, 2), "")</f>
        <v/>
      </c>
      <c r="Q156" s="29">
        <f>IF(Amortizacion_Capital_Mensual!R156&gt;0, ROUND(P156 - Amortizacion_Capital_Mensual!R156, 2), "")</f>
        <v/>
      </c>
      <c r="R156" s="29">
        <f>IF(Amortizacion_Capital_Mensual!S156&gt;0, ROUND(Q156 - Amortizacion_Capital_Mensual!S156, 2), "")</f>
        <v/>
      </c>
      <c r="S156" s="29">
        <f>IF(Amortizacion_Capital_Mensual!T156&gt;0, ROUND(R156 - Amortizacion_Capital_Mensual!T156, 2), "")</f>
        <v/>
      </c>
      <c r="T156" s="29" t="inlineStr"/>
      <c r="U156" s="29">
        <f>MAX(I156:T156)</f>
        <v/>
      </c>
    </row>
    <row r="157">
      <c r="A157" s="20" t="inlineStr">
        <is>
          <t>0682-0002</t>
        </is>
      </c>
      <c r="B157" s="21" t="inlineStr">
        <is>
          <t>Hidroneumaticos y Equipos para Gas Sa de Cv</t>
        </is>
      </c>
      <c r="C157" s="21" t="inlineStr">
        <is>
          <t>RIO</t>
        </is>
      </c>
      <c r="D157" s="20" t="inlineStr">
        <is>
          <t>ACTIVO</t>
        </is>
      </c>
      <c r="E157" s="20" t="inlineStr">
        <is>
          <t>2025-02-17</t>
        </is>
      </c>
      <c r="F157" s="20" t="inlineStr">
        <is>
          <t>2027-02-17</t>
        </is>
      </c>
      <c r="G157" s="22" t="n">
        <v>24</v>
      </c>
      <c r="H157" s="23" t="n">
        <v>201646.55</v>
      </c>
      <c r="I157" s="23">
        <f>IF(Amortizacion_Capital_Mensual!J157&gt;0, ROUND(135547.72 - Amortizacion_Capital_Mensual!J157, 2), "")</f>
        <v/>
      </c>
      <c r="J157" s="23">
        <f>IF(Amortizacion_Capital_Mensual!K157&gt;0, ROUND(I157 - Amortizacion_Capital_Mensual!K157, 2), "")</f>
        <v/>
      </c>
      <c r="K157" s="23">
        <f>IF(Amortizacion_Capital_Mensual!L157&gt;0, ROUND(J157 - Amortizacion_Capital_Mensual!L157, 2), "")</f>
        <v/>
      </c>
      <c r="L157" s="23">
        <f>IF(Amortizacion_Capital_Mensual!M157&gt;0, ROUND(K157 - Amortizacion_Capital_Mensual!M157, 2), "")</f>
        <v/>
      </c>
      <c r="M157" s="23">
        <f>IF(Amortizacion_Capital_Mensual!N157&gt;0, ROUND(L157 - Amortizacion_Capital_Mensual!N157, 2), "")</f>
        <v/>
      </c>
      <c r="N157" s="23">
        <f>IF(Amortizacion_Capital_Mensual!O157&gt;0, ROUND(M157 - Amortizacion_Capital_Mensual!O157, 2), "")</f>
        <v/>
      </c>
      <c r="O157" s="23">
        <f>IF(Amortizacion_Capital_Mensual!P157&gt;0, ROUND(N157 - Amortizacion_Capital_Mensual!P157, 2), "")</f>
        <v/>
      </c>
      <c r="P157" s="23">
        <f>IF(Amortizacion_Capital_Mensual!Q157&gt;0, ROUND(O157 - Amortizacion_Capital_Mensual!Q157, 2), "")</f>
        <v/>
      </c>
      <c r="Q157" s="23">
        <f>IF(Amortizacion_Capital_Mensual!R157&gt;0, ROUND(P157 - Amortizacion_Capital_Mensual!R157, 2), "")</f>
        <v/>
      </c>
      <c r="R157" s="23">
        <f>IF(Amortizacion_Capital_Mensual!S157&gt;0, ROUND(Q157 - Amortizacion_Capital_Mensual!S157, 2), "")</f>
        <v/>
      </c>
      <c r="S157" s="23">
        <f>IF(Amortizacion_Capital_Mensual!T157&gt;0, ROUND(R157 - Amortizacion_Capital_Mensual!T157, 2), "")</f>
        <v/>
      </c>
      <c r="T157" s="23">
        <f>IF(Amortizacion_Capital_Mensual!U157&gt;0, ROUND(S157 - Amortizacion_Capital_Mensual!U157, 2), "")</f>
        <v/>
      </c>
      <c r="U157" s="23">
        <f>MAX(I157:T157)</f>
        <v/>
      </c>
    </row>
    <row r="158">
      <c r="A158" s="26" t="inlineStr">
        <is>
          <t>0683-0001</t>
        </is>
      </c>
      <c r="B158" s="27" t="inlineStr">
        <is>
          <t>Maria de Jesus Sanchez Aguayo</t>
        </is>
      </c>
      <c r="C158" s="27" t="inlineStr">
        <is>
          <t>Ram 700 Regular Cab</t>
        </is>
      </c>
      <c r="D158" s="26" t="inlineStr">
        <is>
          <t>ACTIVO</t>
        </is>
      </c>
      <c r="E158" s="26" t="inlineStr">
        <is>
          <t>2025-01-09</t>
        </is>
      </c>
      <c r="F158" s="26" t="inlineStr">
        <is>
          <t>2028-01-09</t>
        </is>
      </c>
      <c r="G158" s="28" t="n">
        <v>36</v>
      </c>
      <c r="H158" s="29" t="n">
        <v>249030.77</v>
      </c>
      <c r="I158" s="29">
        <f>IF(Amortizacion_Capital_Mensual!J158&gt;0, ROUND(215591.48 - Amortizacion_Capital_Mensual!J158, 2), "")</f>
        <v/>
      </c>
      <c r="J158" s="29">
        <f>IF(Amortizacion_Capital_Mensual!K158&gt;0, ROUND(I158 - Amortizacion_Capital_Mensual!K158, 2), "")</f>
        <v/>
      </c>
      <c r="K158" s="29">
        <f>IF(Amortizacion_Capital_Mensual!L158&gt;0, ROUND(J158 - Amortizacion_Capital_Mensual!L158, 2), "")</f>
        <v/>
      </c>
      <c r="L158" s="29">
        <f>IF(Amortizacion_Capital_Mensual!M158&gt;0, ROUND(K158 - Amortizacion_Capital_Mensual!M158, 2), "")</f>
        <v/>
      </c>
      <c r="M158" s="29">
        <f>IF(Amortizacion_Capital_Mensual!N158&gt;0, ROUND(L158 - Amortizacion_Capital_Mensual!N158, 2), "")</f>
        <v/>
      </c>
      <c r="N158" s="29">
        <f>IF(Amortizacion_Capital_Mensual!O158&gt;0, ROUND(M158 - Amortizacion_Capital_Mensual!O158, 2), "")</f>
        <v/>
      </c>
      <c r="O158" s="29">
        <f>IF(Amortizacion_Capital_Mensual!P158&gt;0, ROUND(N158 - Amortizacion_Capital_Mensual!P158, 2), "")</f>
        <v/>
      </c>
      <c r="P158" s="29">
        <f>IF(Amortizacion_Capital_Mensual!Q158&gt;0, ROUND(O158 - Amortizacion_Capital_Mensual!Q158, 2), "")</f>
        <v/>
      </c>
      <c r="Q158" s="29">
        <f>IF(Amortizacion_Capital_Mensual!R158&gt;0, ROUND(P158 - Amortizacion_Capital_Mensual!R158, 2), "")</f>
        <v/>
      </c>
      <c r="R158" s="29">
        <f>IF(Amortizacion_Capital_Mensual!S158&gt;0, ROUND(Q158 - Amortizacion_Capital_Mensual!S158, 2), "")</f>
        <v/>
      </c>
      <c r="S158" s="29">
        <f>IF(Amortizacion_Capital_Mensual!T158&gt;0, ROUND(R158 - Amortizacion_Capital_Mensual!T158, 2), "")</f>
        <v/>
      </c>
      <c r="T158" s="29">
        <f>IF(Amortizacion_Capital_Mensual!U158&gt;0, ROUND(S158 - Amortizacion_Capital_Mensual!U158, 2), "")</f>
        <v/>
      </c>
      <c r="U158" s="29">
        <f>MAX(I158:T158)</f>
        <v/>
      </c>
    </row>
    <row r="159">
      <c r="A159" s="20" t="inlineStr">
        <is>
          <t>0683-0002</t>
        </is>
      </c>
      <c r="B159" s="21" t="inlineStr">
        <is>
          <t>Maria de Jesus Sanchez Aguayo</t>
        </is>
      </c>
      <c r="C159" s="21" t="inlineStr">
        <is>
          <t>700 Tradesman Regular Cab</t>
        </is>
      </c>
      <c r="D159" s="20" t="inlineStr">
        <is>
          <t>ACTIVO</t>
        </is>
      </c>
      <c r="E159" s="20" t="inlineStr">
        <is>
          <t>2026-01-05</t>
        </is>
      </c>
      <c r="F159" s="20" t="inlineStr">
        <is>
          <t>2029-01-05</t>
        </is>
      </c>
      <c r="G159" s="22" t="n">
        <v>36</v>
      </c>
      <c r="H159" s="23" t="n">
        <v>240439.65</v>
      </c>
      <c r="I159" s="23">
        <f>IF(Amortizacion_Capital_Mensual!J159&gt;0, ROUND($H159 - Amortizacion_Capital_Mensual!J159, 2), "")</f>
        <v/>
      </c>
      <c r="J159" s="23">
        <f>IF(Amortizacion_Capital_Mensual!K159&gt;0, ROUND(I159 - Amortizacion_Capital_Mensual!K159, 2), "")</f>
        <v/>
      </c>
      <c r="K159" s="23">
        <f>IF(Amortizacion_Capital_Mensual!L159&gt;0, ROUND(J159 - Amortizacion_Capital_Mensual!L159, 2), "")</f>
        <v/>
      </c>
      <c r="L159" s="23">
        <f>IF(Amortizacion_Capital_Mensual!M159&gt;0, ROUND(K159 - Amortizacion_Capital_Mensual!M159, 2), "")</f>
        <v/>
      </c>
      <c r="M159" s="23">
        <f>IF(Amortizacion_Capital_Mensual!N159&gt;0, ROUND(L159 - Amortizacion_Capital_Mensual!N159, 2), "")</f>
        <v/>
      </c>
      <c r="N159" s="23">
        <f>IF(Amortizacion_Capital_Mensual!O159&gt;0, ROUND(M159 - Amortizacion_Capital_Mensual!O159, 2), "")</f>
        <v/>
      </c>
      <c r="O159" s="23">
        <f>IF(Amortizacion_Capital_Mensual!P159&gt;0, ROUND(N159 - Amortizacion_Capital_Mensual!P159, 2), "")</f>
        <v/>
      </c>
      <c r="P159" s="23">
        <f>IF(Amortizacion_Capital_Mensual!Q159&gt;0, ROUND(O159 - Amortizacion_Capital_Mensual!Q159, 2), "")</f>
        <v/>
      </c>
      <c r="Q159" s="23">
        <f>IF(Amortizacion_Capital_Mensual!R159&gt;0, ROUND(P159 - Amortizacion_Capital_Mensual!R159, 2), "")</f>
        <v/>
      </c>
      <c r="R159" s="23">
        <f>IF(Amortizacion_Capital_Mensual!S159&gt;0, ROUND(Q159 - Amortizacion_Capital_Mensual!S159, 2), "")</f>
        <v/>
      </c>
      <c r="S159" s="23">
        <f>IF(Amortizacion_Capital_Mensual!T159&gt;0, ROUND(R159 - Amortizacion_Capital_Mensual!T159, 2), "")</f>
        <v/>
      </c>
      <c r="T159" s="23">
        <f>IF(Amortizacion_Capital_Mensual!U159&gt;0, ROUND(S159 - Amortizacion_Capital_Mensual!U159, 2), "")</f>
        <v/>
      </c>
      <c r="U159" s="23">
        <f>MAX(I159:T159)</f>
        <v/>
      </c>
    </row>
    <row r="160">
      <c r="A160" s="26" t="inlineStr">
        <is>
          <t>0684-0001</t>
        </is>
      </c>
      <c r="B160" s="27" t="inlineStr">
        <is>
          <t>Corporativo Kareso Sa de v</t>
        </is>
      </c>
      <c r="C160" s="27" t="inlineStr">
        <is>
          <t>GRAND CHEROKEE LIMITED</t>
        </is>
      </c>
      <c r="D160" s="26" t="inlineStr">
        <is>
          <t>ACTIVO</t>
        </is>
      </c>
      <c r="E160" s="26" t="inlineStr">
        <is>
          <t>2024-12-20</t>
        </is>
      </c>
      <c r="F160" s="26" t="inlineStr">
        <is>
          <t>2026-12-20</t>
        </is>
      </c>
      <c r="G160" s="28" t="n">
        <v>24</v>
      </c>
      <c r="H160" s="29" t="n">
        <v>797758.62</v>
      </c>
      <c r="I160" s="29">
        <f>IF(Amortizacion_Capital_Mensual!J160&gt;0, ROUND(540304.46 - Amortizacion_Capital_Mensual!J160, 2), "")</f>
        <v/>
      </c>
      <c r="J160" s="29">
        <f>IF(Amortizacion_Capital_Mensual!K160&gt;0, ROUND(I160 - Amortizacion_Capital_Mensual!K160, 2), "")</f>
        <v/>
      </c>
      <c r="K160" s="29">
        <f>IF(Amortizacion_Capital_Mensual!L160&gt;0, ROUND(J160 - Amortizacion_Capital_Mensual!L160, 2), "")</f>
        <v/>
      </c>
      <c r="L160" s="29">
        <f>IF(Amortizacion_Capital_Mensual!M160&gt;0, ROUND(K160 - Amortizacion_Capital_Mensual!M160, 2), "")</f>
        <v/>
      </c>
      <c r="M160" s="29">
        <f>IF(Amortizacion_Capital_Mensual!N160&gt;0, ROUND(L160 - Amortizacion_Capital_Mensual!N160, 2), "")</f>
        <v/>
      </c>
      <c r="N160" s="29">
        <f>IF(Amortizacion_Capital_Mensual!O160&gt;0, ROUND(M160 - Amortizacion_Capital_Mensual!O160, 2), "")</f>
        <v/>
      </c>
      <c r="O160" s="29">
        <f>IF(Amortizacion_Capital_Mensual!P160&gt;0, ROUND(N160 - Amortizacion_Capital_Mensual!P160, 2), "")</f>
        <v/>
      </c>
      <c r="P160" s="29">
        <f>IF(Amortizacion_Capital_Mensual!Q160&gt;0, ROUND(O160 - Amortizacion_Capital_Mensual!Q160, 2), "")</f>
        <v/>
      </c>
      <c r="Q160" s="29">
        <f>IF(Amortizacion_Capital_Mensual!R160&gt;0, ROUND(P160 - Amortizacion_Capital_Mensual!R160, 2), "")</f>
        <v/>
      </c>
      <c r="R160" s="29">
        <f>IF(Amortizacion_Capital_Mensual!S160&gt;0, ROUND(Q160 - Amortizacion_Capital_Mensual!S160, 2), "")</f>
        <v/>
      </c>
      <c r="S160" s="29">
        <f>IF(Amortizacion_Capital_Mensual!T160&gt;0, ROUND(R160 - Amortizacion_Capital_Mensual!T160, 2), "")</f>
        <v/>
      </c>
      <c r="T160" s="29" t="inlineStr"/>
      <c r="U160" s="29">
        <f>MAX(I160:T160)</f>
        <v/>
      </c>
    </row>
    <row r="161">
      <c r="A161" s="20" t="inlineStr">
        <is>
          <t>0684-0002</t>
        </is>
      </c>
      <c r="B161" s="21" t="inlineStr">
        <is>
          <t>Corporativo Kareso Sa de Cv</t>
        </is>
      </c>
      <c r="C161" s="21" t="inlineStr">
        <is>
          <t>NP300 Chasis</t>
        </is>
      </c>
      <c r="D161" s="20" t="inlineStr">
        <is>
          <t>ACTIVO</t>
        </is>
      </c>
      <c r="E161" s="20" t="inlineStr">
        <is>
          <t>2025-12-12</t>
        </is>
      </c>
      <c r="F161" s="20" t="inlineStr">
        <is>
          <t>2027-12-12</t>
        </is>
      </c>
      <c r="G161" s="22" t="n">
        <v>24</v>
      </c>
      <c r="H161" s="23" t="n">
        <v>327913.8</v>
      </c>
      <c r="I161" s="23">
        <f>IF(Amortizacion_Capital_Mensual!J161&gt;0, ROUND(320772.29 - Amortizacion_Capital_Mensual!J161, 2), "")</f>
        <v/>
      </c>
      <c r="J161" s="23">
        <f>IF(Amortizacion_Capital_Mensual!K161&gt;0, ROUND(I161 - Amortizacion_Capital_Mensual!K161, 2), "")</f>
        <v/>
      </c>
      <c r="K161" s="23">
        <f>IF(Amortizacion_Capital_Mensual!L161&gt;0, ROUND(J161 - Amortizacion_Capital_Mensual!L161, 2), "")</f>
        <v/>
      </c>
      <c r="L161" s="23">
        <f>IF(Amortizacion_Capital_Mensual!M161&gt;0, ROUND(K161 - Amortizacion_Capital_Mensual!M161, 2), "")</f>
        <v/>
      </c>
      <c r="M161" s="23">
        <f>IF(Amortizacion_Capital_Mensual!N161&gt;0, ROUND(L161 - Amortizacion_Capital_Mensual!N161, 2), "")</f>
        <v/>
      </c>
      <c r="N161" s="23">
        <f>IF(Amortizacion_Capital_Mensual!O161&gt;0, ROUND(M161 - Amortizacion_Capital_Mensual!O161, 2), "")</f>
        <v/>
      </c>
      <c r="O161" s="23">
        <f>IF(Amortizacion_Capital_Mensual!P161&gt;0, ROUND(N161 - Amortizacion_Capital_Mensual!P161, 2), "")</f>
        <v/>
      </c>
      <c r="P161" s="23">
        <f>IF(Amortizacion_Capital_Mensual!Q161&gt;0, ROUND(O161 - Amortizacion_Capital_Mensual!Q161, 2), "")</f>
        <v/>
      </c>
      <c r="Q161" s="23">
        <f>IF(Amortizacion_Capital_Mensual!R161&gt;0, ROUND(P161 - Amortizacion_Capital_Mensual!R161, 2), "")</f>
        <v/>
      </c>
      <c r="R161" s="23">
        <f>IF(Amortizacion_Capital_Mensual!S161&gt;0, ROUND(Q161 - Amortizacion_Capital_Mensual!S161, 2), "")</f>
        <v/>
      </c>
      <c r="S161" s="23">
        <f>IF(Amortizacion_Capital_Mensual!T161&gt;0, ROUND(R161 - Amortizacion_Capital_Mensual!T161, 2), "")</f>
        <v/>
      </c>
      <c r="T161" s="23">
        <f>IF(Amortizacion_Capital_Mensual!U161&gt;0, ROUND(S161 - Amortizacion_Capital_Mensual!U161, 2), "")</f>
        <v/>
      </c>
      <c r="U161" s="23">
        <f>MAX(I161:T161)</f>
        <v/>
      </c>
    </row>
    <row r="162">
      <c r="A162" s="26" t="inlineStr">
        <is>
          <t>0684-0003</t>
        </is>
      </c>
      <c r="B162" s="27" t="inlineStr">
        <is>
          <t>Corporativo Kareso Sa de Cv</t>
        </is>
      </c>
      <c r="C162" s="27" t="inlineStr">
        <is>
          <t>Yaris HB</t>
        </is>
      </c>
      <c r="D162" s="26" t="inlineStr">
        <is>
          <t>ACTIVO</t>
        </is>
      </c>
      <c r="E162" s="26" t="inlineStr">
        <is>
          <t>2026-02-17</t>
        </is>
      </c>
      <c r="F162" s="26" t="inlineStr">
        <is>
          <t>2028-02-17</t>
        </is>
      </c>
      <c r="G162" s="28" t="n">
        <v>24</v>
      </c>
      <c r="H162" s="29" t="n">
        <v>225267.24</v>
      </c>
      <c r="I162" s="29" t="inlineStr"/>
      <c r="J162" s="29">
        <f>IF(Amortizacion_Capital_Mensual!K162&gt;0, ROUND($H162 - Amortizacion_Capital_Mensual!K162, 2), "")</f>
        <v/>
      </c>
      <c r="K162" s="29">
        <f>IF(Amortizacion_Capital_Mensual!L162&gt;0, ROUND(J162 - Amortizacion_Capital_Mensual!L162, 2), "")</f>
        <v/>
      </c>
      <c r="L162" s="29">
        <f>IF(Amortizacion_Capital_Mensual!M162&gt;0, ROUND(K162 - Amortizacion_Capital_Mensual!M162, 2), "")</f>
        <v/>
      </c>
      <c r="M162" s="29">
        <f>IF(Amortizacion_Capital_Mensual!N162&gt;0, ROUND(L162 - Amortizacion_Capital_Mensual!N162, 2), "")</f>
        <v/>
      </c>
      <c r="N162" s="29">
        <f>IF(Amortizacion_Capital_Mensual!O162&gt;0, ROUND(M162 - Amortizacion_Capital_Mensual!O162, 2), "")</f>
        <v/>
      </c>
      <c r="O162" s="29">
        <f>IF(Amortizacion_Capital_Mensual!P162&gt;0, ROUND(N162 - Amortizacion_Capital_Mensual!P162, 2), "")</f>
        <v/>
      </c>
      <c r="P162" s="29">
        <f>IF(Amortizacion_Capital_Mensual!Q162&gt;0, ROUND(O162 - Amortizacion_Capital_Mensual!Q162, 2), "")</f>
        <v/>
      </c>
      <c r="Q162" s="29">
        <f>IF(Amortizacion_Capital_Mensual!R162&gt;0, ROUND(P162 - Amortizacion_Capital_Mensual!R162, 2), "")</f>
        <v/>
      </c>
      <c r="R162" s="29">
        <f>IF(Amortizacion_Capital_Mensual!S162&gt;0, ROUND(Q162 - Amortizacion_Capital_Mensual!S162, 2), "")</f>
        <v/>
      </c>
      <c r="S162" s="29">
        <f>IF(Amortizacion_Capital_Mensual!T162&gt;0, ROUND(R162 - Amortizacion_Capital_Mensual!T162, 2), "")</f>
        <v/>
      </c>
      <c r="T162" s="29">
        <f>IF(Amortizacion_Capital_Mensual!U162&gt;0, ROUND(S162 - Amortizacion_Capital_Mensual!U162, 2), "")</f>
        <v/>
      </c>
      <c r="U162" s="29">
        <f>MAX(I162:T162)</f>
        <v/>
      </c>
    </row>
    <row r="163">
      <c r="A163" s="20" t="inlineStr">
        <is>
          <t>0684-0004</t>
        </is>
      </c>
      <c r="B163" s="21" t="inlineStr">
        <is>
          <t>Corporativo Kareso Sa de Cv</t>
        </is>
      </c>
      <c r="C163" s="21" t="inlineStr">
        <is>
          <t>700 LARAMIE CREW CAB</t>
        </is>
      </c>
      <c r="D163" s="20" t="inlineStr">
        <is>
          <t>ACTIVO</t>
        </is>
      </c>
      <c r="E163" s="20" t="inlineStr">
        <is>
          <t>2025-12-12</t>
        </is>
      </c>
      <c r="F163" s="20" t="inlineStr">
        <is>
          <t>2027-12-12</t>
        </is>
      </c>
      <c r="G163" s="22" t="n">
        <v>24</v>
      </c>
      <c r="H163" s="23" t="n">
        <v>294422.42</v>
      </c>
      <c r="I163" s="23">
        <f>IF(Amortizacion_Capital_Mensual!J163&gt;0, ROUND(288010.31 - Amortizacion_Capital_Mensual!J163, 2), "")</f>
        <v/>
      </c>
      <c r="J163" s="23">
        <f>IF(Amortizacion_Capital_Mensual!K163&gt;0, ROUND(I163 - Amortizacion_Capital_Mensual!K163, 2), "")</f>
        <v/>
      </c>
      <c r="K163" s="23">
        <f>IF(Amortizacion_Capital_Mensual!L163&gt;0, ROUND(J163 - Amortizacion_Capital_Mensual!L163, 2), "")</f>
        <v/>
      </c>
      <c r="L163" s="23">
        <f>IF(Amortizacion_Capital_Mensual!M163&gt;0, ROUND(K163 - Amortizacion_Capital_Mensual!M163, 2), "")</f>
        <v/>
      </c>
      <c r="M163" s="23">
        <f>IF(Amortizacion_Capital_Mensual!N163&gt;0, ROUND(L163 - Amortizacion_Capital_Mensual!N163, 2), "")</f>
        <v/>
      </c>
      <c r="N163" s="23">
        <f>IF(Amortizacion_Capital_Mensual!O163&gt;0, ROUND(M163 - Amortizacion_Capital_Mensual!O163, 2), "")</f>
        <v/>
      </c>
      <c r="O163" s="23">
        <f>IF(Amortizacion_Capital_Mensual!P163&gt;0, ROUND(N163 - Amortizacion_Capital_Mensual!P163, 2), "")</f>
        <v/>
      </c>
      <c r="P163" s="23">
        <f>IF(Amortizacion_Capital_Mensual!Q163&gt;0, ROUND(O163 - Amortizacion_Capital_Mensual!Q163, 2), "")</f>
        <v/>
      </c>
      <c r="Q163" s="23">
        <f>IF(Amortizacion_Capital_Mensual!R163&gt;0, ROUND(P163 - Amortizacion_Capital_Mensual!R163, 2), "")</f>
        <v/>
      </c>
      <c r="R163" s="23">
        <f>IF(Amortizacion_Capital_Mensual!S163&gt;0, ROUND(Q163 - Amortizacion_Capital_Mensual!S163, 2), "")</f>
        <v/>
      </c>
      <c r="S163" s="23">
        <f>IF(Amortizacion_Capital_Mensual!T163&gt;0, ROUND(R163 - Amortizacion_Capital_Mensual!T163, 2), "")</f>
        <v/>
      </c>
      <c r="T163" s="23">
        <f>IF(Amortizacion_Capital_Mensual!U163&gt;0, ROUND(S163 - Amortizacion_Capital_Mensual!U163, 2), "")</f>
        <v/>
      </c>
      <c r="U163" s="23">
        <f>MAX(I163:T163)</f>
        <v/>
      </c>
    </row>
    <row r="164">
      <c r="A164" s="26" t="inlineStr">
        <is>
          <t>0687-0001</t>
        </is>
      </c>
      <c r="B164" s="27" t="inlineStr">
        <is>
          <t>Roberto Carlos Borbolla Alvarado</t>
        </is>
      </c>
      <c r="C164" s="27" t="inlineStr">
        <is>
          <t>Creta</t>
        </is>
      </c>
      <c r="D164" s="26" t="inlineStr">
        <is>
          <t>ACTIVO</t>
        </is>
      </c>
      <c r="E164" s="26" t="inlineStr">
        <is>
          <t>2025-03-03</t>
        </is>
      </c>
      <c r="F164" s="26" t="inlineStr">
        <is>
          <t>2028-03-03</t>
        </is>
      </c>
      <c r="G164" s="28" t="n">
        <v>36</v>
      </c>
      <c r="H164" s="29" t="n">
        <v>430060.35</v>
      </c>
      <c r="I164" s="29">
        <f>IF(Amortizacion_Capital_Mensual!J164&gt;0, ROUND(366255.94 - Amortizacion_Capital_Mensual!J164, 2), "")</f>
        <v/>
      </c>
      <c r="J164" s="29">
        <f>IF(Amortizacion_Capital_Mensual!K164&gt;0, ROUND(I164 - Amortizacion_Capital_Mensual!K164, 2), "")</f>
        <v/>
      </c>
      <c r="K164" s="29">
        <f>IF(Amortizacion_Capital_Mensual!L164&gt;0, ROUND(J164 - Amortizacion_Capital_Mensual!L164, 2), "")</f>
        <v/>
      </c>
      <c r="L164" s="29">
        <f>IF(Amortizacion_Capital_Mensual!M164&gt;0, ROUND(K164 - Amortizacion_Capital_Mensual!M164, 2), "")</f>
        <v/>
      </c>
      <c r="M164" s="29">
        <f>IF(Amortizacion_Capital_Mensual!N164&gt;0, ROUND(L164 - Amortizacion_Capital_Mensual!N164, 2), "")</f>
        <v/>
      </c>
      <c r="N164" s="29">
        <f>IF(Amortizacion_Capital_Mensual!O164&gt;0, ROUND(M164 - Amortizacion_Capital_Mensual!O164, 2), "")</f>
        <v/>
      </c>
      <c r="O164" s="29">
        <f>IF(Amortizacion_Capital_Mensual!P164&gt;0, ROUND(N164 - Amortizacion_Capital_Mensual!P164, 2), "")</f>
        <v/>
      </c>
      <c r="P164" s="29">
        <f>IF(Amortizacion_Capital_Mensual!Q164&gt;0, ROUND(O164 - Amortizacion_Capital_Mensual!Q164, 2), "")</f>
        <v/>
      </c>
      <c r="Q164" s="29">
        <f>IF(Amortizacion_Capital_Mensual!R164&gt;0, ROUND(P164 - Amortizacion_Capital_Mensual!R164, 2), "")</f>
        <v/>
      </c>
      <c r="R164" s="29">
        <f>IF(Amortizacion_Capital_Mensual!S164&gt;0, ROUND(Q164 - Amortizacion_Capital_Mensual!S164, 2), "")</f>
        <v/>
      </c>
      <c r="S164" s="29">
        <f>IF(Amortizacion_Capital_Mensual!T164&gt;0, ROUND(R164 - Amortizacion_Capital_Mensual!T164, 2), "")</f>
        <v/>
      </c>
      <c r="T164" s="29">
        <f>IF(Amortizacion_Capital_Mensual!U164&gt;0, ROUND(S164 - Amortizacion_Capital_Mensual!U164, 2), "")</f>
        <v/>
      </c>
      <c r="U164" s="29">
        <f>MAX(I164:T164)</f>
        <v/>
      </c>
    </row>
    <row r="165">
      <c r="A165" s="20" t="inlineStr">
        <is>
          <t>0688-0001</t>
        </is>
      </c>
      <c r="B165" s="21" t="inlineStr">
        <is>
          <t>Dolores Magdalena Rosales Rojas</t>
        </is>
      </c>
      <c r="C165" s="21" t="inlineStr">
        <is>
          <t>1500 RHO</t>
        </is>
      </c>
      <c r="D165" s="20" t="inlineStr">
        <is>
          <t>ACTIVO</t>
        </is>
      </c>
      <c r="E165" s="20" t="inlineStr">
        <is>
          <t>2025-02-21</t>
        </is>
      </c>
      <c r="F165" s="20" t="inlineStr">
        <is>
          <t>2027-02-21</t>
        </is>
      </c>
      <c r="G165" s="22" t="n">
        <v>24</v>
      </c>
      <c r="H165" s="23" t="n">
        <v>1517172.42</v>
      </c>
      <c r="I165" s="23">
        <f>IF(Amortizacion_Capital_Mensual!J165&gt;0, ROUND(987283.01 - Amortizacion_Capital_Mensual!J165, 2), "")</f>
        <v/>
      </c>
      <c r="J165" s="23">
        <f>IF(Amortizacion_Capital_Mensual!K165&gt;0, ROUND(I165 - Amortizacion_Capital_Mensual!K165, 2), "")</f>
        <v/>
      </c>
      <c r="K165" s="23">
        <f>IF(Amortizacion_Capital_Mensual!L165&gt;0, ROUND(J165 - Amortizacion_Capital_Mensual!L165, 2), "")</f>
        <v/>
      </c>
      <c r="L165" s="23">
        <f>IF(Amortizacion_Capital_Mensual!M165&gt;0, ROUND(K165 - Amortizacion_Capital_Mensual!M165, 2), "")</f>
        <v/>
      </c>
      <c r="M165" s="23">
        <f>IF(Amortizacion_Capital_Mensual!N165&gt;0, ROUND(L165 - Amortizacion_Capital_Mensual!N165, 2), "")</f>
        <v/>
      </c>
      <c r="N165" s="23">
        <f>IF(Amortizacion_Capital_Mensual!O165&gt;0, ROUND(M165 - Amortizacion_Capital_Mensual!O165, 2), "")</f>
        <v/>
      </c>
      <c r="O165" s="23">
        <f>IF(Amortizacion_Capital_Mensual!P165&gt;0, ROUND(N165 - Amortizacion_Capital_Mensual!P165, 2), "")</f>
        <v/>
      </c>
      <c r="P165" s="23">
        <f>IF(Amortizacion_Capital_Mensual!Q165&gt;0, ROUND(O165 - Amortizacion_Capital_Mensual!Q165, 2), "")</f>
        <v/>
      </c>
      <c r="Q165" s="23">
        <f>IF(Amortizacion_Capital_Mensual!R165&gt;0, ROUND(P165 - Amortizacion_Capital_Mensual!R165, 2), "")</f>
        <v/>
      </c>
      <c r="R165" s="23">
        <f>IF(Amortizacion_Capital_Mensual!S165&gt;0, ROUND(Q165 - Amortizacion_Capital_Mensual!S165, 2), "")</f>
        <v/>
      </c>
      <c r="S165" s="23">
        <f>IF(Amortizacion_Capital_Mensual!T165&gt;0, ROUND(R165 - Amortizacion_Capital_Mensual!T165, 2), "")</f>
        <v/>
      </c>
      <c r="T165" s="23">
        <f>IF(Amortizacion_Capital_Mensual!U165&gt;0, ROUND(S165 - Amortizacion_Capital_Mensual!U165, 2), "")</f>
        <v/>
      </c>
      <c r="U165" s="23">
        <f>MAX(I165:T165)</f>
        <v/>
      </c>
    </row>
    <row r="166">
      <c r="A166" s="26" t="inlineStr">
        <is>
          <t>0688-0003</t>
        </is>
      </c>
      <c r="B166" s="27" t="inlineStr">
        <is>
          <t>Dolores Magdalena Rosales Rojas</t>
        </is>
      </c>
      <c r="C166" s="27" t="inlineStr">
        <is>
          <t>Jeep Jt Mojave 2025</t>
        </is>
      </c>
      <c r="D166" s="26" t="inlineStr">
        <is>
          <t>ACTIVO</t>
        </is>
      </c>
      <c r="E166" s="26" t="inlineStr">
        <is>
          <t>2026-07-30</t>
        </is>
      </c>
      <c r="F166" s="26" t="inlineStr">
        <is>
          <t>2027-07-30</t>
        </is>
      </c>
      <c r="G166" s="28" t="n">
        <v>12</v>
      </c>
      <c r="H166" s="29" t="n">
        <v>551344.83</v>
      </c>
      <c r="I166" s="29" t="inlineStr"/>
      <c r="J166" s="29" t="inlineStr"/>
      <c r="K166" s="29" t="inlineStr"/>
      <c r="L166" s="29" t="inlineStr"/>
      <c r="M166" s="29" t="inlineStr"/>
      <c r="N166" s="29" t="inlineStr"/>
      <c r="O166" s="29">
        <f>IF(Amortizacion_Capital_Mensual!P166&gt;0, ROUND($H166 - Amortizacion_Capital_Mensual!P166, 2), "")</f>
        <v/>
      </c>
      <c r="P166" s="29">
        <f>IF(Amortizacion_Capital_Mensual!Q166&gt;0, ROUND(O166 - Amortizacion_Capital_Mensual!Q166, 2), "")</f>
        <v/>
      </c>
      <c r="Q166" s="29">
        <f>IF(Amortizacion_Capital_Mensual!R166&gt;0, ROUND(P166 - Amortizacion_Capital_Mensual!R166, 2), "")</f>
        <v/>
      </c>
      <c r="R166" s="29">
        <f>IF(Amortizacion_Capital_Mensual!S166&gt;0, ROUND(Q166 - Amortizacion_Capital_Mensual!S166, 2), "")</f>
        <v/>
      </c>
      <c r="S166" s="29">
        <f>IF(Amortizacion_Capital_Mensual!T166&gt;0, ROUND(R166 - Amortizacion_Capital_Mensual!T166, 2), "")</f>
        <v/>
      </c>
      <c r="T166" s="29">
        <f>IF(Amortizacion_Capital_Mensual!U166&gt;0, ROUND(S166 - Amortizacion_Capital_Mensual!U166, 2), "")</f>
        <v/>
      </c>
      <c r="U166" s="29">
        <f>MAX(I166:T166)</f>
        <v/>
      </c>
    </row>
    <row r="167">
      <c r="A167" s="20" t="inlineStr">
        <is>
          <t>0689-0001</t>
        </is>
      </c>
      <c r="B167" s="21" t="inlineStr">
        <is>
          <t>Daniela Lizette Vargas Machuca</t>
        </is>
      </c>
      <c r="C167" s="21" t="inlineStr">
        <is>
          <t>1500 TUNGSTEN</t>
        </is>
      </c>
      <c r="D167" s="20" t="inlineStr">
        <is>
          <t>ACTIVO</t>
        </is>
      </c>
      <c r="E167" s="20" t="inlineStr">
        <is>
          <t>2025-02-26</t>
        </is>
      </c>
      <c r="F167" s="20" t="inlineStr">
        <is>
          <t>2028-02-26</t>
        </is>
      </c>
      <c r="G167" s="22" t="n">
        <v>36</v>
      </c>
      <c r="H167" s="23" t="n">
        <v>1397250</v>
      </c>
      <c r="I167" s="23">
        <f>IF(Amortizacion_Capital_Mensual!J167&gt;0, ROUND(1166099.81 - Amortizacion_Capital_Mensual!J167, 2), "")</f>
        <v/>
      </c>
      <c r="J167" s="23">
        <f>IF(Amortizacion_Capital_Mensual!K167&gt;0, ROUND(I167 - Amortizacion_Capital_Mensual!K167, 2), "")</f>
        <v/>
      </c>
      <c r="K167" s="23">
        <f>IF(Amortizacion_Capital_Mensual!L167&gt;0, ROUND(J167 - Amortizacion_Capital_Mensual!L167, 2), "")</f>
        <v/>
      </c>
      <c r="L167" s="23">
        <f>IF(Amortizacion_Capital_Mensual!M167&gt;0, ROUND(K167 - Amortizacion_Capital_Mensual!M167, 2), "")</f>
        <v/>
      </c>
      <c r="M167" s="23">
        <f>IF(Amortizacion_Capital_Mensual!N167&gt;0, ROUND(L167 - Amortizacion_Capital_Mensual!N167, 2), "")</f>
        <v/>
      </c>
      <c r="N167" s="23">
        <f>IF(Amortizacion_Capital_Mensual!O167&gt;0, ROUND(M167 - Amortizacion_Capital_Mensual!O167, 2), "")</f>
        <v/>
      </c>
      <c r="O167" s="23">
        <f>IF(Amortizacion_Capital_Mensual!P167&gt;0, ROUND(N167 - Amortizacion_Capital_Mensual!P167, 2), "")</f>
        <v/>
      </c>
      <c r="P167" s="23">
        <f>IF(Amortizacion_Capital_Mensual!Q167&gt;0, ROUND(O167 - Amortizacion_Capital_Mensual!Q167, 2), "")</f>
        <v/>
      </c>
      <c r="Q167" s="23">
        <f>IF(Amortizacion_Capital_Mensual!R167&gt;0, ROUND(P167 - Amortizacion_Capital_Mensual!R167, 2), "")</f>
        <v/>
      </c>
      <c r="R167" s="23">
        <f>IF(Amortizacion_Capital_Mensual!S167&gt;0, ROUND(Q167 - Amortizacion_Capital_Mensual!S167, 2), "")</f>
        <v/>
      </c>
      <c r="S167" s="23">
        <f>IF(Amortizacion_Capital_Mensual!T167&gt;0, ROUND(R167 - Amortizacion_Capital_Mensual!T167, 2), "")</f>
        <v/>
      </c>
      <c r="T167" s="23">
        <f>IF(Amortizacion_Capital_Mensual!U167&gt;0, ROUND(S167 - Amortizacion_Capital_Mensual!U167, 2), "")</f>
        <v/>
      </c>
      <c r="U167" s="23">
        <f>MAX(I167:T167)</f>
        <v/>
      </c>
    </row>
    <row r="168">
      <c r="A168" s="26" t="inlineStr">
        <is>
          <t>0690-0001</t>
        </is>
      </c>
      <c r="B168" s="27" t="inlineStr">
        <is>
          <t>Rogelio Sanchez Partida</t>
        </is>
      </c>
      <c r="C168" s="27" t="inlineStr">
        <is>
          <t>Grand Cherokee Limited</t>
        </is>
      </c>
      <c r="D168" s="26" t="inlineStr">
        <is>
          <t>ACTIVO</t>
        </is>
      </c>
      <c r="E168" s="26" t="inlineStr">
        <is>
          <t>2025-03-19</t>
        </is>
      </c>
      <c r="F168" s="26" t="inlineStr">
        <is>
          <t>2028-03-19</t>
        </is>
      </c>
      <c r="G168" s="28" t="n">
        <v>36</v>
      </c>
      <c r="H168" s="29" t="n">
        <v>666465.52</v>
      </c>
      <c r="I168" s="29">
        <f>IF(Amortizacion_Capital_Mensual!J168&gt;0, ROUND(563772.96 - Amortizacion_Capital_Mensual!J168, 2), "")</f>
        <v/>
      </c>
      <c r="J168" s="29">
        <f>IF(Amortizacion_Capital_Mensual!K168&gt;0, ROUND(I168 - Amortizacion_Capital_Mensual!K168, 2), "")</f>
        <v/>
      </c>
      <c r="K168" s="29">
        <f>IF(Amortizacion_Capital_Mensual!L168&gt;0, ROUND(J168 - Amortizacion_Capital_Mensual!L168, 2), "")</f>
        <v/>
      </c>
      <c r="L168" s="29">
        <f>IF(Amortizacion_Capital_Mensual!M168&gt;0, ROUND(K168 - Amortizacion_Capital_Mensual!M168, 2), "")</f>
        <v/>
      </c>
      <c r="M168" s="29">
        <f>IF(Amortizacion_Capital_Mensual!N168&gt;0, ROUND(L168 - Amortizacion_Capital_Mensual!N168, 2), "")</f>
        <v/>
      </c>
      <c r="N168" s="29">
        <f>IF(Amortizacion_Capital_Mensual!O168&gt;0, ROUND(M168 - Amortizacion_Capital_Mensual!O168, 2), "")</f>
        <v/>
      </c>
      <c r="O168" s="29">
        <f>IF(Amortizacion_Capital_Mensual!P168&gt;0, ROUND(N168 - Amortizacion_Capital_Mensual!P168, 2), "")</f>
        <v/>
      </c>
      <c r="P168" s="29">
        <f>IF(Amortizacion_Capital_Mensual!Q168&gt;0, ROUND(O168 - Amortizacion_Capital_Mensual!Q168, 2), "")</f>
        <v/>
      </c>
      <c r="Q168" s="29">
        <f>IF(Amortizacion_Capital_Mensual!R168&gt;0, ROUND(P168 - Amortizacion_Capital_Mensual!R168, 2), "")</f>
        <v/>
      </c>
      <c r="R168" s="29">
        <f>IF(Amortizacion_Capital_Mensual!S168&gt;0, ROUND(Q168 - Amortizacion_Capital_Mensual!S168, 2), "")</f>
        <v/>
      </c>
      <c r="S168" s="29">
        <f>IF(Amortizacion_Capital_Mensual!T168&gt;0, ROUND(R168 - Amortizacion_Capital_Mensual!T168, 2), "")</f>
        <v/>
      </c>
      <c r="T168" s="29">
        <f>IF(Amortizacion_Capital_Mensual!U168&gt;0, ROUND(S168 - Amortizacion_Capital_Mensual!U168, 2), "")</f>
        <v/>
      </c>
      <c r="U168" s="29">
        <f>MAX(I168:T168)</f>
        <v/>
      </c>
    </row>
    <row r="169">
      <c r="A169" s="20" t="inlineStr">
        <is>
          <t>0691-0001</t>
        </is>
      </c>
      <c r="B169" s="21" t="inlineStr">
        <is>
          <t>Pfc Films</t>
        </is>
      </c>
      <c r="C169" s="21" t="inlineStr">
        <is>
          <t>2008 allure Pack</t>
        </is>
      </c>
      <c r="D169" s="20" t="inlineStr">
        <is>
          <t>ACTIVO</t>
        </is>
      </c>
      <c r="E169" s="20" t="inlineStr">
        <is>
          <t>2025-03-20</t>
        </is>
      </c>
      <c r="F169" s="20" t="inlineStr">
        <is>
          <t>2027-03-20</t>
        </is>
      </c>
      <c r="G169" s="22" t="n">
        <v>24</v>
      </c>
      <c r="H169" s="23" t="n">
        <v>245120.69</v>
      </c>
      <c r="I169" s="23">
        <f>IF(Amortizacion_Capital_Mensual!J169&gt;0, ROUND(174932.59 - Amortizacion_Capital_Mensual!J169, 2), "")</f>
        <v/>
      </c>
      <c r="J169" s="23">
        <f>IF(Amortizacion_Capital_Mensual!K169&gt;0, ROUND(I169 - Amortizacion_Capital_Mensual!K169, 2), "")</f>
        <v/>
      </c>
      <c r="K169" s="23">
        <f>IF(Amortizacion_Capital_Mensual!L169&gt;0, ROUND(J169 - Amortizacion_Capital_Mensual!L169, 2), "")</f>
        <v/>
      </c>
      <c r="L169" s="23">
        <f>IF(Amortizacion_Capital_Mensual!M169&gt;0, ROUND(K169 - Amortizacion_Capital_Mensual!M169, 2), "")</f>
        <v/>
      </c>
      <c r="M169" s="23">
        <f>IF(Amortizacion_Capital_Mensual!N169&gt;0, ROUND(L169 - Amortizacion_Capital_Mensual!N169, 2), "")</f>
        <v/>
      </c>
      <c r="N169" s="23">
        <f>IF(Amortizacion_Capital_Mensual!O169&gt;0, ROUND(M169 - Amortizacion_Capital_Mensual!O169, 2), "")</f>
        <v/>
      </c>
      <c r="O169" s="23">
        <f>IF(Amortizacion_Capital_Mensual!P169&gt;0, ROUND(N169 - Amortizacion_Capital_Mensual!P169, 2), "")</f>
        <v/>
      </c>
      <c r="P169" s="23">
        <f>IF(Amortizacion_Capital_Mensual!Q169&gt;0, ROUND(O169 - Amortizacion_Capital_Mensual!Q169, 2), "")</f>
        <v/>
      </c>
      <c r="Q169" s="23">
        <f>IF(Amortizacion_Capital_Mensual!R169&gt;0, ROUND(P169 - Amortizacion_Capital_Mensual!R169, 2), "")</f>
        <v/>
      </c>
      <c r="R169" s="23">
        <f>IF(Amortizacion_Capital_Mensual!S169&gt;0, ROUND(Q169 - Amortizacion_Capital_Mensual!S169, 2), "")</f>
        <v/>
      </c>
      <c r="S169" s="23">
        <f>IF(Amortizacion_Capital_Mensual!T169&gt;0, ROUND(R169 - Amortizacion_Capital_Mensual!T169, 2), "")</f>
        <v/>
      </c>
      <c r="T169" s="23">
        <f>IF(Amortizacion_Capital_Mensual!U169&gt;0, ROUND(S169 - Amortizacion_Capital_Mensual!U169, 2), "")</f>
        <v/>
      </c>
      <c r="U169" s="23">
        <f>MAX(I169:T169)</f>
        <v/>
      </c>
    </row>
    <row r="170">
      <c r="A170" s="26" t="inlineStr">
        <is>
          <t>0692-0001</t>
        </is>
      </c>
      <c r="B170" s="27" t="inlineStr">
        <is>
          <t>Operadora de Centros Familiares Gato</t>
        </is>
      </c>
      <c r="C170" s="27" t="inlineStr">
        <is>
          <t>Partner Rapid</t>
        </is>
      </c>
      <c r="D170" s="26" t="inlineStr">
        <is>
          <t>ACTIVO</t>
        </is>
      </c>
      <c r="E170" s="26" t="inlineStr">
        <is>
          <t>2025-04-23</t>
        </is>
      </c>
      <c r="F170" s="26" t="inlineStr">
        <is>
          <t>2027-04-23</t>
        </is>
      </c>
      <c r="G170" s="28" t="n">
        <v>24</v>
      </c>
      <c r="H170" s="29" t="n">
        <v>225538.8</v>
      </c>
      <c r="I170" s="29">
        <f>IF(Amortizacion_Capital_Mensual!J170&gt;0, ROUND(156923.94 - Amortizacion_Capital_Mensual!J170, 2), "")</f>
        <v/>
      </c>
      <c r="J170" s="29">
        <f>IF(Amortizacion_Capital_Mensual!K170&gt;0, ROUND(I170 - Amortizacion_Capital_Mensual!K170, 2), "")</f>
        <v/>
      </c>
      <c r="K170" s="29">
        <f>IF(Amortizacion_Capital_Mensual!L170&gt;0, ROUND(J170 - Amortizacion_Capital_Mensual!L170, 2), "")</f>
        <v/>
      </c>
      <c r="L170" s="29">
        <f>IF(Amortizacion_Capital_Mensual!M170&gt;0, ROUND(K170 - Amortizacion_Capital_Mensual!M170, 2), "")</f>
        <v/>
      </c>
      <c r="M170" s="29">
        <f>IF(Amortizacion_Capital_Mensual!N170&gt;0, ROUND(L170 - Amortizacion_Capital_Mensual!N170, 2), "")</f>
        <v/>
      </c>
      <c r="N170" s="29">
        <f>IF(Amortizacion_Capital_Mensual!O170&gt;0, ROUND(M170 - Amortizacion_Capital_Mensual!O170, 2), "")</f>
        <v/>
      </c>
      <c r="O170" s="29">
        <f>IF(Amortizacion_Capital_Mensual!P170&gt;0, ROUND(N170 - Amortizacion_Capital_Mensual!P170, 2), "")</f>
        <v/>
      </c>
      <c r="P170" s="29">
        <f>IF(Amortizacion_Capital_Mensual!Q170&gt;0, ROUND(O170 - Amortizacion_Capital_Mensual!Q170, 2), "")</f>
        <v/>
      </c>
      <c r="Q170" s="29">
        <f>IF(Amortizacion_Capital_Mensual!R170&gt;0, ROUND(P170 - Amortizacion_Capital_Mensual!R170, 2), "")</f>
        <v/>
      </c>
      <c r="R170" s="29">
        <f>IF(Amortizacion_Capital_Mensual!S170&gt;0, ROUND(Q170 - Amortizacion_Capital_Mensual!S170, 2), "")</f>
        <v/>
      </c>
      <c r="S170" s="29">
        <f>IF(Amortizacion_Capital_Mensual!T170&gt;0, ROUND(R170 - Amortizacion_Capital_Mensual!T170, 2), "")</f>
        <v/>
      </c>
      <c r="T170" s="29">
        <f>IF(Amortizacion_Capital_Mensual!U170&gt;0, ROUND(S170 - Amortizacion_Capital_Mensual!U170, 2), "")</f>
        <v/>
      </c>
      <c r="U170" s="29">
        <f>MAX(I170:T170)</f>
        <v/>
      </c>
    </row>
    <row r="171">
      <c r="A171" s="20" t="inlineStr">
        <is>
          <t>0692-0002</t>
        </is>
      </c>
      <c r="B171" s="21" t="inlineStr">
        <is>
          <t>Operadora de Centros Familiares Gato</t>
        </is>
      </c>
      <c r="C171" s="21" t="inlineStr">
        <is>
          <t>Partner Rapid</t>
        </is>
      </c>
      <c r="D171" s="20" t="inlineStr">
        <is>
          <t>ACTIVO</t>
        </is>
      </c>
      <c r="E171" s="20" t="inlineStr">
        <is>
          <t>2025-04-23</t>
        </is>
      </c>
      <c r="F171" s="20" t="inlineStr">
        <is>
          <t>2027-04-23</t>
        </is>
      </c>
      <c r="G171" s="22" t="n">
        <v>24</v>
      </c>
      <c r="H171" s="23" t="n">
        <v>225538.8</v>
      </c>
      <c r="I171" s="23">
        <f>IF(Amortizacion_Capital_Mensual!J171&gt;0, ROUND(156923.94 - Amortizacion_Capital_Mensual!J171, 2), "")</f>
        <v/>
      </c>
      <c r="J171" s="23">
        <f>IF(Amortizacion_Capital_Mensual!K171&gt;0, ROUND(I171 - Amortizacion_Capital_Mensual!K171, 2), "")</f>
        <v/>
      </c>
      <c r="K171" s="23">
        <f>IF(Amortizacion_Capital_Mensual!L171&gt;0, ROUND(J171 - Amortizacion_Capital_Mensual!L171, 2), "")</f>
        <v/>
      </c>
      <c r="L171" s="23">
        <f>IF(Amortizacion_Capital_Mensual!M171&gt;0, ROUND(K171 - Amortizacion_Capital_Mensual!M171, 2), "")</f>
        <v/>
      </c>
      <c r="M171" s="23">
        <f>IF(Amortizacion_Capital_Mensual!N171&gt;0, ROUND(L171 - Amortizacion_Capital_Mensual!N171, 2), "")</f>
        <v/>
      </c>
      <c r="N171" s="23">
        <f>IF(Amortizacion_Capital_Mensual!O171&gt;0, ROUND(M171 - Amortizacion_Capital_Mensual!O171, 2), "")</f>
        <v/>
      </c>
      <c r="O171" s="23">
        <f>IF(Amortizacion_Capital_Mensual!P171&gt;0, ROUND(N171 - Amortizacion_Capital_Mensual!P171, 2), "")</f>
        <v/>
      </c>
      <c r="P171" s="23">
        <f>IF(Amortizacion_Capital_Mensual!Q171&gt;0, ROUND(O171 - Amortizacion_Capital_Mensual!Q171, 2), "")</f>
        <v/>
      </c>
      <c r="Q171" s="23">
        <f>IF(Amortizacion_Capital_Mensual!R171&gt;0, ROUND(P171 - Amortizacion_Capital_Mensual!R171, 2), "")</f>
        <v/>
      </c>
      <c r="R171" s="23">
        <f>IF(Amortizacion_Capital_Mensual!S171&gt;0, ROUND(Q171 - Amortizacion_Capital_Mensual!S171, 2), "")</f>
        <v/>
      </c>
      <c r="S171" s="23">
        <f>IF(Amortizacion_Capital_Mensual!T171&gt;0, ROUND(R171 - Amortizacion_Capital_Mensual!T171, 2), "")</f>
        <v/>
      </c>
      <c r="T171" s="23">
        <f>IF(Amortizacion_Capital_Mensual!U171&gt;0, ROUND(S171 - Amortizacion_Capital_Mensual!U171, 2), "")</f>
        <v/>
      </c>
      <c r="U171" s="23">
        <f>MAX(I171:T171)</f>
        <v/>
      </c>
    </row>
    <row r="172">
      <c r="A172" s="26" t="inlineStr">
        <is>
          <t>0692-0003</t>
        </is>
      </c>
      <c r="B172" s="27" t="inlineStr">
        <is>
          <t>Operadora de Centros Familiares Gato</t>
        </is>
      </c>
      <c r="C172" s="27" t="inlineStr">
        <is>
          <t>Partner Rapid</t>
        </is>
      </c>
      <c r="D172" s="26" t="inlineStr">
        <is>
          <t>ACTIVO</t>
        </is>
      </c>
      <c r="E172" s="26" t="inlineStr">
        <is>
          <t>2025-04-23</t>
        </is>
      </c>
      <c r="F172" s="26" t="inlineStr">
        <is>
          <t>2027-04-23</t>
        </is>
      </c>
      <c r="G172" s="28" t="n">
        <v>24</v>
      </c>
      <c r="H172" s="29" t="n">
        <v>225538.8</v>
      </c>
      <c r="I172" s="29">
        <f>IF(Amortizacion_Capital_Mensual!J172&gt;0, ROUND(156923.94 - Amortizacion_Capital_Mensual!J172, 2), "")</f>
        <v/>
      </c>
      <c r="J172" s="29">
        <f>IF(Amortizacion_Capital_Mensual!K172&gt;0, ROUND(I172 - Amortizacion_Capital_Mensual!K172, 2), "")</f>
        <v/>
      </c>
      <c r="K172" s="29">
        <f>IF(Amortizacion_Capital_Mensual!L172&gt;0, ROUND(J172 - Amortizacion_Capital_Mensual!L172, 2), "")</f>
        <v/>
      </c>
      <c r="L172" s="29">
        <f>IF(Amortizacion_Capital_Mensual!M172&gt;0, ROUND(K172 - Amortizacion_Capital_Mensual!M172, 2), "")</f>
        <v/>
      </c>
      <c r="M172" s="29">
        <f>IF(Amortizacion_Capital_Mensual!N172&gt;0, ROUND(L172 - Amortizacion_Capital_Mensual!N172, 2), "")</f>
        <v/>
      </c>
      <c r="N172" s="29">
        <f>IF(Amortizacion_Capital_Mensual!O172&gt;0, ROUND(M172 - Amortizacion_Capital_Mensual!O172, 2), "")</f>
        <v/>
      </c>
      <c r="O172" s="29">
        <f>IF(Amortizacion_Capital_Mensual!P172&gt;0, ROUND(N172 - Amortizacion_Capital_Mensual!P172, 2), "")</f>
        <v/>
      </c>
      <c r="P172" s="29">
        <f>IF(Amortizacion_Capital_Mensual!Q172&gt;0, ROUND(O172 - Amortizacion_Capital_Mensual!Q172, 2), "")</f>
        <v/>
      </c>
      <c r="Q172" s="29">
        <f>IF(Amortizacion_Capital_Mensual!R172&gt;0, ROUND(P172 - Amortizacion_Capital_Mensual!R172, 2), "")</f>
        <v/>
      </c>
      <c r="R172" s="29">
        <f>IF(Amortizacion_Capital_Mensual!S172&gt;0, ROUND(Q172 - Amortizacion_Capital_Mensual!S172, 2), "")</f>
        <v/>
      </c>
      <c r="S172" s="29">
        <f>IF(Amortizacion_Capital_Mensual!T172&gt;0, ROUND(R172 - Amortizacion_Capital_Mensual!T172, 2), "")</f>
        <v/>
      </c>
      <c r="T172" s="29">
        <f>IF(Amortizacion_Capital_Mensual!U172&gt;0, ROUND(S172 - Amortizacion_Capital_Mensual!U172, 2), "")</f>
        <v/>
      </c>
      <c r="U172" s="29">
        <f>MAX(I172:T172)</f>
        <v/>
      </c>
    </row>
    <row r="173">
      <c r="A173" s="20" t="inlineStr">
        <is>
          <t>0693-0001</t>
        </is>
      </c>
      <c r="B173" s="21" t="inlineStr">
        <is>
          <t>Neurovim</t>
        </is>
      </c>
      <c r="C173" s="21" t="inlineStr">
        <is>
          <t>Equipo Medico</t>
        </is>
      </c>
      <c r="D173" s="20" t="inlineStr">
        <is>
          <t>ACTIVO</t>
        </is>
      </c>
      <c r="E173" s="20" t="inlineStr">
        <is>
          <t>2025-04-25</t>
        </is>
      </c>
      <c r="F173" s="20" t="inlineStr">
        <is>
          <t>2028-04-25</t>
        </is>
      </c>
      <c r="G173" s="22" t="n">
        <v>36</v>
      </c>
      <c r="H173" s="23" t="n">
        <v>1661493.87</v>
      </c>
      <c r="I173" s="23">
        <f>IF(Amortizacion_Capital_Mensual!J173&gt;0, ROUND(1490578.25 - Amortizacion_Capital_Mensual!J173, 2), "")</f>
        <v/>
      </c>
      <c r="J173" s="23">
        <f>IF(Amortizacion_Capital_Mensual!K173&gt;0, ROUND(I173 - Amortizacion_Capital_Mensual!K173, 2), "")</f>
        <v/>
      </c>
      <c r="K173" s="23">
        <f>IF(Amortizacion_Capital_Mensual!L173&gt;0, ROUND(J173 - Amortizacion_Capital_Mensual!L173, 2), "")</f>
        <v/>
      </c>
      <c r="L173" s="23">
        <f>IF(Amortizacion_Capital_Mensual!M173&gt;0, ROUND(K173 - Amortizacion_Capital_Mensual!M173, 2), "")</f>
        <v/>
      </c>
      <c r="M173" s="23">
        <f>IF(Amortizacion_Capital_Mensual!N173&gt;0, ROUND(L173 - Amortizacion_Capital_Mensual!N173, 2), "")</f>
        <v/>
      </c>
      <c r="N173" s="23">
        <f>IF(Amortizacion_Capital_Mensual!O173&gt;0, ROUND(M173 - Amortizacion_Capital_Mensual!O173, 2), "")</f>
        <v/>
      </c>
      <c r="O173" s="23">
        <f>IF(Amortizacion_Capital_Mensual!P173&gt;0, ROUND(N173 - Amortizacion_Capital_Mensual!P173, 2), "")</f>
        <v/>
      </c>
      <c r="P173" s="23">
        <f>IF(Amortizacion_Capital_Mensual!Q173&gt;0, ROUND(O173 - Amortizacion_Capital_Mensual!Q173, 2), "")</f>
        <v/>
      </c>
      <c r="Q173" s="23">
        <f>IF(Amortizacion_Capital_Mensual!R173&gt;0, ROUND(P173 - Amortizacion_Capital_Mensual!R173, 2), "")</f>
        <v/>
      </c>
      <c r="R173" s="23">
        <f>IF(Amortizacion_Capital_Mensual!S173&gt;0, ROUND(Q173 - Amortizacion_Capital_Mensual!S173, 2), "")</f>
        <v/>
      </c>
      <c r="S173" s="23">
        <f>IF(Amortizacion_Capital_Mensual!T173&gt;0, ROUND(R173 - Amortizacion_Capital_Mensual!T173, 2), "")</f>
        <v/>
      </c>
      <c r="T173" s="23">
        <f>IF(Amortizacion_Capital_Mensual!U173&gt;0, ROUND(S173 - Amortizacion_Capital_Mensual!U173, 2), "")</f>
        <v/>
      </c>
      <c r="U173" s="23">
        <f>MAX(I173:T173)</f>
        <v/>
      </c>
    </row>
    <row r="174">
      <c r="A174" s="26" t="inlineStr">
        <is>
          <t>0694-0001</t>
        </is>
      </c>
      <c r="B174" s="27" t="inlineStr">
        <is>
          <t>Jose Gelacio Limon Reyes</t>
        </is>
      </c>
      <c r="C174" s="27" t="inlineStr">
        <is>
          <t>Outlander Sport</t>
        </is>
      </c>
      <c r="D174" s="26" t="inlineStr">
        <is>
          <t>ACTIVO</t>
        </is>
      </c>
      <c r="E174" s="26" t="inlineStr">
        <is>
          <t>2025-05-26</t>
        </is>
      </c>
      <c r="F174" s="26" t="inlineStr">
        <is>
          <t>2029-05-26</t>
        </is>
      </c>
      <c r="G174" s="28" t="n">
        <v>48</v>
      </c>
      <c r="H174" s="29" t="n">
        <v>387698.27</v>
      </c>
      <c r="I174" s="29">
        <f>IF(Amortizacion_Capital_Mensual!J174&gt;0, ROUND(356056.16 - Amortizacion_Capital_Mensual!J174, 2), "")</f>
        <v/>
      </c>
      <c r="J174" s="29">
        <f>IF(Amortizacion_Capital_Mensual!K174&gt;0, ROUND(I174 - Amortizacion_Capital_Mensual!K174, 2), "")</f>
        <v/>
      </c>
      <c r="K174" s="29">
        <f>IF(Amortizacion_Capital_Mensual!L174&gt;0, ROUND(J174 - Amortizacion_Capital_Mensual!L174, 2), "")</f>
        <v/>
      </c>
      <c r="L174" s="29">
        <f>IF(Amortizacion_Capital_Mensual!M174&gt;0, ROUND(K174 - Amortizacion_Capital_Mensual!M174, 2), "")</f>
        <v/>
      </c>
      <c r="M174" s="29">
        <f>IF(Amortizacion_Capital_Mensual!N174&gt;0, ROUND(L174 - Amortizacion_Capital_Mensual!N174, 2), "")</f>
        <v/>
      </c>
      <c r="N174" s="29">
        <f>IF(Amortizacion_Capital_Mensual!O174&gt;0, ROUND(M174 - Amortizacion_Capital_Mensual!O174, 2), "")</f>
        <v/>
      </c>
      <c r="O174" s="29">
        <f>IF(Amortizacion_Capital_Mensual!P174&gt;0, ROUND(N174 - Amortizacion_Capital_Mensual!P174, 2), "")</f>
        <v/>
      </c>
      <c r="P174" s="29">
        <f>IF(Amortizacion_Capital_Mensual!Q174&gt;0, ROUND(O174 - Amortizacion_Capital_Mensual!Q174, 2), "")</f>
        <v/>
      </c>
      <c r="Q174" s="29">
        <f>IF(Amortizacion_Capital_Mensual!R174&gt;0, ROUND(P174 - Amortizacion_Capital_Mensual!R174, 2), "")</f>
        <v/>
      </c>
      <c r="R174" s="29">
        <f>IF(Amortizacion_Capital_Mensual!S174&gt;0, ROUND(Q174 - Amortizacion_Capital_Mensual!S174, 2), "")</f>
        <v/>
      </c>
      <c r="S174" s="29">
        <f>IF(Amortizacion_Capital_Mensual!T174&gt;0, ROUND(R174 - Amortizacion_Capital_Mensual!T174, 2), "")</f>
        <v/>
      </c>
      <c r="T174" s="29">
        <f>IF(Amortizacion_Capital_Mensual!U174&gt;0, ROUND(S174 - Amortizacion_Capital_Mensual!U174, 2), "")</f>
        <v/>
      </c>
      <c r="U174" s="29">
        <f>MAX(I174:T174)</f>
        <v/>
      </c>
    </row>
    <row r="175">
      <c r="A175" s="20" t="inlineStr">
        <is>
          <t>0695-0001</t>
        </is>
      </c>
      <c r="B175" s="21" t="inlineStr">
        <is>
          <t>Sistemas de Seguridad Privada Ssp</t>
        </is>
      </c>
      <c r="C175" s="21" t="inlineStr">
        <is>
          <t>Attitude Sport</t>
        </is>
      </c>
      <c r="D175" s="20" t="inlineStr">
        <is>
          <t>ACTIVO</t>
        </is>
      </c>
      <c r="E175" s="20" t="inlineStr">
        <is>
          <t>2025-05-26</t>
        </is>
      </c>
      <c r="F175" s="20" t="inlineStr">
        <is>
          <t>2027-05-26</t>
        </is>
      </c>
      <c r="G175" s="22" t="n">
        <v>24</v>
      </c>
      <c r="H175" s="23" t="n">
        <v>320620.69</v>
      </c>
      <c r="I175" s="23">
        <f>IF(Amortizacion_Capital_Mensual!J175&gt;0, ROUND(250446.82 - Amortizacion_Capital_Mensual!J175, 2), "")</f>
        <v/>
      </c>
      <c r="J175" s="23">
        <f>IF(Amortizacion_Capital_Mensual!K175&gt;0, ROUND(I175 - Amortizacion_Capital_Mensual!K175, 2), "")</f>
        <v/>
      </c>
      <c r="K175" s="23">
        <f>IF(Amortizacion_Capital_Mensual!L175&gt;0, ROUND(J175 - Amortizacion_Capital_Mensual!L175, 2), "")</f>
        <v/>
      </c>
      <c r="L175" s="23">
        <f>IF(Amortizacion_Capital_Mensual!M175&gt;0, ROUND(K175 - Amortizacion_Capital_Mensual!M175, 2), "")</f>
        <v/>
      </c>
      <c r="M175" s="23">
        <f>IF(Amortizacion_Capital_Mensual!N175&gt;0, ROUND(L175 - Amortizacion_Capital_Mensual!N175, 2), "")</f>
        <v/>
      </c>
      <c r="N175" s="23">
        <f>IF(Amortizacion_Capital_Mensual!O175&gt;0, ROUND(M175 - Amortizacion_Capital_Mensual!O175, 2), "")</f>
        <v/>
      </c>
      <c r="O175" s="23">
        <f>IF(Amortizacion_Capital_Mensual!P175&gt;0, ROUND(N175 - Amortizacion_Capital_Mensual!P175, 2), "")</f>
        <v/>
      </c>
      <c r="P175" s="23">
        <f>IF(Amortizacion_Capital_Mensual!Q175&gt;0, ROUND(O175 - Amortizacion_Capital_Mensual!Q175, 2), "")</f>
        <v/>
      </c>
      <c r="Q175" s="23">
        <f>IF(Amortizacion_Capital_Mensual!R175&gt;0, ROUND(P175 - Amortizacion_Capital_Mensual!R175, 2), "")</f>
        <v/>
      </c>
      <c r="R175" s="23">
        <f>IF(Amortizacion_Capital_Mensual!S175&gt;0, ROUND(Q175 - Amortizacion_Capital_Mensual!S175, 2), "")</f>
        <v/>
      </c>
      <c r="S175" s="23">
        <f>IF(Amortizacion_Capital_Mensual!T175&gt;0, ROUND(R175 - Amortizacion_Capital_Mensual!T175, 2), "")</f>
        <v/>
      </c>
      <c r="T175" s="23">
        <f>IF(Amortizacion_Capital_Mensual!U175&gt;0, ROUND(S175 - Amortizacion_Capital_Mensual!U175, 2), "")</f>
        <v/>
      </c>
      <c r="U175" s="23">
        <f>MAX(I175:T175)</f>
        <v/>
      </c>
    </row>
    <row r="176">
      <c r="A176" s="26" t="inlineStr">
        <is>
          <t>0696-0001</t>
        </is>
      </c>
      <c r="B176" s="27" t="inlineStr">
        <is>
          <t>Karina Rocio Sanchez Cardenas</t>
        </is>
      </c>
      <c r="C176" s="27" t="inlineStr">
        <is>
          <t>Atittude GT</t>
        </is>
      </c>
      <c r="D176" s="26" t="inlineStr">
        <is>
          <t>ACTIVO</t>
        </is>
      </c>
      <c r="E176" s="26" t="inlineStr">
        <is>
          <t>2025-05-28</t>
        </is>
      </c>
      <c r="F176" s="26" t="inlineStr">
        <is>
          <t>2029-05-28</t>
        </is>
      </c>
      <c r="G176" s="28" t="n">
        <v>48</v>
      </c>
      <c r="H176" s="29" t="n">
        <v>387853.45</v>
      </c>
      <c r="I176" s="29">
        <f>IF(Amortizacion_Capital_Mensual!J176&gt;0, ROUND(356198.71 - Amortizacion_Capital_Mensual!J176, 2), "")</f>
        <v/>
      </c>
      <c r="J176" s="29">
        <f>IF(Amortizacion_Capital_Mensual!K176&gt;0, ROUND(I176 - Amortizacion_Capital_Mensual!K176, 2), "")</f>
        <v/>
      </c>
      <c r="K176" s="29">
        <f>IF(Amortizacion_Capital_Mensual!L176&gt;0, ROUND(J176 - Amortizacion_Capital_Mensual!L176, 2), "")</f>
        <v/>
      </c>
      <c r="L176" s="29">
        <f>IF(Amortizacion_Capital_Mensual!M176&gt;0, ROUND(K176 - Amortizacion_Capital_Mensual!M176, 2), "")</f>
        <v/>
      </c>
      <c r="M176" s="29">
        <f>IF(Amortizacion_Capital_Mensual!N176&gt;0, ROUND(L176 - Amortizacion_Capital_Mensual!N176, 2), "")</f>
        <v/>
      </c>
      <c r="N176" s="29">
        <f>IF(Amortizacion_Capital_Mensual!O176&gt;0, ROUND(M176 - Amortizacion_Capital_Mensual!O176, 2), "")</f>
        <v/>
      </c>
      <c r="O176" s="29">
        <f>IF(Amortizacion_Capital_Mensual!P176&gt;0, ROUND(N176 - Amortizacion_Capital_Mensual!P176, 2), "")</f>
        <v/>
      </c>
      <c r="P176" s="29">
        <f>IF(Amortizacion_Capital_Mensual!Q176&gt;0, ROUND(O176 - Amortizacion_Capital_Mensual!Q176, 2), "")</f>
        <v/>
      </c>
      <c r="Q176" s="29">
        <f>IF(Amortizacion_Capital_Mensual!R176&gt;0, ROUND(P176 - Amortizacion_Capital_Mensual!R176, 2), "")</f>
        <v/>
      </c>
      <c r="R176" s="29">
        <f>IF(Amortizacion_Capital_Mensual!S176&gt;0, ROUND(Q176 - Amortizacion_Capital_Mensual!S176, 2), "")</f>
        <v/>
      </c>
      <c r="S176" s="29">
        <f>IF(Amortizacion_Capital_Mensual!T176&gt;0, ROUND(R176 - Amortizacion_Capital_Mensual!T176, 2), "")</f>
        <v/>
      </c>
      <c r="T176" s="29">
        <f>IF(Amortizacion_Capital_Mensual!U176&gt;0, ROUND(S176 - Amortizacion_Capital_Mensual!U176, 2), "")</f>
        <v/>
      </c>
      <c r="U176" s="29">
        <f>MAX(I176:T176)</f>
        <v/>
      </c>
    </row>
    <row r="177">
      <c r="A177" s="20" t="inlineStr">
        <is>
          <t>0697-0001</t>
        </is>
      </c>
      <c r="B177" s="21" t="inlineStr">
        <is>
          <t>Guillermo Eduardo Robles Navarro</t>
        </is>
      </c>
      <c r="C177" s="21" t="inlineStr">
        <is>
          <t>Partner Rapid</t>
        </is>
      </c>
      <c r="D177" s="20" t="inlineStr">
        <is>
          <t>ACTIVO</t>
        </is>
      </c>
      <c r="E177" s="20" t="inlineStr">
        <is>
          <t>2025-05-30</t>
        </is>
      </c>
      <c r="F177" s="20" t="inlineStr">
        <is>
          <t>2027-05-30</t>
        </is>
      </c>
      <c r="G177" s="22" t="n">
        <v>24</v>
      </c>
      <c r="H177" s="23" t="n">
        <v>231905.17</v>
      </c>
      <c r="I177" s="23">
        <f>IF(Amortizacion_Capital_Mensual!J177&gt;0, ROUND(190595.89 - Amortizacion_Capital_Mensual!J177, 2), "")</f>
        <v/>
      </c>
      <c r="J177" s="23">
        <f>IF(Amortizacion_Capital_Mensual!K177&gt;0, ROUND(I177 - Amortizacion_Capital_Mensual!K177, 2), "")</f>
        <v/>
      </c>
      <c r="K177" s="23">
        <f>IF(Amortizacion_Capital_Mensual!L177&gt;0, ROUND(J177 - Amortizacion_Capital_Mensual!L177, 2), "")</f>
        <v/>
      </c>
      <c r="L177" s="23">
        <f>IF(Amortizacion_Capital_Mensual!M177&gt;0, ROUND(K177 - Amortizacion_Capital_Mensual!M177, 2), "")</f>
        <v/>
      </c>
      <c r="M177" s="23">
        <f>IF(Amortizacion_Capital_Mensual!N177&gt;0, ROUND(L177 - Amortizacion_Capital_Mensual!N177, 2), "")</f>
        <v/>
      </c>
      <c r="N177" s="23">
        <f>IF(Amortizacion_Capital_Mensual!O177&gt;0, ROUND(M177 - Amortizacion_Capital_Mensual!O177, 2), "")</f>
        <v/>
      </c>
      <c r="O177" s="23">
        <f>IF(Amortizacion_Capital_Mensual!P177&gt;0, ROUND(N177 - Amortizacion_Capital_Mensual!P177, 2), "")</f>
        <v/>
      </c>
      <c r="P177" s="23">
        <f>IF(Amortizacion_Capital_Mensual!Q177&gt;0, ROUND(O177 - Amortizacion_Capital_Mensual!Q177, 2), "")</f>
        <v/>
      </c>
      <c r="Q177" s="23">
        <f>IF(Amortizacion_Capital_Mensual!R177&gt;0, ROUND(P177 - Amortizacion_Capital_Mensual!R177, 2), "")</f>
        <v/>
      </c>
      <c r="R177" s="23">
        <f>IF(Amortizacion_Capital_Mensual!S177&gt;0, ROUND(Q177 - Amortizacion_Capital_Mensual!S177, 2), "")</f>
        <v/>
      </c>
      <c r="S177" s="23">
        <f>IF(Amortizacion_Capital_Mensual!T177&gt;0, ROUND(R177 - Amortizacion_Capital_Mensual!T177, 2), "")</f>
        <v/>
      </c>
      <c r="T177" s="23">
        <f>IF(Amortizacion_Capital_Mensual!U177&gt;0, ROUND(S177 - Amortizacion_Capital_Mensual!U177, 2), "")</f>
        <v/>
      </c>
      <c r="U177" s="23">
        <f>MAX(I177:T177)</f>
        <v/>
      </c>
    </row>
    <row r="178">
      <c r="A178" s="26" t="inlineStr">
        <is>
          <t>0698-0001</t>
        </is>
      </c>
      <c r="B178" s="27" t="inlineStr">
        <is>
          <t>Roberto Gontes Leon</t>
        </is>
      </c>
      <c r="C178" s="27" t="inlineStr">
        <is>
          <t>Wrangler Rubicon</t>
        </is>
      </c>
      <c r="D178" s="26" t="inlineStr">
        <is>
          <t>ACTIVO</t>
        </is>
      </c>
      <c r="E178" s="26" t="inlineStr">
        <is>
          <t>2025-06-13</t>
        </is>
      </c>
      <c r="F178" s="26" t="inlineStr">
        <is>
          <t>2029-06-13</t>
        </is>
      </c>
      <c r="G178" s="28" t="n">
        <v>48</v>
      </c>
      <c r="H178" s="29" t="n">
        <v>897338.3100000001</v>
      </c>
      <c r="I178" s="29">
        <f>IF(Amortizacion_Capital_Mensual!J178&gt;0, ROUND(835113.3 - Amortizacion_Capital_Mensual!J178, 2), "")</f>
        <v/>
      </c>
      <c r="J178" s="29">
        <f>IF(Amortizacion_Capital_Mensual!K178&gt;0, ROUND(I178 - Amortizacion_Capital_Mensual!K178, 2), "")</f>
        <v/>
      </c>
      <c r="K178" s="29">
        <f>IF(Amortizacion_Capital_Mensual!L178&gt;0, ROUND(J178 - Amortizacion_Capital_Mensual!L178, 2), "")</f>
        <v/>
      </c>
      <c r="L178" s="29">
        <f>IF(Amortizacion_Capital_Mensual!M178&gt;0, ROUND(K178 - Amortizacion_Capital_Mensual!M178, 2), "")</f>
        <v/>
      </c>
      <c r="M178" s="29">
        <f>IF(Amortizacion_Capital_Mensual!N178&gt;0, ROUND(L178 - Amortizacion_Capital_Mensual!N178, 2), "")</f>
        <v/>
      </c>
      <c r="N178" s="29">
        <f>IF(Amortizacion_Capital_Mensual!O178&gt;0, ROUND(M178 - Amortizacion_Capital_Mensual!O178, 2), "")</f>
        <v/>
      </c>
      <c r="O178" s="29">
        <f>IF(Amortizacion_Capital_Mensual!P178&gt;0, ROUND(N178 - Amortizacion_Capital_Mensual!P178, 2), "")</f>
        <v/>
      </c>
      <c r="P178" s="29">
        <f>IF(Amortizacion_Capital_Mensual!Q178&gt;0, ROUND(O178 - Amortizacion_Capital_Mensual!Q178, 2), "")</f>
        <v/>
      </c>
      <c r="Q178" s="29">
        <f>IF(Amortizacion_Capital_Mensual!R178&gt;0, ROUND(P178 - Amortizacion_Capital_Mensual!R178, 2), "")</f>
        <v/>
      </c>
      <c r="R178" s="29">
        <f>IF(Amortizacion_Capital_Mensual!S178&gt;0, ROUND(Q178 - Amortizacion_Capital_Mensual!S178, 2), "")</f>
        <v/>
      </c>
      <c r="S178" s="29">
        <f>IF(Amortizacion_Capital_Mensual!T178&gt;0, ROUND(R178 - Amortizacion_Capital_Mensual!T178, 2), "")</f>
        <v/>
      </c>
      <c r="T178" s="29">
        <f>IF(Amortizacion_Capital_Mensual!U178&gt;0, ROUND(S178 - Amortizacion_Capital_Mensual!U178, 2), "")</f>
        <v/>
      </c>
      <c r="U178" s="29">
        <f>MAX(I178:T178)</f>
        <v/>
      </c>
    </row>
    <row r="179">
      <c r="A179" s="20" t="inlineStr">
        <is>
          <t>0699-0001</t>
        </is>
      </c>
      <c r="B179" s="21" t="inlineStr">
        <is>
          <t>Ramona Salazar Ramos</t>
        </is>
      </c>
      <c r="C179" s="21" t="inlineStr">
        <is>
          <t>Grand Cherokee 2025</t>
        </is>
      </c>
      <c r="D179" s="20" t="inlineStr">
        <is>
          <t>ACTIVO</t>
        </is>
      </c>
      <c r="E179" s="20" t="inlineStr">
        <is>
          <t>2025-06-05</t>
        </is>
      </c>
      <c r="F179" s="20" t="inlineStr">
        <is>
          <t>2028-06-05</t>
        </is>
      </c>
      <c r="G179" s="22" t="n">
        <v>36</v>
      </c>
      <c r="H179" s="23" t="n">
        <v>996482.76</v>
      </c>
      <c r="I179" s="23">
        <f>IF(Amortizacion_Capital_Mensual!J179&gt;0, ROUND(884668.72 - Amortizacion_Capital_Mensual!J179, 2), "")</f>
        <v/>
      </c>
      <c r="J179" s="23">
        <f>IF(Amortizacion_Capital_Mensual!K179&gt;0, ROUND(I179 - Amortizacion_Capital_Mensual!K179, 2), "")</f>
        <v/>
      </c>
      <c r="K179" s="23">
        <f>IF(Amortizacion_Capital_Mensual!L179&gt;0, ROUND(J179 - Amortizacion_Capital_Mensual!L179, 2), "")</f>
        <v/>
      </c>
      <c r="L179" s="23">
        <f>IF(Amortizacion_Capital_Mensual!M179&gt;0, ROUND(K179 - Amortizacion_Capital_Mensual!M179, 2), "")</f>
        <v/>
      </c>
      <c r="M179" s="23">
        <f>IF(Amortizacion_Capital_Mensual!N179&gt;0, ROUND(L179 - Amortizacion_Capital_Mensual!N179, 2), "")</f>
        <v/>
      </c>
      <c r="N179" s="23">
        <f>IF(Amortizacion_Capital_Mensual!O179&gt;0, ROUND(M179 - Amortizacion_Capital_Mensual!O179, 2), "")</f>
        <v/>
      </c>
      <c r="O179" s="23">
        <f>IF(Amortizacion_Capital_Mensual!P179&gt;0, ROUND(N179 - Amortizacion_Capital_Mensual!P179, 2), "")</f>
        <v/>
      </c>
      <c r="P179" s="23">
        <f>IF(Amortizacion_Capital_Mensual!Q179&gt;0, ROUND(O179 - Amortizacion_Capital_Mensual!Q179, 2), "")</f>
        <v/>
      </c>
      <c r="Q179" s="23">
        <f>IF(Amortizacion_Capital_Mensual!R179&gt;0, ROUND(P179 - Amortizacion_Capital_Mensual!R179, 2), "")</f>
        <v/>
      </c>
      <c r="R179" s="23">
        <f>IF(Amortizacion_Capital_Mensual!S179&gt;0, ROUND(Q179 - Amortizacion_Capital_Mensual!S179, 2), "")</f>
        <v/>
      </c>
      <c r="S179" s="23">
        <f>IF(Amortizacion_Capital_Mensual!T179&gt;0, ROUND(R179 - Amortizacion_Capital_Mensual!T179, 2), "")</f>
        <v/>
      </c>
      <c r="T179" s="23">
        <f>IF(Amortizacion_Capital_Mensual!U179&gt;0, ROUND(S179 - Amortizacion_Capital_Mensual!U179, 2), "")</f>
        <v/>
      </c>
      <c r="U179" s="23">
        <f>MAX(I179:T179)</f>
        <v/>
      </c>
    </row>
    <row r="180">
      <c r="A180" s="26" t="inlineStr">
        <is>
          <t>0700-0001</t>
        </is>
      </c>
      <c r="B180" s="27" t="inlineStr">
        <is>
          <t>Felipe de Jesus Ibañez Huizar</t>
        </is>
      </c>
      <c r="C180" s="27" t="inlineStr">
        <is>
          <t>K3</t>
        </is>
      </c>
      <c r="D180" s="26" t="inlineStr">
        <is>
          <t>ACTIVO</t>
        </is>
      </c>
      <c r="E180" s="26" t="inlineStr">
        <is>
          <t>2025-06-20</t>
        </is>
      </c>
      <c r="F180" s="26" t="inlineStr">
        <is>
          <t>2028-06-20</t>
        </is>
      </c>
      <c r="G180" s="28" t="n">
        <v>36</v>
      </c>
      <c r="H180" s="29" t="n">
        <v>306853.45</v>
      </c>
      <c r="I180" s="29">
        <f>IF(Amortizacion_Capital_Mensual!J180&gt;0, ROUND(276285.93 - Amortizacion_Capital_Mensual!J180, 2), "")</f>
        <v/>
      </c>
      <c r="J180" s="29">
        <f>IF(Amortizacion_Capital_Mensual!K180&gt;0, ROUND(I180 - Amortizacion_Capital_Mensual!K180, 2), "")</f>
        <v/>
      </c>
      <c r="K180" s="29">
        <f>IF(Amortizacion_Capital_Mensual!L180&gt;0, ROUND(J180 - Amortizacion_Capital_Mensual!L180, 2), "")</f>
        <v/>
      </c>
      <c r="L180" s="29">
        <f>IF(Amortizacion_Capital_Mensual!M180&gt;0, ROUND(K180 - Amortizacion_Capital_Mensual!M180, 2), "")</f>
        <v/>
      </c>
      <c r="M180" s="29">
        <f>IF(Amortizacion_Capital_Mensual!N180&gt;0, ROUND(L180 - Amortizacion_Capital_Mensual!N180, 2), "")</f>
        <v/>
      </c>
      <c r="N180" s="29">
        <f>IF(Amortizacion_Capital_Mensual!O180&gt;0, ROUND(M180 - Amortizacion_Capital_Mensual!O180, 2), "")</f>
        <v/>
      </c>
      <c r="O180" s="29">
        <f>IF(Amortizacion_Capital_Mensual!P180&gt;0, ROUND(N180 - Amortizacion_Capital_Mensual!P180, 2), "")</f>
        <v/>
      </c>
      <c r="P180" s="29">
        <f>IF(Amortizacion_Capital_Mensual!Q180&gt;0, ROUND(O180 - Amortizacion_Capital_Mensual!Q180, 2), "")</f>
        <v/>
      </c>
      <c r="Q180" s="29">
        <f>IF(Amortizacion_Capital_Mensual!R180&gt;0, ROUND(P180 - Amortizacion_Capital_Mensual!R180, 2), "")</f>
        <v/>
      </c>
      <c r="R180" s="29">
        <f>IF(Amortizacion_Capital_Mensual!S180&gt;0, ROUND(Q180 - Amortizacion_Capital_Mensual!S180, 2), "")</f>
        <v/>
      </c>
      <c r="S180" s="29">
        <f>IF(Amortizacion_Capital_Mensual!T180&gt;0, ROUND(R180 - Amortizacion_Capital_Mensual!T180, 2), "")</f>
        <v/>
      </c>
      <c r="T180" s="29">
        <f>IF(Amortizacion_Capital_Mensual!U180&gt;0, ROUND(S180 - Amortizacion_Capital_Mensual!U180, 2), "")</f>
        <v/>
      </c>
      <c r="U180" s="29">
        <f>MAX(I180:T180)</f>
        <v/>
      </c>
    </row>
    <row r="181">
      <c r="A181" s="20" t="inlineStr">
        <is>
          <t>0700-0002</t>
        </is>
      </c>
      <c r="B181" s="21" t="inlineStr">
        <is>
          <t>Felipe de Jesus Ibañez Huizar</t>
        </is>
      </c>
      <c r="C181" s="21" t="inlineStr">
        <is>
          <t>Nissan NP 300 Frontier 2026</t>
        </is>
      </c>
      <c r="D181" s="20" t="inlineStr">
        <is>
          <t>ACTIVO</t>
        </is>
      </c>
      <c r="E181" s="20" t="inlineStr">
        <is>
          <t>2026-07-17</t>
        </is>
      </c>
      <c r="F181" s="20" t="inlineStr">
        <is>
          <t>2028-07-17</t>
        </is>
      </c>
      <c r="G181" s="22" t="n">
        <v>24</v>
      </c>
      <c r="H181" s="23" t="n">
        <v>504081.47</v>
      </c>
      <c r="I181" s="23" t="inlineStr"/>
      <c r="J181" s="23" t="inlineStr"/>
      <c r="K181" s="23" t="inlineStr"/>
      <c r="L181" s="23" t="inlineStr"/>
      <c r="M181" s="23" t="inlineStr"/>
      <c r="N181" s="23" t="inlineStr"/>
      <c r="O181" s="23">
        <f>IF(Amortizacion_Capital_Mensual!P181&gt;0, ROUND($H181 - Amortizacion_Capital_Mensual!P181, 2), "")</f>
        <v/>
      </c>
      <c r="P181" s="23">
        <f>IF(Amortizacion_Capital_Mensual!Q181&gt;0, ROUND(O181 - Amortizacion_Capital_Mensual!Q181, 2), "")</f>
        <v/>
      </c>
      <c r="Q181" s="23">
        <f>IF(Amortizacion_Capital_Mensual!R181&gt;0, ROUND(P181 - Amortizacion_Capital_Mensual!R181, 2), "")</f>
        <v/>
      </c>
      <c r="R181" s="23">
        <f>IF(Amortizacion_Capital_Mensual!S181&gt;0, ROUND(Q181 - Amortizacion_Capital_Mensual!S181, 2), "")</f>
        <v/>
      </c>
      <c r="S181" s="23">
        <f>IF(Amortizacion_Capital_Mensual!T181&gt;0, ROUND(R181 - Amortizacion_Capital_Mensual!T181, 2), "")</f>
        <v/>
      </c>
      <c r="T181" s="23">
        <f>IF(Amortizacion_Capital_Mensual!U181&gt;0, ROUND(S181 - Amortizacion_Capital_Mensual!U181, 2), "")</f>
        <v/>
      </c>
      <c r="U181" s="23">
        <f>MAX(I181:T181)</f>
        <v/>
      </c>
    </row>
    <row r="182">
      <c r="A182" s="26" t="inlineStr">
        <is>
          <t>0701-0001</t>
        </is>
      </c>
      <c r="B182" s="27" t="inlineStr">
        <is>
          <t>Miguel Angel Yañez Rivera</t>
        </is>
      </c>
      <c r="C182" s="27" t="inlineStr">
        <is>
          <t>Maxi Partner</t>
        </is>
      </c>
      <c r="D182" s="26" t="inlineStr">
        <is>
          <t>ACTIVO</t>
        </is>
      </c>
      <c r="E182" s="26" t="inlineStr">
        <is>
          <t>2025-06-13</t>
        </is>
      </c>
      <c r="F182" s="26" t="inlineStr">
        <is>
          <t>2029-06-13</t>
        </is>
      </c>
      <c r="G182" s="28" t="n">
        <v>48</v>
      </c>
      <c r="H182" s="29" t="n">
        <v>240715.52</v>
      </c>
      <c r="I182" s="29">
        <f>IF(Amortizacion_Capital_Mensual!J182&gt;0, ROUND(224371.95 - Amortizacion_Capital_Mensual!J182, 2), "")</f>
        <v/>
      </c>
      <c r="J182" s="29">
        <f>IF(Amortizacion_Capital_Mensual!K182&gt;0, ROUND(I182 - Amortizacion_Capital_Mensual!K182, 2), "")</f>
        <v/>
      </c>
      <c r="K182" s="29">
        <f>IF(Amortizacion_Capital_Mensual!L182&gt;0, ROUND(J182 - Amortizacion_Capital_Mensual!L182, 2), "")</f>
        <v/>
      </c>
      <c r="L182" s="29">
        <f>IF(Amortizacion_Capital_Mensual!M182&gt;0, ROUND(K182 - Amortizacion_Capital_Mensual!M182, 2), "")</f>
        <v/>
      </c>
      <c r="M182" s="29">
        <f>IF(Amortizacion_Capital_Mensual!N182&gt;0, ROUND(L182 - Amortizacion_Capital_Mensual!N182, 2), "")</f>
        <v/>
      </c>
      <c r="N182" s="29">
        <f>IF(Amortizacion_Capital_Mensual!O182&gt;0, ROUND(M182 - Amortizacion_Capital_Mensual!O182, 2), "")</f>
        <v/>
      </c>
      <c r="O182" s="29">
        <f>IF(Amortizacion_Capital_Mensual!P182&gt;0, ROUND(N182 - Amortizacion_Capital_Mensual!P182, 2), "")</f>
        <v/>
      </c>
      <c r="P182" s="29">
        <f>IF(Amortizacion_Capital_Mensual!Q182&gt;0, ROUND(O182 - Amortizacion_Capital_Mensual!Q182, 2), "")</f>
        <v/>
      </c>
      <c r="Q182" s="29">
        <f>IF(Amortizacion_Capital_Mensual!R182&gt;0, ROUND(P182 - Amortizacion_Capital_Mensual!R182, 2), "")</f>
        <v/>
      </c>
      <c r="R182" s="29">
        <f>IF(Amortizacion_Capital_Mensual!S182&gt;0, ROUND(Q182 - Amortizacion_Capital_Mensual!S182, 2), "")</f>
        <v/>
      </c>
      <c r="S182" s="29">
        <f>IF(Amortizacion_Capital_Mensual!T182&gt;0, ROUND(R182 - Amortizacion_Capital_Mensual!T182, 2), "")</f>
        <v/>
      </c>
      <c r="T182" s="29">
        <f>IF(Amortizacion_Capital_Mensual!U182&gt;0, ROUND(S182 - Amortizacion_Capital_Mensual!U182, 2), "")</f>
        <v/>
      </c>
      <c r="U182" s="29">
        <f>MAX(I182:T182)</f>
        <v/>
      </c>
    </row>
    <row r="183">
      <c r="A183" s="20" t="inlineStr">
        <is>
          <t>0702-0001</t>
        </is>
      </c>
      <c r="B183" s="21" t="inlineStr">
        <is>
          <t>Ramses Tadeo Galindo Calderon</t>
        </is>
      </c>
      <c r="C183" s="21" t="inlineStr">
        <is>
          <t>Song Plus</t>
        </is>
      </c>
      <c r="D183" s="20" t="inlineStr">
        <is>
          <t>ACTIVO</t>
        </is>
      </c>
      <c r="E183" s="20" t="inlineStr">
        <is>
          <t>2025-06-16</t>
        </is>
      </c>
      <c r="F183" s="20" t="inlineStr">
        <is>
          <t>2029-06-16</t>
        </is>
      </c>
      <c r="G183" s="22" t="n">
        <v>48</v>
      </c>
      <c r="H183" s="23" t="n">
        <v>713510.12</v>
      </c>
      <c r="I183" s="23">
        <f>IF(Amortizacion_Capital_Mensual!J183&gt;0, ROUND(667133.97 - Amortizacion_Capital_Mensual!J183, 2), "")</f>
        <v/>
      </c>
      <c r="J183" s="23">
        <f>IF(Amortizacion_Capital_Mensual!K183&gt;0, ROUND(I183 - Amortizacion_Capital_Mensual!K183, 2), "")</f>
        <v/>
      </c>
      <c r="K183" s="23">
        <f>IF(Amortizacion_Capital_Mensual!L183&gt;0, ROUND(J183 - Amortizacion_Capital_Mensual!L183, 2), "")</f>
        <v/>
      </c>
      <c r="L183" s="23">
        <f>IF(Amortizacion_Capital_Mensual!M183&gt;0, ROUND(K183 - Amortizacion_Capital_Mensual!M183, 2), "")</f>
        <v/>
      </c>
      <c r="M183" s="23">
        <f>IF(Amortizacion_Capital_Mensual!N183&gt;0, ROUND(L183 - Amortizacion_Capital_Mensual!N183, 2), "")</f>
        <v/>
      </c>
      <c r="N183" s="23">
        <f>IF(Amortizacion_Capital_Mensual!O183&gt;0, ROUND(M183 - Amortizacion_Capital_Mensual!O183, 2), "")</f>
        <v/>
      </c>
      <c r="O183" s="23">
        <f>IF(Amortizacion_Capital_Mensual!P183&gt;0, ROUND(N183 - Amortizacion_Capital_Mensual!P183, 2), "")</f>
        <v/>
      </c>
      <c r="P183" s="23">
        <f>IF(Amortizacion_Capital_Mensual!Q183&gt;0, ROUND(O183 - Amortizacion_Capital_Mensual!Q183, 2), "")</f>
        <v/>
      </c>
      <c r="Q183" s="23">
        <f>IF(Amortizacion_Capital_Mensual!R183&gt;0, ROUND(P183 - Amortizacion_Capital_Mensual!R183, 2), "")</f>
        <v/>
      </c>
      <c r="R183" s="23">
        <f>IF(Amortizacion_Capital_Mensual!S183&gt;0, ROUND(Q183 - Amortizacion_Capital_Mensual!S183, 2), "")</f>
        <v/>
      </c>
      <c r="S183" s="23">
        <f>IF(Amortizacion_Capital_Mensual!T183&gt;0, ROUND(R183 - Amortizacion_Capital_Mensual!T183, 2), "")</f>
        <v/>
      </c>
      <c r="T183" s="23">
        <f>IF(Amortizacion_Capital_Mensual!U183&gt;0, ROUND(S183 - Amortizacion_Capital_Mensual!U183, 2), "")</f>
        <v/>
      </c>
      <c r="U183" s="23">
        <f>MAX(I183:T183)</f>
        <v/>
      </c>
    </row>
    <row r="184">
      <c r="A184" s="26" t="inlineStr">
        <is>
          <t>0703-0002</t>
        </is>
      </c>
      <c r="B184" s="27" t="inlineStr">
        <is>
          <t>Jali Fresh International Sa de Cv</t>
        </is>
      </c>
      <c r="C184" s="27" t="inlineStr">
        <is>
          <t>1500 Tradesman CC</t>
        </is>
      </c>
      <c r="D184" s="26" t="inlineStr">
        <is>
          <t>ACTIVO</t>
        </is>
      </c>
      <c r="E184" s="26" t="inlineStr">
        <is>
          <t>2026-04-23</t>
        </is>
      </c>
      <c r="F184" s="26" t="inlineStr">
        <is>
          <t>2029-04-23</t>
        </is>
      </c>
      <c r="G184" s="28" t="n">
        <v>36</v>
      </c>
      <c r="H184" s="29" t="n">
        <v>845090.52</v>
      </c>
      <c r="I184" s="29" t="inlineStr"/>
      <c r="J184" s="29" t="inlineStr"/>
      <c r="K184" s="29" t="inlineStr"/>
      <c r="L184" s="29">
        <f>IF(Amortizacion_Capital_Mensual!M184&gt;0, ROUND($H184 - Amortizacion_Capital_Mensual!M184, 2), "")</f>
        <v/>
      </c>
      <c r="M184" s="29">
        <f>IF(Amortizacion_Capital_Mensual!N184&gt;0, ROUND(L184 - Amortizacion_Capital_Mensual!N184, 2), "")</f>
        <v/>
      </c>
      <c r="N184" s="29">
        <f>IF(Amortizacion_Capital_Mensual!O184&gt;0, ROUND(M184 - Amortizacion_Capital_Mensual!O184, 2), "")</f>
        <v/>
      </c>
      <c r="O184" s="29">
        <f>IF(Amortizacion_Capital_Mensual!P184&gt;0, ROUND(N184 - Amortizacion_Capital_Mensual!P184, 2), "")</f>
        <v/>
      </c>
      <c r="P184" s="29">
        <f>IF(Amortizacion_Capital_Mensual!Q184&gt;0, ROUND(O184 - Amortizacion_Capital_Mensual!Q184, 2), "")</f>
        <v/>
      </c>
      <c r="Q184" s="29">
        <f>IF(Amortizacion_Capital_Mensual!R184&gt;0, ROUND(P184 - Amortizacion_Capital_Mensual!R184, 2), "")</f>
        <v/>
      </c>
      <c r="R184" s="29">
        <f>IF(Amortizacion_Capital_Mensual!S184&gt;0, ROUND(Q184 - Amortizacion_Capital_Mensual!S184, 2), "")</f>
        <v/>
      </c>
      <c r="S184" s="29">
        <f>IF(Amortizacion_Capital_Mensual!T184&gt;0, ROUND(R184 - Amortizacion_Capital_Mensual!T184, 2), "")</f>
        <v/>
      </c>
      <c r="T184" s="29">
        <f>IF(Amortizacion_Capital_Mensual!U184&gt;0, ROUND(S184 - Amortizacion_Capital_Mensual!U184, 2), "")</f>
        <v/>
      </c>
      <c r="U184" s="29">
        <f>MAX(I184:T184)</f>
        <v/>
      </c>
    </row>
    <row r="185">
      <c r="A185" s="20" t="inlineStr">
        <is>
          <t>0704-0001</t>
        </is>
      </c>
      <c r="B185" s="21" t="inlineStr">
        <is>
          <t>Cristian Manuel Cruz Gutierrez</t>
        </is>
      </c>
      <c r="C185" s="21" t="inlineStr">
        <is>
          <t>Ram 1200</t>
        </is>
      </c>
      <c r="D185" s="20" t="inlineStr">
        <is>
          <t>ACTIVO</t>
        </is>
      </c>
      <c r="E185" s="20" t="inlineStr">
        <is>
          <t>2025-07-22</t>
        </is>
      </c>
      <c r="F185" s="20" t="inlineStr">
        <is>
          <t>2028-07-22</t>
        </is>
      </c>
      <c r="G185" s="22" t="n">
        <v>36</v>
      </c>
      <c r="H185" s="23" t="n">
        <v>462000</v>
      </c>
      <c r="I185" s="23">
        <f>IF(Amortizacion_Capital_Mensual!J185&gt;0, ROUND(418161.19 - Amortizacion_Capital_Mensual!J185, 2), "")</f>
        <v/>
      </c>
      <c r="J185" s="23">
        <f>IF(Amortizacion_Capital_Mensual!K185&gt;0, ROUND(I185 - Amortizacion_Capital_Mensual!K185, 2), "")</f>
        <v/>
      </c>
      <c r="K185" s="23">
        <f>IF(Amortizacion_Capital_Mensual!L185&gt;0, ROUND(J185 - Amortizacion_Capital_Mensual!L185, 2), "")</f>
        <v/>
      </c>
      <c r="L185" s="23">
        <f>IF(Amortizacion_Capital_Mensual!M185&gt;0, ROUND(K185 - Amortizacion_Capital_Mensual!M185, 2), "")</f>
        <v/>
      </c>
      <c r="M185" s="23">
        <f>IF(Amortizacion_Capital_Mensual!N185&gt;0, ROUND(L185 - Amortizacion_Capital_Mensual!N185, 2), "")</f>
        <v/>
      </c>
      <c r="N185" s="23">
        <f>IF(Amortizacion_Capital_Mensual!O185&gt;0, ROUND(M185 - Amortizacion_Capital_Mensual!O185, 2), "")</f>
        <v/>
      </c>
      <c r="O185" s="23">
        <f>IF(Amortizacion_Capital_Mensual!P185&gt;0, ROUND(N185 - Amortizacion_Capital_Mensual!P185, 2), "")</f>
        <v/>
      </c>
      <c r="P185" s="23">
        <f>IF(Amortizacion_Capital_Mensual!Q185&gt;0, ROUND(O185 - Amortizacion_Capital_Mensual!Q185, 2), "")</f>
        <v/>
      </c>
      <c r="Q185" s="23">
        <f>IF(Amortizacion_Capital_Mensual!R185&gt;0, ROUND(P185 - Amortizacion_Capital_Mensual!R185, 2), "")</f>
        <v/>
      </c>
      <c r="R185" s="23">
        <f>IF(Amortizacion_Capital_Mensual!S185&gt;0, ROUND(Q185 - Amortizacion_Capital_Mensual!S185, 2), "")</f>
        <v/>
      </c>
      <c r="S185" s="23">
        <f>IF(Amortizacion_Capital_Mensual!T185&gt;0, ROUND(R185 - Amortizacion_Capital_Mensual!T185, 2), "")</f>
        <v/>
      </c>
      <c r="T185" s="23">
        <f>IF(Amortizacion_Capital_Mensual!U185&gt;0, ROUND(S185 - Amortizacion_Capital_Mensual!U185, 2), "")</f>
        <v/>
      </c>
      <c r="U185" s="23">
        <f>MAX(I185:T185)</f>
        <v/>
      </c>
    </row>
    <row r="186">
      <c r="A186" s="26" t="inlineStr">
        <is>
          <t>0705-0001</t>
        </is>
      </c>
      <c r="B186" s="27" t="inlineStr">
        <is>
          <t>Oscar Alejandro Pedraza Gonzalez</t>
        </is>
      </c>
      <c r="C186" s="27" t="inlineStr">
        <is>
          <t>L200</t>
        </is>
      </c>
      <c r="D186" s="26" t="inlineStr">
        <is>
          <t>ACTIVO</t>
        </is>
      </c>
      <c r="E186" s="26" t="inlineStr">
        <is>
          <t>2025-08-14</t>
        </is>
      </c>
      <c r="F186" s="26" t="inlineStr">
        <is>
          <t>2027-08-14</t>
        </is>
      </c>
      <c r="G186" s="28" t="n">
        <v>24</v>
      </c>
      <c r="H186" s="29" t="n">
        <v>368144.48</v>
      </c>
      <c r="I186" s="29">
        <f>IF(Amortizacion_Capital_Mensual!J186&gt;0, ROUND(325925.27 - Amortizacion_Capital_Mensual!J186, 2), "")</f>
        <v/>
      </c>
      <c r="J186" s="29">
        <f>IF(Amortizacion_Capital_Mensual!K186&gt;0, ROUND(I186 - Amortizacion_Capital_Mensual!K186, 2), "")</f>
        <v/>
      </c>
      <c r="K186" s="29">
        <f>IF(Amortizacion_Capital_Mensual!L186&gt;0, ROUND(J186 - Amortizacion_Capital_Mensual!L186, 2), "")</f>
        <v/>
      </c>
      <c r="L186" s="29">
        <f>IF(Amortizacion_Capital_Mensual!M186&gt;0, ROUND(K186 - Amortizacion_Capital_Mensual!M186, 2), "")</f>
        <v/>
      </c>
      <c r="M186" s="29">
        <f>IF(Amortizacion_Capital_Mensual!N186&gt;0, ROUND(L186 - Amortizacion_Capital_Mensual!N186, 2), "")</f>
        <v/>
      </c>
      <c r="N186" s="29">
        <f>IF(Amortizacion_Capital_Mensual!O186&gt;0, ROUND(M186 - Amortizacion_Capital_Mensual!O186, 2), "")</f>
        <v/>
      </c>
      <c r="O186" s="29">
        <f>IF(Amortizacion_Capital_Mensual!P186&gt;0, ROUND(N186 - Amortizacion_Capital_Mensual!P186, 2), "")</f>
        <v/>
      </c>
      <c r="P186" s="29">
        <f>IF(Amortizacion_Capital_Mensual!Q186&gt;0, ROUND(O186 - Amortizacion_Capital_Mensual!Q186, 2), "")</f>
        <v/>
      </c>
      <c r="Q186" s="29">
        <f>IF(Amortizacion_Capital_Mensual!R186&gt;0, ROUND(P186 - Amortizacion_Capital_Mensual!R186, 2), "")</f>
        <v/>
      </c>
      <c r="R186" s="29">
        <f>IF(Amortizacion_Capital_Mensual!S186&gt;0, ROUND(Q186 - Amortizacion_Capital_Mensual!S186, 2), "")</f>
        <v/>
      </c>
      <c r="S186" s="29">
        <f>IF(Amortizacion_Capital_Mensual!T186&gt;0, ROUND(R186 - Amortizacion_Capital_Mensual!T186, 2), "")</f>
        <v/>
      </c>
      <c r="T186" s="29">
        <f>IF(Amortizacion_Capital_Mensual!U186&gt;0, ROUND(S186 - Amortizacion_Capital_Mensual!U186, 2), "")</f>
        <v/>
      </c>
      <c r="U186" s="29">
        <f>MAX(I186:T186)</f>
        <v/>
      </c>
    </row>
    <row r="187">
      <c r="A187" s="20" t="inlineStr">
        <is>
          <t>0706-0001</t>
        </is>
      </c>
      <c r="B187" s="21" t="inlineStr">
        <is>
          <t>Jose Luis Zepeda Gomez</t>
        </is>
      </c>
      <c r="C187" s="21" t="inlineStr">
        <is>
          <t>L200 Glx Diesel</t>
        </is>
      </c>
      <c r="D187" s="20" t="inlineStr">
        <is>
          <t>ACTIVO</t>
        </is>
      </c>
      <c r="E187" s="20" t="inlineStr">
        <is>
          <t>2025-07-29</t>
        </is>
      </c>
      <c r="F187" s="20" t="inlineStr">
        <is>
          <t>2029-07-29</t>
        </is>
      </c>
      <c r="G187" s="22" t="n">
        <v>48</v>
      </c>
      <c r="H187" s="23" t="n">
        <v>473328.62</v>
      </c>
      <c r="I187" s="23">
        <f>IF(Amortizacion_Capital_Mensual!J187&gt;0, ROUND(445138.15 - Amortizacion_Capital_Mensual!J187, 2), "")</f>
        <v/>
      </c>
      <c r="J187" s="23">
        <f>IF(Amortizacion_Capital_Mensual!K187&gt;0, ROUND(I187 - Amortizacion_Capital_Mensual!K187, 2), "")</f>
        <v/>
      </c>
      <c r="K187" s="23">
        <f>IF(Amortizacion_Capital_Mensual!L187&gt;0, ROUND(J187 - Amortizacion_Capital_Mensual!L187, 2), "")</f>
        <v/>
      </c>
      <c r="L187" s="23">
        <f>IF(Amortizacion_Capital_Mensual!M187&gt;0, ROUND(K187 - Amortizacion_Capital_Mensual!M187, 2), "")</f>
        <v/>
      </c>
      <c r="M187" s="23">
        <f>IF(Amortizacion_Capital_Mensual!N187&gt;0, ROUND(L187 - Amortizacion_Capital_Mensual!N187, 2), "")</f>
        <v/>
      </c>
      <c r="N187" s="23">
        <f>IF(Amortizacion_Capital_Mensual!O187&gt;0, ROUND(M187 - Amortizacion_Capital_Mensual!O187, 2), "")</f>
        <v/>
      </c>
      <c r="O187" s="23">
        <f>IF(Amortizacion_Capital_Mensual!P187&gt;0, ROUND(N187 - Amortizacion_Capital_Mensual!P187, 2), "")</f>
        <v/>
      </c>
      <c r="P187" s="23">
        <f>IF(Amortizacion_Capital_Mensual!Q187&gt;0, ROUND(O187 - Amortizacion_Capital_Mensual!Q187, 2), "")</f>
        <v/>
      </c>
      <c r="Q187" s="23">
        <f>IF(Amortizacion_Capital_Mensual!R187&gt;0, ROUND(P187 - Amortizacion_Capital_Mensual!R187, 2), "")</f>
        <v/>
      </c>
      <c r="R187" s="23">
        <f>IF(Amortizacion_Capital_Mensual!S187&gt;0, ROUND(Q187 - Amortizacion_Capital_Mensual!S187, 2), "")</f>
        <v/>
      </c>
      <c r="S187" s="23">
        <f>IF(Amortizacion_Capital_Mensual!T187&gt;0, ROUND(R187 - Amortizacion_Capital_Mensual!T187, 2), "")</f>
        <v/>
      </c>
      <c r="T187" s="23">
        <f>IF(Amortizacion_Capital_Mensual!U187&gt;0, ROUND(S187 - Amortizacion_Capital_Mensual!U187, 2), "")</f>
        <v/>
      </c>
      <c r="U187" s="23">
        <f>MAX(I187:T187)</f>
        <v/>
      </c>
    </row>
    <row r="188">
      <c r="A188" s="26" t="inlineStr">
        <is>
          <t>0707-0001</t>
        </is>
      </c>
      <c r="B188" s="27" t="inlineStr">
        <is>
          <t>Cabañas Lupita Sa de Cv</t>
        </is>
      </c>
      <c r="C188" s="27" t="inlineStr">
        <is>
          <t>Jt Rubicon</t>
        </is>
      </c>
      <c r="D188" s="26" t="inlineStr">
        <is>
          <t>ACTIVO</t>
        </is>
      </c>
      <c r="E188" s="26" t="inlineStr">
        <is>
          <t>2025-07-29</t>
        </is>
      </c>
      <c r="F188" s="26" t="inlineStr">
        <is>
          <t>2029-07-29</t>
        </is>
      </c>
      <c r="G188" s="28" t="n">
        <v>48</v>
      </c>
      <c r="H188" s="29" t="n">
        <v>1004068.97</v>
      </c>
      <c r="I188" s="29">
        <f>IF(Amortizacion_Capital_Mensual!J188&gt;0, ROUND(945158.73 - Amortizacion_Capital_Mensual!J188, 2), "")</f>
        <v/>
      </c>
      <c r="J188" s="29">
        <f>IF(Amortizacion_Capital_Mensual!K188&gt;0, ROUND(I188 - Amortizacion_Capital_Mensual!K188, 2), "")</f>
        <v/>
      </c>
      <c r="K188" s="29">
        <f>IF(Amortizacion_Capital_Mensual!L188&gt;0, ROUND(J188 - Amortizacion_Capital_Mensual!L188, 2), "")</f>
        <v/>
      </c>
      <c r="L188" s="29">
        <f>IF(Amortizacion_Capital_Mensual!M188&gt;0, ROUND(K188 - Amortizacion_Capital_Mensual!M188, 2), "")</f>
        <v/>
      </c>
      <c r="M188" s="29">
        <f>IF(Amortizacion_Capital_Mensual!N188&gt;0, ROUND(L188 - Amortizacion_Capital_Mensual!N188, 2), "")</f>
        <v/>
      </c>
      <c r="N188" s="29">
        <f>IF(Amortizacion_Capital_Mensual!O188&gt;0, ROUND(M188 - Amortizacion_Capital_Mensual!O188, 2), "")</f>
        <v/>
      </c>
      <c r="O188" s="29">
        <f>IF(Amortizacion_Capital_Mensual!P188&gt;0, ROUND(N188 - Amortizacion_Capital_Mensual!P188, 2), "")</f>
        <v/>
      </c>
      <c r="P188" s="29">
        <f>IF(Amortizacion_Capital_Mensual!Q188&gt;0, ROUND(O188 - Amortizacion_Capital_Mensual!Q188, 2), "")</f>
        <v/>
      </c>
      <c r="Q188" s="29">
        <f>IF(Amortizacion_Capital_Mensual!R188&gt;0, ROUND(P188 - Amortizacion_Capital_Mensual!R188, 2), "")</f>
        <v/>
      </c>
      <c r="R188" s="29">
        <f>IF(Amortizacion_Capital_Mensual!S188&gt;0, ROUND(Q188 - Amortizacion_Capital_Mensual!S188, 2), "")</f>
        <v/>
      </c>
      <c r="S188" s="29">
        <f>IF(Amortizacion_Capital_Mensual!T188&gt;0, ROUND(R188 - Amortizacion_Capital_Mensual!T188, 2), "")</f>
        <v/>
      </c>
      <c r="T188" s="29">
        <f>IF(Amortizacion_Capital_Mensual!U188&gt;0, ROUND(S188 - Amortizacion_Capital_Mensual!U188, 2), "")</f>
        <v/>
      </c>
      <c r="U188" s="29">
        <f>MAX(I188:T188)</f>
        <v/>
      </c>
    </row>
    <row r="189">
      <c r="A189" s="20" t="inlineStr">
        <is>
          <t>0708-0001</t>
        </is>
      </c>
      <c r="B189" s="21" t="inlineStr">
        <is>
          <t>Pumps Company Sa de Cv</t>
        </is>
      </c>
      <c r="C189" s="21" t="inlineStr">
        <is>
          <t>L200 Glx Diesel</t>
        </is>
      </c>
      <c r="D189" s="20" t="inlineStr">
        <is>
          <t>ACTIVO</t>
        </is>
      </c>
      <c r="E189" s="20" t="inlineStr">
        <is>
          <t>2025-07-29</t>
        </is>
      </c>
      <c r="F189" s="20" t="inlineStr">
        <is>
          <t>2028-07-29</t>
        </is>
      </c>
      <c r="G189" s="22" t="n">
        <v>36</v>
      </c>
      <c r="H189" s="23" t="n">
        <v>334293.1</v>
      </c>
      <c r="I189" s="23">
        <f>IF(Amortizacion_Capital_Mensual!J189&gt;0, ROUND(304100.02 - Amortizacion_Capital_Mensual!J189, 2), "")</f>
        <v/>
      </c>
      <c r="J189" s="23">
        <f>IF(Amortizacion_Capital_Mensual!K189&gt;0, ROUND(I189 - Amortizacion_Capital_Mensual!K189, 2), "")</f>
        <v/>
      </c>
      <c r="K189" s="23">
        <f>IF(Amortizacion_Capital_Mensual!L189&gt;0, ROUND(J189 - Amortizacion_Capital_Mensual!L189, 2), "")</f>
        <v/>
      </c>
      <c r="L189" s="23">
        <f>IF(Amortizacion_Capital_Mensual!M189&gt;0, ROUND(K189 - Amortizacion_Capital_Mensual!M189, 2), "")</f>
        <v/>
      </c>
      <c r="M189" s="23">
        <f>IF(Amortizacion_Capital_Mensual!N189&gt;0, ROUND(L189 - Amortizacion_Capital_Mensual!N189, 2), "")</f>
        <v/>
      </c>
      <c r="N189" s="23">
        <f>IF(Amortizacion_Capital_Mensual!O189&gt;0, ROUND(M189 - Amortizacion_Capital_Mensual!O189, 2), "")</f>
        <v/>
      </c>
      <c r="O189" s="23">
        <f>IF(Amortizacion_Capital_Mensual!P189&gt;0, ROUND(N189 - Amortizacion_Capital_Mensual!P189, 2), "")</f>
        <v/>
      </c>
      <c r="P189" s="23">
        <f>IF(Amortizacion_Capital_Mensual!Q189&gt;0, ROUND(O189 - Amortizacion_Capital_Mensual!Q189, 2), "")</f>
        <v/>
      </c>
      <c r="Q189" s="23">
        <f>IF(Amortizacion_Capital_Mensual!R189&gt;0, ROUND(P189 - Amortizacion_Capital_Mensual!R189, 2), "")</f>
        <v/>
      </c>
      <c r="R189" s="23">
        <f>IF(Amortizacion_Capital_Mensual!S189&gt;0, ROUND(Q189 - Amortizacion_Capital_Mensual!S189, 2), "")</f>
        <v/>
      </c>
      <c r="S189" s="23">
        <f>IF(Amortizacion_Capital_Mensual!T189&gt;0, ROUND(R189 - Amortizacion_Capital_Mensual!T189, 2), "")</f>
        <v/>
      </c>
      <c r="T189" s="23">
        <f>IF(Amortizacion_Capital_Mensual!U189&gt;0, ROUND(S189 - Amortizacion_Capital_Mensual!U189, 2), "")</f>
        <v/>
      </c>
      <c r="U189" s="23">
        <f>MAX(I189:T189)</f>
        <v/>
      </c>
    </row>
    <row r="190">
      <c r="A190" s="26" t="inlineStr">
        <is>
          <t>0708-0002</t>
        </is>
      </c>
      <c r="B190" s="27" t="inlineStr">
        <is>
          <t>Pumps Company Sa de Cv</t>
        </is>
      </c>
      <c r="C190" s="27" t="inlineStr">
        <is>
          <t>L200 Glx Diesel</t>
        </is>
      </c>
      <c r="D190" s="26" t="inlineStr">
        <is>
          <t>ACTIVO</t>
        </is>
      </c>
      <c r="E190" s="26" t="inlineStr">
        <is>
          <t>2025-07-29</t>
        </is>
      </c>
      <c r="F190" s="26" t="inlineStr">
        <is>
          <t>2028-07-29</t>
        </is>
      </c>
      <c r="G190" s="28" t="n">
        <v>36</v>
      </c>
      <c r="H190" s="29" t="n">
        <v>334293.1</v>
      </c>
      <c r="I190" s="29">
        <f>IF(Amortizacion_Capital_Mensual!J190&gt;0, ROUND(304100.02 - Amortizacion_Capital_Mensual!J190, 2), "")</f>
        <v/>
      </c>
      <c r="J190" s="29">
        <f>IF(Amortizacion_Capital_Mensual!K190&gt;0, ROUND(I190 - Amortizacion_Capital_Mensual!K190, 2), "")</f>
        <v/>
      </c>
      <c r="K190" s="29">
        <f>IF(Amortizacion_Capital_Mensual!L190&gt;0, ROUND(J190 - Amortizacion_Capital_Mensual!L190, 2), "")</f>
        <v/>
      </c>
      <c r="L190" s="29">
        <f>IF(Amortizacion_Capital_Mensual!M190&gt;0, ROUND(K190 - Amortizacion_Capital_Mensual!M190, 2), "")</f>
        <v/>
      </c>
      <c r="M190" s="29">
        <f>IF(Amortizacion_Capital_Mensual!N190&gt;0, ROUND(L190 - Amortizacion_Capital_Mensual!N190, 2), "")</f>
        <v/>
      </c>
      <c r="N190" s="29">
        <f>IF(Amortizacion_Capital_Mensual!O190&gt;0, ROUND(M190 - Amortizacion_Capital_Mensual!O190, 2), "")</f>
        <v/>
      </c>
      <c r="O190" s="29">
        <f>IF(Amortizacion_Capital_Mensual!P190&gt;0, ROUND(N190 - Amortizacion_Capital_Mensual!P190, 2), "")</f>
        <v/>
      </c>
      <c r="P190" s="29">
        <f>IF(Amortizacion_Capital_Mensual!Q190&gt;0, ROUND(O190 - Amortizacion_Capital_Mensual!Q190, 2), "")</f>
        <v/>
      </c>
      <c r="Q190" s="29">
        <f>IF(Amortizacion_Capital_Mensual!R190&gt;0, ROUND(P190 - Amortizacion_Capital_Mensual!R190, 2), "")</f>
        <v/>
      </c>
      <c r="R190" s="29">
        <f>IF(Amortizacion_Capital_Mensual!S190&gt;0, ROUND(Q190 - Amortizacion_Capital_Mensual!S190, 2), "")</f>
        <v/>
      </c>
      <c r="S190" s="29">
        <f>IF(Amortizacion_Capital_Mensual!T190&gt;0, ROUND(R190 - Amortizacion_Capital_Mensual!T190, 2), "")</f>
        <v/>
      </c>
      <c r="T190" s="29">
        <f>IF(Amortizacion_Capital_Mensual!U190&gt;0, ROUND(S190 - Amortizacion_Capital_Mensual!U190, 2), "")</f>
        <v/>
      </c>
      <c r="U190" s="29">
        <f>MAX(I190:T190)</f>
        <v/>
      </c>
    </row>
    <row r="191">
      <c r="A191" s="20" t="inlineStr">
        <is>
          <t>0712-0001</t>
        </is>
      </c>
      <c r="B191" s="21" t="inlineStr">
        <is>
          <t>Containers del Pacifico sa de cv</t>
        </is>
      </c>
      <c r="C191" s="21" t="inlineStr">
        <is>
          <t>Outlander Sport</t>
        </is>
      </c>
      <c r="D191" s="20" t="inlineStr">
        <is>
          <t>ACTIVO</t>
        </is>
      </c>
      <c r="E191" s="20" t="inlineStr">
        <is>
          <t>2025-08-06</t>
        </is>
      </c>
      <c r="F191" s="20" t="inlineStr">
        <is>
          <t>2028-08-06</t>
        </is>
      </c>
      <c r="G191" s="22" t="n">
        <v>36</v>
      </c>
      <c r="H191" s="23" t="n">
        <v>369828.62</v>
      </c>
      <c r="I191" s="23">
        <f>IF(Amortizacion_Capital_Mensual!J191&gt;0, ROUND(344215.27 - Amortizacion_Capital_Mensual!J191, 2), "")</f>
        <v/>
      </c>
      <c r="J191" s="23">
        <f>IF(Amortizacion_Capital_Mensual!K191&gt;0, ROUND(I191 - Amortizacion_Capital_Mensual!K191, 2), "")</f>
        <v/>
      </c>
      <c r="K191" s="23">
        <f>IF(Amortizacion_Capital_Mensual!L191&gt;0, ROUND(J191 - Amortizacion_Capital_Mensual!L191, 2), "")</f>
        <v/>
      </c>
      <c r="L191" s="23">
        <f>IF(Amortizacion_Capital_Mensual!M191&gt;0, ROUND(K191 - Amortizacion_Capital_Mensual!M191, 2), "")</f>
        <v/>
      </c>
      <c r="M191" s="23">
        <f>IF(Amortizacion_Capital_Mensual!N191&gt;0, ROUND(L191 - Amortizacion_Capital_Mensual!N191, 2), "")</f>
        <v/>
      </c>
      <c r="N191" s="23">
        <f>IF(Amortizacion_Capital_Mensual!O191&gt;0, ROUND(M191 - Amortizacion_Capital_Mensual!O191, 2), "")</f>
        <v/>
      </c>
      <c r="O191" s="23">
        <f>IF(Amortizacion_Capital_Mensual!P191&gt;0, ROUND(N191 - Amortizacion_Capital_Mensual!P191, 2), "")</f>
        <v/>
      </c>
      <c r="P191" s="23">
        <f>IF(Amortizacion_Capital_Mensual!Q191&gt;0, ROUND(O191 - Amortizacion_Capital_Mensual!Q191, 2), "")</f>
        <v/>
      </c>
      <c r="Q191" s="23">
        <f>IF(Amortizacion_Capital_Mensual!R191&gt;0, ROUND(P191 - Amortizacion_Capital_Mensual!R191, 2), "")</f>
        <v/>
      </c>
      <c r="R191" s="23">
        <f>IF(Amortizacion_Capital_Mensual!S191&gt;0, ROUND(Q191 - Amortizacion_Capital_Mensual!S191, 2), "")</f>
        <v/>
      </c>
      <c r="S191" s="23">
        <f>IF(Amortizacion_Capital_Mensual!T191&gt;0, ROUND(R191 - Amortizacion_Capital_Mensual!T191, 2), "")</f>
        <v/>
      </c>
      <c r="T191" s="23">
        <f>IF(Amortizacion_Capital_Mensual!U191&gt;0, ROUND(S191 - Amortizacion_Capital_Mensual!U191, 2), "")</f>
        <v/>
      </c>
      <c r="U191" s="23">
        <f>MAX(I191:T191)</f>
        <v/>
      </c>
    </row>
    <row r="192">
      <c r="A192" s="26" t="inlineStr">
        <is>
          <t>0712-0002</t>
        </is>
      </c>
      <c r="B192" s="27" t="inlineStr">
        <is>
          <t>Containers del Pacifico sa de cv</t>
        </is>
      </c>
      <c r="C192" s="27" t="inlineStr">
        <is>
          <t>Np300</t>
        </is>
      </c>
      <c r="D192" s="26" t="inlineStr">
        <is>
          <t>ACTIVO</t>
        </is>
      </c>
      <c r="E192" s="26" t="inlineStr">
        <is>
          <t>2025-08-22</t>
        </is>
      </c>
      <c r="F192" s="26" t="inlineStr">
        <is>
          <t>2028-08-22</t>
        </is>
      </c>
      <c r="G192" s="28" t="n">
        <v>36</v>
      </c>
      <c r="H192" s="29" t="n">
        <v>365663.79</v>
      </c>
      <c r="I192" s="29">
        <f>IF(Amortizacion_Capital_Mensual!J192&gt;0, ROUND(340338.89 - Amortizacion_Capital_Mensual!J192, 2), "")</f>
        <v/>
      </c>
      <c r="J192" s="29">
        <f>IF(Amortizacion_Capital_Mensual!K192&gt;0, ROUND(I192 - Amortizacion_Capital_Mensual!K192, 2), "")</f>
        <v/>
      </c>
      <c r="K192" s="29">
        <f>IF(Amortizacion_Capital_Mensual!L192&gt;0, ROUND(J192 - Amortizacion_Capital_Mensual!L192, 2), "")</f>
        <v/>
      </c>
      <c r="L192" s="29">
        <f>IF(Amortizacion_Capital_Mensual!M192&gt;0, ROUND(K192 - Amortizacion_Capital_Mensual!M192, 2), "")</f>
        <v/>
      </c>
      <c r="M192" s="29">
        <f>IF(Amortizacion_Capital_Mensual!N192&gt;0, ROUND(L192 - Amortizacion_Capital_Mensual!N192, 2), "")</f>
        <v/>
      </c>
      <c r="N192" s="29">
        <f>IF(Amortizacion_Capital_Mensual!O192&gt;0, ROUND(M192 - Amortizacion_Capital_Mensual!O192, 2), "")</f>
        <v/>
      </c>
      <c r="O192" s="29">
        <f>IF(Amortizacion_Capital_Mensual!P192&gt;0, ROUND(N192 - Amortizacion_Capital_Mensual!P192, 2), "")</f>
        <v/>
      </c>
      <c r="P192" s="29">
        <f>IF(Amortizacion_Capital_Mensual!Q192&gt;0, ROUND(O192 - Amortizacion_Capital_Mensual!Q192, 2), "")</f>
        <v/>
      </c>
      <c r="Q192" s="29">
        <f>IF(Amortizacion_Capital_Mensual!R192&gt;0, ROUND(P192 - Amortizacion_Capital_Mensual!R192, 2), "")</f>
        <v/>
      </c>
      <c r="R192" s="29">
        <f>IF(Amortizacion_Capital_Mensual!S192&gt;0, ROUND(Q192 - Amortizacion_Capital_Mensual!S192, 2), "")</f>
        <v/>
      </c>
      <c r="S192" s="29">
        <f>IF(Amortizacion_Capital_Mensual!T192&gt;0, ROUND(R192 - Amortizacion_Capital_Mensual!T192, 2), "")</f>
        <v/>
      </c>
      <c r="T192" s="29">
        <f>IF(Amortizacion_Capital_Mensual!U192&gt;0, ROUND(S192 - Amortizacion_Capital_Mensual!U192, 2), "")</f>
        <v/>
      </c>
      <c r="U192" s="29">
        <f>MAX(I192:T192)</f>
        <v/>
      </c>
    </row>
    <row r="193">
      <c r="A193" s="20" t="inlineStr">
        <is>
          <t>0712-0003</t>
        </is>
      </c>
      <c r="B193" s="21" t="inlineStr">
        <is>
          <t>Containers del Pacifico sa de cv</t>
        </is>
      </c>
      <c r="C193" s="21" t="inlineStr">
        <is>
          <t>Np300</t>
        </is>
      </c>
      <c r="D193" s="20" t="inlineStr">
        <is>
          <t>ACTIVO</t>
        </is>
      </c>
      <c r="E193" s="20" t="inlineStr">
        <is>
          <t>2025-08-22</t>
        </is>
      </c>
      <c r="F193" s="20" t="inlineStr">
        <is>
          <t>2028-08-22</t>
        </is>
      </c>
      <c r="G193" s="22" t="n">
        <v>36</v>
      </c>
      <c r="H193" s="23" t="n">
        <v>365663.79</v>
      </c>
      <c r="I193" s="23">
        <f>IF(Amortizacion_Capital_Mensual!J193&gt;0, ROUND(340338.89 - Amortizacion_Capital_Mensual!J193, 2), "")</f>
        <v/>
      </c>
      <c r="J193" s="23">
        <f>IF(Amortizacion_Capital_Mensual!K193&gt;0, ROUND(I193 - Amortizacion_Capital_Mensual!K193, 2), "")</f>
        <v/>
      </c>
      <c r="K193" s="23">
        <f>IF(Amortizacion_Capital_Mensual!L193&gt;0, ROUND(J193 - Amortizacion_Capital_Mensual!L193, 2), "")</f>
        <v/>
      </c>
      <c r="L193" s="23">
        <f>IF(Amortizacion_Capital_Mensual!M193&gt;0, ROUND(K193 - Amortizacion_Capital_Mensual!M193, 2), "")</f>
        <v/>
      </c>
      <c r="M193" s="23">
        <f>IF(Amortizacion_Capital_Mensual!N193&gt;0, ROUND(L193 - Amortizacion_Capital_Mensual!N193, 2), "")</f>
        <v/>
      </c>
      <c r="N193" s="23">
        <f>IF(Amortizacion_Capital_Mensual!O193&gt;0, ROUND(M193 - Amortizacion_Capital_Mensual!O193, 2), "")</f>
        <v/>
      </c>
      <c r="O193" s="23">
        <f>IF(Amortizacion_Capital_Mensual!P193&gt;0, ROUND(N193 - Amortizacion_Capital_Mensual!P193, 2), "")</f>
        <v/>
      </c>
      <c r="P193" s="23">
        <f>IF(Amortizacion_Capital_Mensual!Q193&gt;0, ROUND(O193 - Amortizacion_Capital_Mensual!Q193, 2), "")</f>
        <v/>
      </c>
      <c r="Q193" s="23">
        <f>IF(Amortizacion_Capital_Mensual!R193&gt;0, ROUND(P193 - Amortizacion_Capital_Mensual!R193, 2), "")</f>
        <v/>
      </c>
      <c r="R193" s="23">
        <f>IF(Amortizacion_Capital_Mensual!S193&gt;0, ROUND(Q193 - Amortizacion_Capital_Mensual!S193, 2), "")</f>
        <v/>
      </c>
      <c r="S193" s="23">
        <f>IF(Amortizacion_Capital_Mensual!T193&gt;0, ROUND(R193 - Amortizacion_Capital_Mensual!T193, 2), "")</f>
        <v/>
      </c>
      <c r="T193" s="23">
        <f>IF(Amortizacion_Capital_Mensual!U193&gt;0, ROUND(S193 - Amortizacion_Capital_Mensual!U193, 2), "")</f>
        <v/>
      </c>
      <c r="U193" s="23">
        <f>MAX(I193:T193)</f>
        <v/>
      </c>
    </row>
    <row r="194">
      <c r="A194" s="26" t="inlineStr">
        <is>
          <t>0713-0001</t>
        </is>
      </c>
      <c r="B194" s="27" t="inlineStr">
        <is>
          <t>Ana Carolina Urzua Lopez</t>
        </is>
      </c>
      <c r="C194" s="27" t="inlineStr">
        <is>
          <t>Ram 1200</t>
        </is>
      </c>
      <c r="D194" s="26" t="inlineStr">
        <is>
          <t>ACTIVO</t>
        </is>
      </c>
      <c r="E194" s="26" t="inlineStr">
        <is>
          <t>2025-08-18</t>
        </is>
      </c>
      <c r="F194" s="26" t="inlineStr">
        <is>
          <t>2027-08-18</t>
        </is>
      </c>
      <c r="G194" s="28" t="n">
        <v>24</v>
      </c>
      <c r="H194" s="29" t="n">
        <v>519750</v>
      </c>
      <c r="I194" s="29">
        <f>IF(Amortizacion_Capital_Mensual!J194&gt;0, ROUND(464123.75 - Amortizacion_Capital_Mensual!J194, 2), "")</f>
        <v/>
      </c>
      <c r="J194" s="29">
        <f>IF(Amortizacion_Capital_Mensual!K194&gt;0, ROUND(I194 - Amortizacion_Capital_Mensual!K194, 2), "")</f>
        <v/>
      </c>
      <c r="K194" s="29">
        <f>IF(Amortizacion_Capital_Mensual!L194&gt;0, ROUND(J194 - Amortizacion_Capital_Mensual!L194, 2), "")</f>
        <v/>
      </c>
      <c r="L194" s="29">
        <f>IF(Amortizacion_Capital_Mensual!M194&gt;0, ROUND(K194 - Amortizacion_Capital_Mensual!M194, 2), "")</f>
        <v/>
      </c>
      <c r="M194" s="29">
        <f>IF(Amortizacion_Capital_Mensual!N194&gt;0, ROUND(L194 - Amortizacion_Capital_Mensual!N194, 2), "")</f>
        <v/>
      </c>
      <c r="N194" s="29">
        <f>IF(Amortizacion_Capital_Mensual!O194&gt;0, ROUND(M194 - Amortizacion_Capital_Mensual!O194, 2), "")</f>
        <v/>
      </c>
      <c r="O194" s="29">
        <f>IF(Amortizacion_Capital_Mensual!P194&gt;0, ROUND(N194 - Amortizacion_Capital_Mensual!P194, 2), "")</f>
        <v/>
      </c>
      <c r="P194" s="29">
        <f>IF(Amortizacion_Capital_Mensual!Q194&gt;0, ROUND(O194 - Amortizacion_Capital_Mensual!Q194, 2), "")</f>
        <v/>
      </c>
      <c r="Q194" s="29">
        <f>IF(Amortizacion_Capital_Mensual!R194&gt;0, ROUND(P194 - Amortizacion_Capital_Mensual!R194, 2), "")</f>
        <v/>
      </c>
      <c r="R194" s="29">
        <f>IF(Amortizacion_Capital_Mensual!S194&gt;0, ROUND(Q194 - Amortizacion_Capital_Mensual!S194, 2), "")</f>
        <v/>
      </c>
      <c r="S194" s="29">
        <f>IF(Amortizacion_Capital_Mensual!T194&gt;0, ROUND(R194 - Amortizacion_Capital_Mensual!T194, 2), "")</f>
        <v/>
      </c>
      <c r="T194" s="29">
        <f>IF(Amortizacion_Capital_Mensual!U194&gt;0, ROUND(S194 - Amortizacion_Capital_Mensual!U194, 2), "")</f>
        <v/>
      </c>
      <c r="U194" s="29">
        <f>MAX(I194:T194)</f>
        <v/>
      </c>
    </row>
    <row r="195">
      <c r="A195" s="20" t="inlineStr">
        <is>
          <t>0714-0001</t>
        </is>
      </c>
      <c r="B195" s="21" t="inlineStr">
        <is>
          <t>Celeste Capital Aj</t>
        </is>
      </c>
      <c r="C195" s="21" t="inlineStr">
        <is>
          <t>Wrangler 4Xe</t>
        </is>
      </c>
      <c r="D195" s="20" t="inlineStr">
        <is>
          <t>ACTIVO</t>
        </is>
      </c>
      <c r="E195" s="20" t="inlineStr">
        <is>
          <t>2025-08-26</t>
        </is>
      </c>
      <c r="F195" s="20" t="inlineStr">
        <is>
          <t>2029-08-26</t>
        </is>
      </c>
      <c r="G195" s="22" t="n">
        <v>48</v>
      </c>
      <c r="H195" s="23" t="n">
        <v>878560.35</v>
      </c>
      <c r="I195" s="23">
        <f>IF(Amortizacion_Capital_Mensual!J195&gt;0, ROUND(837099.53 - Amortizacion_Capital_Mensual!J195, 2), "")</f>
        <v/>
      </c>
      <c r="J195" s="23">
        <f>IF(Amortizacion_Capital_Mensual!K195&gt;0, ROUND(I195 - Amortizacion_Capital_Mensual!K195, 2), "")</f>
        <v/>
      </c>
      <c r="K195" s="23">
        <f>IF(Amortizacion_Capital_Mensual!L195&gt;0, ROUND(J195 - Amortizacion_Capital_Mensual!L195, 2), "")</f>
        <v/>
      </c>
      <c r="L195" s="23">
        <f>IF(Amortizacion_Capital_Mensual!M195&gt;0, ROUND(K195 - Amortizacion_Capital_Mensual!M195, 2), "")</f>
        <v/>
      </c>
      <c r="M195" s="23">
        <f>IF(Amortizacion_Capital_Mensual!N195&gt;0, ROUND(L195 - Amortizacion_Capital_Mensual!N195, 2), "")</f>
        <v/>
      </c>
      <c r="N195" s="23">
        <f>IF(Amortizacion_Capital_Mensual!O195&gt;0, ROUND(M195 - Amortizacion_Capital_Mensual!O195, 2), "")</f>
        <v/>
      </c>
      <c r="O195" s="23">
        <f>IF(Amortizacion_Capital_Mensual!P195&gt;0, ROUND(N195 - Amortizacion_Capital_Mensual!P195, 2), "")</f>
        <v/>
      </c>
      <c r="P195" s="23">
        <f>IF(Amortizacion_Capital_Mensual!Q195&gt;0, ROUND(O195 - Amortizacion_Capital_Mensual!Q195, 2), "")</f>
        <v/>
      </c>
      <c r="Q195" s="23">
        <f>IF(Amortizacion_Capital_Mensual!R195&gt;0, ROUND(P195 - Amortizacion_Capital_Mensual!R195, 2), "")</f>
        <v/>
      </c>
      <c r="R195" s="23">
        <f>IF(Amortizacion_Capital_Mensual!S195&gt;0, ROUND(Q195 - Amortizacion_Capital_Mensual!S195, 2), "")</f>
        <v/>
      </c>
      <c r="S195" s="23">
        <f>IF(Amortizacion_Capital_Mensual!T195&gt;0, ROUND(R195 - Amortizacion_Capital_Mensual!T195, 2), "")</f>
        <v/>
      </c>
      <c r="T195" s="23">
        <f>IF(Amortizacion_Capital_Mensual!U195&gt;0, ROUND(S195 - Amortizacion_Capital_Mensual!U195, 2), "")</f>
        <v/>
      </c>
      <c r="U195" s="23">
        <f>MAX(I195:T195)</f>
        <v/>
      </c>
    </row>
    <row r="196">
      <c r="A196" s="26" t="inlineStr">
        <is>
          <t>0715-0001</t>
        </is>
      </c>
      <c r="B196" s="27" t="inlineStr">
        <is>
          <t>Jose de Jesus Serrano Sanchez</t>
        </is>
      </c>
      <c r="C196" s="27" t="inlineStr">
        <is>
          <t>Ram 1200</t>
        </is>
      </c>
      <c r="D196" s="26" t="inlineStr">
        <is>
          <t>ACTIVO</t>
        </is>
      </c>
      <c r="E196" s="26" t="inlineStr">
        <is>
          <t>2025-08-29</t>
        </is>
      </c>
      <c r="F196" s="26" t="inlineStr">
        <is>
          <t>2029-08-29</t>
        </is>
      </c>
      <c r="G196" s="28" t="n">
        <v>48</v>
      </c>
      <c r="H196" s="29" t="n">
        <v>485979.05</v>
      </c>
      <c r="I196" s="29">
        <f>IF(Amortizacion_Capital_Mensual!J196&gt;0, ROUND(462554.28 - Amortizacion_Capital_Mensual!J196, 2), "")</f>
        <v/>
      </c>
      <c r="J196" s="29">
        <f>IF(Amortizacion_Capital_Mensual!K196&gt;0, ROUND(I196 - Amortizacion_Capital_Mensual!K196, 2), "")</f>
        <v/>
      </c>
      <c r="K196" s="29">
        <f>IF(Amortizacion_Capital_Mensual!L196&gt;0, ROUND(J196 - Amortizacion_Capital_Mensual!L196, 2), "")</f>
        <v/>
      </c>
      <c r="L196" s="29">
        <f>IF(Amortizacion_Capital_Mensual!M196&gt;0, ROUND(K196 - Amortizacion_Capital_Mensual!M196, 2), "")</f>
        <v/>
      </c>
      <c r="M196" s="29">
        <f>IF(Amortizacion_Capital_Mensual!N196&gt;0, ROUND(L196 - Amortizacion_Capital_Mensual!N196, 2), "")</f>
        <v/>
      </c>
      <c r="N196" s="29">
        <f>IF(Amortizacion_Capital_Mensual!O196&gt;0, ROUND(M196 - Amortizacion_Capital_Mensual!O196, 2), "")</f>
        <v/>
      </c>
      <c r="O196" s="29">
        <f>IF(Amortizacion_Capital_Mensual!P196&gt;0, ROUND(N196 - Amortizacion_Capital_Mensual!P196, 2), "")</f>
        <v/>
      </c>
      <c r="P196" s="29">
        <f>IF(Amortizacion_Capital_Mensual!Q196&gt;0, ROUND(O196 - Amortizacion_Capital_Mensual!Q196, 2), "")</f>
        <v/>
      </c>
      <c r="Q196" s="29">
        <f>IF(Amortizacion_Capital_Mensual!R196&gt;0, ROUND(P196 - Amortizacion_Capital_Mensual!R196, 2), "")</f>
        <v/>
      </c>
      <c r="R196" s="29">
        <f>IF(Amortizacion_Capital_Mensual!S196&gt;0, ROUND(Q196 - Amortizacion_Capital_Mensual!S196, 2), "")</f>
        <v/>
      </c>
      <c r="S196" s="29">
        <f>IF(Amortizacion_Capital_Mensual!T196&gt;0, ROUND(R196 - Amortizacion_Capital_Mensual!T196, 2), "")</f>
        <v/>
      </c>
      <c r="T196" s="29">
        <f>IF(Amortizacion_Capital_Mensual!U196&gt;0, ROUND(S196 - Amortizacion_Capital_Mensual!U196, 2), "")</f>
        <v/>
      </c>
      <c r="U196" s="29">
        <f>MAX(I196:T196)</f>
        <v/>
      </c>
    </row>
    <row r="197">
      <c r="A197" s="20" t="inlineStr">
        <is>
          <t>0716-0001</t>
        </is>
      </c>
      <c r="B197" s="21" t="inlineStr">
        <is>
          <t>Mayoristas Asociados en Servicio Celular SA de CV</t>
        </is>
      </c>
      <c r="C197" s="21" t="inlineStr">
        <is>
          <t>Wrangler Unlimited Rubicon</t>
        </is>
      </c>
      <c r="D197" s="20" t="inlineStr">
        <is>
          <t>ACTIVO</t>
        </is>
      </c>
      <c r="E197" s="20" t="inlineStr">
        <is>
          <t>2025-09-15</t>
        </is>
      </c>
      <c r="F197" s="20" t="inlineStr">
        <is>
          <t>2027-09-15</t>
        </is>
      </c>
      <c r="G197" s="22" t="n">
        <v>24</v>
      </c>
      <c r="H197" s="23" t="n">
        <v>770824.3100000001</v>
      </c>
      <c r="I197" s="23">
        <f>IF(Amortizacion_Capital_Mensual!J197&gt;0, ROUND(701000.15 - Amortizacion_Capital_Mensual!J197, 2), "")</f>
        <v/>
      </c>
      <c r="J197" s="23">
        <f>IF(Amortizacion_Capital_Mensual!K197&gt;0, ROUND(I197 - Amortizacion_Capital_Mensual!K197, 2), "")</f>
        <v/>
      </c>
      <c r="K197" s="23">
        <f>IF(Amortizacion_Capital_Mensual!L197&gt;0, ROUND(J197 - Amortizacion_Capital_Mensual!L197, 2), "")</f>
        <v/>
      </c>
      <c r="L197" s="23">
        <f>IF(Amortizacion_Capital_Mensual!M197&gt;0, ROUND(K197 - Amortizacion_Capital_Mensual!M197, 2), "")</f>
        <v/>
      </c>
      <c r="M197" s="23">
        <f>IF(Amortizacion_Capital_Mensual!N197&gt;0, ROUND(L197 - Amortizacion_Capital_Mensual!N197, 2), "")</f>
        <v/>
      </c>
      <c r="N197" s="23">
        <f>IF(Amortizacion_Capital_Mensual!O197&gt;0, ROUND(M197 - Amortizacion_Capital_Mensual!O197, 2), "")</f>
        <v/>
      </c>
      <c r="O197" s="23">
        <f>IF(Amortizacion_Capital_Mensual!P197&gt;0, ROUND(N197 - Amortizacion_Capital_Mensual!P197, 2), "")</f>
        <v/>
      </c>
      <c r="P197" s="23">
        <f>IF(Amortizacion_Capital_Mensual!Q197&gt;0, ROUND(O197 - Amortizacion_Capital_Mensual!Q197, 2), "")</f>
        <v/>
      </c>
      <c r="Q197" s="23">
        <f>IF(Amortizacion_Capital_Mensual!R197&gt;0, ROUND(P197 - Amortizacion_Capital_Mensual!R197, 2), "")</f>
        <v/>
      </c>
      <c r="R197" s="23">
        <f>IF(Amortizacion_Capital_Mensual!S197&gt;0, ROUND(Q197 - Amortizacion_Capital_Mensual!S197, 2), "")</f>
        <v/>
      </c>
      <c r="S197" s="23">
        <f>IF(Amortizacion_Capital_Mensual!T197&gt;0, ROUND(R197 - Amortizacion_Capital_Mensual!T197, 2), "")</f>
        <v/>
      </c>
      <c r="T197" s="23">
        <f>IF(Amortizacion_Capital_Mensual!U197&gt;0, ROUND(S197 - Amortizacion_Capital_Mensual!U197, 2), "")</f>
        <v/>
      </c>
      <c r="U197" s="23">
        <f>MAX(I197:T197)</f>
        <v/>
      </c>
    </row>
    <row r="198">
      <c r="A198" s="26" t="inlineStr">
        <is>
          <t>0716-0002</t>
        </is>
      </c>
      <c r="B198" s="27" t="inlineStr">
        <is>
          <t>Mayoristas Asociados en Servicio Celular SA de CV</t>
        </is>
      </c>
      <c r="C198" s="27" t="inlineStr">
        <is>
          <t>EX30</t>
        </is>
      </c>
      <c r="D198" s="26" t="inlineStr">
        <is>
          <t>ACTIVO</t>
        </is>
      </c>
      <c r="E198" s="26" t="inlineStr">
        <is>
          <t>2025-10-08</t>
        </is>
      </c>
      <c r="F198" s="26" t="inlineStr">
        <is>
          <t>2027-10-08</t>
        </is>
      </c>
      <c r="G198" s="28" t="n">
        <v>24</v>
      </c>
      <c r="H198" s="29" t="n">
        <v>476061.55</v>
      </c>
      <c r="I198" s="29">
        <f>IF(Amortizacion_Capital_Mensual!J198&gt;0, ROUND(444153.43 - Amortizacion_Capital_Mensual!J198, 2), "")</f>
        <v/>
      </c>
      <c r="J198" s="29">
        <f>IF(Amortizacion_Capital_Mensual!K198&gt;0, ROUND(I198 - Amortizacion_Capital_Mensual!K198, 2), "")</f>
        <v/>
      </c>
      <c r="K198" s="29">
        <f>IF(Amortizacion_Capital_Mensual!L198&gt;0, ROUND(J198 - Amortizacion_Capital_Mensual!L198, 2), "")</f>
        <v/>
      </c>
      <c r="L198" s="29">
        <f>IF(Amortizacion_Capital_Mensual!M198&gt;0, ROUND(K198 - Amortizacion_Capital_Mensual!M198, 2), "")</f>
        <v/>
      </c>
      <c r="M198" s="29">
        <f>IF(Amortizacion_Capital_Mensual!N198&gt;0, ROUND(L198 - Amortizacion_Capital_Mensual!N198, 2), "")</f>
        <v/>
      </c>
      <c r="N198" s="29">
        <f>IF(Amortizacion_Capital_Mensual!O198&gt;0, ROUND(M198 - Amortizacion_Capital_Mensual!O198, 2), "")</f>
        <v/>
      </c>
      <c r="O198" s="29">
        <f>IF(Amortizacion_Capital_Mensual!P198&gt;0, ROUND(N198 - Amortizacion_Capital_Mensual!P198, 2), "")</f>
        <v/>
      </c>
      <c r="P198" s="29">
        <f>IF(Amortizacion_Capital_Mensual!Q198&gt;0, ROUND(O198 - Amortizacion_Capital_Mensual!Q198, 2), "")</f>
        <v/>
      </c>
      <c r="Q198" s="29">
        <f>IF(Amortizacion_Capital_Mensual!R198&gt;0, ROUND(P198 - Amortizacion_Capital_Mensual!R198, 2), "")</f>
        <v/>
      </c>
      <c r="R198" s="29">
        <f>IF(Amortizacion_Capital_Mensual!S198&gt;0, ROUND(Q198 - Amortizacion_Capital_Mensual!S198, 2), "")</f>
        <v/>
      </c>
      <c r="S198" s="29">
        <f>IF(Amortizacion_Capital_Mensual!T198&gt;0, ROUND(R198 - Amortizacion_Capital_Mensual!T198, 2), "")</f>
        <v/>
      </c>
      <c r="T198" s="29">
        <f>IF(Amortizacion_Capital_Mensual!U198&gt;0, ROUND(S198 - Amortizacion_Capital_Mensual!U198, 2), "")</f>
        <v/>
      </c>
      <c r="U198" s="29">
        <f>MAX(I198:T198)</f>
        <v/>
      </c>
    </row>
    <row r="199">
      <c r="A199" s="20" t="inlineStr">
        <is>
          <t>0716-0003</t>
        </is>
      </c>
      <c r="B199" s="21" t="inlineStr">
        <is>
          <t>Mayoristas Asociados en Servicio Celular SA de CV</t>
        </is>
      </c>
      <c r="C199" s="21" t="inlineStr">
        <is>
          <t>Bronco</t>
        </is>
      </c>
      <c r="D199" s="20" t="inlineStr">
        <is>
          <t>ACTIVO</t>
        </is>
      </c>
      <c r="E199" s="20" t="inlineStr">
        <is>
          <t>2025-10-08</t>
        </is>
      </c>
      <c r="F199" s="20" t="inlineStr">
        <is>
          <t>2027-10-08</t>
        </is>
      </c>
      <c r="G199" s="22" t="n">
        <v>24</v>
      </c>
      <c r="H199" s="23" t="n">
        <v>458620.69</v>
      </c>
      <c r="I199" s="23">
        <f>IF(Amortizacion_Capital_Mensual!J199&gt;0, ROUND(427881.53 - Amortizacion_Capital_Mensual!J199, 2), "")</f>
        <v/>
      </c>
      <c r="J199" s="23">
        <f>IF(Amortizacion_Capital_Mensual!K199&gt;0, ROUND(I199 - Amortizacion_Capital_Mensual!K199, 2), "")</f>
        <v/>
      </c>
      <c r="K199" s="23">
        <f>IF(Amortizacion_Capital_Mensual!L199&gt;0, ROUND(J199 - Amortizacion_Capital_Mensual!L199, 2), "")</f>
        <v/>
      </c>
      <c r="L199" s="23">
        <f>IF(Amortizacion_Capital_Mensual!M199&gt;0, ROUND(K199 - Amortizacion_Capital_Mensual!M199, 2), "")</f>
        <v/>
      </c>
      <c r="M199" s="23">
        <f>IF(Amortizacion_Capital_Mensual!N199&gt;0, ROUND(L199 - Amortizacion_Capital_Mensual!N199, 2), "")</f>
        <v/>
      </c>
      <c r="N199" s="23">
        <f>IF(Amortizacion_Capital_Mensual!O199&gt;0, ROUND(M199 - Amortizacion_Capital_Mensual!O199, 2), "")</f>
        <v/>
      </c>
      <c r="O199" s="23">
        <f>IF(Amortizacion_Capital_Mensual!P199&gt;0, ROUND(N199 - Amortizacion_Capital_Mensual!P199, 2), "")</f>
        <v/>
      </c>
      <c r="P199" s="23">
        <f>IF(Amortizacion_Capital_Mensual!Q199&gt;0, ROUND(O199 - Amortizacion_Capital_Mensual!Q199, 2), "")</f>
        <v/>
      </c>
      <c r="Q199" s="23">
        <f>IF(Amortizacion_Capital_Mensual!R199&gt;0, ROUND(P199 - Amortizacion_Capital_Mensual!R199, 2), "")</f>
        <v/>
      </c>
      <c r="R199" s="23">
        <f>IF(Amortizacion_Capital_Mensual!S199&gt;0, ROUND(Q199 - Amortizacion_Capital_Mensual!S199, 2), "")</f>
        <v/>
      </c>
      <c r="S199" s="23">
        <f>IF(Amortizacion_Capital_Mensual!T199&gt;0, ROUND(R199 - Amortizacion_Capital_Mensual!T199, 2), "")</f>
        <v/>
      </c>
      <c r="T199" s="23">
        <f>IF(Amortizacion_Capital_Mensual!U199&gt;0, ROUND(S199 - Amortizacion_Capital_Mensual!U199, 2), "")</f>
        <v/>
      </c>
      <c r="U199" s="23">
        <f>MAX(I199:T199)</f>
        <v/>
      </c>
    </row>
    <row r="200">
      <c r="A200" s="26" t="inlineStr">
        <is>
          <t>0717-0001</t>
        </is>
      </c>
      <c r="B200" s="27" t="inlineStr">
        <is>
          <t>Refaccionaria San Diego SA de CV</t>
        </is>
      </c>
      <c r="C200" s="27" t="inlineStr">
        <is>
          <t>Partner Rapid</t>
        </is>
      </c>
      <c r="D200" s="26" t="inlineStr">
        <is>
          <t>ACTIVO</t>
        </is>
      </c>
      <c r="E200" s="26" t="inlineStr">
        <is>
          <t>2025-09-10</t>
        </is>
      </c>
      <c r="F200" s="26" t="inlineStr">
        <is>
          <t>2029-09-10</t>
        </is>
      </c>
      <c r="G200" s="28" t="n">
        <v>48</v>
      </c>
      <c r="H200" s="29" t="n">
        <v>206137.93</v>
      </c>
      <c r="I200" s="29">
        <f>IF(Amortizacion_Capital_Mensual!J200&gt;0, ROUND(198284.93 - Amortizacion_Capital_Mensual!J200, 2), "")</f>
        <v/>
      </c>
      <c r="J200" s="29">
        <f>IF(Amortizacion_Capital_Mensual!K200&gt;0, ROUND(I200 - Amortizacion_Capital_Mensual!K200, 2), "")</f>
        <v/>
      </c>
      <c r="K200" s="29">
        <f>IF(Amortizacion_Capital_Mensual!L200&gt;0, ROUND(J200 - Amortizacion_Capital_Mensual!L200, 2), "")</f>
        <v/>
      </c>
      <c r="L200" s="29">
        <f>IF(Amortizacion_Capital_Mensual!M200&gt;0, ROUND(K200 - Amortizacion_Capital_Mensual!M200, 2), "")</f>
        <v/>
      </c>
      <c r="M200" s="29">
        <f>IF(Amortizacion_Capital_Mensual!N200&gt;0, ROUND(L200 - Amortizacion_Capital_Mensual!N200, 2), "")</f>
        <v/>
      </c>
      <c r="N200" s="29">
        <f>IF(Amortizacion_Capital_Mensual!O200&gt;0, ROUND(M200 - Amortizacion_Capital_Mensual!O200, 2), "")</f>
        <v/>
      </c>
      <c r="O200" s="29">
        <f>IF(Amortizacion_Capital_Mensual!P200&gt;0, ROUND(N200 - Amortizacion_Capital_Mensual!P200, 2), "")</f>
        <v/>
      </c>
      <c r="P200" s="29">
        <f>IF(Amortizacion_Capital_Mensual!Q200&gt;0, ROUND(O200 - Amortizacion_Capital_Mensual!Q200, 2), "")</f>
        <v/>
      </c>
      <c r="Q200" s="29">
        <f>IF(Amortizacion_Capital_Mensual!R200&gt;0, ROUND(P200 - Amortizacion_Capital_Mensual!R200, 2), "")</f>
        <v/>
      </c>
      <c r="R200" s="29">
        <f>IF(Amortizacion_Capital_Mensual!S200&gt;0, ROUND(Q200 - Amortizacion_Capital_Mensual!S200, 2), "")</f>
        <v/>
      </c>
      <c r="S200" s="29">
        <f>IF(Amortizacion_Capital_Mensual!T200&gt;0, ROUND(R200 - Amortizacion_Capital_Mensual!T200, 2), "")</f>
        <v/>
      </c>
      <c r="T200" s="29">
        <f>IF(Amortizacion_Capital_Mensual!U200&gt;0, ROUND(S200 - Amortizacion_Capital_Mensual!U200, 2), "")</f>
        <v/>
      </c>
      <c r="U200" s="29">
        <f>MAX(I200:T200)</f>
        <v/>
      </c>
    </row>
    <row r="201">
      <c r="A201" s="20" t="inlineStr">
        <is>
          <t>0718-0001</t>
        </is>
      </c>
      <c r="B201" s="21" t="inlineStr">
        <is>
          <t>Capriberrys</t>
        </is>
      </c>
      <c r="C201" s="21" t="inlineStr">
        <is>
          <t>Jt Mojave</t>
        </is>
      </c>
      <c r="D201" s="20" t="inlineStr">
        <is>
          <t>ACTIVO</t>
        </is>
      </c>
      <c r="E201" s="20" t="inlineStr">
        <is>
          <t>2025-09-11</t>
        </is>
      </c>
      <c r="F201" s="20" t="inlineStr">
        <is>
          <t>2027-09-11</t>
        </is>
      </c>
      <c r="G201" s="22" t="n">
        <v>24</v>
      </c>
      <c r="H201" s="23" t="n">
        <v>780465.52</v>
      </c>
      <c r="I201" s="23">
        <f>IF(Amortizacion_Capital_Mensual!J201&gt;0, ROUND(696424.35 - Amortizacion_Capital_Mensual!J201, 2), "")</f>
        <v/>
      </c>
      <c r="J201" s="23">
        <f>IF(Amortizacion_Capital_Mensual!K201&gt;0, ROUND(I201 - Amortizacion_Capital_Mensual!K201, 2), "")</f>
        <v/>
      </c>
      <c r="K201" s="23">
        <f>IF(Amortizacion_Capital_Mensual!L201&gt;0, ROUND(J201 - Amortizacion_Capital_Mensual!L201, 2), "")</f>
        <v/>
      </c>
      <c r="L201" s="23">
        <f>IF(Amortizacion_Capital_Mensual!M201&gt;0, ROUND(K201 - Amortizacion_Capital_Mensual!M201, 2), "")</f>
        <v/>
      </c>
      <c r="M201" s="23">
        <f>IF(Amortizacion_Capital_Mensual!N201&gt;0, ROUND(L201 - Amortizacion_Capital_Mensual!N201, 2), "")</f>
        <v/>
      </c>
      <c r="N201" s="23">
        <f>IF(Amortizacion_Capital_Mensual!O201&gt;0, ROUND(M201 - Amortizacion_Capital_Mensual!O201, 2), "")</f>
        <v/>
      </c>
      <c r="O201" s="23">
        <f>IF(Amortizacion_Capital_Mensual!P201&gt;0, ROUND(N201 - Amortizacion_Capital_Mensual!P201, 2), "")</f>
        <v/>
      </c>
      <c r="P201" s="23">
        <f>IF(Amortizacion_Capital_Mensual!Q201&gt;0, ROUND(O201 - Amortizacion_Capital_Mensual!Q201, 2), "")</f>
        <v/>
      </c>
      <c r="Q201" s="23">
        <f>IF(Amortizacion_Capital_Mensual!R201&gt;0, ROUND(P201 - Amortizacion_Capital_Mensual!R201, 2), "")</f>
        <v/>
      </c>
      <c r="R201" s="23">
        <f>IF(Amortizacion_Capital_Mensual!S201&gt;0, ROUND(Q201 - Amortizacion_Capital_Mensual!S201, 2), "")</f>
        <v/>
      </c>
      <c r="S201" s="23">
        <f>IF(Amortizacion_Capital_Mensual!T201&gt;0, ROUND(R201 - Amortizacion_Capital_Mensual!T201, 2), "")</f>
        <v/>
      </c>
      <c r="T201" s="23">
        <f>IF(Amortizacion_Capital_Mensual!U201&gt;0, ROUND(S201 - Amortizacion_Capital_Mensual!U201, 2), "")</f>
        <v/>
      </c>
      <c r="U201" s="23">
        <f>MAX(I201:T201)</f>
        <v/>
      </c>
    </row>
    <row r="202">
      <c r="A202" s="26" t="inlineStr">
        <is>
          <t>0719-0001</t>
        </is>
      </c>
      <c r="B202" s="27" t="inlineStr">
        <is>
          <t>Maria de Los Angeles Lopez Janeiro</t>
        </is>
      </c>
      <c r="C202" s="27" t="inlineStr">
        <is>
          <t>Rifter</t>
        </is>
      </c>
      <c r="D202" s="26" t="inlineStr">
        <is>
          <t>ACTIVO</t>
        </is>
      </c>
      <c r="E202" s="26" t="inlineStr">
        <is>
          <t>2025-09-30</t>
        </is>
      </c>
      <c r="F202" s="26" t="inlineStr">
        <is>
          <t>2028-09-30</t>
        </is>
      </c>
      <c r="G202" s="28" t="n">
        <v>36</v>
      </c>
      <c r="H202" s="29" t="n">
        <v>299853.45</v>
      </c>
      <c r="I202" s="29">
        <f>IF(Amortizacion_Capital_Mensual!J202&gt;0, ROUND(281751.26 - Amortizacion_Capital_Mensual!J202, 2), "")</f>
        <v/>
      </c>
      <c r="J202" s="29">
        <f>IF(Amortizacion_Capital_Mensual!K202&gt;0, ROUND(I202 - Amortizacion_Capital_Mensual!K202, 2), "")</f>
        <v/>
      </c>
      <c r="K202" s="29">
        <f>IF(Amortizacion_Capital_Mensual!L202&gt;0, ROUND(J202 - Amortizacion_Capital_Mensual!L202, 2), "")</f>
        <v/>
      </c>
      <c r="L202" s="29">
        <f>IF(Amortizacion_Capital_Mensual!M202&gt;0, ROUND(K202 - Amortizacion_Capital_Mensual!M202, 2), "")</f>
        <v/>
      </c>
      <c r="M202" s="29">
        <f>IF(Amortizacion_Capital_Mensual!N202&gt;0, ROUND(L202 - Amortizacion_Capital_Mensual!N202, 2), "")</f>
        <v/>
      </c>
      <c r="N202" s="29">
        <f>IF(Amortizacion_Capital_Mensual!O202&gt;0, ROUND(M202 - Amortizacion_Capital_Mensual!O202, 2), "")</f>
        <v/>
      </c>
      <c r="O202" s="29">
        <f>IF(Amortizacion_Capital_Mensual!P202&gt;0, ROUND(N202 - Amortizacion_Capital_Mensual!P202, 2), "")</f>
        <v/>
      </c>
      <c r="P202" s="29">
        <f>IF(Amortizacion_Capital_Mensual!Q202&gt;0, ROUND(O202 - Amortizacion_Capital_Mensual!Q202, 2), "")</f>
        <v/>
      </c>
      <c r="Q202" s="29">
        <f>IF(Amortizacion_Capital_Mensual!R202&gt;0, ROUND(P202 - Amortizacion_Capital_Mensual!R202, 2), "")</f>
        <v/>
      </c>
      <c r="R202" s="29">
        <f>IF(Amortizacion_Capital_Mensual!S202&gt;0, ROUND(Q202 - Amortizacion_Capital_Mensual!S202, 2), "")</f>
        <v/>
      </c>
      <c r="S202" s="29">
        <f>IF(Amortizacion_Capital_Mensual!T202&gt;0, ROUND(R202 - Amortizacion_Capital_Mensual!T202, 2), "")</f>
        <v/>
      </c>
      <c r="T202" s="29">
        <f>IF(Amortizacion_Capital_Mensual!U202&gt;0, ROUND(S202 - Amortizacion_Capital_Mensual!U202, 2), "")</f>
        <v/>
      </c>
      <c r="U202" s="29">
        <f>MAX(I202:T202)</f>
        <v/>
      </c>
    </row>
    <row r="203">
      <c r="A203" s="20" t="inlineStr">
        <is>
          <t>0720-0001</t>
        </is>
      </c>
      <c r="B203" s="21" t="inlineStr">
        <is>
          <t>Forrajes Los 6 Hermanos S.P.R. DE R.L.</t>
        </is>
      </c>
      <c r="C203" s="21" t="inlineStr">
        <is>
          <t>Shark</t>
        </is>
      </c>
      <c r="D203" s="20" t="inlineStr">
        <is>
          <t>ACTIVO</t>
        </is>
      </c>
      <c r="E203" s="20" t="inlineStr">
        <is>
          <t>2025-10-01</t>
        </is>
      </c>
      <c r="F203" s="20" t="inlineStr">
        <is>
          <t>2028-10-01</t>
        </is>
      </c>
      <c r="G203" s="22" t="n">
        <v>36</v>
      </c>
      <c r="H203" s="23" t="n">
        <v>698260.35</v>
      </c>
      <c r="I203" s="23">
        <f>IF(Amortizacion_Capital_Mensual!J203&gt;0, ROUND(679757.06 - Amortizacion_Capital_Mensual!J203, 2), "")</f>
        <v/>
      </c>
      <c r="J203" s="23">
        <f>IF(Amortizacion_Capital_Mensual!K203&gt;0, ROUND(I203 - Amortizacion_Capital_Mensual!K203, 2), "")</f>
        <v/>
      </c>
      <c r="K203" s="23">
        <f>IF(Amortizacion_Capital_Mensual!L203&gt;0, ROUND(J203 - Amortizacion_Capital_Mensual!L203, 2), "")</f>
        <v/>
      </c>
      <c r="L203" s="23">
        <f>IF(Amortizacion_Capital_Mensual!M203&gt;0, ROUND(K203 - Amortizacion_Capital_Mensual!M203, 2), "")</f>
        <v/>
      </c>
      <c r="M203" s="23">
        <f>IF(Amortizacion_Capital_Mensual!N203&gt;0, ROUND(L203 - Amortizacion_Capital_Mensual!N203, 2), "")</f>
        <v/>
      </c>
      <c r="N203" s="23">
        <f>IF(Amortizacion_Capital_Mensual!O203&gt;0, ROUND(M203 - Amortizacion_Capital_Mensual!O203, 2), "")</f>
        <v/>
      </c>
      <c r="O203" s="23">
        <f>IF(Amortizacion_Capital_Mensual!P203&gt;0, ROUND(N203 - Amortizacion_Capital_Mensual!P203, 2), "")</f>
        <v/>
      </c>
      <c r="P203" s="23">
        <f>IF(Amortizacion_Capital_Mensual!Q203&gt;0, ROUND(O203 - Amortizacion_Capital_Mensual!Q203, 2), "")</f>
        <v/>
      </c>
      <c r="Q203" s="23">
        <f>IF(Amortizacion_Capital_Mensual!R203&gt;0, ROUND(P203 - Amortizacion_Capital_Mensual!R203, 2), "")</f>
        <v/>
      </c>
      <c r="R203" s="23">
        <f>IF(Amortizacion_Capital_Mensual!S203&gt;0, ROUND(Q203 - Amortizacion_Capital_Mensual!S203, 2), "")</f>
        <v/>
      </c>
      <c r="S203" s="23">
        <f>IF(Amortizacion_Capital_Mensual!T203&gt;0, ROUND(R203 - Amortizacion_Capital_Mensual!T203, 2), "")</f>
        <v/>
      </c>
      <c r="T203" s="23">
        <f>IF(Amortizacion_Capital_Mensual!U203&gt;0, ROUND(S203 - Amortizacion_Capital_Mensual!U203, 2), "")</f>
        <v/>
      </c>
      <c r="U203" s="23">
        <f>MAX(I203:T203)</f>
        <v/>
      </c>
    </row>
    <row r="204">
      <c r="A204" s="26" t="inlineStr">
        <is>
          <t>0721-0001</t>
        </is>
      </c>
      <c r="B204" s="27" t="inlineStr">
        <is>
          <t>Ricardo Ortiz Guzman</t>
        </is>
      </c>
      <c r="C204" s="27" t="inlineStr">
        <is>
          <t>Rifter</t>
        </is>
      </c>
      <c r="D204" s="26" t="inlineStr">
        <is>
          <t>ACTIVO</t>
        </is>
      </c>
      <c r="E204" s="26" t="inlineStr">
        <is>
          <t>2025-10-09</t>
        </is>
      </c>
      <c r="F204" s="26" t="inlineStr">
        <is>
          <t>2029-10-09</t>
        </is>
      </c>
      <c r="G204" s="28" t="n">
        <v>48</v>
      </c>
      <c r="H204" s="29" t="n">
        <v>299853.45</v>
      </c>
      <c r="I204" s="29">
        <f>IF(Amortizacion_Capital_Mensual!J204&gt;0, ROUND(291589.68 - Amortizacion_Capital_Mensual!J204, 2), "")</f>
        <v/>
      </c>
      <c r="J204" s="29">
        <f>IF(Amortizacion_Capital_Mensual!K204&gt;0, ROUND(I204 - Amortizacion_Capital_Mensual!K204, 2), "")</f>
        <v/>
      </c>
      <c r="K204" s="29">
        <f>IF(Amortizacion_Capital_Mensual!L204&gt;0, ROUND(J204 - Amortizacion_Capital_Mensual!L204, 2), "")</f>
        <v/>
      </c>
      <c r="L204" s="29">
        <f>IF(Amortizacion_Capital_Mensual!M204&gt;0, ROUND(K204 - Amortizacion_Capital_Mensual!M204, 2), "")</f>
        <v/>
      </c>
      <c r="M204" s="29">
        <f>IF(Amortizacion_Capital_Mensual!N204&gt;0, ROUND(L204 - Amortizacion_Capital_Mensual!N204, 2), "")</f>
        <v/>
      </c>
      <c r="N204" s="29">
        <f>IF(Amortizacion_Capital_Mensual!O204&gt;0, ROUND(M204 - Amortizacion_Capital_Mensual!O204, 2), "")</f>
        <v/>
      </c>
      <c r="O204" s="29">
        <f>IF(Amortizacion_Capital_Mensual!P204&gt;0, ROUND(N204 - Amortizacion_Capital_Mensual!P204, 2), "")</f>
        <v/>
      </c>
      <c r="P204" s="29">
        <f>IF(Amortizacion_Capital_Mensual!Q204&gt;0, ROUND(O204 - Amortizacion_Capital_Mensual!Q204, 2), "")</f>
        <v/>
      </c>
      <c r="Q204" s="29">
        <f>IF(Amortizacion_Capital_Mensual!R204&gt;0, ROUND(P204 - Amortizacion_Capital_Mensual!R204, 2), "")</f>
        <v/>
      </c>
      <c r="R204" s="29">
        <f>IF(Amortizacion_Capital_Mensual!S204&gt;0, ROUND(Q204 - Amortizacion_Capital_Mensual!S204, 2), "")</f>
        <v/>
      </c>
      <c r="S204" s="29">
        <f>IF(Amortizacion_Capital_Mensual!T204&gt;0, ROUND(R204 - Amortizacion_Capital_Mensual!T204, 2), "")</f>
        <v/>
      </c>
      <c r="T204" s="29">
        <f>IF(Amortizacion_Capital_Mensual!U204&gt;0, ROUND(S204 - Amortizacion_Capital_Mensual!U204, 2), "")</f>
        <v/>
      </c>
      <c r="U204" s="29">
        <f>MAX(I204:T204)</f>
        <v/>
      </c>
    </row>
    <row r="205">
      <c r="A205" s="20" t="inlineStr">
        <is>
          <t>0721-0002</t>
        </is>
      </c>
      <c r="B205" s="21" t="inlineStr">
        <is>
          <t>Ricardo Ortiz Guzman</t>
        </is>
      </c>
      <c r="C205" s="21" t="inlineStr">
        <is>
          <t>CX5</t>
        </is>
      </c>
      <c r="D205" s="20" t="inlineStr">
        <is>
          <t>ACTIVO</t>
        </is>
      </c>
      <c r="E205" s="20" t="inlineStr">
        <is>
          <t>2025-10-31</t>
        </is>
      </c>
      <c r="F205" s="20" t="inlineStr">
        <is>
          <t>2029-10-31</t>
        </is>
      </c>
      <c r="G205" s="22" t="n">
        <v>48</v>
      </c>
      <c r="H205" s="23" t="n">
        <v>422000</v>
      </c>
      <c r="I205" s="23">
        <f>IF(Amortizacion_Capital_Mensual!J205&gt;0, ROUND(410124.63 - Amortizacion_Capital_Mensual!J205, 2), "")</f>
        <v/>
      </c>
      <c r="J205" s="23">
        <f>IF(Amortizacion_Capital_Mensual!K205&gt;0, ROUND(I205 - Amortizacion_Capital_Mensual!K205, 2), "")</f>
        <v/>
      </c>
      <c r="K205" s="23">
        <f>IF(Amortizacion_Capital_Mensual!L205&gt;0, ROUND(J205 - Amortizacion_Capital_Mensual!L205, 2), "")</f>
        <v/>
      </c>
      <c r="L205" s="23">
        <f>IF(Amortizacion_Capital_Mensual!M205&gt;0, ROUND(K205 - Amortizacion_Capital_Mensual!M205, 2), "")</f>
        <v/>
      </c>
      <c r="M205" s="23">
        <f>IF(Amortizacion_Capital_Mensual!N205&gt;0, ROUND(L205 - Amortizacion_Capital_Mensual!N205, 2), "")</f>
        <v/>
      </c>
      <c r="N205" s="23">
        <f>IF(Amortizacion_Capital_Mensual!O205&gt;0, ROUND(M205 - Amortizacion_Capital_Mensual!O205, 2), "")</f>
        <v/>
      </c>
      <c r="O205" s="23">
        <f>IF(Amortizacion_Capital_Mensual!P205&gt;0, ROUND(N205 - Amortizacion_Capital_Mensual!P205, 2), "")</f>
        <v/>
      </c>
      <c r="P205" s="23">
        <f>IF(Amortizacion_Capital_Mensual!Q205&gt;0, ROUND(O205 - Amortizacion_Capital_Mensual!Q205, 2), "")</f>
        <v/>
      </c>
      <c r="Q205" s="23">
        <f>IF(Amortizacion_Capital_Mensual!R205&gt;0, ROUND(P205 - Amortizacion_Capital_Mensual!R205, 2), "")</f>
        <v/>
      </c>
      <c r="R205" s="23">
        <f>IF(Amortizacion_Capital_Mensual!S205&gt;0, ROUND(Q205 - Amortizacion_Capital_Mensual!S205, 2), "")</f>
        <v/>
      </c>
      <c r="S205" s="23">
        <f>IF(Amortizacion_Capital_Mensual!T205&gt;0, ROUND(R205 - Amortizacion_Capital_Mensual!T205, 2), "")</f>
        <v/>
      </c>
      <c r="T205" s="23">
        <f>IF(Amortizacion_Capital_Mensual!U205&gt;0, ROUND(S205 - Amortizacion_Capital_Mensual!U205, 2), "")</f>
        <v/>
      </c>
      <c r="U205" s="23">
        <f>MAX(I205:T205)</f>
        <v/>
      </c>
    </row>
    <row r="206">
      <c r="A206" s="26" t="inlineStr">
        <is>
          <t>0722-0001</t>
        </is>
      </c>
      <c r="B206" s="27" t="inlineStr">
        <is>
          <t>Tortas Ro S. DE R.L. DE C.V.</t>
        </is>
      </c>
      <c r="C206" s="27" t="inlineStr">
        <is>
          <t>Partner</t>
        </is>
      </c>
      <c r="D206" s="26" t="inlineStr">
        <is>
          <t>ACTIVO</t>
        </is>
      </c>
      <c r="E206" s="26" t="inlineStr">
        <is>
          <t>2025-10-13</t>
        </is>
      </c>
      <c r="F206" s="26" t="inlineStr">
        <is>
          <t>2027-10-13</t>
        </is>
      </c>
      <c r="G206" s="28" t="n">
        <v>24</v>
      </c>
      <c r="H206" s="29" t="n">
        <v>180974.14</v>
      </c>
      <c r="I206" s="29">
        <f>IF(Amortizacion_Capital_Mensual!J206&gt;0, ROUND(168844.31 - Amortizacion_Capital_Mensual!J206, 2), "")</f>
        <v/>
      </c>
      <c r="J206" s="29">
        <f>IF(Amortizacion_Capital_Mensual!K206&gt;0, ROUND(I206 - Amortizacion_Capital_Mensual!K206, 2), "")</f>
        <v/>
      </c>
      <c r="K206" s="29">
        <f>IF(Amortizacion_Capital_Mensual!L206&gt;0, ROUND(J206 - Amortizacion_Capital_Mensual!L206, 2), "")</f>
        <v/>
      </c>
      <c r="L206" s="29">
        <f>IF(Amortizacion_Capital_Mensual!M206&gt;0, ROUND(K206 - Amortizacion_Capital_Mensual!M206, 2), "")</f>
        <v/>
      </c>
      <c r="M206" s="29">
        <f>IF(Amortizacion_Capital_Mensual!N206&gt;0, ROUND(L206 - Amortizacion_Capital_Mensual!N206, 2), "")</f>
        <v/>
      </c>
      <c r="N206" s="29">
        <f>IF(Amortizacion_Capital_Mensual!O206&gt;0, ROUND(M206 - Amortizacion_Capital_Mensual!O206, 2), "")</f>
        <v/>
      </c>
      <c r="O206" s="29">
        <f>IF(Amortizacion_Capital_Mensual!P206&gt;0, ROUND(N206 - Amortizacion_Capital_Mensual!P206, 2), "")</f>
        <v/>
      </c>
      <c r="P206" s="29">
        <f>IF(Amortizacion_Capital_Mensual!Q206&gt;0, ROUND(O206 - Amortizacion_Capital_Mensual!Q206, 2), "")</f>
        <v/>
      </c>
      <c r="Q206" s="29">
        <f>IF(Amortizacion_Capital_Mensual!R206&gt;0, ROUND(P206 - Amortizacion_Capital_Mensual!R206, 2), "")</f>
        <v/>
      </c>
      <c r="R206" s="29">
        <f>IF(Amortizacion_Capital_Mensual!S206&gt;0, ROUND(Q206 - Amortizacion_Capital_Mensual!S206, 2), "")</f>
        <v/>
      </c>
      <c r="S206" s="29">
        <f>IF(Amortizacion_Capital_Mensual!T206&gt;0, ROUND(R206 - Amortizacion_Capital_Mensual!T206, 2), "")</f>
        <v/>
      </c>
      <c r="T206" s="29">
        <f>IF(Amortizacion_Capital_Mensual!U206&gt;0, ROUND(S206 - Amortizacion_Capital_Mensual!U206, 2), "")</f>
        <v/>
      </c>
      <c r="U206" s="29">
        <f>MAX(I206:T206)</f>
        <v/>
      </c>
    </row>
    <row r="207">
      <c r="A207" s="20" t="inlineStr">
        <is>
          <t>0723-0001</t>
        </is>
      </c>
      <c r="B207" s="21" t="inlineStr">
        <is>
          <t>Sandra Inez Velazquez Altamirano</t>
        </is>
      </c>
      <c r="C207" s="21" t="inlineStr">
        <is>
          <t>Sierra Denali</t>
        </is>
      </c>
      <c r="D207" s="20" t="inlineStr">
        <is>
          <t>ACTIVO</t>
        </is>
      </c>
      <c r="E207" s="20" t="inlineStr">
        <is>
          <t>2025-10-17</t>
        </is>
      </c>
      <c r="F207" s="20" t="inlineStr">
        <is>
          <t>2028-10-17</t>
        </is>
      </c>
      <c r="G207" s="22" t="n">
        <v>36</v>
      </c>
      <c r="H207" s="23" t="n">
        <v>1396086.21</v>
      </c>
      <c r="I207" s="23">
        <f>IF(Amortizacion_Capital_Mensual!J207&gt;0, ROUND(1339606.25 - Amortizacion_Capital_Mensual!J207, 2), "")</f>
        <v/>
      </c>
      <c r="J207" s="23">
        <f>IF(Amortizacion_Capital_Mensual!K207&gt;0, ROUND(I207 - Amortizacion_Capital_Mensual!K207, 2), "")</f>
        <v/>
      </c>
      <c r="K207" s="23">
        <f>IF(Amortizacion_Capital_Mensual!L207&gt;0, ROUND(J207 - Amortizacion_Capital_Mensual!L207, 2), "")</f>
        <v/>
      </c>
      <c r="L207" s="23">
        <f>IF(Amortizacion_Capital_Mensual!M207&gt;0, ROUND(K207 - Amortizacion_Capital_Mensual!M207, 2), "")</f>
        <v/>
      </c>
      <c r="M207" s="23">
        <f>IF(Amortizacion_Capital_Mensual!N207&gt;0, ROUND(L207 - Amortizacion_Capital_Mensual!N207, 2), "")</f>
        <v/>
      </c>
      <c r="N207" s="23">
        <f>IF(Amortizacion_Capital_Mensual!O207&gt;0, ROUND(M207 - Amortizacion_Capital_Mensual!O207, 2), "")</f>
        <v/>
      </c>
      <c r="O207" s="23">
        <f>IF(Amortizacion_Capital_Mensual!P207&gt;0, ROUND(N207 - Amortizacion_Capital_Mensual!P207, 2), "")</f>
        <v/>
      </c>
      <c r="P207" s="23">
        <f>IF(Amortizacion_Capital_Mensual!Q207&gt;0, ROUND(O207 - Amortizacion_Capital_Mensual!Q207, 2), "")</f>
        <v/>
      </c>
      <c r="Q207" s="23">
        <f>IF(Amortizacion_Capital_Mensual!R207&gt;0, ROUND(P207 - Amortizacion_Capital_Mensual!R207, 2), "")</f>
        <v/>
      </c>
      <c r="R207" s="23">
        <f>IF(Amortizacion_Capital_Mensual!S207&gt;0, ROUND(Q207 - Amortizacion_Capital_Mensual!S207, 2), "")</f>
        <v/>
      </c>
      <c r="S207" s="23">
        <f>IF(Amortizacion_Capital_Mensual!T207&gt;0, ROUND(R207 - Amortizacion_Capital_Mensual!T207, 2), "")</f>
        <v/>
      </c>
      <c r="T207" s="23">
        <f>IF(Amortizacion_Capital_Mensual!U207&gt;0, ROUND(S207 - Amortizacion_Capital_Mensual!U207, 2), "")</f>
        <v/>
      </c>
      <c r="U207" s="23">
        <f>MAX(I207:T207)</f>
        <v/>
      </c>
    </row>
    <row r="208">
      <c r="A208" s="26" t="inlineStr">
        <is>
          <t>0724-0001</t>
        </is>
      </c>
      <c r="B208" s="27" t="inlineStr">
        <is>
          <t>Victor Merced Brizuela Aguilar</t>
        </is>
      </c>
      <c r="C208" s="27" t="inlineStr">
        <is>
          <t>Tiggo 7 Plus</t>
        </is>
      </c>
      <c r="D208" s="26" t="inlineStr">
        <is>
          <t>ACTIVO</t>
        </is>
      </c>
      <c r="E208" s="26" t="inlineStr">
        <is>
          <t>2025-10-23</t>
        </is>
      </c>
      <c r="F208" s="26" t="inlineStr">
        <is>
          <t>2029-10-23</t>
        </is>
      </c>
      <c r="G208" s="28" t="n">
        <v>48</v>
      </c>
      <c r="H208" s="29" t="n">
        <v>301663.8</v>
      </c>
      <c r="I208" s="29">
        <f>IF(Amortizacion_Capital_Mensual!J208&gt;0, ROUND(293350.12 - Amortizacion_Capital_Mensual!J208, 2), "")</f>
        <v/>
      </c>
      <c r="J208" s="29">
        <f>IF(Amortizacion_Capital_Mensual!K208&gt;0, ROUND(I208 - Amortizacion_Capital_Mensual!K208, 2), "")</f>
        <v/>
      </c>
      <c r="K208" s="29">
        <f>IF(Amortizacion_Capital_Mensual!L208&gt;0, ROUND(J208 - Amortizacion_Capital_Mensual!L208, 2), "")</f>
        <v/>
      </c>
      <c r="L208" s="29">
        <f>IF(Amortizacion_Capital_Mensual!M208&gt;0, ROUND(K208 - Amortizacion_Capital_Mensual!M208, 2), "")</f>
        <v/>
      </c>
      <c r="M208" s="29">
        <f>IF(Amortizacion_Capital_Mensual!N208&gt;0, ROUND(L208 - Amortizacion_Capital_Mensual!N208, 2), "")</f>
        <v/>
      </c>
      <c r="N208" s="29">
        <f>IF(Amortizacion_Capital_Mensual!O208&gt;0, ROUND(M208 - Amortizacion_Capital_Mensual!O208, 2), "")</f>
        <v/>
      </c>
      <c r="O208" s="29">
        <f>IF(Amortizacion_Capital_Mensual!P208&gt;0, ROUND(N208 - Amortizacion_Capital_Mensual!P208, 2), "")</f>
        <v/>
      </c>
      <c r="P208" s="29">
        <f>IF(Amortizacion_Capital_Mensual!Q208&gt;0, ROUND(O208 - Amortizacion_Capital_Mensual!Q208, 2), "")</f>
        <v/>
      </c>
      <c r="Q208" s="29">
        <f>IF(Amortizacion_Capital_Mensual!R208&gt;0, ROUND(P208 - Amortizacion_Capital_Mensual!R208, 2), "")</f>
        <v/>
      </c>
      <c r="R208" s="29">
        <f>IF(Amortizacion_Capital_Mensual!S208&gt;0, ROUND(Q208 - Amortizacion_Capital_Mensual!S208, 2), "")</f>
        <v/>
      </c>
      <c r="S208" s="29">
        <f>IF(Amortizacion_Capital_Mensual!T208&gt;0, ROUND(R208 - Amortizacion_Capital_Mensual!T208, 2), "")</f>
        <v/>
      </c>
      <c r="T208" s="29">
        <f>IF(Amortizacion_Capital_Mensual!U208&gt;0, ROUND(S208 - Amortizacion_Capital_Mensual!U208, 2), "")</f>
        <v/>
      </c>
      <c r="U208" s="29">
        <f>MAX(I208:T208)</f>
        <v/>
      </c>
    </row>
    <row r="209">
      <c r="A209" s="20" t="inlineStr">
        <is>
          <t>0725-0001</t>
        </is>
      </c>
      <c r="B209" s="21" t="inlineStr">
        <is>
          <t>Octavio Cortes Flores</t>
        </is>
      </c>
      <c r="C209" s="21" t="inlineStr">
        <is>
          <t>Rifter Allure</t>
        </is>
      </c>
      <c r="D209" s="20" t="inlineStr">
        <is>
          <t>ACTIVO</t>
        </is>
      </c>
      <c r="E209" s="20" t="inlineStr">
        <is>
          <t>2025-10-29</t>
        </is>
      </c>
      <c r="F209" s="20" t="inlineStr">
        <is>
          <t>2028-10-29</t>
        </is>
      </c>
      <c r="G209" s="22" t="n">
        <v>36</v>
      </c>
      <c r="H209" s="23" t="n">
        <v>324068.97</v>
      </c>
      <c r="I209" s="23">
        <f>IF(Amortizacion_Capital_Mensual!J209&gt;0, ROUND(309284.99 - Amortizacion_Capital_Mensual!J209, 2), "")</f>
        <v/>
      </c>
      <c r="J209" s="23">
        <f>IF(Amortizacion_Capital_Mensual!K209&gt;0, ROUND(I209 - Amortizacion_Capital_Mensual!K209, 2), "")</f>
        <v/>
      </c>
      <c r="K209" s="23">
        <f>IF(Amortizacion_Capital_Mensual!L209&gt;0, ROUND(J209 - Amortizacion_Capital_Mensual!L209, 2), "")</f>
        <v/>
      </c>
      <c r="L209" s="23">
        <f>IF(Amortizacion_Capital_Mensual!M209&gt;0, ROUND(K209 - Amortizacion_Capital_Mensual!M209, 2), "")</f>
        <v/>
      </c>
      <c r="M209" s="23">
        <f>IF(Amortizacion_Capital_Mensual!N209&gt;0, ROUND(L209 - Amortizacion_Capital_Mensual!N209, 2), "")</f>
        <v/>
      </c>
      <c r="N209" s="23">
        <f>IF(Amortizacion_Capital_Mensual!O209&gt;0, ROUND(M209 - Amortizacion_Capital_Mensual!O209, 2), "")</f>
        <v/>
      </c>
      <c r="O209" s="23">
        <f>IF(Amortizacion_Capital_Mensual!P209&gt;0, ROUND(N209 - Amortizacion_Capital_Mensual!P209, 2), "")</f>
        <v/>
      </c>
      <c r="P209" s="23">
        <f>IF(Amortizacion_Capital_Mensual!Q209&gt;0, ROUND(O209 - Amortizacion_Capital_Mensual!Q209, 2), "")</f>
        <v/>
      </c>
      <c r="Q209" s="23">
        <f>IF(Amortizacion_Capital_Mensual!R209&gt;0, ROUND(P209 - Amortizacion_Capital_Mensual!R209, 2), "")</f>
        <v/>
      </c>
      <c r="R209" s="23">
        <f>IF(Amortizacion_Capital_Mensual!S209&gt;0, ROUND(Q209 - Amortizacion_Capital_Mensual!S209, 2), "")</f>
        <v/>
      </c>
      <c r="S209" s="23">
        <f>IF(Amortizacion_Capital_Mensual!T209&gt;0, ROUND(R209 - Amortizacion_Capital_Mensual!T209, 2), "")</f>
        <v/>
      </c>
      <c r="T209" s="23">
        <f>IF(Amortizacion_Capital_Mensual!U209&gt;0, ROUND(S209 - Amortizacion_Capital_Mensual!U209, 2), "")</f>
        <v/>
      </c>
      <c r="U209" s="23">
        <f>MAX(I209:T209)</f>
        <v/>
      </c>
    </row>
    <row r="210">
      <c r="A210" s="26" t="inlineStr">
        <is>
          <t>0726-0001</t>
        </is>
      </c>
      <c r="B210" s="27" t="inlineStr">
        <is>
          <t>Martha Viviana Anguiano Gonzalez</t>
        </is>
      </c>
      <c r="C210" s="27" t="inlineStr">
        <is>
          <t>JT Mojave</t>
        </is>
      </c>
      <c r="D210" s="26" t="inlineStr">
        <is>
          <t>ACTIVO</t>
        </is>
      </c>
      <c r="E210" s="26" t="inlineStr">
        <is>
          <t>2025-10-29</t>
        </is>
      </c>
      <c r="F210" s="26" t="inlineStr">
        <is>
          <t>2029-10-29</t>
        </is>
      </c>
      <c r="G210" s="28" t="n">
        <v>48</v>
      </c>
      <c r="H210" s="29" t="n">
        <v>914163.8</v>
      </c>
      <c r="I210" s="29">
        <f>IF(Amortizacion_Capital_Mensual!J210&gt;0, ROUND(888970.01 - Amortizacion_Capital_Mensual!J210, 2), "")</f>
        <v/>
      </c>
      <c r="J210" s="29">
        <f>IF(Amortizacion_Capital_Mensual!K210&gt;0, ROUND(I210 - Amortizacion_Capital_Mensual!K210, 2), "")</f>
        <v/>
      </c>
      <c r="K210" s="29">
        <f>IF(Amortizacion_Capital_Mensual!L210&gt;0, ROUND(J210 - Amortizacion_Capital_Mensual!L210, 2), "")</f>
        <v/>
      </c>
      <c r="L210" s="29">
        <f>IF(Amortizacion_Capital_Mensual!M210&gt;0, ROUND(K210 - Amortizacion_Capital_Mensual!M210, 2), "")</f>
        <v/>
      </c>
      <c r="M210" s="29">
        <f>IF(Amortizacion_Capital_Mensual!N210&gt;0, ROUND(L210 - Amortizacion_Capital_Mensual!N210, 2), "")</f>
        <v/>
      </c>
      <c r="N210" s="29">
        <f>IF(Amortizacion_Capital_Mensual!O210&gt;0, ROUND(M210 - Amortizacion_Capital_Mensual!O210, 2), "")</f>
        <v/>
      </c>
      <c r="O210" s="29">
        <f>IF(Amortizacion_Capital_Mensual!P210&gt;0, ROUND(N210 - Amortizacion_Capital_Mensual!P210, 2), "")</f>
        <v/>
      </c>
      <c r="P210" s="29">
        <f>IF(Amortizacion_Capital_Mensual!Q210&gt;0, ROUND(O210 - Amortizacion_Capital_Mensual!Q210, 2), "")</f>
        <v/>
      </c>
      <c r="Q210" s="29">
        <f>IF(Amortizacion_Capital_Mensual!R210&gt;0, ROUND(P210 - Amortizacion_Capital_Mensual!R210, 2), "")</f>
        <v/>
      </c>
      <c r="R210" s="29">
        <f>IF(Amortizacion_Capital_Mensual!S210&gt;0, ROUND(Q210 - Amortizacion_Capital_Mensual!S210, 2), "")</f>
        <v/>
      </c>
      <c r="S210" s="29">
        <f>IF(Amortizacion_Capital_Mensual!T210&gt;0, ROUND(R210 - Amortizacion_Capital_Mensual!T210, 2), "")</f>
        <v/>
      </c>
      <c r="T210" s="29">
        <f>IF(Amortizacion_Capital_Mensual!U210&gt;0, ROUND(S210 - Amortizacion_Capital_Mensual!U210, 2), "")</f>
        <v/>
      </c>
      <c r="U210" s="29">
        <f>MAX(I210:T210)</f>
        <v/>
      </c>
    </row>
    <row r="211">
      <c r="A211" s="20" t="inlineStr">
        <is>
          <t>0727-0001</t>
        </is>
      </c>
      <c r="B211" s="21" t="inlineStr">
        <is>
          <t>Edgar Adrian Sainz Vazquez</t>
        </is>
      </c>
      <c r="C211" s="21" t="inlineStr">
        <is>
          <t>1200 Laramie</t>
        </is>
      </c>
      <c r="D211" s="20" t="inlineStr">
        <is>
          <t>ACTIVO</t>
        </is>
      </c>
      <c r="E211" s="20" t="inlineStr">
        <is>
          <t>2025-10-31</t>
        </is>
      </c>
      <c r="F211" s="20" t="inlineStr">
        <is>
          <t>2029-10-31</t>
        </is>
      </c>
      <c r="G211" s="22" t="n">
        <v>48</v>
      </c>
      <c r="H211" s="23" t="n">
        <v>508112.07</v>
      </c>
      <c r="I211" s="23">
        <f>IF(Amortizacion_Capital_Mensual!J211&gt;0, ROUND(493566.68 - Amortizacion_Capital_Mensual!J211, 2), "")</f>
        <v/>
      </c>
      <c r="J211" s="23">
        <f>IF(Amortizacion_Capital_Mensual!K211&gt;0, ROUND(I211 - Amortizacion_Capital_Mensual!K211, 2), "")</f>
        <v/>
      </c>
      <c r="K211" s="23">
        <f>IF(Amortizacion_Capital_Mensual!L211&gt;0, ROUND(J211 - Amortizacion_Capital_Mensual!L211, 2), "")</f>
        <v/>
      </c>
      <c r="L211" s="23">
        <f>IF(Amortizacion_Capital_Mensual!M211&gt;0, ROUND(K211 - Amortizacion_Capital_Mensual!M211, 2), "")</f>
        <v/>
      </c>
      <c r="M211" s="23">
        <f>IF(Amortizacion_Capital_Mensual!N211&gt;0, ROUND(L211 - Amortizacion_Capital_Mensual!N211, 2), "")</f>
        <v/>
      </c>
      <c r="N211" s="23">
        <f>IF(Amortizacion_Capital_Mensual!O211&gt;0, ROUND(M211 - Amortizacion_Capital_Mensual!O211, 2), "")</f>
        <v/>
      </c>
      <c r="O211" s="23">
        <f>IF(Amortizacion_Capital_Mensual!P211&gt;0, ROUND(N211 - Amortizacion_Capital_Mensual!P211, 2), "")</f>
        <v/>
      </c>
      <c r="P211" s="23">
        <f>IF(Amortizacion_Capital_Mensual!Q211&gt;0, ROUND(O211 - Amortizacion_Capital_Mensual!Q211, 2), "")</f>
        <v/>
      </c>
      <c r="Q211" s="23">
        <f>IF(Amortizacion_Capital_Mensual!R211&gt;0, ROUND(P211 - Amortizacion_Capital_Mensual!R211, 2), "")</f>
        <v/>
      </c>
      <c r="R211" s="23">
        <f>IF(Amortizacion_Capital_Mensual!S211&gt;0, ROUND(Q211 - Amortizacion_Capital_Mensual!S211, 2), "")</f>
        <v/>
      </c>
      <c r="S211" s="23">
        <f>IF(Amortizacion_Capital_Mensual!T211&gt;0, ROUND(R211 - Amortizacion_Capital_Mensual!T211, 2), "")</f>
        <v/>
      </c>
      <c r="T211" s="23">
        <f>IF(Amortizacion_Capital_Mensual!U211&gt;0, ROUND(S211 - Amortizacion_Capital_Mensual!U211, 2), "")</f>
        <v/>
      </c>
      <c r="U211" s="23">
        <f>MAX(I211:T211)</f>
        <v/>
      </c>
    </row>
    <row r="212">
      <c r="A212" s="26" t="inlineStr">
        <is>
          <t>0728-0001</t>
        </is>
      </c>
      <c r="B212" s="27" t="inlineStr">
        <is>
          <t>Arrendadora Tequila, S.A. de C.V.</t>
        </is>
      </c>
      <c r="C212" s="27" t="inlineStr">
        <is>
          <t>JEEP 392</t>
        </is>
      </c>
      <c r="D212" s="26" t="inlineStr">
        <is>
          <t>ACTIVO</t>
        </is>
      </c>
      <c r="E212" s="26" t="inlineStr">
        <is>
          <t>2025-11-03</t>
        </is>
      </c>
      <c r="F212" s="26" t="inlineStr">
        <is>
          <t>2028-11-03</t>
        </is>
      </c>
      <c r="G212" s="28" t="n">
        <v>36</v>
      </c>
      <c r="H212" s="29" t="n">
        <v>1494413.79</v>
      </c>
      <c r="I212" s="29">
        <f>IF(Amortizacion_Capital_Mensual!J212&gt;0, ROUND(1449574.74 - Amortizacion_Capital_Mensual!J212, 2), "")</f>
        <v/>
      </c>
      <c r="J212" s="29">
        <f>IF(Amortizacion_Capital_Mensual!K212&gt;0, ROUND(I212 - Amortizacion_Capital_Mensual!K212, 2), "")</f>
        <v/>
      </c>
      <c r="K212" s="29">
        <f>IF(Amortizacion_Capital_Mensual!L212&gt;0, ROUND(J212 - Amortizacion_Capital_Mensual!L212, 2), "")</f>
        <v/>
      </c>
      <c r="L212" s="29">
        <f>IF(Amortizacion_Capital_Mensual!M212&gt;0, ROUND(K212 - Amortizacion_Capital_Mensual!M212, 2), "")</f>
        <v/>
      </c>
      <c r="M212" s="29">
        <f>IF(Amortizacion_Capital_Mensual!N212&gt;0, ROUND(L212 - Amortizacion_Capital_Mensual!N212, 2), "")</f>
        <v/>
      </c>
      <c r="N212" s="29">
        <f>IF(Amortizacion_Capital_Mensual!O212&gt;0, ROUND(M212 - Amortizacion_Capital_Mensual!O212, 2), "")</f>
        <v/>
      </c>
      <c r="O212" s="29">
        <f>IF(Amortizacion_Capital_Mensual!P212&gt;0, ROUND(N212 - Amortizacion_Capital_Mensual!P212, 2), "")</f>
        <v/>
      </c>
      <c r="P212" s="29">
        <f>IF(Amortizacion_Capital_Mensual!Q212&gt;0, ROUND(O212 - Amortizacion_Capital_Mensual!Q212, 2), "")</f>
        <v/>
      </c>
      <c r="Q212" s="29">
        <f>IF(Amortizacion_Capital_Mensual!R212&gt;0, ROUND(P212 - Amortizacion_Capital_Mensual!R212, 2), "")</f>
        <v/>
      </c>
      <c r="R212" s="29">
        <f>IF(Amortizacion_Capital_Mensual!S212&gt;0, ROUND(Q212 - Amortizacion_Capital_Mensual!S212, 2), "")</f>
        <v/>
      </c>
      <c r="S212" s="29">
        <f>IF(Amortizacion_Capital_Mensual!T212&gt;0, ROUND(R212 - Amortizacion_Capital_Mensual!T212, 2), "")</f>
        <v/>
      </c>
      <c r="T212" s="29">
        <f>IF(Amortizacion_Capital_Mensual!U212&gt;0, ROUND(S212 - Amortizacion_Capital_Mensual!U212, 2), "")</f>
        <v/>
      </c>
      <c r="U212" s="29">
        <f>MAX(I212:T212)</f>
        <v/>
      </c>
    </row>
    <row r="213">
      <c r="A213" s="20" t="inlineStr">
        <is>
          <t>0729-0001</t>
        </is>
      </c>
      <c r="B213" s="21" t="inlineStr">
        <is>
          <t>Rubén Bravo Hernández</t>
        </is>
      </c>
      <c r="C213" s="21" t="inlineStr">
        <is>
          <t>Mamut T32 DC</t>
        </is>
      </c>
      <c r="D213" s="20" t="inlineStr">
        <is>
          <t>ACTIVO</t>
        </is>
      </c>
      <c r="E213" s="20" t="inlineStr">
        <is>
          <t>2025-11-11</t>
        </is>
      </c>
      <c r="F213" s="20" t="inlineStr">
        <is>
          <t>2028-11-11</t>
        </is>
      </c>
      <c r="G213" s="22" t="n">
        <v>36</v>
      </c>
      <c r="H213" s="23" t="n">
        <v>268868.97</v>
      </c>
      <c r="I213" s="23">
        <f>IF(Amortizacion_Capital_Mensual!J213&gt;0, ROUND(261971.51 - Amortizacion_Capital_Mensual!J213, 2), "")</f>
        <v/>
      </c>
      <c r="J213" s="23">
        <f>IF(Amortizacion_Capital_Mensual!K213&gt;0, ROUND(I213 - Amortizacion_Capital_Mensual!K213, 2), "")</f>
        <v/>
      </c>
      <c r="K213" s="23">
        <f>IF(Amortizacion_Capital_Mensual!L213&gt;0, ROUND(J213 - Amortizacion_Capital_Mensual!L213, 2), "")</f>
        <v/>
      </c>
      <c r="L213" s="23">
        <f>IF(Amortizacion_Capital_Mensual!M213&gt;0, ROUND(K213 - Amortizacion_Capital_Mensual!M213, 2), "")</f>
        <v/>
      </c>
      <c r="M213" s="23">
        <f>IF(Amortizacion_Capital_Mensual!N213&gt;0, ROUND(L213 - Amortizacion_Capital_Mensual!N213, 2), "")</f>
        <v/>
      </c>
      <c r="N213" s="23">
        <f>IF(Amortizacion_Capital_Mensual!O213&gt;0, ROUND(M213 - Amortizacion_Capital_Mensual!O213, 2), "")</f>
        <v/>
      </c>
      <c r="O213" s="23">
        <f>IF(Amortizacion_Capital_Mensual!P213&gt;0, ROUND(N213 - Amortizacion_Capital_Mensual!P213, 2), "")</f>
        <v/>
      </c>
      <c r="P213" s="23">
        <f>IF(Amortizacion_Capital_Mensual!Q213&gt;0, ROUND(O213 - Amortizacion_Capital_Mensual!Q213, 2), "")</f>
        <v/>
      </c>
      <c r="Q213" s="23">
        <f>IF(Amortizacion_Capital_Mensual!R213&gt;0, ROUND(P213 - Amortizacion_Capital_Mensual!R213, 2), "")</f>
        <v/>
      </c>
      <c r="R213" s="23">
        <f>IF(Amortizacion_Capital_Mensual!S213&gt;0, ROUND(Q213 - Amortizacion_Capital_Mensual!S213, 2), "")</f>
        <v/>
      </c>
      <c r="S213" s="23">
        <f>IF(Amortizacion_Capital_Mensual!T213&gt;0, ROUND(R213 - Amortizacion_Capital_Mensual!T213, 2), "")</f>
        <v/>
      </c>
      <c r="T213" s="23">
        <f>IF(Amortizacion_Capital_Mensual!U213&gt;0, ROUND(S213 - Amortizacion_Capital_Mensual!U213, 2), "")</f>
        <v/>
      </c>
      <c r="U213" s="23">
        <f>MAX(I213:T213)</f>
        <v/>
      </c>
    </row>
    <row r="214">
      <c r="A214" s="26" t="inlineStr">
        <is>
          <t>0730-0001</t>
        </is>
      </c>
      <c r="B214" s="27" t="inlineStr">
        <is>
          <t>Karen Manrique Amaya</t>
        </is>
      </c>
      <c r="C214" s="27" t="inlineStr">
        <is>
          <t>Wrangler</t>
        </is>
      </c>
      <c r="D214" s="26" t="inlineStr">
        <is>
          <t>ACTIVO</t>
        </is>
      </c>
      <c r="E214" s="26" t="inlineStr">
        <is>
          <t>2025-11-24</t>
        </is>
      </c>
      <c r="F214" s="26" t="inlineStr">
        <is>
          <t>2028-11-24</t>
        </is>
      </c>
      <c r="G214" s="28" t="n">
        <v>36</v>
      </c>
      <c r="H214" s="29" t="n">
        <v>884068.97</v>
      </c>
      <c r="I214" s="29">
        <f>IF(Amortizacion_Capital_Mensual!J214&gt;0, ROUND(862548.12 - Amortizacion_Capital_Mensual!J214, 2), "")</f>
        <v/>
      </c>
      <c r="J214" s="29">
        <f>IF(Amortizacion_Capital_Mensual!K214&gt;0, ROUND(I214 - Amortizacion_Capital_Mensual!K214, 2), "")</f>
        <v/>
      </c>
      <c r="K214" s="29">
        <f>IF(Amortizacion_Capital_Mensual!L214&gt;0, ROUND(J214 - Amortizacion_Capital_Mensual!L214, 2), "")</f>
        <v/>
      </c>
      <c r="L214" s="29">
        <f>IF(Amortizacion_Capital_Mensual!M214&gt;0, ROUND(K214 - Amortizacion_Capital_Mensual!M214, 2), "")</f>
        <v/>
      </c>
      <c r="M214" s="29">
        <f>IF(Amortizacion_Capital_Mensual!N214&gt;0, ROUND(L214 - Amortizacion_Capital_Mensual!N214, 2), "")</f>
        <v/>
      </c>
      <c r="N214" s="29">
        <f>IF(Amortizacion_Capital_Mensual!O214&gt;0, ROUND(M214 - Amortizacion_Capital_Mensual!O214, 2), "")</f>
        <v/>
      </c>
      <c r="O214" s="29">
        <f>IF(Amortizacion_Capital_Mensual!P214&gt;0, ROUND(N214 - Amortizacion_Capital_Mensual!P214, 2), "")</f>
        <v/>
      </c>
      <c r="P214" s="29">
        <f>IF(Amortizacion_Capital_Mensual!Q214&gt;0, ROUND(O214 - Amortizacion_Capital_Mensual!Q214, 2), "")</f>
        <v/>
      </c>
      <c r="Q214" s="29">
        <f>IF(Amortizacion_Capital_Mensual!R214&gt;0, ROUND(P214 - Amortizacion_Capital_Mensual!R214, 2), "")</f>
        <v/>
      </c>
      <c r="R214" s="29">
        <f>IF(Amortizacion_Capital_Mensual!S214&gt;0, ROUND(Q214 - Amortizacion_Capital_Mensual!S214, 2), "")</f>
        <v/>
      </c>
      <c r="S214" s="29">
        <f>IF(Amortizacion_Capital_Mensual!T214&gt;0, ROUND(R214 - Amortizacion_Capital_Mensual!T214, 2), "")</f>
        <v/>
      </c>
      <c r="T214" s="29">
        <f>IF(Amortizacion_Capital_Mensual!U214&gt;0, ROUND(S214 - Amortizacion_Capital_Mensual!U214, 2), "")</f>
        <v/>
      </c>
      <c r="U214" s="29">
        <f>MAX(I214:T214)</f>
        <v/>
      </c>
    </row>
    <row r="215">
      <c r="A215" s="20" t="inlineStr">
        <is>
          <t>0731-0001</t>
        </is>
      </c>
      <c r="B215" s="21" t="inlineStr">
        <is>
          <t>Tesselar Soluciones, S.A. de C.V.</t>
        </is>
      </c>
      <c r="C215" s="21" t="inlineStr">
        <is>
          <t>Song Plus</t>
        </is>
      </c>
      <c r="D215" s="20" t="inlineStr">
        <is>
          <t>ACTIVO</t>
        </is>
      </c>
      <c r="E215" s="20" t="inlineStr">
        <is>
          <t>2025-11-20</t>
        </is>
      </c>
      <c r="F215" s="20" t="inlineStr">
        <is>
          <t>2028-11-20</t>
        </is>
      </c>
      <c r="G215" s="22" t="n">
        <v>36</v>
      </c>
      <c r="H215" s="23" t="n">
        <v>427991.38</v>
      </c>
      <c r="I215" s="23">
        <f>IF(Amortizacion_Capital_Mensual!J215&gt;0, ROUND(421708.25 - Amortizacion_Capital_Mensual!J215, 2), "")</f>
        <v/>
      </c>
      <c r="J215" s="23">
        <f>IF(Amortizacion_Capital_Mensual!K215&gt;0, ROUND(I215 - Amortizacion_Capital_Mensual!K215, 2), "")</f>
        <v/>
      </c>
      <c r="K215" s="23">
        <f>IF(Amortizacion_Capital_Mensual!L215&gt;0, ROUND(J215 - Amortizacion_Capital_Mensual!L215, 2), "")</f>
        <v/>
      </c>
      <c r="L215" s="23">
        <f>IF(Amortizacion_Capital_Mensual!M215&gt;0, ROUND(K215 - Amortizacion_Capital_Mensual!M215, 2), "")</f>
        <v/>
      </c>
      <c r="M215" s="23">
        <f>IF(Amortizacion_Capital_Mensual!N215&gt;0, ROUND(L215 - Amortizacion_Capital_Mensual!N215, 2), "")</f>
        <v/>
      </c>
      <c r="N215" s="23">
        <f>IF(Amortizacion_Capital_Mensual!O215&gt;0, ROUND(M215 - Amortizacion_Capital_Mensual!O215, 2), "")</f>
        <v/>
      </c>
      <c r="O215" s="23">
        <f>IF(Amortizacion_Capital_Mensual!P215&gt;0, ROUND(N215 - Amortizacion_Capital_Mensual!P215, 2), "")</f>
        <v/>
      </c>
      <c r="P215" s="23">
        <f>IF(Amortizacion_Capital_Mensual!Q215&gt;0, ROUND(O215 - Amortizacion_Capital_Mensual!Q215, 2), "")</f>
        <v/>
      </c>
      <c r="Q215" s="23">
        <f>IF(Amortizacion_Capital_Mensual!R215&gt;0, ROUND(P215 - Amortizacion_Capital_Mensual!R215, 2), "")</f>
        <v/>
      </c>
      <c r="R215" s="23">
        <f>IF(Amortizacion_Capital_Mensual!S215&gt;0, ROUND(Q215 - Amortizacion_Capital_Mensual!S215, 2), "")</f>
        <v/>
      </c>
      <c r="S215" s="23">
        <f>IF(Amortizacion_Capital_Mensual!T215&gt;0, ROUND(R215 - Amortizacion_Capital_Mensual!T215, 2), "")</f>
        <v/>
      </c>
      <c r="T215" s="23">
        <f>IF(Amortizacion_Capital_Mensual!U215&gt;0, ROUND(S215 - Amortizacion_Capital_Mensual!U215, 2), "")</f>
        <v/>
      </c>
      <c r="U215" s="23">
        <f>MAX(I215:T215)</f>
        <v/>
      </c>
    </row>
    <row r="216">
      <c r="A216" s="26" t="inlineStr">
        <is>
          <t>0731-0002</t>
        </is>
      </c>
      <c r="B216" s="27" t="inlineStr">
        <is>
          <t>Tesselar Soluciones, S.A. de C.V.</t>
        </is>
      </c>
      <c r="C216" s="27" t="inlineStr">
        <is>
          <t>Arona Style</t>
        </is>
      </c>
      <c r="D216" s="26" t="inlineStr">
        <is>
          <t>ACTIVO</t>
        </is>
      </c>
      <c r="E216" s="26" t="inlineStr">
        <is>
          <t>2025-12-26</t>
        </is>
      </c>
      <c r="F216" s="26" t="inlineStr">
        <is>
          <t>2029-12-26</t>
        </is>
      </c>
      <c r="G216" s="28" t="n">
        <v>48</v>
      </c>
      <c r="H216" s="29" t="n">
        <v>199987.07</v>
      </c>
      <c r="I216" s="29">
        <f>IF(Amortizacion_Capital_Mensual!J216&gt;0, ROUND(199062.57 - Amortizacion_Capital_Mensual!J216, 2), "")</f>
        <v/>
      </c>
      <c r="J216" s="29">
        <f>IF(Amortizacion_Capital_Mensual!K216&gt;0, ROUND(I216 - Amortizacion_Capital_Mensual!K216, 2), "")</f>
        <v/>
      </c>
      <c r="K216" s="29">
        <f>IF(Amortizacion_Capital_Mensual!L216&gt;0, ROUND(J216 - Amortizacion_Capital_Mensual!L216, 2), "")</f>
        <v/>
      </c>
      <c r="L216" s="29">
        <f>IF(Amortizacion_Capital_Mensual!M216&gt;0, ROUND(K216 - Amortizacion_Capital_Mensual!M216, 2), "")</f>
        <v/>
      </c>
      <c r="M216" s="29">
        <f>IF(Amortizacion_Capital_Mensual!N216&gt;0, ROUND(L216 - Amortizacion_Capital_Mensual!N216, 2), "")</f>
        <v/>
      </c>
      <c r="N216" s="29">
        <f>IF(Amortizacion_Capital_Mensual!O216&gt;0, ROUND(M216 - Amortizacion_Capital_Mensual!O216, 2), "")</f>
        <v/>
      </c>
      <c r="O216" s="29">
        <f>IF(Amortizacion_Capital_Mensual!P216&gt;0, ROUND(N216 - Amortizacion_Capital_Mensual!P216, 2), "")</f>
        <v/>
      </c>
      <c r="P216" s="29">
        <f>IF(Amortizacion_Capital_Mensual!Q216&gt;0, ROUND(O216 - Amortizacion_Capital_Mensual!Q216, 2), "")</f>
        <v/>
      </c>
      <c r="Q216" s="29">
        <f>IF(Amortizacion_Capital_Mensual!R216&gt;0, ROUND(P216 - Amortizacion_Capital_Mensual!R216, 2), "")</f>
        <v/>
      </c>
      <c r="R216" s="29">
        <f>IF(Amortizacion_Capital_Mensual!S216&gt;0, ROUND(Q216 - Amortizacion_Capital_Mensual!S216, 2), "")</f>
        <v/>
      </c>
      <c r="S216" s="29">
        <f>IF(Amortizacion_Capital_Mensual!T216&gt;0, ROUND(R216 - Amortizacion_Capital_Mensual!T216, 2), "")</f>
        <v/>
      </c>
      <c r="T216" s="29">
        <f>IF(Amortizacion_Capital_Mensual!U216&gt;0, ROUND(S216 - Amortizacion_Capital_Mensual!U216, 2), "")</f>
        <v/>
      </c>
      <c r="U216" s="29">
        <f>MAX(I216:T216)</f>
        <v/>
      </c>
    </row>
    <row r="217">
      <c r="A217" s="20" t="inlineStr">
        <is>
          <t>0732-0001</t>
        </is>
      </c>
      <c r="B217" s="21" t="inlineStr">
        <is>
          <t>Koonol Food Traders, S.A. de C.V.</t>
        </is>
      </c>
      <c r="C217" s="21" t="inlineStr">
        <is>
          <t>K4 Turbo</t>
        </is>
      </c>
      <c r="D217" s="20" t="inlineStr">
        <is>
          <t>ACTIVO</t>
        </is>
      </c>
      <c r="E217" s="20" t="inlineStr">
        <is>
          <t>2025-11-26</t>
        </is>
      </c>
      <c r="F217" s="20" t="inlineStr">
        <is>
          <t>2028-11-26</t>
        </is>
      </c>
      <c r="G217" s="22" t="n">
        <v>36</v>
      </c>
      <c r="H217" s="23" t="n">
        <v>323262.93</v>
      </c>
      <c r="I217" s="23">
        <f>IF(Amortizacion_Capital_Mensual!J217&gt;0, ROUND(318177.68 - Amortizacion_Capital_Mensual!J217, 2), "")</f>
        <v/>
      </c>
      <c r="J217" s="23">
        <f>IF(Amortizacion_Capital_Mensual!K217&gt;0, ROUND(I217 - Amortizacion_Capital_Mensual!K217, 2), "")</f>
        <v/>
      </c>
      <c r="K217" s="23">
        <f>IF(Amortizacion_Capital_Mensual!L217&gt;0, ROUND(J217 - Amortizacion_Capital_Mensual!L217, 2), "")</f>
        <v/>
      </c>
      <c r="L217" s="23">
        <f>IF(Amortizacion_Capital_Mensual!M217&gt;0, ROUND(K217 - Amortizacion_Capital_Mensual!M217, 2), "")</f>
        <v/>
      </c>
      <c r="M217" s="23">
        <f>IF(Amortizacion_Capital_Mensual!N217&gt;0, ROUND(L217 - Amortizacion_Capital_Mensual!N217, 2), "")</f>
        <v/>
      </c>
      <c r="N217" s="23">
        <f>IF(Amortizacion_Capital_Mensual!O217&gt;0, ROUND(M217 - Amortizacion_Capital_Mensual!O217, 2), "")</f>
        <v/>
      </c>
      <c r="O217" s="23">
        <f>IF(Amortizacion_Capital_Mensual!P217&gt;0, ROUND(N217 - Amortizacion_Capital_Mensual!P217, 2), "")</f>
        <v/>
      </c>
      <c r="P217" s="23">
        <f>IF(Amortizacion_Capital_Mensual!Q217&gt;0, ROUND(O217 - Amortizacion_Capital_Mensual!Q217, 2), "")</f>
        <v/>
      </c>
      <c r="Q217" s="23">
        <f>IF(Amortizacion_Capital_Mensual!R217&gt;0, ROUND(P217 - Amortizacion_Capital_Mensual!R217, 2), "")</f>
        <v/>
      </c>
      <c r="R217" s="23">
        <f>IF(Amortizacion_Capital_Mensual!S217&gt;0, ROUND(Q217 - Amortizacion_Capital_Mensual!S217, 2), "")</f>
        <v/>
      </c>
      <c r="S217" s="23">
        <f>IF(Amortizacion_Capital_Mensual!T217&gt;0, ROUND(R217 - Amortizacion_Capital_Mensual!T217, 2), "")</f>
        <v/>
      </c>
      <c r="T217" s="23">
        <f>IF(Amortizacion_Capital_Mensual!U217&gt;0, ROUND(S217 - Amortizacion_Capital_Mensual!U217, 2), "")</f>
        <v/>
      </c>
      <c r="U217" s="23">
        <f>MAX(I217:T217)</f>
        <v/>
      </c>
    </row>
    <row r="218">
      <c r="A218" s="26" t="inlineStr">
        <is>
          <t>0733-0001</t>
        </is>
      </c>
      <c r="B218" s="27" t="inlineStr">
        <is>
          <t>Alejandro Arias Maldonado</t>
        </is>
      </c>
      <c r="C218" s="27" t="inlineStr">
        <is>
          <t>Wrangler</t>
        </is>
      </c>
      <c r="D218" s="26" t="inlineStr">
        <is>
          <t>ACTIVO</t>
        </is>
      </c>
      <c r="E218" s="26" t="inlineStr">
        <is>
          <t>2025-11-28</t>
        </is>
      </c>
      <c r="F218" s="26" t="inlineStr">
        <is>
          <t>2029-11-28</t>
        </is>
      </c>
      <c r="G218" s="28" t="n">
        <v>48</v>
      </c>
      <c r="H218" s="29" t="n">
        <v>736750</v>
      </c>
      <c r="I218" s="29">
        <f>IF(Amortizacion_Capital_Mensual!J218&gt;0, ROUND(723394.41 - Amortizacion_Capital_Mensual!J218, 2), "")</f>
        <v/>
      </c>
      <c r="J218" s="29">
        <f>IF(Amortizacion_Capital_Mensual!K218&gt;0, ROUND(I218 - Amortizacion_Capital_Mensual!K218, 2), "")</f>
        <v/>
      </c>
      <c r="K218" s="29">
        <f>IF(Amortizacion_Capital_Mensual!L218&gt;0, ROUND(J218 - Amortizacion_Capital_Mensual!L218, 2), "")</f>
        <v/>
      </c>
      <c r="L218" s="29">
        <f>IF(Amortizacion_Capital_Mensual!M218&gt;0, ROUND(K218 - Amortizacion_Capital_Mensual!M218, 2), "")</f>
        <v/>
      </c>
      <c r="M218" s="29">
        <f>IF(Amortizacion_Capital_Mensual!N218&gt;0, ROUND(L218 - Amortizacion_Capital_Mensual!N218, 2), "")</f>
        <v/>
      </c>
      <c r="N218" s="29">
        <f>IF(Amortizacion_Capital_Mensual!O218&gt;0, ROUND(M218 - Amortizacion_Capital_Mensual!O218, 2), "")</f>
        <v/>
      </c>
      <c r="O218" s="29">
        <f>IF(Amortizacion_Capital_Mensual!P218&gt;0, ROUND(N218 - Amortizacion_Capital_Mensual!P218, 2), "")</f>
        <v/>
      </c>
      <c r="P218" s="29">
        <f>IF(Amortizacion_Capital_Mensual!Q218&gt;0, ROUND(O218 - Amortizacion_Capital_Mensual!Q218, 2), "")</f>
        <v/>
      </c>
      <c r="Q218" s="29">
        <f>IF(Amortizacion_Capital_Mensual!R218&gt;0, ROUND(P218 - Amortizacion_Capital_Mensual!R218, 2), "")</f>
        <v/>
      </c>
      <c r="R218" s="29">
        <f>IF(Amortizacion_Capital_Mensual!S218&gt;0, ROUND(Q218 - Amortizacion_Capital_Mensual!S218, 2), "")</f>
        <v/>
      </c>
      <c r="S218" s="29">
        <f>IF(Amortizacion_Capital_Mensual!T218&gt;0, ROUND(R218 - Amortizacion_Capital_Mensual!T218, 2), "")</f>
        <v/>
      </c>
      <c r="T218" s="29">
        <f>IF(Amortizacion_Capital_Mensual!U218&gt;0, ROUND(S218 - Amortizacion_Capital_Mensual!U218, 2), "")</f>
        <v/>
      </c>
      <c r="U218" s="29">
        <f>MAX(I218:T218)</f>
        <v/>
      </c>
    </row>
    <row r="219">
      <c r="A219" s="20" t="inlineStr">
        <is>
          <t>0734-0001</t>
        </is>
      </c>
      <c r="B219" s="21" t="inlineStr">
        <is>
          <t>Nutrientes Agricolas de Colima, S. de R.L. de C.V.</t>
        </is>
      </c>
      <c r="C219" s="21" t="inlineStr">
        <is>
          <t>1200 TRADESMAN RC</t>
        </is>
      </c>
      <c r="D219" s="20" t="inlineStr">
        <is>
          <t>ACTIVO</t>
        </is>
      </c>
      <c r="E219" s="20" t="inlineStr">
        <is>
          <t>2026-01-06</t>
        </is>
      </c>
      <c r="F219" s="20" t="inlineStr">
        <is>
          <t>2029-01-06</t>
        </is>
      </c>
      <c r="G219" s="22" t="n">
        <v>36</v>
      </c>
      <c r="H219" s="23" t="n">
        <v>313724.14</v>
      </c>
      <c r="I219" s="23">
        <f>IF(Amortizacion_Capital_Mensual!J219&gt;0, ROUND($H219 - Amortizacion_Capital_Mensual!J219, 2), "")</f>
        <v/>
      </c>
      <c r="J219" s="23">
        <f>IF(Amortizacion_Capital_Mensual!K219&gt;0, ROUND(I219 - Amortizacion_Capital_Mensual!K219, 2), "")</f>
        <v/>
      </c>
      <c r="K219" s="23">
        <f>IF(Amortizacion_Capital_Mensual!L219&gt;0, ROUND(J219 - Amortizacion_Capital_Mensual!L219, 2), "")</f>
        <v/>
      </c>
      <c r="L219" s="23">
        <f>IF(Amortizacion_Capital_Mensual!M219&gt;0, ROUND(K219 - Amortizacion_Capital_Mensual!M219, 2), "")</f>
        <v/>
      </c>
      <c r="M219" s="23">
        <f>IF(Amortizacion_Capital_Mensual!N219&gt;0, ROUND(L219 - Amortizacion_Capital_Mensual!N219, 2), "")</f>
        <v/>
      </c>
      <c r="N219" s="23">
        <f>IF(Amortizacion_Capital_Mensual!O219&gt;0, ROUND(M219 - Amortizacion_Capital_Mensual!O219, 2), "")</f>
        <v/>
      </c>
      <c r="O219" s="23">
        <f>IF(Amortizacion_Capital_Mensual!P219&gt;0, ROUND(N219 - Amortizacion_Capital_Mensual!P219, 2), "")</f>
        <v/>
      </c>
      <c r="P219" s="23">
        <f>IF(Amortizacion_Capital_Mensual!Q219&gt;0, ROUND(O219 - Amortizacion_Capital_Mensual!Q219, 2), "")</f>
        <v/>
      </c>
      <c r="Q219" s="23">
        <f>IF(Amortizacion_Capital_Mensual!R219&gt;0, ROUND(P219 - Amortizacion_Capital_Mensual!R219, 2), "")</f>
        <v/>
      </c>
      <c r="R219" s="23">
        <f>IF(Amortizacion_Capital_Mensual!S219&gt;0, ROUND(Q219 - Amortizacion_Capital_Mensual!S219, 2), "")</f>
        <v/>
      </c>
      <c r="S219" s="23">
        <f>IF(Amortizacion_Capital_Mensual!T219&gt;0, ROUND(R219 - Amortizacion_Capital_Mensual!T219, 2), "")</f>
        <v/>
      </c>
      <c r="T219" s="23">
        <f>IF(Amortizacion_Capital_Mensual!U219&gt;0, ROUND(S219 - Amortizacion_Capital_Mensual!U219, 2), "")</f>
        <v/>
      </c>
      <c r="U219" s="23">
        <f>MAX(I219:T219)</f>
        <v/>
      </c>
    </row>
    <row r="220">
      <c r="A220" s="26" t="inlineStr">
        <is>
          <t>0734-0002</t>
        </is>
      </c>
      <c r="B220" s="27" t="inlineStr">
        <is>
          <t>Nutrientes Agricolas de Colima, S. de R.L. de C.V.</t>
        </is>
      </c>
      <c r="C220" s="27" t="inlineStr">
        <is>
          <t>1200 TRADESMAN CHASIS CABINA</t>
        </is>
      </c>
      <c r="D220" s="26" t="inlineStr">
        <is>
          <t>ACTIVO</t>
        </is>
      </c>
      <c r="E220" s="26" t="inlineStr">
        <is>
          <t>2026-01-12</t>
        </is>
      </c>
      <c r="F220" s="26" t="inlineStr">
        <is>
          <t>2029-01-12</t>
        </is>
      </c>
      <c r="G220" s="28" t="n">
        <v>36</v>
      </c>
      <c r="H220" s="29" t="n">
        <v>339475.86</v>
      </c>
      <c r="I220" s="29">
        <f>IF(Amortizacion_Capital_Mensual!J220&gt;0, ROUND($H220 - Amortizacion_Capital_Mensual!J220, 2), "")</f>
        <v/>
      </c>
      <c r="J220" s="29">
        <f>IF(Amortizacion_Capital_Mensual!K220&gt;0, ROUND(I220 - Amortizacion_Capital_Mensual!K220, 2), "")</f>
        <v/>
      </c>
      <c r="K220" s="29">
        <f>IF(Amortizacion_Capital_Mensual!L220&gt;0, ROUND(J220 - Amortizacion_Capital_Mensual!L220, 2), "")</f>
        <v/>
      </c>
      <c r="L220" s="29">
        <f>IF(Amortizacion_Capital_Mensual!M220&gt;0, ROUND(K220 - Amortizacion_Capital_Mensual!M220, 2), "")</f>
        <v/>
      </c>
      <c r="M220" s="29">
        <f>IF(Amortizacion_Capital_Mensual!N220&gt;0, ROUND(L220 - Amortizacion_Capital_Mensual!N220, 2), "")</f>
        <v/>
      </c>
      <c r="N220" s="29">
        <f>IF(Amortizacion_Capital_Mensual!O220&gt;0, ROUND(M220 - Amortizacion_Capital_Mensual!O220, 2), "")</f>
        <v/>
      </c>
      <c r="O220" s="29">
        <f>IF(Amortizacion_Capital_Mensual!P220&gt;0, ROUND(N220 - Amortizacion_Capital_Mensual!P220, 2), "")</f>
        <v/>
      </c>
      <c r="P220" s="29">
        <f>IF(Amortizacion_Capital_Mensual!Q220&gt;0, ROUND(O220 - Amortizacion_Capital_Mensual!Q220, 2), "")</f>
        <v/>
      </c>
      <c r="Q220" s="29">
        <f>IF(Amortizacion_Capital_Mensual!R220&gt;0, ROUND(P220 - Amortizacion_Capital_Mensual!R220, 2), "")</f>
        <v/>
      </c>
      <c r="R220" s="29">
        <f>IF(Amortizacion_Capital_Mensual!S220&gt;0, ROUND(Q220 - Amortizacion_Capital_Mensual!S220, 2), "")</f>
        <v/>
      </c>
      <c r="S220" s="29">
        <f>IF(Amortizacion_Capital_Mensual!T220&gt;0, ROUND(R220 - Amortizacion_Capital_Mensual!T220, 2), "")</f>
        <v/>
      </c>
      <c r="T220" s="29">
        <f>IF(Amortizacion_Capital_Mensual!U220&gt;0, ROUND(S220 - Amortizacion_Capital_Mensual!U220, 2), "")</f>
        <v/>
      </c>
      <c r="U220" s="29">
        <f>MAX(I220:T220)</f>
        <v/>
      </c>
    </row>
    <row r="221">
      <c r="A221" s="20" t="inlineStr">
        <is>
          <t>0735-0001</t>
        </is>
      </c>
      <c r="B221" s="21" t="inlineStr">
        <is>
          <t>Francisco Zepeda Covarrubias</t>
        </is>
      </c>
      <c r="C221" s="21" t="inlineStr">
        <is>
          <t>Territory Trend 1.5L Hibrido</t>
        </is>
      </c>
      <c r="D221" s="20" t="inlineStr">
        <is>
          <t>ACTIVO</t>
        </is>
      </c>
      <c r="E221" s="20" t="inlineStr">
        <is>
          <t>2025-12-04</t>
        </is>
      </c>
      <c r="F221" s="20" t="inlineStr">
        <is>
          <t>2028-12-04</t>
        </is>
      </c>
      <c r="G221" s="22" t="n">
        <v>36</v>
      </c>
      <c r="H221" s="23" t="n">
        <v>482689.66</v>
      </c>
      <c r="I221" s="23">
        <f>IF(Amortizacion_Capital_Mensual!J221&gt;0, ROUND(475548.15 - Amortizacion_Capital_Mensual!J221, 2), "")</f>
        <v/>
      </c>
      <c r="J221" s="23">
        <f>IF(Amortizacion_Capital_Mensual!K221&gt;0, ROUND(I221 - Amortizacion_Capital_Mensual!K221, 2), "")</f>
        <v/>
      </c>
      <c r="K221" s="23">
        <f>IF(Amortizacion_Capital_Mensual!L221&gt;0, ROUND(J221 - Amortizacion_Capital_Mensual!L221, 2), "")</f>
        <v/>
      </c>
      <c r="L221" s="23">
        <f>IF(Amortizacion_Capital_Mensual!M221&gt;0, ROUND(K221 - Amortizacion_Capital_Mensual!M221, 2), "")</f>
        <v/>
      </c>
      <c r="M221" s="23">
        <f>IF(Amortizacion_Capital_Mensual!N221&gt;0, ROUND(L221 - Amortizacion_Capital_Mensual!N221, 2), "")</f>
        <v/>
      </c>
      <c r="N221" s="23">
        <f>IF(Amortizacion_Capital_Mensual!O221&gt;0, ROUND(M221 - Amortizacion_Capital_Mensual!O221, 2), "")</f>
        <v/>
      </c>
      <c r="O221" s="23">
        <f>IF(Amortizacion_Capital_Mensual!P221&gt;0, ROUND(N221 - Amortizacion_Capital_Mensual!P221, 2), "")</f>
        <v/>
      </c>
      <c r="P221" s="23">
        <f>IF(Amortizacion_Capital_Mensual!Q221&gt;0, ROUND(O221 - Amortizacion_Capital_Mensual!Q221, 2), "")</f>
        <v/>
      </c>
      <c r="Q221" s="23">
        <f>IF(Amortizacion_Capital_Mensual!R221&gt;0, ROUND(P221 - Amortizacion_Capital_Mensual!R221, 2), "")</f>
        <v/>
      </c>
      <c r="R221" s="23">
        <f>IF(Amortizacion_Capital_Mensual!S221&gt;0, ROUND(Q221 - Amortizacion_Capital_Mensual!S221, 2), "")</f>
        <v/>
      </c>
      <c r="S221" s="23">
        <f>IF(Amortizacion_Capital_Mensual!T221&gt;0, ROUND(R221 - Amortizacion_Capital_Mensual!T221, 2), "")</f>
        <v/>
      </c>
      <c r="T221" s="23">
        <f>IF(Amortizacion_Capital_Mensual!U221&gt;0, ROUND(S221 - Amortizacion_Capital_Mensual!U221, 2), "")</f>
        <v/>
      </c>
      <c r="U221" s="23">
        <f>MAX(I221:T221)</f>
        <v/>
      </c>
    </row>
    <row r="222">
      <c r="A222" s="26" t="inlineStr">
        <is>
          <t>0736-0001</t>
        </is>
      </c>
      <c r="B222" s="27" t="inlineStr">
        <is>
          <t>Industrial Castillo de Tequila S.A. de C.V.</t>
        </is>
      </c>
      <c r="C222" s="27" t="inlineStr">
        <is>
          <t>700 TRADESMAN CREW CAB</t>
        </is>
      </c>
      <c r="D222" s="26" t="inlineStr">
        <is>
          <t>ACTIVO</t>
        </is>
      </c>
      <c r="E222" s="26" t="inlineStr">
        <is>
          <t>2025-12-11</t>
        </is>
      </c>
      <c r="F222" s="26" t="inlineStr">
        <is>
          <t>2029-12-11</t>
        </is>
      </c>
      <c r="G222" s="28" t="n">
        <v>48</v>
      </c>
      <c r="H222" s="29" t="n">
        <v>181824.83</v>
      </c>
      <c r="I222" s="29">
        <f>IF(Amortizacion_Capital_Mensual!J222&gt;0, ROUND(180483.79 - Amortizacion_Capital_Mensual!J222, 2), "")</f>
        <v/>
      </c>
      <c r="J222" s="29">
        <f>IF(Amortizacion_Capital_Mensual!K222&gt;0, ROUND(I222 - Amortizacion_Capital_Mensual!K222, 2), "")</f>
        <v/>
      </c>
      <c r="K222" s="29">
        <f>IF(Amortizacion_Capital_Mensual!L222&gt;0, ROUND(J222 - Amortizacion_Capital_Mensual!L222, 2), "")</f>
        <v/>
      </c>
      <c r="L222" s="29">
        <f>IF(Amortizacion_Capital_Mensual!M222&gt;0, ROUND(K222 - Amortizacion_Capital_Mensual!M222, 2), "")</f>
        <v/>
      </c>
      <c r="M222" s="29">
        <f>IF(Amortizacion_Capital_Mensual!N222&gt;0, ROUND(L222 - Amortizacion_Capital_Mensual!N222, 2), "")</f>
        <v/>
      </c>
      <c r="N222" s="29">
        <f>IF(Amortizacion_Capital_Mensual!O222&gt;0, ROUND(M222 - Amortizacion_Capital_Mensual!O222, 2), "")</f>
        <v/>
      </c>
      <c r="O222" s="29">
        <f>IF(Amortizacion_Capital_Mensual!P222&gt;0, ROUND(N222 - Amortizacion_Capital_Mensual!P222, 2), "")</f>
        <v/>
      </c>
      <c r="P222" s="29">
        <f>IF(Amortizacion_Capital_Mensual!Q222&gt;0, ROUND(O222 - Amortizacion_Capital_Mensual!Q222, 2), "")</f>
        <v/>
      </c>
      <c r="Q222" s="29">
        <f>IF(Amortizacion_Capital_Mensual!R222&gt;0, ROUND(P222 - Amortizacion_Capital_Mensual!R222, 2), "")</f>
        <v/>
      </c>
      <c r="R222" s="29">
        <f>IF(Amortizacion_Capital_Mensual!S222&gt;0, ROUND(Q222 - Amortizacion_Capital_Mensual!S222, 2), "")</f>
        <v/>
      </c>
      <c r="S222" s="29">
        <f>IF(Amortizacion_Capital_Mensual!T222&gt;0, ROUND(R222 - Amortizacion_Capital_Mensual!T222, 2), "")</f>
        <v/>
      </c>
      <c r="T222" s="29">
        <f>IF(Amortizacion_Capital_Mensual!U222&gt;0, ROUND(S222 - Amortizacion_Capital_Mensual!U222, 2), "")</f>
        <v/>
      </c>
      <c r="U222" s="29">
        <f>MAX(I222:T222)</f>
        <v/>
      </c>
    </row>
    <row r="223">
      <c r="A223" s="20" t="inlineStr">
        <is>
          <t>0737-0001</t>
        </is>
      </c>
      <c r="B223" s="21" t="inlineStr">
        <is>
          <t>Nicola Briani</t>
        </is>
      </c>
      <c r="C223" s="21" t="inlineStr">
        <is>
          <t>T1 Savage</t>
        </is>
      </c>
      <c r="D223" s="20" t="inlineStr">
        <is>
          <t>ACTIVO</t>
        </is>
      </c>
      <c r="E223" s="20" t="inlineStr">
        <is>
          <t>2025-12-12</t>
        </is>
      </c>
      <c r="F223" s="20" t="inlineStr">
        <is>
          <t>2029-12-12</t>
        </is>
      </c>
      <c r="G223" s="22" t="n">
        <v>48</v>
      </c>
      <c r="H223" s="23" t="n">
        <v>392181.03</v>
      </c>
      <c r="I223" s="23">
        <f>IF(Amortizacion_Capital_Mensual!J223&gt;0, ROUND(388673.59 - Amortizacion_Capital_Mensual!J223, 2), "")</f>
        <v/>
      </c>
      <c r="J223" s="23">
        <f>IF(Amortizacion_Capital_Mensual!K223&gt;0, ROUND(I223 - Amortizacion_Capital_Mensual!K223, 2), "")</f>
        <v/>
      </c>
      <c r="K223" s="23">
        <f>IF(Amortizacion_Capital_Mensual!L223&gt;0, ROUND(J223 - Amortizacion_Capital_Mensual!L223, 2), "")</f>
        <v/>
      </c>
      <c r="L223" s="23">
        <f>IF(Amortizacion_Capital_Mensual!M223&gt;0, ROUND(K223 - Amortizacion_Capital_Mensual!M223, 2), "")</f>
        <v/>
      </c>
      <c r="M223" s="23">
        <f>IF(Amortizacion_Capital_Mensual!N223&gt;0, ROUND(L223 - Amortizacion_Capital_Mensual!N223, 2), "")</f>
        <v/>
      </c>
      <c r="N223" s="23">
        <f>IF(Amortizacion_Capital_Mensual!O223&gt;0, ROUND(M223 - Amortizacion_Capital_Mensual!O223, 2), "")</f>
        <v/>
      </c>
      <c r="O223" s="23">
        <f>IF(Amortizacion_Capital_Mensual!P223&gt;0, ROUND(N223 - Amortizacion_Capital_Mensual!P223, 2), "")</f>
        <v/>
      </c>
      <c r="P223" s="23">
        <f>IF(Amortizacion_Capital_Mensual!Q223&gt;0, ROUND(O223 - Amortizacion_Capital_Mensual!Q223, 2), "")</f>
        <v/>
      </c>
      <c r="Q223" s="23">
        <f>IF(Amortizacion_Capital_Mensual!R223&gt;0, ROUND(P223 - Amortizacion_Capital_Mensual!R223, 2), "")</f>
        <v/>
      </c>
      <c r="R223" s="23">
        <f>IF(Amortizacion_Capital_Mensual!S223&gt;0, ROUND(Q223 - Amortizacion_Capital_Mensual!S223, 2), "")</f>
        <v/>
      </c>
      <c r="S223" s="23">
        <f>IF(Amortizacion_Capital_Mensual!T223&gt;0, ROUND(R223 - Amortizacion_Capital_Mensual!T223, 2), "")</f>
        <v/>
      </c>
      <c r="T223" s="23">
        <f>IF(Amortizacion_Capital_Mensual!U223&gt;0, ROUND(S223 - Amortizacion_Capital_Mensual!U223, 2), "")</f>
        <v/>
      </c>
      <c r="U223" s="23">
        <f>MAX(I223:T223)</f>
        <v/>
      </c>
    </row>
    <row r="224">
      <c r="A224" s="26" t="inlineStr">
        <is>
          <t>0738-0001</t>
        </is>
      </c>
      <c r="B224" s="27" t="inlineStr">
        <is>
          <t>Vinaria Distribución S.A.S.</t>
        </is>
      </c>
      <c r="C224" s="27" t="inlineStr">
        <is>
          <t>700 BIGHORN "S" CREW CAB CVT</t>
        </is>
      </c>
      <c r="D224" s="26" t="inlineStr">
        <is>
          <t>ACTIVO</t>
        </is>
      </c>
      <c r="E224" s="26" t="inlineStr">
        <is>
          <t>2025-12-24</t>
        </is>
      </c>
      <c r="F224" s="26" t="inlineStr">
        <is>
          <t>2028-12-24</t>
        </is>
      </c>
      <c r="G224" s="28" t="n">
        <v>36</v>
      </c>
      <c r="H224" s="29" t="n">
        <v>260025.86</v>
      </c>
      <c r="I224" s="29">
        <f>IF(Amortizacion_Capital_Mensual!J224&gt;0, ROUND(256254.15 - Amortizacion_Capital_Mensual!J224, 2), "")</f>
        <v/>
      </c>
      <c r="J224" s="29">
        <f>IF(Amortizacion_Capital_Mensual!K224&gt;0, ROUND(I224 - Amortizacion_Capital_Mensual!K224, 2), "")</f>
        <v/>
      </c>
      <c r="K224" s="29">
        <f>IF(Amortizacion_Capital_Mensual!L224&gt;0, ROUND(J224 - Amortizacion_Capital_Mensual!L224, 2), "")</f>
        <v/>
      </c>
      <c r="L224" s="29">
        <f>IF(Amortizacion_Capital_Mensual!M224&gt;0, ROUND(K224 - Amortizacion_Capital_Mensual!M224, 2), "")</f>
        <v/>
      </c>
      <c r="M224" s="29">
        <f>IF(Amortizacion_Capital_Mensual!N224&gt;0, ROUND(L224 - Amortizacion_Capital_Mensual!N224, 2), "")</f>
        <v/>
      </c>
      <c r="N224" s="29">
        <f>IF(Amortizacion_Capital_Mensual!O224&gt;0, ROUND(M224 - Amortizacion_Capital_Mensual!O224, 2), "")</f>
        <v/>
      </c>
      <c r="O224" s="29">
        <f>IF(Amortizacion_Capital_Mensual!P224&gt;0, ROUND(N224 - Amortizacion_Capital_Mensual!P224, 2), "")</f>
        <v/>
      </c>
      <c r="P224" s="29">
        <f>IF(Amortizacion_Capital_Mensual!Q224&gt;0, ROUND(O224 - Amortizacion_Capital_Mensual!Q224, 2), "")</f>
        <v/>
      </c>
      <c r="Q224" s="29">
        <f>IF(Amortizacion_Capital_Mensual!R224&gt;0, ROUND(P224 - Amortizacion_Capital_Mensual!R224, 2), "")</f>
        <v/>
      </c>
      <c r="R224" s="29">
        <f>IF(Amortizacion_Capital_Mensual!S224&gt;0, ROUND(Q224 - Amortizacion_Capital_Mensual!S224, 2), "")</f>
        <v/>
      </c>
      <c r="S224" s="29">
        <f>IF(Amortizacion_Capital_Mensual!T224&gt;0, ROUND(R224 - Amortizacion_Capital_Mensual!T224, 2), "")</f>
        <v/>
      </c>
      <c r="T224" s="29">
        <f>IF(Amortizacion_Capital_Mensual!U224&gt;0, ROUND(S224 - Amortizacion_Capital_Mensual!U224, 2), "")</f>
        <v/>
      </c>
      <c r="U224" s="29">
        <f>MAX(I224:T224)</f>
        <v/>
      </c>
    </row>
    <row r="225">
      <c r="A225" s="20" t="inlineStr">
        <is>
          <t>0739-0001</t>
        </is>
      </c>
      <c r="B225" s="21" t="inlineStr">
        <is>
          <t>Miriam Patricia López Flores</t>
        </is>
      </c>
      <c r="C225" s="21" t="inlineStr">
        <is>
          <t>Jeep Wrangler Unlimited Rubicon</t>
        </is>
      </c>
      <c r="D225" s="20" t="inlineStr">
        <is>
          <t>ACTIVO</t>
        </is>
      </c>
      <c r="E225" s="20" t="inlineStr">
        <is>
          <t>2025-12-23</t>
        </is>
      </c>
      <c r="F225" s="20" t="inlineStr">
        <is>
          <t>2029-12-23</t>
        </is>
      </c>
      <c r="G225" s="22" t="n">
        <v>48</v>
      </c>
      <c r="H225" s="23" t="n">
        <v>1054891.73</v>
      </c>
      <c r="I225" s="23">
        <f>IF(Amortizacion_Capital_Mensual!J225&gt;0, ROUND(1045247.9 - Amortizacion_Capital_Mensual!J225, 2), "")</f>
        <v/>
      </c>
      <c r="J225" s="23">
        <f>IF(Amortizacion_Capital_Mensual!K225&gt;0, ROUND(I225 - Amortizacion_Capital_Mensual!K225, 2), "")</f>
        <v/>
      </c>
      <c r="K225" s="23">
        <f>IF(Amortizacion_Capital_Mensual!L225&gt;0, ROUND(J225 - Amortizacion_Capital_Mensual!L225, 2), "")</f>
        <v/>
      </c>
      <c r="L225" s="23">
        <f>IF(Amortizacion_Capital_Mensual!M225&gt;0, ROUND(K225 - Amortizacion_Capital_Mensual!M225, 2), "")</f>
        <v/>
      </c>
      <c r="M225" s="23">
        <f>IF(Amortizacion_Capital_Mensual!N225&gt;0, ROUND(L225 - Amortizacion_Capital_Mensual!N225, 2), "")</f>
        <v/>
      </c>
      <c r="N225" s="23">
        <f>IF(Amortizacion_Capital_Mensual!O225&gt;0, ROUND(M225 - Amortizacion_Capital_Mensual!O225, 2), "")</f>
        <v/>
      </c>
      <c r="O225" s="23">
        <f>IF(Amortizacion_Capital_Mensual!P225&gt;0, ROUND(N225 - Amortizacion_Capital_Mensual!P225, 2), "")</f>
        <v/>
      </c>
      <c r="P225" s="23">
        <f>IF(Amortizacion_Capital_Mensual!Q225&gt;0, ROUND(O225 - Amortizacion_Capital_Mensual!Q225, 2), "")</f>
        <v/>
      </c>
      <c r="Q225" s="23">
        <f>IF(Amortizacion_Capital_Mensual!R225&gt;0, ROUND(P225 - Amortizacion_Capital_Mensual!R225, 2), "")</f>
        <v/>
      </c>
      <c r="R225" s="23">
        <f>IF(Amortizacion_Capital_Mensual!S225&gt;0, ROUND(Q225 - Amortizacion_Capital_Mensual!S225, 2), "")</f>
        <v/>
      </c>
      <c r="S225" s="23">
        <f>IF(Amortizacion_Capital_Mensual!T225&gt;0, ROUND(R225 - Amortizacion_Capital_Mensual!T225, 2), "")</f>
        <v/>
      </c>
      <c r="T225" s="23">
        <f>IF(Amortizacion_Capital_Mensual!U225&gt;0, ROUND(S225 - Amortizacion_Capital_Mensual!U225, 2), "")</f>
        <v/>
      </c>
      <c r="U225" s="23">
        <f>MAX(I225:T225)</f>
        <v/>
      </c>
    </row>
    <row r="226">
      <c r="A226" s="26" t="inlineStr">
        <is>
          <t>0740-0001</t>
        </is>
      </c>
      <c r="B226" s="27" t="inlineStr">
        <is>
          <t>Sanatorio Versalles de Guadalajara</t>
        </is>
      </c>
      <c r="C226" s="27" t="inlineStr">
        <is>
          <t>1200 Bighorn</t>
        </is>
      </c>
      <c r="D226" s="26" t="inlineStr">
        <is>
          <t>ACTIVO</t>
        </is>
      </c>
      <c r="E226" s="26" t="inlineStr">
        <is>
          <t>2025-12-30</t>
        </is>
      </c>
      <c r="F226" s="26" t="inlineStr">
        <is>
          <t>2026-12-30</t>
        </is>
      </c>
      <c r="G226" s="28" t="n">
        <v>12</v>
      </c>
      <c r="H226" s="29" t="n">
        <v>294775.86</v>
      </c>
      <c r="I226" s="29">
        <f>IF(Amortizacion_Capital_Mensual!J226&gt;0, ROUND(276887.4 - Amortizacion_Capital_Mensual!J226, 2), "")</f>
        <v/>
      </c>
      <c r="J226" s="29">
        <f>IF(Amortizacion_Capital_Mensual!K226&gt;0, ROUND(I226 - Amortizacion_Capital_Mensual!K226, 2), "")</f>
        <v/>
      </c>
      <c r="K226" s="29">
        <f>IF(Amortizacion_Capital_Mensual!L226&gt;0, ROUND(J226 - Amortizacion_Capital_Mensual!L226, 2), "")</f>
        <v/>
      </c>
      <c r="L226" s="29">
        <f>IF(Amortizacion_Capital_Mensual!M226&gt;0, ROUND(K226 - Amortizacion_Capital_Mensual!M226, 2), "")</f>
        <v/>
      </c>
      <c r="M226" s="29">
        <f>IF(Amortizacion_Capital_Mensual!N226&gt;0, ROUND(L226 - Amortizacion_Capital_Mensual!N226, 2), "")</f>
        <v/>
      </c>
      <c r="N226" s="29">
        <f>IF(Amortizacion_Capital_Mensual!O226&gt;0, ROUND(M226 - Amortizacion_Capital_Mensual!O226, 2), "")</f>
        <v/>
      </c>
      <c r="O226" s="29">
        <f>IF(Amortizacion_Capital_Mensual!P226&gt;0, ROUND(N226 - Amortizacion_Capital_Mensual!P226, 2), "")</f>
        <v/>
      </c>
      <c r="P226" s="29">
        <f>IF(Amortizacion_Capital_Mensual!Q226&gt;0, ROUND(O226 - Amortizacion_Capital_Mensual!Q226, 2), "")</f>
        <v/>
      </c>
      <c r="Q226" s="29">
        <f>IF(Amortizacion_Capital_Mensual!R226&gt;0, ROUND(P226 - Amortizacion_Capital_Mensual!R226, 2), "")</f>
        <v/>
      </c>
      <c r="R226" s="29">
        <f>IF(Amortizacion_Capital_Mensual!S226&gt;0, ROUND(Q226 - Amortizacion_Capital_Mensual!S226, 2), "")</f>
        <v/>
      </c>
      <c r="S226" s="29">
        <f>IF(Amortizacion_Capital_Mensual!T226&gt;0, ROUND(R226 - Amortizacion_Capital_Mensual!T226, 2), "")</f>
        <v/>
      </c>
      <c r="T226" s="29" t="inlineStr"/>
      <c r="U226" s="29">
        <f>MAX(I226:T226)</f>
        <v/>
      </c>
    </row>
    <row r="227">
      <c r="A227" s="20" t="inlineStr">
        <is>
          <t>0741-0001</t>
        </is>
      </c>
      <c r="B227" s="21" t="inlineStr">
        <is>
          <t>Alvaró Agustin Navarro Castellón</t>
        </is>
      </c>
      <c r="C227" s="21" t="inlineStr">
        <is>
          <t>Manager Furgon L4H2</t>
        </is>
      </c>
      <c r="D227" s="20" t="inlineStr">
        <is>
          <t>ACTIVO</t>
        </is>
      </c>
      <c r="E227" s="20" t="inlineStr">
        <is>
          <t>2025-12-31</t>
        </is>
      </c>
      <c r="F227" s="20" t="inlineStr">
        <is>
          <t>2029-12-31</t>
        </is>
      </c>
      <c r="G227" s="22" t="n">
        <v>48</v>
      </c>
      <c r="H227" s="23" t="n">
        <v>680353.45</v>
      </c>
      <c r="I227" s="23">
        <f>IF(Amortizacion_Capital_Mensual!J227&gt;0, ROUND(675976.61 - Amortizacion_Capital_Mensual!J227, 2), "")</f>
        <v/>
      </c>
      <c r="J227" s="23">
        <f>IF(Amortizacion_Capital_Mensual!K227&gt;0, ROUND(I227 - Amortizacion_Capital_Mensual!K227, 2), "")</f>
        <v/>
      </c>
      <c r="K227" s="23">
        <f>IF(Amortizacion_Capital_Mensual!L227&gt;0, ROUND(J227 - Amortizacion_Capital_Mensual!L227, 2), "")</f>
        <v/>
      </c>
      <c r="L227" s="23">
        <f>IF(Amortizacion_Capital_Mensual!M227&gt;0, ROUND(K227 - Amortizacion_Capital_Mensual!M227, 2), "")</f>
        <v/>
      </c>
      <c r="M227" s="23">
        <f>IF(Amortizacion_Capital_Mensual!N227&gt;0, ROUND(L227 - Amortizacion_Capital_Mensual!N227, 2), "")</f>
        <v/>
      </c>
      <c r="N227" s="23">
        <f>IF(Amortizacion_Capital_Mensual!O227&gt;0, ROUND(M227 - Amortizacion_Capital_Mensual!O227, 2), "")</f>
        <v/>
      </c>
      <c r="O227" s="23">
        <f>IF(Amortizacion_Capital_Mensual!P227&gt;0, ROUND(N227 - Amortizacion_Capital_Mensual!P227, 2), "")</f>
        <v/>
      </c>
      <c r="P227" s="23">
        <f>IF(Amortizacion_Capital_Mensual!Q227&gt;0, ROUND(O227 - Amortizacion_Capital_Mensual!Q227, 2), "")</f>
        <v/>
      </c>
      <c r="Q227" s="23">
        <f>IF(Amortizacion_Capital_Mensual!R227&gt;0, ROUND(P227 - Amortizacion_Capital_Mensual!R227, 2), "")</f>
        <v/>
      </c>
      <c r="R227" s="23">
        <f>IF(Amortizacion_Capital_Mensual!S227&gt;0, ROUND(Q227 - Amortizacion_Capital_Mensual!S227, 2), "")</f>
        <v/>
      </c>
      <c r="S227" s="23">
        <f>IF(Amortizacion_Capital_Mensual!T227&gt;0, ROUND(R227 - Amortizacion_Capital_Mensual!T227, 2), "")</f>
        <v/>
      </c>
      <c r="T227" s="23">
        <f>IF(Amortizacion_Capital_Mensual!U227&gt;0, ROUND(S227 - Amortizacion_Capital_Mensual!U227, 2), "")</f>
        <v/>
      </c>
      <c r="U227" s="23">
        <f>MAX(I227:T227)</f>
        <v/>
      </c>
    </row>
    <row r="228">
      <c r="A228" s="26" t="inlineStr">
        <is>
          <t>0742-0001</t>
        </is>
      </c>
      <c r="B228" s="27" t="inlineStr">
        <is>
          <t>Universidad de las Américas y el Caribe, S.C.</t>
        </is>
      </c>
      <c r="C228" s="27" t="inlineStr">
        <is>
          <t>700 BIGHORN "S" CREW CAB MT</t>
        </is>
      </c>
      <c r="D228" s="26" t="inlineStr">
        <is>
          <t>ACTIVO</t>
        </is>
      </c>
      <c r="E228" s="26" t="inlineStr">
        <is>
          <t>2026-01-07</t>
        </is>
      </c>
      <c r="F228" s="26" t="inlineStr">
        <is>
          <t>2029-01-07</t>
        </is>
      </c>
      <c r="G228" s="28" t="n">
        <v>36</v>
      </c>
      <c r="H228" s="29" t="n">
        <v>296443.71</v>
      </c>
      <c r="I228" s="29">
        <f>IF(Amortizacion_Capital_Mensual!J228&gt;0, ROUND($H228 - Amortizacion_Capital_Mensual!J228, 2), "")</f>
        <v/>
      </c>
      <c r="J228" s="29">
        <f>IF(Amortizacion_Capital_Mensual!K228&gt;0, ROUND(I228 - Amortizacion_Capital_Mensual!K228, 2), "")</f>
        <v/>
      </c>
      <c r="K228" s="29">
        <f>IF(Amortizacion_Capital_Mensual!L228&gt;0, ROUND(J228 - Amortizacion_Capital_Mensual!L228, 2), "")</f>
        <v/>
      </c>
      <c r="L228" s="29">
        <f>IF(Amortizacion_Capital_Mensual!M228&gt;0, ROUND(K228 - Amortizacion_Capital_Mensual!M228, 2), "")</f>
        <v/>
      </c>
      <c r="M228" s="29">
        <f>IF(Amortizacion_Capital_Mensual!N228&gt;0, ROUND(L228 - Amortizacion_Capital_Mensual!N228, 2), "")</f>
        <v/>
      </c>
      <c r="N228" s="29">
        <f>IF(Amortizacion_Capital_Mensual!O228&gt;0, ROUND(M228 - Amortizacion_Capital_Mensual!O228, 2), "")</f>
        <v/>
      </c>
      <c r="O228" s="29">
        <f>IF(Amortizacion_Capital_Mensual!P228&gt;0, ROUND(N228 - Amortizacion_Capital_Mensual!P228, 2), "")</f>
        <v/>
      </c>
      <c r="P228" s="29">
        <f>IF(Amortizacion_Capital_Mensual!Q228&gt;0, ROUND(O228 - Amortizacion_Capital_Mensual!Q228, 2), "")</f>
        <v/>
      </c>
      <c r="Q228" s="29">
        <f>IF(Amortizacion_Capital_Mensual!R228&gt;0, ROUND(P228 - Amortizacion_Capital_Mensual!R228, 2), "")</f>
        <v/>
      </c>
      <c r="R228" s="29">
        <f>IF(Amortizacion_Capital_Mensual!S228&gt;0, ROUND(Q228 - Amortizacion_Capital_Mensual!S228, 2), "")</f>
        <v/>
      </c>
      <c r="S228" s="29">
        <f>IF(Amortizacion_Capital_Mensual!T228&gt;0, ROUND(R228 - Amortizacion_Capital_Mensual!T228, 2), "")</f>
        <v/>
      </c>
      <c r="T228" s="29">
        <f>IF(Amortizacion_Capital_Mensual!U228&gt;0, ROUND(S228 - Amortizacion_Capital_Mensual!U228, 2), "")</f>
        <v/>
      </c>
      <c r="U228" s="29">
        <f>MAX(I228:T228)</f>
        <v/>
      </c>
    </row>
    <row r="229">
      <c r="A229" s="20" t="inlineStr">
        <is>
          <t>0742-0002</t>
        </is>
      </c>
      <c r="B229" s="21" t="inlineStr">
        <is>
          <t>Universidad de las Américas y el Caribe, S.C.</t>
        </is>
      </c>
      <c r="C229" s="21" t="inlineStr">
        <is>
          <t>700 BIGHORN "S" CREW CAB CVT</t>
        </is>
      </c>
      <c r="D229" s="20" t="inlineStr">
        <is>
          <t>ACTIVO</t>
        </is>
      </c>
      <c r="E229" s="20" t="inlineStr">
        <is>
          <t>2026-01-07</t>
        </is>
      </c>
      <c r="F229" s="20" t="inlineStr">
        <is>
          <t>2029-01-07</t>
        </is>
      </c>
      <c r="G229" s="22" t="n">
        <v>36</v>
      </c>
      <c r="H229" s="23" t="n">
        <v>324289.39</v>
      </c>
      <c r="I229" s="23">
        <f>IF(Amortizacion_Capital_Mensual!J229&gt;0, ROUND($H229 - Amortizacion_Capital_Mensual!J229, 2), "")</f>
        <v/>
      </c>
      <c r="J229" s="23">
        <f>IF(Amortizacion_Capital_Mensual!K229&gt;0, ROUND(I229 - Amortizacion_Capital_Mensual!K229, 2), "")</f>
        <v/>
      </c>
      <c r="K229" s="23">
        <f>IF(Amortizacion_Capital_Mensual!L229&gt;0, ROUND(J229 - Amortizacion_Capital_Mensual!L229, 2), "")</f>
        <v/>
      </c>
      <c r="L229" s="23">
        <f>IF(Amortizacion_Capital_Mensual!M229&gt;0, ROUND(K229 - Amortizacion_Capital_Mensual!M229, 2), "")</f>
        <v/>
      </c>
      <c r="M229" s="23">
        <f>IF(Amortizacion_Capital_Mensual!N229&gt;0, ROUND(L229 - Amortizacion_Capital_Mensual!N229, 2), "")</f>
        <v/>
      </c>
      <c r="N229" s="23">
        <f>IF(Amortizacion_Capital_Mensual!O229&gt;0, ROUND(M229 - Amortizacion_Capital_Mensual!O229, 2), "")</f>
        <v/>
      </c>
      <c r="O229" s="23">
        <f>IF(Amortizacion_Capital_Mensual!P229&gt;0, ROUND(N229 - Amortizacion_Capital_Mensual!P229, 2), "")</f>
        <v/>
      </c>
      <c r="P229" s="23">
        <f>IF(Amortizacion_Capital_Mensual!Q229&gt;0, ROUND(O229 - Amortizacion_Capital_Mensual!Q229, 2), "")</f>
        <v/>
      </c>
      <c r="Q229" s="23">
        <f>IF(Amortizacion_Capital_Mensual!R229&gt;0, ROUND(P229 - Amortizacion_Capital_Mensual!R229, 2), "")</f>
        <v/>
      </c>
      <c r="R229" s="23">
        <f>IF(Amortizacion_Capital_Mensual!S229&gt;0, ROUND(Q229 - Amortizacion_Capital_Mensual!S229, 2), "")</f>
        <v/>
      </c>
      <c r="S229" s="23">
        <f>IF(Amortizacion_Capital_Mensual!T229&gt;0, ROUND(R229 - Amortizacion_Capital_Mensual!T229, 2), "")</f>
        <v/>
      </c>
      <c r="T229" s="23">
        <f>IF(Amortizacion_Capital_Mensual!U229&gt;0, ROUND(S229 - Amortizacion_Capital_Mensual!U229, 2), "")</f>
        <v/>
      </c>
      <c r="U229" s="23">
        <f>MAX(I229:T229)</f>
        <v/>
      </c>
    </row>
    <row r="230">
      <c r="A230" s="26" t="inlineStr">
        <is>
          <t>0743-0001</t>
        </is>
      </c>
      <c r="B230" s="27" t="inlineStr">
        <is>
          <t>IEM Soluciones Integrales, S.C.</t>
        </is>
      </c>
      <c r="C230" s="27" t="inlineStr">
        <is>
          <t>1200 BIGHORN CC</t>
        </is>
      </c>
      <c r="D230" s="26" t="inlineStr">
        <is>
          <t>ACTIVO</t>
        </is>
      </c>
      <c r="E230" s="26" t="inlineStr">
        <is>
          <t>2026-01-23</t>
        </is>
      </c>
      <c r="F230" s="26" t="inlineStr">
        <is>
          <t>2029-01-23</t>
        </is>
      </c>
      <c r="G230" s="28" t="n">
        <v>36</v>
      </c>
      <c r="H230" s="29" t="n">
        <v>294775.86</v>
      </c>
      <c r="I230" s="29">
        <f>IF(Amortizacion_Capital_Mensual!J230&gt;0, ROUND($H230 - Amortizacion_Capital_Mensual!J230, 2), "")</f>
        <v/>
      </c>
      <c r="J230" s="29">
        <f>IF(Amortizacion_Capital_Mensual!K230&gt;0, ROUND(I230 - Amortizacion_Capital_Mensual!K230, 2), "")</f>
        <v/>
      </c>
      <c r="K230" s="29">
        <f>IF(Amortizacion_Capital_Mensual!L230&gt;0, ROUND(J230 - Amortizacion_Capital_Mensual!L230, 2), "")</f>
        <v/>
      </c>
      <c r="L230" s="29">
        <f>IF(Amortizacion_Capital_Mensual!M230&gt;0, ROUND(K230 - Amortizacion_Capital_Mensual!M230, 2), "")</f>
        <v/>
      </c>
      <c r="M230" s="29">
        <f>IF(Amortizacion_Capital_Mensual!N230&gt;0, ROUND(L230 - Amortizacion_Capital_Mensual!N230, 2), "")</f>
        <v/>
      </c>
      <c r="N230" s="29">
        <f>IF(Amortizacion_Capital_Mensual!O230&gt;0, ROUND(M230 - Amortizacion_Capital_Mensual!O230, 2), "")</f>
        <v/>
      </c>
      <c r="O230" s="29">
        <f>IF(Amortizacion_Capital_Mensual!P230&gt;0, ROUND(N230 - Amortizacion_Capital_Mensual!P230, 2), "")</f>
        <v/>
      </c>
      <c r="P230" s="29">
        <f>IF(Amortizacion_Capital_Mensual!Q230&gt;0, ROUND(O230 - Amortizacion_Capital_Mensual!Q230, 2), "")</f>
        <v/>
      </c>
      <c r="Q230" s="29">
        <f>IF(Amortizacion_Capital_Mensual!R230&gt;0, ROUND(P230 - Amortizacion_Capital_Mensual!R230, 2), "")</f>
        <v/>
      </c>
      <c r="R230" s="29">
        <f>IF(Amortizacion_Capital_Mensual!S230&gt;0, ROUND(Q230 - Amortizacion_Capital_Mensual!S230, 2), "")</f>
        <v/>
      </c>
      <c r="S230" s="29">
        <f>IF(Amortizacion_Capital_Mensual!T230&gt;0, ROUND(R230 - Amortizacion_Capital_Mensual!T230, 2), "")</f>
        <v/>
      </c>
      <c r="T230" s="29">
        <f>IF(Amortizacion_Capital_Mensual!U230&gt;0, ROUND(S230 - Amortizacion_Capital_Mensual!U230, 2), "")</f>
        <v/>
      </c>
      <c r="U230" s="29">
        <f>MAX(I230:T230)</f>
        <v/>
      </c>
    </row>
    <row r="231">
      <c r="A231" s="20" t="inlineStr">
        <is>
          <t>0744-0001</t>
        </is>
      </c>
      <c r="B231" s="21" t="inlineStr">
        <is>
          <t>H&amp;A Edicon, S.A. de C.V.</t>
        </is>
      </c>
      <c r="C231" s="21" t="inlineStr">
        <is>
          <t>NP 300 Chasis Cabina</t>
        </is>
      </c>
      <c r="D231" s="20" t="inlineStr">
        <is>
          <t>ACTIVO</t>
        </is>
      </c>
      <c r="E231" s="20" t="inlineStr">
        <is>
          <t>2026-01-09</t>
        </is>
      </c>
      <c r="F231" s="20" t="inlineStr">
        <is>
          <t>2028-01-09</t>
        </is>
      </c>
      <c r="G231" s="22" t="n">
        <v>24</v>
      </c>
      <c r="H231" s="23" t="n">
        <v>327913.8</v>
      </c>
      <c r="I231" s="23">
        <f>IF(Amortizacion_Capital_Mensual!J231&gt;0, ROUND($H231 - Amortizacion_Capital_Mensual!J231, 2), "")</f>
        <v/>
      </c>
      <c r="J231" s="23">
        <f>IF(Amortizacion_Capital_Mensual!K231&gt;0, ROUND(I231 - Amortizacion_Capital_Mensual!K231, 2), "")</f>
        <v/>
      </c>
      <c r="K231" s="23">
        <f>IF(Amortizacion_Capital_Mensual!L231&gt;0, ROUND(J231 - Amortizacion_Capital_Mensual!L231, 2), "")</f>
        <v/>
      </c>
      <c r="L231" s="23">
        <f>IF(Amortizacion_Capital_Mensual!M231&gt;0, ROUND(K231 - Amortizacion_Capital_Mensual!M231, 2), "")</f>
        <v/>
      </c>
      <c r="M231" s="23">
        <f>IF(Amortizacion_Capital_Mensual!N231&gt;0, ROUND(L231 - Amortizacion_Capital_Mensual!N231, 2), "")</f>
        <v/>
      </c>
      <c r="N231" s="23">
        <f>IF(Amortizacion_Capital_Mensual!O231&gt;0, ROUND(M231 - Amortizacion_Capital_Mensual!O231, 2), "")</f>
        <v/>
      </c>
      <c r="O231" s="23">
        <f>IF(Amortizacion_Capital_Mensual!P231&gt;0, ROUND(N231 - Amortizacion_Capital_Mensual!P231, 2), "")</f>
        <v/>
      </c>
      <c r="P231" s="23">
        <f>IF(Amortizacion_Capital_Mensual!Q231&gt;0, ROUND(O231 - Amortizacion_Capital_Mensual!Q231, 2), "")</f>
        <v/>
      </c>
      <c r="Q231" s="23">
        <f>IF(Amortizacion_Capital_Mensual!R231&gt;0, ROUND(P231 - Amortizacion_Capital_Mensual!R231, 2), "")</f>
        <v/>
      </c>
      <c r="R231" s="23">
        <f>IF(Amortizacion_Capital_Mensual!S231&gt;0, ROUND(Q231 - Amortizacion_Capital_Mensual!S231, 2), "")</f>
        <v/>
      </c>
      <c r="S231" s="23">
        <f>IF(Amortizacion_Capital_Mensual!T231&gt;0, ROUND(R231 - Amortizacion_Capital_Mensual!T231, 2), "")</f>
        <v/>
      </c>
      <c r="T231" s="23">
        <f>IF(Amortizacion_Capital_Mensual!U231&gt;0, ROUND(S231 - Amortizacion_Capital_Mensual!U231, 2), "")</f>
        <v/>
      </c>
      <c r="U231" s="23">
        <f>MAX(I231:T231)</f>
        <v/>
      </c>
    </row>
    <row r="232">
      <c r="A232" s="26" t="inlineStr">
        <is>
          <t>0745-0001</t>
        </is>
      </c>
      <c r="B232" s="27" t="inlineStr">
        <is>
          <t>Industrializadora de Productos Lácteos y Derivados los Cuates, S.A. de C.V.</t>
        </is>
      </c>
      <c r="C232" s="27" t="inlineStr">
        <is>
          <t>Outlander Sport SE Plus</t>
        </is>
      </c>
      <c r="D232" s="26" t="inlineStr">
        <is>
          <t>ACTIVO</t>
        </is>
      </c>
      <c r="E232" s="26" t="inlineStr">
        <is>
          <t>2026-01-22</t>
        </is>
      </c>
      <c r="F232" s="26" t="inlineStr">
        <is>
          <t>2029-01-22</t>
        </is>
      </c>
      <c r="G232" s="28" t="n">
        <v>36</v>
      </c>
      <c r="H232" s="29" t="n">
        <v>251889.83</v>
      </c>
      <c r="I232" s="29">
        <f>IF(Amortizacion_Capital_Mensual!J232&gt;0, ROUND($H232 - Amortizacion_Capital_Mensual!J232, 2), "")</f>
        <v/>
      </c>
      <c r="J232" s="29">
        <f>IF(Amortizacion_Capital_Mensual!K232&gt;0, ROUND(I232 - Amortizacion_Capital_Mensual!K232, 2), "")</f>
        <v/>
      </c>
      <c r="K232" s="29">
        <f>IF(Amortizacion_Capital_Mensual!L232&gt;0, ROUND(J232 - Amortizacion_Capital_Mensual!L232, 2), "")</f>
        <v/>
      </c>
      <c r="L232" s="29">
        <f>IF(Amortizacion_Capital_Mensual!M232&gt;0, ROUND(K232 - Amortizacion_Capital_Mensual!M232, 2), "")</f>
        <v/>
      </c>
      <c r="M232" s="29">
        <f>IF(Amortizacion_Capital_Mensual!N232&gt;0, ROUND(L232 - Amortizacion_Capital_Mensual!N232, 2), "")</f>
        <v/>
      </c>
      <c r="N232" s="29">
        <f>IF(Amortizacion_Capital_Mensual!O232&gt;0, ROUND(M232 - Amortizacion_Capital_Mensual!O232, 2), "")</f>
        <v/>
      </c>
      <c r="O232" s="29">
        <f>IF(Amortizacion_Capital_Mensual!P232&gt;0, ROUND(N232 - Amortizacion_Capital_Mensual!P232, 2), "")</f>
        <v/>
      </c>
      <c r="P232" s="29">
        <f>IF(Amortizacion_Capital_Mensual!Q232&gt;0, ROUND(O232 - Amortizacion_Capital_Mensual!Q232, 2), "")</f>
        <v/>
      </c>
      <c r="Q232" s="29">
        <f>IF(Amortizacion_Capital_Mensual!R232&gt;0, ROUND(P232 - Amortizacion_Capital_Mensual!R232, 2), "")</f>
        <v/>
      </c>
      <c r="R232" s="29">
        <f>IF(Amortizacion_Capital_Mensual!S232&gt;0, ROUND(Q232 - Amortizacion_Capital_Mensual!S232, 2), "")</f>
        <v/>
      </c>
      <c r="S232" s="29">
        <f>IF(Amortizacion_Capital_Mensual!T232&gt;0, ROUND(R232 - Amortizacion_Capital_Mensual!T232, 2), "")</f>
        <v/>
      </c>
      <c r="T232" s="29">
        <f>IF(Amortizacion_Capital_Mensual!U232&gt;0, ROUND(S232 - Amortizacion_Capital_Mensual!U232, 2), "")</f>
        <v/>
      </c>
      <c r="U232" s="29">
        <f>MAX(I232:T232)</f>
        <v/>
      </c>
    </row>
    <row r="233">
      <c r="A233" s="20" t="inlineStr">
        <is>
          <t>0746-0001</t>
        </is>
      </c>
      <c r="B233" s="21" t="inlineStr">
        <is>
          <t>Giovanni Salvador Medina Rubio</t>
        </is>
      </c>
      <c r="C233" s="21" t="inlineStr">
        <is>
          <t>Rapid</t>
        </is>
      </c>
      <c r="D233" s="20" t="inlineStr">
        <is>
          <t>ACTIVO</t>
        </is>
      </c>
      <c r="E233" s="20" t="inlineStr">
        <is>
          <t>2026-02-02</t>
        </is>
      </c>
      <c r="F233" s="20" t="inlineStr">
        <is>
          <t>2029-02-02</t>
        </is>
      </c>
      <c r="G233" s="22" t="n">
        <v>36</v>
      </c>
      <c r="H233" s="23" t="n">
        <v>231310.34</v>
      </c>
      <c r="I233" s="23" t="inlineStr"/>
      <c r="J233" s="23">
        <f>IF(Amortizacion_Capital_Mensual!K233&gt;0, ROUND($H233 - Amortizacion_Capital_Mensual!K233, 2), "")</f>
        <v/>
      </c>
      <c r="K233" s="23">
        <f>IF(Amortizacion_Capital_Mensual!L233&gt;0, ROUND(J233 - Amortizacion_Capital_Mensual!L233, 2), "")</f>
        <v/>
      </c>
      <c r="L233" s="23">
        <f>IF(Amortizacion_Capital_Mensual!M233&gt;0, ROUND(K233 - Amortizacion_Capital_Mensual!M233, 2), "")</f>
        <v/>
      </c>
      <c r="M233" s="23">
        <f>IF(Amortizacion_Capital_Mensual!N233&gt;0, ROUND(L233 - Amortizacion_Capital_Mensual!N233, 2), "")</f>
        <v/>
      </c>
      <c r="N233" s="23">
        <f>IF(Amortizacion_Capital_Mensual!O233&gt;0, ROUND(M233 - Amortizacion_Capital_Mensual!O233, 2), "")</f>
        <v/>
      </c>
      <c r="O233" s="23">
        <f>IF(Amortizacion_Capital_Mensual!P233&gt;0, ROUND(N233 - Amortizacion_Capital_Mensual!P233, 2), "")</f>
        <v/>
      </c>
      <c r="P233" s="23">
        <f>IF(Amortizacion_Capital_Mensual!Q233&gt;0, ROUND(O233 - Amortizacion_Capital_Mensual!Q233, 2), "")</f>
        <v/>
      </c>
      <c r="Q233" s="23">
        <f>IF(Amortizacion_Capital_Mensual!R233&gt;0, ROUND(P233 - Amortizacion_Capital_Mensual!R233, 2), "")</f>
        <v/>
      </c>
      <c r="R233" s="23">
        <f>IF(Amortizacion_Capital_Mensual!S233&gt;0, ROUND(Q233 - Amortizacion_Capital_Mensual!S233, 2), "")</f>
        <v/>
      </c>
      <c r="S233" s="23">
        <f>IF(Amortizacion_Capital_Mensual!T233&gt;0, ROUND(R233 - Amortizacion_Capital_Mensual!T233, 2), "")</f>
        <v/>
      </c>
      <c r="T233" s="23">
        <f>IF(Amortizacion_Capital_Mensual!U233&gt;0, ROUND(S233 - Amortizacion_Capital_Mensual!U233, 2), "")</f>
        <v/>
      </c>
      <c r="U233" s="23">
        <f>MAX(I233:T233)</f>
        <v/>
      </c>
    </row>
    <row r="234">
      <c r="A234" s="26" t="inlineStr">
        <is>
          <t>0747-0001</t>
        </is>
      </c>
      <c r="B234" s="27" t="inlineStr">
        <is>
          <t>Brandon Joel Zepeda Romero</t>
        </is>
      </c>
      <c r="C234" s="27" t="inlineStr">
        <is>
          <t>Ranger Raptor</t>
        </is>
      </c>
      <c r="D234" s="26" t="inlineStr">
        <is>
          <t>ACTIVO</t>
        </is>
      </c>
      <c r="E234" s="26" t="inlineStr">
        <is>
          <t>2026-02-24</t>
        </is>
      </c>
      <c r="F234" s="26" t="inlineStr">
        <is>
          <t>2030-02-24</t>
        </is>
      </c>
      <c r="G234" s="28" t="n">
        <v>48</v>
      </c>
      <c r="H234" s="29" t="n">
        <v>862068.97</v>
      </c>
      <c r="I234" s="29" t="inlineStr"/>
      <c r="J234" s="29">
        <f>IF(Amortizacion_Capital_Mensual!K234&gt;0, ROUND($H234 - Amortizacion_Capital_Mensual!K234, 2), "")</f>
        <v/>
      </c>
      <c r="K234" s="29">
        <f>IF(Amortizacion_Capital_Mensual!L234&gt;0, ROUND(J234 - Amortizacion_Capital_Mensual!L234, 2), "")</f>
        <v/>
      </c>
      <c r="L234" s="29">
        <f>IF(Amortizacion_Capital_Mensual!M234&gt;0, ROUND(K234 - Amortizacion_Capital_Mensual!M234, 2), "")</f>
        <v/>
      </c>
      <c r="M234" s="29">
        <f>IF(Amortizacion_Capital_Mensual!N234&gt;0, ROUND(L234 - Amortizacion_Capital_Mensual!N234, 2), "")</f>
        <v/>
      </c>
      <c r="N234" s="29">
        <f>IF(Amortizacion_Capital_Mensual!O234&gt;0, ROUND(M234 - Amortizacion_Capital_Mensual!O234, 2), "")</f>
        <v/>
      </c>
      <c r="O234" s="29">
        <f>IF(Amortizacion_Capital_Mensual!P234&gt;0, ROUND(N234 - Amortizacion_Capital_Mensual!P234, 2), "")</f>
        <v/>
      </c>
      <c r="P234" s="29">
        <f>IF(Amortizacion_Capital_Mensual!Q234&gt;0, ROUND(O234 - Amortizacion_Capital_Mensual!Q234, 2), "")</f>
        <v/>
      </c>
      <c r="Q234" s="29">
        <f>IF(Amortizacion_Capital_Mensual!R234&gt;0, ROUND(P234 - Amortizacion_Capital_Mensual!R234, 2), "")</f>
        <v/>
      </c>
      <c r="R234" s="29">
        <f>IF(Amortizacion_Capital_Mensual!S234&gt;0, ROUND(Q234 - Amortizacion_Capital_Mensual!S234, 2), "")</f>
        <v/>
      </c>
      <c r="S234" s="29">
        <f>IF(Amortizacion_Capital_Mensual!T234&gt;0, ROUND(R234 - Amortizacion_Capital_Mensual!T234, 2), "")</f>
        <v/>
      </c>
      <c r="T234" s="29">
        <f>IF(Amortizacion_Capital_Mensual!U234&gt;0, ROUND(S234 - Amortizacion_Capital_Mensual!U234, 2), "")</f>
        <v/>
      </c>
      <c r="U234" s="29">
        <f>MAX(I234:T234)</f>
        <v/>
      </c>
    </row>
    <row r="235">
      <c r="A235" s="20" t="inlineStr">
        <is>
          <t>0748-0001</t>
        </is>
      </c>
      <c r="B235" s="21" t="inlineStr">
        <is>
          <t>Carlos Guerra Iñiguez</t>
        </is>
      </c>
      <c r="C235" s="21" t="inlineStr">
        <is>
          <t>L200 GLX</t>
        </is>
      </c>
      <c r="D235" s="20" t="inlineStr">
        <is>
          <t>ACTIVO</t>
        </is>
      </c>
      <c r="E235" s="20" t="inlineStr">
        <is>
          <t>2026-03-02</t>
        </is>
      </c>
      <c r="F235" s="20" t="inlineStr">
        <is>
          <t>2030-03-02</t>
        </is>
      </c>
      <c r="G235" s="22" t="n">
        <v>48</v>
      </c>
      <c r="H235" s="23" t="n">
        <v>336560.69</v>
      </c>
      <c r="I235" s="23" t="inlineStr"/>
      <c r="J235" s="23" t="inlineStr"/>
      <c r="K235" s="23">
        <f>IF(Amortizacion_Capital_Mensual!L235&gt;0, ROUND($H235 - Amortizacion_Capital_Mensual!L235, 2), "")</f>
        <v/>
      </c>
      <c r="L235" s="23">
        <f>IF(Amortizacion_Capital_Mensual!M235&gt;0, ROUND(K235 - Amortizacion_Capital_Mensual!M235, 2), "")</f>
        <v/>
      </c>
      <c r="M235" s="23">
        <f>IF(Amortizacion_Capital_Mensual!N235&gt;0, ROUND(L235 - Amortizacion_Capital_Mensual!N235, 2), "")</f>
        <v/>
      </c>
      <c r="N235" s="23">
        <f>IF(Amortizacion_Capital_Mensual!O235&gt;0, ROUND(M235 - Amortizacion_Capital_Mensual!O235, 2), "")</f>
        <v/>
      </c>
      <c r="O235" s="23">
        <f>IF(Amortizacion_Capital_Mensual!P235&gt;0, ROUND(N235 - Amortizacion_Capital_Mensual!P235, 2), "")</f>
        <v/>
      </c>
      <c r="P235" s="23">
        <f>IF(Amortizacion_Capital_Mensual!Q235&gt;0, ROUND(O235 - Amortizacion_Capital_Mensual!Q235, 2), "")</f>
        <v/>
      </c>
      <c r="Q235" s="23">
        <f>IF(Amortizacion_Capital_Mensual!R235&gt;0, ROUND(P235 - Amortizacion_Capital_Mensual!R235, 2), "")</f>
        <v/>
      </c>
      <c r="R235" s="23">
        <f>IF(Amortizacion_Capital_Mensual!S235&gt;0, ROUND(Q235 - Amortizacion_Capital_Mensual!S235, 2), "")</f>
        <v/>
      </c>
      <c r="S235" s="23">
        <f>IF(Amortizacion_Capital_Mensual!T235&gt;0, ROUND(R235 - Amortizacion_Capital_Mensual!T235, 2), "")</f>
        <v/>
      </c>
      <c r="T235" s="23">
        <f>IF(Amortizacion_Capital_Mensual!U235&gt;0, ROUND(S235 - Amortizacion_Capital_Mensual!U235, 2), "")</f>
        <v/>
      </c>
      <c r="U235" s="23">
        <f>MAX(I235:T235)</f>
        <v/>
      </c>
    </row>
    <row r="236">
      <c r="A236" s="26" t="inlineStr">
        <is>
          <t>0749-0001</t>
        </is>
      </c>
      <c r="B236" s="27" t="inlineStr">
        <is>
          <t>Álvarez Fletes Nacionales, S.C.</t>
        </is>
      </c>
      <c r="C236" s="27" t="inlineStr">
        <is>
          <t>RAM 700 TRADESMAN CC</t>
        </is>
      </c>
      <c r="D236" s="26" t="inlineStr">
        <is>
          <t>ACTIVO</t>
        </is>
      </c>
      <c r="E236" s="26" t="inlineStr">
        <is>
          <t>2026-03-23</t>
        </is>
      </c>
      <c r="F236" s="26" t="inlineStr">
        <is>
          <t>2029-03-23</t>
        </is>
      </c>
      <c r="G236" s="28" t="n">
        <v>36</v>
      </c>
      <c r="H236" s="29" t="n">
        <v>272344.82</v>
      </c>
      <c r="I236" s="29" t="inlineStr"/>
      <c r="J236" s="29" t="inlineStr"/>
      <c r="K236" s="29">
        <f>IF(Amortizacion_Capital_Mensual!L236&gt;0, ROUND($H236 - Amortizacion_Capital_Mensual!L236, 2), "")</f>
        <v/>
      </c>
      <c r="L236" s="29">
        <f>IF(Amortizacion_Capital_Mensual!M236&gt;0, ROUND(K236 - Amortizacion_Capital_Mensual!M236, 2), "")</f>
        <v/>
      </c>
      <c r="M236" s="29">
        <f>IF(Amortizacion_Capital_Mensual!N236&gt;0, ROUND(L236 - Amortizacion_Capital_Mensual!N236, 2), "")</f>
        <v/>
      </c>
      <c r="N236" s="29">
        <f>IF(Amortizacion_Capital_Mensual!O236&gt;0, ROUND(M236 - Amortizacion_Capital_Mensual!O236, 2), "")</f>
        <v/>
      </c>
      <c r="O236" s="29">
        <f>IF(Amortizacion_Capital_Mensual!P236&gt;0, ROUND(N236 - Amortizacion_Capital_Mensual!P236, 2), "")</f>
        <v/>
      </c>
      <c r="P236" s="29">
        <f>IF(Amortizacion_Capital_Mensual!Q236&gt;0, ROUND(O236 - Amortizacion_Capital_Mensual!Q236, 2), "")</f>
        <v/>
      </c>
      <c r="Q236" s="29">
        <f>IF(Amortizacion_Capital_Mensual!R236&gt;0, ROUND(P236 - Amortizacion_Capital_Mensual!R236, 2), "")</f>
        <v/>
      </c>
      <c r="R236" s="29">
        <f>IF(Amortizacion_Capital_Mensual!S236&gt;0, ROUND(Q236 - Amortizacion_Capital_Mensual!S236, 2), "")</f>
        <v/>
      </c>
      <c r="S236" s="29">
        <f>IF(Amortizacion_Capital_Mensual!T236&gt;0, ROUND(R236 - Amortizacion_Capital_Mensual!T236, 2), "")</f>
        <v/>
      </c>
      <c r="T236" s="29">
        <f>IF(Amortizacion_Capital_Mensual!U236&gt;0, ROUND(S236 - Amortizacion_Capital_Mensual!U236, 2), "")</f>
        <v/>
      </c>
      <c r="U236" s="29">
        <f>MAX(I236:T236)</f>
        <v/>
      </c>
    </row>
    <row r="237">
      <c r="A237" s="20" t="inlineStr">
        <is>
          <t>0749-0002</t>
        </is>
      </c>
      <c r="B237" s="21" t="inlineStr">
        <is>
          <t>Álvarez Fletes Nacionales, S.C.</t>
        </is>
      </c>
      <c r="C237" s="21" t="inlineStr">
        <is>
          <t>RAM 700 TRADESMAN CC</t>
        </is>
      </c>
      <c r="D237" s="20" t="inlineStr">
        <is>
          <t>ACTIVO</t>
        </is>
      </c>
      <c r="E237" s="20" t="inlineStr">
        <is>
          <t>2026-03-23</t>
        </is>
      </c>
      <c r="F237" s="20" t="inlineStr">
        <is>
          <t>2029-03-23</t>
        </is>
      </c>
      <c r="G237" s="22" t="n">
        <v>36</v>
      </c>
      <c r="H237" s="23" t="n">
        <v>272344.82</v>
      </c>
      <c r="I237" s="23" t="inlineStr"/>
      <c r="J237" s="23" t="inlineStr"/>
      <c r="K237" s="23">
        <f>IF(Amortizacion_Capital_Mensual!L237&gt;0, ROUND($H237 - Amortizacion_Capital_Mensual!L237, 2), "")</f>
        <v/>
      </c>
      <c r="L237" s="23">
        <f>IF(Amortizacion_Capital_Mensual!M237&gt;0, ROUND(K237 - Amortizacion_Capital_Mensual!M237, 2), "")</f>
        <v/>
      </c>
      <c r="M237" s="23">
        <f>IF(Amortizacion_Capital_Mensual!N237&gt;0, ROUND(L237 - Amortizacion_Capital_Mensual!N237, 2), "")</f>
        <v/>
      </c>
      <c r="N237" s="23">
        <f>IF(Amortizacion_Capital_Mensual!O237&gt;0, ROUND(M237 - Amortizacion_Capital_Mensual!O237, 2), "")</f>
        <v/>
      </c>
      <c r="O237" s="23">
        <f>IF(Amortizacion_Capital_Mensual!P237&gt;0, ROUND(N237 - Amortizacion_Capital_Mensual!P237, 2), "")</f>
        <v/>
      </c>
      <c r="P237" s="23">
        <f>IF(Amortizacion_Capital_Mensual!Q237&gt;0, ROUND(O237 - Amortizacion_Capital_Mensual!Q237, 2), "")</f>
        <v/>
      </c>
      <c r="Q237" s="23">
        <f>IF(Amortizacion_Capital_Mensual!R237&gt;0, ROUND(P237 - Amortizacion_Capital_Mensual!R237, 2), "")</f>
        <v/>
      </c>
      <c r="R237" s="23">
        <f>IF(Amortizacion_Capital_Mensual!S237&gt;0, ROUND(Q237 - Amortizacion_Capital_Mensual!S237, 2), "")</f>
        <v/>
      </c>
      <c r="S237" s="23">
        <f>IF(Amortizacion_Capital_Mensual!T237&gt;0, ROUND(R237 - Amortizacion_Capital_Mensual!T237, 2), "")</f>
        <v/>
      </c>
      <c r="T237" s="23">
        <f>IF(Amortizacion_Capital_Mensual!U237&gt;0, ROUND(S237 - Amortizacion_Capital_Mensual!U237, 2), "")</f>
        <v/>
      </c>
      <c r="U237" s="23">
        <f>MAX(I237:T237)</f>
        <v/>
      </c>
    </row>
    <row r="238">
      <c r="A238" s="26" t="inlineStr">
        <is>
          <t>0750-0001</t>
        </is>
      </c>
      <c r="B238" s="27" t="inlineStr">
        <is>
          <t>Idea Gelato S de RL de CV</t>
        </is>
      </c>
      <c r="C238" s="27" t="inlineStr">
        <is>
          <t>Expert Furgon</t>
        </is>
      </c>
      <c r="D238" s="26" t="inlineStr">
        <is>
          <t>ACTIVO</t>
        </is>
      </c>
      <c r="E238" s="26" t="inlineStr">
        <is>
          <t>2026-03-31</t>
        </is>
      </c>
      <c r="F238" s="26" t="inlineStr">
        <is>
          <t>2028-03-31</t>
        </is>
      </c>
      <c r="G238" s="28" t="n">
        <v>24</v>
      </c>
      <c r="H238" s="29" t="n">
        <v>424758.62</v>
      </c>
      <c r="I238" s="29" t="inlineStr"/>
      <c r="J238" s="29" t="inlineStr"/>
      <c r="K238" s="29">
        <f>IF(Amortizacion_Capital_Mensual!L238&gt;0, ROUND($H238 - Amortizacion_Capital_Mensual!L238, 2), "")</f>
        <v/>
      </c>
      <c r="L238" s="29">
        <f>IF(Amortizacion_Capital_Mensual!M238&gt;0, ROUND(K238 - Amortizacion_Capital_Mensual!M238, 2), "")</f>
        <v/>
      </c>
      <c r="M238" s="29">
        <f>IF(Amortizacion_Capital_Mensual!N238&gt;0, ROUND(L238 - Amortizacion_Capital_Mensual!N238, 2), "")</f>
        <v/>
      </c>
      <c r="N238" s="29">
        <f>IF(Amortizacion_Capital_Mensual!O238&gt;0, ROUND(M238 - Amortizacion_Capital_Mensual!O238, 2), "")</f>
        <v/>
      </c>
      <c r="O238" s="29">
        <f>IF(Amortizacion_Capital_Mensual!P238&gt;0, ROUND(N238 - Amortizacion_Capital_Mensual!P238, 2), "")</f>
        <v/>
      </c>
      <c r="P238" s="29">
        <f>IF(Amortizacion_Capital_Mensual!Q238&gt;0, ROUND(O238 - Amortizacion_Capital_Mensual!Q238, 2), "")</f>
        <v/>
      </c>
      <c r="Q238" s="29">
        <f>IF(Amortizacion_Capital_Mensual!R238&gt;0, ROUND(P238 - Amortizacion_Capital_Mensual!R238, 2), "")</f>
        <v/>
      </c>
      <c r="R238" s="29">
        <f>IF(Amortizacion_Capital_Mensual!S238&gt;0, ROUND(Q238 - Amortizacion_Capital_Mensual!S238, 2), "")</f>
        <v/>
      </c>
      <c r="S238" s="29">
        <f>IF(Amortizacion_Capital_Mensual!T238&gt;0, ROUND(R238 - Amortizacion_Capital_Mensual!T238, 2), "")</f>
        <v/>
      </c>
      <c r="T238" s="29">
        <f>IF(Amortizacion_Capital_Mensual!U238&gt;0, ROUND(S238 - Amortizacion_Capital_Mensual!U238, 2), "")</f>
        <v/>
      </c>
      <c r="U238" s="29">
        <f>MAX(I238:T238)</f>
        <v/>
      </c>
    </row>
    <row r="239">
      <c r="A239" s="20" t="inlineStr">
        <is>
          <t>0752-0001</t>
        </is>
      </c>
      <c r="B239" s="21" t="inlineStr">
        <is>
          <t>Fernando Plasencia Lopez</t>
        </is>
      </c>
      <c r="C239" s="21" t="inlineStr">
        <is>
          <t>Grand Cherokee Limited</t>
        </is>
      </c>
      <c r="D239" s="20" t="inlineStr">
        <is>
          <t>ACTIVO</t>
        </is>
      </c>
      <c r="E239" s="20" t="inlineStr">
        <is>
          <t>2026-03-31</t>
        </is>
      </c>
      <c r="F239" s="20" t="inlineStr">
        <is>
          <t>2028-03-31</t>
        </is>
      </c>
      <c r="G239" s="22" t="n">
        <v>24</v>
      </c>
      <c r="H239" s="23" t="n">
        <v>1085353.45</v>
      </c>
      <c r="I239" s="23" t="inlineStr"/>
      <c r="J239" s="23" t="inlineStr"/>
      <c r="K239" s="23">
        <f>IF(Amortizacion_Capital_Mensual!L239&gt;0, ROUND($H239 - Amortizacion_Capital_Mensual!L239, 2), "")</f>
        <v/>
      </c>
      <c r="L239" s="23">
        <f>IF(Amortizacion_Capital_Mensual!M239&gt;0, ROUND(K239 - Amortizacion_Capital_Mensual!M239, 2), "")</f>
        <v/>
      </c>
      <c r="M239" s="23">
        <f>IF(Amortizacion_Capital_Mensual!N239&gt;0, ROUND(L239 - Amortizacion_Capital_Mensual!N239, 2), "")</f>
        <v/>
      </c>
      <c r="N239" s="23">
        <f>IF(Amortizacion_Capital_Mensual!O239&gt;0, ROUND(M239 - Amortizacion_Capital_Mensual!O239, 2), "")</f>
        <v/>
      </c>
      <c r="O239" s="23">
        <f>IF(Amortizacion_Capital_Mensual!P239&gt;0, ROUND(N239 - Amortizacion_Capital_Mensual!P239, 2), "")</f>
        <v/>
      </c>
      <c r="P239" s="23">
        <f>IF(Amortizacion_Capital_Mensual!Q239&gt;0, ROUND(O239 - Amortizacion_Capital_Mensual!Q239, 2), "")</f>
        <v/>
      </c>
      <c r="Q239" s="23">
        <f>IF(Amortizacion_Capital_Mensual!R239&gt;0, ROUND(P239 - Amortizacion_Capital_Mensual!R239, 2), "")</f>
        <v/>
      </c>
      <c r="R239" s="23">
        <f>IF(Amortizacion_Capital_Mensual!S239&gt;0, ROUND(Q239 - Amortizacion_Capital_Mensual!S239, 2), "")</f>
        <v/>
      </c>
      <c r="S239" s="23">
        <f>IF(Amortizacion_Capital_Mensual!T239&gt;0, ROUND(R239 - Amortizacion_Capital_Mensual!T239, 2), "")</f>
        <v/>
      </c>
      <c r="T239" s="23">
        <f>IF(Amortizacion_Capital_Mensual!U239&gt;0, ROUND(S239 - Amortizacion_Capital_Mensual!U239, 2), "")</f>
        <v/>
      </c>
      <c r="U239" s="23">
        <f>MAX(I239:T239)</f>
        <v/>
      </c>
    </row>
    <row r="240">
      <c r="A240" s="26" t="inlineStr">
        <is>
          <t>0752-0002</t>
        </is>
      </c>
      <c r="B240" s="27" t="inlineStr">
        <is>
          <t>Fernando Plasencia Lopez</t>
        </is>
      </c>
      <c r="C240" s="27" t="inlineStr">
        <is>
          <t>Grand Cherokee Altitude</t>
        </is>
      </c>
      <c r="D240" s="26" t="inlineStr">
        <is>
          <t>ACTIVO</t>
        </is>
      </c>
      <c r="E240" s="26" t="inlineStr">
        <is>
          <t>2026-03-31</t>
        </is>
      </c>
      <c r="F240" s="26" t="inlineStr">
        <is>
          <t>2028-03-31</t>
        </is>
      </c>
      <c r="G240" s="28" t="n">
        <v>24</v>
      </c>
      <c r="H240" s="29" t="n">
        <v>923198.27</v>
      </c>
      <c r="I240" s="29" t="inlineStr"/>
      <c r="J240" s="29" t="inlineStr"/>
      <c r="K240" s="29">
        <f>IF(Amortizacion_Capital_Mensual!L240&gt;0, ROUND($H240 - Amortizacion_Capital_Mensual!L240, 2), "")</f>
        <v/>
      </c>
      <c r="L240" s="29">
        <f>IF(Amortizacion_Capital_Mensual!M240&gt;0, ROUND(K240 - Amortizacion_Capital_Mensual!M240, 2), "")</f>
        <v/>
      </c>
      <c r="M240" s="29">
        <f>IF(Amortizacion_Capital_Mensual!N240&gt;0, ROUND(L240 - Amortizacion_Capital_Mensual!N240, 2), "")</f>
        <v/>
      </c>
      <c r="N240" s="29">
        <f>IF(Amortizacion_Capital_Mensual!O240&gt;0, ROUND(M240 - Amortizacion_Capital_Mensual!O240, 2), "")</f>
        <v/>
      </c>
      <c r="O240" s="29">
        <f>IF(Amortizacion_Capital_Mensual!P240&gt;0, ROUND(N240 - Amortizacion_Capital_Mensual!P240, 2), "")</f>
        <v/>
      </c>
      <c r="P240" s="29">
        <f>IF(Amortizacion_Capital_Mensual!Q240&gt;0, ROUND(O240 - Amortizacion_Capital_Mensual!Q240, 2), "")</f>
        <v/>
      </c>
      <c r="Q240" s="29">
        <f>IF(Amortizacion_Capital_Mensual!R240&gt;0, ROUND(P240 - Amortizacion_Capital_Mensual!R240, 2), "")</f>
        <v/>
      </c>
      <c r="R240" s="29">
        <f>IF(Amortizacion_Capital_Mensual!S240&gt;0, ROUND(Q240 - Amortizacion_Capital_Mensual!S240, 2), "")</f>
        <v/>
      </c>
      <c r="S240" s="29">
        <f>IF(Amortizacion_Capital_Mensual!T240&gt;0, ROUND(R240 - Amortizacion_Capital_Mensual!T240, 2), "")</f>
        <v/>
      </c>
      <c r="T240" s="29">
        <f>IF(Amortizacion_Capital_Mensual!U240&gt;0, ROUND(S240 - Amortizacion_Capital_Mensual!U240, 2), "")</f>
        <v/>
      </c>
      <c r="U240" s="29">
        <f>MAX(I240:T240)</f>
        <v/>
      </c>
    </row>
    <row r="241">
      <c r="A241" s="20" t="inlineStr">
        <is>
          <t>0752-0003</t>
        </is>
      </c>
      <c r="B241" s="21" t="inlineStr">
        <is>
          <t>Fernando Plasencia Lopez</t>
        </is>
      </c>
      <c r="C241" s="21" t="inlineStr">
        <is>
          <t>Grand Cherokee Summit</t>
        </is>
      </c>
      <c r="D241" s="20" t="inlineStr">
        <is>
          <t>ACTIVO</t>
        </is>
      </c>
      <c r="E241" s="20" t="inlineStr">
        <is>
          <t>2026-05-13</t>
        </is>
      </c>
      <c r="F241" s="20" t="inlineStr">
        <is>
          <t>2028-05-13</t>
        </is>
      </c>
      <c r="G241" s="22" t="n">
        <v>24</v>
      </c>
      <c r="H241" s="23" t="n">
        <v>1328530</v>
      </c>
      <c r="I241" s="23" t="inlineStr"/>
      <c r="J241" s="23" t="inlineStr"/>
      <c r="K241" s="23" t="inlineStr"/>
      <c r="L241" s="23" t="inlineStr"/>
      <c r="M241" s="23">
        <f>IF(Amortizacion_Capital_Mensual!N241&gt;0, ROUND($H241 - Amortizacion_Capital_Mensual!N241, 2), "")</f>
        <v/>
      </c>
      <c r="N241" s="23">
        <f>IF(Amortizacion_Capital_Mensual!O241&gt;0, ROUND(M241 - Amortizacion_Capital_Mensual!O241, 2), "")</f>
        <v/>
      </c>
      <c r="O241" s="23">
        <f>IF(Amortizacion_Capital_Mensual!P241&gt;0, ROUND(N241 - Amortizacion_Capital_Mensual!P241, 2), "")</f>
        <v/>
      </c>
      <c r="P241" s="23">
        <f>IF(Amortizacion_Capital_Mensual!Q241&gt;0, ROUND(O241 - Amortizacion_Capital_Mensual!Q241, 2), "")</f>
        <v/>
      </c>
      <c r="Q241" s="23">
        <f>IF(Amortizacion_Capital_Mensual!R241&gt;0, ROUND(P241 - Amortizacion_Capital_Mensual!R241, 2), "")</f>
        <v/>
      </c>
      <c r="R241" s="23">
        <f>IF(Amortizacion_Capital_Mensual!S241&gt;0, ROUND(Q241 - Amortizacion_Capital_Mensual!S241, 2), "")</f>
        <v/>
      </c>
      <c r="S241" s="23">
        <f>IF(Amortizacion_Capital_Mensual!T241&gt;0, ROUND(R241 - Amortizacion_Capital_Mensual!T241, 2), "")</f>
        <v/>
      </c>
      <c r="T241" s="23">
        <f>IF(Amortizacion_Capital_Mensual!U241&gt;0, ROUND(S241 - Amortizacion_Capital_Mensual!U241, 2), "")</f>
        <v/>
      </c>
      <c r="U241" s="23">
        <f>MAX(I241:T241)</f>
        <v/>
      </c>
    </row>
    <row r="242">
      <c r="A242" s="26" t="inlineStr">
        <is>
          <t>0752-0004</t>
        </is>
      </c>
      <c r="B242" s="27" t="inlineStr">
        <is>
          <t>Fernando Plasencia Lopez</t>
        </is>
      </c>
      <c r="C242" s="27" t="inlineStr">
        <is>
          <t>1200 BIGHORN CC</t>
        </is>
      </c>
      <c r="D242" s="26" t="inlineStr">
        <is>
          <t>ACTIVO</t>
        </is>
      </c>
      <c r="E242" s="26" t="inlineStr">
        <is>
          <t>2026-06-05</t>
        </is>
      </c>
      <c r="F242" s="26" t="inlineStr">
        <is>
          <t>2030-06-05</t>
        </is>
      </c>
      <c r="G242" s="28" t="n">
        <v>48</v>
      </c>
      <c r="H242" s="29" t="n">
        <v>450002.4</v>
      </c>
      <c r="I242" s="29" t="inlineStr"/>
      <c r="J242" s="29" t="inlineStr"/>
      <c r="K242" s="29" t="inlineStr"/>
      <c r="L242" s="29" t="inlineStr"/>
      <c r="M242" s="29" t="inlineStr"/>
      <c r="N242" s="29">
        <f>IF(Amortizacion_Capital_Mensual!O242&gt;0, ROUND($H242 - Amortizacion_Capital_Mensual!O242, 2), "")</f>
        <v/>
      </c>
      <c r="O242" s="29">
        <f>IF(Amortizacion_Capital_Mensual!P242&gt;0, ROUND(N242 - Amortizacion_Capital_Mensual!P242, 2), "")</f>
        <v/>
      </c>
      <c r="P242" s="29">
        <f>IF(Amortizacion_Capital_Mensual!Q242&gt;0, ROUND(O242 - Amortizacion_Capital_Mensual!Q242, 2), "")</f>
        <v/>
      </c>
      <c r="Q242" s="29">
        <f>IF(Amortizacion_Capital_Mensual!R242&gt;0, ROUND(P242 - Amortizacion_Capital_Mensual!R242, 2), "")</f>
        <v/>
      </c>
      <c r="R242" s="29">
        <f>IF(Amortizacion_Capital_Mensual!S242&gt;0, ROUND(Q242 - Amortizacion_Capital_Mensual!S242, 2), "")</f>
        <v/>
      </c>
      <c r="S242" s="29">
        <f>IF(Amortizacion_Capital_Mensual!T242&gt;0, ROUND(R242 - Amortizacion_Capital_Mensual!T242, 2), "")</f>
        <v/>
      </c>
      <c r="T242" s="29">
        <f>IF(Amortizacion_Capital_Mensual!U242&gt;0, ROUND(S242 - Amortizacion_Capital_Mensual!U242, 2), "")</f>
        <v/>
      </c>
      <c r="U242" s="29">
        <f>MAX(I242:T242)</f>
        <v/>
      </c>
    </row>
    <row r="243">
      <c r="A243" s="20" t="inlineStr">
        <is>
          <t>0752-0005</t>
        </is>
      </c>
      <c r="B243" s="21" t="inlineStr">
        <is>
          <t>Fernando Plasencia Lopez</t>
        </is>
      </c>
      <c r="C243" s="21" t="inlineStr">
        <is>
          <t>Grand Charokee Altitude</t>
        </is>
      </c>
      <c r="D243" s="20" t="inlineStr">
        <is>
          <t>ACTIVO</t>
        </is>
      </c>
      <c r="E243" s="20" t="inlineStr">
        <is>
          <t>2026-06-05</t>
        </is>
      </c>
      <c r="F243" s="20" t="inlineStr">
        <is>
          <t>2028-06-05</t>
        </is>
      </c>
      <c r="G243" s="22" t="n">
        <v>24</v>
      </c>
      <c r="H243" s="23" t="n">
        <v>951920</v>
      </c>
      <c r="I243" s="23" t="inlineStr"/>
      <c r="J243" s="23" t="inlineStr"/>
      <c r="K243" s="23" t="inlineStr"/>
      <c r="L243" s="23" t="inlineStr"/>
      <c r="M243" s="23" t="inlineStr"/>
      <c r="N243" s="23">
        <f>IF(Amortizacion_Capital_Mensual!O243&gt;0, ROUND($H243 - Amortizacion_Capital_Mensual!O243, 2), "")</f>
        <v/>
      </c>
      <c r="O243" s="23">
        <f>IF(Amortizacion_Capital_Mensual!P243&gt;0, ROUND(N243 - Amortizacion_Capital_Mensual!P243, 2), "")</f>
        <v/>
      </c>
      <c r="P243" s="23">
        <f>IF(Amortizacion_Capital_Mensual!Q243&gt;0, ROUND(O243 - Amortizacion_Capital_Mensual!Q243, 2), "")</f>
        <v/>
      </c>
      <c r="Q243" s="23">
        <f>IF(Amortizacion_Capital_Mensual!R243&gt;0, ROUND(P243 - Amortizacion_Capital_Mensual!R243, 2), "")</f>
        <v/>
      </c>
      <c r="R243" s="23">
        <f>IF(Amortizacion_Capital_Mensual!S243&gt;0, ROUND(Q243 - Amortizacion_Capital_Mensual!S243, 2), "")</f>
        <v/>
      </c>
      <c r="S243" s="23">
        <f>IF(Amortizacion_Capital_Mensual!T243&gt;0, ROUND(R243 - Amortizacion_Capital_Mensual!T243, 2), "")</f>
        <v/>
      </c>
      <c r="T243" s="23">
        <f>IF(Amortizacion_Capital_Mensual!U243&gt;0, ROUND(S243 - Amortizacion_Capital_Mensual!U243, 2), "")</f>
        <v/>
      </c>
      <c r="U243" s="23">
        <f>MAX(I243:T243)</f>
        <v/>
      </c>
    </row>
    <row r="244">
      <c r="A244" s="26" t="inlineStr">
        <is>
          <t>0753-0001</t>
        </is>
      </c>
      <c r="B244" s="27" t="inlineStr">
        <is>
          <t>Milodi Seguridad Privada</t>
        </is>
      </c>
      <c r="C244" s="27" t="inlineStr">
        <is>
          <t>Alsvin</t>
        </is>
      </c>
      <c r="D244" s="26" t="inlineStr">
        <is>
          <t>ACTIVO</t>
        </is>
      </c>
      <c r="E244" s="26" t="inlineStr">
        <is>
          <t>2026-03-31</t>
        </is>
      </c>
      <c r="F244" s="26" t="inlineStr">
        <is>
          <t>2029-03-31</t>
        </is>
      </c>
      <c r="G244" s="28" t="n">
        <v>36</v>
      </c>
      <c r="H244" s="29" t="n">
        <v>197794.4</v>
      </c>
      <c r="I244" s="29" t="inlineStr"/>
      <c r="J244" s="29" t="inlineStr"/>
      <c r="K244" s="29">
        <f>IF(Amortizacion_Capital_Mensual!L244&gt;0, ROUND($H244 - Amortizacion_Capital_Mensual!L244, 2), "")</f>
        <v/>
      </c>
      <c r="L244" s="29">
        <f>IF(Amortizacion_Capital_Mensual!M244&gt;0, ROUND(K244 - Amortizacion_Capital_Mensual!M244, 2), "")</f>
        <v/>
      </c>
      <c r="M244" s="29">
        <f>IF(Amortizacion_Capital_Mensual!N244&gt;0, ROUND(L244 - Amortizacion_Capital_Mensual!N244, 2), "")</f>
        <v/>
      </c>
      <c r="N244" s="29">
        <f>IF(Amortizacion_Capital_Mensual!O244&gt;0, ROUND(M244 - Amortizacion_Capital_Mensual!O244, 2), "")</f>
        <v/>
      </c>
      <c r="O244" s="29">
        <f>IF(Amortizacion_Capital_Mensual!P244&gt;0, ROUND(N244 - Amortizacion_Capital_Mensual!P244, 2), "")</f>
        <v/>
      </c>
      <c r="P244" s="29">
        <f>IF(Amortizacion_Capital_Mensual!Q244&gt;0, ROUND(O244 - Amortizacion_Capital_Mensual!Q244, 2), "")</f>
        <v/>
      </c>
      <c r="Q244" s="29">
        <f>IF(Amortizacion_Capital_Mensual!R244&gt;0, ROUND(P244 - Amortizacion_Capital_Mensual!R244, 2), "")</f>
        <v/>
      </c>
      <c r="R244" s="29">
        <f>IF(Amortizacion_Capital_Mensual!S244&gt;0, ROUND(Q244 - Amortizacion_Capital_Mensual!S244, 2), "")</f>
        <v/>
      </c>
      <c r="S244" s="29">
        <f>IF(Amortizacion_Capital_Mensual!T244&gt;0, ROUND(R244 - Amortizacion_Capital_Mensual!T244, 2), "")</f>
        <v/>
      </c>
      <c r="T244" s="29">
        <f>IF(Amortizacion_Capital_Mensual!U244&gt;0, ROUND(S244 - Amortizacion_Capital_Mensual!U244, 2), "")</f>
        <v/>
      </c>
      <c r="U244" s="29">
        <f>MAX(I244:T244)</f>
        <v/>
      </c>
    </row>
    <row r="245">
      <c r="A245" s="20" t="inlineStr">
        <is>
          <t>0753-0003</t>
        </is>
      </c>
      <c r="B245" s="21" t="inlineStr">
        <is>
          <t>Milodi Seguridad Privada</t>
        </is>
      </c>
      <c r="C245" s="21" t="inlineStr">
        <is>
          <t>CS35</t>
        </is>
      </c>
      <c r="D245" s="20" t="inlineStr">
        <is>
          <t>ACTIVO</t>
        </is>
      </c>
      <c r="E245" s="20" t="inlineStr">
        <is>
          <t>2026-06-16</t>
        </is>
      </c>
      <c r="F245" s="20" t="inlineStr">
        <is>
          <t>2029-06-16</t>
        </is>
      </c>
      <c r="G245" s="22" t="n">
        <v>36</v>
      </c>
      <c r="H245" s="23" t="n">
        <v>287155.89</v>
      </c>
      <c r="I245" s="23" t="inlineStr"/>
      <c r="J245" s="23" t="inlineStr"/>
      <c r="K245" s="23" t="inlineStr"/>
      <c r="L245" s="23" t="inlineStr"/>
      <c r="M245" s="23" t="inlineStr"/>
      <c r="N245" s="23">
        <f>IF(Amortizacion_Capital_Mensual!O245&gt;0, ROUND($H245 - Amortizacion_Capital_Mensual!O245, 2), "")</f>
        <v/>
      </c>
      <c r="O245" s="23">
        <f>IF(Amortizacion_Capital_Mensual!P245&gt;0, ROUND(N245 - Amortizacion_Capital_Mensual!P245, 2), "")</f>
        <v/>
      </c>
      <c r="P245" s="23">
        <f>IF(Amortizacion_Capital_Mensual!Q245&gt;0, ROUND(O245 - Amortizacion_Capital_Mensual!Q245, 2), "")</f>
        <v/>
      </c>
      <c r="Q245" s="23">
        <f>IF(Amortizacion_Capital_Mensual!R245&gt;0, ROUND(P245 - Amortizacion_Capital_Mensual!R245, 2), "")</f>
        <v/>
      </c>
      <c r="R245" s="23">
        <f>IF(Amortizacion_Capital_Mensual!S245&gt;0, ROUND(Q245 - Amortizacion_Capital_Mensual!S245, 2), "")</f>
        <v/>
      </c>
      <c r="S245" s="23">
        <f>IF(Amortizacion_Capital_Mensual!T245&gt;0, ROUND(R245 - Amortizacion_Capital_Mensual!T245, 2), "")</f>
        <v/>
      </c>
      <c r="T245" s="23">
        <f>IF(Amortizacion_Capital_Mensual!U245&gt;0, ROUND(S245 - Amortizacion_Capital_Mensual!U245, 2), "")</f>
        <v/>
      </c>
      <c r="U245" s="23">
        <f>MAX(I245:T245)</f>
        <v/>
      </c>
    </row>
    <row r="246">
      <c r="A246" s="26" t="inlineStr">
        <is>
          <t>0754-0001</t>
        </is>
      </c>
      <c r="B246" s="27" t="inlineStr">
        <is>
          <t>Luis Guillermo Rios Villaseñor</t>
        </is>
      </c>
      <c r="C246" s="27" t="inlineStr">
        <is>
          <t>2008 GT</t>
        </is>
      </c>
      <c r="D246" s="26" t="inlineStr">
        <is>
          <t>ACTIVO</t>
        </is>
      </c>
      <c r="E246" s="26" t="inlineStr">
        <is>
          <t>2026-04-23</t>
        </is>
      </c>
      <c r="F246" s="26" t="inlineStr">
        <is>
          <t>2028-04-23</t>
        </is>
      </c>
      <c r="G246" s="28" t="n">
        <v>24</v>
      </c>
      <c r="H246" s="29" t="n">
        <v>282267.5</v>
      </c>
      <c r="I246" s="29" t="inlineStr"/>
      <c r="J246" s="29" t="inlineStr"/>
      <c r="K246" s="29" t="inlineStr"/>
      <c r="L246" s="29">
        <f>IF(Amortizacion_Capital_Mensual!M246&gt;0, ROUND($H246 - Amortizacion_Capital_Mensual!M246, 2), "")</f>
        <v/>
      </c>
      <c r="M246" s="29">
        <f>IF(Amortizacion_Capital_Mensual!N246&gt;0, ROUND(L246 - Amortizacion_Capital_Mensual!N246, 2), "")</f>
        <v/>
      </c>
      <c r="N246" s="29">
        <f>IF(Amortizacion_Capital_Mensual!O246&gt;0, ROUND(M246 - Amortizacion_Capital_Mensual!O246, 2), "")</f>
        <v/>
      </c>
      <c r="O246" s="29">
        <f>IF(Amortizacion_Capital_Mensual!P246&gt;0, ROUND(N246 - Amortizacion_Capital_Mensual!P246, 2), "")</f>
        <v/>
      </c>
      <c r="P246" s="29">
        <f>IF(Amortizacion_Capital_Mensual!Q246&gt;0, ROUND(O246 - Amortizacion_Capital_Mensual!Q246, 2), "")</f>
        <v/>
      </c>
      <c r="Q246" s="29">
        <f>IF(Amortizacion_Capital_Mensual!R246&gt;0, ROUND(P246 - Amortizacion_Capital_Mensual!R246, 2), "")</f>
        <v/>
      </c>
      <c r="R246" s="29">
        <f>IF(Amortizacion_Capital_Mensual!S246&gt;0, ROUND(Q246 - Amortizacion_Capital_Mensual!S246, 2), "")</f>
        <v/>
      </c>
      <c r="S246" s="29">
        <f>IF(Amortizacion_Capital_Mensual!T246&gt;0, ROUND(R246 - Amortizacion_Capital_Mensual!T246, 2), "")</f>
        <v/>
      </c>
      <c r="T246" s="29">
        <f>IF(Amortizacion_Capital_Mensual!U246&gt;0, ROUND(S246 - Amortizacion_Capital_Mensual!U246, 2), "")</f>
        <v/>
      </c>
      <c r="U246" s="29">
        <f>MAX(I246:T246)</f>
        <v/>
      </c>
    </row>
    <row r="247">
      <c r="A247" s="20" t="inlineStr">
        <is>
          <t>0755-0001</t>
        </is>
      </c>
      <c r="B247" s="21" t="inlineStr">
        <is>
          <t>Abiam Antonio Reyna Aguilar</t>
        </is>
      </c>
      <c r="C247" s="21" t="inlineStr">
        <is>
          <t>1500 RHO</t>
        </is>
      </c>
      <c r="D247" s="20" t="inlineStr">
        <is>
          <t>ACTIVO</t>
        </is>
      </c>
      <c r="E247" s="20" t="inlineStr">
        <is>
          <t>2026-04-28</t>
        </is>
      </c>
      <c r="F247" s="20" t="inlineStr">
        <is>
          <t>2027-04-28</t>
        </is>
      </c>
      <c r="G247" s="22" t="n">
        <v>12</v>
      </c>
      <c r="H247" s="23" t="n">
        <v>1620689.66</v>
      </c>
      <c r="I247" s="23" t="inlineStr"/>
      <c r="J247" s="23" t="inlineStr"/>
      <c r="K247" s="23" t="inlineStr"/>
      <c r="L247" s="23">
        <f>IF(Amortizacion_Capital_Mensual!M247&gt;0, ROUND($H247 - Amortizacion_Capital_Mensual!M247, 2), "")</f>
        <v/>
      </c>
      <c r="M247" s="23">
        <f>IF(Amortizacion_Capital_Mensual!N247&gt;0, ROUND(L247 - Amortizacion_Capital_Mensual!N247, 2), "")</f>
        <v/>
      </c>
      <c r="N247" s="23">
        <f>IF(Amortizacion_Capital_Mensual!O247&gt;0, ROUND(M247 - Amortizacion_Capital_Mensual!O247, 2), "")</f>
        <v/>
      </c>
      <c r="O247" s="23">
        <f>IF(Amortizacion_Capital_Mensual!P247&gt;0, ROUND(N247 - Amortizacion_Capital_Mensual!P247, 2), "")</f>
        <v/>
      </c>
      <c r="P247" s="23">
        <f>IF(Amortizacion_Capital_Mensual!Q247&gt;0, ROUND(O247 - Amortizacion_Capital_Mensual!Q247, 2), "")</f>
        <v/>
      </c>
      <c r="Q247" s="23">
        <f>IF(Amortizacion_Capital_Mensual!R247&gt;0, ROUND(P247 - Amortizacion_Capital_Mensual!R247, 2), "")</f>
        <v/>
      </c>
      <c r="R247" s="23">
        <f>IF(Amortizacion_Capital_Mensual!S247&gt;0, ROUND(Q247 - Amortizacion_Capital_Mensual!S247, 2), "")</f>
        <v/>
      </c>
      <c r="S247" s="23">
        <f>IF(Amortizacion_Capital_Mensual!T247&gt;0, ROUND(R247 - Amortizacion_Capital_Mensual!T247, 2), "")</f>
        <v/>
      </c>
      <c r="T247" s="23">
        <f>IF(Amortizacion_Capital_Mensual!U247&gt;0, ROUND(S247 - Amortizacion_Capital_Mensual!U247, 2), "")</f>
        <v/>
      </c>
      <c r="U247" s="23">
        <f>MAX(I247:T247)</f>
        <v/>
      </c>
    </row>
    <row r="248">
      <c r="A248" s="26" t="inlineStr">
        <is>
          <t>0756-0001</t>
        </is>
      </c>
      <c r="B248" s="27" t="inlineStr">
        <is>
          <t>Agricola Hortiberry, S.A. de C.V.</t>
        </is>
      </c>
      <c r="C248" s="27" t="inlineStr">
        <is>
          <t>1200  Tradesman Chasis Cabina</t>
        </is>
      </c>
      <c r="D248" s="26" t="inlineStr">
        <is>
          <t>ACTIVO</t>
        </is>
      </c>
      <c r="E248" s="26" t="inlineStr">
        <is>
          <t>2026-05-06</t>
        </is>
      </c>
      <c r="F248" s="26" t="inlineStr">
        <is>
          <t>2030-05-06</t>
        </is>
      </c>
      <c r="G248" s="28" t="n">
        <v>48</v>
      </c>
      <c r="H248" s="29" t="n">
        <v>272791.8</v>
      </c>
      <c r="I248" s="29" t="inlineStr"/>
      <c r="J248" s="29" t="inlineStr"/>
      <c r="K248" s="29" t="inlineStr"/>
      <c r="L248" s="29" t="inlineStr"/>
      <c r="M248" s="29">
        <f>IF(Amortizacion_Capital_Mensual!N248&gt;0, ROUND($H248 - Amortizacion_Capital_Mensual!N248, 2), "")</f>
        <v/>
      </c>
      <c r="N248" s="29">
        <f>IF(Amortizacion_Capital_Mensual!O248&gt;0, ROUND(M248 - Amortizacion_Capital_Mensual!O248, 2), "")</f>
        <v/>
      </c>
      <c r="O248" s="29">
        <f>IF(Amortizacion_Capital_Mensual!P248&gt;0, ROUND(N248 - Amortizacion_Capital_Mensual!P248, 2), "")</f>
        <v/>
      </c>
      <c r="P248" s="29">
        <f>IF(Amortizacion_Capital_Mensual!Q248&gt;0, ROUND(O248 - Amortizacion_Capital_Mensual!Q248, 2), "")</f>
        <v/>
      </c>
      <c r="Q248" s="29">
        <f>IF(Amortizacion_Capital_Mensual!R248&gt;0, ROUND(P248 - Amortizacion_Capital_Mensual!R248, 2), "")</f>
        <v/>
      </c>
      <c r="R248" s="29">
        <f>IF(Amortizacion_Capital_Mensual!S248&gt;0, ROUND(Q248 - Amortizacion_Capital_Mensual!S248, 2), "")</f>
        <v/>
      </c>
      <c r="S248" s="29">
        <f>IF(Amortizacion_Capital_Mensual!T248&gt;0, ROUND(R248 - Amortizacion_Capital_Mensual!T248, 2), "")</f>
        <v/>
      </c>
      <c r="T248" s="29">
        <f>IF(Amortizacion_Capital_Mensual!U248&gt;0, ROUND(S248 - Amortizacion_Capital_Mensual!U248, 2), "")</f>
        <v/>
      </c>
      <c r="U248" s="29">
        <f>MAX(I248:T248)</f>
        <v/>
      </c>
    </row>
    <row r="249">
      <c r="A249" s="20" t="inlineStr">
        <is>
          <t>0757-0001</t>
        </is>
      </c>
      <c r="B249" s="21" t="inlineStr">
        <is>
          <t>Corporativo de Servicios Integrales de Occidente, S.A. de C.V.</t>
        </is>
      </c>
      <c r="C249" s="21" t="inlineStr">
        <is>
          <t>CX5</t>
        </is>
      </c>
      <c r="D249" s="20" t="inlineStr">
        <is>
          <t>ACTIVO</t>
        </is>
      </c>
      <c r="E249" s="20" t="inlineStr">
        <is>
          <t>2026-05-13</t>
        </is>
      </c>
      <c r="F249" s="20" t="inlineStr">
        <is>
          <t>2028-05-13</t>
        </is>
      </c>
      <c r="G249" s="22" t="n">
        <v>24</v>
      </c>
      <c r="H249" s="23" t="n">
        <v>575920</v>
      </c>
      <c r="I249" s="23" t="inlineStr"/>
      <c r="J249" s="23" t="inlineStr"/>
      <c r="K249" s="23" t="inlineStr"/>
      <c r="L249" s="23" t="inlineStr"/>
      <c r="M249" s="23">
        <f>IF(Amortizacion_Capital_Mensual!N249&gt;0, ROUND($H249 - Amortizacion_Capital_Mensual!N249, 2), "")</f>
        <v/>
      </c>
      <c r="N249" s="23">
        <f>IF(Amortizacion_Capital_Mensual!O249&gt;0, ROUND(M249 - Amortizacion_Capital_Mensual!O249, 2), "")</f>
        <v/>
      </c>
      <c r="O249" s="23">
        <f>IF(Amortizacion_Capital_Mensual!P249&gt;0, ROUND(N249 - Amortizacion_Capital_Mensual!P249, 2), "")</f>
        <v/>
      </c>
      <c r="P249" s="23">
        <f>IF(Amortizacion_Capital_Mensual!Q249&gt;0, ROUND(O249 - Amortizacion_Capital_Mensual!Q249, 2), "")</f>
        <v/>
      </c>
      <c r="Q249" s="23">
        <f>IF(Amortizacion_Capital_Mensual!R249&gt;0, ROUND(P249 - Amortizacion_Capital_Mensual!R249, 2), "")</f>
        <v/>
      </c>
      <c r="R249" s="23">
        <f>IF(Amortizacion_Capital_Mensual!S249&gt;0, ROUND(Q249 - Amortizacion_Capital_Mensual!S249, 2), "")</f>
        <v/>
      </c>
      <c r="S249" s="23">
        <f>IF(Amortizacion_Capital_Mensual!T249&gt;0, ROUND(R249 - Amortizacion_Capital_Mensual!T249, 2), "")</f>
        <v/>
      </c>
      <c r="T249" s="23">
        <f>IF(Amortizacion_Capital_Mensual!U249&gt;0, ROUND(S249 - Amortizacion_Capital_Mensual!U249, 2), "")</f>
        <v/>
      </c>
      <c r="U249" s="23">
        <f>MAX(I249:T249)</f>
        <v/>
      </c>
    </row>
    <row r="250">
      <c r="A250" s="26" t="inlineStr">
        <is>
          <t>0757-0002</t>
        </is>
      </c>
      <c r="B250" s="27" t="inlineStr">
        <is>
          <t>Corporativo de Servicios Integrales de Occidente, S.A. de C.V.</t>
        </is>
      </c>
      <c r="C250" s="27" t="inlineStr">
        <is>
          <t>Leapmotor B10 2026</t>
        </is>
      </c>
      <c r="D250" s="26" t="inlineStr">
        <is>
          <t>ACTIVO</t>
        </is>
      </c>
      <c r="E250" s="26" t="inlineStr">
        <is>
          <t>2026-07-31</t>
        </is>
      </c>
      <c r="F250" s="26" t="inlineStr">
        <is>
          <t>2029-07-31</t>
        </is>
      </c>
      <c r="G250" s="28" t="n">
        <v>36</v>
      </c>
      <c r="H250" s="29" t="n">
        <v>298706.9</v>
      </c>
      <c r="I250" s="29" t="inlineStr"/>
      <c r="J250" s="29" t="inlineStr"/>
      <c r="K250" s="29" t="inlineStr"/>
      <c r="L250" s="29" t="inlineStr"/>
      <c r="M250" s="29" t="inlineStr"/>
      <c r="N250" s="29" t="inlineStr"/>
      <c r="O250" s="29">
        <f>IF(Amortizacion_Capital_Mensual!P250&gt;0, ROUND($H250 - Amortizacion_Capital_Mensual!P250, 2), "")</f>
        <v/>
      </c>
      <c r="P250" s="29">
        <f>IF(Amortizacion_Capital_Mensual!Q250&gt;0, ROUND(O250 - Amortizacion_Capital_Mensual!Q250, 2), "")</f>
        <v/>
      </c>
      <c r="Q250" s="29">
        <f>IF(Amortizacion_Capital_Mensual!R250&gt;0, ROUND(P250 - Amortizacion_Capital_Mensual!R250, 2), "")</f>
        <v/>
      </c>
      <c r="R250" s="29">
        <f>IF(Amortizacion_Capital_Mensual!S250&gt;0, ROUND(Q250 - Amortizacion_Capital_Mensual!S250, 2), "")</f>
        <v/>
      </c>
      <c r="S250" s="29">
        <f>IF(Amortizacion_Capital_Mensual!T250&gt;0, ROUND(R250 - Amortizacion_Capital_Mensual!T250, 2), "")</f>
        <v/>
      </c>
      <c r="T250" s="29">
        <f>IF(Amortizacion_Capital_Mensual!U250&gt;0, ROUND(S250 - Amortizacion_Capital_Mensual!U250, 2), "")</f>
        <v/>
      </c>
      <c r="U250" s="29">
        <f>MAX(I250:T250)</f>
        <v/>
      </c>
    </row>
    <row r="251">
      <c r="A251" s="20" t="inlineStr">
        <is>
          <t>0758-0001</t>
        </is>
      </c>
      <c r="B251" s="21" t="inlineStr">
        <is>
          <t>Comedores y Servicios Industriales CAMSAA, S.A. de C.V.</t>
        </is>
      </c>
      <c r="C251" s="21" t="inlineStr">
        <is>
          <t>Partner Rapid</t>
        </is>
      </c>
      <c r="D251" s="20" t="inlineStr">
        <is>
          <t>ACTIVO</t>
        </is>
      </c>
      <c r="E251" s="20" t="inlineStr">
        <is>
          <t>2026-05-08</t>
        </is>
      </c>
      <c r="F251" s="20" t="inlineStr">
        <is>
          <t>2028-05-08</t>
        </is>
      </c>
      <c r="G251" s="22" t="n">
        <v>24</v>
      </c>
      <c r="H251" s="23" t="n">
        <v>304560</v>
      </c>
      <c r="I251" s="23" t="inlineStr"/>
      <c r="J251" s="23" t="inlineStr"/>
      <c r="K251" s="23" t="inlineStr"/>
      <c r="L251" s="23" t="inlineStr"/>
      <c r="M251" s="23">
        <f>IF(Amortizacion_Capital_Mensual!N251&gt;0, ROUND($H251 - Amortizacion_Capital_Mensual!N251, 2), "")</f>
        <v/>
      </c>
      <c r="N251" s="23">
        <f>IF(Amortizacion_Capital_Mensual!O251&gt;0, ROUND(M251 - Amortizacion_Capital_Mensual!O251, 2), "")</f>
        <v/>
      </c>
      <c r="O251" s="23">
        <f>IF(Amortizacion_Capital_Mensual!P251&gt;0, ROUND(N251 - Amortizacion_Capital_Mensual!P251, 2), "")</f>
        <v/>
      </c>
      <c r="P251" s="23">
        <f>IF(Amortizacion_Capital_Mensual!Q251&gt;0, ROUND(O251 - Amortizacion_Capital_Mensual!Q251, 2), "")</f>
        <v/>
      </c>
      <c r="Q251" s="23">
        <f>IF(Amortizacion_Capital_Mensual!R251&gt;0, ROUND(P251 - Amortizacion_Capital_Mensual!R251, 2), "")</f>
        <v/>
      </c>
      <c r="R251" s="23">
        <f>IF(Amortizacion_Capital_Mensual!S251&gt;0, ROUND(Q251 - Amortizacion_Capital_Mensual!S251, 2), "")</f>
        <v/>
      </c>
      <c r="S251" s="23">
        <f>IF(Amortizacion_Capital_Mensual!T251&gt;0, ROUND(R251 - Amortizacion_Capital_Mensual!T251, 2), "")</f>
        <v/>
      </c>
      <c r="T251" s="23">
        <f>IF(Amortizacion_Capital_Mensual!U251&gt;0, ROUND(S251 - Amortizacion_Capital_Mensual!U251, 2), "")</f>
        <v/>
      </c>
      <c r="U251" s="23">
        <f>MAX(I251:T251)</f>
        <v/>
      </c>
    </row>
    <row r="252">
      <c r="A252" s="26" t="inlineStr">
        <is>
          <t>0759-0001</t>
        </is>
      </c>
      <c r="B252" s="27" t="inlineStr">
        <is>
          <t>Construcciones Ligeras Frin, S.A. de C.V.</t>
        </is>
      </c>
      <c r="C252" s="27" t="inlineStr">
        <is>
          <t>700 BIGHORN CREW CAB</t>
        </is>
      </c>
      <c r="D252" s="26" t="inlineStr">
        <is>
          <t>ACTIVO</t>
        </is>
      </c>
      <c r="E252" s="26" t="inlineStr">
        <is>
          <t>2026-05-14</t>
        </is>
      </c>
      <c r="F252" s="26" t="inlineStr">
        <is>
          <t>2029-05-14</t>
        </is>
      </c>
      <c r="G252" s="28" t="n">
        <v>36</v>
      </c>
      <c r="H252" s="29" t="n">
        <v>311920</v>
      </c>
      <c r="I252" s="29" t="inlineStr"/>
      <c r="J252" s="29" t="inlineStr"/>
      <c r="K252" s="29" t="inlineStr"/>
      <c r="L252" s="29" t="inlineStr"/>
      <c r="M252" s="29">
        <f>IF(Amortizacion_Capital_Mensual!N252&gt;0, ROUND($H252 - Amortizacion_Capital_Mensual!N252, 2), "")</f>
        <v/>
      </c>
      <c r="N252" s="29">
        <f>IF(Amortizacion_Capital_Mensual!O252&gt;0, ROUND(M252 - Amortizacion_Capital_Mensual!O252, 2), "")</f>
        <v/>
      </c>
      <c r="O252" s="29">
        <f>IF(Amortizacion_Capital_Mensual!P252&gt;0, ROUND(N252 - Amortizacion_Capital_Mensual!P252, 2), "")</f>
        <v/>
      </c>
      <c r="P252" s="29">
        <f>IF(Amortizacion_Capital_Mensual!Q252&gt;0, ROUND(O252 - Amortizacion_Capital_Mensual!Q252, 2), "")</f>
        <v/>
      </c>
      <c r="Q252" s="29">
        <f>IF(Amortizacion_Capital_Mensual!R252&gt;0, ROUND(P252 - Amortizacion_Capital_Mensual!R252, 2), "")</f>
        <v/>
      </c>
      <c r="R252" s="29">
        <f>IF(Amortizacion_Capital_Mensual!S252&gt;0, ROUND(Q252 - Amortizacion_Capital_Mensual!S252, 2), "")</f>
        <v/>
      </c>
      <c r="S252" s="29">
        <f>IF(Amortizacion_Capital_Mensual!T252&gt;0, ROUND(R252 - Amortizacion_Capital_Mensual!T252, 2), "")</f>
        <v/>
      </c>
      <c r="T252" s="29">
        <f>IF(Amortizacion_Capital_Mensual!U252&gt;0, ROUND(S252 - Amortizacion_Capital_Mensual!U252, 2), "")</f>
        <v/>
      </c>
      <c r="U252" s="29">
        <f>MAX(I252:T252)</f>
        <v/>
      </c>
    </row>
    <row r="253">
      <c r="A253" s="20" t="inlineStr">
        <is>
          <t>0759-0002</t>
        </is>
      </c>
      <c r="B253" s="21" t="inlineStr">
        <is>
          <t>Construcciones Ligeras Frin, S.A. de C.V.</t>
        </is>
      </c>
      <c r="C253" s="21" t="inlineStr">
        <is>
          <t>700 TRADESMAN CREW CAB</t>
        </is>
      </c>
      <c r="D253" s="20" t="inlineStr">
        <is>
          <t>ACTIVO</t>
        </is>
      </c>
      <c r="E253" s="20" t="inlineStr">
        <is>
          <t>2026-05-14</t>
        </is>
      </c>
      <c r="F253" s="20" t="inlineStr">
        <is>
          <t>2029-05-14</t>
        </is>
      </c>
      <c r="G253" s="22" t="n">
        <v>36</v>
      </c>
      <c r="H253" s="23" t="n">
        <v>287920</v>
      </c>
      <c r="I253" s="23" t="inlineStr"/>
      <c r="J253" s="23" t="inlineStr"/>
      <c r="K253" s="23" t="inlineStr"/>
      <c r="L253" s="23" t="inlineStr"/>
      <c r="M253" s="23">
        <f>IF(Amortizacion_Capital_Mensual!N253&gt;0, ROUND($H253 - Amortizacion_Capital_Mensual!N253, 2), "")</f>
        <v/>
      </c>
      <c r="N253" s="23">
        <f>IF(Amortizacion_Capital_Mensual!O253&gt;0, ROUND(M253 - Amortizacion_Capital_Mensual!O253, 2), "")</f>
        <v/>
      </c>
      <c r="O253" s="23">
        <f>IF(Amortizacion_Capital_Mensual!P253&gt;0, ROUND(N253 - Amortizacion_Capital_Mensual!P253, 2), "")</f>
        <v/>
      </c>
      <c r="P253" s="23">
        <f>IF(Amortizacion_Capital_Mensual!Q253&gt;0, ROUND(O253 - Amortizacion_Capital_Mensual!Q253, 2), "")</f>
        <v/>
      </c>
      <c r="Q253" s="23">
        <f>IF(Amortizacion_Capital_Mensual!R253&gt;0, ROUND(P253 - Amortizacion_Capital_Mensual!R253, 2), "")</f>
        <v/>
      </c>
      <c r="R253" s="23">
        <f>IF(Amortizacion_Capital_Mensual!S253&gt;0, ROUND(Q253 - Amortizacion_Capital_Mensual!S253, 2), "")</f>
        <v/>
      </c>
      <c r="S253" s="23">
        <f>IF(Amortizacion_Capital_Mensual!T253&gt;0, ROUND(R253 - Amortizacion_Capital_Mensual!T253, 2), "")</f>
        <v/>
      </c>
      <c r="T253" s="23">
        <f>IF(Amortizacion_Capital_Mensual!U253&gt;0, ROUND(S253 - Amortizacion_Capital_Mensual!U253, 2), "")</f>
        <v/>
      </c>
      <c r="U253" s="23">
        <f>MAX(I253:T253)</f>
        <v/>
      </c>
    </row>
    <row r="254">
      <c r="A254" s="26" t="inlineStr">
        <is>
          <t>0760-0001</t>
        </is>
      </c>
      <c r="B254" s="27" t="inlineStr">
        <is>
          <t>Armando Candelario Figueroa</t>
        </is>
      </c>
      <c r="C254" s="27" t="inlineStr">
        <is>
          <t>1200 TRADESMAN CHASIS CABINA</t>
        </is>
      </c>
      <c r="D254" s="26" t="inlineStr">
        <is>
          <t>ACTIVO</t>
        </is>
      </c>
      <c r="E254" s="26" t="inlineStr">
        <is>
          <t>2026-05-18</t>
        </is>
      </c>
      <c r="F254" s="26" t="inlineStr">
        <is>
          <t>2030-05-18</t>
        </is>
      </c>
      <c r="G254" s="28" t="n">
        <v>48</v>
      </c>
      <c r="H254" s="29" t="n">
        <v>291902.1</v>
      </c>
      <c r="I254" s="29" t="inlineStr"/>
      <c r="J254" s="29" t="inlineStr"/>
      <c r="K254" s="29" t="inlineStr"/>
      <c r="L254" s="29" t="inlineStr"/>
      <c r="M254" s="29">
        <f>IF(Amortizacion_Capital_Mensual!N254&gt;0, ROUND($H254 - Amortizacion_Capital_Mensual!N254, 2), "")</f>
        <v/>
      </c>
      <c r="N254" s="29">
        <f>IF(Amortizacion_Capital_Mensual!O254&gt;0, ROUND(M254 - Amortizacion_Capital_Mensual!O254, 2), "")</f>
        <v/>
      </c>
      <c r="O254" s="29">
        <f>IF(Amortizacion_Capital_Mensual!P254&gt;0, ROUND(N254 - Amortizacion_Capital_Mensual!P254, 2), "")</f>
        <v/>
      </c>
      <c r="P254" s="29">
        <f>IF(Amortizacion_Capital_Mensual!Q254&gt;0, ROUND(O254 - Amortizacion_Capital_Mensual!Q254, 2), "")</f>
        <v/>
      </c>
      <c r="Q254" s="29">
        <f>IF(Amortizacion_Capital_Mensual!R254&gt;0, ROUND(P254 - Amortizacion_Capital_Mensual!R254, 2), "")</f>
        <v/>
      </c>
      <c r="R254" s="29">
        <f>IF(Amortizacion_Capital_Mensual!S254&gt;0, ROUND(Q254 - Amortizacion_Capital_Mensual!S254, 2), "")</f>
        <v/>
      </c>
      <c r="S254" s="29">
        <f>IF(Amortizacion_Capital_Mensual!T254&gt;0, ROUND(R254 - Amortizacion_Capital_Mensual!T254, 2), "")</f>
        <v/>
      </c>
      <c r="T254" s="29">
        <f>IF(Amortizacion_Capital_Mensual!U254&gt;0, ROUND(S254 - Amortizacion_Capital_Mensual!U254, 2), "")</f>
        <v/>
      </c>
      <c r="U254" s="29">
        <f>MAX(I254:T254)</f>
        <v/>
      </c>
    </row>
    <row r="255">
      <c r="A255" s="20" t="inlineStr">
        <is>
          <t>0761-0001</t>
        </is>
      </c>
      <c r="B255" s="21" t="inlineStr">
        <is>
          <t>Total Experience Produce, S.A.P.I. de C.V.</t>
        </is>
      </c>
      <c r="C255" s="21" t="inlineStr">
        <is>
          <t>700 BIGHORN CREW CAB</t>
        </is>
      </c>
      <c r="D255" s="20" t="inlineStr">
        <is>
          <t>ACTIVO</t>
        </is>
      </c>
      <c r="E255" s="20" t="inlineStr">
        <is>
          <t>2026-05-18</t>
        </is>
      </c>
      <c r="F255" s="20" t="inlineStr">
        <is>
          <t>2030-05-18</t>
        </is>
      </c>
      <c r="G255" s="22" t="n">
        <v>48</v>
      </c>
      <c r="H255" s="23" t="n">
        <v>360810</v>
      </c>
      <c r="I255" s="23" t="inlineStr"/>
      <c r="J255" s="23" t="inlineStr"/>
      <c r="K255" s="23" t="inlineStr"/>
      <c r="L255" s="23" t="inlineStr"/>
      <c r="M255" s="23">
        <f>IF(Amortizacion_Capital_Mensual!N255&gt;0, ROUND($H255 - Amortizacion_Capital_Mensual!N255, 2), "")</f>
        <v/>
      </c>
      <c r="N255" s="23">
        <f>IF(Amortizacion_Capital_Mensual!O255&gt;0, ROUND(M255 - Amortizacion_Capital_Mensual!O255, 2), "")</f>
        <v/>
      </c>
      <c r="O255" s="23">
        <f>IF(Amortizacion_Capital_Mensual!P255&gt;0, ROUND(N255 - Amortizacion_Capital_Mensual!P255, 2), "")</f>
        <v/>
      </c>
      <c r="P255" s="23">
        <f>IF(Amortizacion_Capital_Mensual!Q255&gt;0, ROUND(O255 - Amortizacion_Capital_Mensual!Q255, 2), "")</f>
        <v/>
      </c>
      <c r="Q255" s="23">
        <f>IF(Amortizacion_Capital_Mensual!R255&gt;0, ROUND(P255 - Amortizacion_Capital_Mensual!R255, 2), "")</f>
        <v/>
      </c>
      <c r="R255" s="23">
        <f>IF(Amortizacion_Capital_Mensual!S255&gt;0, ROUND(Q255 - Amortizacion_Capital_Mensual!S255, 2), "")</f>
        <v/>
      </c>
      <c r="S255" s="23">
        <f>IF(Amortizacion_Capital_Mensual!T255&gt;0, ROUND(R255 - Amortizacion_Capital_Mensual!T255, 2), "")</f>
        <v/>
      </c>
      <c r="T255" s="23">
        <f>IF(Amortizacion_Capital_Mensual!U255&gt;0, ROUND(S255 - Amortizacion_Capital_Mensual!U255, 2), "")</f>
        <v/>
      </c>
      <c r="U255" s="23">
        <f>MAX(I255:T255)</f>
        <v/>
      </c>
    </row>
    <row r="256">
      <c r="A256" s="26" t="inlineStr">
        <is>
          <t>0763-0001</t>
        </is>
      </c>
      <c r="B256" s="27" t="inlineStr">
        <is>
          <t>Francisco Javier Fernández Gutiérrez</t>
        </is>
      </c>
      <c r="C256" s="27" t="inlineStr">
        <is>
          <t>1500 RHO</t>
        </is>
      </c>
      <c r="D256" s="26" t="inlineStr">
        <is>
          <t>ACTIVO</t>
        </is>
      </c>
      <c r="E256" s="26" t="inlineStr">
        <is>
          <t>2026-05-28</t>
        </is>
      </c>
      <c r="F256" s="26" t="inlineStr">
        <is>
          <t>2029-05-28</t>
        </is>
      </c>
      <c r="G256" s="28" t="n">
        <v>36</v>
      </c>
      <c r="H256" s="29" t="n">
        <v>1864000</v>
      </c>
      <c r="I256" s="29" t="inlineStr"/>
      <c r="J256" s="29" t="inlineStr"/>
      <c r="K256" s="29" t="inlineStr"/>
      <c r="L256" s="29" t="inlineStr"/>
      <c r="M256" s="29">
        <f>IF(Amortizacion_Capital_Mensual!N256&gt;0, ROUND($H256 - Amortizacion_Capital_Mensual!N256, 2), "")</f>
        <v/>
      </c>
      <c r="N256" s="29">
        <f>IF(Amortizacion_Capital_Mensual!O256&gt;0, ROUND(M256 - Amortizacion_Capital_Mensual!O256, 2), "")</f>
        <v/>
      </c>
      <c r="O256" s="29">
        <f>IF(Amortizacion_Capital_Mensual!P256&gt;0, ROUND(N256 - Amortizacion_Capital_Mensual!P256, 2), "")</f>
        <v/>
      </c>
      <c r="P256" s="29">
        <f>IF(Amortizacion_Capital_Mensual!Q256&gt;0, ROUND(O256 - Amortizacion_Capital_Mensual!Q256, 2), "")</f>
        <v/>
      </c>
      <c r="Q256" s="29">
        <f>IF(Amortizacion_Capital_Mensual!R256&gt;0, ROUND(P256 - Amortizacion_Capital_Mensual!R256, 2), "")</f>
        <v/>
      </c>
      <c r="R256" s="29">
        <f>IF(Amortizacion_Capital_Mensual!S256&gt;0, ROUND(Q256 - Amortizacion_Capital_Mensual!S256, 2), "")</f>
        <v/>
      </c>
      <c r="S256" s="29">
        <f>IF(Amortizacion_Capital_Mensual!T256&gt;0, ROUND(R256 - Amortizacion_Capital_Mensual!T256, 2), "")</f>
        <v/>
      </c>
      <c r="T256" s="29">
        <f>IF(Amortizacion_Capital_Mensual!U256&gt;0, ROUND(S256 - Amortizacion_Capital_Mensual!U256, 2), "")</f>
        <v/>
      </c>
      <c r="U256" s="29">
        <f>MAX(I256:T256)</f>
        <v/>
      </c>
    </row>
    <row r="257">
      <c r="A257" s="20" t="inlineStr">
        <is>
          <t>0764-0001</t>
        </is>
      </c>
      <c r="B257" s="21" t="inlineStr">
        <is>
          <t>Inspectores Marítimos de México, S. de R.L. de C.V.</t>
        </is>
      </c>
      <c r="C257" s="21" t="inlineStr">
        <is>
          <t>1200 Bighorn</t>
        </is>
      </c>
      <c r="D257" s="20" t="inlineStr">
        <is>
          <t>ACTIVO</t>
        </is>
      </c>
      <c r="E257" s="20" t="inlineStr">
        <is>
          <t>2026-06-30</t>
        </is>
      </c>
      <c r="F257" s="20" t="inlineStr">
        <is>
          <t>2029-06-30</t>
        </is>
      </c>
      <c r="G257" s="22" t="n">
        <v>36</v>
      </c>
      <c r="H257" s="23" t="n">
        <v>344940</v>
      </c>
      <c r="I257" s="23" t="inlineStr"/>
      <c r="J257" s="23" t="inlineStr"/>
      <c r="K257" s="23" t="inlineStr"/>
      <c r="L257" s="23" t="inlineStr"/>
      <c r="M257" s="23" t="inlineStr"/>
      <c r="N257" s="23">
        <f>IF(Amortizacion_Capital_Mensual!O257&gt;0, ROUND($H257 - Amortizacion_Capital_Mensual!O257, 2), "")</f>
        <v/>
      </c>
      <c r="O257" s="23">
        <f>IF(Amortizacion_Capital_Mensual!P257&gt;0, ROUND(N257 - Amortizacion_Capital_Mensual!P257, 2), "")</f>
        <v/>
      </c>
      <c r="P257" s="23">
        <f>IF(Amortizacion_Capital_Mensual!Q257&gt;0, ROUND(O257 - Amortizacion_Capital_Mensual!Q257, 2), "")</f>
        <v/>
      </c>
      <c r="Q257" s="23">
        <f>IF(Amortizacion_Capital_Mensual!R257&gt;0, ROUND(P257 - Amortizacion_Capital_Mensual!R257, 2), "")</f>
        <v/>
      </c>
      <c r="R257" s="23">
        <f>IF(Amortizacion_Capital_Mensual!S257&gt;0, ROUND(Q257 - Amortizacion_Capital_Mensual!S257, 2), "")</f>
        <v/>
      </c>
      <c r="S257" s="23">
        <f>IF(Amortizacion_Capital_Mensual!T257&gt;0, ROUND(R257 - Amortizacion_Capital_Mensual!T257, 2), "")</f>
        <v/>
      </c>
      <c r="T257" s="23">
        <f>IF(Amortizacion_Capital_Mensual!U257&gt;0, ROUND(S257 - Amortizacion_Capital_Mensual!U257, 2), "")</f>
        <v/>
      </c>
      <c r="U257" s="23">
        <f>MAX(I257:T257)</f>
        <v/>
      </c>
    </row>
    <row r="258">
      <c r="A258" s="26" t="inlineStr">
        <is>
          <t>0765-0001</t>
        </is>
      </c>
      <c r="B258" s="27" t="inlineStr">
        <is>
          <t>Rafael Soltero Sánchez</t>
        </is>
      </c>
      <c r="C258" s="27" t="inlineStr">
        <is>
          <t>1200 Bighorn</t>
        </is>
      </c>
      <c r="D258" s="26" t="inlineStr">
        <is>
          <t>ACTIVO</t>
        </is>
      </c>
      <c r="E258" s="26" t="inlineStr">
        <is>
          <t>2026-06-30</t>
        </is>
      </c>
      <c r="F258" s="26" t="inlineStr">
        <is>
          <t>2030-06-30</t>
        </is>
      </c>
      <c r="G258" s="28" t="n">
        <v>48</v>
      </c>
      <c r="H258" s="29" t="n">
        <v>544410</v>
      </c>
      <c r="I258" s="29" t="inlineStr"/>
      <c r="J258" s="29" t="inlineStr"/>
      <c r="K258" s="29" t="inlineStr"/>
      <c r="L258" s="29" t="inlineStr"/>
      <c r="M258" s="29" t="inlineStr"/>
      <c r="N258" s="29">
        <f>IF(Amortizacion_Capital_Mensual!O258&gt;0, ROUND($H258 - Amortizacion_Capital_Mensual!O258, 2), "")</f>
        <v/>
      </c>
      <c r="O258" s="29">
        <f>IF(Amortizacion_Capital_Mensual!P258&gt;0, ROUND(N258 - Amortizacion_Capital_Mensual!P258, 2), "")</f>
        <v/>
      </c>
      <c r="P258" s="29">
        <f>IF(Amortizacion_Capital_Mensual!Q258&gt;0, ROUND(O258 - Amortizacion_Capital_Mensual!Q258, 2), "")</f>
        <v/>
      </c>
      <c r="Q258" s="29">
        <f>IF(Amortizacion_Capital_Mensual!R258&gt;0, ROUND(P258 - Amortizacion_Capital_Mensual!R258, 2), "")</f>
        <v/>
      </c>
      <c r="R258" s="29">
        <f>IF(Amortizacion_Capital_Mensual!S258&gt;0, ROUND(Q258 - Amortizacion_Capital_Mensual!S258, 2), "")</f>
        <v/>
      </c>
      <c r="S258" s="29">
        <f>IF(Amortizacion_Capital_Mensual!T258&gt;0, ROUND(R258 - Amortizacion_Capital_Mensual!T258, 2), "")</f>
        <v/>
      </c>
      <c r="T258" s="29">
        <f>IF(Amortizacion_Capital_Mensual!U258&gt;0, ROUND(S258 - Amortizacion_Capital_Mensual!U258, 2), "")</f>
        <v/>
      </c>
      <c r="U258" s="29">
        <f>MAX(I258:T258)</f>
        <v/>
      </c>
    </row>
    <row r="259">
      <c r="A259" s="20" t="inlineStr">
        <is>
          <t>0766-0001</t>
        </is>
      </c>
      <c r="B259" s="21" t="inlineStr">
        <is>
          <t>Javier Alejandro Carbajal Chávez</t>
        </is>
      </c>
      <c r="C259" s="21" t="inlineStr">
        <is>
          <t>Jt Rubicon</t>
        </is>
      </c>
      <c r="D259" s="20" t="inlineStr">
        <is>
          <t>ACTIVO</t>
        </is>
      </c>
      <c r="E259" s="20" t="inlineStr">
        <is>
          <t>2026-06-30</t>
        </is>
      </c>
      <c r="F259" s="20" t="inlineStr">
        <is>
          <t>2030-06-30</t>
        </is>
      </c>
      <c r="G259" s="22" t="n">
        <v>48</v>
      </c>
      <c r="H259" s="23" t="n">
        <v>1419210</v>
      </c>
      <c r="I259" s="23" t="inlineStr"/>
      <c r="J259" s="23" t="inlineStr"/>
      <c r="K259" s="23" t="inlineStr"/>
      <c r="L259" s="23" t="inlineStr"/>
      <c r="M259" s="23" t="inlineStr"/>
      <c r="N259" s="23">
        <f>IF(Amortizacion_Capital_Mensual!O259&gt;0, ROUND($H259 - Amortizacion_Capital_Mensual!O259, 2), "")</f>
        <v/>
      </c>
      <c r="O259" s="23">
        <f>IF(Amortizacion_Capital_Mensual!P259&gt;0, ROUND(N259 - Amortizacion_Capital_Mensual!P259, 2), "")</f>
        <v/>
      </c>
      <c r="P259" s="23">
        <f>IF(Amortizacion_Capital_Mensual!Q259&gt;0, ROUND(O259 - Amortizacion_Capital_Mensual!Q259, 2), "")</f>
        <v/>
      </c>
      <c r="Q259" s="23">
        <f>IF(Amortizacion_Capital_Mensual!R259&gt;0, ROUND(P259 - Amortizacion_Capital_Mensual!R259, 2), "")</f>
        <v/>
      </c>
      <c r="R259" s="23">
        <f>IF(Amortizacion_Capital_Mensual!S259&gt;0, ROUND(Q259 - Amortizacion_Capital_Mensual!S259, 2), "")</f>
        <v/>
      </c>
      <c r="S259" s="23">
        <f>IF(Amortizacion_Capital_Mensual!T259&gt;0, ROUND(R259 - Amortizacion_Capital_Mensual!T259, 2), "")</f>
        <v/>
      </c>
      <c r="T259" s="23">
        <f>IF(Amortizacion_Capital_Mensual!U259&gt;0, ROUND(S259 - Amortizacion_Capital_Mensual!U259, 2), "")</f>
        <v/>
      </c>
      <c r="U259" s="23">
        <f>MAX(I259:T259)</f>
        <v/>
      </c>
    </row>
    <row r="260">
      <c r="A260" s="26" t="inlineStr">
        <is>
          <t>0767-0001</t>
        </is>
      </c>
      <c r="B260" s="27" t="inlineStr">
        <is>
          <t>Carlos Alberto Gutiérrez Hermosillo López</t>
        </is>
      </c>
      <c r="C260" s="27" t="inlineStr">
        <is>
          <t>Commander Overland</t>
        </is>
      </c>
      <c r="D260" s="26" t="inlineStr">
        <is>
          <t>ACTIVO</t>
        </is>
      </c>
      <c r="E260" s="26" t="inlineStr">
        <is>
          <t>2026-06-30</t>
        </is>
      </c>
      <c r="F260" s="26" t="inlineStr">
        <is>
          <t>2030-06-30</t>
        </is>
      </c>
      <c r="G260" s="28" t="n">
        <v>48</v>
      </c>
      <c r="H260" s="29" t="n">
        <v>503230</v>
      </c>
      <c r="I260" s="29" t="inlineStr"/>
      <c r="J260" s="29" t="inlineStr"/>
      <c r="K260" s="29" t="inlineStr"/>
      <c r="L260" s="29" t="inlineStr"/>
      <c r="M260" s="29" t="inlineStr"/>
      <c r="N260" s="29">
        <f>IF(Amortizacion_Capital_Mensual!O260&gt;0, ROUND($H260 - Amortizacion_Capital_Mensual!O260, 2), "")</f>
        <v/>
      </c>
      <c r="O260" s="29">
        <f>IF(Amortizacion_Capital_Mensual!P260&gt;0, ROUND(N260 - Amortizacion_Capital_Mensual!P260, 2), "")</f>
        <v/>
      </c>
      <c r="P260" s="29">
        <f>IF(Amortizacion_Capital_Mensual!Q260&gt;0, ROUND(O260 - Amortizacion_Capital_Mensual!Q260, 2), "")</f>
        <v/>
      </c>
      <c r="Q260" s="29">
        <f>IF(Amortizacion_Capital_Mensual!R260&gt;0, ROUND(P260 - Amortizacion_Capital_Mensual!R260, 2), "")</f>
        <v/>
      </c>
      <c r="R260" s="29">
        <f>IF(Amortizacion_Capital_Mensual!S260&gt;0, ROUND(Q260 - Amortizacion_Capital_Mensual!S260, 2), "")</f>
        <v/>
      </c>
      <c r="S260" s="29">
        <f>IF(Amortizacion_Capital_Mensual!T260&gt;0, ROUND(R260 - Amortizacion_Capital_Mensual!T260, 2), "")</f>
        <v/>
      </c>
      <c r="T260" s="29">
        <f>IF(Amortizacion_Capital_Mensual!U260&gt;0, ROUND(S260 - Amortizacion_Capital_Mensual!U260, 2), "")</f>
        <v/>
      </c>
      <c r="U260" s="29">
        <f>MAX(I260:T260)</f>
        <v/>
      </c>
    </row>
    <row r="261">
      <c r="A261" s="20" t="inlineStr">
        <is>
          <t>0768-0001</t>
        </is>
      </c>
      <c r="B261" s="21" t="inlineStr">
        <is>
          <t>Distribuidora y Comercializadora 2000, S.A. de C.V.</t>
        </is>
      </c>
      <c r="C261" s="21" t="inlineStr">
        <is>
          <t>Manager Furgon L4H2</t>
        </is>
      </c>
      <c r="D261" s="20" t="inlineStr">
        <is>
          <t>ACTIVO</t>
        </is>
      </c>
      <c r="E261" s="20" t="inlineStr">
        <is>
          <t>2026-06-29</t>
        </is>
      </c>
      <c r="F261" s="20" t="inlineStr">
        <is>
          <t>2027-06-29</t>
        </is>
      </c>
      <c r="G261" s="22" t="n">
        <v>12</v>
      </c>
      <c r="H261" s="23" t="n">
        <v>748170</v>
      </c>
      <c r="I261" s="23" t="inlineStr"/>
      <c r="J261" s="23" t="inlineStr"/>
      <c r="K261" s="23" t="inlineStr"/>
      <c r="L261" s="23" t="inlineStr"/>
      <c r="M261" s="23" t="inlineStr"/>
      <c r="N261" s="23">
        <f>IF(Amortizacion_Capital_Mensual!O261&gt;0, ROUND($H261 - Amortizacion_Capital_Mensual!O261, 2), "")</f>
        <v/>
      </c>
      <c r="O261" s="23">
        <f>IF(Amortizacion_Capital_Mensual!P261&gt;0, ROUND(N261 - Amortizacion_Capital_Mensual!P261, 2), "")</f>
        <v/>
      </c>
      <c r="P261" s="23">
        <f>IF(Amortizacion_Capital_Mensual!Q261&gt;0, ROUND(O261 - Amortizacion_Capital_Mensual!Q261, 2), "")</f>
        <v/>
      </c>
      <c r="Q261" s="23">
        <f>IF(Amortizacion_Capital_Mensual!R261&gt;0, ROUND(P261 - Amortizacion_Capital_Mensual!R261, 2), "")</f>
        <v/>
      </c>
      <c r="R261" s="23">
        <f>IF(Amortizacion_Capital_Mensual!S261&gt;0, ROUND(Q261 - Amortizacion_Capital_Mensual!S261, 2), "")</f>
        <v/>
      </c>
      <c r="S261" s="23">
        <f>IF(Amortizacion_Capital_Mensual!T261&gt;0, ROUND(R261 - Amortizacion_Capital_Mensual!T261, 2), "")</f>
        <v/>
      </c>
      <c r="T261" s="23">
        <f>IF(Amortizacion_Capital_Mensual!U261&gt;0, ROUND(S261 - Amortizacion_Capital_Mensual!U261, 2), "")</f>
        <v/>
      </c>
      <c r="U261" s="23">
        <f>MAX(I261:T261)</f>
        <v/>
      </c>
    </row>
    <row r="262">
      <c r="A262" s="26" t="inlineStr">
        <is>
          <t>0768-0002</t>
        </is>
      </c>
      <c r="B262" s="27" t="inlineStr">
        <is>
          <t>Distribuidora y Comercializadora 2000, S.A. de C.V.</t>
        </is>
      </c>
      <c r="C262" s="27" t="inlineStr">
        <is>
          <t>Manager Furgon L4H2</t>
        </is>
      </c>
      <c r="D262" s="26" t="inlineStr">
        <is>
          <t>ACTIVO</t>
        </is>
      </c>
      <c r="E262" s="26" t="inlineStr">
        <is>
          <t>2026-06-29</t>
        </is>
      </c>
      <c r="F262" s="26" t="inlineStr">
        <is>
          <t>2027-06-29</t>
        </is>
      </c>
      <c r="G262" s="28" t="n">
        <v>12</v>
      </c>
      <c r="H262" s="29" t="n">
        <v>770850</v>
      </c>
      <c r="I262" s="29" t="inlineStr"/>
      <c r="J262" s="29" t="inlineStr"/>
      <c r="K262" s="29" t="inlineStr"/>
      <c r="L262" s="29" t="inlineStr"/>
      <c r="M262" s="29" t="inlineStr"/>
      <c r="N262" s="29">
        <f>IF(Amortizacion_Capital_Mensual!O262&gt;0, ROUND($H262 - Amortizacion_Capital_Mensual!O262, 2), "")</f>
        <v/>
      </c>
      <c r="O262" s="29">
        <f>IF(Amortizacion_Capital_Mensual!P262&gt;0, ROUND(N262 - Amortizacion_Capital_Mensual!P262, 2), "")</f>
        <v/>
      </c>
      <c r="P262" s="29">
        <f>IF(Amortizacion_Capital_Mensual!Q262&gt;0, ROUND(O262 - Amortizacion_Capital_Mensual!Q262, 2), "")</f>
        <v/>
      </c>
      <c r="Q262" s="29">
        <f>IF(Amortizacion_Capital_Mensual!R262&gt;0, ROUND(P262 - Amortizacion_Capital_Mensual!R262, 2), "")</f>
        <v/>
      </c>
      <c r="R262" s="29">
        <f>IF(Amortizacion_Capital_Mensual!S262&gt;0, ROUND(Q262 - Amortizacion_Capital_Mensual!S262, 2), "")</f>
        <v/>
      </c>
      <c r="S262" s="29">
        <f>IF(Amortizacion_Capital_Mensual!T262&gt;0, ROUND(R262 - Amortizacion_Capital_Mensual!T262, 2), "")</f>
        <v/>
      </c>
      <c r="T262" s="29">
        <f>IF(Amortizacion_Capital_Mensual!U262&gt;0, ROUND(S262 - Amortizacion_Capital_Mensual!U262, 2), "")</f>
        <v/>
      </c>
      <c r="U262" s="29">
        <f>MAX(I262:T262)</f>
        <v/>
      </c>
    </row>
    <row r="263">
      <c r="A263" s="20" t="inlineStr">
        <is>
          <t>0769-0001</t>
        </is>
      </c>
      <c r="B263" s="21" t="inlineStr">
        <is>
          <t>Paloma Bernhardt Partida</t>
        </is>
      </c>
      <c r="C263" s="21" t="inlineStr">
        <is>
          <t>700 TRADESMAN CREW CAB</t>
        </is>
      </c>
      <c r="D263" s="20" t="inlineStr">
        <is>
          <t>ACTIVO</t>
        </is>
      </c>
      <c r="E263" s="20" t="inlineStr">
        <is>
          <t>2026-06-29</t>
        </is>
      </c>
      <c r="F263" s="20" t="inlineStr">
        <is>
          <t>2029-06-29</t>
        </is>
      </c>
      <c r="G263" s="22" t="n">
        <v>36</v>
      </c>
      <c r="H263" s="23" t="n">
        <v>344747.7</v>
      </c>
      <c r="I263" s="23" t="inlineStr"/>
      <c r="J263" s="23" t="inlineStr"/>
      <c r="K263" s="23" t="inlineStr"/>
      <c r="L263" s="23" t="inlineStr"/>
      <c r="M263" s="23" t="inlineStr"/>
      <c r="N263" s="23">
        <f>IF(Amortizacion_Capital_Mensual!O263&gt;0, ROUND($H263 - Amortizacion_Capital_Mensual!O263, 2), "")</f>
        <v/>
      </c>
      <c r="O263" s="23">
        <f>IF(Amortizacion_Capital_Mensual!P263&gt;0, ROUND(N263 - Amortizacion_Capital_Mensual!P263, 2), "")</f>
        <v/>
      </c>
      <c r="P263" s="23">
        <f>IF(Amortizacion_Capital_Mensual!Q263&gt;0, ROUND(O263 - Amortizacion_Capital_Mensual!Q263, 2), "")</f>
        <v/>
      </c>
      <c r="Q263" s="23">
        <f>IF(Amortizacion_Capital_Mensual!R263&gt;0, ROUND(P263 - Amortizacion_Capital_Mensual!R263, 2), "")</f>
        <v/>
      </c>
      <c r="R263" s="23">
        <f>IF(Amortizacion_Capital_Mensual!S263&gt;0, ROUND(Q263 - Amortizacion_Capital_Mensual!S263, 2), "")</f>
        <v/>
      </c>
      <c r="S263" s="23">
        <f>IF(Amortizacion_Capital_Mensual!T263&gt;0, ROUND(R263 - Amortizacion_Capital_Mensual!T263, 2), "")</f>
        <v/>
      </c>
      <c r="T263" s="23">
        <f>IF(Amortizacion_Capital_Mensual!U263&gt;0, ROUND(S263 - Amortizacion_Capital_Mensual!U263, 2), "")</f>
        <v/>
      </c>
      <c r="U263" s="23">
        <f>MAX(I263:T263)</f>
        <v/>
      </c>
    </row>
    <row r="264">
      <c r="A264" s="26" t="inlineStr">
        <is>
          <t>0769-0002</t>
        </is>
      </c>
      <c r="B264" s="27" t="inlineStr">
        <is>
          <t>Paloma Bernhardt Partida</t>
        </is>
      </c>
      <c r="C264" s="27" t="inlineStr">
        <is>
          <t>Ram 700 Tradesman 2026</t>
        </is>
      </c>
      <c r="D264" s="26" t="inlineStr">
        <is>
          <t>ACTIVO</t>
        </is>
      </c>
      <c r="E264" s="26" t="inlineStr">
        <is>
          <t>2026-09-23</t>
        </is>
      </c>
      <c r="F264" s="26" t="inlineStr">
        <is>
          <t>2029-09-23</t>
        </is>
      </c>
      <c r="G264" s="28" t="n">
        <v>36</v>
      </c>
      <c r="H264" s="29" t="n">
        <v>299830.35</v>
      </c>
      <c r="I264" s="29" t="inlineStr"/>
      <c r="J264" s="29" t="inlineStr"/>
      <c r="K264" s="29" t="inlineStr"/>
      <c r="L264" s="29" t="inlineStr"/>
      <c r="M264" s="29" t="inlineStr"/>
      <c r="N264" s="29" t="inlineStr"/>
      <c r="O264" s="29" t="inlineStr"/>
      <c r="P264" s="29" t="inlineStr"/>
      <c r="Q264" s="29">
        <f>IF(Amortizacion_Capital_Mensual!R264&gt;0, ROUND($H264 - Amortizacion_Capital_Mensual!R264, 2), "")</f>
        <v/>
      </c>
      <c r="R264" s="29">
        <f>IF(Amortizacion_Capital_Mensual!S264&gt;0, ROUND(Q264 - Amortizacion_Capital_Mensual!S264, 2), "")</f>
        <v/>
      </c>
      <c r="S264" s="29">
        <f>IF(Amortizacion_Capital_Mensual!T264&gt;0, ROUND(R264 - Amortizacion_Capital_Mensual!T264, 2), "")</f>
        <v/>
      </c>
      <c r="T264" s="29">
        <f>IF(Amortizacion_Capital_Mensual!U264&gt;0, ROUND(S264 - Amortizacion_Capital_Mensual!U264, 2), "")</f>
        <v/>
      </c>
      <c r="U264" s="29">
        <f>MAX(I264:T264)</f>
        <v/>
      </c>
    </row>
    <row r="265">
      <c r="A265" s="20" t="inlineStr">
        <is>
          <t>0770-0001</t>
        </is>
      </c>
      <c r="B265" s="21" t="inlineStr">
        <is>
          <t>Jorge Octavio Micher Camarena</t>
        </is>
      </c>
      <c r="C265" s="21" t="inlineStr">
        <is>
          <t>Jeep Cherokee Overland 2026</t>
        </is>
      </c>
      <c r="D265" s="20" t="inlineStr">
        <is>
          <t>ACTIVO</t>
        </is>
      </c>
      <c r="E265" s="20" t="inlineStr">
        <is>
          <t>2026-07-24</t>
        </is>
      </c>
      <c r="F265" s="20" t="inlineStr">
        <is>
          <t>2029-07-24</t>
        </is>
      </c>
      <c r="G265" s="22" t="n">
        <v>36</v>
      </c>
      <c r="H265" s="23" t="n">
        <v>550286.3</v>
      </c>
      <c r="I265" s="23" t="inlineStr"/>
      <c r="J265" s="23" t="inlineStr"/>
      <c r="K265" s="23" t="inlineStr"/>
      <c r="L265" s="23" t="inlineStr"/>
      <c r="M265" s="23" t="inlineStr"/>
      <c r="N265" s="23" t="inlineStr"/>
      <c r="O265" s="23">
        <f>IF(Amortizacion_Capital_Mensual!P265&gt;0, ROUND($H265 - Amortizacion_Capital_Mensual!P265, 2), "")</f>
        <v/>
      </c>
      <c r="P265" s="23">
        <f>IF(Amortizacion_Capital_Mensual!Q265&gt;0, ROUND(O265 - Amortizacion_Capital_Mensual!Q265, 2), "")</f>
        <v/>
      </c>
      <c r="Q265" s="23">
        <f>IF(Amortizacion_Capital_Mensual!R265&gt;0, ROUND(P265 - Amortizacion_Capital_Mensual!R265, 2), "")</f>
        <v/>
      </c>
      <c r="R265" s="23">
        <f>IF(Amortizacion_Capital_Mensual!S265&gt;0, ROUND(Q265 - Amortizacion_Capital_Mensual!S265, 2), "")</f>
        <v/>
      </c>
      <c r="S265" s="23">
        <f>IF(Amortizacion_Capital_Mensual!T265&gt;0, ROUND(R265 - Amortizacion_Capital_Mensual!T265, 2), "")</f>
        <v/>
      </c>
      <c r="T265" s="23">
        <f>IF(Amortizacion_Capital_Mensual!U265&gt;0, ROUND(S265 - Amortizacion_Capital_Mensual!U265, 2), "")</f>
        <v/>
      </c>
      <c r="U265" s="23">
        <f>MAX(I265:T265)</f>
        <v/>
      </c>
    </row>
    <row r="266">
      <c r="A266" s="26" t="inlineStr">
        <is>
          <t>0771-0001</t>
        </is>
      </c>
      <c r="B266" s="27" t="inlineStr">
        <is>
          <t>Inbcom de Colima</t>
        </is>
      </c>
      <c r="C266" s="27" t="inlineStr">
        <is>
          <t>Ram 1200 Tradesman CC 2026</t>
        </is>
      </c>
      <c r="D266" s="26" t="inlineStr">
        <is>
          <t>ACTIVO</t>
        </is>
      </c>
      <c r="E266" s="26" t="inlineStr">
        <is>
          <t>2026-07-31</t>
        </is>
      </c>
      <c r="F266" s="26" t="inlineStr">
        <is>
          <t>2027-07-31</t>
        </is>
      </c>
      <c r="G266" s="28" t="n">
        <v>12</v>
      </c>
      <c r="H266" s="29" t="n">
        <v>391732.76</v>
      </c>
      <c r="I266" s="29" t="inlineStr"/>
      <c r="J266" s="29" t="inlineStr"/>
      <c r="K266" s="29" t="inlineStr"/>
      <c r="L266" s="29" t="inlineStr"/>
      <c r="M266" s="29" t="inlineStr"/>
      <c r="N266" s="29" t="inlineStr"/>
      <c r="O266" s="29">
        <f>IF(Amortizacion_Capital_Mensual!P266&gt;0, ROUND($H266 - Amortizacion_Capital_Mensual!P266, 2), "")</f>
        <v/>
      </c>
      <c r="P266" s="29">
        <f>IF(Amortizacion_Capital_Mensual!Q266&gt;0, ROUND(O266 - Amortizacion_Capital_Mensual!Q266, 2), "")</f>
        <v/>
      </c>
      <c r="Q266" s="29">
        <f>IF(Amortizacion_Capital_Mensual!R266&gt;0, ROUND(P266 - Amortizacion_Capital_Mensual!R266, 2), "")</f>
        <v/>
      </c>
      <c r="R266" s="29">
        <f>IF(Amortizacion_Capital_Mensual!S266&gt;0, ROUND(Q266 - Amortizacion_Capital_Mensual!S266, 2), "")</f>
        <v/>
      </c>
      <c r="S266" s="29">
        <f>IF(Amortizacion_Capital_Mensual!T266&gt;0, ROUND(R266 - Amortizacion_Capital_Mensual!T266, 2), "")</f>
        <v/>
      </c>
      <c r="T266" s="29">
        <f>IF(Amortizacion_Capital_Mensual!U266&gt;0, ROUND(S266 - Amortizacion_Capital_Mensual!U266, 2), "")</f>
        <v/>
      </c>
      <c r="U266" s="29">
        <f>MAX(I266:T266)</f>
        <v/>
      </c>
    </row>
    <row r="267">
      <c r="A267" s="20" t="inlineStr">
        <is>
          <t>0772-0001</t>
        </is>
      </c>
      <c r="B267" s="21" t="inlineStr">
        <is>
          <t>Logistica y Transporte de Carga LGT</t>
        </is>
      </c>
      <c r="C267" s="21" t="inlineStr">
        <is>
          <t>Ram 1200 Laramie 2026</t>
        </is>
      </c>
      <c r="D267" s="20" t="inlineStr">
        <is>
          <t>ACTIVO</t>
        </is>
      </c>
      <c r="E267" s="20" t="inlineStr">
        <is>
          <t>2026-07-31</t>
        </is>
      </c>
      <c r="F267" s="20" t="inlineStr">
        <is>
          <t>2030-07-31</t>
        </is>
      </c>
      <c r="G267" s="22" t="n">
        <v>48</v>
      </c>
      <c r="H267" s="23" t="n">
        <v>479241.38</v>
      </c>
      <c r="I267" s="23" t="inlineStr"/>
      <c r="J267" s="23" t="inlineStr"/>
      <c r="K267" s="23" t="inlineStr"/>
      <c r="L267" s="23" t="inlineStr"/>
      <c r="M267" s="23" t="inlineStr"/>
      <c r="N267" s="23" t="inlineStr"/>
      <c r="O267" s="23">
        <f>IF(Amortizacion_Capital_Mensual!P267&gt;0, ROUND($H267 - Amortizacion_Capital_Mensual!P267, 2), "")</f>
        <v/>
      </c>
      <c r="P267" s="23">
        <f>IF(Amortizacion_Capital_Mensual!Q267&gt;0, ROUND(O267 - Amortizacion_Capital_Mensual!Q267, 2), "")</f>
        <v/>
      </c>
      <c r="Q267" s="23">
        <f>IF(Amortizacion_Capital_Mensual!R267&gt;0, ROUND(P267 - Amortizacion_Capital_Mensual!R267, 2), "")</f>
        <v/>
      </c>
      <c r="R267" s="23">
        <f>IF(Amortizacion_Capital_Mensual!S267&gt;0, ROUND(Q267 - Amortizacion_Capital_Mensual!S267, 2), "")</f>
        <v/>
      </c>
      <c r="S267" s="23">
        <f>IF(Amortizacion_Capital_Mensual!T267&gt;0, ROUND(R267 - Amortizacion_Capital_Mensual!T267, 2), "")</f>
        <v/>
      </c>
      <c r="T267" s="23">
        <f>IF(Amortizacion_Capital_Mensual!U267&gt;0, ROUND(S267 - Amortizacion_Capital_Mensual!U267, 2), "")</f>
        <v/>
      </c>
      <c r="U267" s="23">
        <f>MAX(I267:T267)</f>
        <v/>
      </c>
    </row>
    <row r="268">
      <c r="A268" s="26" t="inlineStr">
        <is>
          <t>0773-0001</t>
        </is>
      </c>
      <c r="B268" s="27" t="inlineStr">
        <is>
          <t>Industrias Besthelg, S.A. de C.V.</t>
        </is>
      </c>
      <c r="C268" s="27" t="inlineStr">
        <is>
          <t>Peugeot Manager Furgon L2H2 2026</t>
        </is>
      </c>
      <c r="D268" s="26" t="inlineStr">
        <is>
          <t>ACTIVO</t>
        </is>
      </c>
      <c r="E268" s="26" t="inlineStr">
        <is>
          <t>2026-08-06</t>
        </is>
      </c>
      <c r="F268" s="26" t="inlineStr">
        <is>
          <t>2029-08-06</t>
        </is>
      </c>
      <c r="G268" s="28" t="n">
        <v>36</v>
      </c>
      <c r="H268" s="29" t="n">
        <v>664461.12</v>
      </c>
      <c r="I268" s="29" t="inlineStr"/>
      <c r="J268" s="29" t="inlineStr"/>
      <c r="K268" s="29" t="inlineStr"/>
      <c r="L268" s="29" t="inlineStr"/>
      <c r="M268" s="29" t="inlineStr"/>
      <c r="N268" s="29" t="inlineStr"/>
      <c r="O268" s="29" t="inlineStr"/>
      <c r="P268" s="29">
        <f>IF(Amortizacion_Capital_Mensual!Q268&gt;0, ROUND($H268 - Amortizacion_Capital_Mensual!Q268, 2), "")</f>
        <v/>
      </c>
      <c r="Q268" s="29">
        <f>IF(Amortizacion_Capital_Mensual!R268&gt;0, ROUND(P268 - Amortizacion_Capital_Mensual!R268, 2), "")</f>
        <v/>
      </c>
      <c r="R268" s="29">
        <f>IF(Amortizacion_Capital_Mensual!S268&gt;0, ROUND(Q268 - Amortizacion_Capital_Mensual!S268, 2), "")</f>
        <v/>
      </c>
      <c r="S268" s="29">
        <f>IF(Amortizacion_Capital_Mensual!T268&gt;0, ROUND(R268 - Amortizacion_Capital_Mensual!T268, 2), "")</f>
        <v/>
      </c>
      <c r="T268" s="29">
        <f>IF(Amortizacion_Capital_Mensual!U268&gt;0, ROUND(S268 - Amortizacion_Capital_Mensual!U268, 2), "")</f>
        <v/>
      </c>
      <c r="U268" s="29">
        <f>MAX(I268:T268)</f>
        <v/>
      </c>
    </row>
    <row r="269">
      <c r="A269" s="20" t="inlineStr">
        <is>
          <t>0773-0002</t>
        </is>
      </c>
      <c r="B269" s="21" t="inlineStr">
        <is>
          <t>Industrias Besthelg, S.A. de C.V.</t>
        </is>
      </c>
      <c r="C269" s="21" t="inlineStr">
        <is>
          <t>Peugeot Manager L4H2 2027</t>
        </is>
      </c>
      <c r="D269" s="20" t="inlineStr">
        <is>
          <t>ACTIVO</t>
        </is>
      </c>
      <c r="E269" s="20" t="inlineStr">
        <is>
          <t>2026-07-31</t>
        </is>
      </c>
      <c r="F269" s="20" t="inlineStr">
        <is>
          <t>2029-07-31</t>
        </is>
      </c>
      <c r="G269" s="22" t="n">
        <v>36</v>
      </c>
      <c r="H269" s="23" t="n">
        <v>761120.6899999999</v>
      </c>
      <c r="I269" s="23" t="inlineStr"/>
      <c r="J269" s="23" t="inlineStr"/>
      <c r="K269" s="23" t="inlineStr"/>
      <c r="L269" s="23" t="inlineStr"/>
      <c r="M269" s="23" t="inlineStr"/>
      <c r="N269" s="23" t="inlineStr"/>
      <c r="O269" s="23">
        <f>IF(Amortizacion_Capital_Mensual!P269&gt;0, ROUND($H269 - Amortizacion_Capital_Mensual!P269, 2), "")</f>
        <v/>
      </c>
      <c r="P269" s="23">
        <f>IF(Amortizacion_Capital_Mensual!Q269&gt;0, ROUND(O269 - Amortizacion_Capital_Mensual!Q269, 2), "")</f>
        <v/>
      </c>
      <c r="Q269" s="23">
        <f>IF(Amortizacion_Capital_Mensual!R269&gt;0, ROUND(P269 - Amortizacion_Capital_Mensual!R269, 2), "")</f>
        <v/>
      </c>
      <c r="R269" s="23">
        <f>IF(Amortizacion_Capital_Mensual!S269&gt;0, ROUND(Q269 - Amortizacion_Capital_Mensual!S269, 2), "")</f>
        <v/>
      </c>
      <c r="S269" s="23">
        <f>IF(Amortizacion_Capital_Mensual!T269&gt;0, ROUND(R269 - Amortizacion_Capital_Mensual!T269, 2), "")</f>
        <v/>
      </c>
      <c r="T269" s="23">
        <f>IF(Amortizacion_Capital_Mensual!U269&gt;0, ROUND(S269 - Amortizacion_Capital_Mensual!U269, 2), "")</f>
        <v/>
      </c>
      <c r="U269" s="23">
        <f>MAX(I269:T269)</f>
        <v/>
      </c>
    </row>
    <row r="270">
      <c r="A270" s="26" t="inlineStr">
        <is>
          <t>0774-0001</t>
        </is>
      </c>
      <c r="B270" s="27" t="inlineStr">
        <is>
          <t>Grupo Plastikrom</t>
        </is>
      </c>
      <c r="C270" s="27" t="inlineStr">
        <is>
          <t>Jeep Cherokee Overland 2026</t>
        </is>
      </c>
      <c r="D270" s="26" t="inlineStr">
        <is>
          <t>ACTIVO</t>
        </is>
      </c>
      <c r="E270" s="26" t="inlineStr">
        <is>
          <t>2026-08-28</t>
        </is>
      </c>
      <c r="F270" s="26" t="inlineStr">
        <is>
          <t>2028-08-28</t>
        </is>
      </c>
      <c r="G270" s="28" t="n">
        <v>24</v>
      </c>
      <c r="H270" s="29" t="n">
        <v>537873.36</v>
      </c>
      <c r="I270" s="29" t="inlineStr"/>
      <c r="J270" s="29" t="inlineStr"/>
      <c r="K270" s="29" t="inlineStr"/>
      <c r="L270" s="29" t="inlineStr"/>
      <c r="M270" s="29" t="inlineStr"/>
      <c r="N270" s="29" t="inlineStr"/>
      <c r="O270" s="29" t="inlineStr"/>
      <c r="P270" s="29">
        <f>IF(Amortizacion_Capital_Mensual!Q270&gt;0, ROUND($H270 - Amortizacion_Capital_Mensual!Q270, 2), "")</f>
        <v/>
      </c>
      <c r="Q270" s="29">
        <f>IF(Amortizacion_Capital_Mensual!R270&gt;0, ROUND(P270 - Amortizacion_Capital_Mensual!R270, 2), "")</f>
        <v/>
      </c>
      <c r="R270" s="29">
        <f>IF(Amortizacion_Capital_Mensual!S270&gt;0, ROUND(Q270 - Amortizacion_Capital_Mensual!S270, 2), "")</f>
        <v/>
      </c>
      <c r="S270" s="29">
        <f>IF(Amortizacion_Capital_Mensual!T270&gt;0, ROUND(R270 - Amortizacion_Capital_Mensual!T270, 2), "")</f>
        <v/>
      </c>
      <c r="T270" s="29">
        <f>IF(Amortizacion_Capital_Mensual!U270&gt;0, ROUND(S270 - Amortizacion_Capital_Mensual!U270, 2), "")</f>
        <v/>
      </c>
      <c r="U270" s="29">
        <f>MAX(I270:T270)</f>
        <v/>
      </c>
    </row>
    <row r="271">
      <c r="A271" s="20" t="inlineStr">
        <is>
          <t>0775-0001</t>
        </is>
      </c>
      <c r="B271" s="21" t="inlineStr">
        <is>
          <t>Manuel Ledezma Iñiguez</t>
        </is>
      </c>
      <c r="C271" s="21" t="inlineStr">
        <is>
          <t>Leapmotor B10 2026</t>
        </is>
      </c>
      <c r="D271" s="20" t="inlineStr">
        <is>
          <t>ACTIVO</t>
        </is>
      </c>
      <c r="E271" s="20" t="inlineStr">
        <is>
          <t>2026-08-26</t>
        </is>
      </c>
      <c r="F271" s="20" t="inlineStr">
        <is>
          <t>2030-08-26</t>
        </is>
      </c>
      <c r="G271" s="22" t="n">
        <v>48</v>
      </c>
      <c r="H271" s="23" t="n">
        <v>299250</v>
      </c>
      <c r="I271" s="23" t="inlineStr"/>
      <c r="J271" s="23" t="inlineStr"/>
      <c r="K271" s="23" t="inlineStr"/>
      <c r="L271" s="23" t="inlineStr"/>
      <c r="M271" s="23" t="inlineStr"/>
      <c r="N271" s="23" t="inlineStr"/>
      <c r="O271" s="23" t="inlineStr"/>
      <c r="P271" s="23">
        <f>IF(Amortizacion_Capital_Mensual!Q271&gt;0, ROUND($H271 - Amortizacion_Capital_Mensual!Q271, 2), "")</f>
        <v/>
      </c>
      <c r="Q271" s="23">
        <f>IF(Amortizacion_Capital_Mensual!R271&gt;0, ROUND(P271 - Amortizacion_Capital_Mensual!R271, 2), "")</f>
        <v/>
      </c>
      <c r="R271" s="23">
        <f>IF(Amortizacion_Capital_Mensual!S271&gt;0, ROUND(Q271 - Amortizacion_Capital_Mensual!S271, 2), "")</f>
        <v/>
      </c>
      <c r="S271" s="23">
        <f>IF(Amortizacion_Capital_Mensual!T271&gt;0, ROUND(R271 - Amortizacion_Capital_Mensual!T271, 2), "")</f>
        <v/>
      </c>
      <c r="T271" s="23">
        <f>IF(Amortizacion_Capital_Mensual!U271&gt;0, ROUND(S271 - Amortizacion_Capital_Mensual!U271, 2), "")</f>
        <v/>
      </c>
      <c r="U271" s="23">
        <f>MAX(I271:T271)</f>
        <v/>
      </c>
    </row>
    <row r="272">
      <c r="A272" s="26" t="inlineStr">
        <is>
          <t>0776-0001</t>
        </is>
      </c>
      <c r="B272" s="27" t="inlineStr">
        <is>
          <t>Armando Serna Hernández</t>
        </is>
      </c>
      <c r="C272" s="27" t="inlineStr">
        <is>
          <t>Jeep Grand Cherokee Limited 2026</t>
        </is>
      </c>
      <c r="D272" s="26" t="inlineStr">
        <is>
          <t>ACTIVO</t>
        </is>
      </c>
      <c r="E272" s="26" t="inlineStr">
        <is>
          <t>2026-08-26</t>
        </is>
      </c>
      <c r="F272" s="26" t="inlineStr">
        <is>
          <t>2030-08-26</t>
        </is>
      </c>
      <c r="G272" s="28" t="n">
        <v>48</v>
      </c>
      <c r="H272" s="29" t="n">
        <v>964758.62</v>
      </c>
      <c r="I272" s="29" t="inlineStr"/>
      <c r="J272" s="29" t="inlineStr"/>
      <c r="K272" s="29" t="inlineStr"/>
      <c r="L272" s="29" t="inlineStr"/>
      <c r="M272" s="29" t="inlineStr"/>
      <c r="N272" s="29" t="inlineStr"/>
      <c r="O272" s="29" t="inlineStr"/>
      <c r="P272" s="29">
        <f>IF(Amortizacion_Capital_Mensual!Q272&gt;0, ROUND($H272 - Amortizacion_Capital_Mensual!Q272, 2), "")</f>
        <v/>
      </c>
      <c r="Q272" s="29">
        <f>IF(Amortizacion_Capital_Mensual!R272&gt;0, ROUND(P272 - Amortizacion_Capital_Mensual!R272, 2), "")</f>
        <v/>
      </c>
      <c r="R272" s="29">
        <f>IF(Amortizacion_Capital_Mensual!S272&gt;0, ROUND(Q272 - Amortizacion_Capital_Mensual!S272, 2), "")</f>
        <v/>
      </c>
      <c r="S272" s="29">
        <f>IF(Amortizacion_Capital_Mensual!T272&gt;0, ROUND(R272 - Amortizacion_Capital_Mensual!T272, 2), "")</f>
        <v/>
      </c>
      <c r="T272" s="29">
        <f>IF(Amortizacion_Capital_Mensual!U272&gt;0, ROUND(S272 - Amortizacion_Capital_Mensual!U272, 2), "")</f>
        <v/>
      </c>
      <c r="U272" s="29">
        <f>MAX(I272:T272)</f>
        <v/>
      </c>
    </row>
    <row r="273">
      <c r="A273" s="20" t="inlineStr">
        <is>
          <t>0777-0001</t>
        </is>
      </c>
      <c r="B273" s="21" t="inlineStr">
        <is>
          <t>Yazmin Alejandra Gomez Olivas</t>
        </is>
      </c>
      <c r="C273" s="21" t="inlineStr">
        <is>
          <t>Jeep Wrangler Rubicon 2026</t>
        </is>
      </c>
      <c r="D273" s="20" t="inlineStr">
        <is>
          <t>ACTIVO</t>
        </is>
      </c>
      <c r="E273" s="20" t="inlineStr">
        <is>
          <t>2026-08-31</t>
        </is>
      </c>
      <c r="F273" s="20" t="inlineStr">
        <is>
          <t>2030-08-31</t>
        </is>
      </c>
      <c r="G273" s="22" t="n">
        <v>48</v>
      </c>
      <c r="H273" s="23" t="n">
        <v>840543.1</v>
      </c>
      <c r="I273" s="23" t="inlineStr"/>
      <c r="J273" s="23" t="inlineStr"/>
      <c r="K273" s="23" t="inlineStr"/>
      <c r="L273" s="23" t="inlineStr"/>
      <c r="M273" s="23" t="inlineStr"/>
      <c r="N273" s="23" t="inlineStr"/>
      <c r="O273" s="23" t="inlineStr"/>
      <c r="P273" s="23">
        <f>IF(Amortizacion_Capital_Mensual!Q273&gt;0, ROUND($H273 - Amortizacion_Capital_Mensual!Q273, 2), "")</f>
        <v/>
      </c>
      <c r="Q273" s="23">
        <f>IF(Amortizacion_Capital_Mensual!R273&gt;0, ROUND(P273 - Amortizacion_Capital_Mensual!R273, 2), "")</f>
        <v/>
      </c>
      <c r="R273" s="23">
        <f>IF(Amortizacion_Capital_Mensual!S273&gt;0, ROUND(Q273 - Amortizacion_Capital_Mensual!S273, 2), "")</f>
        <v/>
      </c>
      <c r="S273" s="23">
        <f>IF(Amortizacion_Capital_Mensual!T273&gt;0, ROUND(R273 - Amortizacion_Capital_Mensual!T273, 2), "")</f>
        <v/>
      </c>
      <c r="T273" s="23">
        <f>IF(Amortizacion_Capital_Mensual!U273&gt;0, ROUND(S273 - Amortizacion_Capital_Mensual!U273, 2), "")</f>
        <v/>
      </c>
      <c r="U273" s="23">
        <f>MAX(I273:T273)</f>
        <v/>
      </c>
    </row>
    <row r="274">
      <c r="A274" s="26" t="inlineStr">
        <is>
          <t>0778-0001</t>
        </is>
      </c>
      <c r="B274" s="27" t="inlineStr">
        <is>
          <t>Construcciones y Desarrollos Inmobile, S.A. de C.V.</t>
        </is>
      </c>
      <c r="C274" s="27" t="inlineStr">
        <is>
          <t>Mitsubishi L200 2026</t>
        </is>
      </c>
      <c r="D274" s="26" t="inlineStr">
        <is>
          <t>ACTIVO</t>
        </is>
      </c>
      <c r="E274" s="26" t="inlineStr">
        <is>
          <t>2026-08-31</t>
        </is>
      </c>
      <c r="F274" s="26" t="inlineStr">
        <is>
          <t>2028-08-31</t>
        </is>
      </c>
      <c r="G274" s="28" t="n">
        <v>24</v>
      </c>
      <c r="H274" s="29" t="n">
        <v>309271.56</v>
      </c>
      <c r="I274" s="29" t="inlineStr"/>
      <c r="J274" s="29" t="inlineStr"/>
      <c r="K274" s="29" t="inlineStr"/>
      <c r="L274" s="29" t="inlineStr"/>
      <c r="M274" s="29" t="inlineStr"/>
      <c r="N274" s="29" t="inlineStr"/>
      <c r="O274" s="29" t="inlineStr"/>
      <c r="P274" s="29">
        <f>IF(Amortizacion_Capital_Mensual!Q274&gt;0, ROUND($H274 - Amortizacion_Capital_Mensual!Q274, 2), "")</f>
        <v/>
      </c>
      <c r="Q274" s="29">
        <f>IF(Amortizacion_Capital_Mensual!R274&gt;0, ROUND(P274 - Amortizacion_Capital_Mensual!R274, 2), "")</f>
        <v/>
      </c>
      <c r="R274" s="29">
        <f>IF(Amortizacion_Capital_Mensual!S274&gt;0, ROUND(Q274 - Amortizacion_Capital_Mensual!S274, 2), "")</f>
        <v/>
      </c>
      <c r="S274" s="29">
        <f>IF(Amortizacion_Capital_Mensual!T274&gt;0, ROUND(R274 - Amortizacion_Capital_Mensual!T274, 2), "")</f>
        <v/>
      </c>
      <c r="T274" s="29">
        <f>IF(Amortizacion_Capital_Mensual!U274&gt;0, ROUND(S274 - Amortizacion_Capital_Mensual!U274, 2), "")</f>
        <v/>
      </c>
      <c r="U274" s="29">
        <f>MAX(I274:T274)</f>
        <v/>
      </c>
    </row>
    <row r="275">
      <c r="A275" s="20" t="inlineStr">
        <is>
          <t>0779-0001</t>
        </is>
      </c>
      <c r="B275" s="21" t="inlineStr">
        <is>
          <t>Margarita Kaplun Mucharrafille</t>
        </is>
      </c>
      <c r="C275" s="21" t="inlineStr">
        <is>
          <t>Ram 700 Bighorn 2026</t>
        </is>
      </c>
      <c r="D275" s="20" t="inlineStr">
        <is>
          <t>ACTIVO</t>
        </is>
      </c>
      <c r="E275" s="20" t="inlineStr">
        <is>
          <t>2026-09-03</t>
        </is>
      </c>
      <c r="F275" s="20" t="inlineStr">
        <is>
          <t>2030-09-03</t>
        </is>
      </c>
      <c r="G275" s="22" t="n">
        <v>48</v>
      </c>
      <c r="H275" s="23" t="n">
        <v>222959.48</v>
      </c>
      <c r="I275" s="23" t="inlineStr"/>
      <c r="J275" s="23" t="inlineStr"/>
      <c r="K275" s="23" t="inlineStr"/>
      <c r="L275" s="23" t="inlineStr"/>
      <c r="M275" s="23" t="inlineStr"/>
      <c r="N275" s="23" t="inlineStr"/>
      <c r="O275" s="23" t="inlineStr"/>
      <c r="P275" s="23" t="inlineStr"/>
      <c r="Q275" s="23">
        <f>IF(Amortizacion_Capital_Mensual!R275&gt;0, ROUND($H275 - Amortizacion_Capital_Mensual!R275, 2), "")</f>
        <v/>
      </c>
      <c r="R275" s="23">
        <f>IF(Amortizacion_Capital_Mensual!S275&gt;0, ROUND(Q275 - Amortizacion_Capital_Mensual!S275, 2), "")</f>
        <v/>
      </c>
      <c r="S275" s="23">
        <f>IF(Amortizacion_Capital_Mensual!T275&gt;0, ROUND(R275 - Amortizacion_Capital_Mensual!T275, 2), "")</f>
        <v/>
      </c>
      <c r="T275" s="23">
        <f>IF(Amortizacion_Capital_Mensual!U275&gt;0, ROUND(S275 - Amortizacion_Capital_Mensual!U275, 2), "")</f>
        <v/>
      </c>
      <c r="U275" s="23">
        <f>MAX(I275:T275)</f>
        <v/>
      </c>
    </row>
    <row r="276">
      <c r="A276" s="26" t="inlineStr">
        <is>
          <t>0780-0001</t>
        </is>
      </c>
      <c r="B276" s="27" t="inlineStr">
        <is>
          <t>David Rosendo Cedeño Guerrero</t>
        </is>
      </c>
      <c r="C276" s="27" t="inlineStr">
        <is>
          <t>Suzuki Jimny 2027</t>
        </is>
      </c>
      <c r="D276" s="26" t="inlineStr">
        <is>
          <t>ACTIVO</t>
        </is>
      </c>
      <c r="E276" s="26" t="inlineStr">
        <is>
          <t>2026-09-03</t>
        </is>
      </c>
      <c r="F276" s="26" t="inlineStr">
        <is>
          <t>2030-09-03</t>
        </is>
      </c>
      <c r="G276" s="28" t="n">
        <v>48</v>
      </c>
      <c r="H276" s="29" t="n">
        <v>418181.89</v>
      </c>
      <c r="I276" s="29" t="inlineStr"/>
      <c r="J276" s="29" t="inlineStr"/>
      <c r="K276" s="29" t="inlineStr"/>
      <c r="L276" s="29" t="inlineStr"/>
      <c r="M276" s="29" t="inlineStr"/>
      <c r="N276" s="29" t="inlineStr"/>
      <c r="O276" s="29" t="inlineStr"/>
      <c r="P276" s="29" t="inlineStr"/>
      <c r="Q276" s="29">
        <f>IF(Amortizacion_Capital_Mensual!R276&gt;0, ROUND($H276 - Amortizacion_Capital_Mensual!R276, 2), "")</f>
        <v/>
      </c>
      <c r="R276" s="29">
        <f>IF(Amortizacion_Capital_Mensual!S276&gt;0, ROUND(Q276 - Amortizacion_Capital_Mensual!S276, 2), "")</f>
        <v/>
      </c>
      <c r="S276" s="29">
        <f>IF(Amortizacion_Capital_Mensual!T276&gt;0, ROUND(R276 - Amortizacion_Capital_Mensual!T276, 2), "")</f>
        <v/>
      </c>
      <c r="T276" s="29">
        <f>IF(Amortizacion_Capital_Mensual!U276&gt;0, ROUND(S276 - Amortizacion_Capital_Mensual!U276, 2), "")</f>
        <v/>
      </c>
      <c r="U276" s="29">
        <f>MAX(I276:T276)</f>
        <v/>
      </c>
    </row>
    <row r="277">
      <c r="A277" s="20" t="inlineStr">
        <is>
          <t>0781-0001</t>
        </is>
      </c>
      <c r="B277" s="21" t="inlineStr">
        <is>
          <t>Northstar Marine &amp; Civil, S.A. de C.V.</t>
        </is>
      </c>
      <c r="C277" s="21" t="inlineStr">
        <is>
          <t>Sany Motoniveladora 2026</t>
        </is>
      </c>
      <c r="D277" s="20" t="inlineStr">
        <is>
          <t>ACTIVO</t>
        </is>
      </c>
      <c r="E277" s="20" t="inlineStr">
        <is>
          <t>2026-09-25</t>
        </is>
      </c>
      <c r="F277" s="20" t="inlineStr">
        <is>
          <t>2028-09-25</t>
        </is>
      </c>
      <c r="G277" s="22" t="n">
        <v>24</v>
      </c>
      <c r="H277" s="23" t="n">
        <v>2621684.14</v>
      </c>
      <c r="I277" s="23" t="inlineStr"/>
      <c r="J277" s="23" t="inlineStr"/>
      <c r="K277" s="23" t="inlineStr"/>
      <c r="L277" s="23" t="inlineStr"/>
      <c r="M277" s="23" t="inlineStr"/>
      <c r="N277" s="23" t="inlineStr"/>
      <c r="O277" s="23" t="inlineStr"/>
      <c r="P277" s="23" t="inlineStr"/>
      <c r="Q277" s="23">
        <f>IF(Amortizacion_Capital_Mensual!R277&gt;0, ROUND($H277 - Amortizacion_Capital_Mensual!R277, 2), "")</f>
        <v/>
      </c>
      <c r="R277" s="23">
        <f>IF(Amortizacion_Capital_Mensual!S277&gt;0, ROUND(Q277 - Amortizacion_Capital_Mensual!S277, 2), "")</f>
        <v/>
      </c>
      <c r="S277" s="23">
        <f>IF(Amortizacion_Capital_Mensual!T277&gt;0, ROUND(R277 - Amortizacion_Capital_Mensual!T277, 2), "")</f>
        <v/>
      </c>
      <c r="T277" s="23">
        <f>IF(Amortizacion_Capital_Mensual!U277&gt;0, ROUND(S277 - Amortizacion_Capital_Mensual!U277, 2), "")</f>
        <v/>
      </c>
      <c r="U277" s="23">
        <f>MAX(I277:T277)</f>
        <v/>
      </c>
    </row>
    <row r="278">
      <c r="A278" s="26" t="inlineStr">
        <is>
          <t>0783-0001</t>
        </is>
      </c>
      <c r="B278" s="27" t="inlineStr">
        <is>
          <t>Nuup Trading, S.A. de C.V.</t>
        </is>
      </c>
      <c r="C278" s="27" t="inlineStr">
        <is>
          <t>Jeep Renegade 2026</t>
        </is>
      </c>
      <c r="D278" s="26" t="inlineStr">
        <is>
          <t>ACTIVO</t>
        </is>
      </c>
      <c r="E278" s="26" t="inlineStr">
        <is>
          <t>2026-09-22</t>
        </is>
      </c>
      <c r="F278" s="26" t="inlineStr">
        <is>
          <t>2028-09-22</t>
        </is>
      </c>
      <c r="G278" s="28" t="n">
        <v>24</v>
      </c>
      <c r="H278" s="29" t="n">
        <v>302870.69</v>
      </c>
      <c r="I278" s="29" t="inlineStr"/>
      <c r="J278" s="29" t="inlineStr"/>
      <c r="K278" s="29" t="inlineStr"/>
      <c r="L278" s="29" t="inlineStr"/>
      <c r="M278" s="29" t="inlineStr"/>
      <c r="N278" s="29" t="inlineStr"/>
      <c r="O278" s="29" t="inlineStr"/>
      <c r="P278" s="29" t="inlineStr"/>
      <c r="Q278" s="29">
        <f>IF(Amortizacion_Capital_Mensual!R278&gt;0, ROUND($H278 - Amortizacion_Capital_Mensual!R278, 2), "")</f>
        <v/>
      </c>
      <c r="R278" s="29">
        <f>IF(Amortizacion_Capital_Mensual!S278&gt;0, ROUND(Q278 - Amortizacion_Capital_Mensual!S278, 2), "")</f>
        <v/>
      </c>
      <c r="S278" s="29">
        <f>IF(Amortizacion_Capital_Mensual!T278&gt;0, ROUND(R278 - Amortizacion_Capital_Mensual!T278, 2), "")</f>
        <v/>
      </c>
      <c r="T278" s="29">
        <f>IF(Amortizacion_Capital_Mensual!U278&gt;0, ROUND(S278 - Amortizacion_Capital_Mensual!U278, 2), "")</f>
        <v/>
      </c>
      <c r="U278" s="29">
        <f>MAX(I278:T278)</f>
        <v/>
      </c>
    </row>
    <row r="279">
      <c r="A279" s="20" t="inlineStr">
        <is>
          <t>0784-0001</t>
        </is>
      </c>
      <c r="B279" s="21" t="inlineStr">
        <is>
          <t>Enruta App, S.A. de C.V.</t>
        </is>
      </c>
      <c r="C279" s="21" t="inlineStr">
        <is>
          <t>Dodge Attitude GT 2026</t>
        </is>
      </c>
      <c r="D279" s="20" t="inlineStr">
        <is>
          <t>ACTIVO</t>
        </is>
      </c>
      <c r="E279" s="20" t="inlineStr">
        <is>
          <t>2026-09-22</t>
        </is>
      </c>
      <c r="F279" s="20" t="inlineStr">
        <is>
          <t>2027-09-22</t>
        </is>
      </c>
      <c r="G279" s="22" t="n">
        <v>12</v>
      </c>
      <c r="H279" s="23" t="n">
        <v>318360.69</v>
      </c>
      <c r="I279" s="23" t="inlineStr"/>
      <c r="J279" s="23" t="inlineStr"/>
      <c r="K279" s="23" t="inlineStr"/>
      <c r="L279" s="23" t="inlineStr"/>
      <c r="M279" s="23" t="inlineStr"/>
      <c r="N279" s="23" t="inlineStr"/>
      <c r="O279" s="23" t="inlineStr"/>
      <c r="P279" s="23" t="inlineStr"/>
      <c r="Q279" s="23">
        <f>IF(Amortizacion_Capital_Mensual!R279&gt;0, ROUND($H279 - Amortizacion_Capital_Mensual!R279, 2), "")</f>
        <v/>
      </c>
      <c r="R279" s="23">
        <f>IF(Amortizacion_Capital_Mensual!S279&gt;0, ROUND(Q279 - Amortizacion_Capital_Mensual!S279, 2), "")</f>
        <v/>
      </c>
      <c r="S279" s="23">
        <f>IF(Amortizacion_Capital_Mensual!T279&gt;0, ROUND(R279 - Amortizacion_Capital_Mensual!T279, 2), "")</f>
        <v/>
      </c>
      <c r="T279" s="23">
        <f>IF(Amortizacion_Capital_Mensual!U279&gt;0, ROUND(S279 - Amortizacion_Capital_Mensual!U279, 2), "")</f>
        <v/>
      </c>
      <c r="U279" s="23">
        <f>MAX(I279:T279)</f>
        <v/>
      </c>
    </row>
    <row r="280">
      <c r="A280" s="26" t="inlineStr">
        <is>
          <t>0785-0001</t>
        </is>
      </c>
      <c r="B280" s="27" t="inlineStr">
        <is>
          <t>Velazquez Guerrero y Asociados, S.C.</t>
        </is>
      </c>
      <c r="C280" s="27" t="inlineStr">
        <is>
          <t>Peugeot Rifter Allure Pack 2027</t>
        </is>
      </c>
      <c r="D280" s="26" t="inlineStr">
        <is>
          <t>ACTIVO</t>
        </is>
      </c>
      <c r="E280" s="26" t="inlineStr">
        <is>
          <t>2026-09-28</t>
        </is>
      </c>
      <c r="F280" s="26" t="inlineStr">
        <is>
          <t>2028-09-28</t>
        </is>
      </c>
      <c r="G280" s="28" t="n">
        <v>24</v>
      </c>
      <c r="H280" s="29" t="n">
        <v>339767.58</v>
      </c>
      <c r="I280" s="29" t="inlineStr"/>
      <c r="J280" s="29" t="inlineStr"/>
      <c r="K280" s="29" t="inlineStr"/>
      <c r="L280" s="29" t="inlineStr"/>
      <c r="M280" s="29" t="inlineStr"/>
      <c r="N280" s="29" t="inlineStr"/>
      <c r="O280" s="29" t="inlineStr"/>
      <c r="P280" s="29" t="inlineStr"/>
      <c r="Q280" s="29">
        <f>IF(Amortizacion_Capital_Mensual!R280&gt;0, ROUND($H280 - Amortizacion_Capital_Mensual!R280, 2), "")</f>
        <v/>
      </c>
      <c r="R280" s="29">
        <f>IF(Amortizacion_Capital_Mensual!S280&gt;0, ROUND(Q280 - Amortizacion_Capital_Mensual!S280, 2), "")</f>
        <v/>
      </c>
      <c r="S280" s="29">
        <f>IF(Amortizacion_Capital_Mensual!T280&gt;0, ROUND(R280 - Amortizacion_Capital_Mensual!T280, 2), "")</f>
        <v/>
      </c>
      <c r="T280" s="29">
        <f>IF(Amortizacion_Capital_Mensual!U280&gt;0, ROUND(S280 - Amortizacion_Capital_Mensual!U280, 2), "")</f>
        <v/>
      </c>
      <c r="U280" s="29">
        <f>MAX(I280:T280)</f>
        <v/>
      </c>
    </row>
    <row r="281">
      <c r="A281" s="20" t="inlineStr">
        <is>
          <t>0786-0001</t>
        </is>
      </c>
      <c r="B281" s="21" t="inlineStr">
        <is>
          <t>Consejería Jurídico Empresarial, S.C.</t>
        </is>
      </c>
      <c r="C281" s="21" t="inlineStr">
        <is>
          <t>Mitsubishi Outlander Sport Limited 2027</t>
        </is>
      </c>
      <c r="D281" s="20" t="inlineStr">
        <is>
          <t>ACTIVO</t>
        </is>
      </c>
      <c r="E281" s="20" t="inlineStr">
        <is>
          <t>2026-09-28</t>
        </is>
      </c>
      <c r="F281" s="20" t="inlineStr">
        <is>
          <t>2028-09-28</t>
        </is>
      </c>
      <c r="G281" s="22" t="n">
        <v>24</v>
      </c>
      <c r="H281" s="23" t="n">
        <v>333009.31</v>
      </c>
      <c r="I281" s="23" t="inlineStr"/>
      <c r="J281" s="23" t="inlineStr"/>
      <c r="K281" s="23" t="inlineStr"/>
      <c r="L281" s="23" t="inlineStr"/>
      <c r="M281" s="23" t="inlineStr"/>
      <c r="N281" s="23" t="inlineStr"/>
      <c r="O281" s="23" t="inlineStr"/>
      <c r="P281" s="23" t="inlineStr"/>
      <c r="Q281" s="23">
        <f>IF(Amortizacion_Capital_Mensual!R281&gt;0, ROUND($H281 - Amortizacion_Capital_Mensual!R281, 2), "")</f>
        <v/>
      </c>
      <c r="R281" s="23">
        <f>IF(Amortizacion_Capital_Mensual!S281&gt;0, ROUND(Q281 - Amortizacion_Capital_Mensual!S281, 2), "")</f>
        <v/>
      </c>
      <c r="S281" s="23">
        <f>IF(Amortizacion_Capital_Mensual!T281&gt;0, ROUND(R281 - Amortizacion_Capital_Mensual!T281, 2), "")</f>
        <v/>
      </c>
      <c r="T281" s="23">
        <f>IF(Amortizacion_Capital_Mensual!U281&gt;0, ROUND(S281 - Amortizacion_Capital_Mensual!U281, 2), "")</f>
        <v/>
      </c>
      <c r="U281" s="23">
        <f>MAX(I281:T281)</f>
        <v/>
      </c>
    </row>
    <row r="282">
      <c r="A282" s="32" t="inlineStr">
        <is>
          <t>TOTAL CARTERA</t>
        </is>
      </c>
      <c r="B282" s="33" t="inlineStr">
        <is>
          <t>277 Contratos</t>
        </is>
      </c>
      <c r="C282" s="34" t="n"/>
      <c r="D282" s="34" t="n"/>
      <c r="E282" s="34" t="n"/>
      <c r="F282" s="34" t="n"/>
      <c r="G282" s="34" t="n"/>
      <c r="H282" s="34" t="n"/>
      <c r="I282" s="35">
        <f>SUM(I5:I281)</f>
        <v/>
      </c>
      <c r="J282" s="35">
        <f>SUM(J5:J281)</f>
        <v/>
      </c>
      <c r="K282" s="35">
        <f>SUM(K5:K281)</f>
        <v/>
      </c>
      <c r="L282" s="35">
        <f>SUM(L5:L281)</f>
        <v/>
      </c>
      <c r="M282" s="35">
        <f>SUM(M5:M281)</f>
        <v/>
      </c>
      <c r="N282" s="35">
        <f>SUM(N5:N281)</f>
        <v/>
      </c>
      <c r="O282" s="35">
        <f>SUM(O5:O281)</f>
        <v/>
      </c>
      <c r="P282" s="35">
        <f>SUM(P5:P281)</f>
        <v/>
      </c>
      <c r="Q282" s="35">
        <f>SUM(Q5:Q281)</f>
        <v/>
      </c>
      <c r="R282" s="35">
        <f>SUM(R5:R281)</f>
        <v/>
      </c>
      <c r="S282" s="35">
        <f>SUM(S5:S281)</f>
        <v/>
      </c>
      <c r="T282" s="35">
        <f>SUM(T5:T281)</f>
        <v/>
      </c>
      <c r="U282" s="35">
        <f>SUM(U5:U281)</f>
        <v/>
      </c>
    </row>
  </sheetData>
  <autoFilter ref="A4:U281"/>
  <mergeCells count="2">
    <mergeCell ref="A1:O1"/>
    <mergeCell ref="A2:O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82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2" customWidth="1" min="4" max="4"/>
    <col width="13" customWidth="1" min="5" max="5"/>
    <col width="15" customWidth="1" min="6" max="6"/>
    <col width="10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24" customHeight="1">
      <c r="A1" s="18" t="inlineStr">
        <is>
          <t>O-LEASING · UNA APP DE ORANGE CREW · Saldos de Intereses por Devengar al Cierre de Cada Mes</t>
        </is>
      </c>
    </row>
    <row r="2" ht="16" customHeight="1">
      <c r="A2" s="3" t="inlineStr">
        <is>
          <t>Intereses remanentes con fórmulas vivas: Saldo_Anterior - Intereses_Leasing_Devengados · Auditoría Financiera NIF C-15 / IFRS 16 · Desarrollado por Orange Crew</t>
        </is>
      </c>
    </row>
    <row r="4" ht="26" customHeight="1">
      <c r="A4" s="19" t="inlineStr">
        <is>
          <t>ID_Contrato</t>
        </is>
      </c>
      <c r="B4" s="19" t="inlineStr">
        <is>
          <t>Cliente</t>
        </is>
      </c>
      <c r="C4" s="19" t="inlineStr">
        <is>
          <t>Vehiculo</t>
        </is>
      </c>
      <c r="D4" s="19" t="inlineStr">
        <is>
          <t>Estatus</t>
        </is>
      </c>
      <c r="E4" s="19" t="inlineStr">
        <is>
          <t>Fecha_Alta</t>
        </is>
      </c>
      <c r="F4" s="19" t="inlineStr">
        <is>
          <t>Fecha_Vencimiento</t>
        </is>
      </c>
      <c r="G4" s="19" t="inlineStr">
        <is>
          <t>Plazo</t>
        </is>
      </c>
      <c r="H4" s="19" t="inlineStr">
        <is>
          <t>Total_Interes_Pactado</t>
        </is>
      </c>
      <c r="I4" s="9" t="inlineStr">
        <is>
          <t>2026-01</t>
        </is>
      </c>
      <c r="J4" s="9" t="inlineStr">
        <is>
          <t>2026-02</t>
        </is>
      </c>
      <c r="K4" s="9" t="inlineStr">
        <is>
          <t>2026-03</t>
        </is>
      </c>
      <c r="L4" s="9" t="inlineStr">
        <is>
          <t>2026-04</t>
        </is>
      </c>
      <c r="M4" s="9" t="inlineStr">
        <is>
          <t>2026-05</t>
        </is>
      </c>
      <c r="N4" s="9" t="inlineStr">
        <is>
          <t>2026-06</t>
        </is>
      </c>
      <c r="O4" s="9" t="inlineStr">
        <is>
          <t>2026-07</t>
        </is>
      </c>
      <c r="P4" s="9" t="inlineStr">
        <is>
          <t>2026-08</t>
        </is>
      </c>
      <c r="Q4" s="9" t="inlineStr">
        <is>
          <t>2026-09</t>
        </is>
      </c>
      <c r="R4" s="9" t="inlineStr">
        <is>
          <t>2026-10</t>
        </is>
      </c>
      <c r="S4" s="9" t="inlineStr">
        <is>
          <t>2026-11</t>
        </is>
      </c>
      <c r="T4" s="9" t="inlineStr">
        <is>
          <t>2026-12</t>
        </is>
      </c>
      <c r="U4" s="46" t="inlineStr">
        <is>
          <t>Saldo_Interes_Cierre</t>
        </is>
      </c>
    </row>
    <row r="5">
      <c r="A5" s="20" t="inlineStr">
        <is>
          <t>0326-0003</t>
        </is>
      </c>
      <c r="B5" s="21" t="inlineStr">
        <is>
          <t>Alberto Vázquez Solorio</t>
        </is>
      </c>
      <c r="C5" s="21" t="inlineStr">
        <is>
          <t>Volkswagen Tiguan R-Line 2026</t>
        </is>
      </c>
      <c r="D5" s="20" t="inlineStr">
        <is>
          <t>ACTIVO</t>
        </is>
      </c>
      <c r="E5" s="20" t="inlineStr">
        <is>
          <t>2026-09-16</t>
        </is>
      </c>
      <c r="F5" s="20" t="inlineStr">
        <is>
          <t>2030-09-16</t>
        </is>
      </c>
      <c r="G5" s="22" t="n">
        <v>48</v>
      </c>
      <c r="H5" s="23" t="n">
        <v>177438.5</v>
      </c>
      <c r="I5" s="23" t="inlineStr"/>
      <c r="J5" s="23" t="inlineStr"/>
      <c r="K5" s="23" t="inlineStr"/>
      <c r="L5" s="23" t="inlineStr"/>
      <c r="M5" s="23" t="inlineStr"/>
      <c r="N5" s="23" t="inlineStr"/>
      <c r="O5" s="23" t="inlineStr"/>
      <c r="P5" s="23" t="inlineStr"/>
      <c r="Q5" s="23">
        <f>IF(Intereses_Leasing_Mensual!Q5&gt;0, ROUND($H5 - Intereses_Leasing_Mensual!Q5, 2), "")</f>
        <v/>
      </c>
      <c r="R5" s="23">
        <f>IF(Intereses_Leasing_Mensual!R5&gt;0, ROUND(Q5 - Intereses_Leasing_Mensual!R5, 2), "")</f>
        <v/>
      </c>
      <c r="S5" s="23">
        <f>IF(Intereses_Leasing_Mensual!S5&gt;0, ROUND(R5 - Intereses_Leasing_Mensual!S5, 2), "")</f>
        <v/>
      </c>
      <c r="T5" s="23">
        <f>IF(Intereses_Leasing_Mensual!T5&gt;0, ROUND(S5 - Intereses_Leasing_Mensual!T5, 2), "")</f>
        <v/>
      </c>
      <c r="U5" s="23">
        <f>MAX(I5:T5)</f>
        <v/>
      </c>
    </row>
    <row r="6">
      <c r="A6" s="26" t="inlineStr">
        <is>
          <t>0472-0003</t>
        </is>
      </c>
      <c r="B6" s="27" t="inlineStr">
        <is>
          <t>Miguel Zazueta Beltrán</t>
        </is>
      </c>
      <c r="C6" s="27" t="inlineStr">
        <is>
          <t>Jeep Grand Cherokee</t>
        </is>
      </c>
      <c r="D6" s="26" t="inlineStr">
        <is>
          <t>ACTIVO</t>
        </is>
      </c>
      <c r="E6" s="26" t="inlineStr">
        <is>
          <t>2026-02-03</t>
        </is>
      </c>
      <c r="F6" s="26" t="inlineStr">
        <is>
          <t>2029-02-03</t>
        </is>
      </c>
      <c r="G6" s="28" t="n">
        <v>36</v>
      </c>
      <c r="H6" s="29" t="n">
        <v>530673.83</v>
      </c>
      <c r="I6" s="29" t="inlineStr"/>
      <c r="J6" s="29">
        <f>IF(Intereses_Leasing_Mensual!J6&gt;0, ROUND($H6 - Intereses_Leasing_Mensual!J6, 2), "")</f>
        <v/>
      </c>
      <c r="K6" s="29">
        <f>IF(Intereses_Leasing_Mensual!K6&gt;0, ROUND(J6 - Intereses_Leasing_Mensual!K6, 2), "")</f>
        <v/>
      </c>
      <c r="L6" s="29">
        <f>IF(Intereses_Leasing_Mensual!L6&gt;0, ROUND(K6 - Intereses_Leasing_Mensual!L6, 2), "")</f>
        <v/>
      </c>
      <c r="M6" s="29">
        <f>IF(Intereses_Leasing_Mensual!M6&gt;0, ROUND(L6 - Intereses_Leasing_Mensual!M6, 2), "")</f>
        <v/>
      </c>
      <c r="N6" s="29">
        <f>IF(Intereses_Leasing_Mensual!N6&gt;0, ROUND(M6 - Intereses_Leasing_Mensual!N6, 2), "")</f>
        <v/>
      </c>
      <c r="O6" s="29">
        <f>IF(Intereses_Leasing_Mensual!O6&gt;0, ROUND(N6 - Intereses_Leasing_Mensual!O6, 2), "")</f>
        <v/>
      </c>
      <c r="P6" s="29">
        <f>IF(Intereses_Leasing_Mensual!P6&gt;0, ROUND(O6 - Intereses_Leasing_Mensual!P6, 2), "")</f>
        <v/>
      </c>
      <c r="Q6" s="29">
        <f>IF(Intereses_Leasing_Mensual!Q6&gt;0, ROUND(P6 - Intereses_Leasing_Mensual!Q6, 2), "")</f>
        <v/>
      </c>
      <c r="R6" s="29">
        <f>IF(Intereses_Leasing_Mensual!R6&gt;0, ROUND(Q6 - Intereses_Leasing_Mensual!R6, 2), "")</f>
        <v/>
      </c>
      <c r="S6" s="29">
        <f>IF(Intereses_Leasing_Mensual!S6&gt;0, ROUND(R6 - Intereses_Leasing_Mensual!S6, 2), "")</f>
        <v/>
      </c>
      <c r="T6" s="29">
        <f>IF(Intereses_Leasing_Mensual!T6&gt;0, ROUND(S6 - Intereses_Leasing_Mensual!T6, 2), "")</f>
        <v/>
      </c>
      <c r="U6" s="29">
        <f>MAX(I6:T6)</f>
        <v/>
      </c>
    </row>
    <row r="7">
      <c r="A7" s="20" t="inlineStr">
        <is>
          <t>0504-0004</t>
        </is>
      </c>
      <c r="B7" s="21" t="inlineStr">
        <is>
          <t>Oscar Ivan Lozano Terriquez</t>
        </is>
      </c>
      <c r="C7" s="21" t="inlineStr">
        <is>
          <t>700 BIGHORN "S" CREW CAB MT</t>
        </is>
      </c>
      <c r="D7" s="20" t="inlineStr">
        <is>
          <t>ACTIVO</t>
        </is>
      </c>
      <c r="E7" s="20" t="inlineStr">
        <is>
          <t>2026-01-05</t>
        </is>
      </c>
      <c r="F7" s="20" t="inlineStr">
        <is>
          <t>2027-01-05</t>
        </is>
      </c>
      <c r="G7" s="22" t="n">
        <v>12</v>
      </c>
      <c r="H7" s="23" t="n">
        <v>41980.68</v>
      </c>
      <c r="I7" s="23">
        <f>IF(Intereses_Leasing_Mensual!I7&gt;0, ROUND($H7 - Intereses_Leasing_Mensual!I7, 2), "")</f>
        <v/>
      </c>
      <c r="J7" s="23">
        <f>IF(Intereses_Leasing_Mensual!J7&gt;0, ROUND(I7 - Intereses_Leasing_Mensual!J7, 2), "")</f>
        <v/>
      </c>
      <c r="K7" s="23">
        <f>IF(Intereses_Leasing_Mensual!K7&gt;0, ROUND(J7 - Intereses_Leasing_Mensual!K7, 2), "")</f>
        <v/>
      </c>
      <c r="L7" s="23">
        <f>IF(Intereses_Leasing_Mensual!L7&gt;0, ROUND(K7 - Intereses_Leasing_Mensual!L7, 2), "")</f>
        <v/>
      </c>
      <c r="M7" s="23">
        <f>IF(Intereses_Leasing_Mensual!M7&gt;0, ROUND(L7 - Intereses_Leasing_Mensual!M7, 2), "")</f>
        <v/>
      </c>
      <c r="N7" s="23">
        <f>IF(Intereses_Leasing_Mensual!N7&gt;0, ROUND(M7 - Intereses_Leasing_Mensual!N7, 2), "")</f>
        <v/>
      </c>
      <c r="O7" s="23">
        <f>IF(Intereses_Leasing_Mensual!O7&gt;0, ROUND(N7 - Intereses_Leasing_Mensual!O7, 2), "")</f>
        <v/>
      </c>
      <c r="P7" s="23">
        <f>IF(Intereses_Leasing_Mensual!P7&gt;0, ROUND(O7 - Intereses_Leasing_Mensual!P7, 2), "")</f>
        <v/>
      </c>
      <c r="Q7" s="23">
        <f>IF(Intereses_Leasing_Mensual!Q7&gt;0, ROUND(P7 - Intereses_Leasing_Mensual!Q7, 2), "")</f>
        <v/>
      </c>
      <c r="R7" s="23">
        <f>IF(Intereses_Leasing_Mensual!R7&gt;0, ROUND(Q7 - Intereses_Leasing_Mensual!R7, 2), "")</f>
        <v/>
      </c>
      <c r="S7" s="23">
        <f>IF(Intereses_Leasing_Mensual!S7&gt;0, ROUND(R7 - Intereses_Leasing_Mensual!S7, 2), "")</f>
        <v/>
      </c>
      <c r="T7" s="23">
        <f>IF(Intereses_Leasing_Mensual!T7&gt;0, ROUND(S7 - Intereses_Leasing_Mensual!T7, 2), "")</f>
        <v/>
      </c>
      <c r="U7" s="23">
        <f>MAX(I7:T7)</f>
        <v/>
      </c>
    </row>
    <row r="8">
      <c r="A8" s="26" t="inlineStr">
        <is>
          <t>0506-0006</t>
        </is>
      </c>
      <c r="B8" s="27" t="inlineStr">
        <is>
          <t>Electronic Accounting Sa de Cv</t>
        </is>
      </c>
      <c r="C8" s="27" t="inlineStr">
        <is>
          <t>X5</t>
        </is>
      </c>
      <c r="D8" s="26" t="inlineStr">
        <is>
          <t>ACTIVO</t>
        </is>
      </c>
      <c r="E8" s="26" t="inlineStr">
        <is>
          <t>2024-01-10</t>
        </is>
      </c>
      <c r="F8" s="26" t="inlineStr">
        <is>
          <t>2027-01-10</t>
        </is>
      </c>
      <c r="G8" s="28" t="n">
        <v>36</v>
      </c>
      <c r="H8" s="29" t="n">
        <v>512717.18</v>
      </c>
      <c r="I8" s="29">
        <f>IF(Intereses_Leasing_Mensual!I8&gt;0, ROUND(126187.97 - Intereses_Leasing_Mensual!I8, 2), "")</f>
        <v/>
      </c>
      <c r="J8" s="29">
        <f>IF(Intereses_Leasing_Mensual!J8&gt;0, ROUND(I8 - Intereses_Leasing_Mensual!J8, 2), "")</f>
        <v/>
      </c>
      <c r="K8" s="29">
        <f>IF(Intereses_Leasing_Mensual!K8&gt;0, ROUND(J8 - Intereses_Leasing_Mensual!K8, 2), "")</f>
        <v/>
      </c>
      <c r="L8" s="29">
        <f>IF(Intereses_Leasing_Mensual!L8&gt;0, ROUND(K8 - Intereses_Leasing_Mensual!L8, 2), "")</f>
        <v/>
      </c>
      <c r="M8" s="29">
        <f>IF(Intereses_Leasing_Mensual!M8&gt;0, ROUND(L8 - Intereses_Leasing_Mensual!M8, 2), "")</f>
        <v/>
      </c>
      <c r="N8" s="29">
        <f>IF(Intereses_Leasing_Mensual!N8&gt;0, ROUND(M8 - Intereses_Leasing_Mensual!N8, 2), "")</f>
        <v/>
      </c>
      <c r="O8" s="29">
        <f>IF(Intereses_Leasing_Mensual!O8&gt;0, ROUND(N8 - Intereses_Leasing_Mensual!O8, 2), "")</f>
        <v/>
      </c>
      <c r="P8" s="29">
        <f>IF(Intereses_Leasing_Mensual!P8&gt;0, ROUND(O8 - Intereses_Leasing_Mensual!P8, 2), "")</f>
        <v/>
      </c>
      <c r="Q8" s="29">
        <f>IF(Intereses_Leasing_Mensual!Q8&gt;0, ROUND(P8 - Intereses_Leasing_Mensual!Q8, 2), "")</f>
        <v/>
      </c>
      <c r="R8" s="29">
        <f>IF(Intereses_Leasing_Mensual!R8&gt;0, ROUND(Q8 - Intereses_Leasing_Mensual!R8, 2), "")</f>
        <v/>
      </c>
      <c r="S8" s="29">
        <f>IF(Intereses_Leasing_Mensual!S8&gt;0, ROUND(R8 - Intereses_Leasing_Mensual!S8, 2), "")</f>
        <v/>
      </c>
      <c r="T8" s="29">
        <f>IF(Intereses_Leasing_Mensual!T8&gt;0, ROUND(S8 - Intereses_Leasing_Mensual!T8, 2), "")</f>
        <v/>
      </c>
      <c r="U8" s="29">
        <f>MAX(I8:T8)</f>
        <v/>
      </c>
    </row>
    <row r="9">
      <c r="A9" s="20" t="inlineStr">
        <is>
          <t>0506-0007</t>
        </is>
      </c>
      <c r="B9" s="21" t="inlineStr">
        <is>
          <t>Electronic Acounting</t>
        </is>
      </c>
      <c r="C9" s="21" t="inlineStr">
        <is>
          <t>L200 Glx Diesel</t>
        </is>
      </c>
      <c r="D9" s="20" t="inlineStr">
        <is>
          <t>ACTIVO</t>
        </is>
      </c>
      <c r="E9" s="20" t="inlineStr">
        <is>
          <t>2024-09-05</t>
        </is>
      </c>
      <c r="F9" s="20" t="inlineStr">
        <is>
          <t>2027-09-05</t>
        </is>
      </c>
      <c r="G9" s="22" t="n">
        <v>36</v>
      </c>
      <c r="H9" s="23" t="n">
        <v>252868.84</v>
      </c>
      <c r="I9" s="23">
        <f>IF(Intereses_Leasing_Mensual!I9&gt;0, ROUND(113083.8 - Intereses_Leasing_Mensual!I9, 2), "")</f>
        <v/>
      </c>
      <c r="J9" s="23">
        <f>IF(Intereses_Leasing_Mensual!J9&gt;0, ROUND(I9 - Intereses_Leasing_Mensual!J9, 2), "")</f>
        <v/>
      </c>
      <c r="K9" s="23">
        <f>IF(Intereses_Leasing_Mensual!K9&gt;0, ROUND(J9 - Intereses_Leasing_Mensual!K9, 2), "")</f>
        <v/>
      </c>
      <c r="L9" s="23">
        <f>IF(Intereses_Leasing_Mensual!L9&gt;0, ROUND(K9 - Intereses_Leasing_Mensual!L9, 2), "")</f>
        <v/>
      </c>
      <c r="M9" s="23">
        <f>IF(Intereses_Leasing_Mensual!M9&gt;0, ROUND(L9 - Intereses_Leasing_Mensual!M9, 2), "")</f>
        <v/>
      </c>
      <c r="N9" s="23">
        <f>IF(Intereses_Leasing_Mensual!N9&gt;0, ROUND(M9 - Intereses_Leasing_Mensual!N9, 2), "")</f>
        <v/>
      </c>
      <c r="O9" s="23">
        <f>IF(Intereses_Leasing_Mensual!O9&gt;0, ROUND(N9 - Intereses_Leasing_Mensual!O9, 2), "")</f>
        <v/>
      </c>
      <c r="P9" s="23">
        <f>IF(Intereses_Leasing_Mensual!P9&gt;0, ROUND(O9 - Intereses_Leasing_Mensual!P9, 2), "")</f>
        <v/>
      </c>
      <c r="Q9" s="23">
        <f>IF(Intereses_Leasing_Mensual!Q9&gt;0, ROUND(P9 - Intereses_Leasing_Mensual!Q9, 2), "")</f>
        <v/>
      </c>
      <c r="R9" s="23">
        <f>IF(Intereses_Leasing_Mensual!R9&gt;0, ROUND(Q9 - Intereses_Leasing_Mensual!R9, 2), "")</f>
        <v/>
      </c>
      <c r="S9" s="23">
        <f>IF(Intereses_Leasing_Mensual!S9&gt;0, ROUND(R9 - Intereses_Leasing_Mensual!S9, 2), "")</f>
        <v/>
      </c>
      <c r="T9" s="23">
        <f>IF(Intereses_Leasing_Mensual!T9&gt;0, ROUND(S9 - Intereses_Leasing_Mensual!T9, 2), "")</f>
        <v/>
      </c>
      <c r="U9" s="23">
        <f>MAX(I9:T9)</f>
        <v/>
      </c>
    </row>
    <row r="10">
      <c r="A10" s="26" t="inlineStr">
        <is>
          <t>0519-0005</t>
        </is>
      </c>
      <c r="B10" s="27" t="inlineStr">
        <is>
          <t>Tequilas el Mexicano S.A. de C.V.</t>
        </is>
      </c>
      <c r="C10" s="27" t="inlineStr">
        <is>
          <t>Attitude Sport</t>
        </is>
      </c>
      <c r="D10" s="26" t="inlineStr">
        <is>
          <t>ACTIVO</t>
        </is>
      </c>
      <c r="E10" s="26" t="inlineStr">
        <is>
          <t>2025-07-14</t>
        </is>
      </c>
      <c r="F10" s="26" t="inlineStr">
        <is>
          <t>2029-07-14</t>
        </is>
      </c>
      <c r="G10" s="28" t="n">
        <v>48</v>
      </c>
      <c r="H10" s="29" t="n">
        <v>269206.83</v>
      </c>
      <c r="I10" s="29">
        <f>IF(Intereses_Leasing_Mensual!I10&gt;0, ROUND(219200.76 - Intereses_Leasing_Mensual!I10, 2), "")</f>
        <v/>
      </c>
      <c r="J10" s="29">
        <f>IF(Intereses_Leasing_Mensual!J10&gt;0, ROUND(I10 - Intereses_Leasing_Mensual!J10, 2), "")</f>
        <v/>
      </c>
      <c r="K10" s="29">
        <f>IF(Intereses_Leasing_Mensual!K10&gt;0, ROUND(J10 - Intereses_Leasing_Mensual!K10, 2), "")</f>
        <v/>
      </c>
      <c r="L10" s="29">
        <f>IF(Intereses_Leasing_Mensual!L10&gt;0, ROUND(K10 - Intereses_Leasing_Mensual!L10, 2), "")</f>
        <v/>
      </c>
      <c r="M10" s="29">
        <f>IF(Intereses_Leasing_Mensual!M10&gt;0, ROUND(L10 - Intereses_Leasing_Mensual!M10, 2), "")</f>
        <v/>
      </c>
      <c r="N10" s="29">
        <f>IF(Intereses_Leasing_Mensual!N10&gt;0, ROUND(M10 - Intereses_Leasing_Mensual!N10, 2), "")</f>
        <v/>
      </c>
      <c r="O10" s="29">
        <f>IF(Intereses_Leasing_Mensual!O10&gt;0, ROUND(N10 - Intereses_Leasing_Mensual!O10, 2), "")</f>
        <v/>
      </c>
      <c r="P10" s="29">
        <f>IF(Intereses_Leasing_Mensual!P10&gt;0, ROUND(O10 - Intereses_Leasing_Mensual!P10, 2), "")</f>
        <v/>
      </c>
      <c r="Q10" s="29">
        <f>IF(Intereses_Leasing_Mensual!Q10&gt;0, ROUND(P10 - Intereses_Leasing_Mensual!Q10, 2), "")</f>
        <v/>
      </c>
      <c r="R10" s="29">
        <f>IF(Intereses_Leasing_Mensual!R10&gt;0, ROUND(Q10 - Intereses_Leasing_Mensual!R10, 2), "")</f>
        <v/>
      </c>
      <c r="S10" s="29">
        <f>IF(Intereses_Leasing_Mensual!S10&gt;0, ROUND(R10 - Intereses_Leasing_Mensual!S10, 2), "")</f>
        <v/>
      </c>
      <c r="T10" s="29">
        <f>IF(Intereses_Leasing_Mensual!T10&gt;0, ROUND(S10 - Intereses_Leasing_Mensual!T10, 2), "")</f>
        <v/>
      </c>
      <c r="U10" s="29">
        <f>MAX(I10:T10)</f>
        <v/>
      </c>
    </row>
    <row r="11">
      <c r="A11" s="20" t="inlineStr">
        <is>
          <t>0520-0003</t>
        </is>
      </c>
      <c r="B11" s="21" t="inlineStr">
        <is>
          <t>Tractomotriz Diesel Leal, S.A. de C.V.</t>
        </is>
      </c>
      <c r="C11" s="21" t="inlineStr">
        <is>
          <t>Montero Sport</t>
        </is>
      </c>
      <c r="D11" s="20" t="inlineStr">
        <is>
          <t>ACTIVO</t>
        </is>
      </c>
      <c r="E11" s="20" t="inlineStr">
        <is>
          <t>2025-11-28</t>
        </is>
      </c>
      <c r="F11" s="20" t="inlineStr">
        <is>
          <t>2028-11-28</t>
        </is>
      </c>
      <c r="G11" s="22" t="n">
        <v>36</v>
      </c>
      <c r="H11" s="23" t="n">
        <v>235850.86</v>
      </c>
      <c r="I11" s="23">
        <f>IF(Intereses_Leasing_Mensual!I11&gt;0, ROUND(216126.38 - Intereses_Leasing_Mensual!I11, 2), "")</f>
        <v/>
      </c>
      <c r="J11" s="23">
        <f>IF(Intereses_Leasing_Mensual!J11&gt;0, ROUND(I11 - Intereses_Leasing_Mensual!J11, 2), "")</f>
        <v/>
      </c>
      <c r="K11" s="23">
        <f>IF(Intereses_Leasing_Mensual!K11&gt;0, ROUND(J11 - Intereses_Leasing_Mensual!K11, 2), "")</f>
        <v/>
      </c>
      <c r="L11" s="23">
        <f>IF(Intereses_Leasing_Mensual!L11&gt;0, ROUND(K11 - Intereses_Leasing_Mensual!L11, 2), "")</f>
        <v/>
      </c>
      <c r="M11" s="23">
        <f>IF(Intereses_Leasing_Mensual!M11&gt;0, ROUND(L11 - Intereses_Leasing_Mensual!M11, 2), "")</f>
        <v/>
      </c>
      <c r="N11" s="23">
        <f>IF(Intereses_Leasing_Mensual!N11&gt;0, ROUND(M11 - Intereses_Leasing_Mensual!N11, 2), "")</f>
        <v/>
      </c>
      <c r="O11" s="23">
        <f>IF(Intereses_Leasing_Mensual!O11&gt;0, ROUND(N11 - Intereses_Leasing_Mensual!O11, 2), "")</f>
        <v/>
      </c>
      <c r="P11" s="23">
        <f>IF(Intereses_Leasing_Mensual!P11&gt;0, ROUND(O11 - Intereses_Leasing_Mensual!P11, 2), "")</f>
        <v/>
      </c>
      <c r="Q11" s="23">
        <f>IF(Intereses_Leasing_Mensual!Q11&gt;0, ROUND(P11 - Intereses_Leasing_Mensual!Q11, 2), "")</f>
        <v/>
      </c>
      <c r="R11" s="23">
        <f>IF(Intereses_Leasing_Mensual!R11&gt;0, ROUND(Q11 - Intereses_Leasing_Mensual!R11, 2), "")</f>
        <v/>
      </c>
      <c r="S11" s="23">
        <f>IF(Intereses_Leasing_Mensual!S11&gt;0, ROUND(R11 - Intereses_Leasing_Mensual!S11, 2), "")</f>
        <v/>
      </c>
      <c r="T11" s="23">
        <f>IF(Intereses_Leasing_Mensual!T11&gt;0, ROUND(S11 - Intereses_Leasing_Mensual!T11, 2), "")</f>
        <v/>
      </c>
      <c r="U11" s="23">
        <f>MAX(I11:T11)</f>
        <v/>
      </c>
    </row>
    <row r="12">
      <c r="A12" s="26" t="inlineStr">
        <is>
          <t>0520-0004</t>
        </is>
      </c>
      <c r="B12" s="27" t="inlineStr">
        <is>
          <t>Tractomotriz Diesel Leal, S.A. de C.V.</t>
        </is>
      </c>
      <c r="C12" s="27" t="inlineStr">
        <is>
          <t>Partner Maxi Pack</t>
        </is>
      </c>
      <c r="D12" s="26" t="inlineStr">
        <is>
          <t>ACTIVO</t>
        </is>
      </c>
      <c r="E12" s="26" t="inlineStr">
        <is>
          <t>2025-12-04</t>
        </is>
      </c>
      <c r="F12" s="26" t="inlineStr">
        <is>
          <t>2028-12-04</t>
        </is>
      </c>
      <c r="G12" s="28" t="n">
        <v>36</v>
      </c>
      <c r="H12" s="29" t="n">
        <v>151941.15</v>
      </c>
      <c r="I12" s="29">
        <f>IF(Intereses_Leasing_Mensual!I12&gt;0, ROUND(145542.59 - Intereses_Leasing_Mensual!I12, 2), "")</f>
        <v/>
      </c>
      <c r="J12" s="29">
        <f>IF(Intereses_Leasing_Mensual!J12&gt;0, ROUND(I12 - Intereses_Leasing_Mensual!J12, 2), "")</f>
        <v/>
      </c>
      <c r="K12" s="29">
        <f>IF(Intereses_Leasing_Mensual!K12&gt;0, ROUND(J12 - Intereses_Leasing_Mensual!K12, 2), "")</f>
        <v/>
      </c>
      <c r="L12" s="29">
        <f>IF(Intereses_Leasing_Mensual!L12&gt;0, ROUND(K12 - Intereses_Leasing_Mensual!L12, 2), "")</f>
        <v/>
      </c>
      <c r="M12" s="29">
        <f>IF(Intereses_Leasing_Mensual!M12&gt;0, ROUND(L12 - Intereses_Leasing_Mensual!M12, 2), "")</f>
        <v/>
      </c>
      <c r="N12" s="29">
        <f>IF(Intereses_Leasing_Mensual!N12&gt;0, ROUND(M12 - Intereses_Leasing_Mensual!N12, 2), "")</f>
        <v/>
      </c>
      <c r="O12" s="29">
        <f>IF(Intereses_Leasing_Mensual!O12&gt;0, ROUND(N12 - Intereses_Leasing_Mensual!O12, 2), "")</f>
        <v/>
      </c>
      <c r="P12" s="29">
        <f>IF(Intereses_Leasing_Mensual!P12&gt;0, ROUND(O12 - Intereses_Leasing_Mensual!P12, 2), "")</f>
        <v/>
      </c>
      <c r="Q12" s="29">
        <f>IF(Intereses_Leasing_Mensual!Q12&gt;0, ROUND(P12 - Intereses_Leasing_Mensual!Q12, 2), "")</f>
        <v/>
      </c>
      <c r="R12" s="29">
        <f>IF(Intereses_Leasing_Mensual!R12&gt;0, ROUND(Q12 - Intereses_Leasing_Mensual!R12, 2), "")</f>
        <v/>
      </c>
      <c r="S12" s="29">
        <f>IF(Intereses_Leasing_Mensual!S12&gt;0, ROUND(R12 - Intereses_Leasing_Mensual!S12, 2), "")</f>
        <v/>
      </c>
      <c r="T12" s="29">
        <f>IF(Intereses_Leasing_Mensual!T12&gt;0, ROUND(S12 - Intereses_Leasing_Mensual!T12, 2), "")</f>
        <v/>
      </c>
      <c r="U12" s="29">
        <f>MAX(I12:T12)</f>
        <v/>
      </c>
    </row>
    <row r="13">
      <c r="A13" s="20" t="inlineStr">
        <is>
          <t>0521-0002</t>
        </is>
      </c>
      <c r="B13" s="21" t="inlineStr">
        <is>
          <t>Carlos Hiram leal Leal</t>
        </is>
      </c>
      <c r="C13" s="21" t="inlineStr">
        <is>
          <t>Xpander</t>
        </is>
      </c>
      <c r="D13" s="20" t="inlineStr">
        <is>
          <t>ACTIVO</t>
        </is>
      </c>
      <c r="E13" s="20" t="inlineStr">
        <is>
          <t>2025-09-08</t>
        </is>
      </c>
      <c r="F13" s="20" t="inlineStr">
        <is>
          <t>2028-09-08</t>
        </is>
      </c>
      <c r="G13" s="22" t="n">
        <v>36</v>
      </c>
      <c r="H13" s="23" t="n">
        <v>215442.26</v>
      </c>
      <c r="I13" s="23">
        <f>IF(Intereses_Leasing_Mensual!I13&gt;0, ROUND(181061.61 - Intereses_Leasing_Mensual!I13, 2), "")</f>
        <v/>
      </c>
      <c r="J13" s="23">
        <f>IF(Intereses_Leasing_Mensual!J13&gt;0, ROUND(I13 - Intereses_Leasing_Mensual!J13, 2), "")</f>
        <v/>
      </c>
      <c r="K13" s="23">
        <f>IF(Intereses_Leasing_Mensual!K13&gt;0, ROUND(J13 - Intereses_Leasing_Mensual!K13, 2), "")</f>
        <v/>
      </c>
      <c r="L13" s="23">
        <f>IF(Intereses_Leasing_Mensual!L13&gt;0, ROUND(K13 - Intereses_Leasing_Mensual!L13, 2), "")</f>
        <v/>
      </c>
      <c r="M13" s="23">
        <f>IF(Intereses_Leasing_Mensual!M13&gt;0, ROUND(L13 - Intereses_Leasing_Mensual!M13, 2), "")</f>
        <v/>
      </c>
      <c r="N13" s="23">
        <f>IF(Intereses_Leasing_Mensual!N13&gt;0, ROUND(M13 - Intereses_Leasing_Mensual!N13, 2), "")</f>
        <v/>
      </c>
      <c r="O13" s="23">
        <f>IF(Intereses_Leasing_Mensual!O13&gt;0, ROUND(N13 - Intereses_Leasing_Mensual!O13, 2), "")</f>
        <v/>
      </c>
      <c r="P13" s="23">
        <f>IF(Intereses_Leasing_Mensual!P13&gt;0, ROUND(O13 - Intereses_Leasing_Mensual!P13, 2), "")</f>
        <v/>
      </c>
      <c r="Q13" s="23">
        <f>IF(Intereses_Leasing_Mensual!Q13&gt;0, ROUND(P13 - Intereses_Leasing_Mensual!Q13, 2), "")</f>
        <v/>
      </c>
      <c r="R13" s="23">
        <f>IF(Intereses_Leasing_Mensual!R13&gt;0, ROUND(Q13 - Intereses_Leasing_Mensual!R13, 2), "")</f>
        <v/>
      </c>
      <c r="S13" s="23">
        <f>IF(Intereses_Leasing_Mensual!S13&gt;0, ROUND(R13 - Intereses_Leasing_Mensual!S13, 2), "")</f>
        <v/>
      </c>
      <c r="T13" s="23">
        <f>IF(Intereses_Leasing_Mensual!T13&gt;0, ROUND(S13 - Intereses_Leasing_Mensual!T13, 2), "")</f>
        <v/>
      </c>
      <c r="U13" s="23">
        <f>MAX(I13:T13)</f>
        <v/>
      </c>
    </row>
    <row r="14">
      <c r="A14" s="26" t="inlineStr">
        <is>
          <t>0524-0007</t>
        </is>
      </c>
      <c r="B14" s="27" t="inlineStr">
        <is>
          <t>Lider En Derecho De Via y Construcción SA DE CV</t>
        </is>
      </c>
      <c r="C14" s="27" t="inlineStr">
        <is>
          <t>L200 Gls</t>
        </is>
      </c>
      <c r="D14" s="26" t="inlineStr">
        <is>
          <t>ACTIVO</t>
        </is>
      </c>
      <c r="E14" s="26" t="inlineStr">
        <is>
          <t>2025-08-15</t>
        </is>
      </c>
      <c r="F14" s="26" t="inlineStr">
        <is>
          <t>2027-08-15</t>
        </is>
      </c>
      <c r="G14" s="28" t="n">
        <v>24</v>
      </c>
      <c r="H14" s="29" t="n">
        <v>262969.5</v>
      </c>
      <c r="I14" s="29">
        <f>IF(Intereses_Leasing_Mensual!I14&gt;0, ROUND(189516.64 - Intereses_Leasing_Mensual!I14, 2), "")</f>
        <v/>
      </c>
      <c r="J14" s="29">
        <f>IF(Intereses_Leasing_Mensual!J14&gt;0, ROUND(I14 - Intereses_Leasing_Mensual!J14, 2), "")</f>
        <v/>
      </c>
      <c r="K14" s="29">
        <f>IF(Intereses_Leasing_Mensual!K14&gt;0, ROUND(J14 - Intereses_Leasing_Mensual!K14, 2), "")</f>
        <v/>
      </c>
      <c r="L14" s="29">
        <f>IF(Intereses_Leasing_Mensual!L14&gt;0, ROUND(K14 - Intereses_Leasing_Mensual!L14, 2), "")</f>
        <v/>
      </c>
      <c r="M14" s="29">
        <f>IF(Intereses_Leasing_Mensual!M14&gt;0, ROUND(L14 - Intereses_Leasing_Mensual!M14, 2), "")</f>
        <v/>
      </c>
      <c r="N14" s="29">
        <f>IF(Intereses_Leasing_Mensual!N14&gt;0, ROUND(M14 - Intereses_Leasing_Mensual!N14, 2), "")</f>
        <v/>
      </c>
      <c r="O14" s="29">
        <f>IF(Intereses_Leasing_Mensual!O14&gt;0, ROUND(N14 - Intereses_Leasing_Mensual!O14, 2), "")</f>
        <v/>
      </c>
      <c r="P14" s="29">
        <f>IF(Intereses_Leasing_Mensual!P14&gt;0, ROUND(O14 - Intereses_Leasing_Mensual!P14, 2), "")</f>
        <v/>
      </c>
      <c r="Q14" s="29">
        <f>IF(Intereses_Leasing_Mensual!Q14&gt;0, ROUND(P14 - Intereses_Leasing_Mensual!Q14, 2), "")</f>
        <v/>
      </c>
      <c r="R14" s="29">
        <f>IF(Intereses_Leasing_Mensual!R14&gt;0, ROUND(Q14 - Intereses_Leasing_Mensual!R14, 2), "")</f>
        <v/>
      </c>
      <c r="S14" s="29">
        <f>IF(Intereses_Leasing_Mensual!S14&gt;0, ROUND(R14 - Intereses_Leasing_Mensual!S14, 2), "")</f>
        <v/>
      </c>
      <c r="T14" s="29">
        <f>IF(Intereses_Leasing_Mensual!T14&gt;0, ROUND(S14 - Intereses_Leasing_Mensual!T14, 2), "")</f>
        <v/>
      </c>
      <c r="U14" s="29">
        <f>MAX(I14:T14)</f>
        <v/>
      </c>
    </row>
    <row r="15">
      <c r="A15" s="20" t="inlineStr">
        <is>
          <t>0524-0011</t>
        </is>
      </c>
      <c r="B15" s="21" t="inlineStr">
        <is>
          <t>Lider En Derecho De Via y Construcción SA DE CV</t>
        </is>
      </c>
      <c r="C15" s="21" t="inlineStr">
        <is>
          <t>Wrangler Unlimited Sahara</t>
        </is>
      </c>
      <c r="D15" s="20" t="inlineStr">
        <is>
          <t>ACTIVO</t>
        </is>
      </c>
      <c r="E15" s="20" t="inlineStr">
        <is>
          <t>2025-12-31</t>
        </is>
      </c>
      <c r="F15" s="20" t="inlineStr">
        <is>
          <t>2029-12-31</t>
        </is>
      </c>
      <c r="G15" s="22" t="n">
        <v>48</v>
      </c>
      <c r="H15" s="23" t="n">
        <v>723527.8199999999</v>
      </c>
      <c r="I15" s="23">
        <f>IF(Intereses_Leasing_Mensual!I15&gt;0, ROUND(700758.82 - Intereses_Leasing_Mensual!I15, 2), "")</f>
        <v/>
      </c>
      <c r="J15" s="23">
        <f>IF(Intereses_Leasing_Mensual!J15&gt;0, ROUND(I15 - Intereses_Leasing_Mensual!J15, 2), "")</f>
        <v/>
      </c>
      <c r="K15" s="23">
        <f>IF(Intereses_Leasing_Mensual!K15&gt;0, ROUND(J15 - Intereses_Leasing_Mensual!K15, 2), "")</f>
        <v/>
      </c>
      <c r="L15" s="23">
        <f>IF(Intereses_Leasing_Mensual!L15&gt;0, ROUND(K15 - Intereses_Leasing_Mensual!L15, 2), "")</f>
        <v/>
      </c>
      <c r="M15" s="23">
        <f>IF(Intereses_Leasing_Mensual!M15&gt;0, ROUND(L15 - Intereses_Leasing_Mensual!M15, 2), "")</f>
        <v/>
      </c>
      <c r="N15" s="23">
        <f>IF(Intereses_Leasing_Mensual!N15&gt;0, ROUND(M15 - Intereses_Leasing_Mensual!N15, 2), "")</f>
        <v/>
      </c>
      <c r="O15" s="23">
        <f>IF(Intereses_Leasing_Mensual!O15&gt;0, ROUND(N15 - Intereses_Leasing_Mensual!O15, 2), "")</f>
        <v/>
      </c>
      <c r="P15" s="23">
        <f>IF(Intereses_Leasing_Mensual!P15&gt;0, ROUND(O15 - Intereses_Leasing_Mensual!P15, 2), "")</f>
        <v/>
      </c>
      <c r="Q15" s="23">
        <f>IF(Intereses_Leasing_Mensual!Q15&gt;0, ROUND(P15 - Intereses_Leasing_Mensual!Q15, 2), "")</f>
        <v/>
      </c>
      <c r="R15" s="23">
        <f>IF(Intereses_Leasing_Mensual!R15&gt;0, ROUND(Q15 - Intereses_Leasing_Mensual!R15, 2), "")</f>
        <v/>
      </c>
      <c r="S15" s="23">
        <f>IF(Intereses_Leasing_Mensual!S15&gt;0, ROUND(R15 - Intereses_Leasing_Mensual!S15, 2), "")</f>
        <v/>
      </c>
      <c r="T15" s="23">
        <f>IF(Intereses_Leasing_Mensual!T15&gt;0, ROUND(S15 - Intereses_Leasing_Mensual!T15, 2), "")</f>
        <v/>
      </c>
      <c r="U15" s="23">
        <f>MAX(I15:T15)</f>
        <v/>
      </c>
    </row>
    <row r="16">
      <c r="A16" s="26" t="inlineStr">
        <is>
          <t>0524-0012</t>
        </is>
      </c>
      <c r="B16" s="27" t="inlineStr">
        <is>
          <t>Lider En Derecho De Via y Construcción SA DE CV</t>
        </is>
      </c>
      <c r="C16" s="27" t="inlineStr">
        <is>
          <t>L200 GLS</t>
        </is>
      </c>
      <c r="D16" s="26" t="inlineStr">
        <is>
          <t>ACTIVO</t>
        </is>
      </c>
      <c r="E16" s="26" t="inlineStr">
        <is>
          <t>2026-03-17</t>
        </is>
      </c>
      <c r="F16" s="26" t="inlineStr">
        <is>
          <t>2030-03-17</t>
        </is>
      </c>
      <c r="G16" s="28" t="n">
        <v>48</v>
      </c>
      <c r="H16" s="29" t="n">
        <v>476671.28</v>
      </c>
      <c r="I16" s="29" t="inlineStr"/>
      <c r="J16" s="29" t="inlineStr"/>
      <c r="K16" s="29">
        <f>IF(Intereses_Leasing_Mensual!K16&gt;0, ROUND($H16 - Intereses_Leasing_Mensual!K16, 2), "")</f>
        <v/>
      </c>
      <c r="L16" s="29">
        <f>IF(Intereses_Leasing_Mensual!L16&gt;0, ROUND(K16 - Intereses_Leasing_Mensual!L16, 2), "")</f>
        <v/>
      </c>
      <c r="M16" s="29">
        <f>IF(Intereses_Leasing_Mensual!M16&gt;0, ROUND(L16 - Intereses_Leasing_Mensual!M16, 2), "")</f>
        <v/>
      </c>
      <c r="N16" s="29">
        <f>IF(Intereses_Leasing_Mensual!N16&gt;0, ROUND(M16 - Intereses_Leasing_Mensual!N16, 2), "")</f>
        <v/>
      </c>
      <c r="O16" s="29">
        <f>IF(Intereses_Leasing_Mensual!O16&gt;0, ROUND(N16 - Intereses_Leasing_Mensual!O16, 2), "")</f>
        <v/>
      </c>
      <c r="P16" s="29">
        <f>IF(Intereses_Leasing_Mensual!P16&gt;0, ROUND(O16 - Intereses_Leasing_Mensual!P16, 2), "")</f>
        <v/>
      </c>
      <c r="Q16" s="29">
        <f>IF(Intereses_Leasing_Mensual!Q16&gt;0, ROUND(P16 - Intereses_Leasing_Mensual!Q16, 2), "")</f>
        <v/>
      </c>
      <c r="R16" s="29">
        <f>IF(Intereses_Leasing_Mensual!R16&gt;0, ROUND(Q16 - Intereses_Leasing_Mensual!R16, 2), "")</f>
        <v/>
      </c>
      <c r="S16" s="29">
        <f>IF(Intereses_Leasing_Mensual!S16&gt;0, ROUND(R16 - Intereses_Leasing_Mensual!S16, 2), "")</f>
        <v/>
      </c>
      <c r="T16" s="29">
        <f>IF(Intereses_Leasing_Mensual!T16&gt;0, ROUND(S16 - Intereses_Leasing_Mensual!T16, 2), "")</f>
        <v/>
      </c>
      <c r="U16" s="29">
        <f>MAX(I16:T16)</f>
        <v/>
      </c>
    </row>
    <row r="17">
      <c r="A17" s="20" t="inlineStr">
        <is>
          <t>0524-0013</t>
        </is>
      </c>
      <c r="B17" s="21" t="inlineStr">
        <is>
          <t>Lider En Derecho De Via y Construcción SA DE CV</t>
        </is>
      </c>
      <c r="C17" s="21" t="inlineStr">
        <is>
          <t>L200 GLX</t>
        </is>
      </c>
      <c r="D17" s="20" t="inlineStr">
        <is>
          <t>ACTIVO</t>
        </is>
      </c>
      <c r="E17" s="20" t="inlineStr">
        <is>
          <t>2026-06-23</t>
        </is>
      </c>
      <c r="F17" s="20" t="inlineStr">
        <is>
          <t>2029-06-23</t>
        </is>
      </c>
      <c r="G17" s="22" t="n">
        <v>36</v>
      </c>
      <c r="H17" s="23" t="n">
        <v>386403.02</v>
      </c>
      <c r="I17" s="23" t="inlineStr"/>
      <c r="J17" s="23" t="inlineStr"/>
      <c r="K17" s="23" t="inlineStr"/>
      <c r="L17" s="23" t="inlineStr"/>
      <c r="M17" s="23" t="inlineStr"/>
      <c r="N17" s="23">
        <f>IF(Intereses_Leasing_Mensual!N17&gt;0, ROUND($H17 - Intereses_Leasing_Mensual!N17, 2), "")</f>
        <v/>
      </c>
      <c r="O17" s="23">
        <f>IF(Intereses_Leasing_Mensual!O17&gt;0, ROUND(N17 - Intereses_Leasing_Mensual!O17, 2), "")</f>
        <v/>
      </c>
      <c r="P17" s="23">
        <f>IF(Intereses_Leasing_Mensual!P17&gt;0, ROUND(O17 - Intereses_Leasing_Mensual!P17, 2), "")</f>
        <v/>
      </c>
      <c r="Q17" s="23">
        <f>IF(Intereses_Leasing_Mensual!Q17&gt;0, ROUND(P17 - Intereses_Leasing_Mensual!Q17, 2), "")</f>
        <v/>
      </c>
      <c r="R17" s="23">
        <f>IF(Intereses_Leasing_Mensual!R17&gt;0, ROUND(Q17 - Intereses_Leasing_Mensual!R17, 2), "")</f>
        <v/>
      </c>
      <c r="S17" s="23">
        <f>IF(Intereses_Leasing_Mensual!S17&gt;0, ROUND(R17 - Intereses_Leasing_Mensual!S17, 2), "")</f>
        <v/>
      </c>
      <c r="T17" s="23">
        <f>IF(Intereses_Leasing_Mensual!T17&gt;0, ROUND(S17 - Intereses_Leasing_Mensual!T17, 2), "")</f>
        <v/>
      </c>
      <c r="U17" s="23">
        <f>MAX(I17:T17)</f>
        <v/>
      </c>
    </row>
    <row r="18">
      <c r="A18" s="26" t="inlineStr">
        <is>
          <t>0524-0014</t>
        </is>
      </c>
      <c r="B18" s="27" t="inlineStr">
        <is>
          <t>Lider En Derecho De Via y Construcción SA DE CV</t>
        </is>
      </c>
      <c r="C18" s="27" t="inlineStr">
        <is>
          <t>L200 GLX</t>
        </is>
      </c>
      <c r="D18" s="26" t="inlineStr">
        <is>
          <t>ACTIVO</t>
        </is>
      </c>
      <c r="E18" s="26" t="inlineStr">
        <is>
          <t>2026-06-23</t>
        </is>
      </c>
      <c r="F18" s="26" t="inlineStr">
        <is>
          <t>2029-06-23</t>
        </is>
      </c>
      <c r="G18" s="28" t="n">
        <v>36</v>
      </c>
      <c r="H18" s="29" t="n">
        <v>386403.02</v>
      </c>
      <c r="I18" s="29" t="inlineStr"/>
      <c r="J18" s="29" t="inlineStr"/>
      <c r="K18" s="29" t="inlineStr"/>
      <c r="L18" s="29" t="inlineStr"/>
      <c r="M18" s="29" t="inlineStr"/>
      <c r="N18" s="29">
        <f>IF(Intereses_Leasing_Mensual!N18&gt;0, ROUND($H18 - Intereses_Leasing_Mensual!N18, 2), "")</f>
        <v/>
      </c>
      <c r="O18" s="29">
        <f>IF(Intereses_Leasing_Mensual!O18&gt;0, ROUND(N18 - Intereses_Leasing_Mensual!O18, 2), "")</f>
        <v/>
      </c>
      <c r="P18" s="29">
        <f>IF(Intereses_Leasing_Mensual!P18&gt;0, ROUND(O18 - Intereses_Leasing_Mensual!P18, 2), "")</f>
        <v/>
      </c>
      <c r="Q18" s="29">
        <f>IF(Intereses_Leasing_Mensual!Q18&gt;0, ROUND(P18 - Intereses_Leasing_Mensual!Q18, 2), "")</f>
        <v/>
      </c>
      <c r="R18" s="29">
        <f>IF(Intereses_Leasing_Mensual!R18&gt;0, ROUND(Q18 - Intereses_Leasing_Mensual!R18, 2), "")</f>
        <v/>
      </c>
      <c r="S18" s="29">
        <f>IF(Intereses_Leasing_Mensual!S18&gt;0, ROUND(R18 - Intereses_Leasing_Mensual!S18, 2), "")</f>
        <v/>
      </c>
      <c r="T18" s="29">
        <f>IF(Intereses_Leasing_Mensual!T18&gt;0, ROUND(S18 - Intereses_Leasing_Mensual!T18, 2), "")</f>
        <v/>
      </c>
      <c r="U18" s="29">
        <f>MAX(I18:T18)</f>
        <v/>
      </c>
    </row>
    <row r="19">
      <c r="A19" s="20" t="inlineStr">
        <is>
          <t>0524-0015</t>
        </is>
      </c>
      <c r="B19" s="21" t="inlineStr">
        <is>
          <t>Lider En Derecho De Via y Construcción SA DE CV</t>
        </is>
      </c>
      <c r="C19" s="21" t="inlineStr">
        <is>
          <t>Mitsubishi L200 GLX 2026</t>
        </is>
      </c>
      <c r="D19" s="20" t="inlineStr">
        <is>
          <t>ACTIVO</t>
        </is>
      </c>
      <c r="E19" s="20" t="inlineStr">
        <is>
          <t>2026-07-29</t>
        </is>
      </c>
      <c r="F19" s="20" t="inlineStr">
        <is>
          <t>2029-07-29</t>
        </is>
      </c>
      <c r="G19" s="22" t="n">
        <v>36</v>
      </c>
      <c r="H19" s="23" t="n">
        <v>333106.31</v>
      </c>
      <c r="I19" s="23" t="inlineStr"/>
      <c r="J19" s="23" t="inlineStr"/>
      <c r="K19" s="23" t="inlineStr"/>
      <c r="L19" s="23" t="inlineStr"/>
      <c r="M19" s="23" t="inlineStr"/>
      <c r="N19" s="23" t="inlineStr"/>
      <c r="O19" s="23">
        <f>IF(Intereses_Leasing_Mensual!O19&gt;0, ROUND($H19 - Intereses_Leasing_Mensual!O19, 2), "")</f>
        <v/>
      </c>
      <c r="P19" s="23">
        <f>IF(Intereses_Leasing_Mensual!P19&gt;0, ROUND(O19 - Intereses_Leasing_Mensual!P19, 2), "")</f>
        <v/>
      </c>
      <c r="Q19" s="23">
        <f>IF(Intereses_Leasing_Mensual!Q19&gt;0, ROUND(P19 - Intereses_Leasing_Mensual!Q19, 2), "")</f>
        <v/>
      </c>
      <c r="R19" s="23">
        <f>IF(Intereses_Leasing_Mensual!R19&gt;0, ROUND(Q19 - Intereses_Leasing_Mensual!R19, 2), "")</f>
        <v/>
      </c>
      <c r="S19" s="23">
        <f>IF(Intereses_Leasing_Mensual!S19&gt;0, ROUND(R19 - Intereses_Leasing_Mensual!S19, 2), "")</f>
        <v/>
      </c>
      <c r="T19" s="23">
        <f>IF(Intereses_Leasing_Mensual!T19&gt;0, ROUND(S19 - Intereses_Leasing_Mensual!T19, 2), "")</f>
        <v/>
      </c>
      <c r="U19" s="23">
        <f>MAX(I19:T19)</f>
        <v/>
      </c>
    </row>
    <row r="20">
      <c r="A20" s="26" t="inlineStr">
        <is>
          <t>0524-0016</t>
        </is>
      </c>
      <c r="B20" s="27" t="inlineStr">
        <is>
          <t>Lider En Derecho De Via y Construcción SA DE CV</t>
        </is>
      </c>
      <c r="C20" s="27" t="inlineStr">
        <is>
          <t>Mitsubishi L200 GLX 2026</t>
        </is>
      </c>
      <c r="D20" s="26" t="inlineStr">
        <is>
          <t>ACTIVO</t>
        </is>
      </c>
      <c r="E20" s="26" t="inlineStr">
        <is>
          <t>2026-07-29</t>
        </is>
      </c>
      <c r="F20" s="26" t="inlineStr">
        <is>
          <t>2029-07-29</t>
        </is>
      </c>
      <c r="G20" s="28" t="n">
        <v>36</v>
      </c>
      <c r="H20" s="29" t="n">
        <v>333106.31</v>
      </c>
      <c r="I20" s="29" t="inlineStr"/>
      <c r="J20" s="29" t="inlineStr"/>
      <c r="K20" s="29" t="inlineStr"/>
      <c r="L20" s="29" t="inlineStr"/>
      <c r="M20" s="29" t="inlineStr"/>
      <c r="N20" s="29" t="inlineStr"/>
      <c r="O20" s="29">
        <f>IF(Intereses_Leasing_Mensual!O20&gt;0, ROUND($H20 - Intereses_Leasing_Mensual!O20, 2), "")</f>
        <v/>
      </c>
      <c r="P20" s="29">
        <f>IF(Intereses_Leasing_Mensual!P20&gt;0, ROUND(O20 - Intereses_Leasing_Mensual!P20, 2), "")</f>
        <v/>
      </c>
      <c r="Q20" s="29">
        <f>IF(Intereses_Leasing_Mensual!Q20&gt;0, ROUND(P20 - Intereses_Leasing_Mensual!Q20, 2), "")</f>
        <v/>
      </c>
      <c r="R20" s="29">
        <f>IF(Intereses_Leasing_Mensual!R20&gt;0, ROUND(Q20 - Intereses_Leasing_Mensual!R20, 2), "")</f>
        <v/>
      </c>
      <c r="S20" s="29">
        <f>IF(Intereses_Leasing_Mensual!S20&gt;0, ROUND(R20 - Intereses_Leasing_Mensual!S20, 2), "")</f>
        <v/>
      </c>
      <c r="T20" s="29">
        <f>IF(Intereses_Leasing_Mensual!T20&gt;0, ROUND(S20 - Intereses_Leasing_Mensual!T20, 2), "")</f>
        <v/>
      </c>
      <c r="U20" s="29">
        <f>MAX(I20:T20)</f>
        <v/>
      </c>
    </row>
    <row r="21">
      <c r="A21" s="20" t="inlineStr">
        <is>
          <t>0527-0003</t>
        </is>
      </c>
      <c r="B21" s="21" t="inlineStr">
        <is>
          <t>Comercilizadora e Importadora Nabega Sa de Cv</t>
        </is>
      </c>
      <c r="C21" s="21" t="inlineStr">
        <is>
          <t>RAM 700 Big Horn CVT</t>
        </is>
      </c>
      <c r="D21" s="20" t="inlineStr">
        <is>
          <t>ACTIVO</t>
        </is>
      </c>
      <c r="E21" s="20" t="inlineStr">
        <is>
          <t>2024-05-30</t>
        </is>
      </c>
      <c r="F21" s="20" t="inlineStr">
        <is>
          <t>2027-05-30</t>
        </is>
      </c>
      <c r="G21" s="22" t="n">
        <v>36</v>
      </c>
      <c r="H21" s="23" t="n">
        <v>261725.67</v>
      </c>
      <c r="I21" s="23">
        <f>IF(Intereses_Leasing_Mensual!I21&gt;0, ROUND(93485.69 - Intereses_Leasing_Mensual!I21, 2), "")</f>
        <v/>
      </c>
      <c r="J21" s="23">
        <f>IF(Intereses_Leasing_Mensual!J21&gt;0, ROUND(I21 - Intereses_Leasing_Mensual!J21, 2), "")</f>
        <v/>
      </c>
      <c r="K21" s="23">
        <f>IF(Intereses_Leasing_Mensual!K21&gt;0, ROUND(J21 - Intereses_Leasing_Mensual!K21, 2), "")</f>
        <v/>
      </c>
      <c r="L21" s="23">
        <f>IF(Intereses_Leasing_Mensual!L21&gt;0, ROUND(K21 - Intereses_Leasing_Mensual!L21, 2), "")</f>
        <v/>
      </c>
      <c r="M21" s="23">
        <f>IF(Intereses_Leasing_Mensual!M21&gt;0, ROUND(L21 - Intereses_Leasing_Mensual!M21, 2), "")</f>
        <v/>
      </c>
      <c r="N21" s="23">
        <f>IF(Intereses_Leasing_Mensual!N21&gt;0, ROUND(M21 - Intereses_Leasing_Mensual!N21, 2), "")</f>
        <v/>
      </c>
      <c r="O21" s="23">
        <f>IF(Intereses_Leasing_Mensual!O21&gt;0, ROUND(N21 - Intereses_Leasing_Mensual!O21, 2), "")</f>
        <v/>
      </c>
      <c r="P21" s="23">
        <f>IF(Intereses_Leasing_Mensual!P21&gt;0, ROUND(O21 - Intereses_Leasing_Mensual!P21, 2), "")</f>
        <v/>
      </c>
      <c r="Q21" s="23">
        <f>IF(Intereses_Leasing_Mensual!Q21&gt;0, ROUND(P21 - Intereses_Leasing_Mensual!Q21, 2), "")</f>
        <v/>
      </c>
      <c r="R21" s="23">
        <f>IF(Intereses_Leasing_Mensual!R21&gt;0, ROUND(Q21 - Intereses_Leasing_Mensual!R21, 2), "")</f>
        <v/>
      </c>
      <c r="S21" s="23">
        <f>IF(Intereses_Leasing_Mensual!S21&gt;0, ROUND(R21 - Intereses_Leasing_Mensual!S21, 2), "")</f>
        <v/>
      </c>
      <c r="T21" s="23">
        <f>IF(Intereses_Leasing_Mensual!T21&gt;0, ROUND(S21 - Intereses_Leasing_Mensual!T21, 2), "")</f>
        <v/>
      </c>
      <c r="U21" s="23">
        <f>MAX(I21:T21)</f>
        <v/>
      </c>
    </row>
    <row r="22">
      <c r="A22" s="26" t="inlineStr">
        <is>
          <t>0527-0004</t>
        </is>
      </c>
      <c r="B22" s="27" t="inlineStr">
        <is>
          <t>Comercilizadora e Importadora Nabega Sa de Cv</t>
        </is>
      </c>
      <c r="C22" s="27" t="inlineStr">
        <is>
          <t>Gmc Denali</t>
        </is>
      </c>
      <c r="D22" s="26" t="inlineStr">
        <is>
          <t>ACTIVO</t>
        </is>
      </c>
      <c r="E22" s="26" t="inlineStr">
        <is>
          <t>2025-07-31</t>
        </is>
      </c>
      <c r="F22" s="26" t="inlineStr">
        <is>
          <t>2029-07-31</t>
        </is>
      </c>
      <c r="G22" s="28" t="n">
        <v>48</v>
      </c>
      <c r="H22" s="29" t="n">
        <v>898073.13</v>
      </c>
      <c r="I22" s="29">
        <f>IF(Intereses_Leasing_Mensual!I22&gt;0, ROUND(741031.9 - Intereses_Leasing_Mensual!I22, 2), "")</f>
        <v/>
      </c>
      <c r="J22" s="29">
        <f>IF(Intereses_Leasing_Mensual!J22&gt;0, ROUND(I22 - Intereses_Leasing_Mensual!J22, 2), "")</f>
        <v/>
      </c>
      <c r="K22" s="29">
        <f>IF(Intereses_Leasing_Mensual!K22&gt;0, ROUND(J22 - Intereses_Leasing_Mensual!K22, 2), "")</f>
        <v/>
      </c>
      <c r="L22" s="29">
        <f>IF(Intereses_Leasing_Mensual!L22&gt;0, ROUND(K22 - Intereses_Leasing_Mensual!L22, 2), "")</f>
        <v/>
      </c>
      <c r="M22" s="29">
        <f>IF(Intereses_Leasing_Mensual!M22&gt;0, ROUND(L22 - Intereses_Leasing_Mensual!M22, 2), "")</f>
        <v/>
      </c>
      <c r="N22" s="29">
        <f>IF(Intereses_Leasing_Mensual!N22&gt;0, ROUND(M22 - Intereses_Leasing_Mensual!N22, 2), "")</f>
        <v/>
      </c>
      <c r="O22" s="29">
        <f>IF(Intereses_Leasing_Mensual!O22&gt;0, ROUND(N22 - Intereses_Leasing_Mensual!O22, 2), "")</f>
        <v/>
      </c>
      <c r="P22" s="29">
        <f>IF(Intereses_Leasing_Mensual!P22&gt;0, ROUND(O22 - Intereses_Leasing_Mensual!P22, 2), "")</f>
        <v/>
      </c>
      <c r="Q22" s="29">
        <f>IF(Intereses_Leasing_Mensual!Q22&gt;0, ROUND(P22 - Intereses_Leasing_Mensual!Q22, 2), "")</f>
        <v/>
      </c>
      <c r="R22" s="29">
        <f>IF(Intereses_Leasing_Mensual!R22&gt;0, ROUND(Q22 - Intereses_Leasing_Mensual!R22, 2), "")</f>
        <v/>
      </c>
      <c r="S22" s="29">
        <f>IF(Intereses_Leasing_Mensual!S22&gt;0, ROUND(R22 - Intereses_Leasing_Mensual!S22, 2), "")</f>
        <v/>
      </c>
      <c r="T22" s="29">
        <f>IF(Intereses_Leasing_Mensual!T22&gt;0, ROUND(S22 - Intereses_Leasing_Mensual!T22, 2), "")</f>
        <v/>
      </c>
      <c r="U22" s="29">
        <f>MAX(I22:T22)</f>
        <v/>
      </c>
    </row>
    <row r="23">
      <c r="A23" s="20" t="inlineStr">
        <is>
          <t>0527-0005</t>
        </is>
      </c>
      <c r="B23" s="21" t="inlineStr">
        <is>
          <t>Comercilizadora e Importadora Nabega Sa de Cv</t>
        </is>
      </c>
      <c r="C23" s="21" t="inlineStr">
        <is>
          <t>Gle 450 Sport</t>
        </is>
      </c>
      <c r="D23" s="20" t="inlineStr">
        <is>
          <t>ACTIVO</t>
        </is>
      </c>
      <c r="E23" s="20" t="inlineStr">
        <is>
          <t>2025-08-16</t>
        </is>
      </c>
      <c r="F23" s="20" t="inlineStr">
        <is>
          <t>2028-08-16</t>
        </is>
      </c>
      <c r="G23" s="22" t="n">
        <v>36</v>
      </c>
      <c r="H23" s="23" t="n">
        <v>671542.26</v>
      </c>
      <c r="I23" s="23">
        <f>IF(Intereses_Leasing_Mensual!I23&gt;0, ROUND(542673.63 - Intereses_Leasing_Mensual!I23, 2), "")</f>
        <v/>
      </c>
      <c r="J23" s="23">
        <f>IF(Intereses_Leasing_Mensual!J23&gt;0, ROUND(I23 - Intereses_Leasing_Mensual!J23, 2), "")</f>
        <v/>
      </c>
      <c r="K23" s="23">
        <f>IF(Intereses_Leasing_Mensual!K23&gt;0, ROUND(J23 - Intereses_Leasing_Mensual!K23, 2), "")</f>
        <v/>
      </c>
      <c r="L23" s="23">
        <f>IF(Intereses_Leasing_Mensual!L23&gt;0, ROUND(K23 - Intereses_Leasing_Mensual!L23, 2), "")</f>
        <v/>
      </c>
      <c r="M23" s="23">
        <f>IF(Intereses_Leasing_Mensual!M23&gt;0, ROUND(L23 - Intereses_Leasing_Mensual!M23, 2), "")</f>
        <v/>
      </c>
      <c r="N23" s="23">
        <f>IF(Intereses_Leasing_Mensual!N23&gt;0, ROUND(M23 - Intereses_Leasing_Mensual!N23, 2), "")</f>
        <v/>
      </c>
      <c r="O23" s="23">
        <f>IF(Intereses_Leasing_Mensual!O23&gt;0, ROUND(N23 - Intereses_Leasing_Mensual!O23, 2), "")</f>
        <v/>
      </c>
      <c r="P23" s="23">
        <f>IF(Intereses_Leasing_Mensual!P23&gt;0, ROUND(O23 - Intereses_Leasing_Mensual!P23, 2), "")</f>
        <v/>
      </c>
      <c r="Q23" s="23">
        <f>IF(Intereses_Leasing_Mensual!Q23&gt;0, ROUND(P23 - Intereses_Leasing_Mensual!Q23, 2), "")</f>
        <v/>
      </c>
      <c r="R23" s="23">
        <f>IF(Intereses_Leasing_Mensual!R23&gt;0, ROUND(Q23 - Intereses_Leasing_Mensual!R23, 2), "")</f>
        <v/>
      </c>
      <c r="S23" s="23">
        <f>IF(Intereses_Leasing_Mensual!S23&gt;0, ROUND(R23 - Intereses_Leasing_Mensual!S23, 2), "")</f>
        <v/>
      </c>
      <c r="T23" s="23">
        <f>IF(Intereses_Leasing_Mensual!T23&gt;0, ROUND(S23 - Intereses_Leasing_Mensual!T23, 2), "")</f>
        <v/>
      </c>
      <c r="U23" s="23">
        <f>MAX(I23:T23)</f>
        <v/>
      </c>
    </row>
    <row r="24">
      <c r="A24" s="26" t="inlineStr">
        <is>
          <t>0531-0002</t>
        </is>
      </c>
      <c r="B24" s="27" t="inlineStr">
        <is>
          <t>Otcada Mex, S. de R.L. de C.V.</t>
        </is>
      </c>
      <c r="C24" s="27" t="inlineStr">
        <is>
          <t>Grand Cherokee Limited</t>
        </is>
      </c>
      <c r="D24" s="26" t="inlineStr">
        <is>
          <t>ACTIVO</t>
        </is>
      </c>
      <c r="E24" s="26" t="inlineStr">
        <is>
          <t>2026-06-18</t>
        </is>
      </c>
      <c r="F24" s="26" t="inlineStr">
        <is>
          <t>2030-06-18</t>
        </is>
      </c>
      <c r="G24" s="28" t="n">
        <v>48</v>
      </c>
      <c r="H24" s="29" t="n">
        <v>639671.4300000001</v>
      </c>
      <c r="I24" s="29" t="inlineStr"/>
      <c r="J24" s="29" t="inlineStr"/>
      <c r="K24" s="29" t="inlineStr"/>
      <c r="L24" s="29" t="inlineStr"/>
      <c r="M24" s="29" t="inlineStr"/>
      <c r="N24" s="29">
        <f>IF(Intereses_Leasing_Mensual!N24&gt;0, ROUND($H24 - Intereses_Leasing_Mensual!N24, 2), "")</f>
        <v/>
      </c>
      <c r="O24" s="29">
        <f>IF(Intereses_Leasing_Mensual!O24&gt;0, ROUND(N24 - Intereses_Leasing_Mensual!O24, 2), "")</f>
        <v/>
      </c>
      <c r="P24" s="29">
        <f>IF(Intereses_Leasing_Mensual!P24&gt;0, ROUND(O24 - Intereses_Leasing_Mensual!P24, 2), "")</f>
        <v/>
      </c>
      <c r="Q24" s="29">
        <f>IF(Intereses_Leasing_Mensual!Q24&gt;0, ROUND(P24 - Intereses_Leasing_Mensual!Q24, 2), "")</f>
        <v/>
      </c>
      <c r="R24" s="29">
        <f>IF(Intereses_Leasing_Mensual!R24&gt;0, ROUND(Q24 - Intereses_Leasing_Mensual!R24, 2), "")</f>
        <v/>
      </c>
      <c r="S24" s="29">
        <f>IF(Intereses_Leasing_Mensual!S24&gt;0, ROUND(R24 - Intereses_Leasing_Mensual!S24, 2), "")</f>
        <v/>
      </c>
      <c r="T24" s="29">
        <f>IF(Intereses_Leasing_Mensual!T24&gt;0, ROUND(S24 - Intereses_Leasing_Mensual!T24, 2), "")</f>
        <v/>
      </c>
      <c r="U24" s="29">
        <f>MAX(I24:T24)</f>
        <v/>
      </c>
    </row>
    <row r="25">
      <c r="A25" s="20" t="inlineStr">
        <is>
          <t>0546-0007</t>
        </is>
      </c>
      <c r="B25" s="21" t="inlineStr">
        <is>
          <t>Norma Elena Bonilla Lupio</t>
        </is>
      </c>
      <c r="C25" s="21" t="inlineStr">
        <is>
          <t>GLC 350 E 4MATIC</t>
        </is>
      </c>
      <c r="D25" s="20" t="inlineStr">
        <is>
          <t>ACTIVO</t>
        </is>
      </c>
      <c r="E25" s="20" t="inlineStr">
        <is>
          <t>2025-10-14</t>
        </is>
      </c>
      <c r="F25" s="20" t="inlineStr">
        <is>
          <t>2027-10-14</t>
        </is>
      </c>
      <c r="G25" s="22" t="n">
        <v>24</v>
      </c>
      <c r="H25" s="23" t="n">
        <v>326639.67</v>
      </c>
      <c r="I25" s="23">
        <f>IF(Intereses_Leasing_Mensual!I25&gt;0, ROUND(264582.02 - Intereses_Leasing_Mensual!I25, 2), "")</f>
        <v/>
      </c>
      <c r="J25" s="23">
        <f>IF(Intereses_Leasing_Mensual!J25&gt;0, ROUND(I25 - Intereses_Leasing_Mensual!J25, 2), "")</f>
        <v/>
      </c>
      <c r="K25" s="23">
        <f>IF(Intereses_Leasing_Mensual!K25&gt;0, ROUND(J25 - Intereses_Leasing_Mensual!K25, 2), "")</f>
        <v/>
      </c>
      <c r="L25" s="23">
        <f>IF(Intereses_Leasing_Mensual!L25&gt;0, ROUND(K25 - Intereses_Leasing_Mensual!L25, 2), "")</f>
        <v/>
      </c>
      <c r="M25" s="23">
        <f>IF(Intereses_Leasing_Mensual!M25&gt;0, ROUND(L25 - Intereses_Leasing_Mensual!M25, 2), "")</f>
        <v/>
      </c>
      <c r="N25" s="23">
        <f>IF(Intereses_Leasing_Mensual!N25&gt;0, ROUND(M25 - Intereses_Leasing_Mensual!N25, 2), "")</f>
        <v/>
      </c>
      <c r="O25" s="23">
        <f>IF(Intereses_Leasing_Mensual!O25&gt;0, ROUND(N25 - Intereses_Leasing_Mensual!O25, 2), "")</f>
        <v/>
      </c>
      <c r="P25" s="23">
        <f>IF(Intereses_Leasing_Mensual!P25&gt;0, ROUND(O25 - Intereses_Leasing_Mensual!P25, 2), "")</f>
        <v/>
      </c>
      <c r="Q25" s="23">
        <f>IF(Intereses_Leasing_Mensual!Q25&gt;0, ROUND(P25 - Intereses_Leasing_Mensual!Q25, 2), "")</f>
        <v/>
      </c>
      <c r="R25" s="23">
        <f>IF(Intereses_Leasing_Mensual!R25&gt;0, ROUND(Q25 - Intereses_Leasing_Mensual!R25, 2), "")</f>
        <v/>
      </c>
      <c r="S25" s="23">
        <f>IF(Intereses_Leasing_Mensual!S25&gt;0, ROUND(R25 - Intereses_Leasing_Mensual!S25, 2), "")</f>
        <v/>
      </c>
      <c r="T25" s="23">
        <f>IF(Intereses_Leasing_Mensual!T25&gt;0, ROUND(S25 - Intereses_Leasing_Mensual!T25, 2), "")</f>
        <v/>
      </c>
      <c r="U25" s="23">
        <f>MAX(I25:T25)</f>
        <v/>
      </c>
    </row>
    <row r="26">
      <c r="A26" s="26" t="inlineStr">
        <is>
          <t>0546-0008</t>
        </is>
      </c>
      <c r="B26" s="27" t="inlineStr">
        <is>
          <t>Norma Elena Bonilla Lupio</t>
        </is>
      </c>
      <c r="C26" s="27" t="inlineStr">
        <is>
          <t>JT MOJAVE 4X4</t>
        </is>
      </c>
      <c r="D26" s="26" t="inlineStr">
        <is>
          <t>ACTIVO</t>
        </is>
      </c>
      <c r="E26" s="26" t="inlineStr">
        <is>
          <t>2026-01-08</t>
        </is>
      </c>
      <c r="F26" s="26" t="inlineStr">
        <is>
          <t>2028-01-08</t>
        </is>
      </c>
      <c r="G26" s="28" t="n">
        <v>24</v>
      </c>
      <c r="H26" s="29" t="n">
        <v>328329.74</v>
      </c>
      <c r="I26" s="29">
        <f>IF(Intereses_Leasing_Mensual!I26&gt;0, ROUND($H26 - Intereses_Leasing_Mensual!I26, 2), "")</f>
        <v/>
      </c>
      <c r="J26" s="29">
        <f>IF(Intereses_Leasing_Mensual!J26&gt;0, ROUND(I26 - Intereses_Leasing_Mensual!J26, 2), "")</f>
        <v/>
      </c>
      <c r="K26" s="29">
        <f>IF(Intereses_Leasing_Mensual!K26&gt;0, ROUND(J26 - Intereses_Leasing_Mensual!K26, 2), "")</f>
        <v/>
      </c>
      <c r="L26" s="29">
        <f>IF(Intereses_Leasing_Mensual!L26&gt;0, ROUND(K26 - Intereses_Leasing_Mensual!L26, 2), "")</f>
        <v/>
      </c>
      <c r="M26" s="29">
        <f>IF(Intereses_Leasing_Mensual!M26&gt;0, ROUND(L26 - Intereses_Leasing_Mensual!M26, 2), "")</f>
        <v/>
      </c>
      <c r="N26" s="29">
        <f>IF(Intereses_Leasing_Mensual!N26&gt;0, ROUND(M26 - Intereses_Leasing_Mensual!N26, 2), "")</f>
        <v/>
      </c>
      <c r="O26" s="29">
        <f>IF(Intereses_Leasing_Mensual!O26&gt;0, ROUND(N26 - Intereses_Leasing_Mensual!O26, 2), "")</f>
        <v/>
      </c>
      <c r="P26" s="29">
        <f>IF(Intereses_Leasing_Mensual!P26&gt;0, ROUND(O26 - Intereses_Leasing_Mensual!P26, 2), "")</f>
        <v/>
      </c>
      <c r="Q26" s="29">
        <f>IF(Intereses_Leasing_Mensual!Q26&gt;0, ROUND(P26 - Intereses_Leasing_Mensual!Q26, 2), "")</f>
        <v/>
      </c>
      <c r="R26" s="29">
        <f>IF(Intereses_Leasing_Mensual!R26&gt;0, ROUND(Q26 - Intereses_Leasing_Mensual!R26, 2), "")</f>
        <v/>
      </c>
      <c r="S26" s="29">
        <f>IF(Intereses_Leasing_Mensual!S26&gt;0, ROUND(R26 - Intereses_Leasing_Mensual!S26, 2), "")</f>
        <v/>
      </c>
      <c r="T26" s="29">
        <f>IF(Intereses_Leasing_Mensual!T26&gt;0, ROUND(S26 - Intereses_Leasing_Mensual!T26, 2), "")</f>
        <v/>
      </c>
      <c r="U26" s="29">
        <f>MAX(I26:T26)</f>
        <v/>
      </c>
    </row>
    <row r="27">
      <c r="A27" s="20" t="inlineStr">
        <is>
          <t>0546-0009</t>
        </is>
      </c>
      <c r="B27" s="21" t="inlineStr">
        <is>
          <t>Norma Elena Bonilla Lupio</t>
        </is>
      </c>
      <c r="C27" s="21" t="inlineStr">
        <is>
          <t>Ram 1200 Tradesman 2026</t>
        </is>
      </c>
      <c r="D27" s="20" t="inlineStr">
        <is>
          <t>ACTIVO</t>
        </is>
      </c>
      <c r="E27" s="20" t="inlineStr">
        <is>
          <t>2026-07-01</t>
        </is>
      </c>
      <c r="F27" s="20" t="inlineStr">
        <is>
          <t>2028-07-01</t>
        </is>
      </c>
      <c r="G27" s="22" t="n">
        <v>24</v>
      </c>
      <c r="H27" s="23" t="n">
        <v>105950.93</v>
      </c>
      <c r="I27" s="23" t="inlineStr"/>
      <c r="J27" s="23" t="inlineStr"/>
      <c r="K27" s="23" t="inlineStr"/>
      <c r="L27" s="23" t="inlineStr"/>
      <c r="M27" s="23" t="inlineStr"/>
      <c r="N27" s="23" t="inlineStr"/>
      <c r="O27" s="23">
        <f>IF(Intereses_Leasing_Mensual!O27&gt;0, ROUND($H27 - Intereses_Leasing_Mensual!O27, 2), "")</f>
        <v/>
      </c>
      <c r="P27" s="23">
        <f>IF(Intereses_Leasing_Mensual!P27&gt;0, ROUND(O27 - Intereses_Leasing_Mensual!P27, 2), "")</f>
        <v/>
      </c>
      <c r="Q27" s="23">
        <f>IF(Intereses_Leasing_Mensual!Q27&gt;0, ROUND(P27 - Intereses_Leasing_Mensual!Q27, 2), "")</f>
        <v/>
      </c>
      <c r="R27" s="23">
        <f>IF(Intereses_Leasing_Mensual!R27&gt;0, ROUND(Q27 - Intereses_Leasing_Mensual!R27, 2), "")</f>
        <v/>
      </c>
      <c r="S27" s="23">
        <f>IF(Intereses_Leasing_Mensual!S27&gt;0, ROUND(R27 - Intereses_Leasing_Mensual!S27, 2), "")</f>
        <v/>
      </c>
      <c r="T27" s="23">
        <f>IF(Intereses_Leasing_Mensual!T27&gt;0, ROUND(S27 - Intereses_Leasing_Mensual!T27, 2), "")</f>
        <v/>
      </c>
      <c r="U27" s="23">
        <f>MAX(I27:T27)</f>
        <v/>
      </c>
    </row>
    <row r="28">
      <c r="A28" s="26" t="inlineStr">
        <is>
          <t>0551-0002</t>
        </is>
      </c>
      <c r="B28" s="27" t="inlineStr">
        <is>
          <t>Agaveros Unidos de Tequila Jalisco Aun S de RL de Cv</t>
        </is>
      </c>
      <c r="C28" s="27" t="inlineStr">
        <is>
          <t>Ram 700 Laramie</t>
        </is>
      </c>
      <c r="D28" s="26" t="inlineStr">
        <is>
          <t>ACTIVO</t>
        </is>
      </c>
      <c r="E28" s="26" t="inlineStr">
        <is>
          <t>2023-07-07</t>
        </is>
      </c>
      <c r="F28" s="26" t="inlineStr">
        <is>
          <t>2027-07-07</t>
        </is>
      </c>
      <c r="G28" s="28" t="n">
        <v>48</v>
      </c>
      <c r="H28" s="29" t="n">
        <v>284392.55</v>
      </c>
      <c r="I28" s="29">
        <f>IF(Intereses_Leasing_Mensual!I28&gt;0, ROUND(74386.13 - Intereses_Leasing_Mensual!I28, 2), "")</f>
        <v/>
      </c>
      <c r="J28" s="29">
        <f>IF(Intereses_Leasing_Mensual!J28&gt;0, ROUND(I28 - Intereses_Leasing_Mensual!J28, 2), "")</f>
        <v/>
      </c>
      <c r="K28" s="29">
        <f>IF(Intereses_Leasing_Mensual!K28&gt;0, ROUND(J28 - Intereses_Leasing_Mensual!K28, 2), "")</f>
        <v/>
      </c>
      <c r="L28" s="29">
        <f>IF(Intereses_Leasing_Mensual!L28&gt;0, ROUND(K28 - Intereses_Leasing_Mensual!L28, 2), "")</f>
        <v/>
      </c>
      <c r="M28" s="29">
        <f>IF(Intereses_Leasing_Mensual!M28&gt;0, ROUND(L28 - Intereses_Leasing_Mensual!M28, 2), "")</f>
        <v/>
      </c>
      <c r="N28" s="29">
        <f>IF(Intereses_Leasing_Mensual!N28&gt;0, ROUND(M28 - Intereses_Leasing_Mensual!N28, 2), "")</f>
        <v/>
      </c>
      <c r="O28" s="29">
        <f>IF(Intereses_Leasing_Mensual!O28&gt;0, ROUND(N28 - Intereses_Leasing_Mensual!O28, 2), "")</f>
        <v/>
      </c>
      <c r="P28" s="29">
        <f>IF(Intereses_Leasing_Mensual!P28&gt;0, ROUND(O28 - Intereses_Leasing_Mensual!P28, 2), "")</f>
        <v/>
      </c>
      <c r="Q28" s="29">
        <f>IF(Intereses_Leasing_Mensual!Q28&gt;0, ROUND(P28 - Intereses_Leasing_Mensual!Q28, 2), "")</f>
        <v/>
      </c>
      <c r="R28" s="29">
        <f>IF(Intereses_Leasing_Mensual!R28&gt;0, ROUND(Q28 - Intereses_Leasing_Mensual!R28, 2), "")</f>
        <v/>
      </c>
      <c r="S28" s="29">
        <f>IF(Intereses_Leasing_Mensual!S28&gt;0, ROUND(R28 - Intereses_Leasing_Mensual!S28, 2), "")</f>
        <v/>
      </c>
      <c r="T28" s="29">
        <f>IF(Intereses_Leasing_Mensual!T28&gt;0, ROUND(S28 - Intereses_Leasing_Mensual!T28, 2), "")</f>
        <v/>
      </c>
      <c r="U28" s="29">
        <f>MAX(I28:T28)</f>
        <v/>
      </c>
    </row>
    <row r="29">
      <c r="A29" s="20" t="inlineStr">
        <is>
          <t>0552-0018</t>
        </is>
      </c>
      <c r="B29" s="21" t="inlineStr">
        <is>
          <t>Transportes y Maniobras Portuarias</t>
        </is>
      </c>
      <c r="C29" s="21" t="inlineStr">
        <is>
          <t>Raizer</t>
        </is>
      </c>
      <c r="D29" s="20" t="inlineStr">
        <is>
          <t>ACTIVO</t>
        </is>
      </c>
      <c r="E29" s="20" t="inlineStr">
        <is>
          <t>2024-11-29</t>
        </is>
      </c>
      <c r="F29" s="20" t="inlineStr">
        <is>
          <t>2026-11-29</t>
        </is>
      </c>
      <c r="G29" s="22" t="n">
        <v>24</v>
      </c>
      <c r="H29" s="23" t="n">
        <v>269575</v>
      </c>
      <c r="I29" s="23">
        <f>IF(Intereses_Leasing_Mensual!I29&gt;0, ROUND(56641.55 - Intereses_Leasing_Mensual!I29, 2), "")</f>
        <v/>
      </c>
      <c r="J29" s="23">
        <f>IF(Intereses_Leasing_Mensual!J29&gt;0, ROUND(I29 - Intereses_Leasing_Mensual!J29, 2), "")</f>
        <v/>
      </c>
      <c r="K29" s="23">
        <f>IF(Intereses_Leasing_Mensual!K29&gt;0, ROUND(J29 - Intereses_Leasing_Mensual!K29, 2), "")</f>
        <v/>
      </c>
      <c r="L29" s="23">
        <f>IF(Intereses_Leasing_Mensual!L29&gt;0, ROUND(K29 - Intereses_Leasing_Mensual!L29, 2), "")</f>
        <v/>
      </c>
      <c r="M29" s="23">
        <f>IF(Intereses_Leasing_Mensual!M29&gt;0, ROUND(L29 - Intereses_Leasing_Mensual!M29, 2), "")</f>
        <v/>
      </c>
      <c r="N29" s="23">
        <f>IF(Intereses_Leasing_Mensual!N29&gt;0, ROUND(M29 - Intereses_Leasing_Mensual!N29, 2), "")</f>
        <v/>
      </c>
      <c r="O29" s="23">
        <f>IF(Intereses_Leasing_Mensual!O29&gt;0, ROUND(N29 - Intereses_Leasing_Mensual!O29, 2), "")</f>
        <v/>
      </c>
      <c r="P29" s="23">
        <f>IF(Intereses_Leasing_Mensual!P29&gt;0, ROUND(O29 - Intereses_Leasing_Mensual!P29, 2), "")</f>
        <v/>
      </c>
      <c r="Q29" s="23">
        <f>IF(Intereses_Leasing_Mensual!Q29&gt;0, ROUND(P29 - Intereses_Leasing_Mensual!Q29, 2), "")</f>
        <v/>
      </c>
      <c r="R29" s="23">
        <f>IF(Intereses_Leasing_Mensual!R29&gt;0, ROUND(Q29 - Intereses_Leasing_Mensual!R29, 2), "")</f>
        <v/>
      </c>
      <c r="S29" s="23" t="inlineStr"/>
      <c r="T29" s="23" t="inlineStr"/>
      <c r="U29" s="23">
        <f>MAX(I29:T29)</f>
        <v/>
      </c>
    </row>
    <row r="30">
      <c r="A30" s="26" t="inlineStr">
        <is>
          <t>0552-0019</t>
        </is>
      </c>
      <c r="B30" s="27" t="inlineStr">
        <is>
          <t>Transportes y Maniobras Portuarias de Mexico Sa de Cv</t>
        </is>
      </c>
      <c r="C30" s="27" t="inlineStr">
        <is>
          <t>Remolque tipo Dolly</t>
        </is>
      </c>
      <c r="D30" s="26" t="inlineStr">
        <is>
          <t>ACTIVO</t>
        </is>
      </c>
      <c r="E30" s="26" t="inlineStr">
        <is>
          <t>2024-12-20</t>
        </is>
      </c>
      <c r="F30" s="26" t="inlineStr">
        <is>
          <t>2026-12-20</t>
        </is>
      </c>
      <c r="G30" s="28" t="n">
        <v>24</v>
      </c>
      <c r="H30" s="29" t="n">
        <v>82084.00999999999</v>
      </c>
      <c r="I30" s="29">
        <f>IF(Intereses_Leasing_Mensual!I30&gt;0, ROUND(20457.05 - Intereses_Leasing_Mensual!I30, 2), "")</f>
        <v/>
      </c>
      <c r="J30" s="29">
        <f>IF(Intereses_Leasing_Mensual!J30&gt;0, ROUND(I30 - Intereses_Leasing_Mensual!J30, 2), "")</f>
        <v/>
      </c>
      <c r="K30" s="29">
        <f>IF(Intereses_Leasing_Mensual!K30&gt;0, ROUND(J30 - Intereses_Leasing_Mensual!K30, 2), "")</f>
        <v/>
      </c>
      <c r="L30" s="29">
        <f>IF(Intereses_Leasing_Mensual!L30&gt;0, ROUND(K30 - Intereses_Leasing_Mensual!L30, 2), "")</f>
        <v/>
      </c>
      <c r="M30" s="29">
        <f>IF(Intereses_Leasing_Mensual!M30&gt;0, ROUND(L30 - Intereses_Leasing_Mensual!M30, 2), "")</f>
        <v/>
      </c>
      <c r="N30" s="29">
        <f>IF(Intereses_Leasing_Mensual!N30&gt;0, ROUND(M30 - Intereses_Leasing_Mensual!N30, 2), "")</f>
        <v/>
      </c>
      <c r="O30" s="29">
        <f>IF(Intereses_Leasing_Mensual!O30&gt;0, ROUND(N30 - Intereses_Leasing_Mensual!O30, 2), "")</f>
        <v/>
      </c>
      <c r="P30" s="29">
        <f>IF(Intereses_Leasing_Mensual!P30&gt;0, ROUND(O30 - Intereses_Leasing_Mensual!P30, 2), "")</f>
        <v/>
      </c>
      <c r="Q30" s="29">
        <f>IF(Intereses_Leasing_Mensual!Q30&gt;0, ROUND(P30 - Intereses_Leasing_Mensual!Q30, 2), "")</f>
        <v/>
      </c>
      <c r="R30" s="29">
        <f>IF(Intereses_Leasing_Mensual!R30&gt;0, ROUND(Q30 - Intereses_Leasing_Mensual!R30, 2), "")</f>
        <v/>
      </c>
      <c r="S30" s="29">
        <f>IF(Intereses_Leasing_Mensual!S30&gt;0, ROUND(R30 - Intereses_Leasing_Mensual!S30, 2), "")</f>
        <v/>
      </c>
      <c r="T30" s="29" t="inlineStr"/>
      <c r="U30" s="29">
        <f>MAX(I30:T30)</f>
        <v/>
      </c>
    </row>
    <row r="31">
      <c r="A31" s="20" t="inlineStr">
        <is>
          <t>0552-0020</t>
        </is>
      </c>
      <c r="B31" s="21" t="inlineStr">
        <is>
          <t>Transportes y Maniobras Portuarias de Mexico Sa de Cv</t>
        </is>
      </c>
      <c r="C31" s="21" t="inlineStr">
        <is>
          <t>PLATAFORMA MULTIMODAL</t>
        </is>
      </c>
      <c r="D31" s="20" t="inlineStr">
        <is>
          <t>ACTIVO</t>
        </is>
      </c>
      <c r="E31" s="20" t="inlineStr">
        <is>
          <t>2024-12-26</t>
        </is>
      </c>
      <c r="F31" s="20" t="inlineStr">
        <is>
          <t>2026-12-26</t>
        </is>
      </c>
      <c r="G31" s="22" t="n">
        <v>24</v>
      </c>
      <c r="H31" s="23" t="n">
        <v>155384.29</v>
      </c>
      <c r="I31" s="23">
        <f>IF(Intereses_Leasing_Mensual!I31&gt;0, ROUND(38725.02 - Intereses_Leasing_Mensual!I31, 2), "")</f>
        <v/>
      </c>
      <c r="J31" s="23">
        <f>IF(Intereses_Leasing_Mensual!J31&gt;0, ROUND(I31 - Intereses_Leasing_Mensual!J31, 2), "")</f>
        <v/>
      </c>
      <c r="K31" s="23">
        <f>IF(Intereses_Leasing_Mensual!K31&gt;0, ROUND(J31 - Intereses_Leasing_Mensual!K31, 2), "")</f>
        <v/>
      </c>
      <c r="L31" s="23">
        <f>IF(Intereses_Leasing_Mensual!L31&gt;0, ROUND(K31 - Intereses_Leasing_Mensual!L31, 2), "")</f>
        <v/>
      </c>
      <c r="M31" s="23">
        <f>IF(Intereses_Leasing_Mensual!M31&gt;0, ROUND(L31 - Intereses_Leasing_Mensual!M31, 2), "")</f>
        <v/>
      </c>
      <c r="N31" s="23">
        <f>IF(Intereses_Leasing_Mensual!N31&gt;0, ROUND(M31 - Intereses_Leasing_Mensual!N31, 2), "")</f>
        <v/>
      </c>
      <c r="O31" s="23">
        <f>IF(Intereses_Leasing_Mensual!O31&gt;0, ROUND(N31 - Intereses_Leasing_Mensual!O31, 2), "")</f>
        <v/>
      </c>
      <c r="P31" s="23">
        <f>IF(Intereses_Leasing_Mensual!P31&gt;0, ROUND(O31 - Intereses_Leasing_Mensual!P31, 2), "")</f>
        <v/>
      </c>
      <c r="Q31" s="23">
        <f>IF(Intereses_Leasing_Mensual!Q31&gt;0, ROUND(P31 - Intereses_Leasing_Mensual!Q31, 2), "")</f>
        <v/>
      </c>
      <c r="R31" s="23">
        <f>IF(Intereses_Leasing_Mensual!R31&gt;0, ROUND(Q31 - Intereses_Leasing_Mensual!R31, 2), "")</f>
        <v/>
      </c>
      <c r="S31" s="23">
        <f>IF(Intereses_Leasing_Mensual!S31&gt;0, ROUND(R31 - Intereses_Leasing_Mensual!S31, 2), "")</f>
        <v/>
      </c>
      <c r="T31" s="23" t="inlineStr"/>
      <c r="U31" s="23">
        <f>MAX(I31:T31)</f>
        <v/>
      </c>
    </row>
    <row r="32">
      <c r="A32" s="26" t="inlineStr">
        <is>
          <t>0552-0021</t>
        </is>
      </c>
      <c r="B32" s="27" t="inlineStr">
        <is>
          <t>Transportes y Maniobras Portuarias de Mexico Sa de Cv</t>
        </is>
      </c>
      <c r="C32" s="27" t="inlineStr">
        <is>
          <t>PLATAFORMA MULTIMODAL</t>
        </is>
      </c>
      <c r="D32" s="26" t="inlineStr">
        <is>
          <t>ACTIVO</t>
        </is>
      </c>
      <c r="E32" s="26" t="inlineStr">
        <is>
          <t>2024-12-26</t>
        </is>
      </c>
      <c r="F32" s="26" t="inlineStr">
        <is>
          <t>2026-12-26</t>
        </is>
      </c>
      <c r="G32" s="28" t="n">
        <v>24</v>
      </c>
      <c r="H32" s="29" t="n">
        <v>155384.29</v>
      </c>
      <c r="I32" s="29">
        <f>IF(Intereses_Leasing_Mensual!I32&gt;0, ROUND(38725.02 - Intereses_Leasing_Mensual!I32, 2), "")</f>
        <v/>
      </c>
      <c r="J32" s="29">
        <f>IF(Intereses_Leasing_Mensual!J32&gt;0, ROUND(I32 - Intereses_Leasing_Mensual!J32, 2), "")</f>
        <v/>
      </c>
      <c r="K32" s="29">
        <f>IF(Intereses_Leasing_Mensual!K32&gt;0, ROUND(J32 - Intereses_Leasing_Mensual!K32, 2), "")</f>
        <v/>
      </c>
      <c r="L32" s="29">
        <f>IF(Intereses_Leasing_Mensual!L32&gt;0, ROUND(K32 - Intereses_Leasing_Mensual!L32, 2), "")</f>
        <v/>
      </c>
      <c r="M32" s="29">
        <f>IF(Intereses_Leasing_Mensual!M32&gt;0, ROUND(L32 - Intereses_Leasing_Mensual!M32, 2), "")</f>
        <v/>
      </c>
      <c r="N32" s="29">
        <f>IF(Intereses_Leasing_Mensual!N32&gt;0, ROUND(M32 - Intereses_Leasing_Mensual!N32, 2), "")</f>
        <v/>
      </c>
      <c r="O32" s="29">
        <f>IF(Intereses_Leasing_Mensual!O32&gt;0, ROUND(N32 - Intereses_Leasing_Mensual!O32, 2), "")</f>
        <v/>
      </c>
      <c r="P32" s="29">
        <f>IF(Intereses_Leasing_Mensual!P32&gt;0, ROUND(O32 - Intereses_Leasing_Mensual!P32, 2), "")</f>
        <v/>
      </c>
      <c r="Q32" s="29">
        <f>IF(Intereses_Leasing_Mensual!Q32&gt;0, ROUND(P32 - Intereses_Leasing_Mensual!Q32, 2), "")</f>
        <v/>
      </c>
      <c r="R32" s="29">
        <f>IF(Intereses_Leasing_Mensual!R32&gt;0, ROUND(Q32 - Intereses_Leasing_Mensual!R32, 2), "")</f>
        <v/>
      </c>
      <c r="S32" s="29">
        <f>IF(Intereses_Leasing_Mensual!S32&gt;0, ROUND(R32 - Intereses_Leasing_Mensual!S32, 2), "")</f>
        <v/>
      </c>
      <c r="T32" s="29" t="inlineStr"/>
      <c r="U32" s="29">
        <f>MAX(I32:T32)</f>
        <v/>
      </c>
    </row>
    <row r="33">
      <c r="A33" s="20" t="inlineStr">
        <is>
          <t>0552-0022</t>
        </is>
      </c>
      <c r="B33" s="21" t="inlineStr">
        <is>
          <t>Transportes y Maniobras Portuarias de Mexico Sa de Cv</t>
        </is>
      </c>
      <c r="C33" s="21" t="inlineStr">
        <is>
          <t>RZR</t>
        </is>
      </c>
      <c r="D33" s="20" t="inlineStr">
        <is>
          <t>ACTIVO</t>
        </is>
      </c>
      <c r="E33" s="20" t="inlineStr">
        <is>
          <t>2024-12-26</t>
        </is>
      </c>
      <c r="F33" s="20" t="inlineStr">
        <is>
          <t>2026-12-26</t>
        </is>
      </c>
      <c r="G33" s="22" t="n">
        <v>24</v>
      </c>
      <c r="H33" s="23" t="n">
        <v>275952.04</v>
      </c>
      <c r="I33" s="23">
        <f>IF(Intereses_Leasing_Mensual!I33&gt;0, ROUND(68788.64 - Intereses_Leasing_Mensual!I33, 2), "")</f>
        <v/>
      </c>
      <c r="J33" s="23">
        <f>IF(Intereses_Leasing_Mensual!J33&gt;0, ROUND(I33 - Intereses_Leasing_Mensual!J33, 2), "")</f>
        <v/>
      </c>
      <c r="K33" s="23">
        <f>IF(Intereses_Leasing_Mensual!K33&gt;0, ROUND(J33 - Intereses_Leasing_Mensual!K33, 2), "")</f>
        <v/>
      </c>
      <c r="L33" s="23">
        <f>IF(Intereses_Leasing_Mensual!L33&gt;0, ROUND(K33 - Intereses_Leasing_Mensual!L33, 2), "")</f>
        <v/>
      </c>
      <c r="M33" s="23">
        <f>IF(Intereses_Leasing_Mensual!M33&gt;0, ROUND(L33 - Intereses_Leasing_Mensual!M33, 2), "")</f>
        <v/>
      </c>
      <c r="N33" s="23">
        <f>IF(Intereses_Leasing_Mensual!N33&gt;0, ROUND(M33 - Intereses_Leasing_Mensual!N33, 2), "")</f>
        <v/>
      </c>
      <c r="O33" s="23">
        <f>IF(Intereses_Leasing_Mensual!O33&gt;0, ROUND(N33 - Intereses_Leasing_Mensual!O33, 2), "")</f>
        <v/>
      </c>
      <c r="P33" s="23">
        <f>IF(Intereses_Leasing_Mensual!P33&gt;0, ROUND(O33 - Intereses_Leasing_Mensual!P33, 2), "")</f>
        <v/>
      </c>
      <c r="Q33" s="23">
        <f>IF(Intereses_Leasing_Mensual!Q33&gt;0, ROUND(P33 - Intereses_Leasing_Mensual!Q33, 2), "")</f>
        <v/>
      </c>
      <c r="R33" s="23">
        <f>IF(Intereses_Leasing_Mensual!R33&gt;0, ROUND(Q33 - Intereses_Leasing_Mensual!R33, 2), "")</f>
        <v/>
      </c>
      <c r="S33" s="23">
        <f>IF(Intereses_Leasing_Mensual!S33&gt;0, ROUND(R33 - Intereses_Leasing_Mensual!S33, 2), "")</f>
        <v/>
      </c>
      <c r="T33" s="23" t="inlineStr"/>
      <c r="U33" s="23">
        <f>MAX(I33:T33)</f>
        <v/>
      </c>
    </row>
    <row r="34">
      <c r="A34" s="26" t="inlineStr">
        <is>
          <t>0552-0023</t>
        </is>
      </c>
      <c r="B34" s="27" t="inlineStr">
        <is>
          <t>Transportes y Maniobras Portuarias de Mexico Sa de Cv</t>
        </is>
      </c>
      <c r="C34" s="27" t="inlineStr">
        <is>
          <t>Iternational Lt</t>
        </is>
      </c>
      <c r="D34" s="26" t="inlineStr">
        <is>
          <t>ACTIVO</t>
        </is>
      </c>
      <c r="E34" s="26" t="inlineStr">
        <is>
          <t>2025-08-27</t>
        </is>
      </c>
      <c r="F34" s="26" t="inlineStr">
        <is>
          <t>2027-08-27</t>
        </is>
      </c>
      <c r="G34" s="28" t="n">
        <v>24</v>
      </c>
      <c r="H34" s="29" t="n">
        <v>530187.75</v>
      </c>
      <c r="I34" s="29">
        <f>IF(Intereses_Leasing_Mensual!I34&gt;0, ROUND(361741.81 - Intereses_Leasing_Mensual!I34, 2), "")</f>
        <v/>
      </c>
      <c r="J34" s="29">
        <f>IF(Intereses_Leasing_Mensual!J34&gt;0, ROUND(I34 - Intereses_Leasing_Mensual!J34, 2), "")</f>
        <v/>
      </c>
      <c r="K34" s="29">
        <f>IF(Intereses_Leasing_Mensual!K34&gt;0, ROUND(J34 - Intereses_Leasing_Mensual!K34, 2), "")</f>
        <v/>
      </c>
      <c r="L34" s="29">
        <f>IF(Intereses_Leasing_Mensual!L34&gt;0, ROUND(K34 - Intereses_Leasing_Mensual!L34, 2), "")</f>
        <v/>
      </c>
      <c r="M34" s="29">
        <f>IF(Intereses_Leasing_Mensual!M34&gt;0, ROUND(L34 - Intereses_Leasing_Mensual!M34, 2), "")</f>
        <v/>
      </c>
      <c r="N34" s="29">
        <f>IF(Intereses_Leasing_Mensual!N34&gt;0, ROUND(M34 - Intereses_Leasing_Mensual!N34, 2), "")</f>
        <v/>
      </c>
      <c r="O34" s="29">
        <f>IF(Intereses_Leasing_Mensual!O34&gt;0, ROUND(N34 - Intereses_Leasing_Mensual!O34, 2), "")</f>
        <v/>
      </c>
      <c r="P34" s="29">
        <f>IF(Intereses_Leasing_Mensual!P34&gt;0, ROUND(O34 - Intereses_Leasing_Mensual!P34, 2), "")</f>
        <v/>
      </c>
      <c r="Q34" s="29">
        <f>IF(Intereses_Leasing_Mensual!Q34&gt;0, ROUND(P34 - Intereses_Leasing_Mensual!Q34, 2), "")</f>
        <v/>
      </c>
      <c r="R34" s="29">
        <f>IF(Intereses_Leasing_Mensual!R34&gt;0, ROUND(Q34 - Intereses_Leasing_Mensual!R34, 2), "")</f>
        <v/>
      </c>
      <c r="S34" s="29">
        <f>IF(Intereses_Leasing_Mensual!S34&gt;0, ROUND(R34 - Intereses_Leasing_Mensual!S34, 2), "")</f>
        <v/>
      </c>
      <c r="T34" s="29">
        <f>IF(Intereses_Leasing_Mensual!T34&gt;0, ROUND(S34 - Intereses_Leasing_Mensual!T34, 2), "")</f>
        <v/>
      </c>
      <c r="U34" s="29">
        <f>MAX(I34:T34)</f>
        <v/>
      </c>
    </row>
    <row r="35">
      <c r="A35" s="20" t="inlineStr">
        <is>
          <t>0552-0024</t>
        </is>
      </c>
      <c r="B35" s="21" t="inlineStr">
        <is>
          <t>Transportes y Maniobras Portuarias de Mexico Sa de Cv</t>
        </is>
      </c>
      <c r="C35" s="21" t="inlineStr">
        <is>
          <t>Iternational Lt</t>
        </is>
      </c>
      <c r="D35" s="20" t="inlineStr">
        <is>
          <t>ACTIVO</t>
        </is>
      </c>
      <c r="E35" s="20" t="inlineStr">
        <is>
          <t>2025-08-27</t>
        </is>
      </c>
      <c r="F35" s="20" t="inlineStr">
        <is>
          <t>2027-08-27</t>
        </is>
      </c>
      <c r="G35" s="22" t="n">
        <v>24</v>
      </c>
      <c r="H35" s="23" t="n">
        <v>530187.75</v>
      </c>
      <c r="I35" s="23">
        <f>IF(Intereses_Leasing_Mensual!I35&gt;0, ROUND(361741.81 - Intereses_Leasing_Mensual!I35, 2), "")</f>
        <v/>
      </c>
      <c r="J35" s="23">
        <f>IF(Intereses_Leasing_Mensual!J35&gt;0, ROUND(I35 - Intereses_Leasing_Mensual!J35, 2), "")</f>
        <v/>
      </c>
      <c r="K35" s="23">
        <f>IF(Intereses_Leasing_Mensual!K35&gt;0, ROUND(J35 - Intereses_Leasing_Mensual!K35, 2), "")</f>
        <v/>
      </c>
      <c r="L35" s="23">
        <f>IF(Intereses_Leasing_Mensual!L35&gt;0, ROUND(K35 - Intereses_Leasing_Mensual!L35, 2), "")</f>
        <v/>
      </c>
      <c r="M35" s="23">
        <f>IF(Intereses_Leasing_Mensual!M35&gt;0, ROUND(L35 - Intereses_Leasing_Mensual!M35, 2), "")</f>
        <v/>
      </c>
      <c r="N35" s="23">
        <f>IF(Intereses_Leasing_Mensual!N35&gt;0, ROUND(M35 - Intereses_Leasing_Mensual!N35, 2), "")</f>
        <v/>
      </c>
      <c r="O35" s="23">
        <f>IF(Intereses_Leasing_Mensual!O35&gt;0, ROUND(N35 - Intereses_Leasing_Mensual!O35, 2), "")</f>
        <v/>
      </c>
      <c r="P35" s="23">
        <f>IF(Intereses_Leasing_Mensual!P35&gt;0, ROUND(O35 - Intereses_Leasing_Mensual!P35, 2), "")</f>
        <v/>
      </c>
      <c r="Q35" s="23">
        <f>IF(Intereses_Leasing_Mensual!Q35&gt;0, ROUND(P35 - Intereses_Leasing_Mensual!Q35, 2), "")</f>
        <v/>
      </c>
      <c r="R35" s="23">
        <f>IF(Intereses_Leasing_Mensual!R35&gt;0, ROUND(Q35 - Intereses_Leasing_Mensual!R35, 2), "")</f>
        <v/>
      </c>
      <c r="S35" s="23">
        <f>IF(Intereses_Leasing_Mensual!S35&gt;0, ROUND(R35 - Intereses_Leasing_Mensual!S35, 2), "")</f>
        <v/>
      </c>
      <c r="T35" s="23">
        <f>IF(Intereses_Leasing_Mensual!T35&gt;0, ROUND(S35 - Intereses_Leasing_Mensual!T35, 2), "")</f>
        <v/>
      </c>
      <c r="U35" s="23">
        <f>MAX(I35:T35)</f>
        <v/>
      </c>
    </row>
    <row r="36">
      <c r="A36" s="26" t="inlineStr">
        <is>
          <t>0552-0025</t>
        </is>
      </c>
      <c r="B36" s="27" t="inlineStr">
        <is>
          <t>Transportes y Maniobras Portuarias de Mexico Sa de Cv</t>
        </is>
      </c>
      <c r="C36" s="27" t="inlineStr">
        <is>
          <t>Iternational Lt</t>
        </is>
      </c>
      <c r="D36" s="26" t="inlineStr">
        <is>
          <t>ACTIVO</t>
        </is>
      </c>
      <c r="E36" s="26" t="inlineStr">
        <is>
          <t>2025-08-27</t>
        </is>
      </c>
      <c r="F36" s="26" t="inlineStr">
        <is>
          <t>2027-08-27</t>
        </is>
      </c>
      <c r="G36" s="28" t="n">
        <v>24</v>
      </c>
      <c r="H36" s="29" t="n">
        <v>530187.75</v>
      </c>
      <c r="I36" s="29">
        <f>IF(Intereses_Leasing_Mensual!I36&gt;0, ROUND(361741.81 - Intereses_Leasing_Mensual!I36, 2), "")</f>
        <v/>
      </c>
      <c r="J36" s="29">
        <f>IF(Intereses_Leasing_Mensual!J36&gt;0, ROUND(I36 - Intereses_Leasing_Mensual!J36, 2), "")</f>
        <v/>
      </c>
      <c r="K36" s="29">
        <f>IF(Intereses_Leasing_Mensual!K36&gt;0, ROUND(J36 - Intereses_Leasing_Mensual!K36, 2), "")</f>
        <v/>
      </c>
      <c r="L36" s="29">
        <f>IF(Intereses_Leasing_Mensual!L36&gt;0, ROUND(K36 - Intereses_Leasing_Mensual!L36, 2), "")</f>
        <v/>
      </c>
      <c r="M36" s="29">
        <f>IF(Intereses_Leasing_Mensual!M36&gt;0, ROUND(L36 - Intereses_Leasing_Mensual!M36, 2), "")</f>
        <v/>
      </c>
      <c r="N36" s="29">
        <f>IF(Intereses_Leasing_Mensual!N36&gt;0, ROUND(M36 - Intereses_Leasing_Mensual!N36, 2), "")</f>
        <v/>
      </c>
      <c r="O36" s="29">
        <f>IF(Intereses_Leasing_Mensual!O36&gt;0, ROUND(N36 - Intereses_Leasing_Mensual!O36, 2), "")</f>
        <v/>
      </c>
      <c r="P36" s="29">
        <f>IF(Intereses_Leasing_Mensual!P36&gt;0, ROUND(O36 - Intereses_Leasing_Mensual!P36, 2), "")</f>
        <v/>
      </c>
      <c r="Q36" s="29">
        <f>IF(Intereses_Leasing_Mensual!Q36&gt;0, ROUND(P36 - Intereses_Leasing_Mensual!Q36, 2), "")</f>
        <v/>
      </c>
      <c r="R36" s="29">
        <f>IF(Intereses_Leasing_Mensual!R36&gt;0, ROUND(Q36 - Intereses_Leasing_Mensual!R36, 2), "")</f>
        <v/>
      </c>
      <c r="S36" s="29">
        <f>IF(Intereses_Leasing_Mensual!S36&gt;0, ROUND(R36 - Intereses_Leasing_Mensual!S36, 2), "")</f>
        <v/>
      </c>
      <c r="T36" s="29">
        <f>IF(Intereses_Leasing_Mensual!T36&gt;0, ROUND(S36 - Intereses_Leasing_Mensual!T36, 2), "")</f>
        <v/>
      </c>
      <c r="U36" s="29">
        <f>MAX(I36:T36)</f>
        <v/>
      </c>
    </row>
    <row r="37">
      <c r="A37" s="20" t="inlineStr">
        <is>
          <t>0554-0003</t>
        </is>
      </c>
      <c r="B37" s="21" t="inlineStr">
        <is>
          <t>TRANSPORTES DEL BAJIO TRANSCOLD SA DE CV</t>
        </is>
      </c>
      <c r="C37" s="21" t="inlineStr">
        <is>
          <t>RAM 4000 CHASIS PLANO LARGO "PL"</t>
        </is>
      </c>
      <c r="D37" s="20" t="inlineStr">
        <is>
          <t>ACTIVO</t>
        </is>
      </c>
      <c r="E37" s="20" t="inlineStr">
        <is>
          <t>2022-11-24</t>
        </is>
      </c>
      <c r="F37" s="20" t="inlineStr">
        <is>
          <t>2026-11-24</t>
        </is>
      </c>
      <c r="G37" s="22" t="n">
        <v>48</v>
      </c>
      <c r="H37" s="23" t="n">
        <v>568389.05</v>
      </c>
      <c r="I37" s="23">
        <f>IF(Intereses_Leasing_Mensual!I37&gt;0, ROUND(49633.58 - Intereses_Leasing_Mensual!I37, 2), "")</f>
        <v/>
      </c>
      <c r="J37" s="23">
        <f>IF(Intereses_Leasing_Mensual!J37&gt;0, ROUND(I37 - Intereses_Leasing_Mensual!J37, 2), "")</f>
        <v/>
      </c>
      <c r="K37" s="23">
        <f>IF(Intereses_Leasing_Mensual!K37&gt;0, ROUND(J37 - Intereses_Leasing_Mensual!K37, 2), "")</f>
        <v/>
      </c>
      <c r="L37" s="23">
        <f>IF(Intereses_Leasing_Mensual!L37&gt;0, ROUND(K37 - Intereses_Leasing_Mensual!L37, 2), "")</f>
        <v/>
      </c>
      <c r="M37" s="23">
        <f>IF(Intereses_Leasing_Mensual!M37&gt;0, ROUND(L37 - Intereses_Leasing_Mensual!M37, 2), "")</f>
        <v/>
      </c>
      <c r="N37" s="23">
        <f>IF(Intereses_Leasing_Mensual!N37&gt;0, ROUND(M37 - Intereses_Leasing_Mensual!N37, 2), "")</f>
        <v/>
      </c>
      <c r="O37" s="23">
        <f>IF(Intereses_Leasing_Mensual!O37&gt;0, ROUND(N37 - Intereses_Leasing_Mensual!O37, 2), "")</f>
        <v/>
      </c>
      <c r="P37" s="23">
        <f>IF(Intereses_Leasing_Mensual!P37&gt;0, ROUND(O37 - Intereses_Leasing_Mensual!P37, 2), "")</f>
        <v/>
      </c>
      <c r="Q37" s="23">
        <f>IF(Intereses_Leasing_Mensual!Q37&gt;0, ROUND(P37 - Intereses_Leasing_Mensual!Q37, 2), "")</f>
        <v/>
      </c>
      <c r="R37" s="23">
        <f>IF(Intereses_Leasing_Mensual!R37&gt;0, ROUND(Q37 - Intereses_Leasing_Mensual!R37, 2), "")</f>
        <v/>
      </c>
      <c r="S37" s="23" t="inlineStr"/>
      <c r="T37" s="23" t="inlineStr"/>
      <c r="U37" s="23">
        <f>MAX(I37:T37)</f>
        <v/>
      </c>
    </row>
    <row r="38">
      <c r="A38" s="26" t="inlineStr">
        <is>
          <t>0570-0006</t>
        </is>
      </c>
      <c r="B38" s="27" t="inlineStr">
        <is>
          <t>Jalco Iluminacion Sa de Cv</t>
        </is>
      </c>
      <c r="C38" s="27" t="inlineStr">
        <is>
          <t>RAM 700 BIG HORN</t>
        </is>
      </c>
      <c r="D38" s="26" t="inlineStr">
        <is>
          <t>ACTIVO</t>
        </is>
      </c>
      <c r="E38" s="26" t="inlineStr">
        <is>
          <t>2023-12-08</t>
        </is>
      </c>
      <c r="F38" s="26" t="inlineStr">
        <is>
          <t>2026-12-08</t>
        </is>
      </c>
      <c r="G38" s="28" t="n">
        <v>36</v>
      </c>
      <c r="H38" s="29" t="n">
        <v>273134.55</v>
      </c>
      <c r="I38" s="29">
        <f>IF(Intereses_Leasing_Mensual!I38&gt;0, ROUND(59375.8 - Intereses_Leasing_Mensual!I38, 2), "")</f>
        <v/>
      </c>
      <c r="J38" s="29">
        <f>IF(Intereses_Leasing_Mensual!J38&gt;0, ROUND(I38 - Intereses_Leasing_Mensual!J38, 2), "")</f>
        <v/>
      </c>
      <c r="K38" s="29">
        <f>IF(Intereses_Leasing_Mensual!K38&gt;0, ROUND(J38 - Intereses_Leasing_Mensual!K38, 2), "")</f>
        <v/>
      </c>
      <c r="L38" s="29">
        <f>IF(Intereses_Leasing_Mensual!L38&gt;0, ROUND(K38 - Intereses_Leasing_Mensual!L38, 2), "")</f>
        <v/>
      </c>
      <c r="M38" s="29">
        <f>IF(Intereses_Leasing_Mensual!M38&gt;0, ROUND(L38 - Intereses_Leasing_Mensual!M38, 2), "")</f>
        <v/>
      </c>
      <c r="N38" s="29">
        <f>IF(Intereses_Leasing_Mensual!N38&gt;0, ROUND(M38 - Intereses_Leasing_Mensual!N38, 2), "")</f>
        <v/>
      </c>
      <c r="O38" s="29">
        <f>IF(Intereses_Leasing_Mensual!O38&gt;0, ROUND(N38 - Intereses_Leasing_Mensual!O38, 2), "")</f>
        <v/>
      </c>
      <c r="P38" s="29">
        <f>IF(Intereses_Leasing_Mensual!P38&gt;0, ROUND(O38 - Intereses_Leasing_Mensual!P38, 2), "")</f>
        <v/>
      </c>
      <c r="Q38" s="29">
        <f>IF(Intereses_Leasing_Mensual!Q38&gt;0, ROUND(P38 - Intereses_Leasing_Mensual!Q38, 2), "")</f>
        <v/>
      </c>
      <c r="R38" s="29">
        <f>IF(Intereses_Leasing_Mensual!R38&gt;0, ROUND(Q38 - Intereses_Leasing_Mensual!R38, 2), "")</f>
        <v/>
      </c>
      <c r="S38" s="29">
        <f>IF(Intereses_Leasing_Mensual!S38&gt;0, ROUND(R38 - Intereses_Leasing_Mensual!S38, 2), "")</f>
        <v/>
      </c>
      <c r="T38" s="29" t="inlineStr"/>
      <c r="U38" s="29">
        <f>MAX(I38:T38)</f>
        <v/>
      </c>
    </row>
    <row r="39">
      <c r="A39" s="20" t="inlineStr">
        <is>
          <t>0573-0007</t>
        </is>
      </c>
      <c r="B39" s="21" t="inlineStr">
        <is>
          <t>Ar Marketing Sa de Cv</t>
        </is>
      </c>
      <c r="C39" s="21" t="inlineStr">
        <is>
          <t>Promaster Rapid</t>
        </is>
      </c>
      <c r="D39" s="20" t="inlineStr">
        <is>
          <t>ACTIVO</t>
        </is>
      </c>
      <c r="E39" s="20" t="inlineStr">
        <is>
          <t>2024-05-10</t>
        </is>
      </c>
      <c r="F39" s="20" t="inlineStr">
        <is>
          <t>2027-05-10</t>
        </is>
      </c>
      <c r="G39" s="22" t="n">
        <v>36</v>
      </c>
      <c r="H39" s="23" t="n">
        <v>153810.15</v>
      </c>
      <c r="I39" s="23">
        <f>IF(Intereses_Leasing_Mensual!I39&gt;0, ROUND(49954.76 - Intereses_Leasing_Mensual!I39, 2), "")</f>
        <v/>
      </c>
      <c r="J39" s="23">
        <f>IF(Intereses_Leasing_Mensual!J39&gt;0, ROUND(I39 - Intereses_Leasing_Mensual!J39, 2), "")</f>
        <v/>
      </c>
      <c r="K39" s="23">
        <f>IF(Intereses_Leasing_Mensual!K39&gt;0, ROUND(J39 - Intereses_Leasing_Mensual!K39, 2), "")</f>
        <v/>
      </c>
      <c r="L39" s="23">
        <f>IF(Intereses_Leasing_Mensual!L39&gt;0, ROUND(K39 - Intereses_Leasing_Mensual!L39, 2), "")</f>
        <v/>
      </c>
      <c r="M39" s="23">
        <f>IF(Intereses_Leasing_Mensual!M39&gt;0, ROUND(L39 - Intereses_Leasing_Mensual!M39, 2), "")</f>
        <v/>
      </c>
      <c r="N39" s="23">
        <f>IF(Intereses_Leasing_Mensual!N39&gt;0, ROUND(M39 - Intereses_Leasing_Mensual!N39, 2), "")</f>
        <v/>
      </c>
      <c r="O39" s="23">
        <f>IF(Intereses_Leasing_Mensual!O39&gt;0, ROUND(N39 - Intereses_Leasing_Mensual!O39, 2), "")</f>
        <v/>
      </c>
      <c r="P39" s="23">
        <f>IF(Intereses_Leasing_Mensual!P39&gt;0, ROUND(O39 - Intereses_Leasing_Mensual!P39, 2), "")</f>
        <v/>
      </c>
      <c r="Q39" s="23">
        <f>IF(Intereses_Leasing_Mensual!Q39&gt;0, ROUND(P39 - Intereses_Leasing_Mensual!Q39, 2), "")</f>
        <v/>
      </c>
      <c r="R39" s="23">
        <f>IF(Intereses_Leasing_Mensual!R39&gt;0, ROUND(Q39 - Intereses_Leasing_Mensual!R39, 2), "")</f>
        <v/>
      </c>
      <c r="S39" s="23">
        <f>IF(Intereses_Leasing_Mensual!S39&gt;0, ROUND(R39 - Intereses_Leasing_Mensual!S39, 2), "")</f>
        <v/>
      </c>
      <c r="T39" s="23">
        <f>IF(Intereses_Leasing_Mensual!T39&gt;0, ROUND(S39 - Intereses_Leasing_Mensual!T39, 2), "")</f>
        <v/>
      </c>
      <c r="U39" s="23">
        <f>MAX(I39:T39)</f>
        <v/>
      </c>
    </row>
    <row r="40">
      <c r="A40" s="26" t="inlineStr">
        <is>
          <t>0573-0008</t>
        </is>
      </c>
      <c r="B40" s="27" t="inlineStr">
        <is>
          <t>Ar Marketing Sa de Cv</t>
        </is>
      </c>
      <c r="C40" s="27" t="inlineStr">
        <is>
          <t>Promaster Rapid</t>
        </is>
      </c>
      <c r="D40" s="26" t="inlineStr">
        <is>
          <t>ACTIVO</t>
        </is>
      </c>
      <c r="E40" s="26" t="inlineStr">
        <is>
          <t>2024-05-15</t>
        </is>
      </c>
      <c r="F40" s="26" t="inlineStr">
        <is>
          <t>2027-05-15</t>
        </is>
      </c>
      <c r="G40" s="28" t="n">
        <v>36</v>
      </c>
      <c r="H40" s="29" t="n">
        <v>151287.79</v>
      </c>
      <c r="I40" s="29">
        <f>IF(Intereses_Leasing_Mensual!I40&gt;0, ROUND(49135.5 - Intereses_Leasing_Mensual!I40, 2), "")</f>
        <v/>
      </c>
      <c r="J40" s="29">
        <f>IF(Intereses_Leasing_Mensual!J40&gt;0, ROUND(I40 - Intereses_Leasing_Mensual!J40, 2), "")</f>
        <v/>
      </c>
      <c r="K40" s="29">
        <f>IF(Intereses_Leasing_Mensual!K40&gt;0, ROUND(J40 - Intereses_Leasing_Mensual!K40, 2), "")</f>
        <v/>
      </c>
      <c r="L40" s="29">
        <f>IF(Intereses_Leasing_Mensual!L40&gt;0, ROUND(K40 - Intereses_Leasing_Mensual!L40, 2), "")</f>
        <v/>
      </c>
      <c r="M40" s="29">
        <f>IF(Intereses_Leasing_Mensual!M40&gt;0, ROUND(L40 - Intereses_Leasing_Mensual!M40, 2), "")</f>
        <v/>
      </c>
      <c r="N40" s="29">
        <f>IF(Intereses_Leasing_Mensual!N40&gt;0, ROUND(M40 - Intereses_Leasing_Mensual!N40, 2), "")</f>
        <v/>
      </c>
      <c r="O40" s="29">
        <f>IF(Intereses_Leasing_Mensual!O40&gt;0, ROUND(N40 - Intereses_Leasing_Mensual!O40, 2), "")</f>
        <v/>
      </c>
      <c r="P40" s="29">
        <f>IF(Intereses_Leasing_Mensual!P40&gt;0, ROUND(O40 - Intereses_Leasing_Mensual!P40, 2), "")</f>
        <v/>
      </c>
      <c r="Q40" s="29">
        <f>IF(Intereses_Leasing_Mensual!Q40&gt;0, ROUND(P40 - Intereses_Leasing_Mensual!Q40, 2), "")</f>
        <v/>
      </c>
      <c r="R40" s="29">
        <f>IF(Intereses_Leasing_Mensual!R40&gt;0, ROUND(Q40 - Intereses_Leasing_Mensual!R40, 2), "")</f>
        <v/>
      </c>
      <c r="S40" s="29">
        <f>IF(Intereses_Leasing_Mensual!S40&gt;0, ROUND(R40 - Intereses_Leasing_Mensual!S40, 2), "")</f>
        <v/>
      </c>
      <c r="T40" s="29">
        <f>IF(Intereses_Leasing_Mensual!T40&gt;0, ROUND(S40 - Intereses_Leasing_Mensual!T40, 2), "")</f>
        <v/>
      </c>
      <c r="U40" s="29">
        <f>MAX(I40:T40)</f>
        <v/>
      </c>
    </row>
    <row r="41">
      <c r="A41" s="20" t="inlineStr">
        <is>
          <t>0573-0009</t>
        </is>
      </c>
      <c r="B41" s="21" t="inlineStr">
        <is>
          <t>Ar Marketing Sa de Cv</t>
        </is>
      </c>
      <c r="C41" s="21" t="inlineStr">
        <is>
          <t>Partner</t>
        </is>
      </c>
      <c r="D41" s="20" t="inlineStr">
        <is>
          <t>ACTIVO</t>
        </is>
      </c>
      <c r="E41" s="20" t="inlineStr">
        <is>
          <t>2025-11-28</t>
        </is>
      </c>
      <c r="F41" s="20" t="inlineStr">
        <is>
          <t>2028-11-28</t>
        </is>
      </c>
      <c r="G41" s="22" t="n">
        <v>36</v>
      </c>
      <c r="H41" s="23" t="n">
        <v>118858.62</v>
      </c>
      <c r="I41" s="23">
        <f>IF(Intereses_Leasing_Mensual!I41&gt;0, ROUND(109593.62 - Intereses_Leasing_Mensual!I41, 2), "")</f>
        <v/>
      </c>
      <c r="J41" s="23">
        <f>IF(Intereses_Leasing_Mensual!J41&gt;0, ROUND(I41 - Intereses_Leasing_Mensual!J41, 2), "")</f>
        <v/>
      </c>
      <c r="K41" s="23">
        <f>IF(Intereses_Leasing_Mensual!K41&gt;0, ROUND(J41 - Intereses_Leasing_Mensual!K41, 2), "")</f>
        <v/>
      </c>
      <c r="L41" s="23">
        <f>IF(Intereses_Leasing_Mensual!L41&gt;0, ROUND(K41 - Intereses_Leasing_Mensual!L41, 2), "")</f>
        <v/>
      </c>
      <c r="M41" s="23">
        <f>IF(Intereses_Leasing_Mensual!M41&gt;0, ROUND(L41 - Intereses_Leasing_Mensual!M41, 2), "")</f>
        <v/>
      </c>
      <c r="N41" s="23">
        <f>IF(Intereses_Leasing_Mensual!N41&gt;0, ROUND(M41 - Intereses_Leasing_Mensual!N41, 2), "")</f>
        <v/>
      </c>
      <c r="O41" s="23">
        <f>IF(Intereses_Leasing_Mensual!O41&gt;0, ROUND(N41 - Intereses_Leasing_Mensual!O41, 2), "")</f>
        <v/>
      </c>
      <c r="P41" s="23">
        <f>IF(Intereses_Leasing_Mensual!P41&gt;0, ROUND(O41 - Intereses_Leasing_Mensual!P41, 2), "")</f>
        <v/>
      </c>
      <c r="Q41" s="23">
        <f>IF(Intereses_Leasing_Mensual!Q41&gt;0, ROUND(P41 - Intereses_Leasing_Mensual!Q41, 2), "")</f>
        <v/>
      </c>
      <c r="R41" s="23">
        <f>IF(Intereses_Leasing_Mensual!R41&gt;0, ROUND(Q41 - Intereses_Leasing_Mensual!R41, 2), "")</f>
        <v/>
      </c>
      <c r="S41" s="23">
        <f>IF(Intereses_Leasing_Mensual!S41&gt;0, ROUND(R41 - Intereses_Leasing_Mensual!S41, 2), "")</f>
        <v/>
      </c>
      <c r="T41" s="23">
        <f>IF(Intereses_Leasing_Mensual!T41&gt;0, ROUND(S41 - Intereses_Leasing_Mensual!T41, 2), "")</f>
        <v/>
      </c>
      <c r="U41" s="23">
        <f>MAX(I41:T41)</f>
        <v/>
      </c>
    </row>
    <row r="42">
      <c r="A42" s="26" t="inlineStr">
        <is>
          <t>0580-0001</t>
        </is>
      </c>
      <c r="B42" s="27" t="inlineStr">
        <is>
          <t>YOLANDA AVALOS CARDENAS</t>
        </is>
      </c>
      <c r="C42" s="27" t="inlineStr">
        <is>
          <t>Mojave</t>
        </is>
      </c>
      <c r="D42" s="26" t="inlineStr">
        <is>
          <t>ACTIVO</t>
        </is>
      </c>
      <c r="E42" s="26" t="inlineStr">
        <is>
          <t>2022-11-18</t>
        </is>
      </c>
      <c r="F42" s="26" t="inlineStr">
        <is>
          <t>2026-11-18</t>
        </is>
      </c>
      <c r="G42" s="28" t="n">
        <v>48</v>
      </c>
      <c r="H42" s="29" t="n">
        <v>954472.71</v>
      </c>
      <c r="I42" s="29">
        <f>IF(Intereses_Leasing_Mensual!I42&gt;0, ROUND(109001.67 - Intereses_Leasing_Mensual!I42, 2), "")</f>
        <v/>
      </c>
      <c r="J42" s="29">
        <f>IF(Intereses_Leasing_Mensual!J42&gt;0, ROUND(I42 - Intereses_Leasing_Mensual!J42, 2), "")</f>
        <v/>
      </c>
      <c r="K42" s="29">
        <f>IF(Intereses_Leasing_Mensual!K42&gt;0, ROUND(J42 - Intereses_Leasing_Mensual!K42, 2), "")</f>
        <v/>
      </c>
      <c r="L42" s="29">
        <f>IF(Intereses_Leasing_Mensual!L42&gt;0, ROUND(K42 - Intereses_Leasing_Mensual!L42, 2), "")</f>
        <v/>
      </c>
      <c r="M42" s="29">
        <f>IF(Intereses_Leasing_Mensual!M42&gt;0, ROUND(L42 - Intereses_Leasing_Mensual!M42, 2), "")</f>
        <v/>
      </c>
      <c r="N42" s="29">
        <f>IF(Intereses_Leasing_Mensual!N42&gt;0, ROUND(M42 - Intereses_Leasing_Mensual!N42, 2), "")</f>
        <v/>
      </c>
      <c r="O42" s="29">
        <f>IF(Intereses_Leasing_Mensual!O42&gt;0, ROUND(N42 - Intereses_Leasing_Mensual!O42, 2), "")</f>
        <v/>
      </c>
      <c r="P42" s="29">
        <f>IF(Intereses_Leasing_Mensual!P42&gt;0, ROUND(O42 - Intereses_Leasing_Mensual!P42, 2), "")</f>
        <v/>
      </c>
      <c r="Q42" s="29">
        <f>IF(Intereses_Leasing_Mensual!Q42&gt;0, ROUND(P42 - Intereses_Leasing_Mensual!Q42, 2), "")</f>
        <v/>
      </c>
      <c r="R42" s="29">
        <f>IF(Intereses_Leasing_Mensual!R42&gt;0, ROUND(Q42 - Intereses_Leasing_Mensual!R42, 2), "")</f>
        <v/>
      </c>
      <c r="S42" s="29" t="inlineStr"/>
      <c r="T42" s="29" t="inlineStr"/>
      <c r="U42" s="29">
        <f>MAX(I42:T42)</f>
        <v/>
      </c>
    </row>
    <row r="43">
      <c r="A43" s="20" t="inlineStr">
        <is>
          <t>0581-0001</t>
        </is>
      </c>
      <c r="B43" s="21" t="inlineStr">
        <is>
          <t>Aditivos y Vitaminas Mexicanas Sa de Cv</t>
        </is>
      </c>
      <c r="C43" s="21" t="inlineStr">
        <is>
          <t>RAM 700 REGULAR CAB</t>
        </is>
      </c>
      <c r="D43" s="20" t="inlineStr">
        <is>
          <t>ACTIVO</t>
        </is>
      </c>
      <c r="E43" s="20" t="inlineStr">
        <is>
          <t>2023-01-17</t>
        </is>
      </c>
      <c r="F43" s="20" t="inlineStr">
        <is>
          <t>2027-01-17</t>
        </is>
      </c>
      <c r="G43" s="22" t="n">
        <v>48</v>
      </c>
      <c r="H43" s="23" t="n">
        <v>203268.07</v>
      </c>
      <c r="I43" s="23">
        <f>IF(Intereses_Leasing_Mensual!I43&gt;0, ROUND(31096.21 - Intereses_Leasing_Mensual!I43, 2), "")</f>
        <v/>
      </c>
      <c r="J43" s="23">
        <f>IF(Intereses_Leasing_Mensual!J43&gt;0, ROUND(I43 - Intereses_Leasing_Mensual!J43, 2), "")</f>
        <v/>
      </c>
      <c r="K43" s="23">
        <f>IF(Intereses_Leasing_Mensual!K43&gt;0, ROUND(J43 - Intereses_Leasing_Mensual!K43, 2), "")</f>
        <v/>
      </c>
      <c r="L43" s="23">
        <f>IF(Intereses_Leasing_Mensual!L43&gt;0, ROUND(K43 - Intereses_Leasing_Mensual!L43, 2), "")</f>
        <v/>
      </c>
      <c r="M43" s="23">
        <f>IF(Intereses_Leasing_Mensual!M43&gt;0, ROUND(L43 - Intereses_Leasing_Mensual!M43, 2), "")</f>
        <v/>
      </c>
      <c r="N43" s="23">
        <f>IF(Intereses_Leasing_Mensual!N43&gt;0, ROUND(M43 - Intereses_Leasing_Mensual!N43, 2), "")</f>
        <v/>
      </c>
      <c r="O43" s="23">
        <f>IF(Intereses_Leasing_Mensual!O43&gt;0, ROUND(N43 - Intereses_Leasing_Mensual!O43, 2), "")</f>
        <v/>
      </c>
      <c r="P43" s="23">
        <f>IF(Intereses_Leasing_Mensual!P43&gt;0, ROUND(O43 - Intereses_Leasing_Mensual!P43, 2), "")</f>
        <v/>
      </c>
      <c r="Q43" s="23">
        <f>IF(Intereses_Leasing_Mensual!Q43&gt;0, ROUND(P43 - Intereses_Leasing_Mensual!Q43, 2), "")</f>
        <v/>
      </c>
      <c r="R43" s="23">
        <f>IF(Intereses_Leasing_Mensual!R43&gt;0, ROUND(Q43 - Intereses_Leasing_Mensual!R43, 2), "")</f>
        <v/>
      </c>
      <c r="S43" s="23">
        <f>IF(Intereses_Leasing_Mensual!S43&gt;0, ROUND(R43 - Intereses_Leasing_Mensual!S43, 2), "")</f>
        <v/>
      </c>
      <c r="T43" s="23">
        <f>IF(Intereses_Leasing_Mensual!T43&gt;0, ROUND(S43 - Intereses_Leasing_Mensual!T43, 2), "")</f>
        <v/>
      </c>
      <c r="U43" s="23">
        <f>MAX(I43:T43)</f>
        <v/>
      </c>
    </row>
    <row r="44">
      <c r="A44" s="26" t="inlineStr">
        <is>
          <t>0581-0002</t>
        </is>
      </c>
      <c r="B44" s="27" t="inlineStr">
        <is>
          <t>Aditivos y Vitaminas Mexicanas Sa de Cv</t>
        </is>
      </c>
      <c r="C44" s="27" t="inlineStr">
        <is>
          <t>Ram 700 Regular Cab</t>
        </is>
      </c>
      <c r="D44" s="26" t="inlineStr">
        <is>
          <t>ACTIVO</t>
        </is>
      </c>
      <c r="E44" s="26" t="inlineStr">
        <is>
          <t>2024-09-18</t>
        </is>
      </c>
      <c r="F44" s="26" t="inlineStr">
        <is>
          <t>2028-09-18</t>
        </is>
      </c>
      <c r="G44" s="28" t="n">
        <v>48</v>
      </c>
      <c r="H44" s="29" t="n">
        <v>174385.53</v>
      </c>
      <c r="I44" s="29">
        <f>IF(Intereses_Leasing_Mensual!I44&gt;0, ROUND(96003.32 - Intereses_Leasing_Mensual!I44, 2), "")</f>
        <v/>
      </c>
      <c r="J44" s="29">
        <f>IF(Intereses_Leasing_Mensual!J44&gt;0, ROUND(I44 - Intereses_Leasing_Mensual!J44, 2), "")</f>
        <v/>
      </c>
      <c r="K44" s="29">
        <f>IF(Intereses_Leasing_Mensual!K44&gt;0, ROUND(J44 - Intereses_Leasing_Mensual!K44, 2), "")</f>
        <v/>
      </c>
      <c r="L44" s="29">
        <f>IF(Intereses_Leasing_Mensual!L44&gt;0, ROUND(K44 - Intereses_Leasing_Mensual!L44, 2), "")</f>
        <v/>
      </c>
      <c r="M44" s="29">
        <f>IF(Intereses_Leasing_Mensual!M44&gt;0, ROUND(L44 - Intereses_Leasing_Mensual!M44, 2), "")</f>
        <v/>
      </c>
      <c r="N44" s="29">
        <f>IF(Intereses_Leasing_Mensual!N44&gt;0, ROUND(M44 - Intereses_Leasing_Mensual!N44, 2), "")</f>
        <v/>
      </c>
      <c r="O44" s="29">
        <f>IF(Intereses_Leasing_Mensual!O44&gt;0, ROUND(N44 - Intereses_Leasing_Mensual!O44, 2), "")</f>
        <v/>
      </c>
      <c r="P44" s="29">
        <f>IF(Intereses_Leasing_Mensual!P44&gt;0, ROUND(O44 - Intereses_Leasing_Mensual!P44, 2), "")</f>
        <v/>
      </c>
      <c r="Q44" s="29">
        <f>IF(Intereses_Leasing_Mensual!Q44&gt;0, ROUND(P44 - Intereses_Leasing_Mensual!Q44, 2), "")</f>
        <v/>
      </c>
      <c r="R44" s="29">
        <f>IF(Intereses_Leasing_Mensual!R44&gt;0, ROUND(Q44 - Intereses_Leasing_Mensual!R44, 2), "")</f>
        <v/>
      </c>
      <c r="S44" s="29">
        <f>IF(Intereses_Leasing_Mensual!S44&gt;0, ROUND(R44 - Intereses_Leasing_Mensual!S44, 2), "")</f>
        <v/>
      </c>
      <c r="T44" s="29">
        <f>IF(Intereses_Leasing_Mensual!T44&gt;0, ROUND(S44 - Intereses_Leasing_Mensual!T44, 2), "")</f>
        <v/>
      </c>
      <c r="U44" s="29">
        <f>MAX(I44:T44)</f>
        <v/>
      </c>
    </row>
    <row r="45">
      <c r="A45" s="20" t="inlineStr">
        <is>
          <t>0582-0003</t>
        </is>
      </c>
      <c r="B45" s="21" t="inlineStr">
        <is>
          <t>Ensaladas Frescas de Occidente Sa de Cv</t>
        </is>
      </c>
      <c r="C45" s="21" t="inlineStr">
        <is>
          <t>Pulse</t>
        </is>
      </c>
      <c r="D45" s="20" t="inlineStr">
        <is>
          <t>ACTIVO</t>
        </is>
      </c>
      <c r="E45" s="20" t="inlineStr">
        <is>
          <t>2024-07-02</t>
        </is>
      </c>
      <c r="F45" s="20" t="inlineStr">
        <is>
          <t>2028-07-02</t>
        </is>
      </c>
      <c r="G45" s="22" t="n">
        <v>48</v>
      </c>
      <c r="H45" s="23" t="n">
        <v>329695.1</v>
      </c>
      <c r="I45" s="23">
        <f>IF(Intereses_Leasing_Mensual!I45&gt;0, ROUND(169701.36 - Intereses_Leasing_Mensual!I45, 2), "")</f>
        <v/>
      </c>
      <c r="J45" s="23">
        <f>IF(Intereses_Leasing_Mensual!J45&gt;0, ROUND(I45 - Intereses_Leasing_Mensual!J45, 2), "")</f>
        <v/>
      </c>
      <c r="K45" s="23">
        <f>IF(Intereses_Leasing_Mensual!K45&gt;0, ROUND(J45 - Intereses_Leasing_Mensual!K45, 2), "")</f>
        <v/>
      </c>
      <c r="L45" s="23">
        <f>IF(Intereses_Leasing_Mensual!L45&gt;0, ROUND(K45 - Intereses_Leasing_Mensual!L45, 2), "")</f>
        <v/>
      </c>
      <c r="M45" s="23">
        <f>IF(Intereses_Leasing_Mensual!M45&gt;0, ROUND(L45 - Intereses_Leasing_Mensual!M45, 2), "")</f>
        <v/>
      </c>
      <c r="N45" s="23">
        <f>IF(Intereses_Leasing_Mensual!N45&gt;0, ROUND(M45 - Intereses_Leasing_Mensual!N45, 2), "")</f>
        <v/>
      </c>
      <c r="O45" s="23">
        <f>IF(Intereses_Leasing_Mensual!O45&gt;0, ROUND(N45 - Intereses_Leasing_Mensual!O45, 2), "")</f>
        <v/>
      </c>
      <c r="P45" s="23">
        <f>IF(Intereses_Leasing_Mensual!P45&gt;0, ROUND(O45 - Intereses_Leasing_Mensual!P45, 2), "")</f>
        <v/>
      </c>
      <c r="Q45" s="23">
        <f>IF(Intereses_Leasing_Mensual!Q45&gt;0, ROUND(P45 - Intereses_Leasing_Mensual!Q45, 2), "")</f>
        <v/>
      </c>
      <c r="R45" s="23">
        <f>IF(Intereses_Leasing_Mensual!R45&gt;0, ROUND(Q45 - Intereses_Leasing_Mensual!R45, 2), "")</f>
        <v/>
      </c>
      <c r="S45" s="23">
        <f>IF(Intereses_Leasing_Mensual!S45&gt;0, ROUND(R45 - Intereses_Leasing_Mensual!S45, 2), "")</f>
        <v/>
      </c>
      <c r="T45" s="23">
        <f>IF(Intereses_Leasing_Mensual!T45&gt;0, ROUND(S45 - Intereses_Leasing_Mensual!T45, 2), "")</f>
        <v/>
      </c>
      <c r="U45" s="23">
        <f>MAX(I45:T45)</f>
        <v/>
      </c>
    </row>
    <row r="46">
      <c r="A46" s="26" t="inlineStr">
        <is>
          <t>0583-0004</t>
        </is>
      </c>
      <c r="B46" s="27" t="inlineStr">
        <is>
          <t>Soluciones Profesionales para la Industria Alimentaria</t>
        </is>
      </c>
      <c r="C46" s="27" t="inlineStr">
        <is>
          <t>BIGHORN CREW CAB MT</t>
        </is>
      </c>
      <c r="D46" s="26" t="inlineStr">
        <is>
          <t>ACTIVO</t>
        </is>
      </c>
      <c r="E46" s="26" t="inlineStr">
        <is>
          <t>2024-12-30</t>
        </is>
      </c>
      <c r="F46" s="26" t="inlineStr">
        <is>
          <t>2026-12-30</t>
        </is>
      </c>
      <c r="G46" s="28" t="n">
        <v>24</v>
      </c>
      <c r="H46" s="29" t="n">
        <v>102711.99</v>
      </c>
      <c r="I46" s="29">
        <f>IF(Intereses_Leasing_Mensual!I46&gt;0, ROUND(31073.25 - Intereses_Leasing_Mensual!I46, 2), "")</f>
        <v/>
      </c>
      <c r="J46" s="29">
        <f>IF(Intereses_Leasing_Mensual!J46&gt;0, ROUND(I46 - Intereses_Leasing_Mensual!J46, 2), "")</f>
        <v/>
      </c>
      <c r="K46" s="29">
        <f>IF(Intereses_Leasing_Mensual!K46&gt;0, ROUND(J46 - Intereses_Leasing_Mensual!K46, 2), "")</f>
        <v/>
      </c>
      <c r="L46" s="29">
        <f>IF(Intereses_Leasing_Mensual!L46&gt;0, ROUND(K46 - Intereses_Leasing_Mensual!L46, 2), "")</f>
        <v/>
      </c>
      <c r="M46" s="29">
        <f>IF(Intereses_Leasing_Mensual!M46&gt;0, ROUND(L46 - Intereses_Leasing_Mensual!M46, 2), "")</f>
        <v/>
      </c>
      <c r="N46" s="29">
        <f>IF(Intereses_Leasing_Mensual!N46&gt;0, ROUND(M46 - Intereses_Leasing_Mensual!N46, 2), "")</f>
        <v/>
      </c>
      <c r="O46" s="29">
        <f>IF(Intereses_Leasing_Mensual!O46&gt;0, ROUND(N46 - Intereses_Leasing_Mensual!O46, 2), "")</f>
        <v/>
      </c>
      <c r="P46" s="29">
        <f>IF(Intereses_Leasing_Mensual!P46&gt;0, ROUND(O46 - Intereses_Leasing_Mensual!P46, 2), "")</f>
        <v/>
      </c>
      <c r="Q46" s="29">
        <f>IF(Intereses_Leasing_Mensual!Q46&gt;0, ROUND(P46 - Intereses_Leasing_Mensual!Q46, 2), "")</f>
        <v/>
      </c>
      <c r="R46" s="29">
        <f>IF(Intereses_Leasing_Mensual!R46&gt;0, ROUND(Q46 - Intereses_Leasing_Mensual!R46, 2), "")</f>
        <v/>
      </c>
      <c r="S46" s="29">
        <f>IF(Intereses_Leasing_Mensual!S46&gt;0, ROUND(R46 - Intereses_Leasing_Mensual!S46, 2), "")</f>
        <v/>
      </c>
      <c r="T46" s="29" t="inlineStr"/>
      <c r="U46" s="29">
        <f>MAX(I46:T46)</f>
        <v/>
      </c>
    </row>
    <row r="47">
      <c r="A47" s="20" t="inlineStr">
        <is>
          <t>0583-0005</t>
        </is>
      </c>
      <c r="B47" s="21" t="inlineStr">
        <is>
          <t>Soluciones Profesionales para la Industria Alimentaria</t>
        </is>
      </c>
      <c r="C47" s="21" t="inlineStr">
        <is>
          <t>3008</t>
        </is>
      </c>
      <c r="D47" s="20" t="inlineStr">
        <is>
          <t>ACTIVO</t>
        </is>
      </c>
      <c r="E47" s="20" t="inlineStr">
        <is>
          <t>2025-01-09</t>
        </is>
      </c>
      <c r="F47" s="20" t="inlineStr">
        <is>
          <t>2028-01-09</t>
        </is>
      </c>
      <c r="G47" s="22" t="n">
        <v>36</v>
      </c>
      <c r="H47" s="23" t="n">
        <v>224826.26</v>
      </c>
      <c r="I47" s="23">
        <f>IF(Intereses_Leasing_Mensual!I47&gt;0, ROUND(121796.25 - Intereses_Leasing_Mensual!I47, 2), "")</f>
        <v/>
      </c>
      <c r="J47" s="23">
        <f>IF(Intereses_Leasing_Mensual!J47&gt;0, ROUND(I47 - Intereses_Leasing_Mensual!J47, 2), "")</f>
        <v/>
      </c>
      <c r="K47" s="23">
        <f>IF(Intereses_Leasing_Mensual!K47&gt;0, ROUND(J47 - Intereses_Leasing_Mensual!K47, 2), "")</f>
        <v/>
      </c>
      <c r="L47" s="23">
        <f>IF(Intereses_Leasing_Mensual!L47&gt;0, ROUND(K47 - Intereses_Leasing_Mensual!L47, 2), "")</f>
        <v/>
      </c>
      <c r="M47" s="23">
        <f>IF(Intereses_Leasing_Mensual!M47&gt;0, ROUND(L47 - Intereses_Leasing_Mensual!M47, 2), "")</f>
        <v/>
      </c>
      <c r="N47" s="23">
        <f>IF(Intereses_Leasing_Mensual!N47&gt;0, ROUND(M47 - Intereses_Leasing_Mensual!N47, 2), "")</f>
        <v/>
      </c>
      <c r="O47" s="23">
        <f>IF(Intereses_Leasing_Mensual!O47&gt;0, ROUND(N47 - Intereses_Leasing_Mensual!O47, 2), "")</f>
        <v/>
      </c>
      <c r="P47" s="23">
        <f>IF(Intereses_Leasing_Mensual!P47&gt;0, ROUND(O47 - Intereses_Leasing_Mensual!P47, 2), "")</f>
        <v/>
      </c>
      <c r="Q47" s="23">
        <f>IF(Intereses_Leasing_Mensual!Q47&gt;0, ROUND(P47 - Intereses_Leasing_Mensual!Q47, 2), "")</f>
        <v/>
      </c>
      <c r="R47" s="23">
        <f>IF(Intereses_Leasing_Mensual!R47&gt;0, ROUND(Q47 - Intereses_Leasing_Mensual!R47, 2), "")</f>
        <v/>
      </c>
      <c r="S47" s="23">
        <f>IF(Intereses_Leasing_Mensual!S47&gt;0, ROUND(R47 - Intereses_Leasing_Mensual!S47, 2), "")</f>
        <v/>
      </c>
      <c r="T47" s="23">
        <f>IF(Intereses_Leasing_Mensual!T47&gt;0, ROUND(S47 - Intereses_Leasing_Mensual!T47, 2), "")</f>
        <v/>
      </c>
      <c r="U47" s="23">
        <f>MAX(I47:T47)</f>
        <v/>
      </c>
    </row>
    <row r="48">
      <c r="A48" s="26" t="inlineStr">
        <is>
          <t>0583-0006</t>
        </is>
      </c>
      <c r="B48" s="27" t="inlineStr">
        <is>
          <t>Soluciones Profesionales para la Industria Alimentaria</t>
        </is>
      </c>
      <c r="C48" s="27" t="inlineStr">
        <is>
          <t>Montana</t>
        </is>
      </c>
      <c r="D48" s="26" t="inlineStr">
        <is>
          <t>ACTIVO</t>
        </is>
      </c>
      <c r="E48" s="26" t="inlineStr">
        <is>
          <t>2025-11-19</t>
        </is>
      </c>
      <c r="F48" s="26" t="inlineStr">
        <is>
          <t>2027-11-19</t>
        </is>
      </c>
      <c r="G48" s="28" t="n">
        <v>24</v>
      </c>
      <c r="H48" s="29" t="n">
        <v>147114.72</v>
      </c>
      <c r="I48" s="29">
        <f>IF(Intereses_Leasing_Mensual!I48&gt;0, ROUND(129650.01 - Intereses_Leasing_Mensual!I48, 2), "")</f>
        <v/>
      </c>
      <c r="J48" s="29">
        <f>IF(Intereses_Leasing_Mensual!J48&gt;0, ROUND(I48 - Intereses_Leasing_Mensual!J48, 2), "")</f>
        <v/>
      </c>
      <c r="K48" s="29">
        <f>IF(Intereses_Leasing_Mensual!K48&gt;0, ROUND(J48 - Intereses_Leasing_Mensual!K48, 2), "")</f>
        <v/>
      </c>
      <c r="L48" s="29">
        <f>IF(Intereses_Leasing_Mensual!L48&gt;0, ROUND(K48 - Intereses_Leasing_Mensual!L48, 2), "")</f>
        <v/>
      </c>
      <c r="M48" s="29">
        <f>IF(Intereses_Leasing_Mensual!M48&gt;0, ROUND(L48 - Intereses_Leasing_Mensual!M48, 2), "")</f>
        <v/>
      </c>
      <c r="N48" s="29">
        <f>IF(Intereses_Leasing_Mensual!N48&gt;0, ROUND(M48 - Intereses_Leasing_Mensual!N48, 2), "")</f>
        <v/>
      </c>
      <c r="O48" s="29">
        <f>IF(Intereses_Leasing_Mensual!O48&gt;0, ROUND(N48 - Intereses_Leasing_Mensual!O48, 2), "")</f>
        <v/>
      </c>
      <c r="P48" s="29">
        <f>IF(Intereses_Leasing_Mensual!P48&gt;0, ROUND(O48 - Intereses_Leasing_Mensual!P48, 2), "")</f>
        <v/>
      </c>
      <c r="Q48" s="29">
        <f>IF(Intereses_Leasing_Mensual!Q48&gt;0, ROUND(P48 - Intereses_Leasing_Mensual!Q48, 2), "")</f>
        <v/>
      </c>
      <c r="R48" s="29">
        <f>IF(Intereses_Leasing_Mensual!R48&gt;0, ROUND(Q48 - Intereses_Leasing_Mensual!R48, 2), "")</f>
        <v/>
      </c>
      <c r="S48" s="29">
        <f>IF(Intereses_Leasing_Mensual!S48&gt;0, ROUND(R48 - Intereses_Leasing_Mensual!S48, 2), "")</f>
        <v/>
      </c>
      <c r="T48" s="29">
        <f>IF(Intereses_Leasing_Mensual!T48&gt;0, ROUND(S48 - Intereses_Leasing_Mensual!T48, 2), "")</f>
        <v/>
      </c>
      <c r="U48" s="29">
        <f>MAX(I48:T48)</f>
        <v/>
      </c>
    </row>
    <row r="49">
      <c r="A49" s="20" t="inlineStr">
        <is>
          <t>0585-0002</t>
        </is>
      </c>
      <c r="B49" s="21" t="inlineStr">
        <is>
          <t>Julio Alberto Ramos de la Mora</t>
        </is>
      </c>
      <c r="C49" s="21" t="inlineStr">
        <is>
          <t>Ram 1500 Limited</t>
        </is>
      </c>
      <c r="D49" s="20" t="inlineStr">
        <is>
          <t>ACTIVO</t>
        </is>
      </c>
      <c r="E49" s="20" t="inlineStr">
        <is>
          <t>2025-01-08</t>
        </is>
      </c>
      <c r="F49" s="20" t="inlineStr">
        <is>
          <t>2028-01-08</t>
        </is>
      </c>
      <c r="G49" s="22" t="n">
        <v>36</v>
      </c>
      <c r="H49" s="23" t="n">
        <v>970775.01</v>
      </c>
      <c r="I49" s="23">
        <f>IF(Intereses_Leasing_Mensual!I49&gt;0, ROUND(566266.66 - Intereses_Leasing_Mensual!I49, 2), "")</f>
        <v/>
      </c>
      <c r="J49" s="23">
        <f>IF(Intereses_Leasing_Mensual!J49&gt;0, ROUND(I49 - Intereses_Leasing_Mensual!J49, 2), "")</f>
        <v/>
      </c>
      <c r="K49" s="23">
        <f>IF(Intereses_Leasing_Mensual!K49&gt;0, ROUND(J49 - Intereses_Leasing_Mensual!K49, 2), "")</f>
        <v/>
      </c>
      <c r="L49" s="23">
        <f>IF(Intereses_Leasing_Mensual!L49&gt;0, ROUND(K49 - Intereses_Leasing_Mensual!L49, 2), "")</f>
        <v/>
      </c>
      <c r="M49" s="23">
        <f>IF(Intereses_Leasing_Mensual!M49&gt;0, ROUND(L49 - Intereses_Leasing_Mensual!M49, 2), "")</f>
        <v/>
      </c>
      <c r="N49" s="23">
        <f>IF(Intereses_Leasing_Mensual!N49&gt;0, ROUND(M49 - Intereses_Leasing_Mensual!N49, 2), "")</f>
        <v/>
      </c>
      <c r="O49" s="23">
        <f>IF(Intereses_Leasing_Mensual!O49&gt;0, ROUND(N49 - Intereses_Leasing_Mensual!O49, 2), "")</f>
        <v/>
      </c>
      <c r="P49" s="23">
        <f>IF(Intereses_Leasing_Mensual!P49&gt;0, ROUND(O49 - Intereses_Leasing_Mensual!P49, 2), "")</f>
        <v/>
      </c>
      <c r="Q49" s="23">
        <f>IF(Intereses_Leasing_Mensual!Q49&gt;0, ROUND(P49 - Intereses_Leasing_Mensual!Q49, 2), "")</f>
        <v/>
      </c>
      <c r="R49" s="23">
        <f>IF(Intereses_Leasing_Mensual!R49&gt;0, ROUND(Q49 - Intereses_Leasing_Mensual!R49, 2), "")</f>
        <v/>
      </c>
      <c r="S49" s="23">
        <f>IF(Intereses_Leasing_Mensual!S49&gt;0, ROUND(R49 - Intereses_Leasing_Mensual!S49, 2), "")</f>
        <v/>
      </c>
      <c r="T49" s="23">
        <f>IF(Intereses_Leasing_Mensual!T49&gt;0, ROUND(S49 - Intereses_Leasing_Mensual!T49, 2), "")</f>
        <v/>
      </c>
      <c r="U49" s="23">
        <f>MAX(I49:T49)</f>
        <v/>
      </c>
    </row>
    <row r="50">
      <c r="A50" s="26" t="inlineStr">
        <is>
          <t>0585-0003</t>
        </is>
      </c>
      <c r="B50" s="27" t="inlineStr">
        <is>
          <t>Julio Alberto Ramos de la Mora</t>
        </is>
      </c>
      <c r="C50" s="27" t="inlineStr">
        <is>
          <t>Wrangler Rubicon</t>
        </is>
      </c>
      <c r="D50" s="26" t="inlineStr">
        <is>
          <t>ACTIVO</t>
        </is>
      </c>
      <c r="E50" s="26" t="inlineStr">
        <is>
          <t>2025-01-17</t>
        </is>
      </c>
      <c r="F50" s="26" t="inlineStr">
        <is>
          <t>2029-01-17</t>
        </is>
      </c>
      <c r="G50" s="28" t="n">
        <v>48</v>
      </c>
      <c r="H50" s="29" t="n">
        <v>1187778.85</v>
      </c>
      <c r="I50" s="29">
        <f>IF(Intereses_Leasing_Mensual!I50&gt;0, ROUND(815252.88 - Intereses_Leasing_Mensual!I50, 2), "")</f>
        <v/>
      </c>
      <c r="J50" s="29">
        <f>IF(Intereses_Leasing_Mensual!J50&gt;0, ROUND(I50 - Intereses_Leasing_Mensual!J50, 2), "")</f>
        <v/>
      </c>
      <c r="K50" s="29">
        <f>IF(Intereses_Leasing_Mensual!K50&gt;0, ROUND(J50 - Intereses_Leasing_Mensual!K50, 2), "")</f>
        <v/>
      </c>
      <c r="L50" s="29">
        <f>IF(Intereses_Leasing_Mensual!L50&gt;0, ROUND(K50 - Intereses_Leasing_Mensual!L50, 2), "")</f>
        <v/>
      </c>
      <c r="M50" s="29">
        <f>IF(Intereses_Leasing_Mensual!M50&gt;0, ROUND(L50 - Intereses_Leasing_Mensual!M50, 2), "")</f>
        <v/>
      </c>
      <c r="N50" s="29">
        <f>IF(Intereses_Leasing_Mensual!N50&gt;0, ROUND(M50 - Intereses_Leasing_Mensual!N50, 2), "")</f>
        <v/>
      </c>
      <c r="O50" s="29">
        <f>IF(Intereses_Leasing_Mensual!O50&gt;0, ROUND(N50 - Intereses_Leasing_Mensual!O50, 2), "")</f>
        <v/>
      </c>
      <c r="P50" s="29">
        <f>IF(Intereses_Leasing_Mensual!P50&gt;0, ROUND(O50 - Intereses_Leasing_Mensual!P50, 2), "")</f>
        <v/>
      </c>
      <c r="Q50" s="29">
        <f>IF(Intereses_Leasing_Mensual!Q50&gt;0, ROUND(P50 - Intereses_Leasing_Mensual!Q50, 2), "")</f>
        <v/>
      </c>
      <c r="R50" s="29">
        <f>IF(Intereses_Leasing_Mensual!R50&gt;0, ROUND(Q50 - Intereses_Leasing_Mensual!R50, 2), "")</f>
        <v/>
      </c>
      <c r="S50" s="29">
        <f>IF(Intereses_Leasing_Mensual!S50&gt;0, ROUND(R50 - Intereses_Leasing_Mensual!S50, 2), "")</f>
        <v/>
      </c>
      <c r="T50" s="29">
        <f>IF(Intereses_Leasing_Mensual!T50&gt;0, ROUND(S50 - Intereses_Leasing_Mensual!T50, 2), "")</f>
        <v/>
      </c>
      <c r="U50" s="29">
        <f>MAX(I50:T50)</f>
        <v/>
      </c>
    </row>
    <row r="51">
      <c r="A51" s="20" t="inlineStr">
        <is>
          <t>0585-0004</t>
        </is>
      </c>
      <c r="B51" s="21" t="inlineStr">
        <is>
          <t>Julio Alberto Ramos de la Mora</t>
        </is>
      </c>
      <c r="C51" s="21" t="inlineStr">
        <is>
          <t>Hrv Sport</t>
        </is>
      </c>
      <c r="D51" s="20" t="inlineStr">
        <is>
          <t>ACTIVO</t>
        </is>
      </c>
      <c r="E51" s="20" t="inlineStr">
        <is>
          <t>2025-05-28</t>
        </is>
      </c>
      <c r="F51" s="20" t="inlineStr">
        <is>
          <t>2028-05-28</t>
        </is>
      </c>
      <c r="G51" s="22" t="n">
        <v>36</v>
      </c>
      <c r="H51" s="23" t="n">
        <v>206079.13</v>
      </c>
      <c r="I51" s="23">
        <f>IF(Intereses_Leasing_Mensual!I51&gt;0, ROUND(140262.03 - Intereses_Leasing_Mensual!I51, 2), "")</f>
        <v/>
      </c>
      <c r="J51" s="23">
        <f>IF(Intereses_Leasing_Mensual!J51&gt;0, ROUND(I51 - Intereses_Leasing_Mensual!J51, 2), "")</f>
        <v/>
      </c>
      <c r="K51" s="23">
        <f>IF(Intereses_Leasing_Mensual!K51&gt;0, ROUND(J51 - Intereses_Leasing_Mensual!K51, 2), "")</f>
        <v/>
      </c>
      <c r="L51" s="23">
        <f>IF(Intereses_Leasing_Mensual!L51&gt;0, ROUND(K51 - Intereses_Leasing_Mensual!L51, 2), "")</f>
        <v/>
      </c>
      <c r="M51" s="23">
        <f>IF(Intereses_Leasing_Mensual!M51&gt;0, ROUND(L51 - Intereses_Leasing_Mensual!M51, 2), "")</f>
        <v/>
      </c>
      <c r="N51" s="23">
        <f>IF(Intereses_Leasing_Mensual!N51&gt;0, ROUND(M51 - Intereses_Leasing_Mensual!N51, 2), "")</f>
        <v/>
      </c>
      <c r="O51" s="23">
        <f>IF(Intereses_Leasing_Mensual!O51&gt;0, ROUND(N51 - Intereses_Leasing_Mensual!O51, 2), "")</f>
        <v/>
      </c>
      <c r="P51" s="23">
        <f>IF(Intereses_Leasing_Mensual!P51&gt;0, ROUND(O51 - Intereses_Leasing_Mensual!P51, 2), "")</f>
        <v/>
      </c>
      <c r="Q51" s="23">
        <f>IF(Intereses_Leasing_Mensual!Q51&gt;0, ROUND(P51 - Intereses_Leasing_Mensual!Q51, 2), "")</f>
        <v/>
      </c>
      <c r="R51" s="23">
        <f>IF(Intereses_Leasing_Mensual!R51&gt;0, ROUND(Q51 - Intereses_Leasing_Mensual!R51, 2), "")</f>
        <v/>
      </c>
      <c r="S51" s="23">
        <f>IF(Intereses_Leasing_Mensual!S51&gt;0, ROUND(R51 - Intereses_Leasing_Mensual!S51, 2), "")</f>
        <v/>
      </c>
      <c r="T51" s="23">
        <f>IF(Intereses_Leasing_Mensual!T51&gt;0, ROUND(S51 - Intereses_Leasing_Mensual!T51, 2), "")</f>
        <v/>
      </c>
      <c r="U51" s="23">
        <f>MAX(I51:T51)</f>
        <v/>
      </c>
    </row>
    <row r="52">
      <c r="A52" s="26" t="inlineStr">
        <is>
          <t>0585-0005</t>
        </is>
      </c>
      <c r="B52" s="27" t="inlineStr">
        <is>
          <t>Julio Alberto Ramos de la Mora</t>
        </is>
      </c>
      <c r="C52" s="27" t="inlineStr">
        <is>
          <t>M9 GL HEV</t>
        </is>
      </c>
      <c r="D52" s="26" t="inlineStr">
        <is>
          <t>ACTIVO</t>
        </is>
      </c>
      <c r="E52" s="26" t="inlineStr">
        <is>
          <t>2025-12-12</t>
        </is>
      </c>
      <c r="F52" s="26" t="inlineStr">
        <is>
          <t>2027-12-12</t>
        </is>
      </c>
      <c r="G52" s="28" t="n">
        <v>24</v>
      </c>
      <c r="H52" s="29" t="n">
        <v>203476.72</v>
      </c>
      <c r="I52" s="29">
        <f>IF(Intereses_Leasing_Mensual!I52&gt;0, ROUND(190294.41 - Intereses_Leasing_Mensual!I52, 2), "")</f>
        <v/>
      </c>
      <c r="J52" s="29">
        <f>IF(Intereses_Leasing_Mensual!J52&gt;0, ROUND(I52 - Intereses_Leasing_Mensual!J52, 2), "")</f>
        <v/>
      </c>
      <c r="K52" s="29">
        <f>IF(Intereses_Leasing_Mensual!K52&gt;0, ROUND(J52 - Intereses_Leasing_Mensual!K52, 2), "")</f>
        <v/>
      </c>
      <c r="L52" s="29">
        <f>IF(Intereses_Leasing_Mensual!L52&gt;0, ROUND(K52 - Intereses_Leasing_Mensual!L52, 2), "")</f>
        <v/>
      </c>
      <c r="M52" s="29">
        <f>IF(Intereses_Leasing_Mensual!M52&gt;0, ROUND(L52 - Intereses_Leasing_Mensual!M52, 2), "")</f>
        <v/>
      </c>
      <c r="N52" s="29">
        <f>IF(Intereses_Leasing_Mensual!N52&gt;0, ROUND(M52 - Intereses_Leasing_Mensual!N52, 2), "")</f>
        <v/>
      </c>
      <c r="O52" s="29">
        <f>IF(Intereses_Leasing_Mensual!O52&gt;0, ROUND(N52 - Intereses_Leasing_Mensual!O52, 2), "")</f>
        <v/>
      </c>
      <c r="P52" s="29">
        <f>IF(Intereses_Leasing_Mensual!P52&gt;0, ROUND(O52 - Intereses_Leasing_Mensual!P52, 2), "")</f>
        <v/>
      </c>
      <c r="Q52" s="29">
        <f>IF(Intereses_Leasing_Mensual!Q52&gt;0, ROUND(P52 - Intereses_Leasing_Mensual!Q52, 2), "")</f>
        <v/>
      </c>
      <c r="R52" s="29">
        <f>IF(Intereses_Leasing_Mensual!R52&gt;0, ROUND(Q52 - Intereses_Leasing_Mensual!R52, 2), "")</f>
        <v/>
      </c>
      <c r="S52" s="29">
        <f>IF(Intereses_Leasing_Mensual!S52&gt;0, ROUND(R52 - Intereses_Leasing_Mensual!S52, 2), "")</f>
        <v/>
      </c>
      <c r="T52" s="29">
        <f>IF(Intereses_Leasing_Mensual!T52&gt;0, ROUND(S52 - Intereses_Leasing_Mensual!T52, 2), "")</f>
        <v/>
      </c>
      <c r="U52" s="29">
        <f>MAX(I52:T52)</f>
        <v/>
      </c>
    </row>
    <row r="53">
      <c r="A53" s="20" t="inlineStr">
        <is>
          <t>0587-0002</t>
        </is>
      </c>
      <c r="B53" s="21" t="inlineStr">
        <is>
          <t>Allioth, S.C.</t>
        </is>
      </c>
      <c r="C53" s="21" t="inlineStr">
        <is>
          <t>Grand Cherokee L Summit</t>
        </is>
      </c>
      <c r="D53" s="20" t="inlineStr">
        <is>
          <t>ACTIVO</t>
        </is>
      </c>
      <c r="E53" s="20" t="inlineStr">
        <is>
          <t>2026-02-09</t>
        </is>
      </c>
      <c r="F53" s="20" t="inlineStr">
        <is>
          <t>2027-02-09</t>
        </is>
      </c>
      <c r="G53" s="22" t="n">
        <v>12</v>
      </c>
      <c r="H53" s="23" t="n">
        <v>116651.57</v>
      </c>
      <c r="I53" s="23" t="inlineStr"/>
      <c r="J53" s="23">
        <f>IF(Intereses_Leasing_Mensual!J53&gt;0, ROUND($H53 - Intereses_Leasing_Mensual!J53, 2), "")</f>
        <v/>
      </c>
      <c r="K53" s="23">
        <f>IF(Intereses_Leasing_Mensual!K53&gt;0, ROUND(J53 - Intereses_Leasing_Mensual!K53, 2), "")</f>
        <v/>
      </c>
      <c r="L53" s="23">
        <f>IF(Intereses_Leasing_Mensual!L53&gt;0, ROUND(K53 - Intereses_Leasing_Mensual!L53, 2), "")</f>
        <v/>
      </c>
      <c r="M53" s="23">
        <f>IF(Intereses_Leasing_Mensual!M53&gt;0, ROUND(L53 - Intereses_Leasing_Mensual!M53, 2), "")</f>
        <v/>
      </c>
      <c r="N53" s="23">
        <f>IF(Intereses_Leasing_Mensual!N53&gt;0, ROUND(M53 - Intereses_Leasing_Mensual!N53, 2), "")</f>
        <v/>
      </c>
      <c r="O53" s="23">
        <f>IF(Intereses_Leasing_Mensual!O53&gt;0, ROUND(N53 - Intereses_Leasing_Mensual!O53, 2), "")</f>
        <v/>
      </c>
      <c r="P53" s="23">
        <f>IF(Intereses_Leasing_Mensual!P53&gt;0, ROUND(O53 - Intereses_Leasing_Mensual!P53, 2), "")</f>
        <v/>
      </c>
      <c r="Q53" s="23">
        <f>IF(Intereses_Leasing_Mensual!Q53&gt;0, ROUND(P53 - Intereses_Leasing_Mensual!Q53, 2), "")</f>
        <v/>
      </c>
      <c r="R53" s="23">
        <f>IF(Intereses_Leasing_Mensual!R53&gt;0, ROUND(Q53 - Intereses_Leasing_Mensual!R53, 2), "")</f>
        <v/>
      </c>
      <c r="S53" s="23">
        <f>IF(Intereses_Leasing_Mensual!S53&gt;0, ROUND(R53 - Intereses_Leasing_Mensual!S53, 2), "")</f>
        <v/>
      </c>
      <c r="T53" s="23">
        <f>IF(Intereses_Leasing_Mensual!T53&gt;0, ROUND(S53 - Intereses_Leasing_Mensual!T53, 2), "")</f>
        <v/>
      </c>
      <c r="U53" s="23">
        <f>MAX(I53:T53)</f>
        <v/>
      </c>
    </row>
    <row r="54">
      <c r="A54" s="26" t="inlineStr">
        <is>
          <t>0591-0002</t>
        </is>
      </c>
      <c r="B54" s="27" t="inlineStr">
        <is>
          <t>Cervantech Servicios Tecnologicos Sc</t>
        </is>
      </c>
      <c r="C54" s="27" t="inlineStr">
        <is>
          <t>WRANGLER RUBICON</t>
        </is>
      </c>
      <c r="D54" s="26" t="inlineStr">
        <is>
          <t>ACTIVO</t>
        </is>
      </c>
      <c r="E54" s="26" t="inlineStr">
        <is>
          <t>2023-10-27</t>
        </is>
      </c>
      <c r="F54" s="26" t="inlineStr">
        <is>
          <t>2026-10-27</t>
        </is>
      </c>
      <c r="G54" s="28" t="n">
        <v>36</v>
      </c>
      <c r="H54" s="29" t="n">
        <v>768617.15</v>
      </c>
      <c r="I54" s="29">
        <f>IF(Intereses_Leasing_Mensual!I54&gt;0, ROUND(137169.74 - Intereses_Leasing_Mensual!I54, 2), "")</f>
        <v/>
      </c>
      <c r="J54" s="29">
        <f>IF(Intereses_Leasing_Mensual!J54&gt;0, ROUND(I54 - Intereses_Leasing_Mensual!J54, 2), "")</f>
        <v/>
      </c>
      <c r="K54" s="29">
        <f>IF(Intereses_Leasing_Mensual!K54&gt;0, ROUND(J54 - Intereses_Leasing_Mensual!K54, 2), "")</f>
        <v/>
      </c>
      <c r="L54" s="29">
        <f>IF(Intereses_Leasing_Mensual!L54&gt;0, ROUND(K54 - Intereses_Leasing_Mensual!L54, 2), "")</f>
        <v/>
      </c>
      <c r="M54" s="29">
        <f>IF(Intereses_Leasing_Mensual!M54&gt;0, ROUND(L54 - Intereses_Leasing_Mensual!M54, 2), "")</f>
        <v/>
      </c>
      <c r="N54" s="29">
        <f>IF(Intereses_Leasing_Mensual!N54&gt;0, ROUND(M54 - Intereses_Leasing_Mensual!N54, 2), "")</f>
        <v/>
      </c>
      <c r="O54" s="29">
        <f>IF(Intereses_Leasing_Mensual!O54&gt;0, ROUND(N54 - Intereses_Leasing_Mensual!O54, 2), "")</f>
        <v/>
      </c>
      <c r="P54" s="29">
        <f>IF(Intereses_Leasing_Mensual!P54&gt;0, ROUND(O54 - Intereses_Leasing_Mensual!P54, 2), "")</f>
        <v/>
      </c>
      <c r="Q54" s="29">
        <f>IF(Intereses_Leasing_Mensual!Q54&gt;0, ROUND(P54 - Intereses_Leasing_Mensual!Q54, 2), "")</f>
        <v/>
      </c>
      <c r="R54" s="29" t="inlineStr"/>
      <c r="S54" s="29" t="inlineStr"/>
      <c r="T54" s="29" t="inlineStr"/>
      <c r="U54" s="29">
        <f>MAX(I54:T54)</f>
        <v/>
      </c>
    </row>
    <row r="55">
      <c r="A55" s="20" t="inlineStr">
        <is>
          <t>0593-0002</t>
        </is>
      </c>
      <c r="B55" s="21" t="inlineStr">
        <is>
          <t>Metales y Minerales Moa Sa de Cv</t>
        </is>
      </c>
      <c r="C55" s="21" t="inlineStr">
        <is>
          <t>Ram 700 SLT Crew Cab</t>
        </is>
      </c>
      <c r="D55" s="20" t="inlineStr">
        <is>
          <t>ACTIVO</t>
        </is>
      </c>
      <c r="E55" s="20" t="inlineStr">
        <is>
          <t>2023-07-04</t>
        </is>
      </c>
      <c r="F55" s="20" t="inlineStr">
        <is>
          <t>2027-07-04</t>
        </is>
      </c>
      <c r="G55" s="22" t="n">
        <v>48</v>
      </c>
      <c r="H55" s="23" t="n">
        <v>304160.5</v>
      </c>
      <c r="I55" s="23">
        <f>IF(Intereses_Leasing_Mensual!I55&gt;0, ROUND(73522.62 - Intereses_Leasing_Mensual!I55, 2), "")</f>
        <v/>
      </c>
      <c r="J55" s="23">
        <f>IF(Intereses_Leasing_Mensual!J55&gt;0, ROUND(I55 - Intereses_Leasing_Mensual!J55, 2), "")</f>
        <v/>
      </c>
      <c r="K55" s="23">
        <f>IF(Intereses_Leasing_Mensual!K55&gt;0, ROUND(J55 - Intereses_Leasing_Mensual!K55, 2), "")</f>
        <v/>
      </c>
      <c r="L55" s="23">
        <f>IF(Intereses_Leasing_Mensual!L55&gt;0, ROUND(K55 - Intereses_Leasing_Mensual!L55, 2), "")</f>
        <v/>
      </c>
      <c r="M55" s="23">
        <f>IF(Intereses_Leasing_Mensual!M55&gt;0, ROUND(L55 - Intereses_Leasing_Mensual!M55, 2), "")</f>
        <v/>
      </c>
      <c r="N55" s="23">
        <f>IF(Intereses_Leasing_Mensual!N55&gt;0, ROUND(M55 - Intereses_Leasing_Mensual!N55, 2), "")</f>
        <v/>
      </c>
      <c r="O55" s="23">
        <f>IF(Intereses_Leasing_Mensual!O55&gt;0, ROUND(N55 - Intereses_Leasing_Mensual!O55, 2), "")</f>
        <v/>
      </c>
      <c r="P55" s="23">
        <f>IF(Intereses_Leasing_Mensual!P55&gt;0, ROUND(O55 - Intereses_Leasing_Mensual!P55, 2), "")</f>
        <v/>
      </c>
      <c r="Q55" s="23">
        <f>IF(Intereses_Leasing_Mensual!Q55&gt;0, ROUND(P55 - Intereses_Leasing_Mensual!Q55, 2), "")</f>
        <v/>
      </c>
      <c r="R55" s="23">
        <f>IF(Intereses_Leasing_Mensual!R55&gt;0, ROUND(Q55 - Intereses_Leasing_Mensual!R55, 2), "")</f>
        <v/>
      </c>
      <c r="S55" s="23">
        <f>IF(Intereses_Leasing_Mensual!S55&gt;0, ROUND(R55 - Intereses_Leasing_Mensual!S55, 2), "")</f>
        <v/>
      </c>
      <c r="T55" s="23">
        <f>IF(Intereses_Leasing_Mensual!T55&gt;0, ROUND(S55 - Intereses_Leasing_Mensual!T55, 2), "")</f>
        <v/>
      </c>
      <c r="U55" s="23">
        <f>MAX(I55:T55)</f>
        <v/>
      </c>
    </row>
    <row r="56">
      <c r="A56" s="26" t="inlineStr">
        <is>
          <t>0594-0001</t>
        </is>
      </c>
      <c r="B56" s="27" t="inlineStr">
        <is>
          <t>Biotecnologia Estetica Sa de Cv</t>
        </is>
      </c>
      <c r="C56" s="27" t="inlineStr">
        <is>
          <t>Mobi Like</t>
        </is>
      </c>
      <c r="D56" s="26" t="inlineStr">
        <is>
          <t>ACTIVO</t>
        </is>
      </c>
      <c r="E56" s="26" t="inlineStr">
        <is>
          <t>2023-02-23</t>
        </is>
      </c>
      <c r="F56" s="26" t="inlineStr">
        <is>
          <t>2027-02-23</t>
        </is>
      </c>
      <c r="G56" s="28" t="n">
        <v>48</v>
      </c>
      <c r="H56" s="29" t="n">
        <v>206365.27</v>
      </c>
      <c r="I56" s="29">
        <f>IF(Intereses_Leasing_Mensual!I56&gt;0, ROUND(32433.23 - Intereses_Leasing_Mensual!I56, 2), "")</f>
        <v/>
      </c>
      <c r="J56" s="29">
        <f>IF(Intereses_Leasing_Mensual!J56&gt;0, ROUND(I56 - Intereses_Leasing_Mensual!J56, 2), "")</f>
        <v/>
      </c>
      <c r="K56" s="29">
        <f>IF(Intereses_Leasing_Mensual!K56&gt;0, ROUND(J56 - Intereses_Leasing_Mensual!K56, 2), "")</f>
        <v/>
      </c>
      <c r="L56" s="29">
        <f>IF(Intereses_Leasing_Mensual!L56&gt;0, ROUND(K56 - Intereses_Leasing_Mensual!L56, 2), "")</f>
        <v/>
      </c>
      <c r="M56" s="29">
        <f>IF(Intereses_Leasing_Mensual!M56&gt;0, ROUND(L56 - Intereses_Leasing_Mensual!M56, 2), "")</f>
        <v/>
      </c>
      <c r="N56" s="29">
        <f>IF(Intereses_Leasing_Mensual!N56&gt;0, ROUND(M56 - Intereses_Leasing_Mensual!N56, 2), "")</f>
        <v/>
      </c>
      <c r="O56" s="29">
        <f>IF(Intereses_Leasing_Mensual!O56&gt;0, ROUND(N56 - Intereses_Leasing_Mensual!O56, 2), "")</f>
        <v/>
      </c>
      <c r="P56" s="29">
        <f>IF(Intereses_Leasing_Mensual!P56&gt;0, ROUND(O56 - Intereses_Leasing_Mensual!P56, 2), "")</f>
        <v/>
      </c>
      <c r="Q56" s="29">
        <f>IF(Intereses_Leasing_Mensual!Q56&gt;0, ROUND(P56 - Intereses_Leasing_Mensual!Q56, 2), "")</f>
        <v/>
      </c>
      <c r="R56" s="29">
        <f>IF(Intereses_Leasing_Mensual!R56&gt;0, ROUND(Q56 - Intereses_Leasing_Mensual!R56, 2), "")</f>
        <v/>
      </c>
      <c r="S56" s="29">
        <f>IF(Intereses_Leasing_Mensual!S56&gt;0, ROUND(R56 - Intereses_Leasing_Mensual!S56, 2), "")</f>
        <v/>
      </c>
      <c r="T56" s="29">
        <f>IF(Intereses_Leasing_Mensual!T56&gt;0, ROUND(S56 - Intereses_Leasing_Mensual!T56, 2), "")</f>
        <v/>
      </c>
      <c r="U56" s="29">
        <f>MAX(I56:T56)</f>
        <v/>
      </c>
    </row>
    <row r="57">
      <c r="A57" s="20" t="inlineStr">
        <is>
          <t>0596-0004</t>
        </is>
      </c>
      <c r="B57" s="21" t="inlineStr">
        <is>
          <t>Gruas Industriales Lb</t>
        </is>
      </c>
      <c r="C57" s="21" t="inlineStr">
        <is>
          <t>Ram 1500 TRX</t>
        </is>
      </c>
      <c r="D57" s="20" t="inlineStr">
        <is>
          <t>ACTIVO</t>
        </is>
      </c>
      <c r="E57" s="20" t="inlineStr">
        <is>
          <t>2024-03-22</t>
        </is>
      </c>
      <c r="F57" s="20" t="inlineStr">
        <is>
          <t>2028-03-22</t>
        </is>
      </c>
      <c r="G57" s="22" t="n">
        <v>48</v>
      </c>
      <c r="H57" s="23" t="n">
        <v>1462594.66</v>
      </c>
      <c r="I57" s="23">
        <f>IF(Intereses_Leasing_Mensual!I57&gt;0, ROUND(591855.44 - Intereses_Leasing_Mensual!I57, 2), "")</f>
        <v/>
      </c>
      <c r="J57" s="23">
        <f>IF(Intereses_Leasing_Mensual!J57&gt;0, ROUND(I57 - Intereses_Leasing_Mensual!J57, 2), "")</f>
        <v/>
      </c>
      <c r="K57" s="23">
        <f>IF(Intereses_Leasing_Mensual!K57&gt;0, ROUND(J57 - Intereses_Leasing_Mensual!K57, 2), "")</f>
        <v/>
      </c>
      <c r="L57" s="23">
        <f>IF(Intereses_Leasing_Mensual!L57&gt;0, ROUND(K57 - Intereses_Leasing_Mensual!L57, 2), "")</f>
        <v/>
      </c>
      <c r="M57" s="23">
        <f>IF(Intereses_Leasing_Mensual!M57&gt;0, ROUND(L57 - Intereses_Leasing_Mensual!M57, 2), "")</f>
        <v/>
      </c>
      <c r="N57" s="23">
        <f>IF(Intereses_Leasing_Mensual!N57&gt;0, ROUND(M57 - Intereses_Leasing_Mensual!N57, 2), "")</f>
        <v/>
      </c>
      <c r="O57" s="23">
        <f>IF(Intereses_Leasing_Mensual!O57&gt;0, ROUND(N57 - Intereses_Leasing_Mensual!O57, 2), "")</f>
        <v/>
      </c>
      <c r="P57" s="23">
        <f>IF(Intereses_Leasing_Mensual!P57&gt;0, ROUND(O57 - Intereses_Leasing_Mensual!P57, 2), "")</f>
        <v/>
      </c>
      <c r="Q57" s="23">
        <f>IF(Intereses_Leasing_Mensual!Q57&gt;0, ROUND(P57 - Intereses_Leasing_Mensual!Q57, 2), "")</f>
        <v/>
      </c>
      <c r="R57" s="23">
        <f>IF(Intereses_Leasing_Mensual!R57&gt;0, ROUND(Q57 - Intereses_Leasing_Mensual!R57, 2), "")</f>
        <v/>
      </c>
      <c r="S57" s="23">
        <f>IF(Intereses_Leasing_Mensual!S57&gt;0, ROUND(R57 - Intereses_Leasing_Mensual!S57, 2), "")</f>
        <v/>
      </c>
      <c r="T57" s="23">
        <f>IF(Intereses_Leasing_Mensual!T57&gt;0, ROUND(S57 - Intereses_Leasing_Mensual!T57, 2), "")</f>
        <v/>
      </c>
      <c r="U57" s="23">
        <f>MAX(I57:T57)</f>
        <v/>
      </c>
    </row>
    <row r="58">
      <c r="A58" s="26" t="inlineStr">
        <is>
          <t>0596-0005</t>
        </is>
      </c>
      <c r="B58" s="27" t="inlineStr">
        <is>
          <t>Gruas Industriales Lb Sa de Cv</t>
        </is>
      </c>
      <c r="C58" s="27" t="inlineStr">
        <is>
          <t>L200 Glx Gasolina</t>
        </is>
      </c>
      <c r="D58" s="26" t="inlineStr">
        <is>
          <t>ACTIVO</t>
        </is>
      </c>
      <c r="E58" s="26" t="inlineStr">
        <is>
          <t>2024-07-19</t>
        </is>
      </c>
      <c r="F58" s="26" t="inlineStr">
        <is>
          <t>2028-07-19</t>
        </is>
      </c>
      <c r="G58" s="28" t="n">
        <v>48</v>
      </c>
      <c r="H58" s="29" t="n">
        <v>405080.53</v>
      </c>
      <c r="I58" s="29">
        <f>IF(Intereses_Leasing_Mensual!I58&gt;0, ROUND(207269.61 - Intereses_Leasing_Mensual!I58, 2), "")</f>
        <v/>
      </c>
      <c r="J58" s="29">
        <f>IF(Intereses_Leasing_Mensual!J58&gt;0, ROUND(I58 - Intereses_Leasing_Mensual!J58, 2), "")</f>
        <v/>
      </c>
      <c r="K58" s="29">
        <f>IF(Intereses_Leasing_Mensual!K58&gt;0, ROUND(J58 - Intereses_Leasing_Mensual!K58, 2), "")</f>
        <v/>
      </c>
      <c r="L58" s="29">
        <f>IF(Intereses_Leasing_Mensual!L58&gt;0, ROUND(K58 - Intereses_Leasing_Mensual!L58, 2), "")</f>
        <v/>
      </c>
      <c r="M58" s="29">
        <f>IF(Intereses_Leasing_Mensual!M58&gt;0, ROUND(L58 - Intereses_Leasing_Mensual!M58, 2), "")</f>
        <v/>
      </c>
      <c r="N58" s="29">
        <f>IF(Intereses_Leasing_Mensual!N58&gt;0, ROUND(M58 - Intereses_Leasing_Mensual!N58, 2), "")</f>
        <v/>
      </c>
      <c r="O58" s="29">
        <f>IF(Intereses_Leasing_Mensual!O58&gt;0, ROUND(N58 - Intereses_Leasing_Mensual!O58, 2), "")</f>
        <v/>
      </c>
      <c r="P58" s="29">
        <f>IF(Intereses_Leasing_Mensual!P58&gt;0, ROUND(O58 - Intereses_Leasing_Mensual!P58, 2), "")</f>
        <v/>
      </c>
      <c r="Q58" s="29">
        <f>IF(Intereses_Leasing_Mensual!Q58&gt;0, ROUND(P58 - Intereses_Leasing_Mensual!Q58, 2), "")</f>
        <v/>
      </c>
      <c r="R58" s="29">
        <f>IF(Intereses_Leasing_Mensual!R58&gt;0, ROUND(Q58 - Intereses_Leasing_Mensual!R58, 2), "")</f>
        <v/>
      </c>
      <c r="S58" s="29">
        <f>IF(Intereses_Leasing_Mensual!S58&gt;0, ROUND(R58 - Intereses_Leasing_Mensual!S58, 2), "")</f>
        <v/>
      </c>
      <c r="T58" s="29">
        <f>IF(Intereses_Leasing_Mensual!T58&gt;0, ROUND(S58 - Intereses_Leasing_Mensual!T58, 2), "")</f>
        <v/>
      </c>
      <c r="U58" s="29">
        <f>MAX(I58:T58)</f>
        <v/>
      </c>
    </row>
    <row r="59">
      <c r="A59" s="20" t="inlineStr">
        <is>
          <t>0598-0001</t>
        </is>
      </c>
      <c r="B59" s="21" t="inlineStr">
        <is>
          <t>Digitracking Solution Sa de Cv</t>
        </is>
      </c>
      <c r="C59" s="21" t="inlineStr">
        <is>
          <t>Ram 700 Laramie</t>
        </is>
      </c>
      <c r="D59" s="20" t="inlineStr">
        <is>
          <t>ACTIVO</t>
        </is>
      </c>
      <c r="E59" s="20" t="inlineStr">
        <is>
          <t>2023-03-15</t>
        </is>
      </c>
      <c r="F59" s="20" t="inlineStr">
        <is>
          <t>2027-03-15</t>
        </is>
      </c>
      <c r="G59" s="22" t="n">
        <v>48</v>
      </c>
      <c r="H59" s="23" t="n">
        <v>280923.39</v>
      </c>
      <c r="I59" s="23">
        <f>IF(Intereses_Leasing_Mensual!I59&gt;0, ROUND(52593.73 - Intereses_Leasing_Mensual!I59, 2), "")</f>
        <v/>
      </c>
      <c r="J59" s="23">
        <f>IF(Intereses_Leasing_Mensual!J59&gt;0, ROUND(I59 - Intereses_Leasing_Mensual!J59, 2), "")</f>
        <v/>
      </c>
      <c r="K59" s="23">
        <f>IF(Intereses_Leasing_Mensual!K59&gt;0, ROUND(J59 - Intereses_Leasing_Mensual!K59, 2), "")</f>
        <v/>
      </c>
      <c r="L59" s="23">
        <f>IF(Intereses_Leasing_Mensual!L59&gt;0, ROUND(K59 - Intereses_Leasing_Mensual!L59, 2), "")</f>
        <v/>
      </c>
      <c r="M59" s="23">
        <f>IF(Intereses_Leasing_Mensual!M59&gt;0, ROUND(L59 - Intereses_Leasing_Mensual!M59, 2), "")</f>
        <v/>
      </c>
      <c r="N59" s="23">
        <f>IF(Intereses_Leasing_Mensual!N59&gt;0, ROUND(M59 - Intereses_Leasing_Mensual!N59, 2), "")</f>
        <v/>
      </c>
      <c r="O59" s="23">
        <f>IF(Intereses_Leasing_Mensual!O59&gt;0, ROUND(N59 - Intereses_Leasing_Mensual!O59, 2), "")</f>
        <v/>
      </c>
      <c r="P59" s="23">
        <f>IF(Intereses_Leasing_Mensual!P59&gt;0, ROUND(O59 - Intereses_Leasing_Mensual!P59, 2), "")</f>
        <v/>
      </c>
      <c r="Q59" s="23">
        <f>IF(Intereses_Leasing_Mensual!Q59&gt;0, ROUND(P59 - Intereses_Leasing_Mensual!Q59, 2), "")</f>
        <v/>
      </c>
      <c r="R59" s="23">
        <f>IF(Intereses_Leasing_Mensual!R59&gt;0, ROUND(Q59 - Intereses_Leasing_Mensual!R59, 2), "")</f>
        <v/>
      </c>
      <c r="S59" s="23">
        <f>IF(Intereses_Leasing_Mensual!S59&gt;0, ROUND(R59 - Intereses_Leasing_Mensual!S59, 2), "")</f>
        <v/>
      </c>
      <c r="T59" s="23">
        <f>IF(Intereses_Leasing_Mensual!T59&gt;0, ROUND(S59 - Intereses_Leasing_Mensual!T59, 2), "")</f>
        <v/>
      </c>
      <c r="U59" s="23">
        <f>MAX(I59:T59)</f>
        <v/>
      </c>
    </row>
    <row r="60">
      <c r="A60" s="26" t="inlineStr">
        <is>
          <t>0600-0001</t>
        </is>
      </c>
      <c r="B60" s="27" t="inlineStr">
        <is>
          <t>Dulce Marisol Gonzalez Cuevas</t>
        </is>
      </c>
      <c r="C60" s="27" t="inlineStr">
        <is>
          <t>Ram 700 Laramie</t>
        </is>
      </c>
      <c r="D60" s="26" t="inlineStr">
        <is>
          <t>ACTIVO</t>
        </is>
      </c>
      <c r="E60" s="26" t="inlineStr">
        <is>
          <t>2023-03-15</t>
        </is>
      </c>
      <c r="F60" s="26" t="inlineStr">
        <is>
          <t>2027-03-15</t>
        </is>
      </c>
      <c r="G60" s="28" t="n">
        <v>48</v>
      </c>
      <c r="H60" s="29" t="n">
        <v>222979.3</v>
      </c>
      <c r="I60" s="29">
        <f>IF(Intereses_Leasing_Mensual!I60&gt;0, ROUND(36101.39 - Intereses_Leasing_Mensual!I60, 2), "")</f>
        <v/>
      </c>
      <c r="J60" s="29">
        <f>IF(Intereses_Leasing_Mensual!J60&gt;0, ROUND(I60 - Intereses_Leasing_Mensual!J60, 2), "")</f>
        <v/>
      </c>
      <c r="K60" s="29">
        <f>IF(Intereses_Leasing_Mensual!K60&gt;0, ROUND(J60 - Intereses_Leasing_Mensual!K60, 2), "")</f>
        <v/>
      </c>
      <c r="L60" s="29">
        <f>IF(Intereses_Leasing_Mensual!L60&gt;0, ROUND(K60 - Intereses_Leasing_Mensual!L60, 2), "")</f>
        <v/>
      </c>
      <c r="M60" s="29">
        <f>IF(Intereses_Leasing_Mensual!M60&gt;0, ROUND(L60 - Intereses_Leasing_Mensual!M60, 2), "")</f>
        <v/>
      </c>
      <c r="N60" s="29">
        <f>IF(Intereses_Leasing_Mensual!N60&gt;0, ROUND(M60 - Intereses_Leasing_Mensual!N60, 2), "")</f>
        <v/>
      </c>
      <c r="O60" s="29">
        <f>IF(Intereses_Leasing_Mensual!O60&gt;0, ROUND(N60 - Intereses_Leasing_Mensual!O60, 2), "")</f>
        <v/>
      </c>
      <c r="P60" s="29">
        <f>IF(Intereses_Leasing_Mensual!P60&gt;0, ROUND(O60 - Intereses_Leasing_Mensual!P60, 2), "")</f>
        <v/>
      </c>
      <c r="Q60" s="29">
        <f>IF(Intereses_Leasing_Mensual!Q60&gt;0, ROUND(P60 - Intereses_Leasing_Mensual!Q60, 2), "")</f>
        <v/>
      </c>
      <c r="R60" s="29">
        <f>IF(Intereses_Leasing_Mensual!R60&gt;0, ROUND(Q60 - Intereses_Leasing_Mensual!R60, 2), "")</f>
        <v/>
      </c>
      <c r="S60" s="29">
        <f>IF(Intereses_Leasing_Mensual!S60&gt;0, ROUND(R60 - Intereses_Leasing_Mensual!S60, 2), "")</f>
        <v/>
      </c>
      <c r="T60" s="29">
        <f>IF(Intereses_Leasing_Mensual!T60&gt;0, ROUND(S60 - Intereses_Leasing_Mensual!T60, 2), "")</f>
        <v/>
      </c>
      <c r="U60" s="29">
        <f>MAX(I60:T60)</f>
        <v/>
      </c>
    </row>
    <row r="61">
      <c r="A61" s="20" t="inlineStr">
        <is>
          <t>0603-0002</t>
        </is>
      </c>
      <c r="B61" s="21" t="inlineStr">
        <is>
          <t>Mario Alberto Velasco Santana</t>
        </is>
      </c>
      <c r="C61" s="21" t="inlineStr">
        <is>
          <t>Outlander Sport</t>
        </is>
      </c>
      <c r="D61" s="20" t="inlineStr">
        <is>
          <t>ACTIVO</t>
        </is>
      </c>
      <c r="E61" s="20" t="inlineStr">
        <is>
          <t>2024-07-30</t>
        </is>
      </c>
      <c r="F61" s="20" t="inlineStr">
        <is>
          <t>2028-07-30</t>
        </is>
      </c>
      <c r="G61" s="22" t="n">
        <v>48</v>
      </c>
      <c r="H61" s="23" t="n">
        <v>309232.02</v>
      </c>
      <c r="I61" s="23">
        <f>IF(Intereses_Leasing_Mensual!I61&gt;0, ROUND(162121.15 - Intereses_Leasing_Mensual!I61, 2), "")</f>
        <v/>
      </c>
      <c r="J61" s="23">
        <f>IF(Intereses_Leasing_Mensual!J61&gt;0, ROUND(I61 - Intereses_Leasing_Mensual!J61, 2), "")</f>
        <v/>
      </c>
      <c r="K61" s="23">
        <f>IF(Intereses_Leasing_Mensual!K61&gt;0, ROUND(J61 - Intereses_Leasing_Mensual!K61, 2), "")</f>
        <v/>
      </c>
      <c r="L61" s="23">
        <f>IF(Intereses_Leasing_Mensual!L61&gt;0, ROUND(K61 - Intereses_Leasing_Mensual!L61, 2), "")</f>
        <v/>
      </c>
      <c r="M61" s="23">
        <f>IF(Intereses_Leasing_Mensual!M61&gt;0, ROUND(L61 - Intereses_Leasing_Mensual!M61, 2), "")</f>
        <v/>
      </c>
      <c r="N61" s="23">
        <f>IF(Intereses_Leasing_Mensual!N61&gt;0, ROUND(M61 - Intereses_Leasing_Mensual!N61, 2), "")</f>
        <v/>
      </c>
      <c r="O61" s="23">
        <f>IF(Intereses_Leasing_Mensual!O61&gt;0, ROUND(N61 - Intereses_Leasing_Mensual!O61, 2), "")</f>
        <v/>
      </c>
      <c r="P61" s="23">
        <f>IF(Intereses_Leasing_Mensual!P61&gt;0, ROUND(O61 - Intereses_Leasing_Mensual!P61, 2), "")</f>
        <v/>
      </c>
      <c r="Q61" s="23">
        <f>IF(Intereses_Leasing_Mensual!Q61&gt;0, ROUND(P61 - Intereses_Leasing_Mensual!Q61, 2), "")</f>
        <v/>
      </c>
      <c r="R61" s="23">
        <f>IF(Intereses_Leasing_Mensual!R61&gt;0, ROUND(Q61 - Intereses_Leasing_Mensual!R61, 2), "")</f>
        <v/>
      </c>
      <c r="S61" s="23">
        <f>IF(Intereses_Leasing_Mensual!S61&gt;0, ROUND(R61 - Intereses_Leasing_Mensual!S61, 2), "")</f>
        <v/>
      </c>
      <c r="T61" s="23">
        <f>IF(Intereses_Leasing_Mensual!T61&gt;0, ROUND(S61 - Intereses_Leasing_Mensual!T61, 2), "")</f>
        <v/>
      </c>
      <c r="U61" s="23">
        <f>MAX(I61:T61)</f>
        <v/>
      </c>
    </row>
    <row r="62">
      <c r="A62" s="26" t="inlineStr">
        <is>
          <t>0605-0001</t>
        </is>
      </c>
      <c r="B62" s="27" t="inlineStr">
        <is>
          <t>Nato Arquitectos Sa de Cv</t>
        </is>
      </c>
      <c r="C62" s="27" t="inlineStr">
        <is>
          <t>Compass High Altitude</t>
        </is>
      </c>
      <c r="D62" s="26" t="inlineStr">
        <is>
          <t>ACTIVO</t>
        </is>
      </c>
      <c r="E62" s="26" t="inlineStr">
        <is>
          <t>2023-03-23</t>
        </is>
      </c>
      <c r="F62" s="26" t="inlineStr">
        <is>
          <t>2027-03-23</t>
        </is>
      </c>
      <c r="G62" s="28" t="n">
        <v>48</v>
      </c>
      <c r="H62" s="29" t="n">
        <v>533557.41</v>
      </c>
      <c r="I62" s="29">
        <f>IF(Intereses_Leasing_Mensual!I62&gt;0, ROUND(99745.03 - Intereses_Leasing_Mensual!I62, 2), "")</f>
        <v/>
      </c>
      <c r="J62" s="29">
        <f>IF(Intereses_Leasing_Mensual!J62&gt;0, ROUND(I62 - Intereses_Leasing_Mensual!J62, 2), "")</f>
        <v/>
      </c>
      <c r="K62" s="29">
        <f>IF(Intereses_Leasing_Mensual!K62&gt;0, ROUND(J62 - Intereses_Leasing_Mensual!K62, 2), "")</f>
        <v/>
      </c>
      <c r="L62" s="29">
        <f>IF(Intereses_Leasing_Mensual!L62&gt;0, ROUND(K62 - Intereses_Leasing_Mensual!L62, 2), "")</f>
        <v/>
      </c>
      <c r="M62" s="29">
        <f>IF(Intereses_Leasing_Mensual!M62&gt;0, ROUND(L62 - Intereses_Leasing_Mensual!M62, 2), "")</f>
        <v/>
      </c>
      <c r="N62" s="29">
        <f>IF(Intereses_Leasing_Mensual!N62&gt;0, ROUND(M62 - Intereses_Leasing_Mensual!N62, 2), "")</f>
        <v/>
      </c>
      <c r="O62" s="29">
        <f>IF(Intereses_Leasing_Mensual!O62&gt;0, ROUND(N62 - Intereses_Leasing_Mensual!O62, 2), "")</f>
        <v/>
      </c>
      <c r="P62" s="29">
        <f>IF(Intereses_Leasing_Mensual!P62&gt;0, ROUND(O62 - Intereses_Leasing_Mensual!P62, 2), "")</f>
        <v/>
      </c>
      <c r="Q62" s="29">
        <f>IF(Intereses_Leasing_Mensual!Q62&gt;0, ROUND(P62 - Intereses_Leasing_Mensual!Q62, 2), "")</f>
        <v/>
      </c>
      <c r="R62" s="29">
        <f>IF(Intereses_Leasing_Mensual!R62&gt;0, ROUND(Q62 - Intereses_Leasing_Mensual!R62, 2), "")</f>
        <v/>
      </c>
      <c r="S62" s="29">
        <f>IF(Intereses_Leasing_Mensual!S62&gt;0, ROUND(R62 - Intereses_Leasing_Mensual!S62, 2), "")</f>
        <v/>
      </c>
      <c r="T62" s="29">
        <f>IF(Intereses_Leasing_Mensual!T62&gt;0, ROUND(S62 - Intereses_Leasing_Mensual!T62, 2), "")</f>
        <v/>
      </c>
      <c r="U62" s="29">
        <f>MAX(I62:T62)</f>
        <v/>
      </c>
    </row>
    <row r="63">
      <c r="A63" s="20" t="inlineStr">
        <is>
          <t>0605-0002</t>
        </is>
      </c>
      <c r="B63" s="21" t="inlineStr">
        <is>
          <t>Nato Arquitectos Sa de Cv</t>
        </is>
      </c>
      <c r="C63" s="21" t="inlineStr">
        <is>
          <t>Hilux Diesel</t>
        </is>
      </c>
      <c r="D63" s="20" t="inlineStr">
        <is>
          <t>ACTIVO</t>
        </is>
      </c>
      <c r="E63" s="20" t="inlineStr">
        <is>
          <t>2025-03-28</t>
        </is>
      </c>
      <c r="F63" s="20" t="inlineStr">
        <is>
          <t>2027-03-28</t>
        </is>
      </c>
      <c r="G63" s="22" t="n">
        <v>24</v>
      </c>
      <c r="H63" s="23" t="n">
        <v>176025.26</v>
      </c>
      <c r="I63" s="23">
        <f>IF(Intereses_Leasing_Mensual!I63&gt;0, ROUND(73697.17 - Intereses_Leasing_Mensual!I63, 2), "")</f>
        <v/>
      </c>
      <c r="J63" s="23">
        <f>IF(Intereses_Leasing_Mensual!J63&gt;0, ROUND(I63 - Intereses_Leasing_Mensual!J63, 2), "")</f>
        <v/>
      </c>
      <c r="K63" s="23">
        <f>IF(Intereses_Leasing_Mensual!K63&gt;0, ROUND(J63 - Intereses_Leasing_Mensual!K63, 2), "")</f>
        <v/>
      </c>
      <c r="L63" s="23">
        <f>IF(Intereses_Leasing_Mensual!L63&gt;0, ROUND(K63 - Intereses_Leasing_Mensual!L63, 2), "")</f>
        <v/>
      </c>
      <c r="M63" s="23">
        <f>IF(Intereses_Leasing_Mensual!M63&gt;0, ROUND(L63 - Intereses_Leasing_Mensual!M63, 2), "")</f>
        <v/>
      </c>
      <c r="N63" s="23">
        <f>IF(Intereses_Leasing_Mensual!N63&gt;0, ROUND(M63 - Intereses_Leasing_Mensual!N63, 2), "")</f>
        <v/>
      </c>
      <c r="O63" s="23">
        <f>IF(Intereses_Leasing_Mensual!O63&gt;0, ROUND(N63 - Intereses_Leasing_Mensual!O63, 2), "")</f>
        <v/>
      </c>
      <c r="P63" s="23">
        <f>IF(Intereses_Leasing_Mensual!P63&gt;0, ROUND(O63 - Intereses_Leasing_Mensual!P63, 2), "")</f>
        <v/>
      </c>
      <c r="Q63" s="23">
        <f>IF(Intereses_Leasing_Mensual!Q63&gt;0, ROUND(P63 - Intereses_Leasing_Mensual!Q63, 2), "")</f>
        <v/>
      </c>
      <c r="R63" s="23">
        <f>IF(Intereses_Leasing_Mensual!R63&gt;0, ROUND(Q63 - Intereses_Leasing_Mensual!R63, 2), "")</f>
        <v/>
      </c>
      <c r="S63" s="23">
        <f>IF(Intereses_Leasing_Mensual!S63&gt;0, ROUND(R63 - Intereses_Leasing_Mensual!S63, 2), "")</f>
        <v/>
      </c>
      <c r="T63" s="23">
        <f>IF(Intereses_Leasing_Mensual!T63&gt;0, ROUND(S63 - Intereses_Leasing_Mensual!T63, 2), "")</f>
        <v/>
      </c>
      <c r="U63" s="23">
        <f>MAX(I63:T63)</f>
        <v/>
      </c>
    </row>
    <row r="64">
      <c r="A64" s="26" t="inlineStr">
        <is>
          <t>0605-0003</t>
        </is>
      </c>
      <c r="B64" s="27" t="inlineStr">
        <is>
          <t>Nato Arquitectos Sa de Cv</t>
        </is>
      </c>
      <c r="C64" s="27" t="inlineStr">
        <is>
          <t>Ranger Crew Cab 4X4 XLT</t>
        </is>
      </c>
      <c r="D64" s="26" t="inlineStr">
        <is>
          <t>ACTIVO</t>
        </is>
      </c>
      <c r="E64" s="26" t="inlineStr">
        <is>
          <t>2026-01-08</t>
        </is>
      </c>
      <c r="F64" s="26" t="inlineStr">
        <is>
          <t>2028-01-08</t>
        </is>
      </c>
      <c r="G64" s="28" t="n">
        <v>24</v>
      </c>
      <c r="H64" s="29" t="n">
        <v>223580.15</v>
      </c>
      <c r="I64" s="29">
        <f>IF(Intereses_Leasing_Mensual!I64&gt;0, ROUND($H64 - Intereses_Leasing_Mensual!I64, 2), "")</f>
        <v/>
      </c>
      <c r="J64" s="29">
        <f>IF(Intereses_Leasing_Mensual!J64&gt;0, ROUND(I64 - Intereses_Leasing_Mensual!J64, 2), "")</f>
        <v/>
      </c>
      <c r="K64" s="29">
        <f>IF(Intereses_Leasing_Mensual!K64&gt;0, ROUND(J64 - Intereses_Leasing_Mensual!K64, 2), "")</f>
        <v/>
      </c>
      <c r="L64" s="29">
        <f>IF(Intereses_Leasing_Mensual!L64&gt;0, ROUND(K64 - Intereses_Leasing_Mensual!L64, 2), "")</f>
        <v/>
      </c>
      <c r="M64" s="29">
        <f>IF(Intereses_Leasing_Mensual!M64&gt;0, ROUND(L64 - Intereses_Leasing_Mensual!M64, 2), "")</f>
        <v/>
      </c>
      <c r="N64" s="29">
        <f>IF(Intereses_Leasing_Mensual!N64&gt;0, ROUND(M64 - Intereses_Leasing_Mensual!N64, 2), "")</f>
        <v/>
      </c>
      <c r="O64" s="29">
        <f>IF(Intereses_Leasing_Mensual!O64&gt;0, ROUND(N64 - Intereses_Leasing_Mensual!O64, 2), "")</f>
        <v/>
      </c>
      <c r="P64" s="29">
        <f>IF(Intereses_Leasing_Mensual!P64&gt;0, ROUND(O64 - Intereses_Leasing_Mensual!P64, 2), "")</f>
        <v/>
      </c>
      <c r="Q64" s="29">
        <f>IF(Intereses_Leasing_Mensual!Q64&gt;0, ROUND(P64 - Intereses_Leasing_Mensual!Q64, 2), "")</f>
        <v/>
      </c>
      <c r="R64" s="29">
        <f>IF(Intereses_Leasing_Mensual!R64&gt;0, ROUND(Q64 - Intereses_Leasing_Mensual!R64, 2), "")</f>
        <v/>
      </c>
      <c r="S64" s="29">
        <f>IF(Intereses_Leasing_Mensual!S64&gt;0, ROUND(R64 - Intereses_Leasing_Mensual!S64, 2), "")</f>
        <v/>
      </c>
      <c r="T64" s="29">
        <f>IF(Intereses_Leasing_Mensual!T64&gt;0, ROUND(S64 - Intereses_Leasing_Mensual!T64, 2), "")</f>
        <v/>
      </c>
      <c r="U64" s="29">
        <f>MAX(I64:T64)</f>
        <v/>
      </c>
    </row>
    <row r="65">
      <c r="A65" s="20" t="inlineStr">
        <is>
          <t>0605-0004</t>
        </is>
      </c>
      <c r="B65" s="21" t="inlineStr">
        <is>
          <t>Nato Arquitectos Sa de Cv</t>
        </is>
      </c>
      <c r="C65" s="21" t="inlineStr">
        <is>
          <t>COLORADO DOBLE CABINA PAQ. "C"</t>
        </is>
      </c>
      <c r="D65" s="20" t="inlineStr">
        <is>
          <t>ACTIVO</t>
        </is>
      </c>
      <c r="E65" s="20" t="inlineStr">
        <is>
          <t>2026-01-08</t>
        </is>
      </c>
      <c r="F65" s="20" t="inlineStr">
        <is>
          <t>2028-01-08</t>
        </is>
      </c>
      <c r="G65" s="22" t="n">
        <v>24</v>
      </c>
      <c r="H65" s="23" t="n">
        <v>258745.36</v>
      </c>
      <c r="I65" s="23">
        <f>IF(Intereses_Leasing_Mensual!I65&gt;0, ROUND($H65 - Intereses_Leasing_Mensual!I65, 2), "")</f>
        <v/>
      </c>
      <c r="J65" s="23">
        <f>IF(Intereses_Leasing_Mensual!J65&gt;0, ROUND(I65 - Intereses_Leasing_Mensual!J65, 2), "")</f>
        <v/>
      </c>
      <c r="K65" s="23">
        <f>IF(Intereses_Leasing_Mensual!K65&gt;0, ROUND(J65 - Intereses_Leasing_Mensual!K65, 2), "")</f>
        <v/>
      </c>
      <c r="L65" s="23">
        <f>IF(Intereses_Leasing_Mensual!L65&gt;0, ROUND(K65 - Intereses_Leasing_Mensual!L65, 2), "")</f>
        <v/>
      </c>
      <c r="M65" s="23">
        <f>IF(Intereses_Leasing_Mensual!M65&gt;0, ROUND(L65 - Intereses_Leasing_Mensual!M65, 2), "")</f>
        <v/>
      </c>
      <c r="N65" s="23">
        <f>IF(Intereses_Leasing_Mensual!N65&gt;0, ROUND(M65 - Intereses_Leasing_Mensual!N65, 2), "")</f>
        <v/>
      </c>
      <c r="O65" s="23">
        <f>IF(Intereses_Leasing_Mensual!O65&gt;0, ROUND(N65 - Intereses_Leasing_Mensual!O65, 2), "")</f>
        <v/>
      </c>
      <c r="P65" s="23">
        <f>IF(Intereses_Leasing_Mensual!P65&gt;0, ROUND(O65 - Intereses_Leasing_Mensual!P65, 2), "")</f>
        <v/>
      </c>
      <c r="Q65" s="23">
        <f>IF(Intereses_Leasing_Mensual!Q65&gt;0, ROUND(P65 - Intereses_Leasing_Mensual!Q65, 2), "")</f>
        <v/>
      </c>
      <c r="R65" s="23">
        <f>IF(Intereses_Leasing_Mensual!R65&gt;0, ROUND(Q65 - Intereses_Leasing_Mensual!R65, 2), "")</f>
        <v/>
      </c>
      <c r="S65" s="23">
        <f>IF(Intereses_Leasing_Mensual!S65&gt;0, ROUND(R65 - Intereses_Leasing_Mensual!S65, 2), "")</f>
        <v/>
      </c>
      <c r="T65" s="23">
        <f>IF(Intereses_Leasing_Mensual!T65&gt;0, ROUND(S65 - Intereses_Leasing_Mensual!T65, 2), "")</f>
        <v/>
      </c>
      <c r="U65" s="23">
        <f>MAX(I65:T65)</f>
        <v/>
      </c>
    </row>
    <row r="66">
      <c r="A66" s="26" t="inlineStr">
        <is>
          <t>0606-0002</t>
        </is>
      </c>
      <c r="B66" s="27" t="inlineStr">
        <is>
          <t>Mayoreo Automotriz ML S de Rl de CV</t>
        </is>
      </c>
      <c r="C66" s="27" t="inlineStr">
        <is>
          <t>Grand Cherokee 4xE</t>
        </is>
      </c>
      <c r="D66" s="26" t="inlineStr">
        <is>
          <t>ACTIVO</t>
        </is>
      </c>
      <c r="E66" s="26" t="inlineStr">
        <is>
          <t>2026-03-17</t>
        </is>
      </c>
      <c r="F66" s="26" t="inlineStr">
        <is>
          <t>2027-03-17</t>
        </is>
      </c>
      <c r="G66" s="28" t="n">
        <v>12</v>
      </c>
      <c r="H66" s="29" t="n">
        <v>48517.1</v>
      </c>
      <c r="I66" s="29" t="inlineStr"/>
      <c r="J66" s="29" t="inlineStr"/>
      <c r="K66" s="29">
        <f>IF(Intereses_Leasing_Mensual!K66&gt;0, ROUND($H66 - Intereses_Leasing_Mensual!K66, 2), "")</f>
        <v/>
      </c>
      <c r="L66" s="29">
        <f>IF(Intereses_Leasing_Mensual!L66&gt;0, ROUND(K66 - Intereses_Leasing_Mensual!L66, 2), "")</f>
        <v/>
      </c>
      <c r="M66" s="29">
        <f>IF(Intereses_Leasing_Mensual!M66&gt;0, ROUND(L66 - Intereses_Leasing_Mensual!M66, 2), "")</f>
        <v/>
      </c>
      <c r="N66" s="29">
        <f>IF(Intereses_Leasing_Mensual!N66&gt;0, ROUND(M66 - Intereses_Leasing_Mensual!N66, 2), "")</f>
        <v/>
      </c>
      <c r="O66" s="29">
        <f>IF(Intereses_Leasing_Mensual!O66&gt;0, ROUND(N66 - Intereses_Leasing_Mensual!O66, 2), "")</f>
        <v/>
      </c>
      <c r="P66" s="29">
        <f>IF(Intereses_Leasing_Mensual!P66&gt;0, ROUND(O66 - Intereses_Leasing_Mensual!P66, 2), "")</f>
        <v/>
      </c>
      <c r="Q66" s="29">
        <f>IF(Intereses_Leasing_Mensual!Q66&gt;0, ROUND(P66 - Intereses_Leasing_Mensual!Q66, 2), "")</f>
        <v/>
      </c>
      <c r="R66" s="29">
        <f>IF(Intereses_Leasing_Mensual!R66&gt;0, ROUND(Q66 - Intereses_Leasing_Mensual!R66, 2), "")</f>
        <v/>
      </c>
      <c r="S66" s="29">
        <f>IF(Intereses_Leasing_Mensual!S66&gt;0, ROUND(R66 - Intereses_Leasing_Mensual!S66, 2), "")</f>
        <v/>
      </c>
      <c r="T66" s="29">
        <f>IF(Intereses_Leasing_Mensual!T66&gt;0, ROUND(S66 - Intereses_Leasing_Mensual!T66, 2), "")</f>
        <v/>
      </c>
      <c r="U66" s="29">
        <f>MAX(I66:T66)</f>
        <v/>
      </c>
    </row>
    <row r="67">
      <c r="A67" s="20" t="inlineStr">
        <is>
          <t>0607-0004</t>
        </is>
      </c>
      <c r="B67" s="21" t="inlineStr">
        <is>
          <t>Jose Guadalupe Dueñas Lomeli</t>
        </is>
      </c>
      <c r="C67" s="21" t="inlineStr">
        <is>
          <t>Rifter Allure Pack</t>
        </is>
      </c>
      <c r="D67" s="20" t="inlineStr">
        <is>
          <t>ACTIVO</t>
        </is>
      </c>
      <c r="E67" s="20" t="inlineStr">
        <is>
          <t>2025-12-08</t>
        </is>
      </c>
      <c r="F67" s="20" t="inlineStr">
        <is>
          <t>2029-12-08</t>
        </is>
      </c>
      <c r="G67" s="22" t="n">
        <v>48</v>
      </c>
      <c r="H67" s="23" t="n">
        <v>295031.08</v>
      </c>
      <c r="I67" s="23">
        <f>IF(Intereses_Leasing_Mensual!I67&gt;0, ROUND(285748.32 - Intereses_Leasing_Mensual!I67, 2), "")</f>
        <v/>
      </c>
      <c r="J67" s="23">
        <f>IF(Intereses_Leasing_Mensual!J67&gt;0, ROUND(I67 - Intereses_Leasing_Mensual!J67, 2), "")</f>
        <v/>
      </c>
      <c r="K67" s="23">
        <f>IF(Intereses_Leasing_Mensual!K67&gt;0, ROUND(J67 - Intereses_Leasing_Mensual!K67, 2), "")</f>
        <v/>
      </c>
      <c r="L67" s="23">
        <f>IF(Intereses_Leasing_Mensual!L67&gt;0, ROUND(K67 - Intereses_Leasing_Mensual!L67, 2), "")</f>
        <v/>
      </c>
      <c r="M67" s="23">
        <f>IF(Intereses_Leasing_Mensual!M67&gt;0, ROUND(L67 - Intereses_Leasing_Mensual!M67, 2), "")</f>
        <v/>
      </c>
      <c r="N67" s="23">
        <f>IF(Intereses_Leasing_Mensual!N67&gt;0, ROUND(M67 - Intereses_Leasing_Mensual!N67, 2), "")</f>
        <v/>
      </c>
      <c r="O67" s="23">
        <f>IF(Intereses_Leasing_Mensual!O67&gt;0, ROUND(N67 - Intereses_Leasing_Mensual!O67, 2), "")</f>
        <v/>
      </c>
      <c r="P67" s="23">
        <f>IF(Intereses_Leasing_Mensual!P67&gt;0, ROUND(O67 - Intereses_Leasing_Mensual!P67, 2), "")</f>
        <v/>
      </c>
      <c r="Q67" s="23">
        <f>IF(Intereses_Leasing_Mensual!Q67&gt;0, ROUND(P67 - Intereses_Leasing_Mensual!Q67, 2), "")</f>
        <v/>
      </c>
      <c r="R67" s="23">
        <f>IF(Intereses_Leasing_Mensual!R67&gt;0, ROUND(Q67 - Intereses_Leasing_Mensual!R67, 2), "")</f>
        <v/>
      </c>
      <c r="S67" s="23">
        <f>IF(Intereses_Leasing_Mensual!S67&gt;0, ROUND(R67 - Intereses_Leasing_Mensual!S67, 2), "")</f>
        <v/>
      </c>
      <c r="T67" s="23">
        <f>IF(Intereses_Leasing_Mensual!T67&gt;0, ROUND(S67 - Intereses_Leasing_Mensual!T67, 2), "")</f>
        <v/>
      </c>
      <c r="U67" s="23">
        <f>MAX(I67:T67)</f>
        <v/>
      </c>
    </row>
    <row r="68">
      <c r="A68" s="26" t="inlineStr">
        <is>
          <t>0607-0005</t>
        </is>
      </c>
      <c r="B68" s="27" t="inlineStr">
        <is>
          <t>Jose Guadalupe Dueñas Lomeli</t>
        </is>
      </c>
      <c r="C68" s="27" t="inlineStr">
        <is>
          <t>Durango Hellcat SRT</t>
        </is>
      </c>
      <c r="D68" s="26" t="inlineStr">
        <is>
          <t>ACTIVO</t>
        </is>
      </c>
      <c r="E68" s="26" t="inlineStr">
        <is>
          <t>2026-02-09</t>
        </is>
      </c>
      <c r="F68" s="26" t="inlineStr">
        <is>
          <t>2029-02-09</t>
        </is>
      </c>
      <c r="G68" s="28" t="n">
        <v>36</v>
      </c>
      <c r="H68" s="29" t="n">
        <v>1102448.79</v>
      </c>
      <c r="I68" s="29" t="inlineStr"/>
      <c r="J68" s="29">
        <f>IF(Intereses_Leasing_Mensual!J68&gt;0, ROUND($H68 - Intereses_Leasing_Mensual!J68, 2), "")</f>
        <v/>
      </c>
      <c r="K68" s="29">
        <f>IF(Intereses_Leasing_Mensual!K68&gt;0, ROUND(J68 - Intereses_Leasing_Mensual!K68, 2), "")</f>
        <v/>
      </c>
      <c r="L68" s="29">
        <f>IF(Intereses_Leasing_Mensual!L68&gt;0, ROUND(K68 - Intereses_Leasing_Mensual!L68, 2), "")</f>
        <v/>
      </c>
      <c r="M68" s="29">
        <f>IF(Intereses_Leasing_Mensual!M68&gt;0, ROUND(L68 - Intereses_Leasing_Mensual!M68, 2), "")</f>
        <v/>
      </c>
      <c r="N68" s="29">
        <f>IF(Intereses_Leasing_Mensual!N68&gt;0, ROUND(M68 - Intereses_Leasing_Mensual!N68, 2), "")</f>
        <v/>
      </c>
      <c r="O68" s="29">
        <f>IF(Intereses_Leasing_Mensual!O68&gt;0, ROUND(N68 - Intereses_Leasing_Mensual!O68, 2), "")</f>
        <v/>
      </c>
      <c r="P68" s="29">
        <f>IF(Intereses_Leasing_Mensual!P68&gt;0, ROUND(O68 - Intereses_Leasing_Mensual!P68, 2), "")</f>
        <v/>
      </c>
      <c r="Q68" s="29">
        <f>IF(Intereses_Leasing_Mensual!Q68&gt;0, ROUND(P68 - Intereses_Leasing_Mensual!Q68, 2), "")</f>
        <v/>
      </c>
      <c r="R68" s="29">
        <f>IF(Intereses_Leasing_Mensual!R68&gt;0, ROUND(Q68 - Intereses_Leasing_Mensual!R68, 2), "")</f>
        <v/>
      </c>
      <c r="S68" s="29">
        <f>IF(Intereses_Leasing_Mensual!S68&gt;0, ROUND(R68 - Intereses_Leasing_Mensual!S68, 2), "")</f>
        <v/>
      </c>
      <c r="T68" s="29">
        <f>IF(Intereses_Leasing_Mensual!T68&gt;0, ROUND(S68 - Intereses_Leasing_Mensual!T68, 2), "")</f>
        <v/>
      </c>
      <c r="U68" s="29">
        <f>MAX(I68:T68)</f>
        <v/>
      </c>
    </row>
    <row r="69">
      <c r="A69" s="20" t="inlineStr">
        <is>
          <t>0610-0003</t>
        </is>
      </c>
      <c r="B69" s="21" t="inlineStr">
        <is>
          <t>Minelaza</t>
        </is>
      </c>
      <c r="C69" s="21" t="inlineStr">
        <is>
          <t>Song Plus</t>
        </is>
      </c>
      <c r="D69" s="20" t="inlineStr">
        <is>
          <t>ACTIVO</t>
        </is>
      </c>
      <c r="E69" s="20" t="inlineStr">
        <is>
          <t>2026-04-15</t>
        </is>
      </c>
      <c r="F69" s="20" t="inlineStr">
        <is>
          <t>2029-04-15</t>
        </is>
      </c>
      <c r="G69" s="22" t="n">
        <v>36</v>
      </c>
      <c r="H69" s="23" t="n">
        <v>396014.61</v>
      </c>
      <c r="I69" s="23" t="inlineStr"/>
      <c r="J69" s="23" t="inlineStr"/>
      <c r="K69" s="23" t="inlineStr"/>
      <c r="L69" s="23">
        <f>IF(Intereses_Leasing_Mensual!L69&gt;0, ROUND($H69 - Intereses_Leasing_Mensual!L69, 2), "")</f>
        <v/>
      </c>
      <c r="M69" s="23">
        <f>IF(Intereses_Leasing_Mensual!M69&gt;0, ROUND(L69 - Intereses_Leasing_Mensual!M69, 2), "")</f>
        <v/>
      </c>
      <c r="N69" s="23">
        <f>IF(Intereses_Leasing_Mensual!N69&gt;0, ROUND(M69 - Intereses_Leasing_Mensual!N69, 2), "")</f>
        <v/>
      </c>
      <c r="O69" s="23">
        <f>IF(Intereses_Leasing_Mensual!O69&gt;0, ROUND(N69 - Intereses_Leasing_Mensual!O69, 2), "")</f>
        <v/>
      </c>
      <c r="P69" s="23">
        <f>IF(Intereses_Leasing_Mensual!P69&gt;0, ROUND(O69 - Intereses_Leasing_Mensual!P69, 2), "")</f>
        <v/>
      </c>
      <c r="Q69" s="23">
        <f>IF(Intereses_Leasing_Mensual!Q69&gt;0, ROUND(P69 - Intereses_Leasing_Mensual!Q69, 2), "")</f>
        <v/>
      </c>
      <c r="R69" s="23">
        <f>IF(Intereses_Leasing_Mensual!R69&gt;0, ROUND(Q69 - Intereses_Leasing_Mensual!R69, 2), "")</f>
        <v/>
      </c>
      <c r="S69" s="23">
        <f>IF(Intereses_Leasing_Mensual!S69&gt;0, ROUND(R69 - Intereses_Leasing_Mensual!S69, 2), "")</f>
        <v/>
      </c>
      <c r="T69" s="23">
        <f>IF(Intereses_Leasing_Mensual!T69&gt;0, ROUND(S69 - Intereses_Leasing_Mensual!T69, 2), "")</f>
        <v/>
      </c>
      <c r="U69" s="23">
        <f>MAX(I69:T69)</f>
        <v/>
      </c>
    </row>
    <row r="70">
      <c r="A70" s="26" t="inlineStr">
        <is>
          <t>0612-0002</t>
        </is>
      </c>
      <c r="B70" s="27" t="inlineStr">
        <is>
          <t>Distribuidora Lopez Moctezuma Sa de Cv</t>
        </is>
      </c>
      <c r="C70" s="27" t="inlineStr">
        <is>
          <t>Ram 700 Tradesman</t>
        </is>
      </c>
      <c r="D70" s="26" t="inlineStr">
        <is>
          <t>ACTIVO</t>
        </is>
      </c>
      <c r="E70" s="26" t="inlineStr">
        <is>
          <t>2025-09-30</t>
        </is>
      </c>
      <c r="F70" s="26" t="inlineStr">
        <is>
          <t>2028-09-30</t>
        </is>
      </c>
      <c r="G70" s="28" t="n">
        <v>36</v>
      </c>
      <c r="H70" s="29" t="n">
        <v>172836.97</v>
      </c>
      <c r="I70" s="29">
        <f>IF(Intereses_Leasing_Mensual!I70&gt;0, ROUND(145259.19 - Intereses_Leasing_Mensual!I70, 2), "")</f>
        <v/>
      </c>
      <c r="J70" s="29">
        <f>IF(Intereses_Leasing_Mensual!J70&gt;0, ROUND(I70 - Intereses_Leasing_Mensual!J70, 2), "")</f>
        <v/>
      </c>
      <c r="K70" s="29">
        <f>IF(Intereses_Leasing_Mensual!K70&gt;0, ROUND(J70 - Intereses_Leasing_Mensual!K70, 2), "")</f>
        <v/>
      </c>
      <c r="L70" s="29">
        <f>IF(Intereses_Leasing_Mensual!L70&gt;0, ROUND(K70 - Intereses_Leasing_Mensual!L70, 2), "")</f>
        <v/>
      </c>
      <c r="M70" s="29">
        <f>IF(Intereses_Leasing_Mensual!M70&gt;0, ROUND(L70 - Intereses_Leasing_Mensual!M70, 2), "")</f>
        <v/>
      </c>
      <c r="N70" s="29">
        <f>IF(Intereses_Leasing_Mensual!N70&gt;0, ROUND(M70 - Intereses_Leasing_Mensual!N70, 2), "")</f>
        <v/>
      </c>
      <c r="O70" s="29">
        <f>IF(Intereses_Leasing_Mensual!O70&gt;0, ROUND(N70 - Intereses_Leasing_Mensual!O70, 2), "")</f>
        <v/>
      </c>
      <c r="P70" s="29">
        <f>IF(Intereses_Leasing_Mensual!P70&gt;0, ROUND(O70 - Intereses_Leasing_Mensual!P70, 2), "")</f>
        <v/>
      </c>
      <c r="Q70" s="29">
        <f>IF(Intereses_Leasing_Mensual!Q70&gt;0, ROUND(P70 - Intereses_Leasing_Mensual!Q70, 2), "")</f>
        <v/>
      </c>
      <c r="R70" s="29">
        <f>IF(Intereses_Leasing_Mensual!R70&gt;0, ROUND(Q70 - Intereses_Leasing_Mensual!R70, 2), "")</f>
        <v/>
      </c>
      <c r="S70" s="29">
        <f>IF(Intereses_Leasing_Mensual!S70&gt;0, ROUND(R70 - Intereses_Leasing_Mensual!S70, 2), "")</f>
        <v/>
      </c>
      <c r="T70" s="29">
        <f>IF(Intereses_Leasing_Mensual!T70&gt;0, ROUND(S70 - Intereses_Leasing_Mensual!T70, 2), "")</f>
        <v/>
      </c>
      <c r="U70" s="29">
        <f>MAX(I70:T70)</f>
        <v/>
      </c>
    </row>
    <row r="71">
      <c r="A71" s="20" t="inlineStr">
        <is>
          <t>0612-0003</t>
        </is>
      </c>
      <c r="B71" s="21" t="inlineStr">
        <is>
          <t>Distribuidora Lopez Moctezuma Sa de Cv</t>
        </is>
      </c>
      <c r="C71" s="21" t="inlineStr">
        <is>
          <t>Mitsubishi Xpander 2026</t>
        </is>
      </c>
      <c r="D71" s="20" t="inlineStr">
        <is>
          <t>ACTIVO</t>
        </is>
      </c>
      <c r="E71" s="20" t="inlineStr">
        <is>
          <t>2026-07-31</t>
        </is>
      </c>
      <c r="F71" s="20" t="inlineStr">
        <is>
          <t>2030-07-31</t>
        </is>
      </c>
      <c r="G71" s="22" t="n">
        <v>48</v>
      </c>
      <c r="H71" s="23" t="n">
        <v>296048</v>
      </c>
      <c r="I71" s="23" t="inlineStr"/>
      <c r="J71" s="23" t="inlineStr"/>
      <c r="K71" s="23" t="inlineStr"/>
      <c r="L71" s="23" t="inlineStr"/>
      <c r="M71" s="23" t="inlineStr"/>
      <c r="N71" s="23" t="inlineStr"/>
      <c r="O71" s="23">
        <f>IF(Intereses_Leasing_Mensual!O71&gt;0, ROUND($H71 - Intereses_Leasing_Mensual!O71, 2), "")</f>
        <v/>
      </c>
      <c r="P71" s="23">
        <f>IF(Intereses_Leasing_Mensual!P71&gt;0, ROUND(O71 - Intereses_Leasing_Mensual!P71, 2), "")</f>
        <v/>
      </c>
      <c r="Q71" s="23">
        <f>IF(Intereses_Leasing_Mensual!Q71&gt;0, ROUND(P71 - Intereses_Leasing_Mensual!Q71, 2), "")</f>
        <v/>
      </c>
      <c r="R71" s="23">
        <f>IF(Intereses_Leasing_Mensual!R71&gt;0, ROUND(Q71 - Intereses_Leasing_Mensual!R71, 2), "")</f>
        <v/>
      </c>
      <c r="S71" s="23">
        <f>IF(Intereses_Leasing_Mensual!S71&gt;0, ROUND(R71 - Intereses_Leasing_Mensual!S71, 2), "")</f>
        <v/>
      </c>
      <c r="T71" s="23">
        <f>IF(Intereses_Leasing_Mensual!T71&gt;0, ROUND(S71 - Intereses_Leasing_Mensual!T71, 2), "")</f>
        <v/>
      </c>
      <c r="U71" s="23">
        <f>MAX(I71:T71)</f>
        <v/>
      </c>
    </row>
    <row r="72">
      <c r="A72" s="26" t="inlineStr">
        <is>
          <t>0616-0002</t>
        </is>
      </c>
      <c r="B72" s="27" t="inlineStr">
        <is>
          <t>Commerce and Technology Connection Sas de Cv</t>
        </is>
      </c>
      <c r="C72" s="27" t="inlineStr">
        <is>
          <t>RAM 700 BIG HORN</t>
        </is>
      </c>
      <c r="D72" s="26" t="inlineStr">
        <is>
          <t>ACTIVO</t>
        </is>
      </c>
      <c r="E72" s="26" t="inlineStr">
        <is>
          <t>2024-02-16</t>
        </is>
      </c>
      <c r="F72" s="26" t="inlineStr">
        <is>
          <t>2027-02-16</t>
        </is>
      </c>
      <c r="G72" s="28" t="n">
        <v>36</v>
      </c>
      <c r="H72" s="29" t="n">
        <v>176095.77</v>
      </c>
      <c r="I72" s="29">
        <f>IF(Intereses_Leasing_Mensual!I72&gt;0, ROUND(45169.38 - Intereses_Leasing_Mensual!I72, 2), "")</f>
        <v/>
      </c>
      <c r="J72" s="29">
        <f>IF(Intereses_Leasing_Mensual!J72&gt;0, ROUND(I72 - Intereses_Leasing_Mensual!J72, 2), "")</f>
        <v/>
      </c>
      <c r="K72" s="29">
        <f>IF(Intereses_Leasing_Mensual!K72&gt;0, ROUND(J72 - Intereses_Leasing_Mensual!K72, 2), "")</f>
        <v/>
      </c>
      <c r="L72" s="29">
        <f>IF(Intereses_Leasing_Mensual!L72&gt;0, ROUND(K72 - Intereses_Leasing_Mensual!L72, 2), "")</f>
        <v/>
      </c>
      <c r="M72" s="29">
        <f>IF(Intereses_Leasing_Mensual!M72&gt;0, ROUND(L72 - Intereses_Leasing_Mensual!M72, 2), "")</f>
        <v/>
      </c>
      <c r="N72" s="29">
        <f>IF(Intereses_Leasing_Mensual!N72&gt;0, ROUND(M72 - Intereses_Leasing_Mensual!N72, 2), "")</f>
        <v/>
      </c>
      <c r="O72" s="29">
        <f>IF(Intereses_Leasing_Mensual!O72&gt;0, ROUND(N72 - Intereses_Leasing_Mensual!O72, 2), "")</f>
        <v/>
      </c>
      <c r="P72" s="29">
        <f>IF(Intereses_Leasing_Mensual!P72&gt;0, ROUND(O72 - Intereses_Leasing_Mensual!P72, 2), "")</f>
        <v/>
      </c>
      <c r="Q72" s="29">
        <f>IF(Intereses_Leasing_Mensual!Q72&gt;0, ROUND(P72 - Intereses_Leasing_Mensual!Q72, 2), "")</f>
        <v/>
      </c>
      <c r="R72" s="29">
        <f>IF(Intereses_Leasing_Mensual!R72&gt;0, ROUND(Q72 - Intereses_Leasing_Mensual!R72, 2), "")</f>
        <v/>
      </c>
      <c r="S72" s="29">
        <f>IF(Intereses_Leasing_Mensual!S72&gt;0, ROUND(R72 - Intereses_Leasing_Mensual!S72, 2), "")</f>
        <v/>
      </c>
      <c r="T72" s="29">
        <f>IF(Intereses_Leasing_Mensual!T72&gt;0, ROUND(S72 - Intereses_Leasing_Mensual!T72, 2), "")</f>
        <v/>
      </c>
      <c r="U72" s="29">
        <f>MAX(I72:T72)</f>
        <v/>
      </c>
    </row>
    <row r="73">
      <c r="A73" s="20" t="inlineStr">
        <is>
          <t>0616-0003</t>
        </is>
      </c>
      <c r="B73" s="21" t="inlineStr">
        <is>
          <t>Commerce and Technology Connection Sas de Cv</t>
        </is>
      </c>
      <c r="C73" s="21" t="inlineStr">
        <is>
          <t>FASTBACK</t>
        </is>
      </c>
      <c r="D73" s="20" t="inlineStr">
        <is>
          <t>ACTIVO</t>
        </is>
      </c>
      <c r="E73" s="20" t="inlineStr">
        <is>
          <t>2024-02-23</t>
        </is>
      </c>
      <c r="F73" s="20" t="inlineStr">
        <is>
          <t>2027-02-23</t>
        </is>
      </c>
      <c r="G73" s="22" t="n">
        <v>36</v>
      </c>
      <c r="H73" s="23" t="n">
        <v>264580.08</v>
      </c>
      <c r="I73" s="23">
        <f>IF(Intereses_Leasing_Mensual!I73&gt;0, ROUND(65130.14 - Intereses_Leasing_Mensual!I73, 2), "")</f>
        <v/>
      </c>
      <c r="J73" s="23">
        <f>IF(Intereses_Leasing_Mensual!J73&gt;0, ROUND(I73 - Intereses_Leasing_Mensual!J73, 2), "")</f>
        <v/>
      </c>
      <c r="K73" s="23">
        <f>IF(Intereses_Leasing_Mensual!K73&gt;0, ROUND(J73 - Intereses_Leasing_Mensual!K73, 2), "")</f>
        <v/>
      </c>
      <c r="L73" s="23">
        <f>IF(Intereses_Leasing_Mensual!L73&gt;0, ROUND(K73 - Intereses_Leasing_Mensual!L73, 2), "")</f>
        <v/>
      </c>
      <c r="M73" s="23">
        <f>IF(Intereses_Leasing_Mensual!M73&gt;0, ROUND(L73 - Intereses_Leasing_Mensual!M73, 2), "")</f>
        <v/>
      </c>
      <c r="N73" s="23">
        <f>IF(Intereses_Leasing_Mensual!N73&gt;0, ROUND(M73 - Intereses_Leasing_Mensual!N73, 2), "")</f>
        <v/>
      </c>
      <c r="O73" s="23">
        <f>IF(Intereses_Leasing_Mensual!O73&gt;0, ROUND(N73 - Intereses_Leasing_Mensual!O73, 2), "")</f>
        <v/>
      </c>
      <c r="P73" s="23">
        <f>IF(Intereses_Leasing_Mensual!P73&gt;0, ROUND(O73 - Intereses_Leasing_Mensual!P73, 2), "")</f>
        <v/>
      </c>
      <c r="Q73" s="23">
        <f>IF(Intereses_Leasing_Mensual!Q73&gt;0, ROUND(P73 - Intereses_Leasing_Mensual!Q73, 2), "")</f>
        <v/>
      </c>
      <c r="R73" s="23">
        <f>IF(Intereses_Leasing_Mensual!R73&gt;0, ROUND(Q73 - Intereses_Leasing_Mensual!R73, 2), "")</f>
        <v/>
      </c>
      <c r="S73" s="23">
        <f>IF(Intereses_Leasing_Mensual!S73&gt;0, ROUND(R73 - Intereses_Leasing_Mensual!S73, 2), "")</f>
        <v/>
      </c>
      <c r="T73" s="23">
        <f>IF(Intereses_Leasing_Mensual!T73&gt;0, ROUND(S73 - Intereses_Leasing_Mensual!T73, 2), "")</f>
        <v/>
      </c>
      <c r="U73" s="23">
        <f>MAX(I73:T73)</f>
        <v/>
      </c>
    </row>
    <row r="74">
      <c r="A74" s="26" t="inlineStr">
        <is>
          <t>0616-0004</t>
        </is>
      </c>
      <c r="B74" s="27" t="inlineStr">
        <is>
          <t>Commerce and Technology Connections Sas de Cv</t>
        </is>
      </c>
      <c r="C74" s="27" t="inlineStr">
        <is>
          <t>Argo</t>
        </is>
      </c>
      <c r="D74" s="26" t="inlineStr">
        <is>
          <t>ACTIVO</t>
        </is>
      </c>
      <c r="E74" s="26" t="inlineStr">
        <is>
          <t>2024-05-20</t>
        </is>
      </c>
      <c r="F74" s="26" t="inlineStr">
        <is>
          <t>2027-05-20</t>
        </is>
      </c>
      <c r="G74" s="28" t="n">
        <v>36</v>
      </c>
      <c r="H74" s="29" t="n">
        <v>152989.17</v>
      </c>
      <c r="I74" s="29">
        <f>IF(Intereses_Leasing_Mensual!I74&gt;0, ROUND(45402.86 - Intereses_Leasing_Mensual!I74, 2), "")</f>
        <v/>
      </c>
      <c r="J74" s="29">
        <f>IF(Intereses_Leasing_Mensual!J74&gt;0, ROUND(I74 - Intereses_Leasing_Mensual!J74, 2), "")</f>
        <v/>
      </c>
      <c r="K74" s="29">
        <f>IF(Intereses_Leasing_Mensual!K74&gt;0, ROUND(J74 - Intereses_Leasing_Mensual!K74, 2), "")</f>
        <v/>
      </c>
      <c r="L74" s="29">
        <f>IF(Intereses_Leasing_Mensual!L74&gt;0, ROUND(K74 - Intereses_Leasing_Mensual!L74, 2), "")</f>
        <v/>
      </c>
      <c r="M74" s="29">
        <f>IF(Intereses_Leasing_Mensual!M74&gt;0, ROUND(L74 - Intereses_Leasing_Mensual!M74, 2), "")</f>
        <v/>
      </c>
      <c r="N74" s="29">
        <f>IF(Intereses_Leasing_Mensual!N74&gt;0, ROUND(M74 - Intereses_Leasing_Mensual!N74, 2), "")</f>
        <v/>
      </c>
      <c r="O74" s="29">
        <f>IF(Intereses_Leasing_Mensual!O74&gt;0, ROUND(N74 - Intereses_Leasing_Mensual!O74, 2), "")</f>
        <v/>
      </c>
      <c r="P74" s="29">
        <f>IF(Intereses_Leasing_Mensual!P74&gt;0, ROUND(O74 - Intereses_Leasing_Mensual!P74, 2), "")</f>
        <v/>
      </c>
      <c r="Q74" s="29">
        <f>IF(Intereses_Leasing_Mensual!Q74&gt;0, ROUND(P74 - Intereses_Leasing_Mensual!Q74, 2), "")</f>
        <v/>
      </c>
      <c r="R74" s="29">
        <f>IF(Intereses_Leasing_Mensual!R74&gt;0, ROUND(Q74 - Intereses_Leasing_Mensual!R74, 2), "")</f>
        <v/>
      </c>
      <c r="S74" s="29">
        <f>IF(Intereses_Leasing_Mensual!S74&gt;0, ROUND(R74 - Intereses_Leasing_Mensual!S74, 2), "")</f>
        <v/>
      </c>
      <c r="T74" s="29">
        <f>IF(Intereses_Leasing_Mensual!T74&gt;0, ROUND(S74 - Intereses_Leasing_Mensual!T74, 2), "")</f>
        <v/>
      </c>
      <c r="U74" s="29">
        <f>MAX(I74:T74)</f>
        <v/>
      </c>
    </row>
    <row r="75">
      <c r="A75" s="20" t="inlineStr">
        <is>
          <t>0616-0005</t>
        </is>
      </c>
      <c r="B75" s="21" t="inlineStr">
        <is>
          <t>Commerce and Technology Connection Sas de Cv</t>
        </is>
      </c>
      <c r="C75" s="21" t="inlineStr">
        <is>
          <t>Journey GT</t>
        </is>
      </c>
      <c r="D75" s="20" t="inlineStr">
        <is>
          <t>ACTIVO</t>
        </is>
      </c>
      <c r="E75" s="20" t="inlineStr">
        <is>
          <t>2024-07-30</t>
        </is>
      </c>
      <c r="F75" s="20" t="inlineStr">
        <is>
          <t>2027-07-30</t>
        </is>
      </c>
      <c r="G75" s="22" t="n">
        <v>36</v>
      </c>
      <c r="H75" s="23" t="n">
        <v>321505.54</v>
      </c>
      <c r="I75" s="23">
        <f>IF(Intereses_Leasing_Mensual!I75&gt;0, ROUND(122344.82 - Intereses_Leasing_Mensual!I75, 2), "")</f>
        <v/>
      </c>
      <c r="J75" s="23">
        <f>IF(Intereses_Leasing_Mensual!J75&gt;0, ROUND(I75 - Intereses_Leasing_Mensual!J75, 2), "")</f>
        <v/>
      </c>
      <c r="K75" s="23">
        <f>IF(Intereses_Leasing_Mensual!K75&gt;0, ROUND(J75 - Intereses_Leasing_Mensual!K75, 2), "")</f>
        <v/>
      </c>
      <c r="L75" s="23">
        <f>IF(Intereses_Leasing_Mensual!L75&gt;0, ROUND(K75 - Intereses_Leasing_Mensual!L75, 2), "")</f>
        <v/>
      </c>
      <c r="M75" s="23">
        <f>IF(Intereses_Leasing_Mensual!M75&gt;0, ROUND(L75 - Intereses_Leasing_Mensual!M75, 2), "")</f>
        <v/>
      </c>
      <c r="N75" s="23">
        <f>IF(Intereses_Leasing_Mensual!N75&gt;0, ROUND(M75 - Intereses_Leasing_Mensual!N75, 2), "")</f>
        <v/>
      </c>
      <c r="O75" s="23">
        <f>IF(Intereses_Leasing_Mensual!O75&gt;0, ROUND(N75 - Intereses_Leasing_Mensual!O75, 2), "")</f>
        <v/>
      </c>
      <c r="P75" s="23">
        <f>IF(Intereses_Leasing_Mensual!P75&gt;0, ROUND(O75 - Intereses_Leasing_Mensual!P75, 2), "")</f>
        <v/>
      </c>
      <c r="Q75" s="23">
        <f>IF(Intereses_Leasing_Mensual!Q75&gt;0, ROUND(P75 - Intereses_Leasing_Mensual!Q75, 2), "")</f>
        <v/>
      </c>
      <c r="R75" s="23">
        <f>IF(Intereses_Leasing_Mensual!R75&gt;0, ROUND(Q75 - Intereses_Leasing_Mensual!R75, 2), "")</f>
        <v/>
      </c>
      <c r="S75" s="23">
        <f>IF(Intereses_Leasing_Mensual!S75&gt;0, ROUND(R75 - Intereses_Leasing_Mensual!S75, 2), "")</f>
        <v/>
      </c>
      <c r="T75" s="23">
        <f>IF(Intereses_Leasing_Mensual!T75&gt;0, ROUND(S75 - Intereses_Leasing_Mensual!T75, 2), "")</f>
        <v/>
      </c>
      <c r="U75" s="23">
        <f>MAX(I75:T75)</f>
        <v/>
      </c>
    </row>
    <row r="76">
      <c r="A76" s="26" t="inlineStr">
        <is>
          <t>0618-0001</t>
        </is>
      </c>
      <c r="B76" s="27" t="inlineStr">
        <is>
          <t>Juan Pablo Rodriguez Garcia</t>
        </is>
      </c>
      <c r="C76" s="27" t="inlineStr">
        <is>
          <t>JT MOJAVE</t>
        </is>
      </c>
      <c r="D76" s="26" t="inlineStr">
        <is>
          <t>ACTIVO</t>
        </is>
      </c>
      <c r="E76" s="26" t="inlineStr">
        <is>
          <t>2023-06-16</t>
        </is>
      </c>
      <c r="F76" s="26" t="inlineStr">
        <is>
          <t>2027-06-16</t>
        </is>
      </c>
      <c r="G76" s="28" t="n">
        <v>48</v>
      </c>
      <c r="H76" s="29" t="n">
        <v>1232756.66</v>
      </c>
      <c r="I76" s="29">
        <f>IF(Intereses_Leasing_Mensual!I76&gt;0, ROUND(280884.32 - Intereses_Leasing_Mensual!I76, 2), "")</f>
        <v/>
      </c>
      <c r="J76" s="29">
        <f>IF(Intereses_Leasing_Mensual!J76&gt;0, ROUND(I76 - Intereses_Leasing_Mensual!J76, 2), "")</f>
        <v/>
      </c>
      <c r="K76" s="29">
        <f>IF(Intereses_Leasing_Mensual!K76&gt;0, ROUND(J76 - Intereses_Leasing_Mensual!K76, 2), "")</f>
        <v/>
      </c>
      <c r="L76" s="29">
        <f>IF(Intereses_Leasing_Mensual!L76&gt;0, ROUND(K76 - Intereses_Leasing_Mensual!L76, 2), "")</f>
        <v/>
      </c>
      <c r="M76" s="29">
        <f>IF(Intereses_Leasing_Mensual!M76&gt;0, ROUND(L76 - Intereses_Leasing_Mensual!M76, 2), "")</f>
        <v/>
      </c>
      <c r="N76" s="29">
        <f>IF(Intereses_Leasing_Mensual!N76&gt;0, ROUND(M76 - Intereses_Leasing_Mensual!N76, 2), "")</f>
        <v/>
      </c>
      <c r="O76" s="29">
        <f>IF(Intereses_Leasing_Mensual!O76&gt;0, ROUND(N76 - Intereses_Leasing_Mensual!O76, 2), "")</f>
        <v/>
      </c>
      <c r="P76" s="29">
        <f>IF(Intereses_Leasing_Mensual!P76&gt;0, ROUND(O76 - Intereses_Leasing_Mensual!P76, 2), "")</f>
        <v/>
      </c>
      <c r="Q76" s="29">
        <f>IF(Intereses_Leasing_Mensual!Q76&gt;0, ROUND(P76 - Intereses_Leasing_Mensual!Q76, 2), "")</f>
        <v/>
      </c>
      <c r="R76" s="29">
        <f>IF(Intereses_Leasing_Mensual!R76&gt;0, ROUND(Q76 - Intereses_Leasing_Mensual!R76, 2), "")</f>
        <v/>
      </c>
      <c r="S76" s="29">
        <f>IF(Intereses_Leasing_Mensual!S76&gt;0, ROUND(R76 - Intereses_Leasing_Mensual!S76, 2), "")</f>
        <v/>
      </c>
      <c r="T76" s="29">
        <f>IF(Intereses_Leasing_Mensual!T76&gt;0, ROUND(S76 - Intereses_Leasing_Mensual!T76, 2), "")</f>
        <v/>
      </c>
      <c r="U76" s="29">
        <f>MAX(I76:T76)</f>
        <v/>
      </c>
    </row>
    <row r="77">
      <c r="A77" s="20" t="inlineStr">
        <is>
          <t>0619-0002</t>
        </is>
      </c>
      <c r="B77" s="21" t="inlineStr">
        <is>
          <t>Horacio de la Vega Flores</t>
        </is>
      </c>
      <c r="C77" s="21" t="inlineStr">
        <is>
          <t>Bronco Sport</t>
        </is>
      </c>
      <c r="D77" s="20" t="inlineStr">
        <is>
          <t>ACTIVO</t>
        </is>
      </c>
      <c r="E77" s="20" t="inlineStr">
        <is>
          <t>2025-09-11</t>
        </is>
      </c>
      <c r="F77" s="20" t="inlineStr">
        <is>
          <t>2028-09-11</t>
        </is>
      </c>
      <c r="G77" s="22" t="n">
        <v>36</v>
      </c>
      <c r="H77" s="23" t="n">
        <v>196560.71</v>
      </c>
      <c r="I77" s="23">
        <f>IF(Intereses_Leasing_Mensual!I77&gt;0, ROUND(162782.47 - Intereses_Leasing_Mensual!I77, 2), "")</f>
        <v/>
      </c>
      <c r="J77" s="23">
        <f>IF(Intereses_Leasing_Mensual!J77&gt;0, ROUND(I77 - Intereses_Leasing_Mensual!J77, 2), "")</f>
        <v/>
      </c>
      <c r="K77" s="23">
        <f>IF(Intereses_Leasing_Mensual!K77&gt;0, ROUND(J77 - Intereses_Leasing_Mensual!K77, 2), "")</f>
        <v/>
      </c>
      <c r="L77" s="23">
        <f>IF(Intereses_Leasing_Mensual!L77&gt;0, ROUND(K77 - Intereses_Leasing_Mensual!L77, 2), "")</f>
        <v/>
      </c>
      <c r="M77" s="23">
        <f>IF(Intereses_Leasing_Mensual!M77&gt;0, ROUND(L77 - Intereses_Leasing_Mensual!M77, 2), "")</f>
        <v/>
      </c>
      <c r="N77" s="23">
        <f>IF(Intereses_Leasing_Mensual!N77&gt;0, ROUND(M77 - Intereses_Leasing_Mensual!N77, 2), "")</f>
        <v/>
      </c>
      <c r="O77" s="23">
        <f>IF(Intereses_Leasing_Mensual!O77&gt;0, ROUND(N77 - Intereses_Leasing_Mensual!O77, 2), "")</f>
        <v/>
      </c>
      <c r="P77" s="23">
        <f>IF(Intereses_Leasing_Mensual!P77&gt;0, ROUND(O77 - Intereses_Leasing_Mensual!P77, 2), "")</f>
        <v/>
      </c>
      <c r="Q77" s="23">
        <f>IF(Intereses_Leasing_Mensual!Q77&gt;0, ROUND(P77 - Intereses_Leasing_Mensual!Q77, 2), "")</f>
        <v/>
      </c>
      <c r="R77" s="23">
        <f>IF(Intereses_Leasing_Mensual!R77&gt;0, ROUND(Q77 - Intereses_Leasing_Mensual!R77, 2), "")</f>
        <v/>
      </c>
      <c r="S77" s="23">
        <f>IF(Intereses_Leasing_Mensual!S77&gt;0, ROUND(R77 - Intereses_Leasing_Mensual!S77, 2), "")</f>
        <v/>
      </c>
      <c r="T77" s="23">
        <f>IF(Intereses_Leasing_Mensual!T77&gt;0, ROUND(S77 - Intereses_Leasing_Mensual!T77, 2), "")</f>
        <v/>
      </c>
      <c r="U77" s="23">
        <f>MAX(I77:T77)</f>
        <v/>
      </c>
    </row>
    <row r="78">
      <c r="A78" s="26" t="inlineStr">
        <is>
          <t>0620-0001</t>
        </is>
      </c>
      <c r="B78" s="27" t="inlineStr">
        <is>
          <t>Desarrollos Romo Srl de Cv</t>
        </is>
      </c>
      <c r="C78" s="27" t="inlineStr">
        <is>
          <t>RAM 700 BIG HORN</t>
        </is>
      </c>
      <c r="D78" s="26" t="inlineStr">
        <is>
          <t>ACTIVO</t>
        </is>
      </c>
      <c r="E78" s="26" t="inlineStr">
        <is>
          <t>2023-07-20</t>
        </is>
      </c>
      <c r="F78" s="26" t="inlineStr">
        <is>
          <t>2027-07-20</t>
        </is>
      </c>
      <c r="G78" s="28" t="n">
        <v>48</v>
      </c>
      <c r="H78" s="29" t="n">
        <v>335651.12</v>
      </c>
      <c r="I78" s="29">
        <f>IF(Intereses_Leasing_Mensual!I78&gt;0, ROUND(83561.88 - Intereses_Leasing_Mensual!I78, 2), "")</f>
        <v/>
      </c>
      <c r="J78" s="29">
        <f>IF(Intereses_Leasing_Mensual!J78&gt;0, ROUND(I78 - Intereses_Leasing_Mensual!J78, 2), "")</f>
        <v/>
      </c>
      <c r="K78" s="29">
        <f>IF(Intereses_Leasing_Mensual!K78&gt;0, ROUND(J78 - Intereses_Leasing_Mensual!K78, 2), "")</f>
        <v/>
      </c>
      <c r="L78" s="29">
        <f>IF(Intereses_Leasing_Mensual!L78&gt;0, ROUND(K78 - Intereses_Leasing_Mensual!L78, 2), "")</f>
        <v/>
      </c>
      <c r="M78" s="29">
        <f>IF(Intereses_Leasing_Mensual!M78&gt;0, ROUND(L78 - Intereses_Leasing_Mensual!M78, 2), "")</f>
        <v/>
      </c>
      <c r="N78" s="29">
        <f>IF(Intereses_Leasing_Mensual!N78&gt;0, ROUND(M78 - Intereses_Leasing_Mensual!N78, 2), "")</f>
        <v/>
      </c>
      <c r="O78" s="29">
        <f>IF(Intereses_Leasing_Mensual!O78&gt;0, ROUND(N78 - Intereses_Leasing_Mensual!O78, 2), "")</f>
        <v/>
      </c>
      <c r="P78" s="29">
        <f>IF(Intereses_Leasing_Mensual!P78&gt;0, ROUND(O78 - Intereses_Leasing_Mensual!P78, 2), "")</f>
        <v/>
      </c>
      <c r="Q78" s="29">
        <f>IF(Intereses_Leasing_Mensual!Q78&gt;0, ROUND(P78 - Intereses_Leasing_Mensual!Q78, 2), "")</f>
        <v/>
      </c>
      <c r="R78" s="29">
        <f>IF(Intereses_Leasing_Mensual!R78&gt;0, ROUND(Q78 - Intereses_Leasing_Mensual!R78, 2), "")</f>
        <v/>
      </c>
      <c r="S78" s="29">
        <f>IF(Intereses_Leasing_Mensual!S78&gt;0, ROUND(R78 - Intereses_Leasing_Mensual!S78, 2), "")</f>
        <v/>
      </c>
      <c r="T78" s="29">
        <f>IF(Intereses_Leasing_Mensual!T78&gt;0, ROUND(S78 - Intereses_Leasing_Mensual!T78, 2), "")</f>
        <v/>
      </c>
      <c r="U78" s="29">
        <f>MAX(I78:T78)</f>
        <v/>
      </c>
    </row>
    <row r="79">
      <c r="A79" s="20" t="inlineStr">
        <is>
          <t>0620-0002</t>
        </is>
      </c>
      <c r="B79" s="21" t="inlineStr">
        <is>
          <t>Desarrollos Romo Srl de Cv</t>
        </is>
      </c>
      <c r="C79" s="21" t="inlineStr">
        <is>
          <t>RAM 700 BIG HORN</t>
        </is>
      </c>
      <c r="D79" s="20" t="inlineStr">
        <is>
          <t>ACTIVO</t>
        </is>
      </c>
      <c r="E79" s="20" t="inlineStr">
        <is>
          <t>2023-07-20</t>
        </is>
      </c>
      <c r="F79" s="20" t="inlineStr">
        <is>
          <t>2027-07-20</t>
        </is>
      </c>
      <c r="G79" s="22" t="n">
        <v>48</v>
      </c>
      <c r="H79" s="23" t="n">
        <v>335651.12</v>
      </c>
      <c r="I79" s="23">
        <f>IF(Intereses_Leasing_Mensual!I79&gt;0, ROUND(83561.88 - Intereses_Leasing_Mensual!I79, 2), "")</f>
        <v/>
      </c>
      <c r="J79" s="23">
        <f>IF(Intereses_Leasing_Mensual!J79&gt;0, ROUND(I79 - Intereses_Leasing_Mensual!J79, 2), "")</f>
        <v/>
      </c>
      <c r="K79" s="23">
        <f>IF(Intereses_Leasing_Mensual!K79&gt;0, ROUND(J79 - Intereses_Leasing_Mensual!K79, 2), "")</f>
        <v/>
      </c>
      <c r="L79" s="23">
        <f>IF(Intereses_Leasing_Mensual!L79&gt;0, ROUND(K79 - Intereses_Leasing_Mensual!L79, 2), "")</f>
        <v/>
      </c>
      <c r="M79" s="23">
        <f>IF(Intereses_Leasing_Mensual!M79&gt;0, ROUND(L79 - Intereses_Leasing_Mensual!M79, 2), "")</f>
        <v/>
      </c>
      <c r="N79" s="23">
        <f>IF(Intereses_Leasing_Mensual!N79&gt;0, ROUND(M79 - Intereses_Leasing_Mensual!N79, 2), "")</f>
        <v/>
      </c>
      <c r="O79" s="23">
        <f>IF(Intereses_Leasing_Mensual!O79&gt;0, ROUND(N79 - Intereses_Leasing_Mensual!O79, 2), "")</f>
        <v/>
      </c>
      <c r="P79" s="23">
        <f>IF(Intereses_Leasing_Mensual!P79&gt;0, ROUND(O79 - Intereses_Leasing_Mensual!P79, 2), "")</f>
        <v/>
      </c>
      <c r="Q79" s="23">
        <f>IF(Intereses_Leasing_Mensual!Q79&gt;0, ROUND(P79 - Intereses_Leasing_Mensual!Q79, 2), "")</f>
        <v/>
      </c>
      <c r="R79" s="23">
        <f>IF(Intereses_Leasing_Mensual!R79&gt;0, ROUND(Q79 - Intereses_Leasing_Mensual!R79, 2), "")</f>
        <v/>
      </c>
      <c r="S79" s="23">
        <f>IF(Intereses_Leasing_Mensual!S79&gt;0, ROUND(R79 - Intereses_Leasing_Mensual!S79, 2), "")</f>
        <v/>
      </c>
      <c r="T79" s="23">
        <f>IF(Intereses_Leasing_Mensual!T79&gt;0, ROUND(S79 - Intereses_Leasing_Mensual!T79, 2), "")</f>
        <v/>
      </c>
      <c r="U79" s="23">
        <f>MAX(I79:T79)</f>
        <v/>
      </c>
    </row>
    <row r="80">
      <c r="A80" s="26" t="inlineStr">
        <is>
          <t>0621-0008</t>
        </is>
      </c>
      <c r="B80" s="27" t="inlineStr">
        <is>
          <t>Luis Alberto Ponce Ruiz</t>
        </is>
      </c>
      <c r="C80" s="27" t="inlineStr">
        <is>
          <t>Hilux</t>
        </is>
      </c>
      <c r="D80" s="26" t="inlineStr">
        <is>
          <t>ACTIVO</t>
        </is>
      </c>
      <c r="E80" s="26" t="inlineStr">
        <is>
          <t>2025-10-30</t>
        </is>
      </c>
      <c r="F80" s="26" t="inlineStr">
        <is>
          <t>2026-10-30</t>
        </is>
      </c>
      <c r="G80" s="28" t="n">
        <v>12</v>
      </c>
      <c r="H80" s="29" t="n">
        <v>47525.77</v>
      </c>
      <c r="I80" s="29">
        <f>IF(Intereses_Leasing_Mensual!I80&gt;0, ROUND(30036.69 - Intereses_Leasing_Mensual!I80, 2), "")</f>
        <v/>
      </c>
      <c r="J80" s="29">
        <f>IF(Intereses_Leasing_Mensual!J80&gt;0, ROUND(I80 - Intereses_Leasing_Mensual!J80, 2), "")</f>
        <v/>
      </c>
      <c r="K80" s="29">
        <f>IF(Intereses_Leasing_Mensual!K80&gt;0, ROUND(J80 - Intereses_Leasing_Mensual!K80, 2), "")</f>
        <v/>
      </c>
      <c r="L80" s="29">
        <f>IF(Intereses_Leasing_Mensual!L80&gt;0, ROUND(K80 - Intereses_Leasing_Mensual!L80, 2), "")</f>
        <v/>
      </c>
      <c r="M80" s="29">
        <f>IF(Intereses_Leasing_Mensual!M80&gt;0, ROUND(L80 - Intereses_Leasing_Mensual!M80, 2), "")</f>
        <v/>
      </c>
      <c r="N80" s="29">
        <f>IF(Intereses_Leasing_Mensual!N80&gt;0, ROUND(M80 - Intereses_Leasing_Mensual!N80, 2), "")</f>
        <v/>
      </c>
      <c r="O80" s="29">
        <f>IF(Intereses_Leasing_Mensual!O80&gt;0, ROUND(N80 - Intereses_Leasing_Mensual!O80, 2), "")</f>
        <v/>
      </c>
      <c r="P80" s="29">
        <f>IF(Intereses_Leasing_Mensual!P80&gt;0, ROUND(O80 - Intereses_Leasing_Mensual!P80, 2), "")</f>
        <v/>
      </c>
      <c r="Q80" s="29">
        <f>IF(Intereses_Leasing_Mensual!Q80&gt;0, ROUND(P80 - Intereses_Leasing_Mensual!Q80, 2), "")</f>
        <v/>
      </c>
      <c r="R80" s="29" t="inlineStr"/>
      <c r="S80" s="29" t="inlineStr"/>
      <c r="T80" s="29" t="inlineStr"/>
      <c r="U80" s="29">
        <f>MAX(I80:T80)</f>
        <v/>
      </c>
    </row>
    <row r="81">
      <c r="A81" s="20" t="inlineStr">
        <is>
          <t>0623-0001</t>
        </is>
      </c>
      <c r="B81" s="21" t="inlineStr">
        <is>
          <t>Seguridad y Automatismos Profesionales de Occidente S de SRL de Cv</t>
        </is>
      </c>
      <c r="C81" s="21" t="inlineStr">
        <is>
          <t>RAM 700 BIG HORN</t>
        </is>
      </c>
      <c r="D81" s="20" t="inlineStr">
        <is>
          <t>ACTIVO</t>
        </is>
      </c>
      <c r="E81" s="20" t="inlineStr">
        <is>
          <t>2023-07-31</t>
        </is>
      </c>
      <c r="F81" s="20" t="inlineStr">
        <is>
          <t>2027-07-31</t>
        </is>
      </c>
      <c r="G81" s="22" t="n">
        <v>48</v>
      </c>
      <c r="H81" s="23" t="n">
        <v>314870.9</v>
      </c>
      <c r="I81" s="23">
        <f>IF(Intereses_Leasing_Mensual!I81&gt;0, ROUND(77909.51 - Intereses_Leasing_Mensual!I81, 2), "")</f>
        <v/>
      </c>
      <c r="J81" s="23">
        <f>IF(Intereses_Leasing_Mensual!J81&gt;0, ROUND(I81 - Intereses_Leasing_Mensual!J81, 2), "")</f>
        <v/>
      </c>
      <c r="K81" s="23">
        <f>IF(Intereses_Leasing_Mensual!K81&gt;0, ROUND(J81 - Intereses_Leasing_Mensual!K81, 2), "")</f>
        <v/>
      </c>
      <c r="L81" s="23">
        <f>IF(Intereses_Leasing_Mensual!L81&gt;0, ROUND(K81 - Intereses_Leasing_Mensual!L81, 2), "")</f>
        <v/>
      </c>
      <c r="M81" s="23">
        <f>IF(Intereses_Leasing_Mensual!M81&gt;0, ROUND(L81 - Intereses_Leasing_Mensual!M81, 2), "")</f>
        <v/>
      </c>
      <c r="N81" s="23">
        <f>IF(Intereses_Leasing_Mensual!N81&gt;0, ROUND(M81 - Intereses_Leasing_Mensual!N81, 2), "")</f>
        <v/>
      </c>
      <c r="O81" s="23">
        <f>IF(Intereses_Leasing_Mensual!O81&gt;0, ROUND(N81 - Intereses_Leasing_Mensual!O81, 2), "")</f>
        <v/>
      </c>
      <c r="P81" s="23">
        <f>IF(Intereses_Leasing_Mensual!P81&gt;0, ROUND(O81 - Intereses_Leasing_Mensual!P81, 2), "")</f>
        <v/>
      </c>
      <c r="Q81" s="23">
        <f>IF(Intereses_Leasing_Mensual!Q81&gt;0, ROUND(P81 - Intereses_Leasing_Mensual!Q81, 2), "")</f>
        <v/>
      </c>
      <c r="R81" s="23">
        <f>IF(Intereses_Leasing_Mensual!R81&gt;0, ROUND(Q81 - Intereses_Leasing_Mensual!R81, 2), "")</f>
        <v/>
      </c>
      <c r="S81" s="23">
        <f>IF(Intereses_Leasing_Mensual!S81&gt;0, ROUND(R81 - Intereses_Leasing_Mensual!S81, 2), "")</f>
        <v/>
      </c>
      <c r="T81" s="23">
        <f>IF(Intereses_Leasing_Mensual!T81&gt;0, ROUND(S81 - Intereses_Leasing_Mensual!T81, 2), "")</f>
        <v/>
      </c>
      <c r="U81" s="23">
        <f>MAX(I81:T81)</f>
        <v/>
      </c>
    </row>
    <row r="82">
      <c r="A82" s="26" t="inlineStr">
        <is>
          <t>0626-0001</t>
        </is>
      </c>
      <c r="B82" s="27" t="inlineStr">
        <is>
          <t>Hugo Ceja Moreno</t>
        </is>
      </c>
      <c r="C82" s="27" t="inlineStr">
        <is>
          <t>JT MOJAVE</t>
        </is>
      </c>
      <c r="D82" s="26" t="inlineStr">
        <is>
          <t>ACTIVO</t>
        </is>
      </c>
      <c r="E82" s="26" t="inlineStr">
        <is>
          <t>2023-08-18</t>
        </is>
      </c>
      <c r="F82" s="26" t="inlineStr">
        <is>
          <t>2027-08-18</t>
        </is>
      </c>
      <c r="G82" s="28" t="n">
        <v>48</v>
      </c>
      <c r="H82" s="29" t="n">
        <v>643063.77</v>
      </c>
      <c r="I82" s="29">
        <f>IF(Intereses_Leasing_Mensual!I82&gt;0, ROUND(163200.79 - Intereses_Leasing_Mensual!I82, 2), "")</f>
        <v/>
      </c>
      <c r="J82" s="29">
        <f>IF(Intereses_Leasing_Mensual!J82&gt;0, ROUND(I82 - Intereses_Leasing_Mensual!J82, 2), "")</f>
        <v/>
      </c>
      <c r="K82" s="29">
        <f>IF(Intereses_Leasing_Mensual!K82&gt;0, ROUND(J82 - Intereses_Leasing_Mensual!K82, 2), "")</f>
        <v/>
      </c>
      <c r="L82" s="29">
        <f>IF(Intereses_Leasing_Mensual!L82&gt;0, ROUND(K82 - Intereses_Leasing_Mensual!L82, 2), "")</f>
        <v/>
      </c>
      <c r="M82" s="29">
        <f>IF(Intereses_Leasing_Mensual!M82&gt;0, ROUND(L82 - Intereses_Leasing_Mensual!M82, 2), "")</f>
        <v/>
      </c>
      <c r="N82" s="29">
        <f>IF(Intereses_Leasing_Mensual!N82&gt;0, ROUND(M82 - Intereses_Leasing_Mensual!N82, 2), "")</f>
        <v/>
      </c>
      <c r="O82" s="29">
        <f>IF(Intereses_Leasing_Mensual!O82&gt;0, ROUND(N82 - Intereses_Leasing_Mensual!O82, 2), "")</f>
        <v/>
      </c>
      <c r="P82" s="29">
        <f>IF(Intereses_Leasing_Mensual!P82&gt;0, ROUND(O82 - Intereses_Leasing_Mensual!P82, 2), "")</f>
        <v/>
      </c>
      <c r="Q82" s="29">
        <f>IF(Intereses_Leasing_Mensual!Q82&gt;0, ROUND(P82 - Intereses_Leasing_Mensual!Q82, 2), "")</f>
        <v/>
      </c>
      <c r="R82" s="29">
        <f>IF(Intereses_Leasing_Mensual!R82&gt;0, ROUND(Q82 - Intereses_Leasing_Mensual!R82, 2), "")</f>
        <v/>
      </c>
      <c r="S82" s="29">
        <f>IF(Intereses_Leasing_Mensual!S82&gt;0, ROUND(R82 - Intereses_Leasing_Mensual!S82, 2), "")</f>
        <v/>
      </c>
      <c r="T82" s="29">
        <f>IF(Intereses_Leasing_Mensual!T82&gt;0, ROUND(S82 - Intereses_Leasing_Mensual!T82, 2), "")</f>
        <v/>
      </c>
      <c r="U82" s="29">
        <f>MAX(I82:T82)</f>
        <v/>
      </c>
    </row>
    <row r="83">
      <c r="A83" s="20" t="inlineStr">
        <is>
          <t>0632-0004</t>
        </is>
      </c>
      <c r="B83" s="21" t="inlineStr">
        <is>
          <t>Art &amp; Sourcing Sa de Cv</t>
        </is>
      </c>
      <c r="C83" s="21" t="inlineStr">
        <is>
          <t>Ram 700 Tradesman</t>
        </is>
      </c>
      <c r="D83" s="20" t="inlineStr">
        <is>
          <t>ACTIVO</t>
        </is>
      </c>
      <c r="E83" s="20" t="inlineStr">
        <is>
          <t>2025-05-15</t>
        </is>
      </c>
      <c r="F83" s="20" t="inlineStr">
        <is>
          <t>2029-05-15</t>
        </is>
      </c>
      <c r="G83" s="22" t="n">
        <v>48</v>
      </c>
      <c r="H83" s="23" t="n">
        <v>250847.15</v>
      </c>
      <c r="I83" s="23">
        <f>IF(Intereses_Leasing_Mensual!I83&gt;0, ROUND(189559.72 - Intereses_Leasing_Mensual!I83, 2), "")</f>
        <v/>
      </c>
      <c r="J83" s="23">
        <f>IF(Intereses_Leasing_Mensual!J83&gt;0, ROUND(I83 - Intereses_Leasing_Mensual!J83, 2), "")</f>
        <v/>
      </c>
      <c r="K83" s="23">
        <f>IF(Intereses_Leasing_Mensual!K83&gt;0, ROUND(J83 - Intereses_Leasing_Mensual!K83, 2), "")</f>
        <v/>
      </c>
      <c r="L83" s="23">
        <f>IF(Intereses_Leasing_Mensual!L83&gt;0, ROUND(K83 - Intereses_Leasing_Mensual!L83, 2), "")</f>
        <v/>
      </c>
      <c r="M83" s="23">
        <f>IF(Intereses_Leasing_Mensual!M83&gt;0, ROUND(L83 - Intereses_Leasing_Mensual!M83, 2), "")</f>
        <v/>
      </c>
      <c r="N83" s="23">
        <f>IF(Intereses_Leasing_Mensual!N83&gt;0, ROUND(M83 - Intereses_Leasing_Mensual!N83, 2), "")</f>
        <v/>
      </c>
      <c r="O83" s="23">
        <f>IF(Intereses_Leasing_Mensual!O83&gt;0, ROUND(N83 - Intereses_Leasing_Mensual!O83, 2), "")</f>
        <v/>
      </c>
      <c r="P83" s="23">
        <f>IF(Intereses_Leasing_Mensual!P83&gt;0, ROUND(O83 - Intereses_Leasing_Mensual!P83, 2), "")</f>
        <v/>
      </c>
      <c r="Q83" s="23">
        <f>IF(Intereses_Leasing_Mensual!Q83&gt;0, ROUND(P83 - Intereses_Leasing_Mensual!Q83, 2), "")</f>
        <v/>
      </c>
      <c r="R83" s="23">
        <f>IF(Intereses_Leasing_Mensual!R83&gt;0, ROUND(Q83 - Intereses_Leasing_Mensual!R83, 2), "")</f>
        <v/>
      </c>
      <c r="S83" s="23">
        <f>IF(Intereses_Leasing_Mensual!S83&gt;0, ROUND(R83 - Intereses_Leasing_Mensual!S83, 2), "")</f>
        <v/>
      </c>
      <c r="T83" s="23">
        <f>IF(Intereses_Leasing_Mensual!T83&gt;0, ROUND(S83 - Intereses_Leasing_Mensual!T83, 2), "")</f>
        <v/>
      </c>
      <c r="U83" s="23">
        <f>MAX(I83:T83)</f>
        <v/>
      </c>
    </row>
    <row r="84">
      <c r="A84" s="26" t="inlineStr">
        <is>
          <t>0632-0005</t>
        </is>
      </c>
      <c r="B84" s="27" t="inlineStr">
        <is>
          <t>Art &amp; Sourcing Sa de Cv</t>
        </is>
      </c>
      <c r="C84" s="27" t="inlineStr">
        <is>
          <t>Ram 700</t>
        </is>
      </c>
      <c r="D84" s="26" t="inlineStr">
        <is>
          <t>ACTIVO</t>
        </is>
      </c>
      <c r="E84" s="26" t="inlineStr">
        <is>
          <t>2025-11-25</t>
        </is>
      </c>
      <c r="F84" s="26" t="inlineStr">
        <is>
          <t>2027-11-25</t>
        </is>
      </c>
      <c r="G84" s="28" t="n">
        <v>24</v>
      </c>
      <c r="H84" s="29" t="n">
        <v>104148.15</v>
      </c>
      <c r="I84" s="29">
        <f>IF(Intereses_Leasing_Mensual!I84&gt;0, ROUND(91511.86 - Intereses_Leasing_Mensual!I84, 2), "")</f>
        <v/>
      </c>
      <c r="J84" s="29">
        <f>IF(Intereses_Leasing_Mensual!J84&gt;0, ROUND(I84 - Intereses_Leasing_Mensual!J84, 2), "")</f>
        <v/>
      </c>
      <c r="K84" s="29">
        <f>IF(Intereses_Leasing_Mensual!K84&gt;0, ROUND(J84 - Intereses_Leasing_Mensual!K84, 2), "")</f>
        <v/>
      </c>
      <c r="L84" s="29">
        <f>IF(Intereses_Leasing_Mensual!L84&gt;0, ROUND(K84 - Intereses_Leasing_Mensual!L84, 2), "")</f>
        <v/>
      </c>
      <c r="M84" s="29">
        <f>IF(Intereses_Leasing_Mensual!M84&gt;0, ROUND(L84 - Intereses_Leasing_Mensual!M84, 2), "")</f>
        <v/>
      </c>
      <c r="N84" s="29">
        <f>IF(Intereses_Leasing_Mensual!N84&gt;0, ROUND(M84 - Intereses_Leasing_Mensual!N84, 2), "")</f>
        <v/>
      </c>
      <c r="O84" s="29">
        <f>IF(Intereses_Leasing_Mensual!O84&gt;0, ROUND(N84 - Intereses_Leasing_Mensual!O84, 2), "")</f>
        <v/>
      </c>
      <c r="P84" s="29">
        <f>IF(Intereses_Leasing_Mensual!P84&gt;0, ROUND(O84 - Intereses_Leasing_Mensual!P84, 2), "")</f>
        <v/>
      </c>
      <c r="Q84" s="29">
        <f>IF(Intereses_Leasing_Mensual!Q84&gt;0, ROUND(P84 - Intereses_Leasing_Mensual!Q84, 2), "")</f>
        <v/>
      </c>
      <c r="R84" s="29">
        <f>IF(Intereses_Leasing_Mensual!R84&gt;0, ROUND(Q84 - Intereses_Leasing_Mensual!R84, 2), "")</f>
        <v/>
      </c>
      <c r="S84" s="29">
        <f>IF(Intereses_Leasing_Mensual!S84&gt;0, ROUND(R84 - Intereses_Leasing_Mensual!S84, 2), "")</f>
        <v/>
      </c>
      <c r="T84" s="29">
        <f>IF(Intereses_Leasing_Mensual!T84&gt;0, ROUND(S84 - Intereses_Leasing_Mensual!T84, 2), "")</f>
        <v/>
      </c>
      <c r="U84" s="29">
        <f>MAX(I84:T84)</f>
        <v/>
      </c>
    </row>
    <row r="85">
      <c r="A85" s="20" t="inlineStr">
        <is>
          <t>0632-0006</t>
        </is>
      </c>
      <c r="B85" s="21" t="inlineStr">
        <is>
          <t>Art &amp; Sourcing Sa de Cv</t>
        </is>
      </c>
      <c r="C85" s="21" t="inlineStr">
        <is>
          <t>Mirage</t>
        </is>
      </c>
      <c r="D85" s="20" t="inlineStr">
        <is>
          <t>ACTIVO</t>
        </is>
      </c>
      <c r="E85" s="20" t="inlineStr">
        <is>
          <t>2025-11-25</t>
        </is>
      </c>
      <c r="F85" s="20" t="inlineStr">
        <is>
          <t>2027-11-25</t>
        </is>
      </c>
      <c r="G85" s="22" t="n">
        <v>24</v>
      </c>
      <c r="H85" s="23" t="n">
        <v>87673.88</v>
      </c>
      <c r="I85" s="23">
        <f>IF(Intereses_Leasing_Mensual!I85&gt;0, ROUND(77035.14 - Intereses_Leasing_Mensual!I85, 2), "")</f>
        <v/>
      </c>
      <c r="J85" s="23">
        <f>IF(Intereses_Leasing_Mensual!J85&gt;0, ROUND(I85 - Intereses_Leasing_Mensual!J85, 2), "")</f>
        <v/>
      </c>
      <c r="K85" s="23">
        <f>IF(Intereses_Leasing_Mensual!K85&gt;0, ROUND(J85 - Intereses_Leasing_Mensual!K85, 2), "")</f>
        <v/>
      </c>
      <c r="L85" s="23">
        <f>IF(Intereses_Leasing_Mensual!L85&gt;0, ROUND(K85 - Intereses_Leasing_Mensual!L85, 2), "")</f>
        <v/>
      </c>
      <c r="M85" s="23">
        <f>IF(Intereses_Leasing_Mensual!M85&gt;0, ROUND(L85 - Intereses_Leasing_Mensual!M85, 2), "")</f>
        <v/>
      </c>
      <c r="N85" s="23">
        <f>IF(Intereses_Leasing_Mensual!N85&gt;0, ROUND(M85 - Intereses_Leasing_Mensual!N85, 2), "")</f>
        <v/>
      </c>
      <c r="O85" s="23">
        <f>IF(Intereses_Leasing_Mensual!O85&gt;0, ROUND(N85 - Intereses_Leasing_Mensual!O85, 2), "")</f>
        <v/>
      </c>
      <c r="P85" s="23">
        <f>IF(Intereses_Leasing_Mensual!P85&gt;0, ROUND(O85 - Intereses_Leasing_Mensual!P85, 2), "")</f>
        <v/>
      </c>
      <c r="Q85" s="23">
        <f>IF(Intereses_Leasing_Mensual!Q85&gt;0, ROUND(P85 - Intereses_Leasing_Mensual!Q85, 2), "")</f>
        <v/>
      </c>
      <c r="R85" s="23">
        <f>IF(Intereses_Leasing_Mensual!R85&gt;0, ROUND(Q85 - Intereses_Leasing_Mensual!R85, 2), "")</f>
        <v/>
      </c>
      <c r="S85" s="23">
        <f>IF(Intereses_Leasing_Mensual!S85&gt;0, ROUND(R85 - Intereses_Leasing_Mensual!S85, 2), "")</f>
        <v/>
      </c>
      <c r="T85" s="23">
        <f>IF(Intereses_Leasing_Mensual!T85&gt;0, ROUND(S85 - Intereses_Leasing_Mensual!T85, 2), "")</f>
        <v/>
      </c>
      <c r="U85" s="23">
        <f>MAX(I85:T85)</f>
        <v/>
      </c>
    </row>
    <row r="86">
      <c r="A86" s="26" t="inlineStr">
        <is>
          <t>0632-0007</t>
        </is>
      </c>
      <c r="B86" s="27" t="inlineStr">
        <is>
          <t>Art &amp; Sourcing Sa de Cv</t>
        </is>
      </c>
      <c r="C86" s="27" t="inlineStr">
        <is>
          <t>JAC Camión X350 2026</t>
        </is>
      </c>
      <c r="D86" s="26" t="inlineStr">
        <is>
          <t>ACTIVO</t>
        </is>
      </c>
      <c r="E86" s="26" t="inlineStr">
        <is>
          <t>2026-08-24</t>
        </is>
      </c>
      <c r="F86" s="26" t="inlineStr">
        <is>
          <t>2028-08-24</t>
        </is>
      </c>
      <c r="G86" s="28" t="n">
        <v>24</v>
      </c>
      <c r="H86" s="29" t="n">
        <v>177213.46</v>
      </c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>
        <f>IF(Intereses_Leasing_Mensual!P86&gt;0, ROUND($H86 - Intereses_Leasing_Mensual!P86, 2), "")</f>
        <v/>
      </c>
      <c r="Q86" s="29">
        <f>IF(Intereses_Leasing_Mensual!Q86&gt;0, ROUND(P86 - Intereses_Leasing_Mensual!Q86, 2), "")</f>
        <v/>
      </c>
      <c r="R86" s="29">
        <f>IF(Intereses_Leasing_Mensual!R86&gt;0, ROUND(Q86 - Intereses_Leasing_Mensual!R86, 2), "")</f>
        <v/>
      </c>
      <c r="S86" s="29">
        <f>IF(Intereses_Leasing_Mensual!S86&gt;0, ROUND(R86 - Intereses_Leasing_Mensual!S86, 2), "")</f>
        <v/>
      </c>
      <c r="T86" s="29">
        <f>IF(Intereses_Leasing_Mensual!T86&gt;0, ROUND(S86 - Intereses_Leasing_Mensual!T86, 2), "")</f>
        <v/>
      </c>
      <c r="U86" s="29">
        <f>MAX(I86:T86)</f>
        <v/>
      </c>
    </row>
    <row r="87">
      <c r="A87" s="20" t="inlineStr">
        <is>
          <t>0634-0001</t>
        </is>
      </c>
      <c r="B87" s="21" t="inlineStr">
        <is>
          <t>Jose de Jesus Vergara Rivera</t>
        </is>
      </c>
      <c r="C87" s="21" t="inlineStr">
        <is>
          <t>NP 300 Chasis Cabina TDI</t>
        </is>
      </c>
      <c r="D87" s="20" t="inlineStr">
        <is>
          <t>ACTIVO</t>
        </is>
      </c>
      <c r="E87" s="20" t="inlineStr">
        <is>
          <t>2023-09-28</t>
        </is>
      </c>
      <c r="F87" s="20" t="inlineStr">
        <is>
          <t>2027-09-28</t>
        </is>
      </c>
      <c r="G87" s="22" t="n">
        <v>48</v>
      </c>
      <c r="H87" s="23" t="n">
        <v>337074.51</v>
      </c>
      <c r="I87" s="23">
        <f>IF(Intereses_Leasing_Mensual!I87&gt;0, ROUND(98774.64 - Intereses_Leasing_Mensual!I87, 2), "")</f>
        <v/>
      </c>
      <c r="J87" s="23">
        <f>IF(Intereses_Leasing_Mensual!J87&gt;0, ROUND(I87 - Intereses_Leasing_Mensual!J87, 2), "")</f>
        <v/>
      </c>
      <c r="K87" s="23">
        <f>IF(Intereses_Leasing_Mensual!K87&gt;0, ROUND(J87 - Intereses_Leasing_Mensual!K87, 2), "")</f>
        <v/>
      </c>
      <c r="L87" s="23">
        <f>IF(Intereses_Leasing_Mensual!L87&gt;0, ROUND(K87 - Intereses_Leasing_Mensual!L87, 2), "")</f>
        <v/>
      </c>
      <c r="M87" s="23">
        <f>IF(Intereses_Leasing_Mensual!M87&gt;0, ROUND(L87 - Intereses_Leasing_Mensual!M87, 2), "")</f>
        <v/>
      </c>
      <c r="N87" s="23">
        <f>IF(Intereses_Leasing_Mensual!N87&gt;0, ROUND(M87 - Intereses_Leasing_Mensual!N87, 2), "")</f>
        <v/>
      </c>
      <c r="O87" s="23">
        <f>IF(Intereses_Leasing_Mensual!O87&gt;0, ROUND(N87 - Intereses_Leasing_Mensual!O87, 2), "")</f>
        <v/>
      </c>
      <c r="P87" s="23">
        <f>IF(Intereses_Leasing_Mensual!P87&gt;0, ROUND(O87 - Intereses_Leasing_Mensual!P87, 2), "")</f>
        <v/>
      </c>
      <c r="Q87" s="23">
        <f>IF(Intereses_Leasing_Mensual!Q87&gt;0, ROUND(P87 - Intereses_Leasing_Mensual!Q87, 2), "")</f>
        <v/>
      </c>
      <c r="R87" s="23">
        <f>IF(Intereses_Leasing_Mensual!R87&gt;0, ROUND(Q87 - Intereses_Leasing_Mensual!R87, 2), "")</f>
        <v/>
      </c>
      <c r="S87" s="23">
        <f>IF(Intereses_Leasing_Mensual!S87&gt;0, ROUND(R87 - Intereses_Leasing_Mensual!S87, 2), "")</f>
        <v/>
      </c>
      <c r="T87" s="23">
        <f>IF(Intereses_Leasing_Mensual!T87&gt;0, ROUND(S87 - Intereses_Leasing_Mensual!T87, 2), "")</f>
        <v/>
      </c>
      <c r="U87" s="23">
        <f>MAX(I87:T87)</f>
        <v/>
      </c>
    </row>
    <row r="88">
      <c r="A88" s="26" t="inlineStr">
        <is>
          <t>0634-0002</t>
        </is>
      </c>
      <c r="B88" s="27" t="inlineStr">
        <is>
          <t>Jose de Jesus Vergara Rivera</t>
        </is>
      </c>
      <c r="C88" s="27" t="inlineStr">
        <is>
          <t>700 Tradesman</t>
        </is>
      </c>
      <c r="D88" s="26" t="inlineStr">
        <is>
          <t>ACTIVO</t>
        </is>
      </c>
      <c r="E88" s="26" t="inlineStr">
        <is>
          <t>2025-10-09</t>
        </is>
      </c>
      <c r="F88" s="26" t="inlineStr">
        <is>
          <t>2029-10-09</t>
        </is>
      </c>
      <c r="G88" s="28" t="n">
        <v>48</v>
      </c>
      <c r="H88" s="29" t="n">
        <v>286031.94</v>
      </c>
      <c r="I88" s="29">
        <f>IF(Intereses_Leasing_Mensual!I88&gt;0, ROUND(260826.49 - Intereses_Leasing_Mensual!I88, 2), "")</f>
        <v/>
      </c>
      <c r="J88" s="29">
        <f>IF(Intereses_Leasing_Mensual!J88&gt;0, ROUND(I88 - Intereses_Leasing_Mensual!J88, 2), "")</f>
        <v/>
      </c>
      <c r="K88" s="29">
        <f>IF(Intereses_Leasing_Mensual!K88&gt;0, ROUND(J88 - Intereses_Leasing_Mensual!K88, 2), "")</f>
        <v/>
      </c>
      <c r="L88" s="29">
        <f>IF(Intereses_Leasing_Mensual!L88&gt;0, ROUND(K88 - Intereses_Leasing_Mensual!L88, 2), "")</f>
        <v/>
      </c>
      <c r="M88" s="29">
        <f>IF(Intereses_Leasing_Mensual!M88&gt;0, ROUND(L88 - Intereses_Leasing_Mensual!M88, 2), "")</f>
        <v/>
      </c>
      <c r="N88" s="29">
        <f>IF(Intereses_Leasing_Mensual!N88&gt;0, ROUND(M88 - Intereses_Leasing_Mensual!N88, 2), "")</f>
        <v/>
      </c>
      <c r="O88" s="29">
        <f>IF(Intereses_Leasing_Mensual!O88&gt;0, ROUND(N88 - Intereses_Leasing_Mensual!O88, 2), "")</f>
        <v/>
      </c>
      <c r="P88" s="29">
        <f>IF(Intereses_Leasing_Mensual!P88&gt;0, ROUND(O88 - Intereses_Leasing_Mensual!P88, 2), "")</f>
        <v/>
      </c>
      <c r="Q88" s="29">
        <f>IF(Intereses_Leasing_Mensual!Q88&gt;0, ROUND(P88 - Intereses_Leasing_Mensual!Q88, 2), "")</f>
        <v/>
      </c>
      <c r="R88" s="29">
        <f>IF(Intereses_Leasing_Mensual!R88&gt;0, ROUND(Q88 - Intereses_Leasing_Mensual!R88, 2), "")</f>
        <v/>
      </c>
      <c r="S88" s="29">
        <f>IF(Intereses_Leasing_Mensual!S88&gt;0, ROUND(R88 - Intereses_Leasing_Mensual!S88, 2), "")</f>
        <v/>
      </c>
      <c r="T88" s="29">
        <f>IF(Intereses_Leasing_Mensual!T88&gt;0, ROUND(S88 - Intereses_Leasing_Mensual!T88, 2), "")</f>
        <v/>
      </c>
      <c r="U88" s="29">
        <f>MAX(I88:T88)</f>
        <v/>
      </c>
    </row>
    <row r="89">
      <c r="A89" s="20" t="inlineStr">
        <is>
          <t>0635-0003</t>
        </is>
      </c>
      <c r="B89" s="21" t="inlineStr">
        <is>
          <t>Ankara Food Services Sa de CV</t>
        </is>
      </c>
      <c r="C89" s="21" t="inlineStr">
        <is>
          <t>Glc 350 E</t>
        </is>
      </c>
      <c r="D89" s="20" t="inlineStr">
        <is>
          <t>ACTIVO</t>
        </is>
      </c>
      <c r="E89" s="20" t="inlineStr">
        <is>
          <t>2025-03-21</t>
        </is>
      </c>
      <c r="F89" s="20" t="inlineStr">
        <is>
          <t>2028-03-21</t>
        </is>
      </c>
      <c r="G89" s="22" t="n">
        <v>36</v>
      </c>
      <c r="H89" s="23" t="n">
        <v>625960.52</v>
      </c>
      <c r="I89" s="23">
        <f>IF(Intereses_Leasing_Mensual!I89&gt;0, ROUND(356513.82 - Intereses_Leasing_Mensual!I89, 2), "")</f>
        <v/>
      </c>
      <c r="J89" s="23">
        <f>IF(Intereses_Leasing_Mensual!J89&gt;0, ROUND(I89 - Intereses_Leasing_Mensual!J89, 2), "")</f>
        <v/>
      </c>
      <c r="K89" s="23">
        <f>IF(Intereses_Leasing_Mensual!K89&gt;0, ROUND(J89 - Intereses_Leasing_Mensual!K89, 2), "")</f>
        <v/>
      </c>
      <c r="L89" s="23">
        <f>IF(Intereses_Leasing_Mensual!L89&gt;0, ROUND(K89 - Intereses_Leasing_Mensual!L89, 2), "")</f>
        <v/>
      </c>
      <c r="M89" s="23">
        <f>IF(Intereses_Leasing_Mensual!M89&gt;0, ROUND(L89 - Intereses_Leasing_Mensual!M89, 2), "")</f>
        <v/>
      </c>
      <c r="N89" s="23">
        <f>IF(Intereses_Leasing_Mensual!N89&gt;0, ROUND(M89 - Intereses_Leasing_Mensual!N89, 2), "")</f>
        <v/>
      </c>
      <c r="O89" s="23">
        <f>IF(Intereses_Leasing_Mensual!O89&gt;0, ROUND(N89 - Intereses_Leasing_Mensual!O89, 2), "")</f>
        <v/>
      </c>
      <c r="P89" s="23">
        <f>IF(Intereses_Leasing_Mensual!P89&gt;0, ROUND(O89 - Intereses_Leasing_Mensual!P89, 2), "")</f>
        <v/>
      </c>
      <c r="Q89" s="23">
        <f>IF(Intereses_Leasing_Mensual!Q89&gt;0, ROUND(P89 - Intereses_Leasing_Mensual!Q89, 2), "")</f>
        <v/>
      </c>
      <c r="R89" s="23">
        <f>IF(Intereses_Leasing_Mensual!R89&gt;0, ROUND(Q89 - Intereses_Leasing_Mensual!R89, 2), "")</f>
        <v/>
      </c>
      <c r="S89" s="23">
        <f>IF(Intereses_Leasing_Mensual!S89&gt;0, ROUND(R89 - Intereses_Leasing_Mensual!S89, 2), "")</f>
        <v/>
      </c>
      <c r="T89" s="23">
        <f>IF(Intereses_Leasing_Mensual!T89&gt;0, ROUND(S89 - Intereses_Leasing_Mensual!T89, 2), "")</f>
        <v/>
      </c>
      <c r="U89" s="23">
        <f>MAX(I89:T89)</f>
        <v/>
      </c>
    </row>
    <row r="90">
      <c r="A90" s="26" t="inlineStr">
        <is>
          <t>0635-0004</t>
        </is>
      </c>
      <c r="B90" s="27" t="inlineStr">
        <is>
          <t>Ankara Food Services Sa de CV</t>
        </is>
      </c>
      <c r="C90" s="27" t="inlineStr">
        <is>
          <t>Partner</t>
        </is>
      </c>
      <c r="D90" s="26" t="inlineStr">
        <is>
          <t>ACTIVO</t>
        </is>
      </c>
      <c r="E90" s="26" t="inlineStr">
        <is>
          <t>2025-04-29</t>
        </is>
      </c>
      <c r="F90" s="26" t="inlineStr">
        <is>
          <t>2028-04-29</t>
        </is>
      </c>
      <c r="G90" s="28" t="n">
        <v>36</v>
      </c>
      <c r="H90" s="29" t="n">
        <v>155655.21</v>
      </c>
      <c r="I90" s="29">
        <f>IF(Intereses_Leasing_Mensual!I90&gt;0, ROUND(94704.99 - Intereses_Leasing_Mensual!I90, 2), "")</f>
        <v/>
      </c>
      <c r="J90" s="29">
        <f>IF(Intereses_Leasing_Mensual!J90&gt;0, ROUND(I90 - Intereses_Leasing_Mensual!J90, 2), "")</f>
        <v/>
      </c>
      <c r="K90" s="29">
        <f>IF(Intereses_Leasing_Mensual!K90&gt;0, ROUND(J90 - Intereses_Leasing_Mensual!K90, 2), "")</f>
        <v/>
      </c>
      <c r="L90" s="29">
        <f>IF(Intereses_Leasing_Mensual!L90&gt;0, ROUND(K90 - Intereses_Leasing_Mensual!L90, 2), "")</f>
        <v/>
      </c>
      <c r="M90" s="29">
        <f>IF(Intereses_Leasing_Mensual!M90&gt;0, ROUND(L90 - Intereses_Leasing_Mensual!M90, 2), "")</f>
        <v/>
      </c>
      <c r="N90" s="29">
        <f>IF(Intereses_Leasing_Mensual!N90&gt;0, ROUND(M90 - Intereses_Leasing_Mensual!N90, 2), "")</f>
        <v/>
      </c>
      <c r="O90" s="29">
        <f>IF(Intereses_Leasing_Mensual!O90&gt;0, ROUND(N90 - Intereses_Leasing_Mensual!O90, 2), "")</f>
        <v/>
      </c>
      <c r="P90" s="29">
        <f>IF(Intereses_Leasing_Mensual!P90&gt;0, ROUND(O90 - Intereses_Leasing_Mensual!P90, 2), "")</f>
        <v/>
      </c>
      <c r="Q90" s="29">
        <f>IF(Intereses_Leasing_Mensual!Q90&gt;0, ROUND(P90 - Intereses_Leasing_Mensual!Q90, 2), "")</f>
        <v/>
      </c>
      <c r="R90" s="29">
        <f>IF(Intereses_Leasing_Mensual!R90&gt;0, ROUND(Q90 - Intereses_Leasing_Mensual!R90, 2), "")</f>
        <v/>
      </c>
      <c r="S90" s="29">
        <f>IF(Intereses_Leasing_Mensual!S90&gt;0, ROUND(R90 - Intereses_Leasing_Mensual!S90, 2), "")</f>
        <v/>
      </c>
      <c r="T90" s="29">
        <f>IF(Intereses_Leasing_Mensual!T90&gt;0, ROUND(S90 - Intereses_Leasing_Mensual!T90, 2), "")</f>
        <v/>
      </c>
      <c r="U90" s="29">
        <f>MAX(I90:T90)</f>
        <v/>
      </c>
    </row>
    <row r="91">
      <c r="A91" s="20" t="inlineStr">
        <is>
          <t>0635-0005</t>
        </is>
      </c>
      <c r="B91" s="21" t="inlineStr">
        <is>
          <t>Ankara Food Services Sa de CV</t>
        </is>
      </c>
      <c r="C91" s="21" t="inlineStr">
        <is>
          <t>Manager</t>
        </is>
      </c>
      <c r="D91" s="20" t="inlineStr">
        <is>
          <t>ACTIVO</t>
        </is>
      </c>
      <c r="E91" s="20" t="inlineStr">
        <is>
          <t>2025-04-29</t>
        </is>
      </c>
      <c r="F91" s="20" t="inlineStr">
        <is>
          <t>2028-04-29</t>
        </is>
      </c>
      <c r="G91" s="22" t="n">
        <v>36</v>
      </c>
      <c r="H91" s="23" t="n">
        <v>240721.13</v>
      </c>
      <c r="I91" s="23">
        <f>IF(Intereses_Leasing_Mensual!I91&gt;0, ROUND(146461.47 - Intereses_Leasing_Mensual!I91, 2), "")</f>
        <v/>
      </c>
      <c r="J91" s="23">
        <f>IF(Intereses_Leasing_Mensual!J91&gt;0, ROUND(I91 - Intereses_Leasing_Mensual!J91, 2), "")</f>
        <v/>
      </c>
      <c r="K91" s="23">
        <f>IF(Intereses_Leasing_Mensual!K91&gt;0, ROUND(J91 - Intereses_Leasing_Mensual!K91, 2), "")</f>
        <v/>
      </c>
      <c r="L91" s="23">
        <f>IF(Intereses_Leasing_Mensual!L91&gt;0, ROUND(K91 - Intereses_Leasing_Mensual!L91, 2), "")</f>
        <v/>
      </c>
      <c r="M91" s="23">
        <f>IF(Intereses_Leasing_Mensual!M91&gt;0, ROUND(L91 - Intereses_Leasing_Mensual!M91, 2), "")</f>
        <v/>
      </c>
      <c r="N91" s="23">
        <f>IF(Intereses_Leasing_Mensual!N91&gt;0, ROUND(M91 - Intereses_Leasing_Mensual!N91, 2), "")</f>
        <v/>
      </c>
      <c r="O91" s="23">
        <f>IF(Intereses_Leasing_Mensual!O91&gt;0, ROUND(N91 - Intereses_Leasing_Mensual!O91, 2), "")</f>
        <v/>
      </c>
      <c r="P91" s="23">
        <f>IF(Intereses_Leasing_Mensual!P91&gt;0, ROUND(O91 - Intereses_Leasing_Mensual!P91, 2), "")</f>
        <v/>
      </c>
      <c r="Q91" s="23">
        <f>IF(Intereses_Leasing_Mensual!Q91&gt;0, ROUND(P91 - Intereses_Leasing_Mensual!Q91, 2), "")</f>
        <v/>
      </c>
      <c r="R91" s="23">
        <f>IF(Intereses_Leasing_Mensual!R91&gt;0, ROUND(Q91 - Intereses_Leasing_Mensual!R91, 2), "")</f>
        <v/>
      </c>
      <c r="S91" s="23">
        <f>IF(Intereses_Leasing_Mensual!S91&gt;0, ROUND(R91 - Intereses_Leasing_Mensual!S91, 2), "")</f>
        <v/>
      </c>
      <c r="T91" s="23">
        <f>IF(Intereses_Leasing_Mensual!T91&gt;0, ROUND(S91 - Intereses_Leasing_Mensual!T91, 2), "")</f>
        <v/>
      </c>
      <c r="U91" s="23">
        <f>MAX(I91:T91)</f>
        <v/>
      </c>
    </row>
    <row r="92">
      <c r="A92" s="26" t="inlineStr">
        <is>
          <t>0635-0006</t>
        </is>
      </c>
      <c r="B92" s="27" t="inlineStr">
        <is>
          <t>Ankara Food Services Sa de CV</t>
        </is>
      </c>
      <c r="C92" s="27" t="inlineStr">
        <is>
          <t>Mobi</t>
        </is>
      </c>
      <c r="D92" s="26" t="inlineStr">
        <is>
          <t>ACTIVO</t>
        </is>
      </c>
      <c r="E92" s="26" t="inlineStr">
        <is>
          <t>2025-06-17</t>
        </is>
      </c>
      <c r="F92" s="26" t="inlineStr">
        <is>
          <t>2027-06-17</t>
        </is>
      </c>
      <c r="G92" s="28" t="n">
        <v>24</v>
      </c>
      <c r="H92" s="29" t="n">
        <v>49953.71</v>
      </c>
      <c r="I92" s="29">
        <f>IF(Intereses_Leasing_Mensual!I92&gt;0, ROUND(27035.07 - Intereses_Leasing_Mensual!I92, 2), "")</f>
        <v/>
      </c>
      <c r="J92" s="29">
        <f>IF(Intereses_Leasing_Mensual!J92&gt;0, ROUND(I92 - Intereses_Leasing_Mensual!J92, 2), "")</f>
        <v/>
      </c>
      <c r="K92" s="29">
        <f>IF(Intereses_Leasing_Mensual!K92&gt;0, ROUND(J92 - Intereses_Leasing_Mensual!K92, 2), "")</f>
        <v/>
      </c>
      <c r="L92" s="29">
        <f>IF(Intereses_Leasing_Mensual!L92&gt;0, ROUND(K92 - Intereses_Leasing_Mensual!L92, 2), "")</f>
        <v/>
      </c>
      <c r="M92" s="29">
        <f>IF(Intereses_Leasing_Mensual!M92&gt;0, ROUND(L92 - Intereses_Leasing_Mensual!M92, 2), "")</f>
        <v/>
      </c>
      <c r="N92" s="29">
        <f>IF(Intereses_Leasing_Mensual!N92&gt;0, ROUND(M92 - Intereses_Leasing_Mensual!N92, 2), "")</f>
        <v/>
      </c>
      <c r="O92" s="29">
        <f>IF(Intereses_Leasing_Mensual!O92&gt;0, ROUND(N92 - Intereses_Leasing_Mensual!O92, 2), "")</f>
        <v/>
      </c>
      <c r="P92" s="29">
        <f>IF(Intereses_Leasing_Mensual!P92&gt;0, ROUND(O92 - Intereses_Leasing_Mensual!P92, 2), "")</f>
        <v/>
      </c>
      <c r="Q92" s="29">
        <f>IF(Intereses_Leasing_Mensual!Q92&gt;0, ROUND(P92 - Intereses_Leasing_Mensual!Q92, 2), "")</f>
        <v/>
      </c>
      <c r="R92" s="29">
        <f>IF(Intereses_Leasing_Mensual!R92&gt;0, ROUND(Q92 - Intereses_Leasing_Mensual!R92, 2), "")</f>
        <v/>
      </c>
      <c r="S92" s="29">
        <f>IF(Intereses_Leasing_Mensual!S92&gt;0, ROUND(R92 - Intereses_Leasing_Mensual!S92, 2), "")</f>
        <v/>
      </c>
      <c r="T92" s="29">
        <f>IF(Intereses_Leasing_Mensual!T92&gt;0, ROUND(S92 - Intereses_Leasing_Mensual!T92, 2), "")</f>
        <v/>
      </c>
      <c r="U92" s="29">
        <f>MAX(I92:T92)</f>
        <v/>
      </c>
    </row>
    <row r="93">
      <c r="A93" s="20" t="inlineStr">
        <is>
          <t>0635-0007</t>
        </is>
      </c>
      <c r="B93" s="21" t="inlineStr">
        <is>
          <t>Ankara Food Services Sa de CV</t>
        </is>
      </c>
      <c r="C93" s="21" t="inlineStr">
        <is>
          <t>Mobi</t>
        </is>
      </c>
      <c r="D93" s="20" t="inlineStr">
        <is>
          <t>ACTIVO</t>
        </is>
      </c>
      <c r="E93" s="20" t="inlineStr">
        <is>
          <t>2025-06-17</t>
        </is>
      </c>
      <c r="F93" s="20" t="inlineStr">
        <is>
          <t>2027-06-17</t>
        </is>
      </c>
      <c r="G93" s="22" t="n">
        <v>24</v>
      </c>
      <c r="H93" s="23" t="n">
        <v>49953.71</v>
      </c>
      <c r="I93" s="23">
        <f>IF(Intereses_Leasing_Mensual!I93&gt;0, ROUND(27035.07 - Intereses_Leasing_Mensual!I93, 2), "")</f>
        <v/>
      </c>
      <c r="J93" s="23">
        <f>IF(Intereses_Leasing_Mensual!J93&gt;0, ROUND(I93 - Intereses_Leasing_Mensual!J93, 2), "")</f>
        <v/>
      </c>
      <c r="K93" s="23">
        <f>IF(Intereses_Leasing_Mensual!K93&gt;0, ROUND(J93 - Intereses_Leasing_Mensual!K93, 2), "")</f>
        <v/>
      </c>
      <c r="L93" s="23">
        <f>IF(Intereses_Leasing_Mensual!L93&gt;0, ROUND(K93 - Intereses_Leasing_Mensual!L93, 2), "")</f>
        <v/>
      </c>
      <c r="M93" s="23">
        <f>IF(Intereses_Leasing_Mensual!M93&gt;0, ROUND(L93 - Intereses_Leasing_Mensual!M93, 2), "")</f>
        <v/>
      </c>
      <c r="N93" s="23">
        <f>IF(Intereses_Leasing_Mensual!N93&gt;0, ROUND(M93 - Intereses_Leasing_Mensual!N93, 2), "")</f>
        <v/>
      </c>
      <c r="O93" s="23">
        <f>IF(Intereses_Leasing_Mensual!O93&gt;0, ROUND(N93 - Intereses_Leasing_Mensual!O93, 2), "")</f>
        <v/>
      </c>
      <c r="P93" s="23">
        <f>IF(Intereses_Leasing_Mensual!P93&gt;0, ROUND(O93 - Intereses_Leasing_Mensual!P93, 2), "")</f>
        <v/>
      </c>
      <c r="Q93" s="23">
        <f>IF(Intereses_Leasing_Mensual!Q93&gt;0, ROUND(P93 - Intereses_Leasing_Mensual!Q93, 2), "")</f>
        <v/>
      </c>
      <c r="R93" s="23">
        <f>IF(Intereses_Leasing_Mensual!R93&gt;0, ROUND(Q93 - Intereses_Leasing_Mensual!R93, 2), "")</f>
        <v/>
      </c>
      <c r="S93" s="23">
        <f>IF(Intereses_Leasing_Mensual!S93&gt;0, ROUND(R93 - Intereses_Leasing_Mensual!S93, 2), "")</f>
        <v/>
      </c>
      <c r="T93" s="23">
        <f>IF(Intereses_Leasing_Mensual!T93&gt;0, ROUND(S93 - Intereses_Leasing_Mensual!T93, 2), "")</f>
        <v/>
      </c>
      <c r="U93" s="23">
        <f>MAX(I93:T93)</f>
        <v/>
      </c>
    </row>
    <row r="94">
      <c r="A94" s="26" t="inlineStr">
        <is>
          <t>0635-0008</t>
        </is>
      </c>
      <c r="B94" s="27" t="inlineStr">
        <is>
          <t>Ankara Food Services Sa de CV</t>
        </is>
      </c>
      <c r="C94" s="27" t="inlineStr">
        <is>
          <t>Wrangler 4 XE</t>
        </is>
      </c>
      <c r="D94" s="26" t="inlineStr">
        <is>
          <t>ACTIVO</t>
        </is>
      </c>
      <c r="E94" s="26" t="inlineStr">
        <is>
          <t>2025-10-31</t>
        </is>
      </c>
      <c r="F94" s="26" t="inlineStr">
        <is>
          <t>2029-10-31</t>
        </is>
      </c>
      <c r="G94" s="28" t="n">
        <v>48</v>
      </c>
      <c r="H94" s="29" t="n">
        <v>646050.71</v>
      </c>
      <c r="I94" s="29">
        <f>IF(Intereses_Leasing_Mensual!I94&gt;0, ROUND(587034.34 - Intereses_Leasing_Mensual!I94, 2), "")</f>
        <v/>
      </c>
      <c r="J94" s="29">
        <f>IF(Intereses_Leasing_Mensual!J94&gt;0, ROUND(I94 - Intereses_Leasing_Mensual!J94, 2), "")</f>
        <v/>
      </c>
      <c r="K94" s="29">
        <f>IF(Intereses_Leasing_Mensual!K94&gt;0, ROUND(J94 - Intereses_Leasing_Mensual!K94, 2), "")</f>
        <v/>
      </c>
      <c r="L94" s="29">
        <f>IF(Intereses_Leasing_Mensual!L94&gt;0, ROUND(K94 - Intereses_Leasing_Mensual!L94, 2), "")</f>
        <v/>
      </c>
      <c r="M94" s="29">
        <f>IF(Intereses_Leasing_Mensual!M94&gt;0, ROUND(L94 - Intereses_Leasing_Mensual!M94, 2), "")</f>
        <v/>
      </c>
      <c r="N94" s="29">
        <f>IF(Intereses_Leasing_Mensual!N94&gt;0, ROUND(M94 - Intereses_Leasing_Mensual!N94, 2), "")</f>
        <v/>
      </c>
      <c r="O94" s="29">
        <f>IF(Intereses_Leasing_Mensual!O94&gt;0, ROUND(N94 - Intereses_Leasing_Mensual!O94, 2), "")</f>
        <v/>
      </c>
      <c r="P94" s="29">
        <f>IF(Intereses_Leasing_Mensual!P94&gt;0, ROUND(O94 - Intereses_Leasing_Mensual!P94, 2), "")</f>
        <v/>
      </c>
      <c r="Q94" s="29">
        <f>IF(Intereses_Leasing_Mensual!Q94&gt;0, ROUND(P94 - Intereses_Leasing_Mensual!Q94, 2), "")</f>
        <v/>
      </c>
      <c r="R94" s="29">
        <f>IF(Intereses_Leasing_Mensual!R94&gt;0, ROUND(Q94 - Intereses_Leasing_Mensual!R94, 2), "")</f>
        <v/>
      </c>
      <c r="S94" s="29">
        <f>IF(Intereses_Leasing_Mensual!S94&gt;0, ROUND(R94 - Intereses_Leasing_Mensual!S94, 2), "")</f>
        <v/>
      </c>
      <c r="T94" s="29">
        <f>IF(Intereses_Leasing_Mensual!T94&gt;0, ROUND(S94 - Intereses_Leasing_Mensual!T94, 2), "")</f>
        <v/>
      </c>
      <c r="U94" s="29">
        <f>MAX(I94:T94)</f>
        <v/>
      </c>
    </row>
    <row r="95">
      <c r="A95" s="20" t="inlineStr">
        <is>
          <t>0640-0001</t>
        </is>
      </c>
      <c r="B95" s="21" t="inlineStr">
        <is>
          <t>Marco Abner Hernand Barragan</t>
        </is>
      </c>
      <c r="C95" s="21" t="inlineStr">
        <is>
          <t>RIFTER</t>
        </is>
      </c>
      <c r="D95" s="20" t="inlineStr">
        <is>
          <t>ACTIVO</t>
        </is>
      </c>
      <c r="E95" s="20" t="inlineStr">
        <is>
          <t>2023-12-13</t>
        </is>
      </c>
      <c r="F95" s="20" t="inlineStr">
        <is>
          <t>2027-12-13</t>
        </is>
      </c>
      <c r="G95" s="22" t="n">
        <v>48</v>
      </c>
      <c r="H95" s="23" t="n">
        <v>434937.31</v>
      </c>
      <c r="I95" s="23">
        <f>IF(Intereses_Leasing_Mensual!I95&gt;0, ROUND(152093.42 - Intereses_Leasing_Mensual!I95, 2), "")</f>
        <v/>
      </c>
      <c r="J95" s="23">
        <f>IF(Intereses_Leasing_Mensual!J95&gt;0, ROUND(I95 - Intereses_Leasing_Mensual!J95, 2), "")</f>
        <v/>
      </c>
      <c r="K95" s="23">
        <f>IF(Intereses_Leasing_Mensual!K95&gt;0, ROUND(J95 - Intereses_Leasing_Mensual!K95, 2), "")</f>
        <v/>
      </c>
      <c r="L95" s="23">
        <f>IF(Intereses_Leasing_Mensual!L95&gt;0, ROUND(K95 - Intereses_Leasing_Mensual!L95, 2), "")</f>
        <v/>
      </c>
      <c r="M95" s="23">
        <f>IF(Intereses_Leasing_Mensual!M95&gt;0, ROUND(L95 - Intereses_Leasing_Mensual!M95, 2), "")</f>
        <v/>
      </c>
      <c r="N95" s="23">
        <f>IF(Intereses_Leasing_Mensual!N95&gt;0, ROUND(M95 - Intereses_Leasing_Mensual!N95, 2), "")</f>
        <v/>
      </c>
      <c r="O95" s="23">
        <f>IF(Intereses_Leasing_Mensual!O95&gt;0, ROUND(N95 - Intereses_Leasing_Mensual!O95, 2), "")</f>
        <v/>
      </c>
      <c r="P95" s="23">
        <f>IF(Intereses_Leasing_Mensual!P95&gt;0, ROUND(O95 - Intereses_Leasing_Mensual!P95, 2), "")</f>
        <v/>
      </c>
      <c r="Q95" s="23">
        <f>IF(Intereses_Leasing_Mensual!Q95&gt;0, ROUND(P95 - Intereses_Leasing_Mensual!Q95, 2), "")</f>
        <v/>
      </c>
      <c r="R95" s="23">
        <f>IF(Intereses_Leasing_Mensual!R95&gt;0, ROUND(Q95 - Intereses_Leasing_Mensual!R95, 2), "")</f>
        <v/>
      </c>
      <c r="S95" s="23">
        <f>IF(Intereses_Leasing_Mensual!S95&gt;0, ROUND(R95 - Intereses_Leasing_Mensual!S95, 2), "")</f>
        <v/>
      </c>
      <c r="T95" s="23">
        <f>IF(Intereses_Leasing_Mensual!T95&gt;0, ROUND(S95 - Intereses_Leasing_Mensual!T95, 2), "")</f>
        <v/>
      </c>
      <c r="U95" s="23">
        <f>MAX(I95:T95)</f>
        <v/>
      </c>
    </row>
    <row r="96">
      <c r="A96" s="26" t="inlineStr">
        <is>
          <t>0641-0001</t>
        </is>
      </c>
      <c r="B96" s="27" t="inlineStr">
        <is>
          <t>Agrideaz Sa de Cv</t>
        </is>
      </c>
      <c r="C96" s="27" t="inlineStr">
        <is>
          <t>Pulse Audace</t>
        </is>
      </c>
      <c r="D96" s="26" t="inlineStr">
        <is>
          <t>ACTIVO</t>
        </is>
      </c>
      <c r="E96" s="26" t="inlineStr">
        <is>
          <t>2023-11-30</t>
        </is>
      </c>
      <c r="F96" s="26" t="inlineStr">
        <is>
          <t>2026-11-30</t>
        </is>
      </c>
      <c r="G96" s="28" t="n">
        <v>36</v>
      </c>
      <c r="H96" s="29" t="n">
        <v>365250.1</v>
      </c>
      <c r="I96" s="29">
        <f>IF(Intereses_Leasing_Mensual!I96&gt;0, ROUND(80496.27 - Intereses_Leasing_Mensual!I96, 2), "")</f>
        <v/>
      </c>
      <c r="J96" s="29">
        <f>IF(Intereses_Leasing_Mensual!J96&gt;0, ROUND(I96 - Intereses_Leasing_Mensual!J96, 2), "")</f>
        <v/>
      </c>
      <c r="K96" s="29">
        <f>IF(Intereses_Leasing_Mensual!K96&gt;0, ROUND(J96 - Intereses_Leasing_Mensual!K96, 2), "")</f>
        <v/>
      </c>
      <c r="L96" s="29">
        <f>IF(Intereses_Leasing_Mensual!L96&gt;0, ROUND(K96 - Intereses_Leasing_Mensual!L96, 2), "")</f>
        <v/>
      </c>
      <c r="M96" s="29">
        <f>IF(Intereses_Leasing_Mensual!M96&gt;0, ROUND(L96 - Intereses_Leasing_Mensual!M96, 2), "")</f>
        <v/>
      </c>
      <c r="N96" s="29">
        <f>IF(Intereses_Leasing_Mensual!N96&gt;0, ROUND(M96 - Intereses_Leasing_Mensual!N96, 2), "")</f>
        <v/>
      </c>
      <c r="O96" s="29">
        <f>IF(Intereses_Leasing_Mensual!O96&gt;0, ROUND(N96 - Intereses_Leasing_Mensual!O96, 2), "")</f>
        <v/>
      </c>
      <c r="P96" s="29">
        <f>IF(Intereses_Leasing_Mensual!P96&gt;0, ROUND(O96 - Intereses_Leasing_Mensual!P96, 2), "")</f>
        <v/>
      </c>
      <c r="Q96" s="29">
        <f>IF(Intereses_Leasing_Mensual!Q96&gt;0, ROUND(P96 - Intereses_Leasing_Mensual!Q96, 2), "")</f>
        <v/>
      </c>
      <c r="R96" s="29">
        <f>IF(Intereses_Leasing_Mensual!R96&gt;0, ROUND(Q96 - Intereses_Leasing_Mensual!R96, 2), "")</f>
        <v/>
      </c>
      <c r="S96" s="29" t="inlineStr"/>
      <c r="T96" s="29" t="inlineStr"/>
      <c r="U96" s="29">
        <f>MAX(I96:T96)</f>
        <v/>
      </c>
    </row>
    <row r="97">
      <c r="A97" s="20" t="inlineStr">
        <is>
          <t>0641-0002</t>
        </is>
      </c>
      <c r="B97" s="21" t="inlineStr">
        <is>
          <t>Agrideaz Sa de Cv</t>
        </is>
      </c>
      <c r="C97" s="21" t="inlineStr">
        <is>
          <t>MOBI</t>
        </is>
      </c>
      <c r="D97" s="20" t="inlineStr">
        <is>
          <t>ACTIVO</t>
        </is>
      </c>
      <c r="E97" s="20" t="inlineStr">
        <is>
          <t>2023-11-30</t>
        </is>
      </c>
      <c r="F97" s="20" t="inlineStr">
        <is>
          <t>2026-11-30</t>
        </is>
      </c>
      <c r="G97" s="22" t="n">
        <v>36</v>
      </c>
      <c r="H97" s="23" t="n">
        <v>230890.4</v>
      </c>
      <c r="I97" s="23">
        <f>IF(Intereses_Leasing_Mensual!I97&gt;0, ROUND(50907.07 - Intereses_Leasing_Mensual!I97, 2), "")</f>
        <v/>
      </c>
      <c r="J97" s="23">
        <f>IF(Intereses_Leasing_Mensual!J97&gt;0, ROUND(I97 - Intereses_Leasing_Mensual!J97, 2), "")</f>
        <v/>
      </c>
      <c r="K97" s="23">
        <f>IF(Intereses_Leasing_Mensual!K97&gt;0, ROUND(J97 - Intereses_Leasing_Mensual!K97, 2), "")</f>
        <v/>
      </c>
      <c r="L97" s="23">
        <f>IF(Intereses_Leasing_Mensual!L97&gt;0, ROUND(K97 - Intereses_Leasing_Mensual!L97, 2), "")</f>
        <v/>
      </c>
      <c r="M97" s="23">
        <f>IF(Intereses_Leasing_Mensual!M97&gt;0, ROUND(L97 - Intereses_Leasing_Mensual!M97, 2), "")</f>
        <v/>
      </c>
      <c r="N97" s="23">
        <f>IF(Intereses_Leasing_Mensual!N97&gt;0, ROUND(M97 - Intereses_Leasing_Mensual!N97, 2), "")</f>
        <v/>
      </c>
      <c r="O97" s="23">
        <f>IF(Intereses_Leasing_Mensual!O97&gt;0, ROUND(N97 - Intereses_Leasing_Mensual!O97, 2), "")</f>
        <v/>
      </c>
      <c r="P97" s="23">
        <f>IF(Intereses_Leasing_Mensual!P97&gt;0, ROUND(O97 - Intereses_Leasing_Mensual!P97, 2), "")</f>
        <v/>
      </c>
      <c r="Q97" s="23">
        <f>IF(Intereses_Leasing_Mensual!Q97&gt;0, ROUND(P97 - Intereses_Leasing_Mensual!Q97, 2), "")</f>
        <v/>
      </c>
      <c r="R97" s="23">
        <f>IF(Intereses_Leasing_Mensual!R97&gt;0, ROUND(Q97 - Intereses_Leasing_Mensual!R97, 2), "")</f>
        <v/>
      </c>
      <c r="S97" s="23" t="inlineStr"/>
      <c r="T97" s="23" t="inlineStr"/>
      <c r="U97" s="23">
        <f>MAX(I97:T97)</f>
        <v/>
      </c>
    </row>
    <row r="98">
      <c r="A98" s="26" t="inlineStr">
        <is>
          <t>0642-0001</t>
        </is>
      </c>
      <c r="B98" s="27" t="inlineStr">
        <is>
          <t>Incubadora de Occidente Sa de Cv</t>
        </is>
      </c>
      <c r="C98" s="27" t="inlineStr">
        <is>
          <t>GRAND CHEROKEE LIMITED</t>
        </is>
      </c>
      <c r="D98" s="26" t="inlineStr">
        <is>
          <t>ACTIVO</t>
        </is>
      </c>
      <c r="E98" s="26" t="inlineStr">
        <is>
          <t>2023-12-22</t>
        </is>
      </c>
      <c r="F98" s="26" t="inlineStr">
        <is>
          <t>2027-12-22</t>
        </is>
      </c>
      <c r="G98" s="28" t="n">
        <v>48</v>
      </c>
      <c r="H98" s="29" t="n">
        <v>990052.85</v>
      </c>
      <c r="I98" s="29">
        <f>IF(Intereses_Leasing_Mensual!I98&gt;0, ROUND(392427.58 - Intereses_Leasing_Mensual!I98, 2), "")</f>
        <v/>
      </c>
      <c r="J98" s="29">
        <f>IF(Intereses_Leasing_Mensual!J98&gt;0, ROUND(I98 - Intereses_Leasing_Mensual!J98, 2), "")</f>
        <v/>
      </c>
      <c r="K98" s="29">
        <f>IF(Intereses_Leasing_Mensual!K98&gt;0, ROUND(J98 - Intereses_Leasing_Mensual!K98, 2), "")</f>
        <v/>
      </c>
      <c r="L98" s="29">
        <f>IF(Intereses_Leasing_Mensual!L98&gt;0, ROUND(K98 - Intereses_Leasing_Mensual!L98, 2), "")</f>
        <v/>
      </c>
      <c r="M98" s="29">
        <f>IF(Intereses_Leasing_Mensual!M98&gt;0, ROUND(L98 - Intereses_Leasing_Mensual!M98, 2), "")</f>
        <v/>
      </c>
      <c r="N98" s="29">
        <f>IF(Intereses_Leasing_Mensual!N98&gt;0, ROUND(M98 - Intereses_Leasing_Mensual!N98, 2), "")</f>
        <v/>
      </c>
      <c r="O98" s="29">
        <f>IF(Intereses_Leasing_Mensual!O98&gt;0, ROUND(N98 - Intereses_Leasing_Mensual!O98, 2), "")</f>
        <v/>
      </c>
      <c r="P98" s="29">
        <f>IF(Intereses_Leasing_Mensual!P98&gt;0, ROUND(O98 - Intereses_Leasing_Mensual!P98, 2), "")</f>
        <v/>
      </c>
      <c r="Q98" s="29">
        <f>IF(Intereses_Leasing_Mensual!Q98&gt;0, ROUND(P98 - Intereses_Leasing_Mensual!Q98, 2), "")</f>
        <v/>
      </c>
      <c r="R98" s="29">
        <f>IF(Intereses_Leasing_Mensual!R98&gt;0, ROUND(Q98 - Intereses_Leasing_Mensual!R98, 2), "")</f>
        <v/>
      </c>
      <c r="S98" s="29">
        <f>IF(Intereses_Leasing_Mensual!S98&gt;0, ROUND(R98 - Intereses_Leasing_Mensual!S98, 2), "")</f>
        <v/>
      </c>
      <c r="T98" s="29">
        <f>IF(Intereses_Leasing_Mensual!T98&gt;0, ROUND(S98 - Intereses_Leasing_Mensual!T98, 2), "")</f>
        <v/>
      </c>
      <c r="U98" s="29">
        <f>MAX(I98:T98)</f>
        <v/>
      </c>
    </row>
    <row r="99">
      <c r="A99" s="20" t="inlineStr">
        <is>
          <t>0644-0005</t>
        </is>
      </c>
      <c r="B99" s="21" t="inlineStr">
        <is>
          <t>Bakaya S.A.P.I.</t>
        </is>
      </c>
      <c r="C99" s="21" t="inlineStr">
        <is>
          <t>i118</t>
        </is>
      </c>
      <c r="D99" s="20" t="inlineStr">
        <is>
          <t>ACTIVO</t>
        </is>
      </c>
      <c r="E99" s="20" t="inlineStr">
        <is>
          <t>2025-12-10</t>
        </is>
      </c>
      <c r="F99" s="20" t="inlineStr">
        <is>
          <t>2028-12-10</t>
        </is>
      </c>
      <c r="G99" s="22" t="n">
        <v>36</v>
      </c>
      <c r="H99" s="23" t="n">
        <v>390870.06</v>
      </c>
      <c r="I99" s="23">
        <f>IF(Intereses_Leasing_Mensual!I99&gt;0, ROUND(376696.97 - Intereses_Leasing_Mensual!I99, 2), "")</f>
        <v/>
      </c>
      <c r="J99" s="23">
        <f>IF(Intereses_Leasing_Mensual!J99&gt;0, ROUND(I99 - Intereses_Leasing_Mensual!J99, 2), "")</f>
        <v/>
      </c>
      <c r="K99" s="23">
        <f>IF(Intereses_Leasing_Mensual!K99&gt;0, ROUND(J99 - Intereses_Leasing_Mensual!K99, 2), "")</f>
        <v/>
      </c>
      <c r="L99" s="23">
        <f>IF(Intereses_Leasing_Mensual!L99&gt;0, ROUND(K99 - Intereses_Leasing_Mensual!L99, 2), "")</f>
        <v/>
      </c>
      <c r="M99" s="23">
        <f>IF(Intereses_Leasing_Mensual!M99&gt;0, ROUND(L99 - Intereses_Leasing_Mensual!M99, 2), "")</f>
        <v/>
      </c>
      <c r="N99" s="23">
        <f>IF(Intereses_Leasing_Mensual!N99&gt;0, ROUND(M99 - Intereses_Leasing_Mensual!N99, 2), "")</f>
        <v/>
      </c>
      <c r="O99" s="23">
        <f>IF(Intereses_Leasing_Mensual!O99&gt;0, ROUND(N99 - Intereses_Leasing_Mensual!O99, 2), "")</f>
        <v/>
      </c>
      <c r="P99" s="23">
        <f>IF(Intereses_Leasing_Mensual!P99&gt;0, ROUND(O99 - Intereses_Leasing_Mensual!P99, 2), "")</f>
        <v/>
      </c>
      <c r="Q99" s="23">
        <f>IF(Intereses_Leasing_Mensual!Q99&gt;0, ROUND(P99 - Intereses_Leasing_Mensual!Q99, 2), "")</f>
        <v/>
      </c>
      <c r="R99" s="23">
        <f>IF(Intereses_Leasing_Mensual!R99&gt;0, ROUND(Q99 - Intereses_Leasing_Mensual!R99, 2), "")</f>
        <v/>
      </c>
      <c r="S99" s="23">
        <f>IF(Intereses_Leasing_Mensual!S99&gt;0, ROUND(R99 - Intereses_Leasing_Mensual!S99, 2), "")</f>
        <v/>
      </c>
      <c r="T99" s="23">
        <f>IF(Intereses_Leasing_Mensual!T99&gt;0, ROUND(S99 - Intereses_Leasing_Mensual!T99, 2), "")</f>
        <v/>
      </c>
      <c r="U99" s="23">
        <f>MAX(I99:T99)</f>
        <v/>
      </c>
    </row>
    <row r="100">
      <c r="A100" s="26" t="inlineStr">
        <is>
          <t>0644-0006</t>
        </is>
      </c>
      <c r="B100" s="27" t="inlineStr">
        <is>
          <t>Bkaya S.A.P.I.</t>
        </is>
      </c>
      <c r="C100" s="27" t="inlineStr">
        <is>
          <t>Highlander XLE</t>
        </is>
      </c>
      <c r="D100" s="26" t="inlineStr">
        <is>
          <t>ACTIVO</t>
        </is>
      </c>
      <c r="E100" s="26" t="inlineStr">
        <is>
          <t>2026-02-25</t>
        </is>
      </c>
      <c r="F100" s="26" t="inlineStr">
        <is>
          <t>2029-02-25</t>
        </is>
      </c>
      <c r="G100" s="28" t="n">
        <v>36</v>
      </c>
      <c r="H100" s="29" t="n">
        <v>522646.83</v>
      </c>
      <c r="I100" s="29" t="inlineStr"/>
      <c r="J100" s="29">
        <f>IF(Intereses_Leasing_Mensual!J100&gt;0, ROUND($H100 - Intereses_Leasing_Mensual!J100, 2), "")</f>
        <v/>
      </c>
      <c r="K100" s="29">
        <f>IF(Intereses_Leasing_Mensual!K100&gt;0, ROUND(J100 - Intereses_Leasing_Mensual!K100, 2), "")</f>
        <v/>
      </c>
      <c r="L100" s="29">
        <f>IF(Intereses_Leasing_Mensual!L100&gt;0, ROUND(K100 - Intereses_Leasing_Mensual!L100, 2), "")</f>
        <v/>
      </c>
      <c r="M100" s="29">
        <f>IF(Intereses_Leasing_Mensual!M100&gt;0, ROUND(L100 - Intereses_Leasing_Mensual!M100, 2), "")</f>
        <v/>
      </c>
      <c r="N100" s="29">
        <f>IF(Intereses_Leasing_Mensual!N100&gt;0, ROUND(M100 - Intereses_Leasing_Mensual!N100, 2), "")</f>
        <v/>
      </c>
      <c r="O100" s="29">
        <f>IF(Intereses_Leasing_Mensual!O100&gt;0, ROUND(N100 - Intereses_Leasing_Mensual!O100, 2), "")</f>
        <v/>
      </c>
      <c r="P100" s="29">
        <f>IF(Intereses_Leasing_Mensual!P100&gt;0, ROUND(O100 - Intereses_Leasing_Mensual!P100, 2), "")</f>
        <v/>
      </c>
      <c r="Q100" s="29">
        <f>IF(Intereses_Leasing_Mensual!Q100&gt;0, ROUND(P100 - Intereses_Leasing_Mensual!Q100, 2), "")</f>
        <v/>
      </c>
      <c r="R100" s="29">
        <f>IF(Intereses_Leasing_Mensual!R100&gt;0, ROUND(Q100 - Intereses_Leasing_Mensual!R100, 2), "")</f>
        <v/>
      </c>
      <c r="S100" s="29">
        <f>IF(Intereses_Leasing_Mensual!S100&gt;0, ROUND(R100 - Intereses_Leasing_Mensual!S100, 2), "")</f>
        <v/>
      </c>
      <c r="T100" s="29">
        <f>IF(Intereses_Leasing_Mensual!T100&gt;0, ROUND(S100 - Intereses_Leasing_Mensual!T100, 2), "")</f>
        <v/>
      </c>
      <c r="U100" s="29">
        <f>MAX(I100:T100)</f>
        <v/>
      </c>
    </row>
    <row r="101">
      <c r="A101" s="20" t="inlineStr">
        <is>
          <t>0645-0001</t>
        </is>
      </c>
      <c r="B101" s="21" t="inlineStr">
        <is>
          <t>Armando Duran Rubio</t>
        </is>
      </c>
      <c r="C101" s="21" t="inlineStr">
        <is>
          <t>Ram 1500 Bighorn</t>
        </is>
      </c>
      <c r="D101" s="20" t="inlineStr">
        <is>
          <t>ACTIVO</t>
        </is>
      </c>
      <c r="E101" s="20" t="inlineStr">
        <is>
          <t>2023-12-28</t>
        </is>
      </c>
      <c r="F101" s="20" t="inlineStr">
        <is>
          <t>2027-12-28</t>
        </is>
      </c>
      <c r="G101" s="22" t="n">
        <v>48</v>
      </c>
      <c r="H101" s="23" t="n">
        <v>731048.61</v>
      </c>
      <c r="I101" s="23">
        <f>IF(Intereses_Leasing_Mensual!I101&gt;0, ROUND(260325.54 - Intereses_Leasing_Mensual!I101, 2), "")</f>
        <v/>
      </c>
      <c r="J101" s="23">
        <f>IF(Intereses_Leasing_Mensual!J101&gt;0, ROUND(I101 - Intereses_Leasing_Mensual!J101, 2), "")</f>
        <v/>
      </c>
      <c r="K101" s="23">
        <f>IF(Intereses_Leasing_Mensual!K101&gt;0, ROUND(J101 - Intereses_Leasing_Mensual!K101, 2), "")</f>
        <v/>
      </c>
      <c r="L101" s="23">
        <f>IF(Intereses_Leasing_Mensual!L101&gt;0, ROUND(K101 - Intereses_Leasing_Mensual!L101, 2), "")</f>
        <v/>
      </c>
      <c r="M101" s="23">
        <f>IF(Intereses_Leasing_Mensual!M101&gt;0, ROUND(L101 - Intereses_Leasing_Mensual!M101, 2), "")</f>
        <v/>
      </c>
      <c r="N101" s="23">
        <f>IF(Intereses_Leasing_Mensual!N101&gt;0, ROUND(M101 - Intereses_Leasing_Mensual!N101, 2), "")</f>
        <v/>
      </c>
      <c r="O101" s="23">
        <f>IF(Intereses_Leasing_Mensual!O101&gt;0, ROUND(N101 - Intereses_Leasing_Mensual!O101, 2), "")</f>
        <v/>
      </c>
      <c r="P101" s="23">
        <f>IF(Intereses_Leasing_Mensual!P101&gt;0, ROUND(O101 - Intereses_Leasing_Mensual!P101, 2), "")</f>
        <v/>
      </c>
      <c r="Q101" s="23">
        <f>IF(Intereses_Leasing_Mensual!Q101&gt;0, ROUND(P101 - Intereses_Leasing_Mensual!Q101, 2), "")</f>
        <v/>
      </c>
      <c r="R101" s="23">
        <f>IF(Intereses_Leasing_Mensual!R101&gt;0, ROUND(Q101 - Intereses_Leasing_Mensual!R101, 2), "")</f>
        <v/>
      </c>
      <c r="S101" s="23">
        <f>IF(Intereses_Leasing_Mensual!S101&gt;0, ROUND(R101 - Intereses_Leasing_Mensual!S101, 2), "")</f>
        <v/>
      </c>
      <c r="T101" s="23">
        <f>IF(Intereses_Leasing_Mensual!T101&gt;0, ROUND(S101 - Intereses_Leasing_Mensual!T101, 2), "")</f>
        <v/>
      </c>
      <c r="U101" s="23">
        <f>MAX(I101:T101)</f>
        <v/>
      </c>
    </row>
    <row r="102">
      <c r="A102" s="26" t="inlineStr">
        <is>
          <t>0646-0001</t>
        </is>
      </c>
      <c r="B102" s="27" t="inlineStr">
        <is>
          <t>Liza Minerva Magallanes Reimers</t>
        </is>
      </c>
      <c r="C102" s="27" t="inlineStr">
        <is>
          <t>Wrangler</t>
        </is>
      </c>
      <c r="D102" s="26" t="inlineStr">
        <is>
          <t>ACTIVO</t>
        </is>
      </c>
      <c r="E102" s="26" t="inlineStr">
        <is>
          <t>2024-01-12</t>
        </is>
      </c>
      <c r="F102" s="26" t="inlineStr">
        <is>
          <t>2028-01-12</t>
        </is>
      </c>
      <c r="G102" s="28" t="n">
        <v>48</v>
      </c>
      <c r="H102" s="29" t="n">
        <v>878049.41</v>
      </c>
      <c r="I102" s="29">
        <f>IF(Intereses_Leasing_Mensual!I102&gt;0, ROUND(338821.62 - Intereses_Leasing_Mensual!I102, 2), "")</f>
        <v/>
      </c>
      <c r="J102" s="29">
        <f>IF(Intereses_Leasing_Mensual!J102&gt;0, ROUND(I102 - Intereses_Leasing_Mensual!J102, 2), "")</f>
        <v/>
      </c>
      <c r="K102" s="29">
        <f>IF(Intereses_Leasing_Mensual!K102&gt;0, ROUND(J102 - Intereses_Leasing_Mensual!K102, 2), "")</f>
        <v/>
      </c>
      <c r="L102" s="29">
        <f>IF(Intereses_Leasing_Mensual!L102&gt;0, ROUND(K102 - Intereses_Leasing_Mensual!L102, 2), "")</f>
        <v/>
      </c>
      <c r="M102" s="29">
        <f>IF(Intereses_Leasing_Mensual!M102&gt;0, ROUND(L102 - Intereses_Leasing_Mensual!M102, 2), "")</f>
        <v/>
      </c>
      <c r="N102" s="29">
        <f>IF(Intereses_Leasing_Mensual!N102&gt;0, ROUND(M102 - Intereses_Leasing_Mensual!N102, 2), "")</f>
        <v/>
      </c>
      <c r="O102" s="29">
        <f>IF(Intereses_Leasing_Mensual!O102&gt;0, ROUND(N102 - Intereses_Leasing_Mensual!O102, 2), "")</f>
        <v/>
      </c>
      <c r="P102" s="29">
        <f>IF(Intereses_Leasing_Mensual!P102&gt;0, ROUND(O102 - Intereses_Leasing_Mensual!P102, 2), "")</f>
        <v/>
      </c>
      <c r="Q102" s="29">
        <f>IF(Intereses_Leasing_Mensual!Q102&gt;0, ROUND(P102 - Intereses_Leasing_Mensual!Q102, 2), "")</f>
        <v/>
      </c>
      <c r="R102" s="29">
        <f>IF(Intereses_Leasing_Mensual!R102&gt;0, ROUND(Q102 - Intereses_Leasing_Mensual!R102, 2), "")</f>
        <v/>
      </c>
      <c r="S102" s="29">
        <f>IF(Intereses_Leasing_Mensual!S102&gt;0, ROUND(R102 - Intereses_Leasing_Mensual!S102, 2), "")</f>
        <v/>
      </c>
      <c r="T102" s="29">
        <f>IF(Intereses_Leasing_Mensual!T102&gt;0, ROUND(S102 - Intereses_Leasing_Mensual!T102, 2), "")</f>
        <v/>
      </c>
      <c r="U102" s="29">
        <f>MAX(I102:T102)</f>
        <v/>
      </c>
    </row>
    <row r="103">
      <c r="A103" s="20" t="inlineStr">
        <is>
          <t>0647-0001</t>
        </is>
      </c>
      <c r="B103" s="21" t="inlineStr">
        <is>
          <t>Cibara Gourmet S de Rl de Cv</t>
        </is>
      </c>
      <c r="C103" s="21" t="inlineStr">
        <is>
          <t>Partner Maxi</t>
        </is>
      </c>
      <c r="D103" s="20" t="inlineStr">
        <is>
          <t>ACTIVO</t>
        </is>
      </c>
      <c r="E103" s="20" t="inlineStr">
        <is>
          <t>2024-01-10</t>
        </is>
      </c>
      <c r="F103" s="20" t="inlineStr">
        <is>
          <t>2027-01-10</t>
        </is>
      </c>
      <c r="G103" s="22" t="n">
        <v>36</v>
      </c>
      <c r="H103" s="23" t="n">
        <v>239517.5</v>
      </c>
      <c r="I103" s="23">
        <f>IF(Intereses_Leasing_Mensual!I103&gt;0, ROUND(50850.33 - Intereses_Leasing_Mensual!I103, 2), "")</f>
        <v/>
      </c>
      <c r="J103" s="23">
        <f>IF(Intereses_Leasing_Mensual!J103&gt;0, ROUND(I103 - Intereses_Leasing_Mensual!J103, 2), "")</f>
        <v/>
      </c>
      <c r="K103" s="23">
        <f>IF(Intereses_Leasing_Mensual!K103&gt;0, ROUND(J103 - Intereses_Leasing_Mensual!K103, 2), "")</f>
        <v/>
      </c>
      <c r="L103" s="23">
        <f>IF(Intereses_Leasing_Mensual!L103&gt;0, ROUND(K103 - Intereses_Leasing_Mensual!L103, 2), "")</f>
        <v/>
      </c>
      <c r="M103" s="23">
        <f>IF(Intereses_Leasing_Mensual!M103&gt;0, ROUND(L103 - Intereses_Leasing_Mensual!M103, 2), "")</f>
        <v/>
      </c>
      <c r="N103" s="23">
        <f>IF(Intereses_Leasing_Mensual!N103&gt;0, ROUND(M103 - Intereses_Leasing_Mensual!N103, 2), "")</f>
        <v/>
      </c>
      <c r="O103" s="23">
        <f>IF(Intereses_Leasing_Mensual!O103&gt;0, ROUND(N103 - Intereses_Leasing_Mensual!O103, 2), "")</f>
        <v/>
      </c>
      <c r="P103" s="23">
        <f>IF(Intereses_Leasing_Mensual!P103&gt;0, ROUND(O103 - Intereses_Leasing_Mensual!P103, 2), "")</f>
        <v/>
      </c>
      <c r="Q103" s="23">
        <f>IF(Intereses_Leasing_Mensual!Q103&gt;0, ROUND(P103 - Intereses_Leasing_Mensual!Q103, 2), "")</f>
        <v/>
      </c>
      <c r="R103" s="23">
        <f>IF(Intereses_Leasing_Mensual!R103&gt;0, ROUND(Q103 - Intereses_Leasing_Mensual!R103, 2), "")</f>
        <v/>
      </c>
      <c r="S103" s="23">
        <f>IF(Intereses_Leasing_Mensual!S103&gt;0, ROUND(R103 - Intereses_Leasing_Mensual!S103, 2), "")</f>
        <v/>
      </c>
      <c r="T103" s="23">
        <f>IF(Intereses_Leasing_Mensual!T103&gt;0, ROUND(S103 - Intereses_Leasing_Mensual!T103, 2), "")</f>
        <v/>
      </c>
      <c r="U103" s="23">
        <f>MAX(I103:T103)</f>
        <v/>
      </c>
    </row>
    <row r="104">
      <c r="A104" s="26" t="inlineStr">
        <is>
          <t>0647-0002</t>
        </is>
      </c>
      <c r="B104" s="27" t="inlineStr">
        <is>
          <t>Cibara Gourmet S de Rl de Cv</t>
        </is>
      </c>
      <c r="C104" s="27" t="inlineStr">
        <is>
          <t>Rifter Allure Pack</t>
        </is>
      </c>
      <c r="D104" s="26" t="inlineStr">
        <is>
          <t>ACTIVO</t>
        </is>
      </c>
      <c r="E104" s="26" t="inlineStr">
        <is>
          <t>2024-08-14</t>
        </is>
      </c>
      <c r="F104" s="26" t="inlineStr">
        <is>
          <t>2027-08-14</t>
        </is>
      </c>
      <c r="G104" s="28" t="n">
        <v>36</v>
      </c>
      <c r="H104" s="29" t="n">
        <v>256598.17</v>
      </c>
      <c r="I104" s="29">
        <f>IF(Intereses_Leasing_Mensual!I104&gt;0, ROUND(94107.58 - Intereses_Leasing_Mensual!I104, 2), "")</f>
        <v/>
      </c>
      <c r="J104" s="29">
        <f>IF(Intereses_Leasing_Mensual!J104&gt;0, ROUND(I104 - Intereses_Leasing_Mensual!J104, 2), "")</f>
        <v/>
      </c>
      <c r="K104" s="29">
        <f>IF(Intereses_Leasing_Mensual!K104&gt;0, ROUND(J104 - Intereses_Leasing_Mensual!K104, 2), "")</f>
        <v/>
      </c>
      <c r="L104" s="29">
        <f>IF(Intereses_Leasing_Mensual!L104&gt;0, ROUND(K104 - Intereses_Leasing_Mensual!L104, 2), "")</f>
        <v/>
      </c>
      <c r="M104" s="29">
        <f>IF(Intereses_Leasing_Mensual!M104&gt;0, ROUND(L104 - Intereses_Leasing_Mensual!M104, 2), "")</f>
        <v/>
      </c>
      <c r="N104" s="29">
        <f>IF(Intereses_Leasing_Mensual!N104&gt;0, ROUND(M104 - Intereses_Leasing_Mensual!N104, 2), "")</f>
        <v/>
      </c>
      <c r="O104" s="29">
        <f>IF(Intereses_Leasing_Mensual!O104&gt;0, ROUND(N104 - Intereses_Leasing_Mensual!O104, 2), "")</f>
        <v/>
      </c>
      <c r="P104" s="29">
        <f>IF(Intereses_Leasing_Mensual!P104&gt;0, ROUND(O104 - Intereses_Leasing_Mensual!P104, 2), "")</f>
        <v/>
      </c>
      <c r="Q104" s="29">
        <f>IF(Intereses_Leasing_Mensual!Q104&gt;0, ROUND(P104 - Intereses_Leasing_Mensual!Q104, 2), "")</f>
        <v/>
      </c>
      <c r="R104" s="29">
        <f>IF(Intereses_Leasing_Mensual!R104&gt;0, ROUND(Q104 - Intereses_Leasing_Mensual!R104, 2), "")</f>
        <v/>
      </c>
      <c r="S104" s="29">
        <f>IF(Intereses_Leasing_Mensual!S104&gt;0, ROUND(R104 - Intereses_Leasing_Mensual!S104, 2), "")</f>
        <v/>
      </c>
      <c r="T104" s="29">
        <f>IF(Intereses_Leasing_Mensual!T104&gt;0, ROUND(S104 - Intereses_Leasing_Mensual!T104, 2), "")</f>
        <v/>
      </c>
      <c r="U104" s="29">
        <f>MAX(I104:T104)</f>
        <v/>
      </c>
    </row>
    <row r="105">
      <c r="A105" s="20" t="inlineStr">
        <is>
          <t>0647-0003</t>
        </is>
      </c>
      <c r="B105" s="21" t="inlineStr">
        <is>
          <t>Cibaria Gourmet S de Rl de Cv</t>
        </is>
      </c>
      <c r="C105" s="21" t="inlineStr">
        <is>
          <t>1200 Bighorn</t>
        </is>
      </c>
      <c r="D105" s="20" t="inlineStr">
        <is>
          <t>ACTIVO</t>
        </is>
      </c>
      <c r="E105" s="20" t="inlineStr">
        <is>
          <t>2026-06-30</t>
        </is>
      </c>
      <c r="F105" s="20" t="inlineStr">
        <is>
          <t>2029-06-30</t>
        </is>
      </c>
      <c r="G105" s="22" t="n">
        <v>36</v>
      </c>
      <c r="H105" s="23" t="n">
        <v>357693.26</v>
      </c>
      <c r="I105" s="23" t="inlineStr"/>
      <c r="J105" s="23" t="inlineStr"/>
      <c r="K105" s="23" t="inlineStr"/>
      <c r="L105" s="23" t="inlineStr"/>
      <c r="M105" s="23" t="inlineStr"/>
      <c r="N105" s="23">
        <f>IF(Intereses_Leasing_Mensual!N105&gt;0, ROUND($H105 - Intereses_Leasing_Mensual!N105, 2), "")</f>
        <v/>
      </c>
      <c r="O105" s="23">
        <f>IF(Intereses_Leasing_Mensual!O105&gt;0, ROUND(N105 - Intereses_Leasing_Mensual!O105, 2), "")</f>
        <v/>
      </c>
      <c r="P105" s="23">
        <f>IF(Intereses_Leasing_Mensual!P105&gt;0, ROUND(O105 - Intereses_Leasing_Mensual!P105, 2), "")</f>
        <v/>
      </c>
      <c r="Q105" s="23">
        <f>IF(Intereses_Leasing_Mensual!Q105&gt;0, ROUND(P105 - Intereses_Leasing_Mensual!Q105, 2), "")</f>
        <v/>
      </c>
      <c r="R105" s="23">
        <f>IF(Intereses_Leasing_Mensual!R105&gt;0, ROUND(Q105 - Intereses_Leasing_Mensual!R105, 2), "")</f>
        <v/>
      </c>
      <c r="S105" s="23">
        <f>IF(Intereses_Leasing_Mensual!S105&gt;0, ROUND(R105 - Intereses_Leasing_Mensual!S105, 2), "")</f>
        <v/>
      </c>
      <c r="T105" s="23">
        <f>IF(Intereses_Leasing_Mensual!T105&gt;0, ROUND(S105 - Intereses_Leasing_Mensual!T105, 2), "")</f>
        <v/>
      </c>
      <c r="U105" s="23">
        <f>MAX(I105:T105)</f>
        <v/>
      </c>
    </row>
    <row r="106">
      <c r="A106" s="26" t="inlineStr">
        <is>
          <t>0647-0004</t>
        </is>
      </c>
      <c r="B106" s="27" t="inlineStr">
        <is>
          <t>Cibaria Gourmet S de Rl de Cv</t>
        </is>
      </c>
      <c r="C106" s="27" t="inlineStr">
        <is>
          <t>1200 Bighorn</t>
        </is>
      </c>
      <c r="D106" s="26" t="inlineStr">
        <is>
          <t>ACTIVO</t>
        </is>
      </c>
      <c r="E106" s="26" t="inlineStr">
        <is>
          <t>2026-06-30</t>
        </is>
      </c>
      <c r="F106" s="26" t="inlineStr">
        <is>
          <t>2029-06-30</t>
        </is>
      </c>
      <c r="G106" s="28" t="n">
        <v>36</v>
      </c>
      <c r="H106" s="29" t="n">
        <v>357693.26</v>
      </c>
      <c r="I106" s="29" t="inlineStr"/>
      <c r="J106" s="29" t="inlineStr"/>
      <c r="K106" s="29" t="inlineStr"/>
      <c r="L106" s="29" t="inlineStr"/>
      <c r="M106" s="29" t="inlineStr"/>
      <c r="N106" s="29">
        <f>IF(Intereses_Leasing_Mensual!N106&gt;0, ROUND($H106 - Intereses_Leasing_Mensual!N106, 2), "")</f>
        <v/>
      </c>
      <c r="O106" s="29">
        <f>IF(Intereses_Leasing_Mensual!O106&gt;0, ROUND(N106 - Intereses_Leasing_Mensual!O106, 2), "")</f>
        <v/>
      </c>
      <c r="P106" s="29">
        <f>IF(Intereses_Leasing_Mensual!P106&gt;0, ROUND(O106 - Intereses_Leasing_Mensual!P106, 2), "")</f>
        <v/>
      </c>
      <c r="Q106" s="29">
        <f>IF(Intereses_Leasing_Mensual!Q106&gt;0, ROUND(P106 - Intereses_Leasing_Mensual!Q106, 2), "")</f>
        <v/>
      </c>
      <c r="R106" s="29">
        <f>IF(Intereses_Leasing_Mensual!R106&gt;0, ROUND(Q106 - Intereses_Leasing_Mensual!R106, 2), "")</f>
        <v/>
      </c>
      <c r="S106" s="29">
        <f>IF(Intereses_Leasing_Mensual!S106&gt;0, ROUND(R106 - Intereses_Leasing_Mensual!S106, 2), "")</f>
        <v/>
      </c>
      <c r="T106" s="29">
        <f>IF(Intereses_Leasing_Mensual!T106&gt;0, ROUND(S106 - Intereses_Leasing_Mensual!T106, 2), "")</f>
        <v/>
      </c>
      <c r="U106" s="29">
        <f>MAX(I106:T106)</f>
        <v/>
      </c>
    </row>
    <row r="107">
      <c r="A107" s="20" t="inlineStr">
        <is>
          <t>0648-0002</t>
        </is>
      </c>
      <c r="B107" s="21" t="inlineStr">
        <is>
          <t>Jorge Luis Cervantes Gonzalez</t>
        </is>
      </c>
      <c r="C107" s="21" t="inlineStr">
        <is>
          <t>Wagoneer</t>
        </is>
      </c>
      <c r="D107" s="20" t="inlineStr">
        <is>
          <t>ACTIVO</t>
        </is>
      </c>
      <c r="E107" s="20" t="inlineStr">
        <is>
          <t>2024-03-20</t>
        </is>
      </c>
      <c r="F107" s="20" t="inlineStr">
        <is>
          <t>2028-03-20</t>
        </is>
      </c>
      <c r="G107" s="22" t="n">
        <v>48</v>
      </c>
      <c r="H107" s="23" t="n">
        <v>1337594</v>
      </c>
      <c r="I107" s="23">
        <f>IF(Intereses_Leasing_Mensual!I107&gt;0, ROUND(576817.02 - Intereses_Leasing_Mensual!I107, 2), "")</f>
        <v/>
      </c>
      <c r="J107" s="23">
        <f>IF(Intereses_Leasing_Mensual!J107&gt;0, ROUND(I107 - Intereses_Leasing_Mensual!J107, 2), "")</f>
        <v/>
      </c>
      <c r="K107" s="23">
        <f>IF(Intereses_Leasing_Mensual!K107&gt;0, ROUND(J107 - Intereses_Leasing_Mensual!K107, 2), "")</f>
        <v/>
      </c>
      <c r="L107" s="23">
        <f>IF(Intereses_Leasing_Mensual!L107&gt;0, ROUND(K107 - Intereses_Leasing_Mensual!L107, 2), "")</f>
        <v/>
      </c>
      <c r="M107" s="23">
        <f>IF(Intereses_Leasing_Mensual!M107&gt;0, ROUND(L107 - Intereses_Leasing_Mensual!M107, 2), "")</f>
        <v/>
      </c>
      <c r="N107" s="23">
        <f>IF(Intereses_Leasing_Mensual!N107&gt;0, ROUND(M107 - Intereses_Leasing_Mensual!N107, 2), "")</f>
        <v/>
      </c>
      <c r="O107" s="23">
        <f>IF(Intereses_Leasing_Mensual!O107&gt;0, ROUND(N107 - Intereses_Leasing_Mensual!O107, 2), "")</f>
        <v/>
      </c>
      <c r="P107" s="23">
        <f>IF(Intereses_Leasing_Mensual!P107&gt;0, ROUND(O107 - Intereses_Leasing_Mensual!P107, 2), "")</f>
        <v/>
      </c>
      <c r="Q107" s="23">
        <f>IF(Intereses_Leasing_Mensual!Q107&gt;0, ROUND(P107 - Intereses_Leasing_Mensual!Q107, 2), "")</f>
        <v/>
      </c>
      <c r="R107" s="23">
        <f>IF(Intereses_Leasing_Mensual!R107&gt;0, ROUND(Q107 - Intereses_Leasing_Mensual!R107, 2), "")</f>
        <v/>
      </c>
      <c r="S107" s="23">
        <f>IF(Intereses_Leasing_Mensual!S107&gt;0, ROUND(R107 - Intereses_Leasing_Mensual!S107, 2), "")</f>
        <v/>
      </c>
      <c r="T107" s="23">
        <f>IF(Intereses_Leasing_Mensual!T107&gt;0, ROUND(S107 - Intereses_Leasing_Mensual!T107, 2), "")</f>
        <v/>
      </c>
      <c r="U107" s="23">
        <f>MAX(I107:T107)</f>
        <v/>
      </c>
    </row>
    <row r="108">
      <c r="A108" s="26" t="inlineStr">
        <is>
          <t>0648-0003</t>
        </is>
      </c>
      <c r="B108" s="27" t="inlineStr">
        <is>
          <t>Jorge Luis Cervantes Gonzalez</t>
        </is>
      </c>
      <c r="C108" s="27" t="inlineStr">
        <is>
          <t>Wrangler Tuscadero</t>
        </is>
      </c>
      <c r="D108" s="26" t="inlineStr">
        <is>
          <t>ACTIVO</t>
        </is>
      </c>
      <c r="E108" s="26" t="inlineStr">
        <is>
          <t>2024-07-30</t>
        </is>
      </c>
      <c r="F108" s="26" t="inlineStr">
        <is>
          <t>2028-07-30</t>
        </is>
      </c>
      <c r="G108" s="28" t="n">
        <v>48</v>
      </c>
      <c r="H108" s="29" t="n">
        <v>1188246.32</v>
      </c>
      <c r="I108" s="29">
        <f>IF(Intereses_Leasing_Mensual!I108&gt;0, ROUND(607995.75 - Intereses_Leasing_Mensual!I108, 2), "")</f>
        <v/>
      </c>
      <c r="J108" s="29">
        <f>IF(Intereses_Leasing_Mensual!J108&gt;0, ROUND(I108 - Intereses_Leasing_Mensual!J108, 2), "")</f>
        <v/>
      </c>
      <c r="K108" s="29">
        <f>IF(Intereses_Leasing_Mensual!K108&gt;0, ROUND(J108 - Intereses_Leasing_Mensual!K108, 2), "")</f>
        <v/>
      </c>
      <c r="L108" s="29">
        <f>IF(Intereses_Leasing_Mensual!L108&gt;0, ROUND(K108 - Intereses_Leasing_Mensual!L108, 2), "")</f>
        <v/>
      </c>
      <c r="M108" s="29">
        <f>IF(Intereses_Leasing_Mensual!M108&gt;0, ROUND(L108 - Intereses_Leasing_Mensual!M108, 2), "")</f>
        <v/>
      </c>
      <c r="N108" s="29">
        <f>IF(Intereses_Leasing_Mensual!N108&gt;0, ROUND(M108 - Intereses_Leasing_Mensual!N108, 2), "")</f>
        <v/>
      </c>
      <c r="O108" s="29">
        <f>IF(Intereses_Leasing_Mensual!O108&gt;0, ROUND(N108 - Intereses_Leasing_Mensual!O108, 2), "")</f>
        <v/>
      </c>
      <c r="P108" s="29">
        <f>IF(Intereses_Leasing_Mensual!P108&gt;0, ROUND(O108 - Intereses_Leasing_Mensual!P108, 2), "")</f>
        <v/>
      </c>
      <c r="Q108" s="29">
        <f>IF(Intereses_Leasing_Mensual!Q108&gt;0, ROUND(P108 - Intereses_Leasing_Mensual!Q108, 2), "")</f>
        <v/>
      </c>
      <c r="R108" s="29">
        <f>IF(Intereses_Leasing_Mensual!R108&gt;0, ROUND(Q108 - Intereses_Leasing_Mensual!R108, 2), "")</f>
        <v/>
      </c>
      <c r="S108" s="29">
        <f>IF(Intereses_Leasing_Mensual!S108&gt;0, ROUND(R108 - Intereses_Leasing_Mensual!S108, 2), "")</f>
        <v/>
      </c>
      <c r="T108" s="29">
        <f>IF(Intereses_Leasing_Mensual!T108&gt;0, ROUND(S108 - Intereses_Leasing_Mensual!T108, 2), "")</f>
        <v/>
      </c>
      <c r="U108" s="29">
        <f>MAX(I108:T108)</f>
        <v/>
      </c>
    </row>
    <row r="109">
      <c r="A109" s="20" t="inlineStr">
        <is>
          <t>0648-0004</t>
        </is>
      </c>
      <c r="B109" s="21" t="inlineStr">
        <is>
          <t>Jorge Luis Cervantes Gonzalez</t>
        </is>
      </c>
      <c r="C109" s="21" t="inlineStr">
        <is>
          <t>JEEP 392</t>
        </is>
      </c>
      <c r="D109" s="20" t="inlineStr">
        <is>
          <t>ACTIVO</t>
        </is>
      </c>
      <c r="E109" s="20" t="inlineStr">
        <is>
          <t>2025-11-13</t>
        </is>
      </c>
      <c r="F109" s="20" t="inlineStr">
        <is>
          <t>2028-11-13</t>
        </is>
      </c>
      <c r="G109" s="22" t="n">
        <v>36</v>
      </c>
      <c r="H109" s="23" t="n">
        <v>1100306.53</v>
      </c>
      <c r="I109" s="23">
        <f>IF(Intereses_Leasing_Mensual!I109&gt;0, ROUND(1011307.06 - Intereses_Leasing_Mensual!I109, 2), "")</f>
        <v/>
      </c>
      <c r="J109" s="23">
        <f>IF(Intereses_Leasing_Mensual!J109&gt;0, ROUND(I109 - Intereses_Leasing_Mensual!J109, 2), "")</f>
        <v/>
      </c>
      <c r="K109" s="23">
        <f>IF(Intereses_Leasing_Mensual!K109&gt;0, ROUND(J109 - Intereses_Leasing_Mensual!K109, 2), "")</f>
        <v/>
      </c>
      <c r="L109" s="23">
        <f>IF(Intereses_Leasing_Mensual!L109&gt;0, ROUND(K109 - Intereses_Leasing_Mensual!L109, 2), "")</f>
        <v/>
      </c>
      <c r="M109" s="23">
        <f>IF(Intereses_Leasing_Mensual!M109&gt;0, ROUND(L109 - Intereses_Leasing_Mensual!M109, 2), "")</f>
        <v/>
      </c>
      <c r="N109" s="23">
        <f>IF(Intereses_Leasing_Mensual!N109&gt;0, ROUND(M109 - Intereses_Leasing_Mensual!N109, 2), "")</f>
        <v/>
      </c>
      <c r="O109" s="23">
        <f>IF(Intereses_Leasing_Mensual!O109&gt;0, ROUND(N109 - Intereses_Leasing_Mensual!O109, 2), "")</f>
        <v/>
      </c>
      <c r="P109" s="23">
        <f>IF(Intereses_Leasing_Mensual!P109&gt;0, ROUND(O109 - Intereses_Leasing_Mensual!P109, 2), "")</f>
        <v/>
      </c>
      <c r="Q109" s="23">
        <f>IF(Intereses_Leasing_Mensual!Q109&gt;0, ROUND(P109 - Intereses_Leasing_Mensual!Q109, 2), "")</f>
        <v/>
      </c>
      <c r="R109" s="23">
        <f>IF(Intereses_Leasing_Mensual!R109&gt;0, ROUND(Q109 - Intereses_Leasing_Mensual!R109, 2), "")</f>
        <v/>
      </c>
      <c r="S109" s="23">
        <f>IF(Intereses_Leasing_Mensual!S109&gt;0, ROUND(R109 - Intereses_Leasing_Mensual!S109, 2), "")</f>
        <v/>
      </c>
      <c r="T109" s="23">
        <f>IF(Intereses_Leasing_Mensual!T109&gt;0, ROUND(S109 - Intereses_Leasing_Mensual!T109, 2), "")</f>
        <v/>
      </c>
      <c r="U109" s="23">
        <f>MAX(I109:T109)</f>
        <v/>
      </c>
    </row>
    <row r="110">
      <c r="A110" s="26" t="inlineStr">
        <is>
          <t>0648-0005</t>
        </is>
      </c>
      <c r="B110" s="27" t="inlineStr">
        <is>
          <t>Jorge Luis Cervantes Gonzalez</t>
        </is>
      </c>
      <c r="C110" s="27" t="inlineStr">
        <is>
          <t>1500 RHO</t>
        </is>
      </c>
      <c r="D110" s="26" t="inlineStr">
        <is>
          <t>ACTIVO</t>
        </is>
      </c>
      <c r="E110" s="26" t="inlineStr">
        <is>
          <t>2026-01-30</t>
        </is>
      </c>
      <c r="F110" s="26" t="inlineStr">
        <is>
          <t>2029-01-30</t>
        </is>
      </c>
      <c r="G110" s="28" t="n">
        <v>36</v>
      </c>
      <c r="H110" s="29" t="n">
        <v>1184789.73</v>
      </c>
      <c r="I110" s="29">
        <f>IF(Intereses_Leasing_Mensual!I110&gt;0, ROUND($H110 - Intereses_Leasing_Mensual!I110, 2), "")</f>
        <v/>
      </c>
      <c r="J110" s="29">
        <f>IF(Intereses_Leasing_Mensual!J110&gt;0, ROUND(I110 - Intereses_Leasing_Mensual!J110, 2), "")</f>
        <v/>
      </c>
      <c r="K110" s="29">
        <f>IF(Intereses_Leasing_Mensual!K110&gt;0, ROUND(J110 - Intereses_Leasing_Mensual!K110, 2), "")</f>
        <v/>
      </c>
      <c r="L110" s="29">
        <f>IF(Intereses_Leasing_Mensual!L110&gt;0, ROUND(K110 - Intereses_Leasing_Mensual!L110, 2), "")</f>
        <v/>
      </c>
      <c r="M110" s="29">
        <f>IF(Intereses_Leasing_Mensual!M110&gt;0, ROUND(L110 - Intereses_Leasing_Mensual!M110, 2), "")</f>
        <v/>
      </c>
      <c r="N110" s="29">
        <f>IF(Intereses_Leasing_Mensual!N110&gt;0, ROUND(M110 - Intereses_Leasing_Mensual!N110, 2), "")</f>
        <v/>
      </c>
      <c r="O110" s="29">
        <f>IF(Intereses_Leasing_Mensual!O110&gt;0, ROUND(N110 - Intereses_Leasing_Mensual!O110, 2), "")</f>
        <v/>
      </c>
      <c r="P110" s="29">
        <f>IF(Intereses_Leasing_Mensual!P110&gt;0, ROUND(O110 - Intereses_Leasing_Mensual!P110, 2), "")</f>
        <v/>
      </c>
      <c r="Q110" s="29">
        <f>IF(Intereses_Leasing_Mensual!Q110&gt;0, ROUND(P110 - Intereses_Leasing_Mensual!Q110, 2), "")</f>
        <v/>
      </c>
      <c r="R110" s="29">
        <f>IF(Intereses_Leasing_Mensual!R110&gt;0, ROUND(Q110 - Intereses_Leasing_Mensual!R110, 2), "")</f>
        <v/>
      </c>
      <c r="S110" s="29">
        <f>IF(Intereses_Leasing_Mensual!S110&gt;0, ROUND(R110 - Intereses_Leasing_Mensual!S110, 2), "")</f>
        <v/>
      </c>
      <c r="T110" s="29">
        <f>IF(Intereses_Leasing_Mensual!T110&gt;0, ROUND(S110 - Intereses_Leasing_Mensual!T110, 2), "")</f>
        <v/>
      </c>
      <c r="U110" s="29">
        <f>MAX(I110:T110)</f>
        <v/>
      </c>
    </row>
    <row r="111">
      <c r="A111" s="20" t="inlineStr">
        <is>
          <t>0648-0006</t>
        </is>
      </c>
      <c r="B111" s="21" t="inlineStr">
        <is>
          <t>Jorge Luis Cervantes Gonzalez</t>
        </is>
      </c>
      <c r="C111" s="21" t="inlineStr">
        <is>
          <t>Durango Hellcat SRT</t>
        </is>
      </c>
      <c r="D111" s="20" t="inlineStr">
        <is>
          <t>ACTIVO</t>
        </is>
      </c>
      <c r="E111" s="20" t="inlineStr">
        <is>
          <t>2026-04-01</t>
        </is>
      </c>
      <c r="F111" s="20" t="inlineStr">
        <is>
          <t>2029-04-01</t>
        </is>
      </c>
      <c r="G111" s="22" t="n">
        <v>36</v>
      </c>
      <c r="H111" s="23" t="n">
        <v>1105922.51</v>
      </c>
      <c r="I111" s="23" t="inlineStr"/>
      <c r="J111" s="23" t="inlineStr"/>
      <c r="K111" s="23" t="inlineStr"/>
      <c r="L111" s="23">
        <f>IF(Intereses_Leasing_Mensual!L111&gt;0, ROUND($H111 - Intereses_Leasing_Mensual!L111, 2), "")</f>
        <v/>
      </c>
      <c r="M111" s="23">
        <f>IF(Intereses_Leasing_Mensual!M111&gt;0, ROUND(L111 - Intereses_Leasing_Mensual!M111, 2), "")</f>
        <v/>
      </c>
      <c r="N111" s="23">
        <f>IF(Intereses_Leasing_Mensual!N111&gt;0, ROUND(M111 - Intereses_Leasing_Mensual!N111, 2), "")</f>
        <v/>
      </c>
      <c r="O111" s="23">
        <f>IF(Intereses_Leasing_Mensual!O111&gt;0, ROUND(N111 - Intereses_Leasing_Mensual!O111, 2), "")</f>
        <v/>
      </c>
      <c r="P111" s="23">
        <f>IF(Intereses_Leasing_Mensual!P111&gt;0, ROUND(O111 - Intereses_Leasing_Mensual!P111, 2), "")</f>
        <v/>
      </c>
      <c r="Q111" s="23">
        <f>IF(Intereses_Leasing_Mensual!Q111&gt;0, ROUND(P111 - Intereses_Leasing_Mensual!Q111, 2), "")</f>
        <v/>
      </c>
      <c r="R111" s="23">
        <f>IF(Intereses_Leasing_Mensual!R111&gt;0, ROUND(Q111 - Intereses_Leasing_Mensual!R111, 2), "")</f>
        <v/>
      </c>
      <c r="S111" s="23">
        <f>IF(Intereses_Leasing_Mensual!S111&gt;0, ROUND(R111 - Intereses_Leasing_Mensual!S111, 2), "")</f>
        <v/>
      </c>
      <c r="T111" s="23">
        <f>IF(Intereses_Leasing_Mensual!T111&gt;0, ROUND(S111 - Intereses_Leasing_Mensual!T111, 2), "")</f>
        <v/>
      </c>
      <c r="U111" s="23">
        <f>MAX(I111:T111)</f>
        <v/>
      </c>
    </row>
    <row r="112">
      <c r="A112" s="26" t="inlineStr">
        <is>
          <t>0649-0001</t>
        </is>
      </c>
      <c r="B112" s="27" t="inlineStr">
        <is>
          <t>Compusoluciones Y Asociados Sa de Cv</t>
        </is>
      </c>
      <c r="C112" s="27" t="inlineStr">
        <is>
          <t>CX-30</t>
        </is>
      </c>
      <c r="D112" s="26" t="inlineStr">
        <is>
          <t>ACTIVO</t>
        </is>
      </c>
      <c r="E112" s="26" t="inlineStr">
        <is>
          <t>2024-02-27</t>
        </is>
      </c>
      <c r="F112" s="26" t="inlineStr">
        <is>
          <t>2028-02-27</t>
        </is>
      </c>
      <c r="G112" s="28" t="n">
        <v>48</v>
      </c>
      <c r="H112" s="29" t="n">
        <v>292943.52</v>
      </c>
      <c r="I112" s="29">
        <f>IF(Intereses_Leasing_Mensual!I112&gt;0, ROUND(128047.23 - Intereses_Leasing_Mensual!I112, 2), "")</f>
        <v/>
      </c>
      <c r="J112" s="29">
        <f>IF(Intereses_Leasing_Mensual!J112&gt;0, ROUND(I112 - Intereses_Leasing_Mensual!J112, 2), "")</f>
        <v/>
      </c>
      <c r="K112" s="29">
        <f>IF(Intereses_Leasing_Mensual!K112&gt;0, ROUND(J112 - Intereses_Leasing_Mensual!K112, 2), "")</f>
        <v/>
      </c>
      <c r="L112" s="29">
        <f>IF(Intereses_Leasing_Mensual!L112&gt;0, ROUND(K112 - Intereses_Leasing_Mensual!L112, 2), "")</f>
        <v/>
      </c>
      <c r="M112" s="29">
        <f>IF(Intereses_Leasing_Mensual!M112&gt;0, ROUND(L112 - Intereses_Leasing_Mensual!M112, 2), "")</f>
        <v/>
      </c>
      <c r="N112" s="29">
        <f>IF(Intereses_Leasing_Mensual!N112&gt;0, ROUND(M112 - Intereses_Leasing_Mensual!N112, 2), "")</f>
        <v/>
      </c>
      <c r="O112" s="29">
        <f>IF(Intereses_Leasing_Mensual!O112&gt;0, ROUND(N112 - Intereses_Leasing_Mensual!O112, 2), "")</f>
        <v/>
      </c>
      <c r="P112" s="29">
        <f>IF(Intereses_Leasing_Mensual!P112&gt;0, ROUND(O112 - Intereses_Leasing_Mensual!P112, 2), "")</f>
        <v/>
      </c>
      <c r="Q112" s="29">
        <f>IF(Intereses_Leasing_Mensual!Q112&gt;0, ROUND(P112 - Intereses_Leasing_Mensual!Q112, 2), "")</f>
        <v/>
      </c>
      <c r="R112" s="29">
        <f>IF(Intereses_Leasing_Mensual!R112&gt;0, ROUND(Q112 - Intereses_Leasing_Mensual!R112, 2), "")</f>
        <v/>
      </c>
      <c r="S112" s="29">
        <f>IF(Intereses_Leasing_Mensual!S112&gt;0, ROUND(R112 - Intereses_Leasing_Mensual!S112, 2), "")</f>
        <v/>
      </c>
      <c r="T112" s="29">
        <f>IF(Intereses_Leasing_Mensual!T112&gt;0, ROUND(S112 - Intereses_Leasing_Mensual!T112, 2), "")</f>
        <v/>
      </c>
      <c r="U112" s="29">
        <f>MAX(I112:T112)</f>
        <v/>
      </c>
    </row>
    <row r="113">
      <c r="A113" s="20" t="inlineStr">
        <is>
          <t>0649-0002</t>
        </is>
      </c>
      <c r="B113" s="21" t="inlineStr">
        <is>
          <t>Compusoluciones Y Asociados Sa de Cv</t>
        </is>
      </c>
      <c r="C113" s="21" t="inlineStr">
        <is>
          <t>CX5</t>
        </is>
      </c>
      <c r="D113" s="20" t="inlineStr">
        <is>
          <t>ACTIVO</t>
        </is>
      </c>
      <c r="E113" s="20" t="inlineStr">
        <is>
          <t>2024-02-27</t>
        </is>
      </c>
      <c r="F113" s="20" t="inlineStr">
        <is>
          <t>2028-02-27</t>
        </is>
      </c>
      <c r="G113" s="22" t="n">
        <v>48</v>
      </c>
      <c r="H113" s="23" t="n">
        <v>340596.86</v>
      </c>
      <c r="I113" s="23">
        <f>IF(Intereses_Leasing_Mensual!I113&gt;0, ROUND(151803.4 - Intereses_Leasing_Mensual!I113, 2), "")</f>
        <v/>
      </c>
      <c r="J113" s="23">
        <f>IF(Intereses_Leasing_Mensual!J113&gt;0, ROUND(I113 - Intereses_Leasing_Mensual!J113, 2), "")</f>
        <v/>
      </c>
      <c r="K113" s="23">
        <f>IF(Intereses_Leasing_Mensual!K113&gt;0, ROUND(J113 - Intereses_Leasing_Mensual!K113, 2), "")</f>
        <v/>
      </c>
      <c r="L113" s="23">
        <f>IF(Intereses_Leasing_Mensual!L113&gt;0, ROUND(K113 - Intereses_Leasing_Mensual!L113, 2), "")</f>
        <v/>
      </c>
      <c r="M113" s="23">
        <f>IF(Intereses_Leasing_Mensual!M113&gt;0, ROUND(L113 - Intereses_Leasing_Mensual!M113, 2), "")</f>
        <v/>
      </c>
      <c r="N113" s="23">
        <f>IF(Intereses_Leasing_Mensual!N113&gt;0, ROUND(M113 - Intereses_Leasing_Mensual!N113, 2), "")</f>
        <v/>
      </c>
      <c r="O113" s="23">
        <f>IF(Intereses_Leasing_Mensual!O113&gt;0, ROUND(N113 - Intereses_Leasing_Mensual!O113, 2), "")</f>
        <v/>
      </c>
      <c r="P113" s="23">
        <f>IF(Intereses_Leasing_Mensual!P113&gt;0, ROUND(O113 - Intereses_Leasing_Mensual!P113, 2), "")</f>
        <v/>
      </c>
      <c r="Q113" s="23">
        <f>IF(Intereses_Leasing_Mensual!Q113&gt;0, ROUND(P113 - Intereses_Leasing_Mensual!Q113, 2), "")</f>
        <v/>
      </c>
      <c r="R113" s="23">
        <f>IF(Intereses_Leasing_Mensual!R113&gt;0, ROUND(Q113 - Intereses_Leasing_Mensual!R113, 2), "")</f>
        <v/>
      </c>
      <c r="S113" s="23">
        <f>IF(Intereses_Leasing_Mensual!S113&gt;0, ROUND(R113 - Intereses_Leasing_Mensual!S113, 2), "")</f>
        <v/>
      </c>
      <c r="T113" s="23">
        <f>IF(Intereses_Leasing_Mensual!T113&gt;0, ROUND(S113 - Intereses_Leasing_Mensual!T113, 2), "")</f>
        <v/>
      </c>
      <c r="U113" s="23">
        <f>MAX(I113:T113)</f>
        <v/>
      </c>
    </row>
    <row r="114">
      <c r="A114" s="26" t="inlineStr">
        <is>
          <t>0649-0003</t>
        </is>
      </c>
      <c r="B114" s="27" t="inlineStr">
        <is>
          <t>Compusoluciones Y Asociados Sa de Cv</t>
        </is>
      </c>
      <c r="C114" s="27" t="inlineStr">
        <is>
          <t>Highlander XLE</t>
        </is>
      </c>
      <c r="D114" s="26" t="inlineStr">
        <is>
          <t>ACTIVO</t>
        </is>
      </c>
      <c r="E114" s="26" t="inlineStr">
        <is>
          <t>2024-03-13</t>
        </is>
      </c>
      <c r="F114" s="26" t="inlineStr">
        <is>
          <t>2028-03-13</t>
        </is>
      </c>
      <c r="G114" s="28" t="n">
        <v>48</v>
      </c>
      <c r="H114" s="29" t="n">
        <v>468663.68</v>
      </c>
      <c r="I114" s="29">
        <f>IF(Intereses_Leasing_Mensual!I114&gt;0, ROUND(223795.97 - Intereses_Leasing_Mensual!I114, 2), "")</f>
        <v/>
      </c>
      <c r="J114" s="29">
        <f>IF(Intereses_Leasing_Mensual!J114&gt;0, ROUND(I114 - Intereses_Leasing_Mensual!J114, 2), "")</f>
        <v/>
      </c>
      <c r="K114" s="29">
        <f>IF(Intereses_Leasing_Mensual!K114&gt;0, ROUND(J114 - Intereses_Leasing_Mensual!K114, 2), "")</f>
        <v/>
      </c>
      <c r="L114" s="29">
        <f>IF(Intereses_Leasing_Mensual!L114&gt;0, ROUND(K114 - Intereses_Leasing_Mensual!L114, 2), "")</f>
        <v/>
      </c>
      <c r="M114" s="29">
        <f>IF(Intereses_Leasing_Mensual!M114&gt;0, ROUND(L114 - Intereses_Leasing_Mensual!M114, 2), "")</f>
        <v/>
      </c>
      <c r="N114" s="29">
        <f>IF(Intereses_Leasing_Mensual!N114&gt;0, ROUND(M114 - Intereses_Leasing_Mensual!N114, 2), "")</f>
        <v/>
      </c>
      <c r="O114" s="29">
        <f>IF(Intereses_Leasing_Mensual!O114&gt;0, ROUND(N114 - Intereses_Leasing_Mensual!O114, 2), "")</f>
        <v/>
      </c>
      <c r="P114" s="29">
        <f>IF(Intereses_Leasing_Mensual!P114&gt;0, ROUND(O114 - Intereses_Leasing_Mensual!P114, 2), "")</f>
        <v/>
      </c>
      <c r="Q114" s="29">
        <f>IF(Intereses_Leasing_Mensual!Q114&gt;0, ROUND(P114 - Intereses_Leasing_Mensual!Q114, 2), "")</f>
        <v/>
      </c>
      <c r="R114" s="29">
        <f>IF(Intereses_Leasing_Mensual!R114&gt;0, ROUND(Q114 - Intereses_Leasing_Mensual!R114, 2), "")</f>
        <v/>
      </c>
      <c r="S114" s="29">
        <f>IF(Intereses_Leasing_Mensual!S114&gt;0, ROUND(R114 - Intereses_Leasing_Mensual!S114, 2), "")</f>
        <v/>
      </c>
      <c r="T114" s="29">
        <f>IF(Intereses_Leasing_Mensual!T114&gt;0, ROUND(S114 - Intereses_Leasing_Mensual!T114, 2), "")</f>
        <v/>
      </c>
      <c r="U114" s="29">
        <f>MAX(I114:T114)</f>
        <v/>
      </c>
    </row>
    <row r="115">
      <c r="A115" s="20" t="inlineStr">
        <is>
          <t>0649-0005</t>
        </is>
      </c>
      <c r="B115" s="21" t="inlineStr">
        <is>
          <t>Compusoluciones y Asociados Sa de Cv</t>
        </is>
      </c>
      <c r="C115" s="21" t="inlineStr">
        <is>
          <t>3 i Touring</t>
        </is>
      </c>
      <c r="D115" s="20" t="inlineStr">
        <is>
          <t>ACTIVO</t>
        </is>
      </c>
      <c r="E115" s="20" t="inlineStr">
        <is>
          <t>2024-07-24</t>
        </is>
      </c>
      <c r="F115" s="20" t="inlineStr">
        <is>
          <t>2028-07-24</t>
        </is>
      </c>
      <c r="G115" s="22" t="n">
        <v>48</v>
      </c>
      <c r="H115" s="23" t="n">
        <v>246491.11</v>
      </c>
      <c r="I115" s="23">
        <f>IF(Intereses_Leasing_Mensual!I115&gt;0, ROUND(137361.13 - Intereses_Leasing_Mensual!I115, 2), "")</f>
        <v/>
      </c>
      <c r="J115" s="23">
        <f>IF(Intereses_Leasing_Mensual!J115&gt;0, ROUND(I115 - Intereses_Leasing_Mensual!J115, 2), "")</f>
        <v/>
      </c>
      <c r="K115" s="23">
        <f>IF(Intereses_Leasing_Mensual!K115&gt;0, ROUND(J115 - Intereses_Leasing_Mensual!K115, 2), "")</f>
        <v/>
      </c>
      <c r="L115" s="23">
        <f>IF(Intereses_Leasing_Mensual!L115&gt;0, ROUND(K115 - Intereses_Leasing_Mensual!L115, 2), "")</f>
        <v/>
      </c>
      <c r="M115" s="23">
        <f>IF(Intereses_Leasing_Mensual!M115&gt;0, ROUND(L115 - Intereses_Leasing_Mensual!M115, 2), "")</f>
        <v/>
      </c>
      <c r="N115" s="23">
        <f>IF(Intereses_Leasing_Mensual!N115&gt;0, ROUND(M115 - Intereses_Leasing_Mensual!N115, 2), "")</f>
        <v/>
      </c>
      <c r="O115" s="23">
        <f>IF(Intereses_Leasing_Mensual!O115&gt;0, ROUND(N115 - Intereses_Leasing_Mensual!O115, 2), "")</f>
        <v/>
      </c>
      <c r="P115" s="23">
        <f>IF(Intereses_Leasing_Mensual!P115&gt;0, ROUND(O115 - Intereses_Leasing_Mensual!P115, 2), "")</f>
        <v/>
      </c>
      <c r="Q115" s="23">
        <f>IF(Intereses_Leasing_Mensual!Q115&gt;0, ROUND(P115 - Intereses_Leasing_Mensual!Q115, 2), "")</f>
        <v/>
      </c>
      <c r="R115" s="23">
        <f>IF(Intereses_Leasing_Mensual!R115&gt;0, ROUND(Q115 - Intereses_Leasing_Mensual!R115, 2), "")</f>
        <v/>
      </c>
      <c r="S115" s="23">
        <f>IF(Intereses_Leasing_Mensual!S115&gt;0, ROUND(R115 - Intereses_Leasing_Mensual!S115, 2), "")</f>
        <v/>
      </c>
      <c r="T115" s="23">
        <f>IF(Intereses_Leasing_Mensual!T115&gt;0, ROUND(S115 - Intereses_Leasing_Mensual!T115, 2), "")</f>
        <v/>
      </c>
      <c r="U115" s="23">
        <f>MAX(I115:T115)</f>
        <v/>
      </c>
    </row>
    <row r="116">
      <c r="A116" s="26" t="inlineStr">
        <is>
          <t>0649-0006</t>
        </is>
      </c>
      <c r="B116" s="27" t="inlineStr">
        <is>
          <t>Compusoluciones y Asociados sa de Cv</t>
        </is>
      </c>
      <c r="C116" s="27" t="inlineStr">
        <is>
          <t>Mazda Cx5</t>
        </is>
      </c>
      <c r="D116" s="26" t="inlineStr">
        <is>
          <t>ACTIVO</t>
        </is>
      </c>
      <c r="E116" s="26" t="inlineStr">
        <is>
          <t>2024-09-25</t>
        </is>
      </c>
      <c r="F116" s="26" t="inlineStr">
        <is>
          <t>2028-09-25</t>
        </is>
      </c>
      <c r="G116" s="28" t="n">
        <v>48</v>
      </c>
      <c r="H116" s="29" t="n">
        <v>352586.22</v>
      </c>
      <c r="I116" s="29">
        <f>IF(Intereses_Leasing_Mensual!I116&gt;0, ROUND(210226.75 - Intereses_Leasing_Mensual!I116, 2), "")</f>
        <v/>
      </c>
      <c r="J116" s="29">
        <f>IF(Intereses_Leasing_Mensual!J116&gt;0, ROUND(I116 - Intereses_Leasing_Mensual!J116, 2), "")</f>
        <v/>
      </c>
      <c r="K116" s="29">
        <f>IF(Intereses_Leasing_Mensual!K116&gt;0, ROUND(J116 - Intereses_Leasing_Mensual!K116, 2), "")</f>
        <v/>
      </c>
      <c r="L116" s="29">
        <f>IF(Intereses_Leasing_Mensual!L116&gt;0, ROUND(K116 - Intereses_Leasing_Mensual!L116, 2), "")</f>
        <v/>
      </c>
      <c r="M116" s="29">
        <f>IF(Intereses_Leasing_Mensual!M116&gt;0, ROUND(L116 - Intereses_Leasing_Mensual!M116, 2), "")</f>
        <v/>
      </c>
      <c r="N116" s="29">
        <f>IF(Intereses_Leasing_Mensual!N116&gt;0, ROUND(M116 - Intereses_Leasing_Mensual!N116, 2), "")</f>
        <v/>
      </c>
      <c r="O116" s="29">
        <f>IF(Intereses_Leasing_Mensual!O116&gt;0, ROUND(N116 - Intereses_Leasing_Mensual!O116, 2), "")</f>
        <v/>
      </c>
      <c r="P116" s="29">
        <f>IF(Intereses_Leasing_Mensual!P116&gt;0, ROUND(O116 - Intereses_Leasing_Mensual!P116, 2), "")</f>
        <v/>
      </c>
      <c r="Q116" s="29">
        <f>IF(Intereses_Leasing_Mensual!Q116&gt;0, ROUND(P116 - Intereses_Leasing_Mensual!Q116, 2), "")</f>
        <v/>
      </c>
      <c r="R116" s="29">
        <f>IF(Intereses_Leasing_Mensual!R116&gt;0, ROUND(Q116 - Intereses_Leasing_Mensual!R116, 2), "")</f>
        <v/>
      </c>
      <c r="S116" s="29">
        <f>IF(Intereses_Leasing_Mensual!S116&gt;0, ROUND(R116 - Intereses_Leasing_Mensual!S116, 2), "")</f>
        <v/>
      </c>
      <c r="T116" s="29">
        <f>IF(Intereses_Leasing_Mensual!T116&gt;0, ROUND(S116 - Intereses_Leasing_Mensual!T116, 2), "")</f>
        <v/>
      </c>
      <c r="U116" s="29">
        <f>MAX(I116:T116)</f>
        <v/>
      </c>
    </row>
    <row r="117">
      <c r="A117" s="20" t="inlineStr">
        <is>
          <t>0649-0007</t>
        </is>
      </c>
      <c r="B117" s="21" t="inlineStr">
        <is>
          <t>Compusoluciones y Asociados sa de Cv</t>
        </is>
      </c>
      <c r="C117" s="21" t="inlineStr">
        <is>
          <t>RX5</t>
        </is>
      </c>
      <c r="D117" s="20" t="inlineStr">
        <is>
          <t>ACTIVO</t>
        </is>
      </c>
      <c r="E117" s="20" t="inlineStr">
        <is>
          <t>2024-10-28</t>
        </is>
      </c>
      <c r="F117" s="20" t="inlineStr">
        <is>
          <t>2027-10-28</t>
        </is>
      </c>
      <c r="G117" s="22" t="n">
        <v>36</v>
      </c>
      <c r="H117" s="23" t="n">
        <v>155404.73</v>
      </c>
      <c r="I117" s="23">
        <f>IF(Intereses_Leasing_Mensual!I117&gt;0, ROUND(78969.38 - Intereses_Leasing_Mensual!I117, 2), "")</f>
        <v/>
      </c>
      <c r="J117" s="23">
        <f>IF(Intereses_Leasing_Mensual!J117&gt;0, ROUND(I117 - Intereses_Leasing_Mensual!J117, 2), "")</f>
        <v/>
      </c>
      <c r="K117" s="23">
        <f>IF(Intereses_Leasing_Mensual!K117&gt;0, ROUND(J117 - Intereses_Leasing_Mensual!K117, 2), "")</f>
        <v/>
      </c>
      <c r="L117" s="23">
        <f>IF(Intereses_Leasing_Mensual!L117&gt;0, ROUND(K117 - Intereses_Leasing_Mensual!L117, 2), "")</f>
        <v/>
      </c>
      <c r="M117" s="23">
        <f>IF(Intereses_Leasing_Mensual!M117&gt;0, ROUND(L117 - Intereses_Leasing_Mensual!M117, 2), "")</f>
        <v/>
      </c>
      <c r="N117" s="23">
        <f>IF(Intereses_Leasing_Mensual!N117&gt;0, ROUND(M117 - Intereses_Leasing_Mensual!N117, 2), "")</f>
        <v/>
      </c>
      <c r="O117" s="23">
        <f>IF(Intereses_Leasing_Mensual!O117&gt;0, ROUND(N117 - Intereses_Leasing_Mensual!O117, 2), "")</f>
        <v/>
      </c>
      <c r="P117" s="23">
        <f>IF(Intereses_Leasing_Mensual!P117&gt;0, ROUND(O117 - Intereses_Leasing_Mensual!P117, 2), "")</f>
        <v/>
      </c>
      <c r="Q117" s="23">
        <f>IF(Intereses_Leasing_Mensual!Q117&gt;0, ROUND(P117 - Intereses_Leasing_Mensual!Q117, 2), "")</f>
        <v/>
      </c>
      <c r="R117" s="23">
        <f>IF(Intereses_Leasing_Mensual!R117&gt;0, ROUND(Q117 - Intereses_Leasing_Mensual!R117, 2), "")</f>
        <v/>
      </c>
      <c r="S117" s="23">
        <f>IF(Intereses_Leasing_Mensual!S117&gt;0, ROUND(R117 - Intereses_Leasing_Mensual!S117, 2), "")</f>
        <v/>
      </c>
      <c r="T117" s="23">
        <f>IF(Intereses_Leasing_Mensual!T117&gt;0, ROUND(S117 - Intereses_Leasing_Mensual!T117, 2), "")</f>
        <v/>
      </c>
      <c r="U117" s="23">
        <f>MAX(I117:T117)</f>
        <v/>
      </c>
    </row>
    <row r="118">
      <c r="A118" s="26" t="inlineStr">
        <is>
          <t>0649-0008</t>
        </is>
      </c>
      <c r="B118" s="27" t="inlineStr">
        <is>
          <t>Compusoluciones y Asociados Sa de Cv</t>
        </is>
      </c>
      <c r="C118" s="27" t="inlineStr">
        <is>
          <t>Kicks</t>
        </is>
      </c>
      <c r="D118" s="26" t="inlineStr">
        <is>
          <t>ACTIVO</t>
        </is>
      </c>
      <c r="E118" s="26" t="inlineStr">
        <is>
          <t>2024-11-27</t>
        </is>
      </c>
      <c r="F118" s="26" t="inlineStr">
        <is>
          <t>2028-11-27</t>
        </is>
      </c>
      <c r="G118" s="28" t="n">
        <v>48</v>
      </c>
      <c r="H118" s="29" t="n">
        <v>347750.52</v>
      </c>
      <c r="I118" s="29">
        <f>IF(Intereses_Leasing_Mensual!I118&gt;0, ROUND(226216.3 - Intereses_Leasing_Mensual!I118, 2), "")</f>
        <v/>
      </c>
      <c r="J118" s="29">
        <f>IF(Intereses_Leasing_Mensual!J118&gt;0, ROUND(I118 - Intereses_Leasing_Mensual!J118, 2), "")</f>
        <v/>
      </c>
      <c r="K118" s="29">
        <f>IF(Intereses_Leasing_Mensual!K118&gt;0, ROUND(J118 - Intereses_Leasing_Mensual!K118, 2), "")</f>
        <v/>
      </c>
      <c r="L118" s="29">
        <f>IF(Intereses_Leasing_Mensual!L118&gt;0, ROUND(K118 - Intereses_Leasing_Mensual!L118, 2), "")</f>
        <v/>
      </c>
      <c r="M118" s="29">
        <f>IF(Intereses_Leasing_Mensual!M118&gt;0, ROUND(L118 - Intereses_Leasing_Mensual!M118, 2), "")</f>
        <v/>
      </c>
      <c r="N118" s="29">
        <f>IF(Intereses_Leasing_Mensual!N118&gt;0, ROUND(M118 - Intereses_Leasing_Mensual!N118, 2), "")</f>
        <v/>
      </c>
      <c r="O118" s="29">
        <f>IF(Intereses_Leasing_Mensual!O118&gt;0, ROUND(N118 - Intereses_Leasing_Mensual!O118, 2), "")</f>
        <v/>
      </c>
      <c r="P118" s="29">
        <f>IF(Intereses_Leasing_Mensual!P118&gt;0, ROUND(O118 - Intereses_Leasing_Mensual!P118, 2), "")</f>
        <v/>
      </c>
      <c r="Q118" s="29">
        <f>IF(Intereses_Leasing_Mensual!Q118&gt;0, ROUND(P118 - Intereses_Leasing_Mensual!Q118, 2), "")</f>
        <v/>
      </c>
      <c r="R118" s="29">
        <f>IF(Intereses_Leasing_Mensual!R118&gt;0, ROUND(Q118 - Intereses_Leasing_Mensual!R118, 2), "")</f>
        <v/>
      </c>
      <c r="S118" s="29">
        <f>IF(Intereses_Leasing_Mensual!S118&gt;0, ROUND(R118 - Intereses_Leasing_Mensual!S118, 2), "")</f>
        <v/>
      </c>
      <c r="T118" s="29">
        <f>IF(Intereses_Leasing_Mensual!T118&gt;0, ROUND(S118 - Intereses_Leasing_Mensual!T118, 2), "")</f>
        <v/>
      </c>
      <c r="U118" s="29">
        <f>MAX(I118:T118)</f>
        <v/>
      </c>
    </row>
    <row r="119">
      <c r="A119" s="20" t="inlineStr">
        <is>
          <t>0649-0009</t>
        </is>
      </c>
      <c r="B119" s="21" t="inlineStr">
        <is>
          <t>Compusoluciones y Asociados Sa de Cv</t>
        </is>
      </c>
      <c r="C119" s="21" t="inlineStr">
        <is>
          <t>Fronx Boostergreen</t>
        </is>
      </c>
      <c r="D119" s="20" t="inlineStr">
        <is>
          <t>ACTIVO</t>
        </is>
      </c>
      <c r="E119" s="20" t="inlineStr">
        <is>
          <t>2025-05-26</t>
        </is>
      </c>
      <c r="F119" s="20" t="inlineStr">
        <is>
          <t>2029-05-26</t>
        </is>
      </c>
      <c r="G119" s="22" t="n">
        <v>48</v>
      </c>
      <c r="H119" s="23" t="n">
        <v>247640.8</v>
      </c>
      <c r="I119" s="23">
        <f>IF(Intereses_Leasing_Mensual!I119&gt;0, ROUND(197184.61 - Intereses_Leasing_Mensual!I119, 2), "")</f>
        <v/>
      </c>
      <c r="J119" s="23">
        <f>IF(Intereses_Leasing_Mensual!J119&gt;0, ROUND(I119 - Intereses_Leasing_Mensual!J119, 2), "")</f>
        <v/>
      </c>
      <c r="K119" s="23">
        <f>IF(Intereses_Leasing_Mensual!K119&gt;0, ROUND(J119 - Intereses_Leasing_Mensual!K119, 2), "")</f>
        <v/>
      </c>
      <c r="L119" s="23">
        <f>IF(Intereses_Leasing_Mensual!L119&gt;0, ROUND(K119 - Intereses_Leasing_Mensual!L119, 2), "")</f>
        <v/>
      </c>
      <c r="M119" s="23">
        <f>IF(Intereses_Leasing_Mensual!M119&gt;0, ROUND(L119 - Intereses_Leasing_Mensual!M119, 2), "")</f>
        <v/>
      </c>
      <c r="N119" s="23">
        <f>IF(Intereses_Leasing_Mensual!N119&gt;0, ROUND(M119 - Intereses_Leasing_Mensual!N119, 2), "")</f>
        <v/>
      </c>
      <c r="O119" s="23">
        <f>IF(Intereses_Leasing_Mensual!O119&gt;0, ROUND(N119 - Intereses_Leasing_Mensual!O119, 2), "")</f>
        <v/>
      </c>
      <c r="P119" s="23">
        <f>IF(Intereses_Leasing_Mensual!P119&gt;0, ROUND(O119 - Intereses_Leasing_Mensual!P119, 2), "")</f>
        <v/>
      </c>
      <c r="Q119" s="23">
        <f>IF(Intereses_Leasing_Mensual!Q119&gt;0, ROUND(P119 - Intereses_Leasing_Mensual!Q119, 2), "")</f>
        <v/>
      </c>
      <c r="R119" s="23">
        <f>IF(Intereses_Leasing_Mensual!R119&gt;0, ROUND(Q119 - Intereses_Leasing_Mensual!R119, 2), "")</f>
        <v/>
      </c>
      <c r="S119" s="23">
        <f>IF(Intereses_Leasing_Mensual!S119&gt;0, ROUND(R119 - Intereses_Leasing_Mensual!S119, 2), "")</f>
        <v/>
      </c>
      <c r="T119" s="23">
        <f>IF(Intereses_Leasing_Mensual!T119&gt;0, ROUND(S119 - Intereses_Leasing_Mensual!T119, 2), "")</f>
        <v/>
      </c>
      <c r="U119" s="23">
        <f>MAX(I119:T119)</f>
        <v/>
      </c>
    </row>
    <row r="120">
      <c r="A120" s="26" t="inlineStr">
        <is>
          <t>0649-0010</t>
        </is>
      </c>
      <c r="B120" s="27" t="inlineStr">
        <is>
          <t>Compusoluciones y Asociados Sa de Cv</t>
        </is>
      </c>
      <c r="C120" s="27" t="inlineStr">
        <is>
          <t>Mazda CX90</t>
        </is>
      </c>
      <c r="D120" s="26" t="inlineStr">
        <is>
          <t>ACTIVO</t>
        </is>
      </c>
      <c r="E120" s="26" t="inlineStr">
        <is>
          <t>2025-09-30</t>
        </is>
      </c>
      <c r="F120" s="26" t="inlineStr">
        <is>
          <t>2029-09-30</t>
        </is>
      </c>
      <c r="G120" s="28" t="n">
        <v>48</v>
      </c>
      <c r="H120" s="29" t="n">
        <v>468501.25</v>
      </c>
      <c r="I120" s="29">
        <f>IF(Intereses_Leasing_Mensual!I120&gt;0, ROUND(419866.3 - Intereses_Leasing_Mensual!I120, 2), "")</f>
        <v/>
      </c>
      <c r="J120" s="29">
        <f>IF(Intereses_Leasing_Mensual!J120&gt;0, ROUND(I120 - Intereses_Leasing_Mensual!J120, 2), "")</f>
        <v/>
      </c>
      <c r="K120" s="29">
        <f>IF(Intereses_Leasing_Mensual!K120&gt;0, ROUND(J120 - Intereses_Leasing_Mensual!K120, 2), "")</f>
        <v/>
      </c>
      <c r="L120" s="29">
        <f>IF(Intereses_Leasing_Mensual!L120&gt;0, ROUND(K120 - Intereses_Leasing_Mensual!L120, 2), "")</f>
        <v/>
      </c>
      <c r="M120" s="29">
        <f>IF(Intereses_Leasing_Mensual!M120&gt;0, ROUND(L120 - Intereses_Leasing_Mensual!M120, 2), "")</f>
        <v/>
      </c>
      <c r="N120" s="29">
        <f>IF(Intereses_Leasing_Mensual!N120&gt;0, ROUND(M120 - Intereses_Leasing_Mensual!N120, 2), "")</f>
        <v/>
      </c>
      <c r="O120" s="29">
        <f>IF(Intereses_Leasing_Mensual!O120&gt;0, ROUND(N120 - Intereses_Leasing_Mensual!O120, 2), "")</f>
        <v/>
      </c>
      <c r="P120" s="29">
        <f>IF(Intereses_Leasing_Mensual!P120&gt;0, ROUND(O120 - Intereses_Leasing_Mensual!P120, 2), "")</f>
        <v/>
      </c>
      <c r="Q120" s="29">
        <f>IF(Intereses_Leasing_Mensual!Q120&gt;0, ROUND(P120 - Intereses_Leasing_Mensual!Q120, 2), "")</f>
        <v/>
      </c>
      <c r="R120" s="29">
        <f>IF(Intereses_Leasing_Mensual!R120&gt;0, ROUND(Q120 - Intereses_Leasing_Mensual!R120, 2), "")</f>
        <v/>
      </c>
      <c r="S120" s="29">
        <f>IF(Intereses_Leasing_Mensual!S120&gt;0, ROUND(R120 - Intereses_Leasing_Mensual!S120, 2), "")</f>
        <v/>
      </c>
      <c r="T120" s="29">
        <f>IF(Intereses_Leasing_Mensual!T120&gt;0, ROUND(S120 - Intereses_Leasing_Mensual!T120, 2), "")</f>
        <v/>
      </c>
      <c r="U120" s="29">
        <f>MAX(I120:T120)</f>
        <v/>
      </c>
    </row>
    <row r="121">
      <c r="A121" s="20" t="inlineStr">
        <is>
          <t>0649-0011</t>
        </is>
      </c>
      <c r="B121" s="21" t="inlineStr">
        <is>
          <t>Compusoluciones y Asociados Sa de Cv</t>
        </is>
      </c>
      <c r="C121" s="21" t="inlineStr">
        <is>
          <t>EX40</t>
        </is>
      </c>
      <c r="D121" s="20" t="inlineStr">
        <is>
          <t>ACTIVO</t>
        </is>
      </c>
      <c r="E121" s="20" t="inlineStr">
        <is>
          <t>2025-10-23</t>
        </is>
      </c>
      <c r="F121" s="20" t="inlineStr">
        <is>
          <t>2029-10-23</t>
        </is>
      </c>
      <c r="G121" s="22" t="n">
        <v>48</v>
      </c>
      <c r="H121" s="23" t="n">
        <v>472068.66</v>
      </c>
      <c r="I121" s="23">
        <f>IF(Intereses_Leasing_Mensual!I121&gt;0, ROUND(437114.13 - Intereses_Leasing_Mensual!I121, 2), "")</f>
        <v/>
      </c>
      <c r="J121" s="23">
        <f>IF(Intereses_Leasing_Mensual!J121&gt;0, ROUND(I121 - Intereses_Leasing_Mensual!J121, 2), "")</f>
        <v/>
      </c>
      <c r="K121" s="23">
        <f>IF(Intereses_Leasing_Mensual!K121&gt;0, ROUND(J121 - Intereses_Leasing_Mensual!K121, 2), "")</f>
        <v/>
      </c>
      <c r="L121" s="23">
        <f>IF(Intereses_Leasing_Mensual!L121&gt;0, ROUND(K121 - Intereses_Leasing_Mensual!L121, 2), "")</f>
        <v/>
      </c>
      <c r="M121" s="23">
        <f>IF(Intereses_Leasing_Mensual!M121&gt;0, ROUND(L121 - Intereses_Leasing_Mensual!M121, 2), "")</f>
        <v/>
      </c>
      <c r="N121" s="23">
        <f>IF(Intereses_Leasing_Mensual!N121&gt;0, ROUND(M121 - Intereses_Leasing_Mensual!N121, 2), "")</f>
        <v/>
      </c>
      <c r="O121" s="23">
        <f>IF(Intereses_Leasing_Mensual!O121&gt;0, ROUND(N121 - Intereses_Leasing_Mensual!O121, 2), "")</f>
        <v/>
      </c>
      <c r="P121" s="23">
        <f>IF(Intereses_Leasing_Mensual!P121&gt;0, ROUND(O121 - Intereses_Leasing_Mensual!P121, 2), "")</f>
        <v/>
      </c>
      <c r="Q121" s="23">
        <f>IF(Intereses_Leasing_Mensual!Q121&gt;0, ROUND(P121 - Intereses_Leasing_Mensual!Q121, 2), "")</f>
        <v/>
      </c>
      <c r="R121" s="23">
        <f>IF(Intereses_Leasing_Mensual!R121&gt;0, ROUND(Q121 - Intereses_Leasing_Mensual!R121, 2), "")</f>
        <v/>
      </c>
      <c r="S121" s="23">
        <f>IF(Intereses_Leasing_Mensual!S121&gt;0, ROUND(R121 - Intereses_Leasing_Mensual!S121, 2), "")</f>
        <v/>
      </c>
      <c r="T121" s="23">
        <f>IF(Intereses_Leasing_Mensual!T121&gt;0, ROUND(S121 - Intereses_Leasing_Mensual!T121, 2), "")</f>
        <v/>
      </c>
      <c r="U121" s="23">
        <f>MAX(I121:T121)</f>
        <v/>
      </c>
    </row>
    <row r="122">
      <c r="A122" s="26" t="inlineStr">
        <is>
          <t>0649-0012</t>
        </is>
      </c>
      <c r="B122" s="27" t="inlineStr">
        <is>
          <t>Compusoluciones y Asociados Sa de Cv</t>
        </is>
      </c>
      <c r="C122" s="27" t="inlineStr">
        <is>
          <t>Sportage</t>
        </is>
      </c>
      <c r="D122" s="26" t="inlineStr">
        <is>
          <t>ACTIVO</t>
        </is>
      </c>
      <c r="E122" s="26" t="inlineStr">
        <is>
          <t>2025-12-01</t>
        </is>
      </c>
      <c r="F122" s="26" t="inlineStr">
        <is>
          <t>2029-12-01</t>
        </is>
      </c>
      <c r="G122" s="28" t="n">
        <v>48</v>
      </c>
      <c r="H122" s="29" t="n">
        <v>360817.6</v>
      </c>
      <c r="I122" s="29">
        <f>IF(Intereses_Leasing_Mensual!I122&gt;0, ROUND(351870.28 - Intereses_Leasing_Mensual!I122, 2), "")</f>
        <v/>
      </c>
      <c r="J122" s="29">
        <f>IF(Intereses_Leasing_Mensual!J122&gt;0, ROUND(I122 - Intereses_Leasing_Mensual!J122, 2), "")</f>
        <v/>
      </c>
      <c r="K122" s="29">
        <f>IF(Intereses_Leasing_Mensual!K122&gt;0, ROUND(J122 - Intereses_Leasing_Mensual!K122, 2), "")</f>
        <v/>
      </c>
      <c r="L122" s="29">
        <f>IF(Intereses_Leasing_Mensual!L122&gt;0, ROUND(K122 - Intereses_Leasing_Mensual!L122, 2), "")</f>
        <v/>
      </c>
      <c r="M122" s="29">
        <f>IF(Intereses_Leasing_Mensual!M122&gt;0, ROUND(L122 - Intereses_Leasing_Mensual!M122, 2), "")</f>
        <v/>
      </c>
      <c r="N122" s="29">
        <f>IF(Intereses_Leasing_Mensual!N122&gt;0, ROUND(M122 - Intereses_Leasing_Mensual!N122, 2), "")</f>
        <v/>
      </c>
      <c r="O122" s="29">
        <f>IF(Intereses_Leasing_Mensual!O122&gt;0, ROUND(N122 - Intereses_Leasing_Mensual!O122, 2), "")</f>
        <v/>
      </c>
      <c r="P122" s="29">
        <f>IF(Intereses_Leasing_Mensual!P122&gt;0, ROUND(O122 - Intereses_Leasing_Mensual!P122, 2), "")</f>
        <v/>
      </c>
      <c r="Q122" s="29">
        <f>IF(Intereses_Leasing_Mensual!Q122&gt;0, ROUND(P122 - Intereses_Leasing_Mensual!Q122, 2), "")</f>
        <v/>
      </c>
      <c r="R122" s="29">
        <f>IF(Intereses_Leasing_Mensual!R122&gt;0, ROUND(Q122 - Intereses_Leasing_Mensual!R122, 2), "")</f>
        <v/>
      </c>
      <c r="S122" s="29">
        <f>IF(Intereses_Leasing_Mensual!S122&gt;0, ROUND(R122 - Intereses_Leasing_Mensual!S122, 2), "")</f>
        <v/>
      </c>
      <c r="T122" s="29">
        <f>IF(Intereses_Leasing_Mensual!T122&gt;0, ROUND(S122 - Intereses_Leasing_Mensual!T122, 2), "")</f>
        <v/>
      </c>
      <c r="U122" s="29">
        <f>MAX(I122:T122)</f>
        <v/>
      </c>
    </row>
    <row r="123">
      <c r="A123" s="20" t="inlineStr">
        <is>
          <t>0649-0013</t>
        </is>
      </c>
      <c r="B123" s="21" t="inlineStr">
        <is>
          <t>Compusoluciones y Asociados Sa de Cv</t>
        </is>
      </c>
      <c r="C123" s="21" t="inlineStr">
        <is>
          <t>Mazda Mazda 3 Hatch Back 2026</t>
        </is>
      </c>
      <c r="D123" s="20" t="inlineStr">
        <is>
          <t>ACTIVO</t>
        </is>
      </c>
      <c r="E123" s="20" t="inlineStr">
        <is>
          <t>2026-07-22</t>
        </is>
      </c>
      <c r="F123" s="20" t="inlineStr">
        <is>
          <t>2030-07-22</t>
        </is>
      </c>
      <c r="G123" s="22" t="n">
        <v>48</v>
      </c>
      <c r="H123" s="23" t="n">
        <v>287909.55</v>
      </c>
      <c r="I123" s="23" t="inlineStr"/>
      <c r="J123" s="23" t="inlineStr"/>
      <c r="K123" s="23" t="inlineStr"/>
      <c r="L123" s="23" t="inlineStr"/>
      <c r="M123" s="23" t="inlineStr"/>
      <c r="N123" s="23" t="inlineStr"/>
      <c r="O123" s="23">
        <f>IF(Intereses_Leasing_Mensual!O123&gt;0, ROUND($H123 - Intereses_Leasing_Mensual!O123, 2), "")</f>
        <v/>
      </c>
      <c r="P123" s="23">
        <f>IF(Intereses_Leasing_Mensual!P123&gt;0, ROUND(O123 - Intereses_Leasing_Mensual!P123, 2), "")</f>
        <v/>
      </c>
      <c r="Q123" s="23">
        <f>IF(Intereses_Leasing_Mensual!Q123&gt;0, ROUND(P123 - Intereses_Leasing_Mensual!Q123, 2), "")</f>
        <v/>
      </c>
      <c r="R123" s="23">
        <f>IF(Intereses_Leasing_Mensual!R123&gt;0, ROUND(Q123 - Intereses_Leasing_Mensual!R123, 2), "")</f>
        <v/>
      </c>
      <c r="S123" s="23">
        <f>IF(Intereses_Leasing_Mensual!S123&gt;0, ROUND(R123 - Intereses_Leasing_Mensual!S123, 2), "")</f>
        <v/>
      </c>
      <c r="T123" s="23">
        <f>IF(Intereses_Leasing_Mensual!T123&gt;0, ROUND(S123 - Intereses_Leasing_Mensual!T123, 2), "")</f>
        <v/>
      </c>
      <c r="U123" s="23">
        <f>MAX(I123:T123)</f>
        <v/>
      </c>
    </row>
    <row r="124">
      <c r="A124" s="26" t="inlineStr">
        <is>
          <t>0649-0014</t>
        </is>
      </c>
      <c r="B124" s="27" t="inlineStr">
        <is>
          <t>Compusoluciones y Asociados Sa de Cv</t>
        </is>
      </c>
      <c r="C124" s="27" t="inlineStr">
        <is>
          <t>Subaru Forester 2026</t>
        </is>
      </c>
      <c r="D124" s="26" t="inlineStr">
        <is>
          <t>ACTIVO</t>
        </is>
      </c>
      <c r="E124" s="26" t="inlineStr">
        <is>
          <t>2026-07-28</t>
        </is>
      </c>
      <c r="F124" s="26" t="inlineStr">
        <is>
          <t>2030-07-28</t>
        </is>
      </c>
      <c r="G124" s="28" t="n">
        <v>48</v>
      </c>
      <c r="H124" s="29" t="n">
        <v>361866.77</v>
      </c>
      <c r="I124" s="29" t="inlineStr"/>
      <c r="J124" s="29" t="inlineStr"/>
      <c r="K124" s="29" t="inlineStr"/>
      <c r="L124" s="29" t="inlineStr"/>
      <c r="M124" s="29" t="inlineStr"/>
      <c r="N124" s="29" t="inlineStr"/>
      <c r="O124" s="29">
        <f>IF(Intereses_Leasing_Mensual!O124&gt;0, ROUND($H124 - Intereses_Leasing_Mensual!O124, 2), "")</f>
        <v/>
      </c>
      <c r="P124" s="29">
        <f>IF(Intereses_Leasing_Mensual!P124&gt;0, ROUND(O124 - Intereses_Leasing_Mensual!P124, 2), "")</f>
        <v/>
      </c>
      <c r="Q124" s="29">
        <f>IF(Intereses_Leasing_Mensual!Q124&gt;0, ROUND(P124 - Intereses_Leasing_Mensual!Q124, 2), "")</f>
        <v/>
      </c>
      <c r="R124" s="29">
        <f>IF(Intereses_Leasing_Mensual!R124&gt;0, ROUND(Q124 - Intereses_Leasing_Mensual!R124, 2), "")</f>
        <v/>
      </c>
      <c r="S124" s="29">
        <f>IF(Intereses_Leasing_Mensual!S124&gt;0, ROUND(R124 - Intereses_Leasing_Mensual!S124, 2), "")</f>
        <v/>
      </c>
      <c r="T124" s="29">
        <f>IF(Intereses_Leasing_Mensual!T124&gt;0, ROUND(S124 - Intereses_Leasing_Mensual!T124, 2), "")</f>
        <v/>
      </c>
      <c r="U124" s="29">
        <f>MAX(I124:T124)</f>
        <v/>
      </c>
    </row>
    <row r="125">
      <c r="A125" s="20" t="inlineStr">
        <is>
          <t>0650-0002</t>
        </is>
      </c>
      <c r="B125" s="21" t="inlineStr">
        <is>
          <t>Creando Music</t>
        </is>
      </c>
      <c r="C125" s="21" t="inlineStr">
        <is>
          <t>3008</t>
        </is>
      </c>
      <c r="D125" s="20" t="inlineStr">
        <is>
          <t>ACTIVO</t>
        </is>
      </c>
      <c r="E125" s="20" t="inlineStr">
        <is>
          <t>2025-12-23</t>
        </is>
      </c>
      <c r="F125" s="20" t="inlineStr">
        <is>
          <t>2026-12-23</t>
        </is>
      </c>
      <c r="G125" s="22" t="n">
        <v>12</v>
      </c>
      <c r="H125" s="23" t="n">
        <v>127681.77</v>
      </c>
      <c r="I125" s="23">
        <f>IF(Intereses_Leasing_Mensual!I125&gt;0, ROUND(113660.26 - Intereses_Leasing_Mensual!I125, 2), "")</f>
        <v/>
      </c>
      <c r="J125" s="23">
        <f>IF(Intereses_Leasing_Mensual!J125&gt;0, ROUND(I125 - Intereses_Leasing_Mensual!J125, 2), "")</f>
        <v/>
      </c>
      <c r="K125" s="23">
        <f>IF(Intereses_Leasing_Mensual!K125&gt;0, ROUND(J125 - Intereses_Leasing_Mensual!K125, 2), "")</f>
        <v/>
      </c>
      <c r="L125" s="23">
        <f>IF(Intereses_Leasing_Mensual!L125&gt;0, ROUND(K125 - Intereses_Leasing_Mensual!L125, 2), "")</f>
        <v/>
      </c>
      <c r="M125" s="23">
        <f>IF(Intereses_Leasing_Mensual!M125&gt;0, ROUND(L125 - Intereses_Leasing_Mensual!M125, 2), "")</f>
        <v/>
      </c>
      <c r="N125" s="23">
        <f>IF(Intereses_Leasing_Mensual!N125&gt;0, ROUND(M125 - Intereses_Leasing_Mensual!N125, 2), "")</f>
        <v/>
      </c>
      <c r="O125" s="23">
        <f>IF(Intereses_Leasing_Mensual!O125&gt;0, ROUND(N125 - Intereses_Leasing_Mensual!O125, 2), "")</f>
        <v/>
      </c>
      <c r="P125" s="23">
        <f>IF(Intereses_Leasing_Mensual!P125&gt;0, ROUND(O125 - Intereses_Leasing_Mensual!P125, 2), "")</f>
        <v/>
      </c>
      <c r="Q125" s="23">
        <f>IF(Intereses_Leasing_Mensual!Q125&gt;0, ROUND(P125 - Intereses_Leasing_Mensual!Q125, 2), "")</f>
        <v/>
      </c>
      <c r="R125" s="23">
        <f>IF(Intereses_Leasing_Mensual!R125&gt;0, ROUND(Q125 - Intereses_Leasing_Mensual!R125, 2), "")</f>
        <v/>
      </c>
      <c r="S125" s="23">
        <f>IF(Intereses_Leasing_Mensual!S125&gt;0, ROUND(R125 - Intereses_Leasing_Mensual!S125, 2), "")</f>
        <v/>
      </c>
      <c r="T125" s="23" t="inlineStr"/>
      <c r="U125" s="23">
        <f>MAX(I125:T125)</f>
        <v/>
      </c>
    </row>
    <row r="126">
      <c r="A126" s="26" t="inlineStr">
        <is>
          <t>0651-0001</t>
        </is>
      </c>
      <c r="B126" s="27" t="inlineStr">
        <is>
          <t>Asme Sa de Cv</t>
        </is>
      </c>
      <c r="C126" s="27" t="inlineStr">
        <is>
          <t>Compass High Altitude</t>
        </is>
      </c>
      <c r="D126" s="26" t="inlineStr">
        <is>
          <t>ACTIVO</t>
        </is>
      </c>
      <c r="E126" s="26" t="inlineStr">
        <is>
          <t>2024-02-28</t>
        </is>
      </c>
      <c r="F126" s="26" t="inlineStr">
        <is>
          <t>2028-02-28</t>
        </is>
      </c>
      <c r="G126" s="28" t="n">
        <v>48</v>
      </c>
      <c r="H126" s="29" t="n">
        <v>506538.32</v>
      </c>
      <c r="I126" s="29">
        <f>IF(Intereses_Leasing_Mensual!I126&gt;0, ROUND(206700.54 - Intereses_Leasing_Mensual!I126, 2), "")</f>
        <v/>
      </c>
      <c r="J126" s="29">
        <f>IF(Intereses_Leasing_Mensual!J126&gt;0, ROUND(I126 - Intereses_Leasing_Mensual!J126, 2), "")</f>
        <v/>
      </c>
      <c r="K126" s="29">
        <f>IF(Intereses_Leasing_Mensual!K126&gt;0, ROUND(J126 - Intereses_Leasing_Mensual!K126, 2), "")</f>
        <v/>
      </c>
      <c r="L126" s="29">
        <f>IF(Intereses_Leasing_Mensual!L126&gt;0, ROUND(K126 - Intereses_Leasing_Mensual!L126, 2), "")</f>
        <v/>
      </c>
      <c r="M126" s="29">
        <f>IF(Intereses_Leasing_Mensual!M126&gt;0, ROUND(L126 - Intereses_Leasing_Mensual!M126, 2), "")</f>
        <v/>
      </c>
      <c r="N126" s="29">
        <f>IF(Intereses_Leasing_Mensual!N126&gt;0, ROUND(M126 - Intereses_Leasing_Mensual!N126, 2), "")</f>
        <v/>
      </c>
      <c r="O126" s="29">
        <f>IF(Intereses_Leasing_Mensual!O126&gt;0, ROUND(N126 - Intereses_Leasing_Mensual!O126, 2), "")</f>
        <v/>
      </c>
      <c r="P126" s="29">
        <f>IF(Intereses_Leasing_Mensual!P126&gt;0, ROUND(O126 - Intereses_Leasing_Mensual!P126, 2), "")</f>
        <v/>
      </c>
      <c r="Q126" s="29">
        <f>IF(Intereses_Leasing_Mensual!Q126&gt;0, ROUND(P126 - Intereses_Leasing_Mensual!Q126, 2), "")</f>
        <v/>
      </c>
      <c r="R126" s="29">
        <f>IF(Intereses_Leasing_Mensual!R126&gt;0, ROUND(Q126 - Intereses_Leasing_Mensual!R126, 2), "")</f>
        <v/>
      </c>
      <c r="S126" s="29">
        <f>IF(Intereses_Leasing_Mensual!S126&gt;0, ROUND(R126 - Intereses_Leasing_Mensual!S126, 2), "")</f>
        <v/>
      </c>
      <c r="T126" s="29">
        <f>IF(Intereses_Leasing_Mensual!T126&gt;0, ROUND(S126 - Intereses_Leasing_Mensual!T126, 2), "")</f>
        <v/>
      </c>
      <c r="U126" s="29">
        <f>MAX(I126:T126)</f>
        <v/>
      </c>
    </row>
    <row r="127">
      <c r="A127" s="20" t="inlineStr">
        <is>
          <t>0654-0001</t>
        </is>
      </c>
      <c r="B127" s="21" t="inlineStr">
        <is>
          <t>Veronica Orozco Larios</t>
        </is>
      </c>
      <c r="C127" s="21" t="inlineStr">
        <is>
          <t>Ram 4000</t>
        </is>
      </c>
      <c r="D127" s="20" t="inlineStr">
        <is>
          <t>ACTIVO</t>
        </is>
      </c>
      <c r="E127" s="20" t="inlineStr">
        <is>
          <t>2024-03-20</t>
        </is>
      </c>
      <c r="F127" s="20" t="inlineStr">
        <is>
          <t>2027-03-20</t>
        </is>
      </c>
      <c r="G127" s="22" t="n">
        <v>36</v>
      </c>
      <c r="H127" s="23" t="n">
        <v>645377.22</v>
      </c>
      <c r="I127" s="23">
        <f>IF(Intereses_Leasing_Mensual!I127&gt;0, ROUND(195497.1 - Intereses_Leasing_Mensual!I127, 2), "")</f>
        <v/>
      </c>
      <c r="J127" s="23">
        <f>IF(Intereses_Leasing_Mensual!J127&gt;0, ROUND(I127 - Intereses_Leasing_Mensual!J127, 2), "")</f>
        <v/>
      </c>
      <c r="K127" s="23">
        <f>IF(Intereses_Leasing_Mensual!K127&gt;0, ROUND(J127 - Intereses_Leasing_Mensual!K127, 2), "")</f>
        <v/>
      </c>
      <c r="L127" s="23">
        <f>IF(Intereses_Leasing_Mensual!L127&gt;0, ROUND(K127 - Intereses_Leasing_Mensual!L127, 2), "")</f>
        <v/>
      </c>
      <c r="M127" s="23">
        <f>IF(Intereses_Leasing_Mensual!M127&gt;0, ROUND(L127 - Intereses_Leasing_Mensual!M127, 2), "")</f>
        <v/>
      </c>
      <c r="N127" s="23">
        <f>IF(Intereses_Leasing_Mensual!N127&gt;0, ROUND(M127 - Intereses_Leasing_Mensual!N127, 2), "")</f>
        <v/>
      </c>
      <c r="O127" s="23">
        <f>IF(Intereses_Leasing_Mensual!O127&gt;0, ROUND(N127 - Intereses_Leasing_Mensual!O127, 2), "")</f>
        <v/>
      </c>
      <c r="P127" s="23">
        <f>IF(Intereses_Leasing_Mensual!P127&gt;0, ROUND(O127 - Intereses_Leasing_Mensual!P127, 2), "")</f>
        <v/>
      </c>
      <c r="Q127" s="23">
        <f>IF(Intereses_Leasing_Mensual!Q127&gt;0, ROUND(P127 - Intereses_Leasing_Mensual!Q127, 2), "")</f>
        <v/>
      </c>
      <c r="R127" s="23">
        <f>IF(Intereses_Leasing_Mensual!R127&gt;0, ROUND(Q127 - Intereses_Leasing_Mensual!R127, 2), "")</f>
        <v/>
      </c>
      <c r="S127" s="23">
        <f>IF(Intereses_Leasing_Mensual!S127&gt;0, ROUND(R127 - Intereses_Leasing_Mensual!S127, 2), "")</f>
        <v/>
      </c>
      <c r="T127" s="23">
        <f>IF(Intereses_Leasing_Mensual!T127&gt;0, ROUND(S127 - Intereses_Leasing_Mensual!T127, 2), "")</f>
        <v/>
      </c>
      <c r="U127" s="23">
        <f>MAX(I127:T127)</f>
        <v/>
      </c>
    </row>
    <row r="128">
      <c r="A128" s="26" t="inlineStr">
        <is>
          <t>0655-0001</t>
        </is>
      </c>
      <c r="B128" s="27" t="inlineStr">
        <is>
          <t>Viñedos de la Rivera Sur de Chapala S de Rl de Cv</t>
        </is>
      </c>
      <c r="C128" s="27" t="inlineStr">
        <is>
          <t>Ram 2500 HEMI</t>
        </is>
      </c>
      <c r="D128" s="26" t="inlineStr">
        <is>
          <t>ACTIVO</t>
        </is>
      </c>
      <c r="E128" s="26" t="inlineStr">
        <is>
          <t>2024-04-04</t>
        </is>
      </c>
      <c r="F128" s="26" t="inlineStr">
        <is>
          <t>2027-04-04</t>
        </is>
      </c>
      <c r="G128" s="28" t="n">
        <v>36</v>
      </c>
      <c r="H128" s="29" t="n">
        <v>519343.25</v>
      </c>
      <c r="I128" s="29">
        <f>IF(Intereses_Leasing_Mensual!I128&gt;0, ROUND(171203.17 - Intereses_Leasing_Mensual!I128, 2), "")</f>
        <v/>
      </c>
      <c r="J128" s="29">
        <f>IF(Intereses_Leasing_Mensual!J128&gt;0, ROUND(I128 - Intereses_Leasing_Mensual!J128, 2), "")</f>
        <v/>
      </c>
      <c r="K128" s="29">
        <f>IF(Intereses_Leasing_Mensual!K128&gt;0, ROUND(J128 - Intereses_Leasing_Mensual!K128, 2), "")</f>
        <v/>
      </c>
      <c r="L128" s="29">
        <f>IF(Intereses_Leasing_Mensual!L128&gt;0, ROUND(K128 - Intereses_Leasing_Mensual!L128, 2), "")</f>
        <v/>
      </c>
      <c r="M128" s="29">
        <f>IF(Intereses_Leasing_Mensual!M128&gt;0, ROUND(L128 - Intereses_Leasing_Mensual!M128, 2), "")</f>
        <v/>
      </c>
      <c r="N128" s="29">
        <f>IF(Intereses_Leasing_Mensual!N128&gt;0, ROUND(M128 - Intereses_Leasing_Mensual!N128, 2), "")</f>
        <v/>
      </c>
      <c r="O128" s="29">
        <f>IF(Intereses_Leasing_Mensual!O128&gt;0, ROUND(N128 - Intereses_Leasing_Mensual!O128, 2), "")</f>
        <v/>
      </c>
      <c r="P128" s="29">
        <f>IF(Intereses_Leasing_Mensual!P128&gt;0, ROUND(O128 - Intereses_Leasing_Mensual!P128, 2), "")</f>
        <v/>
      </c>
      <c r="Q128" s="29">
        <f>IF(Intereses_Leasing_Mensual!Q128&gt;0, ROUND(P128 - Intereses_Leasing_Mensual!Q128, 2), "")</f>
        <v/>
      </c>
      <c r="R128" s="29">
        <f>IF(Intereses_Leasing_Mensual!R128&gt;0, ROUND(Q128 - Intereses_Leasing_Mensual!R128, 2), "")</f>
        <v/>
      </c>
      <c r="S128" s="29">
        <f>IF(Intereses_Leasing_Mensual!S128&gt;0, ROUND(R128 - Intereses_Leasing_Mensual!S128, 2), "")</f>
        <v/>
      </c>
      <c r="T128" s="29">
        <f>IF(Intereses_Leasing_Mensual!T128&gt;0, ROUND(S128 - Intereses_Leasing_Mensual!T128, 2), "")</f>
        <v/>
      </c>
      <c r="U128" s="29">
        <f>MAX(I128:T128)</f>
        <v/>
      </c>
    </row>
    <row r="129">
      <c r="A129" s="20" t="inlineStr">
        <is>
          <t>0658-0001</t>
        </is>
      </c>
      <c r="B129" s="21" t="inlineStr">
        <is>
          <t>Esteban Polanco Navarro</t>
        </is>
      </c>
      <c r="C129" s="21" t="inlineStr">
        <is>
          <t>RAM 1500 Long Horn</t>
        </is>
      </c>
      <c r="D129" s="20" t="inlineStr">
        <is>
          <t>ACTIVO</t>
        </is>
      </c>
      <c r="E129" s="20" t="inlineStr">
        <is>
          <t>2024-05-17</t>
        </is>
      </c>
      <c r="F129" s="20" t="inlineStr">
        <is>
          <t>2028-05-17</t>
        </is>
      </c>
      <c r="G129" s="22" t="n">
        <v>48</v>
      </c>
      <c r="H129" s="23" t="n">
        <v>1125023.02</v>
      </c>
      <c r="I129" s="23">
        <f>IF(Intereses_Leasing_Mensual!I129&gt;0, ROUND(528074.06 - Intereses_Leasing_Mensual!I129, 2), "")</f>
        <v/>
      </c>
      <c r="J129" s="23">
        <f>IF(Intereses_Leasing_Mensual!J129&gt;0, ROUND(I129 - Intereses_Leasing_Mensual!J129, 2), "")</f>
        <v/>
      </c>
      <c r="K129" s="23">
        <f>IF(Intereses_Leasing_Mensual!K129&gt;0, ROUND(J129 - Intereses_Leasing_Mensual!K129, 2), "")</f>
        <v/>
      </c>
      <c r="L129" s="23">
        <f>IF(Intereses_Leasing_Mensual!L129&gt;0, ROUND(K129 - Intereses_Leasing_Mensual!L129, 2), "")</f>
        <v/>
      </c>
      <c r="M129" s="23">
        <f>IF(Intereses_Leasing_Mensual!M129&gt;0, ROUND(L129 - Intereses_Leasing_Mensual!M129, 2), "")</f>
        <v/>
      </c>
      <c r="N129" s="23">
        <f>IF(Intereses_Leasing_Mensual!N129&gt;0, ROUND(M129 - Intereses_Leasing_Mensual!N129, 2), "")</f>
        <v/>
      </c>
      <c r="O129" s="23">
        <f>IF(Intereses_Leasing_Mensual!O129&gt;0, ROUND(N129 - Intereses_Leasing_Mensual!O129, 2), "")</f>
        <v/>
      </c>
      <c r="P129" s="23">
        <f>IF(Intereses_Leasing_Mensual!P129&gt;0, ROUND(O129 - Intereses_Leasing_Mensual!P129, 2), "")</f>
        <v/>
      </c>
      <c r="Q129" s="23">
        <f>IF(Intereses_Leasing_Mensual!Q129&gt;0, ROUND(P129 - Intereses_Leasing_Mensual!Q129, 2), "")</f>
        <v/>
      </c>
      <c r="R129" s="23">
        <f>IF(Intereses_Leasing_Mensual!R129&gt;0, ROUND(Q129 - Intereses_Leasing_Mensual!R129, 2), "")</f>
        <v/>
      </c>
      <c r="S129" s="23">
        <f>IF(Intereses_Leasing_Mensual!S129&gt;0, ROUND(R129 - Intereses_Leasing_Mensual!S129, 2), "")</f>
        <v/>
      </c>
      <c r="T129" s="23">
        <f>IF(Intereses_Leasing_Mensual!T129&gt;0, ROUND(S129 - Intereses_Leasing_Mensual!T129, 2), "")</f>
        <v/>
      </c>
      <c r="U129" s="23">
        <f>MAX(I129:T129)</f>
        <v/>
      </c>
    </row>
    <row r="130">
      <c r="A130" s="26" t="inlineStr">
        <is>
          <t>0660-0001</t>
        </is>
      </c>
      <c r="B130" s="27" t="inlineStr">
        <is>
          <t>Big Buck Capital sc</t>
        </is>
      </c>
      <c r="C130" s="27" t="inlineStr">
        <is>
          <t>MG 5</t>
        </is>
      </c>
      <c r="D130" s="26" t="inlineStr">
        <is>
          <t>ACTIVO</t>
        </is>
      </c>
      <c r="E130" s="26" t="inlineStr">
        <is>
          <t>2024-05-22</t>
        </is>
      </c>
      <c r="F130" s="26" t="inlineStr">
        <is>
          <t>2028-05-22</t>
        </is>
      </c>
      <c r="G130" s="28" t="n">
        <v>48</v>
      </c>
      <c r="H130" s="29" t="n">
        <v>227047.56</v>
      </c>
      <c r="I130" s="29">
        <f>IF(Intereses_Leasing_Mensual!I130&gt;0, ROUND(104349.52 - Intereses_Leasing_Mensual!I130, 2), "")</f>
        <v/>
      </c>
      <c r="J130" s="29">
        <f>IF(Intereses_Leasing_Mensual!J130&gt;0, ROUND(I130 - Intereses_Leasing_Mensual!J130, 2), "")</f>
        <v/>
      </c>
      <c r="K130" s="29">
        <f>IF(Intereses_Leasing_Mensual!K130&gt;0, ROUND(J130 - Intereses_Leasing_Mensual!K130, 2), "")</f>
        <v/>
      </c>
      <c r="L130" s="29">
        <f>IF(Intereses_Leasing_Mensual!L130&gt;0, ROUND(K130 - Intereses_Leasing_Mensual!L130, 2), "")</f>
        <v/>
      </c>
      <c r="M130" s="29">
        <f>IF(Intereses_Leasing_Mensual!M130&gt;0, ROUND(L130 - Intereses_Leasing_Mensual!M130, 2), "")</f>
        <v/>
      </c>
      <c r="N130" s="29">
        <f>IF(Intereses_Leasing_Mensual!N130&gt;0, ROUND(M130 - Intereses_Leasing_Mensual!N130, 2), "")</f>
        <v/>
      </c>
      <c r="O130" s="29">
        <f>IF(Intereses_Leasing_Mensual!O130&gt;0, ROUND(N130 - Intereses_Leasing_Mensual!O130, 2), "")</f>
        <v/>
      </c>
      <c r="P130" s="29">
        <f>IF(Intereses_Leasing_Mensual!P130&gt;0, ROUND(O130 - Intereses_Leasing_Mensual!P130, 2), "")</f>
        <v/>
      </c>
      <c r="Q130" s="29">
        <f>IF(Intereses_Leasing_Mensual!Q130&gt;0, ROUND(P130 - Intereses_Leasing_Mensual!Q130, 2), "")</f>
        <v/>
      </c>
      <c r="R130" s="29">
        <f>IF(Intereses_Leasing_Mensual!R130&gt;0, ROUND(Q130 - Intereses_Leasing_Mensual!R130, 2), "")</f>
        <v/>
      </c>
      <c r="S130" s="29">
        <f>IF(Intereses_Leasing_Mensual!S130&gt;0, ROUND(R130 - Intereses_Leasing_Mensual!S130, 2), "")</f>
        <v/>
      </c>
      <c r="T130" s="29">
        <f>IF(Intereses_Leasing_Mensual!T130&gt;0, ROUND(S130 - Intereses_Leasing_Mensual!T130, 2), "")</f>
        <v/>
      </c>
      <c r="U130" s="29">
        <f>MAX(I130:T130)</f>
        <v/>
      </c>
    </row>
    <row r="131">
      <c r="A131" s="20" t="inlineStr">
        <is>
          <t>0660-0002</t>
        </is>
      </c>
      <c r="B131" s="21" t="inlineStr">
        <is>
          <t>Big Buck Capital Sc</t>
        </is>
      </c>
      <c r="C131" s="21" t="inlineStr">
        <is>
          <t>Sienna</t>
        </is>
      </c>
      <c r="D131" s="20" t="inlineStr">
        <is>
          <t>ACTIVO</t>
        </is>
      </c>
      <c r="E131" s="20" t="inlineStr">
        <is>
          <t>2025-04-09</t>
        </is>
      </c>
      <c r="F131" s="20" t="inlineStr">
        <is>
          <t>2029-04-09</t>
        </is>
      </c>
      <c r="G131" s="22" t="n">
        <v>48</v>
      </c>
      <c r="H131" s="23" t="n">
        <v>618800.66</v>
      </c>
      <c r="I131" s="23">
        <f>IF(Intereses_Leasing_Mensual!I131&gt;0, ROUND(449121.95 - Intereses_Leasing_Mensual!I131, 2), "")</f>
        <v/>
      </c>
      <c r="J131" s="23">
        <f>IF(Intereses_Leasing_Mensual!J131&gt;0, ROUND(I131 - Intereses_Leasing_Mensual!J131, 2), "")</f>
        <v/>
      </c>
      <c r="K131" s="23">
        <f>IF(Intereses_Leasing_Mensual!K131&gt;0, ROUND(J131 - Intereses_Leasing_Mensual!K131, 2), "")</f>
        <v/>
      </c>
      <c r="L131" s="23">
        <f>IF(Intereses_Leasing_Mensual!L131&gt;0, ROUND(K131 - Intereses_Leasing_Mensual!L131, 2), "")</f>
        <v/>
      </c>
      <c r="M131" s="23">
        <f>IF(Intereses_Leasing_Mensual!M131&gt;0, ROUND(L131 - Intereses_Leasing_Mensual!M131, 2), "")</f>
        <v/>
      </c>
      <c r="N131" s="23">
        <f>IF(Intereses_Leasing_Mensual!N131&gt;0, ROUND(M131 - Intereses_Leasing_Mensual!N131, 2), "")</f>
        <v/>
      </c>
      <c r="O131" s="23">
        <f>IF(Intereses_Leasing_Mensual!O131&gt;0, ROUND(N131 - Intereses_Leasing_Mensual!O131, 2), "")</f>
        <v/>
      </c>
      <c r="P131" s="23">
        <f>IF(Intereses_Leasing_Mensual!P131&gt;0, ROUND(O131 - Intereses_Leasing_Mensual!P131, 2), "")</f>
        <v/>
      </c>
      <c r="Q131" s="23">
        <f>IF(Intereses_Leasing_Mensual!Q131&gt;0, ROUND(P131 - Intereses_Leasing_Mensual!Q131, 2), "")</f>
        <v/>
      </c>
      <c r="R131" s="23">
        <f>IF(Intereses_Leasing_Mensual!R131&gt;0, ROUND(Q131 - Intereses_Leasing_Mensual!R131, 2), "")</f>
        <v/>
      </c>
      <c r="S131" s="23">
        <f>IF(Intereses_Leasing_Mensual!S131&gt;0, ROUND(R131 - Intereses_Leasing_Mensual!S131, 2), "")</f>
        <v/>
      </c>
      <c r="T131" s="23">
        <f>IF(Intereses_Leasing_Mensual!T131&gt;0, ROUND(S131 - Intereses_Leasing_Mensual!T131, 2), "")</f>
        <v/>
      </c>
      <c r="U131" s="23">
        <f>MAX(I131:T131)</f>
        <v/>
      </c>
    </row>
    <row r="132">
      <c r="A132" s="26" t="inlineStr">
        <is>
          <t>0661-0001</t>
        </is>
      </c>
      <c r="B132" s="27" t="inlineStr">
        <is>
          <t>Veta Vertical Home Sa de Cv</t>
        </is>
      </c>
      <c r="C132" s="27" t="inlineStr">
        <is>
          <t>3008 Allure Pack</t>
        </is>
      </c>
      <c r="D132" s="26" t="inlineStr">
        <is>
          <t>ACTIVO</t>
        </is>
      </c>
      <c r="E132" s="26" t="inlineStr">
        <is>
          <t>2024-06-27</t>
        </is>
      </c>
      <c r="F132" s="26" t="inlineStr">
        <is>
          <t>2028-06-27</t>
        </is>
      </c>
      <c r="G132" s="28" t="n">
        <v>48</v>
      </c>
      <c r="H132" s="29" t="n">
        <v>405644.25</v>
      </c>
      <c r="I132" s="29">
        <f>IF(Intereses_Leasing_Mensual!I132&gt;0, ROUND(203751.76 - Intereses_Leasing_Mensual!I132, 2), "")</f>
        <v/>
      </c>
      <c r="J132" s="29">
        <f>IF(Intereses_Leasing_Mensual!J132&gt;0, ROUND(I132 - Intereses_Leasing_Mensual!J132, 2), "")</f>
        <v/>
      </c>
      <c r="K132" s="29">
        <f>IF(Intereses_Leasing_Mensual!K132&gt;0, ROUND(J132 - Intereses_Leasing_Mensual!K132, 2), "")</f>
        <v/>
      </c>
      <c r="L132" s="29">
        <f>IF(Intereses_Leasing_Mensual!L132&gt;0, ROUND(K132 - Intereses_Leasing_Mensual!L132, 2), "")</f>
        <v/>
      </c>
      <c r="M132" s="29">
        <f>IF(Intereses_Leasing_Mensual!M132&gt;0, ROUND(L132 - Intereses_Leasing_Mensual!M132, 2), "")</f>
        <v/>
      </c>
      <c r="N132" s="29">
        <f>IF(Intereses_Leasing_Mensual!N132&gt;0, ROUND(M132 - Intereses_Leasing_Mensual!N132, 2), "")</f>
        <v/>
      </c>
      <c r="O132" s="29">
        <f>IF(Intereses_Leasing_Mensual!O132&gt;0, ROUND(N132 - Intereses_Leasing_Mensual!O132, 2), "")</f>
        <v/>
      </c>
      <c r="P132" s="29">
        <f>IF(Intereses_Leasing_Mensual!P132&gt;0, ROUND(O132 - Intereses_Leasing_Mensual!P132, 2), "")</f>
        <v/>
      </c>
      <c r="Q132" s="29">
        <f>IF(Intereses_Leasing_Mensual!Q132&gt;0, ROUND(P132 - Intereses_Leasing_Mensual!Q132, 2), "")</f>
        <v/>
      </c>
      <c r="R132" s="29">
        <f>IF(Intereses_Leasing_Mensual!R132&gt;0, ROUND(Q132 - Intereses_Leasing_Mensual!R132, 2), "")</f>
        <v/>
      </c>
      <c r="S132" s="29">
        <f>IF(Intereses_Leasing_Mensual!S132&gt;0, ROUND(R132 - Intereses_Leasing_Mensual!S132, 2), "")</f>
        <v/>
      </c>
      <c r="T132" s="29">
        <f>IF(Intereses_Leasing_Mensual!T132&gt;0, ROUND(S132 - Intereses_Leasing_Mensual!T132, 2), "")</f>
        <v/>
      </c>
      <c r="U132" s="29">
        <f>MAX(I132:T132)</f>
        <v/>
      </c>
    </row>
    <row r="133">
      <c r="A133" s="20" t="inlineStr">
        <is>
          <t>0662-0001</t>
        </is>
      </c>
      <c r="B133" s="21" t="inlineStr">
        <is>
          <t>Luis Jorge de Loera Perez</t>
        </is>
      </c>
      <c r="C133" s="21" t="inlineStr">
        <is>
          <t>L200 GLX Diesel</t>
        </is>
      </c>
      <c r="D133" s="20" t="inlineStr">
        <is>
          <t>ACTIVO</t>
        </is>
      </c>
      <c r="E133" s="20" t="inlineStr">
        <is>
          <t>2024-06-28</t>
        </is>
      </c>
      <c r="F133" s="20" t="inlineStr">
        <is>
          <t>2028-06-28</t>
        </is>
      </c>
      <c r="G133" s="22" t="n">
        <v>48</v>
      </c>
      <c r="H133" s="23" t="n">
        <v>489663.83</v>
      </c>
      <c r="I133" s="23">
        <f>IF(Intereses_Leasing_Mensual!I133&gt;0, ROUND(241485.07 - Intereses_Leasing_Mensual!I133, 2), "")</f>
        <v/>
      </c>
      <c r="J133" s="23">
        <f>IF(Intereses_Leasing_Mensual!J133&gt;0, ROUND(I133 - Intereses_Leasing_Mensual!J133, 2), "")</f>
        <v/>
      </c>
      <c r="K133" s="23">
        <f>IF(Intereses_Leasing_Mensual!K133&gt;0, ROUND(J133 - Intereses_Leasing_Mensual!K133, 2), "")</f>
        <v/>
      </c>
      <c r="L133" s="23">
        <f>IF(Intereses_Leasing_Mensual!L133&gt;0, ROUND(K133 - Intereses_Leasing_Mensual!L133, 2), "")</f>
        <v/>
      </c>
      <c r="M133" s="23">
        <f>IF(Intereses_Leasing_Mensual!M133&gt;0, ROUND(L133 - Intereses_Leasing_Mensual!M133, 2), "")</f>
        <v/>
      </c>
      <c r="N133" s="23">
        <f>IF(Intereses_Leasing_Mensual!N133&gt;0, ROUND(M133 - Intereses_Leasing_Mensual!N133, 2), "")</f>
        <v/>
      </c>
      <c r="O133" s="23">
        <f>IF(Intereses_Leasing_Mensual!O133&gt;0, ROUND(N133 - Intereses_Leasing_Mensual!O133, 2), "")</f>
        <v/>
      </c>
      <c r="P133" s="23">
        <f>IF(Intereses_Leasing_Mensual!P133&gt;0, ROUND(O133 - Intereses_Leasing_Mensual!P133, 2), "")</f>
        <v/>
      </c>
      <c r="Q133" s="23">
        <f>IF(Intereses_Leasing_Mensual!Q133&gt;0, ROUND(P133 - Intereses_Leasing_Mensual!Q133, 2), "")</f>
        <v/>
      </c>
      <c r="R133" s="23">
        <f>IF(Intereses_Leasing_Mensual!R133&gt;0, ROUND(Q133 - Intereses_Leasing_Mensual!R133, 2), "")</f>
        <v/>
      </c>
      <c r="S133" s="23">
        <f>IF(Intereses_Leasing_Mensual!S133&gt;0, ROUND(R133 - Intereses_Leasing_Mensual!S133, 2), "")</f>
        <v/>
      </c>
      <c r="T133" s="23">
        <f>IF(Intereses_Leasing_Mensual!T133&gt;0, ROUND(S133 - Intereses_Leasing_Mensual!T133, 2), "")</f>
        <v/>
      </c>
      <c r="U133" s="23">
        <f>MAX(I133:T133)</f>
        <v/>
      </c>
    </row>
    <row r="134">
      <c r="A134" s="26" t="inlineStr">
        <is>
          <t>0662-0002</t>
        </is>
      </c>
      <c r="B134" s="27" t="inlineStr">
        <is>
          <t>Luis Jorge De Loera Perez</t>
        </is>
      </c>
      <c r="C134" s="27" t="inlineStr">
        <is>
          <t>NP 300</t>
        </is>
      </c>
      <c r="D134" s="26" t="inlineStr">
        <is>
          <t>ACTIVO</t>
        </is>
      </c>
      <c r="E134" s="26" t="inlineStr">
        <is>
          <t>2025-02-06</t>
        </is>
      </c>
      <c r="F134" s="26" t="inlineStr">
        <is>
          <t>2029-02-06</t>
        </is>
      </c>
      <c r="G134" s="28" t="n">
        <v>48</v>
      </c>
      <c r="H134" s="29" t="n">
        <v>391611.79</v>
      </c>
      <c r="I134" s="29">
        <f>IF(Intereses_Leasing_Mensual!I134&gt;0, ROUND(269824.88 - Intereses_Leasing_Mensual!I134, 2), "")</f>
        <v/>
      </c>
      <c r="J134" s="29">
        <f>IF(Intereses_Leasing_Mensual!J134&gt;0, ROUND(I134 - Intereses_Leasing_Mensual!J134, 2), "")</f>
        <v/>
      </c>
      <c r="K134" s="29">
        <f>IF(Intereses_Leasing_Mensual!K134&gt;0, ROUND(J134 - Intereses_Leasing_Mensual!K134, 2), "")</f>
        <v/>
      </c>
      <c r="L134" s="29">
        <f>IF(Intereses_Leasing_Mensual!L134&gt;0, ROUND(K134 - Intereses_Leasing_Mensual!L134, 2), "")</f>
        <v/>
      </c>
      <c r="M134" s="29">
        <f>IF(Intereses_Leasing_Mensual!M134&gt;0, ROUND(L134 - Intereses_Leasing_Mensual!M134, 2), "")</f>
        <v/>
      </c>
      <c r="N134" s="29">
        <f>IF(Intereses_Leasing_Mensual!N134&gt;0, ROUND(M134 - Intereses_Leasing_Mensual!N134, 2), "")</f>
        <v/>
      </c>
      <c r="O134" s="29">
        <f>IF(Intereses_Leasing_Mensual!O134&gt;0, ROUND(N134 - Intereses_Leasing_Mensual!O134, 2), "")</f>
        <v/>
      </c>
      <c r="P134" s="29">
        <f>IF(Intereses_Leasing_Mensual!P134&gt;0, ROUND(O134 - Intereses_Leasing_Mensual!P134, 2), "")</f>
        <v/>
      </c>
      <c r="Q134" s="29">
        <f>IF(Intereses_Leasing_Mensual!Q134&gt;0, ROUND(P134 - Intereses_Leasing_Mensual!Q134, 2), "")</f>
        <v/>
      </c>
      <c r="R134" s="29">
        <f>IF(Intereses_Leasing_Mensual!R134&gt;0, ROUND(Q134 - Intereses_Leasing_Mensual!R134, 2), "")</f>
        <v/>
      </c>
      <c r="S134" s="29">
        <f>IF(Intereses_Leasing_Mensual!S134&gt;0, ROUND(R134 - Intereses_Leasing_Mensual!S134, 2), "")</f>
        <v/>
      </c>
      <c r="T134" s="29">
        <f>IF(Intereses_Leasing_Mensual!T134&gt;0, ROUND(S134 - Intereses_Leasing_Mensual!T134, 2), "")</f>
        <v/>
      </c>
      <c r="U134" s="29">
        <f>MAX(I134:T134)</f>
        <v/>
      </c>
    </row>
    <row r="135">
      <c r="A135" s="20" t="inlineStr">
        <is>
          <t>0662-0003</t>
        </is>
      </c>
      <c r="B135" s="21" t="inlineStr">
        <is>
          <t>Luis Jorge De Loera Perez</t>
        </is>
      </c>
      <c r="C135" s="21" t="inlineStr">
        <is>
          <t>Rav 4</t>
        </is>
      </c>
      <c r="D135" s="20" t="inlineStr">
        <is>
          <t>ACTIVO</t>
        </is>
      </c>
      <c r="E135" s="20" t="inlineStr">
        <is>
          <t>2025-03-27</t>
        </is>
      </c>
      <c r="F135" s="20" t="inlineStr">
        <is>
          <t>2029-03-27</t>
        </is>
      </c>
      <c r="G135" s="22" t="n">
        <v>48</v>
      </c>
      <c r="H135" s="23" t="n">
        <v>397816.88</v>
      </c>
      <c r="I135" s="23">
        <f>IF(Intereses_Leasing_Mensual!I135&gt;0, ROUND(287046.58 - Intereses_Leasing_Mensual!I135, 2), "")</f>
        <v/>
      </c>
      <c r="J135" s="23">
        <f>IF(Intereses_Leasing_Mensual!J135&gt;0, ROUND(I135 - Intereses_Leasing_Mensual!J135, 2), "")</f>
        <v/>
      </c>
      <c r="K135" s="23">
        <f>IF(Intereses_Leasing_Mensual!K135&gt;0, ROUND(J135 - Intereses_Leasing_Mensual!K135, 2), "")</f>
        <v/>
      </c>
      <c r="L135" s="23">
        <f>IF(Intereses_Leasing_Mensual!L135&gt;0, ROUND(K135 - Intereses_Leasing_Mensual!L135, 2), "")</f>
        <v/>
      </c>
      <c r="M135" s="23">
        <f>IF(Intereses_Leasing_Mensual!M135&gt;0, ROUND(L135 - Intereses_Leasing_Mensual!M135, 2), "")</f>
        <v/>
      </c>
      <c r="N135" s="23">
        <f>IF(Intereses_Leasing_Mensual!N135&gt;0, ROUND(M135 - Intereses_Leasing_Mensual!N135, 2), "")</f>
        <v/>
      </c>
      <c r="O135" s="23">
        <f>IF(Intereses_Leasing_Mensual!O135&gt;0, ROUND(N135 - Intereses_Leasing_Mensual!O135, 2), "")</f>
        <v/>
      </c>
      <c r="P135" s="23">
        <f>IF(Intereses_Leasing_Mensual!P135&gt;0, ROUND(O135 - Intereses_Leasing_Mensual!P135, 2), "")</f>
        <v/>
      </c>
      <c r="Q135" s="23">
        <f>IF(Intereses_Leasing_Mensual!Q135&gt;0, ROUND(P135 - Intereses_Leasing_Mensual!Q135, 2), "")</f>
        <v/>
      </c>
      <c r="R135" s="23">
        <f>IF(Intereses_Leasing_Mensual!R135&gt;0, ROUND(Q135 - Intereses_Leasing_Mensual!R135, 2), "")</f>
        <v/>
      </c>
      <c r="S135" s="23">
        <f>IF(Intereses_Leasing_Mensual!S135&gt;0, ROUND(R135 - Intereses_Leasing_Mensual!S135, 2), "")</f>
        <v/>
      </c>
      <c r="T135" s="23">
        <f>IF(Intereses_Leasing_Mensual!T135&gt;0, ROUND(S135 - Intereses_Leasing_Mensual!T135, 2), "")</f>
        <v/>
      </c>
      <c r="U135" s="23">
        <f>MAX(I135:T135)</f>
        <v/>
      </c>
    </row>
    <row r="136">
      <c r="A136" s="26" t="inlineStr">
        <is>
          <t>0663-0001</t>
        </is>
      </c>
      <c r="B136" s="27" t="inlineStr">
        <is>
          <t>Soluciones de Transporte de Carga B de Sa de Cv</t>
        </is>
      </c>
      <c r="C136" s="27" t="inlineStr">
        <is>
          <t>L200 GLX Diesel</t>
        </is>
      </c>
      <c r="D136" s="26" t="inlineStr">
        <is>
          <t>ACTIVO</t>
        </is>
      </c>
      <c r="E136" s="26" t="inlineStr">
        <is>
          <t>2024-07-31</t>
        </is>
      </c>
      <c r="F136" s="26" t="inlineStr">
        <is>
          <t>2028-07-31</t>
        </is>
      </c>
      <c r="G136" s="28" t="n">
        <v>48</v>
      </c>
      <c r="H136" s="29" t="n">
        <v>522903.49</v>
      </c>
      <c r="I136" s="29">
        <f>IF(Intereses_Leasing_Mensual!I136&gt;0, ROUND(267556.63 - Intereses_Leasing_Mensual!I136, 2), "")</f>
        <v/>
      </c>
      <c r="J136" s="29">
        <f>IF(Intereses_Leasing_Mensual!J136&gt;0, ROUND(I136 - Intereses_Leasing_Mensual!J136, 2), "")</f>
        <v/>
      </c>
      <c r="K136" s="29">
        <f>IF(Intereses_Leasing_Mensual!K136&gt;0, ROUND(J136 - Intereses_Leasing_Mensual!K136, 2), "")</f>
        <v/>
      </c>
      <c r="L136" s="29">
        <f>IF(Intereses_Leasing_Mensual!L136&gt;0, ROUND(K136 - Intereses_Leasing_Mensual!L136, 2), "")</f>
        <v/>
      </c>
      <c r="M136" s="29">
        <f>IF(Intereses_Leasing_Mensual!M136&gt;0, ROUND(L136 - Intereses_Leasing_Mensual!M136, 2), "")</f>
        <v/>
      </c>
      <c r="N136" s="29">
        <f>IF(Intereses_Leasing_Mensual!N136&gt;0, ROUND(M136 - Intereses_Leasing_Mensual!N136, 2), "")</f>
        <v/>
      </c>
      <c r="O136" s="29">
        <f>IF(Intereses_Leasing_Mensual!O136&gt;0, ROUND(N136 - Intereses_Leasing_Mensual!O136, 2), "")</f>
        <v/>
      </c>
      <c r="P136" s="29">
        <f>IF(Intereses_Leasing_Mensual!P136&gt;0, ROUND(O136 - Intereses_Leasing_Mensual!P136, 2), "")</f>
        <v/>
      </c>
      <c r="Q136" s="29">
        <f>IF(Intereses_Leasing_Mensual!Q136&gt;0, ROUND(P136 - Intereses_Leasing_Mensual!Q136, 2), "")</f>
        <v/>
      </c>
      <c r="R136" s="29">
        <f>IF(Intereses_Leasing_Mensual!R136&gt;0, ROUND(Q136 - Intereses_Leasing_Mensual!R136, 2), "")</f>
        <v/>
      </c>
      <c r="S136" s="29">
        <f>IF(Intereses_Leasing_Mensual!S136&gt;0, ROUND(R136 - Intereses_Leasing_Mensual!S136, 2), "")</f>
        <v/>
      </c>
      <c r="T136" s="29">
        <f>IF(Intereses_Leasing_Mensual!T136&gt;0, ROUND(S136 - Intereses_Leasing_Mensual!T136, 2), "")</f>
        <v/>
      </c>
      <c r="U136" s="29">
        <f>MAX(I136:T136)</f>
        <v/>
      </c>
    </row>
    <row r="137">
      <c r="A137" s="20" t="inlineStr">
        <is>
          <t>0663-0002</t>
        </is>
      </c>
      <c r="B137" s="21" t="inlineStr">
        <is>
          <t>Diego Hazael Morales Iñiguez</t>
        </is>
      </c>
      <c r="C137" s="21" t="inlineStr">
        <is>
          <t>Wrangler Rubicon</t>
        </is>
      </c>
      <c r="D137" s="20" t="inlineStr">
        <is>
          <t>ACTIVO</t>
        </is>
      </c>
      <c r="E137" s="20" t="inlineStr">
        <is>
          <t>2025-01-16</t>
        </is>
      </c>
      <c r="F137" s="20" t="inlineStr">
        <is>
          <t>2029-01-16</t>
        </is>
      </c>
      <c r="G137" s="22" t="n">
        <v>48</v>
      </c>
      <c r="H137" s="23" t="n">
        <v>645823.05</v>
      </c>
      <c r="I137" s="23">
        <f>IF(Intereses_Leasing_Mensual!I137&gt;0, ROUND(422900.97 - Intereses_Leasing_Mensual!I137, 2), "")</f>
        <v/>
      </c>
      <c r="J137" s="23">
        <f>IF(Intereses_Leasing_Mensual!J137&gt;0, ROUND(I137 - Intereses_Leasing_Mensual!J137, 2), "")</f>
        <v/>
      </c>
      <c r="K137" s="23">
        <f>IF(Intereses_Leasing_Mensual!K137&gt;0, ROUND(J137 - Intereses_Leasing_Mensual!K137, 2), "")</f>
        <v/>
      </c>
      <c r="L137" s="23">
        <f>IF(Intereses_Leasing_Mensual!L137&gt;0, ROUND(K137 - Intereses_Leasing_Mensual!L137, 2), "")</f>
        <v/>
      </c>
      <c r="M137" s="23">
        <f>IF(Intereses_Leasing_Mensual!M137&gt;0, ROUND(L137 - Intereses_Leasing_Mensual!M137, 2), "")</f>
        <v/>
      </c>
      <c r="N137" s="23">
        <f>IF(Intereses_Leasing_Mensual!N137&gt;0, ROUND(M137 - Intereses_Leasing_Mensual!N137, 2), "")</f>
        <v/>
      </c>
      <c r="O137" s="23">
        <f>IF(Intereses_Leasing_Mensual!O137&gt;0, ROUND(N137 - Intereses_Leasing_Mensual!O137, 2), "")</f>
        <v/>
      </c>
      <c r="P137" s="23">
        <f>IF(Intereses_Leasing_Mensual!P137&gt;0, ROUND(O137 - Intereses_Leasing_Mensual!P137, 2), "")</f>
        <v/>
      </c>
      <c r="Q137" s="23">
        <f>IF(Intereses_Leasing_Mensual!Q137&gt;0, ROUND(P137 - Intereses_Leasing_Mensual!Q137, 2), "")</f>
        <v/>
      </c>
      <c r="R137" s="23">
        <f>IF(Intereses_Leasing_Mensual!R137&gt;0, ROUND(Q137 - Intereses_Leasing_Mensual!R137, 2), "")</f>
        <v/>
      </c>
      <c r="S137" s="23">
        <f>IF(Intereses_Leasing_Mensual!S137&gt;0, ROUND(R137 - Intereses_Leasing_Mensual!S137, 2), "")</f>
        <v/>
      </c>
      <c r="T137" s="23">
        <f>IF(Intereses_Leasing_Mensual!T137&gt;0, ROUND(S137 - Intereses_Leasing_Mensual!T137, 2), "")</f>
        <v/>
      </c>
      <c r="U137" s="23">
        <f>MAX(I137:T137)</f>
        <v/>
      </c>
    </row>
    <row r="138">
      <c r="A138" s="26" t="inlineStr">
        <is>
          <t>0665-0001</t>
        </is>
      </c>
      <c r="B138" s="27" t="inlineStr">
        <is>
          <t>Dulce Guadalupe Amezcua Gomez</t>
        </is>
      </c>
      <c r="C138" s="27" t="inlineStr">
        <is>
          <t>Wrangler Jt</t>
        </is>
      </c>
      <c r="D138" s="26" t="inlineStr">
        <is>
          <t>ACTIVO</t>
        </is>
      </c>
      <c r="E138" s="26" t="inlineStr">
        <is>
          <t>2024-08-27</t>
        </is>
      </c>
      <c r="F138" s="26" t="inlineStr">
        <is>
          <t>2028-08-27</t>
        </is>
      </c>
      <c r="G138" s="28" t="n">
        <v>48</v>
      </c>
      <c r="H138" s="29" t="n">
        <v>1301282.98</v>
      </c>
      <c r="I138" s="29">
        <f>IF(Intereses_Leasing_Mensual!I138&gt;0, ROUND(698080.4 - Intereses_Leasing_Mensual!I138, 2), "")</f>
        <v/>
      </c>
      <c r="J138" s="29">
        <f>IF(Intereses_Leasing_Mensual!J138&gt;0, ROUND(I138 - Intereses_Leasing_Mensual!J138, 2), "")</f>
        <v/>
      </c>
      <c r="K138" s="29">
        <f>IF(Intereses_Leasing_Mensual!K138&gt;0, ROUND(J138 - Intereses_Leasing_Mensual!K138, 2), "")</f>
        <v/>
      </c>
      <c r="L138" s="29">
        <f>IF(Intereses_Leasing_Mensual!L138&gt;0, ROUND(K138 - Intereses_Leasing_Mensual!L138, 2), "")</f>
        <v/>
      </c>
      <c r="M138" s="29">
        <f>IF(Intereses_Leasing_Mensual!M138&gt;0, ROUND(L138 - Intereses_Leasing_Mensual!M138, 2), "")</f>
        <v/>
      </c>
      <c r="N138" s="29">
        <f>IF(Intereses_Leasing_Mensual!N138&gt;0, ROUND(M138 - Intereses_Leasing_Mensual!N138, 2), "")</f>
        <v/>
      </c>
      <c r="O138" s="29">
        <f>IF(Intereses_Leasing_Mensual!O138&gt;0, ROUND(N138 - Intereses_Leasing_Mensual!O138, 2), "")</f>
        <v/>
      </c>
      <c r="P138" s="29">
        <f>IF(Intereses_Leasing_Mensual!P138&gt;0, ROUND(O138 - Intereses_Leasing_Mensual!P138, 2), "")</f>
        <v/>
      </c>
      <c r="Q138" s="29">
        <f>IF(Intereses_Leasing_Mensual!Q138&gt;0, ROUND(P138 - Intereses_Leasing_Mensual!Q138, 2), "")</f>
        <v/>
      </c>
      <c r="R138" s="29">
        <f>IF(Intereses_Leasing_Mensual!R138&gt;0, ROUND(Q138 - Intereses_Leasing_Mensual!R138, 2), "")</f>
        <v/>
      </c>
      <c r="S138" s="29">
        <f>IF(Intereses_Leasing_Mensual!S138&gt;0, ROUND(R138 - Intereses_Leasing_Mensual!S138, 2), "")</f>
        <v/>
      </c>
      <c r="T138" s="29">
        <f>IF(Intereses_Leasing_Mensual!T138&gt;0, ROUND(S138 - Intereses_Leasing_Mensual!T138, 2), "")</f>
        <v/>
      </c>
      <c r="U138" s="29">
        <f>MAX(I138:T138)</f>
        <v/>
      </c>
    </row>
    <row r="139">
      <c r="A139" s="20" t="inlineStr">
        <is>
          <t>0666-0003</t>
        </is>
      </c>
      <c r="B139" s="21" t="inlineStr">
        <is>
          <t>Jaime Adrian Muñiz Ramirez</t>
        </is>
      </c>
      <c r="C139" s="21" t="inlineStr">
        <is>
          <t>Wrangler Phev</t>
        </is>
      </c>
      <c r="D139" s="20" t="inlineStr">
        <is>
          <t>ACTIVO</t>
        </is>
      </c>
      <c r="E139" s="20" t="inlineStr">
        <is>
          <t>2024-08-28</t>
        </is>
      </c>
      <c r="F139" s="20" t="inlineStr">
        <is>
          <t>2027-08-28</t>
        </is>
      </c>
      <c r="G139" s="22" t="n">
        <v>36</v>
      </c>
      <c r="H139" s="23" t="n">
        <v>832200.72</v>
      </c>
      <c r="I139" s="23">
        <f>IF(Intereses_Leasing_Mensual!I139&gt;0, ROUND(367954.61 - Intereses_Leasing_Mensual!I139, 2), "")</f>
        <v/>
      </c>
      <c r="J139" s="23">
        <f>IF(Intereses_Leasing_Mensual!J139&gt;0, ROUND(I139 - Intereses_Leasing_Mensual!J139, 2), "")</f>
        <v/>
      </c>
      <c r="K139" s="23">
        <f>IF(Intereses_Leasing_Mensual!K139&gt;0, ROUND(J139 - Intereses_Leasing_Mensual!K139, 2), "")</f>
        <v/>
      </c>
      <c r="L139" s="23">
        <f>IF(Intereses_Leasing_Mensual!L139&gt;0, ROUND(K139 - Intereses_Leasing_Mensual!L139, 2), "")</f>
        <v/>
      </c>
      <c r="M139" s="23">
        <f>IF(Intereses_Leasing_Mensual!M139&gt;0, ROUND(L139 - Intereses_Leasing_Mensual!M139, 2), "")</f>
        <v/>
      </c>
      <c r="N139" s="23">
        <f>IF(Intereses_Leasing_Mensual!N139&gt;0, ROUND(M139 - Intereses_Leasing_Mensual!N139, 2), "")</f>
        <v/>
      </c>
      <c r="O139" s="23">
        <f>IF(Intereses_Leasing_Mensual!O139&gt;0, ROUND(N139 - Intereses_Leasing_Mensual!O139, 2), "")</f>
        <v/>
      </c>
      <c r="P139" s="23">
        <f>IF(Intereses_Leasing_Mensual!P139&gt;0, ROUND(O139 - Intereses_Leasing_Mensual!P139, 2), "")</f>
        <v/>
      </c>
      <c r="Q139" s="23">
        <f>IF(Intereses_Leasing_Mensual!Q139&gt;0, ROUND(P139 - Intereses_Leasing_Mensual!Q139, 2), "")</f>
        <v/>
      </c>
      <c r="R139" s="23">
        <f>IF(Intereses_Leasing_Mensual!R139&gt;0, ROUND(Q139 - Intereses_Leasing_Mensual!R139, 2), "")</f>
        <v/>
      </c>
      <c r="S139" s="23">
        <f>IF(Intereses_Leasing_Mensual!S139&gt;0, ROUND(R139 - Intereses_Leasing_Mensual!S139, 2), "")</f>
        <v/>
      </c>
      <c r="T139" s="23">
        <f>IF(Intereses_Leasing_Mensual!T139&gt;0, ROUND(S139 - Intereses_Leasing_Mensual!T139, 2), "")</f>
        <v/>
      </c>
      <c r="U139" s="23">
        <f>MAX(I139:T139)</f>
        <v/>
      </c>
    </row>
    <row r="140">
      <c r="A140" s="26" t="inlineStr">
        <is>
          <t>0668-0005</t>
        </is>
      </c>
      <c r="B140" s="27" t="inlineStr">
        <is>
          <t>Jorge Alonso Alvarez Garcia</t>
        </is>
      </c>
      <c r="C140" s="27" t="inlineStr">
        <is>
          <t>RAM 700 BIGHORN "S" CREW CAB CVT</t>
        </is>
      </c>
      <c r="D140" s="26" t="inlineStr">
        <is>
          <t>ACTIVO</t>
        </is>
      </c>
      <c r="E140" s="26" t="inlineStr">
        <is>
          <t>2026-03-04</t>
        </is>
      </c>
      <c r="F140" s="26" t="inlineStr">
        <is>
          <t>2027-03-04</t>
        </is>
      </c>
      <c r="G140" s="28" t="n">
        <v>12</v>
      </c>
      <c r="H140" s="29" t="n">
        <v>66475.53</v>
      </c>
      <c r="I140" s="29" t="inlineStr"/>
      <c r="J140" s="29" t="inlineStr"/>
      <c r="K140" s="29">
        <f>IF(Intereses_Leasing_Mensual!K140&gt;0, ROUND($H140 - Intereses_Leasing_Mensual!K140, 2), "")</f>
        <v/>
      </c>
      <c r="L140" s="29">
        <f>IF(Intereses_Leasing_Mensual!L140&gt;0, ROUND(K140 - Intereses_Leasing_Mensual!L140, 2), "")</f>
        <v/>
      </c>
      <c r="M140" s="29">
        <f>IF(Intereses_Leasing_Mensual!M140&gt;0, ROUND(L140 - Intereses_Leasing_Mensual!M140, 2), "")</f>
        <v/>
      </c>
      <c r="N140" s="29">
        <f>IF(Intereses_Leasing_Mensual!N140&gt;0, ROUND(M140 - Intereses_Leasing_Mensual!N140, 2), "")</f>
        <v/>
      </c>
      <c r="O140" s="29">
        <f>IF(Intereses_Leasing_Mensual!O140&gt;0, ROUND(N140 - Intereses_Leasing_Mensual!O140, 2), "")</f>
        <v/>
      </c>
      <c r="P140" s="29">
        <f>IF(Intereses_Leasing_Mensual!P140&gt;0, ROUND(O140 - Intereses_Leasing_Mensual!P140, 2), "")</f>
        <v/>
      </c>
      <c r="Q140" s="29">
        <f>IF(Intereses_Leasing_Mensual!Q140&gt;0, ROUND(P140 - Intereses_Leasing_Mensual!Q140, 2), "")</f>
        <v/>
      </c>
      <c r="R140" s="29">
        <f>IF(Intereses_Leasing_Mensual!R140&gt;0, ROUND(Q140 - Intereses_Leasing_Mensual!R140, 2), "")</f>
        <v/>
      </c>
      <c r="S140" s="29">
        <f>IF(Intereses_Leasing_Mensual!S140&gt;0, ROUND(R140 - Intereses_Leasing_Mensual!S140, 2), "")</f>
        <v/>
      </c>
      <c r="T140" s="29">
        <f>IF(Intereses_Leasing_Mensual!T140&gt;0, ROUND(S140 - Intereses_Leasing_Mensual!T140, 2), "")</f>
        <v/>
      </c>
      <c r="U140" s="29">
        <f>MAX(I140:T140)</f>
        <v/>
      </c>
    </row>
    <row r="141">
      <c r="A141" s="20" t="inlineStr">
        <is>
          <t>0669-0001</t>
        </is>
      </c>
      <c r="B141" s="21" t="inlineStr">
        <is>
          <t>Diego Hazael Morales Iñiguez</t>
        </is>
      </c>
      <c r="C141" s="21" t="inlineStr">
        <is>
          <t>Wrangler Jt</t>
        </is>
      </c>
      <c r="D141" s="20" t="inlineStr">
        <is>
          <t>ACTIVO</t>
        </is>
      </c>
      <c r="E141" s="20" t="inlineStr">
        <is>
          <t>2024-08-23</t>
        </is>
      </c>
      <c r="F141" s="20" t="inlineStr">
        <is>
          <t>2027-08-23</t>
        </is>
      </c>
      <c r="G141" s="22" t="n">
        <v>36</v>
      </c>
      <c r="H141" s="23" t="n">
        <v>606102.38</v>
      </c>
      <c r="I141" s="23">
        <f>IF(Intereses_Leasing_Mensual!I141&gt;0, ROUND(230621.88 - Intereses_Leasing_Mensual!I141, 2), "")</f>
        <v/>
      </c>
      <c r="J141" s="23">
        <f>IF(Intereses_Leasing_Mensual!J141&gt;0, ROUND(I141 - Intereses_Leasing_Mensual!J141, 2), "")</f>
        <v/>
      </c>
      <c r="K141" s="23">
        <f>IF(Intereses_Leasing_Mensual!K141&gt;0, ROUND(J141 - Intereses_Leasing_Mensual!K141, 2), "")</f>
        <v/>
      </c>
      <c r="L141" s="23">
        <f>IF(Intereses_Leasing_Mensual!L141&gt;0, ROUND(K141 - Intereses_Leasing_Mensual!L141, 2), "")</f>
        <v/>
      </c>
      <c r="M141" s="23">
        <f>IF(Intereses_Leasing_Mensual!M141&gt;0, ROUND(L141 - Intereses_Leasing_Mensual!M141, 2), "")</f>
        <v/>
      </c>
      <c r="N141" s="23">
        <f>IF(Intereses_Leasing_Mensual!N141&gt;0, ROUND(M141 - Intereses_Leasing_Mensual!N141, 2), "")</f>
        <v/>
      </c>
      <c r="O141" s="23">
        <f>IF(Intereses_Leasing_Mensual!O141&gt;0, ROUND(N141 - Intereses_Leasing_Mensual!O141, 2), "")</f>
        <v/>
      </c>
      <c r="P141" s="23">
        <f>IF(Intereses_Leasing_Mensual!P141&gt;0, ROUND(O141 - Intereses_Leasing_Mensual!P141, 2), "")</f>
        <v/>
      </c>
      <c r="Q141" s="23">
        <f>IF(Intereses_Leasing_Mensual!Q141&gt;0, ROUND(P141 - Intereses_Leasing_Mensual!Q141, 2), "")</f>
        <v/>
      </c>
      <c r="R141" s="23">
        <f>IF(Intereses_Leasing_Mensual!R141&gt;0, ROUND(Q141 - Intereses_Leasing_Mensual!R141, 2), "")</f>
        <v/>
      </c>
      <c r="S141" s="23">
        <f>IF(Intereses_Leasing_Mensual!S141&gt;0, ROUND(R141 - Intereses_Leasing_Mensual!S141, 2), "")</f>
        <v/>
      </c>
      <c r="T141" s="23">
        <f>IF(Intereses_Leasing_Mensual!T141&gt;0, ROUND(S141 - Intereses_Leasing_Mensual!T141, 2), "")</f>
        <v/>
      </c>
      <c r="U141" s="23">
        <f>MAX(I141:T141)</f>
        <v/>
      </c>
    </row>
    <row r="142">
      <c r="A142" s="26" t="inlineStr">
        <is>
          <t>0670-0001</t>
        </is>
      </c>
      <c r="B142" s="27" t="inlineStr">
        <is>
          <t>Consultoria Internacional Mexincorp Sc</t>
        </is>
      </c>
      <c r="C142" s="27" t="inlineStr">
        <is>
          <t>L200 Limited</t>
        </is>
      </c>
      <c r="D142" s="26" t="inlineStr">
        <is>
          <t>ACTIVO</t>
        </is>
      </c>
      <c r="E142" s="26" t="inlineStr">
        <is>
          <t>2024-09-03</t>
        </is>
      </c>
      <c r="F142" s="26" t="inlineStr">
        <is>
          <t>2028-09-03</t>
        </is>
      </c>
      <c r="G142" s="28" t="n">
        <v>48</v>
      </c>
      <c r="H142" s="29" t="n">
        <v>495793.23</v>
      </c>
      <c r="I142" s="29">
        <f>IF(Intereses_Leasing_Mensual!I142&gt;0, ROUND(252682.64 - Intereses_Leasing_Mensual!I142, 2), "")</f>
        <v/>
      </c>
      <c r="J142" s="29">
        <f>IF(Intereses_Leasing_Mensual!J142&gt;0, ROUND(I142 - Intereses_Leasing_Mensual!J142, 2), "")</f>
        <v/>
      </c>
      <c r="K142" s="29">
        <f>IF(Intereses_Leasing_Mensual!K142&gt;0, ROUND(J142 - Intereses_Leasing_Mensual!K142, 2), "")</f>
        <v/>
      </c>
      <c r="L142" s="29">
        <f>IF(Intereses_Leasing_Mensual!L142&gt;0, ROUND(K142 - Intereses_Leasing_Mensual!L142, 2), "")</f>
        <v/>
      </c>
      <c r="M142" s="29">
        <f>IF(Intereses_Leasing_Mensual!M142&gt;0, ROUND(L142 - Intereses_Leasing_Mensual!M142, 2), "")</f>
        <v/>
      </c>
      <c r="N142" s="29">
        <f>IF(Intereses_Leasing_Mensual!N142&gt;0, ROUND(M142 - Intereses_Leasing_Mensual!N142, 2), "")</f>
        <v/>
      </c>
      <c r="O142" s="29">
        <f>IF(Intereses_Leasing_Mensual!O142&gt;0, ROUND(N142 - Intereses_Leasing_Mensual!O142, 2), "")</f>
        <v/>
      </c>
      <c r="P142" s="29">
        <f>IF(Intereses_Leasing_Mensual!P142&gt;0, ROUND(O142 - Intereses_Leasing_Mensual!P142, 2), "")</f>
        <v/>
      </c>
      <c r="Q142" s="29">
        <f>IF(Intereses_Leasing_Mensual!Q142&gt;0, ROUND(P142 - Intereses_Leasing_Mensual!Q142, 2), "")</f>
        <v/>
      </c>
      <c r="R142" s="29">
        <f>IF(Intereses_Leasing_Mensual!R142&gt;0, ROUND(Q142 - Intereses_Leasing_Mensual!R142, 2), "")</f>
        <v/>
      </c>
      <c r="S142" s="29">
        <f>IF(Intereses_Leasing_Mensual!S142&gt;0, ROUND(R142 - Intereses_Leasing_Mensual!S142, 2), "")</f>
        <v/>
      </c>
      <c r="T142" s="29">
        <f>IF(Intereses_Leasing_Mensual!T142&gt;0, ROUND(S142 - Intereses_Leasing_Mensual!T142, 2), "")</f>
        <v/>
      </c>
      <c r="U142" s="29">
        <f>MAX(I142:T142)</f>
        <v/>
      </c>
    </row>
    <row r="143">
      <c r="A143" s="20" t="inlineStr">
        <is>
          <t>0672-0001</t>
        </is>
      </c>
      <c r="B143" s="21" t="inlineStr">
        <is>
          <t>Bax Blockchain Services Sa de Cv</t>
        </is>
      </c>
      <c r="C143" s="21" t="inlineStr">
        <is>
          <t>Tucson Limited</t>
        </is>
      </c>
      <c r="D143" s="20" t="inlineStr">
        <is>
          <t>ACTIVO</t>
        </is>
      </c>
      <c r="E143" s="20" t="inlineStr">
        <is>
          <t>2024-09-13</t>
        </is>
      </c>
      <c r="F143" s="20" t="inlineStr">
        <is>
          <t>2027-09-13</t>
        </is>
      </c>
      <c r="G143" s="22" t="n">
        <v>36</v>
      </c>
      <c r="H143" s="23" t="n">
        <v>389178.19</v>
      </c>
      <c r="I143" s="23">
        <f>IF(Intereses_Leasing_Mensual!I143&gt;0, ROUND(179031.12 - Intereses_Leasing_Mensual!I143, 2), "")</f>
        <v/>
      </c>
      <c r="J143" s="23">
        <f>IF(Intereses_Leasing_Mensual!J143&gt;0, ROUND(I143 - Intereses_Leasing_Mensual!J143, 2), "")</f>
        <v/>
      </c>
      <c r="K143" s="23">
        <f>IF(Intereses_Leasing_Mensual!K143&gt;0, ROUND(J143 - Intereses_Leasing_Mensual!K143, 2), "")</f>
        <v/>
      </c>
      <c r="L143" s="23">
        <f>IF(Intereses_Leasing_Mensual!L143&gt;0, ROUND(K143 - Intereses_Leasing_Mensual!L143, 2), "")</f>
        <v/>
      </c>
      <c r="M143" s="23">
        <f>IF(Intereses_Leasing_Mensual!M143&gt;0, ROUND(L143 - Intereses_Leasing_Mensual!M143, 2), "")</f>
        <v/>
      </c>
      <c r="N143" s="23">
        <f>IF(Intereses_Leasing_Mensual!N143&gt;0, ROUND(M143 - Intereses_Leasing_Mensual!N143, 2), "")</f>
        <v/>
      </c>
      <c r="O143" s="23">
        <f>IF(Intereses_Leasing_Mensual!O143&gt;0, ROUND(N143 - Intereses_Leasing_Mensual!O143, 2), "")</f>
        <v/>
      </c>
      <c r="P143" s="23">
        <f>IF(Intereses_Leasing_Mensual!P143&gt;0, ROUND(O143 - Intereses_Leasing_Mensual!P143, 2), "")</f>
        <v/>
      </c>
      <c r="Q143" s="23">
        <f>IF(Intereses_Leasing_Mensual!Q143&gt;0, ROUND(P143 - Intereses_Leasing_Mensual!Q143, 2), "")</f>
        <v/>
      </c>
      <c r="R143" s="23">
        <f>IF(Intereses_Leasing_Mensual!R143&gt;0, ROUND(Q143 - Intereses_Leasing_Mensual!R143, 2), "")</f>
        <v/>
      </c>
      <c r="S143" s="23">
        <f>IF(Intereses_Leasing_Mensual!S143&gt;0, ROUND(R143 - Intereses_Leasing_Mensual!S143, 2), "")</f>
        <v/>
      </c>
      <c r="T143" s="23">
        <f>IF(Intereses_Leasing_Mensual!T143&gt;0, ROUND(S143 - Intereses_Leasing_Mensual!T143, 2), "")</f>
        <v/>
      </c>
      <c r="U143" s="23">
        <f>MAX(I143:T143)</f>
        <v/>
      </c>
    </row>
    <row r="144">
      <c r="A144" s="26" t="inlineStr">
        <is>
          <t>0673-0001</t>
        </is>
      </c>
      <c r="B144" s="27" t="inlineStr">
        <is>
          <t>Juan Carlos Cardenas Arciniega</t>
        </is>
      </c>
      <c r="C144" s="27" t="inlineStr">
        <is>
          <t>Wrangler Unlimited</t>
        </is>
      </c>
      <c r="D144" s="26" t="inlineStr">
        <is>
          <t>ACTIVO</t>
        </is>
      </c>
      <c r="E144" s="26" t="inlineStr">
        <is>
          <t>2024-09-06</t>
        </is>
      </c>
      <c r="F144" s="26" t="inlineStr">
        <is>
          <t>2028-09-06</t>
        </is>
      </c>
      <c r="G144" s="28" t="n">
        <v>48</v>
      </c>
      <c r="H144" s="29" t="n">
        <v>999967.39</v>
      </c>
      <c r="I144" s="29">
        <f>IF(Intereses_Leasing_Mensual!I144&gt;0, ROUND(566098.31 - Intereses_Leasing_Mensual!I144, 2), "")</f>
        <v/>
      </c>
      <c r="J144" s="29">
        <f>IF(Intereses_Leasing_Mensual!J144&gt;0, ROUND(I144 - Intereses_Leasing_Mensual!J144, 2), "")</f>
        <v/>
      </c>
      <c r="K144" s="29">
        <f>IF(Intereses_Leasing_Mensual!K144&gt;0, ROUND(J144 - Intereses_Leasing_Mensual!K144, 2), "")</f>
        <v/>
      </c>
      <c r="L144" s="29">
        <f>IF(Intereses_Leasing_Mensual!L144&gt;0, ROUND(K144 - Intereses_Leasing_Mensual!L144, 2), "")</f>
        <v/>
      </c>
      <c r="M144" s="29">
        <f>IF(Intereses_Leasing_Mensual!M144&gt;0, ROUND(L144 - Intereses_Leasing_Mensual!M144, 2), "")</f>
        <v/>
      </c>
      <c r="N144" s="29">
        <f>IF(Intereses_Leasing_Mensual!N144&gt;0, ROUND(M144 - Intereses_Leasing_Mensual!N144, 2), "")</f>
        <v/>
      </c>
      <c r="O144" s="29">
        <f>IF(Intereses_Leasing_Mensual!O144&gt;0, ROUND(N144 - Intereses_Leasing_Mensual!O144, 2), "")</f>
        <v/>
      </c>
      <c r="P144" s="29">
        <f>IF(Intereses_Leasing_Mensual!P144&gt;0, ROUND(O144 - Intereses_Leasing_Mensual!P144, 2), "")</f>
        <v/>
      </c>
      <c r="Q144" s="29">
        <f>IF(Intereses_Leasing_Mensual!Q144&gt;0, ROUND(P144 - Intereses_Leasing_Mensual!Q144, 2), "")</f>
        <v/>
      </c>
      <c r="R144" s="29">
        <f>IF(Intereses_Leasing_Mensual!R144&gt;0, ROUND(Q144 - Intereses_Leasing_Mensual!R144, 2), "")</f>
        <v/>
      </c>
      <c r="S144" s="29">
        <f>IF(Intereses_Leasing_Mensual!S144&gt;0, ROUND(R144 - Intereses_Leasing_Mensual!S144, 2), "")</f>
        <v/>
      </c>
      <c r="T144" s="29">
        <f>IF(Intereses_Leasing_Mensual!T144&gt;0, ROUND(S144 - Intereses_Leasing_Mensual!T144, 2), "")</f>
        <v/>
      </c>
      <c r="U144" s="29">
        <f>MAX(I144:T144)</f>
        <v/>
      </c>
    </row>
    <row r="145">
      <c r="A145" s="20" t="inlineStr">
        <is>
          <t>0673-0002</t>
        </is>
      </c>
      <c r="B145" s="21" t="inlineStr">
        <is>
          <t>Juan Carlos Cardenas Arciniega</t>
        </is>
      </c>
      <c r="C145" s="21" t="inlineStr">
        <is>
          <t>L200 Glx Diesel</t>
        </is>
      </c>
      <c r="D145" s="20" t="inlineStr">
        <is>
          <t>ACTIVO</t>
        </is>
      </c>
      <c r="E145" s="20" t="inlineStr">
        <is>
          <t>2025-03-25</t>
        </is>
      </c>
      <c r="F145" s="20" t="inlineStr">
        <is>
          <t>2029-03-25</t>
        </is>
      </c>
      <c r="G145" s="22" t="n">
        <v>48</v>
      </c>
      <c r="H145" s="23" t="n">
        <v>355555.47</v>
      </c>
      <c r="I145" s="23">
        <f>IF(Intereses_Leasing_Mensual!I145&gt;0, ROUND(248628.16 - Intereses_Leasing_Mensual!I145, 2), "")</f>
        <v/>
      </c>
      <c r="J145" s="23">
        <f>IF(Intereses_Leasing_Mensual!J145&gt;0, ROUND(I145 - Intereses_Leasing_Mensual!J145, 2), "")</f>
        <v/>
      </c>
      <c r="K145" s="23">
        <f>IF(Intereses_Leasing_Mensual!K145&gt;0, ROUND(J145 - Intereses_Leasing_Mensual!K145, 2), "")</f>
        <v/>
      </c>
      <c r="L145" s="23">
        <f>IF(Intereses_Leasing_Mensual!L145&gt;0, ROUND(K145 - Intereses_Leasing_Mensual!L145, 2), "")</f>
        <v/>
      </c>
      <c r="M145" s="23">
        <f>IF(Intereses_Leasing_Mensual!M145&gt;0, ROUND(L145 - Intereses_Leasing_Mensual!M145, 2), "")</f>
        <v/>
      </c>
      <c r="N145" s="23">
        <f>IF(Intereses_Leasing_Mensual!N145&gt;0, ROUND(M145 - Intereses_Leasing_Mensual!N145, 2), "")</f>
        <v/>
      </c>
      <c r="O145" s="23">
        <f>IF(Intereses_Leasing_Mensual!O145&gt;0, ROUND(N145 - Intereses_Leasing_Mensual!O145, 2), "")</f>
        <v/>
      </c>
      <c r="P145" s="23">
        <f>IF(Intereses_Leasing_Mensual!P145&gt;0, ROUND(O145 - Intereses_Leasing_Mensual!P145, 2), "")</f>
        <v/>
      </c>
      <c r="Q145" s="23">
        <f>IF(Intereses_Leasing_Mensual!Q145&gt;0, ROUND(P145 - Intereses_Leasing_Mensual!Q145, 2), "")</f>
        <v/>
      </c>
      <c r="R145" s="23">
        <f>IF(Intereses_Leasing_Mensual!R145&gt;0, ROUND(Q145 - Intereses_Leasing_Mensual!R145, 2), "")</f>
        <v/>
      </c>
      <c r="S145" s="23">
        <f>IF(Intereses_Leasing_Mensual!S145&gt;0, ROUND(R145 - Intereses_Leasing_Mensual!S145, 2), "")</f>
        <v/>
      </c>
      <c r="T145" s="23">
        <f>IF(Intereses_Leasing_Mensual!T145&gt;0, ROUND(S145 - Intereses_Leasing_Mensual!T145, 2), "")</f>
        <v/>
      </c>
      <c r="U145" s="23">
        <f>MAX(I145:T145)</f>
        <v/>
      </c>
    </row>
    <row r="146">
      <c r="A146" s="26" t="inlineStr">
        <is>
          <t>0673-0003</t>
        </is>
      </c>
      <c r="B146" s="27" t="inlineStr">
        <is>
          <t>Juan Carlos Cardenas Arciniega</t>
        </is>
      </c>
      <c r="C146" s="27" t="inlineStr">
        <is>
          <t>Hilux Diesel</t>
        </is>
      </c>
      <c r="D146" s="26" t="inlineStr">
        <is>
          <t>ACTIVO</t>
        </is>
      </c>
      <c r="E146" s="26" t="inlineStr">
        <is>
          <t>2025-04-30</t>
        </is>
      </c>
      <c r="F146" s="26" t="inlineStr">
        <is>
          <t>2029-04-30</t>
        </is>
      </c>
      <c r="G146" s="28" t="n">
        <v>48</v>
      </c>
      <c r="H146" s="29" t="n">
        <v>636473.86</v>
      </c>
      <c r="I146" s="29">
        <f>IF(Intereses_Leasing_Mensual!I146&gt;0, ROUND(473477.98 - Intereses_Leasing_Mensual!I146, 2), "")</f>
        <v/>
      </c>
      <c r="J146" s="29">
        <f>IF(Intereses_Leasing_Mensual!J146&gt;0, ROUND(I146 - Intereses_Leasing_Mensual!J146, 2), "")</f>
        <v/>
      </c>
      <c r="K146" s="29">
        <f>IF(Intereses_Leasing_Mensual!K146&gt;0, ROUND(J146 - Intereses_Leasing_Mensual!K146, 2), "")</f>
        <v/>
      </c>
      <c r="L146" s="29">
        <f>IF(Intereses_Leasing_Mensual!L146&gt;0, ROUND(K146 - Intereses_Leasing_Mensual!L146, 2), "")</f>
        <v/>
      </c>
      <c r="M146" s="29">
        <f>IF(Intereses_Leasing_Mensual!M146&gt;0, ROUND(L146 - Intereses_Leasing_Mensual!M146, 2), "")</f>
        <v/>
      </c>
      <c r="N146" s="29">
        <f>IF(Intereses_Leasing_Mensual!N146&gt;0, ROUND(M146 - Intereses_Leasing_Mensual!N146, 2), "")</f>
        <v/>
      </c>
      <c r="O146" s="29">
        <f>IF(Intereses_Leasing_Mensual!O146&gt;0, ROUND(N146 - Intereses_Leasing_Mensual!O146, 2), "")</f>
        <v/>
      </c>
      <c r="P146" s="29">
        <f>IF(Intereses_Leasing_Mensual!P146&gt;0, ROUND(O146 - Intereses_Leasing_Mensual!P146, 2), "")</f>
        <v/>
      </c>
      <c r="Q146" s="29">
        <f>IF(Intereses_Leasing_Mensual!Q146&gt;0, ROUND(P146 - Intereses_Leasing_Mensual!Q146, 2), "")</f>
        <v/>
      </c>
      <c r="R146" s="29">
        <f>IF(Intereses_Leasing_Mensual!R146&gt;0, ROUND(Q146 - Intereses_Leasing_Mensual!R146, 2), "")</f>
        <v/>
      </c>
      <c r="S146" s="29">
        <f>IF(Intereses_Leasing_Mensual!S146&gt;0, ROUND(R146 - Intereses_Leasing_Mensual!S146, 2), "")</f>
        <v/>
      </c>
      <c r="T146" s="29">
        <f>IF(Intereses_Leasing_Mensual!T146&gt;0, ROUND(S146 - Intereses_Leasing_Mensual!T146, 2), "")</f>
        <v/>
      </c>
      <c r="U146" s="29">
        <f>MAX(I146:T146)</f>
        <v/>
      </c>
    </row>
    <row r="147">
      <c r="A147" s="20" t="inlineStr">
        <is>
          <t>0673-0004</t>
        </is>
      </c>
      <c r="B147" s="21" t="inlineStr">
        <is>
          <t>Juan Carlos Cardenas Arciniega</t>
        </is>
      </c>
      <c r="C147" s="21" t="inlineStr">
        <is>
          <t>Np300</t>
        </is>
      </c>
      <c r="D147" s="20" t="inlineStr">
        <is>
          <t>ACTIVO</t>
        </is>
      </c>
      <c r="E147" s="20" t="inlineStr">
        <is>
          <t>2025-05-29</t>
        </is>
      </c>
      <c r="F147" s="20" t="inlineStr">
        <is>
          <t>2027-05-29</t>
        </is>
      </c>
      <c r="G147" s="22" t="n">
        <v>24</v>
      </c>
      <c r="H147" s="23" t="n">
        <v>164725.43</v>
      </c>
      <c r="I147" s="23">
        <f>IF(Intereses_Leasing_Mensual!I147&gt;0, ROUND(93659.84 - Intereses_Leasing_Mensual!I147, 2), "")</f>
        <v/>
      </c>
      <c r="J147" s="23">
        <f>IF(Intereses_Leasing_Mensual!J147&gt;0, ROUND(I147 - Intereses_Leasing_Mensual!J147, 2), "")</f>
        <v/>
      </c>
      <c r="K147" s="23">
        <f>IF(Intereses_Leasing_Mensual!K147&gt;0, ROUND(J147 - Intereses_Leasing_Mensual!K147, 2), "")</f>
        <v/>
      </c>
      <c r="L147" s="23">
        <f>IF(Intereses_Leasing_Mensual!L147&gt;0, ROUND(K147 - Intereses_Leasing_Mensual!L147, 2), "")</f>
        <v/>
      </c>
      <c r="M147" s="23">
        <f>IF(Intereses_Leasing_Mensual!M147&gt;0, ROUND(L147 - Intereses_Leasing_Mensual!M147, 2), "")</f>
        <v/>
      </c>
      <c r="N147" s="23">
        <f>IF(Intereses_Leasing_Mensual!N147&gt;0, ROUND(M147 - Intereses_Leasing_Mensual!N147, 2), "")</f>
        <v/>
      </c>
      <c r="O147" s="23">
        <f>IF(Intereses_Leasing_Mensual!O147&gt;0, ROUND(N147 - Intereses_Leasing_Mensual!O147, 2), "")</f>
        <v/>
      </c>
      <c r="P147" s="23">
        <f>IF(Intereses_Leasing_Mensual!P147&gt;0, ROUND(O147 - Intereses_Leasing_Mensual!P147, 2), "")</f>
        <v/>
      </c>
      <c r="Q147" s="23">
        <f>IF(Intereses_Leasing_Mensual!Q147&gt;0, ROUND(P147 - Intereses_Leasing_Mensual!Q147, 2), "")</f>
        <v/>
      </c>
      <c r="R147" s="23">
        <f>IF(Intereses_Leasing_Mensual!R147&gt;0, ROUND(Q147 - Intereses_Leasing_Mensual!R147, 2), "")</f>
        <v/>
      </c>
      <c r="S147" s="23">
        <f>IF(Intereses_Leasing_Mensual!S147&gt;0, ROUND(R147 - Intereses_Leasing_Mensual!S147, 2), "")</f>
        <v/>
      </c>
      <c r="T147" s="23">
        <f>IF(Intereses_Leasing_Mensual!T147&gt;0, ROUND(S147 - Intereses_Leasing_Mensual!T147, 2), "")</f>
        <v/>
      </c>
      <c r="U147" s="23">
        <f>MAX(I147:T147)</f>
        <v/>
      </c>
    </row>
    <row r="148">
      <c r="A148" s="26" t="inlineStr">
        <is>
          <t>0673-0005</t>
        </is>
      </c>
      <c r="B148" s="27" t="inlineStr">
        <is>
          <t>Juan Carlos Cardenas Arciniega</t>
        </is>
      </c>
      <c r="C148" s="27" t="inlineStr">
        <is>
          <t>L200 Glx</t>
        </is>
      </c>
      <c r="D148" s="26" t="inlineStr">
        <is>
          <t>ACTIVO</t>
        </is>
      </c>
      <c r="E148" s="26" t="inlineStr">
        <is>
          <t>2025-05-29</t>
        </is>
      </c>
      <c r="F148" s="26" t="inlineStr">
        <is>
          <t>2028-05-29</t>
        </is>
      </c>
      <c r="G148" s="28" t="n">
        <v>36</v>
      </c>
      <c r="H148" s="29" t="n">
        <v>296735.55</v>
      </c>
      <c r="I148" s="29">
        <f>IF(Intereses_Leasing_Mensual!I148&gt;0, ROUND(204628.09 - Intereses_Leasing_Mensual!I148, 2), "")</f>
        <v/>
      </c>
      <c r="J148" s="29">
        <f>IF(Intereses_Leasing_Mensual!J148&gt;0, ROUND(I148 - Intereses_Leasing_Mensual!J148, 2), "")</f>
        <v/>
      </c>
      <c r="K148" s="29">
        <f>IF(Intereses_Leasing_Mensual!K148&gt;0, ROUND(J148 - Intereses_Leasing_Mensual!K148, 2), "")</f>
        <v/>
      </c>
      <c r="L148" s="29">
        <f>IF(Intereses_Leasing_Mensual!L148&gt;0, ROUND(K148 - Intereses_Leasing_Mensual!L148, 2), "")</f>
        <v/>
      </c>
      <c r="M148" s="29">
        <f>IF(Intereses_Leasing_Mensual!M148&gt;0, ROUND(L148 - Intereses_Leasing_Mensual!M148, 2), "")</f>
        <v/>
      </c>
      <c r="N148" s="29">
        <f>IF(Intereses_Leasing_Mensual!N148&gt;0, ROUND(M148 - Intereses_Leasing_Mensual!N148, 2), "")</f>
        <v/>
      </c>
      <c r="O148" s="29">
        <f>IF(Intereses_Leasing_Mensual!O148&gt;0, ROUND(N148 - Intereses_Leasing_Mensual!O148, 2), "")</f>
        <v/>
      </c>
      <c r="P148" s="29">
        <f>IF(Intereses_Leasing_Mensual!P148&gt;0, ROUND(O148 - Intereses_Leasing_Mensual!P148, 2), "")</f>
        <v/>
      </c>
      <c r="Q148" s="29">
        <f>IF(Intereses_Leasing_Mensual!Q148&gt;0, ROUND(P148 - Intereses_Leasing_Mensual!Q148, 2), "")</f>
        <v/>
      </c>
      <c r="R148" s="29">
        <f>IF(Intereses_Leasing_Mensual!R148&gt;0, ROUND(Q148 - Intereses_Leasing_Mensual!R148, 2), "")</f>
        <v/>
      </c>
      <c r="S148" s="29">
        <f>IF(Intereses_Leasing_Mensual!S148&gt;0, ROUND(R148 - Intereses_Leasing_Mensual!S148, 2), "")</f>
        <v/>
      </c>
      <c r="T148" s="29">
        <f>IF(Intereses_Leasing_Mensual!T148&gt;0, ROUND(S148 - Intereses_Leasing_Mensual!T148, 2), "")</f>
        <v/>
      </c>
      <c r="U148" s="29">
        <f>MAX(I148:T148)</f>
        <v/>
      </c>
    </row>
    <row r="149">
      <c r="A149" s="20" t="inlineStr">
        <is>
          <t>0674-0001</t>
        </is>
      </c>
      <c r="B149" s="21" t="inlineStr">
        <is>
          <t>Zuji Sa de Cv</t>
        </is>
      </c>
      <c r="C149" s="21" t="inlineStr">
        <is>
          <t>2008 Allure</t>
        </is>
      </c>
      <c r="D149" s="20" t="inlineStr">
        <is>
          <t>ACTIVO</t>
        </is>
      </c>
      <c r="E149" s="20" t="inlineStr">
        <is>
          <t>2024-09-30</t>
        </is>
      </c>
      <c r="F149" s="20" t="inlineStr">
        <is>
          <t>2027-09-30</t>
        </is>
      </c>
      <c r="G149" s="22" t="n">
        <v>36</v>
      </c>
      <c r="H149" s="23" t="n">
        <v>288497.09</v>
      </c>
      <c r="I149" s="23">
        <f>IF(Intereses_Leasing_Mensual!I149&gt;0, ROUND(136048.13 - Intereses_Leasing_Mensual!I149, 2), "")</f>
        <v/>
      </c>
      <c r="J149" s="23">
        <f>IF(Intereses_Leasing_Mensual!J149&gt;0, ROUND(I149 - Intereses_Leasing_Mensual!J149, 2), "")</f>
        <v/>
      </c>
      <c r="K149" s="23">
        <f>IF(Intereses_Leasing_Mensual!K149&gt;0, ROUND(J149 - Intereses_Leasing_Mensual!K149, 2), "")</f>
        <v/>
      </c>
      <c r="L149" s="23">
        <f>IF(Intereses_Leasing_Mensual!L149&gt;0, ROUND(K149 - Intereses_Leasing_Mensual!L149, 2), "")</f>
        <v/>
      </c>
      <c r="M149" s="23">
        <f>IF(Intereses_Leasing_Mensual!M149&gt;0, ROUND(L149 - Intereses_Leasing_Mensual!M149, 2), "")</f>
        <v/>
      </c>
      <c r="N149" s="23">
        <f>IF(Intereses_Leasing_Mensual!N149&gt;0, ROUND(M149 - Intereses_Leasing_Mensual!N149, 2), "")</f>
        <v/>
      </c>
      <c r="O149" s="23">
        <f>IF(Intereses_Leasing_Mensual!O149&gt;0, ROUND(N149 - Intereses_Leasing_Mensual!O149, 2), "")</f>
        <v/>
      </c>
      <c r="P149" s="23">
        <f>IF(Intereses_Leasing_Mensual!P149&gt;0, ROUND(O149 - Intereses_Leasing_Mensual!P149, 2), "")</f>
        <v/>
      </c>
      <c r="Q149" s="23">
        <f>IF(Intereses_Leasing_Mensual!Q149&gt;0, ROUND(P149 - Intereses_Leasing_Mensual!Q149, 2), "")</f>
        <v/>
      </c>
      <c r="R149" s="23">
        <f>IF(Intereses_Leasing_Mensual!R149&gt;0, ROUND(Q149 - Intereses_Leasing_Mensual!R149, 2), "")</f>
        <v/>
      </c>
      <c r="S149" s="23">
        <f>IF(Intereses_Leasing_Mensual!S149&gt;0, ROUND(R149 - Intereses_Leasing_Mensual!S149, 2), "")</f>
        <v/>
      </c>
      <c r="T149" s="23">
        <f>IF(Intereses_Leasing_Mensual!T149&gt;0, ROUND(S149 - Intereses_Leasing_Mensual!T149, 2), "")</f>
        <v/>
      </c>
      <c r="U149" s="23">
        <f>MAX(I149:T149)</f>
        <v/>
      </c>
    </row>
    <row r="150">
      <c r="A150" s="26" t="inlineStr">
        <is>
          <t>0675-0002</t>
        </is>
      </c>
      <c r="B150" s="27" t="inlineStr">
        <is>
          <t>Comercializadora Industrial de Zapopan Sa de Cv</t>
        </is>
      </c>
      <c r="C150" s="27" t="inlineStr">
        <is>
          <t>Valor Residual</t>
        </is>
      </c>
      <c r="D150" s="26" t="inlineStr">
        <is>
          <t>ACTIVO</t>
        </is>
      </c>
      <c r="E150" s="26" t="inlineStr">
        <is>
          <t>2025-10-15</t>
        </is>
      </c>
      <c r="F150" s="26" t="inlineStr">
        <is>
          <t>2026-10-15</t>
        </is>
      </c>
      <c r="G150" s="28" t="n">
        <v>12</v>
      </c>
      <c r="H150" s="29" t="n">
        <v>43822.43</v>
      </c>
      <c r="I150" s="29">
        <f>IF(Intereses_Leasing_Mensual!I150&gt;0, ROUND(28888.46 - Intereses_Leasing_Mensual!I150, 2), "")</f>
        <v/>
      </c>
      <c r="J150" s="29">
        <f>IF(Intereses_Leasing_Mensual!J150&gt;0, ROUND(I150 - Intereses_Leasing_Mensual!J150, 2), "")</f>
        <v/>
      </c>
      <c r="K150" s="29">
        <f>IF(Intereses_Leasing_Mensual!K150&gt;0, ROUND(J150 - Intereses_Leasing_Mensual!K150, 2), "")</f>
        <v/>
      </c>
      <c r="L150" s="29">
        <f>IF(Intereses_Leasing_Mensual!L150&gt;0, ROUND(K150 - Intereses_Leasing_Mensual!L150, 2), "")</f>
        <v/>
      </c>
      <c r="M150" s="29">
        <f>IF(Intereses_Leasing_Mensual!M150&gt;0, ROUND(L150 - Intereses_Leasing_Mensual!M150, 2), "")</f>
        <v/>
      </c>
      <c r="N150" s="29">
        <f>IF(Intereses_Leasing_Mensual!N150&gt;0, ROUND(M150 - Intereses_Leasing_Mensual!N150, 2), "")</f>
        <v/>
      </c>
      <c r="O150" s="29">
        <f>IF(Intereses_Leasing_Mensual!O150&gt;0, ROUND(N150 - Intereses_Leasing_Mensual!O150, 2), "")</f>
        <v/>
      </c>
      <c r="P150" s="29">
        <f>IF(Intereses_Leasing_Mensual!P150&gt;0, ROUND(O150 - Intereses_Leasing_Mensual!P150, 2), "")</f>
        <v/>
      </c>
      <c r="Q150" s="29">
        <f>IF(Intereses_Leasing_Mensual!Q150&gt;0, ROUND(P150 - Intereses_Leasing_Mensual!Q150, 2), "")</f>
        <v/>
      </c>
      <c r="R150" s="29" t="inlineStr"/>
      <c r="S150" s="29" t="inlineStr"/>
      <c r="T150" s="29" t="inlineStr"/>
      <c r="U150" s="29">
        <f>MAX(I150:T150)</f>
        <v/>
      </c>
    </row>
    <row r="151">
      <c r="A151" s="20" t="inlineStr">
        <is>
          <t>0676-0001</t>
        </is>
      </c>
      <c r="B151" s="21" t="inlineStr">
        <is>
          <t>Productora Agricola los Amoles</t>
        </is>
      </c>
      <c r="C151" s="21" t="inlineStr">
        <is>
          <t>Ram 700 Regular Cab</t>
        </is>
      </c>
      <c r="D151" s="20" t="inlineStr">
        <is>
          <t>ACTIVO</t>
        </is>
      </c>
      <c r="E151" s="20" t="inlineStr">
        <is>
          <t>2024-10-30</t>
        </is>
      </c>
      <c r="F151" s="20" t="inlineStr">
        <is>
          <t>2027-10-30</t>
        </is>
      </c>
      <c r="G151" s="22" t="n">
        <v>36</v>
      </c>
      <c r="H151" s="23" t="n">
        <v>209820.69</v>
      </c>
      <c r="I151" s="23">
        <f>IF(Intereses_Leasing_Mensual!I151&gt;0, ROUND(103264.33 - Intereses_Leasing_Mensual!I151, 2), "")</f>
        <v/>
      </c>
      <c r="J151" s="23">
        <f>IF(Intereses_Leasing_Mensual!J151&gt;0, ROUND(I151 - Intereses_Leasing_Mensual!J151, 2), "")</f>
        <v/>
      </c>
      <c r="K151" s="23">
        <f>IF(Intereses_Leasing_Mensual!K151&gt;0, ROUND(J151 - Intereses_Leasing_Mensual!K151, 2), "")</f>
        <v/>
      </c>
      <c r="L151" s="23">
        <f>IF(Intereses_Leasing_Mensual!L151&gt;0, ROUND(K151 - Intereses_Leasing_Mensual!L151, 2), "")</f>
        <v/>
      </c>
      <c r="M151" s="23">
        <f>IF(Intereses_Leasing_Mensual!M151&gt;0, ROUND(L151 - Intereses_Leasing_Mensual!M151, 2), "")</f>
        <v/>
      </c>
      <c r="N151" s="23">
        <f>IF(Intereses_Leasing_Mensual!N151&gt;0, ROUND(M151 - Intereses_Leasing_Mensual!N151, 2), "")</f>
        <v/>
      </c>
      <c r="O151" s="23">
        <f>IF(Intereses_Leasing_Mensual!O151&gt;0, ROUND(N151 - Intereses_Leasing_Mensual!O151, 2), "")</f>
        <v/>
      </c>
      <c r="P151" s="23">
        <f>IF(Intereses_Leasing_Mensual!P151&gt;0, ROUND(O151 - Intereses_Leasing_Mensual!P151, 2), "")</f>
        <v/>
      </c>
      <c r="Q151" s="23">
        <f>IF(Intereses_Leasing_Mensual!Q151&gt;0, ROUND(P151 - Intereses_Leasing_Mensual!Q151, 2), "")</f>
        <v/>
      </c>
      <c r="R151" s="23">
        <f>IF(Intereses_Leasing_Mensual!R151&gt;0, ROUND(Q151 - Intereses_Leasing_Mensual!R151, 2), "")</f>
        <v/>
      </c>
      <c r="S151" s="23">
        <f>IF(Intereses_Leasing_Mensual!S151&gt;0, ROUND(R151 - Intereses_Leasing_Mensual!S151, 2), "")</f>
        <v/>
      </c>
      <c r="T151" s="23">
        <f>IF(Intereses_Leasing_Mensual!T151&gt;0, ROUND(S151 - Intereses_Leasing_Mensual!T151, 2), "")</f>
        <v/>
      </c>
      <c r="U151" s="23">
        <f>MAX(I151:T151)</f>
        <v/>
      </c>
    </row>
    <row r="152">
      <c r="A152" s="26" t="inlineStr">
        <is>
          <t>0677-0001</t>
        </is>
      </c>
      <c r="B152" s="27" t="inlineStr">
        <is>
          <t>Laboratorio Inunza Siglo XXI</t>
        </is>
      </c>
      <c r="C152" s="27" t="inlineStr">
        <is>
          <t>Outlander Diamon</t>
        </is>
      </c>
      <c r="D152" s="26" t="inlineStr">
        <is>
          <t>ACTIVO</t>
        </is>
      </c>
      <c r="E152" s="26" t="inlineStr">
        <is>
          <t>2024-10-30</t>
        </is>
      </c>
      <c r="F152" s="26" t="inlineStr">
        <is>
          <t>2027-10-30</t>
        </is>
      </c>
      <c r="G152" s="28" t="n">
        <v>36</v>
      </c>
      <c r="H152" s="29" t="n">
        <v>459314.4</v>
      </c>
      <c r="I152" s="29">
        <f>IF(Intereses_Leasing_Mensual!I152&gt;0, ROUND(216179.64 - Intereses_Leasing_Mensual!I152, 2), "")</f>
        <v/>
      </c>
      <c r="J152" s="29">
        <f>IF(Intereses_Leasing_Mensual!J152&gt;0, ROUND(I152 - Intereses_Leasing_Mensual!J152, 2), "")</f>
        <v/>
      </c>
      <c r="K152" s="29">
        <f>IF(Intereses_Leasing_Mensual!K152&gt;0, ROUND(J152 - Intereses_Leasing_Mensual!K152, 2), "")</f>
        <v/>
      </c>
      <c r="L152" s="29">
        <f>IF(Intereses_Leasing_Mensual!L152&gt;0, ROUND(K152 - Intereses_Leasing_Mensual!L152, 2), "")</f>
        <v/>
      </c>
      <c r="M152" s="29">
        <f>IF(Intereses_Leasing_Mensual!M152&gt;0, ROUND(L152 - Intereses_Leasing_Mensual!M152, 2), "")</f>
        <v/>
      </c>
      <c r="N152" s="29">
        <f>IF(Intereses_Leasing_Mensual!N152&gt;0, ROUND(M152 - Intereses_Leasing_Mensual!N152, 2), "")</f>
        <v/>
      </c>
      <c r="O152" s="29">
        <f>IF(Intereses_Leasing_Mensual!O152&gt;0, ROUND(N152 - Intereses_Leasing_Mensual!O152, 2), "")</f>
        <v/>
      </c>
      <c r="P152" s="29">
        <f>IF(Intereses_Leasing_Mensual!P152&gt;0, ROUND(O152 - Intereses_Leasing_Mensual!P152, 2), "")</f>
        <v/>
      </c>
      <c r="Q152" s="29">
        <f>IF(Intereses_Leasing_Mensual!Q152&gt;0, ROUND(P152 - Intereses_Leasing_Mensual!Q152, 2), "")</f>
        <v/>
      </c>
      <c r="R152" s="29">
        <f>IF(Intereses_Leasing_Mensual!R152&gt;0, ROUND(Q152 - Intereses_Leasing_Mensual!R152, 2), "")</f>
        <v/>
      </c>
      <c r="S152" s="29">
        <f>IF(Intereses_Leasing_Mensual!S152&gt;0, ROUND(R152 - Intereses_Leasing_Mensual!S152, 2), "")</f>
        <v/>
      </c>
      <c r="T152" s="29">
        <f>IF(Intereses_Leasing_Mensual!T152&gt;0, ROUND(S152 - Intereses_Leasing_Mensual!T152, 2), "")</f>
        <v/>
      </c>
      <c r="U152" s="29">
        <f>MAX(I152:T152)</f>
        <v/>
      </c>
    </row>
    <row r="153">
      <c r="A153" s="20" t="inlineStr">
        <is>
          <t>0678-0002</t>
        </is>
      </c>
      <c r="B153" s="21" t="inlineStr">
        <is>
          <t>Bhg Harmony S de Rl de Cv</t>
        </is>
      </c>
      <c r="C153" s="21" t="inlineStr">
        <is>
          <t>Teramont</t>
        </is>
      </c>
      <c r="D153" s="20" t="inlineStr">
        <is>
          <t>ACTIVO</t>
        </is>
      </c>
      <c r="E153" s="20" t="inlineStr">
        <is>
          <t>2025-12-04</t>
        </is>
      </c>
      <c r="F153" s="20" t="inlineStr">
        <is>
          <t>2026-12-04</t>
        </is>
      </c>
      <c r="G153" s="22" t="n">
        <v>12</v>
      </c>
      <c r="H153" s="23" t="n">
        <v>101260.51</v>
      </c>
      <c r="I153" s="23">
        <f>IF(Intereses_Leasing_Mensual!I153&gt;0, ROUND(88041.84 - Intereses_Leasing_Mensual!I153, 2), "")</f>
        <v/>
      </c>
      <c r="J153" s="23">
        <f>IF(Intereses_Leasing_Mensual!J153&gt;0, ROUND(I153 - Intereses_Leasing_Mensual!J153, 2), "")</f>
        <v/>
      </c>
      <c r="K153" s="23">
        <f>IF(Intereses_Leasing_Mensual!K153&gt;0, ROUND(J153 - Intereses_Leasing_Mensual!K153, 2), "")</f>
        <v/>
      </c>
      <c r="L153" s="23">
        <f>IF(Intereses_Leasing_Mensual!L153&gt;0, ROUND(K153 - Intereses_Leasing_Mensual!L153, 2), "")</f>
        <v/>
      </c>
      <c r="M153" s="23">
        <f>IF(Intereses_Leasing_Mensual!M153&gt;0, ROUND(L153 - Intereses_Leasing_Mensual!M153, 2), "")</f>
        <v/>
      </c>
      <c r="N153" s="23">
        <f>IF(Intereses_Leasing_Mensual!N153&gt;0, ROUND(M153 - Intereses_Leasing_Mensual!N153, 2), "")</f>
        <v/>
      </c>
      <c r="O153" s="23">
        <f>IF(Intereses_Leasing_Mensual!O153&gt;0, ROUND(N153 - Intereses_Leasing_Mensual!O153, 2), "")</f>
        <v/>
      </c>
      <c r="P153" s="23">
        <f>IF(Intereses_Leasing_Mensual!P153&gt;0, ROUND(O153 - Intereses_Leasing_Mensual!P153, 2), "")</f>
        <v/>
      </c>
      <c r="Q153" s="23">
        <f>IF(Intereses_Leasing_Mensual!Q153&gt;0, ROUND(P153 - Intereses_Leasing_Mensual!Q153, 2), "")</f>
        <v/>
      </c>
      <c r="R153" s="23">
        <f>IF(Intereses_Leasing_Mensual!R153&gt;0, ROUND(Q153 - Intereses_Leasing_Mensual!R153, 2), "")</f>
        <v/>
      </c>
      <c r="S153" s="23">
        <f>IF(Intereses_Leasing_Mensual!S153&gt;0, ROUND(R153 - Intereses_Leasing_Mensual!S153, 2), "")</f>
        <v/>
      </c>
      <c r="T153" s="23" t="inlineStr"/>
      <c r="U153" s="23">
        <f>MAX(I153:T153)</f>
        <v/>
      </c>
    </row>
    <row r="154">
      <c r="A154" s="26" t="inlineStr">
        <is>
          <t>0679-0001</t>
        </is>
      </c>
      <c r="B154" s="27" t="inlineStr">
        <is>
          <t>Naikor de Occidente Sa de Cv</t>
        </is>
      </c>
      <c r="C154" s="27" t="inlineStr">
        <is>
          <t>2008</t>
        </is>
      </c>
      <c r="D154" s="26" t="inlineStr">
        <is>
          <t>ACTIVO</t>
        </is>
      </c>
      <c r="E154" s="26" t="inlineStr">
        <is>
          <t>2024-11-29</t>
        </is>
      </c>
      <c r="F154" s="26" t="inlineStr">
        <is>
          <t>2028-11-29</t>
        </is>
      </c>
      <c r="G154" s="28" t="n">
        <v>48</v>
      </c>
      <c r="H154" s="29" t="n">
        <v>390932.48</v>
      </c>
      <c r="I154" s="29">
        <f>IF(Intereses_Leasing_Mensual!I154&gt;0, ROUND(244139.32 - Intereses_Leasing_Mensual!I154, 2), "")</f>
        <v/>
      </c>
      <c r="J154" s="29">
        <f>IF(Intereses_Leasing_Mensual!J154&gt;0, ROUND(I154 - Intereses_Leasing_Mensual!J154, 2), "")</f>
        <v/>
      </c>
      <c r="K154" s="29">
        <f>IF(Intereses_Leasing_Mensual!K154&gt;0, ROUND(J154 - Intereses_Leasing_Mensual!K154, 2), "")</f>
        <v/>
      </c>
      <c r="L154" s="29">
        <f>IF(Intereses_Leasing_Mensual!L154&gt;0, ROUND(K154 - Intereses_Leasing_Mensual!L154, 2), "")</f>
        <v/>
      </c>
      <c r="M154" s="29">
        <f>IF(Intereses_Leasing_Mensual!M154&gt;0, ROUND(L154 - Intereses_Leasing_Mensual!M154, 2), "")</f>
        <v/>
      </c>
      <c r="N154" s="29">
        <f>IF(Intereses_Leasing_Mensual!N154&gt;0, ROUND(M154 - Intereses_Leasing_Mensual!N154, 2), "")</f>
        <v/>
      </c>
      <c r="O154" s="29">
        <f>IF(Intereses_Leasing_Mensual!O154&gt;0, ROUND(N154 - Intereses_Leasing_Mensual!O154, 2), "")</f>
        <v/>
      </c>
      <c r="P154" s="29">
        <f>IF(Intereses_Leasing_Mensual!P154&gt;0, ROUND(O154 - Intereses_Leasing_Mensual!P154, 2), "")</f>
        <v/>
      </c>
      <c r="Q154" s="29">
        <f>IF(Intereses_Leasing_Mensual!Q154&gt;0, ROUND(P154 - Intereses_Leasing_Mensual!Q154, 2), "")</f>
        <v/>
      </c>
      <c r="R154" s="29">
        <f>IF(Intereses_Leasing_Mensual!R154&gt;0, ROUND(Q154 - Intereses_Leasing_Mensual!R154, 2), "")</f>
        <v/>
      </c>
      <c r="S154" s="29">
        <f>IF(Intereses_Leasing_Mensual!S154&gt;0, ROUND(R154 - Intereses_Leasing_Mensual!S154, 2), "")</f>
        <v/>
      </c>
      <c r="T154" s="29">
        <f>IF(Intereses_Leasing_Mensual!T154&gt;0, ROUND(S154 - Intereses_Leasing_Mensual!T154, 2), "")</f>
        <v/>
      </c>
      <c r="U154" s="29">
        <f>MAX(I154:T154)</f>
        <v/>
      </c>
    </row>
    <row r="155">
      <c r="A155" s="20" t="inlineStr">
        <is>
          <t>0680-0001</t>
        </is>
      </c>
      <c r="B155" s="21" t="inlineStr">
        <is>
          <t>Madereria el Volcan Sa de Cv</t>
        </is>
      </c>
      <c r="C155" s="21" t="inlineStr">
        <is>
          <t>JT Mojave</t>
        </is>
      </c>
      <c r="D155" s="20" t="inlineStr">
        <is>
          <t>ACTIVO</t>
        </is>
      </c>
      <c r="E155" s="20" t="inlineStr">
        <is>
          <t>2024-12-27</t>
        </is>
      </c>
      <c r="F155" s="20" t="inlineStr">
        <is>
          <t>2027-12-27</t>
        </is>
      </c>
      <c r="G155" s="22" t="n">
        <v>36</v>
      </c>
      <c r="H155" s="23" t="n">
        <v>619500.4399999999</v>
      </c>
      <c r="I155" s="23">
        <f>IF(Intereses_Leasing_Mensual!I155&gt;0, ROUND(312700.31 - Intereses_Leasing_Mensual!I155, 2), "")</f>
        <v/>
      </c>
      <c r="J155" s="23">
        <f>IF(Intereses_Leasing_Mensual!J155&gt;0, ROUND(I155 - Intereses_Leasing_Mensual!J155, 2), "")</f>
        <v/>
      </c>
      <c r="K155" s="23">
        <f>IF(Intereses_Leasing_Mensual!K155&gt;0, ROUND(J155 - Intereses_Leasing_Mensual!K155, 2), "")</f>
        <v/>
      </c>
      <c r="L155" s="23">
        <f>IF(Intereses_Leasing_Mensual!L155&gt;0, ROUND(K155 - Intereses_Leasing_Mensual!L155, 2), "")</f>
        <v/>
      </c>
      <c r="M155" s="23">
        <f>IF(Intereses_Leasing_Mensual!M155&gt;0, ROUND(L155 - Intereses_Leasing_Mensual!M155, 2), "")</f>
        <v/>
      </c>
      <c r="N155" s="23">
        <f>IF(Intereses_Leasing_Mensual!N155&gt;0, ROUND(M155 - Intereses_Leasing_Mensual!N155, 2), "")</f>
        <v/>
      </c>
      <c r="O155" s="23">
        <f>IF(Intereses_Leasing_Mensual!O155&gt;0, ROUND(N155 - Intereses_Leasing_Mensual!O155, 2), "")</f>
        <v/>
      </c>
      <c r="P155" s="23">
        <f>IF(Intereses_Leasing_Mensual!P155&gt;0, ROUND(O155 - Intereses_Leasing_Mensual!P155, 2), "")</f>
        <v/>
      </c>
      <c r="Q155" s="23">
        <f>IF(Intereses_Leasing_Mensual!Q155&gt;0, ROUND(P155 - Intereses_Leasing_Mensual!Q155, 2), "")</f>
        <v/>
      </c>
      <c r="R155" s="23">
        <f>IF(Intereses_Leasing_Mensual!R155&gt;0, ROUND(Q155 - Intereses_Leasing_Mensual!R155, 2), "")</f>
        <v/>
      </c>
      <c r="S155" s="23">
        <f>IF(Intereses_Leasing_Mensual!S155&gt;0, ROUND(R155 - Intereses_Leasing_Mensual!S155, 2), "")</f>
        <v/>
      </c>
      <c r="T155" s="23">
        <f>IF(Intereses_Leasing_Mensual!T155&gt;0, ROUND(S155 - Intereses_Leasing_Mensual!T155, 2), "")</f>
        <v/>
      </c>
      <c r="U155" s="23">
        <f>MAX(I155:T155)</f>
        <v/>
      </c>
    </row>
    <row r="156">
      <c r="A156" s="26" t="inlineStr">
        <is>
          <t>0682-0001</t>
        </is>
      </c>
      <c r="B156" s="27" t="inlineStr">
        <is>
          <t>Hidraneumaticos y Equipos para Gas Sa de Cv</t>
        </is>
      </c>
      <c r="C156" s="27" t="inlineStr">
        <is>
          <t>Renegade Limited</t>
        </is>
      </c>
      <c r="D156" s="26" t="inlineStr">
        <is>
          <t>ACTIVO</t>
        </is>
      </c>
      <c r="E156" s="26" t="inlineStr">
        <is>
          <t>2024-12-27</t>
        </is>
      </c>
      <c r="F156" s="26" t="inlineStr">
        <is>
          <t>2026-12-27</t>
        </is>
      </c>
      <c r="G156" s="28" t="n">
        <v>24</v>
      </c>
      <c r="H156" s="29" t="n">
        <v>181442.45</v>
      </c>
      <c r="I156" s="29">
        <f>IF(Intereses_Leasing_Mensual!I156&gt;0, ROUND(51805.17 - Intereses_Leasing_Mensual!I156, 2), "")</f>
        <v/>
      </c>
      <c r="J156" s="29">
        <f>IF(Intereses_Leasing_Mensual!J156&gt;0, ROUND(I156 - Intereses_Leasing_Mensual!J156, 2), "")</f>
        <v/>
      </c>
      <c r="K156" s="29">
        <f>IF(Intereses_Leasing_Mensual!K156&gt;0, ROUND(J156 - Intereses_Leasing_Mensual!K156, 2), "")</f>
        <v/>
      </c>
      <c r="L156" s="29">
        <f>IF(Intereses_Leasing_Mensual!L156&gt;0, ROUND(K156 - Intereses_Leasing_Mensual!L156, 2), "")</f>
        <v/>
      </c>
      <c r="M156" s="29">
        <f>IF(Intereses_Leasing_Mensual!M156&gt;0, ROUND(L156 - Intereses_Leasing_Mensual!M156, 2), "")</f>
        <v/>
      </c>
      <c r="N156" s="29">
        <f>IF(Intereses_Leasing_Mensual!N156&gt;0, ROUND(M156 - Intereses_Leasing_Mensual!N156, 2), "")</f>
        <v/>
      </c>
      <c r="O156" s="29">
        <f>IF(Intereses_Leasing_Mensual!O156&gt;0, ROUND(N156 - Intereses_Leasing_Mensual!O156, 2), "")</f>
        <v/>
      </c>
      <c r="P156" s="29">
        <f>IF(Intereses_Leasing_Mensual!P156&gt;0, ROUND(O156 - Intereses_Leasing_Mensual!P156, 2), "")</f>
        <v/>
      </c>
      <c r="Q156" s="29">
        <f>IF(Intereses_Leasing_Mensual!Q156&gt;0, ROUND(P156 - Intereses_Leasing_Mensual!Q156, 2), "")</f>
        <v/>
      </c>
      <c r="R156" s="29">
        <f>IF(Intereses_Leasing_Mensual!R156&gt;0, ROUND(Q156 - Intereses_Leasing_Mensual!R156, 2), "")</f>
        <v/>
      </c>
      <c r="S156" s="29">
        <f>IF(Intereses_Leasing_Mensual!S156&gt;0, ROUND(R156 - Intereses_Leasing_Mensual!S156, 2), "")</f>
        <v/>
      </c>
      <c r="T156" s="29" t="inlineStr"/>
      <c r="U156" s="29">
        <f>MAX(I156:T156)</f>
        <v/>
      </c>
    </row>
    <row r="157">
      <c r="A157" s="20" t="inlineStr">
        <is>
          <t>0682-0002</t>
        </is>
      </c>
      <c r="B157" s="21" t="inlineStr">
        <is>
          <t>Hidroneumaticos y Equipos para Gas Sa de Cv</t>
        </is>
      </c>
      <c r="C157" s="21" t="inlineStr">
        <is>
          <t>RIO</t>
        </is>
      </c>
      <c r="D157" s="20" t="inlineStr">
        <is>
          <t>ACTIVO</t>
        </is>
      </c>
      <c r="E157" s="20" t="inlineStr">
        <is>
          <t>2025-02-17</t>
        </is>
      </c>
      <c r="F157" s="20" t="inlineStr">
        <is>
          <t>2027-02-17</t>
        </is>
      </c>
      <c r="G157" s="22" t="n">
        <v>24</v>
      </c>
      <c r="H157" s="23" t="n">
        <v>94806.78999999999</v>
      </c>
      <c r="I157" s="23">
        <f>IF(Intereses_Leasing_Mensual!I157&gt;0, ROUND(35300.26 - Intereses_Leasing_Mensual!I157, 2), "")</f>
        <v/>
      </c>
      <c r="J157" s="23">
        <f>IF(Intereses_Leasing_Mensual!J157&gt;0, ROUND(I157 - Intereses_Leasing_Mensual!J157, 2), "")</f>
        <v/>
      </c>
      <c r="K157" s="23">
        <f>IF(Intereses_Leasing_Mensual!K157&gt;0, ROUND(J157 - Intereses_Leasing_Mensual!K157, 2), "")</f>
        <v/>
      </c>
      <c r="L157" s="23">
        <f>IF(Intereses_Leasing_Mensual!L157&gt;0, ROUND(K157 - Intereses_Leasing_Mensual!L157, 2), "")</f>
        <v/>
      </c>
      <c r="M157" s="23">
        <f>IF(Intereses_Leasing_Mensual!M157&gt;0, ROUND(L157 - Intereses_Leasing_Mensual!M157, 2), "")</f>
        <v/>
      </c>
      <c r="N157" s="23">
        <f>IF(Intereses_Leasing_Mensual!N157&gt;0, ROUND(M157 - Intereses_Leasing_Mensual!N157, 2), "")</f>
        <v/>
      </c>
      <c r="O157" s="23">
        <f>IF(Intereses_Leasing_Mensual!O157&gt;0, ROUND(N157 - Intereses_Leasing_Mensual!O157, 2), "")</f>
        <v/>
      </c>
      <c r="P157" s="23">
        <f>IF(Intereses_Leasing_Mensual!P157&gt;0, ROUND(O157 - Intereses_Leasing_Mensual!P157, 2), "")</f>
        <v/>
      </c>
      <c r="Q157" s="23">
        <f>IF(Intereses_Leasing_Mensual!Q157&gt;0, ROUND(P157 - Intereses_Leasing_Mensual!Q157, 2), "")</f>
        <v/>
      </c>
      <c r="R157" s="23">
        <f>IF(Intereses_Leasing_Mensual!R157&gt;0, ROUND(Q157 - Intereses_Leasing_Mensual!R157, 2), "")</f>
        <v/>
      </c>
      <c r="S157" s="23">
        <f>IF(Intereses_Leasing_Mensual!S157&gt;0, ROUND(R157 - Intereses_Leasing_Mensual!S157, 2), "")</f>
        <v/>
      </c>
      <c r="T157" s="23">
        <f>IF(Intereses_Leasing_Mensual!T157&gt;0, ROUND(S157 - Intereses_Leasing_Mensual!T157, 2), "")</f>
        <v/>
      </c>
      <c r="U157" s="23">
        <f>MAX(I157:T157)</f>
        <v/>
      </c>
    </row>
    <row r="158">
      <c r="A158" s="26" t="inlineStr">
        <is>
          <t>0683-0001</t>
        </is>
      </c>
      <c r="B158" s="27" t="inlineStr">
        <is>
          <t>Maria de Jesus Sanchez Aguayo</t>
        </is>
      </c>
      <c r="C158" s="27" t="inlineStr">
        <is>
          <t>Ram 700 Regular Cab</t>
        </is>
      </c>
      <c r="D158" s="26" t="inlineStr">
        <is>
          <t>ACTIVO</t>
        </is>
      </c>
      <c r="E158" s="26" t="inlineStr">
        <is>
          <t>2025-01-09</t>
        </is>
      </c>
      <c r="F158" s="26" t="inlineStr">
        <is>
          <t>2028-01-09</t>
        </is>
      </c>
      <c r="G158" s="28" t="n">
        <v>36</v>
      </c>
      <c r="H158" s="29" t="n">
        <v>213695.64</v>
      </c>
      <c r="I158" s="29">
        <f>IF(Intereses_Leasing_Mensual!I158&gt;0, ROUND(125174.61 - Intereses_Leasing_Mensual!I158, 2), "")</f>
        <v/>
      </c>
      <c r="J158" s="29">
        <f>IF(Intereses_Leasing_Mensual!J158&gt;0, ROUND(I158 - Intereses_Leasing_Mensual!J158, 2), "")</f>
        <v/>
      </c>
      <c r="K158" s="29">
        <f>IF(Intereses_Leasing_Mensual!K158&gt;0, ROUND(J158 - Intereses_Leasing_Mensual!K158, 2), "")</f>
        <v/>
      </c>
      <c r="L158" s="29">
        <f>IF(Intereses_Leasing_Mensual!L158&gt;0, ROUND(K158 - Intereses_Leasing_Mensual!L158, 2), "")</f>
        <v/>
      </c>
      <c r="M158" s="29">
        <f>IF(Intereses_Leasing_Mensual!M158&gt;0, ROUND(L158 - Intereses_Leasing_Mensual!M158, 2), "")</f>
        <v/>
      </c>
      <c r="N158" s="29">
        <f>IF(Intereses_Leasing_Mensual!N158&gt;0, ROUND(M158 - Intereses_Leasing_Mensual!N158, 2), "")</f>
        <v/>
      </c>
      <c r="O158" s="29">
        <f>IF(Intereses_Leasing_Mensual!O158&gt;0, ROUND(N158 - Intereses_Leasing_Mensual!O158, 2), "")</f>
        <v/>
      </c>
      <c r="P158" s="29">
        <f>IF(Intereses_Leasing_Mensual!P158&gt;0, ROUND(O158 - Intereses_Leasing_Mensual!P158, 2), "")</f>
        <v/>
      </c>
      <c r="Q158" s="29">
        <f>IF(Intereses_Leasing_Mensual!Q158&gt;0, ROUND(P158 - Intereses_Leasing_Mensual!Q158, 2), "")</f>
        <v/>
      </c>
      <c r="R158" s="29">
        <f>IF(Intereses_Leasing_Mensual!R158&gt;0, ROUND(Q158 - Intereses_Leasing_Mensual!R158, 2), "")</f>
        <v/>
      </c>
      <c r="S158" s="29">
        <f>IF(Intereses_Leasing_Mensual!S158&gt;0, ROUND(R158 - Intereses_Leasing_Mensual!S158, 2), "")</f>
        <v/>
      </c>
      <c r="T158" s="29">
        <f>IF(Intereses_Leasing_Mensual!T158&gt;0, ROUND(S158 - Intereses_Leasing_Mensual!T158, 2), "")</f>
        <v/>
      </c>
      <c r="U158" s="29">
        <f>MAX(I158:T158)</f>
        <v/>
      </c>
    </row>
    <row r="159">
      <c r="A159" s="20" t="inlineStr">
        <is>
          <t>0683-0002</t>
        </is>
      </c>
      <c r="B159" s="21" t="inlineStr">
        <is>
          <t>Maria de Jesus Sanchez Aguayo</t>
        </is>
      </c>
      <c r="C159" s="21" t="inlineStr">
        <is>
          <t>700 Tradesman Regular Cab</t>
        </is>
      </c>
      <c r="D159" s="20" t="inlineStr">
        <is>
          <t>ACTIVO</t>
        </is>
      </c>
      <c r="E159" s="20" t="inlineStr">
        <is>
          <t>2026-01-05</t>
        </is>
      </c>
      <c r="F159" s="20" t="inlineStr">
        <is>
          <t>2029-01-05</t>
        </is>
      </c>
      <c r="G159" s="22" t="n">
        <v>36</v>
      </c>
      <c r="H159" s="23" t="n">
        <v>157581.99</v>
      </c>
      <c r="I159" s="23">
        <f>IF(Intereses_Leasing_Mensual!I159&gt;0, ROUND($H159 - Intereses_Leasing_Mensual!I159, 2), "")</f>
        <v/>
      </c>
      <c r="J159" s="23">
        <f>IF(Intereses_Leasing_Mensual!J159&gt;0, ROUND(I159 - Intereses_Leasing_Mensual!J159, 2), "")</f>
        <v/>
      </c>
      <c r="K159" s="23">
        <f>IF(Intereses_Leasing_Mensual!K159&gt;0, ROUND(J159 - Intereses_Leasing_Mensual!K159, 2), "")</f>
        <v/>
      </c>
      <c r="L159" s="23">
        <f>IF(Intereses_Leasing_Mensual!L159&gt;0, ROUND(K159 - Intereses_Leasing_Mensual!L159, 2), "")</f>
        <v/>
      </c>
      <c r="M159" s="23">
        <f>IF(Intereses_Leasing_Mensual!M159&gt;0, ROUND(L159 - Intereses_Leasing_Mensual!M159, 2), "")</f>
        <v/>
      </c>
      <c r="N159" s="23">
        <f>IF(Intereses_Leasing_Mensual!N159&gt;0, ROUND(M159 - Intereses_Leasing_Mensual!N159, 2), "")</f>
        <v/>
      </c>
      <c r="O159" s="23">
        <f>IF(Intereses_Leasing_Mensual!O159&gt;0, ROUND(N159 - Intereses_Leasing_Mensual!O159, 2), "")</f>
        <v/>
      </c>
      <c r="P159" s="23">
        <f>IF(Intereses_Leasing_Mensual!P159&gt;0, ROUND(O159 - Intereses_Leasing_Mensual!P159, 2), "")</f>
        <v/>
      </c>
      <c r="Q159" s="23">
        <f>IF(Intereses_Leasing_Mensual!Q159&gt;0, ROUND(P159 - Intereses_Leasing_Mensual!Q159, 2), "")</f>
        <v/>
      </c>
      <c r="R159" s="23">
        <f>IF(Intereses_Leasing_Mensual!R159&gt;0, ROUND(Q159 - Intereses_Leasing_Mensual!R159, 2), "")</f>
        <v/>
      </c>
      <c r="S159" s="23">
        <f>IF(Intereses_Leasing_Mensual!S159&gt;0, ROUND(R159 - Intereses_Leasing_Mensual!S159, 2), "")</f>
        <v/>
      </c>
      <c r="T159" s="23">
        <f>IF(Intereses_Leasing_Mensual!T159&gt;0, ROUND(S159 - Intereses_Leasing_Mensual!T159, 2), "")</f>
        <v/>
      </c>
      <c r="U159" s="23">
        <f>MAX(I159:T159)</f>
        <v/>
      </c>
    </row>
    <row r="160">
      <c r="A160" s="26" t="inlineStr">
        <is>
          <t>0684-0001</t>
        </is>
      </c>
      <c r="B160" s="27" t="inlineStr">
        <is>
          <t>Corporativo Kareso Sa de v</t>
        </is>
      </c>
      <c r="C160" s="27" t="inlineStr">
        <is>
          <t>GRAND CHEROKEE LIMITED</t>
        </is>
      </c>
      <c r="D160" s="26" t="inlineStr">
        <is>
          <t>ACTIVO</t>
        </is>
      </c>
      <c r="E160" s="26" t="inlineStr">
        <is>
          <t>2024-12-20</t>
        </is>
      </c>
      <c r="F160" s="26" t="inlineStr">
        <is>
          <t>2026-12-20</t>
        </is>
      </c>
      <c r="G160" s="28" t="n">
        <v>24</v>
      </c>
      <c r="H160" s="29" t="n">
        <v>410972.11</v>
      </c>
      <c r="I160" s="29">
        <f>IF(Intereses_Leasing_Mensual!I160&gt;0, ROUND(137159.68 - Intereses_Leasing_Mensual!I160, 2), "")</f>
        <v/>
      </c>
      <c r="J160" s="29">
        <f>IF(Intereses_Leasing_Mensual!J160&gt;0, ROUND(I160 - Intereses_Leasing_Mensual!J160, 2), "")</f>
        <v/>
      </c>
      <c r="K160" s="29">
        <f>IF(Intereses_Leasing_Mensual!K160&gt;0, ROUND(J160 - Intereses_Leasing_Mensual!K160, 2), "")</f>
        <v/>
      </c>
      <c r="L160" s="29">
        <f>IF(Intereses_Leasing_Mensual!L160&gt;0, ROUND(K160 - Intereses_Leasing_Mensual!L160, 2), "")</f>
        <v/>
      </c>
      <c r="M160" s="29">
        <f>IF(Intereses_Leasing_Mensual!M160&gt;0, ROUND(L160 - Intereses_Leasing_Mensual!M160, 2), "")</f>
        <v/>
      </c>
      <c r="N160" s="29">
        <f>IF(Intereses_Leasing_Mensual!N160&gt;0, ROUND(M160 - Intereses_Leasing_Mensual!N160, 2), "")</f>
        <v/>
      </c>
      <c r="O160" s="29">
        <f>IF(Intereses_Leasing_Mensual!O160&gt;0, ROUND(N160 - Intereses_Leasing_Mensual!O160, 2), "")</f>
        <v/>
      </c>
      <c r="P160" s="29">
        <f>IF(Intereses_Leasing_Mensual!P160&gt;0, ROUND(O160 - Intereses_Leasing_Mensual!P160, 2), "")</f>
        <v/>
      </c>
      <c r="Q160" s="29">
        <f>IF(Intereses_Leasing_Mensual!Q160&gt;0, ROUND(P160 - Intereses_Leasing_Mensual!Q160, 2), "")</f>
        <v/>
      </c>
      <c r="R160" s="29">
        <f>IF(Intereses_Leasing_Mensual!R160&gt;0, ROUND(Q160 - Intereses_Leasing_Mensual!R160, 2), "")</f>
        <v/>
      </c>
      <c r="S160" s="29">
        <f>IF(Intereses_Leasing_Mensual!S160&gt;0, ROUND(R160 - Intereses_Leasing_Mensual!S160, 2), "")</f>
        <v/>
      </c>
      <c r="T160" s="29" t="inlineStr"/>
      <c r="U160" s="29">
        <f>MAX(I160:T160)</f>
        <v/>
      </c>
    </row>
    <row r="161">
      <c r="A161" s="20" t="inlineStr">
        <is>
          <t>0684-0002</t>
        </is>
      </c>
      <c r="B161" s="21" t="inlineStr">
        <is>
          <t>Corporativo Kareso Sa de Cv</t>
        </is>
      </c>
      <c r="C161" s="21" t="inlineStr">
        <is>
          <t>NP300 Chasis</t>
        </is>
      </c>
      <c r="D161" s="20" t="inlineStr">
        <is>
          <t>ACTIVO</t>
        </is>
      </c>
      <c r="E161" s="20" t="inlineStr">
        <is>
          <t>2025-12-12</t>
        </is>
      </c>
      <c r="F161" s="20" t="inlineStr">
        <is>
          <t>2027-12-12</t>
        </is>
      </c>
      <c r="G161" s="22" t="n">
        <v>24</v>
      </c>
      <c r="H161" s="23" t="n">
        <v>142670.36</v>
      </c>
      <c r="I161" s="23">
        <f>IF(Intereses_Leasing_Mensual!I161&gt;0, ROUND(134107.93 - Intereses_Leasing_Mensual!I161, 2), "")</f>
        <v/>
      </c>
      <c r="J161" s="23">
        <f>IF(Intereses_Leasing_Mensual!J161&gt;0, ROUND(I161 - Intereses_Leasing_Mensual!J161, 2), "")</f>
        <v/>
      </c>
      <c r="K161" s="23">
        <f>IF(Intereses_Leasing_Mensual!K161&gt;0, ROUND(J161 - Intereses_Leasing_Mensual!K161, 2), "")</f>
        <v/>
      </c>
      <c r="L161" s="23">
        <f>IF(Intereses_Leasing_Mensual!L161&gt;0, ROUND(K161 - Intereses_Leasing_Mensual!L161, 2), "")</f>
        <v/>
      </c>
      <c r="M161" s="23">
        <f>IF(Intereses_Leasing_Mensual!M161&gt;0, ROUND(L161 - Intereses_Leasing_Mensual!M161, 2), "")</f>
        <v/>
      </c>
      <c r="N161" s="23">
        <f>IF(Intereses_Leasing_Mensual!N161&gt;0, ROUND(M161 - Intereses_Leasing_Mensual!N161, 2), "")</f>
        <v/>
      </c>
      <c r="O161" s="23">
        <f>IF(Intereses_Leasing_Mensual!O161&gt;0, ROUND(N161 - Intereses_Leasing_Mensual!O161, 2), "")</f>
        <v/>
      </c>
      <c r="P161" s="23">
        <f>IF(Intereses_Leasing_Mensual!P161&gt;0, ROUND(O161 - Intereses_Leasing_Mensual!P161, 2), "")</f>
        <v/>
      </c>
      <c r="Q161" s="23">
        <f>IF(Intereses_Leasing_Mensual!Q161&gt;0, ROUND(P161 - Intereses_Leasing_Mensual!Q161, 2), "")</f>
        <v/>
      </c>
      <c r="R161" s="23">
        <f>IF(Intereses_Leasing_Mensual!R161&gt;0, ROUND(Q161 - Intereses_Leasing_Mensual!R161, 2), "")</f>
        <v/>
      </c>
      <c r="S161" s="23">
        <f>IF(Intereses_Leasing_Mensual!S161&gt;0, ROUND(R161 - Intereses_Leasing_Mensual!S161, 2), "")</f>
        <v/>
      </c>
      <c r="T161" s="23">
        <f>IF(Intereses_Leasing_Mensual!T161&gt;0, ROUND(S161 - Intereses_Leasing_Mensual!T161, 2), "")</f>
        <v/>
      </c>
      <c r="U161" s="23">
        <f>MAX(I161:T161)</f>
        <v/>
      </c>
    </row>
    <row r="162">
      <c r="A162" s="26" t="inlineStr">
        <is>
          <t>0684-0003</t>
        </is>
      </c>
      <c r="B162" s="27" t="inlineStr">
        <is>
          <t>Corporativo Kareso Sa de Cv</t>
        </is>
      </c>
      <c r="C162" s="27" t="inlineStr">
        <is>
          <t>Yaris HB</t>
        </is>
      </c>
      <c r="D162" s="26" t="inlineStr">
        <is>
          <t>ACTIVO</t>
        </is>
      </c>
      <c r="E162" s="26" t="inlineStr">
        <is>
          <t>2026-02-17</t>
        </is>
      </c>
      <c r="F162" s="26" t="inlineStr">
        <is>
          <t>2028-02-17</t>
        </is>
      </c>
      <c r="G162" s="28" t="n">
        <v>24</v>
      </c>
      <c r="H162" s="29" t="n">
        <v>98010.52</v>
      </c>
      <c r="I162" s="29" t="inlineStr"/>
      <c r="J162" s="29">
        <f>IF(Intereses_Leasing_Mensual!J162&gt;0, ROUND($H162 - Intereses_Leasing_Mensual!J162, 2), "")</f>
        <v/>
      </c>
      <c r="K162" s="29">
        <f>IF(Intereses_Leasing_Mensual!K162&gt;0, ROUND(J162 - Intereses_Leasing_Mensual!K162, 2), "")</f>
        <v/>
      </c>
      <c r="L162" s="29">
        <f>IF(Intereses_Leasing_Mensual!L162&gt;0, ROUND(K162 - Intereses_Leasing_Mensual!L162, 2), "")</f>
        <v/>
      </c>
      <c r="M162" s="29">
        <f>IF(Intereses_Leasing_Mensual!M162&gt;0, ROUND(L162 - Intereses_Leasing_Mensual!M162, 2), "")</f>
        <v/>
      </c>
      <c r="N162" s="29">
        <f>IF(Intereses_Leasing_Mensual!N162&gt;0, ROUND(M162 - Intereses_Leasing_Mensual!N162, 2), "")</f>
        <v/>
      </c>
      <c r="O162" s="29">
        <f>IF(Intereses_Leasing_Mensual!O162&gt;0, ROUND(N162 - Intereses_Leasing_Mensual!O162, 2), "")</f>
        <v/>
      </c>
      <c r="P162" s="29">
        <f>IF(Intereses_Leasing_Mensual!P162&gt;0, ROUND(O162 - Intereses_Leasing_Mensual!P162, 2), "")</f>
        <v/>
      </c>
      <c r="Q162" s="29">
        <f>IF(Intereses_Leasing_Mensual!Q162&gt;0, ROUND(P162 - Intereses_Leasing_Mensual!Q162, 2), "")</f>
        <v/>
      </c>
      <c r="R162" s="29">
        <f>IF(Intereses_Leasing_Mensual!R162&gt;0, ROUND(Q162 - Intereses_Leasing_Mensual!R162, 2), "")</f>
        <v/>
      </c>
      <c r="S162" s="29">
        <f>IF(Intereses_Leasing_Mensual!S162&gt;0, ROUND(R162 - Intereses_Leasing_Mensual!S162, 2), "")</f>
        <v/>
      </c>
      <c r="T162" s="29">
        <f>IF(Intereses_Leasing_Mensual!T162&gt;0, ROUND(S162 - Intereses_Leasing_Mensual!T162, 2), "")</f>
        <v/>
      </c>
      <c r="U162" s="29">
        <f>MAX(I162:T162)</f>
        <v/>
      </c>
    </row>
    <row r="163">
      <c r="A163" s="20" t="inlineStr">
        <is>
          <t>0684-0004</t>
        </is>
      </c>
      <c r="B163" s="21" t="inlineStr">
        <is>
          <t>Corporativo Kareso Sa de Cv</t>
        </is>
      </c>
      <c r="C163" s="21" t="inlineStr">
        <is>
          <t>700 LARAMIE CREW CAB</t>
        </is>
      </c>
      <c r="D163" s="20" t="inlineStr">
        <is>
          <t>ACTIVO</t>
        </is>
      </c>
      <c r="E163" s="20" t="inlineStr">
        <is>
          <t>2025-12-12</t>
        </is>
      </c>
      <c r="F163" s="20" t="inlineStr">
        <is>
          <t>2027-12-12</t>
        </is>
      </c>
      <c r="G163" s="22" t="n">
        <v>24</v>
      </c>
      <c r="H163" s="23" t="n">
        <v>128098.87</v>
      </c>
      <c r="I163" s="23">
        <f>IF(Intereses_Leasing_Mensual!I163&gt;0, ROUND(120410.95 - Intereses_Leasing_Mensual!I163, 2), "")</f>
        <v/>
      </c>
      <c r="J163" s="23">
        <f>IF(Intereses_Leasing_Mensual!J163&gt;0, ROUND(I163 - Intereses_Leasing_Mensual!J163, 2), "")</f>
        <v/>
      </c>
      <c r="K163" s="23">
        <f>IF(Intereses_Leasing_Mensual!K163&gt;0, ROUND(J163 - Intereses_Leasing_Mensual!K163, 2), "")</f>
        <v/>
      </c>
      <c r="L163" s="23">
        <f>IF(Intereses_Leasing_Mensual!L163&gt;0, ROUND(K163 - Intereses_Leasing_Mensual!L163, 2), "")</f>
        <v/>
      </c>
      <c r="M163" s="23">
        <f>IF(Intereses_Leasing_Mensual!M163&gt;0, ROUND(L163 - Intereses_Leasing_Mensual!M163, 2), "")</f>
        <v/>
      </c>
      <c r="N163" s="23">
        <f>IF(Intereses_Leasing_Mensual!N163&gt;0, ROUND(M163 - Intereses_Leasing_Mensual!N163, 2), "")</f>
        <v/>
      </c>
      <c r="O163" s="23">
        <f>IF(Intereses_Leasing_Mensual!O163&gt;0, ROUND(N163 - Intereses_Leasing_Mensual!O163, 2), "")</f>
        <v/>
      </c>
      <c r="P163" s="23">
        <f>IF(Intereses_Leasing_Mensual!P163&gt;0, ROUND(O163 - Intereses_Leasing_Mensual!P163, 2), "")</f>
        <v/>
      </c>
      <c r="Q163" s="23">
        <f>IF(Intereses_Leasing_Mensual!Q163&gt;0, ROUND(P163 - Intereses_Leasing_Mensual!Q163, 2), "")</f>
        <v/>
      </c>
      <c r="R163" s="23">
        <f>IF(Intereses_Leasing_Mensual!R163&gt;0, ROUND(Q163 - Intereses_Leasing_Mensual!R163, 2), "")</f>
        <v/>
      </c>
      <c r="S163" s="23">
        <f>IF(Intereses_Leasing_Mensual!S163&gt;0, ROUND(R163 - Intereses_Leasing_Mensual!S163, 2), "")</f>
        <v/>
      </c>
      <c r="T163" s="23">
        <f>IF(Intereses_Leasing_Mensual!T163&gt;0, ROUND(S163 - Intereses_Leasing_Mensual!T163, 2), "")</f>
        <v/>
      </c>
      <c r="U163" s="23">
        <f>MAX(I163:T163)</f>
        <v/>
      </c>
    </row>
    <row r="164">
      <c r="A164" s="26" t="inlineStr">
        <is>
          <t>0687-0001</t>
        </is>
      </c>
      <c r="B164" s="27" t="inlineStr">
        <is>
          <t>Roberto Carlos Borbolla Alvarado</t>
        </is>
      </c>
      <c r="C164" s="27" t="inlineStr">
        <is>
          <t>Creta</t>
        </is>
      </c>
      <c r="D164" s="26" t="inlineStr">
        <is>
          <t>ACTIVO</t>
        </is>
      </c>
      <c r="E164" s="26" t="inlineStr">
        <is>
          <t>2025-03-03</t>
        </is>
      </c>
      <c r="F164" s="26" t="inlineStr">
        <is>
          <t>2028-03-03</t>
        </is>
      </c>
      <c r="G164" s="28" t="n">
        <v>36</v>
      </c>
      <c r="H164" s="29" t="n">
        <v>281337.95</v>
      </c>
      <c r="I164" s="29">
        <f>IF(Intereses_Leasing_Mensual!I164&gt;0, ROUND(174078.66 - Intereses_Leasing_Mensual!I164, 2), "")</f>
        <v/>
      </c>
      <c r="J164" s="29">
        <f>IF(Intereses_Leasing_Mensual!J164&gt;0, ROUND(I164 - Intereses_Leasing_Mensual!J164, 2), "")</f>
        <v/>
      </c>
      <c r="K164" s="29">
        <f>IF(Intereses_Leasing_Mensual!K164&gt;0, ROUND(J164 - Intereses_Leasing_Mensual!K164, 2), "")</f>
        <v/>
      </c>
      <c r="L164" s="29">
        <f>IF(Intereses_Leasing_Mensual!L164&gt;0, ROUND(K164 - Intereses_Leasing_Mensual!L164, 2), "")</f>
        <v/>
      </c>
      <c r="M164" s="29">
        <f>IF(Intereses_Leasing_Mensual!M164&gt;0, ROUND(L164 - Intereses_Leasing_Mensual!M164, 2), "")</f>
        <v/>
      </c>
      <c r="N164" s="29">
        <f>IF(Intereses_Leasing_Mensual!N164&gt;0, ROUND(M164 - Intereses_Leasing_Mensual!N164, 2), "")</f>
        <v/>
      </c>
      <c r="O164" s="29">
        <f>IF(Intereses_Leasing_Mensual!O164&gt;0, ROUND(N164 - Intereses_Leasing_Mensual!O164, 2), "")</f>
        <v/>
      </c>
      <c r="P164" s="29">
        <f>IF(Intereses_Leasing_Mensual!P164&gt;0, ROUND(O164 - Intereses_Leasing_Mensual!P164, 2), "")</f>
        <v/>
      </c>
      <c r="Q164" s="29">
        <f>IF(Intereses_Leasing_Mensual!Q164&gt;0, ROUND(P164 - Intereses_Leasing_Mensual!Q164, 2), "")</f>
        <v/>
      </c>
      <c r="R164" s="29">
        <f>IF(Intereses_Leasing_Mensual!R164&gt;0, ROUND(Q164 - Intereses_Leasing_Mensual!R164, 2), "")</f>
        <v/>
      </c>
      <c r="S164" s="29">
        <f>IF(Intereses_Leasing_Mensual!S164&gt;0, ROUND(R164 - Intereses_Leasing_Mensual!S164, 2), "")</f>
        <v/>
      </c>
      <c r="T164" s="29">
        <f>IF(Intereses_Leasing_Mensual!T164&gt;0, ROUND(S164 - Intereses_Leasing_Mensual!T164, 2), "")</f>
        <v/>
      </c>
      <c r="U164" s="29">
        <f>MAX(I164:T164)</f>
        <v/>
      </c>
    </row>
    <row r="165">
      <c r="A165" s="20" t="inlineStr">
        <is>
          <t>0688-0001</t>
        </is>
      </c>
      <c r="B165" s="21" t="inlineStr">
        <is>
          <t>Dolores Magdalena Rosales Rojas</t>
        </is>
      </c>
      <c r="C165" s="21" t="inlineStr">
        <is>
          <t>1500 RHO</t>
        </is>
      </c>
      <c r="D165" s="20" t="inlineStr">
        <is>
          <t>ACTIVO</t>
        </is>
      </c>
      <c r="E165" s="20" t="inlineStr">
        <is>
          <t>2025-02-21</t>
        </is>
      </c>
      <c r="F165" s="20" t="inlineStr">
        <is>
          <t>2027-02-21</t>
        </is>
      </c>
      <c r="G165" s="22" t="n">
        <v>24</v>
      </c>
      <c r="H165" s="23" t="n">
        <v>455032.19</v>
      </c>
      <c r="I165" s="23">
        <f>IF(Intereses_Leasing_Mensual!I165&gt;0, ROUND(167915.84 - Intereses_Leasing_Mensual!I165, 2), "")</f>
        <v/>
      </c>
      <c r="J165" s="23">
        <f>IF(Intereses_Leasing_Mensual!J165&gt;0, ROUND(I165 - Intereses_Leasing_Mensual!J165, 2), "")</f>
        <v/>
      </c>
      <c r="K165" s="23">
        <f>IF(Intereses_Leasing_Mensual!K165&gt;0, ROUND(J165 - Intereses_Leasing_Mensual!K165, 2), "")</f>
        <v/>
      </c>
      <c r="L165" s="23">
        <f>IF(Intereses_Leasing_Mensual!L165&gt;0, ROUND(K165 - Intereses_Leasing_Mensual!L165, 2), "")</f>
        <v/>
      </c>
      <c r="M165" s="23">
        <f>IF(Intereses_Leasing_Mensual!M165&gt;0, ROUND(L165 - Intereses_Leasing_Mensual!M165, 2), "")</f>
        <v/>
      </c>
      <c r="N165" s="23">
        <f>IF(Intereses_Leasing_Mensual!N165&gt;0, ROUND(M165 - Intereses_Leasing_Mensual!N165, 2), "")</f>
        <v/>
      </c>
      <c r="O165" s="23">
        <f>IF(Intereses_Leasing_Mensual!O165&gt;0, ROUND(N165 - Intereses_Leasing_Mensual!O165, 2), "")</f>
        <v/>
      </c>
      <c r="P165" s="23">
        <f>IF(Intereses_Leasing_Mensual!P165&gt;0, ROUND(O165 - Intereses_Leasing_Mensual!P165, 2), "")</f>
        <v/>
      </c>
      <c r="Q165" s="23">
        <f>IF(Intereses_Leasing_Mensual!Q165&gt;0, ROUND(P165 - Intereses_Leasing_Mensual!Q165, 2), "")</f>
        <v/>
      </c>
      <c r="R165" s="23">
        <f>IF(Intereses_Leasing_Mensual!R165&gt;0, ROUND(Q165 - Intereses_Leasing_Mensual!R165, 2), "")</f>
        <v/>
      </c>
      <c r="S165" s="23">
        <f>IF(Intereses_Leasing_Mensual!S165&gt;0, ROUND(R165 - Intereses_Leasing_Mensual!S165, 2), "")</f>
        <v/>
      </c>
      <c r="T165" s="23">
        <f>IF(Intereses_Leasing_Mensual!T165&gt;0, ROUND(S165 - Intereses_Leasing_Mensual!T165, 2), "")</f>
        <v/>
      </c>
      <c r="U165" s="23">
        <f>MAX(I165:T165)</f>
        <v/>
      </c>
    </row>
    <row r="166">
      <c r="A166" s="26" t="inlineStr">
        <is>
          <t>0688-0003</t>
        </is>
      </c>
      <c r="B166" s="27" t="inlineStr">
        <is>
          <t>Dolores Magdalena Rosales Rojas</t>
        </is>
      </c>
      <c r="C166" s="27" t="inlineStr">
        <is>
          <t>Jeep Jt Mojave 2025</t>
        </is>
      </c>
      <c r="D166" s="26" t="inlineStr">
        <is>
          <t>ACTIVO</t>
        </is>
      </c>
      <c r="E166" s="26" t="inlineStr">
        <is>
          <t>2026-07-30</t>
        </is>
      </c>
      <c r="F166" s="26" t="inlineStr">
        <is>
          <t>2027-07-30</t>
        </is>
      </c>
      <c r="G166" s="28" t="n">
        <v>12</v>
      </c>
      <c r="H166" s="29" t="n">
        <v>96671.56</v>
      </c>
      <c r="I166" s="29" t="inlineStr"/>
      <c r="J166" s="29" t="inlineStr"/>
      <c r="K166" s="29" t="inlineStr"/>
      <c r="L166" s="29" t="inlineStr"/>
      <c r="M166" s="29" t="inlineStr"/>
      <c r="N166" s="29" t="inlineStr"/>
      <c r="O166" s="29">
        <f>IF(Intereses_Leasing_Mensual!O166&gt;0, ROUND($H166 - Intereses_Leasing_Mensual!O166, 2), "")</f>
        <v/>
      </c>
      <c r="P166" s="29">
        <f>IF(Intereses_Leasing_Mensual!P166&gt;0, ROUND(O166 - Intereses_Leasing_Mensual!P166, 2), "")</f>
        <v/>
      </c>
      <c r="Q166" s="29">
        <f>IF(Intereses_Leasing_Mensual!Q166&gt;0, ROUND(P166 - Intereses_Leasing_Mensual!Q166, 2), "")</f>
        <v/>
      </c>
      <c r="R166" s="29">
        <f>IF(Intereses_Leasing_Mensual!R166&gt;0, ROUND(Q166 - Intereses_Leasing_Mensual!R166, 2), "")</f>
        <v/>
      </c>
      <c r="S166" s="29">
        <f>IF(Intereses_Leasing_Mensual!S166&gt;0, ROUND(R166 - Intereses_Leasing_Mensual!S166, 2), "")</f>
        <v/>
      </c>
      <c r="T166" s="29">
        <f>IF(Intereses_Leasing_Mensual!T166&gt;0, ROUND(S166 - Intereses_Leasing_Mensual!T166, 2), "")</f>
        <v/>
      </c>
      <c r="U166" s="29">
        <f>MAX(I166:T166)</f>
        <v/>
      </c>
    </row>
    <row r="167">
      <c r="A167" s="20" t="inlineStr">
        <is>
          <t>0689-0001</t>
        </is>
      </c>
      <c r="B167" s="21" t="inlineStr">
        <is>
          <t>Daniela Lizette Vargas Machuca</t>
        </is>
      </c>
      <c r="C167" s="21" t="inlineStr">
        <is>
          <t>1500 TUNGSTEN</t>
        </is>
      </c>
      <c r="D167" s="20" t="inlineStr">
        <is>
          <t>ACTIVO</t>
        </is>
      </c>
      <c r="E167" s="20" t="inlineStr">
        <is>
          <t>2025-02-26</t>
        </is>
      </c>
      <c r="F167" s="20" t="inlineStr">
        <is>
          <t>2028-02-26</t>
        </is>
      </c>
      <c r="G167" s="22" t="n">
        <v>36</v>
      </c>
      <c r="H167" s="23" t="n">
        <v>914429.13</v>
      </c>
      <c r="I167" s="23">
        <f>IF(Intereses_Leasing_Mensual!I167&gt;0, ROUND(534107.92 - Intereses_Leasing_Mensual!I167, 2), "")</f>
        <v/>
      </c>
      <c r="J167" s="23">
        <f>IF(Intereses_Leasing_Mensual!J167&gt;0, ROUND(I167 - Intereses_Leasing_Mensual!J167, 2), "")</f>
        <v/>
      </c>
      <c r="K167" s="23">
        <f>IF(Intereses_Leasing_Mensual!K167&gt;0, ROUND(J167 - Intereses_Leasing_Mensual!K167, 2), "")</f>
        <v/>
      </c>
      <c r="L167" s="23">
        <f>IF(Intereses_Leasing_Mensual!L167&gt;0, ROUND(K167 - Intereses_Leasing_Mensual!L167, 2), "")</f>
        <v/>
      </c>
      <c r="M167" s="23">
        <f>IF(Intereses_Leasing_Mensual!M167&gt;0, ROUND(L167 - Intereses_Leasing_Mensual!M167, 2), "")</f>
        <v/>
      </c>
      <c r="N167" s="23">
        <f>IF(Intereses_Leasing_Mensual!N167&gt;0, ROUND(M167 - Intereses_Leasing_Mensual!N167, 2), "")</f>
        <v/>
      </c>
      <c r="O167" s="23">
        <f>IF(Intereses_Leasing_Mensual!O167&gt;0, ROUND(N167 - Intereses_Leasing_Mensual!O167, 2), "")</f>
        <v/>
      </c>
      <c r="P167" s="23">
        <f>IF(Intereses_Leasing_Mensual!P167&gt;0, ROUND(O167 - Intereses_Leasing_Mensual!P167, 2), "")</f>
        <v/>
      </c>
      <c r="Q167" s="23">
        <f>IF(Intereses_Leasing_Mensual!Q167&gt;0, ROUND(P167 - Intereses_Leasing_Mensual!Q167, 2), "")</f>
        <v/>
      </c>
      <c r="R167" s="23">
        <f>IF(Intereses_Leasing_Mensual!R167&gt;0, ROUND(Q167 - Intereses_Leasing_Mensual!R167, 2), "")</f>
        <v/>
      </c>
      <c r="S167" s="23">
        <f>IF(Intereses_Leasing_Mensual!S167&gt;0, ROUND(R167 - Intereses_Leasing_Mensual!S167, 2), "")</f>
        <v/>
      </c>
      <c r="T167" s="23">
        <f>IF(Intereses_Leasing_Mensual!T167&gt;0, ROUND(S167 - Intereses_Leasing_Mensual!T167, 2), "")</f>
        <v/>
      </c>
      <c r="U167" s="23">
        <f>MAX(I167:T167)</f>
        <v/>
      </c>
    </row>
    <row r="168">
      <c r="A168" s="26" t="inlineStr">
        <is>
          <t>0690-0001</t>
        </is>
      </c>
      <c r="B168" s="27" t="inlineStr">
        <is>
          <t>Rogelio Sanchez Partida</t>
        </is>
      </c>
      <c r="C168" s="27" t="inlineStr">
        <is>
          <t>Grand Cherokee Limited</t>
        </is>
      </c>
      <c r="D168" s="26" t="inlineStr">
        <is>
          <t>ACTIVO</t>
        </is>
      </c>
      <c r="E168" s="26" t="inlineStr">
        <is>
          <t>2025-03-19</t>
        </is>
      </c>
      <c r="F168" s="26" t="inlineStr">
        <is>
          <t>2028-03-19</t>
        </is>
      </c>
      <c r="G168" s="28" t="n">
        <v>36</v>
      </c>
      <c r="H168" s="29" t="n">
        <v>457057.11</v>
      </c>
      <c r="I168" s="29">
        <f>IF(Intereses_Leasing_Mensual!I168&gt;0, ROUND(278514.98 - Intereses_Leasing_Mensual!I168, 2), "")</f>
        <v/>
      </c>
      <c r="J168" s="29">
        <f>IF(Intereses_Leasing_Mensual!J168&gt;0, ROUND(I168 - Intereses_Leasing_Mensual!J168, 2), "")</f>
        <v/>
      </c>
      <c r="K168" s="29">
        <f>IF(Intereses_Leasing_Mensual!K168&gt;0, ROUND(J168 - Intereses_Leasing_Mensual!K168, 2), "")</f>
        <v/>
      </c>
      <c r="L168" s="29">
        <f>IF(Intereses_Leasing_Mensual!L168&gt;0, ROUND(K168 - Intereses_Leasing_Mensual!L168, 2), "")</f>
        <v/>
      </c>
      <c r="M168" s="29">
        <f>IF(Intereses_Leasing_Mensual!M168&gt;0, ROUND(L168 - Intereses_Leasing_Mensual!M168, 2), "")</f>
        <v/>
      </c>
      <c r="N168" s="29">
        <f>IF(Intereses_Leasing_Mensual!N168&gt;0, ROUND(M168 - Intereses_Leasing_Mensual!N168, 2), "")</f>
        <v/>
      </c>
      <c r="O168" s="29">
        <f>IF(Intereses_Leasing_Mensual!O168&gt;0, ROUND(N168 - Intereses_Leasing_Mensual!O168, 2), "")</f>
        <v/>
      </c>
      <c r="P168" s="29">
        <f>IF(Intereses_Leasing_Mensual!P168&gt;0, ROUND(O168 - Intereses_Leasing_Mensual!P168, 2), "")</f>
        <v/>
      </c>
      <c r="Q168" s="29">
        <f>IF(Intereses_Leasing_Mensual!Q168&gt;0, ROUND(P168 - Intereses_Leasing_Mensual!Q168, 2), "")</f>
        <v/>
      </c>
      <c r="R168" s="29">
        <f>IF(Intereses_Leasing_Mensual!R168&gt;0, ROUND(Q168 - Intereses_Leasing_Mensual!R168, 2), "")</f>
        <v/>
      </c>
      <c r="S168" s="29">
        <f>IF(Intereses_Leasing_Mensual!S168&gt;0, ROUND(R168 - Intereses_Leasing_Mensual!S168, 2), "")</f>
        <v/>
      </c>
      <c r="T168" s="29">
        <f>IF(Intereses_Leasing_Mensual!T168&gt;0, ROUND(S168 - Intereses_Leasing_Mensual!T168, 2), "")</f>
        <v/>
      </c>
      <c r="U168" s="29">
        <f>MAX(I168:T168)</f>
        <v/>
      </c>
    </row>
    <row r="169">
      <c r="A169" s="20" t="inlineStr">
        <is>
          <t>0691-0001</t>
        </is>
      </c>
      <c r="B169" s="21" t="inlineStr">
        <is>
          <t>Pfc Films</t>
        </is>
      </c>
      <c r="C169" s="21" t="inlineStr">
        <is>
          <t>2008 allure Pack</t>
        </is>
      </c>
      <c r="D169" s="20" t="inlineStr">
        <is>
          <t>ACTIVO</t>
        </is>
      </c>
      <c r="E169" s="20" t="inlineStr">
        <is>
          <t>2025-03-20</t>
        </is>
      </c>
      <c r="F169" s="20" t="inlineStr">
        <is>
          <t>2027-03-20</t>
        </is>
      </c>
      <c r="G169" s="22" t="n">
        <v>24</v>
      </c>
      <c r="H169" s="23" t="n">
        <v>98415.87</v>
      </c>
      <c r="I169" s="23">
        <f>IF(Intereses_Leasing_Mensual!I169&gt;0, ROUND(42486.06 - Intereses_Leasing_Mensual!I169, 2), "")</f>
        <v/>
      </c>
      <c r="J169" s="23">
        <f>IF(Intereses_Leasing_Mensual!J169&gt;0, ROUND(I169 - Intereses_Leasing_Mensual!J169, 2), "")</f>
        <v/>
      </c>
      <c r="K169" s="23">
        <f>IF(Intereses_Leasing_Mensual!K169&gt;0, ROUND(J169 - Intereses_Leasing_Mensual!K169, 2), "")</f>
        <v/>
      </c>
      <c r="L169" s="23">
        <f>IF(Intereses_Leasing_Mensual!L169&gt;0, ROUND(K169 - Intereses_Leasing_Mensual!L169, 2), "")</f>
        <v/>
      </c>
      <c r="M169" s="23">
        <f>IF(Intereses_Leasing_Mensual!M169&gt;0, ROUND(L169 - Intereses_Leasing_Mensual!M169, 2), "")</f>
        <v/>
      </c>
      <c r="N169" s="23">
        <f>IF(Intereses_Leasing_Mensual!N169&gt;0, ROUND(M169 - Intereses_Leasing_Mensual!N169, 2), "")</f>
        <v/>
      </c>
      <c r="O169" s="23">
        <f>IF(Intereses_Leasing_Mensual!O169&gt;0, ROUND(N169 - Intereses_Leasing_Mensual!O169, 2), "")</f>
        <v/>
      </c>
      <c r="P169" s="23">
        <f>IF(Intereses_Leasing_Mensual!P169&gt;0, ROUND(O169 - Intereses_Leasing_Mensual!P169, 2), "")</f>
        <v/>
      </c>
      <c r="Q169" s="23">
        <f>IF(Intereses_Leasing_Mensual!Q169&gt;0, ROUND(P169 - Intereses_Leasing_Mensual!Q169, 2), "")</f>
        <v/>
      </c>
      <c r="R169" s="23">
        <f>IF(Intereses_Leasing_Mensual!R169&gt;0, ROUND(Q169 - Intereses_Leasing_Mensual!R169, 2), "")</f>
        <v/>
      </c>
      <c r="S169" s="23">
        <f>IF(Intereses_Leasing_Mensual!S169&gt;0, ROUND(R169 - Intereses_Leasing_Mensual!S169, 2), "")</f>
        <v/>
      </c>
      <c r="T169" s="23">
        <f>IF(Intereses_Leasing_Mensual!T169&gt;0, ROUND(S169 - Intereses_Leasing_Mensual!T169, 2), "")</f>
        <v/>
      </c>
      <c r="U169" s="23">
        <f>MAX(I169:T169)</f>
        <v/>
      </c>
    </row>
    <row r="170">
      <c r="A170" s="26" t="inlineStr">
        <is>
          <t>0692-0001</t>
        </is>
      </c>
      <c r="B170" s="27" t="inlineStr">
        <is>
          <t>Operadora de Centros Familiares Gato</t>
        </is>
      </c>
      <c r="C170" s="27" t="inlineStr">
        <is>
          <t>Partner Rapid</t>
        </is>
      </c>
      <c r="D170" s="26" t="inlineStr">
        <is>
          <t>ACTIVO</t>
        </is>
      </c>
      <c r="E170" s="26" t="inlineStr">
        <is>
          <t>2025-04-23</t>
        </is>
      </c>
      <c r="F170" s="26" t="inlineStr">
        <is>
          <t>2027-04-23</t>
        </is>
      </c>
      <c r="G170" s="28" t="n">
        <v>24</v>
      </c>
      <c r="H170" s="29" t="n">
        <v>77905.25</v>
      </c>
      <c r="I170" s="29">
        <f>IF(Intereses_Leasing_Mensual!I170&gt;0, ROUND(33658.04 - Intereses_Leasing_Mensual!I170, 2), "")</f>
        <v/>
      </c>
      <c r="J170" s="29">
        <f>IF(Intereses_Leasing_Mensual!J170&gt;0, ROUND(I170 - Intereses_Leasing_Mensual!J170, 2), "")</f>
        <v/>
      </c>
      <c r="K170" s="29">
        <f>IF(Intereses_Leasing_Mensual!K170&gt;0, ROUND(J170 - Intereses_Leasing_Mensual!K170, 2), "")</f>
        <v/>
      </c>
      <c r="L170" s="29">
        <f>IF(Intereses_Leasing_Mensual!L170&gt;0, ROUND(K170 - Intereses_Leasing_Mensual!L170, 2), "")</f>
        <v/>
      </c>
      <c r="M170" s="29">
        <f>IF(Intereses_Leasing_Mensual!M170&gt;0, ROUND(L170 - Intereses_Leasing_Mensual!M170, 2), "")</f>
        <v/>
      </c>
      <c r="N170" s="29">
        <f>IF(Intereses_Leasing_Mensual!N170&gt;0, ROUND(M170 - Intereses_Leasing_Mensual!N170, 2), "")</f>
        <v/>
      </c>
      <c r="O170" s="29">
        <f>IF(Intereses_Leasing_Mensual!O170&gt;0, ROUND(N170 - Intereses_Leasing_Mensual!O170, 2), "")</f>
        <v/>
      </c>
      <c r="P170" s="29">
        <f>IF(Intereses_Leasing_Mensual!P170&gt;0, ROUND(O170 - Intereses_Leasing_Mensual!P170, 2), "")</f>
        <v/>
      </c>
      <c r="Q170" s="29">
        <f>IF(Intereses_Leasing_Mensual!Q170&gt;0, ROUND(P170 - Intereses_Leasing_Mensual!Q170, 2), "")</f>
        <v/>
      </c>
      <c r="R170" s="29">
        <f>IF(Intereses_Leasing_Mensual!R170&gt;0, ROUND(Q170 - Intereses_Leasing_Mensual!R170, 2), "")</f>
        <v/>
      </c>
      <c r="S170" s="29">
        <f>IF(Intereses_Leasing_Mensual!S170&gt;0, ROUND(R170 - Intereses_Leasing_Mensual!S170, 2), "")</f>
        <v/>
      </c>
      <c r="T170" s="29">
        <f>IF(Intereses_Leasing_Mensual!T170&gt;0, ROUND(S170 - Intereses_Leasing_Mensual!T170, 2), "")</f>
        <v/>
      </c>
      <c r="U170" s="29">
        <f>MAX(I170:T170)</f>
        <v/>
      </c>
    </row>
    <row r="171">
      <c r="A171" s="20" t="inlineStr">
        <is>
          <t>0692-0002</t>
        </is>
      </c>
      <c r="B171" s="21" t="inlineStr">
        <is>
          <t>Operadora de Centros Familiares Gato</t>
        </is>
      </c>
      <c r="C171" s="21" t="inlineStr">
        <is>
          <t>Partner Rapid</t>
        </is>
      </c>
      <c r="D171" s="20" t="inlineStr">
        <is>
          <t>ACTIVO</t>
        </is>
      </c>
      <c r="E171" s="20" t="inlineStr">
        <is>
          <t>2025-04-23</t>
        </is>
      </c>
      <c r="F171" s="20" t="inlineStr">
        <is>
          <t>2027-04-23</t>
        </is>
      </c>
      <c r="G171" s="22" t="n">
        <v>24</v>
      </c>
      <c r="H171" s="23" t="n">
        <v>77905.25</v>
      </c>
      <c r="I171" s="23">
        <f>IF(Intereses_Leasing_Mensual!I171&gt;0, ROUND(33658.04 - Intereses_Leasing_Mensual!I171, 2), "")</f>
        <v/>
      </c>
      <c r="J171" s="23">
        <f>IF(Intereses_Leasing_Mensual!J171&gt;0, ROUND(I171 - Intereses_Leasing_Mensual!J171, 2), "")</f>
        <v/>
      </c>
      <c r="K171" s="23">
        <f>IF(Intereses_Leasing_Mensual!K171&gt;0, ROUND(J171 - Intereses_Leasing_Mensual!K171, 2), "")</f>
        <v/>
      </c>
      <c r="L171" s="23">
        <f>IF(Intereses_Leasing_Mensual!L171&gt;0, ROUND(K171 - Intereses_Leasing_Mensual!L171, 2), "")</f>
        <v/>
      </c>
      <c r="M171" s="23">
        <f>IF(Intereses_Leasing_Mensual!M171&gt;0, ROUND(L171 - Intereses_Leasing_Mensual!M171, 2), "")</f>
        <v/>
      </c>
      <c r="N171" s="23">
        <f>IF(Intereses_Leasing_Mensual!N171&gt;0, ROUND(M171 - Intereses_Leasing_Mensual!N171, 2), "")</f>
        <v/>
      </c>
      <c r="O171" s="23">
        <f>IF(Intereses_Leasing_Mensual!O171&gt;0, ROUND(N171 - Intereses_Leasing_Mensual!O171, 2), "")</f>
        <v/>
      </c>
      <c r="P171" s="23">
        <f>IF(Intereses_Leasing_Mensual!P171&gt;0, ROUND(O171 - Intereses_Leasing_Mensual!P171, 2), "")</f>
        <v/>
      </c>
      <c r="Q171" s="23">
        <f>IF(Intereses_Leasing_Mensual!Q171&gt;0, ROUND(P171 - Intereses_Leasing_Mensual!Q171, 2), "")</f>
        <v/>
      </c>
      <c r="R171" s="23">
        <f>IF(Intereses_Leasing_Mensual!R171&gt;0, ROUND(Q171 - Intereses_Leasing_Mensual!R171, 2), "")</f>
        <v/>
      </c>
      <c r="S171" s="23">
        <f>IF(Intereses_Leasing_Mensual!S171&gt;0, ROUND(R171 - Intereses_Leasing_Mensual!S171, 2), "")</f>
        <v/>
      </c>
      <c r="T171" s="23">
        <f>IF(Intereses_Leasing_Mensual!T171&gt;0, ROUND(S171 - Intereses_Leasing_Mensual!T171, 2), "")</f>
        <v/>
      </c>
      <c r="U171" s="23">
        <f>MAX(I171:T171)</f>
        <v/>
      </c>
    </row>
    <row r="172">
      <c r="A172" s="26" t="inlineStr">
        <is>
          <t>0692-0003</t>
        </is>
      </c>
      <c r="B172" s="27" t="inlineStr">
        <is>
          <t>Operadora de Centros Familiares Gato</t>
        </is>
      </c>
      <c r="C172" s="27" t="inlineStr">
        <is>
          <t>Partner Rapid</t>
        </is>
      </c>
      <c r="D172" s="26" t="inlineStr">
        <is>
          <t>ACTIVO</t>
        </is>
      </c>
      <c r="E172" s="26" t="inlineStr">
        <is>
          <t>2025-04-23</t>
        </is>
      </c>
      <c r="F172" s="26" t="inlineStr">
        <is>
          <t>2027-04-23</t>
        </is>
      </c>
      <c r="G172" s="28" t="n">
        <v>24</v>
      </c>
      <c r="H172" s="29" t="n">
        <v>77905.25</v>
      </c>
      <c r="I172" s="29">
        <f>IF(Intereses_Leasing_Mensual!I172&gt;0, ROUND(33658.04 - Intereses_Leasing_Mensual!I172, 2), "")</f>
        <v/>
      </c>
      <c r="J172" s="29">
        <f>IF(Intereses_Leasing_Mensual!J172&gt;0, ROUND(I172 - Intereses_Leasing_Mensual!J172, 2), "")</f>
        <v/>
      </c>
      <c r="K172" s="29">
        <f>IF(Intereses_Leasing_Mensual!K172&gt;0, ROUND(J172 - Intereses_Leasing_Mensual!K172, 2), "")</f>
        <v/>
      </c>
      <c r="L172" s="29">
        <f>IF(Intereses_Leasing_Mensual!L172&gt;0, ROUND(K172 - Intereses_Leasing_Mensual!L172, 2), "")</f>
        <v/>
      </c>
      <c r="M172" s="29">
        <f>IF(Intereses_Leasing_Mensual!M172&gt;0, ROUND(L172 - Intereses_Leasing_Mensual!M172, 2), "")</f>
        <v/>
      </c>
      <c r="N172" s="29">
        <f>IF(Intereses_Leasing_Mensual!N172&gt;0, ROUND(M172 - Intereses_Leasing_Mensual!N172, 2), "")</f>
        <v/>
      </c>
      <c r="O172" s="29">
        <f>IF(Intereses_Leasing_Mensual!O172&gt;0, ROUND(N172 - Intereses_Leasing_Mensual!O172, 2), "")</f>
        <v/>
      </c>
      <c r="P172" s="29">
        <f>IF(Intereses_Leasing_Mensual!P172&gt;0, ROUND(O172 - Intereses_Leasing_Mensual!P172, 2), "")</f>
        <v/>
      </c>
      <c r="Q172" s="29">
        <f>IF(Intereses_Leasing_Mensual!Q172&gt;0, ROUND(P172 - Intereses_Leasing_Mensual!Q172, 2), "")</f>
        <v/>
      </c>
      <c r="R172" s="29">
        <f>IF(Intereses_Leasing_Mensual!R172&gt;0, ROUND(Q172 - Intereses_Leasing_Mensual!R172, 2), "")</f>
        <v/>
      </c>
      <c r="S172" s="29">
        <f>IF(Intereses_Leasing_Mensual!S172&gt;0, ROUND(R172 - Intereses_Leasing_Mensual!S172, 2), "")</f>
        <v/>
      </c>
      <c r="T172" s="29">
        <f>IF(Intereses_Leasing_Mensual!T172&gt;0, ROUND(S172 - Intereses_Leasing_Mensual!T172, 2), "")</f>
        <v/>
      </c>
      <c r="U172" s="29">
        <f>MAX(I172:T172)</f>
        <v/>
      </c>
    </row>
    <row r="173">
      <c r="A173" s="20" t="inlineStr">
        <is>
          <t>0693-0001</t>
        </is>
      </c>
      <c r="B173" s="21" t="inlineStr">
        <is>
          <t>Neurovim</t>
        </is>
      </c>
      <c r="C173" s="21" t="inlineStr">
        <is>
          <t>Equipo Medico</t>
        </is>
      </c>
      <c r="D173" s="20" t="inlineStr">
        <is>
          <t>ACTIVO</t>
        </is>
      </c>
      <c r="E173" s="20" t="inlineStr">
        <is>
          <t>2025-04-25</t>
        </is>
      </c>
      <c r="F173" s="20" t="inlineStr">
        <is>
          <t>2028-04-25</t>
        </is>
      </c>
      <c r="G173" s="22" t="n">
        <v>36</v>
      </c>
      <c r="H173" s="23" t="n">
        <v>1236255.35</v>
      </c>
      <c r="I173" s="23">
        <f>IF(Intereses_Leasing_Mensual!I173&gt;0, ROUND(842055.04 - Intereses_Leasing_Mensual!I173, 2), "")</f>
        <v/>
      </c>
      <c r="J173" s="23">
        <f>IF(Intereses_Leasing_Mensual!J173&gt;0, ROUND(I173 - Intereses_Leasing_Mensual!J173, 2), "")</f>
        <v/>
      </c>
      <c r="K173" s="23">
        <f>IF(Intereses_Leasing_Mensual!K173&gt;0, ROUND(J173 - Intereses_Leasing_Mensual!K173, 2), "")</f>
        <v/>
      </c>
      <c r="L173" s="23">
        <f>IF(Intereses_Leasing_Mensual!L173&gt;0, ROUND(K173 - Intereses_Leasing_Mensual!L173, 2), "")</f>
        <v/>
      </c>
      <c r="M173" s="23">
        <f>IF(Intereses_Leasing_Mensual!M173&gt;0, ROUND(L173 - Intereses_Leasing_Mensual!M173, 2), "")</f>
        <v/>
      </c>
      <c r="N173" s="23">
        <f>IF(Intereses_Leasing_Mensual!N173&gt;0, ROUND(M173 - Intereses_Leasing_Mensual!N173, 2), "")</f>
        <v/>
      </c>
      <c r="O173" s="23">
        <f>IF(Intereses_Leasing_Mensual!O173&gt;0, ROUND(N173 - Intereses_Leasing_Mensual!O173, 2), "")</f>
        <v/>
      </c>
      <c r="P173" s="23">
        <f>IF(Intereses_Leasing_Mensual!P173&gt;0, ROUND(O173 - Intereses_Leasing_Mensual!P173, 2), "")</f>
        <v/>
      </c>
      <c r="Q173" s="23">
        <f>IF(Intereses_Leasing_Mensual!Q173&gt;0, ROUND(P173 - Intereses_Leasing_Mensual!Q173, 2), "")</f>
        <v/>
      </c>
      <c r="R173" s="23">
        <f>IF(Intereses_Leasing_Mensual!R173&gt;0, ROUND(Q173 - Intereses_Leasing_Mensual!R173, 2), "")</f>
        <v/>
      </c>
      <c r="S173" s="23">
        <f>IF(Intereses_Leasing_Mensual!S173&gt;0, ROUND(R173 - Intereses_Leasing_Mensual!S173, 2), "")</f>
        <v/>
      </c>
      <c r="T173" s="23">
        <f>IF(Intereses_Leasing_Mensual!T173&gt;0, ROUND(S173 - Intereses_Leasing_Mensual!T173, 2), "")</f>
        <v/>
      </c>
      <c r="U173" s="23">
        <f>MAX(I173:T173)</f>
        <v/>
      </c>
    </row>
    <row r="174">
      <c r="A174" s="26" t="inlineStr">
        <is>
          <t>0694-0001</t>
        </is>
      </c>
      <c r="B174" s="27" t="inlineStr">
        <is>
          <t>Jose Gelacio Limon Reyes</t>
        </is>
      </c>
      <c r="C174" s="27" t="inlineStr">
        <is>
          <t>Outlander Sport</t>
        </is>
      </c>
      <c r="D174" s="26" t="inlineStr">
        <is>
          <t>ACTIVO</t>
        </is>
      </c>
      <c r="E174" s="26" t="inlineStr">
        <is>
          <t>2025-05-26</t>
        </is>
      </c>
      <c r="F174" s="26" t="inlineStr">
        <is>
          <t>2029-05-26</t>
        </is>
      </c>
      <c r="G174" s="28" t="n">
        <v>48</v>
      </c>
      <c r="H174" s="29" t="n">
        <v>328986.76</v>
      </c>
      <c r="I174" s="29">
        <f>IF(Intereses_Leasing_Mensual!I174&gt;0, ROUND(248360.94 - Intereses_Leasing_Mensual!I174, 2), "")</f>
        <v/>
      </c>
      <c r="J174" s="29">
        <f>IF(Intereses_Leasing_Mensual!J174&gt;0, ROUND(I174 - Intereses_Leasing_Mensual!J174, 2), "")</f>
        <v/>
      </c>
      <c r="K174" s="29">
        <f>IF(Intereses_Leasing_Mensual!K174&gt;0, ROUND(J174 - Intereses_Leasing_Mensual!K174, 2), "")</f>
        <v/>
      </c>
      <c r="L174" s="29">
        <f>IF(Intereses_Leasing_Mensual!L174&gt;0, ROUND(K174 - Intereses_Leasing_Mensual!L174, 2), "")</f>
        <v/>
      </c>
      <c r="M174" s="29">
        <f>IF(Intereses_Leasing_Mensual!M174&gt;0, ROUND(L174 - Intereses_Leasing_Mensual!M174, 2), "")</f>
        <v/>
      </c>
      <c r="N174" s="29">
        <f>IF(Intereses_Leasing_Mensual!N174&gt;0, ROUND(M174 - Intereses_Leasing_Mensual!N174, 2), "")</f>
        <v/>
      </c>
      <c r="O174" s="29">
        <f>IF(Intereses_Leasing_Mensual!O174&gt;0, ROUND(N174 - Intereses_Leasing_Mensual!O174, 2), "")</f>
        <v/>
      </c>
      <c r="P174" s="29">
        <f>IF(Intereses_Leasing_Mensual!P174&gt;0, ROUND(O174 - Intereses_Leasing_Mensual!P174, 2), "")</f>
        <v/>
      </c>
      <c r="Q174" s="29">
        <f>IF(Intereses_Leasing_Mensual!Q174&gt;0, ROUND(P174 - Intereses_Leasing_Mensual!Q174, 2), "")</f>
        <v/>
      </c>
      <c r="R174" s="29">
        <f>IF(Intereses_Leasing_Mensual!R174&gt;0, ROUND(Q174 - Intereses_Leasing_Mensual!R174, 2), "")</f>
        <v/>
      </c>
      <c r="S174" s="29">
        <f>IF(Intereses_Leasing_Mensual!S174&gt;0, ROUND(R174 - Intereses_Leasing_Mensual!S174, 2), "")</f>
        <v/>
      </c>
      <c r="T174" s="29">
        <f>IF(Intereses_Leasing_Mensual!T174&gt;0, ROUND(S174 - Intereses_Leasing_Mensual!T174, 2), "")</f>
        <v/>
      </c>
      <c r="U174" s="29">
        <f>MAX(I174:T174)</f>
        <v/>
      </c>
    </row>
    <row r="175">
      <c r="A175" s="20" t="inlineStr">
        <is>
          <t>0695-0001</t>
        </is>
      </c>
      <c r="B175" s="21" t="inlineStr">
        <is>
          <t>Sistemas de Seguridad Privada Ssp</t>
        </is>
      </c>
      <c r="C175" s="21" t="inlineStr">
        <is>
          <t>Attitude Sport</t>
        </is>
      </c>
      <c r="D175" s="20" t="inlineStr">
        <is>
          <t>ACTIVO</t>
        </is>
      </c>
      <c r="E175" s="20" t="inlineStr">
        <is>
          <t>2025-05-26</t>
        </is>
      </c>
      <c r="F175" s="20" t="inlineStr">
        <is>
          <t>2027-05-26</t>
        </is>
      </c>
      <c r="G175" s="22" t="n">
        <v>24</v>
      </c>
      <c r="H175" s="23" t="n">
        <v>82184.85000000001</v>
      </c>
      <c r="I175" s="23">
        <f>IF(Intereses_Leasing_Mensual!I175&gt;0, ROUND(44808.57 - Intereses_Leasing_Mensual!I175, 2), "")</f>
        <v/>
      </c>
      <c r="J175" s="23">
        <f>IF(Intereses_Leasing_Mensual!J175&gt;0, ROUND(I175 - Intereses_Leasing_Mensual!J175, 2), "")</f>
        <v/>
      </c>
      <c r="K175" s="23">
        <f>IF(Intereses_Leasing_Mensual!K175&gt;0, ROUND(J175 - Intereses_Leasing_Mensual!K175, 2), "")</f>
        <v/>
      </c>
      <c r="L175" s="23">
        <f>IF(Intereses_Leasing_Mensual!L175&gt;0, ROUND(K175 - Intereses_Leasing_Mensual!L175, 2), "")</f>
        <v/>
      </c>
      <c r="M175" s="23">
        <f>IF(Intereses_Leasing_Mensual!M175&gt;0, ROUND(L175 - Intereses_Leasing_Mensual!M175, 2), "")</f>
        <v/>
      </c>
      <c r="N175" s="23">
        <f>IF(Intereses_Leasing_Mensual!N175&gt;0, ROUND(M175 - Intereses_Leasing_Mensual!N175, 2), "")</f>
        <v/>
      </c>
      <c r="O175" s="23">
        <f>IF(Intereses_Leasing_Mensual!O175&gt;0, ROUND(N175 - Intereses_Leasing_Mensual!O175, 2), "")</f>
        <v/>
      </c>
      <c r="P175" s="23">
        <f>IF(Intereses_Leasing_Mensual!P175&gt;0, ROUND(O175 - Intereses_Leasing_Mensual!P175, 2), "")</f>
        <v/>
      </c>
      <c r="Q175" s="23">
        <f>IF(Intereses_Leasing_Mensual!Q175&gt;0, ROUND(P175 - Intereses_Leasing_Mensual!Q175, 2), "")</f>
        <v/>
      </c>
      <c r="R175" s="23">
        <f>IF(Intereses_Leasing_Mensual!R175&gt;0, ROUND(Q175 - Intereses_Leasing_Mensual!R175, 2), "")</f>
        <v/>
      </c>
      <c r="S175" s="23">
        <f>IF(Intereses_Leasing_Mensual!S175&gt;0, ROUND(R175 - Intereses_Leasing_Mensual!S175, 2), "")</f>
        <v/>
      </c>
      <c r="T175" s="23">
        <f>IF(Intereses_Leasing_Mensual!T175&gt;0, ROUND(S175 - Intereses_Leasing_Mensual!T175, 2), "")</f>
        <v/>
      </c>
      <c r="U175" s="23">
        <f>MAX(I175:T175)</f>
        <v/>
      </c>
    </row>
    <row r="176">
      <c r="A176" s="26" t="inlineStr">
        <is>
          <t>0696-0001</t>
        </is>
      </c>
      <c r="B176" s="27" t="inlineStr">
        <is>
          <t>Karina Rocio Sanchez Cardenas</t>
        </is>
      </c>
      <c r="C176" s="27" t="inlineStr">
        <is>
          <t>Atittude GT</t>
        </is>
      </c>
      <c r="D176" s="26" t="inlineStr">
        <is>
          <t>ACTIVO</t>
        </is>
      </c>
      <c r="E176" s="26" t="inlineStr">
        <is>
          <t>2025-05-28</t>
        </is>
      </c>
      <c r="F176" s="26" t="inlineStr">
        <is>
          <t>2029-05-28</t>
        </is>
      </c>
      <c r="G176" s="28" t="n">
        <v>48</v>
      </c>
      <c r="H176" s="29" t="n">
        <v>329118.5</v>
      </c>
      <c r="I176" s="29">
        <f>IF(Intereses_Leasing_Mensual!I176&gt;0, ROUND(248460.45 - Intereses_Leasing_Mensual!I176, 2), "")</f>
        <v/>
      </c>
      <c r="J176" s="29">
        <f>IF(Intereses_Leasing_Mensual!J176&gt;0, ROUND(I176 - Intereses_Leasing_Mensual!J176, 2), "")</f>
        <v/>
      </c>
      <c r="K176" s="29">
        <f>IF(Intereses_Leasing_Mensual!K176&gt;0, ROUND(J176 - Intereses_Leasing_Mensual!K176, 2), "")</f>
        <v/>
      </c>
      <c r="L176" s="29">
        <f>IF(Intereses_Leasing_Mensual!L176&gt;0, ROUND(K176 - Intereses_Leasing_Mensual!L176, 2), "")</f>
        <v/>
      </c>
      <c r="M176" s="29">
        <f>IF(Intereses_Leasing_Mensual!M176&gt;0, ROUND(L176 - Intereses_Leasing_Mensual!M176, 2), "")</f>
        <v/>
      </c>
      <c r="N176" s="29">
        <f>IF(Intereses_Leasing_Mensual!N176&gt;0, ROUND(M176 - Intereses_Leasing_Mensual!N176, 2), "")</f>
        <v/>
      </c>
      <c r="O176" s="29">
        <f>IF(Intereses_Leasing_Mensual!O176&gt;0, ROUND(N176 - Intereses_Leasing_Mensual!O176, 2), "")</f>
        <v/>
      </c>
      <c r="P176" s="29">
        <f>IF(Intereses_Leasing_Mensual!P176&gt;0, ROUND(O176 - Intereses_Leasing_Mensual!P176, 2), "")</f>
        <v/>
      </c>
      <c r="Q176" s="29">
        <f>IF(Intereses_Leasing_Mensual!Q176&gt;0, ROUND(P176 - Intereses_Leasing_Mensual!Q176, 2), "")</f>
        <v/>
      </c>
      <c r="R176" s="29">
        <f>IF(Intereses_Leasing_Mensual!R176&gt;0, ROUND(Q176 - Intereses_Leasing_Mensual!R176, 2), "")</f>
        <v/>
      </c>
      <c r="S176" s="29">
        <f>IF(Intereses_Leasing_Mensual!S176&gt;0, ROUND(R176 - Intereses_Leasing_Mensual!S176, 2), "")</f>
        <v/>
      </c>
      <c r="T176" s="29">
        <f>IF(Intereses_Leasing_Mensual!T176&gt;0, ROUND(S176 - Intereses_Leasing_Mensual!T176, 2), "")</f>
        <v/>
      </c>
      <c r="U176" s="29">
        <f>MAX(I176:T176)</f>
        <v/>
      </c>
    </row>
    <row r="177">
      <c r="A177" s="20" t="inlineStr">
        <is>
          <t>0697-0001</t>
        </is>
      </c>
      <c r="B177" s="21" t="inlineStr">
        <is>
          <t>Guillermo Eduardo Robles Navarro</t>
        </is>
      </c>
      <c r="C177" s="21" t="inlineStr">
        <is>
          <t>Partner Rapid</t>
        </is>
      </c>
      <c r="D177" s="20" t="inlineStr">
        <is>
          <t>ACTIVO</t>
        </is>
      </c>
      <c r="E177" s="20" t="inlineStr">
        <is>
          <t>2025-05-30</t>
        </is>
      </c>
      <c r="F177" s="20" t="inlineStr">
        <is>
          <t>2027-05-30</t>
        </is>
      </c>
      <c r="G177" s="22" t="n">
        <v>24</v>
      </c>
      <c r="H177" s="23" t="n">
        <v>104248.16</v>
      </c>
      <c r="I177" s="23">
        <f>IF(Intereses_Leasing_Mensual!I177&gt;0, ROUND(59273.61 - Intereses_Leasing_Mensual!I177, 2), "")</f>
        <v/>
      </c>
      <c r="J177" s="23">
        <f>IF(Intereses_Leasing_Mensual!J177&gt;0, ROUND(I177 - Intereses_Leasing_Mensual!J177, 2), "")</f>
        <v/>
      </c>
      <c r="K177" s="23">
        <f>IF(Intereses_Leasing_Mensual!K177&gt;0, ROUND(J177 - Intereses_Leasing_Mensual!K177, 2), "")</f>
        <v/>
      </c>
      <c r="L177" s="23">
        <f>IF(Intereses_Leasing_Mensual!L177&gt;0, ROUND(K177 - Intereses_Leasing_Mensual!L177, 2), "")</f>
        <v/>
      </c>
      <c r="M177" s="23">
        <f>IF(Intereses_Leasing_Mensual!M177&gt;0, ROUND(L177 - Intereses_Leasing_Mensual!M177, 2), "")</f>
        <v/>
      </c>
      <c r="N177" s="23">
        <f>IF(Intereses_Leasing_Mensual!N177&gt;0, ROUND(M177 - Intereses_Leasing_Mensual!N177, 2), "")</f>
        <v/>
      </c>
      <c r="O177" s="23">
        <f>IF(Intereses_Leasing_Mensual!O177&gt;0, ROUND(N177 - Intereses_Leasing_Mensual!O177, 2), "")</f>
        <v/>
      </c>
      <c r="P177" s="23">
        <f>IF(Intereses_Leasing_Mensual!P177&gt;0, ROUND(O177 - Intereses_Leasing_Mensual!P177, 2), "")</f>
        <v/>
      </c>
      <c r="Q177" s="23">
        <f>IF(Intereses_Leasing_Mensual!Q177&gt;0, ROUND(P177 - Intereses_Leasing_Mensual!Q177, 2), "")</f>
        <v/>
      </c>
      <c r="R177" s="23">
        <f>IF(Intereses_Leasing_Mensual!R177&gt;0, ROUND(Q177 - Intereses_Leasing_Mensual!R177, 2), "")</f>
        <v/>
      </c>
      <c r="S177" s="23">
        <f>IF(Intereses_Leasing_Mensual!S177&gt;0, ROUND(R177 - Intereses_Leasing_Mensual!S177, 2), "")</f>
        <v/>
      </c>
      <c r="T177" s="23">
        <f>IF(Intereses_Leasing_Mensual!T177&gt;0, ROUND(S177 - Intereses_Leasing_Mensual!T177, 2), "")</f>
        <v/>
      </c>
      <c r="U177" s="23">
        <f>MAX(I177:T177)</f>
        <v/>
      </c>
    </row>
    <row r="178">
      <c r="A178" s="26" t="inlineStr">
        <is>
          <t>0698-0001</t>
        </is>
      </c>
      <c r="B178" s="27" t="inlineStr">
        <is>
          <t>Roberto Gontes Leon</t>
        </is>
      </c>
      <c r="C178" s="27" t="inlineStr">
        <is>
          <t>Wrangler Rubicon</t>
        </is>
      </c>
      <c r="D178" s="26" t="inlineStr">
        <is>
          <t>ACTIVO</t>
        </is>
      </c>
      <c r="E178" s="26" t="inlineStr">
        <is>
          <t>2025-06-13</t>
        </is>
      </c>
      <c r="F178" s="26" t="inlineStr">
        <is>
          <t>2029-06-13</t>
        </is>
      </c>
      <c r="G178" s="28" t="n">
        <v>48</v>
      </c>
      <c r="H178" s="29" t="n">
        <v>750288.49</v>
      </c>
      <c r="I178" s="29">
        <f>IF(Intereses_Leasing_Mensual!I178&gt;0, ROUND(590720.46 - Intereses_Leasing_Mensual!I178, 2), "")</f>
        <v/>
      </c>
      <c r="J178" s="29">
        <f>IF(Intereses_Leasing_Mensual!J178&gt;0, ROUND(I178 - Intereses_Leasing_Mensual!J178, 2), "")</f>
        <v/>
      </c>
      <c r="K178" s="29">
        <f>IF(Intereses_Leasing_Mensual!K178&gt;0, ROUND(J178 - Intereses_Leasing_Mensual!K178, 2), "")</f>
        <v/>
      </c>
      <c r="L178" s="29">
        <f>IF(Intereses_Leasing_Mensual!L178&gt;0, ROUND(K178 - Intereses_Leasing_Mensual!L178, 2), "")</f>
        <v/>
      </c>
      <c r="M178" s="29">
        <f>IF(Intereses_Leasing_Mensual!M178&gt;0, ROUND(L178 - Intereses_Leasing_Mensual!M178, 2), "")</f>
        <v/>
      </c>
      <c r="N178" s="29">
        <f>IF(Intereses_Leasing_Mensual!N178&gt;0, ROUND(M178 - Intereses_Leasing_Mensual!N178, 2), "")</f>
        <v/>
      </c>
      <c r="O178" s="29">
        <f>IF(Intereses_Leasing_Mensual!O178&gt;0, ROUND(N178 - Intereses_Leasing_Mensual!O178, 2), "")</f>
        <v/>
      </c>
      <c r="P178" s="29">
        <f>IF(Intereses_Leasing_Mensual!P178&gt;0, ROUND(O178 - Intereses_Leasing_Mensual!P178, 2), "")</f>
        <v/>
      </c>
      <c r="Q178" s="29">
        <f>IF(Intereses_Leasing_Mensual!Q178&gt;0, ROUND(P178 - Intereses_Leasing_Mensual!Q178, 2), "")</f>
        <v/>
      </c>
      <c r="R178" s="29">
        <f>IF(Intereses_Leasing_Mensual!R178&gt;0, ROUND(Q178 - Intereses_Leasing_Mensual!R178, 2), "")</f>
        <v/>
      </c>
      <c r="S178" s="29">
        <f>IF(Intereses_Leasing_Mensual!S178&gt;0, ROUND(R178 - Intereses_Leasing_Mensual!S178, 2), "")</f>
        <v/>
      </c>
      <c r="T178" s="29">
        <f>IF(Intereses_Leasing_Mensual!T178&gt;0, ROUND(S178 - Intereses_Leasing_Mensual!T178, 2), "")</f>
        <v/>
      </c>
      <c r="U178" s="29">
        <f>MAX(I178:T178)</f>
        <v/>
      </c>
    </row>
    <row r="179">
      <c r="A179" s="20" t="inlineStr">
        <is>
          <t>0699-0001</t>
        </is>
      </c>
      <c r="B179" s="21" t="inlineStr">
        <is>
          <t>Ramona Salazar Ramos</t>
        </is>
      </c>
      <c r="C179" s="21" t="inlineStr">
        <is>
          <t>Grand Cherokee 2025</t>
        </is>
      </c>
      <c r="D179" s="20" t="inlineStr">
        <is>
          <t>ACTIVO</t>
        </is>
      </c>
      <c r="E179" s="20" t="inlineStr">
        <is>
          <t>2025-06-05</t>
        </is>
      </c>
      <c r="F179" s="20" t="inlineStr">
        <is>
          <t>2028-06-05</t>
        </is>
      </c>
      <c r="G179" s="22" t="n">
        <v>36</v>
      </c>
      <c r="H179" s="23" t="n">
        <v>613190.1</v>
      </c>
      <c r="I179" s="23">
        <f>IF(Intereses_Leasing_Mensual!I179&gt;0, ROUND(436232.3 - Intereses_Leasing_Mensual!I179, 2), "")</f>
        <v/>
      </c>
      <c r="J179" s="23">
        <f>IF(Intereses_Leasing_Mensual!J179&gt;0, ROUND(I179 - Intereses_Leasing_Mensual!J179, 2), "")</f>
        <v/>
      </c>
      <c r="K179" s="23">
        <f>IF(Intereses_Leasing_Mensual!K179&gt;0, ROUND(J179 - Intereses_Leasing_Mensual!K179, 2), "")</f>
        <v/>
      </c>
      <c r="L179" s="23">
        <f>IF(Intereses_Leasing_Mensual!L179&gt;0, ROUND(K179 - Intereses_Leasing_Mensual!L179, 2), "")</f>
        <v/>
      </c>
      <c r="M179" s="23">
        <f>IF(Intereses_Leasing_Mensual!M179&gt;0, ROUND(L179 - Intereses_Leasing_Mensual!M179, 2), "")</f>
        <v/>
      </c>
      <c r="N179" s="23">
        <f>IF(Intereses_Leasing_Mensual!N179&gt;0, ROUND(M179 - Intereses_Leasing_Mensual!N179, 2), "")</f>
        <v/>
      </c>
      <c r="O179" s="23">
        <f>IF(Intereses_Leasing_Mensual!O179&gt;0, ROUND(N179 - Intereses_Leasing_Mensual!O179, 2), "")</f>
        <v/>
      </c>
      <c r="P179" s="23">
        <f>IF(Intereses_Leasing_Mensual!P179&gt;0, ROUND(O179 - Intereses_Leasing_Mensual!P179, 2), "")</f>
        <v/>
      </c>
      <c r="Q179" s="23">
        <f>IF(Intereses_Leasing_Mensual!Q179&gt;0, ROUND(P179 - Intereses_Leasing_Mensual!Q179, 2), "")</f>
        <v/>
      </c>
      <c r="R179" s="23">
        <f>IF(Intereses_Leasing_Mensual!R179&gt;0, ROUND(Q179 - Intereses_Leasing_Mensual!R179, 2), "")</f>
        <v/>
      </c>
      <c r="S179" s="23">
        <f>IF(Intereses_Leasing_Mensual!S179&gt;0, ROUND(R179 - Intereses_Leasing_Mensual!S179, 2), "")</f>
        <v/>
      </c>
      <c r="T179" s="23">
        <f>IF(Intereses_Leasing_Mensual!T179&gt;0, ROUND(S179 - Intereses_Leasing_Mensual!T179, 2), "")</f>
        <v/>
      </c>
      <c r="U179" s="23">
        <f>MAX(I179:T179)</f>
        <v/>
      </c>
    </row>
    <row r="180">
      <c r="A180" s="26" t="inlineStr">
        <is>
          <t>0700-0001</t>
        </is>
      </c>
      <c r="B180" s="27" t="inlineStr">
        <is>
          <t>Felipe de Jesus Ibañez Huizar</t>
        </is>
      </c>
      <c r="C180" s="27" t="inlineStr">
        <is>
          <t>K3</t>
        </is>
      </c>
      <c r="D180" s="26" t="inlineStr">
        <is>
          <t>ACTIVO</t>
        </is>
      </c>
      <c r="E180" s="26" t="inlineStr">
        <is>
          <t>2025-06-20</t>
        </is>
      </c>
      <c r="F180" s="26" t="inlineStr">
        <is>
          <t>2028-06-20</t>
        </is>
      </c>
      <c r="G180" s="28" t="n">
        <v>36</v>
      </c>
      <c r="H180" s="29" t="n">
        <v>201109.15</v>
      </c>
      <c r="I180" s="29">
        <f>IF(Intereses_Leasing_Mensual!I180&gt;0, ROUND(146165.31 - Intereses_Leasing_Mensual!I180, 2), "")</f>
        <v/>
      </c>
      <c r="J180" s="29">
        <f>IF(Intereses_Leasing_Mensual!J180&gt;0, ROUND(I180 - Intereses_Leasing_Mensual!J180, 2), "")</f>
        <v/>
      </c>
      <c r="K180" s="29">
        <f>IF(Intereses_Leasing_Mensual!K180&gt;0, ROUND(J180 - Intereses_Leasing_Mensual!K180, 2), "")</f>
        <v/>
      </c>
      <c r="L180" s="29">
        <f>IF(Intereses_Leasing_Mensual!L180&gt;0, ROUND(K180 - Intereses_Leasing_Mensual!L180, 2), "")</f>
        <v/>
      </c>
      <c r="M180" s="29">
        <f>IF(Intereses_Leasing_Mensual!M180&gt;0, ROUND(L180 - Intereses_Leasing_Mensual!M180, 2), "")</f>
        <v/>
      </c>
      <c r="N180" s="29">
        <f>IF(Intereses_Leasing_Mensual!N180&gt;0, ROUND(M180 - Intereses_Leasing_Mensual!N180, 2), "")</f>
        <v/>
      </c>
      <c r="O180" s="29">
        <f>IF(Intereses_Leasing_Mensual!O180&gt;0, ROUND(N180 - Intereses_Leasing_Mensual!O180, 2), "")</f>
        <v/>
      </c>
      <c r="P180" s="29">
        <f>IF(Intereses_Leasing_Mensual!P180&gt;0, ROUND(O180 - Intereses_Leasing_Mensual!P180, 2), "")</f>
        <v/>
      </c>
      <c r="Q180" s="29">
        <f>IF(Intereses_Leasing_Mensual!Q180&gt;0, ROUND(P180 - Intereses_Leasing_Mensual!Q180, 2), "")</f>
        <v/>
      </c>
      <c r="R180" s="29">
        <f>IF(Intereses_Leasing_Mensual!R180&gt;0, ROUND(Q180 - Intereses_Leasing_Mensual!R180, 2), "")</f>
        <v/>
      </c>
      <c r="S180" s="29">
        <f>IF(Intereses_Leasing_Mensual!S180&gt;0, ROUND(R180 - Intereses_Leasing_Mensual!S180, 2), "")</f>
        <v/>
      </c>
      <c r="T180" s="29">
        <f>IF(Intereses_Leasing_Mensual!T180&gt;0, ROUND(S180 - Intereses_Leasing_Mensual!T180, 2), "")</f>
        <v/>
      </c>
      <c r="U180" s="29">
        <f>MAX(I180:T180)</f>
        <v/>
      </c>
    </row>
    <row r="181">
      <c r="A181" s="20" t="inlineStr">
        <is>
          <t>0700-0002</t>
        </is>
      </c>
      <c r="B181" s="21" t="inlineStr">
        <is>
          <t>Felipe de Jesus Ibañez Huizar</t>
        </is>
      </c>
      <c r="C181" s="21" t="inlineStr">
        <is>
          <t>Nissan NP 300 Frontier 2026</t>
        </is>
      </c>
      <c r="D181" s="20" t="inlineStr">
        <is>
          <t>ACTIVO</t>
        </is>
      </c>
      <c r="E181" s="20" t="inlineStr">
        <is>
          <t>2026-07-17</t>
        </is>
      </c>
      <c r="F181" s="20" t="inlineStr">
        <is>
          <t>2028-07-17</t>
        </is>
      </c>
      <c r="G181" s="22" t="n">
        <v>24</v>
      </c>
      <c r="H181" s="23" t="n">
        <v>202388.01</v>
      </c>
      <c r="I181" s="23" t="inlineStr"/>
      <c r="J181" s="23" t="inlineStr"/>
      <c r="K181" s="23" t="inlineStr"/>
      <c r="L181" s="23" t="inlineStr"/>
      <c r="M181" s="23" t="inlineStr"/>
      <c r="N181" s="23" t="inlineStr"/>
      <c r="O181" s="23">
        <f>IF(Intereses_Leasing_Mensual!O181&gt;0, ROUND($H181 - Intereses_Leasing_Mensual!O181, 2), "")</f>
        <v/>
      </c>
      <c r="P181" s="23">
        <f>IF(Intereses_Leasing_Mensual!P181&gt;0, ROUND(O181 - Intereses_Leasing_Mensual!P181, 2), "")</f>
        <v/>
      </c>
      <c r="Q181" s="23">
        <f>IF(Intereses_Leasing_Mensual!Q181&gt;0, ROUND(P181 - Intereses_Leasing_Mensual!Q181, 2), "")</f>
        <v/>
      </c>
      <c r="R181" s="23">
        <f>IF(Intereses_Leasing_Mensual!R181&gt;0, ROUND(Q181 - Intereses_Leasing_Mensual!R181, 2), "")</f>
        <v/>
      </c>
      <c r="S181" s="23">
        <f>IF(Intereses_Leasing_Mensual!S181&gt;0, ROUND(R181 - Intereses_Leasing_Mensual!S181, 2), "")</f>
        <v/>
      </c>
      <c r="T181" s="23">
        <f>IF(Intereses_Leasing_Mensual!T181&gt;0, ROUND(S181 - Intereses_Leasing_Mensual!T181, 2), "")</f>
        <v/>
      </c>
      <c r="U181" s="23">
        <f>MAX(I181:T181)</f>
        <v/>
      </c>
    </row>
    <row r="182">
      <c r="A182" s="26" t="inlineStr">
        <is>
          <t>0701-0001</t>
        </is>
      </c>
      <c r="B182" s="27" t="inlineStr">
        <is>
          <t>Miguel Angel Yañez Rivera</t>
        </is>
      </c>
      <c r="C182" s="27" t="inlineStr">
        <is>
          <t>Maxi Partner</t>
        </is>
      </c>
      <c r="D182" s="26" t="inlineStr">
        <is>
          <t>ACTIVO</t>
        </is>
      </c>
      <c r="E182" s="26" t="inlineStr">
        <is>
          <t>2025-06-13</t>
        </is>
      </c>
      <c r="F182" s="26" t="inlineStr">
        <is>
          <t>2029-06-13</t>
        </is>
      </c>
      <c r="G182" s="28" t="n">
        <v>48</v>
      </c>
      <c r="H182" s="29" t="n">
        <v>208223.27</v>
      </c>
      <c r="I182" s="29">
        <f>IF(Intereses_Leasing_Mensual!I182&gt;0, ROUND(164111.55 - Intereses_Leasing_Mensual!I182, 2), "")</f>
        <v/>
      </c>
      <c r="J182" s="29">
        <f>IF(Intereses_Leasing_Mensual!J182&gt;0, ROUND(I182 - Intereses_Leasing_Mensual!J182, 2), "")</f>
        <v/>
      </c>
      <c r="K182" s="29">
        <f>IF(Intereses_Leasing_Mensual!K182&gt;0, ROUND(J182 - Intereses_Leasing_Mensual!K182, 2), "")</f>
        <v/>
      </c>
      <c r="L182" s="29">
        <f>IF(Intereses_Leasing_Mensual!L182&gt;0, ROUND(K182 - Intereses_Leasing_Mensual!L182, 2), "")</f>
        <v/>
      </c>
      <c r="M182" s="29">
        <f>IF(Intereses_Leasing_Mensual!M182&gt;0, ROUND(L182 - Intereses_Leasing_Mensual!M182, 2), "")</f>
        <v/>
      </c>
      <c r="N182" s="29">
        <f>IF(Intereses_Leasing_Mensual!N182&gt;0, ROUND(M182 - Intereses_Leasing_Mensual!N182, 2), "")</f>
        <v/>
      </c>
      <c r="O182" s="29">
        <f>IF(Intereses_Leasing_Mensual!O182&gt;0, ROUND(N182 - Intereses_Leasing_Mensual!O182, 2), "")</f>
        <v/>
      </c>
      <c r="P182" s="29">
        <f>IF(Intereses_Leasing_Mensual!P182&gt;0, ROUND(O182 - Intereses_Leasing_Mensual!P182, 2), "")</f>
        <v/>
      </c>
      <c r="Q182" s="29">
        <f>IF(Intereses_Leasing_Mensual!Q182&gt;0, ROUND(P182 - Intereses_Leasing_Mensual!Q182, 2), "")</f>
        <v/>
      </c>
      <c r="R182" s="29">
        <f>IF(Intereses_Leasing_Mensual!R182&gt;0, ROUND(Q182 - Intereses_Leasing_Mensual!R182, 2), "")</f>
        <v/>
      </c>
      <c r="S182" s="29">
        <f>IF(Intereses_Leasing_Mensual!S182&gt;0, ROUND(R182 - Intereses_Leasing_Mensual!S182, 2), "")</f>
        <v/>
      </c>
      <c r="T182" s="29">
        <f>IF(Intereses_Leasing_Mensual!T182&gt;0, ROUND(S182 - Intereses_Leasing_Mensual!T182, 2), "")</f>
        <v/>
      </c>
      <c r="U182" s="29">
        <f>MAX(I182:T182)</f>
        <v/>
      </c>
    </row>
    <row r="183">
      <c r="A183" s="20" t="inlineStr">
        <is>
          <t>0702-0001</t>
        </is>
      </c>
      <c r="B183" s="21" t="inlineStr">
        <is>
          <t>Ramses Tadeo Galindo Calderon</t>
        </is>
      </c>
      <c r="C183" s="21" t="inlineStr">
        <is>
          <t>Song Plus</t>
        </is>
      </c>
      <c r="D183" s="20" t="inlineStr">
        <is>
          <t>ACTIVO</t>
        </is>
      </c>
      <c r="E183" s="20" t="inlineStr">
        <is>
          <t>2025-06-16</t>
        </is>
      </c>
      <c r="F183" s="20" t="inlineStr">
        <is>
          <t>2029-06-16</t>
        </is>
      </c>
      <c r="G183" s="22" t="n">
        <v>48</v>
      </c>
      <c r="H183" s="23" t="n">
        <v>408496.91</v>
      </c>
      <c r="I183" s="23">
        <f>IF(Intereses_Leasing_Mensual!I183&gt;0, ROUND(329006.89 - Intereses_Leasing_Mensual!I183, 2), "")</f>
        <v/>
      </c>
      <c r="J183" s="23">
        <f>IF(Intereses_Leasing_Mensual!J183&gt;0, ROUND(I183 - Intereses_Leasing_Mensual!J183, 2), "")</f>
        <v/>
      </c>
      <c r="K183" s="23">
        <f>IF(Intereses_Leasing_Mensual!K183&gt;0, ROUND(J183 - Intereses_Leasing_Mensual!K183, 2), "")</f>
        <v/>
      </c>
      <c r="L183" s="23">
        <f>IF(Intereses_Leasing_Mensual!L183&gt;0, ROUND(K183 - Intereses_Leasing_Mensual!L183, 2), "")</f>
        <v/>
      </c>
      <c r="M183" s="23">
        <f>IF(Intereses_Leasing_Mensual!M183&gt;0, ROUND(L183 - Intereses_Leasing_Mensual!M183, 2), "")</f>
        <v/>
      </c>
      <c r="N183" s="23">
        <f>IF(Intereses_Leasing_Mensual!N183&gt;0, ROUND(M183 - Intereses_Leasing_Mensual!N183, 2), "")</f>
        <v/>
      </c>
      <c r="O183" s="23">
        <f>IF(Intereses_Leasing_Mensual!O183&gt;0, ROUND(N183 - Intereses_Leasing_Mensual!O183, 2), "")</f>
        <v/>
      </c>
      <c r="P183" s="23">
        <f>IF(Intereses_Leasing_Mensual!P183&gt;0, ROUND(O183 - Intereses_Leasing_Mensual!P183, 2), "")</f>
        <v/>
      </c>
      <c r="Q183" s="23">
        <f>IF(Intereses_Leasing_Mensual!Q183&gt;0, ROUND(P183 - Intereses_Leasing_Mensual!Q183, 2), "")</f>
        <v/>
      </c>
      <c r="R183" s="23">
        <f>IF(Intereses_Leasing_Mensual!R183&gt;0, ROUND(Q183 - Intereses_Leasing_Mensual!R183, 2), "")</f>
        <v/>
      </c>
      <c r="S183" s="23">
        <f>IF(Intereses_Leasing_Mensual!S183&gt;0, ROUND(R183 - Intereses_Leasing_Mensual!S183, 2), "")</f>
        <v/>
      </c>
      <c r="T183" s="23">
        <f>IF(Intereses_Leasing_Mensual!T183&gt;0, ROUND(S183 - Intereses_Leasing_Mensual!T183, 2), "")</f>
        <v/>
      </c>
      <c r="U183" s="23">
        <f>MAX(I183:T183)</f>
        <v/>
      </c>
    </row>
    <row r="184">
      <c r="A184" s="26" t="inlineStr">
        <is>
          <t>0703-0002</t>
        </is>
      </c>
      <c r="B184" s="27" t="inlineStr">
        <is>
          <t>Jali Fresh International Sa de Cv</t>
        </is>
      </c>
      <c r="C184" s="27" t="inlineStr">
        <is>
          <t>1500 Tradesman CC</t>
        </is>
      </c>
      <c r="D184" s="26" t="inlineStr">
        <is>
          <t>ACTIVO</t>
        </is>
      </c>
      <c r="E184" s="26" t="inlineStr">
        <is>
          <t>2026-04-23</t>
        </is>
      </c>
      <c r="F184" s="26" t="inlineStr">
        <is>
          <t>2029-04-23</t>
        </is>
      </c>
      <c r="G184" s="28" t="n">
        <v>36</v>
      </c>
      <c r="H184" s="29" t="n">
        <v>513161.04</v>
      </c>
      <c r="I184" s="29" t="inlineStr"/>
      <c r="J184" s="29" t="inlineStr"/>
      <c r="K184" s="29" t="inlineStr"/>
      <c r="L184" s="29">
        <f>IF(Intereses_Leasing_Mensual!L184&gt;0, ROUND($H184 - Intereses_Leasing_Mensual!L184, 2), "")</f>
        <v/>
      </c>
      <c r="M184" s="29">
        <f>IF(Intereses_Leasing_Mensual!M184&gt;0, ROUND(L184 - Intereses_Leasing_Mensual!M184, 2), "")</f>
        <v/>
      </c>
      <c r="N184" s="29">
        <f>IF(Intereses_Leasing_Mensual!N184&gt;0, ROUND(M184 - Intereses_Leasing_Mensual!N184, 2), "")</f>
        <v/>
      </c>
      <c r="O184" s="29">
        <f>IF(Intereses_Leasing_Mensual!O184&gt;0, ROUND(N184 - Intereses_Leasing_Mensual!O184, 2), "")</f>
        <v/>
      </c>
      <c r="P184" s="29">
        <f>IF(Intereses_Leasing_Mensual!P184&gt;0, ROUND(O184 - Intereses_Leasing_Mensual!P184, 2), "")</f>
        <v/>
      </c>
      <c r="Q184" s="29">
        <f>IF(Intereses_Leasing_Mensual!Q184&gt;0, ROUND(P184 - Intereses_Leasing_Mensual!Q184, 2), "")</f>
        <v/>
      </c>
      <c r="R184" s="29">
        <f>IF(Intereses_Leasing_Mensual!R184&gt;0, ROUND(Q184 - Intereses_Leasing_Mensual!R184, 2), "")</f>
        <v/>
      </c>
      <c r="S184" s="29">
        <f>IF(Intereses_Leasing_Mensual!S184&gt;0, ROUND(R184 - Intereses_Leasing_Mensual!S184, 2), "")</f>
        <v/>
      </c>
      <c r="T184" s="29">
        <f>IF(Intereses_Leasing_Mensual!T184&gt;0, ROUND(S184 - Intereses_Leasing_Mensual!T184, 2), "")</f>
        <v/>
      </c>
      <c r="U184" s="29">
        <f>MAX(I184:T184)</f>
        <v/>
      </c>
    </row>
    <row r="185">
      <c r="A185" s="20" t="inlineStr">
        <is>
          <t>0704-0001</t>
        </is>
      </c>
      <c r="B185" s="21" t="inlineStr">
        <is>
          <t>Cristian Manuel Cruz Gutierrez</t>
        </is>
      </c>
      <c r="C185" s="21" t="inlineStr">
        <is>
          <t>Ram 1200</t>
        </is>
      </c>
      <c r="D185" s="20" t="inlineStr">
        <is>
          <t>ACTIVO</t>
        </is>
      </c>
      <c r="E185" s="20" t="inlineStr">
        <is>
          <t>2025-07-22</t>
        </is>
      </c>
      <c r="F185" s="20" t="inlineStr">
        <is>
          <t>2028-07-22</t>
        </is>
      </c>
      <c r="G185" s="22" t="n">
        <v>36</v>
      </c>
      <c r="H185" s="23" t="n">
        <v>284293.61</v>
      </c>
      <c r="I185" s="23">
        <f>IF(Intereses_Leasing_Mensual!I185&gt;0, ROUND(213375.09 - Intereses_Leasing_Mensual!I185, 2), "")</f>
        <v/>
      </c>
      <c r="J185" s="23">
        <f>IF(Intereses_Leasing_Mensual!J185&gt;0, ROUND(I185 - Intereses_Leasing_Mensual!J185, 2), "")</f>
        <v/>
      </c>
      <c r="K185" s="23">
        <f>IF(Intereses_Leasing_Mensual!K185&gt;0, ROUND(J185 - Intereses_Leasing_Mensual!K185, 2), "")</f>
        <v/>
      </c>
      <c r="L185" s="23">
        <f>IF(Intereses_Leasing_Mensual!L185&gt;0, ROUND(K185 - Intereses_Leasing_Mensual!L185, 2), "")</f>
        <v/>
      </c>
      <c r="M185" s="23">
        <f>IF(Intereses_Leasing_Mensual!M185&gt;0, ROUND(L185 - Intereses_Leasing_Mensual!M185, 2), "")</f>
        <v/>
      </c>
      <c r="N185" s="23">
        <f>IF(Intereses_Leasing_Mensual!N185&gt;0, ROUND(M185 - Intereses_Leasing_Mensual!N185, 2), "")</f>
        <v/>
      </c>
      <c r="O185" s="23">
        <f>IF(Intereses_Leasing_Mensual!O185&gt;0, ROUND(N185 - Intereses_Leasing_Mensual!O185, 2), "")</f>
        <v/>
      </c>
      <c r="P185" s="23">
        <f>IF(Intereses_Leasing_Mensual!P185&gt;0, ROUND(O185 - Intereses_Leasing_Mensual!P185, 2), "")</f>
        <v/>
      </c>
      <c r="Q185" s="23">
        <f>IF(Intereses_Leasing_Mensual!Q185&gt;0, ROUND(P185 - Intereses_Leasing_Mensual!Q185, 2), "")</f>
        <v/>
      </c>
      <c r="R185" s="23">
        <f>IF(Intereses_Leasing_Mensual!R185&gt;0, ROUND(Q185 - Intereses_Leasing_Mensual!R185, 2), "")</f>
        <v/>
      </c>
      <c r="S185" s="23">
        <f>IF(Intereses_Leasing_Mensual!S185&gt;0, ROUND(R185 - Intereses_Leasing_Mensual!S185, 2), "")</f>
        <v/>
      </c>
      <c r="T185" s="23">
        <f>IF(Intereses_Leasing_Mensual!T185&gt;0, ROUND(S185 - Intereses_Leasing_Mensual!T185, 2), "")</f>
        <v/>
      </c>
      <c r="U185" s="23">
        <f>MAX(I185:T185)</f>
        <v/>
      </c>
    </row>
    <row r="186">
      <c r="A186" s="26" t="inlineStr">
        <is>
          <t>0705-0001</t>
        </is>
      </c>
      <c r="B186" s="27" t="inlineStr">
        <is>
          <t>Oscar Alejandro Pedraza Gonzalez</t>
        </is>
      </c>
      <c r="C186" s="27" t="inlineStr">
        <is>
          <t>L200</t>
        </is>
      </c>
      <c r="D186" s="26" t="inlineStr">
        <is>
          <t>ACTIVO</t>
        </is>
      </c>
      <c r="E186" s="26" t="inlineStr">
        <is>
          <t>2025-08-14</t>
        </is>
      </c>
      <c r="F186" s="26" t="inlineStr">
        <is>
          <t>2027-08-14</t>
        </is>
      </c>
      <c r="G186" s="28" t="n">
        <v>24</v>
      </c>
      <c r="H186" s="29" t="n">
        <v>160439.82</v>
      </c>
      <c r="I186" s="29">
        <f>IF(Intereses_Leasing_Mensual!I186&gt;0, ROUND(114450.69 - Intereses_Leasing_Mensual!I186, 2), "")</f>
        <v/>
      </c>
      <c r="J186" s="29">
        <f>IF(Intereses_Leasing_Mensual!J186&gt;0, ROUND(I186 - Intereses_Leasing_Mensual!J186, 2), "")</f>
        <v/>
      </c>
      <c r="K186" s="29">
        <f>IF(Intereses_Leasing_Mensual!K186&gt;0, ROUND(J186 - Intereses_Leasing_Mensual!K186, 2), "")</f>
        <v/>
      </c>
      <c r="L186" s="29">
        <f>IF(Intereses_Leasing_Mensual!L186&gt;0, ROUND(K186 - Intereses_Leasing_Mensual!L186, 2), "")</f>
        <v/>
      </c>
      <c r="M186" s="29">
        <f>IF(Intereses_Leasing_Mensual!M186&gt;0, ROUND(L186 - Intereses_Leasing_Mensual!M186, 2), "")</f>
        <v/>
      </c>
      <c r="N186" s="29">
        <f>IF(Intereses_Leasing_Mensual!N186&gt;0, ROUND(M186 - Intereses_Leasing_Mensual!N186, 2), "")</f>
        <v/>
      </c>
      <c r="O186" s="29">
        <f>IF(Intereses_Leasing_Mensual!O186&gt;0, ROUND(N186 - Intereses_Leasing_Mensual!O186, 2), "")</f>
        <v/>
      </c>
      <c r="P186" s="29">
        <f>IF(Intereses_Leasing_Mensual!P186&gt;0, ROUND(O186 - Intereses_Leasing_Mensual!P186, 2), "")</f>
        <v/>
      </c>
      <c r="Q186" s="29">
        <f>IF(Intereses_Leasing_Mensual!Q186&gt;0, ROUND(P186 - Intereses_Leasing_Mensual!Q186, 2), "")</f>
        <v/>
      </c>
      <c r="R186" s="29">
        <f>IF(Intereses_Leasing_Mensual!R186&gt;0, ROUND(Q186 - Intereses_Leasing_Mensual!R186, 2), "")</f>
        <v/>
      </c>
      <c r="S186" s="29">
        <f>IF(Intereses_Leasing_Mensual!S186&gt;0, ROUND(R186 - Intereses_Leasing_Mensual!S186, 2), "")</f>
        <v/>
      </c>
      <c r="T186" s="29">
        <f>IF(Intereses_Leasing_Mensual!T186&gt;0, ROUND(S186 - Intereses_Leasing_Mensual!T186, 2), "")</f>
        <v/>
      </c>
      <c r="U186" s="29">
        <f>MAX(I186:T186)</f>
        <v/>
      </c>
    </row>
    <row r="187">
      <c r="A187" s="20" t="inlineStr">
        <is>
          <t>0706-0001</t>
        </is>
      </c>
      <c r="B187" s="21" t="inlineStr">
        <is>
          <t>Jose Luis Zepeda Gomez</t>
        </is>
      </c>
      <c r="C187" s="21" t="inlineStr">
        <is>
          <t>L200 Glx Diesel</t>
        </is>
      </c>
      <c r="D187" s="20" t="inlineStr">
        <is>
          <t>ACTIVO</t>
        </is>
      </c>
      <c r="E187" s="20" t="inlineStr">
        <is>
          <t>2025-07-29</t>
        </is>
      </c>
      <c r="F187" s="20" t="inlineStr">
        <is>
          <t>2029-07-29</t>
        </is>
      </c>
      <c r="G187" s="22" t="n">
        <v>48</v>
      </c>
      <c r="H187" s="23" t="n">
        <v>401649.51</v>
      </c>
      <c r="I187" s="23">
        <f>IF(Intereses_Leasing_Mensual!I187&gt;0, ROUND(327041.74 - Intereses_Leasing_Mensual!I187, 2), "")</f>
        <v/>
      </c>
      <c r="J187" s="23">
        <f>IF(Intereses_Leasing_Mensual!J187&gt;0, ROUND(I187 - Intereses_Leasing_Mensual!J187, 2), "")</f>
        <v/>
      </c>
      <c r="K187" s="23">
        <f>IF(Intereses_Leasing_Mensual!K187&gt;0, ROUND(J187 - Intereses_Leasing_Mensual!K187, 2), "")</f>
        <v/>
      </c>
      <c r="L187" s="23">
        <f>IF(Intereses_Leasing_Mensual!L187&gt;0, ROUND(K187 - Intereses_Leasing_Mensual!L187, 2), "")</f>
        <v/>
      </c>
      <c r="M187" s="23">
        <f>IF(Intereses_Leasing_Mensual!M187&gt;0, ROUND(L187 - Intereses_Leasing_Mensual!M187, 2), "")</f>
        <v/>
      </c>
      <c r="N187" s="23">
        <f>IF(Intereses_Leasing_Mensual!N187&gt;0, ROUND(M187 - Intereses_Leasing_Mensual!N187, 2), "")</f>
        <v/>
      </c>
      <c r="O187" s="23">
        <f>IF(Intereses_Leasing_Mensual!O187&gt;0, ROUND(N187 - Intereses_Leasing_Mensual!O187, 2), "")</f>
        <v/>
      </c>
      <c r="P187" s="23">
        <f>IF(Intereses_Leasing_Mensual!P187&gt;0, ROUND(O187 - Intereses_Leasing_Mensual!P187, 2), "")</f>
        <v/>
      </c>
      <c r="Q187" s="23">
        <f>IF(Intereses_Leasing_Mensual!Q187&gt;0, ROUND(P187 - Intereses_Leasing_Mensual!Q187, 2), "")</f>
        <v/>
      </c>
      <c r="R187" s="23">
        <f>IF(Intereses_Leasing_Mensual!R187&gt;0, ROUND(Q187 - Intereses_Leasing_Mensual!R187, 2), "")</f>
        <v/>
      </c>
      <c r="S187" s="23">
        <f>IF(Intereses_Leasing_Mensual!S187&gt;0, ROUND(R187 - Intereses_Leasing_Mensual!S187, 2), "")</f>
        <v/>
      </c>
      <c r="T187" s="23">
        <f>IF(Intereses_Leasing_Mensual!T187&gt;0, ROUND(S187 - Intereses_Leasing_Mensual!T187, 2), "")</f>
        <v/>
      </c>
      <c r="U187" s="23">
        <f>MAX(I187:T187)</f>
        <v/>
      </c>
    </row>
    <row r="188">
      <c r="A188" s="26" t="inlineStr">
        <is>
          <t>0707-0001</t>
        </is>
      </c>
      <c r="B188" s="27" t="inlineStr">
        <is>
          <t>Cabañas Lupita Sa de Cv</t>
        </is>
      </c>
      <c r="C188" s="27" t="inlineStr">
        <is>
          <t>Jt Rubicon</t>
        </is>
      </c>
      <c r="D188" s="26" t="inlineStr">
        <is>
          <t>ACTIVO</t>
        </is>
      </c>
      <c r="E188" s="26" t="inlineStr">
        <is>
          <t>2025-07-29</t>
        </is>
      </c>
      <c r="F188" s="26" t="inlineStr">
        <is>
          <t>2029-07-29</t>
        </is>
      </c>
      <c r="G188" s="28" t="n">
        <v>48</v>
      </c>
      <c r="H188" s="29" t="n">
        <v>857899.3199999999</v>
      </c>
      <c r="I188" s="29">
        <f>IF(Intereses_Leasing_Mensual!I188&gt;0, ROUND(699752.12 - Intereses_Leasing_Mensual!I188, 2), "")</f>
        <v/>
      </c>
      <c r="J188" s="29">
        <f>IF(Intereses_Leasing_Mensual!J188&gt;0, ROUND(I188 - Intereses_Leasing_Mensual!J188, 2), "")</f>
        <v/>
      </c>
      <c r="K188" s="29">
        <f>IF(Intereses_Leasing_Mensual!K188&gt;0, ROUND(J188 - Intereses_Leasing_Mensual!K188, 2), "")</f>
        <v/>
      </c>
      <c r="L188" s="29">
        <f>IF(Intereses_Leasing_Mensual!L188&gt;0, ROUND(K188 - Intereses_Leasing_Mensual!L188, 2), "")</f>
        <v/>
      </c>
      <c r="M188" s="29">
        <f>IF(Intereses_Leasing_Mensual!M188&gt;0, ROUND(L188 - Intereses_Leasing_Mensual!M188, 2), "")</f>
        <v/>
      </c>
      <c r="N188" s="29">
        <f>IF(Intereses_Leasing_Mensual!N188&gt;0, ROUND(M188 - Intereses_Leasing_Mensual!N188, 2), "")</f>
        <v/>
      </c>
      <c r="O188" s="29">
        <f>IF(Intereses_Leasing_Mensual!O188&gt;0, ROUND(N188 - Intereses_Leasing_Mensual!O188, 2), "")</f>
        <v/>
      </c>
      <c r="P188" s="29">
        <f>IF(Intereses_Leasing_Mensual!P188&gt;0, ROUND(O188 - Intereses_Leasing_Mensual!P188, 2), "")</f>
        <v/>
      </c>
      <c r="Q188" s="29">
        <f>IF(Intereses_Leasing_Mensual!Q188&gt;0, ROUND(P188 - Intereses_Leasing_Mensual!Q188, 2), "")</f>
        <v/>
      </c>
      <c r="R188" s="29">
        <f>IF(Intereses_Leasing_Mensual!R188&gt;0, ROUND(Q188 - Intereses_Leasing_Mensual!R188, 2), "")</f>
        <v/>
      </c>
      <c r="S188" s="29">
        <f>IF(Intereses_Leasing_Mensual!S188&gt;0, ROUND(R188 - Intereses_Leasing_Mensual!S188, 2), "")</f>
        <v/>
      </c>
      <c r="T188" s="29">
        <f>IF(Intereses_Leasing_Mensual!T188&gt;0, ROUND(S188 - Intereses_Leasing_Mensual!T188, 2), "")</f>
        <v/>
      </c>
      <c r="U188" s="29">
        <f>MAX(I188:T188)</f>
        <v/>
      </c>
    </row>
    <row r="189">
      <c r="A189" s="20" t="inlineStr">
        <is>
          <t>0708-0001</t>
        </is>
      </c>
      <c r="B189" s="21" t="inlineStr">
        <is>
          <t>Pumps Company Sa de Cv</t>
        </is>
      </c>
      <c r="C189" s="21" t="inlineStr">
        <is>
          <t>L200 Glx Diesel</t>
        </is>
      </c>
      <c r="D189" s="20" t="inlineStr">
        <is>
          <t>ACTIVO</t>
        </is>
      </c>
      <c r="E189" s="20" t="inlineStr">
        <is>
          <t>2025-07-29</t>
        </is>
      </c>
      <c r="F189" s="20" t="inlineStr">
        <is>
          <t>2028-07-29</t>
        </is>
      </c>
      <c r="G189" s="22" t="n">
        <v>36</v>
      </c>
      <c r="H189" s="23" t="n">
        <v>211444.84</v>
      </c>
      <c r="I189" s="23">
        <f>IF(Intereses_Leasing_Mensual!I189&gt;0, ROUND(159967.55 - Intereses_Leasing_Mensual!I189, 2), "")</f>
        <v/>
      </c>
      <c r="J189" s="23">
        <f>IF(Intereses_Leasing_Mensual!J189&gt;0, ROUND(I189 - Intereses_Leasing_Mensual!J189, 2), "")</f>
        <v/>
      </c>
      <c r="K189" s="23">
        <f>IF(Intereses_Leasing_Mensual!K189&gt;0, ROUND(J189 - Intereses_Leasing_Mensual!K189, 2), "")</f>
        <v/>
      </c>
      <c r="L189" s="23">
        <f>IF(Intereses_Leasing_Mensual!L189&gt;0, ROUND(K189 - Intereses_Leasing_Mensual!L189, 2), "")</f>
        <v/>
      </c>
      <c r="M189" s="23">
        <f>IF(Intereses_Leasing_Mensual!M189&gt;0, ROUND(L189 - Intereses_Leasing_Mensual!M189, 2), "")</f>
        <v/>
      </c>
      <c r="N189" s="23">
        <f>IF(Intereses_Leasing_Mensual!N189&gt;0, ROUND(M189 - Intereses_Leasing_Mensual!N189, 2), "")</f>
        <v/>
      </c>
      <c r="O189" s="23">
        <f>IF(Intereses_Leasing_Mensual!O189&gt;0, ROUND(N189 - Intereses_Leasing_Mensual!O189, 2), "")</f>
        <v/>
      </c>
      <c r="P189" s="23">
        <f>IF(Intereses_Leasing_Mensual!P189&gt;0, ROUND(O189 - Intereses_Leasing_Mensual!P189, 2), "")</f>
        <v/>
      </c>
      <c r="Q189" s="23">
        <f>IF(Intereses_Leasing_Mensual!Q189&gt;0, ROUND(P189 - Intereses_Leasing_Mensual!Q189, 2), "")</f>
        <v/>
      </c>
      <c r="R189" s="23">
        <f>IF(Intereses_Leasing_Mensual!R189&gt;0, ROUND(Q189 - Intereses_Leasing_Mensual!R189, 2), "")</f>
        <v/>
      </c>
      <c r="S189" s="23">
        <f>IF(Intereses_Leasing_Mensual!S189&gt;0, ROUND(R189 - Intereses_Leasing_Mensual!S189, 2), "")</f>
        <v/>
      </c>
      <c r="T189" s="23">
        <f>IF(Intereses_Leasing_Mensual!T189&gt;0, ROUND(S189 - Intereses_Leasing_Mensual!T189, 2), "")</f>
        <v/>
      </c>
      <c r="U189" s="23">
        <f>MAX(I189:T189)</f>
        <v/>
      </c>
    </row>
    <row r="190">
      <c r="A190" s="26" t="inlineStr">
        <is>
          <t>0708-0002</t>
        </is>
      </c>
      <c r="B190" s="27" t="inlineStr">
        <is>
          <t>Pumps Company Sa de Cv</t>
        </is>
      </c>
      <c r="C190" s="27" t="inlineStr">
        <is>
          <t>L200 Glx Diesel</t>
        </is>
      </c>
      <c r="D190" s="26" t="inlineStr">
        <is>
          <t>ACTIVO</t>
        </is>
      </c>
      <c r="E190" s="26" t="inlineStr">
        <is>
          <t>2025-07-29</t>
        </is>
      </c>
      <c r="F190" s="26" t="inlineStr">
        <is>
          <t>2028-07-29</t>
        </is>
      </c>
      <c r="G190" s="28" t="n">
        <v>36</v>
      </c>
      <c r="H190" s="29" t="n">
        <v>211444.84</v>
      </c>
      <c r="I190" s="29">
        <f>IF(Intereses_Leasing_Mensual!I190&gt;0, ROUND(159967.55 - Intereses_Leasing_Mensual!I190, 2), "")</f>
        <v/>
      </c>
      <c r="J190" s="29">
        <f>IF(Intereses_Leasing_Mensual!J190&gt;0, ROUND(I190 - Intereses_Leasing_Mensual!J190, 2), "")</f>
        <v/>
      </c>
      <c r="K190" s="29">
        <f>IF(Intereses_Leasing_Mensual!K190&gt;0, ROUND(J190 - Intereses_Leasing_Mensual!K190, 2), "")</f>
        <v/>
      </c>
      <c r="L190" s="29">
        <f>IF(Intereses_Leasing_Mensual!L190&gt;0, ROUND(K190 - Intereses_Leasing_Mensual!L190, 2), "")</f>
        <v/>
      </c>
      <c r="M190" s="29">
        <f>IF(Intereses_Leasing_Mensual!M190&gt;0, ROUND(L190 - Intereses_Leasing_Mensual!M190, 2), "")</f>
        <v/>
      </c>
      <c r="N190" s="29">
        <f>IF(Intereses_Leasing_Mensual!N190&gt;0, ROUND(M190 - Intereses_Leasing_Mensual!N190, 2), "")</f>
        <v/>
      </c>
      <c r="O190" s="29">
        <f>IF(Intereses_Leasing_Mensual!O190&gt;0, ROUND(N190 - Intereses_Leasing_Mensual!O190, 2), "")</f>
        <v/>
      </c>
      <c r="P190" s="29">
        <f>IF(Intereses_Leasing_Mensual!P190&gt;0, ROUND(O190 - Intereses_Leasing_Mensual!P190, 2), "")</f>
        <v/>
      </c>
      <c r="Q190" s="29">
        <f>IF(Intereses_Leasing_Mensual!Q190&gt;0, ROUND(P190 - Intereses_Leasing_Mensual!Q190, 2), "")</f>
        <v/>
      </c>
      <c r="R190" s="29">
        <f>IF(Intereses_Leasing_Mensual!R190&gt;0, ROUND(Q190 - Intereses_Leasing_Mensual!R190, 2), "")</f>
        <v/>
      </c>
      <c r="S190" s="29">
        <f>IF(Intereses_Leasing_Mensual!S190&gt;0, ROUND(R190 - Intereses_Leasing_Mensual!S190, 2), "")</f>
        <v/>
      </c>
      <c r="T190" s="29">
        <f>IF(Intereses_Leasing_Mensual!T190&gt;0, ROUND(S190 - Intereses_Leasing_Mensual!T190, 2), "")</f>
        <v/>
      </c>
      <c r="U190" s="29">
        <f>MAX(I190:T190)</f>
        <v/>
      </c>
    </row>
    <row r="191">
      <c r="A191" s="20" t="inlineStr">
        <is>
          <t>0712-0001</t>
        </is>
      </c>
      <c r="B191" s="21" t="inlineStr">
        <is>
          <t>Containers del Pacifico sa de cv</t>
        </is>
      </c>
      <c r="C191" s="21" t="inlineStr">
        <is>
          <t>Outlander Sport</t>
        </is>
      </c>
      <c r="D191" s="20" t="inlineStr">
        <is>
          <t>ACTIVO</t>
        </is>
      </c>
      <c r="E191" s="20" t="inlineStr">
        <is>
          <t>2025-08-06</t>
        </is>
      </c>
      <c r="F191" s="20" t="inlineStr">
        <is>
          <t>2028-08-06</t>
        </is>
      </c>
      <c r="G191" s="22" t="n">
        <v>36</v>
      </c>
      <c r="H191" s="23" t="n">
        <v>242382.63</v>
      </c>
      <c r="I191" s="23">
        <f>IF(Intereses_Leasing_Mensual!I191&gt;0, ROUND(194381.12 - Intereses_Leasing_Mensual!I191, 2), "")</f>
        <v/>
      </c>
      <c r="J191" s="23">
        <f>IF(Intereses_Leasing_Mensual!J191&gt;0, ROUND(I191 - Intereses_Leasing_Mensual!J191, 2), "")</f>
        <v/>
      </c>
      <c r="K191" s="23">
        <f>IF(Intereses_Leasing_Mensual!K191&gt;0, ROUND(J191 - Intereses_Leasing_Mensual!K191, 2), "")</f>
        <v/>
      </c>
      <c r="L191" s="23">
        <f>IF(Intereses_Leasing_Mensual!L191&gt;0, ROUND(K191 - Intereses_Leasing_Mensual!L191, 2), "")</f>
        <v/>
      </c>
      <c r="M191" s="23">
        <f>IF(Intereses_Leasing_Mensual!M191&gt;0, ROUND(L191 - Intereses_Leasing_Mensual!M191, 2), "")</f>
        <v/>
      </c>
      <c r="N191" s="23">
        <f>IF(Intereses_Leasing_Mensual!N191&gt;0, ROUND(M191 - Intereses_Leasing_Mensual!N191, 2), "")</f>
        <v/>
      </c>
      <c r="O191" s="23">
        <f>IF(Intereses_Leasing_Mensual!O191&gt;0, ROUND(N191 - Intereses_Leasing_Mensual!O191, 2), "")</f>
        <v/>
      </c>
      <c r="P191" s="23">
        <f>IF(Intereses_Leasing_Mensual!P191&gt;0, ROUND(O191 - Intereses_Leasing_Mensual!P191, 2), "")</f>
        <v/>
      </c>
      <c r="Q191" s="23">
        <f>IF(Intereses_Leasing_Mensual!Q191&gt;0, ROUND(P191 - Intereses_Leasing_Mensual!Q191, 2), "")</f>
        <v/>
      </c>
      <c r="R191" s="23">
        <f>IF(Intereses_Leasing_Mensual!R191&gt;0, ROUND(Q191 - Intereses_Leasing_Mensual!R191, 2), "")</f>
        <v/>
      </c>
      <c r="S191" s="23">
        <f>IF(Intereses_Leasing_Mensual!S191&gt;0, ROUND(R191 - Intereses_Leasing_Mensual!S191, 2), "")</f>
        <v/>
      </c>
      <c r="T191" s="23">
        <f>IF(Intereses_Leasing_Mensual!T191&gt;0, ROUND(S191 - Intereses_Leasing_Mensual!T191, 2), "")</f>
        <v/>
      </c>
      <c r="U191" s="23">
        <f>MAX(I191:T191)</f>
        <v/>
      </c>
    </row>
    <row r="192">
      <c r="A192" s="26" t="inlineStr">
        <is>
          <t>0712-0002</t>
        </is>
      </c>
      <c r="B192" s="27" t="inlineStr">
        <is>
          <t>Containers del Pacifico sa de cv</t>
        </is>
      </c>
      <c r="C192" s="27" t="inlineStr">
        <is>
          <t>Np300</t>
        </is>
      </c>
      <c r="D192" s="26" t="inlineStr">
        <is>
          <t>ACTIVO</t>
        </is>
      </c>
      <c r="E192" s="26" t="inlineStr">
        <is>
          <t>2025-08-22</t>
        </is>
      </c>
      <c r="F192" s="26" t="inlineStr">
        <is>
          <t>2028-08-22</t>
        </is>
      </c>
      <c r="G192" s="28" t="n">
        <v>36</v>
      </c>
      <c r="H192" s="29" t="n">
        <v>239653.14</v>
      </c>
      <c r="I192" s="29">
        <f>IF(Intereses_Leasing_Mensual!I192&gt;0, ROUND(192192.19 - Intereses_Leasing_Mensual!I192, 2), "")</f>
        <v/>
      </c>
      <c r="J192" s="29">
        <f>IF(Intereses_Leasing_Mensual!J192&gt;0, ROUND(I192 - Intereses_Leasing_Mensual!J192, 2), "")</f>
        <v/>
      </c>
      <c r="K192" s="29">
        <f>IF(Intereses_Leasing_Mensual!K192&gt;0, ROUND(J192 - Intereses_Leasing_Mensual!K192, 2), "")</f>
        <v/>
      </c>
      <c r="L192" s="29">
        <f>IF(Intereses_Leasing_Mensual!L192&gt;0, ROUND(K192 - Intereses_Leasing_Mensual!L192, 2), "")</f>
        <v/>
      </c>
      <c r="M192" s="29">
        <f>IF(Intereses_Leasing_Mensual!M192&gt;0, ROUND(L192 - Intereses_Leasing_Mensual!M192, 2), "")</f>
        <v/>
      </c>
      <c r="N192" s="29">
        <f>IF(Intereses_Leasing_Mensual!N192&gt;0, ROUND(M192 - Intereses_Leasing_Mensual!N192, 2), "")</f>
        <v/>
      </c>
      <c r="O192" s="29">
        <f>IF(Intereses_Leasing_Mensual!O192&gt;0, ROUND(N192 - Intereses_Leasing_Mensual!O192, 2), "")</f>
        <v/>
      </c>
      <c r="P192" s="29">
        <f>IF(Intereses_Leasing_Mensual!P192&gt;0, ROUND(O192 - Intereses_Leasing_Mensual!P192, 2), "")</f>
        <v/>
      </c>
      <c r="Q192" s="29">
        <f>IF(Intereses_Leasing_Mensual!Q192&gt;0, ROUND(P192 - Intereses_Leasing_Mensual!Q192, 2), "")</f>
        <v/>
      </c>
      <c r="R192" s="29">
        <f>IF(Intereses_Leasing_Mensual!R192&gt;0, ROUND(Q192 - Intereses_Leasing_Mensual!R192, 2), "")</f>
        <v/>
      </c>
      <c r="S192" s="29">
        <f>IF(Intereses_Leasing_Mensual!S192&gt;0, ROUND(R192 - Intereses_Leasing_Mensual!S192, 2), "")</f>
        <v/>
      </c>
      <c r="T192" s="29">
        <f>IF(Intereses_Leasing_Mensual!T192&gt;0, ROUND(S192 - Intereses_Leasing_Mensual!T192, 2), "")</f>
        <v/>
      </c>
      <c r="U192" s="29">
        <f>MAX(I192:T192)</f>
        <v/>
      </c>
    </row>
    <row r="193">
      <c r="A193" s="20" t="inlineStr">
        <is>
          <t>0712-0003</t>
        </is>
      </c>
      <c r="B193" s="21" t="inlineStr">
        <is>
          <t>Containers del Pacifico sa de cv</t>
        </is>
      </c>
      <c r="C193" s="21" t="inlineStr">
        <is>
          <t>Np300</t>
        </is>
      </c>
      <c r="D193" s="20" t="inlineStr">
        <is>
          <t>ACTIVO</t>
        </is>
      </c>
      <c r="E193" s="20" t="inlineStr">
        <is>
          <t>2025-08-22</t>
        </is>
      </c>
      <c r="F193" s="20" t="inlineStr">
        <is>
          <t>2028-08-22</t>
        </is>
      </c>
      <c r="G193" s="22" t="n">
        <v>36</v>
      </c>
      <c r="H193" s="23" t="n">
        <v>239653.14</v>
      </c>
      <c r="I193" s="23">
        <f>IF(Intereses_Leasing_Mensual!I193&gt;0, ROUND(192192.19 - Intereses_Leasing_Mensual!I193, 2), "")</f>
        <v/>
      </c>
      <c r="J193" s="23">
        <f>IF(Intereses_Leasing_Mensual!J193&gt;0, ROUND(I193 - Intereses_Leasing_Mensual!J193, 2), "")</f>
        <v/>
      </c>
      <c r="K193" s="23">
        <f>IF(Intereses_Leasing_Mensual!K193&gt;0, ROUND(J193 - Intereses_Leasing_Mensual!K193, 2), "")</f>
        <v/>
      </c>
      <c r="L193" s="23">
        <f>IF(Intereses_Leasing_Mensual!L193&gt;0, ROUND(K193 - Intereses_Leasing_Mensual!L193, 2), "")</f>
        <v/>
      </c>
      <c r="M193" s="23">
        <f>IF(Intereses_Leasing_Mensual!M193&gt;0, ROUND(L193 - Intereses_Leasing_Mensual!M193, 2), "")</f>
        <v/>
      </c>
      <c r="N193" s="23">
        <f>IF(Intereses_Leasing_Mensual!N193&gt;0, ROUND(M193 - Intereses_Leasing_Mensual!N193, 2), "")</f>
        <v/>
      </c>
      <c r="O193" s="23">
        <f>IF(Intereses_Leasing_Mensual!O193&gt;0, ROUND(N193 - Intereses_Leasing_Mensual!O193, 2), "")</f>
        <v/>
      </c>
      <c r="P193" s="23">
        <f>IF(Intereses_Leasing_Mensual!P193&gt;0, ROUND(O193 - Intereses_Leasing_Mensual!P193, 2), "")</f>
        <v/>
      </c>
      <c r="Q193" s="23">
        <f>IF(Intereses_Leasing_Mensual!Q193&gt;0, ROUND(P193 - Intereses_Leasing_Mensual!Q193, 2), "")</f>
        <v/>
      </c>
      <c r="R193" s="23">
        <f>IF(Intereses_Leasing_Mensual!R193&gt;0, ROUND(Q193 - Intereses_Leasing_Mensual!R193, 2), "")</f>
        <v/>
      </c>
      <c r="S193" s="23">
        <f>IF(Intereses_Leasing_Mensual!S193&gt;0, ROUND(R193 - Intereses_Leasing_Mensual!S193, 2), "")</f>
        <v/>
      </c>
      <c r="T193" s="23">
        <f>IF(Intereses_Leasing_Mensual!T193&gt;0, ROUND(S193 - Intereses_Leasing_Mensual!T193, 2), "")</f>
        <v/>
      </c>
      <c r="U193" s="23">
        <f>MAX(I193:T193)</f>
        <v/>
      </c>
    </row>
    <row r="194">
      <c r="A194" s="26" t="inlineStr">
        <is>
          <t>0713-0001</t>
        </is>
      </c>
      <c r="B194" s="27" t="inlineStr">
        <is>
          <t>Ana Carolina Urzua Lopez</t>
        </is>
      </c>
      <c r="C194" s="27" t="inlineStr">
        <is>
          <t>Ram 1200</t>
        </is>
      </c>
      <c r="D194" s="26" t="inlineStr">
        <is>
          <t>ACTIVO</t>
        </is>
      </c>
      <c r="E194" s="26" t="inlineStr">
        <is>
          <t>2025-08-18</t>
        </is>
      </c>
      <c r="F194" s="26" t="inlineStr">
        <is>
          <t>2027-08-18</t>
        </is>
      </c>
      <c r="G194" s="28" t="n">
        <v>24</v>
      </c>
      <c r="H194" s="29" t="n">
        <v>233248.5</v>
      </c>
      <c r="I194" s="29">
        <f>IF(Intereses_Leasing_Mensual!I194&gt;0, ROUND(168093.8 - Intereses_Leasing_Mensual!I194, 2), "")</f>
        <v/>
      </c>
      <c r="J194" s="29">
        <f>IF(Intereses_Leasing_Mensual!J194&gt;0, ROUND(I194 - Intereses_Leasing_Mensual!J194, 2), "")</f>
        <v/>
      </c>
      <c r="K194" s="29">
        <f>IF(Intereses_Leasing_Mensual!K194&gt;0, ROUND(J194 - Intereses_Leasing_Mensual!K194, 2), "")</f>
        <v/>
      </c>
      <c r="L194" s="29">
        <f>IF(Intereses_Leasing_Mensual!L194&gt;0, ROUND(K194 - Intereses_Leasing_Mensual!L194, 2), "")</f>
        <v/>
      </c>
      <c r="M194" s="29">
        <f>IF(Intereses_Leasing_Mensual!M194&gt;0, ROUND(L194 - Intereses_Leasing_Mensual!M194, 2), "")</f>
        <v/>
      </c>
      <c r="N194" s="29">
        <f>IF(Intereses_Leasing_Mensual!N194&gt;0, ROUND(M194 - Intereses_Leasing_Mensual!N194, 2), "")</f>
        <v/>
      </c>
      <c r="O194" s="29">
        <f>IF(Intereses_Leasing_Mensual!O194&gt;0, ROUND(N194 - Intereses_Leasing_Mensual!O194, 2), "")</f>
        <v/>
      </c>
      <c r="P194" s="29">
        <f>IF(Intereses_Leasing_Mensual!P194&gt;0, ROUND(O194 - Intereses_Leasing_Mensual!P194, 2), "")</f>
        <v/>
      </c>
      <c r="Q194" s="29">
        <f>IF(Intereses_Leasing_Mensual!Q194&gt;0, ROUND(P194 - Intereses_Leasing_Mensual!Q194, 2), "")</f>
        <v/>
      </c>
      <c r="R194" s="29">
        <f>IF(Intereses_Leasing_Mensual!R194&gt;0, ROUND(Q194 - Intereses_Leasing_Mensual!R194, 2), "")</f>
        <v/>
      </c>
      <c r="S194" s="29">
        <f>IF(Intereses_Leasing_Mensual!S194&gt;0, ROUND(R194 - Intereses_Leasing_Mensual!S194, 2), "")</f>
        <v/>
      </c>
      <c r="T194" s="29">
        <f>IF(Intereses_Leasing_Mensual!T194&gt;0, ROUND(S194 - Intereses_Leasing_Mensual!T194, 2), "")</f>
        <v/>
      </c>
      <c r="U194" s="29">
        <f>MAX(I194:T194)</f>
        <v/>
      </c>
    </row>
    <row r="195">
      <c r="A195" s="20" t="inlineStr">
        <is>
          <t>0714-0001</t>
        </is>
      </c>
      <c r="B195" s="21" t="inlineStr">
        <is>
          <t>Celeste Capital Aj</t>
        </is>
      </c>
      <c r="C195" s="21" t="inlineStr">
        <is>
          <t>Wrangler 4Xe</t>
        </is>
      </c>
      <c r="D195" s="20" t="inlineStr">
        <is>
          <t>ACTIVO</t>
        </is>
      </c>
      <c r="E195" s="20" t="inlineStr">
        <is>
          <t>2025-08-26</t>
        </is>
      </c>
      <c r="F195" s="20" t="inlineStr">
        <is>
          <t>2029-08-26</t>
        </is>
      </c>
      <c r="G195" s="22" t="n">
        <v>48</v>
      </c>
      <c r="H195" s="23" t="n">
        <v>759969.2</v>
      </c>
      <c r="I195" s="23">
        <f>IF(Intereses_Leasing_Mensual!I195&gt;0, ROUND(643823.62 - Intereses_Leasing_Mensual!I195, 2), "")</f>
        <v/>
      </c>
      <c r="J195" s="23">
        <f>IF(Intereses_Leasing_Mensual!J195&gt;0, ROUND(I195 - Intereses_Leasing_Mensual!J195, 2), "")</f>
        <v/>
      </c>
      <c r="K195" s="23">
        <f>IF(Intereses_Leasing_Mensual!K195&gt;0, ROUND(J195 - Intereses_Leasing_Mensual!K195, 2), "")</f>
        <v/>
      </c>
      <c r="L195" s="23">
        <f>IF(Intereses_Leasing_Mensual!L195&gt;0, ROUND(K195 - Intereses_Leasing_Mensual!L195, 2), "")</f>
        <v/>
      </c>
      <c r="M195" s="23">
        <f>IF(Intereses_Leasing_Mensual!M195&gt;0, ROUND(L195 - Intereses_Leasing_Mensual!M195, 2), "")</f>
        <v/>
      </c>
      <c r="N195" s="23">
        <f>IF(Intereses_Leasing_Mensual!N195&gt;0, ROUND(M195 - Intereses_Leasing_Mensual!N195, 2), "")</f>
        <v/>
      </c>
      <c r="O195" s="23">
        <f>IF(Intereses_Leasing_Mensual!O195&gt;0, ROUND(N195 - Intereses_Leasing_Mensual!O195, 2), "")</f>
        <v/>
      </c>
      <c r="P195" s="23">
        <f>IF(Intereses_Leasing_Mensual!P195&gt;0, ROUND(O195 - Intereses_Leasing_Mensual!P195, 2), "")</f>
        <v/>
      </c>
      <c r="Q195" s="23">
        <f>IF(Intereses_Leasing_Mensual!Q195&gt;0, ROUND(P195 - Intereses_Leasing_Mensual!Q195, 2), "")</f>
        <v/>
      </c>
      <c r="R195" s="23">
        <f>IF(Intereses_Leasing_Mensual!R195&gt;0, ROUND(Q195 - Intereses_Leasing_Mensual!R195, 2), "")</f>
        <v/>
      </c>
      <c r="S195" s="23">
        <f>IF(Intereses_Leasing_Mensual!S195&gt;0, ROUND(R195 - Intereses_Leasing_Mensual!S195, 2), "")</f>
        <v/>
      </c>
      <c r="T195" s="23">
        <f>IF(Intereses_Leasing_Mensual!T195&gt;0, ROUND(S195 - Intereses_Leasing_Mensual!T195, 2), "")</f>
        <v/>
      </c>
      <c r="U195" s="23">
        <f>MAX(I195:T195)</f>
        <v/>
      </c>
    </row>
    <row r="196">
      <c r="A196" s="26" t="inlineStr">
        <is>
          <t>0715-0001</t>
        </is>
      </c>
      <c r="B196" s="27" t="inlineStr">
        <is>
          <t>Jose de Jesus Serrano Sanchez</t>
        </is>
      </c>
      <c r="C196" s="27" t="inlineStr">
        <is>
          <t>Ram 1200</t>
        </is>
      </c>
      <c r="D196" s="26" t="inlineStr">
        <is>
          <t>ACTIVO</t>
        </is>
      </c>
      <c r="E196" s="26" t="inlineStr">
        <is>
          <t>2025-08-29</t>
        </is>
      </c>
      <c r="F196" s="26" t="inlineStr">
        <is>
          <t>2029-08-29</t>
        </is>
      </c>
      <c r="G196" s="28" t="n">
        <v>48</v>
      </c>
      <c r="H196" s="29" t="n">
        <v>415835.45</v>
      </c>
      <c r="I196" s="29">
        <f>IF(Intereses_Leasing_Mensual!I196&gt;0, ROUND(351634.12 - Intereses_Leasing_Mensual!I196, 2), "")</f>
        <v/>
      </c>
      <c r="J196" s="29">
        <f>IF(Intereses_Leasing_Mensual!J196&gt;0, ROUND(I196 - Intereses_Leasing_Mensual!J196, 2), "")</f>
        <v/>
      </c>
      <c r="K196" s="29">
        <f>IF(Intereses_Leasing_Mensual!K196&gt;0, ROUND(J196 - Intereses_Leasing_Mensual!K196, 2), "")</f>
        <v/>
      </c>
      <c r="L196" s="29">
        <f>IF(Intereses_Leasing_Mensual!L196&gt;0, ROUND(K196 - Intereses_Leasing_Mensual!L196, 2), "")</f>
        <v/>
      </c>
      <c r="M196" s="29">
        <f>IF(Intereses_Leasing_Mensual!M196&gt;0, ROUND(L196 - Intereses_Leasing_Mensual!M196, 2), "")</f>
        <v/>
      </c>
      <c r="N196" s="29">
        <f>IF(Intereses_Leasing_Mensual!N196&gt;0, ROUND(M196 - Intereses_Leasing_Mensual!N196, 2), "")</f>
        <v/>
      </c>
      <c r="O196" s="29">
        <f>IF(Intereses_Leasing_Mensual!O196&gt;0, ROUND(N196 - Intereses_Leasing_Mensual!O196, 2), "")</f>
        <v/>
      </c>
      <c r="P196" s="29">
        <f>IF(Intereses_Leasing_Mensual!P196&gt;0, ROUND(O196 - Intereses_Leasing_Mensual!P196, 2), "")</f>
        <v/>
      </c>
      <c r="Q196" s="29">
        <f>IF(Intereses_Leasing_Mensual!Q196&gt;0, ROUND(P196 - Intereses_Leasing_Mensual!Q196, 2), "")</f>
        <v/>
      </c>
      <c r="R196" s="29">
        <f>IF(Intereses_Leasing_Mensual!R196&gt;0, ROUND(Q196 - Intereses_Leasing_Mensual!R196, 2), "")</f>
        <v/>
      </c>
      <c r="S196" s="29">
        <f>IF(Intereses_Leasing_Mensual!S196&gt;0, ROUND(R196 - Intereses_Leasing_Mensual!S196, 2), "")</f>
        <v/>
      </c>
      <c r="T196" s="29">
        <f>IF(Intereses_Leasing_Mensual!T196&gt;0, ROUND(S196 - Intereses_Leasing_Mensual!T196, 2), "")</f>
        <v/>
      </c>
      <c r="U196" s="29">
        <f>MAX(I196:T196)</f>
        <v/>
      </c>
    </row>
    <row r="197">
      <c r="A197" s="20" t="inlineStr">
        <is>
          <t>0716-0001</t>
        </is>
      </c>
      <c r="B197" s="21" t="inlineStr">
        <is>
          <t>Mayoristas Asociados en Servicio Celular SA de CV</t>
        </is>
      </c>
      <c r="C197" s="21" t="inlineStr">
        <is>
          <t>Wrangler Unlimited Rubicon</t>
        </is>
      </c>
      <c r="D197" s="20" t="inlineStr">
        <is>
          <t>ACTIVO</t>
        </is>
      </c>
      <c r="E197" s="20" t="inlineStr">
        <is>
          <t>2025-09-15</t>
        </is>
      </c>
      <c r="F197" s="20" t="inlineStr">
        <is>
          <t>2027-09-15</t>
        </is>
      </c>
      <c r="G197" s="22" t="n">
        <v>24</v>
      </c>
      <c r="H197" s="23" t="n">
        <v>335409.25</v>
      </c>
      <c r="I197" s="23">
        <f>IF(Intereses_Leasing_Mensual!I197&gt;0, ROUND(257567.05 - Intereses_Leasing_Mensual!I197, 2), "")</f>
        <v/>
      </c>
      <c r="J197" s="23">
        <f>IF(Intereses_Leasing_Mensual!J197&gt;0, ROUND(I197 - Intereses_Leasing_Mensual!J197, 2), "")</f>
        <v/>
      </c>
      <c r="K197" s="23">
        <f>IF(Intereses_Leasing_Mensual!K197&gt;0, ROUND(J197 - Intereses_Leasing_Mensual!K197, 2), "")</f>
        <v/>
      </c>
      <c r="L197" s="23">
        <f>IF(Intereses_Leasing_Mensual!L197&gt;0, ROUND(K197 - Intereses_Leasing_Mensual!L197, 2), "")</f>
        <v/>
      </c>
      <c r="M197" s="23">
        <f>IF(Intereses_Leasing_Mensual!M197&gt;0, ROUND(L197 - Intereses_Leasing_Mensual!M197, 2), "")</f>
        <v/>
      </c>
      <c r="N197" s="23">
        <f>IF(Intereses_Leasing_Mensual!N197&gt;0, ROUND(M197 - Intereses_Leasing_Mensual!N197, 2), "")</f>
        <v/>
      </c>
      <c r="O197" s="23">
        <f>IF(Intereses_Leasing_Mensual!O197&gt;0, ROUND(N197 - Intereses_Leasing_Mensual!O197, 2), "")</f>
        <v/>
      </c>
      <c r="P197" s="23">
        <f>IF(Intereses_Leasing_Mensual!P197&gt;0, ROUND(O197 - Intereses_Leasing_Mensual!P197, 2), "")</f>
        <v/>
      </c>
      <c r="Q197" s="23">
        <f>IF(Intereses_Leasing_Mensual!Q197&gt;0, ROUND(P197 - Intereses_Leasing_Mensual!Q197, 2), "")</f>
        <v/>
      </c>
      <c r="R197" s="23">
        <f>IF(Intereses_Leasing_Mensual!R197&gt;0, ROUND(Q197 - Intereses_Leasing_Mensual!R197, 2), "")</f>
        <v/>
      </c>
      <c r="S197" s="23">
        <f>IF(Intereses_Leasing_Mensual!S197&gt;0, ROUND(R197 - Intereses_Leasing_Mensual!S197, 2), "")</f>
        <v/>
      </c>
      <c r="T197" s="23">
        <f>IF(Intereses_Leasing_Mensual!T197&gt;0, ROUND(S197 - Intereses_Leasing_Mensual!T197, 2), "")</f>
        <v/>
      </c>
      <c r="U197" s="23">
        <f>MAX(I197:T197)</f>
        <v/>
      </c>
    </row>
    <row r="198">
      <c r="A198" s="26" t="inlineStr">
        <is>
          <t>0716-0002</t>
        </is>
      </c>
      <c r="B198" s="27" t="inlineStr">
        <is>
          <t>Mayoristas Asociados en Servicio Celular SA de CV</t>
        </is>
      </c>
      <c r="C198" s="27" t="inlineStr">
        <is>
          <t>EX30</t>
        </is>
      </c>
      <c r="D198" s="26" t="inlineStr">
        <is>
          <t>ACTIVO</t>
        </is>
      </c>
      <c r="E198" s="26" t="inlineStr">
        <is>
          <t>2025-10-08</t>
        </is>
      </c>
      <c r="F198" s="26" t="inlineStr">
        <is>
          <t>2027-10-08</t>
        </is>
      </c>
      <c r="G198" s="28" t="n">
        <v>24</v>
      </c>
      <c r="H198" s="29" t="n">
        <v>207470.72</v>
      </c>
      <c r="I198" s="29">
        <f>IF(Intereses_Leasing_Mensual!I198&gt;0, ROUND(170939.51 - Intereses_Leasing_Mensual!I198, 2), "")</f>
        <v/>
      </c>
      <c r="J198" s="29">
        <f>IF(Intereses_Leasing_Mensual!J198&gt;0, ROUND(I198 - Intereses_Leasing_Mensual!J198, 2), "")</f>
        <v/>
      </c>
      <c r="K198" s="29">
        <f>IF(Intereses_Leasing_Mensual!K198&gt;0, ROUND(J198 - Intereses_Leasing_Mensual!K198, 2), "")</f>
        <v/>
      </c>
      <c r="L198" s="29">
        <f>IF(Intereses_Leasing_Mensual!L198&gt;0, ROUND(K198 - Intereses_Leasing_Mensual!L198, 2), "")</f>
        <v/>
      </c>
      <c r="M198" s="29">
        <f>IF(Intereses_Leasing_Mensual!M198&gt;0, ROUND(L198 - Intereses_Leasing_Mensual!M198, 2), "")</f>
        <v/>
      </c>
      <c r="N198" s="29">
        <f>IF(Intereses_Leasing_Mensual!N198&gt;0, ROUND(M198 - Intereses_Leasing_Mensual!N198, 2), "")</f>
        <v/>
      </c>
      <c r="O198" s="29">
        <f>IF(Intereses_Leasing_Mensual!O198&gt;0, ROUND(N198 - Intereses_Leasing_Mensual!O198, 2), "")</f>
        <v/>
      </c>
      <c r="P198" s="29">
        <f>IF(Intereses_Leasing_Mensual!P198&gt;0, ROUND(O198 - Intereses_Leasing_Mensual!P198, 2), "")</f>
        <v/>
      </c>
      <c r="Q198" s="29">
        <f>IF(Intereses_Leasing_Mensual!Q198&gt;0, ROUND(P198 - Intereses_Leasing_Mensual!Q198, 2), "")</f>
        <v/>
      </c>
      <c r="R198" s="29">
        <f>IF(Intereses_Leasing_Mensual!R198&gt;0, ROUND(Q198 - Intereses_Leasing_Mensual!R198, 2), "")</f>
        <v/>
      </c>
      <c r="S198" s="29">
        <f>IF(Intereses_Leasing_Mensual!S198&gt;0, ROUND(R198 - Intereses_Leasing_Mensual!S198, 2), "")</f>
        <v/>
      </c>
      <c r="T198" s="29">
        <f>IF(Intereses_Leasing_Mensual!T198&gt;0, ROUND(S198 - Intereses_Leasing_Mensual!T198, 2), "")</f>
        <v/>
      </c>
      <c r="U198" s="29">
        <f>MAX(I198:T198)</f>
        <v/>
      </c>
    </row>
    <row r="199">
      <c r="A199" s="20" t="inlineStr">
        <is>
          <t>0716-0003</t>
        </is>
      </c>
      <c r="B199" s="21" t="inlineStr">
        <is>
          <t>Mayoristas Asociados en Servicio Celular SA de CV</t>
        </is>
      </c>
      <c r="C199" s="21" t="inlineStr">
        <is>
          <t>Bronco</t>
        </is>
      </c>
      <c r="D199" s="20" t="inlineStr">
        <is>
          <t>ACTIVO</t>
        </is>
      </c>
      <c r="E199" s="20" t="inlineStr">
        <is>
          <t>2025-10-08</t>
        </is>
      </c>
      <c r="F199" s="20" t="inlineStr">
        <is>
          <t>2027-10-08</t>
        </is>
      </c>
      <c r="G199" s="22" t="n">
        <v>24</v>
      </c>
      <c r="H199" s="23" t="n">
        <v>199869.81</v>
      </c>
      <c r="I199" s="23">
        <f>IF(Intereses_Leasing_Mensual!I199&gt;0, ROUND(164676.94 - Intereses_Leasing_Mensual!I199, 2), "")</f>
        <v/>
      </c>
      <c r="J199" s="23">
        <f>IF(Intereses_Leasing_Mensual!J199&gt;0, ROUND(I199 - Intereses_Leasing_Mensual!J199, 2), "")</f>
        <v/>
      </c>
      <c r="K199" s="23">
        <f>IF(Intereses_Leasing_Mensual!K199&gt;0, ROUND(J199 - Intereses_Leasing_Mensual!K199, 2), "")</f>
        <v/>
      </c>
      <c r="L199" s="23">
        <f>IF(Intereses_Leasing_Mensual!L199&gt;0, ROUND(K199 - Intereses_Leasing_Mensual!L199, 2), "")</f>
        <v/>
      </c>
      <c r="M199" s="23">
        <f>IF(Intereses_Leasing_Mensual!M199&gt;0, ROUND(L199 - Intereses_Leasing_Mensual!M199, 2), "")</f>
        <v/>
      </c>
      <c r="N199" s="23">
        <f>IF(Intereses_Leasing_Mensual!N199&gt;0, ROUND(M199 - Intereses_Leasing_Mensual!N199, 2), "")</f>
        <v/>
      </c>
      <c r="O199" s="23">
        <f>IF(Intereses_Leasing_Mensual!O199&gt;0, ROUND(N199 - Intereses_Leasing_Mensual!O199, 2), "")</f>
        <v/>
      </c>
      <c r="P199" s="23">
        <f>IF(Intereses_Leasing_Mensual!P199&gt;0, ROUND(O199 - Intereses_Leasing_Mensual!P199, 2), "")</f>
        <v/>
      </c>
      <c r="Q199" s="23">
        <f>IF(Intereses_Leasing_Mensual!Q199&gt;0, ROUND(P199 - Intereses_Leasing_Mensual!Q199, 2), "")</f>
        <v/>
      </c>
      <c r="R199" s="23">
        <f>IF(Intereses_Leasing_Mensual!R199&gt;0, ROUND(Q199 - Intereses_Leasing_Mensual!R199, 2), "")</f>
        <v/>
      </c>
      <c r="S199" s="23">
        <f>IF(Intereses_Leasing_Mensual!S199&gt;0, ROUND(R199 - Intereses_Leasing_Mensual!S199, 2), "")</f>
        <v/>
      </c>
      <c r="T199" s="23">
        <f>IF(Intereses_Leasing_Mensual!T199&gt;0, ROUND(S199 - Intereses_Leasing_Mensual!T199, 2), "")</f>
        <v/>
      </c>
      <c r="U199" s="23">
        <f>MAX(I199:T199)</f>
        <v/>
      </c>
    </row>
    <row r="200">
      <c r="A200" s="26" t="inlineStr">
        <is>
          <t>0717-0001</t>
        </is>
      </c>
      <c r="B200" s="27" t="inlineStr">
        <is>
          <t>Refaccionaria San Diego SA de CV</t>
        </is>
      </c>
      <c r="C200" s="27" t="inlineStr">
        <is>
          <t>Partner Rapid</t>
        </is>
      </c>
      <c r="D200" s="26" t="inlineStr">
        <is>
          <t>ACTIVO</t>
        </is>
      </c>
      <c r="E200" s="26" t="inlineStr">
        <is>
          <t>2025-09-10</t>
        </is>
      </c>
      <c r="F200" s="26" t="inlineStr">
        <is>
          <t>2029-09-10</t>
        </is>
      </c>
      <c r="G200" s="28" t="n">
        <v>48</v>
      </c>
      <c r="H200" s="29" t="n">
        <v>175922.03</v>
      </c>
      <c r="I200" s="29">
        <f>IF(Intereses_Leasing_Mensual!I200&gt;0, ROUND(154083.95 - Intereses_Leasing_Mensual!I200, 2), "")</f>
        <v/>
      </c>
      <c r="J200" s="29">
        <f>IF(Intereses_Leasing_Mensual!J200&gt;0, ROUND(I200 - Intereses_Leasing_Mensual!J200, 2), "")</f>
        <v/>
      </c>
      <c r="K200" s="29">
        <f>IF(Intereses_Leasing_Mensual!K200&gt;0, ROUND(J200 - Intereses_Leasing_Mensual!K200, 2), "")</f>
        <v/>
      </c>
      <c r="L200" s="29">
        <f>IF(Intereses_Leasing_Mensual!L200&gt;0, ROUND(K200 - Intereses_Leasing_Mensual!L200, 2), "")</f>
        <v/>
      </c>
      <c r="M200" s="29">
        <f>IF(Intereses_Leasing_Mensual!M200&gt;0, ROUND(L200 - Intereses_Leasing_Mensual!M200, 2), "")</f>
        <v/>
      </c>
      <c r="N200" s="29">
        <f>IF(Intereses_Leasing_Mensual!N200&gt;0, ROUND(M200 - Intereses_Leasing_Mensual!N200, 2), "")</f>
        <v/>
      </c>
      <c r="O200" s="29">
        <f>IF(Intereses_Leasing_Mensual!O200&gt;0, ROUND(N200 - Intereses_Leasing_Mensual!O200, 2), "")</f>
        <v/>
      </c>
      <c r="P200" s="29">
        <f>IF(Intereses_Leasing_Mensual!P200&gt;0, ROUND(O200 - Intereses_Leasing_Mensual!P200, 2), "")</f>
        <v/>
      </c>
      <c r="Q200" s="29">
        <f>IF(Intereses_Leasing_Mensual!Q200&gt;0, ROUND(P200 - Intereses_Leasing_Mensual!Q200, 2), "")</f>
        <v/>
      </c>
      <c r="R200" s="29">
        <f>IF(Intereses_Leasing_Mensual!R200&gt;0, ROUND(Q200 - Intereses_Leasing_Mensual!R200, 2), "")</f>
        <v/>
      </c>
      <c r="S200" s="29">
        <f>IF(Intereses_Leasing_Mensual!S200&gt;0, ROUND(R200 - Intereses_Leasing_Mensual!S200, 2), "")</f>
        <v/>
      </c>
      <c r="T200" s="29">
        <f>IF(Intereses_Leasing_Mensual!T200&gt;0, ROUND(S200 - Intereses_Leasing_Mensual!T200, 2), "")</f>
        <v/>
      </c>
      <c r="U200" s="29">
        <f>MAX(I200:T200)</f>
        <v/>
      </c>
    </row>
    <row r="201">
      <c r="A201" s="20" t="inlineStr">
        <is>
          <t>0718-0001</t>
        </is>
      </c>
      <c r="B201" s="21" t="inlineStr">
        <is>
          <t>Capriberrys</t>
        </is>
      </c>
      <c r="C201" s="21" t="inlineStr">
        <is>
          <t>Jt Mojave</t>
        </is>
      </c>
      <c r="D201" s="20" t="inlineStr">
        <is>
          <t>ACTIVO</t>
        </is>
      </c>
      <c r="E201" s="20" t="inlineStr">
        <is>
          <t>2025-09-11</t>
        </is>
      </c>
      <c r="F201" s="20" t="inlineStr">
        <is>
          <t>2027-09-11</t>
        </is>
      </c>
      <c r="G201" s="22" t="n">
        <v>24</v>
      </c>
      <c r="H201" s="23" t="n">
        <v>292666.44</v>
      </c>
      <c r="I201" s="23">
        <f>IF(Intereses_Leasing_Mensual!I201&gt;0, ROUND(219531.88 - Intereses_Leasing_Mensual!I201, 2), "")</f>
        <v/>
      </c>
      <c r="J201" s="23">
        <f>IF(Intereses_Leasing_Mensual!J201&gt;0, ROUND(I201 - Intereses_Leasing_Mensual!J201, 2), "")</f>
        <v/>
      </c>
      <c r="K201" s="23">
        <f>IF(Intereses_Leasing_Mensual!K201&gt;0, ROUND(J201 - Intereses_Leasing_Mensual!K201, 2), "")</f>
        <v/>
      </c>
      <c r="L201" s="23">
        <f>IF(Intereses_Leasing_Mensual!L201&gt;0, ROUND(K201 - Intereses_Leasing_Mensual!L201, 2), "")</f>
        <v/>
      </c>
      <c r="M201" s="23">
        <f>IF(Intereses_Leasing_Mensual!M201&gt;0, ROUND(L201 - Intereses_Leasing_Mensual!M201, 2), "")</f>
        <v/>
      </c>
      <c r="N201" s="23">
        <f>IF(Intereses_Leasing_Mensual!N201&gt;0, ROUND(M201 - Intereses_Leasing_Mensual!N201, 2), "")</f>
        <v/>
      </c>
      <c r="O201" s="23">
        <f>IF(Intereses_Leasing_Mensual!O201&gt;0, ROUND(N201 - Intereses_Leasing_Mensual!O201, 2), "")</f>
        <v/>
      </c>
      <c r="P201" s="23">
        <f>IF(Intereses_Leasing_Mensual!P201&gt;0, ROUND(O201 - Intereses_Leasing_Mensual!P201, 2), "")</f>
        <v/>
      </c>
      <c r="Q201" s="23">
        <f>IF(Intereses_Leasing_Mensual!Q201&gt;0, ROUND(P201 - Intereses_Leasing_Mensual!Q201, 2), "")</f>
        <v/>
      </c>
      <c r="R201" s="23">
        <f>IF(Intereses_Leasing_Mensual!R201&gt;0, ROUND(Q201 - Intereses_Leasing_Mensual!R201, 2), "")</f>
        <v/>
      </c>
      <c r="S201" s="23">
        <f>IF(Intereses_Leasing_Mensual!S201&gt;0, ROUND(R201 - Intereses_Leasing_Mensual!S201, 2), "")</f>
        <v/>
      </c>
      <c r="T201" s="23">
        <f>IF(Intereses_Leasing_Mensual!T201&gt;0, ROUND(S201 - Intereses_Leasing_Mensual!T201, 2), "")</f>
        <v/>
      </c>
      <c r="U201" s="23">
        <f>MAX(I201:T201)</f>
        <v/>
      </c>
    </row>
    <row r="202">
      <c r="A202" s="26" t="inlineStr">
        <is>
          <t>0719-0001</t>
        </is>
      </c>
      <c r="B202" s="27" t="inlineStr">
        <is>
          <t>Maria de Los Angeles Lopez Janeiro</t>
        </is>
      </c>
      <c r="C202" s="27" t="inlineStr">
        <is>
          <t>Rifter</t>
        </is>
      </c>
      <c r="D202" s="26" t="inlineStr">
        <is>
          <t>ACTIVO</t>
        </is>
      </c>
      <c r="E202" s="26" t="inlineStr">
        <is>
          <t>2025-09-30</t>
        </is>
      </c>
      <c r="F202" s="26" t="inlineStr">
        <is>
          <t>2028-09-30</t>
        </is>
      </c>
      <c r="G202" s="28" t="n">
        <v>36</v>
      </c>
      <c r="H202" s="29" t="n">
        <v>186316.48</v>
      </c>
      <c r="I202" s="29">
        <f>IF(Intereses_Leasing_Mensual!I202&gt;0, ROUND(155159.35 - Intereses_Leasing_Mensual!I202, 2), "")</f>
        <v/>
      </c>
      <c r="J202" s="29">
        <f>IF(Intereses_Leasing_Mensual!J202&gt;0, ROUND(I202 - Intereses_Leasing_Mensual!J202, 2), "")</f>
        <v/>
      </c>
      <c r="K202" s="29">
        <f>IF(Intereses_Leasing_Mensual!K202&gt;0, ROUND(J202 - Intereses_Leasing_Mensual!K202, 2), "")</f>
        <v/>
      </c>
      <c r="L202" s="29">
        <f>IF(Intereses_Leasing_Mensual!L202&gt;0, ROUND(K202 - Intereses_Leasing_Mensual!L202, 2), "")</f>
        <v/>
      </c>
      <c r="M202" s="29">
        <f>IF(Intereses_Leasing_Mensual!M202&gt;0, ROUND(L202 - Intereses_Leasing_Mensual!M202, 2), "")</f>
        <v/>
      </c>
      <c r="N202" s="29">
        <f>IF(Intereses_Leasing_Mensual!N202&gt;0, ROUND(M202 - Intereses_Leasing_Mensual!N202, 2), "")</f>
        <v/>
      </c>
      <c r="O202" s="29">
        <f>IF(Intereses_Leasing_Mensual!O202&gt;0, ROUND(N202 - Intereses_Leasing_Mensual!O202, 2), "")</f>
        <v/>
      </c>
      <c r="P202" s="29">
        <f>IF(Intereses_Leasing_Mensual!P202&gt;0, ROUND(O202 - Intereses_Leasing_Mensual!P202, 2), "")</f>
        <v/>
      </c>
      <c r="Q202" s="29">
        <f>IF(Intereses_Leasing_Mensual!Q202&gt;0, ROUND(P202 - Intereses_Leasing_Mensual!Q202, 2), "")</f>
        <v/>
      </c>
      <c r="R202" s="29">
        <f>IF(Intereses_Leasing_Mensual!R202&gt;0, ROUND(Q202 - Intereses_Leasing_Mensual!R202, 2), "")</f>
        <v/>
      </c>
      <c r="S202" s="29">
        <f>IF(Intereses_Leasing_Mensual!S202&gt;0, ROUND(R202 - Intereses_Leasing_Mensual!S202, 2), "")</f>
        <v/>
      </c>
      <c r="T202" s="29">
        <f>IF(Intereses_Leasing_Mensual!T202&gt;0, ROUND(S202 - Intereses_Leasing_Mensual!T202, 2), "")</f>
        <v/>
      </c>
      <c r="U202" s="29">
        <f>MAX(I202:T202)</f>
        <v/>
      </c>
    </row>
    <row r="203">
      <c r="A203" s="20" t="inlineStr">
        <is>
          <t>0720-0001</t>
        </is>
      </c>
      <c r="B203" s="21" t="inlineStr">
        <is>
          <t>Forrajes Los 6 Hermanos S.P.R. DE R.L.</t>
        </is>
      </c>
      <c r="C203" s="21" t="inlineStr">
        <is>
          <t>Shark</t>
        </is>
      </c>
      <c r="D203" s="20" t="inlineStr">
        <is>
          <t>ACTIVO</t>
        </is>
      </c>
      <c r="E203" s="20" t="inlineStr">
        <is>
          <t>2025-10-01</t>
        </is>
      </c>
      <c r="F203" s="20" t="inlineStr">
        <is>
          <t>2028-10-01</t>
        </is>
      </c>
      <c r="G203" s="22" t="n">
        <v>36</v>
      </c>
      <c r="H203" s="23" t="n">
        <v>612802.8100000001</v>
      </c>
      <c r="I203" s="23">
        <f>IF(Intereses_Leasing_Mensual!I203&gt;0, ROUND(547912.34 - Intereses_Leasing_Mensual!I203, 2), "")</f>
        <v/>
      </c>
      <c r="J203" s="23">
        <f>IF(Intereses_Leasing_Mensual!J203&gt;0, ROUND(I203 - Intereses_Leasing_Mensual!J203, 2), "")</f>
        <v/>
      </c>
      <c r="K203" s="23">
        <f>IF(Intereses_Leasing_Mensual!K203&gt;0, ROUND(J203 - Intereses_Leasing_Mensual!K203, 2), "")</f>
        <v/>
      </c>
      <c r="L203" s="23">
        <f>IF(Intereses_Leasing_Mensual!L203&gt;0, ROUND(K203 - Intereses_Leasing_Mensual!L203, 2), "")</f>
        <v/>
      </c>
      <c r="M203" s="23">
        <f>IF(Intereses_Leasing_Mensual!M203&gt;0, ROUND(L203 - Intereses_Leasing_Mensual!M203, 2), "")</f>
        <v/>
      </c>
      <c r="N203" s="23">
        <f>IF(Intereses_Leasing_Mensual!N203&gt;0, ROUND(M203 - Intereses_Leasing_Mensual!N203, 2), "")</f>
        <v/>
      </c>
      <c r="O203" s="23">
        <f>IF(Intereses_Leasing_Mensual!O203&gt;0, ROUND(N203 - Intereses_Leasing_Mensual!O203, 2), "")</f>
        <v/>
      </c>
      <c r="P203" s="23">
        <f>IF(Intereses_Leasing_Mensual!P203&gt;0, ROUND(O203 - Intereses_Leasing_Mensual!P203, 2), "")</f>
        <v/>
      </c>
      <c r="Q203" s="23">
        <f>IF(Intereses_Leasing_Mensual!Q203&gt;0, ROUND(P203 - Intereses_Leasing_Mensual!Q203, 2), "")</f>
        <v/>
      </c>
      <c r="R203" s="23">
        <f>IF(Intereses_Leasing_Mensual!R203&gt;0, ROUND(Q203 - Intereses_Leasing_Mensual!R203, 2), "")</f>
        <v/>
      </c>
      <c r="S203" s="23">
        <f>IF(Intereses_Leasing_Mensual!S203&gt;0, ROUND(R203 - Intereses_Leasing_Mensual!S203, 2), "")</f>
        <v/>
      </c>
      <c r="T203" s="23">
        <f>IF(Intereses_Leasing_Mensual!T203&gt;0, ROUND(S203 - Intereses_Leasing_Mensual!T203, 2), "")</f>
        <v/>
      </c>
      <c r="U203" s="23">
        <f>MAX(I203:T203)</f>
        <v/>
      </c>
    </row>
    <row r="204">
      <c r="A204" s="26" t="inlineStr">
        <is>
          <t>0721-0001</t>
        </is>
      </c>
      <c r="B204" s="27" t="inlineStr">
        <is>
          <t>Ricardo Ortiz Guzman</t>
        </is>
      </c>
      <c r="C204" s="27" t="inlineStr">
        <is>
          <t>Rifter</t>
        </is>
      </c>
      <c r="D204" s="26" t="inlineStr">
        <is>
          <t>ACTIVO</t>
        </is>
      </c>
      <c r="E204" s="26" t="inlineStr">
        <is>
          <t>2025-10-09</t>
        </is>
      </c>
      <c r="F204" s="26" t="inlineStr">
        <is>
          <t>2029-10-09</t>
        </is>
      </c>
      <c r="G204" s="28" t="n">
        <v>48</v>
      </c>
      <c r="H204" s="29" t="n">
        <v>259378.45</v>
      </c>
      <c r="I204" s="29">
        <f>IF(Intereses_Leasing_Mensual!I204&gt;0, ROUND(235367.5 - Intereses_Leasing_Mensual!I204, 2), "")</f>
        <v/>
      </c>
      <c r="J204" s="29">
        <f>IF(Intereses_Leasing_Mensual!J204&gt;0, ROUND(I204 - Intereses_Leasing_Mensual!J204, 2), "")</f>
        <v/>
      </c>
      <c r="K204" s="29">
        <f>IF(Intereses_Leasing_Mensual!K204&gt;0, ROUND(J204 - Intereses_Leasing_Mensual!K204, 2), "")</f>
        <v/>
      </c>
      <c r="L204" s="29">
        <f>IF(Intereses_Leasing_Mensual!L204&gt;0, ROUND(K204 - Intereses_Leasing_Mensual!L204, 2), "")</f>
        <v/>
      </c>
      <c r="M204" s="29">
        <f>IF(Intereses_Leasing_Mensual!M204&gt;0, ROUND(L204 - Intereses_Leasing_Mensual!M204, 2), "")</f>
        <v/>
      </c>
      <c r="N204" s="29">
        <f>IF(Intereses_Leasing_Mensual!N204&gt;0, ROUND(M204 - Intereses_Leasing_Mensual!N204, 2), "")</f>
        <v/>
      </c>
      <c r="O204" s="29">
        <f>IF(Intereses_Leasing_Mensual!O204&gt;0, ROUND(N204 - Intereses_Leasing_Mensual!O204, 2), "")</f>
        <v/>
      </c>
      <c r="P204" s="29">
        <f>IF(Intereses_Leasing_Mensual!P204&gt;0, ROUND(O204 - Intereses_Leasing_Mensual!P204, 2), "")</f>
        <v/>
      </c>
      <c r="Q204" s="29">
        <f>IF(Intereses_Leasing_Mensual!Q204&gt;0, ROUND(P204 - Intereses_Leasing_Mensual!Q204, 2), "")</f>
        <v/>
      </c>
      <c r="R204" s="29">
        <f>IF(Intereses_Leasing_Mensual!R204&gt;0, ROUND(Q204 - Intereses_Leasing_Mensual!R204, 2), "")</f>
        <v/>
      </c>
      <c r="S204" s="29">
        <f>IF(Intereses_Leasing_Mensual!S204&gt;0, ROUND(R204 - Intereses_Leasing_Mensual!S204, 2), "")</f>
        <v/>
      </c>
      <c r="T204" s="29">
        <f>IF(Intereses_Leasing_Mensual!T204&gt;0, ROUND(S204 - Intereses_Leasing_Mensual!T204, 2), "")</f>
        <v/>
      </c>
      <c r="U204" s="29">
        <f>MAX(I204:T204)</f>
        <v/>
      </c>
    </row>
    <row r="205">
      <c r="A205" s="20" t="inlineStr">
        <is>
          <t>0721-0002</t>
        </is>
      </c>
      <c r="B205" s="21" t="inlineStr">
        <is>
          <t>Ricardo Ortiz Guzman</t>
        </is>
      </c>
      <c r="C205" s="21" t="inlineStr">
        <is>
          <t>CX5</t>
        </is>
      </c>
      <c r="D205" s="20" t="inlineStr">
        <is>
          <t>ACTIVO</t>
        </is>
      </c>
      <c r="E205" s="20" t="inlineStr">
        <is>
          <t>2025-10-31</t>
        </is>
      </c>
      <c r="F205" s="20" t="inlineStr">
        <is>
          <t>2029-10-31</t>
        </is>
      </c>
      <c r="G205" s="22" t="n">
        <v>48</v>
      </c>
      <c r="H205" s="23" t="n">
        <v>361131.81</v>
      </c>
      <c r="I205" s="23">
        <f>IF(Intereses_Leasing_Mensual!I205&gt;0, ROUND(327358.34 - Intereses_Leasing_Mensual!I205, 2), "")</f>
        <v/>
      </c>
      <c r="J205" s="23">
        <f>IF(Intereses_Leasing_Mensual!J205&gt;0, ROUND(I205 - Intereses_Leasing_Mensual!J205, 2), "")</f>
        <v/>
      </c>
      <c r="K205" s="23">
        <f>IF(Intereses_Leasing_Mensual!K205&gt;0, ROUND(J205 - Intereses_Leasing_Mensual!K205, 2), "")</f>
        <v/>
      </c>
      <c r="L205" s="23">
        <f>IF(Intereses_Leasing_Mensual!L205&gt;0, ROUND(K205 - Intereses_Leasing_Mensual!L205, 2), "")</f>
        <v/>
      </c>
      <c r="M205" s="23">
        <f>IF(Intereses_Leasing_Mensual!M205&gt;0, ROUND(L205 - Intereses_Leasing_Mensual!M205, 2), "")</f>
        <v/>
      </c>
      <c r="N205" s="23">
        <f>IF(Intereses_Leasing_Mensual!N205&gt;0, ROUND(M205 - Intereses_Leasing_Mensual!N205, 2), "")</f>
        <v/>
      </c>
      <c r="O205" s="23">
        <f>IF(Intereses_Leasing_Mensual!O205&gt;0, ROUND(N205 - Intereses_Leasing_Mensual!O205, 2), "")</f>
        <v/>
      </c>
      <c r="P205" s="23">
        <f>IF(Intereses_Leasing_Mensual!P205&gt;0, ROUND(O205 - Intereses_Leasing_Mensual!P205, 2), "")</f>
        <v/>
      </c>
      <c r="Q205" s="23">
        <f>IF(Intereses_Leasing_Mensual!Q205&gt;0, ROUND(P205 - Intereses_Leasing_Mensual!Q205, 2), "")</f>
        <v/>
      </c>
      <c r="R205" s="23">
        <f>IF(Intereses_Leasing_Mensual!R205&gt;0, ROUND(Q205 - Intereses_Leasing_Mensual!R205, 2), "")</f>
        <v/>
      </c>
      <c r="S205" s="23">
        <f>IF(Intereses_Leasing_Mensual!S205&gt;0, ROUND(R205 - Intereses_Leasing_Mensual!S205, 2), "")</f>
        <v/>
      </c>
      <c r="T205" s="23">
        <f>IF(Intereses_Leasing_Mensual!T205&gt;0, ROUND(S205 - Intereses_Leasing_Mensual!T205, 2), "")</f>
        <v/>
      </c>
      <c r="U205" s="23">
        <f>MAX(I205:T205)</f>
        <v/>
      </c>
    </row>
    <row r="206">
      <c r="A206" s="26" t="inlineStr">
        <is>
          <t>0722-0001</t>
        </is>
      </c>
      <c r="B206" s="27" t="inlineStr">
        <is>
          <t>Tortas Ro S. DE R.L. DE C.V.</t>
        </is>
      </c>
      <c r="C206" s="27" t="inlineStr">
        <is>
          <t>Partner</t>
        </is>
      </c>
      <c r="D206" s="26" t="inlineStr">
        <is>
          <t>ACTIVO</t>
        </is>
      </c>
      <c r="E206" s="26" t="inlineStr">
        <is>
          <t>2025-10-13</t>
        </is>
      </c>
      <c r="F206" s="26" t="inlineStr">
        <is>
          <t>2027-10-13</t>
        </is>
      </c>
      <c r="G206" s="28" t="n">
        <v>24</v>
      </c>
      <c r="H206" s="29" t="n">
        <v>78869.67</v>
      </c>
      <c r="I206" s="29">
        <f>IF(Intereses_Leasing_Mensual!I206&gt;0, ROUND(64982.39 - Intereses_Leasing_Mensual!I206, 2), "")</f>
        <v/>
      </c>
      <c r="J206" s="29">
        <f>IF(Intereses_Leasing_Mensual!J206&gt;0, ROUND(I206 - Intereses_Leasing_Mensual!J206, 2), "")</f>
        <v/>
      </c>
      <c r="K206" s="29">
        <f>IF(Intereses_Leasing_Mensual!K206&gt;0, ROUND(J206 - Intereses_Leasing_Mensual!K206, 2), "")</f>
        <v/>
      </c>
      <c r="L206" s="29">
        <f>IF(Intereses_Leasing_Mensual!L206&gt;0, ROUND(K206 - Intereses_Leasing_Mensual!L206, 2), "")</f>
        <v/>
      </c>
      <c r="M206" s="29">
        <f>IF(Intereses_Leasing_Mensual!M206&gt;0, ROUND(L206 - Intereses_Leasing_Mensual!M206, 2), "")</f>
        <v/>
      </c>
      <c r="N206" s="29">
        <f>IF(Intereses_Leasing_Mensual!N206&gt;0, ROUND(M206 - Intereses_Leasing_Mensual!N206, 2), "")</f>
        <v/>
      </c>
      <c r="O206" s="29">
        <f>IF(Intereses_Leasing_Mensual!O206&gt;0, ROUND(N206 - Intereses_Leasing_Mensual!O206, 2), "")</f>
        <v/>
      </c>
      <c r="P206" s="29">
        <f>IF(Intereses_Leasing_Mensual!P206&gt;0, ROUND(O206 - Intereses_Leasing_Mensual!P206, 2), "")</f>
        <v/>
      </c>
      <c r="Q206" s="29">
        <f>IF(Intereses_Leasing_Mensual!Q206&gt;0, ROUND(P206 - Intereses_Leasing_Mensual!Q206, 2), "")</f>
        <v/>
      </c>
      <c r="R206" s="29">
        <f>IF(Intereses_Leasing_Mensual!R206&gt;0, ROUND(Q206 - Intereses_Leasing_Mensual!R206, 2), "")</f>
        <v/>
      </c>
      <c r="S206" s="29">
        <f>IF(Intereses_Leasing_Mensual!S206&gt;0, ROUND(R206 - Intereses_Leasing_Mensual!S206, 2), "")</f>
        <v/>
      </c>
      <c r="T206" s="29">
        <f>IF(Intereses_Leasing_Mensual!T206&gt;0, ROUND(S206 - Intereses_Leasing_Mensual!T206, 2), "")</f>
        <v/>
      </c>
      <c r="U206" s="29">
        <f>MAX(I206:T206)</f>
        <v/>
      </c>
    </row>
    <row r="207">
      <c r="A207" s="20" t="inlineStr">
        <is>
          <t>0723-0001</t>
        </is>
      </c>
      <c r="B207" s="21" t="inlineStr">
        <is>
          <t>Sandra Inez Velazquez Altamirano</t>
        </is>
      </c>
      <c r="C207" s="21" t="inlineStr">
        <is>
          <t>Sierra Denali</t>
        </is>
      </c>
      <c r="D207" s="20" t="inlineStr">
        <is>
          <t>ACTIVO</t>
        </is>
      </c>
      <c r="E207" s="20" t="inlineStr">
        <is>
          <t>2025-10-17</t>
        </is>
      </c>
      <c r="F207" s="20" t="inlineStr">
        <is>
          <t>2028-10-17</t>
        </is>
      </c>
      <c r="G207" s="22" t="n">
        <v>36</v>
      </c>
      <c r="H207" s="23" t="n">
        <v>914983.2</v>
      </c>
      <c r="I207" s="23">
        <f>IF(Intereses_Leasing_Mensual!I207&gt;0, ROUND(804727.5 - Intereses_Leasing_Mensual!I207, 2), "")</f>
        <v/>
      </c>
      <c r="J207" s="23">
        <f>IF(Intereses_Leasing_Mensual!J207&gt;0, ROUND(I207 - Intereses_Leasing_Mensual!J207, 2), "")</f>
        <v/>
      </c>
      <c r="K207" s="23">
        <f>IF(Intereses_Leasing_Mensual!K207&gt;0, ROUND(J207 - Intereses_Leasing_Mensual!K207, 2), "")</f>
        <v/>
      </c>
      <c r="L207" s="23">
        <f>IF(Intereses_Leasing_Mensual!L207&gt;0, ROUND(K207 - Intereses_Leasing_Mensual!L207, 2), "")</f>
        <v/>
      </c>
      <c r="M207" s="23">
        <f>IF(Intereses_Leasing_Mensual!M207&gt;0, ROUND(L207 - Intereses_Leasing_Mensual!M207, 2), "")</f>
        <v/>
      </c>
      <c r="N207" s="23">
        <f>IF(Intereses_Leasing_Mensual!N207&gt;0, ROUND(M207 - Intereses_Leasing_Mensual!N207, 2), "")</f>
        <v/>
      </c>
      <c r="O207" s="23">
        <f>IF(Intereses_Leasing_Mensual!O207&gt;0, ROUND(N207 - Intereses_Leasing_Mensual!O207, 2), "")</f>
        <v/>
      </c>
      <c r="P207" s="23">
        <f>IF(Intereses_Leasing_Mensual!P207&gt;0, ROUND(O207 - Intereses_Leasing_Mensual!P207, 2), "")</f>
        <v/>
      </c>
      <c r="Q207" s="23">
        <f>IF(Intereses_Leasing_Mensual!Q207&gt;0, ROUND(P207 - Intereses_Leasing_Mensual!Q207, 2), "")</f>
        <v/>
      </c>
      <c r="R207" s="23">
        <f>IF(Intereses_Leasing_Mensual!R207&gt;0, ROUND(Q207 - Intereses_Leasing_Mensual!R207, 2), "")</f>
        <v/>
      </c>
      <c r="S207" s="23">
        <f>IF(Intereses_Leasing_Mensual!S207&gt;0, ROUND(R207 - Intereses_Leasing_Mensual!S207, 2), "")</f>
        <v/>
      </c>
      <c r="T207" s="23">
        <f>IF(Intereses_Leasing_Mensual!T207&gt;0, ROUND(S207 - Intereses_Leasing_Mensual!T207, 2), "")</f>
        <v/>
      </c>
      <c r="U207" s="23">
        <f>MAX(I207:T207)</f>
        <v/>
      </c>
    </row>
    <row r="208">
      <c r="A208" s="26" t="inlineStr">
        <is>
          <t>0724-0001</t>
        </is>
      </c>
      <c r="B208" s="27" t="inlineStr">
        <is>
          <t>Victor Merced Brizuela Aguilar</t>
        </is>
      </c>
      <c r="C208" s="27" t="inlineStr">
        <is>
          <t>Tiggo 7 Plus</t>
        </is>
      </c>
      <c r="D208" s="26" t="inlineStr">
        <is>
          <t>ACTIVO</t>
        </is>
      </c>
      <c r="E208" s="26" t="inlineStr">
        <is>
          <t>2025-10-23</t>
        </is>
      </c>
      <c r="F208" s="26" t="inlineStr">
        <is>
          <t>2029-10-23</t>
        </is>
      </c>
      <c r="G208" s="28" t="n">
        <v>48</v>
      </c>
      <c r="H208" s="29" t="n">
        <v>260944.12</v>
      </c>
      <c r="I208" s="29">
        <f>IF(Intereses_Leasing_Mensual!I208&gt;0, ROUND(236788.23 - Intereses_Leasing_Mensual!I208, 2), "")</f>
        <v/>
      </c>
      <c r="J208" s="29">
        <f>IF(Intereses_Leasing_Mensual!J208&gt;0, ROUND(I208 - Intereses_Leasing_Mensual!J208, 2), "")</f>
        <v/>
      </c>
      <c r="K208" s="29">
        <f>IF(Intereses_Leasing_Mensual!K208&gt;0, ROUND(J208 - Intereses_Leasing_Mensual!K208, 2), "")</f>
        <v/>
      </c>
      <c r="L208" s="29">
        <f>IF(Intereses_Leasing_Mensual!L208&gt;0, ROUND(K208 - Intereses_Leasing_Mensual!L208, 2), "")</f>
        <v/>
      </c>
      <c r="M208" s="29">
        <f>IF(Intereses_Leasing_Mensual!M208&gt;0, ROUND(L208 - Intereses_Leasing_Mensual!M208, 2), "")</f>
        <v/>
      </c>
      <c r="N208" s="29">
        <f>IF(Intereses_Leasing_Mensual!N208&gt;0, ROUND(M208 - Intereses_Leasing_Mensual!N208, 2), "")</f>
        <v/>
      </c>
      <c r="O208" s="29">
        <f>IF(Intereses_Leasing_Mensual!O208&gt;0, ROUND(N208 - Intereses_Leasing_Mensual!O208, 2), "")</f>
        <v/>
      </c>
      <c r="P208" s="29">
        <f>IF(Intereses_Leasing_Mensual!P208&gt;0, ROUND(O208 - Intereses_Leasing_Mensual!P208, 2), "")</f>
        <v/>
      </c>
      <c r="Q208" s="29">
        <f>IF(Intereses_Leasing_Mensual!Q208&gt;0, ROUND(P208 - Intereses_Leasing_Mensual!Q208, 2), "")</f>
        <v/>
      </c>
      <c r="R208" s="29">
        <f>IF(Intereses_Leasing_Mensual!R208&gt;0, ROUND(Q208 - Intereses_Leasing_Mensual!R208, 2), "")</f>
        <v/>
      </c>
      <c r="S208" s="29">
        <f>IF(Intereses_Leasing_Mensual!S208&gt;0, ROUND(R208 - Intereses_Leasing_Mensual!S208, 2), "")</f>
        <v/>
      </c>
      <c r="T208" s="29">
        <f>IF(Intereses_Leasing_Mensual!T208&gt;0, ROUND(S208 - Intereses_Leasing_Mensual!T208, 2), "")</f>
        <v/>
      </c>
      <c r="U208" s="29">
        <f>MAX(I208:T208)</f>
        <v/>
      </c>
    </row>
    <row r="209">
      <c r="A209" s="20" t="inlineStr">
        <is>
          <t>0725-0001</t>
        </is>
      </c>
      <c r="B209" s="21" t="inlineStr">
        <is>
          <t>Octavio Cortes Flores</t>
        </is>
      </c>
      <c r="C209" s="21" t="inlineStr">
        <is>
          <t>Rifter Allure</t>
        </is>
      </c>
      <c r="D209" s="20" t="inlineStr">
        <is>
          <t>ACTIVO</t>
        </is>
      </c>
      <c r="E209" s="20" t="inlineStr">
        <is>
          <t>2025-10-29</t>
        </is>
      </c>
      <c r="F209" s="20" t="inlineStr">
        <is>
          <t>2028-10-29</t>
        </is>
      </c>
      <c r="G209" s="22" t="n">
        <v>36</v>
      </c>
      <c r="H209" s="23" t="n">
        <v>199003.92</v>
      </c>
      <c r="I209" s="23">
        <f>IF(Intereses_Leasing_Mensual!I209&gt;0, ROUND(173574.21 - Intereses_Leasing_Mensual!I209, 2), "")</f>
        <v/>
      </c>
      <c r="J209" s="23">
        <f>IF(Intereses_Leasing_Mensual!J209&gt;0, ROUND(I209 - Intereses_Leasing_Mensual!J209, 2), "")</f>
        <v/>
      </c>
      <c r="K209" s="23">
        <f>IF(Intereses_Leasing_Mensual!K209&gt;0, ROUND(J209 - Intereses_Leasing_Mensual!K209, 2), "")</f>
        <v/>
      </c>
      <c r="L209" s="23">
        <f>IF(Intereses_Leasing_Mensual!L209&gt;0, ROUND(K209 - Intereses_Leasing_Mensual!L209, 2), "")</f>
        <v/>
      </c>
      <c r="M209" s="23">
        <f>IF(Intereses_Leasing_Mensual!M209&gt;0, ROUND(L209 - Intereses_Leasing_Mensual!M209, 2), "")</f>
        <v/>
      </c>
      <c r="N209" s="23">
        <f>IF(Intereses_Leasing_Mensual!N209&gt;0, ROUND(M209 - Intereses_Leasing_Mensual!N209, 2), "")</f>
        <v/>
      </c>
      <c r="O209" s="23">
        <f>IF(Intereses_Leasing_Mensual!O209&gt;0, ROUND(N209 - Intereses_Leasing_Mensual!O209, 2), "")</f>
        <v/>
      </c>
      <c r="P209" s="23">
        <f>IF(Intereses_Leasing_Mensual!P209&gt;0, ROUND(O209 - Intereses_Leasing_Mensual!P209, 2), "")</f>
        <v/>
      </c>
      <c r="Q209" s="23">
        <f>IF(Intereses_Leasing_Mensual!Q209&gt;0, ROUND(P209 - Intereses_Leasing_Mensual!Q209, 2), "")</f>
        <v/>
      </c>
      <c r="R209" s="23">
        <f>IF(Intereses_Leasing_Mensual!R209&gt;0, ROUND(Q209 - Intereses_Leasing_Mensual!R209, 2), "")</f>
        <v/>
      </c>
      <c r="S209" s="23">
        <f>IF(Intereses_Leasing_Mensual!S209&gt;0, ROUND(R209 - Intereses_Leasing_Mensual!S209, 2), "")</f>
        <v/>
      </c>
      <c r="T209" s="23">
        <f>IF(Intereses_Leasing_Mensual!T209&gt;0, ROUND(S209 - Intereses_Leasing_Mensual!T209, 2), "")</f>
        <v/>
      </c>
      <c r="U209" s="23">
        <f>MAX(I209:T209)</f>
        <v/>
      </c>
    </row>
    <row r="210">
      <c r="A210" s="26" t="inlineStr">
        <is>
          <t>0726-0001</t>
        </is>
      </c>
      <c r="B210" s="27" t="inlineStr">
        <is>
          <t>Martha Viviana Anguiano Gonzalez</t>
        </is>
      </c>
      <c r="C210" s="27" t="inlineStr">
        <is>
          <t>JT Mojave</t>
        </is>
      </c>
      <c r="D210" s="26" t="inlineStr">
        <is>
          <t>ACTIVO</t>
        </is>
      </c>
      <c r="E210" s="26" t="inlineStr">
        <is>
          <t>2025-10-29</t>
        </is>
      </c>
      <c r="F210" s="26" t="inlineStr">
        <is>
          <t>2029-10-29</t>
        </is>
      </c>
      <c r="G210" s="28" t="n">
        <v>48</v>
      </c>
      <c r="H210" s="29" t="n">
        <v>790767.53</v>
      </c>
      <c r="I210" s="29">
        <f>IF(Intereses_Leasing_Mensual!I210&gt;0, ROUND(717565.31 - Intereses_Leasing_Mensual!I210, 2), "")</f>
        <v/>
      </c>
      <c r="J210" s="29">
        <f>IF(Intereses_Leasing_Mensual!J210&gt;0, ROUND(I210 - Intereses_Leasing_Mensual!J210, 2), "")</f>
        <v/>
      </c>
      <c r="K210" s="29">
        <f>IF(Intereses_Leasing_Mensual!K210&gt;0, ROUND(J210 - Intereses_Leasing_Mensual!K210, 2), "")</f>
        <v/>
      </c>
      <c r="L210" s="29">
        <f>IF(Intereses_Leasing_Mensual!L210&gt;0, ROUND(K210 - Intereses_Leasing_Mensual!L210, 2), "")</f>
        <v/>
      </c>
      <c r="M210" s="29">
        <f>IF(Intereses_Leasing_Mensual!M210&gt;0, ROUND(L210 - Intereses_Leasing_Mensual!M210, 2), "")</f>
        <v/>
      </c>
      <c r="N210" s="29">
        <f>IF(Intereses_Leasing_Mensual!N210&gt;0, ROUND(M210 - Intereses_Leasing_Mensual!N210, 2), "")</f>
        <v/>
      </c>
      <c r="O210" s="29">
        <f>IF(Intereses_Leasing_Mensual!O210&gt;0, ROUND(N210 - Intereses_Leasing_Mensual!O210, 2), "")</f>
        <v/>
      </c>
      <c r="P210" s="29">
        <f>IF(Intereses_Leasing_Mensual!P210&gt;0, ROUND(O210 - Intereses_Leasing_Mensual!P210, 2), "")</f>
        <v/>
      </c>
      <c r="Q210" s="29">
        <f>IF(Intereses_Leasing_Mensual!Q210&gt;0, ROUND(P210 - Intereses_Leasing_Mensual!Q210, 2), "")</f>
        <v/>
      </c>
      <c r="R210" s="29">
        <f>IF(Intereses_Leasing_Mensual!R210&gt;0, ROUND(Q210 - Intereses_Leasing_Mensual!R210, 2), "")</f>
        <v/>
      </c>
      <c r="S210" s="29">
        <f>IF(Intereses_Leasing_Mensual!S210&gt;0, ROUND(R210 - Intereses_Leasing_Mensual!S210, 2), "")</f>
        <v/>
      </c>
      <c r="T210" s="29">
        <f>IF(Intereses_Leasing_Mensual!T210&gt;0, ROUND(S210 - Intereses_Leasing_Mensual!T210, 2), "")</f>
        <v/>
      </c>
      <c r="U210" s="29">
        <f>MAX(I210:T210)</f>
        <v/>
      </c>
    </row>
    <row r="211">
      <c r="A211" s="20" t="inlineStr">
        <is>
          <t>0727-0001</t>
        </is>
      </c>
      <c r="B211" s="21" t="inlineStr">
        <is>
          <t>Edgar Adrian Sainz Vazquez</t>
        </is>
      </c>
      <c r="C211" s="21" t="inlineStr">
        <is>
          <t>1200 Laramie</t>
        </is>
      </c>
      <c r="D211" s="20" t="inlineStr">
        <is>
          <t>ACTIVO</t>
        </is>
      </c>
      <c r="E211" s="20" t="inlineStr">
        <is>
          <t>2025-10-31</t>
        </is>
      </c>
      <c r="F211" s="20" t="inlineStr">
        <is>
          <t>2029-10-31</t>
        </is>
      </c>
      <c r="G211" s="22" t="n">
        <v>48</v>
      </c>
      <c r="H211" s="23" t="n">
        <v>430378.36</v>
      </c>
      <c r="I211" s="23">
        <f>IF(Intereses_Leasing_Mensual!I211&gt;0, ROUND(389796.66 - Intereses_Leasing_Mensual!I211, 2), "")</f>
        <v/>
      </c>
      <c r="J211" s="23">
        <f>IF(Intereses_Leasing_Mensual!J211&gt;0, ROUND(I211 - Intereses_Leasing_Mensual!J211, 2), "")</f>
        <v/>
      </c>
      <c r="K211" s="23">
        <f>IF(Intereses_Leasing_Mensual!K211&gt;0, ROUND(J211 - Intereses_Leasing_Mensual!K211, 2), "")</f>
        <v/>
      </c>
      <c r="L211" s="23">
        <f>IF(Intereses_Leasing_Mensual!L211&gt;0, ROUND(K211 - Intereses_Leasing_Mensual!L211, 2), "")</f>
        <v/>
      </c>
      <c r="M211" s="23">
        <f>IF(Intereses_Leasing_Mensual!M211&gt;0, ROUND(L211 - Intereses_Leasing_Mensual!M211, 2), "")</f>
        <v/>
      </c>
      <c r="N211" s="23">
        <f>IF(Intereses_Leasing_Mensual!N211&gt;0, ROUND(M211 - Intereses_Leasing_Mensual!N211, 2), "")</f>
        <v/>
      </c>
      <c r="O211" s="23">
        <f>IF(Intereses_Leasing_Mensual!O211&gt;0, ROUND(N211 - Intereses_Leasing_Mensual!O211, 2), "")</f>
        <v/>
      </c>
      <c r="P211" s="23">
        <f>IF(Intereses_Leasing_Mensual!P211&gt;0, ROUND(O211 - Intereses_Leasing_Mensual!P211, 2), "")</f>
        <v/>
      </c>
      <c r="Q211" s="23">
        <f>IF(Intereses_Leasing_Mensual!Q211&gt;0, ROUND(P211 - Intereses_Leasing_Mensual!Q211, 2), "")</f>
        <v/>
      </c>
      <c r="R211" s="23">
        <f>IF(Intereses_Leasing_Mensual!R211&gt;0, ROUND(Q211 - Intereses_Leasing_Mensual!R211, 2), "")</f>
        <v/>
      </c>
      <c r="S211" s="23">
        <f>IF(Intereses_Leasing_Mensual!S211&gt;0, ROUND(R211 - Intereses_Leasing_Mensual!S211, 2), "")</f>
        <v/>
      </c>
      <c r="T211" s="23">
        <f>IF(Intereses_Leasing_Mensual!T211&gt;0, ROUND(S211 - Intereses_Leasing_Mensual!T211, 2), "")</f>
        <v/>
      </c>
      <c r="U211" s="23">
        <f>MAX(I211:T211)</f>
        <v/>
      </c>
    </row>
    <row r="212">
      <c r="A212" s="26" t="inlineStr">
        <is>
          <t>0728-0001</t>
        </is>
      </c>
      <c r="B212" s="27" t="inlineStr">
        <is>
          <t>Arrendadora Tequila, S.A. de C.V.</t>
        </is>
      </c>
      <c r="C212" s="27" t="inlineStr">
        <is>
          <t>JEEP 392</t>
        </is>
      </c>
      <c r="D212" s="26" t="inlineStr">
        <is>
          <t>ACTIVO</t>
        </is>
      </c>
      <c r="E212" s="26" t="inlineStr">
        <is>
          <t>2025-11-03</t>
        </is>
      </c>
      <c r="F212" s="26" t="inlineStr">
        <is>
          <t>2028-11-03</t>
        </is>
      </c>
      <c r="G212" s="28" t="n">
        <v>36</v>
      </c>
      <c r="H212" s="29" t="n">
        <v>918252.8100000001</v>
      </c>
      <c r="I212" s="29">
        <f>IF(Intereses_Leasing_Mensual!I212&gt;0, ROUND(839432.7 - Intereses_Leasing_Mensual!I212, 2), "")</f>
        <v/>
      </c>
      <c r="J212" s="29">
        <f>IF(Intereses_Leasing_Mensual!J212&gt;0, ROUND(I212 - Intereses_Leasing_Mensual!J212, 2), "")</f>
        <v/>
      </c>
      <c r="K212" s="29">
        <f>IF(Intereses_Leasing_Mensual!K212&gt;0, ROUND(J212 - Intereses_Leasing_Mensual!K212, 2), "")</f>
        <v/>
      </c>
      <c r="L212" s="29">
        <f>IF(Intereses_Leasing_Mensual!L212&gt;0, ROUND(K212 - Intereses_Leasing_Mensual!L212, 2), "")</f>
        <v/>
      </c>
      <c r="M212" s="29">
        <f>IF(Intereses_Leasing_Mensual!M212&gt;0, ROUND(L212 - Intereses_Leasing_Mensual!M212, 2), "")</f>
        <v/>
      </c>
      <c r="N212" s="29">
        <f>IF(Intereses_Leasing_Mensual!N212&gt;0, ROUND(M212 - Intereses_Leasing_Mensual!N212, 2), "")</f>
        <v/>
      </c>
      <c r="O212" s="29">
        <f>IF(Intereses_Leasing_Mensual!O212&gt;0, ROUND(N212 - Intereses_Leasing_Mensual!O212, 2), "")</f>
        <v/>
      </c>
      <c r="P212" s="29">
        <f>IF(Intereses_Leasing_Mensual!P212&gt;0, ROUND(O212 - Intereses_Leasing_Mensual!P212, 2), "")</f>
        <v/>
      </c>
      <c r="Q212" s="29">
        <f>IF(Intereses_Leasing_Mensual!Q212&gt;0, ROUND(P212 - Intereses_Leasing_Mensual!Q212, 2), "")</f>
        <v/>
      </c>
      <c r="R212" s="29">
        <f>IF(Intereses_Leasing_Mensual!R212&gt;0, ROUND(Q212 - Intereses_Leasing_Mensual!R212, 2), "")</f>
        <v/>
      </c>
      <c r="S212" s="29">
        <f>IF(Intereses_Leasing_Mensual!S212&gt;0, ROUND(R212 - Intereses_Leasing_Mensual!S212, 2), "")</f>
        <v/>
      </c>
      <c r="T212" s="29">
        <f>IF(Intereses_Leasing_Mensual!T212&gt;0, ROUND(S212 - Intereses_Leasing_Mensual!T212, 2), "")</f>
        <v/>
      </c>
      <c r="U212" s="29">
        <f>MAX(I212:T212)</f>
        <v/>
      </c>
    </row>
    <row r="213">
      <c r="A213" s="20" t="inlineStr">
        <is>
          <t>0729-0001</t>
        </is>
      </c>
      <c r="B213" s="21" t="inlineStr">
        <is>
          <t>Rubén Bravo Hernández</t>
        </is>
      </c>
      <c r="C213" s="21" t="inlineStr">
        <is>
          <t>Mamut T32 DC</t>
        </is>
      </c>
      <c r="D213" s="20" t="inlineStr">
        <is>
          <t>ACTIVO</t>
        </is>
      </c>
      <c r="E213" s="20" t="inlineStr">
        <is>
          <t>2025-11-11</t>
        </is>
      </c>
      <c r="F213" s="20" t="inlineStr">
        <is>
          <t>2028-11-11</t>
        </is>
      </c>
      <c r="G213" s="22" t="n">
        <v>36</v>
      </c>
      <c r="H213" s="23" t="n">
        <v>179289.9</v>
      </c>
      <c r="I213" s="23">
        <f>IF(Intereses_Leasing_Mensual!I213&gt;0, ROUND(165023.92 - Intereses_Leasing_Mensual!I213, 2), "")</f>
        <v/>
      </c>
      <c r="J213" s="23">
        <f>IF(Intereses_Leasing_Mensual!J213&gt;0, ROUND(I213 - Intereses_Leasing_Mensual!J213, 2), "")</f>
        <v/>
      </c>
      <c r="K213" s="23">
        <f>IF(Intereses_Leasing_Mensual!K213&gt;0, ROUND(J213 - Intereses_Leasing_Mensual!K213, 2), "")</f>
        <v/>
      </c>
      <c r="L213" s="23">
        <f>IF(Intereses_Leasing_Mensual!L213&gt;0, ROUND(K213 - Intereses_Leasing_Mensual!L213, 2), "")</f>
        <v/>
      </c>
      <c r="M213" s="23">
        <f>IF(Intereses_Leasing_Mensual!M213&gt;0, ROUND(L213 - Intereses_Leasing_Mensual!M213, 2), "")</f>
        <v/>
      </c>
      <c r="N213" s="23">
        <f>IF(Intereses_Leasing_Mensual!N213&gt;0, ROUND(M213 - Intereses_Leasing_Mensual!N213, 2), "")</f>
        <v/>
      </c>
      <c r="O213" s="23">
        <f>IF(Intereses_Leasing_Mensual!O213&gt;0, ROUND(N213 - Intereses_Leasing_Mensual!O213, 2), "")</f>
        <v/>
      </c>
      <c r="P213" s="23">
        <f>IF(Intereses_Leasing_Mensual!P213&gt;0, ROUND(O213 - Intereses_Leasing_Mensual!P213, 2), "")</f>
        <v/>
      </c>
      <c r="Q213" s="23">
        <f>IF(Intereses_Leasing_Mensual!Q213&gt;0, ROUND(P213 - Intereses_Leasing_Mensual!Q213, 2), "")</f>
        <v/>
      </c>
      <c r="R213" s="23">
        <f>IF(Intereses_Leasing_Mensual!R213&gt;0, ROUND(Q213 - Intereses_Leasing_Mensual!R213, 2), "")</f>
        <v/>
      </c>
      <c r="S213" s="23">
        <f>IF(Intereses_Leasing_Mensual!S213&gt;0, ROUND(R213 - Intereses_Leasing_Mensual!S213, 2), "")</f>
        <v/>
      </c>
      <c r="T213" s="23">
        <f>IF(Intereses_Leasing_Mensual!T213&gt;0, ROUND(S213 - Intereses_Leasing_Mensual!T213, 2), "")</f>
        <v/>
      </c>
      <c r="U213" s="23">
        <f>MAX(I213:T213)</f>
        <v/>
      </c>
    </row>
    <row r="214">
      <c r="A214" s="26" t="inlineStr">
        <is>
          <t>0730-0001</t>
        </is>
      </c>
      <c r="B214" s="27" t="inlineStr">
        <is>
          <t>Karen Manrique Amaya</t>
        </is>
      </c>
      <c r="C214" s="27" t="inlineStr">
        <is>
          <t>Wrangler</t>
        </is>
      </c>
      <c r="D214" s="26" t="inlineStr">
        <is>
          <t>ACTIVO</t>
        </is>
      </c>
      <c r="E214" s="26" t="inlineStr">
        <is>
          <t>2025-11-24</t>
        </is>
      </c>
      <c r="F214" s="26" t="inlineStr">
        <is>
          <t>2028-11-24</t>
        </is>
      </c>
      <c r="G214" s="28" t="n">
        <v>36</v>
      </c>
      <c r="H214" s="29" t="n">
        <v>654524.0600000001</v>
      </c>
      <c r="I214" s="29">
        <f>IF(Intereses_Leasing_Mensual!I214&gt;0, ROUND(602846.25 - Intereses_Leasing_Mensual!I214, 2), "")</f>
        <v/>
      </c>
      <c r="J214" s="29">
        <f>IF(Intereses_Leasing_Mensual!J214&gt;0, ROUND(I214 - Intereses_Leasing_Mensual!J214, 2), "")</f>
        <v/>
      </c>
      <c r="K214" s="29">
        <f>IF(Intereses_Leasing_Mensual!K214&gt;0, ROUND(J214 - Intereses_Leasing_Mensual!K214, 2), "")</f>
        <v/>
      </c>
      <c r="L214" s="29">
        <f>IF(Intereses_Leasing_Mensual!L214&gt;0, ROUND(K214 - Intereses_Leasing_Mensual!L214, 2), "")</f>
        <v/>
      </c>
      <c r="M214" s="29">
        <f>IF(Intereses_Leasing_Mensual!M214&gt;0, ROUND(L214 - Intereses_Leasing_Mensual!M214, 2), "")</f>
        <v/>
      </c>
      <c r="N214" s="29">
        <f>IF(Intereses_Leasing_Mensual!N214&gt;0, ROUND(M214 - Intereses_Leasing_Mensual!N214, 2), "")</f>
        <v/>
      </c>
      <c r="O214" s="29">
        <f>IF(Intereses_Leasing_Mensual!O214&gt;0, ROUND(N214 - Intereses_Leasing_Mensual!O214, 2), "")</f>
        <v/>
      </c>
      <c r="P214" s="29">
        <f>IF(Intereses_Leasing_Mensual!P214&gt;0, ROUND(O214 - Intereses_Leasing_Mensual!P214, 2), "")</f>
        <v/>
      </c>
      <c r="Q214" s="29">
        <f>IF(Intereses_Leasing_Mensual!Q214&gt;0, ROUND(P214 - Intereses_Leasing_Mensual!Q214, 2), "")</f>
        <v/>
      </c>
      <c r="R214" s="29">
        <f>IF(Intereses_Leasing_Mensual!R214&gt;0, ROUND(Q214 - Intereses_Leasing_Mensual!R214, 2), "")</f>
        <v/>
      </c>
      <c r="S214" s="29">
        <f>IF(Intereses_Leasing_Mensual!S214&gt;0, ROUND(R214 - Intereses_Leasing_Mensual!S214, 2), "")</f>
        <v/>
      </c>
      <c r="T214" s="29">
        <f>IF(Intereses_Leasing_Mensual!T214&gt;0, ROUND(S214 - Intereses_Leasing_Mensual!T214, 2), "")</f>
        <v/>
      </c>
      <c r="U214" s="29">
        <f>MAX(I214:T214)</f>
        <v/>
      </c>
    </row>
    <row r="215">
      <c r="A215" s="20" t="inlineStr">
        <is>
          <t>0731-0001</t>
        </is>
      </c>
      <c r="B215" s="21" t="inlineStr">
        <is>
          <t>Tesselar Soluciones, S.A. de C.V.</t>
        </is>
      </c>
      <c r="C215" s="21" t="inlineStr">
        <is>
          <t>Song Plus</t>
        </is>
      </c>
      <c r="D215" s="20" t="inlineStr">
        <is>
          <t>ACTIVO</t>
        </is>
      </c>
      <c r="E215" s="20" t="inlineStr">
        <is>
          <t>2025-11-20</t>
        </is>
      </c>
      <c r="F215" s="20" t="inlineStr">
        <is>
          <t>2028-11-20</t>
        </is>
      </c>
      <c r="G215" s="22" t="n">
        <v>36</v>
      </c>
      <c r="H215" s="23" t="n">
        <v>295247.77</v>
      </c>
      <c r="I215" s="23">
        <f>IF(Intereses_Leasing_Mensual!I215&gt;0, ROUND(275617.34 - Intereses_Leasing_Mensual!I215, 2), "")</f>
        <v/>
      </c>
      <c r="J215" s="23">
        <f>IF(Intereses_Leasing_Mensual!J215&gt;0, ROUND(I215 - Intereses_Leasing_Mensual!J215, 2), "")</f>
        <v/>
      </c>
      <c r="K215" s="23">
        <f>IF(Intereses_Leasing_Mensual!K215&gt;0, ROUND(J215 - Intereses_Leasing_Mensual!K215, 2), "")</f>
        <v/>
      </c>
      <c r="L215" s="23">
        <f>IF(Intereses_Leasing_Mensual!L215&gt;0, ROUND(K215 - Intereses_Leasing_Mensual!L215, 2), "")</f>
        <v/>
      </c>
      <c r="M215" s="23">
        <f>IF(Intereses_Leasing_Mensual!M215&gt;0, ROUND(L215 - Intereses_Leasing_Mensual!M215, 2), "")</f>
        <v/>
      </c>
      <c r="N215" s="23">
        <f>IF(Intereses_Leasing_Mensual!N215&gt;0, ROUND(M215 - Intereses_Leasing_Mensual!N215, 2), "")</f>
        <v/>
      </c>
      <c r="O215" s="23">
        <f>IF(Intereses_Leasing_Mensual!O215&gt;0, ROUND(N215 - Intereses_Leasing_Mensual!O215, 2), "")</f>
        <v/>
      </c>
      <c r="P215" s="23">
        <f>IF(Intereses_Leasing_Mensual!P215&gt;0, ROUND(O215 - Intereses_Leasing_Mensual!P215, 2), "")</f>
        <v/>
      </c>
      <c r="Q215" s="23">
        <f>IF(Intereses_Leasing_Mensual!Q215&gt;0, ROUND(P215 - Intereses_Leasing_Mensual!Q215, 2), "")</f>
        <v/>
      </c>
      <c r="R215" s="23">
        <f>IF(Intereses_Leasing_Mensual!R215&gt;0, ROUND(Q215 - Intereses_Leasing_Mensual!R215, 2), "")</f>
        <v/>
      </c>
      <c r="S215" s="23">
        <f>IF(Intereses_Leasing_Mensual!S215&gt;0, ROUND(R215 - Intereses_Leasing_Mensual!S215, 2), "")</f>
        <v/>
      </c>
      <c r="T215" s="23">
        <f>IF(Intereses_Leasing_Mensual!T215&gt;0, ROUND(S215 - Intereses_Leasing_Mensual!T215, 2), "")</f>
        <v/>
      </c>
      <c r="U215" s="23">
        <f>MAX(I215:T215)</f>
        <v/>
      </c>
    </row>
    <row r="216">
      <c r="A216" s="26" t="inlineStr">
        <is>
          <t>0731-0002</t>
        </is>
      </c>
      <c r="B216" s="27" t="inlineStr">
        <is>
          <t>Tesselar Soluciones, S.A. de C.V.</t>
        </is>
      </c>
      <c r="C216" s="27" t="inlineStr">
        <is>
          <t>Arona Style</t>
        </is>
      </c>
      <c r="D216" s="26" t="inlineStr">
        <is>
          <t>ACTIVO</t>
        </is>
      </c>
      <c r="E216" s="26" t="inlineStr">
        <is>
          <t>2025-12-26</t>
        </is>
      </c>
      <c r="F216" s="26" t="inlineStr">
        <is>
          <t>2029-12-26</t>
        </is>
      </c>
      <c r="G216" s="28" t="n">
        <v>48</v>
      </c>
      <c r="H216" s="29" t="n">
        <v>187201.07</v>
      </c>
      <c r="I216" s="29">
        <f>IF(Intereses_Leasing_Mensual!I216&gt;0, ROUND(182558.98 - Intereses_Leasing_Mensual!I216, 2), "")</f>
        <v/>
      </c>
      <c r="J216" s="29">
        <f>IF(Intereses_Leasing_Mensual!J216&gt;0, ROUND(I216 - Intereses_Leasing_Mensual!J216, 2), "")</f>
        <v/>
      </c>
      <c r="K216" s="29">
        <f>IF(Intereses_Leasing_Mensual!K216&gt;0, ROUND(J216 - Intereses_Leasing_Mensual!K216, 2), "")</f>
        <v/>
      </c>
      <c r="L216" s="29">
        <f>IF(Intereses_Leasing_Mensual!L216&gt;0, ROUND(K216 - Intereses_Leasing_Mensual!L216, 2), "")</f>
        <v/>
      </c>
      <c r="M216" s="29">
        <f>IF(Intereses_Leasing_Mensual!M216&gt;0, ROUND(L216 - Intereses_Leasing_Mensual!M216, 2), "")</f>
        <v/>
      </c>
      <c r="N216" s="29">
        <f>IF(Intereses_Leasing_Mensual!N216&gt;0, ROUND(M216 - Intereses_Leasing_Mensual!N216, 2), "")</f>
        <v/>
      </c>
      <c r="O216" s="29">
        <f>IF(Intereses_Leasing_Mensual!O216&gt;0, ROUND(N216 - Intereses_Leasing_Mensual!O216, 2), "")</f>
        <v/>
      </c>
      <c r="P216" s="29">
        <f>IF(Intereses_Leasing_Mensual!P216&gt;0, ROUND(O216 - Intereses_Leasing_Mensual!P216, 2), "")</f>
        <v/>
      </c>
      <c r="Q216" s="29">
        <f>IF(Intereses_Leasing_Mensual!Q216&gt;0, ROUND(P216 - Intereses_Leasing_Mensual!Q216, 2), "")</f>
        <v/>
      </c>
      <c r="R216" s="29">
        <f>IF(Intereses_Leasing_Mensual!R216&gt;0, ROUND(Q216 - Intereses_Leasing_Mensual!R216, 2), "")</f>
        <v/>
      </c>
      <c r="S216" s="29">
        <f>IF(Intereses_Leasing_Mensual!S216&gt;0, ROUND(R216 - Intereses_Leasing_Mensual!S216, 2), "")</f>
        <v/>
      </c>
      <c r="T216" s="29">
        <f>IF(Intereses_Leasing_Mensual!T216&gt;0, ROUND(S216 - Intereses_Leasing_Mensual!T216, 2), "")</f>
        <v/>
      </c>
      <c r="U216" s="29">
        <f>MAX(I216:T216)</f>
        <v/>
      </c>
    </row>
    <row r="217">
      <c r="A217" s="20" t="inlineStr">
        <is>
          <t>0732-0001</t>
        </is>
      </c>
      <c r="B217" s="21" t="inlineStr">
        <is>
          <t>Koonol Food Traders, S.A. de C.V.</t>
        </is>
      </c>
      <c r="C217" s="21" t="inlineStr">
        <is>
          <t>K4 Turbo</t>
        </is>
      </c>
      <c r="D217" s="20" t="inlineStr">
        <is>
          <t>ACTIVO</t>
        </is>
      </c>
      <c r="E217" s="20" t="inlineStr">
        <is>
          <t>2025-11-26</t>
        </is>
      </c>
      <c r="F217" s="20" t="inlineStr">
        <is>
          <t>2028-11-26</t>
        </is>
      </c>
      <c r="G217" s="22" t="n">
        <v>36</v>
      </c>
      <c r="H217" s="23" t="n">
        <v>253962.66</v>
      </c>
      <c r="I217" s="23">
        <f>IF(Intereses_Leasing_Mensual!I217&gt;0, ROUND(236650.09 - Intereses_Leasing_Mensual!I217, 2), "")</f>
        <v/>
      </c>
      <c r="J217" s="23">
        <f>IF(Intereses_Leasing_Mensual!J217&gt;0, ROUND(I217 - Intereses_Leasing_Mensual!J217, 2), "")</f>
        <v/>
      </c>
      <c r="K217" s="23">
        <f>IF(Intereses_Leasing_Mensual!K217&gt;0, ROUND(J217 - Intereses_Leasing_Mensual!K217, 2), "")</f>
        <v/>
      </c>
      <c r="L217" s="23">
        <f>IF(Intereses_Leasing_Mensual!L217&gt;0, ROUND(K217 - Intereses_Leasing_Mensual!L217, 2), "")</f>
        <v/>
      </c>
      <c r="M217" s="23">
        <f>IF(Intereses_Leasing_Mensual!M217&gt;0, ROUND(L217 - Intereses_Leasing_Mensual!M217, 2), "")</f>
        <v/>
      </c>
      <c r="N217" s="23">
        <f>IF(Intereses_Leasing_Mensual!N217&gt;0, ROUND(M217 - Intereses_Leasing_Mensual!N217, 2), "")</f>
        <v/>
      </c>
      <c r="O217" s="23">
        <f>IF(Intereses_Leasing_Mensual!O217&gt;0, ROUND(N217 - Intereses_Leasing_Mensual!O217, 2), "")</f>
        <v/>
      </c>
      <c r="P217" s="23">
        <f>IF(Intereses_Leasing_Mensual!P217&gt;0, ROUND(O217 - Intereses_Leasing_Mensual!P217, 2), "")</f>
        <v/>
      </c>
      <c r="Q217" s="23">
        <f>IF(Intereses_Leasing_Mensual!Q217&gt;0, ROUND(P217 - Intereses_Leasing_Mensual!Q217, 2), "")</f>
        <v/>
      </c>
      <c r="R217" s="23">
        <f>IF(Intereses_Leasing_Mensual!R217&gt;0, ROUND(Q217 - Intereses_Leasing_Mensual!R217, 2), "")</f>
        <v/>
      </c>
      <c r="S217" s="23">
        <f>IF(Intereses_Leasing_Mensual!S217&gt;0, ROUND(R217 - Intereses_Leasing_Mensual!S217, 2), "")</f>
        <v/>
      </c>
      <c r="T217" s="23">
        <f>IF(Intereses_Leasing_Mensual!T217&gt;0, ROUND(S217 - Intereses_Leasing_Mensual!T217, 2), "")</f>
        <v/>
      </c>
      <c r="U217" s="23">
        <f>MAX(I217:T217)</f>
        <v/>
      </c>
    </row>
    <row r="218">
      <c r="A218" s="26" t="inlineStr">
        <is>
          <t>0733-0001</t>
        </is>
      </c>
      <c r="B218" s="27" t="inlineStr">
        <is>
          <t>Alejandro Arias Maldonado</t>
        </is>
      </c>
      <c r="C218" s="27" t="inlineStr">
        <is>
          <t>Wrangler</t>
        </is>
      </c>
      <c r="D218" s="26" t="inlineStr">
        <is>
          <t>ACTIVO</t>
        </is>
      </c>
      <c r="E218" s="26" t="inlineStr">
        <is>
          <t>2025-11-28</t>
        </is>
      </c>
      <c r="F218" s="26" t="inlineStr">
        <is>
          <t>2029-11-28</t>
        </is>
      </c>
      <c r="G218" s="28" t="n">
        <v>48</v>
      </c>
      <c r="H218" s="29" t="n">
        <v>637301.48</v>
      </c>
      <c r="I218" s="29">
        <f>IF(Intereses_Leasing_Mensual!I218&gt;0, ROUND(597790.35 - Intereses_Leasing_Mensual!I218, 2), "")</f>
        <v/>
      </c>
      <c r="J218" s="29">
        <f>IF(Intereses_Leasing_Mensual!J218&gt;0, ROUND(I218 - Intereses_Leasing_Mensual!J218, 2), "")</f>
        <v/>
      </c>
      <c r="K218" s="29">
        <f>IF(Intereses_Leasing_Mensual!K218&gt;0, ROUND(J218 - Intereses_Leasing_Mensual!K218, 2), "")</f>
        <v/>
      </c>
      <c r="L218" s="29">
        <f>IF(Intereses_Leasing_Mensual!L218&gt;0, ROUND(K218 - Intereses_Leasing_Mensual!L218, 2), "")</f>
        <v/>
      </c>
      <c r="M218" s="29">
        <f>IF(Intereses_Leasing_Mensual!M218&gt;0, ROUND(L218 - Intereses_Leasing_Mensual!M218, 2), "")</f>
        <v/>
      </c>
      <c r="N218" s="29">
        <f>IF(Intereses_Leasing_Mensual!N218&gt;0, ROUND(M218 - Intereses_Leasing_Mensual!N218, 2), "")</f>
        <v/>
      </c>
      <c r="O218" s="29">
        <f>IF(Intereses_Leasing_Mensual!O218&gt;0, ROUND(N218 - Intereses_Leasing_Mensual!O218, 2), "")</f>
        <v/>
      </c>
      <c r="P218" s="29">
        <f>IF(Intereses_Leasing_Mensual!P218&gt;0, ROUND(O218 - Intereses_Leasing_Mensual!P218, 2), "")</f>
        <v/>
      </c>
      <c r="Q218" s="29">
        <f>IF(Intereses_Leasing_Mensual!Q218&gt;0, ROUND(P218 - Intereses_Leasing_Mensual!Q218, 2), "")</f>
        <v/>
      </c>
      <c r="R218" s="29">
        <f>IF(Intereses_Leasing_Mensual!R218&gt;0, ROUND(Q218 - Intereses_Leasing_Mensual!R218, 2), "")</f>
        <v/>
      </c>
      <c r="S218" s="29">
        <f>IF(Intereses_Leasing_Mensual!S218&gt;0, ROUND(R218 - Intereses_Leasing_Mensual!S218, 2), "")</f>
        <v/>
      </c>
      <c r="T218" s="29">
        <f>IF(Intereses_Leasing_Mensual!T218&gt;0, ROUND(S218 - Intereses_Leasing_Mensual!T218, 2), "")</f>
        <v/>
      </c>
      <c r="U218" s="29">
        <f>MAX(I218:T218)</f>
        <v/>
      </c>
    </row>
    <row r="219">
      <c r="A219" s="20" t="inlineStr">
        <is>
          <t>0734-0001</t>
        </is>
      </c>
      <c r="B219" s="21" t="inlineStr">
        <is>
          <t>Nutrientes Agricolas de Colima, S. de R.L. de C.V.</t>
        </is>
      </c>
      <c r="C219" s="21" t="inlineStr">
        <is>
          <t>1200 TRADESMAN RC</t>
        </is>
      </c>
      <c r="D219" s="20" t="inlineStr">
        <is>
          <t>ACTIVO</t>
        </is>
      </c>
      <c r="E219" s="20" t="inlineStr">
        <is>
          <t>2026-01-06</t>
        </is>
      </c>
      <c r="F219" s="20" t="inlineStr">
        <is>
          <t>2029-01-06</t>
        </is>
      </c>
      <c r="G219" s="22" t="n">
        <v>36</v>
      </c>
      <c r="H219" s="23" t="n">
        <v>193051.68</v>
      </c>
      <c r="I219" s="23">
        <f>IF(Intereses_Leasing_Mensual!I219&gt;0, ROUND($H219 - Intereses_Leasing_Mensual!I219, 2), "")</f>
        <v/>
      </c>
      <c r="J219" s="23">
        <f>IF(Intereses_Leasing_Mensual!J219&gt;0, ROUND(I219 - Intereses_Leasing_Mensual!J219, 2), "")</f>
        <v/>
      </c>
      <c r="K219" s="23">
        <f>IF(Intereses_Leasing_Mensual!K219&gt;0, ROUND(J219 - Intereses_Leasing_Mensual!K219, 2), "")</f>
        <v/>
      </c>
      <c r="L219" s="23">
        <f>IF(Intereses_Leasing_Mensual!L219&gt;0, ROUND(K219 - Intereses_Leasing_Mensual!L219, 2), "")</f>
        <v/>
      </c>
      <c r="M219" s="23">
        <f>IF(Intereses_Leasing_Mensual!M219&gt;0, ROUND(L219 - Intereses_Leasing_Mensual!M219, 2), "")</f>
        <v/>
      </c>
      <c r="N219" s="23">
        <f>IF(Intereses_Leasing_Mensual!N219&gt;0, ROUND(M219 - Intereses_Leasing_Mensual!N219, 2), "")</f>
        <v/>
      </c>
      <c r="O219" s="23">
        <f>IF(Intereses_Leasing_Mensual!O219&gt;0, ROUND(N219 - Intereses_Leasing_Mensual!O219, 2), "")</f>
        <v/>
      </c>
      <c r="P219" s="23">
        <f>IF(Intereses_Leasing_Mensual!P219&gt;0, ROUND(O219 - Intereses_Leasing_Mensual!P219, 2), "")</f>
        <v/>
      </c>
      <c r="Q219" s="23">
        <f>IF(Intereses_Leasing_Mensual!Q219&gt;0, ROUND(P219 - Intereses_Leasing_Mensual!Q219, 2), "")</f>
        <v/>
      </c>
      <c r="R219" s="23">
        <f>IF(Intereses_Leasing_Mensual!R219&gt;0, ROUND(Q219 - Intereses_Leasing_Mensual!R219, 2), "")</f>
        <v/>
      </c>
      <c r="S219" s="23">
        <f>IF(Intereses_Leasing_Mensual!S219&gt;0, ROUND(R219 - Intereses_Leasing_Mensual!S219, 2), "")</f>
        <v/>
      </c>
      <c r="T219" s="23">
        <f>IF(Intereses_Leasing_Mensual!T219&gt;0, ROUND(S219 - Intereses_Leasing_Mensual!T219, 2), "")</f>
        <v/>
      </c>
      <c r="U219" s="23">
        <f>MAX(I219:T219)</f>
        <v/>
      </c>
    </row>
    <row r="220">
      <c r="A220" s="26" t="inlineStr">
        <is>
          <t>0734-0002</t>
        </is>
      </c>
      <c r="B220" s="27" t="inlineStr">
        <is>
          <t>Nutrientes Agricolas de Colima, S. de R.L. de C.V.</t>
        </is>
      </c>
      <c r="C220" s="27" t="inlineStr">
        <is>
          <t>1200 TRADESMAN CHASIS CABINA</t>
        </is>
      </c>
      <c r="D220" s="26" t="inlineStr">
        <is>
          <t>ACTIVO</t>
        </is>
      </c>
      <c r="E220" s="26" t="inlineStr">
        <is>
          <t>2026-01-12</t>
        </is>
      </c>
      <c r="F220" s="26" t="inlineStr">
        <is>
          <t>2029-01-12</t>
        </is>
      </c>
      <c r="G220" s="28" t="n">
        <v>36</v>
      </c>
      <c r="H220" s="29" t="n">
        <v>251332.46</v>
      </c>
      <c r="I220" s="29">
        <f>IF(Intereses_Leasing_Mensual!I220&gt;0, ROUND($H220 - Intereses_Leasing_Mensual!I220, 2), "")</f>
        <v/>
      </c>
      <c r="J220" s="29">
        <f>IF(Intereses_Leasing_Mensual!J220&gt;0, ROUND(I220 - Intereses_Leasing_Mensual!J220, 2), "")</f>
        <v/>
      </c>
      <c r="K220" s="29">
        <f>IF(Intereses_Leasing_Mensual!K220&gt;0, ROUND(J220 - Intereses_Leasing_Mensual!K220, 2), "")</f>
        <v/>
      </c>
      <c r="L220" s="29">
        <f>IF(Intereses_Leasing_Mensual!L220&gt;0, ROUND(K220 - Intereses_Leasing_Mensual!L220, 2), "")</f>
        <v/>
      </c>
      <c r="M220" s="29">
        <f>IF(Intereses_Leasing_Mensual!M220&gt;0, ROUND(L220 - Intereses_Leasing_Mensual!M220, 2), "")</f>
        <v/>
      </c>
      <c r="N220" s="29">
        <f>IF(Intereses_Leasing_Mensual!N220&gt;0, ROUND(M220 - Intereses_Leasing_Mensual!N220, 2), "")</f>
        <v/>
      </c>
      <c r="O220" s="29">
        <f>IF(Intereses_Leasing_Mensual!O220&gt;0, ROUND(N220 - Intereses_Leasing_Mensual!O220, 2), "")</f>
        <v/>
      </c>
      <c r="P220" s="29">
        <f>IF(Intereses_Leasing_Mensual!P220&gt;0, ROUND(O220 - Intereses_Leasing_Mensual!P220, 2), "")</f>
        <v/>
      </c>
      <c r="Q220" s="29">
        <f>IF(Intereses_Leasing_Mensual!Q220&gt;0, ROUND(P220 - Intereses_Leasing_Mensual!Q220, 2), "")</f>
        <v/>
      </c>
      <c r="R220" s="29">
        <f>IF(Intereses_Leasing_Mensual!R220&gt;0, ROUND(Q220 - Intereses_Leasing_Mensual!R220, 2), "")</f>
        <v/>
      </c>
      <c r="S220" s="29">
        <f>IF(Intereses_Leasing_Mensual!S220&gt;0, ROUND(R220 - Intereses_Leasing_Mensual!S220, 2), "")</f>
        <v/>
      </c>
      <c r="T220" s="29">
        <f>IF(Intereses_Leasing_Mensual!T220&gt;0, ROUND(S220 - Intereses_Leasing_Mensual!T220, 2), "")</f>
        <v/>
      </c>
      <c r="U220" s="29">
        <f>MAX(I220:T220)</f>
        <v/>
      </c>
    </row>
    <row r="221">
      <c r="A221" s="20" t="inlineStr">
        <is>
          <t>0735-0001</t>
        </is>
      </c>
      <c r="B221" s="21" t="inlineStr">
        <is>
          <t>Francisco Zepeda Covarrubias</t>
        </is>
      </c>
      <c r="C221" s="21" t="inlineStr">
        <is>
          <t>Territory Trend 1.5L Hibrido</t>
        </is>
      </c>
      <c r="D221" s="20" t="inlineStr">
        <is>
          <t>ACTIVO</t>
        </is>
      </c>
      <c r="E221" s="20" t="inlineStr">
        <is>
          <t>2025-12-04</t>
        </is>
      </c>
      <c r="F221" s="20" t="inlineStr">
        <is>
          <t>2028-12-04</t>
        </is>
      </c>
      <c r="G221" s="22" t="n">
        <v>36</v>
      </c>
      <c r="H221" s="23" t="n">
        <v>297025.2</v>
      </c>
      <c r="I221" s="23">
        <f>IF(Intereses_Leasing_Mensual!I221&gt;0, ROUND(284183.97 - Intereses_Leasing_Mensual!I221, 2), "")</f>
        <v/>
      </c>
      <c r="J221" s="23">
        <f>IF(Intereses_Leasing_Mensual!J221&gt;0, ROUND(I221 - Intereses_Leasing_Mensual!J221, 2), "")</f>
        <v/>
      </c>
      <c r="K221" s="23">
        <f>IF(Intereses_Leasing_Mensual!K221&gt;0, ROUND(J221 - Intereses_Leasing_Mensual!K221, 2), "")</f>
        <v/>
      </c>
      <c r="L221" s="23">
        <f>IF(Intereses_Leasing_Mensual!L221&gt;0, ROUND(K221 - Intereses_Leasing_Mensual!L221, 2), "")</f>
        <v/>
      </c>
      <c r="M221" s="23">
        <f>IF(Intereses_Leasing_Mensual!M221&gt;0, ROUND(L221 - Intereses_Leasing_Mensual!M221, 2), "")</f>
        <v/>
      </c>
      <c r="N221" s="23">
        <f>IF(Intereses_Leasing_Mensual!N221&gt;0, ROUND(M221 - Intereses_Leasing_Mensual!N221, 2), "")</f>
        <v/>
      </c>
      <c r="O221" s="23">
        <f>IF(Intereses_Leasing_Mensual!O221&gt;0, ROUND(N221 - Intereses_Leasing_Mensual!O221, 2), "")</f>
        <v/>
      </c>
      <c r="P221" s="23">
        <f>IF(Intereses_Leasing_Mensual!P221&gt;0, ROUND(O221 - Intereses_Leasing_Mensual!P221, 2), "")</f>
        <v/>
      </c>
      <c r="Q221" s="23">
        <f>IF(Intereses_Leasing_Mensual!Q221&gt;0, ROUND(P221 - Intereses_Leasing_Mensual!Q221, 2), "")</f>
        <v/>
      </c>
      <c r="R221" s="23">
        <f>IF(Intereses_Leasing_Mensual!R221&gt;0, ROUND(Q221 - Intereses_Leasing_Mensual!R221, 2), "")</f>
        <v/>
      </c>
      <c r="S221" s="23">
        <f>IF(Intereses_Leasing_Mensual!S221&gt;0, ROUND(R221 - Intereses_Leasing_Mensual!S221, 2), "")</f>
        <v/>
      </c>
      <c r="T221" s="23">
        <f>IF(Intereses_Leasing_Mensual!T221&gt;0, ROUND(S221 - Intereses_Leasing_Mensual!T221, 2), "")</f>
        <v/>
      </c>
      <c r="U221" s="23">
        <f>MAX(I221:T221)</f>
        <v/>
      </c>
    </row>
    <row r="222">
      <c r="A222" s="26" t="inlineStr">
        <is>
          <t>0736-0001</t>
        </is>
      </c>
      <c r="B222" s="27" t="inlineStr">
        <is>
          <t>Industrial Castillo de Tequila S.A. de C.V.</t>
        </is>
      </c>
      <c r="C222" s="27" t="inlineStr">
        <is>
          <t>700 TRADESMAN CREW CAB</t>
        </is>
      </c>
      <c r="D222" s="26" t="inlineStr">
        <is>
          <t>ACTIVO</t>
        </is>
      </c>
      <c r="E222" s="26" t="inlineStr">
        <is>
          <t>2025-12-11</t>
        </is>
      </c>
      <c r="F222" s="26" t="inlineStr">
        <is>
          <t>2029-12-11</t>
        </is>
      </c>
      <c r="G222" s="28" t="n">
        <v>48</v>
      </c>
      <c r="H222" s="29" t="n">
        <v>198998.57</v>
      </c>
      <c r="I222" s="29">
        <f>IF(Intereses_Leasing_Mensual!I222&gt;0, ROUND(193037.13 - Intereses_Leasing_Mensual!I222, 2), "")</f>
        <v/>
      </c>
      <c r="J222" s="29">
        <f>IF(Intereses_Leasing_Mensual!J222&gt;0, ROUND(I222 - Intereses_Leasing_Mensual!J222, 2), "")</f>
        <v/>
      </c>
      <c r="K222" s="29">
        <f>IF(Intereses_Leasing_Mensual!K222&gt;0, ROUND(J222 - Intereses_Leasing_Mensual!K222, 2), "")</f>
        <v/>
      </c>
      <c r="L222" s="29">
        <f>IF(Intereses_Leasing_Mensual!L222&gt;0, ROUND(K222 - Intereses_Leasing_Mensual!L222, 2), "")</f>
        <v/>
      </c>
      <c r="M222" s="29">
        <f>IF(Intereses_Leasing_Mensual!M222&gt;0, ROUND(L222 - Intereses_Leasing_Mensual!M222, 2), "")</f>
        <v/>
      </c>
      <c r="N222" s="29">
        <f>IF(Intereses_Leasing_Mensual!N222&gt;0, ROUND(M222 - Intereses_Leasing_Mensual!N222, 2), "")</f>
        <v/>
      </c>
      <c r="O222" s="29">
        <f>IF(Intereses_Leasing_Mensual!O222&gt;0, ROUND(N222 - Intereses_Leasing_Mensual!O222, 2), "")</f>
        <v/>
      </c>
      <c r="P222" s="29">
        <f>IF(Intereses_Leasing_Mensual!P222&gt;0, ROUND(O222 - Intereses_Leasing_Mensual!P222, 2), "")</f>
        <v/>
      </c>
      <c r="Q222" s="29">
        <f>IF(Intereses_Leasing_Mensual!Q222&gt;0, ROUND(P222 - Intereses_Leasing_Mensual!Q222, 2), "")</f>
        <v/>
      </c>
      <c r="R222" s="29">
        <f>IF(Intereses_Leasing_Mensual!R222&gt;0, ROUND(Q222 - Intereses_Leasing_Mensual!R222, 2), "")</f>
        <v/>
      </c>
      <c r="S222" s="29">
        <f>IF(Intereses_Leasing_Mensual!S222&gt;0, ROUND(R222 - Intereses_Leasing_Mensual!S222, 2), "")</f>
        <v/>
      </c>
      <c r="T222" s="29">
        <f>IF(Intereses_Leasing_Mensual!T222&gt;0, ROUND(S222 - Intereses_Leasing_Mensual!T222, 2), "")</f>
        <v/>
      </c>
      <c r="U222" s="29">
        <f>MAX(I222:T222)</f>
        <v/>
      </c>
    </row>
    <row r="223">
      <c r="A223" s="20" t="inlineStr">
        <is>
          <t>0737-0001</t>
        </is>
      </c>
      <c r="B223" s="21" t="inlineStr">
        <is>
          <t>Nicola Briani</t>
        </is>
      </c>
      <c r="C223" s="21" t="inlineStr">
        <is>
          <t>T1 Savage</t>
        </is>
      </c>
      <c r="D223" s="20" t="inlineStr">
        <is>
          <t>ACTIVO</t>
        </is>
      </c>
      <c r="E223" s="20" t="inlineStr">
        <is>
          <t>2025-12-12</t>
        </is>
      </c>
      <c r="F223" s="20" t="inlineStr">
        <is>
          <t>2029-12-12</t>
        </is>
      </c>
      <c r="G223" s="22" t="n">
        <v>48</v>
      </c>
      <c r="H223" s="23" t="n">
        <v>339243.37</v>
      </c>
      <c r="I223" s="23">
        <f>IF(Intereses_Leasing_Mensual!I223&gt;0, ROUND(328680.01 - Intereses_Leasing_Mensual!I223, 2), "")</f>
        <v/>
      </c>
      <c r="J223" s="23">
        <f>IF(Intereses_Leasing_Mensual!J223&gt;0, ROUND(I223 - Intereses_Leasing_Mensual!J223, 2), "")</f>
        <v/>
      </c>
      <c r="K223" s="23">
        <f>IF(Intereses_Leasing_Mensual!K223&gt;0, ROUND(J223 - Intereses_Leasing_Mensual!K223, 2), "")</f>
        <v/>
      </c>
      <c r="L223" s="23">
        <f>IF(Intereses_Leasing_Mensual!L223&gt;0, ROUND(K223 - Intereses_Leasing_Mensual!L223, 2), "")</f>
        <v/>
      </c>
      <c r="M223" s="23">
        <f>IF(Intereses_Leasing_Mensual!M223&gt;0, ROUND(L223 - Intereses_Leasing_Mensual!M223, 2), "")</f>
        <v/>
      </c>
      <c r="N223" s="23">
        <f>IF(Intereses_Leasing_Mensual!N223&gt;0, ROUND(M223 - Intereses_Leasing_Mensual!N223, 2), "")</f>
        <v/>
      </c>
      <c r="O223" s="23">
        <f>IF(Intereses_Leasing_Mensual!O223&gt;0, ROUND(N223 - Intereses_Leasing_Mensual!O223, 2), "")</f>
        <v/>
      </c>
      <c r="P223" s="23">
        <f>IF(Intereses_Leasing_Mensual!P223&gt;0, ROUND(O223 - Intereses_Leasing_Mensual!P223, 2), "")</f>
        <v/>
      </c>
      <c r="Q223" s="23">
        <f>IF(Intereses_Leasing_Mensual!Q223&gt;0, ROUND(P223 - Intereses_Leasing_Mensual!Q223, 2), "")</f>
        <v/>
      </c>
      <c r="R223" s="23">
        <f>IF(Intereses_Leasing_Mensual!R223&gt;0, ROUND(Q223 - Intereses_Leasing_Mensual!R223, 2), "")</f>
        <v/>
      </c>
      <c r="S223" s="23">
        <f>IF(Intereses_Leasing_Mensual!S223&gt;0, ROUND(R223 - Intereses_Leasing_Mensual!S223, 2), "")</f>
        <v/>
      </c>
      <c r="T223" s="23">
        <f>IF(Intereses_Leasing_Mensual!T223&gt;0, ROUND(S223 - Intereses_Leasing_Mensual!T223, 2), "")</f>
        <v/>
      </c>
      <c r="U223" s="23">
        <f>MAX(I223:T223)</f>
        <v/>
      </c>
    </row>
    <row r="224">
      <c r="A224" s="26" t="inlineStr">
        <is>
          <t>0738-0001</t>
        </is>
      </c>
      <c r="B224" s="27" t="inlineStr">
        <is>
          <t>Vinaria Distribución S.A.S.</t>
        </is>
      </c>
      <c r="C224" s="27" t="inlineStr">
        <is>
          <t>700 BIGHORN "S" CREW CAB CVT</t>
        </is>
      </c>
      <c r="D224" s="26" t="inlineStr">
        <is>
          <t>ACTIVO</t>
        </is>
      </c>
      <c r="E224" s="26" t="inlineStr">
        <is>
          <t>2025-12-24</t>
        </is>
      </c>
      <c r="F224" s="26" t="inlineStr">
        <is>
          <t>2028-12-24</t>
        </is>
      </c>
      <c r="G224" s="28" t="n">
        <v>36</v>
      </c>
      <c r="H224" s="29" t="n">
        <v>161548.62</v>
      </c>
      <c r="I224" s="29">
        <f>IF(Intereses_Leasing_Mensual!I224&gt;0, ROUND(154641.78 - Intereses_Leasing_Mensual!I224, 2), "")</f>
        <v/>
      </c>
      <c r="J224" s="29">
        <f>IF(Intereses_Leasing_Mensual!J224&gt;0, ROUND(I224 - Intereses_Leasing_Mensual!J224, 2), "")</f>
        <v/>
      </c>
      <c r="K224" s="29">
        <f>IF(Intereses_Leasing_Mensual!K224&gt;0, ROUND(J224 - Intereses_Leasing_Mensual!K224, 2), "")</f>
        <v/>
      </c>
      <c r="L224" s="29">
        <f>IF(Intereses_Leasing_Mensual!L224&gt;0, ROUND(K224 - Intereses_Leasing_Mensual!L224, 2), "")</f>
        <v/>
      </c>
      <c r="M224" s="29">
        <f>IF(Intereses_Leasing_Mensual!M224&gt;0, ROUND(L224 - Intereses_Leasing_Mensual!M224, 2), "")</f>
        <v/>
      </c>
      <c r="N224" s="29">
        <f>IF(Intereses_Leasing_Mensual!N224&gt;0, ROUND(M224 - Intereses_Leasing_Mensual!N224, 2), "")</f>
        <v/>
      </c>
      <c r="O224" s="29">
        <f>IF(Intereses_Leasing_Mensual!O224&gt;0, ROUND(N224 - Intereses_Leasing_Mensual!O224, 2), "")</f>
        <v/>
      </c>
      <c r="P224" s="29">
        <f>IF(Intereses_Leasing_Mensual!P224&gt;0, ROUND(O224 - Intereses_Leasing_Mensual!P224, 2), "")</f>
        <v/>
      </c>
      <c r="Q224" s="29">
        <f>IF(Intereses_Leasing_Mensual!Q224&gt;0, ROUND(P224 - Intereses_Leasing_Mensual!Q224, 2), "")</f>
        <v/>
      </c>
      <c r="R224" s="29">
        <f>IF(Intereses_Leasing_Mensual!R224&gt;0, ROUND(Q224 - Intereses_Leasing_Mensual!R224, 2), "")</f>
        <v/>
      </c>
      <c r="S224" s="29">
        <f>IF(Intereses_Leasing_Mensual!S224&gt;0, ROUND(R224 - Intereses_Leasing_Mensual!S224, 2), "")</f>
        <v/>
      </c>
      <c r="T224" s="29">
        <f>IF(Intereses_Leasing_Mensual!T224&gt;0, ROUND(S224 - Intereses_Leasing_Mensual!T224, 2), "")</f>
        <v/>
      </c>
      <c r="U224" s="29">
        <f>MAX(I224:T224)</f>
        <v/>
      </c>
    </row>
    <row r="225">
      <c r="A225" s="20" t="inlineStr">
        <is>
          <t>0739-0001</t>
        </is>
      </c>
      <c r="B225" s="21" t="inlineStr">
        <is>
          <t>Miriam Patricia López Flores</t>
        </is>
      </c>
      <c r="C225" s="21" t="inlineStr">
        <is>
          <t>Jeep Wrangler Unlimited Rubicon</t>
        </is>
      </c>
      <c r="D225" s="20" t="inlineStr">
        <is>
          <t>ACTIVO</t>
        </is>
      </c>
      <c r="E225" s="20" t="inlineStr">
        <is>
          <t>2025-12-23</t>
        </is>
      </c>
      <c r="F225" s="20" t="inlineStr">
        <is>
          <t>2029-12-23</t>
        </is>
      </c>
      <c r="G225" s="22" t="n">
        <v>48</v>
      </c>
      <c r="H225" s="23" t="n">
        <v>901262.9</v>
      </c>
      <c r="I225" s="23">
        <f>IF(Intereses_Leasing_Mensual!I225&gt;0, ROUND(872900.64 - Intereses_Leasing_Mensual!I225, 2), "")</f>
        <v/>
      </c>
      <c r="J225" s="23">
        <f>IF(Intereses_Leasing_Mensual!J225&gt;0, ROUND(I225 - Intereses_Leasing_Mensual!J225, 2), "")</f>
        <v/>
      </c>
      <c r="K225" s="23">
        <f>IF(Intereses_Leasing_Mensual!K225&gt;0, ROUND(J225 - Intereses_Leasing_Mensual!K225, 2), "")</f>
        <v/>
      </c>
      <c r="L225" s="23">
        <f>IF(Intereses_Leasing_Mensual!L225&gt;0, ROUND(K225 - Intereses_Leasing_Mensual!L225, 2), "")</f>
        <v/>
      </c>
      <c r="M225" s="23">
        <f>IF(Intereses_Leasing_Mensual!M225&gt;0, ROUND(L225 - Intereses_Leasing_Mensual!M225, 2), "")</f>
        <v/>
      </c>
      <c r="N225" s="23">
        <f>IF(Intereses_Leasing_Mensual!N225&gt;0, ROUND(M225 - Intereses_Leasing_Mensual!N225, 2), "")</f>
        <v/>
      </c>
      <c r="O225" s="23">
        <f>IF(Intereses_Leasing_Mensual!O225&gt;0, ROUND(N225 - Intereses_Leasing_Mensual!O225, 2), "")</f>
        <v/>
      </c>
      <c r="P225" s="23">
        <f>IF(Intereses_Leasing_Mensual!P225&gt;0, ROUND(O225 - Intereses_Leasing_Mensual!P225, 2), "")</f>
        <v/>
      </c>
      <c r="Q225" s="23">
        <f>IF(Intereses_Leasing_Mensual!Q225&gt;0, ROUND(P225 - Intereses_Leasing_Mensual!Q225, 2), "")</f>
        <v/>
      </c>
      <c r="R225" s="23">
        <f>IF(Intereses_Leasing_Mensual!R225&gt;0, ROUND(Q225 - Intereses_Leasing_Mensual!R225, 2), "")</f>
        <v/>
      </c>
      <c r="S225" s="23">
        <f>IF(Intereses_Leasing_Mensual!S225&gt;0, ROUND(R225 - Intereses_Leasing_Mensual!S225, 2), "")</f>
        <v/>
      </c>
      <c r="T225" s="23">
        <f>IF(Intereses_Leasing_Mensual!T225&gt;0, ROUND(S225 - Intereses_Leasing_Mensual!T225, 2), "")</f>
        <v/>
      </c>
      <c r="U225" s="23">
        <f>MAX(I225:T225)</f>
        <v/>
      </c>
    </row>
    <row r="226">
      <c r="A226" s="26" t="inlineStr">
        <is>
          <t>0740-0001</t>
        </is>
      </c>
      <c r="B226" s="27" t="inlineStr">
        <is>
          <t>Sanatorio Versalles de Guadalajara</t>
        </is>
      </c>
      <c r="C226" s="27" t="inlineStr">
        <is>
          <t>1200 Bighorn</t>
        </is>
      </c>
      <c r="D226" s="26" t="inlineStr">
        <is>
          <t>ACTIVO</t>
        </is>
      </c>
      <c r="E226" s="26" t="inlineStr">
        <is>
          <t>2025-12-30</t>
        </is>
      </c>
      <c r="F226" s="26" t="inlineStr">
        <is>
          <t>2026-12-30</t>
        </is>
      </c>
      <c r="G226" s="28" t="n">
        <v>12</v>
      </c>
      <c r="H226" s="29" t="n">
        <v>54562.71</v>
      </c>
      <c r="I226" s="29">
        <f>IF(Intereses_Leasing_Mensual!I226&gt;0, ROUND(47433.73 - Intereses_Leasing_Mensual!I226, 2), "")</f>
        <v/>
      </c>
      <c r="J226" s="29">
        <f>IF(Intereses_Leasing_Mensual!J226&gt;0, ROUND(I226 - Intereses_Leasing_Mensual!J226, 2), "")</f>
        <v/>
      </c>
      <c r="K226" s="29">
        <f>IF(Intereses_Leasing_Mensual!K226&gt;0, ROUND(J226 - Intereses_Leasing_Mensual!K226, 2), "")</f>
        <v/>
      </c>
      <c r="L226" s="29">
        <f>IF(Intereses_Leasing_Mensual!L226&gt;0, ROUND(K226 - Intereses_Leasing_Mensual!L226, 2), "")</f>
        <v/>
      </c>
      <c r="M226" s="29">
        <f>IF(Intereses_Leasing_Mensual!M226&gt;0, ROUND(L226 - Intereses_Leasing_Mensual!M226, 2), "")</f>
        <v/>
      </c>
      <c r="N226" s="29">
        <f>IF(Intereses_Leasing_Mensual!N226&gt;0, ROUND(M226 - Intereses_Leasing_Mensual!N226, 2), "")</f>
        <v/>
      </c>
      <c r="O226" s="29">
        <f>IF(Intereses_Leasing_Mensual!O226&gt;0, ROUND(N226 - Intereses_Leasing_Mensual!O226, 2), "")</f>
        <v/>
      </c>
      <c r="P226" s="29">
        <f>IF(Intereses_Leasing_Mensual!P226&gt;0, ROUND(O226 - Intereses_Leasing_Mensual!P226, 2), "")</f>
        <v/>
      </c>
      <c r="Q226" s="29">
        <f>IF(Intereses_Leasing_Mensual!Q226&gt;0, ROUND(P226 - Intereses_Leasing_Mensual!Q226, 2), "")</f>
        <v/>
      </c>
      <c r="R226" s="29">
        <f>IF(Intereses_Leasing_Mensual!R226&gt;0, ROUND(Q226 - Intereses_Leasing_Mensual!R226, 2), "")</f>
        <v/>
      </c>
      <c r="S226" s="29">
        <f>IF(Intereses_Leasing_Mensual!S226&gt;0, ROUND(R226 - Intereses_Leasing_Mensual!S226, 2), "")</f>
        <v/>
      </c>
      <c r="T226" s="29" t="inlineStr"/>
      <c r="U226" s="29">
        <f>MAX(I226:T226)</f>
        <v/>
      </c>
    </row>
    <row r="227">
      <c r="A227" s="20" t="inlineStr">
        <is>
          <t>0741-0001</t>
        </is>
      </c>
      <c r="B227" s="21" t="inlineStr">
        <is>
          <t>Alvaró Agustin Navarro Castellón</t>
        </is>
      </c>
      <c r="C227" s="21" t="inlineStr">
        <is>
          <t>Manager Furgon L4H2</t>
        </is>
      </c>
      <c r="D227" s="20" t="inlineStr">
        <is>
          <t>ACTIVO</t>
        </is>
      </c>
      <c r="E227" s="20" t="inlineStr">
        <is>
          <t>2025-12-31</t>
        </is>
      </c>
      <c r="F227" s="20" t="inlineStr">
        <is>
          <t>2029-12-31</t>
        </is>
      </c>
      <c r="G227" s="22" t="n">
        <v>48</v>
      </c>
      <c r="H227" s="23" t="n">
        <v>727533.7</v>
      </c>
      <c r="I227" s="23">
        <f>IF(Intereses_Leasing_Mensual!I227&gt;0, ROUND(707304.23 - Intereses_Leasing_Mensual!I227, 2), "")</f>
        <v/>
      </c>
      <c r="J227" s="23">
        <f>IF(Intereses_Leasing_Mensual!J227&gt;0, ROUND(I227 - Intereses_Leasing_Mensual!J227, 2), "")</f>
        <v/>
      </c>
      <c r="K227" s="23">
        <f>IF(Intereses_Leasing_Mensual!K227&gt;0, ROUND(J227 - Intereses_Leasing_Mensual!K227, 2), "")</f>
        <v/>
      </c>
      <c r="L227" s="23">
        <f>IF(Intereses_Leasing_Mensual!L227&gt;0, ROUND(K227 - Intereses_Leasing_Mensual!L227, 2), "")</f>
        <v/>
      </c>
      <c r="M227" s="23">
        <f>IF(Intereses_Leasing_Mensual!M227&gt;0, ROUND(L227 - Intereses_Leasing_Mensual!M227, 2), "")</f>
        <v/>
      </c>
      <c r="N227" s="23">
        <f>IF(Intereses_Leasing_Mensual!N227&gt;0, ROUND(M227 - Intereses_Leasing_Mensual!N227, 2), "")</f>
        <v/>
      </c>
      <c r="O227" s="23">
        <f>IF(Intereses_Leasing_Mensual!O227&gt;0, ROUND(N227 - Intereses_Leasing_Mensual!O227, 2), "")</f>
        <v/>
      </c>
      <c r="P227" s="23">
        <f>IF(Intereses_Leasing_Mensual!P227&gt;0, ROUND(O227 - Intereses_Leasing_Mensual!P227, 2), "")</f>
        <v/>
      </c>
      <c r="Q227" s="23">
        <f>IF(Intereses_Leasing_Mensual!Q227&gt;0, ROUND(P227 - Intereses_Leasing_Mensual!Q227, 2), "")</f>
        <v/>
      </c>
      <c r="R227" s="23">
        <f>IF(Intereses_Leasing_Mensual!R227&gt;0, ROUND(Q227 - Intereses_Leasing_Mensual!R227, 2), "")</f>
        <v/>
      </c>
      <c r="S227" s="23">
        <f>IF(Intereses_Leasing_Mensual!S227&gt;0, ROUND(R227 - Intereses_Leasing_Mensual!S227, 2), "")</f>
        <v/>
      </c>
      <c r="T227" s="23">
        <f>IF(Intereses_Leasing_Mensual!T227&gt;0, ROUND(S227 - Intereses_Leasing_Mensual!T227, 2), "")</f>
        <v/>
      </c>
      <c r="U227" s="23">
        <f>MAX(I227:T227)</f>
        <v/>
      </c>
    </row>
    <row r="228">
      <c r="A228" s="26" t="inlineStr">
        <is>
          <t>0742-0001</t>
        </is>
      </c>
      <c r="B228" s="27" t="inlineStr">
        <is>
          <t>Universidad de las Américas y el Caribe, S.C.</t>
        </is>
      </c>
      <c r="C228" s="27" t="inlineStr">
        <is>
          <t>700 BIGHORN "S" CREW CAB MT</t>
        </is>
      </c>
      <c r="D228" s="26" t="inlineStr">
        <is>
          <t>ACTIVO</t>
        </is>
      </c>
      <c r="E228" s="26" t="inlineStr">
        <is>
          <t>2026-01-07</t>
        </is>
      </c>
      <c r="F228" s="26" t="inlineStr">
        <is>
          <t>2029-01-07</t>
        </is>
      </c>
      <c r="G228" s="28" t="n">
        <v>36</v>
      </c>
      <c r="H228" s="29" t="n">
        <v>194286.73</v>
      </c>
      <c r="I228" s="29">
        <f>IF(Intereses_Leasing_Mensual!I228&gt;0, ROUND($H228 - Intereses_Leasing_Mensual!I228, 2), "")</f>
        <v/>
      </c>
      <c r="J228" s="29">
        <f>IF(Intereses_Leasing_Mensual!J228&gt;0, ROUND(I228 - Intereses_Leasing_Mensual!J228, 2), "")</f>
        <v/>
      </c>
      <c r="K228" s="29">
        <f>IF(Intereses_Leasing_Mensual!K228&gt;0, ROUND(J228 - Intereses_Leasing_Mensual!K228, 2), "")</f>
        <v/>
      </c>
      <c r="L228" s="29">
        <f>IF(Intereses_Leasing_Mensual!L228&gt;0, ROUND(K228 - Intereses_Leasing_Mensual!L228, 2), "")</f>
        <v/>
      </c>
      <c r="M228" s="29">
        <f>IF(Intereses_Leasing_Mensual!M228&gt;0, ROUND(L228 - Intereses_Leasing_Mensual!M228, 2), "")</f>
        <v/>
      </c>
      <c r="N228" s="29">
        <f>IF(Intereses_Leasing_Mensual!N228&gt;0, ROUND(M228 - Intereses_Leasing_Mensual!N228, 2), "")</f>
        <v/>
      </c>
      <c r="O228" s="29">
        <f>IF(Intereses_Leasing_Mensual!O228&gt;0, ROUND(N228 - Intereses_Leasing_Mensual!O228, 2), "")</f>
        <v/>
      </c>
      <c r="P228" s="29">
        <f>IF(Intereses_Leasing_Mensual!P228&gt;0, ROUND(O228 - Intereses_Leasing_Mensual!P228, 2), "")</f>
        <v/>
      </c>
      <c r="Q228" s="29">
        <f>IF(Intereses_Leasing_Mensual!Q228&gt;0, ROUND(P228 - Intereses_Leasing_Mensual!Q228, 2), "")</f>
        <v/>
      </c>
      <c r="R228" s="29">
        <f>IF(Intereses_Leasing_Mensual!R228&gt;0, ROUND(Q228 - Intereses_Leasing_Mensual!R228, 2), "")</f>
        <v/>
      </c>
      <c r="S228" s="29">
        <f>IF(Intereses_Leasing_Mensual!S228&gt;0, ROUND(R228 - Intereses_Leasing_Mensual!S228, 2), "")</f>
        <v/>
      </c>
      <c r="T228" s="29">
        <f>IF(Intereses_Leasing_Mensual!T228&gt;0, ROUND(S228 - Intereses_Leasing_Mensual!T228, 2), "")</f>
        <v/>
      </c>
      <c r="U228" s="29">
        <f>MAX(I228:T228)</f>
        <v/>
      </c>
    </row>
    <row r="229">
      <c r="A229" s="20" t="inlineStr">
        <is>
          <t>0742-0002</t>
        </is>
      </c>
      <c r="B229" s="21" t="inlineStr">
        <is>
          <t>Universidad de las Américas y el Caribe, S.C.</t>
        </is>
      </c>
      <c r="C229" s="21" t="inlineStr">
        <is>
          <t>700 BIGHORN "S" CREW CAB CVT</t>
        </is>
      </c>
      <c r="D229" s="20" t="inlineStr">
        <is>
          <t>ACTIVO</t>
        </is>
      </c>
      <c r="E229" s="20" t="inlineStr">
        <is>
          <t>2026-01-07</t>
        </is>
      </c>
      <c r="F229" s="20" t="inlineStr">
        <is>
          <t>2029-01-07</t>
        </is>
      </c>
      <c r="G229" s="22" t="n">
        <v>36</v>
      </c>
      <c r="H229" s="23" t="n">
        <v>212536.51</v>
      </c>
      <c r="I229" s="23">
        <f>IF(Intereses_Leasing_Mensual!I229&gt;0, ROUND($H229 - Intereses_Leasing_Mensual!I229, 2), "")</f>
        <v/>
      </c>
      <c r="J229" s="23">
        <f>IF(Intereses_Leasing_Mensual!J229&gt;0, ROUND(I229 - Intereses_Leasing_Mensual!J229, 2), "")</f>
        <v/>
      </c>
      <c r="K229" s="23">
        <f>IF(Intereses_Leasing_Mensual!K229&gt;0, ROUND(J229 - Intereses_Leasing_Mensual!K229, 2), "")</f>
        <v/>
      </c>
      <c r="L229" s="23">
        <f>IF(Intereses_Leasing_Mensual!L229&gt;0, ROUND(K229 - Intereses_Leasing_Mensual!L229, 2), "")</f>
        <v/>
      </c>
      <c r="M229" s="23">
        <f>IF(Intereses_Leasing_Mensual!M229&gt;0, ROUND(L229 - Intereses_Leasing_Mensual!M229, 2), "")</f>
        <v/>
      </c>
      <c r="N229" s="23">
        <f>IF(Intereses_Leasing_Mensual!N229&gt;0, ROUND(M229 - Intereses_Leasing_Mensual!N229, 2), "")</f>
        <v/>
      </c>
      <c r="O229" s="23">
        <f>IF(Intereses_Leasing_Mensual!O229&gt;0, ROUND(N229 - Intereses_Leasing_Mensual!O229, 2), "")</f>
        <v/>
      </c>
      <c r="P229" s="23">
        <f>IF(Intereses_Leasing_Mensual!P229&gt;0, ROUND(O229 - Intereses_Leasing_Mensual!P229, 2), "")</f>
        <v/>
      </c>
      <c r="Q229" s="23">
        <f>IF(Intereses_Leasing_Mensual!Q229&gt;0, ROUND(P229 - Intereses_Leasing_Mensual!Q229, 2), "")</f>
        <v/>
      </c>
      <c r="R229" s="23">
        <f>IF(Intereses_Leasing_Mensual!R229&gt;0, ROUND(Q229 - Intereses_Leasing_Mensual!R229, 2), "")</f>
        <v/>
      </c>
      <c r="S229" s="23">
        <f>IF(Intereses_Leasing_Mensual!S229&gt;0, ROUND(R229 - Intereses_Leasing_Mensual!S229, 2), "")</f>
        <v/>
      </c>
      <c r="T229" s="23">
        <f>IF(Intereses_Leasing_Mensual!T229&gt;0, ROUND(S229 - Intereses_Leasing_Mensual!T229, 2), "")</f>
        <v/>
      </c>
      <c r="U229" s="23">
        <f>MAX(I229:T229)</f>
        <v/>
      </c>
    </row>
    <row r="230">
      <c r="A230" s="26" t="inlineStr">
        <is>
          <t>0743-0001</t>
        </is>
      </c>
      <c r="B230" s="27" t="inlineStr">
        <is>
          <t>IEM Soluciones Integrales, S.C.</t>
        </is>
      </c>
      <c r="C230" s="27" t="inlineStr">
        <is>
          <t>1200 BIGHORN CC</t>
        </is>
      </c>
      <c r="D230" s="26" t="inlineStr">
        <is>
          <t>ACTIVO</t>
        </is>
      </c>
      <c r="E230" s="26" t="inlineStr">
        <is>
          <t>2026-01-23</t>
        </is>
      </c>
      <c r="F230" s="26" t="inlineStr">
        <is>
          <t>2029-01-23</t>
        </is>
      </c>
      <c r="G230" s="28" t="n">
        <v>36</v>
      </c>
      <c r="H230" s="29" t="n">
        <v>186449.62</v>
      </c>
      <c r="I230" s="29">
        <f>IF(Intereses_Leasing_Mensual!I230&gt;0, ROUND($H230 - Intereses_Leasing_Mensual!I230, 2), "")</f>
        <v/>
      </c>
      <c r="J230" s="29">
        <f>IF(Intereses_Leasing_Mensual!J230&gt;0, ROUND(I230 - Intereses_Leasing_Mensual!J230, 2), "")</f>
        <v/>
      </c>
      <c r="K230" s="29">
        <f>IF(Intereses_Leasing_Mensual!K230&gt;0, ROUND(J230 - Intereses_Leasing_Mensual!K230, 2), "")</f>
        <v/>
      </c>
      <c r="L230" s="29">
        <f>IF(Intereses_Leasing_Mensual!L230&gt;0, ROUND(K230 - Intereses_Leasing_Mensual!L230, 2), "")</f>
        <v/>
      </c>
      <c r="M230" s="29">
        <f>IF(Intereses_Leasing_Mensual!M230&gt;0, ROUND(L230 - Intereses_Leasing_Mensual!M230, 2), "")</f>
        <v/>
      </c>
      <c r="N230" s="29">
        <f>IF(Intereses_Leasing_Mensual!N230&gt;0, ROUND(M230 - Intereses_Leasing_Mensual!N230, 2), "")</f>
        <v/>
      </c>
      <c r="O230" s="29">
        <f>IF(Intereses_Leasing_Mensual!O230&gt;0, ROUND(N230 - Intereses_Leasing_Mensual!O230, 2), "")</f>
        <v/>
      </c>
      <c r="P230" s="29">
        <f>IF(Intereses_Leasing_Mensual!P230&gt;0, ROUND(O230 - Intereses_Leasing_Mensual!P230, 2), "")</f>
        <v/>
      </c>
      <c r="Q230" s="29">
        <f>IF(Intereses_Leasing_Mensual!Q230&gt;0, ROUND(P230 - Intereses_Leasing_Mensual!Q230, 2), "")</f>
        <v/>
      </c>
      <c r="R230" s="29">
        <f>IF(Intereses_Leasing_Mensual!R230&gt;0, ROUND(Q230 - Intereses_Leasing_Mensual!R230, 2), "")</f>
        <v/>
      </c>
      <c r="S230" s="29">
        <f>IF(Intereses_Leasing_Mensual!S230&gt;0, ROUND(R230 - Intereses_Leasing_Mensual!S230, 2), "")</f>
        <v/>
      </c>
      <c r="T230" s="29">
        <f>IF(Intereses_Leasing_Mensual!T230&gt;0, ROUND(S230 - Intereses_Leasing_Mensual!T230, 2), "")</f>
        <v/>
      </c>
      <c r="U230" s="29">
        <f>MAX(I230:T230)</f>
        <v/>
      </c>
    </row>
    <row r="231">
      <c r="A231" s="20" t="inlineStr">
        <is>
          <t>0744-0001</t>
        </is>
      </c>
      <c r="B231" s="21" t="inlineStr">
        <is>
          <t>H&amp;A Edicon, S.A. de C.V.</t>
        </is>
      </c>
      <c r="C231" s="21" t="inlineStr">
        <is>
          <t>NP 300 Chasis Cabina</t>
        </is>
      </c>
      <c r="D231" s="20" t="inlineStr">
        <is>
          <t>ACTIVO</t>
        </is>
      </c>
      <c r="E231" s="20" t="inlineStr">
        <is>
          <t>2026-01-09</t>
        </is>
      </c>
      <c r="F231" s="20" t="inlineStr">
        <is>
          <t>2028-01-09</t>
        </is>
      </c>
      <c r="G231" s="22" t="n">
        <v>24</v>
      </c>
      <c r="H231" s="23" t="n">
        <v>142670.36</v>
      </c>
      <c r="I231" s="23">
        <f>IF(Intereses_Leasing_Mensual!I231&gt;0, ROUND($H231 - Intereses_Leasing_Mensual!I231, 2), "")</f>
        <v/>
      </c>
      <c r="J231" s="23">
        <f>IF(Intereses_Leasing_Mensual!J231&gt;0, ROUND(I231 - Intereses_Leasing_Mensual!J231, 2), "")</f>
        <v/>
      </c>
      <c r="K231" s="23">
        <f>IF(Intereses_Leasing_Mensual!K231&gt;0, ROUND(J231 - Intereses_Leasing_Mensual!K231, 2), "")</f>
        <v/>
      </c>
      <c r="L231" s="23">
        <f>IF(Intereses_Leasing_Mensual!L231&gt;0, ROUND(K231 - Intereses_Leasing_Mensual!L231, 2), "")</f>
        <v/>
      </c>
      <c r="M231" s="23">
        <f>IF(Intereses_Leasing_Mensual!M231&gt;0, ROUND(L231 - Intereses_Leasing_Mensual!M231, 2), "")</f>
        <v/>
      </c>
      <c r="N231" s="23">
        <f>IF(Intereses_Leasing_Mensual!N231&gt;0, ROUND(M231 - Intereses_Leasing_Mensual!N231, 2), "")</f>
        <v/>
      </c>
      <c r="O231" s="23">
        <f>IF(Intereses_Leasing_Mensual!O231&gt;0, ROUND(N231 - Intereses_Leasing_Mensual!O231, 2), "")</f>
        <v/>
      </c>
      <c r="P231" s="23">
        <f>IF(Intereses_Leasing_Mensual!P231&gt;0, ROUND(O231 - Intereses_Leasing_Mensual!P231, 2), "")</f>
        <v/>
      </c>
      <c r="Q231" s="23">
        <f>IF(Intereses_Leasing_Mensual!Q231&gt;0, ROUND(P231 - Intereses_Leasing_Mensual!Q231, 2), "")</f>
        <v/>
      </c>
      <c r="R231" s="23">
        <f>IF(Intereses_Leasing_Mensual!R231&gt;0, ROUND(Q231 - Intereses_Leasing_Mensual!R231, 2), "")</f>
        <v/>
      </c>
      <c r="S231" s="23">
        <f>IF(Intereses_Leasing_Mensual!S231&gt;0, ROUND(R231 - Intereses_Leasing_Mensual!S231, 2), "")</f>
        <v/>
      </c>
      <c r="T231" s="23">
        <f>IF(Intereses_Leasing_Mensual!T231&gt;0, ROUND(S231 - Intereses_Leasing_Mensual!T231, 2), "")</f>
        <v/>
      </c>
      <c r="U231" s="23">
        <f>MAX(I231:T231)</f>
        <v/>
      </c>
    </row>
    <row r="232">
      <c r="A232" s="26" t="inlineStr">
        <is>
          <t>0745-0001</t>
        </is>
      </c>
      <c r="B232" s="27" t="inlineStr">
        <is>
          <t>Industrializadora de Productos Lácteos y Derivados los Cuates, S.A. de C.V.</t>
        </is>
      </c>
      <c r="C232" s="27" t="inlineStr">
        <is>
          <t>Outlander Sport SE Plus</t>
        </is>
      </c>
      <c r="D232" s="26" t="inlineStr">
        <is>
          <t>ACTIVO</t>
        </is>
      </c>
      <c r="E232" s="26" t="inlineStr">
        <is>
          <t>2026-01-22</t>
        </is>
      </c>
      <c r="F232" s="26" t="inlineStr">
        <is>
          <t>2029-01-22</t>
        </is>
      </c>
      <c r="G232" s="28" t="n">
        <v>36</v>
      </c>
      <c r="H232" s="29" t="n">
        <v>159323.64</v>
      </c>
      <c r="I232" s="29">
        <f>IF(Intereses_Leasing_Mensual!I232&gt;0, ROUND($H232 - Intereses_Leasing_Mensual!I232, 2), "")</f>
        <v/>
      </c>
      <c r="J232" s="29">
        <f>IF(Intereses_Leasing_Mensual!J232&gt;0, ROUND(I232 - Intereses_Leasing_Mensual!J232, 2), "")</f>
        <v/>
      </c>
      <c r="K232" s="29">
        <f>IF(Intereses_Leasing_Mensual!K232&gt;0, ROUND(J232 - Intereses_Leasing_Mensual!K232, 2), "")</f>
        <v/>
      </c>
      <c r="L232" s="29">
        <f>IF(Intereses_Leasing_Mensual!L232&gt;0, ROUND(K232 - Intereses_Leasing_Mensual!L232, 2), "")</f>
        <v/>
      </c>
      <c r="M232" s="29">
        <f>IF(Intereses_Leasing_Mensual!M232&gt;0, ROUND(L232 - Intereses_Leasing_Mensual!M232, 2), "")</f>
        <v/>
      </c>
      <c r="N232" s="29">
        <f>IF(Intereses_Leasing_Mensual!N232&gt;0, ROUND(M232 - Intereses_Leasing_Mensual!N232, 2), "")</f>
        <v/>
      </c>
      <c r="O232" s="29">
        <f>IF(Intereses_Leasing_Mensual!O232&gt;0, ROUND(N232 - Intereses_Leasing_Mensual!O232, 2), "")</f>
        <v/>
      </c>
      <c r="P232" s="29">
        <f>IF(Intereses_Leasing_Mensual!P232&gt;0, ROUND(O232 - Intereses_Leasing_Mensual!P232, 2), "")</f>
        <v/>
      </c>
      <c r="Q232" s="29">
        <f>IF(Intereses_Leasing_Mensual!Q232&gt;0, ROUND(P232 - Intereses_Leasing_Mensual!Q232, 2), "")</f>
        <v/>
      </c>
      <c r="R232" s="29">
        <f>IF(Intereses_Leasing_Mensual!R232&gt;0, ROUND(Q232 - Intereses_Leasing_Mensual!R232, 2), "")</f>
        <v/>
      </c>
      <c r="S232" s="29">
        <f>IF(Intereses_Leasing_Mensual!S232&gt;0, ROUND(R232 - Intereses_Leasing_Mensual!S232, 2), "")</f>
        <v/>
      </c>
      <c r="T232" s="29">
        <f>IF(Intereses_Leasing_Mensual!T232&gt;0, ROUND(S232 - Intereses_Leasing_Mensual!T232, 2), "")</f>
        <v/>
      </c>
      <c r="U232" s="29">
        <f>MAX(I232:T232)</f>
        <v/>
      </c>
    </row>
    <row r="233">
      <c r="A233" s="20" t="inlineStr">
        <is>
          <t>0746-0001</t>
        </is>
      </c>
      <c r="B233" s="21" t="inlineStr">
        <is>
          <t>Giovanni Salvador Medina Rubio</t>
        </is>
      </c>
      <c r="C233" s="21" t="inlineStr">
        <is>
          <t>Rapid</t>
        </is>
      </c>
      <c r="D233" s="20" t="inlineStr">
        <is>
          <t>ACTIVO</t>
        </is>
      </c>
      <c r="E233" s="20" t="inlineStr">
        <is>
          <t>2026-02-02</t>
        </is>
      </c>
      <c r="F233" s="20" t="inlineStr">
        <is>
          <t>2029-02-02</t>
        </is>
      </c>
      <c r="G233" s="22" t="n">
        <v>36</v>
      </c>
      <c r="H233" s="23" t="n">
        <v>142337.79</v>
      </c>
      <c r="I233" s="23" t="inlineStr"/>
      <c r="J233" s="23">
        <f>IF(Intereses_Leasing_Mensual!J233&gt;0, ROUND($H233 - Intereses_Leasing_Mensual!J233, 2), "")</f>
        <v/>
      </c>
      <c r="K233" s="23">
        <f>IF(Intereses_Leasing_Mensual!K233&gt;0, ROUND(J233 - Intereses_Leasing_Mensual!K233, 2), "")</f>
        <v/>
      </c>
      <c r="L233" s="23">
        <f>IF(Intereses_Leasing_Mensual!L233&gt;0, ROUND(K233 - Intereses_Leasing_Mensual!L233, 2), "")</f>
        <v/>
      </c>
      <c r="M233" s="23">
        <f>IF(Intereses_Leasing_Mensual!M233&gt;0, ROUND(L233 - Intereses_Leasing_Mensual!M233, 2), "")</f>
        <v/>
      </c>
      <c r="N233" s="23">
        <f>IF(Intereses_Leasing_Mensual!N233&gt;0, ROUND(M233 - Intereses_Leasing_Mensual!N233, 2), "")</f>
        <v/>
      </c>
      <c r="O233" s="23">
        <f>IF(Intereses_Leasing_Mensual!O233&gt;0, ROUND(N233 - Intereses_Leasing_Mensual!O233, 2), "")</f>
        <v/>
      </c>
      <c r="P233" s="23">
        <f>IF(Intereses_Leasing_Mensual!P233&gt;0, ROUND(O233 - Intereses_Leasing_Mensual!P233, 2), "")</f>
        <v/>
      </c>
      <c r="Q233" s="23">
        <f>IF(Intereses_Leasing_Mensual!Q233&gt;0, ROUND(P233 - Intereses_Leasing_Mensual!Q233, 2), "")</f>
        <v/>
      </c>
      <c r="R233" s="23">
        <f>IF(Intereses_Leasing_Mensual!R233&gt;0, ROUND(Q233 - Intereses_Leasing_Mensual!R233, 2), "")</f>
        <v/>
      </c>
      <c r="S233" s="23">
        <f>IF(Intereses_Leasing_Mensual!S233&gt;0, ROUND(R233 - Intereses_Leasing_Mensual!S233, 2), "")</f>
        <v/>
      </c>
      <c r="T233" s="23">
        <f>IF(Intereses_Leasing_Mensual!T233&gt;0, ROUND(S233 - Intereses_Leasing_Mensual!T233, 2), "")</f>
        <v/>
      </c>
      <c r="U233" s="23">
        <f>MAX(I233:T233)</f>
        <v/>
      </c>
    </row>
    <row r="234">
      <c r="A234" s="26" t="inlineStr">
        <is>
          <t>0747-0001</t>
        </is>
      </c>
      <c r="B234" s="27" t="inlineStr">
        <is>
          <t>Brandon Joel Zepeda Romero</t>
        </is>
      </c>
      <c r="C234" s="27" t="inlineStr">
        <is>
          <t>Ranger Raptor</t>
        </is>
      </c>
      <c r="D234" s="26" t="inlineStr">
        <is>
          <t>ACTIVO</t>
        </is>
      </c>
      <c r="E234" s="26" t="inlineStr">
        <is>
          <t>2026-02-24</t>
        </is>
      </c>
      <c r="F234" s="26" t="inlineStr">
        <is>
          <t>2030-02-24</t>
        </is>
      </c>
      <c r="G234" s="28" t="n">
        <v>48</v>
      </c>
      <c r="H234" s="29" t="n">
        <v>737725.92</v>
      </c>
      <c r="I234" s="29" t="inlineStr"/>
      <c r="J234" s="29">
        <f>IF(Intereses_Leasing_Mensual!J234&gt;0, ROUND($H234 - Intereses_Leasing_Mensual!J234, 2), "")</f>
        <v/>
      </c>
      <c r="K234" s="29">
        <f>IF(Intereses_Leasing_Mensual!K234&gt;0, ROUND(J234 - Intereses_Leasing_Mensual!K234, 2), "")</f>
        <v/>
      </c>
      <c r="L234" s="29">
        <f>IF(Intereses_Leasing_Mensual!L234&gt;0, ROUND(K234 - Intereses_Leasing_Mensual!L234, 2), "")</f>
        <v/>
      </c>
      <c r="M234" s="29">
        <f>IF(Intereses_Leasing_Mensual!M234&gt;0, ROUND(L234 - Intereses_Leasing_Mensual!M234, 2), "")</f>
        <v/>
      </c>
      <c r="N234" s="29">
        <f>IF(Intereses_Leasing_Mensual!N234&gt;0, ROUND(M234 - Intereses_Leasing_Mensual!N234, 2), "")</f>
        <v/>
      </c>
      <c r="O234" s="29">
        <f>IF(Intereses_Leasing_Mensual!O234&gt;0, ROUND(N234 - Intereses_Leasing_Mensual!O234, 2), "")</f>
        <v/>
      </c>
      <c r="P234" s="29">
        <f>IF(Intereses_Leasing_Mensual!P234&gt;0, ROUND(O234 - Intereses_Leasing_Mensual!P234, 2), "")</f>
        <v/>
      </c>
      <c r="Q234" s="29">
        <f>IF(Intereses_Leasing_Mensual!Q234&gt;0, ROUND(P234 - Intereses_Leasing_Mensual!Q234, 2), "")</f>
        <v/>
      </c>
      <c r="R234" s="29">
        <f>IF(Intereses_Leasing_Mensual!R234&gt;0, ROUND(Q234 - Intereses_Leasing_Mensual!R234, 2), "")</f>
        <v/>
      </c>
      <c r="S234" s="29">
        <f>IF(Intereses_Leasing_Mensual!S234&gt;0, ROUND(R234 - Intereses_Leasing_Mensual!S234, 2), "")</f>
        <v/>
      </c>
      <c r="T234" s="29">
        <f>IF(Intereses_Leasing_Mensual!T234&gt;0, ROUND(S234 - Intereses_Leasing_Mensual!T234, 2), "")</f>
        <v/>
      </c>
      <c r="U234" s="29">
        <f>MAX(I234:T234)</f>
        <v/>
      </c>
    </row>
    <row r="235">
      <c r="A235" s="20" t="inlineStr">
        <is>
          <t>0748-0001</t>
        </is>
      </c>
      <c r="B235" s="21" t="inlineStr">
        <is>
          <t>Carlos Guerra Iñiguez</t>
        </is>
      </c>
      <c r="C235" s="21" t="inlineStr">
        <is>
          <t>L200 GLX</t>
        </is>
      </c>
      <c r="D235" s="20" t="inlineStr">
        <is>
          <t>ACTIVO</t>
        </is>
      </c>
      <c r="E235" s="20" t="inlineStr">
        <is>
          <t>2026-03-02</t>
        </is>
      </c>
      <c r="F235" s="20" t="inlineStr">
        <is>
          <t>2030-03-02</t>
        </is>
      </c>
      <c r="G235" s="22" t="n">
        <v>48</v>
      </c>
      <c r="H235" s="23" t="n">
        <v>288015.74</v>
      </c>
      <c r="I235" s="23" t="inlineStr"/>
      <c r="J235" s="23" t="inlineStr"/>
      <c r="K235" s="23">
        <f>IF(Intereses_Leasing_Mensual!K235&gt;0, ROUND($H235 - Intereses_Leasing_Mensual!K235, 2), "")</f>
        <v/>
      </c>
      <c r="L235" s="23">
        <f>IF(Intereses_Leasing_Mensual!L235&gt;0, ROUND(K235 - Intereses_Leasing_Mensual!L235, 2), "")</f>
        <v/>
      </c>
      <c r="M235" s="23">
        <f>IF(Intereses_Leasing_Mensual!M235&gt;0, ROUND(L235 - Intereses_Leasing_Mensual!M235, 2), "")</f>
        <v/>
      </c>
      <c r="N235" s="23">
        <f>IF(Intereses_Leasing_Mensual!N235&gt;0, ROUND(M235 - Intereses_Leasing_Mensual!N235, 2), "")</f>
        <v/>
      </c>
      <c r="O235" s="23">
        <f>IF(Intereses_Leasing_Mensual!O235&gt;0, ROUND(N235 - Intereses_Leasing_Mensual!O235, 2), "")</f>
        <v/>
      </c>
      <c r="P235" s="23">
        <f>IF(Intereses_Leasing_Mensual!P235&gt;0, ROUND(O235 - Intereses_Leasing_Mensual!P235, 2), "")</f>
        <v/>
      </c>
      <c r="Q235" s="23">
        <f>IF(Intereses_Leasing_Mensual!Q235&gt;0, ROUND(P235 - Intereses_Leasing_Mensual!Q235, 2), "")</f>
        <v/>
      </c>
      <c r="R235" s="23">
        <f>IF(Intereses_Leasing_Mensual!R235&gt;0, ROUND(Q235 - Intereses_Leasing_Mensual!R235, 2), "")</f>
        <v/>
      </c>
      <c r="S235" s="23">
        <f>IF(Intereses_Leasing_Mensual!S235&gt;0, ROUND(R235 - Intereses_Leasing_Mensual!S235, 2), "")</f>
        <v/>
      </c>
      <c r="T235" s="23">
        <f>IF(Intereses_Leasing_Mensual!T235&gt;0, ROUND(S235 - Intereses_Leasing_Mensual!T235, 2), "")</f>
        <v/>
      </c>
      <c r="U235" s="23">
        <f>MAX(I235:T235)</f>
        <v/>
      </c>
    </row>
    <row r="236">
      <c r="A236" s="26" t="inlineStr">
        <is>
          <t>0749-0001</t>
        </is>
      </c>
      <c r="B236" s="27" t="inlineStr">
        <is>
          <t>Álvarez Fletes Nacionales, S.C.</t>
        </is>
      </c>
      <c r="C236" s="27" t="inlineStr">
        <is>
          <t>RAM 700 TRADESMAN CC</t>
        </is>
      </c>
      <c r="D236" s="26" t="inlineStr">
        <is>
          <t>ACTIVO</t>
        </is>
      </c>
      <c r="E236" s="26" t="inlineStr">
        <is>
          <t>2026-03-23</t>
        </is>
      </c>
      <c r="F236" s="26" t="inlineStr">
        <is>
          <t>2029-03-23</t>
        </is>
      </c>
      <c r="G236" s="28" t="n">
        <v>36</v>
      </c>
      <c r="H236" s="29" t="n">
        <v>167588.61</v>
      </c>
      <c r="I236" s="29" t="inlineStr"/>
      <c r="J236" s="29" t="inlineStr"/>
      <c r="K236" s="29">
        <f>IF(Intereses_Leasing_Mensual!K236&gt;0, ROUND($H236 - Intereses_Leasing_Mensual!K236, 2), "")</f>
        <v/>
      </c>
      <c r="L236" s="29">
        <f>IF(Intereses_Leasing_Mensual!L236&gt;0, ROUND(K236 - Intereses_Leasing_Mensual!L236, 2), "")</f>
        <v/>
      </c>
      <c r="M236" s="29">
        <f>IF(Intereses_Leasing_Mensual!M236&gt;0, ROUND(L236 - Intereses_Leasing_Mensual!M236, 2), "")</f>
        <v/>
      </c>
      <c r="N236" s="29">
        <f>IF(Intereses_Leasing_Mensual!N236&gt;0, ROUND(M236 - Intereses_Leasing_Mensual!N236, 2), "")</f>
        <v/>
      </c>
      <c r="O236" s="29">
        <f>IF(Intereses_Leasing_Mensual!O236&gt;0, ROUND(N236 - Intereses_Leasing_Mensual!O236, 2), "")</f>
        <v/>
      </c>
      <c r="P236" s="29">
        <f>IF(Intereses_Leasing_Mensual!P236&gt;0, ROUND(O236 - Intereses_Leasing_Mensual!P236, 2), "")</f>
        <v/>
      </c>
      <c r="Q236" s="29">
        <f>IF(Intereses_Leasing_Mensual!Q236&gt;0, ROUND(P236 - Intereses_Leasing_Mensual!Q236, 2), "")</f>
        <v/>
      </c>
      <c r="R236" s="29">
        <f>IF(Intereses_Leasing_Mensual!R236&gt;0, ROUND(Q236 - Intereses_Leasing_Mensual!R236, 2), "")</f>
        <v/>
      </c>
      <c r="S236" s="29">
        <f>IF(Intereses_Leasing_Mensual!S236&gt;0, ROUND(R236 - Intereses_Leasing_Mensual!S236, 2), "")</f>
        <v/>
      </c>
      <c r="T236" s="29">
        <f>IF(Intereses_Leasing_Mensual!T236&gt;0, ROUND(S236 - Intereses_Leasing_Mensual!T236, 2), "")</f>
        <v/>
      </c>
      <c r="U236" s="29">
        <f>MAX(I236:T236)</f>
        <v/>
      </c>
    </row>
    <row r="237">
      <c r="A237" s="20" t="inlineStr">
        <is>
          <t>0749-0002</t>
        </is>
      </c>
      <c r="B237" s="21" t="inlineStr">
        <is>
          <t>Álvarez Fletes Nacionales, S.C.</t>
        </is>
      </c>
      <c r="C237" s="21" t="inlineStr">
        <is>
          <t>RAM 700 TRADESMAN CC</t>
        </is>
      </c>
      <c r="D237" s="20" t="inlineStr">
        <is>
          <t>ACTIVO</t>
        </is>
      </c>
      <c r="E237" s="20" t="inlineStr">
        <is>
          <t>2026-03-23</t>
        </is>
      </c>
      <c r="F237" s="20" t="inlineStr">
        <is>
          <t>2029-03-23</t>
        </is>
      </c>
      <c r="G237" s="22" t="n">
        <v>36</v>
      </c>
      <c r="H237" s="23" t="n">
        <v>167588.61</v>
      </c>
      <c r="I237" s="23" t="inlineStr"/>
      <c r="J237" s="23" t="inlineStr"/>
      <c r="K237" s="23">
        <f>IF(Intereses_Leasing_Mensual!K237&gt;0, ROUND($H237 - Intereses_Leasing_Mensual!K237, 2), "")</f>
        <v/>
      </c>
      <c r="L237" s="23">
        <f>IF(Intereses_Leasing_Mensual!L237&gt;0, ROUND(K237 - Intereses_Leasing_Mensual!L237, 2), "")</f>
        <v/>
      </c>
      <c r="M237" s="23">
        <f>IF(Intereses_Leasing_Mensual!M237&gt;0, ROUND(L237 - Intereses_Leasing_Mensual!M237, 2), "")</f>
        <v/>
      </c>
      <c r="N237" s="23">
        <f>IF(Intereses_Leasing_Mensual!N237&gt;0, ROUND(M237 - Intereses_Leasing_Mensual!N237, 2), "")</f>
        <v/>
      </c>
      <c r="O237" s="23">
        <f>IF(Intereses_Leasing_Mensual!O237&gt;0, ROUND(N237 - Intereses_Leasing_Mensual!O237, 2), "")</f>
        <v/>
      </c>
      <c r="P237" s="23">
        <f>IF(Intereses_Leasing_Mensual!P237&gt;0, ROUND(O237 - Intereses_Leasing_Mensual!P237, 2), "")</f>
        <v/>
      </c>
      <c r="Q237" s="23">
        <f>IF(Intereses_Leasing_Mensual!Q237&gt;0, ROUND(P237 - Intereses_Leasing_Mensual!Q237, 2), "")</f>
        <v/>
      </c>
      <c r="R237" s="23">
        <f>IF(Intereses_Leasing_Mensual!R237&gt;0, ROUND(Q237 - Intereses_Leasing_Mensual!R237, 2), "")</f>
        <v/>
      </c>
      <c r="S237" s="23">
        <f>IF(Intereses_Leasing_Mensual!S237&gt;0, ROUND(R237 - Intereses_Leasing_Mensual!S237, 2), "")</f>
        <v/>
      </c>
      <c r="T237" s="23">
        <f>IF(Intereses_Leasing_Mensual!T237&gt;0, ROUND(S237 - Intereses_Leasing_Mensual!T237, 2), "")</f>
        <v/>
      </c>
      <c r="U237" s="23">
        <f>MAX(I237:T237)</f>
        <v/>
      </c>
    </row>
    <row r="238">
      <c r="A238" s="26" t="inlineStr">
        <is>
          <t>0750-0001</t>
        </is>
      </c>
      <c r="B238" s="27" t="inlineStr">
        <is>
          <t>Idea Gelato S de RL de CV</t>
        </is>
      </c>
      <c r="C238" s="27" t="inlineStr">
        <is>
          <t>Expert Furgon</t>
        </is>
      </c>
      <c r="D238" s="26" t="inlineStr">
        <is>
          <t>ACTIVO</t>
        </is>
      </c>
      <c r="E238" s="26" t="inlineStr">
        <is>
          <t>2026-03-31</t>
        </is>
      </c>
      <c r="F238" s="26" t="inlineStr">
        <is>
          <t>2028-03-31</t>
        </is>
      </c>
      <c r="G238" s="28" t="n">
        <v>24</v>
      </c>
      <c r="H238" s="29" t="n">
        <v>180740.71</v>
      </c>
      <c r="I238" s="29" t="inlineStr"/>
      <c r="J238" s="29" t="inlineStr"/>
      <c r="K238" s="29">
        <f>IF(Intereses_Leasing_Mensual!K238&gt;0, ROUND($H238 - Intereses_Leasing_Mensual!K238, 2), "")</f>
        <v/>
      </c>
      <c r="L238" s="29">
        <f>IF(Intereses_Leasing_Mensual!L238&gt;0, ROUND(K238 - Intereses_Leasing_Mensual!L238, 2), "")</f>
        <v/>
      </c>
      <c r="M238" s="29">
        <f>IF(Intereses_Leasing_Mensual!M238&gt;0, ROUND(L238 - Intereses_Leasing_Mensual!M238, 2), "")</f>
        <v/>
      </c>
      <c r="N238" s="29">
        <f>IF(Intereses_Leasing_Mensual!N238&gt;0, ROUND(M238 - Intereses_Leasing_Mensual!N238, 2), "")</f>
        <v/>
      </c>
      <c r="O238" s="29">
        <f>IF(Intereses_Leasing_Mensual!O238&gt;0, ROUND(N238 - Intereses_Leasing_Mensual!O238, 2), "")</f>
        <v/>
      </c>
      <c r="P238" s="29">
        <f>IF(Intereses_Leasing_Mensual!P238&gt;0, ROUND(O238 - Intereses_Leasing_Mensual!P238, 2), "")</f>
        <v/>
      </c>
      <c r="Q238" s="29">
        <f>IF(Intereses_Leasing_Mensual!Q238&gt;0, ROUND(P238 - Intereses_Leasing_Mensual!Q238, 2), "")</f>
        <v/>
      </c>
      <c r="R238" s="29">
        <f>IF(Intereses_Leasing_Mensual!R238&gt;0, ROUND(Q238 - Intereses_Leasing_Mensual!R238, 2), "")</f>
        <v/>
      </c>
      <c r="S238" s="29">
        <f>IF(Intereses_Leasing_Mensual!S238&gt;0, ROUND(R238 - Intereses_Leasing_Mensual!S238, 2), "")</f>
        <v/>
      </c>
      <c r="T238" s="29">
        <f>IF(Intereses_Leasing_Mensual!T238&gt;0, ROUND(S238 - Intereses_Leasing_Mensual!T238, 2), "")</f>
        <v/>
      </c>
      <c r="U238" s="29">
        <f>MAX(I238:T238)</f>
        <v/>
      </c>
    </row>
    <row r="239">
      <c r="A239" s="20" t="inlineStr">
        <is>
          <t>0752-0001</t>
        </is>
      </c>
      <c r="B239" s="21" t="inlineStr">
        <is>
          <t>Fernando Plasencia Lopez</t>
        </is>
      </c>
      <c r="C239" s="21" t="inlineStr">
        <is>
          <t>Grand Cherokee Limited</t>
        </is>
      </c>
      <c r="D239" s="20" t="inlineStr">
        <is>
          <t>ACTIVO</t>
        </is>
      </c>
      <c r="E239" s="20" t="inlineStr">
        <is>
          <t>2026-03-31</t>
        </is>
      </c>
      <c r="F239" s="20" t="inlineStr">
        <is>
          <t>2028-03-31</t>
        </is>
      </c>
      <c r="G239" s="22" t="n">
        <v>24</v>
      </c>
      <c r="H239" s="23" t="n">
        <v>487898.17</v>
      </c>
      <c r="I239" s="23" t="inlineStr"/>
      <c r="J239" s="23" t="inlineStr"/>
      <c r="K239" s="23">
        <f>IF(Intereses_Leasing_Mensual!K239&gt;0, ROUND($H239 - Intereses_Leasing_Mensual!K239, 2), "")</f>
        <v/>
      </c>
      <c r="L239" s="23">
        <f>IF(Intereses_Leasing_Mensual!L239&gt;0, ROUND(K239 - Intereses_Leasing_Mensual!L239, 2), "")</f>
        <v/>
      </c>
      <c r="M239" s="23">
        <f>IF(Intereses_Leasing_Mensual!M239&gt;0, ROUND(L239 - Intereses_Leasing_Mensual!M239, 2), "")</f>
        <v/>
      </c>
      <c r="N239" s="23">
        <f>IF(Intereses_Leasing_Mensual!N239&gt;0, ROUND(M239 - Intereses_Leasing_Mensual!N239, 2), "")</f>
        <v/>
      </c>
      <c r="O239" s="23">
        <f>IF(Intereses_Leasing_Mensual!O239&gt;0, ROUND(N239 - Intereses_Leasing_Mensual!O239, 2), "")</f>
        <v/>
      </c>
      <c r="P239" s="23">
        <f>IF(Intereses_Leasing_Mensual!P239&gt;0, ROUND(O239 - Intereses_Leasing_Mensual!P239, 2), "")</f>
        <v/>
      </c>
      <c r="Q239" s="23">
        <f>IF(Intereses_Leasing_Mensual!Q239&gt;0, ROUND(P239 - Intereses_Leasing_Mensual!Q239, 2), "")</f>
        <v/>
      </c>
      <c r="R239" s="23">
        <f>IF(Intereses_Leasing_Mensual!R239&gt;0, ROUND(Q239 - Intereses_Leasing_Mensual!R239, 2), "")</f>
        <v/>
      </c>
      <c r="S239" s="23">
        <f>IF(Intereses_Leasing_Mensual!S239&gt;0, ROUND(R239 - Intereses_Leasing_Mensual!S239, 2), "")</f>
        <v/>
      </c>
      <c r="T239" s="23">
        <f>IF(Intereses_Leasing_Mensual!T239&gt;0, ROUND(S239 - Intereses_Leasing_Mensual!T239, 2), "")</f>
        <v/>
      </c>
      <c r="U239" s="23">
        <f>MAX(I239:T239)</f>
        <v/>
      </c>
    </row>
    <row r="240">
      <c r="A240" s="26" t="inlineStr">
        <is>
          <t>0752-0002</t>
        </is>
      </c>
      <c r="B240" s="27" t="inlineStr">
        <is>
          <t>Fernando Plasencia Lopez</t>
        </is>
      </c>
      <c r="C240" s="27" t="inlineStr">
        <is>
          <t>Grand Cherokee Altitude</t>
        </is>
      </c>
      <c r="D240" s="26" t="inlineStr">
        <is>
          <t>ACTIVO</t>
        </is>
      </c>
      <c r="E240" s="26" t="inlineStr">
        <is>
          <t>2026-03-31</t>
        </is>
      </c>
      <c r="F240" s="26" t="inlineStr">
        <is>
          <t>2028-03-31</t>
        </is>
      </c>
      <c r="G240" s="28" t="n">
        <v>24</v>
      </c>
      <c r="H240" s="29" t="n">
        <v>415004.67</v>
      </c>
      <c r="I240" s="29" t="inlineStr"/>
      <c r="J240" s="29" t="inlineStr"/>
      <c r="K240" s="29">
        <f>IF(Intereses_Leasing_Mensual!K240&gt;0, ROUND($H240 - Intereses_Leasing_Mensual!K240, 2), "")</f>
        <v/>
      </c>
      <c r="L240" s="29">
        <f>IF(Intereses_Leasing_Mensual!L240&gt;0, ROUND(K240 - Intereses_Leasing_Mensual!L240, 2), "")</f>
        <v/>
      </c>
      <c r="M240" s="29">
        <f>IF(Intereses_Leasing_Mensual!M240&gt;0, ROUND(L240 - Intereses_Leasing_Mensual!M240, 2), "")</f>
        <v/>
      </c>
      <c r="N240" s="29">
        <f>IF(Intereses_Leasing_Mensual!N240&gt;0, ROUND(M240 - Intereses_Leasing_Mensual!N240, 2), "")</f>
        <v/>
      </c>
      <c r="O240" s="29">
        <f>IF(Intereses_Leasing_Mensual!O240&gt;0, ROUND(N240 - Intereses_Leasing_Mensual!O240, 2), "")</f>
        <v/>
      </c>
      <c r="P240" s="29">
        <f>IF(Intereses_Leasing_Mensual!P240&gt;0, ROUND(O240 - Intereses_Leasing_Mensual!P240, 2), "")</f>
        <v/>
      </c>
      <c r="Q240" s="29">
        <f>IF(Intereses_Leasing_Mensual!Q240&gt;0, ROUND(P240 - Intereses_Leasing_Mensual!Q240, 2), "")</f>
        <v/>
      </c>
      <c r="R240" s="29">
        <f>IF(Intereses_Leasing_Mensual!R240&gt;0, ROUND(Q240 - Intereses_Leasing_Mensual!R240, 2), "")</f>
        <v/>
      </c>
      <c r="S240" s="29">
        <f>IF(Intereses_Leasing_Mensual!S240&gt;0, ROUND(R240 - Intereses_Leasing_Mensual!S240, 2), "")</f>
        <v/>
      </c>
      <c r="T240" s="29">
        <f>IF(Intereses_Leasing_Mensual!T240&gt;0, ROUND(S240 - Intereses_Leasing_Mensual!T240, 2), "")</f>
        <v/>
      </c>
      <c r="U240" s="29">
        <f>MAX(I240:T240)</f>
        <v/>
      </c>
    </row>
    <row r="241">
      <c r="A241" s="20" t="inlineStr">
        <is>
          <t>0752-0003</t>
        </is>
      </c>
      <c r="B241" s="21" t="inlineStr">
        <is>
          <t>Fernando Plasencia Lopez</t>
        </is>
      </c>
      <c r="C241" s="21" t="inlineStr">
        <is>
          <t>Grand Cherokee Summit</t>
        </is>
      </c>
      <c r="D241" s="20" t="inlineStr">
        <is>
          <t>ACTIVO</t>
        </is>
      </c>
      <c r="E241" s="20" t="inlineStr">
        <is>
          <t>2026-05-13</t>
        </is>
      </c>
      <c r="F241" s="20" t="inlineStr">
        <is>
          <t>2028-05-13</t>
        </is>
      </c>
      <c r="G241" s="22" t="n">
        <v>24</v>
      </c>
      <c r="H241" s="23" t="n">
        <v>1147425.62</v>
      </c>
      <c r="I241" s="23" t="inlineStr"/>
      <c r="J241" s="23" t="inlineStr"/>
      <c r="K241" s="23" t="inlineStr"/>
      <c r="L241" s="23" t="inlineStr"/>
      <c r="M241" s="23">
        <f>IF(Intereses_Leasing_Mensual!M241&gt;0, ROUND($H241 - Intereses_Leasing_Mensual!M241, 2), "")</f>
        <v/>
      </c>
      <c r="N241" s="23">
        <f>IF(Intereses_Leasing_Mensual!N241&gt;0, ROUND(M241 - Intereses_Leasing_Mensual!N241, 2), "")</f>
        <v/>
      </c>
      <c r="O241" s="23">
        <f>IF(Intereses_Leasing_Mensual!O241&gt;0, ROUND(N241 - Intereses_Leasing_Mensual!O241, 2), "")</f>
        <v/>
      </c>
      <c r="P241" s="23">
        <f>IF(Intereses_Leasing_Mensual!P241&gt;0, ROUND(O241 - Intereses_Leasing_Mensual!P241, 2), "")</f>
        <v/>
      </c>
      <c r="Q241" s="23">
        <f>IF(Intereses_Leasing_Mensual!Q241&gt;0, ROUND(P241 - Intereses_Leasing_Mensual!Q241, 2), "")</f>
        <v/>
      </c>
      <c r="R241" s="23">
        <f>IF(Intereses_Leasing_Mensual!R241&gt;0, ROUND(Q241 - Intereses_Leasing_Mensual!R241, 2), "")</f>
        <v/>
      </c>
      <c r="S241" s="23">
        <f>IF(Intereses_Leasing_Mensual!S241&gt;0, ROUND(R241 - Intereses_Leasing_Mensual!S241, 2), "")</f>
        <v/>
      </c>
      <c r="T241" s="23">
        <f>IF(Intereses_Leasing_Mensual!T241&gt;0, ROUND(S241 - Intereses_Leasing_Mensual!T241, 2), "")</f>
        <v/>
      </c>
      <c r="U241" s="23">
        <f>MAX(I241:T241)</f>
        <v/>
      </c>
    </row>
    <row r="242">
      <c r="A242" s="26" t="inlineStr">
        <is>
          <t>0752-0004</t>
        </is>
      </c>
      <c r="B242" s="27" t="inlineStr">
        <is>
          <t>Fernando Plasencia Lopez</t>
        </is>
      </c>
      <c r="C242" s="27" t="inlineStr">
        <is>
          <t>1200 BIGHORN CC</t>
        </is>
      </c>
      <c r="D242" s="26" t="inlineStr">
        <is>
          <t>ACTIVO</t>
        </is>
      </c>
      <c r="E242" s="26" t="inlineStr">
        <is>
          <t>2026-06-05</t>
        </is>
      </c>
      <c r="F242" s="26" t="inlineStr">
        <is>
          <t>2030-06-05</t>
        </is>
      </c>
      <c r="G242" s="28" t="n">
        <v>48</v>
      </c>
      <c r="H242" s="29" t="n">
        <v>443401.64</v>
      </c>
      <c r="I242" s="29" t="inlineStr"/>
      <c r="J242" s="29" t="inlineStr"/>
      <c r="K242" s="29" t="inlineStr"/>
      <c r="L242" s="29" t="inlineStr"/>
      <c r="M242" s="29" t="inlineStr"/>
      <c r="N242" s="29">
        <f>IF(Intereses_Leasing_Mensual!N242&gt;0, ROUND($H242 - Intereses_Leasing_Mensual!N242, 2), "")</f>
        <v/>
      </c>
      <c r="O242" s="29">
        <f>IF(Intereses_Leasing_Mensual!O242&gt;0, ROUND(N242 - Intereses_Leasing_Mensual!O242, 2), "")</f>
        <v/>
      </c>
      <c r="P242" s="29">
        <f>IF(Intereses_Leasing_Mensual!P242&gt;0, ROUND(O242 - Intereses_Leasing_Mensual!P242, 2), "")</f>
        <v/>
      </c>
      <c r="Q242" s="29">
        <f>IF(Intereses_Leasing_Mensual!Q242&gt;0, ROUND(P242 - Intereses_Leasing_Mensual!Q242, 2), "")</f>
        <v/>
      </c>
      <c r="R242" s="29">
        <f>IF(Intereses_Leasing_Mensual!R242&gt;0, ROUND(Q242 - Intereses_Leasing_Mensual!R242, 2), "")</f>
        <v/>
      </c>
      <c r="S242" s="29">
        <f>IF(Intereses_Leasing_Mensual!S242&gt;0, ROUND(R242 - Intereses_Leasing_Mensual!S242, 2), "")</f>
        <v/>
      </c>
      <c r="T242" s="29">
        <f>IF(Intereses_Leasing_Mensual!T242&gt;0, ROUND(S242 - Intereses_Leasing_Mensual!T242, 2), "")</f>
        <v/>
      </c>
      <c r="U242" s="29">
        <f>MAX(I242:T242)</f>
        <v/>
      </c>
    </row>
    <row r="243">
      <c r="A243" s="20" t="inlineStr">
        <is>
          <t>0752-0005</t>
        </is>
      </c>
      <c r="B243" s="21" t="inlineStr">
        <is>
          <t>Fernando Plasencia Lopez</t>
        </is>
      </c>
      <c r="C243" s="21" t="inlineStr">
        <is>
          <t>Grand Charokee Altitude</t>
        </is>
      </c>
      <c r="D243" s="20" t="inlineStr">
        <is>
          <t>ACTIVO</t>
        </is>
      </c>
      <c r="E243" s="20" t="inlineStr">
        <is>
          <t>2026-06-05</t>
        </is>
      </c>
      <c r="F243" s="20" t="inlineStr">
        <is>
          <t>2028-06-05</t>
        </is>
      </c>
      <c r="G243" s="22" t="n">
        <v>24</v>
      </c>
      <c r="H243" s="23" t="n">
        <v>439346.25</v>
      </c>
      <c r="I243" s="23" t="inlineStr"/>
      <c r="J243" s="23" t="inlineStr"/>
      <c r="K243" s="23" t="inlineStr"/>
      <c r="L243" s="23" t="inlineStr"/>
      <c r="M243" s="23" t="inlineStr"/>
      <c r="N243" s="23">
        <f>IF(Intereses_Leasing_Mensual!N243&gt;0, ROUND($H243 - Intereses_Leasing_Mensual!N243, 2), "")</f>
        <v/>
      </c>
      <c r="O243" s="23">
        <f>IF(Intereses_Leasing_Mensual!O243&gt;0, ROUND(N243 - Intereses_Leasing_Mensual!O243, 2), "")</f>
        <v/>
      </c>
      <c r="P243" s="23">
        <f>IF(Intereses_Leasing_Mensual!P243&gt;0, ROUND(O243 - Intereses_Leasing_Mensual!P243, 2), "")</f>
        <v/>
      </c>
      <c r="Q243" s="23">
        <f>IF(Intereses_Leasing_Mensual!Q243&gt;0, ROUND(P243 - Intereses_Leasing_Mensual!Q243, 2), "")</f>
        <v/>
      </c>
      <c r="R243" s="23">
        <f>IF(Intereses_Leasing_Mensual!R243&gt;0, ROUND(Q243 - Intereses_Leasing_Mensual!R243, 2), "")</f>
        <v/>
      </c>
      <c r="S243" s="23">
        <f>IF(Intereses_Leasing_Mensual!S243&gt;0, ROUND(R243 - Intereses_Leasing_Mensual!S243, 2), "")</f>
        <v/>
      </c>
      <c r="T243" s="23">
        <f>IF(Intereses_Leasing_Mensual!T243&gt;0, ROUND(S243 - Intereses_Leasing_Mensual!T243, 2), "")</f>
        <v/>
      </c>
      <c r="U243" s="23">
        <f>MAX(I243:T243)</f>
        <v/>
      </c>
    </row>
    <row r="244">
      <c r="A244" s="26" t="inlineStr">
        <is>
          <t>0753-0001</t>
        </is>
      </c>
      <c r="B244" s="27" t="inlineStr">
        <is>
          <t>Milodi Seguridad Privada</t>
        </is>
      </c>
      <c r="C244" s="27" t="inlineStr">
        <is>
          <t>Alsvin</t>
        </is>
      </c>
      <c r="D244" s="26" t="inlineStr">
        <is>
          <t>ACTIVO</t>
        </is>
      </c>
      <c r="E244" s="26" t="inlineStr">
        <is>
          <t>2026-03-31</t>
        </is>
      </c>
      <c r="F244" s="26" t="inlineStr">
        <is>
          <t>2029-03-31</t>
        </is>
      </c>
      <c r="G244" s="28" t="n">
        <v>36</v>
      </c>
      <c r="H244" s="29" t="n">
        <v>129632.97</v>
      </c>
      <c r="I244" s="29" t="inlineStr"/>
      <c r="J244" s="29" t="inlineStr"/>
      <c r="K244" s="29">
        <f>IF(Intereses_Leasing_Mensual!K244&gt;0, ROUND($H244 - Intereses_Leasing_Mensual!K244, 2), "")</f>
        <v/>
      </c>
      <c r="L244" s="29">
        <f>IF(Intereses_Leasing_Mensual!L244&gt;0, ROUND(K244 - Intereses_Leasing_Mensual!L244, 2), "")</f>
        <v/>
      </c>
      <c r="M244" s="29">
        <f>IF(Intereses_Leasing_Mensual!M244&gt;0, ROUND(L244 - Intereses_Leasing_Mensual!M244, 2), "")</f>
        <v/>
      </c>
      <c r="N244" s="29">
        <f>IF(Intereses_Leasing_Mensual!N244&gt;0, ROUND(M244 - Intereses_Leasing_Mensual!N244, 2), "")</f>
        <v/>
      </c>
      <c r="O244" s="29">
        <f>IF(Intereses_Leasing_Mensual!O244&gt;0, ROUND(N244 - Intereses_Leasing_Mensual!O244, 2), "")</f>
        <v/>
      </c>
      <c r="P244" s="29">
        <f>IF(Intereses_Leasing_Mensual!P244&gt;0, ROUND(O244 - Intereses_Leasing_Mensual!P244, 2), "")</f>
        <v/>
      </c>
      <c r="Q244" s="29">
        <f>IF(Intereses_Leasing_Mensual!Q244&gt;0, ROUND(P244 - Intereses_Leasing_Mensual!Q244, 2), "")</f>
        <v/>
      </c>
      <c r="R244" s="29">
        <f>IF(Intereses_Leasing_Mensual!R244&gt;0, ROUND(Q244 - Intereses_Leasing_Mensual!R244, 2), "")</f>
        <v/>
      </c>
      <c r="S244" s="29">
        <f>IF(Intereses_Leasing_Mensual!S244&gt;0, ROUND(R244 - Intereses_Leasing_Mensual!S244, 2), "")</f>
        <v/>
      </c>
      <c r="T244" s="29">
        <f>IF(Intereses_Leasing_Mensual!T244&gt;0, ROUND(S244 - Intereses_Leasing_Mensual!T244, 2), "")</f>
        <v/>
      </c>
      <c r="U244" s="29">
        <f>MAX(I244:T244)</f>
        <v/>
      </c>
    </row>
    <row r="245">
      <c r="A245" s="20" t="inlineStr">
        <is>
          <t>0753-0003</t>
        </is>
      </c>
      <c r="B245" s="21" t="inlineStr">
        <is>
          <t>Milodi Seguridad Privada</t>
        </is>
      </c>
      <c r="C245" s="21" t="inlineStr">
        <is>
          <t>CS35</t>
        </is>
      </c>
      <c r="D245" s="20" t="inlineStr">
        <is>
          <t>ACTIVO</t>
        </is>
      </c>
      <c r="E245" s="20" t="inlineStr">
        <is>
          <t>2026-06-16</t>
        </is>
      </c>
      <c r="F245" s="20" t="inlineStr">
        <is>
          <t>2029-06-16</t>
        </is>
      </c>
      <c r="G245" s="22" t="n">
        <v>36</v>
      </c>
      <c r="H245" s="23" t="n">
        <v>180691.21</v>
      </c>
      <c r="I245" s="23" t="inlineStr"/>
      <c r="J245" s="23" t="inlineStr"/>
      <c r="K245" s="23" t="inlineStr"/>
      <c r="L245" s="23" t="inlineStr"/>
      <c r="M245" s="23" t="inlineStr"/>
      <c r="N245" s="23">
        <f>IF(Intereses_Leasing_Mensual!N245&gt;0, ROUND($H245 - Intereses_Leasing_Mensual!N245, 2), "")</f>
        <v/>
      </c>
      <c r="O245" s="23">
        <f>IF(Intereses_Leasing_Mensual!O245&gt;0, ROUND(N245 - Intereses_Leasing_Mensual!O245, 2), "")</f>
        <v/>
      </c>
      <c r="P245" s="23">
        <f>IF(Intereses_Leasing_Mensual!P245&gt;0, ROUND(O245 - Intereses_Leasing_Mensual!P245, 2), "")</f>
        <v/>
      </c>
      <c r="Q245" s="23">
        <f>IF(Intereses_Leasing_Mensual!Q245&gt;0, ROUND(P245 - Intereses_Leasing_Mensual!Q245, 2), "")</f>
        <v/>
      </c>
      <c r="R245" s="23">
        <f>IF(Intereses_Leasing_Mensual!R245&gt;0, ROUND(Q245 - Intereses_Leasing_Mensual!R245, 2), "")</f>
        <v/>
      </c>
      <c r="S245" s="23">
        <f>IF(Intereses_Leasing_Mensual!S245&gt;0, ROUND(R245 - Intereses_Leasing_Mensual!S245, 2), "")</f>
        <v/>
      </c>
      <c r="T245" s="23">
        <f>IF(Intereses_Leasing_Mensual!T245&gt;0, ROUND(S245 - Intereses_Leasing_Mensual!T245, 2), "")</f>
        <v/>
      </c>
      <c r="U245" s="23">
        <f>MAX(I245:T245)</f>
        <v/>
      </c>
    </row>
    <row r="246">
      <c r="A246" s="26" t="inlineStr">
        <is>
          <t>0754-0001</t>
        </is>
      </c>
      <c r="B246" s="27" t="inlineStr">
        <is>
          <t>Luis Guillermo Rios Villaseñor</t>
        </is>
      </c>
      <c r="C246" s="27" t="inlineStr">
        <is>
          <t>2008 GT</t>
        </is>
      </c>
      <c r="D246" s="26" t="inlineStr">
        <is>
          <t>ACTIVO</t>
        </is>
      </c>
      <c r="E246" s="26" t="inlineStr">
        <is>
          <t>2026-04-23</t>
        </is>
      </c>
      <c r="F246" s="26" t="inlineStr">
        <is>
          <t>2028-04-23</t>
        </is>
      </c>
      <c r="G246" s="28" t="n">
        <v>24</v>
      </c>
      <c r="H246" s="29" t="n">
        <v>124163.86</v>
      </c>
      <c r="I246" s="29" t="inlineStr"/>
      <c r="J246" s="29" t="inlineStr"/>
      <c r="K246" s="29" t="inlineStr"/>
      <c r="L246" s="29">
        <f>IF(Intereses_Leasing_Mensual!L246&gt;0, ROUND($H246 - Intereses_Leasing_Mensual!L246, 2), "")</f>
        <v/>
      </c>
      <c r="M246" s="29">
        <f>IF(Intereses_Leasing_Mensual!M246&gt;0, ROUND(L246 - Intereses_Leasing_Mensual!M246, 2), "")</f>
        <v/>
      </c>
      <c r="N246" s="29">
        <f>IF(Intereses_Leasing_Mensual!N246&gt;0, ROUND(M246 - Intereses_Leasing_Mensual!N246, 2), "")</f>
        <v/>
      </c>
      <c r="O246" s="29">
        <f>IF(Intereses_Leasing_Mensual!O246&gt;0, ROUND(N246 - Intereses_Leasing_Mensual!O246, 2), "")</f>
        <v/>
      </c>
      <c r="P246" s="29">
        <f>IF(Intereses_Leasing_Mensual!P246&gt;0, ROUND(O246 - Intereses_Leasing_Mensual!P246, 2), "")</f>
        <v/>
      </c>
      <c r="Q246" s="29">
        <f>IF(Intereses_Leasing_Mensual!Q246&gt;0, ROUND(P246 - Intereses_Leasing_Mensual!Q246, 2), "")</f>
        <v/>
      </c>
      <c r="R246" s="29">
        <f>IF(Intereses_Leasing_Mensual!R246&gt;0, ROUND(Q246 - Intereses_Leasing_Mensual!R246, 2), "")</f>
        <v/>
      </c>
      <c r="S246" s="29">
        <f>IF(Intereses_Leasing_Mensual!S246&gt;0, ROUND(R246 - Intereses_Leasing_Mensual!S246, 2), "")</f>
        <v/>
      </c>
      <c r="T246" s="29">
        <f>IF(Intereses_Leasing_Mensual!T246&gt;0, ROUND(S246 - Intereses_Leasing_Mensual!T246, 2), "")</f>
        <v/>
      </c>
      <c r="U246" s="29">
        <f>MAX(I246:T246)</f>
        <v/>
      </c>
    </row>
    <row r="247">
      <c r="A247" s="20" t="inlineStr">
        <is>
          <t>0755-0001</t>
        </is>
      </c>
      <c r="B247" s="21" t="inlineStr">
        <is>
          <t>Abiam Antonio Reyna Aguilar</t>
        </is>
      </c>
      <c r="C247" s="21" t="inlineStr">
        <is>
          <t>1500 RHO</t>
        </is>
      </c>
      <c r="D247" s="20" t="inlineStr">
        <is>
          <t>ACTIVO</t>
        </is>
      </c>
      <c r="E247" s="20" t="inlineStr">
        <is>
          <t>2026-04-28</t>
        </is>
      </c>
      <c r="F247" s="20" t="inlineStr">
        <is>
          <t>2027-04-28</t>
        </is>
      </c>
      <c r="G247" s="22" t="n">
        <v>12</v>
      </c>
      <c r="H247" s="23" t="n">
        <v>322186.51</v>
      </c>
      <c r="I247" s="23" t="inlineStr"/>
      <c r="J247" s="23" t="inlineStr"/>
      <c r="K247" s="23" t="inlineStr"/>
      <c r="L247" s="23">
        <f>IF(Intereses_Leasing_Mensual!L247&gt;0, ROUND($H247 - Intereses_Leasing_Mensual!L247, 2), "")</f>
        <v/>
      </c>
      <c r="M247" s="23">
        <f>IF(Intereses_Leasing_Mensual!M247&gt;0, ROUND(L247 - Intereses_Leasing_Mensual!M247, 2), "")</f>
        <v/>
      </c>
      <c r="N247" s="23">
        <f>IF(Intereses_Leasing_Mensual!N247&gt;0, ROUND(M247 - Intereses_Leasing_Mensual!N247, 2), "")</f>
        <v/>
      </c>
      <c r="O247" s="23">
        <f>IF(Intereses_Leasing_Mensual!O247&gt;0, ROUND(N247 - Intereses_Leasing_Mensual!O247, 2), "")</f>
        <v/>
      </c>
      <c r="P247" s="23">
        <f>IF(Intereses_Leasing_Mensual!P247&gt;0, ROUND(O247 - Intereses_Leasing_Mensual!P247, 2), "")</f>
        <v/>
      </c>
      <c r="Q247" s="23">
        <f>IF(Intereses_Leasing_Mensual!Q247&gt;0, ROUND(P247 - Intereses_Leasing_Mensual!Q247, 2), "")</f>
        <v/>
      </c>
      <c r="R247" s="23">
        <f>IF(Intereses_Leasing_Mensual!R247&gt;0, ROUND(Q247 - Intereses_Leasing_Mensual!R247, 2), "")</f>
        <v/>
      </c>
      <c r="S247" s="23">
        <f>IF(Intereses_Leasing_Mensual!S247&gt;0, ROUND(R247 - Intereses_Leasing_Mensual!S247, 2), "")</f>
        <v/>
      </c>
      <c r="T247" s="23">
        <f>IF(Intereses_Leasing_Mensual!T247&gt;0, ROUND(S247 - Intereses_Leasing_Mensual!T247, 2), "")</f>
        <v/>
      </c>
      <c r="U247" s="23">
        <f>MAX(I247:T247)</f>
        <v/>
      </c>
    </row>
    <row r="248">
      <c r="A248" s="26" t="inlineStr">
        <is>
          <t>0756-0001</t>
        </is>
      </c>
      <c r="B248" s="27" t="inlineStr">
        <is>
          <t>Agricola Hortiberry, S.A. de C.V.</t>
        </is>
      </c>
      <c r="C248" s="27" t="inlineStr">
        <is>
          <t>1200  Tradesman Chasis Cabina</t>
        </is>
      </c>
      <c r="D248" s="26" t="inlineStr">
        <is>
          <t>ACTIVO</t>
        </is>
      </c>
      <c r="E248" s="26" t="inlineStr">
        <is>
          <t>2026-05-06</t>
        </is>
      </c>
      <c r="F248" s="26" t="inlineStr">
        <is>
          <t>2030-05-06</t>
        </is>
      </c>
      <c r="G248" s="28" t="n">
        <v>48</v>
      </c>
      <c r="H248" s="29" t="n">
        <v>375731.9</v>
      </c>
      <c r="I248" s="29" t="inlineStr"/>
      <c r="J248" s="29" t="inlineStr"/>
      <c r="K248" s="29" t="inlineStr"/>
      <c r="L248" s="29" t="inlineStr"/>
      <c r="M248" s="29">
        <f>IF(Intereses_Leasing_Mensual!M248&gt;0, ROUND($H248 - Intereses_Leasing_Mensual!M248, 2), "")</f>
        <v/>
      </c>
      <c r="N248" s="29">
        <f>IF(Intereses_Leasing_Mensual!N248&gt;0, ROUND(M248 - Intereses_Leasing_Mensual!N248, 2), "")</f>
        <v/>
      </c>
      <c r="O248" s="29">
        <f>IF(Intereses_Leasing_Mensual!O248&gt;0, ROUND(N248 - Intereses_Leasing_Mensual!O248, 2), "")</f>
        <v/>
      </c>
      <c r="P248" s="29">
        <f>IF(Intereses_Leasing_Mensual!P248&gt;0, ROUND(O248 - Intereses_Leasing_Mensual!P248, 2), "")</f>
        <v/>
      </c>
      <c r="Q248" s="29">
        <f>IF(Intereses_Leasing_Mensual!Q248&gt;0, ROUND(P248 - Intereses_Leasing_Mensual!Q248, 2), "")</f>
        <v/>
      </c>
      <c r="R248" s="29">
        <f>IF(Intereses_Leasing_Mensual!R248&gt;0, ROUND(Q248 - Intereses_Leasing_Mensual!R248, 2), "")</f>
        <v/>
      </c>
      <c r="S248" s="29">
        <f>IF(Intereses_Leasing_Mensual!S248&gt;0, ROUND(R248 - Intereses_Leasing_Mensual!S248, 2), "")</f>
        <v/>
      </c>
      <c r="T248" s="29">
        <f>IF(Intereses_Leasing_Mensual!T248&gt;0, ROUND(S248 - Intereses_Leasing_Mensual!T248, 2), "")</f>
        <v/>
      </c>
      <c r="U248" s="29">
        <f>MAX(I248:T248)</f>
        <v/>
      </c>
    </row>
    <row r="249">
      <c r="A249" s="20" t="inlineStr">
        <is>
          <t>0757-0001</t>
        </is>
      </c>
      <c r="B249" s="21" t="inlineStr">
        <is>
          <t>Corporativo de Servicios Integrales de Occidente, S.A. de C.V.</t>
        </is>
      </c>
      <c r="C249" s="21" t="inlineStr">
        <is>
          <t>CX5</t>
        </is>
      </c>
      <c r="D249" s="20" t="inlineStr">
        <is>
          <t>ACTIVO</t>
        </is>
      </c>
      <c r="E249" s="20" t="inlineStr">
        <is>
          <t>2026-05-13</t>
        </is>
      </c>
      <c r="F249" s="20" t="inlineStr">
        <is>
          <t>2028-05-13</t>
        </is>
      </c>
      <c r="G249" s="22" t="n">
        <v>24</v>
      </c>
      <c r="H249" s="23" t="n">
        <v>245062.08</v>
      </c>
      <c r="I249" s="23" t="inlineStr"/>
      <c r="J249" s="23" t="inlineStr"/>
      <c r="K249" s="23" t="inlineStr"/>
      <c r="L249" s="23" t="inlineStr"/>
      <c r="M249" s="23">
        <f>IF(Intereses_Leasing_Mensual!M249&gt;0, ROUND($H249 - Intereses_Leasing_Mensual!M249, 2), "")</f>
        <v/>
      </c>
      <c r="N249" s="23">
        <f>IF(Intereses_Leasing_Mensual!N249&gt;0, ROUND(M249 - Intereses_Leasing_Mensual!N249, 2), "")</f>
        <v/>
      </c>
      <c r="O249" s="23">
        <f>IF(Intereses_Leasing_Mensual!O249&gt;0, ROUND(N249 - Intereses_Leasing_Mensual!O249, 2), "")</f>
        <v/>
      </c>
      <c r="P249" s="23">
        <f>IF(Intereses_Leasing_Mensual!P249&gt;0, ROUND(O249 - Intereses_Leasing_Mensual!P249, 2), "")</f>
        <v/>
      </c>
      <c r="Q249" s="23">
        <f>IF(Intereses_Leasing_Mensual!Q249&gt;0, ROUND(P249 - Intereses_Leasing_Mensual!Q249, 2), "")</f>
        <v/>
      </c>
      <c r="R249" s="23">
        <f>IF(Intereses_Leasing_Mensual!R249&gt;0, ROUND(Q249 - Intereses_Leasing_Mensual!R249, 2), "")</f>
        <v/>
      </c>
      <c r="S249" s="23">
        <f>IF(Intereses_Leasing_Mensual!S249&gt;0, ROUND(R249 - Intereses_Leasing_Mensual!S249, 2), "")</f>
        <v/>
      </c>
      <c r="T249" s="23">
        <f>IF(Intereses_Leasing_Mensual!T249&gt;0, ROUND(S249 - Intereses_Leasing_Mensual!T249, 2), "")</f>
        <v/>
      </c>
      <c r="U249" s="23">
        <f>MAX(I249:T249)</f>
        <v/>
      </c>
    </row>
    <row r="250">
      <c r="A250" s="26" t="inlineStr">
        <is>
          <t>0757-0002</t>
        </is>
      </c>
      <c r="B250" s="27" t="inlineStr">
        <is>
          <t>Corporativo de Servicios Integrales de Occidente, S.A. de C.V.</t>
        </is>
      </c>
      <c r="C250" s="27" t="inlineStr">
        <is>
          <t>Leapmotor B10 2026</t>
        </is>
      </c>
      <c r="D250" s="26" t="inlineStr">
        <is>
          <t>ACTIVO</t>
        </is>
      </c>
      <c r="E250" s="26" t="inlineStr">
        <is>
          <t>2026-07-31</t>
        </is>
      </c>
      <c r="F250" s="26" t="inlineStr">
        <is>
          <t>2029-07-31</t>
        </is>
      </c>
      <c r="G250" s="28" t="n">
        <v>36</v>
      </c>
      <c r="H250" s="29" t="n">
        <v>186007.11</v>
      </c>
      <c r="I250" s="29" t="inlineStr"/>
      <c r="J250" s="29" t="inlineStr"/>
      <c r="K250" s="29" t="inlineStr"/>
      <c r="L250" s="29" t="inlineStr"/>
      <c r="M250" s="29" t="inlineStr"/>
      <c r="N250" s="29" t="inlineStr"/>
      <c r="O250" s="29">
        <f>IF(Intereses_Leasing_Mensual!O250&gt;0, ROUND($H250 - Intereses_Leasing_Mensual!O250, 2), "")</f>
        <v/>
      </c>
      <c r="P250" s="29">
        <f>IF(Intereses_Leasing_Mensual!P250&gt;0, ROUND(O250 - Intereses_Leasing_Mensual!P250, 2), "")</f>
        <v/>
      </c>
      <c r="Q250" s="29">
        <f>IF(Intereses_Leasing_Mensual!Q250&gt;0, ROUND(P250 - Intereses_Leasing_Mensual!Q250, 2), "")</f>
        <v/>
      </c>
      <c r="R250" s="29">
        <f>IF(Intereses_Leasing_Mensual!R250&gt;0, ROUND(Q250 - Intereses_Leasing_Mensual!R250, 2), "")</f>
        <v/>
      </c>
      <c r="S250" s="29">
        <f>IF(Intereses_Leasing_Mensual!S250&gt;0, ROUND(R250 - Intereses_Leasing_Mensual!S250, 2), "")</f>
        <v/>
      </c>
      <c r="T250" s="29">
        <f>IF(Intereses_Leasing_Mensual!T250&gt;0, ROUND(S250 - Intereses_Leasing_Mensual!T250, 2), "")</f>
        <v/>
      </c>
      <c r="U250" s="29">
        <f>MAX(I250:T250)</f>
        <v/>
      </c>
    </row>
    <row r="251">
      <c r="A251" s="20" t="inlineStr">
        <is>
          <t>0758-0001</t>
        </is>
      </c>
      <c r="B251" s="21" t="inlineStr">
        <is>
          <t>Comedores y Servicios Industriales CAMSAA, S.A. de C.V.</t>
        </is>
      </c>
      <c r="C251" s="21" t="inlineStr">
        <is>
          <t>Partner Rapid</t>
        </is>
      </c>
      <c r="D251" s="20" t="inlineStr">
        <is>
          <t>ACTIVO</t>
        </is>
      </c>
      <c r="E251" s="20" t="inlineStr">
        <is>
          <t>2026-05-08</t>
        </is>
      </c>
      <c r="F251" s="20" t="inlineStr">
        <is>
          <t>2028-05-08</t>
        </is>
      </c>
      <c r="G251" s="22" t="n">
        <v>24</v>
      </c>
      <c r="H251" s="23" t="n">
        <v>136908.69</v>
      </c>
      <c r="I251" s="23" t="inlineStr"/>
      <c r="J251" s="23" t="inlineStr"/>
      <c r="K251" s="23" t="inlineStr"/>
      <c r="L251" s="23" t="inlineStr"/>
      <c r="M251" s="23">
        <f>IF(Intereses_Leasing_Mensual!M251&gt;0, ROUND($H251 - Intereses_Leasing_Mensual!M251, 2), "")</f>
        <v/>
      </c>
      <c r="N251" s="23">
        <f>IF(Intereses_Leasing_Mensual!N251&gt;0, ROUND(M251 - Intereses_Leasing_Mensual!N251, 2), "")</f>
        <v/>
      </c>
      <c r="O251" s="23">
        <f>IF(Intereses_Leasing_Mensual!O251&gt;0, ROUND(N251 - Intereses_Leasing_Mensual!O251, 2), "")</f>
        <v/>
      </c>
      <c r="P251" s="23">
        <f>IF(Intereses_Leasing_Mensual!P251&gt;0, ROUND(O251 - Intereses_Leasing_Mensual!P251, 2), "")</f>
        <v/>
      </c>
      <c r="Q251" s="23">
        <f>IF(Intereses_Leasing_Mensual!Q251&gt;0, ROUND(P251 - Intereses_Leasing_Mensual!Q251, 2), "")</f>
        <v/>
      </c>
      <c r="R251" s="23">
        <f>IF(Intereses_Leasing_Mensual!R251&gt;0, ROUND(Q251 - Intereses_Leasing_Mensual!R251, 2), "")</f>
        <v/>
      </c>
      <c r="S251" s="23">
        <f>IF(Intereses_Leasing_Mensual!S251&gt;0, ROUND(R251 - Intereses_Leasing_Mensual!S251, 2), "")</f>
        <v/>
      </c>
      <c r="T251" s="23">
        <f>IF(Intereses_Leasing_Mensual!T251&gt;0, ROUND(S251 - Intereses_Leasing_Mensual!T251, 2), "")</f>
        <v/>
      </c>
      <c r="U251" s="23">
        <f>MAX(I251:T251)</f>
        <v/>
      </c>
    </row>
    <row r="252">
      <c r="A252" s="26" t="inlineStr">
        <is>
          <t>0759-0001</t>
        </is>
      </c>
      <c r="B252" s="27" t="inlineStr">
        <is>
          <t>Construcciones Ligeras Frin, S.A. de C.V.</t>
        </is>
      </c>
      <c r="C252" s="27" t="inlineStr">
        <is>
          <t>700 BIGHORN CREW CAB</t>
        </is>
      </c>
      <c r="D252" s="26" t="inlineStr">
        <is>
          <t>ACTIVO</t>
        </is>
      </c>
      <c r="E252" s="26" t="inlineStr">
        <is>
          <t>2026-05-14</t>
        </is>
      </c>
      <c r="F252" s="26" t="inlineStr">
        <is>
          <t>2029-05-14</t>
        </is>
      </c>
      <c r="G252" s="28" t="n">
        <v>36</v>
      </c>
      <c r="H252" s="29" t="n">
        <v>191941.3</v>
      </c>
      <c r="I252" s="29" t="inlineStr"/>
      <c r="J252" s="29" t="inlineStr"/>
      <c r="K252" s="29" t="inlineStr"/>
      <c r="L252" s="29" t="inlineStr"/>
      <c r="M252" s="29">
        <f>IF(Intereses_Leasing_Mensual!M252&gt;0, ROUND($H252 - Intereses_Leasing_Mensual!M252, 2), "")</f>
        <v/>
      </c>
      <c r="N252" s="29">
        <f>IF(Intereses_Leasing_Mensual!N252&gt;0, ROUND(M252 - Intereses_Leasing_Mensual!N252, 2), "")</f>
        <v/>
      </c>
      <c r="O252" s="29">
        <f>IF(Intereses_Leasing_Mensual!O252&gt;0, ROUND(N252 - Intereses_Leasing_Mensual!O252, 2), "")</f>
        <v/>
      </c>
      <c r="P252" s="29">
        <f>IF(Intereses_Leasing_Mensual!P252&gt;0, ROUND(O252 - Intereses_Leasing_Mensual!P252, 2), "")</f>
        <v/>
      </c>
      <c r="Q252" s="29">
        <f>IF(Intereses_Leasing_Mensual!Q252&gt;0, ROUND(P252 - Intereses_Leasing_Mensual!Q252, 2), "")</f>
        <v/>
      </c>
      <c r="R252" s="29">
        <f>IF(Intereses_Leasing_Mensual!R252&gt;0, ROUND(Q252 - Intereses_Leasing_Mensual!R252, 2), "")</f>
        <v/>
      </c>
      <c r="S252" s="29">
        <f>IF(Intereses_Leasing_Mensual!S252&gt;0, ROUND(R252 - Intereses_Leasing_Mensual!S252, 2), "")</f>
        <v/>
      </c>
      <c r="T252" s="29">
        <f>IF(Intereses_Leasing_Mensual!T252&gt;0, ROUND(S252 - Intereses_Leasing_Mensual!T252, 2), "")</f>
        <v/>
      </c>
      <c r="U252" s="29">
        <f>MAX(I252:T252)</f>
        <v/>
      </c>
    </row>
    <row r="253">
      <c r="A253" s="20" t="inlineStr">
        <is>
          <t>0759-0002</t>
        </is>
      </c>
      <c r="B253" s="21" t="inlineStr">
        <is>
          <t>Construcciones Ligeras Frin, S.A. de C.V.</t>
        </is>
      </c>
      <c r="C253" s="21" t="inlineStr">
        <is>
          <t>700 TRADESMAN CREW CAB</t>
        </is>
      </c>
      <c r="D253" s="20" t="inlineStr">
        <is>
          <t>ACTIVO</t>
        </is>
      </c>
      <c r="E253" s="20" t="inlineStr">
        <is>
          <t>2026-05-14</t>
        </is>
      </c>
      <c r="F253" s="20" t="inlineStr">
        <is>
          <t>2029-05-14</t>
        </is>
      </c>
      <c r="G253" s="22" t="n">
        <v>36</v>
      </c>
      <c r="H253" s="23" t="n">
        <v>177172.68</v>
      </c>
      <c r="I253" s="23" t="inlineStr"/>
      <c r="J253" s="23" t="inlineStr"/>
      <c r="K253" s="23" t="inlineStr"/>
      <c r="L253" s="23" t="inlineStr"/>
      <c r="M253" s="23">
        <f>IF(Intereses_Leasing_Mensual!M253&gt;0, ROUND($H253 - Intereses_Leasing_Mensual!M253, 2), "")</f>
        <v/>
      </c>
      <c r="N253" s="23">
        <f>IF(Intereses_Leasing_Mensual!N253&gt;0, ROUND(M253 - Intereses_Leasing_Mensual!N253, 2), "")</f>
        <v/>
      </c>
      <c r="O253" s="23">
        <f>IF(Intereses_Leasing_Mensual!O253&gt;0, ROUND(N253 - Intereses_Leasing_Mensual!O253, 2), "")</f>
        <v/>
      </c>
      <c r="P253" s="23">
        <f>IF(Intereses_Leasing_Mensual!P253&gt;0, ROUND(O253 - Intereses_Leasing_Mensual!P253, 2), "")</f>
        <v/>
      </c>
      <c r="Q253" s="23">
        <f>IF(Intereses_Leasing_Mensual!Q253&gt;0, ROUND(P253 - Intereses_Leasing_Mensual!Q253, 2), "")</f>
        <v/>
      </c>
      <c r="R253" s="23">
        <f>IF(Intereses_Leasing_Mensual!R253&gt;0, ROUND(Q253 - Intereses_Leasing_Mensual!R253, 2), "")</f>
        <v/>
      </c>
      <c r="S253" s="23">
        <f>IF(Intereses_Leasing_Mensual!S253&gt;0, ROUND(R253 - Intereses_Leasing_Mensual!S253, 2), "")</f>
        <v/>
      </c>
      <c r="T253" s="23">
        <f>IF(Intereses_Leasing_Mensual!T253&gt;0, ROUND(S253 - Intereses_Leasing_Mensual!T253, 2), "")</f>
        <v/>
      </c>
      <c r="U253" s="23">
        <f>MAX(I253:T253)</f>
        <v/>
      </c>
    </row>
    <row r="254">
      <c r="A254" s="26" t="inlineStr">
        <is>
          <t>0760-0001</t>
        </is>
      </c>
      <c r="B254" s="27" t="inlineStr">
        <is>
          <t>Armando Candelario Figueroa</t>
        </is>
      </c>
      <c r="C254" s="27" t="inlineStr">
        <is>
          <t>1200 TRADESMAN CHASIS CABINA</t>
        </is>
      </c>
      <c r="D254" s="26" t="inlineStr">
        <is>
          <t>ACTIVO</t>
        </is>
      </c>
      <c r="E254" s="26" t="inlineStr">
        <is>
          <t>2026-05-18</t>
        </is>
      </c>
      <c r="F254" s="26" t="inlineStr">
        <is>
          <t>2030-05-18</t>
        </is>
      </c>
      <c r="G254" s="28" t="n">
        <v>48</v>
      </c>
      <c r="H254" s="29" t="n">
        <v>252500.34</v>
      </c>
      <c r="I254" s="29" t="inlineStr"/>
      <c r="J254" s="29" t="inlineStr"/>
      <c r="K254" s="29" t="inlineStr"/>
      <c r="L254" s="29" t="inlineStr"/>
      <c r="M254" s="29">
        <f>IF(Intereses_Leasing_Mensual!M254&gt;0, ROUND($H254 - Intereses_Leasing_Mensual!M254, 2), "")</f>
        <v/>
      </c>
      <c r="N254" s="29">
        <f>IF(Intereses_Leasing_Mensual!N254&gt;0, ROUND(M254 - Intereses_Leasing_Mensual!N254, 2), "")</f>
        <v/>
      </c>
      <c r="O254" s="29">
        <f>IF(Intereses_Leasing_Mensual!O254&gt;0, ROUND(N254 - Intereses_Leasing_Mensual!O254, 2), "")</f>
        <v/>
      </c>
      <c r="P254" s="29">
        <f>IF(Intereses_Leasing_Mensual!P254&gt;0, ROUND(O254 - Intereses_Leasing_Mensual!P254, 2), "")</f>
        <v/>
      </c>
      <c r="Q254" s="29">
        <f>IF(Intereses_Leasing_Mensual!Q254&gt;0, ROUND(P254 - Intereses_Leasing_Mensual!Q254, 2), "")</f>
        <v/>
      </c>
      <c r="R254" s="29">
        <f>IF(Intereses_Leasing_Mensual!R254&gt;0, ROUND(Q254 - Intereses_Leasing_Mensual!R254, 2), "")</f>
        <v/>
      </c>
      <c r="S254" s="29">
        <f>IF(Intereses_Leasing_Mensual!S254&gt;0, ROUND(R254 - Intereses_Leasing_Mensual!S254, 2), "")</f>
        <v/>
      </c>
      <c r="T254" s="29">
        <f>IF(Intereses_Leasing_Mensual!T254&gt;0, ROUND(S254 - Intereses_Leasing_Mensual!T254, 2), "")</f>
        <v/>
      </c>
      <c r="U254" s="29">
        <f>MAX(I254:T254)</f>
        <v/>
      </c>
    </row>
    <row r="255">
      <c r="A255" s="20" t="inlineStr">
        <is>
          <t>0761-0001</t>
        </is>
      </c>
      <c r="B255" s="21" t="inlineStr">
        <is>
          <t>Total Experience Produce, S.A.P.I. de C.V.</t>
        </is>
      </c>
      <c r="C255" s="21" t="inlineStr">
        <is>
          <t>700 BIGHORN CREW CAB</t>
        </is>
      </c>
      <c r="D255" s="20" t="inlineStr">
        <is>
          <t>ACTIVO</t>
        </is>
      </c>
      <c r="E255" s="20" t="inlineStr">
        <is>
          <t>2026-05-18</t>
        </is>
      </c>
      <c r="F255" s="20" t="inlineStr">
        <is>
          <t>2030-05-18</t>
        </is>
      </c>
      <c r="G255" s="22" t="n">
        <v>48</v>
      </c>
      <c r="H255" s="23" t="n">
        <v>306170.4</v>
      </c>
      <c r="I255" s="23" t="inlineStr"/>
      <c r="J255" s="23" t="inlineStr"/>
      <c r="K255" s="23" t="inlineStr"/>
      <c r="L255" s="23" t="inlineStr"/>
      <c r="M255" s="23">
        <f>IF(Intereses_Leasing_Mensual!M255&gt;0, ROUND($H255 - Intereses_Leasing_Mensual!M255, 2), "")</f>
        <v/>
      </c>
      <c r="N255" s="23">
        <f>IF(Intereses_Leasing_Mensual!N255&gt;0, ROUND(M255 - Intereses_Leasing_Mensual!N255, 2), "")</f>
        <v/>
      </c>
      <c r="O255" s="23">
        <f>IF(Intereses_Leasing_Mensual!O255&gt;0, ROUND(N255 - Intereses_Leasing_Mensual!O255, 2), "")</f>
        <v/>
      </c>
      <c r="P255" s="23">
        <f>IF(Intereses_Leasing_Mensual!P255&gt;0, ROUND(O255 - Intereses_Leasing_Mensual!P255, 2), "")</f>
        <v/>
      </c>
      <c r="Q255" s="23">
        <f>IF(Intereses_Leasing_Mensual!Q255&gt;0, ROUND(P255 - Intereses_Leasing_Mensual!Q255, 2), "")</f>
        <v/>
      </c>
      <c r="R255" s="23">
        <f>IF(Intereses_Leasing_Mensual!R255&gt;0, ROUND(Q255 - Intereses_Leasing_Mensual!R255, 2), "")</f>
        <v/>
      </c>
      <c r="S255" s="23">
        <f>IF(Intereses_Leasing_Mensual!S255&gt;0, ROUND(R255 - Intereses_Leasing_Mensual!S255, 2), "")</f>
        <v/>
      </c>
      <c r="T255" s="23">
        <f>IF(Intereses_Leasing_Mensual!T255&gt;0, ROUND(S255 - Intereses_Leasing_Mensual!T255, 2), "")</f>
        <v/>
      </c>
      <c r="U255" s="23">
        <f>MAX(I255:T255)</f>
        <v/>
      </c>
    </row>
    <row r="256">
      <c r="A256" s="26" t="inlineStr">
        <is>
          <t>0763-0001</t>
        </is>
      </c>
      <c r="B256" s="27" t="inlineStr">
        <is>
          <t>Francisco Javier Fernández Gutiérrez</t>
        </is>
      </c>
      <c r="C256" s="27" t="inlineStr">
        <is>
          <t>1500 RHO</t>
        </is>
      </c>
      <c r="D256" s="26" t="inlineStr">
        <is>
          <t>ACTIVO</t>
        </is>
      </c>
      <c r="E256" s="26" t="inlineStr">
        <is>
          <t>2026-05-28</t>
        </is>
      </c>
      <c r="F256" s="26" t="inlineStr">
        <is>
          <t>2029-05-28</t>
        </is>
      </c>
      <c r="G256" s="28" t="n">
        <v>36</v>
      </c>
      <c r="H256" s="29" t="n">
        <v>1124113.13</v>
      </c>
      <c r="I256" s="29" t="inlineStr"/>
      <c r="J256" s="29" t="inlineStr"/>
      <c r="K256" s="29" t="inlineStr"/>
      <c r="L256" s="29" t="inlineStr"/>
      <c r="M256" s="29">
        <f>IF(Intereses_Leasing_Mensual!M256&gt;0, ROUND($H256 - Intereses_Leasing_Mensual!M256, 2), "")</f>
        <v/>
      </c>
      <c r="N256" s="29">
        <f>IF(Intereses_Leasing_Mensual!N256&gt;0, ROUND(M256 - Intereses_Leasing_Mensual!N256, 2), "")</f>
        <v/>
      </c>
      <c r="O256" s="29">
        <f>IF(Intereses_Leasing_Mensual!O256&gt;0, ROUND(N256 - Intereses_Leasing_Mensual!O256, 2), "")</f>
        <v/>
      </c>
      <c r="P256" s="29">
        <f>IF(Intereses_Leasing_Mensual!P256&gt;0, ROUND(O256 - Intereses_Leasing_Mensual!P256, 2), "")</f>
        <v/>
      </c>
      <c r="Q256" s="29">
        <f>IF(Intereses_Leasing_Mensual!Q256&gt;0, ROUND(P256 - Intereses_Leasing_Mensual!Q256, 2), "")</f>
        <v/>
      </c>
      <c r="R256" s="29">
        <f>IF(Intereses_Leasing_Mensual!R256&gt;0, ROUND(Q256 - Intereses_Leasing_Mensual!R256, 2), "")</f>
        <v/>
      </c>
      <c r="S256" s="29">
        <f>IF(Intereses_Leasing_Mensual!S256&gt;0, ROUND(R256 - Intereses_Leasing_Mensual!S256, 2), "")</f>
        <v/>
      </c>
      <c r="T256" s="29">
        <f>IF(Intereses_Leasing_Mensual!T256&gt;0, ROUND(S256 - Intereses_Leasing_Mensual!T256, 2), "")</f>
        <v/>
      </c>
      <c r="U256" s="29">
        <f>MAX(I256:T256)</f>
        <v/>
      </c>
    </row>
    <row r="257">
      <c r="A257" s="20" t="inlineStr">
        <is>
          <t>0764-0001</t>
        </is>
      </c>
      <c r="B257" s="21" t="inlineStr">
        <is>
          <t>Inspectores Marítimos de México, S. de R.L. de C.V.</t>
        </is>
      </c>
      <c r="C257" s="21" t="inlineStr">
        <is>
          <t>1200 Bighorn</t>
        </is>
      </c>
      <c r="D257" s="20" t="inlineStr">
        <is>
          <t>ACTIVO</t>
        </is>
      </c>
      <c r="E257" s="20" t="inlineStr">
        <is>
          <t>2026-06-30</t>
        </is>
      </c>
      <c r="F257" s="20" t="inlineStr">
        <is>
          <t>2029-06-30</t>
        </is>
      </c>
      <c r="G257" s="22" t="n">
        <v>36</v>
      </c>
      <c r="H257" s="23" t="n">
        <v>218178.99</v>
      </c>
      <c r="I257" s="23" t="inlineStr"/>
      <c r="J257" s="23" t="inlineStr"/>
      <c r="K257" s="23" t="inlineStr"/>
      <c r="L257" s="23" t="inlineStr"/>
      <c r="M257" s="23" t="inlineStr"/>
      <c r="N257" s="23">
        <f>IF(Intereses_Leasing_Mensual!N257&gt;0, ROUND($H257 - Intereses_Leasing_Mensual!N257, 2), "")</f>
        <v/>
      </c>
      <c r="O257" s="23">
        <f>IF(Intereses_Leasing_Mensual!O257&gt;0, ROUND(N257 - Intereses_Leasing_Mensual!O257, 2), "")</f>
        <v/>
      </c>
      <c r="P257" s="23">
        <f>IF(Intereses_Leasing_Mensual!P257&gt;0, ROUND(O257 - Intereses_Leasing_Mensual!P257, 2), "")</f>
        <v/>
      </c>
      <c r="Q257" s="23">
        <f>IF(Intereses_Leasing_Mensual!Q257&gt;0, ROUND(P257 - Intereses_Leasing_Mensual!Q257, 2), "")</f>
        <v/>
      </c>
      <c r="R257" s="23">
        <f>IF(Intereses_Leasing_Mensual!R257&gt;0, ROUND(Q257 - Intereses_Leasing_Mensual!R257, 2), "")</f>
        <v/>
      </c>
      <c r="S257" s="23">
        <f>IF(Intereses_Leasing_Mensual!S257&gt;0, ROUND(R257 - Intereses_Leasing_Mensual!S257, 2), "")</f>
        <v/>
      </c>
      <c r="T257" s="23">
        <f>IF(Intereses_Leasing_Mensual!T257&gt;0, ROUND(S257 - Intereses_Leasing_Mensual!T257, 2), "")</f>
        <v/>
      </c>
      <c r="U257" s="23">
        <f>MAX(I257:T257)</f>
        <v/>
      </c>
    </row>
    <row r="258">
      <c r="A258" s="26" t="inlineStr">
        <is>
          <t>0765-0001</t>
        </is>
      </c>
      <c r="B258" s="27" t="inlineStr">
        <is>
          <t>Rafael Soltero Sánchez</t>
        </is>
      </c>
      <c r="C258" s="27" t="inlineStr">
        <is>
          <t>1200 Bighorn</t>
        </is>
      </c>
      <c r="D258" s="26" t="inlineStr">
        <is>
          <t>ACTIVO</t>
        </is>
      </c>
      <c r="E258" s="26" t="inlineStr">
        <is>
          <t>2026-06-30</t>
        </is>
      </c>
      <c r="F258" s="26" t="inlineStr">
        <is>
          <t>2030-06-30</t>
        </is>
      </c>
      <c r="G258" s="28" t="n">
        <v>48</v>
      </c>
      <c r="H258" s="29" t="n">
        <v>461966.47</v>
      </c>
      <c r="I258" s="29" t="inlineStr"/>
      <c r="J258" s="29" t="inlineStr"/>
      <c r="K258" s="29" t="inlineStr"/>
      <c r="L258" s="29" t="inlineStr"/>
      <c r="M258" s="29" t="inlineStr"/>
      <c r="N258" s="29">
        <f>IF(Intereses_Leasing_Mensual!N258&gt;0, ROUND($H258 - Intereses_Leasing_Mensual!N258, 2), "")</f>
        <v/>
      </c>
      <c r="O258" s="29">
        <f>IF(Intereses_Leasing_Mensual!O258&gt;0, ROUND(N258 - Intereses_Leasing_Mensual!O258, 2), "")</f>
        <v/>
      </c>
      <c r="P258" s="29">
        <f>IF(Intereses_Leasing_Mensual!P258&gt;0, ROUND(O258 - Intereses_Leasing_Mensual!P258, 2), "")</f>
        <v/>
      </c>
      <c r="Q258" s="29">
        <f>IF(Intereses_Leasing_Mensual!Q258&gt;0, ROUND(P258 - Intereses_Leasing_Mensual!Q258, 2), "")</f>
        <v/>
      </c>
      <c r="R258" s="29">
        <f>IF(Intereses_Leasing_Mensual!R258&gt;0, ROUND(Q258 - Intereses_Leasing_Mensual!R258, 2), "")</f>
        <v/>
      </c>
      <c r="S258" s="29">
        <f>IF(Intereses_Leasing_Mensual!S258&gt;0, ROUND(R258 - Intereses_Leasing_Mensual!S258, 2), "")</f>
        <v/>
      </c>
      <c r="T258" s="29">
        <f>IF(Intereses_Leasing_Mensual!T258&gt;0, ROUND(S258 - Intereses_Leasing_Mensual!T258, 2), "")</f>
        <v/>
      </c>
      <c r="U258" s="29">
        <f>MAX(I258:T258)</f>
        <v/>
      </c>
    </row>
    <row r="259">
      <c r="A259" s="20" t="inlineStr">
        <is>
          <t>0766-0001</t>
        </is>
      </c>
      <c r="B259" s="21" t="inlineStr">
        <is>
          <t>Javier Alejandro Carbajal Chávez</t>
        </is>
      </c>
      <c r="C259" s="21" t="inlineStr">
        <is>
          <t>Jt Rubicon</t>
        </is>
      </c>
      <c r="D259" s="20" t="inlineStr">
        <is>
          <t>ACTIVO</t>
        </is>
      </c>
      <c r="E259" s="20" t="inlineStr">
        <is>
          <t>2026-06-30</t>
        </is>
      </c>
      <c r="F259" s="20" t="inlineStr">
        <is>
          <t>2030-06-30</t>
        </is>
      </c>
      <c r="G259" s="22" t="n">
        <v>48</v>
      </c>
      <c r="H259" s="23" t="n">
        <v>1204290.05</v>
      </c>
      <c r="I259" s="23" t="inlineStr"/>
      <c r="J259" s="23" t="inlineStr"/>
      <c r="K259" s="23" t="inlineStr"/>
      <c r="L259" s="23" t="inlineStr"/>
      <c r="M259" s="23" t="inlineStr"/>
      <c r="N259" s="23">
        <f>IF(Intereses_Leasing_Mensual!N259&gt;0, ROUND($H259 - Intereses_Leasing_Mensual!N259, 2), "")</f>
        <v/>
      </c>
      <c r="O259" s="23">
        <f>IF(Intereses_Leasing_Mensual!O259&gt;0, ROUND(N259 - Intereses_Leasing_Mensual!O259, 2), "")</f>
        <v/>
      </c>
      <c r="P259" s="23">
        <f>IF(Intereses_Leasing_Mensual!P259&gt;0, ROUND(O259 - Intereses_Leasing_Mensual!P259, 2), "")</f>
        <v/>
      </c>
      <c r="Q259" s="23">
        <f>IF(Intereses_Leasing_Mensual!Q259&gt;0, ROUND(P259 - Intereses_Leasing_Mensual!Q259, 2), "")</f>
        <v/>
      </c>
      <c r="R259" s="23">
        <f>IF(Intereses_Leasing_Mensual!R259&gt;0, ROUND(Q259 - Intereses_Leasing_Mensual!R259, 2), "")</f>
        <v/>
      </c>
      <c r="S259" s="23">
        <f>IF(Intereses_Leasing_Mensual!S259&gt;0, ROUND(R259 - Intereses_Leasing_Mensual!S259, 2), "")</f>
        <v/>
      </c>
      <c r="T259" s="23">
        <f>IF(Intereses_Leasing_Mensual!T259&gt;0, ROUND(S259 - Intereses_Leasing_Mensual!T259, 2), "")</f>
        <v/>
      </c>
      <c r="U259" s="23">
        <f>MAX(I259:T259)</f>
        <v/>
      </c>
    </row>
    <row r="260">
      <c r="A260" s="26" t="inlineStr">
        <is>
          <t>0767-0001</t>
        </is>
      </c>
      <c r="B260" s="27" t="inlineStr">
        <is>
          <t>Carlos Alberto Gutiérrez Hermosillo López</t>
        </is>
      </c>
      <c r="C260" s="27" t="inlineStr">
        <is>
          <t>Commander Overland</t>
        </is>
      </c>
      <c r="D260" s="26" t="inlineStr">
        <is>
          <t>ACTIVO</t>
        </is>
      </c>
      <c r="E260" s="26" t="inlineStr">
        <is>
          <t>2026-06-30</t>
        </is>
      </c>
      <c r="F260" s="26" t="inlineStr">
        <is>
          <t>2030-06-30</t>
        </is>
      </c>
      <c r="G260" s="28" t="n">
        <v>48</v>
      </c>
      <c r="H260" s="29" t="n">
        <v>435302.4</v>
      </c>
      <c r="I260" s="29" t="inlineStr"/>
      <c r="J260" s="29" t="inlineStr"/>
      <c r="K260" s="29" t="inlineStr"/>
      <c r="L260" s="29" t="inlineStr"/>
      <c r="M260" s="29" t="inlineStr"/>
      <c r="N260" s="29">
        <f>IF(Intereses_Leasing_Mensual!N260&gt;0, ROUND($H260 - Intereses_Leasing_Mensual!N260, 2), "")</f>
        <v/>
      </c>
      <c r="O260" s="29">
        <f>IF(Intereses_Leasing_Mensual!O260&gt;0, ROUND(N260 - Intereses_Leasing_Mensual!O260, 2), "")</f>
        <v/>
      </c>
      <c r="P260" s="29">
        <f>IF(Intereses_Leasing_Mensual!P260&gt;0, ROUND(O260 - Intereses_Leasing_Mensual!P260, 2), "")</f>
        <v/>
      </c>
      <c r="Q260" s="29">
        <f>IF(Intereses_Leasing_Mensual!Q260&gt;0, ROUND(P260 - Intereses_Leasing_Mensual!Q260, 2), "")</f>
        <v/>
      </c>
      <c r="R260" s="29">
        <f>IF(Intereses_Leasing_Mensual!R260&gt;0, ROUND(Q260 - Intereses_Leasing_Mensual!R260, 2), "")</f>
        <v/>
      </c>
      <c r="S260" s="29">
        <f>IF(Intereses_Leasing_Mensual!S260&gt;0, ROUND(R260 - Intereses_Leasing_Mensual!S260, 2), "")</f>
        <v/>
      </c>
      <c r="T260" s="29">
        <f>IF(Intereses_Leasing_Mensual!T260&gt;0, ROUND(S260 - Intereses_Leasing_Mensual!T260, 2), "")</f>
        <v/>
      </c>
      <c r="U260" s="29">
        <f>MAX(I260:T260)</f>
        <v/>
      </c>
    </row>
    <row r="261">
      <c r="A261" s="20" t="inlineStr">
        <is>
          <t>0768-0001</t>
        </is>
      </c>
      <c r="B261" s="21" t="inlineStr">
        <is>
          <t>Distribuidora y Comercializadora 2000, S.A. de C.V.</t>
        </is>
      </c>
      <c r="C261" s="21" t="inlineStr">
        <is>
          <t>Manager Furgon L4H2</t>
        </is>
      </c>
      <c r="D261" s="20" t="inlineStr">
        <is>
          <t>ACTIVO</t>
        </is>
      </c>
      <c r="E261" s="20" t="inlineStr">
        <is>
          <t>2026-06-29</t>
        </is>
      </c>
      <c r="F261" s="20" t="inlineStr">
        <is>
          <t>2027-06-29</t>
        </is>
      </c>
      <c r="G261" s="22" t="n">
        <v>12</v>
      </c>
      <c r="H261" s="23" t="n">
        <v>151328.5</v>
      </c>
      <c r="I261" s="23" t="inlineStr"/>
      <c r="J261" s="23" t="inlineStr"/>
      <c r="K261" s="23" t="inlineStr"/>
      <c r="L261" s="23" t="inlineStr"/>
      <c r="M261" s="23" t="inlineStr"/>
      <c r="N261" s="23">
        <f>IF(Intereses_Leasing_Mensual!N261&gt;0, ROUND($H261 - Intereses_Leasing_Mensual!N261, 2), "")</f>
        <v/>
      </c>
      <c r="O261" s="23">
        <f>IF(Intereses_Leasing_Mensual!O261&gt;0, ROUND(N261 - Intereses_Leasing_Mensual!O261, 2), "")</f>
        <v/>
      </c>
      <c r="P261" s="23">
        <f>IF(Intereses_Leasing_Mensual!P261&gt;0, ROUND(O261 - Intereses_Leasing_Mensual!P261, 2), "")</f>
        <v/>
      </c>
      <c r="Q261" s="23">
        <f>IF(Intereses_Leasing_Mensual!Q261&gt;0, ROUND(P261 - Intereses_Leasing_Mensual!Q261, 2), "")</f>
        <v/>
      </c>
      <c r="R261" s="23">
        <f>IF(Intereses_Leasing_Mensual!R261&gt;0, ROUND(Q261 - Intereses_Leasing_Mensual!R261, 2), "")</f>
        <v/>
      </c>
      <c r="S261" s="23">
        <f>IF(Intereses_Leasing_Mensual!S261&gt;0, ROUND(R261 - Intereses_Leasing_Mensual!S261, 2), "")</f>
        <v/>
      </c>
      <c r="T261" s="23">
        <f>IF(Intereses_Leasing_Mensual!T261&gt;0, ROUND(S261 - Intereses_Leasing_Mensual!T261, 2), "")</f>
        <v/>
      </c>
      <c r="U261" s="23">
        <f>MAX(I261:T261)</f>
        <v/>
      </c>
    </row>
    <row r="262">
      <c r="A262" s="26" t="inlineStr">
        <is>
          <t>0768-0002</t>
        </is>
      </c>
      <c r="B262" s="27" t="inlineStr">
        <is>
          <t>Distribuidora y Comercializadora 2000, S.A. de C.V.</t>
        </is>
      </c>
      <c r="C262" s="27" t="inlineStr">
        <is>
          <t>Manager Furgon L4H2</t>
        </is>
      </c>
      <c r="D262" s="26" t="inlineStr">
        <is>
          <t>ACTIVO</t>
        </is>
      </c>
      <c r="E262" s="26" t="inlineStr">
        <is>
          <t>2026-06-29</t>
        </is>
      </c>
      <c r="F262" s="26" t="inlineStr">
        <is>
          <t>2027-06-29</t>
        </is>
      </c>
      <c r="G262" s="28" t="n">
        <v>12</v>
      </c>
      <c r="H262" s="29" t="n">
        <v>155918.32</v>
      </c>
      <c r="I262" s="29" t="inlineStr"/>
      <c r="J262" s="29" t="inlineStr"/>
      <c r="K262" s="29" t="inlineStr"/>
      <c r="L262" s="29" t="inlineStr"/>
      <c r="M262" s="29" t="inlineStr"/>
      <c r="N262" s="29">
        <f>IF(Intereses_Leasing_Mensual!N262&gt;0, ROUND($H262 - Intereses_Leasing_Mensual!N262, 2), "")</f>
        <v/>
      </c>
      <c r="O262" s="29">
        <f>IF(Intereses_Leasing_Mensual!O262&gt;0, ROUND(N262 - Intereses_Leasing_Mensual!O262, 2), "")</f>
        <v/>
      </c>
      <c r="P262" s="29">
        <f>IF(Intereses_Leasing_Mensual!P262&gt;0, ROUND(O262 - Intereses_Leasing_Mensual!P262, 2), "")</f>
        <v/>
      </c>
      <c r="Q262" s="29">
        <f>IF(Intereses_Leasing_Mensual!Q262&gt;0, ROUND(P262 - Intereses_Leasing_Mensual!Q262, 2), "")</f>
        <v/>
      </c>
      <c r="R262" s="29">
        <f>IF(Intereses_Leasing_Mensual!R262&gt;0, ROUND(Q262 - Intereses_Leasing_Mensual!R262, 2), "")</f>
        <v/>
      </c>
      <c r="S262" s="29">
        <f>IF(Intereses_Leasing_Mensual!S262&gt;0, ROUND(R262 - Intereses_Leasing_Mensual!S262, 2), "")</f>
        <v/>
      </c>
      <c r="T262" s="29">
        <f>IF(Intereses_Leasing_Mensual!T262&gt;0, ROUND(S262 - Intereses_Leasing_Mensual!T262, 2), "")</f>
        <v/>
      </c>
      <c r="U262" s="29">
        <f>MAX(I262:T262)</f>
        <v/>
      </c>
    </row>
    <row r="263">
      <c r="A263" s="20" t="inlineStr">
        <is>
          <t>0769-0001</t>
        </is>
      </c>
      <c r="B263" s="21" t="inlineStr">
        <is>
          <t>Paloma Bernhardt Partida</t>
        </is>
      </c>
      <c r="C263" s="21" t="inlineStr">
        <is>
          <t>700 TRADESMAN CREW CAB</t>
        </is>
      </c>
      <c r="D263" s="20" t="inlineStr">
        <is>
          <t>ACTIVO</t>
        </is>
      </c>
      <c r="E263" s="20" t="inlineStr">
        <is>
          <t>2026-06-29</t>
        </is>
      </c>
      <c r="F263" s="20" t="inlineStr">
        <is>
          <t>2029-06-29</t>
        </is>
      </c>
      <c r="G263" s="22" t="n">
        <v>36</v>
      </c>
      <c r="H263" s="23" t="n">
        <v>187639.59</v>
      </c>
      <c r="I263" s="23" t="inlineStr"/>
      <c r="J263" s="23" t="inlineStr"/>
      <c r="K263" s="23" t="inlineStr"/>
      <c r="L263" s="23" t="inlineStr"/>
      <c r="M263" s="23" t="inlineStr"/>
      <c r="N263" s="23">
        <f>IF(Intereses_Leasing_Mensual!N263&gt;0, ROUND($H263 - Intereses_Leasing_Mensual!N263, 2), "")</f>
        <v/>
      </c>
      <c r="O263" s="23">
        <f>IF(Intereses_Leasing_Mensual!O263&gt;0, ROUND(N263 - Intereses_Leasing_Mensual!O263, 2), "")</f>
        <v/>
      </c>
      <c r="P263" s="23">
        <f>IF(Intereses_Leasing_Mensual!P263&gt;0, ROUND(O263 - Intereses_Leasing_Mensual!P263, 2), "")</f>
        <v/>
      </c>
      <c r="Q263" s="23">
        <f>IF(Intereses_Leasing_Mensual!Q263&gt;0, ROUND(P263 - Intereses_Leasing_Mensual!Q263, 2), "")</f>
        <v/>
      </c>
      <c r="R263" s="23">
        <f>IF(Intereses_Leasing_Mensual!R263&gt;0, ROUND(Q263 - Intereses_Leasing_Mensual!R263, 2), "")</f>
        <v/>
      </c>
      <c r="S263" s="23">
        <f>IF(Intereses_Leasing_Mensual!S263&gt;0, ROUND(R263 - Intereses_Leasing_Mensual!S263, 2), "")</f>
        <v/>
      </c>
      <c r="T263" s="23">
        <f>IF(Intereses_Leasing_Mensual!T263&gt;0, ROUND(S263 - Intereses_Leasing_Mensual!T263, 2), "")</f>
        <v/>
      </c>
      <c r="U263" s="23">
        <f>MAX(I263:T263)</f>
        <v/>
      </c>
    </row>
    <row r="264">
      <c r="A264" s="26" t="inlineStr">
        <is>
          <t>0769-0002</t>
        </is>
      </c>
      <c r="B264" s="27" t="inlineStr">
        <is>
          <t>Paloma Bernhardt Partida</t>
        </is>
      </c>
      <c r="C264" s="27" t="inlineStr">
        <is>
          <t>Ram 700 Tradesman 2026</t>
        </is>
      </c>
      <c r="D264" s="26" t="inlineStr">
        <is>
          <t>ACTIVO</t>
        </is>
      </c>
      <c r="E264" s="26" t="inlineStr">
        <is>
          <t>2026-09-23</t>
        </is>
      </c>
      <c r="F264" s="26" t="inlineStr">
        <is>
          <t>2029-09-23</t>
        </is>
      </c>
      <c r="G264" s="28" t="n">
        <v>36</v>
      </c>
      <c r="H264" s="29" t="n">
        <v>196506.4</v>
      </c>
      <c r="I264" s="29" t="inlineStr"/>
      <c r="J264" s="29" t="inlineStr"/>
      <c r="K264" s="29" t="inlineStr"/>
      <c r="L264" s="29" t="inlineStr"/>
      <c r="M264" s="29" t="inlineStr"/>
      <c r="N264" s="29" t="inlineStr"/>
      <c r="O264" s="29" t="inlineStr"/>
      <c r="P264" s="29" t="inlineStr"/>
      <c r="Q264" s="29">
        <f>IF(Intereses_Leasing_Mensual!Q264&gt;0, ROUND($H264 - Intereses_Leasing_Mensual!Q264, 2), "")</f>
        <v/>
      </c>
      <c r="R264" s="29">
        <f>IF(Intereses_Leasing_Mensual!R264&gt;0, ROUND(Q264 - Intereses_Leasing_Mensual!R264, 2), "")</f>
        <v/>
      </c>
      <c r="S264" s="29">
        <f>IF(Intereses_Leasing_Mensual!S264&gt;0, ROUND(R264 - Intereses_Leasing_Mensual!S264, 2), "")</f>
        <v/>
      </c>
      <c r="T264" s="29">
        <f>IF(Intereses_Leasing_Mensual!T264&gt;0, ROUND(S264 - Intereses_Leasing_Mensual!T264, 2), "")</f>
        <v/>
      </c>
      <c r="U264" s="29">
        <f>MAX(I264:T264)</f>
        <v/>
      </c>
    </row>
    <row r="265">
      <c r="A265" s="20" t="inlineStr">
        <is>
          <t>0770-0001</t>
        </is>
      </c>
      <c r="B265" s="21" t="inlineStr">
        <is>
          <t>Jorge Octavio Micher Camarena</t>
        </is>
      </c>
      <c r="C265" s="21" t="inlineStr">
        <is>
          <t>Jeep Cherokee Overland 2026</t>
        </is>
      </c>
      <c r="D265" s="20" t="inlineStr">
        <is>
          <t>ACTIVO</t>
        </is>
      </c>
      <c r="E265" s="20" t="inlineStr">
        <is>
          <t>2026-07-24</t>
        </is>
      </c>
      <c r="F265" s="20" t="inlineStr">
        <is>
          <t>2029-07-24</t>
        </is>
      </c>
      <c r="G265" s="22" t="n">
        <v>36</v>
      </c>
      <c r="H265" s="23" t="n">
        <v>342667.61</v>
      </c>
      <c r="I265" s="23" t="inlineStr"/>
      <c r="J265" s="23" t="inlineStr"/>
      <c r="K265" s="23" t="inlineStr"/>
      <c r="L265" s="23" t="inlineStr"/>
      <c r="M265" s="23" t="inlineStr"/>
      <c r="N265" s="23" t="inlineStr"/>
      <c r="O265" s="23">
        <f>IF(Intereses_Leasing_Mensual!O265&gt;0, ROUND($H265 - Intereses_Leasing_Mensual!O265, 2), "")</f>
        <v/>
      </c>
      <c r="P265" s="23">
        <f>IF(Intereses_Leasing_Mensual!P265&gt;0, ROUND(O265 - Intereses_Leasing_Mensual!P265, 2), "")</f>
        <v/>
      </c>
      <c r="Q265" s="23">
        <f>IF(Intereses_Leasing_Mensual!Q265&gt;0, ROUND(P265 - Intereses_Leasing_Mensual!Q265, 2), "")</f>
        <v/>
      </c>
      <c r="R265" s="23">
        <f>IF(Intereses_Leasing_Mensual!R265&gt;0, ROUND(Q265 - Intereses_Leasing_Mensual!R265, 2), "")</f>
        <v/>
      </c>
      <c r="S265" s="23">
        <f>IF(Intereses_Leasing_Mensual!S265&gt;0, ROUND(R265 - Intereses_Leasing_Mensual!S265, 2), "")</f>
        <v/>
      </c>
      <c r="T265" s="23">
        <f>IF(Intereses_Leasing_Mensual!T265&gt;0, ROUND(S265 - Intereses_Leasing_Mensual!T265, 2), "")</f>
        <v/>
      </c>
      <c r="U265" s="23">
        <f>MAX(I265:T265)</f>
        <v/>
      </c>
    </row>
    <row r="266">
      <c r="A266" s="26" t="inlineStr">
        <is>
          <t>0771-0001</t>
        </is>
      </c>
      <c r="B266" s="27" t="inlineStr">
        <is>
          <t>Inbcom de Colima</t>
        </is>
      </c>
      <c r="C266" s="27" t="inlineStr">
        <is>
          <t>Ram 1200 Tradesman CC 2026</t>
        </is>
      </c>
      <c r="D266" s="26" t="inlineStr">
        <is>
          <t>ACTIVO</t>
        </is>
      </c>
      <c r="E266" s="26" t="inlineStr">
        <is>
          <t>2026-07-31</t>
        </is>
      </c>
      <c r="F266" s="26" t="inlineStr">
        <is>
          <t>2027-07-31</t>
        </is>
      </c>
      <c r="G266" s="28" t="n">
        <v>12</v>
      </c>
      <c r="H266" s="29" t="n">
        <v>111384.35</v>
      </c>
      <c r="I266" s="29" t="inlineStr"/>
      <c r="J266" s="29" t="inlineStr"/>
      <c r="K266" s="29" t="inlineStr"/>
      <c r="L266" s="29" t="inlineStr"/>
      <c r="M266" s="29" t="inlineStr"/>
      <c r="N266" s="29" t="inlineStr"/>
      <c r="O266" s="29">
        <f>IF(Intereses_Leasing_Mensual!O266&gt;0, ROUND($H266 - Intereses_Leasing_Mensual!O266, 2), "")</f>
        <v/>
      </c>
      <c r="P266" s="29">
        <f>IF(Intereses_Leasing_Mensual!P266&gt;0, ROUND(O266 - Intereses_Leasing_Mensual!P266, 2), "")</f>
        <v/>
      </c>
      <c r="Q266" s="29">
        <f>IF(Intereses_Leasing_Mensual!Q266&gt;0, ROUND(P266 - Intereses_Leasing_Mensual!Q266, 2), "")</f>
        <v/>
      </c>
      <c r="R266" s="29">
        <f>IF(Intereses_Leasing_Mensual!R266&gt;0, ROUND(Q266 - Intereses_Leasing_Mensual!R266, 2), "")</f>
        <v/>
      </c>
      <c r="S266" s="29">
        <f>IF(Intereses_Leasing_Mensual!S266&gt;0, ROUND(R266 - Intereses_Leasing_Mensual!S266, 2), "")</f>
        <v/>
      </c>
      <c r="T266" s="29">
        <f>IF(Intereses_Leasing_Mensual!T266&gt;0, ROUND(S266 - Intereses_Leasing_Mensual!T266, 2), "")</f>
        <v/>
      </c>
      <c r="U266" s="29">
        <f>MAX(I266:T266)</f>
        <v/>
      </c>
    </row>
    <row r="267">
      <c r="A267" s="20" t="inlineStr">
        <is>
          <t>0772-0001</t>
        </is>
      </c>
      <c r="B267" s="21" t="inlineStr">
        <is>
          <t>Logistica y Transporte de Carga LGT</t>
        </is>
      </c>
      <c r="C267" s="21" t="inlineStr">
        <is>
          <t>Ram 1200 Laramie 2026</t>
        </is>
      </c>
      <c r="D267" s="20" t="inlineStr">
        <is>
          <t>ACTIVO</t>
        </is>
      </c>
      <c r="E267" s="20" t="inlineStr">
        <is>
          <t>2026-07-31</t>
        </is>
      </c>
      <c r="F267" s="20" t="inlineStr">
        <is>
          <t>2030-07-31</t>
        </is>
      </c>
      <c r="G267" s="22" t="n">
        <v>48</v>
      </c>
      <c r="H267" s="23" t="n">
        <v>410116.45</v>
      </c>
      <c r="I267" s="23" t="inlineStr"/>
      <c r="J267" s="23" t="inlineStr"/>
      <c r="K267" s="23" t="inlineStr"/>
      <c r="L267" s="23" t="inlineStr"/>
      <c r="M267" s="23" t="inlineStr"/>
      <c r="N267" s="23" t="inlineStr"/>
      <c r="O267" s="23">
        <f>IF(Intereses_Leasing_Mensual!O267&gt;0, ROUND($H267 - Intereses_Leasing_Mensual!O267, 2), "")</f>
        <v/>
      </c>
      <c r="P267" s="23">
        <f>IF(Intereses_Leasing_Mensual!P267&gt;0, ROUND(O267 - Intereses_Leasing_Mensual!P267, 2), "")</f>
        <v/>
      </c>
      <c r="Q267" s="23">
        <f>IF(Intereses_Leasing_Mensual!Q267&gt;0, ROUND(P267 - Intereses_Leasing_Mensual!Q267, 2), "")</f>
        <v/>
      </c>
      <c r="R267" s="23">
        <f>IF(Intereses_Leasing_Mensual!R267&gt;0, ROUND(Q267 - Intereses_Leasing_Mensual!R267, 2), "")</f>
        <v/>
      </c>
      <c r="S267" s="23">
        <f>IF(Intereses_Leasing_Mensual!S267&gt;0, ROUND(R267 - Intereses_Leasing_Mensual!S267, 2), "")</f>
        <v/>
      </c>
      <c r="T267" s="23">
        <f>IF(Intereses_Leasing_Mensual!T267&gt;0, ROUND(S267 - Intereses_Leasing_Mensual!T267, 2), "")</f>
        <v/>
      </c>
      <c r="U267" s="23">
        <f>MAX(I267:T267)</f>
        <v/>
      </c>
    </row>
    <row r="268">
      <c r="A268" s="26" t="inlineStr">
        <is>
          <t>0773-0001</t>
        </is>
      </c>
      <c r="B268" s="27" t="inlineStr">
        <is>
          <t>Industrias Besthelg, S.A. de C.V.</t>
        </is>
      </c>
      <c r="C268" s="27" t="inlineStr">
        <is>
          <t>Peugeot Manager Furgon L2H2 2026</t>
        </is>
      </c>
      <c r="D268" s="26" t="inlineStr">
        <is>
          <t>ACTIVO</t>
        </is>
      </c>
      <c r="E268" s="26" t="inlineStr">
        <is>
          <t>2026-08-06</t>
        </is>
      </c>
      <c r="F268" s="26" t="inlineStr">
        <is>
          <t>2029-08-06</t>
        </is>
      </c>
      <c r="G268" s="28" t="n">
        <v>36</v>
      </c>
      <c r="H268" s="29" t="n">
        <v>404066.29</v>
      </c>
      <c r="I268" s="29" t="inlineStr"/>
      <c r="J268" s="29" t="inlineStr"/>
      <c r="K268" s="29" t="inlineStr"/>
      <c r="L268" s="29" t="inlineStr"/>
      <c r="M268" s="29" t="inlineStr"/>
      <c r="N268" s="29" t="inlineStr"/>
      <c r="O268" s="29" t="inlineStr"/>
      <c r="P268" s="29">
        <f>IF(Intereses_Leasing_Mensual!P268&gt;0, ROUND($H268 - Intereses_Leasing_Mensual!P268, 2), "")</f>
        <v/>
      </c>
      <c r="Q268" s="29">
        <f>IF(Intereses_Leasing_Mensual!Q268&gt;0, ROUND(P268 - Intereses_Leasing_Mensual!Q268, 2), "")</f>
        <v/>
      </c>
      <c r="R268" s="29">
        <f>IF(Intereses_Leasing_Mensual!R268&gt;0, ROUND(Q268 - Intereses_Leasing_Mensual!R268, 2), "")</f>
        <v/>
      </c>
      <c r="S268" s="29">
        <f>IF(Intereses_Leasing_Mensual!S268&gt;0, ROUND(R268 - Intereses_Leasing_Mensual!S268, 2), "")</f>
        <v/>
      </c>
      <c r="T268" s="29">
        <f>IF(Intereses_Leasing_Mensual!T268&gt;0, ROUND(S268 - Intereses_Leasing_Mensual!T268, 2), "")</f>
        <v/>
      </c>
      <c r="U268" s="29">
        <f>MAX(I268:T268)</f>
        <v/>
      </c>
    </row>
    <row r="269">
      <c r="A269" s="20" t="inlineStr">
        <is>
          <t>0773-0002</t>
        </is>
      </c>
      <c r="B269" s="21" t="inlineStr">
        <is>
          <t>Industrias Besthelg, S.A. de C.V.</t>
        </is>
      </c>
      <c r="C269" s="21" t="inlineStr">
        <is>
          <t>Peugeot Manager L4H2 2027</t>
        </is>
      </c>
      <c r="D269" s="20" t="inlineStr">
        <is>
          <t>ACTIVO</t>
        </is>
      </c>
      <c r="E269" s="20" t="inlineStr">
        <is>
          <t>2026-07-31</t>
        </is>
      </c>
      <c r="F269" s="20" t="inlineStr">
        <is>
          <t>2029-07-31</t>
        </is>
      </c>
      <c r="G269" s="22" t="n">
        <v>36</v>
      </c>
      <c r="H269" s="23" t="n">
        <v>491866.85</v>
      </c>
      <c r="I269" s="23" t="inlineStr"/>
      <c r="J269" s="23" t="inlineStr"/>
      <c r="K269" s="23" t="inlineStr"/>
      <c r="L269" s="23" t="inlineStr"/>
      <c r="M269" s="23" t="inlineStr"/>
      <c r="N269" s="23" t="inlineStr"/>
      <c r="O269" s="23">
        <f>IF(Intereses_Leasing_Mensual!O269&gt;0, ROUND($H269 - Intereses_Leasing_Mensual!O269, 2), "")</f>
        <v/>
      </c>
      <c r="P269" s="23">
        <f>IF(Intereses_Leasing_Mensual!P269&gt;0, ROUND(O269 - Intereses_Leasing_Mensual!P269, 2), "")</f>
        <v/>
      </c>
      <c r="Q269" s="23">
        <f>IF(Intereses_Leasing_Mensual!Q269&gt;0, ROUND(P269 - Intereses_Leasing_Mensual!Q269, 2), "")</f>
        <v/>
      </c>
      <c r="R269" s="23">
        <f>IF(Intereses_Leasing_Mensual!R269&gt;0, ROUND(Q269 - Intereses_Leasing_Mensual!R269, 2), "")</f>
        <v/>
      </c>
      <c r="S269" s="23">
        <f>IF(Intereses_Leasing_Mensual!S269&gt;0, ROUND(R269 - Intereses_Leasing_Mensual!S269, 2), "")</f>
        <v/>
      </c>
      <c r="T269" s="23">
        <f>IF(Intereses_Leasing_Mensual!T269&gt;0, ROUND(S269 - Intereses_Leasing_Mensual!T269, 2), "")</f>
        <v/>
      </c>
      <c r="U269" s="23">
        <f>MAX(I269:T269)</f>
        <v/>
      </c>
    </row>
    <row r="270">
      <c r="A270" s="26" t="inlineStr">
        <is>
          <t>0774-0001</t>
        </is>
      </c>
      <c r="B270" s="27" t="inlineStr">
        <is>
          <t>Grupo Plastikrom</t>
        </is>
      </c>
      <c r="C270" s="27" t="inlineStr">
        <is>
          <t>Jeep Cherokee Overland 2026</t>
        </is>
      </c>
      <c r="D270" s="26" t="inlineStr">
        <is>
          <t>ACTIVO</t>
        </is>
      </c>
      <c r="E270" s="26" t="inlineStr">
        <is>
          <t>2026-08-28</t>
        </is>
      </c>
      <c r="F270" s="26" t="inlineStr">
        <is>
          <t>2028-08-28</t>
        </is>
      </c>
      <c r="G270" s="28" t="n">
        <v>24</v>
      </c>
      <c r="H270" s="29" t="n">
        <v>196046.1</v>
      </c>
      <c r="I270" s="29" t="inlineStr"/>
      <c r="J270" s="29" t="inlineStr"/>
      <c r="K270" s="29" t="inlineStr"/>
      <c r="L270" s="29" t="inlineStr"/>
      <c r="M270" s="29" t="inlineStr"/>
      <c r="N270" s="29" t="inlineStr"/>
      <c r="O270" s="29" t="inlineStr"/>
      <c r="P270" s="29">
        <f>IF(Intereses_Leasing_Mensual!P270&gt;0, ROUND($H270 - Intereses_Leasing_Mensual!P270, 2), "")</f>
        <v/>
      </c>
      <c r="Q270" s="29">
        <f>IF(Intereses_Leasing_Mensual!Q270&gt;0, ROUND(P270 - Intereses_Leasing_Mensual!Q270, 2), "")</f>
        <v/>
      </c>
      <c r="R270" s="29">
        <f>IF(Intereses_Leasing_Mensual!R270&gt;0, ROUND(Q270 - Intereses_Leasing_Mensual!R270, 2), "")</f>
        <v/>
      </c>
      <c r="S270" s="29">
        <f>IF(Intereses_Leasing_Mensual!S270&gt;0, ROUND(R270 - Intereses_Leasing_Mensual!S270, 2), "")</f>
        <v/>
      </c>
      <c r="T270" s="29">
        <f>IF(Intereses_Leasing_Mensual!T270&gt;0, ROUND(S270 - Intereses_Leasing_Mensual!T270, 2), "")</f>
        <v/>
      </c>
      <c r="U270" s="29">
        <f>MAX(I270:T270)</f>
        <v/>
      </c>
    </row>
    <row r="271">
      <c r="A271" s="20" t="inlineStr">
        <is>
          <t>0775-0001</t>
        </is>
      </c>
      <c r="B271" s="21" t="inlineStr">
        <is>
          <t>Manuel Ledezma Iñiguez</t>
        </is>
      </c>
      <c r="C271" s="21" t="inlineStr">
        <is>
          <t>Leapmotor B10 2026</t>
        </is>
      </c>
      <c r="D271" s="20" t="inlineStr">
        <is>
          <t>ACTIVO</t>
        </is>
      </c>
      <c r="E271" s="20" t="inlineStr">
        <is>
          <t>2026-08-26</t>
        </is>
      </c>
      <c r="F271" s="20" t="inlineStr">
        <is>
          <t>2030-08-26</t>
        </is>
      </c>
      <c r="G271" s="22" t="n">
        <v>48</v>
      </c>
      <c r="H271" s="23" t="n">
        <v>281012.96</v>
      </c>
      <c r="I271" s="23" t="inlineStr"/>
      <c r="J271" s="23" t="inlineStr"/>
      <c r="K271" s="23" t="inlineStr"/>
      <c r="L271" s="23" t="inlineStr"/>
      <c r="M271" s="23" t="inlineStr"/>
      <c r="N271" s="23" t="inlineStr"/>
      <c r="O271" s="23" t="inlineStr"/>
      <c r="P271" s="23">
        <f>IF(Intereses_Leasing_Mensual!P271&gt;0, ROUND($H271 - Intereses_Leasing_Mensual!P271, 2), "")</f>
        <v/>
      </c>
      <c r="Q271" s="23">
        <f>IF(Intereses_Leasing_Mensual!Q271&gt;0, ROUND(P271 - Intereses_Leasing_Mensual!Q271, 2), "")</f>
        <v/>
      </c>
      <c r="R271" s="23">
        <f>IF(Intereses_Leasing_Mensual!R271&gt;0, ROUND(Q271 - Intereses_Leasing_Mensual!R271, 2), "")</f>
        <v/>
      </c>
      <c r="S271" s="23">
        <f>IF(Intereses_Leasing_Mensual!S271&gt;0, ROUND(R271 - Intereses_Leasing_Mensual!S271, 2), "")</f>
        <v/>
      </c>
      <c r="T271" s="23">
        <f>IF(Intereses_Leasing_Mensual!T271&gt;0, ROUND(S271 - Intereses_Leasing_Mensual!T271, 2), "")</f>
        <v/>
      </c>
      <c r="U271" s="23">
        <f>MAX(I271:T271)</f>
        <v/>
      </c>
    </row>
    <row r="272">
      <c r="A272" s="26" t="inlineStr">
        <is>
          <t>0776-0001</t>
        </is>
      </c>
      <c r="B272" s="27" t="inlineStr">
        <is>
          <t>Armando Serna Hernández</t>
        </is>
      </c>
      <c r="C272" s="27" t="inlineStr">
        <is>
          <t>Jeep Grand Cherokee Limited 2026</t>
        </is>
      </c>
      <c r="D272" s="26" t="inlineStr">
        <is>
          <t>ACTIVO</t>
        </is>
      </c>
      <c r="E272" s="26" t="inlineStr">
        <is>
          <t>2026-08-26</t>
        </is>
      </c>
      <c r="F272" s="26" t="inlineStr">
        <is>
          <t>2030-08-26</t>
        </is>
      </c>
      <c r="G272" s="28" t="n">
        <v>48</v>
      </c>
      <c r="H272" s="29" t="n">
        <v>888105.6</v>
      </c>
      <c r="I272" s="29" t="inlineStr"/>
      <c r="J272" s="29" t="inlineStr"/>
      <c r="K272" s="29" t="inlineStr"/>
      <c r="L272" s="29" t="inlineStr"/>
      <c r="M272" s="29" t="inlineStr"/>
      <c r="N272" s="29" t="inlineStr"/>
      <c r="O272" s="29" t="inlineStr"/>
      <c r="P272" s="29">
        <f>IF(Intereses_Leasing_Mensual!P272&gt;0, ROUND($H272 - Intereses_Leasing_Mensual!P272, 2), "")</f>
        <v/>
      </c>
      <c r="Q272" s="29">
        <f>IF(Intereses_Leasing_Mensual!Q272&gt;0, ROUND(P272 - Intereses_Leasing_Mensual!Q272, 2), "")</f>
        <v/>
      </c>
      <c r="R272" s="29">
        <f>IF(Intereses_Leasing_Mensual!R272&gt;0, ROUND(Q272 - Intereses_Leasing_Mensual!R272, 2), "")</f>
        <v/>
      </c>
      <c r="S272" s="29">
        <f>IF(Intereses_Leasing_Mensual!S272&gt;0, ROUND(R272 - Intereses_Leasing_Mensual!S272, 2), "")</f>
        <v/>
      </c>
      <c r="T272" s="29">
        <f>IF(Intereses_Leasing_Mensual!T272&gt;0, ROUND(S272 - Intereses_Leasing_Mensual!T272, 2), "")</f>
        <v/>
      </c>
      <c r="U272" s="29">
        <f>MAX(I272:T272)</f>
        <v/>
      </c>
    </row>
    <row r="273">
      <c r="A273" s="20" t="inlineStr">
        <is>
          <t>0777-0001</t>
        </is>
      </c>
      <c r="B273" s="21" t="inlineStr">
        <is>
          <t>Yazmin Alejandra Gomez Olivas</t>
        </is>
      </c>
      <c r="C273" s="21" t="inlineStr">
        <is>
          <t>Jeep Wrangler Rubicon 2026</t>
        </is>
      </c>
      <c r="D273" s="20" t="inlineStr">
        <is>
          <t>ACTIVO</t>
        </is>
      </c>
      <c r="E273" s="20" t="inlineStr">
        <is>
          <t>2026-08-31</t>
        </is>
      </c>
      <c r="F273" s="20" t="inlineStr">
        <is>
          <t>2030-08-31</t>
        </is>
      </c>
      <c r="G273" s="22" t="n">
        <v>48</v>
      </c>
      <c r="H273" s="23" t="n">
        <v>727084.45</v>
      </c>
      <c r="I273" s="23" t="inlineStr"/>
      <c r="J273" s="23" t="inlineStr"/>
      <c r="K273" s="23" t="inlineStr"/>
      <c r="L273" s="23" t="inlineStr"/>
      <c r="M273" s="23" t="inlineStr"/>
      <c r="N273" s="23" t="inlineStr"/>
      <c r="O273" s="23" t="inlineStr"/>
      <c r="P273" s="23">
        <f>IF(Intereses_Leasing_Mensual!P273&gt;0, ROUND($H273 - Intereses_Leasing_Mensual!P273, 2), "")</f>
        <v/>
      </c>
      <c r="Q273" s="23">
        <f>IF(Intereses_Leasing_Mensual!Q273&gt;0, ROUND(P273 - Intereses_Leasing_Mensual!Q273, 2), "")</f>
        <v/>
      </c>
      <c r="R273" s="23">
        <f>IF(Intereses_Leasing_Mensual!R273&gt;0, ROUND(Q273 - Intereses_Leasing_Mensual!R273, 2), "")</f>
        <v/>
      </c>
      <c r="S273" s="23">
        <f>IF(Intereses_Leasing_Mensual!S273&gt;0, ROUND(R273 - Intereses_Leasing_Mensual!S273, 2), "")</f>
        <v/>
      </c>
      <c r="T273" s="23">
        <f>IF(Intereses_Leasing_Mensual!T273&gt;0, ROUND(S273 - Intereses_Leasing_Mensual!T273, 2), "")</f>
        <v/>
      </c>
      <c r="U273" s="23">
        <f>MAX(I273:T273)</f>
        <v/>
      </c>
    </row>
    <row r="274">
      <c r="A274" s="26" t="inlineStr">
        <is>
          <t>0778-0001</t>
        </is>
      </c>
      <c r="B274" s="27" t="inlineStr">
        <is>
          <t>Construcciones y Desarrollos Inmobile, S.A. de C.V.</t>
        </is>
      </c>
      <c r="C274" s="27" t="inlineStr">
        <is>
          <t>Mitsubishi L200 2026</t>
        </is>
      </c>
      <c r="D274" s="26" t="inlineStr">
        <is>
          <t>ACTIVO</t>
        </is>
      </c>
      <c r="E274" s="26" t="inlineStr">
        <is>
          <t>2026-08-31</t>
        </is>
      </c>
      <c r="F274" s="26" t="inlineStr">
        <is>
          <t>2028-08-31</t>
        </is>
      </c>
      <c r="G274" s="28" t="n">
        <v>24</v>
      </c>
      <c r="H274" s="29" t="n">
        <v>124172.26</v>
      </c>
      <c r="I274" s="29" t="inlineStr"/>
      <c r="J274" s="29" t="inlineStr"/>
      <c r="K274" s="29" t="inlineStr"/>
      <c r="L274" s="29" t="inlineStr"/>
      <c r="M274" s="29" t="inlineStr"/>
      <c r="N274" s="29" t="inlineStr"/>
      <c r="O274" s="29" t="inlineStr"/>
      <c r="P274" s="29">
        <f>IF(Intereses_Leasing_Mensual!P274&gt;0, ROUND($H274 - Intereses_Leasing_Mensual!P274, 2), "")</f>
        <v/>
      </c>
      <c r="Q274" s="29">
        <f>IF(Intereses_Leasing_Mensual!Q274&gt;0, ROUND(P274 - Intereses_Leasing_Mensual!Q274, 2), "")</f>
        <v/>
      </c>
      <c r="R274" s="29">
        <f>IF(Intereses_Leasing_Mensual!R274&gt;0, ROUND(Q274 - Intereses_Leasing_Mensual!R274, 2), "")</f>
        <v/>
      </c>
      <c r="S274" s="29">
        <f>IF(Intereses_Leasing_Mensual!S274&gt;0, ROUND(R274 - Intereses_Leasing_Mensual!S274, 2), "")</f>
        <v/>
      </c>
      <c r="T274" s="29">
        <f>IF(Intereses_Leasing_Mensual!T274&gt;0, ROUND(S274 - Intereses_Leasing_Mensual!T274, 2), "")</f>
        <v/>
      </c>
      <c r="U274" s="29">
        <f>MAX(I274:T274)</f>
        <v/>
      </c>
    </row>
    <row r="275">
      <c r="A275" s="20" t="inlineStr">
        <is>
          <t>0779-0001</t>
        </is>
      </c>
      <c r="B275" s="21" t="inlineStr">
        <is>
          <t>Margarita Kaplun Mucharrafille</t>
        </is>
      </c>
      <c r="C275" s="21" t="inlineStr">
        <is>
          <t>Ram 700 Bighorn 2026</t>
        </is>
      </c>
      <c r="D275" s="20" t="inlineStr">
        <is>
          <t>ACTIVO</t>
        </is>
      </c>
      <c r="E275" s="20" t="inlineStr">
        <is>
          <t>2026-09-03</t>
        </is>
      </c>
      <c r="F275" s="20" t="inlineStr">
        <is>
          <t>2030-09-03</t>
        </is>
      </c>
      <c r="G275" s="22" t="n">
        <v>48</v>
      </c>
      <c r="H275" s="23" t="n">
        <v>195614.86</v>
      </c>
      <c r="I275" s="23" t="inlineStr"/>
      <c r="J275" s="23" t="inlineStr"/>
      <c r="K275" s="23" t="inlineStr"/>
      <c r="L275" s="23" t="inlineStr"/>
      <c r="M275" s="23" t="inlineStr"/>
      <c r="N275" s="23" t="inlineStr"/>
      <c r="O275" s="23" t="inlineStr"/>
      <c r="P275" s="23" t="inlineStr"/>
      <c r="Q275" s="23">
        <f>IF(Intereses_Leasing_Mensual!Q275&gt;0, ROUND($H275 - Intereses_Leasing_Mensual!Q275, 2), "")</f>
        <v/>
      </c>
      <c r="R275" s="23">
        <f>IF(Intereses_Leasing_Mensual!R275&gt;0, ROUND(Q275 - Intereses_Leasing_Mensual!R275, 2), "")</f>
        <v/>
      </c>
      <c r="S275" s="23">
        <f>IF(Intereses_Leasing_Mensual!S275&gt;0, ROUND(R275 - Intereses_Leasing_Mensual!S275, 2), "")</f>
        <v/>
      </c>
      <c r="T275" s="23">
        <f>IF(Intereses_Leasing_Mensual!T275&gt;0, ROUND(S275 - Intereses_Leasing_Mensual!T275, 2), "")</f>
        <v/>
      </c>
      <c r="U275" s="23">
        <f>MAX(I275:T275)</f>
        <v/>
      </c>
    </row>
    <row r="276">
      <c r="A276" s="26" t="inlineStr">
        <is>
          <t>0780-0001</t>
        </is>
      </c>
      <c r="B276" s="27" t="inlineStr">
        <is>
          <t>David Rosendo Cedeño Guerrero</t>
        </is>
      </c>
      <c r="C276" s="27" t="inlineStr">
        <is>
          <t>Suzuki Jimny 2027</t>
        </is>
      </c>
      <c r="D276" s="26" t="inlineStr">
        <is>
          <t>ACTIVO</t>
        </is>
      </c>
      <c r="E276" s="26" t="inlineStr">
        <is>
          <t>2026-09-03</t>
        </is>
      </c>
      <c r="F276" s="26" t="inlineStr">
        <is>
          <t>2030-09-03</t>
        </is>
      </c>
      <c r="G276" s="28" t="n">
        <v>48</v>
      </c>
      <c r="H276" s="29" t="n">
        <v>354167.96</v>
      </c>
      <c r="I276" s="29" t="inlineStr"/>
      <c r="J276" s="29" t="inlineStr"/>
      <c r="K276" s="29" t="inlineStr"/>
      <c r="L276" s="29" t="inlineStr"/>
      <c r="M276" s="29" t="inlineStr"/>
      <c r="N276" s="29" t="inlineStr"/>
      <c r="O276" s="29" t="inlineStr"/>
      <c r="P276" s="29" t="inlineStr"/>
      <c r="Q276" s="29">
        <f>IF(Intereses_Leasing_Mensual!Q276&gt;0, ROUND($H276 - Intereses_Leasing_Mensual!Q276, 2), "")</f>
        <v/>
      </c>
      <c r="R276" s="29">
        <f>IF(Intereses_Leasing_Mensual!R276&gt;0, ROUND(Q276 - Intereses_Leasing_Mensual!R276, 2), "")</f>
        <v/>
      </c>
      <c r="S276" s="29">
        <f>IF(Intereses_Leasing_Mensual!S276&gt;0, ROUND(R276 - Intereses_Leasing_Mensual!S276, 2), "")</f>
        <v/>
      </c>
      <c r="T276" s="29">
        <f>IF(Intereses_Leasing_Mensual!T276&gt;0, ROUND(S276 - Intereses_Leasing_Mensual!T276, 2), "")</f>
        <v/>
      </c>
      <c r="U276" s="29">
        <f>MAX(I276:T276)</f>
        <v/>
      </c>
    </row>
    <row r="277">
      <c r="A277" s="20" t="inlineStr">
        <is>
          <t>0781-0001</t>
        </is>
      </c>
      <c r="B277" s="21" t="inlineStr">
        <is>
          <t>Northstar Marine &amp; Civil, S.A. de C.V.</t>
        </is>
      </c>
      <c r="C277" s="21" t="inlineStr">
        <is>
          <t>Sany Motoniveladora 2026</t>
        </is>
      </c>
      <c r="D277" s="20" t="inlineStr">
        <is>
          <t>ACTIVO</t>
        </is>
      </c>
      <c r="E277" s="20" t="inlineStr">
        <is>
          <t>2026-09-25</t>
        </is>
      </c>
      <c r="F277" s="20" t="inlineStr">
        <is>
          <t>2028-09-25</t>
        </is>
      </c>
      <c r="G277" s="22" t="n">
        <v>24</v>
      </c>
      <c r="H277" s="23" t="n">
        <v>798228.53</v>
      </c>
      <c r="I277" s="23" t="inlineStr"/>
      <c r="J277" s="23" t="inlineStr"/>
      <c r="K277" s="23" t="inlineStr"/>
      <c r="L277" s="23" t="inlineStr"/>
      <c r="M277" s="23" t="inlineStr"/>
      <c r="N277" s="23" t="inlineStr"/>
      <c r="O277" s="23" t="inlineStr"/>
      <c r="P277" s="23" t="inlineStr"/>
      <c r="Q277" s="23">
        <f>IF(Intereses_Leasing_Mensual!Q277&gt;0, ROUND($H277 - Intereses_Leasing_Mensual!Q277, 2), "")</f>
        <v/>
      </c>
      <c r="R277" s="23">
        <f>IF(Intereses_Leasing_Mensual!R277&gt;0, ROUND(Q277 - Intereses_Leasing_Mensual!R277, 2), "")</f>
        <v/>
      </c>
      <c r="S277" s="23">
        <f>IF(Intereses_Leasing_Mensual!S277&gt;0, ROUND(R277 - Intereses_Leasing_Mensual!S277, 2), "")</f>
        <v/>
      </c>
      <c r="T277" s="23">
        <f>IF(Intereses_Leasing_Mensual!T277&gt;0, ROUND(S277 - Intereses_Leasing_Mensual!T277, 2), "")</f>
        <v/>
      </c>
      <c r="U277" s="23">
        <f>MAX(I277:T277)</f>
        <v/>
      </c>
    </row>
    <row r="278">
      <c r="A278" s="26" t="inlineStr">
        <is>
          <t>0783-0001</t>
        </is>
      </c>
      <c r="B278" s="27" t="inlineStr">
        <is>
          <t>Nuup Trading, S.A. de C.V.</t>
        </is>
      </c>
      <c r="C278" s="27" t="inlineStr">
        <is>
          <t>Jeep Renegade 2026</t>
        </is>
      </c>
      <c r="D278" s="26" t="inlineStr">
        <is>
          <t>ACTIVO</t>
        </is>
      </c>
      <c r="E278" s="26" t="inlineStr">
        <is>
          <t>2026-09-22</t>
        </is>
      </c>
      <c r="F278" s="26" t="inlineStr">
        <is>
          <t>2028-09-22</t>
        </is>
      </c>
      <c r="G278" s="28" t="n">
        <v>24</v>
      </c>
      <c r="H278" s="29" t="n">
        <v>131992.9</v>
      </c>
      <c r="I278" s="29" t="inlineStr"/>
      <c r="J278" s="29" t="inlineStr"/>
      <c r="K278" s="29" t="inlineStr"/>
      <c r="L278" s="29" t="inlineStr"/>
      <c r="M278" s="29" t="inlineStr"/>
      <c r="N278" s="29" t="inlineStr"/>
      <c r="O278" s="29" t="inlineStr"/>
      <c r="P278" s="29" t="inlineStr"/>
      <c r="Q278" s="29">
        <f>IF(Intereses_Leasing_Mensual!Q278&gt;0, ROUND($H278 - Intereses_Leasing_Mensual!Q278, 2), "")</f>
        <v/>
      </c>
      <c r="R278" s="29">
        <f>IF(Intereses_Leasing_Mensual!R278&gt;0, ROUND(Q278 - Intereses_Leasing_Mensual!R278, 2), "")</f>
        <v/>
      </c>
      <c r="S278" s="29">
        <f>IF(Intereses_Leasing_Mensual!S278&gt;0, ROUND(R278 - Intereses_Leasing_Mensual!S278, 2), "")</f>
        <v/>
      </c>
      <c r="T278" s="29">
        <f>IF(Intereses_Leasing_Mensual!T278&gt;0, ROUND(S278 - Intereses_Leasing_Mensual!T278, 2), "")</f>
        <v/>
      </c>
      <c r="U278" s="29">
        <f>MAX(I278:T278)</f>
        <v/>
      </c>
    </row>
    <row r="279">
      <c r="A279" s="20" t="inlineStr">
        <is>
          <t>0784-0001</t>
        </is>
      </c>
      <c r="B279" s="21" t="inlineStr">
        <is>
          <t>Enruta App, S.A. de C.V.</t>
        </is>
      </c>
      <c r="C279" s="21" t="inlineStr">
        <is>
          <t>Dodge Attitude GT 2026</t>
        </is>
      </c>
      <c r="D279" s="20" t="inlineStr">
        <is>
          <t>ACTIVO</t>
        </is>
      </c>
      <c r="E279" s="20" t="inlineStr">
        <is>
          <t>2026-09-22</t>
        </is>
      </c>
      <c r="F279" s="20" t="inlineStr">
        <is>
          <t>2027-09-22</t>
        </is>
      </c>
      <c r="G279" s="22" t="n">
        <v>12</v>
      </c>
      <c r="H279" s="23" t="n">
        <v>61700.66</v>
      </c>
      <c r="I279" s="23" t="inlineStr"/>
      <c r="J279" s="23" t="inlineStr"/>
      <c r="K279" s="23" t="inlineStr"/>
      <c r="L279" s="23" t="inlineStr"/>
      <c r="M279" s="23" t="inlineStr"/>
      <c r="N279" s="23" t="inlineStr"/>
      <c r="O279" s="23" t="inlineStr"/>
      <c r="P279" s="23" t="inlineStr"/>
      <c r="Q279" s="23">
        <f>IF(Intereses_Leasing_Mensual!Q279&gt;0, ROUND($H279 - Intereses_Leasing_Mensual!Q279, 2), "")</f>
        <v/>
      </c>
      <c r="R279" s="23">
        <f>IF(Intereses_Leasing_Mensual!R279&gt;0, ROUND(Q279 - Intereses_Leasing_Mensual!R279, 2), "")</f>
        <v/>
      </c>
      <c r="S279" s="23">
        <f>IF(Intereses_Leasing_Mensual!S279&gt;0, ROUND(R279 - Intereses_Leasing_Mensual!S279, 2), "")</f>
        <v/>
      </c>
      <c r="T279" s="23">
        <f>IF(Intereses_Leasing_Mensual!T279&gt;0, ROUND(S279 - Intereses_Leasing_Mensual!T279, 2), "")</f>
        <v/>
      </c>
      <c r="U279" s="23">
        <f>MAX(I279:T279)</f>
        <v/>
      </c>
    </row>
    <row r="280">
      <c r="A280" s="26" t="inlineStr">
        <is>
          <t>0785-0001</t>
        </is>
      </c>
      <c r="B280" s="27" t="inlineStr">
        <is>
          <t>Velazquez Guerrero y Asociados, S.C.</t>
        </is>
      </c>
      <c r="C280" s="27" t="inlineStr">
        <is>
          <t>Peugeot Rifter Allure Pack 2027</t>
        </is>
      </c>
      <c r="D280" s="26" t="inlineStr">
        <is>
          <t>ACTIVO</t>
        </is>
      </c>
      <c r="E280" s="26" t="inlineStr">
        <is>
          <t>2026-09-28</t>
        </is>
      </c>
      <c r="F280" s="26" t="inlineStr">
        <is>
          <t>2028-09-28</t>
        </is>
      </c>
      <c r="G280" s="28" t="n">
        <v>24</v>
      </c>
      <c r="H280" s="29" t="n">
        <v>144575.89</v>
      </c>
      <c r="I280" s="29" t="inlineStr"/>
      <c r="J280" s="29" t="inlineStr"/>
      <c r="K280" s="29" t="inlineStr"/>
      <c r="L280" s="29" t="inlineStr"/>
      <c r="M280" s="29" t="inlineStr"/>
      <c r="N280" s="29" t="inlineStr"/>
      <c r="O280" s="29" t="inlineStr"/>
      <c r="P280" s="29" t="inlineStr"/>
      <c r="Q280" s="29">
        <f>IF(Intereses_Leasing_Mensual!Q280&gt;0, ROUND($H280 - Intereses_Leasing_Mensual!Q280, 2), "")</f>
        <v/>
      </c>
      <c r="R280" s="29">
        <f>IF(Intereses_Leasing_Mensual!R280&gt;0, ROUND(Q280 - Intereses_Leasing_Mensual!R280, 2), "")</f>
        <v/>
      </c>
      <c r="S280" s="29">
        <f>IF(Intereses_Leasing_Mensual!S280&gt;0, ROUND(R280 - Intereses_Leasing_Mensual!S280, 2), "")</f>
        <v/>
      </c>
      <c r="T280" s="29">
        <f>IF(Intereses_Leasing_Mensual!T280&gt;0, ROUND(S280 - Intereses_Leasing_Mensual!T280, 2), "")</f>
        <v/>
      </c>
      <c r="U280" s="29">
        <f>MAX(I280:T280)</f>
        <v/>
      </c>
    </row>
    <row r="281">
      <c r="A281" s="20" t="inlineStr">
        <is>
          <t>0786-0001</t>
        </is>
      </c>
      <c r="B281" s="21" t="inlineStr">
        <is>
          <t>Consejería Jurídico Empresarial, S.C.</t>
        </is>
      </c>
      <c r="C281" s="21" t="inlineStr">
        <is>
          <t>Mitsubishi Outlander Sport Limited 2027</t>
        </is>
      </c>
      <c r="D281" s="20" t="inlineStr">
        <is>
          <t>ACTIVO</t>
        </is>
      </c>
      <c r="E281" s="20" t="inlineStr">
        <is>
          <t>2026-09-28</t>
        </is>
      </c>
      <c r="F281" s="20" t="inlineStr">
        <is>
          <t>2028-09-28</t>
        </is>
      </c>
      <c r="G281" s="22" t="n">
        <v>24</v>
      </c>
      <c r="H281" s="23" t="n">
        <v>145127.62</v>
      </c>
      <c r="I281" s="23" t="inlineStr"/>
      <c r="J281" s="23" t="inlineStr"/>
      <c r="K281" s="23" t="inlineStr"/>
      <c r="L281" s="23" t="inlineStr"/>
      <c r="M281" s="23" t="inlineStr"/>
      <c r="N281" s="23" t="inlineStr"/>
      <c r="O281" s="23" t="inlineStr"/>
      <c r="P281" s="23" t="inlineStr"/>
      <c r="Q281" s="23">
        <f>IF(Intereses_Leasing_Mensual!Q281&gt;0, ROUND($H281 - Intereses_Leasing_Mensual!Q281, 2), "")</f>
        <v/>
      </c>
      <c r="R281" s="23">
        <f>IF(Intereses_Leasing_Mensual!R281&gt;0, ROUND(Q281 - Intereses_Leasing_Mensual!R281, 2), "")</f>
        <v/>
      </c>
      <c r="S281" s="23">
        <f>IF(Intereses_Leasing_Mensual!S281&gt;0, ROUND(R281 - Intereses_Leasing_Mensual!S281, 2), "")</f>
        <v/>
      </c>
      <c r="T281" s="23">
        <f>IF(Intereses_Leasing_Mensual!T281&gt;0, ROUND(S281 - Intereses_Leasing_Mensual!T281, 2), "")</f>
        <v/>
      </c>
      <c r="U281" s="23">
        <f>MAX(I281:T281)</f>
        <v/>
      </c>
    </row>
    <row r="282">
      <c r="A282" s="32" t="inlineStr">
        <is>
          <t>TOTAL CARTERA</t>
        </is>
      </c>
      <c r="B282" s="33" t="inlineStr">
        <is>
          <t>277 Contratos</t>
        </is>
      </c>
      <c r="C282" s="34" t="n"/>
      <c r="D282" s="34" t="n"/>
      <c r="E282" s="34" t="n"/>
      <c r="F282" s="34" t="n"/>
      <c r="G282" s="34" t="n"/>
      <c r="H282" s="34" t="n"/>
      <c r="I282" s="35">
        <f>SUM(I5:I281)</f>
        <v/>
      </c>
      <c r="J282" s="35">
        <f>SUM(J5:J281)</f>
        <v/>
      </c>
      <c r="K282" s="35">
        <f>SUM(K5:K281)</f>
        <v/>
      </c>
      <c r="L282" s="35">
        <f>SUM(L5:L281)</f>
        <v/>
      </c>
      <c r="M282" s="35">
        <f>SUM(M5:M281)</f>
        <v/>
      </c>
      <c r="N282" s="35">
        <f>SUM(N5:N281)</f>
        <v/>
      </c>
      <c r="O282" s="35">
        <f>SUM(O5:O281)</f>
        <v/>
      </c>
      <c r="P282" s="35">
        <f>SUM(P5:P281)</f>
        <v/>
      </c>
      <c r="Q282" s="35">
        <f>SUM(Q5:Q281)</f>
        <v/>
      </c>
      <c r="R282" s="35">
        <f>SUM(R5:R281)</f>
        <v/>
      </c>
      <c r="S282" s="35">
        <f>SUM(S5:S281)</f>
        <v/>
      </c>
      <c r="T282" s="35">
        <f>SUM(T5:T281)</f>
        <v/>
      </c>
      <c r="U282" s="35">
        <f>SUM(U5:U281)</f>
        <v/>
      </c>
    </row>
  </sheetData>
  <autoFilter ref="A4:U281"/>
  <mergeCells count="2">
    <mergeCell ref="A1:O1"/>
    <mergeCell ref="A2:O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82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2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20" customWidth="1" min="18" max="18"/>
  </cols>
  <sheetData>
    <row r="1" ht="24" customHeight="1">
      <c r="A1" s="18" t="inlineStr">
        <is>
          <t>O-LEASING · UNA APP DE ORANGE CREW · Saldo Total de Cartera al Cierre de Cada Mes (Capital + Intereses)</t>
        </is>
      </c>
    </row>
    <row r="2" ht="16" customHeight="1">
      <c r="A2" s="3" t="inlineStr">
        <is>
          <t>Fórmula inter-hoja viva sumando saldo insoluto de capital más saldo de intereses por devengar · Auditoría Financiera NIF C-15 / IFRS 16 · Desarrollado por Orange Crew</t>
        </is>
      </c>
    </row>
    <row r="4" ht="26" customHeight="1">
      <c r="A4" s="19" t="inlineStr">
        <is>
          <t>ID_Contrato</t>
        </is>
      </c>
      <c r="B4" s="19" t="inlineStr">
        <is>
          <t>Cliente</t>
        </is>
      </c>
      <c r="C4" s="19" t="inlineStr">
        <is>
          <t>Vehiculo</t>
        </is>
      </c>
      <c r="D4" s="19" t="inlineStr">
        <is>
          <t>Estatus</t>
        </is>
      </c>
      <c r="E4" s="19" t="inlineStr">
        <is>
          <t>Plazo</t>
        </is>
      </c>
      <c r="F4" s="9" t="inlineStr">
        <is>
          <t>2026-01</t>
        </is>
      </c>
      <c r="G4" s="9" t="inlineStr">
        <is>
          <t>2026-02</t>
        </is>
      </c>
      <c r="H4" s="9" t="inlineStr">
        <is>
          <t>2026-03</t>
        </is>
      </c>
      <c r="I4" s="9" t="inlineStr">
        <is>
          <t>2026-04</t>
        </is>
      </c>
      <c r="J4" s="9" t="inlineStr">
        <is>
          <t>2026-05</t>
        </is>
      </c>
      <c r="K4" s="9" t="inlineStr">
        <is>
          <t>2026-06</t>
        </is>
      </c>
      <c r="L4" s="9" t="inlineStr">
        <is>
          <t>2026-07</t>
        </is>
      </c>
      <c r="M4" s="9" t="inlineStr">
        <is>
          <t>2026-08</t>
        </is>
      </c>
      <c r="N4" s="9" t="inlineStr">
        <is>
          <t>2026-09</t>
        </is>
      </c>
      <c r="O4" s="9" t="inlineStr">
        <is>
          <t>2026-10</t>
        </is>
      </c>
      <c r="P4" s="9" t="inlineStr">
        <is>
          <t>2026-11</t>
        </is>
      </c>
      <c r="Q4" s="9" t="inlineStr">
        <is>
          <t>2026-12</t>
        </is>
      </c>
      <c r="R4" s="46" t="inlineStr">
        <is>
          <t>Saldo_Cartera_Cierre</t>
        </is>
      </c>
    </row>
    <row r="5">
      <c r="A5" s="20" t="inlineStr">
        <is>
          <t>0326-0003</t>
        </is>
      </c>
      <c r="B5" s="21" t="inlineStr">
        <is>
          <t>Alberto Vázquez Solorio</t>
        </is>
      </c>
      <c r="C5" s="21" t="inlineStr">
        <is>
          <t>Volkswagen Tiguan R-Line 2026</t>
        </is>
      </c>
      <c r="D5" s="20" t="inlineStr">
        <is>
          <t>ACTIVO</t>
        </is>
      </c>
      <c r="E5" s="22" t="n">
        <v>48</v>
      </c>
      <c r="F5" s="23" t="inlineStr"/>
      <c r="G5" s="23" t="inlineStr"/>
      <c r="H5" s="23" t="inlineStr"/>
      <c r="I5" s="23" t="inlineStr"/>
      <c r="J5" s="23" t="inlineStr"/>
      <c r="K5" s="23" t="inlineStr"/>
      <c r="L5" s="23" t="inlineStr"/>
      <c r="M5" s="23" t="inlineStr"/>
      <c r="N5" s="23">
        <f>ROUND(Saldos_Capital_Mensual!Q5 + Saldos_Intereses_Mensual!Q5, 2)</f>
        <v/>
      </c>
      <c r="O5" s="23">
        <f>ROUND(Saldos_Capital_Mensual!R5 + Saldos_Intereses_Mensual!R5, 2)</f>
        <v/>
      </c>
      <c r="P5" s="23">
        <f>ROUND(Saldos_Capital_Mensual!S5 + Saldos_Intereses_Mensual!S5, 2)</f>
        <v/>
      </c>
      <c r="Q5" s="23">
        <f>ROUND(Saldos_Capital_Mensual!T5 + Saldos_Intereses_Mensual!T5, 2)</f>
        <v/>
      </c>
      <c r="R5" s="23">
        <f>MAX(F5:Q5)</f>
        <v/>
      </c>
    </row>
    <row r="6">
      <c r="A6" s="26" t="inlineStr">
        <is>
          <t>0472-0003</t>
        </is>
      </c>
      <c r="B6" s="27" t="inlineStr">
        <is>
          <t>Miguel Zazueta Beltrán</t>
        </is>
      </c>
      <c r="C6" s="27" t="inlineStr">
        <is>
          <t>Jeep Grand Cherokee</t>
        </is>
      </c>
      <c r="D6" s="26" t="inlineStr">
        <is>
          <t>ACTIVO</t>
        </is>
      </c>
      <c r="E6" s="28" t="n">
        <v>36</v>
      </c>
      <c r="F6" s="29" t="inlineStr"/>
      <c r="G6" s="29">
        <f>ROUND(Saldos_Capital_Mensual!J6 + Saldos_Intereses_Mensual!J6, 2)</f>
        <v/>
      </c>
      <c r="H6" s="29">
        <f>ROUND(Saldos_Capital_Mensual!K6 + Saldos_Intereses_Mensual!K6, 2)</f>
        <v/>
      </c>
      <c r="I6" s="29">
        <f>ROUND(Saldos_Capital_Mensual!L6 + Saldos_Intereses_Mensual!L6, 2)</f>
        <v/>
      </c>
      <c r="J6" s="29">
        <f>ROUND(Saldos_Capital_Mensual!M6 + Saldos_Intereses_Mensual!M6, 2)</f>
        <v/>
      </c>
      <c r="K6" s="29">
        <f>ROUND(Saldos_Capital_Mensual!N6 + Saldos_Intereses_Mensual!N6, 2)</f>
        <v/>
      </c>
      <c r="L6" s="29">
        <f>ROUND(Saldos_Capital_Mensual!O6 + Saldos_Intereses_Mensual!O6, 2)</f>
        <v/>
      </c>
      <c r="M6" s="29">
        <f>ROUND(Saldos_Capital_Mensual!P6 + Saldos_Intereses_Mensual!P6, 2)</f>
        <v/>
      </c>
      <c r="N6" s="29">
        <f>ROUND(Saldos_Capital_Mensual!Q6 + Saldos_Intereses_Mensual!Q6, 2)</f>
        <v/>
      </c>
      <c r="O6" s="29">
        <f>ROUND(Saldos_Capital_Mensual!R6 + Saldos_Intereses_Mensual!R6, 2)</f>
        <v/>
      </c>
      <c r="P6" s="29">
        <f>ROUND(Saldos_Capital_Mensual!S6 + Saldos_Intereses_Mensual!S6, 2)</f>
        <v/>
      </c>
      <c r="Q6" s="29">
        <f>ROUND(Saldos_Capital_Mensual!T6 + Saldos_Intereses_Mensual!T6, 2)</f>
        <v/>
      </c>
      <c r="R6" s="29">
        <f>MAX(F6:Q6)</f>
        <v/>
      </c>
    </row>
    <row r="7">
      <c r="A7" s="20" t="inlineStr">
        <is>
          <t>0504-0004</t>
        </is>
      </c>
      <c r="B7" s="21" t="inlineStr">
        <is>
          <t>Oscar Ivan Lozano Terriquez</t>
        </is>
      </c>
      <c r="C7" s="21" t="inlineStr">
        <is>
          <t>700 BIGHORN "S" CREW CAB MT</t>
        </is>
      </c>
      <c r="D7" s="20" t="inlineStr">
        <is>
          <t>ACTIVO</t>
        </is>
      </c>
      <c r="E7" s="22" t="n">
        <v>12</v>
      </c>
      <c r="F7" s="23">
        <f>ROUND(Saldos_Capital_Mensual!I7 + Saldos_Intereses_Mensual!I7, 2)</f>
        <v/>
      </c>
      <c r="G7" s="23">
        <f>ROUND(Saldos_Capital_Mensual!J7 + Saldos_Intereses_Mensual!J7, 2)</f>
        <v/>
      </c>
      <c r="H7" s="23">
        <f>ROUND(Saldos_Capital_Mensual!K7 + Saldos_Intereses_Mensual!K7, 2)</f>
        <v/>
      </c>
      <c r="I7" s="23">
        <f>ROUND(Saldos_Capital_Mensual!L7 + Saldos_Intereses_Mensual!L7, 2)</f>
        <v/>
      </c>
      <c r="J7" s="23">
        <f>ROUND(Saldos_Capital_Mensual!M7 + Saldos_Intereses_Mensual!M7, 2)</f>
        <v/>
      </c>
      <c r="K7" s="23">
        <f>ROUND(Saldos_Capital_Mensual!N7 + Saldos_Intereses_Mensual!N7, 2)</f>
        <v/>
      </c>
      <c r="L7" s="23">
        <f>ROUND(Saldos_Capital_Mensual!O7 + Saldos_Intereses_Mensual!O7, 2)</f>
        <v/>
      </c>
      <c r="M7" s="23">
        <f>ROUND(Saldos_Capital_Mensual!P7 + Saldos_Intereses_Mensual!P7, 2)</f>
        <v/>
      </c>
      <c r="N7" s="23">
        <f>ROUND(Saldos_Capital_Mensual!Q7 + Saldos_Intereses_Mensual!Q7, 2)</f>
        <v/>
      </c>
      <c r="O7" s="23">
        <f>ROUND(Saldos_Capital_Mensual!R7 + Saldos_Intereses_Mensual!R7, 2)</f>
        <v/>
      </c>
      <c r="P7" s="23">
        <f>ROUND(Saldos_Capital_Mensual!S7 + Saldos_Intereses_Mensual!S7, 2)</f>
        <v/>
      </c>
      <c r="Q7" s="23">
        <f>ROUND(Saldos_Capital_Mensual!T7 + Saldos_Intereses_Mensual!T7, 2)</f>
        <v/>
      </c>
      <c r="R7" s="23">
        <f>MAX(F7:Q7)</f>
        <v/>
      </c>
    </row>
    <row r="8">
      <c r="A8" s="26" t="inlineStr">
        <is>
          <t>0506-0006</t>
        </is>
      </c>
      <c r="B8" s="27" t="inlineStr">
        <is>
          <t>Electronic Accounting Sa de Cv</t>
        </is>
      </c>
      <c r="C8" s="27" t="inlineStr">
        <is>
          <t>X5</t>
        </is>
      </c>
      <c r="D8" s="26" t="inlineStr">
        <is>
          <t>ACTIVO</t>
        </is>
      </c>
      <c r="E8" s="28" t="n">
        <v>36</v>
      </c>
      <c r="F8" s="29">
        <f>ROUND(Saldos_Capital_Mensual!I8 + Saldos_Intereses_Mensual!I8, 2)</f>
        <v/>
      </c>
      <c r="G8" s="29">
        <f>ROUND(Saldos_Capital_Mensual!J8 + Saldos_Intereses_Mensual!J8, 2)</f>
        <v/>
      </c>
      <c r="H8" s="29">
        <f>ROUND(Saldos_Capital_Mensual!K8 + Saldos_Intereses_Mensual!K8, 2)</f>
        <v/>
      </c>
      <c r="I8" s="29">
        <f>ROUND(Saldos_Capital_Mensual!L8 + Saldos_Intereses_Mensual!L8, 2)</f>
        <v/>
      </c>
      <c r="J8" s="29">
        <f>ROUND(Saldos_Capital_Mensual!M8 + Saldos_Intereses_Mensual!M8, 2)</f>
        <v/>
      </c>
      <c r="K8" s="29">
        <f>ROUND(Saldos_Capital_Mensual!N8 + Saldos_Intereses_Mensual!N8, 2)</f>
        <v/>
      </c>
      <c r="L8" s="29">
        <f>ROUND(Saldos_Capital_Mensual!O8 + Saldos_Intereses_Mensual!O8, 2)</f>
        <v/>
      </c>
      <c r="M8" s="29">
        <f>ROUND(Saldos_Capital_Mensual!P8 + Saldos_Intereses_Mensual!P8, 2)</f>
        <v/>
      </c>
      <c r="N8" s="29">
        <f>ROUND(Saldos_Capital_Mensual!Q8 + Saldos_Intereses_Mensual!Q8, 2)</f>
        <v/>
      </c>
      <c r="O8" s="29">
        <f>ROUND(Saldos_Capital_Mensual!R8 + Saldos_Intereses_Mensual!R8, 2)</f>
        <v/>
      </c>
      <c r="P8" s="29">
        <f>ROUND(Saldos_Capital_Mensual!S8 + Saldos_Intereses_Mensual!S8, 2)</f>
        <v/>
      </c>
      <c r="Q8" s="29">
        <f>ROUND(Saldos_Capital_Mensual!T8 + Saldos_Intereses_Mensual!T8, 2)</f>
        <v/>
      </c>
      <c r="R8" s="29">
        <f>MAX(F8:Q8)</f>
        <v/>
      </c>
    </row>
    <row r="9">
      <c r="A9" s="20" t="inlineStr">
        <is>
          <t>0506-0007</t>
        </is>
      </c>
      <c r="B9" s="21" t="inlineStr">
        <is>
          <t>Electronic Acounting</t>
        </is>
      </c>
      <c r="C9" s="21" t="inlineStr">
        <is>
          <t>L200 Glx Diesel</t>
        </is>
      </c>
      <c r="D9" s="20" t="inlineStr">
        <is>
          <t>ACTIVO</t>
        </is>
      </c>
      <c r="E9" s="22" t="n">
        <v>36</v>
      </c>
      <c r="F9" s="23">
        <f>ROUND(Saldos_Capital_Mensual!I9 + Saldos_Intereses_Mensual!I9, 2)</f>
        <v/>
      </c>
      <c r="G9" s="23">
        <f>ROUND(Saldos_Capital_Mensual!J9 + Saldos_Intereses_Mensual!J9, 2)</f>
        <v/>
      </c>
      <c r="H9" s="23">
        <f>ROUND(Saldos_Capital_Mensual!K9 + Saldos_Intereses_Mensual!K9, 2)</f>
        <v/>
      </c>
      <c r="I9" s="23">
        <f>ROUND(Saldos_Capital_Mensual!L9 + Saldos_Intereses_Mensual!L9, 2)</f>
        <v/>
      </c>
      <c r="J9" s="23">
        <f>ROUND(Saldos_Capital_Mensual!M9 + Saldos_Intereses_Mensual!M9, 2)</f>
        <v/>
      </c>
      <c r="K9" s="23">
        <f>ROUND(Saldos_Capital_Mensual!N9 + Saldos_Intereses_Mensual!N9, 2)</f>
        <v/>
      </c>
      <c r="L9" s="23">
        <f>ROUND(Saldos_Capital_Mensual!O9 + Saldos_Intereses_Mensual!O9, 2)</f>
        <v/>
      </c>
      <c r="M9" s="23">
        <f>ROUND(Saldos_Capital_Mensual!P9 + Saldos_Intereses_Mensual!P9, 2)</f>
        <v/>
      </c>
      <c r="N9" s="23">
        <f>ROUND(Saldos_Capital_Mensual!Q9 + Saldos_Intereses_Mensual!Q9, 2)</f>
        <v/>
      </c>
      <c r="O9" s="23">
        <f>ROUND(Saldos_Capital_Mensual!R9 + Saldos_Intereses_Mensual!R9, 2)</f>
        <v/>
      </c>
      <c r="P9" s="23">
        <f>ROUND(Saldos_Capital_Mensual!S9 + Saldos_Intereses_Mensual!S9, 2)</f>
        <v/>
      </c>
      <c r="Q9" s="23">
        <f>ROUND(Saldos_Capital_Mensual!T9 + Saldos_Intereses_Mensual!T9, 2)</f>
        <v/>
      </c>
      <c r="R9" s="23">
        <f>MAX(F9:Q9)</f>
        <v/>
      </c>
    </row>
    <row r="10">
      <c r="A10" s="26" t="inlineStr">
        <is>
          <t>0519-0005</t>
        </is>
      </c>
      <c r="B10" s="27" t="inlineStr">
        <is>
          <t>Tequilas el Mexicano S.A. de C.V.</t>
        </is>
      </c>
      <c r="C10" s="27" t="inlineStr">
        <is>
          <t>Attitude Sport</t>
        </is>
      </c>
      <c r="D10" s="26" t="inlineStr">
        <is>
          <t>ACTIVO</t>
        </is>
      </c>
      <c r="E10" s="28" t="n">
        <v>48</v>
      </c>
      <c r="F10" s="29">
        <f>ROUND(Saldos_Capital_Mensual!I10 + Saldos_Intereses_Mensual!I10, 2)</f>
        <v/>
      </c>
      <c r="G10" s="29">
        <f>ROUND(Saldos_Capital_Mensual!J10 + Saldos_Intereses_Mensual!J10, 2)</f>
        <v/>
      </c>
      <c r="H10" s="29">
        <f>ROUND(Saldos_Capital_Mensual!K10 + Saldos_Intereses_Mensual!K10, 2)</f>
        <v/>
      </c>
      <c r="I10" s="29">
        <f>ROUND(Saldos_Capital_Mensual!L10 + Saldos_Intereses_Mensual!L10, 2)</f>
        <v/>
      </c>
      <c r="J10" s="29">
        <f>ROUND(Saldos_Capital_Mensual!M10 + Saldos_Intereses_Mensual!M10, 2)</f>
        <v/>
      </c>
      <c r="K10" s="29">
        <f>ROUND(Saldos_Capital_Mensual!N10 + Saldos_Intereses_Mensual!N10, 2)</f>
        <v/>
      </c>
      <c r="L10" s="29">
        <f>ROUND(Saldos_Capital_Mensual!O10 + Saldos_Intereses_Mensual!O10, 2)</f>
        <v/>
      </c>
      <c r="M10" s="29">
        <f>ROUND(Saldos_Capital_Mensual!P10 + Saldos_Intereses_Mensual!P10, 2)</f>
        <v/>
      </c>
      <c r="N10" s="29">
        <f>ROUND(Saldos_Capital_Mensual!Q10 + Saldos_Intereses_Mensual!Q10, 2)</f>
        <v/>
      </c>
      <c r="O10" s="29">
        <f>ROUND(Saldos_Capital_Mensual!R10 + Saldos_Intereses_Mensual!R10, 2)</f>
        <v/>
      </c>
      <c r="P10" s="29">
        <f>ROUND(Saldos_Capital_Mensual!S10 + Saldos_Intereses_Mensual!S10, 2)</f>
        <v/>
      </c>
      <c r="Q10" s="29">
        <f>ROUND(Saldos_Capital_Mensual!T10 + Saldos_Intereses_Mensual!T10, 2)</f>
        <v/>
      </c>
      <c r="R10" s="29">
        <f>MAX(F10:Q10)</f>
        <v/>
      </c>
    </row>
    <row r="11">
      <c r="A11" s="20" t="inlineStr">
        <is>
          <t>0520-0003</t>
        </is>
      </c>
      <c r="B11" s="21" t="inlineStr">
        <is>
          <t>Tractomotriz Diesel Leal, S.A. de C.V.</t>
        </is>
      </c>
      <c r="C11" s="21" t="inlineStr">
        <is>
          <t>Montero Sport</t>
        </is>
      </c>
      <c r="D11" s="20" t="inlineStr">
        <is>
          <t>ACTIVO</t>
        </is>
      </c>
      <c r="E11" s="22" t="n">
        <v>36</v>
      </c>
      <c r="F11" s="23">
        <f>ROUND(Saldos_Capital_Mensual!I11 + Saldos_Intereses_Mensual!I11, 2)</f>
        <v/>
      </c>
      <c r="G11" s="23">
        <f>ROUND(Saldos_Capital_Mensual!J11 + Saldos_Intereses_Mensual!J11, 2)</f>
        <v/>
      </c>
      <c r="H11" s="23">
        <f>ROUND(Saldos_Capital_Mensual!K11 + Saldos_Intereses_Mensual!K11, 2)</f>
        <v/>
      </c>
      <c r="I11" s="23">
        <f>ROUND(Saldos_Capital_Mensual!L11 + Saldos_Intereses_Mensual!L11, 2)</f>
        <v/>
      </c>
      <c r="J11" s="23">
        <f>ROUND(Saldos_Capital_Mensual!M11 + Saldos_Intereses_Mensual!M11, 2)</f>
        <v/>
      </c>
      <c r="K11" s="23">
        <f>ROUND(Saldos_Capital_Mensual!N11 + Saldos_Intereses_Mensual!N11, 2)</f>
        <v/>
      </c>
      <c r="L11" s="23">
        <f>ROUND(Saldos_Capital_Mensual!O11 + Saldos_Intereses_Mensual!O11, 2)</f>
        <v/>
      </c>
      <c r="M11" s="23">
        <f>ROUND(Saldos_Capital_Mensual!P11 + Saldos_Intereses_Mensual!P11, 2)</f>
        <v/>
      </c>
      <c r="N11" s="23">
        <f>ROUND(Saldos_Capital_Mensual!Q11 + Saldos_Intereses_Mensual!Q11, 2)</f>
        <v/>
      </c>
      <c r="O11" s="23">
        <f>ROUND(Saldos_Capital_Mensual!R11 + Saldos_Intereses_Mensual!R11, 2)</f>
        <v/>
      </c>
      <c r="P11" s="23">
        <f>ROUND(Saldos_Capital_Mensual!S11 + Saldos_Intereses_Mensual!S11, 2)</f>
        <v/>
      </c>
      <c r="Q11" s="23">
        <f>ROUND(Saldos_Capital_Mensual!T11 + Saldos_Intereses_Mensual!T11, 2)</f>
        <v/>
      </c>
      <c r="R11" s="23">
        <f>MAX(F11:Q11)</f>
        <v/>
      </c>
    </row>
    <row r="12">
      <c r="A12" s="26" t="inlineStr">
        <is>
          <t>0520-0004</t>
        </is>
      </c>
      <c r="B12" s="27" t="inlineStr">
        <is>
          <t>Tractomotriz Diesel Leal, S.A. de C.V.</t>
        </is>
      </c>
      <c r="C12" s="27" t="inlineStr">
        <is>
          <t>Partner Maxi Pack</t>
        </is>
      </c>
      <c r="D12" s="26" t="inlineStr">
        <is>
          <t>ACTIVO</t>
        </is>
      </c>
      <c r="E12" s="28" t="n">
        <v>36</v>
      </c>
      <c r="F12" s="29">
        <f>ROUND(Saldos_Capital_Mensual!I12 + Saldos_Intereses_Mensual!I12, 2)</f>
        <v/>
      </c>
      <c r="G12" s="29">
        <f>ROUND(Saldos_Capital_Mensual!J12 + Saldos_Intereses_Mensual!J12, 2)</f>
        <v/>
      </c>
      <c r="H12" s="29">
        <f>ROUND(Saldos_Capital_Mensual!K12 + Saldos_Intereses_Mensual!K12, 2)</f>
        <v/>
      </c>
      <c r="I12" s="29">
        <f>ROUND(Saldos_Capital_Mensual!L12 + Saldos_Intereses_Mensual!L12, 2)</f>
        <v/>
      </c>
      <c r="J12" s="29">
        <f>ROUND(Saldos_Capital_Mensual!M12 + Saldos_Intereses_Mensual!M12, 2)</f>
        <v/>
      </c>
      <c r="K12" s="29">
        <f>ROUND(Saldos_Capital_Mensual!N12 + Saldos_Intereses_Mensual!N12, 2)</f>
        <v/>
      </c>
      <c r="L12" s="29">
        <f>ROUND(Saldos_Capital_Mensual!O12 + Saldos_Intereses_Mensual!O12, 2)</f>
        <v/>
      </c>
      <c r="M12" s="29">
        <f>ROUND(Saldos_Capital_Mensual!P12 + Saldos_Intereses_Mensual!P12, 2)</f>
        <v/>
      </c>
      <c r="N12" s="29">
        <f>ROUND(Saldos_Capital_Mensual!Q12 + Saldos_Intereses_Mensual!Q12, 2)</f>
        <v/>
      </c>
      <c r="O12" s="29">
        <f>ROUND(Saldos_Capital_Mensual!R12 + Saldos_Intereses_Mensual!R12, 2)</f>
        <v/>
      </c>
      <c r="P12" s="29">
        <f>ROUND(Saldos_Capital_Mensual!S12 + Saldos_Intereses_Mensual!S12, 2)</f>
        <v/>
      </c>
      <c r="Q12" s="29">
        <f>ROUND(Saldos_Capital_Mensual!T12 + Saldos_Intereses_Mensual!T12, 2)</f>
        <v/>
      </c>
      <c r="R12" s="29">
        <f>MAX(F12:Q12)</f>
        <v/>
      </c>
    </row>
    <row r="13">
      <c r="A13" s="20" t="inlineStr">
        <is>
          <t>0521-0002</t>
        </is>
      </c>
      <c r="B13" s="21" t="inlineStr">
        <is>
          <t>Carlos Hiram leal Leal</t>
        </is>
      </c>
      <c r="C13" s="21" t="inlineStr">
        <is>
          <t>Xpander</t>
        </is>
      </c>
      <c r="D13" s="20" t="inlineStr">
        <is>
          <t>ACTIVO</t>
        </is>
      </c>
      <c r="E13" s="22" t="n">
        <v>36</v>
      </c>
      <c r="F13" s="23">
        <f>ROUND(Saldos_Capital_Mensual!I13 + Saldos_Intereses_Mensual!I13, 2)</f>
        <v/>
      </c>
      <c r="G13" s="23">
        <f>ROUND(Saldos_Capital_Mensual!J13 + Saldos_Intereses_Mensual!J13, 2)</f>
        <v/>
      </c>
      <c r="H13" s="23">
        <f>ROUND(Saldos_Capital_Mensual!K13 + Saldos_Intereses_Mensual!K13, 2)</f>
        <v/>
      </c>
      <c r="I13" s="23">
        <f>ROUND(Saldos_Capital_Mensual!L13 + Saldos_Intereses_Mensual!L13, 2)</f>
        <v/>
      </c>
      <c r="J13" s="23">
        <f>ROUND(Saldos_Capital_Mensual!M13 + Saldos_Intereses_Mensual!M13, 2)</f>
        <v/>
      </c>
      <c r="K13" s="23">
        <f>ROUND(Saldos_Capital_Mensual!N13 + Saldos_Intereses_Mensual!N13, 2)</f>
        <v/>
      </c>
      <c r="L13" s="23">
        <f>ROUND(Saldos_Capital_Mensual!O13 + Saldos_Intereses_Mensual!O13, 2)</f>
        <v/>
      </c>
      <c r="M13" s="23">
        <f>ROUND(Saldos_Capital_Mensual!P13 + Saldos_Intereses_Mensual!P13, 2)</f>
        <v/>
      </c>
      <c r="N13" s="23">
        <f>ROUND(Saldos_Capital_Mensual!Q13 + Saldos_Intereses_Mensual!Q13, 2)</f>
        <v/>
      </c>
      <c r="O13" s="23">
        <f>ROUND(Saldos_Capital_Mensual!R13 + Saldos_Intereses_Mensual!R13, 2)</f>
        <v/>
      </c>
      <c r="P13" s="23">
        <f>ROUND(Saldos_Capital_Mensual!S13 + Saldos_Intereses_Mensual!S13, 2)</f>
        <v/>
      </c>
      <c r="Q13" s="23">
        <f>ROUND(Saldos_Capital_Mensual!T13 + Saldos_Intereses_Mensual!T13, 2)</f>
        <v/>
      </c>
      <c r="R13" s="23">
        <f>MAX(F13:Q13)</f>
        <v/>
      </c>
    </row>
    <row r="14">
      <c r="A14" s="26" t="inlineStr">
        <is>
          <t>0524-0007</t>
        </is>
      </c>
      <c r="B14" s="27" t="inlineStr">
        <is>
          <t>Lider En Derecho De Via y Construcción SA DE CV</t>
        </is>
      </c>
      <c r="C14" s="27" t="inlineStr">
        <is>
          <t>L200 Gls</t>
        </is>
      </c>
      <c r="D14" s="26" t="inlineStr">
        <is>
          <t>ACTIVO</t>
        </is>
      </c>
      <c r="E14" s="28" t="n">
        <v>24</v>
      </c>
      <c r="F14" s="29">
        <f>ROUND(Saldos_Capital_Mensual!I14 + Saldos_Intereses_Mensual!I14, 2)</f>
        <v/>
      </c>
      <c r="G14" s="29">
        <f>ROUND(Saldos_Capital_Mensual!J14 + Saldos_Intereses_Mensual!J14, 2)</f>
        <v/>
      </c>
      <c r="H14" s="29">
        <f>ROUND(Saldos_Capital_Mensual!K14 + Saldos_Intereses_Mensual!K14, 2)</f>
        <v/>
      </c>
      <c r="I14" s="29">
        <f>ROUND(Saldos_Capital_Mensual!L14 + Saldos_Intereses_Mensual!L14, 2)</f>
        <v/>
      </c>
      <c r="J14" s="29">
        <f>ROUND(Saldos_Capital_Mensual!M14 + Saldos_Intereses_Mensual!M14, 2)</f>
        <v/>
      </c>
      <c r="K14" s="29">
        <f>ROUND(Saldos_Capital_Mensual!N14 + Saldos_Intereses_Mensual!N14, 2)</f>
        <v/>
      </c>
      <c r="L14" s="29">
        <f>ROUND(Saldos_Capital_Mensual!O14 + Saldos_Intereses_Mensual!O14, 2)</f>
        <v/>
      </c>
      <c r="M14" s="29">
        <f>ROUND(Saldos_Capital_Mensual!P14 + Saldos_Intereses_Mensual!P14, 2)</f>
        <v/>
      </c>
      <c r="N14" s="29">
        <f>ROUND(Saldos_Capital_Mensual!Q14 + Saldos_Intereses_Mensual!Q14, 2)</f>
        <v/>
      </c>
      <c r="O14" s="29">
        <f>ROUND(Saldos_Capital_Mensual!R14 + Saldos_Intereses_Mensual!R14, 2)</f>
        <v/>
      </c>
      <c r="P14" s="29">
        <f>ROUND(Saldos_Capital_Mensual!S14 + Saldos_Intereses_Mensual!S14, 2)</f>
        <v/>
      </c>
      <c r="Q14" s="29">
        <f>ROUND(Saldos_Capital_Mensual!T14 + Saldos_Intereses_Mensual!T14, 2)</f>
        <v/>
      </c>
      <c r="R14" s="29">
        <f>MAX(F14:Q14)</f>
        <v/>
      </c>
    </row>
    <row r="15">
      <c r="A15" s="20" t="inlineStr">
        <is>
          <t>0524-0011</t>
        </is>
      </c>
      <c r="B15" s="21" t="inlineStr">
        <is>
          <t>Lider En Derecho De Via y Construcción SA DE CV</t>
        </is>
      </c>
      <c r="C15" s="21" t="inlineStr">
        <is>
          <t>Wrangler Unlimited Sahara</t>
        </is>
      </c>
      <c r="D15" s="20" t="inlineStr">
        <is>
          <t>ACTIVO</t>
        </is>
      </c>
      <c r="E15" s="22" t="n">
        <v>48</v>
      </c>
      <c r="F15" s="23">
        <f>ROUND(Saldos_Capital_Mensual!I15 + Saldos_Intereses_Mensual!I15, 2)</f>
        <v/>
      </c>
      <c r="G15" s="23">
        <f>ROUND(Saldos_Capital_Mensual!J15 + Saldos_Intereses_Mensual!J15, 2)</f>
        <v/>
      </c>
      <c r="H15" s="23">
        <f>ROUND(Saldos_Capital_Mensual!K15 + Saldos_Intereses_Mensual!K15, 2)</f>
        <v/>
      </c>
      <c r="I15" s="23">
        <f>ROUND(Saldos_Capital_Mensual!L15 + Saldos_Intereses_Mensual!L15, 2)</f>
        <v/>
      </c>
      <c r="J15" s="23">
        <f>ROUND(Saldos_Capital_Mensual!M15 + Saldos_Intereses_Mensual!M15, 2)</f>
        <v/>
      </c>
      <c r="K15" s="23">
        <f>ROUND(Saldos_Capital_Mensual!N15 + Saldos_Intereses_Mensual!N15, 2)</f>
        <v/>
      </c>
      <c r="L15" s="23">
        <f>ROUND(Saldos_Capital_Mensual!O15 + Saldos_Intereses_Mensual!O15, 2)</f>
        <v/>
      </c>
      <c r="M15" s="23">
        <f>ROUND(Saldos_Capital_Mensual!P15 + Saldos_Intereses_Mensual!P15, 2)</f>
        <v/>
      </c>
      <c r="N15" s="23">
        <f>ROUND(Saldos_Capital_Mensual!Q15 + Saldos_Intereses_Mensual!Q15, 2)</f>
        <v/>
      </c>
      <c r="O15" s="23">
        <f>ROUND(Saldos_Capital_Mensual!R15 + Saldos_Intereses_Mensual!R15, 2)</f>
        <v/>
      </c>
      <c r="P15" s="23">
        <f>ROUND(Saldos_Capital_Mensual!S15 + Saldos_Intereses_Mensual!S15, 2)</f>
        <v/>
      </c>
      <c r="Q15" s="23">
        <f>ROUND(Saldos_Capital_Mensual!T15 + Saldos_Intereses_Mensual!T15, 2)</f>
        <v/>
      </c>
      <c r="R15" s="23">
        <f>MAX(F15:Q15)</f>
        <v/>
      </c>
    </row>
    <row r="16">
      <c r="A16" s="26" t="inlineStr">
        <is>
          <t>0524-0012</t>
        </is>
      </c>
      <c r="B16" s="27" t="inlineStr">
        <is>
          <t>Lider En Derecho De Via y Construcción SA DE CV</t>
        </is>
      </c>
      <c r="C16" s="27" t="inlineStr">
        <is>
          <t>L200 GLS</t>
        </is>
      </c>
      <c r="D16" s="26" t="inlineStr">
        <is>
          <t>ACTIVO</t>
        </is>
      </c>
      <c r="E16" s="28" t="n">
        <v>48</v>
      </c>
      <c r="F16" s="29" t="inlineStr"/>
      <c r="G16" s="29" t="inlineStr"/>
      <c r="H16" s="29">
        <f>ROUND(Saldos_Capital_Mensual!K16 + Saldos_Intereses_Mensual!K16, 2)</f>
        <v/>
      </c>
      <c r="I16" s="29">
        <f>ROUND(Saldos_Capital_Mensual!L16 + Saldos_Intereses_Mensual!L16, 2)</f>
        <v/>
      </c>
      <c r="J16" s="29">
        <f>ROUND(Saldos_Capital_Mensual!M16 + Saldos_Intereses_Mensual!M16, 2)</f>
        <v/>
      </c>
      <c r="K16" s="29">
        <f>ROUND(Saldos_Capital_Mensual!N16 + Saldos_Intereses_Mensual!N16, 2)</f>
        <v/>
      </c>
      <c r="L16" s="29">
        <f>ROUND(Saldos_Capital_Mensual!O16 + Saldos_Intereses_Mensual!O16, 2)</f>
        <v/>
      </c>
      <c r="M16" s="29">
        <f>ROUND(Saldos_Capital_Mensual!P16 + Saldos_Intereses_Mensual!P16, 2)</f>
        <v/>
      </c>
      <c r="N16" s="29">
        <f>ROUND(Saldos_Capital_Mensual!Q16 + Saldos_Intereses_Mensual!Q16, 2)</f>
        <v/>
      </c>
      <c r="O16" s="29">
        <f>ROUND(Saldos_Capital_Mensual!R16 + Saldos_Intereses_Mensual!R16, 2)</f>
        <v/>
      </c>
      <c r="P16" s="29">
        <f>ROUND(Saldos_Capital_Mensual!S16 + Saldos_Intereses_Mensual!S16, 2)</f>
        <v/>
      </c>
      <c r="Q16" s="29">
        <f>ROUND(Saldos_Capital_Mensual!T16 + Saldos_Intereses_Mensual!T16, 2)</f>
        <v/>
      </c>
      <c r="R16" s="29">
        <f>MAX(F16:Q16)</f>
        <v/>
      </c>
    </row>
    <row r="17">
      <c r="A17" s="20" t="inlineStr">
        <is>
          <t>0524-0013</t>
        </is>
      </c>
      <c r="B17" s="21" t="inlineStr">
        <is>
          <t>Lider En Derecho De Via y Construcción SA DE CV</t>
        </is>
      </c>
      <c r="C17" s="21" t="inlineStr">
        <is>
          <t>L200 GLX</t>
        </is>
      </c>
      <c r="D17" s="20" t="inlineStr">
        <is>
          <t>ACTIVO</t>
        </is>
      </c>
      <c r="E17" s="22" t="n">
        <v>36</v>
      </c>
      <c r="F17" s="23" t="inlineStr"/>
      <c r="G17" s="23" t="inlineStr"/>
      <c r="H17" s="23" t="inlineStr"/>
      <c r="I17" s="23" t="inlineStr"/>
      <c r="J17" s="23" t="inlineStr"/>
      <c r="K17" s="23">
        <f>ROUND(Saldos_Capital_Mensual!N17 + Saldos_Intereses_Mensual!N17, 2)</f>
        <v/>
      </c>
      <c r="L17" s="23">
        <f>ROUND(Saldos_Capital_Mensual!O17 + Saldos_Intereses_Mensual!O17, 2)</f>
        <v/>
      </c>
      <c r="M17" s="23">
        <f>ROUND(Saldos_Capital_Mensual!P17 + Saldos_Intereses_Mensual!P17, 2)</f>
        <v/>
      </c>
      <c r="N17" s="23">
        <f>ROUND(Saldos_Capital_Mensual!Q17 + Saldos_Intereses_Mensual!Q17, 2)</f>
        <v/>
      </c>
      <c r="O17" s="23">
        <f>ROUND(Saldos_Capital_Mensual!R17 + Saldos_Intereses_Mensual!R17, 2)</f>
        <v/>
      </c>
      <c r="P17" s="23">
        <f>ROUND(Saldos_Capital_Mensual!S17 + Saldos_Intereses_Mensual!S17, 2)</f>
        <v/>
      </c>
      <c r="Q17" s="23">
        <f>ROUND(Saldos_Capital_Mensual!T17 + Saldos_Intereses_Mensual!T17, 2)</f>
        <v/>
      </c>
      <c r="R17" s="23">
        <f>MAX(F17:Q17)</f>
        <v/>
      </c>
    </row>
    <row r="18">
      <c r="A18" s="26" t="inlineStr">
        <is>
          <t>0524-0014</t>
        </is>
      </c>
      <c r="B18" s="27" t="inlineStr">
        <is>
          <t>Lider En Derecho De Via y Construcción SA DE CV</t>
        </is>
      </c>
      <c r="C18" s="27" t="inlineStr">
        <is>
          <t>L200 GLX</t>
        </is>
      </c>
      <c r="D18" s="26" t="inlineStr">
        <is>
          <t>ACTIVO</t>
        </is>
      </c>
      <c r="E18" s="28" t="n">
        <v>36</v>
      </c>
      <c r="F18" s="29" t="inlineStr"/>
      <c r="G18" s="29" t="inlineStr"/>
      <c r="H18" s="29" t="inlineStr"/>
      <c r="I18" s="29" t="inlineStr"/>
      <c r="J18" s="29" t="inlineStr"/>
      <c r="K18" s="29">
        <f>ROUND(Saldos_Capital_Mensual!N18 + Saldos_Intereses_Mensual!N18, 2)</f>
        <v/>
      </c>
      <c r="L18" s="29">
        <f>ROUND(Saldos_Capital_Mensual!O18 + Saldos_Intereses_Mensual!O18, 2)</f>
        <v/>
      </c>
      <c r="M18" s="29">
        <f>ROUND(Saldos_Capital_Mensual!P18 + Saldos_Intereses_Mensual!P18, 2)</f>
        <v/>
      </c>
      <c r="N18" s="29">
        <f>ROUND(Saldos_Capital_Mensual!Q18 + Saldos_Intereses_Mensual!Q18, 2)</f>
        <v/>
      </c>
      <c r="O18" s="29">
        <f>ROUND(Saldos_Capital_Mensual!R18 + Saldos_Intereses_Mensual!R18, 2)</f>
        <v/>
      </c>
      <c r="P18" s="29">
        <f>ROUND(Saldos_Capital_Mensual!S18 + Saldos_Intereses_Mensual!S18, 2)</f>
        <v/>
      </c>
      <c r="Q18" s="29">
        <f>ROUND(Saldos_Capital_Mensual!T18 + Saldos_Intereses_Mensual!T18, 2)</f>
        <v/>
      </c>
      <c r="R18" s="29">
        <f>MAX(F18:Q18)</f>
        <v/>
      </c>
    </row>
    <row r="19">
      <c r="A19" s="20" t="inlineStr">
        <is>
          <t>0524-0015</t>
        </is>
      </c>
      <c r="B19" s="21" t="inlineStr">
        <is>
          <t>Lider En Derecho De Via y Construcción SA DE CV</t>
        </is>
      </c>
      <c r="C19" s="21" t="inlineStr">
        <is>
          <t>Mitsubishi L200 GLX 2026</t>
        </is>
      </c>
      <c r="D19" s="20" t="inlineStr">
        <is>
          <t>ACTIVO</t>
        </is>
      </c>
      <c r="E19" s="22" t="n">
        <v>36</v>
      </c>
      <c r="F19" s="23" t="inlineStr"/>
      <c r="G19" s="23" t="inlineStr"/>
      <c r="H19" s="23" t="inlineStr"/>
      <c r="I19" s="23" t="inlineStr"/>
      <c r="J19" s="23" t="inlineStr"/>
      <c r="K19" s="23" t="inlineStr"/>
      <c r="L19" s="23">
        <f>ROUND(Saldos_Capital_Mensual!O19 + Saldos_Intereses_Mensual!O19, 2)</f>
        <v/>
      </c>
      <c r="M19" s="23">
        <f>ROUND(Saldos_Capital_Mensual!P19 + Saldos_Intereses_Mensual!P19, 2)</f>
        <v/>
      </c>
      <c r="N19" s="23">
        <f>ROUND(Saldos_Capital_Mensual!Q19 + Saldos_Intereses_Mensual!Q19, 2)</f>
        <v/>
      </c>
      <c r="O19" s="23">
        <f>ROUND(Saldos_Capital_Mensual!R19 + Saldos_Intereses_Mensual!R19, 2)</f>
        <v/>
      </c>
      <c r="P19" s="23">
        <f>ROUND(Saldos_Capital_Mensual!S19 + Saldos_Intereses_Mensual!S19, 2)</f>
        <v/>
      </c>
      <c r="Q19" s="23">
        <f>ROUND(Saldos_Capital_Mensual!T19 + Saldos_Intereses_Mensual!T19, 2)</f>
        <v/>
      </c>
      <c r="R19" s="23">
        <f>MAX(F19:Q19)</f>
        <v/>
      </c>
    </row>
    <row r="20">
      <c r="A20" s="26" t="inlineStr">
        <is>
          <t>0524-0016</t>
        </is>
      </c>
      <c r="B20" s="27" t="inlineStr">
        <is>
          <t>Lider En Derecho De Via y Construcción SA DE CV</t>
        </is>
      </c>
      <c r="C20" s="27" t="inlineStr">
        <is>
          <t>Mitsubishi L200 GLX 2026</t>
        </is>
      </c>
      <c r="D20" s="26" t="inlineStr">
        <is>
          <t>ACTIVO</t>
        </is>
      </c>
      <c r="E20" s="28" t="n">
        <v>36</v>
      </c>
      <c r="F20" s="29" t="inlineStr"/>
      <c r="G20" s="29" t="inlineStr"/>
      <c r="H20" s="29" t="inlineStr"/>
      <c r="I20" s="29" t="inlineStr"/>
      <c r="J20" s="29" t="inlineStr"/>
      <c r="K20" s="29" t="inlineStr"/>
      <c r="L20" s="29">
        <f>ROUND(Saldos_Capital_Mensual!O20 + Saldos_Intereses_Mensual!O20, 2)</f>
        <v/>
      </c>
      <c r="M20" s="29">
        <f>ROUND(Saldos_Capital_Mensual!P20 + Saldos_Intereses_Mensual!P20, 2)</f>
        <v/>
      </c>
      <c r="N20" s="29">
        <f>ROUND(Saldos_Capital_Mensual!Q20 + Saldos_Intereses_Mensual!Q20, 2)</f>
        <v/>
      </c>
      <c r="O20" s="29">
        <f>ROUND(Saldos_Capital_Mensual!R20 + Saldos_Intereses_Mensual!R20, 2)</f>
        <v/>
      </c>
      <c r="P20" s="29">
        <f>ROUND(Saldos_Capital_Mensual!S20 + Saldos_Intereses_Mensual!S20, 2)</f>
        <v/>
      </c>
      <c r="Q20" s="29">
        <f>ROUND(Saldos_Capital_Mensual!T20 + Saldos_Intereses_Mensual!T20, 2)</f>
        <v/>
      </c>
      <c r="R20" s="29">
        <f>MAX(F20:Q20)</f>
        <v/>
      </c>
    </row>
    <row r="21">
      <c r="A21" s="20" t="inlineStr">
        <is>
          <t>0527-0003</t>
        </is>
      </c>
      <c r="B21" s="21" t="inlineStr">
        <is>
          <t>Comercilizadora e Importadora Nabega Sa de Cv</t>
        </is>
      </c>
      <c r="C21" s="21" t="inlineStr">
        <is>
          <t>RAM 700 Big Horn CVT</t>
        </is>
      </c>
      <c r="D21" s="20" t="inlineStr">
        <is>
          <t>ACTIVO</t>
        </is>
      </c>
      <c r="E21" s="22" t="n">
        <v>36</v>
      </c>
      <c r="F21" s="23">
        <f>ROUND(Saldos_Capital_Mensual!I21 + Saldos_Intereses_Mensual!I21, 2)</f>
        <v/>
      </c>
      <c r="G21" s="23">
        <f>ROUND(Saldos_Capital_Mensual!J21 + Saldos_Intereses_Mensual!J21, 2)</f>
        <v/>
      </c>
      <c r="H21" s="23">
        <f>ROUND(Saldos_Capital_Mensual!K21 + Saldos_Intereses_Mensual!K21, 2)</f>
        <v/>
      </c>
      <c r="I21" s="23">
        <f>ROUND(Saldos_Capital_Mensual!L21 + Saldos_Intereses_Mensual!L21, 2)</f>
        <v/>
      </c>
      <c r="J21" s="23">
        <f>ROUND(Saldos_Capital_Mensual!M21 + Saldos_Intereses_Mensual!M21, 2)</f>
        <v/>
      </c>
      <c r="K21" s="23">
        <f>ROUND(Saldos_Capital_Mensual!N21 + Saldos_Intereses_Mensual!N21, 2)</f>
        <v/>
      </c>
      <c r="L21" s="23">
        <f>ROUND(Saldos_Capital_Mensual!O21 + Saldos_Intereses_Mensual!O21, 2)</f>
        <v/>
      </c>
      <c r="M21" s="23">
        <f>ROUND(Saldos_Capital_Mensual!P21 + Saldos_Intereses_Mensual!P21, 2)</f>
        <v/>
      </c>
      <c r="N21" s="23">
        <f>ROUND(Saldos_Capital_Mensual!Q21 + Saldos_Intereses_Mensual!Q21, 2)</f>
        <v/>
      </c>
      <c r="O21" s="23">
        <f>ROUND(Saldos_Capital_Mensual!R21 + Saldos_Intereses_Mensual!R21, 2)</f>
        <v/>
      </c>
      <c r="P21" s="23">
        <f>ROUND(Saldos_Capital_Mensual!S21 + Saldos_Intereses_Mensual!S21, 2)</f>
        <v/>
      </c>
      <c r="Q21" s="23">
        <f>ROUND(Saldos_Capital_Mensual!T21 + Saldos_Intereses_Mensual!T21, 2)</f>
        <v/>
      </c>
      <c r="R21" s="23">
        <f>MAX(F21:Q21)</f>
        <v/>
      </c>
    </row>
    <row r="22">
      <c r="A22" s="26" t="inlineStr">
        <is>
          <t>0527-0004</t>
        </is>
      </c>
      <c r="B22" s="27" t="inlineStr">
        <is>
          <t>Comercilizadora e Importadora Nabega Sa de Cv</t>
        </is>
      </c>
      <c r="C22" s="27" t="inlineStr">
        <is>
          <t>Gmc Denali</t>
        </is>
      </c>
      <c r="D22" s="26" t="inlineStr">
        <is>
          <t>ACTIVO</t>
        </is>
      </c>
      <c r="E22" s="28" t="n">
        <v>48</v>
      </c>
      <c r="F22" s="29">
        <f>ROUND(Saldos_Capital_Mensual!I22 + Saldos_Intereses_Mensual!I22, 2)</f>
        <v/>
      </c>
      <c r="G22" s="29">
        <f>ROUND(Saldos_Capital_Mensual!J22 + Saldos_Intereses_Mensual!J22, 2)</f>
        <v/>
      </c>
      <c r="H22" s="29">
        <f>ROUND(Saldos_Capital_Mensual!K22 + Saldos_Intereses_Mensual!K22, 2)</f>
        <v/>
      </c>
      <c r="I22" s="29">
        <f>ROUND(Saldos_Capital_Mensual!L22 + Saldos_Intereses_Mensual!L22, 2)</f>
        <v/>
      </c>
      <c r="J22" s="29">
        <f>ROUND(Saldos_Capital_Mensual!M22 + Saldos_Intereses_Mensual!M22, 2)</f>
        <v/>
      </c>
      <c r="K22" s="29">
        <f>ROUND(Saldos_Capital_Mensual!N22 + Saldos_Intereses_Mensual!N22, 2)</f>
        <v/>
      </c>
      <c r="L22" s="29">
        <f>ROUND(Saldos_Capital_Mensual!O22 + Saldos_Intereses_Mensual!O22, 2)</f>
        <v/>
      </c>
      <c r="M22" s="29">
        <f>ROUND(Saldos_Capital_Mensual!P22 + Saldos_Intereses_Mensual!P22, 2)</f>
        <v/>
      </c>
      <c r="N22" s="29">
        <f>ROUND(Saldos_Capital_Mensual!Q22 + Saldos_Intereses_Mensual!Q22, 2)</f>
        <v/>
      </c>
      <c r="O22" s="29">
        <f>ROUND(Saldos_Capital_Mensual!R22 + Saldos_Intereses_Mensual!R22, 2)</f>
        <v/>
      </c>
      <c r="P22" s="29">
        <f>ROUND(Saldos_Capital_Mensual!S22 + Saldos_Intereses_Mensual!S22, 2)</f>
        <v/>
      </c>
      <c r="Q22" s="29">
        <f>ROUND(Saldos_Capital_Mensual!T22 + Saldos_Intereses_Mensual!T22, 2)</f>
        <v/>
      </c>
      <c r="R22" s="29">
        <f>MAX(F22:Q22)</f>
        <v/>
      </c>
    </row>
    <row r="23">
      <c r="A23" s="20" t="inlineStr">
        <is>
          <t>0527-0005</t>
        </is>
      </c>
      <c r="B23" s="21" t="inlineStr">
        <is>
          <t>Comercilizadora e Importadora Nabega Sa de Cv</t>
        </is>
      </c>
      <c r="C23" s="21" t="inlineStr">
        <is>
          <t>Gle 450 Sport</t>
        </is>
      </c>
      <c r="D23" s="20" t="inlineStr">
        <is>
          <t>ACTIVO</t>
        </is>
      </c>
      <c r="E23" s="22" t="n">
        <v>36</v>
      </c>
      <c r="F23" s="23">
        <f>ROUND(Saldos_Capital_Mensual!I23 + Saldos_Intereses_Mensual!I23, 2)</f>
        <v/>
      </c>
      <c r="G23" s="23">
        <f>ROUND(Saldos_Capital_Mensual!J23 + Saldos_Intereses_Mensual!J23, 2)</f>
        <v/>
      </c>
      <c r="H23" s="23">
        <f>ROUND(Saldos_Capital_Mensual!K23 + Saldos_Intereses_Mensual!K23, 2)</f>
        <v/>
      </c>
      <c r="I23" s="23">
        <f>ROUND(Saldos_Capital_Mensual!L23 + Saldos_Intereses_Mensual!L23, 2)</f>
        <v/>
      </c>
      <c r="J23" s="23">
        <f>ROUND(Saldos_Capital_Mensual!M23 + Saldos_Intereses_Mensual!M23, 2)</f>
        <v/>
      </c>
      <c r="K23" s="23">
        <f>ROUND(Saldos_Capital_Mensual!N23 + Saldos_Intereses_Mensual!N23, 2)</f>
        <v/>
      </c>
      <c r="L23" s="23">
        <f>ROUND(Saldos_Capital_Mensual!O23 + Saldos_Intereses_Mensual!O23, 2)</f>
        <v/>
      </c>
      <c r="M23" s="23">
        <f>ROUND(Saldos_Capital_Mensual!P23 + Saldos_Intereses_Mensual!P23, 2)</f>
        <v/>
      </c>
      <c r="N23" s="23">
        <f>ROUND(Saldos_Capital_Mensual!Q23 + Saldos_Intereses_Mensual!Q23, 2)</f>
        <v/>
      </c>
      <c r="O23" s="23">
        <f>ROUND(Saldos_Capital_Mensual!R23 + Saldos_Intereses_Mensual!R23, 2)</f>
        <v/>
      </c>
      <c r="P23" s="23">
        <f>ROUND(Saldos_Capital_Mensual!S23 + Saldos_Intereses_Mensual!S23, 2)</f>
        <v/>
      </c>
      <c r="Q23" s="23">
        <f>ROUND(Saldos_Capital_Mensual!T23 + Saldos_Intereses_Mensual!T23, 2)</f>
        <v/>
      </c>
      <c r="R23" s="23">
        <f>MAX(F23:Q23)</f>
        <v/>
      </c>
    </row>
    <row r="24">
      <c r="A24" s="26" t="inlineStr">
        <is>
          <t>0531-0002</t>
        </is>
      </c>
      <c r="B24" s="27" t="inlineStr">
        <is>
          <t>Otcada Mex, S. de R.L. de C.V.</t>
        </is>
      </c>
      <c r="C24" s="27" t="inlineStr">
        <is>
          <t>Grand Cherokee Limited</t>
        </is>
      </c>
      <c r="D24" s="26" t="inlineStr">
        <is>
          <t>ACTIVO</t>
        </is>
      </c>
      <c r="E24" s="28" t="n">
        <v>48</v>
      </c>
      <c r="F24" s="29" t="inlineStr"/>
      <c r="G24" s="29" t="inlineStr"/>
      <c r="H24" s="29" t="inlineStr"/>
      <c r="I24" s="29" t="inlineStr"/>
      <c r="J24" s="29" t="inlineStr"/>
      <c r="K24" s="29">
        <f>ROUND(Saldos_Capital_Mensual!N24 + Saldos_Intereses_Mensual!N24, 2)</f>
        <v/>
      </c>
      <c r="L24" s="29">
        <f>ROUND(Saldos_Capital_Mensual!O24 + Saldos_Intereses_Mensual!O24, 2)</f>
        <v/>
      </c>
      <c r="M24" s="29">
        <f>ROUND(Saldos_Capital_Mensual!P24 + Saldos_Intereses_Mensual!P24, 2)</f>
        <v/>
      </c>
      <c r="N24" s="29">
        <f>ROUND(Saldos_Capital_Mensual!Q24 + Saldos_Intereses_Mensual!Q24, 2)</f>
        <v/>
      </c>
      <c r="O24" s="29">
        <f>ROUND(Saldos_Capital_Mensual!R24 + Saldos_Intereses_Mensual!R24, 2)</f>
        <v/>
      </c>
      <c r="P24" s="29">
        <f>ROUND(Saldos_Capital_Mensual!S24 + Saldos_Intereses_Mensual!S24, 2)</f>
        <v/>
      </c>
      <c r="Q24" s="29">
        <f>ROUND(Saldos_Capital_Mensual!T24 + Saldos_Intereses_Mensual!T24, 2)</f>
        <v/>
      </c>
      <c r="R24" s="29">
        <f>MAX(F24:Q24)</f>
        <v/>
      </c>
    </row>
    <row r="25">
      <c r="A25" s="20" t="inlineStr">
        <is>
          <t>0546-0007</t>
        </is>
      </c>
      <c r="B25" s="21" t="inlineStr">
        <is>
          <t>Norma Elena Bonilla Lupio</t>
        </is>
      </c>
      <c r="C25" s="21" t="inlineStr">
        <is>
          <t>GLC 350 E 4MATIC</t>
        </is>
      </c>
      <c r="D25" s="20" t="inlineStr">
        <is>
          <t>ACTIVO</t>
        </is>
      </c>
      <c r="E25" s="22" t="n">
        <v>24</v>
      </c>
      <c r="F25" s="23">
        <f>ROUND(Saldos_Capital_Mensual!I25 + Saldos_Intereses_Mensual!I25, 2)</f>
        <v/>
      </c>
      <c r="G25" s="23">
        <f>ROUND(Saldos_Capital_Mensual!J25 + Saldos_Intereses_Mensual!J25, 2)</f>
        <v/>
      </c>
      <c r="H25" s="23">
        <f>ROUND(Saldos_Capital_Mensual!K25 + Saldos_Intereses_Mensual!K25, 2)</f>
        <v/>
      </c>
      <c r="I25" s="23">
        <f>ROUND(Saldos_Capital_Mensual!L25 + Saldos_Intereses_Mensual!L25, 2)</f>
        <v/>
      </c>
      <c r="J25" s="23">
        <f>ROUND(Saldos_Capital_Mensual!M25 + Saldos_Intereses_Mensual!M25, 2)</f>
        <v/>
      </c>
      <c r="K25" s="23">
        <f>ROUND(Saldos_Capital_Mensual!N25 + Saldos_Intereses_Mensual!N25, 2)</f>
        <v/>
      </c>
      <c r="L25" s="23">
        <f>ROUND(Saldos_Capital_Mensual!O25 + Saldos_Intereses_Mensual!O25, 2)</f>
        <v/>
      </c>
      <c r="M25" s="23">
        <f>ROUND(Saldos_Capital_Mensual!P25 + Saldos_Intereses_Mensual!P25, 2)</f>
        <v/>
      </c>
      <c r="N25" s="23">
        <f>ROUND(Saldos_Capital_Mensual!Q25 + Saldos_Intereses_Mensual!Q25, 2)</f>
        <v/>
      </c>
      <c r="O25" s="23">
        <f>ROUND(Saldos_Capital_Mensual!R25 + Saldos_Intereses_Mensual!R25, 2)</f>
        <v/>
      </c>
      <c r="P25" s="23">
        <f>ROUND(Saldos_Capital_Mensual!S25 + Saldos_Intereses_Mensual!S25, 2)</f>
        <v/>
      </c>
      <c r="Q25" s="23">
        <f>ROUND(Saldos_Capital_Mensual!T25 + Saldos_Intereses_Mensual!T25, 2)</f>
        <v/>
      </c>
      <c r="R25" s="23">
        <f>MAX(F25:Q25)</f>
        <v/>
      </c>
    </row>
    <row r="26">
      <c r="A26" s="26" t="inlineStr">
        <is>
          <t>0546-0008</t>
        </is>
      </c>
      <c r="B26" s="27" t="inlineStr">
        <is>
          <t>Norma Elena Bonilla Lupio</t>
        </is>
      </c>
      <c r="C26" s="27" t="inlineStr">
        <is>
          <t>JT MOJAVE 4X4</t>
        </is>
      </c>
      <c r="D26" s="26" t="inlineStr">
        <is>
          <t>ACTIVO</t>
        </is>
      </c>
      <c r="E26" s="28" t="n">
        <v>24</v>
      </c>
      <c r="F26" s="29">
        <f>ROUND(Saldos_Capital_Mensual!I26 + Saldos_Intereses_Mensual!I26, 2)</f>
        <v/>
      </c>
      <c r="G26" s="29">
        <f>ROUND(Saldos_Capital_Mensual!J26 + Saldos_Intereses_Mensual!J26, 2)</f>
        <v/>
      </c>
      <c r="H26" s="29">
        <f>ROUND(Saldos_Capital_Mensual!K26 + Saldos_Intereses_Mensual!K26, 2)</f>
        <v/>
      </c>
      <c r="I26" s="29">
        <f>ROUND(Saldos_Capital_Mensual!L26 + Saldos_Intereses_Mensual!L26, 2)</f>
        <v/>
      </c>
      <c r="J26" s="29">
        <f>ROUND(Saldos_Capital_Mensual!M26 + Saldos_Intereses_Mensual!M26, 2)</f>
        <v/>
      </c>
      <c r="K26" s="29">
        <f>ROUND(Saldos_Capital_Mensual!N26 + Saldos_Intereses_Mensual!N26, 2)</f>
        <v/>
      </c>
      <c r="L26" s="29">
        <f>ROUND(Saldos_Capital_Mensual!O26 + Saldos_Intereses_Mensual!O26, 2)</f>
        <v/>
      </c>
      <c r="M26" s="29">
        <f>ROUND(Saldos_Capital_Mensual!P26 + Saldos_Intereses_Mensual!P26, 2)</f>
        <v/>
      </c>
      <c r="N26" s="29">
        <f>ROUND(Saldos_Capital_Mensual!Q26 + Saldos_Intereses_Mensual!Q26, 2)</f>
        <v/>
      </c>
      <c r="O26" s="29">
        <f>ROUND(Saldos_Capital_Mensual!R26 + Saldos_Intereses_Mensual!R26, 2)</f>
        <v/>
      </c>
      <c r="P26" s="29">
        <f>ROUND(Saldos_Capital_Mensual!S26 + Saldos_Intereses_Mensual!S26, 2)</f>
        <v/>
      </c>
      <c r="Q26" s="29">
        <f>ROUND(Saldos_Capital_Mensual!T26 + Saldos_Intereses_Mensual!T26, 2)</f>
        <v/>
      </c>
      <c r="R26" s="29">
        <f>MAX(F26:Q26)</f>
        <v/>
      </c>
    </row>
    <row r="27">
      <c r="A27" s="20" t="inlineStr">
        <is>
          <t>0546-0009</t>
        </is>
      </c>
      <c r="B27" s="21" t="inlineStr">
        <is>
          <t>Norma Elena Bonilla Lupio</t>
        </is>
      </c>
      <c r="C27" s="21" t="inlineStr">
        <is>
          <t>Ram 1200 Tradesman 2026</t>
        </is>
      </c>
      <c r="D27" s="20" t="inlineStr">
        <is>
          <t>ACTIVO</t>
        </is>
      </c>
      <c r="E27" s="22" t="n">
        <v>24</v>
      </c>
      <c r="F27" s="23" t="inlineStr"/>
      <c r="G27" s="23" t="inlineStr"/>
      <c r="H27" s="23" t="inlineStr"/>
      <c r="I27" s="23" t="inlineStr"/>
      <c r="J27" s="23" t="inlineStr"/>
      <c r="K27" s="23" t="inlineStr"/>
      <c r="L27" s="23">
        <f>ROUND(Saldos_Capital_Mensual!O27 + Saldos_Intereses_Mensual!O27, 2)</f>
        <v/>
      </c>
      <c r="M27" s="23">
        <f>ROUND(Saldos_Capital_Mensual!P27 + Saldos_Intereses_Mensual!P27, 2)</f>
        <v/>
      </c>
      <c r="N27" s="23">
        <f>ROUND(Saldos_Capital_Mensual!Q27 + Saldos_Intereses_Mensual!Q27, 2)</f>
        <v/>
      </c>
      <c r="O27" s="23">
        <f>ROUND(Saldos_Capital_Mensual!R27 + Saldos_Intereses_Mensual!R27, 2)</f>
        <v/>
      </c>
      <c r="P27" s="23">
        <f>ROUND(Saldos_Capital_Mensual!S27 + Saldos_Intereses_Mensual!S27, 2)</f>
        <v/>
      </c>
      <c r="Q27" s="23">
        <f>ROUND(Saldos_Capital_Mensual!T27 + Saldos_Intereses_Mensual!T27, 2)</f>
        <v/>
      </c>
      <c r="R27" s="23">
        <f>MAX(F27:Q27)</f>
        <v/>
      </c>
    </row>
    <row r="28">
      <c r="A28" s="26" t="inlineStr">
        <is>
          <t>0551-0002</t>
        </is>
      </c>
      <c r="B28" s="27" t="inlineStr">
        <is>
          <t>Agaveros Unidos de Tequila Jalisco Aun S de RL de Cv</t>
        </is>
      </c>
      <c r="C28" s="27" t="inlineStr">
        <is>
          <t>Ram 700 Laramie</t>
        </is>
      </c>
      <c r="D28" s="26" t="inlineStr">
        <is>
          <t>ACTIVO</t>
        </is>
      </c>
      <c r="E28" s="28" t="n">
        <v>48</v>
      </c>
      <c r="F28" s="29">
        <f>ROUND(Saldos_Capital_Mensual!I28 + Saldos_Intereses_Mensual!I28, 2)</f>
        <v/>
      </c>
      <c r="G28" s="29">
        <f>ROUND(Saldos_Capital_Mensual!J28 + Saldos_Intereses_Mensual!J28, 2)</f>
        <v/>
      </c>
      <c r="H28" s="29">
        <f>ROUND(Saldos_Capital_Mensual!K28 + Saldos_Intereses_Mensual!K28, 2)</f>
        <v/>
      </c>
      <c r="I28" s="29">
        <f>ROUND(Saldos_Capital_Mensual!L28 + Saldos_Intereses_Mensual!L28, 2)</f>
        <v/>
      </c>
      <c r="J28" s="29">
        <f>ROUND(Saldos_Capital_Mensual!M28 + Saldos_Intereses_Mensual!M28, 2)</f>
        <v/>
      </c>
      <c r="K28" s="29">
        <f>ROUND(Saldos_Capital_Mensual!N28 + Saldos_Intereses_Mensual!N28, 2)</f>
        <v/>
      </c>
      <c r="L28" s="29">
        <f>ROUND(Saldos_Capital_Mensual!O28 + Saldos_Intereses_Mensual!O28, 2)</f>
        <v/>
      </c>
      <c r="M28" s="29">
        <f>ROUND(Saldos_Capital_Mensual!P28 + Saldos_Intereses_Mensual!P28, 2)</f>
        <v/>
      </c>
      <c r="N28" s="29">
        <f>ROUND(Saldos_Capital_Mensual!Q28 + Saldos_Intereses_Mensual!Q28, 2)</f>
        <v/>
      </c>
      <c r="O28" s="29">
        <f>ROUND(Saldos_Capital_Mensual!R28 + Saldos_Intereses_Mensual!R28, 2)</f>
        <v/>
      </c>
      <c r="P28" s="29">
        <f>ROUND(Saldos_Capital_Mensual!S28 + Saldos_Intereses_Mensual!S28, 2)</f>
        <v/>
      </c>
      <c r="Q28" s="29">
        <f>ROUND(Saldos_Capital_Mensual!T28 + Saldos_Intereses_Mensual!T28, 2)</f>
        <v/>
      </c>
      <c r="R28" s="29">
        <f>MAX(F28:Q28)</f>
        <v/>
      </c>
    </row>
    <row r="29">
      <c r="A29" s="20" t="inlineStr">
        <is>
          <t>0552-0018</t>
        </is>
      </c>
      <c r="B29" s="21" t="inlineStr">
        <is>
          <t>Transportes y Maniobras Portuarias</t>
        </is>
      </c>
      <c r="C29" s="21" t="inlineStr">
        <is>
          <t>Raizer</t>
        </is>
      </c>
      <c r="D29" s="20" t="inlineStr">
        <is>
          <t>ACTIVO</t>
        </is>
      </c>
      <c r="E29" s="22" t="n">
        <v>24</v>
      </c>
      <c r="F29" s="23">
        <f>ROUND(Saldos_Capital_Mensual!I29 + Saldos_Intereses_Mensual!I29, 2)</f>
        <v/>
      </c>
      <c r="G29" s="23">
        <f>ROUND(Saldos_Capital_Mensual!J29 + Saldos_Intereses_Mensual!J29, 2)</f>
        <v/>
      </c>
      <c r="H29" s="23">
        <f>ROUND(Saldos_Capital_Mensual!K29 + Saldos_Intereses_Mensual!K29, 2)</f>
        <v/>
      </c>
      <c r="I29" s="23">
        <f>ROUND(Saldos_Capital_Mensual!L29 + Saldos_Intereses_Mensual!L29, 2)</f>
        <v/>
      </c>
      <c r="J29" s="23">
        <f>ROUND(Saldos_Capital_Mensual!M29 + Saldos_Intereses_Mensual!M29, 2)</f>
        <v/>
      </c>
      <c r="K29" s="23">
        <f>ROUND(Saldos_Capital_Mensual!N29 + Saldos_Intereses_Mensual!N29, 2)</f>
        <v/>
      </c>
      <c r="L29" s="23">
        <f>ROUND(Saldos_Capital_Mensual!O29 + Saldos_Intereses_Mensual!O29, 2)</f>
        <v/>
      </c>
      <c r="M29" s="23">
        <f>ROUND(Saldos_Capital_Mensual!P29 + Saldos_Intereses_Mensual!P29, 2)</f>
        <v/>
      </c>
      <c r="N29" s="23">
        <f>ROUND(Saldos_Capital_Mensual!Q29 + Saldos_Intereses_Mensual!Q29, 2)</f>
        <v/>
      </c>
      <c r="O29" s="23">
        <f>ROUND(Saldos_Capital_Mensual!R29 + Saldos_Intereses_Mensual!R29, 2)</f>
        <v/>
      </c>
      <c r="P29" s="23" t="inlineStr"/>
      <c r="Q29" s="23" t="inlineStr"/>
      <c r="R29" s="23">
        <f>MAX(F29:Q29)</f>
        <v/>
      </c>
    </row>
    <row r="30">
      <c r="A30" s="26" t="inlineStr">
        <is>
          <t>0552-0019</t>
        </is>
      </c>
      <c r="B30" s="27" t="inlineStr">
        <is>
          <t>Transportes y Maniobras Portuarias de Mexico Sa de Cv</t>
        </is>
      </c>
      <c r="C30" s="27" t="inlineStr">
        <is>
          <t>Remolque tipo Dolly</t>
        </is>
      </c>
      <c r="D30" s="26" t="inlineStr">
        <is>
          <t>ACTIVO</t>
        </is>
      </c>
      <c r="E30" s="28" t="n">
        <v>24</v>
      </c>
      <c r="F30" s="29">
        <f>ROUND(Saldos_Capital_Mensual!I30 + Saldos_Intereses_Mensual!I30, 2)</f>
        <v/>
      </c>
      <c r="G30" s="29">
        <f>ROUND(Saldos_Capital_Mensual!J30 + Saldos_Intereses_Mensual!J30, 2)</f>
        <v/>
      </c>
      <c r="H30" s="29">
        <f>ROUND(Saldos_Capital_Mensual!K30 + Saldos_Intereses_Mensual!K30, 2)</f>
        <v/>
      </c>
      <c r="I30" s="29">
        <f>ROUND(Saldos_Capital_Mensual!L30 + Saldos_Intereses_Mensual!L30, 2)</f>
        <v/>
      </c>
      <c r="J30" s="29">
        <f>ROUND(Saldos_Capital_Mensual!M30 + Saldos_Intereses_Mensual!M30, 2)</f>
        <v/>
      </c>
      <c r="K30" s="29">
        <f>ROUND(Saldos_Capital_Mensual!N30 + Saldos_Intereses_Mensual!N30, 2)</f>
        <v/>
      </c>
      <c r="L30" s="29">
        <f>ROUND(Saldos_Capital_Mensual!O30 + Saldos_Intereses_Mensual!O30, 2)</f>
        <v/>
      </c>
      <c r="M30" s="29">
        <f>ROUND(Saldos_Capital_Mensual!P30 + Saldos_Intereses_Mensual!P30, 2)</f>
        <v/>
      </c>
      <c r="N30" s="29">
        <f>ROUND(Saldos_Capital_Mensual!Q30 + Saldos_Intereses_Mensual!Q30, 2)</f>
        <v/>
      </c>
      <c r="O30" s="29">
        <f>ROUND(Saldos_Capital_Mensual!R30 + Saldos_Intereses_Mensual!R30, 2)</f>
        <v/>
      </c>
      <c r="P30" s="29">
        <f>ROUND(Saldos_Capital_Mensual!S30 + Saldos_Intereses_Mensual!S30, 2)</f>
        <v/>
      </c>
      <c r="Q30" s="29" t="inlineStr"/>
      <c r="R30" s="29">
        <f>MAX(F30:Q30)</f>
        <v/>
      </c>
    </row>
    <row r="31">
      <c r="A31" s="20" t="inlineStr">
        <is>
          <t>0552-0020</t>
        </is>
      </c>
      <c r="B31" s="21" t="inlineStr">
        <is>
          <t>Transportes y Maniobras Portuarias de Mexico Sa de Cv</t>
        </is>
      </c>
      <c r="C31" s="21" t="inlineStr">
        <is>
          <t>PLATAFORMA MULTIMODAL</t>
        </is>
      </c>
      <c r="D31" s="20" t="inlineStr">
        <is>
          <t>ACTIVO</t>
        </is>
      </c>
      <c r="E31" s="22" t="n">
        <v>24</v>
      </c>
      <c r="F31" s="23">
        <f>ROUND(Saldos_Capital_Mensual!I31 + Saldos_Intereses_Mensual!I31, 2)</f>
        <v/>
      </c>
      <c r="G31" s="23">
        <f>ROUND(Saldos_Capital_Mensual!J31 + Saldos_Intereses_Mensual!J31, 2)</f>
        <v/>
      </c>
      <c r="H31" s="23">
        <f>ROUND(Saldos_Capital_Mensual!K31 + Saldos_Intereses_Mensual!K31, 2)</f>
        <v/>
      </c>
      <c r="I31" s="23">
        <f>ROUND(Saldos_Capital_Mensual!L31 + Saldos_Intereses_Mensual!L31, 2)</f>
        <v/>
      </c>
      <c r="J31" s="23">
        <f>ROUND(Saldos_Capital_Mensual!M31 + Saldos_Intereses_Mensual!M31, 2)</f>
        <v/>
      </c>
      <c r="K31" s="23">
        <f>ROUND(Saldos_Capital_Mensual!N31 + Saldos_Intereses_Mensual!N31, 2)</f>
        <v/>
      </c>
      <c r="L31" s="23">
        <f>ROUND(Saldos_Capital_Mensual!O31 + Saldos_Intereses_Mensual!O31, 2)</f>
        <v/>
      </c>
      <c r="M31" s="23">
        <f>ROUND(Saldos_Capital_Mensual!P31 + Saldos_Intereses_Mensual!P31, 2)</f>
        <v/>
      </c>
      <c r="N31" s="23">
        <f>ROUND(Saldos_Capital_Mensual!Q31 + Saldos_Intereses_Mensual!Q31, 2)</f>
        <v/>
      </c>
      <c r="O31" s="23">
        <f>ROUND(Saldos_Capital_Mensual!R31 + Saldos_Intereses_Mensual!R31, 2)</f>
        <v/>
      </c>
      <c r="P31" s="23">
        <f>ROUND(Saldos_Capital_Mensual!S31 + Saldos_Intereses_Mensual!S31, 2)</f>
        <v/>
      </c>
      <c r="Q31" s="23" t="inlineStr"/>
      <c r="R31" s="23">
        <f>MAX(F31:Q31)</f>
        <v/>
      </c>
    </row>
    <row r="32">
      <c r="A32" s="26" t="inlineStr">
        <is>
          <t>0552-0021</t>
        </is>
      </c>
      <c r="B32" s="27" t="inlineStr">
        <is>
          <t>Transportes y Maniobras Portuarias de Mexico Sa de Cv</t>
        </is>
      </c>
      <c r="C32" s="27" t="inlineStr">
        <is>
          <t>PLATAFORMA MULTIMODAL</t>
        </is>
      </c>
      <c r="D32" s="26" t="inlineStr">
        <is>
          <t>ACTIVO</t>
        </is>
      </c>
      <c r="E32" s="28" t="n">
        <v>24</v>
      </c>
      <c r="F32" s="29">
        <f>ROUND(Saldos_Capital_Mensual!I32 + Saldos_Intereses_Mensual!I32, 2)</f>
        <v/>
      </c>
      <c r="G32" s="29">
        <f>ROUND(Saldos_Capital_Mensual!J32 + Saldos_Intereses_Mensual!J32, 2)</f>
        <v/>
      </c>
      <c r="H32" s="29">
        <f>ROUND(Saldos_Capital_Mensual!K32 + Saldos_Intereses_Mensual!K32, 2)</f>
        <v/>
      </c>
      <c r="I32" s="29">
        <f>ROUND(Saldos_Capital_Mensual!L32 + Saldos_Intereses_Mensual!L32, 2)</f>
        <v/>
      </c>
      <c r="J32" s="29">
        <f>ROUND(Saldos_Capital_Mensual!M32 + Saldos_Intereses_Mensual!M32, 2)</f>
        <v/>
      </c>
      <c r="K32" s="29">
        <f>ROUND(Saldos_Capital_Mensual!N32 + Saldos_Intereses_Mensual!N32, 2)</f>
        <v/>
      </c>
      <c r="L32" s="29">
        <f>ROUND(Saldos_Capital_Mensual!O32 + Saldos_Intereses_Mensual!O32, 2)</f>
        <v/>
      </c>
      <c r="M32" s="29">
        <f>ROUND(Saldos_Capital_Mensual!P32 + Saldos_Intereses_Mensual!P32, 2)</f>
        <v/>
      </c>
      <c r="N32" s="29">
        <f>ROUND(Saldos_Capital_Mensual!Q32 + Saldos_Intereses_Mensual!Q32, 2)</f>
        <v/>
      </c>
      <c r="O32" s="29">
        <f>ROUND(Saldos_Capital_Mensual!R32 + Saldos_Intereses_Mensual!R32, 2)</f>
        <v/>
      </c>
      <c r="P32" s="29">
        <f>ROUND(Saldos_Capital_Mensual!S32 + Saldos_Intereses_Mensual!S32, 2)</f>
        <v/>
      </c>
      <c r="Q32" s="29" t="inlineStr"/>
      <c r="R32" s="29">
        <f>MAX(F32:Q32)</f>
        <v/>
      </c>
    </row>
    <row r="33">
      <c r="A33" s="20" t="inlineStr">
        <is>
          <t>0552-0022</t>
        </is>
      </c>
      <c r="B33" s="21" t="inlineStr">
        <is>
          <t>Transportes y Maniobras Portuarias de Mexico Sa de Cv</t>
        </is>
      </c>
      <c r="C33" s="21" t="inlineStr">
        <is>
          <t>RZR</t>
        </is>
      </c>
      <c r="D33" s="20" t="inlineStr">
        <is>
          <t>ACTIVO</t>
        </is>
      </c>
      <c r="E33" s="22" t="n">
        <v>24</v>
      </c>
      <c r="F33" s="23">
        <f>ROUND(Saldos_Capital_Mensual!I33 + Saldos_Intereses_Mensual!I33, 2)</f>
        <v/>
      </c>
      <c r="G33" s="23">
        <f>ROUND(Saldos_Capital_Mensual!J33 + Saldos_Intereses_Mensual!J33, 2)</f>
        <v/>
      </c>
      <c r="H33" s="23">
        <f>ROUND(Saldos_Capital_Mensual!K33 + Saldos_Intereses_Mensual!K33, 2)</f>
        <v/>
      </c>
      <c r="I33" s="23">
        <f>ROUND(Saldos_Capital_Mensual!L33 + Saldos_Intereses_Mensual!L33, 2)</f>
        <v/>
      </c>
      <c r="J33" s="23">
        <f>ROUND(Saldos_Capital_Mensual!M33 + Saldos_Intereses_Mensual!M33, 2)</f>
        <v/>
      </c>
      <c r="K33" s="23">
        <f>ROUND(Saldos_Capital_Mensual!N33 + Saldos_Intereses_Mensual!N33, 2)</f>
        <v/>
      </c>
      <c r="L33" s="23">
        <f>ROUND(Saldos_Capital_Mensual!O33 + Saldos_Intereses_Mensual!O33, 2)</f>
        <v/>
      </c>
      <c r="M33" s="23">
        <f>ROUND(Saldos_Capital_Mensual!P33 + Saldos_Intereses_Mensual!P33, 2)</f>
        <v/>
      </c>
      <c r="N33" s="23">
        <f>ROUND(Saldos_Capital_Mensual!Q33 + Saldos_Intereses_Mensual!Q33, 2)</f>
        <v/>
      </c>
      <c r="O33" s="23">
        <f>ROUND(Saldos_Capital_Mensual!R33 + Saldos_Intereses_Mensual!R33, 2)</f>
        <v/>
      </c>
      <c r="P33" s="23">
        <f>ROUND(Saldos_Capital_Mensual!S33 + Saldos_Intereses_Mensual!S33, 2)</f>
        <v/>
      </c>
      <c r="Q33" s="23" t="inlineStr"/>
      <c r="R33" s="23">
        <f>MAX(F33:Q33)</f>
        <v/>
      </c>
    </row>
    <row r="34">
      <c r="A34" s="26" t="inlineStr">
        <is>
          <t>0552-0023</t>
        </is>
      </c>
      <c r="B34" s="27" t="inlineStr">
        <is>
          <t>Transportes y Maniobras Portuarias de Mexico Sa de Cv</t>
        </is>
      </c>
      <c r="C34" s="27" t="inlineStr">
        <is>
          <t>Iternational Lt</t>
        </is>
      </c>
      <c r="D34" s="26" t="inlineStr">
        <is>
          <t>ACTIVO</t>
        </is>
      </c>
      <c r="E34" s="28" t="n">
        <v>24</v>
      </c>
      <c r="F34" s="29">
        <f>ROUND(Saldos_Capital_Mensual!I34 + Saldos_Intereses_Mensual!I34, 2)</f>
        <v/>
      </c>
      <c r="G34" s="29">
        <f>ROUND(Saldos_Capital_Mensual!J34 + Saldos_Intereses_Mensual!J34, 2)</f>
        <v/>
      </c>
      <c r="H34" s="29">
        <f>ROUND(Saldos_Capital_Mensual!K34 + Saldos_Intereses_Mensual!K34, 2)</f>
        <v/>
      </c>
      <c r="I34" s="29">
        <f>ROUND(Saldos_Capital_Mensual!L34 + Saldos_Intereses_Mensual!L34, 2)</f>
        <v/>
      </c>
      <c r="J34" s="29">
        <f>ROUND(Saldos_Capital_Mensual!M34 + Saldos_Intereses_Mensual!M34, 2)</f>
        <v/>
      </c>
      <c r="K34" s="29">
        <f>ROUND(Saldos_Capital_Mensual!N34 + Saldos_Intereses_Mensual!N34, 2)</f>
        <v/>
      </c>
      <c r="L34" s="29">
        <f>ROUND(Saldos_Capital_Mensual!O34 + Saldos_Intereses_Mensual!O34, 2)</f>
        <v/>
      </c>
      <c r="M34" s="29">
        <f>ROUND(Saldos_Capital_Mensual!P34 + Saldos_Intereses_Mensual!P34, 2)</f>
        <v/>
      </c>
      <c r="N34" s="29">
        <f>ROUND(Saldos_Capital_Mensual!Q34 + Saldos_Intereses_Mensual!Q34, 2)</f>
        <v/>
      </c>
      <c r="O34" s="29">
        <f>ROUND(Saldos_Capital_Mensual!R34 + Saldos_Intereses_Mensual!R34, 2)</f>
        <v/>
      </c>
      <c r="P34" s="29">
        <f>ROUND(Saldos_Capital_Mensual!S34 + Saldos_Intereses_Mensual!S34, 2)</f>
        <v/>
      </c>
      <c r="Q34" s="29">
        <f>ROUND(Saldos_Capital_Mensual!T34 + Saldos_Intereses_Mensual!T34, 2)</f>
        <v/>
      </c>
      <c r="R34" s="29">
        <f>MAX(F34:Q34)</f>
        <v/>
      </c>
    </row>
    <row r="35">
      <c r="A35" s="20" t="inlineStr">
        <is>
          <t>0552-0024</t>
        </is>
      </c>
      <c r="B35" s="21" t="inlineStr">
        <is>
          <t>Transportes y Maniobras Portuarias de Mexico Sa de Cv</t>
        </is>
      </c>
      <c r="C35" s="21" t="inlineStr">
        <is>
          <t>Iternational Lt</t>
        </is>
      </c>
      <c r="D35" s="20" t="inlineStr">
        <is>
          <t>ACTIVO</t>
        </is>
      </c>
      <c r="E35" s="22" t="n">
        <v>24</v>
      </c>
      <c r="F35" s="23">
        <f>ROUND(Saldos_Capital_Mensual!I35 + Saldos_Intereses_Mensual!I35, 2)</f>
        <v/>
      </c>
      <c r="G35" s="23">
        <f>ROUND(Saldos_Capital_Mensual!J35 + Saldos_Intereses_Mensual!J35, 2)</f>
        <v/>
      </c>
      <c r="H35" s="23">
        <f>ROUND(Saldos_Capital_Mensual!K35 + Saldos_Intereses_Mensual!K35, 2)</f>
        <v/>
      </c>
      <c r="I35" s="23">
        <f>ROUND(Saldos_Capital_Mensual!L35 + Saldos_Intereses_Mensual!L35, 2)</f>
        <v/>
      </c>
      <c r="J35" s="23">
        <f>ROUND(Saldos_Capital_Mensual!M35 + Saldos_Intereses_Mensual!M35, 2)</f>
        <v/>
      </c>
      <c r="K35" s="23">
        <f>ROUND(Saldos_Capital_Mensual!N35 + Saldos_Intereses_Mensual!N35, 2)</f>
        <v/>
      </c>
      <c r="L35" s="23">
        <f>ROUND(Saldos_Capital_Mensual!O35 + Saldos_Intereses_Mensual!O35, 2)</f>
        <v/>
      </c>
      <c r="M35" s="23">
        <f>ROUND(Saldos_Capital_Mensual!P35 + Saldos_Intereses_Mensual!P35, 2)</f>
        <v/>
      </c>
      <c r="N35" s="23">
        <f>ROUND(Saldos_Capital_Mensual!Q35 + Saldos_Intereses_Mensual!Q35, 2)</f>
        <v/>
      </c>
      <c r="O35" s="23">
        <f>ROUND(Saldos_Capital_Mensual!R35 + Saldos_Intereses_Mensual!R35, 2)</f>
        <v/>
      </c>
      <c r="P35" s="23">
        <f>ROUND(Saldos_Capital_Mensual!S35 + Saldos_Intereses_Mensual!S35, 2)</f>
        <v/>
      </c>
      <c r="Q35" s="23">
        <f>ROUND(Saldos_Capital_Mensual!T35 + Saldos_Intereses_Mensual!T35, 2)</f>
        <v/>
      </c>
      <c r="R35" s="23">
        <f>MAX(F35:Q35)</f>
        <v/>
      </c>
    </row>
    <row r="36">
      <c r="A36" s="26" t="inlineStr">
        <is>
          <t>0552-0025</t>
        </is>
      </c>
      <c r="B36" s="27" t="inlineStr">
        <is>
          <t>Transportes y Maniobras Portuarias de Mexico Sa de Cv</t>
        </is>
      </c>
      <c r="C36" s="27" t="inlineStr">
        <is>
          <t>Iternational Lt</t>
        </is>
      </c>
      <c r="D36" s="26" t="inlineStr">
        <is>
          <t>ACTIVO</t>
        </is>
      </c>
      <c r="E36" s="28" t="n">
        <v>24</v>
      </c>
      <c r="F36" s="29">
        <f>ROUND(Saldos_Capital_Mensual!I36 + Saldos_Intereses_Mensual!I36, 2)</f>
        <v/>
      </c>
      <c r="G36" s="29">
        <f>ROUND(Saldos_Capital_Mensual!J36 + Saldos_Intereses_Mensual!J36, 2)</f>
        <v/>
      </c>
      <c r="H36" s="29">
        <f>ROUND(Saldos_Capital_Mensual!K36 + Saldos_Intereses_Mensual!K36, 2)</f>
        <v/>
      </c>
      <c r="I36" s="29">
        <f>ROUND(Saldos_Capital_Mensual!L36 + Saldos_Intereses_Mensual!L36, 2)</f>
        <v/>
      </c>
      <c r="J36" s="29">
        <f>ROUND(Saldos_Capital_Mensual!M36 + Saldos_Intereses_Mensual!M36, 2)</f>
        <v/>
      </c>
      <c r="K36" s="29">
        <f>ROUND(Saldos_Capital_Mensual!N36 + Saldos_Intereses_Mensual!N36, 2)</f>
        <v/>
      </c>
      <c r="L36" s="29">
        <f>ROUND(Saldos_Capital_Mensual!O36 + Saldos_Intereses_Mensual!O36, 2)</f>
        <v/>
      </c>
      <c r="M36" s="29">
        <f>ROUND(Saldos_Capital_Mensual!P36 + Saldos_Intereses_Mensual!P36, 2)</f>
        <v/>
      </c>
      <c r="N36" s="29">
        <f>ROUND(Saldos_Capital_Mensual!Q36 + Saldos_Intereses_Mensual!Q36, 2)</f>
        <v/>
      </c>
      <c r="O36" s="29">
        <f>ROUND(Saldos_Capital_Mensual!R36 + Saldos_Intereses_Mensual!R36, 2)</f>
        <v/>
      </c>
      <c r="P36" s="29">
        <f>ROUND(Saldos_Capital_Mensual!S36 + Saldos_Intereses_Mensual!S36, 2)</f>
        <v/>
      </c>
      <c r="Q36" s="29">
        <f>ROUND(Saldos_Capital_Mensual!T36 + Saldos_Intereses_Mensual!T36, 2)</f>
        <v/>
      </c>
      <c r="R36" s="29">
        <f>MAX(F36:Q36)</f>
        <v/>
      </c>
    </row>
    <row r="37">
      <c r="A37" s="20" t="inlineStr">
        <is>
          <t>0554-0003</t>
        </is>
      </c>
      <c r="B37" s="21" t="inlineStr">
        <is>
          <t>TRANSPORTES DEL BAJIO TRANSCOLD SA DE CV</t>
        </is>
      </c>
      <c r="C37" s="21" t="inlineStr">
        <is>
          <t>RAM 4000 CHASIS PLANO LARGO "PL"</t>
        </is>
      </c>
      <c r="D37" s="20" t="inlineStr">
        <is>
          <t>ACTIVO</t>
        </is>
      </c>
      <c r="E37" s="22" t="n">
        <v>48</v>
      </c>
      <c r="F37" s="23">
        <f>ROUND(Saldos_Capital_Mensual!I37 + Saldos_Intereses_Mensual!I37, 2)</f>
        <v/>
      </c>
      <c r="G37" s="23">
        <f>ROUND(Saldos_Capital_Mensual!J37 + Saldos_Intereses_Mensual!J37, 2)</f>
        <v/>
      </c>
      <c r="H37" s="23">
        <f>ROUND(Saldos_Capital_Mensual!K37 + Saldos_Intereses_Mensual!K37, 2)</f>
        <v/>
      </c>
      <c r="I37" s="23">
        <f>ROUND(Saldos_Capital_Mensual!L37 + Saldos_Intereses_Mensual!L37, 2)</f>
        <v/>
      </c>
      <c r="J37" s="23">
        <f>ROUND(Saldos_Capital_Mensual!M37 + Saldos_Intereses_Mensual!M37, 2)</f>
        <v/>
      </c>
      <c r="K37" s="23">
        <f>ROUND(Saldos_Capital_Mensual!N37 + Saldos_Intereses_Mensual!N37, 2)</f>
        <v/>
      </c>
      <c r="L37" s="23">
        <f>ROUND(Saldos_Capital_Mensual!O37 + Saldos_Intereses_Mensual!O37, 2)</f>
        <v/>
      </c>
      <c r="M37" s="23">
        <f>ROUND(Saldos_Capital_Mensual!P37 + Saldos_Intereses_Mensual!P37, 2)</f>
        <v/>
      </c>
      <c r="N37" s="23">
        <f>ROUND(Saldos_Capital_Mensual!Q37 + Saldos_Intereses_Mensual!Q37, 2)</f>
        <v/>
      </c>
      <c r="O37" s="23">
        <f>ROUND(Saldos_Capital_Mensual!R37 + Saldos_Intereses_Mensual!R37, 2)</f>
        <v/>
      </c>
      <c r="P37" s="23" t="inlineStr"/>
      <c r="Q37" s="23" t="inlineStr"/>
      <c r="R37" s="23">
        <f>MAX(F37:Q37)</f>
        <v/>
      </c>
    </row>
    <row r="38">
      <c r="A38" s="26" t="inlineStr">
        <is>
          <t>0570-0006</t>
        </is>
      </c>
      <c r="B38" s="27" t="inlineStr">
        <is>
          <t>Jalco Iluminacion Sa de Cv</t>
        </is>
      </c>
      <c r="C38" s="27" t="inlineStr">
        <is>
          <t>RAM 700 BIG HORN</t>
        </is>
      </c>
      <c r="D38" s="26" t="inlineStr">
        <is>
          <t>ACTIVO</t>
        </is>
      </c>
      <c r="E38" s="28" t="n">
        <v>36</v>
      </c>
      <c r="F38" s="29">
        <f>ROUND(Saldos_Capital_Mensual!I38 + Saldos_Intereses_Mensual!I38, 2)</f>
        <v/>
      </c>
      <c r="G38" s="29">
        <f>ROUND(Saldos_Capital_Mensual!J38 + Saldos_Intereses_Mensual!J38, 2)</f>
        <v/>
      </c>
      <c r="H38" s="29">
        <f>ROUND(Saldos_Capital_Mensual!K38 + Saldos_Intereses_Mensual!K38, 2)</f>
        <v/>
      </c>
      <c r="I38" s="29">
        <f>ROUND(Saldos_Capital_Mensual!L38 + Saldos_Intereses_Mensual!L38, 2)</f>
        <v/>
      </c>
      <c r="J38" s="29">
        <f>ROUND(Saldos_Capital_Mensual!M38 + Saldos_Intereses_Mensual!M38, 2)</f>
        <v/>
      </c>
      <c r="K38" s="29">
        <f>ROUND(Saldos_Capital_Mensual!N38 + Saldos_Intereses_Mensual!N38, 2)</f>
        <v/>
      </c>
      <c r="L38" s="29">
        <f>ROUND(Saldos_Capital_Mensual!O38 + Saldos_Intereses_Mensual!O38, 2)</f>
        <v/>
      </c>
      <c r="M38" s="29">
        <f>ROUND(Saldos_Capital_Mensual!P38 + Saldos_Intereses_Mensual!P38, 2)</f>
        <v/>
      </c>
      <c r="N38" s="29">
        <f>ROUND(Saldos_Capital_Mensual!Q38 + Saldos_Intereses_Mensual!Q38, 2)</f>
        <v/>
      </c>
      <c r="O38" s="29">
        <f>ROUND(Saldos_Capital_Mensual!R38 + Saldos_Intereses_Mensual!R38, 2)</f>
        <v/>
      </c>
      <c r="P38" s="29">
        <f>ROUND(Saldos_Capital_Mensual!S38 + Saldos_Intereses_Mensual!S38, 2)</f>
        <v/>
      </c>
      <c r="Q38" s="29" t="inlineStr"/>
      <c r="R38" s="29">
        <f>MAX(F38:Q38)</f>
        <v/>
      </c>
    </row>
    <row r="39">
      <c r="A39" s="20" t="inlineStr">
        <is>
          <t>0573-0007</t>
        </is>
      </c>
      <c r="B39" s="21" t="inlineStr">
        <is>
          <t>Ar Marketing Sa de Cv</t>
        </is>
      </c>
      <c r="C39" s="21" t="inlineStr">
        <is>
          <t>Promaster Rapid</t>
        </is>
      </c>
      <c r="D39" s="20" t="inlineStr">
        <is>
          <t>ACTIVO</t>
        </is>
      </c>
      <c r="E39" s="22" t="n">
        <v>36</v>
      </c>
      <c r="F39" s="23">
        <f>ROUND(Saldos_Capital_Mensual!I39 + Saldos_Intereses_Mensual!I39, 2)</f>
        <v/>
      </c>
      <c r="G39" s="23">
        <f>ROUND(Saldos_Capital_Mensual!J39 + Saldos_Intereses_Mensual!J39, 2)</f>
        <v/>
      </c>
      <c r="H39" s="23">
        <f>ROUND(Saldos_Capital_Mensual!K39 + Saldos_Intereses_Mensual!K39, 2)</f>
        <v/>
      </c>
      <c r="I39" s="23">
        <f>ROUND(Saldos_Capital_Mensual!L39 + Saldos_Intereses_Mensual!L39, 2)</f>
        <v/>
      </c>
      <c r="J39" s="23">
        <f>ROUND(Saldos_Capital_Mensual!M39 + Saldos_Intereses_Mensual!M39, 2)</f>
        <v/>
      </c>
      <c r="K39" s="23">
        <f>ROUND(Saldos_Capital_Mensual!N39 + Saldos_Intereses_Mensual!N39, 2)</f>
        <v/>
      </c>
      <c r="L39" s="23">
        <f>ROUND(Saldos_Capital_Mensual!O39 + Saldos_Intereses_Mensual!O39, 2)</f>
        <v/>
      </c>
      <c r="M39" s="23">
        <f>ROUND(Saldos_Capital_Mensual!P39 + Saldos_Intereses_Mensual!P39, 2)</f>
        <v/>
      </c>
      <c r="N39" s="23">
        <f>ROUND(Saldos_Capital_Mensual!Q39 + Saldos_Intereses_Mensual!Q39, 2)</f>
        <v/>
      </c>
      <c r="O39" s="23">
        <f>ROUND(Saldos_Capital_Mensual!R39 + Saldos_Intereses_Mensual!R39, 2)</f>
        <v/>
      </c>
      <c r="P39" s="23">
        <f>ROUND(Saldos_Capital_Mensual!S39 + Saldos_Intereses_Mensual!S39, 2)</f>
        <v/>
      </c>
      <c r="Q39" s="23">
        <f>ROUND(Saldos_Capital_Mensual!T39 + Saldos_Intereses_Mensual!T39, 2)</f>
        <v/>
      </c>
      <c r="R39" s="23">
        <f>MAX(F39:Q39)</f>
        <v/>
      </c>
    </row>
    <row r="40">
      <c r="A40" s="26" t="inlineStr">
        <is>
          <t>0573-0008</t>
        </is>
      </c>
      <c r="B40" s="27" t="inlineStr">
        <is>
          <t>Ar Marketing Sa de Cv</t>
        </is>
      </c>
      <c r="C40" s="27" t="inlineStr">
        <is>
          <t>Promaster Rapid</t>
        </is>
      </c>
      <c r="D40" s="26" t="inlineStr">
        <is>
          <t>ACTIVO</t>
        </is>
      </c>
      <c r="E40" s="28" t="n">
        <v>36</v>
      </c>
      <c r="F40" s="29">
        <f>ROUND(Saldos_Capital_Mensual!I40 + Saldos_Intereses_Mensual!I40, 2)</f>
        <v/>
      </c>
      <c r="G40" s="29">
        <f>ROUND(Saldos_Capital_Mensual!J40 + Saldos_Intereses_Mensual!J40, 2)</f>
        <v/>
      </c>
      <c r="H40" s="29">
        <f>ROUND(Saldos_Capital_Mensual!K40 + Saldos_Intereses_Mensual!K40, 2)</f>
        <v/>
      </c>
      <c r="I40" s="29">
        <f>ROUND(Saldos_Capital_Mensual!L40 + Saldos_Intereses_Mensual!L40, 2)</f>
        <v/>
      </c>
      <c r="J40" s="29">
        <f>ROUND(Saldos_Capital_Mensual!M40 + Saldos_Intereses_Mensual!M40, 2)</f>
        <v/>
      </c>
      <c r="K40" s="29">
        <f>ROUND(Saldos_Capital_Mensual!N40 + Saldos_Intereses_Mensual!N40, 2)</f>
        <v/>
      </c>
      <c r="L40" s="29">
        <f>ROUND(Saldos_Capital_Mensual!O40 + Saldos_Intereses_Mensual!O40, 2)</f>
        <v/>
      </c>
      <c r="M40" s="29">
        <f>ROUND(Saldos_Capital_Mensual!P40 + Saldos_Intereses_Mensual!P40, 2)</f>
        <v/>
      </c>
      <c r="N40" s="29">
        <f>ROUND(Saldos_Capital_Mensual!Q40 + Saldos_Intereses_Mensual!Q40, 2)</f>
        <v/>
      </c>
      <c r="O40" s="29">
        <f>ROUND(Saldos_Capital_Mensual!R40 + Saldos_Intereses_Mensual!R40, 2)</f>
        <v/>
      </c>
      <c r="P40" s="29">
        <f>ROUND(Saldos_Capital_Mensual!S40 + Saldos_Intereses_Mensual!S40, 2)</f>
        <v/>
      </c>
      <c r="Q40" s="29">
        <f>ROUND(Saldos_Capital_Mensual!T40 + Saldos_Intereses_Mensual!T40, 2)</f>
        <v/>
      </c>
      <c r="R40" s="29">
        <f>MAX(F40:Q40)</f>
        <v/>
      </c>
    </row>
    <row r="41">
      <c r="A41" s="20" t="inlineStr">
        <is>
          <t>0573-0009</t>
        </is>
      </c>
      <c r="B41" s="21" t="inlineStr">
        <is>
          <t>Ar Marketing Sa de Cv</t>
        </is>
      </c>
      <c r="C41" s="21" t="inlineStr">
        <is>
          <t>Partner</t>
        </is>
      </c>
      <c r="D41" s="20" t="inlineStr">
        <is>
          <t>ACTIVO</t>
        </is>
      </c>
      <c r="E41" s="22" t="n">
        <v>36</v>
      </c>
      <c r="F41" s="23">
        <f>ROUND(Saldos_Capital_Mensual!I41 + Saldos_Intereses_Mensual!I41, 2)</f>
        <v/>
      </c>
      <c r="G41" s="23">
        <f>ROUND(Saldos_Capital_Mensual!J41 + Saldos_Intereses_Mensual!J41, 2)</f>
        <v/>
      </c>
      <c r="H41" s="23">
        <f>ROUND(Saldos_Capital_Mensual!K41 + Saldos_Intereses_Mensual!K41, 2)</f>
        <v/>
      </c>
      <c r="I41" s="23">
        <f>ROUND(Saldos_Capital_Mensual!L41 + Saldos_Intereses_Mensual!L41, 2)</f>
        <v/>
      </c>
      <c r="J41" s="23">
        <f>ROUND(Saldos_Capital_Mensual!M41 + Saldos_Intereses_Mensual!M41, 2)</f>
        <v/>
      </c>
      <c r="K41" s="23">
        <f>ROUND(Saldos_Capital_Mensual!N41 + Saldos_Intereses_Mensual!N41, 2)</f>
        <v/>
      </c>
      <c r="L41" s="23">
        <f>ROUND(Saldos_Capital_Mensual!O41 + Saldos_Intereses_Mensual!O41, 2)</f>
        <v/>
      </c>
      <c r="M41" s="23">
        <f>ROUND(Saldos_Capital_Mensual!P41 + Saldos_Intereses_Mensual!P41, 2)</f>
        <v/>
      </c>
      <c r="N41" s="23">
        <f>ROUND(Saldos_Capital_Mensual!Q41 + Saldos_Intereses_Mensual!Q41, 2)</f>
        <v/>
      </c>
      <c r="O41" s="23">
        <f>ROUND(Saldos_Capital_Mensual!R41 + Saldos_Intereses_Mensual!R41, 2)</f>
        <v/>
      </c>
      <c r="P41" s="23">
        <f>ROUND(Saldos_Capital_Mensual!S41 + Saldos_Intereses_Mensual!S41, 2)</f>
        <v/>
      </c>
      <c r="Q41" s="23">
        <f>ROUND(Saldos_Capital_Mensual!T41 + Saldos_Intereses_Mensual!T41, 2)</f>
        <v/>
      </c>
      <c r="R41" s="23">
        <f>MAX(F41:Q41)</f>
        <v/>
      </c>
    </row>
    <row r="42">
      <c r="A42" s="26" t="inlineStr">
        <is>
          <t>0580-0001</t>
        </is>
      </c>
      <c r="B42" s="27" t="inlineStr">
        <is>
          <t>YOLANDA AVALOS CARDENAS</t>
        </is>
      </c>
      <c r="C42" s="27" t="inlineStr">
        <is>
          <t>Mojave</t>
        </is>
      </c>
      <c r="D42" s="26" t="inlineStr">
        <is>
          <t>ACTIVO</t>
        </is>
      </c>
      <c r="E42" s="28" t="n">
        <v>48</v>
      </c>
      <c r="F42" s="29">
        <f>ROUND(Saldos_Capital_Mensual!I42 + Saldos_Intereses_Mensual!I42, 2)</f>
        <v/>
      </c>
      <c r="G42" s="29">
        <f>ROUND(Saldos_Capital_Mensual!J42 + Saldos_Intereses_Mensual!J42, 2)</f>
        <v/>
      </c>
      <c r="H42" s="29">
        <f>ROUND(Saldos_Capital_Mensual!K42 + Saldos_Intereses_Mensual!K42, 2)</f>
        <v/>
      </c>
      <c r="I42" s="29">
        <f>ROUND(Saldos_Capital_Mensual!L42 + Saldos_Intereses_Mensual!L42, 2)</f>
        <v/>
      </c>
      <c r="J42" s="29">
        <f>ROUND(Saldos_Capital_Mensual!M42 + Saldos_Intereses_Mensual!M42, 2)</f>
        <v/>
      </c>
      <c r="K42" s="29">
        <f>ROUND(Saldos_Capital_Mensual!N42 + Saldos_Intereses_Mensual!N42, 2)</f>
        <v/>
      </c>
      <c r="L42" s="29">
        <f>ROUND(Saldos_Capital_Mensual!O42 + Saldos_Intereses_Mensual!O42, 2)</f>
        <v/>
      </c>
      <c r="M42" s="29">
        <f>ROUND(Saldos_Capital_Mensual!P42 + Saldos_Intereses_Mensual!P42, 2)</f>
        <v/>
      </c>
      <c r="N42" s="29">
        <f>ROUND(Saldos_Capital_Mensual!Q42 + Saldos_Intereses_Mensual!Q42, 2)</f>
        <v/>
      </c>
      <c r="O42" s="29">
        <f>ROUND(Saldos_Capital_Mensual!R42 + Saldos_Intereses_Mensual!R42, 2)</f>
        <v/>
      </c>
      <c r="P42" s="29" t="inlineStr"/>
      <c r="Q42" s="29" t="inlineStr"/>
      <c r="R42" s="29">
        <f>MAX(F42:Q42)</f>
        <v/>
      </c>
    </row>
    <row r="43">
      <c r="A43" s="20" t="inlineStr">
        <is>
          <t>0581-0001</t>
        </is>
      </c>
      <c r="B43" s="21" t="inlineStr">
        <is>
          <t>Aditivos y Vitaminas Mexicanas Sa de Cv</t>
        </is>
      </c>
      <c r="C43" s="21" t="inlineStr">
        <is>
          <t>RAM 700 REGULAR CAB</t>
        </is>
      </c>
      <c r="D43" s="20" t="inlineStr">
        <is>
          <t>ACTIVO</t>
        </is>
      </c>
      <c r="E43" s="22" t="n">
        <v>48</v>
      </c>
      <c r="F43" s="23">
        <f>ROUND(Saldos_Capital_Mensual!I43 + Saldos_Intereses_Mensual!I43, 2)</f>
        <v/>
      </c>
      <c r="G43" s="23">
        <f>ROUND(Saldos_Capital_Mensual!J43 + Saldos_Intereses_Mensual!J43, 2)</f>
        <v/>
      </c>
      <c r="H43" s="23">
        <f>ROUND(Saldos_Capital_Mensual!K43 + Saldos_Intereses_Mensual!K43, 2)</f>
        <v/>
      </c>
      <c r="I43" s="23">
        <f>ROUND(Saldos_Capital_Mensual!L43 + Saldos_Intereses_Mensual!L43, 2)</f>
        <v/>
      </c>
      <c r="J43" s="23">
        <f>ROUND(Saldos_Capital_Mensual!M43 + Saldos_Intereses_Mensual!M43, 2)</f>
        <v/>
      </c>
      <c r="K43" s="23">
        <f>ROUND(Saldos_Capital_Mensual!N43 + Saldos_Intereses_Mensual!N43, 2)</f>
        <v/>
      </c>
      <c r="L43" s="23">
        <f>ROUND(Saldos_Capital_Mensual!O43 + Saldos_Intereses_Mensual!O43, 2)</f>
        <v/>
      </c>
      <c r="M43" s="23">
        <f>ROUND(Saldos_Capital_Mensual!P43 + Saldos_Intereses_Mensual!P43, 2)</f>
        <v/>
      </c>
      <c r="N43" s="23">
        <f>ROUND(Saldos_Capital_Mensual!Q43 + Saldos_Intereses_Mensual!Q43, 2)</f>
        <v/>
      </c>
      <c r="O43" s="23">
        <f>ROUND(Saldos_Capital_Mensual!R43 + Saldos_Intereses_Mensual!R43, 2)</f>
        <v/>
      </c>
      <c r="P43" s="23">
        <f>ROUND(Saldos_Capital_Mensual!S43 + Saldos_Intereses_Mensual!S43, 2)</f>
        <v/>
      </c>
      <c r="Q43" s="23">
        <f>ROUND(Saldos_Capital_Mensual!T43 + Saldos_Intereses_Mensual!T43, 2)</f>
        <v/>
      </c>
      <c r="R43" s="23">
        <f>MAX(F43:Q43)</f>
        <v/>
      </c>
    </row>
    <row r="44">
      <c r="A44" s="26" t="inlineStr">
        <is>
          <t>0581-0002</t>
        </is>
      </c>
      <c r="B44" s="27" t="inlineStr">
        <is>
          <t>Aditivos y Vitaminas Mexicanas Sa de Cv</t>
        </is>
      </c>
      <c r="C44" s="27" t="inlineStr">
        <is>
          <t>Ram 700 Regular Cab</t>
        </is>
      </c>
      <c r="D44" s="26" t="inlineStr">
        <is>
          <t>ACTIVO</t>
        </is>
      </c>
      <c r="E44" s="28" t="n">
        <v>48</v>
      </c>
      <c r="F44" s="29">
        <f>ROUND(Saldos_Capital_Mensual!I44 + Saldos_Intereses_Mensual!I44, 2)</f>
        <v/>
      </c>
      <c r="G44" s="29">
        <f>ROUND(Saldos_Capital_Mensual!J44 + Saldos_Intereses_Mensual!J44, 2)</f>
        <v/>
      </c>
      <c r="H44" s="29">
        <f>ROUND(Saldos_Capital_Mensual!K44 + Saldos_Intereses_Mensual!K44, 2)</f>
        <v/>
      </c>
      <c r="I44" s="29">
        <f>ROUND(Saldos_Capital_Mensual!L44 + Saldos_Intereses_Mensual!L44, 2)</f>
        <v/>
      </c>
      <c r="J44" s="29">
        <f>ROUND(Saldos_Capital_Mensual!M44 + Saldos_Intereses_Mensual!M44, 2)</f>
        <v/>
      </c>
      <c r="K44" s="29">
        <f>ROUND(Saldos_Capital_Mensual!N44 + Saldos_Intereses_Mensual!N44, 2)</f>
        <v/>
      </c>
      <c r="L44" s="29">
        <f>ROUND(Saldos_Capital_Mensual!O44 + Saldos_Intereses_Mensual!O44, 2)</f>
        <v/>
      </c>
      <c r="M44" s="29">
        <f>ROUND(Saldos_Capital_Mensual!P44 + Saldos_Intereses_Mensual!P44, 2)</f>
        <v/>
      </c>
      <c r="N44" s="29">
        <f>ROUND(Saldos_Capital_Mensual!Q44 + Saldos_Intereses_Mensual!Q44, 2)</f>
        <v/>
      </c>
      <c r="O44" s="29">
        <f>ROUND(Saldos_Capital_Mensual!R44 + Saldos_Intereses_Mensual!R44, 2)</f>
        <v/>
      </c>
      <c r="P44" s="29">
        <f>ROUND(Saldos_Capital_Mensual!S44 + Saldos_Intereses_Mensual!S44, 2)</f>
        <v/>
      </c>
      <c r="Q44" s="29">
        <f>ROUND(Saldos_Capital_Mensual!T44 + Saldos_Intereses_Mensual!T44, 2)</f>
        <v/>
      </c>
      <c r="R44" s="29">
        <f>MAX(F44:Q44)</f>
        <v/>
      </c>
    </row>
    <row r="45">
      <c r="A45" s="20" t="inlineStr">
        <is>
          <t>0582-0003</t>
        </is>
      </c>
      <c r="B45" s="21" t="inlineStr">
        <is>
          <t>Ensaladas Frescas de Occidente Sa de Cv</t>
        </is>
      </c>
      <c r="C45" s="21" t="inlineStr">
        <is>
          <t>Pulse</t>
        </is>
      </c>
      <c r="D45" s="20" t="inlineStr">
        <is>
          <t>ACTIVO</t>
        </is>
      </c>
      <c r="E45" s="22" t="n">
        <v>48</v>
      </c>
      <c r="F45" s="23">
        <f>ROUND(Saldos_Capital_Mensual!I45 + Saldos_Intereses_Mensual!I45, 2)</f>
        <v/>
      </c>
      <c r="G45" s="23">
        <f>ROUND(Saldos_Capital_Mensual!J45 + Saldos_Intereses_Mensual!J45, 2)</f>
        <v/>
      </c>
      <c r="H45" s="23">
        <f>ROUND(Saldos_Capital_Mensual!K45 + Saldos_Intereses_Mensual!K45, 2)</f>
        <v/>
      </c>
      <c r="I45" s="23">
        <f>ROUND(Saldos_Capital_Mensual!L45 + Saldos_Intereses_Mensual!L45, 2)</f>
        <v/>
      </c>
      <c r="J45" s="23">
        <f>ROUND(Saldos_Capital_Mensual!M45 + Saldos_Intereses_Mensual!M45, 2)</f>
        <v/>
      </c>
      <c r="K45" s="23">
        <f>ROUND(Saldos_Capital_Mensual!N45 + Saldos_Intereses_Mensual!N45, 2)</f>
        <v/>
      </c>
      <c r="L45" s="23">
        <f>ROUND(Saldos_Capital_Mensual!O45 + Saldos_Intereses_Mensual!O45, 2)</f>
        <v/>
      </c>
      <c r="M45" s="23">
        <f>ROUND(Saldos_Capital_Mensual!P45 + Saldos_Intereses_Mensual!P45, 2)</f>
        <v/>
      </c>
      <c r="N45" s="23">
        <f>ROUND(Saldos_Capital_Mensual!Q45 + Saldos_Intereses_Mensual!Q45, 2)</f>
        <v/>
      </c>
      <c r="O45" s="23">
        <f>ROUND(Saldos_Capital_Mensual!R45 + Saldos_Intereses_Mensual!R45, 2)</f>
        <v/>
      </c>
      <c r="P45" s="23">
        <f>ROUND(Saldos_Capital_Mensual!S45 + Saldos_Intereses_Mensual!S45, 2)</f>
        <v/>
      </c>
      <c r="Q45" s="23">
        <f>ROUND(Saldos_Capital_Mensual!T45 + Saldos_Intereses_Mensual!T45, 2)</f>
        <v/>
      </c>
      <c r="R45" s="23">
        <f>MAX(F45:Q45)</f>
        <v/>
      </c>
    </row>
    <row r="46">
      <c r="A46" s="26" t="inlineStr">
        <is>
          <t>0583-0004</t>
        </is>
      </c>
      <c r="B46" s="27" t="inlineStr">
        <is>
          <t>Soluciones Profesionales para la Industria Alimentaria</t>
        </is>
      </c>
      <c r="C46" s="27" t="inlineStr">
        <is>
          <t>BIGHORN CREW CAB MT</t>
        </is>
      </c>
      <c r="D46" s="26" t="inlineStr">
        <is>
          <t>ACTIVO</t>
        </is>
      </c>
      <c r="E46" s="28" t="n">
        <v>24</v>
      </c>
      <c r="F46" s="29">
        <f>ROUND(Saldos_Capital_Mensual!I46 + Saldos_Intereses_Mensual!I46, 2)</f>
        <v/>
      </c>
      <c r="G46" s="29">
        <f>ROUND(Saldos_Capital_Mensual!J46 + Saldos_Intereses_Mensual!J46, 2)</f>
        <v/>
      </c>
      <c r="H46" s="29">
        <f>ROUND(Saldos_Capital_Mensual!K46 + Saldos_Intereses_Mensual!K46, 2)</f>
        <v/>
      </c>
      <c r="I46" s="29">
        <f>ROUND(Saldos_Capital_Mensual!L46 + Saldos_Intereses_Mensual!L46, 2)</f>
        <v/>
      </c>
      <c r="J46" s="29">
        <f>ROUND(Saldos_Capital_Mensual!M46 + Saldos_Intereses_Mensual!M46, 2)</f>
        <v/>
      </c>
      <c r="K46" s="29">
        <f>ROUND(Saldos_Capital_Mensual!N46 + Saldos_Intereses_Mensual!N46, 2)</f>
        <v/>
      </c>
      <c r="L46" s="29">
        <f>ROUND(Saldos_Capital_Mensual!O46 + Saldos_Intereses_Mensual!O46, 2)</f>
        <v/>
      </c>
      <c r="M46" s="29">
        <f>ROUND(Saldos_Capital_Mensual!P46 + Saldos_Intereses_Mensual!P46, 2)</f>
        <v/>
      </c>
      <c r="N46" s="29">
        <f>ROUND(Saldos_Capital_Mensual!Q46 + Saldos_Intereses_Mensual!Q46, 2)</f>
        <v/>
      </c>
      <c r="O46" s="29">
        <f>ROUND(Saldos_Capital_Mensual!R46 + Saldos_Intereses_Mensual!R46, 2)</f>
        <v/>
      </c>
      <c r="P46" s="29">
        <f>ROUND(Saldos_Capital_Mensual!S46 + Saldos_Intereses_Mensual!S46, 2)</f>
        <v/>
      </c>
      <c r="Q46" s="29" t="inlineStr"/>
      <c r="R46" s="29">
        <f>MAX(F46:Q46)</f>
        <v/>
      </c>
    </row>
    <row r="47">
      <c r="A47" s="20" t="inlineStr">
        <is>
          <t>0583-0005</t>
        </is>
      </c>
      <c r="B47" s="21" t="inlineStr">
        <is>
          <t>Soluciones Profesionales para la Industria Alimentaria</t>
        </is>
      </c>
      <c r="C47" s="21" t="inlineStr">
        <is>
          <t>3008</t>
        </is>
      </c>
      <c r="D47" s="20" t="inlineStr">
        <is>
          <t>ACTIVO</t>
        </is>
      </c>
      <c r="E47" s="22" t="n">
        <v>36</v>
      </c>
      <c r="F47" s="23">
        <f>ROUND(Saldos_Capital_Mensual!I47 + Saldos_Intereses_Mensual!I47, 2)</f>
        <v/>
      </c>
      <c r="G47" s="23">
        <f>ROUND(Saldos_Capital_Mensual!J47 + Saldos_Intereses_Mensual!J47, 2)</f>
        <v/>
      </c>
      <c r="H47" s="23">
        <f>ROUND(Saldos_Capital_Mensual!K47 + Saldos_Intereses_Mensual!K47, 2)</f>
        <v/>
      </c>
      <c r="I47" s="23">
        <f>ROUND(Saldos_Capital_Mensual!L47 + Saldos_Intereses_Mensual!L47, 2)</f>
        <v/>
      </c>
      <c r="J47" s="23">
        <f>ROUND(Saldos_Capital_Mensual!M47 + Saldos_Intereses_Mensual!M47, 2)</f>
        <v/>
      </c>
      <c r="K47" s="23">
        <f>ROUND(Saldos_Capital_Mensual!N47 + Saldos_Intereses_Mensual!N47, 2)</f>
        <v/>
      </c>
      <c r="L47" s="23">
        <f>ROUND(Saldos_Capital_Mensual!O47 + Saldos_Intereses_Mensual!O47, 2)</f>
        <v/>
      </c>
      <c r="M47" s="23">
        <f>ROUND(Saldos_Capital_Mensual!P47 + Saldos_Intereses_Mensual!P47, 2)</f>
        <v/>
      </c>
      <c r="N47" s="23">
        <f>ROUND(Saldos_Capital_Mensual!Q47 + Saldos_Intereses_Mensual!Q47, 2)</f>
        <v/>
      </c>
      <c r="O47" s="23">
        <f>ROUND(Saldos_Capital_Mensual!R47 + Saldos_Intereses_Mensual!R47, 2)</f>
        <v/>
      </c>
      <c r="P47" s="23">
        <f>ROUND(Saldos_Capital_Mensual!S47 + Saldos_Intereses_Mensual!S47, 2)</f>
        <v/>
      </c>
      <c r="Q47" s="23">
        <f>ROUND(Saldos_Capital_Mensual!T47 + Saldos_Intereses_Mensual!T47, 2)</f>
        <v/>
      </c>
      <c r="R47" s="23">
        <f>MAX(F47:Q47)</f>
        <v/>
      </c>
    </row>
    <row r="48">
      <c r="A48" s="26" t="inlineStr">
        <is>
          <t>0583-0006</t>
        </is>
      </c>
      <c r="B48" s="27" t="inlineStr">
        <is>
          <t>Soluciones Profesionales para la Industria Alimentaria</t>
        </is>
      </c>
      <c r="C48" s="27" t="inlineStr">
        <is>
          <t>Montana</t>
        </is>
      </c>
      <c r="D48" s="26" t="inlineStr">
        <is>
          <t>ACTIVO</t>
        </is>
      </c>
      <c r="E48" s="28" t="n">
        <v>24</v>
      </c>
      <c r="F48" s="29">
        <f>ROUND(Saldos_Capital_Mensual!I48 + Saldos_Intereses_Mensual!I48, 2)</f>
        <v/>
      </c>
      <c r="G48" s="29">
        <f>ROUND(Saldos_Capital_Mensual!J48 + Saldos_Intereses_Mensual!J48, 2)</f>
        <v/>
      </c>
      <c r="H48" s="29">
        <f>ROUND(Saldos_Capital_Mensual!K48 + Saldos_Intereses_Mensual!K48, 2)</f>
        <v/>
      </c>
      <c r="I48" s="29">
        <f>ROUND(Saldos_Capital_Mensual!L48 + Saldos_Intereses_Mensual!L48, 2)</f>
        <v/>
      </c>
      <c r="J48" s="29">
        <f>ROUND(Saldos_Capital_Mensual!M48 + Saldos_Intereses_Mensual!M48, 2)</f>
        <v/>
      </c>
      <c r="K48" s="29">
        <f>ROUND(Saldos_Capital_Mensual!N48 + Saldos_Intereses_Mensual!N48, 2)</f>
        <v/>
      </c>
      <c r="L48" s="29">
        <f>ROUND(Saldos_Capital_Mensual!O48 + Saldos_Intereses_Mensual!O48, 2)</f>
        <v/>
      </c>
      <c r="M48" s="29">
        <f>ROUND(Saldos_Capital_Mensual!P48 + Saldos_Intereses_Mensual!P48, 2)</f>
        <v/>
      </c>
      <c r="N48" s="29">
        <f>ROUND(Saldos_Capital_Mensual!Q48 + Saldos_Intereses_Mensual!Q48, 2)</f>
        <v/>
      </c>
      <c r="O48" s="29">
        <f>ROUND(Saldos_Capital_Mensual!R48 + Saldos_Intereses_Mensual!R48, 2)</f>
        <v/>
      </c>
      <c r="P48" s="29">
        <f>ROUND(Saldos_Capital_Mensual!S48 + Saldos_Intereses_Mensual!S48, 2)</f>
        <v/>
      </c>
      <c r="Q48" s="29">
        <f>ROUND(Saldos_Capital_Mensual!T48 + Saldos_Intereses_Mensual!T48, 2)</f>
        <v/>
      </c>
      <c r="R48" s="29">
        <f>MAX(F48:Q48)</f>
        <v/>
      </c>
    </row>
    <row r="49">
      <c r="A49" s="20" t="inlineStr">
        <is>
          <t>0585-0002</t>
        </is>
      </c>
      <c r="B49" s="21" t="inlineStr">
        <is>
          <t>Julio Alberto Ramos de la Mora</t>
        </is>
      </c>
      <c r="C49" s="21" t="inlineStr">
        <is>
          <t>Ram 1500 Limited</t>
        </is>
      </c>
      <c r="D49" s="20" t="inlineStr">
        <is>
          <t>ACTIVO</t>
        </is>
      </c>
      <c r="E49" s="22" t="n">
        <v>36</v>
      </c>
      <c r="F49" s="23">
        <f>ROUND(Saldos_Capital_Mensual!I49 + Saldos_Intereses_Mensual!I49, 2)</f>
        <v/>
      </c>
      <c r="G49" s="23">
        <f>ROUND(Saldos_Capital_Mensual!J49 + Saldos_Intereses_Mensual!J49, 2)</f>
        <v/>
      </c>
      <c r="H49" s="23">
        <f>ROUND(Saldos_Capital_Mensual!K49 + Saldos_Intereses_Mensual!K49, 2)</f>
        <v/>
      </c>
      <c r="I49" s="23">
        <f>ROUND(Saldos_Capital_Mensual!L49 + Saldos_Intereses_Mensual!L49, 2)</f>
        <v/>
      </c>
      <c r="J49" s="23">
        <f>ROUND(Saldos_Capital_Mensual!M49 + Saldos_Intereses_Mensual!M49, 2)</f>
        <v/>
      </c>
      <c r="K49" s="23">
        <f>ROUND(Saldos_Capital_Mensual!N49 + Saldos_Intereses_Mensual!N49, 2)</f>
        <v/>
      </c>
      <c r="L49" s="23">
        <f>ROUND(Saldos_Capital_Mensual!O49 + Saldos_Intereses_Mensual!O49, 2)</f>
        <v/>
      </c>
      <c r="M49" s="23">
        <f>ROUND(Saldos_Capital_Mensual!P49 + Saldos_Intereses_Mensual!P49, 2)</f>
        <v/>
      </c>
      <c r="N49" s="23">
        <f>ROUND(Saldos_Capital_Mensual!Q49 + Saldos_Intereses_Mensual!Q49, 2)</f>
        <v/>
      </c>
      <c r="O49" s="23">
        <f>ROUND(Saldos_Capital_Mensual!R49 + Saldos_Intereses_Mensual!R49, 2)</f>
        <v/>
      </c>
      <c r="P49" s="23">
        <f>ROUND(Saldos_Capital_Mensual!S49 + Saldos_Intereses_Mensual!S49, 2)</f>
        <v/>
      </c>
      <c r="Q49" s="23">
        <f>ROUND(Saldos_Capital_Mensual!T49 + Saldos_Intereses_Mensual!T49, 2)</f>
        <v/>
      </c>
      <c r="R49" s="23">
        <f>MAX(F49:Q49)</f>
        <v/>
      </c>
    </row>
    <row r="50">
      <c r="A50" s="26" t="inlineStr">
        <is>
          <t>0585-0003</t>
        </is>
      </c>
      <c r="B50" s="27" t="inlineStr">
        <is>
          <t>Julio Alberto Ramos de la Mora</t>
        </is>
      </c>
      <c r="C50" s="27" t="inlineStr">
        <is>
          <t>Wrangler Rubicon</t>
        </is>
      </c>
      <c r="D50" s="26" t="inlineStr">
        <is>
          <t>ACTIVO</t>
        </is>
      </c>
      <c r="E50" s="28" t="n">
        <v>48</v>
      </c>
      <c r="F50" s="29">
        <f>ROUND(Saldos_Capital_Mensual!I50 + Saldos_Intereses_Mensual!I50, 2)</f>
        <v/>
      </c>
      <c r="G50" s="29">
        <f>ROUND(Saldos_Capital_Mensual!J50 + Saldos_Intereses_Mensual!J50, 2)</f>
        <v/>
      </c>
      <c r="H50" s="29">
        <f>ROUND(Saldos_Capital_Mensual!K50 + Saldos_Intereses_Mensual!K50, 2)</f>
        <v/>
      </c>
      <c r="I50" s="29">
        <f>ROUND(Saldos_Capital_Mensual!L50 + Saldos_Intereses_Mensual!L50, 2)</f>
        <v/>
      </c>
      <c r="J50" s="29">
        <f>ROUND(Saldos_Capital_Mensual!M50 + Saldos_Intereses_Mensual!M50, 2)</f>
        <v/>
      </c>
      <c r="K50" s="29">
        <f>ROUND(Saldos_Capital_Mensual!N50 + Saldos_Intereses_Mensual!N50, 2)</f>
        <v/>
      </c>
      <c r="L50" s="29">
        <f>ROUND(Saldos_Capital_Mensual!O50 + Saldos_Intereses_Mensual!O50, 2)</f>
        <v/>
      </c>
      <c r="M50" s="29">
        <f>ROUND(Saldos_Capital_Mensual!P50 + Saldos_Intereses_Mensual!P50, 2)</f>
        <v/>
      </c>
      <c r="N50" s="29">
        <f>ROUND(Saldos_Capital_Mensual!Q50 + Saldos_Intereses_Mensual!Q50, 2)</f>
        <v/>
      </c>
      <c r="O50" s="29">
        <f>ROUND(Saldos_Capital_Mensual!R50 + Saldos_Intereses_Mensual!R50, 2)</f>
        <v/>
      </c>
      <c r="P50" s="29">
        <f>ROUND(Saldos_Capital_Mensual!S50 + Saldos_Intereses_Mensual!S50, 2)</f>
        <v/>
      </c>
      <c r="Q50" s="29">
        <f>ROUND(Saldos_Capital_Mensual!T50 + Saldos_Intereses_Mensual!T50, 2)</f>
        <v/>
      </c>
      <c r="R50" s="29">
        <f>MAX(F50:Q50)</f>
        <v/>
      </c>
    </row>
    <row r="51">
      <c r="A51" s="20" t="inlineStr">
        <is>
          <t>0585-0004</t>
        </is>
      </c>
      <c r="B51" s="21" t="inlineStr">
        <is>
          <t>Julio Alberto Ramos de la Mora</t>
        </is>
      </c>
      <c r="C51" s="21" t="inlineStr">
        <is>
          <t>Hrv Sport</t>
        </is>
      </c>
      <c r="D51" s="20" t="inlineStr">
        <is>
          <t>ACTIVO</t>
        </is>
      </c>
      <c r="E51" s="22" t="n">
        <v>36</v>
      </c>
      <c r="F51" s="23">
        <f>ROUND(Saldos_Capital_Mensual!I51 + Saldos_Intereses_Mensual!I51, 2)</f>
        <v/>
      </c>
      <c r="G51" s="23">
        <f>ROUND(Saldos_Capital_Mensual!J51 + Saldos_Intereses_Mensual!J51, 2)</f>
        <v/>
      </c>
      <c r="H51" s="23">
        <f>ROUND(Saldos_Capital_Mensual!K51 + Saldos_Intereses_Mensual!K51, 2)</f>
        <v/>
      </c>
      <c r="I51" s="23">
        <f>ROUND(Saldos_Capital_Mensual!L51 + Saldos_Intereses_Mensual!L51, 2)</f>
        <v/>
      </c>
      <c r="J51" s="23">
        <f>ROUND(Saldos_Capital_Mensual!M51 + Saldos_Intereses_Mensual!M51, 2)</f>
        <v/>
      </c>
      <c r="K51" s="23">
        <f>ROUND(Saldos_Capital_Mensual!N51 + Saldos_Intereses_Mensual!N51, 2)</f>
        <v/>
      </c>
      <c r="L51" s="23">
        <f>ROUND(Saldos_Capital_Mensual!O51 + Saldos_Intereses_Mensual!O51, 2)</f>
        <v/>
      </c>
      <c r="M51" s="23">
        <f>ROUND(Saldos_Capital_Mensual!P51 + Saldos_Intereses_Mensual!P51, 2)</f>
        <v/>
      </c>
      <c r="N51" s="23">
        <f>ROUND(Saldos_Capital_Mensual!Q51 + Saldos_Intereses_Mensual!Q51, 2)</f>
        <v/>
      </c>
      <c r="O51" s="23">
        <f>ROUND(Saldos_Capital_Mensual!R51 + Saldos_Intereses_Mensual!R51, 2)</f>
        <v/>
      </c>
      <c r="P51" s="23">
        <f>ROUND(Saldos_Capital_Mensual!S51 + Saldos_Intereses_Mensual!S51, 2)</f>
        <v/>
      </c>
      <c r="Q51" s="23">
        <f>ROUND(Saldos_Capital_Mensual!T51 + Saldos_Intereses_Mensual!T51, 2)</f>
        <v/>
      </c>
      <c r="R51" s="23">
        <f>MAX(F51:Q51)</f>
        <v/>
      </c>
    </row>
    <row r="52">
      <c r="A52" s="26" t="inlineStr">
        <is>
          <t>0585-0005</t>
        </is>
      </c>
      <c r="B52" s="27" t="inlineStr">
        <is>
          <t>Julio Alberto Ramos de la Mora</t>
        </is>
      </c>
      <c r="C52" s="27" t="inlineStr">
        <is>
          <t>M9 GL HEV</t>
        </is>
      </c>
      <c r="D52" s="26" t="inlineStr">
        <is>
          <t>ACTIVO</t>
        </is>
      </c>
      <c r="E52" s="28" t="n">
        <v>24</v>
      </c>
      <c r="F52" s="29">
        <f>ROUND(Saldos_Capital_Mensual!I52 + Saldos_Intereses_Mensual!I52, 2)</f>
        <v/>
      </c>
      <c r="G52" s="29">
        <f>ROUND(Saldos_Capital_Mensual!J52 + Saldos_Intereses_Mensual!J52, 2)</f>
        <v/>
      </c>
      <c r="H52" s="29">
        <f>ROUND(Saldos_Capital_Mensual!K52 + Saldos_Intereses_Mensual!K52, 2)</f>
        <v/>
      </c>
      <c r="I52" s="29">
        <f>ROUND(Saldos_Capital_Mensual!L52 + Saldos_Intereses_Mensual!L52, 2)</f>
        <v/>
      </c>
      <c r="J52" s="29">
        <f>ROUND(Saldos_Capital_Mensual!M52 + Saldos_Intereses_Mensual!M52, 2)</f>
        <v/>
      </c>
      <c r="K52" s="29">
        <f>ROUND(Saldos_Capital_Mensual!N52 + Saldos_Intereses_Mensual!N52, 2)</f>
        <v/>
      </c>
      <c r="L52" s="29">
        <f>ROUND(Saldos_Capital_Mensual!O52 + Saldos_Intereses_Mensual!O52, 2)</f>
        <v/>
      </c>
      <c r="M52" s="29">
        <f>ROUND(Saldos_Capital_Mensual!P52 + Saldos_Intereses_Mensual!P52, 2)</f>
        <v/>
      </c>
      <c r="N52" s="29">
        <f>ROUND(Saldos_Capital_Mensual!Q52 + Saldos_Intereses_Mensual!Q52, 2)</f>
        <v/>
      </c>
      <c r="O52" s="29">
        <f>ROUND(Saldos_Capital_Mensual!R52 + Saldos_Intereses_Mensual!R52, 2)</f>
        <v/>
      </c>
      <c r="P52" s="29">
        <f>ROUND(Saldos_Capital_Mensual!S52 + Saldos_Intereses_Mensual!S52, 2)</f>
        <v/>
      </c>
      <c r="Q52" s="29">
        <f>ROUND(Saldos_Capital_Mensual!T52 + Saldos_Intereses_Mensual!T52, 2)</f>
        <v/>
      </c>
      <c r="R52" s="29">
        <f>MAX(F52:Q52)</f>
        <v/>
      </c>
    </row>
    <row r="53">
      <c r="A53" s="20" t="inlineStr">
        <is>
          <t>0587-0002</t>
        </is>
      </c>
      <c r="B53" s="21" t="inlineStr">
        <is>
          <t>Allioth, S.C.</t>
        </is>
      </c>
      <c r="C53" s="21" t="inlineStr">
        <is>
          <t>Grand Cherokee L Summit</t>
        </is>
      </c>
      <c r="D53" s="20" t="inlineStr">
        <is>
          <t>ACTIVO</t>
        </is>
      </c>
      <c r="E53" s="22" t="n">
        <v>12</v>
      </c>
      <c r="F53" s="23" t="inlineStr"/>
      <c r="G53" s="23">
        <f>ROUND(Saldos_Capital_Mensual!J53 + Saldos_Intereses_Mensual!J53, 2)</f>
        <v/>
      </c>
      <c r="H53" s="23">
        <f>ROUND(Saldos_Capital_Mensual!K53 + Saldos_Intereses_Mensual!K53, 2)</f>
        <v/>
      </c>
      <c r="I53" s="23">
        <f>ROUND(Saldos_Capital_Mensual!L53 + Saldos_Intereses_Mensual!L53, 2)</f>
        <v/>
      </c>
      <c r="J53" s="23">
        <f>ROUND(Saldos_Capital_Mensual!M53 + Saldos_Intereses_Mensual!M53, 2)</f>
        <v/>
      </c>
      <c r="K53" s="23">
        <f>ROUND(Saldos_Capital_Mensual!N53 + Saldos_Intereses_Mensual!N53, 2)</f>
        <v/>
      </c>
      <c r="L53" s="23">
        <f>ROUND(Saldos_Capital_Mensual!O53 + Saldos_Intereses_Mensual!O53, 2)</f>
        <v/>
      </c>
      <c r="M53" s="23">
        <f>ROUND(Saldos_Capital_Mensual!P53 + Saldos_Intereses_Mensual!P53, 2)</f>
        <v/>
      </c>
      <c r="N53" s="23">
        <f>ROUND(Saldos_Capital_Mensual!Q53 + Saldos_Intereses_Mensual!Q53, 2)</f>
        <v/>
      </c>
      <c r="O53" s="23">
        <f>ROUND(Saldos_Capital_Mensual!R53 + Saldos_Intereses_Mensual!R53, 2)</f>
        <v/>
      </c>
      <c r="P53" s="23">
        <f>ROUND(Saldos_Capital_Mensual!S53 + Saldos_Intereses_Mensual!S53, 2)</f>
        <v/>
      </c>
      <c r="Q53" s="23">
        <f>ROUND(Saldos_Capital_Mensual!T53 + Saldos_Intereses_Mensual!T53, 2)</f>
        <v/>
      </c>
      <c r="R53" s="23">
        <f>MAX(F53:Q53)</f>
        <v/>
      </c>
    </row>
    <row r="54">
      <c r="A54" s="26" t="inlineStr">
        <is>
          <t>0591-0002</t>
        </is>
      </c>
      <c r="B54" s="27" t="inlineStr">
        <is>
          <t>Cervantech Servicios Tecnologicos Sc</t>
        </is>
      </c>
      <c r="C54" s="27" t="inlineStr">
        <is>
          <t>WRANGLER RUBICON</t>
        </is>
      </c>
      <c r="D54" s="26" t="inlineStr">
        <is>
          <t>ACTIVO</t>
        </is>
      </c>
      <c r="E54" s="28" t="n">
        <v>36</v>
      </c>
      <c r="F54" s="29">
        <f>ROUND(Saldos_Capital_Mensual!I54 + Saldos_Intereses_Mensual!I54, 2)</f>
        <v/>
      </c>
      <c r="G54" s="29">
        <f>ROUND(Saldos_Capital_Mensual!J54 + Saldos_Intereses_Mensual!J54, 2)</f>
        <v/>
      </c>
      <c r="H54" s="29">
        <f>ROUND(Saldos_Capital_Mensual!K54 + Saldos_Intereses_Mensual!K54, 2)</f>
        <v/>
      </c>
      <c r="I54" s="29">
        <f>ROUND(Saldos_Capital_Mensual!L54 + Saldos_Intereses_Mensual!L54, 2)</f>
        <v/>
      </c>
      <c r="J54" s="29">
        <f>ROUND(Saldos_Capital_Mensual!M54 + Saldos_Intereses_Mensual!M54, 2)</f>
        <v/>
      </c>
      <c r="K54" s="29">
        <f>ROUND(Saldos_Capital_Mensual!N54 + Saldos_Intereses_Mensual!N54, 2)</f>
        <v/>
      </c>
      <c r="L54" s="29">
        <f>ROUND(Saldos_Capital_Mensual!O54 + Saldos_Intereses_Mensual!O54, 2)</f>
        <v/>
      </c>
      <c r="M54" s="29">
        <f>ROUND(Saldos_Capital_Mensual!P54 + Saldos_Intereses_Mensual!P54, 2)</f>
        <v/>
      </c>
      <c r="N54" s="29">
        <f>ROUND(Saldos_Capital_Mensual!Q54 + Saldos_Intereses_Mensual!Q54, 2)</f>
        <v/>
      </c>
      <c r="O54" s="29" t="inlineStr"/>
      <c r="P54" s="29" t="inlineStr"/>
      <c r="Q54" s="29" t="inlineStr"/>
      <c r="R54" s="29">
        <f>MAX(F54:Q54)</f>
        <v/>
      </c>
    </row>
    <row r="55">
      <c r="A55" s="20" t="inlineStr">
        <is>
          <t>0593-0002</t>
        </is>
      </c>
      <c r="B55" s="21" t="inlineStr">
        <is>
          <t>Metales y Minerales Moa Sa de Cv</t>
        </is>
      </c>
      <c r="C55" s="21" t="inlineStr">
        <is>
          <t>Ram 700 SLT Crew Cab</t>
        </is>
      </c>
      <c r="D55" s="20" t="inlineStr">
        <is>
          <t>ACTIVO</t>
        </is>
      </c>
      <c r="E55" s="22" t="n">
        <v>48</v>
      </c>
      <c r="F55" s="23">
        <f>ROUND(Saldos_Capital_Mensual!I55 + Saldos_Intereses_Mensual!I55, 2)</f>
        <v/>
      </c>
      <c r="G55" s="23">
        <f>ROUND(Saldos_Capital_Mensual!J55 + Saldos_Intereses_Mensual!J55, 2)</f>
        <v/>
      </c>
      <c r="H55" s="23">
        <f>ROUND(Saldos_Capital_Mensual!K55 + Saldos_Intereses_Mensual!K55, 2)</f>
        <v/>
      </c>
      <c r="I55" s="23">
        <f>ROUND(Saldos_Capital_Mensual!L55 + Saldos_Intereses_Mensual!L55, 2)</f>
        <v/>
      </c>
      <c r="J55" s="23">
        <f>ROUND(Saldos_Capital_Mensual!M55 + Saldos_Intereses_Mensual!M55, 2)</f>
        <v/>
      </c>
      <c r="K55" s="23">
        <f>ROUND(Saldos_Capital_Mensual!N55 + Saldos_Intereses_Mensual!N55, 2)</f>
        <v/>
      </c>
      <c r="L55" s="23">
        <f>ROUND(Saldos_Capital_Mensual!O55 + Saldos_Intereses_Mensual!O55, 2)</f>
        <v/>
      </c>
      <c r="M55" s="23">
        <f>ROUND(Saldos_Capital_Mensual!P55 + Saldos_Intereses_Mensual!P55, 2)</f>
        <v/>
      </c>
      <c r="N55" s="23">
        <f>ROUND(Saldos_Capital_Mensual!Q55 + Saldos_Intereses_Mensual!Q55, 2)</f>
        <v/>
      </c>
      <c r="O55" s="23">
        <f>ROUND(Saldos_Capital_Mensual!R55 + Saldos_Intereses_Mensual!R55, 2)</f>
        <v/>
      </c>
      <c r="P55" s="23">
        <f>ROUND(Saldos_Capital_Mensual!S55 + Saldos_Intereses_Mensual!S55, 2)</f>
        <v/>
      </c>
      <c r="Q55" s="23">
        <f>ROUND(Saldos_Capital_Mensual!T55 + Saldos_Intereses_Mensual!T55, 2)</f>
        <v/>
      </c>
      <c r="R55" s="23">
        <f>MAX(F55:Q55)</f>
        <v/>
      </c>
    </row>
    <row r="56">
      <c r="A56" s="26" t="inlineStr">
        <is>
          <t>0594-0001</t>
        </is>
      </c>
      <c r="B56" s="27" t="inlineStr">
        <is>
          <t>Biotecnologia Estetica Sa de Cv</t>
        </is>
      </c>
      <c r="C56" s="27" t="inlineStr">
        <is>
          <t>Mobi Like</t>
        </is>
      </c>
      <c r="D56" s="26" t="inlineStr">
        <is>
          <t>ACTIVO</t>
        </is>
      </c>
      <c r="E56" s="28" t="n">
        <v>48</v>
      </c>
      <c r="F56" s="29">
        <f>ROUND(Saldos_Capital_Mensual!I56 + Saldos_Intereses_Mensual!I56, 2)</f>
        <v/>
      </c>
      <c r="G56" s="29">
        <f>ROUND(Saldos_Capital_Mensual!J56 + Saldos_Intereses_Mensual!J56, 2)</f>
        <v/>
      </c>
      <c r="H56" s="29">
        <f>ROUND(Saldos_Capital_Mensual!K56 + Saldos_Intereses_Mensual!K56, 2)</f>
        <v/>
      </c>
      <c r="I56" s="29">
        <f>ROUND(Saldos_Capital_Mensual!L56 + Saldos_Intereses_Mensual!L56, 2)</f>
        <v/>
      </c>
      <c r="J56" s="29">
        <f>ROUND(Saldos_Capital_Mensual!M56 + Saldos_Intereses_Mensual!M56, 2)</f>
        <v/>
      </c>
      <c r="K56" s="29">
        <f>ROUND(Saldos_Capital_Mensual!N56 + Saldos_Intereses_Mensual!N56, 2)</f>
        <v/>
      </c>
      <c r="L56" s="29">
        <f>ROUND(Saldos_Capital_Mensual!O56 + Saldos_Intereses_Mensual!O56, 2)</f>
        <v/>
      </c>
      <c r="M56" s="29">
        <f>ROUND(Saldos_Capital_Mensual!P56 + Saldos_Intereses_Mensual!P56, 2)</f>
        <v/>
      </c>
      <c r="N56" s="29">
        <f>ROUND(Saldos_Capital_Mensual!Q56 + Saldos_Intereses_Mensual!Q56, 2)</f>
        <v/>
      </c>
      <c r="O56" s="29">
        <f>ROUND(Saldos_Capital_Mensual!R56 + Saldos_Intereses_Mensual!R56, 2)</f>
        <v/>
      </c>
      <c r="P56" s="29">
        <f>ROUND(Saldos_Capital_Mensual!S56 + Saldos_Intereses_Mensual!S56, 2)</f>
        <v/>
      </c>
      <c r="Q56" s="29">
        <f>ROUND(Saldos_Capital_Mensual!T56 + Saldos_Intereses_Mensual!T56, 2)</f>
        <v/>
      </c>
      <c r="R56" s="29">
        <f>MAX(F56:Q56)</f>
        <v/>
      </c>
    </row>
    <row r="57">
      <c r="A57" s="20" t="inlineStr">
        <is>
          <t>0596-0004</t>
        </is>
      </c>
      <c r="B57" s="21" t="inlineStr">
        <is>
          <t>Gruas Industriales Lb</t>
        </is>
      </c>
      <c r="C57" s="21" t="inlineStr">
        <is>
          <t>Ram 1500 TRX</t>
        </is>
      </c>
      <c r="D57" s="20" t="inlineStr">
        <is>
          <t>ACTIVO</t>
        </is>
      </c>
      <c r="E57" s="22" t="n">
        <v>48</v>
      </c>
      <c r="F57" s="23">
        <f>ROUND(Saldos_Capital_Mensual!I57 + Saldos_Intereses_Mensual!I57, 2)</f>
        <v/>
      </c>
      <c r="G57" s="23">
        <f>ROUND(Saldos_Capital_Mensual!J57 + Saldos_Intereses_Mensual!J57, 2)</f>
        <v/>
      </c>
      <c r="H57" s="23">
        <f>ROUND(Saldos_Capital_Mensual!K57 + Saldos_Intereses_Mensual!K57, 2)</f>
        <v/>
      </c>
      <c r="I57" s="23">
        <f>ROUND(Saldos_Capital_Mensual!L57 + Saldos_Intereses_Mensual!L57, 2)</f>
        <v/>
      </c>
      <c r="J57" s="23">
        <f>ROUND(Saldos_Capital_Mensual!M57 + Saldos_Intereses_Mensual!M57, 2)</f>
        <v/>
      </c>
      <c r="K57" s="23">
        <f>ROUND(Saldos_Capital_Mensual!N57 + Saldos_Intereses_Mensual!N57, 2)</f>
        <v/>
      </c>
      <c r="L57" s="23">
        <f>ROUND(Saldos_Capital_Mensual!O57 + Saldos_Intereses_Mensual!O57, 2)</f>
        <v/>
      </c>
      <c r="M57" s="23">
        <f>ROUND(Saldos_Capital_Mensual!P57 + Saldos_Intereses_Mensual!P57, 2)</f>
        <v/>
      </c>
      <c r="N57" s="23">
        <f>ROUND(Saldos_Capital_Mensual!Q57 + Saldos_Intereses_Mensual!Q57, 2)</f>
        <v/>
      </c>
      <c r="O57" s="23">
        <f>ROUND(Saldos_Capital_Mensual!R57 + Saldos_Intereses_Mensual!R57, 2)</f>
        <v/>
      </c>
      <c r="P57" s="23">
        <f>ROUND(Saldos_Capital_Mensual!S57 + Saldos_Intereses_Mensual!S57, 2)</f>
        <v/>
      </c>
      <c r="Q57" s="23">
        <f>ROUND(Saldos_Capital_Mensual!T57 + Saldos_Intereses_Mensual!T57, 2)</f>
        <v/>
      </c>
      <c r="R57" s="23">
        <f>MAX(F57:Q57)</f>
        <v/>
      </c>
    </row>
    <row r="58">
      <c r="A58" s="26" t="inlineStr">
        <is>
          <t>0596-0005</t>
        </is>
      </c>
      <c r="B58" s="27" t="inlineStr">
        <is>
          <t>Gruas Industriales Lb Sa de Cv</t>
        </is>
      </c>
      <c r="C58" s="27" t="inlineStr">
        <is>
          <t>L200 Glx Gasolina</t>
        </is>
      </c>
      <c r="D58" s="26" t="inlineStr">
        <is>
          <t>ACTIVO</t>
        </is>
      </c>
      <c r="E58" s="28" t="n">
        <v>48</v>
      </c>
      <c r="F58" s="29">
        <f>ROUND(Saldos_Capital_Mensual!I58 + Saldos_Intereses_Mensual!I58, 2)</f>
        <v/>
      </c>
      <c r="G58" s="29">
        <f>ROUND(Saldos_Capital_Mensual!J58 + Saldos_Intereses_Mensual!J58, 2)</f>
        <v/>
      </c>
      <c r="H58" s="29">
        <f>ROUND(Saldos_Capital_Mensual!K58 + Saldos_Intereses_Mensual!K58, 2)</f>
        <v/>
      </c>
      <c r="I58" s="29">
        <f>ROUND(Saldos_Capital_Mensual!L58 + Saldos_Intereses_Mensual!L58, 2)</f>
        <v/>
      </c>
      <c r="J58" s="29">
        <f>ROUND(Saldos_Capital_Mensual!M58 + Saldos_Intereses_Mensual!M58, 2)</f>
        <v/>
      </c>
      <c r="K58" s="29">
        <f>ROUND(Saldos_Capital_Mensual!N58 + Saldos_Intereses_Mensual!N58, 2)</f>
        <v/>
      </c>
      <c r="L58" s="29">
        <f>ROUND(Saldos_Capital_Mensual!O58 + Saldos_Intereses_Mensual!O58, 2)</f>
        <v/>
      </c>
      <c r="M58" s="29">
        <f>ROUND(Saldos_Capital_Mensual!P58 + Saldos_Intereses_Mensual!P58, 2)</f>
        <v/>
      </c>
      <c r="N58" s="29">
        <f>ROUND(Saldos_Capital_Mensual!Q58 + Saldos_Intereses_Mensual!Q58, 2)</f>
        <v/>
      </c>
      <c r="O58" s="29">
        <f>ROUND(Saldos_Capital_Mensual!R58 + Saldos_Intereses_Mensual!R58, 2)</f>
        <v/>
      </c>
      <c r="P58" s="29">
        <f>ROUND(Saldos_Capital_Mensual!S58 + Saldos_Intereses_Mensual!S58, 2)</f>
        <v/>
      </c>
      <c r="Q58" s="29">
        <f>ROUND(Saldos_Capital_Mensual!T58 + Saldos_Intereses_Mensual!T58, 2)</f>
        <v/>
      </c>
      <c r="R58" s="29">
        <f>MAX(F58:Q58)</f>
        <v/>
      </c>
    </row>
    <row r="59">
      <c r="A59" s="20" t="inlineStr">
        <is>
          <t>0598-0001</t>
        </is>
      </c>
      <c r="B59" s="21" t="inlineStr">
        <is>
          <t>Digitracking Solution Sa de Cv</t>
        </is>
      </c>
      <c r="C59" s="21" t="inlineStr">
        <is>
          <t>Ram 700 Laramie</t>
        </is>
      </c>
      <c r="D59" s="20" t="inlineStr">
        <is>
          <t>ACTIVO</t>
        </is>
      </c>
      <c r="E59" s="22" t="n">
        <v>48</v>
      </c>
      <c r="F59" s="23">
        <f>ROUND(Saldos_Capital_Mensual!I59 + Saldos_Intereses_Mensual!I59, 2)</f>
        <v/>
      </c>
      <c r="G59" s="23">
        <f>ROUND(Saldos_Capital_Mensual!J59 + Saldos_Intereses_Mensual!J59, 2)</f>
        <v/>
      </c>
      <c r="H59" s="23">
        <f>ROUND(Saldos_Capital_Mensual!K59 + Saldos_Intereses_Mensual!K59, 2)</f>
        <v/>
      </c>
      <c r="I59" s="23">
        <f>ROUND(Saldos_Capital_Mensual!L59 + Saldos_Intereses_Mensual!L59, 2)</f>
        <v/>
      </c>
      <c r="J59" s="23">
        <f>ROUND(Saldos_Capital_Mensual!M59 + Saldos_Intereses_Mensual!M59, 2)</f>
        <v/>
      </c>
      <c r="K59" s="23">
        <f>ROUND(Saldos_Capital_Mensual!N59 + Saldos_Intereses_Mensual!N59, 2)</f>
        <v/>
      </c>
      <c r="L59" s="23">
        <f>ROUND(Saldos_Capital_Mensual!O59 + Saldos_Intereses_Mensual!O59, 2)</f>
        <v/>
      </c>
      <c r="M59" s="23">
        <f>ROUND(Saldos_Capital_Mensual!P59 + Saldos_Intereses_Mensual!P59, 2)</f>
        <v/>
      </c>
      <c r="N59" s="23">
        <f>ROUND(Saldos_Capital_Mensual!Q59 + Saldos_Intereses_Mensual!Q59, 2)</f>
        <v/>
      </c>
      <c r="O59" s="23">
        <f>ROUND(Saldos_Capital_Mensual!R59 + Saldos_Intereses_Mensual!R59, 2)</f>
        <v/>
      </c>
      <c r="P59" s="23">
        <f>ROUND(Saldos_Capital_Mensual!S59 + Saldos_Intereses_Mensual!S59, 2)</f>
        <v/>
      </c>
      <c r="Q59" s="23">
        <f>ROUND(Saldos_Capital_Mensual!T59 + Saldos_Intereses_Mensual!T59, 2)</f>
        <v/>
      </c>
      <c r="R59" s="23">
        <f>MAX(F59:Q59)</f>
        <v/>
      </c>
    </row>
    <row r="60">
      <c r="A60" s="26" t="inlineStr">
        <is>
          <t>0600-0001</t>
        </is>
      </c>
      <c r="B60" s="27" t="inlineStr">
        <is>
          <t>Dulce Marisol Gonzalez Cuevas</t>
        </is>
      </c>
      <c r="C60" s="27" t="inlineStr">
        <is>
          <t>Ram 700 Laramie</t>
        </is>
      </c>
      <c r="D60" s="26" t="inlineStr">
        <is>
          <t>ACTIVO</t>
        </is>
      </c>
      <c r="E60" s="28" t="n">
        <v>48</v>
      </c>
      <c r="F60" s="29">
        <f>ROUND(Saldos_Capital_Mensual!I60 + Saldos_Intereses_Mensual!I60, 2)</f>
        <v/>
      </c>
      <c r="G60" s="29">
        <f>ROUND(Saldos_Capital_Mensual!J60 + Saldos_Intereses_Mensual!J60, 2)</f>
        <v/>
      </c>
      <c r="H60" s="29">
        <f>ROUND(Saldos_Capital_Mensual!K60 + Saldos_Intereses_Mensual!K60, 2)</f>
        <v/>
      </c>
      <c r="I60" s="29">
        <f>ROUND(Saldos_Capital_Mensual!L60 + Saldos_Intereses_Mensual!L60, 2)</f>
        <v/>
      </c>
      <c r="J60" s="29">
        <f>ROUND(Saldos_Capital_Mensual!M60 + Saldos_Intereses_Mensual!M60, 2)</f>
        <v/>
      </c>
      <c r="K60" s="29">
        <f>ROUND(Saldos_Capital_Mensual!N60 + Saldos_Intereses_Mensual!N60, 2)</f>
        <v/>
      </c>
      <c r="L60" s="29">
        <f>ROUND(Saldos_Capital_Mensual!O60 + Saldos_Intereses_Mensual!O60, 2)</f>
        <v/>
      </c>
      <c r="M60" s="29">
        <f>ROUND(Saldos_Capital_Mensual!P60 + Saldos_Intereses_Mensual!P60, 2)</f>
        <v/>
      </c>
      <c r="N60" s="29">
        <f>ROUND(Saldos_Capital_Mensual!Q60 + Saldos_Intereses_Mensual!Q60, 2)</f>
        <v/>
      </c>
      <c r="O60" s="29">
        <f>ROUND(Saldos_Capital_Mensual!R60 + Saldos_Intereses_Mensual!R60, 2)</f>
        <v/>
      </c>
      <c r="P60" s="29">
        <f>ROUND(Saldos_Capital_Mensual!S60 + Saldos_Intereses_Mensual!S60, 2)</f>
        <v/>
      </c>
      <c r="Q60" s="29">
        <f>ROUND(Saldos_Capital_Mensual!T60 + Saldos_Intereses_Mensual!T60, 2)</f>
        <v/>
      </c>
      <c r="R60" s="29">
        <f>MAX(F60:Q60)</f>
        <v/>
      </c>
    </row>
    <row r="61">
      <c r="A61" s="20" t="inlineStr">
        <is>
          <t>0603-0002</t>
        </is>
      </c>
      <c r="B61" s="21" t="inlineStr">
        <is>
          <t>Mario Alberto Velasco Santana</t>
        </is>
      </c>
      <c r="C61" s="21" t="inlineStr">
        <is>
          <t>Outlander Sport</t>
        </is>
      </c>
      <c r="D61" s="20" t="inlineStr">
        <is>
          <t>ACTIVO</t>
        </is>
      </c>
      <c r="E61" s="22" t="n">
        <v>48</v>
      </c>
      <c r="F61" s="23">
        <f>ROUND(Saldos_Capital_Mensual!I61 + Saldos_Intereses_Mensual!I61, 2)</f>
        <v/>
      </c>
      <c r="G61" s="23">
        <f>ROUND(Saldos_Capital_Mensual!J61 + Saldos_Intereses_Mensual!J61, 2)</f>
        <v/>
      </c>
      <c r="H61" s="23">
        <f>ROUND(Saldos_Capital_Mensual!K61 + Saldos_Intereses_Mensual!K61, 2)</f>
        <v/>
      </c>
      <c r="I61" s="23">
        <f>ROUND(Saldos_Capital_Mensual!L61 + Saldos_Intereses_Mensual!L61, 2)</f>
        <v/>
      </c>
      <c r="J61" s="23">
        <f>ROUND(Saldos_Capital_Mensual!M61 + Saldos_Intereses_Mensual!M61, 2)</f>
        <v/>
      </c>
      <c r="K61" s="23">
        <f>ROUND(Saldos_Capital_Mensual!N61 + Saldos_Intereses_Mensual!N61, 2)</f>
        <v/>
      </c>
      <c r="L61" s="23">
        <f>ROUND(Saldos_Capital_Mensual!O61 + Saldos_Intereses_Mensual!O61, 2)</f>
        <v/>
      </c>
      <c r="M61" s="23">
        <f>ROUND(Saldos_Capital_Mensual!P61 + Saldos_Intereses_Mensual!P61, 2)</f>
        <v/>
      </c>
      <c r="N61" s="23">
        <f>ROUND(Saldos_Capital_Mensual!Q61 + Saldos_Intereses_Mensual!Q61, 2)</f>
        <v/>
      </c>
      <c r="O61" s="23">
        <f>ROUND(Saldos_Capital_Mensual!R61 + Saldos_Intereses_Mensual!R61, 2)</f>
        <v/>
      </c>
      <c r="P61" s="23">
        <f>ROUND(Saldos_Capital_Mensual!S61 + Saldos_Intereses_Mensual!S61, 2)</f>
        <v/>
      </c>
      <c r="Q61" s="23">
        <f>ROUND(Saldos_Capital_Mensual!T61 + Saldos_Intereses_Mensual!T61, 2)</f>
        <v/>
      </c>
      <c r="R61" s="23">
        <f>MAX(F61:Q61)</f>
        <v/>
      </c>
    </row>
    <row r="62">
      <c r="A62" s="26" t="inlineStr">
        <is>
          <t>0605-0001</t>
        </is>
      </c>
      <c r="B62" s="27" t="inlineStr">
        <is>
          <t>Nato Arquitectos Sa de Cv</t>
        </is>
      </c>
      <c r="C62" s="27" t="inlineStr">
        <is>
          <t>Compass High Altitude</t>
        </is>
      </c>
      <c r="D62" s="26" t="inlineStr">
        <is>
          <t>ACTIVO</t>
        </is>
      </c>
      <c r="E62" s="28" t="n">
        <v>48</v>
      </c>
      <c r="F62" s="29">
        <f>ROUND(Saldos_Capital_Mensual!I62 + Saldos_Intereses_Mensual!I62, 2)</f>
        <v/>
      </c>
      <c r="G62" s="29">
        <f>ROUND(Saldos_Capital_Mensual!J62 + Saldos_Intereses_Mensual!J62, 2)</f>
        <v/>
      </c>
      <c r="H62" s="29">
        <f>ROUND(Saldos_Capital_Mensual!K62 + Saldos_Intereses_Mensual!K62, 2)</f>
        <v/>
      </c>
      <c r="I62" s="29">
        <f>ROUND(Saldos_Capital_Mensual!L62 + Saldos_Intereses_Mensual!L62, 2)</f>
        <v/>
      </c>
      <c r="J62" s="29">
        <f>ROUND(Saldos_Capital_Mensual!M62 + Saldos_Intereses_Mensual!M62, 2)</f>
        <v/>
      </c>
      <c r="K62" s="29">
        <f>ROUND(Saldos_Capital_Mensual!N62 + Saldos_Intereses_Mensual!N62, 2)</f>
        <v/>
      </c>
      <c r="L62" s="29">
        <f>ROUND(Saldos_Capital_Mensual!O62 + Saldos_Intereses_Mensual!O62, 2)</f>
        <v/>
      </c>
      <c r="M62" s="29">
        <f>ROUND(Saldos_Capital_Mensual!P62 + Saldos_Intereses_Mensual!P62, 2)</f>
        <v/>
      </c>
      <c r="N62" s="29">
        <f>ROUND(Saldos_Capital_Mensual!Q62 + Saldos_Intereses_Mensual!Q62, 2)</f>
        <v/>
      </c>
      <c r="O62" s="29">
        <f>ROUND(Saldos_Capital_Mensual!R62 + Saldos_Intereses_Mensual!R62, 2)</f>
        <v/>
      </c>
      <c r="P62" s="29">
        <f>ROUND(Saldos_Capital_Mensual!S62 + Saldos_Intereses_Mensual!S62, 2)</f>
        <v/>
      </c>
      <c r="Q62" s="29">
        <f>ROUND(Saldos_Capital_Mensual!T62 + Saldos_Intereses_Mensual!T62, 2)</f>
        <v/>
      </c>
      <c r="R62" s="29">
        <f>MAX(F62:Q62)</f>
        <v/>
      </c>
    </row>
    <row r="63">
      <c r="A63" s="20" t="inlineStr">
        <is>
          <t>0605-0002</t>
        </is>
      </c>
      <c r="B63" s="21" t="inlineStr">
        <is>
          <t>Nato Arquitectos Sa de Cv</t>
        </is>
      </c>
      <c r="C63" s="21" t="inlineStr">
        <is>
          <t>Hilux Diesel</t>
        </is>
      </c>
      <c r="D63" s="20" t="inlineStr">
        <is>
          <t>ACTIVO</t>
        </is>
      </c>
      <c r="E63" s="22" t="n">
        <v>24</v>
      </c>
      <c r="F63" s="23">
        <f>ROUND(Saldos_Capital_Mensual!I63 + Saldos_Intereses_Mensual!I63, 2)</f>
        <v/>
      </c>
      <c r="G63" s="23">
        <f>ROUND(Saldos_Capital_Mensual!J63 + Saldos_Intereses_Mensual!J63, 2)</f>
        <v/>
      </c>
      <c r="H63" s="23">
        <f>ROUND(Saldos_Capital_Mensual!K63 + Saldos_Intereses_Mensual!K63, 2)</f>
        <v/>
      </c>
      <c r="I63" s="23">
        <f>ROUND(Saldos_Capital_Mensual!L63 + Saldos_Intereses_Mensual!L63, 2)</f>
        <v/>
      </c>
      <c r="J63" s="23">
        <f>ROUND(Saldos_Capital_Mensual!M63 + Saldos_Intereses_Mensual!M63, 2)</f>
        <v/>
      </c>
      <c r="K63" s="23">
        <f>ROUND(Saldos_Capital_Mensual!N63 + Saldos_Intereses_Mensual!N63, 2)</f>
        <v/>
      </c>
      <c r="L63" s="23">
        <f>ROUND(Saldos_Capital_Mensual!O63 + Saldos_Intereses_Mensual!O63, 2)</f>
        <v/>
      </c>
      <c r="M63" s="23">
        <f>ROUND(Saldos_Capital_Mensual!P63 + Saldos_Intereses_Mensual!P63, 2)</f>
        <v/>
      </c>
      <c r="N63" s="23">
        <f>ROUND(Saldos_Capital_Mensual!Q63 + Saldos_Intereses_Mensual!Q63, 2)</f>
        <v/>
      </c>
      <c r="O63" s="23">
        <f>ROUND(Saldos_Capital_Mensual!R63 + Saldos_Intereses_Mensual!R63, 2)</f>
        <v/>
      </c>
      <c r="P63" s="23">
        <f>ROUND(Saldos_Capital_Mensual!S63 + Saldos_Intereses_Mensual!S63, 2)</f>
        <v/>
      </c>
      <c r="Q63" s="23">
        <f>ROUND(Saldos_Capital_Mensual!T63 + Saldos_Intereses_Mensual!T63, 2)</f>
        <v/>
      </c>
      <c r="R63" s="23">
        <f>MAX(F63:Q63)</f>
        <v/>
      </c>
    </row>
    <row r="64">
      <c r="A64" s="26" t="inlineStr">
        <is>
          <t>0605-0003</t>
        </is>
      </c>
      <c r="B64" s="27" t="inlineStr">
        <is>
          <t>Nato Arquitectos Sa de Cv</t>
        </is>
      </c>
      <c r="C64" s="27" t="inlineStr">
        <is>
          <t>Ranger Crew Cab 4X4 XLT</t>
        </is>
      </c>
      <c r="D64" s="26" t="inlineStr">
        <is>
          <t>ACTIVO</t>
        </is>
      </c>
      <c r="E64" s="28" t="n">
        <v>24</v>
      </c>
      <c r="F64" s="29">
        <f>ROUND(Saldos_Capital_Mensual!I64 + Saldos_Intereses_Mensual!I64, 2)</f>
        <v/>
      </c>
      <c r="G64" s="29">
        <f>ROUND(Saldos_Capital_Mensual!J64 + Saldos_Intereses_Mensual!J64, 2)</f>
        <v/>
      </c>
      <c r="H64" s="29">
        <f>ROUND(Saldos_Capital_Mensual!K64 + Saldos_Intereses_Mensual!K64, 2)</f>
        <v/>
      </c>
      <c r="I64" s="29">
        <f>ROUND(Saldos_Capital_Mensual!L64 + Saldos_Intereses_Mensual!L64, 2)</f>
        <v/>
      </c>
      <c r="J64" s="29">
        <f>ROUND(Saldos_Capital_Mensual!M64 + Saldos_Intereses_Mensual!M64, 2)</f>
        <v/>
      </c>
      <c r="K64" s="29">
        <f>ROUND(Saldos_Capital_Mensual!N64 + Saldos_Intereses_Mensual!N64, 2)</f>
        <v/>
      </c>
      <c r="L64" s="29">
        <f>ROUND(Saldos_Capital_Mensual!O64 + Saldos_Intereses_Mensual!O64, 2)</f>
        <v/>
      </c>
      <c r="M64" s="29">
        <f>ROUND(Saldos_Capital_Mensual!P64 + Saldos_Intereses_Mensual!P64, 2)</f>
        <v/>
      </c>
      <c r="N64" s="29">
        <f>ROUND(Saldos_Capital_Mensual!Q64 + Saldos_Intereses_Mensual!Q64, 2)</f>
        <v/>
      </c>
      <c r="O64" s="29">
        <f>ROUND(Saldos_Capital_Mensual!R64 + Saldos_Intereses_Mensual!R64, 2)</f>
        <v/>
      </c>
      <c r="P64" s="29">
        <f>ROUND(Saldos_Capital_Mensual!S64 + Saldos_Intereses_Mensual!S64, 2)</f>
        <v/>
      </c>
      <c r="Q64" s="29">
        <f>ROUND(Saldos_Capital_Mensual!T64 + Saldos_Intereses_Mensual!T64, 2)</f>
        <v/>
      </c>
      <c r="R64" s="29">
        <f>MAX(F64:Q64)</f>
        <v/>
      </c>
    </row>
    <row r="65">
      <c r="A65" s="20" t="inlineStr">
        <is>
          <t>0605-0004</t>
        </is>
      </c>
      <c r="B65" s="21" t="inlineStr">
        <is>
          <t>Nato Arquitectos Sa de Cv</t>
        </is>
      </c>
      <c r="C65" s="21" t="inlineStr">
        <is>
          <t>COLORADO DOBLE CABINA PAQ. "C"</t>
        </is>
      </c>
      <c r="D65" s="20" t="inlineStr">
        <is>
          <t>ACTIVO</t>
        </is>
      </c>
      <c r="E65" s="22" t="n">
        <v>24</v>
      </c>
      <c r="F65" s="23">
        <f>ROUND(Saldos_Capital_Mensual!I65 + Saldos_Intereses_Mensual!I65, 2)</f>
        <v/>
      </c>
      <c r="G65" s="23">
        <f>ROUND(Saldos_Capital_Mensual!J65 + Saldos_Intereses_Mensual!J65, 2)</f>
        <v/>
      </c>
      <c r="H65" s="23">
        <f>ROUND(Saldos_Capital_Mensual!K65 + Saldos_Intereses_Mensual!K65, 2)</f>
        <v/>
      </c>
      <c r="I65" s="23">
        <f>ROUND(Saldos_Capital_Mensual!L65 + Saldos_Intereses_Mensual!L65, 2)</f>
        <v/>
      </c>
      <c r="J65" s="23">
        <f>ROUND(Saldos_Capital_Mensual!M65 + Saldos_Intereses_Mensual!M65, 2)</f>
        <v/>
      </c>
      <c r="K65" s="23">
        <f>ROUND(Saldos_Capital_Mensual!N65 + Saldos_Intereses_Mensual!N65, 2)</f>
        <v/>
      </c>
      <c r="L65" s="23">
        <f>ROUND(Saldos_Capital_Mensual!O65 + Saldos_Intereses_Mensual!O65, 2)</f>
        <v/>
      </c>
      <c r="M65" s="23">
        <f>ROUND(Saldos_Capital_Mensual!P65 + Saldos_Intereses_Mensual!P65, 2)</f>
        <v/>
      </c>
      <c r="N65" s="23">
        <f>ROUND(Saldos_Capital_Mensual!Q65 + Saldos_Intereses_Mensual!Q65, 2)</f>
        <v/>
      </c>
      <c r="O65" s="23">
        <f>ROUND(Saldos_Capital_Mensual!R65 + Saldos_Intereses_Mensual!R65, 2)</f>
        <v/>
      </c>
      <c r="P65" s="23">
        <f>ROUND(Saldos_Capital_Mensual!S65 + Saldos_Intereses_Mensual!S65, 2)</f>
        <v/>
      </c>
      <c r="Q65" s="23">
        <f>ROUND(Saldos_Capital_Mensual!T65 + Saldos_Intereses_Mensual!T65, 2)</f>
        <v/>
      </c>
      <c r="R65" s="23">
        <f>MAX(F65:Q65)</f>
        <v/>
      </c>
    </row>
    <row r="66">
      <c r="A66" s="26" t="inlineStr">
        <is>
          <t>0606-0002</t>
        </is>
      </c>
      <c r="B66" s="27" t="inlineStr">
        <is>
          <t>Mayoreo Automotriz ML S de Rl de CV</t>
        </is>
      </c>
      <c r="C66" s="27" t="inlineStr">
        <is>
          <t>Grand Cherokee 4xE</t>
        </is>
      </c>
      <c r="D66" s="26" t="inlineStr">
        <is>
          <t>ACTIVO</t>
        </is>
      </c>
      <c r="E66" s="28" t="n">
        <v>12</v>
      </c>
      <c r="F66" s="29" t="inlineStr"/>
      <c r="G66" s="29" t="inlineStr"/>
      <c r="H66" s="29">
        <f>ROUND(Saldos_Capital_Mensual!K66 + Saldos_Intereses_Mensual!K66, 2)</f>
        <v/>
      </c>
      <c r="I66" s="29">
        <f>ROUND(Saldos_Capital_Mensual!L66 + Saldos_Intereses_Mensual!L66, 2)</f>
        <v/>
      </c>
      <c r="J66" s="29">
        <f>ROUND(Saldos_Capital_Mensual!M66 + Saldos_Intereses_Mensual!M66, 2)</f>
        <v/>
      </c>
      <c r="K66" s="29">
        <f>ROUND(Saldos_Capital_Mensual!N66 + Saldos_Intereses_Mensual!N66, 2)</f>
        <v/>
      </c>
      <c r="L66" s="29">
        <f>ROUND(Saldos_Capital_Mensual!O66 + Saldos_Intereses_Mensual!O66, 2)</f>
        <v/>
      </c>
      <c r="M66" s="29">
        <f>ROUND(Saldos_Capital_Mensual!P66 + Saldos_Intereses_Mensual!P66, 2)</f>
        <v/>
      </c>
      <c r="N66" s="29">
        <f>ROUND(Saldos_Capital_Mensual!Q66 + Saldos_Intereses_Mensual!Q66, 2)</f>
        <v/>
      </c>
      <c r="O66" s="29">
        <f>ROUND(Saldos_Capital_Mensual!R66 + Saldos_Intereses_Mensual!R66, 2)</f>
        <v/>
      </c>
      <c r="P66" s="29">
        <f>ROUND(Saldos_Capital_Mensual!S66 + Saldos_Intereses_Mensual!S66, 2)</f>
        <v/>
      </c>
      <c r="Q66" s="29">
        <f>ROUND(Saldos_Capital_Mensual!T66 + Saldos_Intereses_Mensual!T66, 2)</f>
        <v/>
      </c>
      <c r="R66" s="29">
        <f>MAX(F66:Q66)</f>
        <v/>
      </c>
    </row>
    <row r="67">
      <c r="A67" s="20" t="inlineStr">
        <is>
          <t>0607-0004</t>
        </is>
      </c>
      <c r="B67" s="21" t="inlineStr">
        <is>
          <t>Jose Guadalupe Dueñas Lomeli</t>
        </is>
      </c>
      <c r="C67" s="21" t="inlineStr">
        <is>
          <t>Rifter Allure Pack</t>
        </is>
      </c>
      <c r="D67" s="20" t="inlineStr">
        <is>
          <t>ACTIVO</t>
        </is>
      </c>
      <c r="E67" s="22" t="n">
        <v>48</v>
      </c>
      <c r="F67" s="23">
        <f>ROUND(Saldos_Capital_Mensual!I67 + Saldos_Intereses_Mensual!I67, 2)</f>
        <v/>
      </c>
      <c r="G67" s="23">
        <f>ROUND(Saldos_Capital_Mensual!J67 + Saldos_Intereses_Mensual!J67, 2)</f>
        <v/>
      </c>
      <c r="H67" s="23">
        <f>ROUND(Saldos_Capital_Mensual!K67 + Saldos_Intereses_Mensual!K67, 2)</f>
        <v/>
      </c>
      <c r="I67" s="23">
        <f>ROUND(Saldos_Capital_Mensual!L67 + Saldos_Intereses_Mensual!L67, 2)</f>
        <v/>
      </c>
      <c r="J67" s="23">
        <f>ROUND(Saldos_Capital_Mensual!M67 + Saldos_Intereses_Mensual!M67, 2)</f>
        <v/>
      </c>
      <c r="K67" s="23">
        <f>ROUND(Saldos_Capital_Mensual!N67 + Saldos_Intereses_Mensual!N67, 2)</f>
        <v/>
      </c>
      <c r="L67" s="23">
        <f>ROUND(Saldos_Capital_Mensual!O67 + Saldos_Intereses_Mensual!O67, 2)</f>
        <v/>
      </c>
      <c r="M67" s="23">
        <f>ROUND(Saldos_Capital_Mensual!P67 + Saldos_Intereses_Mensual!P67, 2)</f>
        <v/>
      </c>
      <c r="N67" s="23">
        <f>ROUND(Saldos_Capital_Mensual!Q67 + Saldos_Intereses_Mensual!Q67, 2)</f>
        <v/>
      </c>
      <c r="O67" s="23">
        <f>ROUND(Saldos_Capital_Mensual!R67 + Saldos_Intereses_Mensual!R67, 2)</f>
        <v/>
      </c>
      <c r="P67" s="23">
        <f>ROUND(Saldos_Capital_Mensual!S67 + Saldos_Intereses_Mensual!S67, 2)</f>
        <v/>
      </c>
      <c r="Q67" s="23">
        <f>ROUND(Saldos_Capital_Mensual!T67 + Saldos_Intereses_Mensual!T67, 2)</f>
        <v/>
      </c>
      <c r="R67" s="23">
        <f>MAX(F67:Q67)</f>
        <v/>
      </c>
    </row>
    <row r="68">
      <c r="A68" s="26" t="inlineStr">
        <is>
          <t>0607-0005</t>
        </is>
      </c>
      <c r="B68" s="27" t="inlineStr">
        <is>
          <t>Jose Guadalupe Dueñas Lomeli</t>
        </is>
      </c>
      <c r="C68" s="27" t="inlineStr">
        <is>
          <t>Durango Hellcat SRT</t>
        </is>
      </c>
      <c r="D68" s="26" t="inlineStr">
        <is>
          <t>ACTIVO</t>
        </is>
      </c>
      <c r="E68" s="28" t="n">
        <v>36</v>
      </c>
      <c r="F68" s="29" t="inlineStr"/>
      <c r="G68" s="29">
        <f>ROUND(Saldos_Capital_Mensual!J68 + Saldos_Intereses_Mensual!J68, 2)</f>
        <v/>
      </c>
      <c r="H68" s="29">
        <f>ROUND(Saldos_Capital_Mensual!K68 + Saldos_Intereses_Mensual!K68, 2)</f>
        <v/>
      </c>
      <c r="I68" s="29">
        <f>ROUND(Saldos_Capital_Mensual!L68 + Saldos_Intereses_Mensual!L68, 2)</f>
        <v/>
      </c>
      <c r="J68" s="29">
        <f>ROUND(Saldos_Capital_Mensual!M68 + Saldos_Intereses_Mensual!M68, 2)</f>
        <v/>
      </c>
      <c r="K68" s="29">
        <f>ROUND(Saldos_Capital_Mensual!N68 + Saldos_Intereses_Mensual!N68, 2)</f>
        <v/>
      </c>
      <c r="L68" s="29">
        <f>ROUND(Saldos_Capital_Mensual!O68 + Saldos_Intereses_Mensual!O68, 2)</f>
        <v/>
      </c>
      <c r="M68" s="29">
        <f>ROUND(Saldos_Capital_Mensual!P68 + Saldos_Intereses_Mensual!P68, 2)</f>
        <v/>
      </c>
      <c r="N68" s="29">
        <f>ROUND(Saldos_Capital_Mensual!Q68 + Saldos_Intereses_Mensual!Q68, 2)</f>
        <v/>
      </c>
      <c r="O68" s="29">
        <f>ROUND(Saldos_Capital_Mensual!R68 + Saldos_Intereses_Mensual!R68, 2)</f>
        <v/>
      </c>
      <c r="P68" s="29">
        <f>ROUND(Saldos_Capital_Mensual!S68 + Saldos_Intereses_Mensual!S68, 2)</f>
        <v/>
      </c>
      <c r="Q68" s="29">
        <f>ROUND(Saldos_Capital_Mensual!T68 + Saldos_Intereses_Mensual!T68, 2)</f>
        <v/>
      </c>
      <c r="R68" s="29">
        <f>MAX(F68:Q68)</f>
        <v/>
      </c>
    </row>
    <row r="69">
      <c r="A69" s="20" t="inlineStr">
        <is>
          <t>0610-0003</t>
        </is>
      </c>
      <c r="B69" s="21" t="inlineStr">
        <is>
          <t>Minelaza</t>
        </is>
      </c>
      <c r="C69" s="21" t="inlineStr">
        <is>
          <t>Song Plus</t>
        </is>
      </c>
      <c r="D69" s="20" t="inlineStr">
        <is>
          <t>ACTIVO</t>
        </is>
      </c>
      <c r="E69" s="22" t="n">
        <v>36</v>
      </c>
      <c r="F69" s="23" t="inlineStr"/>
      <c r="G69" s="23" t="inlineStr"/>
      <c r="H69" s="23" t="inlineStr"/>
      <c r="I69" s="23">
        <f>ROUND(Saldos_Capital_Mensual!L69 + Saldos_Intereses_Mensual!L69, 2)</f>
        <v/>
      </c>
      <c r="J69" s="23">
        <f>ROUND(Saldos_Capital_Mensual!M69 + Saldos_Intereses_Mensual!M69, 2)</f>
        <v/>
      </c>
      <c r="K69" s="23">
        <f>ROUND(Saldos_Capital_Mensual!N69 + Saldos_Intereses_Mensual!N69, 2)</f>
        <v/>
      </c>
      <c r="L69" s="23">
        <f>ROUND(Saldos_Capital_Mensual!O69 + Saldos_Intereses_Mensual!O69, 2)</f>
        <v/>
      </c>
      <c r="M69" s="23">
        <f>ROUND(Saldos_Capital_Mensual!P69 + Saldos_Intereses_Mensual!P69, 2)</f>
        <v/>
      </c>
      <c r="N69" s="23">
        <f>ROUND(Saldos_Capital_Mensual!Q69 + Saldos_Intereses_Mensual!Q69, 2)</f>
        <v/>
      </c>
      <c r="O69" s="23">
        <f>ROUND(Saldos_Capital_Mensual!R69 + Saldos_Intereses_Mensual!R69, 2)</f>
        <v/>
      </c>
      <c r="P69" s="23">
        <f>ROUND(Saldos_Capital_Mensual!S69 + Saldos_Intereses_Mensual!S69, 2)</f>
        <v/>
      </c>
      <c r="Q69" s="23">
        <f>ROUND(Saldos_Capital_Mensual!T69 + Saldos_Intereses_Mensual!T69, 2)</f>
        <v/>
      </c>
      <c r="R69" s="23">
        <f>MAX(F69:Q69)</f>
        <v/>
      </c>
    </row>
    <row r="70">
      <c r="A70" s="26" t="inlineStr">
        <is>
          <t>0612-0002</t>
        </is>
      </c>
      <c r="B70" s="27" t="inlineStr">
        <is>
          <t>Distribuidora Lopez Moctezuma Sa de Cv</t>
        </is>
      </c>
      <c r="C70" s="27" t="inlineStr">
        <is>
          <t>Ram 700 Tradesman</t>
        </is>
      </c>
      <c r="D70" s="26" t="inlineStr">
        <is>
          <t>ACTIVO</t>
        </is>
      </c>
      <c r="E70" s="28" t="n">
        <v>36</v>
      </c>
      <c r="F70" s="29">
        <f>ROUND(Saldos_Capital_Mensual!I70 + Saldos_Intereses_Mensual!I70, 2)</f>
        <v/>
      </c>
      <c r="G70" s="29">
        <f>ROUND(Saldos_Capital_Mensual!J70 + Saldos_Intereses_Mensual!J70, 2)</f>
        <v/>
      </c>
      <c r="H70" s="29">
        <f>ROUND(Saldos_Capital_Mensual!K70 + Saldos_Intereses_Mensual!K70, 2)</f>
        <v/>
      </c>
      <c r="I70" s="29">
        <f>ROUND(Saldos_Capital_Mensual!L70 + Saldos_Intereses_Mensual!L70, 2)</f>
        <v/>
      </c>
      <c r="J70" s="29">
        <f>ROUND(Saldos_Capital_Mensual!M70 + Saldos_Intereses_Mensual!M70, 2)</f>
        <v/>
      </c>
      <c r="K70" s="29">
        <f>ROUND(Saldos_Capital_Mensual!N70 + Saldos_Intereses_Mensual!N70, 2)</f>
        <v/>
      </c>
      <c r="L70" s="29">
        <f>ROUND(Saldos_Capital_Mensual!O70 + Saldos_Intereses_Mensual!O70, 2)</f>
        <v/>
      </c>
      <c r="M70" s="29">
        <f>ROUND(Saldos_Capital_Mensual!P70 + Saldos_Intereses_Mensual!P70, 2)</f>
        <v/>
      </c>
      <c r="N70" s="29">
        <f>ROUND(Saldos_Capital_Mensual!Q70 + Saldos_Intereses_Mensual!Q70, 2)</f>
        <v/>
      </c>
      <c r="O70" s="29">
        <f>ROUND(Saldos_Capital_Mensual!R70 + Saldos_Intereses_Mensual!R70, 2)</f>
        <v/>
      </c>
      <c r="P70" s="29">
        <f>ROUND(Saldos_Capital_Mensual!S70 + Saldos_Intereses_Mensual!S70, 2)</f>
        <v/>
      </c>
      <c r="Q70" s="29">
        <f>ROUND(Saldos_Capital_Mensual!T70 + Saldos_Intereses_Mensual!T70, 2)</f>
        <v/>
      </c>
      <c r="R70" s="29">
        <f>MAX(F70:Q70)</f>
        <v/>
      </c>
    </row>
    <row r="71">
      <c r="A71" s="20" t="inlineStr">
        <is>
          <t>0612-0003</t>
        </is>
      </c>
      <c r="B71" s="21" t="inlineStr">
        <is>
          <t>Distribuidora Lopez Moctezuma Sa de Cv</t>
        </is>
      </c>
      <c r="C71" s="21" t="inlineStr">
        <is>
          <t>Mitsubishi Xpander 2026</t>
        </is>
      </c>
      <c r="D71" s="20" t="inlineStr">
        <is>
          <t>ACTIVO</t>
        </is>
      </c>
      <c r="E71" s="22" t="n">
        <v>48</v>
      </c>
      <c r="F71" s="23" t="inlineStr"/>
      <c r="G71" s="23" t="inlineStr"/>
      <c r="H71" s="23" t="inlineStr"/>
      <c r="I71" s="23" t="inlineStr"/>
      <c r="J71" s="23" t="inlineStr"/>
      <c r="K71" s="23" t="inlineStr"/>
      <c r="L71" s="23">
        <f>ROUND(Saldos_Capital_Mensual!O71 + Saldos_Intereses_Mensual!O71, 2)</f>
        <v/>
      </c>
      <c r="M71" s="23">
        <f>ROUND(Saldos_Capital_Mensual!P71 + Saldos_Intereses_Mensual!P71, 2)</f>
        <v/>
      </c>
      <c r="N71" s="23">
        <f>ROUND(Saldos_Capital_Mensual!Q71 + Saldos_Intereses_Mensual!Q71, 2)</f>
        <v/>
      </c>
      <c r="O71" s="23">
        <f>ROUND(Saldos_Capital_Mensual!R71 + Saldos_Intereses_Mensual!R71, 2)</f>
        <v/>
      </c>
      <c r="P71" s="23">
        <f>ROUND(Saldos_Capital_Mensual!S71 + Saldos_Intereses_Mensual!S71, 2)</f>
        <v/>
      </c>
      <c r="Q71" s="23">
        <f>ROUND(Saldos_Capital_Mensual!T71 + Saldos_Intereses_Mensual!T71, 2)</f>
        <v/>
      </c>
      <c r="R71" s="23">
        <f>MAX(F71:Q71)</f>
        <v/>
      </c>
    </row>
    <row r="72">
      <c r="A72" s="26" t="inlineStr">
        <is>
          <t>0616-0002</t>
        </is>
      </c>
      <c r="B72" s="27" t="inlineStr">
        <is>
          <t>Commerce and Technology Connection Sas de Cv</t>
        </is>
      </c>
      <c r="C72" s="27" t="inlineStr">
        <is>
          <t>RAM 700 BIG HORN</t>
        </is>
      </c>
      <c r="D72" s="26" t="inlineStr">
        <is>
          <t>ACTIVO</t>
        </is>
      </c>
      <c r="E72" s="28" t="n">
        <v>36</v>
      </c>
      <c r="F72" s="29">
        <f>ROUND(Saldos_Capital_Mensual!I72 + Saldos_Intereses_Mensual!I72, 2)</f>
        <v/>
      </c>
      <c r="G72" s="29">
        <f>ROUND(Saldos_Capital_Mensual!J72 + Saldos_Intereses_Mensual!J72, 2)</f>
        <v/>
      </c>
      <c r="H72" s="29">
        <f>ROUND(Saldos_Capital_Mensual!K72 + Saldos_Intereses_Mensual!K72, 2)</f>
        <v/>
      </c>
      <c r="I72" s="29">
        <f>ROUND(Saldos_Capital_Mensual!L72 + Saldos_Intereses_Mensual!L72, 2)</f>
        <v/>
      </c>
      <c r="J72" s="29">
        <f>ROUND(Saldos_Capital_Mensual!M72 + Saldos_Intereses_Mensual!M72, 2)</f>
        <v/>
      </c>
      <c r="K72" s="29">
        <f>ROUND(Saldos_Capital_Mensual!N72 + Saldos_Intereses_Mensual!N72, 2)</f>
        <v/>
      </c>
      <c r="L72" s="29">
        <f>ROUND(Saldos_Capital_Mensual!O72 + Saldos_Intereses_Mensual!O72, 2)</f>
        <v/>
      </c>
      <c r="M72" s="29">
        <f>ROUND(Saldos_Capital_Mensual!P72 + Saldos_Intereses_Mensual!P72, 2)</f>
        <v/>
      </c>
      <c r="N72" s="29">
        <f>ROUND(Saldos_Capital_Mensual!Q72 + Saldos_Intereses_Mensual!Q72, 2)</f>
        <v/>
      </c>
      <c r="O72" s="29">
        <f>ROUND(Saldos_Capital_Mensual!R72 + Saldos_Intereses_Mensual!R72, 2)</f>
        <v/>
      </c>
      <c r="P72" s="29">
        <f>ROUND(Saldos_Capital_Mensual!S72 + Saldos_Intereses_Mensual!S72, 2)</f>
        <v/>
      </c>
      <c r="Q72" s="29">
        <f>ROUND(Saldos_Capital_Mensual!T72 + Saldos_Intereses_Mensual!T72, 2)</f>
        <v/>
      </c>
      <c r="R72" s="29">
        <f>MAX(F72:Q72)</f>
        <v/>
      </c>
    </row>
    <row r="73">
      <c r="A73" s="20" t="inlineStr">
        <is>
          <t>0616-0003</t>
        </is>
      </c>
      <c r="B73" s="21" t="inlineStr">
        <is>
          <t>Commerce and Technology Connection Sas de Cv</t>
        </is>
      </c>
      <c r="C73" s="21" t="inlineStr">
        <is>
          <t>FASTBACK</t>
        </is>
      </c>
      <c r="D73" s="20" t="inlineStr">
        <is>
          <t>ACTIVO</t>
        </is>
      </c>
      <c r="E73" s="22" t="n">
        <v>36</v>
      </c>
      <c r="F73" s="23">
        <f>ROUND(Saldos_Capital_Mensual!I73 + Saldos_Intereses_Mensual!I73, 2)</f>
        <v/>
      </c>
      <c r="G73" s="23">
        <f>ROUND(Saldos_Capital_Mensual!J73 + Saldos_Intereses_Mensual!J73, 2)</f>
        <v/>
      </c>
      <c r="H73" s="23">
        <f>ROUND(Saldos_Capital_Mensual!K73 + Saldos_Intereses_Mensual!K73, 2)</f>
        <v/>
      </c>
      <c r="I73" s="23">
        <f>ROUND(Saldos_Capital_Mensual!L73 + Saldos_Intereses_Mensual!L73, 2)</f>
        <v/>
      </c>
      <c r="J73" s="23">
        <f>ROUND(Saldos_Capital_Mensual!M73 + Saldos_Intereses_Mensual!M73, 2)</f>
        <v/>
      </c>
      <c r="K73" s="23">
        <f>ROUND(Saldos_Capital_Mensual!N73 + Saldos_Intereses_Mensual!N73, 2)</f>
        <v/>
      </c>
      <c r="L73" s="23">
        <f>ROUND(Saldos_Capital_Mensual!O73 + Saldos_Intereses_Mensual!O73, 2)</f>
        <v/>
      </c>
      <c r="M73" s="23">
        <f>ROUND(Saldos_Capital_Mensual!P73 + Saldos_Intereses_Mensual!P73, 2)</f>
        <v/>
      </c>
      <c r="N73" s="23">
        <f>ROUND(Saldos_Capital_Mensual!Q73 + Saldos_Intereses_Mensual!Q73, 2)</f>
        <v/>
      </c>
      <c r="O73" s="23">
        <f>ROUND(Saldos_Capital_Mensual!R73 + Saldos_Intereses_Mensual!R73, 2)</f>
        <v/>
      </c>
      <c r="P73" s="23">
        <f>ROUND(Saldos_Capital_Mensual!S73 + Saldos_Intereses_Mensual!S73, 2)</f>
        <v/>
      </c>
      <c r="Q73" s="23">
        <f>ROUND(Saldos_Capital_Mensual!T73 + Saldos_Intereses_Mensual!T73, 2)</f>
        <v/>
      </c>
      <c r="R73" s="23">
        <f>MAX(F73:Q73)</f>
        <v/>
      </c>
    </row>
    <row r="74">
      <c r="A74" s="26" t="inlineStr">
        <is>
          <t>0616-0004</t>
        </is>
      </c>
      <c r="B74" s="27" t="inlineStr">
        <is>
          <t>Commerce and Technology Connections Sas de Cv</t>
        </is>
      </c>
      <c r="C74" s="27" t="inlineStr">
        <is>
          <t>Argo</t>
        </is>
      </c>
      <c r="D74" s="26" t="inlineStr">
        <is>
          <t>ACTIVO</t>
        </is>
      </c>
      <c r="E74" s="28" t="n">
        <v>36</v>
      </c>
      <c r="F74" s="29">
        <f>ROUND(Saldos_Capital_Mensual!I74 + Saldos_Intereses_Mensual!I74, 2)</f>
        <v/>
      </c>
      <c r="G74" s="29">
        <f>ROUND(Saldos_Capital_Mensual!J74 + Saldos_Intereses_Mensual!J74, 2)</f>
        <v/>
      </c>
      <c r="H74" s="29">
        <f>ROUND(Saldos_Capital_Mensual!K74 + Saldos_Intereses_Mensual!K74, 2)</f>
        <v/>
      </c>
      <c r="I74" s="29">
        <f>ROUND(Saldos_Capital_Mensual!L74 + Saldos_Intereses_Mensual!L74, 2)</f>
        <v/>
      </c>
      <c r="J74" s="29">
        <f>ROUND(Saldos_Capital_Mensual!M74 + Saldos_Intereses_Mensual!M74, 2)</f>
        <v/>
      </c>
      <c r="K74" s="29">
        <f>ROUND(Saldos_Capital_Mensual!N74 + Saldos_Intereses_Mensual!N74, 2)</f>
        <v/>
      </c>
      <c r="L74" s="29">
        <f>ROUND(Saldos_Capital_Mensual!O74 + Saldos_Intereses_Mensual!O74, 2)</f>
        <v/>
      </c>
      <c r="M74" s="29">
        <f>ROUND(Saldos_Capital_Mensual!P74 + Saldos_Intereses_Mensual!P74, 2)</f>
        <v/>
      </c>
      <c r="N74" s="29">
        <f>ROUND(Saldos_Capital_Mensual!Q74 + Saldos_Intereses_Mensual!Q74, 2)</f>
        <v/>
      </c>
      <c r="O74" s="29">
        <f>ROUND(Saldos_Capital_Mensual!R74 + Saldos_Intereses_Mensual!R74, 2)</f>
        <v/>
      </c>
      <c r="P74" s="29">
        <f>ROUND(Saldos_Capital_Mensual!S74 + Saldos_Intereses_Mensual!S74, 2)</f>
        <v/>
      </c>
      <c r="Q74" s="29">
        <f>ROUND(Saldos_Capital_Mensual!T74 + Saldos_Intereses_Mensual!T74, 2)</f>
        <v/>
      </c>
      <c r="R74" s="29">
        <f>MAX(F74:Q74)</f>
        <v/>
      </c>
    </row>
    <row r="75">
      <c r="A75" s="20" t="inlineStr">
        <is>
          <t>0616-0005</t>
        </is>
      </c>
      <c r="B75" s="21" t="inlineStr">
        <is>
          <t>Commerce and Technology Connection Sas de Cv</t>
        </is>
      </c>
      <c r="C75" s="21" t="inlineStr">
        <is>
          <t>Journey GT</t>
        </is>
      </c>
      <c r="D75" s="20" t="inlineStr">
        <is>
          <t>ACTIVO</t>
        </is>
      </c>
      <c r="E75" s="22" t="n">
        <v>36</v>
      </c>
      <c r="F75" s="23">
        <f>ROUND(Saldos_Capital_Mensual!I75 + Saldos_Intereses_Mensual!I75, 2)</f>
        <v/>
      </c>
      <c r="G75" s="23">
        <f>ROUND(Saldos_Capital_Mensual!J75 + Saldos_Intereses_Mensual!J75, 2)</f>
        <v/>
      </c>
      <c r="H75" s="23">
        <f>ROUND(Saldos_Capital_Mensual!K75 + Saldos_Intereses_Mensual!K75, 2)</f>
        <v/>
      </c>
      <c r="I75" s="23">
        <f>ROUND(Saldos_Capital_Mensual!L75 + Saldos_Intereses_Mensual!L75, 2)</f>
        <v/>
      </c>
      <c r="J75" s="23">
        <f>ROUND(Saldos_Capital_Mensual!M75 + Saldos_Intereses_Mensual!M75, 2)</f>
        <v/>
      </c>
      <c r="K75" s="23">
        <f>ROUND(Saldos_Capital_Mensual!N75 + Saldos_Intereses_Mensual!N75, 2)</f>
        <v/>
      </c>
      <c r="L75" s="23">
        <f>ROUND(Saldos_Capital_Mensual!O75 + Saldos_Intereses_Mensual!O75, 2)</f>
        <v/>
      </c>
      <c r="M75" s="23">
        <f>ROUND(Saldos_Capital_Mensual!P75 + Saldos_Intereses_Mensual!P75, 2)</f>
        <v/>
      </c>
      <c r="N75" s="23">
        <f>ROUND(Saldos_Capital_Mensual!Q75 + Saldos_Intereses_Mensual!Q75, 2)</f>
        <v/>
      </c>
      <c r="O75" s="23">
        <f>ROUND(Saldos_Capital_Mensual!R75 + Saldos_Intereses_Mensual!R75, 2)</f>
        <v/>
      </c>
      <c r="P75" s="23">
        <f>ROUND(Saldos_Capital_Mensual!S75 + Saldos_Intereses_Mensual!S75, 2)</f>
        <v/>
      </c>
      <c r="Q75" s="23">
        <f>ROUND(Saldos_Capital_Mensual!T75 + Saldos_Intereses_Mensual!T75, 2)</f>
        <v/>
      </c>
      <c r="R75" s="23">
        <f>MAX(F75:Q75)</f>
        <v/>
      </c>
    </row>
    <row r="76">
      <c r="A76" s="26" t="inlineStr">
        <is>
          <t>0618-0001</t>
        </is>
      </c>
      <c r="B76" s="27" t="inlineStr">
        <is>
          <t>Juan Pablo Rodriguez Garcia</t>
        </is>
      </c>
      <c r="C76" s="27" t="inlineStr">
        <is>
          <t>JT MOJAVE</t>
        </is>
      </c>
      <c r="D76" s="26" t="inlineStr">
        <is>
          <t>ACTIVO</t>
        </is>
      </c>
      <c r="E76" s="28" t="n">
        <v>48</v>
      </c>
      <c r="F76" s="29">
        <f>ROUND(Saldos_Capital_Mensual!I76 + Saldos_Intereses_Mensual!I76, 2)</f>
        <v/>
      </c>
      <c r="G76" s="29">
        <f>ROUND(Saldos_Capital_Mensual!J76 + Saldos_Intereses_Mensual!J76, 2)</f>
        <v/>
      </c>
      <c r="H76" s="29">
        <f>ROUND(Saldos_Capital_Mensual!K76 + Saldos_Intereses_Mensual!K76, 2)</f>
        <v/>
      </c>
      <c r="I76" s="29">
        <f>ROUND(Saldos_Capital_Mensual!L76 + Saldos_Intereses_Mensual!L76, 2)</f>
        <v/>
      </c>
      <c r="J76" s="29">
        <f>ROUND(Saldos_Capital_Mensual!M76 + Saldos_Intereses_Mensual!M76, 2)</f>
        <v/>
      </c>
      <c r="K76" s="29">
        <f>ROUND(Saldos_Capital_Mensual!N76 + Saldos_Intereses_Mensual!N76, 2)</f>
        <v/>
      </c>
      <c r="L76" s="29">
        <f>ROUND(Saldos_Capital_Mensual!O76 + Saldos_Intereses_Mensual!O76, 2)</f>
        <v/>
      </c>
      <c r="M76" s="29">
        <f>ROUND(Saldos_Capital_Mensual!P76 + Saldos_Intereses_Mensual!P76, 2)</f>
        <v/>
      </c>
      <c r="N76" s="29">
        <f>ROUND(Saldos_Capital_Mensual!Q76 + Saldos_Intereses_Mensual!Q76, 2)</f>
        <v/>
      </c>
      <c r="O76" s="29">
        <f>ROUND(Saldos_Capital_Mensual!R76 + Saldos_Intereses_Mensual!R76, 2)</f>
        <v/>
      </c>
      <c r="P76" s="29">
        <f>ROUND(Saldos_Capital_Mensual!S76 + Saldos_Intereses_Mensual!S76, 2)</f>
        <v/>
      </c>
      <c r="Q76" s="29">
        <f>ROUND(Saldos_Capital_Mensual!T76 + Saldos_Intereses_Mensual!T76, 2)</f>
        <v/>
      </c>
      <c r="R76" s="29">
        <f>MAX(F76:Q76)</f>
        <v/>
      </c>
    </row>
    <row r="77">
      <c r="A77" s="20" t="inlineStr">
        <is>
          <t>0619-0002</t>
        </is>
      </c>
      <c r="B77" s="21" t="inlineStr">
        <is>
          <t>Horacio de la Vega Flores</t>
        </is>
      </c>
      <c r="C77" s="21" t="inlineStr">
        <is>
          <t>Bronco Sport</t>
        </is>
      </c>
      <c r="D77" s="20" t="inlineStr">
        <is>
          <t>ACTIVO</t>
        </is>
      </c>
      <c r="E77" s="22" t="n">
        <v>36</v>
      </c>
      <c r="F77" s="23">
        <f>ROUND(Saldos_Capital_Mensual!I77 + Saldos_Intereses_Mensual!I77, 2)</f>
        <v/>
      </c>
      <c r="G77" s="23">
        <f>ROUND(Saldos_Capital_Mensual!J77 + Saldos_Intereses_Mensual!J77, 2)</f>
        <v/>
      </c>
      <c r="H77" s="23">
        <f>ROUND(Saldos_Capital_Mensual!K77 + Saldos_Intereses_Mensual!K77, 2)</f>
        <v/>
      </c>
      <c r="I77" s="23">
        <f>ROUND(Saldos_Capital_Mensual!L77 + Saldos_Intereses_Mensual!L77, 2)</f>
        <v/>
      </c>
      <c r="J77" s="23">
        <f>ROUND(Saldos_Capital_Mensual!M77 + Saldos_Intereses_Mensual!M77, 2)</f>
        <v/>
      </c>
      <c r="K77" s="23">
        <f>ROUND(Saldos_Capital_Mensual!N77 + Saldos_Intereses_Mensual!N77, 2)</f>
        <v/>
      </c>
      <c r="L77" s="23">
        <f>ROUND(Saldos_Capital_Mensual!O77 + Saldos_Intereses_Mensual!O77, 2)</f>
        <v/>
      </c>
      <c r="M77" s="23">
        <f>ROUND(Saldos_Capital_Mensual!P77 + Saldos_Intereses_Mensual!P77, 2)</f>
        <v/>
      </c>
      <c r="N77" s="23">
        <f>ROUND(Saldos_Capital_Mensual!Q77 + Saldos_Intereses_Mensual!Q77, 2)</f>
        <v/>
      </c>
      <c r="O77" s="23">
        <f>ROUND(Saldos_Capital_Mensual!R77 + Saldos_Intereses_Mensual!R77, 2)</f>
        <v/>
      </c>
      <c r="P77" s="23">
        <f>ROUND(Saldos_Capital_Mensual!S77 + Saldos_Intereses_Mensual!S77, 2)</f>
        <v/>
      </c>
      <c r="Q77" s="23">
        <f>ROUND(Saldos_Capital_Mensual!T77 + Saldos_Intereses_Mensual!T77, 2)</f>
        <v/>
      </c>
      <c r="R77" s="23">
        <f>MAX(F77:Q77)</f>
        <v/>
      </c>
    </row>
    <row r="78">
      <c r="A78" s="26" t="inlineStr">
        <is>
          <t>0620-0001</t>
        </is>
      </c>
      <c r="B78" s="27" t="inlineStr">
        <is>
          <t>Desarrollos Romo Srl de Cv</t>
        </is>
      </c>
      <c r="C78" s="27" t="inlineStr">
        <is>
          <t>RAM 700 BIG HORN</t>
        </is>
      </c>
      <c r="D78" s="26" t="inlineStr">
        <is>
          <t>ACTIVO</t>
        </is>
      </c>
      <c r="E78" s="28" t="n">
        <v>48</v>
      </c>
      <c r="F78" s="29">
        <f>ROUND(Saldos_Capital_Mensual!I78 + Saldos_Intereses_Mensual!I78, 2)</f>
        <v/>
      </c>
      <c r="G78" s="29">
        <f>ROUND(Saldos_Capital_Mensual!J78 + Saldos_Intereses_Mensual!J78, 2)</f>
        <v/>
      </c>
      <c r="H78" s="29">
        <f>ROUND(Saldos_Capital_Mensual!K78 + Saldos_Intereses_Mensual!K78, 2)</f>
        <v/>
      </c>
      <c r="I78" s="29">
        <f>ROUND(Saldos_Capital_Mensual!L78 + Saldos_Intereses_Mensual!L78, 2)</f>
        <v/>
      </c>
      <c r="J78" s="29">
        <f>ROUND(Saldos_Capital_Mensual!M78 + Saldos_Intereses_Mensual!M78, 2)</f>
        <v/>
      </c>
      <c r="K78" s="29">
        <f>ROUND(Saldos_Capital_Mensual!N78 + Saldos_Intereses_Mensual!N78, 2)</f>
        <v/>
      </c>
      <c r="L78" s="29">
        <f>ROUND(Saldos_Capital_Mensual!O78 + Saldos_Intereses_Mensual!O78, 2)</f>
        <v/>
      </c>
      <c r="M78" s="29">
        <f>ROUND(Saldos_Capital_Mensual!P78 + Saldos_Intereses_Mensual!P78, 2)</f>
        <v/>
      </c>
      <c r="N78" s="29">
        <f>ROUND(Saldos_Capital_Mensual!Q78 + Saldos_Intereses_Mensual!Q78, 2)</f>
        <v/>
      </c>
      <c r="O78" s="29">
        <f>ROUND(Saldos_Capital_Mensual!R78 + Saldos_Intereses_Mensual!R78, 2)</f>
        <v/>
      </c>
      <c r="P78" s="29">
        <f>ROUND(Saldos_Capital_Mensual!S78 + Saldos_Intereses_Mensual!S78, 2)</f>
        <v/>
      </c>
      <c r="Q78" s="29">
        <f>ROUND(Saldos_Capital_Mensual!T78 + Saldos_Intereses_Mensual!T78, 2)</f>
        <v/>
      </c>
      <c r="R78" s="29">
        <f>MAX(F78:Q78)</f>
        <v/>
      </c>
    </row>
    <row r="79">
      <c r="A79" s="20" t="inlineStr">
        <is>
          <t>0620-0002</t>
        </is>
      </c>
      <c r="B79" s="21" t="inlineStr">
        <is>
          <t>Desarrollos Romo Srl de Cv</t>
        </is>
      </c>
      <c r="C79" s="21" t="inlineStr">
        <is>
          <t>RAM 700 BIG HORN</t>
        </is>
      </c>
      <c r="D79" s="20" t="inlineStr">
        <is>
          <t>ACTIVO</t>
        </is>
      </c>
      <c r="E79" s="22" t="n">
        <v>48</v>
      </c>
      <c r="F79" s="23">
        <f>ROUND(Saldos_Capital_Mensual!I79 + Saldos_Intereses_Mensual!I79, 2)</f>
        <v/>
      </c>
      <c r="G79" s="23">
        <f>ROUND(Saldos_Capital_Mensual!J79 + Saldos_Intereses_Mensual!J79, 2)</f>
        <v/>
      </c>
      <c r="H79" s="23">
        <f>ROUND(Saldos_Capital_Mensual!K79 + Saldos_Intereses_Mensual!K79, 2)</f>
        <v/>
      </c>
      <c r="I79" s="23">
        <f>ROUND(Saldos_Capital_Mensual!L79 + Saldos_Intereses_Mensual!L79, 2)</f>
        <v/>
      </c>
      <c r="J79" s="23">
        <f>ROUND(Saldos_Capital_Mensual!M79 + Saldos_Intereses_Mensual!M79, 2)</f>
        <v/>
      </c>
      <c r="K79" s="23">
        <f>ROUND(Saldos_Capital_Mensual!N79 + Saldos_Intereses_Mensual!N79, 2)</f>
        <v/>
      </c>
      <c r="L79" s="23">
        <f>ROUND(Saldos_Capital_Mensual!O79 + Saldos_Intereses_Mensual!O79, 2)</f>
        <v/>
      </c>
      <c r="M79" s="23">
        <f>ROUND(Saldos_Capital_Mensual!P79 + Saldos_Intereses_Mensual!P79, 2)</f>
        <v/>
      </c>
      <c r="N79" s="23">
        <f>ROUND(Saldos_Capital_Mensual!Q79 + Saldos_Intereses_Mensual!Q79, 2)</f>
        <v/>
      </c>
      <c r="O79" s="23">
        <f>ROUND(Saldos_Capital_Mensual!R79 + Saldos_Intereses_Mensual!R79, 2)</f>
        <v/>
      </c>
      <c r="P79" s="23">
        <f>ROUND(Saldos_Capital_Mensual!S79 + Saldos_Intereses_Mensual!S79, 2)</f>
        <v/>
      </c>
      <c r="Q79" s="23">
        <f>ROUND(Saldos_Capital_Mensual!T79 + Saldos_Intereses_Mensual!T79, 2)</f>
        <v/>
      </c>
      <c r="R79" s="23">
        <f>MAX(F79:Q79)</f>
        <v/>
      </c>
    </row>
    <row r="80">
      <c r="A80" s="26" t="inlineStr">
        <is>
          <t>0621-0008</t>
        </is>
      </c>
      <c r="B80" s="27" t="inlineStr">
        <is>
          <t>Luis Alberto Ponce Ruiz</t>
        </is>
      </c>
      <c r="C80" s="27" t="inlineStr">
        <is>
          <t>Hilux</t>
        </is>
      </c>
      <c r="D80" s="26" t="inlineStr">
        <is>
          <t>ACTIVO</t>
        </is>
      </c>
      <c r="E80" s="28" t="n">
        <v>12</v>
      </c>
      <c r="F80" s="29">
        <f>ROUND(Saldos_Capital_Mensual!I80 + Saldos_Intereses_Mensual!I80, 2)</f>
        <v/>
      </c>
      <c r="G80" s="29">
        <f>ROUND(Saldos_Capital_Mensual!J80 + Saldos_Intereses_Mensual!J80, 2)</f>
        <v/>
      </c>
      <c r="H80" s="29">
        <f>ROUND(Saldos_Capital_Mensual!K80 + Saldos_Intereses_Mensual!K80, 2)</f>
        <v/>
      </c>
      <c r="I80" s="29">
        <f>ROUND(Saldos_Capital_Mensual!L80 + Saldos_Intereses_Mensual!L80, 2)</f>
        <v/>
      </c>
      <c r="J80" s="29">
        <f>ROUND(Saldos_Capital_Mensual!M80 + Saldos_Intereses_Mensual!M80, 2)</f>
        <v/>
      </c>
      <c r="K80" s="29">
        <f>ROUND(Saldos_Capital_Mensual!N80 + Saldos_Intereses_Mensual!N80, 2)</f>
        <v/>
      </c>
      <c r="L80" s="29">
        <f>ROUND(Saldos_Capital_Mensual!O80 + Saldos_Intereses_Mensual!O80, 2)</f>
        <v/>
      </c>
      <c r="M80" s="29">
        <f>ROUND(Saldos_Capital_Mensual!P80 + Saldos_Intereses_Mensual!P80, 2)</f>
        <v/>
      </c>
      <c r="N80" s="29">
        <f>ROUND(Saldos_Capital_Mensual!Q80 + Saldos_Intereses_Mensual!Q80, 2)</f>
        <v/>
      </c>
      <c r="O80" s="29" t="inlineStr"/>
      <c r="P80" s="29" t="inlineStr"/>
      <c r="Q80" s="29" t="inlineStr"/>
      <c r="R80" s="29">
        <f>MAX(F80:Q80)</f>
        <v/>
      </c>
    </row>
    <row r="81">
      <c r="A81" s="20" t="inlineStr">
        <is>
          <t>0623-0001</t>
        </is>
      </c>
      <c r="B81" s="21" t="inlineStr">
        <is>
          <t>Seguridad y Automatismos Profesionales de Occidente S de SRL de Cv</t>
        </is>
      </c>
      <c r="C81" s="21" t="inlineStr">
        <is>
          <t>RAM 700 BIG HORN</t>
        </is>
      </c>
      <c r="D81" s="20" t="inlineStr">
        <is>
          <t>ACTIVO</t>
        </is>
      </c>
      <c r="E81" s="22" t="n">
        <v>48</v>
      </c>
      <c r="F81" s="23">
        <f>ROUND(Saldos_Capital_Mensual!I81 + Saldos_Intereses_Mensual!I81, 2)</f>
        <v/>
      </c>
      <c r="G81" s="23">
        <f>ROUND(Saldos_Capital_Mensual!J81 + Saldos_Intereses_Mensual!J81, 2)</f>
        <v/>
      </c>
      <c r="H81" s="23">
        <f>ROUND(Saldos_Capital_Mensual!K81 + Saldos_Intereses_Mensual!K81, 2)</f>
        <v/>
      </c>
      <c r="I81" s="23">
        <f>ROUND(Saldos_Capital_Mensual!L81 + Saldos_Intereses_Mensual!L81, 2)</f>
        <v/>
      </c>
      <c r="J81" s="23">
        <f>ROUND(Saldos_Capital_Mensual!M81 + Saldos_Intereses_Mensual!M81, 2)</f>
        <v/>
      </c>
      <c r="K81" s="23">
        <f>ROUND(Saldos_Capital_Mensual!N81 + Saldos_Intereses_Mensual!N81, 2)</f>
        <v/>
      </c>
      <c r="L81" s="23">
        <f>ROUND(Saldos_Capital_Mensual!O81 + Saldos_Intereses_Mensual!O81, 2)</f>
        <v/>
      </c>
      <c r="M81" s="23">
        <f>ROUND(Saldos_Capital_Mensual!P81 + Saldos_Intereses_Mensual!P81, 2)</f>
        <v/>
      </c>
      <c r="N81" s="23">
        <f>ROUND(Saldos_Capital_Mensual!Q81 + Saldos_Intereses_Mensual!Q81, 2)</f>
        <v/>
      </c>
      <c r="O81" s="23">
        <f>ROUND(Saldos_Capital_Mensual!R81 + Saldos_Intereses_Mensual!R81, 2)</f>
        <v/>
      </c>
      <c r="P81" s="23">
        <f>ROUND(Saldos_Capital_Mensual!S81 + Saldos_Intereses_Mensual!S81, 2)</f>
        <v/>
      </c>
      <c r="Q81" s="23">
        <f>ROUND(Saldos_Capital_Mensual!T81 + Saldos_Intereses_Mensual!T81, 2)</f>
        <v/>
      </c>
      <c r="R81" s="23">
        <f>MAX(F81:Q81)</f>
        <v/>
      </c>
    </row>
    <row r="82">
      <c r="A82" s="26" t="inlineStr">
        <is>
          <t>0626-0001</t>
        </is>
      </c>
      <c r="B82" s="27" t="inlineStr">
        <is>
          <t>Hugo Ceja Moreno</t>
        </is>
      </c>
      <c r="C82" s="27" t="inlineStr">
        <is>
          <t>JT MOJAVE</t>
        </is>
      </c>
      <c r="D82" s="26" t="inlineStr">
        <is>
          <t>ACTIVO</t>
        </is>
      </c>
      <c r="E82" s="28" t="n">
        <v>48</v>
      </c>
      <c r="F82" s="29">
        <f>ROUND(Saldos_Capital_Mensual!I82 + Saldos_Intereses_Mensual!I82, 2)</f>
        <v/>
      </c>
      <c r="G82" s="29">
        <f>ROUND(Saldos_Capital_Mensual!J82 + Saldos_Intereses_Mensual!J82, 2)</f>
        <v/>
      </c>
      <c r="H82" s="29">
        <f>ROUND(Saldos_Capital_Mensual!K82 + Saldos_Intereses_Mensual!K82, 2)</f>
        <v/>
      </c>
      <c r="I82" s="29">
        <f>ROUND(Saldos_Capital_Mensual!L82 + Saldos_Intereses_Mensual!L82, 2)</f>
        <v/>
      </c>
      <c r="J82" s="29">
        <f>ROUND(Saldos_Capital_Mensual!M82 + Saldos_Intereses_Mensual!M82, 2)</f>
        <v/>
      </c>
      <c r="K82" s="29">
        <f>ROUND(Saldos_Capital_Mensual!N82 + Saldos_Intereses_Mensual!N82, 2)</f>
        <v/>
      </c>
      <c r="L82" s="29">
        <f>ROUND(Saldos_Capital_Mensual!O82 + Saldos_Intereses_Mensual!O82, 2)</f>
        <v/>
      </c>
      <c r="M82" s="29">
        <f>ROUND(Saldos_Capital_Mensual!P82 + Saldos_Intereses_Mensual!P82, 2)</f>
        <v/>
      </c>
      <c r="N82" s="29">
        <f>ROUND(Saldos_Capital_Mensual!Q82 + Saldos_Intereses_Mensual!Q82, 2)</f>
        <v/>
      </c>
      <c r="O82" s="29">
        <f>ROUND(Saldos_Capital_Mensual!R82 + Saldos_Intereses_Mensual!R82, 2)</f>
        <v/>
      </c>
      <c r="P82" s="29">
        <f>ROUND(Saldos_Capital_Mensual!S82 + Saldos_Intereses_Mensual!S82, 2)</f>
        <v/>
      </c>
      <c r="Q82" s="29">
        <f>ROUND(Saldos_Capital_Mensual!T82 + Saldos_Intereses_Mensual!T82, 2)</f>
        <v/>
      </c>
      <c r="R82" s="29">
        <f>MAX(F82:Q82)</f>
        <v/>
      </c>
    </row>
    <row r="83">
      <c r="A83" s="20" t="inlineStr">
        <is>
          <t>0632-0004</t>
        </is>
      </c>
      <c r="B83" s="21" t="inlineStr">
        <is>
          <t>Art &amp; Sourcing Sa de Cv</t>
        </is>
      </c>
      <c r="C83" s="21" t="inlineStr">
        <is>
          <t>Ram 700 Tradesman</t>
        </is>
      </c>
      <c r="D83" s="20" t="inlineStr">
        <is>
          <t>ACTIVO</t>
        </is>
      </c>
      <c r="E83" s="22" t="n">
        <v>48</v>
      </c>
      <c r="F83" s="23">
        <f>ROUND(Saldos_Capital_Mensual!I83 + Saldos_Intereses_Mensual!I83, 2)</f>
        <v/>
      </c>
      <c r="G83" s="23">
        <f>ROUND(Saldos_Capital_Mensual!J83 + Saldos_Intereses_Mensual!J83, 2)</f>
        <v/>
      </c>
      <c r="H83" s="23">
        <f>ROUND(Saldos_Capital_Mensual!K83 + Saldos_Intereses_Mensual!K83, 2)</f>
        <v/>
      </c>
      <c r="I83" s="23">
        <f>ROUND(Saldos_Capital_Mensual!L83 + Saldos_Intereses_Mensual!L83, 2)</f>
        <v/>
      </c>
      <c r="J83" s="23">
        <f>ROUND(Saldos_Capital_Mensual!M83 + Saldos_Intereses_Mensual!M83, 2)</f>
        <v/>
      </c>
      <c r="K83" s="23">
        <f>ROUND(Saldos_Capital_Mensual!N83 + Saldos_Intereses_Mensual!N83, 2)</f>
        <v/>
      </c>
      <c r="L83" s="23">
        <f>ROUND(Saldos_Capital_Mensual!O83 + Saldos_Intereses_Mensual!O83, 2)</f>
        <v/>
      </c>
      <c r="M83" s="23">
        <f>ROUND(Saldos_Capital_Mensual!P83 + Saldos_Intereses_Mensual!P83, 2)</f>
        <v/>
      </c>
      <c r="N83" s="23">
        <f>ROUND(Saldos_Capital_Mensual!Q83 + Saldos_Intereses_Mensual!Q83, 2)</f>
        <v/>
      </c>
      <c r="O83" s="23">
        <f>ROUND(Saldos_Capital_Mensual!R83 + Saldos_Intereses_Mensual!R83, 2)</f>
        <v/>
      </c>
      <c r="P83" s="23">
        <f>ROUND(Saldos_Capital_Mensual!S83 + Saldos_Intereses_Mensual!S83, 2)</f>
        <v/>
      </c>
      <c r="Q83" s="23">
        <f>ROUND(Saldos_Capital_Mensual!T83 + Saldos_Intereses_Mensual!T83, 2)</f>
        <v/>
      </c>
      <c r="R83" s="23">
        <f>MAX(F83:Q83)</f>
        <v/>
      </c>
    </row>
    <row r="84">
      <c r="A84" s="26" t="inlineStr">
        <is>
          <t>0632-0005</t>
        </is>
      </c>
      <c r="B84" s="27" t="inlineStr">
        <is>
          <t>Art &amp; Sourcing Sa de Cv</t>
        </is>
      </c>
      <c r="C84" s="27" t="inlineStr">
        <is>
          <t>Ram 700</t>
        </is>
      </c>
      <c r="D84" s="26" t="inlineStr">
        <is>
          <t>ACTIVO</t>
        </is>
      </c>
      <c r="E84" s="28" t="n">
        <v>24</v>
      </c>
      <c r="F84" s="29">
        <f>ROUND(Saldos_Capital_Mensual!I84 + Saldos_Intereses_Mensual!I84, 2)</f>
        <v/>
      </c>
      <c r="G84" s="29">
        <f>ROUND(Saldos_Capital_Mensual!J84 + Saldos_Intereses_Mensual!J84, 2)</f>
        <v/>
      </c>
      <c r="H84" s="29">
        <f>ROUND(Saldos_Capital_Mensual!K84 + Saldos_Intereses_Mensual!K84, 2)</f>
        <v/>
      </c>
      <c r="I84" s="29">
        <f>ROUND(Saldos_Capital_Mensual!L84 + Saldos_Intereses_Mensual!L84, 2)</f>
        <v/>
      </c>
      <c r="J84" s="29">
        <f>ROUND(Saldos_Capital_Mensual!M84 + Saldos_Intereses_Mensual!M84, 2)</f>
        <v/>
      </c>
      <c r="K84" s="29">
        <f>ROUND(Saldos_Capital_Mensual!N84 + Saldos_Intereses_Mensual!N84, 2)</f>
        <v/>
      </c>
      <c r="L84" s="29">
        <f>ROUND(Saldos_Capital_Mensual!O84 + Saldos_Intereses_Mensual!O84, 2)</f>
        <v/>
      </c>
      <c r="M84" s="29">
        <f>ROUND(Saldos_Capital_Mensual!P84 + Saldos_Intereses_Mensual!P84, 2)</f>
        <v/>
      </c>
      <c r="N84" s="29">
        <f>ROUND(Saldos_Capital_Mensual!Q84 + Saldos_Intereses_Mensual!Q84, 2)</f>
        <v/>
      </c>
      <c r="O84" s="29">
        <f>ROUND(Saldos_Capital_Mensual!R84 + Saldos_Intereses_Mensual!R84, 2)</f>
        <v/>
      </c>
      <c r="P84" s="29">
        <f>ROUND(Saldos_Capital_Mensual!S84 + Saldos_Intereses_Mensual!S84, 2)</f>
        <v/>
      </c>
      <c r="Q84" s="29">
        <f>ROUND(Saldos_Capital_Mensual!T84 + Saldos_Intereses_Mensual!T84, 2)</f>
        <v/>
      </c>
      <c r="R84" s="29">
        <f>MAX(F84:Q84)</f>
        <v/>
      </c>
    </row>
    <row r="85">
      <c r="A85" s="20" t="inlineStr">
        <is>
          <t>0632-0006</t>
        </is>
      </c>
      <c r="B85" s="21" t="inlineStr">
        <is>
          <t>Art &amp; Sourcing Sa de Cv</t>
        </is>
      </c>
      <c r="C85" s="21" t="inlineStr">
        <is>
          <t>Mirage</t>
        </is>
      </c>
      <c r="D85" s="20" t="inlineStr">
        <is>
          <t>ACTIVO</t>
        </is>
      </c>
      <c r="E85" s="22" t="n">
        <v>24</v>
      </c>
      <c r="F85" s="23">
        <f>ROUND(Saldos_Capital_Mensual!I85 + Saldos_Intereses_Mensual!I85, 2)</f>
        <v/>
      </c>
      <c r="G85" s="23">
        <f>ROUND(Saldos_Capital_Mensual!J85 + Saldos_Intereses_Mensual!J85, 2)</f>
        <v/>
      </c>
      <c r="H85" s="23">
        <f>ROUND(Saldos_Capital_Mensual!K85 + Saldos_Intereses_Mensual!K85, 2)</f>
        <v/>
      </c>
      <c r="I85" s="23">
        <f>ROUND(Saldos_Capital_Mensual!L85 + Saldos_Intereses_Mensual!L85, 2)</f>
        <v/>
      </c>
      <c r="J85" s="23">
        <f>ROUND(Saldos_Capital_Mensual!M85 + Saldos_Intereses_Mensual!M85, 2)</f>
        <v/>
      </c>
      <c r="K85" s="23">
        <f>ROUND(Saldos_Capital_Mensual!N85 + Saldos_Intereses_Mensual!N85, 2)</f>
        <v/>
      </c>
      <c r="L85" s="23">
        <f>ROUND(Saldos_Capital_Mensual!O85 + Saldos_Intereses_Mensual!O85, 2)</f>
        <v/>
      </c>
      <c r="M85" s="23">
        <f>ROUND(Saldos_Capital_Mensual!P85 + Saldos_Intereses_Mensual!P85, 2)</f>
        <v/>
      </c>
      <c r="N85" s="23">
        <f>ROUND(Saldos_Capital_Mensual!Q85 + Saldos_Intereses_Mensual!Q85, 2)</f>
        <v/>
      </c>
      <c r="O85" s="23">
        <f>ROUND(Saldos_Capital_Mensual!R85 + Saldos_Intereses_Mensual!R85, 2)</f>
        <v/>
      </c>
      <c r="P85" s="23">
        <f>ROUND(Saldos_Capital_Mensual!S85 + Saldos_Intereses_Mensual!S85, 2)</f>
        <v/>
      </c>
      <c r="Q85" s="23">
        <f>ROUND(Saldos_Capital_Mensual!T85 + Saldos_Intereses_Mensual!T85, 2)</f>
        <v/>
      </c>
      <c r="R85" s="23">
        <f>MAX(F85:Q85)</f>
        <v/>
      </c>
    </row>
    <row r="86">
      <c r="A86" s="26" t="inlineStr">
        <is>
          <t>0632-0007</t>
        </is>
      </c>
      <c r="B86" s="27" t="inlineStr">
        <is>
          <t>Art &amp; Sourcing Sa de Cv</t>
        </is>
      </c>
      <c r="C86" s="27" t="inlineStr">
        <is>
          <t>JAC Camión X350 2026</t>
        </is>
      </c>
      <c r="D86" s="26" t="inlineStr">
        <is>
          <t>ACTIVO</t>
        </is>
      </c>
      <c r="E86" s="28" t="n">
        <v>24</v>
      </c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>
        <f>ROUND(Saldos_Capital_Mensual!P86 + Saldos_Intereses_Mensual!P86, 2)</f>
        <v/>
      </c>
      <c r="N86" s="29">
        <f>ROUND(Saldos_Capital_Mensual!Q86 + Saldos_Intereses_Mensual!Q86, 2)</f>
        <v/>
      </c>
      <c r="O86" s="29">
        <f>ROUND(Saldos_Capital_Mensual!R86 + Saldos_Intereses_Mensual!R86, 2)</f>
        <v/>
      </c>
      <c r="P86" s="29">
        <f>ROUND(Saldos_Capital_Mensual!S86 + Saldos_Intereses_Mensual!S86, 2)</f>
        <v/>
      </c>
      <c r="Q86" s="29">
        <f>ROUND(Saldos_Capital_Mensual!T86 + Saldos_Intereses_Mensual!T86, 2)</f>
        <v/>
      </c>
      <c r="R86" s="29">
        <f>MAX(F86:Q86)</f>
        <v/>
      </c>
    </row>
    <row r="87">
      <c r="A87" s="20" t="inlineStr">
        <is>
          <t>0634-0001</t>
        </is>
      </c>
      <c r="B87" s="21" t="inlineStr">
        <is>
          <t>Jose de Jesus Vergara Rivera</t>
        </is>
      </c>
      <c r="C87" s="21" t="inlineStr">
        <is>
          <t>NP 300 Chasis Cabina TDI</t>
        </is>
      </c>
      <c r="D87" s="20" t="inlineStr">
        <is>
          <t>ACTIVO</t>
        </is>
      </c>
      <c r="E87" s="22" t="n">
        <v>48</v>
      </c>
      <c r="F87" s="23">
        <f>ROUND(Saldos_Capital_Mensual!I87 + Saldos_Intereses_Mensual!I87, 2)</f>
        <v/>
      </c>
      <c r="G87" s="23">
        <f>ROUND(Saldos_Capital_Mensual!J87 + Saldos_Intereses_Mensual!J87, 2)</f>
        <v/>
      </c>
      <c r="H87" s="23">
        <f>ROUND(Saldos_Capital_Mensual!K87 + Saldos_Intereses_Mensual!K87, 2)</f>
        <v/>
      </c>
      <c r="I87" s="23">
        <f>ROUND(Saldos_Capital_Mensual!L87 + Saldos_Intereses_Mensual!L87, 2)</f>
        <v/>
      </c>
      <c r="J87" s="23">
        <f>ROUND(Saldos_Capital_Mensual!M87 + Saldos_Intereses_Mensual!M87, 2)</f>
        <v/>
      </c>
      <c r="K87" s="23">
        <f>ROUND(Saldos_Capital_Mensual!N87 + Saldos_Intereses_Mensual!N87, 2)</f>
        <v/>
      </c>
      <c r="L87" s="23">
        <f>ROUND(Saldos_Capital_Mensual!O87 + Saldos_Intereses_Mensual!O87, 2)</f>
        <v/>
      </c>
      <c r="M87" s="23">
        <f>ROUND(Saldos_Capital_Mensual!P87 + Saldos_Intereses_Mensual!P87, 2)</f>
        <v/>
      </c>
      <c r="N87" s="23">
        <f>ROUND(Saldos_Capital_Mensual!Q87 + Saldos_Intereses_Mensual!Q87, 2)</f>
        <v/>
      </c>
      <c r="O87" s="23">
        <f>ROUND(Saldos_Capital_Mensual!R87 + Saldos_Intereses_Mensual!R87, 2)</f>
        <v/>
      </c>
      <c r="P87" s="23">
        <f>ROUND(Saldos_Capital_Mensual!S87 + Saldos_Intereses_Mensual!S87, 2)</f>
        <v/>
      </c>
      <c r="Q87" s="23">
        <f>ROUND(Saldos_Capital_Mensual!T87 + Saldos_Intereses_Mensual!T87, 2)</f>
        <v/>
      </c>
      <c r="R87" s="23">
        <f>MAX(F87:Q87)</f>
        <v/>
      </c>
    </row>
    <row r="88">
      <c r="A88" s="26" t="inlineStr">
        <is>
          <t>0634-0002</t>
        </is>
      </c>
      <c r="B88" s="27" t="inlineStr">
        <is>
          <t>Jose de Jesus Vergara Rivera</t>
        </is>
      </c>
      <c r="C88" s="27" t="inlineStr">
        <is>
          <t>700 Tradesman</t>
        </is>
      </c>
      <c r="D88" s="26" t="inlineStr">
        <is>
          <t>ACTIVO</t>
        </is>
      </c>
      <c r="E88" s="28" t="n">
        <v>48</v>
      </c>
      <c r="F88" s="29">
        <f>ROUND(Saldos_Capital_Mensual!I88 + Saldos_Intereses_Mensual!I88, 2)</f>
        <v/>
      </c>
      <c r="G88" s="29">
        <f>ROUND(Saldos_Capital_Mensual!J88 + Saldos_Intereses_Mensual!J88, 2)</f>
        <v/>
      </c>
      <c r="H88" s="29">
        <f>ROUND(Saldos_Capital_Mensual!K88 + Saldos_Intereses_Mensual!K88, 2)</f>
        <v/>
      </c>
      <c r="I88" s="29">
        <f>ROUND(Saldos_Capital_Mensual!L88 + Saldos_Intereses_Mensual!L88, 2)</f>
        <v/>
      </c>
      <c r="J88" s="29">
        <f>ROUND(Saldos_Capital_Mensual!M88 + Saldos_Intereses_Mensual!M88, 2)</f>
        <v/>
      </c>
      <c r="K88" s="29">
        <f>ROUND(Saldos_Capital_Mensual!N88 + Saldos_Intereses_Mensual!N88, 2)</f>
        <v/>
      </c>
      <c r="L88" s="29">
        <f>ROUND(Saldos_Capital_Mensual!O88 + Saldos_Intereses_Mensual!O88, 2)</f>
        <v/>
      </c>
      <c r="M88" s="29">
        <f>ROUND(Saldos_Capital_Mensual!P88 + Saldos_Intereses_Mensual!P88, 2)</f>
        <v/>
      </c>
      <c r="N88" s="29">
        <f>ROUND(Saldos_Capital_Mensual!Q88 + Saldos_Intereses_Mensual!Q88, 2)</f>
        <v/>
      </c>
      <c r="O88" s="29">
        <f>ROUND(Saldos_Capital_Mensual!R88 + Saldos_Intereses_Mensual!R88, 2)</f>
        <v/>
      </c>
      <c r="P88" s="29">
        <f>ROUND(Saldos_Capital_Mensual!S88 + Saldos_Intereses_Mensual!S88, 2)</f>
        <v/>
      </c>
      <c r="Q88" s="29">
        <f>ROUND(Saldos_Capital_Mensual!T88 + Saldos_Intereses_Mensual!T88, 2)</f>
        <v/>
      </c>
      <c r="R88" s="29">
        <f>MAX(F88:Q88)</f>
        <v/>
      </c>
    </row>
    <row r="89">
      <c r="A89" s="20" t="inlineStr">
        <is>
          <t>0635-0003</t>
        </is>
      </c>
      <c r="B89" s="21" t="inlineStr">
        <is>
          <t>Ankara Food Services Sa de CV</t>
        </is>
      </c>
      <c r="C89" s="21" t="inlineStr">
        <is>
          <t>Glc 350 E</t>
        </is>
      </c>
      <c r="D89" s="20" t="inlineStr">
        <is>
          <t>ACTIVO</t>
        </is>
      </c>
      <c r="E89" s="22" t="n">
        <v>36</v>
      </c>
      <c r="F89" s="23">
        <f>ROUND(Saldos_Capital_Mensual!I89 + Saldos_Intereses_Mensual!I89, 2)</f>
        <v/>
      </c>
      <c r="G89" s="23">
        <f>ROUND(Saldos_Capital_Mensual!J89 + Saldos_Intereses_Mensual!J89, 2)</f>
        <v/>
      </c>
      <c r="H89" s="23">
        <f>ROUND(Saldos_Capital_Mensual!K89 + Saldos_Intereses_Mensual!K89, 2)</f>
        <v/>
      </c>
      <c r="I89" s="23">
        <f>ROUND(Saldos_Capital_Mensual!L89 + Saldos_Intereses_Mensual!L89, 2)</f>
        <v/>
      </c>
      <c r="J89" s="23">
        <f>ROUND(Saldos_Capital_Mensual!M89 + Saldos_Intereses_Mensual!M89, 2)</f>
        <v/>
      </c>
      <c r="K89" s="23">
        <f>ROUND(Saldos_Capital_Mensual!N89 + Saldos_Intereses_Mensual!N89, 2)</f>
        <v/>
      </c>
      <c r="L89" s="23">
        <f>ROUND(Saldos_Capital_Mensual!O89 + Saldos_Intereses_Mensual!O89, 2)</f>
        <v/>
      </c>
      <c r="M89" s="23">
        <f>ROUND(Saldos_Capital_Mensual!P89 + Saldos_Intereses_Mensual!P89, 2)</f>
        <v/>
      </c>
      <c r="N89" s="23">
        <f>ROUND(Saldos_Capital_Mensual!Q89 + Saldos_Intereses_Mensual!Q89, 2)</f>
        <v/>
      </c>
      <c r="O89" s="23">
        <f>ROUND(Saldos_Capital_Mensual!R89 + Saldos_Intereses_Mensual!R89, 2)</f>
        <v/>
      </c>
      <c r="P89" s="23">
        <f>ROUND(Saldos_Capital_Mensual!S89 + Saldos_Intereses_Mensual!S89, 2)</f>
        <v/>
      </c>
      <c r="Q89" s="23">
        <f>ROUND(Saldos_Capital_Mensual!T89 + Saldos_Intereses_Mensual!T89, 2)</f>
        <v/>
      </c>
      <c r="R89" s="23">
        <f>MAX(F89:Q89)</f>
        <v/>
      </c>
    </row>
    <row r="90">
      <c r="A90" s="26" t="inlineStr">
        <is>
          <t>0635-0004</t>
        </is>
      </c>
      <c r="B90" s="27" t="inlineStr">
        <is>
          <t>Ankara Food Services Sa de CV</t>
        </is>
      </c>
      <c r="C90" s="27" t="inlineStr">
        <is>
          <t>Partner</t>
        </is>
      </c>
      <c r="D90" s="26" t="inlineStr">
        <is>
          <t>ACTIVO</t>
        </is>
      </c>
      <c r="E90" s="28" t="n">
        <v>36</v>
      </c>
      <c r="F90" s="29">
        <f>ROUND(Saldos_Capital_Mensual!I90 + Saldos_Intereses_Mensual!I90, 2)</f>
        <v/>
      </c>
      <c r="G90" s="29">
        <f>ROUND(Saldos_Capital_Mensual!J90 + Saldos_Intereses_Mensual!J90, 2)</f>
        <v/>
      </c>
      <c r="H90" s="29">
        <f>ROUND(Saldos_Capital_Mensual!K90 + Saldos_Intereses_Mensual!K90, 2)</f>
        <v/>
      </c>
      <c r="I90" s="29">
        <f>ROUND(Saldos_Capital_Mensual!L90 + Saldos_Intereses_Mensual!L90, 2)</f>
        <v/>
      </c>
      <c r="J90" s="29">
        <f>ROUND(Saldos_Capital_Mensual!M90 + Saldos_Intereses_Mensual!M90, 2)</f>
        <v/>
      </c>
      <c r="K90" s="29">
        <f>ROUND(Saldos_Capital_Mensual!N90 + Saldos_Intereses_Mensual!N90, 2)</f>
        <v/>
      </c>
      <c r="L90" s="29">
        <f>ROUND(Saldos_Capital_Mensual!O90 + Saldos_Intereses_Mensual!O90, 2)</f>
        <v/>
      </c>
      <c r="M90" s="29">
        <f>ROUND(Saldos_Capital_Mensual!P90 + Saldos_Intereses_Mensual!P90, 2)</f>
        <v/>
      </c>
      <c r="N90" s="29">
        <f>ROUND(Saldos_Capital_Mensual!Q90 + Saldos_Intereses_Mensual!Q90, 2)</f>
        <v/>
      </c>
      <c r="O90" s="29">
        <f>ROUND(Saldos_Capital_Mensual!R90 + Saldos_Intereses_Mensual!R90, 2)</f>
        <v/>
      </c>
      <c r="P90" s="29">
        <f>ROUND(Saldos_Capital_Mensual!S90 + Saldos_Intereses_Mensual!S90, 2)</f>
        <v/>
      </c>
      <c r="Q90" s="29">
        <f>ROUND(Saldos_Capital_Mensual!T90 + Saldos_Intereses_Mensual!T90, 2)</f>
        <v/>
      </c>
      <c r="R90" s="29">
        <f>MAX(F90:Q90)</f>
        <v/>
      </c>
    </row>
    <row r="91">
      <c r="A91" s="20" t="inlineStr">
        <is>
          <t>0635-0005</t>
        </is>
      </c>
      <c r="B91" s="21" t="inlineStr">
        <is>
          <t>Ankara Food Services Sa de CV</t>
        </is>
      </c>
      <c r="C91" s="21" t="inlineStr">
        <is>
          <t>Manager</t>
        </is>
      </c>
      <c r="D91" s="20" t="inlineStr">
        <is>
          <t>ACTIVO</t>
        </is>
      </c>
      <c r="E91" s="22" t="n">
        <v>36</v>
      </c>
      <c r="F91" s="23">
        <f>ROUND(Saldos_Capital_Mensual!I91 + Saldos_Intereses_Mensual!I91, 2)</f>
        <v/>
      </c>
      <c r="G91" s="23">
        <f>ROUND(Saldos_Capital_Mensual!J91 + Saldos_Intereses_Mensual!J91, 2)</f>
        <v/>
      </c>
      <c r="H91" s="23">
        <f>ROUND(Saldos_Capital_Mensual!K91 + Saldos_Intereses_Mensual!K91, 2)</f>
        <v/>
      </c>
      <c r="I91" s="23">
        <f>ROUND(Saldos_Capital_Mensual!L91 + Saldos_Intereses_Mensual!L91, 2)</f>
        <v/>
      </c>
      <c r="J91" s="23">
        <f>ROUND(Saldos_Capital_Mensual!M91 + Saldos_Intereses_Mensual!M91, 2)</f>
        <v/>
      </c>
      <c r="K91" s="23">
        <f>ROUND(Saldos_Capital_Mensual!N91 + Saldos_Intereses_Mensual!N91, 2)</f>
        <v/>
      </c>
      <c r="L91" s="23">
        <f>ROUND(Saldos_Capital_Mensual!O91 + Saldos_Intereses_Mensual!O91, 2)</f>
        <v/>
      </c>
      <c r="M91" s="23">
        <f>ROUND(Saldos_Capital_Mensual!P91 + Saldos_Intereses_Mensual!P91, 2)</f>
        <v/>
      </c>
      <c r="N91" s="23">
        <f>ROUND(Saldos_Capital_Mensual!Q91 + Saldos_Intereses_Mensual!Q91, 2)</f>
        <v/>
      </c>
      <c r="O91" s="23">
        <f>ROUND(Saldos_Capital_Mensual!R91 + Saldos_Intereses_Mensual!R91, 2)</f>
        <v/>
      </c>
      <c r="P91" s="23">
        <f>ROUND(Saldos_Capital_Mensual!S91 + Saldos_Intereses_Mensual!S91, 2)</f>
        <v/>
      </c>
      <c r="Q91" s="23">
        <f>ROUND(Saldos_Capital_Mensual!T91 + Saldos_Intereses_Mensual!T91, 2)</f>
        <v/>
      </c>
      <c r="R91" s="23">
        <f>MAX(F91:Q91)</f>
        <v/>
      </c>
    </row>
    <row r="92">
      <c r="A92" s="26" t="inlineStr">
        <is>
          <t>0635-0006</t>
        </is>
      </c>
      <c r="B92" s="27" t="inlineStr">
        <is>
          <t>Ankara Food Services Sa de CV</t>
        </is>
      </c>
      <c r="C92" s="27" t="inlineStr">
        <is>
          <t>Mobi</t>
        </is>
      </c>
      <c r="D92" s="26" t="inlineStr">
        <is>
          <t>ACTIVO</t>
        </is>
      </c>
      <c r="E92" s="28" t="n">
        <v>24</v>
      </c>
      <c r="F92" s="29">
        <f>ROUND(Saldos_Capital_Mensual!I92 + Saldos_Intereses_Mensual!I92, 2)</f>
        <v/>
      </c>
      <c r="G92" s="29">
        <f>ROUND(Saldos_Capital_Mensual!J92 + Saldos_Intereses_Mensual!J92, 2)</f>
        <v/>
      </c>
      <c r="H92" s="29">
        <f>ROUND(Saldos_Capital_Mensual!K92 + Saldos_Intereses_Mensual!K92, 2)</f>
        <v/>
      </c>
      <c r="I92" s="29">
        <f>ROUND(Saldos_Capital_Mensual!L92 + Saldos_Intereses_Mensual!L92, 2)</f>
        <v/>
      </c>
      <c r="J92" s="29">
        <f>ROUND(Saldos_Capital_Mensual!M92 + Saldos_Intereses_Mensual!M92, 2)</f>
        <v/>
      </c>
      <c r="K92" s="29">
        <f>ROUND(Saldos_Capital_Mensual!N92 + Saldos_Intereses_Mensual!N92, 2)</f>
        <v/>
      </c>
      <c r="L92" s="29">
        <f>ROUND(Saldos_Capital_Mensual!O92 + Saldos_Intereses_Mensual!O92, 2)</f>
        <v/>
      </c>
      <c r="M92" s="29">
        <f>ROUND(Saldos_Capital_Mensual!P92 + Saldos_Intereses_Mensual!P92, 2)</f>
        <v/>
      </c>
      <c r="N92" s="29">
        <f>ROUND(Saldos_Capital_Mensual!Q92 + Saldos_Intereses_Mensual!Q92, 2)</f>
        <v/>
      </c>
      <c r="O92" s="29">
        <f>ROUND(Saldos_Capital_Mensual!R92 + Saldos_Intereses_Mensual!R92, 2)</f>
        <v/>
      </c>
      <c r="P92" s="29">
        <f>ROUND(Saldos_Capital_Mensual!S92 + Saldos_Intereses_Mensual!S92, 2)</f>
        <v/>
      </c>
      <c r="Q92" s="29">
        <f>ROUND(Saldos_Capital_Mensual!T92 + Saldos_Intereses_Mensual!T92, 2)</f>
        <v/>
      </c>
      <c r="R92" s="29">
        <f>MAX(F92:Q92)</f>
        <v/>
      </c>
    </row>
    <row r="93">
      <c r="A93" s="20" t="inlineStr">
        <is>
          <t>0635-0007</t>
        </is>
      </c>
      <c r="B93" s="21" t="inlineStr">
        <is>
          <t>Ankara Food Services Sa de CV</t>
        </is>
      </c>
      <c r="C93" s="21" t="inlineStr">
        <is>
          <t>Mobi</t>
        </is>
      </c>
      <c r="D93" s="20" t="inlineStr">
        <is>
          <t>ACTIVO</t>
        </is>
      </c>
      <c r="E93" s="22" t="n">
        <v>24</v>
      </c>
      <c r="F93" s="23">
        <f>ROUND(Saldos_Capital_Mensual!I93 + Saldos_Intereses_Mensual!I93, 2)</f>
        <v/>
      </c>
      <c r="G93" s="23">
        <f>ROUND(Saldos_Capital_Mensual!J93 + Saldos_Intereses_Mensual!J93, 2)</f>
        <v/>
      </c>
      <c r="H93" s="23">
        <f>ROUND(Saldos_Capital_Mensual!K93 + Saldos_Intereses_Mensual!K93, 2)</f>
        <v/>
      </c>
      <c r="I93" s="23">
        <f>ROUND(Saldos_Capital_Mensual!L93 + Saldos_Intereses_Mensual!L93, 2)</f>
        <v/>
      </c>
      <c r="J93" s="23">
        <f>ROUND(Saldos_Capital_Mensual!M93 + Saldos_Intereses_Mensual!M93, 2)</f>
        <v/>
      </c>
      <c r="K93" s="23">
        <f>ROUND(Saldos_Capital_Mensual!N93 + Saldos_Intereses_Mensual!N93, 2)</f>
        <v/>
      </c>
      <c r="L93" s="23">
        <f>ROUND(Saldos_Capital_Mensual!O93 + Saldos_Intereses_Mensual!O93, 2)</f>
        <v/>
      </c>
      <c r="M93" s="23">
        <f>ROUND(Saldos_Capital_Mensual!P93 + Saldos_Intereses_Mensual!P93, 2)</f>
        <v/>
      </c>
      <c r="N93" s="23">
        <f>ROUND(Saldos_Capital_Mensual!Q93 + Saldos_Intereses_Mensual!Q93, 2)</f>
        <v/>
      </c>
      <c r="O93" s="23">
        <f>ROUND(Saldos_Capital_Mensual!R93 + Saldos_Intereses_Mensual!R93, 2)</f>
        <v/>
      </c>
      <c r="P93" s="23">
        <f>ROUND(Saldos_Capital_Mensual!S93 + Saldos_Intereses_Mensual!S93, 2)</f>
        <v/>
      </c>
      <c r="Q93" s="23">
        <f>ROUND(Saldos_Capital_Mensual!T93 + Saldos_Intereses_Mensual!T93, 2)</f>
        <v/>
      </c>
      <c r="R93" s="23">
        <f>MAX(F93:Q93)</f>
        <v/>
      </c>
    </row>
    <row r="94">
      <c r="A94" s="26" t="inlineStr">
        <is>
          <t>0635-0008</t>
        </is>
      </c>
      <c r="B94" s="27" t="inlineStr">
        <is>
          <t>Ankara Food Services Sa de CV</t>
        </is>
      </c>
      <c r="C94" s="27" t="inlineStr">
        <is>
          <t>Wrangler 4 XE</t>
        </is>
      </c>
      <c r="D94" s="26" t="inlineStr">
        <is>
          <t>ACTIVO</t>
        </is>
      </c>
      <c r="E94" s="28" t="n">
        <v>48</v>
      </c>
      <c r="F94" s="29">
        <f>ROUND(Saldos_Capital_Mensual!I94 + Saldos_Intereses_Mensual!I94, 2)</f>
        <v/>
      </c>
      <c r="G94" s="29">
        <f>ROUND(Saldos_Capital_Mensual!J94 + Saldos_Intereses_Mensual!J94, 2)</f>
        <v/>
      </c>
      <c r="H94" s="29">
        <f>ROUND(Saldos_Capital_Mensual!K94 + Saldos_Intereses_Mensual!K94, 2)</f>
        <v/>
      </c>
      <c r="I94" s="29">
        <f>ROUND(Saldos_Capital_Mensual!L94 + Saldos_Intereses_Mensual!L94, 2)</f>
        <v/>
      </c>
      <c r="J94" s="29">
        <f>ROUND(Saldos_Capital_Mensual!M94 + Saldos_Intereses_Mensual!M94, 2)</f>
        <v/>
      </c>
      <c r="K94" s="29">
        <f>ROUND(Saldos_Capital_Mensual!N94 + Saldos_Intereses_Mensual!N94, 2)</f>
        <v/>
      </c>
      <c r="L94" s="29">
        <f>ROUND(Saldos_Capital_Mensual!O94 + Saldos_Intereses_Mensual!O94, 2)</f>
        <v/>
      </c>
      <c r="M94" s="29">
        <f>ROUND(Saldos_Capital_Mensual!P94 + Saldos_Intereses_Mensual!P94, 2)</f>
        <v/>
      </c>
      <c r="N94" s="29">
        <f>ROUND(Saldos_Capital_Mensual!Q94 + Saldos_Intereses_Mensual!Q94, 2)</f>
        <v/>
      </c>
      <c r="O94" s="29">
        <f>ROUND(Saldos_Capital_Mensual!R94 + Saldos_Intereses_Mensual!R94, 2)</f>
        <v/>
      </c>
      <c r="P94" s="29">
        <f>ROUND(Saldos_Capital_Mensual!S94 + Saldos_Intereses_Mensual!S94, 2)</f>
        <v/>
      </c>
      <c r="Q94" s="29">
        <f>ROUND(Saldos_Capital_Mensual!T94 + Saldos_Intereses_Mensual!T94, 2)</f>
        <v/>
      </c>
      <c r="R94" s="29">
        <f>MAX(F94:Q94)</f>
        <v/>
      </c>
    </row>
    <row r="95">
      <c r="A95" s="20" t="inlineStr">
        <is>
          <t>0640-0001</t>
        </is>
      </c>
      <c r="B95" s="21" t="inlineStr">
        <is>
          <t>Marco Abner Hernand Barragan</t>
        </is>
      </c>
      <c r="C95" s="21" t="inlineStr">
        <is>
          <t>RIFTER</t>
        </is>
      </c>
      <c r="D95" s="20" t="inlineStr">
        <is>
          <t>ACTIVO</t>
        </is>
      </c>
      <c r="E95" s="22" t="n">
        <v>48</v>
      </c>
      <c r="F95" s="23">
        <f>ROUND(Saldos_Capital_Mensual!I95 + Saldos_Intereses_Mensual!I95, 2)</f>
        <v/>
      </c>
      <c r="G95" s="23">
        <f>ROUND(Saldos_Capital_Mensual!J95 + Saldos_Intereses_Mensual!J95, 2)</f>
        <v/>
      </c>
      <c r="H95" s="23">
        <f>ROUND(Saldos_Capital_Mensual!K95 + Saldos_Intereses_Mensual!K95, 2)</f>
        <v/>
      </c>
      <c r="I95" s="23">
        <f>ROUND(Saldos_Capital_Mensual!L95 + Saldos_Intereses_Mensual!L95, 2)</f>
        <v/>
      </c>
      <c r="J95" s="23">
        <f>ROUND(Saldos_Capital_Mensual!M95 + Saldos_Intereses_Mensual!M95, 2)</f>
        <v/>
      </c>
      <c r="K95" s="23">
        <f>ROUND(Saldos_Capital_Mensual!N95 + Saldos_Intereses_Mensual!N95, 2)</f>
        <v/>
      </c>
      <c r="L95" s="23">
        <f>ROUND(Saldos_Capital_Mensual!O95 + Saldos_Intereses_Mensual!O95, 2)</f>
        <v/>
      </c>
      <c r="M95" s="23">
        <f>ROUND(Saldos_Capital_Mensual!P95 + Saldos_Intereses_Mensual!P95, 2)</f>
        <v/>
      </c>
      <c r="N95" s="23">
        <f>ROUND(Saldos_Capital_Mensual!Q95 + Saldos_Intereses_Mensual!Q95, 2)</f>
        <v/>
      </c>
      <c r="O95" s="23">
        <f>ROUND(Saldos_Capital_Mensual!R95 + Saldos_Intereses_Mensual!R95, 2)</f>
        <v/>
      </c>
      <c r="P95" s="23">
        <f>ROUND(Saldos_Capital_Mensual!S95 + Saldos_Intereses_Mensual!S95, 2)</f>
        <v/>
      </c>
      <c r="Q95" s="23">
        <f>ROUND(Saldos_Capital_Mensual!T95 + Saldos_Intereses_Mensual!T95, 2)</f>
        <v/>
      </c>
      <c r="R95" s="23">
        <f>MAX(F95:Q95)</f>
        <v/>
      </c>
    </row>
    <row r="96">
      <c r="A96" s="26" t="inlineStr">
        <is>
          <t>0641-0001</t>
        </is>
      </c>
      <c r="B96" s="27" t="inlineStr">
        <is>
          <t>Agrideaz Sa de Cv</t>
        </is>
      </c>
      <c r="C96" s="27" t="inlineStr">
        <is>
          <t>Pulse Audace</t>
        </is>
      </c>
      <c r="D96" s="26" t="inlineStr">
        <is>
          <t>ACTIVO</t>
        </is>
      </c>
      <c r="E96" s="28" t="n">
        <v>36</v>
      </c>
      <c r="F96" s="29">
        <f>ROUND(Saldos_Capital_Mensual!I96 + Saldos_Intereses_Mensual!I96, 2)</f>
        <v/>
      </c>
      <c r="G96" s="29">
        <f>ROUND(Saldos_Capital_Mensual!J96 + Saldos_Intereses_Mensual!J96, 2)</f>
        <v/>
      </c>
      <c r="H96" s="29">
        <f>ROUND(Saldos_Capital_Mensual!K96 + Saldos_Intereses_Mensual!K96, 2)</f>
        <v/>
      </c>
      <c r="I96" s="29">
        <f>ROUND(Saldos_Capital_Mensual!L96 + Saldos_Intereses_Mensual!L96, 2)</f>
        <v/>
      </c>
      <c r="J96" s="29">
        <f>ROUND(Saldos_Capital_Mensual!M96 + Saldos_Intereses_Mensual!M96, 2)</f>
        <v/>
      </c>
      <c r="K96" s="29">
        <f>ROUND(Saldos_Capital_Mensual!N96 + Saldos_Intereses_Mensual!N96, 2)</f>
        <v/>
      </c>
      <c r="L96" s="29">
        <f>ROUND(Saldos_Capital_Mensual!O96 + Saldos_Intereses_Mensual!O96, 2)</f>
        <v/>
      </c>
      <c r="M96" s="29">
        <f>ROUND(Saldos_Capital_Mensual!P96 + Saldos_Intereses_Mensual!P96, 2)</f>
        <v/>
      </c>
      <c r="N96" s="29">
        <f>ROUND(Saldos_Capital_Mensual!Q96 + Saldos_Intereses_Mensual!Q96, 2)</f>
        <v/>
      </c>
      <c r="O96" s="29">
        <f>ROUND(Saldos_Capital_Mensual!R96 + Saldos_Intereses_Mensual!R96, 2)</f>
        <v/>
      </c>
      <c r="P96" s="29" t="inlineStr"/>
      <c r="Q96" s="29" t="inlineStr"/>
      <c r="R96" s="29">
        <f>MAX(F96:Q96)</f>
        <v/>
      </c>
    </row>
    <row r="97">
      <c r="A97" s="20" t="inlineStr">
        <is>
          <t>0641-0002</t>
        </is>
      </c>
      <c r="B97" s="21" t="inlineStr">
        <is>
          <t>Agrideaz Sa de Cv</t>
        </is>
      </c>
      <c r="C97" s="21" t="inlineStr">
        <is>
          <t>MOBI</t>
        </is>
      </c>
      <c r="D97" s="20" t="inlineStr">
        <is>
          <t>ACTIVO</t>
        </is>
      </c>
      <c r="E97" s="22" t="n">
        <v>36</v>
      </c>
      <c r="F97" s="23">
        <f>ROUND(Saldos_Capital_Mensual!I97 + Saldos_Intereses_Mensual!I97, 2)</f>
        <v/>
      </c>
      <c r="G97" s="23">
        <f>ROUND(Saldos_Capital_Mensual!J97 + Saldos_Intereses_Mensual!J97, 2)</f>
        <v/>
      </c>
      <c r="H97" s="23">
        <f>ROUND(Saldos_Capital_Mensual!K97 + Saldos_Intereses_Mensual!K97, 2)</f>
        <v/>
      </c>
      <c r="I97" s="23">
        <f>ROUND(Saldos_Capital_Mensual!L97 + Saldos_Intereses_Mensual!L97, 2)</f>
        <v/>
      </c>
      <c r="J97" s="23">
        <f>ROUND(Saldos_Capital_Mensual!M97 + Saldos_Intereses_Mensual!M97, 2)</f>
        <v/>
      </c>
      <c r="K97" s="23">
        <f>ROUND(Saldos_Capital_Mensual!N97 + Saldos_Intereses_Mensual!N97, 2)</f>
        <v/>
      </c>
      <c r="L97" s="23">
        <f>ROUND(Saldos_Capital_Mensual!O97 + Saldos_Intereses_Mensual!O97, 2)</f>
        <v/>
      </c>
      <c r="M97" s="23">
        <f>ROUND(Saldos_Capital_Mensual!P97 + Saldos_Intereses_Mensual!P97, 2)</f>
        <v/>
      </c>
      <c r="N97" s="23">
        <f>ROUND(Saldos_Capital_Mensual!Q97 + Saldos_Intereses_Mensual!Q97, 2)</f>
        <v/>
      </c>
      <c r="O97" s="23">
        <f>ROUND(Saldos_Capital_Mensual!R97 + Saldos_Intereses_Mensual!R97, 2)</f>
        <v/>
      </c>
      <c r="P97" s="23" t="inlineStr"/>
      <c r="Q97" s="23" t="inlineStr"/>
      <c r="R97" s="23">
        <f>MAX(F97:Q97)</f>
        <v/>
      </c>
    </row>
    <row r="98">
      <c r="A98" s="26" t="inlineStr">
        <is>
          <t>0642-0001</t>
        </is>
      </c>
      <c r="B98" s="27" t="inlineStr">
        <is>
          <t>Incubadora de Occidente Sa de Cv</t>
        </is>
      </c>
      <c r="C98" s="27" t="inlineStr">
        <is>
          <t>GRAND CHEROKEE LIMITED</t>
        </is>
      </c>
      <c r="D98" s="26" t="inlineStr">
        <is>
          <t>ACTIVO</t>
        </is>
      </c>
      <c r="E98" s="28" t="n">
        <v>48</v>
      </c>
      <c r="F98" s="29">
        <f>ROUND(Saldos_Capital_Mensual!I98 + Saldos_Intereses_Mensual!I98, 2)</f>
        <v/>
      </c>
      <c r="G98" s="29">
        <f>ROUND(Saldos_Capital_Mensual!J98 + Saldos_Intereses_Mensual!J98, 2)</f>
        <v/>
      </c>
      <c r="H98" s="29">
        <f>ROUND(Saldos_Capital_Mensual!K98 + Saldos_Intereses_Mensual!K98, 2)</f>
        <v/>
      </c>
      <c r="I98" s="29">
        <f>ROUND(Saldos_Capital_Mensual!L98 + Saldos_Intereses_Mensual!L98, 2)</f>
        <v/>
      </c>
      <c r="J98" s="29">
        <f>ROUND(Saldos_Capital_Mensual!M98 + Saldos_Intereses_Mensual!M98, 2)</f>
        <v/>
      </c>
      <c r="K98" s="29">
        <f>ROUND(Saldos_Capital_Mensual!N98 + Saldos_Intereses_Mensual!N98, 2)</f>
        <v/>
      </c>
      <c r="L98" s="29">
        <f>ROUND(Saldos_Capital_Mensual!O98 + Saldos_Intereses_Mensual!O98, 2)</f>
        <v/>
      </c>
      <c r="M98" s="29">
        <f>ROUND(Saldos_Capital_Mensual!P98 + Saldos_Intereses_Mensual!P98, 2)</f>
        <v/>
      </c>
      <c r="N98" s="29">
        <f>ROUND(Saldos_Capital_Mensual!Q98 + Saldos_Intereses_Mensual!Q98, 2)</f>
        <v/>
      </c>
      <c r="O98" s="29">
        <f>ROUND(Saldos_Capital_Mensual!R98 + Saldos_Intereses_Mensual!R98, 2)</f>
        <v/>
      </c>
      <c r="P98" s="29">
        <f>ROUND(Saldos_Capital_Mensual!S98 + Saldos_Intereses_Mensual!S98, 2)</f>
        <v/>
      </c>
      <c r="Q98" s="29">
        <f>ROUND(Saldos_Capital_Mensual!T98 + Saldos_Intereses_Mensual!T98, 2)</f>
        <v/>
      </c>
      <c r="R98" s="29">
        <f>MAX(F98:Q98)</f>
        <v/>
      </c>
    </row>
    <row r="99">
      <c r="A99" s="20" t="inlineStr">
        <is>
          <t>0644-0005</t>
        </is>
      </c>
      <c r="B99" s="21" t="inlineStr">
        <is>
          <t>Bakaya S.A.P.I.</t>
        </is>
      </c>
      <c r="C99" s="21" t="inlineStr">
        <is>
          <t>i118</t>
        </is>
      </c>
      <c r="D99" s="20" t="inlineStr">
        <is>
          <t>ACTIVO</t>
        </is>
      </c>
      <c r="E99" s="22" t="n">
        <v>36</v>
      </c>
      <c r="F99" s="23">
        <f>ROUND(Saldos_Capital_Mensual!I99 + Saldos_Intereses_Mensual!I99, 2)</f>
        <v/>
      </c>
      <c r="G99" s="23">
        <f>ROUND(Saldos_Capital_Mensual!J99 + Saldos_Intereses_Mensual!J99, 2)</f>
        <v/>
      </c>
      <c r="H99" s="23">
        <f>ROUND(Saldos_Capital_Mensual!K99 + Saldos_Intereses_Mensual!K99, 2)</f>
        <v/>
      </c>
      <c r="I99" s="23">
        <f>ROUND(Saldos_Capital_Mensual!L99 + Saldos_Intereses_Mensual!L99, 2)</f>
        <v/>
      </c>
      <c r="J99" s="23">
        <f>ROUND(Saldos_Capital_Mensual!M99 + Saldos_Intereses_Mensual!M99, 2)</f>
        <v/>
      </c>
      <c r="K99" s="23">
        <f>ROUND(Saldos_Capital_Mensual!N99 + Saldos_Intereses_Mensual!N99, 2)</f>
        <v/>
      </c>
      <c r="L99" s="23">
        <f>ROUND(Saldos_Capital_Mensual!O99 + Saldos_Intereses_Mensual!O99, 2)</f>
        <v/>
      </c>
      <c r="M99" s="23">
        <f>ROUND(Saldos_Capital_Mensual!P99 + Saldos_Intereses_Mensual!P99, 2)</f>
        <v/>
      </c>
      <c r="N99" s="23">
        <f>ROUND(Saldos_Capital_Mensual!Q99 + Saldos_Intereses_Mensual!Q99, 2)</f>
        <v/>
      </c>
      <c r="O99" s="23">
        <f>ROUND(Saldos_Capital_Mensual!R99 + Saldos_Intereses_Mensual!R99, 2)</f>
        <v/>
      </c>
      <c r="P99" s="23">
        <f>ROUND(Saldos_Capital_Mensual!S99 + Saldos_Intereses_Mensual!S99, 2)</f>
        <v/>
      </c>
      <c r="Q99" s="23">
        <f>ROUND(Saldos_Capital_Mensual!T99 + Saldos_Intereses_Mensual!T99, 2)</f>
        <v/>
      </c>
      <c r="R99" s="23">
        <f>MAX(F99:Q99)</f>
        <v/>
      </c>
    </row>
    <row r="100">
      <c r="A100" s="26" t="inlineStr">
        <is>
          <t>0644-0006</t>
        </is>
      </c>
      <c r="B100" s="27" t="inlineStr">
        <is>
          <t>Bkaya S.A.P.I.</t>
        </is>
      </c>
      <c r="C100" s="27" t="inlineStr">
        <is>
          <t>Highlander XLE</t>
        </is>
      </c>
      <c r="D100" s="26" t="inlineStr">
        <is>
          <t>ACTIVO</t>
        </is>
      </c>
      <c r="E100" s="28" t="n">
        <v>36</v>
      </c>
      <c r="F100" s="29" t="inlineStr"/>
      <c r="G100" s="29">
        <f>ROUND(Saldos_Capital_Mensual!J100 + Saldos_Intereses_Mensual!J100, 2)</f>
        <v/>
      </c>
      <c r="H100" s="29">
        <f>ROUND(Saldos_Capital_Mensual!K100 + Saldos_Intereses_Mensual!K100, 2)</f>
        <v/>
      </c>
      <c r="I100" s="29">
        <f>ROUND(Saldos_Capital_Mensual!L100 + Saldos_Intereses_Mensual!L100, 2)</f>
        <v/>
      </c>
      <c r="J100" s="29">
        <f>ROUND(Saldos_Capital_Mensual!M100 + Saldos_Intereses_Mensual!M100, 2)</f>
        <v/>
      </c>
      <c r="K100" s="29">
        <f>ROUND(Saldos_Capital_Mensual!N100 + Saldos_Intereses_Mensual!N100, 2)</f>
        <v/>
      </c>
      <c r="L100" s="29">
        <f>ROUND(Saldos_Capital_Mensual!O100 + Saldos_Intereses_Mensual!O100, 2)</f>
        <v/>
      </c>
      <c r="M100" s="29">
        <f>ROUND(Saldos_Capital_Mensual!P100 + Saldos_Intereses_Mensual!P100, 2)</f>
        <v/>
      </c>
      <c r="N100" s="29">
        <f>ROUND(Saldos_Capital_Mensual!Q100 + Saldos_Intereses_Mensual!Q100, 2)</f>
        <v/>
      </c>
      <c r="O100" s="29">
        <f>ROUND(Saldos_Capital_Mensual!R100 + Saldos_Intereses_Mensual!R100, 2)</f>
        <v/>
      </c>
      <c r="P100" s="29">
        <f>ROUND(Saldos_Capital_Mensual!S100 + Saldos_Intereses_Mensual!S100, 2)</f>
        <v/>
      </c>
      <c r="Q100" s="29">
        <f>ROUND(Saldos_Capital_Mensual!T100 + Saldos_Intereses_Mensual!T100, 2)</f>
        <v/>
      </c>
      <c r="R100" s="29">
        <f>MAX(F100:Q100)</f>
        <v/>
      </c>
    </row>
    <row r="101">
      <c r="A101" s="20" t="inlineStr">
        <is>
          <t>0645-0001</t>
        </is>
      </c>
      <c r="B101" s="21" t="inlineStr">
        <is>
          <t>Armando Duran Rubio</t>
        </is>
      </c>
      <c r="C101" s="21" t="inlineStr">
        <is>
          <t>Ram 1500 Bighorn</t>
        </is>
      </c>
      <c r="D101" s="20" t="inlineStr">
        <is>
          <t>ACTIVO</t>
        </is>
      </c>
      <c r="E101" s="22" t="n">
        <v>48</v>
      </c>
      <c r="F101" s="23">
        <f>ROUND(Saldos_Capital_Mensual!I101 + Saldos_Intereses_Mensual!I101, 2)</f>
        <v/>
      </c>
      <c r="G101" s="23">
        <f>ROUND(Saldos_Capital_Mensual!J101 + Saldos_Intereses_Mensual!J101, 2)</f>
        <v/>
      </c>
      <c r="H101" s="23">
        <f>ROUND(Saldos_Capital_Mensual!K101 + Saldos_Intereses_Mensual!K101, 2)</f>
        <v/>
      </c>
      <c r="I101" s="23">
        <f>ROUND(Saldos_Capital_Mensual!L101 + Saldos_Intereses_Mensual!L101, 2)</f>
        <v/>
      </c>
      <c r="J101" s="23">
        <f>ROUND(Saldos_Capital_Mensual!M101 + Saldos_Intereses_Mensual!M101, 2)</f>
        <v/>
      </c>
      <c r="K101" s="23">
        <f>ROUND(Saldos_Capital_Mensual!N101 + Saldos_Intereses_Mensual!N101, 2)</f>
        <v/>
      </c>
      <c r="L101" s="23">
        <f>ROUND(Saldos_Capital_Mensual!O101 + Saldos_Intereses_Mensual!O101, 2)</f>
        <v/>
      </c>
      <c r="M101" s="23">
        <f>ROUND(Saldos_Capital_Mensual!P101 + Saldos_Intereses_Mensual!P101, 2)</f>
        <v/>
      </c>
      <c r="N101" s="23">
        <f>ROUND(Saldos_Capital_Mensual!Q101 + Saldos_Intereses_Mensual!Q101, 2)</f>
        <v/>
      </c>
      <c r="O101" s="23">
        <f>ROUND(Saldos_Capital_Mensual!R101 + Saldos_Intereses_Mensual!R101, 2)</f>
        <v/>
      </c>
      <c r="P101" s="23">
        <f>ROUND(Saldos_Capital_Mensual!S101 + Saldos_Intereses_Mensual!S101, 2)</f>
        <v/>
      </c>
      <c r="Q101" s="23">
        <f>ROUND(Saldos_Capital_Mensual!T101 + Saldos_Intereses_Mensual!T101, 2)</f>
        <v/>
      </c>
      <c r="R101" s="23">
        <f>MAX(F101:Q101)</f>
        <v/>
      </c>
    </row>
    <row r="102">
      <c r="A102" s="26" t="inlineStr">
        <is>
          <t>0646-0001</t>
        </is>
      </c>
      <c r="B102" s="27" t="inlineStr">
        <is>
          <t>Liza Minerva Magallanes Reimers</t>
        </is>
      </c>
      <c r="C102" s="27" t="inlineStr">
        <is>
          <t>Wrangler</t>
        </is>
      </c>
      <c r="D102" s="26" t="inlineStr">
        <is>
          <t>ACTIVO</t>
        </is>
      </c>
      <c r="E102" s="28" t="n">
        <v>48</v>
      </c>
      <c r="F102" s="29">
        <f>ROUND(Saldos_Capital_Mensual!I102 + Saldos_Intereses_Mensual!I102, 2)</f>
        <v/>
      </c>
      <c r="G102" s="29">
        <f>ROUND(Saldos_Capital_Mensual!J102 + Saldos_Intereses_Mensual!J102, 2)</f>
        <v/>
      </c>
      <c r="H102" s="29">
        <f>ROUND(Saldos_Capital_Mensual!K102 + Saldos_Intereses_Mensual!K102, 2)</f>
        <v/>
      </c>
      <c r="I102" s="29">
        <f>ROUND(Saldos_Capital_Mensual!L102 + Saldos_Intereses_Mensual!L102, 2)</f>
        <v/>
      </c>
      <c r="J102" s="29">
        <f>ROUND(Saldos_Capital_Mensual!M102 + Saldos_Intereses_Mensual!M102, 2)</f>
        <v/>
      </c>
      <c r="K102" s="29">
        <f>ROUND(Saldos_Capital_Mensual!N102 + Saldos_Intereses_Mensual!N102, 2)</f>
        <v/>
      </c>
      <c r="L102" s="29">
        <f>ROUND(Saldos_Capital_Mensual!O102 + Saldos_Intereses_Mensual!O102, 2)</f>
        <v/>
      </c>
      <c r="M102" s="29">
        <f>ROUND(Saldos_Capital_Mensual!P102 + Saldos_Intereses_Mensual!P102, 2)</f>
        <v/>
      </c>
      <c r="N102" s="29">
        <f>ROUND(Saldos_Capital_Mensual!Q102 + Saldos_Intereses_Mensual!Q102, 2)</f>
        <v/>
      </c>
      <c r="O102" s="29">
        <f>ROUND(Saldos_Capital_Mensual!R102 + Saldos_Intereses_Mensual!R102, 2)</f>
        <v/>
      </c>
      <c r="P102" s="29">
        <f>ROUND(Saldos_Capital_Mensual!S102 + Saldos_Intereses_Mensual!S102, 2)</f>
        <v/>
      </c>
      <c r="Q102" s="29">
        <f>ROUND(Saldos_Capital_Mensual!T102 + Saldos_Intereses_Mensual!T102, 2)</f>
        <v/>
      </c>
      <c r="R102" s="29">
        <f>MAX(F102:Q102)</f>
        <v/>
      </c>
    </row>
    <row r="103">
      <c r="A103" s="20" t="inlineStr">
        <is>
          <t>0647-0001</t>
        </is>
      </c>
      <c r="B103" s="21" t="inlineStr">
        <is>
          <t>Cibara Gourmet S de Rl de Cv</t>
        </is>
      </c>
      <c r="C103" s="21" t="inlineStr">
        <is>
          <t>Partner Maxi</t>
        </is>
      </c>
      <c r="D103" s="20" t="inlineStr">
        <is>
          <t>ACTIVO</t>
        </is>
      </c>
      <c r="E103" s="22" t="n">
        <v>36</v>
      </c>
      <c r="F103" s="23">
        <f>ROUND(Saldos_Capital_Mensual!I103 + Saldos_Intereses_Mensual!I103, 2)</f>
        <v/>
      </c>
      <c r="G103" s="23">
        <f>ROUND(Saldos_Capital_Mensual!J103 + Saldos_Intereses_Mensual!J103, 2)</f>
        <v/>
      </c>
      <c r="H103" s="23">
        <f>ROUND(Saldos_Capital_Mensual!K103 + Saldos_Intereses_Mensual!K103, 2)</f>
        <v/>
      </c>
      <c r="I103" s="23">
        <f>ROUND(Saldos_Capital_Mensual!L103 + Saldos_Intereses_Mensual!L103, 2)</f>
        <v/>
      </c>
      <c r="J103" s="23">
        <f>ROUND(Saldos_Capital_Mensual!M103 + Saldos_Intereses_Mensual!M103, 2)</f>
        <v/>
      </c>
      <c r="K103" s="23">
        <f>ROUND(Saldos_Capital_Mensual!N103 + Saldos_Intereses_Mensual!N103, 2)</f>
        <v/>
      </c>
      <c r="L103" s="23">
        <f>ROUND(Saldos_Capital_Mensual!O103 + Saldos_Intereses_Mensual!O103, 2)</f>
        <v/>
      </c>
      <c r="M103" s="23">
        <f>ROUND(Saldos_Capital_Mensual!P103 + Saldos_Intereses_Mensual!P103, 2)</f>
        <v/>
      </c>
      <c r="N103" s="23">
        <f>ROUND(Saldos_Capital_Mensual!Q103 + Saldos_Intereses_Mensual!Q103, 2)</f>
        <v/>
      </c>
      <c r="O103" s="23">
        <f>ROUND(Saldos_Capital_Mensual!R103 + Saldos_Intereses_Mensual!R103, 2)</f>
        <v/>
      </c>
      <c r="P103" s="23">
        <f>ROUND(Saldos_Capital_Mensual!S103 + Saldos_Intereses_Mensual!S103, 2)</f>
        <v/>
      </c>
      <c r="Q103" s="23">
        <f>ROUND(Saldos_Capital_Mensual!T103 + Saldos_Intereses_Mensual!T103, 2)</f>
        <v/>
      </c>
      <c r="R103" s="23">
        <f>MAX(F103:Q103)</f>
        <v/>
      </c>
    </row>
    <row r="104">
      <c r="A104" s="26" t="inlineStr">
        <is>
          <t>0647-0002</t>
        </is>
      </c>
      <c r="B104" s="27" t="inlineStr">
        <is>
          <t>Cibara Gourmet S de Rl de Cv</t>
        </is>
      </c>
      <c r="C104" s="27" t="inlineStr">
        <is>
          <t>Rifter Allure Pack</t>
        </is>
      </c>
      <c r="D104" s="26" t="inlineStr">
        <is>
          <t>ACTIVO</t>
        </is>
      </c>
      <c r="E104" s="28" t="n">
        <v>36</v>
      </c>
      <c r="F104" s="29">
        <f>ROUND(Saldos_Capital_Mensual!I104 + Saldos_Intereses_Mensual!I104, 2)</f>
        <v/>
      </c>
      <c r="G104" s="29">
        <f>ROUND(Saldos_Capital_Mensual!J104 + Saldos_Intereses_Mensual!J104, 2)</f>
        <v/>
      </c>
      <c r="H104" s="29">
        <f>ROUND(Saldos_Capital_Mensual!K104 + Saldos_Intereses_Mensual!K104, 2)</f>
        <v/>
      </c>
      <c r="I104" s="29">
        <f>ROUND(Saldos_Capital_Mensual!L104 + Saldos_Intereses_Mensual!L104, 2)</f>
        <v/>
      </c>
      <c r="J104" s="29">
        <f>ROUND(Saldos_Capital_Mensual!M104 + Saldos_Intereses_Mensual!M104, 2)</f>
        <v/>
      </c>
      <c r="K104" s="29">
        <f>ROUND(Saldos_Capital_Mensual!N104 + Saldos_Intereses_Mensual!N104, 2)</f>
        <v/>
      </c>
      <c r="L104" s="29">
        <f>ROUND(Saldos_Capital_Mensual!O104 + Saldos_Intereses_Mensual!O104, 2)</f>
        <v/>
      </c>
      <c r="M104" s="29">
        <f>ROUND(Saldos_Capital_Mensual!P104 + Saldos_Intereses_Mensual!P104, 2)</f>
        <v/>
      </c>
      <c r="N104" s="29">
        <f>ROUND(Saldos_Capital_Mensual!Q104 + Saldos_Intereses_Mensual!Q104, 2)</f>
        <v/>
      </c>
      <c r="O104" s="29">
        <f>ROUND(Saldos_Capital_Mensual!R104 + Saldos_Intereses_Mensual!R104, 2)</f>
        <v/>
      </c>
      <c r="P104" s="29">
        <f>ROUND(Saldos_Capital_Mensual!S104 + Saldos_Intereses_Mensual!S104, 2)</f>
        <v/>
      </c>
      <c r="Q104" s="29">
        <f>ROUND(Saldos_Capital_Mensual!T104 + Saldos_Intereses_Mensual!T104, 2)</f>
        <v/>
      </c>
      <c r="R104" s="29">
        <f>MAX(F104:Q104)</f>
        <v/>
      </c>
    </row>
    <row r="105">
      <c r="A105" s="20" t="inlineStr">
        <is>
          <t>0647-0003</t>
        </is>
      </c>
      <c r="B105" s="21" t="inlineStr">
        <is>
          <t>Cibaria Gourmet S de Rl de Cv</t>
        </is>
      </c>
      <c r="C105" s="21" t="inlineStr">
        <is>
          <t>1200 Bighorn</t>
        </is>
      </c>
      <c r="D105" s="20" t="inlineStr">
        <is>
          <t>ACTIVO</t>
        </is>
      </c>
      <c r="E105" s="22" t="n">
        <v>36</v>
      </c>
      <c r="F105" s="23" t="inlineStr"/>
      <c r="G105" s="23" t="inlineStr"/>
      <c r="H105" s="23" t="inlineStr"/>
      <c r="I105" s="23" t="inlineStr"/>
      <c r="J105" s="23" t="inlineStr"/>
      <c r="K105" s="23">
        <f>ROUND(Saldos_Capital_Mensual!N105 + Saldos_Intereses_Mensual!N105, 2)</f>
        <v/>
      </c>
      <c r="L105" s="23">
        <f>ROUND(Saldos_Capital_Mensual!O105 + Saldos_Intereses_Mensual!O105, 2)</f>
        <v/>
      </c>
      <c r="M105" s="23">
        <f>ROUND(Saldos_Capital_Mensual!P105 + Saldos_Intereses_Mensual!P105, 2)</f>
        <v/>
      </c>
      <c r="N105" s="23">
        <f>ROUND(Saldos_Capital_Mensual!Q105 + Saldos_Intereses_Mensual!Q105, 2)</f>
        <v/>
      </c>
      <c r="O105" s="23">
        <f>ROUND(Saldos_Capital_Mensual!R105 + Saldos_Intereses_Mensual!R105, 2)</f>
        <v/>
      </c>
      <c r="P105" s="23">
        <f>ROUND(Saldos_Capital_Mensual!S105 + Saldos_Intereses_Mensual!S105, 2)</f>
        <v/>
      </c>
      <c r="Q105" s="23">
        <f>ROUND(Saldos_Capital_Mensual!T105 + Saldos_Intereses_Mensual!T105, 2)</f>
        <v/>
      </c>
      <c r="R105" s="23">
        <f>MAX(F105:Q105)</f>
        <v/>
      </c>
    </row>
    <row r="106">
      <c r="A106" s="26" t="inlineStr">
        <is>
          <t>0647-0004</t>
        </is>
      </c>
      <c r="B106" s="27" t="inlineStr">
        <is>
          <t>Cibaria Gourmet S de Rl de Cv</t>
        </is>
      </c>
      <c r="C106" s="27" t="inlineStr">
        <is>
          <t>1200 Bighorn</t>
        </is>
      </c>
      <c r="D106" s="26" t="inlineStr">
        <is>
          <t>ACTIVO</t>
        </is>
      </c>
      <c r="E106" s="28" t="n">
        <v>36</v>
      </c>
      <c r="F106" s="29" t="inlineStr"/>
      <c r="G106" s="29" t="inlineStr"/>
      <c r="H106" s="29" t="inlineStr"/>
      <c r="I106" s="29" t="inlineStr"/>
      <c r="J106" s="29" t="inlineStr"/>
      <c r="K106" s="29">
        <f>ROUND(Saldos_Capital_Mensual!N106 + Saldos_Intereses_Mensual!N106, 2)</f>
        <v/>
      </c>
      <c r="L106" s="29">
        <f>ROUND(Saldos_Capital_Mensual!O106 + Saldos_Intereses_Mensual!O106, 2)</f>
        <v/>
      </c>
      <c r="M106" s="29">
        <f>ROUND(Saldos_Capital_Mensual!P106 + Saldos_Intereses_Mensual!P106, 2)</f>
        <v/>
      </c>
      <c r="N106" s="29">
        <f>ROUND(Saldos_Capital_Mensual!Q106 + Saldos_Intereses_Mensual!Q106, 2)</f>
        <v/>
      </c>
      <c r="O106" s="29">
        <f>ROUND(Saldos_Capital_Mensual!R106 + Saldos_Intereses_Mensual!R106, 2)</f>
        <v/>
      </c>
      <c r="P106" s="29">
        <f>ROUND(Saldos_Capital_Mensual!S106 + Saldos_Intereses_Mensual!S106, 2)</f>
        <v/>
      </c>
      <c r="Q106" s="29">
        <f>ROUND(Saldos_Capital_Mensual!T106 + Saldos_Intereses_Mensual!T106, 2)</f>
        <v/>
      </c>
      <c r="R106" s="29">
        <f>MAX(F106:Q106)</f>
        <v/>
      </c>
    </row>
    <row r="107">
      <c r="A107" s="20" t="inlineStr">
        <is>
          <t>0648-0002</t>
        </is>
      </c>
      <c r="B107" s="21" t="inlineStr">
        <is>
          <t>Jorge Luis Cervantes Gonzalez</t>
        </is>
      </c>
      <c r="C107" s="21" t="inlineStr">
        <is>
          <t>Wagoneer</t>
        </is>
      </c>
      <c r="D107" s="20" t="inlineStr">
        <is>
          <t>ACTIVO</t>
        </is>
      </c>
      <c r="E107" s="22" t="n">
        <v>48</v>
      </c>
      <c r="F107" s="23">
        <f>ROUND(Saldos_Capital_Mensual!I107 + Saldos_Intereses_Mensual!I107, 2)</f>
        <v/>
      </c>
      <c r="G107" s="23">
        <f>ROUND(Saldos_Capital_Mensual!J107 + Saldos_Intereses_Mensual!J107, 2)</f>
        <v/>
      </c>
      <c r="H107" s="23">
        <f>ROUND(Saldos_Capital_Mensual!K107 + Saldos_Intereses_Mensual!K107, 2)</f>
        <v/>
      </c>
      <c r="I107" s="23">
        <f>ROUND(Saldos_Capital_Mensual!L107 + Saldos_Intereses_Mensual!L107, 2)</f>
        <v/>
      </c>
      <c r="J107" s="23">
        <f>ROUND(Saldos_Capital_Mensual!M107 + Saldos_Intereses_Mensual!M107, 2)</f>
        <v/>
      </c>
      <c r="K107" s="23">
        <f>ROUND(Saldos_Capital_Mensual!N107 + Saldos_Intereses_Mensual!N107, 2)</f>
        <v/>
      </c>
      <c r="L107" s="23">
        <f>ROUND(Saldos_Capital_Mensual!O107 + Saldos_Intereses_Mensual!O107, 2)</f>
        <v/>
      </c>
      <c r="M107" s="23">
        <f>ROUND(Saldos_Capital_Mensual!P107 + Saldos_Intereses_Mensual!P107, 2)</f>
        <v/>
      </c>
      <c r="N107" s="23">
        <f>ROUND(Saldos_Capital_Mensual!Q107 + Saldos_Intereses_Mensual!Q107, 2)</f>
        <v/>
      </c>
      <c r="O107" s="23">
        <f>ROUND(Saldos_Capital_Mensual!R107 + Saldos_Intereses_Mensual!R107, 2)</f>
        <v/>
      </c>
      <c r="P107" s="23">
        <f>ROUND(Saldos_Capital_Mensual!S107 + Saldos_Intereses_Mensual!S107, 2)</f>
        <v/>
      </c>
      <c r="Q107" s="23">
        <f>ROUND(Saldos_Capital_Mensual!T107 + Saldos_Intereses_Mensual!T107, 2)</f>
        <v/>
      </c>
      <c r="R107" s="23">
        <f>MAX(F107:Q107)</f>
        <v/>
      </c>
    </row>
    <row r="108">
      <c r="A108" s="26" t="inlineStr">
        <is>
          <t>0648-0003</t>
        </is>
      </c>
      <c r="B108" s="27" t="inlineStr">
        <is>
          <t>Jorge Luis Cervantes Gonzalez</t>
        </is>
      </c>
      <c r="C108" s="27" t="inlineStr">
        <is>
          <t>Wrangler Tuscadero</t>
        </is>
      </c>
      <c r="D108" s="26" t="inlineStr">
        <is>
          <t>ACTIVO</t>
        </is>
      </c>
      <c r="E108" s="28" t="n">
        <v>48</v>
      </c>
      <c r="F108" s="29">
        <f>ROUND(Saldos_Capital_Mensual!I108 + Saldos_Intereses_Mensual!I108, 2)</f>
        <v/>
      </c>
      <c r="G108" s="29">
        <f>ROUND(Saldos_Capital_Mensual!J108 + Saldos_Intereses_Mensual!J108, 2)</f>
        <v/>
      </c>
      <c r="H108" s="29">
        <f>ROUND(Saldos_Capital_Mensual!K108 + Saldos_Intereses_Mensual!K108, 2)</f>
        <v/>
      </c>
      <c r="I108" s="29">
        <f>ROUND(Saldos_Capital_Mensual!L108 + Saldos_Intereses_Mensual!L108, 2)</f>
        <v/>
      </c>
      <c r="J108" s="29">
        <f>ROUND(Saldos_Capital_Mensual!M108 + Saldos_Intereses_Mensual!M108, 2)</f>
        <v/>
      </c>
      <c r="K108" s="29">
        <f>ROUND(Saldos_Capital_Mensual!N108 + Saldos_Intereses_Mensual!N108, 2)</f>
        <v/>
      </c>
      <c r="L108" s="29">
        <f>ROUND(Saldos_Capital_Mensual!O108 + Saldos_Intereses_Mensual!O108, 2)</f>
        <v/>
      </c>
      <c r="M108" s="29">
        <f>ROUND(Saldos_Capital_Mensual!P108 + Saldos_Intereses_Mensual!P108, 2)</f>
        <v/>
      </c>
      <c r="N108" s="29">
        <f>ROUND(Saldos_Capital_Mensual!Q108 + Saldos_Intereses_Mensual!Q108, 2)</f>
        <v/>
      </c>
      <c r="O108" s="29">
        <f>ROUND(Saldos_Capital_Mensual!R108 + Saldos_Intereses_Mensual!R108, 2)</f>
        <v/>
      </c>
      <c r="P108" s="29">
        <f>ROUND(Saldos_Capital_Mensual!S108 + Saldos_Intereses_Mensual!S108, 2)</f>
        <v/>
      </c>
      <c r="Q108" s="29">
        <f>ROUND(Saldos_Capital_Mensual!T108 + Saldos_Intereses_Mensual!T108, 2)</f>
        <v/>
      </c>
      <c r="R108" s="29">
        <f>MAX(F108:Q108)</f>
        <v/>
      </c>
    </row>
    <row r="109">
      <c r="A109" s="20" t="inlineStr">
        <is>
          <t>0648-0004</t>
        </is>
      </c>
      <c r="B109" s="21" t="inlineStr">
        <is>
          <t>Jorge Luis Cervantes Gonzalez</t>
        </is>
      </c>
      <c r="C109" s="21" t="inlineStr">
        <is>
          <t>JEEP 392</t>
        </is>
      </c>
      <c r="D109" s="20" t="inlineStr">
        <is>
          <t>ACTIVO</t>
        </is>
      </c>
      <c r="E109" s="22" t="n">
        <v>36</v>
      </c>
      <c r="F109" s="23">
        <f>ROUND(Saldos_Capital_Mensual!I109 + Saldos_Intereses_Mensual!I109, 2)</f>
        <v/>
      </c>
      <c r="G109" s="23">
        <f>ROUND(Saldos_Capital_Mensual!J109 + Saldos_Intereses_Mensual!J109, 2)</f>
        <v/>
      </c>
      <c r="H109" s="23">
        <f>ROUND(Saldos_Capital_Mensual!K109 + Saldos_Intereses_Mensual!K109, 2)</f>
        <v/>
      </c>
      <c r="I109" s="23">
        <f>ROUND(Saldos_Capital_Mensual!L109 + Saldos_Intereses_Mensual!L109, 2)</f>
        <v/>
      </c>
      <c r="J109" s="23">
        <f>ROUND(Saldos_Capital_Mensual!M109 + Saldos_Intereses_Mensual!M109, 2)</f>
        <v/>
      </c>
      <c r="K109" s="23">
        <f>ROUND(Saldos_Capital_Mensual!N109 + Saldos_Intereses_Mensual!N109, 2)</f>
        <v/>
      </c>
      <c r="L109" s="23">
        <f>ROUND(Saldos_Capital_Mensual!O109 + Saldos_Intereses_Mensual!O109, 2)</f>
        <v/>
      </c>
      <c r="M109" s="23">
        <f>ROUND(Saldos_Capital_Mensual!P109 + Saldos_Intereses_Mensual!P109, 2)</f>
        <v/>
      </c>
      <c r="N109" s="23">
        <f>ROUND(Saldos_Capital_Mensual!Q109 + Saldos_Intereses_Mensual!Q109, 2)</f>
        <v/>
      </c>
      <c r="O109" s="23">
        <f>ROUND(Saldos_Capital_Mensual!R109 + Saldos_Intereses_Mensual!R109, 2)</f>
        <v/>
      </c>
      <c r="P109" s="23">
        <f>ROUND(Saldos_Capital_Mensual!S109 + Saldos_Intereses_Mensual!S109, 2)</f>
        <v/>
      </c>
      <c r="Q109" s="23">
        <f>ROUND(Saldos_Capital_Mensual!T109 + Saldos_Intereses_Mensual!T109, 2)</f>
        <v/>
      </c>
      <c r="R109" s="23">
        <f>MAX(F109:Q109)</f>
        <v/>
      </c>
    </row>
    <row r="110">
      <c r="A110" s="26" t="inlineStr">
        <is>
          <t>0648-0005</t>
        </is>
      </c>
      <c r="B110" s="27" t="inlineStr">
        <is>
          <t>Jorge Luis Cervantes Gonzalez</t>
        </is>
      </c>
      <c r="C110" s="27" t="inlineStr">
        <is>
          <t>1500 RHO</t>
        </is>
      </c>
      <c r="D110" s="26" t="inlineStr">
        <is>
          <t>ACTIVO</t>
        </is>
      </c>
      <c r="E110" s="28" t="n">
        <v>36</v>
      </c>
      <c r="F110" s="29">
        <f>ROUND(Saldos_Capital_Mensual!I110 + Saldos_Intereses_Mensual!I110, 2)</f>
        <v/>
      </c>
      <c r="G110" s="29">
        <f>ROUND(Saldos_Capital_Mensual!J110 + Saldos_Intereses_Mensual!J110, 2)</f>
        <v/>
      </c>
      <c r="H110" s="29">
        <f>ROUND(Saldos_Capital_Mensual!K110 + Saldos_Intereses_Mensual!K110, 2)</f>
        <v/>
      </c>
      <c r="I110" s="29">
        <f>ROUND(Saldos_Capital_Mensual!L110 + Saldos_Intereses_Mensual!L110, 2)</f>
        <v/>
      </c>
      <c r="J110" s="29">
        <f>ROUND(Saldos_Capital_Mensual!M110 + Saldos_Intereses_Mensual!M110, 2)</f>
        <v/>
      </c>
      <c r="K110" s="29">
        <f>ROUND(Saldos_Capital_Mensual!N110 + Saldos_Intereses_Mensual!N110, 2)</f>
        <v/>
      </c>
      <c r="L110" s="29">
        <f>ROUND(Saldos_Capital_Mensual!O110 + Saldos_Intereses_Mensual!O110, 2)</f>
        <v/>
      </c>
      <c r="M110" s="29">
        <f>ROUND(Saldos_Capital_Mensual!P110 + Saldos_Intereses_Mensual!P110, 2)</f>
        <v/>
      </c>
      <c r="N110" s="29">
        <f>ROUND(Saldos_Capital_Mensual!Q110 + Saldos_Intereses_Mensual!Q110, 2)</f>
        <v/>
      </c>
      <c r="O110" s="29">
        <f>ROUND(Saldos_Capital_Mensual!R110 + Saldos_Intereses_Mensual!R110, 2)</f>
        <v/>
      </c>
      <c r="P110" s="29">
        <f>ROUND(Saldos_Capital_Mensual!S110 + Saldos_Intereses_Mensual!S110, 2)</f>
        <v/>
      </c>
      <c r="Q110" s="29">
        <f>ROUND(Saldos_Capital_Mensual!T110 + Saldos_Intereses_Mensual!T110, 2)</f>
        <v/>
      </c>
      <c r="R110" s="29">
        <f>MAX(F110:Q110)</f>
        <v/>
      </c>
    </row>
    <row r="111">
      <c r="A111" s="20" t="inlineStr">
        <is>
          <t>0648-0006</t>
        </is>
      </c>
      <c r="B111" s="21" t="inlineStr">
        <is>
          <t>Jorge Luis Cervantes Gonzalez</t>
        </is>
      </c>
      <c r="C111" s="21" t="inlineStr">
        <is>
          <t>Durango Hellcat SRT</t>
        </is>
      </c>
      <c r="D111" s="20" t="inlineStr">
        <is>
          <t>ACTIVO</t>
        </is>
      </c>
      <c r="E111" s="22" t="n">
        <v>36</v>
      </c>
      <c r="F111" s="23" t="inlineStr"/>
      <c r="G111" s="23" t="inlineStr"/>
      <c r="H111" s="23" t="inlineStr"/>
      <c r="I111" s="23">
        <f>ROUND(Saldos_Capital_Mensual!L111 + Saldos_Intereses_Mensual!L111, 2)</f>
        <v/>
      </c>
      <c r="J111" s="23">
        <f>ROUND(Saldos_Capital_Mensual!M111 + Saldos_Intereses_Mensual!M111, 2)</f>
        <v/>
      </c>
      <c r="K111" s="23">
        <f>ROUND(Saldos_Capital_Mensual!N111 + Saldos_Intereses_Mensual!N111, 2)</f>
        <v/>
      </c>
      <c r="L111" s="23">
        <f>ROUND(Saldos_Capital_Mensual!O111 + Saldos_Intereses_Mensual!O111, 2)</f>
        <v/>
      </c>
      <c r="M111" s="23">
        <f>ROUND(Saldos_Capital_Mensual!P111 + Saldos_Intereses_Mensual!P111, 2)</f>
        <v/>
      </c>
      <c r="N111" s="23">
        <f>ROUND(Saldos_Capital_Mensual!Q111 + Saldos_Intereses_Mensual!Q111, 2)</f>
        <v/>
      </c>
      <c r="O111" s="23">
        <f>ROUND(Saldos_Capital_Mensual!R111 + Saldos_Intereses_Mensual!R111, 2)</f>
        <v/>
      </c>
      <c r="P111" s="23">
        <f>ROUND(Saldos_Capital_Mensual!S111 + Saldos_Intereses_Mensual!S111, 2)</f>
        <v/>
      </c>
      <c r="Q111" s="23">
        <f>ROUND(Saldos_Capital_Mensual!T111 + Saldos_Intereses_Mensual!T111, 2)</f>
        <v/>
      </c>
      <c r="R111" s="23">
        <f>MAX(F111:Q111)</f>
        <v/>
      </c>
    </row>
    <row r="112">
      <c r="A112" s="26" t="inlineStr">
        <is>
          <t>0649-0001</t>
        </is>
      </c>
      <c r="B112" s="27" t="inlineStr">
        <is>
          <t>Compusoluciones Y Asociados Sa de Cv</t>
        </is>
      </c>
      <c r="C112" s="27" t="inlineStr">
        <is>
          <t>CX-30</t>
        </is>
      </c>
      <c r="D112" s="26" t="inlineStr">
        <is>
          <t>ACTIVO</t>
        </is>
      </c>
      <c r="E112" s="28" t="n">
        <v>48</v>
      </c>
      <c r="F112" s="29">
        <f>ROUND(Saldos_Capital_Mensual!I112 + Saldos_Intereses_Mensual!I112, 2)</f>
        <v/>
      </c>
      <c r="G112" s="29">
        <f>ROUND(Saldos_Capital_Mensual!J112 + Saldos_Intereses_Mensual!J112, 2)</f>
        <v/>
      </c>
      <c r="H112" s="29">
        <f>ROUND(Saldos_Capital_Mensual!K112 + Saldos_Intereses_Mensual!K112, 2)</f>
        <v/>
      </c>
      <c r="I112" s="29">
        <f>ROUND(Saldos_Capital_Mensual!L112 + Saldos_Intereses_Mensual!L112, 2)</f>
        <v/>
      </c>
      <c r="J112" s="29">
        <f>ROUND(Saldos_Capital_Mensual!M112 + Saldos_Intereses_Mensual!M112, 2)</f>
        <v/>
      </c>
      <c r="K112" s="29">
        <f>ROUND(Saldos_Capital_Mensual!N112 + Saldos_Intereses_Mensual!N112, 2)</f>
        <v/>
      </c>
      <c r="L112" s="29">
        <f>ROUND(Saldos_Capital_Mensual!O112 + Saldos_Intereses_Mensual!O112, 2)</f>
        <v/>
      </c>
      <c r="M112" s="29">
        <f>ROUND(Saldos_Capital_Mensual!P112 + Saldos_Intereses_Mensual!P112, 2)</f>
        <v/>
      </c>
      <c r="N112" s="29">
        <f>ROUND(Saldos_Capital_Mensual!Q112 + Saldos_Intereses_Mensual!Q112, 2)</f>
        <v/>
      </c>
      <c r="O112" s="29">
        <f>ROUND(Saldos_Capital_Mensual!R112 + Saldos_Intereses_Mensual!R112, 2)</f>
        <v/>
      </c>
      <c r="P112" s="29">
        <f>ROUND(Saldos_Capital_Mensual!S112 + Saldos_Intereses_Mensual!S112, 2)</f>
        <v/>
      </c>
      <c r="Q112" s="29">
        <f>ROUND(Saldos_Capital_Mensual!T112 + Saldos_Intereses_Mensual!T112, 2)</f>
        <v/>
      </c>
      <c r="R112" s="29">
        <f>MAX(F112:Q112)</f>
        <v/>
      </c>
    </row>
    <row r="113">
      <c r="A113" s="20" t="inlineStr">
        <is>
          <t>0649-0002</t>
        </is>
      </c>
      <c r="B113" s="21" t="inlineStr">
        <is>
          <t>Compusoluciones Y Asociados Sa de Cv</t>
        </is>
      </c>
      <c r="C113" s="21" t="inlineStr">
        <is>
          <t>CX5</t>
        </is>
      </c>
      <c r="D113" s="20" t="inlineStr">
        <is>
          <t>ACTIVO</t>
        </is>
      </c>
      <c r="E113" s="22" t="n">
        <v>48</v>
      </c>
      <c r="F113" s="23">
        <f>ROUND(Saldos_Capital_Mensual!I113 + Saldos_Intereses_Mensual!I113, 2)</f>
        <v/>
      </c>
      <c r="G113" s="23">
        <f>ROUND(Saldos_Capital_Mensual!J113 + Saldos_Intereses_Mensual!J113, 2)</f>
        <v/>
      </c>
      <c r="H113" s="23">
        <f>ROUND(Saldos_Capital_Mensual!K113 + Saldos_Intereses_Mensual!K113, 2)</f>
        <v/>
      </c>
      <c r="I113" s="23">
        <f>ROUND(Saldos_Capital_Mensual!L113 + Saldos_Intereses_Mensual!L113, 2)</f>
        <v/>
      </c>
      <c r="J113" s="23">
        <f>ROUND(Saldos_Capital_Mensual!M113 + Saldos_Intereses_Mensual!M113, 2)</f>
        <v/>
      </c>
      <c r="K113" s="23">
        <f>ROUND(Saldos_Capital_Mensual!N113 + Saldos_Intereses_Mensual!N113, 2)</f>
        <v/>
      </c>
      <c r="L113" s="23">
        <f>ROUND(Saldos_Capital_Mensual!O113 + Saldos_Intereses_Mensual!O113, 2)</f>
        <v/>
      </c>
      <c r="M113" s="23">
        <f>ROUND(Saldos_Capital_Mensual!P113 + Saldos_Intereses_Mensual!P113, 2)</f>
        <v/>
      </c>
      <c r="N113" s="23">
        <f>ROUND(Saldos_Capital_Mensual!Q113 + Saldos_Intereses_Mensual!Q113, 2)</f>
        <v/>
      </c>
      <c r="O113" s="23">
        <f>ROUND(Saldos_Capital_Mensual!R113 + Saldos_Intereses_Mensual!R113, 2)</f>
        <v/>
      </c>
      <c r="P113" s="23">
        <f>ROUND(Saldos_Capital_Mensual!S113 + Saldos_Intereses_Mensual!S113, 2)</f>
        <v/>
      </c>
      <c r="Q113" s="23">
        <f>ROUND(Saldos_Capital_Mensual!T113 + Saldos_Intereses_Mensual!T113, 2)</f>
        <v/>
      </c>
      <c r="R113" s="23">
        <f>MAX(F113:Q113)</f>
        <v/>
      </c>
    </row>
    <row r="114">
      <c r="A114" s="26" t="inlineStr">
        <is>
          <t>0649-0003</t>
        </is>
      </c>
      <c r="B114" s="27" t="inlineStr">
        <is>
          <t>Compusoluciones Y Asociados Sa de Cv</t>
        </is>
      </c>
      <c r="C114" s="27" t="inlineStr">
        <is>
          <t>Highlander XLE</t>
        </is>
      </c>
      <c r="D114" s="26" t="inlineStr">
        <is>
          <t>ACTIVO</t>
        </is>
      </c>
      <c r="E114" s="28" t="n">
        <v>48</v>
      </c>
      <c r="F114" s="29">
        <f>ROUND(Saldos_Capital_Mensual!I114 + Saldos_Intereses_Mensual!I114, 2)</f>
        <v/>
      </c>
      <c r="G114" s="29">
        <f>ROUND(Saldos_Capital_Mensual!J114 + Saldos_Intereses_Mensual!J114, 2)</f>
        <v/>
      </c>
      <c r="H114" s="29">
        <f>ROUND(Saldos_Capital_Mensual!K114 + Saldos_Intereses_Mensual!K114, 2)</f>
        <v/>
      </c>
      <c r="I114" s="29">
        <f>ROUND(Saldos_Capital_Mensual!L114 + Saldos_Intereses_Mensual!L114, 2)</f>
        <v/>
      </c>
      <c r="J114" s="29">
        <f>ROUND(Saldos_Capital_Mensual!M114 + Saldos_Intereses_Mensual!M114, 2)</f>
        <v/>
      </c>
      <c r="K114" s="29">
        <f>ROUND(Saldos_Capital_Mensual!N114 + Saldos_Intereses_Mensual!N114, 2)</f>
        <v/>
      </c>
      <c r="L114" s="29">
        <f>ROUND(Saldos_Capital_Mensual!O114 + Saldos_Intereses_Mensual!O114, 2)</f>
        <v/>
      </c>
      <c r="M114" s="29">
        <f>ROUND(Saldos_Capital_Mensual!P114 + Saldos_Intereses_Mensual!P114, 2)</f>
        <v/>
      </c>
      <c r="N114" s="29">
        <f>ROUND(Saldos_Capital_Mensual!Q114 + Saldos_Intereses_Mensual!Q114, 2)</f>
        <v/>
      </c>
      <c r="O114" s="29">
        <f>ROUND(Saldos_Capital_Mensual!R114 + Saldos_Intereses_Mensual!R114, 2)</f>
        <v/>
      </c>
      <c r="P114" s="29">
        <f>ROUND(Saldos_Capital_Mensual!S114 + Saldos_Intereses_Mensual!S114, 2)</f>
        <v/>
      </c>
      <c r="Q114" s="29">
        <f>ROUND(Saldos_Capital_Mensual!T114 + Saldos_Intereses_Mensual!T114, 2)</f>
        <v/>
      </c>
      <c r="R114" s="29">
        <f>MAX(F114:Q114)</f>
        <v/>
      </c>
    </row>
    <row r="115">
      <c r="A115" s="20" t="inlineStr">
        <is>
          <t>0649-0005</t>
        </is>
      </c>
      <c r="B115" s="21" t="inlineStr">
        <is>
          <t>Compusoluciones y Asociados Sa de Cv</t>
        </is>
      </c>
      <c r="C115" s="21" t="inlineStr">
        <is>
          <t>3 i Touring</t>
        </is>
      </c>
      <c r="D115" s="20" t="inlineStr">
        <is>
          <t>ACTIVO</t>
        </is>
      </c>
      <c r="E115" s="22" t="n">
        <v>48</v>
      </c>
      <c r="F115" s="23">
        <f>ROUND(Saldos_Capital_Mensual!I115 + Saldos_Intereses_Mensual!I115, 2)</f>
        <v/>
      </c>
      <c r="G115" s="23">
        <f>ROUND(Saldos_Capital_Mensual!J115 + Saldos_Intereses_Mensual!J115, 2)</f>
        <v/>
      </c>
      <c r="H115" s="23">
        <f>ROUND(Saldos_Capital_Mensual!K115 + Saldos_Intereses_Mensual!K115, 2)</f>
        <v/>
      </c>
      <c r="I115" s="23">
        <f>ROUND(Saldos_Capital_Mensual!L115 + Saldos_Intereses_Mensual!L115, 2)</f>
        <v/>
      </c>
      <c r="J115" s="23">
        <f>ROUND(Saldos_Capital_Mensual!M115 + Saldos_Intereses_Mensual!M115, 2)</f>
        <v/>
      </c>
      <c r="K115" s="23">
        <f>ROUND(Saldos_Capital_Mensual!N115 + Saldos_Intereses_Mensual!N115, 2)</f>
        <v/>
      </c>
      <c r="L115" s="23">
        <f>ROUND(Saldos_Capital_Mensual!O115 + Saldos_Intereses_Mensual!O115, 2)</f>
        <v/>
      </c>
      <c r="M115" s="23">
        <f>ROUND(Saldos_Capital_Mensual!P115 + Saldos_Intereses_Mensual!P115, 2)</f>
        <v/>
      </c>
      <c r="N115" s="23">
        <f>ROUND(Saldos_Capital_Mensual!Q115 + Saldos_Intereses_Mensual!Q115, 2)</f>
        <v/>
      </c>
      <c r="O115" s="23">
        <f>ROUND(Saldos_Capital_Mensual!R115 + Saldos_Intereses_Mensual!R115, 2)</f>
        <v/>
      </c>
      <c r="P115" s="23">
        <f>ROUND(Saldos_Capital_Mensual!S115 + Saldos_Intereses_Mensual!S115, 2)</f>
        <v/>
      </c>
      <c r="Q115" s="23">
        <f>ROUND(Saldos_Capital_Mensual!T115 + Saldos_Intereses_Mensual!T115, 2)</f>
        <v/>
      </c>
      <c r="R115" s="23">
        <f>MAX(F115:Q115)</f>
        <v/>
      </c>
    </row>
    <row r="116">
      <c r="A116" s="26" t="inlineStr">
        <is>
          <t>0649-0006</t>
        </is>
      </c>
      <c r="B116" s="27" t="inlineStr">
        <is>
          <t>Compusoluciones y Asociados sa de Cv</t>
        </is>
      </c>
      <c r="C116" s="27" t="inlineStr">
        <is>
          <t>Mazda Cx5</t>
        </is>
      </c>
      <c r="D116" s="26" t="inlineStr">
        <is>
          <t>ACTIVO</t>
        </is>
      </c>
      <c r="E116" s="28" t="n">
        <v>48</v>
      </c>
      <c r="F116" s="29">
        <f>ROUND(Saldos_Capital_Mensual!I116 + Saldos_Intereses_Mensual!I116, 2)</f>
        <v/>
      </c>
      <c r="G116" s="29">
        <f>ROUND(Saldos_Capital_Mensual!J116 + Saldos_Intereses_Mensual!J116, 2)</f>
        <v/>
      </c>
      <c r="H116" s="29">
        <f>ROUND(Saldos_Capital_Mensual!K116 + Saldos_Intereses_Mensual!K116, 2)</f>
        <v/>
      </c>
      <c r="I116" s="29">
        <f>ROUND(Saldos_Capital_Mensual!L116 + Saldos_Intereses_Mensual!L116, 2)</f>
        <v/>
      </c>
      <c r="J116" s="29">
        <f>ROUND(Saldos_Capital_Mensual!M116 + Saldos_Intereses_Mensual!M116, 2)</f>
        <v/>
      </c>
      <c r="K116" s="29">
        <f>ROUND(Saldos_Capital_Mensual!N116 + Saldos_Intereses_Mensual!N116, 2)</f>
        <v/>
      </c>
      <c r="L116" s="29">
        <f>ROUND(Saldos_Capital_Mensual!O116 + Saldos_Intereses_Mensual!O116, 2)</f>
        <v/>
      </c>
      <c r="M116" s="29">
        <f>ROUND(Saldos_Capital_Mensual!P116 + Saldos_Intereses_Mensual!P116, 2)</f>
        <v/>
      </c>
      <c r="N116" s="29">
        <f>ROUND(Saldos_Capital_Mensual!Q116 + Saldos_Intereses_Mensual!Q116, 2)</f>
        <v/>
      </c>
      <c r="O116" s="29">
        <f>ROUND(Saldos_Capital_Mensual!R116 + Saldos_Intereses_Mensual!R116, 2)</f>
        <v/>
      </c>
      <c r="P116" s="29">
        <f>ROUND(Saldos_Capital_Mensual!S116 + Saldos_Intereses_Mensual!S116, 2)</f>
        <v/>
      </c>
      <c r="Q116" s="29">
        <f>ROUND(Saldos_Capital_Mensual!T116 + Saldos_Intereses_Mensual!T116, 2)</f>
        <v/>
      </c>
      <c r="R116" s="29">
        <f>MAX(F116:Q116)</f>
        <v/>
      </c>
    </row>
    <row r="117">
      <c r="A117" s="20" t="inlineStr">
        <is>
          <t>0649-0007</t>
        </is>
      </c>
      <c r="B117" s="21" t="inlineStr">
        <is>
          <t>Compusoluciones y Asociados sa de Cv</t>
        </is>
      </c>
      <c r="C117" s="21" t="inlineStr">
        <is>
          <t>RX5</t>
        </is>
      </c>
      <c r="D117" s="20" t="inlineStr">
        <is>
          <t>ACTIVO</t>
        </is>
      </c>
      <c r="E117" s="22" t="n">
        <v>36</v>
      </c>
      <c r="F117" s="23">
        <f>ROUND(Saldos_Capital_Mensual!I117 + Saldos_Intereses_Mensual!I117, 2)</f>
        <v/>
      </c>
      <c r="G117" s="23">
        <f>ROUND(Saldos_Capital_Mensual!J117 + Saldos_Intereses_Mensual!J117, 2)</f>
        <v/>
      </c>
      <c r="H117" s="23">
        <f>ROUND(Saldos_Capital_Mensual!K117 + Saldos_Intereses_Mensual!K117, 2)</f>
        <v/>
      </c>
      <c r="I117" s="23">
        <f>ROUND(Saldos_Capital_Mensual!L117 + Saldos_Intereses_Mensual!L117, 2)</f>
        <v/>
      </c>
      <c r="J117" s="23">
        <f>ROUND(Saldos_Capital_Mensual!M117 + Saldos_Intereses_Mensual!M117, 2)</f>
        <v/>
      </c>
      <c r="K117" s="23">
        <f>ROUND(Saldos_Capital_Mensual!N117 + Saldos_Intereses_Mensual!N117, 2)</f>
        <v/>
      </c>
      <c r="L117" s="23">
        <f>ROUND(Saldos_Capital_Mensual!O117 + Saldos_Intereses_Mensual!O117, 2)</f>
        <v/>
      </c>
      <c r="M117" s="23">
        <f>ROUND(Saldos_Capital_Mensual!P117 + Saldos_Intereses_Mensual!P117, 2)</f>
        <v/>
      </c>
      <c r="N117" s="23">
        <f>ROUND(Saldos_Capital_Mensual!Q117 + Saldos_Intereses_Mensual!Q117, 2)</f>
        <v/>
      </c>
      <c r="O117" s="23">
        <f>ROUND(Saldos_Capital_Mensual!R117 + Saldos_Intereses_Mensual!R117, 2)</f>
        <v/>
      </c>
      <c r="P117" s="23">
        <f>ROUND(Saldos_Capital_Mensual!S117 + Saldos_Intereses_Mensual!S117, 2)</f>
        <v/>
      </c>
      <c r="Q117" s="23">
        <f>ROUND(Saldos_Capital_Mensual!T117 + Saldos_Intereses_Mensual!T117, 2)</f>
        <v/>
      </c>
      <c r="R117" s="23">
        <f>MAX(F117:Q117)</f>
        <v/>
      </c>
    </row>
    <row r="118">
      <c r="A118" s="26" t="inlineStr">
        <is>
          <t>0649-0008</t>
        </is>
      </c>
      <c r="B118" s="27" t="inlineStr">
        <is>
          <t>Compusoluciones y Asociados Sa de Cv</t>
        </is>
      </c>
      <c r="C118" s="27" t="inlineStr">
        <is>
          <t>Kicks</t>
        </is>
      </c>
      <c r="D118" s="26" t="inlineStr">
        <is>
          <t>ACTIVO</t>
        </is>
      </c>
      <c r="E118" s="28" t="n">
        <v>48</v>
      </c>
      <c r="F118" s="29">
        <f>ROUND(Saldos_Capital_Mensual!I118 + Saldos_Intereses_Mensual!I118, 2)</f>
        <v/>
      </c>
      <c r="G118" s="29">
        <f>ROUND(Saldos_Capital_Mensual!J118 + Saldos_Intereses_Mensual!J118, 2)</f>
        <v/>
      </c>
      <c r="H118" s="29">
        <f>ROUND(Saldos_Capital_Mensual!K118 + Saldos_Intereses_Mensual!K118, 2)</f>
        <v/>
      </c>
      <c r="I118" s="29">
        <f>ROUND(Saldos_Capital_Mensual!L118 + Saldos_Intereses_Mensual!L118, 2)</f>
        <v/>
      </c>
      <c r="J118" s="29">
        <f>ROUND(Saldos_Capital_Mensual!M118 + Saldos_Intereses_Mensual!M118, 2)</f>
        <v/>
      </c>
      <c r="K118" s="29">
        <f>ROUND(Saldos_Capital_Mensual!N118 + Saldos_Intereses_Mensual!N118, 2)</f>
        <v/>
      </c>
      <c r="L118" s="29">
        <f>ROUND(Saldos_Capital_Mensual!O118 + Saldos_Intereses_Mensual!O118, 2)</f>
        <v/>
      </c>
      <c r="M118" s="29">
        <f>ROUND(Saldos_Capital_Mensual!P118 + Saldos_Intereses_Mensual!P118, 2)</f>
        <v/>
      </c>
      <c r="N118" s="29">
        <f>ROUND(Saldos_Capital_Mensual!Q118 + Saldos_Intereses_Mensual!Q118, 2)</f>
        <v/>
      </c>
      <c r="O118" s="29">
        <f>ROUND(Saldos_Capital_Mensual!R118 + Saldos_Intereses_Mensual!R118, 2)</f>
        <v/>
      </c>
      <c r="P118" s="29">
        <f>ROUND(Saldos_Capital_Mensual!S118 + Saldos_Intereses_Mensual!S118, 2)</f>
        <v/>
      </c>
      <c r="Q118" s="29">
        <f>ROUND(Saldos_Capital_Mensual!T118 + Saldos_Intereses_Mensual!T118, 2)</f>
        <v/>
      </c>
      <c r="R118" s="29">
        <f>MAX(F118:Q118)</f>
        <v/>
      </c>
    </row>
    <row r="119">
      <c r="A119" s="20" t="inlineStr">
        <is>
          <t>0649-0009</t>
        </is>
      </c>
      <c r="B119" s="21" t="inlineStr">
        <is>
          <t>Compusoluciones y Asociados Sa de Cv</t>
        </is>
      </c>
      <c r="C119" s="21" t="inlineStr">
        <is>
          <t>Fronx Boostergreen</t>
        </is>
      </c>
      <c r="D119" s="20" t="inlineStr">
        <is>
          <t>ACTIVO</t>
        </is>
      </c>
      <c r="E119" s="22" t="n">
        <v>48</v>
      </c>
      <c r="F119" s="23">
        <f>ROUND(Saldos_Capital_Mensual!I119 + Saldos_Intereses_Mensual!I119, 2)</f>
        <v/>
      </c>
      <c r="G119" s="23">
        <f>ROUND(Saldos_Capital_Mensual!J119 + Saldos_Intereses_Mensual!J119, 2)</f>
        <v/>
      </c>
      <c r="H119" s="23">
        <f>ROUND(Saldos_Capital_Mensual!K119 + Saldos_Intereses_Mensual!K119, 2)</f>
        <v/>
      </c>
      <c r="I119" s="23">
        <f>ROUND(Saldos_Capital_Mensual!L119 + Saldos_Intereses_Mensual!L119, 2)</f>
        <v/>
      </c>
      <c r="J119" s="23">
        <f>ROUND(Saldos_Capital_Mensual!M119 + Saldos_Intereses_Mensual!M119, 2)</f>
        <v/>
      </c>
      <c r="K119" s="23">
        <f>ROUND(Saldos_Capital_Mensual!N119 + Saldos_Intereses_Mensual!N119, 2)</f>
        <v/>
      </c>
      <c r="L119" s="23">
        <f>ROUND(Saldos_Capital_Mensual!O119 + Saldos_Intereses_Mensual!O119, 2)</f>
        <v/>
      </c>
      <c r="M119" s="23">
        <f>ROUND(Saldos_Capital_Mensual!P119 + Saldos_Intereses_Mensual!P119, 2)</f>
        <v/>
      </c>
      <c r="N119" s="23">
        <f>ROUND(Saldos_Capital_Mensual!Q119 + Saldos_Intereses_Mensual!Q119, 2)</f>
        <v/>
      </c>
      <c r="O119" s="23">
        <f>ROUND(Saldos_Capital_Mensual!R119 + Saldos_Intereses_Mensual!R119, 2)</f>
        <v/>
      </c>
      <c r="P119" s="23">
        <f>ROUND(Saldos_Capital_Mensual!S119 + Saldos_Intereses_Mensual!S119, 2)</f>
        <v/>
      </c>
      <c r="Q119" s="23">
        <f>ROUND(Saldos_Capital_Mensual!T119 + Saldos_Intereses_Mensual!T119, 2)</f>
        <v/>
      </c>
      <c r="R119" s="23">
        <f>MAX(F119:Q119)</f>
        <v/>
      </c>
    </row>
    <row r="120">
      <c r="A120" s="26" t="inlineStr">
        <is>
          <t>0649-0010</t>
        </is>
      </c>
      <c r="B120" s="27" t="inlineStr">
        <is>
          <t>Compusoluciones y Asociados Sa de Cv</t>
        </is>
      </c>
      <c r="C120" s="27" t="inlineStr">
        <is>
          <t>Mazda CX90</t>
        </is>
      </c>
      <c r="D120" s="26" t="inlineStr">
        <is>
          <t>ACTIVO</t>
        </is>
      </c>
      <c r="E120" s="28" t="n">
        <v>48</v>
      </c>
      <c r="F120" s="29">
        <f>ROUND(Saldos_Capital_Mensual!I120 + Saldos_Intereses_Mensual!I120, 2)</f>
        <v/>
      </c>
      <c r="G120" s="29">
        <f>ROUND(Saldos_Capital_Mensual!J120 + Saldos_Intereses_Mensual!J120, 2)</f>
        <v/>
      </c>
      <c r="H120" s="29">
        <f>ROUND(Saldos_Capital_Mensual!K120 + Saldos_Intereses_Mensual!K120, 2)</f>
        <v/>
      </c>
      <c r="I120" s="29">
        <f>ROUND(Saldos_Capital_Mensual!L120 + Saldos_Intereses_Mensual!L120, 2)</f>
        <v/>
      </c>
      <c r="J120" s="29">
        <f>ROUND(Saldos_Capital_Mensual!M120 + Saldos_Intereses_Mensual!M120, 2)</f>
        <v/>
      </c>
      <c r="K120" s="29">
        <f>ROUND(Saldos_Capital_Mensual!N120 + Saldos_Intereses_Mensual!N120, 2)</f>
        <v/>
      </c>
      <c r="L120" s="29">
        <f>ROUND(Saldos_Capital_Mensual!O120 + Saldos_Intereses_Mensual!O120, 2)</f>
        <v/>
      </c>
      <c r="M120" s="29">
        <f>ROUND(Saldos_Capital_Mensual!P120 + Saldos_Intereses_Mensual!P120, 2)</f>
        <v/>
      </c>
      <c r="N120" s="29">
        <f>ROUND(Saldos_Capital_Mensual!Q120 + Saldos_Intereses_Mensual!Q120, 2)</f>
        <v/>
      </c>
      <c r="O120" s="29">
        <f>ROUND(Saldos_Capital_Mensual!R120 + Saldos_Intereses_Mensual!R120, 2)</f>
        <v/>
      </c>
      <c r="P120" s="29">
        <f>ROUND(Saldos_Capital_Mensual!S120 + Saldos_Intereses_Mensual!S120, 2)</f>
        <v/>
      </c>
      <c r="Q120" s="29">
        <f>ROUND(Saldos_Capital_Mensual!T120 + Saldos_Intereses_Mensual!T120, 2)</f>
        <v/>
      </c>
      <c r="R120" s="29">
        <f>MAX(F120:Q120)</f>
        <v/>
      </c>
    </row>
    <row r="121">
      <c r="A121" s="20" t="inlineStr">
        <is>
          <t>0649-0011</t>
        </is>
      </c>
      <c r="B121" s="21" t="inlineStr">
        <is>
          <t>Compusoluciones y Asociados Sa de Cv</t>
        </is>
      </c>
      <c r="C121" s="21" t="inlineStr">
        <is>
          <t>EX40</t>
        </is>
      </c>
      <c r="D121" s="20" t="inlineStr">
        <is>
          <t>ACTIVO</t>
        </is>
      </c>
      <c r="E121" s="22" t="n">
        <v>48</v>
      </c>
      <c r="F121" s="23">
        <f>ROUND(Saldos_Capital_Mensual!I121 + Saldos_Intereses_Mensual!I121, 2)</f>
        <v/>
      </c>
      <c r="G121" s="23">
        <f>ROUND(Saldos_Capital_Mensual!J121 + Saldos_Intereses_Mensual!J121, 2)</f>
        <v/>
      </c>
      <c r="H121" s="23">
        <f>ROUND(Saldos_Capital_Mensual!K121 + Saldos_Intereses_Mensual!K121, 2)</f>
        <v/>
      </c>
      <c r="I121" s="23">
        <f>ROUND(Saldos_Capital_Mensual!L121 + Saldos_Intereses_Mensual!L121, 2)</f>
        <v/>
      </c>
      <c r="J121" s="23">
        <f>ROUND(Saldos_Capital_Mensual!M121 + Saldos_Intereses_Mensual!M121, 2)</f>
        <v/>
      </c>
      <c r="K121" s="23">
        <f>ROUND(Saldos_Capital_Mensual!N121 + Saldos_Intereses_Mensual!N121, 2)</f>
        <v/>
      </c>
      <c r="L121" s="23">
        <f>ROUND(Saldos_Capital_Mensual!O121 + Saldos_Intereses_Mensual!O121, 2)</f>
        <v/>
      </c>
      <c r="M121" s="23">
        <f>ROUND(Saldos_Capital_Mensual!P121 + Saldos_Intereses_Mensual!P121, 2)</f>
        <v/>
      </c>
      <c r="N121" s="23">
        <f>ROUND(Saldos_Capital_Mensual!Q121 + Saldos_Intereses_Mensual!Q121, 2)</f>
        <v/>
      </c>
      <c r="O121" s="23">
        <f>ROUND(Saldos_Capital_Mensual!R121 + Saldos_Intereses_Mensual!R121, 2)</f>
        <v/>
      </c>
      <c r="P121" s="23">
        <f>ROUND(Saldos_Capital_Mensual!S121 + Saldos_Intereses_Mensual!S121, 2)</f>
        <v/>
      </c>
      <c r="Q121" s="23">
        <f>ROUND(Saldos_Capital_Mensual!T121 + Saldos_Intereses_Mensual!T121, 2)</f>
        <v/>
      </c>
      <c r="R121" s="23">
        <f>MAX(F121:Q121)</f>
        <v/>
      </c>
    </row>
    <row r="122">
      <c r="A122" s="26" t="inlineStr">
        <is>
          <t>0649-0012</t>
        </is>
      </c>
      <c r="B122" s="27" t="inlineStr">
        <is>
          <t>Compusoluciones y Asociados Sa de Cv</t>
        </is>
      </c>
      <c r="C122" s="27" t="inlineStr">
        <is>
          <t>Sportage</t>
        </is>
      </c>
      <c r="D122" s="26" t="inlineStr">
        <is>
          <t>ACTIVO</t>
        </is>
      </c>
      <c r="E122" s="28" t="n">
        <v>48</v>
      </c>
      <c r="F122" s="29">
        <f>ROUND(Saldos_Capital_Mensual!I122 + Saldos_Intereses_Mensual!I122, 2)</f>
        <v/>
      </c>
      <c r="G122" s="29">
        <f>ROUND(Saldos_Capital_Mensual!J122 + Saldos_Intereses_Mensual!J122, 2)</f>
        <v/>
      </c>
      <c r="H122" s="29">
        <f>ROUND(Saldos_Capital_Mensual!K122 + Saldos_Intereses_Mensual!K122, 2)</f>
        <v/>
      </c>
      <c r="I122" s="29">
        <f>ROUND(Saldos_Capital_Mensual!L122 + Saldos_Intereses_Mensual!L122, 2)</f>
        <v/>
      </c>
      <c r="J122" s="29">
        <f>ROUND(Saldos_Capital_Mensual!M122 + Saldos_Intereses_Mensual!M122, 2)</f>
        <v/>
      </c>
      <c r="K122" s="29">
        <f>ROUND(Saldos_Capital_Mensual!N122 + Saldos_Intereses_Mensual!N122, 2)</f>
        <v/>
      </c>
      <c r="L122" s="29">
        <f>ROUND(Saldos_Capital_Mensual!O122 + Saldos_Intereses_Mensual!O122, 2)</f>
        <v/>
      </c>
      <c r="M122" s="29">
        <f>ROUND(Saldos_Capital_Mensual!P122 + Saldos_Intereses_Mensual!P122, 2)</f>
        <v/>
      </c>
      <c r="N122" s="29">
        <f>ROUND(Saldos_Capital_Mensual!Q122 + Saldos_Intereses_Mensual!Q122, 2)</f>
        <v/>
      </c>
      <c r="O122" s="29">
        <f>ROUND(Saldos_Capital_Mensual!R122 + Saldos_Intereses_Mensual!R122, 2)</f>
        <v/>
      </c>
      <c r="P122" s="29">
        <f>ROUND(Saldos_Capital_Mensual!S122 + Saldos_Intereses_Mensual!S122, 2)</f>
        <v/>
      </c>
      <c r="Q122" s="29">
        <f>ROUND(Saldos_Capital_Mensual!T122 + Saldos_Intereses_Mensual!T122, 2)</f>
        <v/>
      </c>
      <c r="R122" s="29">
        <f>MAX(F122:Q122)</f>
        <v/>
      </c>
    </row>
    <row r="123">
      <c r="A123" s="20" t="inlineStr">
        <is>
          <t>0649-0013</t>
        </is>
      </c>
      <c r="B123" s="21" t="inlineStr">
        <is>
          <t>Compusoluciones y Asociados Sa de Cv</t>
        </is>
      </c>
      <c r="C123" s="21" t="inlineStr">
        <is>
          <t>Mazda Mazda 3 Hatch Back 2026</t>
        </is>
      </c>
      <c r="D123" s="20" t="inlineStr">
        <is>
          <t>ACTIVO</t>
        </is>
      </c>
      <c r="E123" s="22" t="n">
        <v>48</v>
      </c>
      <c r="F123" s="23" t="inlineStr"/>
      <c r="G123" s="23" t="inlineStr"/>
      <c r="H123" s="23" t="inlineStr"/>
      <c r="I123" s="23" t="inlineStr"/>
      <c r="J123" s="23" t="inlineStr"/>
      <c r="K123" s="23" t="inlineStr"/>
      <c r="L123" s="23">
        <f>ROUND(Saldos_Capital_Mensual!O123 + Saldos_Intereses_Mensual!O123, 2)</f>
        <v/>
      </c>
      <c r="M123" s="23">
        <f>ROUND(Saldos_Capital_Mensual!P123 + Saldos_Intereses_Mensual!P123, 2)</f>
        <v/>
      </c>
      <c r="N123" s="23">
        <f>ROUND(Saldos_Capital_Mensual!Q123 + Saldos_Intereses_Mensual!Q123, 2)</f>
        <v/>
      </c>
      <c r="O123" s="23">
        <f>ROUND(Saldos_Capital_Mensual!R123 + Saldos_Intereses_Mensual!R123, 2)</f>
        <v/>
      </c>
      <c r="P123" s="23">
        <f>ROUND(Saldos_Capital_Mensual!S123 + Saldos_Intereses_Mensual!S123, 2)</f>
        <v/>
      </c>
      <c r="Q123" s="23">
        <f>ROUND(Saldos_Capital_Mensual!T123 + Saldos_Intereses_Mensual!T123, 2)</f>
        <v/>
      </c>
      <c r="R123" s="23">
        <f>MAX(F123:Q123)</f>
        <v/>
      </c>
    </row>
    <row r="124">
      <c r="A124" s="26" t="inlineStr">
        <is>
          <t>0649-0014</t>
        </is>
      </c>
      <c r="B124" s="27" t="inlineStr">
        <is>
          <t>Compusoluciones y Asociados Sa de Cv</t>
        </is>
      </c>
      <c r="C124" s="27" t="inlineStr">
        <is>
          <t>Subaru Forester 2026</t>
        </is>
      </c>
      <c r="D124" s="26" t="inlineStr">
        <is>
          <t>ACTIVO</t>
        </is>
      </c>
      <c r="E124" s="28" t="n">
        <v>48</v>
      </c>
      <c r="F124" s="29" t="inlineStr"/>
      <c r="G124" s="29" t="inlineStr"/>
      <c r="H124" s="29" t="inlineStr"/>
      <c r="I124" s="29" t="inlineStr"/>
      <c r="J124" s="29" t="inlineStr"/>
      <c r="K124" s="29" t="inlineStr"/>
      <c r="L124" s="29">
        <f>ROUND(Saldos_Capital_Mensual!O124 + Saldos_Intereses_Mensual!O124, 2)</f>
        <v/>
      </c>
      <c r="M124" s="29">
        <f>ROUND(Saldos_Capital_Mensual!P124 + Saldos_Intereses_Mensual!P124, 2)</f>
        <v/>
      </c>
      <c r="N124" s="29">
        <f>ROUND(Saldos_Capital_Mensual!Q124 + Saldos_Intereses_Mensual!Q124, 2)</f>
        <v/>
      </c>
      <c r="O124" s="29">
        <f>ROUND(Saldos_Capital_Mensual!R124 + Saldos_Intereses_Mensual!R124, 2)</f>
        <v/>
      </c>
      <c r="P124" s="29">
        <f>ROUND(Saldos_Capital_Mensual!S124 + Saldos_Intereses_Mensual!S124, 2)</f>
        <v/>
      </c>
      <c r="Q124" s="29">
        <f>ROUND(Saldos_Capital_Mensual!T124 + Saldos_Intereses_Mensual!T124, 2)</f>
        <v/>
      </c>
      <c r="R124" s="29">
        <f>MAX(F124:Q124)</f>
        <v/>
      </c>
    </row>
    <row r="125">
      <c r="A125" s="20" t="inlineStr">
        <is>
          <t>0650-0002</t>
        </is>
      </c>
      <c r="B125" s="21" t="inlineStr">
        <is>
          <t>Creando Music</t>
        </is>
      </c>
      <c r="C125" s="21" t="inlineStr">
        <is>
          <t>3008</t>
        </is>
      </c>
      <c r="D125" s="20" t="inlineStr">
        <is>
          <t>ACTIVO</t>
        </is>
      </c>
      <c r="E125" s="22" t="n">
        <v>12</v>
      </c>
      <c r="F125" s="23">
        <f>ROUND(Saldos_Capital_Mensual!I125 + Saldos_Intereses_Mensual!I125, 2)</f>
        <v/>
      </c>
      <c r="G125" s="23">
        <f>ROUND(Saldos_Capital_Mensual!J125 + Saldos_Intereses_Mensual!J125, 2)</f>
        <v/>
      </c>
      <c r="H125" s="23">
        <f>ROUND(Saldos_Capital_Mensual!K125 + Saldos_Intereses_Mensual!K125, 2)</f>
        <v/>
      </c>
      <c r="I125" s="23">
        <f>ROUND(Saldos_Capital_Mensual!L125 + Saldos_Intereses_Mensual!L125, 2)</f>
        <v/>
      </c>
      <c r="J125" s="23">
        <f>ROUND(Saldos_Capital_Mensual!M125 + Saldos_Intereses_Mensual!M125, 2)</f>
        <v/>
      </c>
      <c r="K125" s="23">
        <f>ROUND(Saldos_Capital_Mensual!N125 + Saldos_Intereses_Mensual!N125, 2)</f>
        <v/>
      </c>
      <c r="L125" s="23">
        <f>ROUND(Saldos_Capital_Mensual!O125 + Saldos_Intereses_Mensual!O125, 2)</f>
        <v/>
      </c>
      <c r="M125" s="23">
        <f>ROUND(Saldos_Capital_Mensual!P125 + Saldos_Intereses_Mensual!P125, 2)</f>
        <v/>
      </c>
      <c r="N125" s="23">
        <f>ROUND(Saldos_Capital_Mensual!Q125 + Saldos_Intereses_Mensual!Q125, 2)</f>
        <v/>
      </c>
      <c r="O125" s="23">
        <f>ROUND(Saldos_Capital_Mensual!R125 + Saldos_Intereses_Mensual!R125, 2)</f>
        <v/>
      </c>
      <c r="P125" s="23">
        <f>ROUND(Saldos_Capital_Mensual!S125 + Saldos_Intereses_Mensual!S125, 2)</f>
        <v/>
      </c>
      <c r="Q125" s="23" t="inlineStr"/>
      <c r="R125" s="23">
        <f>MAX(F125:Q125)</f>
        <v/>
      </c>
    </row>
    <row r="126">
      <c r="A126" s="26" t="inlineStr">
        <is>
          <t>0651-0001</t>
        </is>
      </c>
      <c r="B126" s="27" t="inlineStr">
        <is>
          <t>Asme Sa de Cv</t>
        </is>
      </c>
      <c r="C126" s="27" t="inlineStr">
        <is>
          <t>Compass High Altitude</t>
        </is>
      </c>
      <c r="D126" s="26" t="inlineStr">
        <is>
          <t>ACTIVO</t>
        </is>
      </c>
      <c r="E126" s="28" t="n">
        <v>48</v>
      </c>
      <c r="F126" s="29">
        <f>ROUND(Saldos_Capital_Mensual!I126 + Saldos_Intereses_Mensual!I126, 2)</f>
        <v/>
      </c>
      <c r="G126" s="29">
        <f>ROUND(Saldos_Capital_Mensual!J126 + Saldos_Intereses_Mensual!J126, 2)</f>
        <v/>
      </c>
      <c r="H126" s="29">
        <f>ROUND(Saldos_Capital_Mensual!K126 + Saldos_Intereses_Mensual!K126, 2)</f>
        <v/>
      </c>
      <c r="I126" s="29">
        <f>ROUND(Saldos_Capital_Mensual!L126 + Saldos_Intereses_Mensual!L126, 2)</f>
        <v/>
      </c>
      <c r="J126" s="29">
        <f>ROUND(Saldos_Capital_Mensual!M126 + Saldos_Intereses_Mensual!M126, 2)</f>
        <v/>
      </c>
      <c r="K126" s="29">
        <f>ROUND(Saldos_Capital_Mensual!N126 + Saldos_Intereses_Mensual!N126, 2)</f>
        <v/>
      </c>
      <c r="L126" s="29">
        <f>ROUND(Saldos_Capital_Mensual!O126 + Saldos_Intereses_Mensual!O126, 2)</f>
        <v/>
      </c>
      <c r="M126" s="29">
        <f>ROUND(Saldos_Capital_Mensual!P126 + Saldos_Intereses_Mensual!P126, 2)</f>
        <v/>
      </c>
      <c r="N126" s="29">
        <f>ROUND(Saldos_Capital_Mensual!Q126 + Saldos_Intereses_Mensual!Q126, 2)</f>
        <v/>
      </c>
      <c r="O126" s="29">
        <f>ROUND(Saldos_Capital_Mensual!R126 + Saldos_Intereses_Mensual!R126, 2)</f>
        <v/>
      </c>
      <c r="P126" s="29">
        <f>ROUND(Saldos_Capital_Mensual!S126 + Saldos_Intereses_Mensual!S126, 2)</f>
        <v/>
      </c>
      <c r="Q126" s="29">
        <f>ROUND(Saldos_Capital_Mensual!T126 + Saldos_Intereses_Mensual!T126, 2)</f>
        <v/>
      </c>
      <c r="R126" s="29">
        <f>MAX(F126:Q126)</f>
        <v/>
      </c>
    </row>
    <row r="127">
      <c r="A127" s="20" t="inlineStr">
        <is>
          <t>0654-0001</t>
        </is>
      </c>
      <c r="B127" s="21" t="inlineStr">
        <is>
          <t>Veronica Orozco Larios</t>
        </is>
      </c>
      <c r="C127" s="21" t="inlineStr">
        <is>
          <t>Ram 4000</t>
        </is>
      </c>
      <c r="D127" s="20" t="inlineStr">
        <is>
          <t>ACTIVO</t>
        </is>
      </c>
      <c r="E127" s="22" t="n">
        <v>36</v>
      </c>
      <c r="F127" s="23">
        <f>ROUND(Saldos_Capital_Mensual!I127 + Saldos_Intereses_Mensual!I127, 2)</f>
        <v/>
      </c>
      <c r="G127" s="23">
        <f>ROUND(Saldos_Capital_Mensual!J127 + Saldos_Intereses_Mensual!J127, 2)</f>
        <v/>
      </c>
      <c r="H127" s="23">
        <f>ROUND(Saldos_Capital_Mensual!K127 + Saldos_Intereses_Mensual!K127, 2)</f>
        <v/>
      </c>
      <c r="I127" s="23">
        <f>ROUND(Saldos_Capital_Mensual!L127 + Saldos_Intereses_Mensual!L127, 2)</f>
        <v/>
      </c>
      <c r="J127" s="23">
        <f>ROUND(Saldos_Capital_Mensual!M127 + Saldos_Intereses_Mensual!M127, 2)</f>
        <v/>
      </c>
      <c r="K127" s="23">
        <f>ROUND(Saldos_Capital_Mensual!N127 + Saldos_Intereses_Mensual!N127, 2)</f>
        <v/>
      </c>
      <c r="L127" s="23">
        <f>ROUND(Saldos_Capital_Mensual!O127 + Saldos_Intereses_Mensual!O127, 2)</f>
        <v/>
      </c>
      <c r="M127" s="23">
        <f>ROUND(Saldos_Capital_Mensual!P127 + Saldos_Intereses_Mensual!P127, 2)</f>
        <v/>
      </c>
      <c r="N127" s="23">
        <f>ROUND(Saldos_Capital_Mensual!Q127 + Saldos_Intereses_Mensual!Q127, 2)</f>
        <v/>
      </c>
      <c r="O127" s="23">
        <f>ROUND(Saldos_Capital_Mensual!R127 + Saldos_Intereses_Mensual!R127, 2)</f>
        <v/>
      </c>
      <c r="P127" s="23">
        <f>ROUND(Saldos_Capital_Mensual!S127 + Saldos_Intereses_Mensual!S127, 2)</f>
        <v/>
      </c>
      <c r="Q127" s="23">
        <f>ROUND(Saldos_Capital_Mensual!T127 + Saldos_Intereses_Mensual!T127, 2)</f>
        <v/>
      </c>
      <c r="R127" s="23">
        <f>MAX(F127:Q127)</f>
        <v/>
      </c>
    </row>
    <row r="128">
      <c r="A128" s="26" t="inlineStr">
        <is>
          <t>0655-0001</t>
        </is>
      </c>
      <c r="B128" s="27" t="inlineStr">
        <is>
          <t>Viñedos de la Rivera Sur de Chapala S de Rl de Cv</t>
        </is>
      </c>
      <c r="C128" s="27" t="inlineStr">
        <is>
          <t>Ram 2500 HEMI</t>
        </is>
      </c>
      <c r="D128" s="26" t="inlineStr">
        <is>
          <t>ACTIVO</t>
        </is>
      </c>
      <c r="E128" s="28" t="n">
        <v>36</v>
      </c>
      <c r="F128" s="29">
        <f>ROUND(Saldos_Capital_Mensual!I128 + Saldos_Intereses_Mensual!I128, 2)</f>
        <v/>
      </c>
      <c r="G128" s="29">
        <f>ROUND(Saldos_Capital_Mensual!J128 + Saldos_Intereses_Mensual!J128, 2)</f>
        <v/>
      </c>
      <c r="H128" s="29">
        <f>ROUND(Saldos_Capital_Mensual!K128 + Saldos_Intereses_Mensual!K128, 2)</f>
        <v/>
      </c>
      <c r="I128" s="29">
        <f>ROUND(Saldos_Capital_Mensual!L128 + Saldos_Intereses_Mensual!L128, 2)</f>
        <v/>
      </c>
      <c r="J128" s="29">
        <f>ROUND(Saldos_Capital_Mensual!M128 + Saldos_Intereses_Mensual!M128, 2)</f>
        <v/>
      </c>
      <c r="K128" s="29">
        <f>ROUND(Saldos_Capital_Mensual!N128 + Saldos_Intereses_Mensual!N128, 2)</f>
        <v/>
      </c>
      <c r="L128" s="29">
        <f>ROUND(Saldos_Capital_Mensual!O128 + Saldos_Intereses_Mensual!O128, 2)</f>
        <v/>
      </c>
      <c r="M128" s="29">
        <f>ROUND(Saldos_Capital_Mensual!P128 + Saldos_Intereses_Mensual!P128, 2)</f>
        <v/>
      </c>
      <c r="N128" s="29">
        <f>ROUND(Saldos_Capital_Mensual!Q128 + Saldos_Intereses_Mensual!Q128, 2)</f>
        <v/>
      </c>
      <c r="O128" s="29">
        <f>ROUND(Saldos_Capital_Mensual!R128 + Saldos_Intereses_Mensual!R128, 2)</f>
        <v/>
      </c>
      <c r="P128" s="29">
        <f>ROUND(Saldos_Capital_Mensual!S128 + Saldos_Intereses_Mensual!S128, 2)</f>
        <v/>
      </c>
      <c r="Q128" s="29">
        <f>ROUND(Saldos_Capital_Mensual!T128 + Saldos_Intereses_Mensual!T128, 2)</f>
        <v/>
      </c>
      <c r="R128" s="29">
        <f>MAX(F128:Q128)</f>
        <v/>
      </c>
    </row>
    <row r="129">
      <c r="A129" s="20" t="inlineStr">
        <is>
          <t>0658-0001</t>
        </is>
      </c>
      <c r="B129" s="21" t="inlineStr">
        <is>
          <t>Esteban Polanco Navarro</t>
        </is>
      </c>
      <c r="C129" s="21" t="inlineStr">
        <is>
          <t>RAM 1500 Long Horn</t>
        </is>
      </c>
      <c r="D129" s="20" t="inlineStr">
        <is>
          <t>ACTIVO</t>
        </is>
      </c>
      <c r="E129" s="22" t="n">
        <v>48</v>
      </c>
      <c r="F129" s="23">
        <f>ROUND(Saldos_Capital_Mensual!I129 + Saldos_Intereses_Mensual!I129, 2)</f>
        <v/>
      </c>
      <c r="G129" s="23">
        <f>ROUND(Saldos_Capital_Mensual!J129 + Saldos_Intereses_Mensual!J129, 2)</f>
        <v/>
      </c>
      <c r="H129" s="23">
        <f>ROUND(Saldos_Capital_Mensual!K129 + Saldos_Intereses_Mensual!K129, 2)</f>
        <v/>
      </c>
      <c r="I129" s="23">
        <f>ROUND(Saldos_Capital_Mensual!L129 + Saldos_Intereses_Mensual!L129, 2)</f>
        <v/>
      </c>
      <c r="J129" s="23">
        <f>ROUND(Saldos_Capital_Mensual!M129 + Saldos_Intereses_Mensual!M129, 2)</f>
        <v/>
      </c>
      <c r="K129" s="23">
        <f>ROUND(Saldos_Capital_Mensual!N129 + Saldos_Intereses_Mensual!N129, 2)</f>
        <v/>
      </c>
      <c r="L129" s="23">
        <f>ROUND(Saldos_Capital_Mensual!O129 + Saldos_Intereses_Mensual!O129, 2)</f>
        <v/>
      </c>
      <c r="M129" s="23">
        <f>ROUND(Saldos_Capital_Mensual!P129 + Saldos_Intereses_Mensual!P129, 2)</f>
        <v/>
      </c>
      <c r="N129" s="23">
        <f>ROUND(Saldos_Capital_Mensual!Q129 + Saldos_Intereses_Mensual!Q129, 2)</f>
        <v/>
      </c>
      <c r="O129" s="23">
        <f>ROUND(Saldos_Capital_Mensual!R129 + Saldos_Intereses_Mensual!R129, 2)</f>
        <v/>
      </c>
      <c r="P129" s="23">
        <f>ROUND(Saldos_Capital_Mensual!S129 + Saldos_Intereses_Mensual!S129, 2)</f>
        <v/>
      </c>
      <c r="Q129" s="23">
        <f>ROUND(Saldos_Capital_Mensual!T129 + Saldos_Intereses_Mensual!T129, 2)</f>
        <v/>
      </c>
      <c r="R129" s="23">
        <f>MAX(F129:Q129)</f>
        <v/>
      </c>
    </row>
    <row r="130">
      <c r="A130" s="26" t="inlineStr">
        <is>
          <t>0660-0001</t>
        </is>
      </c>
      <c r="B130" s="27" t="inlineStr">
        <is>
          <t>Big Buck Capital sc</t>
        </is>
      </c>
      <c r="C130" s="27" t="inlineStr">
        <is>
          <t>MG 5</t>
        </is>
      </c>
      <c r="D130" s="26" t="inlineStr">
        <is>
          <t>ACTIVO</t>
        </is>
      </c>
      <c r="E130" s="28" t="n">
        <v>48</v>
      </c>
      <c r="F130" s="29">
        <f>ROUND(Saldos_Capital_Mensual!I130 + Saldos_Intereses_Mensual!I130, 2)</f>
        <v/>
      </c>
      <c r="G130" s="29">
        <f>ROUND(Saldos_Capital_Mensual!J130 + Saldos_Intereses_Mensual!J130, 2)</f>
        <v/>
      </c>
      <c r="H130" s="29">
        <f>ROUND(Saldos_Capital_Mensual!K130 + Saldos_Intereses_Mensual!K130, 2)</f>
        <v/>
      </c>
      <c r="I130" s="29">
        <f>ROUND(Saldos_Capital_Mensual!L130 + Saldos_Intereses_Mensual!L130, 2)</f>
        <v/>
      </c>
      <c r="J130" s="29">
        <f>ROUND(Saldos_Capital_Mensual!M130 + Saldos_Intereses_Mensual!M130, 2)</f>
        <v/>
      </c>
      <c r="K130" s="29">
        <f>ROUND(Saldos_Capital_Mensual!N130 + Saldos_Intereses_Mensual!N130, 2)</f>
        <v/>
      </c>
      <c r="L130" s="29">
        <f>ROUND(Saldos_Capital_Mensual!O130 + Saldos_Intereses_Mensual!O130, 2)</f>
        <v/>
      </c>
      <c r="M130" s="29">
        <f>ROUND(Saldos_Capital_Mensual!P130 + Saldos_Intereses_Mensual!P130, 2)</f>
        <v/>
      </c>
      <c r="N130" s="29">
        <f>ROUND(Saldos_Capital_Mensual!Q130 + Saldos_Intereses_Mensual!Q130, 2)</f>
        <v/>
      </c>
      <c r="O130" s="29">
        <f>ROUND(Saldos_Capital_Mensual!R130 + Saldos_Intereses_Mensual!R130, 2)</f>
        <v/>
      </c>
      <c r="P130" s="29">
        <f>ROUND(Saldos_Capital_Mensual!S130 + Saldos_Intereses_Mensual!S130, 2)</f>
        <v/>
      </c>
      <c r="Q130" s="29">
        <f>ROUND(Saldos_Capital_Mensual!T130 + Saldos_Intereses_Mensual!T130, 2)</f>
        <v/>
      </c>
      <c r="R130" s="29">
        <f>MAX(F130:Q130)</f>
        <v/>
      </c>
    </row>
    <row r="131">
      <c r="A131" s="20" t="inlineStr">
        <is>
          <t>0660-0002</t>
        </is>
      </c>
      <c r="B131" s="21" t="inlineStr">
        <is>
          <t>Big Buck Capital Sc</t>
        </is>
      </c>
      <c r="C131" s="21" t="inlineStr">
        <is>
          <t>Sienna</t>
        </is>
      </c>
      <c r="D131" s="20" t="inlineStr">
        <is>
          <t>ACTIVO</t>
        </is>
      </c>
      <c r="E131" s="22" t="n">
        <v>48</v>
      </c>
      <c r="F131" s="23">
        <f>ROUND(Saldos_Capital_Mensual!I131 + Saldos_Intereses_Mensual!I131, 2)</f>
        <v/>
      </c>
      <c r="G131" s="23">
        <f>ROUND(Saldos_Capital_Mensual!J131 + Saldos_Intereses_Mensual!J131, 2)</f>
        <v/>
      </c>
      <c r="H131" s="23">
        <f>ROUND(Saldos_Capital_Mensual!K131 + Saldos_Intereses_Mensual!K131, 2)</f>
        <v/>
      </c>
      <c r="I131" s="23">
        <f>ROUND(Saldos_Capital_Mensual!L131 + Saldos_Intereses_Mensual!L131, 2)</f>
        <v/>
      </c>
      <c r="J131" s="23">
        <f>ROUND(Saldos_Capital_Mensual!M131 + Saldos_Intereses_Mensual!M131, 2)</f>
        <v/>
      </c>
      <c r="K131" s="23">
        <f>ROUND(Saldos_Capital_Mensual!N131 + Saldos_Intereses_Mensual!N131, 2)</f>
        <v/>
      </c>
      <c r="L131" s="23">
        <f>ROUND(Saldos_Capital_Mensual!O131 + Saldos_Intereses_Mensual!O131, 2)</f>
        <v/>
      </c>
      <c r="M131" s="23">
        <f>ROUND(Saldos_Capital_Mensual!P131 + Saldos_Intereses_Mensual!P131, 2)</f>
        <v/>
      </c>
      <c r="N131" s="23">
        <f>ROUND(Saldos_Capital_Mensual!Q131 + Saldos_Intereses_Mensual!Q131, 2)</f>
        <v/>
      </c>
      <c r="O131" s="23">
        <f>ROUND(Saldos_Capital_Mensual!R131 + Saldos_Intereses_Mensual!R131, 2)</f>
        <v/>
      </c>
      <c r="P131" s="23">
        <f>ROUND(Saldos_Capital_Mensual!S131 + Saldos_Intereses_Mensual!S131, 2)</f>
        <v/>
      </c>
      <c r="Q131" s="23">
        <f>ROUND(Saldos_Capital_Mensual!T131 + Saldos_Intereses_Mensual!T131, 2)</f>
        <v/>
      </c>
      <c r="R131" s="23">
        <f>MAX(F131:Q131)</f>
        <v/>
      </c>
    </row>
    <row r="132">
      <c r="A132" s="26" t="inlineStr">
        <is>
          <t>0661-0001</t>
        </is>
      </c>
      <c r="B132" s="27" t="inlineStr">
        <is>
          <t>Veta Vertical Home Sa de Cv</t>
        </is>
      </c>
      <c r="C132" s="27" t="inlineStr">
        <is>
          <t>3008 Allure Pack</t>
        </is>
      </c>
      <c r="D132" s="26" t="inlineStr">
        <is>
          <t>ACTIVO</t>
        </is>
      </c>
      <c r="E132" s="28" t="n">
        <v>48</v>
      </c>
      <c r="F132" s="29">
        <f>ROUND(Saldos_Capital_Mensual!I132 + Saldos_Intereses_Mensual!I132, 2)</f>
        <v/>
      </c>
      <c r="G132" s="29">
        <f>ROUND(Saldos_Capital_Mensual!J132 + Saldos_Intereses_Mensual!J132, 2)</f>
        <v/>
      </c>
      <c r="H132" s="29">
        <f>ROUND(Saldos_Capital_Mensual!K132 + Saldos_Intereses_Mensual!K132, 2)</f>
        <v/>
      </c>
      <c r="I132" s="29">
        <f>ROUND(Saldos_Capital_Mensual!L132 + Saldos_Intereses_Mensual!L132, 2)</f>
        <v/>
      </c>
      <c r="J132" s="29">
        <f>ROUND(Saldos_Capital_Mensual!M132 + Saldos_Intereses_Mensual!M132, 2)</f>
        <v/>
      </c>
      <c r="K132" s="29">
        <f>ROUND(Saldos_Capital_Mensual!N132 + Saldos_Intereses_Mensual!N132, 2)</f>
        <v/>
      </c>
      <c r="L132" s="29">
        <f>ROUND(Saldos_Capital_Mensual!O132 + Saldos_Intereses_Mensual!O132, 2)</f>
        <v/>
      </c>
      <c r="M132" s="29">
        <f>ROUND(Saldos_Capital_Mensual!P132 + Saldos_Intereses_Mensual!P132, 2)</f>
        <v/>
      </c>
      <c r="N132" s="29">
        <f>ROUND(Saldos_Capital_Mensual!Q132 + Saldos_Intereses_Mensual!Q132, 2)</f>
        <v/>
      </c>
      <c r="O132" s="29">
        <f>ROUND(Saldos_Capital_Mensual!R132 + Saldos_Intereses_Mensual!R132, 2)</f>
        <v/>
      </c>
      <c r="P132" s="29">
        <f>ROUND(Saldos_Capital_Mensual!S132 + Saldos_Intereses_Mensual!S132, 2)</f>
        <v/>
      </c>
      <c r="Q132" s="29">
        <f>ROUND(Saldos_Capital_Mensual!T132 + Saldos_Intereses_Mensual!T132, 2)</f>
        <v/>
      </c>
      <c r="R132" s="29">
        <f>MAX(F132:Q132)</f>
        <v/>
      </c>
    </row>
    <row r="133">
      <c r="A133" s="20" t="inlineStr">
        <is>
          <t>0662-0001</t>
        </is>
      </c>
      <c r="B133" s="21" t="inlineStr">
        <is>
          <t>Luis Jorge de Loera Perez</t>
        </is>
      </c>
      <c r="C133" s="21" t="inlineStr">
        <is>
          <t>L200 GLX Diesel</t>
        </is>
      </c>
      <c r="D133" s="20" t="inlineStr">
        <is>
          <t>ACTIVO</t>
        </is>
      </c>
      <c r="E133" s="22" t="n">
        <v>48</v>
      </c>
      <c r="F133" s="23">
        <f>ROUND(Saldos_Capital_Mensual!I133 + Saldos_Intereses_Mensual!I133, 2)</f>
        <v/>
      </c>
      <c r="G133" s="23">
        <f>ROUND(Saldos_Capital_Mensual!J133 + Saldos_Intereses_Mensual!J133, 2)</f>
        <v/>
      </c>
      <c r="H133" s="23">
        <f>ROUND(Saldos_Capital_Mensual!K133 + Saldos_Intereses_Mensual!K133, 2)</f>
        <v/>
      </c>
      <c r="I133" s="23">
        <f>ROUND(Saldos_Capital_Mensual!L133 + Saldos_Intereses_Mensual!L133, 2)</f>
        <v/>
      </c>
      <c r="J133" s="23">
        <f>ROUND(Saldos_Capital_Mensual!M133 + Saldos_Intereses_Mensual!M133, 2)</f>
        <v/>
      </c>
      <c r="K133" s="23">
        <f>ROUND(Saldos_Capital_Mensual!N133 + Saldos_Intereses_Mensual!N133, 2)</f>
        <v/>
      </c>
      <c r="L133" s="23">
        <f>ROUND(Saldos_Capital_Mensual!O133 + Saldos_Intereses_Mensual!O133, 2)</f>
        <v/>
      </c>
      <c r="M133" s="23">
        <f>ROUND(Saldos_Capital_Mensual!P133 + Saldos_Intereses_Mensual!P133, 2)</f>
        <v/>
      </c>
      <c r="N133" s="23">
        <f>ROUND(Saldos_Capital_Mensual!Q133 + Saldos_Intereses_Mensual!Q133, 2)</f>
        <v/>
      </c>
      <c r="O133" s="23">
        <f>ROUND(Saldos_Capital_Mensual!R133 + Saldos_Intereses_Mensual!R133, 2)</f>
        <v/>
      </c>
      <c r="P133" s="23">
        <f>ROUND(Saldos_Capital_Mensual!S133 + Saldos_Intereses_Mensual!S133, 2)</f>
        <v/>
      </c>
      <c r="Q133" s="23">
        <f>ROUND(Saldos_Capital_Mensual!T133 + Saldos_Intereses_Mensual!T133, 2)</f>
        <v/>
      </c>
      <c r="R133" s="23">
        <f>MAX(F133:Q133)</f>
        <v/>
      </c>
    </row>
    <row r="134">
      <c r="A134" s="26" t="inlineStr">
        <is>
          <t>0662-0002</t>
        </is>
      </c>
      <c r="B134" s="27" t="inlineStr">
        <is>
          <t>Luis Jorge De Loera Perez</t>
        </is>
      </c>
      <c r="C134" s="27" t="inlineStr">
        <is>
          <t>NP 300</t>
        </is>
      </c>
      <c r="D134" s="26" t="inlineStr">
        <is>
          <t>ACTIVO</t>
        </is>
      </c>
      <c r="E134" s="28" t="n">
        <v>48</v>
      </c>
      <c r="F134" s="29">
        <f>ROUND(Saldos_Capital_Mensual!I134 + Saldos_Intereses_Mensual!I134, 2)</f>
        <v/>
      </c>
      <c r="G134" s="29">
        <f>ROUND(Saldos_Capital_Mensual!J134 + Saldos_Intereses_Mensual!J134, 2)</f>
        <v/>
      </c>
      <c r="H134" s="29">
        <f>ROUND(Saldos_Capital_Mensual!K134 + Saldos_Intereses_Mensual!K134, 2)</f>
        <v/>
      </c>
      <c r="I134" s="29">
        <f>ROUND(Saldos_Capital_Mensual!L134 + Saldos_Intereses_Mensual!L134, 2)</f>
        <v/>
      </c>
      <c r="J134" s="29">
        <f>ROUND(Saldos_Capital_Mensual!M134 + Saldos_Intereses_Mensual!M134, 2)</f>
        <v/>
      </c>
      <c r="K134" s="29">
        <f>ROUND(Saldos_Capital_Mensual!N134 + Saldos_Intereses_Mensual!N134, 2)</f>
        <v/>
      </c>
      <c r="L134" s="29">
        <f>ROUND(Saldos_Capital_Mensual!O134 + Saldos_Intereses_Mensual!O134, 2)</f>
        <v/>
      </c>
      <c r="M134" s="29">
        <f>ROUND(Saldos_Capital_Mensual!P134 + Saldos_Intereses_Mensual!P134, 2)</f>
        <v/>
      </c>
      <c r="N134" s="29">
        <f>ROUND(Saldos_Capital_Mensual!Q134 + Saldos_Intereses_Mensual!Q134, 2)</f>
        <v/>
      </c>
      <c r="O134" s="29">
        <f>ROUND(Saldos_Capital_Mensual!R134 + Saldos_Intereses_Mensual!R134, 2)</f>
        <v/>
      </c>
      <c r="P134" s="29">
        <f>ROUND(Saldos_Capital_Mensual!S134 + Saldos_Intereses_Mensual!S134, 2)</f>
        <v/>
      </c>
      <c r="Q134" s="29">
        <f>ROUND(Saldos_Capital_Mensual!T134 + Saldos_Intereses_Mensual!T134, 2)</f>
        <v/>
      </c>
      <c r="R134" s="29">
        <f>MAX(F134:Q134)</f>
        <v/>
      </c>
    </row>
    <row r="135">
      <c r="A135" s="20" t="inlineStr">
        <is>
          <t>0662-0003</t>
        </is>
      </c>
      <c r="B135" s="21" t="inlineStr">
        <is>
          <t>Luis Jorge De Loera Perez</t>
        </is>
      </c>
      <c r="C135" s="21" t="inlineStr">
        <is>
          <t>Rav 4</t>
        </is>
      </c>
      <c r="D135" s="20" t="inlineStr">
        <is>
          <t>ACTIVO</t>
        </is>
      </c>
      <c r="E135" s="22" t="n">
        <v>48</v>
      </c>
      <c r="F135" s="23">
        <f>ROUND(Saldos_Capital_Mensual!I135 + Saldos_Intereses_Mensual!I135, 2)</f>
        <v/>
      </c>
      <c r="G135" s="23">
        <f>ROUND(Saldos_Capital_Mensual!J135 + Saldos_Intereses_Mensual!J135, 2)</f>
        <v/>
      </c>
      <c r="H135" s="23">
        <f>ROUND(Saldos_Capital_Mensual!K135 + Saldos_Intereses_Mensual!K135, 2)</f>
        <v/>
      </c>
      <c r="I135" s="23">
        <f>ROUND(Saldos_Capital_Mensual!L135 + Saldos_Intereses_Mensual!L135, 2)</f>
        <v/>
      </c>
      <c r="J135" s="23">
        <f>ROUND(Saldos_Capital_Mensual!M135 + Saldos_Intereses_Mensual!M135, 2)</f>
        <v/>
      </c>
      <c r="K135" s="23">
        <f>ROUND(Saldos_Capital_Mensual!N135 + Saldos_Intereses_Mensual!N135, 2)</f>
        <v/>
      </c>
      <c r="L135" s="23">
        <f>ROUND(Saldos_Capital_Mensual!O135 + Saldos_Intereses_Mensual!O135, 2)</f>
        <v/>
      </c>
      <c r="M135" s="23">
        <f>ROUND(Saldos_Capital_Mensual!P135 + Saldos_Intereses_Mensual!P135, 2)</f>
        <v/>
      </c>
      <c r="N135" s="23">
        <f>ROUND(Saldos_Capital_Mensual!Q135 + Saldos_Intereses_Mensual!Q135, 2)</f>
        <v/>
      </c>
      <c r="O135" s="23">
        <f>ROUND(Saldos_Capital_Mensual!R135 + Saldos_Intereses_Mensual!R135, 2)</f>
        <v/>
      </c>
      <c r="P135" s="23">
        <f>ROUND(Saldos_Capital_Mensual!S135 + Saldos_Intereses_Mensual!S135, 2)</f>
        <v/>
      </c>
      <c r="Q135" s="23">
        <f>ROUND(Saldos_Capital_Mensual!T135 + Saldos_Intereses_Mensual!T135, 2)</f>
        <v/>
      </c>
      <c r="R135" s="23">
        <f>MAX(F135:Q135)</f>
        <v/>
      </c>
    </row>
    <row r="136">
      <c r="A136" s="26" t="inlineStr">
        <is>
          <t>0663-0001</t>
        </is>
      </c>
      <c r="B136" s="27" t="inlineStr">
        <is>
          <t>Soluciones de Transporte de Carga B de Sa de Cv</t>
        </is>
      </c>
      <c r="C136" s="27" t="inlineStr">
        <is>
          <t>L200 GLX Diesel</t>
        </is>
      </c>
      <c r="D136" s="26" t="inlineStr">
        <is>
          <t>ACTIVO</t>
        </is>
      </c>
      <c r="E136" s="28" t="n">
        <v>48</v>
      </c>
      <c r="F136" s="29">
        <f>ROUND(Saldos_Capital_Mensual!I136 + Saldos_Intereses_Mensual!I136, 2)</f>
        <v/>
      </c>
      <c r="G136" s="29">
        <f>ROUND(Saldos_Capital_Mensual!J136 + Saldos_Intereses_Mensual!J136, 2)</f>
        <v/>
      </c>
      <c r="H136" s="29">
        <f>ROUND(Saldos_Capital_Mensual!K136 + Saldos_Intereses_Mensual!K136, 2)</f>
        <v/>
      </c>
      <c r="I136" s="29">
        <f>ROUND(Saldos_Capital_Mensual!L136 + Saldos_Intereses_Mensual!L136, 2)</f>
        <v/>
      </c>
      <c r="J136" s="29">
        <f>ROUND(Saldos_Capital_Mensual!M136 + Saldos_Intereses_Mensual!M136, 2)</f>
        <v/>
      </c>
      <c r="K136" s="29">
        <f>ROUND(Saldos_Capital_Mensual!N136 + Saldos_Intereses_Mensual!N136, 2)</f>
        <v/>
      </c>
      <c r="L136" s="29">
        <f>ROUND(Saldos_Capital_Mensual!O136 + Saldos_Intereses_Mensual!O136, 2)</f>
        <v/>
      </c>
      <c r="M136" s="29">
        <f>ROUND(Saldos_Capital_Mensual!P136 + Saldos_Intereses_Mensual!P136, 2)</f>
        <v/>
      </c>
      <c r="N136" s="29">
        <f>ROUND(Saldos_Capital_Mensual!Q136 + Saldos_Intereses_Mensual!Q136, 2)</f>
        <v/>
      </c>
      <c r="O136" s="29">
        <f>ROUND(Saldos_Capital_Mensual!R136 + Saldos_Intereses_Mensual!R136, 2)</f>
        <v/>
      </c>
      <c r="P136" s="29">
        <f>ROUND(Saldos_Capital_Mensual!S136 + Saldos_Intereses_Mensual!S136, 2)</f>
        <v/>
      </c>
      <c r="Q136" s="29">
        <f>ROUND(Saldos_Capital_Mensual!T136 + Saldos_Intereses_Mensual!T136, 2)</f>
        <v/>
      </c>
      <c r="R136" s="29">
        <f>MAX(F136:Q136)</f>
        <v/>
      </c>
    </row>
    <row r="137">
      <c r="A137" s="20" t="inlineStr">
        <is>
          <t>0663-0002</t>
        </is>
      </c>
      <c r="B137" s="21" t="inlineStr">
        <is>
          <t>Diego Hazael Morales Iñiguez</t>
        </is>
      </c>
      <c r="C137" s="21" t="inlineStr">
        <is>
          <t>Wrangler Rubicon</t>
        </is>
      </c>
      <c r="D137" s="20" t="inlineStr">
        <is>
          <t>ACTIVO</t>
        </is>
      </c>
      <c r="E137" s="22" t="n">
        <v>48</v>
      </c>
      <c r="F137" s="23">
        <f>ROUND(Saldos_Capital_Mensual!I137 + Saldos_Intereses_Mensual!I137, 2)</f>
        <v/>
      </c>
      <c r="G137" s="23">
        <f>ROUND(Saldos_Capital_Mensual!J137 + Saldos_Intereses_Mensual!J137, 2)</f>
        <v/>
      </c>
      <c r="H137" s="23">
        <f>ROUND(Saldos_Capital_Mensual!K137 + Saldos_Intereses_Mensual!K137, 2)</f>
        <v/>
      </c>
      <c r="I137" s="23">
        <f>ROUND(Saldos_Capital_Mensual!L137 + Saldos_Intereses_Mensual!L137, 2)</f>
        <v/>
      </c>
      <c r="J137" s="23">
        <f>ROUND(Saldos_Capital_Mensual!M137 + Saldos_Intereses_Mensual!M137, 2)</f>
        <v/>
      </c>
      <c r="K137" s="23">
        <f>ROUND(Saldos_Capital_Mensual!N137 + Saldos_Intereses_Mensual!N137, 2)</f>
        <v/>
      </c>
      <c r="L137" s="23">
        <f>ROUND(Saldos_Capital_Mensual!O137 + Saldos_Intereses_Mensual!O137, 2)</f>
        <v/>
      </c>
      <c r="M137" s="23">
        <f>ROUND(Saldos_Capital_Mensual!P137 + Saldos_Intereses_Mensual!P137, 2)</f>
        <v/>
      </c>
      <c r="N137" s="23">
        <f>ROUND(Saldos_Capital_Mensual!Q137 + Saldos_Intereses_Mensual!Q137, 2)</f>
        <v/>
      </c>
      <c r="O137" s="23">
        <f>ROUND(Saldos_Capital_Mensual!R137 + Saldos_Intereses_Mensual!R137, 2)</f>
        <v/>
      </c>
      <c r="P137" s="23">
        <f>ROUND(Saldos_Capital_Mensual!S137 + Saldos_Intereses_Mensual!S137, 2)</f>
        <v/>
      </c>
      <c r="Q137" s="23">
        <f>ROUND(Saldos_Capital_Mensual!T137 + Saldos_Intereses_Mensual!T137, 2)</f>
        <v/>
      </c>
      <c r="R137" s="23">
        <f>MAX(F137:Q137)</f>
        <v/>
      </c>
    </row>
    <row r="138">
      <c r="A138" s="26" t="inlineStr">
        <is>
          <t>0665-0001</t>
        </is>
      </c>
      <c r="B138" s="27" t="inlineStr">
        <is>
          <t>Dulce Guadalupe Amezcua Gomez</t>
        </is>
      </c>
      <c r="C138" s="27" t="inlineStr">
        <is>
          <t>Wrangler Jt</t>
        </is>
      </c>
      <c r="D138" s="26" t="inlineStr">
        <is>
          <t>ACTIVO</t>
        </is>
      </c>
      <c r="E138" s="28" t="n">
        <v>48</v>
      </c>
      <c r="F138" s="29">
        <f>ROUND(Saldos_Capital_Mensual!I138 + Saldos_Intereses_Mensual!I138, 2)</f>
        <v/>
      </c>
      <c r="G138" s="29">
        <f>ROUND(Saldos_Capital_Mensual!J138 + Saldos_Intereses_Mensual!J138, 2)</f>
        <v/>
      </c>
      <c r="H138" s="29">
        <f>ROUND(Saldos_Capital_Mensual!K138 + Saldos_Intereses_Mensual!K138, 2)</f>
        <v/>
      </c>
      <c r="I138" s="29">
        <f>ROUND(Saldos_Capital_Mensual!L138 + Saldos_Intereses_Mensual!L138, 2)</f>
        <v/>
      </c>
      <c r="J138" s="29">
        <f>ROUND(Saldos_Capital_Mensual!M138 + Saldos_Intereses_Mensual!M138, 2)</f>
        <v/>
      </c>
      <c r="K138" s="29">
        <f>ROUND(Saldos_Capital_Mensual!N138 + Saldos_Intereses_Mensual!N138, 2)</f>
        <v/>
      </c>
      <c r="L138" s="29">
        <f>ROUND(Saldos_Capital_Mensual!O138 + Saldos_Intereses_Mensual!O138, 2)</f>
        <v/>
      </c>
      <c r="M138" s="29">
        <f>ROUND(Saldos_Capital_Mensual!P138 + Saldos_Intereses_Mensual!P138, 2)</f>
        <v/>
      </c>
      <c r="N138" s="29">
        <f>ROUND(Saldos_Capital_Mensual!Q138 + Saldos_Intereses_Mensual!Q138, 2)</f>
        <v/>
      </c>
      <c r="O138" s="29">
        <f>ROUND(Saldos_Capital_Mensual!R138 + Saldos_Intereses_Mensual!R138, 2)</f>
        <v/>
      </c>
      <c r="P138" s="29">
        <f>ROUND(Saldos_Capital_Mensual!S138 + Saldos_Intereses_Mensual!S138, 2)</f>
        <v/>
      </c>
      <c r="Q138" s="29">
        <f>ROUND(Saldos_Capital_Mensual!T138 + Saldos_Intereses_Mensual!T138, 2)</f>
        <v/>
      </c>
      <c r="R138" s="29">
        <f>MAX(F138:Q138)</f>
        <v/>
      </c>
    </row>
    <row r="139">
      <c r="A139" s="20" t="inlineStr">
        <is>
          <t>0666-0003</t>
        </is>
      </c>
      <c r="B139" s="21" t="inlineStr">
        <is>
          <t>Jaime Adrian Muñiz Ramirez</t>
        </is>
      </c>
      <c r="C139" s="21" t="inlineStr">
        <is>
          <t>Wrangler Phev</t>
        </is>
      </c>
      <c r="D139" s="20" t="inlineStr">
        <is>
          <t>ACTIVO</t>
        </is>
      </c>
      <c r="E139" s="22" t="n">
        <v>36</v>
      </c>
      <c r="F139" s="23">
        <f>ROUND(Saldos_Capital_Mensual!I139 + Saldos_Intereses_Mensual!I139, 2)</f>
        <v/>
      </c>
      <c r="G139" s="23">
        <f>ROUND(Saldos_Capital_Mensual!J139 + Saldos_Intereses_Mensual!J139, 2)</f>
        <v/>
      </c>
      <c r="H139" s="23">
        <f>ROUND(Saldos_Capital_Mensual!K139 + Saldos_Intereses_Mensual!K139, 2)</f>
        <v/>
      </c>
      <c r="I139" s="23">
        <f>ROUND(Saldos_Capital_Mensual!L139 + Saldos_Intereses_Mensual!L139, 2)</f>
        <v/>
      </c>
      <c r="J139" s="23">
        <f>ROUND(Saldos_Capital_Mensual!M139 + Saldos_Intereses_Mensual!M139, 2)</f>
        <v/>
      </c>
      <c r="K139" s="23">
        <f>ROUND(Saldos_Capital_Mensual!N139 + Saldos_Intereses_Mensual!N139, 2)</f>
        <v/>
      </c>
      <c r="L139" s="23">
        <f>ROUND(Saldos_Capital_Mensual!O139 + Saldos_Intereses_Mensual!O139, 2)</f>
        <v/>
      </c>
      <c r="M139" s="23">
        <f>ROUND(Saldos_Capital_Mensual!P139 + Saldos_Intereses_Mensual!P139, 2)</f>
        <v/>
      </c>
      <c r="N139" s="23">
        <f>ROUND(Saldos_Capital_Mensual!Q139 + Saldos_Intereses_Mensual!Q139, 2)</f>
        <v/>
      </c>
      <c r="O139" s="23">
        <f>ROUND(Saldos_Capital_Mensual!R139 + Saldos_Intereses_Mensual!R139, 2)</f>
        <v/>
      </c>
      <c r="P139" s="23">
        <f>ROUND(Saldos_Capital_Mensual!S139 + Saldos_Intereses_Mensual!S139, 2)</f>
        <v/>
      </c>
      <c r="Q139" s="23">
        <f>ROUND(Saldos_Capital_Mensual!T139 + Saldos_Intereses_Mensual!T139, 2)</f>
        <v/>
      </c>
      <c r="R139" s="23">
        <f>MAX(F139:Q139)</f>
        <v/>
      </c>
    </row>
    <row r="140">
      <c r="A140" s="26" t="inlineStr">
        <is>
          <t>0668-0005</t>
        </is>
      </c>
      <c r="B140" s="27" t="inlineStr">
        <is>
          <t>Jorge Alonso Alvarez Garcia</t>
        </is>
      </c>
      <c r="C140" s="27" t="inlineStr">
        <is>
          <t>RAM 700 BIGHORN "S" CREW CAB CVT</t>
        </is>
      </c>
      <c r="D140" s="26" t="inlineStr">
        <is>
          <t>ACTIVO</t>
        </is>
      </c>
      <c r="E140" s="28" t="n">
        <v>12</v>
      </c>
      <c r="F140" s="29" t="inlineStr"/>
      <c r="G140" s="29" t="inlineStr"/>
      <c r="H140" s="29">
        <f>ROUND(Saldos_Capital_Mensual!K140 + Saldos_Intereses_Mensual!K140, 2)</f>
        <v/>
      </c>
      <c r="I140" s="29">
        <f>ROUND(Saldos_Capital_Mensual!L140 + Saldos_Intereses_Mensual!L140, 2)</f>
        <v/>
      </c>
      <c r="J140" s="29">
        <f>ROUND(Saldos_Capital_Mensual!M140 + Saldos_Intereses_Mensual!M140, 2)</f>
        <v/>
      </c>
      <c r="K140" s="29">
        <f>ROUND(Saldos_Capital_Mensual!N140 + Saldos_Intereses_Mensual!N140, 2)</f>
        <v/>
      </c>
      <c r="L140" s="29">
        <f>ROUND(Saldos_Capital_Mensual!O140 + Saldos_Intereses_Mensual!O140, 2)</f>
        <v/>
      </c>
      <c r="M140" s="29">
        <f>ROUND(Saldos_Capital_Mensual!P140 + Saldos_Intereses_Mensual!P140, 2)</f>
        <v/>
      </c>
      <c r="N140" s="29">
        <f>ROUND(Saldos_Capital_Mensual!Q140 + Saldos_Intereses_Mensual!Q140, 2)</f>
        <v/>
      </c>
      <c r="O140" s="29">
        <f>ROUND(Saldos_Capital_Mensual!R140 + Saldos_Intereses_Mensual!R140, 2)</f>
        <v/>
      </c>
      <c r="P140" s="29">
        <f>ROUND(Saldos_Capital_Mensual!S140 + Saldos_Intereses_Mensual!S140, 2)</f>
        <v/>
      </c>
      <c r="Q140" s="29">
        <f>ROUND(Saldos_Capital_Mensual!T140 + Saldos_Intereses_Mensual!T140, 2)</f>
        <v/>
      </c>
      <c r="R140" s="29">
        <f>MAX(F140:Q140)</f>
        <v/>
      </c>
    </row>
    <row r="141">
      <c r="A141" s="20" t="inlineStr">
        <is>
          <t>0669-0001</t>
        </is>
      </c>
      <c r="B141" s="21" t="inlineStr">
        <is>
          <t>Diego Hazael Morales Iñiguez</t>
        </is>
      </c>
      <c r="C141" s="21" t="inlineStr">
        <is>
          <t>Wrangler Jt</t>
        </is>
      </c>
      <c r="D141" s="20" t="inlineStr">
        <is>
          <t>ACTIVO</t>
        </is>
      </c>
      <c r="E141" s="22" t="n">
        <v>36</v>
      </c>
      <c r="F141" s="23">
        <f>ROUND(Saldos_Capital_Mensual!I141 + Saldos_Intereses_Mensual!I141, 2)</f>
        <v/>
      </c>
      <c r="G141" s="23">
        <f>ROUND(Saldos_Capital_Mensual!J141 + Saldos_Intereses_Mensual!J141, 2)</f>
        <v/>
      </c>
      <c r="H141" s="23">
        <f>ROUND(Saldos_Capital_Mensual!K141 + Saldos_Intereses_Mensual!K141, 2)</f>
        <v/>
      </c>
      <c r="I141" s="23">
        <f>ROUND(Saldos_Capital_Mensual!L141 + Saldos_Intereses_Mensual!L141, 2)</f>
        <v/>
      </c>
      <c r="J141" s="23">
        <f>ROUND(Saldos_Capital_Mensual!M141 + Saldos_Intereses_Mensual!M141, 2)</f>
        <v/>
      </c>
      <c r="K141" s="23">
        <f>ROUND(Saldos_Capital_Mensual!N141 + Saldos_Intereses_Mensual!N141, 2)</f>
        <v/>
      </c>
      <c r="L141" s="23">
        <f>ROUND(Saldos_Capital_Mensual!O141 + Saldos_Intereses_Mensual!O141, 2)</f>
        <v/>
      </c>
      <c r="M141" s="23">
        <f>ROUND(Saldos_Capital_Mensual!P141 + Saldos_Intereses_Mensual!P141, 2)</f>
        <v/>
      </c>
      <c r="N141" s="23">
        <f>ROUND(Saldos_Capital_Mensual!Q141 + Saldos_Intereses_Mensual!Q141, 2)</f>
        <v/>
      </c>
      <c r="O141" s="23">
        <f>ROUND(Saldos_Capital_Mensual!R141 + Saldos_Intereses_Mensual!R141, 2)</f>
        <v/>
      </c>
      <c r="P141" s="23">
        <f>ROUND(Saldos_Capital_Mensual!S141 + Saldos_Intereses_Mensual!S141, 2)</f>
        <v/>
      </c>
      <c r="Q141" s="23">
        <f>ROUND(Saldos_Capital_Mensual!T141 + Saldos_Intereses_Mensual!T141, 2)</f>
        <v/>
      </c>
      <c r="R141" s="23">
        <f>MAX(F141:Q141)</f>
        <v/>
      </c>
    </row>
    <row r="142">
      <c r="A142" s="26" t="inlineStr">
        <is>
          <t>0670-0001</t>
        </is>
      </c>
      <c r="B142" s="27" t="inlineStr">
        <is>
          <t>Consultoria Internacional Mexincorp Sc</t>
        </is>
      </c>
      <c r="C142" s="27" t="inlineStr">
        <is>
          <t>L200 Limited</t>
        </is>
      </c>
      <c r="D142" s="26" t="inlineStr">
        <is>
          <t>ACTIVO</t>
        </is>
      </c>
      <c r="E142" s="28" t="n">
        <v>48</v>
      </c>
      <c r="F142" s="29">
        <f>ROUND(Saldos_Capital_Mensual!I142 + Saldos_Intereses_Mensual!I142, 2)</f>
        <v/>
      </c>
      <c r="G142" s="29">
        <f>ROUND(Saldos_Capital_Mensual!J142 + Saldos_Intereses_Mensual!J142, 2)</f>
        <v/>
      </c>
      <c r="H142" s="29">
        <f>ROUND(Saldos_Capital_Mensual!K142 + Saldos_Intereses_Mensual!K142, 2)</f>
        <v/>
      </c>
      <c r="I142" s="29">
        <f>ROUND(Saldos_Capital_Mensual!L142 + Saldos_Intereses_Mensual!L142, 2)</f>
        <v/>
      </c>
      <c r="J142" s="29">
        <f>ROUND(Saldos_Capital_Mensual!M142 + Saldos_Intereses_Mensual!M142, 2)</f>
        <v/>
      </c>
      <c r="K142" s="29">
        <f>ROUND(Saldos_Capital_Mensual!N142 + Saldos_Intereses_Mensual!N142, 2)</f>
        <v/>
      </c>
      <c r="L142" s="29">
        <f>ROUND(Saldos_Capital_Mensual!O142 + Saldos_Intereses_Mensual!O142, 2)</f>
        <v/>
      </c>
      <c r="M142" s="29">
        <f>ROUND(Saldos_Capital_Mensual!P142 + Saldos_Intereses_Mensual!P142, 2)</f>
        <v/>
      </c>
      <c r="N142" s="29">
        <f>ROUND(Saldos_Capital_Mensual!Q142 + Saldos_Intereses_Mensual!Q142, 2)</f>
        <v/>
      </c>
      <c r="O142" s="29">
        <f>ROUND(Saldos_Capital_Mensual!R142 + Saldos_Intereses_Mensual!R142, 2)</f>
        <v/>
      </c>
      <c r="P142" s="29">
        <f>ROUND(Saldos_Capital_Mensual!S142 + Saldos_Intereses_Mensual!S142, 2)</f>
        <v/>
      </c>
      <c r="Q142" s="29">
        <f>ROUND(Saldos_Capital_Mensual!T142 + Saldos_Intereses_Mensual!T142, 2)</f>
        <v/>
      </c>
      <c r="R142" s="29">
        <f>MAX(F142:Q142)</f>
        <v/>
      </c>
    </row>
    <row r="143">
      <c r="A143" s="20" t="inlineStr">
        <is>
          <t>0672-0001</t>
        </is>
      </c>
      <c r="B143" s="21" t="inlineStr">
        <is>
          <t>Bax Blockchain Services Sa de Cv</t>
        </is>
      </c>
      <c r="C143" s="21" t="inlineStr">
        <is>
          <t>Tucson Limited</t>
        </is>
      </c>
      <c r="D143" s="20" t="inlineStr">
        <is>
          <t>ACTIVO</t>
        </is>
      </c>
      <c r="E143" s="22" t="n">
        <v>36</v>
      </c>
      <c r="F143" s="23">
        <f>ROUND(Saldos_Capital_Mensual!I143 + Saldos_Intereses_Mensual!I143, 2)</f>
        <v/>
      </c>
      <c r="G143" s="23">
        <f>ROUND(Saldos_Capital_Mensual!J143 + Saldos_Intereses_Mensual!J143, 2)</f>
        <v/>
      </c>
      <c r="H143" s="23">
        <f>ROUND(Saldos_Capital_Mensual!K143 + Saldos_Intereses_Mensual!K143, 2)</f>
        <v/>
      </c>
      <c r="I143" s="23">
        <f>ROUND(Saldos_Capital_Mensual!L143 + Saldos_Intereses_Mensual!L143, 2)</f>
        <v/>
      </c>
      <c r="J143" s="23">
        <f>ROUND(Saldos_Capital_Mensual!M143 + Saldos_Intereses_Mensual!M143, 2)</f>
        <v/>
      </c>
      <c r="K143" s="23">
        <f>ROUND(Saldos_Capital_Mensual!N143 + Saldos_Intereses_Mensual!N143, 2)</f>
        <v/>
      </c>
      <c r="L143" s="23">
        <f>ROUND(Saldos_Capital_Mensual!O143 + Saldos_Intereses_Mensual!O143, 2)</f>
        <v/>
      </c>
      <c r="M143" s="23">
        <f>ROUND(Saldos_Capital_Mensual!P143 + Saldos_Intereses_Mensual!P143, 2)</f>
        <v/>
      </c>
      <c r="N143" s="23">
        <f>ROUND(Saldos_Capital_Mensual!Q143 + Saldos_Intereses_Mensual!Q143, 2)</f>
        <v/>
      </c>
      <c r="O143" s="23">
        <f>ROUND(Saldos_Capital_Mensual!R143 + Saldos_Intereses_Mensual!R143, 2)</f>
        <v/>
      </c>
      <c r="P143" s="23">
        <f>ROUND(Saldos_Capital_Mensual!S143 + Saldos_Intereses_Mensual!S143, 2)</f>
        <v/>
      </c>
      <c r="Q143" s="23">
        <f>ROUND(Saldos_Capital_Mensual!T143 + Saldos_Intereses_Mensual!T143, 2)</f>
        <v/>
      </c>
      <c r="R143" s="23">
        <f>MAX(F143:Q143)</f>
        <v/>
      </c>
    </row>
    <row r="144">
      <c r="A144" s="26" t="inlineStr">
        <is>
          <t>0673-0001</t>
        </is>
      </c>
      <c r="B144" s="27" t="inlineStr">
        <is>
          <t>Juan Carlos Cardenas Arciniega</t>
        </is>
      </c>
      <c r="C144" s="27" t="inlineStr">
        <is>
          <t>Wrangler Unlimited</t>
        </is>
      </c>
      <c r="D144" s="26" t="inlineStr">
        <is>
          <t>ACTIVO</t>
        </is>
      </c>
      <c r="E144" s="28" t="n">
        <v>48</v>
      </c>
      <c r="F144" s="29">
        <f>ROUND(Saldos_Capital_Mensual!I144 + Saldos_Intereses_Mensual!I144, 2)</f>
        <v/>
      </c>
      <c r="G144" s="29">
        <f>ROUND(Saldos_Capital_Mensual!J144 + Saldos_Intereses_Mensual!J144, 2)</f>
        <v/>
      </c>
      <c r="H144" s="29">
        <f>ROUND(Saldos_Capital_Mensual!K144 + Saldos_Intereses_Mensual!K144, 2)</f>
        <v/>
      </c>
      <c r="I144" s="29">
        <f>ROUND(Saldos_Capital_Mensual!L144 + Saldos_Intereses_Mensual!L144, 2)</f>
        <v/>
      </c>
      <c r="J144" s="29">
        <f>ROUND(Saldos_Capital_Mensual!M144 + Saldos_Intereses_Mensual!M144, 2)</f>
        <v/>
      </c>
      <c r="K144" s="29">
        <f>ROUND(Saldos_Capital_Mensual!N144 + Saldos_Intereses_Mensual!N144, 2)</f>
        <v/>
      </c>
      <c r="L144" s="29">
        <f>ROUND(Saldos_Capital_Mensual!O144 + Saldos_Intereses_Mensual!O144, 2)</f>
        <v/>
      </c>
      <c r="M144" s="29">
        <f>ROUND(Saldos_Capital_Mensual!P144 + Saldos_Intereses_Mensual!P144, 2)</f>
        <v/>
      </c>
      <c r="N144" s="29">
        <f>ROUND(Saldos_Capital_Mensual!Q144 + Saldos_Intereses_Mensual!Q144, 2)</f>
        <v/>
      </c>
      <c r="O144" s="29">
        <f>ROUND(Saldos_Capital_Mensual!R144 + Saldos_Intereses_Mensual!R144, 2)</f>
        <v/>
      </c>
      <c r="P144" s="29">
        <f>ROUND(Saldos_Capital_Mensual!S144 + Saldos_Intereses_Mensual!S144, 2)</f>
        <v/>
      </c>
      <c r="Q144" s="29">
        <f>ROUND(Saldos_Capital_Mensual!T144 + Saldos_Intereses_Mensual!T144, 2)</f>
        <v/>
      </c>
      <c r="R144" s="29">
        <f>MAX(F144:Q144)</f>
        <v/>
      </c>
    </row>
    <row r="145">
      <c r="A145" s="20" t="inlineStr">
        <is>
          <t>0673-0002</t>
        </is>
      </c>
      <c r="B145" s="21" t="inlineStr">
        <is>
          <t>Juan Carlos Cardenas Arciniega</t>
        </is>
      </c>
      <c r="C145" s="21" t="inlineStr">
        <is>
          <t>L200 Glx Diesel</t>
        </is>
      </c>
      <c r="D145" s="20" t="inlineStr">
        <is>
          <t>ACTIVO</t>
        </is>
      </c>
      <c r="E145" s="22" t="n">
        <v>48</v>
      </c>
      <c r="F145" s="23">
        <f>ROUND(Saldos_Capital_Mensual!I145 + Saldos_Intereses_Mensual!I145, 2)</f>
        <v/>
      </c>
      <c r="G145" s="23">
        <f>ROUND(Saldos_Capital_Mensual!J145 + Saldos_Intereses_Mensual!J145, 2)</f>
        <v/>
      </c>
      <c r="H145" s="23">
        <f>ROUND(Saldos_Capital_Mensual!K145 + Saldos_Intereses_Mensual!K145, 2)</f>
        <v/>
      </c>
      <c r="I145" s="23">
        <f>ROUND(Saldos_Capital_Mensual!L145 + Saldos_Intereses_Mensual!L145, 2)</f>
        <v/>
      </c>
      <c r="J145" s="23">
        <f>ROUND(Saldos_Capital_Mensual!M145 + Saldos_Intereses_Mensual!M145, 2)</f>
        <v/>
      </c>
      <c r="K145" s="23">
        <f>ROUND(Saldos_Capital_Mensual!N145 + Saldos_Intereses_Mensual!N145, 2)</f>
        <v/>
      </c>
      <c r="L145" s="23">
        <f>ROUND(Saldos_Capital_Mensual!O145 + Saldos_Intereses_Mensual!O145, 2)</f>
        <v/>
      </c>
      <c r="M145" s="23">
        <f>ROUND(Saldos_Capital_Mensual!P145 + Saldos_Intereses_Mensual!P145, 2)</f>
        <v/>
      </c>
      <c r="N145" s="23">
        <f>ROUND(Saldos_Capital_Mensual!Q145 + Saldos_Intereses_Mensual!Q145, 2)</f>
        <v/>
      </c>
      <c r="O145" s="23">
        <f>ROUND(Saldos_Capital_Mensual!R145 + Saldos_Intereses_Mensual!R145, 2)</f>
        <v/>
      </c>
      <c r="P145" s="23">
        <f>ROUND(Saldos_Capital_Mensual!S145 + Saldos_Intereses_Mensual!S145, 2)</f>
        <v/>
      </c>
      <c r="Q145" s="23">
        <f>ROUND(Saldos_Capital_Mensual!T145 + Saldos_Intereses_Mensual!T145, 2)</f>
        <v/>
      </c>
      <c r="R145" s="23">
        <f>MAX(F145:Q145)</f>
        <v/>
      </c>
    </row>
    <row r="146">
      <c r="A146" s="26" t="inlineStr">
        <is>
          <t>0673-0003</t>
        </is>
      </c>
      <c r="B146" s="27" t="inlineStr">
        <is>
          <t>Juan Carlos Cardenas Arciniega</t>
        </is>
      </c>
      <c r="C146" s="27" t="inlineStr">
        <is>
          <t>Hilux Diesel</t>
        </is>
      </c>
      <c r="D146" s="26" t="inlineStr">
        <is>
          <t>ACTIVO</t>
        </is>
      </c>
      <c r="E146" s="28" t="n">
        <v>48</v>
      </c>
      <c r="F146" s="29">
        <f>ROUND(Saldos_Capital_Mensual!I146 + Saldos_Intereses_Mensual!I146, 2)</f>
        <v/>
      </c>
      <c r="G146" s="29">
        <f>ROUND(Saldos_Capital_Mensual!J146 + Saldos_Intereses_Mensual!J146, 2)</f>
        <v/>
      </c>
      <c r="H146" s="29">
        <f>ROUND(Saldos_Capital_Mensual!K146 + Saldos_Intereses_Mensual!K146, 2)</f>
        <v/>
      </c>
      <c r="I146" s="29">
        <f>ROUND(Saldos_Capital_Mensual!L146 + Saldos_Intereses_Mensual!L146, 2)</f>
        <v/>
      </c>
      <c r="J146" s="29">
        <f>ROUND(Saldos_Capital_Mensual!M146 + Saldos_Intereses_Mensual!M146, 2)</f>
        <v/>
      </c>
      <c r="K146" s="29">
        <f>ROUND(Saldos_Capital_Mensual!N146 + Saldos_Intereses_Mensual!N146, 2)</f>
        <v/>
      </c>
      <c r="L146" s="29">
        <f>ROUND(Saldos_Capital_Mensual!O146 + Saldos_Intereses_Mensual!O146, 2)</f>
        <v/>
      </c>
      <c r="M146" s="29">
        <f>ROUND(Saldos_Capital_Mensual!P146 + Saldos_Intereses_Mensual!P146, 2)</f>
        <v/>
      </c>
      <c r="N146" s="29">
        <f>ROUND(Saldos_Capital_Mensual!Q146 + Saldos_Intereses_Mensual!Q146, 2)</f>
        <v/>
      </c>
      <c r="O146" s="29">
        <f>ROUND(Saldos_Capital_Mensual!R146 + Saldos_Intereses_Mensual!R146, 2)</f>
        <v/>
      </c>
      <c r="P146" s="29">
        <f>ROUND(Saldos_Capital_Mensual!S146 + Saldos_Intereses_Mensual!S146, 2)</f>
        <v/>
      </c>
      <c r="Q146" s="29">
        <f>ROUND(Saldos_Capital_Mensual!T146 + Saldos_Intereses_Mensual!T146, 2)</f>
        <v/>
      </c>
      <c r="R146" s="29">
        <f>MAX(F146:Q146)</f>
        <v/>
      </c>
    </row>
    <row r="147">
      <c r="A147" s="20" t="inlineStr">
        <is>
          <t>0673-0004</t>
        </is>
      </c>
      <c r="B147" s="21" t="inlineStr">
        <is>
          <t>Juan Carlos Cardenas Arciniega</t>
        </is>
      </c>
      <c r="C147" s="21" t="inlineStr">
        <is>
          <t>Np300</t>
        </is>
      </c>
      <c r="D147" s="20" t="inlineStr">
        <is>
          <t>ACTIVO</t>
        </is>
      </c>
      <c r="E147" s="22" t="n">
        <v>24</v>
      </c>
      <c r="F147" s="23">
        <f>ROUND(Saldos_Capital_Mensual!I147 + Saldos_Intereses_Mensual!I147, 2)</f>
        <v/>
      </c>
      <c r="G147" s="23">
        <f>ROUND(Saldos_Capital_Mensual!J147 + Saldos_Intereses_Mensual!J147, 2)</f>
        <v/>
      </c>
      <c r="H147" s="23">
        <f>ROUND(Saldos_Capital_Mensual!K147 + Saldos_Intereses_Mensual!K147, 2)</f>
        <v/>
      </c>
      <c r="I147" s="23">
        <f>ROUND(Saldos_Capital_Mensual!L147 + Saldos_Intereses_Mensual!L147, 2)</f>
        <v/>
      </c>
      <c r="J147" s="23">
        <f>ROUND(Saldos_Capital_Mensual!M147 + Saldos_Intereses_Mensual!M147, 2)</f>
        <v/>
      </c>
      <c r="K147" s="23">
        <f>ROUND(Saldos_Capital_Mensual!N147 + Saldos_Intereses_Mensual!N147, 2)</f>
        <v/>
      </c>
      <c r="L147" s="23">
        <f>ROUND(Saldos_Capital_Mensual!O147 + Saldos_Intereses_Mensual!O147, 2)</f>
        <v/>
      </c>
      <c r="M147" s="23">
        <f>ROUND(Saldos_Capital_Mensual!P147 + Saldos_Intereses_Mensual!P147, 2)</f>
        <v/>
      </c>
      <c r="N147" s="23">
        <f>ROUND(Saldos_Capital_Mensual!Q147 + Saldos_Intereses_Mensual!Q147, 2)</f>
        <v/>
      </c>
      <c r="O147" s="23">
        <f>ROUND(Saldos_Capital_Mensual!R147 + Saldos_Intereses_Mensual!R147, 2)</f>
        <v/>
      </c>
      <c r="P147" s="23">
        <f>ROUND(Saldos_Capital_Mensual!S147 + Saldos_Intereses_Mensual!S147, 2)</f>
        <v/>
      </c>
      <c r="Q147" s="23">
        <f>ROUND(Saldos_Capital_Mensual!T147 + Saldos_Intereses_Mensual!T147, 2)</f>
        <v/>
      </c>
      <c r="R147" s="23">
        <f>MAX(F147:Q147)</f>
        <v/>
      </c>
    </row>
    <row r="148">
      <c r="A148" s="26" t="inlineStr">
        <is>
          <t>0673-0005</t>
        </is>
      </c>
      <c r="B148" s="27" t="inlineStr">
        <is>
          <t>Juan Carlos Cardenas Arciniega</t>
        </is>
      </c>
      <c r="C148" s="27" t="inlineStr">
        <is>
          <t>L200 Glx</t>
        </is>
      </c>
      <c r="D148" s="26" t="inlineStr">
        <is>
          <t>ACTIVO</t>
        </is>
      </c>
      <c r="E148" s="28" t="n">
        <v>36</v>
      </c>
      <c r="F148" s="29">
        <f>ROUND(Saldos_Capital_Mensual!I148 + Saldos_Intereses_Mensual!I148, 2)</f>
        <v/>
      </c>
      <c r="G148" s="29">
        <f>ROUND(Saldos_Capital_Mensual!J148 + Saldos_Intereses_Mensual!J148, 2)</f>
        <v/>
      </c>
      <c r="H148" s="29">
        <f>ROUND(Saldos_Capital_Mensual!K148 + Saldos_Intereses_Mensual!K148, 2)</f>
        <v/>
      </c>
      <c r="I148" s="29">
        <f>ROUND(Saldos_Capital_Mensual!L148 + Saldos_Intereses_Mensual!L148, 2)</f>
        <v/>
      </c>
      <c r="J148" s="29">
        <f>ROUND(Saldos_Capital_Mensual!M148 + Saldos_Intereses_Mensual!M148, 2)</f>
        <v/>
      </c>
      <c r="K148" s="29">
        <f>ROUND(Saldos_Capital_Mensual!N148 + Saldos_Intereses_Mensual!N148, 2)</f>
        <v/>
      </c>
      <c r="L148" s="29">
        <f>ROUND(Saldos_Capital_Mensual!O148 + Saldos_Intereses_Mensual!O148, 2)</f>
        <v/>
      </c>
      <c r="M148" s="29">
        <f>ROUND(Saldos_Capital_Mensual!P148 + Saldos_Intereses_Mensual!P148, 2)</f>
        <v/>
      </c>
      <c r="N148" s="29">
        <f>ROUND(Saldos_Capital_Mensual!Q148 + Saldos_Intereses_Mensual!Q148, 2)</f>
        <v/>
      </c>
      <c r="O148" s="29">
        <f>ROUND(Saldos_Capital_Mensual!R148 + Saldos_Intereses_Mensual!R148, 2)</f>
        <v/>
      </c>
      <c r="P148" s="29">
        <f>ROUND(Saldos_Capital_Mensual!S148 + Saldos_Intereses_Mensual!S148, 2)</f>
        <v/>
      </c>
      <c r="Q148" s="29">
        <f>ROUND(Saldos_Capital_Mensual!T148 + Saldos_Intereses_Mensual!T148, 2)</f>
        <v/>
      </c>
      <c r="R148" s="29">
        <f>MAX(F148:Q148)</f>
        <v/>
      </c>
    </row>
    <row r="149">
      <c r="A149" s="20" t="inlineStr">
        <is>
          <t>0674-0001</t>
        </is>
      </c>
      <c r="B149" s="21" t="inlineStr">
        <is>
          <t>Zuji Sa de Cv</t>
        </is>
      </c>
      <c r="C149" s="21" t="inlineStr">
        <is>
          <t>2008 Allure</t>
        </is>
      </c>
      <c r="D149" s="20" t="inlineStr">
        <is>
          <t>ACTIVO</t>
        </is>
      </c>
      <c r="E149" s="22" t="n">
        <v>36</v>
      </c>
      <c r="F149" s="23">
        <f>ROUND(Saldos_Capital_Mensual!I149 + Saldos_Intereses_Mensual!I149, 2)</f>
        <v/>
      </c>
      <c r="G149" s="23">
        <f>ROUND(Saldos_Capital_Mensual!J149 + Saldos_Intereses_Mensual!J149, 2)</f>
        <v/>
      </c>
      <c r="H149" s="23">
        <f>ROUND(Saldos_Capital_Mensual!K149 + Saldos_Intereses_Mensual!K149, 2)</f>
        <v/>
      </c>
      <c r="I149" s="23">
        <f>ROUND(Saldos_Capital_Mensual!L149 + Saldos_Intereses_Mensual!L149, 2)</f>
        <v/>
      </c>
      <c r="J149" s="23">
        <f>ROUND(Saldos_Capital_Mensual!M149 + Saldos_Intereses_Mensual!M149, 2)</f>
        <v/>
      </c>
      <c r="K149" s="23">
        <f>ROUND(Saldos_Capital_Mensual!N149 + Saldos_Intereses_Mensual!N149, 2)</f>
        <v/>
      </c>
      <c r="L149" s="23">
        <f>ROUND(Saldos_Capital_Mensual!O149 + Saldos_Intereses_Mensual!O149, 2)</f>
        <v/>
      </c>
      <c r="M149" s="23">
        <f>ROUND(Saldos_Capital_Mensual!P149 + Saldos_Intereses_Mensual!P149, 2)</f>
        <v/>
      </c>
      <c r="N149" s="23">
        <f>ROUND(Saldos_Capital_Mensual!Q149 + Saldos_Intereses_Mensual!Q149, 2)</f>
        <v/>
      </c>
      <c r="O149" s="23">
        <f>ROUND(Saldos_Capital_Mensual!R149 + Saldos_Intereses_Mensual!R149, 2)</f>
        <v/>
      </c>
      <c r="P149" s="23">
        <f>ROUND(Saldos_Capital_Mensual!S149 + Saldos_Intereses_Mensual!S149, 2)</f>
        <v/>
      </c>
      <c r="Q149" s="23">
        <f>ROUND(Saldos_Capital_Mensual!T149 + Saldos_Intereses_Mensual!T149, 2)</f>
        <v/>
      </c>
      <c r="R149" s="23">
        <f>MAX(F149:Q149)</f>
        <v/>
      </c>
    </row>
    <row r="150">
      <c r="A150" s="26" t="inlineStr">
        <is>
          <t>0675-0002</t>
        </is>
      </c>
      <c r="B150" s="27" t="inlineStr">
        <is>
          <t>Comercializadora Industrial de Zapopan Sa de Cv</t>
        </is>
      </c>
      <c r="C150" s="27" t="inlineStr">
        <is>
          <t>Valor Residual</t>
        </is>
      </c>
      <c r="D150" s="26" t="inlineStr">
        <is>
          <t>ACTIVO</t>
        </is>
      </c>
      <c r="E150" s="28" t="n">
        <v>12</v>
      </c>
      <c r="F150" s="29">
        <f>ROUND(Saldos_Capital_Mensual!I150 + Saldos_Intereses_Mensual!I150, 2)</f>
        <v/>
      </c>
      <c r="G150" s="29">
        <f>ROUND(Saldos_Capital_Mensual!J150 + Saldos_Intereses_Mensual!J150, 2)</f>
        <v/>
      </c>
      <c r="H150" s="29">
        <f>ROUND(Saldos_Capital_Mensual!K150 + Saldos_Intereses_Mensual!K150, 2)</f>
        <v/>
      </c>
      <c r="I150" s="29">
        <f>ROUND(Saldos_Capital_Mensual!L150 + Saldos_Intereses_Mensual!L150, 2)</f>
        <v/>
      </c>
      <c r="J150" s="29">
        <f>ROUND(Saldos_Capital_Mensual!M150 + Saldos_Intereses_Mensual!M150, 2)</f>
        <v/>
      </c>
      <c r="K150" s="29">
        <f>ROUND(Saldos_Capital_Mensual!N150 + Saldos_Intereses_Mensual!N150, 2)</f>
        <v/>
      </c>
      <c r="L150" s="29">
        <f>ROUND(Saldos_Capital_Mensual!O150 + Saldos_Intereses_Mensual!O150, 2)</f>
        <v/>
      </c>
      <c r="M150" s="29">
        <f>ROUND(Saldos_Capital_Mensual!P150 + Saldos_Intereses_Mensual!P150, 2)</f>
        <v/>
      </c>
      <c r="N150" s="29">
        <f>ROUND(Saldos_Capital_Mensual!Q150 + Saldos_Intereses_Mensual!Q150, 2)</f>
        <v/>
      </c>
      <c r="O150" s="29" t="inlineStr"/>
      <c r="P150" s="29" t="inlineStr"/>
      <c r="Q150" s="29" t="inlineStr"/>
      <c r="R150" s="29">
        <f>MAX(F150:Q150)</f>
        <v/>
      </c>
    </row>
    <row r="151">
      <c r="A151" s="20" t="inlineStr">
        <is>
          <t>0676-0001</t>
        </is>
      </c>
      <c r="B151" s="21" t="inlineStr">
        <is>
          <t>Productora Agricola los Amoles</t>
        </is>
      </c>
      <c r="C151" s="21" t="inlineStr">
        <is>
          <t>Ram 700 Regular Cab</t>
        </is>
      </c>
      <c r="D151" s="20" t="inlineStr">
        <is>
          <t>ACTIVO</t>
        </is>
      </c>
      <c r="E151" s="22" t="n">
        <v>36</v>
      </c>
      <c r="F151" s="23">
        <f>ROUND(Saldos_Capital_Mensual!I151 + Saldos_Intereses_Mensual!I151, 2)</f>
        <v/>
      </c>
      <c r="G151" s="23">
        <f>ROUND(Saldos_Capital_Mensual!J151 + Saldos_Intereses_Mensual!J151, 2)</f>
        <v/>
      </c>
      <c r="H151" s="23">
        <f>ROUND(Saldos_Capital_Mensual!K151 + Saldos_Intereses_Mensual!K151, 2)</f>
        <v/>
      </c>
      <c r="I151" s="23">
        <f>ROUND(Saldos_Capital_Mensual!L151 + Saldos_Intereses_Mensual!L151, 2)</f>
        <v/>
      </c>
      <c r="J151" s="23">
        <f>ROUND(Saldos_Capital_Mensual!M151 + Saldos_Intereses_Mensual!M151, 2)</f>
        <v/>
      </c>
      <c r="K151" s="23">
        <f>ROUND(Saldos_Capital_Mensual!N151 + Saldos_Intereses_Mensual!N151, 2)</f>
        <v/>
      </c>
      <c r="L151" s="23">
        <f>ROUND(Saldos_Capital_Mensual!O151 + Saldos_Intereses_Mensual!O151, 2)</f>
        <v/>
      </c>
      <c r="M151" s="23">
        <f>ROUND(Saldos_Capital_Mensual!P151 + Saldos_Intereses_Mensual!P151, 2)</f>
        <v/>
      </c>
      <c r="N151" s="23">
        <f>ROUND(Saldos_Capital_Mensual!Q151 + Saldos_Intereses_Mensual!Q151, 2)</f>
        <v/>
      </c>
      <c r="O151" s="23">
        <f>ROUND(Saldos_Capital_Mensual!R151 + Saldos_Intereses_Mensual!R151, 2)</f>
        <v/>
      </c>
      <c r="P151" s="23">
        <f>ROUND(Saldos_Capital_Mensual!S151 + Saldos_Intereses_Mensual!S151, 2)</f>
        <v/>
      </c>
      <c r="Q151" s="23">
        <f>ROUND(Saldos_Capital_Mensual!T151 + Saldos_Intereses_Mensual!T151, 2)</f>
        <v/>
      </c>
      <c r="R151" s="23">
        <f>MAX(F151:Q151)</f>
        <v/>
      </c>
    </row>
    <row r="152">
      <c r="A152" s="26" t="inlineStr">
        <is>
          <t>0677-0001</t>
        </is>
      </c>
      <c r="B152" s="27" t="inlineStr">
        <is>
          <t>Laboratorio Inunza Siglo XXI</t>
        </is>
      </c>
      <c r="C152" s="27" t="inlineStr">
        <is>
          <t>Outlander Diamon</t>
        </is>
      </c>
      <c r="D152" s="26" t="inlineStr">
        <is>
          <t>ACTIVO</t>
        </is>
      </c>
      <c r="E152" s="28" t="n">
        <v>36</v>
      </c>
      <c r="F152" s="29">
        <f>ROUND(Saldos_Capital_Mensual!I152 + Saldos_Intereses_Mensual!I152, 2)</f>
        <v/>
      </c>
      <c r="G152" s="29">
        <f>ROUND(Saldos_Capital_Mensual!J152 + Saldos_Intereses_Mensual!J152, 2)</f>
        <v/>
      </c>
      <c r="H152" s="29">
        <f>ROUND(Saldos_Capital_Mensual!K152 + Saldos_Intereses_Mensual!K152, 2)</f>
        <v/>
      </c>
      <c r="I152" s="29">
        <f>ROUND(Saldos_Capital_Mensual!L152 + Saldos_Intereses_Mensual!L152, 2)</f>
        <v/>
      </c>
      <c r="J152" s="29">
        <f>ROUND(Saldos_Capital_Mensual!M152 + Saldos_Intereses_Mensual!M152, 2)</f>
        <v/>
      </c>
      <c r="K152" s="29">
        <f>ROUND(Saldos_Capital_Mensual!N152 + Saldos_Intereses_Mensual!N152, 2)</f>
        <v/>
      </c>
      <c r="L152" s="29">
        <f>ROUND(Saldos_Capital_Mensual!O152 + Saldos_Intereses_Mensual!O152, 2)</f>
        <v/>
      </c>
      <c r="M152" s="29">
        <f>ROUND(Saldos_Capital_Mensual!P152 + Saldos_Intereses_Mensual!P152, 2)</f>
        <v/>
      </c>
      <c r="N152" s="29">
        <f>ROUND(Saldos_Capital_Mensual!Q152 + Saldos_Intereses_Mensual!Q152, 2)</f>
        <v/>
      </c>
      <c r="O152" s="29">
        <f>ROUND(Saldos_Capital_Mensual!R152 + Saldos_Intereses_Mensual!R152, 2)</f>
        <v/>
      </c>
      <c r="P152" s="29">
        <f>ROUND(Saldos_Capital_Mensual!S152 + Saldos_Intereses_Mensual!S152, 2)</f>
        <v/>
      </c>
      <c r="Q152" s="29">
        <f>ROUND(Saldos_Capital_Mensual!T152 + Saldos_Intereses_Mensual!T152, 2)</f>
        <v/>
      </c>
      <c r="R152" s="29">
        <f>MAX(F152:Q152)</f>
        <v/>
      </c>
    </row>
    <row r="153">
      <c r="A153" s="20" t="inlineStr">
        <is>
          <t>0678-0002</t>
        </is>
      </c>
      <c r="B153" s="21" t="inlineStr">
        <is>
          <t>Bhg Harmony S de Rl de Cv</t>
        </is>
      </c>
      <c r="C153" s="21" t="inlineStr">
        <is>
          <t>Teramont</t>
        </is>
      </c>
      <c r="D153" s="20" t="inlineStr">
        <is>
          <t>ACTIVO</t>
        </is>
      </c>
      <c r="E153" s="22" t="n">
        <v>12</v>
      </c>
      <c r="F153" s="23">
        <f>ROUND(Saldos_Capital_Mensual!I153 + Saldos_Intereses_Mensual!I153, 2)</f>
        <v/>
      </c>
      <c r="G153" s="23">
        <f>ROUND(Saldos_Capital_Mensual!J153 + Saldos_Intereses_Mensual!J153, 2)</f>
        <v/>
      </c>
      <c r="H153" s="23">
        <f>ROUND(Saldos_Capital_Mensual!K153 + Saldos_Intereses_Mensual!K153, 2)</f>
        <v/>
      </c>
      <c r="I153" s="23">
        <f>ROUND(Saldos_Capital_Mensual!L153 + Saldos_Intereses_Mensual!L153, 2)</f>
        <v/>
      </c>
      <c r="J153" s="23">
        <f>ROUND(Saldos_Capital_Mensual!M153 + Saldos_Intereses_Mensual!M153, 2)</f>
        <v/>
      </c>
      <c r="K153" s="23">
        <f>ROUND(Saldos_Capital_Mensual!N153 + Saldos_Intereses_Mensual!N153, 2)</f>
        <v/>
      </c>
      <c r="L153" s="23">
        <f>ROUND(Saldos_Capital_Mensual!O153 + Saldos_Intereses_Mensual!O153, 2)</f>
        <v/>
      </c>
      <c r="M153" s="23">
        <f>ROUND(Saldos_Capital_Mensual!P153 + Saldos_Intereses_Mensual!P153, 2)</f>
        <v/>
      </c>
      <c r="N153" s="23">
        <f>ROUND(Saldos_Capital_Mensual!Q153 + Saldos_Intereses_Mensual!Q153, 2)</f>
        <v/>
      </c>
      <c r="O153" s="23">
        <f>ROUND(Saldos_Capital_Mensual!R153 + Saldos_Intereses_Mensual!R153, 2)</f>
        <v/>
      </c>
      <c r="P153" s="23">
        <f>ROUND(Saldos_Capital_Mensual!S153 + Saldos_Intereses_Mensual!S153, 2)</f>
        <v/>
      </c>
      <c r="Q153" s="23" t="inlineStr"/>
      <c r="R153" s="23">
        <f>MAX(F153:Q153)</f>
        <v/>
      </c>
    </row>
    <row r="154">
      <c r="A154" s="26" t="inlineStr">
        <is>
          <t>0679-0001</t>
        </is>
      </c>
      <c r="B154" s="27" t="inlineStr">
        <is>
          <t>Naikor de Occidente Sa de Cv</t>
        </is>
      </c>
      <c r="C154" s="27" t="inlineStr">
        <is>
          <t>2008</t>
        </is>
      </c>
      <c r="D154" s="26" t="inlineStr">
        <is>
          <t>ACTIVO</t>
        </is>
      </c>
      <c r="E154" s="28" t="n">
        <v>48</v>
      </c>
      <c r="F154" s="29">
        <f>ROUND(Saldos_Capital_Mensual!I154 + Saldos_Intereses_Mensual!I154, 2)</f>
        <v/>
      </c>
      <c r="G154" s="29">
        <f>ROUND(Saldos_Capital_Mensual!J154 + Saldos_Intereses_Mensual!J154, 2)</f>
        <v/>
      </c>
      <c r="H154" s="29">
        <f>ROUND(Saldos_Capital_Mensual!K154 + Saldos_Intereses_Mensual!K154, 2)</f>
        <v/>
      </c>
      <c r="I154" s="29">
        <f>ROUND(Saldos_Capital_Mensual!L154 + Saldos_Intereses_Mensual!L154, 2)</f>
        <v/>
      </c>
      <c r="J154" s="29">
        <f>ROUND(Saldos_Capital_Mensual!M154 + Saldos_Intereses_Mensual!M154, 2)</f>
        <v/>
      </c>
      <c r="K154" s="29">
        <f>ROUND(Saldos_Capital_Mensual!N154 + Saldos_Intereses_Mensual!N154, 2)</f>
        <v/>
      </c>
      <c r="L154" s="29">
        <f>ROUND(Saldos_Capital_Mensual!O154 + Saldos_Intereses_Mensual!O154, 2)</f>
        <v/>
      </c>
      <c r="M154" s="29">
        <f>ROUND(Saldos_Capital_Mensual!P154 + Saldos_Intereses_Mensual!P154, 2)</f>
        <v/>
      </c>
      <c r="N154" s="29">
        <f>ROUND(Saldos_Capital_Mensual!Q154 + Saldos_Intereses_Mensual!Q154, 2)</f>
        <v/>
      </c>
      <c r="O154" s="29">
        <f>ROUND(Saldos_Capital_Mensual!R154 + Saldos_Intereses_Mensual!R154, 2)</f>
        <v/>
      </c>
      <c r="P154" s="29">
        <f>ROUND(Saldos_Capital_Mensual!S154 + Saldos_Intereses_Mensual!S154, 2)</f>
        <v/>
      </c>
      <c r="Q154" s="29">
        <f>ROUND(Saldos_Capital_Mensual!T154 + Saldos_Intereses_Mensual!T154, 2)</f>
        <v/>
      </c>
      <c r="R154" s="29">
        <f>MAX(F154:Q154)</f>
        <v/>
      </c>
    </row>
    <row r="155">
      <c r="A155" s="20" t="inlineStr">
        <is>
          <t>0680-0001</t>
        </is>
      </c>
      <c r="B155" s="21" t="inlineStr">
        <is>
          <t>Madereria el Volcan Sa de Cv</t>
        </is>
      </c>
      <c r="C155" s="21" t="inlineStr">
        <is>
          <t>JT Mojave</t>
        </is>
      </c>
      <c r="D155" s="20" t="inlineStr">
        <is>
          <t>ACTIVO</t>
        </is>
      </c>
      <c r="E155" s="22" t="n">
        <v>36</v>
      </c>
      <c r="F155" s="23">
        <f>ROUND(Saldos_Capital_Mensual!I155 + Saldos_Intereses_Mensual!I155, 2)</f>
        <v/>
      </c>
      <c r="G155" s="23">
        <f>ROUND(Saldos_Capital_Mensual!J155 + Saldos_Intereses_Mensual!J155, 2)</f>
        <v/>
      </c>
      <c r="H155" s="23">
        <f>ROUND(Saldos_Capital_Mensual!K155 + Saldos_Intereses_Mensual!K155, 2)</f>
        <v/>
      </c>
      <c r="I155" s="23">
        <f>ROUND(Saldos_Capital_Mensual!L155 + Saldos_Intereses_Mensual!L155, 2)</f>
        <v/>
      </c>
      <c r="J155" s="23">
        <f>ROUND(Saldos_Capital_Mensual!M155 + Saldos_Intereses_Mensual!M155, 2)</f>
        <v/>
      </c>
      <c r="K155" s="23">
        <f>ROUND(Saldos_Capital_Mensual!N155 + Saldos_Intereses_Mensual!N155, 2)</f>
        <v/>
      </c>
      <c r="L155" s="23">
        <f>ROUND(Saldos_Capital_Mensual!O155 + Saldos_Intereses_Mensual!O155, 2)</f>
        <v/>
      </c>
      <c r="M155" s="23">
        <f>ROUND(Saldos_Capital_Mensual!P155 + Saldos_Intereses_Mensual!P155, 2)</f>
        <v/>
      </c>
      <c r="N155" s="23">
        <f>ROUND(Saldos_Capital_Mensual!Q155 + Saldos_Intereses_Mensual!Q155, 2)</f>
        <v/>
      </c>
      <c r="O155" s="23">
        <f>ROUND(Saldos_Capital_Mensual!R155 + Saldos_Intereses_Mensual!R155, 2)</f>
        <v/>
      </c>
      <c r="P155" s="23">
        <f>ROUND(Saldos_Capital_Mensual!S155 + Saldos_Intereses_Mensual!S155, 2)</f>
        <v/>
      </c>
      <c r="Q155" s="23">
        <f>ROUND(Saldos_Capital_Mensual!T155 + Saldos_Intereses_Mensual!T155, 2)</f>
        <v/>
      </c>
      <c r="R155" s="23">
        <f>MAX(F155:Q155)</f>
        <v/>
      </c>
    </row>
    <row r="156">
      <c r="A156" s="26" t="inlineStr">
        <is>
          <t>0682-0001</t>
        </is>
      </c>
      <c r="B156" s="27" t="inlineStr">
        <is>
          <t>Hidraneumaticos y Equipos para Gas Sa de Cv</t>
        </is>
      </c>
      <c r="C156" s="27" t="inlineStr">
        <is>
          <t>Renegade Limited</t>
        </is>
      </c>
      <c r="D156" s="26" t="inlineStr">
        <is>
          <t>ACTIVO</t>
        </is>
      </c>
      <c r="E156" s="28" t="n">
        <v>24</v>
      </c>
      <c r="F156" s="29">
        <f>ROUND(Saldos_Capital_Mensual!I156 + Saldos_Intereses_Mensual!I156, 2)</f>
        <v/>
      </c>
      <c r="G156" s="29">
        <f>ROUND(Saldos_Capital_Mensual!J156 + Saldos_Intereses_Mensual!J156, 2)</f>
        <v/>
      </c>
      <c r="H156" s="29">
        <f>ROUND(Saldos_Capital_Mensual!K156 + Saldos_Intereses_Mensual!K156, 2)</f>
        <v/>
      </c>
      <c r="I156" s="29">
        <f>ROUND(Saldos_Capital_Mensual!L156 + Saldos_Intereses_Mensual!L156, 2)</f>
        <v/>
      </c>
      <c r="J156" s="29">
        <f>ROUND(Saldos_Capital_Mensual!M156 + Saldos_Intereses_Mensual!M156, 2)</f>
        <v/>
      </c>
      <c r="K156" s="29">
        <f>ROUND(Saldos_Capital_Mensual!N156 + Saldos_Intereses_Mensual!N156, 2)</f>
        <v/>
      </c>
      <c r="L156" s="29">
        <f>ROUND(Saldos_Capital_Mensual!O156 + Saldos_Intereses_Mensual!O156, 2)</f>
        <v/>
      </c>
      <c r="M156" s="29">
        <f>ROUND(Saldos_Capital_Mensual!P156 + Saldos_Intereses_Mensual!P156, 2)</f>
        <v/>
      </c>
      <c r="N156" s="29">
        <f>ROUND(Saldos_Capital_Mensual!Q156 + Saldos_Intereses_Mensual!Q156, 2)</f>
        <v/>
      </c>
      <c r="O156" s="29">
        <f>ROUND(Saldos_Capital_Mensual!R156 + Saldos_Intereses_Mensual!R156, 2)</f>
        <v/>
      </c>
      <c r="P156" s="29">
        <f>ROUND(Saldos_Capital_Mensual!S156 + Saldos_Intereses_Mensual!S156, 2)</f>
        <v/>
      </c>
      <c r="Q156" s="29" t="inlineStr"/>
      <c r="R156" s="29">
        <f>MAX(F156:Q156)</f>
        <v/>
      </c>
    </row>
    <row r="157">
      <c r="A157" s="20" t="inlineStr">
        <is>
          <t>0682-0002</t>
        </is>
      </c>
      <c r="B157" s="21" t="inlineStr">
        <is>
          <t>Hidroneumaticos y Equipos para Gas Sa de Cv</t>
        </is>
      </c>
      <c r="C157" s="21" t="inlineStr">
        <is>
          <t>RIO</t>
        </is>
      </c>
      <c r="D157" s="20" t="inlineStr">
        <is>
          <t>ACTIVO</t>
        </is>
      </c>
      <c r="E157" s="22" t="n">
        <v>24</v>
      </c>
      <c r="F157" s="23">
        <f>ROUND(Saldos_Capital_Mensual!I157 + Saldos_Intereses_Mensual!I157, 2)</f>
        <v/>
      </c>
      <c r="G157" s="23">
        <f>ROUND(Saldos_Capital_Mensual!J157 + Saldos_Intereses_Mensual!J157, 2)</f>
        <v/>
      </c>
      <c r="H157" s="23">
        <f>ROUND(Saldos_Capital_Mensual!K157 + Saldos_Intereses_Mensual!K157, 2)</f>
        <v/>
      </c>
      <c r="I157" s="23">
        <f>ROUND(Saldos_Capital_Mensual!L157 + Saldos_Intereses_Mensual!L157, 2)</f>
        <v/>
      </c>
      <c r="J157" s="23">
        <f>ROUND(Saldos_Capital_Mensual!M157 + Saldos_Intereses_Mensual!M157, 2)</f>
        <v/>
      </c>
      <c r="K157" s="23">
        <f>ROUND(Saldos_Capital_Mensual!N157 + Saldos_Intereses_Mensual!N157, 2)</f>
        <v/>
      </c>
      <c r="L157" s="23">
        <f>ROUND(Saldos_Capital_Mensual!O157 + Saldos_Intereses_Mensual!O157, 2)</f>
        <v/>
      </c>
      <c r="M157" s="23">
        <f>ROUND(Saldos_Capital_Mensual!P157 + Saldos_Intereses_Mensual!P157, 2)</f>
        <v/>
      </c>
      <c r="N157" s="23">
        <f>ROUND(Saldos_Capital_Mensual!Q157 + Saldos_Intereses_Mensual!Q157, 2)</f>
        <v/>
      </c>
      <c r="O157" s="23">
        <f>ROUND(Saldos_Capital_Mensual!R157 + Saldos_Intereses_Mensual!R157, 2)</f>
        <v/>
      </c>
      <c r="P157" s="23">
        <f>ROUND(Saldos_Capital_Mensual!S157 + Saldos_Intereses_Mensual!S157, 2)</f>
        <v/>
      </c>
      <c r="Q157" s="23">
        <f>ROUND(Saldos_Capital_Mensual!T157 + Saldos_Intereses_Mensual!T157, 2)</f>
        <v/>
      </c>
      <c r="R157" s="23">
        <f>MAX(F157:Q157)</f>
        <v/>
      </c>
    </row>
    <row r="158">
      <c r="A158" s="26" t="inlineStr">
        <is>
          <t>0683-0001</t>
        </is>
      </c>
      <c r="B158" s="27" t="inlineStr">
        <is>
          <t>Maria de Jesus Sanchez Aguayo</t>
        </is>
      </c>
      <c r="C158" s="27" t="inlineStr">
        <is>
          <t>Ram 700 Regular Cab</t>
        </is>
      </c>
      <c r="D158" s="26" t="inlineStr">
        <is>
          <t>ACTIVO</t>
        </is>
      </c>
      <c r="E158" s="28" t="n">
        <v>36</v>
      </c>
      <c r="F158" s="29">
        <f>ROUND(Saldos_Capital_Mensual!I158 + Saldos_Intereses_Mensual!I158, 2)</f>
        <v/>
      </c>
      <c r="G158" s="29">
        <f>ROUND(Saldos_Capital_Mensual!J158 + Saldos_Intereses_Mensual!J158, 2)</f>
        <v/>
      </c>
      <c r="H158" s="29">
        <f>ROUND(Saldos_Capital_Mensual!K158 + Saldos_Intereses_Mensual!K158, 2)</f>
        <v/>
      </c>
      <c r="I158" s="29">
        <f>ROUND(Saldos_Capital_Mensual!L158 + Saldos_Intereses_Mensual!L158, 2)</f>
        <v/>
      </c>
      <c r="J158" s="29">
        <f>ROUND(Saldos_Capital_Mensual!M158 + Saldos_Intereses_Mensual!M158, 2)</f>
        <v/>
      </c>
      <c r="K158" s="29">
        <f>ROUND(Saldos_Capital_Mensual!N158 + Saldos_Intereses_Mensual!N158, 2)</f>
        <v/>
      </c>
      <c r="L158" s="29">
        <f>ROUND(Saldos_Capital_Mensual!O158 + Saldos_Intereses_Mensual!O158, 2)</f>
        <v/>
      </c>
      <c r="M158" s="29">
        <f>ROUND(Saldos_Capital_Mensual!P158 + Saldos_Intereses_Mensual!P158, 2)</f>
        <v/>
      </c>
      <c r="N158" s="29">
        <f>ROUND(Saldos_Capital_Mensual!Q158 + Saldos_Intereses_Mensual!Q158, 2)</f>
        <v/>
      </c>
      <c r="O158" s="29">
        <f>ROUND(Saldos_Capital_Mensual!R158 + Saldos_Intereses_Mensual!R158, 2)</f>
        <v/>
      </c>
      <c r="P158" s="29">
        <f>ROUND(Saldos_Capital_Mensual!S158 + Saldos_Intereses_Mensual!S158, 2)</f>
        <v/>
      </c>
      <c r="Q158" s="29">
        <f>ROUND(Saldos_Capital_Mensual!T158 + Saldos_Intereses_Mensual!T158, 2)</f>
        <v/>
      </c>
      <c r="R158" s="29">
        <f>MAX(F158:Q158)</f>
        <v/>
      </c>
    </row>
    <row r="159">
      <c r="A159" s="20" t="inlineStr">
        <is>
          <t>0683-0002</t>
        </is>
      </c>
      <c r="B159" s="21" t="inlineStr">
        <is>
          <t>Maria de Jesus Sanchez Aguayo</t>
        </is>
      </c>
      <c r="C159" s="21" t="inlineStr">
        <is>
          <t>700 Tradesman Regular Cab</t>
        </is>
      </c>
      <c r="D159" s="20" t="inlineStr">
        <is>
          <t>ACTIVO</t>
        </is>
      </c>
      <c r="E159" s="22" t="n">
        <v>36</v>
      </c>
      <c r="F159" s="23">
        <f>ROUND(Saldos_Capital_Mensual!I159 + Saldos_Intereses_Mensual!I159, 2)</f>
        <v/>
      </c>
      <c r="G159" s="23">
        <f>ROUND(Saldos_Capital_Mensual!J159 + Saldos_Intereses_Mensual!J159, 2)</f>
        <v/>
      </c>
      <c r="H159" s="23">
        <f>ROUND(Saldos_Capital_Mensual!K159 + Saldos_Intereses_Mensual!K159, 2)</f>
        <v/>
      </c>
      <c r="I159" s="23">
        <f>ROUND(Saldos_Capital_Mensual!L159 + Saldos_Intereses_Mensual!L159, 2)</f>
        <v/>
      </c>
      <c r="J159" s="23">
        <f>ROUND(Saldos_Capital_Mensual!M159 + Saldos_Intereses_Mensual!M159, 2)</f>
        <v/>
      </c>
      <c r="K159" s="23">
        <f>ROUND(Saldos_Capital_Mensual!N159 + Saldos_Intereses_Mensual!N159, 2)</f>
        <v/>
      </c>
      <c r="L159" s="23">
        <f>ROUND(Saldos_Capital_Mensual!O159 + Saldos_Intereses_Mensual!O159, 2)</f>
        <v/>
      </c>
      <c r="M159" s="23">
        <f>ROUND(Saldos_Capital_Mensual!P159 + Saldos_Intereses_Mensual!P159, 2)</f>
        <v/>
      </c>
      <c r="N159" s="23">
        <f>ROUND(Saldos_Capital_Mensual!Q159 + Saldos_Intereses_Mensual!Q159, 2)</f>
        <v/>
      </c>
      <c r="O159" s="23">
        <f>ROUND(Saldos_Capital_Mensual!R159 + Saldos_Intereses_Mensual!R159, 2)</f>
        <v/>
      </c>
      <c r="P159" s="23">
        <f>ROUND(Saldos_Capital_Mensual!S159 + Saldos_Intereses_Mensual!S159, 2)</f>
        <v/>
      </c>
      <c r="Q159" s="23">
        <f>ROUND(Saldos_Capital_Mensual!T159 + Saldos_Intereses_Mensual!T159, 2)</f>
        <v/>
      </c>
      <c r="R159" s="23">
        <f>MAX(F159:Q159)</f>
        <v/>
      </c>
    </row>
    <row r="160">
      <c r="A160" s="26" t="inlineStr">
        <is>
          <t>0684-0001</t>
        </is>
      </c>
      <c r="B160" s="27" t="inlineStr">
        <is>
          <t>Corporativo Kareso Sa de v</t>
        </is>
      </c>
      <c r="C160" s="27" t="inlineStr">
        <is>
          <t>GRAND CHEROKEE LIMITED</t>
        </is>
      </c>
      <c r="D160" s="26" t="inlineStr">
        <is>
          <t>ACTIVO</t>
        </is>
      </c>
      <c r="E160" s="28" t="n">
        <v>24</v>
      </c>
      <c r="F160" s="29">
        <f>ROUND(Saldos_Capital_Mensual!I160 + Saldos_Intereses_Mensual!I160, 2)</f>
        <v/>
      </c>
      <c r="G160" s="29">
        <f>ROUND(Saldos_Capital_Mensual!J160 + Saldos_Intereses_Mensual!J160, 2)</f>
        <v/>
      </c>
      <c r="H160" s="29">
        <f>ROUND(Saldos_Capital_Mensual!K160 + Saldos_Intereses_Mensual!K160, 2)</f>
        <v/>
      </c>
      <c r="I160" s="29">
        <f>ROUND(Saldos_Capital_Mensual!L160 + Saldos_Intereses_Mensual!L160, 2)</f>
        <v/>
      </c>
      <c r="J160" s="29">
        <f>ROUND(Saldos_Capital_Mensual!M160 + Saldos_Intereses_Mensual!M160, 2)</f>
        <v/>
      </c>
      <c r="K160" s="29">
        <f>ROUND(Saldos_Capital_Mensual!N160 + Saldos_Intereses_Mensual!N160, 2)</f>
        <v/>
      </c>
      <c r="L160" s="29">
        <f>ROUND(Saldos_Capital_Mensual!O160 + Saldos_Intereses_Mensual!O160, 2)</f>
        <v/>
      </c>
      <c r="M160" s="29">
        <f>ROUND(Saldos_Capital_Mensual!P160 + Saldos_Intereses_Mensual!P160, 2)</f>
        <v/>
      </c>
      <c r="N160" s="29">
        <f>ROUND(Saldos_Capital_Mensual!Q160 + Saldos_Intereses_Mensual!Q160, 2)</f>
        <v/>
      </c>
      <c r="O160" s="29">
        <f>ROUND(Saldos_Capital_Mensual!R160 + Saldos_Intereses_Mensual!R160, 2)</f>
        <v/>
      </c>
      <c r="P160" s="29">
        <f>ROUND(Saldos_Capital_Mensual!S160 + Saldos_Intereses_Mensual!S160, 2)</f>
        <v/>
      </c>
      <c r="Q160" s="29" t="inlineStr"/>
      <c r="R160" s="29">
        <f>MAX(F160:Q160)</f>
        <v/>
      </c>
    </row>
    <row r="161">
      <c r="A161" s="20" t="inlineStr">
        <is>
          <t>0684-0002</t>
        </is>
      </c>
      <c r="B161" s="21" t="inlineStr">
        <is>
          <t>Corporativo Kareso Sa de Cv</t>
        </is>
      </c>
      <c r="C161" s="21" t="inlineStr">
        <is>
          <t>NP300 Chasis</t>
        </is>
      </c>
      <c r="D161" s="20" t="inlineStr">
        <is>
          <t>ACTIVO</t>
        </is>
      </c>
      <c r="E161" s="22" t="n">
        <v>24</v>
      </c>
      <c r="F161" s="23">
        <f>ROUND(Saldos_Capital_Mensual!I161 + Saldos_Intereses_Mensual!I161, 2)</f>
        <v/>
      </c>
      <c r="G161" s="23">
        <f>ROUND(Saldos_Capital_Mensual!J161 + Saldos_Intereses_Mensual!J161, 2)</f>
        <v/>
      </c>
      <c r="H161" s="23">
        <f>ROUND(Saldos_Capital_Mensual!K161 + Saldos_Intereses_Mensual!K161, 2)</f>
        <v/>
      </c>
      <c r="I161" s="23">
        <f>ROUND(Saldos_Capital_Mensual!L161 + Saldos_Intereses_Mensual!L161, 2)</f>
        <v/>
      </c>
      <c r="J161" s="23">
        <f>ROUND(Saldos_Capital_Mensual!M161 + Saldos_Intereses_Mensual!M161, 2)</f>
        <v/>
      </c>
      <c r="K161" s="23">
        <f>ROUND(Saldos_Capital_Mensual!N161 + Saldos_Intereses_Mensual!N161, 2)</f>
        <v/>
      </c>
      <c r="L161" s="23">
        <f>ROUND(Saldos_Capital_Mensual!O161 + Saldos_Intereses_Mensual!O161, 2)</f>
        <v/>
      </c>
      <c r="M161" s="23">
        <f>ROUND(Saldos_Capital_Mensual!P161 + Saldos_Intereses_Mensual!P161, 2)</f>
        <v/>
      </c>
      <c r="N161" s="23">
        <f>ROUND(Saldos_Capital_Mensual!Q161 + Saldos_Intereses_Mensual!Q161, 2)</f>
        <v/>
      </c>
      <c r="O161" s="23">
        <f>ROUND(Saldos_Capital_Mensual!R161 + Saldos_Intereses_Mensual!R161, 2)</f>
        <v/>
      </c>
      <c r="P161" s="23">
        <f>ROUND(Saldos_Capital_Mensual!S161 + Saldos_Intereses_Mensual!S161, 2)</f>
        <v/>
      </c>
      <c r="Q161" s="23">
        <f>ROUND(Saldos_Capital_Mensual!T161 + Saldos_Intereses_Mensual!T161, 2)</f>
        <v/>
      </c>
      <c r="R161" s="23">
        <f>MAX(F161:Q161)</f>
        <v/>
      </c>
    </row>
    <row r="162">
      <c r="A162" s="26" t="inlineStr">
        <is>
          <t>0684-0003</t>
        </is>
      </c>
      <c r="B162" s="27" t="inlineStr">
        <is>
          <t>Corporativo Kareso Sa de Cv</t>
        </is>
      </c>
      <c r="C162" s="27" t="inlineStr">
        <is>
          <t>Yaris HB</t>
        </is>
      </c>
      <c r="D162" s="26" t="inlineStr">
        <is>
          <t>ACTIVO</t>
        </is>
      </c>
      <c r="E162" s="28" t="n">
        <v>24</v>
      </c>
      <c r="F162" s="29" t="inlineStr"/>
      <c r="G162" s="29">
        <f>ROUND(Saldos_Capital_Mensual!J162 + Saldos_Intereses_Mensual!J162, 2)</f>
        <v/>
      </c>
      <c r="H162" s="29">
        <f>ROUND(Saldos_Capital_Mensual!K162 + Saldos_Intereses_Mensual!K162, 2)</f>
        <v/>
      </c>
      <c r="I162" s="29">
        <f>ROUND(Saldos_Capital_Mensual!L162 + Saldos_Intereses_Mensual!L162, 2)</f>
        <v/>
      </c>
      <c r="J162" s="29">
        <f>ROUND(Saldos_Capital_Mensual!M162 + Saldos_Intereses_Mensual!M162, 2)</f>
        <v/>
      </c>
      <c r="K162" s="29">
        <f>ROUND(Saldos_Capital_Mensual!N162 + Saldos_Intereses_Mensual!N162, 2)</f>
        <v/>
      </c>
      <c r="L162" s="29">
        <f>ROUND(Saldos_Capital_Mensual!O162 + Saldos_Intereses_Mensual!O162, 2)</f>
        <v/>
      </c>
      <c r="M162" s="29">
        <f>ROUND(Saldos_Capital_Mensual!P162 + Saldos_Intereses_Mensual!P162, 2)</f>
        <v/>
      </c>
      <c r="N162" s="29">
        <f>ROUND(Saldos_Capital_Mensual!Q162 + Saldos_Intereses_Mensual!Q162, 2)</f>
        <v/>
      </c>
      <c r="O162" s="29">
        <f>ROUND(Saldos_Capital_Mensual!R162 + Saldos_Intereses_Mensual!R162, 2)</f>
        <v/>
      </c>
      <c r="P162" s="29">
        <f>ROUND(Saldos_Capital_Mensual!S162 + Saldos_Intereses_Mensual!S162, 2)</f>
        <v/>
      </c>
      <c r="Q162" s="29">
        <f>ROUND(Saldos_Capital_Mensual!T162 + Saldos_Intereses_Mensual!T162, 2)</f>
        <v/>
      </c>
      <c r="R162" s="29">
        <f>MAX(F162:Q162)</f>
        <v/>
      </c>
    </row>
    <row r="163">
      <c r="A163" s="20" t="inlineStr">
        <is>
          <t>0684-0004</t>
        </is>
      </c>
      <c r="B163" s="21" t="inlineStr">
        <is>
          <t>Corporativo Kareso Sa de Cv</t>
        </is>
      </c>
      <c r="C163" s="21" t="inlineStr">
        <is>
          <t>700 LARAMIE CREW CAB</t>
        </is>
      </c>
      <c r="D163" s="20" t="inlineStr">
        <is>
          <t>ACTIVO</t>
        </is>
      </c>
      <c r="E163" s="22" t="n">
        <v>24</v>
      </c>
      <c r="F163" s="23">
        <f>ROUND(Saldos_Capital_Mensual!I163 + Saldos_Intereses_Mensual!I163, 2)</f>
        <v/>
      </c>
      <c r="G163" s="23">
        <f>ROUND(Saldos_Capital_Mensual!J163 + Saldos_Intereses_Mensual!J163, 2)</f>
        <v/>
      </c>
      <c r="H163" s="23">
        <f>ROUND(Saldos_Capital_Mensual!K163 + Saldos_Intereses_Mensual!K163, 2)</f>
        <v/>
      </c>
      <c r="I163" s="23">
        <f>ROUND(Saldos_Capital_Mensual!L163 + Saldos_Intereses_Mensual!L163, 2)</f>
        <v/>
      </c>
      <c r="J163" s="23">
        <f>ROUND(Saldos_Capital_Mensual!M163 + Saldos_Intereses_Mensual!M163, 2)</f>
        <v/>
      </c>
      <c r="K163" s="23">
        <f>ROUND(Saldos_Capital_Mensual!N163 + Saldos_Intereses_Mensual!N163, 2)</f>
        <v/>
      </c>
      <c r="L163" s="23">
        <f>ROUND(Saldos_Capital_Mensual!O163 + Saldos_Intereses_Mensual!O163, 2)</f>
        <v/>
      </c>
      <c r="M163" s="23">
        <f>ROUND(Saldos_Capital_Mensual!P163 + Saldos_Intereses_Mensual!P163, 2)</f>
        <v/>
      </c>
      <c r="N163" s="23">
        <f>ROUND(Saldos_Capital_Mensual!Q163 + Saldos_Intereses_Mensual!Q163, 2)</f>
        <v/>
      </c>
      <c r="O163" s="23">
        <f>ROUND(Saldos_Capital_Mensual!R163 + Saldos_Intereses_Mensual!R163, 2)</f>
        <v/>
      </c>
      <c r="P163" s="23">
        <f>ROUND(Saldos_Capital_Mensual!S163 + Saldos_Intereses_Mensual!S163, 2)</f>
        <v/>
      </c>
      <c r="Q163" s="23">
        <f>ROUND(Saldos_Capital_Mensual!T163 + Saldos_Intereses_Mensual!T163, 2)</f>
        <v/>
      </c>
      <c r="R163" s="23">
        <f>MAX(F163:Q163)</f>
        <v/>
      </c>
    </row>
    <row r="164">
      <c r="A164" s="26" t="inlineStr">
        <is>
          <t>0687-0001</t>
        </is>
      </c>
      <c r="B164" s="27" t="inlineStr">
        <is>
          <t>Roberto Carlos Borbolla Alvarado</t>
        </is>
      </c>
      <c r="C164" s="27" t="inlineStr">
        <is>
          <t>Creta</t>
        </is>
      </c>
      <c r="D164" s="26" t="inlineStr">
        <is>
          <t>ACTIVO</t>
        </is>
      </c>
      <c r="E164" s="28" t="n">
        <v>36</v>
      </c>
      <c r="F164" s="29">
        <f>ROUND(Saldos_Capital_Mensual!I164 + Saldos_Intereses_Mensual!I164, 2)</f>
        <v/>
      </c>
      <c r="G164" s="29">
        <f>ROUND(Saldos_Capital_Mensual!J164 + Saldos_Intereses_Mensual!J164, 2)</f>
        <v/>
      </c>
      <c r="H164" s="29">
        <f>ROUND(Saldos_Capital_Mensual!K164 + Saldos_Intereses_Mensual!K164, 2)</f>
        <v/>
      </c>
      <c r="I164" s="29">
        <f>ROUND(Saldos_Capital_Mensual!L164 + Saldos_Intereses_Mensual!L164, 2)</f>
        <v/>
      </c>
      <c r="J164" s="29">
        <f>ROUND(Saldos_Capital_Mensual!M164 + Saldos_Intereses_Mensual!M164, 2)</f>
        <v/>
      </c>
      <c r="K164" s="29">
        <f>ROUND(Saldos_Capital_Mensual!N164 + Saldos_Intereses_Mensual!N164, 2)</f>
        <v/>
      </c>
      <c r="L164" s="29">
        <f>ROUND(Saldos_Capital_Mensual!O164 + Saldos_Intereses_Mensual!O164, 2)</f>
        <v/>
      </c>
      <c r="M164" s="29">
        <f>ROUND(Saldos_Capital_Mensual!P164 + Saldos_Intereses_Mensual!P164, 2)</f>
        <v/>
      </c>
      <c r="N164" s="29">
        <f>ROUND(Saldos_Capital_Mensual!Q164 + Saldos_Intereses_Mensual!Q164, 2)</f>
        <v/>
      </c>
      <c r="O164" s="29">
        <f>ROUND(Saldos_Capital_Mensual!R164 + Saldos_Intereses_Mensual!R164, 2)</f>
        <v/>
      </c>
      <c r="P164" s="29">
        <f>ROUND(Saldos_Capital_Mensual!S164 + Saldos_Intereses_Mensual!S164, 2)</f>
        <v/>
      </c>
      <c r="Q164" s="29">
        <f>ROUND(Saldos_Capital_Mensual!T164 + Saldos_Intereses_Mensual!T164, 2)</f>
        <v/>
      </c>
      <c r="R164" s="29">
        <f>MAX(F164:Q164)</f>
        <v/>
      </c>
    </row>
    <row r="165">
      <c r="A165" s="20" t="inlineStr">
        <is>
          <t>0688-0001</t>
        </is>
      </c>
      <c r="B165" s="21" t="inlineStr">
        <is>
          <t>Dolores Magdalena Rosales Rojas</t>
        </is>
      </c>
      <c r="C165" s="21" t="inlineStr">
        <is>
          <t>1500 RHO</t>
        </is>
      </c>
      <c r="D165" s="20" t="inlineStr">
        <is>
          <t>ACTIVO</t>
        </is>
      </c>
      <c r="E165" s="22" t="n">
        <v>24</v>
      </c>
      <c r="F165" s="23">
        <f>ROUND(Saldos_Capital_Mensual!I165 + Saldos_Intereses_Mensual!I165, 2)</f>
        <v/>
      </c>
      <c r="G165" s="23">
        <f>ROUND(Saldos_Capital_Mensual!J165 + Saldos_Intereses_Mensual!J165, 2)</f>
        <v/>
      </c>
      <c r="H165" s="23">
        <f>ROUND(Saldos_Capital_Mensual!K165 + Saldos_Intereses_Mensual!K165, 2)</f>
        <v/>
      </c>
      <c r="I165" s="23">
        <f>ROUND(Saldos_Capital_Mensual!L165 + Saldos_Intereses_Mensual!L165, 2)</f>
        <v/>
      </c>
      <c r="J165" s="23">
        <f>ROUND(Saldos_Capital_Mensual!M165 + Saldos_Intereses_Mensual!M165, 2)</f>
        <v/>
      </c>
      <c r="K165" s="23">
        <f>ROUND(Saldos_Capital_Mensual!N165 + Saldos_Intereses_Mensual!N165, 2)</f>
        <v/>
      </c>
      <c r="L165" s="23">
        <f>ROUND(Saldos_Capital_Mensual!O165 + Saldos_Intereses_Mensual!O165, 2)</f>
        <v/>
      </c>
      <c r="M165" s="23">
        <f>ROUND(Saldos_Capital_Mensual!P165 + Saldos_Intereses_Mensual!P165, 2)</f>
        <v/>
      </c>
      <c r="N165" s="23">
        <f>ROUND(Saldos_Capital_Mensual!Q165 + Saldos_Intereses_Mensual!Q165, 2)</f>
        <v/>
      </c>
      <c r="O165" s="23">
        <f>ROUND(Saldos_Capital_Mensual!R165 + Saldos_Intereses_Mensual!R165, 2)</f>
        <v/>
      </c>
      <c r="P165" s="23">
        <f>ROUND(Saldos_Capital_Mensual!S165 + Saldos_Intereses_Mensual!S165, 2)</f>
        <v/>
      </c>
      <c r="Q165" s="23">
        <f>ROUND(Saldos_Capital_Mensual!T165 + Saldos_Intereses_Mensual!T165, 2)</f>
        <v/>
      </c>
      <c r="R165" s="23">
        <f>MAX(F165:Q165)</f>
        <v/>
      </c>
    </row>
    <row r="166">
      <c r="A166" s="26" t="inlineStr">
        <is>
          <t>0688-0003</t>
        </is>
      </c>
      <c r="B166" s="27" t="inlineStr">
        <is>
          <t>Dolores Magdalena Rosales Rojas</t>
        </is>
      </c>
      <c r="C166" s="27" t="inlineStr">
        <is>
          <t>Jeep Jt Mojave 2025</t>
        </is>
      </c>
      <c r="D166" s="26" t="inlineStr">
        <is>
          <t>ACTIVO</t>
        </is>
      </c>
      <c r="E166" s="28" t="n">
        <v>12</v>
      </c>
      <c r="F166" s="29" t="inlineStr"/>
      <c r="G166" s="29" t="inlineStr"/>
      <c r="H166" s="29" t="inlineStr"/>
      <c r="I166" s="29" t="inlineStr"/>
      <c r="J166" s="29" t="inlineStr"/>
      <c r="K166" s="29" t="inlineStr"/>
      <c r="L166" s="29">
        <f>ROUND(Saldos_Capital_Mensual!O166 + Saldos_Intereses_Mensual!O166, 2)</f>
        <v/>
      </c>
      <c r="M166" s="29">
        <f>ROUND(Saldos_Capital_Mensual!P166 + Saldos_Intereses_Mensual!P166, 2)</f>
        <v/>
      </c>
      <c r="N166" s="29">
        <f>ROUND(Saldos_Capital_Mensual!Q166 + Saldos_Intereses_Mensual!Q166, 2)</f>
        <v/>
      </c>
      <c r="O166" s="29">
        <f>ROUND(Saldos_Capital_Mensual!R166 + Saldos_Intereses_Mensual!R166, 2)</f>
        <v/>
      </c>
      <c r="P166" s="29">
        <f>ROUND(Saldos_Capital_Mensual!S166 + Saldos_Intereses_Mensual!S166, 2)</f>
        <v/>
      </c>
      <c r="Q166" s="29">
        <f>ROUND(Saldos_Capital_Mensual!T166 + Saldos_Intereses_Mensual!T166, 2)</f>
        <v/>
      </c>
      <c r="R166" s="29">
        <f>MAX(F166:Q166)</f>
        <v/>
      </c>
    </row>
    <row r="167">
      <c r="A167" s="20" t="inlineStr">
        <is>
          <t>0689-0001</t>
        </is>
      </c>
      <c r="B167" s="21" t="inlineStr">
        <is>
          <t>Daniela Lizette Vargas Machuca</t>
        </is>
      </c>
      <c r="C167" s="21" t="inlineStr">
        <is>
          <t>1500 TUNGSTEN</t>
        </is>
      </c>
      <c r="D167" s="20" t="inlineStr">
        <is>
          <t>ACTIVO</t>
        </is>
      </c>
      <c r="E167" s="22" t="n">
        <v>36</v>
      </c>
      <c r="F167" s="23">
        <f>ROUND(Saldos_Capital_Mensual!I167 + Saldos_Intereses_Mensual!I167, 2)</f>
        <v/>
      </c>
      <c r="G167" s="23">
        <f>ROUND(Saldos_Capital_Mensual!J167 + Saldos_Intereses_Mensual!J167, 2)</f>
        <v/>
      </c>
      <c r="H167" s="23">
        <f>ROUND(Saldos_Capital_Mensual!K167 + Saldos_Intereses_Mensual!K167, 2)</f>
        <v/>
      </c>
      <c r="I167" s="23">
        <f>ROUND(Saldos_Capital_Mensual!L167 + Saldos_Intereses_Mensual!L167, 2)</f>
        <v/>
      </c>
      <c r="J167" s="23">
        <f>ROUND(Saldos_Capital_Mensual!M167 + Saldos_Intereses_Mensual!M167, 2)</f>
        <v/>
      </c>
      <c r="K167" s="23">
        <f>ROUND(Saldos_Capital_Mensual!N167 + Saldos_Intereses_Mensual!N167, 2)</f>
        <v/>
      </c>
      <c r="L167" s="23">
        <f>ROUND(Saldos_Capital_Mensual!O167 + Saldos_Intereses_Mensual!O167, 2)</f>
        <v/>
      </c>
      <c r="M167" s="23">
        <f>ROUND(Saldos_Capital_Mensual!P167 + Saldos_Intereses_Mensual!P167, 2)</f>
        <v/>
      </c>
      <c r="N167" s="23">
        <f>ROUND(Saldos_Capital_Mensual!Q167 + Saldos_Intereses_Mensual!Q167, 2)</f>
        <v/>
      </c>
      <c r="O167" s="23">
        <f>ROUND(Saldos_Capital_Mensual!R167 + Saldos_Intereses_Mensual!R167, 2)</f>
        <v/>
      </c>
      <c r="P167" s="23">
        <f>ROUND(Saldos_Capital_Mensual!S167 + Saldos_Intereses_Mensual!S167, 2)</f>
        <v/>
      </c>
      <c r="Q167" s="23">
        <f>ROUND(Saldos_Capital_Mensual!T167 + Saldos_Intereses_Mensual!T167, 2)</f>
        <v/>
      </c>
      <c r="R167" s="23">
        <f>MAX(F167:Q167)</f>
        <v/>
      </c>
    </row>
    <row r="168">
      <c r="A168" s="26" t="inlineStr">
        <is>
          <t>0690-0001</t>
        </is>
      </c>
      <c r="B168" s="27" t="inlineStr">
        <is>
          <t>Rogelio Sanchez Partida</t>
        </is>
      </c>
      <c r="C168" s="27" t="inlineStr">
        <is>
          <t>Grand Cherokee Limited</t>
        </is>
      </c>
      <c r="D168" s="26" t="inlineStr">
        <is>
          <t>ACTIVO</t>
        </is>
      </c>
      <c r="E168" s="28" t="n">
        <v>36</v>
      </c>
      <c r="F168" s="29">
        <f>ROUND(Saldos_Capital_Mensual!I168 + Saldos_Intereses_Mensual!I168, 2)</f>
        <v/>
      </c>
      <c r="G168" s="29">
        <f>ROUND(Saldos_Capital_Mensual!J168 + Saldos_Intereses_Mensual!J168, 2)</f>
        <v/>
      </c>
      <c r="H168" s="29">
        <f>ROUND(Saldos_Capital_Mensual!K168 + Saldos_Intereses_Mensual!K168, 2)</f>
        <v/>
      </c>
      <c r="I168" s="29">
        <f>ROUND(Saldos_Capital_Mensual!L168 + Saldos_Intereses_Mensual!L168, 2)</f>
        <v/>
      </c>
      <c r="J168" s="29">
        <f>ROUND(Saldos_Capital_Mensual!M168 + Saldos_Intereses_Mensual!M168, 2)</f>
        <v/>
      </c>
      <c r="K168" s="29">
        <f>ROUND(Saldos_Capital_Mensual!N168 + Saldos_Intereses_Mensual!N168, 2)</f>
        <v/>
      </c>
      <c r="L168" s="29">
        <f>ROUND(Saldos_Capital_Mensual!O168 + Saldos_Intereses_Mensual!O168, 2)</f>
        <v/>
      </c>
      <c r="M168" s="29">
        <f>ROUND(Saldos_Capital_Mensual!P168 + Saldos_Intereses_Mensual!P168, 2)</f>
        <v/>
      </c>
      <c r="N168" s="29">
        <f>ROUND(Saldos_Capital_Mensual!Q168 + Saldos_Intereses_Mensual!Q168, 2)</f>
        <v/>
      </c>
      <c r="O168" s="29">
        <f>ROUND(Saldos_Capital_Mensual!R168 + Saldos_Intereses_Mensual!R168, 2)</f>
        <v/>
      </c>
      <c r="P168" s="29">
        <f>ROUND(Saldos_Capital_Mensual!S168 + Saldos_Intereses_Mensual!S168, 2)</f>
        <v/>
      </c>
      <c r="Q168" s="29">
        <f>ROUND(Saldos_Capital_Mensual!T168 + Saldos_Intereses_Mensual!T168, 2)</f>
        <v/>
      </c>
      <c r="R168" s="29">
        <f>MAX(F168:Q168)</f>
        <v/>
      </c>
    </row>
    <row r="169">
      <c r="A169" s="20" t="inlineStr">
        <is>
          <t>0691-0001</t>
        </is>
      </c>
      <c r="B169" s="21" t="inlineStr">
        <is>
          <t>Pfc Films</t>
        </is>
      </c>
      <c r="C169" s="21" t="inlineStr">
        <is>
          <t>2008 allure Pack</t>
        </is>
      </c>
      <c r="D169" s="20" t="inlineStr">
        <is>
          <t>ACTIVO</t>
        </is>
      </c>
      <c r="E169" s="22" t="n">
        <v>24</v>
      </c>
      <c r="F169" s="23">
        <f>ROUND(Saldos_Capital_Mensual!I169 + Saldos_Intereses_Mensual!I169, 2)</f>
        <v/>
      </c>
      <c r="G169" s="23">
        <f>ROUND(Saldos_Capital_Mensual!J169 + Saldos_Intereses_Mensual!J169, 2)</f>
        <v/>
      </c>
      <c r="H169" s="23">
        <f>ROUND(Saldos_Capital_Mensual!K169 + Saldos_Intereses_Mensual!K169, 2)</f>
        <v/>
      </c>
      <c r="I169" s="23">
        <f>ROUND(Saldos_Capital_Mensual!L169 + Saldos_Intereses_Mensual!L169, 2)</f>
        <v/>
      </c>
      <c r="J169" s="23">
        <f>ROUND(Saldos_Capital_Mensual!M169 + Saldos_Intereses_Mensual!M169, 2)</f>
        <v/>
      </c>
      <c r="K169" s="23">
        <f>ROUND(Saldos_Capital_Mensual!N169 + Saldos_Intereses_Mensual!N169, 2)</f>
        <v/>
      </c>
      <c r="L169" s="23">
        <f>ROUND(Saldos_Capital_Mensual!O169 + Saldos_Intereses_Mensual!O169, 2)</f>
        <v/>
      </c>
      <c r="M169" s="23">
        <f>ROUND(Saldos_Capital_Mensual!P169 + Saldos_Intereses_Mensual!P169, 2)</f>
        <v/>
      </c>
      <c r="N169" s="23">
        <f>ROUND(Saldos_Capital_Mensual!Q169 + Saldos_Intereses_Mensual!Q169, 2)</f>
        <v/>
      </c>
      <c r="O169" s="23">
        <f>ROUND(Saldos_Capital_Mensual!R169 + Saldos_Intereses_Mensual!R169, 2)</f>
        <v/>
      </c>
      <c r="P169" s="23">
        <f>ROUND(Saldos_Capital_Mensual!S169 + Saldos_Intereses_Mensual!S169, 2)</f>
        <v/>
      </c>
      <c r="Q169" s="23">
        <f>ROUND(Saldos_Capital_Mensual!T169 + Saldos_Intereses_Mensual!T169, 2)</f>
        <v/>
      </c>
      <c r="R169" s="23">
        <f>MAX(F169:Q169)</f>
        <v/>
      </c>
    </row>
    <row r="170">
      <c r="A170" s="26" t="inlineStr">
        <is>
          <t>0692-0001</t>
        </is>
      </c>
      <c r="B170" s="27" t="inlineStr">
        <is>
          <t>Operadora de Centros Familiares Gato</t>
        </is>
      </c>
      <c r="C170" s="27" t="inlineStr">
        <is>
          <t>Partner Rapid</t>
        </is>
      </c>
      <c r="D170" s="26" t="inlineStr">
        <is>
          <t>ACTIVO</t>
        </is>
      </c>
      <c r="E170" s="28" t="n">
        <v>24</v>
      </c>
      <c r="F170" s="29">
        <f>ROUND(Saldos_Capital_Mensual!I170 + Saldos_Intereses_Mensual!I170, 2)</f>
        <v/>
      </c>
      <c r="G170" s="29">
        <f>ROUND(Saldos_Capital_Mensual!J170 + Saldos_Intereses_Mensual!J170, 2)</f>
        <v/>
      </c>
      <c r="H170" s="29">
        <f>ROUND(Saldos_Capital_Mensual!K170 + Saldos_Intereses_Mensual!K170, 2)</f>
        <v/>
      </c>
      <c r="I170" s="29">
        <f>ROUND(Saldos_Capital_Mensual!L170 + Saldos_Intereses_Mensual!L170, 2)</f>
        <v/>
      </c>
      <c r="J170" s="29">
        <f>ROUND(Saldos_Capital_Mensual!M170 + Saldos_Intereses_Mensual!M170, 2)</f>
        <v/>
      </c>
      <c r="K170" s="29">
        <f>ROUND(Saldos_Capital_Mensual!N170 + Saldos_Intereses_Mensual!N170, 2)</f>
        <v/>
      </c>
      <c r="L170" s="29">
        <f>ROUND(Saldos_Capital_Mensual!O170 + Saldos_Intereses_Mensual!O170, 2)</f>
        <v/>
      </c>
      <c r="M170" s="29">
        <f>ROUND(Saldos_Capital_Mensual!P170 + Saldos_Intereses_Mensual!P170, 2)</f>
        <v/>
      </c>
      <c r="N170" s="29">
        <f>ROUND(Saldos_Capital_Mensual!Q170 + Saldos_Intereses_Mensual!Q170, 2)</f>
        <v/>
      </c>
      <c r="O170" s="29">
        <f>ROUND(Saldos_Capital_Mensual!R170 + Saldos_Intereses_Mensual!R170, 2)</f>
        <v/>
      </c>
      <c r="P170" s="29">
        <f>ROUND(Saldos_Capital_Mensual!S170 + Saldos_Intereses_Mensual!S170, 2)</f>
        <v/>
      </c>
      <c r="Q170" s="29">
        <f>ROUND(Saldos_Capital_Mensual!T170 + Saldos_Intereses_Mensual!T170, 2)</f>
        <v/>
      </c>
      <c r="R170" s="29">
        <f>MAX(F170:Q170)</f>
        <v/>
      </c>
    </row>
    <row r="171">
      <c r="A171" s="20" t="inlineStr">
        <is>
          <t>0692-0002</t>
        </is>
      </c>
      <c r="B171" s="21" t="inlineStr">
        <is>
          <t>Operadora de Centros Familiares Gato</t>
        </is>
      </c>
      <c r="C171" s="21" t="inlineStr">
        <is>
          <t>Partner Rapid</t>
        </is>
      </c>
      <c r="D171" s="20" t="inlineStr">
        <is>
          <t>ACTIVO</t>
        </is>
      </c>
      <c r="E171" s="22" t="n">
        <v>24</v>
      </c>
      <c r="F171" s="23">
        <f>ROUND(Saldos_Capital_Mensual!I171 + Saldos_Intereses_Mensual!I171, 2)</f>
        <v/>
      </c>
      <c r="G171" s="23">
        <f>ROUND(Saldos_Capital_Mensual!J171 + Saldos_Intereses_Mensual!J171, 2)</f>
        <v/>
      </c>
      <c r="H171" s="23">
        <f>ROUND(Saldos_Capital_Mensual!K171 + Saldos_Intereses_Mensual!K171, 2)</f>
        <v/>
      </c>
      <c r="I171" s="23">
        <f>ROUND(Saldos_Capital_Mensual!L171 + Saldos_Intereses_Mensual!L171, 2)</f>
        <v/>
      </c>
      <c r="J171" s="23">
        <f>ROUND(Saldos_Capital_Mensual!M171 + Saldos_Intereses_Mensual!M171, 2)</f>
        <v/>
      </c>
      <c r="K171" s="23">
        <f>ROUND(Saldos_Capital_Mensual!N171 + Saldos_Intereses_Mensual!N171, 2)</f>
        <v/>
      </c>
      <c r="L171" s="23">
        <f>ROUND(Saldos_Capital_Mensual!O171 + Saldos_Intereses_Mensual!O171, 2)</f>
        <v/>
      </c>
      <c r="M171" s="23">
        <f>ROUND(Saldos_Capital_Mensual!P171 + Saldos_Intereses_Mensual!P171, 2)</f>
        <v/>
      </c>
      <c r="N171" s="23">
        <f>ROUND(Saldos_Capital_Mensual!Q171 + Saldos_Intereses_Mensual!Q171, 2)</f>
        <v/>
      </c>
      <c r="O171" s="23">
        <f>ROUND(Saldos_Capital_Mensual!R171 + Saldos_Intereses_Mensual!R171, 2)</f>
        <v/>
      </c>
      <c r="P171" s="23">
        <f>ROUND(Saldos_Capital_Mensual!S171 + Saldos_Intereses_Mensual!S171, 2)</f>
        <v/>
      </c>
      <c r="Q171" s="23">
        <f>ROUND(Saldos_Capital_Mensual!T171 + Saldos_Intereses_Mensual!T171, 2)</f>
        <v/>
      </c>
      <c r="R171" s="23">
        <f>MAX(F171:Q171)</f>
        <v/>
      </c>
    </row>
    <row r="172">
      <c r="A172" s="26" t="inlineStr">
        <is>
          <t>0692-0003</t>
        </is>
      </c>
      <c r="B172" s="27" t="inlineStr">
        <is>
          <t>Operadora de Centros Familiares Gato</t>
        </is>
      </c>
      <c r="C172" s="27" t="inlineStr">
        <is>
          <t>Partner Rapid</t>
        </is>
      </c>
      <c r="D172" s="26" t="inlineStr">
        <is>
          <t>ACTIVO</t>
        </is>
      </c>
      <c r="E172" s="28" t="n">
        <v>24</v>
      </c>
      <c r="F172" s="29">
        <f>ROUND(Saldos_Capital_Mensual!I172 + Saldos_Intereses_Mensual!I172, 2)</f>
        <v/>
      </c>
      <c r="G172" s="29">
        <f>ROUND(Saldos_Capital_Mensual!J172 + Saldos_Intereses_Mensual!J172, 2)</f>
        <v/>
      </c>
      <c r="H172" s="29">
        <f>ROUND(Saldos_Capital_Mensual!K172 + Saldos_Intereses_Mensual!K172, 2)</f>
        <v/>
      </c>
      <c r="I172" s="29">
        <f>ROUND(Saldos_Capital_Mensual!L172 + Saldos_Intereses_Mensual!L172, 2)</f>
        <v/>
      </c>
      <c r="J172" s="29">
        <f>ROUND(Saldos_Capital_Mensual!M172 + Saldos_Intereses_Mensual!M172, 2)</f>
        <v/>
      </c>
      <c r="K172" s="29">
        <f>ROUND(Saldos_Capital_Mensual!N172 + Saldos_Intereses_Mensual!N172, 2)</f>
        <v/>
      </c>
      <c r="L172" s="29">
        <f>ROUND(Saldos_Capital_Mensual!O172 + Saldos_Intereses_Mensual!O172, 2)</f>
        <v/>
      </c>
      <c r="M172" s="29">
        <f>ROUND(Saldos_Capital_Mensual!P172 + Saldos_Intereses_Mensual!P172, 2)</f>
        <v/>
      </c>
      <c r="N172" s="29">
        <f>ROUND(Saldos_Capital_Mensual!Q172 + Saldos_Intereses_Mensual!Q172, 2)</f>
        <v/>
      </c>
      <c r="O172" s="29">
        <f>ROUND(Saldos_Capital_Mensual!R172 + Saldos_Intereses_Mensual!R172, 2)</f>
        <v/>
      </c>
      <c r="P172" s="29">
        <f>ROUND(Saldos_Capital_Mensual!S172 + Saldos_Intereses_Mensual!S172, 2)</f>
        <v/>
      </c>
      <c r="Q172" s="29">
        <f>ROUND(Saldos_Capital_Mensual!T172 + Saldos_Intereses_Mensual!T172, 2)</f>
        <v/>
      </c>
      <c r="R172" s="29">
        <f>MAX(F172:Q172)</f>
        <v/>
      </c>
    </row>
    <row r="173">
      <c r="A173" s="20" t="inlineStr">
        <is>
          <t>0693-0001</t>
        </is>
      </c>
      <c r="B173" s="21" t="inlineStr">
        <is>
          <t>Neurovim</t>
        </is>
      </c>
      <c r="C173" s="21" t="inlineStr">
        <is>
          <t>Equipo Medico</t>
        </is>
      </c>
      <c r="D173" s="20" t="inlineStr">
        <is>
          <t>ACTIVO</t>
        </is>
      </c>
      <c r="E173" s="22" t="n">
        <v>36</v>
      </c>
      <c r="F173" s="23">
        <f>ROUND(Saldos_Capital_Mensual!I173 + Saldos_Intereses_Mensual!I173, 2)</f>
        <v/>
      </c>
      <c r="G173" s="23">
        <f>ROUND(Saldos_Capital_Mensual!J173 + Saldos_Intereses_Mensual!J173, 2)</f>
        <v/>
      </c>
      <c r="H173" s="23">
        <f>ROUND(Saldos_Capital_Mensual!K173 + Saldos_Intereses_Mensual!K173, 2)</f>
        <v/>
      </c>
      <c r="I173" s="23">
        <f>ROUND(Saldos_Capital_Mensual!L173 + Saldos_Intereses_Mensual!L173, 2)</f>
        <v/>
      </c>
      <c r="J173" s="23">
        <f>ROUND(Saldos_Capital_Mensual!M173 + Saldos_Intereses_Mensual!M173, 2)</f>
        <v/>
      </c>
      <c r="K173" s="23">
        <f>ROUND(Saldos_Capital_Mensual!N173 + Saldos_Intereses_Mensual!N173, 2)</f>
        <v/>
      </c>
      <c r="L173" s="23">
        <f>ROUND(Saldos_Capital_Mensual!O173 + Saldos_Intereses_Mensual!O173, 2)</f>
        <v/>
      </c>
      <c r="M173" s="23">
        <f>ROUND(Saldos_Capital_Mensual!P173 + Saldos_Intereses_Mensual!P173, 2)</f>
        <v/>
      </c>
      <c r="N173" s="23">
        <f>ROUND(Saldos_Capital_Mensual!Q173 + Saldos_Intereses_Mensual!Q173, 2)</f>
        <v/>
      </c>
      <c r="O173" s="23">
        <f>ROUND(Saldos_Capital_Mensual!R173 + Saldos_Intereses_Mensual!R173, 2)</f>
        <v/>
      </c>
      <c r="P173" s="23">
        <f>ROUND(Saldos_Capital_Mensual!S173 + Saldos_Intereses_Mensual!S173, 2)</f>
        <v/>
      </c>
      <c r="Q173" s="23">
        <f>ROUND(Saldos_Capital_Mensual!T173 + Saldos_Intereses_Mensual!T173, 2)</f>
        <v/>
      </c>
      <c r="R173" s="23">
        <f>MAX(F173:Q173)</f>
        <v/>
      </c>
    </row>
    <row r="174">
      <c r="A174" s="26" t="inlineStr">
        <is>
          <t>0694-0001</t>
        </is>
      </c>
      <c r="B174" s="27" t="inlineStr">
        <is>
          <t>Jose Gelacio Limon Reyes</t>
        </is>
      </c>
      <c r="C174" s="27" t="inlineStr">
        <is>
          <t>Outlander Sport</t>
        </is>
      </c>
      <c r="D174" s="26" t="inlineStr">
        <is>
          <t>ACTIVO</t>
        </is>
      </c>
      <c r="E174" s="28" t="n">
        <v>48</v>
      </c>
      <c r="F174" s="29">
        <f>ROUND(Saldos_Capital_Mensual!I174 + Saldos_Intereses_Mensual!I174, 2)</f>
        <v/>
      </c>
      <c r="G174" s="29">
        <f>ROUND(Saldos_Capital_Mensual!J174 + Saldos_Intereses_Mensual!J174, 2)</f>
        <v/>
      </c>
      <c r="H174" s="29">
        <f>ROUND(Saldos_Capital_Mensual!K174 + Saldos_Intereses_Mensual!K174, 2)</f>
        <v/>
      </c>
      <c r="I174" s="29">
        <f>ROUND(Saldos_Capital_Mensual!L174 + Saldos_Intereses_Mensual!L174, 2)</f>
        <v/>
      </c>
      <c r="J174" s="29">
        <f>ROUND(Saldos_Capital_Mensual!M174 + Saldos_Intereses_Mensual!M174, 2)</f>
        <v/>
      </c>
      <c r="K174" s="29">
        <f>ROUND(Saldos_Capital_Mensual!N174 + Saldos_Intereses_Mensual!N174, 2)</f>
        <v/>
      </c>
      <c r="L174" s="29">
        <f>ROUND(Saldos_Capital_Mensual!O174 + Saldos_Intereses_Mensual!O174, 2)</f>
        <v/>
      </c>
      <c r="M174" s="29">
        <f>ROUND(Saldos_Capital_Mensual!P174 + Saldos_Intereses_Mensual!P174, 2)</f>
        <v/>
      </c>
      <c r="N174" s="29">
        <f>ROUND(Saldos_Capital_Mensual!Q174 + Saldos_Intereses_Mensual!Q174, 2)</f>
        <v/>
      </c>
      <c r="O174" s="29">
        <f>ROUND(Saldos_Capital_Mensual!R174 + Saldos_Intereses_Mensual!R174, 2)</f>
        <v/>
      </c>
      <c r="P174" s="29">
        <f>ROUND(Saldos_Capital_Mensual!S174 + Saldos_Intereses_Mensual!S174, 2)</f>
        <v/>
      </c>
      <c r="Q174" s="29">
        <f>ROUND(Saldos_Capital_Mensual!T174 + Saldos_Intereses_Mensual!T174, 2)</f>
        <v/>
      </c>
      <c r="R174" s="29">
        <f>MAX(F174:Q174)</f>
        <v/>
      </c>
    </row>
    <row r="175">
      <c r="A175" s="20" t="inlineStr">
        <is>
          <t>0695-0001</t>
        </is>
      </c>
      <c r="B175" s="21" t="inlineStr">
        <is>
          <t>Sistemas de Seguridad Privada Ssp</t>
        </is>
      </c>
      <c r="C175" s="21" t="inlineStr">
        <is>
          <t>Attitude Sport</t>
        </is>
      </c>
      <c r="D175" s="20" t="inlineStr">
        <is>
          <t>ACTIVO</t>
        </is>
      </c>
      <c r="E175" s="22" t="n">
        <v>24</v>
      </c>
      <c r="F175" s="23">
        <f>ROUND(Saldos_Capital_Mensual!I175 + Saldos_Intereses_Mensual!I175, 2)</f>
        <v/>
      </c>
      <c r="G175" s="23">
        <f>ROUND(Saldos_Capital_Mensual!J175 + Saldos_Intereses_Mensual!J175, 2)</f>
        <v/>
      </c>
      <c r="H175" s="23">
        <f>ROUND(Saldos_Capital_Mensual!K175 + Saldos_Intereses_Mensual!K175, 2)</f>
        <v/>
      </c>
      <c r="I175" s="23">
        <f>ROUND(Saldos_Capital_Mensual!L175 + Saldos_Intereses_Mensual!L175, 2)</f>
        <v/>
      </c>
      <c r="J175" s="23">
        <f>ROUND(Saldos_Capital_Mensual!M175 + Saldos_Intereses_Mensual!M175, 2)</f>
        <v/>
      </c>
      <c r="K175" s="23">
        <f>ROUND(Saldos_Capital_Mensual!N175 + Saldos_Intereses_Mensual!N175, 2)</f>
        <v/>
      </c>
      <c r="L175" s="23">
        <f>ROUND(Saldos_Capital_Mensual!O175 + Saldos_Intereses_Mensual!O175, 2)</f>
        <v/>
      </c>
      <c r="M175" s="23">
        <f>ROUND(Saldos_Capital_Mensual!P175 + Saldos_Intereses_Mensual!P175, 2)</f>
        <v/>
      </c>
      <c r="N175" s="23">
        <f>ROUND(Saldos_Capital_Mensual!Q175 + Saldos_Intereses_Mensual!Q175, 2)</f>
        <v/>
      </c>
      <c r="O175" s="23">
        <f>ROUND(Saldos_Capital_Mensual!R175 + Saldos_Intereses_Mensual!R175, 2)</f>
        <v/>
      </c>
      <c r="P175" s="23">
        <f>ROUND(Saldos_Capital_Mensual!S175 + Saldos_Intereses_Mensual!S175, 2)</f>
        <v/>
      </c>
      <c r="Q175" s="23">
        <f>ROUND(Saldos_Capital_Mensual!T175 + Saldos_Intereses_Mensual!T175, 2)</f>
        <v/>
      </c>
      <c r="R175" s="23">
        <f>MAX(F175:Q175)</f>
        <v/>
      </c>
    </row>
    <row r="176">
      <c r="A176" s="26" t="inlineStr">
        <is>
          <t>0696-0001</t>
        </is>
      </c>
      <c r="B176" s="27" t="inlineStr">
        <is>
          <t>Karina Rocio Sanchez Cardenas</t>
        </is>
      </c>
      <c r="C176" s="27" t="inlineStr">
        <is>
          <t>Atittude GT</t>
        </is>
      </c>
      <c r="D176" s="26" t="inlineStr">
        <is>
          <t>ACTIVO</t>
        </is>
      </c>
      <c r="E176" s="28" t="n">
        <v>48</v>
      </c>
      <c r="F176" s="29">
        <f>ROUND(Saldos_Capital_Mensual!I176 + Saldos_Intereses_Mensual!I176, 2)</f>
        <v/>
      </c>
      <c r="G176" s="29">
        <f>ROUND(Saldos_Capital_Mensual!J176 + Saldos_Intereses_Mensual!J176, 2)</f>
        <v/>
      </c>
      <c r="H176" s="29">
        <f>ROUND(Saldos_Capital_Mensual!K176 + Saldos_Intereses_Mensual!K176, 2)</f>
        <v/>
      </c>
      <c r="I176" s="29">
        <f>ROUND(Saldos_Capital_Mensual!L176 + Saldos_Intereses_Mensual!L176, 2)</f>
        <v/>
      </c>
      <c r="J176" s="29">
        <f>ROUND(Saldos_Capital_Mensual!M176 + Saldos_Intereses_Mensual!M176, 2)</f>
        <v/>
      </c>
      <c r="K176" s="29">
        <f>ROUND(Saldos_Capital_Mensual!N176 + Saldos_Intereses_Mensual!N176, 2)</f>
        <v/>
      </c>
      <c r="L176" s="29">
        <f>ROUND(Saldos_Capital_Mensual!O176 + Saldos_Intereses_Mensual!O176, 2)</f>
        <v/>
      </c>
      <c r="M176" s="29">
        <f>ROUND(Saldos_Capital_Mensual!P176 + Saldos_Intereses_Mensual!P176, 2)</f>
        <v/>
      </c>
      <c r="N176" s="29">
        <f>ROUND(Saldos_Capital_Mensual!Q176 + Saldos_Intereses_Mensual!Q176, 2)</f>
        <v/>
      </c>
      <c r="O176" s="29">
        <f>ROUND(Saldos_Capital_Mensual!R176 + Saldos_Intereses_Mensual!R176, 2)</f>
        <v/>
      </c>
      <c r="P176" s="29">
        <f>ROUND(Saldos_Capital_Mensual!S176 + Saldos_Intereses_Mensual!S176, 2)</f>
        <v/>
      </c>
      <c r="Q176" s="29">
        <f>ROUND(Saldos_Capital_Mensual!T176 + Saldos_Intereses_Mensual!T176, 2)</f>
        <v/>
      </c>
      <c r="R176" s="29">
        <f>MAX(F176:Q176)</f>
        <v/>
      </c>
    </row>
    <row r="177">
      <c r="A177" s="20" t="inlineStr">
        <is>
          <t>0697-0001</t>
        </is>
      </c>
      <c r="B177" s="21" t="inlineStr">
        <is>
          <t>Guillermo Eduardo Robles Navarro</t>
        </is>
      </c>
      <c r="C177" s="21" t="inlineStr">
        <is>
          <t>Partner Rapid</t>
        </is>
      </c>
      <c r="D177" s="20" t="inlineStr">
        <is>
          <t>ACTIVO</t>
        </is>
      </c>
      <c r="E177" s="22" t="n">
        <v>24</v>
      </c>
      <c r="F177" s="23">
        <f>ROUND(Saldos_Capital_Mensual!I177 + Saldos_Intereses_Mensual!I177, 2)</f>
        <v/>
      </c>
      <c r="G177" s="23">
        <f>ROUND(Saldos_Capital_Mensual!J177 + Saldos_Intereses_Mensual!J177, 2)</f>
        <v/>
      </c>
      <c r="H177" s="23">
        <f>ROUND(Saldos_Capital_Mensual!K177 + Saldos_Intereses_Mensual!K177, 2)</f>
        <v/>
      </c>
      <c r="I177" s="23">
        <f>ROUND(Saldos_Capital_Mensual!L177 + Saldos_Intereses_Mensual!L177, 2)</f>
        <v/>
      </c>
      <c r="J177" s="23">
        <f>ROUND(Saldos_Capital_Mensual!M177 + Saldos_Intereses_Mensual!M177, 2)</f>
        <v/>
      </c>
      <c r="K177" s="23">
        <f>ROUND(Saldos_Capital_Mensual!N177 + Saldos_Intereses_Mensual!N177, 2)</f>
        <v/>
      </c>
      <c r="L177" s="23">
        <f>ROUND(Saldos_Capital_Mensual!O177 + Saldos_Intereses_Mensual!O177, 2)</f>
        <v/>
      </c>
      <c r="M177" s="23">
        <f>ROUND(Saldos_Capital_Mensual!P177 + Saldos_Intereses_Mensual!P177, 2)</f>
        <v/>
      </c>
      <c r="N177" s="23">
        <f>ROUND(Saldos_Capital_Mensual!Q177 + Saldos_Intereses_Mensual!Q177, 2)</f>
        <v/>
      </c>
      <c r="O177" s="23">
        <f>ROUND(Saldos_Capital_Mensual!R177 + Saldos_Intereses_Mensual!R177, 2)</f>
        <v/>
      </c>
      <c r="P177" s="23">
        <f>ROUND(Saldos_Capital_Mensual!S177 + Saldos_Intereses_Mensual!S177, 2)</f>
        <v/>
      </c>
      <c r="Q177" s="23">
        <f>ROUND(Saldos_Capital_Mensual!T177 + Saldos_Intereses_Mensual!T177, 2)</f>
        <v/>
      </c>
      <c r="R177" s="23">
        <f>MAX(F177:Q177)</f>
        <v/>
      </c>
    </row>
    <row r="178">
      <c r="A178" s="26" t="inlineStr">
        <is>
          <t>0698-0001</t>
        </is>
      </c>
      <c r="B178" s="27" t="inlineStr">
        <is>
          <t>Roberto Gontes Leon</t>
        </is>
      </c>
      <c r="C178" s="27" t="inlineStr">
        <is>
          <t>Wrangler Rubicon</t>
        </is>
      </c>
      <c r="D178" s="26" t="inlineStr">
        <is>
          <t>ACTIVO</t>
        </is>
      </c>
      <c r="E178" s="28" t="n">
        <v>48</v>
      </c>
      <c r="F178" s="29">
        <f>ROUND(Saldos_Capital_Mensual!I178 + Saldos_Intereses_Mensual!I178, 2)</f>
        <v/>
      </c>
      <c r="G178" s="29">
        <f>ROUND(Saldos_Capital_Mensual!J178 + Saldos_Intereses_Mensual!J178, 2)</f>
        <v/>
      </c>
      <c r="H178" s="29">
        <f>ROUND(Saldos_Capital_Mensual!K178 + Saldos_Intereses_Mensual!K178, 2)</f>
        <v/>
      </c>
      <c r="I178" s="29">
        <f>ROUND(Saldos_Capital_Mensual!L178 + Saldos_Intereses_Mensual!L178, 2)</f>
        <v/>
      </c>
      <c r="J178" s="29">
        <f>ROUND(Saldos_Capital_Mensual!M178 + Saldos_Intereses_Mensual!M178, 2)</f>
        <v/>
      </c>
      <c r="K178" s="29">
        <f>ROUND(Saldos_Capital_Mensual!N178 + Saldos_Intereses_Mensual!N178, 2)</f>
        <v/>
      </c>
      <c r="L178" s="29">
        <f>ROUND(Saldos_Capital_Mensual!O178 + Saldos_Intereses_Mensual!O178, 2)</f>
        <v/>
      </c>
      <c r="M178" s="29">
        <f>ROUND(Saldos_Capital_Mensual!P178 + Saldos_Intereses_Mensual!P178, 2)</f>
        <v/>
      </c>
      <c r="N178" s="29">
        <f>ROUND(Saldos_Capital_Mensual!Q178 + Saldos_Intereses_Mensual!Q178, 2)</f>
        <v/>
      </c>
      <c r="O178" s="29">
        <f>ROUND(Saldos_Capital_Mensual!R178 + Saldos_Intereses_Mensual!R178, 2)</f>
        <v/>
      </c>
      <c r="P178" s="29">
        <f>ROUND(Saldos_Capital_Mensual!S178 + Saldos_Intereses_Mensual!S178, 2)</f>
        <v/>
      </c>
      <c r="Q178" s="29">
        <f>ROUND(Saldos_Capital_Mensual!T178 + Saldos_Intereses_Mensual!T178, 2)</f>
        <v/>
      </c>
      <c r="R178" s="29">
        <f>MAX(F178:Q178)</f>
        <v/>
      </c>
    </row>
    <row r="179">
      <c r="A179" s="20" t="inlineStr">
        <is>
          <t>0699-0001</t>
        </is>
      </c>
      <c r="B179" s="21" t="inlineStr">
        <is>
          <t>Ramona Salazar Ramos</t>
        </is>
      </c>
      <c r="C179" s="21" t="inlineStr">
        <is>
          <t>Grand Cherokee 2025</t>
        </is>
      </c>
      <c r="D179" s="20" t="inlineStr">
        <is>
          <t>ACTIVO</t>
        </is>
      </c>
      <c r="E179" s="22" t="n">
        <v>36</v>
      </c>
      <c r="F179" s="23">
        <f>ROUND(Saldos_Capital_Mensual!I179 + Saldos_Intereses_Mensual!I179, 2)</f>
        <v/>
      </c>
      <c r="G179" s="23">
        <f>ROUND(Saldos_Capital_Mensual!J179 + Saldos_Intereses_Mensual!J179, 2)</f>
        <v/>
      </c>
      <c r="H179" s="23">
        <f>ROUND(Saldos_Capital_Mensual!K179 + Saldos_Intereses_Mensual!K179, 2)</f>
        <v/>
      </c>
      <c r="I179" s="23">
        <f>ROUND(Saldos_Capital_Mensual!L179 + Saldos_Intereses_Mensual!L179, 2)</f>
        <v/>
      </c>
      <c r="J179" s="23">
        <f>ROUND(Saldos_Capital_Mensual!M179 + Saldos_Intereses_Mensual!M179, 2)</f>
        <v/>
      </c>
      <c r="K179" s="23">
        <f>ROUND(Saldos_Capital_Mensual!N179 + Saldos_Intereses_Mensual!N179, 2)</f>
        <v/>
      </c>
      <c r="L179" s="23">
        <f>ROUND(Saldos_Capital_Mensual!O179 + Saldos_Intereses_Mensual!O179, 2)</f>
        <v/>
      </c>
      <c r="M179" s="23">
        <f>ROUND(Saldos_Capital_Mensual!P179 + Saldos_Intereses_Mensual!P179, 2)</f>
        <v/>
      </c>
      <c r="N179" s="23">
        <f>ROUND(Saldos_Capital_Mensual!Q179 + Saldos_Intereses_Mensual!Q179, 2)</f>
        <v/>
      </c>
      <c r="O179" s="23">
        <f>ROUND(Saldos_Capital_Mensual!R179 + Saldos_Intereses_Mensual!R179, 2)</f>
        <v/>
      </c>
      <c r="P179" s="23">
        <f>ROUND(Saldos_Capital_Mensual!S179 + Saldos_Intereses_Mensual!S179, 2)</f>
        <v/>
      </c>
      <c r="Q179" s="23">
        <f>ROUND(Saldos_Capital_Mensual!T179 + Saldos_Intereses_Mensual!T179, 2)</f>
        <v/>
      </c>
      <c r="R179" s="23">
        <f>MAX(F179:Q179)</f>
        <v/>
      </c>
    </row>
    <row r="180">
      <c r="A180" s="26" t="inlineStr">
        <is>
          <t>0700-0001</t>
        </is>
      </c>
      <c r="B180" s="27" t="inlineStr">
        <is>
          <t>Felipe de Jesus Ibañez Huizar</t>
        </is>
      </c>
      <c r="C180" s="27" t="inlineStr">
        <is>
          <t>K3</t>
        </is>
      </c>
      <c r="D180" s="26" t="inlineStr">
        <is>
          <t>ACTIVO</t>
        </is>
      </c>
      <c r="E180" s="28" t="n">
        <v>36</v>
      </c>
      <c r="F180" s="29">
        <f>ROUND(Saldos_Capital_Mensual!I180 + Saldos_Intereses_Mensual!I180, 2)</f>
        <v/>
      </c>
      <c r="G180" s="29">
        <f>ROUND(Saldos_Capital_Mensual!J180 + Saldos_Intereses_Mensual!J180, 2)</f>
        <v/>
      </c>
      <c r="H180" s="29">
        <f>ROUND(Saldos_Capital_Mensual!K180 + Saldos_Intereses_Mensual!K180, 2)</f>
        <v/>
      </c>
      <c r="I180" s="29">
        <f>ROUND(Saldos_Capital_Mensual!L180 + Saldos_Intereses_Mensual!L180, 2)</f>
        <v/>
      </c>
      <c r="J180" s="29">
        <f>ROUND(Saldos_Capital_Mensual!M180 + Saldos_Intereses_Mensual!M180, 2)</f>
        <v/>
      </c>
      <c r="K180" s="29">
        <f>ROUND(Saldos_Capital_Mensual!N180 + Saldos_Intereses_Mensual!N180, 2)</f>
        <v/>
      </c>
      <c r="L180" s="29">
        <f>ROUND(Saldos_Capital_Mensual!O180 + Saldos_Intereses_Mensual!O180, 2)</f>
        <v/>
      </c>
      <c r="M180" s="29">
        <f>ROUND(Saldos_Capital_Mensual!P180 + Saldos_Intereses_Mensual!P180, 2)</f>
        <v/>
      </c>
      <c r="N180" s="29">
        <f>ROUND(Saldos_Capital_Mensual!Q180 + Saldos_Intereses_Mensual!Q180, 2)</f>
        <v/>
      </c>
      <c r="O180" s="29">
        <f>ROUND(Saldos_Capital_Mensual!R180 + Saldos_Intereses_Mensual!R180, 2)</f>
        <v/>
      </c>
      <c r="P180" s="29">
        <f>ROUND(Saldos_Capital_Mensual!S180 + Saldos_Intereses_Mensual!S180, 2)</f>
        <v/>
      </c>
      <c r="Q180" s="29">
        <f>ROUND(Saldos_Capital_Mensual!T180 + Saldos_Intereses_Mensual!T180, 2)</f>
        <v/>
      </c>
      <c r="R180" s="29">
        <f>MAX(F180:Q180)</f>
        <v/>
      </c>
    </row>
    <row r="181">
      <c r="A181" s="20" t="inlineStr">
        <is>
          <t>0700-0002</t>
        </is>
      </c>
      <c r="B181" s="21" t="inlineStr">
        <is>
          <t>Felipe de Jesus Ibañez Huizar</t>
        </is>
      </c>
      <c r="C181" s="21" t="inlineStr">
        <is>
          <t>Nissan NP 300 Frontier 2026</t>
        </is>
      </c>
      <c r="D181" s="20" t="inlineStr">
        <is>
          <t>ACTIVO</t>
        </is>
      </c>
      <c r="E181" s="22" t="n">
        <v>24</v>
      </c>
      <c r="F181" s="23" t="inlineStr"/>
      <c r="G181" s="23" t="inlineStr"/>
      <c r="H181" s="23" t="inlineStr"/>
      <c r="I181" s="23" t="inlineStr"/>
      <c r="J181" s="23" t="inlineStr"/>
      <c r="K181" s="23" t="inlineStr"/>
      <c r="L181" s="23">
        <f>ROUND(Saldos_Capital_Mensual!O181 + Saldos_Intereses_Mensual!O181, 2)</f>
        <v/>
      </c>
      <c r="M181" s="23">
        <f>ROUND(Saldos_Capital_Mensual!P181 + Saldos_Intereses_Mensual!P181, 2)</f>
        <v/>
      </c>
      <c r="N181" s="23">
        <f>ROUND(Saldos_Capital_Mensual!Q181 + Saldos_Intereses_Mensual!Q181, 2)</f>
        <v/>
      </c>
      <c r="O181" s="23">
        <f>ROUND(Saldos_Capital_Mensual!R181 + Saldos_Intereses_Mensual!R181, 2)</f>
        <v/>
      </c>
      <c r="P181" s="23">
        <f>ROUND(Saldos_Capital_Mensual!S181 + Saldos_Intereses_Mensual!S181, 2)</f>
        <v/>
      </c>
      <c r="Q181" s="23">
        <f>ROUND(Saldos_Capital_Mensual!T181 + Saldos_Intereses_Mensual!T181, 2)</f>
        <v/>
      </c>
      <c r="R181" s="23">
        <f>MAX(F181:Q181)</f>
        <v/>
      </c>
    </row>
    <row r="182">
      <c r="A182" s="26" t="inlineStr">
        <is>
          <t>0701-0001</t>
        </is>
      </c>
      <c r="B182" s="27" t="inlineStr">
        <is>
          <t>Miguel Angel Yañez Rivera</t>
        </is>
      </c>
      <c r="C182" s="27" t="inlineStr">
        <is>
          <t>Maxi Partner</t>
        </is>
      </c>
      <c r="D182" s="26" t="inlineStr">
        <is>
          <t>ACTIVO</t>
        </is>
      </c>
      <c r="E182" s="28" t="n">
        <v>48</v>
      </c>
      <c r="F182" s="29">
        <f>ROUND(Saldos_Capital_Mensual!I182 + Saldos_Intereses_Mensual!I182, 2)</f>
        <v/>
      </c>
      <c r="G182" s="29">
        <f>ROUND(Saldos_Capital_Mensual!J182 + Saldos_Intereses_Mensual!J182, 2)</f>
        <v/>
      </c>
      <c r="H182" s="29">
        <f>ROUND(Saldos_Capital_Mensual!K182 + Saldos_Intereses_Mensual!K182, 2)</f>
        <v/>
      </c>
      <c r="I182" s="29">
        <f>ROUND(Saldos_Capital_Mensual!L182 + Saldos_Intereses_Mensual!L182, 2)</f>
        <v/>
      </c>
      <c r="J182" s="29">
        <f>ROUND(Saldos_Capital_Mensual!M182 + Saldos_Intereses_Mensual!M182, 2)</f>
        <v/>
      </c>
      <c r="K182" s="29">
        <f>ROUND(Saldos_Capital_Mensual!N182 + Saldos_Intereses_Mensual!N182, 2)</f>
        <v/>
      </c>
      <c r="L182" s="29">
        <f>ROUND(Saldos_Capital_Mensual!O182 + Saldos_Intereses_Mensual!O182, 2)</f>
        <v/>
      </c>
      <c r="M182" s="29">
        <f>ROUND(Saldos_Capital_Mensual!P182 + Saldos_Intereses_Mensual!P182, 2)</f>
        <v/>
      </c>
      <c r="N182" s="29">
        <f>ROUND(Saldos_Capital_Mensual!Q182 + Saldos_Intereses_Mensual!Q182, 2)</f>
        <v/>
      </c>
      <c r="O182" s="29">
        <f>ROUND(Saldos_Capital_Mensual!R182 + Saldos_Intereses_Mensual!R182, 2)</f>
        <v/>
      </c>
      <c r="P182" s="29">
        <f>ROUND(Saldos_Capital_Mensual!S182 + Saldos_Intereses_Mensual!S182, 2)</f>
        <v/>
      </c>
      <c r="Q182" s="29">
        <f>ROUND(Saldos_Capital_Mensual!T182 + Saldos_Intereses_Mensual!T182, 2)</f>
        <v/>
      </c>
      <c r="R182" s="29">
        <f>MAX(F182:Q182)</f>
        <v/>
      </c>
    </row>
    <row r="183">
      <c r="A183" s="20" t="inlineStr">
        <is>
          <t>0702-0001</t>
        </is>
      </c>
      <c r="B183" s="21" t="inlineStr">
        <is>
          <t>Ramses Tadeo Galindo Calderon</t>
        </is>
      </c>
      <c r="C183" s="21" t="inlineStr">
        <is>
          <t>Song Plus</t>
        </is>
      </c>
      <c r="D183" s="20" t="inlineStr">
        <is>
          <t>ACTIVO</t>
        </is>
      </c>
      <c r="E183" s="22" t="n">
        <v>48</v>
      </c>
      <c r="F183" s="23">
        <f>ROUND(Saldos_Capital_Mensual!I183 + Saldos_Intereses_Mensual!I183, 2)</f>
        <v/>
      </c>
      <c r="G183" s="23">
        <f>ROUND(Saldos_Capital_Mensual!J183 + Saldos_Intereses_Mensual!J183, 2)</f>
        <v/>
      </c>
      <c r="H183" s="23">
        <f>ROUND(Saldos_Capital_Mensual!K183 + Saldos_Intereses_Mensual!K183, 2)</f>
        <v/>
      </c>
      <c r="I183" s="23">
        <f>ROUND(Saldos_Capital_Mensual!L183 + Saldos_Intereses_Mensual!L183, 2)</f>
        <v/>
      </c>
      <c r="J183" s="23">
        <f>ROUND(Saldos_Capital_Mensual!M183 + Saldos_Intereses_Mensual!M183, 2)</f>
        <v/>
      </c>
      <c r="K183" s="23">
        <f>ROUND(Saldos_Capital_Mensual!N183 + Saldos_Intereses_Mensual!N183, 2)</f>
        <v/>
      </c>
      <c r="L183" s="23">
        <f>ROUND(Saldos_Capital_Mensual!O183 + Saldos_Intereses_Mensual!O183, 2)</f>
        <v/>
      </c>
      <c r="M183" s="23">
        <f>ROUND(Saldos_Capital_Mensual!P183 + Saldos_Intereses_Mensual!P183, 2)</f>
        <v/>
      </c>
      <c r="N183" s="23">
        <f>ROUND(Saldos_Capital_Mensual!Q183 + Saldos_Intereses_Mensual!Q183, 2)</f>
        <v/>
      </c>
      <c r="O183" s="23">
        <f>ROUND(Saldos_Capital_Mensual!R183 + Saldos_Intereses_Mensual!R183, 2)</f>
        <v/>
      </c>
      <c r="P183" s="23">
        <f>ROUND(Saldos_Capital_Mensual!S183 + Saldos_Intereses_Mensual!S183, 2)</f>
        <v/>
      </c>
      <c r="Q183" s="23">
        <f>ROUND(Saldos_Capital_Mensual!T183 + Saldos_Intereses_Mensual!T183, 2)</f>
        <v/>
      </c>
      <c r="R183" s="23">
        <f>MAX(F183:Q183)</f>
        <v/>
      </c>
    </row>
    <row r="184">
      <c r="A184" s="26" t="inlineStr">
        <is>
          <t>0703-0002</t>
        </is>
      </c>
      <c r="B184" s="27" t="inlineStr">
        <is>
          <t>Jali Fresh International Sa de Cv</t>
        </is>
      </c>
      <c r="C184" s="27" t="inlineStr">
        <is>
          <t>1500 Tradesman CC</t>
        </is>
      </c>
      <c r="D184" s="26" t="inlineStr">
        <is>
          <t>ACTIVO</t>
        </is>
      </c>
      <c r="E184" s="28" t="n">
        <v>36</v>
      </c>
      <c r="F184" s="29" t="inlineStr"/>
      <c r="G184" s="29" t="inlineStr"/>
      <c r="H184" s="29" t="inlineStr"/>
      <c r="I184" s="29">
        <f>ROUND(Saldos_Capital_Mensual!L184 + Saldos_Intereses_Mensual!L184, 2)</f>
        <v/>
      </c>
      <c r="J184" s="29">
        <f>ROUND(Saldos_Capital_Mensual!M184 + Saldos_Intereses_Mensual!M184, 2)</f>
        <v/>
      </c>
      <c r="K184" s="29">
        <f>ROUND(Saldos_Capital_Mensual!N184 + Saldos_Intereses_Mensual!N184, 2)</f>
        <v/>
      </c>
      <c r="L184" s="29">
        <f>ROUND(Saldos_Capital_Mensual!O184 + Saldos_Intereses_Mensual!O184, 2)</f>
        <v/>
      </c>
      <c r="M184" s="29">
        <f>ROUND(Saldos_Capital_Mensual!P184 + Saldos_Intereses_Mensual!P184, 2)</f>
        <v/>
      </c>
      <c r="N184" s="29">
        <f>ROUND(Saldos_Capital_Mensual!Q184 + Saldos_Intereses_Mensual!Q184, 2)</f>
        <v/>
      </c>
      <c r="O184" s="29">
        <f>ROUND(Saldos_Capital_Mensual!R184 + Saldos_Intereses_Mensual!R184, 2)</f>
        <v/>
      </c>
      <c r="P184" s="29">
        <f>ROUND(Saldos_Capital_Mensual!S184 + Saldos_Intereses_Mensual!S184, 2)</f>
        <v/>
      </c>
      <c r="Q184" s="29">
        <f>ROUND(Saldos_Capital_Mensual!T184 + Saldos_Intereses_Mensual!T184, 2)</f>
        <v/>
      </c>
      <c r="R184" s="29">
        <f>MAX(F184:Q184)</f>
        <v/>
      </c>
    </row>
    <row r="185">
      <c r="A185" s="20" t="inlineStr">
        <is>
          <t>0704-0001</t>
        </is>
      </c>
      <c r="B185" s="21" t="inlineStr">
        <is>
          <t>Cristian Manuel Cruz Gutierrez</t>
        </is>
      </c>
      <c r="C185" s="21" t="inlineStr">
        <is>
          <t>Ram 1200</t>
        </is>
      </c>
      <c r="D185" s="20" t="inlineStr">
        <is>
          <t>ACTIVO</t>
        </is>
      </c>
      <c r="E185" s="22" t="n">
        <v>36</v>
      </c>
      <c r="F185" s="23">
        <f>ROUND(Saldos_Capital_Mensual!I185 + Saldos_Intereses_Mensual!I185, 2)</f>
        <v/>
      </c>
      <c r="G185" s="23">
        <f>ROUND(Saldos_Capital_Mensual!J185 + Saldos_Intereses_Mensual!J185, 2)</f>
        <v/>
      </c>
      <c r="H185" s="23">
        <f>ROUND(Saldos_Capital_Mensual!K185 + Saldos_Intereses_Mensual!K185, 2)</f>
        <v/>
      </c>
      <c r="I185" s="23">
        <f>ROUND(Saldos_Capital_Mensual!L185 + Saldos_Intereses_Mensual!L185, 2)</f>
        <v/>
      </c>
      <c r="J185" s="23">
        <f>ROUND(Saldos_Capital_Mensual!M185 + Saldos_Intereses_Mensual!M185, 2)</f>
        <v/>
      </c>
      <c r="K185" s="23">
        <f>ROUND(Saldos_Capital_Mensual!N185 + Saldos_Intereses_Mensual!N185, 2)</f>
        <v/>
      </c>
      <c r="L185" s="23">
        <f>ROUND(Saldos_Capital_Mensual!O185 + Saldos_Intereses_Mensual!O185, 2)</f>
        <v/>
      </c>
      <c r="M185" s="23">
        <f>ROUND(Saldos_Capital_Mensual!P185 + Saldos_Intereses_Mensual!P185, 2)</f>
        <v/>
      </c>
      <c r="N185" s="23">
        <f>ROUND(Saldos_Capital_Mensual!Q185 + Saldos_Intereses_Mensual!Q185, 2)</f>
        <v/>
      </c>
      <c r="O185" s="23">
        <f>ROUND(Saldos_Capital_Mensual!R185 + Saldos_Intereses_Mensual!R185, 2)</f>
        <v/>
      </c>
      <c r="P185" s="23">
        <f>ROUND(Saldos_Capital_Mensual!S185 + Saldos_Intereses_Mensual!S185, 2)</f>
        <v/>
      </c>
      <c r="Q185" s="23">
        <f>ROUND(Saldos_Capital_Mensual!T185 + Saldos_Intereses_Mensual!T185, 2)</f>
        <v/>
      </c>
      <c r="R185" s="23">
        <f>MAX(F185:Q185)</f>
        <v/>
      </c>
    </row>
    <row r="186">
      <c r="A186" s="26" t="inlineStr">
        <is>
          <t>0705-0001</t>
        </is>
      </c>
      <c r="B186" s="27" t="inlineStr">
        <is>
          <t>Oscar Alejandro Pedraza Gonzalez</t>
        </is>
      </c>
      <c r="C186" s="27" t="inlineStr">
        <is>
          <t>L200</t>
        </is>
      </c>
      <c r="D186" s="26" t="inlineStr">
        <is>
          <t>ACTIVO</t>
        </is>
      </c>
      <c r="E186" s="28" t="n">
        <v>24</v>
      </c>
      <c r="F186" s="29">
        <f>ROUND(Saldos_Capital_Mensual!I186 + Saldos_Intereses_Mensual!I186, 2)</f>
        <v/>
      </c>
      <c r="G186" s="29">
        <f>ROUND(Saldos_Capital_Mensual!J186 + Saldos_Intereses_Mensual!J186, 2)</f>
        <v/>
      </c>
      <c r="H186" s="29">
        <f>ROUND(Saldos_Capital_Mensual!K186 + Saldos_Intereses_Mensual!K186, 2)</f>
        <v/>
      </c>
      <c r="I186" s="29">
        <f>ROUND(Saldos_Capital_Mensual!L186 + Saldos_Intereses_Mensual!L186, 2)</f>
        <v/>
      </c>
      <c r="J186" s="29">
        <f>ROUND(Saldos_Capital_Mensual!M186 + Saldos_Intereses_Mensual!M186, 2)</f>
        <v/>
      </c>
      <c r="K186" s="29">
        <f>ROUND(Saldos_Capital_Mensual!N186 + Saldos_Intereses_Mensual!N186, 2)</f>
        <v/>
      </c>
      <c r="L186" s="29">
        <f>ROUND(Saldos_Capital_Mensual!O186 + Saldos_Intereses_Mensual!O186, 2)</f>
        <v/>
      </c>
      <c r="M186" s="29">
        <f>ROUND(Saldos_Capital_Mensual!P186 + Saldos_Intereses_Mensual!P186, 2)</f>
        <v/>
      </c>
      <c r="N186" s="29">
        <f>ROUND(Saldos_Capital_Mensual!Q186 + Saldos_Intereses_Mensual!Q186, 2)</f>
        <v/>
      </c>
      <c r="O186" s="29">
        <f>ROUND(Saldos_Capital_Mensual!R186 + Saldos_Intereses_Mensual!R186, 2)</f>
        <v/>
      </c>
      <c r="P186" s="29">
        <f>ROUND(Saldos_Capital_Mensual!S186 + Saldos_Intereses_Mensual!S186, 2)</f>
        <v/>
      </c>
      <c r="Q186" s="29">
        <f>ROUND(Saldos_Capital_Mensual!T186 + Saldos_Intereses_Mensual!T186, 2)</f>
        <v/>
      </c>
      <c r="R186" s="29">
        <f>MAX(F186:Q186)</f>
        <v/>
      </c>
    </row>
    <row r="187">
      <c r="A187" s="20" t="inlineStr">
        <is>
          <t>0706-0001</t>
        </is>
      </c>
      <c r="B187" s="21" t="inlineStr">
        <is>
          <t>Jose Luis Zepeda Gomez</t>
        </is>
      </c>
      <c r="C187" s="21" t="inlineStr">
        <is>
          <t>L200 Glx Diesel</t>
        </is>
      </c>
      <c r="D187" s="20" t="inlineStr">
        <is>
          <t>ACTIVO</t>
        </is>
      </c>
      <c r="E187" s="22" t="n">
        <v>48</v>
      </c>
      <c r="F187" s="23">
        <f>ROUND(Saldos_Capital_Mensual!I187 + Saldos_Intereses_Mensual!I187, 2)</f>
        <v/>
      </c>
      <c r="G187" s="23">
        <f>ROUND(Saldos_Capital_Mensual!J187 + Saldos_Intereses_Mensual!J187, 2)</f>
        <v/>
      </c>
      <c r="H187" s="23">
        <f>ROUND(Saldos_Capital_Mensual!K187 + Saldos_Intereses_Mensual!K187, 2)</f>
        <v/>
      </c>
      <c r="I187" s="23">
        <f>ROUND(Saldos_Capital_Mensual!L187 + Saldos_Intereses_Mensual!L187, 2)</f>
        <v/>
      </c>
      <c r="J187" s="23">
        <f>ROUND(Saldos_Capital_Mensual!M187 + Saldos_Intereses_Mensual!M187, 2)</f>
        <v/>
      </c>
      <c r="K187" s="23">
        <f>ROUND(Saldos_Capital_Mensual!N187 + Saldos_Intereses_Mensual!N187, 2)</f>
        <v/>
      </c>
      <c r="L187" s="23">
        <f>ROUND(Saldos_Capital_Mensual!O187 + Saldos_Intereses_Mensual!O187, 2)</f>
        <v/>
      </c>
      <c r="M187" s="23">
        <f>ROUND(Saldos_Capital_Mensual!P187 + Saldos_Intereses_Mensual!P187, 2)</f>
        <v/>
      </c>
      <c r="N187" s="23">
        <f>ROUND(Saldos_Capital_Mensual!Q187 + Saldos_Intereses_Mensual!Q187, 2)</f>
        <v/>
      </c>
      <c r="O187" s="23">
        <f>ROUND(Saldos_Capital_Mensual!R187 + Saldos_Intereses_Mensual!R187, 2)</f>
        <v/>
      </c>
      <c r="P187" s="23">
        <f>ROUND(Saldos_Capital_Mensual!S187 + Saldos_Intereses_Mensual!S187, 2)</f>
        <v/>
      </c>
      <c r="Q187" s="23">
        <f>ROUND(Saldos_Capital_Mensual!T187 + Saldos_Intereses_Mensual!T187, 2)</f>
        <v/>
      </c>
      <c r="R187" s="23">
        <f>MAX(F187:Q187)</f>
        <v/>
      </c>
    </row>
    <row r="188">
      <c r="A188" s="26" t="inlineStr">
        <is>
          <t>0707-0001</t>
        </is>
      </c>
      <c r="B188" s="27" t="inlineStr">
        <is>
          <t>Cabañas Lupita Sa de Cv</t>
        </is>
      </c>
      <c r="C188" s="27" t="inlineStr">
        <is>
          <t>Jt Rubicon</t>
        </is>
      </c>
      <c r="D188" s="26" t="inlineStr">
        <is>
          <t>ACTIVO</t>
        </is>
      </c>
      <c r="E188" s="28" t="n">
        <v>48</v>
      </c>
      <c r="F188" s="29">
        <f>ROUND(Saldos_Capital_Mensual!I188 + Saldos_Intereses_Mensual!I188, 2)</f>
        <v/>
      </c>
      <c r="G188" s="29">
        <f>ROUND(Saldos_Capital_Mensual!J188 + Saldos_Intereses_Mensual!J188, 2)</f>
        <v/>
      </c>
      <c r="H188" s="29">
        <f>ROUND(Saldos_Capital_Mensual!K188 + Saldos_Intereses_Mensual!K188, 2)</f>
        <v/>
      </c>
      <c r="I188" s="29">
        <f>ROUND(Saldos_Capital_Mensual!L188 + Saldos_Intereses_Mensual!L188, 2)</f>
        <v/>
      </c>
      <c r="J188" s="29">
        <f>ROUND(Saldos_Capital_Mensual!M188 + Saldos_Intereses_Mensual!M188, 2)</f>
        <v/>
      </c>
      <c r="K188" s="29">
        <f>ROUND(Saldos_Capital_Mensual!N188 + Saldos_Intereses_Mensual!N188, 2)</f>
        <v/>
      </c>
      <c r="L188" s="29">
        <f>ROUND(Saldos_Capital_Mensual!O188 + Saldos_Intereses_Mensual!O188, 2)</f>
        <v/>
      </c>
      <c r="M188" s="29">
        <f>ROUND(Saldos_Capital_Mensual!P188 + Saldos_Intereses_Mensual!P188, 2)</f>
        <v/>
      </c>
      <c r="N188" s="29">
        <f>ROUND(Saldos_Capital_Mensual!Q188 + Saldos_Intereses_Mensual!Q188, 2)</f>
        <v/>
      </c>
      <c r="O188" s="29">
        <f>ROUND(Saldos_Capital_Mensual!R188 + Saldos_Intereses_Mensual!R188, 2)</f>
        <v/>
      </c>
      <c r="P188" s="29">
        <f>ROUND(Saldos_Capital_Mensual!S188 + Saldos_Intereses_Mensual!S188, 2)</f>
        <v/>
      </c>
      <c r="Q188" s="29">
        <f>ROUND(Saldos_Capital_Mensual!T188 + Saldos_Intereses_Mensual!T188, 2)</f>
        <v/>
      </c>
      <c r="R188" s="29">
        <f>MAX(F188:Q188)</f>
        <v/>
      </c>
    </row>
    <row r="189">
      <c r="A189" s="20" t="inlineStr">
        <is>
          <t>0708-0001</t>
        </is>
      </c>
      <c r="B189" s="21" t="inlineStr">
        <is>
          <t>Pumps Company Sa de Cv</t>
        </is>
      </c>
      <c r="C189" s="21" t="inlineStr">
        <is>
          <t>L200 Glx Diesel</t>
        </is>
      </c>
      <c r="D189" s="20" t="inlineStr">
        <is>
          <t>ACTIVO</t>
        </is>
      </c>
      <c r="E189" s="22" t="n">
        <v>36</v>
      </c>
      <c r="F189" s="23">
        <f>ROUND(Saldos_Capital_Mensual!I189 + Saldos_Intereses_Mensual!I189, 2)</f>
        <v/>
      </c>
      <c r="G189" s="23">
        <f>ROUND(Saldos_Capital_Mensual!J189 + Saldos_Intereses_Mensual!J189, 2)</f>
        <v/>
      </c>
      <c r="H189" s="23">
        <f>ROUND(Saldos_Capital_Mensual!K189 + Saldos_Intereses_Mensual!K189, 2)</f>
        <v/>
      </c>
      <c r="I189" s="23">
        <f>ROUND(Saldos_Capital_Mensual!L189 + Saldos_Intereses_Mensual!L189, 2)</f>
        <v/>
      </c>
      <c r="J189" s="23">
        <f>ROUND(Saldos_Capital_Mensual!M189 + Saldos_Intereses_Mensual!M189, 2)</f>
        <v/>
      </c>
      <c r="K189" s="23">
        <f>ROUND(Saldos_Capital_Mensual!N189 + Saldos_Intereses_Mensual!N189, 2)</f>
        <v/>
      </c>
      <c r="L189" s="23">
        <f>ROUND(Saldos_Capital_Mensual!O189 + Saldos_Intereses_Mensual!O189, 2)</f>
        <v/>
      </c>
      <c r="M189" s="23">
        <f>ROUND(Saldos_Capital_Mensual!P189 + Saldos_Intereses_Mensual!P189, 2)</f>
        <v/>
      </c>
      <c r="N189" s="23">
        <f>ROUND(Saldos_Capital_Mensual!Q189 + Saldos_Intereses_Mensual!Q189, 2)</f>
        <v/>
      </c>
      <c r="O189" s="23">
        <f>ROUND(Saldos_Capital_Mensual!R189 + Saldos_Intereses_Mensual!R189, 2)</f>
        <v/>
      </c>
      <c r="P189" s="23">
        <f>ROUND(Saldos_Capital_Mensual!S189 + Saldos_Intereses_Mensual!S189, 2)</f>
        <v/>
      </c>
      <c r="Q189" s="23">
        <f>ROUND(Saldos_Capital_Mensual!T189 + Saldos_Intereses_Mensual!T189, 2)</f>
        <v/>
      </c>
      <c r="R189" s="23">
        <f>MAX(F189:Q189)</f>
        <v/>
      </c>
    </row>
    <row r="190">
      <c r="A190" s="26" t="inlineStr">
        <is>
          <t>0708-0002</t>
        </is>
      </c>
      <c r="B190" s="27" t="inlineStr">
        <is>
          <t>Pumps Company Sa de Cv</t>
        </is>
      </c>
      <c r="C190" s="27" t="inlineStr">
        <is>
          <t>L200 Glx Diesel</t>
        </is>
      </c>
      <c r="D190" s="26" t="inlineStr">
        <is>
          <t>ACTIVO</t>
        </is>
      </c>
      <c r="E190" s="28" t="n">
        <v>36</v>
      </c>
      <c r="F190" s="29">
        <f>ROUND(Saldos_Capital_Mensual!I190 + Saldos_Intereses_Mensual!I190, 2)</f>
        <v/>
      </c>
      <c r="G190" s="29">
        <f>ROUND(Saldos_Capital_Mensual!J190 + Saldos_Intereses_Mensual!J190, 2)</f>
        <v/>
      </c>
      <c r="H190" s="29">
        <f>ROUND(Saldos_Capital_Mensual!K190 + Saldos_Intereses_Mensual!K190, 2)</f>
        <v/>
      </c>
      <c r="I190" s="29">
        <f>ROUND(Saldos_Capital_Mensual!L190 + Saldos_Intereses_Mensual!L190, 2)</f>
        <v/>
      </c>
      <c r="J190" s="29">
        <f>ROUND(Saldos_Capital_Mensual!M190 + Saldos_Intereses_Mensual!M190, 2)</f>
        <v/>
      </c>
      <c r="K190" s="29">
        <f>ROUND(Saldos_Capital_Mensual!N190 + Saldos_Intereses_Mensual!N190, 2)</f>
        <v/>
      </c>
      <c r="L190" s="29">
        <f>ROUND(Saldos_Capital_Mensual!O190 + Saldos_Intereses_Mensual!O190, 2)</f>
        <v/>
      </c>
      <c r="M190" s="29">
        <f>ROUND(Saldos_Capital_Mensual!P190 + Saldos_Intereses_Mensual!P190, 2)</f>
        <v/>
      </c>
      <c r="N190" s="29">
        <f>ROUND(Saldos_Capital_Mensual!Q190 + Saldos_Intereses_Mensual!Q190, 2)</f>
        <v/>
      </c>
      <c r="O190" s="29">
        <f>ROUND(Saldos_Capital_Mensual!R190 + Saldos_Intereses_Mensual!R190, 2)</f>
        <v/>
      </c>
      <c r="P190" s="29">
        <f>ROUND(Saldos_Capital_Mensual!S190 + Saldos_Intereses_Mensual!S190, 2)</f>
        <v/>
      </c>
      <c r="Q190" s="29">
        <f>ROUND(Saldos_Capital_Mensual!T190 + Saldos_Intereses_Mensual!T190, 2)</f>
        <v/>
      </c>
      <c r="R190" s="29">
        <f>MAX(F190:Q190)</f>
        <v/>
      </c>
    </row>
    <row r="191">
      <c r="A191" s="20" t="inlineStr">
        <is>
          <t>0712-0001</t>
        </is>
      </c>
      <c r="B191" s="21" t="inlineStr">
        <is>
          <t>Containers del Pacifico sa de cv</t>
        </is>
      </c>
      <c r="C191" s="21" t="inlineStr">
        <is>
          <t>Outlander Sport</t>
        </is>
      </c>
      <c r="D191" s="20" t="inlineStr">
        <is>
          <t>ACTIVO</t>
        </is>
      </c>
      <c r="E191" s="22" t="n">
        <v>36</v>
      </c>
      <c r="F191" s="23">
        <f>ROUND(Saldos_Capital_Mensual!I191 + Saldos_Intereses_Mensual!I191, 2)</f>
        <v/>
      </c>
      <c r="G191" s="23">
        <f>ROUND(Saldos_Capital_Mensual!J191 + Saldos_Intereses_Mensual!J191, 2)</f>
        <v/>
      </c>
      <c r="H191" s="23">
        <f>ROUND(Saldos_Capital_Mensual!K191 + Saldos_Intereses_Mensual!K191, 2)</f>
        <v/>
      </c>
      <c r="I191" s="23">
        <f>ROUND(Saldos_Capital_Mensual!L191 + Saldos_Intereses_Mensual!L191, 2)</f>
        <v/>
      </c>
      <c r="J191" s="23">
        <f>ROUND(Saldos_Capital_Mensual!M191 + Saldos_Intereses_Mensual!M191, 2)</f>
        <v/>
      </c>
      <c r="K191" s="23">
        <f>ROUND(Saldos_Capital_Mensual!N191 + Saldos_Intereses_Mensual!N191, 2)</f>
        <v/>
      </c>
      <c r="L191" s="23">
        <f>ROUND(Saldos_Capital_Mensual!O191 + Saldos_Intereses_Mensual!O191, 2)</f>
        <v/>
      </c>
      <c r="M191" s="23">
        <f>ROUND(Saldos_Capital_Mensual!P191 + Saldos_Intereses_Mensual!P191, 2)</f>
        <v/>
      </c>
      <c r="N191" s="23">
        <f>ROUND(Saldos_Capital_Mensual!Q191 + Saldos_Intereses_Mensual!Q191, 2)</f>
        <v/>
      </c>
      <c r="O191" s="23">
        <f>ROUND(Saldos_Capital_Mensual!R191 + Saldos_Intereses_Mensual!R191, 2)</f>
        <v/>
      </c>
      <c r="P191" s="23">
        <f>ROUND(Saldos_Capital_Mensual!S191 + Saldos_Intereses_Mensual!S191, 2)</f>
        <v/>
      </c>
      <c r="Q191" s="23">
        <f>ROUND(Saldos_Capital_Mensual!T191 + Saldos_Intereses_Mensual!T191, 2)</f>
        <v/>
      </c>
      <c r="R191" s="23">
        <f>MAX(F191:Q191)</f>
        <v/>
      </c>
    </row>
    <row r="192">
      <c r="A192" s="26" t="inlineStr">
        <is>
          <t>0712-0002</t>
        </is>
      </c>
      <c r="B192" s="27" t="inlineStr">
        <is>
          <t>Containers del Pacifico sa de cv</t>
        </is>
      </c>
      <c r="C192" s="27" t="inlineStr">
        <is>
          <t>Np300</t>
        </is>
      </c>
      <c r="D192" s="26" t="inlineStr">
        <is>
          <t>ACTIVO</t>
        </is>
      </c>
      <c r="E192" s="28" t="n">
        <v>36</v>
      </c>
      <c r="F192" s="29">
        <f>ROUND(Saldos_Capital_Mensual!I192 + Saldos_Intereses_Mensual!I192, 2)</f>
        <v/>
      </c>
      <c r="G192" s="29">
        <f>ROUND(Saldos_Capital_Mensual!J192 + Saldos_Intereses_Mensual!J192, 2)</f>
        <v/>
      </c>
      <c r="H192" s="29">
        <f>ROUND(Saldos_Capital_Mensual!K192 + Saldos_Intereses_Mensual!K192, 2)</f>
        <v/>
      </c>
      <c r="I192" s="29">
        <f>ROUND(Saldos_Capital_Mensual!L192 + Saldos_Intereses_Mensual!L192, 2)</f>
        <v/>
      </c>
      <c r="J192" s="29">
        <f>ROUND(Saldos_Capital_Mensual!M192 + Saldos_Intereses_Mensual!M192, 2)</f>
        <v/>
      </c>
      <c r="K192" s="29">
        <f>ROUND(Saldos_Capital_Mensual!N192 + Saldos_Intereses_Mensual!N192, 2)</f>
        <v/>
      </c>
      <c r="L192" s="29">
        <f>ROUND(Saldos_Capital_Mensual!O192 + Saldos_Intereses_Mensual!O192, 2)</f>
        <v/>
      </c>
      <c r="M192" s="29">
        <f>ROUND(Saldos_Capital_Mensual!P192 + Saldos_Intereses_Mensual!P192, 2)</f>
        <v/>
      </c>
      <c r="N192" s="29">
        <f>ROUND(Saldos_Capital_Mensual!Q192 + Saldos_Intereses_Mensual!Q192, 2)</f>
        <v/>
      </c>
      <c r="O192" s="29">
        <f>ROUND(Saldos_Capital_Mensual!R192 + Saldos_Intereses_Mensual!R192, 2)</f>
        <v/>
      </c>
      <c r="P192" s="29">
        <f>ROUND(Saldos_Capital_Mensual!S192 + Saldos_Intereses_Mensual!S192, 2)</f>
        <v/>
      </c>
      <c r="Q192" s="29">
        <f>ROUND(Saldos_Capital_Mensual!T192 + Saldos_Intereses_Mensual!T192, 2)</f>
        <v/>
      </c>
      <c r="R192" s="29">
        <f>MAX(F192:Q192)</f>
        <v/>
      </c>
    </row>
    <row r="193">
      <c r="A193" s="20" t="inlineStr">
        <is>
          <t>0712-0003</t>
        </is>
      </c>
      <c r="B193" s="21" t="inlineStr">
        <is>
          <t>Containers del Pacifico sa de cv</t>
        </is>
      </c>
      <c r="C193" s="21" t="inlineStr">
        <is>
          <t>Np300</t>
        </is>
      </c>
      <c r="D193" s="20" t="inlineStr">
        <is>
          <t>ACTIVO</t>
        </is>
      </c>
      <c r="E193" s="22" t="n">
        <v>36</v>
      </c>
      <c r="F193" s="23">
        <f>ROUND(Saldos_Capital_Mensual!I193 + Saldos_Intereses_Mensual!I193, 2)</f>
        <v/>
      </c>
      <c r="G193" s="23">
        <f>ROUND(Saldos_Capital_Mensual!J193 + Saldos_Intereses_Mensual!J193, 2)</f>
        <v/>
      </c>
      <c r="H193" s="23">
        <f>ROUND(Saldos_Capital_Mensual!K193 + Saldos_Intereses_Mensual!K193, 2)</f>
        <v/>
      </c>
      <c r="I193" s="23">
        <f>ROUND(Saldos_Capital_Mensual!L193 + Saldos_Intereses_Mensual!L193, 2)</f>
        <v/>
      </c>
      <c r="J193" s="23">
        <f>ROUND(Saldos_Capital_Mensual!M193 + Saldos_Intereses_Mensual!M193, 2)</f>
        <v/>
      </c>
      <c r="K193" s="23">
        <f>ROUND(Saldos_Capital_Mensual!N193 + Saldos_Intereses_Mensual!N193, 2)</f>
        <v/>
      </c>
      <c r="L193" s="23">
        <f>ROUND(Saldos_Capital_Mensual!O193 + Saldos_Intereses_Mensual!O193, 2)</f>
        <v/>
      </c>
      <c r="M193" s="23">
        <f>ROUND(Saldos_Capital_Mensual!P193 + Saldos_Intereses_Mensual!P193, 2)</f>
        <v/>
      </c>
      <c r="N193" s="23">
        <f>ROUND(Saldos_Capital_Mensual!Q193 + Saldos_Intereses_Mensual!Q193, 2)</f>
        <v/>
      </c>
      <c r="O193" s="23">
        <f>ROUND(Saldos_Capital_Mensual!R193 + Saldos_Intereses_Mensual!R193, 2)</f>
        <v/>
      </c>
      <c r="P193" s="23">
        <f>ROUND(Saldos_Capital_Mensual!S193 + Saldos_Intereses_Mensual!S193, 2)</f>
        <v/>
      </c>
      <c r="Q193" s="23">
        <f>ROUND(Saldos_Capital_Mensual!T193 + Saldos_Intereses_Mensual!T193, 2)</f>
        <v/>
      </c>
      <c r="R193" s="23">
        <f>MAX(F193:Q193)</f>
        <v/>
      </c>
    </row>
    <row r="194">
      <c r="A194" s="26" t="inlineStr">
        <is>
          <t>0713-0001</t>
        </is>
      </c>
      <c r="B194" s="27" t="inlineStr">
        <is>
          <t>Ana Carolina Urzua Lopez</t>
        </is>
      </c>
      <c r="C194" s="27" t="inlineStr">
        <is>
          <t>Ram 1200</t>
        </is>
      </c>
      <c r="D194" s="26" t="inlineStr">
        <is>
          <t>ACTIVO</t>
        </is>
      </c>
      <c r="E194" s="28" t="n">
        <v>24</v>
      </c>
      <c r="F194" s="29">
        <f>ROUND(Saldos_Capital_Mensual!I194 + Saldos_Intereses_Mensual!I194, 2)</f>
        <v/>
      </c>
      <c r="G194" s="29">
        <f>ROUND(Saldos_Capital_Mensual!J194 + Saldos_Intereses_Mensual!J194, 2)</f>
        <v/>
      </c>
      <c r="H194" s="29">
        <f>ROUND(Saldos_Capital_Mensual!K194 + Saldos_Intereses_Mensual!K194, 2)</f>
        <v/>
      </c>
      <c r="I194" s="29">
        <f>ROUND(Saldos_Capital_Mensual!L194 + Saldos_Intereses_Mensual!L194, 2)</f>
        <v/>
      </c>
      <c r="J194" s="29">
        <f>ROUND(Saldos_Capital_Mensual!M194 + Saldos_Intereses_Mensual!M194, 2)</f>
        <v/>
      </c>
      <c r="K194" s="29">
        <f>ROUND(Saldos_Capital_Mensual!N194 + Saldos_Intereses_Mensual!N194, 2)</f>
        <v/>
      </c>
      <c r="L194" s="29">
        <f>ROUND(Saldos_Capital_Mensual!O194 + Saldos_Intereses_Mensual!O194, 2)</f>
        <v/>
      </c>
      <c r="M194" s="29">
        <f>ROUND(Saldos_Capital_Mensual!P194 + Saldos_Intereses_Mensual!P194, 2)</f>
        <v/>
      </c>
      <c r="N194" s="29">
        <f>ROUND(Saldos_Capital_Mensual!Q194 + Saldos_Intereses_Mensual!Q194, 2)</f>
        <v/>
      </c>
      <c r="O194" s="29">
        <f>ROUND(Saldos_Capital_Mensual!R194 + Saldos_Intereses_Mensual!R194, 2)</f>
        <v/>
      </c>
      <c r="P194" s="29">
        <f>ROUND(Saldos_Capital_Mensual!S194 + Saldos_Intereses_Mensual!S194, 2)</f>
        <v/>
      </c>
      <c r="Q194" s="29">
        <f>ROUND(Saldos_Capital_Mensual!T194 + Saldos_Intereses_Mensual!T194, 2)</f>
        <v/>
      </c>
      <c r="R194" s="29">
        <f>MAX(F194:Q194)</f>
        <v/>
      </c>
    </row>
    <row r="195">
      <c r="A195" s="20" t="inlineStr">
        <is>
          <t>0714-0001</t>
        </is>
      </c>
      <c r="B195" s="21" t="inlineStr">
        <is>
          <t>Celeste Capital Aj</t>
        </is>
      </c>
      <c r="C195" s="21" t="inlineStr">
        <is>
          <t>Wrangler 4Xe</t>
        </is>
      </c>
      <c r="D195" s="20" t="inlineStr">
        <is>
          <t>ACTIVO</t>
        </is>
      </c>
      <c r="E195" s="22" t="n">
        <v>48</v>
      </c>
      <c r="F195" s="23">
        <f>ROUND(Saldos_Capital_Mensual!I195 + Saldos_Intereses_Mensual!I195, 2)</f>
        <v/>
      </c>
      <c r="G195" s="23">
        <f>ROUND(Saldos_Capital_Mensual!J195 + Saldos_Intereses_Mensual!J195, 2)</f>
        <v/>
      </c>
      <c r="H195" s="23">
        <f>ROUND(Saldos_Capital_Mensual!K195 + Saldos_Intereses_Mensual!K195, 2)</f>
        <v/>
      </c>
      <c r="I195" s="23">
        <f>ROUND(Saldos_Capital_Mensual!L195 + Saldos_Intereses_Mensual!L195, 2)</f>
        <v/>
      </c>
      <c r="J195" s="23">
        <f>ROUND(Saldos_Capital_Mensual!M195 + Saldos_Intereses_Mensual!M195, 2)</f>
        <v/>
      </c>
      <c r="K195" s="23">
        <f>ROUND(Saldos_Capital_Mensual!N195 + Saldos_Intereses_Mensual!N195, 2)</f>
        <v/>
      </c>
      <c r="L195" s="23">
        <f>ROUND(Saldos_Capital_Mensual!O195 + Saldos_Intereses_Mensual!O195, 2)</f>
        <v/>
      </c>
      <c r="M195" s="23">
        <f>ROUND(Saldos_Capital_Mensual!P195 + Saldos_Intereses_Mensual!P195, 2)</f>
        <v/>
      </c>
      <c r="N195" s="23">
        <f>ROUND(Saldos_Capital_Mensual!Q195 + Saldos_Intereses_Mensual!Q195, 2)</f>
        <v/>
      </c>
      <c r="O195" s="23">
        <f>ROUND(Saldos_Capital_Mensual!R195 + Saldos_Intereses_Mensual!R195, 2)</f>
        <v/>
      </c>
      <c r="P195" s="23">
        <f>ROUND(Saldos_Capital_Mensual!S195 + Saldos_Intereses_Mensual!S195, 2)</f>
        <v/>
      </c>
      <c r="Q195" s="23">
        <f>ROUND(Saldos_Capital_Mensual!T195 + Saldos_Intereses_Mensual!T195, 2)</f>
        <v/>
      </c>
      <c r="R195" s="23">
        <f>MAX(F195:Q195)</f>
        <v/>
      </c>
    </row>
    <row r="196">
      <c r="A196" s="26" t="inlineStr">
        <is>
          <t>0715-0001</t>
        </is>
      </c>
      <c r="B196" s="27" t="inlineStr">
        <is>
          <t>Jose de Jesus Serrano Sanchez</t>
        </is>
      </c>
      <c r="C196" s="27" t="inlineStr">
        <is>
          <t>Ram 1200</t>
        </is>
      </c>
      <c r="D196" s="26" t="inlineStr">
        <is>
          <t>ACTIVO</t>
        </is>
      </c>
      <c r="E196" s="28" t="n">
        <v>48</v>
      </c>
      <c r="F196" s="29">
        <f>ROUND(Saldos_Capital_Mensual!I196 + Saldos_Intereses_Mensual!I196, 2)</f>
        <v/>
      </c>
      <c r="G196" s="29">
        <f>ROUND(Saldos_Capital_Mensual!J196 + Saldos_Intereses_Mensual!J196, 2)</f>
        <v/>
      </c>
      <c r="H196" s="29">
        <f>ROUND(Saldos_Capital_Mensual!K196 + Saldos_Intereses_Mensual!K196, 2)</f>
        <v/>
      </c>
      <c r="I196" s="29">
        <f>ROUND(Saldos_Capital_Mensual!L196 + Saldos_Intereses_Mensual!L196, 2)</f>
        <v/>
      </c>
      <c r="J196" s="29">
        <f>ROUND(Saldos_Capital_Mensual!M196 + Saldos_Intereses_Mensual!M196, 2)</f>
        <v/>
      </c>
      <c r="K196" s="29">
        <f>ROUND(Saldos_Capital_Mensual!N196 + Saldos_Intereses_Mensual!N196, 2)</f>
        <v/>
      </c>
      <c r="L196" s="29">
        <f>ROUND(Saldos_Capital_Mensual!O196 + Saldos_Intereses_Mensual!O196, 2)</f>
        <v/>
      </c>
      <c r="M196" s="29">
        <f>ROUND(Saldos_Capital_Mensual!P196 + Saldos_Intereses_Mensual!P196, 2)</f>
        <v/>
      </c>
      <c r="N196" s="29">
        <f>ROUND(Saldos_Capital_Mensual!Q196 + Saldos_Intereses_Mensual!Q196, 2)</f>
        <v/>
      </c>
      <c r="O196" s="29">
        <f>ROUND(Saldos_Capital_Mensual!R196 + Saldos_Intereses_Mensual!R196, 2)</f>
        <v/>
      </c>
      <c r="P196" s="29">
        <f>ROUND(Saldos_Capital_Mensual!S196 + Saldos_Intereses_Mensual!S196, 2)</f>
        <v/>
      </c>
      <c r="Q196" s="29">
        <f>ROUND(Saldos_Capital_Mensual!T196 + Saldos_Intereses_Mensual!T196, 2)</f>
        <v/>
      </c>
      <c r="R196" s="29">
        <f>MAX(F196:Q196)</f>
        <v/>
      </c>
    </row>
    <row r="197">
      <c r="A197" s="20" t="inlineStr">
        <is>
          <t>0716-0001</t>
        </is>
      </c>
      <c r="B197" s="21" t="inlineStr">
        <is>
          <t>Mayoristas Asociados en Servicio Celular SA de CV</t>
        </is>
      </c>
      <c r="C197" s="21" t="inlineStr">
        <is>
          <t>Wrangler Unlimited Rubicon</t>
        </is>
      </c>
      <c r="D197" s="20" t="inlineStr">
        <is>
          <t>ACTIVO</t>
        </is>
      </c>
      <c r="E197" s="22" t="n">
        <v>24</v>
      </c>
      <c r="F197" s="23">
        <f>ROUND(Saldos_Capital_Mensual!I197 + Saldos_Intereses_Mensual!I197, 2)</f>
        <v/>
      </c>
      <c r="G197" s="23">
        <f>ROUND(Saldos_Capital_Mensual!J197 + Saldos_Intereses_Mensual!J197, 2)</f>
        <v/>
      </c>
      <c r="H197" s="23">
        <f>ROUND(Saldos_Capital_Mensual!K197 + Saldos_Intereses_Mensual!K197, 2)</f>
        <v/>
      </c>
      <c r="I197" s="23">
        <f>ROUND(Saldos_Capital_Mensual!L197 + Saldos_Intereses_Mensual!L197, 2)</f>
        <v/>
      </c>
      <c r="J197" s="23">
        <f>ROUND(Saldos_Capital_Mensual!M197 + Saldos_Intereses_Mensual!M197, 2)</f>
        <v/>
      </c>
      <c r="K197" s="23">
        <f>ROUND(Saldos_Capital_Mensual!N197 + Saldos_Intereses_Mensual!N197, 2)</f>
        <v/>
      </c>
      <c r="L197" s="23">
        <f>ROUND(Saldos_Capital_Mensual!O197 + Saldos_Intereses_Mensual!O197, 2)</f>
        <v/>
      </c>
      <c r="M197" s="23">
        <f>ROUND(Saldos_Capital_Mensual!P197 + Saldos_Intereses_Mensual!P197, 2)</f>
        <v/>
      </c>
      <c r="N197" s="23">
        <f>ROUND(Saldos_Capital_Mensual!Q197 + Saldos_Intereses_Mensual!Q197, 2)</f>
        <v/>
      </c>
      <c r="O197" s="23">
        <f>ROUND(Saldos_Capital_Mensual!R197 + Saldos_Intereses_Mensual!R197, 2)</f>
        <v/>
      </c>
      <c r="P197" s="23">
        <f>ROUND(Saldos_Capital_Mensual!S197 + Saldos_Intereses_Mensual!S197, 2)</f>
        <v/>
      </c>
      <c r="Q197" s="23">
        <f>ROUND(Saldos_Capital_Mensual!T197 + Saldos_Intereses_Mensual!T197, 2)</f>
        <v/>
      </c>
      <c r="R197" s="23">
        <f>MAX(F197:Q197)</f>
        <v/>
      </c>
    </row>
    <row r="198">
      <c r="A198" s="26" t="inlineStr">
        <is>
          <t>0716-0002</t>
        </is>
      </c>
      <c r="B198" s="27" t="inlineStr">
        <is>
          <t>Mayoristas Asociados en Servicio Celular SA de CV</t>
        </is>
      </c>
      <c r="C198" s="27" t="inlineStr">
        <is>
          <t>EX30</t>
        </is>
      </c>
      <c r="D198" s="26" t="inlineStr">
        <is>
          <t>ACTIVO</t>
        </is>
      </c>
      <c r="E198" s="28" t="n">
        <v>24</v>
      </c>
      <c r="F198" s="29">
        <f>ROUND(Saldos_Capital_Mensual!I198 + Saldos_Intereses_Mensual!I198, 2)</f>
        <v/>
      </c>
      <c r="G198" s="29">
        <f>ROUND(Saldos_Capital_Mensual!J198 + Saldos_Intereses_Mensual!J198, 2)</f>
        <v/>
      </c>
      <c r="H198" s="29">
        <f>ROUND(Saldos_Capital_Mensual!K198 + Saldos_Intereses_Mensual!K198, 2)</f>
        <v/>
      </c>
      <c r="I198" s="29">
        <f>ROUND(Saldos_Capital_Mensual!L198 + Saldos_Intereses_Mensual!L198, 2)</f>
        <v/>
      </c>
      <c r="J198" s="29">
        <f>ROUND(Saldos_Capital_Mensual!M198 + Saldos_Intereses_Mensual!M198, 2)</f>
        <v/>
      </c>
      <c r="K198" s="29">
        <f>ROUND(Saldos_Capital_Mensual!N198 + Saldos_Intereses_Mensual!N198, 2)</f>
        <v/>
      </c>
      <c r="L198" s="29">
        <f>ROUND(Saldos_Capital_Mensual!O198 + Saldos_Intereses_Mensual!O198, 2)</f>
        <v/>
      </c>
      <c r="M198" s="29">
        <f>ROUND(Saldos_Capital_Mensual!P198 + Saldos_Intereses_Mensual!P198, 2)</f>
        <v/>
      </c>
      <c r="N198" s="29">
        <f>ROUND(Saldos_Capital_Mensual!Q198 + Saldos_Intereses_Mensual!Q198, 2)</f>
        <v/>
      </c>
      <c r="O198" s="29">
        <f>ROUND(Saldos_Capital_Mensual!R198 + Saldos_Intereses_Mensual!R198, 2)</f>
        <v/>
      </c>
      <c r="P198" s="29">
        <f>ROUND(Saldos_Capital_Mensual!S198 + Saldos_Intereses_Mensual!S198, 2)</f>
        <v/>
      </c>
      <c r="Q198" s="29">
        <f>ROUND(Saldos_Capital_Mensual!T198 + Saldos_Intereses_Mensual!T198, 2)</f>
        <v/>
      </c>
      <c r="R198" s="29">
        <f>MAX(F198:Q198)</f>
        <v/>
      </c>
    </row>
    <row r="199">
      <c r="A199" s="20" t="inlineStr">
        <is>
          <t>0716-0003</t>
        </is>
      </c>
      <c r="B199" s="21" t="inlineStr">
        <is>
          <t>Mayoristas Asociados en Servicio Celular SA de CV</t>
        </is>
      </c>
      <c r="C199" s="21" t="inlineStr">
        <is>
          <t>Bronco</t>
        </is>
      </c>
      <c r="D199" s="20" t="inlineStr">
        <is>
          <t>ACTIVO</t>
        </is>
      </c>
      <c r="E199" s="22" t="n">
        <v>24</v>
      </c>
      <c r="F199" s="23">
        <f>ROUND(Saldos_Capital_Mensual!I199 + Saldos_Intereses_Mensual!I199, 2)</f>
        <v/>
      </c>
      <c r="G199" s="23">
        <f>ROUND(Saldos_Capital_Mensual!J199 + Saldos_Intereses_Mensual!J199, 2)</f>
        <v/>
      </c>
      <c r="H199" s="23">
        <f>ROUND(Saldos_Capital_Mensual!K199 + Saldos_Intereses_Mensual!K199, 2)</f>
        <v/>
      </c>
      <c r="I199" s="23">
        <f>ROUND(Saldos_Capital_Mensual!L199 + Saldos_Intereses_Mensual!L199, 2)</f>
        <v/>
      </c>
      <c r="J199" s="23">
        <f>ROUND(Saldos_Capital_Mensual!M199 + Saldos_Intereses_Mensual!M199, 2)</f>
        <v/>
      </c>
      <c r="K199" s="23">
        <f>ROUND(Saldos_Capital_Mensual!N199 + Saldos_Intereses_Mensual!N199, 2)</f>
        <v/>
      </c>
      <c r="L199" s="23">
        <f>ROUND(Saldos_Capital_Mensual!O199 + Saldos_Intereses_Mensual!O199, 2)</f>
        <v/>
      </c>
      <c r="M199" s="23">
        <f>ROUND(Saldos_Capital_Mensual!P199 + Saldos_Intereses_Mensual!P199, 2)</f>
        <v/>
      </c>
      <c r="N199" s="23">
        <f>ROUND(Saldos_Capital_Mensual!Q199 + Saldos_Intereses_Mensual!Q199, 2)</f>
        <v/>
      </c>
      <c r="O199" s="23">
        <f>ROUND(Saldos_Capital_Mensual!R199 + Saldos_Intereses_Mensual!R199, 2)</f>
        <v/>
      </c>
      <c r="P199" s="23">
        <f>ROUND(Saldos_Capital_Mensual!S199 + Saldos_Intereses_Mensual!S199, 2)</f>
        <v/>
      </c>
      <c r="Q199" s="23">
        <f>ROUND(Saldos_Capital_Mensual!T199 + Saldos_Intereses_Mensual!T199, 2)</f>
        <v/>
      </c>
      <c r="R199" s="23">
        <f>MAX(F199:Q199)</f>
        <v/>
      </c>
    </row>
    <row r="200">
      <c r="A200" s="26" t="inlineStr">
        <is>
          <t>0717-0001</t>
        </is>
      </c>
      <c r="B200" s="27" t="inlineStr">
        <is>
          <t>Refaccionaria San Diego SA de CV</t>
        </is>
      </c>
      <c r="C200" s="27" t="inlineStr">
        <is>
          <t>Partner Rapid</t>
        </is>
      </c>
      <c r="D200" s="26" t="inlineStr">
        <is>
          <t>ACTIVO</t>
        </is>
      </c>
      <c r="E200" s="28" t="n">
        <v>48</v>
      </c>
      <c r="F200" s="29">
        <f>ROUND(Saldos_Capital_Mensual!I200 + Saldos_Intereses_Mensual!I200, 2)</f>
        <v/>
      </c>
      <c r="G200" s="29">
        <f>ROUND(Saldos_Capital_Mensual!J200 + Saldos_Intereses_Mensual!J200, 2)</f>
        <v/>
      </c>
      <c r="H200" s="29">
        <f>ROUND(Saldos_Capital_Mensual!K200 + Saldos_Intereses_Mensual!K200, 2)</f>
        <v/>
      </c>
      <c r="I200" s="29">
        <f>ROUND(Saldos_Capital_Mensual!L200 + Saldos_Intereses_Mensual!L200, 2)</f>
        <v/>
      </c>
      <c r="J200" s="29">
        <f>ROUND(Saldos_Capital_Mensual!M200 + Saldos_Intereses_Mensual!M200, 2)</f>
        <v/>
      </c>
      <c r="K200" s="29">
        <f>ROUND(Saldos_Capital_Mensual!N200 + Saldos_Intereses_Mensual!N200, 2)</f>
        <v/>
      </c>
      <c r="L200" s="29">
        <f>ROUND(Saldos_Capital_Mensual!O200 + Saldos_Intereses_Mensual!O200, 2)</f>
        <v/>
      </c>
      <c r="M200" s="29">
        <f>ROUND(Saldos_Capital_Mensual!P200 + Saldos_Intereses_Mensual!P200, 2)</f>
        <v/>
      </c>
      <c r="N200" s="29">
        <f>ROUND(Saldos_Capital_Mensual!Q200 + Saldos_Intereses_Mensual!Q200, 2)</f>
        <v/>
      </c>
      <c r="O200" s="29">
        <f>ROUND(Saldos_Capital_Mensual!R200 + Saldos_Intereses_Mensual!R200, 2)</f>
        <v/>
      </c>
      <c r="P200" s="29">
        <f>ROUND(Saldos_Capital_Mensual!S200 + Saldos_Intereses_Mensual!S200, 2)</f>
        <v/>
      </c>
      <c r="Q200" s="29">
        <f>ROUND(Saldos_Capital_Mensual!T200 + Saldos_Intereses_Mensual!T200, 2)</f>
        <v/>
      </c>
      <c r="R200" s="29">
        <f>MAX(F200:Q200)</f>
        <v/>
      </c>
    </row>
    <row r="201">
      <c r="A201" s="20" t="inlineStr">
        <is>
          <t>0718-0001</t>
        </is>
      </c>
      <c r="B201" s="21" t="inlineStr">
        <is>
          <t>Capriberrys</t>
        </is>
      </c>
      <c r="C201" s="21" t="inlineStr">
        <is>
          <t>Jt Mojave</t>
        </is>
      </c>
      <c r="D201" s="20" t="inlineStr">
        <is>
          <t>ACTIVO</t>
        </is>
      </c>
      <c r="E201" s="22" t="n">
        <v>24</v>
      </c>
      <c r="F201" s="23">
        <f>ROUND(Saldos_Capital_Mensual!I201 + Saldos_Intereses_Mensual!I201, 2)</f>
        <v/>
      </c>
      <c r="G201" s="23">
        <f>ROUND(Saldos_Capital_Mensual!J201 + Saldos_Intereses_Mensual!J201, 2)</f>
        <v/>
      </c>
      <c r="H201" s="23">
        <f>ROUND(Saldos_Capital_Mensual!K201 + Saldos_Intereses_Mensual!K201, 2)</f>
        <v/>
      </c>
      <c r="I201" s="23">
        <f>ROUND(Saldos_Capital_Mensual!L201 + Saldos_Intereses_Mensual!L201, 2)</f>
        <v/>
      </c>
      <c r="J201" s="23">
        <f>ROUND(Saldos_Capital_Mensual!M201 + Saldos_Intereses_Mensual!M201, 2)</f>
        <v/>
      </c>
      <c r="K201" s="23">
        <f>ROUND(Saldos_Capital_Mensual!N201 + Saldos_Intereses_Mensual!N201, 2)</f>
        <v/>
      </c>
      <c r="L201" s="23">
        <f>ROUND(Saldos_Capital_Mensual!O201 + Saldos_Intereses_Mensual!O201, 2)</f>
        <v/>
      </c>
      <c r="M201" s="23">
        <f>ROUND(Saldos_Capital_Mensual!P201 + Saldos_Intereses_Mensual!P201, 2)</f>
        <v/>
      </c>
      <c r="N201" s="23">
        <f>ROUND(Saldos_Capital_Mensual!Q201 + Saldos_Intereses_Mensual!Q201, 2)</f>
        <v/>
      </c>
      <c r="O201" s="23">
        <f>ROUND(Saldos_Capital_Mensual!R201 + Saldos_Intereses_Mensual!R201, 2)</f>
        <v/>
      </c>
      <c r="P201" s="23">
        <f>ROUND(Saldos_Capital_Mensual!S201 + Saldos_Intereses_Mensual!S201, 2)</f>
        <v/>
      </c>
      <c r="Q201" s="23">
        <f>ROUND(Saldos_Capital_Mensual!T201 + Saldos_Intereses_Mensual!T201, 2)</f>
        <v/>
      </c>
      <c r="R201" s="23">
        <f>MAX(F201:Q201)</f>
        <v/>
      </c>
    </row>
    <row r="202">
      <c r="A202" s="26" t="inlineStr">
        <is>
          <t>0719-0001</t>
        </is>
      </c>
      <c r="B202" s="27" t="inlineStr">
        <is>
          <t>Maria de Los Angeles Lopez Janeiro</t>
        </is>
      </c>
      <c r="C202" s="27" t="inlineStr">
        <is>
          <t>Rifter</t>
        </is>
      </c>
      <c r="D202" s="26" t="inlineStr">
        <is>
          <t>ACTIVO</t>
        </is>
      </c>
      <c r="E202" s="28" t="n">
        <v>36</v>
      </c>
      <c r="F202" s="29">
        <f>ROUND(Saldos_Capital_Mensual!I202 + Saldos_Intereses_Mensual!I202, 2)</f>
        <v/>
      </c>
      <c r="G202" s="29">
        <f>ROUND(Saldos_Capital_Mensual!J202 + Saldos_Intereses_Mensual!J202, 2)</f>
        <v/>
      </c>
      <c r="H202" s="29">
        <f>ROUND(Saldos_Capital_Mensual!K202 + Saldos_Intereses_Mensual!K202, 2)</f>
        <v/>
      </c>
      <c r="I202" s="29">
        <f>ROUND(Saldos_Capital_Mensual!L202 + Saldos_Intereses_Mensual!L202, 2)</f>
        <v/>
      </c>
      <c r="J202" s="29">
        <f>ROUND(Saldos_Capital_Mensual!M202 + Saldos_Intereses_Mensual!M202, 2)</f>
        <v/>
      </c>
      <c r="K202" s="29">
        <f>ROUND(Saldos_Capital_Mensual!N202 + Saldos_Intereses_Mensual!N202, 2)</f>
        <v/>
      </c>
      <c r="L202" s="29">
        <f>ROUND(Saldos_Capital_Mensual!O202 + Saldos_Intereses_Mensual!O202, 2)</f>
        <v/>
      </c>
      <c r="M202" s="29">
        <f>ROUND(Saldos_Capital_Mensual!P202 + Saldos_Intereses_Mensual!P202, 2)</f>
        <v/>
      </c>
      <c r="N202" s="29">
        <f>ROUND(Saldos_Capital_Mensual!Q202 + Saldos_Intereses_Mensual!Q202, 2)</f>
        <v/>
      </c>
      <c r="O202" s="29">
        <f>ROUND(Saldos_Capital_Mensual!R202 + Saldos_Intereses_Mensual!R202, 2)</f>
        <v/>
      </c>
      <c r="P202" s="29">
        <f>ROUND(Saldos_Capital_Mensual!S202 + Saldos_Intereses_Mensual!S202, 2)</f>
        <v/>
      </c>
      <c r="Q202" s="29">
        <f>ROUND(Saldos_Capital_Mensual!T202 + Saldos_Intereses_Mensual!T202, 2)</f>
        <v/>
      </c>
      <c r="R202" s="29">
        <f>MAX(F202:Q202)</f>
        <v/>
      </c>
    </row>
    <row r="203">
      <c r="A203" s="20" t="inlineStr">
        <is>
          <t>0720-0001</t>
        </is>
      </c>
      <c r="B203" s="21" t="inlineStr">
        <is>
          <t>Forrajes Los 6 Hermanos S.P.R. DE R.L.</t>
        </is>
      </c>
      <c r="C203" s="21" t="inlineStr">
        <is>
          <t>Shark</t>
        </is>
      </c>
      <c r="D203" s="20" t="inlineStr">
        <is>
          <t>ACTIVO</t>
        </is>
      </c>
      <c r="E203" s="22" t="n">
        <v>36</v>
      </c>
      <c r="F203" s="23">
        <f>ROUND(Saldos_Capital_Mensual!I203 + Saldos_Intereses_Mensual!I203, 2)</f>
        <v/>
      </c>
      <c r="G203" s="23">
        <f>ROUND(Saldos_Capital_Mensual!J203 + Saldos_Intereses_Mensual!J203, 2)</f>
        <v/>
      </c>
      <c r="H203" s="23">
        <f>ROUND(Saldos_Capital_Mensual!K203 + Saldos_Intereses_Mensual!K203, 2)</f>
        <v/>
      </c>
      <c r="I203" s="23">
        <f>ROUND(Saldos_Capital_Mensual!L203 + Saldos_Intereses_Mensual!L203, 2)</f>
        <v/>
      </c>
      <c r="J203" s="23">
        <f>ROUND(Saldos_Capital_Mensual!M203 + Saldos_Intereses_Mensual!M203, 2)</f>
        <v/>
      </c>
      <c r="K203" s="23">
        <f>ROUND(Saldos_Capital_Mensual!N203 + Saldos_Intereses_Mensual!N203, 2)</f>
        <v/>
      </c>
      <c r="L203" s="23">
        <f>ROUND(Saldos_Capital_Mensual!O203 + Saldos_Intereses_Mensual!O203, 2)</f>
        <v/>
      </c>
      <c r="M203" s="23">
        <f>ROUND(Saldos_Capital_Mensual!P203 + Saldos_Intereses_Mensual!P203, 2)</f>
        <v/>
      </c>
      <c r="N203" s="23">
        <f>ROUND(Saldos_Capital_Mensual!Q203 + Saldos_Intereses_Mensual!Q203, 2)</f>
        <v/>
      </c>
      <c r="O203" s="23">
        <f>ROUND(Saldos_Capital_Mensual!R203 + Saldos_Intereses_Mensual!R203, 2)</f>
        <v/>
      </c>
      <c r="P203" s="23">
        <f>ROUND(Saldos_Capital_Mensual!S203 + Saldos_Intereses_Mensual!S203, 2)</f>
        <v/>
      </c>
      <c r="Q203" s="23">
        <f>ROUND(Saldos_Capital_Mensual!T203 + Saldos_Intereses_Mensual!T203, 2)</f>
        <v/>
      </c>
      <c r="R203" s="23">
        <f>MAX(F203:Q203)</f>
        <v/>
      </c>
    </row>
    <row r="204">
      <c r="A204" s="26" t="inlineStr">
        <is>
          <t>0721-0001</t>
        </is>
      </c>
      <c r="B204" s="27" t="inlineStr">
        <is>
          <t>Ricardo Ortiz Guzman</t>
        </is>
      </c>
      <c r="C204" s="27" t="inlineStr">
        <is>
          <t>Rifter</t>
        </is>
      </c>
      <c r="D204" s="26" t="inlineStr">
        <is>
          <t>ACTIVO</t>
        </is>
      </c>
      <c r="E204" s="28" t="n">
        <v>48</v>
      </c>
      <c r="F204" s="29">
        <f>ROUND(Saldos_Capital_Mensual!I204 + Saldos_Intereses_Mensual!I204, 2)</f>
        <v/>
      </c>
      <c r="G204" s="29">
        <f>ROUND(Saldos_Capital_Mensual!J204 + Saldos_Intereses_Mensual!J204, 2)</f>
        <v/>
      </c>
      <c r="H204" s="29">
        <f>ROUND(Saldos_Capital_Mensual!K204 + Saldos_Intereses_Mensual!K204, 2)</f>
        <v/>
      </c>
      <c r="I204" s="29">
        <f>ROUND(Saldos_Capital_Mensual!L204 + Saldos_Intereses_Mensual!L204, 2)</f>
        <v/>
      </c>
      <c r="J204" s="29">
        <f>ROUND(Saldos_Capital_Mensual!M204 + Saldos_Intereses_Mensual!M204, 2)</f>
        <v/>
      </c>
      <c r="K204" s="29">
        <f>ROUND(Saldos_Capital_Mensual!N204 + Saldos_Intereses_Mensual!N204, 2)</f>
        <v/>
      </c>
      <c r="L204" s="29">
        <f>ROUND(Saldos_Capital_Mensual!O204 + Saldos_Intereses_Mensual!O204, 2)</f>
        <v/>
      </c>
      <c r="M204" s="29">
        <f>ROUND(Saldos_Capital_Mensual!P204 + Saldos_Intereses_Mensual!P204, 2)</f>
        <v/>
      </c>
      <c r="N204" s="29">
        <f>ROUND(Saldos_Capital_Mensual!Q204 + Saldos_Intereses_Mensual!Q204, 2)</f>
        <v/>
      </c>
      <c r="O204" s="29">
        <f>ROUND(Saldos_Capital_Mensual!R204 + Saldos_Intereses_Mensual!R204, 2)</f>
        <v/>
      </c>
      <c r="P204" s="29">
        <f>ROUND(Saldos_Capital_Mensual!S204 + Saldos_Intereses_Mensual!S204, 2)</f>
        <v/>
      </c>
      <c r="Q204" s="29">
        <f>ROUND(Saldos_Capital_Mensual!T204 + Saldos_Intereses_Mensual!T204, 2)</f>
        <v/>
      </c>
      <c r="R204" s="29">
        <f>MAX(F204:Q204)</f>
        <v/>
      </c>
    </row>
    <row r="205">
      <c r="A205" s="20" t="inlineStr">
        <is>
          <t>0721-0002</t>
        </is>
      </c>
      <c r="B205" s="21" t="inlineStr">
        <is>
          <t>Ricardo Ortiz Guzman</t>
        </is>
      </c>
      <c r="C205" s="21" t="inlineStr">
        <is>
          <t>CX5</t>
        </is>
      </c>
      <c r="D205" s="20" t="inlineStr">
        <is>
          <t>ACTIVO</t>
        </is>
      </c>
      <c r="E205" s="22" t="n">
        <v>48</v>
      </c>
      <c r="F205" s="23">
        <f>ROUND(Saldos_Capital_Mensual!I205 + Saldos_Intereses_Mensual!I205, 2)</f>
        <v/>
      </c>
      <c r="G205" s="23">
        <f>ROUND(Saldos_Capital_Mensual!J205 + Saldos_Intereses_Mensual!J205, 2)</f>
        <v/>
      </c>
      <c r="H205" s="23">
        <f>ROUND(Saldos_Capital_Mensual!K205 + Saldos_Intereses_Mensual!K205, 2)</f>
        <v/>
      </c>
      <c r="I205" s="23">
        <f>ROUND(Saldos_Capital_Mensual!L205 + Saldos_Intereses_Mensual!L205, 2)</f>
        <v/>
      </c>
      <c r="J205" s="23">
        <f>ROUND(Saldos_Capital_Mensual!M205 + Saldos_Intereses_Mensual!M205, 2)</f>
        <v/>
      </c>
      <c r="K205" s="23">
        <f>ROUND(Saldos_Capital_Mensual!N205 + Saldos_Intereses_Mensual!N205, 2)</f>
        <v/>
      </c>
      <c r="L205" s="23">
        <f>ROUND(Saldos_Capital_Mensual!O205 + Saldos_Intereses_Mensual!O205, 2)</f>
        <v/>
      </c>
      <c r="M205" s="23">
        <f>ROUND(Saldos_Capital_Mensual!P205 + Saldos_Intereses_Mensual!P205, 2)</f>
        <v/>
      </c>
      <c r="N205" s="23">
        <f>ROUND(Saldos_Capital_Mensual!Q205 + Saldos_Intereses_Mensual!Q205, 2)</f>
        <v/>
      </c>
      <c r="O205" s="23">
        <f>ROUND(Saldos_Capital_Mensual!R205 + Saldos_Intereses_Mensual!R205, 2)</f>
        <v/>
      </c>
      <c r="P205" s="23">
        <f>ROUND(Saldos_Capital_Mensual!S205 + Saldos_Intereses_Mensual!S205, 2)</f>
        <v/>
      </c>
      <c r="Q205" s="23">
        <f>ROUND(Saldos_Capital_Mensual!T205 + Saldos_Intereses_Mensual!T205, 2)</f>
        <v/>
      </c>
      <c r="R205" s="23">
        <f>MAX(F205:Q205)</f>
        <v/>
      </c>
    </row>
    <row r="206">
      <c r="A206" s="26" t="inlineStr">
        <is>
          <t>0722-0001</t>
        </is>
      </c>
      <c r="B206" s="27" t="inlineStr">
        <is>
          <t>Tortas Ro S. DE R.L. DE C.V.</t>
        </is>
      </c>
      <c r="C206" s="27" t="inlineStr">
        <is>
          <t>Partner</t>
        </is>
      </c>
      <c r="D206" s="26" t="inlineStr">
        <is>
          <t>ACTIVO</t>
        </is>
      </c>
      <c r="E206" s="28" t="n">
        <v>24</v>
      </c>
      <c r="F206" s="29">
        <f>ROUND(Saldos_Capital_Mensual!I206 + Saldos_Intereses_Mensual!I206, 2)</f>
        <v/>
      </c>
      <c r="G206" s="29">
        <f>ROUND(Saldos_Capital_Mensual!J206 + Saldos_Intereses_Mensual!J206, 2)</f>
        <v/>
      </c>
      <c r="H206" s="29">
        <f>ROUND(Saldos_Capital_Mensual!K206 + Saldos_Intereses_Mensual!K206, 2)</f>
        <v/>
      </c>
      <c r="I206" s="29">
        <f>ROUND(Saldos_Capital_Mensual!L206 + Saldos_Intereses_Mensual!L206, 2)</f>
        <v/>
      </c>
      <c r="J206" s="29">
        <f>ROUND(Saldos_Capital_Mensual!M206 + Saldos_Intereses_Mensual!M206, 2)</f>
        <v/>
      </c>
      <c r="K206" s="29">
        <f>ROUND(Saldos_Capital_Mensual!N206 + Saldos_Intereses_Mensual!N206, 2)</f>
        <v/>
      </c>
      <c r="L206" s="29">
        <f>ROUND(Saldos_Capital_Mensual!O206 + Saldos_Intereses_Mensual!O206, 2)</f>
        <v/>
      </c>
      <c r="M206" s="29">
        <f>ROUND(Saldos_Capital_Mensual!P206 + Saldos_Intereses_Mensual!P206, 2)</f>
        <v/>
      </c>
      <c r="N206" s="29">
        <f>ROUND(Saldos_Capital_Mensual!Q206 + Saldos_Intereses_Mensual!Q206, 2)</f>
        <v/>
      </c>
      <c r="O206" s="29">
        <f>ROUND(Saldos_Capital_Mensual!R206 + Saldos_Intereses_Mensual!R206, 2)</f>
        <v/>
      </c>
      <c r="P206" s="29">
        <f>ROUND(Saldos_Capital_Mensual!S206 + Saldos_Intereses_Mensual!S206, 2)</f>
        <v/>
      </c>
      <c r="Q206" s="29">
        <f>ROUND(Saldos_Capital_Mensual!T206 + Saldos_Intereses_Mensual!T206, 2)</f>
        <v/>
      </c>
      <c r="R206" s="29">
        <f>MAX(F206:Q206)</f>
        <v/>
      </c>
    </row>
    <row r="207">
      <c r="A207" s="20" t="inlineStr">
        <is>
          <t>0723-0001</t>
        </is>
      </c>
      <c r="B207" s="21" t="inlineStr">
        <is>
          <t>Sandra Inez Velazquez Altamirano</t>
        </is>
      </c>
      <c r="C207" s="21" t="inlineStr">
        <is>
          <t>Sierra Denali</t>
        </is>
      </c>
      <c r="D207" s="20" t="inlineStr">
        <is>
          <t>ACTIVO</t>
        </is>
      </c>
      <c r="E207" s="22" t="n">
        <v>36</v>
      </c>
      <c r="F207" s="23">
        <f>ROUND(Saldos_Capital_Mensual!I207 + Saldos_Intereses_Mensual!I207, 2)</f>
        <v/>
      </c>
      <c r="G207" s="23">
        <f>ROUND(Saldos_Capital_Mensual!J207 + Saldos_Intereses_Mensual!J207, 2)</f>
        <v/>
      </c>
      <c r="H207" s="23">
        <f>ROUND(Saldos_Capital_Mensual!K207 + Saldos_Intereses_Mensual!K207, 2)</f>
        <v/>
      </c>
      <c r="I207" s="23">
        <f>ROUND(Saldos_Capital_Mensual!L207 + Saldos_Intereses_Mensual!L207, 2)</f>
        <v/>
      </c>
      <c r="J207" s="23">
        <f>ROUND(Saldos_Capital_Mensual!M207 + Saldos_Intereses_Mensual!M207, 2)</f>
        <v/>
      </c>
      <c r="K207" s="23">
        <f>ROUND(Saldos_Capital_Mensual!N207 + Saldos_Intereses_Mensual!N207, 2)</f>
        <v/>
      </c>
      <c r="L207" s="23">
        <f>ROUND(Saldos_Capital_Mensual!O207 + Saldos_Intereses_Mensual!O207, 2)</f>
        <v/>
      </c>
      <c r="M207" s="23">
        <f>ROUND(Saldos_Capital_Mensual!P207 + Saldos_Intereses_Mensual!P207, 2)</f>
        <v/>
      </c>
      <c r="N207" s="23">
        <f>ROUND(Saldos_Capital_Mensual!Q207 + Saldos_Intereses_Mensual!Q207, 2)</f>
        <v/>
      </c>
      <c r="O207" s="23">
        <f>ROUND(Saldos_Capital_Mensual!R207 + Saldos_Intereses_Mensual!R207, 2)</f>
        <v/>
      </c>
      <c r="P207" s="23">
        <f>ROUND(Saldos_Capital_Mensual!S207 + Saldos_Intereses_Mensual!S207, 2)</f>
        <v/>
      </c>
      <c r="Q207" s="23">
        <f>ROUND(Saldos_Capital_Mensual!T207 + Saldos_Intereses_Mensual!T207, 2)</f>
        <v/>
      </c>
      <c r="R207" s="23">
        <f>MAX(F207:Q207)</f>
        <v/>
      </c>
    </row>
    <row r="208">
      <c r="A208" s="26" t="inlineStr">
        <is>
          <t>0724-0001</t>
        </is>
      </c>
      <c r="B208" s="27" t="inlineStr">
        <is>
          <t>Victor Merced Brizuela Aguilar</t>
        </is>
      </c>
      <c r="C208" s="27" t="inlineStr">
        <is>
          <t>Tiggo 7 Plus</t>
        </is>
      </c>
      <c r="D208" s="26" t="inlineStr">
        <is>
          <t>ACTIVO</t>
        </is>
      </c>
      <c r="E208" s="28" t="n">
        <v>48</v>
      </c>
      <c r="F208" s="29">
        <f>ROUND(Saldos_Capital_Mensual!I208 + Saldos_Intereses_Mensual!I208, 2)</f>
        <v/>
      </c>
      <c r="G208" s="29">
        <f>ROUND(Saldos_Capital_Mensual!J208 + Saldos_Intereses_Mensual!J208, 2)</f>
        <v/>
      </c>
      <c r="H208" s="29">
        <f>ROUND(Saldos_Capital_Mensual!K208 + Saldos_Intereses_Mensual!K208, 2)</f>
        <v/>
      </c>
      <c r="I208" s="29">
        <f>ROUND(Saldos_Capital_Mensual!L208 + Saldos_Intereses_Mensual!L208, 2)</f>
        <v/>
      </c>
      <c r="J208" s="29">
        <f>ROUND(Saldos_Capital_Mensual!M208 + Saldos_Intereses_Mensual!M208, 2)</f>
        <v/>
      </c>
      <c r="K208" s="29">
        <f>ROUND(Saldos_Capital_Mensual!N208 + Saldos_Intereses_Mensual!N208, 2)</f>
        <v/>
      </c>
      <c r="L208" s="29">
        <f>ROUND(Saldos_Capital_Mensual!O208 + Saldos_Intereses_Mensual!O208, 2)</f>
        <v/>
      </c>
      <c r="M208" s="29">
        <f>ROUND(Saldos_Capital_Mensual!P208 + Saldos_Intereses_Mensual!P208, 2)</f>
        <v/>
      </c>
      <c r="N208" s="29">
        <f>ROUND(Saldos_Capital_Mensual!Q208 + Saldos_Intereses_Mensual!Q208, 2)</f>
        <v/>
      </c>
      <c r="O208" s="29">
        <f>ROUND(Saldos_Capital_Mensual!R208 + Saldos_Intereses_Mensual!R208, 2)</f>
        <v/>
      </c>
      <c r="P208" s="29">
        <f>ROUND(Saldos_Capital_Mensual!S208 + Saldos_Intereses_Mensual!S208, 2)</f>
        <v/>
      </c>
      <c r="Q208" s="29">
        <f>ROUND(Saldos_Capital_Mensual!T208 + Saldos_Intereses_Mensual!T208, 2)</f>
        <v/>
      </c>
      <c r="R208" s="29">
        <f>MAX(F208:Q208)</f>
        <v/>
      </c>
    </row>
    <row r="209">
      <c r="A209" s="20" t="inlineStr">
        <is>
          <t>0725-0001</t>
        </is>
      </c>
      <c r="B209" s="21" t="inlineStr">
        <is>
          <t>Octavio Cortes Flores</t>
        </is>
      </c>
      <c r="C209" s="21" t="inlineStr">
        <is>
          <t>Rifter Allure</t>
        </is>
      </c>
      <c r="D209" s="20" t="inlineStr">
        <is>
          <t>ACTIVO</t>
        </is>
      </c>
      <c r="E209" s="22" t="n">
        <v>36</v>
      </c>
      <c r="F209" s="23">
        <f>ROUND(Saldos_Capital_Mensual!I209 + Saldos_Intereses_Mensual!I209, 2)</f>
        <v/>
      </c>
      <c r="G209" s="23">
        <f>ROUND(Saldos_Capital_Mensual!J209 + Saldos_Intereses_Mensual!J209, 2)</f>
        <v/>
      </c>
      <c r="H209" s="23">
        <f>ROUND(Saldos_Capital_Mensual!K209 + Saldos_Intereses_Mensual!K209, 2)</f>
        <v/>
      </c>
      <c r="I209" s="23">
        <f>ROUND(Saldos_Capital_Mensual!L209 + Saldos_Intereses_Mensual!L209, 2)</f>
        <v/>
      </c>
      <c r="J209" s="23">
        <f>ROUND(Saldos_Capital_Mensual!M209 + Saldos_Intereses_Mensual!M209, 2)</f>
        <v/>
      </c>
      <c r="K209" s="23">
        <f>ROUND(Saldos_Capital_Mensual!N209 + Saldos_Intereses_Mensual!N209, 2)</f>
        <v/>
      </c>
      <c r="L209" s="23">
        <f>ROUND(Saldos_Capital_Mensual!O209 + Saldos_Intereses_Mensual!O209, 2)</f>
        <v/>
      </c>
      <c r="M209" s="23">
        <f>ROUND(Saldos_Capital_Mensual!P209 + Saldos_Intereses_Mensual!P209, 2)</f>
        <v/>
      </c>
      <c r="N209" s="23">
        <f>ROUND(Saldos_Capital_Mensual!Q209 + Saldos_Intereses_Mensual!Q209, 2)</f>
        <v/>
      </c>
      <c r="O209" s="23">
        <f>ROUND(Saldos_Capital_Mensual!R209 + Saldos_Intereses_Mensual!R209, 2)</f>
        <v/>
      </c>
      <c r="P209" s="23">
        <f>ROUND(Saldos_Capital_Mensual!S209 + Saldos_Intereses_Mensual!S209, 2)</f>
        <v/>
      </c>
      <c r="Q209" s="23">
        <f>ROUND(Saldos_Capital_Mensual!T209 + Saldos_Intereses_Mensual!T209, 2)</f>
        <v/>
      </c>
      <c r="R209" s="23">
        <f>MAX(F209:Q209)</f>
        <v/>
      </c>
    </row>
    <row r="210">
      <c r="A210" s="26" t="inlineStr">
        <is>
          <t>0726-0001</t>
        </is>
      </c>
      <c r="B210" s="27" t="inlineStr">
        <is>
          <t>Martha Viviana Anguiano Gonzalez</t>
        </is>
      </c>
      <c r="C210" s="27" t="inlineStr">
        <is>
          <t>JT Mojave</t>
        </is>
      </c>
      <c r="D210" s="26" t="inlineStr">
        <is>
          <t>ACTIVO</t>
        </is>
      </c>
      <c r="E210" s="28" t="n">
        <v>48</v>
      </c>
      <c r="F210" s="29">
        <f>ROUND(Saldos_Capital_Mensual!I210 + Saldos_Intereses_Mensual!I210, 2)</f>
        <v/>
      </c>
      <c r="G210" s="29">
        <f>ROUND(Saldos_Capital_Mensual!J210 + Saldos_Intereses_Mensual!J210, 2)</f>
        <v/>
      </c>
      <c r="H210" s="29">
        <f>ROUND(Saldos_Capital_Mensual!K210 + Saldos_Intereses_Mensual!K210, 2)</f>
        <v/>
      </c>
      <c r="I210" s="29">
        <f>ROUND(Saldos_Capital_Mensual!L210 + Saldos_Intereses_Mensual!L210, 2)</f>
        <v/>
      </c>
      <c r="J210" s="29">
        <f>ROUND(Saldos_Capital_Mensual!M210 + Saldos_Intereses_Mensual!M210, 2)</f>
        <v/>
      </c>
      <c r="K210" s="29">
        <f>ROUND(Saldos_Capital_Mensual!N210 + Saldos_Intereses_Mensual!N210, 2)</f>
        <v/>
      </c>
      <c r="L210" s="29">
        <f>ROUND(Saldos_Capital_Mensual!O210 + Saldos_Intereses_Mensual!O210, 2)</f>
        <v/>
      </c>
      <c r="M210" s="29">
        <f>ROUND(Saldos_Capital_Mensual!P210 + Saldos_Intereses_Mensual!P210, 2)</f>
        <v/>
      </c>
      <c r="N210" s="29">
        <f>ROUND(Saldos_Capital_Mensual!Q210 + Saldos_Intereses_Mensual!Q210, 2)</f>
        <v/>
      </c>
      <c r="O210" s="29">
        <f>ROUND(Saldos_Capital_Mensual!R210 + Saldos_Intereses_Mensual!R210, 2)</f>
        <v/>
      </c>
      <c r="P210" s="29">
        <f>ROUND(Saldos_Capital_Mensual!S210 + Saldos_Intereses_Mensual!S210, 2)</f>
        <v/>
      </c>
      <c r="Q210" s="29">
        <f>ROUND(Saldos_Capital_Mensual!T210 + Saldos_Intereses_Mensual!T210, 2)</f>
        <v/>
      </c>
      <c r="R210" s="29">
        <f>MAX(F210:Q210)</f>
        <v/>
      </c>
    </row>
    <row r="211">
      <c r="A211" s="20" t="inlineStr">
        <is>
          <t>0727-0001</t>
        </is>
      </c>
      <c r="B211" s="21" t="inlineStr">
        <is>
          <t>Edgar Adrian Sainz Vazquez</t>
        </is>
      </c>
      <c r="C211" s="21" t="inlineStr">
        <is>
          <t>1200 Laramie</t>
        </is>
      </c>
      <c r="D211" s="20" t="inlineStr">
        <is>
          <t>ACTIVO</t>
        </is>
      </c>
      <c r="E211" s="22" t="n">
        <v>48</v>
      </c>
      <c r="F211" s="23">
        <f>ROUND(Saldos_Capital_Mensual!I211 + Saldos_Intereses_Mensual!I211, 2)</f>
        <v/>
      </c>
      <c r="G211" s="23">
        <f>ROUND(Saldos_Capital_Mensual!J211 + Saldos_Intereses_Mensual!J211, 2)</f>
        <v/>
      </c>
      <c r="H211" s="23">
        <f>ROUND(Saldos_Capital_Mensual!K211 + Saldos_Intereses_Mensual!K211, 2)</f>
        <v/>
      </c>
      <c r="I211" s="23">
        <f>ROUND(Saldos_Capital_Mensual!L211 + Saldos_Intereses_Mensual!L211, 2)</f>
        <v/>
      </c>
      <c r="J211" s="23">
        <f>ROUND(Saldos_Capital_Mensual!M211 + Saldos_Intereses_Mensual!M211, 2)</f>
        <v/>
      </c>
      <c r="K211" s="23">
        <f>ROUND(Saldos_Capital_Mensual!N211 + Saldos_Intereses_Mensual!N211, 2)</f>
        <v/>
      </c>
      <c r="L211" s="23">
        <f>ROUND(Saldos_Capital_Mensual!O211 + Saldos_Intereses_Mensual!O211, 2)</f>
        <v/>
      </c>
      <c r="M211" s="23">
        <f>ROUND(Saldos_Capital_Mensual!P211 + Saldos_Intereses_Mensual!P211, 2)</f>
        <v/>
      </c>
      <c r="N211" s="23">
        <f>ROUND(Saldos_Capital_Mensual!Q211 + Saldos_Intereses_Mensual!Q211, 2)</f>
        <v/>
      </c>
      <c r="O211" s="23">
        <f>ROUND(Saldos_Capital_Mensual!R211 + Saldos_Intereses_Mensual!R211, 2)</f>
        <v/>
      </c>
      <c r="P211" s="23">
        <f>ROUND(Saldos_Capital_Mensual!S211 + Saldos_Intereses_Mensual!S211, 2)</f>
        <v/>
      </c>
      <c r="Q211" s="23">
        <f>ROUND(Saldos_Capital_Mensual!T211 + Saldos_Intereses_Mensual!T211, 2)</f>
        <v/>
      </c>
      <c r="R211" s="23">
        <f>MAX(F211:Q211)</f>
        <v/>
      </c>
    </row>
    <row r="212">
      <c r="A212" s="26" t="inlineStr">
        <is>
          <t>0728-0001</t>
        </is>
      </c>
      <c r="B212" s="27" t="inlineStr">
        <is>
          <t>Arrendadora Tequila, S.A. de C.V.</t>
        </is>
      </c>
      <c r="C212" s="27" t="inlineStr">
        <is>
          <t>JEEP 392</t>
        </is>
      </c>
      <c r="D212" s="26" t="inlineStr">
        <is>
          <t>ACTIVO</t>
        </is>
      </c>
      <c r="E212" s="28" t="n">
        <v>36</v>
      </c>
      <c r="F212" s="29">
        <f>ROUND(Saldos_Capital_Mensual!I212 + Saldos_Intereses_Mensual!I212, 2)</f>
        <v/>
      </c>
      <c r="G212" s="29">
        <f>ROUND(Saldos_Capital_Mensual!J212 + Saldos_Intereses_Mensual!J212, 2)</f>
        <v/>
      </c>
      <c r="H212" s="29">
        <f>ROUND(Saldos_Capital_Mensual!K212 + Saldos_Intereses_Mensual!K212, 2)</f>
        <v/>
      </c>
      <c r="I212" s="29">
        <f>ROUND(Saldos_Capital_Mensual!L212 + Saldos_Intereses_Mensual!L212, 2)</f>
        <v/>
      </c>
      <c r="J212" s="29">
        <f>ROUND(Saldos_Capital_Mensual!M212 + Saldos_Intereses_Mensual!M212, 2)</f>
        <v/>
      </c>
      <c r="K212" s="29">
        <f>ROUND(Saldos_Capital_Mensual!N212 + Saldos_Intereses_Mensual!N212, 2)</f>
        <v/>
      </c>
      <c r="L212" s="29">
        <f>ROUND(Saldos_Capital_Mensual!O212 + Saldos_Intereses_Mensual!O212, 2)</f>
        <v/>
      </c>
      <c r="M212" s="29">
        <f>ROUND(Saldos_Capital_Mensual!P212 + Saldos_Intereses_Mensual!P212, 2)</f>
        <v/>
      </c>
      <c r="N212" s="29">
        <f>ROUND(Saldos_Capital_Mensual!Q212 + Saldos_Intereses_Mensual!Q212, 2)</f>
        <v/>
      </c>
      <c r="O212" s="29">
        <f>ROUND(Saldos_Capital_Mensual!R212 + Saldos_Intereses_Mensual!R212, 2)</f>
        <v/>
      </c>
      <c r="P212" s="29">
        <f>ROUND(Saldos_Capital_Mensual!S212 + Saldos_Intereses_Mensual!S212, 2)</f>
        <v/>
      </c>
      <c r="Q212" s="29">
        <f>ROUND(Saldos_Capital_Mensual!T212 + Saldos_Intereses_Mensual!T212, 2)</f>
        <v/>
      </c>
      <c r="R212" s="29">
        <f>MAX(F212:Q212)</f>
        <v/>
      </c>
    </row>
    <row r="213">
      <c r="A213" s="20" t="inlineStr">
        <is>
          <t>0729-0001</t>
        </is>
      </c>
      <c r="B213" s="21" t="inlineStr">
        <is>
          <t>Rubén Bravo Hernández</t>
        </is>
      </c>
      <c r="C213" s="21" t="inlineStr">
        <is>
          <t>Mamut T32 DC</t>
        </is>
      </c>
      <c r="D213" s="20" t="inlineStr">
        <is>
          <t>ACTIVO</t>
        </is>
      </c>
      <c r="E213" s="22" t="n">
        <v>36</v>
      </c>
      <c r="F213" s="23">
        <f>ROUND(Saldos_Capital_Mensual!I213 + Saldos_Intereses_Mensual!I213, 2)</f>
        <v/>
      </c>
      <c r="G213" s="23">
        <f>ROUND(Saldos_Capital_Mensual!J213 + Saldos_Intereses_Mensual!J213, 2)</f>
        <v/>
      </c>
      <c r="H213" s="23">
        <f>ROUND(Saldos_Capital_Mensual!K213 + Saldos_Intereses_Mensual!K213, 2)</f>
        <v/>
      </c>
      <c r="I213" s="23">
        <f>ROUND(Saldos_Capital_Mensual!L213 + Saldos_Intereses_Mensual!L213, 2)</f>
        <v/>
      </c>
      <c r="J213" s="23">
        <f>ROUND(Saldos_Capital_Mensual!M213 + Saldos_Intereses_Mensual!M213, 2)</f>
        <v/>
      </c>
      <c r="K213" s="23">
        <f>ROUND(Saldos_Capital_Mensual!N213 + Saldos_Intereses_Mensual!N213, 2)</f>
        <v/>
      </c>
      <c r="L213" s="23">
        <f>ROUND(Saldos_Capital_Mensual!O213 + Saldos_Intereses_Mensual!O213, 2)</f>
        <v/>
      </c>
      <c r="M213" s="23">
        <f>ROUND(Saldos_Capital_Mensual!P213 + Saldos_Intereses_Mensual!P213, 2)</f>
        <v/>
      </c>
      <c r="N213" s="23">
        <f>ROUND(Saldos_Capital_Mensual!Q213 + Saldos_Intereses_Mensual!Q213, 2)</f>
        <v/>
      </c>
      <c r="O213" s="23">
        <f>ROUND(Saldos_Capital_Mensual!R213 + Saldos_Intereses_Mensual!R213, 2)</f>
        <v/>
      </c>
      <c r="P213" s="23">
        <f>ROUND(Saldos_Capital_Mensual!S213 + Saldos_Intereses_Mensual!S213, 2)</f>
        <v/>
      </c>
      <c r="Q213" s="23">
        <f>ROUND(Saldos_Capital_Mensual!T213 + Saldos_Intereses_Mensual!T213, 2)</f>
        <v/>
      </c>
      <c r="R213" s="23">
        <f>MAX(F213:Q213)</f>
        <v/>
      </c>
    </row>
    <row r="214">
      <c r="A214" s="26" t="inlineStr">
        <is>
          <t>0730-0001</t>
        </is>
      </c>
      <c r="B214" s="27" t="inlineStr">
        <is>
          <t>Karen Manrique Amaya</t>
        </is>
      </c>
      <c r="C214" s="27" t="inlineStr">
        <is>
          <t>Wrangler</t>
        </is>
      </c>
      <c r="D214" s="26" t="inlineStr">
        <is>
          <t>ACTIVO</t>
        </is>
      </c>
      <c r="E214" s="28" t="n">
        <v>36</v>
      </c>
      <c r="F214" s="29">
        <f>ROUND(Saldos_Capital_Mensual!I214 + Saldos_Intereses_Mensual!I214, 2)</f>
        <v/>
      </c>
      <c r="G214" s="29">
        <f>ROUND(Saldos_Capital_Mensual!J214 + Saldos_Intereses_Mensual!J214, 2)</f>
        <v/>
      </c>
      <c r="H214" s="29">
        <f>ROUND(Saldos_Capital_Mensual!K214 + Saldos_Intereses_Mensual!K214, 2)</f>
        <v/>
      </c>
      <c r="I214" s="29">
        <f>ROUND(Saldos_Capital_Mensual!L214 + Saldos_Intereses_Mensual!L214, 2)</f>
        <v/>
      </c>
      <c r="J214" s="29">
        <f>ROUND(Saldos_Capital_Mensual!M214 + Saldos_Intereses_Mensual!M214, 2)</f>
        <v/>
      </c>
      <c r="K214" s="29">
        <f>ROUND(Saldos_Capital_Mensual!N214 + Saldos_Intereses_Mensual!N214, 2)</f>
        <v/>
      </c>
      <c r="L214" s="29">
        <f>ROUND(Saldos_Capital_Mensual!O214 + Saldos_Intereses_Mensual!O214, 2)</f>
        <v/>
      </c>
      <c r="M214" s="29">
        <f>ROUND(Saldos_Capital_Mensual!P214 + Saldos_Intereses_Mensual!P214, 2)</f>
        <v/>
      </c>
      <c r="N214" s="29">
        <f>ROUND(Saldos_Capital_Mensual!Q214 + Saldos_Intereses_Mensual!Q214, 2)</f>
        <v/>
      </c>
      <c r="O214" s="29">
        <f>ROUND(Saldos_Capital_Mensual!R214 + Saldos_Intereses_Mensual!R214, 2)</f>
        <v/>
      </c>
      <c r="P214" s="29">
        <f>ROUND(Saldos_Capital_Mensual!S214 + Saldos_Intereses_Mensual!S214, 2)</f>
        <v/>
      </c>
      <c r="Q214" s="29">
        <f>ROUND(Saldos_Capital_Mensual!T214 + Saldos_Intereses_Mensual!T214, 2)</f>
        <v/>
      </c>
      <c r="R214" s="29">
        <f>MAX(F214:Q214)</f>
        <v/>
      </c>
    </row>
    <row r="215">
      <c r="A215" s="20" t="inlineStr">
        <is>
          <t>0731-0001</t>
        </is>
      </c>
      <c r="B215" s="21" t="inlineStr">
        <is>
          <t>Tesselar Soluciones, S.A. de C.V.</t>
        </is>
      </c>
      <c r="C215" s="21" t="inlineStr">
        <is>
          <t>Song Plus</t>
        </is>
      </c>
      <c r="D215" s="20" t="inlineStr">
        <is>
          <t>ACTIVO</t>
        </is>
      </c>
      <c r="E215" s="22" t="n">
        <v>36</v>
      </c>
      <c r="F215" s="23">
        <f>ROUND(Saldos_Capital_Mensual!I215 + Saldos_Intereses_Mensual!I215, 2)</f>
        <v/>
      </c>
      <c r="G215" s="23">
        <f>ROUND(Saldos_Capital_Mensual!J215 + Saldos_Intereses_Mensual!J215, 2)</f>
        <v/>
      </c>
      <c r="H215" s="23">
        <f>ROUND(Saldos_Capital_Mensual!K215 + Saldos_Intereses_Mensual!K215, 2)</f>
        <v/>
      </c>
      <c r="I215" s="23">
        <f>ROUND(Saldos_Capital_Mensual!L215 + Saldos_Intereses_Mensual!L215, 2)</f>
        <v/>
      </c>
      <c r="J215" s="23">
        <f>ROUND(Saldos_Capital_Mensual!M215 + Saldos_Intereses_Mensual!M215, 2)</f>
        <v/>
      </c>
      <c r="K215" s="23">
        <f>ROUND(Saldos_Capital_Mensual!N215 + Saldos_Intereses_Mensual!N215, 2)</f>
        <v/>
      </c>
      <c r="L215" s="23">
        <f>ROUND(Saldos_Capital_Mensual!O215 + Saldos_Intereses_Mensual!O215, 2)</f>
        <v/>
      </c>
      <c r="M215" s="23">
        <f>ROUND(Saldos_Capital_Mensual!P215 + Saldos_Intereses_Mensual!P215, 2)</f>
        <v/>
      </c>
      <c r="N215" s="23">
        <f>ROUND(Saldos_Capital_Mensual!Q215 + Saldos_Intereses_Mensual!Q215, 2)</f>
        <v/>
      </c>
      <c r="O215" s="23">
        <f>ROUND(Saldos_Capital_Mensual!R215 + Saldos_Intereses_Mensual!R215, 2)</f>
        <v/>
      </c>
      <c r="P215" s="23">
        <f>ROUND(Saldos_Capital_Mensual!S215 + Saldos_Intereses_Mensual!S215, 2)</f>
        <v/>
      </c>
      <c r="Q215" s="23">
        <f>ROUND(Saldos_Capital_Mensual!T215 + Saldos_Intereses_Mensual!T215, 2)</f>
        <v/>
      </c>
      <c r="R215" s="23">
        <f>MAX(F215:Q215)</f>
        <v/>
      </c>
    </row>
    <row r="216">
      <c r="A216" s="26" t="inlineStr">
        <is>
          <t>0731-0002</t>
        </is>
      </c>
      <c r="B216" s="27" t="inlineStr">
        <is>
          <t>Tesselar Soluciones, S.A. de C.V.</t>
        </is>
      </c>
      <c r="C216" s="27" t="inlineStr">
        <is>
          <t>Arona Style</t>
        </is>
      </c>
      <c r="D216" s="26" t="inlineStr">
        <is>
          <t>ACTIVO</t>
        </is>
      </c>
      <c r="E216" s="28" t="n">
        <v>48</v>
      </c>
      <c r="F216" s="29">
        <f>ROUND(Saldos_Capital_Mensual!I216 + Saldos_Intereses_Mensual!I216, 2)</f>
        <v/>
      </c>
      <c r="G216" s="29">
        <f>ROUND(Saldos_Capital_Mensual!J216 + Saldos_Intereses_Mensual!J216, 2)</f>
        <v/>
      </c>
      <c r="H216" s="29">
        <f>ROUND(Saldos_Capital_Mensual!K216 + Saldos_Intereses_Mensual!K216, 2)</f>
        <v/>
      </c>
      <c r="I216" s="29">
        <f>ROUND(Saldos_Capital_Mensual!L216 + Saldos_Intereses_Mensual!L216, 2)</f>
        <v/>
      </c>
      <c r="J216" s="29">
        <f>ROUND(Saldos_Capital_Mensual!M216 + Saldos_Intereses_Mensual!M216, 2)</f>
        <v/>
      </c>
      <c r="K216" s="29">
        <f>ROUND(Saldos_Capital_Mensual!N216 + Saldos_Intereses_Mensual!N216, 2)</f>
        <v/>
      </c>
      <c r="L216" s="29">
        <f>ROUND(Saldos_Capital_Mensual!O216 + Saldos_Intereses_Mensual!O216, 2)</f>
        <v/>
      </c>
      <c r="M216" s="29">
        <f>ROUND(Saldos_Capital_Mensual!P216 + Saldos_Intereses_Mensual!P216, 2)</f>
        <v/>
      </c>
      <c r="N216" s="29">
        <f>ROUND(Saldos_Capital_Mensual!Q216 + Saldos_Intereses_Mensual!Q216, 2)</f>
        <v/>
      </c>
      <c r="O216" s="29">
        <f>ROUND(Saldos_Capital_Mensual!R216 + Saldos_Intereses_Mensual!R216, 2)</f>
        <v/>
      </c>
      <c r="P216" s="29">
        <f>ROUND(Saldos_Capital_Mensual!S216 + Saldos_Intereses_Mensual!S216, 2)</f>
        <v/>
      </c>
      <c r="Q216" s="29">
        <f>ROUND(Saldos_Capital_Mensual!T216 + Saldos_Intereses_Mensual!T216, 2)</f>
        <v/>
      </c>
      <c r="R216" s="29">
        <f>MAX(F216:Q216)</f>
        <v/>
      </c>
    </row>
    <row r="217">
      <c r="A217" s="20" t="inlineStr">
        <is>
          <t>0732-0001</t>
        </is>
      </c>
      <c r="B217" s="21" t="inlineStr">
        <is>
          <t>Koonol Food Traders, S.A. de C.V.</t>
        </is>
      </c>
      <c r="C217" s="21" t="inlineStr">
        <is>
          <t>K4 Turbo</t>
        </is>
      </c>
      <c r="D217" s="20" t="inlineStr">
        <is>
          <t>ACTIVO</t>
        </is>
      </c>
      <c r="E217" s="22" t="n">
        <v>36</v>
      </c>
      <c r="F217" s="23">
        <f>ROUND(Saldos_Capital_Mensual!I217 + Saldos_Intereses_Mensual!I217, 2)</f>
        <v/>
      </c>
      <c r="G217" s="23">
        <f>ROUND(Saldos_Capital_Mensual!J217 + Saldos_Intereses_Mensual!J217, 2)</f>
        <v/>
      </c>
      <c r="H217" s="23">
        <f>ROUND(Saldos_Capital_Mensual!K217 + Saldos_Intereses_Mensual!K217, 2)</f>
        <v/>
      </c>
      <c r="I217" s="23">
        <f>ROUND(Saldos_Capital_Mensual!L217 + Saldos_Intereses_Mensual!L217, 2)</f>
        <v/>
      </c>
      <c r="J217" s="23">
        <f>ROUND(Saldos_Capital_Mensual!M217 + Saldos_Intereses_Mensual!M217, 2)</f>
        <v/>
      </c>
      <c r="K217" s="23">
        <f>ROUND(Saldos_Capital_Mensual!N217 + Saldos_Intereses_Mensual!N217, 2)</f>
        <v/>
      </c>
      <c r="L217" s="23">
        <f>ROUND(Saldos_Capital_Mensual!O217 + Saldos_Intereses_Mensual!O217, 2)</f>
        <v/>
      </c>
      <c r="M217" s="23">
        <f>ROUND(Saldos_Capital_Mensual!P217 + Saldos_Intereses_Mensual!P217, 2)</f>
        <v/>
      </c>
      <c r="N217" s="23">
        <f>ROUND(Saldos_Capital_Mensual!Q217 + Saldos_Intereses_Mensual!Q217, 2)</f>
        <v/>
      </c>
      <c r="O217" s="23">
        <f>ROUND(Saldos_Capital_Mensual!R217 + Saldos_Intereses_Mensual!R217, 2)</f>
        <v/>
      </c>
      <c r="P217" s="23">
        <f>ROUND(Saldos_Capital_Mensual!S217 + Saldos_Intereses_Mensual!S217, 2)</f>
        <v/>
      </c>
      <c r="Q217" s="23">
        <f>ROUND(Saldos_Capital_Mensual!T217 + Saldos_Intereses_Mensual!T217, 2)</f>
        <v/>
      </c>
      <c r="R217" s="23">
        <f>MAX(F217:Q217)</f>
        <v/>
      </c>
    </row>
    <row r="218">
      <c r="A218" s="26" t="inlineStr">
        <is>
          <t>0733-0001</t>
        </is>
      </c>
      <c r="B218" s="27" t="inlineStr">
        <is>
          <t>Alejandro Arias Maldonado</t>
        </is>
      </c>
      <c r="C218" s="27" t="inlineStr">
        <is>
          <t>Wrangler</t>
        </is>
      </c>
      <c r="D218" s="26" t="inlineStr">
        <is>
          <t>ACTIVO</t>
        </is>
      </c>
      <c r="E218" s="28" t="n">
        <v>48</v>
      </c>
      <c r="F218" s="29">
        <f>ROUND(Saldos_Capital_Mensual!I218 + Saldos_Intereses_Mensual!I218, 2)</f>
        <v/>
      </c>
      <c r="G218" s="29">
        <f>ROUND(Saldos_Capital_Mensual!J218 + Saldos_Intereses_Mensual!J218, 2)</f>
        <v/>
      </c>
      <c r="H218" s="29">
        <f>ROUND(Saldos_Capital_Mensual!K218 + Saldos_Intereses_Mensual!K218, 2)</f>
        <v/>
      </c>
      <c r="I218" s="29">
        <f>ROUND(Saldos_Capital_Mensual!L218 + Saldos_Intereses_Mensual!L218, 2)</f>
        <v/>
      </c>
      <c r="J218" s="29">
        <f>ROUND(Saldos_Capital_Mensual!M218 + Saldos_Intereses_Mensual!M218, 2)</f>
        <v/>
      </c>
      <c r="K218" s="29">
        <f>ROUND(Saldos_Capital_Mensual!N218 + Saldos_Intereses_Mensual!N218, 2)</f>
        <v/>
      </c>
      <c r="L218" s="29">
        <f>ROUND(Saldos_Capital_Mensual!O218 + Saldos_Intereses_Mensual!O218, 2)</f>
        <v/>
      </c>
      <c r="M218" s="29">
        <f>ROUND(Saldos_Capital_Mensual!P218 + Saldos_Intereses_Mensual!P218, 2)</f>
        <v/>
      </c>
      <c r="N218" s="29">
        <f>ROUND(Saldos_Capital_Mensual!Q218 + Saldos_Intereses_Mensual!Q218, 2)</f>
        <v/>
      </c>
      <c r="O218" s="29">
        <f>ROUND(Saldos_Capital_Mensual!R218 + Saldos_Intereses_Mensual!R218, 2)</f>
        <v/>
      </c>
      <c r="P218" s="29">
        <f>ROUND(Saldos_Capital_Mensual!S218 + Saldos_Intereses_Mensual!S218, 2)</f>
        <v/>
      </c>
      <c r="Q218" s="29">
        <f>ROUND(Saldos_Capital_Mensual!T218 + Saldos_Intereses_Mensual!T218, 2)</f>
        <v/>
      </c>
      <c r="R218" s="29">
        <f>MAX(F218:Q218)</f>
        <v/>
      </c>
    </row>
    <row r="219">
      <c r="A219" s="20" t="inlineStr">
        <is>
          <t>0734-0001</t>
        </is>
      </c>
      <c r="B219" s="21" t="inlineStr">
        <is>
          <t>Nutrientes Agricolas de Colima, S. de R.L. de C.V.</t>
        </is>
      </c>
      <c r="C219" s="21" t="inlineStr">
        <is>
          <t>1200 TRADESMAN RC</t>
        </is>
      </c>
      <c r="D219" s="20" t="inlineStr">
        <is>
          <t>ACTIVO</t>
        </is>
      </c>
      <c r="E219" s="22" t="n">
        <v>36</v>
      </c>
      <c r="F219" s="23">
        <f>ROUND(Saldos_Capital_Mensual!I219 + Saldos_Intereses_Mensual!I219, 2)</f>
        <v/>
      </c>
      <c r="G219" s="23">
        <f>ROUND(Saldos_Capital_Mensual!J219 + Saldos_Intereses_Mensual!J219, 2)</f>
        <v/>
      </c>
      <c r="H219" s="23">
        <f>ROUND(Saldos_Capital_Mensual!K219 + Saldos_Intereses_Mensual!K219, 2)</f>
        <v/>
      </c>
      <c r="I219" s="23">
        <f>ROUND(Saldos_Capital_Mensual!L219 + Saldos_Intereses_Mensual!L219, 2)</f>
        <v/>
      </c>
      <c r="J219" s="23">
        <f>ROUND(Saldos_Capital_Mensual!M219 + Saldos_Intereses_Mensual!M219, 2)</f>
        <v/>
      </c>
      <c r="K219" s="23">
        <f>ROUND(Saldos_Capital_Mensual!N219 + Saldos_Intereses_Mensual!N219, 2)</f>
        <v/>
      </c>
      <c r="L219" s="23">
        <f>ROUND(Saldos_Capital_Mensual!O219 + Saldos_Intereses_Mensual!O219, 2)</f>
        <v/>
      </c>
      <c r="M219" s="23">
        <f>ROUND(Saldos_Capital_Mensual!P219 + Saldos_Intereses_Mensual!P219, 2)</f>
        <v/>
      </c>
      <c r="N219" s="23">
        <f>ROUND(Saldos_Capital_Mensual!Q219 + Saldos_Intereses_Mensual!Q219, 2)</f>
        <v/>
      </c>
      <c r="O219" s="23">
        <f>ROUND(Saldos_Capital_Mensual!R219 + Saldos_Intereses_Mensual!R219, 2)</f>
        <v/>
      </c>
      <c r="P219" s="23">
        <f>ROUND(Saldos_Capital_Mensual!S219 + Saldos_Intereses_Mensual!S219, 2)</f>
        <v/>
      </c>
      <c r="Q219" s="23">
        <f>ROUND(Saldos_Capital_Mensual!T219 + Saldos_Intereses_Mensual!T219, 2)</f>
        <v/>
      </c>
      <c r="R219" s="23">
        <f>MAX(F219:Q219)</f>
        <v/>
      </c>
    </row>
    <row r="220">
      <c r="A220" s="26" t="inlineStr">
        <is>
          <t>0734-0002</t>
        </is>
      </c>
      <c r="B220" s="27" t="inlineStr">
        <is>
          <t>Nutrientes Agricolas de Colima, S. de R.L. de C.V.</t>
        </is>
      </c>
      <c r="C220" s="27" t="inlineStr">
        <is>
          <t>1200 TRADESMAN CHASIS CABINA</t>
        </is>
      </c>
      <c r="D220" s="26" t="inlineStr">
        <is>
          <t>ACTIVO</t>
        </is>
      </c>
      <c r="E220" s="28" t="n">
        <v>36</v>
      </c>
      <c r="F220" s="29">
        <f>ROUND(Saldos_Capital_Mensual!I220 + Saldos_Intereses_Mensual!I220, 2)</f>
        <v/>
      </c>
      <c r="G220" s="29">
        <f>ROUND(Saldos_Capital_Mensual!J220 + Saldos_Intereses_Mensual!J220, 2)</f>
        <v/>
      </c>
      <c r="H220" s="29">
        <f>ROUND(Saldos_Capital_Mensual!K220 + Saldos_Intereses_Mensual!K220, 2)</f>
        <v/>
      </c>
      <c r="I220" s="29">
        <f>ROUND(Saldos_Capital_Mensual!L220 + Saldos_Intereses_Mensual!L220, 2)</f>
        <v/>
      </c>
      <c r="J220" s="29">
        <f>ROUND(Saldos_Capital_Mensual!M220 + Saldos_Intereses_Mensual!M220, 2)</f>
        <v/>
      </c>
      <c r="K220" s="29">
        <f>ROUND(Saldos_Capital_Mensual!N220 + Saldos_Intereses_Mensual!N220, 2)</f>
        <v/>
      </c>
      <c r="L220" s="29">
        <f>ROUND(Saldos_Capital_Mensual!O220 + Saldos_Intereses_Mensual!O220, 2)</f>
        <v/>
      </c>
      <c r="M220" s="29">
        <f>ROUND(Saldos_Capital_Mensual!P220 + Saldos_Intereses_Mensual!P220, 2)</f>
        <v/>
      </c>
      <c r="N220" s="29">
        <f>ROUND(Saldos_Capital_Mensual!Q220 + Saldos_Intereses_Mensual!Q220, 2)</f>
        <v/>
      </c>
      <c r="O220" s="29">
        <f>ROUND(Saldos_Capital_Mensual!R220 + Saldos_Intereses_Mensual!R220, 2)</f>
        <v/>
      </c>
      <c r="P220" s="29">
        <f>ROUND(Saldos_Capital_Mensual!S220 + Saldos_Intereses_Mensual!S220, 2)</f>
        <v/>
      </c>
      <c r="Q220" s="29">
        <f>ROUND(Saldos_Capital_Mensual!T220 + Saldos_Intereses_Mensual!T220, 2)</f>
        <v/>
      </c>
      <c r="R220" s="29">
        <f>MAX(F220:Q220)</f>
        <v/>
      </c>
    </row>
    <row r="221">
      <c r="A221" s="20" t="inlineStr">
        <is>
          <t>0735-0001</t>
        </is>
      </c>
      <c r="B221" s="21" t="inlineStr">
        <is>
          <t>Francisco Zepeda Covarrubias</t>
        </is>
      </c>
      <c r="C221" s="21" t="inlineStr">
        <is>
          <t>Territory Trend 1.5L Hibrido</t>
        </is>
      </c>
      <c r="D221" s="20" t="inlineStr">
        <is>
          <t>ACTIVO</t>
        </is>
      </c>
      <c r="E221" s="22" t="n">
        <v>36</v>
      </c>
      <c r="F221" s="23">
        <f>ROUND(Saldos_Capital_Mensual!I221 + Saldos_Intereses_Mensual!I221, 2)</f>
        <v/>
      </c>
      <c r="G221" s="23">
        <f>ROUND(Saldos_Capital_Mensual!J221 + Saldos_Intereses_Mensual!J221, 2)</f>
        <v/>
      </c>
      <c r="H221" s="23">
        <f>ROUND(Saldos_Capital_Mensual!K221 + Saldos_Intereses_Mensual!K221, 2)</f>
        <v/>
      </c>
      <c r="I221" s="23">
        <f>ROUND(Saldos_Capital_Mensual!L221 + Saldos_Intereses_Mensual!L221, 2)</f>
        <v/>
      </c>
      <c r="J221" s="23">
        <f>ROUND(Saldos_Capital_Mensual!M221 + Saldos_Intereses_Mensual!M221, 2)</f>
        <v/>
      </c>
      <c r="K221" s="23">
        <f>ROUND(Saldos_Capital_Mensual!N221 + Saldos_Intereses_Mensual!N221, 2)</f>
        <v/>
      </c>
      <c r="L221" s="23">
        <f>ROUND(Saldos_Capital_Mensual!O221 + Saldos_Intereses_Mensual!O221, 2)</f>
        <v/>
      </c>
      <c r="M221" s="23">
        <f>ROUND(Saldos_Capital_Mensual!P221 + Saldos_Intereses_Mensual!P221, 2)</f>
        <v/>
      </c>
      <c r="N221" s="23">
        <f>ROUND(Saldos_Capital_Mensual!Q221 + Saldos_Intereses_Mensual!Q221, 2)</f>
        <v/>
      </c>
      <c r="O221" s="23">
        <f>ROUND(Saldos_Capital_Mensual!R221 + Saldos_Intereses_Mensual!R221, 2)</f>
        <v/>
      </c>
      <c r="P221" s="23">
        <f>ROUND(Saldos_Capital_Mensual!S221 + Saldos_Intereses_Mensual!S221, 2)</f>
        <v/>
      </c>
      <c r="Q221" s="23">
        <f>ROUND(Saldos_Capital_Mensual!T221 + Saldos_Intereses_Mensual!T221, 2)</f>
        <v/>
      </c>
      <c r="R221" s="23">
        <f>MAX(F221:Q221)</f>
        <v/>
      </c>
    </row>
    <row r="222">
      <c r="A222" s="26" t="inlineStr">
        <is>
          <t>0736-0001</t>
        </is>
      </c>
      <c r="B222" s="27" t="inlineStr">
        <is>
          <t>Industrial Castillo de Tequila S.A. de C.V.</t>
        </is>
      </c>
      <c r="C222" s="27" t="inlineStr">
        <is>
          <t>700 TRADESMAN CREW CAB</t>
        </is>
      </c>
      <c r="D222" s="26" t="inlineStr">
        <is>
          <t>ACTIVO</t>
        </is>
      </c>
      <c r="E222" s="28" t="n">
        <v>48</v>
      </c>
      <c r="F222" s="29">
        <f>ROUND(Saldos_Capital_Mensual!I222 + Saldos_Intereses_Mensual!I222, 2)</f>
        <v/>
      </c>
      <c r="G222" s="29">
        <f>ROUND(Saldos_Capital_Mensual!J222 + Saldos_Intereses_Mensual!J222, 2)</f>
        <v/>
      </c>
      <c r="H222" s="29">
        <f>ROUND(Saldos_Capital_Mensual!K222 + Saldos_Intereses_Mensual!K222, 2)</f>
        <v/>
      </c>
      <c r="I222" s="29">
        <f>ROUND(Saldos_Capital_Mensual!L222 + Saldos_Intereses_Mensual!L222, 2)</f>
        <v/>
      </c>
      <c r="J222" s="29">
        <f>ROUND(Saldos_Capital_Mensual!M222 + Saldos_Intereses_Mensual!M222, 2)</f>
        <v/>
      </c>
      <c r="K222" s="29">
        <f>ROUND(Saldos_Capital_Mensual!N222 + Saldos_Intereses_Mensual!N222, 2)</f>
        <v/>
      </c>
      <c r="L222" s="29">
        <f>ROUND(Saldos_Capital_Mensual!O222 + Saldos_Intereses_Mensual!O222, 2)</f>
        <v/>
      </c>
      <c r="M222" s="29">
        <f>ROUND(Saldos_Capital_Mensual!P222 + Saldos_Intereses_Mensual!P222, 2)</f>
        <v/>
      </c>
      <c r="N222" s="29">
        <f>ROUND(Saldos_Capital_Mensual!Q222 + Saldos_Intereses_Mensual!Q222, 2)</f>
        <v/>
      </c>
      <c r="O222" s="29">
        <f>ROUND(Saldos_Capital_Mensual!R222 + Saldos_Intereses_Mensual!R222, 2)</f>
        <v/>
      </c>
      <c r="P222" s="29">
        <f>ROUND(Saldos_Capital_Mensual!S222 + Saldos_Intereses_Mensual!S222, 2)</f>
        <v/>
      </c>
      <c r="Q222" s="29">
        <f>ROUND(Saldos_Capital_Mensual!T222 + Saldos_Intereses_Mensual!T222, 2)</f>
        <v/>
      </c>
      <c r="R222" s="29">
        <f>MAX(F222:Q222)</f>
        <v/>
      </c>
    </row>
    <row r="223">
      <c r="A223" s="20" t="inlineStr">
        <is>
          <t>0737-0001</t>
        </is>
      </c>
      <c r="B223" s="21" t="inlineStr">
        <is>
          <t>Nicola Briani</t>
        </is>
      </c>
      <c r="C223" s="21" t="inlineStr">
        <is>
          <t>T1 Savage</t>
        </is>
      </c>
      <c r="D223" s="20" t="inlineStr">
        <is>
          <t>ACTIVO</t>
        </is>
      </c>
      <c r="E223" s="22" t="n">
        <v>48</v>
      </c>
      <c r="F223" s="23">
        <f>ROUND(Saldos_Capital_Mensual!I223 + Saldos_Intereses_Mensual!I223, 2)</f>
        <v/>
      </c>
      <c r="G223" s="23">
        <f>ROUND(Saldos_Capital_Mensual!J223 + Saldos_Intereses_Mensual!J223, 2)</f>
        <v/>
      </c>
      <c r="H223" s="23">
        <f>ROUND(Saldos_Capital_Mensual!K223 + Saldos_Intereses_Mensual!K223, 2)</f>
        <v/>
      </c>
      <c r="I223" s="23">
        <f>ROUND(Saldos_Capital_Mensual!L223 + Saldos_Intereses_Mensual!L223, 2)</f>
        <v/>
      </c>
      <c r="J223" s="23">
        <f>ROUND(Saldos_Capital_Mensual!M223 + Saldos_Intereses_Mensual!M223, 2)</f>
        <v/>
      </c>
      <c r="K223" s="23">
        <f>ROUND(Saldos_Capital_Mensual!N223 + Saldos_Intereses_Mensual!N223, 2)</f>
        <v/>
      </c>
      <c r="L223" s="23">
        <f>ROUND(Saldos_Capital_Mensual!O223 + Saldos_Intereses_Mensual!O223, 2)</f>
        <v/>
      </c>
      <c r="M223" s="23">
        <f>ROUND(Saldos_Capital_Mensual!P223 + Saldos_Intereses_Mensual!P223, 2)</f>
        <v/>
      </c>
      <c r="N223" s="23">
        <f>ROUND(Saldos_Capital_Mensual!Q223 + Saldos_Intereses_Mensual!Q223, 2)</f>
        <v/>
      </c>
      <c r="O223" s="23">
        <f>ROUND(Saldos_Capital_Mensual!R223 + Saldos_Intereses_Mensual!R223, 2)</f>
        <v/>
      </c>
      <c r="P223" s="23">
        <f>ROUND(Saldos_Capital_Mensual!S223 + Saldos_Intereses_Mensual!S223, 2)</f>
        <v/>
      </c>
      <c r="Q223" s="23">
        <f>ROUND(Saldos_Capital_Mensual!T223 + Saldos_Intereses_Mensual!T223, 2)</f>
        <v/>
      </c>
      <c r="R223" s="23">
        <f>MAX(F223:Q223)</f>
        <v/>
      </c>
    </row>
    <row r="224">
      <c r="A224" s="26" t="inlineStr">
        <is>
          <t>0738-0001</t>
        </is>
      </c>
      <c r="B224" s="27" t="inlineStr">
        <is>
          <t>Vinaria Distribución S.A.S.</t>
        </is>
      </c>
      <c r="C224" s="27" t="inlineStr">
        <is>
          <t>700 BIGHORN "S" CREW CAB CVT</t>
        </is>
      </c>
      <c r="D224" s="26" t="inlineStr">
        <is>
          <t>ACTIVO</t>
        </is>
      </c>
      <c r="E224" s="28" t="n">
        <v>36</v>
      </c>
      <c r="F224" s="29">
        <f>ROUND(Saldos_Capital_Mensual!I224 + Saldos_Intereses_Mensual!I224, 2)</f>
        <v/>
      </c>
      <c r="G224" s="29">
        <f>ROUND(Saldos_Capital_Mensual!J224 + Saldos_Intereses_Mensual!J224, 2)</f>
        <v/>
      </c>
      <c r="H224" s="29">
        <f>ROUND(Saldos_Capital_Mensual!K224 + Saldos_Intereses_Mensual!K224, 2)</f>
        <v/>
      </c>
      <c r="I224" s="29">
        <f>ROUND(Saldos_Capital_Mensual!L224 + Saldos_Intereses_Mensual!L224, 2)</f>
        <v/>
      </c>
      <c r="J224" s="29">
        <f>ROUND(Saldos_Capital_Mensual!M224 + Saldos_Intereses_Mensual!M224, 2)</f>
        <v/>
      </c>
      <c r="K224" s="29">
        <f>ROUND(Saldos_Capital_Mensual!N224 + Saldos_Intereses_Mensual!N224, 2)</f>
        <v/>
      </c>
      <c r="L224" s="29">
        <f>ROUND(Saldos_Capital_Mensual!O224 + Saldos_Intereses_Mensual!O224, 2)</f>
        <v/>
      </c>
      <c r="M224" s="29">
        <f>ROUND(Saldos_Capital_Mensual!P224 + Saldos_Intereses_Mensual!P224, 2)</f>
        <v/>
      </c>
      <c r="N224" s="29">
        <f>ROUND(Saldos_Capital_Mensual!Q224 + Saldos_Intereses_Mensual!Q224, 2)</f>
        <v/>
      </c>
      <c r="O224" s="29">
        <f>ROUND(Saldos_Capital_Mensual!R224 + Saldos_Intereses_Mensual!R224, 2)</f>
        <v/>
      </c>
      <c r="P224" s="29">
        <f>ROUND(Saldos_Capital_Mensual!S224 + Saldos_Intereses_Mensual!S224, 2)</f>
        <v/>
      </c>
      <c r="Q224" s="29">
        <f>ROUND(Saldos_Capital_Mensual!T224 + Saldos_Intereses_Mensual!T224, 2)</f>
        <v/>
      </c>
      <c r="R224" s="29">
        <f>MAX(F224:Q224)</f>
        <v/>
      </c>
    </row>
    <row r="225">
      <c r="A225" s="20" t="inlineStr">
        <is>
          <t>0739-0001</t>
        </is>
      </c>
      <c r="B225" s="21" t="inlineStr">
        <is>
          <t>Miriam Patricia López Flores</t>
        </is>
      </c>
      <c r="C225" s="21" t="inlineStr">
        <is>
          <t>Jeep Wrangler Unlimited Rubicon</t>
        </is>
      </c>
      <c r="D225" s="20" t="inlineStr">
        <is>
          <t>ACTIVO</t>
        </is>
      </c>
      <c r="E225" s="22" t="n">
        <v>48</v>
      </c>
      <c r="F225" s="23">
        <f>ROUND(Saldos_Capital_Mensual!I225 + Saldos_Intereses_Mensual!I225, 2)</f>
        <v/>
      </c>
      <c r="G225" s="23">
        <f>ROUND(Saldos_Capital_Mensual!J225 + Saldos_Intereses_Mensual!J225, 2)</f>
        <v/>
      </c>
      <c r="H225" s="23">
        <f>ROUND(Saldos_Capital_Mensual!K225 + Saldos_Intereses_Mensual!K225, 2)</f>
        <v/>
      </c>
      <c r="I225" s="23">
        <f>ROUND(Saldos_Capital_Mensual!L225 + Saldos_Intereses_Mensual!L225, 2)</f>
        <v/>
      </c>
      <c r="J225" s="23">
        <f>ROUND(Saldos_Capital_Mensual!M225 + Saldos_Intereses_Mensual!M225, 2)</f>
        <v/>
      </c>
      <c r="K225" s="23">
        <f>ROUND(Saldos_Capital_Mensual!N225 + Saldos_Intereses_Mensual!N225, 2)</f>
        <v/>
      </c>
      <c r="L225" s="23">
        <f>ROUND(Saldos_Capital_Mensual!O225 + Saldos_Intereses_Mensual!O225, 2)</f>
        <v/>
      </c>
      <c r="M225" s="23">
        <f>ROUND(Saldos_Capital_Mensual!P225 + Saldos_Intereses_Mensual!P225, 2)</f>
        <v/>
      </c>
      <c r="N225" s="23">
        <f>ROUND(Saldos_Capital_Mensual!Q225 + Saldos_Intereses_Mensual!Q225, 2)</f>
        <v/>
      </c>
      <c r="O225" s="23">
        <f>ROUND(Saldos_Capital_Mensual!R225 + Saldos_Intereses_Mensual!R225, 2)</f>
        <v/>
      </c>
      <c r="P225" s="23">
        <f>ROUND(Saldos_Capital_Mensual!S225 + Saldos_Intereses_Mensual!S225, 2)</f>
        <v/>
      </c>
      <c r="Q225" s="23">
        <f>ROUND(Saldos_Capital_Mensual!T225 + Saldos_Intereses_Mensual!T225, 2)</f>
        <v/>
      </c>
      <c r="R225" s="23">
        <f>MAX(F225:Q225)</f>
        <v/>
      </c>
    </row>
    <row r="226">
      <c r="A226" s="26" t="inlineStr">
        <is>
          <t>0740-0001</t>
        </is>
      </c>
      <c r="B226" s="27" t="inlineStr">
        <is>
          <t>Sanatorio Versalles de Guadalajara</t>
        </is>
      </c>
      <c r="C226" s="27" t="inlineStr">
        <is>
          <t>1200 Bighorn</t>
        </is>
      </c>
      <c r="D226" s="26" t="inlineStr">
        <is>
          <t>ACTIVO</t>
        </is>
      </c>
      <c r="E226" s="28" t="n">
        <v>12</v>
      </c>
      <c r="F226" s="29">
        <f>ROUND(Saldos_Capital_Mensual!I226 + Saldos_Intereses_Mensual!I226, 2)</f>
        <v/>
      </c>
      <c r="G226" s="29">
        <f>ROUND(Saldos_Capital_Mensual!J226 + Saldos_Intereses_Mensual!J226, 2)</f>
        <v/>
      </c>
      <c r="H226" s="29">
        <f>ROUND(Saldos_Capital_Mensual!K226 + Saldos_Intereses_Mensual!K226, 2)</f>
        <v/>
      </c>
      <c r="I226" s="29">
        <f>ROUND(Saldos_Capital_Mensual!L226 + Saldos_Intereses_Mensual!L226, 2)</f>
        <v/>
      </c>
      <c r="J226" s="29">
        <f>ROUND(Saldos_Capital_Mensual!M226 + Saldos_Intereses_Mensual!M226, 2)</f>
        <v/>
      </c>
      <c r="K226" s="29">
        <f>ROUND(Saldos_Capital_Mensual!N226 + Saldos_Intereses_Mensual!N226, 2)</f>
        <v/>
      </c>
      <c r="L226" s="29">
        <f>ROUND(Saldos_Capital_Mensual!O226 + Saldos_Intereses_Mensual!O226, 2)</f>
        <v/>
      </c>
      <c r="M226" s="29">
        <f>ROUND(Saldos_Capital_Mensual!P226 + Saldos_Intereses_Mensual!P226, 2)</f>
        <v/>
      </c>
      <c r="N226" s="29">
        <f>ROUND(Saldos_Capital_Mensual!Q226 + Saldos_Intereses_Mensual!Q226, 2)</f>
        <v/>
      </c>
      <c r="O226" s="29">
        <f>ROUND(Saldos_Capital_Mensual!R226 + Saldos_Intereses_Mensual!R226, 2)</f>
        <v/>
      </c>
      <c r="P226" s="29">
        <f>ROUND(Saldos_Capital_Mensual!S226 + Saldos_Intereses_Mensual!S226, 2)</f>
        <v/>
      </c>
      <c r="Q226" s="29" t="inlineStr"/>
      <c r="R226" s="29">
        <f>MAX(F226:Q226)</f>
        <v/>
      </c>
    </row>
    <row r="227">
      <c r="A227" s="20" t="inlineStr">
        <is>
          <t>0741-0001</t>
        </is>
      </c>
      <c r="B227" s="21" t="inlineStr">
        <is>
          <t>Alvaró Agustin Navarro Castellón</t>
        </is>
      </c>
      <c r="C227" s="21" t="inlineStr">
        <is>
          <t>Manager Furgon L4H2</t>
        </is>
      </c>
      <c r="D227" s="20" t="inlineStr">
        <is>
          <t>ACTIVO</t>
        </is>
      </c>
      <c r="E227" s="22" t="n">
        <v>48</v>
      </c>
      <c r="F227" s="23">
        <f>ROUND(Saldos_Capital_Mensual!I227 + Saldos_Intereses_Mensual!I227, 2)</f>
        <v/>
      </c>
      <c r="G227" s="23">
        <f>ROUND(Saldos_Capital_Mensual!J227 + Saldos_Intereses_Mensual!J227, 2)</f>
        <v/>
      </c>
      <c r="H227" s="23">
        <f>ROUND(Saldos_Capital_Mensual!K227 + Saldos_Intereses_Mensual!K227, 2)</f>
        <v/>
      </c>
      <c r="I227" s="23">
        <f>ROUND(Saldos_Capital_Mensual!L227 + Saldos_Intereses_Mensual!L227, 2)</f>
        <v/>
      </c>
      <c r="J227" s="23">
        <f>ROUND(Saldos_Capital_Mensual!M227 + Saldos_Intereses_Mensual!M227, 2)</f>
        <v/>
      </c>
      <c r="K227" s="23">
        <f>ROUND(Saldos_Capital_Mensual!N227 + Saldos_Intereses_Mensual!N227, 2)</f>
        <v/>
      </c>
      <c r="L227" s="23">
        <f>ROUND(Saldos_Capital_Mensual!O227 + Saldos_Intereses_Mensual!O227, 2)</f>
        <v/>
      </c>
      <c r="M227" s="23">
        <f>ROUND(Saldos_Capital_Mensual!P227 + Saldos_Intereses_Mensual!P227, 2)</f>
        <v/>
      </c>
      <c r="N227" s="23">
        <f>ROUND(Saldos_Capital_Mensual!Q227 + Saldos_Intereses_Mensual!Q227, 2)</f>
        <v/>
      </c>
      <c r="O227" s="23">
        <f>ROUND(Saldos_Capital_Mensual!R227 + Saldos_Intereses_Mensual!R227, 2)</f>
        <v/>
      </c>
      <c r="P227" s="23">
        <f>ROUND(Saldos_Capital_Mensual!S227 + Saldos_Intereses_Mensual!S227, 2)</f>
        <v/>
      </c>
      <c r="Q227" s="23">
        <f>ROUND(Saldos_Capital_Mensual!T227 + Saldos_Intereses_Mensual!T227, 2)</f>
        <v/>
      </c>
      <c r="R227" s="23">
        <f>MAX(F227:Q227)</f>
        <v/>
      </c>
    </row>
    <row r="228">
      <c r="A228" s="26" t="inlineStr">
        <is>
          <t>0742-0001</t>
        </is>
      </c>
      <c r="B228" s="27" t="inlineStr">
        <is>
          <t>Universidad de las Américas y el Caribe, S.C.</t>
        </is>
      </c>
      <c r="C228" s="27" t="inlineStr">
        <is>
          <t>700 BIGHORN "S" CREW CAB MT</t>
        </is>
      </c>
      <c r="D228" s="26" t="inlineStr">
        <is>
          <t>ACTIVO</t>
        </is>
      </c>
      <c r="E228" s="28" t="n">
        <v>36</v>
      </c>
      <c r="F228" s="29">
        <f>ROUND(Saldos_Capital_Mensual!I228 + Saldos_Intereses_Mensual!I228, 2)</f>
        <v/>
      </c>
      <c r="G228" s="29">
        <f>ROUND(Saldos_Capital_Mensual!J228 + Saldos_Intereses_Mensual!J228, 2)</f>
        <v/>
      </c>
      <c r="H228" s="29">
        <f>ROUND(Saldos_Capital_Mensual!K228 + Saldos_Intereses_Mensual!K228, 2)</f>
        <v/>
      </c>
      <c r="I228" s="29">
        <f>ROUND(Saldos_Capital_Mensual!L228 + Saldos_Intereses_Mensual!L228, 2)</f>
        <v/>
      </c>
      <c r="J228" s="29">
        <f>ROUND(Saldos_Capital_Mensual!M228 + Saldos_Intereses_Mensual!M228, 2)</f>
        <v/>
      </c>
      <c r="K228" s="29">
        <f>ROUND(Saldos_Capital_Mensual!N228 + Saldos_Intereses_Mensual!N228, 2)</f>
        <v/>
      </c>
      <c r="L228" s="29">
        <f>ROUND(Saldos_Capital_Mensual!O228 + Saldos_Intereses_Mensual!O228, 2)</f>
        <v/>
      </c>
      <c r="M228" s="29">
        <f>ROUND(Saldos_Capital_Mensual!P228 + Saldos_Intereses_Mensual!P228, 2)</f>
        <v/>
      </c>
      <c r="N228" s="29">
        <f>ROUND(Saldos_Capital_Mensual!Q228 + Saldos_Intereses_Mensual!Q228, 2)</f>
        <v/>
      </c>
      <c r="O228" s="29">
        <f>ROUND(Saldos_Capital_Mensual!R228 + Saldos_Intereses_Mensual!R228, 2)</f>
        <v/>
      </c>
      <c r="P228" s="29">
        <f>ROUND(Saldos_Capital_Mensual!S228 + Saldos_Intereses_Mensual!S228, 2)</f>
        <v/>
      </c>
      <c r="Q228" s="29">
        <f>ROUND(Saldos_Capital_Mensual!T228 + Saldos_Intereses_Mensual!T228, 2)</f>
        <v/>
      </c>
      <c r="R228" s="29">
        <f>MAX(F228:Q228)</f>
        <v/>
      </c>
    </row>
    <row r="229">
      <c r="A229" s="20" t="inlineStr">
        <is>
          <t>0742-0002</t>
        </is>
      </c>
      <c r="B229" s="21" t="inlineStr">
        <is>
          <t>Universidad de las Américas y el Caribe, S.C.</t>
        </is>
      </c>
      <c r="C229" s="21" t="inlineStr">
        <is>
          <t>700 BIGHORN "S" CREW CAB CVT</t>
        </is>
      </c>
      <c r="D229" s="20" t="inlineStr">
        <is>
          <t>ACTIVO</t>
        </is>
      </c>
      <c r="E229" s="22" t="n">
        <v>36</v>
      </c>
      <c r="F229" s="23">
        <f>ROUND(Saldos_Capital_Mensual!I229 + Saldos_Intereses_Mensual!I229, 2)</f>
        <v/>
      </c>
      <c r="G229" s="23">
        <f>ROUND(Saldos_Capital_Mensual!J229 + Saldos_Intereses_Mensual!J229, 2)</f>
        <v/>
      </c>
      <c r="H229" s="23">
        <f>ROUND(Saldos_Capital_Mensual!K229 + Saldos_Intereses_Mensual!K229, 2)</f>
        <v/>
      </c>
      <c r="I229" s="23">
        <f>ROUND(Saldos_Capital_Mensual!L229 + Saldos_Intereses_Mensual!L229, 2)</f>
        <v/>
      </c>
      <c r="J229" s="23">
        <f>ROUND(Saldos_Capital_Mensual!M229 + Saldos_Intereses_Mensual!M229, 2)</f>
        <v/>
      </c>
      <c r="K229" s="23">
        <f>ROUND(Saldos_Capital_Mensual!N229 + Saldos_Intereses_Mensual!N229, 2)</f>
        <v/>
      </c>
      <c r="L229" s="23">
        <f>ROUND(Saldos_Capital_Mensual!O229 + Saldos_Intereses_Mensual!O229, 2)</f>
        <v/>
      </c>
      <c r="M229" s="23">
        <f>ROUND(Saldos_Capital_Mensual!P229 + Saldos_Intereses_Mensual!P229, 2)</f>
        <v/>
      </c>
      <c r="N229" s="23">
        <f>ROUND(Saldos_Capital_Mensual!Q229 + Saldos_Intereses_Mensual!Q229, 2)</f>
        <v/>
      </c>
      <c r="O229" s="23">
        <f>ROUND(Saldos_Capital_Mensual!R229 + Saldos_Intereses_Mensual!R229, 2)</f>
        <v/>
      </c>
      <c r="P229" s="23">
        <f>ROUND(Saldos_Capital_Mensual!S229 + Saldos_Intereses_Mensual!S229, 2)</f>
        <v/>
      </c>
      <c r="Q229" s="23">
        <f>ROUND(Saldos_Capital_Mensual!T229 + Saldos_Intereses_Mensual!T229, 2)</f>
        <v/>
      </c>
      <c r="R229" s="23">
        <f>MAX(F229:Q229)</f>
        <v/>
      </c>
    </row>
    <row r="230">
      <c r="A230" s="26" t="inlineStr">
        <is>
          <t>0743-0001</t>
        </is>
      </c>
      <c r="B230" s="27" t="inlineStr">
        <is>
          <t>IEM Soluciones Integrales, S.C.</t>
        </is>
      </c>
      <c r="C230" s="27" t="inlineStr">
        <is>
          <t>1200 BIGHORN CC</t>
        </is>
      </c>
      <c r="D230" s="26" t="inlineStr">
        <is>
          <t>ACTIVO</t>
        </is>
      </c>
      <c r="E230" s="28" t="n">
        <v>36</v>
      </c>
      <c r="F230" s="29">
        <f>ROUND(Saldos_Capital_Mensual!I230 + Saldos_Intereses_Mensual!I230, 2)</f>
        <v/>
      </c>
      <c r="G230" s="29">
        <f>ROUND(Saldos_Capital_Mensual!J230 + Saldos_Intereses_Mensual!J230, 2)</f>
        <v/>
      </c>
      <c r="H230" s="29">
        <f>ROUND(Saldos_Capital_Mensual!K230 + Saldos_Intereses_Mensual!K230, 2)</f>
        <v/>
      </c>
      <c r="I230" s="29">
        <f>ROUND(Saldos_Capital_Mensual!L230 + Saldos_Intereses_Mensual!L230, 2)</f>
        <v/>
      </c>
      <c r="J230" s="29">
        <f>ROUND(Saldos_Capital_Mensual!M230 + Saldos_Intereses_Mensual!M230, 2)</f>
        <v/>
      </c>
      <c r="K230" s="29">
        <f>ROUND(Saldos_Capital_Mensual!N230 + Saldos_Intereses_Mensual!N230, 2)</f>
        <v/>
      </c>
      <c r="L230" s="29">
        <f>ROUND(Saldos_Capital_Mensual!O230 + Saldos_Intereses_Mensual!O230, 2)</f>
        <v/>
      </c>
      <c r="M230" s="29">
        <f>ROUND(Saldos_Capital_Mensual!P230 + Saldos_Intereses_Mensual!P230, 2)</f>
        <v/>
      </c>
      <c r="N230" s="29">
        <f>ROUND(Saldos_Capital_Mensual!Q230 + Saldos_Intereses_Mensual!Q230, 2)</f>
        <v/>
      </c>
      <c r="O230" s="29">
        <f>ROUND(Saldos_Capital_Mensual!R230 + Saldos_Intereses_Mensual!R230, 2)</f>
        <v/>
      </c>
      <c r="P230" s="29">
        <f>ROUND(Saldos_Capital_Mensual!S230 + Saldos_Intereses_Mensual!S230, 2)</f>
        <v/>
      </c>
      <c r="Q230" s="29">
        <f>ROUND(Saldos_Capital_Mensual!T230 + Saldos_Intereses_Mensual!T230, 2)</f>
        <v/>
      </c>
      <c r="R230" s="29">
        <f>MAX(F230:Q230)</f>
        <v/>
      </c>
    </row>
    <row r="231">
      <c r="A231" s="20" t="inlineStr">
        <is>
          <t>0744-0001</t>
        </is>
      </c>
      <c r="B231" s="21" t="inlineStr">
        <is>
          <t>H&amp;A Edicon, S.A. de C.V.</t>
        </is>
      </c>
      <c r="C231" s="21" t="inlineStr">
        <is>
          <t>NP 300 Chasis Cabina</t>
        </is>
      </c>
      <c r="D231" s="20" t="inlineStr">
        <is>
          <t>ACTIVO</t>
        </is>
      </c>
      <c r="E231" s="22" t="n">
        <v>24</v>
      </c>
      <c r="F231" s="23">
        <f>ROUND(Saldos_Capital_Mensual!I231 + Saldos_Intereses_Mensual!I231, 2)</f>
        <v/>
      </c>
      <c r="G231" s="23">
        <f>ROUND(Saldos_Capital_Mensual!J231 + Saldos_Intereses_Mensual!J231, 2)</f>
        <v/>
      </c>
      <c r="H231" s="23">
        <f>ROUND(Saldos_Capital_Mensual!K231 + Saldos_Intereses_Mensual!K231, 2)</f>
        <v/>
      </c>
      <c r="I231" s="23">
        <f>ROUND(Saldos_Capital_Mensual!L231 + Saldos_Intereses_Mensual!L231, 2)</f>
        <v/>
      </c>
      <c r="J231" s="23">
        <f>ROUND(Saldos_Capital_Mensual!M231 + Saldos_Intereses_Mensual!M231, 2)</f>
        <v/>
      </c>
      <c r="K231" s="23">
        <f>ROUND(Saldos_Capital_Mensual!N231 + Saldos_Intereses_Mensual!N231, 2)</f>
        <v/>
      </c>
      <c r="L231" s="23">
        <f>ROUND(Saldos_Capital_Mensual!O231 + Saldos_Intereses_Mensual!O231, 2)</f>
        <v/>
      </c>
      <c r="M231" s="23">
        <f>ROUND(Saldos_Capital_Mensual!P231 + Saldos_Intereses_Mensual!P231, 2)</f>
        <v/>
      </c>
      <c r="N231" s="23">
        <f>ROUND(Saldos_Capital_Mensual!Q231 + Saldos_Intereses_Mensual!Q231, 2)</f>
        <v/>
      </c>
      <c r="O231" s="23">
        <f>ROUND(Saldos_Capital_Mensual!R231 + Saldos_Intereses_Mensual!R231, 2)</f>
        <v/>
      </c>
      <c r="P231" s="23">
        <f>ROUND(Saldos_Capital_Mensual!S231 + Saldos_Intereses_Mensual!S231, 2)</f>
        <v/>
      </c>
      <c r="Q231" s="23">
        <f>ROUND(Saldos_Capital_Mensual!T231 + Saldos_Intereses_Mensual!T231, 2)</f>
        <v/>
      </c>
      <c r="R231" s="23">
        <f>MAX(F231:Q231)</f>
        <v/>
      </c>
    </row>
    <row r="232">
      <c r="A232" s="26" t="inlineStr">
        <is>
          <t>0745-0001</t>
        </is>
      </c>
      <c r="B232" s="27" t="inlineStr">
        <is>
          <t>Industrializadora de Productos Lácteos y Derivados los Cuates, S.A. de C.V.</t>
        </is>
      </c>
      <c r="C232" s="27" t="inlineStr">
        <is>
          <t>Outlander Sport SE Plus</t>
        </is>
      </c>
      <c r="D232" s="26" t="inlineStr">
        <is>
          <t>ACTIVO</t>
        </is>
      </c>
      <c r="E232" s="28" t="n">
        <v>36</v>
      </c>
      <c r="F232" s="29">
        <f>ROUND(Saldos_Capital_Mensual!I232 + Saldos_Intereses_Mensual!I232, 2)</f>
        <v/>
      </c>
      <c r="G232" s="29">
        <f>ROUND(Saldos_Capital_Mensual!J232 + Saldos_Intereses_Mensual!J232, 2)</f>
        <v/>
      </c>
      <c r="H232" s="29">
        <f>ROUND(Saldos_Capital_Mensual!K232 + Saldos_Intereses_Mensual!K232, 2)</f>
        <v/>
      </c>
      <c r="I232" s="29">
        <f>ROUND(Saldos_Capital_Mensual!L232 + Saldos_Intereses_Mensual!L232, 2)</f>
        <v/>
      </c>
      <c r="J232" s="29">
        <f>ROUND(Saldos_Capital_Mensual!M232 + Saldos_Intereses_Mensual!M232, 2)</f>
        <v/>
      </c>
      <c r="K232" s="29">
        <f>ROUND(Saldos_Capital_Mensual!N232 + Saldos_Intereses_Mensual!N232, 2)</f>
        <v/>
      </c>
      <c r="L232" s="29">
        <f>ROUND(Saldos_Capital_Mensual!O232 + Saldos_Intereses_Mensual!O232, 2)</f>
        <v/>
      </c>
      <c r="M232" s="29">
        <f>ROUND(Saldos_Capital_Mensual!P232 + Saldos_Intereses_Mensual!P232, 2)</f>
        <v/>
      </c>
      <c r="N232" s="29">
        <f>ROUND(Saldos_Capital_Mensual!Q232 + Saldos_Intereses_Mensual!Q232, 2)</f>
        <v/>
      </c>
      <c r="O232" s="29">
        <f>ROUND(Saldos_Capital_Mensual!R232 + Saldos_Intereses_Mensual!R232, 2)</f>
        <v/>
      </c>
      <c r="P232" s="29">
        <f>ROUND(Saldos_Capital_Mensual!S232 + Saldos_Intereses_Mensual!S232, 2)</f>
        <v/>
      </c>
      <c r="Q232" s="29">
        <f>ROUND(Saldos_Capital_Mensual!T232 + Saldos_Intereses_Mensual!T232, 2)</f>
        <v/>
      </c>
      <c r="R232" s="29">
        <f>MAX(F232:Q232)</f>
        <v/>
      </c>
    </row>
    <row r="233">
      <c r="A233" s="20" t="inlineStr">
        <is>
          <t>0746-0001</t>
        </is>
      </c>
      <c r="B233" s="21" t="inlineStr">
        <is>
          <t>Giovanni Salvador Medina Rubio</t>
        </is>
      </c>
      <c r="C233" s="21" t="inlineStr">
        <is>
          <t>Rapid</t>
        </is>
      </c>
      <c r="D233" s="20" t="inlineStr">
        <is>
          <t>ACTIVO</t>
        </is>
      </c>
      <c r="E233" s="22" t="n">
        <v>36</v>
      </c>
      <c r="F233" s="23" t="inlineStr"/>
      <c r="G233" s="23">
        <f>ROUND(Saldos_Capital_Mensual!J233 + Saldos_Intereses_Mensual!J233, 2)</f>
        <v/>
      </c>
      <c r="H233" s="23">
        <f>ROUND(Saldos_Capital_Mensual!K233 + Saldos_Intereses_Mensual!K233, 2)</f>
        <v/>
      </c>
      <c r="I233" s="23">
        <f>ROUND(Saldos_Capital_Mensual!L233 + Saldos_Intereses_Mensual!L233, 2)</f>
        <v/>
      </c>
      <c r="J233" s="23">
        <f>ROUND(Saldos_Capital_Mensual!M233 + Saldos_Intereses_Mensual!M233, 2)</f>
        <v/>
      </c>
      <c r="K233" s="23">
        <f>ROUND(Saldos_Capital_Mensual!N233 + Saldos_Intereses_Mensual!N233, 2)</f>
        <v/>
      </c>
      <c r="L233" s="23">
        <f>ROUND(Saldos_Capital_Mensual!O233 + Saldos_Intereses_Mensual!O233, 2)</f>
        <v/>
      </c>
      <c r="M233" s="23">
        <f>ROUND(Saldos_Capital_Mensual!P233 + Saldos_Intereses_Mensual!P233, 2)</f>
        <v/>
      </c>
      <c r="N233" s="23">
        <f>ROUND(Saldos_Capital_Mensual!Q233 + Saldos_Intereses_Mensual!Q233, 2)</f>
        <v/>
      </c>
      <c r="O233" s="23">
        <f>ROUND(Saldos_Capital_Mensual!R233 + Saldos_Intereses_Mensual!R233, 2)</f>
        <v/>
      </c>
      <c r="P233" s="23">
        <f>ROUND(Saldos_Capital_Mensual!S233 + Saldos_Intereses_Mensual!S233, 2)</f>
        <v/>
      </c>
      <c r="Q233" s="23">
        <f>ROUND(Saldos_Capital_Mensual!T233 + Saldos_Intereses_Mensual!T233, 2)</f>
        <v/>
      </c>
      <c r="R233" s="23">
        <f>MAX(F233:Q233)</f>
        <v/>
      </c>
    </row>
    <row r="234">
      <c r="A234" s="26" t="inlineStr">
        <is>
          <t>0747-0001</t>
        </is>
      </c>
      <c r="B234" s="27" t="inlineStr">
        <is>
          <t>Brandon Joel Zepeda Romero</t>
        </is>
      </c>
      <c r="C234" s="27" t="inlineStr">
        <is>
          <t>Ranger Raptor</t>
        </is>
      </c>
      <c r="D234" s="26" t="inlineStr">
        <is>
          <t>ACTIVO</t>
        </is>
      </c>
      <c r="E234" s="28" t="n">
        <v>48</v>
      </c>
      <c r="F234" s="29" t="inlineStr"/>
      <c r="G234" s="29">
        <f>ROUND(Saldos_Capital_Mensual!J234 + Saldos_Intereses_Mensual!J234, 2)</f>
        <v/>
      </c>
      <c r="H234" s="29">
        <f>ROUND(Saldos_Capital_Mensual!K234 + Saldos_Intereses_Mensual!K234, 2)</f>
        <v/>
      </c>
      <c r="I234" s="29">
        <f>ROUND(Saldos_Capital_Mensual!L234 + Saldos_Intereses_Mensual!L234, 2)</f>
        <v/>
      </c>
      <c r="J234" s="29">
        <f>ROUND(Saldos_Capital_Mensual!M234 + Saldos_Intereses_Mensual!M234, 2)</f>
        <v/>
      </c>
      <c r="K234" s="29">
        <f>ROUND(Saldos_Capital_Mensual!N234 + Saldos_Intereses_Mensual!N234, 2)</f>
        <v/>
      </c>
      <c r="L234" s="29">
        <f>ROUND(Saldos_Capital_Mensual!O234 + Saldos_Intereses_Mensual!O234, 2)</f>
        <v/>
      </c>
      <c r="M234" s="29">
        <f>ROUND(Saldos_Capital_Mensual!P234 + Saldos_Intereses_Mensual!P234, 2)</f>
        <v/>
      </c>
      <c r="N234" s="29">
        <f>ROUND(Saldos_Capital_Mensual!Q234 + Saldos_Intereses_Mensual!Q234, 2)</f>
        <v/>
      </c>
      <c r="O234" s="29">
        <f>ROUND(Saldos_Capital_Mensual!R234 + Saldos_Intereses_Mensual!R234, 2)</f>
        <v/>
      </c>
      <c r="P234" s="29">
        <f>ROUND(Saldos_Capital_Mensual!S234 + Saldos_Intereses_Mensual!S234, 2)</f>
        <v/>
      </c>
      <c r="Q234" s="29">
        <f>ROUND(Saldos_Capital_Mensual!T234 + Saldos_Intereses_Mensual!T234, 2)</f>
        <v/>
      </c>
      <c r="R234" s="29">
        <f>MAX(F234:Q234)</f>
        <v/>
      </c>
    </row>
    <row r="235">
      <c r="A235" s="20" t="inlineStr">
        <is>
          <t>0748-0001</t>
        </is>
      </c>
      <c r="B235" s="21" t="inlineStr">
        <is>
          <t>Carlos Guerra Iñiguez</t>
        </is>
      </c>
      <c r="C235" s="21" t="inlineStr">
        <is>
          <t>L200 GLX</t>
        </is>
      </c>
      <c r="D235" s="20" t="inlineStr">
        <is>
          <t>ACTIVO</t>
        </is>
      </c>
      <c r="E235" s="22" t="n">
        <v>48</v>
      </c>
      <c r="F235" s="23" t="inlineStr"/>
      <c r="G235" s="23" t="inlineStr"/>
      <c r="H235" s="23">
        <f>ROUND(Saldos_Capital_Mensual!K235 + Saldos_Intereses_Mensual!K235, 2)</f>
        <v/>
      </c>
      <c r="I235" s="23">
        <f>ROUND(Saldos_Capital_Mensual!L235 + Saldos_Intereses_Mensual!L235, 2)</f>
        <v/>
      </c>
      <c r="J235" s="23">
        <f>ROUND(Saldos_Capital_Mensual!M235 + Saldos_Intereses_Mensual!M235, 2)</f>
        <v/>
      </c>
      <c r="K235" s="23">
        <f>ROUND(Saldos_Capital_Mensual!N235 + Saldos_Intereses_Mensual!N235, 2)</f>
        <v/>
      </c>
      <c r="L235" s="23">
        <f>ROUND(Saldos_Capital_Mensual!O235 + Saldos_Intereses_Mensual!O235, 2)</f>
        <v/>
      </c>
      <c r="M235" s="23">
        <f>ROUND(Saldos_Capital_Mensual!P235 + Saldos_Intereses_Mensual!P235, 2)</f>
        <v/>
      </c>
      <c r="N235" s="23">
        <f>ROUND(Saldos_Capital_Mensual!Q235 + Saldos_Intereses_Mensual!Q235, 2)</f>
        <v/>
      </c>
      <c r="O235" s="23">
        <f>ROUND(Saldos_Capital_Mensual!R235 + Saldos_Intereses_Mensual!R235, 2)</f>
        <v/>
      </c>
      <c r="P235" s="23">
        <f>ROUND(Saldos_Capital_Mensual!S235 + Saldos_Intereses_Mensual!S235, 2)</f>
        <v/>
      </c>
      <c r="Q235" s="23">
        <f>ROUND(Saldos_Capital_Mensual!T235 + Saldos_Intereses_Mensual!T235, 2)</f>
        <v/>
      </c>
      <c r="R235" s="23">
        <f>MAX(F235:Q235)</f>
        <v/>
      </c>
    </row>
    <row r="236">
      <c r="A236" s="26" t="inlineStr">
        <is>
          <t>0749-0001</t>
        </is>
      </c>
      <c r="B236" s="27" t="inlineStr">
        <is>
          <t>Álvarez Fletes Nacionales, S.C.</t>
        </is>
      </c>
      <c r="C236" s="27" t="inlineStr">
        <is>
          <t>RAM 700 TRADESMAN CC</t>
        </is>
      </c>
      <c r="D236" s="26" t="inlineStr">
        <is>
          <t>ACTIVO</t>
        </is>
      </c>
      <c r="E236" s="28" t="n">
        <v>36</v>
      </c>
      <c r="F236" s="29" t="inlineStr"/>
      <c r="G236" s="29" t="inlineStr"/>
      <c r="H236" s="29">
        <f>ROUND(Saldos_Capital_Mensual!K236 + Saldos_Intereses_Mensual!K236, 2)</f>
        <v/>
      </c>
      <c r="I236" s="29">
        <f>ROUND(Saldos_Capital_Mensual!L236 + Saldos_Intereses_Mensual!L236, 2)</f>
        <v/>
      </c>
      <c r="J236" s="29">
        <f>ROUND(Saldos_Capital_Mensual!M236 + Saldos_Intereses_Mensual!M236, 2)</f>
        <v/>
      </c>
      <c r="K236" s="29">
        <f>ROUND(Saldos_Capital_Mensual!N236 + Saldos_Intereses_Mensual!N236, 2)</f>
        <v/>
      </c>
      <c r="L236" s="29">
        <f>ROUND(Saldos_Capital_Mensual!O236 + Saldos_Intereses_Mensual!O236, 2)</f>
        <v/>
      </c>
      <c r="M236" s="29">
        <f>ROUND(Saldos_Capital_Mensual!P236 + Saldos_Intereses_Mensual!P236, 2)</f>
        <v/>
      </c>
      <c r="N236" s="29">
        <f>ROUND(Saldos_Capital_Mensual!Q236 + Saldos_Intereses_Mensual!Q236, 2)</f>
        <v/>
      </c>
      <c r="O236" s="29">
        <f>ROUND(Saldos_Capital_Mensual!R236 + Saldos_Intereses_Mensual!R236, 2)</f>
        <v/>
      </c>
      <c r="P236" s="29">
        <f>ROUND(Saldos_Capital_Mensual!S236 + Saldos_Intereses_Mensual!S236, 2)</f>
        <v/>
      </c>
      <c r="Q236" s="29">
        <f>ROUND(Saldos_Capital_Mensual!T236 + Saldos_Intereses_Mensual!T236, 2)</f>
        <v/>
      </c>
      <c r="R236" s="29">
        <f>MAX(F236:Q236)</f>
        <v/>
      </c>
    </row>
    <row r="237">
      <c r="A237" s="20" t="inlineStr">
        <is>
          <t>0749-0002</t>
        </is>
      </c>
      <c r="B237" s="21" t="inlineStr">
        <is>
          <t>Álvarez Fletes Nacionales, S.C.</t>
        </is>
      </c>
      <c r="C237" s="21" t="inlineStr">
        <is>
          <t>RAM 700 TRADESMAN CC</t>
        </is>
      </c>
      <c r="D237" s="20" t="inlineStr">
        <is>
          <t>ACTIVO</t>
        </is>
      </c>
      <c r="E237" s="22" t="n">
        <v>36</v>
      </c>
      <c r="F237" s="23" t="inlineStr"/>
      <c r="G237" s="23" t="inlineStr"/>
      <c r="H237" s="23">
        <f>ROUND(Saldos_Capital_Mensual!K237 + Saldos_Intereses_Mensual!K237, 2)</f>
        <v/>
      </c>
      <c r="I237" s="23">
        <f>ROUND(Saldos_Capital_Mensual!L237 + Saldos_Intereses_Mensual!L237, 2)</f>
        <v/>
      </c>
      <c r="J237" s="23">
        <f>ROUND(Saldos_Capital_Mensual!M237 + Saldos_Intereses_Mensual!M237, 2)</f>
        <v/>
      </c>
      <c r="K237" s="23">
        <f>ROUND(Saldos_Capital_Mensual!N237 + Saldos_Intereses_Mensual!N237, 2)</f>
        <v/>
      </c>
      <c r="L237" s="23">
        <f>ROUND(Saldos_Capital_Mensual!O237 + Saldos_Intereses_Mensual!O237, 2)</f>
        <v/>
      </c>
      <c r="M237" s="23">
        <f>ROUND(Saldos_Capital_Mensual!P237 + Saldos_Intereses_Mensual!P237, 2)</f>
        <v/>
      </c>
      <c r="N237" s="23">
        <f>ROUND(Saldos_Capital_Mensual!Q237 + Saldos_Intereses_Mensual!Q237, 2)</f>
        <v/>
      </c>
      <c r="O237" s="23">
        <f>ROUND(Saldos_Capital_Mensual!R237 + Saldos_Intereses_Mensual!R237, 2)</f>
        <v/>
      </c>
      <c r="P237" s="23">
        <f>ROUND(Saldos_Capital_Mensual!S237 + Saldos_Intereses_Mensual!S237, 2)</f>
        <v/>
      </c>
      <c r="Q237" s="23">
        <f>ROUND(Saldos_Capital_Mensual!T237 + Saldos_Intereses_Mensual!T237, 2)</f>
        <v/>
      </c>
      <c r="R237" s="23">
        <f>MAX(F237:Q237)</f>
        <v/>
      </c>
    </row>
    <row r="238">
      <c r="A238" s="26" t="inlineStr">
        <is>
          <t>0750-0001</t>
        </is>
      </c>
      <c r="B238" s="27" t="inlineStr">
        <is>
          <t>Idea Gelato S de RL de CV</t>
        </is>
      </c>
      <c r="C238" s="27" t="inlineStr">
        <is>
          <t>Expert Furgon</t>
        </is>
      </c>
      <c r="D238" s="26" t="inlineStr">
        <is>
          <t>ACTIVO</t>
        </is>
      </c>
      <c r="E238" s="28" t="n">
        <v>24</v>
      </c>
      <c r="F238" s="29" t="inlineStr"/>
      <c r="G238" s="29" t="inlineStr"/>
      <c r="H238" s="29">
        <f>ROUND(Saldos_Capital_Mensual!K238 + Saldos_Intereses_Mensual!K238, 2)</f>
        <v/>
      </c>
      <c r="I238" s="29">
        <f>ROUND(Saldos_Capital_Mensual!L238 + Saldos_Intereses_Mensual!L238, 2)</f>
        <v/>
      </c>
      <c r="J238" s="29">
        <f>ROUND(Saldos_Capital_Mensual!M238 + Saldos_Intereses_Mensual!M238, 2)</f>
        <v/>
      </c>
      <c r="K238" s="29">
        <f>ROUND(Saldos_Capital_Mensual!N238 + Saldos_Intereses_Mensual!N238, 2)</f>
        <v/>
      </c>
      <c r="L238" s="29">
        <f>ROUND(Saldos_Capital_Mensual!O238 + Saldos_Intereses_Mensual!O238, 2)</f>
        <v/>
      </c>
      <c r="M238" s="29">
        <f>ROUND(Saldos_Capital_Mensual!P238 + Saldos_Intereses_Mensual!P238, 2)</f>
        <v/>
      </c>
      <c r="N238" s="29">
        <f>ROUND(Saldos_Capital_Mensual!Q238 + Saldos_Intereses_Mensual!Q238, 2)</f>
        <v/>
      </c>
      <c r="O238" s="29">
        <f>ROUND(Saldos_Capital_Mensual!R238 + Saldos_Intereses_Mensual!R238, 2)</f>
        <v/>
      </c>
      <c r="P238" s="29">
        <f>ROUND(Saldos_Capital_Mensual!S238 + Saldos_Intereses_Mensual!S238, 2)</f>
        <v/>
      </c>
      <c r="Q238" s="29">
        <f>ROUND(Saldos_Capital_Mensual!T238 + Saldos_Intereses_Mensual!T238, 2)</f>
        <v/>
      </c>
      <c r="R238" s="29">
        <f>MAX(F238:Q238)</f>
        <v/>
      </c>
    </row>
    <row r="239">
      <c r="A239" s="20" t="inlineStr">
        <is>
          <t>0752-0001</t>
        </is>
      </c>
      <c r="B239" s="21" t="inlineStr">
        <is>
          <t>Fernando Plasencia Lopez</t>
        </is>
      </c>
      <c r="C239" s="21" t="inlineStr">
        <is>
          <t>Grand Cherokee Limited</t>
        </is>
      </c>
      <c r="D239" s="20" t="inlineStr">
        <is>
          <t>ACTIVO</t>
        </is>
      </c>
      <c r="E239" s="22" t="n">
        <v>24</v>
      </c>
      <c r="F239" s="23" t="inlineStr"/>
      <c r="G239" s="23" t="inlineStr"/>
      <c r="H239" s="23">
        <f>ROUND(Saldos_Capital_Mensual!K239 + Saldos_Intereses_Mensual!K239, 2)</f>
        <v/>
      </c>
      <c r="I239" s="23">
        <f>ROUND(Saldos_Capital_Mensual!L239 + Saldos_Intereses_Mensual!L239, 2)</f>
        <v/>
      </c>
      <c r="J239" s="23">
        <f>ROUND(Saldos_Capital_Mensual!M239 + Saldos_Intereses_Mensual!M239, 2)</f>
        <v/>
      </c>
      <c r="K239" s="23">
        <f>ROUND(Saldos_Capital_Mensual!N239 + Saldos_Intereses_Mensual!N239, 2)</f>
        <v/>
      </c>
      <c r="L239" s="23">
        <f>ROUND(Saldos_Capital_Mensual!O239 + Saldos_Intereses_Mensual!O239, 2)</f>
        <v/>
      </c>
      <c r="M239" s="23">
        <f>ROUND(Saldos_Capital_Mensual!P239 + Saldos_Intereses_Mensual!P239, 2)</f>
        <v/>
      </c>
      <c r="N239" s="23">
        <f>ROUND(Saldos_Capital_Mensual!Q239 + Saldos_Intereses_Mensual!Q239, 2)</f>
        <v/>
      </c>
      <c r="O239" s="23">
        <f>ROUND(Saldos_Capital_Mensual!R239 + Saldos_Intereses_Mensual!R239, 2)</f>
        <v/>
      </c>
      <c r="P239" s="23">
        <f>ROUND(Saldos_Capital_Mensual!S239 + Saldos_Intereses_Mensual!S239, 2)</f>
        <v/>
      </c>
      <c r="Q239" s="23">
        <f>ROUND(Saldos_Capital_Mensual!T239 + Saldos_Intereses_Mensual!T239, 2)</f>
        <v/>
      </c>
      <c r="R239" s="23">
        <f>MAX(F239:Q239)</f>
        <v/>
      </c>
    </row>
    <row r="240">
      <c r="A240" s="26" t="inlineStr">
        <is>
          <t>0752-0002</t>
        </is>
      </c>
      <c r="B240" s="27" t="inlineStr">
        <is>
          <t>Fernando Plasencia Lopez</t>
        </is>
      </c>
      <c r="C240" s="27" t="inlineStr">
        <is>
          <t>Grand Cherokee Altitude</t>
        </is>
      </c>
      <c r="D240" s="26" t="inlineStr">
        <is>
          <t>ACTIVO</t>
        </is>
      </c>
      <c r="E240" s="28" t="n">
        <v>24</v>
      </c>
      <c r="F240" s="29" t="inlineStr"/>
      <c r="G240" s="29" t="inlineStr"/>
      <c r="H240" s="29">
        <f>ROUND(Saldos_Capital_Mensual!K240 + Saldos_Intereses_Mensual!K240, 2)</f>
        <v/>
      </c>
      <c r="I240" s="29">
        <f>ROUND(Saldos_Capital_Mensual!L240 + Saldos_Intereses_Mensual!L240, 2)</f>
        <v/>
      </c>
      <c r="J240" s="29">
        <f>ROUND(Saldos_Capital_Mensual!M240 + Saldos_Intereses_Mensual!M240, 2)</f>
        <v/>
      </c>
      <c r="K240" s="29">
        <f>ROUND(Saldos_Capital_Mensual!N240 + Saldos_Intereses_Mensual!N240, 2)</f>
        <v/>
      </c>
      <c r="L240" s="29">
        <f>ROUND(Saldos_Capital_Mensual!O240 + Saldos_Intereses_Mensual!O240, 2)</f>
        <v/>
      </c>
      <c r="M240" s="29">
        <f>ROUND(Saldos_Capital_Mensual!P240 + Saldos_Intereses_Mensual!P240, 2)</f>
        <v/>
      </c>
      <c r="N240" s="29">
        <f>ROUND(Saldos_Capital_Mensual!Q240 + Saldos_Intereses_Mensual!Q240, 2)</f>
        <v/>
      </c>
      <c r="O240" s="29">
        <f>ROUND(Saldos_Capital_Mensual!R240 + Saldos_Intereses_Mensual!R240, 2)</f>
        <v/>
      </c>
      <c r="P240" s="29">
        <f>ROUND(Saldos_Capital_Mensual!S240 + Saldos_Intereses_Mensual!S240, 2)</f>
        <v/>
      </c>
      <c r="Q240" s="29">
        <f>ROUND(Saldos_Capital_Mensual!T240 + Saldos_Intereses_Mensual!T240, 2)</f>
        <v/>
      </c>
      <c r="R240" s="29">
        <f>MAX(F240:Q240)</f>
        <v/>
      </c>
    </row>
    <row r="241">
      <c r="A241" s="20" t="inlineStr">
        <is>
          <t>0752-0003</t>
        </is>
      </c>
      <c r="B241" s="21" t="inlineStr">
        <is>
          <t>Fernando Plasencia Lopez</t>
        </is>
      </c>
      <c r="C241" s="21" t="inlineStr">
        <is>
          <t>Grand Cherokee Summit</t>
        </is>
      </c>
      <c r="D241" s="20" t="inlineStr">
        <is>
          <t>ACTIVO</t>
        </is>
      </c>
      <c r="E241" s="22" t="n">
        <v>24</v>
      </c>
      <c r="F241" s="23" t="inlineStr"/>
      <c r="G241" s="23" t="inlineStr"/>
      <c r="H241" s="23" t="inlineStr"/>
      <c r="I241" s="23" t="inlineStr"/>
      <c r="J241" s="23">
        <f>ROUND(Saldos_Capital_Mensual!M241 + Saldos_Intereses_Mensual!M241, 2)</f>
        <v/>
      </c>
      <c r="K241" s="23">
        <f>ROUND(Saldos_Capital_Mensual!N241 + Saldos_Intereses_Mensual!N241, 2)</f>
        <v/>
      </c>
      <c r="L241" s="23">
        <f>ROUND(Saldos_Capital_Mensual!O241 + Saldos_Intereses_Mensual!O241, 2)</f>
        <v/>
      </c>
      <c r="M241" s="23">
        <f>ROUND(Saldos_Capital_Mensual!P241 + Saldos_Intereses_Mensual!P241, 2)</f>
        <v/>
      </c>
      <c r="N241" s="23">
        <f>ROUND(Saldos_Capital_Mensual!Q241 + Saldos_Intereses_Mensual!Q241, 2)</f>
        <v/>
      </c>
      <c r="O241" s="23">
        <f>ROUND(Saldos_Capital_Mensual!R241 + Saldos_Intereses_Mensual!R241, 2)</f>
        <v/>
      </c>
      <c r="P241" s="23">
        <f>ROUND(Saldos_Capital_Mensual!S241 + Saldos_Intereses_Mensual!S241, 2)</f>
        <v/>
      </c>
      <c r="Q241" s="23">
        <f>ROUND(Saldos_Capital_Mensual!T241 + Saldos_Intereses_Mensual!T241, 2)</f>
        <v/>
      </c>
      <c r="R241" s="23">
        <f>MAX(F241:Q241)</f>
        <v/>
      </c>
    </row>
    <row r="242">
      <c r="A242" s="26" t="inlineStr">
        <is>
          <t>0752-0004</t>
        </is>
      </c>
      <c r="B242" s="27" t="inlineStr">
        <is>
          <t>Fernando Plasencia Lopez</t>
        </is>
      </c>
      <c r="C242" s="27" t="inlineStr">
        <is>
          <t>1200 BIGHORN CC</t>
        </is>
      </c>
      <c r="D242" s="26" t="inlineStr">
        <is>
          <t>ACTIVO</t>
        </is>
      </c>
      <c r="E242" s="28" t="n">
        <v>48</v>
      </c>
      <c r="F242" s="29" t="inlineStr"/>
      <c r="G242" s="29" t="inlineStr"/>
      <c r="H242" s="29" t="inlineStr"/>
      <c r="I242" s="29" t="inlineStr"/>
      <c r="J242" s="29" t="inlineStr"/>
      <c r="K242" s="29">
        <f>ROUND(Saldos_Capital_Mensual!N242 + Saldos_Intereses_Mensual!N242, 2)</f>
        <v/>
      </c>
      <c r="L242" s="29">
        <f>ROUND(Saldos_Capital_Mensual!O242 + Saldos_Intereses_Mensual!O242, 2)</f>
        <v/>
      </c>
      <c r="M242" s="29">
        <f>ROUND(Saldos_Capital_Mensual!P242 + Saldos_Intereses_Mensual!P242, 2)</f>
        <v/>
      </c>
      <c r="N242" s="29">
        <f>ROUND(Saldos_Capital_Mensual!Q242 + Saldos_Intereses_Mensual!Q242, 2)</f>
        <v/>
      </c>
      <c r="O242" s="29">
        <f>ROUND(Saldos_Capital_Mensual!R242 + Saldos_Intereses_Mensual!R242, 2)</f>
        <v/>
      </c>
      <c r="P242" s="29">
        <f>ROUND(Saldos_Capital_Mensual!S242 + Saldos_Intereses_Mensual!S242, 2)</f>
        <v/>
      </c>
      <c r="Q242" s="29">
        <f>ROUND(Saldos_Capital_Mensual!T242 + Saldos_Intereses_Mensual!T242, 2)</f>
        <v/>
      </c>
      <c r="R242" s="29">
        <f>MAX(F242:Q242)</f>
        <v/>
      </c>
    </row>
    <row r="243">
      <c r="A243" s="20" t="inlineStr">
        <is>
          <t>0752-0005</t>
        </is>
      </c>
      <c r="B243" s="21" t="inlineStr">
        <is>
          <t>Fernando Plasencia Lopez</t>
        </is>
      </c>
      <c r="C243" s="21" t="inlineStr">
        <is>
          <t>Grand Charokee Altitude</t>
        </is>
      </c>
      <c r="D243" s="20" t="inlineStr">
        <is>
          <t>ACTIVO</t>
        </is>
      </c>
      <c r="E243" s="22" t="n">
        <v>24</v>
      </c>
      <c r="F243" s="23" t="inlineStr"/>
      <c r="G243" s="23" t="inlineStr"/>
      <c r="H243" s="23" t="inlineStr"/>
      <c r="I243" s="23" t="inlineStr"/>
      <c r="J243" s="23" t="inlineStr"/>
      <c r="K243" s="23">
        <f>ROUND(Saldos_Capital_Mensual!N243 + Saldos_Intereses_Mensual!N243, 2)</f>
        <v/>
      </c>
      <c r="L243" s="23">
        <f>ROUND(Saldos_Capital_Mensual!O243 + Saldos_Intereses_Mensual!O243, 2)</f>
        <v/>
      </c>
      <c r="M243" s="23">
        <f>ROUND(Saldos_Capital_Mensual!P243 + Saldos_Intereses_Mensual!P243, 2)</f>
        <v/>
      </c>
      <c r="N243" s="23">
        <f>ROUND(Saldos_Capital_Mensual!Q243 + Saldos_Intereses_Mensual!Q243, 2)</f>
        <v/>
      </c>
      <c r="O243" s="23">
        <f>ROUND(Saldos_Capital_Mensual!R243 + Saldos_Intereses_Mensual!R243, 2)</f>
        <v/>
      </c>
      <c r="P243" s="23">
        <f>ROUND(Saldos_Capital_Mensual!S243 + Saldos_Intereses_Mensual!S243, 2)</f>
        <v/>
      </c>
      <c r="Q243" s="23">
        <f>ROUND(Saldos_Capital_Mensual!T243 + Saldos_Intereses_Mensual!T243, 2)</f>
        <v/>
      </c>
      <c r="R243" s="23">
        <f>MAX(F243:Q243)</f>
        <v/>
      </c>
    </row>
    <row r="244">
      <c r="A244" s="26" t="inlineStr">
        <is>
          <t>0753-0001</t>
        </is>
      </c>
      <c r="B244" s="27" t="inlineStr">
        <is>
          <t>Milodi Seguridad Privada</t>
        </is>
      </c>
      <c r="C244" s="27" t="inlineStr">
        <is>
          <t>Alsvin</t>
        </is>
      </c>
      <c r="D244" s="26" t="inlineStr">
        <is>
          <t>ACTIVO</t>
        </is>
      </c>
      <c r="E244" s="28" t="n">
        <v>36</v>
      </c>
      <c r="F244" s="29" t="inlineStr"/>
      <c r="G244" s="29" t="inlineStr"/>
      <c r="H244" s="29">
        <f>ROUND(Saldos_Capital_Mensual!K244 + Saldos_Intereses_Mensual!K244, 2)</f>
        <v/>
      </c>
      <c r="I244" s="29">
        <f>ROUND(Saldos_Capital_Mensual!L244 + Saldos_Intereses_Mensual!L244, 2)</f>
        <v/>
      </c>
      <c r="J244" s="29">
        <f>ROUND(Saldos_Capital_Mensual!M244 + Saldos_Intereses_Mensual!M244, 2)</f>
        <v/>
      </c>
      <c r="K244" s="29">
        <f>ROUND(Saldos_Capital_Mensual!N244 + Saldos_Intereses_Mensual!N244, 2)</f>
        <v/>
      </c>
      <c r="L244" s="29">
        <f>ROUND(Saldos_Capital_Mensual!O244 + Saldos_Intereses_Mensual!O244, 2)</f>
        <v/>
      </c>
      <c r="M244" s="29">
        <f>ROUND(Saldos_Capital_Mensual!P244 + Saldos_Intereses_Mensual!P244, 2)</f>
        <v/>
      </c>
      <c r="N244" s="29">
        <f>ROUND(Saldos_Capital_Mensual!Q244 + Saldos_Intereses_Mensual!Q244, 2)</f>
        <v/>
      </c>
      <c r="O244" s="29">
        <f>ROUND(Saldos_Capital_Mensual!R244 + Saldos_Intereses_Mensual!R244, 2)</f>
        <v/>
      </c>
      <c r="P244" s="29">
        <f>ROUND(Saldos_Capital_Mensual!S244 + Saldos_Intereses_Mensual!S244, 2)</f>
        <v/>
      </c>
      <c r="Q244" s="29">
        <f>ROUND(Saldos_Capital_Mensual!T244 + Saldos_Intereses_Mensual!T244, 2)</f>
        <v/>
      </c>
      <c r="R244" s="29">
        <f>MAX(F244:Q244)</f>
        <v/>
      </c>
    </row>
    <row r="245">
      <c r="A245" s="20" t="inlineStr">
        <is>
          <t>0753-0003</t>
        </is>
      </c>
      <c r="B245" s="21" t="inlineStr">
        <is>
          <t>Milodi Seguridad Privada</t>
        </is>
      </c>
      <c r="C245" s="21" t="inlineStr">
        <is>
          <t>CS35</t>
        </is>
      </c>
      <c r="D245" s="20" t="inlineStr">
        <is>
          <t>ACTIVO</t>
        </is>
      </c>
      <c r="E245" s="22" t="n">
        <v>36</v>
      </c>
      <c r="F245" s="23" t="inlineStr"/>
      <c r="G245" s="23" t="inlineStr"/>
      <c r="H245" s="23" t="inlineStr"/>
      <c r="I245" s="23" t="inlineStr"/>
      <c r="J245" s="23" t="inlineStr"/>
      <c r="K245" s="23">
        <f>ROUND(Saldos_Capital_Mensual!N245 + Saldos_Intereses_Mensual!N245, 2)</f>
        <v/>
      </c>
      <c r="L245" s="23">
        <f>ROUND(Saldos_Capital_Mensual!O245 + Saldos_Intereses_Mensual!O245, 2)</f>
        <v/>
      </c>
      <c r="M245" s="23">
        <f>ROUND(Saldos_Capital_Mensual!P245 + Saldos_Intereses_Mensual!P245, 2)</f>
        <v/>
      </c>
      <c r="N245" s="23">
        <f>ROUND(Saldos_Capital_Mensual!Q245 + Saldos_Intereses_Mensual!Q245, 2)</f>
        <v/>
      </c>
      <c r="O245" s="23">
        <f>ROUND(Saldos_Capital_Mensual!R245 + Saldos_Intereses_Mensual!R245, 2)</f>
        <v/>
      </c>
      <c r="P245" s="23">
        <f>ROUND(Saldos_Capital_Mensual!S245 + Saldos_Intereses_Mensual!S245, 2)</f>
        <v/>
      </c>
      <c r="Q245" s="23">
        <f>ROUND(Saldos_Capital_Mensual!T245 + Saldos_Intereses_Mensual!T245, 2)</f>
        <v/>
      </c>
      <c r="R245" s="23">
        <f>MAX(F245:Q245)</f>
        <v/>
      </c>
    </row>
    <row r="246">
      <c r="A246" s="26" t="inlineStr">
        <is>
          <t>0754-0001</t>
        </is>
      </c>
      <c r="B246" s="27" t="inlineStr">
        <is>
          <t>Luis Guillermo Rios Villaseñor</t>
        </is>
      </c>
      <c r="C246" s="27" t="inlineStr">
        <is>
          <t>2008 GT</t>
        </is>
      </c>
      <c r="D246" s="26" t="inlineStr">
        <is>
          <t>ACTIVO</t>
        </is>
      </c>
      <c r="E246" s="28" t="n">
        <v>24</v>
      </c>
      <c r="F246" s="29" t="inlineStr"/>
      <c r="G246" s="29" t="inlineStr"/>
      <c r="H246" s="29" t="inlineStr"/>
      <c r="I246" s="29">
        <f>ROUND(Saldos_Capital_Mensual!L246 + Saldos_Intereses_Mensual!L246, 2)</f>
        <v/>
      </c>
      <c r="J246" s="29">
        <f>ROUND(Saldos_Capital_Mensual!M246 + Saldos_Intereses_Mensual!M246, 2)</f>
        <v/>
      </c>
      <c r="K246" s="29">
        <f>ROUND(Saldos_Capital_Mensual!N246 + Saldos_Intereses_Mensual!N246, 2)</f>
        <v/>
      </c>
      <c r="L246" s="29">
        <f>ROUND(Saldos_Capital_Mensual!O246 + Saldos_Intereses_Mensual!O246, 2)</f>
        <v/>
      </c>
      <c r="M246" s="29">
        <f>ROUND(Saldos_Capital_Mensual!P246 + Saldos_Intereses_Mensual!P246, 2)</f>
        <v/>
      </c>
      <c r="N246" s="29">
        <f>ROUND(Saldos_Capital_Mensual!Q246 + Saldos_Intereses_Mensual!Q246, 2)</f>
        <v/>
      </c>
      <c r="O246" s="29">
        <f>ROUND(Saldos_Capital_Mensual!R246 + Saldos_Intereses_Mensual!R246, 2)</f>
        <v/>
      </c>
      <c r="P246" s="29">
        <f>ROUND(Saldos_Capital_Mensual!S246 + Saldos_Intereses_Mensual!S246, 2)</f>
        <v/>
      </c>
      <c r="Q246" s="29">
        <f>ROUND(Saldos_Capital_Mensual!T246 + Saldos_Intereses_Mensual!T246, 2)</f>
        <v/>
      </c>
      <c r="R246" s="29">
        <f>MAX(F246:Q246)</f>
        <v/>
      </c>
    </row>
    <row r="247">
      <c r="A247" s="20" t="inlineStr">
        <is>
          <t>0755-0001</t>
        </is>
      </c>
      <c r="B247" s="21" t="inlineStr">
        <is>
          <t>Abiam Antonio Reyna Aguilar</t>
        </is>
      </c>
      <c r="C247" s="21" t="inlineStr">
        <is>
          <t>1500 RHO</t>
        </is>
      </c>
      <c r="D247" s="20" t="inlineStr">
        <is>
          <t>ACTIVO</t>
        </is>
      </c>
      <c r="E247" s="22" t="n">
        <v>12</v>
      </c>
      <c r="F247" s="23" t="inlineStr"/>
      <c r="G247" s="23" t="inlineStr"/>
      <c r="H247" s="23" t="inlineStr"/>
      <c r="I247" s="23">
        <f>ROUND(Saldos_Capital_Mensual!L247 + Saldos_Intereses_Mensual!L247, 2)</f>
        <v/>
      </c>
      <c r="J247" s="23">
        <f>ROUND(Saldos_Capital_Mensual!M247 + Saldos_Intereses_Mensual!M247, 2)</f>
        <v/>
      </c>
      <c r="K247" s="23">
        <f>ROUND(Saldos_Capital_Mensual!N247 + Saldos_Intereses_Mensual!N247, 2)</f>
        <v/>
      </c>
      <c r="L247" s="23">
        <f>ROUND(Saldos_Capital_Mensual!O247 + Saldos_Intereses_Mensual!O247, 2)</f>
        <v/>
      </c>
      <c r="M247" s="23">
        <f>ROUND(Saldos_Capital_Mensual!P247 + Saldos_Intereses_Mensual!P247, 2)</f>
        <v/>
      </c>
      <c r="N247" s="23">
        <f>ROUND(Saldos_Capital_Mensual!Q247 + Saldos_Intereses_Mensual!Q247, 2)</f>
        <v/>
      </c>
      <c r="O247" s="23">
        <f>ROUND(Saldos_Capital_Mensual!R247 + Saldos_Intereses_Mensual!R247, 2)</f>
        <v/>
      </c>
      <c r="P247" s="23">
        <f>ROUND(Saldos_Capital_Mensual!S247 + Saldos_Intereses_Mensual!S247, 2)</f>
        <v/>
      </c>
      <c r="Q247" s="23">
        <f>ROUND(Saldos_Capital_Mensual!T247 + Saldos_Intereses_Mensual!T247, 2)</f>
        <v/>
      </c>
      <c r="R247" s="23">
        <f>MAX(F247:Q247)</f>
        <v/>
      </c>
    </row>
    <row r="248">
      <c r="A248" s="26" t="inlineStr">
        <is>
          <t>0756-0001</t>
        </is>
      </c>
      <c r="B248" s="27" t="inlineStr">
        <is>
          <t>Agricola Hortiberry, S.A. de C.V.</t>
        </is>
      </c>
      <c r="C248" s="27" t="inlineStr">
        <is>
          <t>1200  Tradesman Chasis Cabina</t>
        </is>
      </c>
      <c r="D248" s="26" t="inlineStr">
        <is>
          <t>ACTIVO</t>
        </is>
      </c>
      <c r="E248" s="28" t="n">
        <v>48</v>
      </c>
      <c r="F248" s="29" t="inlineStr"/>
      <c r="G248" s="29" t="inlineStr"/>
      <c r="H248" s="29" t="inlineStr"/>
      <c r="I248" s="29" t="inlineStr"/>
      <c r="J248" s="29">
        <f>ROUND(Saldos_Capital_Mensual!M248 + Saldos_Intereses_Mensual!M248, 2)</f>
        <v/>
      </c>
      <c r="K248" s="29">
        <f>ROUND(Saldos_Capital_Mensual!N248 + Saldos_Intereses_Mensual!N248, 2)</f>
        <v/>
      </c>
      <c r="L248" s="29">
        <f>ROUND(Saldos_Capital_Mensual!O248 + Saldos_Intereses_Mensual!O248, 2)</f>
        <v/>
      </c>
      <c r="M248" s="29">
        <f>ROUND(Saldos_Capital_Mensual!P248 + Saldos_Intereses_Mensual!P248, 2)</f>
        <v/>
      </c>
      <c r="N248" s="29">
        <f>ROUND(Saldos_Capital_Mensual!Q248 + Saldos_Intereses_Mensual!Q248, 2)</f>
        <v/>
      </c>
      <c r="O248" s="29">
        <f>ROUND(Saldos_Capital_Mensual!R248 + Saldos_Intereses_Mensual!R248, 2)</f>
        <v/>
      </c>
      <c r="P248" s="29">
        <f>ROUND(Saldos_Capital_Mensual!S248 + Saldos_Intereses_Mensual!S248, 2)</f>
        <v/>
      </c>
      <c r="Q248" s="29">
        <f>ROUND(Saldos_Capital_Mensual!T248 + Saldos_Intereses_Mensual!T248, 2)</f>
        <v/>
      </c>
      <c r="R248" s="29">
        <f>MAX(F248:Q248)</f>
        <v/>
      </c>
    </row>
    <row r="249">
      <c r="A249" s="20" t="inlineStr">
        <is>
          <t>0757-0001</t>
        </is>
      </c>
      <c r="B249" s="21" t="inlineStr">
        <is>
          <t>Corporativo de Servicios Integrales de Occidente, S.A. de C.V.</t>
        </is>
      </c>
      <c r="C249" s="21" t="inlineStr">
        <is>
          <t>CX5</t>
        </is>
      </c>
      <c r="D249" s="20" t="inlineStr">
        <is>
          <t>ACTIVO</t>
        </is>
      </c>
      <c r="E249" s="22" t="n">
        <v>24</v>
      </c>
      <c r="F249" s="23" t="inlineStr"/>
      <c r="G249" s="23" t="inlineStr"/>
      <c r="H249" s="23" t="inlineStr"/>
      <c r="I249" s="23" t="inlineStr"/>
      <c r="J249" s="23">
        <f>ROUND(Saldos_Capital_Mensual!M249 + Saldos_Intereses_Mensual!M249, 2)</f>
        <v/>
      </c>
      <c r="K249" s="23">
        <f>ROUND(Saldos_Capital_Mensual!N249 + Saldos_Intereses_Mensual!N249, 2)</f>
        <v/>
      </c>
      <c r="L249" s="23">
        <f>ROUND(Saldos_Capital_Mensual!O249 + Saldos_Intereses_Mensual!O249, 2)</f>
        <v/>
      </c>
      <c r="M249" s="23">
        <f>ROUND(Saldos_Capital_Mensual!P249 + Saldos_Intereses_Mensual!P249, 2)</f>
        <v/>
      </c>
      <c r="N249" s="23">
        <f>ROUND(Saldos_Capital_Mensual!Q249 + Saldos_Intereses_Mensual!Q249, 2)</f>
        <v/>
      </c>
      <c r="O249" s="23">
        <f>ROUND(Saldos_Capital_Mensual!R249 + Saldos_Intereses_Mensual!R249, 2)</f>
        <v/>
      </c>
      <c r="P249" s="23">
        <f>ROUND(Saldos_Capital_Mensual!S249 + Saldos_Intereses_Mensual!S249, 2)</f>
        <v/>
      </c>
      <c r="Q249" s="23">
        <f>ROUND(Saldos_Capital_Mensual!T249 + Saldos_Intereses_Mensual!T249, 2)</f>
        <v/>
      </c>
      <c r="R249" s="23">
        <f>MAX(F249:Q249)</f>
        <v/>
      </c>
    </row>
    <row r="250">
      <c r="A250" s="26" t="inlineStr">
        <is>
          <t>0757-0002</t>
        </is>
      </c>
      <c r="B250" s="27" t="inlineStr">
        <is>
          <t>Corporativo de Servicios Integrales de Occidente, S.A. de C.V.</t>
        </is>
      </c>
      <c r="C250" s="27" t="inlineStr">
        <is>
          <t>Leapmotor B10 2026</t>
        </is>
      </c>
      <c r="D250" s="26" t="inlineStr">
        <is>
          <t>ACTIVO</t>
        </is>
      </c>
      <c r="E250" s="28" t="n">
        <v>36</v>
      </c>
      <c r="F250" s="29" t="inlineStr"/>
      <c r="G250" s="29" t="inlineStr"/>
      <c r="H250" s="29" t="inlineStr"/>
      <c r="I250" s="29" t="inlineStr"/>
      <c r="J250" s="29" t="inlineStr"/>
      <c r="K250" s="29" t="inlineStr"/>
      <c r="L250" s="29">
        <f>ROUND(Saldos_Capital_Mensual!O250 + Saldos_Intereses_Mensual!O250, 2)</f>
        <v/>
      </c>
      <c r="M250" s="29">
        <f>ROUND(Saldos_Capital_Mensual!P250 + Saldos_Intereses_Mensual!P250, 2)</f>
        <v/>
      </c>
      <c r="N250" s="29">
        <f>ROUND(Saldos_Capital_Mensual!Q250 + Saldos_Intereses_Mensual!Q250, 2)</f>
        <v/>
      </c>
      <c r="O250" s="29">
        <f>ROUND(Saldos_Capital_Mensual!R250 + Saldos_Intereses_Mensual!R250, 2)</f>
        <v/>
      </c>
      <c r="P250" s="29">
        <f>ROUND(Saldos_Capital_Mensual!S250 + Saldos_Intereses_Mensual!S250, 2)</f>
        <v/>
      </c>
      <c r="Q250" s="29">
        <f>ROUND(Saldos_Capital_Mensual!T250 + Saldos_Intereses_Mensual!T250, 2)</f>
        <v/>
      </c>
      <c r="R250" s="29">
        <f>MAX(F250:Q250)</f>
        <v/>
      </c>
    </row>
    <row r="251">
      <c r="A251" s="20" t="inlineStr">
        <is>
          <t>0758-0001</t>
        </is>
      </c>
      <c r="B251" s="21" t="inlineStr">
        <is>
          <t>Comedores y Servicios Industriales CAMSAA, S.A. de C.V.</t>
        </is>
      </c>
      <c r="C251" s="21" t="inlineStr">
        <is>
          <t>Partner Rapid</t>
        </is>
      </c>
      <c r="D251" s="20" t="inlineStr">
        <is>
          <t>ACTIVO</t>
        </is>
      </c>
      <c r="E251" s="22" t="n">
        <v>24</v>
      </c>
      <c r="F251" s="23" t="inlineStr"/>
      <c r="G251" s="23" t="inlineStr"/>
      <c r="H251" s="23" t="inlineStr"/>
      <c r="I251" s="23" t="inlineStr"/>
      <c r="J251" s="23">
        <f>ROUND(Saldos_Capital_Mensual!M251 + Saldos_Intereses_Mensual!M251, 2)</f>
        <v/>
      </c>
      <c r="K251" s="23">
        <f>ROUND(Saldos_Capital_Mensual!N251 + Saldos_Intereses_Mensual!N251, 2)</f>
        <v/>
      </c>
      <c r="L251" s="23">
        <f>ROUND(Saldos_Capital_Mensual!O251 + Saldos_Intereses_Mensual!O251, 2)</f>
        <v/>
      </c>
      <c r="M251" s="23">
        <f>ROUND(Saldos_Capital_Mensual!P251 + Saldos_Intereses_Mensual!P251, 2)</f>
        <v/>
      </c>
      <c r="N251" s="23">
        <f>ROUND(Saldos_Capital_Mensual!Q251 + Saldos_Intereses_Mensual!Q251, 2)</f>
        <v/>
      </c>
      <c r="O251" s="23">
        <f>ROUND(Saldos_Capital_Mensual!R251 + Saldos_Intereses_Mensual!R251, 2)</f>
        <v/>
      </c>
      <c r="P251" s="23">
        <f>ROUND(Saldos_Capital_Mensual!S251 + Saldos_Intereses_Mensual!S251, 2)</f>
        <v/>
      </c>
      <c r="Q251" s="23">
        <f>ROUND(Saldos_Capital_Mensual!T251 + Saldos_Intereses_Mensual!T251, 2)</f>
        <v/>
      </c>
      <c r="R251" s="23">
        <f>MAX(F251:Q251)</f>
        <v/>
      </c>
    </row>
    <row r="252">
      <c r="A252" s="26" t="inlineStr">
        <is>
          <t>0759-0001</t>
        </is>
      </c>
      <c r="B252" s="27" t="inlineStr">
        <is>
          <t>Construcciones Ligeras Frin, S.A. de C.V.</t>
        </is>
      </c>
      <c r="C252" s="27" t="inlineStr">
        <is>
          <t>700 BIGHORN CREW CAB</t>
        </is>
      </c>
      <c r="D252" s="26" t="inlineStr">
        <is>
          <t>ACTIVO</t>
        </is>
      </c>
      <c r="E252" s="28" t="n">
        <v>36</v>
      </c>
      <c r="F252" s="29" t="inlineStr"/>
      <c r="G252" s="29" t="inlineStr"/>
      <c r="H252" s="29" t="inlineStr"/>
      <c r="I252" s="29" t="inlineStr"/>
      <c r="J252" s="29">
        <f>ROUND(Saldos_Capital_Mensual!M252 + Saldos_Intereses_Mensual!M252, 2)</f>
        <v/>
      </c>
      <c r="K252" s="29">
        <f>ROUND(Saldos_Capital_Mensual!N252 + Saldos_Intereses_Mensual!N252, 2)</f>
        <v/>
      </c>
      <c r="L252" s="29">
        <f>ROUND(Saldos_Capital_Mensual!O252 + Saldos_Intereses_Mensual!O252, 2)</f>
        <v/>
      </c>
      <c r="M252" s="29">
        <f>ROUND(Saldos_Capital_Mensual!P252 + Saldos_Intereses_Mensual!P252, 2)</f>
        <v/>
      </c>
      <c r="N252" s="29">
        <f>ROUND(Saldos_Capital_Mensual!Q252 + Saldos_Intereses_Mensual!Q252, 2)</f>
        <v/>
      </c>
      <c r="O252" s="29">
        <f>ROUND(Saldos_Capital_Mensual!R252 + Saldos_Intereses_Mensual!R252, 2)</f>
        <v/>
      </c>
      <c r="P252" s="29">
        <f>ROUND(Saldos_Capital_Mensual!S252 + Saldos_Intereses_Mensual!S252, 2)</f>
        <v/>
      </c>
      <c r="Q252" s="29">
        <f>ROUND(Saldos_Capital_Mensual!T252 + Saldos_Intereses_Mensual!T252, 2)</f>
        <v/>
      </c>
      <c r="R252" s="29">
        <f>MAX(F252:Q252)</f>
        <v/>
      </c>
    </row>
    <row r="253">
      <c r="A253" s="20" t="inlineStr">
        <is>
          <t>0759-0002</t>
        </is>
      </c>
      <c r="B253" s="21" t="inlineStr">
        <is>
          <t>Construcciones Ligeras Frin, S.A. de C.V.</t>
        </is>
      </c>
      <c r="C253" s="21" t="inlineStr">
        <is>
          <t>700 TRADESMAN CREW CAB</t>
        </is>
      </c>
      <c r="D253" s="20" t="inlineStr">
        <is>
          <t>ACTIVO</t>
        </is>
      </c>
      <c r="E253" s="22" t="n">
        <v>36</v>
      </c>
      <c r="F253" s="23" t="inlineStr"/>
      <c r="G253" s="23" t="inlineStr"/>
      <c r="H253" s="23" t="inlineStr"/>
      <c r="I253" s="23" t="inlineStr"/>
      <c r="J253" s="23">
        <f>ROUND(Saldos_Capital_Mensual!M253 + Saldos_Intereses_Mensual!M253, 2)</f>
        <v/>
      </c>
      <c r="K253" s="23">
        <f>ROUND(Saldos_Capital_Mensual!N253 + Saldos_Intereses_Mensual!N253, 2)</f>
        <v/>
      </c>
      <c r="L253" s="23">
        <f>ROUND(Saldos_Capital_Mensual!O253 + Saldos_Intereses_Mensual!O253, 2)</f>
        <v/>
      </c>
      <c r="M253" s="23">
        <f>ROUND(Saldos_Capital_Mensual!P253 + Saldos_Intereses_Mensual!P253, 2)</f>
        <v/>
      </c>
      <c r="N253" s="23">
        <f>ROUND(Saldos_Capital_Mensual!Q253 + Saldos_Intereses_Mensual!Q253, 2)</f>
        <v/>
      </c>
      <c r="O253" s="23">
        <f>ROUND(Saldos_Capital_Mensual!R253 + Saldos_Intereses_Mensual!R253, 2)</f>
        <v/>
      </c>
      <c r="P253" s="23">
        <f>ROUND(Saldos_Capital_Mensual!S253 + Saldos_Intereses_Mensual!S253, 2)</f>
        <v/>
      </c>
      <c r="Q253" s="23">
        <f>ROUND(Saldos_Capital_Mensual!T253 + Saldos_Intereses_Mensual!T253, 2)</f>
        <v/>
      </c>
      <c r="R253" s="23">
        <f>MAX(F253:Q253)</f>
        <v/>
      </c>
    </row>
    <row r="254">
      <c r="A254" s="26" t="inlineStr">
        <is>
          <t>0760-0001</t>
        </is>
      </c>
      <c r="B254" s="27" t="inlineStr">
        <is>
          <t>Armando Candelario Figueroa</t>
        </is>
      </c>
      <c r="C254" s="27" t="inlineStr">
        <is>
          <t>1200 TRADESMAN CHASIS CABINA</t>
        </is>
      </c>
      <c r="D254" s="26" t="inlineStr">
        <is>
          <t>ACTIVO</t>
        </is>
      </c>
      <c r="E254" s="28" t="n">
        <v>48</v>
      </c>
      <c r="F254" s="29" t="inlineStr"/>
      <c r="G254" s="29" t="inlineStr"/>
      <c r="H254" s="29" t="inlineStr"/>
      <c r="I254" s="29" t="inlineStr"/>
      <c r="J254" s="29">
        <f>ROUND(Saldos_Capital_Mensual!M254 + Saldos_Intereses_Mensual!M254, 2)</f>
        <v/>
      </c>
      <c r="K254" s="29">
        <f>ROUND(Saldos_Capital_Mensual!N254 + Saldos_Intereses_Mensual!N254, 2)</f>
        <v/>
      </c>
      <c r="L254" s="29">
        <f>ROUND(Saldos_Capital_Mensual!O254 + Saldos_Intereses_Mensual!O254, 2)</f>
        <v/>
      </c>
      <c r="M254" s="29">
        <f>ROUND(Saldos_Capital_Mensual!P254 + Saldos_Intereses_Mensual!P254, 2)</f>
        <v/>
      </c>
      <c r="N254" s="29">
        <f>ROUND(Saldos_Capital_Mensual!Q254 + Saldos_Intereses_Mensual!Q254, 2)</f>
        <v/>
      </c>
      <c r="O254" s="29">
        <f>ROUND(Saldos_Capital_Mensual!R254 + Saldos_Intereses_Mensual!R254, 2)</f>
        <v/>
      </c>
      <c r="P254" s="29">
        <f>ROUND(Saldos_Capital_Mensual!S254 + Saldos_Intereses_Mensual!S254, 2)</f>
        <v/>
      </c>
      <c r="Q254" s="29">
        <f>ROUND(Saldos_Capital_Mensual!T254 + Saldos_Intereses_Mensual!T254, 2)</f>
        <v/>
      </c>
      <c r="R254" s="29">
        <f>MAX(F254:Q254)</f>
        <v/>
      </c>
    </row>
    <row r="255">
      <c r="A255" s="20" t="inlineStr">
        <is>
          <t>0761-0001</t>
        </is>
      </c>
      <c r="B255" s="21" t="inlineStr">
        <is>
          <t>Total Experience Produce, S.A.P.I. de C.V.</t>
        </is>
      </c>
      <c r="C255" s="21" t="inlineStr">
        <is>
          <t>700 BIGHORN CREW CAB</t>
        </is>
      </c>
      <c r="D255" s="20" t="inlineStr">
        <is>
          <t>ACTIVO</t>
        </is>
      </c>
      <c r="E255" s="22" t="n">
        <v>48</v>
      </c>
      <c r="F255" s="23" t="inlineStr"/>
      <c r="G255" s="23" t="inlineStr"/>
      <c r="H255" s="23" t="inlineStr"/>
      <c r="I255" s="23" t="inlineStr"/>
      <c r="J255" s="23">
        <f>ROUND(Saldos_Capital_Mensual!M255 + Saldos_Intereses_Mensual!M255, 2)</f>
        <v/>
      </c>
      <c r="K255" s="23">
        <f>ROUND(Saldos_Capital_Mensual!N255 + Saldos_Intereses_Mensual!N255, 2)</f>
        <v/>
      </c>
      <c r="L255" s="23">
        <f>ROUND(Saldos_Capital_Mensual!O255 + Saldos_Intereses_Mensual!O255, 2)</f>
        <v/>
      </c>
      <c r="M255" s="23">
        <f>ROUND(Saldos_Capital_Mensual!P255 + Saldos_Intereses_Mensual!P255, 2)</f>
        <v/>
      </c>
      <c r="N255" s="23">
        <f>ROUND(Saldos_Capital_Mensual!Q255 + Saldos_Intereses_Mensual!Q255, 2)</f>
        <v/>
      </c>
      <c r="O255" s="23">
        <f>ROUND(Saldos_Capital_Mensual!R255 + Saldos_Intereses_Mensual!R255, 2)</f>
        <v/>
      </c>
      <c r="P255" s="23">
        <f>ROUND(Saldos_Capital_Mensual!S255 + Saldos_Intereses_Mensual!S255, 2)</f>
        <v/>
      </c>
      <c r="Q255" s="23">
        <f>ROUND(Saldos_Capital_Mensual!T255 + Saldos_Intereses_Mensual!T255, 2)</f>
        <v/>
      </c>
      <c r="R255" s="23">
        <f>MAX(F255:Q255)</f>
        <v/>
      </c>
    </row>
    <row r="256">
      <c r="A256" s="26" t="inlineStr">
        <is>
          <t>0763-0001</t>
        </is>
      </c>
      <c r="B256" s="27" t="inlineStr">
        <is>
          <t>Francisco Javier Fernández Gutiérrez</t>
        </is>
      </c>
      <c r="C256" s="27" t="inlineStr">
        <is>
          <t>1500 RHO</t>
        </is>
      </c>
      <c r="D256" s="26" t="inlineStr">
        <is>
          <t>ACTIVO</t>
        </is>
      </c>
      <c r="E256" s="28" t="n">
        <v>36</v>
      </c>
      <c r="F256" s="29" t="inlineStr"/>
      <c r="G256" s="29" t="inlineStr"/>
      <c r="H256" s="29" t="inlineStr"/>
      <c r="I256" s="29" t="inlineStr"/>
      <c r="J256" s="29">
        <f>ROUND(Saldos_Capital_Mensual!M256 + Saldos_Intereses_Mensual!M256, 2)</f>
        <v/>
      </c>
      <c r="K256" s="29">
        <f>ROUND(Saldos_Capital_Mensual!N256 + Saldos_Intereses_Mensual!N256, 2)</f>
        <v/>
      </c>
      <c r="L256" s="29">
        <f>ROUND(Saldos_Capital_Mensual!O256 + Saldos_Intereses_Mensual!O256, 2)</f>
        <v/>
      </c>
      <c r="M256" s="29">
        <f>ROUND(Saldos_Capital_Mensual!P256 + Saldos_Intereses_Mensual!P256, 2)</f>
        <v/>
      </c>
      <c r="N256" s="29">
        <f>ROUND(Saldos_Capital_Mensual!Q256 + Saldos_Intereses_Mensual!Q256, 2)</f>
        <v/>
      </c>
      <c r="O256" s="29">
        <f>ROUND(Saldos_Capital_Mensual!R256 + Saldos_Intereses_Mensual!R256, 2)</f>
        <v/>
      </c>
      <c r="P256" s="29">
        <f>ROUND(Saldos_Capital_Mensual!S256 + Saldos_Intereses_Mensual!S256, 2)</f>
        <v/>
      </c>
      <c r="Q256" s="29">
        <f>ROUND(Saldos_Capital_Mensual!T256 + Saldos_Intereses_Mensual!T256, 2)</f>
        <v/>
      </c>
      <c r="R256" s="29">
        <f>MAX(F256:Q256)</f>
        <v/>
      </c>
    </row>
    <row r="257">
      <c r="A257" s="20" t="inlineStr">
        <is>
          <t>0764-0001</t>
        </is>
      </c>
      <c r="B257" s="21" t="inlineStr">
        <is>
          <t>Inspectores Marítimos de México, S. de R.L. de C.V.</t>
        </is>
      </c>
      <c r="C257" s="21" t="inlineStr">
        <is>
          <t>1200 Bighorn</t>
        </is>
      </c>
      <c r="D257" s="20" t="inlineStr">
        <is>
          <t>ACTIVO</t>
        </is>
      </c>
      <c r="E257" s="22" t="n">
        <v>36</v>
      </c>
      <c r="F257" s="23" t="inlineStr"/>
      <c r="G257" s="23" t="inlineStr"/>
      <c r="H257" s="23" t="inlineStr"/>
      <c r="I257" s="23" t="inlineStr"/>
      <c r="J257" s="23" t="inlineStr"/>
      <c r="K257" s="23">
        <f>ROUND(Saldos_Capital_Mensual!N257 + Saldos_Intereses_Mensual!N257, 2)</f>
        <v/>
      </c>
      <c r="L257" s="23">
        <f>ROUND(Saldos_Capital_Mensual!O257 + Saldos_Intereses_Mensual!O257, 2)</f>
        <v/>
      </c>
      <c r="M257" s="23">
        <f>ROUND(Saldos_Capital_Mensual!P257 + Saldos_Intereses_Mensual!P257, 2)</f>
        <v/>
      </c>
      <c r="N257" s="23">
        <f>ROUND(Saldos_Capital_Mensual!Q257 + Saldos_Intereses_Mensual!Q257, 2)</f>
        <v/>
      </c>
      <c r="O257" s="23">
        <f>ROUND(Saldos_Capital_Mensual!R257 + Saldos_Intereses_Mensual!R257, 2)</f>
        <v/>
      </c>
      <c r="P257" s="23">
        <f>ROUND(Saldos_Capital_Mensual!S257 + Saldos_Intereses_Mensual!S257, 2)</f>
        <v/>
      </c>
      <c r="Q257" s="23">
        <f>ROUND(Saldos_Capital_Mensual!T257 + Saldos_Intereses_Mensual!T257, 2)</f>
        <v/>
      </c>
      <c r="R257" s="23">
        <f>MAX(F257:Q257)</f>
        <v/>
      </c>
    </row>
    <row r="258">
      <c r="A258" s="26" t="inlineStr">
        <is>
          <t>0765-0001</t>
        </is>
      </c>
      <c r="B258" s="27" t="inlineStr">
        <is>
          <t>Rafael Soltero Sánchez</t>
        </is>
      </c>
      <c r="C258" s="27" t="inlineStr">
        <is>
          <t>1200 Bighorn</t>
        </is>
      </c>
      <c r="D258" s="26" t="inlineStr">
        <is>
          <t>ACTIVO</t>
        </is>
      </c>
      <c r="E258" s="28" t="n">
        <v>48</v>
      </c>
      <c r="F258" s="29" t="inlineStr"/>
      <c r="G258" s="29" t="inlineStr"/>
      <c r="H258" s="29" t="inlineStr"/>
      <c r="I258" s="29" t="inlineStr"/>
      <c r="J258" s="29" t="inlineStr"/>
      <c r="K258" s="29">
        <f>ROUND(Saldos_Capital_Mensual!N258 + Saldos_Intereses_Mensual!N258, 2)</f>
        <v/>
      </c>
      <c r="L258" s="29">
        <f>ROUND(Saldos_Capital_Mensual!O258 + Saldos_Intereses_Mensual!O258, 2)</f>
        <v/>
      </c>
      <c r="M258" s="29">
        <f>ROUND(Saldos_Capital_Mensual!P258 + Saldos_Intereses_Mensual!P258, 2)</f>
        <v/>
      </c>
      <c r="N258" s="29">
        <f>ROUND(Saldos_Capital_Mensual!Q258 + Saldos_Intereses_Mensual!Q258, 2)</f>
        <v/>
      </c>
      <c r="O258" s="29">
        <f>ROUND(Saldos_Capital_Mensual!R258 + Saldos_Intereses_Mensual!R258, 2)</f>
        <v/>
      </c>
      <c r="P258" s="29">
        <f>ROUND(Saldos_Capital_Mensual!S258 + Saldos_Intereses_Mensual!S258, 2)</f>
        <v/>
      </c>
      <c r="Q258" s="29">
        <f>ROUND(Saldos_Capital_Mensual!T258 + Saldos_Intereses_Mensual!T258, 2)</f>
        <v/>
      </c>
      <c r="R258" s="29">
        <f>MAX(F258:Q258)</f>
        <v/>
      </c>
    </row>
    <row r="259">
      <c r="A259" s="20" t="inlineStr">
        <is>
          <t>0766-0001</t>
        </is>
      </c>
      <c r="B259" s="21" t="inlineStr">
        <is>
          <t>Javier Alejandro Carbajal Chávez</t>
        </is>
      </c>
      <c r="C259" s="21" t="inlineStr">
        <is>
          <t>Jt Rubicon</t>
        </is>
      </c>
      <c r="D259" s="20" t="inlineStr">
        <is>
          <t>ACTIVO</t>
        </is>
      </c>
      <c r="E259" s="22" t="n">
        <v>48</v>
      </c>
      <c r="F259" s="23" t="inlineStr"/>
      <c r="G259" s="23" t="inlineStr"/>
      <c r="H259" s="23" t="inlineStr"/>
      <c r="I259" s="23" t="inlineStr"/>
      <c r="J259" s="23" t="inlineStr"/>
      <c r="K259" s="23">
        <f>ROUND(Saldos_Capital_Mensual!N259 + Saldos_Intereses_Mensual!N259, 2)</f>
        <v/>
      </c>
      <c r="L259" s="23">
        <f>ROUND(Saldos_Capital_Mensual!O259 + Saldos_Intereses_Mensual!O259, 2)</f>
        <v/>
      </c>
      <c r="M259" s="23">
        <f>ROUND(Saldos_Capital_Mensual!P259 + Saldos_Intereses_Mensual!P259, 2)</f>
        <v/>
      </c>
      <c r="N259" s="23">
        <f>ROUND(Saldos_Capital_Mensual!Q259 + Saldos_Intereses_Mensual!Q259, 2)</f>
        <v/>
      </c>
      <c r="O259" s="23">
        <f>ROUND(Saldos_Capital_Mensual!R259 + Saldos_Intereses_Mensual!R259, 2)</f>
        <v/>
      </c>
      <c r="P259" s="23">
        <f>ROUND(Saldos_Capital_Mensual!S259 + Saldos_Intereses_Mensual!S259, 2)</f>
        <v/>
      </c>
      <c r="Q259" s="23">
        <f>ROUND(Saldos_Capital_Mensual!T259 + Saldos_Intereses_Mensual!T259, 2)</f>
        <v/>
      </c>
      <c r="R259" s="23">
        <f>MAX(F259:Q259)</f>
        <v/>
      </c>
    </row>
    <row r="260">
      <c r="A260" s="26" t="inlineStr">
        <is>
          <t>0767-0001</t>
        </is>
      </c>
      <c r="B260" s="27" t="inlineStr">
        <is>
          <t>Carlos Alberto Gutiérrez Hermosillo López</t>
        </is>
      </c>
      <c r="C260" s="27" t="inlineStr">
        <is>
          <t>Commander Overland</t>
        </is>
      </c>
      <c r="D260" s="26" t="inlineStr">
        <is>
          <t>ACTIVO</t>
        </is>
      </c>
      <c r="E260" s="28" t="n">
        <v>48</v>
      </c>
      <c r="F260" s="29" t="inlineStr"/>
      <c r="G260" s="29" t="inlineStr"/>
      <c r="H260" s="29" t="inlineStr"/>
      <c r="I260" s="29" t="inlineStr"/>
      <c r="J260" s="29" t="inlineStr"/>
      <c r="K260" s="29">
        <f>ROUND(Saldos_Capital_Mensual!N260 + Saldos_Intereses_Mensual!N260, 2)</f>
        <v/>
      </c>
      <c r="L260" s="29">
        <f>ROUND(Saldos_Capital_Mensual!O260 + Saldos_Intereses_Mensual!O260, 2)</f>
        <v/>
      </c>
      <c r="M260" s="29">
        <f>ROUND(Saldos_Capital_Mensual!P260 + Saldos_Intereses_Mensual!P260, 2)</f>
        <v/>
      </c>
      <c r="N260" s="29">
        <f>ROUND(Saldos_Capital_Mensual!Q260 + Saldos_Intereses_Mensual!Q260, 2)</f>
        <v/>
      </c>
      <c r="O260" s="29">
        <f>ROUND(Saldos_Capital_Mensual!R260 + Saldos_Intereses_Mensual!R260, 2)</f>
        <v/>
      </c>
      <c r="P260" s="29">
        <f>ROUND(Saldos_Capital_Mensual!S260 + Saldos_Intereses_Mensual!S260, 2)</f>
        <v/>
      </c>
      <c r="Q260" s="29">
        <f>ROUND(Saldos_Capital_Mensual!T260 + Saldos_Intereses_Mensual!T260, 2)</f>
        <v/>
      </c>
      <c r="R260" s="29">
        <f>MAX(F260:Q260)</f>
        <v/>
      </c>
    </row>
    <row r="261">
      <c r="A261" s="20" t="inlineStr">
        <is>
          <t>0768-0001</t>
        </is>
      </c>
      <c r="B261" s="21" t="inlineStr">
        <is>
          <t>Distribuidora y Comercializadora 2000, S.A. de C.V.</t>
        </is>
      </c>
      <c r="C261" s="21" t="inlineStr">
        <is>
          <t>Manager Furgon L4H2</t>
        </is>
      </c>
      <c r="D261" s="20" t="inlineStr">
        <is>
          <t>ACTIVO</t>
        </is>
      </c>
      <c r="E261" s="22" t="n">
        <v>12</v>
      </c>
      <c r="F261" s="23" t="inlineStr"/>
      <c r="G261" s="23" t="inlineStr"/>
      <c r="H261" s="23" t="inlineStr"/>
      <c r="I261" s="23" t="inlineStr"/>
      <c r="J261" s="23" t="inlineStr"/>
      <c r="K261" s="23">
        <f>ROUND(Saldos_Capital_Mensual!N261 + Saldos_Intereses_Mensual!N261, 2)</f>
        <v/>
      </c>
      <c r="L261" s="23">
        <f>ROUND(Saldos_Capital_Mensual!O261 + Saldos_Intereses_Mensual!O261, 2)</f>
        <v/>
      </c>
      <c r="M261" s="23">
        <f>ROUND(Saldos_Capital_Mensual!P261 + Saldos_Intereses_Mensual!P261, 2)</f>
        <v/>
      </c>
      <c r="N261" s="23">
        <f>ROUND(Saldos_Capital_Mensual!Q261 + Saldos_Intereses_Mensual!Q261, 2)</f>
        <v/>
      </c>
      <c r="O261" s="23">
        <f>ROUND(Saldos_Capital_Mensual!R261 + Saldos_Intereses_Mensual!R261, 2)</f>
        <v/>
      </c>
      <c r="P261" s="23">
        <f>ROUND(Saldos_Capital_Mensual!S261 + Saldos_Intereses_Mensual!S261, 2)</f>
        <v/>
      </c>
      <c r="Q261" s="23">
        <f>ROUND(Saldos_Capital_Mensual!T261 + Saldos_Intereses_Mensual!T261, 2)</f>
        <v/>
      </c>
      <c r="R261" s="23">
        <f>MAX(F261:Q261)</f>
        <v/>
      </c>
    </row>
    <row r="262">
      <c r="A262" s="26" t="inlineStr">
        <is>
          <t>0768-0002</t>
        </is>
      </c>
      <c r="B262" s="27" t="inlineStr">
        <is>
          <t>Distribuidora y Comercializadora 2000, S.A. de C.V.</t>
        </is>
      </c>
      <c r="C262" s="27" t="inlineStr">
        <is>
          <t>Manager Furgon L4H2</t>
        </is>
      </c>
      <c r="D262" s="26" t="inlineStr">
        <is>
          <t>ACTIVO</t>
        </is>
      </c>
      <c r="E262" s="28" t="n">
        <v>12</v>
      </c>
      <c r="F262" s="29" t="inlineStr"/>
      <c r="G262" s="29" t="inlineStr"/>
      <c r="H262" s="29" t="inlineStr"/>
      <c r="I262" s="29" t="inlineStr"/>
      <c r="J262" s="29" t="inlineStr"/>
      <c r="K262" s="29">
        <f>ROUND(Saldos_Capital_Mensual!N262 + Saldos_Intereses_Mensual!N262, 2)</f>
        <v/>
      </c>
      <c r="L262" s="29">
        <f>ROUND(Saldos_Capital_Mensual!O262 + Saldos_Intereses_Mensual!O262, 2)</f>
        <v/>
      </c>
      <c r="M262" s="29">
        <f>ROUND(Saldos_Capital_Mensual!P262 + Saldos_Intereses_Mensual!P262, 2)</f>
        <v/>
      </c>
      <c r="N262" s="29">
        <f>ROUND(Saldos_Capital_Mensual!Q262 + Saldos_Intereses_Mensual!Q262, 2)</f>
        <v/>
      </c>
      <c r="O262" s="29">
        <f>ROUND(Saldos_Capital_Mensual!R262 + Saldos_Intereses_Mensual!R262, 2)</f>
        <v/>
      </c>
      <c r="P262" s="29">
        <f>ROUND(Saldos_Capital_Mensual!S262 + Saldos_Intereses_Mensual!S262, 2)</f>
        <v/>
      </c>
      <c r="Q262" s="29">
        <f>ROUND(Saldos_Capital_Mensual!T262 + Saldos_Intereses_Mensual!T262, 2)</f>
        <v/>
      </c>
      <c r="R262" s="29">
        <f>MAX(F262:Q262)</f>
        <v/>
      </c>
    </row>
    <row r="263">
      <c r="A263" s="20" t="inlineStr">
        <is>
          <t>0769-0001</t>
        </is>
      </c>
      <c r="B263" s="21" t="inlineStr">
        <is>
          <t>Paloma Bernhardt Partida</t>
        </is>
      </c>
      <c r="C263" s="21" t="inlineStr">
        <is>
          <t>700 TRADESMAN CREW CAB</t>
        </is>
      </c>
      <c r="D263" s="20" t="inlineStr">
        <is>
          <t>ACTIVO</t>
        </is>
      </c>
      <c r="E263" s="22" t="n">
        <v>36</v>
      </c>
      <c r="F263" s="23" t="inlineStr"/>
      <c r="G263" s="23" t="inlineStr"/>
      <c r="H263" s="23" t="inlineStr"/>
      <c r="I263" s="23" t="inlineStr"/>
      <c r="J263" s="23" t="inlineStr"/>
      <c r="K263" s="23">
        <f>ROUND(Saldos_Capital_Mensual!N263 + Saldos_Intereses_Mensual!N263, 2)</f>
        <v/>
      </c>
      <c r="L263" s="23">
        <f>ROUND(Saldos_Capital_Mensual!O263 + Saldos_Intereses_Mensual!O263, 2)</f>
        <v/>
      </c>
      <c r="M263" s="23">
        <f>ROUND(Saldos_Capital_Mensual!P263 + Saldos_Intereses_Mensual!P263, 2)</f>
        <v/>
      </c>
      <c r="N263" s="23">
        <f>ROUND(Saldos_Capital_Mensual!Q263 + Saldos_Intereses_Mensual!Q263, 2)</f>
        <v/>
      </c>
      <c r="O263" s="23">
        <f>ROUND(Saldos_Capital_Mensual!R263 + Saldos_Intereses_Mensual!R263, 2)</f>
        <v/>
      </c>
      <c r="P263" s="23">
        <f>ROUND(Saldos_Capital_Mensual!S263 + Saldos_Intereses_Mensual!S263, 2)</f>
        <v/>
      </c>
      <c r="Q263" s="23">
        <f>ROUND(Saldos_Capital_Mensual!T263 + Saldos_Intereses_Mensual!T263, 2)</f>
        <v/>
      </c>
      <c r="R263" s="23">
        <f>MAX(F263:Q263)</f>
        <v/>
      </c>
    </row>
    <row r="264">
      <c r="A264" s="26" t="inlineStr">
        <is>
          <t>0769-0002</t>
        </is>
      </c>
      <c r="B264" s="27" t="inlineStr">
        <is>
          <t>Paloma Bernhardt Partida</t>
        </is>
      </c>
      <c r="C264" s="27" t="inlineStr">
        <is>
          <t>Ram 700 Tradesman 2026</t>
        </is>
      </c>
      <c r="D264" s="26" t="inlineStr">
        <is>
          <t>ACTIVO</t>
        </is>
      </c>
      <c r="E264" s="28" t="n">
        <v>36</v>
      </c>
      <c r="F264" s="29" t="inlineStr"/>
      <c r="G264" s="29" t="inlineStr"/>
      <c r="H264" s="29" t="inlineStr"/>
      <c r="I264" s="29" t="inlineStr"/>
      <c r="J264" s="29" t="inlineStr"/>
      <c r="K264" s="29" t="inlineStr"/>
      <c r="L264" s="29" t="inlineStr"/>
      <c r="M264" s="29" t="inlineStr"/>
      <c r="N264" s="29">
        <f>ROUND(Saldos_Capital_Mensual!Q264 + Saldos_Intereses_Mensual!Q264, 2)</f>
        <v/>
      </c>
      <c r="O264" s="29">
        <f>ROUND(Saldos_Capital_Mensual!R264 + Saldos_Intereses_Mensual!R264, 2)</f>
        <v/>
      </c>
      <c r="P264" s="29">
        <f>ROUND(Saldos_Capital_Mensual!S264 + Saldos_Intereses_Mensual!S264, 2)</f>
        <v/>
      </c>
      <c r="Q264" s="29">
        <f>ROUND(Saldos_Capital_Mensual!T264 + Saldos_Intereses_Mensual!T264, 2)</f>
        <v/>
      </c>
      <c r="R264" s="29">
        <f>MAX(F264:Q264)</f>
        <v/>
      </c>
    </row>
    <row r="265">
      <c r="A265" s="20" t="inlineStr">
        <is>
          <t>0770-0001</t>
        </is>
      </c>
      <c r="B265" s="21" t="inlineStr">
        <is>
          <t>Jorge Octavio Micher Camarena</t>
        </is>
      </c>
      <c r="C265" s="21" t="inlineStr">
        <is>
          <t>Jeep Cherokee Overland 2026</t>
        </is>
      </c>
      <c r="D265" s="20" t="inlineStr">
        <is>
          <t>ACTIVO</t>
        </is>
      </c>
      <c r="E265" s="22" t="n">
        <v>36</v>
      </c>
      <c r="F265" s="23" t="inlineStr"/>
      <c r="G265" s="23" t="inlineStr"/>
      <c r="H265" s="23" t="inlineStr"/>
      <c r="I265" s="23" t="inlineStr"/>
      <c r="J265" s="23" t="inlineStr"/>
      <c r="K265" s="23" t="inlineStr"/>
      <c r="L265" s="23">
        <f>ROUND(Saldos_Capital_Mensual!O265 + Saldos_Intereses_Mensual!O265, 2)</f>
        <v/>
      </c>
      <c r="M265" s="23">
        <f>ROUND(Saldos_Capital_Mensual!P265 + Saldos_Intereses_Mensual!P265, 2)</f>
        <v/>
      </c>
      <c r="N265" s="23">
        <f>ROUND(Saldos_Capital_Mensual!Q265 + Saldos_Intereses_Mensual!Q265, 2)</f>
        <v/>
      </c>
      <c r="O265" s="23">
        <f>ROUND(Saldos_Capital_Mensual!R265 + Saldos_Intereses_Mensual!R265, 2)</f>
        <v/>
      </c>
      <c r="P265" s="23">
        <f>ROUND(Saldos_Capital_Mensual!S265 + Saldos_Intereses_Mensual!S265, 2)</f>
        <v/>
      </c>
      <c r="Q265" s="23">
        <f>ROUND(Saldos_Capital_Mensual!T265 + Saldos_Intereses_Mensual!T265, 2)</f>
        <v/>
      </c>
      <c r="R265" s="23">
        <f>MAX(F265:Q265)</f>
        <v/>
      </c>
    </row>
    <row r="266">
      <c r="A266" s="26" t="inlineStr">
        <is>
          <t>0771-0001</t>
        </is>
      </c>
      <c r="B266" s="27" t="inlineStr">
        <is>
          <t>Inbcom de Colima</t>
        </is>
      </c>
      <c r="C266" s="27" t="inlineStr">
        <is>
          <t>Ram 1200 Tradesman CC 2026</t>
        </is>
      </c>
      <c r="D266" s="26" t="inlineStr">
        <is>
          <t>ACTIVO</t>
        </is>
      </c>
      <c r="E266" s="28" t="n">
        <v>12</v>
      </c>
      <c r="F266" s="29" t="inlineStr"/>
      <c r="G266" s="29" t="inlineStr"/>
      <c r="H266" s="29" t="inlineStr"/>
      <c r="I266" s="29" t="inlineStr"/>
      <c r="J266" s="29" t="inlineStr"/>
      <c r="K266" s="29" t="inlineStr"/>
      <c r="L266" s="29">
        <f>ROUND(Saldos_Capital_Mensual!O266 + Saldos_Intereses_Mensual!O266, 2)</f>
        <v/>
      </c>
      <c r="M266" s="29">
        <f>ROUND(Saldos_Capital_Mensual!P266 + Saldos_Intereses_Mensual!P266, 2)</f>
        <v/>
      </c>
      <c r="N266" s="29">
        <f>ROUND(Saldos_Capital_Mensual!Q266 + Saldos_Intereses_Mensual!Q266, 2)</f>
        <v/>
      </c>
      <c r="O266" s="29">
        <f>ROUND(Saldos_Capital_Mensual!R266 + Saldos_Intereses_Mensual!R266, 2)</f>
        <v/>
      </c>
      <c r="P266" s="29">
        <f>ROUND(Saldos_Capital_Mensual!S266 + Saldos_Intereses_Mensual!S266, 2)</f>
        <v/>
      </c>
      <c r="Q266" s="29">
        <f>ROUND(Saldos_Capital_Mensual!T266 + Saldos_Intereses_Mensual!T266, 2)</f>
        <v/>
      </c>
      <c r="R266" s="29">
        <f>MAX(F266:Q266)</f>
        <v/>
      </c>
    </row>
    <row r="267">
      <c r="A267" s="20" t="inlineStr">
        <is>
          <t>0772-0001</t>
        </is>
      </c>
      <c r="B267" s="21" t="inlineStr">
        <is>
          <t>Logistica y Transporte de Carga LGT</t>
        </is>
      </c>
      <c r="C267" s="21" t="inlineStr">
        <is>
          <t>Ram 1200 Laramie 2026</t>
        </is>
      </c>
      <c r="D267" s="20" t="inlineStr">
        <is>
          <t>ACTIVO</t>
        </is>
      </c>
      <c r="E267" s="22" t="n">
        <v>48</v>
      </c>
      <c r="F267" s="23" t="inlineStr"/>
      <c r="G267" s="23" t="inlineStr"/>
      <c r="H267" s="23" t="inlineStr"/>
      <c r="I267" s="23" t="inlineStr"/>
      <c r="J267" s="23" t="inlineStr"/>
      <c r="K267" s="23" t="inlineStr"/>
      <c r="L267" s="23">
        <f>ROUND(Saldos_Capital_Mensual!O267 + Saldos_Intereses_Mensual!O267, 2)</f>
        <v/>
      </c>
      <c r="M267" s="23">
        <f>ROUND(Saldos_Capital_Mensual!P267 + Saldos_Intereses_Mensual!P267, 2)</f>
        <v/>
      </c>
      <c r="N267" s="23">
        <f>ROUND(Saldos_Capital_Mensual!Q267 + Saldos_Intereses_Mensual!Q267, 2)</f>
        <v/>
      </c>
      <c r="O267" s="23">
        <f>ROUND(Saldos_Capital_Mensual!R267 + Saldos_Intereses_Mensual!R267, 2)</f>
        <v/>
      </c>
      <c r="P267" s="23">
        <f>ROUND(Saldos_Capital_Mensual!S267 + Saldos_Intereses_Mensual!S267, 2)</f>
        <v/>
      </c>
      <c r="Q267" s="23">
        <f>ROUND(Saldos_Capital_Mensual!T267 + Saldos_Intereses_Mensual!T267, 2)</f>
        <v/>
      </c>
      <c r="R267" s="23">
        <f>MAX(F267:Q267)</f>
        <v/>
      </c>
    </row>
    <row r="268">
      <c r="A268" s="26" t="inlineStr">
        <is>
          <t>0773-0001</t>
        </is>
      </c>
      <c r="B268" s="27" t="inlineStr">
        <is>
          <t>Industrias Besthelg, S.A. de C.V.</t>
        </is>
      </c>
      <c r="C268" s="27" t="inlineStr">
        <is>
          <t>Peugeot Manager Furgon L2H2 2026</t>
        </is>
      </c>
      <c r="D268" s="26" t="inlineStr">
        <is>
          <t>ACTIVO</t>
        </is>
      </c>
      <c r="E268" s="28" t="n">
        <v>36</v>
      </c>
      <c r="F268" s="29" t="inlineStr"/>
      <c r="G268" s="29" t="inlineStr"/>
      <c r="H268" s="29" t="inlineStr"/>
      <c r="I268" s="29" t="inlineStr"/>
      <c r="J268" s="29" t="inlineStr"/>
      <c r="K268" s="29" t="inlineStr"/>
      <c r="L268" s="29" t="inlineStr"/>
      <c r="M268" s="29">
        <f>ROUND(Saldos_Capital_Mensual!P268 + Saldos_Intereses_Mensual!P268, 2)</f>
        <v/>
      </c>
      <c r="N268" s="29">
        <f>ROUND(Saldos_Capital_Mensual!Q268 + Saldos_Intereses_Mensual!Q268, 2)</f>
        <v/>
      </c>
      <c r="O268" s="29">
        <f>ROUND(Saldos_Capital_Mensual!R268 + Saldos_Intereses_Mensual!R268, 2)</f>
        <v/>
      </c>
      <c r="P268" s="29">
        <f>ROUND(Saldos_Capital_Mensual!S268 + Saldos_Intereses_Mensual!S268, 2)</f>
        <v/>
      </c>
      <c r="Q268" s="29">
        <f>ROUND(Saldos_Capital_Mensual!T268 + Saldos_Intereses_Mensual!T268, 2)</f>
        <v/>
      </c>
      <c r="R268" s="29">
        <f>MAX(F268:Q268)</f>
        <v/>
      </c>
    </row>
    <row r="269">
      <c r="A269" s="20" t="inlineStr">
        <is>
          <t>0773-0002</t>
        </is>
      </c>
      <c r="B269" s="21" t="inlineStr">
        <is>
          <t>Industrias Besthelg, S.A. de C.V.</t>
        </is>
      </c>
      <c r="C269" s="21" t="inlineStr">
        <is>
          <t>Peugeot Manager L4H2 2027</t>
        </is>
      </c>
      <c r="D269" s="20" t="inlineStr">
        <is>
          <t>ACTIVO</t>
        </is>
      </c>
      <c r="E269" s="22" t="n">
        <v>36</v>
      </c>
      <c r="F269" s="23" t="inlineStr"/>
      <c r="G269" s="23" t="inlineStr"/>
      <c r="H269" s="23" t="inlineStr"/>
      <c r="I269" s="23" t="inlineStr"/>
      <c r="J269" s="23" t="inlineStr"/>
      <c r="K269" s="23" t="inlineStr"/>
      <c r="L269" s="23">
        <f>ROUND(Saldos_Capital_Mensual!O269 + Saldos_Intereses_Mensual!O269, 2)</f>
        <v/>
      </c>
      <c r="M269" s="23">
        <f>ROUND(Saldos_Capital_Mensual!P269 + Saldos_Intereses_Mensual!P269, 2)</f>
        <v/>
      </c>
      <c r="N269" s="23">
        <f>ROUND(Saldos_Capital_Mensual!Q269 + Saldos_Intereses_Mensual!Q269, 2)</f>
        <v/>
      </c>
      <c r="O269" s="23">
        <f>ROUND(Saldos_Capital_Mensual!R269 + Saldos_Intereses_Mensual!R269, 2)</f>
        <v/>
      </c>
      <c r="P269" s="23">
        <f>ROUND(Saldos_Capital_Mensual!S269 + Saldos_Intereses_Mensual!S269, 2)</f>
        <v/>
      </c>
      <c r="Q269" s="23">
        <f>ROUND(Saldos_Capital_Mensual!T269 + Saldos_Intereses_Mensual!T269, 2)</f>
        <v/>
      </c>
      <c r="R269" s="23">
        <f>MAX(F269:Q269)</f>
        <v/>
      </c>
    </row>
    <row r="270">
      <c r="A270" s="26" t="inlineStr">
        <is>
          <t>0774-0001</t>
        </is>
      </c>
      <c r="B270" s="27" t="inlineStr">
        <is>
          <t>Grupo Plastikrom</t>
        </is>
      </c>
      <c r="C270" s="27" t="inlineStr">
        <is>
          <t>Jeep Cherokee Overland 2026</t>
        </is>
      </c>
      <c r="D270" s="26" t="inlineStr">
        <is>
          <t>ACTIVO</t>
        </is>
      </c>
      <c r="E270" s="28" t="n">
        <v>24</v>
      </c>
      <c r="F270" s="29" t="inlineStr"/>
      <c r="G270" s="29" t="inlineStr"/>
      <c r="H270" s="29" t="inlineStr"/>
      <c r="I270" s="29" t="inlineStr"/>
      <c r="J270" s="29" t="inlineStr"/>
      <c r="K270" s="29" t="inlineStr"/>
      <c r="L270" s="29" t="inlineStr"/>
      <c r="M270" s="29">
        <f>ROUND(Saldos_Capital_Mensual!P270 + Saldos_Intereses_Mensual!P270, 2)</f>
        <v/>
      </c>
      <c r="N270" s="29">
        <f>ROUND(Saldos_Capital_Mensual!Q270 + Saldos_Intereses_Mensual!Q270, 2)</f>
        <v/>
      </c>
      <c r="O270" s="29">
        <f>ROUND(Saldos_Capital_Mensual!R270 + Saldos_Intereses_Mensual!R270, 2)</f>
        <v/>
      </c>
      <c r="P270" s="29">
        <f>ROUND(Saldos_Capital_Mensual!S270 + Saldos_Intereses_Mensual!S270, 2)</f>
        <v/>
      </c>
      <c r="Q270" s="29">
        <f>ROUND(Saldos_Capital_Mensual!T270 + Saldos_Intereses_Mensual!T270, 2)</f>
        <v/>
      </c>
      <c r="R270" s="29">
        <f>MAX(F270:Q270)</f>
        <v/>
      </c>
    </row>
    <row r="271">
      <c r="A271" s="20" t="inlineStr">
        <is>
          <t>0775-0001</t>
        </is>
      </c>
      <c r="B271" s="21" t="inlineStr">
        <is>
          <t>Manuel Ledezma Iñiguez</t>
        </is>
      </c>
      <c r="C271" s="21" t="inlineStr">
        <is>
          <t>Leapmotor B10 2026</t>
        </is>
      </c>
      <c r="D271" s="20" t="inlineStr">
        <is>
          <t>ACTIVO</t>
        </is>
      </c>
      <c r="E271" s="22" t="n">
        <v>48</v>
      </c>
      <c r="F271" s="23" t="inlineStr"/>
      <c r="G271" s="23" t="inlineStr"/>
      <c r="H271" s="23" t="inlineStr"/>
      <c r="I271" s="23" t="inlineStr"/>
      <c r="J271" s="23" t="inlineStr"/>
      <c r="K271" s="23" t="inlineStr"/>
      <c r="L271" s="23" t="inlineStr"/>
      <c r="M271" s="23">
        <f>ROUND(Saldos_Capital_Mensual!P271 + Saldos_Intereses_Mensual!P271, 2)</f>
        <v/>
      </c>
      <c r="N271" s="23">
        <f>ROUND(Saldos_Capital_Mensual!Q271 + Saldos_Intereses_Mensual!Q271, 2)</f>
        <v/>
      </c>
      <c r="O271" s="23">
        <f>ROUND(Saldos_Capital_Mensual!R271 + Saldos_Intereses_Mensual!R271, 2)</f>
        <v/>
      </c>
      <c r="P271" s="23">
        <f>ROUND(Saldos_Capital_Mensual!S271 + Saldos_Intereses_Mensual!S271, 2)</f>
        <v/>
      </c>
      <c r="Q271" s="23">
        <f>ROUND(Saldos_Capital_Mensual!T271 + Saldos_Intereses_Mensual!T271, 2)</f>
        <v/>
      </c>
      <c r="R271" s="23">
        <f>MAX(F271:Q271)</f>
        <v/>
      </c>
    </row>
    <row r="272">
      <c r="A272" s="26" t="inlineStr">
        <is>
          <t>0776-0001</t>
        </is>
      </c>
      <c r="B272" s="27" t="inlineStr">
        <is>
          <t>Armando Serna Hernández</t>
        </is>
      </c>
      <c r="C272" s="27" t="inlineStr">
        <is>
          <t>Jeep Grand Cherokee Limited 2026</t>
        </is>
      </c>
      <c r="D272" s="26" t="inlineStr">
        <is>
          <t>ACTIVO</t>
        </is>
      </c>
      <c r="E272" s="28" t="n">
        <v>48</v>
      </c>
      <c r="F272" s="29" t="inlineStr"/>
      <c r="G272" s="29" t="inlineStr"/>
      <c r="H272" s="29" t="inlineStr"/>
      <c r="I272" s="29" t="inlineStr"/>
      <c r="J272" s="29" t="inlineStr"/>
      <c r="K272" s="29" t="inlineStr"/>
      <c r="L272" s="29" t="inlineStr"/>
      <c r="M272" s="29">
        <f>ROUND(Saldos_Capital_Mensual!P272 + Saldos_Intereses_Mensual!P272, 2)</f>
        <v/>
      </c>
      <c r="N272" s="29">
        <f>ROUND(Saldos_Capital_Mensual!Q272 + Saldos_Intereses_Mensual!Q272, 2)</f>
        <v/>
      </c>
      <c r="O272" s="29">
        <f>ROUND(Saldos_Capital_Mensual!R272 + Saldos_Intereses_Mensual!R272, 2)</f>
        <v/>
      </c>
      <c r="P272" s="29">
        <f>ROUND(Saldos_Capital_Mensual!S272 + Saldos_Intereses_Mensual!S272, 2)</f>
        <v/>
      </c>
      <c r="Q272" s="29">
        <f>ROUND(Saldos_Capital_Mensual!T272 + Saldos_Intereses_Mensual!T272, 2)</f>
        <v/>
      </c>
      <c r="R272" s="29">
        <f>MAX(F272:Q272)</f>
        <v/>
      </c>
    </row>
    <row r="273">
      <c r="A273" s="20" t="inlineStr">
        <is>
          <t>0777-0001</t>
        </is>
      </c>
      <c r="B273" s="21" t="inlineStr">
        <is>
          <t>Yazmin Alejandra Gomez Olivas</t>
        </is>
      </c>
      <c r="C273" s="21" t="inlineStr">
        <is>
          <t>Jeep Wrangler Rubicon 2026</t>
        </is>
      </c>
      <c r="D273" s="20" t="inlineStr">
        <is>
          <t>ACTIVO</t>
        </is>
      </c>
      <c r="E273" s="22" t="n">
        <v>48</v>
      </c>
      <c r="F273" s="23" t="inlineStr"/>
      <c r="G273" s="23" t="inlineStr"/>
      <c r="H273" s="23" t="inlineStr"/>
      <c r="I273" s="23" t="inlineStr"/>
      <c r="J273" s="23" t="inlineStr"/>
      <c r="K273" s="23" t="inlineStr"/>
      <c r="L273" s="23" t="inlineStr"/>
      <c r="M273" s="23">
        <f>ROUND(Saldos_Capital_Mensual!P273 + Saldos_Intereses_Mensual!P273, 2)</f>
        <v/>
      </c>
      <c r="N273" s="23">
        <f>ROUND(Saldos_Capital_Mensual!Q273 + Saldos_Intereses_Mensual!Q273, 2)</f>
        <v/>
      </c>
      <c r="O273" s="23">
        <f>ROUND(Saldos_Capital_Mensual!R273 + Saldos_Intereses_Mensual!R273, 2)</f>
        <v/>
      </c>
      <c r="P273" s="23">
        <f>ROUND(Saldos_Capital_Mensual!S273 + Saldos_Intereses_Mensual!S273, 2)</f>
        <v/>
      </c>
      <c r="Q273" s="23">
        <f>ROUND(Saldos_Capital_Mensual!T273 + Saldos_Intereses_Mensual!T273, 2)</f>
        <v/>
      </c>
      <c r="R273" s="23">
        <f>MAX(F273:Q273)</f>
        <v/>
      </c>
    </row>
    <row r="274">
      <c r="A274" s="26" t="inlineStr">
        <is>
          <t>0778-0001</t>
        </is>
      </c>
      <c r="B274" s="27" t="inlineStr">
        <is>
          <t>Construcciones y Desarrollos Inmobile, S.A. de C.V.</t>
        </is>
      </c>
      <c r="C274" s="27" t="inlineStr">
        <is>
          <t>Mitsubishi L200 2026</t>
        </is>
      </c>
      <c r="D274" s="26" t="inlineStr">
        <is>
          <t>ACTIVO</t>
        </is>
      </c>
      <c r="E274" s="28" t="n">
        <v>24</v>
      </c>
      <c r="F274" s="29" t="inlineStr"/>
      <c r="G274" s="29" t="inlineStr"/>
      <c r="H274" s="29" t="inlineStr"/>
      <c r="I274" s="29" t="inlineStr"/>
      <c r="J274" s="29" t="inlineStr"/>
      <c r="K274" s="29" t="inlineStr"/>
      <c r="L274" s="29" t="inlineStr"/>
      <c r="M274" s="29">
        <f>ROUND(Saldos_Capital_Mensual!P274 + Saldos_Intereses_Mensual!P274, 2)</f>
        <v/>
      </c>
      <c r="N274" s="29">
        <f>ROUND(Saldos_Capital_Mensual!Q274 + Saldos_Intereses_Mensual!Q274, 2)</f>
        <v/>
      </c>
      <c r="O274" s="29">
        <f>ROUND(Saldos_Capital_Mensual!R274 + Saldos_Intereses_Mensual!R274, 2)</f>
        <v/>
      </c>
      <c r="P274" s="29">
        <f>ROUND(Saldos_Capital_Mensual!S274 + Saldos_Intereses_Mensual!S274, 2)</f>
        <v/>
      </c>
      <c r="Q274" s="29">
        <f>ROUND(Saldos_Capital_Mensual!T274 + Saldos_Intereses_Mensual!T274, 2)</f>
        <v/>
      </c>
      <c r="R274" s="29">
        <f>MAX(F274:Q274)</f>
        <v/>
      </c>
    </row>
    <row r="275">
      <c r="A275" s="20" t="inlineStr">
        <is>
          <t>0779-0001</t>
        </is>
      </c>
      <c r="B275" s="21" t="inlineStr">
        <is>
          <t>Margarita Kaplun Mucharrafille</t>
        </is>
      </c>
      <c r="C275" s="21" t="inlineStr">
        <is>
          <t>Ram 700 Bighorn 2026</t>
        </is>
      </c>
      <c r="D275" s="20" t="inlineStr">
        <is>
          <t>ACTIVO</t>
        </is>
      </c>
      <c r="E275" s="22" t="n">
        <v>48</v>
      </c>
      <c r="F275" s="23" t="inlineStr"/>
      <c r="G275" s="23" t="inlineStr"/>
      <c r="H275" s="23" t="inlineStr"/>
      <c r="I275" s="23" t="inlineStr"/>
      <c r="J275" s="23" t="inlineStr"/>
      <c r="K275" s="23" t="inlineStr"/>
      <c r="L275" s="23" t="inlineStr"/>
      <c r="M275" s="23" t="inlineStr"/>
      <c r="N275" s="23">
        <f>ROUND(Saldos_Capital_Mensual!Q275 + Saldos_Intereses_Mensual!Q275, 2)</f>
        <v/>
      </c>
      <c r="O275" s="23">
        <f>ROUND(Saldos_Capital_Mensual!R275 + Saldos_Intereses_Mensual!R275, 2)</f>
        <v/>
      </c>
      <c r="P275" s="23">
        <f>ROUND(Saldos_Capital_Mensual!S275 + Saldos_Intereses_Mensual!S275, 2)</f>
        <v/>
      </c>
      <c r="Q275" s="23">
        <f>ROUND(Saldos_Capital_Mensual!T275 + Saldos_Intereses_Mensual!T275, 2)</f>
        <v/>
      </c>
      <c r="R275" s="23">
        <f>MAX(F275:Q275)</f>
        <v/>
      </c>
    </row>
    <row r="276">
      <c r="A276" s="26" t="inlineStr">
        <is>
          <t>0780-0001</t>
        </is>
      </c>
      <c r="B276" s="27" t="inlineStr">
        <is>
          <t>David Rosendo Cedeño Guerrero</t>
        </is>
      </c>
      <c r="C276" s="27" t="inlineStr">
        <is>
          <t>Suzuki Jimny 2027</t>
        </is>
      </c>
      <c r="D276" s="26" t="inlineStr">
        <is>
          <t>ACTIVO</t>
        </is>
      </c>
      <c r="E276" s="28" t="n">
        <v>48</v>
      </c>
      <c r="F276" s="29" t="inlineStr"/>
      <c r="G276" s="29" t="inlineStr"/>
      <c r="H276" s="29" t="inlineStr"/>
      <c r="I276" s="29" t="inlineStr"/>
      <c r="J276" s="29" t="inlineStr"/>
      <c r="K276" s="29" t="inlineStr"/>
      <c r="L276" s="29" t="inlineStr"/>
      <c r="M276" s="29" t="inlineStr"/>
      <c r="N276" s="29">
        <f>ROUND(Saldos_Capital_Mensual!Q276 + Saldos_Intereses_Mensual!Q276, 2)</f>
        <v/>
      </c>
      <c r="O276" s="29">
        <f>ROUND(Saldos_Capital_Mensual!R276 + Saldos_Intereses_Mensual!R276, 2)</f>
        <v/>
      </c>
      <c r="P276" s="29">
        <f>ROUND(Saldos_Capital_Mensual!S276 + Saldos_Intereses_Mensual!S276, 2)</f>
        <v/>
      </c>
      <c r="Q276" s="29">
        <f>ROUND(Saldos_Capital_Mensual!T276 + Saldos_Intereses_Mensual!T276, 2)</f>
        <v/>
      </c>
      <c r="R276" s="29">
        <f>MAX(F276:Q276)</f>
        <v/>
      </c>
    </row>
    <row r="277">
      <c r="A277" s="20" t="inlineStr">
        <is>
          <t>0781-0001</t>
        </is>
      </c>
      <c r="B277" s="21" t="inlineStr">
        <is>
          <t>Northstar Marine &amp; Civil, S.A. de C.V.</t>
        </is>
      </c>
      <c r="C277" s="21" t="inlineStr">
        <is>
          <t>Sany Motoniveladora 2026</t>
        </is>
      </c>
      <c r="D277" s="20" t="inlineStr">
        <is>
          <t>ACTIVO</t>
        </is>
      </c>
      <c r="E277" s="22" t="n">
        <v>24</v>
      </c>
      <c r="F277" s="23" t="inlineStr"/>
      <c r="G277" s="23" t="inlineStr"/>
      <c r="H277" s="23" t="inlineStr"/>
      <c r="I277" s="23" t="inlineStr"/>
      <c r="J277" s="23" t="inlineStr"/>
      <c r="K277" s="23" t="inlineStr"/>
      <c r="L277" s="23" t="inlineStr"/>
      <c r="M277" s="23" t="inlineStr"/>
      <c r="N277" s="23">
        <f>ROUND(Saldos_Capital_Mensual!Q277 + Saldos_Intereses_Mensual!Q277, 2)</f>
        <v/>
      </c>
      <c r="O277" s="23">
        <f>ROUND(Saldos_Capital_Mensual!R277 + Saldos_Intereses_Mensual!R277, 2)</f>
        <v/>
      </c>
      <c r="P277" s="23">
        <f>ROUND(Saldos_Capital_Mensual!S277 + Saldos_Intereses_Mensual!S277, 2)</f>
        <v/>
      </c>
      <c r="Q277" s="23">
        <f>ROUND(Saldos_Capital_Mensual!T277 + Saldos_Intereses_Mensual!T277, 2)</f>
        <v/>
      </c>
      <c r="R277" s="23">
        <f>MAX(F277:Q277)</f>
        <v/>
      </c>
    </row>
    <row r="278">
      <c r="A278" s="26" t="inlineStr">
        <is>
          <t>0783-0001</t>
        </is>
      </c>
      <c r="B278" s="27" t="inlineStr">
        <is>
          <t>Nuup Trading, S.A. de C.V.</t>
        </is>
      </c>
      <c r="C278" s="27" t="inlineStr">
        <is>
          <t>Jeep Renegade 2026</t>
        </is>
      </c>
      <c r="D278" s="26" t="inlineStr">
        <is>
          <t>ACTIVO</t>
        </is>
      </c>
      <c r="E278" s="28" t="n">
        <v>24</v>
      </c>
      <c r="F278" s="29" t="inlineStr"/>
      <c r="G278" s="29" t="inlineStr"/>
      <c r="H278" s="29" t="inlineStr"/>
      <c r="I278" s="29" t="inlineStr"/>
      <c r="J278" s="29" t="inlineStr"/>
      <c r="K278" s="29" t="inlineStr"/>
      <c r="L278" s="29" t="inlineStr"/>
      <c r="M278" s="29" t="inlineStr"/>
      <c r="N278" s="29">
        <f>ROUND(Saldos_Capital_Mensual!Q278 + Saldos_Intereses_Mensual!Q278, 2)</f>
        <v/>
      </c>
      <c r="O278" s="29">
        <f>ROUND(Saldos_Capital_Mensual!R278 + Saldos_Intereses_Mensual!R278, 2)</f>
        <v/>
      </c>
      <c r="P278" s="29">
        <f>ROUND(Saldos_Capital_Mensual!S278 + Saldos_Intereses_Mensual!S278, 2)</f>
        <v/>
      </c>
      <c r="Q278" s="29">
        <f>ROUND(Saldos_Capital_Mensual!T278 + Saldos_Intereses_Mensual!T278, 2)</f>
        <v/>
      </c>
      <c r="R278" s="29">
        <f>MAX(F278:Q278)</f>
        <v/>
      </c>
    </row>
    <row r="279">
      <c r="A279" s="20" t="inlineStr">
        <is>
          <t>0784-0001</t>
        </is>
      </c>
      <c r="B279" s="21" t="inlineStr">
        <is>
          <t>Enruta App, S.A. de C.V.</t>
        </is>
      </c>
      <c r="C279" s="21" t="inlineStr">
        <is>
          <t>Dodge Attitude GT 2026</t>
        </is>
      </c>
      <c r="D279" s="20" t="inlineStr">
        <is>
          <t>ACTIVO</t>
        </is>
      </c>
      <c r="E279" s="22" t="n">
        <v>12</v>
      </c>
      <c r="F279" s="23" t="inlineStr"/>
      <c r="G279" s="23" t="inlineStr"/>
      <c r="H279" s="23" t="inlineStr"/>
      <c r="I279" s="23" t="inlineStr"/>
      <c r="J279" s="23" t="inlineStr"/>
      <c r="K279" s="23" t="inlineStr"/>
      <c r="L279" s="23" t="inlineStr"/>
      <c r="M279" s="23" t="inlineStr"/>
      <c r="N279" s="23">
        <f>ROUND(Saldos_Capital_Mensual!Q279 + Saldos_Intereses_Mensual!Q279, 2)</f>
        <v/>
      </c>
      <c r="O279" s="23">
        <f>ROUND(Saldos_Capital_Mensual!R279 + Saldos_Intereses_Mensual!R279, 2)</f>
        <v/>
      </c>
      <c r="P279" s="23">
        <f>ROUND(Saldos_Capital_Mensual!S279 + Saldos_Intereses_Mensual!S279, 2)</f>
        <v/>
      </c>
      <c r="Q279" s="23">
        <f>ROUND(Saldos_Capital_Mensual!T279 + Saldos_Intereses_Mensual!T279, 2)</f>
        <v/>
      </c>
      <c r="R279" s="23">
        <f>MAX(F279:Q279)</f>
        <v/>
      </c>
    </row>
    <row r="280">
      <c r="A280" s="26" t="inlineStr">
        <is>
          <t>0785-0001</t>
        </is>
      </c>
      <c r="B280" s="27" t="inlineStr">
        <is>
          <t>Velazquez Guerrero y Asociados, S.C.</t>
        </is>
      </c>
      <c r="C280" s="27" t="inlineStr">
        <is>
          <t>Peugeot Rifter Allure Pack 2027</t>
        </is>
      </c>
      <c r="D280" s="26" t="inlineStr">
        <is>
          <t>ACTIVO</t>
        </is>
      </c>
      <c r="E280" s="28" t="n">
        <v>24</v>
      </c>
      <c r="F280" s="29" t="inlineStr"/>
      <c r="G280" s="29" t="inlineStr"/>
      <c r="H280" s="29" t="inlineStr"/>
      <c r="I280" s="29" t="inlineStr"/>
      <c r="J280" s="29" t="inlineStr"/>
      <c r="K280" s="29" t="inlineStr"/>
      <c r="L280" s="29" t="inlineStr"/>
      <c r="M280" s="29" t="inlineStr"/>
      <c r="N280" s="29">
        <f>ROUND(Saldos_Capital_Mensual!Q280 + Saldos_Intereses_Mensual!Q280, 2)</f>
        <v/>
      </c>
      <c r="O280" s="29">
        <f>ROUND(Saldos_Capital_Mensual!R280 + Saldos_Intereses_Mensual!R280, 2)</f>
        <v/>
      </c>
      <c r="P280" s="29">
        <f>ROUND(Saldos_Capital_Mensual!S280 + Saldos_Intereses_Mensual!S280, 2)</f>
        <v/>
      </c>
      <c r="Q280" s="29">
        <f>ROUND(Saldos_Capital_Mensual!T280 + Saldos_Intereses_Mensual!T280, 2)</f>
        <v/>
      </c>
      <c r="R280" s="29">
        <f>MAX(F280:Q280)</f>
        <v/>
      </c>
    </row>
    <row r="281">
      <c r="A281" s="20" t="inlineStr">
        <is>
          <t>0786-0001</t>
        </is>
      </c>
      <c r="B281" s="21" t="inlineStr">
        <is>
          <t>Consejería Jurídico Empresarial, S.C.</t>
        </is>
      </c>
      <c r="C281" s="21" t="inlineStr">
        <is>
          <t>Mitsubishi Outlander Sport Limited 2027</t>
        </is>
      </c>
      <c r="D281" s="20" t="inlineStr">
        <is>
          <t>ACTIVO</t>
        </is>
      </c>
      <c r="E281" s="22" t="n">
        <v>24</v>
      </c>
      <c r="F281" s="23" t="inlineStr"/>
      <c r="G281" s="23" t="inlineStr"/>
      <c r="H281" s="23" t="inlineStr"/>
      <c r="I281" s="23" t="inlineStr"/>
      <c r="J281" s="23" t="inlineStr"/>
      <c r="K281" s="23" t="inlineStr"/>
      <c r="L281" s="23" t="inlineStr"/>
      <c r="M281" s="23" t="inlineStr"/>
      <c r="N281" s="23">
        <f>ROUND(Saldos_Capital_Mensual!Q281 + Saldos_Intereses_Mensual!Q281, 2)</f>
        <v/>
      </c>
      <c r="O281" s="23">
        <f>ROUND(Saldos_Capital_Mensual!R281 + Saldos_Intereses_Mensual!R281, 2)</f>
        <v/>
      </c>
      <c r="P281" s="23">
        <f>ROUND(Saldos_Capital_Mensual!S281 + Saldos_Intereses_Mensual!S281, 2)</f>
        <v/>
      </c>
      <c r="Q281" s="23">
        <f>ROUND(Saldos_Capital_Mensual!T281 + Saldos_Intereses_Mensual!T281, 2)</f>
        <v/>
      </c>
      <c r="R281" s="23">
        <f>MAX(F281:Q281)</f>
        <v/>
      </c>
    </row>
    <row r="282">
      <c r="A282" s="32" t="inlineStr">
        <is>
          <t>TOTAL CARTERA</t>
        </is>
      </c>
      <c r="B282" s="33" t="inlineStr">
        <is>
          <t>277 Contratos</t>
        </is>
      </c>
      <c r="C282" s="34" t="n"/>
      <c r="D282" s="34" t="n"/>
      <c r="E282" s="34" t="n"/>
      <c r="F282" s="35">
        <f>SUM(F5:F281)</f>
        <v/>
      </c>
      <c r="G282" s="35">
        <f>SUM(G5:G281)</f>
        <v/>
      </c>
      <c r="H282" s="35">
        <f>SUM(H5:H281)</f>
        <v/>
      </c>
      <c r="I282" s="35">
        <f>SUM(I5:I281)</f>
        <v/>
      </c>
      <c r="J282" s="35">
        <f>SUM(J5:J281)</f>
        <v/>
      </c>
      <c r="K282" s="35">
        <f>SUM(K5:K281)</f>
        <v/>
      </c>
      <c r="L282" s="35">
        <f>SUM(L5:L281)</f>
        <v/>
      </c>
      <c r="M282" s="35">
        <f>SUM(M5:M281)</f>
        <v/>
      </c>
      <c r="N282" s="35">
        <f>SUM(N5:N281)</f>
        <v/>
      </c>
      <c r="O282" s="35">
        <f>SUM(O5:O281)</f>
        <v/>
      </c>
      <c r="P282" s="35">
        <f>SUM(P5:P281)</f>
        <v/>
      </c>
      <c r="Q282" s="35">
        <f>SUM(Q5:Q281)</f>
        <v/>
      </c>
      <c r="R282" s="35">
        <f>SUM(R5:R281)</f>
        <v/>
      </c>
    </row>
  </sheetData>
  <autoFilter ref="A4:R281"/>
  <mergeCells count="2">
    <mergeCell ref="A1:O1"/>
    <mergeCell ref="A2:O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82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2" customWidth="1" min="4" max="4"/>
    <col width="13" customWidth="1" min="5" max="5"/>
    <col width="15" customWidth="1" min="6" max="6"/>
    <col width="10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24" customHeight="1">
      <c r="A1" s="18" t="inlineStr">
        <is>
          <t>O-LEASING · UNA APP DE ORANGE CREW · Saldo del Valor Residual Activo al Cierre de Cada Mes</t>
        </is>
      </c>
    </row>
    <row r="2" ht="16" customHeight="1">
      <c r="A2" s="3" t="inlineStr">
        <is>
          <t>Evolución mensual con fórmulas vivas: Saldo_Residual_Anterior + Interés_Residual_Mes · Auditoría Financiera NIF C-15 / IFRS 16 · Desarrollado por Orange Crew</t>
        </is>
      </c>
    </row>
    <row r="4" ht="26" customHeight="1">
      <c r="A4" s="19" t="inlineStr">
        <is>
          <t>ID_Contrato</t>
        </is>
      </c>
      <c r="B4" s="19" t="inlineStr">
        <is>
          <t>Cliente</t>
        </is>
      </c>
      <c r="C4" s="19" t="inlineStr">
        <is>
          <t>Vehiculo</t>
        </is>
      </c>
      <c r="D4" s="19" t="inlineStr">
        <is>
          <t>Estatus</t>
        </is>
      </c>
      <c r="E4" s="19" t="inlineStr">
        <is>
          <t>Fecha_Alta</t>
        </is>
      </c>
      <c r="F4" s="19" t="inlineStr">
        <is>
          <t>Fecha_Vencimiento</t>
        </is>
      </c>
      <c r="G4" s="19" t="inlineStr">
        <is>
          <t>Plazo</t>
        </is>
      </c>
      <c r="H4" s="19" t="inlineStr">
        <is>
          <t>Residual_Pactado</t>
        </is>
      </c>
      <c r="I4" s="9" t="inlineStr">
        <is>
          <t>2026-01</t>
        </is>
      </c>
      <c r="J4" s="9" t="inlineStr">
        <is>
          <t>2026-02</t>
        </is>
      </c>
      <c r="K4" s="9" t="inlineStr">
        <is>
          <t>2026-03</t>
        </is>
      </c>
      <c r="L4" s="9" t="inlineStr">
        <is>
          <t>2026-04</t>
        </is>
      </c>
      <c r="M4" s="9" t="inlineStr">
        <is>
          <t>2026-05</t>
        </is>
      </c>
      <c r="N4" s="9" t="inlineStr">
        <is>
          <t>2026-06</t>
        </is>
      </c>
      <c r="O4" s="9" t="inlineStr">
        <is>
          <t>2026-07</t>
        </is>
      </c>
      <c r="P4" s="9" t="inlineStr">
        <is>
          <t>2026-08</t>
        </is>
      </c>
      <c r="Q4" s="9" t="inlineStr">
        <is>
          <t>2026-09</t>
        </is>
      </c>
      <c r="R4" s="9" t="inlineStr">
        <is>
          <t>2026-10</t>
        </is>
      </c>
      <c r="S4" s="9" t="inlineStr">
        <is>
          <t>2026-11</t>
        </is>
      </c>
      <c r="T4" s="9" t="inlineStr">
        <is>
          <t>2026-12</t>
        </is>
      </c>
      <c r="U4" s="46" t="inlineStr">
        <is>
          <t>Saldo_Residual_Cierre</t>
        </is>
      </c>
    </row>
    <row r="5">
      <c r="A5" s="20" t="inlineStr">
        <is>
          <t>0326-0003</t>
        </is>
      </c>
      <c r="B5" s="21" t="inlineStr">
        <is>
          <t>Alberto Vázquez Solorio</t>
        </is>
      </c>
      <c r="C5" s="21" t="inlineStr">
        <is>
          <t>Volkswagen Tiguan R-Line 2026</t>
        </is>
      </c>
      <c r="D5" s="20" t="inlineStr">
        <is>
          <t>ACTIVO</t>
        </is>
      </c>
      <c r="E5" s="20" t="inlineStr">
        <is>
          <t>2026-09-16</t>
        </is>
      </c>
      <c r="F5" s="20" t="inlineStr">
        <is>
          <t>2030-09-16</t>
        </is>
      </c>
      <c r="G5" s="22" t="n">
        <v>48</v>
      </c>
      <c r="H5" s="23" t="n">
        <v>180650.93</v>
      </c>
      <c r="I5" s="23" t="inlineStr"/>
      <c r="J5" s="23" t="inlineStr"/>
      <c r="K5" s="23" t="inlineStr"/>
      <c r="L5" s="23" t="inlineStr"/>
      <c r="M5" s="23" t="inlineStr"/>
      <c r="N5" s="23" t="inlineStr"/>
      <c r="O5" s="23" t="inlineStr"/>
      <c r="P5" s="23" t="inlineStr"/>
      <c r="Q5" s="23">
        <f>ROUND('Resumen_Cartera'!$U5 + Intereses_Residual_Mensual!Q5, 2)</f>
        <v/>
      </c>
      <c r="R5" s="23">
        <f>IF(Intereses_Residual_Mensual!R5&gt;0, ROUND(Q5 + Intereses_Residual_Mensual!R5, 2), "")</f>
        <v/>
      </c>
      <c r="S5" s="23">
        <f>IF(Intereses_Residual_Mensual!S5&gt;0, ROUND(R5 + Intereses_Residual_Mensual!S5, 2), "")</f>
        <v/>
      </c>
      <c r="T5" s="23">
        <f>IF(Intereses_Residual_Mensual!T5&gt;0, ROUND(S5 + Intereses_Residual_Mensual!T5, 2), "")</f>
        <v/>
      </c>
      <c r="U5" s="23">
        <f>MAX(I5:T5)</f>
        <v/>
      </c>
    </row>
    <row r="6">
      <c r="A6" s="26" t="inlineStr">
        <is>
          <t>0472-0003</t>
        </is>
      </c>
      <c r="B6" s="27" t="inlineStr">
        <is>
          <t>Miguel Zazueta Beltrán</t>
        </is>
      </c>
      <c r="C6" s="27" t="inlineStr">
        <is>
          <t>Jeep Grand Cherokee</t>
        </is>
      </c>
      <c r="D6" s="26" t="inlineStr">
        <is>
          <t>ACTIVO</t>
        </is>
      </c>
      <c r="E6" s="26" t="inlineStr">
        <is>
          <t>2026-02-03</t>
        </is>
      </c>
      <c r="F6" s="26" t="inlineStr">
        <is>
          <t>2029-02-03</t>
        </is>
      </c>
      <c r="G6" s="28" t="n">
        <v>36</v>
      </c>
      <c r="H6" s="29" t="n">
        <v>121743.36</v>
      </c>
      <c r="I6" s="29" t="inlineStr"/>
      <c r="J6" s="29">
        <f>ROUND('Resumen_Cartera'!$U6 + Intereses_Residual_Mensual!J6, 2)</f>
        <v/>
      </c>
      <c r="K6" s="29">
        <f>IF(Intereses_Residual_Mensual!K6&gt;0, ROUND(J6 + Intereses_Residual_Mensual!K6, 2), "")</f>
        <v/>
      </c>
      <c r="L6" s="29">
        <f>IF(Intereses_Residual_Mensual!L6&gt;0, ROUND(K6 + Intereses_Residual_Mensual!L6, 2), "")</f>
        <v/>
      </c>
      <c r="M6" s="29">
        <f>IF(Intereses_Residual_Mensual!M6&gt;0, ROUND(L6 + Intereses_Residual_Mensual!M6, 2), "")</f>
        <v/>
      </c>
      <c r="N6" s="29">
        <f>IF(Intereses_Residual_Mensual!N6&gt;0, ROUND(M6 + Intereses_Residual_Mensual!N6, 2), "")</f>
        <v/>
      </c>
      <c r="O6" s="29">
        <f>IF(Intereses_Residual_Mensual!O6&gt;0, ROUND(N6 + Intereses_Residual_Mensual!O6, 2), "")</f>
        <v/>
      </c>
      <c r="P6" s="29">
        <f>IF(Intereses_Residual_Mensual!P6&gt;0, ROUND(O6 + Intereses_Residual_Mensual!P6, 2), "")</f>
        <v/>
      </c>
      <c r="Q6" s="29">
        <f>IF(Intereses_Residual_Mensual!Q6&gt;0, ROUND(P6 + Intereses_Residual_Mensual!Q6, 2), "")</f>
        <v/>
      </c>
      <c r="R6" s="29">
        <f>IF(Intereses_Residual_Mensual!R6&gt;0, ROUND(Q6 + Intereses_Residual_Mensual!R6, 2), "")</f>
        <v/>
      </c>
      <c r="S6" s="29">
        <f>IF(Intereses_Residual_Mensual!S6&gt;0, ROUND(R6 + Intereses_Residual_Mensual!S6, 2), "")</f>
        <v/>
      </c>
      <c r="T6" s="29">
        <f>IF(Intereses_Residual_Mensual!T6&gt;0, ROUND(S6 + Intereses_Residual_Mensual!T6, 2), "")</f>
        <v/>
      </c>
      <c r="U6" s="29">
        <f>MAX(I6:T6)</f>
        <v/>
      </c>
    </row>
    <row r="7">
      <c r="A7" s="20" t="inlineStr">
        <is>
          <t>0504-0004</t>
        </is>
      </c>
      <c r="B7" s="21" t="inlineStr">
        <is>
          <t>Oscar Ivan Lozano Terriquez</t>
        </is>
      </c>
      <c r="C7" s="21" t="inlineStr">
        <is>
          <t>700 BIGHORN "S" CREW CAB MT</t>
        </is>
      </c>
      <c r="D7" s="20" t="inlineStr">
        <is>
          <t>ACTIVO</t>
        </is>
      </c>
      <c r="E7" s="20" t="inlineStr">
        <is>
          <t>2026-01-05</t>
        </is>
      </c>
      <c r="F7" s="20" t="inlineStr">
        <is>
          <t>2027-01-05</t>
        </is>
      </c>
      <c r="G7" s="22" t="n">
        <v>12</v>
      </c>
      <c r="H7" s="23" t="n">
        <v>35250</v>
      </c>
      <c r="I7" s="23">
        <f>ROUND('Resumen_Cartera'!$U7 + Intereses_Residual_Mensual!I7, 2)</f>
        <v/>
      </c>
      <c r="J7" s="23">
        <f>IF(Intereses_Residual_Mensual!J7&gt;0, ROUND(I7 + Intereses_Residual_Mensual!J7, 2), "")</f>
        <v/>
      </c>
      <c r="K7" s="23">
        <f>IF(Intereses_Residual_Mensual!K7&gt;0, ROUND(J7 + Intereses_Residual_Mensual!K7, 2), "")</f>
        <v/>
      </c>
      <c r="L7" s="23">
        <f>IF(Intereses_Residual_Mensual!L7&gt;0, ROUND(K7 + Intereses_Residual_Mensual!L7, 2), "")</f>
        <v/>
      </c>
      <c r="M7" s="23">
        <f>IF(Intereses_Residual_Mensual!M7&gt;0, ROUND(L7 + Intereses_Residual_Mensual!M7, 2), "")</f>
        <v/>
      </c>
      <c r="N7" s="23">
        <f>IF(Intereses_Residual_Mensual!N7&gt;0, ROUND(M7 + Intereses_Residual_Mensual!N7, 2), "")</f>
        <v/>
      </c>
      <c r="O7" s="23">
        <f>IF(Intereses_Residual_Mensual!O7&gt;0, ROUND(N7 + Intereses_Residual_Mensual!O7, 2), "")</f>
        <v/>
      </c>
      <c r="P7" s="23">
        <f>IF(Intereses_Residual_Mensual!P7&gt;0, ROUND(O7 + Intereses_Residual_Mensual!P7, 2), "")</f>
        <v/>
      </c>
      <c r="Q7" s="23">
        <f>IF(Intereses_Residual_Mensual!Q7&gt;0, ROUND(P7 + Intereses_Residual_Mensual!Q7, 2), "")</f>
        <v/>
      </c>
      <c r="R7" s="23">
        <f>IF(Intereses_Residual_Mensual!R7&gt;0, ROUND(Q7 + Intereses_Residual_Mensual!R7, 2), "")</f>
        <v/>
      </c>
      <c r="S7" s="23">
        <f>IF(Intereses_Residual_Mensual!S7&gt;0, ROUND(R7 + Intereses_Residual_Mensual!S7, 2), "")</f>
        <v/>
      </c>
      <c r="T7" s="23">
        <f>IF(Intereses_Residual_Mensual!T7&gt;0, ROUND(S7 + Intereses_Residual_Mensual!T7, 2), "")</f>
        <v/>
      </c>
      <c r="U7" s="23">
        <f>MAX(I7:T7)</f>
        <v/>
      </c>
    </row>
    <row r="8">
      <c r="A8" s="26" t="inlineStr">
        <is>
          <t>0506-0006</t>
        </is>
      </c>
      <c r="B8" s="27" t="inlineStr">
        <is>
          <t>Electronic Accounting Sa de Cv</t>
        </is>
      </c>
      <c r="C8" s="27" t="inlineStr">
        <is>
          <t>X5</t>
        </is>
      </c>
      <c r="D8" s="26" t="inlineStr">
        <is>
          <t>ACTIVO</t>
        </is>
      </c>
      <c r="E8" s="26" t="inlineStr">
        <is>
          <t>2024-01-10</t>
        </is>
      </c>
      <c r="F8" s="26" t="inlineStr">
        <is>
          <t>2027-01-10</t>
        </is>
      </c>
      <c r="G8" s="28" t="n">
        <v>36</v>
      </c>
      <c r="H8" s="29" t="n">
        <v>567818.58</v>
      </c>
      <c r="I8" s="29">
        <f>IF(Intereses_Residual_Mensual!I8&gt;0, ROUND(478842.05 + Intereses_Residual_Mensual!I8, 2), "")</f>
        <v/>
      </c>
      <c r="J8" s="29">
        <f>IF(Intereses_Residual_Mensual!J8&gt;0, ROUND(I8 + Intereses_Residual_Mensual!J8, 2), "")</f>
        <v/>
      </c>
      <c r="K8" s="29">
        <f>IF(Intereses_Residual_Mensual!K8&gt;0, ROUND(J8 + Intereses_Residual_Mensual!K8, 2), "")</f>
        <v/>
      </c>
      <c r="L8" s="29">
        <f>IF(Intereses_Residual_Mensual!L8&gt;0, ROUND(K8 + Intereses_Residual_Mensual!L8, 2), "")</f>
        <v/>
      </c>
      <c r="M8" s="29">
        <f>IF(Intereses_Residual_Mensual!M8&gt;0, ROUND(L8 + Intereses_Residual_Mensual!M8, 2), "")</f>
        <v/>
      </c>
      <c r="N8" s="29">
        <f>IF(Intereses_Residual_Mensual!N8&gt;0, ROUND(M8 + Intereses_Residual_Mensual!N8, 2), "")</f>
        <v/>
      </c>
      <c r="O8" s="29">
        <f>IF(Intereses_Residual_Mensual!O8&gt;0, ROUND(N8 + Intereses_Residual_Mensual!O8, 2), "")</f>
        <v/>
      </c>
      <c r="P8" s="29">
        <f>IF(Intereses_Residual_Mensual!P8&gt;0, ROUND(O8 + Intereses_Residual_Mensual!P8, 2), "")</f>
        <v/>
      </c>
      <c r="Q8" s="29">
        <f>IF(Intereses_Residual_Mensual!Q8&gt;0, ROUND(P8 + Intereses_Residual_Mensual!Q8, 2), "")</f>
        <v/>
      </c>
      <c r="R8" s="29">
        <f>IF(Intereses_Residual_Mensual!R8&gt;0, ROUND(Q8 + Intereses_Residual_Mensual!R8, 2), "")</f>
        <v/>
      </c>
      <c r="S8" s="29">
        <f>IF(Intereses_Residual_Mensual!S8&gt;0, ROUND(R8 + Intereses_Residual_Mensual!S8, 2), "")</f>
        <v/>
      </c>
      <c r="T8" s="29">
        <f>IF(Intereses_Residual_Mensual!T8&gt;0, ROUND(S8 + Intereses_Residual_Mensual!T8, 2), "")</f>
        <v/>
      </c>
      <c r="U8" s="29">
        <f>MAX(I8:T8)</f>
        <v/>
      </c>
    </row>
    <row r="9">
      <c r="A9" s="20" t="inlineStr">
        <is>
          <t>0506-0007</t>
        </is>
      </c>
      <c r="B9" s="21" t="inlineStr">
        <is>
          <t>Electronic Acounting</t>
        </is>
      </c>
      <c r="C9" s="21" t="inlineStr">
        <is>
          <t>L200 Glx Diesel</t>
        </is>
      </c>
      <c r="D9" s="20" t="inlineStr">
        <is>
          <t>ACTIVO</t>
        </is>
      </c>
      <c r="E9" s="20" t="inlineStr">
        <is>
          <t>2024-09-05</t>
        </is>
      </c>
      <c r="F9" s="20" t="inlineStr">
        <is>
          <t>2027-09-05</t>
        </is>
      </c>
      <c r="G9" s="22" t="n">
        <v>36</v>
      </c>
      <c r="H9" s="23" t="n">
        <v>187867.03</v>
      </c>
      <c r="I9" s="23">
        <f>IF(Intereses_Residual_Mensual!I9&gt;0, ROUND(130969.49 + Intereses_Residual_Mensual!I9, 2), "")</f>
        <v/>
      </c>
      <c r="J9" s="23">
        <f>IF(Intereses_Residual_Mensual!J9&gt;0, ROUND(I9 + Intereses_Residual_Mensual!J9, 2), "")</f>
        <v/>
      </c>
      <c r="K9" s="23">
        <f>IF(Intereses_Residual_Mensual!K9&gt;0, ROUND(J9 + Intereses_Residual_Mensual!K9, 2), "")</f>
        <v/>
      </c>
      <c r="L9" s="23">
        <f>IF(Intereses_Residual_Mensual!L9&gt;0, ROUND(K9 + Intereses_Residual_Mensual!L9, 2), "")</f>
        <v/>
      </c>
      <c r="M9" s="23">
        <f>IF(Intereses_Residual_Mensual!M9&gt;0, ROUND(L9 + Intereses_Residual_Mensual!M9, 2), "")</f>
        <v/>
      </c>
      <c r="N9" s="23">
        <f>IF(Intereses_Residual_Mensual!N9&gt;0, ROUND(M9 + Intereses_Residual_Mensual!N9, 2), "")</f>
        <v/>
      </c>
      <c r="O9" s="23">
        <f>IF(Intereses_Residual_Mensual!O9&gt;0, ROUND(N9 + Intereses_Residual_Mensual!O9, 2), "")</f>
        <v/>
      </c>
      <c r="P9" s="23">
        <f>IF(Intereses_Residual_Mensual!P9&gt;0, ROUND(O9 + Intereses_Residual_Mensual!P9, 2), "")</f>
        <v/>
      </c>
      <c r="Q9" s="23">
        <f>IF(Intereses_Residual_Mensual!Q9&gt;0, ROUND(P9 + Intereses_Residual_Mensual!Q9, 2), "")</f>
        <v/>
      </c>
      <c r="R9" s="23">
        <f>IF(Intereses_Residual_Mensual!R9&gt;0, ROUND(Q9 + Intereses_Residual_Mensual!R9, 2), "")</f>
        <v/>
      </c>
      <c r="S9" s="23">
        <f>IF(Intereses_Residual_Mensual!S9&gt;0, ROUND(R9 + Intereses_Residual_Mensual!S9, 2), "")</f>
        <v/>
      </c>
      <c r="T9" s="23">
        <f>IF(Intereses_Residual_Mensual!T9&gt;0, ROUND(S9 + Intereses_Residual_Mensual!T9, 2), "")</f>
        <v/>
      </c>
      <c r="U9" s="23">
        <f>MAX(I9:T9)</f>
        <v/>
      </c>
    </row>
    <row r="10">
      <c r="A10" s="26" t="inlineStr">
        <is>
          <t>0519-0005</t>
        </is>
      </c>
      <c r="B10" s="27" t="inlineStr">
        <is>
          <t>Tequilas el Mexicano S.A. de C.V.</t>
        </is>
      </c>
      <c r="C10" s="27" t="inlineStr">
        <is>
          <t>Attitude Sport</t>
        </is>
      </c>
      <c r="D10" s="26" t="inlineStr">
        <is>
          <t>ACTIVO</t>
        </is>
      </c>
      <c r="E10" s="26" t="inlineStr">
        <is>
          <t>2025-07-14</t>
        </is>
      </c>
      <c r="F10" s="26" t="inlineStr">
        <is>
          <t>2029-07-14</t>
        </is>
      </c>
      <c r="G10" s="28" t="n">
        <v>48</v>
      </c>
      <c r="H10" s="29" t="n">
        <v>35250</v>
      </c>
      <c r="I10" s="29">
        <f>IF(Intereses_Residual_Mensual!I10&gt;0, ROUND(11552.05 + Intereses_Residual_Mensual!I10, 2), "")</f>
        <v/>
      </c>
      <c r="J10" s="29">
        <f>IF(Intereses_Residual_Mensual!J10&gt;0, ROUND(I10 + Intereses_Residual_Mensual!J10, 2), "")</f>
        <v/>
      </c>
      <c r="K10" s="29">
        <f>IF(Intereses_Residual_Mensual!K10&gt;0, ROUND(J10 + Intereses_Residual_Mensual!K10, 2), "")</f>
        <v/>
      </c>
      <c r="L10" s="29">
        <f>IF(Intereses_Residual_Mensual!L10&gt;0, ROUND(K10 + Intereses_Residual_Mensual!L10, 2), "")</f>
        <v/>
      </c>
      <c r="M10" s="29">
        <f>IF(Intereses_Residual_Mensual!M10&gt;0, ROUND(L10 + Intereses_Residual_Mensual!M10, 2), "")</f>
        <v/>
      </c>
      <c r="N10" s="29">
        <f>IF(Intereses_Residual_Mensual!N10&gt;0, ROUND(M10 + Intereses_Residual_Mensual!N10, 2), "")</f>
        <v/>
      </c>
      <c r="O10" s="29">
        <f>IF(Intereses_Residual_Mensual!O10&gt;0, ROUND(N10 + Intereses_Residual_Mensual!O10, 2), "")</f>
        <v/>
      </c>
      <c r="P10" s="29">
        <f>IF(Intereses_Residual_Mensual!P10&gt;0, ROUND(O10 + Intereses_Residual_Mensual!P10, 2), "")</f>
        <v/>
      </c>
      <c r="Q10" s="29">
        <f>IF(Intereses_Residual_Mensual!Q10&gt;0, ROUND(P10 + Intereses_Residual_Mensual!Q10, 2), "")</f>
        <v/>
      </c>
      <c r="R10" s="29">
        <f>IF(Intereses_Residual_Mensual!R10&gt;0, ROUND(Q10 + Intereses_Residual_Mensual!R10, 2), "")</f>
        <v/>
      </c>
      <c r="S10" s="29">
        <f>IF(Intereses_Residual_Mensual!S10&gt;0, ROUND(R10 + Intereses_Residual_Mensual!S10, 2), "")</f>
        <v/>
      </c>
      <c r="T10" s="29">
        <f>IF(Intereses_Residual_Mensual!T10&gt;0, ROUND(S10 + Intereses_Residual_Mensual!T10, 2), "")</f>
        <v/>
      </c>
      <c r="U10" s="29">
        <f>MAX(I10:T10)</f>
        <v/>
      </c>
    </row>
    <row r="11">
      <c r="A11" s="20" t="inlineStr">
        <is>
          <t>0520-0003</t>
        </is>
      </c>
      <c r="B11" s="21" t="inlineStr">
        <is>
          <t>Tractomotriz Diesel Leal, S.A. de C.V.</t>
        </is>
      </c>
      <c r="C11" s="21" t="inlineStr">
        <is>
          <t>Montero Sport</t>
        </is>
      </c>
      <c r="D11" s="20" t="inlineStr">
        <is>
          <t>ACTIVO</t>
        </is>
      </c>
      <c r="E11" s="20" t="inlineStr">
        <is>
          <t>2025-11-28</t>
        </is>
      </c>
      <c r="F11" s="20" t="inlineStr">
        <is>
          <t>2028-11-28</t>
        </is>
      </c>
      <c r="G11" s="22" t="n">
        <v>36</v>
      </c>
      <c r="H11" s="23" t="n">
        <v>62146.55</v>
      </c>
      <c r="I11" s="23">
        <f>IF(Intereses_Residual_Mensual!I11&gt;0, ROUND(25424.38 + Intereses_Residual_Mensual!I11, 2), "")</f>
        <v/>
      </c>
      <c r="J11" s="23">
        <f>IF(Intereses_Residual_Mensual!J11&gt;0, ROUND(I11 + Intereses_Residual_Mensual!J11, 2), "")</f>
        <v/>
      </c>
      <c r="K11" s="23">
        <f>IF(Intereses_Residual_Mensual!K11&gt;0, ROUND(J11 + Intereses_Residual_Mensual!K11, 2), "")</f>
        <v/>
      </c>
      <c r="L11" s="23">
        <f>IF(Intereses_Residual_Mensual!L11&gt;0, ROUND(K11 + Intereses_Residual_Mensual!L11, 2), "")</f>
        <v/>
      </c>
      <c r="M11" s="23">
        <f>IF(Intereses_Residual_Mensual!M11&gt;0, ROUND(L11 + Intereses_Residual_Mensual!M11, 2), "")</f>
        <v/>
      </c>
      <c r="N11" s="23">
        <f>IF(Intereses_Residual_Mensual!N11&gt;0, ROUND(M11 + Intereses_Residual_Mensual!N11, 2), "")</f>
        <v/>
      </c>
      <c r="O11" s="23">
        <f>IF(Intereses_Residual_Mensual!O11&gt;0, ROUND(N11 + Intereses_Residual_Mensual!O11, 2), "")</f>
        <v/>
      </c>
      <c r="P11" s="23">
        <f>IF(Intereses_Residual_Mensual!P11&gt;0, ROUND(O11 + Intereses_Residual_Mensual!P11, 2), "")</f>
        <v/>
      </c>
      <c r="Q11" s="23">
        <f>IF(Intereses_Residual_Mensual!Q11&gt;0, ROUND(P11 + Intereses_Residual_Mensual!Q11, 2), "")</f>
        <v/>
      </c>
      <c r="R11" s="23">
        <f>IF(Intereses_Residual_Mensual!R11&gt;0, ROUND(Q11 + Intereses_Residual_Mensual!R11, 2), "")</f>
        <v/>
      </c>
      <c r="S11" s="23">
        <f>IF(Intereses_Residual_Mensual!S11&gt;0, ROUND(R11 + Intereses_Residual_Mensual!S11, 2), "")</f>
        <v/>
      </c>
      <c r="T11" s="23">
        <f>IF(Intereses_Residual_Mensual!T11&gt;0, ROUND(S11 + Intereses_Residual_Mensual!T11, 2), "")</f>
        <v/>
      </c>
      <c r="U11" s="23">
        <f>MAX(I11:T11)</f>
        <v/>
      </c>
    </row>
    <row r="12">
      <c r="A12" s="26" t="inlineStr">
        <is>
          <t>0520-0004</t>
        </is>
      </c>
      <c r="B12" s="27" t="inlineStr">
        <is>
          <t>Tractomotriz Diesel Leal, S.A. de C.V.</t>
        </is>
      </c>
      <c r="C12" s="27" t="inlineStr">
        <is>
          <t>Partner Maxi Pack</t>
        </is>
      </c>
      <c r="D12" s="26" t="inlineStr">
        <is>
          <t>ACTIVO</t>
        </is>
      </c>
      <c r="E12" s="26" t="inlineStr">
        <is>
          <t>2025-12-04</t>
        </is>
      </c>
      <c r="F12" s="26" t="inlineStr">
        <is>
          <t>2028-12-04</t>
        </is>
      </c>
      <c r="G12" s="28" t="n">
        <v>36</v>
      </c>
      <c r="H12" s="29" t="n">
        <v>40036.38</v>
      </c>
      <c r="I12" s="29">
        <f>IF(Intereses_Residual_Mensual!I12&gt;0, ROUND(15954.06 + Intereses_Residual_Mensual!I12, 2), "")</f>
        <v/>
      </c>
      <c r="J12" s="29">
        <f>IF(Intereses_Residual_Mensual!J12&gt;0, ROUND(I12 + Intereses_Residual_Mensual!J12, 2), "")</f>
        <v/>
      </c>
      <c r="K12" s="29">
        <f>IF(Intereses_Residual_Mensual!K12&gt;0, ROUND(J12 + Intereses_Residual_Mensual!K12, 2), "")</f>
        <v/>
      </c>
      <c r="L12" s="29">
        <f>IF(Intereses_Residual_Mensual!L12&gt;0, ROUND(K12 + Intereses_Residual_Mensual!L12, 2), "")</f>
        <v/>
      </c>
      <c r="M12" s="29">
        <f>IF(Intereses_Residual_Mensual!M12&gt;0, ROUND(L12 + Intereses_Residual_Mensual!M12, 2), "")</f>
        <v/>
      </c>
      <c r="N12" s="29">
        <f>IF(Intereses_Residual_Mensual!N12&gt;0, ROUND(M12 + Intereses_Residual_Mensual!N12, 2), "")</f>
        <v/>
      </c>
      <c r="O12" s="29">
        <f>IF(Intereses_Residual_Mensual!O12&gt;0, ROUND(N12 + Intereses_Residual_Mensual!O12, 2), "")</f>
        <v/>
      </c>
      <c r="P12" s="29">
        <f>IF(Intereses_Residual_Mensual!P12&gt;0, ROUND(O12 + Intereses_Residual_Mensual!P12, 2), "")</f>
        <v/>
      </c>
      <c r="Q12" s="29">
        <f>IF(Intereses_Residual_Mensual!Q12&gt;0, ROUND(P12 + Intereses_Residual_Mensual!Q12, 2), "")</f>
        <v/>
      </c>
      <c r="R12" s="29">
        <f>IF(Intereses_Residual_Mensual!R12&gt;0, ROUND(Q12 + Intereses_Residual_Mensual!R12, 2), "")</f>
        <v/>
      </c>
      <c r="S12" s="29">
        <f>IF(Intereses_Residual_Mensual!S12&gt;0, ROUND(R12 + Intereses_Residual_Mensual!S12, 2), "")</f>
        <v/>
      </c>
      <c r="T12" s="29">
        <f>IF(Intereses_Residual_Mensual!T12&gt;0, ROUND(S12 + Intereses_Residual_Mensual!T12, 2), "")</f>
        <v/>
      </c>
      <c r="U12" s="29">
        <f>MAX(I12:T12)</f>
        <v/>
      </c>
    </row>
    <row r="13">
      <c r="A13" s="20" t="inlineStr">
        <is>
          <t>0521-0002</t>
        </is>
      </c>
      <c r="B13" s="21" t="inlineStr">
        <is>
          <t>Carlos Hiram leal Leal</t>
        </is>
      </c>
      <c r="C13" s="21" t="inlineStr">
        <is>
          <t>Xpander</t>
        </is>
      </c>
      <c r="D13" s="20" t="inlineStr">
        <is>
          <t>ACTIVO</t>
        </is>
      </c>
      <c r="E13" s="20" t="inlineStr">
        <is>
          <t>2025-09-08</t>
        </is>
      </c>
      <c r="F13" s="20" t="inlineStr">
        <is>
          <t>2028-09-08</t>
        </is>
      </c>
      <c r="G13" s="22" t="n">
        <v>36</v>
      </c>
      <c r="H13" s="23" t="n">
        <v>73197.75999999999</v>
      </c>
      <c r="I13" s="23">
        <f>IF(Intereses_Residual_Mensual!I13&gt;0, ROUND(31569.68 + Intereses_Residual_Mensual!I13, 2), "")</f>
        <v/>
      </c>
      <c r="J13" s="23">
        <f>IF(Intereses_Residual_Mensual!J13&gt;0, ROUND(I13 + Intereses_Residual_Mensual!J13, 2), "")</f>
        <v/>
      </c>
      <c r="K13" s="23">
        <f>IF(Intereses_Residual_Mensual!K13&gt;0, ROUND(J13 + Intereses_Residual_Mensual!K13, 2), "")</f>
        <v/>
      </c>
      <c r="L13" s="23">
        <f>IF(Intereses_Residual_Mensual!L13&gt;0, ROUND(K13 + Intereses_Residual_Mensual!L13, 2), "")</f>
        <v/>
      </c>
      <c r="M13" s="23">
        <f>IF(Intereses_Residual_Mensual!M13&gt;0, ROUND(L13 + Intereses_Residual_Mensual!M13, 2), "")</f>
        <v/>
      </c>
      <c r="N13" s="23">
        <f>IF(Intereses_Residual_Mensual!N13&gt;0, ROUND(M13 + Intereses_Residual_Mensual!N13, 2), "")</f>
        <v/>
      </c>
      <c r="O13" s="23">
        <f>IF(Intereses_Residual_Mensual!O13&gt;0, ROUND(N13 + Intereses_Residual_Mensual!O13, 2), "")</f>
        <v/>
      </c>
      <c r="P13" s="23">
        <f>IF(Intereses_Residual_Mensual!P13&gt;0, ROUND(O13 + Intereses_Residual_Mensual!P13, 2), "")</f>
        <v/>
      </c>
      <c r="Q13" s="23">
        <f>IF(Intereses_Residual_Mensual!Q13&gt;0, ROUND(P13 + Intereses_Residual_Mensual!Q13, 2), "")</f>
        <v/>
      </c>
      <c r="R13" s="23">
        <f>IF(Intereses_Residual_Mensual!R13&gt;0, ROUND(Q13 + Intereses_Residual_Mensual!R13, 2), "")</f>
        <v/>
      </c>
      <c r="S13" s="23">
        <f>IF(Intereses_Residual_Mensual!S13&gt;0, ROUND(R13 + Intereses_Residual_Mensual!S13, 2), "")</f>
        <v/>
      </c>
      <c r="T13" s="23">
        <f>IF(Intereses_Residual_Mensual!T13&gt;0, ROUND(S13 + Intereses_Residual_Mensual!T13, 2), "")</f>
        <v/>
      </c>
      <c r="U13" s="23">
        <f>MAX(I13:T13)</f>
        <v/>
      </c>
    </row>
    <row r="14">
      <c r="A14" s="26" t="inlineStr">
        <is>
          <t>0524-0007</t>
        </is>
      </c>
      <c r="B14" s="27" t="inlineStr">
        <is>
          <t>Lider En Derecho De Via y Construcción SA DE CV</t>
        </is>
      </c>
      <c r="C14" s="27" t="inlineStr">
        <is>
          <t>L200 Gls</t>
        </is>
      </c>
      <c r="D14" s="26" t="inlineStr">
        <is>
          <t>ACTIVO</t>
        </is>
      </c>
      <c r="E14" s="26" t="inlineStr">
        <is>
          <t>2025-08-15</t>
        </is>
      </c>
      <c r="F14" s="26" t="inlineStr">
        <is>
          <t>2027-08-15</t>
        </is>
      </c>
      <c r="G14" s="28" t="n">
        <v>24</v>
      </c>
      <c r="H14" s="29" t="n">
        <v>194996.12</v>
      </c>
      <c r="I14" s="29">
        <f>IF(Intereses_Residual_Mensual!I14&gt;0, ROUND(119282.87 + Intereses_Residual_Mensual!I14, 2), "")</f>
        <v/>
      </c>
      <c r="J14" s="29">
        <f>IF(Intereses_Residual_Mensual!J14&gt;0, ROUND(I14 + Intereses_Residual_Mensual!J14, 2), "")</f>
        <v/>
      </c>
      <c r="K14" s="29">
        <f>IF(Intereses_Residual_Mensual!K14&gt;0, ROUND(J14 + Intereses_Residual_Mensual!K14, 2), "")</f>
        <v/>
      </c>
      <c r="L14" s="29">
        <f>IF(Intereses_Residual_Mensual!L14&gt;0, ROUND(K14 + Intereses_Residual_Mensual!L14, 2), "")</f>
        <v/>
      </c>
      <c r="M14" s="29">
        <f>IF(Intereses_Residual_Mensual!M14&gt;0, ROUND(L14 + Intereses_Residual_Mensual!M14, 2), "")</f>
        <v/>
      </c>
      <c r="N14" s="29">
        <f>IF(Intereses_Residual_Mensual!N14&gt;0, ROUND(M14 + Intereses_Residual_Mensual!N14, 2), "")</f>
        <v/>
      </c>
      <c r="O14" s="29">
        <f>IF(Intereses_Residual_Mensual!O14&gt;0, ROUND(N14 + Intereses_Residual_Mensual!O14, 2), "")</f>
        <v/>
      </c>
      <c r="P14" s="29">
        <f>IF(Intereses_Residual_Mensual!P14&gt;0, ROUND(O14 + Intereses_Residual_Mensual!P14, 2), "")</f>
        <v/>
      </c>
      <c r="Q14" s="29">
        <f>IF(Intereses_Residual_Mensual!Q14&gt;0, ROUND(P14 + Intereses_Residual_Mensual!Q14, 2), "")</f>
        <v/>
      </c>
      <c r="R14" s="29">
        <f>IF(Intereses_Residual_Mensual!R14&gt;0, ROUND(Q14 + Intereses_Residual_Mensual!R14, 2), "")</f>
        <v/>
      </c>
      <c r="S14" s="29">
        <f>IF(Intereses_Residual_Mensual!S14&gt;0, ROUND(R14 + Intereses_Residual_Mensual!S14, 2), "")</f>
        <v/>
      </c>
      <c r="T14" s="29">
        <f>IF(Intereses_Residual_Mensual!T14&gt;0, ROUND(S14 + Intereses_Residual_Mensual!T14, 2), "")</f>
        <v/>
      </c>
      <c r="U14" s="29">
        <f>MAX(I14:T14)</f>
        <v/>
      </c>
    </row>
    <row r="15">
      <c r="A15" s="20" t="inlineStr">
        <is>
          <t>0524-0011</t>
        </is>
      </c>
      <c r="B15" s="21" t="inlineStr">
        <is>
          <t>Lider En Derecho De Via y Construcción SA DE CV</t>
        </is>
      </c>
      <c r="C15" s="21" t="inlineStr">
        <is>
          <t>Wrangler Unlimited Sahara</t>
        </is>
      </c>
      <c r="D15" s="20" t="inlineStr">
        <is>
          <t>ACTIVO</t>
        </is>
      </c>
      <c r="E15" s="20" t="inlineStr">
        <is>
          <t>2025-12-31</t>
        </is>
      </c>
      <c r="F15" s="20" t="inlineStr">
        <is>
          <t>2029-12-31</t>
        </is>
      </c>
      <c r="G15" s="22" t="n">
        <v>48</v>
      </c>
      <c r="H15" s="23" t="n">
        <v>105855.43</v>
      </c>
      <c r="I15" s="23">
        <f>IF(Intereses_Residual_Mensual!I15&gt;0, ROUND(30419.37 + Intereses_Residual_Mensual!I15, 2), "")</f>
        <v/>
      </c>
      <c r="J15" s="23">
        <f>IF(Intereses_Residual_Mensual!J15&gt;0, ROUND(I15 + Intereses_Residual_Mensual!J15, 2), "")</f>
        <v/>
      </c>
      <c r="K15" s="23">
        <f>IF(Intereses_Residual_Mensual!K15&gt;0, ROUND(J15 + Intereses_Residual_Mensual!K15, 2), "")</f>
        <v/>
      </c>
      <c r="L15" s="23">
        <f>IF(Intereses_Residual_Mensual!L15&gt;0, ROUND(K15 + Intereses_Residual_Mensual!L15, 2), "")</f>
        <v/>
      </c>
      <c r="M15" s="23">
        <f>IF(Intereses_Residual_Mensual!M15&gt;0, ROUND(L15 + Intereses_Residual_Mensual!M15, 2), "")</f>
        <v/>
      </c>
      <c r="N15" s="23">
        <f>IF(Intereses_Residual_Mensual!N15&gt;0, ROUND(M15 + Intereses_Residual_Mensual!N15, 2), "")</f>
        <v/>
      </c>
      <c r="O15" s="23">
        <f>IF(Intereses_Residual_Mensual!O15&gt;0, ROUND(N15 + Intereses_Residual_Mensual!O15, 2), "")</f>
        <v/>
      </c>
      <c r="P15" s="23">
        <f>IF(Intereses_Residual_Mensual!P15&gt;0, ROUND(O15 + Intereses_Residual_Mensual!P15, 2), "")</f>
        <v/>
      </c>
      <c r="Q15" s="23">
        <f>IF(Intereses_Residual_Mensual!Q15&gt;0, ROUND(P15 + Intereses_Residual_Mensual!Q15, 2), "")</f>
        <v/>
      </c>
      <c r="R15" s="23">
        <f>IF(Intereses_Residual_Mensual!R15&gt;0, ROUND(Q15 + Intereses_Residual_Mensual!R15, 2), "")</f>
        <v/>
      </c>
      <c r="S15" s="23">
        <f>IF(Intereses_Residual_Mensual!S15&gt;0, ROUND(R15 + Intereses_Residual_Mensual!S15, 2), "")</f>
        <v/>
      </c>
      <c r="T15" s="23">
        <f>IF(Intereses_Residual_Mensual!T15&gt;0, ROUND(S15 + Intereses_Residual_Mensual!T15, 2), "")</f>
        <v/>
      </c>
      <c r="U15" s="23">
        <f>MAX(I15:T15)</f>
        <v/>
      </c>
    </row>
    <row r="16">
      <c r="A16" s="26" t="inlineStr">
        <is>
          <t>0524-0012</t>
        </is>
      </c>
      <c r="B16" s="27" t="inlineStr">
        <is>
          <t>Lider En Derecho De Via y Construcción SA DE CV</t>
        </is>
      </c>
      <c r="C16" s="27" t="inlineStr">
        <is>
          <t>L200 GLS</t>
        </is>
      </c>
      <c r="D16" s="26" t="inlineStr">
        <is>
          <t>ACTIVO</t>
        </is>
      </c>
      <c r="E16" s="26" t="inlineStr">
        <is>
          <t>2026-03-17</t>
        </is>
      </c>
      <c r="F16" s="26" t="inlineStr">
        <is>
          <t>2030-03-17</t>
        </is>
      </c>
      <c r="G16" s="28" t="n">
        <v>48</v>
      </c>
      <c r="H16" s="29" t="n">
        <v>62415.43</v>
      </c>
      <c r="I16" s="29" t="inlineStr"/>
      <c r="J16" s="29" t="inlineStr"/>
      <c r="K16" s="29">
        <f>ROUND('Resumen_Cartera'!$U16 + Intereses_Residual_Mensual!K16, 2)</f>
        <v/>
      </c>
      <c r="L16" s="29">
        <f>IF(Intereses_Residual_Mensual!L16&gt;0, ROUND(K16 + Intereses_Residual_Mensual!L16, 2), "")</f>
        <v/>
      </c>
      <c r="M16" s="29">
        <f>IF(Intereses_Residual_Mensual!M16&gt;0, ROUND(L16 + Intereses_Residual_Mensual!M16, 2), "")</f>
        <v/>
      </c>
      <c r="N16" s="29">
        <f>IF(Intereses_Residual_Mensual!N16&gt;0, ROUND(M16 + Intereses_Residual_Mensual!N16, 2), "")</f>
        <v/>
      </c>
      <c r="O16" s="29">
        <f>IF(Intereses_Residual_Mensual!O16&gt;0, ROUND(N16 + Intereses_Residual_Mensual!O16, 2), "")</f>
        <v/>
      </c>
      <c r="P16" s="29">
        <f>IF(Intereses_Residual_Mensual!P16&gt;0, ROUND(O16 + Intereses_Residual_Mensual!P16, 2), "")</f>
        <v/>
      </c>
      <c r="Q16" s="29">
        <f>IF(Intereses_Residual_Mensual!Q16&gt;0, ROUND(P16 + Intereses_Residual_Mensual!Q16, 2), "")</f>
        <v/>
      </c>
      <c r="R16" s="29">
        <f>IF(Intereses_Residual_Mensual!R16&gt;0, ROUND(Q16 + Intereses_Residual_Mensual!R16, 2), "")</f>
        <v/>
      </c>
      <c r="S16" s="29">
        <f>IF(Intereses_Residual_Mensual!S16&gt;0, ROUND(R16 + Intereses_Residual_Mensual!S16, 2), "")</f>
        <v/>
      </c>
      <c r="T16" s="29">
        <f>IF(Intereses_Residual_Mensual!T16&gt;0, ROUND(S16 + Intereses_Residual_Mensual!T16, 2), "")</f>
        <v/>
      </c>
      <c r="U16" s="29">
        <f>MAX(I16:T16)</f>
        <v/>
      </c>
    </row>
    <row r="17">
      <c r="A17" s="20" t="inlineStr">
        <is>
          <t>0524-0013</t>
        </is>
      </c>
      <c r="B17" s="21" t="inlineStr">
        <is>
          <t>Lider En Derecho De Via y Construcción SA DE CV</t>
        </is>
      </c>
      <c r="C17" s="21" t="inlineStr">
        <is>
          <t>L200 GLX</t>
        </is>
      </c>
      <c r="D17" s="20" t="inlineStr">
        <is>
          <t>ACTIVO</t>
        </is>
      </c>
      <c r="E17" s="20" t="inlineStr">
        <is>
          <t>2026-06-23</t>
        </is>
      </c>
      <c r="F17" s="20" t="inlineStr">
        <is>
          <t>2029-06-23</t>
        </is>
      </c>
      <c r="G17" s="22" t="n">
        <v>36</v>
      </c>
      <c r="H17" s="23" t="n">
        <v>119585</v>
      </c>
      <c r="I17" s="23" t="inlineStr"/>
      <c r="J17" s="23" t="inlineStr"/>
      <c r="K17" s="23" t="inlineStr"/>
      <c r="L17" s="23" t="inlineStr"/>
      <c r="M17" s="23" t="inlineStr"/>
      <c r="N17" s="23">
        <f>ROUND('Resumen_Cartera'!$U17 + Intereses_Residual_Mensual!N17, 2)</f>
        <v/>
      </c>
      <c r="O17" s="23">
        <f>IF(Intereses_Residual_Mensual!O17&gt;0, ROUND(N17 + Intereses_Residual_Mensual!O17, 2), "")</f>
        <v/>
      </c>
      <c r="P17" s="23">
        <f>IF(Intereses_Residual_Mensual!P17&gt;0, ROUND(O17 + Intereses_Residual_Mensual!P17, 2), "")</f>
        <v/>
      </c>
      <c r="Q17" s="23">
        <f>IF(Intereses_Residual_Mensual!Q17&gt;0, ROUND(P17 + Intereses_Residual_Mensual!Q17, 2), "")</f>
        <v/>
      </c>
      <c r="R17" s="23">
        <f>IF(Intereses_Residual_Mensual!R17&gt;0, ROUND(Q17 + Intereses_Residual_Mensual!R17, 2), "")</f>
        <v/>
      </c>
      <c r="S17" s="23">
        <f>IF(Intereses_Residual_Mensual!S17&gt;0, ROUND(R17 + Intereses_Residual_Mensual!S17, 2), "")</f>
        <v/>
      </c>
      <c r="T17" s="23">
        <f>IF(Intereses_Residual_Mensual!T17&gt;0, ROUND(S17 + Intereses_Residual_Mensual!T17, 2), "")</f>
        <v/>
      </c>
      <c r="U17" s="23">
        <f>MAX(I17:T17)</f>
        <v/>
      </c>
    </row>
    <row r="18">
      <c r="A18" s="26" t="inlineStr">
        <is>
          <t>0524-0014</t>
        </is>
      </c>
      <c r="B18" s="27" t="inlineStr">
        <is>
          <t>Lider En Derecho De Via y Construcción SA DE CV</t>
        </is>
      </c>
      <c r="C18" s="27" t="inlineStr">
        <is>
          <t>L200 GLX</t>
        </is>
      </c>
      <c r="D18" s="26" t="inlineStr">
        <is>
          <t>ACTIVO</t>
        </is>
      </c>
      <c r="E18" s="26" t="inlineStr">
        <is>
          <t>2026-06-23</t>
        </is>
      </c>
      <c r="F18" s="26" t="inlineStr">
        <is>
          <t>2029-06-23</t>
        </is>
      </c>
      <c r="G18" s="28" t="n">
        <v>36</v>
      </c>
      <c r="H18" s="29" t="n">
        <v>119585</v>
      </c>
      <c r="I18" s="29" t="inlineStr"/>
      <c r="J18" s="29" t="inlineStr"/>
      <c r="K18" s="29" t="inlineStr"/>
      <c r="L18" s="29" t="inlineStr"/>
      <c r="M18" s="29" t="inlineStr"/>
      <c r="N18" s="29">
        <f>ROUND('Resumen_Cartera'!$U18 + Intereses_Residual_Mensual!N18, 2)</f>
        <v/>
      </c>
      <c r="O18" s="29">
        <f>IF(Intereses_Residual_Mensual!O18&gt;0, ROUND(N18 + Intereses_Residual_Mensual!O18, 2), "")</f>
        <v/>
      </c>
      <c r="P18" s="29">
        <f>IF(Intereses_Residual_Mensual!P18&gt;0, ROUND(O18 + Intereses_Residual_Mensual!P18, 2), "")</f>
        <v/>
      </c>
      <c r="Q18" s="29">
        <f>IF(Intereses_Residual_Mensual!Q18&gt;0, ROUND(P18 + Intereses_Residual_Mensual!Q18, 2), "")</f>
        <v/>
      </c>
      <c r="R18" s="29">
        <f>IF(Intereses_Residual_Mensual!R18&gt;0, ROUND(Q18 + Intereses_Residual_Mensual!R18, 2), "")</f>
        <v/>
      </c>
      <c r="S18" s="29">
        <f>IF(Intereses_Residual_Mensual!S18&gt;0, ROUND(R18 + Intereses_Residual_Mensual!S18, 2), "")</f>
        <v/>
      </c>
      <c r="T18" s="29">
        <f>IF(Intereses_Residual_Mensual!T18&gt;0, ROUND(S18 + Intereses_Residual_Mensual!T18, 2), "")</f>
        <v/>
      </c>
      <c r="U18" s="29">
        <f>MAX(I18:T18)</f>
        <v/>
      </c>
    </row>
    <row r="19">
      <c r="A19" s="20" t="inlineStr">
        <is>
          <t>0524-0015</t>
        </is>
      </c>
      <c r="B19" s="21" t="inlineStr">
        <is>
          <t>Lider En Derecho De Via y Construcción SA DE CV</t>
        </is>
      </c>
      <c r="C19" s="21" t="inlineStr">
        <is>
          <t>Mitsubishi L200 GLX 2026</t>
        </is>
      </c>
      <c r="D19" s="20" t="inlineStr">
        <is>
          <t>ACTIVO</t>
        </is>
      </c>
      <c r="E19" s="20" t="inlineStr">
        <is>
          <t>2026-07-29</t>
        </is>
      </c>
      <c r="F19" s="20" t="inlineStr">
        <is>
          <t>2029-07-29</t>
        </is>
      </c>
      <c r="G19" s="22" t="n">
        <v>36</v>
      </c>
      <c r="H19" s="23" t="n">
        <v>103090.52</v>
      </c>
      <c r="I19" s="23" t="inlineStr"/>
      <c r="J19" s="23" t="inlineStr"/>
      <c r="K19" s="23" t="inlineStr"/>
      <c r="L19" s="23" t="inlineStr"/>
      <c r="M19" s="23" t="inlineStr"/>
      <c r="N19" s="23" t="inlineStr"/>
      <c r="O19" s="23">
        <f>ROUND('Resumen_Cartera'!$U19 + Intereses_Residual_Mensual!O19, 2)</f>
        <v/>
      </c>
      <c r="P19" s="23">
        <f>IF(Intereses_Residual_Mensual!P19&gt;0, ROUND(O19 + Intereses_Residual_Mensual!P19, 2), "")</f>
        <v/>
      </c>
      <c r="Q19" s="23">
        <f>IF(Intereses_Residual_Mensual!Q19&gt;0, ROUND(P19 + Intereses_Residual_Mensual!Q19, 2), "")</f>
        <v/>
      </c>
      <c r="R19" s="23">
        <f>IF(Intereses_Residual_Mensual!R19&gt;0, ROUND(Q19 + Intereses_Residual_Mensual!R19, 2), "")</f>
        <v/>
      </c>
      <c r="S19" s="23">
        <f>IF(Intereses_Residual_Mensual!S19&gt;0, ROUND(R19 + Intereses_Residual_Mensual!S19, 2), "")</f>
        <v/>
      </c>
      <c r="T19" s="23">
        <f>IF(Intereses_Residual_Mensual!T19&gt;0, ROUND(S19 + Intereses_Residual_Mensual!T19, 2), "")</f>
        <v/>
      </c>
      <c r="U19" s="23">
        <f>MAX(I19:T19)</f>
        <v/>
      </c>
    </row>
    <row r="20">
      <c r="A20" s="26" t="inlineStr">
        <is>
          <t>0524-0016</t>
        </is>
      </c>
      <c r="B20" s="27" t="inlineStr">
        <is>
          <t>Lider En Derecho De Via y Construcción SA DE CV</t>
        </is>
      </c>
      <c r="C20" s="27" t="inlineStr">
        <is>
          <t>Mitsubishi L200 GLX 2026</t>
        </is>
      </c>
      <c r="D20" s="26" t="inlineStr">
        <is>
          <t>ACTIVO</t>
        </is>
      </c>
      <c r="E20" s="26" t="inlineStr">
        <is>
          <t>2026-07-29</t>
        </is>
      </c>
      <c r="F20" s="26" t="inlineStr">
        <is>
          <t>2029-07-29</t>
        </is>
      </c>
      <c r="G20" s="28" t="n">
        <v>36</v>
      </c>
      <c r="H20" s="29" t="n">
        <v>103090.52</v>
      </c>
      <c r="I20" s="29" t="inlineStr"/>
      <c r="J20" s="29" t="inlineStr"/>
      <c r="K20" s="29" t="inlineStr"/>
      <c r="L20" s="29" t="inlineStr"/>
      <c r="M20" s="29" t="inlineStr"/>
      <c r="N20" s="29" t="inlineStr"/>
      <c r="O20" s="29">
        <f>ROUND('Resumen_Cartera'!$U20 + Intereses_Residual_Mensual!O20, 2)</f>
        <v/>
      </c>
      <c r="P20" s="29">
        <f>IF(Intereses_Residual_Mensual!P20&gt;0, ROUND(O20 + Intereses_Residual_Mensual!P20, 2), "")</f>
        <v/>
      </c>
      <c r="Q20" s="29">
        <f>IF(Intereses_Residual_Mensual!Q20&gt;0, ROUND(P20 + Intereses_Residual_Mensual!Q20, 2), "")</f>
        <v/>
      </c>
      <c r="R20" s="29">
        <f>IF(Intereses_Residual_Mensual!R20&gt;0, ROUND(Q20 + Intereses_Residual_Mensual!R20, 2), "")</f>
        <v/>
      </c>
      <c r="S20" s="29">
        <f>IF(Intereses_Residual_Mensual!S20&gt;0, ROUND(R20 + Intereses_Residual_Mensual!S20, 2), "")</f>
        <v/>
      </c>
      <c r="T20" s="29">
        <f>IF(Intereses_Residual_Mensual!T20&gt;0, ROUND(S20 + Intereses_Residual_Mensual!T20, 2), "")</f>
        <v/>
      </c>
      <c r="U20" s="29">
        <f>MAX(I20:T20)</f>
        <v/>
      </c>
    </row>
    <row r="21">
      <c r="A21" s="20" t="inlineStr">
        <is>
          <t>0527-0003</t>
        </is>
      </c>
      <c r="B21" s="21" t="inlineStr">
        <is>
          <t>Comercilizadora e Importadora Nabega Sa de Cv</t>
        </is>
      </c>
      <c r="C21" s="21" t="inlineStr">
        <is>
          <t>RAM 700 Big Horn CVT</t>
        </is>
      </c>
      <c r="D21" s="20" t="inlineStr">
        <is>
          <t>ACTIVO</t>
        </is>
      </c>
      <c r="E21" s="20" t="inlineStr">
        <is>
          <t>2024-05-30</t>
        </is>
      </c>
      <c r="F21" s="20" t="inlineStr">
        <is>
          <t>2027-05-30</t>
        </is>
      </c>
      <c r="G21" s="22" t="n">
        <v>36</v>
      </c>
      <c r="H21" s="23" t="n">
        <v>126693.97</v>
      </c>
      <c r="I21" s="23">
        <f>IF(Intereses_Residual_Mensual!I21&gt;0, ROUND(76265.33 + Intereses_Residual_Mensual!I21, 2), "")</f>
        <v/>
      </c>
      <c r="J21" s="23">
        <f>IF(Intereses_Residual_Mensual!J21&gt;0, ROUND(I21 + Intereses_Residual_Mensual!J21, 2), "")</f>
        <v/>
      </c>
      <c r="K21" s="23">
        <f>IF(Intereses_Residual_Mensual!K21&gt;0, ROUND(J21 + Intereses_Residual_Mensual!K21, 2), "")</f>
        <v/>
      </c>
      <c r="L21" s="23">
        <f>IF(Intereses_Residual_Mensual!L21&gt;0, ROUND(K21 + Intereses_Residual_Mensual!L21, 2), "")</f>
        <v/>
      </c>
      <c r="M21" s="23">
        <f>IF(Intereses_Residual_Mensual!M21&gt;0, ROUND(L21 + Intereses_Residual_Mensual!M21, 2), "")</f>
        <v/>
      </c>
      <c r="N21" s="23">
        <f>IF(Intereses_Residual_Mensual!N21&gt;0, ROUND(M21 + Intereses_Residual_Mensual!N21, 2), "")</f>
        <v/>
      </c>
      <c r="O21" s="23">
        <f>IF(Intereses_Residual_Mensual!O21&gt;0, ROUND(N21 + Intereses_Residual_Mensual!O21, 2), "")</f>
        <v/>
      </c>
      <c r="P21" s="23">
        <f>IF(Intereses_Residual_Mensual!P21&gt;0, ROUND(O21 + Intereses_Residual_Mensual!P21, 2), "")</f>
        <v/>
      </c>
      <c r="Q21" s="23">
        <f>IF(Intereses_Residual_Mensual!Q21&gt;0, ROUND(P21 + Intereses_Residual_Mensual!Q21, 2), "")</f>
        <v/>
      </c>
      <c r="R21" s="23">
        <f>IF(Intereses_Residual_Mensual!R21&gt;0, ROUND(Q21 + Intereses_Residual_Mensual!R21, 2), "")</f>
        <v/>
      </c>
      <c r="S21" s="23">
        <f>IF(Intereses_Residual_Mensual!S21&gt;0, ROUND(R21 + Intereses_Residual_Mensual!S21, 2), "")</f>
        <v/>
      </c>
      <c r="T21" s="23">
        <f>IF(Intereses_Residual_Mensual!T21&gt;0, ROUND(S21 + Intereses_Residual_Mensual!T21, 2), "")</f>
        <v/>
      </c>
      <c r="U21" s="23">
        <f>MAX(I21:T21)</f>
        <v/>
      </c>
    </row>
    <row r="22">
      <c r="A22" s="26" t="inlineStr">
        <is>
          <t>0527-0004</t>
        </is>
      </c>
      <c r="B22" s="27" t="inlineStr">
        <is>
          <t>Comercilizadora e Importadora Nabega Sa de Cv</t>
        </is>
      </c>
      <c r="C22" s="27" t="inlineStr">
        <is>
          <t>Gmc Denali</t>
        </is>
      </c>
      <c r="D22" s="26" t="inlineStr">
        <is>
          <t>ACTIVO</t>
        </is>
      </c>
      <c r="E22" s="26" t="inlineStr">
        <is>
          <t>2025-07-31</t>
        </is>
      </c>
      <c r="F22" s="26" t="inlineStr">
        <is>
          <t>2029-07-31</t>
        </is>
      </c>
      <c r="G22" s="28" t="n">
        <v>48</v>
      </c>
      <c r="H22" s="29" t="n">
        <v>220241.38</v>
      </c>
      <c r="I22" s="29">
        <f>IF(Intereses_Residual_Mensual!I22&gt;0, ROUND(72006.59 + Intereses_Residual_Mensual!I22, 2), "")</f>
        <v/>
      </c>
      <c r="J22" s="29">
        <f>IF(Intereses_Residual_Mensual!J22&gt;0, ROUND(I22 + Intereses_Residual_Mensual!J22, 2), "")</f>
        <v/>
      </c>
      <c r="K22" s="29">
        <f>IF(Intereses_Residual_Mensual!K22&gt;0, ROUND(J22 + Intereses_Residual_Mensual!K22, 2), "")</f>
        <v/>
      </c>
      <c r="L22" s="29">
        <f>IF(Intereses_Residual_Mensual!L22&gt;0, ROUND(K22 + Intereses_Residual_Mensual!L22, 2), "")</f>
        <v/>
      </c>
      <c r="M22" s="29">
        <f>IF(Intereses_Residual_Mensual!M22&gt;0, ROUND(L22 + Intereses_Residual_Mensual!M22, 2), "")</f>
        <v/>
      </c>
      <c r="N22" s="29">
        <f>IF(Intereses_Residual_Mensual!N22&gt;0, ROUND(M22 + Intereses_Residual_Mensual!N22, 2), "")</f>
        <v/>
      </c>
      <c r="O22" s="29">
        <f>IF(Intereses_Residual_Mensual!O22&gt;0, ROUND(N22 + Intereses_Residual_Mensual!O22, 2), "")</f>
        <v/>
      </c>
      <c r="P22" s="29">
        <f>IF(Intereses_Residual_Mensual!P22&gt;0, ROUND(O22 + Intereses_Residual_Mensual!P22, 2), "")</f>
        <v/>
      </c>
      <c r="Q22" s="29">
        <f>IF(Intereses_Residual_Mensual!Q22&gt;0, ROUND(P22 + Intereses_Residual_Mensual!Q22, 2), "")</f>
        <v/>
      </c>
      <c r="R22" s="29">
        <f>IF(Intereses_Residual_Mensual!R22&gt;0, ROUND(Q22 + Intereses_Residual_Mensual!R22, 2), "")</f>
        <v/>
      </c>
      <c r="S22" s="29">
        <f>IF(Intereses_Residual_Mensual!S22&gt;0, ROUND(R22 + Intereses_Residual_Mensual!S22, 2), "")</f>
        <v/>
      </c>
      <c r="T22" s="29">
        <f>IF(Intereses_Residual_Mensual!T22&gt;0, ROUND(S22 + Intereses_Residual_Mensual!T22, 2), "")</f>
        <v/>
      </c>
      <c r="U22" s="29">
        <f>MAX(I22:T22)</f>
        <v/>
      </c>
    </row>
    <row r="23">
      <c r="A23" s="20" t="inlineStr">
        <is>
          <t>0527-0005</t>
        </is>
      </c>
      <c r="B23" s="21" t="inlineStr">
        <is>
          <t>Comercilizadora e Importadora Nabega Sa de Cv</t>
        </is>
      </c>
      <c r="C23" s="21" t="inlineStr">
        <is>
          <t>Gle 450 Sport</t>
        </is>
      </c>
      <c r="D23" s="20" t="inlineStr">
        <is>
          <t>ACTIVO</t>
        </is>
      </c>
      <c r="E23" s="20" t="inlineStr">
        <is>
          <t>2025-08-16</t>
        </is>
      </c>
      <c r="F23" s="20" t="inlineStr">
        <is>
          <t>2028-08-16</t>
        </is>
      </c>
      <c r="G23" s="22" t="n">
        <v>36</v>
      </c>
      <c r="H23" s="23" t="n">
        <v>300150</v>
      </c>
      <c r="I23" s="23">
        <f>IF(Intereses_Residual_Mensual!I23&gt;0, ROUND(138864.97 + Intereses_Residual_Mensual!I23, 2), "")</f>
        <v/>
      </c>
      <c r="J23" s="23">
        <f>IF(Intereses_Residual_Mensual!J23&gt;0, ROUND(I23 + Intereses_Residual_Mensual!J23, 2), "")</f>
        <v/>
      </c>
      <c r="K23" s="23">
        <f>IF(Intereses_Residual_Mensual!K23&gt;0, ROUND(J23 + Intereses_Residual_Mensual!K23, 2), "")</f>
        <v/>
      </c>
      <c r="L23" s="23">
        <f>IF(Intereses_Residual_Mensual!L23&gt;0, ROUND(K23 + Intereses_Residual_Mensual!L23, 2), "")</f>
        <v/>
      </c>
      <c r="M23" s="23">
        <f>IF(Intereses_Residual_Mensual!M23&gt;0, ROUND(L23 + Intereses_Residual_Mensual!M23, 2), "")</f>
        <v/>
      </c>
      <c r="N23" s="23">
        <f>IF(Intereses_Residual_Mensual!N23&gt;0, ROUND(M23 + Intereses_Residual_Mensual!N23, 2), "")</f>
        <v/>
      </c>
      <c r="O23" s="23">
        <f>IF(Intereses_Residual_Mensual!O23&gt;0, ROUND(N23 + Intereses_Residual_Mensual!O23, 2), "")</f>
        <v/>
      </c>
      <c r="P23" s="23">
        <f>IF(Intereses_Residual_Mensual!P23&gt;0, ROUND(O23 + Intereses_Residual_Mensual!P23, 2), "")</f>
        <v/>
      </c>
      <c r="Q23" s="23">
        <f>IF(Intereses_Residual_Mensual!Q23&gt;0, ROUND(P23 + Intereses_Residual_Mensual!Q23, 2), "")</f>
        <v/>
      </c>
      <c r="R23" s="23">
        <f>IF(Intereses_Residual_Mensual!R23&gt;0, ROUND(Q23 + Intereses_Residual_Mensual!R23, 2), "")</f>
        <v/>
      </c>
      <c r="S23" s="23">
        <f>IF(Intereses_Residual_Mensual!S23&gt;0, ROUND(R23 + Intereses_Residual_Mensual!S23, 2), "")</f>
        <v/>
      </c>
      <c r="T23" s="23">
        <f>IF(Intereses_Residual_Mensual!T23&gt;0, ROUND(S23 + Intereses_Residual_Mensual!T23, 2), "")</f>
        <v/>
      </c>
      <c r="U23" s="23">
        <f>MAX(I23:T23)</f>
        <v/>
      </c>
    </row>
    <row r="24">
      <c r="A24" s="26" t="inlineStr">
        <is>
          <t>0531-0002</t>
        </is>
      </c>
      <c r="B24" s="27" t="inlineStr">
        <is>
          <t>Otcada Mex, S. de R.L. de C.V.</t>
        </is>
      </c>
      <c r="C24" s="27" t="inlineStr">
        <is>
          <t>Grand Cherokee Limited</t>
        </is>
      </c>
      <c r="D24" s="26" t="inlineStr">
        <is>
          <t>ACTIVO</t>
        </is>
      </c>
      <c r="E24" s="26" t="inlineStr">
        <is>
          <t>2026-06-18</t>
        </is>
      </c>
      <c r="F24" s="26" t="inlineStr">
        <is>
          <t>2030-06-18</t>
        </is>
      </c>
      <c r="G24" s="28" t="n">
        <v>48</v>
      </c>
      <c r="H24" s="29" t="n">
        <v>129890</v>
      </c>
      <c r="I24" s="29" t="inlineStr"/>
      <c r="J24" s="29" t="inlineStr"/>
      <c r="K24" s="29" t="inlineStr"/>
      <c r="L24" s="29" t="inlineStr"/>
      <c r="M24" s="29" t="inlineStr"/>
      <c r="N24" s="29">
        <f>ROUND('Resumen_Cartera'!$U24 + Intereses_Residual_Mensual!N24, 2)</f>
        <v/>
      </c>
      <c r="O24" s="29">
        <f>IF(Intereses_Residual_Mensual!O24&gt;0, ROUND(N24 + Intereses_Residual_Mensual!O24, 2), "")</f>
        <v/>
      </c>
      <c r="P24" s="29">
        <f>IF(Intereses_Residual_Mensual!P24&gt;0, ROUND(O24 + Intereses_Residual_Mensual!P24, 2), "")</f>
        <v/>
      </c>
      <c r="Q24" s="29">
        <f>IF(Intereses_Residual_Mensual!Q24&gt;0, ROUND(P24 + Intereses_Residual_Mensual!Q24, 2), "")</f>
        <v/>
      </c>
      <c r="R24" s="29">
        <f>IF(Intereses_Residual_Mensual!R24&gt;0, ROUND(Q24 + Intereses_Residual_Mensual!R24, 2), "")</f>
        <v/>
      </c>
      <c r="S24" s="29">
        <f>IF(Intereses_Residual_Mensual!S24&gt;0, ROUND(R24 + Intereses_Residual_Mensual!S24, 2), "")</f>
        <v/>
      </c>
      <c r="T24" s="29">
        <f>IF(Intereses_Residual_Mensual!T24&gt;0, ROUND(S24 + Intereses_Residual_Mensual!T24, 2), "")</f>
        <v/>
      </c>
      <c r="U24" s="29">
        <f>MAX(I24:T24)</f>
        <v/>
      </c>
    </row>
    <row r="25">
      <c r="A25" s="20" t="inlineStr">
        <is>
          <t>0546-0007</t>
        </is>
      </c>
      <c r="B25" s="21" t="inlineStr">
        <is>
          <t>Norma Elena Bonilla Lupio</t>
        </is>
      </c>
      <c r="C25" s="21" t="inlineStr">
        <is>
          <t>GLC 350 E 4MATIC</t>
        </is>
      </c>
      <c r="D25" s="20" t="inlineStr">
        <is>
          <t>ACTIVO</t>
        </is>
      </c>
      <c r="E25" s="20" t="inlineStr">
        <is>
          <t>2025-10-14</t>
        </is>
      </c>
      <c r="F25" s="20" t="inlineStr">
        <is>
          <t>2027-10-14</t>
        </is>
      </c>
      <c r="G25" s="22" t="n">
        <v>24</v>
      </c>
      <c r="H25" s="23" t="n">
        <v>144486.21</v>
      </c>
      <c r="I25" s="23">
        <f>IF(Intereses_Residual_Mensual!I25&gt;0, ROUND(86908.08 + Intereses_Residual_Mensual!I25, 2), "")</f>
        <v/>
      </c>
      <c r="J25" s="23">
        <f>IF(Intereses_Residual_Mensual!J25&gt;0, ROUND(I25 + Intereses_Residual_Mensual!J25, 2), "")</f>
        <v/>
      </c>
      <c r="K25" s="23">
        <f>IF(Intereses_Residual_Mensual!K25&gt;0, ROUND(J25 + Intereses_Residual_Mensual!K25, 2), "")</f>
        <v/>
      </c>
      <c r="L25" s="23">
        <f>IF(Intereses_Residual_Mensual!L25&gt;0, ROUND(K25 + Intereses_Residual_Mensual!L25, 2), "")</f>
        <v/>
      </c>
      <c r="M25" s="23">
        <f>IF(Intereses_Residual_Mensual!M25&gt;0, ROUND(L25 + Intereses_Residual_Mensual!M25, 2), "")</f>
        <v/>
      </c>
      <c r="N25" s="23">
        <f>IF(Intereses_Residual_Mensual!N25&gt;0, ROUND(M25 + Intereses_Residual_Mensual!N25, 2), "")</f>
        <v/>
      </c>
      <c r="O25" s="23">
        <f>IF(Intereses_Residual_Mensual!O25&gt;0, ROUND(N25 + Intereses_Residual_Mensual!O25, 2), "")</f>
        <v/>
      </c>
      <c r="P25" s="23">
        <f>IF(Intereses_Residual_Mensual!P25&gt;0, ROUND(O25 + Intereses_Residual_Mensual!P25, 2), "")</f>
        <v/>
      </c>
      <c r="Q25" s="23">
        <f>IF(Intereses_Residual_Mensual!Q25&gt;0, ROUND(P25 + Intereses_Residual_Mensual!Q25, 2), "")</f>
        <v/>
      </c>
      <c r="R25" s="23">
        <f>IF(Intereses_Residual_Mensual!R25&gt;0, ROUND(Q25 + Intereses_Residual_Mensual!R25, 2), "")</f>
        <v/>
      </c>
      <c r="S25" s="23">
        <f>IF(Intereses_Residual_Mensual!S25&gt;0, ROUND(R25 + Intereses_Residual_Mensual!S25, 2), "")</f>
        <v/>
      </c>
      <c r="T25" s="23">
        <f>IF(Intereses_Residual_Mensual!T25&gt;0, ROUND(S25 + Intereses_Residual_Mensual!T25, 2), "")</f>
        <v/>
      </c>
      <c r="U25" s="23">
        <f>MAX(I25:T25)</f>
        <v/>
      </c>
    </row>
    <row r="26">
      <c r="A26" s="26" t="inlineStr">
        <is>
          <t>0546-0008</t>
        </is>
      </c>
      <c r="B26" s="27" t="inlineStr">
        <is>
          <t>Norma Elena Bonilla Lupio</t>
        </is>
      </c>
      <c r="C26" s="27" t="inlineStr">
        <is>
          <t>JT MOJAVE 4X4</t>
        </is>
      </c>
      <c r="D26" s="26" t="inlineStr">
        <is>
          <t>ACTIVO</t>
        </is>
      </c>
      <c r="E26" s="26" t="inlineStr">
        <is>
          <t>2026-01-08</t>
        </is>
      </c>
      <c r="F26" s="26" t="inlineStr">
        <is>
          <t>2028-01-08</t>
        </is>
      </c>
      <c r="G26" s="28" t="n">
        <v>24</v>
      </c>
      <c r="H26" s="29" t="n">
        <v>136293.36</v>
      </c>
      <c r="I26" s="29">
        <f>ROUND('Resumen_Cartera'!$U26 + Intereses_Residual_Mensual!I26, 2)</f>
        <v/>
      </c>
      <c r="J26" s="29">
        <f>IF(Intereses_Residual_Mensual!J26&gt;0, ROUND(I26 + Intereses_Residual_Mensual!J26, 2), "")</f>
        <v/>
      </c>
      <c r="K26" s="29">
        <f>IF(Intereses_Residual_Mensual!K26&gt;0, ROUND(J26 + Intereses_Residual_Mensual!K26, 2), "")</f>
        <v/>
      </c>
      <c r="L26" s="29">
        <f>IF(Intereses_Residual_Mensual!L26&gt;0, ROUND(K26 + Intereses_Residual_Mensual!L26, 2), "")</f>
        <v/>
      </c>
      <c r="M26" s="29">
        <f>IF(Intereses_Residual_Mensual!M26&gt;0, ROUND(L26 + Intereses_Residual_Mensual!M26, 2), "")</f>
        <v/>
      </c>
      <c r="N26" s="29">
        <f>IF(Intereses_Residual_Mensual!N26&gt;0, ROUND(M26 + Intereses_Residual_Mensual!N26, 2), "")</f>
        <v/>
      </c>
      <c r="O26" s="29">
        <f>IF(Intereses_Residual_Mensual!O26&gt;0, ROUND(N26 + Intereses_Residual_Mensual!O26, 2), "")</f>
        <v/>
      </c>
      <c r="P26" s="29">
        <f>IF(Intereses_Residual_Mensual!P26&gt;0, ROUND(O26 + Intereses_Residual_Mensual!P26, 2), "")</f>
        <v/>
      </c>
      <c r="Q26" s="29">
        <f>IF(Intereses_Residual_Mensual!Q26&gt;0, ROUND(P26 + Intereses_Residual_Mensual!Q26, 2), "")</f>
        <v/>
      </c>
      <c r="R26" s="29">
        <f>IF(Intereses_Residual_Mensual!R26&gt;0, ROUND(Q26 + Intereses_Residual_Mensual!R26, 2), "")</f>
        <v/>
      </c>
      <c r="S26" s="29">
        <f>IF(Intereses_Residual_Mensual!S26&gt;0, ROUND(R26 + Intereses_Residual_Mensual!S26, 2), "")</f>
        <v/>
      </c>
      <c r="T26" s="29">
        <f>IF(Intereses_Residual_Mensual!T26&gt;0, ROUND(S26 + Intereses_Residual_Mensual!T26, 2), "")</f>
        <v/>
      </c>
      <c r="U26" s="29">
        <f>MAX(I26:T26)</f>
        <v/>
      </c>
    </row>
    <row r="27">
      <c r="A27" s="20" t="inlineStr">
        <is>
          <t>0546-0009</t>
        </is>
      </c>
      <c r="B27" s="21" t="inlineStr">
        <is>
          <t>Norma Elena Bonilla Lupio</t>
        </is>
      </c>
      <c r="C27" s="21" t="inlineStr">
        <is>
          <t>Ram 1200 Tradesman 2026</t>
        </is>
      </c>
      <c r="D27" s="20" t="inlineStr">
        <is>
          <t>ACTIVO</t>
        </is>
      </c>
      <c r="E27" s="20" t="inlineStr">
        <is>
          <t>2026-07-01</t>
        </is>
      </c>
      <c r="F27" s="20" t="inlineStr">
        <is>
          <t>2028-07-01</t>
        </is>
      </c>
      <c r="G27" s="22" t="n">
        <v>24</v>
      </c>
      <c r="H27" s="23" t="n">
        <v>36450.26</v>
      </c>
      <c r="I27" s="23" t="inlineStr"/>
      <c r="J27" s="23" t="inlineStr"/>
      <c r="K27" s="23" t="inlineStr"/>
      <c r="L27" s="23" t="inlineStr"/>
      <c r="M27" s="23" t="inlineStr"/>
      <c r="N27" s="23" t="inlineStr"/>
      <c r="O27" s="23">
        <f>ROUND('Resumen_Cartera'!$U27 + Intereses_Residual_Mensual!O27, 2)</f>
        <v/>
      </c>
      <c r="P27" s="23">
        <f>IF(Intereses_Residual_Mensual!P27&gt;0, ROUND(O27 + Intereses_Residual_Mensual!P27, 2), "")</f>
        <v/>
      </c>
      <c r="Q27" s="23">
        <f>IF(Intereses_Residual_Mensual!Q27&gt;0, ROUND(P27 + Intereses_Residual_Mensual!Q27, 2), "")</f>
        <v/>
      </c>
      <c r="R27" s="23">
        <f>IF(Intereses_Residual_Mensual!R27&gt;0, ROUND(Q27 + Intereses_Residual_Mensual!R27, 2), "")</f>
        <v/>
      </c>
      <c r="S27" s="23">
        <f>IF(Intereses_Residual_Mensual!S27&gt;0, ROUND(R27 + Intereses_Residual_Mensual!S27, 2), "")</f>
        <v/>
      </c>
      <c r="T27" s="23">
        <f>IF(Intereses_Residual_Mensual!T27&gt;0, ROUND(S27 + Intereses_Residual_Mensual!T27, 2), "")</f>
        <v/>
      </c>
      <c r="U27" s="23">
        <f>MAX(I27:T27)</f>
        <v/>
      </c>
    </row>
    <row r="28">
      <c r="A28" s="26" t="inlineStr">
        <is>
          <t>0551-0002</t>
        </is>
      </c>
      <c r="B28" s="27" t="inlineStr">
        <is>
          <t>Agaveros Unidos de Tequila Jalisco Aun S de RL de Cv</t>
        </is>
      </c>
      <c r="C28" s="27" t="inlineStr">
        <is>
          <t>Ram 700 Laramie</t>
        </is>
      </c>
      <c r="D28" s="26" t="inlineStr">
        <is>
          <t>ACTIVO</t>
        </is>
      </c>
      <c r="E28" s="26" t="inlineStr">
        <is>
          <t>2023-07-07</t>
        </is>
      </c>
      <c r="F28" s="26" t="inlineStr">
        <is>
          <t>2027-07-07</t>
        </is>
      </c>
      <c r="G28" s="28" t="n">
        <v>48</v>
      </c>
      <c r="H28" s="29" t="n">
        <v>70672.41</v>
      </c>
      <c r="I28" s="29">
        <f>IF(Intereses_Residual_Mensual!I28&gt;0, ROUND(39773.83 + Intereses_Residual_Mensual!I28, 2), "")</f>
        <v/>
      </c>
      <c r="J28" s="29">
        <f>IF(Intereses_Residual_Mensual!J28&gt;0, ROUND(I28 + Intereses_Residual_Mensual!J28, 2), "")</f>
        <v/>
      </c>
      <c r="K28" s="29">
        <f>IF(Intereses_Residual_Mensual!K28&gt;0, ROUND(J28 + Intereses_Residual_Mensual!K28, 2), "")</f>
        <v/>
      </c>
      <c r="L28" s="29">
        <f>IF(Intereses_Residual_Mensual!L28&gt;0, ROUND(K28 + Intereses_Residual_Mensual!L28, 2), "")</f>
        <v/>
      </c>
      <c r="M28" s="29">
        <f>IF(Intereses_Residual_Mensual!M28&gt;0, ROUND(L28 + Intereses_Residual_Mensual!M28, 2), "")</f>
        <v/>
      </c>
      <c r="N28" s="29">
        <f>IF(Intereses_Residual_Mensual!N28&gt;0, ROUND(M28 + Intereses_Residual_Mensual!N28, 2), "")</f>
        <v/>
      </c>
      <c r="O28" s="29">
        <f>IF(Intereses_Residual_Mensual!O28&gt;0, ROUND(N28 + Intereses_Residual_Mensual!O28, 2), "")</f>
        <v/>
      </c>
      <c r="P28" s="29">
        <f>IF(Intereses_Residual_Mensual!P28&gt;0, ROUND(O28 + Intereses_Residual_Mensual!P28, 2), "")</f>
        <v/>
      </c>
      <c r="Q28" s="29">
        <f>IF(Intereses_Residual_Mensual!Q28&gt;0, ROUND(P28 + Intereses_Residual_Mensual!Q28, 2), "")</f>
        <v/>
      </c>
      <c r="R28" s="29">
        <f>IF(Intereses_Residual_Mensual!R28&gt;0, ROUND(Q28 + Intereses_Residual_Mensual!R28, 2), "")</f>
        <v/>
      </c>
      <c r="S28" s="29">
        <f>IF(Intereses_Residual_Mensual!S28&gt;0, ROUND(R28 + Intereses_Residual_Mensual!S28, 2), "")</f>
        <v/>
      </c>
      <c r="T28" s="29">
        <f>IF(Intereses_Residual_Mensual!T28&gt;0, ROUND(S28 + Intereses_Residual_Mensual!T28, 2), "")</f>
        <v/>
      </c>
      <c r="U28" s="29">
        <f>MAX(I28:T28)</f>
        <v/>
      </c>
    </row>
    <row r="29">
      <c r="A29" s="20" t="inlineStr">
        <is>
          <t>0552-0018</t>
        </is>
      </c>
      <c r="B29" s="21" t="inlineStr">
        <is>
          <t>Transportes y Maniobras Portuarias</t>
        </is>
      </c>
      <c r="C29" s="21" t="inlineStr">
        <is>
          <t>Raizer</t>
        </is>
      </c>
      <c r="D29" s="20" t="inlineStr">
        <is>
          <t>ACTIVO</t>
        </is>
      </c>
      <c r="E29" s="20" t="inlineStr">
        <is>
          <t>2024-11-29</t>
        </is>
      </c>
      <c r="F29" s="20" t="inlineStr">
        <is>
          <t>2026-11-29</t>
        </is>
      </c>
      <c r="G29" s="22" t="n">
        <v>24</v>
      </c>
      <c r="H29" s="23" t="n">
        <v>8900</v>
      </c>
      <c r="I29" s="23">
        <f>IF(Intereses_Residual_Mensual!I29&gt;0, ROUND(6823.74 + Intereses_Residual_Mensual!I29, 2), "")</f>
        <v/>
      </c>
      <c r="J29" s="23">
        <f>IF(Intereses_Residual_Mensual!J29&gt;0, ROUND(I29 + Intereses_Residual_Mensual!J29, 2), "")</f>
        <v/>
      </c>
      <c r="K29" s="23">
        <f>IF(Intereses_Residual_Mensual!K29&gt;0, ROUND(J29 + Intereses_Residual_Mensual!K29, 2), "")</f>
        <v/>
      </c>
      <c r="L29" s="23">
        <f>IF(Intereses_Residual_Mensual!L29&gt;0, ROUND(K29 + Intereses_Residual_Mensual!L29, 2), "")</f>
        <v/>
      </c>
      <c r="M29" s="23">
        <f>IF(Intereses_Residual_Mensual!M29&gt;0, ROUND(L29 + Intereses_Residual_Mensual!M29, 2), "")</f>
        <v/>
      </c>
      <c r="N29" s="23">
        <f>IF(Intereses_Residual_Mensual!N29&gt;0, ROUND(M29 + Intereses_Residual_Mensual!N29, 2), "")</f>
        <v/>
      </c>
      <c r="O29" s="23">
        <f>IF(Intereses_Residual_Mensual!O29&gt;0, ROUND(N29 + Intereses_Residual_Mensual!O29, 2), "")</f>
        <v/>
      </c>
      <c r="P29" s="23">
        <f>IF(Intereses_Residual_Mensual!P29&gt;0, ROUND(O29 + Intereses_Residual_Mensual!P29, 2), "")</f>
        <v/>
      </c>
      <c r="Q29" s="23">
        <f>IF(Intereses_Residual_Mensual!Q29&gt;0, ROUND(P29 + Intereses_Residual_Mensual!Q29, 2), "")</f>
        <v/>
      </c>
      <c r="R29" s="23">
        <f>IF(Intereses_Residual_Mensual!R29&gt;0, ROUND(Q29 + Intereses_Residual_Mensual!R29, 2), "")</f>
        <v/>
      </c>
      <c r="S29" s="23" t="inlineStr"/>
      <c r="T29" s="23" t="inlineStr"/>
      <c r="U29" s="23">
        <f>MAX(I29:T29)</f>
        <v/>
      </c>
    </row>
    <row r="30">
      <c r="A30" s="26" t="inlineStr">
        <is>
          <t>0552-0019</t>
        </is>
      </c>
      <c r="B30" s="27" t="inlineStr">
        <is>
          <t>Transportes y Maniobras Portuarias de Mexico Sa de Cv</t>
        </is>
      </c>
      <c r="C30" s="27" t="inlineStr">
        <is>
          <t>Remolque tipo Dolly</t>
        </is>
      </c>
      <c r="D30" s="26" t="inlineStr">
        <is>
          <t>ACTIVO</t>
        </is>
      </c>
      <c r="E30" s="26" t="inlineStr">
        <is>
          <t>2024-12-20</t>
        </is>
      </c>
      <c r="F30" s="26" t="inlineStr">
        <is>
          <t>2026-12-20</t>
        </is>
      </c>
      <c r="G30" s="28" t="n">
        <v>24</v>
      </c>
      <c r="H30" s="29" t="n">
        <v>2710</v>
      </c>
      <c r="I30" s="29">
        <f>IF(Intereses_Residual_Mensual!I30&gt;0, ROUND(2023.33 + Intereses_Residual_Mensual!I30, 2), "")</f>
        <v/>
      </c>
      <c r="J30" s="29">
        <f>IF(Intereses_Residual_Mensual!J30&gt;0, ROUND(I30 + Intereses_Residual_Mensual!J30, 2), "")</f>
        <v/>
      </c>
      <c r="K30" s="29">
        <f>IF(Intereses_Residual_Mensual!K30&gt;0, ROUND(J30 + Intereses_Residual_Mensual!K30, 2), "")</f>
        <v/>
      </c>
      <c r="L30" s="29">
        <f>IF(Intereses_Residual_Mensual!L30&gt;0, ROUND(K30 + Intereses_Residual_Mensual!L30, 2), "")</f>
        <v/>
      </c>
      <c r="M30" s="29">
        <f>IF(Intereses_Residual_Mensual!M30&gt;0, ROUND(L30 + Intereses_Residual_Mensual!M30, 2), "")</f>
        <v/>
      </c>
      <c r="N30" s="29">
        <f>IF(Intereses_Residual_Mensual!N30&gt;0, ROUND(M30 + Intereses_Residual_Mensual!N30, 2), "")</f>
        <v/>
      </c>
      <c r="O30" s="29">
        <f>IF(Intereses_Residual_Mensual!O30&gt;0, ROUND(N30 + Intereses_Residual_Mensual!O30, 2), "")</f>
        <v/>
      </c>
      <c r="P30" s="29">
        <f>IF(Intereses_Residual_Mensual!P30&gt;0, ROUND(O30 + Intereses_Residual_Mensual!P30, 2), "")</f>
        <v/>
      </c>
      <c r="Q30" s="29">
        <f>IF(Intereses_Residual_Mensual!Q30&gt;0, ROUND(P30 + Intereses_Residual_Mensual!Q30, 2), "")</f>
        <v/>
      </c>
      <c r="R30" s="29">
        <f>IF(Intereses_Residual_Mensual!R30&gt;0, ROUND(Q30 + Intereses_Residual_Mensual!R30, 2), "")</f>
        <v/>
      </c>
      <c r="S30" s="29">
        <f>IF(Intereses_Residual_Mensual!S30&gt;0, ROUND(R30 + Intereses_Residual_Mensual!S30, 2), "")</f>
        <v/>
      </c>
      <c r="T30" s="29" t="inlineStr"/>
      <c r="U30" s="29">
        <f>MAX(I30:T30)</f>
        <v/>
      </c>
    </row>
    <row r="31">
      <c r="A31" s="20" t="inlineStr">
        <is>
          <t>0552-0020</t>
        </is>
      </c>
      <c r="B31" s="21" t="inlineStr">
        <is>
          <t>Transportes y Maniobras Portuarias de Mexico Sa de Cv</t>
        </is>
      </c>
      <c r="C31" s="21" t="inlineStr">
        <is>
          <t>PLATAFORMA MULTIMODAL</t>
        </is>
      </c>
      <c r="D31" s="20" t="inlineStr">
        <is>
          <t>ACTIVO</t>
        </is>
      </c>
      <c r="E31" s="20" t="inlineStr">
        <is>
          <t>2024-12-26</t>
        </is>
      </c>
      <c r="F31" s="20" t="inlineStr">
        <is>
          <t>2026-12-26</t>
        </is>
      </c>
      <c r="G31" s="22" t="n">
        <v>24</v>
      </c>
      <c r="H31" s="23" t="n">
        <v>5130</v>
      </c>
      <c r="I31" s="23">
        <f>IF(Intereses_Residual_Mensual!I31&gt;0, ROUND(3830.13 + Intereses_Residual_Mensual!I31, 2), "")</f>
        <v/>
      </c>
      <c r="J31" s="23">
        <f>IF(Intereses_Residual_Mensual!J31&gt;0, ROUND(I31 + Intereses_Residual_Mensual!J31, 2), "")</f>
        <v/>
      </c>
      <c r="K31" s="23">
        <f>IF(Intereses_Residual_Mensual!K31&gt;0, ROUND(J31 + Intereses_Residual_Mensual!K31, 2), "")</f>
        <v/>
      </c>
      <c r="L31" s="23">
        <f>IF(Intereses_Residual_Mensual!L31&gt;0, ROUND(K31 + Intereses_Residual_Mensual!L31, 2), "")</f>
        <v/>
      </c>
      <c r="M31" s="23">
        <f>IF(Intereses_Residual_Mensual!M31&gt;0, ROUND(L31 + Intereses_Residual_Mensual!M31, 2), "")</f>
        <v/>
      </c>
      <c r="N31" s="23">
        <f>IF(Intereses_Residual_Mensual!N31&gt;0, ROUND(M31 + Intereses_Residual_Mensual!N31, 2), "")</f>
        <v/>
      </c>
      <c r="O31" s="23">
        <f>IF(Intereses_Residual_Mensual!O31&gt;0, ROUND(N31 + Intereses_Residual_Mensual!O31, 2), "")</f>
        <v/>
      </c>
      <c r="P31" s="23">
        <f>IF(Intereses_Residual_Mensual!P31&gt;0, ROUND(O31 + Intereses_Residual_Mensual!P31, 2), "")</f>
        <v/>
      </c>
      <c r="Q31" s="23">
        <f>IF(Intereses_Residual_Mensual!Q31&gt;0, ROUND(P31 + Intereses_Residual_Mensual!Q31, 2), "")</f>
        <v/>
      </c>
      <c r="R31" s="23">
        <f>IF(Intereses_Residual_Mensual!R31&gt;0, ROUND(Q31 + Intereses_Residual_Mensual!R31, 2), "")</f>
        <v/>
      </c>
      <c r="S31" s="23">
        <f>IF(Intereses_Residual_Mensual!S31&gt;0, ROUND(R31 + Intereses_Residual_Mensual!S31, 2), "")</f>
        <v/>
      </c>
      <c r="T31" s="23" t="inlineStr"/>
      <c r="U31" s="23">
        <f>MAX(I31:T31)</f>
        <v/>
      </c>
    </row>
    <row r="32">
      <c r="A32" s="26" t="inlineStr">
        <is>
          <t>0552-0021</t>
        </is>
      </c>
      <c r="B32" s="27" t="inlineStr">
        <is>
          <t>Transportes y Maniobras Portuarias de Mexico Sa de Cv</t>
        </is>
      </c>
      <c r="C32" s="27" t="inlineStr">
        <is>
          <t>PLATAFORMA MULTIMODAL</t>
        </is>
      </c>
      <c r="D32" s="26" t="inlineStr">
        <is>
          <t>ACTIVO</t>
        </is>
      </c>
      <c r="E32" s="26" t="inlineStr">
        <is>
          <t>2024-12-26</t>
        </is>
      </c>
      <c r="F32" s="26" t="inlineStr">
        <is>
          <t>2026-12-26</t>
        </is>
      </c>
      <c r="G32" s="28" t="n">
        <v>24</v>
      </c>
      <c r="H32" s="29" t="n">
        <v>5130</v>
      </c>
      <c r="I32" s="29">
        <f>IF(Intereses_Residual_Mensual!I32&gt;0, ROUND(3830.13 + Intereses_Residual_Mensual!I32, 2), "")</f>
        <v/>
      </c>
      <c r="J32" s="29">
        <f>IF(Intereses_Residual_Mensual!J32&gt;0, ROUND(I32 + Intereses_Residual_Mensual!J32, 2), "")</f>
        <v/>
      </c>
      <c r="K32" s="29">
        <f>IF(Intereses_Residual_Mensual!K32&gt;0, ROUND(J32 + Intereses_Residual_Mensual!K32, 2), "")</f>
        <v/>
      </c>
      <c r="L32" s="29">
        <f>IF(Intereses_Residual_Mensual!L32&gt;0, ROUND(K32 + Intereses_Residual_Mensual!L32, 2), "")</f>
        <v/>
      </c>
      <c r="M32" s="29">
        <f>IF(Intereses_Residual_Mensual!M32&gt;0, ROUND(L32 + Intereses_Residual_Mensual!M32, 2), "")</f>
        <v/>
      </c>
      <c r="N32" s="29">
        <f>IF(Intereses_Residual_Mensual!N32&gt;0, ROUND(M32 + Intereses_Residual_Mensual!N32, 2), "")</f>
        <v/>
      </c>
      <c r="O32" s="29">
        <f>IF(Intereses_Residual_Mensual!O32&gt;0, ROUND(N32 + Intereses_Residual_Mensual!O32, 2), "")</f>
        <v/>
      </c>
      <c r="P32" s="29">
        <f>IF(Intereses_Residual_Mensual!P32&gt;0, ROUND(O32 + Intereses_Residual_Mensual!P32, 2), "")</f>
        <v/>
      </c>
      <c r="Q32" s="29">
        <f>IF(Intereses_Residual_Mensual!Q32&gt;0, ROUND(P32 + Intereses_Residual_Mensual!Q32, 2), "")</f>
        <v/>
      </c>
      <c r="R32" s="29">
        <f>IF(Intereses_Residual_Mensual!R32&gt;0, ROUND(Q32 + Intereses_Residual_Mensual!R32, 2), "")</f>
        <v/>
      </c>
      <c r="S32" s="29">
        <f>IF(Intereses_Residual_Mensual!S32&gt;0, ROUND(R32 + Intereses_Residual_Mensual!S32, 2), "")</f>
        <v/>
      </c>
      <c r="T32" s="29" t="inlineStr"/>
      <c r="U32" s="29">
        <f>MAX(I32:T32)</f>
        <v/>
      </c>
    </row>
    <row r="33">
      <c r="A33" s="20" t="inlineStr">
        <is>
          <t>0552-0022</t>
        </is>
      </c>
      <c r="B33" s="21" t="inlineStr">
        <is>
          <t>Transportes y Maniobras Portuarias de Mexico Sa de Cv</t>
        </is>
      </c>
      <c r="C33" s="21" t="inlineStr">
        <is>
          <t>RZR</t>
        </is>
      </c>
      <c r="D33" s="20" t="inlineStr">
        <is>
          <t>ACTIVO</t>
        </is>
      </c>
      <c r="E33" s="20" t="inlineStr">
        <is>
          <t>2024-12-26</t>
        </is>
      </c>
      <c r="F33" s="20" t="inlineStr">
        <is>
          <t>2026-12-26</t>
        </is>
      </c>
      <c r="G33" s="22" t="n">
        <v>24</v>
      </c>
      <c r="H33" s="23" t="n">
        <v>9223.280000000001</v>
      </c>
      <c r="I33" s="23">
        <f>IF(Intereses_Residual_Mensual!I33&gt;0, ROUND(6886.2 + Intereses_Residual_Mensual!I33, 2), "")</f>
        <v/>
      </c>
      <c r="J33" s="23">
        <f>IF(Intereses_Residual_Mensual!J33&gt;0, ROUND(I33 + Intereses_Residual_Mensual!J33, 2), "")</f>
        <v/>
      </c>
      <c r="K33" s="23">
        <f>IF(Intereses_Residual_Mensual!K33&gt;0, ROUND(J33 + Intereses_Residual_Mensual!K33, 2), "")</f>
        <v/>
      </c>
      <c r="L33" s="23">
        <f>IF(Intereses_Residual_Mensual!L33&gt;0, ROUND(K33 + Intereses_Residual_Mensual!L33, 2), "")</f>
        <v/>
      </c>
      <c r="M33" s="23">
        <f>IF(Intereses_Residual_Mensual!M33&gt;0, ROUND(L33 + Intereses_Residual_Mensual!M33, 2), "")</f>
        <v/>
      </c>
      <c r="N33" s="23">
        <f>IF(Intereses_Residual_Mensual!N33&gt;0, ROUND(M33 + Intereses_Residual_Mensual!N33, 2), "")</f>
        <v/>
      </c>
      <c r="O33" s="23">
        <f>IF(Intereses_Residual_Mensual!O33&gt;0, ROUND(N33 + Intereses_Residual_Mensual!O33, 2), "")</f>
        <v/>
      </c>
      <c r="P33" s="23">
        <f>IF(Intereses_Residual_Mensual!P33&gt;0, ROUND(O33 + Intereses_Residual_Mensual!P33, 2), "")</f>
        <v/>
      </c>
      <c r="Q33" s="23">
        <f>IF(Intereses_Residual_Mensual!Q33&gt;0, ROUND(P33 + Intereses_Residual_Mensual!Q33, 2), "")</f>
        <v/>
      </c>
      <c r="R33" s="23">
        <f>IF(Intereses_Residual_Mensual!R33&gt;0, ROUND(Q33 + Intereses_Residual_Mensual!R33, 2), "")</f>
        <v/>
      </c>
      <c r="S33" s="23">
        <f>IF(Intereses_Residual_Mensual!S33&gt;0, ROUND(R33 + Intereses_Residual_Mensual!S33, 2), "")</f>
        <v/>
      </c>
      <c r="T33" s="23" t="inlineStr"/>
      <c r="U33" s="23">
        <f>MAX(I33:T33)</f>
        <v/>
      </c>
    </row>
    <row r="34">
      <c r="A34" s="26" t="inlineStr">
        <is>
          <t>0552-0023</t>
        </is>
      </c>
      <c r="B34" s="27" t="inlineStr">
        <is>
          <t>Transportes y Maniobras Portuarias de Mexico Sa de Cv</t>
        </is>
      </c>
      <c r="C34" s="27" t="inlineStr">
        <is>
          <t>Iternational Lt</t>
        </is>
      </c>
      <c r="D34" s="26" t="inlineStr">
        <is>
          <t>ACTIVO</t>
        </is>
      </c>
      <c r="E34" s="26" t="inlineStr">
        <is>
          <t>2025-08-27</t>
        </is>
      </c>
      <c r="F34" s="26" t="inlineStr">
        <is>
          <t>2027-08-27</t>
        </is>
      </c>
      <c r="G34" s="28" t="n">
        <v>24</v>
      </c>
      <c r="H34" s="29" t="n">
        <v>153103.45</v>
      </c>
      <c r="I34" s="29">
        <f>IF(Intereses_Residual_Mensual!I34&gt;0, ROUND(94198.22 + Intereses_Residual_Mensual!I34, 2), "")</f>
        <v/>
      </c>
      <c r="J34" s="29">
        <f>IF(Intereses_Residual_Mensual!J34&gt;0, ROUND(I34 + Intereses_Residual_Mensual!J34, 2), "")</f>
        <v/>
      </c>
      <c r="K34" s="29">
        <f>IF(Intereses_Residual_Mensual!K34&gt;0, ROUND(J34 + Intereses_Residual_Mensual!K34, 2), "")</f>
        <v/>
      </c>
      <c r="L34" s="29">
        <f>IF(Intereses_Residual_Mensual!L34&gt;0, ROUND(K34 + Intereses_Residual_Mensual!L34, 2), "")</f>
        <v/>
      </c>
      <c r="M34" s="29">
        <f>IF(Intereses_Residual_Mensual!M34&gt;0, ROUND(L34 + Intereses_Residual_Mensual!M34, 2), "")</f>
        <v/>
      </c>
      <c r="N34" s="29">
        <f>IF(Intereses_Residual_Mensual!N34&gt;0, ROUND(M34 + Intereses_Residual_Mensual!N34, 2), "")</f>
        <v/>
      </c>
      <c r="O34" s="29">
        <f>IF(Intereses_Residual_Mensual!O34&gt;0, ROUND(N34 + Intereses_Residual_Mensual!O34, 2), "")</f>
        <v/>
      </c>
      <c r="P34" s="29">
        <f>IF(Intereses_Residual_Mensual!P34&gt;0, ROUND(O34 + Intereses_Residual_Mensual!P34, 2), "")</f>
        <v/>
      </c>
      <c r="Q34" s="29">
        <f>IF(Intereses_Residual_Mensual!Q34&gt;0, ROUND(P34 + Intereses_Residual_Mensual!Q34, 2), "")</f>
        <v/>
      </c>
      <c r="R34" s="29">
        <f>IF(Intereses_Residual_Mensual!R34&gt;0, ROUND(Q34 + Intereses_Residual_Mensual!R34, 2), "")</f>
        <v/>
      </c>
      <c r="S34" s="29">
        <f>IF(Intereses_Residual_Mensual!S34&gt;0, ROUND(R34 + Intereses_Residual_Mensual!S34, 2), "")</f>
        <v/>
      </c>
      <c r="T34" s="29">
        <f>IF(Intereses_Residual_Mensual!T34&gt;0, ROUND(S34 + Intereses_Residual_Mensual!T34, 2), "")</f>
        <v/>
      </c>
      <c r="U34" s="29">
        <f>MAX(I34:T34)</f>
        <v/>
      </c>
    </row>
    <row r="35">
      <c r="A35" s="20" t="inlineStr">
        <is>
          <t>0552-0024</t>
        </is>
      </c>
      <c r="B35" s="21" t="inlineStr">
        <is>
          <t>Transportes y Maniobras Portuarias de Mexico Sa de Cv</t>
        </is>
      </c>
      <c r="C35" s="21" t="inlineStr">
        <is>
          <t>Iternational Lt</t>
        </is>
      </c>
      <c r="D35" s="20" t="inlineStr">
        <is>
          <t>ACTIVO</t>
        </is>
      </c>
      <c r="E35" s="20" t="inlineStr">
        <is>
          <t>2025-08-27</t>
        </is>
      </c>
      <c r="F35" s="20" t="inlineStr">
        <is>
          <t>2027-08-27</t>
        </is>
      </c>
      <c r="G35" s="22" t="n">
        <v>24</v>
      </c>
      <c r="H35" s="23" t="n">
        <v>153103.45</v>
      </c>
      <c r="I35" s="23">
        <f>IF(Intereses_Residual_Mensual!I35&gt;0, ROUND(94198.22 + Intereses_Residual_Mensual!I35, 2), "")</f>
        <v/>
      </c>
      <c r="J35" s="23">
        <f>IF(Intereses_Residual_Mensual!J35&gt;0, ROUND(I35 + Intereses_Residual_Mensual!J35, 2), "")</f>
        <v/>
      </c>
      <c r="K35" s="23">
        <f>IF(Intereses_Residual_Mensual!K35&gt;0, ROUND(J35 + Intereses_Residual_Mensual!K35, 2), "")</f>
        <v/>
      </c>
      <c r="L35" s="23">
        <f>IF(Intereses_Residual_Mensual!L35&gt;0, ROUND(K35 + Intereses_Residual_Mensual!L35, 2), "")</f>
        <v/>
      </c>
      <c r="M35" s="23">
        <f>IF(Intereses_Residual_Mensual!M35&gt;0, ROUND(L35 + Intereses_Residual_Mensual!M35, 2), "")</f>
        <v/>
      </c>
      <c r="N35" s="23">
        <f>IF(Intereses_Residual_Mensual!N35&gt;0, ROUND(M35 + Intereses_Residual_Mensual!N35, 2), "")</f>
        <v/>
      </c>
      <c r="O35" s="23">
        <f>IF(Intereses_Residual_Mensual!O35&gt;0, ROUND(N35 + Intereses_Residual_Mensual!O35, 2), "")</f>
        <v/>
      </c>
      <c r="P35" s="23">
        <f>IF(Intereses_Residual_Mensual!P35&gt;0, ROUND(O35 + Intereses_Residual_Mensual!P35, 2), "")</f>
        <v/>
      </c>
      <c r="Q35" s="23">
        <f>IF(Intereses_Residual_Mensual!Q35&gt;0, ROUND(P35 + Intereses_Residual_Mensual!Q35, 2), "")</f>
        <v/>
      </c>
      <c r="R35" s="23">
        <f>IF(Intereses_Residual_Mensual!R35&gt;0, ROUND(Q35 + Intereses_Residual_Mensual!R35, 2), "")</f>
        <v/>
      </c>
      <c r="S35" s="23">
        <f>IF(Intereses_Residual_Mensual!S35&gt;0, ROUND(R35 + Intereses_Residual_Mensual!S35, 2), "")</f>
        <v/>
      </c>
      <c r="T35" s="23">
        <f>IF(Intereses_Residual_Mensual!T35&gt;0, ROUND(S35 + Intereses_Residual_Mensual!T35, 2), "")</f>
        <v/>
      </c>
      <c r="U35" s="23">
        <f>MAX(I35:T35)</f>
        <v/>
      </c>
    </row>
    <row r="36">
      <c r="A36" s="26" t="inlineStr">
        <is>
          <t>0552-0025</t>
        </is>
      </c>
      <c r="B36" s="27" t="inlineStr">
        <is>
          <t>Transportes y Maniobras Portuarias de Mexico Sa de Cv</t>
        </is>
      </c>
      <c r="C36" s="27" t="inlineStr">
        <is>
          <t>Iternational Lt</t>
        </is>
      </c>
      <c r="D36" s="26" t="inlineStr">
        <is>
          <t>ACTIVO</t>
        </is>
      </c>
      <c r="E36" s="26" t="inlineStr">
        <is>
          <t>2025-08-27</t>
        </is>
      </c>
      <c r="F36" s="26" t="inlineStr">
        <is>
          <t>2027-08-27</t>
        </is>
      </c>
      <c r="G36" s="28" t="n">
        <v>24</v>
      </c>
      <c r="H36" s="29" t="n">
        <v>153103.45</v>
      </c>
      <c r="I36" s="29">
        <f>IF(Intereses_Residual_Mensual!I36&gt;0, ROUND(94198.22 + Intereses_Residual_Mensual!I36, 2), "")</f>
        <v/>
      </c>
      <c r="J36" s="29">
        <f>IF(Intereses_Residual_Mensual!J36&gt;0, ROUND(I36 + Intereses_Residual_Mensual!J36, 2), "")</f>
        <v/>
      </c>
      <c r="K36" s="29">
        <f>IF(Intereses_Residual_Mensual!K36&gt;0, ROUND(J36 + Intereses_Residual_Mensual!K36, 2), "")</f>
        <v/>
      </c>
      <c r="L36" s="29">
        <f>IF(Intereses_Residual_Mensual!L36&gt;0, ROUND(K36 + Intereses_Residual_Mensual!L36, 2), "")</f>
        <v/>
      </c>
      <c r="M36" s="29">
        <f>IF(Intereses_Residual_Mensual!M36&gt;0, ROUND(L36 + Intereses_Residual_Mensual!M36, 2), "")</f>
        <v/>
      </c>
      <c r="N36" s="29">
        <f>IF(Intereses_Residual_Mensual!N36&gt;0, ROUND(M36 + Intereses_Residual_Mensual!N36, 2), "")</f>
        <v/>
      </c>
      <c r="O36" s="29">
        <f>IF(Intereses_Residual_Mensual!O36&gt;0, ROUND(N36 + Intereses_Residual_Mensual!O36, 2), "")</f>
        <v/>
      </c>
      <c r="P36" s="29">
        <f>IF(Intereses_Residual_Mensual!P36&gt;0, ROUND(O36 + Intereses_Residual_Mensual!P36, 2), "")</f>
        <v/>
      </c>
      <c r="Q36" s="29">
        <f>IF(Intereses_Residual_Mensual!Q36&gt;0, ROUND(P36 + Intereses_Residual_Mensual!Q36, 2), "")</f>
        <v/>
      </c>
      <c r="R36" s="29">
        <f>IF(Intereses_Residual_Mensual!R36&gt;0, ROUND(Q36 + Intereses_Residual_Mensual!R36, 2), "")</f>
        <v/>
      </c>
      <c r="S36" s="29">
        <f>IF(Intereses_Residual_Mensual!S36&gt;0, ROUND(R36 + Intereses_Residual_Mensual!S36, 2), "")</f>
        <v/>
      </c>
      <c r="T36" s="29">
        <f>IF(Intereses_Residual_Mensual!T36&gt;0, ROUND(S36 + Intereses_Residual_Mensual!T36, 2), "")</f>
        <v/>
      </c>
      <c r="U36" s="29">
        <f>MAX(I36:T36)</f>
        <v/>
      </c>
    </row>
    <row r="37">
      <c r="A37" s="20" t="inlineStr">
        <is>
          <t>0554-0003</t>
        </is>
      </c>
      <c r="B37" s="21" t="inlineStr">
        <is>
          <t>TRANSPORTES DEL BAJIO TRANSCOLD SA DE CV</t>
        </is>
      </c>
      <c r="C37" s="21" t="inlineStr">
        <is>
          <t>RAM 4000 CHASIS PLANO LARGO "PL"</t>
        </is>
      </c>
      <c r="D37" s="20" t="inlineStr">
        <is>
          <t>ACTIVO</t>
        </is>
      </c>
      <c r="E37" s="20" t="inlineStr">
        <is>
          <t>2022-11-24</t>
        </is>
      </c>
      <c r="F37" s="20" t="inlineStr">
        <is>
          <t>2026-11-24</t>
        </is>
      </c>
      <c r="G37" s="22" t="n">
        <v>48</v>
      </c>
      <c r="H37" s="23" t="n">
        <v>69981.03</v>
      </c>
      <c r="I37" s="23">
        <f>IF(Intereses_Residual_Mensual!I37&gt;0, ROUND(53141.04 + Intereses_Residual_Mensual!I37, 2), "")</f>
        <v/>
      </c>
      <c r="J37" s="23">
        <f>IF(Intereses_Residual_Mensual!J37&gt;0, ROUND(I37 + Intereses_Residual_Mensual!J37, 2), "")</f>
        <v/>
      </c>
      <c r="K37" s="23">
        <f>IF(Intereses_Residual_Mensual!K37&gt;0, ROUND(J37 + Intereses_Residual_Mensual!K37, 2), "")</f>
        <v/>
      </c>
      <c r="L37" s="23">
        <f>IF(Intereses_Residual_Mensual!L37&gt;0, ROUND(K37 + Intereses_Residual_Mensual!L37, 2), "")</f>
        <v/>
      </c>
      <c r="M37" s="23">
        <f>IF(Intereses_Residual_Mensual!M37&gt;0, ROUND(L37 + Intereses_Residual_Mensual!M37, 2), "")</f>
        <v/>
      </c>
      <c r="N37" s="23">
        <f>IF(Intereses_Residual_Mensual!N37&gt;0, ROUND(M37 + Intereses_Residual_Mensual!N37, 2), "")</f>
        <v/>
      </c>
      <c r="O37" s="23">
        <f>IF(Intereses_Residual_Mensual!O37&gt;0, ROUND(N37 + Intereses_Residual_Mensual!O37, 2), "")</f>
        <v/>
      </c>
      <c r="P37" s="23">
        <f>IF(Intereses_Residual_Mensual!P37&gt;0, ROUND(O37 + Intereses_Residual_Mensual!P37, 2), "")</f>
        <v/>
      </c>
      <c r="Q37" s="23">
        <f>IF(Intereses_Residual_Mensual!Q37&gt;0, ROUND(P37 + Intereses_Residual_Mensual!Q37, 2), "")</f>
        <v/>
      </c>
      <c r="R37" s="23">
        <f>IF(Intereses_Residual_Mensual!R37&gt;0, ROUND(Q37 + Intereses_Residual_Mensual!R37, 2), "")</f>
        <v/>
      </c>
      <c r="S37" s="23" t="inlineStr"/>
      <c r="T37" s="23" t="inlineStr"/>
      <c r="U37" s="23">
        <f>MAX(I37:T37)</f>
        <v/>
      </c>
    </row>
    <row r="38">
      <c r="A38" s="26" t="inlineStr">
        <is>
          <t>0570-0006</t>
        </is>
      </c>
      <c r="B38" s="27" t="inlineStr">
        <is>
          <t>Jalco Iluminacion Sa de Cv</t>
        </is>
      </c>
      <c r="C38" s="27" t="inlineStr">
        <is>
          <t>RAM 700 BIG HORN</t>
        </is>
      </c>
      <c r="D38" s="26" t="inlineStr">
        <is>
          <t>ACTIVO</t>
        </is>
      </c>
      <c r="E38" s="26" t="inlineStr">
        <is>
          <t>2023-12-08</t>
        </is>
      </c>
      <c r="F38" s="26" t="inlineStr">
        <is>
          <t>2026-12-08</t>
        </is>
      </c>
      <c r="G38" s="28" t="n">
        <v>36</v>
      </c>
      <c r="H38" s="29" t="n">
        <v>121866.38</v>
      </c>
      <c r="I38" s="29">
        <f>IF(Intereses_Residual_Mensual!I38&gt;0, ROUND(86282.78 + Intereses_Residual_Mensual!I38, 2), "")</f>
        <v/>
      </c>
      <c r="J38" s="29">
        <f>IF(Intereses_Residual_Mensual!J38&gt;0, ROUND(I38 + Intereses_Residual_Mensual!J38, 2), "")</f>
        <v/>
      </c>
      <c r="K38" s="29">
        <f>IF(Intereses_Residual_Mensual!K38&gt;0, ROUND(J38 + Intereses_Residual_Mensual!K38, 2), "")</f>
        <v/>
      </c>
      <c r="L38" s="29">
        <f>IF(Intereses_Residual_Mensual!L38&gt;0, ROUND(K38 + Intereses_Residual_Mensual!L38, 2), "")</f>
        <v/>
      </c>
      <c r="M38" s="29">
        <f>IF(Intereses_Residual_Mensual!M38&gt;0, ROUND(L38 + Intereses_Residual_Mensual!M38, 2), "")</f>
        <v/>
      </c>
      <c r="N38" s="29">
        <f>IF(Intereses_Residual_Mensual!N38&gt;0, ROUND(M38 + Intereses_Residual_Mensual!N38, 2), "")</f>
        <v/>
      </c>
      <c r="O38" s="29">
        <f>IF(Intereses_Residual_Mensual!O38&gt;0, ROUND(N38 + Intereses_Residual_Mensual!O38, 2), "")</f>
        <v/>
      </c>
      <c r="P38" s="29">
        <f>IF(Intereses_Residual_Mensual!P38&gt;0, ROUND(O38 + Intereses_Residual_Mensual!P38, 2), "")</f>
        <v/>
      </c>
      <c r="Q38" s="29">
        <f>IF(Intereses_Residual_Mensual!Q38&gt;0, ROUND(P38 + Intereses_Residual_Mensual!Q38, 2), "")</f>
        <v/>
      </c>
      <c r="R38" s="29">
        <f>IF(Intereses_Residual_Mensual!R38&gt;0, ROUND(Q38 + Intereses_Residual_Mensual!R38, 2), "")</f>
        <v/>
      </c>
      <c r="S38" s="29">
        <f>IF(Intereses_Residual_Mensual!S38&gt;0, ROUND(R38 + Intereses_Residual_Mensual!S38, 2), "")</f>
        <v/>
      </c>
      <c r="T38" s="29" t="inlineStr"/>
      <c r="U38" s="29">
        <f>MAX(I38:T38)</f>
        <v/>
      </c>
    </row>
    <row r="39">
      <c r="A39" s="20" t="inlineStr">
        <is>
          <t>0573-0007</t>
        </is>
      </c>
      <c r="B39" s="21" t="inlineStr">
        <is>
          <t>Ar Marketing Sa de Cv</t>
        </is>
      </c>
      <c r="C39" s="21" t="inlineStr">
        <is>
          <t>Promaster Rapid</t>
        </is>
      </c>
      <c r="D39" s="20" t="inlineStr">
        <is>
          <t>ACTIVO</t>
        </is>
      </c>
      <c r="E39" s="20" t="inlineStr">
        <is>
          <t>2024-05-10</t>
        </is>
      </c>
      <c r="F39" s="20" t="inlineStr">
        <is>
          <t>2027-05-10</t>
        </is>
      </c>
      <c r="G39" s="22" t="n">
        <v>36</v>
      </c>
      <c r="H39" s="23" t="n">
        <v>51517.59</v>
      </c>
      <c r="I39" s="23">
        <f>IF(Intereses_Residual_Mensual!I39&gt;0, ROUND(30698.88 + Intereses_Residual_Mensual!I39, 2), "")</f>
        <v/>
      </c>
      <c r="J39" s="23">
        <f>IF(Intereses_Residual_Mensual!J39&gt;0, ROUND(I39 + Intereses_Residual_Mensual!J39, 2), "")</f>
        <v/>
      </c>
      <c r="K39" s="23">
        <f>IF(Intereses_Residual_Mensual!K39&gt;0, ROUND(J39 + Intereses_Residual_Mensual!K39, 2), "")</f>
        <v/>
      </c>
      <c r="L39" s="23">
        <f>IF(Intereses_Residual_Mensual!L39&gt;0, ROUND(K39 + Intereses_Residual_Mensual!L39, 2), "")</f>
        <v/>
      </c>
      <c r="M39" s="23">
        <f>IF(Intereses_Residual_Mensual!M39&gt;0, ROUND(L39 + Intereses_Residual_Mensual!M39, 2), "")</f>
        <v/>
      </c>
      <c r="N39" s="23">
        <f>IF(Intereses_Residual_Mensual!N39&gt;0, ROUND(M39 + Intereses_Residual_Mensual!N39, 2), "")</f>
        <v/>
      </c>
      <c r="O39" s="23">
        <f>IF(Intereses_Residual_Mensual!O39&gt;0, ROUND(N39 + Intereses_Residual_Mensual!O39, 2), "")</f>
        <v/>
      </c>
      <c r="P39" s="23">
        <f>IF(Intereses_Residual_Mensual!P39&gt;0, ROUND(O39 + Intereses_Residual_Mensual!P39, 2), "")</f>
        <v/>
      </c>
      <c r="Q39" s="23">
        <f>IF(Intereses_Residual_Mensual!Q39&gt;0, ROUND(P39 + Intereses_Residual_Mensual!Q39, 2), "")</f>
        <v/>
      </c>
      <c r="R39" s="23">
        <f>IF(Intereses_Residual_Mensual!R39&gt;0, ROUND(Q39 + Intereses_Residual_Mensual!R39, 2), "")</f>
        <v/>
      </c>
      <c r="S39" s="23">
        <f>IF(Intereses_Residual_Mensual!S39&gt;0, ROUND(R39 + Intereses_Residual_Mensual!S39, 2), "")</f>
        <v/>
      </c>
      <c r="T39" s="23">
        <f>IF(Intereses_Residual_Mensual!T39&gt;0, ROUND(S39 + Intereses_Residual_Mensual!T39, 2), "")</f>
        <v/>
      </c>
      <c r="U39" s="23">
        <f>MAX(I39:T39)</f>
        <v/>
      </c>
    </row>
    <row r="40">
      <c r="A40" s="26" t="inlineStr">
        <is>
          <t>0573-0008</t>
        </is>
      </c>
      <c r="B40" s="27" t="inlineStr">
        <is>
          <t>Ar Marketing Sa de Cv</t>
        </is>
      </c>
      <c r="C40" s="27" t="inlineStr">
        <is>
          <t>Promaster Rapid</t>
        </is>
      </c>
      <c r="D40" s="26" t="inlineStr">
        <is>
          <t>ACTIVO</t>
        </is>
      </c>
      <c r="E40" s="26" t="inlineStr">
        <is>
          <t>2024-05-15</t>
        </is>
      </c>
      <c r="F40" s="26" t="inlineStr">
        <is>
          <t>2027-05-15</t>
        </is>
      </c>
      <c r="G40" s="28" t="n">
        <v>36</v>
      </c>
      <c r="H40" s="29" t="n">
        <v>50672.76</v>
      </c>
      <c r="I40" s="29">
        <f>IF(Intereses_Residual_Mensual!I40&gt;0, ROUND(30195.45 + Intereses_Residual_Mensual!I40, 2), "")</f>
        <v/>
      </c>
      <c r="J40" s="29">
        <f>IF(Intereses_Residual_Mensual!J40&gt;0, ROUND(I40 + Intereses_Residual_Mensual!J40, 2), "")</f>
        <v/>
      </c>
      <c r="K40" s="29">
        <f>IF(Intereses_Residual_Mensual!K40&gt;0, ROUND(J40 + Intereses_Residual_Mensual!K40, 2), "")</f>
        <v/>
      </c>
      <c r="L40" s="29">
        <f>IF(Intereses_Residual_Mensual!L40&gt;0, ROUND(K40 + Intereses_Residual_Mensual!L40, 2), "")</f>
        <v/>
      </c>
      <c r="M40" s="29">
        <f>IF(Intereses_Residual_Mensual!M40&gt;0, ROUND(L40 + Intereses_Residual_Mensual!M40, 2), "")</f>
        <v/>
      </c>
      <c r="N40" s="29">
        <f>IF(Intereses_Residual_Mensual!N40&gt;0, ROUND(M40 + Intereses_Residual_Mensual!N40, 2), "")</f>
        <v/>
      </c>
      <c r="O40" s="29">
        <f>IF(Intereses_Residual_Mensual!O40&gt;0, ROUND(N40 + Intereses_Residual_Mensual!O40, 2), "")</f>
        <v/>
      </c>
      <c r="P40" s="29">
        <f>IF(Intereses_Residual_Mensual!P40&gt;0, ROUND(O40 + Intereses_Residual_Mensual!P40, 2), "")</f>
        <v/>
      </c>
      <c r="Q40" s="29">
        <f>IF(Intereses_Residual_Mensual!Q40&gt;0, ROUND(P40 + Intereses_Residual_Mensual!Q40, 2), "")</f>
        <v/>
      </c>
      <c r="R40" s="29">
        <f>IF(Intereses_Residual_Mensual!R40&gt;0, ROUND(Q40 + Intereses_Residual_Mensual!R40, 2), "")</f>
        <v/>
      </c>
      <c r="S40" s="29">
        <f>IF(Intereses_Residual_Mensual!S40&gt;0, ROUND(R40 + Intereses_Residual_Mensual!S40, 2), "")</f>
        <v/>
      </c>
      <c r="T40" s="29">
        <f>IF(Intereses_Residual_Mensual!T40&gt;0, ROUND(S40 + Intereses_Residual_Mensual!T40, 2), "")</f>
        <v/>
      </c>
      <c r="U40" s="29">
        <f>MAX(I40:T40)</f>
        <v/>
      </c>
    </row>
    <row r="41">
      <c r="A41" s="20" t="inlineStr">
        <is>
          <t>0573-0009</t>
        </is>
      </c>
      <c r="B41" s="21" t="inlineStr">
        <is>
          <t>Ar Marketing Sa de Cv</t>
        </is>
      </c>
      <c r="C41" s="21" t="inlineStr">
        <is>
          <t>Partner</t>
        </is>
      </c>
      <c r="D41" s="20" t="inlineStr">
        <is>
          <t>ACTIVO</t>
        </is>
      </c>
      <c r="E41" s="20" t="inlineStr">
        <is>
          <t>2025-11-28</t>
        </is>
      </c>
      <c r="F41" s="20" t="inlineStr">
        <is>
          <t>2028-11-28</t>
        </is>
      </c>
      <c r="G41" s="22" t="n">
        <v>36</v>
      </c>
      <c r="H41" s="23" t="n">
        <v>49827.93</v>
      </c>
      <c r="I41" s="23">
        <f>IF(Intereses_Residual_Mensual!I41&gt;0, ROUND(20325.84 + Intereses_Residual_Mensual!I41, 2), "")</f>
        <v/>
      </c>
      <c r="J41" s="23">
        <f>IF(Intereses_Residual_Mensual!J41&gt;0, ROUND(I41 + Intereses_Residual_Mensual!J41, 2), "")</f>
        <v/>
      </c>
      <c r="K41" s="23">
        <f>IF(Intereses_Residual_Mensual!K41&gt;0, ROUND(J41 + Intereses_Residual_Mensual!K41, 2), "")</f>
        <v/>
      </c>
      <c r="L41" s="23">
        <f>IF(Intereses_Residual_Mensual!L41&gt;0, ROUND(K41 + Intereses_Residual_Mensual!L41, 2), "")</f>
        <v/>
      </c>
      <c r="M41" s="23">
        <f>IF(Intereses_Residual_Mensual!M41&gt;0, ROUND(L41 + Intereses_Residual_Mensual!M41, 2), "")</f>
        <v/>
      </c>
      <c r="N41" s="23">
        <f>IF(Intereses_Residual_Mensual!N41&gt;0, ROUND(M41 + Intereses_Residual_Mensual!N41, 2), "")</f>
        <v/>
      </c>
      <c r="O41" s="23">
        <f>IF(Intereses_Residual_Mensual!O41&gt;0, ROUND(N41 + Intereses_Residual_Mensual!O41, 2), "")</f>
        <v/>
      </c>
      <c r="P41" s="23">
        <f>IF(Intereses_Residual_Mensual!P41&gt;0, ROUND(O41 + Intereses_Residual_Mensual!P41, 2), "")</f>
        <v/>
      </c>
      <c r="Q41" s="23">
        <f>IF(Intereses_Residual_Mensual!Q41&gt;0, ROUND(P41 + Intereses_Residual_Mensual!Q41, 2), "")</f>
        <v/>
      </c>
      <c r="R41" s="23">
        <f>IF(Intereses_Residual_Mensual!R41&gt;0, ROUND(Q41 + Intereses_Residual_Mensual!R41, 2), "")</f>
        <v/>
      </c>
      <c r="S41" s="23">
        <f>IF(Intereses_Residual_Mensual!S41&gt;0, ROUND(R41 + Intereses_Residual_Mensual!S41, 2), "")</f>
        <v/>
      </c>
      <c r="T41" s="23">
        <f>IF(Intereses_Residual_Mensual!T41&gt;0, ROUND(S41 + Intereses_Residual_Mensual!T41, 2), "")</f>
        <v/>
      </c>
      <c r="U41" s="23">
        <f>MAX(I41:T41)</f>
        <v/>
      </c>
    </row>
    <row r="42">
      <c r="A42" s="26" t="inlineStr">
        <is>
          <t>0580-0001</t>
        </is>
      </c>
      <c r="B42" s="27" t="inlineStr">
        <is>
          <t>YOLANDA AVALOS CARDENAS</t>
        </is>
      </c>
      <c r="C42" s="27" t="inlineStr">
        <is>
          <t>Mojave</t>
        </is>
      </c>
      <c r="D42" s="26" t="inlineStr">
        <is>
          <t>ACTIVO</t>
        </is>
      </c>
      <c r="E42" s="26" t="inlineStr">
        <is>
          <t>2022-11-18</t>
        </is>
      </c>
      <c r="F42" s="26" t="inlineStr">
        <is>
          <t>2026-11-18</t>
        </is>
      </c>
      <c r="G42" s="28" t="n">
        <v>48</v>
      </c>
      <c r="H42" s="29" t="n">
        <v>251189.66</v>
      </c>
      <c r="I42" s="29">
        <f>IF(Intereses_Residual_Mensual!I42&gt;0, ROUND(191004.78 + Intereses_Residual_Mensual!I42, 2), "")</f>
        <v/>
      </c>
      <c r="J42" s="29">
        <f>IF(Intereses_Residual_Mensual!J42&gt;0, ROUND(I42 + Intereses_Residual_Mensual!J42, 2), "")</f>
        <v/>
      </c>
      <c r="K42" s="29">
        <f>IF(Intereses_Residual_Mensual!K42&gt;0, ROUND(J42 + Intereses_Residual_Mensual!K42, 2), "")</f>
        <v/>
      </c>
      <c r="L42" s="29">
        <f>IF(Intereses_Residual_Mensual!L42&gt;0, ROUND(K42 + Intereses_Residual_Mensual!L42, 2), "")</f>
        <v/>
      </c>
      <c r="M42" s="29">
        <f>IF(Intereses_Residual_Mensual!M42&gt;0, ROUND(L42 + Intereses_Residual_Mensual!M42, 2), "")</f>
        <v/>
      </c>
      <c r="N42" s="29">
        <f>IF(Intereses_Residual_Mensual!N42&gt;0, ROUND(M42 + Intereses_Residual_Mensual!N42, 2), "")</f>
        <v/>
      </c>
      <c r="O42" s="29">
        <f>IF(Intereses_Residual_Mensual!O42&gt;0, ROUND(N42 + Intereses_Residual_Mensual!O42, 2), "")</f>
        <v/>
      </c>
      <c r="P42" s="29">
        <f>IF(Intereses_Residual_Mensual!P42&gt;0, ROUND(O42 + Intereses_Residual_Mensual!P42, 2), "")</f>
        <v/>
      </c>
      <c r="Q42" s="29">
        <f>IF(Intereses_Residual_Mensual!Q42&gt;0, ROUND(P42 + Intereses_Residual_Mensual!Q42, 2), "")</f>
        <v/>
      </c>
      <c r="R42" s="29">
        <f>IF(Intereses_Residual_Mensual!R42&gt;0, ROUND(Q42 + Intereses_Residual_Mensual!R42, 2), "")</f>
        <v/>
      </c>
      <c r="S42" s="29" t="inlineStr"/>
      <c r="T42" s="29" t="inlineStr"/>
      <c r="U42" s="29">
        <f>MAX(I42:T42)</f>
        <v/>
      </c>
    </row>
    <row r="43">
      <c r="A43" s="20" t="inlineStr">
        <is>
          <t>0581-0001</t>
        </is>
      </c>
      <c r="B43" s="21" t="inlineStr">
        <is>
          <t>Aditivos y Vitaminas Mexicanas Sa de Cv</t>
        </is>
      </c>
      <c r="C43" s="21" t="inlineStr">
        <is>
          <t>RAM 700 REGULAR CAB</t>
        </is>
      </c>
      <c r="D43" s="20" t="inlineStr">
        <is>
          <t>ACTIVO</t>
        </is>
      </c>
      <c r="E43" s="20" t="inlineStr">
        <is>
          <t>2023-01-17</t>
        </is>
      </c>
      <c r="F43" s="20" t="inlineStr">
        <is>
          <t>2027-01-17</t>
        </is>
      </c>
      <c r="G43" s="22" t="n">
        <v>48</v>
      </c>
      <c r="H43" s="23" t="n">
        <v>51189.66</v>
      </c>
      <c r="I43" s="23">
        <f>IF(Intereses_Residual_Mensual!I43&gt;0, ROUND(35051.24 + Intereses_Residual_Mensual!I43, 2), "")</f>
        <v/>
      </c>
      <c r="J43" s="23">
        <f>IF(Intereses_Residual_Mensual!J43&gt;0, ROUND(I43 + Intereses_Residual_Mensual!J43, 2), "")</f>
        <v/>
      </c>
      <c r="K43" s="23">
        <f>IF(Intereses_Residual_Mensual!K43&gt;0, ROUND(J43 + Intereses_Residual_Mensual!K43, 2), "")</f>
        <v/>
      </c>
      <c r="L43" s="23">
        <f>IF(Intereses_Residual_Mensual!L43&gt;0, ROUND(K43 + Intereses_Residual_Mensual!L43, 2), "")</f>
        <v/>
      </c>
      <c r="M43" s="23">
        <f>IF(Intereses_Residual_Mensual!M43&gt;0, ROUND(L43 + Intereses_Residual_Mensual!M43, 2), "")</f>
        <v/>
      </c>
      <c r="N43" s="23">
        <f>IF(Intereses_Residual_Mensual!N43&gt;0, ROUND(M43 + Intereses_Residual_Mensual!N43, 2), "")</f>
        <v/>
      </c>
      <c r="O43" s="23">
        <f>IF(Intereses_Residual_Mensual!O43&gt;0, ROUND(N43 + Intereses_Residual_Mensual!O43, 2), "")</f>
        <v/>
      </c>
      <c r="P43" s="23">
        <f>IF(Intereses_Residual_Mensual!P43&gt;0, ROUND(O43 + Intereses_Residual_Mensual!P43, 2), "")</f>
        <v/>
      </c>
      <c r="Q43" s="23">
        <f>IF(Intereses_Residual_Mensual!Q43&gt;0, ROUND(P43 + Intereses_Residual_Mensual!Q43, 2), "")</f>
        <v/>
      </c>
      <c r="R43" s="23">
        <f>IF(Intereses_Residual_Mensual!R43&gt;0, ROUND(Q43 + Intereses_Residual_Mensual!R43, 2), "")</f>
        <v/>
      </c>
      <c r="S43" s="23">
        <f>IF(Intereses_Residual_Mensual!S43&gt;0, ROUND(R43 + Intereses_Residual_Mensual!S43, 2), "")</f>
        <v/>
      </c>
      <c r="T43" s="23">
        <f>IF(Intereses_Residual_Mensual!T43&gt;0, ROUND(S43 + Intereses_Residual_Mensual!T43, 2), "")</f>
        <v/>
      </c>
      <c r="U43" s="23">
        <f>MAX(I43:T43)</f>
        <v/>
      </c>
    </row>
    <row r="44">
      <c r="A44" s="26" t="inlineStr">
        <is>
          <t>0581-0002</t>
        </is>
      </c>
      <c r="B44" s="27" t="inlineStr">
        <is>
          <t>Aditivos y Vitaminas Mexicanas Sa de Cv</t>
        </is>
      </c>
      <c r="C44" s="27" t="inlineStr">
        <is>
          <t>Ram 700 Regular Cab</t>
        </is>
      </c>
      <c r="D44" s="26" t="inlineStr">
        <is>
          <t>ACTIVO</t>
        </is>
      </c>
      <c r="E44" s="26" t="inlineStr">
        <is>
          <t>2024-09-18</t>
        </is>
      </c>
      <c r="F44" s="26" t="inlineStr">
        <is>
          <t>2028-09-18</t>
        </is>
      </c>
      <c r="G44" s="28" t="n">
        <v>48</v>
      </c>
      <c r="H44" s="29" t="n">
        <v>56017.24</v>
      </c>
      <c r="I44" s="29">
        <f>IF(Intereses_Residual_Mensual!I44&gt;0, ROUND(28717.73 + Intereses_Residual_Mensual!I44, 2), "")</f>
        <v/>
      </c>
      <c r="J44" s="29">
        <f>IF(Intereses_Residual_Mensual!J44&gt;0, ROUND(I44 + Intereses_Residual_Mensual!J44, 2), "")</f>
        <v/>
      </c>
      <c r="K44" s="29">
        <f>IF(Intereses_Residual_Mensual!K44&gt;0, ROUND(J44 + Intereses_Residual_Mensual!K44, 2), "")</f>
        <v/>
      </c>
      <c r="L44" s="29">
        <f>IF(Intereses_Residual_Mensual!L44&gt;0, ROUND(K44 + Intereses_Residual_Mensual!L44, 2), "")</f>
        <v/>
      </c>
      <c r="M44" s="29">
        <f>IF(Intereses_Residual_Mensual!M44&gt;0, ROUND(L44 + Intereses_Residual_Mensual!M44, 2), "")</f>
        <v/>
      </c>
      <c r="N44" s="29">
        <f>IF(Intereses_Residual_Mensual!N44&gt;0, ROUND(M44 + Intereses_Residual_Mensual!N44, 2), "")</f>
        <v/>
      </c>
      <c r="O44" s="29">
        <f>IF(Intereses_Residual_Mensual!O44&gt;0, ROUND(N44 + Intereses_Residual_Mensual!O44, 2), "")</f>
        <v/>
      </c>
      <c r="P44" s="29">
        <f>IF(Intereses_Residual_Mensual!P44&gt;0, ROUND(O44 + Intereses_Residual_Mensual!P44, 2), "")</f>
        <v/>
      </c>
      <c r="Q44" s="29">
        <f>IF(Intereses_Residual_Mensual!Q44&gt;0, ROUND(P44 + Intereses_Residual_Mensual!Q44, 2), "")</f>
        <v/>
      </c>
      <c r="R44" s="29">
        <f>IF(Intereses_Residual_Mensual!R44&gt;0, ROUND(Q44 + Intereses_Residual_Mensual!R44, 2), "")</f>
        <v/>
      </c>
      <c r="S44" s="29">
        <f>IF(Intereses_Residual_Mensual!S44&gt;0, ROUND(R44 + Intereses_Residual_Mensual!S44, 2), "")</f>
        <v/>
      </c>
      <c r="T44" s="29">
        <f>IF(Intereses_Residual_Mensual!T44&gt;0, ROUND(S44 + Intereses_Residual_Mensual!T44, 2), "")</f>
        <v/>
      </c>
      <c r="U44" s="29">
        <f>MAX(I44:T44)</f>
        <v/>
      </c>
    </row>
    <row r="45">
      <c r="A45" s="20" t="inlineStr">
        <is>
          <t>0582-0003</t>
        </is>
      </c>
      <c r="B45" s="21" t="inlineStr">
        <is>
          <t>Ensaladas Frescas de Occidente Sa de Cv</t>
        </is>
      </c>
      <c r="C45" s="21" t="inlineStr">
        <is>
          <t>Pulse</t>
        </is>
      </c>
      <c r="D45" s="20" t="inlineStr">
        <is>
          <t>ACTIVO</t>
        </is>
      </c>
      <c r="E45" s="20" t="inlineStr">
        <is>
          <t>2024-07-02</t>
        </is>
      </c>
      <c r="F45" s="20" t="inlineStr">
        <is>
          <t>2028-07-02</t>
        </is>
      </c>
      <c r="G45" s="22" t="n">
        <v>48</v>
      </c>
      <c r="H45" s="23" t="n">
        <v>60948.28</v>
      </c>
      <c r="I45" s="23">
        <f>IF(Intereses_Residual_Mensual!I45&gt;0, ROUND(21880.27 + Intereses_Residual_Mensual!I45, 2), "")</f>
        <v/>
      </c>
      <c r="J45" s="23">
        <f>IF(Intereses_Residual_Mensual!J45&gt;0, ROUND(I45 + Intereses_Residual_Mensual!J45, 2), "")</f>
        <v/>
      </c>
      <c r="K45" s="23">
        <f>IF(Intereses_Residual_Mensual!K45&gt;0, ROUND(J45 + Intereses_Residual_Mensual!K45, 2), "")</f>
        <v/>
      </c>
      <c r="L45" s="23">
        <f>IF(Intereses_Residual_Mensual!L45&gt;0, ROUND(K45 + Intereses_Residual_Mensual!L45, 2), "")</f>
        <v/>
      </c>
      <c r="M45" s="23">
        <f>IF(Intereses_Residual_Mensual!M45&gt;0, ROUND(L45 + Intereses_Residual_Mensual!M45, 2), "")</f>
        <v/>
      </c>
      <c r="N45" s="23">
        <f>IF(Intereses_Residual_Mensual!N45&gt;0, ROUND(M45 + Intereses_Residual_Mensual!N45, 2), "")</f>
        <v/>
      </c>
      <c r="O45" s="23">
        <f>IF(Intereses_Residual_Mensual!O45&gt;0, ROUND(N45 + Intereses_Residual_Mensual!O45, 2), "")</f>
        <v/>
      </c>
      <c r="P45" s="23">
        <f>IF(Intereses_Residual_Mensual!P45&gt;0, ROUND(O45 + Intereses_Residual_Mensual!P45, 2), "")</f>
        <v/>
      </c>
      <c r="Q45" s="23">
        <f>IF(Intereses_Residual_Mensual!Q45&gt;0, ROUND(P45 + Intereses_Residual_Mensual!Q45, 2), "")</f>
        <v/>
      </c>
      <c r="R45" s="23">
        <f>IF(Intereses_Residual_Mensual!R45&gt;0, ROUND(Q45 + Intereses_Residual_Mensual!R45, 2), "")</f>
        <v/>
      </c>
      <c r="S45" s="23">
        <f>IF(Intereses_Residual_Mensual!S45&gt;0, ROUND(R45 + Intereses_Residual_Mensual!S45, 2), "")</f>
        <v/>
      </c>
      <c r="T45" s="23">
        <f>IF(Intereses_Residual_Mensual!T45&gt;0, ROUND(S45 + Intereses_Residual_Mensual!T45, 2), "")</f>
        <v/>
      </c>
      <c r="U45" s="23">
        <f>MAX(I45:T45)</f>
        <v/>
      </c>
    </row>
    <row r="46">
      <c r="A46" s="26" t="inlineStr">
        <is>
          <t>0583-0004</t>
        </is>
      </c>
      <c r="B46" s="27" t="inlineStr">
        <is>
          <t>Soluciones Profesionales para la Industria Alimentaria</t>
        </is>
      </c>
      <c r="C46" s="27" t="inlineStr">
        <is>
          <t>BIGHORN CREW CAB MT</t>
        </is>
      </c>
      <c r="D46" s="26" t="inlineStr">
        <is>
          <t>ACTIVO</t>
        </is>
      </c>
      <c r="E46" s="26" t="inlineStr">
        <is>
          <t>2024-12-30</t>
        </is>
      </c>
      <c r="F46" s="26" t="inlineStr">
        <is>
          <t>2026-12-30</t>
        </is>
      </c>
      <c r="G46" s="28" t="n">
        <v>24</v>
      </c>
      <c r="H46" s="29" t="n">
        <v>34129.31</v>
      </c>
      <c r="I46" s="29">
        <f>IF(Intereses_Residual_Mensual!I46&gt;0, ROUND(24129.41 + Intereses_Residual_Mensual!I46, 2), "")</f>
        <v/>
      </c>
      <c r="J46" s="29">
        <f>IF(Intereses_Residual_Mensual!J46&gt;0, ROUND(I46 + Intereses_Residual_Mensual!J46, 2), "")</f>
        <v/>
      </c>
      <c r="K46" s="29">
        <f>IF(Intereses_Residual_Mensual!K46&gt;0, ROUND(J46 + Intereses_Residual_Mensual!K46, 2), "")</f>
        <v/>
      </c>
      <c r="L46" s="29">
        <f>IF(Intereses_Residual_Mensual!L46&gt;0, ROUND(K46 + Intereses_Residual_Mensual!L46, 2), "")</f>
        <v/>
      </c>
      <c r="M46" s="29">
        <f>IF(Intereses_Residual_Mensual!M46&gt;0, ROUND(L46 + Intereses_Residual_Mensual!M46, 2), "")</f>
        <v/>
      </c>
      <c r="N46" s="29">
        <f>IF(Intereses_Residual_Mensual!N46&gt;0, ROUND(M46 + Intereses_Residual_Mensual!N46, 2), "")</f>
        <v/>
      </c>
      <c r="O46" s="29">
        <f>IF(Intereses_Residual_Mensual!O46&gt;0, ROUND(N46 + Intereses_Residual_Mensual!O46, 2), "")</f>
        <v/>
      </c>
      <c r="P46" s="29">
        <f>IF(Intereses_Residual_Mensual!P46&gt;0, ROUND(O46 + Intereses_Residual_Mensual!P46, 2), "")</f>
        <v/>
      </c>
      <c r="Q46" s="29">
        <f>IF(Intereses_Residual_Mensual!Q46&gt;0, ROUND(P46 + Intereses_Residual_Mensual!Q46, 2), "")</f>
        <v/>
      </c>
      <c r="R46" s="29">
        <f>IF(Intereses_Residual_Mensual!R46&gt;0, ROUND(Q46 + Intereses_Residual_Mensual!R46, 2), "")</f>
        <v/>
      </c>
      <c r="S46" s="29">
        <f>IF(Intereses_Residual_Mensual!S46&gt;0, ROUND(R46 + Intereses_Residual_Mensual!S46, 2), "")</f>
        <v/>
      </c>
      <c r="T46" s="29" t="inlineStr"/>
      <c r="U46" s="29">
        <f>MAX(I46:T46)</f>
        <v/>
      </c>
    </row>
    <row r="47">
      <c r="A47" s="20" t="inlineStr">
        <is>
          <t>0583-0005</t>
        </is>
      </c>
      <c r="B47" s="21" t="inlineStr">
        <is>
          <t>Soluciones Profesionales para la Industria Alimentaria</t>
        </is>
      </c>
      <c r="C47" s="21" t="inlineStr">
        <is>
          <t>3008</t>
        </is>
      </c>
      <c r="D47" s="20" t="inlineStr">
        <is>
          <t>ACTIVO</t>
        </is>
      </c>
      <c r="E47" s="20" t="inlineStr">
        <is>
          <t>2025-01-09</t>
        </is>
      </c>
      <c r="F47" s="20" t="inlineStr">
        <is>
          <t>2028-01-09</t>
        </is>
      </c>
      <c r="G47" s="22" t="n">
        <v>36</v>
      </c>
      <c r="H47" s="23" t="n">
        <v>49689.66</v>
      </c>
      <c r="I47" s="23">
        <f>IF(Intereses_Residual_Mensual!I47&gt;0, ROUND(23741.25 + Intereses_Residual_Mensual!I47, 2), "")</f>
        <v/>
      </c>
      <c r="J47" s="23">
        <f>IF(Intereses_Residual_Mensual!J47&gt;0, ROUND(I47 + Intereses_Residual_Mensual!J47, 2), "")</f>
        <v/>
      </c>
      <c r="K47" s="23">
        <f>IF(Intereses_Residual_Mensual!K47&gt;0, ROUND(J47 + Intereses_Residual_Mensual!K47, 2), "")</f>
        <v/>
      </c>
      <c r="L47" s="23">
        <f>IF(Intereses_Residual_Mensual!L47&gt;0, ROUND(K47 + Intereses_Residual_Mensual!L47, 2), "")</f>
        <v/>
      </c>
      <c r="M47" s="23">
        <f>IF(Intereses_Residual_Mensual!M47&gt;0, ROUND(L47 + Intereses_Residual_Mensual!M47, 2), "")</f>
        <v/>
      </c>
      <c r="N47" s="23">
        <f>IF(Intereses_Residual_Mensual!N47&gt;0, ROUND(M47 + Intereses_Residual_Mensual!N47, 2), "")</f>
        <v/>
      </c>
      <c r="O47" s="23">
        <f>IF(Intereses_Residual_Mensual!O47&gt;0, ROUND(N47 + Intereses_Residual_Mensual!O47, 2), "")</f>
        <v/>
      </c>
      <c r="P47" s="23">
        <f>IF(Intereses_Residual_Mensual!P47&gt;0, ROUND(O47 + Intereses_Residual_Mensual!P47, 2), "")</f>
        <v/>
      </c>
      <c r="Q47" s="23">
        <f>IF(Intereses_Residual_Mensual!Q47&gt;0, ROUND(P47 + Intereses_Residual_Mensual!Q47, 2), "")</f>
        <v/>
      </c>
      <c r="R47" s="23">
        <f>IF(Intereses_Residual_Mensual!R47&gt;0, ROUND(Q47 + Intereses_Residual_Mensual!R47, 2), "")</f>
        <v/>
      </c>
      <c r="S47" s="23">
        <f>IF(Intereses_Residual_Mensual!S47&gt;0, ROUND(R47 + Intereses_Residual_Mensual!S47, 2), "")</f>
        <v/>
      </c>
      <c r="T47" s="23">
        <f>IF(Intereses_Residual_Mensual!T47&gt;0, ROUND(S47 + Intereses_Residual_Mensual!T47, 2), "")</f>
        <v/>
      </c>
      <c r="U47" s="23">
        <f>MAX(I47:T47)</f>
        <v/>
      </c>
    </row>
    <row r="48">
      <c r="A48" s="26" t="inlineStr">
        <is>
          <t>0583-0006</t>
        </is>
      </c>
      <c r="B48" s="27" t="inlineStr">
        <is>
          <t>Soluciones Profesionales para la Industria Alimentaria</t>
        </is>
      </c>
      <c r="C48" s="27" t="inlineStr">
        <is>
          <t>Montana</t>
        </is>
      </c>
      <c r="D48" s="26" t="inlineStr">
        <is>
          <t>ACTIVO</t>
        </is>
      </c>
      <c r="E48" s="26" t="inlineStr">
        <is>
          <t>2025-11-19</t>
        </is>
      </c>
      <c r="F48" s="26" t="inlineStr">
        <is>
          <t>2027-11-19</t>
        </is>
      </c>
      <c r="G48" s="28" t="n">
        <v>24</v>
      </c>
      <c r="H48" s="29" t="n">
        <v>96448.28</v>
      </c>
      <c r="I48" s="29">
        <f>IF(Intereses_Residual_Mensual!I48&gt;0, ROUND(54654.73 + Intereses_Residual_Mensual!I48, 2), "")</f>
        <v/>
      </c>
      <c r="J48" s="29">
        <f>IF(Intereses_Residual_Mensual!J48&gt;0, ROUND(I48 + Intereses_Residual_Mensual!J48, 2), "")</f>
        <v/>
      </c>
      <c r="K48" s="29">
        <f>IF(Intereses_Residual_Mensual!K48&gt;0, ROUND(J48 + Intereses_Residual_Mensual!K48, 2), "")</f>
        <v/>
      </c>
      <c r="L48" s="29">
        <f>IF(Intereses_Residual_Mensual!L48&gt;0, ROUND(K48 + Intereses_Residual_Mensual!L48, 2), "")</f>
        <v/>
      </c>
      <c r="M48" s="29">
        <f>IF(Intereses_Residual_Mensual!M48&gt;0, ROUND(L48 + Intereses_Residual_Mensual!M48, 2), "")</f>
        <v/>
      </c>
      <c r="N48" s="29">
        <f>IF(Intereses_Residual_Mensual!N48&gt;0, ROUND(M48 + Intereses_Residual_Mensual!N48, 2), "")</f>
        <v/>
      </c>
      <c r="O48" s="29">
        <f>IF(Intereses_Residual_Mensual!O48&gt;0, ROUND(N48 + Intereses_Residual_Mensual!O48, 2), "")</f>
        <v/>
      </c>
      <c r="P48" s="29">
        <f>IF(Intereses_Residual_Mensual!P48&gt;0, ROUND(O48 + Intereses_Residual_Mensual!P48, 2), "")</f>
        <v/>
      </c>
      <c r="Q48" s="29">
        <f>IF(Intereses_Residual_Mensual!Q48&gt;0, ROUND(P48 + Intereses_Residual_Mensual!Q48, 2), "")</f>
        <v/>
      </c>
      <c r="R48" s="29">
        <f>IF(Intereses_Residual_Mensual!R48&gt;0, ROUND(Q48 + Intereses_Residual_Mensual!R48, 2), "")</f>
        <v/>
      </c>
      <c r="S48" s="29">
        <f>IF(Intereses_Residual_Mensual!S48&gt;0, ROUND(R48 + Intereses_Residual_Mensual!S48, 2), "")</f>
        <v/>
      </c>
      <c r="T48" s="29">
        <f>IF(Intereses_Residual_Mensual!T48&gt;0, ROUND(S48 + Intereses_Residual_Mensual!T48, 2), "")</f>
        <v/>
      </c>
      <c r="U48" s="29">
        <f>MAX(I48:T48)</f>
        <v/>
      </c>
    </row>
    <row r="49">
      <c r="A49" s="20" t="inlineStr">
        <is>
          <t>0585-0002</t>
        </is>
      </c>
      <c r="B49" s="21" t="inlineStr">
        <is>
          <t>Julio Alberto Ramos de la Mora</t>
        </is>
      </c>
      <c r="C49" s="21" t="inlineStr">
        <is>
          <t>Ram 1500 Limited</t>
        </is>
      </c>
      <c r="D49" s="20" t="inlineStr">
        <is>
          <t>ACTIVO</t>
        </is>
      </c>
      <c r="E49" s="20" t="inlineStr">
        <is>
          <t>2025-01-08</t>
        </is>
      </c>
      <c r="F49" s="20" t="inlineStr">
        <is>
          <t>2028-01-08</t>
        </is>
      </c>
      <c r="G49" s="22" t="n">
        <v>36</v>
      </c>
      <c r="H49" s="23" t="n">
        <v>427474.14</v>
      </c>
      <c r="I49" s="23">
        <f>IF(Intereses_Residual_Mensual!I49&gt;0, ROUND(203465.63 + Intereses_Residual_Mensual!I49, 2), "")</f>
        <v/>
      </c>
      <c r="J49" s="23">
        <f>IF(Intereses_Residual_Mensual!J49&gt;0, ROUND(I49 + Intereses_Residual_Mensual!J49, 2), "")</f>
        <v/>
      </c>
      <c r="K49" s="23">
        <f>IF(Intereses_Residual_Mensual!K49&gt;0, ROUND(J49 + Intereses_Residual_Mensual!K49, 2), "")</f>
        <v/>
      </c>
      <c r="L49" s="23">
        <f>IF(Intereses_Residual_Mensual!L49&gt;0, ROUND(K49 + Intereses_Residual_Mensual!L49, 2), "")</f>
        <v/>
      </c>
      <c r="M49" s="23">
        <f>IF(Intereses_Residual_Mensual!M49&gt;0, ROUND(L49 + Intereses_Residual_Mensual!M49, 2), "")</f>
        <v/>
      </c>
      <c r="N49" s="23">
        <f>IF(Intereses_Residual_Mensual!N49&gt;0, ROUND(M49 + Intereses_Residual_Mensual!N49, 2), "")</f>
        <v/>
      </c>
      <c r="O49" s="23">
        <f>IF(Intereses_Residual_Mensual!O49&gt;0, ROUND(N49 + Intereses_Residual_Mensual!O49, 2), "")</f>
        <v/>
      </c>
      <c r="P49" s="23">
        <f>IF(Intereses_Residual_Mensual!P49&gt;0, ROUND(O49 + Intereses_Residual_Mensual!P49, 2), "")</f>
        <v/>
      </c>
      <c r="Q49" s="23">
        <f>IF(Intereses_Residual_Mensual!Q49&gt;0, ROUND(P49 + Intereses_Residual_Mensual!Q49, 2), "")</f>
        <v/>
      </c>
      <c r="R49" s="23">
        <f>IF(Intereses_Residual_Mensual!R49&gt;0, ROUND(Q49 + Intereses_Residual_Mensual!R49, 2), "")</f>
        <v/>
      </c>
      <c r="S49" s="23">
        <f>IF(Intereses_Residual_Mensual!S49&gt;0, ROUND(R49 + Intereses_Residual_Mensual!S49, 2), "")</f>
        <v/>
      </c>
      <c r="T49" s="23">
        <f>IF(Intereses_Residual_Mensual!T49&gt;0, ROUND(S49 + Intereses_Residual_Mensual!T49, 2), "")</f>
        <v/>
      </c>
      <c r="U49" s="23">
        <f>MAX(I49:T49)</f>
        <v/>
      </c>
    </row>
    <row r="50">
      <c r="A50" s="26" t="inlineStr">
        <is>
          <t>0585-0003</t>
        </is>
      </c>
      <c r="B50" s="27" t="inlineStr">
        <is>
          <t>Julio Alberto Ramos de la Mora</t>
        </is>
      </c>
      <c r="C50" s="27" t="inlineStr">
        <is>
          <t>Wrangler Rubicon</t>
        </is>
      </c>
      <c r="D50" s="26" t="inlineStr">
        <is>
          <t>ACTIVO</t>
        </is>
      </c>
      <c r="E50" s="26" t="inlineStr">
        <is>
          <t>2025-01-17</t>
        </is>
      </c>
      <c r="F50" s="26" t="inlineStr">
        <is>
          <t>2029-01-17</t>
        </is>
      </c>
      <c r="G50" s="28" t="n">
        <v>48</v>
      </c>
      <c r="H50" s="29" t="n">
        <v>380275.86</v>
      </c>
      <c r="I50" s="29">
        <f>IF(Intereses_Residual_Mensual!I50&gt;0, ROUND(123554.01 + Intereses_Residual_Mensual!I50, 2), "")</f>
        <v/>
      </c>
      <c r="J50" s="29">
        <f>IF(Intereses_Residual_Mensual!J50&gt;0, ROUND(I50 + Intereses_Residual_Mensual!J50, 2), "")</f>
        <v/>
      </c>
      <c r="K50" s="29">
        <f>IF(Intereses_Residual_Mensual!K50&gt;0, ROUND(J50 + Intereses_Residual_Mensual!K50, 2), "")</f>
        <v/>
      </c>
      <c r="L50" s="29">
        <f>IF(Intereses_Residual_Mensual!L50&gt;0, ROUND(K50 + Intereses_Residual_Mensual!L50, 2), "")</f>
        <v/>
      </c>
      <c r="M50" s="29">
        <f>IF(Intereses_Residual_Mensual!M50&gt;0, ROUND(L50 + Intereses_Residual_Mensual!M50, 2), "")</f>
        <v/>
      </c>
      <c r="N50" s="29">
        <f>IF(Intereses_Residual_Mensual!N50&gt;0, ROUND(M50 + Intereses_Residual_Mensual!N50, 2), "")</f>
        <v/>
      </c>
      <c r="O50" s="29">
        <f>IF(Intereses_Residual_Mensual!O50&gt;0, ROUND(N50 + Intereses_Residual_Mensual!O50, 2), "")</f>
        <v/>
      </c>
      <c r="P50" s="29">
        <f>IF(Intereses_Residual_Mensual!P50&gt;0, ROUND(O50 + Intereses_Residual_Mensual!P50, 2), "")</f>
        <v/>
      </c>
      <c r="Q50" s="29">
        <f>IF(Intereses_Residual_Mensual!Q50&gt;0, ROUND(P50 + Intereses_Residual_Mensual!Q50, 2), "")</f>
        <v/>
      </c>
      <c r="R50" s="29">
        <f>IF(Intereses_Residual_Mensual!R50&gt;0, ROUND(Q50 + Intereses_Residual_Mensual!R50, 2), "")</f>
        <v/>
      </c>
      <c r="S50" s="29">
        <f>IF(Intereses_Residual_Mensual!S50&gt;0, ROUND(R50 + Intereses_Residual_Mensual!S50, 2), "")</f>
        <v/>
      </c>
      <c r="T50" s="29">
        <f>IF(Intereses_Residual_Mensual!T50&gt;0, ROUND(S50 + Intereses_Residual_Mensual!T50, 2), "")</f>
        <v/>
      </c>
      <c r="U50" s="29">
        <f>MAX(I50:T50)</f>
        <v/>
      </c>
    </row>
    <row r="51">
      <c r="A51" s="20" t="inlineStr">
        <is>
          <t>0585-0004</t>
        </is>
      </c>
      <c r="B51" s="21" t="inlineStr">
        <is>
          <t>Julio Alberto Ramos de la Mora</t>
        </is>
      </c>
      <c r="C51" s="21" t="inlineStr">
        <is>
          <t>Hrv Sport</t>
        </is>
      </c>
      <c r="D51" s="20" t="inlineStr">
        <is>
          <t>ACTIVO</t>
        </is>
      </c>
      <c r="E51" s="20" t="inlineStr">
        <is>
          <t>2025-05-28</t>
        </is>
      </c>
      <c r="F51" s="20" t="inlineStr">
        <is>
          <t>2028-05-28</t>
        </is>
      </c>
      <c r="G51" s="22" t="n">
        <v>36</v>
      </c>
      <c r="H51" s="23" t="n">
        <v>54301.72</v>
      </c>
      <c r="I51" s="23">
        <f>IF(Intereses_Residual_Mensual!I51&gt;0, ROUND(26010.4 + Intereses_Residual_Mensual!I51, 2), "")</f>
        <v/>
      </c>
      <c r="J51" s="23">
        <f>IF(Intereses_Residual_Mensual!J51&gt;0, ROUND(I51 + Intereses_Residual_Mensual!J51, 2), "")</f>
        <v/>
      </c>
      <c r="K51" s="23">
        <f>IF(Intereses_Residual_Mensual!K51&gt;0, ROUND(J51 + Intereses_Residual_Mensual!K51, 2), "")</f>
        <v/>
      </c>
      <c r="L51" s="23">
        <f>IF(Intereses_Residual_Mensual!L51&gt;0, ROUND(K51 + Intereses_Residual_Mensual!L51, 2), "")</f>
        <v/>
      </c>
      <c r="M51" s="23">
        <f>IF(Intereses_Residual_Mensual!M51&gt;0, ROUND(L51 + Intereses_Residual_Mensual!M51, 2), "")</f>
        <v/>
      </c>
      <c r="N51" s="23">
        <f>IF(Intereses_Residual_Mensual!N51&gt;0, ROUND(M51 + Intereses_Residual_Mensual!N51, 2), "")</f>
        <v/>
      </c>
      <c r="O51" s="23">
        <f>IF(Intereses_Residual_Mensual!O51&gt;0, ROUND(N51 + Intereses_Residual_Mensual!O51, 2), "")</f>
        <v/>
      </c>
      <c r="P51" s="23">
        <f>IF(Intereses_Residual_Mensual!P51&gt;0, ROUND(O51 + Intereses_Residual_Mensual!P51, 2), "")</f>
        <v/>
      </c>
      <c r="Q51" s="23">
        <f>IF(Intereses_Residual_Mensual!Q51&gt;0, ROUND(P51 + Intereses_Residual_Mensual!Q51, 2), "")</f>
        <v/>
      </c>
      <c r="R51" s="23">
        <f>IF(Intereses_Residual_Mensual!R51&gt;0, ROUND(Q51 + Intereses_Residual_Mensual!R51, 2), "")</f>
        <v/>
      </c>
      <c r="S51" s="23">
        <f>IF(Intereses_Residual_Mensual!S51&gt;0, ROUND(R51 + Intereses_Residual_Mensual!S51, 2), "")</f>
        <v/>
      </c>
      <c r="T51" s="23">
        <f>IF(Intereses_Residual_Mensual!T51&gt;0, ROUND(S51 + Intereses_Residual_Mensual!T51, 2), "")</f>
        <v/>
      </c>
      <c r="U51" s="23">
        <f>MAX(I51:T51)</f>
        <v/>
      </c>
    </row>
    <row r="52">
      <c r="A52" s="26" t="inlineStr">
        <is>
          <t>0585-0005</t>
        </is>
      </c>
      <c r="B52" s="27" t="inlineStr">
        <is>
          <t>Julio Alberto Ramos de la Mora</t>
        </is>
      </c>
      <c r="C52" s="27" t="inlineStr">
        <is>
          <t>M9 GL HEV</t>
        </is>
      </c>
      <c r="D52" s="26" t="inlineStr">
        <is>
          <t>ACTIVO</t>
        </is>
      </c>
      <c r="E52" s="26" t="inlineStr">
        <is>
          <t>2025-12-12</t>
        </is>
      </c>
      <c r="F52" s="26" t="inlineStr">
        <is>
          <t>2027-12-12</t>
        </is>
      </c>
      <c r="G52" s="28" t="n">
        <v>24</v>
      </c>
      <c r="H52" s="29" t="n">
        <v>84465.52</v>
      </c>
      <c r="I52" s="29">
        <f>IF(Intereses_Residual_Mensual!I52&gt;0, ROUND(46792.99 + Intereses_Residual_Mensual!I52, 2), "")</f>
        <v/>
      </c>
      <c r="J52" s="29">
        <f>IF(Intereses_Residual_Mensual!J52&gt;0, ROUND(I52 + Intereses_Residual_Mensual!J52, 2), "")</f>
        <v/>
      </c>
      <c r="K52" s="29">
        <f>IF(Intereses_Residual_Mensual!K52&gt;0, ROUND(J52 + Intereses_Residual_Mensual!K52, 2), "")</f>
        <v/>
      </c>
      <c r="L52" s="29">
        <f>IF(Intereses_Residual_Mensual!L52&gt;0, ROUND(K52 + Intereses_Residual_Mensual!L52, 2), "")</f>
        <v/>
      </c>
      <c r="M52" s="29">
        <f>IF(Intereses_Residual_Mensual!M52&gt;0, ROUND(L52 + Intereses_Residual_Mensual!M52, 2), "")</f>
        <v/>
      </c>
      <c r="N52" s="29">
        <f>IF(Intereses_Residual_Mensual!N52&gt;0, ROUND(M52 + Intereses_Residual_Mensual!N52, 2), "")</f>
        <v/>
      </c>
      <c r="O52" s="29">
        <f>IF(Intereses_Residual_Mensual!O52&gt;0, ROUND(N52 + Intereses_Residual_Mensual!O52, 2), "")</f>
        <v/>
      </c>
      <c r="P52" s="29">
        <f>IF(Intereses_Residual_Mensual!P52&gt;0, ROUND(O52 + Intereses_Residual_Mensual!P52, 2), "")</f>
        <v/>
      </c>
      <c r="Q52" s="29">
        <f>IF(Intereses_Residual_Mensual!Q52&gt;0, ROUND(P52 + Intereses_Residual_Mensual!Q52, 2), "")</f>
        <v/>
      </c>
      <c r="R52" s="29">
        <f>IF(Intereses_Residual_Mensual!R52&gt;0, ROUND(Q52 + Intereses_Residual_Mensual!R52, 2), "")</f>
        <v/>
      </c>
      <c r="S52" s="29">
        <f>IF(Intereses_Residual_Mensual!S52&gt;0, ROUND(R52 + Intereses_Residual_Mensual!S52, 2), "")</f>
        <v/>
      </c>
      <c r="T52" s="29">
        <f>IF(Intereses_Residual_Mensual!T52&gt;0, ROUND(S52 + Intereses_Residual_Mensual!T52, 2), "")</f>
        <v/>
      </c>
      <c r="U52" s="29">
        <f>MAX(I52:T52)</f>
        <v/>
      </c>
    </row>
    <row r="53">
      <c r="A53" s="20" t="inlineStr">
        <is>
          <t>0587-0002</t>
        </is>
      </c>
      <c r="B53" s="21" t="inlineStr">
        <is>
          <t>Allioth, S.C.</t>
        </is>
      </c>
      <c r="C53" s="21" t="inlineStr">
        <is>
          <t>Grand Cherokee L Summit</t>
        </is>
      </c>
      <c r="D53" s="20" t="inlineStr">
        <is>
          <t>ACTIVO</t>
        </is>
      </c>
      <c r="E53" s="20" t="inlineStr">
        <is>
          <t>2026-02-09</t>
        </is>
      </c>
      <c r="F53" s="20" t="inlineStr">
        <is>
          <t>2027-02-09</t>
        </is>
      </c>
      <c r="G53" s="22" t="n">
        <v>12</v>
      </c>
      <c r="H53" s="23" t="n">
        <v>219281.03</v>
      </c>
      <c r="I53" s="23" t="inlineStr"/>
      <c r="J53" s="23">
        <f>ROUND('Resumen_Cartera'!$U53 + Intereses_Residual_Mensual!J53, 2)</f>
        <v/>
      </c>
      <c r="K53" s="23">
        <f>IF(Intereses_Residual_Mensual!K53&gt;0, ROUND(J53 + Intereses_Residual_Mensual!K53, 2), "")</f>
        <v/>
      </c>
      <c r="L53" s="23">
        <f>IF(Intereses_Residual_Mensual!L53&gt;0, ROUND(K53 + Intereses_Residual_Mensual!L53, 2), "")</f>
        <v/>
      </c>
      <c r="M53" s="23">
        <f>IF(Intereses_Residual_Mensual!M53&gt;0, ROUND(L53 + Intereses_Residual_Mensual!M53, 2), "")</f>
        <v/>
      </c>
      <c r="N53" s="23">
        <f>IF(Intereses_Residual_Mensual!N53&gt;0, ROUND(M53 + Intereses_Residual_Mensual!N53, 2), "")</f>
        <v/>
      </c>
      <c r="O53" s="23">
        <f>IF(Intereses_Residual_Mensual!O53&gt;0, ROUND(N53 + Intereses_Residual_Mensual!O53, 2), "")</f>
        <v/>
      </c>
      <c r="P53" s="23">
        <f>IF(Intereses_Residual_Mensual!P53&gt;0, ROUND(O53 + Intereses_Residual_Mensual!P53, 2), "")</f>
        <v/>
      </c>
      <c r="Q53" s="23">
        <f>IF(Intereses_Residual_Mensual!Q53&gt;0, ROUND(P53 + Intereses_Residual_Mensual!Q53, 2), "")</f>
        <v/>
      </c>
      <c r="R53" s="23">
        <f>IF(Intereses_Residual_Mensual!R53&gt;0, ROUND(Q53 + Intereses_Residual_Mensual!R53, 2), "")</f>
        <v/>
      </c>
      <c r="S53" s="23">
        <f>IF(Intereses_Residual_Mensual!S53&gt;0, ROUND(R53 + Intereses_Residual_Mensual!S53, 2), "")</f>
        <v/>
      </c>
      <c r="T53" s="23">
        <f>IF(Intereses_Residual_Mensual!T53&gt;0, ROUND(S53 + Intereses_Residual_Mensual!T53, 2), "")</f>
        <v/>
      </c>
      <c r="U53" s="23">
        <f>MAX(I53:T53)</f>
        <v/>
      </c>
    </row>
    <row r="54">
      <c r="A54" s="26" t="inlineStr">
        <is>
          <t>0591-0002</t>
        </is>
      </c>
      <c r="B54" s="27" t="inlineStr">
        <is>
          <t>Cervantech Servicios Tecnologicos Sc</t>
        </is>
      </c>
      <c r="C54" s="27" t="inlineStr">
        <is>
          <t>WRANGLER RUBICON</t>
        </is>
      </c>
      <c r="D54" s="26" t="inlineStr">
        <is>
          <t>ACTIVO</t>
        </is>
      </c>
      <c r="E54" s="26" t="inlineStr">
        <is>
          <t>2023-10-27</t>
        </is>
      </c>
      <c r="F54" s="26" t="inlineStr">
        <is>
          <t>2026-10-27</t>
        </is>
      </c>
      <c r="G54" s="28" t="n">
        <v>36</v>
      </c>
      <c r="H54" s="29" t="n">
        <v>386780.17</v>
      </c>
      <c r="I54" s="29">
        <f>IF(Intereses_Residual_Mensual!I54&gt;0, ROUND(293663.68 + Intereses_Residual_Mensual!I54, 2), "")</f>
        <v/>
      </c>
      <c r="J54" s="29">
        <f>IF(Intereses_Residual_Mensual!J54&gt;0, ROUND(I54 + Intereses_Residual_Mensual!J54, 2), "")</f>
        <v/>
      </c>
      <c r="K54" s="29">
        <f>IF(Intereses_Residual_Mensual!K54&gt;0, ROUND(J54 + Intereses_Residual_Mensual!K54, 2), "")</f>
        <v/>
      </c>
      <c r="L54" s="29">
        <f>IF(Intereses_Residual_Mensual!L54&gt;0, ROUND(K54 + Intereses_Residual_Mensual!L54, 2), "")</f>
        <v/>
      </c>
      <c r="M54" s="29">
        <f>IF(Intereses_Residual_Mensual!M54&gt;0, ROUND(L54 + Intereses_Residual_Mensual!M54, 2), "")</f>
        <v/>
      </c>
      <c r="N54" s="29">
        <f>IF(Intereses_Residual_Mensual!N54&gt;0, ROUND(M54 + Intereses_Residual_Mensual!N54, 2), "")</f>
        <v/>
      </c>
      <c r="O54" s="29">
        <f>IF(Intereses_Residual_Mensual!O54&gt;0, ROUND(N54 + Intereses_Residual_Mensual!O54, 2), "")</f>
        <v/>
      </c>
      <c r="P54" s="29">
        <f>IF(Intereses_Residual_Mensual!P54&gt;0, ROUND(O54 + Intereses_Residual_Mensual!P54, 2), "")</f>
        <v/>
      </c>
      <c r="Q54" s="29">
        <f>IF(Intereses_Residual_Mensual!Q54&gt;0, ROUND(P54 + Intereses_Residual_Mensual!Q54, 2), "")</f>
        <v/>
      </c>
      <c r="R54" s="29" t="inlineStr"/>
      <c r="S54" s="29" t="inlineStr"/>
      <c r="T54" s="29" t="inlineStr"/>
      <c r="U54" s="29">
        <f>MAX(I54:T54)</f>
        <v/>
      </c>
    </row>
    <row r="55">
      <c r="A55" s="20" t="inlineStr">
        <is>
          <t>0593-0002</t>
        </is>
      </c>
      <c r="B55" s="21" t="inlineStr">
        <is>
          <t>Metales y Minerales Moa Sa de Cv</t>
        </is>
      </c>
      <c r="C55" s="21" t="inlineStr">
        <is>
          <t>Ram 700 SLT Crew Cab</t>
        </is>
      </c>
      <c r="D55" s="20" t="inlineStr">
        <is>
          <t>ACTIVO</t>
        </is>
      </c>
      <c r="E55" s="20" t="inlineStr">
        <is>
          <t>2023-07-04</t>
        </is>
      </c>
      <c r="F55" s="20" t="inlineStr">
        <is>
          <t>2027-07-04</t>
        </is>
      </c>
      <c r="G55" s="22" t="n">
        <v>48</v>
      </c>
      <c r="H55" s="23" t="n">
        <v>56879.31</v>
      </c>
      <c r="I55" s="23">
        <f>IF(Intereses_Residual_Mensual!I55&gt;0, ROUND(32472.71 + Intereses_Residual_Mensual!I55, 2), "")</f>
        <v/>
      </c>
      <c r="J55" s="23">
        <f>IF(Intereses_Residual_Mensual!J55&gt;0, ROUND(I55 + Intereses_Residual_Mensual!J55, 2), "")</f>
        <v/>
      </c>
      <c r="K55" s="23">
        <f>IF(Intereses_Residual_Mensual!K55&gt;0, ROUND(J55 + Intereses_Residual_Mensual!K55, 2), "")</f>
        <v/>
      </c>
      <c r="L55" s="23">
        <f>IF(Intereses_Residual_Mensual!L55&gt;0, ROUND(K55 + Intereses_Residual_Mensual!L55, 2), "")</f>
        <v/>
      </c>
      <c r="M55" s="23">
        <f>IF(Intereses_Residual_Mensual!M55&gt;0, ROUND(L55 + Intereses_Residual_Mensual!M55, 2), "")</f>
        <v/>
      </c>
      <c r="N55" s="23">
        <f>IF(Intereses_Residual_Mensual!N55&gt;0, ROUND(M55 + Intereses_Residual_Mensual!N55, 2), "")</f>
        <v/>
      </c>
      <c r="O55" s="23">
        <f>IF(Intereses_Residual_Mensual!O55&gt;0, ROUND(N55 + Intereses_Residual_Mensual!O55, 2), "")</f>
        <v/>
      </c>
      <c r="P55" s="23">
        <f>IF(Intereses_Residual_Mensual!P55&gt;0, ROUND(O55 + Intereses_Residual_Mensual!P55, 2), "")</f>
        <v/>
      </c>
      <c r="Q55" s="23">
        <f>IF(Intereses_Residual_Mensual!Q55&gt;0, ROUND(P55 + Intereses_Residual_Mensual!Q55, 2), "")</f>
        <v/>
      </c>
      <c r="R55" s="23">
        <f>IF(Intereses_Residual_Mensual!R55&gt;0, ROUND(Q55 + Intereses_Residual_Mensual!R55, 2), "")</f>
        <v/>
      </c>
      <c r="S55" s="23">
        <f>IF(Intereses_Residual_Mensual!S55&gt;0, ROUND(R55 + Intereses_Residual_Mensual!S55, 2), "")</f>
        <v/>
      </c>
      <c r="T55" s="23">
        <f>IF(Intereses_Residual_Mensual!T55&gt;0, ROUND(S55 + Intereses_Residual_Mensual!T55, 2), "")</f>
        <v/>
      </c>
      <c r="U55" s="23">
        <f>MAX(I55:T55)</f>
        <v/>
      </c>
    </row>
    <row r="56">
      <c r="A56" s="26" t="inlineStr">
        <is>
          <t>0594-0001</t>
        </is>
      </c>
      <c r="B56" s="27" t="inlineStr">
        <is>
          <t>Biotecnologia Estetica Sa de Cv</t>
        </is>
      </c>
      <c r="C56" s="27" t="inlineStr">
        <is>
          <t>Mobi Like</t>
        </is>
      </c>
      <c r="D56" s="26" t="inlineStr">
        <is>
          <t>ACTIVO</t>
        </is>
      </c>
      <c r="E56" s="26" t="inlineStr">
        <is>
          <t>2023-02-23</t>
        </is>
      </c>
      <c r="F56" s="26" t="inlineStr">
        <is>
          <t>2027-02-23</t>
        </is>
      </c>
      <c r="G56" s="28" t="n">
        <v>48</v>
      </c>
      <c r="H56" s="29" t="n">
        <v>41793.1</v>
      </c>
      <c r="I56" s="29">
        <f>IF(Intereses_Residual_Mensual!I56&gt;0, ROUND(27739.83 + Intereses_Residual_Mensual!I56, 2), "")</f>
        <v/>
      </c>
      <c r="J56" s="29">
        <f>IF(Intereses_Residual_Mensual!J56&gt;0, ROUND(I56 + Intereses_Residual_Mensual!J56, 2), "")</f>
        <v/>
      </c>
      <c r="K56" s="29">
        <f>IF(Intereses_Residual_Mensual!K56&gt;0, ROUND(J56 + Intereses_Residual_Mensual!K56, 2), "")</f>
        <v/>
      </c>
      <c r="L56" s="29">
        <f>IF(Intereses_Residual_Mensual!L56&gt;0, ROUND(K56 + Intereses_Residual_Mensual!L56, 2), "")</f>
        <v/>
      </c>
      <c r="M56" s="29">
        <f>IF(Intereses_Residual_Mensual!M56&gt;0, ROUND(L56 + Intereses_Residual_Mensual!M56, 2), "")</f>
        <v/>
      </c>
      <c r="N56" s="29">
        <f>IF(Intereses_Residual_Mensual!N56&gt;0, ROUND(M56 + Intereses_Residual_Mensual!N56, 2), "")</f>
        <v/>
      </c>
      <c r="O56" s="29">
        <f>IF(Intereses_Residual_Mensual!O56&gt;0, ROUND(N56 + Intereses_Residual_Mensual!O56, 2), "")</f>
        <v/>
      </c>
      <c r="P56" s="29">
        <f>IF(Intereses_Residual_Mensual!P56&gt;0, ROUND(O56 + Intereses_Residual_Mensual!P56, 2), "")</f>
        <v/>
      </c>
      <c r="Q56" s="29">
        <f>IF(Intereses_Residual_Mensual!Q56&gt;0, ROUND(P56 + Intereses_Residual_Mensual!Q56, 2), "")</f>
        <v/>
      </c>
      <c r="R56" s="29">
        <f>IF(Intereses_Residual_Mensual!R56&gt;0, ROUND(Q56 + Intereses_Residual_Mensual!R56, 2), "")</f>
        <v/>
      </c>
      <c r="S56" s="29">
        <f>IF(Intereses_Residual_Mensual!S56&gt;0, ROUND(R56 + Intereses_Residual_Mensual!S56, 2), "")</f>
        <v/>
      </c>
      <c r="T56" s="29">
        <f>IF(Intereses_Residual_Mensual!T56&gt;0, ROUND(S56 + Intereses_Residual_Mensual!T56, 2), "")</f>
        <v/>
      </c>
      <c r="U56" s="29">
        <f>MAX(I56:T56)</f>
        <v/>
      </c>
    </row>
    <row r="57">
      <c r="A57" s="20" t="inlineStr">
        <is>
          <t>0596-0004</t>
        </is>
      </c>
      <c r="B57" s="21" t="inlineStr">
        <is>
          <t>Gruas Industriales Lb</t>
        </is>
      </c>
      <c r="C57" s="21" t="inlineStr">
        <is>
          <t>Ram 1500 TRX</t>
        </is>
      </c>
      <c r="D57" s="20" t="inlineStr">
        <is>
          <t>ACTIVO</t>
        </is>
      </c>
      <c r="E57" s="20" t="inlineStr">
        <is>
          <t>2024-03-22</t>
        </is>
      </c>
      <c r="F57" s="20" t="inlineStr">
        <is>
          <t>2028-03-22</t>
        </is>
      </c>
      <c r="G57" s="22" t="n">
        <v>48</v>
      </c>
      <c r="H57" s="23" t="n">
        <v>225853.45</v>
      </c>
      <c r="I57" s="23">
        <f>IF(Intereses_Residual_Mensual!I57&gt;0, ROUND(98610.77 + Intereses_Residual_Mensual!I57, 2), "")</f>
        <v/>
      </c>
      <c r="J57" s="23">
        <f>IF(Intereses_Residual_Mensual!J57&gt;0, ROUND(I57 + Intereses_Residual_Mensual!J57, 2), "")</f>
        <v/>
      </c>
      <c r="K57" s="23">
        <f>IF(Intereses_Residual_Mensual!K57&gt;0, ROUND(J57 + Intereses_Residual_Mensual!K57, 2), "")</f>
        <v/>
      </c>
      <c r="L57" s="23">
        <f>IF(Intereses_Residual_Mensual!L57&gt;0, ROUND(K57 + Intereses_Residual_Mensual!L57, 2), "")</f>
        <v/>
      </c>
      <c r="M57" s="23">
        <f>IF(Intereses_Residual_Mensual!M57&gt;0, ROUND(L57 + Intereses_Residual_Mensual!M57, 2), "")</f>
        <v/>
      </c>
      <c r="N57" s="23">
        <f>IF(Intereses_Residual_Mensual!N57&gt;0, ROUND(M57 + Intereses_Residual_Mensual!N57, 2), "")</f>
        <v/>
      </c>
      <c r="O57" s="23">
        <f>IF(Intereses_Residual_Mensual!O57&gt;0, ROUND(N57 + Intereses_Residual_Mensual!O57, 2), "")</f>
        <v/>
      </c>
      <c r="P57" s="23">
        <f>IF(Intereses_Residual_Mensual!P57&gt;0, ROUND(O57 + Intereses_Residual_Mensual!P57, 2), "")</f>
        <v/>
      </c>
      <c r="Q57" s="23">
        <f>IF(Intereses_Residual_Mensual!Q57&gt;0, ROUND(P57 + Intereses_Residual_Mensual!Q57, 2), "")</f>
        <v/>
      </c>
      <c r="R57" s="23">
        <f>IF(Intereses_Residual_Mensual!R57&gt;0, ROUND(Q57 + Intereses_Residual_Mensual!R57, 2), "")</f>
        <v/>
      </c>
      <c r="S57" s="23">
        <f>IF(Intereses_Residual_Mensual!S57&gt;0, ROUND(R57 + Intereses_Residual_Mensual!S57, 2), "")</f>
        <v/>
      </c>
      <c r="T57" s="23">
        <f>IF(Intereses_Residual_Mensual!T57&gt;0, ROUND(S57 + Intereses_Residual_Mensual!T57, 2), "")</f>
        <v/>
      </c>
      <c r="U57" s="23">
        <f>MAX(I57:T57)</f>
        <v/>
      </c>
    </row>
    <row r="58">
      <c r="A58" s="26" t="inlineStr">
        <is>
          <t>0596-0005</t>
        </is>
      </c>
      <c r="B58" s="27" t="inlineStr">
        <is>
          <t>Gruas Industriales Lb Sa de Cv</t>
        </is>
      </c>
      <c r="C58" s="27" t="inlineStr">
        <is>
          <t>L200 Glx Gasolina</t>
        </is>
      </c>
      <c r="D58" s="26" t="inlineStr">
        <is>
          <t>ACTIVO</t>
        </is>
      </c>
      <c r="E58" s="26" t="inlineStr">
        <is>
          <t>2024-07-19</t>
        </is>
      </c>
      <c r="F58" s="26" t="inlineStr">
        <is>
          <t>2028-07-19</t>
        </is>
      </c>
      <c r="G58" s="28" t="n">
        <v>48</v>
      </c>
      <c r="H58" s="29" t="n">
        <v>83163.45</v>
      </c>
      <c r="I58" s="29">
        <f>IF(Intereses_Residual_Mensual!I58&gt;0, ROUND(32662.85 + Intereses_Residual_Mensual!I58, 2), "")</f>
        <v/>
      </c>
      <c r="J58" s="29">
        <f>IF(Intereses_Residual_Mensual!J58&gt;0, ROUND(I58 + Intereses_Residual_Mensual!J58, 2), "")</f>
        <v/>
      </c>
      <c r="K58" s="29">
        <f>IF(Intereses_Residual_Mensual!K58&gt;0, ROUND(J58 + Intereses_Residual_Mensual!K58, 2), "")</f>
        <v/>
      </c>
      <c r="L58" s="29">
        <f>IF(Intereses_Residual_Mensual!L58&gt;0, ROUND(K58 + Intereses_Residual_Mensual!L58, 2), "")</f>
        <v/>
      </c>
      <c r="M58" s="29">
        <f>IF(Intereses_Residual_Mensual!M58&gt;0, ROUND(L58 + Intereses_Residual_Mensual!M58, 2), "")</f>
        <v/>
      </c>
      <c r="N58" s="29">
        <f>IF(Intereses_Residual_Mensual!N58&gt;0, ROUND(M58 + Intereses_Residual_Mensual!N58, 2), "")</f>
        <v/>
      </c>
      <c r="O58" s="29">
        <f>IF(Intereses_Residual_Mensual!O58&gt;0, ROUND(N58 + Intereses_Residual_Mensual!O58, 2), "")</f>
        <v/>
      </c>
      <c r="P58" s="29">
        <f>IF(Intereses_Residual_Mensual!P58&gt;0, ROUND(O58 + Intereses_Residual_Mensual!P58, 2), "")</f>
        <v/>
      </c>
      <c r="Q58" s="29">
        <f>IF(Intereses_Residual_Mensual!Q58&gt;0, ROUND(P58 + Intereses_Residual_Mensual!Q58, 2), "")</f>
        <v/>
      </c>
      <c r="R58" s="29">
        <f>IF(Intereses_Residual_Mensual!R58&gt;0, ROUND(Q58 + Intereses_Residual_Mensual!R58, 2), "")</f>
        <v/>
      </c>
      <c r="S58" s="29">
        <f>IF(Intereses_Residual_Mensual!S58&gt;0, ROUND(R58 + Intereses_Residual_Mensual!S58, 2), "")</f>
        <v/>
      </c>
      <c r="T58" s="29">
        <f>IF(Intereses_Residual_Mensual!T58&gt;0, ROUND(S58 + Intereses_Residual_Mensual!T58, 2), "")</f>
        <v/>
      </c>
      <c r="U58" s="29">
        <f>MAX(I58:T58)</f>
        <v/>
      </c>
    </row>
    <row r="59">
      <c r="A59" s="20" t="inlineStr">
        <is>
          <t>0598-0001</t>
        </is>
      </c>
      <c r="B59" s="21" t="inlineStr">
        <is>
          <t>Digitracking Solution Sa de Cv</t>
        </is>
      </c>
      <c r="C59" s="21" t="inlineStr">
        <is>
          <t>Ram 700 Laramie</t>
        </is>
      </c>
      <c r="D59" s="20" t="inlineStr">
        <is>
          <t>ACTIVO</t>
        </is>
      </c>
      <c r="E59" s="20" t="inlineStr">
        <is>
          <t>2023-03-15</t>
        </is>
      </c>
      <c r="F59" s="20" t="inlineStr">
        <is>
          <t>2027-03-15</t>
        </is>
      </c>
      <c r="G59" s="22" t="n">
        <v>48</v>
      </c>
      <c r="H59" s="23" t="n">
        <v>69810.34</v>
      </c>
      <c r="I59" s="23">
        <f>IF(Intereses_Residual_Mensual!I59&gt;0, ROUND(44642.21 + Intereses_Residual_Mensual!I59, 2), "")</f>
        <v/>
      </c>
      <c r="J59" s="23">
        <f>IF(Intereses_Residual_Mensual!J59&gt;0, ROUND(I59 + Intereses_Residual_Mensual!J59, 2), "")</f>
        <v/>
      </c>
      <c r="K59" s="23">
        <f>IF(Intereses_Residual_Mensual!K59&gt;0, ROUND(J59 + Intereses_Residual_Mensual!K59, 2), "")</f>
        <v/>
      </c>
      <c r="L59" s="23">
        <f>IF(Intereses_Residual_Mensual!L59&gt;0, ROUND(K59 + Intereses_Residual_Mensual!L59, 2), "")</f>
        <v/>
      </c>
      <c r="M59" s="23">
        <f>IF(Intereses_Residual_Mensual!M59&gt;0, ROUND(L59 + Intereses_Residual_Mensual!M59, 2), "")</f>
        <v/>
      </c>
      <c r="N59" s="23">
        <f>IF(Intereses_Residual_Mensual!N59&gt;0, ROUND(M59 + Intereses_Residual_Mensual!N59, 2), "")</f>
        <v/>
      </c>
      <c r="O59" s="23">
        <f>IF(Intereses_Residual_Mensual!O59&gt;0, ROUND(N59 + Intereses_Residual_Mensual!O59, 2), "")</f>
        <v/>
      </c>
      <c r="P59" s="23">
        <f>IF(Intereses_Residual_Mensual!P59&gt;0, ROUND(O59 + Intereses_Residual_Mensual!P59, 2), "")</f>
        <v/>
      </c>
      <c r="Q59" s="23">
        <f>IF(Intereses_Residual_Mensual!Q59&gt;0, ROUND(P59 + Intereses_Residual_Mensual!Q59, 2), "")</f>
        <v/>
      </c>
      <c r="R59" s="23">
        <f>IF(Intereses_Residual_Mensual!R59&gt;0, ROUND(Q59 + Intereses_Residual_Mensual!R59, 2), "")</f>
        <v/>
      </c>
      <c r="S59" s="23">
        <f>IF(Intereses_Residual_Mensual!S59&gt;0, ROUND(R59 + Intereses_Residual_Mensual!S59, 2), "")</f>
        <v/>
      </c>
      <c r="T59" s="23">
        <f>IF(Intereses_Residual_Mensual!T59&gt;0, ROUND(S59 + Intereses_Residual_Mensual!T59, 2), "")</f>
        <v/>
      </c>
      <c r="U59" s="23">
        <f>MAX(I59:T59)</f>
        <v/>
      </c>
    </row>
    <row r="60">
      <c r="A60" s="26" t="inlineStr">
        <is>
          <t>0600-0001</t>
        </is>
      </c>
      <c r="B60" s="27" t="inlineStr">
        <is>
          <t>Dulce Marisol Gonzalez Cuevas</t>
        </is>
      </c>
      <c r="C60" s="27" t="inlineStr">
        <is>
          <t>Ram 700 Laramie</t>
        </is>
      </c>
      <c r="D60" s="26" t="inlineStr">
        <is>
          <t>ACTIVO</t>
        </is>
      </c>
      <c r="E60" s="26" t="inlineStr">
        <is>
          <t>2023-03-15</t>
        </is>
      </c>
      <c r="F60" s="26" t="inlineStr">
        <is>
          <t>2027-03-15</t>
        </is>
      </c>
      <c r="G60" s="28" t="n">
        <v>48</v>
      </c>
      <c r="H60" s="29" t="n">
        <v>34905.17</v>
      </c>
      <c r="I60" s="29">
        <f>IF(Intereses_Residual_Mensual!I60&gt;0, ROUND(22458.29 + Intereses_Residual_Mensual!I60, 2), "")</f>
        <v/>
      </c>
      <c r="J60" s="29">
        <f>IF(Intereses_Residual_Mensual!J60&gt;0, ROUND(I60 + Intereses_Residual_Mensual!J60, 2), "")</f>
        <v/>
      </c>
      <c r="K60" s="29">
        <f>IF(Intereses_Residual_Mensual!K60&gt;0, ROUND(J60 + Intereses_Residual_Mensual!K60, 2), "")</f>
        <v/>
      </c>
      <c r="L60" s="29">
        <f>IF(Intereses_Residual_Mensual!L60&gt;0, ROUND(K60 + Intereses_Residual_Mensual!L60, 2), "")</f>
        <v/>
      </c>
      <c r="M60" s="29">
        <f>IF(Intereses_Residual_Mensual!M60&gt;0, ROUND(L60 + Intereses_Residual_Mensual!M60, 2), "")</f>
        <v/>
      </c>
      <c r="N60" s="29">
        <f>IF(Intereses_Residual_Mensual!N60&gt;0, ROUND(M60 + Intereses_Residual_Mensual!N60, 2), "")</f>
        <v/>
      </c>
      <c r="O60" s="29">
        <f>IF(Intereses_Residual_Mensual!O60&gt;0, ROUND(N60 + Intereses_Residual_Mensual!O60, 2), "")</f>
        <v/>
      </c>
      <c r="P60" s="29">
        <f>IF(Intereses_Residual_Mensual!P60&gt;0, ROUND(O60 + Intereses_Residual_Mensual!P60, 2), "")</f>
        <v/>
      </c>
      <c r="Q60" s="29">
        <f>IF(Intereses_Residual_Mensual!Q60&gt;0, ROUND(P60 + Intereses_Residual_Mensual!Q60, 2), "")</f>
        <v/>
      </c>
      <c r="R60" s="29">
        <f>IF(Intereses_Residual_Mensual!R60&gt;0, ROUND(Q60 + Intereses_Residual_Mensual!R60, 2), "")</f>
        <v/>
      </c>
      <c r="S60" s="29">
        <f>IF(Intereses_Residual_Mensual!S60&gt;0, ROUND(R60 + Intereses_Residual_Mensual!S60, 2), "")</f>
        <v/>
      </c>
      <c r="T60" s="29">
        <f>IF(Intereses_Residual_Mensual!T60&gt;0, ROUND(S60 + Intereses_Residual_Mensual!T60, 2), "")</f>
        <v/>
      </c>
      <c r="U60" s="29">
        <f>MAX(I60:T60)</f>
        <v/>
      </c>
    </row>
    <row r="61">
      <c r="A61" s="20" t="inlineStr">
        <is>
          <t>0603-0002</t>
        </is>
      </c>
      <c r="B61" s="21" t="inlineStr">
        <is>
          <t>Mario Alberto Velasco Santana</t>
        </is>
      </c>
      <c r="C61" s="21" t="inlineStr">
        <is>
          <t>Outlander Sport</t>
        </is>
      </c>
      <c r="D61" s="20" t="inlineStr">
        <is>
          <t>ACTIVO</t>
        </is>
      </c>
      <c r="E61" s="20" t="inlineStr">
        <is>
          <t>2024-07-30</t>
        </is>
      </c>
      <c r="F61" s="20" t="inlineStr">
        <is>
          <t>2028-07-30</t>
        </is>
      </c>
      <c r="G61" s="22" t="n">
        <v>48</v>
      </c>
      <c r="H61" s="23" t="n">
        <v>78931.03</v>
      </c>
      <c r="I61" s="23">
        <f>IF(Intereses_Residual_Mensual!I61&gt;0, ROUND(30970.36 + Intereses_Residual_Mensual!I61, 2), "")</f>
        <v/>
      </c>
      <c r="J61" s="23">
        <f>IF(Intereses_Residual_Mensual!J61&gt;0, ROUND(I61 + Intereses_Residual_Mensual!J61, 2), "")</f>
        <v/>
      </c>
      <c r="K61" s="23">
        <f>IF(Intereses_Residual_Mensual!K61&gt;0, ROUND(J61 + Intereses_Residual_Mensual!K61, 2), "")</f>
        <v/>
      </c>
      <c r="L61" s="23">
        <f>IF(Intereses_Residual_Mensual!L61&gt;0, ROUND(K61 + Intereses_Residual_Mensual!L61, 2), "")</f>
        <v/>
      </c>
      <c r="M61" s="23">
        <f>IF(Intereses_Residual_Mensual!M61&gt;0, ROUND(L61 + Intereses_Residual_Mensual!M61, 2), "")</f>
        <v/>
      </c>
      <c r="N61" s="23">
        <f>IF(Intereses_Residual_Mensual!N61&gt;0, ROUND(M61 + Intereses_Residual_Mensual!N61, 2), "")</f>
        <v/>
      </c>
      <c r="O61" s="23">
        <f>IF(Intereses_Residual_Mensual!O61&gt;0, ROUND(N61 + Intereses_Residual_Mensual!O61, 2), "")</f>
        <v/>
      </c>
      <c r="P61" s="23">
        <f>IF(Intereses_Residual_Mensual!P61&gt;0, ROUND(O61 + Intereses_Residual_Mensual!P61, 2), "")</f>
        <v/>
      </c>
      <c r="Q61" s="23">
        <f>IF(Intereses_Residual_Mensual!Q61&gt;0, ROUND(P61 + Intereses_Residual_Mensual!Q61, 2), "")</f>
        <v/>
      </c>
      <c r="R61" s="23">
        <f>IF(Intereses_Residual_Mensual!R61&gt;0, ROUND(Q61 + Intereses_Residual_Mensual!R61, 2), "")</f>
        <v/>
      </c>
      <c r="S61" s="23">
        <f>IF(Intereses_Residual_Mensual!S61&gt;0, ROUND(R61 + Intereses_Residual_Mensual!S61, 2), "")</f>
        <v/>
      </c>
      <c r="T61" s="23">
        <f>IF(Intereses_Residual_Mensual!T61&gt;0, ROUND(S61 + Intereses_Residual_Mensual!T61, 2), "")</f>
        <v/>
      </c>
      <c r="U61" s="23">
        <f>MAX(I61:T61)</f>
        <v/>
      </c>
    </row>
    <row r="62">
      <c r="A62" s="26" t="inlineStr">
        <is>
          <t>0605-0001</t>
        </is>
      </c>
      <c r="B62" s="27" t="inlineStr">
        <is>
          <t>Nato Arquitectos Sa de Cv</t>
        </is>
      </c>
      <c r="C62" s="27" t="inlineStr">
        <is>
          <t>Compass High Altitude</t>
        </is>
      </c>
      <c r="D62" s="26" t="inlineStr">
        <is>
          <t>ACTIVO</t>
        </is>
      </c>
      <c r="E62" s="26" t="inlineStr">
        <is>
          <t>2023-03-23</t>
        </is>
      </c>
      <c r="F62" s="26" t="inlineStr">
        <is>
          <t>2027-03-23</t>
        </is>
      </c>
      <c r="G62" s="28" t="n">
        <v>48</v>
      </c>
      <c r="H62" s="29" t="n">
        <v>136189.66</v>
      </c>
      <c r="I62" s="29">
        <f>IF(Intereses_Residual_Mensual!I62&gt;0, ROUND(88010.95 + Intereses_Residual_Mensual!I62, 2), "")</f>
        <v/>
      </c>
      <c r="J62" s="29">
        <f>IF(Intereses_Residual_Mensual!J62&gt;0, ROUND(I62 + Intereses_Residual_Mensual!J62, 2), "")</f>
        <v/>
      </c>
      <c r="K62" s="29">
        <f>IF(Intereses_Residual_Mensual!K62&gt;0, ROUND(J62 + Intereses_Residual_Mensual!K62, 2), "")</f>
        <v/>
      </c>
      <c r="L62" s="29">
        <f>IF(Intereses_Residual_Mensual!L62&gt;0, ROUND(K62 + Intereses_Residual_Mensual!L62, 2), "")</f>
        <v/>
      </c>
      <c r="M62" s="29">
        <f>IF(Intereses_Residual_Mensual!M62&gt;0, ROUND(L62 + Intereses_Residual_Mensual!M62, 2), "")</f>
        <v/>
      </c>
      <c r="N62" s="29">
        <f>IF(Intereses_Residual_Mensual!N62&gt;0, ROUND(M62 + Intereses_Residual_Mensual!N62, 2), "")</f>
        <v/>
      </c>
      <c r="O62" s="29">
        <f>IF(Intereses_Residual_Mensual!O62&gt;0, ROUND(N62 + Intereses_Residual_Mensual!O62, 2), "")</f>
        <v/>
      </c>
      <c r="P62" s="29">
        <f>IF(Intereses_Residual_Mensual!P62&gt;0, ROUND(O62 + Intereses_Residual_Mensual!P62, 2), "")</f>
        <v/>
      </c>
      <c r="Q62" s="29">
        <f>IF(Intereses_Residual_Mensual!Q62&gt;0, ROUND(P62 + Intereses_Residual_Mensual!Q62, 2), "")</f>
        <v/>
      </c>
      <c r="R62" s="29">
        <f>IF(Intereses_Residual_Mensual!R62&gt;0, ROUND(Q62 + Intereses_Residual_Mensual!R62, 2), "")</f>
        <v/>
      </c>
      <c r="S62" s="29">
        <f>IF(Intereses_Residual_Mensual!S62&gt;0, ROUND(R62 + Intereses_Residual_Mensual!S62, 2), "")</f>
        <v/>
      </c>
      <c r="T62" s="29">
        <f>IF(Intereses_Residual_Mensual!T62&gt;0, ROUND(S62 + Intereses_Residual_Mensual!T62, 2), "")</f>
        <v/>
      </c>
      <c r="U62" s="29">
        <f>MAX(I62:T62)</f>
        <v/>
      </c>
    </row>
    <row r="63">
      <c r="A63" s="20" t="inlineStr">
        <is>
          <t>0605-0002</t>
        </is>
      </c>
      <c r="B63" s="21" t="inlineStr">
        <is>
          <t>Nato Arquitectos Sa de Cv</t>
        </is>
      </c>
      <c r="C63" s="21" t="inlineStr">
        <is>
          <t>Hilux Diesel</t>
        </is>
      </c>
      <c r="D63" s="20" t="inlineStr">
        <is>
          <t>ACTIVO</t>
        </is>
      </c>
      <c r="E63" s="20" t="inlineStr">
        <is>
          <t>2025-03-28</t>
        </is>
      </c>
      <c r="F63" s="20" t="inlineStr">
        <is>
          <t>2027-03-28</t>
        </is>
      </c>
      <c r="G63" s="22" t="n">
        <v>24</v>
      </c>
      <c r="H63" s="23" t="n">
        <v>42706.9</v>
      </c>
      <c r="I63" s="23">
        <f>IF(Intereses_Residual_Mensual!I63&gt;0, ROUND(28065.35 + Intereses_Residual_Mensual!I63, 2), "")</f>
        <v/>
      </c>
      <c r="J63" s="23">
        <f>IF(Intereses_Residual_Mensual!J63&gt;0, ROUND(I63 + Intereses_Residual_Mensual!J63, 2), "")</f>
        <v/>
      </c>
      <c r="K63" s="23">
        <f>IF(Intereses_Residual_Mensual!K63&gt;0, ROUND(J63 + Intereses_Residual_Mensual!K63, 2), "")</f>
        <v/>
      </c>
      <c r="L63" s="23">
        <f>IF(Intereses_Residual_Mensual!L63&gt;0, ROUND(K63 + Intereses_Residual_Mensual!L63, 2), "")</f>
        <v/>
      </c>
      <c r="M63" s="23">
        <f>IF(Intereses_Residual_Mensual!M63&gt;0, ROUND(L63 + Intereses_Residual_Mensual!M63, 2), "")</f>
        <v/>
      </c>
      <c r="N63" s="23">
        <f>IF(Intereses_Residual_Mensual!N63&gt;0, ROUND(M63 + Intereses_Residual_Mensual!N63, 2), "")</f>
        <v/>
      </c>
      <c r="O63" s="23">
        <f>IF(Intereses_Residual_Mensual!O63&gt;0, ROUND(N63 + Intereses_Residual_Mensual!O63, 2), "")</f>
        <v/>
      </c>
      <c r="P63" s="23">
        <f>IF(Intereses_Residual_Mensual!P63&gt;0, ROUND(O63 + Intereses_Residual_Mensual!P63, 2), "")</f>
        <v/>
      </c>
      <c r="Q63" s="23">
        <f>IF(Intereses_Residual_Mensual!Q63&gt;0, ROUND(P63 + Intereses_Residual_Mensual!Q63, 2), "")</f>
        <v/>
      </c>
      <c r="R63" s="23">
        <f>IF(Intereses_Residual_Mensual!R63&gt;0, ROUND(Q63 + Intereses_Residual_Mensual!R63, 2), "")</f>
        <v/>
      </c>
      <c r="S63" s="23">
        <f>IF(Intereses_Residual_Mensual!S63&gt;0, ROUND(R63 + Intereses_Residual_Mensual!S63, 2), "")</f>
        <v/>
      </c>
      <c r="T63" s="23">
        <f>IF(Intereses_Residual_Mensual!T63&gt;0, ROUND(S63 + Intereses_Residual_Mensual!T63, 2), "")</f>
        <v/>
      </c>
      <c r="U63" s="23">
        <f>MAX(I63:T63)</f>
        <v/>
      </c>
    </row>
    <row r="64">
      <c r="A64" s="26" t="inlineStr">
        <is>
          <t>0605-0003</t>
        </is>
      </c>
      <c r="B64" s="27" t="inlineStr">
        <is>
          <t>Nato Arquitectos Sa de Cv</t>
        </is>
      </c>
      <c r="C64" s="27" t="inlineStr">
        <is>
          <t>Ranger Crew Cab 4X4 XLT</t>
        </is>
      </c>
      <c r="D64" s="26" t="inlineStr">
        <is>
          <t>ACTIVO</t>
        </is>
      </c>
      <c r="E64" s="26" t="inlineStr">
        <is>
          <t>2026-01-08</t>
        </is>
      </c>
      <c r="F64" s="26" t="inlineStr">
        <is>
          <t>2028-01-08</t>
        </is>
      </c>
      <c r="G64" s="28" t="n">
        <v>24</v>
      </c>
      <c r="H64" s="29" t="n">
        <v>153431.03</v>
      </c>
      <c r="I64" s="29">
        <f>ROUND('Resumen_Cartera'!$U64 + Intereses_Residual_Mensual!I64, 2)</f>
        <v/>
      </c>
      <c r="J64" s="29">
        <f>IF(Intereses_Residual_Mensual!J64&gt;0, ROUND(I64 + Intereses_Residual_Mensual!J64, 2), "")</f>
        <v/>
      </c>
      <c r="K64" s="29">
        <f>IF(Intereses_Residual_Mensual!K64&gt;0, ROUND(J64 + Intereses_Residual_Mensual!K64, 2), "")</f>
        <v/>
      </c>
      <c r="L64" s="29">
        <f>IF(Intereses_Residual_Mensual!L64&gt;0, ROUND(K64 + Intereses_Residual_Mensual!L64, 2), "")</f>
        <v/>
      </c>
      <c r="M64" s="29">
        <f>IF(Intereses_Residual_Mensual!M64&gt;0, ROUND(L64 + Intereses_Residual_Mensual!M64, 2), "")</f>
        <v/>
      </c>
      <c r="N64" s="29">
        <f>IF(Intereses_Residual_Mensual!N64&gt;0, ROUND(M64 + Intereses_Residual_Mensual!N64, 2), "")</f>
        <v/>
      </c>
      <c r="O64" s="29">
        <f>IF(Intereses_Residual_Mensual!O64&gt;0, ROUND(N64 + Intereses_Residual_Mensual!O64, 2), "")</f>
        <v/>
      </c>
      <c r="P64" s="29">
        <f>IF(Intereses_Residual_Mensual!P64&gt;0, ROUND(O64 + Intereses_Residual_Mensual!P64, 2), "")</f>
        <v/>
      </c>
      <c r="Q64" s="29">
        <f>IF(Intereses_Residual_Mensual!Q64&gt;0, ROUND(P64 + Intereses_Residual_Mensual!Q64, 2), "")</f>
        <v/>
      </c>
      <c r="R64" s="29">
        <f>IF(Intereses_Residual_Mensual!R64&gt;0, ROUND(Q64 + Intereses_Residual_Mensual!R64, 2), "")</f>
        <v/>
      </c>
      <c r="S64" s="29">
        <f>IF(Intereses_Residual_Mensual!S64&gt;0, ROUND(R64 + Intereses_Residual_Mensual!S64, 2), "")</f>
        <v/>
      </c>
      <c r="T64" s="29">
        <f>IF(Intereses_Residual_Mensual!T64&gt;0, ROUND(S64 + Intereses_Residual_Mensual!T64, 2), "")</f>
        <v/>
      </c>
      <c r="U64" s="29">
        <f>MAX(I64:T64)</f>
        <v/>
      </c>
    </row>
    <row r="65">
      <c r="A65" s="20" t="inlineStr">
        <is>
          <t>0605-0004</t>
        </is>
      </c>
      <c r="B65" s="21" t="inlineStr">
        <is>
          <t>Nato Arquitectos Sa de Cv</t>
        </is>
      </c>
      <c r="C65" s="21" t="inlineStr">
        <is>
          <t>COLORADO DOBLE CABINA PAQ. "C"</t>
        </is>
      </c>
      <c r="D65" s="20" t="inlineStr">
        <is>
          <t>ACTIVO</t>
        </is>
      </c>
      <c r="E65" s="20" t="inlineStr">
        <is>
          <t>2026-01-08</t>
        </is>
      </c>
      <c r="F65" s="20" t="inlineStr">
        <is>
          <t>2028-01-08</t>
        </is>
      </c>
      <c r="G65" s="22" t="n">
        <v>24</v>
      </c>
      <c r="H65" s="23" t="n">
        <v>170672.41</v>
      </c>
      <c r="I65" s="23">
        <f>ROUND('Resumen_Cartera'!$U65 + Intereses_Residual_Mensual!I65, 2)</f>
        <v/>
      </c>
      <c r="J65" s="23">
        <f>IF(Intereses_Residual_Mensual!J65&gt;0, ROUND(I65 + Intereses_Residual_Mensual!J65, 2), "")</f>
        <v/>
      </c>
      <c r="K65" s="23">
        <f>IF(Intereses_Residual_Mensual!K65&gt;0, ROUND(J65 + Intereses_Residual_Mensual!K65, 2), "")</f>
        <v/>
      </c>
      <c r="L65" s="23">
        <f>IF(Intereses_Residual_Mensual!L65&gt;0, ROUND(K65 + Intereses_Residual_Mensual!L65, 2), "")</f>
        <v/>
      </c>
      <c r="M65" s="23">
        <f>IF(Intereses_Residual_Mensual!M65&gt;0, ROUND(L65 + Intereses_Residual_Mensual!M65, 2), "")</f>
        <v/>
      </c>
      <c r="N65" s="23">
        <f>IF(Intereses_Residual_Mensual!N65&gt;0, ROUND(M65 + Intereses_Residual_Mensual!N65, 2), "")</f>
        <v/>
      </c>
      <c r="O65" s="23">
        <f>IF(Intereses_Residual_Mensual!O65&gt;0, ROUND(N65 + Intereses_Residual_Mensual!O65, 2), "")</f>
        <v/>
      </c>
      <c r="P65" s="23">
        <f>IF(Intereses_Residual_Mensual!P65&gt;0, ROUND(O65 + Intereses_Residual_Mensual!P65, 2), "")</f>
        <v/>
      </c>
      <c r="Q65" s="23">
        <f>IF(Intereses_Residual_Mensual!Q65&gt;0, ROUND(P65 + Intereses_Residual_Mensual!Q65, 2), "")</f>
        <v/>
      </c>
      <c r="R65" s="23">
        <f>IF(Intereses_Residual_Mensual!R65&gt;0, ROUND(Q65 + Intereses_Residual_Mensual!R65, 2), "")</f>
        <v/>
      </c>
      <c r="S65" s="23">
        <f>IF(Intereses_Residual_Mensual!S65&gt;0, ROUND(R65 + Intereses_Residual_Mensual!S65, 2), "")</f>
        <v/>
      </c>
      <c r="T65" s="23">
        <f>IF(Intereses_Residual_Mensual!T65&gt;0, ROUND(S65 + Intereses_Residual_Mensual!T65, 2), "")</f>
        <v/>
      </c>
      <c r="U65" s="23">
        <f>MAX(I65:T65)</f>
        <v/>
      </c>
    </row>
    <row r="66">
      <c r="A66" s="26" t="inlineStr">
        <is>
          <t>0606-0002</t>
        </is>
      </c>
      <c r="B66" s="27" t="inlineStr">
        <is>
          <t>Mayoreo Automotriz ML S de Rl de CV</t>
        </is>
      </c>
      <c r="C66" s="27" t="inlineStr">
        <is>
          <t>Grand Cherokee 4xE</t>
        </is>
      </c>
      <c r="D66" s="26" t="inlineStr">
        <is>
          <t>ACTIVO</t>
        </is>
      </c>
      <c r="E66" s="26" t="inlineStr">
        <is>
          <t>2026-03-17</t>
        </is>
      </c>
      <c r="F66" s="26" t="inlineStr">
        <is>
          <t>2027-03-17</t>
        </is>
      </c>
      <c r="G66" s="28" t="n">
        <v>12</v>
      </c>
      <c r="H66" s="29" t="n">
        <v>27670.69</v>
      </c>
      <c r="I66" s="29" t="inlineStr"/>
      <c r="J66" s="29" t="inlineStr"/>
      <c r="K66" s="29">
        <f>ROUND('Resumen_Cartera'!$U66 + Intereses_Residual_Mensual!K66, 2)</f>
        <v/>
      </c>
      <c r="L66" s="29">
        <f>IF(Intereses_Residual_Mensual!L66&gt;0, ROUND(K66 + Intereses_Residual_Mensual!L66, 2), "")</f>
        <v/>
      </c>
      <c r="M66" s="29">
        <f>IF(Intereses_Residual_Mensual!M66&gt;0, ROUND(L66 + Intereses_Residual_Mensual!M66, 2), "")</f>
        <v/>
      </c>
      <c r="N66" s="29">
        <f>IF(Intereses_Residual_Mensual!N66&gt;0, ROUND(M66 + Intereses_Residual_Mensual!N66, 2), "")</f>
        <v/>
      </c>
      <c r="O66" s="29">
        <f>IF(Intereses_Residual_Mensual!O66&gt;0, ROUND(N66 + Intereses_Residual_Mensual!O66, 2), "")</f>
        <v/>
      </c>
      <c r="P66" s="29">
        <f>IF(Intereses_Residual_Mensual!P66&gt;0, ROUND(O66 + Intereses_Residual_Mensual!P66, 2), "")</f>
        <v/>
      </c>
      <c r="Q66" s="29">
        <f>IF(Intereses_Residual_Mensual!Q66&gt;0, ROUND(P66 + Intereses_Residual_Mensual!Q66, 2), "")</f>
        <v/>
      </c>
      <c r="R66" s="29">
        <f>IF(Intereses_Residual_Mensual!R66&gt;0, ROUND(Q66 + Intereses_Residual_Mensual!R66, 2), "")</f>
        <v/>
      </c>
      <c r="S66" s="29">
        <f>IF(Intereses_Residual_Mensual!S66&gt;0, ROUND(R66 + Intereses_Residual_Mensual!S66, 2), "")</f>
        <v/>
      </c>
      <c r="T66" s="29">
        <f>IF(Intereses_Residual_Mensual!T66&gt;0, ROUND(S66 + Intereses_Residual_Mensual!T66, 2), "")</f>
        <v/>
      </c>
      <c r="U66" s="29">
        <f>MAX(I66:T66)</f>
        <v/>
      </c>
    </row>
    <row r="67">
      <c r="A67" s="20" t="inlineStr">
        <is>
          <t>0607-0004</t>
        </is>
      </c>
      <c r="B67" s="21" t="inlineStr">
        <is>
          <t>Jose Guadalupe Dueñas Lomeli</t>
        </is>
      </c>
      <c r="C67" s="21" t="inlineStr">
        <is>
          <t>Rifter Allure Pack</t>
        </is>
      </c>
      <c r="D67" s="20" t="inlineStr">
        <is>
          <t>ACTIVO</t>
        </is>
      </c>
      <c r="E67" s="20" t="inlineStr">
        <is>
          <t>2025-12-08</t>
        </is>
      </c>
      <c r="F67" s="20" t="inlineStr">
        <is>
          <t>2029-12-08</t>
        </is>
      </c>
      <c r="G67" s="22" t="n">
        <v>48</v>
      </c>
      <c r="H67" s="23" t="n">
        <v>43094.83</v>
      </c>
      <c r="I67" s="23">
        <f>IF(Intereses_Residual_Mensual!I67&gt;0, ROUND(12362.24 + Intereses_Residual_Mensual!I67, 2), "")</f>
        <v/>
      </c>
      <c r="J67" s="23">
        <f>IF(Intereses_Residual_Mensual!J67&gt;0, ROUND(I67 + Intereses_Residual_Mensual!J67, 2), "")</f>
        <v/>
      </c>
      <c r="K67" s="23">
        <f>IF(Intereses_Residual_Mensual!K67&gt;0, ROUND(J67 + Intereses_Residual_Mensual!K67, 2), "")</f>
        <v/>
      </c>
      <c r="L67" s="23">
        <f>IF(Intereses_Residual_Mensual!L67&gt;0, ROUND(K67 + Intereses_Residual_Mensual!L67, 2), "")</f>
        <v/>
      </c>
      <c r="M67" s="23">
        <f>IF(Intereses_Residual_Mensual!M67&gt;0, ROUND(L67 + Intereses_Residual_Mensual!M67, 2), "")</f>
        <v/>
      </c>
      <c r="N67" s="23">
        <f>IF(Intereses_Residual_Mensual!N67&gt;0, ROUND(M67 + Intereses_Residual_Mensual!N67, 2), "")</f>
        <v/>
      </c>
      <c r="O67" s="23">
        <f>IF(Intereses_Residual_Mensual!O67&gt;0, ROUND(N67 + Intereses_Residual_Mensual!O67, 2), "")</f>
        <v/>
      </c>
      <c r="P67" s="23">
        <f>IF(Intereses_Residual_Mensual!P67&gt;0, ROUND(O67 + Intereses_Residual_Mensual!P67, 2), "")</f>
        <v/>
      </c>
      <c r="Q67" s="23">
        <f>IF(Intereses_Residual_Mensual!Q67&gt;0, ROUND(P67 + Intereses_Residual_Mensual!Q67, 2), "")</f>
        <v/>
      </c>
      <c r="R67" s="23">
        <f>IF(Intereses_Residual_Mensual!R67&gt;0, ROUND(Q67 + Intereses_Residual_Mensual!R67, 2), "")</f>
        <v/>
      </c>
      <c r="S67" s="23">
        <f>IF(Intereses_Residual_Mensual!S67&gt;0, ROUND(R67 + Intereses_Residual_Mensual!S67, 2), "")</f>
        <v/>
      </c>
      <c r="T67" s="23">
        <f>IF(Intereses_Residual_Mensual!T67&gt;0, ROUND(S67 + Intereses_Residual_Mensual!T67, 2), "")</f>
        <v/>
      </c>
      <c r="U67" s="23">
        <f>MAX(I67:T67)</f>
        <v/>
      </c>
    </row>
    <row r="68">
      <c r="A68" s="26" t="inlineStr">
        <is>
          <t>0607-0005</t>
        </is>
      </c>
      <c r="B68" s="27" t="inlineStr">
        <is>
          <t>Jose Guadalupe Dueñas Lomeli</t>
        </is>
      </c>
      <c r="C68" s="27" t="inlineStr">
        <is>
          <t>Durango Hellcat SRT</t>
        </is>
      </c>
      <c r="D68" s="26" t="inlineStr">
        <is>
          <t>ACTIVO</t>
        </is>
      </c>
      <c r="E68" s="26" t="inlineStr">
        <is>
          <t>2026-02-09</t>
        </is>
      </c>
      <c r="F68" s="26" t="inlineStr">
        <is>
          <t>2029-02-09</t>
        </is>
      </c>
      <c r="G68" s="28" t="n">
        <v>36</v>
      </c>
      <c r="H68" s="29" t="n">
        <v>374982.76</v>
      </c>
      <c r="I68" s="29" t="inlineStr"/>
      <c r="J68" s="29">
        <f>ROUND('Resumen_Cartera'!$U68 + Intereses_Residual_Mensual!J68, 2)</f>
        <v/>
      </c>
      <c r="K68" s="29">
        <f>IF(Intereses_Residual_Mensual!K68&gt;0, ROUND(J68 + Intereses_Residual_Mensual!K68, 2), "")</f>
        <v/>
      </c>
      <c r="L68" s="29">
        <f>IF(Intereses_Residual_Mensual!L68&gt;0, ROUND(K68 + Intereses_Residual_Mensual!L68, 2), "")</f>
        <v/>
      </c>
      <c r="M68" s="29">
        <f>IF(Intereses_Residual_Mensual!M68&gt;0, ROUND(L68 + Intereses_Residual_Mensual!M68, 2), "")</f>
        <v/>
      </c>
      <c r="N68" s="29">
        <f>IF(Intereses_Residual_Mensual!N68&gt;0, ROUND(M68 + Intereses_Residual_Mensual!N68, 2), "")</f>
        <v/>
      </c>
      <c r="O68" s="29">
        <f>IF(Intereses_Residual_Mensual!O68&gt;0, ROUND(N68 + Intereses_Residual_Mensual!O68, 2), "")</f>
        <v/>
      </c>
      <c r="P68" s="29">
        <f>IF(Intereses_Residual_Mensual!P68&gt;0, ROUND(O68 + Intereses_Residual_Mensual!P68, 2), "")</f>
        <v/>
      </c>
      <c r="Q68" s="29">
        <f>IF(Intereses_Residual_Mensual!Q68&gt;0, ROUND(P68 + Intereses_Residual_Mensual!Q68, 2), "")</f>
        <v/>
      </c>
      <c r="R68" s="29">
        <f>IF(Intereses_Residual_Mensual!R68&gt;0, ROUND(Q68 + Intereses_Residual_Mensual!R68, 2), "")</f>
        <v/>
      </c>
      <c r="S68" s="29">
        <f>IF(Intereses_Residual_Mensual!S68&gt;0, ROUND(R68 + Intereses_Residual_Mensual!S68, 2), "")</f>
        <v/>
      </c>
      <c r="T68" s="29">
        <f>IF(Intereses_Residual_Mensual!T68&gt;0, ROUND(S68 + Intereses_Residual_Mensual!T68, 2), "")</f>
        <v/>
      </c>
      <c r="U68" s="29">
        <f>MAX(I68:T68)</f>
        <v/>
      </c>
    </row>
    <row r="69">
      <c r="A69" s="20" t="inlineStr">
        <is>
          <t>0610-0003</t>
        </is>
      </c>
      <c r="B69" s="21" t="inlineStr">
        <is>
          <t>Minelaza</t>
        </is>
      </c>
      <c r="C69" s="21" t="inlineStr">
        <is>
          <t>Song Plus</t>
        </is>
      </c>
      <c r="D69" s="20" t="inlineStr">
        <is>
          <t>ACTIVO</t>
        </is>
      </c>
      <c r="E69" s="20" t="inlineStr">
        <is>
          <t>2026-04-15</t>
        </is>
      </c>
      <c r="F69" s="20" t="inlineStr">
        <is>
          <t>2029-04-15</t>
        </is>
      </c>
      <c r="G69" s="22" t="n">
        <v>36</v>
      </c>
      <c r="H69" s="23" t="n">
        <v>134275.86</v>
      </c>
      <c r="I69" s="23" t="inlineStr"/>
      <c r="J69" s="23" t="inlineStr"/>
      <c r="K69" s="23" t="inlineStr"/>
      <c r="L69" s="23">
        <f>ROUND('Resumen_Cartera'!$U69 + Intereses_Residual_Mensual!L69, 2)</f>
        <v/>
      </c>
      <c r="M69" s="23">
        <f>IF(Intereses_Residual_Mensual!M69&gt;0, ROUND(L69 + Intereses_Residual_Mensual!M69, 2), "")</f>
        <v/>
      </c>
      <c r="N69" s="23">
        <f>IF(Intereses_Residual_Mensual!N69&gt;0, ROUND(M69 + Intereses_Residual_Mensual!N69, 2), "")</f>
        <v/>
      </c>
      <c r="O69" s="23">
        <f>IF(Intereses_Residual_Mensual!O69&gt;0, ROUND(N69 + Intereses_Residual_Mensual!O69, 2), "")</f>
        <v/>
      </c>
      <c r="P69" s="23">
        <f>IF(Intereses_Residual_Mensual!P69&gt;0, ROUND(O69 + Intereses_Residual_Mensual!P69, 2), "")</f>
        <v/>
      </c>
      <c r="Q69" s="23">
        <f>IF(Intereses_Residual_Mensual!Q69&gt;0, ROUND(P69 + Intereses_Residual_Mensual!Q69, 2), "")</f>
        <v/>
      </c>
      <c r="R69" s="23">
        <f>IF(Intereses_Residual_Mensual!R69&gt;0, ROUND(Q69 + Intereses_Residual_Mensual!R69, 2), "")</f>
        <v/>
      </c>
      <c r="S69" s="23">
        <f>IF(Intereses_Residual_Mensual!S69&gt;0, ROUND(R69 + Intereses_Residual_Mensual!S69, 2), "")</f>
        <v/>
      </c>
      <c r="T69" s="23">
        <f>IF(Intereses_Residual_Mensual!T69&gt;0, ROUND(S69 + Intereses_Residual_Mensual!T69, 2), "")</f>
        <v/>
      </c>
      <c r="U69" s="23">
        <f>MAX(I69:T69)</f>
        <v/>
      </c>
    </row>
    <row r="70">
      <c r="A70" s="26" t="inlineStr">
        <is>
          <t>0612-0002</t>
        </is>
      </c>
      <c r="B70" s="27" t="inlineStr">
        <is>
          <t>Distribuidora Lopez Moctezuma Sa de Cv</t>
        </is>
      </c>
      <c r="C70" s="27" t="inlineStr">
        <is>
          <t>Ram 700 Tradesman</t>
        </is>
      </c>
      <c r="D70" s="26" t="inlineStr">
        <is>
          <t>ACTIVO</t>
        </is>
      </c>
      <c r="E70" s="26" t="inlineStr">
        <is>
          <t>2025-09-30</t>
        </is>
      </c>
      <c r="F70" s="26" t="inlineStr">
        <is>
          <t>2028-09-30</t>
        </is>
      </c>
      <c r="G70" s="28" t="n">
        <v>36</v>
      </c>
      <c r="H70" s="29" t="n">
        <v>58603.45</v>
      </c>
      <c r="I70" s="29">
        <f>IF(Intereses_Residual_Mensual!I70&gt;0, ROUND(25236.05 + Intereses_Residual_Mensual!I70, 2), "")</f>
        <v/>
      </c>
      <c r="J70" s="29">
        <f>IF(Intereses_Residual_Mensual!J70&gt;0, ROUND(I70 + Intereses_Residual_Mensual!J70, 2), "")</f>
        <v/>
      </c>
      <c r="K70" s="29">
        <f>IF(Intereses_Residual_Mensual!K70&gt;0, ROUND(J70 + Intereses_Residual_Mensual!K70, 2), "")</f>
        <v/>
      </c>
      <c r="L70" s="29">
        <f>IF(Intereses_Residual_Mensual!L70&gt;0, ROUND(K70 + Intereses_Residual_Mensual!L70, 2), "")</f>
        <v/>
      </c>
      <c r="M70" s="29">
        <f>IF(Intereses_Residual_Mensual!M70&gt;0, ROUND(L70 + Intereses_Residual_Mensual!M70, 2), "")</f>
        <v/>
      </c>
      <c r="N70" s="29">
        <f>IF(Intereses_Residual_Mensual!N70&gt;0, ROUND(M70 + Intereses_Residual_Mensual!N70, 2), "")</f>
        <v/>
      </c>
      <c r="O70" s="29">
        <f>IF(Intereses_Residual_Mensual!O70&gt;0, ROUND(N70 + Intereses_Residual_Mensual!O70, 2), "")</f>
        <v/>
      </c>
      <c r="P70" s="29">
        <f>IF(Intereses_Residual_Mensual!P70&gt;0, ROUND(O70 + Intereses_Residual_Mensual!P70, 2), "")</f>
        <v/>
      </c>
      <c r="Q70" s="29">
        <f>IF(Intereses_Residual_Mensual!Q70&gt;0, ROUND(P70 + Intereses_Residual_Mensual!Q70, 2), "")</f>
        <v/>
      </c>
      <c r="R70" s="29">
        <f>IF(Intereses_Residual_Mensual!R70&gt;0, ROUND(Q70 + Intereses_Residual_Mensual!R70, 2), "")</f>
        <v/>
      </c>
      <c r="S70" s="29">
        <f>IF(Intereses_Residual_Mensual!S70&gt;0, ROUND(R70 + Intereses_Residual_Mensual!S70, 2), "")</f>
        <v/>
      </c>
      <c r="T70" s="29">
        <f>IF(Intereses_Residual_Mensual!T70&gt;0, ROUND(S70 + Intereses_Residual_Mensual!T70, 2), "")</f>
        <v/>
      </c>
      <c r="U70" s="29">
        <f>MAX(I70:T70)</f>
        <v/>
      </c>
    </row>
    <row r="71">
      <c r="A71" s="20" t="inlineStr">
        <is>
          <t>0612-0003</t>
        </is>
      </c>
      <c r="B71" s="21" t="inlineStr">
        <is>
          <t>Distribuidora Lopez Moctezuma Sa de Cv</t>
        </is>
      </c>
      <c r="C71" s="21" t="inlineStr">
        <is>
          <t>Mitsubishi Xpander 2026</t>
        </is>
      </c>
      <c r="D71" s="20" t="inlineStr">
        <is>
          <t>ACTIVO</t>
        </is>
      </c>
      <c r="E71" s="20" t="inlineStr">
        <is>
          <t>2026-07-31</t>
        </is>
      </c>
      <c r="F71" s="20" t="inlineStr">
        <is>
          <t>2030-07-31</t>
        </is>
      </c>
      <c r="G71" s="22" t="n">
        <v>48</v>
      </c>
      <c r="H71" s="23" t="n">
        <v>39129.31</v>
      </c>
      <c r="I71" s="23" t="inlineStr"/>
      <c r="J71" s="23" t="inlineStr"/>
      <c r="K71" s="23" t="inlineStr"/>
      <c r="L71" s="23" t="inlineStr"/>
      <c r="M71" s="23" t="inlineStr"/>
      <c r="N71" s="23" t="inlineStr"/>
      <c r="O71" s="23">
        <f>ROUND('Resumen_Cartera'!$U71 + Intereses_Residual_Mensual!O71, 2)</f>
        <v/>
      </c>
      <c r="P71" s="23">
        <f>IF(Intereses_Residual_Mensual!P71&gt;0, ROUND(O71 + Intereses_Residual_Mensual!P71, 2), "")</f>
        <v/>
      </c>
      <c r="Q71" s="23">
        <f>IF(Intereses_Residual_Mensual!Q71&gt;0, ROUND(P71 + Intereses_Residual_Mensual!Q71, 2), "")</f>
        <v/>
      </c>
      <c r="R71" s="23">
        <f>IF(Intereses_Residual_Mensual!R71&gt;0, ROUND(Q71 + Intereses_Residual_Mensual!R71, 2), "")</f>
        <v/>
      </c>
      <c r="S71" s="23">
        <f>IF(Intereses_Residual_Mensual!S71&gt;0, ROUND(R71 + Intereses_Residual_Mensual!S71, 2), "")</f>
        <v/>
      </c>
      <c r="T71" s="23">
        <f>IF(Intereses_Residual_Mensual!T71&gt;0, ROUND(S71 + Intereses_Residual_Mensual!T71, 2), "")</f>
        <v/>
      </c>
      <c r="U71" s="23">
        <f>MAX(I71:T71)</f>
        <v/>
      </c>
    </row>
    <row r="72">
      <c r="A72" s="26" t="inlineStr">
        <is>
          <t>0616-0002</t>
        </is>
      </c>
      <c r="B72" s="27" t="inlineStr">
        <is>
          <t>Commerce and Technology Connection Sas de Cv</t>
        </is>
      </c>
      <c r="C72" s="27" t="inlineStr">
        <is>
          <t>RAM 700 BIG HORN</t>
        </is>
      </c>
      <c r="D72" s="26" t="inlineStr">
        <is>
          <t>ACTIVO</t>
        </is>
      </c>
      <c r="E72" s="26" t="inlineStr">
        <is>
          <t>2024-02-16</t>
        </is>
      </c>
      <c r="F72" s="26" t="inlineStr">
        <is>
          <t>2027-02-16</t>
        </is>
      </c>
      <c r="G72" s="28" t="n">
        <v>36</v>
      </c>
      <c r="H72" s="29" t="n">
        <v>63775.86</v>
      </c>
      <c r="I72" s="29">
        <f>IF(Intereses_Residual_Mensual!I72&gt;0, ROUND(41058.25 + Intereses_Residual_Mensual!I72, 2), "")</f>
        <v/>
      </c>
      <c r="J72" s="29">
        <f>IF(Intereses_Residual_Mensual!J72&gt;0, ROUND(I72 + Intereses_Residual_Mensual!J72, 2), "")</f>
        <v/>
      </c>
      <c r="K72" s="29">
        <f>IF(Intereses_Residual_Mensual!K72&gt;0, ROUND(J72 + Intereses_Residual_Mensual!K72, 2), "")</f>
        <v/>
      </c>
      <c r="L72" s="29">
        <f>IF(Intereses_Residual_Mensual!L72&gt;0, ROUND(K72 + Intereses_Residual_Mensual!L72, 2), "")</f>
        <v/>
      </c>
      <c r="M72" s="29">
        <f>IF(Intereses_Residual_Mensual!M72&gt;0, ROUND(L72 + Intereses_Residual_Mensual!M72, 2), "")</f>
        <v/>
      </c>
      <c r="N72" s="29">
        <f>IF(Intereses_Residual_Mensual!N72&gt;0, ROUND(M72 + Intereses_Residual_Mensual!N72, 2), "")</f>
        <v/>
      </c>
      <c r="O72" s="29">
        <f>IF(Intereses_Residual_Mensual!O72&gt;0, ROUND(N72 + Intereses_Residual_Mensual!O72, 2), "")</f>
        <v/>
      </c>
      <c r="P72" s="29">
        <f>IF(Intereses_Residual_Mensual!P72&gt;0, ROUND(O72 + Intereses_Residual_Mensual!P72, 2), "")</f>
        <v/>
      </c>
      <c r="Q72" s="29">
        <f>IF(Intereses_Residual_Mensual!Q72&gt;0, ROUND(P72 + Intereses_Residual_Mensual!Q72, 2), "")</f>
        <v/>
      </c>
      <c r="R72" s="29">
        <f>IF(Intereses_Residual_Mensual!R72&gt;0, ROUND(Q72 + Intereses_Residual_Mensual!R72, 2), "")</f>
        <v/>
      </c>
      <c r="S72" s="29">
        <f>IF(Intereses_Residual_Mensual!S72&gt;0, ROUND(R72 + Intereses_Residual_Mensual!S72, 2), "")</f>
        <v/>
      </c>
      <c r="T72" s="29">
        <f>IF(Intereses_Residual_Mensual!T72&gt;0, ROUND(S72 + Intereses_Residual_Mensual!T72, 2), "")</f>
        <v/>
      </c>
      <c r="U72" s="29">
        <f>MAX(I72:T72)</f>
        <v/>
      </c>
    </row>
    <row r="73">
      <c r="A73" s="20" t="inlineStr">
        <is>
          <t>0616-0003</t>
        </is>
      </c>
      <c r="B73" s="21" t="inlineStr">
        <is>
          <t>Commerce and Technology Connection Sas de Cv</t>
        </is>
      </c>
      <c r="C73" s="21" t="inlineStr">
        <is>
          <t>FASTBACK</t>
        </is>
      </c>
      <c r="D73" s="20" t="inlineStr">
        <is>
          <t>ACTIVO</t>
        </is>
      </c>
      <c r="E73" s="20" t="inlineStr">
        <is>
          <t>2024-02-23</t>
        </is>
      </c>
      <c r="F73" s="20" t="inlineStr">
        <is>
          <t>2027-02-23</t>
        </is>
      </c>
      <c r="G73" s="22" t="n">
        <v>36</v>
      </c>
      <c r="H73" s="23" t="n">
        <v>84327.59</v>
      </c>
      <c r="I73" s="23">
        <f>IF(Intereses_Residual_Mensual!I73&gt;0, ROUND(54315.53 + Intereses_Residual_Mensual!I73, 2), "")</f>
        <v/>
      </c>
      <c r="J73" s="23">
        <f>IF(Intereses_Residual_Mensual!J73&gt;0, ROUND(I73 + Intereses_Residual_Mensual!J73, 2), "")</f>
        <v/>
      </c>
      <c r="K73" s="23">
        <f>IF(Intereses_Residual_Mensual!K73&gt;0, ROUND(J73 + Intereses_Residual_Mensual!K73, 2), "")</f>
        <v/>
      </c>
      <c r="L73" s="23">
        <f>IF(Intereses_Residual_Mensual!L73&gt;0, ROUND(K73 + Intereses_Residual_Mensual!L73, 2), "")</f>
        <v/>
      </c>
      <c r="M73" s="23">
        <f>IF(Intereses_Residual_Mensual!M73&gt;0, ROUND(L73 + Intereses_Residual_Mensual!M73, 2), "")</f>
        <v/>
      </c>
      <c r="N73" s="23">
        <f>IF(Intereses_Residual_Mensual!N73&gt;0, ROUND(M73 + Intereses_Residual_Mensual!N73, 2), "")</f>
        <v/>
      </c>
      <c r="O73" s="23">
        <f>IF(Intereses_Residual_Mensual!O73&gt;0, ROUND(N73 + Intereses_Residual_Mensual!O73, 2), "")</f>
        <v/>
      </c>
      <c r="P73" s="23">
        <f>IF(Intereses_Residual_Mensual!P73&gt;0, ROUND(O73 + Intereses_Residual_Mensual!P73, 2), "")</f>
        <v/>
      </c>
      <c r="Q73" s="23">
        <f>IF(Intereses_Residual_Mensual!Q73&gt;0, ROUND(P73 + Intereses_Residual_Mensual!Q73, 2), "")</f>
        <v/>
      </c>
      <c r="R73" s="23">
        <f>IF(Intereses_Residual_Mensual!R73&gt;0, ROUND(Q73 + Intereses_Residual_Mensual!R73, 2), "")</f>
        <v/>
      </c>
      <c r="S73" s="23">
        <f>IF(Intereses_Residual_Mensual!S73&gt;0, ROUND(R73 + Intereses_Residual_Mensual!S73, 2), "")</f>
        <v/>
      </c>
      <c r="T73" s="23">
        <f>IF(Intereses_Residual_Mensual!T73&gt;0, ROUND(S73 + Intereses_Residual_Mensual!T73, 2), "")</f>
        <v/>
      </c>
      <c r="U73" s="23">
        <f>MAX(I73:T73)</f>
        <v/>
      </c>
    </row>
    <row r="74">
      <c r="A74" s="26" t="inlineStr">
        <is>
          <t>0616-0004</t>
        </is>
      </c>
      <c r="B74" s="27" t="inlineStr">
        <is>
          <t>Commerce and Technology Connections Sas de Cv</t>
        </is>
      </c>
      <c r="C74" s="27" t="inlineStr">
        <is>
          <t>Argo</t>
        </is>
      </c>
      <c r="D74" s="26" t="inlineStr">
        <is>
          <t>ACTIVO</t>
        </is>
      </c>
      <c r="E74" s="26" t="inlineStr">
        <is>
          <t>2024-05-20</t>
        </is>
      </c>
      <c r="F74" s="26" t="inlineStr">
        <is>
          <t>2027-05-20</t>
        </is>
      </c>
      <c r="G74" s="28" t="n">
        <v>36</v>
      </c>
      <c r="H74" s="29" t="n">
        <v>29741.38</v>
      </c>
      <c r="I74" s="29">
        <f>IF(Intereses_Residual_Mensual!I74&gt;0, ROUND(17131.24 + Intereses_Residual_Mensual!I74, 2), "")</f>
        <v/>
      </c>
      <c r="J74" s="29">
        <f>IF(Intereses_Residual_Mensual!J74&gt;0, ROUND(I74 + Intereses_Residual_Mensual!J74, 2), "")</f>
        <v/>
      </c>
      <c r="K74" s="29">
        <f>IF(Intereses_Residual_Mensual!K74&gt;0, ROUND(J74 + Intereses_Residual_Mensual!K74, 2), "")</f>
        <v/>
      </c>
      <c r="L74" s="29">
        <f>IF(Intereses_Residual_Mensual!L74&gt;0, ROUND(K74 + Intereses_Residual_Mensual!L74, 2), "")</f>
        <v/>
      </c>
      <c r="M74" s="29">
        <f>IF(Intereses_Residual_Mensual!M74&gt;0, ROUND(L74 + Intereses_Residual_Mensual!M74, 2), "")</f>
        <v/>
      </c>
      <c r="N74" s="29">
        <f>IF(Intereses_Residual_Mensual!N74&gt;0, ROUND(M74 + Intereses_Residual_Mensual!N74, 2), "")</f>
        <v/>
      </c>
      <c r="O74" s="29">
        <f>IF(Intereses_Residual_Mensual!O74&gt;0, ROUND(N74 + Intereses_Residual_Mensual!O74, 2), "")</f>
        <v/>
      </c>
      <c r="P74" s="29">
        <f>IF(Intereses_Residual_Mensual!P74&gt;0, ROUND(O74 + Intereses_Residual_Mensual!P74, 2), "")</f>
        <v/>
      </c>
      <c r="Q74" s="29">
        <f>IF(Intereses_Residual_Mensual!Q74&gt;0, ROUND(P74 + Intereses_Residual_Mensual!Q74, 2), "")</f>
        <v/>
      </c>
      <c r="R74" s="29">
        <f>IF(Intereses_Residual_Mensual!R74&gt;0, ROUND(Q74 + Intereses_Residual_Mensual!R74, 2), "")</f>
        <v/>
      </c>
      <c r="S74" s="29">
        <f>IF(Intereses_Residual_Mensual!S74&gt;0, ROUND(R74 + Intereses_Residual_Mensual!S74, 2), "")</f>
        <v/>
      </c>
      <c r="T74" s="29">
        <f>IF(Intereses_Residual_Mensual!T74&gt;0, ROUND(S74 + Intereses_Residual_Mensual!T74, 2), "")</f>
        <v/>
      </c>
      <c r="U74" s="29">
        <f>MAX(I74:T74)</f>
        <v/>
      </c>
    </row>
    <row r="75">
      <c r="A75" s="20" t="inlineStr">
        <is>
          <t>0616-0005</t>
        </is>
      </c>
      <c r="B75" s="21" t="inlineStr">
        <is>
          <t>Commerce and Technology Connection Sas de Cv</t>
        </is>
      </c>
      <c r="C75" s="21" t="inlineStr">
        <is>
          <t>Journey GT</t>
        </is>
      </c>
      <c r="D75" s="20" t="inlineStr">
        <is>
          <t>ACTIVO</t>
        </is>
      </c>
      <c r="E75" s="20" t="inlineStr">
        <is>
          <t>2024-07-30</t>
        </is>
      </c>
      <c r="F75" s="20" t="inlineStr">
        <is>
          <t>2027-07-30</t>
        </is>
      </c>
      <c r="G75" s="22" t="n">
        <v>36</v>
      </c>
      <c r="H75" s="23" t="n">
        <v>113431.03</v>
      </c>
      <c r="I75" s="23">
        <f>IF(Intereses_Residual_Mensual!I75&gt;0, ROUND(65076.6 + Intereses_Residual_Mensual!I75, 2), "")</f>
        <v/>
      </c>
      <c r="J75" s="23">
        <f>IF(Intereses_Residual_Mensual!J75&gt;0, ROUND(I75 + Intereses_Residual_Mensual!J75, 2), "")</f>
        <v/>
      </c>
      <c r="K75" s="23">
        <f>IF(Intereses_Residual_Mensual!K75&gt;0, ROUND(J75 + Intereses_Residual_Mensual!K75, 2), "")</f>
        <v/>
      </c>
      <c r="L75" s="23">
        <f>IF(Intereses_Residual_Mensual!L75&gt;0, ROUND(K75 + Intereses_Residual_Mensual!L75, 2), "")</f>
        <v/>
      </c>
      <c r="M75" s="23">
        <f>IF(Intereses_Residual_Mensual!M75&gt;0, ROUND(L75 + Intereses_Residual_Mensual!M75, 2), "")</f>
        <v/>
      </c>
      <c r="N75" s="23">
        <f>IF(Intereses_Residual_Mensual!N75&gt;0, ROUND(M75 + Intereses_Residual_Mensual!N75, 2), "")</f>
        <v/>
      </c>
      <c r="O75" s="23">
        <f>IF(Intereses_Residual_Mensual!O75&gt;0, ROUND(N75 + Intereses_Residual_Mensual!O75, 2), "")</f>
        <v/>
      </c>
      <c r="P75" s="23">
        <f>IF(Intereses_Residual_Mensual!P75&gt;0, ROUND(O75 + Intereses_Residual_Mensual!P75, 2), "")</f>
        <v/>
      </c>
      <c r="Q75" s="23">
        <f>IF(Intereses_Residual_Mensual!Q75&gt;0, ROUND(P75 + Intereses_Residual_Mensual!Q75, 2), "")</f>
        <v/>
      </c>
      <c r="R75" s="23">
        <f>IF(Intereses_Residual_Mensual!R75&gt;0, ROUND(Q75 + Intereses_Residual_Mensual!R75, 2), "")</f>
        <v/>
      </c>
      <c r="S75" s="23">
        <f>IF(Intereses_Residual_Mensual!S75&gt;0, ROUND(R75 + Intereses_Residual_Mensual!S75, 2), "")</f>
        <v/>
      </c>
      <c r="T75" s="23">
        <f>IF(Intereses_Residual_Mensual!T75&gt;0, ROUND(S75 + Intereses_Residual_Mensual!T75, 2), "")</f>
        <v/>
      </c>
      <c r="U75" s="23">
        <f>MAX(I75:T75)</f>
        <v/>
      </c>
    </row>
    <row r="76">
      <c r="A76" s="26" t="inlineStr">
        <is>
          <t>0618-0001</t>
        </is>
      </c>
      <c r="B76" s="27" t="inlineStr">
        <is>
          <t>Juan Pablo Rodriguez Garcia</t>
        </is>
      </c>
      <c r="C76" s="27" t="inlineStr">
        <is>
          <t>JT MOJAVE</t>
        </is>
      </c>
      <c r="D76" s="26" t="inlineStr">
        <is>
          <t>ACTIVO</t>
        </is>
      </c>
      <c r="E76" s="26" t="inlineStr">
        <is>
          <t>2023-06-16</t>
        </is>
      </c>
      <c r="F76" s="26" t="inlineStr">
        <is>
          <t>2027-06-16</t>
        </is>
      </c>
      <c r="G76" s="28" t="n">
        <v>48</v>
      </c>
      <c r="H76" s="29" t="n">
        <v>253086.21</v>
      </c>
      <c r="I76" s="29">
        <f>IF(Intereses_Residual_Mensual!I76&gt;0, ROUND(149028.92 + Intereses_Residual_Mensual!I76, 2), "")</f>
        <v/>
      </c>
      <c r="J76" s="29">
        <f>IF(Intereses_Residual_Mensual!J76&gt;0, ROUND(I76 + Intereses_Residual_Mensual!J76, 2), "")</f>
        <v/>
      </c>
      <c r="K76" s="29">
        <f>IF(Intereses_Residual_Mensual!K76&gt;0, ROUND(J76 + Intereses_Residual_Mensual!K76, 2), "")</f>
        <v/>
      </c>
      <c r="L76" s="29">
        <f>IF(Intereses_Residual_Mensual!L76&gt;0, ROUND(K76 + Intereses_Residual_Mensual!L76, 2), "")</f>
        <v/>
      </c>
      <c r="M76" s="29">
        <f>IF(Intereses_Residual_Mensual!M76&gt;0, ROUND(L76 + Intereses_Residual_Mensual!M76, 2), "")</f>
        <v/>
      </c>
      <c r="N76" s="29">
        <f>IF(Intereses_Residual_Mensual!N76&gt;0, ROUND(M76 + Intereses_Residual_Mensual!N76, 2), "")</f>
        <v/>
      </c>
      <c r="O76" s="29">
        <f>IF(Intereses_Residual_Mensual!O76&gt;0, ROUND(N76 + Intereses_Residual_Mensual!O76, 2), "")</f>
        <v/>
      </c>
      <c r="P76" s="29">
        <f>IF(Intereses_Residual_Mensual!P76&gt;0, ROUND(O76 + Intereses_Residual_Mensual!P76, 2), "")</f>
        <v/>
      </c>
      <c r="Q76" s="29">
        <f>IF(Intereses_Residual_Mensual!Q76&gt;0, ROUND(P76 + Intereses_Residual_Mensual!Q76, 2), "")</f>
        <v/>
      </c>
      <c r="R76" s="29">
        <f>IF(Intereses_Residual_Mensual!R76&gt;0, ROUND(Q76 + Intereses_Residual_Mensual!R76, 2), "")</f>
        <v/>
      </c>
      <c r="S76" s="29">
        <f>IF(Intereses_Residual_Mensual!S76&gt;0, ROUND(R76 + Intereses_Residual_Mensual!S76, 2), "")</f>
        <v/>
      </c>
      <c r="T76" s="29">
        <f>IF(Intereses_Residual_Mensual!T76&gt;0, ROUND(S76 + Intereses_Residual_Mensual!T76, 2), "")</f>
        <v/>
      </c>
      <c r="U76" s="29">
        <f>MAX(I76:T76)</f>
        <v/>
      </c>
    </row>
    <row r="77">
      <c r="A77" s="20" t="inlineStr">
        <is>
          <t>0619-0002</t>
        </is>
      </c>
      <c r="B77" s="21" t="inlineStr">
        <is>
          <t>Horacio de la Vega Flores</t>
        </is>
      </c>
      <c r="C77" s="21" t="inlineStr">
        <is>
          <t>Bronco Sport</t>
        </is>
      </c>
      <c r="D77" s="20" t="inlineStr">
        <is>
          <t>ACTIVO</t>
        </is>
      </c>
      <c r="E77" s="20" t="inlineStr">
        <is>
          <t>2025-09-11</t>
        </is>
      </c>
      <c r="F77" s="20" t="inlineStr">
        <is>
          <t>2028-09-11</t>
        </is>
      </c>
      <c r="G77" s="22" t="n">
        <v>36</v>
      </c>
      <c r="H77" s="23" t="n">
        <v>67241.38</v>
      </c>
      <c r="I77" s="23">
        <f>IF(Intereses_Residual_Mensual!I77&gt;0, ROUND(37499.83 + Intereses_Residual_Mensual!I77, 2), "")</f>
        <v/>
      </c>
      <c r="J77" s="23">
        <f>IF(Intereses_Residual_Mensual!J77&gt;0, ROUND(I77 + Intereses_Residual_Mensual!J77, 2), "")</f>
        <v/>
      </c>
      <c r="K77" s="23">
        <f>IF(Intereses_Residual_Mensual!K77&gt;0, ROUND(J77 + Intereses_Residual_Mensual!K77, 2), "")</f>
        <v/>
      </c>
      <c r="L77" s="23">
        <f>IF(Intereses_Residual_Mensual!L77&gt;0, ROUND(K77 + Intereses_Residual_Mensual!L77, 2), "")</f>
        <v/>
      </c>
      <c r="M77" s="23">
        <f>IF(Intereses_Residual_Mensual!M77&gt;0, ROUND(L77 + Intereses_Residual_Mensual!M77, 2), "")</f>
        <v/>
      </c>
      <c r="N77" s="23">
        <f>IF(Intereses_Residual_Mensual!N77&gt;0, ROUND(M77 + Intereses_Residual_Mensual!N77, 2), "")</f>
        <v/>
      </c>
      <c r="O77" s="23">
        <f>IF(Intereses_Residual_Mensual!O77&gt;0, ROUND(N77 + Intereses_Residual_Mensual!O77, 2), "")</f>
        <v/>
      </c>
      <c r="P77" s="23">
        <f>IF(Intereses_Residual_Mensual!P77&gt;0, ROUND(O77 + Intereses_Residual_Mensual!P77, 2), "")</f>
        <v/>
      </c>
      <c r="Q77" s="23">
        <f>IF(Intereses_Residual_Mensual!Q77&gt;0, ROUND(P77 + Intereses_Residual_Mensual!Q77, 2), "")</f>
        <v/>
      </c>
      <c r="R77" s="23">
        <f>IF(Intereses_Residual_Mensual!R77&gt;0, ROUND(Q77 + Intereses_Residual_Mensual!R77, 2), "")</f>
        <v/>
      </c>
      <c r="S77" s="23">
        <f>IF(Intereses_Residual_Mensual!S77&gt;0, ROUND(R77 + Intereses_Residual_Mensual!S77, 2), "")</f>
        <v/>
      </c>
      <c r="T77" s="23">
        <f>IF(Intereses_Residual_Mensual!T77&gt;0, ROUND(S77 + Intereses_Residual_Mensual!T77, 2), "")</f>
        <v/>
      </c>
      <c r="U77" s="23">
        <f>MAX(I77:T77)</f>
        <v/>
      </c>
    </row>
    <row r="78">
      <c r="A78" s="26" t="inlineStr">
        <is>
          <t>0620-0001</t>
        </is>
      </c>
      <c r="B78" s="27" t="inlineStr">
        <is>
          <t>Desarrollos Romo Srl de Cv</t>
        </is>
      </c>
      <c r="C78" s="27" t="inlineStr">
        <is>
          <t>RAM 700 BIG HORN</t>
        </is>
      </c>
      <c r="D78" s="26" t="inlineStr">
        <is>
          <t>ACTIVO</t>
        </is>
      </c>
      <c r="E78" s="26" t="inlineStr">
        <is>
          <t>2023-07-20</t>
        </is>
      </c>
      <c r="F78" s="26" t="inlineStr">
        <is>
          <t>2027-07-20</t>
        </is>
      </c>
      <c r="G78" s="28" t="n">
        <v>48</v>
      </c>
      <c r="H78" s="29" t="n">
        <v>62051.72</v>
      </c>
      <c r="I78" s="29">
        <f>IF(Intereses_Residual_Mensual!I78&gt;0, ROUND(33559.62 + Intereses_Residual_Mensual!I78, 2), "")</f>
        <v/>
      </c>
      <c r="J78" s="29">
        <f>IF(Intereses_Residual_Mensual!J78&gt;0, ROUND(I78 + Intereses_Residual_Mensual!J78, 2), "")</f>
        <v/>
      </c>
      <c r="K78" s="29">
        <f>IF(Intereses_Residual_Mensual!K78&gt;0, ROUND(J78 + Intereses_Residual_Mensual!K78, 2), "")</f>
        <v/>
      </c>
      <c r="L78" s="29">
        <f>IF(Intereses_Residual_Mensual!L78&gt;0, ROUND(K78 + Intereses_Residual_Mensual!L78, 2), "")</f>
        <v/>
      </c>
      <c r="M78" s="29">
        <f>IF(Intereses_Residual_Mensual!M78&gt;0, ROUND(L78 + Intereses_Residual_Mensual!M78, 2), "")</f>
        <v/>
      </c>
      <c r="N78" s="29">
        <f>IF(Intereses_Residual_Mensual!N78&gt;0, ROUND(M78 + Intereses_Residual_Mensual!N78, 2), "")</f>
        <v/>
      </c>
      <c r="O78" s="29">
        <f>IF(Intereses_Residual_Mensual!O78&gt;0, ROUND(N78 + Intereses_Residual_Mensual!O78, 2), "")</f>
        <v/>
      </c>
      <c r="P78" s="29">
        <f>IF(Intereses_Residual_Mensual!P78&gt;0, ROUND(O78 + Intereses_Residual_Mensual!P78, 2), "")</f>
        <v/>
      </c>
      <c r="Q78" s="29">
        <f>IF(Intereses_Residual_Mensual!Q78&gt;0, ROUND(P78 + Intereses_Residual_Mensual!Q78, 2), "")</f>
        <v/>
      </c>
      <c r="R78" s="29">
        <f>IF(Intereses_Residual_Mensual!R78&gt;0, ROUND(Q78 + Intereses_Residual_Mensual!R78, 2), "")</f>
        <v/>
      </c>
      <c r="S78" s="29">
        <f>IF(Intereses_Residual_Mensual!S78&gt;0, ROUND(R78 + Intereses_Residual_Mensual!S78, 2), "")</f>
        <v/>
      </c>
      <c r="T78" s="29">
        <f>IF(Intereses_Residual_Mensual!T78&gt;0, ROUND(S78 + Intereses_Residual_Mensual!T78, 2), "")</f>
        <v/>
      </c>
      <c r="U78" s="29">
        <f>MAX(I78:T78)</f>
        <v/>
      </c>
    </row>
    <row r="79">
      <c r="A79" s="20" t="inlineStr">
        <is>
          <t>0620-0002</t>
        </is>
      </c>
      <c r="B79" s="21" t="inlineStr">
        <is>
          <t>Desarrollos Romo Srl de Cv</t>
        </is>
      </c>
      <c r="C79" s="21" t="inlineStr">
        <is>
          <t>RAM 700 BIG HORN</t>
        </is>
      </c>
      <c r="D79" s="20" t="inlineStr">
        <is>
          <t>ACTIVO</t>
        </is>
      </c>
      <c r="E79" s="20" t="inlineStr">
        <is>
          <t>2023-07-20</t>
        </is>
      </c>
      <c r="F79" s="20" t="inlineStr">
        <is>
          <t>2027-07-20</t>
        </is>
      </c>
      <c r="G79" s="22" t="n">
        <v>48</v>
      </c>
      <c r="H79" s="23" t="n">
        <v>62051.72</v>
      </c>
      <c r="I79" s="23">
        <f>IF(Intereses_Residual_Mensual!I79&gt;0, ROUND(33559.62 + Intereses_Residual_Mensual!I79, 2), "")</f>
        <v/>
      </c>
      <c r="J79" s="23">
        <f>IF(Intereses_Residual_Mensual!J79&gt;0, ROUND(I79 + Intereses_Residual_Mensual!J79, 2), "")</f>
        <v/>
      </c>
      <c r="K79" s="23">
        <f>IF(Intereses_Residual_Mensual!K79&gt;0, ROUND(J79 + Intereses_Residual_Mensual!K79, 2), "")</f>
        <v/>
      </c>
      <c r="L79" s="23">
        <f>IF(Intereses_Residual_Mensual!L79&gt;0, ROUND(K79 + Intereses_Residual_Mensual!L79, 2), "")</f>
        <v/>
      </c>
      <c r="M79" s="23">
        <f>IF(Intereses_Residual_Mensual!M79&gt;0, ROUND(L79 + Intereses_Residual_Mensual!M79, 2), "")</f>
        <v/>
      </c>
      <c r="N79" s="23">
        <f>IF(Intereses_Residual_Mensual!N79&gt;0, ROUND(M79 + Intereses_Residual_Mensual!N79, 2), "")</f>
        <v/>
      </c>
      <c r="O79" s="23">
        <f>IF(Intereses_Residual_Mensual!O79&gt;0, ROUND(N79 + Intereses_Residual_Mensual!O79, 2), "")</f>
        <v/>
      </c>
      <c r="P79" s="23">
        <f>IF(Intereses_Residual_Mensual!P79&gt;0, ROUND(O79 + Intereses_Residual_Mensual!P79, 2), "")</f>
        <v/>
      </c>
      <c r="Q79" s="23">
        <f>IF(Intereses_Residual_Mensual!Q79&gt;0, ROUND(P79 + Intereses_Residual_Mensual!Q79, 2), "")</f>
        <v/>
      </c>
      <c r="R79" s="23">
        <f>IF(Intereses_Residual_Mensual!R79&gt;0, ROUND(Q79 + Intereses_Residual_Mensual!R79, 2), "")</f>
        <v/>
      </c>
      <c r="S79" s="23">
        <f>IF(Intereses_Residual_Mensual!S79&gt;0, ROUND(R79 + Intereses_Residual_Mensual!S79, 2), "")</f>
        <v/>
      </c>
      <c r="T79" s="23">
        <f>IF(Intereses_Residual_Mensual!T79&gt;0, ROUND(S79 + Intereses_Residual_Mensual!T79, 2), "")</f>
        <v/>
      </c>
      <c r="U79" s="23">
        <f>MAX(I79:T79)</f>
        <v/>
      </c>
    </row>
    <row r="80">
      <c r="A80" s="26" t="inlineStr">
        <is>
          <t>0621-0008</t>
        </is>
      </c>
      <c r="B80" s="27" t="inlineStr">
        <is>
          <t>Luis Alberto Ponce Ruiz</t>
        </is>
      </c>
      <c r="C80" s="27" t="inlineStr">
        <is>
          <t>Hilux</t>
        </is>
      </c>
      <c r="D80" s="26" t="inlineStr">
        <is>
          <t>ACTIVO</t>
        </is>
      </c>
      <c r="E80" s="26" t="inlineStr">
        <is>
          <t>2025-10-30</t>
        </is>
      </c>
      <c r="F80" s="26" t="inlineStr">
        <is>
          <t>2026-10-30</t>
        </is>
      </c>
      <c r="G80" s="28" t="n">
        <v>12</v>
      </c>
      <c r="H80" s="29" t="n">
        <v>42793.1</v>
      </c>
      <c r="I80" s="29">
        <f>IF(Intereses_Residual_Mensual!I80&gt;0, ROUND(34512.02 + Intereses_Residual_Mensual!I80, 2), "")</f>
        <v/>
      </c>
      <c r="J80" s="29">
        <f>IF(Intereses_Residual_Mensual!J80&gt;0, ROUND(I80 + Intereses_Residual_Mensual!J80, 2), "")</f>
        <v/>
      </c>
      <c r="K80" s="29">
        <f>IF(Intereses_Residual_Mensual!K80&gt;0, ROUND(J80 + Intereses_Residual_Mensual!K80, 2), "")</f>
        <v/>
      </c>
      <c r="L80" s="29">
        <f>IF(Intereses_Residual_Mensual!L80&gt;0, ROUND(K80 + Intereses_Residual_Mensual!L80, 2), "")</f>
        <v/>
      </c>
      <c r="M80" s="29">
        <f>IF(Intereses_Residual_Mensual!M80&gt;0, ROUND(L80 + Intereses_Residual_Mensual!M80, 2), "")</f>
        <v/>
      </c>
      <c r="N80" s="29">
        <f>IF(Intereses_Residual_Mensual!N80&gt;0, ROUND(M80 + Intereses_Residual_Mensual!N80, 2), "")</f>
        <v/>
      </c>
      <c r="O80" s="29">
        <f>IF(Intereses_Residual_Mensual!O80&gt;0, ROUND(N80 + Intereses_Residual_Mensual!O80, 2), "")</f>
        <v/>
      </c>
      <c r="P80" s="29">
        <f>IF(Intereses_Residual_Mensual!P80&gt;0, ROUND(O80 + Intereses_Residual_Mensual!P80, 2), "")</f>
        <v/>
      </c>
      <c r="Q80" s="29">
        <f>IF(Intereses_Residual_Mensual!Q80&gt;0, ROUND(P80 + Intereses_Residual_Mensual!Q80, 2), "")</f>
        <v/>
      </c>
      <c r="R80" s="29" t="inlineStr"/>
      <c r="S80" s="29" t="inlineStr"/>
      <c r="T80" s="29" t="inlineStr"/>
      <c r="U80" s="29">
        <f>MAX(I80:T80)</f>
        <v/>
      </c>
    </row>
    <row r="81">
      <c r="A81" s="20" t="inlineStr">
        <is>
          <t>0623-0001</t>
        </is>
      </c>
      <c r="B81" s="21" t="inlineStr">
        <is>
          <t>Seguridad y Automatismos Profesionales de Occidente S de SRL de Cv</t>
        </is>
      </c>
      <c r="C81" s="21" t="inlineStr">
        <is>
          <t>RAM 700 BIG HORN</t>
        </is>
      </c>
      <c r="D81" s="20" t="inlineStr">
        <is>
          <t>ACTIVO</t>
        </is>
      </c>
      <c r="E81" s="20" t="inlineStr">
        <is>
          <t>2023-07-31</t>
        </is>
      </c>
      <c r="F81" s="20" t="inlineStr">
        <is>
          <t>2027-07-31</t>
        </is>
      </c>
      <c r="G81" s="22" t="n">
        <v>48</v>
      </c>
      <c r="H81" s="23" t="n">
        <v>62913.79</v>
      </c>
      <c r="I81" s="23">
        <f>IF(Intereses_Residual_Mensual!I81&gt;0, ROUND(35428.26 + Intereses_Residual_Mensual!I81, 2), "")</f>
        <v/>
      </c>
      <c r="J81" s="23">
        <f>IF(Intereses_Residual_Mensual!J81&gt;0, ROUND(I81 + Intereses_Residual_Mensual!J81, 2), "")</f>
        <v/>
      </c>
      <c r="K81" s="23">
        <f>IF(Intereses_Residual_Mensual!K81&gt;0, ROUND(J81 + Intereses_Residual_Mensual!K81, 2), "")</f>
        <v/>
      </c>
      <c r="L81" s="23">
        <f>IF(Intereses_Residual_Mensual!L81&gt;0, ROUND(K81 + Intereses_Residual_Mensual!L81, 2), "")</f>
        <v/>
      </c>
      <c r="M81" s="23">
        <f>IF(Intereses_Residual_Mensual!M81&gt;0, ROUND(L81 + Intereses_Residual_Mensual!M81, 2), "")</f>
        <v/>
      </c>
      <c r="N81" s="23">
        <f>IF(Intereses_Residual_Mensual!N81&gt;0, ROUND(M81 + Intereses_Residual_Mensual!N81, 2), "")</f>
        <v/>
      </c>
      <c r="O81" s="23">
        <f>IF(Intereses_Residual_Mensual!O81&gt;0, ROUND(N81 + Intereses_Residual_Mensual!O81, 2), "")</f>
        <v/>
      </c>
      <c r="P81" s="23">
        <f>IF(Intereses_Residual_Mensual!P81&gt;0, ROUND(O81 + Intereses_Residual_Mensual!P81, 2), "")</f>
        <v/>
      </c>
      <c r="Q81" s="23">
        <f>IF(Intereses_Residual_Mensual!Q81&gt;0, ROUND(P81 + Intereses_Residual_Mensual!Q81, 2), "")</f>
        <v/>
      </c>
      <c r="R81" s="23">
        <f>IF(Intereses_Residual_Mensual!R81&gt;0, ROUND(Q81 + Intereses_Residual_Mensual!R81, 2), "")</f>
        <v/>
      </c>
      <c r="S81" s="23">
        <f>IF(Intereses_Residual_Mensual!S81&gt;0, ROUND(R81 + Intereses_Residual_Mensual!S81, 2), "")</f>
        <v/>
      </c>
      <c r="T81" s="23">
        <f>IF(Intereses_Residual_Mensual!T81&gt;0, ROUND(S81 + Intereses_Residual_Mensual!T81, 2), "")</f>
        <v/>
      </c>
      <c r="U81" s="23">
        <f>MAX(I81:T81)</f>
        <v/>
      </c>
    </row>
    <row r="82">
      <c r="A82" s="26" t="inlineStr">
        <is>
          <t>0626-0001</t>
        </is>
      </c>
      <c r="B82" s="27" t="inlineStr">
        <is>
          <t>Hugo Ceja Moreno</t>
        </is>
      </c>
      <c r="C82" s="27" t="inlineStr">
        <is>
          <t>JT MOJAVE</t>
        </is>
      </c>
      <c r="D82" s="26" t="inlineStr">
        <is>
          <t>ACTIVO</t>
        </is>
      </c>
      <c r="E82" s="26" t="inlineStr">
        <is>
          <t>2023-08-18</t>
        </is>
      </c>
      <c r="F82" s="26" t="inlineStr">
        <is>
          <t>2027-08-18</t>
        </is>
      </c>
      <c r="G82" s="28" t="n">
        <v>48</v>
      </c>
      <c r="H82" s="29" t="n">
        <v>99301.72</v>
      </c>
      <c r="I82" s="29">
        <f>IF(Intereses_Residual_Mensual!I82&gt;0, ROUND(54194.0 + Intereses_Residual_Mensual!I82, 2), "")</f>
        <v/>
      </c>
      <c r="J82" s="29">
        <f>IF(Intereses_Residual_Mensual!J82&gt;0, ROUND(I82 + Intereses_Residual_Mensual!J82, 2), "")</f>
        <v/>
      </c>
      <c r="K82" s="29">
        <f>IF(Intereses_Residual_Mensual!K82&gt;0, ROUND(J82 + Intereses_Residual_Mensual!K82, 2), "")</f>
        <v/>
      </c>
      <c r="L82" s="29">
        <f>IF(Intereses_Residual_Mensual!L82&gt;0, ROUND(K82 + Intereses_Residual_Mensual!L82, 2), "")</f>
        <v/>
      </c>
      <c r="M82" s="29">
        <f>IF(Intereses_Residual_Mensual!M82&gt;0, ROUND(L82 + Intereses_Residual_Mensual!M82, 2), "")</f>
        <v/>
      </c>
      <c r="N82" s="29">
        <f>IF(Intereses_Residual_Mensual!N82&gt;0, ROUND(M82 + Intereses_Residual_Mensual!N82, 2), "")</f>
        <v/>
      </c>
      <c r="O82" s="29">
        <f>IF(Intereses_Residual_Mensual!O82&gt;0, ROUND(N82 + Intereses_Residual_Mensual!O82, 2), "")</f>
        <v/>
      </c>
      <c r="P82" s="29">
        <f>IF(Intereses_Residual_Mensual!P82&gt;0, ROUND(O82 + Intereses_Residual_Mensual!P82, 2), "")</f>
        <v/>
      </c>
      <c r="Q82" s="29">
        <f>IF(Intereses_Residual_Mensual!Q82&gt;0, ROUND(P82 + Intereses_Residual_Mensual!Q82, 2), "")</f>
        <v/>
      </c>
      <c r="R82" s="29">
        <f>IF(Intereses_Residual_Mensual!R82&gt;0, ROUND(Q82 + Intereses_Residual_Mensual!R82, 2), "")</f>
        <v/>
      </c>
      <c r="S82" s="29">
        <f>IF(Intereses_Residual_Mensual!S82&gt;0, ROUND(R82 + Intereses_Residual_Mensual!S82, 2), "")</f>
        <v/>
      </c>
      <c r="T82" s="29">
        <f>IF(Intereses_Residual_Mensual!T82&gt;0, ROUND(S82 + Intereses_Residual_Mensual!T82, 2), "")</f>
        <v/>
      </c>
      <c r="U82" s="29">
        <f>MAX(I82:T82)</f>
        <v/>
      </c>
    </row>
    <row r="83">
      <c r="A83" s="20" t="inlineStr">
        <is>
          <t>0632-0004</t>
        </is>
      </c>
      <c r="B83" s="21" t="inlineStr">
        <is>
          <t>Art &amp; Sourcing Sa de Cv</t>
        </is>
      </c>
      <c r="C83" s="21" t="inlineStr">
        <is>
          <t>Ram 700 Tradesman</t>
        </is>
      </c>
      <c r="D83" s="20" t="inlineStr">
        <is>
          <t>ACTIVO</t>
        </is>
      </c>
      <c r="E83" s="20" t="inlineStr">
        <is>
          <t>2025-05-15</t>
        </is>
      </c>
      <c r="F83" s="20" t="inlineStr">
        <is>
          <t>2029-05-15</t>
        </is>
      </c>
      <c r="G83" s="22" t="n">
        <v>48</v>
      </c>
      <c r="H83" s="23" t="n">
        <v>31801.72</v>
      </c>
      <c r="I83" s="23">
        <f>IF(Intereses_Residual_Mensual!I83&gt;0, ROUND(10662.19 + Intereses_Residual_Mensual!I83, 2), "")</f>
        <v/>
      </c>
      <c r="J83" s="23">
        <f>IF(Intereses_Residual_Mensual!J83&gt;0, ROUND(I83 + Intereses_Residual_Mensual!J83, 2), "")</f>
        <v/>
      </c>
      <c r="K83" s="23">
        <f>IF(Intereses_Residual_Mensual!K83&gt;0, ROUND(J83 + Intereses_Residual_Mensual!K83, 2), "")</f>
        <v/>
      </c>
      <c r="L83" s="23">
        <f>IF(Intereses_Residual_Mensual!L83&gt;0, ROUND(K83 + Intereses_Residual_Mensual!L83, 2), "")</f>
        <v/>
      </c>
      <c r="M83" s="23">
        <f>IF(Intereses_Residual_Mensual!M83&gt;0, ROUND(L83 + Intereses_Residual_Mensual!M83, 2), "")</f>
        <v/>
      </c>
      <c r="N83" s="23">
        <f>IF(Intereses_Residual_Mensual!N83&gt;0, ROUND(M83 + Intereses_Residual_Mensual!N83, 2), "")</f>
        <v/>
      </c>
      <c r="O83" s="23">
        <f>IF(Intereses_Residual_Mensual!O83&gt;0, ROUND(N83 + Intereses_Residual_Mensual!O83, 2), "")</f>
        <v/>
      </c>
      <c r="P83" s="23">
        <f>IF(Intereses_Residual_Mensual!P83&gt;0, ROUND(O83 + Intereses_Residual_Mensual!P83, 2), "")</f>
        <v/>
      </c>
      <c r="Q83" s="23">
        <f>IF(Intereses_Residual_Mensual!Q83&gt;0, ROUND(P83 + Intereses_Residual_Mensual!Q83, 2), "")</f>
        <v/>
      </c>
      <c r="R83" s="23">
        <f>IF(Intereses_Residual_Mensual!R83&gt;0, ROUND(Q83 + Intereses_Residual_Mensual!R83, 2), "")</f>
        <v/>
      </c>
      <c r="S83" s="23">
        <f>IF(Intereses_Residual_Mensual!S83&gt;0, ROUND(R83 + Intereses_Residual_Mensual!S83, 2), "")</f>
        <v/>
      </c>
      <c r="T83" s="23">
        <f>IF(Intereses_Residual_Mensual!T83&gt;0, ROUND(S83 + Intereses_Residual_Mensual!T83, 2), "")</f>
        <v/>
      </c>
      <c r="U83" s="23">
        <f>MAX(I83:T83)</f>
        <v/>
      </c>
    </row>
    <row r="84">
      <c r="A84" s="26" t="inlineStr">
        <is>
          <t>0632-0005</t>
        </is>
      </c>
      <c r="B84" s="27" t="inlineStr">
        <is>
          <t>Art &amp; Sourcing Sa de Cv</t>
        </is>
      </c>
      <c r="C84" s="27" t="inlineStr">
        <is>
          <t>Ram 700</t>
        </is>
      </c>
      <c r="D84" s="26" t="inlineStr">
        <is>
          <t>ACTIVO</t>
        </is>
      </c>
      <c r="E84" s="26" t="inlineStr">
        <is>
          <t>2025-11-25</t>
        </is>
      </c>
      <c r="F84" s="26" t="inlineStr">
        <is>
          <t>2027-11-25</t>
        </is>
      </c>
      <c r="G84" s="28" t="n">
        <v>24</v>
      </c>
      <c r="H84" s="29" t="n">
        <v>61189.66</v>
      </c>
      <c r="I84" s="29">
        <f>IF(Intereses_Residual_Mensual!I84&gt;0, ROUND(34704.82 + Intereses_Residual_Mensual!I84, 2), "")</f>
        <v/>
      </c>
      <c r="J84" s="29">
        <f>IF(Intereses_Residual_Mensual!J84&gt;0, ROUND(I84 + Intereses_Residual_Mensual!J84, 2), "")</f>
        <v/>
      </c>
      <c r="K84" s="29">
        <f>IF(Intereses_Residual_Mensual!K84&gt;0, ROUND(J84 + Intereses_Residual_Mensual!K84, 2), "")</f>
        <v/>
      </c>
      <c r="L84" s="29">
        <f>IF(Intereses_Residual_Mensual!L84&gt;0, ROUND(K84 + Intereses_Residual_Mensual!L84, 2), "")</f>
        <v/>
      </c>
      <c r="M84" s="29">
        <f>IF(Intereses_Residual_Mensual!M84&gt;0, ROUND(L84 + Intereses_Residual_Mensual!M84, 2), "")</f>
        <v/>
      </c>
      <c r="N84" s="29">
        <f>IF(Intereses_Residual_Mensual!N84&gt;0, ROUND(M84 + Intereses_Residual_Mensual!N84, 2), "")</f>
        <v/>
      </c>
      <c r="O84" s="29">
        <f>IF(Intereses_Residual_Mensual!O84&gt;0, ROUND(N84 + Intereses_Residual_Mensual!O84, 2), "")</f>
        <v/>
      </c>
      <c r="P84" s="29">
        <f>IF(Intereses_Residual_Mensual!P84&gt;0, ROUND(O84 + Intereses_Residual_Mensual!P84, 2), "")</f>
        <v/>
      </c>
      <c r="Q84" s="29">
        <f>IF(Intereses_Residual_Mensual!Q84&gt;0, ROUND(P84 + Intereses_Residual_Mensual!Q84, 2), "")</f>
        <v/>
      </c>
      <c r="R84" s="29">
        <f>IF(Intereses_Residual_Mensual!R84&gt;0, ROUND(Q84 + Intereses_Residual_Mensual!R84, 2), "")</f>
        <v/>
      </c>
      <c r="S84" s="29">
        <f>IF(Intereses_Residual_Mensual!S84&gt;0, ROUND(R84 + Intereses_Residual_Mensual!S84, 2), "")</f>
        <v/>
      </c>
      <c r="T84" s="29">
        <f>IF(Intereses_Residual_Mensual!T84&gt;0, ROUND(S84 + Intereses_Residual_Mensual!T84, 2), "")</f>
        <v/>
      </c>
      <c r="U84" s="29">
        <f>MAX(I84:T84)</f>
        <v/>
      </c>
    </row>
    <row r="85">
      <c r="A85" s="20" t="inlineStr">
        <is>
          <t>0632-0006</t>
        </is>
      </c>
      <c r="B85" s="21" t="inlineStr">
        <is>
          <t>Art &amp; Sourcing Sa de Cv</t>
        </is>
      </c>
      <c r="C85" s="21" t="inlineStr">
        <is>
          <t>Mirage</t>
        </is>
      </c>
      <c r="D85" s="20" t="inlineStr">
        <is>
          <t>ACTIVO</t>
        </is>
      </c>
      <c r="E85" s="20" t="inlineStr">
        <is>
          <t>2025-11-25</t>
        </is>
      </c>
      <c r="F85" s="20" t="inlineStr">
        <is>
          <t>2027-11-25</t>
        </is>
      </c>
      <c r="G85" s="22" t="n">
        <v>24</v>
      </c>
      <c r="H85" s="23" t="n">
        <v>51638.28</v>
      </c>
      <c r="I85" s="23">
        <f>IF(Intereses_Residual_Mensual!I85&gt;0, ROUND(29326.06 + Intereses_Residual_Mensual!I85, 2), "")</f>
        <v/>
      </c>
      <c r="J85" s="23">
        <f>IF(Intereses_Residual_Mensual!J85&gt;0, ROUND(I85 + Intereses_Residual_Mensual!J85, 2), "")</f>
        <v/>
      </c>
      <c r="K85" s="23">
        <f>IF(Intereses_Residual_Mensual!K85&gt;0, ROUND(J85 + Intereses_Residual_Mensual!K85, 2), "")</f>
        <v/>
      </c>
      <c r="L85" s="23">
        <f>IF(Intereses_Residual_Mensual!L85&gt;0, ROUND(K85 + Intereses_Residual_Mensual!L85, 2), "")</f>
        <v/>
      </c>
      <c r="M85" s="23">
        <f>IF(Intereses_Residual_Mensual!M85&gt;0, ROUND(L85 + Intereses_Residual_Mensual!M85, 2), "")</f>
        <v/>
      </c>
      <c r="N85" s="23">
        <f>IF(Intereses_Residual_Mensual!N85&gt;0, ROUND(M85 + Intereses_Residual_Mensual!N85, 2), "")</f>
        <v/>
      </c>
      <c r="O85" s="23">
        <f>IF(Intereses_Residual_Mensual!O85&gt;0, ROUND(N85 + Intereses_Residual_Mensual!O85, 2), "")</f>
        <v/>
      </c>
      <c r="P85" s="23">
        <f>IF(Intereses_Residual_Mensual!P85&gt;0, ROUND(O85 + Intereses_Residual_Mensual!P85, 2), "")</f>
        <v/>
      </c>
      <c r="Q85" s="23">
        <f>IF(Intereses_Residual_Mensual!Q85&gt;0, ROUND(P85 + Intereses_Residual_Mensual!Q85, 2), "")</f>
        <v/>
      </c>
      <c r="R85" s="23">
        <f>IF(Intereses_Residual_Mensual!R85&gt;0, ROUND(Q85 + Intereses_Residual_Mensual!R85, 2), "")</f>
        <v/>
      </c>
      <c r="S85" s="23">
        <f>IF(Intereses_Residual_Mensual!S85&gt;0, ROUND(R85 + Intereses_Residual_Mensual!S85, 2), "")</f>
        <v/>
      </c>
      <c r="T85" s="23">
        <f>IF(Intereses_Residual_Mensual!T85&gt;0, ROUND(S85 + Intereses_Residual_Mensual!T85, 2), "")</f>
        <v/>
      </c>
      <c r="U85" s="23">
        <f>MAX(I85:T85)</f>
        <v/>
      </c>
    </row>
    <row r="86">
      <c r="A86" s="26" t="inlineStr">
        <is>
          <t>0632-0007</t>
        </is>
      </c>
      <c r="B86" s="27" t="inlineStr">
        <is>
          <t>Art &amp; Sourcing Sa de Cv</t>
        </is>
      </c>
      <c r="C86" s="27" t="inlineStr">
        <is>
          <t>JAC Camión X350 2026</t>
        </is>
      </c>
      <c r="D86" s="26" t="inlineStr">
        <is>
          <t>ACTIVO</t>
        </is>
      </c>
      <c r="E86" s="26" t="inlineStr">
        <is>
          <t>2026-08-24</t>
        </is>
      </c>
      <c r="F86" s="26" t="inlineStr">
        <is>
          <t>2028-08-24</t>
        </is>
      </c>
      <c r="G86" s="28" t="n">
        <v>24</v>
      </c>
      <c r="H86" s="29" t="n">
        <v>104310.34</v>
      </c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>
        <f>ROUND('Resumen_Cartera'!$U86 + Intereses_Residual_Mensual!P86, 2)</f>
        <v/>
      </c>
      <c r="Q86" s="29">
        <f>IF(Intereses_Residual_Mensual!Q86&gt;0, ROUND(P86 + Intereses_Residual_Mensual!Q86, 2), "")</f>
        <v/>
      </c>
      <c r="R86" s="29">
        <f>IF(Intereses_Residual_Mensual!R86&gt;0, ROUND(Q86 + Intereses_Residual_Mensual!R86, 2), "")</f>
        <v/>
      </c>
      <c r="S86" s="29">
        <f>IF(Intereses_Residual_Mensual!S86&gt;0, ROUND(R86 + Intereses_Residual_Mensual!S86, 2), "")</f>
        <v/>
      </c>
      <c r="T86" s="29">
        <f>IF(Intereses_Residual_Mensual!T86&gt;0, ROUND(S86 + Intereses_Residual_Mensual!T86, 2), "")</f>
        <v/>
      </c>
      <c r="U86" s="29">
        <f>MAX(I86:T86)</f>
        <v/>
      </c>
    </row>
    <row r="87">
      <c r="A87" s="20" t="inlineStr">
        <is>
          <t>0634-0001</t>
        </is>
      </c>
      <c r="B87" s="21" t="inlineStr">
        <is>
          <t>Jose de Jesus Vergara Rivera</t>
        </is>
      </c>
      <c r="C87" s="21" t="inlineStr">
        <is>
          <t>NP 300 Chasis Cabina TDI</t>
        </is>
      </c>
      <c r="D87" s="20" t="inlineStr">
        <is>
          <t>ACTIVO</t>
        </is>
      </c>
      <c r="E87" s="20" t="inlineStr">
        <is>
          <t>2023-09-28</t>
        </is>
      </c>
      <c r="F87" s="20" t="inlineStr">
        <is>
          <t>2027-09-28</t>
        </is>
      </c>
      <c r="G87" s="22" t="n">
        <v>48</v>
      </c>
      <c r="H87" s="23" t="n">
        <v>76706.89999999999</v>
      </c>
      <c r="I87" s="23">
        <f>IF(Intereses_Residual_Mensual!I87&gt;0, ROUND(41126.7 + Intereses_Residual_Mensual!I87, 2), "")</f>
        <v/>
      </c>
      <c r="J87" s="23">
        <f>IF(Intereses_Residual_Mensual!J87&gt;0, ROUND(I87 + Intereses_Residual_Mensual!J87, 2), "")</f>
        <v/>
      </c>
      <c r="K87" s="23">
        <f>IF(Intereses_Residual_Mensual!K87&gt;0, ROUND(J87 + Intereses_Residual_Mensual!K87, 2), "")</f>
        <v/>
      </c>
      <c r="L87" s="23">
        <f>IF(Intereses_Residual_Mensual!L87&gt;0, ROUND(K87 + Intereses_Residual_Mensual!L87, 2), "")</f>
        <v/>
      </c>
      <c r="M87" s="23">
        <f>IF(Intereses_Residual_Mensual!M87&gt;0, ROUND(L87 + Intereses_Residual_Mensual!M87, 2), "")</f>
        <v/>
      </c>
      <c r="N87" s="23">
        <f>IF(Intereses_Residual_Mensual!N87&gt;0, ROUND(M87 + Intereses_Residual_Mensual!N87, 2), "")</f>
        <v/>
      </c>
      <c r="O87" s="23">
        <f>IF(Intereses_Residual_Mensual!O87&gt;0, ROUND(N87 + Intereses_Residual_Mensual!O87, 2), "")</f>
        <v/>
      </c>
      <c r="P87" s="23">
        <f>IF(Intereses_Residual_Mensual!P87&gt;0, ROUND(O87 + Intereses_Residual_Mensual!P87, 2), "")</f>
        <v/>
      </c>
      <c r="Q87" s="23">
        <f>IF(Intereses_Residual_Mensual!Q87&gt;0, ROUND(P87 + Intereses_Residual_Mensual!Q87, 2), "")</f>
        <v/>
      </c>
      <c r="R87" s="23">
        <f>IF(Intereses_Residual_Mensual!R87&gt;0, ROUND(Q87 + Intereses_Residual_Mensual!R87, 2), "")</f>
        <v/>
      </c>
      <c r="S87" s="23">
        <f>IF(Intereses_Residual_Mensual!S87&gt;0, ROUND(R87 + Intereses_Residual_Mensual!S87, 2), "")</f>
        <v/>
      </c>
      <c r="T87" s="23">
        <f>IF(Intereses_Residual_Mensual!T87&gt;0, ROUND(S87 + Intereses_Residual_Mensual!T87, 2), "")</f>
        <v/>
      </c>
      <c r="U87" s="23">
        <f>MAX(I87:T87)</f>
        <v/>
      </c>
    </row>
    <row r="88">
      <c r="A88" s="26" t="inlineStr">
        <is>
          <t>0634-0002</t>
        </is>
      </c>
      <c r="B88" s="27" t="inlineStr">
        <is>
          <t>Jose de Jesus Vergara Rivera</t>
        </is>
      </c>
      <c r="C88" s="27" t="inlineStr">
        <is>
          <t>700 Tradesman</t>
        </is>
      </c>
      <c r="D88" s="26" t="inlineStr">
        <is>
          <t>ACTIVO</t>
        </is>
      </c>
      <c r="E88" s="26" t="inlineStr">
        <is>
          <t>2025-10-09</t>
        </is>
      </c>
      <c r="F88" s="26" t="inlineStr">
        <is>
          <t>2029-10-09</t>
        </is>
      </c>
      <c r="G88" s="28" t="n">
        <v>48</v>
      </c>
      <c r="H88" s="29" t="n">
        <v>66362.07000000001</v>
      </c>
      <c r="I88" s="29">
        <f>IF(Intereses_Residual_Mensual!I88&gt;0, ROUND(18855.01 + Intereses_Residual_Mensual!I88, 2), "")</f>
        <v/>
      </c>
      <c r="J88" s="29">
        <f>IF(Intereses_Residual_Mensual!J88&gt;0, ROUND(I88 + Intereses_Residual_Mensual!J88, 2), "")</f>
        <v/>
      </c>
      <c r="K88" s="29">
        <f>IF(Intereses_Residual_Mensual!K88&gt;0, ROUND(J88 + Intereses_Residual_Mensual!K88, 2), "")</f>
        <v/>
      </c>
      <c r="L88" s="29">
        <f>IF(Intereses_Residual_Mensual!L88&gt;0, ROUND(K88 + Intereses_Residual_Mensual!L88, 2), "")</f>
        <v/>
      </c>
      <c r="M88" s="29">
        <f>IF(Intereses_Residual_Mensual!M88&gt;0, ROUND(L88 + Intereses_Residual_Mensual!M88, 2), "")</f>
        <v/>
      </c>
      <c r="N88" s="29">
        <f>IF(Intereses_Residual_Mensual!N88&gt;0, ROUND(M88 + Intereses_Residual_Mensual!N88, 2), "")</f>
        <v/>
      </c>
      <c r="O88" s="29">
        <f>IF(Intereses_Residual_Mensual!O88&gt;0, ROUND(N88 + Intereses_Residual_Mensual!O88, 2), "")</f>
        <v/>
      </c>
      <c r="P88" s="29">
        <f>IF(Intereses_Residual_Mensual!P88&gt;0, ROUND(O88 + Intereses_Residual_Mensual!P88, 2), "")</f>
        <v/>
      </c>
      <c r="Q88" s="29">
        <f>IF(Intereses_Residual_Mensual!Q88&gt;0, ROUND(P88 + Intereses_Residual_Mensual!Q88, 2), "")</f>
        <v/>
      </c>
      <c r="R88" s="29">
        <f>IF(Intereses_Residual_Mensual!R88&gt;0, ROUND(Q88 + Intereses_Residual_Mensual!R88, 2), "")</f>
        <v/>
      </c>
      <c r="S88" s="29">
        <f>IF(Intereses_Residual_Mensual!S88&gt;0, ROUND(R88 + Intereses_Residual_Mensual!S88, 2), "")</f>
        <v/>
      </c>
      <c r="T88" s="29">
        <f>IF(Intereses_Residual_Mensual!T88&gt;0, ROUND(S88 + Intereses_Residual_Mensual!T88, 2), "")</f>
        <v/>
      </c>
      <c r="U88" s="29">
        <f>MAX(I88:T88)</f>
        <v/>
      </c>
    </row>
    <row r="89">
      <c r="A89" s="20" t="inlineStr">
        <is>
          <t>0635-0003</t>
        </is>
      </c>
      <c r="B89" s="21" t="inlineStr">
        <is>
          <t>Ankara Food Services Sa de CV</t>
        </is>
      </c>
      <c r="C89" s="21" t="inlineStr">
        <is>
          <t>Glc 350 E</t>
        </is>
      </c>
      <c r="D89" s="20" t="inlineStr">
        <is>
          <t>ACTIVO</t>
        </is>
      </c>
      <c r="E89" s="20" t="inlineStr">
        <is>
          <t>2025-03-21</t>
        </is>
      </c>
      <c r="F89" s="20" t="inlineStr">
        <is>
          <t>2028-03-21</t>
        </is>
      </c>
      <c r="G89" s="22" t="n">
        <v>36</v>
      </c>
      <c r="H89" s="23" t="n">
        <v>13828.97</v>
      </c>
      <c r="I89" s="23">
        <f>IF(Intereses_Residual_Mensual!I89&gt;0, ROUND(7283.41 + Intereses_Residual_Mensual!I89, 2), "")</f>
        <v/>
      </c>
      <c r="J89" s="23">
        <f>IF(Intereses_Residual_Mensual!J89&gt;0, ROUND(I89 + Intereses_Residual_Mensual!J89, 2), "")</f>
        <v/>
      </c>
      <c r="K89" s="23">
        <f>IF(Intereses_Residual_Mensual!K89&gt;0, ROUND(J89 + Intereses_Residual_Mensual!K89, 2), "")</f>
        <v/>
      </c>
      <c r="L89" s="23">
        <f>IF(Intereses_Residual_Mensual!L89&gt;0, ROUND(K89 + Intereses_Residual_Mensual!L89, 2), "")</f>
        <v/>
      </c>
      <c r="M89" s="23">
        <f>IF(Intereses_Residual_Mensual!M89&gt;0, ROUND(L89 + Intereses_Residual_Mensual!M89, 2), "")</f>
        <v/>
      </c>
      <c r="N89" s="23">
        <f>IF(Intereses_Residual_Mensual!N89&gt;0, ROUND(M89 + Intereses_Residual_Mensual!N89, 2), "")</f>
        <v/>
      </c>
      <c r="O89" s="23">
        <f>IF(Intereses_Residual_Mensual!O89&gt;0, ROUND(N89 + Intereses_Residual_Mensual!O89, 2), "")</f>
        <v/>
      </c>
      <c r="P89" s="23">
        <f>IF(Intereses_Residual_Mensual!P89&gt;0, ROUND(O89 + Intereses_Residual_Mensual!P89, 2), "")</f>
        <v/>
      </c>
      <c r="Q89" s="23">
        <f>IF(Intereses_Residual_Mensual!Q89&gt;0, ROUND(P89 + Intereses_Residual_Mensual!Q89, 2), "")</f>
        <v/>
      </c>
      <c r="R89" s="23">
        <f>IF(Intereses_Residual_Mensual!R89&gt;0, ROUND(Q89 + Intereses_Residual_Mensual!R89, 2), "")</f>
        <v/>
      </c>
      <c r="S89" s="23">
        <f>IF(Intereses_Residual_Mensual!S89&gt;0, ROUND(R89 + Intereses_Residual_Mensual!S89, 2), "")</f>
        <v/>
      </c>
      <c r="T89" s="23">
        <f>IF(Intereses_Residual_Mensual!T89&gt;0, ROUND(S89 + Intereses_Residual_Mensual!T89, 2), "")</f>
        <v/>
      </c>
      <c r="U89" s="23">
        <f>MAX(I89:T89)</f>
        <v/>
      </c>
    </row>
    <row r="90">
      <c r="A90" s="26" t="inlineStr">
        <is>
          <t>0635-0004</t>
        </is>
      </c>
      <c r="B90" s="27" t="inlineStr">
        <is>
          <t>Ankara Food Services Sa de CV</t>
        </is>
      </c>
      <c r="C90" s="27" t="inlineStr">
        <is>
          <t>Partner</t>
        </is>
      </c>
      <c r="D90" s="26" t="inlineStr">
        <is>
          <t>ACTIVO</t>
        </is>
      </c>
      <c r="E90" s="26" t="inlineStr">
        <is>
          <t>2025-04-29</t>
        </is>
      </c>
      <c r="F90" s="26" t="inlineStr">
        <is>
          <t>2028-04-29</t>
        </is>
      </c>
      <c r="G90" s="28" t="n">
        <v>36</v>
      </c>
      <c r="H90" s="29" t="n">
        <v>3438.79</v>
      </c>
      <c r="I90" s="29">
        <f>IF(Intereses_Residual_Mensual!I90&gt;0, ROUND(1767.01 + Intereses_Residual_Mensual!I90, 2), "")</f>
        <v/>
      </c>
      <c r="J90" s="29">
        <f>IF(Intereses_Residual_Mensual!J90&gt;0, ROUND(I90 + Intereses_Residual_Mensual!J90, 2), "")</f>
        <v/>
      </c>
      <c r="K90" s="29">
        <f>IF(Intereses_Residual_Mensual!K90&gt;0, ROUND(J90 + Intereses_Residual_Mensual!K90, 2), "")</f>
        <v/>
      </c>
      <c r="L90" s="29">
        <f>IF(Intereses_Residual_Mensual!L90&gt;0, ROUND(K90 + Intereses_Residual_Mensual!L90, 2), "")</f>
        <v/>
      </c>
      <c r="M90" s="29">
        <f>IF(Intereses_Residual_Mensual!M90&gt;0, ROUND(L90 + Intereses_Residual_Mensual!M90, 2), "")</f>
        <v/>
      </c>
      <c r="N90" s="29">
        <f>IF(Intereses_Residual_Mensual!N90&gt;0, ROUND(M90 + Intereses_Residual_Mensual!N90, 2), "")</f>
        <v/>
      </c>
      <c r="O90" s="29">
        <f>IF(Intereses_Residual_Mensual!O90&gt;0, ROUND(N90 + Intereses_Residual_Mensual!O90, 2), "")</f>
        <v/>
      </c>
      <c r="P90" s="29">
        <f>IF(Intereses_Residual_Mensual!P90&gt;0, ROUND(O90 + Intereses_Residual_Mensual!P90, 2), "")</f>
        <v/>
      </c>
      <c r="Q90" s="29">
        <f>IF(Intereses_Residual_Mensual!Q90&gt;0, ROUND(P90 + Intereses_Residual_Mensual!Q90, 2), "")</f>
        <v/>
      </c>
      <c r="R90" s="29">
        <f>IF(Intereses_Residual_Mensual!R90&gt;0, ROUND(Q90 + Intereses_Residual_Mensual!R90, 2), "")</f>
        <v/>
      </c>
      <c r="S90" s="29">
        <f>IF(Intereses_Residual_Mensual!S90&gt;0, ROUND(R90 + Intereses_Residual_Mensual!S90, 2), "")</f>
        <v/>
      </c>
      <c r="T90" s="29">
        <f>IF(Intereses_Residual_Mensual!T90&gt;0, ROUND(S90 + Intereses_Residual_Mensual!T90, 2), "")</f>
        <v/>
      </c>
      <c r="U90" s="29">
        <f>MAX(I90:T90)</f>
        <v/>
      </c>
    </row>
    <row r="91">
      <c r="A91" s="20" t="inlineStr">
        <is>
          <t>0635-0005</t>
        </is>
      </c>
      <c r="B91" s="21" t="inlineStr">
        <is>
          <t>Ankara Food Services Sa de CV</t>
        </is>
      </c>
      <c r="C91" s="21" t="inlineStr">
        <is>
          <t>Manager</t>
        </is>
      </c>
      <c r="D91" s="20" t="inlineStr">
        <is>
          <t>ACTIVO</t>
        </is>
      </c>
      <c r="E91" s="20" t="inlineStr">
        <is>
          <t>2025-04-29</t>
        </is>
      </c>
      <c r="F91" s="20" t="inlineStr">
        <is>
          <t>2028-04-29</t>
        </is>
      </c>
      <c r="G91" s="22" t="n">
        <v>36</v>
      </c>
      <c r="H91" s="23" t="n">
        <v>5318.1</v>
      </c>
      <c r="I91" s="23">
        <f>IF(Intereses_Residual_Mensual!I91&gt;0, ROUND(2732.7 + Intereses_Residual_Mensual!I91, 2), "")</f>
        <v/>
      </c>
      <c r="J91" s="23">
        <f>IF(Intereses_Residual_Mensual!J91&gt;0, ROUND(I91 + Intereses_Residual_Mensual!J91, 2), "")</f>
        <v/>
      </c>
      <c r="K91" s="23">
        <f>IF(Intereses_Residual_Mensual!K91&gt;0, ROUND(J91 + Intereses_Residual_Mensual!K91, 2), "")</f>
        <v/>
      </c>
      <c r="L91" s="23">
        <f>IF(Intereses_Residual_Mensual!L91&gt;0, ROUND(K91 + Intereses_Residual_Mensual!L91, 2), "")</f>
        <v/>
      </c>
      <c r="M91" s="23">
        <f>IF(Intereses_Residual_Mensual!M91&gt;0, ROUND(L91 + Intereses_Residual_Mensual!M91, 2), "")</f>
        <v/>
      </c>
      <c r="N91" s="23">
        <f>IF(Intereses_Residual_Mensual!N91&gt;0, ROUND(M91 + Intereses_Residual_Mensual!N91, 2), "")</f>
        <v/>
      </c>
      <c r="O91" s="23">
        <f>IF(Intereses_Residual_Mensual!O91&gt;0, ROUND(N91 + Intereses_Residual_Mensual!O91, 2), "")</f>
        <v/>
      </c>
      <c r="P91" s="23">
        <f>IF(Intereses_Residual_Mensual!P91&gt;0, ROUND(O91 + Intereses_Residual_Mensual!P91, 2), "")</f>
        <v/>
      </c>
      <c r="Q91" s="23">
        <f>IF(Intereses_Residual_Mensual!Q91&gt;0, ROUND(P91 + Intereses_Residual_Mensual!Q91, 2), "")</f>
        <v/>
      </c>
      <c r="R91" s="23">
        <f>IF(Intereses_Residual_Mensual!R91&gt;0, ROUND(Q91 + Intereses_Residual_Mensual!R91, 2), "")</f>
        <v/>
      </c>
      <c r="S91" s="23">
        <f>IF(Intereses_Residual_Mensual!S91&gt;0, ROUND(R91 + Intereses_Residual_Mensual!S91, 2), "")</f>
        <v/>
      </c>
      <c r="T91" s="23">
        <f>IF(Intereses_Residual_Mensual!T91&gt;0, ROUND(S91 + Intereses_Residual_Mensual!T91, 2), "")</f>
        <v/>
      </c>
      <c r="U91" s="23">
        <f>MAX(I91:T91)</f>
        <v/>
      </c>
    </row>
    <row r="92">
      <c r="A92" s="26" t="inlineStr">
        <is>
          <t>0635-0006</t>
        </is>
      </c>
      <c r="B92" s="27" t="inlineStr">
        <is>
          <t>Ankara Food Services Sa de CV</t>
        </is>
      </c>
      <c r="C92" s="27" t="inlineStr">
        <is>
          <t>Mobi</t>
        </is>
      </c>
      <c r="D92" s="26" t="inlineStr">
        <is>
          <t>ACTIVO</t>
        </is>
      </c>
      <c r="E92" s="26" t="inlineStr">
        <is>
          <t>2025-06-17</t>
        </is>
      </c>
      <c r="F92" s="26" t="inlineStr">
        <is>
          <t>2027-06-17</t>
        </is>
      </c>
      <c r="G92" s="28" t="n">
        <v>24</v>
      </c>
      <c r="H92" s="29" t="n">
        <v>2129.31</v>
      </c>
      <c r="I92" s="29">
        <f>IF(Intereses_Residual_Mensual!I92&gt;0, ROUND(1415.72 + Intereses_Residual_Mensual!I92, 2), "")</f>
        <v/>
      </c>
      <c r="J92" s="29">
        <f>IF(Intereses_Residual_Mensual!J92&gt;0, ROUND(I92 + Intereses_Residual_Mensual!J92, 2), "")</f>
        <v/>
      </c>
      <c r="K92" s="29">
        <f>IF(Intereses_Residual_Mensual!K92&gt;0, ROUND(J92 + Intereses_Residual_Mensual!K92, 2), "")</f>
        <v/>
      </c>
      <c r="L92" s="29">
        <f>IF(Intereses_Residual_Mensual!L92&gt;0, ROUND(K92 + Intereses_Residual_Mensual!L92, 2), "")</f>
        <v/>
      </c>
      <c r="M92" s="29">
        <f>IF(Intereses_Residual_Mensual!M92&gt;0, ROUND(L92 + Intereses_Residual_Mensual!M92, 2), "")</f>
        <v/>
      </c>
      <c r="N92" s="29">
        <f>IF(Intereses_Residual_Mensual!N92&gt;0, ROUND(M92 + Intereses_Residual_Mensual!N92, 2), "")</f>
        <v/>
      </c>
      <c r="O92" s="29">
        <f>IF(Intereses_Residual_Mensual!O92&gt;0, ROUND(N92 + Intereses_Residual_Mensual!O92, 2), "")</f>
        <v/>
      </c>
      <c r="P92" s="29">
        <f>IF(Intereses_Residual_Mensual!P92&gt;0, ROUND(O92 + Intereses_Residual_Mensual!P92, 2), "")</f>
        <v/>
      </c>
      <c r="Q92" s="29">
        <f>IF(Intereses_Residual_Mensual!Q92&gt;0, ROUND(P92 + Intereses_Residual_Mensual!Q92, 2), "")</f>
        <v/>
      </c>
      <c r="R92" s="29">
        <f>IF(Intereses_Residual_Mensual!R92&gt;0, ROUND(Q92 + Intereses_Residual_Mensual!R92, 2), "")</f>
        <v/>
      </c>
      <c r="S92" s="29">
        <f>IF(Intereses_Residual_Mensual!S92&gt;0, ROUND(R92 + Intereses_Residual_Mensual!S92, 2), "")</f>
        <v/>
      </c>
      <c r="T92" s="29">
        <f>IF(Intereses_Residual_Mensual!T92&gt;0, ROUND(S92 + Intereses_Residual_Mensual!T92, 2), "")</f>
        <v/>
      </c>
      <c r="U92" s="29">
        <f>MAX(I92:T92)</f>
        <v/>
      </c>
    </row>
    <row r="93">
      <c r="A93" s="20" t="inlineStr">
        <is>
          <t>0635-0007</t>
        </is>
      </c>
      <c r="B93" s="21" t="inlineStr">
        <is>
          <t>Ankara Food Services Sa de CV</t>
        </is>
      </c>
      <c r="C93" s="21" t="inlineStr">
        <is>
          <t>Mobi</t>
        </is>
      </c>
      <c r="D93" s="20" t="inlineStr">
        <is>
          <t>ACTIVO</t>
        </is>
      </c>
      <c r="E93" s="20" t="inlineStr">
        <is>
          <t>2025-06-17</t>
        </is>
      </c>
      <c r="F93" s="20" t="inlineStr">
        <is>
          <t>2027-06-17</t>
        </is>
      </c>
      <c r="G93" s="22" t="n">
        <v>24</v>
      </c>
      <c r="H93" s="23" t="n">
        <v>2129.31</v>
      </c>
      <c r="I93" s="23">
        <f>IF(Intereses_Residual_Mensual!I93&gt;0, ROUND(1415.72 + Intereses_Residual_Mensual!I93, 2), "")</f>
        <v/>
      </c>
      <c r="J93" s="23">
        <f>IF(Intereses_Residual_Mensual!J93&gt;0, ROUND(I93 + Intereses_Residual_Mensual!J93, 2), "")</f>
        <v/>
      </c>
      <c r="K93" s="23">
        <f>IF(Intereses_Residual_Mensual!K93&gt;0, ROUND(J93 + Intereses_Residual_Mensual!K93, 2), "")</f>
        <v/>
      </c>
      <c r="L93" s="23">
        <f>IF(Intereses_Residual_Mensual!L93&gt;0, ROUND(K93 + Intereses_Residual_Mensual!L93, 2), "")</f>
        <v/>
      </c>
      <c r="M93" s="23">
        <f>IF(Intereses_Residual_Mensual!M93&gt;0, ROUND(L93 + Intereses_Residual_Mensual!M93, 2), "")</f>
        <v/>
      </c>
      <c r="N93" s="23">
        <f>IF(Intereses_Residual_Mensual!N93&gt;0, ROUND(M93 + Intereses_Residual_Mensual!N93, 2), "")</f>
        <v/>
      </c>
      <c r="O93" s="23">
        <f>IF(Intereses_Residual_Mensual!O93&gt;0, ROUND(N93 + Intereses_Residual_Mensual!O93, 2), "")</f>
        <v/>
      </c>
      <c r="P93" s="23">
        <f>IF(Intereses_Residual_Mensual!P93&gt;0, ROUND(O93 + Intereses_Residual_Mensual!P93, 2), "")</f>
        <v/>
      </c>
      <c r="Q93" s="23">
        <f>IF(Intereses_Residual_Mensual!Q93&gt;0, ROUND(P93 + Intereses_Residual_Mensual!Q93, 2), "")</f>
        <v/>
      </c>
      <c r="R93" s="23">
        <f>IF(Intereses_Residual_Mensual!R93&gt;0, ROUND(Q93 + Intereses_Residual_Mensual!R93, 2), "")</f>
        <v/>
      </c>
      <c r="S93" s="23">
        <f>IF(Intereses_Residual_Mensual!S93&gt;0, ROUND(R93 + Intereses_Residual_Mensual!S93, 2), "")</f>
        <v/>
      </c>
      <c r="T93" s="23">
        <f>IF(Intereses_Residual_Mensual!T93&gt;0, ROUND(S93 + Intereses_Residual_Mensual!T93, 2), "")</f>
        <v/>
      </c>
      <c r="U93" s="23">
        <f>MAX(I93:T93)</f>
        <v/>
      </c>
    </row>
    <row r="94">
      <c r="A94" s="26" t="inlineStr">
        <is>
          <t>0635-0008</t>
        </is>
      </c>
      <c r="B94" s="27" t="inlineStr">
        <is>
          <t>Ankara Food Services Sa de CV</t>
        </is>
      </c>
      <c r="C94" s="27" t="inlineStr">
        <is>
          <t>Wrangler 4 XE</t>
        </is>
      </c>
      <c r="D94" s="26" t="inlineStr">
        <is>
          <t>ACTIVO</t>
        </is>
      </c>
      <c r="E94" s="26" t="inlineStr">
        <is>
          <t>2025-10-31</t>
        </is>
      </c>
      <c r="F94" s="26" t="inlineStr">
        <is>
          <t>2029-10-31</t>
        </is>
      </c>
      <c r="G94" s="28" t="n">
        <v>48</v>
      </c>
      <c r="H94" s="29" t="n">
        <v>122922.41</v>
      </c>
      <c r="I94" s="29">
        <f>IF(Intereses_Residual_Mensual!I94&gt;0, ROUND(37212.74 + Intereses_Residual_Mensual!I94, 2), "")</f>
        <v/>
      </c>
      <c r="J94" s="29">
        <f>IF(Intereses_Residual_Mensual!J94&gt;0, ROUND(I94 + Intereses_Residual_Mensual!J94, 2), "")</f>
        <v/>
      </c>
      <c r="K94" s="29">
        <f>IF(Intereses_Residual_Mensual!K94&gt;0, ROUND(J94 + Intereses_Residual_Mensual!K94, 2), "")</f>
        <v/>
      </c>
      <c r="L94" s="29">
        <f>IF(Intereses_Residual_Mensual!L94&gt;0, ROUND(K94 + Intereses_Residual_Mensual!L94, 2), "")</f>
        <v/>
      </c>
      <c r="M94" s="29">
        <f>IF(Intereses_Residual_Mensual!M94&gt;0, ROUND(L94 + Intereses_Residual_Mensual!M94, 2), "")</f>
        <v/>
      </c>
      <c r="N94" s="29">
        <f>IF(Intereses_Residual_Mensual!N94&gt;0, ROUND(M94 + Intereses_Residual_Mensual!N94, 2), "")</f>
        <v/>
      </c>
      <c r="O94" s="29">
        <f>IF(Intereses_Residual_Mensual!O94&gt;0, ROUND(N94 + Intereses_Residual_Mensual!O94, 2), "")</f>
        <v/>
      </c>
      <c r="P94" s="29">
        <f>IF(Intereses_Residual_Mensual!P94&gt;0, ROUND(O94 + Intereses_Residual_Mensual!P94, 2), "")</f>
        <v/>
      </c>
      <c r="Q94" s="29">
        <f>IF(Intereses_Residual_Mensual!Q94&gt;0, ROUND(P94 + Intereses_Residual_Mensual!Q94, 2), "")</f>
        <v/>
      </c>
      <c r="R94" s="29">
        <f>IF(Intereses_Residual_Mensual!R94&gt;0, ROUND(Q94 + Intereses_Residual_Mensual!R94, 2), "")</f>
        <v/>
      </c>
      <c r="S94" s="29">
        <f>IF(Intereses_Residual_Mensual!S94&gt;0, ROUND(R94 + Intereses_Residual_Mensual!S94, 2), "")</f>
        <v/>
      </c>
      <c r="T94" s="29">
        <f>IF(Intereses_Residual_Mensual!T94&gt;0, ROUND(S94 + Intereses_Residual_Mensual!T94, 2), "")</f>
        <v/>
      </c>
      <c r="U94" s="29">
        <f>MAX(I94:T94)</f>
        <v/>
      </c>
    </row>
    <row r="95">
      <c r="A95" s="20" t="inlineStr">
        <is>
          <t>0640-0001</t>
        </is>
      </c>
      <c r="B95" s="21" t="inlineStr">
        <is>
          <t>Marco Abner Hernand Barragan</t>
        </is>
      </c>
      <c r="C95" s="21" t="inlineStr">
        <is>
          <t>RIFTER</t>
        </is>
      </c>
      <c r="D95" s="20" t="inlineStr">
        <is>
          <t>ACTIVO</t>
        </is>
      </c>
      <c r="E95" s="20" t="inlineStr">
        <is>
          <t>2023-12-13</t>
        </is>
      </c>
      <c r="F95" s="20" t="inlineStr">
        <is>
          <t>2027-12-13</t>
        </is>
      </c>
      <c r="G95" s="22" t="n">
        <v>48</v>
      </c>
      <c r="H95" s="23" t="n">
        <v>89293.10000000001</v>
      </c>
      <c r="I95" s="23">
        <f>IF(Intereses_Residual_Mensual!I95&gt;0, ROUND(43615.84 + Intereses_Residual_Mensual!I95, 2), "")</f>
        <v/>
      </c>
      <c r="J95" s="23">
        <f>IF(Intereses_Residual_Mensual!J95&gt;0, ROUND(I95 + Intereses_Residual_Mensual!J95, 2), "")</f>
        <v/>
      </c>
      <c r="K95" s="23">
        <f>IF(Intereses_Residual_Mensual!K95&gt;0, ROUND(J95 + Intereses_Residual_Mensual!K95, 2), "")</f>
        <v/>
      </c>
      <c r="L95" s="23">
        <f>IF(Intereses_Residual_Mensual!L95&gt;0, ROUND(K95 + Intereses_Residual_Mensual!L95, 2), "")</f>
        <v/>
      </c>
      <c r="M95" s="23">
        <f>IF(Intereses_Residual_Mensual!M95&gt;0, ROUND(L95 + Intereses_Residual_Mensual!M95, 2), "")</f>
        <v/>
      </c>
      <c r="N95" s="23">
        <f>IF(Intereses_Residual_Mensual!N95&gt;0, ROUND(M95 + Intereses_Residual_Mensual!N95, 2), "")</f>
        <v/>
      </c>
      <c r="O95" s="23">
        <f>IF(Intereses_Residual_Mensual!O95&gt;0, ROUND(N95 + Intereses_Residual_Mensual!O95, 2), "")</f>
        <v/>
      </c>
      <c r="P95" s="23">
        <f>IF(Intereses_Residual_Mensual!P95&gt;0, ROUND(O95 + Intereses_Residual_Mensual!P95, 2), "")</f>
        <v/>
      </c>
      <c r="Q95" s="23">
        <f>IF(Intereses_Residual_Mensual!Q95&gt;0, ROUND(P95 + Intereses_Residual_Mensual!Q95, 2), "")</f>
        <v/>
      </c>
      <c r="R95" s="23">
        <f>IF(Intereses_Residual_Mensual!R95&gt;0, ROUND(Q95 + Intereses_Residual_Mensual!R95, 2), "")</f>
        <v/>
      </c>
      <c r="S95" s="23">
        <f>IF(Intereses_Residual_Mensual!S95&gt;0, ROUND(R95 + Intereses_Residual_Mensual!S95, 2), "")</f>
        <v/>
      </c>
      <c r="T95" s="23">
        <f>IF(Intereses_Residual_Mensual!T95&gt;0, ROUND(S95 + Intereses_Residual_Mensual!T95, 2), "")</f>
        <v/>
      </c>
      <c r="U95" s="23">
        <f>MAX(I95:T95)</f>
        <v/>
      </c>
    </row>
    <row r="96">
      <c r="A96" s="26" t="inlineStr">
        <is>
          <t>0641-0001</t>
        </is>
      </c>
      <c r="B96" s="27" t="inlineStr">
        <is>
          <t>Agrideaz Sa de Cv</t>
        </is>
      </c>
      <c r="C96" s="27" t="inlineStr">
        <is>
          <t>Pulse Audace</t>
        </is>
      </c>
      <c r="D96" s="26" t="inlineStr">
        <is>
          <t>ACTIVO</t>
        </is>
      </c>
      <c r="E96" s="26" t="inlineStr">
        <is>
          <t>2023-11-30</t>
        </is>
      </c>
      <c r="F96" s="26" t="inlineStr">
        <is>
          <t>2026-11-30</t>
        </is>
      </c>
      <c r="G96" s="28" t="n">
        <v>36</v>
      </c>
      <c r="H96" s="29" t="n">
        <v>122620.69</v>
      </c>
      <c r="I96" s="29">
        <f>IF(Intereses_Residual_Mensual!I96&gt;0, ROUND(73269.65 + Intereses_Residual_Mensual!I96, 2), "")</f>
        <v/>
      </c>
      <c r="J96" s="29">
        <f>IF(Intereses_Residual_Mensual!J96&gt;0, ROUND(I96 + Intereses_Residual_Mensual!J96, 2), "")</f>
        <v/>
      </c>
      <c r="K96" s="29">
        <f>IF(Intereses_Residual_Mensual!K96&gt;0, ROUND(J96 + Intereses_Residual_Mensual!K96, 2), "")</f>
        <v/>
      </c>
      <c r="L96" s="29">
        <f>IF(Intereses_Residual_Mensual!L96&gt;0, ROUND(K96 + Intereses_Residual_Mensual!L96, 2), "")</f>
        <v/>
      </c>
      <c r="M96" s="29">
        <f>IF(Intereses_Residual_Mensual!M96&gt;0, ROUND(L96 + Intereses_Residual_Mensual!M96, 2), "")</f>
        <v/>
      </c>
      <c r="N96" s="29">
        <f>IF(Intereses_Residual_Mensual!N96&gt;0, ROUND(M96 + Intereses_Residual_Mensual!N96, 2), "")</f>
        <v/>
      </c>
      <c r="O96" s="29">
        <f>IF(Intereses_Residual_Mensual!O96&gt;0, ROUND(N96 + Intereses_Residual_Mensual!O96, 2), "")</f>
        <v/>
      </c>
      <c r="P96" s="29">
        <f>IF(Intereses_Residual_Mensual!P96&gt;0, ROUND(O96 + Intereses_Residual_Mensual!P96, 2), "")</f>
        <v/>
      </c>
      <c r="Q96" s="29">
        <f>IF(Intereses_Residual_Mensual!Q96&gt;0, ROUND(P96 + Intereses_Residual_Mensual!Q96, 2), "")</f>
        <v/>
      </c>
      <c r="R96" s="29">
        <f>IF(Intereses_Residual_Mensual!R96&gt;0, ROUND(Q96 + Intereses_Residual_Mensual!R96, 2), "")</f>
        <v/>
      </c>
      <c r="S96" s="29" t="inlineStr"/>
      <c r="T96" s="29" t="inlineStr"/>
      <c r="U96" s="29">
        <f>MAX(I96:T96)</f>
        <v/>
      </c>
    </row>
    <row r="97">
      <c r="A97" s="20" t="inlineStr">
        <is>
          <t>0641-0002</t>
        </is>
      </c>
      <c r="B97" s="21" t="inlineStr">
        <is>
          <t>Agrideaz Sa de Cv</t>
        </is>
      </c>
      <c r="C97" s="21" t="inlineStr">
        <is>
          <t>MOBI</t>
        </is>
      </c>
      <c r="D97" s="20" t="inlineStr">
        <is>
          <t>ACTIVO</t>
        </is>
      </c>
      <c r="E97" s="20" t="inlineStr">
        <is>
          <t>2023-11-30</t>
        </is>
      </c>
      <c r="F97" s="20" t="inlineStr">
        <is>
          <t>2026-11-30</t>
        </is>
      </c>
      <c r="G97" s="22" t="n">
        <v>36</v>
      </c>
      <c r="H97" s="23" t="n">
        <v>76034.48</v>
      </c>
      <c r="I97" s="23">
        <f>IF(Intereses_Residual_Mensual!I97&gt;0, ROUND(45020.78 + Intereses_Residual_Mensual!I97, 2), "")</f>
        <v/>
      </c>
      <c r="J97" s="23">
        <f>IF(Intereses_Residual_Mensual!J97&gt;0, ROUND(I97 + Intereses_Residual_Mensual!J97, 2), "")</f>
        <v/>
      </c>
      <c r="K97" s="23">
        <f>IF(Intereses_Residual_Mensual!K97&gt;0, ROUND(J97 + Intereses_Residual_Mensual!K97, 2), "")</f>
        <v/>
      </c>
      <c r="L97" s="23">
        <f>IF(Intereses_Residual_Mensual!L97&gt;0, ROUND(K97 + Intereses_Residual_Mensual!L97, 2), "")</f>
        <v/>
      </c>
      <c r="M97" s="23">
        <f>IF(Intereses_Residual_Mensual!M97&gt;0, ROUND(L97 + Intereses_Residual_Mensual!M97, 2), "")</f>
        <v/>
      </c>
      <c r="N97" s="23">
        <f>IF(Intereses_Residual_Mensual!N97&gt;0, ROUND(M97 + Intereses_Residual_Mensual!N97, 2), "")</f>
        <v/>
      </c>
      <c r="O97" s="23">
        <f>IF(Intereses_Residual_Mensual!O97&gt;0, ROUND(N97 + Intereses_Residual_Mensual!O97, 2), "")</f>
        <v/>
      </c>
      <c r="P97" s="23">
        <f>IF(Intereses_Residual_Mensual!P97&gt;0, ROUND(O97 + Intereses_Residual_Mensual!P97, 2), "")</f>
        <v/>
      </c>
      <c r="Q97" s="23">
        <f>IF(Intereses_Residual_Mensual!Q97&gt;0, ROUND(P97 + Intereses_Residual_Mensual!Q97, 2), "")</f>
        <v/>
      </c>
      <c r="R97" s="23">
        <f>IF(Intereses_Residual_Mensual!R97&gt;0, ROUND(Q97 + Intereses_Residual_Mensual!R97, 2), "")</f>
        <v/>
      </c>
      <c r="S97" s="23" t="inlineStr"/>
      <c r="T97" s="23" t="inlineStr"/>
      <c r="U97" s="23">
        <f>MAX(I97:T97)</f>
        <v/>
      </c>
    </row>
    <row r="98">
      <c r="A98" s="26" t="inlineStr">
        <is>
          <t>0642-0001</t>
        </is>
      </c>
      <c r="B98" s="27" t="inlineStr">
        <is>
          <t>Incubadora de Occidente Sa de Cv</t>
        </is>
      </c>
      <c r="C98" s="27" t="inlineStr">
        <is>
          <t>GRAND CHEROKEE LIMITED</t>
        </is>
      </c>
      <c r="D98" s="26" t="inlineStr">
        <is>
          <t>ACTIVO</t>
        </is>
      </c>
      <c r="E98" s="26" t="inlineStr">
        <is>
          <t>2023-12-22</t>
        </is>
      </c>
      <c r="F98" s="26" t="inlineStr">
        <is>
          <t>2027-12-22</t>
        </is>
      </c>
      <c r="G98" s="28" t="n">
        <v>48</v>
      </c>
      <c r="H98" s="29" t="n">
        <v>398264.4</v>
      </c>
      <c r="I98" s="29">
        <f>IF(Intereses_Residual_Mensual!I98&gt;0, ROUND(204424.74 + Intereses_Residual_Mensual!I98, 2), "")</f>
        <v/>
      </c>
      <c r="J98" s="29">
        <f>IF(Intereses_Residual_Mensual!J98&gt;0, ROUND(I98 + Intereses_Residual_Mensual!J98, 2), "")</f>
        <v/>
      </c>
      <c r="K98" s="29">
        <f>IF(Intereses_Residual_Mensual!K98&gt;0, ROUND(J98 + Intereses_Residual_Mensual!K98, 2), "")</f>
        <v/>
      </c>
      <c r="L98" s="29">
        <f>IF(Intereses_Residual_Mensual!L98&gt;0, ROUND(K98 + Intereses_Residual_Mensual!L98, 2), "")</f>
        <v/>
      </c>
      <c r="M98" s="29">
        <f>IF(Intereses_Residual_Mensual!M98&gt;0, ROUND(L98 + Intereses_Residual_Mensual!M98, 2), "")</f>
        <v/>
      </c>
      <c r="N98" s="29">
        <f>IF(Intereses_Residual_Mensual!N98&gt;0, ROUND(M98 + Intereses_Residual_Mensual!N98, 2), "")</f>
        <v/>
      </c>
      <c r="O98" s="29">
        <f>IF(Intereses_Residual_Mensual!O98&gt;0, ROUND(N98 + Intereses_Residual_Mensual!O98, 2), "")</f>
        <v/>
      </c>
      <c r="P98" s="29">
        <f>IF(Intereses_Residual_Mensual!P98&gt;0, ROUND(O98 + Intereses_Residual_Mensual!P98, 2), "")</f>
        <v/>
      </c>
      <c r="Q98" s="29">
        <f>IF(Intereses_Residual_Mensual!Q98&gt;0, ROUND(P98 + Intereses_Residual_Mensual!Q98, 2), "")</f>
        <v/>
      </c>
      <c r="R98" s="29">
        <f>IF(Intereses_Residual_Mensual!R98&gt;0, ROUND(Q98 + Intereses_Residual_Mensual!R98, 2), "")</f>
        <v/>
      </c>
      <c r="S98" s="29">
        <f>IF(Intereses_Residual_Mensual!S98&gt;0, ROUND(R98 + Intereses_Residual_Mensual!S98, 2), "")</f>
        <v/>
      </c>
      <c r="T98" s="29">
        <f>IF(Intereses_Residual_Mensual!T98&gt;0, ROUND(S98 + Intereses_Residual_Mensual!T98, 2), "")</f>
        <v/>
      </c>
      <c r="U98" s="29">
        <f>MAX(I98:T98)</f>
        <v/>
      </c>
    </row>
    <row r="99">
      <c r="A99" s="20" t="inlineStr">
        <is>
          <t>0644-0005</t>
        </is>
      </c>
      <c r="B99" s="21" t="inlineStr">
        <is>
          <t>Bakaya S.A.P.I.</t>
        </is>
      </c>
      <c r="C99" s="21" t="inlineStr">
        <is>
          <t>i118</t>
        </is>
      </c>
      <c r="D99" s="20" t="inlineStr">
        <is>
          <t>ACTIVO</t>
        </is>
      </c>
      <c r="E99" s="20" t="inlineStr">
        <is>
          <t>2025-12-10</t>
        </is>
      </c>
      <c r="F99" s="20" t="inlineStr">
        <is>
          <t>2028-12-10</t>
        </is>
      </c>
      <c r="G99" s="22" t="n">
        <v>36</v>
      </c>
      <c r="H99" s="23" t="n">
        <v>284275.86</v>
      </c>
      <c r="I99" s="23">
        <f>IF(Intereses_Residual_Mensual!I99&gt;0, ROUND(132007.97 + Intereses_Residual_Mensual!I99, 2), "")</f>
        <v/>
      </c>
      <c r="J99" s="23">
        <f>IF(Intereses_Residual_Mensual!J99&gt;0, ROUND(I99 + Intereses_Residual_Mensual!J99, 2), "")</f>
        <v/>
      </c>
      <c r="K99" s="23">
        <f>IF(Intereses_Residual_Mensual!K99&gt;0, ROUND(J99 + Intereses_Residual_Mensual!K99, 2), "")</f>
        <v/>
      </c>
      <c r="L99" s="23">
        <f>IF(Intereses_Residual_Mensual!L99&gt;0, ROUND(K99 + Intereses_Residual_Mensual!L99, 2), "")</f>
        <v/>
      </c>
      <c r="M99" s="23">
        <f>IF(Intereses_Residual_Mensual!M99&gt;0, ROUND(L99 + Intereses_Residual_Mensual!M99, 2), "")</f>
        <v/>
      </c>
      <c r="N99" s="23">
        <f>IF(Intereses_Residual_Mensual!N99&gt;0, ROUND(M99 + Intereses_Residual_Mensual!N99, 2), "")</f>
        <v/>
      </c>
      <c r="O99" s="23">
        <f>IF(Intereses_Residual_Mensual!O99&gt;0, ROUND(N99 + Intereses_Residual_Mensual!O99, 2), "")</f>
        <v/>
      </c>
      <c r="P99" s="23">
        <f>IF(Intereses_Residual_Mensual!P99&gt;0, ROUND(O99 + Intereses_Residual_Mensual!P99, 2), "")</f>
        <v/>
      </c>
      <c r="Q99" s="23">
        <f>IF(Intereses_Residual_Mensual!Q99&gt;0, ROUND(P99 + Intereses_Residual_Mensual!Q99, 2), "")</f>
        <v/>
      </c>
      <c r="R99" s="23">
        <f>IF(Intereses_Residual_Mensual!R99&gt;0, ROUND(Q99 + Intereses_Residual_Mensual!R99, 2), "")</f>
        <v/>
      </c>
      <c r="S99" s="23">
        <f>IF(Intereses_Residual_Mensual!S99&gt;0, ROUND(R99 + Intereses_Residual_Mensual!S99, 2), "")</f>
        <v/>
      </c>
      <c r="T99" s="23">
        <f>IF(Intereses_Residual_Mensual!T99&gt;0, ROUND(S99 + Intereses_Residual_Mensual!T99, 2), "")</f>
        <v/>
      </c>
      <c r="U99" s="23">
        <f>MAX(I99:T99)</f>
        <v/>
      </c>
    </row>
    <row r="100">
      <c r="A100" s="26" t="inlineStr">
        <is>
          <t>0644-0006</t>
        </is>
      </c>
      <c r="B100" s="27" t="inlineStr">
        <is>
          <t>Bkaya S.A.P.I.</t>
        </is>
      </c>
      <c r="C100" s="27" t="inlineStr">
        <is>
          <t>Highlander XLE</t>
        </is>
      </c>
      <c r="D100" s="26" t="inlineStr">
        <is>
          <t>ACTIVO</t>
        </is>
      </c>
      <c r="E100" s="26" t="inlineStr">
        <is>
          <t>2026-02-25</t>
        </is>
      </c>
      <c r="F100" s="26" t="inlineStr">
        <is>
          <t>2029-02-25</t>
        </is>
      </c>
      <c r="G100" s="28" t="n">
        <v>36</v>
      </c>
      <c r="H100" s="29" t="n">
        <v>409870.69</v>
      </c>
      <c r="I100" s="29" t="inlineStr"/>
      <c r="J100" s="29">
        <f>ROUND('Resumen_Cartera'!$U100 + Intereses_Residual_Mensual!J100, 2)</f>
        <v/>
      </c>
      <c r="K100" s="29">
        <f>IF(Intereses_Residual_Mensual!K100&gt;0, ROUND(J100 + Intereses_Residual_Mensual!K100, 2), "")</f>
        <v/>
      </c>
      <c r="L100" s="29">
        <f>IF(Intereses_Residual_Mensual!L100&gt;0, ROUND(K100 + Intereses_Residual_Mensual!L100, 2), "")</f>
        <v/>
      </c>
      <c r="M100" s="29">
        <f>IF(Intereses_Residual_Mensual!M100&gt;0, ROUND(L100 + Intereses_Residual_Mensual!M100, 2), "")</f>
        <v/>
      </c>
      <c r="N100" s="29">
        <f>IF(Intereses_Residual_Mensual!N100&gt;0, ROUND(M100 + Intereses_Residual_Mensual!N100, 2), "")</f>
        <v/>
      </c>
      <c r="O100" s="29">
        <f>IF(Intereses_Residual_Mensual!O100&gt;0, ROUND(N100 + Intereses_Residual_Mensual!O100, 2), "")</f>
        <v/>
      </c>
      <c r="P100" s="29">
        <f>IF(Intereses_Residual_Mensual!P100&gt;0, ROUND(O100 + Intereses_Residual_Mensual!P100, 2), "")</f>
        <v/>
      </c>
      <c r="Q100" s="29">
        <f>IF(Intereses_Residual_Mensual!Q100&gt;0, ROUND(P100 + Intereses_Residual_Mensual!Q100, 2), "")</f>
        <v/>
      </c>
      <c r="R100" s="29">
        <f>IF(Intereses_Residual_Mensual!R100&gt;0, ROUND(Q100 + Intereses_Residual_Mensual!R100, 2), "")</f>
        <v/>
      </c>
      <c r="S100" s="29">
        <f>IF(Intereses_Residual_Mensual!S100&gt;0, ROUND(R100 + Intereses_Residual_Mensual!S100, 2), "")</f>
        <v/>
      </c>
      <c r="T100" s="29">
        <f>IF(Intereses_Residual_Mensual!T100&gt;0, ROUND(S100 + Intereses_Residual_Mensual!T100, 2), "")</f>
        <v/>
      </c>
      <c r="U100" s="29">
        <f>MAX(I100:T100)</f>
        <v/>
      </c>
    </row>
    <row r="101">
      <c r="A101" s="20" t="inlineStr">
        <is>
          <t>0645-0001</t>
        </is>
      </c>
      <c r="B101" s="21" t="inlineStr">
        <is>
          <t>Armando Duran Rubio</t>
        </is>
      </c>
      <c r="C101" s="21" t="inlineStr">
        <is>
          <t>Ram 1500 Bighorn</t>
        </is>
      </c>
      <c r="D101" s="20" t="inlineStr">
        <is>
          <t>ACTIVO</t>
        </is>
      </c>
      <c r="E101" s="20" t="inlineStr">
        <is>
          <t>2023-12-28</t>
        </is>
      </c>
      <c r="F101" s="20" t="inlineStr">
        <is>
          <t>2027-12-28</t>
        </is>
      </c>
      <c r="G101" s="22" t="n">
        <v>48</v>
      </c>
      <c r="H101" s="23" t="n">
        <v>166362.07</v>
      </c>
      <c r="I101" s="23">
        <f>IF(Intereses_Residual_Mensual!I101&gt;0, ROUND(81233.86 + Intereses_Residual_Mensual!I101, 2), "")</f>
        <v/>
      </c>
      <c r="J101" s="23">
        <f>IF(Intereses_Residual_Mensual!J101&gt;0, ROUND(I101 + Intereses_Residual_Mensual!J101, 2), "")</f>
        <v/>
      </c>
      <c r="K101" s="23">
        <f>IF(Intereses_Residual_Mensual!K101&gt;0, ROUND(J101 + Intereses_Residual_Mensual!K101, 2), "")</f>
        <v/>
      </c>
      <c r="L101" s="23">
        <f>IF(Intereses_Residual_Mensual!L101&gt;0, ROUND(K101 + Intereses_Residual_Mensual!L101, 2), "")</f>
        <v/>
      </c>
      <c r="M101" s="23">
        <f>IF(Intereses_Residual_Mensual!M101&gt;0, ROUND(L101 + Intereses_Residual_Mensual!M101, 2), "")</f>
        <v/>
      </c>
      <c r="N101" s="23">
        <f>IF(Intereses_Residual_Mensual!N101&gt;0, ROUND(M101 + Intereses_Residual_Mensual!N101, 2), "")</f>
        <v/>
      </c>
      <c r="O101" s="23">
        <f>IF(Intereses_Residual_Mensual!O101&gt;0, ROUND(N101 + Intereses_Residual_Mensual!O101, 2), "")</f>
        <v/>
      </c>
      <c r="P101" s="23">
        <f>IF(Intereses_Residual_Mensual!P101&gt;0, ROUND(O101 + Intereses_Residual_Mensual!P101, 2), "")</f>
        <v/>
      </c>
      <c r="Q101" s="23">
        <f>IF(Intereses_Residual_Mensual!Q101&gt;0, ROUND(P101 + Intereses_Residual_Mensual!Q101, 2), "")</f>
        <v/>
      </c>
      <c r="R101" s="23">
        <f>IF(Intereses_Residual_Mensual!R101&gt;0, ROUND(Q101 + Intereses_Residual_Mensual!R101, 2), "")</f>
        <v/>
      </c>
      <c r="S101" s="23">
        <f>IF(Intereses_Residual_Mensual!S101&gt;0, ROUND(R101 + Intereses_Residual_Mensual!S101, 2), "")</f>
        <v/>
      </c>
      <c r="T101" s="23">
        <f>IF(Intereses_Residual_Mensual!T101&gt;0, ROUND(S101 + Intereses_Residual_Mensual!T101, 2), "")</f>
        <v/>
      </c>
      <c r="U101" s="23">
        <f>MAX(I101:T101)</f>
        <v/>
      </c>
    </row>
    <row r="102">
      <c r="A102" s="26" t="inlineStr">
        <is>
          <t>0646-0001</t>
        </is>
      </c>
      <c r="B102" s="27" t="inlineStr">
        <is>
          <t>Liza Minerva Magallanes Reimers</t>
        </is>
      </c>
      <c r="C102" s="27" t="inlineStr">
        <is>
          <t>Wrangler</t>
        </is>
      </c>
      <c r="D102" s="26" t="inlineStr">
        <is>
          <t>ACTIVO</t>
        </is>
      </c>
      <c r="E102" s="26" t="inlineStr">
        <is>
          <t>2024-01-12</t>
        </is>
      </c>
      <c r="F102" s="26" t="inlineStr">
        <is>
          <t>2028-01-12</t>
        </is>
      </c>
      <c r="G102" s="28" t="n">
        <v>48</v>
      </c>
      <c r="H102" s="29" t="n">
        <v>224120.69</v>
      </c>
      <c r="I102" s="29">
        <f>IF(Intereses_Residual_Mensual!I102&gt;0, ROUND(106032.9 + Intereses_Residual_Mensual!I102, 2), "")</f>
        <v/>
      </c>
      <c r="J102" s="29">
        <f>IF(Intereses_Residual_Mensual!J102&gt;0, ROUND(I102 + Intereses_Residual_Mensual!J102, 2), "")</f>
        <v/>
      </c>
      <c r="K102" s="29">
        <f>IF(Intereses_Residual_Mensual!K102&gt;0, ROUND(J102 + Intereses_Residual_Mensual!K102, 2), "")</f>
        <v/>
      </c>
      <c r="L102" s="29">
        <f>IF(Intereses_Residual_Mensual!L102&gt;0, ROUND(K102 + Intereses_Residual_Mensual!L102, 2), "")</f>
        <v/>
      </c>
      <c r="M102" s="29">
        <f>IF(Intereses_Residual_Mensual!M102&gt;0, ROUND(L102 + Intereses_Residual_Mensual!M102, 2), "")</f>
        <v/>
      </c>
      <c r="N102" s="29">
        <f>IF(Intereses_Residual_Mensual!N102&gt;0, ROUND(M102 + Intereses_Residual_Mensual!N102, 2), "")</f>
        <v/>
      </c>
      <c r="O102" s="29">
        <f>IF(Intereses_Residual_Mensual!O102&gt;0, ROUND(N102 + Intereses_Residual_Mensual!O102, 2), "")</f>
        <v/>
      </c>
      <c r="P102" s="29">
        <f>IF(Intereses_Residual_Mensual!P102&gt;0, ROUND(O102 + Intereses_Residual_Mensual!P102, 2), "")</f>
        <v/>
      </c>
      <c r="Q102" s="29">
        <f>IF(Intereses_Residual_Mensual!Q102&gt;0, ROUND(P102 + Intereses_Residual_Mensual!Q102, 2), "")</f>
        <v/>
      </c>
      <c r="R102" s="29">
        <f>IF(Intereses_Residual_Mensual!R102&gt;0, ROUND(Q102 + Intereses_Residual_Mensual!R102, 2), "")</f>
        <v/>
      </c>
      <c r="S102" s="29">
        <f>IF(Intereses_Residual_Mensual!S102&gt;0, ROUND(R102 + Intereses_Residual_Mensual!S102, 2), "")</f>
        <v/>
      </c>
      <c r="T102" s="29">
        <f>IF(Intereses_Residual_Mensual!T102&gt;0, ROUND(S102 + Intereses_Residual_Mensual!T102, 2), "")</f>
        <v/>
      </c>
      <c r="U102" s="29">
        <f>MAX(I102:T102)</f>
        <v/>
      </c>
    </row>
    <row r="103">
      <c r="A103" s="20" t="inlineStr">
        <is>
          <t>0647-0001</t>
        </is>
      </c>
      <c r="B103" s="21" t="inlineStr">
        <is>
          <t>Cibara Gourmet S de Rl de Cv</t>
        </is>
      </c>
      <c r="C103" s="21" t="inlineStr">
        <is>
          <t>Partner Maxi</t>
        </is>
      </c>
      <c r="D103" s="20" t="inlineStr">
        <is>
          <t>ACTIVO</t>
        </is>
      </c>
      <c r="E103" s="20" t="inlineStr">
        <is>
          <t>2024-01-10</t>
        </is>
      </c>
      <c r="F103" s="20" t="inlineStr">
        <is>
          <t>2027-01-10</t>
        </is>
      </c>
      <c r="G103" s="22" t="n">
        <v>36</v>
      </c>
      <c r="H103" s="23" t="n">
        <v>75500</v>
      </c>
      <c r="I103" s="23">
        <f>IF(Intereses_Residual_Mensual!I103&gt;0, ROUND(52145.61 + Intereses_Residual_Mensual!I103, 2), "")</f>
        <v/>
      </c>
      <c r="J103" s="23">
        <f>IF(Intereses_Residual_Mensual!J103&gt;0, ROUND(I103 + Intereses_Residual_Mensual!J103, 2), "")</f>
        <v/>
      </c>
      <c r="K103" s="23">
        <f>IF(Intereses_Residual_Mensual!K103&gt;0, ROUND(J103 + Intereses_Residual_Mensual!K103, 2), "")</f>
        <v/>
      </c>
      <c r="L103" s="23">
        <f>IF(Intereses_Residual_Mensual!L103&gt;0, ROUND(K103 + Intereses_Residual_Mensual!L103, 2), "")</f>
        <v/>
      </c>
      <c r="M103" s="23">
        <f>IF(Intereses_Residual_Mensual!M103&gt;0, ROUND(L103 + Intereses_Residual_Mensual!M103, 2), "")</f>
        <v/>
      </c>
      <c r="N103" s="23">
        <f>IF(Intereses_Residual_Mensual!N103&gt;0, ROUND(M103 + Intereses_Residual_Mensual!N103, 2), "")</f>
        <v/>
      </c>
      <c r="O103" s="23">
        <f>IF(Intereses_Residual_Mensual!O103&gt;0, ROUND(N103 + Intereses_Residual_Mensual!O103, 2), "")</f>
        <v/>
      </c>
      <c r="P103" s="23">
        <f>IF(Intereses_Residual_Mensual!P103&gt;0, ROUND(O103 + Intereses_Residual_Mensual!P103, 2), "")</f>
        <v/>
      </c>
      <c r="Q103" s="23">
        <f>IF(Intereses_Residual_Mensual!Q103&gt;0, ROUND(P103 + Intereses_Residual_Mensual!Q103, 2), "")</f>
        <v/>
      </c>
      <c r="R103" s="23">
        <f>IF(Intereses_Residual_Mensual!R103&gt;0, ROUND(Q103 + Intereses_Residual_Mensual!R103, 2), "")</f>
        <v/>
      </c>
      <c r="S103" s="23">
        <f>IF(Intereses_Residual_Mensual!S103&gt;0, ROUND(R103 + Intereses_Residual_Mensual!S103, 2), "")</f>
        <v/>
      </c>
      <c r="T103" s="23">
        <f>IF(Intereses_Residual_Mensual!T103&gt;0, ROUND(S103 + Intereses_Residual_Mensual!T103, 2), "")</f>
        <v/>
      </c>
      <c r="U103" s="23">
        <f>MAX(I103:T103)</f>
        <v/>
      </c>
    </row>
    <row r="104">
      <c r="A104" s="26" t="inlineStr">
        <is>
          <t>0647-0002</t>
        </is>
      </c>
      <c r="B104" s="27" t="inlineStr">
        <is>
          <t>Cibara Gourmet S de Rl de Cv</t>
        </is>
      </c>
      <c r="C104" s="27" t="inlineStr">
        <is>
          <t>Rifter Allure Pack</t>
        </is>
      </c>
      <c r="D104" s="26" t="inlineStr">
        <is>
          <t>ACTIVO</t>
        </is>
      </c>
      <c r="E104" s="26" t="inlineStr">
        <is>
          <t>2024-08-14</t>
        </is>
      </c>
      <c r="F104" s="26" t="inlineStr">
        <is>
          <t>2027-08-14</t>
        </is>
      </c>
      <c r="G104" s="28" t="n">
        <v>36</v>
      </c>
      <c r="H104" s="29" t="n">
        <v>48008.62</v>
      </c>
      <c r="I104" s="29">
        <f>IF(Intereses_Residual_Mensual!I104&gt;0, ROUND(28063.95 + Intereses_Residual_Mensual!I104, 2), "")</f>
        <v/>
      </c>
      <c r="J104" s="29">
        <f>IF(Intereses_Residual_Mensual!J104&gt;0, ROUND(I104 + Intereses_Residual_Mensual!J104, 2), "")</f>
        <v/>
      </c>
      <c r="K104" s="29">
        <f>IF(Intereses_Residual_Mensual!K104&gt;0, ROUND(J104 + Intereses_Residual_Mensual!K104, 2), "")</f>
        <v/>
      </c>
      <c r="L104" s="29">
        <f>IF(Intereses_Residual_Mensual!L104&gt;0, ROUND(K104 + Intereses_Residual_Mensual!L104, 2), "")</f>
        <v/>
      </c>
      <c r="M104" s="29">
        <f>IF(Intereses_Residual_Mensual!M104&gt;0, ROUND(L104 + Intereses_Residual_Mensual!M104, 2), "")</f>
        <v/>
      </c>
      <c r="N104" s="29">
        <f>IF(Intereses_Residual_Mensual!N104&gt;0, ROUND(M104 + Intereses_Residual_Mensual!N104, 2), "")</f>
        <v/>
      </c>
      <c r="O104" s="29">
        <f>IF(Intereses_Residual_Mensual!O104&gt;0, ROUND(N104 + Intereses_Residual_Mensual!O104, 2), "")</f>
        <v/>
      </c>
      <c r="P104" s="29">
        <f>IF(Intereses_Residual_Mensual!P104&gt;0, ROUND(O104 + Intereses_Residual_Mensual!P104, 2), "")</f>
        <v/>
      </c>
      <c r="Q104" s="29">
        <f>IF(Intereses_Residual_Mensual!Q104&gt;0, ROUND(P104 + Intereses_Residual_Mensual!Q104, 2), "")</f>
        <v/>
      </c>
      <c r="R104" s="29">
        <f>IF(Intereses_Residual_Mensual!R104&gt;0, ROUND(Q104 + Intereses_Residual_Mensual!R104, 2), "")</f>
        <v/>
      </c>
      <c r="S104" s="29">
        <f>IF(Intereses_Residual_Mensual!S104&gt;0, ROUND(R104 + Intereses_Residual_Mensual!S104, 2), "")</f>
        <v/>
      </c>
      <c r="T104" s="29">
        <f>IF(Intereses_Residual_Mensual!T104&gt;0, ROUND(S104 + Intereses_Residual_Mensual!T104, 2), "")</f>
        <v/>
      </c>
      <c r="U104" s="29">
        <f>MAX(I104:T104)</f>
        <v/>
      </c>
    </row>
    <row r="105">
      <c r="A105" s="20" t="inlineStr">
        <is>
          <t>0647-0003</t>
        </is>
      </c>
      <c r="B105" s="21" t="inlineStr">
        <is>
          <t>Cibaria Gourmet S de Rl de Cv</t>
        </is>
      </c>
      <c r="C105" s="21" t="inlineStr">
        <is>
          <t>1200 Bighorn</t>
        </is>
      </c>
      <c r="D105" s="20" t="inlineStr">
        <is>
          <t>ACTIVO</t>
        </is>
      </c>
      <c r="E105" s="20" t="inlineStr">
        <is>
          <t>2026-06-30</t>
        </is>
      </c>
      <c r="F105" s="20" t="inlineStr">
        <is>
          <t>2029-06-30</t>
        </is>
      </c>
      <c r="G105" s="22" t="n">
        <v>36</v>
      </c>
      <c r="H105" s="23" t="n">
        <v>168750.9</v>
      </c>
      <c r="I105" s="23" t="inlineStr"/>
      <c r="J105" s="23" t="inlineStr"/>
      <c r="K105" s="23" t="inlineStr"/>
      <c r="L105" s="23" t="inlineStr"/>
      <c r="M105" s="23" t="inlineStr"/>
      <c r="N105" s="23">
        <f>ROUND('Resumen_Cartera'!$U105 + Intereses_Residual_Mensual!N105, 2)</f>
        <v/>
      </c>
      <c r="O105" s="23">
        <f>IF(Intereses_Residual_Mensual!O105&gt;0, ROUND(N105 + Intereses_Residual_Mensual!O105, 2), "")</f>
        <v/>
      </c>
      <c r="P105" s="23">
        <f>IF(Intereses_Residual_Mensual!P105&gt;0, ROUND(O105 + Intereses_Residual_Mensual!P105, 2), "")</f>
        <v/>
      </c>
      <c r="Q105" s="23">
        <f>IF(Intereses_Residual_Mensual!Q105&gt;0, ROUND(P105 + Intereses_Residual_Mensual!Q105, 2), "")</f>
        <v/>
      </c>
      <c r="R105" s="23">
        <f>IF(Intereses_Residual_Mensual!R105&gt;0, ROUND(Q105 + Intereses_Residual_Mensual!R105, 2), "")</f>
        <v/>
      </c>
      <c r="S105" s="23">
        <f>IF(Intereses_Residual_Mensual!S105&gt;0, ROUND(R105 + Intereses_Residual_Mensual!S105, 2), "")</f>
        <v/>
      </c>
      <c r="T105" s="23">
        <f>IF(Intereses_Residual_Mensual!T105&gt;0, ROUND(S105 + Intereses_Residual_Mensual!T105, 2), "")</f>
        <v/>
      </c>
      <c r="U105" s="23">
        <f>MAX(I105:T105)</f>
        <v/>
      </c>
    </row>
    <row r="106">
      <c r="A106" s="26" t="inlineStr">
        <is>
          <t>0647-0004</t>
        </is>
      </c>
      <c r="B106" s="27" t="inlineStr">
        <is>
          <t>Cibaria Gourmet S de Rl de Cv</t>
        </is>
      </c>
      <c r="C106" s="27" t="inlineStr">
        <is>
          <t>1200 Bighorn</t>
        </is>
      </c>
      <c r="D106" s="26" t="inlineStr">
        <is>
          <t>ACTIVO</t>
        </is>
      </c>
      <c r="E106" s="26" t="inlineStr">
        <is>
          <t>2026-06-30</t>
        </is>
      </c>
      <c r="F106" s="26" t="inlineStr">
        <is>
          <t>2029-06-30</t>
        </is>
      </c>
      <c r="G106" s="28" t="n">
        <v>36</v>
      </c>
      <c r="H106" s="29" t="n">
        <v>168750.9</v>
      </c>
      <c r="I106" s="29" t="inlineStr"/>
      <c r="J106" s="29" t="inlineStr"/>
      <c r="K106" s="29" t="inlineStr"/>
      <c r="L106" s="29" t="inlineStr"/>
      <c r="M106" s="29" t="inlineStr"/>
      <c r="N106" s="29">
        <f>ROUND('Resumen_Cartera'!$U106 + Intereses_Residual_Mensual!N106, 2)</f>
        <v/>
      </c>
      <c r="O106" s="29">
        <f>IF(Intereses_Residual_Mensual!O106&gt;0, ROUND(N106 + Intereses_Residual_Mensual!O106, 2), "")</f>
        <v/>
      </c>
      <c r="P106" s="29">
        <f>IF(Intereses_Residual_Mensual!P106&gt;0, ROUND(O106 + Intereses_Residual_Mensual!P106, 2), "")</f>
        <v/>
      </c>
      <c r="Q106" s="29">
        <f>IF(Intereses_Residual_Mensual!Q106&gt;0, ROUND(P106 + Intereses_Residual_Mensual!Q106, 2), "")</f>
        <v/>
      </c>
      <c r="R106" s="29">
        <f>IF(Intereses_Residual_Mensual!R106&gt;0, ROUND(Q106 + Intereses_Residual_Mensual!R106, 2), "")</f>
        <v/>
      </c>
      <c r="S106" s="29">
        <f>IF(Intereses_Residual_Mensual!S106&gt;0, ROUND(R106 + Intereses_Residual_Mensual!S106, 2), "")</f>
        <v/>
      </c>
      <c r="T106" s="29">
        <f>IF(Intereses_Residual_Mensual!T106&gt;0, ROUND(S106 + Intereses_Residual_Mensual!T106, 2), "")</f>
        <v/>
      </c>
      <c r="U106" s="29">
        <f>MAX(I106:T106)</f>
        <v/>
      </c>
    </row>
    <row r="107">
      <c r="A107" s="20" t="inlineStr">
        <is>
          <t>0648-0002</t>
        </is>
      </c>
      <c r="B107" s="21" t="inlineStr">
        <is>
          <t>Jorge Luis Cervantes Gonzalez</t>
        </is>
      </c>
      <c r="C107" s="21" t="inlineStr">
        <is>
          <t>Wagoneer</t>
        </is>
      </c>
      <c r="D107" s="20" t="inlineStr">
        <is>
          <t>ACTIVO</t>
        </is>
      </c>
      <c r="E107" s="20" t="inlineStr">
        <is>
          <t>2024-03-20</t>
        </is>
      </c>
      <c r="F107" s="20" t="inlineStr">
        <is>
          <t>2028-03-20</t>
        </is>
      </c>
      <c r="G107" s="22" t="n">
        <v>48</v>
      </c>
      <c r="H107" s="23" t="n">
        <v>332396.55</v>
      </c>
      <c r="I107" s="23">
        <f>IF(Intereses_Residual_Mensual!I107&gt;0, ROUND(144892.98 + Intereses_Residual_Mensual!I107, 2), "")</f>
        <v/>
      </c>
      <c r="J107" s="23">
        <f>IF(Intereses_Residual_Mensual!J107&gt;0, ROUND(I107 + Intereses_Residual_Mensual!J107, 2), "")</f>
        <v/>
      </c>
      <c r="K107" s="23">
        <f>IF(Intereses_Residual_Mensual!K107&gt;0, ROUND(J107 + Intereses_Residual_Mensual!K107, 2), "")</f>
        <v/>
      </c>
      <c r="L107" s="23">
        <f>IF(Intereses_Residual_Mensual!L107&gt;0, ROUND(K107 + Intereses_Residual_Mensual!L107, 2), "")</f>
        <v/>
      </c>
      <c r="M107" s="23">
        <f>IF(Intereses_Residual_Mensual!M107&gt;0, ROUND(L107 + Intereses_Residual_Mensual!M107, 2), "")</f>
        <v/>
      </c>
      <c r="N107" s="23">
        <f>IF(Intereses_Residual_Mensual!N107&gt;0, ROUND(M107 + Intereses_Residual_Mensual!N107, 2), "")</f>
        <v/>
      </c>
      <c r="O107" s="23">
        <f>IF(Intereses_Residual_Mensual!O107&gt;0, ROUND(N107 + Intereses_Residual_Mensual!O107, 2), "")</f>
        <v/>
      </c>
      <c r="P107" s="23">
        <f>IF(Intereses_Residual_Mensual!P107&gt;0, ROUND(O107 + Intereses_Residual_Mensual!P107, 2), "")</f>
        <v/>
      </c>
      <c r="Q107" s="23">
        <f>IF(Intereses_Residual_Mensual!Q107&gt;0, ROUND(P107 + Intereses_Residual_Mensual!Q107, 2), "")</f>
        <v/>
      </c>
      <c r="R107" s="23">
        <f>IF(Intereses_Residual_Mensual!R107&gt;0, ROUND(Q107 + Intereses_Residual_Mensual!R107, 2), "")</f>
        <v/>
      </c>
      <c r="S107" s="23">
        <f>IF(Intereses_Residual_Mensual!S107&gt;0, ROUND(R107 + Intereses_Residual_Mensual!S107, 2), "")</f>
        <v/>
      </c>
      <c r="T107" s="23">
        <f>IF(Intereses_Residual_Mensual!T107&gt;0, ROUND(S107 + Intereses_Residual_Mensual!T107, 2), "")</f>
        <v/>
      </c>
      <c r="U107" s="23">
        <f>MAX(I107:T107)</f>
        <v/>
      </c>
    </row>
    <row r="108">
      <c r="A108" s="26" t="inlineStr">
        <is>
          <t>0648-0003</t>
        </is>
      </c>
      <c r="B108" s="27" t="inlineStr">
        <is>
          <t>Jorge Luis Cervantes Gonzalez</t>
        </is>
      </c>
      <c r="C108" s="27" t="inlineStr">
        <is>
          <t>Wrangler Tuscadero</t>
        </is>
      </c>
      <c r="D108" s="26" t="inlineStr">
        <is>
          <t>ACTIVO</t>
        </is>
      </c>
      <c r="E108" s="26" t="inlineStr">
        <is>
          <t>2024-07-30</t>
        </is>
      </c>
      <c r="F108" s="26" t="inlineStr">
        <is>
          <t>2028-07-30</t>
        </is>
      </c>
      <c r="G108" s="28" t="n">
        <v>48</v>
      </c>
      <c r="H108" s="29" t="n">
        <v>243948.28</v>
      </c>
      <c r="I108" s="29">
        <f>IF(Intereses_Residual_Mensual!I108&gt;0, ROUND(95811.83 + Intereses_Residual_Mensual!I108, 2), "")</f>
        <v/>
      </c>
      <c r="J108" s="29">
        <f>IF(Intereses_Residual_Mensual!J108&gt;0, ROUND(I108 + Intereses_Residual_Mensual!J108, 2), "")</f>
        <v/>
      </c>
      <c r="K108" s="29">
        <f>IF(Intereses_Residual_Mensual!K108&gt;0, ROUND(J108 + Intereses_Residual_Mensual!K108, 2), "")</f>
        <v/>
      </c>
      <c r="L108" s="29">
        <f>IF(Intereses_Residual_Mensual!L108&gt;0, ROUND(K108 + Intereses_Residual_Mensual!L108, 2), "")</f>
        <v/>
      </c>
      <c r="M108" s="29">
        <f>IF(Intereses_Residual_Mensual!M108&gt;0, ROUND(L108 + Intereses_Residual_Mensual!M108, 2), "")</f>
        <v/>
      </c>
      <c r="N108" s="29">
        <f>IF(Intereses_Residual_Mensual!N108&gt;0, ROUND(M108 + Intereses_Residual_Mensual!N108, 2), "")</f>
        <v/>
      </c>
      <c r="O108" s="29">
        <f>IF(Intereses_Residual_Mensual!O108&gt;0, ROUND(N108 + Intereses_Residual_Mensual!O108, 2), "")</f>
        <v/>
      </c>
      <c r="P108" s="29">
        <f>IF(Intereses_Residual_Mensual!P108&gt;0, ROUND(O108 + Intereses_Residual_Mensual!P108, 2), "")</f>
        <v/>
      </c>
      <c r="Q108" s="29">
        <f>IF(Intereses_Residual_Mensual!Q108&gt;0, ROUND(P108 + Intereses_Residual_Mensual!Q108, 2), "")</f>
        <v/>
      </c>
      <c r="R108" s="29">
        <f>IF(Intereses_Residual_Mensual!R108&gt;0, ROUND(Q108 + Intereses_Residual_Mensual!R108, 2), "")</f>
        <v/>
      </c>
      <c r="S108" s="29">
        <f>IF(Intereses_Residual_Mensual!S108&gt;0, ROUND(R108 + Intereses_Residual_Mensual!S108, 2), "")</f>
        <v/>
      </c>
      <c r="T108" s="29">
        <f>IF(Intereses_Residual_Mensual!T108&gt;0, ROUND(S108 + Intereses_Residual_Mensual!T108, 2), "")</f>
        <v/>
      </c>
      <c r="U108" s="29">
        <f>MAX(I108:T108)</f>
        <v/>
      </c>
    </row>
    <row r="109">
      <c r="A109" s="20" t="inlineStr">
        <is>
          <t>0648-0004</t>
        </is>
      </c>
      <c r="B109" s="21" t="inlineStr">
        <is>
          <t>Jorge Luis Cervantes Gonzalez</t>
        </is>
      </c>
      <c r="C109" s="21" t="inlineStr">
        <is>
          <t>JEEP 392</t>
        </is>
      </c>
      <c r="D109" s="20" t="inlineStr">
        <is>
          <t>ACTIVO</t>
        </is>
      </c>
      <c r="E109" s="20" t="inlineStr">
        <is>
          <t>2025-11-13</t>
        </is>
      </c>
      <c r="F109" s="20" t="inlineStr">
        <is>
          <t>2028-11-13</t>
        </is>
      </c>
      <c r="G109" s="22" t="n">
        <v>36</v>
      </c>
      <c r="H109" s="23" t="n">
        <v>373603.45</v>
      </c>
      <c r="I109" s="23">
        <f>IF(Intereses_Residual_Mensual!I109&gt;0, ROUND(152804.95 + Intereses_Residual_Mensual!I109, 2), "")</f>
        <v/>
      </c>
      <c r="J109" s="23">
        <f>IF(Intereses_Residual_Mensual!J109&gt;0, ROUND(I109 + Intereses_Residual_Mensual!J109, 2), "")</f>
        <v/>
      </c>
      <c r="K109" s="23">
        <f>IF(Intereses_Residual_Mensual!K109&gt;0, ROUND(J109 + Intereses_Residual_Mensual!K109, 2), "")</f>
        <v/>
      </c>
      <c r="L109" s="23">
        <f>IF(Intereses_Residual_Mensual!L109&gt;0, ROUND(K109 + Intereses_Residual_Mensual!L109, 2), "")</f>
        <v/>
      </c>
      <c r="M109" s="23">
        <f>IF(Intereses_Residual_Mensual!M109&gt;0, ROUND(L109 + Intereses_Residual_Mensual!M109, 2), "")</f>
        <v/>
      </c>
      <c r="N109" s="23">
        <f>IF(Intereses_Residual_Mensual!N109&gt;0, ROUND(M109 + Intereses_Residual_Mensual!N109, 2), "")</f>
        <v/>
      </c>
      <c r="O109" s="23">
        <f>IF(Intereses_Residual_Mensual!O109&gt;0, ROUND(N109 + Intereses_Residual_Mensual!O109, 2), "")</f>
        <v/>
      </c>
      <c r="P109" s="23">
        <f>IF(Intereses_Residual_Mensual!P109&gt;0, ROUND(O109 + Intereses_Residual_Mensual!P109, 2), "")</f>
        <v/>
      </c>
      <c r="Q109" s="23">
        <f>IF(Intereses_Residual_Mensual!Q109&gt;0, ROUND(P109 + Intereses_Residual_Mensual!Q109, 2), "")</f>
        <v/>
      </c>
      <c r="R109" s="23">
        <f>IF(Intereses_Residual_Mensual!R109&gt;0, ROUND(Q109 + Intereses_Residual_Mensual!R109, 2), "")</f>
        <v/>
      </c>
      <c r="S109" s="23">
        <f>IF(Intereses_Residual_Mensual!S109&gt;0, ROUND(R109 + Intereses_Residual_Mensual!S109, 2), "")</f>
        <v/>
      </c>
      <c r="T109" s="23">
        <f>IF(Intereses_Residual_Mensual!T109&gt;0, ROUND(S109 + Intereses_Residual_Mensual!T109, 2), "")</f>
        <v/>
      </c>
      <c r="U109" s="23">
        <f>MAX(I109:T109)</f>
        <v/>
      </c>
    </row>
    <row r="110">
      <c r="A110" s="26" t="inlineStr">
        <is>
          <t>0648-0005</t>
        </is>
      </c>
      <c r="B110" s="27" t="inlineStr">
        <is>
          <t>Jorge Luis Cervantes Gonzalez</t>
        </is>
      </c>
      <c r="C110" s="27" t="inlineStr">
        <is>
          <t>1500 RHO</t>
        </is>
      </c>
      <c r="D110" s="26" t="inlineStr">
        <is>
          <t>ACTIVO</t>
        </is>
      </c>
      <c r="E110" s="26" t="inlineStr">
        <is>
          <t>2026-01-30</t>
        </is>
      </c>
      <c r="F110" s="26" t="inlineStr">
        <is>
          <t>2029-01-30</t>
        </is>
      </c>
      <c r="G110" s="28" t="n">
        <v>36</v>
      </c>
      <c r="H110" s="29" t="n">
        <v>401724.14</v>
      </c>
      <c r="I110" s="29">
        <f>ROUND('Resumen_Cartera'!$U110 + Intereses_Residual_Mensual!I110, 2)</f>
        <v/>
      </c>
      <c r="J110" s="29">
        <f>IF(Intereses_Residual_Mensual!J110&gt;0, ROUND(I110 + Intereses_Residual_Mensual!J110, 2), "")</f>
        <v/>
      </c>
      <c r="K110" s="29">
        <f>IF(Intereses_Residual_Mensual!K110&gt;0, ROUND(J110 + Intereses_Residual_Mensual!K110, 2), "")</f>
        <v/>
      </c>
      <c r="L110" s="29">
        <f>IF(Intereses_Residual_Mensual!L110&gt;0, ROUND(K110 + Intereses_Residual_Mensual!L110, 2), "")</f>
        <v/>
      </c>
      <c r="M110" s="29">
        <f>IF(Intereses_Residual_Mensual!M110&gt;0, ROUND(L110 + Intereses_Residual_Mensual!M110, 2), "")</f>
        <v/>
      </c>
      <c r="N110" s="29">
        <f>IF(Intereses_Residual_Mensual!N110&gt;0, ROUND(M110 + Intereses_Residual_Mensual!N110, 2), "")</f>
        <v/>
      </c>
      <c r="O110" s="29">
        <f>IF(Intereses_Residual_Mensual!O110&gt;0, ROUND(N110 + Intereses_Residual_Mensual!O110, 2), "")</f>
        <v/>
      </c>
      <c r="P110" s="29">
        <f>IF(Intereses_Residual_Mensual!P110&gt;0, ROUND(O110 + Intereses_Residual_Mensual!P110, 2), "")</f>
        <v/>
      </c>
      <c r="Q110" s="29">
        <f>IF(Intereses_Residual_Mensual!Q110&gt;0, ROUND(P110 + Intereses_Residual_Mensual!Q110, 2), "")</f>
        <v/>
      </c>
      <c r="R110" s="29">
        <f>IF(Intereses_Residual_Mensual!R110&gt;0, ROUND(Q110 + Intereses_Residual_Mensual!R110, 2), "")</f>
        <v/>
      </c>
      <c r="S110" s="29">
        <f>IF(Intereses_Residual_Mensual!S110&gt;0, ROUND(R110 + Intereses_Residual_Mensual!S110, 2), "")</f>
        <v/>
      </c>
      <c r="T110" s="29">
        <f>IF(Intereses_Residual_Mensual!T110&gt;0, ROUND(S110 + Intereses_Residual_Mensual!T110, 2), "")</f>
        <v/>
      </c>
      <c r="U110" s="29">
        <f>MAX(I110:T110)</f>
        <v/>
      </c>
    </row>
    <row r="111">
      <c r="A111" s="20" t="inlineStr">
        <is>
          <t>0648-0006</t>
        </is>
      </c>
      <c r="B111" s="21" t="inlineStr">
        <is>
          <t>Jorge Luis Cervantes Gonzalez</t>
        </is>
      </c>
      <c r="C111" s="21" t="inlineStr">
        <is>
          <t>Durango Hellcat SRT</t>
        </is>
      </c>
      <c r="D111" s="20" t="inlineStr">
        <is>
          <t>ACTIVO</t>
        </is>
      </c>
      <c r="E111" s="20" t="inlineStr">
        <is>
          <t>2026-04-01</t>
        </is>
      </c>
      <c r="F111" s="20" t="inlineStr">
        <is>
          <t>2029-04-01</t>
        </is>
      </c>
      <c r="G111" s="22" t="n">
        <v>36</v>
      </c>
      <c r="H111" s="23" t="n">
        <v>374982.76</v>
      </c>
      <c r="I111" s="23" t="inlineStr"/>
      <c r="J111" s="23" t="inlineStr"/>
      <c r="K111" s="23" t="inlineStr"/>
      <c r="L111" s="23">
        <f>ROUND('Resumen_Cartera'!$U111 + Intereses_Residual_Mensual!L111, 2)</f>
        <v/>
      </c>
      <c r="M111" s="23">
        <f>IF(Intereses_Residual_Mensual!M111&gt;0, ROUND(L111 + Intereses_Residual_Mensual!M111, 2), "")</f>
        <v/>
      </c>
      <c r="N111" s="23">
        <f>IF(Intereses_Residual_Mensual!N111&gt;0, ROUND(M111 + Intereses_Residual_Mensual!N111, 2), "")</f>
        <v/>
      </c>
      <c r="O111" s="23">
        <f>IF(Intereses_Residual_Mensual!O111&gt;0, ROUND(N111 + Intereses_Residual_Mensual!O111, 2), "")</f>
        <v/>
      </c>
      <c r="P111" s="23">
        <f>IF(Intereses_Residual_Mensual!P111&gt;0, ROUND(O111 + Intereses_Residual_Mensual!P111, 2), "")</f>
        <v/>
      </c>
      <c r="Q111" s="23">
        <f>IF(Intereses_Residual_Mensual!Q111&gt;0, ROUND(P111 + Intereses_Residual_Mensual!Q111, 2), "")</f>
        <v/>
      </c>
      <c r="R111" s="23">
        <f>IF(Intereses_Residual_Mensual!R111&gt;0, ROUND(Q111 + Intereses_Residual_Mensual!R111, 2), "")</f>
        <v/>
      </c>
      <c r="S111" s="23">
        <f>IF(Intereses_Residual_Mensual!S111&gt;0, ROUND(R111 + Intereses_Residual_Mensual!S111, 2), "")</f>
        <v/>
      </c>
      <c r="T111" s="23">
        <f>IF(Intereses_Residual_Mensual!T111&gt;0, ROUND(S111 + Intereses_Residual_Mensual!T111, 2), "")</f>
        <v/>
      </c>
      <c r="U111" s="23">
        <f>MAX(I111:T111)</f>
        <v/>
      </c>
    </row>
    <row r="112">
      <c r="A112" s="26" t="inlineStr">
        <is>
          <t>0649-0001</t>
        </is>
      </c>
      <c r="B112" s="27" t="inlineStr">
        <is>
          <t>Compusoluciones Y Asociados Sa de Cv</t>
        </is>
      </c>
      <c r="C112" s="27" t="inlineStr">
        <is>
          <t>CX-30</t>
        </is>
      </c>
      <c r="D112" s="26" t="inlineStr">
        <is>
          <t>ACTIVO</t>
        </is>
      </c>
      <c r="E112" s="26" t="inlineStr">
        <is>
          <t>2024-02-27</t>
        </is>
      </c>
      <c r="F112" s="26" t="inlineStr">
        <is>
          <t>2028-02-27</t>
        </is>
      </c>
      <c r="G112" s="28" t="n">
        <v>48</v>
      </c>
      <c r="H112" s="29" t="n">
        <v>136418.55</v>
      </c>
      <c r="I112" s="29">
        <f>IF(Intereses_Residual_Mensual!I112&gt;0, ROUND(72669.63 + Intereses_Residual_Mensual!I112, 2), "")</f>
        <v/>
      </c>
      <c r="J112" s="29">
        <f>IF(Intereses_Residual_Mensual!J112&gt;0, ROUND(I112 + Intereses_Residual_Mensual!J112, 2), "")</f>
        <v/>
      </c>
      <c r="K112" s="29">
        <f>IF(Intereses_Residual_Mensual!K112&gt;0, ROUND(J112 + Intereses_Residual_Mensual!K112, 2), "")</f>
        <v/>
      </c>
      <c r="L112" s="29">
        <f>IF(Intereses_Residual_Mensual!L112&gt;0, ROUND(K112 + Intereses_Residual_Mensual!L112, 2), "")</f>
        <v/>
      </c>
      <c r="M112" s="29">
        <f>IF(Intereses_Residual_Mensual!M112&gt;0, ROUND(L112 + Intereses_Residual_Mensual!M112, 2), "")</f>
        <v/>
      </c>
      <c r="N112" s="29">
        <f>IF(Intereses_Residual_Mensual!N112&gt;0, ROUND(M112 + Intereses_Residual_Mensual!N112, 2), "")</f>
        <v/>
      </c>
      <c r="O112" s="29">
        <f>IF(Intereses_Residual_Mensual!O112&gt;0, ROUND(N112 + Intereses_Residual_Mensual!O112, 2), "")</f>
        <v/>
      </c>
      <c r="P112" s="29">
        <f>IF(Intereses_Residual_Mensual!P112&gt;0, ROUND(O112 + Intereses_Residual_Mensual!P112, 2), "")</f>
        <v/>
      </c>
      <c r="Q112" s="29">
        <f>IF(Intereses_Residual_Mensual!Q112&gt;0, ROUND(P112 + Intereses_Residual_Mensual!Q112, 2), "")</f>
        <v/>
      </c>
      <c r="R112" s="29">
        <f>IF(Intereses_Residual_Mensual!R112&gt;0, ROUND(Q112 + Intereses_Residual_Mensual!R112, 2), "")</f>
        <v/>
      </c>
      <c r="S112" s="29">
        <f>IF(Intereses_Residual_Mensual!S112&gt;0, ROUND(R112 + Intereses_Residual_Mensual!S112, 2), "")</f>
        <v/>
      </c>
      <c r="T112" s="29">
        <f>IF(Intereses_Residual_Mensual!T112&gt;0, ROUND(S112 + Intereses_Residual_Mensual!T112, 2), "")</f>
        <v/>
      </c>
      <c r="U112" s="29">
        <f>MAX(I112:T112)</f>
        <v/>
      </c>
    </row>
    <row r="113">
      <c r="A113" s="20" t="inlineStr">
        <is>
          <t>0649-0002</t>
        </is>
      </c>
      <c r="B113" s="21" t="inlineStr">
        <is>
          <t>Compusoluciones Y Asociados Sa de Cv</t>
        </is>
      </c>
      <c r="C113" s="21" t="inlineStr">
        <is>
          <t>CX5</t>
        </is>
      </c>
      <c r="D113" s="20" t="inlineStr">
        <is>
          <t>ACTIVO</t>
        </is>
      </c>
      <c r="E113" s="20" t="inlineStr">
        <is>
          <t>2024-02-27</t>
        </is>
      </c>
      <c r="F113" s="20" t="inlineStr">
        <is>
          <t>2028-02-27</t>
        </is>
      </c>
      <c r="G113" s="22" t="n">
        <v>48</v>
      </c>
      <c r="H113" s="23" t="n">
        <v>170731.03</v>
      </c>
      <c r="I113" s="23">
        <f>IF(Intereses_Residual_Mensual!I113&gt;0, ROUND(90905.9 + Intereses_Residual_Mensual!I113, 2), "")</f>
        <v/>
      </c>
      <c r="J113" s="23">
        <f>IF(Intereses_Residual_Mensual!J113&gt;0, ROUND(I113 + Intereses_Residual_Mensual!J113, 2), "")</f>
        <v/>
      </c>
      <c r="K113" s="23">
        <f>IF(Intereses_Residual_Mensual!K113&gt;0, ROUND(J113 + Intereses_Residual_Mensual!K113, 2), "")</f>
        <v/>
      </c>
      <c r="L113" s="23">
        <f>IF(Intereses_Residual_Mensual!L113&gt;0, ROUND(K113 + Intereses_Residual_Mensual!L113, 2), "")</f>
        <v/>
      </c>
      <c r="M113" s="23">
        <f>IF(Intereses_Residual_Mensual!M113&gt;0, ROUND(L113 + Intereses_Residual_Mensual!M113, 2), "")</f>
        <v/>
      </c>
      <c r="N113" s="23">
        <f>IF(Intereses_Residual_Mensual!N113&gt;0, ROUND(M113 + Intereses_Residual_Mensual!N113, 2), "")</f>
        <v/>
      </c>
      <c r="O113" s="23">
        <f>IF(Intereses_Residual_Mensual!O113&gt;0, ROUND(N113 + Intereses_Residual_Mensual!O113, 2), "")</f>
        <v/>
      </c>
      <c r="P113" s="23">
        <f>IF(Intereses_Residual_Mensual!P113&gt;0, ROUND(O113 + Intereses_Residual_Mensual!P113, 2), "")</f>
        <v/>
      </c>
      <c r="Q113" s="23">
        <f>IF(Intereses_Residual_Mensual!Q113&gt;0, ROUND(P113 + Intereses_Residual_Mensual!Q113, 2), "")</f>
        <v/>
      </c>
      <c r="R113" s="23">
        <f>IF(Intereses_Residual_Mensual!R113&gt;0, ROUND(Q113 + Intereses_Residual_Mensual!R113, 2), "")</f>
        <v/>
      </c>
      <c r="S113" s="23">
        <f>IF(Intereses_Residual_Mensual!S113&gt;0, ROUND(R113 + Intereses_Residual_Mensual!S113, 2), "")</f>
        <v/>
      </c>
      <c r="T113" s="23">
        <f>IF(Intereses_Residual_Mensual!T113&gt;0, ROUND(S113 + Intereses_Residual_Mensual!T113, 2), "")</f>
        <v/>
      </c>
      <c r="U113" s="23">
        <f>MAX(I113:T113)</f>
        <v/>
      </c>
    </row>
    <row r="114">
      <c r="A114" s="26" t="inlineStr">
        <is>
          <t>0649-0003</t>
        </is>
      </c>
      <c r="B114" s="27" t="inlineStr">
        <is>
          <t>Compusoluciones Y Asociados Sa de Cv</t>
        </is>
      </c>
      <c r="C114" s="27" t="inlineStr">
        <is>
          <t>Highlander XLE</t>
        </is>
      </c>
      <c r="D114" s="26" t="inlineStr">
        <is>
          <t>ACTIVO</t>
        </is>
      </c>
      <c r="E114" s="26" t="inlineStr">
        <is>
          <t>2024-03-13</t>
        </is>
      </c>
      <c r="F114" s="26" t="inlineStr">
        <is>
          <t>2028-03-13</t>
        </is>
      </c>
      <c r="G114" s="28" t="n">
        <v>48</v>
      </c>
      <c r="H114" s="29" t="n">
        <v>315160.34</v>
      </c>
      <c r="I114" s="29">
        <f>IF(Intereses_Residual_Mensual!I114&gt;0, ROUND(183303.3 + Intereses_Residual_Mensual!I114, 2), "")</f>
        <v/>
      </c>
      <c r="J114" s="29">
        <f>IF(Intereses_Residual_Mensual!J114&gt;0, ROUND(I114 + Intereses_Residual_Mensual!J114, 2), "")</f>
        <v/>
      </c>
      <c r="K114" s="29">
        <f>IF(Intereses_Residual_Mensual!K114&gt;0, ROUND(J114 + Intereses_Residual_Mensual!K114, 2), "")</f>
        <v/>
      </c>
      <c r="L114" s="29">
        <f>IF(Intereses_Residual_Mensual!L114&gt;0, ROUND(K114 + Intereses_Residual_Mensual!L114, 2), "")</f>
        <v/>
      </c>
      <c r="M114" s="29">
        <f>IF(Intereses_Residual_Mensual!M114&gt;0, ROUND(L114 + Intereses_Residual_Mensual!M114, 2), "")</f>
        <v/>
      </c>
      <c r="N114" s="29">
        <f>IF(Intereses_Residual_Mensual!N114&gt;0, ROUND(M114 + Intereses_Residual_Mensual!N114, 2), "")</f>
        <v/>
      </c>
      <c r="O114" s="29">
        <f>IF(Intereses_Residual_Mensual!O114&gt;0, ROUND(N114 + Intereses_Residual_Mensual!O114, 2), "")</f>
        <v/>
      </c>
      <c r="P114" s="29">
        <f>IF(Intereses_Residual_Mensual!P114&gt;0, ROUND(O114 + Intereses_Residual_Mensual!P114, 2), "")</f>
        <v/>
      </c>
      <c r="Q114" s="29">
        <f>IF(Intereses_Residual_Mensual!Q114&gt;0, ROUND(P114 + Intereses_Residual_Mensual!Q114, 2), "")</f>
        <v/>
      </c>
      <c r="R114" s="29">
        <f>IF(Intereses_Residual_Mensual!R114&gt;0, ROUND(Q114 + Intereses_Residual_Mensual!R114, 2), "")</f>
        <v/>
      </c>
      <c r="S114" s="29">
        <f>IF(Intereses_Residual_Mensual!S114&gt;0, ROUND(R114 + Intereses_Residual_Mensual!S114, 2), "")</f>
        <v/>
      </c>
      <c r="T114" s="29">
        <f>IF(Intereses_Residual_Mensual!T114&gt;0, ROUND(S114 + Intereses_Residual_Mensual!T114, 2), "")</f>
        <v/>
      </c>
      <c r="U114" s="29">
        <f>MAX(I114:T114)</f>
        <v/>
      </c>
    </row>
    <row r="115">
      <c r="A115" s="20" t="inlineStr">
        <is>
          <t>0649-0005</t>
        </is>
      </c>
      <c r="B115" s="21" t="inlineStr">
        <is>
          <t>Compusoluciones y Asociados Sa de Cv</t>
        </is>
      </c>
      <c r="C115" s="21" t="inlineStr">
        <is>
          <t>3 i Touring</t>
        </is>
      </c>
      <c r="D115" s="20" t="inlineStr">
        <is>
          <t>ACTIVO</t>
        </is>
      </c>
      <c r="E115" s="20" t="inlineStr">
        <is>
          <t>2024-07-24</t>
        </is>
      </c>
      <c r="F115" s="20" t="inlineStr">
        <is>
          <t>2028-07-24</t>
        </is>
      </c>
      <c r="G115" s="22" t="n">
        <v>48</v>
      </c>
      <c r="H115" s="23" t="n">
        <v>123558.62</v>
      </c>
      <c r="I115" s="23">
        <f>IF(Intereses_Residual_Mensual!I115&gt;0, ROUND(57997.37 + Intereses_Residual_Mensual!I115, 2), "")</f>
        <v/>
      </c>
      <c r="J115" s="23">
        <f>IF(Intereses_Residual_Mensual!J115&gt;0, ROUND(I115 + Intereses_Residual_Mensual!J115, 2), "")</f>
        <v/>
      </c>
      <c r="K115" s="23">
        <f>IF(Intereses_Residual_Mensual!K115&gt;0, ROUND(J115 + Intereses_Residual_Mensual!K115, 2), "")</f>
        <v/>
      </c>
      <c r="L115" s="23">
        <f>IF(Intereses_Residual_Mensual!L115&gt;0, ROUND(K115 + Intereses_Residual_Mensual!L115, 2), "")</f>
        <v/>
      </c>
      <c r="M115" s="23">
        <f>IF(Intereses_Residual_Mensual!M115&gt;0, ROUND(L115 + Intereses_Residual_Mensual!M115, 2), "")</f>
        <v/>
      </c>
      <c r="N115" s="23">
        <f>IF(Intereses_Residual_Mensual!N115&gt;0, ROUND(M115 + Intereses_Residual_Mensual!N115, 2), "")</f>
        <v/>
      </c>
      <c r="O115" s="23">
        <f>IF(Intereses_Residual_Mensual!O115&gt;0, ROUND(N115 + Intereses_Residual_Mensual!O115, 2), "")</f>
        <v/>
      </c>
      <c r="P115" s="23">
        <f>IF(Intereses_Residual_Mensual!P115&gt;0, ROUND(O115 + Intereses_Residual_Mensual!P115, 2), "")</f>
        <v/>
      </c>
      <c r="Q115" s="23">
        <f>IF(Intereses_Residual_Mensual!Q115&gt;0, ROUND(P115 + Intereses_Residual_Mensual!Q115, 2), "")</f>
        <v/>
      </c>
      <c r="R115" s="23">
        <f>IF(Intereses_Residual_Mensual!R115&gt;0, ROUND(Q115 + Intereses_Residual_Mensual!R115, 2), "")</f>
        <v/>
      </c>
      <c r="S115" s="23">
        <f>IF(Intereses_Residual_Mensual!S115&gt;0, ROUND(R115 + Intereses_Residual_Mensual!S115, 2), "")</f>
        <v/>
      </c>
      <c r="T115" s="23">
        <f>IF(Intereses_Residual_Mensual!T115&gt;0, ROUND(S115 + Intereses_Residual_Mensual!T115, 2), "")</f>
        <v/>
      </c>
      <c r="U115" s="23">
        <f>MAX(I115:T115)</f>
        <v/>
      </c>
    </row>
    <row r="116">
      <c r="A116" s="26" t="inlineStr">
        <is>
          <t>0649-0006</t>
        </is>
      </c>
      <c r="B116" s="27" t="inlineStr">
        <is>
          <t>Compusoluciones y Asociados sa de Cv</t>
        </is>
      </c>
      <c r="C116" s="27" t="inlineStr">
        <is>
          <t>Mazda Cx5</t>
        </is>
      </c>
      <c r="D116" s="26" t="inlineStr">
        <is>
          <t>ACTIVO</t>
        </is>
      </c>
      <c r="E116" s="26" t="inlineStr">
        <is>
          <t>2024-09-25</t>
        </is>
      </c>
      <c r="F116" s="26" t="inlineStr">
        <is>
          <t>2028-09-25</t>
        </is>
      </c>
      <c r="G116" s="28" t="n">
        <v>48</v>
      </c>
      <c r="H116" s="29" t="n">
        <v>164193.03</v>
      </c>
      <c r="I116" s="29">
        <f>IF(Intereses_Residual_Mensual!I116&gt;0, ROUND(73324.44 + Intereses_Residual_Mensual!I116, 2), "")</f>
        <v/>
      </c>
      <c r="J116" s="29">
        <f>IF(Intereses_Residual_Mensual!J116&gt;0, ROUND(I116 + Intereses_Residual_Mensual!J116, 2), "")</f>
        <v/>
      </c>
      <c r="K116" s="29">
        <f>IF(Intereses_Residual_Mensual!K116&gt;0, ROUND(J116 + Intereses_Residual_Mensual!K116, 2), "")</f>
        <v/>
      </c>
      <c r="L116" s="29">
        <f>IF(Intereses_Residual_Mensual!L116&gt;0, ROUND(K116 + Intereses_Residual_Mensual!L116, 2), "")</f>
        <v/>
      </c>
      <c r="M116" s="29">
        <f>IF(Intereses_Residual_Mensual!M116&gt;0, ROUND(L116 + Intereses_Residual_Mensual!M116, 2), "")</f>
        <v/>
      </c>
      <c r="N116" s="29">
        <f>IF(Intereses_Residual_Mensual!N116&gt;0, ROUND(M116 + Intereses_Residual_Mensual!N116, 2), "")</f>
        <v/>
      </c>
      <c r="O116" s="29">
        <f>IF(Intereses_Residual_Mensual!O116&gt;0, ROUND(N116 + Intereses_Residual_Mensual!O116, 2), "")</f>
        <v/>
      </c>
      <c r="P116" s="29">
        <f>IF(Intereses_Residual_Mensual!P116&gt;0, ROUND(O116 + Intereses_Residual_Mensual!P116, 2), "")</f>
        <v/>
      </c>
      <c r="Q116" s="29">
        <f>IF(Intereses_Residual_Mensual!Q116&gt;0, ROUND(P116 + Intereses_Residual_Mensual!Q116, 2), "")</f>
        <v/>
      </c>
      <c r="R116" s="29">
        <f>IF(Intereses_Residual_Mensual!R116&gt;0, ROUND(Q116 + Intereses_Residual_Mensual!R116, 2), "")</f>
        <v/>
      </c>
      <c r="S116" s="29">
        <f>IF(Intereses_Residual_Mensual!S116&gt;0, ROUND(R116 + Intereses_Residual_Mensual!S116, 2), "")</f>
        <v/>
      </c>
      <c r="T116" s="29">
        <f>IF(Intereses_Residual_Mensual!T116&gt;0, ROUND(S116 + Intereses_Residual_Mensual!T116, 2), "")</f>
        <v/>
      </c>
      <c r="U116" s="29">
        <f>MAX(I116:T116)</f>
        <v/>
      </c>
    </row>
    <row r="117">
      <c r="A117" s="20" t="inlineStr">
        <is>
          <t>0649-0007</t>
        </is>
      </c>
      <c r="B117" s="21" t="inlineStr">
        <is>
          <t>Compusoluciones y Asociados sa de Cv</t>
        </is>
      </c>
      <c r="C117" s="21" t="inlineStr">
        <is>
          <t>RX5</t>
        </is>
      </c>
      <c r="D117" s="20" t="inlineStr">
        <is>
          <t>ACTIVO</t>
        </is>
      </c>
      <c r="E117" s="20" t="inlineStr">
        <is>
          <t>2024-10-28</t>
        </is>
      </c>
      <c r="F117" s="20" t="inlineStr">
        <is>
          <t>2027-10-28</t>
        </is>
      </c>
      <c r="G117" s="22" t="n">
        <v>36</v>
      </c>
      <c r="H117" s="23" t="n">
        <v>125489.66</v>
      </c>
      <c r="I117" s="23">
        <f>IF(Intereses_Residual_Mensual!I117&gt;0, ROUND(80174.08 + Intereses_Residual_Mensual!I117, 2), "")</f>
        <v/>
      </c>
      <c r="J117" s="23">
        <f>IF(Intereses_Residual_Mensual!J117&gt;0, ROUND(I117 + Intereses_Residual_Mensual!J117, 2), "")</f>
        <v/>
      </c>
      <c r="K117" s="23">
        <f>IF(Intereses_Residual_Mensual!K117&gt;0, ROUND(J117 + Intereses_Residual_Mensual!K117, 2), "")</f>
        <v/>
      </c>
      <c r="L117" s="23">
        <f>IF(Intereses_Residual_Mensual!L117&gt;0, ROUND(K117 + Intereses_Residual_Mensual!L117, 2), "")</f>
        <v/>
      </c>
      <c r="M117" s="23">
        <f>IF(Intereses_Residual_Mensual!M117&gt;0, ROUND(L117 + Intereses_Residual_Mensual!M117, 2), "")</f>
        <v/>
      </c>
      <c r="N117" s="23">
        <f>IF(Intereses_Residual_Mensual!N117&gt;0, ROUND(M117 + Intereses_Residual_Mensual!N117, 2), "")</f>
        <v/>
      </c>
      <c r="O117" s="23">
        <f>IF(Intereses_Residual_Mensual!O117&gt;0, ROUND(N117 + Intereses_Residual_Mensual!O117, 2), "")</f>
        <v/>
      </c>
      <c r="P117" s="23">
        <f>IF(Intereses_Residual_Mensual!P117&gt;0, ROUND(O117 + Intereses_Residual_Mensual!P117, 2), "")</f>
        <v/>
      </c>
      <c r="Q117" s="23">
        <f>IF(Intereses_Residual_Mensual!Q117&gt;0, ROUND(P117 + Intereses_Residual_Mensual!Q117, 2), "")</f>
        <v/>
      </c>
      <c r="R117" s="23">
        <f>IF(Intereses_Residual_Mensual!R117&gt;0, ROUND(Q117 + Intereses_Residual_Mensual!R117, 2), "")</f>
        <v/>
      </c>
      <c r="S117" s="23">
        <f>IF(Intereses_Residual_Mensual!S117&gt;0, ROUND(R117 + Intereses_Residual_Mensual!S117, 2), "")</f>
        <v/>
      </c>
      <c r="T117" s="23">
        <f>IF(Intereses_Residual_Mensual!T117&gt;0, ROUND(S117 + Intereses_Residual_Mensual!T117, 2), "")</f>
        <v/>
      </c>
      <c r="U117" s="23">
        <f>MAX(I117:T117)</f>
        <v/>
      </c>
    </row>
    <row r="118">
      <c r="A118" s="26" t="inlineStr">
        <is>
          <t>0649-0008</t>
        </is>
      </c>
      <c r="B118" s="27" t="inlineStr">
        <is>
          <t>Compusoluciones y Asociados Sa de Cv</t>
        </is>
      </c>
      <c r="C118" s="27" t="inlineStr">
        <is>
          <t>Kicks</t>
        </is>
      </c>
      <c r="D118" s="26" t="inlineStr">
        <is>
          <t>ACTIVO</t>
        </is>
      </c>
      <c r="E118" s="26" t="inlineStr">
        <is>
          <t>2024-11-27</t>
        </is>
      </c>
      <c r="F118" s="26" t="inlineStr">
        <is>
          <t>2028-11-27</t>
        </is>
      </c>
      <c r="G118" s="28" t="n">
        <v>48</v>
      </c>
      <c r="H118" s="29" t="n">
        <v>174317.24</v>
      </c>
      <c r="I118" s="29">
        <f>IF(Intereses_Residual_Mensual!I118&gt;0, ROUND(73974.26 + Intereses_Residual_Mensual!I118, 2), "")</f>
        <v/>
      </c>
      <c r="J118" s="29">
        <f>IF(Intereses_Residual_Mensual!J118&gt;0, ROUND(I118 + Intereses_Residual_Mensual!J118, 2), "")</f>
        <v/>
      </c>
      <c r="K118" s="29">
        <f>IF(Intereses_Residual_Mensual!K118&gt;0, ROUND(J118 + Intereses_Residual_Mensual!K118, 2), "")</f>
        <v/>
      </c>
      <c r="L118" s="29">
        <f>IF(Intereses_Residual_Mensual!L118&gt;0, ROUND(K118 + Intereses_Residual_Mensual!L118, 2), "")</f>
        <v/>
      </c>
      <c r="M118" s="29">
        <f>IF(Intereses_Residual_Mensual!M118&gt;0, ROUND(L118 + Intereses_Residual_Mensual!M118, 2), "")</f>
        <v/>
      </c>
      <c r="N118" s="29">
        <f>IF(Intereses_Residual_Mensual!N118&gt;0, ROUND(M118 + Intereses_Residual_Mensual!N118, 2), "")</f>
        <v/>
      </c>
      <c r="O118" s="29">
        <f>IF(Intereses_Residual_Mensual!O118&gt;0, ROUND(N118 + Intereses_Residual_Mensual!O118, 2), "")</f>
        <v/>
      </c>
      <c r="P118" s="29">
        <f>IF(Intereses_Residual_Mensual!P118&gt;0, ROUND(O118 + Intereses_Residual_Mensual!P118, 2), "")</f>
        <v/>
      </c>
      <c r="Q118" s="29">
        <f>IF(Intereses_Residual_Mensual!Q118&gt;0, ROUND(P118 + Intereses_Residual_Mensual!Q118, 2), "")</f>
        <v/>
      </c>
      <c r="R118" s="29">
        <f>IF(Intereses_Residual_Mensual!R118&gt;0, ROUND(Q118 + Intereses_Residual_Mensual!R118, 2), "")</f>
        <v/>
      </c>
      <c r="S118" s="29">
        <f>IF(Intereses_Residual_Mensual!S118&gt;0, ROUND(R118 + Intereses_Residual_Mensual!S118, 2), "")</f>
        <v/>
      </c>
      <c r="T118" s="29">
        <f>IF(Intereses_Residual_Mensual!T118&gt;0, ROUND(S118 + Intereses_Residual_Mensual!T118, 2), "")</f>
        <v/>
      </c>
      <c r="U118" s="29">
        <f>MAX(I118:T118)</f>
        <v/>
      </c>
    </row>
    <row r="119">
      <c r="A119" s="20" t="inlineStr">
        <is>
          <t>0649-0009</t>
        </is>
      </c>
      <c r="B119" s="21" t="inlineStr">
        <is>
          <t>Compusoluciones y Asociados Sa de Cv</t>
        </is>
      </c>
      <c r="C119" s="21" t="inlineStr">
        <is>
          <t>Fronx Boostergreen</t>
        </is>
      </c>
      <c r="D119" s="20" t="inlineStr">
        <is>
          <t>ACTIVO</t>
        </is>
      </c>
      <c r="E119" s="20" t="inlineStr">
        <is>
          <t>2025-05-26</t>
        </is>
      </c>
      <c r="F119" s="20" t="inlineStr">
        <is>
          <t>2029-05-26</t>
        </is>
      </c>
      <c r="G119" s="22" t="n">
        <v>48</v>
      </c>
      <c r="H119" s="23" t="n">
        <v>124135.17</v>
      </c>
      <c r="I119" s="23">
        <f>IF(Intereses_Residual_Mensual!I119&gt;0, ROUND(45283.73 + Intereses_Residual_Mensual!I119, 2), "")</f>
        <v/>
      </c>
      <c r="J119" s="23">
        <f>IF(Intereses_Residual_Mensual!J119&gt;0, ROUND(I119 + Intereses_Residual_Mensual!J119, 2), "")</f>
        <v/>
      </c>
      <c r="K119" s="23">
        <f>IF(Intereses_Residual_Mensual!K119&gt;0, ROUND(J119 + Intereses_Residual_Mensual!K119, 2), "")</f>
        <v/>
      </c>
      <c r="L119" s="23">
        <f>IF(Intereses_Residual_Mensual!L119&gt;0, ROUND(K119 + Intereses_Residual_Mensual!L119, 2), "")</f>
        <v/>
      </c>
      <c r="M119" s="23">
        <f>IF(Intereses_Residual_Mensual!M119&gt;0, ROUND(L119 + Intereses_Residual_Mensual!M119, 2), "")</f>
        <v/>
      </c>
      <c r="N119" s="23">
        <f>IF(Intereses_Residual_Mensual!N119&gt;0, ROUND(M119 + Intereses_Residual_Mensual!N119, 2), "")</f>
        <v/>
      </c>
      <c r="O119" s="23">
        <f>IF(Intereses_Residual_Mensual!O119&gt;0, ROUND(N119 + Intereses_Residual_Mensual!O119, 2), "")</f>
        <v/>
      </c>
      <c r="P119" s="23">
        <f>IF(Intereses_Residual_Mensual!P119&gt;0, ROUND(O119 + Intereses_Residual_Mensual!P119, 2), "")</f>
        <v/>
      </c>
      <c r="Q119" s="23">
        <f>IF(Intereses_Residual_Mensual!Q119&gt;0, ROUND(P119 + Intereses_Residual_Mensual!Q119, 2), "")</f>
        <v/>
      </c>
      <c r="R119" s="23">
        <f>IF(Intereses_Residual_Mensual!R119&gt;0, ROUND(Q119 + Intereses_Residual_Mensual!R119, 2), "")</f>
        <v/>
      </c>
      <c r="S119" s="23">
        <f>IF(Intereses_Residual_Mensual!S119&gt;0, ROUND(R119 + Intereses_Residual_Mensual!S119, 2), "")</f>
        <v/>
      </c>
      <c r="T119" s="23">
        <f>IF(Intereses_Residual_Mensual!T119&gt;0, ROUND(S119 + Intereses_Residual_Mensual!T119, 2), "")</f>
        <v/>
      </c>
      <c r="U119" s="23">
        <f>MAX(I119:T119)</f>
        <v/>
      </c>
    </row>
    <row r="120">
      <c r="A120" s="26" t="inlineStr">
        <is>
          <t>0649-0010</t>
        </is>
      </c>
      <c r="B120" s="27" t="inlineStr">
        <is>
          <t>Compusoluciones y Asociados Sa de Cv</t>
        </is>
      </c>
      <c r="C120" s="27" t="inlineStr">
        <is>
          <t>Mazda CX90</t>
        </is>
      </c>
      <c r="D120" s="26" t="inlineStr">
        <is>
          <t>ACTIVO</t>
        </is>
      </c>
      <c r="E120" s="26" t="inlineStr">
        <is>
          <t>2025-09-30</t>
        </is>
      </c>
      <c r="F120" s="26" t="inlineStr">
        <is>
          <t>2029-09-30</t>
        </is>
      </c>
      <c r="G120" s="28" t="n">
        <v>48</v>
      </c>
      <c r="H120" s="29" t="n">
        <v>270868.97</v>
      </c>
      <c r="I120" s="29">
        <f>IF(Intereses_Residual_Mensual!I120&gt;0, ROUND(102626.16 + Intereses_Residual_Mensual!I120, 2), "")</f>
        <v/>
      </c>
      <c r="J120" s="29">
        <f>IF(Intereses_Residual_Mensual!J120&gt;0, ROUND(I120 + Intereses_Residual_Mensual!J120, 2), "")</f>
        <v/>
      </c>
      <c r="K120" s="29">
        <f>IF(Intereses_Residual_Mensual!K120&gt;0, ROUND(J120 + Intereses_Residual_Mensual!K120, 2), "")</f>
        <v/>
      </c>
      <c r="L120" s="29">
        <f>IF(Intereses_Residual_Mensual!L120&gt;0, ROUND(K120 + Intereses_Residual_Mensual!L120, 2), "")</f>
        <v/>
      </c>
      <c r="M120" s="29">
        <f>IF(Intereses_Residual_Mensual!M120&gt;0, ROUND(L120 + Intereses_Residual_Mensual!M120, 2), "")</f>
        <v/>
      </c>
      <c r="N120" s="29">
        <f>IF(Intereses_Residual_Mensual!N120&gt;0, ROUND(M120 + Intereses_Residual_Mensual!N120, 2), "")</f>
        <v/>
      </c>
      <c r="O120" s="29">
        <f>IF(Intereses_Residual_Mensual!O120&gt;0, ROUND(N120 + Intereses_Residual_Mensual!O120, 2), "")</f>
        <v/>
      </c>
      <c r="P120" s="29">
        <f>IF(Intereses_Residual_Mensual!P120&gt;0, ROUND(O120 + Intereses_Residual_Mensual!P120, 2), "")</f>
        <v/>
      </c>
      <c r="Q120" s="29">
        <f>IF(Intereses_Residual_Mensual!Q120&gt;0, ROUND(P120 + Intereses_Residual_Mensual!Q120, 2), "")</f>
        <v/>
      </c>
      <c r="R120" s="29">
        <f>IF(Intereses_Residual_Mensual!R120&gt;0, ROUND(Q120 + Intereses_Residual_Mensual!R120, 2), "")</f>
        <v/>
      </c>
      <c r="S120" s="29">
        <f>IF(Intereses_Residual_Mensual!S120&gt;0, ROUND(R120 + Intereses_Residual_Mensual!S120, 2), "")</f>
        <v/>
      </c>
      <c r="T120" s="29">
        <f>IF(Intereses_Residual_Mensual!T120&gt;0, ROUND(S120 + Intereses_Residual_Mensual!T120, 2), "")</f>
        <v/>
      </c>
      <c r="U120" s="29">
        <f>MAX(I120:T120)</f>
        <v/>
      </c>
    </row>
    <row r="121">
      <c r="A121" s="20" t="inlineStr">
        <is>
          <t>0649-0011</t>
        </is>
      </c>
      <c r="B121" s="21" t="inlineStr">
        <is>
          <t>Compusoluciones y Asociados Sa de Cv</t>
        </is>
      </c>
      <c r="C121" s="21" t="inlineStr">
        <is>
          <t>EX40</t>
        </is>
      </c>
      <c r="D121" s="20" t="inlineStr">
        <is>
          <t>ACTIVO</t>
        </is>
      </c>
      <c r="E121" s="20" t="inlineStr">
        <is>
          <t>2025-10-23</t>
        </is>
      </c>
      <c r="F121" s="20" t="inlineStr">
        <is>
          <t>2029-10-23</t>
        </is>
      </c>
      <c r="G121" s="22" t="n">
        <v>48</v>
      </c>
      <c r="H121" s="23" t="n">
        <v>302586.21</v>
      </c>
      <c r="I121" s="23">
        <f>IF(Intereses_Residual_Mensual!I121&gt;0, ROUND(107744.83 + Intereses_Residual_Mensual!I121, 2), "")</f>
        <v/>
      </c>
      <c r="J121" s="23">
        <f>IF(Intereses_Residual_Mensual!J121&gt;0, ROUND(I121 + Intereses_Residual_Mensual!J121, 2), "")</f>
        <v/>
      </c>
      <c r="K121" s="23">
        <f>IF(Intereses_Residual_Mensual!K121&gt;0, ROUND(J121 + Intereses_Residual_Mensual!K121, 2), "")</f>
        <v/>
      </c>
      <c r="L121" s="23">
        <f>IF(Intereses_Residual_Mensual!L121&gt;0, ROUND(K121 + Intereses_Residual_Mensual!L121, 2), "")</f>
        <v/>
      </c>
      <c r="M121" s="23">
        <f>IF(Intereses_Residual_Mensual!M121&gt;0, ROUND(L121 + Intereses_Residual_Mensual!M121, 2), "")</f>
        <v/>
      </c>
      <c r="N121" s="23">
        <f>IF(Intereses_Residual_Mensual!N121&gt;0, ROUND(M121 + Intereses_Residual_Mensual!N121, 2), "")</f>
        <v/>
      </c>
      <c r="O121" s="23">
        <f>IF(Intereses_Residual_Mensual!O121&gt;0, ROUND(N121 + Intereses_Residual_Mensual!O121, 2), "")</f>
        <v/>
      </c>
      <c r="P121" s="23">
        <f>IF(Intereses_Residual_Mensual!P121&gt;0, ROUND(O121 + Intereses_Residual_Mensual!P121, 2), "")</f>
        <v/>
      </c>
      <c r="Q121" s="23">
        <f>IF(Intereses_Residual_Mensual!Q121&gt;0, ROUND(P121 + Intereses_Residual_Mensual!Q121, 2), "")</f>
        <v/>
      </c>
      <c r="R121" s="23">
        <f>IF(Intereses_Residual_Mensual!R121&gt;0, ROUND(Q121 + Intereses_Residual_Mensual!R121, 2), "")</f>
        <v/>
      </c>
      <c r="S121" s="23">
        <f>IF(Intereses_Residual_Mensual!S121&gt;0, ROUND(R121 + Intereses_Residual_Mensual!S121, 2), "")</f>
        <v/>
      </c>
      <c r="T121" s="23">
        <f>IF(Intereses_Residual_Mensual!T121&gt;0, ROUND(S121 + Intereses_Residual_Mensual!T121, 2), "")</f>
        <v/>
      </c>
      <c r="U121" s="23">
        <f>MAX(I121:T121)</f>
        <v/>
      </c>
    </row>
    <row r="122">
      <c r="A122" s="26" t="inlineStr">
        <is>
          <t>0649-0012</t>
        </is>
      </c>
      <c r="B122" s="27" t="inlineStr">
        <is>
          <t>Compusoluciones y Asociados Sa de Cv</t>
        </is>
      </c>
      <c r="C122" s="27" t="inlineStr">
        <is>
          <t>Sportage</t>
        </is>
      </c>
      <c r="D122" s="26" t="inlineStr">
        <is>
          <t>ACTIVO</t>
        </is>
      </c>
      <c r="E122" s="26" t="inlineStr">
        <is>
          <t>2025-12-01</t>
        </is>
      </c>
      <c r="F122" s="26" t="inlineStr">
        <is>
          <t>2029-12-01</t>
        </is>
      </c>
      <c r="G122" s="28" t="n">
        <v>48</v>
      </c>
      <c r="H122" s="29" t="n">
        <v>231276.72</v>
      </c>
      <c r="I122" s="29">
        <f>IF(Intereses_Residual_Mensual!I122&gt;0, ROUND(78658.87 + Intereses_Residual_Mensual!I122, 2), "")</f>
        <v/>
      </c>
      <c r="J122" s="29">
        <f>IF(Intereses_Residual_Mensual!J122&gt;0, ROUND(I122 + Intereses_Residual_Mensual!J122, 2), "")</f>
        <v/>
      </c>
      <c r="K122" s="29">
        <f>IF(Intereses_Residual_Mensual!K122&gt;0, ROUND(J122 + Intereses_Residual_Mensual!K122, 2), "")</f>
        <v/>
      </c>
      <c r="L122" s="29">
        <f>IF(Intereses_Residual_Mensual!L122&gt;0, ROUND(K122 + Intereses_Residual_Mensual!L122, 2), "")</f>
        <v/>
      </c>
      <c r="M122" s="29">
        <f>IF(Intereses_Residual_Mensual!M122&gt;0, ROUND(L122 + Intereses_Residual_Mensual!M122, 2), "")</f>
        <v/>
      </c>
      <c r="N122" s="29">
        <f>IF(Intereses_Residual_Mensual!N122&gt;0, ROUND(M122 + Intereses_Residual_Mensual!N122, 2), "")</f>
        <v/>
      </c>
      <c r="O122" s="29">
        <f>IF(Intereses_Residual_Mensual!O122&gt;0, ROUND(N122 + Intereses_Residual_Mensual!O122, 2), "")</f>
        <v/>
      </c>
      <c r="P122" s="29">
        <f>IF(Intereses_Residual_Mensual!P122&gt;0, ROUND(O122 + Intereses_Residual_Mensual!P122, 2), "")</f>
        <v/>
      </c>
      <c r="Q122" s="29">
        <f>IF(Intereses_Residual_Mensual!Q122&gt;0, ROUND(P122 + Intereses_Residual_Mensual!Q122, 2), "")</f>
        <v/>
      </c>
      <c r="R122" s="29">
        <f>IF(Intereses_Residual_Mensual!R122&gt;0, ROUND(Q122 + Intereses_Residual_Mensual!R122, 2), "")</f>
        <v/>
      </c>
      <c r="S122" s="29">
        <f>IF(Intereses_Residual_Mensual!S122&gt;0, ROUND(R122 + Intereses_Residual_Mensual!S122, 2), "")</f>
        <v/>
      </c>
      <c r="T122" s="29">
        <f>IF(Intereses_Residual_Mensual!T122&gt;0, ROUND(S122 + Intereses_Residual_Mensual!T122, 2), "")</f>
        <v/>
      </c>
      <c r="U122" s="29">
        <f>MAX(I122:T122)</f>
        <v/>
      </c>
    </row>
    <row r="123">
      <c r="A123" s="20" t="inlineStr">
        <is>
          <t>0649-0013</t>
        </is>
      </c>
      <c r="B123" s="21" t="inlineStr">
        <is>
          <t>Compusoluciones y Asociados Sa de Cv</t>
        </is>
      </c>
      <c r="C123" s="21" t="inlineStr">
        <is>
          <t>Mazda Mazda 3 Hatch Back 2026</t>
        </is>
      </c>
      <c r="D123" s="20" t="inlineStr">
        <is>
          <t>ACTIVO</t>
        </is>
      </c>
      <c r="E123" s="20" t="inlineStr">
        <is>
          <t>2026-07-22</t>
        </is>
      </c>
      <c r="F123" s="20" t="inlineStr">
        <is>
          <t>2030-07-22</t>
        </is>
      </c>
      <c r="G123" s="22" t="n">
        <v>48</v>
      </c>
      <c r="H123" s="23" t="n">
        <v>184543.97</v>
      </c>
      <c r="I123" s="23" t="inlineStr"/>
      <c r="J123" s="23" t="inlineStr"/>
      <c r="K123" s="23" t="inlineStr"/>
      <c r="L123" s="23" t="inlineStr"/>
      <c r="M123" s="23" t="inlineStr"/>
      <c r="N123" s="23" t="inlineStr"/>
      <c r="O123" s="23">
        <f>ROUND('Resumen_Cartera'!$U123 + Intereses_Residual_Mensual!O123, 2)</f>
        <v/>
      </c>
      <c r="P123" s="23">
        <f>IF(Intereses_Residual_Mensual!P123&gt;0, ROUND(O123 + Intereses_Residual_Mensual!P123, 2), "")</f>
        <v/>
      </c>
      <c r="Q123" s="23">
        <f>IF(Intereses_Residual_Mensual!Q123&gt;0, ROUND(P123 + Intereses_Residual_Mensual!Q123, 2), "")</f>
        <v/>
      </c>
      <c r="R123" s="23">
        <f>IF(Intereses_Residual_Mensual!R123&gt;0, ROUND(Q123 + Intereses_Residual_Mensual!R123, 2), "")</f>
        <v/>
      </c>
      <c r="S123" s="23">
        <f>IF(Intereses_Residual_Mensual!S123&gt;0, ROUND(R123 + Intereses_Residual_Mensual!S123, 2), "")</f>
        <v/>
      </c>
      <c r="T123" s="23">
        <f>IF(Intereses_Residual_Mensual!T123&gt;0, ROUND(S123 + Intereses_Residual_Mensual!T123, 2), "")</f>
        <v/>
      </c>
      <c r="U123" s="23">
        <f>MAX(I123:T123)</f>
        <v/>
      </c>
    </row>
    <row r="124">
      <c r="A124" s="26" t="inlineStr">
        <is>
          <t>0649-0014</t>
        </is>
      </c>
      <c r="B124" s="27" t="inlineStr">
        <is>
          <t>Compusoluciones y Asociados Sa de Cv</t>
        </is>
      </c>
      <c r="C124" s="27" t="inlineStr">
        <is>
          <t>Subaru Forester 2026</t>
        </is>
      </c>
      <c r="D124" s="26" t="inlineStr">
        <is>
          <t>ACTIVO</t>
        </is>
      </c>
      <c r="E124" s="26" t="inlineStr">
        <is>
          <t>2026-07-28</t>
        </is>
      </c>
      <c r="F124" s="26" t="inlineStr">
        <is>
          <t>2030-07-28</t>
        </is>
      </c>
      <c r="G124" s="28" t="n">
        <v>48</v>
      </c>
      <c r="H124" s="29" t="n">
        <v>231949.14</v>
      </c>
      <c r="I124" s="29" t="inlineStr"/>
      <c r="J124" s="29" t="inlineStr"/>
      <c r="K124" s="29" t="inlineStr"/>
      <c r="L124" s="29" t="inlineStr"/>
      <c r="M124" s="29" t="inlineStr"/>
      <c r="N124" s="29" t="inlineStr"/>
      <c r="O124" s="29">
        <f>ROUND('Resumen_Cartera'!$U124 + Intereses_Residual_Mensual!O124, 2)</f>
        <v/>
      </c>
      <c r="P124" s="29">
        <f>IF(Intereses_Residual_Mensual!P124&gt;0, ROUND(O124 + Intereses_Residual_Mensual!P124, 2), "")</f>
        <v/>
      </c>
      <c r="Q124" s="29">
        <f>IF(Intereses_Residual_Mensual!Q124&gt;0, ROUND(P124 + Intereses_Residual_Mensual!Q124, 2), "")</f>
        <v/>
      </c>
      <c r="R124" s="29">
        <f>IF(Intereses_Residual_Mensual!R124&gt;0, ROUND(Q124 + Intereses_Residual_Mensual!R124, 2), "")</f>
        <v/>
      </c>
      <c r="S124" s="29">
        <f>IF(Intereses_Residual_Mensual!S124&gt;0, ROUND(R124 + Intereses_Residual_Mensual!S124, 2), "")</f>
        <v/>
      </c>
      <c r="T124" s="29">
        <f>IF(Intereses_Residual_Mensual!T124&gt;0, ROUND(S124 + Intereses_Residual_Mensual!T124, 2), "")</f>
        <v/>
      </c>
      <c r="U124" s="29">
        <f>MAX(I124:T124)</f>
        <v/>
      </c>
    </row>
    <row r="125">
      <c r="A125" s="20" t="inlineStr">
        <is>
          <t>0650-0002</t>
        </is>
      </c>
      <c r="B125" s="21" t="inlineStr">
        <is>
          <t>Creando Music</t>
        </is>
      </c>
      <c r="C125" s="21" t="inlineStr">
        <is>
          <t>3008</t>
        </is>
      </c>
      <c r="D125" s="20" t="inlineStr">
        <is>
          <t>ACTIVO</t>
        </is>
      </c>
      <c r="E125" s="20" t="inlineStr">
        <is>
          <t>2025-12-23</t>
        </is>
      </c>
      <c r="F125" s="20" t="inlineStr">
        <is>
          <t>2026-12-23</t>
        </is>
      </c>
      <c r="G125" s="22" t="n">
        <v>12</v>
      </c>
      <c r="H125" s="23" t="n">
        <v>251689.66</v>
      </c>
      <c r="I125" s="23">
        <f>IF(Intereses_Residual_Mensual!I125&gt;0, ROUND(192319.15 + Intereses_Residual_Mensual!I125, 2), "")</f>
        <v/>
      </c>
      <c r="J125" s="23">
        <f>IF(Intereses_Residual_Mensual!J125&gt;0, ROUND(I125 + Intereses_Residual_Mensual!J125, 2), "")</f>
        <v/>
      </c>
      <c r="K125" s="23">
        <f>IF(Intereses_Residual_Mensual!K125&gt;0, ROUND(J125 + Intereses_Residual_Mensual!K125, 2), "")</f>
        <v/>
      </c>
      <c r="L125" s="23">
        <f>IF(Intereses_Residual_Mensual!L125&gt;0, ROUND(K125 + Intereses_Residual_Mensual!L125, 2), "")</f>
        <v/>
      </c>
      <c r="M125" s="23">
        <f>IF(Intereses_Residual_Mensual!M125&gt;0, ROUND(L125 + Intereses_Residual_Mensual!M125, 2), "")</f>
        <v/>
      </c>
      <c r="N125" s="23">
        <f>IF(Intereses_Residual_Mensual!N125&gt;0, ROUND(M125 + Intereses_Residual_Mensual!N125, 2), "")</f>
        <v/>
      </c>
      <c r="O125" s="23">
        <f>IF(Intereses_Residual_Mensual!O125&gt;0, ROUND(N125 + Intereses_Residual_Mensual!O125, 2), "")</f>
        <v/>
      </c>
      <c r="P125" s="23">
        <f>IF(Intereses_Residual_Mensual!P125&gt;0, ROUND(O125 + Intereses_Residual_Mensual!P125, 2), "")</f>
        <v/>
      </c>
      <c r="Q125" s="23">
        <f>IF(Intereses_Residual_Mensual!Q125&gt;0, ROUND(P125 + Intereses_Residual_Mensual!Q125, 2), "")</f>
        <v/>
      </c>
      <c r="R125" s="23">
        <f>IF(Intereses_Residual_Mensual!R125&gt;0, ROUND(Q125 + Intereses_Residual_Mensual!R125, 2), "")</f>
        <v/>
      </c>
      <c r="S125" s="23">
        <f>IF(Intereses_Residual_Mensual!S125&gt;0, ROUND(R125 + Intereses_Residual_Mensual!S125, 2), "")</f>
        <v/>
      </c>
      <c r="T125" s="23" t="inlineStr"/>
      <c r="U125" s="23">
        <f>MAX(I125:T125)</f>
        <v/>
      </c>
    </row>
    <row r="126">
      <c r="A126" s="26" t="inlineStr">
        <is>
          <t>0651-0001</t>
        </is>
      </c>
      <c r="B126" s="27" t="inlineStr">
        <is>
          <t>Asme Sa de Cv</t>
        </is>
      </c>
      <c r="C126" s="27" t="inlineStr">
        <is>
          <t>Compass High Altitude</t>
        </is>
      </c>
      <c r="D126" s="26" t="inlineStr">
        <is>
          <t>ACTIVO</t>
        </is>
      </c>
      <c r="E126" s="26" t="inlineStr">
        <is>
          <t>2024-02-28</t>
        </is>
      </c>
      <c r="F126" s="26" t="inlineStr">
        <is>
          <t>2028-02-28</t>
        </is>
      </c>
      <c r="G126" s="28" t="n">
        <v>48</v>
      </c>
      <c r="H126" s="29" t="n">
        <v>129293.1</v>
      </c>
      <c r="I126" s="29">
        <f>IF(Intereses_Residual_Mensual!I126&gt;0, ROUND(59291.26 + Intereses_Residual_Mensual!I126, 2), "")</f>
        <v/>
      </c>
      <c r="J126" s="29">
        <f>IF(Intereses_Residual_Mensual!J126&gt;0, ROUND(I126 + Intereses_Residual_Mensual!J126, 2), "")</f>
        <v/>
      </c>
      <c r="K126" s="29">
        <f>IF(Intereses_Residual_Mensual!K126&gt;0, ROUND(J126 + Intereses_Residual_Mensual!K126, 2), "")</f>
        <v/>
      </c>
      <c r="L126" s="29">
        <f>IF(Intereses_Residual_Mensual!L126&gt;0, ROUND(K126 + Intereses_Residual_Mensual!L126, 2), "")</f>
        <v/>
      </c>
      <c r="M126" s="29">
        <f>IF(Intereses_Residual_Mensual!M126&gt;0, ROUND(L126 + Intereses_Residual_Mensual!M126, 2), "")</f>
        <v/>
      </c>
      <c r="N126" s="29">
        <f>IF(Intereses_Residual_Mensual!N126&gt;0, ROUND(M126 + Intereses_Residual_Mensual!N126, 2), "")</f>
        <v/>
      </c>
      <c r="O126" s="29">
        <f>IF(Intereses_Residual_Mensual!O126&gt;0, ROUND(N126 + Intereses_Residual_Mensual!O126, 2), "")</f>
        <v/>
      </c>
      <c r="P126" s="29">
        <f>IF(Intereses_Residual_Mensual!P126&gt;0, ROUND(O126 + Intereses_Residual_Mensual!P126, 2), "")</f>
        <v/>
      </c>
      <c r="Q126" s="29">
        <f>IF(Intereses_Residual_Mensual!Q126&gt;0, ROUND(P126 + Intereses_Residual_Mensual!Q126, 2), "")</f>
        <v/>
      </c>
      <c r="R126" s="29">
        <f>IF(Intereses_Residual_Mensual!R126&gt;0, ROUND(Q126 + Intereses_Residual_Mensual!R126, 2), "")</f>
        <v/>
      </c>
      <c r="S126" s="29">
        <f>IF(Intereses_Residual_Mensual!S126&gt;0, ROUND(R126 + Intereses_Residual_Mensual!S126, 2), "")</f>
        <v/>
      </c>
      <c r="T126" s="29">
        <f>IF(Intereses_Residual_Mensual!T126&gt;0, ROUND(S126 + Intereses_Residual_Mensual!T126, 2), "")</f>
        <v/>
      </c>
      <c r="U126" s="29">
        <f>MAX(I126:T126)</f>
        <v/>
      </c>
    </row>
    <row r="127">
      <c r="A127" s="20" t="inlineStr">
        <is>
          <t>0654-0001</t>
        </is>
      </c>
      <c r="B127" s="21" t="inlineStr">
        <is>
          <t>Veronica Orozco Larios</t>
        </is>
      </c>
      <c r="C127" s="21" t="inlineStr">
        <is>
          <t>Ram 4000</t>
        </is>
      </c>
      <c r="D127" s="20" t="inlineStr">
        <is>
          <t>ACTIVO</t>
        </is>
      </c>
      <c r="E127" s="20" t="inlineStr">
        <is>
          <t>2024-03-20</t>
        </is>
      </c>
      <c r="F127" s="20" t="inlineStr">
        <is>
          <t>2027-03-20</t>
        </is>
      </c>
      <c r="G127" s="22" t="n">
        <v>36</v>
      </c>
      <c r="H127" s="23" t="n">
        <v>320541.65</v>
      </c>
      <c r="I127" s="23">
        <f>IF(Intereses_Residual_Mensual!I127&gt;0, ROUND(207752.63 + Intereses_Residual_Mensual!I127, 2), "")</f>
        <v/>
      </c>
      <c r="J127" s="23">
        <f>IF(Intereses_Residual_Mensual!J127&gt;0, ROUND(I127 + Intereses_Residual_Mensual!J127, 2), "")</f>
        <v/>
      </c>
      <c r="K127" s="23">
        <f>IF(Intereses_Residual_Mensual!K127&gt;0, ROUND(J127 + Intereses_Residual_Mensual!K127, 2), "")</f>
        <v/>
      </c>
      <c r="L127" s="23">
        <f>IF(Intereses_Residual_Mensual!L127&gt;0, ROUND(K127 + Intereses_Residual_Mensual!L127, 2), "")</f>
        <v/>
      </c>
      <c r="M127" s="23">
        <f>IF(Intereses_Residual_Mensual!M127&gt;0, ROUND(L127 + Intereses_Residual_Mensual!M127, 2), "")</f>
        <v/>
      </c>
      <c r="N127" s="23">
        <f>IF(Intereses_Residual_Mensual!N127&gt;0, ROUND(M127 + Intereses_Residual_Mensual!N127, 2), "")</f>
        <v/>
      </c>
      <c r="O127" s="23">
        <f>IF(Intereses_Residual_Mensual!O127&gt;0, ROUND(N127 + Intereses_Residual_Mensual!O127, 2), "")</f>
        <v/>
      </c>
      <c r="P127" s="23">
        <f>IF(Intereses_Residual_Mensual!P127&gt;0, ROUND(O127 + Intereses_Residual_Mensual!P127, 2), "")</f>
        <v/>
      </c>
      <c r="Q127" s="23">
        <f>IF(Intereses_Residual_Mensual!Q127&gt;0, ROUND(P127 + Intereses_Residual_Mensual!Q127, 2), "")</f>
        <v/>
      </c>
      <c r="R127" s="23">
        <f>IF(Intereses_Residual_Mensual!R127&gt;0, ROUND(Q127 + Intereses_Residual_Mensual!R127, 2), "")</f>
        <v/>
      </c>
      <c r="S127" s="23">
        <f>IF(Intereses_Residual_Mensual!S127&gt;0, ROUND(R127 + Intereses_Residual_Mensual!S127, 2), "")</f>
        <v/>
      </c>
      <c r="T127" s="23">
        <f>IF(Intereses_Residual_Mensual!T127&gt;0, ROUND(S127 + Intereses_Residual_Mensual!T127, 2), "")</f>
        <v/>
      </c>
      <c r="U127" s="23">
        <f>MAX(I127:T127)</f>
        <v/>
      </c>
    </row>
    <row r="128">
      <c r="A128" s="26" t="inlineStr">
        <is>
          <t>0655-0001</t>
        </is>
      </c>
      <c r="B128" s="27" t="inlineStr">
        <is>
          <t>Viñedos de la Rivera Sur de Chapala S de Rl de Cv</t>
        </is>
      </c>
      <c r="C128" s="27" t="inlineStr">
        <is>
          <t>Ram 2500 HEMI</t>
        </is>
      </c>
      <c r="D128" s="26" t="inlineStr">
        <is>
          <t>ACTIVO</t>
        </is>
      </c>
      <c r="E128" s="26" t="inlineStr">
        <is>
          <t>2024-04-04</t>
        </is>
      </c>
      <c r="F128" s="26" t="inlineStr">
        <is>
          <t>2027-04-04</t>
        </is>
      </c>
      <c r="G128" s="28" t="n">
        <v>36</v>
      </c>
      <c r="H128" s="29" t="n">
        <v>257943.97</v>
      </c>
      <c r="I128" s="29">
        <f>IF(Intereses_Residual_Mensual!I128&gt;0, ROUND(162081.97 + Intereses_Residual_Mensual!I128, 2), "")</f>
        <v/>
      </c>
      <c r="J128" s="29">
        <f>IF(Intereses_Residual_Mensual!J128&gt;0, ROUND(I128 + Intereses_Residual_Mensual!J128, 2), "")</f>
        <v/>
      </c>
      <c r="K128" s="29">
        <f>IF(Intereses_Residual_Mensual!K128&gt;0, ROUND(J128 + Intereses_Residual_Mensual!K128, 2), "")</f>
        <v/>
      </c>
      <c r="L128" s="29">
        <f>IF(Intereses_Residual_Mensual!L128&gt;0, ROUND(K128 + Intereses_Residual_Mensual!L128, 2), "")</f>
        <v/>
      </c>
      <c r="M128" s="29">
        <f>IF(Intereses_Residual_Mensual!M128&gt;0, ROUND(L128 + Intereses_Residual_Mensual!M128, 2), "")</f>
        <v/>
      </c>
      <c r="N128" s="29">
        <f>IF(Intereses_Residual_Mensual!N128&gt;0, ROUND(M128 + Intereses_Residual_Mensual!N128, 2), "")</f>
        <v/>
      </c>
      <c r="O128" s="29">
        <f>IF(Intereses_Residual_Mensual!O128&gt;0, ROUND(N128 + Intereses_Residual_Mensual!O128, 2), "")</f>
        <v/>
      </c>
      <c r="P128" s="29">
        <f>IF(Intereses_Residual_Mensual!P128&gt;0, ROUND(O128 + Intereses_Residual_Mensual!P128, 2), "")</f>
        <v/>
      </c>
      <c r="Q128" s="29">
        <f>IF(Intereses_Residual_Mensual!Q128&gt;0, ROUND(P128 + Intereses_Residual_Mensual!Q128, 2), "")</f>
        <v/>
      </c>
      <c r="R128" s="29">
        <f>IF(Intereses_Residual_Mensual!R128&gt;0, ROUND(Q128 + Intereses_Residual_Mensual!R128, 2), "")</f>
        <v/>
      </c>
      <c r="S128" s="29">
        <f>IF(Intereses_Residual_Mensual!S128&gt;0, ROUND(R128 + Intereses_Residual_Mensual!S128, 2), "")</f>
        <v/>
      </c>
      <c r="T128" s="29">
        <f>IF(Intereses_Residual_Mensual!T128&gt;0, ROUND(S128 + Intereses_Residual_Mensual!T128, 2), "")</f>
        <v/>
      </c>
      <c r="U128" s="29">
        <f>MAX(I128:T128)</f>
        <v/>
      </c>
    </row>
    <row r="129">
      <c r="A129" s="20" t="inlineStr">
        <is>
          <t>0658-0001</t>
        </is>
      </c>
      <c r="B129" s="21" t="inlineStr">
        <is>
          <t>Esteban Polanco Navarro</t>
        </is>
      </c>
      <c r="C129" s="21" t="inlineStr">
        <is>
          <t>RAM 1500 Long Horn</t>
        </is>
      </c>
      <c r="D129" s="20" t="inlineStr">
        <is>
          <t>ACTIVO</t>
        </is>
      </c>
      <c r="E129" s="20" t="inlineStr">
        <is>
          <t>2024-05-17</t>
        </is>
      </c>
      <c r="F129" s="20" t="inlineStr">
        <is>
          <t>2028-05-17</t>
        </is>
      </c>
      <c r="G129" s="22" t="n">
        <v>48</v>
      </c>
      <c r="H129" s="23" t="n">
        <v>256017.24</v>
      </c>
      <c r="I129" s="23">
        <f>IF(Intereses_Residual_Mensual!I129&gt;0, ROUND(106973.04 + Intereses_Residual_Mensual!I129, 2), "")</f>
        <v/>
      </c>
      <c r="J129" s="23">
        <f>IF(Intereses_Residual_Mensual!J129&gt;0, ROUND(I129 + Intereses_Residual_Mensual!J129, 2), "")</f>
        <v/>
      </c>
      <c r="K129" s="23">
        <f>IF(Intereses_Residual_Mensual!K129&gt;0, ROUND(J129 + Intereses_Residual_Mensual!K129, 2), "")</f>
        <v/>
      </c>
      <c r="L129" s="23">
        <f>IF(Intereses_Residual_Mensual!L129&gt;0, ROUND(K129 + Intereses_Residual_Mensual!L129, 2), "")</f>
        <v/>
      </c>
      <c r="M129" s="23">
        <f>IF(Intereses_Residual_Mensual!M129&gt;0, ROUND(L129 + Intereses_Residual_Mensual!M129, 2), "")</f>
        <v/>
      </c>
      <c r="N129" s="23">
        <f>IF(Intereses_Residual_Mensual!N129&gt;0, ROUND(M129 + Intereses_Residual_Mensual!N129, 2), "")</f>
        <v/>
      </c>
      <c r="O129" s="23">
        <f>IF(Intereses_Residual_Mensual!O129&gt;0, ROUND(N129 + Intereses_Residual_Mensual!O129, 2), "")</f>
        <v/>
      </c>
      <c r="P129" s="23">
        <f>IF(Intereses_Residual_Mensual!P129&gt;0, ROUND(O129 + Intereses_Residual_Mensual!P129, 2), "")</f>
        <v/>
      </c>
      <c r="Q129" s="23">
        <f>IF(Intereses_Residual_Mensual!Q129&gt;0, ROUND(P129 + Intereses_Residual_Mensual!Q129, 2), "")</f>
        <v/>
      </c>
      <c r="R129" s="23">
        <f>IF(Intereses_Residual_Mensual!R129&gt;0, ROUND(Q129 + Intereses_Residual_Mensual!R129, 2), "")</f>
        <v/>
      </c>
      <c r="S129" s="23">
        <f>IF(Intereses_Residual_Mensual!S129&gt;0, ROUND(R129 + Intereses_Residual_Mensual!S129, 2), "")</f>
        <v/>
      </c>
      <c r="T129" s="23">
        <f>IF(Intereses_Residual_Mensual!T129&gt;0, ROUND(S129 + Intereses_Residual_Mensual!T129, 2), "")</f>
        <v/>
      </c>
      <c r="U129" s="23">
        <f>MAX(I129:T129)</f>
        <v/>
      </c>
    </row>
    <row r="130">
      <c r="A130" s="26" t="inlineStr">
        <is>
          <t>0660-0001</t>
        </is>
      </c>
      <c r="B130" s="27" t="inlineStr">
        <is>
          <t>Big Buck Capital sc</t>
        </is>
      </c>
      <c r="C130" s="27" t="inlineStr">
        <is>
          <t>MG 5</t>
        </is>
      </c>
      <c r="D130" s="26" t="inlineStr">
        <is>
          <t>ACTIVO</t>
        </is>
      </c>
      <c r="E130" s="26" t="inlineStr">
        <is>
          <t>2024-05-22</t>
        </is>
      </c>
      <c r="F130" s="26" t="inlineStr">
        <is>
          <t>2028-05-22</t>
        </is>
      </c>
      <c r="G130" s="28" t="n">
        <v>48</v>
      </c>
      <c r="H130" s="29" t="n">
        <v>53948.28</v>
      </c>
      <c r="I130" s="29">
        <f>IF(Intereses_Residual_Mensual!I130&gt;0, ROUND(25064.63 + Intereses_Residual_Mensual!I130, 2), "")</f>
        <v/>
      </c>
      <c r="J130" s="29">
        <f>IF(Intereses_Residual_Mensual!J130&gt;0, ROUND(I130 + Intereses_Residual_Mensual!J130, 2), "")</f>
        <v/>
      </c>
      <c r="K130" s="29">
        <f>IF(Intereses_Residual_Mensual!K130&gt;0, ROUND(J130 + Intereses_Residual_Mensual!K130, 2), "")</f>
        <v/>
      </c>
      <c r="L130" s="29">
        <f>IF(Intereses_Residual_Mensual!L130&gt;0, ROUND(K130 + Intereses_Residual_Mensual!L130, 2), "")</f>
        <v/>
      </c>
      <c r="M130" s="29">
        <f>IF(Intereses_Residual_Mensual!M130&gt;0, ROUND(L130 + Intereses_Residual_Mensual!M130, 2), "")</f>
        <v/>
      </c>
      <c r="N130" s="29">
        <f>IF(Intereses_Residual_Mensual!N130&gt;0, ROUND(M130 + Intereses_Residual_Mensual!N130, 2), "")</f>
        <v/>
      </c>
      <c r="O130" s="29">
        <f>IF(Intereses_Residual_Mensual!O130&gt;0, ROUND(N130 + Intereses_Residual_Mensual!O130, 2), "")</f>
        <v/>
      </c>
      <c r="P130" s="29">
        <f>IF(Intereses_Residual_Mensual!P130&gt;0, ROUND(O130 + Intereses_Residual_Mensual!P130, 2), "")</f>
        <v/>
      </c>
      <c r="Q130" s="29">
        <f>IF(Intereses_Residual_Mensual!Q130&gt;0, ROUND(P130 + Intereses_Residual_Mensual!Q130, 2), "")</f>
        <v/>
      </c>
      <c r="R130" s="29">
        <f>IF(Intereses_Residual_Mensual!R130&gt;0, ROUND(Q130 + Intereses_Residual_Mensual!R130, 2), "")</f>
        <v/>
      </c>
      <c r="S130" s="29">
        <f>IF(Intereses_Residual_Mensual!S130&gt;0, ROUND(R130 + Intereses_Residual_Mensual!S130, 2), "")</f>
        <v/>
      </c>
      <c r="T130" s="29">
        <f>IF(Intereses_Residual_Mensual!T130&gt;0, ROUND(S130 + Intereses_Residual_Mensual!T130, 2), "")</f>
        <v/>
      </c>
      <c r="U130" s="29">
        <f>MAX(I130:T130)</f>
        <v/>
      </c>
    </row>
    <row r="131">
      <c r="A131" s="20" t="inlineStr">
        <is>
          <t>0660-0002</t>
        </is>
      </c>
      <c r="B131" s="21" t="inlineStr">
        <is>
          <t>Big Buck Capital Sc</t>
        </is>
      </c>
      <c r="C131" s="21" t="inlineStr">
        <is>
          <t>Sienna</t>
        </is>
      </c>
      <c r="D131" s="20" t="inlineStr">
        <is>
          <t>ACTIVO</t>
        </is>
      </c>
      <c r="E131" s="20" t="inlineStr">
        <is>
          <t>2025-04-09</t>
        </is>
      </c>
      <c r="F131" s="20" t="inlineStr">
        <is>
          <t>2029-04-09</t>
        </is>
      </c>
      <c r="G131" s="22" t="n">
        <v>48</v>
      </c>
      <c r="H131" s="23" t="n">
        <v>81025.86</v>
      </c>
      <c r="I131" s="23">
        <f>IF(Intereses_Residual_Mensual!I131&gt;0, ROUND(28756.14 + Intereses_Residual_Mensual!I131, 2), "")</f>
        <v/>
      </c>
      <c r="J131" s="23">
        <f>IF(Intereses_Residual_Mensual!J131&gt;0, ROUND(I131 + Intereses_Residual_Mensual!J131, 2), "")</f>
        <v/>
      </c>
      <c r="K131" s="23">
        <f>IF(Intereses_Residual_Mensual!K131&gt;0, ROUND(J131 + Intereses_Residual_Mensual!K131, 2), "")</f>
        <v/>
      </c>
      <c r="L131" s="23">
        <f>IF(Intereses_Residual_Mensual!L131&gt;0, ROUND(K131 + Intereses_Residual_Mensual!L131, 2), "")</f>
        <v/>
      </c>
      <c r="M131" s="23">
        <f>IF(Intereses_Residual_Mensual!M131&gt;0, ROUND(L131 + Intereses_Residual_Mensual!M131, 2), "")</f>
        <v/>
      </c>
      <c r="N131" s="23">
        <f>IF(Intereses_Residual_Mensual!N131&gt;0, ROUND(M131 + Intereses_Residual_Mensual!N131, 2), "")</f>
        <v/>
      </c>
      <c r="O131" s="23">
        <f>IF(Intereses_Residual_Mensual!O131&gt;0, ROUND(N131 + Intereses_Residual_Mensual!O131, 2), "")</f>
        <v/>
      </c>
      <c r="P131" s="23">
        <f>IF(Intereses_Residual_Mensual!P131&gt;0, ROUND(O131 + Intereses_Residual_Mensual!P131, 2), "")</f>
        <v/>
      </c>
      <c r="Q131" s="23">
        <f>IF(Intereses_Residual_Mensual!Q131&gt;0, ROUND(P131 + Intereses_Residual_Mensual!Q131, 2), "")</f>
        <v/>
      </c>
      <c r="R131" s="23">
        <f>IF(Intereses_Residual_Mensual!R131&gt;0, ROUND(Q131 + Intereses_Residual_Mensual!R131, 2), "")</f>
        <v/>
      </c>
      <c r="S131" s="23">
        <f>IF(Intereses_Residual_Mensual!S131&gt;0, ROUND(R131 + Intereses_Residual_Mensual!S131, 2), "")</f>
        <v/>
      </c>
      <c r="T131" s="23">
        <f>IF(Intereses_Residual_Mensual!T131&gt;0, ROUND(S131 + Intereses_Residual_Mensual!T131, 2), "")</f>
        <v/>
      </c>
      <c r="U131" s="23">
        <f>MAX(I131:T131)</f>
        <v/>
      </c>
    </row>
    <row r="132">
      <c r="A132" s="26" t="inlineStr">
        <is>
          <t>0661-0001</t>
        </is>
      </c>
      <c r="B132" s="27" t="inlineStr">
        <is>
          <t>Veta Vertical Home Sa de Cv</t>
        </is>
      </c>
      <c r="C132" s="27" t="inlineStr">
        <is>
          <t>3008 Allure Pack</t>
        </is>
      </c>
      <c r="D132" s="26" t="inlineStr">
        <is>
          <t>ACTIVO</t>
        </is>
      </c>
      <c r="E132" s="26" t="inlineStr">
        <is>
          <t>2024-06-27</t>
        </is>
      </c>
      <c r="F132" s="26" t="inlineStr">
        <is>
          <t>2028-06-27</t>
        </is>
      </c>
      <c r="G132" s="28" t="n">
        <v>48</v>
      </c>
      <c r="H132" s="29" t="n">
        <v>106534.48</v>
      </c>
      <c r="I132" s="29">
        <f>IF(Intereses_Residual_Mensual!I132&gt;0, ROUND(43115.09 + Intereses_Residual_Mensual!I132, 2), "")</f>
        <v/>
      </c>
      <c r="J132" s="29">
        <f>IF(Intereses_Residual_Mensual!J132&gt;0, ROUND(I132 + Intereses_Residual_Mensual!J132, 2), "")</f>
        <v/>
      </c>
      <c r="K132" s="29">
        <f>IF(Intereses_Residual_Mensual!K132&gt;0, ROUND(J132 + Intereses_Residual_Mensual!K132, 2), "")</f>
        <v/>
      </c>
      <c r="L132" s="29">
        <f>IF(Intereses_Residual_Mensual!L132&gt;0, ROUND(K132 + Intereses_Residual_Mensual!L132, 2), "")</f>
        <v/>
      </c>
      <c r="M132" s="29">
        <f>IF(Intereses_Residual_Mensual!M132&gt;0, ROUND(L132 + Intereses_Residual_Mensual!M132, 2), "")</f>
        <v/>
      </c>
      <c r="N132" s="29">
        <f>IF(Intereses_Residual_Mensual!N132&gt;0, ROUND(M132 + Intereses_Residual_Mensual!N132, 2), "")</f>
        <v/>
      </c>
      <c r="O132" s="29">
        <f>IF(Intereses_Residual_Mensual!O132&gt;0, ROUND(N132 + Intereses_Residual_Mensual!O132, 2), "")</f>
        <v/>
      </c>
      <c r="P132" s="29">
        <f>IF(Intereses_Residual_Mensual!P132&gt;0, ROUND(O132 + Intereses_Residual_Mensual!P132, 2), "")</f>
        <v/>
      </c>
      <c r="Q132" s="29">
        <f>IF(Intereses_Residual_Mensual!Q132&gt;0, ROUND(P132 + Intereses_Residual_Mensual!Q132, 2), "")</f>
        <v/>
      </c>
      <c r="R132" s="29">
        <f>IF(Intereses_Residual_Mensual!R132&gt;0, ROUND(Q132 + Intereses_Residual_Mensual!R132, 2), "")</f>
        <v/>
      </c>
      <c r="S132" s="29">
        <f>IF(Intereses_Residual_Mensual!S132&gt;0, ROUND(R132 + Intereses_Residual_Mensual!S132, 2), "")</f>
        <v/>
      </c>
      <c r="T132" s="29">
        <f>IF(Intereses_Residual_Mensual!T132&gt;0, ROUND(S132 + Intereses_Residual_Mensual!T132, 2), "")</f>
        <v/>
      </c>
      <c r="U132" s="29">
        <f>MAX(I132:T132)</f>
        <v/>
      </c>
    </row>
    <row r="133">
      <c r="A133" s="20" t="inlineStr">
        <is>
          <t>0662-0001</t>
        </is>
      </c>
      <c r="B133" s="21" t="inlineStr">
        <is>
          <t>Luis Jorge de Loera Perez</t>
        </is>
      </c>
      <c r="C133" s="21" t="inlineStr">
        <is>
          <t>L200 GLX Diesel</t>
        </is>
      </c>
      <c r="D133" s="20" t="inlineStr">
        <is>
          <t>ACTIVO</t>
        </is>
      </c>
      <c r="E133" s="20" t="inlineStr">
        <is>
          <t>2024-06-28</t>
        </is>
      </c>
      <c r="F133" s="20" t="inlineStr">
        <is>
          <t>2028-06-28</t>
        </is>
      </c>
      <c r="G133" s="22" t="n">
        <v>48</v>
      </c>
      <c r="H133" s="23" t="n">
        <v>111431.03</v>
      </c>
      <c r="I133" s="23">
        <f>IF(Intereses_Residual_Mensual!I133&gt;0, ROUND(45131.08 + Intereses_Residual_Mensual!I133, 2), "")</f>
        <v/>
      </c>
      <c r="J133" s="23">
        <f>IF(Intereses_Residual_Mensual!J133&gt;0, ROUND(I133 + Intereses_Residual_Mensual!J133, 2), "")</f>
        <v/>
      </c>
      <c r="K133" s="23">
        <f>IF(Intereses_Residual_Mensual!K133&gt;0, ROUND(J133 + Intereses_Residual_Mensual!K133, 2), "")</f>
        <v/>
      </c>
      <c r="L133" s="23">
        <f>IF(Intereses_Residual_Mensual!L133&gt;0, ROUND(K133 + Intereses_Residual_Mensual!L133, 2), "")</f>
        <v/>
      </c>
      <c r="M133" s="23">
        <f>IF(Intereses_Residual_Mensual!M133&gt;0, ROUND(L133 + Intereses_Residual_Mensual!M133, 2), "")</f>
        <v/>
      </c>
      <c r="N133" s="23">
        <f>IF(Intereses_Residual_Mensual!N133&gt;0, ROUND(M133 + Intereses_Residual_Mensual!N133, 2), "")</f>
        <v/>
      </c>
      <c r="O133" s="23">
        <f>IF(Intereses_Residual_Mensual!O133&gt;0, ROUND(N133 + Intereses_Residual_Mensual!O133, 2), "")</f>
        <v/>
      </c>
      <c r="P133" s="23">
        <f>IF(Intereses_Residual_Mensual!P133&gt;0, ROUND(O133 + Intereses_Residual_Mensual!P133, 2), "")</f>
        <v/>
      </c>
      <c r="Q133" s="23">
        <f>IF(Intereses_Residual_Mensual!Q133&gt;0, ROUND(P133 + Intereses_Residual_Mensual!Q133, 2), "")</f>
        <v/>
      </c>
      <c r="R133" s="23">
        <f>IF(Intereses_Residual_Mensual!R133&gt;0, ROUND(Q133 + Intereses_Residual_Mensual!R133, 2), "")</f>
        <v/>
      </c>
      <c r="S133" s="23">
        <f>IF(Intereses_Residual_Mensual!S133&gt;0, ROUND(R133 + Intereses_Residual_Mensual!S133, 2), "")</f>
        <v/>
      </c>
      <c r="T133" s="23">
        <f>IF(Intereses_Residual_Mensual!T133&gt;0, ROUND(S133 + Intereses_Residual_Mensual!T133, 2), "")</f>
        <v/>
      </c>
      <c r="U133" s="23">
        <f>MAX(I133:T133)</f>
        <v/>
      </c>
    </row>
    <row r="134">
      <c r="A134" s="26" t="inlineStr">
        <is>
          <t>0662-0002</t>
        </is>
      </c>
      <c r="B134" s="27" t="inlineStr">
        <is>
          <t>Luis Jorge De Loera Perez</t>
        </is>
      </c>
      <c r="C134" s="27" t="inlineStr">
        <is>
          <t>NP 300</t>
        </is>
      </c>
      <c r="D134" s="26" t="inlineStr">
        <is>
          <t>ACTIVO</t>
        </is>
      </c>
      <c r="E134" s="26" t="inlineStr">
        <is>
          <t>2025-02-06</t>
        </is>
      </c>
      <c r="F134" s="26" t="inlineStr">
        <is>
          <t>2029-02-06</t>
        </is>
      </c>
      <c r="G134" s="28" t="n">
        <v>48</v>
      </c>
      <c r="H134" s="29" t="n">
        <v>87568.97</v>
      </c>
      <c r="I134" s="29">
        <f>IF(Intereses_Residual_Mensual!I134&gt;0, ROUND(30067.27 + Intereses_Residual_Mensual!I134, 2), "")</f>
        <v/>
      </c>
      <c r="J134" s="29">
        <f>IF(Intereses_Residual_Mensual!J134&gt;0, ROUND(I134 + Intereses_Residual_Mensual!J134, 2), "")</f>
        <v/>
      </c>
      <c r="K134" s="29">
        <f>IF(Intereses_Residual_Mensual!K134&gt;0, ROUND(J134 + Intereses_Residual_Mensual!K134, 2), "")</f>
        <v/>
      </c>
      <c r="L134" s="29">
        <f>IF(Intereses_Residual_Mensual!L134&gt;0, ROUND(K134 + Intereses_Residual_Mensual!L134, 2), "")</f>
        <v/>
      </c>
      <c r="M134" s="29">
        <f>IF(Intereses_Residual_Mensual!M134&gt;0, ROUND(L134 + Intereses_Residual_Mensual!M134, 2), "")</f>
        <v/>
      </c>
      <c r="N134" s="29">
        <f>IF(Intereses_Residual_Mensual!N134&gt;0, ROUND(M134 + Intereses_Residual_Mensual!N134, 2), "")</f>
        <v/>
      </c>
      <c r="O134" s="29">
        <f>IF(Intereses_Residual_Mensual!O134&gt;0, ROUND(N134 + Intereses_Residual_Mensual!O134, 2), "")</f>
        <v/>
      </c>
      <c r="P134" s="29">
        <f>IF(Intereses_Residual_Mensual!P134&gt;0, ROUND(O134 + Intereses_Residual_Mensual!P134, 2), "")</f>
        <v/>
      </c>
      <c r="Q134" s="29">
        <f>IF(Intereses_Residual_Mensual!Q134&gt;0, ROUND(P134 + Intereses_Residual_Mensual!Q134, 2), "")</f>
        <v/>
      </c>
      <c r="R134" s="29">
        <f>IF(Intereses_Residual_Mensual!R134&gt;0, ROUND(Q134 + Intereses_Residual_Mensual!R134, 2), "")</f>
        <v/>
      </c>
      <c r="S134" s="29">
        <f>IF(Intereses_Residual_Mensual!S134&gt;0, ROUND(R134 + Intereses_Residual_Mensual!S134, 2), "")</f>
        <v/>
      </c>
      <c r="T134" s="29">
        <f>IF(Intereses_Residual_Mensual!T134&gt;0, ROUND(S134 + Intereses_Residual_Mensual!T134, 2), "")</f>
        <v/>
      </c>
      <c r="U134" s="29">
        <f>MAX(I134:T134)</f>
        <v/>
      </c>
    </row>
    <row r="135">
      <c r="A135" s="20" t="inlineStr">
        <is>
          <t>0662-0003</t>
        </is>
      </c>
      <c r="B135" s="21" t="inlineStr">
        <is>
          <t>Luis Jorge De Loera Perez</t>
        </is>
      </c>
      <c r="C135" s="21" t="inlineStr">
        <is>
          <t>Rav 4</t>
        </is>
      </c>
      <c r="D135" s="20" t="inlineStr">
        <is>
          <t>ACTIVO</t>
        </is>
      </c>
      <c r="E135" s="20" t="inlineStr">
        <is>
          <t>2025-03-27</t>
        </is>
      </c>
      <c r="F135" s="20" t="inlineStr">
        <is>
          <t>2029-03-27</t>
        </is>
      </c>
      <c r="G135" s="22" t="n">
        <v>48</v>
      </c>
      <c r="H135" s="23" t="n">
        <v>107793.1</v>
      </c>
      <c r="I135" s="23">
        <f>IF(Intereses_Residual_Mensual!I135&gt;0, ROUND(36971.78 + Intereses_Residual_Mensual!I135, 2), "")</f>
        <v/>
      </c>
      <c r="J135" s="23">
        <f>IF(Intereses_Residual_Mensual!J135&gt;0, ROUND(I135 + Intereses_Residual_Mensual!J135, 2), "")</f>
        <v/>
      </c>
      <c r="K135" s="23">
        <f>IF(Intereses_Residual_Mensual!K135&gt;0, ROUND(J135 + Intereses_Residual_Mensual!K135, 2), "")</f>
        <v/>
      </c>
      <c r="L135" s="23">
        <f>IF(Intereses_Residual_Mensual!L135&gt;0, ROUND(K135 + Intereses_Residual_Mensual!L135, 2), "")</f>
        <v/>
      </c>
      <c r="M135" s="23">
        <f>IF(Intereses_Residual_Mensual!M135&gt;0, ROUND(L135 + Intereses_Residual_Mensual!M135, 2), "")</f>
        <v/>
      </c>
      <c r="N135" s="23">
        <f>IF(Intereses_Residual_Mensual!N135&gt;0, ROUND(M135 + Intereses_Residual_Mensual!N135, 2), "")</f>
        <v/>
      </c>
      <c r="O135" s="23">
        <f>IF(Intereses_Residual_Mensual!O135&gt;0, ROUND(N135 + Intereses_Residual_Mensual!O135, 2), "")</f>
        <v/>
      </c>
      <c r="P135" s="23">
        <f>IF(Intereses_Residual_Mensual!P135&gt;0, ROUND(O135 + Intereses_Residual_Mensual!P135, 2), "")</f>
        <v/>
      </c>
      <c r="Q135" s="23">
        <f>IF(Intereses_Residual_Mensual!Q135&gt;0, ROUND(P135 + Intereses_Residual_Mensual!Q135, 2), "")</f>
        <v/>
      </c>
      <c r="R135" s="23">
        <f>IF(Intereses_Residual_Mensual!R135&gt;0, ROUND(Q135 + Intereses_Residual_Mensual!R135, 2), "")</f>
        <v/>
      </c>
      <c r="S135" s="23">
        <f>IF(Intereses_Residual_Mensual!S135&gt;0, ROUND(R135 + Intereses_Residual_Mensual!S135, 2), "")</f>
        <v/>
      </c>
      <c r="T135" s="23">
        <f>IF(Intereses_Residual_Mensual!T135&gt;0, ROUND(S135 + Intereses_Residual_Mensual!T135, 2), "")</f>
        <v/>
      </c>
      <c r="U135" s="23">
        <f>MAX(I135:T135)</f>
        <v/>
      </c>
    </row>
    <row r="136">
      <c r="A136" s="26" t="inlineStr">
        <is>
          <t>0663-0001</t>
        </is>
      </c>
      <c r="B136" s="27" t="inlineStr">
        <is>
          <t>Soluciones de Transporte de Carga B de Sa de Cv</t>
        </is>
      </c>
      <c r="C136" s="27" t="inlineStr">
        <is>
          <t>L200 GLX Diesel</t>
        </is>
      </c>
      <c r="D136" s="26" t="inlineStr">
        <is>
          <t>ACTIVO</t>
        </is>
      </c>
      <c r="E136" s="26" t="inlineStr">
        <is>
          <t>2024-07-31</t>
        </is>
      </c>
      <c r="F136" s="26" t="inlineStr">
        <is>
          <t>2028-07-31</t>
        </is>
      </c>
      <c r="G136" s="28" t="n">
        <v>48</v>
      </c>
      <c r="H136" s="29" t="n">
        <v>107352.59</v>
      </c>
      <c r="I136" s="29">
        <f>IF(Intereses_Residual_Mensual!I136&gt;0, ROUND(42163.21 + Intereses_Residual_Mensual!I136, 2), "")</f>
        <v/>
      </c>
      <c r="J136" s="29">
        <f>IF(Intereses_Residual_Mensual!J136&gt;0, ROUND(I136 + Intereses_Residual_Mensual!J136, 2), "")</f>
        <v/>
      </c>
      <c r="K136" s="29">
        <f>IF(Intereses_Residual_Mensual!K136&gt;0, ROUND(J136 + Intereses_Residual_Mensual!K136, 2), "")</f>
        <v/>
      </c>
      <c r="L136" s="29">
        <f>IF(Intereses_Residual_Mensual!L136&gt;0, ROUND(K136 + Intereses_Residual_Mensual!L136, 2), "")</f>
        <v/>
      </c>
      <c r="M136" s="29">
        <f>IF(Intereses_Residual_Mensual!M136&gt;0, ROUND(L136 + Intereses_Residual_Mensual!M136, 2), "")</f>
        <v/>
      </c>
      <c r="N136" s="29">
        <f>IF(Intereses_Residual_Mensual!N136&gt;0, ROUND(M136 + Intereses_Residual_Mensual!N136, 2), "")</f>
        <v/>
      </c>
      <c r="O136" s="29">
        <f>IF(Intereses_Residual_Mensual!O136&gt;0, ROUND(N136 + Intereses_Residual_Mensual!O136, 2), "")</f>
        <v/>
      </c>
      <c r="P136" s="29">
        <f>IF(Intereses_Residual_Mensual!P136&gt;0, ROUND(O136 + Intereses_Residual_Mensual!P136, 2), "")</f>
        <v/>
      </c>
      <c r="Q136" s="29">
        <f>IF(Intereses_Residual_Mensual!Q136&gt;0, ROUND(P136 + Intereses_Residual_Mensual!Q136, 2), "")</f>
        <v/>
      </c>
      <c r="R136" s="29">
        <f>IF(Intereses_Residual_Mensual!R136&gt;0, ROUND(Q136 + Intereses_Residual_Mensual!R136, 2), "")</f>
        <v/>
      </c>
      <c r="S136" s="29">
        <f>IF(Intereses_Residual_Mensual!S136&gt;0, ROUND(R136 + Intereses_Residual_Mensual!S136, 2), "")</f>
        <v/>
      </c>
      <c r="T136" s="29">
        <f>IF(Intereses_Residual_Mensual!T136&gt;0, ROUND(S136 + Intereses_Residual_Mensual!T136, 2), "")</f>
        <v/>
      </c>
      <c r="U136" s="29">
        <f>MAX(I136:T136)</f>
        <v/>
      </c>
    </row>
    <row r="137">
      <c r="A137" s="20" t="inlineStr">
        <is>
          <t>0663-0002</t>
        </is>
      </c>
      <c r="B137" s="21" t="inlineStr">
        <is>
          <t>Diego Hazael Morales Iñiguez</t>
        </is>
      </c>
      <c r="C137" s="21" t="inlineStr">
        <is>
          <t>Wrangler Rubicon</t>
        </is>
      </c>
      <c r="D137" s="20" t="inlineStr">
        <is>
          <t>ACTIVO</t>
        </is>
      </c>
      <c r="E137" s="20" t="inlineStr">
        <is>
          <t>2025-01-16</t>
        </is>
      </c>
      <c r="F137" s="20" t="inlineStr">
        <is>
          <t>2029-01-16</t>
        </is>
      </c>
      <c r="G137" s="22" t="n">
        <v>48</v>
      </c>
      <c r="H137" s="23" t="n">
        <v>105422.41</v>
      </c>
      <c r="I137" s="23">
        <f>IF(Intereses_Residual_Mensual!I137&gt;0, ROUND(35326.13 + Intereses_Residual_Mensual!I137, 2), "")</f>
        <v/>
      </c>
      <c r="J137" s="23">
        <f>IF(Intereses_Residual_Mensual!J137&gt;0, ROUND(I137 + Intereses_Residual_Mensual!J137, 2), "")</f>
        <v/>
      </c>
      <c r="K137" s="23">
        <f>IF(Intereses_Residual_Mensual!K137&gt;0, ROUND(J137 + Intereses_Residual_Mensual!K137, 2), "")</f>
        <v/>
      </c>
      <c r="L137" s="23">
        <f>IF(Intereses_Residual_Mensual!L137&gt;0, ROUND(K137 + Intereses_Residual_Mensual!L137, 2), "")</f>
        <v/>
      </c>
      <c r="M137" s="23">
        <f>IF(Intereses_Residual_Mensual!M137&gt;0, ROUND(L137 + Intereses_Residual_Mensual!M137, 2), "")</f>
        <v/>
      </c>
      <c r="N137" s="23">
        <f>IF(Intereses_Residual_Mensual!N137&gt;0, ROUND(M137 + Intereses_Residual_Mensual!N137, 2), "")</f>
        <v/>
      </c>
      <c r="O137" s="23">
        <f>IF(Intereses_Residual_Mensual!O137&gt;0, ROUND(N137 + Intereses_Residual_Mensual!O137, 2), "")</f>
        <v/>
      </c>
      <c r="P137" s="23">
        <f>IF(Intereses_Residual_Mensual!P137&gt;0, ROUND(O137 + Intereses_Residual_Mensual!P137, 2), "")</f>
        <v/>
      </c>
      <c r="Q137" s="23">
        <f>IF(Intereses_Residual_Mensual!Q137&gt;0, ROUND(P137 + Intereses_Residual_Mensual!Q137, 2), "")</f>
        <v/>
      </c>
      <c r="R137" s="23">
        <f>IF(Intereses_Residual_Mensual!R137&gt;0, ROUND(Q137 + Intereses_Residual_Mensual!R137, 2), "")</f>
        <v/>
      </c>
      <c r="S137" s="23">
        <f>IF(Intereses_Residual_Mensual!S137&gt;0, ROUND(R137 + Intereses_Residual_Mensual!S137, 2), "")</f>
        <v/>
      </c>
      <c r="T137" s="23">
        <f>IF(Intereses_Residual_Mensual!T137&gt;0, ROUND(S137 + Intereses_Residual_Mensual!T137, 2), "")</f>
        <v/>
      </c>
      <c r="U137" s="23">
        <f>MAX(I137:T137)</f>
        <v/>
      </c>
    </row>
    <row r="138">
      <c r="A138" s="26" t="inlineStr">
        <is>
          <t>0665-0001</t>
        </is>
      </c>
      <c r="B138" s="27" t="inlineStr">
        <is>
          <t>Dulce Guadalupe Amezcua Gomez</t>
        </is>
      </c>
      <c r="C138" s="27" t="inlineStr">
        <is>
          <t>Wrangler Jt</t>
        </is>
      </c>
      <c r="D138" s="26" t="inlineStr">
        <is>
          <t>ACTIVO</t>
        </is>
      </c>
      <c r="E138" s="26" t="inlineStr">
        <is>
          <t>2024-08-27</t>
        </is>
      </c>
      <c r="F138" s="26" t="inlineStr">
        <is>
          <t>2028-08-27</t>
        </is>
      </c>
      <c r="G138" s="28" t="n">
        <v>48</v>
      </c>
      <c r="H138" s="29" t="n">
        <v>267913.79</v>
      </c>
      <c r="I138" s="29">
        <f>IF(Intereses_Residual_Mensual!I138&gt;0, ROUND(102003.94 + Intereses_Residual_Mensual!I138, 2), "")</f>
        <v/>
      </c>
      <c r="J138" s="29">
        <f>IF(Intereses_Residual_Mensual!J138&gt;0, ROUND(I138 + Intereses_Residual_Mensual!J138, 2), "")</f>
        <v/>
      </c>
      <c r="K138" s="29">
        <f>IF(Intereses_Residual_Mensual!K138&gt;0, ROUND(J138 + Intereses_Residual_Mensual!K138, 2), "")</f>
        <v/>
      </c>
      <c r="L138" s="29">
        <f>IF(Intereses_Residual_Mensual!L138&gt;0, ROUND(K138 + Intereses_Residual_Mensual!L138, 2), "")</f>
        <v/>
      </c>
      <c r="M138" s="29">
        <f>IF(Intereses_Residual_Mensual!M138&gt;0, ROUND(L138 + Intereses_Residual_Mensual!M138, 2), "")</f>
        <v/>
      </c>
      <c r="N138" s="29">
        <f>IF(Intereses_Residual_Mensual!N138&gt;0, ROUND(M138 + Intereses_Residual_Mensual!N138, 2), "")</f>
        <v/>
      </c>
      <c r="O138" s="29">
        <f>IF(Intereses_Residual_Mensual!O138&gt;0, ROUND(N138 + Intereses_Residual_Mensual!O138, 2), "")</f>
        <v/>
      </c>
      <c r="P138" s="29">
        <f>IF(Intereses_Residual_Mensual!P138&gt;0, ROUND(O138 + Intereses_Residual_Mensual!P138, 2), "")</f>
        <v/>
      </c>
      <c r="Q138" s="29">
        <f>IF(Intereses_Residual_Mensual!Q138&gt;0, ROUND(P138 + Intereses_Residual_Mensual!Q138, 2), "")</f>
        <v/>
      </c>
      <c r="R138" s="29">
        <f>IF(Intereses_Residual_Mensual!R138&gt;0, ROUND(Q138 + Intereses_Residual_Mensual!R138, 2), "")</f>
        <v/>
      </c>
      <c r="S138" s="29">
        <f>IF(Intereses_Residual_Mensual!S138&gt;0, ROUND(R138 + Intereses_Residual_Mensual!S138, 2), "")</f>
        <v/>
      </c>
      <c r="T138" s="29">
        <f>IF(Intereses_Residual_Mensual!T138&gt;0, ROUND(S138 + Intereses_Residual_Mensual!T138, 2), "")</f>
        <v/>
      </c>
      <c r="U138" s="29">
        <f>MAX(I138:T138)</f>
        <v/>
      </c>
    </row>
    <row r="139">
      <c r="A139" s="20" t="inlineStr">
        <is>
          <t>0666-0003</t>
        </is>
      </c>
      <c r="B139" s="21" t="inlineStr">
        <is>
          <t>Jaime Adrian Muñiz Ramirez</t>
        </is>
      </c>
      <c r="C139" s="21" t="inlineStr">
        <is>
          <t>Wrangler Phev</t>
        </is>
      </c>
      <c r="D139" s="20" t="inlineStr">
        <is>
          <t>ACTIVO</t>
        </is>
      </c>
      <c r="E139" s="20" t="inlineStr">
        <is>
          <t>2024-08-28</t>
        </is>
      </c>
      <c r="F139" s="20" t="inlineStr">
        <is>
          <t>2027-08-28</t>
        </is>
      </c>
      <c r="G139" s="22" t="n">
        <v>36</v>
      </c>
      <c r="H139" s="23" t="n">
        <v>413331.9</v>
      </c>
      <c r="I139" s="23">
        <f>IF(Intereses_Residual_Mensual!I139&gt;0, ROUND(229454.91 + Intereses_Residual_Mensual!I139, 2), "")</f>
        <v/>
      </c>
      <c r="J139" s="23">
        <f>IF(Intereses_Residual_Mensual!J139&gt;0, ROUND(I139 + Intereses_Residual_Mensual!J139, 2), "")</f>
        <v/>
      </c>
      <c r="K139" s="23">
        <f>IF(Intereses_Residual_Mensual!K139&gt;0, ROUND(J139 + Intereses_Residual_Mensual!K139, 2), "")</f>
        <v/>
      </c>
      <c r="L139" s="23">
        <f>IF(Intereses_Residual_Mensual!L139&gt;0, ROUND(K139 + Intereses_Residual_Mensual!L139, 2), "")</f>
        <v/>
      </c>
      <c r="M139" s="23">
        <f>IF(Intereses_Residual_Mensual!M139&gt;0, ROUND(L139 + Intereses_Residual_Mensual!M139, 2), "")</f>
        <v/>
      </c>
      <c r="N139" s="23">
        <f>IF(Intereses_Residual_Mensual!N139&gt;0, ROUND(M139 + Intereses_Residual_Mensual!N139, 2), "")</f>
        <v/>
      </c>
      <c r="O139" s="23">
        <f>IF(Intereses_Residual_Mensual!O139&gt;0, ROUND(N139 + Intereses_Residual_Mensual!O139, 2), "")</f>
        <v/>
      </c>
      <c r="P139" s="23">
        <f>IF(Intereses_Residual_Mensual!P139&gt;0, ROUND(O139 + Intereses_Residual_Mensual!P139, 2), "")</f>
        <v/>
      </c>
      <c r="Q139" s="23">
        <f>IF(Intereses_Residual_Mensual!Q139&gt;0, ROUND(P139 + Intereses_Residual_Mensual!Q139, 2), "")</f>
        <v/>
      </c>
      <c r="R139" s="23">
        <f>IF(Intereses_Residual_Mensual!R139&gt;0, ROUND(Q139 + Intereses_Residual_Mensual!R139, 2), "")</f>
        <v/>
      </c>
      <c r="S139" s="23">
        <f>IF(Intereses_Residual_Mensual!S139&gt;0, ROUND(R139 + Intereses_Residual_Mensual!S139, 2), "")</f>
        <v/>
      </c>
      <c r="T139" s="23">
        <f>IF(Intereses_Residual_Mensual!T139&gt;0, ROUND(S139 + Intereses_Residual_Mensual!T139, 2), "")</f>
        <v/>
      </c>
      <c r="U139" s="23">
        <f>MAX(I139:T139)</f>
        <v/>
      </c>
    </row>
    <row r="140">
      <c r="A140" s="26" t="inlineStr">
        <is>
          <t>0668-0005</t>
        </is>
      </c>
      <c r="B140" s="27" t="inlineStr">
        <is>
          <t>Jorge Alonso Alvarez Garcia</t>
        </is>
      </c>
      <c r="C140" s="27" t="inlineStr">
        <is>
          <t>RAM 700 BIGHORN "S" CREW CAB CVT</t>
        </is>
      </c>
      <c r="D140" s="26" t="inlineStr">
        <is>
          <t>ACTIVO</t>
        </is>
      </c>
      <c r="E140" s="26" t="inlineStr">
        <is>
          <t>2026-03-04</t>
        </is>
      </c>
      <c r="F140" s="26" t="inlineStr">
        <is>
          <t>2027-03-04</t>
        </is>
      </c>
      <c r="G140" s="28" t="n">
        <v>12</v>
      </c>
      <c r="H140" s="29" t="n">
        <v>76448.28</v>
      </c>
      <c r="I140" s="29" t="inlineStr"/>
      <c r="J140" s="29" t="inlineStr"/>
      <c r="K140" s="29">
        <f>ROUND('Resumen_Cartera'!$U140 + Intereses_Residual_Mensual!K140, 2)</f>
        <v/>
      </c>
      <c r="L140" s="29">
        <f>IF(Intereses_Residual_Mensual!L140&gt;0, ROUND(K140 + Intereses_Residual_Mensual!L140, 2), "")</f>
        <v/>
      </c>
      <c r="M140" s="29">
        <f>IF(Intereses_Residual_Mensual!M140&gt;0, ROUND(L140 + Intereses_Residual_Mensual!M140, 2), "")</f>
        <v/>
      </c>
      <c r="N140" s="29">
        <f>IF(Intereses_Residual_Mensual!N140&gt;0, ROUND(M140 + Intereses_Residual_Mensual!N140, 2), "")</f>
        <v/>
      </c>
      <c r="O140" s="29">
        <f>IF(Intereses_Residual_Mensual!O140&gt;0, ROUND(N140 + Intereses_Residual_Mensual!O140, 2), "")</f>
        <v/>
      </c>
      <c r="P140" s="29">
        <f>IF(Intereses_Residual_Mensual!P140&gt;0, ROUND(O140 + Intereses_Residual_Mensual!P140, 2), "")</f>
        <v/>
      </c>
      <c r="Q140" s="29">
        <f>IF(Intereses_Residual_Mensual!Q140&gt;0, ROUND(P140 + Intereses_Residual_Mensual!Q140, 2), "")</f>
        <v/>
      </c>
      <c r="R140" s="29">
        <f>IF(Intereses_Residual_Mensual!R140&gt;0, ROUND(Q140 + Intereses_Residual_Mensual!R140, 2), "")</f>
        <v/>
      </c>
      <c r="S140" s="29">
        <f>IF(Intereses_Residual_Mensual!S140&gt;0, ROUND(R140 + Intereses_Residual_Mensual!S140, 2), "")</f>
        <v/>
      </c>
      <c r="T140" s="29">
        <f>IF(Intereses_Residual_Mensual!T140&gt;0, ROUND(S140 + Intereses_Residual_Mensual!T140, 2), "")</f>
        <v/>
      </c>
      <c r="U140" s="29">
        <f>MAX(I140:T140)</f>
        <v/>
      </c>
    </row>
    <row r="141">
      <c r="A141" s="20" t="inlineStr">
        <is>
          <t>0669-0001</t>
        </is>
      </c>
      <c r="B141" s="21" t="inlineStr">
        <is>
          <t>Diego Hazael Morales Iñiguez</t>
        </is>
      </c>
      <c r="C141" s="21" t="inlineStr">
        <is>
          <t>Wrangler Jt</t>
        </is>
      </c>
      <c r="D141" s="20" t="inlineStr">
        <is>
          <t>ACTIVO</t>
        </is>
      </c>
      <c r="E141" s="20" t="inlineStr">
        <is>
          <t>2024-08-23</t>
        </is>
      </c>
      <c r="F141" s="20" t="inlineStr">
        <is>
          <t>2027-08-23</t>
        </is>
      </c>
      <c r="G141" s="22" t="n">
        <v>36</v>
      </c>
      <c r="H141" s="23" t="n">
        <v>133956.9</v>
      </c>
      <c r="I141" s="23">
        <f>IF(Intereses_Residual_Mensual!I141&gt;0, ROUND(74649.74 + Intereses_Residual_Mensual!I141, 2), "")</f>
        <v/>
      </c>
      <c r="J141" s="23">
        <f>IF(Intereses_Residual_Mensual!J141&gt;0, ROUND(I141 + Intereses_Residual_Mensual!J141, 2), "")</f>
        <v/>
      </c>
      <c r="K141" s="23">
        <f>IF(Intereses_Residual_Mensual!K141&gt;0, ROUND(J141 + Intereses_Residual_Mensual!K141, 2), "")</f>
        <v/>
      </c>
      <c r="L141" s="23">
        <f>IF(Intereses_Residual_Mensual!L141&gt;0, ROUND(K141 + Intereses_Residual_Mensual!L141, 2), "")</f>
        <v/>
      </c>
      <c r="M141" s="23">
        <f>IF(Intereses_Residual_Mensual!M141&gt;0, ROUND(L141 + Intereses_Residual_Mensual!M141, 2), "")</f>
        <v/>
      </c>
      <c r="N141" s="23">
        <f>IF(Intereses_Residual_Mensual!N141&gt;0, ROUND(M141 + Intereses_Residual_Mensual!N141, 2), "")</f>
        <v/>
      </c>
      <c r="O141" s="23">
        <f>IF(Intereses_Residual_Mensual!O141&gt;0, ROUND(N141 + Intereses_Residual_Mensual!O141, 2), "")</f>
        <v/>
      </c>
      <c r="P141" s="23">
        <f>IF(Intereses_Residual_Mensual!P141&gt;0, ROUND(O141 + Intereses_Residual_Mensual!P141, 2), "")</f>
        <v/>
      </c>
      <c r="Q141" s="23">
        <f>IF(Intereses_Residual_Mensual!Q141&gt;0, ROUND(P141 + Intereses_Residual_Mensual!Q141, 2), "")</f>
        <v/>
      </c>
      <c r="R141" s="23">
        <f>IF(Intereses_Residual_Mensual!R141&gt;0, ROUND(Q141 + Intereses_Residual_Mensual!R141, 2), "")</f>
        <v/>
      </c>
      <c r="S141" s="23">
        <f>IF(Intereses_Residual_Mensual!S141&gt;0, ROUND(R141 + Intereses_Residual_Mensual!S141, 2), "")</f>
        <v/>
      </c>
      <c r="T141" s="23">
        <f>IF(Intereses_Residual_Mensual!T141&gt;0, ROUND(S141 + Intereses_Residual_Mensual!T141, 2), "")</f>
        <v/>
      </c>
      <c r="U141" s="23">
        <f>MAX(I141:T141)</f>
        <v/>
      </c>
    </row>
    <row r="142">
      <c r="A142" s="26" t="inlineStr">
        <is>
          <t>0670-0001</t>
        </is>
      </c>
      <c r="B142" s="27" t="inlineStr">
        <is>
          <t>Consultoria Internacional Mexincorp Sc</t>
        </is>
      </c>
      <c r="C142" s="27" t="inlineStr">
        <is>
          <t>L200 Limited</t>
        </is>
      </c>
      <c r="D142" s="26" t="inlineStr">
        <is>
          <t>ACTIVO</t>
        </is>
      </c>
      <c r="E142" s="26" t="inlineStr">
        <is>
          <t>2024-09-03</t>
        </is>
      </c>
      <c r="F142" s="26" t="inlineStr">
        <is>
          <t>2028-09-03</t>
        </is>
      </c>
      <c r="G142" s="28" t="n">
        <v>48</v>
      </c>
      <c r="H142" s="29" t="n">
        <v>7080.12</v>
      </c>
      <c r="I142" s="29">
        <f>IF(Intereses_Residual_Mensual!I142&gt;0, ROUND(2958.86 + Intereses_Residual_Mensual!I142, 2), "")</f>
        <v/>
      </c>
      <c r="J142" s="29">
        <f>IF(Intereses_Residual_Mensual!J142&gt;0, ROUND(I142 + Intereses_Residual_Mensual!J142, 2), "")</f>
        <v/>
      </c>
      <c r="K142" s="29">
        <f>IF(Intereses_Residual_Mensual!K142&gt;0, ROUND(J142 + Intereses_Residual_Mensual!K142, 2), "")</f>
        <v/>
      </c>
      <c r="L142" s="29">
        <f>IF(Intereses_Residual_Mensual!L142&gt;0, ROUND(K142 + Intereses_Residual_Mensual!L142, 2), "")</f>
        <v/>
      </c>
      <c r="M142" s="29">
        <f>IF(Intereses_Residual_Mensual!M142&gt;0, ROUND(L142 + Intereses_Residual_Mensual!M142, 2), "")</f>
        <v/>
      </c>
      <c r="N142" s="29">
        <f>IF(Intereses_Residual_Mensual!N142&gt;0, ROUND(M142 + Intereses_Residual_Mensual!N142, 2), "")</f>
        <v/>
      </c>
      <c r="O142" s="29">
        <f>IF(Intereses_Residual_Mensual!O142&gt;0, ROUND(N142 + Intereses_Residual_Mensual!O142, 2), "")</f>
        <v/>
      </c>
      <c r="P142" s="29">
        <f>IF(Intereses_Residual_Mensual!P142&gt;0, ROUND(O142 + Intereses_Residual_Mensual!P142, 2), "")</f>
        <v/>
      </c>
      <c r="Q142" s="29">
        <f>IF(Intereses_Residual_Mensual!Q142&gt;0, ROUND(P142 + Intereses_Residual_Mensual!Q142, 2), "")</f>
        <v/>
      </c>
      <c r="R142" s="29">
        <f>IF(Intereses_Residual_Mensual!R142&gt;0, ROUND(Q142 + Intereses_Residual_Mensual!R142, 2), "")</f>
        <v/>
      </c>
      <c r="S142" s="29">
        <f>IF(Intereses_Residual_Mensual!S142&gt;0, ROUND(R142 + Intereses_Residual_Mensual!S142, 2), "")</f>
        <v/>
      </c>
      <c r="T142" s="29">
        <f>IF(Intereses_Residual_Mensual!T142&gt;0, ROUND(S142 + Intereses_Residual_Mensual!T142, 2), "")</f>
        <v/>
      </c>
      <c r="U142" s="29">
        <f>MAX(I142:T142)</f>
        <v/>
      </c>
    </row>
    <row r="143">
      <c r="A143" s="20" t="inlineStr">
        <is>
          <t>0672-0001</t>
        </is>
      </c>
      <c r="B143" s="21" t="inlineStr">
        <is>
          <t>Bax Blockchain Services Sa de Cv</t>
        </is>
      </c>
      <c r="C143" s="21" t="inlineStr">
        <is>
          <t>Tucson Limited</t>
        </is>
      </c>
      <c r="D143" s="20" t="inlineStr">
        <is>
          <t>ACTIVO</t>
        </is>
      </c>
      <c r="E143" s="20" t="inlineStr">
        <is>
          <t>2024-09-13</t>
        </is>
      </c>
      <c r="F143" s="20" t="inlineStr">
        <is>
          <t>2027-09-13</t>
        </is>
      </c>
      <c r="G143" s="22" t="n">
        <v>36</v>
      </c>
      <c r="H143" s="23" t="n">
        <v>206500</v>
      </c>
      <c r="I143" s="23">
        <f>IF(Intereses_Residual_Mensual!I143&gt;0, ROUND(120960.95 + Intereses_Residual_Mensual!I143, 2), "")</f>
        <v/>
      </c>
      <c r="J143" s="23">
        <f>IF(Intereses_Residual_Mensual!J143&gt;0, ROUND(I143 + Intereses_Residual_Mensual!J143, 2), "")</f>
        <v/>
      </c>
      <c r="K143" s="23">
        <f>IF(Intereses_Residual_Mensual!K143&gt;0, ROUND(J143 + Intereses_Residual_Mensual!K143, 2), "")</f>
        <v/>
      </c>
      <c r="L143" s="23">
        <f>IF(Intereses_Residual_Mensual!L143&gt;0, ROUND(K143 + Intereses_Residual_Mensual!L143, 2), "")</f>
        <v/>
      </c>
      <c r="M143" s="23">
        <f>IF(Intereses_Residual_Mensual!M143&gt;0, ROUND(L143 + Intereses_Residual_Mensual!M143, 2), "")</f>
        <v/>
      </c>
      <c r="N143" s="23">
        <f>IF(Intereses_Residual_Mensual!N143&gt;0, ROUND(M143 + Intereses_Residual_Mensual!N143, 2), "")</f>
        <v/>
      </c>
      <c r="O143" s="23">
        <f>IF(Intereses_Residual_Mensual!O143&gt;0, ROUND(N143 + Intereses_Residual_Mensual!O143, 2), "")</f>
        <v/>
      </c>
      <c r="P143" s="23">
        <f>IF(Intereses_Residual_Mensual!P143&gt;0, ROUND(O143 + Intereses_Residual_Mensual!P143, 2), "")</f>
        <v/>
      </c>
      <c r="Q143" s="23">
        <f>IF(Intereses_Residual_Mensual!Q143&gt;0, ROUND(P143 + Intereses_Residual_Mensual!Q143, 2), "")</f>
        <v/>
      </c>
      <c r="R143" s="23">
        <f>IF(Intereses_Residual_Mensual!R143&gt;0, ROUND(Q143 + Intereses_Residual_Mensual!R143, 2), "")</f>
        <v/>
      </c>
      <c r="S143" s="23">
        <f>IF(Intereses_Residual_Mensual!S143&gt;0, ROUND(R143 + Intereses_Residual_Mensual!S143, 2), "")</f>
        <v/>
      </c>
      <c r="T143" s="23">
        <f>IF(Intereses_Residual_Mensual!T143&gt;0, ROUND(S143 + Intereses_Residual_Mensual!T143, 2), "")</f>
        <v/>
      </c>
      <c r="U143" s="23">
        <f>MAX(I143:T143)</f>
        <v/>
      </c>
    </row>
    <row r="144">
      <c r="A144" s="26" t="inlineStr">
        <is>
          <t>0673-0001</t>
        </is>
      </c>
      <c r="B144" s="27" t="inlineStr">
        <is>
          <t>Juan Carlos Cardenas Arciniega</t>
        </is>
      </c>
      <c r="C144" s="27" t="inlineStr">
        <is>
          <t>Wrangler Unlimited</t>
        </is>
      </c>
      <c r="D144" s="26" t="inlineStr">
        <is>
          <t>ACTIVO</t>
        </is>
      </c>
      <c r="E144" s="26" t="inlineStr">
        <is>
          <t>2024-09-06</t>
        </is>
      </c>
      <c r="F144" s="26" t="inlineStr">
        <is>
          <t>2028-09-06</t>
        </is>
      </c>
      <c r="G144" s="28" t="n">
        <v>48</v>
      </c>
      <c r="H144" s="29" t="n">
        <v>225844.83</v>
      </c>
      <c r="I144" s="29">
        <f>IF(Intereses_Residual_Mensual!I144&gt;0, ROUND(83316.48 + Intereses_Residual_Mensual!I144, 2), "")</f>
        <v/>
      </c>
      <c r="J144" s="29">
        <f>IF(Intereses_Residual_Mensual!J144&gt;0, ROUND(I144 + Intereses_Residual_Mensual!J144, 2), "")</f>
        <v/>
      </c>
      <c r="K144" s="29">
        <f>IF(Intereses_Residual_Mensual!K144&gt;0, ROUND(J144 + Intereses_Residual_Mensual!K144, 2), "")</f>
        <v/>
      </c>
      <c r="L144" s="29">
        <f>IF(Intereses_Residual_Mensual!L144&gt;0, ROUND(K144 + Intereses_Residual_Mensual!L144, 2), "")</f>
        <v/>
      </c>
      <c r="M144" s="29">
        <f>IF(Intereses_Residual_Mensual!M144&gt;0, ROUND(L144 + Intereses_Residual_Mensual!M144, 2), "")</f>
        <v/>
      </c>
      <c r="N144" s="29">
        <f>IF(Intereses_Residual_Mensual!N144&gt;0, ROUND(M144 + Intereses_Residual_Mensual!N144, 2), "")</f>
        <v/>
      </c>
      <c r="O144" s="29">
        <f>IF(Intereses_Residual_Mensual!O144&gt;0, ROUND(N144 + Intereses_Residual_Mensual!O144, 2), "")</f>
        <v/>
      </c>
      <c r="P144" s="29">
        <f>IF(Intereses_Residual_Mensual!P144&gt;0, ROUND(O144 + Intereses_Residual_Mensual!P144, 2), "")</f>
        <v/>
      </c>
      <c r="Q144" s="29">
        <f>IF(Intereses_Residual_Mensual!Q144&gt;0, ROUND(P144 + Intereses_Residual_Mensual!Q144, 2), "")</f>
        <v/>
      </c>
      <c r="R144" s="29">
        <f>IF(Intereses_Residual_Mensual!R144&gt;0, ROUND(Q144 + Intereses_Residual_Mensual!R144, 2), "")</f>
        <v/>
      </c>
      <c r="S144" s="29">
        <f>IF(Intereses_Residual_Mensual!S144&gt;0, ROUND(R144 + Intereses_Residual_Mensual!S144, 2), "")</f>
        <v/>
      </c>
      <c r="T144" s="29">
        <f>IF(Intereses_Residual_Mensual!T144&gt;0, ROUND(S144 + Intereses_Residual_Mensual!T144, 2), "")</f>
        <v/>
      </c>
      <c r="U144" s="29">
        <f>MAX(I144:T144)</f>
        <v/>
      </c>
    </row>
    <row r="145">
      <c r="A145" s="20" t="inlineStr">
        <is>
          <t>0673-0002</t>
        </is>
      </c>
      <c r="B145" s="21" t="inlineStr">
        <is>
          <t>Juan Carlos Cardenas Arciniega</t>
        </is>
      </c>
      <c r="C145" s="21" t="inlineStr">
        <is>
          <t>L200 Glx Diesel</t>
        </is>
      </c>
      <c r="D145" s="20" t="inlineStr">
        <is>
          <t>ACTIVO</t>
        </is>
      </c>
      <c r="E145" s="20" t="inlineStr">
        <is>
          <t>2025-03-25</t>
        </is>
      </c>
      <c r="F145" s="20" t="inlineStr">
        <is>
          <t>2029-03-25</t>
        </is>
      </c>
      <c r="G145" s="22" t="n">
        <v>48</v>
      </c>
      <c r="H145" s="23" t="n">
        <v>51935.52</v>
      </c>
      <c r="I145" s="23">
        <f>IF(Intereses_Residual_Mensual!I145&gt;0, ROUND(18922.85 + Intereses_Residual_Mensual!I145, 2), "")</f>
        <v/>
      </c>
      <c r="J145" s="23">
        <f>IF(Intereses_Residual_Mensual!J145&gt;0, ROUND(I145 + Intereses_Residual_Mensual!J145, 2), "")</f>
        <v/>
      </c>
      <c r="K145" s="23">
        <f>IF(Intereses_Residual_Mensual!K145&gt;0, ROUND(J145 + Intereses_Residual_Mensual!K145, 2), "")</f>
        <v/>
      </c>
      <c r="L145" s="23">
        <f>IF(Intereses_Residual_Mensual!L145&gt;0, ROUND(K145 + Intereses_Residual_Mensual!L145, 2), "")</f>
        <v/>
      </c>
      <c r="M145" s="23">
        <f>IF(Intereses_Residual_Mensual!M145&gt;0, ROUND(L145 + Intereses_Residual_Mensual!M145, 2), "")</f>
        <v/>
      </c>
      <c r="N145" s="23">
        <f>IF(Intereses_Residual_Mensual!N145&gt;0, ROUND(M145 + Intereses_Residual_Mensual!N145, 2), "")</f>
        <v/>
      </c>
      <c r="O145" s="23">
        <f>IF(Intereses_Residual_Mensual!O145&gt;0, ROUND(N145 + Intereses_Residual_Mensual!O145, 2), "")</f>
        <v/>
      </c>
      <c r="P145" s="23">
        <f>IF(Intereses_Residual_Mensual!P145&gt;0, ROUND(O145 + Intereses_Residual_Mensual!P145, 2), "")</f>
        <v/>
      </c>
      <c r="Q145" s="23">
        <f>IF(Intereses_Residual_Mensual!Q145&gt;0, ROUND(P145 + Intereses_Residual_Mensual!Q145, 2), "")</f>
        <v/>
      </c>
      <c r="R145" s="23">
        <f>IF(Intereses_Residual_Mensual!R145&gt;0, ROUND(Q145 + Intereses_Residual_Mensual!R145, 2), "")</f>
        <v/>
      </c>
      <c r="S145" s="23">
        <f>IF(Intereses_Residual_Mensual!S145&gt;0, ROUND(R145 + Intereses_Residual_Mensual!S145, 2), "")</f>
        <v/>
      </c>
      <c r="T145" s="23">
        <f>IF(Intereses_Residual_Mensual!T145&gt;0, ROUND(S145 + Intereses_Residual_Mensual!T145, 2), "")</f>
        <v/>
      </c>
      <c r="U145" s="23">
        <f>MAX(I145:T145)</f>
        <v/>
      </c>
    </row>
    <row r="146">
      <c r="A146" s="26" t="inlineStr">
        <is>
          <t>0673-0003</t>
        </is>
      </c>
      <c r="B146" s="27" t="inlineStr">
        <is>
          <t>Juan Carlos Cardenas Arciniega</t>
        </is>
      </c>
      <c r="C146" s="27" t="inlineStr">
        <is>
          <t>Hilux Diesel</t>
        </is>
      </c>
      <c r="D146" s="26" t="inlineStr">
        <is>
          <t>ACTIVO</t>
        </is>
      </c>
      <c r="E146" s="26" t="inlineStr">
        <is>
          <t>2025-04-30</t>
        </is>
      </c>
      <c r="F146" s="26" t="inlineStr">
        <is>
          <t>2029-04-30</t>
        </is>
      </c>
      <c r="G146" s="28" t="n">
        <v>48</v>
      </c>
      <c r="H146" s="29" t="n">
        <v>51935.52</v>
      </c>
      <c r="I146" s="29">
        <f>IF(Intereses_Residual_Mensual!I146&gt;0, ROUND(9444.75 + Intereses_Residual_Mensual!I146, 2), "")</f>
        <v/>
      </c>
      <c r="J146" s="29">
        <f>IF(Intereses_Residual_Mensual!J146&gt;0, ROUND(I146 + Intereses_Residual_Mensual!J146, 2), "")</f>
        <v/>
      </c>
      <c r="K146" s="29">
        <f>IF(Intereses_Residual_Mensual!K146&gt;0, ROUND(J146 + Intereses_Residual_Mensual!K146, 2), "")</f>
        <v/>
      </c>
      <c r="L146" s="29">
        <f>IF(Intereses_Residual_Mensual!L146&gt;0, ROUND(K146 + Intereses_Residual_Mensual!L146, 2), "")</f>
        <v/>
      </c>
      <c r="M146" s="29">
        <f>IF(Intereses_Residual_Mensual!M146&gt;0, ROUND(L146 + Intereses_Residual_Mensual!M146, 2), "")</f>
        <v/>
      </c>
      <c r="N146" s="29">
        <f>IF(Intereses_Residual_Mensual!N146&gt;0, ROUND(M146 + Intereses_Residual_Mensual!N146, 2), "")</f>
        <v/>
      </c>
      <c r="O146" s="29">
        <f>IF(Intereses_Residual_Mensual!O146&gt;0, ROUND(N146 + Intereses_Residual_Mensual!O146, 2), "")</f>
        <v/>
      </c>
      <c r="P146" s="29">
        <f>IF(Intereses_Residual_Mensual!P146&gt;0, ROUND(O146 + Intereses_Residual_Mensual!P146, 2), "")</f>
        <v/>
      </c>
      <c r="Q146" s="29">
        <f>IF(Intereses_Residual_Mensual!Q146&gt;0, ROUND(P146 + Intereses_Residual_Mensual!Q146, 2), "")</f>
        <v/>
      </c>
      <c r="R146" s="29">
        <f>IF(Intereses_Residual_Mensual!R146&gt;0, ROUND(Q146 + Intereses_Residual_Mensual!R146, 2), "")</f>
        <v/>
      </c>
      <c r="S146" s="29">
        <f>IF(Intereses_Residual_Mensual!S146&gt;0, ROUND(R146 + Intereses_Residual_Mensual!S146, 2), "")</f>
        <v/>
      </c>
      <c r="T146" s="29">
        <f>IF(Intereses_Residual_Mensual!T146&gt;0, ROUND(S146 + Intereses_Residual_Mensual!T146, 2), "")</f>
        <v/>
      </c>
      <c r="U146" s="29">
        <f>MAX(I146:T146)</f>
        <v/>
      </c>
    </row>
    <row r="147">
      <c r="A147" s="20" t="inlineStr">
        <is>
          <t>0673-0004</t>
        </is>
      </c>
      <c r="B147" s="21" t="inlineStr">
        <is>
          <t>Juan Carlos Cardenas Arciniega</t>
        </is>
      </c>
      <c r="C147" s="21" t="inlineStr">
        <is>
          <t>Np300</t>
        </is>
      </c>
      <c r="D147" s="20" t="inlineStr">
        <is>
          <t>ACTIVO</t>
        </is>
      </c>
      <c r="E147" s="20" t="inlineStr">
        <is>
          <t>2025-05-29</t>
        </is>
      </c>
      <c r="F147" s="20" t="inlineStr">
        <is>
          <t>2027-05-29</t>
        </is>
      </c>
      <c r="G147" s="22" t="n">
        <v>24</v>
      </c>
      <c r="H147" s="23" t="n">
        <v>122146.55</v>
      </c>
      <c r="I147" s="23">
        <f>IF(Intereses_Residual_Mensual!I147&gt;0, ROUND(80748.71 + Intereses_Residual_Mensual!I147, 2), "")</f>
        <v/>
      </c>
      <c r="J147" s="23">
        <f>IF(Intereses_Residual_Mensual!J147&gt;0, ROUND(I147 + Intereses_Residual_Mensual!J147, 2), "")</f>
        <v/>
      </c>
      <c r="K147" s="23">
        <f>IF(Intereses_Residual_Mensual!K147&gt;0, ROUND(J147 + Intereses_Residual_Mensual!K147, 2), "")</f>
        <v/>
      </c>
      <c r="L147" s="23">
        <f>IF(Intereses_Residual_Mensual!L147&gt;0, ROUND(K147 + Intereses_Residual_Mensual!L147, 2), "")</f>
        <v/>
      </c>
      <c r="M147" s="23">
        <f>IF(Intereses_Residual_Mensual!M147&gt;0, ROUND(L147 + Intereses_Residual_Mensual!M147, 2), "")</f>
        <v/>
      </c>
      <c r="N147" s="23">
        <f>IF(Intereses_Residual_Mensual!N147&gt;0, ROUND(M147 + Intereses_Residual_Mensual!N147, 2), "")</f>
        <v/>
      </c>
      <c r="O147" s="23">
        <f>IF(Intereses_Residual_Mensual!O147&gt;0, ROUND(N147 + Intereses_Residual_Mensual!O147, 2), "")</f>
        <v/>
      </c>
      <c r="P147" s="23">
        <f>IF(Intereses_Residual_Mensual!P147&gt;0, ROUND(O147 + Intereses_Residual_Mensual!P147, 2), "")</f>
        <v/>
      </c>
      <c r="Q147" s="23">
        <f>IF(Intereses_Residual_Mensual!Q147&gt;0, ROUND(P147 + Intereses_Residual_Mensual!Q147, 2), "")</f>
        <v/>
      </c>
      <c r="R147" s="23">
        <f>IF(Intereses_Residual_Mensual!R147&gt;0, ROUND(Q147 + Intereses_Residual_Mensual!R147, 2), "")</f>
        <v/>
      </c>
      <c r="S147" s="23">
        <f>IF(Intereses_Residual_Mensual!S147&gt;0, ROUND(R147 + Intereses_Residual_Mensual!S147, 2), "")</f>
        <v/>
      </c>
      <c r="T147" s="23">
        <f>IF(Intereses_Residual_Mensual!T147&gt;0, ROUND(S147 + Intereses_Residual_Mensual!T147, 2), "")</f>
        <v/>
      </c>
      <c r="U147" s="23">
        <f>MAX(I147:T147)</f>
        <v/>
      </c>
    </row>
    <row r="148">
      <c r="A148" s="26" t="inlineStr">
        <is>
          <t>0673-0005</t>
        </is>
      </c>
      <c r="B148" s="27" t="inlineStr">
        <is>
          <t>Juan Carlos Cardenas Arciniega</t>
        </is>
      </c>
      <c r="C148" s="27" t="inlineStr">
        <is>
          <t>L200 Glx</t>
        </is>
      </c>
      <c r="D148" s="26" t="inlineStr">
        <is>
          <t>ACTIVO</t>
        </is>
      </c>
      <c r="E148" s="26" t="inlineStr">
        <is>
          <t>2025-05-29</t>
        </is>
      </c>
      <c r="F148" s="26" t="inlineStr">
        <is>
          <t>2028-05-29</t>
        </is>
      </c>
      <c r="G148" s="28" t="n">
        <v>36</v>
      </c>
      <c r="H148" s="29" t="n">
        <v>103871.03</v>
      </c>
      <c r="I148" s="29">
        <f>IF(Intereses_Residual_Mensual!I148&gt;0, ROUND(50756.01 + Intereses_Residual_Mensual!I148, 2), "")</f>
        <v/>
      </c>
      <c r="J148" s="29">
        <f>IF(Intereses_Residual_Mensual!J148&gt;0, ROUND(I148 + Intereses_Residual_Mensual!J148, 2), "")</f>
        <v/>
      </c>
      <c r="K148" s="29">
        <f>IF(Intereses_Residual_Mensual!K148&gt;0, ROUND(J148 + Intereses_Residual_Mensual!K148, 2), "")</f>
        <v/>
      </c>
      <c r="L148" s="29">
        <f>IF(Intereses_Residual_Mensual!L148&gt;0, ROUND(K148 + Intereses_Residual_Mensual!L148, 2), "")</f>
        <v/>
      </c>
      <c r="M148" s="29">
        <f>IF(Intereses_Residual_Mensual!M148&gt;0, ROUND(L148 + Intereses_Residual_Mensual!M148, 2), "")</f>
        <v/>
      </c>
      <c r="N148" s="29">
        <f>IF(Intereses_Residual_Mensual!N148&gt;0, ROUND(M148 + Intereses_Residual_Mensual!N148, 2), "")</f>
        <v/>
      </c>
      <c r="O148" s="29">
        <f>IF(Intereses_Residual_Mensual!O148&gt;0, ROUND(N148 + Intereses_Residual_Mensual!O148, 2), "")</f>
        <v/>
      </c>
      <c r="P148" s="29">
        <f>IF(Intereses_Residual_Mensual!P148&gt;0, ROUND(O148 + Intereses_Residual_Mensual!P148, 2), "")</f>
        <v/>
      </c>
      <c r="Q148" s="29">
        <f>IF(Intereses_Residual_Mensual!Q148&gt;0, ROUND(P148 + Intereses_Residual_Mensual!Q148, 2), "")</f>
        <v/>
      </c>
      <c r="R148" s="29">
        <f>IF(Intereses_Residual_Mensual!R148&gt;0, ROUND(Q148 + Intereses_Residual_Mensual!R148, 2), "")</f>
        <v/>
      </c>
      <c r="S148" s="29">
        <f>IF(Intereses_Residual_Mensual!S148&gt;0, ROUND(R148 + Intereses_Residual_Mensual!S148, 2), "")</f>
        <v/>
      </c>
      <c r="T148" s="29">
        <f>IF(Intereses_Residual_Mensual!T148&gt;0, ROUND(S148 + Intereses_Residual_Mensual!T148, 2), "")</f>
        <v/>
      </c>
      <c r="U148" s="29">
        <f>MAX(I148:T148)</f>
        <v/>
      </c>
    </row>
    <row r="149">
      <c r="A149" s="20" t="inlineStr">
        <is>
          <t>0674-0001</t>
        </is>
      </c>
      <c r="B149" s="21" t="inlineStr">
        <is>
          <t>Zuji Sa de Cv</t>
        </is>
      </c>
      <c r="C149" s="21" t="inlineStr">
        <is>
          <t>2008 Allure</t>
        </is>
      </c>
      <c r="D149" s="20" t="inlineStr">
        <is>
          <t>ACTIVO</t>
        </is>
      </c>
      <c r="E149" s="20" t="inlineStr">
        <is>
          <t>2024-09-30</t>
        </is>
      </c>
      <c r="F149" s="20" t="inlineStr">
        <is>
          <t>2027-09-30</t>
        </is>
      </c>
      <c r="G149" s="22" t="n">
        <v>36</v>
      </c>
      <c r="H149" s="23" t="n">
        <v>143288.79</v>
      </c>
      <c r="I149" s="23">
        <f>IF(Intereses_Residual_Mensual!I149&gt;0, ROUND(77118.39 + Intereses_Residual_Mensual!I149, 2), "")</f>
        <v/>
      </c>
      <c r="J149" s="23">
        <f>IF(Intereses_Residual_Mensual!J149&gt;0, ROUND(I149 + Intereses_Residual_Mensual!J149, 2), "")</f>
        <v/>
      </c>
      <c r="K149" s="23">
        <f>IF(Intereses_Residual_Mensual!K149&gt;0, ROUND(J149 + Intereses_Residual_Mensual!K149, 2), "")</f>
        <v/>
      </c>
      <c r="L149" s="23">
        <f>IF(Intereses_Residual_Mensual!L149&gt;0, ROUND(K149 + Intereses_Residual_Mensual!L149, 2), "")</f>
        <v/>
      </c>
      <c r="M149" s="23">
        <f>IF(Intereses_Residual_Mensual!M149&gt;0, ROUND(L149 + Intereses_Residual_Mensual!M149, 2), "")</f>
        <v/>
      </c>
      <c r="N149" s="23">
        <f>IF(Intereses_Residual_Mensual!N149&gt;0, ROUND(M149 + Intereses_Residual_Mensual!N149, 2), "")</f>
        <v/>
      </c>
      <c r="O149" s="23">
        <f>IF(Intereses_Residual_Mensual!O149&gt;0, ROUND(N149 + Intereses_Residual_Mensual!O149, 2), "")</f>
        <v/>
      </c>
      <c r="P149" s="23">
        <f>IF(Intereses_Residual_Mensual!P149&gt;0, ROUND(O149 + Intereses_Residual_Mensual!P149, 2), "")</f>
        <v/>
      </c>
      <c r="Q149" s="23">
        <f>IF(Intereses_Residual_Mensual!Q149&gt;0, ROUND(P149 + Intereses_Residual_Mensual!Q149, 2), "")</f>
        <v/>
      </c>
      <c r="R149" s="23">
        <f>IF(Intereses_Residual_Mensual!R149&gt;0, ROUND(Q149 + Intereses_Residual_Mensual!R149, 2), "")</f>
        <v/>
      </c>
      <c r="S149" s="23">
        <f>IF(Intereses_Residual_Mensual!S149&gt;0, ROUND(R149 + Intereses_Residual_Mensual!S149, 2), "")</f>
        <v/>
      </c>
      <c r="T149" s="23">
        <f>IF(Intereses_Residual_Mensual!T149&gt;0, ROUND(S149 + Intereses_Residual_Mensual!T149, 2), "")</f>
        <v/>
      </c>
      <c r="U149" s="23">
        <f>MAX(I149:T149)</f>
        <v/>
      </c>
    </row>
    <row r="150">
      <c r="A150" s="26" t="inlineStr">
        <is>
          <t>0675-0002</t>
        </is>
      </c>
      <c r="B150" s="27" t="inlineStr">
        <is>
          <t>Comercializadora Industrial de Zapopan Sa de Cv</t>
        </is>
      </c>
      <c r="C150" s="27" t="inlineStr">
        <is>
          <t>Valor Residual</t>
        </is>
      </c>
      <c r="D150" s="26" t="inlineStr">
        <is>
          <t>ACTIVO</t>
        </is>
      </c>
      <c r="E150" s="26" t="inlineStr">
        <is>
          <t>2025-10-15</t>
        </is>
      </c>
      <c r="F150" s="26" t="inlineStr">
        <is>
          <t>2026-10-15</t>
        </is>
      </c>
      <c r="G150" s="28" t="n">
        <v>12</v>
      </c>
      <c r="H150" s="29" t="n">
        <v>64249.14</v>
      </c>
      <c r="I150" s="29">
        <f>IF(Intereses_Residual_Mensual!I150&gt;0, ROUND(51672.18 + Intereses_Residual_Mensual!I150, 2), "")</f>
        <v/>
      </c>
      <c r="J150" s="29">
        <f>IF(Intereses_Residual_Mensual!J150&gt;0, ROUND(I150 + Intereses_Residual_Mensual!J150, 2), "")</f>
        <v/>
      </c>
      <c r="K150" s="29">
        <f>IF(Intereses_Residual_Mensual!K150&gt;0, ROUND(J150 + Intereses_Residual_Mensual!K150, 2), "")</f>
        <v/>
      </c>
      <c r="L150" s="29">
        <f>IF(Intereses_Residual_Mensual!L150&gt;0, ROUND(K150 + Intereses_Residual_Mensual!L150, 2), "")</f>
        <v/>
      </c>
      <c r="M150" s="29">
        <f>IF(Intereses_Residual_Mensual!M150&gt;0, ROUND(L150 + Intereses_Residual_Mensual!M150, 2), "")</f>
        <v/>
      </c>
      <c r="N150" s="29">
        <f>IF(Intereses_Residual_Mensual!N150&gt;0, ROUND(M150 + Intereses_Residual_Mensual!N150, 2), "")</f>
        <v/>
      </c>
      <c r="O150" s="29">
        <f>IF(Intereses_Residual_Mensual!O150&gt;0, ROUND(N150 + Intereses_Residual_Mensual!O150, 2), "")</f>
        <v/>
      </c>
      <c r="P150" s="29">
        <f>IF(Intereses_Residual_Mensual!P150&gt;0, ROUND(O150 + Intereses_Residual_Mensual!P150, 2), "")</f>
        <v/>
      </c>
      <c r="Q150" s="29">
        <f>IF(Intereses_Residual_Mensual!Q150&gt;0, ROUND(P150 + Intereses_Residual_Mensual!Q150, 2), "")</f>
        <v/>
      </c>
      <c r="R150" s="29" t="inlineStr"/>
      <c r="S150" s="29" t="inlineStr"/>
      <c r="T150" s="29" t="inlineStr"/>
      <c r="U150" s="29">
        <f>MAX(I150:T150)</f>
        <v/>
      </c>
    </row>
    <row r="151">
      <c r="A151" s="20" t="inlineStr">
        <is>
          <t>0676-0001</t>
        </is>
      </c>
      <c r="B151" s="21" t="inlineStr">
        <is>
          <t>Productora Agricola los Amoles</t>
        </is>
      </c>
      <c r="C151" s="21" t="inlineStr">
        <is>
          <t>Ram 700 Regular Cab</t>
        </is>
      </c>
      <c r="D151" s="20" t="inlineStr">
        <is>
          <t>ACTIVO</t>
        </is>
      </c>
      <c r="E151" s="20" t="inlineStr">
        <is>
          <t>2024-10-30</t>
        </is>
      </c>
      <c r="F151" s="20" t="inlineStr">
        <is>
          <t>2027-10-30</t>
        </is>
      </c>
      <c r="G151" s="22" t="n">
        <v>36</v>
      </c>
      <c r="H151" s="23" t="n">
        <v>95089.27</v>
      </c>
      <c r="I151" s="23">
        <f>IF(Intereses_Residual_Mensual!I151&gt;0, ROUND(49650.84 + Intereses_Residual_Mensual!I151, 2), "")</f>
        <v/>
      </c>
      <c r="J151" s="23">
        <f>IF(Intereses_Residual_Mensual!J151&gt;0, ROUND(I151 + Intereses_Residual_Mensual!J151, 2), "")</f>
        <v/>
      </c>
      <c r="K151" s="23">
        <f>IF(Intereses_Residual_Mensual!K151&gt;0, ROUND(J151 + Intereses_Residual_Mensual!K151, 2), "")</f>
        <v/>
      </c>
      <c r="L151" s="23">
        <f>IF(Intereses_Residual_Mensual!L151&gt;0, ROUND(K151 + Intereses_Residual_Mensual!L151, 2), "")</f>
        <v/>
      </c>
      <c r="M151" s="23">
        <f>IF(Intereses_Residual_Mensual!M151&gt;0, ROUND(L151 + Intereses_Residual_Mensual!M151, 2), "")</f>
        <v/>
      </c>
      <c r="N151" s="23">
        <f>IF(Intereses_Residual_Mensual!N151&gt;0, ROUND(M151 + Intereses_Residual_Mensual!N151, 2), "")</f>
        <v/>
      </c>
      <c r="O151" s="23">
        <f>IF(Intereses_Residual_Mensual!O151&gt;0, ROUND(N151 + Intereses_Residual_Mensual!O151, 2), "")</f>
        <v/>
      </c>
      <c r="P151" s="23">
        <f>IF(Intereses_Residual_Mensual!P151&gt;0, ROUND(O151 + Intereses_Residual_Mensual!P151, 2), "")</f>
        <v/>
      </c>
      <c r="Q151" s="23">
        <f>IF(Intereses_Residual_Mensual!Q151&gt;0, ROUND(P151 + Intereses_Residual_Mensual!Q151, 2), "")</f>
        <v/>
      </c>
      <c r="R151" s="23">
        <f>IF(Intereses_Residual_Mensual!R151&gt;0, ROUND(Q151 + Intereses_Residual_Mensual!R151, 2), "")</f>
        <v/>
      </c>
      <c r="S151" s="23">
        <f>IF(Intereses_Residual_Mensual!S151&gt;0, ROUND(R151 + Intereses_Residual_Mensual!S151, 2), "")</f>
        <v/>
      </c>
      <c r="T151" s="23">
        <f>IF(Intereses_Residual_Mensual!T151&gt;0, ROUND(S151 + Intereses_Residual_Mensual!T151, 2), "")</f>
        <v/>
      </c>
      <c r="U151" s="23">
        <f>MAX(I151:T151)</f>
        <v/>
      </c>
    </row>
    <row r="152">
      <c r="A152" s="26" t="inlineStr">
        <is>
          <t>0677-0001</t>
        </is>
      </c>
      <c r="B152" s="27" t="inlineStr">
        <is>
          <t>Laboratorio Inunza Siglo XXI</t>
        </is>
      </c>
      <c r="C152" s="27" t="inlineStr">
        <is>
          <t>Outlander Diamon</t>
        </is>
      </c>
      <c r="D152" s="26" t="inlineStr">
        <is>
          <t>ACTIVO</t>
        </is>
      </c>
      <c r="E152" s="26" t="inlineStr">
        <is>
          <t>2024-10-30</t>
        </is>
      </c>
      <c r="F152" s="26" t="inlineStr">
        <is>
          <t>2027-10-30</t>
        </is>
      </c>
      <c r="G152" s="28" t="n">
        <v>36</v>
      </c>
      <c r="H152" s="29" t="n">
        <v>162051.72</v>
      </c>
      <c r="I152" s="29">
        <f>IF(Intereses_Residual_Mensual!I152&gt;0, ROUND(84747.87 + Intereses_Residual_Mensual!I152, 2), "")</f>
        <v/>
      </c>
      <c r="J152" s="29">
        <f>IF(Intereses_Residual_Mensual!J152&gt;0, ROUND(I152 + Intereses_Residual_Mensual!J152, 2), "")</f>
        <v/>
      </c>
      <c r="K152" s="29">
        <f>IF(Intereses_Residual_Mensual!K152&gt;0, ROUND(J152 + Intereses_Residual_Mensual!K152, 2), "")</f>
        <v/>
      </c>
      <c r="L152" s="29">
        <f>IF(Intereses_Residual_Mensual!L152&gt;0, ROUND(K152 + Intereses_Residual_Mensual!L152, 2), "")</f>
        <v/>
      </c>
      <c r="M152" s="29">
        <f>IF(Intereses_Residual_Mensual!M152&gt;0, ROUND(L152 + Intereses_Residual_Mensual!M152, 2), "")</f>
        <v/>
      </c>
      <c r="N152" s="29">
        <f>IF(Intereses_Residual_Mensual!N152&gt;0, ROUND(M152 + Intereses_Residual_Mensual!N152, 2), "")</f>
        <v/>
      </c>
      <c r="O152" s="29">
        <f>IF(Intereses_Residual_Mensual!O152&gt;0, ROUND(N152 + Intereses_Residual_Mensual!O152, 2), "")</f>
        <v/>
      </c>
      <c r="P152" s="29">
        <f>IF(Intereses_Residual_Mensual!P152&gt;0, ROUND(O152 + Intereses_Residual_Mensual!P152, 2), "")</f>
        <v/>
      </c>
      <c r="Q152" s="29">
        <f>IF(Intereses_Residual_Mensual!Q152&gt;0, ROUND(P152 + Intereses_Residual_Mensual!Q152, 2), "")</f>
        <v/>
      </c>
      <c r="R152" s="29">
        <f>IF(Intereses_Residual_Mensual!R152&gt;0, ROUND(Q152 + Intereses_Residual_Mensual!R152, 2), "")</f>
        <v/>
      </c>
      <c r="S152" s="29">
        <f>IF(Intereses_Residual_Mensual!S152&gt;0, ROUND(R152 + Intereses_Residual_Mensual!S152, 2), "")</f>
        <v/>
      </c>
      <c r="T152" s="29">
        <f>IF(Intereses_Residual_Mensual!T152&gt;0, ROUND(S152 + Intereses_Residual_Mensual!T152, 2), "")</f>
        <v/>
      </c>
      <c r="U152" s="29">
        <f>MAX(I152:T152)</f>
        <v/>
      </c>
    </row>
    <row r="153">
      <c r="A153" s="20" t="inlineStr">
        <is>
          <t>0678-0002</t>
        </is>
      </c>
      <c r="B153" s="21" t="inlineStr">
        <is>
          <t>Bhg Harmony S de Rl de Cv</t>
        </is>
      </c>
      <c r="C153" s="21" t="inlineStr">
        <is>
          <t>Teramont</t>
        </is>
      </c>
      <c r="D153" s="20" t="inlineStr">
        <is>
          <t>ACTIVO</t>
        </is>
      </c>
      <c r="E153" s="20" t="inlineStr">
        <is>
          <t>2025-12-04</t>
        </is>
      </c>
      <c r="F153" s="20" t="inlineStr">
        <is>
          <t>2026-12-04</t>
        </is>
      </c>
      <c r="G153" s="22" t="n">
        <v>12</v>
      </c>
      <c r="H153" s="23" t="n">
        <v>88529.39999999999</v>
      </c>
      <c r="I153" s="23">
        <f>IF(Intereses_Residual_Mensual!I153&gt;0, ROUND(67555.08 + Intereses_Residual_Mensual!I153, 2), "")</f>
        <v/>
      </c>
      <c r="J153" s="23">
        <f>IF(Intereses_Residual_Mensual!J153&gt;0, ROUND(I153 + Intereses_Residual_Mensual!J153, 2), "")</f>
        <v/>
      </c>
      <c r="K153" s="23">
        <f>IF(Intereses_Residual_Mensual!K153&gt;0, ROUND(J153 + Intereses_Residual_Mensual!K153, 2), "")</f>
        <v/>
      </c>
      <c r="L153" s="23">
        <f>IF(Intereses_Residual_Mensual!L153&gt;0, ROUND(K153 + Intereses_Residual_Mensual!L153, 2), "")</f>
        <v/>
      </c>
      <c r="M153" s="23">
        <f>IF(Intereses_Residual_Mensual!M153&gt;0, ROUND(L153 + Intereses_Residual_Mensual!M153, 2), "")</f>
        <v/>
      </c>
      <c r="N153" s="23">
        <f>IF(Intereses_Residual_Mensual!N153&gt;0, ROUND(M153 + Intereses_Residual_Mensual!N153, 2), "")</f>
        <v/>
      </c>
      <c r="O153" s="23">
        <f>IF(Intereses_Residual_Mensual!O153&gt;0, ROUND(N153 + Intereses_Residual_Mensual!O153, 2), "")</f>
        <v/>
      </c>
      <c r="P153" s="23">
        <f>IF(Intereses_Residual_Mensual!P153&gt;0, ROUND(O153 + Intereses_Residual_Mensual!P153, 2), "")</f>
        <v/>
      </c>
      <c r="Q153" s="23">
        <f>IF(Intereses_Residual_Mensual!Q153&gt;0, ROUND(P153 + Intereses_Residual_Mensual!Q153, 2), "")</f>
        <v/>
      </c>
      <c r="R153" s="23">
        <f>IF(Intereses_Residual_Mensual!R153&gt;0, ROUND(Q153 + Intereses_Residual_Mensual!R153, 2), "")</f>
        <v/>
      </c>
      <c r="S153" s="23">
        <f>IF(Intereses_Residual_Mensual!S153&gt;0, ROUND(R153 + Intereses_Residual_Mensual!S153, 2), "")</f>
        <v/>
      </c>
      <c r="T153" s="23" t="inlineStr"/>
      <c r="U153" s="23">
        <f>MAX(I153:T153)</f>
        <v/>
      </c>
    </row>
    <row r="154">
      <c r="A154" s="26" t="inlineStr">
        <is>
          <t>0679-0001</t>
        </is>
      </c>
      <c r="B154" s="27" t="inlineStr">
        <is>
          <t>Naikor de Occidente Sa de Cv</t>
        </is>
      </c>
      <c r="C154" s="27" t="inlineStr">
        <is>
          <t>2008</t>
        </is>
      </c>
      <c r="D154" s="26" t="inlineStr">
        <is>
          <t>ACTIVO</t>
        </is>
      </c>
      <c r="E154" s="26" t="inlineStr">
        <is>
          <t>2024-11-29</t>
        </is>
      </c>
      <c r="F154" s="26" t="inlineStr">
        <is>
          <t>2028-11-29</t>
        </is>
      </c>
      <c r="G154" s="28" t="n">
        <v>48</v>
      </c>
      <c r="H154" s="29" t="n">
        <v>93431.03</v>
      </c>
      <c r="I154" s="29">
        <f>IF(Intereses_Residual_Mensual!I154&gt;0, ROUND(30361.92 + Intereses_Residual_Mensual!I154, 2), "")</f>
        <v/>
      </c>
      <c r="J154" s="29">
        <f>IF(Intereses_Residual_Mensual!J154&gt;0, ROUND(I154 + Intereses_Residual_Mensual!J154, 2), "")</f>
        <v/>
      </c>
      <c r="K154" s="29">
        <f>IF(Intereses_Residual_Mensual!K154&gt;0, ROUND(J154 + Intereses_Residual_Mensual!K154, 2), "")</f>
        <v/>
      </c>
      <c r="L154" s="29">
        <f>IF(Intereses_Residual_Mensual!L154&gt;0, ROUND(K154 + Intereses_Residual_Mensual!L154, 2), "")</f>
        <v/>
      </c>
      <c r="M154" s="29">
        <f>IF(Intereses_Residual_Mensual!M154&gt;0, ROUND(L154 + Intereses_Residual_Mensual!M154, 2), "")</f>
        <v/>
      </c>
      <c r="N154" s="29">
        <f>IF(Intereses_Residual_Mensual!N154&gt;0, ROUND(M154 + Intereses_Residual_Mensual!N154, 2), "")</f>
        <v/>
      </c>
      <c r="O154" s="29">
        <f>IF(Intereses_Residual_Mensual!O154&gt;0, ROUND(N154 + Intereses_Residual_Mensual!O154, 2), "")</f>
        <v/>
      </c>
      <c r="P154" s="29">
        <f>IF(Intereses_Residual_Mensual!P154&gt;0, ROUND(O154 + Intereses_Residual_Mensual!P154, 2), "")</f>
        <v/>
      </c>
      <c r="Q154" s="29">
        <f>IF(Intereses_Residual_Mensual!Q154&gt;0, ROUND(P154 + Intereses_Residual_Mensual!Q154, 2), "")</f>
        <v/>
      </c>
      <c r="R154" s="29">
        <f>IF(Intereses_Residual_Mensual!R154&gt;0, ROUND(Q154 + Intereses_Residual_Mensual!R154, 2), "")</f>
        <v/>
      </c>
      <c r="S154" s="29">
        <f>IF(Intereses_Residual_Mensual!S154&gt;0, ROUND(R154 + Intereses_Residual_Mensual!S154, 2), "")</f>
        <v/>
      </c>
      <c r="T154" s="29">
        <f>IF(Intereses_Residual_Mensual!T154&gt;0, ROUND(S154 + Intereses_Residual_Mensual!T154, 2), "")</f>
        <v/>
      </c>
      <c r="U154" s="29">
        <f>MAX(I154:T154)</f>
        <v/>
      </c>
    </row>
    <row r="155">
      <c r="A155" s="20" t="inlineStr">
        <is>
          <t>0680-0001</t>
        </is>
      </c>
      <c r="B155" s="21" t="inlineStr">
        <is>
          <t>Madereria el Volcan Sa de Cv</t>
        </is>
      </c>
      <c r="C155" s="21" t="inlineStr">
        <is>
          <t>JT Mojave</t>
        </is>
      </c>
      <c r="D155" s="20" t="inlineStr">
        <is>
          <t>ACTIVO</t>
        </is>
      </c>
      <c r="E155" s="20" t="inlineStr">
        <is>
          <t>2024-12-27</t>
        </is>
      </c>
      <c r="F155" s="20" t="inlineStr">
        <is>
          <t>2027-12-27</t>
        </is>
      </c>
      <c r="G155" s="22" t="n">
        <v>36</v>
      </c>
      <c r="H155" s="23" t="n">
        <v>127060.34</v>
      </c>
      <c r="I155" s="23">
        <f>IF(Intereses_Residual_Mensual!I155&gt;0, ROUND(62614.89 + Intereses_Residual_Mensual!I155, 2), "")</f>
        <v/>
      </c>
      <c r="J155" s="23">
        <f>IF(Intereses_Residual_Mensual!J155&gt;0, ROUND(I155 + Intereses_Residual_Mensual!J155, 2), "")</f>
        <v/>
      </c>
      <c r="K155" s="23">
        <f>IF(Intereses_Residual_Mensual!K155&gt;0, ROUND(J155 + Intereses_Residual_Mensual!K155, 2), "")</f>
        <v/>
      </c>
      <c r="L155" s="23">
        <f>IF(Intereses_Residual_Mensual!L155&gt;0, ROUND(K155 + Intereses_Residual_Mensual!L155, 2), "")</f>
        <v/>
      </c>
      <c r="M155" s="23">
        <f>IF(Intereses_Residual_Mensual!M155&gt;0, ROUND(L155 + Intereses_Residual_Mensual!M155, 2), "")</f>
        <v/>
      </c>
      <c r="N155" s="23">
        <f>IF(Intereses_Residual_Mensual!N155&gt;0, ROUND(M155 + Intereses_Residual_Mensual!N155, 2), "")</f>
        <v/>
      </c>
      <c r="O155" s="23">
        <f>IF(Intereses_Residual_Mensual!O155&gt;0, ROUND(N155 + Intereses_Residual_Mensual!O155, 2), "")</f>
        <v/>
      </c>
      <c r="P155" s="23">
        <f>IF(Intereses_Residual_Mensual!P155&gt;0, ROUND(O155 + Intereses_Residual_Mensual!P155, 2), "")</f>
        <v/>
      </c>
      <c r="Q155" s="23">
        <f>IF(Intereses_Residual_Mensual!Q155&gt;0, ROUND(P155 + Intereses_Residual_Mensual!Q155, 2), "")</f>
        <v/>
      </c>
      <c r="R155" s="23">
        <f>IF(Intereses_Residual_Mensual!R155&gt;0, ROUND(Q155 + Intereses_Residual_Mensual!R155, 2), "")</f>
        <v/>
      </c>
      <c r="S155" s="23">
        <f>IF(Intereses_Residual_Mensual!S155&gt;0, ROUND(R155 + Intereses_Residual_Mensual!S155, 2), "")</f>
        <v/>
      </c>
      <c r="T155" s="23">
        <f>IF(Intereses_Residual_Mensual!T155&gt;0, ROUND(S155 + Intereses_Residual_Mensual!T155, 2), "")</f>
        <v/>
      </c>
      <c r="U155" s="23">
        <f>MAX(I155:T155)</f>
        <v/>
      </c>
    </row>
    <row r="156">
      <c r="A156" s="26" t="inlineStr">
        <is>
          <t>0682-0001</t>
        </is>
      </c>
      <c r="B156" s="27" t="inlineStr">
        <is>
          <t>Hidraneumaticos y Equipos para Gas Sa de Cv</t>
        </is>
      </c>
      <c r="C156" s="27" t="inlineStr">
        <is>
          <t>Renegade Limited</t>
        </is>
      </c>
      <c r="D156" s="26" t="inlineStr">
        <is>
          <t>ACTIVO</t>
        </is>
      </c>
      <c r="E156" s="26" t="inlineStr">
        <is>
          <t>2024-12-27</t>
        </is>
      </c>
      <c r="F156" s="26" t="inlineStr">
        <is>
          <t>2026-12-27</t>
        </is>
      </c>
      <c r="G156" s="28" t="n">
        <v>24</v>
      </c>
      <c r="H156" s="29" t="n">
        <v>42879.31</v>
      </c>
      <c r="I156" s="29">
        <f>IF(Intereses_Residual_Mensual!I156&gt;0, ROUND(30586.01 + Intereses_Residual_Mensual!I156, 2), "")</f>
        <v/>
      </c>
      <c r="J156" s="29">
        <f>IF(Intereses_Residual_Mensual!J156&gt;0, ROUND(I156 + Intereses_Residual_Mensual!J156, 2), "")</f>
        <v/>
      </c>
      <c r="K156" s="29">
        <f>IF(Intereses_Residual_Mensual!K156&gt;0, ROUND(J156 + Intereses_Residual_Mensual!K156, 2), "")</f>
        <v/>
      </c>
      <c r="L156" s="29">
        <f>IF(Intereses_Residual_Mensual!L156&gt;0, ROUND(K156 + Intereses_Residual_Mensual!L156, 2), "")</f>
        <v/>
      </c>
      <c r="M156" s="29">
        <f>IF(Intereses_Residual_Mensual!M156&gt;0, ROUND(L156 + Intereses_Residual_Mensual!M156, 2), "")</f>
        <v/>
      </c>
      <c r="N156" s="29">
        <f>IF(Intereses_Residual_Mensual!N156&gt;0, ROUND(M156 + Intereses_Residual_Mensual!N156, 2), "")</f>
        <v/>
      </c>
      <c r="O156" s="29">
        <f>IF(Intereses_Residual_Mensual!O156&gt;0, ROUND(N156 + Intereses_Residual_Mensual!O156, 2), "")</f>
        <v/>
      </c>
      <c r="P156" s="29">
        <f>IF(Intereses_Residual_Mensual!P156&gt;0, ROUND(O156 + Intereses_Residual_Mensual!P156, 2), "")</f>
        <v/>
      </c>
      <c r="Q156" s="29">
        <f>IF(Intereses_Residual_Mensual!Q156&gt;0, ROUND(P156 + Intereses_Residual_Mensual!Q156, 2), "")</f>
        <v/>
      </c>
      <c r="R156" s="29">
        <f>IF(Intereses_Residual_Mensual!R156&gt;0, ROUND(Q156 + Intereses_Residual_Mensual!R156, 2), "")</f>
        <v/>
      </c>
      <c r="S156" s="29">
        <f>IF(Intereses_Residual_Mensual!S156&gt;0, ROUND(R156 + Intereses_Residual_Mensual!S156, 2), "")</f>
        <v/>
      </c>
      <c r="T156" s="29" t="inlineStr"/>
      <c r="U156" s="29">
        <f>MAX(I156:T156)</f>
        <v/>
      </c>
    </row>
    <row r="157">
      <c r="A157" s="20" t="inlineStr">
        <is>
          <t>0682-0002</t>
        </is>
      </c>
      <c r="B157" s="21" t="inlineStr">
        <is>
          <t>Hidroneumaticos y Equipos para Gas Sa de Cv</t>
        </is>
      </c>
      <c r="C157" s="21" t="inlineStr">
        <is>
          <t>RIO</t>
        </is>
      </c>
      <c r="D157" s="20" t="inlineStr">
        <is>
          <t>ACTIVO</t>
        </is>
      </c>
      <c r="E157" s="20" t="inlineStr">
        <is>
          <t>2025-02-17</t>
        </is>
      </c>
      <c r="F157" s="20" t="inlineStr">
        <is>
          <t>2027-02-17</t>
        </is>
      </c>
      <c r="G157" s="22" t="n">
        <v>24</v>
      </c>
      <c r="H157" s="23" t="n">
        <v>22405.17</v>
      </c>
      <c r="I157" s="23">
        <f>IF(Intereses_Residual_Mensual!I157&gt;0, ROUND(15029.56 + Intereses_Residual_Mensual!I157, 2), "")</f>
        <v/>
      </c>
      <c r="J157" s="23">
        <f>IF(Intereses_Residual_Mensual!J157&gt;0, ROUND(I157 + Intereses_Residual_Mensual!J157, 2), "")</f>
        <v/>
      </c>
      <c r="K157" s="23">
        <f>IF(Intereses_Residual_Mensual!K157&gt;0, ROUND(J157 + Intereses_Residual_Mensual!K157, 2), "")</f>
        <v/>
      </c>
      <c r="L157" s="23">
        <f>IF(Intereses_Residual_Mensual!L157&gt;0, ROUND(K157 + Intereses_Residual_Mensual!L157, 2), "")</f>
        <v/>
      </c>
      <c r="M157" s="23">
        <f>IF(Intereses_Residual_Mensual!M157&gt;0, ROUND(L157 + Intereses_Residual_Mensual!M157, 2), "")</f>
        <v/>
      </c>
      <c r="N157" s="23">
        <f>IF(Intereses_Residual_Mensual!N157&gt;0, ROUND(M157 + Intereses_Residual_Mensual!N157, 2), "")</f>
        <v/>
      </c>
      <c r="O157" s="23">
        <f>IF(Intereses_Residual_Mensual!O157&gt;0, ROUND(N157 + Intereses_Residual_Mensual!O157, 2), "")</f>
        <v/>
      </c>
      <c r="P157" s="23">
        <f>IF(Intereses_Residual_Mensual!P157&gt;0, ROUND(O157 + Intereses_Residual_Mensual!P157, 2), "")</f>
        <v/>
      </c>
      <c r="Q157" s="23">
        <f>IF(Intereses_Residual_Mensual!Q157&gt;0, ROUND(P157 + Intereses_Residual_Mensual!Q157, 2), "")</f>
        <v/>
      </c>
      <c r="R157" s="23">
        <f>IF(Intereses_Residual_Mensual!R157&gt;0, ROUND(Q157 + Intereses_Residual_Mensual!R157, 2), "")</f>
        <v/>
      </c>
      <c r="S157" s="23">
        <f>IF(Intereses_Residual_Mensual!S157&gt;0, ROUND(R157 + Intereses_Residual_Mensual!S157, 2), "")</f>
        <v/>
      </c>
      <c r="T157" s="23">
        <f>IF(Intereses_Residual_Mensual!T157&gt;0, ROUND(S157 + Intereses_Residual_Mensual!T157, 2), "")</f>
        <v/>
      </c>
      <c r="U157" s="23">
        <f>MAX(I157:T157)</f>
        <v/>
      </c>
    </row>
    <row r="158">
      <c r="A158" s="26" t="inlineStr">
        <is>
          <t>0683-0001</t>
        </is>
      </c>
      <c r="B158" s="27" t="inlineStr">
        <is>
          <t>Maria de Jesus Sanchez Aguayo</t>
        </is>
      </c>
      <c r="C158" s="27" t="inlineStr">
        <is>
          <t>Ram 700 Regular Cab</t>
        </is>
      </c>
      <c r="D158" s="26" t="inlineStr">
        <is>
          <t>ACTIVO</t>
        </is>
      </c>
      <c r="E158" s="26" t="inlineStr">
        <is>
          <t>2025-01-09</t>
        </is>
      </c>
      <c r="F158" s="26" t="inlineStr">
        <is>
          <t>2028-01-09</t>
        </is>
      </c>
      <c r="G158" s="28" t="n">
        <v>36</v>
      </c>
      <c r="H158" s="29" t="n">
        <v>96845.3</v>
      </c>
      <c r="I158" s="29">
        <f>IF(Intereses_Residual_Mensual!I158&gt;0, ROUND(46084.92 + Intereses_Residual_Mensual!I158, 2), "")</f>
        <v/>
      </c>
      <c r="J158" s="29">
        <f>IF(Intereses_Residual_Mensual!J158&gt;0, ROUND(I158 + Intereses_Residual_Mensual!J158, 2), "")</f>
        <v/>
      </c>
      <c r="K158" s="29">
        <f>IF(Intereses_Residual_Mensual!K158&gt;0, ROUND(J158 + Intereses_Residual_Mensual!K158, 2), "")</f>
        <v/>
      </c>
      <c r="L158" s="29">
        <f>IF(Intereses_Residual_Mensual!L158&gt;0, ROUND(K158 + Intereses_Residual_Mensual!L158, 2), "")</f>
        <v/>
      </c>
      <c r="M158" s="29">
        <f>IF(Intereses_Residual_Mensual!M158&gt;0, ROUND(L158 + Intereses_Residual_Mensual!M158, 2), "")</f>
        <v/>
      </c>
      <c r="N158" s="29">
        <f>IF(Intereses_Residual_Mensual!N158&gt;0, ROUND(M158 + Intereses_Residual_Mensual!N158, 2), "")</f>
        <v/>
      </c>
      <c r="O158" s="29">
        <f>IF(Intereses_Residual_Mensual!O158&gt;0, ROUND(N158 + Intereses_Residual_Mensual!O158, 2), "")</f>
        <v/>
      </c>
      <c r="P158" s="29">
        <f>IF(Intereses_Residual_Mensual!P158&gt;0, ROUND(O158 + Intereses_Residual_Mensual!P158, 2), "")</f>
        <v/>
      </c>
      <c r="Q158" s="29">
        <f>IF(Intereses_Residual_Mensual!Q158&gt;0, ROUND(P158 + Intereses_Residual_Mensual!Q158, 2), "")</f>
        <v/>
      </c>
      <c r="R158" s="29">
        <f>IF(Intereses_Residual_Mensual!R158&gt;0, ROUND(Q158 + Intereses_Residual_Mensual!R158, 2), "")</f>
        <v/>
      </c>
      <c r="S158" s="29">
        <f>IF(Intereses_Residual_Mensual!S158&gt;0, ROUND(R158 + Intereses_Residual_Mensual!S158, 2), "")</f>
        <v/>
      </c>
      <c r="T158" s="29">
        <f>IF(Intereses_Residual_Mensual!T158&gt;0, ROUND(S158 + Intereses_Residual_Mensual!T158, 2), "")</f>
        <v/>
      </c>
      <c r="U158" s="29">
        <f>MAX(I158:T158)</f>
        <v/>
      </c>
    </row>
    <row r="159">
      <c r="A159" s="20" t="inlineStr">
        <is>
          <t>0683-0002</t>
        </is>
      </c>
      <c r="B159" s="21" t="inlineStr">
        <is>
          <t>Maria de Jesus Sanchez Aguayo</t>
        </is>
      </c>
      <c r="C159" s="21" t="inlineStr">
        <is>
          <t>700 Tradesman Regular Cab</t>
        </is>
      </c>
      <c r="D159" s="20" t="inlineStr">
        <is>
          <t>ACTIVO</t>
        </is>
      </c>
      <c r="E159" s="20" t="inlineStr">
        <is>
          <t>2026-01-05</t>
        </is>
      </c>
      <c r="F159" s="20" t="inlineStr">
        <is>
          <t>2029-01-05</t>
        </is>
      </c>
      <c r="G159" s="22" t="n">
        <v>36</v>
      </c>
      <c r="H159" s="23" t="n">
        <v>53431.03</v>
      </c>
      <c r="I159" s="23">
        <f>ROUND('Resumen_Cartera'!$U159 + Intereses_Residual_Mensual!I159, 2)</f>
        <v/>
      </c>
      <c r="J159" s="23">
        <f>IF(Intereses_Residual_Mensual!J159&gt;0, ROUND(I159 + Intereses_Residual_Mensual!J159, 2), "")</f>
        <v/>
      </c>
      <c r="K159" s="23">
        <f>IF(Intereses_Residual_Mensual!K159&gt;0, ROUND(J159 + Intereses_Residual_Mensual!K159, 2), "")</f>
        <v/>
      </c>
      <c r="L159" s="23">
        <f>IF(Intereses_Residual_Mensual!L159&gt;0, ROUND(K159 + Intereses_Residual_Mensual!L159, 2), "")</f>
        <v/>
      </c>
      <c r="M159" s="23">
        <f>IF(Intereses_Residual_Mensual!M159&gt;0, ROUND(L159 + Intereses_Residual_Mensual!M159, 2), "")</f>
        <v/>
      </c>
      <c r="N159" s="23">
        <f>IF(Intereses_Residual_Mensual!N159&gt;0, ROUND(M159 + Intereses_Residual_Mensual!N159, 2), "")</f>
        <v/>
      </c>
      <c r="O159" s="23">
        <f>IF(Intereses_Residual_Mensual!O159&gt;0, ROUND(N159 + Intereses_Residual_Mensual!O159, 2), "")</f>
        <v/>
      </c>
      <c r="P159" s="23">
        <f>IF(Intereses_Residual_Mensual!P159&gt;0, ROUND(O159 + Intereses_Residual_Mensual!P159, 2), "")</f>
        <v/>
      </c>
      <c r="Q159" s="23">
        <f>IF(Intereses_Residual_Mensual!Q159&gt;0, ROUND(P159 + Intereses_Residual_Mensual!Q159, 2), "")</f>
        <v/>
      </c>
      <c r="R159" s="23">
        <f>IF(Intereses_Residual_Mensual!R159&gt;0, ROUND(Q159 + Intereses_Residual_Mensual!R159, 2), "")</f>
        <v/>
      </c>
      <c r="S159" s="23">
        <f>IF(Intereses_Residual_Mensual!S159&gt;0, ROUND(R159 + Intereses_Residual_Mensual!S159, 2), "")</f>
        <v/>
      </c>
      <c r="T159" s="23">
        <f>IF(Intereses_Residual_Mensual!T159&gt;0, ROUND(S159 + Intereses_Residual_Mensual!T159, 2), "")</f>
        <v/>
      </c>
      <c r="U159" s="23">
        <f>MAX(I159:T159)</f>
        <v/>
      </c>
    </row>
    <row r="160">
      <c r="A160" s="26" t="inlineStr">
        <is>
          <t>0684-0001</t>
        </is>
      </c>
      <c r="B160" s="27" t="inlineStr">
        <is>
          <t>Corporativo Kareso Sa de v</t>
        </is>
      </c>
      <c r="C160" s="27" t="inlineStr">
        <is>
          <t>GRAND CHEROKEE LIMITED</t>
        </is>
      </c>
      <c r="D160" s="26" t="inlineStr">
        <is>
          <t>ACTIVO</t>
        </is>
      </c>
      <c r="E160" s="26" t="inlineStr">
        <is>
          <t>2024-12-20</t>
        </is>
      </c>
      <c r="F160" s="26" t="inlineStr">
        <is>
          <t>2026-12-20</t>
        </is>
      </c>
      <c r="G160" s="28" t="n">
        <v>24</v>
      </c>
      <c r="H160" s="29" t="n">
        <v>227931.03</v>
      </c>
      <c r="I160" s="29">
        <f>IF(Intereses_Residual_Mensual!I160&gt;0, ROUND(163530.31 + Intereses_Residual_Mensual!I160, 2), "")</f>
        <v/>
      </c>
      <c r="J160" s="29">
        <f>IF(Intereses_Residual_Mensual!J160&gt;0, ROUND(I160 + Intereses_Residual_Mensual!J160, 2), "")</f>
        <v/>
      </c>
      <c r="K160" s="29">
        <f>IF(Intereses_Residual_Mensual!K160&gt;0, ROUND(J160 + Intereses_Residual_Mensual!K160, 2), "")</f>
        <v/>
      </c>
      <c r="L160" s="29">
        <f>IF(Intereses_Residual_Mensual!L160&gt;0, ROUND(K160 + Intereses_Residual_Mensual!L160, 2), "")</f>
        <v/>
      </c>
      <c r="M160" s="29">
        <f>IF(Intereses_Residual_Mensual!M160&gt;0, ROUND(L160 + Intereses_Residual_Mensual!M160, 2), "")</f>
        <v/>
      </c>
      <c r="N160" s="29">
        <f>IF(Intereses_Residual_Mensual!N160&gt;0, ROUND(M160 + Intereses_Residual_Mensual!N160, 2), "")</f>
        <v/>
      </c>
      <c r="O160" s="29">
        <f>IF(Intereses_Residual_Mensual!O160&gt;0, ROUND(N160 + Intereses_Residual_Mensual!O160, 2), "")</f>
        <v/>
      </c>
      <c r="P160" s="29">
        <f>IF(Intereses_Residual_Mensual!P160&gt;0, ROUND(O160 + Intereses_Residual_Mensual!P160, 2), "")</f>
        <v/>
      </c>
      <c r="Q160" s="29">
        <f>IF(Intereses_Residual_Mensual!Q160&gt;0, ROUND(P160 + Intereses_Residual_Mensual!Q160, 2), "")</f>
        <v/>
      </c>
      <c r="R160" s="29">
        <f>IF(Intereses_Residual_Mensual!R160&gt;0, ROUND(Q160 + Intereses_Residual_Mensual!R160, 2), "")</f>
        <v/>
      </c>
      <c r="S160" s="29">
        <f>IF(Intereses_Residual_Mensual!S160&gt;0, ROUND(R160 + Intereses_Residual_Mensual!S160, 2), "")</f>
        <v/>
      </c>
      <c r="T160" s="29" t="inlineStr"/>
      <c r="U160" s="29">
        <f>MAX(I160:T160)</f>
        <v/>
      </c>
    </row>
    <row r="161">
      <c r="A161" s="20" t="inlineStr">
        <is>
          <t>0684-0002</t>
        </is>
      </c>
      <c r="B161" s="21" t="inlineStr">
        <is>
          <t>Corporativo Kareso Sa de Cv</t>
        </is>
      </c>
      <c r="C161" s="21" t="inlineStr">
        <is>
          <t>NP300 Chasis</t>
        </is>
      </c>
      <c r="D161" s="20" t="inlineStr">
        <is>
          <t>ACTIVO</t>
        </is>
      </c>
      <c r="E161" s="20" t="inlineStr">
        <is>
          <t>2025-12-12</t>
        </is>
      </c>
      <c r="F161" s="20" t="inlineStr">
        <is>
          <t>2027-12-12</t>
        </is>
      </c>
      <c r="G161" s="22" t="n">
        <v>24</v>
      </c>
      <c r="H161" s="23" t="n">
        <v>93689.66</v>
      </c>
      <c r="I161" s="23">
        <f>IF(Intereses_Residual_Mensual!I161&gt;0, ROUND(51786.14 + Intereses_Residual_Mensual!I161, 2), "")</f>
        <v/>
      </c>
      <c r="J161" s="23">
        <f>IF(Intereses_Residual_Mensual!J161&gt;0, ROUND(I161 + Intereses_Residual_Mensual!J161, 2), "")</f>
        <v/>
      </c>
      <c r="K161" s="23">
        <f>IF(Intereses_Residual_Mensual!K161&gt;0, ROUND(J161 + Intereses_Residual_Mensual!K161, 2), "")</f>
        <v/>
      </c>
      <c r="L161" s="23">
        <f>IF(Intereses_Residual_Mensual!L161&gt;0, ROUND(K161 + Intereses_Residual_Mensual!L161, 2), "")</f>
        <v/>
      </c>
      <c r="M161" s="23">
        <f>IF(Intereses_Residual_Mensual!M161&gt;0, ROUND(L161 + Intereses_Residual_Mensual!M161, 2), "")</f>
        <v/>
      </c>
      <c r="N161" s="23">
        <f>IF(Intereses_Residual_Mensual!N161&gt;0, ROUND(M161 + Intereses_Residual_Mensual!N161, 2), "")</f>
        <v/>
      </c>
      <c r="O161" s="23">
        <f>IF(Intereses_Residual_Mensual!O161&gt;0, ROUND(N161 + Intereses_Residual_Mensual!O161, 2), "")</f>
        <v/>
      </c>
      <c r="P161" s="23">
        <f>IF(Intereses_Residual_Mensual!P161&gt;0, ROUND(O161 + Intereses_Residual_Mensual!P161, 2), "")</f>
        <v/>
      </c>
      <c r="Q161" s="23">
        <f>IF(Intereses_Residual_Mensual!Q161&gt;0, ROUND(P161 + Intereses_Residual_Mensual!Q161, 2), "")</f>
        <v/>
      </c>
      <c r="R161" s="23">
        <f>IF(Intereses_Residual_Mensual!R161&gt;0, ROUND(Q161 + Intereses_Residual_Mensual!R161, 2), "")</f>
        <v/>
      </c>
      <c r="S161" s="23">
        <f>IF(Intereses_Residual_Mensual!S161&gt;0, ROUND(R161 + Intereses_Residual_Mensual!S161, 2), "")</f>
        <v/>
      </c>
      <c r="T161" s="23">
        <f>IF(Intereses_Residual_Mensual!T161&gt;0, ROUND(S161 + Intereses_Residual_Mensual!T161, 2), "")</f>
        <v/>
      </c>
      <c r="U161" s="23">
        <f>MAX(I161:T161)</f>
        <v/>
      </c>
    </row>
    <row r="162">
      <c r="A162" s="26" t="inlineStr">
        <is>
          <t>0684-0003</t>
        </is>
      </c>
      <c r="B162" s="27" t="inlineStr">
        <is>
          <t>Corporativo Kareso Sa de Cv</t>
        </is>
      </c>
      <c r="C162" s="27" t="inlineStr">
        <is>
          <t>Yaris HB</t>
        </is>
      </c>
      <c r="D162" s="26" t="inlineStr">
        <is>
          <t>ACTIVO</t>
        </is>
      </c>
      <c r="E162" s="26" t="inlineStr">
        <is>
          <t>2026-02-17</t>
        </is>
      </c>
      <c r="F162" s="26" t="inlineStr">
        <is>
          <t>2028-02-17</t>
        </is>
      </c>
      <c r="G162" s="28" t="n">
        <v>24</v>
      </c>
      <c r="H162" s="29" t="n">
        <v>64362.07</v>
      </c>
      <c r="I162" s="29" t="inlineStr"/>
      <c r="J162" s="29">
        <f>ROUND('Resumen_Cartera'!$U162 + Intereses_Residual_Mensual!J162, 2)</f>
        <v/>
      </c>
      <c r="K162" s="29">
        <f>IF(Intereses_Residual_Mensual!K162&gt;0, ROUND(J162 + Intereses_Residual_Mensual!K162, 2), "")</f>
        <v/>
      </c>
      <c r="L162" s="29">
        <f>IF(Intereses_Residual_Mensual!L162&gt;0, ROUND(K162 + Intereses_Residual_Mensual!L162, 2), "")</f>
        <v/>
      </c>
      <c r="M162" s="29">
        <f>IF(Intereses_Residual_Mensual!M162&gt;0, ROUND(L162 + Intereses_Residual_Mensual!M162, 2), "")</f>
        <v/>
      </c>
      <c r="N162" s="29">
        <f>IF(Intereses_Residual_Mensual!N162&gt;0, ROUND(M162 + Intereses_Residual_Mensual!N162, 2), "")</f>
        <v/>
      </c>
      <c r="O162" s="29">
        <f>IF(Intereses_Residual_Mensual!O162&gt;0, ROUND(N162 + Intereses_Residual_Mensual!O162, 2), "")</f>
        <v/>
      </c>
      <c r="P162" s="29">
        <f>IF(Intereses_Residual_Mensual!P162&gt;0, ROUND(O162 + Intereses_Residual_Mensual!P162, 2), "")</f>
        <v/>
      </c>
      <c r="Q162" s="29">
        <f>IF(Intereses_Residual_Mensual!Q162&gt;0, ROUND(P162 + Intereses_Residual_Mensual!Q162, 2), "")</f>
        <v/>
      </c>
      <c r="R162" s="29">
        <f>IF(Intereses_Residual_Mensual!R162&gt;0, ROUND(Q162 + Intereses_Residual_Mensual!R162, 2), "")</f>
        <v/>
      </c>
      <c r="S162" s="29">
        <f>IF(Intereses_Residual_Mensual!S162&gt;0, ROUND(R162 + Intereses_Residual_Mensual!S162, 2), "")</f>
        <v/>
      </c>
      <c r="T162" s="29">
        <f>IF(Intereses_Residual_Mensual!T162&gt;0, ROUND(S162 + Intereses_Residual_Mensual!T162, 2), "")</f>
        <v/>
      </c>
      <c r="U162" s="29">
        <f>MAX(I162:T162)</f>
        <v/>
      </c>
    </row>
    <row r="163">
      <c r="A163" s="20" t="inlineStr">
        <is>
          <t>0684-0004</t>
        </is>
      </c>
      <c r="B163" s="21" t="inlineStr">
        <is>
          <t>Corporativo Kareso Sa de Cv</t>
        </is>
      </c>
      <c r="C163" s="21" t="inlineStr">
        <is>
          <t>700 LARAMIE CREW CAB</t>
        </is>
      </c>
      <c r="D163" s="20" t="inlineStr">
        <is>
          <t>ACTIVO</t>
        </is>
      </c>
      <c r="E163" s="20" t="inlineStr">
        <is>
          <t>2025-12-12</t>
        </is>
      </c>
      <c r="F163" s="20" t="inlineStr">
        <is>
          <t>2027-12-12</t>
        </is>
      </c>
      <c r="G163" s="22" t="n">
        <v>24</v>
      </c>
      <c r="H163" s="23" t="n">
        <v>84120.69</v>
      </c>
      <c r="I163" s="23">
        <f>IF(Intereses_Residual_Mensual!I163&gt;0, ROUND(46496.97 + Intereses_Residual_Mensual!I163, 2), "")</f>
        <v/>
      </c>
      <c r="J163" s="23">
        <f>IF(Intereses_Residual_Mensual!J163&gt;0, ROUND(I163 + Intereses_Residual_Mensual!J163, 2), "")</f>
        <v/>
      </c>
      <c r="K163" s="23">
        <f>IF(Intereses_Residual_Mensual!K163&gt;0, ROUND(J163 + Intereses_Residual_Mensual!K163, 2), "")</f>
        <v/>
      </c>
      <c r="L163" s="23">
        <f>IF(Intereses_Residual_Mensual!L163&gt;0, ROUND(K163 + Intereses_Residual_Mensual!L163, 2), "")</f>
        <v/>
      </c>
      <c r="M163" s="23">
        <f>IF(Intereses_Residual_Mensual!M163&gt;0, ROUND(L163 + Intereses_Residual_Mensual!M163, 2), "")</f>
        <v/>
      </c>
      <c r="N163" s="23">
        <f>IF(Intereses_Residual_Mensual!N163&gt;0, ROUND(M163 + Intereses_Residual_Mensual!N163, 2), "")</f>
        <v/>
      </c>
      <c r="O163" s="23">
        <f>IF(Intereses_Residual_Mensual!O163&gt;0, ROUND(N163 + Intereses_Residual_Mensual!O163, 2), "")</f>
        <v/>
      </c>
      <c r="P163" s="23">
        <f>IF(Intereses_Residual_Mensual!P163&gt;0, ROUND(O163 + Intereses_Residual_Mensual!P163, 2), "")</f>
        <v/>
      </c>
      <c r="Q163" s="23">
        <f>IF(Intereses_Residual_Mensual!Q163&gt;0, ROUND(P163 + Intereses_Residual_Mensual!Q163, 2), "")</f>
        <v/>
      </c>
      <c r="R163" s="23">
        <f>IF(Intereses_Residual_Mensual!R163&gt;0, ROUND(Q163 + Intereses_Residual_Mensual!R163, 2), "")</f>
        <v/>
      </c>
      <c r="S163" s="23">
        <f>IF(Intereses_Residual_Mensual!S163&gt;0, ROUND(R163 + Intereses_Residual_Mensual!S163, 2), "")</f>
        <v/>
      </c>
      <c r="T163" s="23">
        <f>IF(Intereses_Residual_Mensual!T163&gt;0, ROUND(S163 + Intereses_Residual_Mensual!T163, 2), "")</f>
        <v/>
      </c>
      <c r="U163" s="23">
        <f>MAX(I163:T163)</f>
        <v/>
      </c>
    </row>
    <row r="164">
      <c r="A164" s="26" t="inlineStr">
        <is>
          <t>0687-0001</t>
        </is>
      </c>
      <c r="B164" s="27" t="inlineStr">
        <is>
          <t>Roberto Carlos Borbolla Alvarado</t>
        </is>
      </c>
      <c r="C164" s="27" t="inlineStr">
        <is>
          <t>Creta</t>
        </is>
      </c>
      <c r="D164" s="26" t="inlineStr">
        <is>
          <t>ACTIVO</t>
        </is>
      </c>
      <c r="E164" s="26" t="inlineStr">
        <is>
          <t>2025-03-03</t>
        </is>
      </c>
      <c r="F164" s="26" t="inlineStr">
        <is>
          <t>2028-03-03</t>
        </is>
      </c>
      <c r="G164" s="28" t="n">
        <v>36</v>
      </c>
      <c r="H164" s="29" t="n">
        <v>95568.97</v>
      </c>
      <c r="I164" s="29">
        <f>IF(Intereses_Residual_Mensual!I164&gt;0, ROUND(48252.61 + Intereses_Residual_Mensual!I164, 2), "")</f>
        <v/>
      </c>
      <c r="J164" s="29">
        <f>IF(Intereses_Residual_Mensual!J164&gt;0, ROUND(I164 + Intereses_Residual_Mensual!J164, 2), "")</f>
        <v/>
      </c>
      <c r="K164" s="29">
        <f>IF(Intereses_Residual_Mensual!K164&gt;0, ROUND(J164 + Intereses_Residual_Mensual!K164, 2), "")</f>
        <v/>
      </c>
      <c r="L164" s="29">
        <f>IF(Intereses_Residual_Mensual!L164&gt;0, ROUND(K164 + Intereses_Residual_Mensual!L164, 2), "")</f>
        <v/>
      </c>
      <c r="M164" s="29">
        <f>IF(Intereses_Residual_Mensual!M164&gt;0, ROUND(L164 + Intereses_Residual_Mensual!M164, 2), "")</f>
        <v/>
      </c>
      <c r="N164" s="29">
        <f>IF(Intereses_Residual_Mensual!N164&gt;0, ROUND(M164 + Intereses_Residual_Mensual!N164, 2), "")</f>
        <v/>
      </c>
      <c r="O164" s="29">
        <f>IF(Intereses_Residual_Mensual!O164&gt;0, ROUND(N164 + Intereses_Residual_Mensual!O164, 2), "")</f>
        <v/>
      </c>
      <c r="P164" s="29">
        <f>IF(Intereses_Residual_Mensual!P164&gt;0, ROUND(O164 + Intereses_Residual_Mensual!P164, 2), "")</f>
        <v/>
      </c>
      <c r="Q164" s="29">
        <f>IF(Intereses_Residual_Mensual!Q164&gt;0, ROUND(P164 + Intereses_Residual_Mensual!Q164, 2), "")</f>
        <v/>
      </c>
      <c r="R164" s="29">
        <f>IF(Intereses_Residual_Mensual!R164&gt;0, ROUND(Q164 + Intereses_Residual_Mensual!R164, 2), "")</f>
        <v/>
      </c>
      <c r="S164" s="29">
        <f>IF(Intereses_Residual_Mensual!S164&gt;0, ROUND(R164 + Intereses_Residual_Mensual!S164, 2), "")</f>
        <v/>
      </c>
      <c r="T164" s="29">
        <f>IF(Intereses_Residual_Mensual!T164&gt;0, ROUND(S164 + Intereses_Residual_Mensual!T164, 2), "")</f>
        <v/>
      </c>
      <c r="U164" s="29">
        <f>MAX(I164:T164)</f>
        <v/>
      </c>
    </row>
    <row r="165">
      <c r="A165" s="20" t="inlineStr">
        <is>
          <t>0688-0001</t>
        </is>
      </c>
      <c r="B165" s="21" t="inlineStr">
        <is>
          <t>Dolores Magdalena Rosales Rojas</t>
        </is>
      </c>
      <c r="C165" s="21" t="inlineStr">
        <is>
          <t>1500 RHO</t>
        </is>
      </c>
      <c r="D165" s="20" t="inlineStr">
        <is>
          <t>ACTIVO</t>
        </is>
      </c>
      <c r="E165" s="20" t="inlineStr">
        <is>
          <t>2025-02-21</t>
        </is>
      </c>
      <c r="F165" s="20" t="inlineStr">
        <is>
          <t>2027-02-21</t>
        </is>
      </c>
      <c r="G165" s="22" t="n">
        <v>24</v>
      </c>
      <c r="H165" s="23" t="n">
        <v>189646.55</v>
      </c>
      <c r="I165" s="23">
        <f>IF(Intereses_Residual_Mensual!I165&gt;0, ROUND(146049.38 + Intereses_Residual_Mensual!I165, 2), "")</f>
        <v/>
      </c>
      <c r="J165" s="23">
        <f>IF(Intereses_Residual_Mensual!J165&gt;0, ROUND(I165 + Intereses_Residual_Mensual!J165, 2), "")</f>
        <v/>
      </c>
      <c r="K165" s="23">
        <f>IF(Intereses_Residual_Mensual!K165&gt;0, ROUND(J165 + Intereses_Residual_Mensual!K165, 2), "")</f>
        <v/>
      </c>
      <c r="L165" s="23">
        <f>IF(Intereses_Residual_Mensual!L165&gt;0, ROUND(K165 + Intereses_Residual_Mensual!L165, 2), "")</f>
        <v/>
      </c>
      <c r="M165" s="23">
        <f>IF(Intereses_Residual_Mensual!M165&gt;0, ROUND(L165 + Intereses_Residual_Mensual!M165, 2), "")</f>
        <v/>
      </c>
      <c r="N165" s="23">
        <f>IF(Intereses_Residual_Mensual!N165&gt;0, ROUND(M165 + Intereses_Residual_Mensual!N165, 2), "")</f>
        <v/>
      </c>
      <c r="O165" s="23">
        <f>IF(Intereses_Residual_Mensual!O165&gt;0, ROUND(N165 + Intereses_Residual_Mensual!O165, 2), "")</f>
        <v/>
      </c>
      <c r="P165" s="23">
        <f>IF(Intereses_Residual_Mensual!P165&gt;0, ROUND(O165 + Intereses_Residual_Mensual!P165, 2), "")</f>
        <v/>
      </c>
      <c r="Q165" s="23">
        <f>IF(Intereses_Residual_Mensual!Q165&gt;0, ROUND(P165 + Intereses_Residual_Mensual!Q165, 2), "")</f>
        <v/>
      </c>
      <c r="R165" s="23">
        <f>IF(Intereses_Residual_Mensual!R165&gt;0, ROUND(Q165 + Intereses_Residual_Mensual!R165, 2), "")</f>
        <v/>
      </c>
      <c r="S165" s="23">
        <f>IF(Intereses_Residual_Mensual!S165&gt;0, ROUND(R165 + Intereses_Residual_Mensual!S165, 2), "")</f>
        <v/>
      </c>
      <c r="T165" s="23">
        <f>IF(Intereses_Residual_Mensual!T165&gt;0, ROUND(S165 + Intereses_Residual_Mensual!T165, 2), "")</f>
        <v/>
      </c>
      <c r="U165" s="23">
        <f>MAX(I165:T165)</f>
        <v/>
      </c>
    </row>
    <row r="166">
      <c r="A166" s="26" t="inlineStr">
        <is>
          <t>0688-0003</t>
        </is>
      </c>
      <c r="B166" s="27" t="inlineStr">
        <is>
          <t>Dolores Magdalena Rosales Rojas</t>
        </is>
      </c>
      <c r="C166" s="27" t="inlineStr">
        <is>
          <t>Jeep Jt Mojave 2025</t>
        </is>
      </c>
      <c r="D166" s="26" t="inlineStr">
        <is>
          <t>ACTIVO</t>
        </is>
      </c>
      <c r="E166" s="26" t="inlineStr">
        <is>
          <t>2026-07-30</t>
        </is>
      </c>
      <c r="F166" s="26" t="inlineStr">
        <is>
          <t>2027-07-30</t>
        </is>
      </c>
      <c r="G166" s="28" t="n">
        <v>12</v>
      </c>
      <c r="H166" s="29" t="n">
        <v>55134.48</v>
      </c>
      <c r="I166" s="29" t="inlineStr"/>
      <c r="J166" s="29" t="inlineStr"/>
      <c r="K166" s="29" t="inlineStr"/>
      <c r="L166" s="29" t="inlineStr"/>
      <c r="M166" s="29" t="inlineStr"/>
      <c r="N166" s="29" t="inlineStr"/>
      <c r="O166" s="29">
        <f>ROUND('Resumen_Cartera'!$U166 + Intereses_Residual_Mensual!O166, 2)</f>
        <v/>
      </c>
      <c r="P166" s="29">
        <f>IF(Intereses_Residual_Mensual!P166&gt;0, ROUND(O166 + Intereses_Residual_Mensual!P166, 2), "")</f>
        <v/>
      </c>
      <c r="Q166" s="29">
        <f>IF(Intereses_Residual_Mensual!Q166&gt;0, ROUND(P166 + Intereses_Residual_Mensual!Q166, 2), "")</f>
        <v/>
      </c>
      <c r="R166" s="29">
        <f>IF(Intereses_Residual_Mensual!R166&gt;0, ROUND(Q166 + Intereses_Residual_Mensual!R166, 2), "")</f>
        <v/>
      </c>
      <c r="S166" s="29">
        <f>IF(Intereses_Residual_Mensual!S166&gt;0, ROUND(R166 + Intereses_Residual_Mensual!S166, 2), "")</f>
        <v/>
      </c>
      <c r="T166" s="29">
        <f>IF(Intereses_Residual_Mensual!T166&gt;0, ROUND(S166 + Intereses_Residual_Mensual!T166, 2), "")</f>
        <v/>
      </c>
      <c r="U166" s="29">
        <f>MAX(I166:T166)</f>
        <v/>
      </c>
    </row>
    <row r="167">
      <c r="A167" s="20" t="inlineStr">
        <is>
          <t>0689-0001</t>
        </is>
      </c>
      <c r="B167" s="21" t="inlineStr">
        <is>
          <t>Daniela Lizette Vargas Machuca</t>
        </is>
      </c>
      <c r="C167" s="21" t="inlineStr">
        <is>
          <t>1500 TUNGSTEN</t>
        </is>
      </c>
      <c r="D167" s="20" t="inlineStr">
        <is>
          <t>ACTIVO</t>
        </is>
      </c>
      <c r="E167" s="20" t="inlineStr">
        <is>
          <t>2025-02-26</t>
        </is>
      </c>
      <c r="F167" s="20" t="inlineStr">
        <is>
          <t>2028-02-26</t>
        </is>
      </c>
      <c r="G167" s="22" t="n">
        <v>36</v>
      </c>
      <c r="H167" s="23" t="n">
        <v>310500</v>
      </c>
      <c r="I167" s="23">
        <f>IF(Intereses_Residual_Mensual!I167&gt;0, ROUND(160906.99 + Intereses_Residual_Mensual!I167, 2), "")</f>
        <v/>
      </c>
      <c r="J167" s="23">
        <f>IF(Intereses_Residual_Mensual!J167&gt;0, ROUND(I167 + Intereses_Residual_Mensual!J167, 2), "")</f>
        <v/>
      </c>
      <c r="K167" s="23">
        <f>IF(Intereses_Residual_Mensual!K167&gt;0, ROUND(J167 + Intereses_Residual_Mensual!K167, 2), "")</f>
        <v/>
      </c>
      <c r="L167" s="23">
        <f>IF(Intereses_Residual_Mensual!L167&gt;0, ROUND(K167 + Intereses_Residual_Mensual!L167, 2), "")</f>
        <v/>
      </c>
      <c r="M167" s="23">
        <f>IF(Intereses_Residual_Mensual!M167&gt;0, ROUND(L167 + Intereses_Residual_Mensual!M167, 2), "")</f>
        <v/>
      </c>
      <c r="N167" s="23">
        <f>IF(Intereses_Residual_Mensual!N167&gt;0, ROUND(M167 + Intereses_Residual_Mensual!N167, 2), "")</f>
        <v/>
      </c>
      <c r="O167" s="23">
        <f>IF(Intereses_Residual_Mensual!O167&gt;0, ROUND(N167 + Intereses_Residual_Mensual!O167, 2), "")</f>
        <v/>
      </c>
      <c r="P167" s="23">
        <f>IF(Intereses_Residual_Mensual!P167&gt;0, ROUND(O167 + Intereses_Residual_Mensual!P167, 2), "")</f>
        <v/>
      </c>
      <c r="Q167" s="23">
        <f>IF(Intereses_Residual_Mensual!Q167&gt;0, ROUND(P167 + Intereses_Residual_Mensual!Q167, 2), "")</f>
        <v/>
      </c>
      <c r="R167" s="23">
        <f>IF(Intereses_Residual_Mensual!R167&gt;0, ROUND(Q167 + Intereses_Residual_Mensual!R167, 2), "")</f>
        <v/>
      </c>
      <c r="S167" s="23">
        <f>IF(Intereses_Residual_Mensual!S167&gt;0, ROUND(R167 + Intereses_Residual_Mensual!S167, 2), "")</f>
        <v/>
      </c>
      <c r="T167" s="23">
        <f>IF(Intereses_Residual_Mensual!T167&gt;0, ROUND(S167 + Intereses_Residual_Mensual!T167, 2), "")</f>
        <v/>
      </c>
      <c r="U167" s="23">
        <f>MAX(I167:T167)</f>
        <v/>
      </c>
    </row>
    <row r="168">
      <c r="A168" s="26" t="inlineStr">
        <is>
          <t>0690-0001</t>
        </is>
      </c>
      <c r="B168" s="27" t="inlineStr">
        <is>
          <t>Rogelio Sanchez Partida</t>
        </is>
      </c>
      <c r="C168" s="27" t="inlineStr">
        <is>
          <t>Grand Cherokee Limited</t>
        </is>
      </c>
      <c r="D168" s="26" t="inlineStr">
        <is>
          <t>ACTIVO</t>
        </is>
      </c>
      <c r="E168" s="26" t="inlineStr">
        <is>
          <t>2025-03-19</t>
        </is>
      </c>
      <c r="F168" s="26" t="inlineStr">
        <is>
          <t>2028-03-19</t>
        </is>
      </c>
      <c r="G168" s="28" t="n">
        <v>36</v>
      </c>
      <c r="H168" s="29" t="n">
        <v>111077.59</v>
      </c>
      <c r="I168" s="29">
        <f>IF(Intereses_Residual_Mensual!I168&gt;0, ROUND(53259.4 + Intereses_Residual_Mensual!I168, 2), "")</f>
        <v/>
      </c>
      <c r="J168" s="29">
        <f>IF(Intereses_Residual_Mensual!J168&gt;0, ROUND(I168 + Intereses_Residual_Mensual!J168, 2), "")</f>
        <v/>
      </c>
      <c r="K168" s="29">
        <f>IF(Intereses_Residual_Mensual!K168&gt;0, ROUND(J168 + Intereses_Residual_Mensual!K168, 2), "")</f>
        <v/>
      </c>
      <c r="L168" s="29">
        <f>IF(Intereses_Residual_Mensual!L168&gt;0, ROUND(K168 + Intereses_Residual_Mensual!L168, 2), "")</f>
        <v/>
      </c>
      <c r="M168" s="29">
        <f>IF(Intereses_Residual_Mensual!M168&gt;0, ROUND(L168 + Intereses_Residual_Mensual!M168, 2), "")</f>
        <v/>
      </c>
      <c r="N168" s="29">
        <f>IF(Intereses_Residual_Mensual!N168&gt;0, ROUND(M168 + Intereses_Residual_Mensual!N168, 2), "")</f>
        <v/>
      </c>
      <c r="O168" s="29">
        <f>IF(Intereses_Residual_Mensual!O168&gt;0, ROUND(N168 + Intereses_Residual_Mensual!O168, 2), "")</f>
        <v/>
      </c>
      <c r="P168" s="29">
        <f>IF(Intereses_Residual_Mensual!P168&gt;0, ROUND(O168 + Intereses_Residual_Mensual!P168, 2), "")</f>
        <v/>
      </c>
      <c r="Q168" s="29">
        <f>IF(Intereses_Residual_Mensual!Q168&gt;0, ROUND(P168 + Intereses_Residual_Mensual!Q168, 2), "")</f>
        <v/>
      </c>
      <c r="R168" s="29">
        <f>IF(Intereses_Residual_Mensual!R168&gt;0, ROUND(Q168 + Intereses_Residual_Mensual!R168, 2), "")</f>
        <v/>
      </c>
      <c r="S168" s="29">
        <f>IF(Intereses_Residual_Mensual!S168&gt;0, ROUND(R168 + Intereses_Residual_Mensual!S168, 2), "")</f>
        <v/>
      </c>
      <c r="T168" s="29">
        <f>IF(Intereses_Residual_Mensual!T168&gt;0, ROUND(S168 + Intereses_Residual_Mensual!T168, 2), "")</f>
        <v/>
      </c>
      <c r="U168" s="29">
        <f>MAX(I168:T168)</f>
        <v/>
      </c>
    </row>
    <row r="169">
      <c r="A169" s="20" t="inlineStr">
        <is>
          <t>0691-0001</t>
        </is>
      </c>
      <c r="B169" s="21" t="inlineStr">
        <is>
          <t>Pfc Films</t>
        </is>
      </c>
      <c r="C169" s="21" t="inlineStr">
        <is>
          <t>2008 allure Pack</t>
        </is>
      </c>
      <c r="D169" s="20" t="inlineStr">
        <is>
          <t>ACTIVO</t>
        </is>
      </c>
      <c r="E169" s="20" t="inlineStr">
        <is>
          <t>2025-03-20</t>
        </is>
      </c>
      <c r="F169" s="20" t="inlineStr">
        <is>
          <t>2027-03-20</t>
        </is>
      </c>
      <c r="G169" s="22" t="n">
        <v>24</v>
      </c>
      <c r="H169" s="23" t="n">
        <v>40853.45</v>
      </c>
      <c r="I169" s="23">
        <f>IF(Intereses_Residual_Mensual!I169&gt;0, ROUND(28516.68 + Intereses_Residual_Mensual!I169, 2), "")</f>
        <v/>
      </c>
      <c r="J169" s="23">
        <f>IF(Intereses_Residual_Mensual!J169&gt;0, ROUND(I169 + Intereses_Residual_Mensual!J169, 2), "")</f>
        <v/>
      </c>
      <c r="K169" s="23">
        <f>IF(Intereses_Residual_Mensual!K169&gt;0, ROUND(J169 + Intereses_Residual_Mensual!K169, 2), "")</f>
        <v/>
      </c>
      <c r="L169" s="23">
        <f>IF(Intereses_Residual_Mensual!L169&gt;0, ROUND(K169 + Intereses_Residual_Mensual!L169, 2), "")</f>
        <v/>
      </c>
      <c r="M169" s="23">
        <f>IF(Intereses_Residual_Mensual!M169&gt;0, ROUND(L169 + Intereses_Residual_Mensual!M169, 2), "")</f>
        <v/>
      </c>
      <c r="N169" s="23">
        <f>IF(Intereses_Residual_Mensual!N169&gt;0, ROUND(M169 + Intereses_Residual_Mensual!N169, 2), "")</f>
        <v/>
      </c>
      <c r="O169" s="23">
        <f>IF(Intereses_Residual_Mensual!O169&gt;0, ROUND(N169 + Intereses_Residual_Mensual!O169, 2), "")</f>
        <v/>
      </c>
      <c r="P169" s="23">
        <f>IF(Intereses_Residual_Mensual!P169&gt;0, ROUND(O169 + Intereses_Residual_Mensual!P169, 2), "")</f>
        <v/>
      </c>
      <c r="Q169" s="23">
        <f>IF(Intereses_Residual_Mensual!Q169&gt;0, ROUND(P169 + Intereses_Residual_Mensual!Q169, 2), "")</f>
        <v/>
      </c>
      <c r="R169" s="23">
        <f>IF(Intereses_Residual_Mensual!R169&gt;0, ROUND(Q169 + Intereses_Residual_Mensual!R169, 2), "")</f>
        <v/>
      </c>
      <c r="S169" s="23">
        <f>IF(Intereses_Residual_Mensual!S169&gt;0, ROUND(R169 + Intereses_Residual_Mensual!S169, 2), "")</f>
        <v/>
      </c>
      <c r="T169" s="23">
        <f>IF(Intereses_Residual_Mensual!T169&gt;0, ROUND(S169 + Intereses_Residual_Mensual!T169, 2), "")</f>
        <v/>
      </c>
      <c r="U169" s="23">
        <f>MAX(I169:T169)</f>
        <v/>
      </c>
    </row>
    <row r="170">
      <c r="A170" s="26" t="inlineStr">
        <is>
          <t>0692-0001</t>
        </is>
      </c>
      <c r="B170" s="27" t="inlineStr">
        <is>
          <t>Operadora de Centros Familiares Gato</t>
        </is>
      </c>
      <c r="C170" s="27" t="inlineStr">
        <is>
          <t>Partner Rapid</t>
        </is>
      </c>
      <c r="D170" s="26" t="inlineStr">
        <is>
          <t>ACTIVO</t>
        </is>
      </c>
      <c r="E170" s="26" t="inlineStr">
        <is>
          <t>2025-04-23</t>
        </is>
      </c>
      <c r="F170" s="26" t="inlineStr">
        <is>
          <t>2027-04-23</t>
        </is>
      </c>
      <c r="G170" s="28" t="n">
        <v>24</v>
      </c>
      <c r="H170" s="29" t="n">
        <v>2478.45</v>
      </c>
      <c r="I170" s="29">
        <f>IF(Intereses_Residual_Mensual!I170&gt;0, ROUND(1710.15 + Intereses_Residual_Mensual!I170, 2), "")</f>
        <v/>
      </c>
      <c r="J170" s="29">
        <f>IF(Intereses_Residual_Mensual!J170&gt;0, ROUND(I170 + Intereses_Residual_Mensual!J170, 2), "")</f>
        <v/>
      </c>
      <c r="K170" s="29">
        <f>IF(Intereses_Residual_Mensual!K170&gt;0, ROUND(J170 + Intereses_Residual_Mensual!K170, 2), "")</f>
        <v/>
      </c>
      <c r="L170" s="29">
        <f>IF(Intereses_Residual_Mensual!L170&gt;0, ROUND(K170 + Intereses_Residual_Mensual!L170, 2), "")</f>
        <v/>
      </c>
      <c r="M170" s="29">
        <f>IF(Intereses_Residual_Mensual!M170&gt;0, ROUND(L170 + Intereses_Residual_Mensual!M170, 2), "")</f>
        <v/>
      </c>
      <c r="N170" s="29">
        <f>IF(Intereses_Residual_Mensual!N170&gt;0, ROUND(M170 + Intereses_Residual_Mensual!N170, 2), "")</f>
        <v/>
      </c>
      <c r="O170" s="29">
        <f>IF(Intereses_Residual_Mensual!O170&gt;0, ROUND(N170 + Intereses_Residual_Mensual!O170, 2), "")</f>
        <v/>
      </c>
      <c r="P170" s="29">
        <f>IF(Intereses_Residual_Mensual!P170&gt;0, ROUND(O170 + Intereses_Residual_Mensual!P170, 2), "")</f>
        <v/>
      </c>
      <c r="Q170" s="29">
        <f>IF(Intereses_Residual_Mensual!Q170&gt;0, ROUND(P170 + Intereses_Residual_Mensual!Q170, 2), "")</f>
        <v/>
      </c>
      <c r="R170" s="29">
        <f>IF(Intereses_Residual_Mensual!R170&gt;0, ROUND(Q170 + Intereses_Residual_Mensual!R170, 2), "")</f>
        <v/>
      </c>
      <c r="S170" s="29">
        <f>IF(Intereses_Residual_Mensual!S170&gt;0, ROUND(R170 + Intereses_Residual_Mensual!S170, 2), "")</f>
        <v/>
      </c>
      <c r="T170" s="29">
        <f>IF(Intereses_Residual_Mensual!T170&gt;0, ROUND(S170 + Intereses_Residual_Mensual!T170, 2), "")</f>
        <v/>
      </c>
      <c r="U170" s="29">
        <f>MAX(I170:T170)</f>
        <v/>
      </c>
    </row>
    <row r="171">
      <c r="A171" s="20" t="inlineStr">
        <is>
          <t>0692-0002</t>
        </is>
      </c>
      <c r="B171" s="21" t="inlineStr">
        <is>
          <t>Operadora de Centros Familiares Gato</t>
        </is>
      </c>
      <c r="C171" s="21" t="inlineStr">
        <is>
          <t>Partner Rapid</t>
        </is>
      </c>
      <c r="D171" s="20" t="inlineStr">
        <is>
          <t>ACTIVO</t>
        </is>
      </c>
      <c r="E171" s="20" t="inlineStr">
        <is>
          <t>2025-04-23</t>
        </is>
      </c>
      <c r="F171" s="20" t="inlineStr">
        <is>
          <t>2027-04-23</t>
        </is>
      </c>
      <c r="G171" s="22" t="n">
        <v>24</v>
      </c>
      <c r="H171" s="23" t="n">
        <v>2478.45</v>
      </c>
      <c r="I171" s="23">
        <f>IF(Intereses_Residual_Mensual!I171&gt;0, ROUND(1710.15 + Intereses_Residual_Mensual!I171, 2), "")</f>
        <v/>
      </c>
      <c r="J171" s="23">
        <f>IF(Intereses_Residual_Mensual!J171&gt;0, ROUND(I171 + Intereses_Residual_Mensual!J171, 2), "")</f>
        <v/>
      </c>
      <c r="K171" s="23">
        <f>IF(Intereses_Residual_Mensual!K171&gt;0, ROUND(J171 + Intereses_Residual_Mensual!K171, 2), "")</f>
        <v/>
      </c>
      <c r="L171" s="23">
        <f>IF(Intereses_Residual_Mensual!L171&gt;0, ROUND(K171 + Intereses_Residual_Mensual!L171, 2), "")</f>
        <v/>
      </c>
      <c r="M171" s="23">
        <f>IF(Intereses_Residual_Mensual!M171&gt;0, ROUND(L171 + Intereses_Residual_Mensual!M171, 2), "")</f>
        <v/>
      </c>
      <c r="N171" s="23">
        <f>IF(Intereses_Residual_Mensual!N171&gt;0, ROUND(M171 + Intereses_Residual_Mensual!N171, 2), "")</f>
        <v/>
      </c>
      <c r="O171" s="23">
        <f>IF(Intereses_Residual_Mensual!O171&gt;0, ROUND(N171 + Intereses_Residual_Mensual!O171, 2), "")</f>
        <v/>
      </c>
      <c r="P171" s="23">
        <f>IF(Intereses_Residual_Mensual!P171&gt;0, ROUND(O171 + Intereses_Residual_Mensual!P171, 2), "")</f>
        <v/>
      </c>
      <c r="Q171" s="23">
        <f>IF(Intereses_Residual_Mensual!Q171&gt;0, ROUND(P171 + Intereses_Residual_Mensual!Q171, 2), "")</f>
        <v/>
      </c>
      <c r="R171" s="23">
        <f>IF(Intereses_Residual_Mensual!R171&gt;0, ROUND(Q171 + Intereses_Residual_Mensual!R171, 2), "")</f>
        <v/>
      </c>
      <c r="S171" s="23">
        <f>IF(Intereses_Residual_Mensual!S171&gt;0, ROUND(R171 + Intereses_Residual_Mensual!S171, 2), "")</f>
        <v/>
      </c>
      <c r="T171" s="23">
        <f>IF(Intereses_Residual_Mensual!T171&gt;0, ROUND(S171 + Intereses_Residual_Mensual!T171, 2), "")</f>
        <v/>
      </c>
      <c r="U171" s="23">
        <f>MAX(I171:T171)</f>
        <v/>
      </c>
    </row>
    <row r="172">
      <c r="A172" s="26" t="inlineStr">
        <is>
          <t>0692-0003</t>
        </is>
      </c>
      <c r="B172" s="27" t="inlineStr">
        <is>
          <t>Operadora de Centros Familiares Gato</t>
        </is>
      </c>
      <c r="C172" s="27" t="inlineStr">
        <is>
          <t>Partner Rapid</t>
        </is>
      </c>
      <c r="D172" s="26" t="inlineStr">
        <is>
          <t>ACTIVO</t>
        </is>
      </c>
      <c r="E172" s="26" t="inlineStr">
        <is>
          <t>2025-04-23</t>
        </is>
      </c>
      <c r="F172" s="26" t="inlineStr">
        <is>
          <t>2027-04-23</t>
        </is>
      </c>
      <c r="G172" s="28" t="n">
        <v>24</v>
      </c>
      <c r="H172" s="29" t="n">
        <v>2478.45</v>
      </c>
      <c r="I172" s="29">
        <f>IF(Intereses_Residual_Mensual!I172&gt;0, ROUND(1710.15 + Intereses_Residual_Mensual!I172, 2), "")</f>
        <v/>
      </c>
      <c r="J172" s="29">
        <f>IF(Intereses_Residual_Mensual!J172&gt;0, ROUND(I172 + Intereses_Residual_Mensual!J172, 2), "")</f>
        <v/>
      </c>
      <c r="K172" s="29">
        <f>IF(Intereses_Residual_Mensual!K172&gt;0, ROUND(J172 + Intereses_Residual_Mensual!K172, 2), "")</f>
        <v/>
      </c>
      <c r="L172" s="29">
        <f>IF(Intereses_Residual_Mensual!L172&gt;0, ROUND(K172 + Intereses_Residual_Mensual!L172, 2), "")</f>
        <v/>
      </c>
      <c r="M172" s="29">
        <f>IF(Intereses_Residual_Mensual!M172&gt;0, ROUND(L172 + Intereses_Residual_Mensual!M172, 2), "")</f>
        <v/>
      </c>
      <c r="N172" s="29">
        <f>IF(Intereses_Residual_Mensual!N172&gt;0, ROUND(M172 + Intereses_Residual_Mensual!N172, 2), "")</f>
        <v/>
      </c>
      <c r="O172" s="29">
        <f>IF(Intereses_Residual_Mensual!O172&gt;0, ROUND(N172 + Intereses_Residual_Mensual!O172, 2), "")</f>
        <v/>
      </c>
      <c r="P172" s="29">
        <f>IF(Intereses_Residual_Mensual!P172&gt;0, ROUND(O172 + Intereses_Residual_Mensual!P172, 2), "")</f>
        <v/>
      </c>
      <c r="Q172" s="29">
        <f>IF(Intereses_Residual_Mensual!Q172&gt;0, ROUND(P172 + Intereses_Residual_Mensual!Q172, 2), "")</f>
        <v/>
      </c>
      <c r="R172" s="29">
        <f>IF(Intereses_Residual_Mensual!R172&gt;0, ROUND(Q172 + Intereses_Residual_Mensual!R172, 2), "")</f>
        <v/>
      </c>
      <c r="S172" s="29">
        <f>IF(Intereses_Residual_Mensual!S172&gt;0, ROUND(R172 + Intereses_Residual_Mensual!S172, 2), "")</f>
        <v/>
      </c>
      <c r="T172" s="29">
        <f>IF(Intereses_Residual_Mensual!T172&gt;0, ROUND(S172 + Intereses_Residual_Mensual!T172, 2), "")</f>
        <v/>
      </c>
      <c r="U172" s="29">
        <f>MAX(I172:T172)</f>
        <v/>
      </c>
    </row>
    <row r="173">
      <c r="A173" s="20" t="inlineStr">
        <is>
          <t>0693-0001</t>
        </is>
      </c>
      <c r="B173" s="21" t="inlineStr">
        <is>
          <t>Neurovim</t>
        </is>
      </c>
      <c r="C173" s="21" t="inlineStr">
        <is>
          <t>Equipo Medico</t>
        </is>
      </c>
      <c r="D173" s="20" t="inlineStr">
        <is>
          <t>ACTIVO</t>
        </is>
      </c>
      <c r="E173" s="20" t="inlineStr">
        <is>
          <t>2025-04-25</t>
        </is>
      </c>
      <c r="F173" s="20" t="inlineStr">
        <is>
          <t>2028-04-25</t>
        </is>
      </c>
      <c r="G173" s="22" t="n">
        <v>36</v>
      </c>
      <c r="H173" s="23" t="n">
        <v>637285.3199999999</v>
      </c>
      <c r="I173" s="23">
        <f>IF(Intereses_Residual_Mensual!I173&gt;0, ROUND(305831.53 + Intereses_Residual_Mensual!I173, 2), "")</f>
        <v/>
      </c>
      <c r="J173" s="23">
        <f>IF(Intereses_Residual_Mensual!J173&gt;0, ROUND(I173 + Intereses_Residual_Mensual!J173, 2), "")</f>
        <v/>
      </c>
      <c r="K173" s="23">
        <f>IF(Intereses_Residual_Mensual!K173&gt;0, ROUND(J173 + Intereses_Residual_Mensual!K173, 2), "")</f>
        <v/>
      </c>
      <c r="L173" s="23">
        <f>IF(Intereses_Residual_Mensual!L173&gt;0, ROUND(K173 + Intereses_Residual_Mensual!L173, 2), "")</f>
        <v/>
      </c>
      <c r="M173" s="23">
        <f>IF(Intereses_Residual_Mensual!M173&gt;0, ROUND(L173 + Intereses_Residual_Mensual!M173, 2), "")</f>
        <v/>
      </c>
      <c r="N173" s="23">
        <f>IF(Intereses_Residual_Mensual!N173&gt;0, ROUND(M173 + Intereses_Residual_Mensual!N173, 2), "")</f>
        <v/>
      </c>
      <c r="O173" s="23">
        <f>IF(Intereses_Residual_Mensual!O173&gt;0, ROUND(N173 + Intereses_Residual_Mensual!O173, 2), "")</f>
        <v/>
      </c>
      <c r="P173" s="23">
        <f>IF(Intereses_Residual_Mensual!P173&gt;0, ROUND(O173 + Intereses_Residual_Mensual!P173, 2), "")</f>
        <v/>
      </c>
      <c r="Q173" s="23">
        <f>IF(Intereses_Residual_Mensual!Q173&gt;0, ROUND(P173 + Intereses_Residual_Mensual!Q173, 2), "")</f>
        <v/>
      </c>
      <c r="R173" s="23">
        <f>IF(Intereses_Residual_Mensual!R173&gt;0, ROUND(Q173 + Intereses_Residual_Mensual!R173, 2), "")</f>
        <v/>
      </c>
      <c r="S173" s="23">
        <f>IF(Intereses_Residual_Mensual!S173&gt;0, ROUND(R173 + Intereses_Residual_Mensual!S173, 2), "")</f>
        <v/>
      </c>
      <c r="T173" s="23">
        <f>IF(Intereses_Residual_Mensual!T173&gt;0, ROUND(S173 + Intereses_Residual_Mensual!T173, 2), "")</f>
        <v/>
      </c>
      <c r="U173" s="23">
        <f>MAX(I173:T173)</f>
        <v/>
      </c>
    </row>
    <row r="174">
      <c r="A174" s="26" t="inlineStr">
        <is>
          <t>0694-0001</t>
        </is>
      </c>
      <c r="B174" s="27" t="inlineStr">
        <is>
          <t>Jose Gelacio Limon Reyes</t>
        </is>
      </c>
      <c r="C174" s="27" t="inlineStr">
        <is>
          <t>Outlander Sport</t>
        </is>
      </c>
      <c r="D174" s="26" t="inlineStr">
        <is>
          <t>ACTIVO</t>
        </is>
      </c>
      <c r="E174" s="26" t="inlineStr">
        <is>
          <t>2025-05-26</t>
        </is>
      </c>
      <c r="F174" s="26" t="inlineStr">
        <is>
          <t>2029-05-26</t>
        </is>
      </c>
      <c r="G174" s="28" t="n">
        <v>48</v>
      </c>
      <c r="H174" s="29" t="n">
        <v>43077.59</v>
      </c>
      <c r="I174" s="29">
        <f>IF(Intereses_Residual_Mensual!I174&gt;0, ROUND(14887.51 + Intereses_Residual_Mensual!I174, 2), "")</f>
        <v/>
      </c>
      <c r="J174" s="29">
        <f>IF(Intereses_Residual_Mensual!J174&gt;0, ROUND(I174 + Intereses_Residual_Mensual!J174, 2), "")</f>
        <v/>
      </c>
      <c r="K174" s="29">
        <f>IF(Intereses_Residual_Mensual!K174&gt;0, ROUND(J174 + Intereses_Residual_Mensual!K174, 2), "")</f>
        <v/>
      </c>
      <c r="L174" s="29">
        <f>IF(Intereses_Residual_Mensual!L174&gt;0, ROUND(K174 + Intereses_Residual_Mensual!L174, 2), "")</f>
        <v/>
      </c>
      <c r="M174" s="29">
        <f>IF(Intereses_Residual_Mensual!M174&gt;0, ROUND(L174 + Intereses_Residual_Mensual!M174, 2), "")</f>
        <v/>
      </c>
      <c r="N174" s="29">
        <f>IF(Intereses_Residual_Mensual!N174&gt;0, ROUND(M174 + Intereses_Residual_Mensual!N174, 2), "")</f>
        <v/>
      </c>
      <c r="O174" s="29">
        <f>IF(Intereses_Residual_Mensual!O174&gt;0, ROUND(N174 + Intereses_Residual_Mensual!O174, 2), "")</f>
        <v/>
      </c>
      <c r="P174" s="29">
        <f>IF(Intereses_Residual_Mensual!P174&gt;0, ROUND(O174 + Intereses_Residual_Mensual!P174, 2), "")</f>
        <v/>
      </c>
      <c r="Q174" s="29">
        <f>IF(Intereses_Residual_Mensual!Q174&gt;0, ROUND(P174 + Intereses_Residual_Mensual!Q174, 2), "")</f>
        <v/>
      </c>
      <c r="R174" s="29">
        <f>IF(Intereses_Residual_Mensual!R174&gt;0, ROUND(Q174 + Intereses_Residual_Mensual!R174, 2), "")</f>
        <v/>
      </c>
      <c r="S174" s="29">
        <f>IF(Intereses_Residual_Mensual!S174&gt;0, ROUND(R174 + Intereses_Residual_Mensual!S174, 2), "")</f>
        <v/>
      </c>
      <c r="T174" s="29">
        <f>IF(Intereses_Residual_Mensual!T174&gt;0, ROUND(S174 + Intereses_Residual_Mensual!T174, 2), "")</f>
        <v/>
      </c>
      <c r="U174" s="29">
        <f>MAX(I174:T174)</f>
        <v/>
      </c>
    </row>
    <row r="175">
      <c r="A175" s="20" t="inlineStr">
        <is>
          <t>0695-0001</t>
        </is>
      </c>
      <c r="B175" s="21" t="inlineStr">
        <is>
          <t>Sistemas de Seguridad Privada Ssp</t>
        </is>
      </c>
      <c r="C175" s="21" t="inlineStr">
        <is>
          <t>Attitude Sport</t>
        </is>
      </c>
      <c r="D175" s="20" t="inlineStr">
        <is>
          <t>ACTIVO</t>
        </is>
      </c>
      <c r="E175" s="20" t="inlineStr">
        <is>
          <t>2025-05-26</t>
        </is>
      </c>
      <c r="F175" s="20" t="inlineStr">
        <is>
          <t>2027-05-26</t>
        </is>
      </c>
      <c r="G175" s="22" t="n">
        <v>24</v>
      </c>
      <c r="H175" s="23" t="n">
        <v>80155.17</v>
      </c>
      <c r="I175" s="23">
        <f>IF(Intereses_Residual_Mensual!I175&gt;0, ROUND(62104.71 + Intereses_Residual_Mensual!I175, 2), "")</f>
        <v/>
      </c>
      <c r="J175" s="23">
        <f>IF(Intereses_Residual_Mensual!J175&gt;0, ROUND(I175 + Intereses_Residual_Mensual!J175, 2), "")</f>
        <v/>
      </c>
      <c r="K175" s="23">
        <f>IF(Intereses_Residual_Mensual!K175&gt;0, ROUND(J175 + Intereses_Residual_Mensual!K175, 2), "")</f>
        <v/>
      </c>
      <c r="L175" s="23">
        <f>IF(Intereses_Residual_Mensual!L175&gt;0, ROUND(K175 + Intereses_Residual_Mensual!L175, 2), "")</f>
        <v/>
      </c>
      <c r="M175" s="23">
        <f>IF(Intereses_Residual_Mensual!M175&gt;0, ROUND(L175 + Intereses_Residual_Mensual!M175, 2), "")</f>
        <v/>
      </c>
      <c r="N175" s="23">
        <f>IF(Intereses_Residual_Mensual!N175&gt;0, ROUND(M175 + Intereses_Residual_Mensual!N175, 2), "")</f>
        <v/>
      </c>
      <c r="O175" s="23">
        <f>IF(Intereses_Residual_Mensual!O175&gt;0, ROUND(N175 + Intereses_Residual_Mensual!O175, 2), "")</f>
        <v/>
      </c>
      <c r="P175" s="23">
        <f>IF(Intereses_Residual_Mensual!P175&gt;0, ROUND(O175 + Intereses_Residual_Mensual!P175, 2), "")</f>
        <v/>
      </c>
      <c r="Q175" s="23">
        <f>IF(Intereses_Residual_Mensual!Q175&gt;0, ROUND(P175 + Intereses_Residual_Mensual!Q175, 2), "")</f>
        <v/>
      </c>
      <c r="R175" s="23">
        <f>IF(Intereses_Residual_Mensual!R175&gt;0, ROUND(Q175 + Intereses_Residual_Mensual!R175, 2), "")</f>
        <v/>
      </c>
      <c r="S175" s="23">
        <f>IF(Intereses_Residual_Mensual!S175&gt;0, ROUND(R175 + Intereses_Residual_Mensual!S175, 2), "")</f>
        <v/>
      </c>
      <c r="T175" s="23">
        <f>IF(Intereses_Residual_Mensual!T175&gt;0, ROUND(S175 + Intereses_Residual_Mensual!T175, 2), "")</f>
        <v/>
      </c>
      <c r="U175" s="23">
        <f>MAX(I175:T175)</f>
        <v/>
      </c>
    </row>
    <row r="176">
      <c r="A176" s="26" t="inlineStr">
        <is>
          <t>0696-0001</t>
        </is>
      </c>
      <c r="B176" s="27" t="inlineStr">
        <is>
          <t>Karina Rocio Sanchez Cardenas</t>
        </is>
      </c>
      <c r="C176" s="27" t="inlineStr">
        <is>
          <t>Atittude GT</t>
        </is>
      </c>
      <c r="D176" s="26" t="inlineStr">
        <is>
          <t>ACTIVO</t>
        </is>
      </c>
      <c r="E176" s="26" t="inlineStr">
        <is>
          <t>2025-05-28</t>
        </is>
      </c>
      <c r="F176" s="26" t="inlineStr">
        <is>
          <t>2029-05-28</t>
        </is>
      </c>
      <c r="G176" s="28" t="n">
        <v>48</v>
      </c>
      <c r="H176" s="29" t="n">
        <v>43094.83</v>
      </c>
      <c r="I176" s="29">
        <f>IF(Intereses_Residual_Mensual!I176&gt;0, ROUND(14893.48 + Intereses_Residual_Mensual!I176, 2), "")</f>
        <v/>
      </c>
      <c r="J176" s="29">
        <f>IF(Intereses_Residual_Mensual!J176&gt;0, ROUND(I176 + Intereses_Residual_Mensual!J176, 2), "")</f>
        <v/>
      </c>
      <c r="K176" s="29">
        <f>IF(Intereses_Residual_Mensual!K176&gt;0, ROUND(J176 + Intereses_Residual_Mensual!K176, 2), "")</f>
        <v/>
      </c>
      <c r="L176" s="29">
        <f>IF(Intereses_Residual_Mensual!L176&gt;0, ROUND(K176 + Intereses_Residual_Mensual!L176, 2), "")</f>
        <v/>
      </c>
      <c r="M176" s="29">
        <f>IF(Intereses_Residual_Mensual!M176&gt;0, ROUND(L176 + Intereses_Residual_Mensual!M176, 2), "")</f>
        <v/>
      </c>
      <c r="N176" s="29">
        <f>IF(Intereses_Residual_Mensual!N176&gt;0, ROUND(M176 + Intereses_Residual_Mensual!N176, 2), "")</f>
        <v/>
      </c>
      <c r="O176" s="29">
        <f>IF(Intereses_Residual_Mensual!O176&gt;0, ROUND(N176 + Intereses_Residual_Mensual!O176, 2), "")</f>
        <v/>
      </c>
      <c r="P176" s="29">
        <f>IF(Intereses_Residual_Mensual!P176&gt;0, ROUND(O176 + Intereses_Residual_Mensual!P176, 2), "")</f>
        <v/>
      </c>
      <c r="Q176" s="29">
        <f>IF(Intereses_Residual_Mensual!Q176&gt;0, ROUND(P176 + Intereses_Residual_Mensual!Q176, 2), "")</f>
        <v/>
      </c>
      <c r="R176" s="29">
        <f>IF(Intereses_Residual_Mensual!R176&gt;0, ROUND(Q176 + Intereses_Residual_Mensual!R176, 2), "")</f>
        <v/>
      </c>
      <c r="S176" s="29">
        <f>IF(Intereses_Residual_Mensual!S176&gt;0, ROUND(R176 + Intereses_Residual_Mensual!S176, 2), "")</f>
        <v/>
      </c>
      <c r="T176" s="29">
        <f>IF(Intereses_Residual_Mensual!T176&gt;0, ROUND(S176 + Intereses_Residual_Mensual!T176, 2), "")</f>
        <v/>
      </c>
      <c r="U176" s="29">
        <f>MAX(I176:T176)</f>
        <v/>
      </c>
    </row>
    <row r="177">
      <c r="A177" s="20" t="inlineStr">
        <is>
          <t>0697-0001</t>
        </is>
      </c>
      <c r="B177" s="21" t="inlineStr">
        <is>
          <t>Guillermo Eduardo Robles Navarro</t>
        </is>
      </c>
      <c r="C177" s="21" t="inlineStr">
        <is>
          <t>Partner Rapid</t>
        </is>
      </c>
      <c r="D177" s="20" t="inlineStr">
        <is>
          <t>ACTIVO</t>
        </is>
      </c>
      <c r="E177" s="20" t="inlineStr">
        <is>
          <t>2025-05-30</t>
        </is>
      </c>
      <c r="F177" s="20" t="inlineStr">
        <is>
          <t>2027-05-30</t>
        </is>
      </c>
      <c r="G177" s="22" t="n">
        <v>24</v>
      </c>
      <c r="H177" s="23" t="n">
        <v>77301.72</v>
      </c>
      <c r="I177" s="23">
        <f>IF(Intereses_Residual_Mensual!I177&gt;0, ROUND(51102.69 + Intereses_Residual_Mensual!I177, 2), "")</f>
        <v/>
      </c>
      <c r="J177" s="23">
        <f>IF(Intereses_Residual_Mensual!J177&gt;0, ROUND(I177 + Intereses_Residual_Mensual!J177, 2), "")</f>
        <v/>
      </c>
      <c r="K177" s="23">
        <f>IF(Intereses_Residual_Mensual!K177&gt;0, ROUND(J177 + Intereses_Residual_Mensual!K177, 2), "")</f>
        <v/>
      </c>
      <c r="L177" s="23">
        <f>IF(Intereses_Residual_Mensual!L177&gt;0, ROUND(K177 + Intereses_Residual_Mensual!L177, 2), "")</f>
        <v/>
      </c>
      <c r="M177" s="23">
        <f>IF(Intereses_Residual_Mensual!M177&gt;0, ROUND(L177 + Intereses_Residual_Mensual!M177, 2), "")</f>
        <v/>
      </c>
      <c r="N177" s="23">
        <f>IF(Intereses_Residual_Mensual!N177&gt;0, ROUND(M177 + Intereses_Residual_Mensual!N177, 2), "")</f>
        <v/>
      </c>
      <c r="O177" s="23">
        <f>IF(Intereses_Residual_Mensual!O177&gt;0, ROUND(N177 + Intereses_Residual_Mensual!O177, 2), "")</f>
        <v/>
      </c>
      <c r="P177" s="23">
        <f>IF(Intereses_Residual_Mensual!P177&gt;0, ROUND(O177 + Intereses_Residual_Mensual!P177, 2), "")</f>
        <v/>
      </c>
      <c r="Q177" s="23">
        <f>IF(Intereses_Residual_Mensual!Q177&gt;0, ROUND(P177 + Intereses_Residual_Mensual!Q177, 2), "")</f>
        <v/>
      </c>
      <c r="R177" s="23">
        <f>IF(Intereses_Residual_Mensual!R177&gt;0, ROUND(Q177 + Intereses_Residual_Mensual!R177, 2), "")</f>
        <v/>
      </c>
      <c r="S177" s="23">
        <f>IF(Intereses_Residual_Mensual!S177&gt;0, ROUND(R177 + Intereses_Residual_Mensual!S177, 2), "")</f>
        <v/>
      </c>
      <c r="T177" s="23">
        <f>IF(Intereses_Residual_Mensual!T177&gt;0, ROUND(S177 + Intereses_Residual_Mensual!T177, 2), "")</f>
        <v/>
      </c>
      <c r="U177" s="23">
        <f>MAX(I177:T177)</f>
        <v/>
      </c>
    </row>
    <row r="178">
      <c r="A178" s="26" t="inlineStr">
        <is>
          <t>0698-0001</t>
        </is>
      </c>
      <c r="B178" s="27" t="inlineStr">
        <is>
          <t>Roberto Gontes Leon</t>
        </is>
      </c>
      <c r="C178" s="27" t="inlineStr">
        <is>
          <t>Wrangler Rubicon</t>
        </is>
      </c>
      <c r="D178" s="26" t="inlineStr">
        <is>
          <t>ACTIVO</t>
        </is>
      </c>
      <c r="E178" s="26" t="inlineStr">
        <is>
          <t>2025-06-13</t>
        </is>
      </c>
      <c r="F178" s="26" t="inlineStr">
        <is>
          <t>2029-06-13</t>
        </is>
      </c>
      <c r="G178" s="28" t="n">
        <v>48</v>
      </c>
      <c r="H178" s="29" t="n">
        <v>126760.6</v>
      </c>
      <c r="I178" s="29">
        <f>IF(Intereses_Residual_Mensual!I178&gt;0, ROUND(43981.67 + Intereses_Residual_Mensual!I178, 2), "")</f>
        <v/>
      </c>
      <c r="J178" s="29">
        <f>IF(Intereses_Residual_Mensual!J178&gt;0, ROUND(I178 + Intereses_Residual_Mensual!J178, 2), "")</f>
        <v/>
      </c>
      <c r="K178" s="29">
        <f>IF(Intereses_Residual_Mensual!K178&gt;0, ROUND(J178 + Intereses_Residual_Mensual!K178, 2), "")</f>
        <v/>
      </c>
      <c r="L178" s="29">
        <f>IF(Intereses_Residual_Mensual!L178&gt;0, ROUND(K178 + Intereses_Residual_Mensual!L178, 2), "")</f>
        <v/>
      </c>
      <c r="M178" s="29">
        <f>IF(Intereses_Residual_Mensual!M178&gt;0, ROUND(L178 + Intereses_Residual_Mensual!M178, 2), "")</f>
        <v/>
      </c>
      <c r="N178" s="29">
        <f>IF(Intereses_Residual_Mensual!N178&gt;0, ROUND(M178 + Intereses_Residual_Mensual!N178, 2), "")</f>
        <v/>
      </c>
      <c r="O178" s="29">
        <f>IF(Intereses_Residual_Mensual!O178&gt;0, ROUND(N178 + Intereses_Residual_Mensual!O178, 2), "")</f>
        <v/>
      </c>
      <c r="P178" s="29">
        <f>IF(Intereses_Residual_Mensual!P178&gt;0, ROUND(O178 + Intereses_Residual_Mensual!P178, 2), "")</f>
        <v/>
      </c>
      <c r="Q178" s="29">
        <f>IF(Intereses_Residual_Mensual!Q178&gt;0, ROUND(P178 + Intereses_Residual_Mensual!Q178, 2), "")</f>
        <v/>
      </c>
      <c r="R178" s="29">
        <f>IF(Intereses_Residual_Mensual!R178&gt;0, ROUND(Q178 + Intereses_Residual_Mensual!R178, 2), "")</f>
        <v/>
      </c>
      <c r="S178" s="29">
        <f>IF(Intereses_Residual_Mensual!S178&gt;0, ROUND(R178 + Intereses_Residual_Mensual!S178, 2), "")</f>
        <v/>
      </c>
      <c r="T178" s="29">
        <f>IF(Intereses_Residual_Mensual!T178&gt;0, ROUND(S178 + Intereses_Residual_Mensual!T178, 2), "")</f>
        <v/>
      </c>
      <c r="U178" s="29">
        <f>MAX(I178:T178)</f>
        <v/>
      </c>
    </row>
    <row r="179">
      <c r="A179" s="20" t="inlineStr">
        <is>
          <t>0699-0001</t>
        </is>
      </c>
      <c r="B179" s="21" t="inlineStr">
        <is>
          <t>Ramona Salazar Ramos</t>
        </is>
      </c>
      <c r="C179" s="21" t="inlineStr">
        <is>
          <t>Grand Cherokee 2025</t>
        </is>
      </c>
      <c r="D179" s="20" t="inlineStr">
        <is>
          <t>ACTIVO</t>
        </is>
      </c>
      <c r="E179" s="20" t="inlineStr">
        <is>
          <t>2025-06-05</t>
        </is>
      </c>
      <c r="F179" s="20" t="inlineStr">
        <is>
          <t>2028-06-05</t>
        </is>
      </c>
      <c r="G179" s="22" t="n">
        <v>36</v>
      </c>
      <c r="H179" s="23" t="n">
        <v>124560.34</v>
      </c>
      <c r="I179" s="23">
        <f>IF(Intereses_Residual_Mensual!I179&gt;0, ROUND(58170.17 + Intereses_Residual_Mensual!I179, 2), "")</f>
        <v/>
      </c>
      <c r="J179" s="23">
        <f>IF(Intereses_Residual_Mensual!J179&gt;0, ROUND(I179 + Intereses_Residual_Mensual!J179, 2), "")</f>
        <v/>
      </c>
      <c r="K179" s="23">
        <f>IF(Intereses_Residual_Mensual!K179&gt;0, ROUND(J179 + Intereses_Residual_Mensual!K179, 2), "")</f>
        <v/>
      </c>
      <c r="L179" s="23">
        <f>IF(Intereses_Residual_Mensual!L179&gt;0, ROUND(K179 + Intereses_Residual_Mensual!L179, 2), "")</f>
        <v/>
      </c>
      <c r="M179" s="23">
        <f>IF(Intereses_Residual_Mensual!M179&gt;0, ROUND(L179 + Intereses_Residual_Mensual!M179, 2), "")</f>
        <v/>
      </c>
      <c r="N179" s="23">
        <f>IF(Intereses_Residual_Mensual!N179&gt;0, ROUND(M179 + Intereses_Residual_Mensual!N179, 2), "")</f>
        <v/>
      </c>
      <c r="O179" s="23">
        <f>IF(Intereses_Residual_Mensual!O179&gt;0, ROUND(N179 + Intereses_Residual_Mensual!O179, 2), "")</f>
        <v/>
      </c>
      <c r="P179" s="23">
        <f>IF(Intereses_Residual_Mensual!P179&gt;0, ROUND(O179 + Intereses_Residual_Mensual!P179, 2), "")</f>
        <v/>
      </c>
      <c r="Q179" s="23">
        <f>IF(Intereses_Residual_Mensual!Q179&gt;0, ROUND(P179 + Intereses_Residual_Mensual!Q179, 2), "")</f>
        <v/>
      </c>
      <c r="R179" s="23">
        <f>IF(Intereses_Residual_Mensual!R179&gt;0, ROUND(Q179 + Intereses_Residual_Mensual!R179, 2), "")</f>
        <v/>
      </c>
      <c r="S179" s="23">
        <f>IF(Intereses_Residual_Mensual!S179&gt;0, ROUND(R179 + Intereses_Residual_Mensual!S179, 2), "")</f>
        <v/>
      </c>
      <c r="T179" s="23">
        <f>IF(Intereses_Residual_Mensual!T179&gt;0, ROUND(S179 + Intereses_Residual_Mensual!T179, 2), "")</f>
        <v/>
      </c>
      <c r="U179" s="23">
        <f>MAX(I179:T179)</f>
        <v/>
      </c>
    </row>
    <row r="180">
      <c r="A180" s="26" t="inlineStr">
        <is>
          <t>0700-0001</t>
        </is>
      </c>
      <c r="B180" s="27" t="inlineStr">
        <is>
          <t>Felipe de Jesus Ibañez Huizar</t>
        </is>
      </c>
      <c r="C180" s="27" t="inlineStr">
        <is>
          <t>K3</t>
        </is>
      </c>
      <c r="D180" s="26" t="inlineStr">
        <is>
          <t>ACTIVO</t>
        </is>
      </c>
      <c r="E180" s="26" t="inlineStr">
        <is>
          <t>2025-06-20</t>
        </is>
      </c>
      <c r="F180" s="26" t="inlineStr">
        <is>
          <t>2028-06-20</t>
        </is>
      </c>
      <c r="G180" s="28" t="n">
        <v>36</v>
      </c>
      <c r="H180" s="29" t="n">
        <v>68189.66</v>
      </c>
      <c r="I180" s="29">
        <f>IF(Intereses_Residual_Mensual!I180&gt;0, ROUND(31777.53 + Intereses_Residual_Mensual!I180, 2), "")</f>
        <v/>
      </c>
      <c r="J180" s="29">
        <f>IF(Intereses_Residual_Mensual!J180&gt;0, ROUND(I180 + Intereses_Residual_Mensual!J180, 2), "")</f>
        <v/>
      </c>
      <c r="K180" s="29">
        <f>IF(Intereses_Residual_Mensual!K180&gt;0, ROUND(J180 + Intereses_Residual_Mensual!K180, 2), "")</f>
        <v/>
      </c>
      <c r="L180" s="29">
        <f>IF(Intereses_Residual_Mensual!L180&gt;0, ROUND(K180 + Intereses_Residual_Mensual!L180, 2), "")</f>
        <v/>
      </c>
      <c r="M180" s="29">
        <f>IF(Intereses_Residual_Mensual!M180&gt;0, ROUND(L180 + Intereses_Residual_Mensual!M180, 2), "")</f>
        <v/>
      </c>
      <c r="N180" s="29">
        <f>IF(Intereses_Residual_Mensual!N180&gt;0, ROUND(M180 + Intereses_Residual_Mensual!N180, 2), "")</f>
        <v/>
      </c>
      <c r="O180" s="29">
        <f>IF(Intereses_Residual_Mensual!O180&gt;0, ROUND(N180 + Intereses_Residual_Mensual!O180, 2), "")</f>
        <v/>
      </c>
      <c r="P180" s="29">
        <f>IF(Intereses_Residual_Mensual!P180&gt;0, ROUND(O180 + Intereses_Residual_Mensual!P180, 2), "")</f>
        <v/>
      </c>
      <c r="Q180" s="29">
        <f>IF(Intereses_Residual_Mensual!Q180&gt;0, ROUND(P180 + Intereses_Residual_Mensual!Q180, 2), "")</f>
        <v/>
      </c>
      <c r="R180" s="29">
        <f>IF(Intereses_Residual_Mensual!R180&gt;0, ROUND(Q180 + Intereses_Residual_Mensual!R180, 2), "")</f>
        <v/>
      </c>
      <c r="S180" s="29">
        <f>IF(Intereses_Residual_Mensual!S180&gt;0, ROUND(R180 + Intereses_Residual_Mensual!S180, 2), "")</f>
        <v/>
      </c>
      <c r="T180" s="29">
        <f>IF(Intereses_Residual_Mensual!T180&gt;0, ROUND(S180 + Intereses_Residual_Mensual!T180, 2), "")</f>
        <v/>
      </c>
      <c r="U180" s="29">
        <f>MAX(I180:T180)</f>
        <v/>
      </c>
    </row>
    <row r="181">
      <c r="A181" s="20" t="inlineStr">
        <is>
          <t>0700-0002</t>
        </is>
      </c>
      <c r="B181" s="21" t="inlineStr">
        <is>
          <t>Felipe de Jesus Ibañez Huizar</t>
        </is>
      </c>
      <c r="C181" s="21" t="inlineStr">
        <is>
          <t>Nissan NP 300 Frontier 2026</t>
        </is>
      </c>
      <c r="D181" s="20" t="inlineStr">
        <is>
          <t>ACTIVO</t>
        </is>
      </c>
      <c r="E181" s="20" t="inlineStr">
        <is>
          <t>2026-07-17</t>
        </is>
      </c>
      <c r="F181" s="20" t="inlineStr">
        <is>
          <t>2028-07-17</t>
        </is>
      </c>
      <c r="G181" s="22" t="n">
        <v>24</v>
      </c>
      <c r="H181" s="23" t="n">
        <v>84013.58</v>
      </c>
      <c r="I181" s="23" t="inlineStr"/>
      <c r="J181" s="23" t="inlineStr"/>
      <c r="K181" s="23" t="inlineStr"/>
      <c r="L181" s="23" t="inlineStr"/>
      <c r="M181" s="23" t="inlineStr"/>
      <c r="N181" s="23" t="inlineStr"/>
      <c r="O181" s="23">
        <f>ROUND('Resumen_Cartera'!$U181 + Intereses_Residual_Mensual!O181, 2)</f>
        <v/>
      </c>
      <c r="P181" s="23">
        <f>IF(Intereses_Residual_Mensual!P181&gt;0, ROUND(O181 + Intereses_Residual_Mensual!P181, 2), "")</f>
        <v/>
      </c>
      <c r="Q181" s="23">
        <f>IF(Intereses_Residual_Mensual!Q181&gt;0, ROUND(P181 + Intereses_Residual_Mensual!Q181, 2), "")</f>
        <v/>
      </c>
      <c r="R181" s="23">
        <f>IF(Intereses_Residual_Mensual!R181&gt;0, ROUND(Q181 + Intereses_Residual_Mensual!R181, 2), "")</f>
        <v/>
      </c>
      <c r="S181" s="23">
        <f>IF(Intereses_Residual_Mensual!S181&gt;0, ROUND(R181 + Intereses_Residual_Mensual!S181, 2), "")</f>
        <v/>
      </c>
      <c r="T181" s="23">
        <f>IF(Intereses_Residual_Mensual!T181&gt;0, ROUND(S181 + Intereses_Residual_Mensual!T181, 2), "")</f>
        <v/>
      </c>
      <c r="U181" s="23">
        <f>MAX(I181:T181)</f>
        <v/>
      </c>
    </row>
    <row r="182">
      <c r="A182" s="26" t="inlineStr">
        <is>
          <t>0701-0001</t>
        </is>
      </c>
      <c r="B182" s="27" t="inlineStr">
        <is>
          <t>Miguel Angel Yañez Rivera</t>
        </is>
      </c>
      <c r="C182" s="27" t="inlineStr">
        <is>
          <t>Maxi Partner</t>
        </is>
      </c>
      <c r="D182" s="26" t="inlineStr">
        <is>
          <t>ACTIVO</t>
        </is>
      </c>
      <c r="E182" s="26" t="inlineStr">
        <is>
          <t>2025-06-13</t>
        </is>
      </c>
      <c r="F182" s="26" t="inlineStr">
        <is>
          <t>2029-06-13</t>
        </is>
      </c>
      <c r="G182" s="28" t="n">
        <v>48</v>
      </c>
      <c r="H182" s="29" t="n">
        <v>34387.93</v>
      </c>
      <c r="I182" s="29">
        <f>IF(Intereses_Residual_Mensual!I182&gt;0, ROUND(11565.01 + Intereses_Residual_Mensual!I182, 2), "")</f>
        <v/>
      </c>
      <c r="J182" s="29">
        <f>IF(Intereses_Residual_Mensual!J182&gt;0, ROUND(I182 + Intereses_Residual_Mensual!J182, 2), "")</f>
        <v/>
      </c>
      <c r="K182" s="29">
        <f>IF(Intereses_Residual_Mensual!K182&gt;0, ROUND(J182 + Intereses_Residual_Mensual!K182, 2), "")</f>
        <v/>
      </c>
      <c r="L182" s="29">
        <f>IF(Intereses_Residual_Mensual!L182&gt;0, ROUND(K182 + Intereses_Residual_Mensual!L182, 2), "")</f>
        <v/>
      </c>
      <c r="M182" s="29">
        <f>IF(Intereses_Residual_Mensual!M182&gt;0, ROUND(L182 + Intereses_Residual_Mensual!M182, 2), "")</f>
        <v/>
      </c>
      <c r="N182" s="29">
        <f>IF(Intereses_Residual_Mensual!N182&gt;0, ROUND(M182 + Intereses_Residual_Mensual!N182, 2), "")</f>
        <v/>
      </c>
      <c r="O182" s="29">
        <f>IF(Intereses_Residual_Mensual!O182&gt;0, ROUND(N182 + Intereses_Residual_Mensual!O182, 2), "")</f>
        <v/>
      </c>
      <c r="P182" s="29">
        <f>IF(Intereses_Residual_Mensual!P182&gt;0, ROUND(O182 + Intereses_Residual_Mensual!P182, 2), "")</f>
        <v/>
      </c>
      <c r="Q182" s="29">
        <f>IF(Intereses_Residual_Mensual!Q182&gt;0, ROUND(P182 + Intereses_Residual_Mensual!Q182, 2), "")</f>
        <v/>
      </c>
      <c r="R182" s="29">
        <f>IF(Intereses_Residual_Mensual!R182&gt;0, ROUND(Q182 + Intereses_Residual_Mensual!R182, 2), "")</f>
        <v/>
      </c>
      <c r="S182" s="29">
        <f>IF(Intereses_Residual_Mensual!S182&gt;0, ROUND(R182 + Intereses_Residual_Mensual!S182, 2), "")</f>
        <v/>
      </c>
      <c r="T182" s="29">
        <f>IF(Intereses_Residual_Mensual!T182&gt;0, ROUND(S182 + Intereses_Residual_Mensual!T182, 2), "")</f>
        <v/>
      </c>
      <c r="U182" s="29">
        <f>MAX(I182:T182)</f>
        <v/>
      </c>
    </row>
    <row r="183">
      <c r="A183" s="20" t="inlineStr">
        <is>
          <t>0702-0001</t>
        </is>
      </c>
      <c r="B183" s="21" t="inlineStr">
        <is>
          <t>Ramses Tadeo Galindo Calderon</t>
        </is>
      </c>
      <c r="C183" s="21" t="inlineStr">
        <is>
          <t>Song Plus</t>
        </is>
      </c>
      <c r="D183" s="20" t="inlineStr">
        <is>
          <t>ACTIVO</t>
        </is>
      </c>
      <c r="E183" s="20" t="inlineStr">
        <is>
          <t>2025-06-16</t>
        </is>
      </c>
      <c r="F183" s="20" t="inlineStr">
        <is>
          <t>2029-06-16</t>
        </is>
      </c>
      <c r="G183" s="22" t="n">
        <v>48</v>
      </c>
      <c r="H183" s="23" t="n">
        <v>258924.68</v>
      </c>
      <c r="I183" s="23">
        <f>IF(Intereses_Residual_Mensual!I183&gt;0, ROUND(133107.56 + Intereses_Residual_Mensual!I183, 2), "")</f>
        <v/>
      </c>
      <c r="J183" s="23">
        <f>IF(Intereses_Residual_Mensual!J183&gt;0, ROUND(I183 + Intereses_Residual_Mensual!J183, 2), "")</f>
        <v/>
      </c>
      <c r="K183" s="23">
        <f>IF(Intereses_Residual_Mensual!K183&gt;0, ROUND(J183 + Intereses_Residual_Mensual!K183, 2), "")</f>
        <v/>
      </c>
      <c r="L183" s="23">
        <f>IF(Intereses_Residual_Mensual!L183&gt;0, ROUND(K183 + Intereses_Residual_Mensual!L183, 2), "")</f>
        <v/>
      </c>
      <c r="M183" s="23">
        <f>IF(Intereses_Residual_Mensual!M183&gt;0, ROUND(L183 + Intereses_Residual_Mensual!M183, 2), "")</f>
        <v/>
      </c>
      <c r="N183" s="23">
        <f>IF(Intereses_Residual_Mensual!N183&gt;0, ROUND(M183 + Intereses_Residual_Mensual!N183, 2), "")</f>
        <v/>
      </c>
      <c r="O183" s="23">
        <f>IF(Intereses_Residual_Mensual!O183&gt;0, ROUND(N183 + Intereses_Residual_Mensual!O183, 2), "")</f>
        <v/>
      </c>
      <c r="P183" s="23">
        <f>IF(Intereses_Residual_Mensual!P183&gt;0, ROUND(O183 + Intereses_Residual_Mensual!P183, 2), "")</f>
        <v/>
      </c>
      <c r="Q183" s="23">
        <f>IF(Intereses_Residual_Mensual!Q183&gt;0, ROUND(P183 + Intereses_Residual_Mensual!Q183, 2), "")</f>
        <v/>
      </c>
      <c r="R183" s="23">
        <f>IF(Intereses_Residual_Mensual!R183&gt;0, ROUND(Q183 + Intereses_Residual_Mensual!R183, 2), "")</f>
        <v/>
      </c>
      <c r="S183" s="23">
        <f>IF(Intereses_Residual_Mensual!S183&gt;0, ROUND(R183 + Intereses_Residual_Mensual!S183, 2), "")</f>
        <v/>
      </c>
      <c r="T183" s="23">
        <f>IF(Intereses_Residual_Mensual!T183&gt;0, ROUND(S183 + Intereses_Residual_Mensual!T183, 2), "")</f>
        <v/>
      </c>
      <c r="U183" s="23">
        <f>MAX(I183:T183)</f>
        <v/>
      </c>
    </row>
    <row r="184">
      <c r="A184" s="26" t="inlineStr">
        <is>
          <t>0703-0002</t>
        </is>
      </c>
      <c r="B184" s="27" t="inlineStr">
        <is>
          <t>Jali Fresh International Sa de Cv</t>
        </is>
      </c>
      <c r="C184" s="27" t="inlineStr">
        <is>
          <t>1500 Tradesman CC</t>
        </is>
      </c>
      <c r="D184" s="26" t="inlineStr">
        <is>
          <t>ACTIVO</t>
        </is>
      </c>
      <c r="E184" s="26" t="inlineStr">
        <is>
          <t>2026-04-23</t>
        </is>
      </c>
      <c r="F184" s="26" t="inlineStr">
        <is>
          <t>2029-04-23</t>
        </is>
      </c>
      <c r="G184" s="28" t="n">
        <v>36</v>
      </c>
      <c r="H184" s="29" t="n">
        <v>88956.89999999999</v>
      </c>
      <c r="I184" s="29" t="inlineStr"/>
      <c r="J184" s="29" t="inlineStr"/>
      <c r="K184" s="29" t="inlineStr"/>
      <c r="L184" s="29">
        <f>ROUND('Resumen_Cartera'!$U184 + Intereses_Residual_Mensual!L184, 2)</f>
        <v/>
      </c>
      <c r="M184" s="29">
        <f>IF(Intereses_Residual_Mensual!M184&gt;0, ROUND(L184 + Intereses_Residual_Mensual!M184, 2), "")</f>
        <v/>
      </c>
      <c r="N184" s="29">
        <f>IF(Intereses_Residual_Mensual!N184&gt;0, ROUND(M184 + Intereses_Residual_Mensual!N184, 2), "")</f>
        <v/>
      </c>
      <c r="O184" s="29">
        <f>IF(Intereses_Residual_Mensual!O184&gt;0, ROUND(N184 + Intereses_Residual_Mensual!O184, 2), "")</f>
        <v/>
      </c>
      <c r="P184" s="29">
        <f>IF(Intereses_Residual_Mensual!P184&gt;0, ROUND(O184 + Intereses_Residual_Mensual!P184, 2), "")</f>
        <v/>
      </c>
      <c r="Q184" s="29">
        <f>IF(Intereses_Residual_Mensual!Q184&gt;0, ROUND(P184 + Intereses_Residual_Mensual!Q184, 2), "")</f>
        <v/>
      </c>
      <c r="R184" s="29">
        <f>IF(Intereses_Residual_Mensual!R184&gt;0, ROUND(Q184 + Intereses_Residual_Mensual!R184, 2), "")</f>
        <v/>
      </c>
      <c r="S184" s="29">
        <f>IF(Intereses_Residual_Mensual!S184&gt;0, ROUND(R184 + Intereses_Residual_Mensual!S184, 2), "")</f>
        <v/>
      </c>
      <c r="T184" s="29">
        <f>IF(Intereses_Residual_Mensual!T184&gt;0, ROUND(S184 + Intereses_Residual_Mensual!T184, 2), "")</f>
        <v/>
      </c>
      <c r="U184" s="29">
        <f>MAX(I184:T184)</f>
        <v/>
      </c>
    </row>
    <row r="185">
      <c r="A185" s="20" t="inlineStr">
        <is>
          <t>0704-0001</t>
        </is>
      </c>
      <c r="B185" s="21" t="inlineStr">
        <is>
          <t>Cristian Manuel Cruz Gutierrez</t>
        </is>
      </c>
      <c r="C185" s="21" t="inlineStr">
        <is>
          <t>Ram 1200</t>
        </is>
      </c>
      <c r="D185" s="20" t="inlineStr">
        <is>
          <t>ACTIVO</t>
        </is>
      </c>
      <c r="E185" s="20" t="inlineStr">
        <is>
          <t>2025-07-22</t>
        </is>
      </c>
      <c r="F185" s="20" t="inlineStr">
        <is>
          <t>2028-07-22</t>
        </is>
      </c>
      <c r="G185" s="22" t="n">
        <v>36</v>
      </c>
      <c r="H185" s="23" t="n">
        <v>57750</v>
      </c>
      <c r="I185" s="23">
        <f>IF(Intereses_Residual_Mensual!I185&gt;0, ROUND(26270.58 + Intereses_Residual_Mensual!I185, 2), "")</f>
        <v/>
      </c>
      <c r="J185" s="23">
        <f>IF(Intereses_Residual_Mensual!J185&gt;0, ROUND(I185 + Intereses_Residual_Mensual!J185, 2), "")</f>
        <v/>
      </c>
      <c r="K185" s="23">
        <f>IF(Intereses_Residual_Mensual!K185&gt;0, ROUND(J185 + Intereses_Residual_Mensual!K185, 2), "")</f>
        <v/>
      </c>
      <c r="L185" s="23">
        <f>IF(Intereses_Residual_Mensual!L185&gt;0, ROUND(K185 + Intereses_Residual_Mensual!L185, 2), "")</f>
        <v/>
      </c>
      <c r="M185" s="23">
        <f>IF(Intereses_Residual_Mensual!M185&gt;0, ROUND(L185 + Intereses_Residual_Mensual!M185, 2), "")</f>
        <v/>
      </c>
      <c r="N185" s="23">
        <f>IF(Intereses_Residual_Mensual!N185&gt;0, ROUND(M185 + Intereses_Residual_Mensual!N185, 2), "")</f>
        <v/>
      </c>
      <c r="O185" s="23">
        <f>IF(Intereses_Residual_Mensual!O185&gt;0, ROUND(N185 + Intereses_Residual_Mensual!O185, 2), "")</f>
        <v/>
      </c>
      <c r="P185" s="23">
        <f>IF(Intereses_Residual_Mensual!P185&gt;0, ROUND(O185 + Intereses_Residual_Mensual!P185, 2), "")</f>
        <v/>
      </c>
      <c r="Q185" s="23">
        <f>IF(Intereses_Residual_Mensual!Q185&gt;0, ROUND(P185 + Intereses_Residual_Mensual!Q185, 2), "")</f>
        <v/>
      </c>
      <c r="R185" s="23">
        <f>IF(Intereses_Residual_Mensual!R185&gt;0, ROUND(Q185 + Intereses_Residual_Mensual!R185, 2), "")</f>
        <v/>
      </c>
      <c r="S185" s="23">
        <f>IF(Intereses_Residual_Mensual!S185&gt;0, ROUND(R185 + Intereses_Residual_Mensual!S185, 2), "")</f>
        <v/>
      </c>
      <c r="T185" s="23">
        <f>IF(Intereses_Residual_Mensual!T185&gt;0, ROUND(S185 + Intereses_Residual_Mensual!T185, 2), "")</f>
        <v/>
      </c>
      <c r="U185" s="23">
        <f>MAX(I185:T185)</f>
        <v/>
      </c>
    </row>
    <row r="186">
      <c r="A186" s="26" t="inlineStr">
        <is>
          <t>0705-0001</t>
        </is>
      </c>
      <c r="B186" s="27" t="inlineStr">
        <is>
          <t>Oscar Alejandro Pedraza Gonzalez</t>
        </is>
      </c>
      <c r="C186" s="27" t="inlineStr">
        <is>
          <t>L200</t>
        </is>
      </c>
      <c r="D186" s="26" t="inlineStr">
        <is>
          <t>ACTIVO</t>
        </is>
      </c>
      <c r="E186" s="26" t="inlineStr">
        <is>
          <t>2025-08-14</t>
        </is>
      </c>
      <c r="F186" s="26" t="inlineStr">
        <is>
          <t>2027-08-14</t>
        </is>
      </c>
      <c r="G186" s="28" t="n">
        <v>24</v>
      </c>
      <c r="H186" s="29" t="n">
        <v>105184.14</v>
      </c>
      <c r="I186" s="29">
        <f>IF(Intereses_Residual_Mensual!I186&gt;0, ROUND(64405.02 + Intereses_Residual_Mensual!I186, 2), "")</f>
        <v/>
      </c>
      <c r="J186" s="29">
        <f>IF(Intereses_Residual_Mensual!J186&gt;0, ROUND(I186 + Intereses_Residual_Mensual!J186, 2), "")</f>
        <v/>
      </c>
      <c r="K186" s="29">
        <f>IF(Intereses_Residual_Mensual!K186&gt;0, ROUND(J186 + Intereses_Residual_Mensual!K186, 2), "")</f>
        <v/>
      </c>
      <c r="L186" s="29">
        <f>IF(Intereses_Residual_Mensual!L186&gt;0, ROUND(K186 + Intereses_Residual_Mensual!L186, 2), "")</f>
        <v/>
      </c>
      <c r="M186" s="29">
        <f>IF(Intereses_Residual_Mensual!M186&gt;0, ROUND(L186 + Intereses_Residual_Mensual!M186, 2), "")</f>
        <v/>
      </c>
      <c r="N186" s="29">
        <f>IF(Intereses_Residual_Mensual!N186&gt;0, ROUND(M186 + Intereses_Residual_Mensual!N186, 2), "")</f>
        <v/>
      </c>
      <c r="O186" s="29">
        <f>IF(Intereses_Residual_Mensual!O186&gt;0, ROUND(N186 + Intereses_Residual_Mensual!O186, 2), "")</f>
        <v/>
      </c>
      <c r="P186" s="29">
        <f>IF(Intereses_Residual_Mensual!P186&gt;0, ROUND(O186 + Intereses_Residual_Mensual!P186, 2), "")</f>
        <v/>
      </c>
      <c r="Q186" s="29">
        <f>IF(Intereses_Residual_Mensual!Q186&gt;0, ROUND(P186 + Intereses_Residual_Mensual!Q186, 2), "")</f>
        <v/>
      </c>
      <c r="R186" s="29">
        <f>IF(Intereses_Residual_Mensual!R186&gt;0, ROUND(Q186 + Intereses_Residual_Mensual!R186, 2), "")</f>
        <v/>
      </c>
      <c r="S186" s="29">
        <f>IF(Intereses_Residual_Mensual!S186&gt;0, ROUND(R186 + Intereses_Residual_Mensual!S186, 2), "")</f>
        <v/>
      </c>
      <c r="T186" s="29">
        <f>IF(Intereses_Residual_Mensual!T186&gt;0, ROUND(S186 + Intereses_Residual_Mensual!T186, 2), "")</f>
        <v/>
      </c>
      <c r="U186" s="29">
        <f>MAX(I186:T186)</f>
        <v/>
      </c>
    </row>
    <row r="187">
      <c r="A187" s="20" t="inlineStr">
        <is>
          <t>0706-0001</t>
        </is>
      </c>
      <c r="B187" s="21" t="inlineStr">
        <is>
          <t>Jose Luis Zepeda Gomez</t>
        </is>
      </c>
      <c r="C187" s="21" t="inlineStr">
        <is>
          <t>L200 Glx Diesel</t>
        </is>
      </c>
      <c r="D187" s="20" t="inlineStr">
        <is>
          <t>ACTIVO</t>
        </is>
      </c>
      <c r="E187" s="20" t="inlineStr">
        <is>
          <t>2025-07-29</t>
        </is>
      </c>
      <c r="F187" s="20" t="inlineStr">
        <is>
          <t>2029-07-29</t>
        </is>
      </c>
      <c r="G187" s="22" t="n">
        <v>48</v>
      </c>
      <c r="H187" s="23" t="n">
        <v>52592.07</v>
      </c>
      <c r="I187" s="23">
        <f>IF(Intereses_Residual_Mensual!I187&gt;0, ROUND(17235.33 + Intereses_Residual_Mensual!I187, 2), "")</f>
        <v/>
      </c>
      <c r="J187" s="23">
        <f>IF(Intereses_Residual_Mensual!J187&gt;0, ROUND(I187 + Intereses_Residual_Mensual!J187, 2), "")</f>
        <v/>
      </c>
      <c r="K187" s="23">
        <f>IF(Intereses_Residual_Mensual!K187&gt;0, ROUND(J187 + Intereses_Residual_Mensual!K187, 2), "")</f>
        <v/>
      </c>
      <c r="L187" s="23">
        <f>IF(Intereses_Residual_Mensual!L187&gt;0, ROUND(K187 + Intereses_Residual_Mensual!L187, 2), "")</f>
        <v/>
      </c>
      <c r="M187" s="23">
        <f>IF(Intereses_Residual_Mensual!M187&gt;0, ROUND(L187 + Intereses_Residual_Mensual!M187, 2), "")</f>
        <v/>
      </c>
      <c r="N187" s="23">
        <f>IF(Intereses_Residual_Mensual!N187&gt;0, ROUND(M187 + Intereses_Residual_Mensual!N187, 2), "")</f>
        <v/>
      </c>
      <c r="O187" s="23">
        <f>IF(Intereses_Residual_Mensual!O187&gt;0, ROUND(N187 + Intereses_Residual_Mensual!O187, 2), "")</f>
        <v/>
      </c>
      <c r="P187" s="23">
        <f>IF(Intereses_Residual_Mensual!P187&gt;0, ROUND(O187 + Intereses_Residual_Mensual!P187, 2), "")</f>
        <v/>
      </c>
      <c r="Q187" s="23">
        <f>IF(Intereses_Residual_Mensual!Q187&gt;0, ROUND(P187 + Intereses_Residual_Mensual!Q187, 2), "")</f>
        <v/>
      </c>
      <c r="R187" s="23">
        <f>IF(Intereses_Residual_Mensual!R187&gt;0, ROUND(Q187 + Intereses_Residual_Mensual!R187, 2), "")</f>
        <v/>
      </c>
      <c r="S187" s="23">
        <f>IF(Intereses_Residual_Mensual!S187&gt;0, ROUND(R187 + Intereses_Residual_Mensual!S187, 2), "")</f>
        <v/>
      </c>
      <c r="T187" s="23">
        <f>IF(Intereses_Residual_Mensual!T187&gt;0, ROUND(S187 + Intereses_Residual_Mensual!T187, 2), "")</f>
        <v/>
      </c>
      <c r="U187" s="23">
        <f>MAX(I187:T187)</f>
        <v/>
      </c>
    </row>
    <row r="188">
      <c r="A188" s="26" t="inlineStr">
        <is>
          <t>0707-0001</t>
        </is>
      </c>
      <c r="B188" s="27" t="inlineStr">
        <is>
          <t>Cabañas Lupita Sa de Cv</t>
        </is>
      </c>
      <c r="C188" s="27" t="inlineStr">
        <is>
          <t>Jt Rubicon</t>
        </is>
      </c>
      <c r="D188" s="26" t="inlineStr">
        <is>
          <t>ACTIVO</t>
        </is>
      </c>
      <c r="E188" s="26" t="inlineStr">
        <is>
          <t>2025-07-29</t>
        </is>
      </c>
      <c r="F188" s="26" t="inlineStr">
        <is>
          <t>2029-07-29</t>
        </is>
      </c>
      <c r="G188" s="28" t="n">
        <v>48</v>
      </c>
      <c r="H188" s="29" t="n">
        <v>125508.62</v>
      </c>
      <c r="I188" s="29">
        <f>IF(Intereses_Residual_Mensual!I188&gt;0, ROUND(41181.65 + Intereses_Residual_Mensual!I188, 2), "")</f>
        <v/>
      </c>
      <c r="J188" s="29">
        <f>IF(Intereses_Residual_Mensual!J188&gt;0, ROUND(I188 + Intereses_Residual_Mensual!J188, 2), "")</f>
        <v/>
      </c>
      <c r="K188" s="29">
        <f>IF(Intereses_Residual_Mensual!K188&gt;0, ROUND(J188 + Intereses_Residual_Mensual!K188, 2), "")</f>
        <v/>
      </c>
      <c r="L188" s="29">
        <f>IF(Intereses_Residual_Mensual!L188&gt;0, ROUND(K188 + Intereses_Residual_Mensual!L188, 2), "")</f>
        <v/>
      </c>
      <c r="M188" s="29">
        <f>IF(Intereses_Residual_Mensual!M188&gt;0, ROUND(L188 + Intereses_Residual_Mensual!M188, 2), "")</f>
        <v/>
      </c>
      <c r="N188" s="29">
        <f>IF(Intereses_Residual_Mensual!N188&gt;0, ROUND(M188 + Intereses_Residual_Mensual!N188, 2), "")</f>
        <v/>
      </c>
      <c r="O188" s="29">
        <f>IF(Intereses_Residual_Mensual!O188&gt;0, ROUND(N188 + Intereses_Residual_Mensual!O188, 2), "")</f>
        <v/>
      </c>
      <c r="P188" s="29">
        <f>IF(Intereses_Residual_Mensual!P188&gt;0, ROUND(O188 + Intereses_Residual_Mensual!P188, 2), "")</f>
        <v/>
      </c>
      <c r="Q188" s="29">
        <f>IF(Intereses_Residual_Mensual!Q188&gt;0, ROUND(P188 + Intereses_Residual_Mensual!Q188, 2), "")</f>
        <v/>
      </c>
      <c r="R188" s="29">
        <f>IF(Intereses_Residual_Mensual!R188&gt;0, ROUND(Q188 + Intereses_Residual_Mensual!R188, 2), "")</f>
        <v/>
      </c>
      <c r="S188" s="29">
        <f>IF(Intereses_Residual_Mensual!S188&gt;0, ROUND(R188 + Intereses_Residual_Mensual!S188, 2), "")</f>
        <v/>
      </c>
      <c r="T188" s="29">
        <f>IF(Intereses_Residual_Mensual!T188&gt;0, ROUND(S188 + Intereses_Residual_Mensual!T188, 2), "")</f>
        <v/>
      </c>
      <c r="U188" s="29">
        <f>MAX(I188:T188)</f>
        <v/>
      </c>
    </row>
    <row r="189">
      <c r="A189" s="20" t="inlineStr">
        <is>
          <t>0708-0001</t>
        </is>
      </c>
      <c r="B189" s="21" t="inlineStr">
        <is>
          <t>Pumps Company Sa de Cv</t>
        </is>
      </c>
      <c r="C189" s="21" t="inlineStr">
        <is>
          <t>L200 Glx Diesel</t>
        </is>
      </c>
      <c r="D189" s="20" t="inlineStr">
        <is>
          <t>ACTIVO</t>
        </is>
      </c>
      <c r="E189" s="20" t="inlineStr">
        <is>
          <t>2025-07-29</t>
        </is>
      </c>
      <c r="F189" s="20" t="inlineStr">
        <is>
          <t>2028-07-29</t>
        </is>
      </c>
      <c r="G189" s="22" t="n">
        <v>36</v>
      </c>
      <c r="H189" s="23" t="n">
        <v>55715.52</v>
      </c>
      <c r="I189" s="23">
        <f>IF(Intereses_Residual_Mensual!I189&gt;0, ROUND(25320.72 + Intereses_Residual_Mensual!I189, 2), "")</f>
        <v/>
      </c>
      <c r="J189" s="23">
        <f>IF(Intereses_Residual_Mensual!J189&gt;0, ROUND(I189 + Intereses_Residual_Mensual!J189, 2), "")</f>
        <v/>
      </c>
      <c r="K189" s="23">
        <f>IF(Intereses_Residual_Mensual!K189&gt;0, ROUND(J189 + Intereses_Residual_Mensual!K189, 2), "")</f>
        <v/>
      </c>
      <c r="L189" s="23">
        <f>IF(Intereses_Residual_Mensual!L189&gt;0, ROUND(K189 + Intereses_Residual_Mensual!L189, 2), "")</f>
        <v/>
      </c>
      <c r="M189" s="23">
        <f>IF(Intereses_Residual_Mensual!M189&gt;0, ROUND(L189 + Intereses_Residual_Mensual!M189, 2), "")</f>
        <v/>
      </c>
      <c r="N189" s="23">
        <f>IF(Intereses_Residual_Mensual!N189&gt;0, ROUND(M189 + Intereses_Residual_Mensual!N189, 2), "")</f>
        <v/>
      </c>
      <c r="O189" s="23">
        <f>IF(Intereses_Residual_Mensual!O189&gt;0, ROUND(N189 + Intereses_Residual_Mensual!O189, 2), "")</f>
        <v/>
      </c>
      <c r="P189" s="23">
        <f>IF(Intereses_Residual_Mensual!P189&gt;0, ROUND(O189 + Intereses_Residual_Mensual!P189, 2), "")</f>
        <v/>
      </c>
      <c r="Q189" s="23">
        <f>IF(Intereses_Residual_Mensual!Q189&gt;0, ROUND(P189 + Intereses_Residual_Mensual!Q189, 2), "")</f>
        <v/>
      </c>
      <c r="R189" s="23">
        <f>IF(Intereses_Residual_Mensual!R189&gt;0, ROUND(Q189 + Intereses_Residual_Mensual!R189, 2), "")</f>
        <v/>
      </c>
      <c r="S189" s="23">
        <f>IF(Intereses_Residual_Mensual!S189&gt;0, ROUND(R189 + Intereses_Residual_Mensual!S189, 2), "")</f>
        <v/>
      </c>
      <c r="T189" s="23">
        <f>IF(Intereses_Residual_Mensual!T189&gt;0, ROUND(S189 + Intereses_Residual_Mensual!T189, 2), "")</f>
        <v/>
      </c>
      <c r="U189" s="23">
        <f>MAX(I189:T189)</f>
        <v/>
      </c>
    </row>
    <row r="190">
      <c r="A190" s="26" t="inlineStr">
        <is>
          <t>0708-0002</t>
        </is>
      </c>
      <c r="B190" s="27" t="inlineStr">
        <is>
          <t>Pumps Company Sa de Cv</t>
        </is>
      </c>
      <c r="C190" s="27" t="inlineStr">
        <is>
          <t>L200 Glx Diesel</t>
        </is>
      </c>
      <c r="D190" s="26" t="inlineStr">
        <is>
          <t>ACTIVO</t>
        </is>
      </c>
      <c r="E190" s="26" t="inlineStr">
        <is>
          <t>2025-07-29</t>
        </is>
      </c>
      <c r="F190" s="26" t="inlineStr">
        <is>
          <t>2028-07-29</t>
        </is>
      </c>
      <c r="G190" s="28" t="n">
        <v>36</v>
      </c>
      <c r="H190" s="29" t="n">
        <v>55715.52</v>
      </c>
      <c r="I190" s="29">
        <f>IF(Intereses_Residual_Mensual!I190&gt;0, ROUND(25320.72 + Intereses_Residual_Mensual!I190, 2), "")</f>
        <v/>
      </c>
      <c r="J190" s="29">
        <f>IF(Intereses_Residual_Mensual!J190&gt;0, ROUND(I190 + Intereses_Residual_Mensual!J190, 2), "")</f>
        <v/>
      </c>
      <c r="K190" s="29">
        <f>IF(Intereses_Residual_Mensual!K190&gt;0, ROUND(J190 + Intereses_Residual_Mensual!K190, 2), "")</f>
        <v/>
      </c>
      <c r="L190" s="29">
        <f>IF(Intereses_Residual_Mensual!L190&gt;0, ROUND(K190 + Intereses_Residual_Mensual!L190, 2), "")</f>
        <v/>
      </c>
      <c r="M190" s="29">
        <f>IF(Intereses_Residual_Mensual!M190&gt;0, ROUND(L190 + Intereses_Residual_Mensual!M190, 2), "")</f>
        <v/>
      </c>
      <c r="N190" s="29">
        <f>IF(Intereses_Residual_Mensual!N190&gt;0, ROUND(M190 + Intereses_Residual_Mensual!N190, 2), "")</f>
        <v/>
      </c>
      <c r="O190" s="29">
        <f>IF(Intereses_Residual_Mensual!O190&gt;0, ROUND(N190 + Intereses_Residual_Mensual!O190, 2), "")</f>
        <v/>
      </c>
      <c r="P190" s="29">
        <f>IF(Intereses_Residual_Mensual!P190&gt;0, ROUND(O190 + Intereses_Residual_Mensual!P190, 2), "")</f>
        <v/>
      </c>
      <c r="Q190" s="29">
        <f>IF(Intereses_Residual_Mensual!Q190&gt;0, ROUND(P190 + Intereses_Residual_Mensual!Q190, 2), "")</f>
        <v/>
      </c>
      <c r="R190" s="29">
        <f>IF(Intereses_Residual_Mensual!R190&gt;0, ROUND(Q190 + Intereses_Residual_Mensual!R190, 2), "")</f>
        <v/>
      </c>
      <c r="S190" s="29">
        <f>IF(Intereses_Residual_Mensual!S190&gt;0, ROUND(R190 + Intereses_Residual_Mensual!S190, 2), "")</f>
        <v/>
      </c>
      <c r="T190" s="29">
        <f>IF(Intereses_Residual_Mensual!T190&gt;0, ROUND(S190 + Intereses_Residual_Mensual!T190, 2), "")</f>
        <v/>
      </c>
      <c r="U190" s="29">
        <f>MAX(I190:T190)</f>
        <v/>
      </c>
    </row>
    <row r="191">
      <c r="A191" s="20" t="inlineStr">
        <is>
          <t>0712-0001</t>
        </is>
      </c>
      <c r="B191" s="21" t="inlineStr">
        <is>
          <t>Containers del Pacifico sa de cv</t>
        </is>
      </c>
      <c r="C191" s="21" t="inlineStr">
        <is>
          <t>Outlander Sport</t>
        </is>
      </c>
      <c r="D191" s="20" t="inlineStr">
        <is>
          <t>ACTIVO</t>
        </is>
      </c>
      <c r="E191" s="20" t="inlineStr">
        <is>
          <t>2025-08-06</t>
        </is>
      </c>
      <c r="F191" s="20" t="inlineStr">
        <is>
          <t>2028-08-06</t>
        </is>
      </c>
      <c r="G191" s="22" t="n">
        <v>36</v>
      </c>
      <c r="H191" s="23" t="n">
        <v>82184.14</v>
      </c>
      <c r="I191" s="23">
        <f>IF(Intereses_Residual_Mensual!I191&gt;0, ROUND(36334.64 + Intereses_Residual_Mensual!I191, 2), "")</f>
        <v/>
      </c>
      <c r="J191" s="23">
        <f>IF(Intereses_Residual_Mensual!J191&gt;0, ROUND(I191 + Intereses_Residual_Mensual!J191, 2), "")</f>
        <v/>
      </c>
      <c r="K191" s="23">
        <f>IF(Intereses_Residual_Mensual!K191&gt;0, ROUND(J191 + Intereses_Residual_Mensual!K191, 2), "")</f>
        <v/>
      </c>
      <c r="L191" s="23">
        <f>IF(Intereses_Residual_Mensual!L191&gt;0, ROUND(K191 + Intereses_Residual_Mensual!L191, 2), "")</f>
        <v/>
      </c>
      <c r="M191" s="23">
        <f>IF(Intereses_Residual_Mensual!M191&gt;0, ROUND(L191 + Intereses_Residual_Mensual!M191, 2), "")</f>
        <v/>
      </c>
      <c r="N191" s="23">
        <f>IF(Intereses_Residual_Mensual!N191&gt;0, ROUND(M191 + Intereses_Residual_Mensual!N191, 2), "")</f>
        <v/>
      </c>
      <c r="O191" s="23">
        <f>IF(Intereses_Residual_Mensual!O191&gt;0, ROUND(N191 + Intereses_Residual_Mensual!O191, 2), "")</f>
        <v/>
      </c>
      <c r="P191" s="23">
        <f>IF(Intereses_Residual_Mensual!P191&gt;0, ROUND(O191 + Intereses_Residual_Mensual!P191, 2), "")</f>
        <v/>
      </c>
      <c r="Q191" s="23">
        <f>IF(Intereses_Residual_Mensual!Q191&gt;0, ROUND(P191 + Intereses_Residual_Mensual!Q191, 2), "")</f>
        <v/>
      </c>
      <c r="R191" s="23">
        <f>IF(Intereses_Residual_Mensual!R191&gt;0, ROUND(Q191 + Intereses_Residual_Mensual!R191, 2), "")</f>
        <v/>
      </c>
      <c r="S191" s="23">
        <f>IF(Intereses_Residual_Mensual!S191&gt;0, ROUND(R191 + Intereses_Residual_Mensual!S191, 2), "")</f>
        <v/>
      </c>
      <c r="T191" s="23">
        <f>IF(Intereses_Residual_Mensual!T191&gt;0, ROUND(S191 + Intereses_Residual_Mensual!T191, 2), "")</f>
        <v/>
      </c>
      <c r="U191" s="23">
        <f>MAX(I191:T191)</f>
        <v/>
      </c>
    </row>
    <row r="192">
      <c r="A192" s="26" t="inlineStr">
        <is>
          <t>0712-0002</t>
        </is>
      </c>
      <c r="B192" s="27" t="inlineStr">
        <is>
          <t>Containers del Pacifico sa de cv</t>
        </is>
      </c>
      <c r="C192" s="27" t="inlineStr">
        <is>
          <t>Np300</t>
        </is>
      </c>
      <c r="D192" s="26" t="inlineStr">
        <is>
          <t>ACTIVO</t>
        </is>
      </c>
      <c r="E192" s="26" t="inlineStr">
        <is>
          <t>2025-08-22</t>
        </is>
      </c>
      <c r="F192" s="26" t="inlineStr">
        <is>
          <t>2028-08-22</t>
        </is>
      </c>
      <c r="G192" s="28" t="n">
        <v>36</v>
      </c>
      <c r="H192" s="29" t="n">
        <v>81258.62</v>
      </c>
      <c r="I192" s="29">
        <f>IF(Intereses_Residual_Mensual!I192&gt;0, ROUND(35925.45 + Intereses_Residual_Mensual!I192, 2), "")</f>
        <v/>
      </c>
      <c r="J192" s="29">
        <f>IF(Intereses_Residual_Mensual!J192&gt;0, ROUND(I192 + Intereses_Residual_Mensual!J192, 2), "")</f>
        <v/>
      </c>
      <c r="K192" s="29">
        <f>IF(Intereses_Residual_Mensual!K192&gt;0, ROUND(J192 + Intereses_Residual_Mensual!K192, 2), "")</f>
        <v/>
      </c>
      <c r="L192" s="29">
        <f>IF(Intereses_Residual_Mensual!L192&gt;0, ROUND(K192 + Intereses_Residual_Mensual!L192, 2), "")</f>
        <v/>
      </c>
      <c r="M192" s="29">
        <f>IF(Intereses_Residual_Mensual!M192&gt;0, ROUND(L192 + Intereses_Residual_Mensual!M192, 2), "")</f>
        <v/>
      </c>
      <c r="N192" s="29">
        <f>IF(Intereses_Residual_Mensual!N192&gt;0, ROUND(M192 + Intereses_Residual_Mensual!N192, 2), "")</f>
        <v/>
      </c>
      <c r="O192" s="29">
        <f>IF(Intereses_Residual_Mensual!O192&gt;0, ROUND(N192 + Intereses_Residual_Mensual!O192, 2), "")</f>
        <v/>
      </c>
      <c r="P192" s="29">
        <f>IF(Intereses_Residual_Mensual!P192&gt;0, ROUND(O192 + Intereses_Residual_Mensual!P192, 2), "")</f>
        <v/>
      </c>
      <c r="Q192" s="29">
        <f>IF(Intereses_Residual_Mensual!Q192&gt;0, ROUND(P192 + Intereses_Residual_Mensual!Q192, 2), "")</f>
        <v/>
      </c>
      <c r="R192" s="29">
        <f>IF(Intereses_Residual_Mensual!R192&gt;0, ROUND(Q192 + Intereses_Residual_Mensual!R192, 2), "")</f>
        <v/>
      </c>
      <c r="S192" s="29">
        <f>IF(Intereses_Residual_Mensual!S192&gt;0, ROUND(R192 + Intereses_Residual_Mensual!S192, 2), "")</f>
        <v/>
      </c>
      <c r="T192" s="29">
        <f>IF(Intereses_Residual_Mensual!T192&gt;0, ROUND(S192 + Intereses_Residual_Mensual!T192, 2), "")</f>
        <v/>
      </c>
      <c r="U192" s="29">
        <f>MAX(I192:T192)</f>
        <v/>
      </c>
    </row>
    <row r="193">
      <c r="A193" s="20" t="inlineStr">
        <is>
          <t>0712-0003</t>
        </is>
      </c>
      <c r="B193" s="21" t="inlineStr">
        <is>
          <t>Containers del Pacifico sa de cv</t>
        </is>
      </c>
      <c r="C193" s="21" t="inlineStr">
        <is>
          <t>Np300</t>
        </is>
      </c>
      <c r="D193" s="20" t="inlineStr">
        <is>
          <t>ACTIVO</t>
        </is>
      </c>
      <c r="E193" s="20" t="inlineStr">
        <is>
          <t>2025-08-22</t>
        </is>
      </c>
      <c r="F193" s="20" t="inlineStr">
        <is>
          <t>2028-08-22</t>
        </is>
      </c>
      <c r="G193" s="22" t="n">
        <v>36</v>
      </c>
      <c r="H193" s="23" t="n">
        <v>81258.62</v>
      </c>
      <c r="I193" s="23">
        <f>IF(Intereses_Residual_Mensual!I193&gt;0, ROUND(35925.45 + Intereses_Residual_Mensual!I193, 2), "")</f>
        <v/>
      </c>
      <c r="J193" s="23">
        <f>IF(Intereses_Residual_Mensual!J193&gt;0, ROUND(I193 + Intereses_Residual_Mensual!J193, 2), "")</f>
        <v/>
      </c>
      <c r="K193" s="23">
        <f>IF(Intereses_Residual_Mensual!K193&gt;0, ROUND(J193 + Intereses_Residual_Mensual!K193, 2), "")</f>
        <v/>
      </c>
      <c r="L193" s="23">
        <f>IF(Intereses_Residual_Mensual!L193&gt;0, ROUND(K193 + Intereses_Residual_Mensual!L193, 2), "")</f>
        <v/>
      </c>
      <c r="M193" s="23">
        <f>IF(Intereses_Residual_Mensual!M193&gt;0, ROUND(L193 + Intereses_Residual_Mensual!M193, 2), "")</f>
        <v/>
      </c>
      <c r="N193" s="23">
        <f>IF(Intereses_Residual_Mensual!N193&gt;0, ROUND(M193 + Intereses_Residual_Mensual!N193, 2), "")</f>
        <v/>
      </c>
      <c r="O193" s="23">
        <f>IF(Intereses_Residual_Mensual!O193&gt;0, ROUND(N193 + Intereses_Residual_Mensual!O193, 2), "")</f>
        <v/>
      </c>
      <c r="P193" s="23">
        <f>IF(Intereses_Residual_Mensual!P193&gt;0, ROUND(O193 + Intereses_Residual_Mensual!P193, 2), "")</f>
        <v/>
      </c>
      <c r="Q193" s="23">
        <f>IF(Intereses_Residual_Mensual!Q193&gt;0, ROUND(P193 + Intereses_Residual_Mensual!Q193, 2), "")</f>
        <v/>
      </c>
      <c r="R193" s="23">
        <f>IF(Intereses_Residual_Mensual!R193&gt;0, ROUND(Q193 + Intereses_Residual_Mensual!R193, 2), "")</f>
        <v/>
      </c>
      <c r="S193" s="23">
        <f>IF(Intereses_Residual_Mensual!S193&gt;0, ROUND(R193 + Intereses_Residual_Mensual!S193, 2), "")</f>
        <v/>
      </c>
      <c r="T193" s="23">
        <f>IF(Intereses_Residual_Mensual!T193&gt;0, ROUND(S193 + Intereses_Residual_Mensual!T193, 2), "")</f>
        <v/>
      </c>
      <c r="U193" s="23">
        <f>MAX(I193:T193)</f>
        <v/>
      </c>
    </row>
    <row r="194">
      <c r="A194" s="26" t="inlineStr">
        <is>
          <t>0713-0001</t>
        </is>
      </c>
      <c r="B194" s="27" t="inlineStr">
        <is>
          <t>Ana Carolina Urzua Lopez</t>
        </is>
      </c>
      <c r="C194" s="27" t="inlineStr">
        <is>
          <t>Ram 1200</t>
        </is>
      </c>
      <c r="D194" s="26" t="inlineStr">
        <is>
          <t>ACTIVO</t>
        </is>
      </c>
      <c r="E194" s="26" t="inlineStr">
        <is>
          <t>2025-08-18</t>
        </is>
      </c>
      <c r="F194" s="26" t="inlineStr">
        <is>
          <t>2027-08-18</t>
        </is>
      </c>
      <c r="G194" s="28" t="n">
        <v>24</v>
      </c>
      <c r="H194" s="29" t="n">
        <v>173250</v>
      </c>
      <c r="I194" s="29">
        <f>IF(Intereses_Residual_Mensual!I194&gt;0, ROUND(106063.33 + Intereses_Residual_Mensual!I194, 2), "")</f>
        <v/>
      </c>
      <c r="J194" s="29">
        <f>IF(Intereses_Residual_Mensual!J194&gt;0, ROUND(I194 + Intereses_Residual_Mensual!J194, 2), "")</f>
        <v/>
      </c>
      <c r="K194" s="29">
        <f>IF(Intereses_Residual_Mensual!K194&gt;0, ROUND(J194 + Intereses_Residual_Mensual!K194, 2), "")</f>
        <v/>
      </c>
      <c r="L194" s="29">
        <f>IF(Intereses_Residual_Mensual!L194&gt;0, ROUND(K194 + Intereses_Residual_Mensual!L194, 2), "")</f>
        <v/>
      </c>
      <c r="M194" s="29">
        <f>IF(Intereses_Residual_Mensual!M194&gt;0, ROUND(L194 + Intereses_Residual_Mensual!M194, 2), "")</f>
        <v/>
      </c>
      <c r="N194" s="29">
        <f>IF(Intereses_Residual_Mensual!N194&gt;0, ROUND(M194 + Intereses_Residual_Mensual!N194, 2), "")</f>
        <v/>
      </c>
      <c r="O194" s="29">
        <f>IF(Intereses_Residual_Mensual!O194&gt;0, ROUND(N194 + Intereses_Residual_Mensual!O194, 2), "")</f>
        <v/>
      </c>
      <c r="P194" s="29">
        <f>IF(Intereses_Residual_Mensual!P194&gt;0, ROUND(O194 + Intereses_Residual_Mensual!P194, 2), "")</f>
        <v/>
      </c>
      <c r="Q194" s="29">
        <f>IF(Intereses_Residual_Mensual!Q194&gt;0, ROUND(P194 + Intereses_Residual_Mensual!Q194, 2), "")</f>
        <v/>
      </c>
      <c r="R194" s="29">
        <f>IF(Intereses_Residual_Mensual!R194&gt;0, ROUND(Q194 + Intereses_Residual_Mensual!R194, 2), "")</f>
        <v/>
      </c>
      <c r="S194" s="29">
        <f>IF(Intereses_Residual_Mensual!S194&gt;0, ROUND(R194 + Intereses_Residual_Mensual!S194, 2), "")</f>
        <v/>
      </c>
      <c r="T194" s="29">
        <f>IF(Intereses_Residual_Mensual!T194&gt;0, ROUND(S194 + Intereses_Residual_Mensual!T194, 2), "")</f>
        <v/>
      </c>
      <c r="U194" s="29">
        <f>MAX(I194:T194)</f>
        <v/>
      </c>
    </row>
    <row r="195">
      <c r="A195" s="20" t="inlineStr">
        <is>
          <t>0714-0001</t>
        </is>
      </c>
      <c r="B195" s="21" t="inlineStr">
        <is>
          <t>Celeste Capital Aj</t>
        </is>
      </c>
      <c r="C195" s="21" t="inlineStr">
        <is>
          <t>Wrangler 4Xe</t>
        </is>
      </c>
      <c r="D195" s="20" t="inlineStr">
        <is>
          <t>ACTIVO</t>
        </is>
      </c>
      <c r="E195" s="20" t="inlineStr">
        <is>
          <t>2025-08-26</t>
        </is>
      </c>
      <c r="F195" s="20" t="inlineStr">
        <is>
          <t>2029-08-26</t>
        </is>
      </c>
      <c r="G195" s="22" t="n">
        <v>48</v>
      </c>
      <c r="H195" s="23" t="n">
        <v>125508.62</v>
      </c>
      <c r="I195" s="23">
        <f>IF(Intereses_Residual_Mensual!I195&gt;0, ROUND(40024.69 + Intereses_Residual_Mensual!I195, 2), "")</f>
        <v/>
      </c>
      <c r="J195" s="23">
        <f>IF(Intereses_Residual_Mensual!J195&gt;0, ROUND(I195 + Intereses_Residual_Mensual!J195, 2), "")</f>
        <v/>
      </c>
      <c r="K195" s="23">
        <f>IF(Intereses_Residual_Mensual!K195&gt;0, ROUND(J195 + Intereses_Residual_Mensual!K195, 2), "")</f>
        <v/>
      </c>
      <c r="L195" s="23">
        <f>IF(Intereses_Residual_Mensual!L195&gt;0, ROUND(K195 + Intereses_Residual_Mensual!L195, 2), "")</f>
        <v/>
      </c>
      <c r="M195" s="23">
        <f>IF(Intereses_Residual_Mensual!M195&gt;0, ROUND(L195 + Intereses_Residual_Mensual!M195, 2), "")</f>
        <v/>
      </c>
      <c r="N195" s="23">
        <f>IF(Intereses_Residual_Mensual!N195&gt;0, ROUND(M195 + Intereses_Residual_Mensual!N195, 2), "")</f>
        <v/>
      </c>
      <c r="O195" s="23">
        <f>IF(Intereses_Residual_Mensual!O195&gt;0, ROUND(N195 + Intereses_Residual_Mensual!O195, 2), "")</f>
        <v/>
      </c>
      <c r="P195" s="23">
        <f>IF(Intereses_Residual_Mensual!P195&gt;0, ROUND(O195 + Intereses_Residual_Mensual!P195, 2), "")</f>
        <v/>
      </c>
      <c r="Q195" s="23">
        <f>IF(Intereses_Residual_Mensual!Q195&gt;0, ROUND(P195 + Intereses_Residual_Mensual!Q195, 2), "")</f>
        <v/>
      </c>
      <c r="R195" s="23">
        <f>IF(Intereses_Residual_Mensual!R195&gt;0, ROUND(Q195 + Intereses_Residual_Mensual!R195, 2), "")</f>
        <v/>
      </c>
      <c r="S195" s="23">
        <f>IF(Intereses_Residual_Mensual!S195&gt;0, ROUND(R195 + Intereses_Residual_Mensual!S195, 2), "")</f>
        <v/>
      </c>
      <c r="T195" s="23">
        <f>IF(Intereses_Residual_Mensual!T195&gt;0, ROUND(S195 + Intereses_Residual_Mensual!T195, 2), "")</f>
        <v/>
      </c>
      <c r="U195" s="23">
        <f>MAX(I195:T195)</f>
        <v/>
      </c>
    </row>
    <row r="196">
      <c r="A196" s="26" t="inlineStr">
        <is>
          <t>0715-0001</t>
        </is>
      </c>
      <c r="B196" s="27" t="inlineStr">
        <is>
          <t>Jose de Jesus Serrano Sanchez</t>
        </is>
      </c>
      <c r="C196" s="27" t="inlineStr">
        <is>
          <t>Ram 1200</t>
        </is>
      </c>
      <c r="D196" s="26" t="inlineStr">
        <is>
          <t>ACTIVO</t>
        </is>
      </c>
      <c r="E196" s="26" t="inlineStr">
        <is>
          <t>2025-08-29</t>
        </is>
      </c>
      <c r="F196" s="26" t="inlineStr">
        <is>
          <t>2029-08-29</t>
        </is>
      </c>
      <c r="G196" s="28" t="n">
        <v>48</v>
      </c>
      <c r="H196" s="29" t="n">
        <v>60603.45</v>
      </c>
      <c r="I196" s="29">
        <f>IF(Intereses_Residual_Mensual!I196&gt;0, ROUND(19333.0 + Intereses_Residual_Mensual!I196, 2), "")</f>
        <v/>
      </c>
      <c r="J196" s="29">
        <f>IF(Intereses_Residual_Mensual!J196&gt;0, ROUND(I196 + Intereses_Residual_Mensual!J196, 2), "")</f>
        <v/>
      </c>
      <c r="K196" s="29">
        <f>IF(Intereses_Residual_Mensual!K196&gt;0, ROUND(J196 + Intereses_Residual_Mensual!K196, 2), "")</f>
        <v/>
      </c>
      <c r="L196" s="29">
        <f>IF(Intereses_Residual_Mensual!L196&gt;0, ROUND(K196 + Intereses_Residual_Mensual!L196, 2), "")</f>
        <v/>
      </c>
      <c r="M196" s="29">
        <f>IF(Intereses_Residual_Mensual!M196&gt;0, ROUND(L196 + Intereses_Residual_Mensual!M196, 2), "")</f>
        <v/>
      </c>
      <c r="N196" s="29">
        <f>IF(Intereses_Residual_Mensual!N196&gt;0, ROUND(M196 + Intereses_Residual_Mensual!N196, 2), "")</f>
        <v/>
      </c>
      <c r="O196" s="29">
        <f>IF(Intereses_Residual_Mensual!O196&gt;0, ROUND(N196 + Intereses_Residual_Mensual!O196, 2), "")</f>
        <v/>
      </c>
      <c r="P196" s="29">
        <f>IF(Intereses_Residual_Mensual!P196&gt;0, ROUND(O196 + Intereses_Residual_Mensual!P196, 2), "")</f>
        <v/>
      </c>
      <c r="Q196" s="29">
        <f>IF(Intereses_Residual_Mensual!Q196&gt;0, ROUND(P196 + Intereses_Residual_Mensual!Q196, 2), "")</f>
        <v/>
      </c>
      <c r="R196" s="29">
        <f>IF(Intereses_Residual_Mensual!R196&gt;0, ROUND(Q196 + Intereses_Residual_Mensual!R196, 2), "")</f>
        <v/>
      </c>
      <c r="S196" s="29">
        <f>IF(Intereses_Residual_Mensual!S196&gt;0, ROUND(R196 + Intereses_Residual_Mensual!S196, 2), "")</f>
        <v/>
      </c>
      <c r="T196" s="29">
        <f>IF(Intereses_Residual_Mensual!T196&gt;0, ROUND(S196 + Intereses_Residual_Mensual!T196, 2), "")</f>
        <v/>
      </c>
      <c r="U196" s="29">
        <f>MAX(I196:T196)</f>
        <v/>
      </c>
    </row>
    <row r="197">
      <c r="A197" s="20" t="inlineStr">
        <is>
          <t>0716-0001</t>
        </is>
      </c>
      <c r="B197" s="21" t="inlineStr">
        <is>
          <t>Mayoristas Asociados en Servicio Celular SA de CV</t>
        </is>
      </c>
      <c r="C197" s="21" t="inlineStr">
        <is>
          <t>Wrangler Unlimited Rubicon</t>
        </is>
      </c>
      <c r="D197" s="20" t="inlineStr">
        <is>
          <t>ACTIVO</t>
        </is>
      </c>
      <c r="E197" s="20" t="inlineStr">
        <is>
          <t>2025-09-15</t>
        </is>
      </c>
      <c r="F197" s="20" t="inlineStr">
        <is>
          <t>2027-09-15</t>
        </is>
      </c>
      <c r="G197" s="22" t="n">
        <v>24</v>
      </c>
      <c r="H197" s="23" t="n">
        <v>220235.52</v>
      </c>
      <c r="I197" s="23">
        <f>IF(Intereses_Residual_Mensual!I197&gt;0, ROUND(131513.81 + Intereses_Residual_Mensual!I197, 2), "")</f>
        <v/>
      </c>
      <c r="J197" s="23">
        <f>IF(Intereses_Residual_Mensual!J197&gt;0, ROUND(I197 + Intereses_Residual_Mensual!J197, 2), "")</f>
        <v/>
      </c>
      <c r="K197" s="23">
        <f>IF(Intereses_Residual_Mensual!K197&gt;0, ROUND(J197 + Intereses_Residual_Mensual!K197, 2), "")</f>
        <v/>
      </c>
      <c r="L197" s="23">
        <f>IF(Intereses_Residual_Mensual!L197&gt;0, ROUND(K197 + Intereses_Residual_Mensual!L197, 2), "")</f>
        <v/>
      </c>
      <c r="M197" s="23">
        <f>IF(Intereses_Residual_Mensual!M197&gt;0, ROUND(L197 + Intereses_Residual_Mensual!M197, 2), "")</f>
        <v/>
      </c>
      <c r="N197" s="23">
        <f>IF(Intereses_Residual_Mensual!N197&gt;0, ROUND(M197 + Intereses_Residual_Mensual!N197, 2), "")</f>
        <v/>
      </c>
      <c r="O197" s="23">
        <f>IF(Intereses_Residual_Mensual!O197&gt;0, ROUND(N197 + Intereses_Residual_Mensual!O197, 2), "")</f>
        <v/>
      </c>
      <c r="P197" s="23">
        <f>IF(Intereses_Residual_Mensual!P197&gt;0, ROUND(O197 + Intereses_Residual_Mensual!P197, 2), "")</f>
        <v/>
      </c>
      <c r="Q197" s="23">
        <f>IF(Intereses_Residual_Mensual!Q197&gt;0, ROUND(P197 + Intereses_Residual_Mensual!Q197, 2), "")</f>
        <v/>
      </c>
      <c r="R197" s="23">
        <f>IF(Intereses_Residual_Mensual!R197&gt;0, ROUND(Q197 + Intereses_Residual_Mensual!R197, 2), "")</f>
        <v/>
      </c>
      <c r="S197" s="23">
        <f>IF(Intereses_Residual_Mensual!S197&gt;0, ROUND(R197 + Intereses_Residual_Mensual!S197, 2), "")</f>
        <v/>
      </c>
      <c r="T197" s="23">
        <f>IF(Intereses_Residual_Mensual!T197&gt;0, ROUND(S197 + Intereses_Residual_Mensual!T197, 2), "")</f>
        <v/>
      </c>
      <c r="U197" s="23">
        <f>MAX(I197:T197)</f>
        <v/>
      </c>
    </row>
    <row r="198">
      <c r="A198" s="26" t="inlineStr">
        <is>
          <t>0716-0002</t>
        </is>
      </c>
      <c r="B198" s="27" t="inlineStr">
        <is>
          <t>Mayoristas Asociados en Servicio Celular SA de CV</t>
        </is>
      </c>
      <c r="C198" s="27" t="inlineStr">
        <is>
          <t>EX30</t>
        </is>
      </c>
      <c r="D198" s="26" t="inlineStr">
        <is>
          <t>ACTIVO</t>
        </is>
      </c>
      <c r="E198" s="26" t="inlineStr">
        <is>
          <t>2025-10-08</t>
        </is>
      </c>
      <c r="F198" s="26" t="inlineStr">
        <is>
          <t>2027-10-08</t>
        </is>
      </c>
      <c r="G198" s="28" t="n">
        <v>24</v>
      </c>
      <c r="H198" s="29" t="n">
        <v>136017.59</v>
      </c>
      <c r="I198" s="29">
        <f>IF(Intereses_Residual_Mensual!I198&gt;0, ROUND(79093.42 + Intereses_Residual_Mensual!I198, 2), "")</f>
        <v/>
      </c>
      <c r="J198" s="29">
        <f>IF(Intereses_Residual_Mensual!J198&gt;0, ROUND(I198 + Intereses_Residual_Mensual!J198, 2), "")</f>
        <v/>
      </c>
      <c r="K198" s="29">
        <f>IF(Intereses_Residual_Mensual!K198&gt;0, ROUND(J198 + Intereses_Residual_Mensual!K198, 2), "")</f>
        <v/>
      </c>
      <c r="L198" s="29">
        <f>IF(Intereses_Residual_Mensual!L198&gt;0, ROUND(K198 + Intereses_Residual_Mensual!L198, 2), "")</f>
        <v/>
      </c>
      <c r="M198" s="29">
        <f>IF(Intereses_Residual_Mensual!M198&gt;0, ROUND(L198 + Intereses_Residual_Mensual!M198, 2), "")</f>
        <v/>
      </c>
      <c r="N198" s="29">
        <f>IF(Intereses_Residual_Mensual!N198&gt;0, ROUND(M198 + Intereses_Residual_Mensual!N198, 2), "")</f>
        <v/>
      </c>
      <c r="O198" s="29">
        <f>IF(Intereses_Residual_Mensual!O198&gt;0, ROUND(N198 + Intereses_Residual_Mensual!O198, 2), "")</f>
        <v/>
      </c>
      <c r="P198" s="29">
        <f>IF(Intereses_Residual_Mensual!P198&gt;0, ROUND(O198 + Intereses_Residual_Mensual!P198, 2), "")</f>
        <v/>
      </c>
      <c r="Q198" s="29">
        <f>IF(Intereses_Residual_Mensual!Q198&gt;0, ROUND(P198 + Intereses_Residual_Mensual!Q198, 2), "")</f>
        <v/>
      </c>
      <c r="R198" s="29">
        <f>IF(Intereses_Residual_Mensual!R198&gt;0, ROUND(Q198 + Intereses_Residual_Mensual!R198, 2), "")</f>
        <v/>
      </c>
      <c r="S198" s="29">
        <f>IF(Intereses_Residual_Mensual!S198&gt;0, ROUND(R198 + Intereses_Residual_Mensual!S198, 2), "")</f>
        <v/>
      </c>
      <c r="T198" s="29">
        <f>IF(Intereses_Residual_Mensual!T198&gt;0, ROUND(S198 + Intereses_Residual_Mensual!T198, 2), "")</f>
        <v/>
      </c>
      <c r="U198" s="29">
        <f>MAX(I198:T198)</f>
        <v/>
      </c>
    </row>
    <row r="199">
      <c r="A199" s="20" t="inlineStr">
        <is>
          <t>0716-0003</t>
        </is>
      </c>
      <c r="B199" s="21" t="inlineStr">
        <is>
          <t>Mayoristas Asociados en Servicio Celular SA de CV</t>
        </is>
      </c>
      <c r="C199" s="21" t="inlineStr">
        <is>
          <t>Bronco</t>
        </is>
      </c>
      <c r="D199" s="20" t="inlineStr">
        <is>
          <t>ACTIVO</t>
        </is>
      </c>
      <c r="E199" s="20" t="inlineStr">
        <is>
          <t>2025-10-08</t>
        </is>
      </c>
      <c r="F199" s="20" t="inlineStr">
        <is>
          <t>2027-10-08</t>
        </is>
      </c>
      <c r="G199" s="22" t="n">
        <v>24</v>
      </c>
      <c r="H199" s="23" t="n">
        <v>131034.48</v>
      </c>
      <c r="I199" s="23">
        <f>IF(Intereses_Residual_Mensual!I199&gt;0, ROUND(76195.79 + Intereses_Residual_Mensual!I199, 2), "")</f>
        <v/>
      </c>
      <c r="J199" s="23">
        <f>IF(Intereses_Residual_Mensual!J199&gt;0, ROUND(I199 + Intereses_Residual_Mensual!J199, 2), "")</f>
        <v/>
      </c>
      <c r="K199" s="23">
        <f>IF(Intereses_Residual_Mensual!K199&gt;0, ROUND(J199 + Intereses_Residual_Mensual!K199, 2), "")</f>
        <v/>
      </c>
      <c r="L199" s="23">
        <f>IF(Intereses_Residual_Mensual!L199&gt;0, ROUND(K199 + Intereses_Residual_Mensual!L199, 2), "")</f>
        <v/>
      </c>
      <c r="M199" s="23">
        <f>IF(Intereses_Residual_Mensual!M199&gt;0, ROUND(L199 + Intereses_Residual_Mensual!M199, 2), "")</f>
        <v/>
      </c>
      <c r="N199" s="23">
        <f>IF(Intereses_Residual_Mensual!N199&gt;0, ROUND(M199 + Intereses_Residual_Mensual!N199, 2), "")</f>
        <v/>
      </c>
      <c r="O199" s="23">
        <f>IF(Intereses_Residual_Mensual!O199&gt;0, ROUND(N199 + Intereses_Residual_Mensual!O199, 2), "")</f>
        <v/>
      </c>
      <c r="P199" s="23">
        <f>IF(Intereses_Residual_Mensual!P199&gt;0, ROUND(O199 + Intereses_Residual_Mensual!P199, 2), "")</f>
        <v/>
      </c>
      <c r="Q199" s="23">
        <f>IF(Intereses_Residual_Mensual!Q199&gt;0, ROUND(P199 + Intereses_Residual_Mensual!Q199, 2), "")</f>
        <v/>
      </c>
      <c r="R199" s="23">
        <f>IF(Intereses_Residual_Mensual!R199&gt;0, ROUND(Q199 + Intereses_Residual_Mensual!R199, 2), "")</f>
        <v/>
      </c>
      <c r="S199" s="23">
        <f>IF(Intereses_Residual_Mensual!S199&gt;0, ROUND(R199 + Intereses_Residual_Mensual!S199, 2), "")</f>
        <v/>
      </c>
      <c r="T199" s="23">
        <f>IF(Intereses_Residual_Mensual!T199&gt;0, ROUND(S199 + Intereses_Residual_Mensual!T199, 2), "")</f>
        <v/>
      </c>
      <c r="U199" s="23">
        <f>MAX(I199:T199)</f>
        <v/>
      </c>
    </row>
    <row r="200">
      <c r="A200" s="26" t="inlineStr">
        <is>
          <t>0717-0001</t>
        </is>
      </c>
      <c r="B200" s="27" t="inlineStr">
        <is>
          <t>Refaccionaria San Diego SA de CV</t>
        </is>
      </c>
      <c r="C200" s="27" t="inlineStr">
        <is>
          <t>Partner Rapid</t>
        </is>
      </c>
      <c r="D200" s="26" t="inlineStr">
        <is>
          <t>ACTIVO</t>
        </is>
      </c>
      <c r="E200" s="26" t="inlineStr">
        <is>
          <t>2025-09-10</t>
        </is>
      </c>
      <c r="F200" s="26" t="inlineStr">
        <is>
          <t>2029-09-10</t>
        </is>
      </c>
      <c r="G200" s="28" t="n">
        <v>48</v>
      </c>
      <c r="H200" s="29" t="n">
        <v>25767.24</v>
      </c>
      <c r="I200" s="29">
        <f>IF(Intereses_Residual_Mensual!I200&gt;0, ROUND(8027.36 + Intereses_Residual_Mensual!I200, 2), "")</f>
        <v/>
      </c>
      <c r="J200" s="29">
        <f>IF(Intereses_Residual_Mensual!J200&gt;0, ROUND(I200 + Intereses_Residual_Mensual!J200, 2), "")</f>
        <v/>
      </c>
      <c r="K200" s="29">
        <f>IF(Intereses_Residual_Mensual!K200&gt;0, ROUND(J200 + Intereses_Residual_Mensual!K200, 2), "")</f>
        <v/>
      </c>
      <c r="L200" s="29">
        <f>IF(Intereses_Residual_Mensual!L200&gt;0, ROUND(K200 + Intereses_Residual_Mensual!L200, 2), "")</f>
        <v/>
      </c>
      <c r="M200" s="29">
        <f>IF(Intereses_Residual_Mensual!M200&gt;0, ROUND(L200 + Intereses_Residual_Mensual!M200, 2), "")</f>
        <v/>
      </c>
      <c r="N200" s="29">
        <f>IF(Intereses_Residual_Mensual!N200&gt;0, ROUND(M200 + Intereses_Residual_Mensual!N200, 2), "")</f>
        <v/>
      </c>
      <c r="O200" s="29">
        <f>IF(Intereses_Residual_Mensual!O200&gt;0, ROUND(N200 + Intereses_Residual_Mensual!O200, 2), "")</f>
        <v/>
      </c>
      <c r="P200" s="29">
        <f>IF(Intereses_Residual_Mensual!P200&gt;0, ROUND(O200 + Intereses_Residual_Mensual!P200, 2), "")</f>
        <v/>
      </c>
      <c r="Q200" s="29">
        <f>IF(Intereses_Residual_Mensual!Q200&gt;0, ROUND(P200 + Intereses_Residual_Mensual!Q200, 2), "")</f>
        <v/>
      </c>
      <c r="R200" s="29">
        <f>IF(Intereses_Residual_Mensual!R200&gt;0, ROUND(Q200 + Intereses_Residual_Mensual!R200, 2), "")</f>
        <v/>
      </c>
      <c r="S200" s="29">
        <f>IF(Intereses_Residual_Mensual!S200&gt;0, ROUND(R200 + Intereses_Residual_Mensual!S200, 2), "")</f>
        <v/>
      </c>
      <c r="T200" s="29">
        <f>IF(Intereses_Residual_Mensual!T200&gt;0, ROUND(S200 + Intereses_Residual_Mensual!T200, 2), "")</f>
        <v/>
      </c>
      <c r="U200" s="29">
        <f>MAX(I200:T200)</f>
        <v/>
      </c>
    </row>
    <row r="201">
      <c r="A201" s="20" t="inlineStr">
        <is>
          <t>0718-0001</t>
        </is>
      </c>
      <c r="B201" s="21" t="inlineStr">
        <is>
          <t>Capriberrys</t>
        </is>
      </c>
      <c r="C201" s="21" t="inlineStr">
        <is>
          <t>Jt Mojave</t>
        </is>
      </c>
      <c r="D201" s="20" t="inlineStr">
        <is>
          <t>ACTIVO</t>
        </is>
      </c>
      <c r="E201" s="20" t="inlineStr">
        <is>
          <t>2025-09-11</t>
        </is>
      </c>
      <c r="F201" s="20" t="inlineStr">
        <is>
          <t>2027-09-11</t>
        </is>
      </c>
      <c r="G201" s="22" t="n">
        <v>24</v>
      </c>
      <c r="H201" s="23" t="n">
        <v>130077.59</v>
      </c>
      <c r="I201" s="23">
        <f>IF(Intereses_Residual_Mensual!I201&gt;0, ROUND(80330.6 + Intereses_Residual_Mensual!I201, 2), "")</f>
        <v/>
      </c>
      <c r="J201" s="23">
        <f>IF(Intereses_Residual_Mensual!J201&gt;0, ROUND(I201 + Intereses_Residual_Mensual!J201, 2), "")</f>
        <v/>
      </c>
      <c r="K201" s="23">
        <f>IF(Intereses_Residual_Mensual!K201&gt;0, ROUND(J201 + Intereses_Residual_Mensual!K201, 2), "")</f>
        <v/>
      </c>
      <c r="L201" s="23">
        <f>IF(Intereses_Residual_Mensual!L201&gt;0, ROUND(K201 + Intereses_Residual_Mensual!L201, 2), "")</f>
        <v/>
      </c>
      <c r="M201" s="23">
        <f>IF(Intereses_Residual_Mensual!M201&gt;0, ROUND(L201 + Intereses_Residual_Mensual!M201, 2), "")</f>
        <v/>
      </c>
      <c r="N201" s="23">
        <f>IF(Intereses_Residual_Mensual!N201&gt;0, ROUND(M201 + Intereses_Residual_Mensual!N201, 2), "")</f>
        <v/>
      </c>
      <c r="O201" s="23">
        <f>IF(Intereses_Residual_Mensual!O201&gt;0, ROUND(N201 + Intereses_Residual_Mensual!O201, 2), "")</f>
        <v/>
      </c>
      <c r="P201" s="23">
        <f>IF(Intereses_Residual_Mensual!P201&gt;0, ROUND(O201 + Intereses_Residual_Mensual!P201, 2), "")</f>
        <v/>
      </c>
      <c r="Q201" s="23">
        <f>IF(Intereses_Residual_Mensual!Q201&gt;0, ROUND(P201 + Intereses_Residual_Mensual!Q201, 2), "")</f>
        <v/>
      </c>
      <c r="R201" s="23">
        <f>IF(Intereses_Residual_Mensual!R201&gt;0, ROUND(Q201 + Intereses_Residual_Mensual!R201, 2), "")</f>
        <v/>
      </c>
      <c r="S201" s="23">
        <f>IF(Intereses_Residual_Mensual!S201&gt;0, ROUND(R201 + Intereses_Residual_Mensual!S201, 2), "")</f>
        <v/>
      </c>
      <c r="T201" s="23">
        <f>IF(Intereses_Residual_Mensual!T201&gt;0, ROUND(S201 + Intereses_Residual_Mensual!T201, 2), "")</f>
        <v/>
      </c>
      <c r="U201" s="23">
        <f>MAX(I201:T201)</f>
        <v/>
      </c>
    </row>
    <row r="202">
      <c r="A202" s="26" t="inlineStr">
        <is>
          <t>0719-0001</t>
        </is>
      </c>
      <c r="B202" s="27" t="inlineStr">
        <is>
          <t>Maria de Los Angeles Lopez Janeiro</t>
        </is>
      </c>
      <c r="C202" s="27" t="inlineStr">
        <is>
          <t>Rifter</t>
        </is>
      </c>
      <c r="D202" s="26" t="inlineStr">
        <is>
          <t>ACTIVO</t>
        </is>
      </c>
      <c r="E202" s="26" t="inlineStr">
        <is>
          <t>2025-09-30</t>
        </is>
      </c>
      <c r="F202" s="26" t="inlineStr">
        <is>
          <t>2028-09-30</t>
        </is>
      </c>
      <c r="G202" s="28" t="n">
        <v>36</v>
      </c>
      <c r="H202" s="29" t="n">
        <v>42836.21</v>
      </c>
      <c r="I202" s="29">
        <f>IF(Intereses_Residual_Mensual!I202&gt;0, ROUND(18511.49 + Intereses_Residual_Mensual!I202, 2), "")</f>
        <v/>
      </c>
      <c r="J202" s="29">
        <f>IF(Intereses_Residual_Mensual!J202&gt;0, ROUND(I202 + Intereses_Residual_Mensual!J202, 2), "")</f>
        <v/>
      </c>
      <c r="K202" s="29">
        <f>IF(Intereses_Residual_Mensual!K202&gt;0, ROUND(J202 + Intereses_Residual_Mensual!K202, 2), "")</f>
        <v/>
      </c>
      <c r="L202" s="29">
        <f>IF(Intereses_Residual_Mensual!L202&gt;0, ROUND(K202 + Intereses_Residual_Mensual!L202, 2), "")</f>
        <v/>
      </c>
      <c r="M202" s="29">
        <f>IF(Intereses_Residual_Mensual!M202&gt;0, ROUND(L202 + Intereses_Residual_Mensual!M202, 2), "")</f>
        <v/>
      </c>
      <c r="N202" s="29">
        <f>IF(Intereses_Residual_Mensual!N202&gt;0, ROUND(M202 + Intereses_Residual_Mensual!N202, 2), "")</f>
        <v/>
      </c>
      <c r="O202" s="29">
        <f>IF(Intereses_Residual_Mensual!O202&gt;0, ROUND(N202 + Intereses_Residual_Mensual!O202, 2), "")</f>
        <v/>
      </c>
      <c r="P202" s="29">
        <f>IF(Intereses_Residual_Mensual!P202&gt;0, ROUND(O202 + Intereses_Residual_Mensual!P202, 2), "")</f>
        <v/>
      </c>
      <c r="Q202" s="29">
        <f>IF(Intereses_Residual_Mensual!Q202&gt;0, ROUND(P202 + Intereses_Residual_Mensual!Q202, 2), "")</f>
        <v/>
      </c>
      <c r="R202" s="29">
        <f>IF(Intereses_Residual_Mensual!R202&gt;0, ROUND(Q202 + Intereses_Residual_Mensual!R202, 2), "")</f>
        <v/>
      </c>
      <c r="S202" s="29">
        <f>IF(Intereses_Residual_Mensual!S202&gt;0, ROUND(R202 + Intereses_Residual_Mensual!S202, 2), "")</f>
        <v/>
      </c>
      <c r="T202" s="29">
        <f>IF(Intereses_Residual_Mensual!T202&gt;0, ROUND(S202 + Intereses_Residual_Mensual!T202, 2), "")</f>
        <v/>
      </c>
      <c r="U202" s="29">
        <f>MAX(I202:T202)</f>
        <v/>
      </c>
    </row>
    <row r="203">
      <c r="A203" s="20" t="inlineStr">
        <is>
          <t>0720-0001</t>
        </is>
      </c>
      <c r="B203" s="21" t="inlineStr">
        <is>
          <t>Forrajes Los 6 Hermanos S.P.R. DE R.L.</t>
        </is>
      </c>
      <c r="C203" s="21" t="inlineStr">
        <is>
          <t>Shark</t>
        </is>
      </c>
      <c r="D203" s="20" t="inlineStr">
        <is>
          <t>ACTIVO</t>
        </is>
      </c>
      <c r="E203" s="20" t="inlineStr">
        <is>
          <t>2025-10-01</t>
        </is>
      </c>
      <c r="F203" s="20" t="inlineStr">
        <is>
          <t>2028-10-01</t>
        </is>
      </c>
      <c r="G203" s="22" t="n">
        <v>36</v>
      </c>
      <c r="H203" s="23" t="n">
        <v>310337.93</v>
      </c>
      <c r="I203" s="23">
        <f>IF(Intereses_Residual_Mensual!I203&gt;0, ROUND(112423.73 + Intereses_Residual_Mensual!I203, 2), "")</f>
        <v/>
      </c>
      <c r="J203" s="23">
        <f>IF(Intereses_Residual_Mensual!J203&gt;0, ROUND(I203 + Intereses_Residual_Mensual!J203, 2), "")</f>
        <v/>
      </c>
      <c r="K203" s="23">
        <f>IF(Intereses_Residual_Mensual!K203&gt;0, ROUND(J203 + Intereses_Residual_Mensual!K203, 2), "")</f>
        <v/>
      </c>
      <c r="L203" s="23">
        <f>IF(Intereses_Residual_Mensual!L203&gt;0, ROUND(K203 + Intereses_Residual_Mensual!L203, 2), "")</f>
        <v/>
      </c>
      <c r="M203" s="23">
        <f>IF(Intereses_Residual_Mensual!M203&gt;0, ROUND(L203 + Intereses_Residual_Mensual!M203, 2), "")</f>
        <v/>
      </c>
      <c r="N203" s="23">
        <f>IF(Intereses_Residual_Mensual!N203&gt;0, ROUND(M203 + Intereses_Residual_Mensual!N203, 2), "")</f>
        <v/>
      </c>
      <c r="O203" s="23">
        <f>IF(Intereses_Residual_Mensual!O203&gt;0, ROUND(N203 + Intereses_Residual_Mensual!O203, 2), "")</f>
        <v/>
      </c>
      <c r="P203" s="23">
        <f>IF(Intereses_Residual_Mensual!P203&gt;0, ROUND(O203 + Intereses_Residual_Mensual!P203, 2), "")</f>
        <v/>
      </c>
      <c r="Q203" s="23">
        <f>IF(Intereses_Residual_Mensual!Q203&gt;0, ROUND(P203 + Intereses_Residual_Mensual!Q203, 2), "")</f>
        <v/>
      </c>
      <c r="R203" s="23">
        <f>IF(Intereses_Residual_Mensual!R203&gt;0, ROUND(Q203 + Intereses_Residual_Mensual!R203, 2), "")</f>
        <v/>
      </c>
      <c r="S203" s="23">
        <f>IF(Intereses_Residual_Mensual!S203&gt;0, ROUND(R203 + Intereses_Residual_Mensual!S203, 2), "")</f>
        <v/>
      </c>
      <c r="T203" s="23">
        <f>IF(Intereses_Residual_Mensual!T203&gt;0, ROUND(S203 + Intereses_Residual_Mensual!T203, 2), "")</f>
        <v/>
      </c>
      <c r="U203" s="23">
        <f>MAX(I203:T203)</f>
        <v/>
      </c>
    </row>
    <row r="204">
      <c r="A204" s="26" t="inlineStr">
        <is>
          <t>0721-0001</t>
        </is>
      </c>
      <c r="B204" s="27" t="inlineStr">
        <is>
          <t>Ricardo Ortiz Guzman</t>
        </is>
      </c>
      <c r="C204" s="27" t="inlineStr">
        <is>
          <t>Rifter</t>
        </is>
      </c>
      <c r="D204" s="26" t="inlineStr">
        <is>
          <t>ACTIVO</t>
        </is>
      </c>
      <c r="E204" s="26" t="inlineStr">
        <is>
          <t>2025-10-09</t>
        </is>
      </c>
      <c r="F204" s="26" t="inlineStr">
        <is>
          <t>2029-10-09</t>
        </is>
      </c>
      <c r="G204" s="28" t="n">
        <v>48</v>
      </c>
      <c r="H204" s="29" t="n">
        <v>42836.21</v>
      </c>
      <c r="I204" s="29">
        <f>IF(Intereses_Residual_Mensual!I204&gt;0, ROUND(12953.27 + Intereses_Residual_Mensual!I204, 2), "")</f>
        <v/>
      </c>
      <c r="J204" s="29">
        <f>IF(Intereses_Residual_Mensual!J204&gt;0, ROUND(I204 + Intereses_Residual_Mensual!J204, 2), "")</f>
        <v/>
      </c>
      <c r="K204" s="29">
        <f>IF(Intereses_Residual_Mensual!K204&gt;0, ROUND(J204 + Intereses_Residual_Mensual!K204, 2), "")</f>
        <v/>
      </c>
      <c r="L204" s="29">
        <f>IF(Intereses_Residual_Mensual!L204&gt;0, ROUND(K204 + Intereses_Residual_Mensual!L204, 2), "")</f>
        <v/>
      </c>
      <c r="M204" s="29">
        <f>IF(Intereses_Residual_Mensual!M204&gt;0, ROUND(L204 + Intereses_Residual_Mensual!M204, 2), "")</f>
        <v/>
      </c>
      <c r="N204" s="29">
        <f>IF(Intereses_Residual_Mensual!N204&gt;0, ROUND(M204 + Intereses_Residual_Mensual!N204, 2), "")</f>
        <v/>
      </c>
      <c r="O204" s="29">
        <f>IF(Intereses_Residual_Mensual!O204&gt;0, ROUND(N204 + Intereses_Residual_Mensual!O204, 2), "")</f>
        <v/>
      </c>
      <c r="P204" s="29">
        <f>IF(Intereses_Residual_Mensual!P204&gt;0, ROUND(O204 + Intereses_Residual_Mensual!P204, 2), "")</f>
        <v/>
      </c>
      <c r="Q204" s="29">
        <f>IF(Intereses_Residual_Mensual!Q204&gt;0, ROUND(P204 + Intereses_Residual_Mensual!Q204, 2), "")</f>
        <v/>
      </c>
      <c r="R204" s="29">
        <f>IF(Intereses_Residual_Mensual!R204&gt;0, ROUND(Q204 + Intereses_Residual_Mensual!R204, 2), "")</f>
        <v/>
      </c>
      <c r="S204" s="29">
        <f>IF(Intereses_Residual_Mensual!S204&gt;0, ROUND(R204 + Intereses_Residual_Mensual!S204, 2), "")</f>
        <v/>
      </c>
      <c r="T204" s="29">
        <f>IF(Intereses_Residual_Mensual!T204&gt;0, ROUND(S204 + Intereses_Residual_Mensual!T204, 2), "")</f>
        <v/>
      </c>
      <c r="U204" s="29">
        <f>MAX(I204:T204)</f>
        <v/>
      </c>
    </row>
    <row r="205">
      <c r="A205" s="20" t="inlineStr">
        <is>
          <t>0721-0002</t>
        </is>
      </c>
      <c r="B205" s="21" t="inlineStr">
        <is>
          <t>Ricardo Ortiz Guzman</t>
        </is>
      </c>
      <c r="C205" s="21" t="inlineStr">
        <is>
          <t>CX5</t>
        </is>
      </c>
      <c r="D205" s="20" t="inlineStr">
        <is>
          <t>ACTIVO</t>
        </is>
      </c>
      <c r="E205" s="20" t="inlineStr">
        <is>
          <t>2025-10-31</t>
        </is>
      </c>
      <c r="F205" s="20" t="inlineStr">
        <is>
          <t>2029-10-31</t>
        </is>
      </c>
      <c r="G205" s="22" t="n">
        <v>48</v>
      </c>
      <c r="H205" s="23" t="n">
        <v>52750</v>
      </c>
      <c r="I205" s="23">
        <f>IF(Intereses_Residual_Mensual!I205&gt;0, ROUND(15957.77 + Intereses_Residual_Mensual!I205, 2), "")</f>
        <v/>
      </c>
      <c r="J205" s="23">
        <f>IF(Intereses_Residual_Mensual!J205&gt;0, ROUND(I205 + Intereses_Residual_Mensual!J205, 2), "")</f>
        <v/>
      </c>
      <c r="K205" s="23">
        <f>IF(Intereses_Residual_Mensual!K205&gt;0, ROUND(J205 + Intereses_Residual_Mensual!K205, 2), "")</f>
        <v/>
      </c>
      <c r="L205" s="23">
        <f>IF(Intereses_Residual_Mensual!L205&gt;0, ROUND(K205 + Intereses_Residual_Mensual!L205, 2), "")</f>
        <v/>
      </c>
      <c r="M205" s="23">
        <f>IF(Intereses_Residual_Mensual!M205&gt;0, ROUND(L205 + Intereses_Residual_Mensual!M205, 2), "")</f>
        <v/>
      </c>
      <c r="N205" s="23">
        <f>IF(Intereses_Residual_Mensual!N205&gt;0, ROUND(M205 + Intereses_Residual_Mensual!N205, 2), "")</f>
        <v/>
      </c>
      <c r="O205" s="23">
        <f>IF(Intereses_Residual_Mensual!O205&gt;0, ROUND(N205 + Intereses_Residual_Mensual!O205, 2), "")</f>
        <v/>
      </c>
      <c r="P205" s="23">
        <f>IF(Intereses_Residual_Mensual!P205&gt;0, ROUND(O205 + Intereses_Residual_Mensual!P205, 2), "")</f>
        <v/>
      </c>
      <c r="Q205" s="23">
        <f>IF(Intereses_Residual_Mensual!Q205&gt;0, ROUND(P205 + Intereses_Residual_Mensual!Q205, 2), "")</f>
        <v/>
      </c>
      <c r="R205" s="23">
        <f>IF(Intereses_Residual_Mensual!R205&gt;0, ROUND(Q205 + Intereses_Residual_Mensual!R205, 2), "")</f>
        <v/>
      </c>
      <c r="S205" s="23">
        <f>IF(Intereses_Residual_Mensual!S205&gt;0, ROUND(R205 + Intereses_Residual_Mensual!S205, 2), "")</f>
        <v/>
      </c>
      <c r="T205" s="23">
        <f>IF(Intereses_Residual_Mensual!T205&gt;0, ROUND(S205 + Intereses_Residual_Mensual!T205, 2), "")</f>
        <v/>
      </c>
      <c r="U205" s="23">
        <f>MAX(I205:T205)</f>
        <v/>
      </c>
    </row>
    <row r="206">
      <c r="A206" s="26" t="inlineStr">
        <is>
          <t>0722-0001</t>
        </is>
      </c>
      <c r="B206" s="27" t="inlineStr">
        <is>
          <t>Tortas Ro S. DE R.L. DE C.V.</t>
        </is>
      </c>
      <c r="C206" s="27" t="inlineStr">
        <is>
          <t>Partner</t>
        </is>
      </c>
      <c r="D206" s="26" t="inlineStr">
        <is>
          <t>ACTIVO</t>
        </is>
      </c>
      <c r="E206" s="26" t="inlineStr">
        <is>
          <t>2025-10-13</t>
        </is>
      </c>
      <c r="F206" s="26" t="inlineStr">
        <is>
          <t>2027-10-13</t>
        </is>
      </c>
      <c r="G206" s="28" t="n">
        <v>24</v>
      </c>
      <c r="H206" s="29" t="n">
        <v>51706.9</v>
      </c>
      <c r="I206" s="29">
        <f>IF(Intereses_Residual_Mensual!I206&gt;0, ROUND(30067.26 + Intereses_Residual_Mensual!I206, 2), "")</f>
        <v/>
      </c>
      <c r="J206" s="29">
        <f>IF(Intereses_Residual_Mensual!J206&gt;0, ROUND(I206 + Intereses_Residual_Mensual!J206, 2), "")</f>
        <v/>
      </c>
      <c r="K206" s="29">
        <f>IF(Intereses_Residual_Mensual!K206&gt;0, ROUND(J206 + Intereses_Residual_Mensual!K206, 2), "")</f>
        <v/>
      </c>
      <c r="L206" s="29">
        <f>IF(Intereses_Residual_Mensual!L206&gt;0, ROUND(K206 + Intereses_Residual_Mensual!L206, 2), "")</f>
        <v/>
      </c>
      <c r="M206" s="29">
        <f>IF(Intereses_Residual_Mensual!M206&gt;0, ROUND(L206 + Intereses_Residual_Mensual!M206, 2), "")</f>
        <v/>
      </c>
      <c r="N206" s="29">
        <f>IF(Intereses_Residual_Mensual!N206&gt;0, ROUND(M206 + Intereses_Residual_Mensual!N206, 2), "")</f>
        <v/>
      </c>
      <c r="O206" s="29">
        <f>IF(Intereses_Residual_Mensual!O206&gt;0, ROUND(N206 + Intereses_Residual_Mensual!O206, 2), "")</f>
        <v/>
      </c>
      <c r="P206" s="29">
        <f>IF(Intereses_Residual_Mensual!P206&gt;0, ROUND(O206 + Intereses_Residual_Mensual!P206, 2), "")</f>
        <v/>
      </c>
      <c r="Q206" s="29">
        <f>IF(Intereses_Residual_Mensual!Q206&gt;0, ROUND(P206 + Intereses_Residual_Mensual!Q206, 2), "")</f>
        <v/>
      </c>
      <c r="R206" s="29">
        <f>IF(Intereses_Residual_Mensual!R206&gt;0, ROUND(Q206 + Intereses_Residual_Mensual!R206, 2), "")</f>
        <v/>
      </c>
      <c r="S206" s="29">
        <f>IF(Intereses_Residual_Mensual!S206&gt;0, ROUND(R206 + Intereses_Residual_Mensual!S206, 2), "")</f>
        <v/>
      </c>
      <c r="T206" s="29">
        <f>IF(Intereses_Residual_Mensual!T206&gt;0, ROUND(S206 + Intereses_Residual_Mensual!T206, 2), "")</f>
        <v/>
      </c>
      <c r="U206" s="29">
        <f>MAX(I206:T206)</f>
        <v/>
      </c>
    </row>
    <row r="207">
      <c r="A207" s="20" t="inlineStr">
        <is>
          <t>0723-0001</t>
        </is>
      </c>
      <c r="B207" s="21" t="inlineStr">
        <is>
          <t>Sandra Inez Velazquez Altamirano</t>
        </is>
      </c>
      <c r="C207" s="21" t="inlineStr">
        <is>
          <t>Sierra Denali</t>
        </is>
      </c>
      <c r="D207" s="20" t="inlineStr">
        <is>
          <t>ACTIVO</t>
        </is>
      </c>
      <c r="E207" s="20" t="inlineStr">
        <is>
          <t>2025-10-17</t>
        </is>
      </c>
      <c r="F207" s="20" t="inlineStr">
        <is>
          <t>2028-10-17</t>
        </is>
      </c>
      <c r="G207" s="22" t="n">
        <v>36</v>
      </c>
      <c r="H207" s="23" t="n">
        <v>310241.38</v>
      </c>
      <c r="I207" s="23">
        <f>IF(Intereses_Residual_Mensual!I207&gt;0, ROUND(130125.89 + Intereses_Residual_Mensual!I207, 2), "")</f>
        <v/>
      </c>
      <c r="J207" s="23">
        <f>IF(Intereses_Residual_Mensual!J207&gt;0, ROUND(I207 + Intereses_Residual_Mensual!J207, 2), "")</f>
        <v/>
      </c>
      <c r="K207" s="23">
        <f>IF(Intereses_Residual_Mensual!K207&gt;0, ROUND(J207 + Intereses_Residual_Mensual!K207, 2), "")</f>
        <v/>
      </c>
      <c r="L207" s="23">
        <f>IF(Intereses_Residual_Mensual!L207&gt;0, ROUND(K207 + Intereses_Residual_Mensual!L207, 2), "")</f>
        <v/>
      </c>
      <c r="M207" s="23">
        <f>IF(Intereses_Residual_Mensual!M207&gt;0, ROUND(L207 + Intereses_Residual_Mensual!M207, 2), "")</f>
        <v/>
      </c>
      <c r="N207" s="23">
        <f>IF(Intereses_Residual_Mensual!N207&gt;0, ROUND(M207 + Intereses_Residual_Mensual!N207, 2), "")</f>
        <v/>
      </c>
      <c r="O207" s="23">
        <f>IF(Intereses_Residual_Mensual!O207&gt;0, ROUND(N207 + Intereses_Residual_Mensual!O207, 2), "")</f>
        <v/>
      </c>
      <c r="P207" s="23">
        <f>IF(Intereses_Residual_Mensual!P207&gt;0, ROUND(O207 + Intereses_Residual_Mensual!P207, 2), "")</f>
        <v/>
      </c>
      <c r="Q207" s="23">
        <f>IF(Intereses_Residual_Mensual!Q207&gt;0, ROUND(P207 + Intereses_Residual_Mensual!Q207, 2), "")</f>
        <v/>
      </c>
      <c r="R207" s="23">
        <f>IF(Intereses_Residual_Mensual!R207&gt;0, ROUND(Q207 + Intereses_Residual_Mensual!R207, 2), "")</f>
        <v/>
      </c>
      <c r="S207" s="23">
        <f>IF(Intereses_Residual_Mensual!S207&gt;0, ROUND(R207 + Intereses_Residual_Mensual!S207, 2), "")</f>
        <v/>
      </c>
      <c r="T207" s="23">
        <f>IF(Intereses_Residual_Mensual!T207&gt;0, ROUND(S207 + Intereses_Residual_Mensual!T207, 2), "")</f>
        <v/>
      </c>
      <c r="U207" s="23">
        <f>MAX(I207:T207)</f>
        <v/>
      </c>
    </row>
    <row r="208">
      <c r="A208" s="26" t="inlineStr">
        <is>
          <t>0724-0001</t>
        </is>
      </c>
      <c r="B208" s="27" t="inlineStr">
        <is>
          <t>Victor Merced Brizuela Aguilar</t>
        </is>
      </c>
      <c r="C208" s="27" t="inlineStr">
        <is>
          <t>Tiggo 7 Plus</t>
        </is>
      </c>
      <c r="D208" s="26" t="inlineStr">
        <is>
          <t>ACTIVO</t>
        </is>
      </c>
      <c r="E208" s="26" t="inlineStr">
        <is>
          <t>2025-10-23</t>
        </is>
      </c>
      <c r="F208" s="26" t="inlineStr">
        <is>
          <t>2029-10-23</t>
        </is>
      </c>
      <c r="G208" s="28" t="n">
        <v>48</v>
      </c>
      <c r="H208" s="29" t="n">
        <v>43094.83</v>
      </c>
      <c r="I208" s="29">
        <f>IF(Intereses_Residual_Mensual!I208&gt;0, ROUND(13031.49 + Intereses_Residual_Mensual!I208, 2), "")</f>
        <v/>
      </c>
      <c r="J208" s="29">
        <f>IF(Intereses_Residual_Mensual!J208&gt;0, ROUND(I208 + Intereses_Residual_Mensual!J208, 2), "")</f>
        <v/>
      </c>
      <c r="K208" s="29">
        <f>IF(Intereses_Residual_Mensual!K208&gt;0, ROUND(J208 + Intereses_Residual_Mensual!K208, 2), "")</f>
        <v/>
      </c>
      <c r="L208" s="29">
        <f>IF(Intereses_Residual_Mensual!L208&gt;0, ROUND(K208 + Intereses_Residual_Mensual!L208, 2), "")</f>
        <v/>
      </c>
      <c r="M208" s="29">
        <f>IF(Intereses_Residual_Mensual!M208&gt;0, ROUND(L208 + Intereses_Residual_Mensual!M208, 2), "")</f>
        <v/>
      </c>
      <c r="N208" s="29">
        <f>IF(Intereses_Residual_Mensual!N208&gt;0, ROUND(M208 + Intereses_Residual_Mensual!N208, 2), "")</f>
        <v/>
      </c>
      <c r="O208" s="29">
        <f>IF(Intereses_Residual_Mensual!O208&gt;0, ROUND(N208 + Intereses_Residual_Mensual!O208, 2), "")</f>
        <v/>
      </c>
      <c r="P208" s="29">
        <f>IF(Intereses_Residual_Mensual!P208&gt;0, ROUND(O208 + Intereses_Residual_Mensual!P208, 2), "")</f>
        <v/>
      </c>
      <c r="Q208" s="29">
        <f>IF(Intereses_Residual_Mensual!Q208&gt;0, ROUND(P208 + Intereses_Residual_Mensual!Q208, 2), "")</f>
        <v/>
      </c>
      <c r="R208" s="29">
        <f>IF(Intereses_Residual_Mensual!R208&gt;0, ROUND(Q208 + Intereses_Residual_Mensual!R208, 2), "")</f>
        <v/>
      </c>
      <c r="S208" s="29">
        <f>IF(Intereses_Residual_Mensual!S208&gt;0, ROUND(R208 + Intereses_Residual_Mensual!S208, 2), "")</f>
        <v/>
      </c>
      <c r="T208" s="29">
        <f>IF(Intereses_Residual_Mensual!T208&gt;0, ROUND(S208 + Intereses_Residual_Mensual!T208, 2), "")</f>
        <v/>
      </c>
      <c r="U208" s="29">
        <f>MAX(I208:T208)</f>
        <v/>
      </c>
    </row>
    <row r="209">
      <c r="A209" s="20" t="inlineStr">
        <is>
          <t>0725-0001</t>
        </is>
      </c>
      <c r="B209" s="21" t="inlineStr">
        <is>
          <t>Octavio Cortes Flores</t>
        </is>
      </c>
      <c r="C209" s="21" t="inlineStr">
        <is>
          <t>Rifter Allure</t>
        </is>
      </c>
      <c r="D209" s="20" t="inlineStr">
        <is>
          <t>ACTIVO</t>
        </is>
      </c>
      <c r="E209" s="20" t="inlineStr">
        <is>
          <t>2025-10-29</t>
        </is>
      </c>
      <c r="F209" s="20" t="inlineStr">
        <is>
          <t>2028-10-29</t>
        </is>
      </c>
      <c r="G209" s="22" t="n">
        <v>36</v>
      </c>
      <c r="H209" s="23" t="n">
        <v>40508.62</v>
      </c>
      <c r="I209" s="23">
        <f>IF(Intereses_Residual_Mensual!I209&gt;0, ROUND(17059.1 + Intereses_Residual_Mensual!I209, 2), "")</f>
        <v/>
      </c>
      <c r="J209" s="23">
        <f>IF(Intereses_Residual_Mensual!J209&gt;0, ROUND(I209 + Intereses_Residual_Mensual!J209, 2), "")</f>
        <v/>
      </c>
      <c r="K209" s="23">
        <f>IF(Intereses_Residual_Mensual!K209&gt;0, ROUND(J209 + Intereses_Residual_Mensual!K209, 2), "")</f>
        <v/>
      </c>
      <c r="L209" s="23">
        <f>IF(Intereses_Residual_Mensual!L209&gt;0, ROUND(K209 + Intereses_Residual_Mensual!L209, 2), "")</f>
        <v/>
      </c>
      <c r="M209" s="23">
        <f>IF(Intereses_Residual_Mensual!M209&gt;0, ROUND(L209 + Intereses_Residual_Mensual!M209, 2), "")</f>
        <v/>
      </c>
      <c r="N209" s="23">
        <f>IF(Intereses_Residual_Mensual!N209&gt;0, ROUND(M209 + Intereses_Residual_Mensual!N209, 2), "")</f>
        <v/>
      </c>
      <c r="O209" s="23">
        <f>IF(Intereses_Residual_Mensual!O209&gt;0, ROUND(N209 + Intereses_Residual_Mensual!O209, 2), "")</f>
        <v/>
      </c>
      <c r="P209" s="23">
        <f>IF(Intereses_Residual_Mensual!P209&gt;0, ROUND(O209 + Intereses_Residual_Mensual!P209, 2), "")</f>
        <v/>
      </c>
      <c r="Q209" s="23">
        <f>IF(Intereses_Residual_Mensual!Q209&gt;0, ROUND(P209 + Intereses_Residual_Mensual!Q209, 2), "")</f>
        <v/>
      </c>
      <c r="R209" s="23">
        <f>IF(Intereses_Residual_Mensual!R209&gt;0, ROUND(Q209 + Intereses_Residual_Mensual!R209, 2), "")</f>
        <v/>
      </c>
      <c r="S209" s="23">
        <f>IF(Intereses_Residual_Mensual!S209&gt;0, ROUND(R209 + Intereses_Residual_Mensual!S209, 2), "")</f>
        <v/>
      </c>
      <c r="T209" s="23">
        <f>IF(Intereses_Residual_Mensual!T209&gt;0, ROUND(S209 + Intereses_Residual_Mensual!T209, 2), "")</f>
        <v/>
      </c>
      <c r="U209" s="23">
        <f>MAX(I209:T209)</f>
        <v/>
      </c>
    </row>
    <row r="210">
      <c r="A210" s="26" t="inlineStr">
        <is>
          <t>0726-0001</t>
        </is>
      </c>
      <c r="B210" s="27" t="inlineStr">
        <is>
          <t>Martha Viviana Anguiano Gonzalez</t>
        </is>
      </c>
      <c r="C210" s="27" t="inlineStr">
        <is>
          <t>JT Mojave</t>
        </is>
      </c>
      <c r="D210" s="26" t="inlineStr">
        <is>
          <t>ACTIVO</t>
        </is>
      </c>
      <c r="E210" s="26" t="inlineStr">
        <is>
          <t>2025-10-29</t>
        </is>
      </c>
      <c r="F210" s="26" t="inlineStr">
        <is>
          <t>2029-10-29</t>
        </is>
      </c>
      <c r="G210" s="28" t="n">
        <v>48</v>
      </c>
      <c r="H210" s="29" t="n">
        <v>130594.83</v>
      </c>
      <c r="I210" s="29">
        <f>IF(Intereses_Residual_Mensual!I210&gt;0, ROUND(39490.67 + Intereses_Residual_Mensual!I210, 2), "")</f>
        <v/>
      </c>
      <c r="J210" s="29">
        <f>IF(Intereses_Residual_Mensual!J210&gt;0, ROUND(I210 + Intereses_Residual_Mensual!J210, 2), "")</f>
        <v/>
      </c>
      <c r="K210" s="29">
        <f>IF(Intereses_Residual_Mensual!K210&gt;0, ROUND(J210 + Intereses_Residual_Mensual!K210, 2), "")</f>
        <v/>
      </c>
      <c r="L210" s="29">
        <f>IF(Intereses_Residual_Mensual!L210&gt;0, ROUND(K210 + Intereses_Residual_Mensual!L210, 2), "")</f>
        <v/>
      </c>
      <c r="M210" s="29">
        <f>IF(Intereses_Residual_Mensual!M210&gt;0, ROUND(L210 + Intereses_Residual_Mensual!M210, 2), "")</f>
        <v/>
      </c>
      <c r="N210" s="29">
        <f>IF(Intereses_Residual_Mensual!N210&gt;0, ROUND(M210 + Intereses_Residual_Mensual!N210, 2), "")</f>
        <v/>
      </c>
      <c r="O210" s="29">
        <f>IF(Intereses_Residual_Mensual!O210&gt;0, ROUND(N210 + Intereses_Residual_Mensual!O210, 2), "")</f>
        <v/>
      </c>
      <c r="P210" s="29">
        <f>IF(Intereses_Residual_Mensual!P210&gt;0, ROUND(O210 + Intereses_Residual_Mensual!P210, 2), "")</f>
        <v/>
      </c>
      <c r="Q210" s="29">
        <f>IF(Intereses_Residual_Mensual!Q210&gt;0, ROUND(P210 + Intereses_Residual_Mensual!Q210, 2), "")</f>
        <v/>
      </c>
      <c r="R210" s="29">
        <f>IF(Intereses_Residual_Mensual!R210&gt;0, ROUND(Q210 + Intereses_Residual_Mensual!R210, 2), "")</f>
        <v/>
      </c>
      <c r="S210" s="29">
        <f>IF(Intereses_Residual_Mensual!S210&gt;0, ROUND(R210 + Intereses_Residual_Mensual!S210, 2), "")</f>
        <v/>
      </c>
      <c r="T210" s="29">
        <f>IF(Intereses_Residual_Mensual!T210&gt;0, ROUND(S210 + Intereses_Residual_Mensual!T210, 2), "")</f>
        <v/>
      </c>
      <c r="U210" s="29">
        <f>MAX(I210:T210)</f>
        <v/>
      </c>
    </row>
    <row r="211">
      <c r="A211" s="20" t="inlineStr">
        <is>
          <t>0727-0001</t>
        </is>
      </c>
      <c r="B211" s="21" t="inlineStr">
        <is>
          <t>Edgar Adrian Sainz Vazquez</t>
        </is>
      </c>
      <c r="C211" s="21" t="inlineStr">
        <is>
          <t>1200 Laramie</t>
        </is>
      </c>
      <c r="D211" s="20" t="inlineStr">
        <is>
          <t>ACTIVO</t>
        </is>
      </c>
      <c r="E211" s="20" t="inlineStr">
        <is>
          <t>2025-10-31</t>
        </is>
      </c>
      <c r="F211" s="20" t="inlineStr">
        <is>
          <t>2029-10-31</t>
        </is>
      </c>
      <c r="G211" s="22" t="n">
        <v>48</v>
      </c>
      <c r="H211" s="23" t="n">
        <v>56456.9</v>
      </c>
      <c r="I211" s="23">
        <f>IF(Intereses_Residual_Mensual!I211&gt;0, ROUND(17117.34 + Intereses_Residual_Mensual!I211, 2), "")</f>
        <v/>
      </c>
      <c r="J211" s="23">
        <f>IF(Intereses_Residual_Mensual!J211&gt;0, ROUND(I211 + Intereses_Residual_Mensual!J211, 2), "")</f>
        <v/>
      </c>
      <c r="K211" s="23">
        <f>IF(Intereses_Residual_Mensual!K211&gt;0, ROUND(J211 + Intereses_Residual_Mensual!K211, 2), "")</f>
        <v/>
      </c>
      <c r="L211" s="23">
        <f>IF(Intereses_Residual_Mensual!L211&gt;0, ROUND(K211 + Intereses_Residual_Mensual!L211, 2), "")</f>
        <v/>
      </c>
      <c r="M211" s="23">
        <f>IF(Intereses_Residual_Mensual!M211&gt;0, ROUND(L211 + Intereses_Residual_Mensual!M211, 2), "")</f>
        <v/>
      </c>
      <c r="N211" s="23">
        <f>IF(Intereses_Residual_Mensual!N211&gt;0, ROUND(M211 + Intereses_Residual_Mensual!N211, 2), "")</f>
        <v/>
      </c>
      <c r="O211" s="23">
        <f>IF(Intereses_Residual_Mensual!O211&gt;0, ROUND(N211 + Intereses_Residual_Mensual!O211, 2), "")</f>
        <v/>
      </c>
      <c r="P211" s="23">
        <f>IF(Intereses_Residual_Mensual!P211&gt;0, ROUND(O211 + Intereses_Residual_Mensual!P211, 2), "")</f>
        <v/>
      </c>
      <c r="Q211" s="23">
        <f>IF(Intereses_Residual_Mensual!Q211&gt;0, ROUND(P211 + Intereses_Residual_Mensual!Q211, 2), "")</f>
        <v/>
      </c>
      <c r="R211" s="23">
        <f>IF(Intereses_Residual_Mensual!R211&gt;0, ROUND(Q211 + Intereses_Residual_Mensual!R211, 2), "")</f>
        <v/>
      </c>
      <c r="S211" s="23">
        <f>IF(Intereses_Residual_Mensual!S211&gt;0, ROUND(R211 + Intereses_Residual_Mensual!S211, 2), "")</f>
        <v/>
      </c>
      <c r="T211" s="23">
        <f>IF(Intereses_Residual_Mensual!T211&gt;0, ROUND(S211 + Intereses_Residual_Mensual!T211, 2), "")</f>
        <v/>
      </c>
      <c r="U211" s="23">
        <f>MAX(I211:T211)</f>
        <v/>
      </c>
    </row>
    <row r="212">
      <c r="A212" s="26" t="inlineStr">
        <is>
          <t>0728-0001</t>
        </is>
      </c>
      <c r="B212" s="27" t="inlineStr">
        <is>
          <t>Arrendadora Tequila, S.A. de C.V.</t>
        </is>
      </c>
      <c r="C212" s="27" t="inlineStr">
        <is>
          <t>JEEP 392</t>
        </is>
      </c>
      <c r="D212" s="26" t="inlineStr">
        <is>
          <t>ACTIVO</t>
        </is>
      </c>
      <c r="E212" s="26" t="inlineStr">
        <is>
          <t>2025-11-03</t>
        </is>
      </c>
      <c r="F212" s="26" t="inlineStr">
        <is>
          <t>2028-11-03</t>
        </is>
      </c>
      <c r="G212" s="28" t="n">
        <v>36</v>
      </c>
      <c r="H212" s="29" t="n">
        <v>186801.72</v>
      </c>
      <c r="I212" s="29">
        <f>IF(Intereses_Residual_Mensual!I212&gt;0, ROUND(76593.97 + Intereses_Residual_Mensual!I212, 2), "")</f>
        <v/>
      </c>
      <c r="J212" s="29">
        <f>IF(Intereses_Residual_Mensual!J212&gt;0, ROUND(I212 + Intereses_Residual_Mensual!J212, 2), "")</f>
        <v/>
      </c>
      <c r="K212" s="29">
        <f>IF(Intereses_Residual_Mensual!K212&gt;0, ROUND(J212 + Intereses_Residual_Mensual!K212, 2), "")</f>
        <v/>
      </c>
      <c r="L212" s="29">
        <f>IF(Intereses_Residual_Mensual!L212&gt;0, ROUND(K212 + Intereses_Residual_Mensual!L212, 2), "")</f>
        <v/>
      </c>
      <c r="M212" s="29">
        <f>IF(Intereses_Residual_Mensual!M212&gt;0, ROUND(L212 + Intereses_Residual_Mensual!M212, 2), "")</f>
        <v/>
      </c>
      <c r="N212" s="29">
        <f>IF(Intereses_Residual_Mensual!N212&gt;0, ROUND(M212 + Intereses_Residual_Mensual!N212, 2), "")</f>
        <v/>
      </c>
      <c r="O212" s="29">
        <f>IF(Intereses_Residual_Mensual!O212&gt;0, ROUND(N212 + Intereses_Residual_Mensual!O212, 2), "")</f>
        <v/>
      </c>
      <c r="P212" s="29">
        <f>IF(Intereses_Residual_Mensual!P212&gt;0, ROUND(O212 + Intereses_Residual_Mensual!P212, 2), "")</f>
        <v/>
      </c>
      <c r="Q212" s="29">
        <f>IF(Intereses_Residual_Mensual!Q212&gt;0, ROUND(P212 + Intereses_Residual_Mensual!Q212, 2), "")</f>
        <v/>
      </c>
      <c r="R212" s="29">
        <f>IF(Intereses_Residual_Mensual!R212&gt;0, ROUND(Q212 + Intereses_Residual_Mensual!R212, 2), "")</f>
        <v/>
      </c>
      <c r="S212" s="29">
        <f>IF(Intereses_Residual_Mensual!S212&gt;0, ROUND(R212 + Intereses_Residual_Mensual!S212, 2), "")</f>
        <v/>
      </c>
      <c r="T212" s="29">
        <f>IF(Intereses_Residual_Mensual!T212&gt;0, ROUND(S212 + Intereses_Residual_Mensual!T212, 2), "")</f>
        <v/>
      </c>
      <c r="U212" s="29">
        <f>MAX(I212:T212)</f>
        <v/>
      </c>
    </row>
    <row r="213">
      <c r="A213" s="20" t="inlineStr">
        <is>
          <t>0729-0001</t>
        </is>
      </c>
      <c r="B213" s="21" t="inlineStr">
        <is>
          <t>Rubén Bravo Hernández</t>
        </is>
      </c>
      <c r="C213" s="21" t="inlineStr">
        <is>
          <t>Mamut T32 DC</t>
        </is>
      </c>
      <c r="D213" s="20" t="inlineStr">
        <is>
          <t>ACTIVO</t>
        </is>
      </c>
      <c r="E213" s="20" t="inlineStr">
        <is>
          <t>2025-11-11</t>
        </is>
      </c>
      <c r="F213" s="20" t="inlineStr">
        <is>
          <t>2028-11-11</t>
        </is>
      </c>
      <c r="G213" s="22" t="n">
        <v>36</v>
      </c>
      <c r="H213" s="23" t="n">
        <v>67217.24000000001</v>
      </c>
      <c r="I213" s="23">
        <f>IF(Intereses_Residual_Mensual!I213&gt;0, ROUND(27442.26 + Intereses_Residual_Mensual!I213, 2), "")</f>
        <v/>
      </c>
      <c r="J213" s="23">
        <f>IF(Intereses_Residual_Mensual!J213&gt;0, ROUND(I213 + Intereses_Residual_Mensual!J213, 2), "")</f>
        <v/>
      </c>
      <c r="K213" s="23">
        <f>IF(Intereses_Residual_Mensual!K213&gt;0, ROUND(J213 + Intereses_Residual_Mensual!K213, 2), "")</f>
        <v/>
      </c>
      <c r="L213" s="23">
        <f>IF(Intereses_Residual_Mensual!L213&gt;0, ROUND(K213 + Intereses_Residual_Mensual!L213, 2), "")</f>
        <v/>
      </c>
      <c r="M213" s="23">
        <f>IF(Intereses_Residual_Mensual!M213&gt;0, ROUND(L213 + Intereses_Residual_Mensual!M213, 2), "")</f>
        <v/>
      </c>
      <c r="N213" s="23">
        <f>IF(Intereses_Residual_Mensual!N213&gt;0, ROUND(M213 + Intereses_Residual_Mensual!N213, 2), "")</f>
        <v/>
      </c>
      <c r="O213" s="23">
        <f>IF(Intereses_Residual_Mensual!O213&gt;0, ROUND(N213 + Intereses_Residual_Mensual!O213, 2), "")</f>
        <v/>
      </c>
      <c r="P213" s="23">
        <f>IF(Intereses_Residual_Mensual!P213&gt;0, ROUND(O213 + Intereses_Residual_Mensual!P213, 2), "")</f>
        <v/>
      </c>
      <c r="Q213" s="23">
        <f>IF(Intereses_Residual_Mensual!Q213&gt;0, ROUND(P213 + Intereses_Residual_Mensual!Q213, 2), "")</f>
        <v/>
      </c>
      <c r="R213" s="23">
        <f>IF(Intereses_Residual_Mensual!R213&gt;0, ROUND(Q213 + Intereses_Residual_Mensual!R213, 2), "")</f>
        <v/>
      </c>
      <c r="S213" s="23">
        <f>IF(Intereses_Residual_Mensual!S213&gt;0, ROUND(R213 + Intereses_Residual_Mensual!S213, 2), "")</f>
        <v/>
      </c>
      <c r="T213" s="23">
        <f>IF(Intereses_Residual_Mensual!T213&gt;0, ROUND(S213 + Intereses_Residual_Mensual!T213, 2), "")</f>
        <v/>
      </c>
      <c r="U213" s="23">
        <f>MAX(I213:T213)</f>
        <v/>
      </c>
    </row>
    <row r="214">
      <c r="A214" s="26" t="inlineStr">
        <is>
          <t>0730-0001</t>
        </is>
      </c>
      <c r="B214" s="27" t="inlineStr">
        <is>
          <t>Karen Manrique Amaya</t>
        </is>
      </c>
      <c r="C214" s="27" t="inlineStr">
        <is>
          <t>Wrangler</t>
        </is>
      </c>
      <c r="D214" s="26" t="inlineStr">
        <is>
          <t>ACTIVO</t>
        </is>
      </c>
      <c r="E214" s="26" t="inlineStr">
        <is>
          <t>2025-11-24</t>
        </is>
      </c>
      <c r="F214" s="26" t="inlineStr">
        <is>
          <t>2028-11-24</t>
        </is>
      </c>
      <c r="G214" s="28" t="n">
        <v>36</v>
      </c>
      <c r="H214" s="29" t="n">
        <v>221017.24</v>
      </c>
      <c r="I214" s="29">
        <f>IF(Intereses_Residual_Mensual!I214&gt;0, ROUND(82511.22 + Intereses_Residual_Mensual!I214, 2), "")</f>
        <v/>
      </c>
      <c r="J214" s="29">
        <f>IF(Intereses_Residual_Mensual!J214&gt;0, ROUND(I214 + Intereses_Residual_Mensual!J214, 2), "")</f>
        <v/>
      </c>
      <c r="K214" s="29">
        <f>IF(Intereses_Residual_Mensual!K214&gt;0, ROUND(J214 + Intereses_Residual_Mensual!K214, 2), "")</f>
        <v/>
      </c>
      <c r="L214" s="29">
        <f>IF(Intereses_Residual_Mensual!L214&gt;0, ROUND(K214 + Intereses_Residual_Mensual!L214, 2), "")</f>
        <v/>
      </c>
      <c r="M214" s="29">
        <f>IF(Intereses_Residual_Mensual!M214&gt;0, ROUND(L214 + Intereses_Residual_Mensual!M214, 2), "")</f>
        <v/>
      </c>
      <c r="N214" s="29">
        <f>IF(Intereses_Residual_Mensual!N214&gt;0, ROUND(M214 + Intereses_Residual_Mensual!N214, 2), "")</f>
        <v/>
      </c>
      <c r="O214" s="29">
        <f>IF(Intereses_Residual_Mensual!O214&gt;0, ROUND(N214 + Intereses_Residual_Mensual!O214, 2), "")</f>
        <v/>
      </c>
      <c r="P214" s="29">
        <f>IF(Intereses_Residual_Mensual!P214&gt;0, ROUND(O214 + Intereses_Residual_Mensual!P214, 2), "")</f>
        <v/>
      </c>
      <c r="Q214" s="29">
        <f>IF(Intereses_Residual_Mensual!Q214&gt;0, ROUND(P214 + Intereses_Residual_Mensual!Q214, 2), "")</f>
        <v/>
      </c>
      <c r="R214" s="29">
        <f>IF(Intereses_Residual_Mensual!R214&gt;0, ROUND(Q214 + Intereses_Residual_Mensual!R214, 2), "")</f>
        <v/>
      </c>
      <c r="S214" s="29">
        <f>IF(Intereses_Residual_Mensual!S214&gt;0, ROUND(R214 + Intereses_Residual_Mensual!S214, 2), "")</f>
        <v/>
      </c>
      <c r="T214" s="29">
        <f>IF(Intereses_Residual_Mensual!T214&gt;0, ROUND(S214 + Intereses_Residual_Mensual!T214, 2), "")</f>
        <v/>
      </c>
      <c r="U214" s="29">
        <f>MAX(I214:T214)</f>
        <v/>
      </c>
    </row>
    <row r="215">
      <c r="A215" s="20" t="inlineStr">
        <is>
          <t>0731-0001</t>
        </is>
      </c>
      <c r="B215" s="21" t="inlineStr">
        <is>
          <t>Tesselar Soluciones, S.A. de C.V.</t>
        </is>
      </c>
      <c r="C215" s="21" t="inlineStr">
        <is>
          <t>Song Plus</t>
        </is>
      </c>
      <c r="D215" s="20" t="inlineStr">
        <is>
          <t>ACTIVO</t>
        </is>
      </c>
      <c r="E215" s="20" t="inlineStr">
        <is>
          <t>2025-11-20</t>
        </is>
      </c>
      <c r="F215" s="20" t="inlineStr">
        <is>
          <t>2028-11-20</t>
        </is>
      </c>
      <c r="G215" s="22" t="n">
        <v>36</v>
      </c>
      <c r="H215" s="23" t="n">
        <v>256794.83</v>
      </c>
      <c r="I215" s="23">
        <f>IF(Intereses_Residual_Mensual!I215&gt;0, ROUND(118460.46 + Intereses_Residual_Mensual!I215, 2), "")</f>
        <v/>
      </c>
      <c r="J215" s="23">
        <f>IF(Intereses_Residual_Mensual!J215&gt;0, ROUND(I215 + Intereses_Residual_Mensual!J215, 2), "")</f>
        <v/>
      </c>
      <c r="K215" s="23">
        <f>IF(Intereses_Residual_Mensual!K215&gt;0, ROUND(J215 + Intereses_Residual_Mensual!K215, 2), "")</f>
        <v/>
      </c>
      <c r="L215" s="23">
        <f>IF(Intereses_Residual_Mensual!L215&gt;0, ROUND(K215 + Intereses_Residual_Mensual!L215, 2), "")</f>
        <v/>
      </c>
      <c r="M215" s="23">
        <f>IF(Intereses_Residual_Mensual!M215&gt;0, ROUND(L215 + Intereses_Residual_Mensual!M215, 2), "")</f>
        <v/>
      </c>
      <c r="N215" s="23">
        <f>IF(Intereses_Residual_Mensual!N215&gt;0, ROUND(M215 + Intereses_Residual_Mensual!N215, 2), "")</f>
        <v/>
      </c>
      <c r="O215" s="23">
        <f>IF(Intereses_Residual_Mensual!O215&gt;0, ROUND(N215 + Intereses_Residual_Mensual!O215, 2), "")</f>
        <v/>
      </c>
      <c r="P215" s="23">
        <f>IF(Intereses_Residual_Mensual!P215&gt;0, ROUND(O215 + Intereses_Residual_Mensual!P215, 2), "")</f>
        <v/>
      </c>
      <c r="Q215" s="23">
        <f>IF(Intereses_Residual_Mensual!Q215&gt;0, ROUND(P215 + Intereses_Residual_Mensual!Q215, 2), "")</f>
        <v/>
      </c>
      <c r="R215" s="23">
        <f>IF(Intereses_Residual_Mensual!R215&gt;0, ROUND(Q215 + Intereses_Residual_Mensual!R215, 2), "")</f>
        <v/>
      </c>
      <c r="S215" s="23">
        <f>IF(Intereses_Residual_Mensual!S215&gt;0, ROUND(R215 + Intereses_Residual_Mensual!S215, 2), "")</f>
        <v/>
      </c>
      <c r="T215" s="23">
        <f>IF(Intereses_Residual_Mensual!T215&gt;0, ROUND(S215 + Intereses_Residual_Mensual!T215, 2), "")</f>
        <v/>
      </c>
      <c r="U215" s="23">
        <f>MAX(I215:T215)</f>
        <v/>
      </c>
    </row>
    <row r="216">
      <c r="A216" s="26" t="inlineStr">
        <is>
          <t>0731-0002</t>
        </is>
      </c>
      <c r="B216" s="27" t="inlineStr">
        <is>
          <t>Tesselar Soluciones, S.A. de C.V.</t>
        </is>
      </c>
      <c r="C216" s="27" t="inlineStr">
        <is>
          <t>Arona Style</t>
        </is>
      </c>
      <c r="D216" s="26" t="inlineStr">
        <is>
          <t>ACTIVO</t>
        </is>
      </c>
      <c r="E216" s="26" t="inlineStr">
        <is>
          <t>2025-12-26</t>
        </is>
      </c>
      <c r="F216" s="26" t="inlineStr">
        <is>
          <t>2029-12-26</t>
        </is>
      </c>
      <c r="G216" s="28" t="n">
        <v>48</v>
      </c>
      <c r="H216" s="29" t="n">
        <v>119992.24</v>
      </c>
      <c r="I216" s="29">
        <f>IF(Intereses_Residual_Mensual!I216&gt;0, ROUND(40810.26 + Intereses_Residual_Mensual!I216, 2), "")</f>
        <v/>
      </c>
      <c r="J216" s="29">
        <f>IF(Intereses_Residual_Mensual!J216&gt;0, ROUND(I216 + Intereses_Residual_Mensual!J216, 2), "")</f>
        <v/>
      </c>
      <c r="K216" s="29">
        <f>IF(Intereses_Residual_Mensual!K216&gt;0, ROUND(J216 + Intereses_Residual_Mensual!K216, 2), "")</f>
        <v/>
      </c>
      <c r="L216" s="29">
        <f>IF(Intereses_Residual_Mensual!L216&gt;0, ROUND(K216 + Intereses_Residual_Mensual!L216, 2), "")</f>
        <v/>
      </c>
      <c r="M216" s="29">
        <f>IF(Intereses_Residual_Mensual!M216&gt;0, ROUND(L216 + Intereses_Residual_Mensual!M216, 2), "")</f>
        <v/>
      </c>
      <c r="N216" s="29">
        <f>IF(Intereses_Residual_Mensual!N216&gt;0, ROUND(M216 + Intereses_Residual_Mensual!N216, 2), "")</f>
        <v/>
      </c>
      <c r="O216" s="29">
        <f>IF(Intereses_Residual_Mensual!O216&gt;0, ROUND(N216 + Intereses_Residual_Mensual!O216, 2), "")</f>
        <v/>
      </c>
      <c r="P216" s="29">
        <f>IF(Intereses_Residual_Mensual!P216&gt;0, ROUND(O216 + Intereses_Residual_Mensual!P216, 2), "")</f>
        <v/>
      </c>
      <c r="Q216" s="29">
        <f>IF(Intereses_Residual_Mensual!Q216&gt;0, ROUND(P216 + Intereses_Residual_Mensual!Q216, 2), "")</f>
        <v/>
      </c>
      <c r="R216" s="29">
        <f>IF(Intereses_Residual_Mensual!R216&gt;0, ROUND(Q216 + Intereses_Residual_Mensual!R216, 2), "")</f>
        <v/>
      </c>
      <c r="S216" s="29">
        <f>IF(Intereses_Residual_Mensual!S216&gt;0, ROUND(R216 + Intereses_Residual_Mensual!S216, 2), "")</f>
        <v/>
      </c>
      <c r="T216" s="29">
        <f>IF(Intereses_Residual_Mensual!T216&gt;0, ROUND(S216 + Intereses_Residual_Mensual!T216, 2), "")</f>
        <v/>
      </c>
      <c r="U216" s="29">
        <f>MAX(I216:T216)</f>
        <v/>
      </c>
    </row>
    <row r="217">
      <c r="A217" s="20" t="inlineStr">
        <is>
          <t>0732-0001</t>
        </is>
      </c>
      <c r="B217" s="21" t="inlineStr">
        <is>
          <t>Koonol Food Traders, S.A. de C.V.</t>
        </is>
      </c>
      <c r="C217" s="21" t="inlineStr">
        <is>
          <t>K4 Turbo</t>
        </is>
      </c>
      <c r="D217" s="20" t="inlineStr">
        <is>
          <t>ACTIVO</t>
        </is>
      </c>
      <c r="E217" s="20" t="inlineStr">
        <is>
          <t>2025-11-26</t>
        </is>
      </c>
      <c r="F217" s="20" t="inlineStr">
        <is>
          <t>2028-11-26</t>
        </is>
      </c>
      <c r="G217" s="22" t="n">
        <v>36</v>
      </c>
      <c r="H217" s="23" t="n">
        <v>174064.66</v>
      </c>
      <c r="I217" s="23">
        <f>IF(Intereses_Residual_Mensual!I217&gt;0, ROUND(70633.33 + Intereses_Residual_Mensual!I217, 2), "")</f>
        <v/>
      </c>
      <c r="J217" s="23">
        <f>IF(Intereses_Residual_Mensual!J217&gt;0, ROUND(I217 + Intereses_Residual_Mensual!J217, 2), "")</f>
        <v/>
      </c>
      <c r="K217" s="23">
        <f>IF(Intereses_Residual_Mensual!K217&gt;0, ROUND(J217 + Intereses_Residual_Mensual!K217, 2), "")</f>
        <v/>
      </c>
      <c r="L217" s="23">
        <f>IF(Intereses_Residual_Mensual!L217&gt;0, ROUND(K217 + Intereses_Residual_Mensual!L217, 2), "")</f>
        <v/>
      </c>
      <c r="M217" s="23">
        <f>IF(Intereses_Residual_Mensual!M217&gt;0, ROUND(L217 + Intereses_Residual_Mensual!M217, 2), "")</f>
        <v/>
      </c>
      <c r="N217" s="23">
        <f>IF(Intereses_Residual_Mensual!N217&gt;0, ROUND(M217 + Intereses_Residual_Mensual!N217, 2), "")</f>
        <v/>
      </c>
      <c r="O217" s="23">
        <f>IF(Intereses_Residual_Mensual!O217&gt;0, ROUND(N217 + Intereses_Residual_Mensual!O217, 2), "")</f>
        <v/>
      </c>
      <c r="P217" s="23">
        <f>IF(Intereses_Residual_Mensual!P217&gt;0, ROUND(O217 + Intereses_Residual_Mensual!P217, 2), "")</f>
        <v/>
      </c>
      <c r="Q217" s="23">
        <f>IF(Intereses_Residual_Mensual!Q217&gt;0, ROUND(P217 + Intereses_Residual_Mensual!Q217, 2), "")</f>
        <v/>
      </c>
      <c r="R217" s="23">
        <f>IF(Intereses_Residual_Mensual!R217&gt;0, ROUND(Q217 + Intereses_Residual_Mensual!R217, 2), "")</f>
        <v/>
      </c>
      <c r="S217" s="23">
        <f>IF(Intereses_Residual_Mensual!S217&gt;0, ROUND(R217 + Intereses_Residual_Mensual!S217, 2), "")</f>
        <v/>
      </c>
      <c r="T217" s="23">
        <f>IF(Intereses_Residual_Mensual!T217&gt;0, ROUND(S217 + Intereses_Residual_Mensual!T217, 2), "")</f>
        <v/>
      </c>
      <c r="U217" s="23">
        <f>MAX(I217:T217)</f>
        <v/>
      </c>
    </row>
    <row r="218">
      <c r="A218" s="26" t="inlineStr">
        <is>
          <t>0733-0001</t>
        </is>
      </c>
      <c r="B218" s="27" t="inlineStr">
        <is>
          <t>Alejandro Arias Maldonado</t>
        </is>
      </c>
      <c r="C218" s="27" t="inlineStr">
        <is>
          <t>Wrangler</t>
        </is>
      </c>
      <c r="D218" s="26" t="inlineStr">
        <is>
          <t>ACTIVO</t>
        </is>
      </c>
      <c r="E218" s="26" t="inlineStr">
        <is>
          <t>2025-11-28</t>
        </is>
      </c>
      <c r="F218" s="26" t="inlineStr">
        <is>
          <t>2029-11-28</t>
        </is>
      </c>
      <c r="G218" s="28" t="n">
        <v>48</v>
      </c>
      <c r="H218" s="29" t="n">
        <v>105250</v>
      </c>
      <c r="I218" s="29">
        <f>IF(Intereses_Residual_Mensual!I218&gt;0, ROUND(30991.87 + Intereses_Residual_Mensual!I218, 2), "")</f>
        <v/>
      </c>
      <c r="J218" s="29">
        <f>IF(Intereses_Residual_Mensual!J218&gt;0, ROUND(I218 + Intereses_Residual_Mensual!J218, 2), "")</f>
        <v/>
      </c>
      <c r="K218" s="29">
        <f>IF(Intereses_Residual_Mensual!K218&gt;0, ROUND(J218 + Intereses_Residual_Mensual!K218, 2), "")</f>
        <v/>
      </c>
      <c r="L218" s="29">
        <f>IF(Intereses_Residual_Mensual!L218&gt;0, ROUND(K218 + Intereses_Residual_Mensual!L218, 2), "")</f>
        <v/>
      </c>
      <c r="M218" s="29">
        <f>IF(Intereses_Residual_Mensual!M218&gt;0, ROUND(L218 + Intereses_Residual_Mensual!M218, 2), "")</f>
        <v/>
      </c>
      <c r="N218" s="29">
        <f>IF(Intereses_Residual_Mensual!N218&gt;0, ROUND(M218 + Intereses_Residual_Mensual!N218, 2), "")</f>
        <v/>
      </c>
      <c r="O218" s="29">
        <f>IF(Intereses_Residual_Mensual!O218&gt;0, ROUND(N218 + Intereses_Residual_Mensual!O218, 2), "")</f>
        <v/>
      </c>
      <c r="P218" s="29">
        <f>IF(Intereses_Residual_Mensual!P218&gt;0, ROUND(O218 + Intereses_Residual_Mensual!P218, 2), "")</f>
        <v/>
      </c>
      <c r="Q218" s="29">
        <f>IF(Intereses_Residual_Mensual!Q218&gt;0, ROUND(P218 + Intereses_Residual_Mensual!Q218, 2), "")</f>
        <v/>
      </c>
      <c r="R218" s="29">
        <f>IF(Intereses_Residual_Mensual!R218&gt;0, ROUND(Q218 + Intereses_Residual_Mensual!R218, 2), "")</f>
        <v/>
      </c>
      <c r="S218" s="29">
        <f>IF(Intereses_Residual_Mensual!S218&gt;0, ROUND(R218 + Intereses_Residual_Mensual!S218, 2), "")</f>
        <v/>
      </c>
      <c r="T218" s="29">
        <f>IF(Intereses_Residual_Mensual!T218&gt;0, ROUND(S218 + Intereses_Residual_Mensual!T218, 2), "")</f>
        <v/>
      </c>
      <c r="U218" s="29">
        <f>MAX(I218:T218)</f>
        <v/>
      </c>
    </row>
    <row r="219">
      <c r="A219" s="20" t="inlineStr">
        <is>
          <t>0734-0001</t>
        </is>
      </c>
      <c r="B219" s="21" t="inlineStr">
        <is>
          <t>Nutrientes Agricolas de Colima, S. de R.L. de C.V.</t>
        </is>
      </c>
      <c r="C219" s="21" t="inlineStr">
        <is>
          <t>1200 TRADESMAN RC</t>
        </is>
      </c>
      <c r="D219" s="20" t="inlineStr">
        <is>
          <t>ACTIVO</t>
        </is>
      </c>
      <c r="E219" s="20" t="inlineStr">
        <is>
          <t>2026-01-06</t>
        </is>
      </c>
      <c r="F219" s="20" t="inlineStr">
        <is>
          <t>2029-01-06</t>
        </is>
      </c>
      <c r="G219" s="22" t="n">
        <v>36</v>
      </c>
      <c r="H219" s="23" t="n">
        <v>39215.52</v>
      </c>
      <c r="I219" s="23">
        <f>ROUND('Resumen_Cartera'!$U219 + Intereses_Residual_Mensual!I219, 2)</f>
        <v/>
      </c>
      <c r="J219" s="23">
        <f>IF(Intereses_Residual_Mensual!J219&gt;0, ROUND(I219 + Intereses_Residual_Mensual!J219, 2), "")</f>
        <v/>
      </c>
      <c r="K219" s="23">
        <f>IF(Intereses_Residual_Mensual!K219&gt;0, ROUND(J219 + Intereses_Residual_Mensual!K219, 2), "")</f>
        <v/>
      </c>
      <c r="L219" s="23">
        <f>IF(Intereses_Residual_Mensual!L219&gt;0, ROUND(K219 + Intereses_Residual_Mensual!L219, 2), "")</f>
        <v/>
      </c>
      <c r="M219" s="23">
        <f>IF(Intereses_Residual_Mensual!M219&gt;0, ROUND(L219 + Intereses_Residual_Mensual!M219, 2), "")</f>
        <v/>
      </c>
      <c r="N219" s="23">
        <f>IF(Intereses_Residual_Mensual!N219&gt;0, ROUND(M219 + Intereses_Residual_Mensual!N219, 2), "")</f>
        <v/>
      </c>
      <c r="O219" s="23">
        <f>IF(Intereses_Residual_Mensual!O219&gt;0, ROUND(N219 + Intereses_Residual_Mensual!O219, 2), "")</f>
        <v/>
      </c>
      <c r="P219" s="23">
        <f>IF(Intereses_Residual_Mensual!P219&gt;0, ROUND(O219 + Intereses_Residual_Mensual!P219, 2), "")</f>
        <v/>
      </c>
      <c r="Q219" s="23">
        <f>IF(Intereses_Residual_Mensual!Q219&gt;0, ROUND(P219 + Intereses_Residual_Mensual!Q219, 2), "")</f>
        <v/>
      </c>
      <c r="R219" s="23">
        <f>IF(Intereses_Residual_Mensual!R219&gt;0, ROUND(Q219 + Intereses_Residual_Mensual!R219, 2), "")</f>
        <v/>
      </c>
      <c r="S219" s="23">
        <f>IF(Intereses_Residual_Mensual!S219&gt;0, ROUND(R219 + Intereses_Residual_Mensual!S219, 2), "")</f>
        <v/>
      </c>
      <c r="T219" s="23">
        <f>IF(Intereses_Residual_Mensual!T219&gt;0, ROUND(S219 + Intereses_Residual_Mensual!T219, 2), "")</f>
        <v/>
      </c>
      <c r="U219" s="23">
        <f>MAX(I219:T219)</f>
        <v/>
      </c>
    </row>
    <row r="220">
      <c r="A220" s="26" t="inlineStr">
        <is>
          <t>0734-0002</t>
        </is>
      </c>
      <c r="B220" s="27" t="inlineStr">
        <is>
          <t>Nutrientes Agricolas de Colima, S. de R.L. de C.V.</t>
        </is>
      </c>
      <c r="C220" s="27" t="inlineStr">
        <is>
          <t>1200 TRADESMAN CHASIS CABINA</t>
        </is>
      </c>
      <c r="D220" s="26" t="inlineStr">
        <is>
          <t>ACTIVO</t>
        </is>
      </c>
      <c r="E220" s="26" t="inlineStr">
        <is>
          <t>2026-01-12</t>
        </is>
      </c>
      <c r="F220" s="26" t="inlineStr">
        <is>
          <t>2029-01-12</t>
        </is>
      </c>
      <c r="G220" s="28" t="n">
        <v>36</v>
      </c>
      <c r="H220" s="29" t="n">
        <v>84868.97</v>
      </c>
      <c r="I220" s="29">
        <f>ROUND('Resumen_Cartera'!$U220 + Intereses_Residual_Mensual!I220, 2)</f>
        <v/>
      </c>
      <c r="J220" s="29">
        <f>IF(Intereses_Residual_Mensual!J220&gt;0, ROUND(I220 + Intereses_Residual_Mensual!J220, 2), "")</f>
        <v/>
      </c>
      <c r="K220" s="29">
        <f>IF(Intereses_Residual_Mensual!K220&gt;0, ROUND(J220 + Intereses_Residual_Mensual!K220, 2), "")</f>
        <v/>
      </c>
      <c r="L220" s="29">
        <f>IF(Intereses_Residual_Mensual!L220&gt;0, ROUND(K220 + Intereses_Residual_Mensual!L220, 2), "")</f>
        <v/>
      </c>
      <c r="M220" s="29">
        <f>IF(Intereses_Residual_Mensual!M220&gt;0, ROUND(L220 + Intereses_Residual_Mensual!M220, 2), "")</f>
        <v/>
      </c>
      <c r="N220" s="29">
        <f>IF(Intereses_Residual_Mensual!N220&gt;0, ROUND(M220 + Intereses_Residual_Mensual!N220, 2), "")</f>
        <v/>
      </c>
      <c r="O220" s="29">
        <f>IF(Intereses_Residual_Mensual!O220&gt;0, ROUND(N220 + Intereses_Residual_Mensual!O220, 2), "")</f>
        <v/>
      </c>
      <c r="P220" s="29">
        <f>IF(Intereses_Residual_Mensual!P220&gt;0, ROUND(O220 + Intereses_Residual_Mensual!P220, 2), "")</f>
        <v/>
      </c>
      <c r="Q220" s="29">
        <f>IF(Intereses_Residual_Mensual!Q220&gt;0, ROUND(P220 + Intereses_Residual_Mensual!Q220, 2), "")</f>
        <v/>
      </c>
      <c r="R220" s="29">
        <f>IF(Intereses_Residual_Mensual!R220&gt;0, ROUND(Q220 + Intereses_Residual_Mensual!R220, 2), "")</f>
        <v/>
      </c>
      <c r="S220" s="29">
        <f>IF(Intereses_Residual_Mensual!S220&gt;0, ROUND(R220 + Intereses_Residual_Mensual!S220, 2), "")</f>
        <v/>
      </c>
      <c r="T220" s="29">
        <f>IF(Intereses_Residual_Mensual!T220&gt;0, ROUND(S220 + Intereses_Residual_Mensual!T220, 2), "")</f>
        <v/>
      </c>
      <c r="U220" s="29">
        <f>MAX(I220:T220)</f>
        <v/>
      </c>
    </row>
    <row r="221">
      <c r="A221" s="20" t="inlineStr">
        <is>
          <t>0735-0001</t>
        </is>
      </c>
      <c r="B221" s="21" t="inlineStr">
        <is>
          <t>Francisco Zepeda Covarrubias</t>
        </is>
      </c>
      <c r="C221" s="21" t="inlineStr">
        <is>
          <t>Territory Trend 1.5L Hibrido</t>
        </is>
      </c>
      <c r="D221" s="20" t="inlineStr">
        <is>
          <t>ACTIVO</t>
        </is>
      </c>
      <c r="E221" s="20" t="inlineStr">
        <is>
          <t>2025-12-04</t>
        </is>
      </c>
      <c r="F221" s="20" t="inlineStr">
        <is>
          <t>2028-12-04</t>
        </is>
      </c>
      <c r="G221" s="22" t="n">
        <v>36</v>
      </c>
      <c r="H221" s="23" t="n">
        <v>60336.21</v>
      </c>
      <c r="I221" s="23">
        <f>IF(Intereses_Residual_Mensual!I221&gt;0, ROUND(24070.33 + Intereses_Residual_Mensual!I221, 2), "")</f>
        <v/>
      </c>
      <c r="J221" s="23">
        <f>IF(Intereses_Residual_Mensual!J221&gt;0, ROUND(I221 + Intereses_Residual_Mensual!J221, 2), "")</f>
        <v/>
      </c>
      <c r="K221" s="23">
        <f>IF(Intereses_Residual_Mensual!K221&gt;0, ROUND(J221 + Intereses_Residual_Mensual!K221, 2), "")</f>
        <v/>
      </c>
      <c r="L221" s="23">
        <f>IF(Intereses_Residual_Mensual!L221&gt;0, ROUND(K221 + Intereses_Residual_Mensual!L221, 2), "")</f>
        <v/>
      </c>
      <c r="M221" s="23">
        <f>IF(Intereses_Residual_Mensual!M221&gt;0, ROUND(L221 + Intereses_Residual_Mensual!M221, 2), "")</f>
        <v/>
      </c>
      <c r="N221" s="23">
        <f>IF(Intereses_Residual_Mensual!N221&gt;0, ROUND(M221 + Intereses_Residual_Mensual!N221, 2), "")</f>
        <v/>
      </c>
      <c r="O221" s="23">
        <f>IF(Intereses_Residual_Mensual!O221&gt;0, ROUND(N221 + Intereses_Residual_Mensual!O221, 2), "")</f>
        <v/>
      </c>
      <c r="P221" s="23">
        <f>IF(Intereses_Residual_Mensual!P221&gt;0, ROUND(O221 + Intereses_Residual_Mensual!P221, 2), "")</f>
        <v/>
      </c>
      <c r="Q221" s="23">
        <f>IF(Intereses_Residual_Mensual!Q221&gt;0, ROUND(P221 + Intereses_Residual_Mensual!Q221, 2), "")</f>
        <v/>
      </c>
      <c r="R221" s="23">
        <f>IF(Intereses_Residual_Mensual!R221&gt;0, ROUND(Q221 + Intereses_Residual_Mensual!R221, 2), "")</f>
        <v/>
      </c>
      <c r="S221" s="23">
        <f>IF(Intereses_Residual_Mensual!S221&gt;0, ROUND(R221 + Intereses_Residual_Mensual!S221, 2), "")</f>
        <v/>
      </c>
      <c r="T221" s="23">
        <f>IF(Intereses_Residual_Mensual!T221&gt;0, ROUND(S221 + Intereses_Residual_Mensual!T221, 2), "")</f>
        <v/>
      </c>
      <c r="U221" s="23">
        <f>MAX(I221:T221)</f>
        <v/>
      </c>
    </row>
    <row r="222">
      <c r="A222" s="26" t="inlineStr">
        <is>
          <t>0736-0001</t>
        </is>
      </c>
      <c r="B222" s="27" t="inlineStr">
        <is>
          <t>Industrial Castillo de Tequila S.A. de C.V.</t>
        </is>
      </c>
      <c r="C222" s="27" t="inlineStr">
        <is>
          <t>700 TRADESMAN CREW CAB</t>
        </is>
      </c>
      <c r="D222" s="26" t="inlineStr">
        <is>
          <t>ACTIVO</t>
        </is>
      </c>
      <c r="E222" s="26" t="inlineStr">
        <is>
          <t>2025-12-11</t>
        </is>
      </c>
      <c r="F222" s="26" t="inlineStr">
        <is>
          <t>2029-12-11</t>
        </is>
      </c>
      <c r="G222" s="28" t="n">
        <v>48</v>
      </c>
      <c r="H222" s="29" t="n">
        <v>30304.14</v>
      </c>
      <c r="I222" s="29">
        <f>IF(Intereses_Residual_Mensual!I222&gt;0, ROUND(6652.76 + Intereses_Residual_Mensual!I222, 2), "")</f>
        <v/>
      </c>
      <c r="J222" s="29">
        <f>IF(Intereses_Residual_Mensual!J222&gt;0, ROUND(I222 + Intereses_Residual_Mensual!J222, 2), "")</f>
        <v/>
      </c>
      <c r="K222" s="29">
        <f>IF(Intereses_Residual_Mensual!K222&gt;0, ROUND(J222 + Intereses_Residual_Mensual!K222, 2), "")</f>
        <v/>
      </c>
      <c r="L222" s="29">
        <f>IF(Intereses_Residual_Mensual!L222&gt;0, ROUND(K222 + Intereses_Residual_Mensual!L222, 2), "")</f>
        <v/>
      </c>
      <c r="M222" s="29">
        <f>IF(Intereses_Residual_Mensual!M222&gt;0, ROUND(L222 + Intereses_Residual_Mensual!M222, 2), "")</f>
        <v/>
      </c>
      <c r="N222" s="29">
        <f>IF(Intereses_Residual_Mensual!N222&gt;0, ROUND(M222 + Intereses_Residual_Mensual!N222, 2), "")</f>
        <v/>
      </c>
      <c r="O222" s="29">
        <f>IF(Intereses_Residual_Mensual!O222&gt;0, ROUND(N222 + Intereses_Residual_Mensual!O222, 2), "")</f>
        <v/>
      </c>
      <c r="P222" s="29">
        <f>IF(Intereses_Residual_Mensual!P222&gt;0, ROUND(O222 + Intereses_Residual_Mensual!P222, 2), "")</f>
        <v/>
      </c>
      <c r="Q222" s="29">
        <f>IF(Intereses_Residual_Mensual!Q222&gt;0, ROUND(P222 + Intereses_Residual_Mensual!Q222, 2), "")</f>
        <v/>
      </c>
      <c r="R222" s="29">
        <f>IF(Intereses_Residual_Mensual!R222&gt;0, ROUND(Q222 + Intereses_Residual_Mensual!R222, 2), "")</f>
        <v/>
      </c>
      <c r="S222" s="29">
        <f>IF(Intereses_Residual_Mensual!S222&gt;0, ROUND(R222 + Intereses_Residual_Mensual!S222, 2), "")</f>
        <v/>
      </c>
      <c r="T222" s="29">
        <f>IF(Intereses_Residual_Mensual!T222&gt;0, ROUND(S222 + Intereses_Residual_Mensual!T222, 2), "")</f>
        <v/>
      </c>
      <c r="U222" s="29">
        <f>MAX(I222:T222)</f>
        <v/>
      </c>
    </row>
    <row r="223">
      <c r="A223" s="20" t="inlineStr">
        <is>
          <t>0737-0001</t>
        </is>
      </c>
      <c r="B223" s="21" t="inlineStr">
        <is>
          <t>Nicola Briani</t>
        </is>
      </c>
      <c r="C223" s="21" t="inlineStr">
        <is>
          <t>T1 Savage</t>
        </is>
      </c>
      <c r="D223" s="20" t="inlineStr">
        <is>
          <t>ACTIVO</t>
        </is>
      </c>
      <c r="E223" s="20" t="inlineStr">
        <is>
          <t>2025-12-12</t>
        </is>
      </c>
      <c r="F223" s="20" t="inlineStr">
        <is>
          <t>2029-12-12</t>
        </is>
      </c>
      <c r="G223" s="22" t="n">
        <v>48</v>
      </c>
      <c r="H223" s="23" t="n">
        <v>56025.86</v>
      </c>
      <c r="I223" s="23">
        <f>IF(Intereses_Residual_Mensual!I223&gt;0, ROUND(16064.65 + Intereses_Residual_Mensual!I223, 2), "")</f>
        <v/>
      </c>
      <c r="J223" s="23">
        <f>IF(Intereses_Residual_Mensual!J223&gt;0, ROUND(I223 + Intereses_Residual_Mensual!J223, 2), "")</f>
        <v/>
      </c>
      <c r="K223" s="23">
        <f>IF(Intereses_Residual_Mensual!K223&gt;0, ROUND(J223 + Intereses_Residual_Mensual!K223, 2), "")</f>
        <v/>
      </c>
      <c r="L223" s="23">
        <f>IF(Intereses_Residual_Mensual!L223&gt;0, ROUND(K223 + Intereses_Residual_Mensual!L223, 2), "")</f>
        <v/>
      </c>
      <c r="M223" s="23">
        <f>IF(Intereses_Residual_Mensual!M223&gt;0, ROUND(L223 + Intereses_Residual_Mensual!M223, 2), "")</f>
        <v/>
      </c>
      <c r="N223" s="23">
        <f>IF(Intereses_Residual_Mensual!N223&gt;0, ROUND(M223 + Intereses_Residual_Mensual!N223, 2), "")</f>
        <v/>
      </c>
      <c r="O223" s="23">
        <f>IF(Intereses_Residual_Mensual!O223&gt;0, ROUND(N223 + Intereses_Residual_Mensual!O223, 2), "")</f>
        <v/>
      </c>
      <c r="P223" s="23">
        <f>IF(Intereses_Residual_Mensual!P223&gt;0, ROUND(O223 + Intereses_Residual_Mensual!P223, 2), "")</f>
        <v/>
      </c>
      <c r="Q223" s="23">
        <f>IF(Intereses_Residual_Mensual!Q223&gt;0, ROUND(P223 + Intereses_Residual_Mensual!Q223, 2), "")</f>
        <v/>
      </c>
      <c r="R223" s="23">
        <f>IF(Intereses_Residual_Mensual!R223&gt;0, ROUND(Q223 + Intereses_Residual_Mensual!R223, 2), "")</f>
        <v/>
      </c>
      <c r="S223" s="23">
        <f>IF(Intereses_Residual_Mensual!S223&gt;0, ROUND(R223 + Intereses_Residual_Mensual!S223, 2), "")</f>
        <v/>
      </c>
      <c r="T223" s="23">
        <f>IF(Intereses_Residual_Mensual!T223&gt;0, ROUND(S223 + Intereses_Residual_Mensual!T223, 2), "")</f>
        <v/>
      </c>
      <c r="U223" s="23">
        <f>MAX(I223:T223)</f>
        <v/>
      </c>
    </row>
    <row r="224">
      <c r="A224" s="26" t="inlineStr">
        <is>
          <t>0738-0001</t>
        </is>
      </c>
      <c r="B224" s="27" t="inlineStr">
        <is>
          <t>Vinaria Distribución S.A.S.</t>
        </is>
      </c>
      <c r="C224" s="27" t="inlineStr">
        <is>
          <t>700 BIGHORN "S" CREW CAB CVT</t>
        </is>
      </c>
      <c r="D224" s="26" t="inlineStr">
        <is>
          <t>ACTIVO</t>
        </is>
      </c>
      <c r="E224" s="26" t="inlineStr">
        <is>
          <t>2025-12-24</t>
        </is>
      </c>
      <c r="F224" s="26" t="inlineStr">
        <is>
          <t>2028-12-24</t>
        </is>
      </c>
      <c r="G224" s="28" t="n">
        <v>36</v>
      </c>
      <c r="H224" s="29" t="n">
        <v>37146.55</v>
      </c>
      <c r="I224" s="29">
        <f>IF(Intereses_Residual_Mensual!I224&gt;0, ROUND(14840.04 + Intereses_Residual_Mensual!I224, 2), "")</f>
        <v/>
      </c>
      <c r="J224" s="29">
        <f>IF(Intereses_Residual_Mensual!J224&gt;0, ROUND(I224 + Intereses_Residual_Mensual!J224, 2), "")</f>
        <v/>
      </c>
      <c r="K224" s="29">
        <f>IF(Intereses_Residual_Mensual!K224&gt;0, ROUND(J224 + Intereses_Residual_Mensual!K224, 2), "")</f>
        <v/>
      </c>
      <c r="L224" s="29">
        <f>IF(Intereses_Residual_Mensual!L224&gt;0, ROUND(K224 + Intereses_Residual_Mensual!L224, 2), "")</f>
        <v/>
      </c>
      <c r="M224" s="29">
        <f>IF(Intereses_Residual_Mensual!M224&gt;0, ROUND(L224 + Intereses_Residual_Mensual!M224, 2), "")</f>
        <v/>
      </c>
      <c r="N224" s="29">
        <f>IF(Intereses_Residual_Mensual!N224&gt;0, ROUND(M224 + Intereses_Residual_Mensual!N224, 2), "")</f>
        <v/>
      </c>
      <c r="O224" s="29">
        <f>IF(Intereses_Residual_Mensual!O224&gt;0, ROUND(N224 + Intereses_Residual_Mensual!O224, 2), "")</f>
        <v/>
      </c>
      <c r="P224" s="29">
        <f>IF(Intereses_Residual_Mensual!P224&gt;0, ROUND(O224 + Intereses_Residual_Mensual!P224, 2), "")</f>
        <v/>
      </c>
      <c r="Q224" s="29">
        <f>IF(Intereses_Residual_Mensual!Q224&gt;0, ROUND(P224 + Intereses_Residual_Mensual!Q224, 2), "")</f>
        <v/>
      </c>
      <c r="R224" s="29">
        <f>IF(Intereses_Residual_Mensual!R224&gt;0, ROUND(Q224 + Intereses_Residual_Mensual!R224, 2), "")</f>
        <v/>
      </c>
      <c r="S224" s="29">
        <f>IF(Intereses_Residual_Mensual!S224&gt;0, ROUND(R224 + Intereses_Residual_Mensual!S224, 2), "")</f>
        <v/>
      </c>
      <c r="T224" s="29">
        <f>IF(Intereses_Residual_Mensual!T224&gt;0, ROUND(S224 + Intereses_Residual_Mensual!T224, 2), "")</f>
        <v/>
      </c>
      <c r="U224" s="29">
        <f>MAX(I224:T224)</f>
        <v/>
      </c>
    </row>
    <row r="225">
      <c r="A225" s="20" t="inlineStr">
        <is>
          <t>0739-0001</t>
        </is>
      </c>
      <c r="B225" s="21" t="inlineStr">
        <is>
          <t>Miriam Patricia López Flores</t>
        </is>
      </c>
      <c r="C225" s="21" t="inlineStr">
        <is>
          <t>Jeep Wrangler Unlimited Rubicon</t>
        </is>
      </c>
      <c r="D225" s="20" t="inlineStr">
        <is>
          <t>ACTIVO</t>
        </is>
      </c>
      <c r="E225" s="20" t="inlineStr">
        <is>
          <t>2025-12-23</t>
        </is>
      </c>
      <c r="F225" s="20" t="inlineStr">
        <is>
          <t>2029-12-23</t>
        </is>
      </c>
      <c r="G225" s="22" t="n">
        <v>48</v>
      </c>
      <c r="H225" s="23" t="n">
        <v>131861.47</v>
      </c>
      <c r="I225" s="23">
        <f>IF(Intereses_Residual_Mensual!I225&gt;0, ROUND(37893.5 + Intereses_Residual_Mensual!I225, 2), "")</f>
        <v/>
      </c>
      <c r="J225" s="23">
        <f>IF(Intereses_Residual_Mensual!J225&gt;0, ROUND(I225 + Intereses_Residual_Mensual!J225, 2), "")</f>
        <v/>
      </c>
      <c r="K225" s="23">
        <f>IF(Intereses_Residual_Mensual!K225&gt;0, ROUND(J225 + Intereses_Residual_Mensual!K225, 2), "")</f>
        <v/>
      </c>
      <c r="L225" s="23">
        <f>IF(Intereses_Residual_Mensual!L225&gt;0, ROUND(K225 + Intereses_Residual_Mensual!L225, 2), "")</f>
        <v/>
      </c>
      <c r="M225" s="23">
        <f>IF(Intereses_Residual_Mensual!M225&gt;0, ROUND(L225 + Intereses_Residual_Mensual!M225, 2), "")</f>
        <v/>
      </c>
      <c r="N225" s="23">
        <f>IF(Intereses_Residual_Mensual!N225&gt;0, ROUND(M225 + Intereses_Residual_Mensual!N225, 2), "")</f>
        <v/>
      </c>
      <c r="O225" s="23">
        <f>IF(Intereses_Residual_Mensual!O225&gt;0, ROUND(N225 + Intereses_Residual_Mensual!O225, 2), "")</f>
        <v/>
      </c>
      <c r="P225" s="23">
        <f>IF(Intereses_Residual_Mensual!P225&gt;0, ROUND(O225 + Intereses_Residual_Mensual!P225, 2), "")</f>
        <v/>
      </c>
      <c r="Q225" s="23">
        <f>IF(Intereses_Residual_Mensual!Q225&gt;0, ROUND(P225 + Intereses_Residual_Mensual!Q225, 2), "")</f>
        <v/>
      </c>
      <c r="R225" s="23">
        <f>IF(Intereses_Residual_Mensual!R225&gt;0, ROUND(Q225 + Intereses_Residual_Mensual!R225, 2), "")</f>
        <v/>
      </c>
      <c r="S225" s="23">
        <f>IF(Intereses_Residual_Mensual!S225&gt;0, ROUND(R225 + Intereses_Residual_Mensual!S225, 2), "")</f>
        <v/>
      </c>
      <c r="T225" s="23">
        <f>IF(Intereses_Residual_Mensual!T225&gt;0, ROUND(S225 + Intereses_Residual_Mensual!T225, 2), "")</f>
        <v/>
      </c>
      <c r="U225" s="23">
        <f>MAX(I225:T225)</f>
        <v/>
      </c>
    </row>
    <row r="226">
      <c r="A226" s="26" t="inlineStr">
        <is>
          <t>0740-0001</t>
        </is>
      </c>
      <c r="B226" s="27" t="inlineStr">
        <is>
          <t>Sanatorio Versalles de Guadalajara</t>
        </is>
      </c>
      <c r="C226" s="27" t="inlineStr">
        <is>
          <t>1200 Bighorn</t>
        </is>
      </c>
      <c r="D226" s="26" t="inlineStr">
        <is>
          <t>ACTIVO</t>
        </is>
      </c>
      <c r="E226" s="26" t="inlineStr">
        <is>
          <t>2025-12-30</t>
        </is>
      </c>
      <c r="F226" s="26" t="inlineStr">
        <is>
          <t>2026-12-30</t>
        </is>
      </c>
      <c r="G226" s="28" t="n">
        <v>12</v>
      </c>
      <c r="H226" s="29" t="n">
        <v>49129.31</v>
      </c>
      <c r="I226" s="29">
        <f>IF(Intereses_Residual_Mensual!I226&gt;0, ROUND(37772.95 + Intereses_Residual_Mensual!I226, 2), "")</f>
        <v/>
      </c>
      <c r="J226" s="29">
        <f>IF(Intereses_Residual_Mensual!J226&gt;0, ROUND(I226 + Intereses_Residual_Mensual!J226, 2), "")</f>
        <v/>
      </c>
      <c r="K226" s="29">
        <f>IF(Intereses_Residual_Mensual!K226&gt;0, ROUND(J226 + Intereses_Residual_Mensual!K226, 2), "")</f>
        <v/>
      </c>
      <c r="L226" s="29">
        <f>IF(Intereses_Residual_Mensual!L226&gt;0, ROUND(K226 + Intereses_Residual_Mensual!L226, 2), "")</f>
        <v/>
      </c>
      <c r="M226" s="29">
        <f>IF(Intereses_Residual_Mensual!M226&gt;0, ROUND(L226 + Intereses_Residual_Mensual!M226, 2), "")</f>
        <v/>
      </c>
      <c r="N226" s="29">
        <f>IF(Intereses_Residual_Mensual!N226&gt;0, ROUND(M226 + Intereses_Residual_Mensual!N226, 2), "")</f>
        <v/>
      </c>
      <c r="O226" s="29">
        <f>IF(Intereses_Residual_Mensual!O226&gt;0, ROUND(N226 + Intereses_Residual_Mensual!O226, 2), "")</f>
        <v/>
      </c>
      <c r="P226" s="29">
        <f>IF(Intereses_Residual_Mensual!P226&gt;0, ROUND(O226 + Intereses_Residual_Mensual!P226, 2), "")</f>
        <v/>
      </c>
      <c r="Q226" s="29">
        <f>IF(Intereses_Residual_Mensual!Q226&gt;0, ROUND(P226 + Intereses_Residual_Mensual!Q226, 2), "")</f>
        <v/>
      </c>
      <c r="R226" s="29">
        <f>IF(Intereses_Residual_Mensual!R226&gt;0, ROUND(Q226 + Intereses_Residual_Mensual!R226, 2), "")</f>
        <v/>
      </c>
      <c r="S226" s="29">
        <f>IF(Intereses_Residual_Mensual!S226&gt;0, ROUND(R226 + Intereses_Residual_Mensual!S226, 2), "")</f>
        <v/>
      </c>
      <c r="T226" s="29" t="inlineStr"/>
      <c r="U226" s="29">
        <f>MAX(I226:T226)</f>
        <v/>
      </c>
    </row>
    <row r="227">
      <c r="A227" s="20" t="inlineStr">
        <is>
          <t>0741-0001</t>
        </is>
      </c>
      <c r="B227" s="21" t="inlineStr">
        <is>
          <t>Alvaró Agustin Navarro Castellón</t>
        </is>
      </c>
      <c r="C227" s="21" t="inlineStr">
        <is>
          <t>Manager Furgon L4H2</t>
        </is>
      </c>
      <c r="D227" s="20" t="inlineStr">
        <is>
          <t>ACTIVO</t>
        </is>
      </c>
      <c r="E227" s="20" t="inlineStr">
        <is>
          <t>2025-12-31</t>
        </is>
      </c>
      <c r="F227" s="20" t="inlineStr">
        <is>
          <t>2029-12-31</t>
        </is>
      </c>
      <c r="G227" s="22" t="n">
        <v>48</v>
      </c>
      <c r="H227" s="23" t="n">
        <v>226784.48</v>
      </c>
      <c r="I227" s="23">
        <f>IF(Intereses_Residual_Mensual!I227&gt;0, ROUND(57219.01 + Intereses_Residual_Mensual!I227, 2), "")</f>
        <v/>
      </c>
      <c r="J227" s="23">
        <f>IF(Intereses_Residual_Mensual!J227&gt;0, ROUND(I227 + Intereses_Residual_Mensual!J227, 2), "")</f>
        <v/>
      </c>
      <c r="K227" s="23">
        <f>IF(Intereses_Residual_Mensual!K227&gt;0, ROUND(J227 + Intereses_Residual_Mensual!K227, 2), "")</f>
        <v/>
      </c>
      <c r="L227" s="23">
        <f>IF(Intereses_Residual_Mensual!L227&gt;0, ROUND(K227 + Intereses_Residual_Mensual!L227, 2), "")</f>
        <v/>
      </c>
      <c r="M227" s="23">
        <f>IF(Intereses_Residual_Mensual!M227&gt;0, ROUND(L227 + Intereses_Residual_Mensual!M227, 2), "")</f>
        <v/>
      </c>
      <c r="N227" s="23">
        <f>IF(Intereses_Residual_Mensual!N227&gt;0, ROUND(M227 + Intereses_Residual_Mensual!N227, 2), "")</f>
        <v/>
      </c>
      <c r="O227" s="23">
        <f>IF(Intereses_Residual_Mensual!O227&gt;0, ROUND(N227 + Intereses_Residual_Mensual!O227, 2), "")</f>
        <v/>
      </c>
      <c r="P227" s="23">
        <f>IF(Intereses_Residual_Mensual!P227&gt;0, ROUND(O227 + Intereses_Residual_Mensual!P227, 2), "")</f>
        <v/>
      </c>
      <c r="Q227" s="23">
        <f>IF(Intereses_Residual_Mensual!Q227&gt;0, ROUND(P227 + Intereses_Residual_Mensual!Q227, 2), "")</f>
        <v/>
      </c>
      <c r="R227" s="23">
        <f>IF(Intereses_Residual_Mensual!R227&gt;0, ROUND(Q227 + Intereses_Residual_Mensual!R227, 2), "")</f>
        <v/>
      </c>
      <c r="S227" s="23">
        <f>IF(Intereses_Residual_Mensual!S227&gt;0, ROUND(R227 + Intereses_Residual_Mensual!S227, 2), "")</f>
        <v/>
      </c>
      <c r="T227" s="23">
        <f>IF(Intereses_Residual_Mensual!T227&gt;0, ROUND(S227 + Intereses_Residual_Mensual!T227, 2), "")</f>
        <v/>
      </c>
      <c r="U227" s="23">
        <f>MAX(I227:T227)</f>
        <v/>
      </c>
    </row>
    <row r="228">
      <c r="A228" s="26" t="inlineStr">
        <is>
          <t>0742-0001</t>
        </is>
      </c>
      <c r="B228" s="27" t="inlineStr">
        <is>
          <t>Universidad de las Américas y el Caribe, S.C.</t>
        </is>
      </c>
      <c r="C228" s="27" t="inlineStr">
        <is>
          <t>700 BIGHORN "S" CREW CAB MT</t>
        </is>
      </c>
      <c r="D228" s="26" t="inlineStr">
        <is>
          <t>ACTIVO</t>
        </is>
      </c>
      <c r="E228" s="26" t="inlineStr">
        <is>
          <t>2026-01-07</t>
        </is>
      </c>
      <c r="F228" s="26" t="inlineStr">
        <is>
          <t>2029-01-07</t>
        </is>
      </c>
      <c r="G228" s="28" t="n">
        <v>36</v>
      </c>
      <c r="H228" s="29" t="n">
        <v>65876.38</v>
      </c>
      <c r="I228" s="29">
        <f>ROUND('Resumen_Cartera'!$U228 + Intereses_Residual_Mensual!I228, 2)</f>
        <v/>
      </c>
      <c r="J228" s="29">
        <f>IF(Intereses_Residual_Mensual!J228&gt;0, ROUND(I228 + Intereses_Residual_Mensual!J228, 2), "")</f>
        <v/>
      </c>
      <c r="K228" s="29">
        <f>IF(Intereses_Residual_Mensual!K228&gt;0, ROUND(J228 + Intereses_Residual_Mensual!K228, 2), "")</f>
        <v/>
      </c>
      <c r="L228" s="29">
        <f>IF(Intereses_Residual_Mensual!L228&gt;0, ROUND(K228 + Intereses_Residual_Mensual!L228, 2), "")</f>
        <v/>
      </c>
      <c r="M228" s="29">
        <f>IF(Intereses_Residual_Mensual!M228&gt;0, ROUND(L228 + Intereses_Residual_Mensual!M228, 2), "")</f>
        <v/>
      </c>
      <c r="N228" s="29">
        <f>IF(Intereses_Residual_Mensual!N228&gt;0, ROUND(M228 + Intereses_Residual_Mensual!N228, 2), "")</f>
        <v/>
      </c>
      <c r="O228" s="29">
        <f>IF(Intereses_Residual_Mensual!O228&gt;0, ROUND(N228 + Intereses_Residual_Mensual!O228, 2), "")</f>
        <v/>
      </c>
      <c r="P228" s="29">
        <f>IF(Intereses_Residual_Mensual!P228&gt;0, ROUND(O228 + Intereses_Residual_Mensual!P228, 2), "")</f>
        <v/>
      </c>
      <c r="Q228" s="29">
        <f>IF(Intereses_Residual_Mensual!Q228&gt;0, ROUND(P228 + Intereses_Residual_Mensual!Q228, 2), "")</f>
        <v/>
      </c>
      <c r="R228" s="29">
        <f>IF(Intereses_Residual_Mensual!R228&gt;0, ROUND(Q228 + Intereses_Residual_Mensual!R228, 2), "")</f>
        <v/>
      </c>
      <c r="S228" s="29">
        <f>IF(Intereses_Residual_Mensual!S228&gt;0, ROUND(R228 + Intereses_Residual_Mensual!S228, 2), "")</f>
        <v/>
      </c>
      <c r="T228" s="29">
        <f>IF(Intereses_Residual_Mensual!T228&gt;0, ROUND(S228 + Intereses_Residual_Mensual!T228, 2), "")</f>
        <v/>
      </c>
      <c r="U228" s="29">
        <f>MAX(I228:T228)</f>
        <v/>
      </c>
    </row>
    <row r="229">
      <c r="A229" s="20" t="inlineStr">
        <is>
          <t>0742-0002</t>
        </is>
      </c>
      <c r="B229" s="21" t="inlineStr">
        <is>
          <t>Universidad de las Américas y el Caribe, S.C.</t>
        </is>
      </c>
      <c r="C229" s="21" t="inlineStr">
        <is>
          <t>700 BIGHORN "S" CREW CAB CVT</t>
        </is>
      </c>
      <c r="D229" s="20" t="inlineStr">
        <is>
          <t>ACTIVO</t>
        </is>
      </c>
      <c r="E229" s="20" t="inlineStr">
        <is>
          <t>2026-01-07</t>
        </is>
      </c>
      <c r="F229" s="20" t="inlineStr">
        <is>
          <t>2029-01-07</t>
        </is>
      </c>
      <c r="G229" s="22" t="n">
        <v>36</v>
      </c>
      <c r="H229" s="23" t="n">
        <v>72064.31</v>
      </c>
      <c r="I229" s="23">
        <f>ROUND('Resumen_Cartera'!$U229 + Intereses_Residual_Mensual!I229, 2)</f>
        <v/>
      </c>
      <c r="J229" s="23">
        <f>IF(Intereses_Residual_Mensual!J229&gt;0, ROUND(I229 + Intereses_Residual_Mensual!J229, 2), "")</f>
        <v/>
      </c>
      <c r="K229" s="23">
        <f>IF(Intereses_Residual_Mensual!K229&gt;0, ROUND(J229 + Intereses_Residual_Mensual!K229, 2), "")</f>
        <v/>
      </c>
      <c r="L229" s="23">
        <f>IF(Intereses_Residual_Mensual!L229&gt;0, ROUND(K229 + Intereses_Residual_Mensual!L229, 2), "")</f>
        <v/>
      </c>
      <c r="M229" s="23">
        <f>IF(Intereses_Residual_Mensual!M229&gt;0, ROUND(L229 + Intereses_Residual_Mensual!M229, 2), "")</f>
        <v/>
      </c>
      <c r="N229" s="23">
        <f>IF(Intereses_Residual_Mensual!N229&gt;0, ROUND(M229 + Intereses_Residual_Mensual!N229, 2), "")</f>
        <v/>
      </c>
      <c r="O229" s="23">
        <f>IF(Intereses_Residual_Mensual!O229&gt;0, ROUND(N229 + Intereses_Residual_Mensual!O229, 2), "")</f>
        <v/>
      </c>
      <c r="P229" s="23">
        <f>IF(Intereses_Residual_Mensual!P229&gt;0, ROUND(O229 + Intereses_Residual_Mensual!P229, 2), "")</f>
        <v/>
      </c>
      <c r="Q229" s="23">
        <f>IF(Intereses_Residual_Mensual!Q229&gt;0, ROUND(P229 + Intereses_Residual_Mensual!Q229, 2), "")</f>
        <v/>
      </c>
      <c r="R229" s="23">
        <f>IF(Intereses_Residual_Mensual!R229&gt;0, ROUND(Q229 + Intereses_Residual_Mensual!R229, 2), "")</f>
        <v/>
      </c>
      <c r="S229" s="23">
        <f>IF(Intereses_Residual_Mensual!S229&gt;0, ROUND(R229 + Intereses_Residual_Mensual!S229, 2), "")</f>
        <v/>
      </c>
      <c r="T229" s="23">
        <f>IF(Intereses_Residual_Mensual!T229&gt;0, ROUND(S229 + Intereses_Residual_Mensual!T229, 2), "")</f>
        <v/>
      </c>
      <c r="U229" s="23">
        <f>MAX(I229:T229)</f>
        <v/>
      </c>
    </row>
    <row r="230">
      <c r="A230" s="26" t="inlineStr">
        <is>
          <t>0743-0001</t>
        </is>
      </c>
      <c r="B230" s="27" t="inlineStr">
        <is>
          <t>IEM Soluciones Integrales, S.C.</t>
        </is>
      </c>
      <c r="C230" s="27" t="inlineStr">
        <is>
          <t>1200 BIGHORN CC</t>
        </is>
      </c>
      <c r="D230" s="26" t="inlineStr">
        <is>
          <t>ACTIVO</t>
        </is>
      </c>
      <c r="E230" s="26" t="inlineStr">
        <is>
          <t>2026-01-23</t>
        </is>
      </c>
      <c r="F230" s="26" t="inlineStr">
        <is>
          <t>2029-01-23</t>
        </is>
      </c>
      <c r="G230" s="28" t="n">
        <v>36</v>
      </c>
      <c r="H230" s="29" t="n">
        <v>49129.31</v>
      </c>
      <c r="I230" s="29">
        <f>ROUND('Resumen_Cartera'!$U230 + Intereses_Residual_Mensual!I230, 2)</f>
        <v/>
      </c>
      <c r="J230" s="29">
        <f>IF(Intereses_Residual_Mensual!J230&gt;0, ROUND(I230 + Intereses_Residual_Mensual!J230, 2), "")</f>
        <v/>
      </c>
      <c r="K230" s="29">
        <f>IF(Intereses_Residual_Mensual!K230&gt;0, ROUND(J230 + Intereses_Residual_Mensual!K230, 2), "")</f>
        <v/>
      </c>
      <c r="L230" s="29">
        <f>IF(Intereses_Residual_Mensual!L230&gt;0, ROUND(K230 + Intereses_Residual_Mensual!L230, 2), "")</f>
        <v/>
      </c>
      <c r="M230" s="29">
        <f>IF(Intereses_Residual_Mensual!M230&gt;0, ROUND(L230 + Intereses_Residual_Mensual!M230, 2), "")</f>
        <v/>
      </c>
      <c r="N230" s="29">
        <f>IF(Intereses_Residual_Mensual!N230&gt;0, ROUND(M230 + Intereses_Residual_Mensual!N230, 2), "")</f>
        <v/>
      </c>
      <c r="O230" s="29">
        <f>IF(Intereses_Residual_Mensual!O230&gt;0, ROUND(N230 + Intereses_Residual_Mensual!O230, 2), "")</f>
        <v/>
      </c>
      <c r="P230" s="29">
        <f>IF(Intereses_Residual_Mensual!P230&gt;0, ROUND(O230 + Intereses_Residual_Mensual!P230, 2), "")</f>
        <v/>
      </c>
      <c r="Q230" s="29">
        <f>IF(Intereses_Residual_Mensual!Q230&gt;0, ROUND(P230 + Intereses_Residual_Mensual!Q230, 2), "")</f>
        <v/>
      </c>
      <c r="R230" s="29">
        <f>IF(Intereses_Residual_Mensual!R230&gt;0, ROUND(Q230 + Intereses_Residual_Mensual!R230, 2), "")</f>
        <v/>
      </c>
      <c r="S230" s="29">
        <f>IF(Intereses_Residual_Mensual!S230&gt;0, ROUND(R230 + Intereses_Residual_Mensual!S230, 2), "")</f>
        <v/>
      </c>
      <c r="T230" s="29">
        <f>IF(Intereses_Residual_Mensual!T230&gt;0, ROUND(S230 + Intereses_Residual_Mensual!T230, 2), "")</f>
        <v/>
      </c>
      <c r="U230" s="29">
        <f>MAX(I230:T230)</f>
        <v/>
      </c>
    </row>
    <row r="231">
      <c r="A231" s="20" t="inlineStr">
        <is>
          <t>0744-0001</t>
        </is>
      </c>
      <c r="B231" s="21" t="inlineStr">
        <is>
          <t>H&amp;A Edicon, S.A. de C.V.</t>
        </is>
      </c>
      <c r="C231" s="21" t="inlineStr">
        <is>
          <t>NP 300 Chasis Cabina</t>
        </is>
      </c>
      <c r="D231" s="20" t="inlineStr">
        <is>
          <t>ACTIVO</t>
        </is>
      </c>
      <c r="E231" s="20" t="inlineStr">
        <is>
          <t>2026-01-09</t>
        </is>
      </c>
      <c r="F231" s="20" t="inlineStr">
        <is>
          <t>2028-01-09</t>
        </is>
      </c>
      <c r="G231" s="22" t="n">
        <v>24</v>
      </c>
      <c r="H231" s="23" t="n">
        <v>93689.66</v>
      </c>
      <c r="I231" s="23">
        <f>ROUND('Resumen_Cartera'!$U231 + Intereses_Residual_Mensual!I231, 2)</f>
        <v/>
      </c>
      <c r="J231" s="23">
        <f>IF(Intereses_Residual_Mensual!J231&gt;0, ROUND(I231 + Intereses_Residual_Mensual!J231, 2), "")</f>
        <v/>
      </c>
      <c r="K231" s="23">
        <f>IF(Intereses_Residual_Mensual!K231&gt;0, ROUND(J231 + Intereses_Residual_Mensual!K231, 2), "")</f>
        <v/>
      </c>
      <c r="L231" s="23">
        <f>IF(Intereses_Residual_Mensual!L231&gt;0, ROUND(K231 + Intereses_Residual_Mensual!L231, 2), "")</f>
        <v/>
      </c>
      <c r="M231" s="23">
        <f>IF(Intereses_Residual_Mensual!M231&gt;0, ROUND(L231 + Intereses_Residual_Mensual!M231, 2), "")</f>
        <v/>
      </c>
      <c r="N231" s="23">
        <f>IF(Intereses_Residual_Mensual!N231&gt;0, ROUND(M231 + Intereses_Residual_Mensual!N231, 2), "")</f>
        <v/>
      </c>
      <c r="O231" s="23">
        <f>IF(Intereses_Residual_Mensual!O231&gt;0, ROUND(N231 + Intereses_Residual_Mensual!O231, 2), "")</f>
        <v/>
      </c>
      <c r="P231" s="23">
        <f>IF(Intereses_Residual_Mensual!P231&gt;0, ROUND(O231 + Intereses_Residual_Mensual!P231, 2), "")</f>
        <v/>
      </c>
      <c r="Q231" s="23">
        <f>IF(Intereses_Residual_Mensual!Q231&gt;0, ROUND(P231 + Intereses_Residual_Mensual!Q231, 2), "")</f>
        <v/>
      </c>
      <c r="R231" s="23">
        <f>IF(Intereses_Residual_Mensual!R231&gt;0, ROUND(Q231 + Intereses_Residual_Mensual!R231, 2), "")</f>
        <v/>
      </c>
      <c r="S231" s="23">
        <f>IF(Intereses_Residual_Mensual!S231&gt;0, ROUND(R231 + Intereses_Residual_Mensual!S231, 2), "")</f>
        <v/>
      </c>
      <c r="T231" s="23">
        <f>IF(Intereses_Residual_Mensual!T231&gt;0, ROUND(S231 + Intereses_Residual_Mensual!T231, 2), "")</f>
        <v/>
      </c>
      <c r="U231" s="23">
        <f>MAX(I231:T231)</f>
        <v/>
      </c>
    </row>
    <row r="232">
      <c r="A232" s="26" t="inlineStr">
        <is>
          <t>0745-0001</t>
        </is>
      </c>
      <c r="B232" s="27" t="inlineStr">
        <is>
          <t>Industrializadora de Productos Lácteos y Derivados los Cuates, S.A. de C.V.</t>
        </is>
      </c>
      <c r="C232" s="27" t="inlineStr">
        <is>
          <t>Outlander Sport SE Plus</t>
        </is>
      </c>
      <c r="D232" s="26" t="inlineStr">
        <is>
          <t>ACTIVO</t>
        </is>
      </c>
      <c r="E232" s="26" t="inlineStr">
        <is>
          <t>2026-01-22</t>
        </is>
      </c>
      <c r="F232" s="26" t="inlineStr">
        <is>
          <t>2029-01-22</t>
        </is>
      </c>
      <c r="G232" s="28" t="n">
        <v>36</v>
      </c>
      <c r="H232" s="29" t="n">
        <v>41981.64</v>
      </c>
      <c r="I232" s="29">
        <f>ROUND('Resumen_Cartera'!$U232 + Intereses_Residual_Mensual!I232, 2)</f>
        <v/>
      </c>
      <c r="J232" s="29">
        <f>IF(Intereses_Residual_Mensual!J232&gt;0, ROUND(I232 + Intereses_Residual_Mensual!J232, 2), "")</f>
        <v/>
      </c>
      <c r="K232" s="29">
        <f>IF(Intereses_Residual_Mensual!K232&gt;0, ROUND(J232 + Intereses_Residual_Mensual!K232, 2), "")</f>
        <v/>
      </c>
      <c r="L232" s="29">
        <f>IF(Intereses_Residual_Mensual!L232&gt;0, ROUND(K232 + Intereses_Residual_Mensual!L232, 2), "")</f>
        <v/>
      </c>
      <c r="M232" s="29">
        <f>IF(Intereses_Residual_Mensual!M232&gt;0, ROUND(L232 + Intereses_Residual_Mensual!M232, 2), "")</f>
        <v/>
      </c>
      <c r="N232" s="29">
        <f>IF(Intereses_Residual_Mensual!N232&gt;0, ROUND(M232 + Intereses_Residual_Mensual!N232, 2), "")</f>
        <v/>
      </c>
      <c r="O232" s="29">
        <f>IF(Intereses_Residual_Mensual!O232&gt;0, ROUND(N232 + Intereses_Residual_Mensual!O232, 2), "")</f>
        <v/>
      </c>
      <c r="P232" s="29">
        <f>IF(Intereses_Residual_Mensual!P232&gt;0, ROUND(O232 + Intereses_Residual_Mensual!P232, 2), "")</f>
        <v/>
      </c>
      <c r="Q232" s="29">
        <f>IF(Intereses_Residual_Mensual!Q232&gt;0, ROUND(P232 + Intereses_Residual_Mensual!Q232, 2), "")</f>
        <v/>
      </c>
      <c r="R232" s="29">
        <f>IF(Intereses_Residual_Mensual!R232&gt;0, ROUND(Q232 + Intereses_Residual_Mensual!R232, 2), "")</f>
        <v/>
      </c>
      <c r="S232" s="29">
        <f>IF(Intereses_Residual_Mensual!S232&gt;0, ROUND(R232 + Intereses_Residual_Mensual!S232, 2), "")</f>
        <v/>
      </c>
      <c r="T232" s="29">
        <f>IF(Intereses_Residual_Mensual!T232&gt;0, ROUND(S232 + Intereses_Residual_Mensual!T232, 2), "")</f>
        <v/>
      </c>
      <c r="U232" s="29">
        <f>MAX(I232:T232)</f>
        <v/>
      </c>
    </row>
    <row r="233">
      <c r="A233" s="20" t="inlineStr">
        <is>
          <t>0746-0001</t>
        </is>
      </c>
      <c r="B233" s="21" t="inlineStr">
        <is>
          <t>Giovanni Salvador Medina Rubio</t>
        </is>
      </c>
      <c r="C233" s="21" t="inlineStr">
        <is>
          <t>Rapid</t>
        </is>
      </c>
      <c r="D233" s="20" t="inlineStr">
        <is>
          <t>ACTIVO</t>
        </is>
      </c>
      <c r="E233" s="20" t="inlineStr">
        <is>
          <t>2026-02-02</t>
        </is>
      </c>
      <c r="F233" s="20" t="inlineStr">
        <is>
          <t>2029-02-02</t>
        </is>
      </c>
      <c r="G233" s="22" t="n">
        <v>36</v>
      </c>
      <c r="H233" s="23" t="n">
        <v>28913.79</v>
      </c>
      <c r="I233" s="23" t="inlineStr"/>
      <c r="J233" s="23">
        <f>ROUND('Resumen_Cartera'!$U233 + Intereses_Residual_Mensual!J233, 2)</f>
        <v/>
      </c>
      <c r="K233" s="23">
        <f>IF(Intereses_Residual_Mensual!K233&gt;0, ROUND(J233 + Intereses_Residual_Mensual!K233, 2), "")</f>
        <v/>
      </c>
      <c r="L233" s="23">
        <f>IF(Intereses_Residual_Mensual!L233&gt;0, ROUND(K233 + Intereses_Residual_Mensual!L233, 2), "")</f>
        <v/>
      </c>
      <c r="M233" s="23">
        <f>IF(Intereses_Residual_Mensual!M233&gt;0, ROUND(L233 + Intereses_Residual_Mensual!M233, 2), "")</f>
        <v/>
      </c>
      <c r="N233" s="23">
        <f>IF(Intereses_Residual_Mensual!N233&gt;0, ROUND(M233 + Intereses_Residual_Mensual!N233, 2), "")</f>
        <v/>
      </c>
      <c r="O233" s="23">
        <f>IF(Intereses_Residual_Mensual!O233&gt;0, ROUND(N233 + Intereses_Residual_Mensual!O233, 2), "")</f>
        <v/>
      </c>
      <c r="P233" s="23">
        <f>IF(Intereses_Residual_Mensual!P233&gt;0, ROUND(O233 + Intereses_Residual_Mensual!P233, 2), "")</f>
        <v/>
      </c>
      <c r="Q233" s="23">
        <f>IF(Intereses_Residual_Mensual!Q233&gt;0, ROUND(P233 + Intereses_Residual_Mensual!Q233, 2), "")</f>
        <v/>
      </c>
      <c r="R233" s="23">
        <f>IF(Intereses_Residual_Mensual!R233&gt;0, ROUND(Q233 + Intereses_Residual_Mensual!R233, 2), "")</f>
        <v/>
      </c>
      <c r="S233" s="23">
        <f>IF(Intereses_Residual_Mensual!S233&gt;0, ROUND(R233 + Intereses_Residual_Mensual!S233, 2), "")</f>
        <v/>
      </c>
      <c r="T233" s="23">
        <f>IF(Intereses_Residual_Mensual!T233&gt;0, ROUND(S233 + Intereses_Residual_Mensual!T233, 2), "")</f>
        <v/>
      </c>
      <c r="U233" s="23">
        <f>MAX(I233:T233)</f>
        <v/>
      </c>
    </row>
    <row r="234">
      <c r="A234" s="26" t="inlineStr">
        <is>
          <t>0747-0001</t>
        </is>
      </c>
      <c r="B234" s="27" t="inlineStr">
        <is>
          <t>Brandon Joel Zepeda Romero</t>
        </is>
      </c>
      <c r="C234" s="27" t="inlineStr">
        <is>
          <t>Ranger Raptor</t>
        </is>
      </c>
      <c r="D234" s="26" t="inlineStr">
        <is>
          <t>ACTIVO</t>
        </is>
      </c>
      <c r="E234" s="26" t="inlineStr">
        <is>
          <t>2026-02-24</t>
        </is>
      </c>
      <c r="F234" s="26" t="inlineStr">
        <is>
          <t>2030-02-24</t>
        </is>
      </c>
      <c r="G234" s="28" t="n">
        <v>48</v>
      </c>
      <c r="H234" s="29" t="n">
        <v>107758.62</v>
      </c>
      <c r="I234" s="29" t="inlineStr"/>
      <c r="J234" s="29">
        <f>ROUND('Resumen_Cartera'!$U234 + Intereses_Residual_Mensual!J234, 2)</f>
        <v/>
      </c>
      <c r="K234" s="29">
        <f>IF(Intereses_Residual_Mensual!K234&gt;0, ROUND(J234 + Intereses_Residual_Mensual!K234, 2), "")</f>
        <v/>
      </c>
      <c r="L234" s="29">
        <f>IF(Intereses_Residual_Mensual!L234&gt;0, ROUND(K234 + Intereses_Residual_Mensual!L234, 2), "")</f>
        <v/>
      </c>
      <c r="M234" s="29">
        <f>IF(Intereses_Residual_Mensual!M234&gt;0, ROUND(L234 + Intereses_Residual_Mensual!M234, 2), "")</f>
        <v/>
      </c>
      <c r="N234" s="29">
        <f>IF(Intereses_Residual_Mensual!N234&gt;0, ROUND(M234 + Intereses_Residual_Mensual!N234, 2), "")</f>
        <v/>
      </c>
      <c r="O234" s="29">
        <f>IF(Intereses_Residual_Mensual!O234&gt;0, ROUND(N234 + Intereses_Residual_Mensual!O234, 2), "")</f>
        <v/>
      </c>
      <c r="P234" s="29">
        <f>IF(Intereses_Residual_Mensual!P234&gt;0, ROUND(O234 + Intereses_Residual_Mensual!P234, 2), "")</f>
        <v/>
      </c>
      <c r="Q234" s="29">
        <f>IF(Intereses_Residual_Mensual!Q234&gt;0, ROUND(P234 + Intereses_Residual_Mensual!Q234, 2), "")</f>
        <v/>
      </c>
      <c r="R234" s="29">
        <f>IF(Intereses_Residual_Mensual!R234&gt;0, ROUND(Q234 + Intereses_Residual_Mensual!R234, 2), "")</f>
        <v/>
      </c>
      <c r="S234" s="29">
        <f>IF(Intereses_Residual_Mensual!S234&gt;0, ROUND(R234 + Intereses_Residual_Mensual!S234, 2), "")</f>
        <v/>
      </c>
      <c r="T234" s="29">
        <f>IF(Intereses_Residual_Mensual!T234&gt;0, ROUND(S234 + Intereses_Residual_Mensual!T234, 2), "")</f>
        <v/>
      </c>
      <c r="U234" s="29">
        <f>MAX(I234:T234)</f>
        <v/>
      </c>
    </row>
    <row r="235">
      <c r="A235" s="20" t="inlineStr">
        <is>
          <t>0748-0001</t>
        </is>
      </c>
      <c r="B235" s="21" t="inlineStr">
        <is>
          <t>Carlos Guerra Iñiguez</t>
        </is>
      </c>
      <c r="C235" s="21" t="inlineStr">
        <is>
          <t>L200 GLX</t>
        </is>
      </c>
      <c r="D235" s="20" t="inlineStr">
        <is>
          <t>ACTIVO</t>
        </is>
      </c>
      <c r="E235" s="20" t="inlineStr">
        <is>
          <t>2026-03-02</t>
        </is>
      </c>
      <c r="F235" s="20" t="inlineStr">
        <is>
          <t>2030-03-02</t>
        </is>
      </c>
      <c r="G235" s="22" t="n">
        <v>48</v>
      </c>
      <c r="H235" s="23" t="n">
        <v>42070.09</v>
      </c>
      <c r="I235" s="23" t="inlineStr"/>
      <c r="J235" s="23" t="inlineStr"/>
      <c r="K235" s="23">
        <f>ROUND('Resumen_Cartera'!$U235 + Intereses_Residual_Mensual!K235, 2)</f>
        <v/>
      </c>
      <c r="L235" s="23">
        <f>IF(Intereses_Residual_Mensual!L235&gt;0, ROUND(K235 + Intereses_Residual_Mensual!L235, 2), "")</f>
        <v/>
      </c>
      <c r="M235" s="23">
        <f>IF(Intereses_Residual_Mensual!M235&gt;0, ROUND(L235 + Intereses_Residual_Mensual!M235, 2), "")</f>
        <v/>
      </c>
      <c r="N235" s="23">
        <f>IF(Intereses_Residual_Mensual!N235&gt;0, ROUND(M235 + Intereses_Residual_Mensual!N235, 2), "")</f>
        <v/>
      </c>
      <c r="O235" s="23">
        <f>IF(Intereses_Residual_Mensual!O235&gt;0, ROUND(N235 + Intereses_Residual_Mensual!O235, 2), "")</f>
        <v/>
      </c>
      <c r="P235" s="23">
        <f>IF(Intereses_Residual_Mensual!P235&gt;0, ROUND(O235 + Intereses_Residual_Mensual!P235, 2), "")</f>
        <v/>
      </c>
      <c r="Q235" s="23">
        <f>IF(Intereses_Residual_Mensual!Q235&gt;0, ROUND(P235 + Intereses_Residual_Mensual!Q235, 2), "")</f>
        <v/>
      </c>
      <c r="R235" s="23">
        <f>IF(Intereses_Residual_Mensual!R235&gt;0, ROUND(Q235 + Intereses_Residual_Mensual!R235, 2), "")</f>
        <v/>
      </c>
      <c r="S235" s="23">
        <f>IF(Intereses_Residual_Mensual!S235&gt;0, ROUND(R235 + Intereses_Residual_Mensual!S235, 2), "")</f>
        <v/>
      </c>
      <c r="T235" s="23">
        <f>IF(Intereses_Residual_Mensual!T235&gt;0, ROUND(S235 + Intereses_Residual_Mensual!T235, 2), "")</f>
        <v/>
      </c>
      <c r="U235" s="23">
        <f>MAX(I235:T235)</f>
        <v/>
      </c>
    </row>
    <row r="236">
      <c r="A236" s="26" t="inlineStr">
        <is>
          <t>0749-0001</t>
        </is>
      </c>
      <c r="B236" s="27" t="inlineStr">
        <is>
          <t>Álvarez Fletes Nacionales, S.C.</t>
        </is>
      </c>
      <c r="C236" s="27" t="inlineStr">
        <is>
          <t>RAM 700 TRADESMAN CC</t>
        </is>
      </c>
      <c r="D236" s="26" t="inlineStr">
        <is>
          <t>ACTIVO</t>
        </is>
      </c>
      <c r="E236" s="26" t="inlineStr">
        <is>
          <t>2026-03-23</t>
        </is>
      </c>
      <c r="F236" s="26" t="inlineStr">
        <is>
          <t>2029-03-23</t>
        </is>
      </c>
      <c r="G236" s="28" t="n">
        <v>36</v>
      </c>
      <c r="H236" s="29" t="n">
        <v>34043.1</v>
      </c>
      <c r="I236" s="29" t="inlineStr"/>
      <c r="J236" s="29" t="inlineStr"/>
      <c r="K236" s="29">
        <f>ROUND('Resumen_Cartera'!$U236 + Intereses_Residual_Mensual!K236, 2)</f>
        <v/>
      </c>
      <c r="L236" s="29">
        <f>IF(Intereses_Residual_Mensual!L236&gt;0, ROUND(K236 + Intereses_Residual_Mensual!L236, 2), "")</f>
        <v/>
      </c>
      <c r="M236" s="29">
        <f>IF(Intereses_Residual_Mensual!M236&gt;0, ROUND(L236 + Intereses_Residual_Mensual!M236, 2), "")</f>
        <v/>
      </c>
      <c r="N236" s="29">
        <f>IF(Intereses_Residual_Mensual!N236&gt;0, ROUND(M236 + Intereses_Residual_Mensual!N236, 2), "")</f>
        <v/>
      </c>
      <c r="O236" s="29">
        <f>IF(Intereses_Residual_Mensual!O236&gt;0, ROUND(N236 + Intereses_Residual_Mensual!O236, 2), "")</f>
        <v/>
      </c>
      <c r="P236" s="29">
        <f>IF(Intereses_Residual_Mensual!P236&gt;0, ROUND(O236 + Intereses_Residual_Mensual!P236, 2), "")</f>
        <v/>
      </c>
      <c r="Q236" s="29">
        <f>IF(Intereses_Residual_Mensual!Q236&gt;0, ROUND(P236 + Intereses_Residual_Mensual!Q236, 2), "")</f>
        <v/>
      </c>
      <c r="R236" s="29">
        <f>IF(Intereses_Residual_Mensual!R236&gt;0, ROUND(Q236 + Intereses_Residual_Mensual!R236, 2), "")</f>
        <v/>
      </c>
      <c r="S236" s="29">
        <f>IF(Intereses_Residual_Mensual!S236&gt;0, ROUND(R236 + Intereses_Residual_Mensual!S236, 2), "")</f>
        <v/>
      </c>
      <c r="T236" s="29">
        <f>IF(Intereses_Residual_Mensual!T236&gt;0, ROUND(S236 + Intereses_Residual_Mensual!T236, 2), "")</f>
        <v/>
      </c>
      <c r="U236" s="29">
        <f>MAX(I236:T236)</f>
        <v/>
      </c>
    </row>
    <row r="237">
      <c r="A237" s="20" t="inlineStr">
        <is>
          <t>0749-0002</t>
        </is>
      </c>
      <c r="B237" s="21" t="inlineStr">
        <is>
          <t>Álvarez Fletes Nacionales, S.C.</t>
        </is>
      </c>
      <c r="C237" s="21" t="inlineStr">
        <is>
          <t>RAM 700 TRADESMAN CC</t>
        </is>
      </c>
      <c r="D237" s="20" t="inlineStr">
        <is>
          <t>ACTIVO</t>
        </is>
      </c>
      <c r="E237" s="20" t="inlineStr">
        <is>
          <t>2026-03-23</t>
        </is>
      </c>
      <c r="F237" s="20" t="inlineStr">
        <is>
          <t>2029-03-23</t>
        </is>
      </c>
      <c r="G237" s="22" t="n">
        <v>36</v>
      </c>
      <c r="H237" s="23" t="n">
        <v>34043.1</v>
      </c>
      <c r="I237" s="23" t="inlineStr"/>
      <c r="J237" s="23" t="inlineStr"/>
      <c r="K237" s="23">
        <f>ROUND('Resumen_Cartera'!$U237 + Intereses_Residual_Mensual!K237, 2)</f>
        <v/>
      </c>
      <c r="L237" s="23">
        <f>IF(Intereses_Residual_Mensual!L237&gt;0, ROUND(K237 + Intereses_Residual_Mensual!L237, 2), "")</f>
        <v/>
      </c>
      <c r="M237" s="23">
        <f>IF(Intereses_Residual_Mensual!M237&gt;0, ROUND(L237 + Intereses_Residual_Mensual!M237, 2), "")</f>
        <v/>
      </c>
      <c r="N237" s="23">
        <f>IF(Intereses_Residual_Mensual!N237&gt;0, ROUND(M237 + Intereses_Residual_Mensual!N237, 2), "")</f>
        <v/>
      </c>
      <c r="O237" s="23">
        <f>IF(Intereses_Residual_Mensual!O237&gt;0, ROUND(N237 + Intereses_Residual_Mensual!O237, 2), "")</f>
        <v/>
      </c>
      <c r="P237" s="23">
        <f>IF(Intereses_Residual_Mensual!P237&gt;0, ROUND(O237 + Intereses_Residual_Mensual!P237, 2), "")</f>
        <v/>
      </c>
      <c r="Q237" s="23">
        <f>IF(Intereses_Residual_Mensual!Q237&gt;0, ROUND(P237 + Intereses_Residual_Mensual!Q237, 2), "")</f>
        <v/>
      </c>
      <c r="R237" s="23">
        <f>IF(Intereses_Residual_Mensual!R237&gt;0, ROUND(Q237 + Intereses_Residual_Mensual!R237, 2), "")</f>
        <v/>
      </c>
      <c r="S237" s="23">
        <f>IF(Intereses_Residual_Mensual!S237&gt;0, ROUND(R237 + Intereses_Residual_Mensual!S237, 2), "")</f>
        <v/>
      </c>
      <c r="T237" s="23">
        <f>IF(Intereses_Residual_Mensual!T237&gt;0, ROUND(S237 + Intereses_Residual_Mensual!T237, 2), "")</f>
        <v/>
      </c>
      <c r="U237" s="23">
        <f>MAX(I237:T237)</f>
        <v/>
      </c>
    </row>
    <row r="238">
      <c r="A238" s="26" t="inlineStr">
        <is>
          <t>0750-0001</t>
        </is>
      </c>
      <c r="B238" s="27" t="inlineStr">
        <is>
          <t>Idea Gelato S de RL de CV</t>
        </is>
      </c>
      <c r="C238" s="27" t="inlineStr">
        <is>
          <t>Expert Furgon</t>
        </is>
      </c>
      <c r="D238" s="26" t="inlineStr">
        <is>
          <t>ACTIVO</t>
        </is>
      </c>
      <c r="E238" s="26" t="inlineStr">
        <is>
          <t>2026-03-31</t>
        </is>
      </c>
      <c r="F238" s="26" t="inlineStr">
        <is>
          <t>2028-03-31</t>
        </is>
      </c>
      <c r="G238" s="28" t="n">
        <v>24</v>
      </c>
      <c r="H238" s="29" t="n">
        <v>106189.66</v>
      </c>
      <c r="I238" s="29" t="inlineStr"/>
      <c r="J238" s="29" t="inlineStr"/>
      <c r="K238" s="29">
        <f>ROUND('Resumen_Cartera'!$U238 + Intereses_Residual_Mensual!K238, 2)</f>
        <v/>
      </c>
      <c r="L238" s="29">
        <f>IF(Intereses_Residual_Mensual!L238&gt;0, ROUND(K238 + Intereses_Residual_Mensual!L238, 2), "")</f>
        <v/>
      </c>
      <c r="M238" s="29">
        <f>IF(Intereses_Residual_Mensual!M238&gt;0, ROUND(L238 + Intereses_Residual_Mensual!M238, 2), "")</f>
        <v/>
      </c>
      <c r="N238" s="29">
        <f>IF(Intereses_Residual_Mensual!N238&gt;0, ROUND(M238 + Intereses_Residual_Mensual!N238, 2), "")</f>
        <v/>
      </c>
      <c r="O238" s="29">
        <f>IF(Intereses_Residual_Mensual!O238&gt;0, ROUND(N238 + Intereses_Residual_Mensual!O238, 2), "")</f>
        <v/>
      </c>
      <c r="P238" s="29">
        <f>IF(Intereses_Residual_Mensual!P238&gt;0, ROUND(O238 + Intereses_Residual_Mensual!P238, 2), "")</f>
        <v/>
      </c>
      <c r="Q238" s="29">
        <f>IF(Intereses_Residual_Mensual!Q238&gt;0, ROUND(P238 + Intereses_Residual_Mensual!Q238, 2), "")</f>
        <v/>
      </c>
      <c r="R238" s="29">
        <f>IF(Intereses_Residual_Mensual!R238&gt;0, ROUND(Q238 + Intereses_Residual_Mensual!R238, 2), "")</f>
        <v/>
      </c>
      <c r="S238" s="29">
        <f>IF(Intereses_Residual_Mensual!S238&gt;0, ROUND(R238 + Intereses_Residual_Mensual!S238, 2), "")</f>
        <v/>
      </c>
      <c r="T238" s="29">
        <f>IF(Intereses_Residual_Mensual!T238&gt;0, ROUND(S238 + Intereses_Residual_Mensual!T238, 2), "")</f>
        <v/>
      </c>
      <c r="U238" s="29">
        <f>MAX(I238:T238)</f>
        <v/>
      </c>
    </row>
    <row r="239">
      <c r="A239" s="20" t="inlineStr">
        <is>
          <t>0752-0001</t>
        </is>
      </c>
      <c r="B239" s="21" t="inlineStr">
        <is>
          <t>Fernando Plasencia Lopez</t>
        </is>
      </c>
      <c r="C239" s="21" t="inlineStr">
        <is>
          <t>Grand Cherokee Limited</t>
        </is>
      </c>
      <c r="D239" s="20" t="inlineStr">
        <is>
          <t>ACTIVO</t>
        </is>
      </c>
      <c r="E239" s="20" t="inlineStr">
        <is>
          <t>2026-03-31</t>
        </is>
      </c>
      <c r="F239" s="20" t="inlineStr">
        <is>
          <t>2028-03-31</t>
        </is>
      </c>
      <c r="G239" s="22" t="n">
        <v>24</v>
      </c>
      <c r="H239" s="23" t="n">
        <v>361784.48</v>
      </c>
      <c r="I239" s="23" t="inlineStr"/>
      <c r="J239" s="23" t="inlineStr"/>
      <c r="K239" s="23">
        <f>ROUND('Resumen_Cartera'!$U239 + Intereses_Residual_Mensual!K239, 2)</f>
        <v/>
      </c>
      <c r="L239" s="23">
        <f>IF(Intereses_Residual_Mensual!L239&gt;0, ROUND(K239 + Intereses_Residual_Mensual!L239, 2), "")</f>
        <v/>
      </c>
      <c r="M239" s="23">
        <f>IF(Intereses_Residual_Mensual!M239&gt;0, ROUND(L239 + Intereses_Residual_Mensual!M239, 2), "")</f>
        <v/>
      </c>
      <c r="N239" s="23">
        <f>IF(Intereses_Residual_Mensual!N239&gt;0, ROUND(M239 + Intereses_Residual_Mensual!N239, 2), "")</f>
        <v/>
      </c>
      <c r="O239" s="23">
        <f>IF(Intereses_Residual_Mensual!O239&gt;0, ROUND(N239 + Intereses_Residual_Mensual!O239, 2), "")</f>
        <v/>
      </c>
      <c r="P239" s="23">
        <f>IF(Intereses_Residual_Mensual!P239&gt;0, ROUND(O239 + Intereses_Residual_Mensual!P239, 2), "")</f>
        <v/>
      </c>
      <c r="Q239" s="23">
        <f>IF(Intereses_Residual_Mensual!Q239&gt;0, ROUND(P239 + Intereses_Residual_Mensual!Q239, 2), "")</f>
        <v/>
      </c>
      <c r="R239" s="23">
        <f>IF(Intereses_Residual_Mensual!R239&gt;0, ROUND(Q239 + Intereses_Residual_Mensual!R239, 2), "")</f>
        <v/>
      </c>
      <c r="S239" s="23">
        <f>IF(Intereses_Residual_Mensual!S239&gt;0, ROUND(R239 + Intereses_Residual_Mensual!S239, 2), "")</f>
        <v/>
      </c>
      <c r="T239" s="23">
        <f>IF(Intereses_Residual_Mensual!T239&gt;0, ROUND(S239 + Intereses_Residual_Mensual!T239, 2), "")</f>
        <v/>
      </c>
      <c r="U239" s="23">
        <f>MAX(I239:T239)</f>
        <v/>
      </c>
    </row>
    <row r="240">
      <c r="A240" s="26" t="inlineStr">
        <is>
          <t>0752-0002</t>
        </is>
      </c>
      <c r="B240" s="27" t="inlineStr">
        <is>
          <t>Fernando Plasencia Lopez</t>
        </is>
      </c>
      <c r="C240" s="27" t="inlineStr">
        <is>
          <t>Grand Cherokee Altitude</t>
        </is>
      </c>
      <c r="D240" s="26" t="inlineStr">
        <is>
          <t>ACTIVO</t>
        </is>
      </c>
      <c r="E240" s="26" t="inlineStr">
        <is>
          <t>2026-03-31</t>
        </is>
      </c>
      <c r="F240" s="26" t="inlineStr">
        <is>
          <t>2028-03-31</t>
        </is>
      </c>
      <c r="G240" s="28" t="n">
        <v>24</v>
      </c>
      <c r="H240" s="29" t="n">
        <v>307732.76</v>
      </c>
      <c r="I240" s="29" t="inlineStr"/>
      <c r="J240" s="29" t="inlineStr"/>
      <c r="K240" s="29">
        <f>ROUND('Resumen_Cartera'!$U240 + Intereses_Residual_Mensual!K240, 2)</f>
        <v/>
      </c>
      <c r="L240" s="29">
        <f>IF(Intereses_Residual_Mensual!L240&gt;0, ROUND(K240 + Intereses_Residual_Mensual!L240, 2), "")</f>
        <v/>
      </c>
      <c r="M240" s="29">
        <f>IF(Intereses_Residual_Mensual!M240&gt;0, ROUND(L240 + Intereses_Residual_Mensual!M240, 2), "")</f>
        <v/>
      </c>
      <c r="N240" s="29">
        <f>IF(Intereses_Residual_Mensual!N240&gt;0, ROUND(M240 + Intereses_Residual_Mensual!N240, 2), "")</f>
        <v/>
      </c>
      <c r="O240" s="29">
        <f>IF(Intereses_Residual_Mensual!O240&gt;0, ROUND(N240 + Intereses_Residual_Mensual!O240, 2), "")</f>
        <v/>
      </c>
      <c r="P240" s="29">
        <f>IF(Intereses_Residual_Mensual!P240&gt;0, ROUND(O240 + Intereses_Residual_Mensual!P240, 2), "")</f>
        <v/>
      </c>
      <c r="Q240" s="29">
        <f>IF(Intereses_Residual_Mensual!Q240&gt;0, ROUND(P240 + Intereses_Residual_Mensual!Q240, 2), "")</f>
        <v/>
      </c>
      <c r="R240" s="29">
        <f>IF(Intereses_Residual_Mensual!R240&gt;0, ROUND(Q240 + Intereses_Residual_Mensual!R240, 2), "")</f>
        <v/>
      </c>
      <c r="S240" s="29">
        <f>IF(Intereses_Residual_Mensual!S240&gt;0, ROUND(R240 + Intereses_Residual_Mensual!S240, 2), "")</f>
        <v/>
      </c>
      <c r="T240" s="29">
        <f>IF(Intereses_Residual_Mensual!T240&gt;0, ROUND(S240 + Intereses_Residual_Mensual!T240, 2), "")</f>
        <v/>
      </c>
      <c r="U240" s="29">
        <f>MAX(I240:T240)</f>
        <v/>
      </c>
    </row>
    <row r="241">
      <c r="A241" s="20" t="inlineStr">
        <is>
          <t>0752-0003</t>
        </is>
      </c>
      <c r="B241" s="21" t="inlineStr">
        <is>
          <t>Fernando Plasencia Lopez</t>
        </is>
      </c>
      <c r="C241" s="21" t="inlineStr">
        <is>
          <t>Grand Cherokee Summit</t>
        </is>
      </c>
      <c r="D241" s="20" t="inlineStr">
        <is>
          <t>ACTIVO</t>
        </is>
      </c>
      <c r="E241" s="20" t="inlineStr">
        <is>
          <t>2026-05-13</t>
        </is>
      </c>
      <c r="F241" s="20" t="inlineStr">
        <is>
          <t>2028-05-13</t>
        </is>
      </c>
      <c r="G241" s="22" t="n">
        <v>24</v>
      </c>
      <c r="H241" s="23" t="n">
        <v>569370</v>
      </c>
      <c r="I241" s="23" t="inlineStr"/>
      <c r="J241" s="23" t="inlineStr"/>
      <c r="K241" s="23" t="inlineStr"/>
      <c r="L241" s="23" t="inlineStr"/>
      <c r="M241" s="23">
        <f>ROUND('Resumen_Cartera'!$U241 + Intereses_Residual_Mensual!M241, 2)</f>
        <v/>
      </c>
      <c r="N241" s="23">
        <f>IF(Intereses_Residual_Mensual!N241&gt;0, ROUND(M241 + Intereses_Residual_Mensual!N241, 2), "")</f>
        <v/>
      </c>
      <c r="O241" s="23">
        <f>IF(Intereses_Residual_Mensual!O241&gt;0, ROUND(N241 + Intereses_Residual_Mensual!O241, 2), "")</f>
        <v/>
      </c>
      <c r="P241" s="23">
        <f>IF(Intereses_Residual_Mensual!P241&gt;0, ROUND(O241 + Intereses_Residual_Mensual!P241, 2), "")</f>
        <v/>
      </c>
      <c r="Q241" s="23">
        <f>IF(Intereses_Residual_Mensual!Q241&gt;0, ROUND(P241 + Intereses_Residual_Mensual!Q241, 2), "")</f>
        <v/>
      </c>
      <c r="R241" s="23">
        <f>IF(Intereses_Residual_Mensual!R241&gt;0, ROUND(Q241 + Intereses_Residual_Mensual!R241, 2), "")</f>
        <v/>
      </c>
      <c r="S241" s="23">
        <f>IF(Intereses_Residual_Mensual!S241&gt;0, ROUND(R241 + Intereses_Residual_Mensual!S241, 2), "")</f>
        <v/>
      </c>
      <c r="T241" s="23">
        <f>IF(Intereses_Residual_Mensual!T241&gt;0, ROUND(S241 + Intereses_Residual_Mensual!T241, 2), "")</f>
        <v/>
      </c>
      <c r="U241" s="23">
        <f>MAX(I241:T241)</f>
        <v/>
      </c>
    </row>
    <row r="242">
      <c r="A242" s="26" t="inlineStr">
        <is>
          <t>0752-0004</t>
        </is>
      </c>
      <c r="B242" s="27" t="inlineStr">
        <is>
          <t>Fernando Plasencia Lopez</t>
        </is>
      </c>
      <c r="C242" s="27" t="inlineStr">
        <is>
          <t>1200 BIGHORN CC</t>
        </is>
      </c>
      <c r="D242" s="26" t="inlineStr">
        <is>
          <t>ACTIVO</t>
        </is>
      </c>
      <c r="E242" s="26" t="inlineStr">
        <is>
          <t>2026-06-05</t>
        </is>
      </c>
      <c r="F242" s="26" t="inlineStr">
        <is>
          <t>2030-06-05</t>
        </is>
      </c>
      <c r="G242" s="28" t="n">
        <v>48</v>
      </c>
      <c r="H242" s="29" t="n">
        <v>168750.9</v>
      </c>
      <c r="I242" s="29" t="inlineStr"/>
      <c r="J242" s="29" t="inlineStr"/>
      <c r="K242" s="29" t="inlineStr"/>
      <c r="L242" s="29" t="inlineStr"/>
      <c r="M242" s="29" t="inlineStr"/>
      <c r="N242" s="29">
        <f>ROUND('Resumen_Cartera'!$U242 + Intereses_Residual_Mensual!N242, 2)</f>
        <v/>
      </c>
      <c r="O242" s="29">
        <f>IF(Intereses_Residual_Mensual!O242&gt;0, ROUND(N242 + Intereses_Residual_Mensual!O242, 2), "")</f>
        <v/>
      </c>
      <c r="P242" s="29">
        <f>IF(Intereses_Residual_Mensual!P242&gt;0, ROUND(O242 + Intereses_Residual_Mensual!P242, 2), "")</f>
        <v/>
      </c>
      <c r="Q242" s="29">
        <f>IF(Intereses_Residual_Mensual!Q242&gt;0, ROUND(P242 + Intereses_Residual_Mensual!Q242, 2), "")</f>
        <v/>
      </c>
      <c r="R242" s="29">
        <f>IF(Intereses_Residual_Mensual!R242&gt;0, ROUND(Q242 + Intereses_Residual_Mensual!R242, 2), "")</f>
        <v/>
      </c>
      <c r="S242" s="29">
        <f>IF(Intereses_Residual_Mensual!S242&gt;0, ROUND(R242 + Intereses_Residual_Mensual!S242, 2), "")</f>
        <v/>
      </c>
      <c r="T242" s="29">
        <f>IF(Intereses_Residual_Mensual!T242&gt;0, ROUND(S242 + Intereses_Residual_Mensual!T242, 2), "")</f>
        <v/>
      </c>
      <c r="U242" s="29">
        <f>MAX(I242:T242)</f>
        <v/>
      </c>
    </row>
    <row r="243">
      <c r="A243" s="20" t="inlineStr">
        <is>
          <t>0752-0005</t>
        </is>
      </c>
      <c r="B243" s="21" t="inlineStr">
        <is>
          <t>Fernando Plasencia Lopez</t>
        </is>
      </c>
      <c r="C243" s="21" t="inlineStr">
        <is>
          <t>Grand Charokee Altitude</t>
        </is>
      </c>
      <c r="D243" s="20" t="inlineStr">
        <is>
          <t>ACTIVO</t>
        </is>
      </c>
      <c r="E243" s="20" t="inlineStr">
        <is>
          <t>2026-06-05</t>
        </is>
      </c>
      <c r="F243" s="20" t="inlineStr">
        <is>
          <t>2028-06-05</t>
        </is>
      </c>
      <c r="G243" s="22" t="n">
        <v>24</v>
      </c>
      <c r="H243" s="23" t="n">
        <v>356970</v>
      </c>
      <c r="I243" s="23" t="inlineStr"/>
      <c r="J243" s="23" t="inlineStr"/>
      <c r="K243" s="23" t="inlineStr"/>
      <c r="L243" s="23" t="inlineStr"/>
      <c r="M243" s="23" t="inlineStr"/>
      <c r="N243" s="23">
        <f>ROUND('Resumen_Cartera'!$U243 + Intereses_Residual_Mensual!N243, 2)</f>
        <v/>
      </c>
      <c r="O243" s="23">
        <f>IF(Intereses_Residual_Mensual!O243&gt;0, ROUND(N243 + Intereses_Residual_Mensual!O243, 2), "")</f>
        <v/>
      </c>
      <c r="P243" s="23">
        <f>IF(Intereses_Residual_Mensual!P243&gt;0, ROUND(O243 + Intereses_Residual_Mensual!P243, 2), "")</f>
        <v/>
      </c>
      <c r="Q243" s="23">
        <f>IF(Intereses_Residual_Mensual!Q243&gt;0, ROUND(P243 + Intereses_Residual_Mensual!Q243, 2), "")</f>
        <v/>
      </c>
      <c r="R243" s="23">
        <f>IF(Intereses_Residual_Mensual!R243&gt;0, ROUND(Q243 + Intereses_Residual_Mensual!R243, 2), "")</f>
        <v/>
      </c>
      <c r="S243" s="23">
        <f>IF(Intereses_Residual_Mensual!S243&gt;0, ROUND(R243 + Intereses_Residual_Mensual!S243, 2), "")</f>
        <v/>
      </c>
      <c r="T243" s="23">
        <f>IF(Intereses_Residual_Mensual!T243&gt;0, ROUND(S243 + Intereses_Residual_Mensual!T243, 2), "")</f>
        <v/>
      </c>
      <c r="U243" s="23">
        <f>MAX(I243:T243)</f>
        <v/>
      </c>
    </row>
    <row r="244">
      <c r="A244" s="26" t="inlineStr">
        <is>
          <t>0753-0001</t>
        </is>
      </c>
      <c r="B244" s="27" t="inlineStr">
        <is>
          <t>Milodi Seguridad Privada</t>
        </is>
      </c>
      <c r="C244" s="27" t="inlineStr">
        <is>
          <t>Alsvin</t>
        </is>
      </c>
      <c r="D244" s="26" t="inlineStr">
        <is>
          <t>ACTIVO</t>
        </is>
      </c>
      <c r="E244" s="26" t="inlineStr">
        <is>
          <t>2026-03-31</t>
        </is>
      </c>
      <c r="F244" s="26" t="inlineStr">
        <is>
          <t>2029-03-31</t>
        </is>
      </c>
      <c r="G244" s="28" t="n">
        <v>36</v>
      </c>
      <c r="H244" s="29" t="n">
        <v>43954.31</v>
      </c>
      <c r="I244" s="29" t="inlineStr"/>
      <c r="J244" s="29" t="inlineStr"/>
      <c r="K244" s="29">
        <f>ROUND('Resumen_Cartera'!$U244 + Intereses_Residual_Mensual!K244, 2)</f>
        <v/>
      </c>
      <c r="L244" s="29">
        <f>IF(Intereses_Residual_Mensual!L244&gt;0, ROUND(K244 + Intereses_Residual_Mensual!L244, 2), "")</f>
        <v/>
      </c>
      <c r="M244" s="29">
        <f>IF(Intereses_Residual_Mensual!M244&gt;0, ROUND(L244 + Intereses_Residual_Mensual!M244, 2), "")</f>
        <v/>
      </c>
      <c r="N244" s="29">
        <f>IF(Intereses_Residual_Mensual!N244&gt;0, ROUND(M244 + Intereses_Residual_Mensual!N244, 2), "")</f>
        <v/>
      </c>
      <c r="O244" s="29">
        <f>IF(Intereses_Residual_Mensual!O244&gt;0, ROUND(N244 + Intereses_Residual_Mensual!O244, 2), "")</f>
        <v/>
      </c>
      <c r="P244" s="29">
        <f>IF(Intereses_Residual_Mensual!P244&gt;0, ROUND(O244 + Intereses_Residual_Mensual!P244, 2), "")</f>
        <v/>
      </c>
      <c r="Q244" s="29">
        <f>IF(Intereses_Residual_Mensual!Q244&gt;0, ROUND(P244 + Intereses_Residual_Mensual!Q244, 2), "")</f>
        <v/>
      </c>
      <c r="R244" s="29">
        <f>IF(Intereses_Residual_Mensual!R244&gt;0, ROUND(Q244 + Intereses_Residual_Mensual!R244, 2), "")</f>
        <v/>
      </c>
      <c r="S244" s="29">
        <f>IF(Intereses_Residual_Mensual!S244&gt;0, ROUND(R244 + Intereses_Residual_Mensual!S244, 2), "")</f>
        <v/>
      </c>
      <c r="T244" s="29">
        <f>IF(Intereses_Residual_Mensual!T244&gt;0, ROUND(S244 + Intereses_Residual_Mensual!T244, 2), "")</f>
        <v/>
      </c>
      <c r="U244" s="29">
        <f>MAX(I244:T244)</f>
        <v/>
      </c>
    </row>
    <row r="245">
      <c r="A245" s="20" t="inlineStr">
        <is>
          <t>0753-0003</t>
        </is>
      </c>
      <c r="B245" s="21" t="inlineStr">
        <is>
          <t>Milodi Seguridad Privada</t>
        </is>
      </c>
      <c r="C245" s="21" t="inlineStr">
        <is>
          <t>CS35</t>
        </is>
      </c>
      <c r="D245" s="20" t="inlineStr">
        <is>
          <t>ACTIVO</t>
        </is>
      </c>
      <c r="E245" s="20" t="inlineStr">
        <is>
          <t>2026-06-16</t>
        </is>
      </c>
      <c r="F245" s="20" t="inlineStr">
        <is>
          <t>2029-06-16</t>
        </is>
      </c>
      <c r="G245" s="22" t="n">
        <v>36</v>
      </c>
      <c r="H245" s="23" t="n">
        <v>45580.3</v>
      </c>
      <c r="I245" s="23" t="inlineStr"/>
      <c r="J245" s="23" t="inlineStr"/>
      <c r="K245" s="23" t="inlineStr"/>
      <c r="L245" s="23" t="inlineStr"/>
      <c r="M245" s="23" t="inlineStr"/>
      <c r="N245" s="23">
        <f>ROUND('Resumen_Cartera'!$U245 + Intereses_Residual_Mensual!N245, 2)</f>
        <v/>
      </c>
      <c r="O245" s="23">
        <f>IF(Intereses_Residual_Mensual!O245&gt;0, ROUND(N245 + Intereses_Residual_Mensual!O245, 2), "")</f>
        <v/>
      </c>
      <c r="P245" s="23">
        <f>IF(Intereses_Residual_Mensual!P245&gt;0, ROUND(O245 + Intereses_Residual_Mensual!P245, 2), "")</f>
        <v/>
      </c>
      <c r="Q245" s="23">
        <f>IF(Intereses_Residual_Mensual!Q245&gt;0, ROUND(P245 + Intereses_Residual_Mensual!Q245, 2), "")</f>
        <v/>
      </c>
      <c r="R245" s="23">
        <f>IF(Intereses_Residual_Mensual!R245&gt;0, ROUND(Q245 + Intereses_Residual_Mensual!R245, 2), "")</f>
        <v/>
      </c>
      <c r="S245" s="23">
        <f>IF(Intereses_Residual_Mensual!S245&gt;0, ROUND(R245 + Intereses_Residual_Mensual!S245, 2), "")</f>
        <v/>
      </c>
      <c r="T245" s="23">
        <f>IF(Intereses_Residual_Mensual!T245&gt;0, ROUND(S245 + Intereses_Residual_Mensual!T245, 2), "")</f>
        <v/>
      </c>
      <c r="U245" s="23">
        <f>MAX(I245:T245)</f>
        <v/>
      </c>
    </row>
    <row r="246">
      <c r="A246" s="26" t="inlineStr">
        <is>
          <t>0754-0001</t>
        </is>
      </c>
      <c r="B246" s="27" t="inlineStr">
        <is>
          <t>Luis Guillermo Rios Villaseñor</t>
        </is>
      </c>
      <c r="C246" s="27" t="inlineStr">
        <is>
          <t>2008 GT</t>
        </is>
      </c>
      <c r="D246" s="26" t="inlineStr">
        <is>
          <t>ACTIVO</t>
        </is>
      </c>
      <c r="E246" s="26" t="inlineStr">
        <is>
          <t>2026-04-23</t>
        </is>
      </c>
      <c r="F246" s="26" t="inlineStr">
        <is>
          <t>2028-04-23</t>
        </is>
      </c>
      <c r="G246" s="28" t="n">
        <v>24</v>
      </c>
      <c r="H246" s="29" t="n">
        <v>84637.92999999999</v>
      </c>
      <c r="I246" s="29" t="inlineStr"/>
      <c r="J246" s="29" t="inlineStr"/>
      <c r="K246" s="29" t="inlineStr"/>
      <c r="L246" s="29">
        <f>ROUND('Resumen_Cartera'!$U246 + Intereses_Residual_Mensual!L246, 2)</f>
        <v/>
      </c>
      <c r="M246" s="29">
        <f>IF(Intereses_Residual_Mensual!M246&gt;0, ROUND(L246 + Intereses_Residual_Mensual!M246, 2), "")</f>
        <v/>
      </c>
      <c r="N246" s="29">
        <f>IF(Intereses_Residual_Mensual!N246&gt;0, ROUND(M246 + Intereses_Residual_Mensual!N246, 2), "")</f>
        <v/>
      </c>
      <c r="O246" s="29">
        <f>IF(Intereses_Residual_Mensual!O246&gt;0, ROUND(N246 + Intereses_Residual_Mensual!O246, 2), "")</f>
        <v/>
      </c>
      <c r="P246" s="29">
        <f>IF(Intereses_Residual_Mensual!P246&gt;0, ROUND(O246 + Intereses_Residual_Mensual!P246, 2), "")</f>
        <v/>
      </c>
      <c r="Q246" s="29">
        <f>IF(Intereses_Residual_Mensual!Q246&gt;0, ROUND(P246 + Intereses_Residual_Mensual!Q246, 2), "")</f>
        <v/>
      </c>
      <c r="R246" s="29">
        <f>IF(Intereses_Residual_Mensual!R246&gt;0, ROUND(Q246 + Intereses_Residual_Mensual!R246, 2), "")</f>
        <v/>
      </c>
      <c r="S246" s="29">
        <f>IF(Intereses_Residual_Mensual!S246&gt;0, ROUND(R246 + Intereses_Residual_Mensual!S246, 2), "")</f>
        <v/>
      </c>
      <c r="T246" s="29">
        <f>IF(Intereses_Residual_Mensual!T246&gt;0, ROUND(S246 + Intereses_Residual_Mensual!T246, 2), "")</f>
        <v/>
      </c>
      <c r="U246" s="29">
        <f>MAX(I246:T246)</f>
        <v/>
      </c>
    </row>
    <row r="247">
      <c r="A247" s="20" t="inlineStr">
        <is>
          <t>0755-0001</t>
        </is>
      </c>
      <c r="B247" s="21" t="inlineStr">
        <is>
          <t>Abiam Antonio Reyna Aguilar</t>
        </is>
      </c>
      <c r="C247" s="21" t="inlineStr">
        <is>
          <t>1500 RHO</t>
        </is>
      </c>
      <c r="D247" s="20" t="inlineStr">
        <is>
          <t>ACTIVO</t>
        </is>
      </c>
      <c r="E247" s="20" t="inlineStr">
        <is>
          <t>2026-04-28</t>
        </is>
      </c>
      <c r="F247" s="20" t="inlineStr">
        <is>
          <t>2027-04-28</t>
        </is>
      </c>
      <c r="G247" s="22" t="n">
        <v>12</v>
      </c>
      <c r="H247" s="23" t="n">
        <v>607758.62</v>
      </c>
      <c r="I247" s="23" t="inlineStr"/>
      <c r="J247" s="23" t="inlineStr"/>
      <c r="K247" s="23" t="inlineStr"/>
      <c r="L247" s="23">
        <f>ROUND('Resumen_Cartera'!$U247 + Intereses_Residual_Mensual!L247, 2)</f>
        <v/>
      </c>
      <c r="M247" s="23">
        <f>IF(Intereses_Residual_Mensual!M247&gt;0, ROUND(L247 + Intereses_Residual_Mensual!M247, 2), "")</f>
        <v/>
      </c>
      <c r="N247" s="23">
        <f>IF(Intereses_Residual_Mensual!N247&gt;0, ROUND(M247 + Intereses_Residual_Mensual!N247, 2), "")</f>
        <v/>
      </c>
      <c r="O247" s="23">
        <f>IF(Intereses_Residual_Mensual!O247&gt;0, ROUND(N247 + Intereses_Residual_Mensual!O247, 2), "")</f>
        <v/>
      </c>
      <c r="P247" s="23">
        <f>IF(Intereses_Residual_Mensual!P247&gt;0, ROUND(O247 + Intereses_Residual_Mensual!P247, 2), "")</f>
        <v/>
      </c>
      <c r="Q247" s="23">
        <f>IF(Intereses_Residual_Mensual!Q247&gt;0, ROUND(P247 + Intereses_Residual_Mensual!Q247, 2), "")</f>
        <v/>
      </c>
      <c r="R247" s="23">
        <f>IF(Intereses_Residual_Mensual!R247&gt;0, ROUND(Q247 + Intereses_Residual_Mensual!R247, 2), "")</f>
        <v/>
      </c>
      <c r="S247" s="23">
        <f>IF(Intereses_Residual_Mensual!S247&gt;0, ROUND(R247 + Intereses_Residual_Mensual!S247, 2), "")</f>
        <v/>
      </c>
      <c r="T247" s="23">
        <f>IF(Intereses_Residual_Mensual!T247&gt;0, ROUND(S247 + Intereses_Residual_Mensual!T247, 2), "")</f>
        <v/>
      </c>
      <c r="U247" s="23">
        <f>MAX(I247:T247)</f>
        <v/>
      </c>
    </row>
    <row r="248">
      <c r="A248" s="26" t="inlineStr">
        <is>
          <t>0756-0001</t>
        </is>
      </c>
      <c r="B248" s="27" t="inlineStr">
        <is>
          <t>Agricola Hortiberry, S.A. de C.V.</t>
        </is>
      </c>
      <c r="C248" s="27" t="inlineStr">
        <is>
          <t>1200  Tradesman Chasis Cabina</t>
        </is>
      </c>
      <c r="D248" s="26" t="inlineStr">
        <is>
          <t>ACTIVO</t>
        </is>
      </c>
      <c r="E248" s="26" t="inlineStr">
        <is>
          <t>2026-05-06</t>
        </is>
      </c>
      <c r="F248" s="26" t="inlineStr">
        <is>
          <t>2030-05-06</t>
        </is>
      </c>
      <c r="G248" s="28" t="n">
        <v>48</v>
      </c>
      <c r="H248" s="29" t="n">
        <v>181861.2</v>
      </c>
      <c r="I248" s="29" t="inlineStr"/>
      <c r="J248" s="29" t="inlineStr"/>
      <c r="K248" s="29" t="inlineStr"/>
      <c r="L248" s="29" t="inlineStr"/>
      <c r="M248" s="29">
        <f>ROUND('Resumen_Cartera'!$U248 + Intereses_Residual_Mensual!M248, 2)</f>
        <v/>
      </c>
      <c r="N248" s="29">
        <f>IF(Intereses_Residual_Mensual!N248&gt;0, ROUND(M248 + Intereses_Residual_Mensual!N248, 2), "")</f>
        <v/>
      </c>
      <c r="O248" s="29">
        <f>IF(Intereses_Residual_Mensual!O248&gt;0, ROUND(N248 + Intereses_Residual_Mensual!O248, 2), "")</f>
        <v/>
      </c>
      <c r="P248" s="29">
        <f>IF(Intereses_Residual_Mensual!P248&gt;0, ROUND(O248 + Intereses_Residual_Mensual!P248, 2), "")</f>
        <v/>
      </c>
      <c r="Q248" s="29">
        <f>IF(Intereses_Residual_Mensual!Q248&gt;0, ROUND(P248 + Intereses_Residual_Mensual!Q248, 2), "")</f>
        <v/>
      </c>
      <c r="R248" s="29">
        <f>IF(Intereses_Residual_Mensual!R248&gt;0, ROUND(Q248 + Intereses_Residual_Mensual!R248, 2), "")</f>
        <v/>
      </c>
      <c r="S248" s="29">
        <f>IF(Intereses_Residual_Mensual!S248&gt;0, ROUND(R248 + Intereses_Residual_Mensual!S248, 2), "")</f>
        <v/>
      </c>
      <c r="T248" s="29">
        <f>IF(Intereses_Residual_Mensual!T248&gt;0, ROUND(S248 + Intereses_Residual_Mensual!T248, 2), "")</f>
        <v/>
      </c>
      <c r="U248" s="29">
        <f>MAX(I248:T248)</f>
        <v/>
      </c>
    </row>
    <row r="249">
      <c r="A249" s="20" t="inlineStr">
        <is>
          <t>0757-0001</t>
        </is>
      </c>
      <c r="B249" s="21" t="inlineStr">
        <is>
          <t>Corporativo de Servicios Integrales de Occidente, S.A. de C.V.</t>
        </is>
      </c>
      <c r="C249" s="21" t="inlineStr">
        <is>
          <t>CX5</t>
        </is>
      </c>
      <c r="D249" s="20" t="inlineStr">
        <is>
          <t>ACTIVO</t>
        </is>
      </c>
      <c r="E249" s="20" t="inlineStr">
        <is>
          <t>2026-05-13</t>
        </is>
      </c>
      <c r="F249" s="20" t="inlineStr">
        <is>
          <t>2028-05-13</t>
        </is>
      </c>
      <c r="G249" s="22" t="n">
        <v>24</v>
      </c>
      <c r="H249" s="23" t="n">
        <v>143980</v>
      </c>
      <c r="I249" s="23" t="inlineStr"/>
      <c r="J249" s="23" t="inlineStr"/>
      <c r="K249" s="23" t="inlineStr"/>
      <c r="L249" s="23" t="inlineStr"/>
      <c r="M249" s="23">
        <f>ROUND('Resumen_Cartera'!$U249 + Intereses_Residual_Mensual!M249, 2)</f>
        <v/>
      </c>
      <c r="N249" s="23">
        <f>IF(Intereses_Residual_Mensual!N249&gt;0, ROUND(M249 + Intereses_Residual_Mensual!N249, 2), "")</f>
        <v/>
      </c>
      <c r="O249" s="23">
        <f>IF(Intereses_Residual_Mensual!O249&gt;0, ROUND(N249 + Intereses_Residual_Mensual!O249, 2), "")</f>
        <v/>
      </c>
      <c r="P249" s="23">
        <f>IF(Intereses_Residual_Mensual!P249&gt;0, ROUND(O249 + Intereses_Residual_Mensual!P249, 2), "")</f>
        <v/>
      </c>
      <c r="Q249" s="23">
        <f>IF(Intereses_Residual_Mensual!Q249&gt;0, ROUND(P249 + Intereses_Residual_Mensual!Q249, 2), "")</f>
        <v/>
      </c>
      <c r="R249" s="23">
        <f>IF(Intereses_Residual_Mensual!R249&gt;0, ROUND(Q249 + Intereses_Residual_Mensual!R249, 2), "")</f>
        <v/>
      </c>
      <c r="S249" s="23">
        <f>IF(Intereses_Residual_Mensual!S249&gt;0, ROUND(R249 + Intereses_Residual_Mensual!S249, 2), "")</f>
        <v/>
      </c>
      <c r="T249" s="23">
        <f>IF(Intereses_Residual_Mensual!T249&gt;0, ROUND(S249 + Intereses_Residual_Mensual!T249, 2), "")</f>
        <v/>
      </c>
      <c r="U249" s="23">
        <f>MAX(I249:T249)</f>
        <v/>
      </c>
    </row>
    <row r="250">
      <c r="A250" s="26" t="inlineStr">
        <is>
          <t>0757-0002</t>
        </is>
      </c>
      <c r="B250" s="27" t="inlineStr">
        <is>
          <t>Corporativo de Servicios Integrales de Occidente, S.A. de C.V.</t>
        </is>
      </c>
      <c r="C250" s="27" t="inlineStr">
        <is>
          <t>Leapmotor B10 2026</t>
        </is>
      </c>
      <c r="D250" s="26" t="inlineStr">
        <is>
          <t>ACTIVO</t>
        </is>
      </c>
      <c r="E250" s="26" t="inlineStr">
        <is>
          <t>2026-07-31</t>
        </is>
      </c>
      <c r="F250" s="26" t="inlineStr">
        <is>
          <t>2029-07-31</t>
        </is>
      </c>
      <c r="G250" s="28" t="n">
        <v>36</v>
      </c>
      <c r="H250" s="29" t="n">
        <v>42672.41</v>
      </c>
      <c r="I250" s="29" t="inlineStr"/>
      <c r="J250" s="29" t="inlineStr"/>
      <c r="K250" s="29" t="inlineStr"/>
      <c r="L250" s="29" t="inlineStr"/>
      <c r="M250" s="29" t="inlineStr"/>
      <c r="N250" s="29" t="inlineStr"/>
      <c r="O250" s="29">
        <f>ROUND('Resumen_Cartera'!$U250 + Intereses_Residual_Mensual!O250, 2)</f>
        <v/>
      </c>
      <c r="P250" s="29">
        <f>IF(Intereses_Residual_Mensual!P250&gt;0, ROUND(O250 + Intereses_Residual_Mensual!P250, 2), "")</f>
        <v/>
      </c>
      <c r="Q250" s="29">
        <f>IF(Intereses_Residual_Mensual!Q250&gt;0, ROUND(P250 + Intereses_Residual_Mensual!Q250, 2), "")</f>
        <v/>
      </c>
      <c r="R250" s="29">
        <f>IF(Intereses_Residual_Mensual!R250&gt;0, ROUND(Q250 + Intereses_Residual_Mensual!R250, 2), "")</f>
        <v/>
      </c>
      <c r="S250" s="29">
        <f>IF(Intereses_Residual_Mensual!S250&gt;0, ROUND(R250 + Intereses_Residual_Mensual!S250, 2), "")</f>
        <v/>
      </c>
      <c r="T250" s="29">
        <f>IF(Intereses_Residual_Mensual!T250&gt;0, ROUND(S250 + Intereses_Residual_Mensual!T250, 2), "")</f>
        <v/>
      </c>
      <c r="U250" s="29">
        <f>MAX(I250:T250)</f>
        <v/>
      </c>
    </row>
    <row r="251">
      <c r="A251" s="20" t="inlineStr">
        <is>
          <t>0758-0001</t>
        </is>
      </c>
      <c r="B251" s="21" t="inlineStr">
        <is>
          <t>Comedores y Servicios Industriales CAMSAA, S.A. de C.V.</t>
        </is>
      </c>
      <c r="C251" s="21" t="inlineStr">
        <is>
          <t>Partner Rapid</t>
        </is>
      </c>
      <c r="D251" s="20" t="inlineStr">
        <is>
          <t>ACTIVO</t>
        </is>
      </c>
      <c r="E251" s="20" t="inlineStr">
        <is>
          <t>2026-05-08</t>
        </is>
      </c>
      <c r="F251" s="20" t="inlineStr">
        <is>
          <t>2028-05-08</t>
        </is>
      </c>
      <c r="G251" s="22" t="n">
        <v>24</v>
      </c>
      <c r="H251" s="23" t="n">
        <v>101520</v>
      </c>
      <c r="I251" s="23" t="inlineStr"/>
      <c r="J251" s="23" t="inlineStr"/>
      <c r="K251" s="23" t="inlineStr"/>
      <c r="L251" s="23" t="inlineStr"/>
      <c r="M251" s="23">
        <f>ROUND('Resumen_Cartera'!$U251 + Intereses_Residual_Mensual!M251, 2)</f>
        <v/>
      </c>
      <c r="N251" s="23">
        <f>IF(Intereses_Residual_Mensual!N251&gt;0, ROUND(M251 + Intereses_Residual_Mensual!N251, 2), "")</f>
        <v/>
      </c>
      <c r="O251" s="23">
        <f>IF(Intereses_Residual_Mensual!O251&gt;0, ROUND(N251 + Intereses_Residual_Mensual!O251, 2), "")</f>
        <v/>
      </c>
      <c r="P251" s="23">
        <f>IF(Intereses_Residual_Mensual!P251&gt;0, ROUND(O251 + Intereses_Residual_Mensual!P251, 2), "")</f>
        <v/>
      </c>
      <c r="Q251" s="23">
        <f>IF(Intereses_Residual_Mensual!Q251&gt;0, ROUND(P251 + Intereses_Residual_Mensual!Q251, 2), "")</f>
        <v/>
      </c>
      <c r="R251" s="23">
        <f>IF(Intereses_Residual_Mensual!R251&gt;0, ROUND(Q251 + Intereses_Residual_Mensual!R251, 2), "")</f>
        <v/>
      </c>
      <c r="S251" s="23">
        <f>IF(Intereses_Residual_Mensual!S251&gt;0, ROUND(R251 + Intereses_Residual_Mensual!S251, 2), "")</f>
        <v/>
      </c>
      <c r="T251" s="23">
        <f>IF(Intereses_Residual_Mensual!T251&gt;0, ROUND(S251 + Intereses_Residual_Mensual!T251, 2), "")</f>
        <v/>
      </c>
      <c r="U251" s="23">
        <f>MAX(I251:T251)</f>
        <v/>
      </c>
    </row>
    <row r="252">
      <c r="A252" s="26" t="inlineStr">
        <is>
          <t>0759-0001</t>
        </is>
      </c>
      <c r="B252" s="27" t="inlineStr">
        <is>
          <t>Construcciones Ligeras Frin, S.A. de C.V.</t>
        </is>
      </c>
      <c r="C252" s="27" t="inlineStr">
        <is>
          <t>700 BIGHORN CREW CAB</t>
        </is>
      </c>
      <c r="D252" s="26" t="inlineStr">
        <is>
          <t>ACTIVO</t>
        </is>
      </c>
      <c r="E252" s="26" t="inlineStr">
        <is>
          <t>2026-05-14</t>
        </is>
      </c>
      <c r="F252" s="26" t="inlineStr">
        <is>
          <t>2029-05-14</t>
        </is>
      </c>
      <c r="G252" s="28" t="n">
        <v>36</v>
      </c>
      <c r="H252" s="29" t="n">
        <v>38990</v>
      </c>
      <c r="I252" s="29" t="inlineStr"/>
      <c r="J252" s="29" t="inlineStr"/>
      <c r="K252" s="29" t="inlineStr"/>
      <c r="L252" s="29" t="inlineStr"/>
      <c r="M252" s="29">
        <f>ROUND('Resumen_Cartera'!$U252 + Intereses_Residual_Mensual!M252, 2)</f>
        <v/>
      </c>
      <c r="N252" s="29">
        <f>IF(Intereses_Residual_Mensual!N252&gt;0, ROUND(M252 + Intereses_Residual_Mensual!N252, 2), "")</f>
        <v/>
      </c>
      <c r="O252" s="29">
        <f>IF(Intereses_Residual_Mensual!O252&gt;0, ROUND(N252 + Intereses_Residual_Mensual!O252, 2), "")</f>
        <v/>
      </c>
      <c r="P252" s="29">
        <f>IF(Intereses_Residual_Mensual!P252&gt;0, ROUND(O252 + Intereses_Residual_Mensual!P252, 2), "")</f>
        <v/>
      </c>
      <c r="Q252" s="29">
        <f>IF(Intereses_Residual_Mensual!Q252&gt;0, ROUND(P252 + Intereses_Residual_Mensual!Q252, 2), "")</f>
        <v/>
      </c>
      <c r="R252" s="29">
        <f>IF(Intereses_Residual_Mensual!R252&gt;0, ROUND(Q252 + Intereses_Residual_Mensual!R252, 2), "")</f>
        <v/>
      </c>
      <c r="S252" s="29">
        <f>IF(Intereses_Residual_Mensual!S252&gt;0, ROUND(R252 + Intereses_Residual_Mensual!S252, 2), "")</f>
        <v/>
      </c>
      <c r="T252" s="29">
        <f>IF(Intereses_Residual_Mensual!T252&gt;0, ROUND(S252 + Intereses_Residual_Mensual!T252, 2), "")</f>
        <v/>
      </c>
      <c r="U252" s="29">
        <f>MAX(I252:T252)</f>
        <v/>
      </c>
    </row>
    <row r="253">
      <c r="A253" s="20" t="inlineStr">
        <is>
          <t>0759-0002</t>
        </is>
      </c>
      <c r="B253" s="21" t="inlineStr">
        <is>
          <t>Construcciones Ligeras Frin, S.A. de C.V.</t>
        </is>
      </c>
      <c r="C253" s="21" t="inlineStr">
        <is>
          <t>700 TRADESMAN CREW CAB</t>
        </is>
      </c>
      <c r="D253" s="20" t="inlineStr">
        <is>
          <t>ACTIVO</t>
        </is>
      </c>
      <c r="E253" s="20" t="inlineStr">
        <is>
          <t>2026-05-14</t>
        </is>
      </c>
      <c r="F253" s="20" t="inlineStr">
        <is>
          <t>2029-05-14</t>
        </is>
      </c>
      <c r="G253" s="22" t="n">
        <v>36</v>
      </c>
      <c r="H253" s="23" t="n">
        <v>35990</v>
      </c>
      <c r="I253" s="23" t="inlineStr"/>
      <c r="J253" s="23" t="inlineStr"/>
      <c r="K253" s="23" t="inlineStr"/>
      <c r="L253" s="23" t="inlineStr"/>
      <c r="M253" s="23">
        <f>ROUND('Resumen_Cartera'!$U253 + Intereses_Residual_Mensual!M253, 2)</f>
        <v/>
      </c>
      <c r="N253" s="23">
        <f>IF(Intereses_Residual_Mensual!N253&gt;0, ROUND(M253 + Intereses_Residual_Mensual!N253, 2), "")</f>
        <v/>
      </c>
      <c r="O253" s="23">
        <f>IF(Intereses_Residual_Mensual!O253&gt;0, ROUND(N253 + Intereses_Residual_Mensual!O253, 2), "")</f>
        <v/>
      </c>
      <c r="P253" s="23">
        <f>IF(Intereses_Residual_Mensual!P253&gt;0, ROUND(O253 + Intereses_Residual_Mensual!P253, 2), "")</f>
        <v/>
      </c>
      <c r="Q253" s="23">
        <f>IF(Intereses_Residual_Mensual!Q253&gt;0, ROUND(P253 + Intereses_Residual_Mensual!Q253, 2), "")</f>
        <v/>
      </c>
      <c r="R253" s="23">
        <f>IF(Intereses_Residual_Mensual!R253&gt;0, ROUND(Q253 + Intereses_Residual_Mensual!R253, 2), "")</f>
        <v/>
      </c>
      <c r="S253" s="23">
        <f>IF(Intereses_Residual_Mensual!S253&gt;0, ROUND(R253 + Intereses_Residual_Mensual!S253, 2), "")</f>
        <v/>
      </c>
      <c r="T253" s="23">
        <f>IF(Intereses_Residual_Mensual!T253&gt;0, ROUND(S253 + Intereses_Residual_Mensual!T253, 2), "")</f>
        <v/>
      </c>
      <c r="U253" s="23">
        <f>MAX(I253:T253)</f>
        <v/>
      </c>
    </row>
    <row r="254">
      <c r="A254" s="26" t="inlineStr">
        <is>
          <t>0760-0001</t>
        </is>
      </c>
      <c r="B254" s="27" t="inlineStr">
        <is>
          <t>Armando Candelario Figueroa</t>
        </is>
      </c>
      <c r="C254" s="27" t="inlineStr">
        <is>
          <t>1200 TRADESMAN CHASIS CABINA</t>
        </is>
      </c>
      <c r="D254" s="26" t="inlineStr">
        <is>
          <t>ACTIVO</t>
        </is>
      </c>
      <c r="E254" s="26" t="inlineStr">
        <is>
          <t>2026-05-18</t>
        </is>
      </c>
      <c r="F254" s="26" t="inlineStr">
        <is>
          <t>2030-05-18</t>
        </is>
      </c>
      <c r="G254" s="28" t="n">
        <v>48</v>
      </c>
      <c r="H254" s="29" t="n">
        <v>41700.3</v>
      </c>
      <c r="I254" s="29" t="inlineStr"/>
      <c r="J254" s="29" t="inlineStr"/>
      <c r="K254" s="29" t="inlineStr"/>
      <c r="L254" s="29" t="inlineStr"/>
      <c r="M254" s="29">
        <f>ROUND('Resumen_Cartera'!$U254 + Intereses_Residual_Mensual!M254, 2)</f>
        <v/>
      </c>
      <c r="N254" s="29">
        <f>IF(Intereses_Residual_Mensual!N254&gt;0, ROUND(M254 + Intereses_Residual_Mensual!N254, 2), "")</f>
        <v/>
      </c>
      <c r="O254" s="29">
        <f>IF(Intereses_Residual_Mensual!O254&gt;0, ROUND(N254 + Intereses_Residual_Mensual!O254, 2), "")</f>
        <v/>
      </c>
      <c r="P254" s="29">
        <f>IF(Intereses_Residual_Mensual!P254&gt;0, ROUND(O254 + Intereses_Residual_Mensual!P254, 2), "")</f>
        <v/>
      </c>
      <c r="Q254" s="29">
        <f>IF(Intereses_Residual_Mensual!Q254&gt;0, ROUND(P254 + Intereses_Residual_Mensual!Q254, 2), "")</f>
        <v/>
      </c>
      <c r="R254" s="29">
        <f>IF(Intereses_Residual_Mensual!R254&gt;0, ROUND(Q254 + Intereses_Residual_Mensual!R254, 2), "")</f>
        <v/>
      </c>
      <c r="S254" s="29">
        <f>IF(Intereses_Residual_Mensual!S254&gt;0, ROUND(R254 + Intereses_Residual_Mensual!S254, 2), "")</f>
        <v/>
      </c>
      <c r="T254" s="29">
        <f>IF(Intereses_Residual_Mensual!T254&gt;0, ROUND(S254 + Intereses_Residual_Mensual!T254, 2), "")</f>
        <v/>
      </c>
      <c r="U254" s="29">
        <f>MAX(I254:T254)</f>
        <v/>
      </c>
    </row>
    <row r="255">
      <c r="A255" s="20" t="inlineStr">
        <is>
          <t>0761-0001</t>
        </is>
      </c>
      <c r="B255" s="21" t="inlineStr">
        <is>
          <t>Total Experience Produce, S.A.P.I. de C.V.</t>
        </is>
      </c>
      <c r="C255" s="21" t="inlineStr">
        <is>
          <t>700 BIGHORN CREW CAB</t>
        </is>
      </c>
      <c r="D255" s="20" t="inlineStr">
        <is>
          <t>ACTIVO</t>
        </is>
      </c>
      <c r="E255" s="20" t="inlineStr">
        <is>
          <t>2026-05-18</t>
        </is>
      </c>
      <c r="F255" s="20" t="inlineStr">
        <is>
          <t>2030-05-18</t>
        </is>
      </c>
      <c r="G255" s="22" t="n">
        <v>48</v>
      </c>
      <c r="H255" s="23" t="n">
        <v>40090</v>
      </c>
      <c r="I255" s="23" t="inlineStr"/>
      <c r="J255" s="23" t="inlineStr"/>
      <c r="K255" s="23" t="inlineStr"/>
      <c r="L255" s="23" t="inlineStr"/>
      <c r="M255" s="23">
        <f>ROUND('Resumen_Cartera'!$U255 + Intereses_Residual_Mensual!M255, 2)</f>
        <v/>
      </c>
      <c r="N255" s="23">
        <f>IF(Intereses_Residual_Mensual!N255&gt;0, ROUND(M255 + Intereses_Residual_Mensual!N255, 2), "")</f>
        <v/>
      </c>
      <c r="O255" s="23">
        <f>IF(Intereses_Residual_Mensual!O255&gt;0, ROUND(N255 + Intereses_Residual_Mensual!O255, 2), "")</f>
        <v/>
      </c>
      <c r="P255" s="23">
        <f>IF(Intereses_Residual_Mensual!P255&gt;0, ROUND(O255 + Intereses_Residual_Mensual!P255, 2), "")</f>
        <v/>
      </c>
      <c r="Q255" s="23">
        <f>IF(Intereses_Residual_Mensual!Q255&gt;0, ROUND(P255 + Intereses_Residual_Mensual!Q255, 2), "")</f>
        <v/>
      </c>
      <c r="R255" s="23">
        <f>IF(Intereses_Residual_Mensual!R255&gt;0, ROUND(Q255 + Intereses_Residual_Mensual!R255, 2), "")</f>
        <v/>
      </c>
      <c r="S255" s="23">
        <f>IF(Intereses_Residual_Mensual!S255&gt;0, ROUND(R255 + Intereses_Residual_Mensual!S255, 2), "")</f>
        <v/>
      </c>
      <c r="T255" s="23">
        <f>IF(Intereses_Residual_Mensual!T255&gt;0, ROUND(S255 + Intereses_Residual_Mensual!T255, 2), "")</f>
        <v/>
      </c>
      <c r="U255" s="23">
        <f>MAX(I255:T255)</f>
        <v/>
      </c>
    </row>
    <row r="256">
      <c r="A256" s="26" t="inlineStr">
        <is>
          <t>0763-0001</t>
        </is>
      </c>
      <c r="B256" s="27" t="inlineStr">
        <is>
          <t>Francisco Javier Fernández Gutiérrez</t>
        </is>
      </c>
      <c r="C256" s="27" t="inlineStr">
        <is>
          <t>1500 RHO</t>
        </is>
      </c>
      <c r="D256" s="26" t="inlineStr">
        <is>
          <t>ACTIVO</t>
        </is>
      </c>
      <c r="E256" s="26" t="inlineStr">
        <is>
          <t>2026-05-28</t>
        </is>
      </c>
      <c r="F256" s="26" t="inlineStr">
        <is>
          <t>2029-05-28</t>
        </is>
      </c>
      <c r="G256" s="28" t="n">
        <v>36</v>
      </c>
      <c r="H256" s="29" t="n">
        <v>466000</v>
      </c>
      <c r="I256" s="29" t="inlineStr"/>
      <c r="J256" s="29" t="inlineStr"/>
      <c r="K256" s="29" t="inlineStr"/>
      <c r="L256" s="29" t="inlineStr"/>
      <c r="M256" s="29">
        <f>ROUND('Resumen_Cartera'!$U256 + Intereses_Residual_Mensual!M256, 2)</f>
        <v/>
      </c>
      <c r="N256" s="29">
        <f>IF(Intereses_Residual_Mensual!N256&gt;0, ROUND(M256 + Intereses_Residual_Mensual!N256, 2), "")</f>
        <v/>
      </c>
      <c r="O256" s="29">
        <f>IF(Intereses_Residual_Mensual!O256&gt;0, ROUND(N256 + Intereses_Residual_Mensual!O256, 2), "")</f>
        <v/>
      </c>
      <c r="P256" s="29">
        <f>IF(Intereses_Residual_Mensual!P256&gt;0, ROUND(O256 + Intereses_Residual_Mensual!P256, 2), "")</f>
        <v/>
      </c>
      <c r="Q256" s="29">
        <f>IF(Intereses_Residual_Mensual!Q256&gt;0, ROUND(P256 + Intereses_Residual_Mensual!Q256, 2), "")</f>
        <v/>
      </c>
      <c r="R256" s="29">
        <f>IF(Intereses_Residual_Mensual!R256&gt;0, ROUND(Q256 + Intereses_Residual_Mensual!R256, 2), "")</f>
        <v/>
      </c>
      <c r="S256" s="29">
        <f>IF(Intereses_Residual_Mensual!S256&gt;0, ROUND(R256 + Intereses_Residual_Mensual!S256, 2), "")</f>
        <v/>
      </c>
      <c r="T256" s="29">
        <f>IF(Intereses_Residual_Mensual!T256&gt;0, ROUND(S256 + Intereses_Residual_Mensual!T256, 2), "")</f>
        <v/>
      </c>
      <c r="U256" s="29">
        <f>MAX(I256:T256)</f>
        <v/>
      </c>
    </row>
    <row r="257">
      <c r="A257" s="20" t="inlineStr">
        <is>
          <t>0764-0001</t>
        </is>
      </c>
      <c r="B257" s="21" t="inlineStr">
        <is>
          <t>Inspectores Marítimos de México, S. de R.L. de C.V.</t>
        </is>
      </c>
      <c r="C257" s="21" t="inlineStr">
        <is>
          <t>1200 Bighorn</t>
        </is>
      </c>
      <c r="D257" s="20" t="inlineStr">
        <is>
          <t>ACTIVO</t>
        </is>
      </c>
      <c r="E257" s="20" t="inlineStr">
        <is>
          <t>2026-06-30</t>
        </is>
      </c>
      <c r="F257" s="20" t="inlineStr">
        <is>
          <t>2029-06-30</t>
        </is>
      </c>
      <c r="G257" s="22" t="n">
        <v>36</v>
      </c>
      <c r="H257" s="23" t="n">
        <v>57490</v>
      </c>
      <c r="I257" s="23" t="inlineStr"/>
      <c r="J257" s="23" t="inlineStr"/>
      <c r="K257" s="23" t="inlineStr"/>
      <c r="L257" s="23" t="inlineStr"/>
      <c r="M257" s="23" t="inlineStr"/>
      <c r="N257" s="23">
        <f>ROUND('Resumen_Cartera'!$U257 + Intereses_Residual_Mensual!N257, 2)</f>
        <v/>
      </c>
      <c r="O257" s="23">
        <f>IF(Intereses_Residual_Mensual!O257&gt;0, ROUND(N257 + Intereses_Residual_Mensual!O257, 2), "")</f>
        <v/>
      </c>
      <c r="P257" s="23">
        <f>IF(Intereses_Residual_Mensual!P257&gt;0, ROUND(O257 + Intereses_Residual_Mensual!P257, 2), "")</f>
        <v/>
      </c>
      <c r="Q257" s="23">
        <f>IF(Intereses_Residual_Mensual!Q257&gt;0, ROUND(P257 + Intereses_Residual_Mensual!Q257, 2), "")</f>
        <v/>
      </c>
      <c r="R257" s="23">
        <f>IF(Intereses_Residual_Mensual!R257&gt;0, ROUND(Q257 + Intereses_Residual_Mensual!R257, 2), "")</f>
        <v/>
      </c>
      <c r="S257" s="23">
        <f>IF(Intereses_Residual_Mensual!S257&gt;0, ROUND(R257 + Intereses_Residual_Mensual!S257, 2), "")</f>
        <v/>
      </c>
      <c r="T257" s="23">
        <f>IF(Intereses_Residual_Mensual!T257&gt;0, ROUND(S257 + Intereses_Residual_Mensual!T257, 2), "")</f>
        <v/>
      </c>
      <c r="U257" s="23">
        <f>MAX(I257:T257)</f>
        <v/>
      </c>
    </row>
    <row r="258">
      <c r="A258" s="26" t="inlineStr">
        <is>
          <t>0765-0001</t>
        </is>
      </c>
      <c r="B258" s="27" t="inlineStr">
        <is>
          <t>Rafael Soltero Sánchez</t>
        </is>
      </c>
      <c r="C258" s="27" t="inlineStr">
        <is>
          <t>1200 Bighorn</t>
        </is>
      </c>
      <c r="D258" s="26" t="inlineStr">
        <is>
          <t>ACTIVO</t>
        </is>
      </c>
      <c r="E258" s="26" t="inlineStr">
        <is>
          <t>2026-06-30</t>
        </is>
      </c>
      <c r="F258" s="26" t="inlineStr">
        <is>
          <t>2030-06-30</t>
        </is>
      </c>
      <c r="G258" s="28" t="n">
        <v>48</v>
      </c>
      <c r="H258" s="29" t="n">
        <v>60490</v>
      </c>
      <c r="I258" s="29" t="inlineStr"/>
      <c r="J258" s="29" t="inlineStr"/>
      <c r="K258" s="29" t="inlineStr"/>
      <c r="L258" s="29" t="inlineStr"/>
      <c r="M258" s="29" t="inlineStr"/>
      <c r="N258" s="29">
        <f>ROUND('Resumen_Cartera'!$U258 + Intereses_Residual_Mensual!N258, 2)</f>
        <v/>
      </c>
      <c r="O258" s="29">
        <f>IF(Intereses_Residual_Mensual!O258&gt;0, ROUND(N258 + Intereses_Residual_Mensual!O258, 2), "")</f>
        <v/>
      </c>
      <c r="P258" s="29">
        <f>IF(Intereses_Residual_Mensual!P258&gt;0, ROUND(O258 + Intereses_Residual_Mensual!P258, 2), "")</f>
        <v/>
      </c>
      <c r="Q258" s="29">
        <f>IF(Intereses_Residual_Mensual!Q258&gt;0, ROUND(P258 + Intereses_Residual_Mensual!Q258, 2), "")</f>
        <v/>
      </c>
      <c r="R258" s="29">
        <f>IF(Intereses_Residual_Mensual!R258&gt;0, ROUND(Q258 + Intereses_Residual_Mensual!R258, 2), "")</f>
        <v/>
      </c>
      <c r="S258" s="29">
        <f>IF(Intereses_Residual_Mensual!S258&gt;0, ROUND(R258 + Intereses_Residual_Mensual!S258, 2), "")</f>
        <v/>
      </c>
      <c r="T258" s="29">
        <f>IF(Intereses_Residual_Mensual!T258&gt;0, ROUND(S258 + Intereses_Residual_Mensual!T258, 2), "")</f>
        <v/>
      </c>
      <c r="U258" s="29">
        <f>MAX(I258:T258)</f>
        <v/>
      </c>
    </row>
    <row r="259">
      <c r="A259" s="20" t="inlineStr">
        <is>
          <t>0766-0001</t>
        </is>
      </c>
      <c r="B259" s="21" t="inlineStr">
        <is>
          <t>Javier Alejandro Carbajal Chávez</t>
        </is>
      </c>
      <c r="C259" s="21" t="inlineStr">
        <is>
          <t>Jt Rubicon</t>
        </is>
      </c>
      <c r="D259" s="20" t="inlineStr">
        <is>
          <t>ACTIVO</t>
        </is>
      </c>
      <c r="E259" s="20" t="inlineStr">
        <is>
          <t>2026-06-30</t>
        </is>
      </c>
      <c r="F259" s="20" t="inlineStr">
        <is>
          <t>2030-06-30</t>
        </is>
      </c>
      <c r="G259" s="22" t="n">
        <v>48</v>
      </c>
      <c r="H259" s="23" t="n">
        <v>157690</v>
      </c>
      <c r="I259" s="23" t="inlineStr"/>
      <c r="J259" s="23" t="inlineStr"/>
      <c r="K259" s="23" t="inlineStr"/>
      <c r="L259" s="23" t="inlineStr"/>
      <c r="M259" s="23" t="inlineStr"/>
      <c r="N259" s="23">
        <f>ROUND('Resumen_Cartera'!$U259 + Intereses_Residual_Mensual!N259, 2)</f>
        <v/>
      </c>
      <c r="O259" s="23">
        <f>IF(Intereses_Residual_Mensual!O259&gt;0, ROUND(N259 + Intereses_Residual_Mensual!O259, 2), "")</f>
        <v/>
      </c>
      <c r="P259" s="23">
        <f>IF(Intereses_Residual_Mensual!P259&gt;0, ROUND(O259 + Intereses_Residual_Mensual!P259, 2), "")</f>
        <v/>
      </c>
      <c r="Q259" s="23">
        <f>IF(Intereses_Residual_Mensual!Q259&gt;0, ROUND(P259 + Intereses_Residual_Mensual!Q259, 2), "")</f>
        <v/>
      </c>
      <c r="R259" s="23">
        <f>IF(Intereses_Residual_Mensual!R259&gt;0, ROUND(Q259 + Intereses_Residual_Mensual!R259, 2), "")</f>
        <v/>
      </c>
      <c r="S259" s="23">
        <f>IF(Intereses_Residual_Mensual!S259&gt;0, ROUND(R259 + Intereses_Residual_Mensual!S259, 2), "")</f>
        <v/>
      </c>
      <c r="T259" s="23">
        <f>IF(Intereses_Residual_Mensual!T259&gt;0, ROUND(S259 + Intereses_Residual_Mensual!T259, 2), "")</f>
        <v/>
      </c>
      <c r="U259" s="23">
        <f>MAX(I259:T259)</f>
        <v/>
      </c>
    </row>
    <row r="260">
      <c r="A260" s="26" t="inlineStr">
        <is>
          <t>0767-0001</t>
        </is>
      </c>
      <c r="B260" s="27" t="inlineStr">
        <is>
          <t>Carlos Alberto Gutiérrez Hermosillo López</t>
        </is>
      </c>
      <c r="C260" s="27" t="inlineStr">
        <is>
          <t>Commander Overland</t>
        </is>
      </c>
      <c r="D260" s="26" t="inlineStr">
        <is>
          <t>ACTIVO</t>
        </is>
      </c>
      <c r="E260" s="26" t="inlineStr">
        <is>
          <t>2026-06-30</t>
        </is>
      </c>
      <c r="F260" s="26" t="inlineStr">
        <is>
          <t>2030-06-30</t>
        </is>
      </c>
      <c r="G260" s="28" t="n">
        <v>48</v>
      </c>
      <c r="H260" s="29" t="n">
        <v>71890</v>
      </c>
      <c r="I260" s="29" t="inlineStr"/>
      <c r="J260" s="29" t="inlineStr"/>
      <c r="K260" s="29" t="inlineStr"/>
      <c r="L260" s="29" t="inlineStr"/>
      <c r="M260" s="29" t="inlineStr"/>
      <c r="N260" s="29">
        <f>ROUND('Resumen_Cartera'!$U260 + Intereses_Residual_Mensual!N260, 2)</f>
        <v/>
      </c>
      <c r="O260" s="29">
        <f>IF(Intereses_Residual_Mensual!O260&gt;0, ROUND(N260 + Intereses_Residual_Mensual!O260, 2), "")</f>
        <v/>
      </c>
      <c r="P260" s="29">
        <f>IF(Intereses_Residual_Mensual!P260&gt;0, ROUND(O260 + Intereses_Residual_Mensual!P260, 2), "")</f>
        <v/>
      </c>
      <c r="Q260" s="29">
        <f>IF(Intereses_Residual_Mensual!Q260&gt;0, ROUND(P260 + Intereses_Residual_Mensual!Q260, 2), "")</f>
        <v/>
      </c>
      <c r="R260" s="29">
        <f>IF(Intereses_Residual_Mensual!R260&gt;0, ROUND(Q260 + Intereses_Residual_Mensual!R260, 2), "")</f>
        <v/>
      </c>
      <c r="S260" s="29">
        <f>IF(Intereses_Residual_Mensual!S260&gt;0, ROUND(R260 + Intereses_Residual_Mensual!S260, 2), "")</f>
        <v/>
      </c>
      <c r="T260" s="29">
        <f>IF(Intereses_Residual_Mensual!T260&gt;0, ROUND(S260 + Intereses_Residual_Mensual!T260, 2), "")</f>
        <v/>
      </c>
      <c r="U260" s="29">
        <f>MAX(I260:T260)</f>
        <v/>
      </c>
    </row>
    <row r="261">
      <c r="A261" s="20" t="inlineStr">
        <is>
          <t>0768-0001</t>
        </is>
      </c>
      <c r="B261" s="21" t="inlineStr">
        <is>
          <t>Distribuidora y Comercializadora 2000, S.A. de C.V.</t>
        </is>
      </c>
      <c r="C261" s="21" t="inlineStr">
        <is>
          <t>Manager Furgon L4H2</t>
        </is>
      </c>
      <c r="D261" s="20" t="inlineStr">
        <is>
          <t>ACTIVO</t>
        </is>
      </c>
      <c r="E261" s="20" t="inlineStr">
        <is>
          <t>2026-06-29</t>
        </is>
      </c>
      <c r="F261" s="20" t="inlineStr">
        <is>
          <t>2027-06-29</t>
        </is>
      </c>
      <c r="G261" s="22" t="n">
        <v>12</v>
      </c>
      <c r="H261" s="23" t="n">
        <v>332520</v>
      </c>
      <c r="I261" s="23" t="inlineStr"/>
      <c r="J261" s="23" t="inlineStr"/>
      <c r="K261" s="23" t="inlineStr"/>
      <c r="L261" s="23" t="inlineStr"/>
      <c r="M261" s="23" t="inlineStr"/>
      <c r="N261" s="23">
        <f>ROUND('Resumen_Cartera'!$U261 + Intereses_Residual_Mensual!N261, 2)</f>
        <v/>
      </c>
      <c r="O261" s="23">
        <f>IF(Intereses_Residual_Mensual!O261&gt;0, ROUND(N261 + Intereses_Residual_Mensual!O261, 2), "")</f>
        <v/>
      </c>
      <c r="P261" s="23">
        <f>IF(Intereses_Residual_Mensual!P261&gt;0, ROUND(O261 + Intereses_Residual_Mensual!P261, 2), "")</f>
        <v/>
      </c>
      <c r="Q261" s="23">
        <f>IF(Intereses_Residual_Mensual!Q261&gt;0, ROUND(P261 + Intereses_Residual_Mensual!Q261, 2), "")</f>
        <v/>
      </c>
      <c r="R261" s="23">
        <f>IF(Intereses_Residual_Mensual!R261&gt;0, ROUND(Q261 + Intereses_Residual_Mensual!R261, 2), "")</f>
        <v/>
      </c>
      <c r="S261" s="23">
        <f>IF(Intereses_Residual_Mensual!S261&gt;0, ROUND(R261 + Intereses_Residual_Mensual!S261, 2), "")</f>
        <v/>
      </c>
      <c r="T261" s="23">
        <f>IF(Intereses_Residual_Mensual!T261&gt;0, ROUND(S261 + Intereses_Residual_Mensual!T261, 2), "")</f>
        <v/>
      </c>
      <c r="U261" s="23">
        <f>MAX(I261:T261)</f>
        <v/>
      </c>
    </row>
    <row r="262">
      <c r="A262" s="26" t="inlineStr">
        <is>
          <t>0768-0002</t>
        </is>
      </c>
      <c r="B262" s="27" t="inlineStr">
        <is>
          <t>Distribuidora y Comercializadora 2000, S.A. de C.V.</t>
        </is>
      </c>
      <c r="C262" s="27" t="inlineStr">
        <is>
          <t>Manager Furgon L4H2</t>
        </is>
      </c>
      <c r="D262" s="26" t="inlineStr">
        <is>
          <t>ACTIVO</t>
        </is>
      </c>
      <c r="E262" s="26" t="inlineStr">
        <is>
          <t>2026-06-29</t>
        </is>
      </c>
      <c r="F262" s="26" t="inlineStr">
        <is>
          <t>2027-06-29</t>
        </is>
      </c>
      <c r="G262" s="28" t="n">
        <v>12</v>
      </c>
      <c r="H262" s="29" t="n">
        <v>342600</v>
      </c>
      <c r="I262" s="29" t="inlineStr"/>
      <c r="J262" s="29" t="inlineStr"/>
      <c r="K262" s="29" t="inlineStr"/>
      <c r="L262" s="29" t="inlineStr"/>
      <c r="M262" s="29" t="inlineStr"/>
      <c r="N262" s="29">
        <f>ROUND('Resumen_Cartera'!$U262 + Intereses_Residual_Mensual!N262, 2)</f>
        <v/>
      </c>
      <c r="O262" s="29">
        <f>IF(Intereses_Residual_Mensual!O262&gt;0, ROUND(N262 + Intereses_Residual_Mensual!O262, 2), "")</f>
        <v/>
      </c>
      <c r="P262" s="29">
        <f>IF(Intereses_Residual_Mensual!P262&gt;0, ROUND(O262 + Intereses_Residual_Mensual!P262, 2), "")</f>
        <v/>
      </c>
      <c r="Q262" s="29">
        <f>IF(Intereses_Residual_Mensual!Q262&gt;0, ROUND(P262 + Intereses_Residual_Mensual!Q262, 2), "")</f>
        <v/>
      </c>
      <c r="R262" s="29">
        <f>IF(Intereses_Residual_Mensual!R262&gt;0, ROUND(Q262 + Intereses_Residual_Mensual!R262, 2), "")</f>
        <v/>
      </c>
      <c r="S262" s="29">
        <f>IF(Intereses_Residual_Mensual!S262&gt;0, ROUND(R262 + Intereses_Residual_Mensual!S262, 2), "")</f>
        <v/>
      </c>
      <c r="T262" s="29">
        <f>IF(Intereses_Residual_Mensual!T262&gt;0, ROUND(S262 + Intereses_Residual_Mensual!T262, 2), "")</f>
        <v/>
      </c>
      <c r="U262" s="29">
        <f>MAX(I262:T262)</f>
        <v/>
      </c>
    </row>
    <row r="263">
      <c r="A263" s="20" t="inlineStr">
        <is>
          <t>0769-0001</t>
        </is>
      </c>
      <c r="B263" s="21" t="inlineStr">
        <is>
          <t>Paloma Bernhardt Partida</t>
        </is>
      </c>
      <c r="C263" s="21" t="inlineStr">
        <is>
          <t>700 TRADESMAN CREW CAB</t>
        </is>
      </c>
      <c r="D263" s="20" t="inlineStr">
        <is>
          <t>ACTIVO</t>
        </is>
      </c>
      <c r="E263" s="20" t="inlineStr">
        <is>
          <t>2026-06-29</t>
        </is>
      </c>
      <c r="F263" s="20" t="inlineStr">
        <is>
          <t>2029-06-29</t>
        </is>
      </c>
      <c r="G263" s="22" t="n">
        <v>36</v>
      </c>
      <c r="H263" s="23" t="n">
        <v>38305.3</v>
      </c>
      <c r="I263" s="23" t="inlineStr"/>
      <c r="J263" s="23" t="inlineStr"/>
      <c r="K263" s="23" t="inlineStr"/>
      <c r="L263" s="23" t="inlineStr"/>
      <c r="M263" s="23" t="inlineStr"/>
      <c r="N263" s="23">
        <f>ROUND('Resumen_Cartera'!$U263 + Intereses_Residual_Mensual!N263, 2)</f>
        <v/>
      </c>
      <c r="O263" s="23">
        <f>IF(Intereses_Residual_Mensual!O263&gt;0, ROUND(N263 + Intereses_Residual_Mensual!O263, 2), "")</f>
        <v/>
      </c>
      <c r="P263" s="23">
        <f>IF(Intereses_Residual_Mensual!P263&gt;0, ROUND(O263 + Intereses_Residual_Mensual!P263, 2), "")</f>
        <v/>
      </c>
      <c r="Q263" s="23">
        <f>IF(Intereses_Residual_Mensual!Q263&gt;0, ROUND(P263 + Intereses_Residual_Mensual!Q263, 2), "")</f>
        <v/>
      </c>
      <c r="R263" s="23">
        <f>IF(Intereses_Residual_Mensual!R263&gt;0, ROUND(Q263 + Intereses_Residual_Mensual!R263, 2), "")</f>
        <v/>
      </c>
      <c r="S263" s="23">
        <f>IF(Intereses_Residual_Mensual!S263&gt;0, ROUND(R263 + Intereses_Residual_Mensual!S263, 2), "")</f>
        <v/>
      </c>
      <c r="T263" s="23">
        <f>IF(Intereses_Residual_Mensual!T263&gt;0, ROUND(S263 + Intereses_Residual_Mensual!T263, 2), "")</f>
        <v/>
      </c>
      <c r="U263" s="23">
        <f>MAX(I263:T263)</f>
        <v/>
      </c>
    </row>
    <row r="264">
      <c r="A264" s="26" t="inlineStr">
        <is>
          <t>0769-0002</t>
        </is>
      </c>
      <c r="B264" s="27" t="inlineStr">
        <is>
          <t>Paloma Bernhardt Partida</t>
        </is>
      </c>
      <c r="C264" s="27" t="inlineStr">
        <is>
          <t>Ram 700 Tradesman 2026</t>
        </is>
      </c>
      <c r="D264" s="26" t="inlineStr">
        <is>
          <t>ACTIVO</t>
        </is>
      </c>
      <c r="E264" s="26" t="inlineStr">
        <is>
          <t>2026-09-23</t>
        </is>
      </c>
      <c r="F264" s="26" t="inlineStr">
        <is>
          <t>2029-09-23</t>
        </is>
      </c>
      <c r="G264" s="28" t="n">
        <v>36</v>
      </c>
      <c r="H264" s="29" t="n">
        <v>66628.97</v>
      </c>
      <c r="I264" s="29" t="inlineStr"/>
      <c r="J264" s="29" t="inlineStr"/>
      <c r="K264" s="29" t="inlineStr"/>
      <c r="L264" s="29" t="inlineStr"/>
      <c r="M264" s="29" t="inlineStr"/>
      <c r="N264" s="29" t="inlineStr"/>
      <c r="O264" s="29" t="inlineStr"/>
      <c r="P264" s="29" t="inlineStr"/>
      <c r="Q264" s="29">
        <f>ROUND('Resumen_Cartera'!$U264 + Intereses_Residual_Mensual!Q264, 2)</f>
        <v/>
      </c>
      <c r="R264" s="29">
        <f>IF(Intereses_Residual_Mensual!R264&gt;0, ROUND(Q264 + Intereses_Residual_Mensual!R264, 2), "")</f>
        <v/>
      </c>
      <c r="S264" s="29">
        <f>IF(Intereses_Residual_Mensual!S264&gt;0, ROUND(R264 + Intereses_Residual_Mensual!S264, 2), "")</f>
        <v/>
      </c>
      <c r="T264" s="29">
        <f>IF(Intereses_Residual_Mensual!T264&gt;0, ROUND(S264 + Intereses_Residual_Mensual!T264, 2), "")</f>
        <v/>
      </c>
      <c r="U264" s="29">
        <f>MAX(I264:T264)</f>
        <v/>
      </c>
    </row>
    <row r="265">
      <c r="A265" s="20" t="inlineStr">
        <is>
          <t>0770-0001</t>
        </is>
      </c>
      <c r="B265" s="21" t="inlineStr">
        <is>
          <t>Jorge Octavio Micher Camarena</t>
        </is>
      </c>
      <c r="C265" s="21" t="inlineStr">
        <is>
          <t>Jeep Cherokee Overland 2026</t>
        </is>
      </c>
      <c r="D265" s="20" t="inlineStr">
        <is>
          <t>ACTIVO</t>
        </is>
      </c>
      <c r="E265" s="20" t="inlineStr">
        <is>
          <t>2026-07-24</t>
        </is>
      </c>
      <c r="F265" s="20" t="inlineStr">
        <is>
          <t>2029-07-24</t>
        </is>
      </c>
      <c r="G265" s="22" t="n">
        <v>36</v>
      </c>
      <c r="H265" s="23" t="n">
        <v>78612.33</v>
      </c>
      <c r="I265" s="23" t="inlineStr"/>
      <c r="J265" s="23" t="inlineStr"/>
      <c r="K265" s="23" t="inlineStr"/>
      <c r="L265" s="23" t="inlineStr"/>
      <c r="M265" s="23" t="inlineStr"/>
      <c r="N265" s="23" t="inlineStr"/>
      <c r="O265" s="23">
        <f>ROUND('Resumen_Cartera'!$U265 + Intereses_Residual_Mensual!O265, 2)</f>
        <v/>
      </c>
      <c r="P265" s="23">
        <f>IF(Intereses_Residual_Mensual!P265&gt;0, ROUND(O265 + Intereses_Residual_Mensual!P265, 2), "")</f>
        <v/>
      </c>
      <c r="Q265" s="23">
        <f>IF(Intereses_Residual_Mensual!Q265&gt;0, ROUND(P265 + Intereses_Residual_Mensual!Q265, 2), "")</f>
        <v/>
      </c>
      <c r="R265" s="23">
        <f>IF(Intereses_Residual_Mensual!R265&gt;0, ROUND(Q265 + Intereses_Residual_Mensual!R265, 2), "")</f>
        <v/>
      </c>
      <c r="S265" s="23">
        <f>IF(Intereses_Residual_Mensual!S265&gt;0, ROUND(R265 + Intereses_Residual_Mensual!S265, 2), "")</f>
        <v/>
      </c>
      <c r="T265" s="23">
        <f>IF(Intereses_Residual_Mensual!T265&gt;0, ROUND(S265 + Intereses_Residual_Mensual!T265, 2), "")</f>
        <v/>
      </c>
      <c r="U265" s="23">
        <f>MAX(I265:T265)</f>
        <v/>
      </c>
    </row>
    <row r="266">
      <c r="A266" s="26" t="inlineStr">
        <is>
          <t>0771-0001</t>
        </is>
      </c>
      <c r="B266" s="27" t="inlineStr">
        <is>
          <t>Inbcom de Colima</t>
        </is>
      </c>
      <c r="C266" s="27" t="inlineStr">
        <is>
          <t>Ram 1200 Tradesman CC 2026</t>
        </is>
      </c>
      <c r="D266" s="26" t="inlineStr">
        <is>
          <t>ACTIVO</t>
        </is>
      </c>
      <c r="E266" s="26" t="inlineStr">
        <is>
          <t>2026-07-31</t>
        </is>
      </c>
      <c r="F266" s="26" t="inlineStr">
        <is>
          <t>2027-07-31</t>
        </is>
      </c>
      <c r="G266" s="28" t="n">
        <v>12</v>
      </c>
      <c r="H266" s="29" t="n">
        <v>330796.55</v>
      </c>
      <c r="I266" s="29" t="inlineStr"/>
      <c r="J266" s="29" t="inlineStr"/>
      <c r="K266" s="29" t="inlineStr"/>
      <c r="L266" s="29" t="inlineStr"/>
      <c r="M266" s="29" t="inlineStr"/>
      <c r="N266" s="29" t="inlineStr"/>
      <c r="O266" s="29">
        <f>ROUND('Resumen_Cartera'!$U266 + Intereses_Residual_Mensual!O266, 2)</f>
        <v/>
      </c>
      <c r="P266" s="29">
        <f>IF(Intereses_Residual_Mensual!P266&gt;0, ROUND(O266 + Intereses_Residual_Mensual!P266, 2), "")</f>
        <v/>
      </c>
      <c r="Q266" s="29">
        <f>IF(Intereses_Residual_Mensual!Q266&gt;0, ROUND(P266 + Intereses_Residual_Mensual!Q266, 2), "")</f>
        <v/>
      </c>
      <c r="R266" s="29">
        <f>IF(Intereses_Residual_Mensual!R266&gt;0, ROUND(Q266 + Intereses_Residual_Mensual!R266, 2), "")</f>
        <v/>
      </c>
      <c r="S266" s="29">
        <f>IF(Intereses_Residual_Mensual!S266&gt;0, ROUND(R266 + Intereses_Residual_Mensual!S266, 2), "")</f>
        <v/>
      </c>
      <c r="T266" s="29">
        <f>IF(Intereses_Residual_Mensual!T266&gt;0, ROUND(S266 + Intereses_Residual_Mensual!T266, 2), "")</f>
        <v/>
      </c>
      <c r="U266" s="29">
        <f>MAX(I266:T266)</f>
        <v/>
      </c>
    </row>
    <row r="267">
      <c r="A267" s="20" t="inlineStr">
        <is>
          <t>0772-0001</t>
        </is>
      </c>
      <c r="B267" s="21" t="inlineStr">
        <is>
          <t>Logistica y Transporte de Carga LGT</t>
        </is>
      </c>
      <c r="C267" s="21" t="inlineStr">
        <is>
          <t>Ram 1200 Laramie 2026</t>
        </is>
      </c>
      <c r="D267" s="20" t="inlineStr">
        <is>
          <t>ACTIVO</t>
        </is>
      </c>
      <c r="E267" s="20" t="inlineStr">
        <is>
          <t>2026-07-31</t>
        </is>
      </c>
      <c r="F267" s="20" t="inlineStr">
        <is>
          <t>2030-07-31</t>
        </is>
      </c>
      <c r="G267" s="22" t="n">
        <v>48</v>
      </c>
      <c r="H267" s="23" t="n">
        <v>59905.17</v>
      </c>
      <c r="I267" s="23" t="inlineStr"/>
      <c r="J267" s="23" t="inlineStr"/>
      <c r="K267" s="23" t="inlineStr"/>
      <c r="L267" s="23" t="inlineStr"/>
      <c r="M267" s="23" t="inlineStr"/>
      <c r="N267" s="23" t="inlineStr"/>
      <c r="O267" s="23">
        <f>ROUND('Resumen_Cartera'!$U267 + Intereses_Residual_Mensual!O267, 2)</f>
        <v/>
      </c>
      <c r="P267" s="23">
        <f>IF(Intereses_Residual_Mensual!P267&gt;0, ROUND(O267 + Intereses_Residual_Mensual!P267, 2), "")</f>
        <v/>
      </c>
      <c r="Q267" s="23">
        <f>IF(Intereses_Residual_Mensual!Q267&gt;0, ROUND(P267 + Intereses_Residual_Mensual!Q267, 2), "")</f>
        <v/>
      </c>
      <c r="R267" s="23">
        <f>IF(Intereses_Residual_Mensual!R267&gt;0, ROUND(Q267 + Intereses_Residual_Mensual!R267, 2), "")</f>
        <v/>
      </c>
      <c r="S267" s="23">
        <f>IF(Intereses_Residual_Mensual!S267&gt;0, ROUND(R267 + Intereses_Residual_Mensual!S267, 2), "")</f>
        <v/>
      </c>
      <c r="T267" s="23">
        <f>IF(Intereses_Residual_Mensual!T267&gt;0, ROUND(S267 + Intereses_Residual_Mensual!T267, 2), "")</f>
        <v/>
      </c>
      <c r="U267" s="23">
        <f>MAX(I267:T267)</f>
        <v/>
      </c>
    </row>
    <row r="268">
      <c r="A268" s="26" t="inlineStr">
        <is>
          <t>0773-0001</t>
        </is>
      </c>
      <c r="B268" s="27" t="inlineStr">
        <is>
          <t>Industrias Besthelg, S.A. de C.V.</t>
        </is>
      </c>
      <c r="C268" s="27" t="inlineStr">
        <is>
          <t>Peugeot Manager Furgon L2H2 2026</t>
        </is>
      </c>
      <c r="D268" s="26" t="inlineStr">
        <is>
          <t>ACTIVO</t>
        </is>
      </c>
      <c r="E268" s="26" t="inlineStr">
        <is>
          <t>2026-08-06</t>
        </is>
      </c>
      <c r="F268" s="26" t="inlineStr">
        <is>
          <t>2029-08-06</t>
        </is>
      </c>
      <c r="G268" s="28" t="n">
        <v>36</v>
      </c>
      <c r="H268" s="29" t="n">
        <v>71370.69</v>
      </c>
      <c r="I268" s="29" t="inlineStr"/>
      <c r="J268" s="29" t="inlineStr"/>
      <c r="K268" s="29" t="inlineStr"/>
      <c r="L268" s="29" t="inlineStr"/>
      <c r="M268" s="29" t="inlineStr"/>
      <c r="N268" s="29" t="inlineStr"/>
      <c r="O268" s="29" t="inlineStr"/>
      <c r="P268" s="29">
        <f>ROUND('Resumen_Cartera'!$U268 + Intereses_Residual_Mensual!P268, 2)</f>
        <v/>
      </c>
      <c r="Q268" s="29">
        <f>IF(Intereses_Residual_Mensual!Q268&gt;0, ROUND(P268 + Intereses_Residual_Mensual!Q268, 2), "")</f>
        <v/>
      </c>
      <c r="R268" s="29">
        <f>IF(Intereses_Residual_Mensual!R268&gt;0, ROUND(Q268 + Intereses_Residual_Mensual!R268, 2), "")</f>
        <v/>
      </c>
      <c r="S268" s="29">
        <f>IF(Intereses_Residual_Mensual!S268&gt;0, ROUND(R268 + Intereses_Residual_Mensual!S268, 2), "")</f>
        <v/>
      </c>
      <c r="T268" s="29">
        <f>IF(Intereses_Residual_Mensual!T268&gt;0, ROUND(S268 + Intereses_Residual_Mensual!T268, 2), "")</f>
        <v/>
      </c>
      <c r="U268" s="29">
        <f>MAX(I268:T268)</f>
        <v/>
      </c>
    </row>
    <row r="269">
      <c r="A269" s="20" t="inlineStr">
        <is>
          <t>0773-0002</t>
        </is>
      </c>
      <c r="B269" s="21" t="inlineStr">
        <is>
          <t>Industrias Besthelg, S.A. de C.V.</t>
        </is>
      </c>
      <c r="C269" s="21" t="inlineStr">
        <is>
          <t>Peugeot Manager L4H2 2027</t>
        </is>
      </c>
      <c r="D269" s="20" t="inlineStr">
        <is>
          <t>ACTIVO</t>
        </is>
      </c>
      <c r="E269" s="20" t="inlineStr">
        <is>
          <t>2026-07-31</t>
        </is>
      </c>
      <c r="F269" s="20" t="inlineStr">
        <is>
          <t>2029-07-31</t>
        </is>
      </c>
      <c r="G269" s="22" t="n">
        <v>36</v>
      </c>
      <c r="H269" s="23" t="n">
        <v>152224.14</v>
      </c>
      <c r="I269" s="23" t="inlineStr"/>
      <c r="J269" s="23" t="inlineStr"/>
      <c r="K269" s="23" t="inlineStr"/>
      <c r="L269" s="23" t="inlineStr"/>
      <c r="M269" s="23" t="inlineStr"/>
      <c r="N269" s="23" t="inlineStr"/>
      <c r="O269" s="23">
        <f>ROUND('Resumen_Cartera'!$U269 + Intereses_Residual_Mensual!O269, 2)</f>
        <v/>
      </c>
      <c r="P269" s="23">
        <f>IF(Intereses_Residual_Mensual!P269&gt;0, ROUND(O269 + Intereses_Residual_Mensual!P269, 2), "")</f>
        <v/>
      </c>
      <c r="Q269" s="23">
        <f>IF(Intereses_Residual_Mensual!Q269&gt;0, ROUND(P269 + Intereses_Residual_Mensual!Q269, 2), "")</f>
        <v/>
      </c>
      <c r="R269" s="23">
        <f>IF(Intereses_Residual_Mensual!R269&gt;0, ROUND(Q269 + Intereses_Residual_Mensual!R269, 2), "")</f>
        <v/>
      </c>
      <c r="S269" s="23">
        <f>IF(Intereses_Residual_Mensual!S269&gt;0, ROUND(R269 + Intereses_Residual_Mensual!S269, 2), "")</f>
        <v/>
      </c>
      <c r="T269" s="23">
        <f>IF(Intereses_Residual_Mensual!T269&gt;0, ROUND(S269 + Intereses_Residual_Mensual!T269, 2), "")</f>
        <v/>
      </c>
      <c r="U269" s="23">
        <f>MAX(I269:T269)</f>
        <v/>
      </c>
    </row>
    <row r="270">
      <c r="A270" s="26" t="inlineStr">
        <is>
          <t>0774-0001</t>
        </is>
      </c>
      <c r="B270" s="27" t="inlineStr">
        <is>
          <t>Grupo Plastikrom</t>
        </is>
      </c>
      <c r="C270" s="27" t="inlineStr">
        <is>
          <t>Jeep Cherokee Overland 2026</t>
        </is>
      </c>
      <c r="D270" s="26" t="inlineStr">
        <is>
          <t>ACTIVO</t>
        </is>
      </c>
      <c r="E270" s="26" t="inlineStr">
        <is>
          <t>2026-08-28</t>
        </is>
      </c>
      <c r="F270" s="26" t="inlineStr">
        <is>
          <t>2028-08-28</t>
        </is>
      </c>
      <c r="G270" s="28" t="n">
        <v>24</v>
      </c>
      <c r="H270" s="29" t="n">
        <v>115258.58</v>
      </c>
      <c r="I270" s="29" t="inlineStr"/>
      <c r="J270" s="29" t="inlineStr"/>
      <c r="K270" s="29" t="inlineStr"/>
      <c r="L270" s="29" t="inlineStr"/>
      <c r="M270" s="29" t="inlineStr"/>
      <c r="N270" s="29" t="inlineStr"/>
      <c r="O270" s="29" t="inlineStr"/>
      <c r="P270" s="29">
        <f>ROUND('Resumen_Cartera'!$U270 + Intereses_Residual_Mensual!P270, 2)</f>
        <v/>
      </c>
      <c r="Q270" s="29">
        <f>IF(Intereses_Residual_Mensual!Q270&gt;0, ROUND(P270 + Intereses_Residual_Mensual!Q270, 2), "")</f>
        <v/>
      </c>
      <c r="R270" s="29">
        <f>IF(Intereses_Residual_Mensual!R270&gt;0, ROUND(Q270 + Intereses_Residual_Mensual!R270, 2), "")</f>
        <v/>
      </c>
      <c r="S270" s="29">
        <f>IF(Intereses_Residual_Mensual!S270&gt;0, ROUND(R270 + Intereses_Residual_Mensual!S270, 2), "")</f>
        <v/>
      </c>
      <c r="T270" s="29">
        <f>IF(Intereses_Residual_Mensual!T270&gt;0, ROUND(S270 + Intereses_Residual_Mensual!T270, 2), "")</f>
        <v/>
      </c>
      <c r="U270" s="29">
        <f>MAX(I270:T270)</f>
        <v/>
      </c>
    </row>
    <row r="271">
      <c r="A271" s="20" t="inlineStr">
        <is>
          <t>0775-0001</t>
        </is>
      </c>
      <c r="B271" s="21" t="inlineStr">
        <is>
          <t>Manuel Ledezma Iñiguez</t>
        </is>
      </c>
      <c r="C271" s="21" t="inlineStr">
        <is>
          <t>Leapmotor B10 2026</t>
        </is>
      </c>
      <c r="D271" s="20" t="inlineStr">
        <is>
          <t>ACTIVO</t>
        </is>
      </c>
      <c r="E271" s="20" t="inlineStr">
        <is>
          <t>2026-08-26</t>
        </is>
      </c>
      <c r="F271" s="20" t="inlineStr">
        <is>
          <t>2030-08-26</t>
        </is>
      </c>
      <c r="G271" s="22" t="n">
        <v>48</v>
      </c>
      <c r="H271" s="23" t="n">
        <v>85500</v>
      </c>
      <c r="I271" s="23" t="inlineStr"/>
      <c r="J271" s="23" t="inlineStr"/>
      <c r="K271" s="23" t="inlineStr"/>
      <c r="L271" s="23" t="inlineStr"/>
      <c r="M271" s="23" t="inlineStr"/>
      <c r="N271" s="23" t="inlineStr"/>
      <c r="O271" s="23" t="inlineStr"/>
      <c r="P271" s="23">
        <f>ROUND('Resumen_Cartera'!$U271 + Intereses_Residual_Mensual!P271, 2)</f>
        <v/>
      </c>
      <c r="Q271" s="23">
        <f>IF(Intereses_Residual_Mensual!Q271&gt;0, ROUND(P271 + Intereses_Residual_Mensual!Q271, 2), "")</f>
        <v/>
      </c>
      <c r="R271" s="23">
        <f>IF(Intereses_Residual_Mensual!R271&gt;0, ROUND(Q271 + Intereses_Residual_Mensual!R271, 2), "")</f>
        <v/>
      </c>
      <c r="S271" s="23">
        <f>IF(Intereses_Residual_Mensual!S271&gt;0, ROUND(R271 + Intereses_Residual_Mensual!S271, 2), "")</f>
        <v/>
      </c>
      <c r="T271" s="23">
        <f>IF(Intereses_Residual_Mensual!T271&gt;0, ROUND(S271 + Intereses_Residual_Mensual!T271, 2), "")</f>
        <v/>
      </c>
      <c r="U271" s="23">
        <f>MAX(I271:T271)</f>
        <v/>
      </c>
    </row>
    <row r="272">
      <c r="A272" s="26" t="inlineStr">
        <is>
          <t>0776-0001</t>
        </is>
      </c>
      <c r="B272" s="27" t="inlineStr">
        <is>
          <t>Armando Serna Hernández</t>
        </is>
      </c>
      <c r="C272" s="27" t="inlineStr">
        <is>
          <t>Jeep Grand Cherokee Limited 2026</t>
        </is>
      </c>
      <c r="D272" s="26" t="inlineStr">
        <is>
          <t>ACTIVO</t>
        </is>
      </c>
      <c r="E272" s="26" t="inlineStr">
        <is>
          <t>2026-08-26</t>
        </is>
      </c>
      <c r="F272" s="26" t="inlineStr">
        <is>
          <t>2030-08-26</t>
        </is>
      </c>
      <c r="G272" s="28" t="n">
        <v>48</v>
      </c>
      <c r="H272" s="29" t="n">
        <v>241189.66</v>
      </c>
      <c r="I272" s="29" t="inlineStr"/>
      <c r="J272" s="29" t="inlineStr"/>
      <c r="K272" s="29" t="inlineStr"/>
      <c r="L272" s="29" t="inlineStr"/>
      <c r="M272" s="29" t="inlineStr"/>
      <c r="N272" s="29" t="inlineStr"/>
      <c r="O272" s="29" t="inlineStr"/>
      <c r="P272" s="29">
        <f>ROUND('Resumen_Cartera'!$U272 + Intereses_Residual_Mensual!P272, 2)</f>
        <v/>
      </c>
      <c r="Q272" s="29">
        <f>IF(Intereses_Residual_Mensual!Q272&gt;0, ROUND(P272 + Intereses_Residual_Mensual!Q272, 2), "")</f>
        <v/>
      </c>
      <c r="R272" s="29">
        <f>IF(Intereses_Residual_Mensual!R272&gt;0, ROUND(Q272 + Intereses_Residual_Mensual!R272, 2), "")</f>
        <v/>
      </c>
      <c r="S272" s="29">
        <f>IF(Intereses_Residual_Mensual!S272&gt;0, ROUND(R272 + Intereses_Residual_Mensual!S272, 2), "")</f>
        <v/>
      </c>
      <c r="T272" s="29">
        <f>IF(Intereses_Residual_Mensual!T272&gt;0, ROUND(S272 + Intereses_Residual_Mensual!T272, 2), "")</f>
        <v/>
      </c>
      <c r="U272" s="29">
        <f>MAX(I272:T272)</f>
        <v/>
      </c>
    </row>
    <row r="273">
      <c r="A273" s="20" t="inlineStr">
        <is>
          <t>0777-0001</t>
        </is>
      </c>
      <c r="B273" s="21" t="inlineStr">
        <is>
          <t>Yazmin Alejandra Gomez Olivas</t>
        </is>
      </c>
      <c r="C273" s="21" t="inlineStr">
        <is>
          <t>Jeep Wrangler Rubicon 2026</t>
        </is>
      </c>
      <c r="D273" s="20" t="inlineStr">
        <is>
          <t>ACTIVO</t>
        </is>
      </c>
      <c r="E273" s="20" t="inlineStr">
        <is>
          <t>2026-08-31</t>
        </is>
      </c>
      <c r="F273" s="20" t="inlineStr">
        <is>
          <t>2030-08-31</t>
        </is>
      </c>
      <c r="G273" s="22" t="n">
        <v>48</v>
      </c>
      <c r="H273" s="23" t="n">
        <v>120077.59</v>
      </c>
      <c r="I273" s="23" t="inlineStr"/>
      <c r="J273" s="23" t="inlineStr"/>
      <c r="K273" s="23" t="inlineStr"/>
      <c r="L273" s="23" t="inlineStr"/>
      <c r="M273" s="23" t="inlineStr"/>
      <c r="N273" s="23" t="inlineStr"/>
      <c r="O273" s="23" t="inlineStr"/>
      <c r="P273" s="23">
        <f>ROUND('Resumen_Cartera'!$U273 + Intereses_Residual_Mensual!P273, 2)</f>
        <v/>
      </c>
      <c r="Q273" s="23">
        <f>IF(Intereses_Residual_Mensual!Q273&gt;0, ROUND(P273 + Intereses_Residual_Mensual!Q273, 2), "")</f>
        <v/>
      </c>
      <c r="R273" s="23">
        <f>IF(Intereses_Residual_Mensual!R273&gt;0, ROUND(Q273 + Intereses_Residual_Mensual!R273, 2), "")</f>
        <v/>
      </c>
      <c r="S273" s="23">
        <f>IF(Intereses_Residual_Mensual!S273&gt;0, ROUND(R273 + Intereses_Residual_Mensual!S273, 2), "")</f>
        <v/>
      </c>
      <c r="T273" s="23">
        <f>IF(Intereses_Residual_Mensual!T273&gt;0, ROUND(S273 + Intereses_Residual_Mensual!T273, 2), "")</f>
        <v/>
      </c>
      <c r="U273" s="23">
        <f>MAX(I273:T273)</f>
        <v/>
      </c>
    </row>
    <row r="274">
      <c r="A274" s="26" t="inlineStr">
        <is>
          <t>0778-0001</t>
        </is>
      </c>
      <c r="B274" s="27" t="inlineStr">
        <is>
          <t>Construcciones y Desarrollos Inmobile, S.A. de C.V.</t>
        </is>
      </c>
      <c r="C274" s="27" t="inlineStr">
        <is>
          <t>Mitsubishi L200 2026</t>
        </is>
      </c>
      <c r="D274" s="26" t="inlineStr">
        <is>
          <t>ACTIVO</t>
        </is>
      </c>
      <c r="E274" s="26" t="inlineStr">
        <is>
          <t>2026-08-31</t>
        </is>
      </c>
      <c r="F274" s="26" t="inlineStr">
        <is>
          <t>2028-08-31</t>
        </is>
      </c>
      <c r="G274" s="28" t="n">
        <v>24</v>
      </c>
      <c r="H274" s="29" t="n">
        <v>51545.26</v>
      </c>
      <c r="I274" s="29" t="inlineStr"/>
      <c r="J274" s="29" t="inlineStr"/>
      <c r="K274" s="29" t="inlineStr"/>
      <c r="L274" s="29" t="inlineStr"/>
      <c r="M274" s="29" t="inlineStr"/>
      <c r="N274" s="29" t="inlineStr"/>
      <c r="O274" s="29" t="inlineStr"/>
      <c r="P274" s="29">
        <f>ROUND('Resumen_Cartera'!$U274 + Intereses_Residual_Mensual!P274, 2)</f>
        <v/>
      </c>
      <c r="Q274" s="29">
        <f>IF(Intereses_Residual_Mensual!Q274&gt;0, ROUND(P274 + Intereses_Residual_Mensual!Q274, 2), "")</f>
        <v/>
      </c>
      <c r="R274" s="29">
        <f>IF(Intereses_Residual_Mensual!R274&gt;0, ROUND(Q274 + Intereses_Residual_Mensual!R274, 2), "")</f>
        <v/>
      </c>
      <c r="S274" s="29">
        <f>IF(Intereses_Residual_Mensual!S274&gt;0, ROUND(R274 + Intereses_Residual_Mensual!S274, 2), "")</f>
        <v/>
      </c>
      <c r="T274" s="29">
        <f>IF(Intereses_Residual_Mensual!T274&gt;0, ROUND(S274 + Intereses_Residual_Mensual!T274, 2), "")</f>
        <v/>
      </c>
      <c r="U274" s="29">
        <f>MAX(I274:T274)</f>
        <v/>
      </c>
    </row>
    <row r="275">
      <c r="A275" s="20" t="inlineStr">
        <is>
          <t>0779-0001</t>
        </is>
      </c>
      <c r="B275" s="21" t="inlineStr">
        <is>
          <t>Margarita Kaplun Mucharrafille</t>
        </is>
      </c>
      <c r="C275" s="21" t="inlineStr">
        <is>
          <t>Ram 700 Bighorn 2026</t>
        </is>
      </c>
      <c r="D275" s="20" t="inlineStr">
        <is>
          <t>ACTIVO</t>
        </is>
      </c>
      <c r="E275" s="20" t="inlineStr">
        <is>
          <t>2026-09-03</t>
        </is>
      </c>
      <c r="F275" s="20" t="inlineStr">
        <is>
          <t>2030-09-03</t>
        </is>
      </c>
      <c r="G275" s="22" t="n">
        <v>48</v>
      </c>
      <c r="H275" s="23" t="n">
        <v>37159.91</v>
      </c>
      <c r="I275" s="23" t="inlineStr"/>
      <c r="J275" s="23" t="inlineStr"/>
      <c r="K275" s="23" t="inlineStr"/>
      <c r="L275" s="23" t="inlineStr"/>
      <c r="M275" s="23" t="inlineStr"/>
      <c r="N275" s="23" t="inlineStr"/>
      <c r="O275" s="23" t="inlineStr"/>
      <c r="P275" s="23" t="inlineStr"/>
      <c r="Q275" s="23">
        <f>ROUND('Resumen_Cartera'!$U275 + Intereses_Residual_Mensual!Q275, 2)</f>
        <v/>
      </c>
      <c r="R275" s="23">
        <f>IF(Intereses_Residual_Mensual!R275&gt;0, ROUND(Q275 + Intereses_Residual_Mensual!R275, 2), "")</f>
        <v/>
      </c>
      <c r="S275" s="23">
        <f>IF(Intereses_Residual_Mensual!S275&gt;0, ROUND(R275 + Intereses_Residual_Mensual!S275, 2), "")</f>
        <v/>
      </c>
      <c r="T275" s="23">
        <f>IF(Intereses_Residual_Mensual!T275&gt;0, ROUND(S275 + Intereses_Residual_Mensual!T275, 2), "")</f>
        <v/>
      </c>
      <c r="U275" s="23">
        <f>MAX(I275:T275)</f>
        <v/>
      </c>
    </row>
    <row r="276">
      <c r="A276" s="26" t="inlineStr">
        <is>
          <t>0780-0001</t>
        </is>
      </c>
      <c r="B276" s="27" t="inlineStr">
        <is>
          <t>David Rosendo Cedeño Guerrero</t>
        </is>
      </c>
      <c r="C276" s="27" t="inlineStr">
        <is>
          <t>Suzuki Jimny 2027</t>
        </is>
      </c>
      <c r="D276" s="26" t="inlineStr">
        <is>
          <t>ACTIVO</t>
        </is>
      </c>
      <c r="E276" s="26" t="inlineStr">
        <is>
          <t>2026-09-03</t>
        </is>
      </c>
      <c r="F276" s="26" t="inlineStr">
        <is>
          <t>2030-09-03</t>
        </is>
      </c>
      <c r="G276" s="28" t="n">
        <v>48</v>
      </c>
      <c r="H276" s="29" t="n">
        <v>46464.66</v>
      </c>
      <c r="I276" s="29" t="inlineStr"/>
      <c r="J276" s="29" t="inlineStr"/>
      <c r="K276" s="29" t="inlineStr"/>
      <c r="L276" s="29" t="inlineStr"/>
      <c r="M276" s="29" t="inlineStr"/>
      <c r="N276" s="29" t="inlineStr"/>
      <c r="O276" s="29" t="inlineStr"/>
      <c r="P276" s="29" t="inlineStr"/>
      <c r="Q276" s="29">
        <f>ROUND('Resumen_Cartera'!$U276 + Intereses_Residual_Mensual!Q276, 2)</f>
        <v/>
      </c>
      <c r="R276" s="29">
        <f>IF(Intereses_Residual_Mensual!R276&gt;0, ROUND(Q276 + Intereses_Residual_Mensual!R276, 2), "")</f>
        <v/>
      </c>
      <c r="S276" s="29">
        <f>IF(Intereses_Residual_Mensual!S276&gt;0, ROUND(R276 + Intereses_Residual_Mensual!S276, 2), "")</f>
        <v/>
      </c>
      <c r="T276" s="29">
        <f>IF(Intereses_Residual_Mensual!T276&gt;0, ROUND(S276 + Intereses_Residual_Mensual!T276, 2), "")</f>
        <v/>
      </c>
      <c r="U276" s="29">
        <f>MAX(I276:T276)</f>
        <v/>
      </c>
    </row>
    <row r="277">
      <c r="A277" s="20" t="inlineStr">
        <is>
          <t>0781-0001</t>
        </is>
      </c>
      <c r="B277" s="21" t="inlineStr">
        <is>
          <t>Northstar Marine &amp; Civil, S.A. de C.V.</t>
        </is>
      </c>
      <c r="C277" s="21" t="inlineStr">
        <is>
          <t>Sany Motoniveladora 2026</t>
        </is>
      </c>
      <c r="D277" s="20" t="inlineStr">
        <is>
          <t>ACTIVO</t>
        </is>
      </c>
      <c r="E277" s="20" t="inlineStr">
        <is>
          <t>2026-09-25</t>
        </is>
      </c>
      <c r="F277" s="20" t="inlineStr">
        <is>
          <t>2028-09-25</t>
        </is>
      </c>
      <c r="G277" s="22" t="n">
        <v>24</v>
      </c>
      <c r="H277" s="23" t="n">
        <v>65542.10000000001</v>
      </c>
      <c r="I277" s="23" t="inlineStr"/>
      <c r="J277" s="23" t="inlineStr"/>
      <c r="K277" s="23" t="inlineStr"/>
      <c r="L277" s="23" t="inlineStr"/>
      <c r="M277" s="23" t="inlineStr"/>
      <c r="N277" s="23" t="inlineStr"/>
      <c r="O277" s="23" t="inlineStr"/>
      <c r="P277" s="23" t="inlineStr"/>
      <c r="Q277" s="23">
        <f>ROUND('Resumen_Cartera'!$U277 + Intereses_Residual_Mensual!Q277, 2)</f>
        <v/>
      </c>
      <c r="R277" s="23">
        <f>IF(Intereses_Residual_Mensual!R277&gt;0, ROUND(Q277 + Intereses_Residual_Mensual!R277, 2), "")</f>
        <v/>
      </c>
      <c r="S277" s="23">
        <f>IF(Intereses_Residual_Mensual!S277&gt;0, ROUND(R277 + Intereses_Residual_Mensual!S277, 2), "")</f>
        <v/>
      </c>
      <c r="T277" s="23">
        <f>IF(Intereses_Residual_Mensual!T277&gt;0, ROUND(S277 + Intereses_Residual_Mensual!T277, 2), "")</f>
        <v/>
      </c>
      <c r="U277" s="23">
        <f>MAX(I277:T277)</f>
        <v/>
      </c>
    </row>
    <row r="278">
      <c r="A278" s="26" t="inlineStr">
        <is>
          <t>0783-0001</t>
        </is>
      </c>
      <c r="B278" s="27" t="inlineStr">
        <is>
          <t>Nuup Trading, S.A. de C.V.</t>
        </is>
      </c>
      <c r="C278" s="27" t="inlineStr">
        <is>
          <t>Jeep Renegade 2026</t>
        </is>
      </c>
      <c r="D278" s="26" t="inlineStr">
        <is>
          <t>ACTIVO</t>
        </is>
      </c>
      <c r="E278" s="26" t="inlineStr">
        <is>
          <t>2026-09-22</t>
        </is>
      </c>
      <c r="F278" s="26" t="inlineStr">
        <is>
          <t>2028-09-22</t>
        </is>
      </c>
      <c r="G278" s="28" t="n">
        <v>24</v>
      </c>
      <c r="H278" s="29" t="n">
        <v>86534.48</v>
      </c>
      <c r="I278" s="29" t="inlineStr"/>
      <c r="J278" s="29" t="inlineStr"/>
      <c r="K278" s="29" t="inlineStr"/>
      <c r="L278" s="29" t="inlineStr"/>
      <c r="M278" s="29" t="inlineStr"/>
      <c r="N278" s="29" t="inlineStr"/>
      <c r="O278" s="29" t="inlineStr"/>
      <c r="P278" s="29" t="inlineStr"/>
      <c r="Q278" s="29">
        <f>ROUND('Resumen_Cartera'!$U278 + Intereses_Residual_Mensual!Q278, 2)</f>
        <v/>
      </c>
      <c r="R278" s="29">
        <f>IF(Intereses_Residual_Mensual!R278&gt;0, ROUND(Q278 + Intereses_Residual_Mensual!R278, 2), "")</f>
        <v/>
      </c>
      <c r="S278" s="29">
        <f>IF(Intereses_Residual_Mensual!S278&gt;0, ROUND(R278 + Intereses_Residual_Mensual!S278, 2), "")</f>
        <v/>
      </c>
      <c r="T278" s="29">
        <f>IF(Intereses_Residual_Mensual!T278&gt;0, ROUND(S278 + Intereses_Residual_Mensual!T278, 2), "")</f>
        <v/>
      </c>
      <c r="U278" s="29">
        <f>MAX(I278:T278)</f>
        <v/>
      </c>
    </row>
    <row r="279">
      <c r="A279" s="20" t="inlineStr">
        <is>
          <t>0784-0001</t>
        </is>
      </c>
      <c r="B279" s="21" t="inlineStr">
        <is>
          <t>Enruta App, S.A. de C.V.</t>
        </is>
      </c>
      <c r="C279" s="21" t="inlineStr">
        <is>
          <t>Dodge Attitude GT 2026</t>
        </is>
      </c>
      <c r="D279" s="20" t="inlineStr">
        <is>
          <t>ACTIVO</t>
        </is>
      </c>
      <c r="E279" s="20" t="inlineStr">
        <is>
          <t>2026-09-22</t>
        </is>
      </c>
      <c r="F279" s="20" t="inlineStr">
        <is>
          <t>2027-09-22</t>
        </is>
      </c>
      <c r="G279" s="22" t="n">
        <v>12</v>
      </c>
      <c r="H279" s="23" t="n">
        <v>119385.26</v>
      </c>
      <c r="I279" s="23" t="inlineStr"/>
      <c r="J279" s="23" t="inlineStr"/>
      <c r="K279" s="23" t="inlineStr"/>
      <c r="L279" s="23" t="inlineStr"/>
      <c r="M279" s="23" t="inlineStr"/>
      <c r="N279" s="23" t="inlineStr"/>
      <c r="O279" s="23" t="inlineStr"/>
      <c r="P279" s="23" t="inlineStr"/>
      <c r="Q279" s="23">
        <f>ROUND('Resumen_Cartera'!$U279 + Intereses_Residual_Mensual!Q279, 2)</f>
        <v/>
      </c>
      <c r="R279" s="23">
        <f>IF(Intereses_Residual_Mensual!R279&gt;0, ROUND(Q279 + Intereses_Residual_Mensual!R279, 2), "")</f>
        <v/>
      </c>
      <c r="S279" s="23">
        <f>IF(Intereses_Residual_Mensual!S279&gt;0, ROUND(R279 + Intereses_Residual_Mensual!S279, 2), "")</f>
        <v/>
      </c>
      <c r="T279" s="23">
        <f>IF(Intereses_Residual_Mensual!T279&gt;0, ROUND(S279 + Intereses_Residual_Mensual!T279, 2), "")</f>
        <v/>
      </c>
      <c r="U279" s="23">
        <f>MAX(I279:T279)</f>
        <v/>
      </c>
    </row>
    <row r="280">
      <c r="A280" s="26" t="inlineStr">
        <is>
          <t>0785-0001</t>
        </is>
      </c>
      <c r="B280" s="27" t="inlineStr">
        <is>
          <t>Velazquez Guerrero y Asociados, S.C.</t>
        </is>
      </c>
      <c r="C280" s="27" t="inlineStr">
        <is>
          <t>Peugeot Rifter Allure Pack 2027</t>
        </is>
      </c>
      <c r="D280" s="26" t="inlineStr">
        <is>
          <t>ACTIVO</t>
        </is>
      </c>
      <c r="E280" s="26" t="inlineStr">
        <is>
          <t>2026-09-28</t>
        </is>
      </c>
      <c r="F280" s="26" t="inlineStr">
        <is>
          <t>2028-09-28</t>
        </is>
      </c>
      <c r="G280" s="28" t="n">
        <v>24</v>
      </c>
      <c r="H280" s="29" t="n">
        <v>84941.89999999999</v>
      </c>
      <c r="I280" s="29" t="inlineStr"/>
      <c r="J280" s="29" t="inlineStr"/>
      <c r="K280" s="29" t="inlineStr"/>
      <c r="L280" s="29" t="inlineStr"/>
      <c r="M280" s="29" t="inlineStr"/>
      <c r="N280" s="29" t="inlineStr"/>
      <c r="O280" s="29" t="inlineStr"/>
      <c r="P280" s="29" t="inlineStr"/>
      <c r="Q280" s="29">
        <f>ROUND('Resumen_Cartera'!$U280 + Intereses_Residual_Mensual!Q280, 2)</f>
        <v/>
      </c>
      <c r="R280" s="29">
        <f>IF(Intereses_Residual_Mensual!R280&gt;0, ROUND(Q280 + Intereses_Residual_Mensual!R280, 2), "")</f>
        <v/>
      </c>
      <c r="S280" s="29">
        <f>IF(Intereses_Residual_Mensual!S280&gt;0, ROUND(R280 + Intereses_Residual_Mensual!S280, 2), "")</f>
        <v/>
      </c>
      <c r="T280" s="29">
        <f>IF(Intereses_Residual_Mensual!T280&gt;0, ROUND(S280 + Intereses_Residual_Mensual!T280, 2), "")</f>
        <v/>
      </c>
      <c r="U280" s="29">
        <f>MAX(I280:T280)</f>
        <v/>
      </c>
    </row>
    <row r="281">
      <c r="A281" s="20" t="inlineStr">
        <is>
          <t>0786-0001</t>
        </is>
      </c>
      <c r="B281" s="21" t="inlineStr">
        <is>
          <t>Consejería Jurídico Empresarial, S.C.</t>
        </is>
      </c>
      <c r="C281" s="21" t="inlineStr">
        <is>
          <t>Mitsubishi Outlander Sport Limited 2027</t>
        </is>
      </c>
      <c r="D281" s="20" t="inlineStr">
        <is>
          <t>ACTIVO</t>
        </is>
      </c>
      <c r="E281" s="20" t="inlineStr">
        <is>
          <t>2026-09-28</t>
        </is>
      </c>
      <c r="F281" s="20" t="inlineStr">
        <is>
          <t>2028-09-28</t>
        </is>
      </c>
      <c r="G281" s="22" t="n">
        <v>24</v>
      </c>
      <c r="H281" s="23" t="n">
        <v>95145.52</v>
      </c>
      <c r="I281" s="23" t="inlineStr"/>
      <c r="J281" s="23" t="inlineStr"/>
      <c r="K281" s="23" t="inlineStr"/>
      <c r="L281" s="23" t="inlineStr"/>
      <c r="M281" s="23" t="inlineStr"/>
      <c r="N281" s="23" t="inlineStr"/>
      <c r="O281" s="23" t="inlineStr"/>
      <c r="P281" s="23" t="inlineStr"/>
      <c r="Q281" s="23">
        <f>ROUND('Resumen_Cartera'!$U281 + Intereses_Residual_Mensual!Q281, 2)</f>
        <v/>
      </c>
      <c r="R281" s="23">
        <f>IF(Intereses_Residual_Mensual!R281&gt;0, ROUND(Q281 + Intereses_Residual_Mensual!R281, 2), "")</f>
        <v/>
      </c>
      <c r="S281" s="23">
        <f>IF(Intereses_Residual_Mensual!S281&gt;0, ROUND(R281 + Intereses_Residual_Mensual!S281, 2), "")</f>
        <v/>
      </c>
      <c r="T281" s="23">
        <f>IF(Intereses_Residual_Mensual!T281&gt;0, ROUND(S281 + Intereses_Residual_Mensual!T281, 2), "")</f>
        <v/>
      </c>
      <c r="U281" s="23">
        <f>MAX(I281:T281)</f>
        <v/>
      </c>
    </row>
    <row r="282">
      <c r="A282" s="32" t="inlineStr">
        <is>
          <t>TOTAL CARTERA</t>
        </is>
      </c>
      <c r="B282" s="33" t="inlineStr">
        <is>
          <t>277 Contratos</t>
        </is>
      </c>
      <c r="C282" s="34" t="n"/>
      <c r="D282" s="34" t="n"/>
      <c r="E282" s="34" t="n"/>
      <c r="F282" s="34" t="n"/>
      <c r="G282" s="34" t="n"/>
      <c r="H282" s="34" t="n"/>
      <c r="I282" s="35">
        <f>SUM(I5:I281)</f>
        <v/>
      </c>
      <c r="J282" s="35">
        <f>SUM(J5:J281)</f>
        <v/>
      </c>
      <c r="K282" s="35">
        <f>SUM(K5:K281)</f>
        <v/>
      </c>
      <c r="L282" s="35">
        <f>SUM(L5:L281)</f>
        <v/>
      </c>
      <c r="M282" s="35">
        <f>SUM(M5:M281)</f>
        <v/>
      </c>
      <c r="N282" s="35">
        <f>SUM(N5:N281)</f>
        <v/>
      </c>
      <c r="O282" s="35">
        <f>SUM(O5:O281)</f>
        <v/>
      </c>
      <c r="P282" s="35">
        <f>SUM(P5:P281)</f>
        <v/>
      </c>
      <c r="Q282" s="35">
        <f>SUM(Q5:Q281)</f>
        <v/>
      </c>
      <c r="R282" s="35">
        <f>SUM(R5:R281)</f>
        <v/>
      </c>
      <c r="S282" s="35">
        <f>SUM(S5:S281)</f>
        <v/>
      </c>
      <c r="T282" s="35">
        <f>SUM(T5:T281)</f>
        <v/>
      </c>
      <c r="U282" s="35">
        <f>SUM(U5:U281)</f>
        <v/>
      </c>
    </row>
  </sheetData>
  <autoFilter ref="A4:U281"/>
  <mergeCells count="2">
    <mergeCell ref="A1:O1"/>
    <mergeCell ref="A2:O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82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2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20" customWidth="1" min="18" max="18"/>
  </cols>
  <sheetData>
    <row r="1" ht="24" customHeight="1">
      <c r="A1" s="18" t="inlineStr">
        <is>
          <t>O-LEASING · UNA APP DE ORANGE CREW · Saldo Total Exigible Global de Cartera (Capital + Intereses + Residual)</t>
        </is>
      </c>
    </row>
    <row r="2" ht="16" customHeight="1">
      <c r="A2" s="3" t="inlineStr">
        <is>
          <t>Fórmula inter-hoja viva sumando saldo total de cartera más saldo de valor residual activo · Auditoría Financiera NIF C-15 / IFRS 16 · Desarrollado por Orange Crew</t>
        </is>
      </c>
    </row>
    <row r="4" ht="26" customHeight="1">
      <c r="A4" s="19" t="inlineStr">
        <is>
          <t>ID_Contrato</t>
        </is>
      </c>
      <c r="B4" s="19" t="inlineStr">
        <is>
          <t>Cliente</t>
        </is>
      </c>
      <c r="C4" s="19" t="inlineStr">
        <is>
          <t>Vehiculo</t>
        </is>
      </c>
      <c r="D4" s="19" t="inlineStr">
        <is>
          <t>Estatus</t>
        </is>
      </c>
      <c r="E4" s="19" t="inlineStr">
        <is>
          <t>Plazo</t>
        </is>
      </c>
      <c r="F4" s="9" t="inlineStr">
        <is>
          <t>2026-01</t>
        </is>
      </c>
      <c r="G4" s="9" t="inlineStr">
        <is>
          <t>2026-02</t>
        </is>
      </c>
      <c r="H4" s="9" t="inlineStr">
        <is>
          <t>2026-03</t>
        </is>
      </c>
      <c r="I4" s="9" t="inlineStr">
        <is>
          <t>2026-04</t>
        </is>
      </c>
      <c r="J4" s="9" t="inlineStr">
        <is>
          <t>2026-05</t>
        </is>
      </c>
      <c r="K4" s="9" t="inlineStr">
        <is>
          <t>2026-06</t>
        </is>
      </c>
      <c r="L4" s="9" t="inlineStr">
        <is>
          <t>2026-07</t>
        </is>
      </c>
      <c r="M4" s="9" t="inlineStr">
        <is>
          <t>2026-08</t>
        </is>
      </c>
      <c r="N4" s="9" t="inlineStr">
        <is>
          <t>2026-09</t>
        </is>
      </c>
      <c r="O4" s="9" t="inlineStr">
        <is>
          <t>2026-10</t>
        </is>
      </c>
      <c r="P4" s="9" t="inlineStr">
        <is>
          <t>2026-11</t>
        </is>
      </c>
      <c r="Q4" s="9" t="inlineStr">
        <is>
          <t>2026-12</t>
        </is>
      </c>
      <c r="R4" s="46" t="inlineStr">
        <is>
          <t>Saldo_Global_Cierre</t>
        </is>
      </c>
    </row>
    <row r="5">
      <c r="A5" s="20" t="inlineStr">
        <is>
          <t>0326-0003</t>
        </is>
      </c>
      <c r="B5" s="21" t="inlineStr">
        <is>
          <t>Alberto Vázquez Solorio</t>
        </is>
      </c>
      <c r="C5" s="21" t="inlineStr">
        <is>
          <t>Volkswagen Tiguan R-Line 2026</t>
        </is>
      </c>
      <c r="D5" s="20" t="inlineStr">
        <is>
          <t>ACTIVO</t>
        </is>
      </c>
      <c r="E5" s="22" t="n">
        <v>48</v>
      </c>
      <c r="F5" s="23" t="inlineStr"/>
      <c r="G5" s="23" t="inlineStr"/>
      <c r="H5" s="23" t="inlineStr"/>
      <c r="I5" s="23" t="inlineStr"/>
      <c r="J5" s="23" t="inlineStr"/>
      <c r="K5" s="23" t="inlineStr"/>
      <c r="L5" s="23" t="inlineStr"/>
      <c r="M5" s="23" t="inlineStr"/>
      <c r="N5" s="23">
        <f>ROUND(Saldos_Cartera_Total!N5 + Saldo_Residual_Activo!Q5, 2)</f>
        <v/>
      </c>
      <c r="O5" s="23">
        <f>ROUND(Saldos_Cartera_Total!O5 + Saldo_Residual_Activo!R5, 2)</f>
        <v/>
      </c>
      <c r="P5" s="23">
        <f>ROUND(Saldos_Cartera_Total!P5 + Saldo_Residual_Activo!S5, 2)</f>
        <v/>
      </c>
      <c r="Q5" s="23">
        <f>ROUND(Saldos_Cartera_Total!Q5 + Saldo_Residual_Activo!T5, 2)</f>
        <v/>
      </c>
      <c r="R5" s="23">
        <f>MAX(F5:Q5)</f>
        <v/>
      </c>
    </row>
    <row r="6">
      <c r="A6" s="26" t="inlineStr">
        <is>
          <t>0472-0003</t>
        </is>
      </c>
      <c r="B6" s="27" t="inlineStr">
        <is>
          <t>Miguel Zazueta Beltrán</t>
        </is>
      </c>
      <c r="C6" s="27" t="inlineStr">
        <is>
          <t>Jeep Grand Cherokee</t>
        </is>
      </c>
      <c r="D6" s="26" t="inlineStr">
        <is>
          <t>ACTIVO</t>
        </is>
      </c>
      <c r="E6" s="28" t="n">
        <v>36</v>
      </c>
      <c r="F6" s="29" t="inlineStr"/>
      <c r="G6" s="29">
        <f>ROUND(Saldos_Cartera_Total!G6 + Saldo_Residual_Activo!J6, 2)</f>
        <v/>
      </c>
      <c r="H6" s="29">
        <f>ROUND(Saldos_Cartera_Total!H6 + Saldo_Residual_Activo!K6, 2)</f>
        <v/>
      </c>
      <c r="I6" s="29">
        <f>ROUND(Saldos_Cartera_Total!I6 + Saldo_Residual_Activo!L6, 2)</f>
        <v/>
      </c>
      <c r="J6" s="29">
        <f>ROUND(Saldos_Cartera_Total!J6 + Saldo_Residual_Activo!M6, 2)</f>
        <v/>
      </c>
      <c r="K6" s="29">
        <f>ROUND(Saldos_Cartera_Total!K6 + Saldo_Residual_Activo!N6, 2)</f>
        <v/>
      </c>
      <c r="L6" s="29">
        <f>ROUND(Saldos_Cartera_Total!L6 + Saldo_Residual_Activo!O6, 2)</f>
        <v/>
      </c>
      <c r="M6" s="29">
        <f>ROUND(Saldos_Cartera_Total!M6 + Saldo_Residual_Activo!P6, 2)</f>
        <v/>
      </c>
      <c r="N6" s="29">
        <f>ROUND(Saldos_Cartera_Total!N6 + Saldo_Residual_Activo!Q6, 2)</f>
        <v/>
      </c>
      <c r="O6" s="29">
        <f>ROUND(Saldos_Cartera_Total!O6 + Saldo_Residual_Activo!R6, 2)</f>
        <v/>
      </c>
      <c r="P6" s="29">
        <f>ROUND(Saldos_Cartera_Total!P6 + Saldo_Residual_Activo!S6, 2)</f>
        <v/>
      </c>
      <c r="Q6" s="29">
        <f>ROUND(Saldos_Cartera_Total!Q6 + Saldo_Residual_Activo!T6, 2)</f>
        <v/>
      </c>
      <c r="R6" s="29">
        <f>MAX(F6:Q6)</f>
        <v/>
      </c>
    </row>
    <row r="7">
      <c r="A7" s="20" t="inlineStr">
        <is>
          <t>0504-0004</t>
        </is>
      </c>
      <c r="B7" s="21" t="inlineStr">
        <is>
          <t>Oscar Ivan Lozano Terriquez</t>
        </is>
      </c>
      <c r="C7" s="21" t="inlineStr">
        <is>
          <t>700 BIGHORN "S" CREW CAB MT</t>
        </is>
      </c>
      <c r="D7" s="20" t="inlineStr">
        <is>
          <t>ACTIVO</t>
        </is>
      </c>
      <c r="E7" s="22" t="n">
        <v>12</v>
      </c>
      <c r="F7" s="23">
        <f>ROUND(Saldos_Cartera_Total!F7 + Saldo_Residual_Activo!I7, 2)</f>
        <v/>
      </c>
      <c r="G7" s="23">
        <f>ROUND(Saldos_Cartera_Total!G7 + Saldo_Residual_Activo!J7, 2)</f>
        <v/>
      </c>
      <c r="H7" s="23">
        <f>ROUND(Saldos_Cartera_Total!H7 + Saldo_Residual_Activo!K7, 2)</f>
        <v/>
      </c>
      <c r="I7" s="23">
        <f>ROUND(Saldos_Cartera_Total!I7 + Saldo_Residual_Activo!L7, 2)</f>
        <v/>
      </c>
      <c r="J7" s="23">
        <f>ROUND(Saldos_Cartera_Total!J7 + Saldo_Residual_Activo!M7, 2)</f>
        <v/>
      </c>
      <c r="K7" s="23">
        <f>ROUND(Saldos_Cartera_Total!K7 + Saldo_Residual_Activo!N7, 2)</f>
        <v/>
      </c>
      <c r="L7" s="23">
        <f>ROUND(Saldos_Cartera_Total!L7 + Saldo_Residual_Activo!O7, 2)</f>
        <v/>
      </c>
      <c r="M7" s="23">
        <f>ROUND(Saldos_Cartera_Total!M7 + Saldo_Residual_Activo!P7, 2)</f>
        <v/>
      </c>
      <c r="N7" s="23">
        <f>ROUND(Saldos_Cartera_Total!N7 + Saldo_Residual_Activo!Q7, 2)</f>
        <v/>
      </c>
      <c r="O7" s="23">
        <f>ROUND(Saldos_Cartera_Total!O7 + Saldo_Residual_Activo!R7, 2)</f>
        <v/>
      </c>
      <c r="P7" s="23">
        <f>ROUND(Saldos_Cartera_Total!P7 + Saldo_Residual_Activo!S7, 2)</f>
        <v/>
      </c>
      <c r="Q7" s="23">
        <f>ROUND(Saldos_Cartera_Total!Q7 + Saldo_Residual_Activo!T7, 2)</f>
        <v/>
      </c>
      <c r="R7" s="23">
        <f>MAX(F7:Q7)</f>
        <v/>
      </c>
    </row>
    <row r="8">
      <c r="A8" s="26" t="inlineStr">
        <is>
          <t>0506-0006</t>
        </is>
      </c>
      <c r="B8" s="27" t="inlineStr">
        <is>
          <t>Electronic Accounting Sa de Cv</t>
        </is>
      </c>
      <c r="C8" s="27" t="inlineStr">
        <is>
          <t>X5</t>
        </is>
      </c>
      <c r="D8" s="26" t="inlineStr">
        <is>
          <t>ACTIVO</t>
        </is>
      </c>
      <c r="E8" s="28" t="n">
        <v>36</v>
      </c>
      <c r="F8" s="29">
        <f>ROUND(Saldos_Cartera_Total!F8 + Saldo_Residual_Activo!I8, 2)</f>
        <v/>
      </c>
      <c r="G8" s="29">
        <f>ROUND(Saldos_Cartera_Total!G8 + Saldo_Residual_Activo!J8, 2)</f>
        <v/>
      </c>
      <c r="H8" s="29">
        <f>ROUND(Saldos_Cartera_Total!H8 + Saldo_Residual_Activo!K8, 2)</f>
        <v/>
      </c>
      <c r="I8" s="29">
        <f>ROUND(Saldos_Cartera_Total!I8 + Saldo_Residual_Activo!L8, 2)</f>
        <v/>
      </c>
      <c r="J8" s="29">
        <f>ROUND(Saldos_Cartera_Total!J8 + Saldo_Residual_Activo!M8, 2)</f>
        <v/>
      </c>
      <c r="K8" s="29">
        <f>ROUND(Saldos_Cartera_Total!K8 + Saldo_Residual_Activo!N8, 2)</f>
        <v/>
      </c>
      <c r="L8" s="29">
        <f>ROUND(Saldos_Cartera_Total!L8 + Saldo_Residual_Activo!O8, 2)</f>
        <v/>
      </c>
      <c r="M8" s="29">
        <f>ROUND(Saldos_Cartera_Total!M8 + Saldo_Residual_Activo!P8, 2)</f>
        <v/>
      </c>
      <c r="N8" s="29">
        <f>ROUND(Saldos_Cartera_Total!N8 + Saldo_Residual_Activo!Q8, 2)</f>
        <v/>
      </c>
      <c r="O8" s="29">
        <f>ROUND(Saldos_Cartera_Total!O8 + Saldo_Residual_Activo!R8, 2)</f>
        <v/>
      </c>
      <c r="P8" s="29">
        <f>ROUND(Saldos_Cartera_Total!P8 + Saldo_Residual_Activo!S8, 2)</f>
        <v/>
      </c>
      <c r="Q8" s="29">
        <f>ROUND(Saldos_Cartera_Total!Q8 + Saldo_Residual_Activo!T8, 2)</f>
        <v/>
      </c>
      <c r="R8" s="29">
        <f>MAX(F8:Q8)</f>
        <v/>
      </c>
    </row>
    <row r="9">
      <c r="A9" s="20" t="inlineStr">
        <is>
          <t>0506-0007</t>
        </is>
      </c>
      <c r="B9" s="21" t="inlineStr">
        <is>
          <t>Electronic Acounting</t>
        </is>
      </c>
      <c r="C9" s="21" t="inlineStr">
        <is>
          <t>L200 Glx Diesel</t>
        </is>
      </c>
      <c r="D9" s="20" t="inlineStr">
        <is>
          <t>ACTIVO</t>
        </is>
      </c>
      <c r="E9" s="22" t="n">
        <v>36</v>
      </c>
      <c r="F9" s="23">
        <f>ROUND(Saldos_Cartera_Total!F9 + Saldo_Residual_Activo!I9, 2)</f>
        <v/>
      </c>
      <c r="G9" s="23">
        <f>ROUND(Saldos_Cartera_Total!G9 + Saldo_Residual_Activo!J9, 2)</f>
        <v/>
      </c>
      <c r="H9" s="23">
        <f>ROUND(Saldos_Cartera_Total!H9 + Saldo_Residual_Activo!K9, 2)</f>
        <v/>
      </c>
      <c r="I9" s="23">
        <f>ROUND(Saldos_Cartera_Total!I9 + Saldo_Residual_Activo!L9, 2)</f>
        <v/>
      </c>
      <c r="J9" s="23">
        <f>ROUND(Saldos_Cartera_Total!J9 + Saldo_Residual_Activo!M9, 2)</f>
        <v/>
      </c>
      <c r="K9" s="23">
        <f>ROUND(Saldos_Cartera_Total!K9 + Saldo_Residual_Activo!N9, 2)</f>
        <v/>
      </c>
      <c r="L9" s="23">
        <f>ROUND(Saldos_Cartera_Total!L9 + Saldo_Residual_Activo!O9, 2)</f>
        <v/>
      </c>
      <c r="M9" s="23">
        <f>ROUND(Saldos_Cartera_Total!M9 + Saldo_Residual_Activo!P9, 2)</f>
        <v/>
      </c>
      <c r="N9" s="23">
        <f>ROUND(Saldos_Cartera_Total!N9 + Saldo_Residual_Activo!Q9, 2)</f>
        <v/>
      </c>
      <c r="O9" s="23">
        <f>ROUND(Saldos_Cartera_Total!O9 + Saldo_Residual_Activo!R9, 2)</f>
        <v/>
      </c>
      <c r="P9" s="23">
        <f>ROUND(Saldos_Cartera_Total!P9 + Saldo_Residual_Activo!S9, 2)</f>
        <v/>
      </c>
      <c r="Q9" s="23">
        <f>ROUND(Saldos_Cartera_Total!Q9 + Saldo_Residual_Activo!T9, 2)</f>
        <v/>
      </c>
      <c r="R9" s="23">
        <f>MAX(F9:Q9)</f>
        <v/>
      </c>
    </row>
    <row r="10">
      <c r="A10" s="26" t="inlineStr">
        <is>
          <t>0519-0005</t>
        </is>
      </c>
      <c r="B10" s="27" t="inlineStr">
        <is>
          <t>Tequilas el Mexicano S.A. de C.V.</t>
        </is>
      </c>
      <c r="C10" s="27" t="inlineStr">
        <is>
          <t>Attitude Sport</t>
        </is>
      </c>
      <c r="D10" s="26" t="inlineStr">
        <is>
          <t>ACTIVO</t>
        </is>
      </c>
      <c r="E10" s="28" t="n">
        <v>48</v>
      </c>
      <c r="F10" s="29">
        <f>ROUND(Saldos_Cartera_Total!F10 + Saldo_Residual_Activo!I10, 2)</f>
        <v/>
      </c>
      <c r="G10" s="29">
        <f>ROUND(Saldos_Cartera_Total!G10 + Saldo_Residual_Activo!J10, 2)</f>
        <v/>
      </c>
      <c r="H10" s="29">
        <f>ROUND(Saldos_Cartera_Total!H10 + Saldo_Residual_Activo!K10, 2)</f>
        <v/>
      </c>
      <c r="I10" s="29">
        <f>ROUND(Saldos_Cartera_Total!I10 + Saldo_Residual_Activo!L10, 2)</f>
        <v/>
      </c>
      <c r="J10" s="29">
        <f>ROUND(Saldos_Cartera_Total!J10 + Saldo_Residual_Activo!M10, 2)</f>
        <v/>
      </c>
      <c r="K10" s="29">
        <f>ROUND(Saldos_Cartera_Total!K10 + Saldo_Residual_Activo!N10, 2)</f>
        <v/>
      </c>
      <c r="L10" s="29">
        <f>ROUND(Saldos_Cartera_Total!L10 + Saldo_Residual_Activo!O10, 2)</f>
        <v/>
      </c>
      <c r="M10" s="29">
        <f>ROUND(Saldos_Cartera_Total!M10 + Saldo_Residual_Activo!P10, 2)</f>
        <v/>
      </c>
      <c r="N10" s="29">
        <f>ROUND(Saldos_Cartera_Total!N10 + Saldo_Residual_Activo!Q10, 2)</f>
        <v/>
      </c>
      <c r="O10" s="29">
        <f>ROUND(Saldos_Cartera_Total!O10 + Saldo_Residual_Activo!R10, 2)</f>
        <v/>
      </c>
      <c r="P10" s="29">
        <f>ROUND(Saldos_Cartera_Total!P10 + Saldo_Residual_Activo!S10, 2)</f>
        <v/>
      </c>
      <c r="Q10" s="29">
        <f>ROUND(Saldos_Cartera_Total!Q10 + Saldo_Residual_Activo!T10, 2)</f>
        <v/>
      </c>
      <c r="R10" s="29">
        <f>MAX(F10:Q10)</f>
        <v/>
      </c>
    </row>
    <row r="11">
      <c r="A11" s="20" t="inlineStr">
        <is>
          <t>0520-0003</t>
        </is>
      </c>
      <c r="B11" s="21" t="inlineStr">
        <is>
          <t>Tractomotriz Diesel Leal, S.A. de C.V.</t>
        </is>
      </c>
      <c r="C11" s="21" t="inlineStr">
        <is>
          <t>Montero Sport</t>
        </is>
      </c>
      <c r="D11" s="20" t="inlineStr">
        <is>
          <t>ACTIVO</t>
        </is>
      </c>
      <c r="E11" s="22" t="n">
        <v>36</v>
      </c>
      <c r="F11" s="23">
        <f>ROUND(Saldos_Cartera_Total!F11 + Saldo_Residual_Activo!I11, 2)</f>
        <v/>
      </c>
      <c r="G11" s="23">
        <f>ROUND(Saldos_Cartera_Total!G11 + Saldo_Residual_Activo!J11, 2)</f>
        <v/>
      </c>
      <c r="H11" s="23">
        <f>ROUND(Saldos_Cartera_Total!H11 + Saldo_Residual_Activo!K11, 2)</f>
        <v/>
      </c>
      <c r="I11" s="23">
        <f>ROUND(Saldos_Cartera_Total!I11 + Saldo_Residual_Activo!L11, 2)</f>
        <v/>
      </c>
      <c r="J11" s="23">
        <f>ROUND(Saldos_Cartera_Total!J11 + Saldo_Residual_Activo!M11, 2)</f>
        <v/>
      </c>
      <c r="K11" s="23">
        <f>ROUND(Saldos_Cartera_Total!K11 + Saldo_Residual_Activo!N11, 2)</f>
        <v/>
      </c>
      <c r="L11" s="23">
        <f>ROUND(Saldos_Cartera_Total!L11 + Saldo_Residual_Activo!O11, 2)</f>
        <v/>
      </c>
      <c r="M11" s="23">
        <f>ROUND(Saldos_Cartera_Total!M11 + Saldo_Residual_Activo!P11, 2)</f>
        <v/>
      </c>
      <c r="N11" s="23">
        <f>ROUND(Saldos_Cartera_Total!N11 + Saldo_Residual_Activo!Q11, 2)</f>
        <v/>
      </c>
      <c r="O11" s="23">
        <f>ROUND(Saldos_Cartera_Total!O11 + Saldo_Residual_Activo!R11, 2)</f>
        <v/>
      </c>
      <c r="P11" s="23">
        <f>ROUND(Saldos_Cartera_Total!P11 + Saldo_Residual_Activo!S11, 2)</f>
        <v/>
      </c>
      <c r="Q11" s="23">
        <f>ROUND(Saldos_Cartera_Total!Q11 + Saldo_Residual_Activo!T11, 2)</f>
        <v/>
      </c>
      <c r="R11" s="23">
        <f>MAX(F11:Q11)</f>
        <v/>
      </c>
    </row>
    <row r="12">
      <c r="A12" s="26" t="inlineStr">
        <is>
          <t>0520-0004</t>
        </is>
      </c>
      <c r="B12" s="27" t="inlineStr">
        <is>
          <t>Tractomotriz Diesel Leal, S.A. de C.V.</t>
        </is>
      </c>
      <c r="C12" s="27" t="inlineStr">
        <is>
          <t>Partner Maxi Pack</t>
        </is>
      </c>
      <c r="D12" s="26" t="inlineStr">
        <is>
          <t>ACTIVO</t>
        </is>
      </c>
      <c r="E12" s="28" t="n">
        <v>36</v>
      </c>
      <c r="F12" s="29">
        <f>ROUND(Saldos_Cartera_Total!F12 + Saldo_Residual_Activo!I12, 2)</f>
        <v/>
      </c>
      <c r="G12" s="29">
        <f>ROUND(Saldos_Cartera_Total!G12 + Saldo_Residual_Activo!J12, 2)</f>
        <v/>
      </c>
      <c r="H12" s="29">
        <f>ROUND(Saldos_Cartera_Total!H12 + Saldo_Residual_Activo!K12, 2)</f>
        <v/>
      </c>
      <c r="I12" s="29">
        <f>ROUND(Saldos_Cartera_Total!I12 + Saldo_Residual_Activo!L12, 2)</f>
        <v/>
      </c>
      <c r="J12" s="29">
        <f>ROUND(Saldos_Cartera_Total!J12 + Saldo_Residual_Activo!M12, 2)</f>
        <v/>
      </c>
      <c r="K12" s="29">
        <f>ROUND(Saldos_Cartera_Total!K12 + Saldo_Residual_Activo!N12, 2)</f>
        <v/>
      </c>
      <c r="L12" s="29">
        <f>ROUND(Saldos_Cartera_Total!L12 + Saldo_Residual_Activo!O12, 2)</f>
        <v/>
      </c>
      <c r="M12" s="29">
        <f>ROUND(Saldos_Cartera_Total!M12 + Saldo_Residual_Activo!P12, 2)</f>
        <v/>
      </c>
      <c r="N12" s="29">
        <f>ROUND(Saldos_Cartera_Total!N12 + Saldo_Residual_Activo!Q12, 2)</f>
        <v/>
      </c>
      <c r="O12" s="29">
        <f>ROUND(Saldos_Cartera_Total!O12 + Saldo_Residual_Activo!R12, 2)</f>
        <v/>
      </c>
      <c r="P12" s="29">
        <f>ROUND(Saldos_Cartera_Total!P12 + Saldo_Residual_Activo!S12, 2)</f>
        <v/>
      </c>
      <c r="Q12" s="29">
        <f>ROUND(Saldos_Cartera_Total!Q12 + Saldo_Residual_Activo!T12, 2)</f>
        <v/>
      </c>
      <c r="R12" s="29">
        <f>MAX(F12:Q12)</f>
        <v/>
      </c>
    </row>
    <row r="13">
      <c r="A13" s="20" t="inlineStr">
        <is>
          <t>0521-0002</t>
        </is>
      </c>
      <c r="B13" s="21" t="inlineStr">
        <is>
          <t>Carlos Hiram leal Leal</t>
        </is>
      </c>
      <c r="C13" s="21" t="inlineStr">
        <is>
          <t>Xpander</t>
        </is>
      </c>
      <c r="D13" s="20" t="inlineStr">
        <is>
          <t>ACTIVO</t>
        </is>
      </c>
      <c r="E13" s="22" t="n">
        <v>36</v>
      </c>
      <c r="F13" s="23">
        <f>ROUND(Saldos_Cartera_Total!F13 + Saldo_Residual_Activo!I13, 2)</f>
        <v/>
      </c>
      <c r="G13" s="23">
        <f>ROUND(Saldos_Cartera_Total!G13 + Saldo_Residual_Activo!J13, 2)</f>
        <v/>
      </c>
      <c r="H13" s="23">
        <f>ROUND(Saldos_Cartera_Total!H13 + Saldo_Residual_Activo!K13, 2)</f>
        <v/>
      </c>
      <c r="I13" s="23">
        <f>ROUND(Saldos_Cartera_Total!I13 + Saldo_Residual_Activo!L13, 2)</f>
        <v/>
      </c>
      <c r="J13" s="23">
        <f>ROUND(Saldos_Cartera_Total!J13 + Saldo_Residual_Activo!M13, 2)</f>
        <v/>
      </c>
      <c r="K13" s="23">
        <f>ROUND(Saldos_Cartera_Total!K13 + Saldo_Residual_Activo!N13, 2)</f>
        <v/>
      </c>
      <c r="L13" s="23">
        <f>ROUND(Saldos_Cartera_Total!L13 + Saldo_Residual_Activo!O13, 2)</f>
        <v/>
      </c>
      <c r="M13" s="23">
        <f>ROUND(Saldos_Cartera_Total!M13 + Saldo_Residual_Activo!P13, 2)</f>
        <v/>
      </c>
      <c r="N13" s="23">
        <f>ROUND(Saldos_Cartera_Total!N13 + Saldo_Residual_Activo!Q13, 2)</f>
        <v/>
      </c>
      <c r="O13" s="23">
        <f>ROUND(Saldos_Cartera_Total!O13 + Saldo_Residual_Activo!R13, 2)</f>
        <v/>
      </c>
      <c r="P13" s="23">
        <f>ROUND(Saldos_Cartera_Total!P13 + Saldo_Residual_Activo!S13, 2)</f>
        <v/>
      </c>
      <c r="Q13" s="23">
        <f>ROUND(Saldos_Cartera_Total!Q13 + Saldo_Residual_Activo!T13, 2)</f>
        <v/>
      </c>
      <c r="R13" s="23">
        <f>MAX(F13:Q13)</f>
        <v/>
      </c>
    </row>
    <row r="14">
      <c r="A14" s="26" t="inlineStr">
        <is>
          <t>0524-0007</t>
        </is>
      </c>
      <c r="B14" s="27" t="inlineStr">
        <is>
          <t>Lider En Derecho De Via y Construcción SA DE CV</t>
        </is>
      </c>
      <c r="C14" s="27" t="inlineStr">
        <is>
          <t>L200 Gls</t>
        </is>
      </c>
      <c r="D14" s="26" t="inlineStr">
        <is>
          <t>ACTIVO</t>
        </is>
      </c>
      <c r="E14" s="28" t="n">
        <v>24</v>
      </c>
      <c r="F14" s="29">
        <f>ROUND(Saldos_Cartera_Total!F14 + Saldo_Residual_Activo!I14, 2)</f>
        <v/>
      </c>
      <c r="G14" s="29">
        <f>ROUND(Saldos_Cartera_Total!G14 + Saldo_Residual_Activo!J14, 2)</f>
        <v/>
      </c>
      <c r="H14" s="29">
        <f>ROUND(Saldos_Cartera_Total!H14 + Saldo_Residual_Activo!K14, 2)</f>
        <v/>
      </c>
      <c r="I14" s="29">
        <f>ROUND(Saldos_Cartera_Total!I14 + Saldo_Residual_Activo!L14, 2)</f>
        <v/>
      </c>
      <c r="J14" s="29">
        <f>ROUND(Saldos_Cartera_Total!J14 + Saldo_Residual_Activo!M14, 2)</f>
        <v/>
      </c>
      <c r="K14" s="29">
        <f>ROUND(Saldos_Cartera_Total!K14 + Saldo_Residual_Activo!N14, 2)</f>
        <v/>
      </c>
      <c r="L14" s="29">
        <f>ROUND(Saldos_Cartera_Total!L14 + Saldo_Residual_Activo!O14, 2)</f>
        <v/>
      </c>
      <c r="M14" s="29">
        <f>ROUND(Saldos_Cartera_Total!M14 + Saldo_Residual_Activo!P14, 2)</f>
        <v/>
      </c>
      <c r="N14" s="29">
        <f>ROUND(Saldos_Cartera_Total!N14 + Saldo_Residual_Activo!Q14, 2)</f>
        <v/>
      </c>
      <c r="O14" s="29">
        <f>ROUND(Saldos_Cartera_Total!O14 + Saldo_Residual_Activo!R14, 2)</f>
        <v/>
      </c>
      <c r="P14" s="29">
        <f>ROUND(Saldos_Cartera_Total!P14 + Saldo_Residual_Activo!S14, 2)</f>
        <v/>
      </c>
      <c r="Q14" s="29">
        <f>ROUND(Saldos_Cartera_Total!Q14 + Saldo_Residual_Activo!T14, 2)</f>
        <v/>
      </c>
      <c r="R14" s="29">
        <f>MAX(F14:Q14)</f>
        <v/>
      </c>
    </row>
    <row r="15">
      <c r="A15" s="20" t="inlineStr">
        <is>
          <t>0524-0011</t>
        </is>
      </c>
      <c r="B15" s="21" t="inlineStr">
        <is>
          <t>Lider En Derecho De Via y Construcción SA DE CV</t>
        </is>
      </c>
      <c r="C15" s="21" t="inlineStr">
        <is>
          <t>Wrangler Unlimited Sahara</t>
        </is>
      </c>
      <c r="D15" s="20" t="inlineStr">
        <is>
          <t>ACTIVO</t>
        </is>
      </c>
      <c r="E15" s="22" t="n">
        <v>48</v>
      </c>
      <c r="F15" s="23">
        <f>ROUND(Saldos_Cartera_Total!F15 + Saldo_Residual_Activo!I15, 2)</f>
        <v/>
      </c>
      <c r="G15" s="23">
        <f>ROUND(Saldos_Cartera_Total!G15 + Saldo_Residual_Activo!J15, 2)</f>
        <v/>
      </c>
      <c r="H15" s="23">
        <f>ROUND(Saldos_Cartera_Total!H15 + Saldo_Residual_Activo!K15, 2)</f>
        <v/>
      </c>
      <c r="I15" s="23">
        <f>ROUND(Saldos_Cartera_Total!I15 + Saldo_Residual_Activo!L15, 2)</f>
        <v/>
      </c>
      <c r="J15" s="23">
        <f>ROUND(Saldos_Cartera_Total!J15 + Saldo_Residual_Activo!M15, 2)</f>
        <v/>
      </c>
      <c r="K15" s="23">
        <f>ROUND(Saldos_Cartera_Total!K15 + Saldo_Residual_Activo!N15, 2)</f>
        <v/>
      </c>
      <c r="L15" s="23">
        <f>ROUND(Saldos_Cartera_Total!L15 + Saldo_Residual_Activo!O15, 2)</f>
        <v/>
      </c>
      <c r="M15" s="23">
        <f>ROUND(Saldos_Cartera_Total!M15 + Saldo_Residual_Activo!P15, 2)</f>
        <v/>
      </c>
      <c r="N15" s="23">
        <f>ROUND(Saldos_Cartera_Total!N15 + Saldo_Residual_Activo!Q15, 2)</f>
        <v/>
      </c>
      <c r="O15" s="23">
        <f>ROUND(Saldos_Cartera_Total!O15 + Saldo_Residual_Activo!R15, 2)</f>
        <v/>
      </c>
      <c r="P15" s="23">
        <f>ROUND(Saldos_Cartera_Total!P15 + Saldo_Residual_Activo!S15, 2)</f>
        <v/>
      </c>
      <c r="Q15" s="23">
        <f>ROUND(Saldos_Cartera_Total!Q15 + Saldo_Residual_Activo!T15, 2)</f>
        <v/>
      </c>
      <c r="R15" s="23">
        <f>MAX(F15:Q15)</f>
        <v/>
      </c>
    </row>
    <row r="16">
      <c r="A16" s="26" t="inlineStr">
        <is>
          <t>0524-0012</t>
        </is>
      </c>
      <c r="B16" s="27" t="inlineStr">
        <is>
          <t>Lider En Derecho De Via y Construcción SA DE CV</t>
        </is>
      </c>
      <c r="C16" s="27" t="inlineStr">
        <is>
          <t>L200 GLS</t>
        </is>
      </c>
      <c r="D16" s="26" t="inlineStr">
        <is>
          <t>ACTIVO</t>
        </is>
      </c>
      <c r="E16" s="28" t="n">
        <v>48</v>
      </c>
      <c r="F16" s="29" t="inlineStr"/>
      <c r="G16" s="29" t="inlineStr"/>
      <c r="H16" s="29">
        <f>ROUND(Saldos_Cartera_Total!H16 + Saldo_Residual_Activo!K16, 2)</f>
        <v/>
      </c>
      <c r="I16" s="29">
        <f>ROUND(Saldos_Cartera_Total!I16 + Saldo_Residual_Activo!L16, 2)</f>
        <v/>
      </c>
      <c r="J16" s="29">
        <f>ROUND(Saldos_Cartera_Total!J16 + Saldo_Residual_Activo!M16, 2)</f>
        <v/>
      </c>
      <c r="K16" s="29">
        <f>ROUND(Saldos_Cartera_Total!K16 + Saldo_Residual_Activo!N16, 2)</f>
        <v/>
      </c>
      <c r="L16" s="29">
        <f>ROUND(Saldos_Cartera_Total!L16 + Saldo_Residual_Activo!O16, 2)</f>
        <v/>
      </c>
      <c r="M16" s="29">
        <f>ROUND(Saldos_Cartera_Total!M16 + Saldo_Residual_Activo!P16, 2)</f>
        <v/>
      </c>
      <c r="N16" s="29">
        <f>ROUND(Saldos_Cartera_Total!N16 + Saldo_Residual_Activo!Q16, 2)</f>
        <v/>
      </c>
      <c r="O16" s="29">
        <f>ROUND(Saldos_Cartera_Total!O16 + Saldo_Residual_Activo!R16, 2)</f>
        <v/>
      </c>
      <c r="P16" s="29">
        <f>ROUND(Saldos_Cartera_Total!P16 + Saldo_Residual_Activo!S16, 2)</f>
        <v/>
      </c>
      <c r="Q16" s="29">
        <f>ROUND(Saldos_Cartera_Total!Q16 + Saldo_Residual_Activo!T16, 2)</f>
        <v/>
      </c>
      <c r="R16" s="29">
        <f>MAX(F16:Q16)</f>
        <v/>
      </c>
    </row>
    <row r="17">
      <c r="A17" s="20" t="inlineStr">
        <is>
          <t>0524-0013</t>
        </is>
      </c>
      <c r="B17" s="21" t="inlineStr">
        <is>
          <t>Lider En Derecho De Via y Construcción SA DE CV</t>
        </is>
      </c>
      <c r="C17" s="21" t="inlineStr">
        <is>
          <t>L200 GLX</t>
        </is>
      </c>
      <c r="D17" s="20" t="inlineStr">
        <is>
          <t>ACTIVO</t>
        </is>
      </c>
      <c r="E17" s="22" t="n">
        <v>36</v>
      </c>
      <c r="F17" s="23" t="inlineStr"/>
      <c r="G17" s="23" t="inlineStr"/>
      <c r="H17" s="23" t="inlineStr"/>
      <c r="I17" s="23" t="inlineStr"/>
      <c r="J17" s="23" t="inlineStr"/>
      <c r="K17" s="23">
        <f>ROUND(Saldos_Cartera_Total!K17 + Saldo_Residual_Activo!N17, 2)</f>
        <v/>
      </c>
      <c r="L17" s="23">
        <f>ROUND(Saldos_Cartera_Total!L17 + Saldo_Residual_Activo!O17, 2)</f>
        <v/>
      </c>
      <c r="M17" s="23">
        <f>ROUND(Saldos_Cartera_Total!M17 + Saldo_Residual_Activo!P17, 2)</f>
        <v/>
      </c>
      <c r="N17" s="23">
        <f>ROUND(Saldos_Cartera_Total!N17 + Saldo_Residual_Activo!Q17, 2)</f>
        <v/>
      </c>
      <c r="O17" s="23">
        <f>ROUND(Saldos_Cartera_Total!O17 + Saldo_Residual_Activo!R17, 2)</f>
        <v/>
      </c>
      <c r="P17" s="23">
        <f>ROUND(Saldos_Cartera_Total!P17 + Saldo_Residual_Activo!S17, 2)</f>
        <v/>
      </c>
      <c r="Q17" s="23">
        <f>ROUND(Saldos_Cartera_Total!Q17 + Saldo_Residual_Activo!T17, 2)</f>
        <v/>
      </c>
      <c r="R17" s="23">
        <f>MAX(F17:Q17)</f>
        <v/>
      </c>
    </row>
    <row r="18">
      <c r="A18" s="26" t="inlineStr">
        <is>
          <t>0524-0014</t>
        </is>
      </c>
      <c r="B18" s="27" t="inlineStr">
        <is>
          <t>Lider En Derecho De Via y Construcción SA DE CV</t>
        </is>
      </c>
      <c r="C18" s="27" t="inlineStr">
        <is>
          <t>L200 GLX</t>
        </is>
      </c>
      <c r="D18" s="26" t="inlineStr">
        <is>
          <t>ACTIVO</t>
        </is>
      </c>
      <c r="E18" s="28" t="n">
        <v>36</v>
      </c>
      <c r="F18" s="29" t="inlineStr"/>
      <c r="G18" s="29" t="inlineStr"/>
      <c r="H18" s="29" t="inlineStr"/>
      <c r="I18" s="29" t="inlineStr"/>
      <c r="J18" s="29" t="inlineStr"/>
      <c r="K18" s="29">
        <f>ROUND(Saldos_Cartera_Total!K18 + Saldo_Residual_Activo!N18, 2)</f>
        <v/>
      </c>
      <c r="L18" s="29">
        <f>ROUND(Saldos_Cartera_Total!L18 + Saldo_Residual_Activo!O18, 2)</f>
        <v/>
      </c>
      <c r="M18" s="29">
        <f>ROUND(Saldos_Cartera_Total!M18 + Saldo_Residual_Activo!P18, 2)</f>
        <v/>
      </c>
      <c r="N18" s="29">
        <f>ROUND(Saldos_Cartera_Total!N18 + Saldo_Residual_Activo!Q18, 2)</f>
        <v/>
      </c>
      <c r="O18" s="29">
        <f>ROUND(Saldos_Cartera_Total!O18 + Saldo_Residual_Activo!R18, 2)</f>
        <v/>
      </c>
      <c r="P18" s="29">
        <f>ROUND(Saldos_Cartera_Total!P18 + Saldo_Residual_Activo!S18, 2)</f>
        <v/>
      </c>
      <c r="Q18" s="29">
        <f>ROUND(Saldos_Cartera_Total!Q18 + Saldo_Residual_Activo!T18, 2)</f>
        <v/>
      </c>
      <c r="R18" s="29">
        <f>MAX(F18:Q18)</f>
        <v/>
      </c>
    </row>
    <row r="19">
      <c r="A19" s="20" t="inlineStr">
        <is>
          <t>0524-0015</t>
        </is>
      </c>
      <c r="B19" s="21" t="inlineStr">
        <is>
          <t>Lider En Derecho De Via y Construcción SA DE CV</t>
        </is>
      </c>
      <c r="C19" s="21" t="inlineStr">
        <is>
          <t>Mitsubishi L200 GLX 2026</t>
        </is>
      </c>
      <c r="D19" s="20" t="inlineStr">
        <is>
          <t>ACTIVO</t>
        </is>
      </c>
      <c r="E19" s="22" t="n">
        <v>36</v>
      </c>
      <c r="F19" s="23" t="inlineStr"/>
      <c r="G19" s="23" t="inlineStr"/>
      <c r="H19" s="23" t="inlineStr"/>
      <c r="I19" s="23" t="inlineStr"/>
      <c r="J19" s="23" t="inlineStr"/>
      <c r="K19" s="23" t="inlineStr"/>
      <c r="L19" s="23">
        <f>ROUND(Saldos_Cartera_Total!L19 + Saldo_Residual_Activo!O19, 2)</f>
        <v/>
      </c>
      <c r="M19" s="23">
        <f>ROUND(Saldos_Cartera_Total!M19 + Saldo_Residual_Activo!P19, 2)</f>
        <v/>
      </c>
      <c r="N19" s="23">
        <f>ROUND(Saldos_Cartera_Total!N19 + Saldo_Residual_Activo!Q19, 2)</f>
        <v/>
      </c>
      <c r="O19" s="23">
        <f>ROUND(Saldos_Cartera_Total!O19 + Saldo_Residual_Activo!R19, 2)</f>
        <v/>
      </c>
      <c r="P19" s="23">
        <f>ROUND(Saldos_Cartera_Total!P19 + Saldo_Residual_Activo!S19, 2)</f>
        <v/>
      </c>
      <c r="Q19" s="23">
        <f>ROUND(Saldos_Cartera_Total!Q19 + Saldo_Residual_Activo!T19, 2)</f>
        <v/>
      </c>
      <c r="R19" s="23">
        <f>MAX(F19:Q19)</f>
        <v/>
      </c>
    </row>
    <row r="20">
      <c r="A20" s="26" t="inlineStr">
        <is>
          <t>0524-0016</t>
        </is>
      </c>
      <c r="B20" s="27" t="inlineStr">
        <is>
          <t>Lider En Derecho De Via y Construcción SA DE CV</t>
        </is>
      </c>
      <c r="C20" s="27" t="inlineStr">
        <is>
          <t>Mitsubishi L200 GLX 2026</t>
        </is>
      </c>
      <c r="D20" s="26" t="inlineStr">
        <is>
          <t>ACTIVO</t>
        </is>
      </c>
      <c r="E20" s="28" t="n">
        <v>36</v>
      </c>
      <c r="F20" s="29" t="inlineStr"/>
      <c r="G20" s="29" t="inlineStr"/>
      <c r="H20" s="29" t="inlineStr"/>
      <c r="I20" s="29" t="inlineStr"/>
      <c r="J20" s="29" t="inlineStr"/>
      <c r="K20" s="29" t="inlineStr"/>
      <c r="L20" s="29">
        <f>ROUND(Saldos_Cartera_Total!L20 + Saldo_Residual_Activo!O20, 2)</f>
        <v/>
      </c>
      <c r="M20" s="29">
        <f>ROUND(Saldos_Cartera_Total!M20 + Saldo_Residual_Activo!P20, 2)</f>
        <v/>
      </c>
      <c r="N20" s="29">
        <f>ROUND(Saldos_Cartera_Total!N20 + Saldo_Residual_Activo!Q20, 2)</f>
        <v/>
      </c>
      <c r="O20" s="29">
        <f>ROUND(Saldos_Cartera_Total!O20 + Saldo_Residual_Activo!R20, 2)</f>
        <v/>
      </c>
      <c r="P20" s="29">
        <f>ROUND(Saldos_Cartera_Total!P20 + Saldo_Residual_Activo!S20, 2)</f>
        <v/>
      </c>
      <c r="Q20" s="29">
        <f>ROUND(Saldos_Cartera_Total!Q20 + Saldo_Residual_Activo!T20, 2)</f>
        <v/>
      </c>
      <c r="R20" s="29">
        <f>MAX(F20:Q20)</f>
        <v/>
      </c>
    </row>
    <row r="21">
      <c r="A21" s="20" t="inlineStr">
        <is>
          <t>0527-0003</t>
        </is>
      </c>
      <c r="B21" s="21" t="inlineStr">
        <is>
          <t>Comercilizadora e Importadora Nabega Sa de Cv</t>
        </is>
      </c>
      <c r="C21" s="21" t="inlineStr">
        <is>
          <t>RAM 700 Big Horn CVT</t>
        </is>
      </c>
      <c r="D21" s="20" t="inlineStr">
        <is>
          <t>ACTIVO</t>
        </is>
      </c>
      <c r="E21" s="22" t="n">
        <v>36</v>
      </c>
      <c r="F21" s="23">
        <f>ROUND(Saldos_Cartera_Total!F21 + Saldo_Residual_Activo!I21, 2)</f>
        <v/>
      </c>
      <c r="G21" s="23">
        <f>ROUND(Saldos_Cartera_Total!G21 + Saldo_Residual_Activo!J21, 2)</f>
        <v/>
      </c>
      <c r="H21" s="23">
        <f>ROUND(Saldos_Cartera_Total!H21 + Saldo_Residual_Activo!K21, 2)</f>
        <v/>
      </c>
      <c r="I21" s="23">
        <f>ROUND(Saldos_Cartera_Total!I21 + Saldo_Residual_Activo!L21, 2)</f>
        <v/>
      </c>
      <c r="J21" s="23">
        <f>ROUND(Saldos_Cartera_Total!J21 + Saldo_Residual_Activo!M21, 2)</f>
        <v/>
      </c>
      <c r="K21" s="23">
        <f>ROUND(Saldos_Cartera_Total!K21 + Saldo_Residual_Activo!N21, 2)</f>
        <v/>
      </c>
      <c r="L21" s="23">
        <f>ROUND(Saldos_Cartera_Total!L21 + Saldo_Residual_Activo!O21, 2)</f>
        <v/>
      </c>
      <c r="M21" s="23">
        <f>ROUND(Saldos_Cartera_Total!M21 + Saldo_Residual_Activo!P21, 2)</f>
        <v/>
      </c>
      <c r="N21" s="23">
        <f>ROUND(Saldos_Cartera_Total!N21 + Saldo_Residual_Activo!Q21, 2)</f>
        <v/>
      </c>
      <c r="O21" s="23">
        <f>ROUND(Saldos_Cartera_Total!O21 + Saldo_Residual_Activo!R21, 2)</f>
        <v/>
      </c>
      <c r="P21" s="23">
        <f>ROUND(Saldos_Cartera_Total!P21 + Saldo_Residual_Activo!S21, 2)</f>
        <v/>
      </c>
      <c r="Q21" s="23">
        <f>ROUND(Saldos_Cartera_Total!Q21 + Saldo_Residual_Activo!T21, 2)</f>
        <v/>
      </c>
      <c r="R21" s="23">
        <f>MAX(F21:Q21)</f>
        <v/>
      </c>
    </row>
    <row r="22">
      <c r="A22" s="26" t="inlineStr">
        <is>
          <t>0527-0004</t>
        </is>
      </c>
      <c r="B22" s="27" t="inlineStr">
        <is>
          <t>Comercilizadora e Importadora Nabega Sa de Cv</t>
        </is>
      </c>
      <c r="C22" s="27" t="inlineStr">
        <is>
          <t>Gmc Denali</t>
        </is>
      </c>
      <c r="D22" s="26" t="inlineStr">
        <is>
          <t>ACTIVO</t>
        </is>
      </c>
      <c r="E22" s="28" t="n">
        <v>48</v>
      </c>
      <c r="F22" s="29">
        <f>ROUND(Saldos_Cartera_Total!F22 + Saldo_Residual_Activo!I22, 2)</f>
        <v/>
      </c>
      <c r="G22" s="29">
        <f>ROUND(Saldos_Cartera_Total!G22 + Saldo_Residual_Activo!J22, 2)</f>
        <v/>
      </c>
      <c r="H22" s="29">
        <f>ROUND(Saldos_Cartera_Total!H22 + Saldo_Residual_Activo!K22, 2)</f>
        <v/>
      </c>
      <c r="I22" s="29">
        <f>ROUND(Saldos_Cartera_Total!I22 + Saldo_Residual_Activo!L22, 2)</f>
        <v/>
      </c>
      <c r="J22" s="29">
        <f>ROUND(Saldos_Cartera_Total!J22 + Saldo_Residual_Activo!M22, 2)</f>
        <v/>
      </c>
      <c r="K22" s="29">
        <f>ROUND(Saldos_Cartera_Total!K22 + Saldo_Residual_Activo!N22, 2)</f>
        <v/>
      </c>
      <c r="L22" s="29">
        <f>ROUND(Saldos_Cartera_Total!L22 + Saldo_Residual_Activo!O22, 2)</f>
        <v/>
      </c>
      <c r="M22" s="29">
        <f>ROUND(Saldos_Cartera_Total!M22 + Saldo_Residual_Activo!P22, 2)</f>
        <v/>
      </c>
      <c r="N22" s="29">
        <f>ROUND(Saldos_Cartera_Total!N22 + Saldo_Residual_Activo!Q22, 2)</f>
        <v/>
      </c>
      <c r="O22" s="29">
        <f>ROUND(Saldos_Cartera_Total!O22 + Saldo_Residual_Activo!R22, 2)</f>
        <v/>
      </c>
      <c r="P22" s="29">
        <f>ROUND(Saldos_Cartera_Total!P22 + Saldo_Residual_Activo!S22, 2)</f>
        <v/>
      </c>
      <c r="Q22" s="29">
        <f>ROUND(Saldos_Cartera_Total!Q22 + Saldo_Residual_Activo!T22, 2)</f>
        <v/>
      </c>
      <c r="R22" s="29">
        <f>MAX(F22:Q22)</f>
        <v/>
      </c>
    </row>
    <row r="23">
      <c r="A23" s="20" t="inlineStr">
        <is>
          <t>0527-0005</t>
        </is>
      </c>
      <c r="B23" s="21" t="inlineStr">
        <is>
          <t>Comercilizadora e Importadora Nabega Sa de Cv</t>
        </is>
      </c>
      <c r="C23" s="21" t="inlineStr">
        <is>
          <t>Gle 450 Sport</t>
        </is>
      </c>
      <c r="D23" s="20" t="inlineStr">
        <is>
          <t>ACTIVO</t>
        </is>
      </c>
      <c r="E23" s="22" t="n">
        <v>36</v>
      </c>
      <c r="F23" s="23">
        <f>ROUND(Saldos_Cartera_Total!F23 + Saldo_Residual_Activo!I23, 2)</f>
        <v/>
      </c>
      <c r="G23" s="23">
        <f>ROUND(Saldos_Cartera_Total!G23 + Saldo_Residual_Activo!J23, 2)</f>
        <v/>
      </c>
      <c r="H23" s="23">
        <f>ROUND(Saldos_Cartera_Total!H23 + Saldo_Residual_Activo!K23, 2)</f>
        <v/>
      </c>
      <c r="I23" s="23">
        <f>ROUND(Saldos_Cartera_Total!I23 + Saldo_Residual_Activo!L23, 2)</f>
        <v/>
      </c>
      <c r="J23" s="23">
        <f>ROUND(Saldos_Cartera_Total!J23 + Saldo_Residual_Activo!M23, 2)</f>
        <v/>
      </c>
      <c r="K23" s="23">
        <f>ROUND(Saldos_Cartera_Total!K23 + Saldo_Residual_Activo!N23, 2)</f>
        <v/>
      </c>
      <c r="L23" s="23">
        <f>ROUND(Saldos_Cartera_Total!L23 + Saldo_Residual_Activo!O23, 2)</f>
        <v/>
      </c>
      <c r="M23" s="23">
        <f>ROUND(Saldos_Cartera_Total!M23 + Saldo_Residual_Activo!P23, 2)</f>
        <v/>
      </c>
      <c r="N23" s="23">
        <f>ROUND(Saldos_Cartera_Total!N23 + Saldo_Residual_Activo!Q23, 2)</f>
        <v/>
      </c>
      <c r="O23" s="23">
        <f>ROUND(Saldos_Cartera_Total!O23 + Saldo_Residual_Activo!R23, 2)</f>
        <v/>
      </c>
      <c r="P23" s="23">
        <f>ROUND(Saldos_Cartera_Total!P23 + Saldo_Residual_Activo!S23, 2)</f>
        <v/>
      </c>
      <c r="Q23" s="23">
        <f>ROUND(Saldos_Cartera_Total!Q23 + Saldo_Residual_Activo!T23, 2)</f>
        <v/>
      </c>
      <c r="R23" s="23">
        <f>MAX(F23:Q23)</f>
        <v/>
      </c>
    </row>
    <row r="24">
      <c r="A24" s="26" t="inlineStr">
        <is>
          <t>0531-0002</t>
        </is>
      </c>
      <c r="B24" s="27" t="inlineStr">
        <is>
          <t>Otcada Mex, S. de R.L. de C.V.</t>
        </is>
      </c>
      <c r="C24" s="27" t="inlineStr">
        <is>
          <t>Grand Cherokee Limited</t>
        </is>
      </c>
      <c r="D24" s="26" t="inlineStr">
        <is>
          <t>ACTIVO</t>
        </is>
      </c>
      <c r="E24" s="28" t="n">
        <v>48</v>
      </c>
      <c r="F24" s="29" t="inlineStr"/>
      <c r="G24" s="29" t="inlineStr"/>
      <c r="H24" s="29" t="inlineStr"/>
      <c r="I24" s="29" t="inlineStr"/>
      <c r="J24" s="29" t="inlineStr"/>
      <c r="K24" s="29">
        <f>ROUND(Saldos_Cartera_Total!K24 + Saldo_Residual_Activo!N24, 2)</f>
        <v/>
      </c>
      <c r="L24" s="29">
        <f>ROUND(Saldos_Cartera_Total!L24 + Saldo_Residual_Activo!O24, 2)</f>
        <v/>
      </c>
      <c r="M24" s="29">
        <f>ROUND(Saldos_Cartera_Total!M24 + Saldo_Residual_Activo!P24, 2)</f>
        <v/>
      </c>
      <c r="N24" s="29">
        <f>ROUND(Saldos_Cartera_Total!N24 + Saldo_Residual_Activo!Q24, 2)</f>
        <v/>
      </c>
      <c r="O24" s="29">
        <f>ROUND(Saldos_Cartera_Total!O24 + Saldo_Residual_Activo!R24, 2)</f>
        <v/>
      </c>
      <c r="P24" s="29">
        <f>ROUND(Saldos_Cartera_Total!P24 + Saldo_Residual_Activo!S24, 2)</f>
        <v/>
      </c>
      <c r="Q24" s="29">
        <f>ROUND(Saldos_Cartera_Total!Q24 + Saldo_Residual_Activo!T24, 2)</f>
        <v/>
      </c>
      <c r="R24" s="29">
        <f>MAX(F24:Q24)</f>
        <v/>
      </c>
    </row>
    <row r="25">
      <c r="A25" s="20" t="inlineStr">
        <is>
          <t>0546-0007</t>
        </is>
      </c>
      <c r="B25" s="21" t="inlineStr">
        <is>
          <t>Norma Elena Bonilla Lupio</t>
        </is>
      </c>
      <c r="C25" s="21" t="inlineStr">
        <is>
          <t>GLC 350 E 4MATIC</t>
        </is>
      </c>
      <c r="D25" s="20" t="inlineStr">
        <is>
          <t>ACTIVO</t>
        </is>
      </c>
      <c r="E25" s="22" t="n">
        <v>24</v>
      </c>
      <c r="F25" s="23">
        <f>ROUND(Saldos_Cartera_Total!F25 + Saldo_Residual_Activo!I25, 2)</f>
        <v/>
      </c>
      <c r="G25" s="23">
        <f>ROUND(Saldos_Cartera_Total!G25 + Saldo_Residual_Activo!J25, 2)</f>
        <v/>
      </c>
      <c r="H25" s="23">
        <f>ROUND(Saldos_Cartera_Total!H25 + Saldo_Residual_Activo!K25, 2)</f>
        <v/>
      </c>
      <c r="I25" s="23">
        <f>ROUND(Saldos_Cartera_Total!I25 + Saldo_Residual_Activo!L25, 2)</f>
        <v/>
      </c>
      <c r="J25" s="23">
        <f>ROUND(Saldos_Cartera_Total!J25 + Saldo_Residual_Activo!M25, 2)</f>
        <v/>
      </c>
      <c r="K25" s="23">
        <f>ROUND(Saldos_Cartera_Total!K25 + Saldo_Residual_Activo!N25, 2)</f>
        <v/>
      </c>
      <c r="L25" s="23">
        <f>ROUND(Saldos_Cartera_Total!L25 + Saldo_Residual_Activo!O25, 2)</f>
        <v/>
      </c>
      <c r="M25" s="23">
        <f>ROUND(Saldos_Cartera_Total!M25 + Saldo_Residual_Activo!P25, 2)</f>
        <v/>
      </c>
      <c r="N25" s="23">
        <f>ROUND(Saldos_Cartera_Total!N25 + Saldo_Residual_Activo!Q25, 2)</f>
        <v/>
      </c>
      <c r="O25" s="23">
        <f>ROUND(Saldos_Cartera_Total!O25 + Saldo_Residual_Activo!R25, 2)</f>
        <v/>
      </c>
      <c r="P25" s="23">
        <f>ROUND(Saldos_Cartera_Total!P25 + Saldo_Residual_Activo!S25, 2)</f>
        <v/>
      </c>
      <c r="Q25" s="23">
        <f>ROUND(Saldos_Cartera_Total!Q25 + Saldo_Residual_Activo!T25, 2)</f>
        <v/>
      </c>
      <c r="R25" s="23">
        <f>MAX(F25:Q25)</f>
        <v/>
      </c>
    </row>
    <row r="26">
      <c r="A26" s="26" t="inlineStr">
        <is>
          <t>0546-0008</t>
        </is>
      </c>
      <c r="B26" s="27" t="inlineStr">
        <is>
          <t>Norma Elena Bonilla Lupio</t>
        </is>
      </c>
      <c r="C26" s="27" t="inlineStr">
        <is>
          <t>JT MOJAVE 4X4</t>
        </is>
      </c>
      <c r="D26" s="26" t="inlineStr">
        <is>
          <t>ACTIVO</t>
        </is>
      </c>
      <c r="E26" s="28" t="n">
        <v>24</v>
      </c>
      <c r="F26" s="29">
        <f>ROUND(Saldos_Cartera_Total!F26 + Saldo_Residual_Activo!I26, 2)</f>
        <v/>
      </c>
      <c r="G26" s="29">
        <f>ROUND(Saldos_Cartera_Total!G26 + Saldo_Residual_Activo!J26, 2)</f>
        <v/>
      </c>
      <c r="H26" s="29">
        <f>ROUND(Saldos_Cartera_Total!H26 + Saldo_Residual_Activo!K26, 2)</f>
        <v/>
      </c>
      <c r="I26" s="29">
        <f>ROUND(Saldos_Cartera_Total!I26 + Saldo_Residual_Activo!L26, 2)</f>
        <v/>
      </c>
      <c r="J26" s="29">
        <f>ROUND(Saldos_Cartera_Total!J26 + Saldo_Residual_Activo!M26, 2)</f>
        <v/>
      </c>
      <c r="K26" s="29">
        <f>ROUND(Saldos_Cartera_Total!K26 + Saldo_Residual_Activo!N26, 2)</f>
        <v/>
      </c>
      <c r="L26" s="29">
        <f>ROUND(Saldos_Cartera_Total!L26 + Saldo_Residual_Activo!O26, 2)</f>
        <v/>
      </c>
      <c r="M26" s="29">
        <f>ROUND(Saldos_Cartera_Total!M26 + Saldo_Residual_Activo!P26, 2)</f>
        <v/>
      </c>
      <c r="N26" s="29">
        <f>ROUND(Saldos_Cartera_Total!N26 + Saldo_Residual_Activo!Q26, 2)</f>
        <v/>
      </c>
      <c r="O26" s="29">
        <f>ROUND(Saldos_Cartera_Total!O26 + Saldo_Residual_Activo!R26, 2)</f>
        <v/>
      </c>
      <c r="P26" s="29">
        <f>ROUND(Saldos_Cartera_Total!P26 + Saldo_Residual_Activo!S26, 2)</f>
        <v/>
      </c>
      <c r="Q26" s="29">
        <f>ROUND(Saldos_Cartera_Total!Q26 + Saldo_Residual_Activo!T26, 2)</f>
        <v/>
      </c>
      <c r="R26" s="29">
        <f>MAX(F26:Q26)</f>
        <v/>
      </c>
    </row>
    <row r="27">
      <c r="A27" s="20" t="inlineStr">
        <is>
          <t>0546-0009</t>
        </is>
      </c>
      <c r="B27" s="21" t="inlineStr">
        <is>
          <t>Norma Elena Bonilla Lupio</t>
        </is>
      </c>
      <c r="C27" s="21" t="inlineStr">
        <is>
          <t>Ram 1200 Tradesman 2026</t>
        </is>
      </c>
      <c r="D27" s="20" t="inlineStr">
        <is>
          <t>ACTIVO</t>
        </is>
      </c>
      <c r="E27" s="22" t="n">
        <v>24</v>
      </c>
      <c r="F27" s="23" t="inlineStr"/>
      <c r="G27" s="23" t="inlineStr"/>
      <c r="H27" s="23" t="inlineStr"/>
      <c r="I27" s="23" t="inlineStr"/>
      <c r="J27" s="23" t="inlineStr"/>
      <c r="K27" s="23" t="inlineStr"/>
      <c r="L27" s="23">
        <f>ROUND(Saldos_Cartera_Total!L27 + Saldo_Residual_Activo!O27, 2)</f>
        <v/>
      </c>
      <c r="M27" s="23">
        <f>ROUND(Saldos_Cartera_Total!M27 + Saldo_Residual_Activo!P27, 2)</f>
        <v/>
      </c>
      <c r="N27" s="23">
        <f>ROUND(Saldos_Cartera_Total!N27 + Saldo_Residual_Activo!Q27, 2)</f>
        <v/>
      </c>
      <c r="O27" s="23">
        <f>ROUND(Saldos_Cartera_Total!O27 + Saldo_Residual_Activo!R27, 2)</f>
        <v/>
      </c>
      <c r="P27" s="23">
        <f>ROUND(Saldos_Cartera_Total!P27 + Saldo_Residual_Activo!S27, 2)</f>
        <v/>
      </c>
      <c r="Q27" s="23">
        <f>ROUND(Saldos_Cartera_Total!Q27 + Saldo_Residual_Activo!T27, 2)</f>
        <v/>
      </c>
      <c r="R27" s="23">
        <f>MAX(F27:Q27)</f>
        <v/>
      </c>
    </row>
    <row r="28">
      <c r="A28" s="26" t="inlineStr">
        <is>
          <t>0551-0002</t>
        </is>
      </c>
      <c r="B28" s="27" t="inlineStr">
        <is>
          <t>Agaveros Unidos de Tequila Jalisco Aun S de RL de Cv</t>
        </is>
      </c>
      <c r="C28" s="27" t="inlineStr">
        <is>
          <t>Ram 700 Laramie</t>
        </is>
      </c>
      <c r="D28" s="26" t="inlineStr">
        <is>
          <t>ACTIVO</t>
        </is>
      </c>
      <c r="E28" s="28" t="n">
        <v>48</v>
      </c>
      <c r="F28" s="29">
        <f>ROUND(Saldos_Cartera_Total!F28 + Saldo_Residual_Activo!I28, 2)</f>
        <v/>
      </c>
      <c r="G28" s="29">
        <f>ROUND(Saldos_Cartera_Total!G28 + Saldo_Residual_Activo!J28, 2)</f>
        <v/>
      </c>
      <c r="H28" s="29">
        <f>ROUND(Saldos_Cartera_Total!H28 + Saldo_Residual_Activo!K28, 2)</f>
        <v/>
      </c>
      <c r="I28" s="29">
        <f>ROUND(Saldos_Cartera_Total!I28 + Saldo_Residual_Activo!L28, 2)</f>
        <v/>
      </c>
      <c r="J28" s="29">
        <f>ROUND(Saldos_Cartera_Total!J28 + Saldo_Residual_Activo!M28, 2)</f>
        <v/>
      </c>
      <c r="K28" s="29">
        <f>ROUND(Saldos_Cartera_Total!K28 + Saldo_Residual_Activo!N28, 2)</f>
        <v/>
      </c>
      <c r="L28" s="29">
        <f>ROUND(Saldos_Cartera_Total!L28 + Saldo_Residual_Activo!O28, 2)</f>
        <v/>
      </c>
      <c r="M28" s="29">
        <f>ROUND(Saldos_Cartera_Total!M28 + Saldo_Residual_Activo!P28, 2)</f>
        <v/>
      </c>
      <c r="N28" s="29">
        <f>ROUND(Saldos_Cartera_Total!N28 + Saldo_Residual_Activo!Q28, 2)</f>
        <v/>
      </c>
      <c r="O28" s="29">
        <f>ROUND(Saldos_Cartera_Total!O28 + Saldo_Residual_Activo!R28, 2)</f>
        <v/>
      </c>
      <c r="P28" s="29">
        <f>ROUND(Saldos_Cartera_Total!P28 + Saldo_Residual_Activo!S28, 2)</f>
        <v/>
      </c>
      <c r="Q28" s="29">
        <f>ROUND(Saldos_Cartera_Total!Q28 + Saldo_Residual_Activo!T28, 2)</f>
        <v/>
      </c>
      <c r="R28" s="29">
        <f>MAX(F28:Q28)</f>
        <v/>
      </c>
    </row>
    <row r="29">
      <c r="A29" s="20" t="inlineStr">
        <is>
          <t>0552-0018</t>
        </is>
      </c>
      <c r="B29" s="21" t="inlineStr">
        <is>
          <t>Transportes y Maniobras Portuarias</t>
        </is>
      </c>
      <c r="C29" s="21" t="inlineStr">
        <is>
          <t>Raizer</t>
        </is>
      </c>
      <c r="D29" s="20" t="inlineStr">
        <is>
          <t>ACTIVO</t>
        </is>
      </c>
      <c r="E29" s="22" t="n">
        <v>24</v>
      </c>
      <c r="F29" s="23">
        <f>ROUND(Saldos_Cartera_Total!F29 + Saldo_Residual_Activo!I29, 2)</f>
        <v/>
      </c>
      <c r="G29" s="23">
        <f>ROUND(Saldos_Cartera_Total!G29 + Saldo_Residual_Activo!J29, 2)</f>
        <v/>
      </c>
      <c r="H29" s="23">
        <f>ROUND(Saldos_Cartera_Total!H29 + Saldo_Residual_Activo!K29, 2)</f>
        <v/>
      </c>
      <c r="I29" s="23">
        <f>ROUND(Saldos_Cartera_Total!I29 + Saldo_Residual_Activo!L29, 2)</f>
        <v/>
      </c>
      <c r="J29" s="23">
        <f>ROUND(Saldos_Cartera_Total!J29 + Saldo_Residual_Activo!M29, 2)</f>
        <v/>
      </c>
      <c r="K29" s="23">
        <f>ROUND(Saldos_Cartera_Total!K29 + Saldo_Residual_Activo!N29, 2)</f>
        <v/>
      </c>
      <c r="L29" s="23">
        <f>ROUND(Saldos_Cartera_Total!L29 + Saldo_Residual_Activo!O29, 2)</f>
        <v/>
      </c>
      <c r="M29" s="23">
        <f>ROUND(Saldos_Cartera_Total!M29 + Saldo_Residual_Activo!P29, 2)</f>
        <v/>
      </c>
      <c r="N29" s="23">
        <f>ROUND(Saldos_Cartera_Total!N29 + Saldo_Residual_Activo!Q29, 2)</f>
        <v/>
      </c>
      <c r="O29" s="23">
        <f>ROUND(Saldos_Cartera_Total!O29 + Saldo_Residual_Activo!R29, 2)</f>
        <v/>
      </c>
      <c r="P29" s="23" t="inlineStr"/>
      <c r="Q29" s="23" t="inlineStr"/>
      <c r="R29" s="23">
        <f>MAX(F29:Q29)</f>
        <v/>
      </c>
    </row>
    <row r="30">
      <c r="A30" s="26" t="inlineStr">
        <is>
          <t>0552-0019</t>
        </is>
      </c>
      <c r="B30" s="27" t="inlineStr">
        <is>
          <t>Transportes y Maniobras Portuarias de Mexico Sa de Cv</t>
        </is>
      </c>
      <c r="C30" s="27" t="inlineStr">
        <is>
          <t>Remolque tipo Dolly</t>
        </is>
      </c>
      <c r="D30" s="26" t="inlineStr">
        <is>
          <t>ACTIVO</t>
        </is>
      </c>
      <c r="E30" s="28" t="n">
        <v>24</v>
      </c>
      <c r="F30" s="29">
        <f>ROUND(Saldos_Cartera_Total!F30 + Saldo_Residual_Activo!I30, 2)</f>
        <v/>
      </c>
      <c r="G30" s="29">
        <f>ROUND(Saldos_Cartera_Total!G30 + Saldo_Residual_Activo!J30, 2)</f>
        <v/>
      </c>
      <c r="H30" s="29">
        <f>ROUND(Saldos_Cartera_Total!H30 + Saldo_Residual_Activo!K30, 2)</f>
        <v/>
      </c>
      <c r="I30" s="29">
        <f>ROUND(Saldos_Cartera_Total!I30 + Saldo_Residual_Activo!L30, 2)</f>
        <v/>
      </c>
      <c r="J30" s="29">
        <f>ROUND(Saldos_Cartera_Total!J30 + Saldo_Residual_Activo!M30, 2)</f>
        <v/>
      </c>
      <c r="K30" s="29">
        <f>ROUND(Saldos_Cartera_Total!K30 + Saldo_Residual_Activo!N30, 2)</f>
        <v/>
      </c>
      <c r="L30" s="29">
        <f>ROUND(Saldos_Cartera_Total!L30 + Saldo_Residual_Activo!O30, 2)</f>
        <v/>
      </c>
      <c r="M30" s="29">
        <f>ROUND(Saldos_Cartera_Total!M30 + Saldo_Residual_Activo!P30, 2)</f>
        <v/>
      </c>
      <c r="N30" s="29">
        <f>ROUND(Saldos_Cartera_Total!N30 + Saldo_Residual_Activo!Q30, 2)</f>
        <v/>
      </c>
      <c r="O30" s="29">
        <f>ROUND(Saldos_Cartera_Total!O30 + Saldo_Residual_Activo!R30, 2)</f>
        <v/>
      </c>
      <c r="P30" s="29">
        <f>ROUND(Saldos_Cartera_Total!P30 + Saldo_Residual_Activo!S30, 2)</f>
        <v/>
      </c>
      <c r="Q30" s="29" t="inlineStr"/>
      <c r="R30" s="29">
        <f>MAX(F30:Q30)</f>
        <v/>
      </c>
    </row>
    <row r="31">
      <c r="A31" s="20" t="inlineStr">
        <is>
          <t>0552-0020</t>
        </is>
      </c>
      <c r="B31" s="21" t="inlineStr">
        <is>
          <t>Transportes y Maniobras Portuarias de Mexico Sa de Cv</t>
        </is>
      </c>
      <c r="C31" s="21" t="inlineStr">
        <is>
          <t>PLATAFORMA MULTIMODAL</t>
        </is>
      </c>
      <c r="D31" s="20" t="inlineStr">
        <is>
          <t>ACTIVO</t>
        </is>
      </c>
      <c r="E31" s="22" t="n">
        <v>24</v>
      </c>
      <c r="F31" s="23">
        <f>ROUND(Saldos_Cartera_Total!F31 + Saldo_Residual_Activo!I31, 2)</f>
        <v/>
      </c>
      <c r="G31" s="23">
        <f>ROUND(Saldos_Cartera_Total!G31 + Saldo_Residual_Activo!J31, 2)</f>
        <v/>
      </c>
      <c r="H31" s="23">
        <f>ROUND(Saldos_Cartera_Total!H31 + Saldo_Residual_Activo!K31, 2)</f>
        <v/>
      </c>
      <c r="I31" s="23">
        <f>ROUND(Saldos_Cartera_Total!I31 + Saldo_Residual_Activo!L31, 2)</f>
        <v/>
      </c>
      <c r="J31" s="23">
        <f>ROUND(Saldos_Cartera_Total!J31 + Saldo_Residual_Activo!M31, 2)</f>
        <v/>
      </c>
      <c r="K31" s="23">
        <f>ROUND(Saldos_Cartera_Total!K31 + Saldo_Residual_Activo!N31, 2)</f>
        <v/>
      </c>
      <c r="L31" s="23">
        <f>ROUND(Saldos_Cartera_Total!L31 + Saldo_Residual_Activo!O31, 2)</f>
        <v/>
      </c>
      <c r="M31" s="23">
        <f>ROUND(Saldos_Cartera_Total!M31 + Saldo_Residual_Activo!P31, 2)</f>
        <v/>
      </c>
      <c r="N31" s="23">
        <f>ROUND(Saldos_Cartera_Total!N31 + Saldo_Residual_Activo!Q31, 2)</f>
        <v/>
      </c>
      <c r="O31" s="23">
        <f>ROUND(Saldos_Cartera_Total!O31 + Saldo_Residual_Activo!R31, 2)</f>
        <v/>
      </c>
      <c r="P31" s="23">
        <f>ROUND(Saldos_Cartera_Total!P31 + Saldo_Residual_Activo!S31, 2)</f>
        <v/>
      </c>
      <c r="Q31" s="23" t="inlineStr"/>
      <c r="R31" s="23">
        <f>MAX(F31:Q31)</f>
        <v/>
      </c>
    </row>
    <row r="32">
      <c r="A32" s="26" t="inlineStr">
        <is>
          <t>0552-0021</t>
        </is>
      </c>
      <c r="B32" s="27" t="inlineStr">
        <is>
          <t>Transportes y Maniobras Portuarias de Mexico Sa de Cv</t>
        </is>
      </c>
      <c r="C32" s="27" t="inlineStr">
        <is>
          <t>PLATAFORMA MULTIMODAL</t>
        </is>
      </c>
      <c r="D32" s="26" t="inlineStr">
        <is>
          <t>ACTIVO</t>
        </is>
      </c>
      <c r="E32" s="28" t="n">
        <v>24</v>
      </c>
      <c r="F32" s="29">
        <f>ROUND(Saldos_Cartera_Total!F32 + Saldo_Residual_Activo!I32, 2)</f>
        <v/>
      </c>
      <c r="G32" s="29">
        <f>ROUND(Saldos_Cartera_Total!G32 + Saldo_Residual_Activo!J32, 2)</f>
        <v/>
      </c>
      <c r="H32" s="29">
        <f>ROUND(Saldos_Cartera_Total!H32 + Saldo_Residual_Activo!K32, 2)</f>
        <v/>
      </c>
      <c r="I32" s="29">
        <f>ROUND(Saldos_Cartera_Total!I32 + Saldo_Residual_Activo!L32, 2)</f>
        <v/>
      </c>
      <c r="J32" s="29">
        <f>ROUND(Saldos_Cartera_Total!J32 + Saldo_Residual_Activo!M32, 2)</f>
        <v/>
      </c>
      <c r="K32" s="29">
        <f>ROUND(Saldos_Cartera_Total!K32 + Saldo_Residual_Activo!N32, 2)</f>
        <v/>
      </c>
      <c r="L32" s="29">
        <f>ROUND(Saldos_Cartera_Total!L32 + Saldo_Residual_Activo!O32, 2)</f>
        <v/>
      </c>
      <c r="M32" s="29">
        <f>ROUND(Saldos_Cartera_Total!M32 + Saldo_Residual_Activo!P32, 2)</f>
        <v/>
      </c>
      <c r="N32" s="29">
        <f>ROUND(Saldos_Cartera_Total!N32 + Saldo_Residual_Activo!Q32, 2)</f>
        <v/>
      </c>
      <c r="O32" s="29">
        <f>ROUND(Saldos_Cartera_Total!O32 + Saldo_Residual_Activo!R32, 2)</f>
        <v/>
      </c>
      <c r="P32" s="29">
        <f>ROUND(Saldos_Cartera_Total!P32 + Saldo_Residual_Activo!S32, 2)</f>
        <v/>
      </c>
      <c r="Q32" s="29" t="inlineStr"/>
      <c r="R32" s="29">
        <f>MAX(F32:Q32)</f>
        <v/>
      </c>
    </row>
    <row r="33">
      <c r="A33" s="20" t="inlineStr">
        <is>
          <t>0552-0022</t>
        </is>
      </c>
      <c r="B33" s="21" t="inlineStr">
        <is>
          <t>Transportes y Maniobras Portuarias de Mexico Sa de Cv</t>
        </is>
      </c>
      <c r="C33" s="21" t="inlineStr">
        <is>
          <t>RZR</t>
        </is>
      </c>
      <c r="D33" s="20" t="inlineStr">
        <is>
          <t>ACTIVO</t>
        </is>
      </c>
      <c r="E33" s="22" t="n">
        <v>24</v>
      </c>
      <c r="F33" s="23">
        <f>ROUND(Saldos_Cartera_Total!F33 + Saldo_Residual_Activo!I33, 2)</f>
        <v/>
      </c>
      <c r="G33" s="23">
        <f>ROUND(Saldos_Cartera_Total!G33 + Saldo_Residual_Activo!J33, 2)</f>
        <v/>
      </c>
      <c r="H33" s="23">
        <f>ROUND(Saldos_Cartera_Total!H33 + Saldo_Residual_Activo!K33, 2)</f>
        <v/>
      </c>
      <c r="I33" s="23">
        <f>ROUND(Saldos_Cartera_Total!I33 + Saldo_Residual_Activo!L33, 2)</f>
        <v/>
      </c>
      <c r="J33" s="23">
        <f>ROUND(Saldos_Cartera_Total!J33 + Saldo_Residual_Activo!M33, 2)</f>
        <v/>
      </c>
      <c r="K33" s="23">
        <f>ROUND(Saldos_Cartera_Total!K33 + Saldo_Residual_Activo!N33, 2)</f>
        <v/>
      </c>
      <c r="L33" s="23">
        <f>ROUND(Saldos_Cartera_Total!L33 + Saldo_Residual_Activo!O33, 2)</f>
        <v/>
      </c>
      <c r="M33" s="23">
        <f>ROUND(Saldos_Cartera_Total!M33 + Saldo_Residual_Activo!P33, 2)</f>
        <v/>
      </c>
      <c r="N33" s="23">
        <f>ROUND(Saldos_Cartera_Total!N33 + Saldo_Residual_Activo!Q33, 2)</f>
        <v/>
      </c>
      <c r="O33" s="23">
        <f>ROUND(Saldos_Cartera_Total!O33 + Saldo_Residual_Activo!R33, 2)</f>
        <v/>
      </c>
      <c r="P33" s="23">
        <f>ROUND(Saldos_Cartera_Total!P33 + Saldo_Residual_Activo!S33, 2)</f>
        <v/>
      </c>
      <c r="Q33" s="23" t="inlineStr"/>
      <c r="R33" s="23">
        <f>MAX(F33:Q33)</f>
        <v/>
      </c>
    </row>
    <row r="34">
      <c r="A34" s="26" t="inlineStr">
        <is>
          <t>0552-0023</t>
        </is>
      </c>
      <c r="B34" s="27" t="inlineStr">
        <is>
          <t>Transportes y Maniobras Portuarias de Mexico Sa de Cv</t>
        </is>
      </c>
      <c r="C34" s="27" t="inlineStr">
        <is>
          <t>Iternational Lt</t>
        </is>
      </c>
      <c r="D34" s="26" t="inlineStr">
        <is>
          <t>ACTIVO</t>
        </is>
      </c>
      <c r="E34" s="28" t="n">
        <v>24</v>
      </c>
      <c r="F34" s="29">
        <f>ROUND(Saldos_Cartera_Total!F34 + Saldo_Residual_Activo!I34, 2)</f>
        <v/>
      </c>
      <c r="G34" s="29">
        <f>ROUND(Saldos_Cartera_Total!G34 + Saldo_Residual_Activo!J34, 2)</f>
        <v/>
      </c>
      <c r="H34" s="29">
        <f>ROUND(Saldos_Cartera_Total!H34 + Saldo_Residual_Activo!K34, 2)</f>
        <v/>
      </c>
      <c r="I34" s="29">
        <f>ROUND(Saldos_Cartera_Total!I34 + Saldo_Residual_Activo!L34, 2)</f>
        <v/>
      </c>
      <c r="J34" s="29">
        <f>ROUND(Saldos_Cartera_Total!J34 + Saldo_Residual_Activo!M34, 2)</f>
        <v/>
      </c>
      <c r="K34" s="29">
        <f>ROUND(Saldos_Cartera_Total!K34 + Saldo_Residual_Activo!N34, 2)</f>
        <v/>
      </c>
      <c r="L34" s="29">
        <f>ROUND(Saldos_Cartera_Total!L34 + Saldo_Residual_Activo!O34, 2)</f>
        <v/>
      </c>
      <c r="M34" s="29">
        <f>ROUND(Saldos_Cartera_Total!M34 + Saldo_Residual_Activo!P34, 2)</f>
        <v/>
      </c>
      <c r="N34" s="29">
        <f>ROUND(Saldos_Cartera_Total!N34 + Saldo_Residual_Activo!Q34, 2)</f>
        <v/>
      </c>
      <c r="O34" s="29">
        <f>ROUND(Saldos_Cartera_Total!O34 + Saldo_Residual_Activo!R34, 2)</f>
        <v/>
      </c>
      <c r="P34" s="29">
        <f>ROUND(Saldos_Cartera_Total!P34 + Saldo_Residual_Activo!S34, 2)</f>
        <v/>
      </c>
      <c r="Q34" s="29">
        <f>ROUND(Saldos_Cartera_Total!Q34 + Saldo_Residual_Activo!T34, 2)</f>
        <v/>
      </c>
      <c r="R34" s="29">
        <f>MAX(F34:Q34)</f>
        <v/>
      </c>
    </row>
    <row r="35">
      <c r="A35" s="20" t="inlineStr">
        <is>
          <t>0552-0024</t>
        </is>
      </c>
      <c r="B35" s="21" t="inlineStr">
        <is>
          <t>Transportes y Maniobras Portuarias de Mexico Sa de Cv</t>
        </is>
      </c>
      <c r="C35" s="21" t="inlineStr">
        <is>
          <t>Iternational Lt</t>
        </is>
      </c>
      <c r="D35" s="20" t="inlineStr">
        <is>
          <t>ACTIVO</t>
        </is>
      </c>
      <c r="E35" s="22" t="n">
        <v>24</v>
      </c>
      <c r="F35" s="23">
        <f>ROUND(Saldos_Cartera_Total!F35 + Saldo_Residual_Activo!I35, 2)</f>
        <v/>
      </c>
      <c r="G35" s="23">
        <f>ROUND(Saldos_Cartera_Total!G35 + Saldo_Residual_Activo!J35, 2)</f>
        <v/>
      </c>
      <c r="H35" s="23">
        <f>ROUND(Saldos_Cartera_Total!H35 + Saldo_Residual_Activo!K35, 2)</f>
        <v/>
      </c>
      <c r="I35" s="23">
        <f>ROUND(Saldos_Cartera_Total!I35 + Saldo_Residual_Activo!L35, 2)</f>
        <v/>
      </c>
      <c r="J35" s="23">
        <f>ROUND(Saldos_Cartera_Total!J35 + Saldo_Residual_Activo!M35, 2)</f>
        <v/>
      </c>
      <c r="K35" s="23">
        <f>ROUND(Saldos_Cartera_Total!K35 + Saldo_Residual_Activo!N35, 2)</f>
        <v/>
      </c>
      <c r="L35" s="23">
        <f>ROUND(Saldos_Cartera_Total!L35 + Saldo_Residual_Activo!O35, 2)</f>
        <v/>
      </c>
      <c r="M35" s="23">
        <f>ROUND(Saldos_Cartera_Total!M35 + Saldo_Residual_Activo!P35, 2)</f>
        <v/>
      </c>
      <c r="N35" s="23">
        <f>ROUND(Saldos_Cartera_Total!N35 + Saldo_Residual_Activo!Q35, 2)</f>
        <v/>
      </c>
      <c r="O35" s="23">
        <f>ROUND(Saldos_Cartera_Total!O35 + Saldo_Residual_Activo!R35, 2)</f>
        <v/>
      </c>
      <c r="P35" s="23">
        <f>ROUND(Saldos_Cartera_Total!P35 + Saldo_Residual_Activo!S35, 2)</f>
        <v/>
      </c>
      <c r="Q35" s="23">
        <f>ROUND(Saldos_Cartera_Total!Q35 + Saldo_Residual_Activo!T35, 2)</f>
        <v/>
      </c>
      <c r="R35" s="23">
        <f>MAX(F35:Q35)</f>
        <v/>
      </c>
    </row>
    <row r="36">
      <c r="A36" s="26" t="inlineStr">
        <is>
          <t>0552-0025</t>
        </is>
      </c>
      <c r="B36" s="27" t="inlineStr">
        <is>
          <t>Transportes y Maniobras Portuarias de Mexico Sa de Cv</t>
        </is>
      </c>
      <c r="C36" s="27" t="inlineStr">
        <is>
          <t>Iternational Lt</t>
        </is>
      </c>
      <c r="D36" s="26" t="inlineStr">
        <is>
          <t>ACTIVO</t>
        </is>
      </c>
      <c r="E36" s="28" t="n">
        <v>24</v>
      </c>
      <c r="F36" s="29">
        <f>ROUND(Saldos_Cartera_Total!F36 + Saldo_Residual_Activo!I36, 2)</f>
        <v/>
      </c>
      <c r="G36" s="29">
        <f>ROUND(Saldos_Cartera_Total!G36 + Saldo_Residual_Activo!J36, 2)</f>
        <v/>
      </c>
      <c r="H36" s="29">
        <f>ROUND(Saldos_Cartera_Total!H36 + Saldo_Residual_Activo!K36, 2)</f>
        <v/>
      </c>
      <c r="I36" s="29">
        <f>ROUND(Saldos_Cartera_Total!I36 + Saldo_Residual_Activo!L36, 2)</f>
        <v/>
      </c>
      <c r="J36" s="29">
        <f>ROUND(Saldos_Cartera_Total!J36 + Saldo_Residual_Activo!M36, 2)</f>
        <v/>
      </c>
      <c r="K36" s="29">
        <f>ROUND(Saldos_Cartera_Total!K36 + Saldo_Residual_Activo!N36, 2)</f>
        <v/>
      </c>
      <c r="L36" s="29">
        <f>ROUND(Saldos_Cartera_Total!L36 + Saldo_Residual_Activo!O36, 2)</f>
        <v/>
      </c>
      <c r="M36" s="29">
        <f>ROUND(Saldos_Cartera_Total!M36 + Saldo_Residual_Activo!P36, 2)</f>
        <v/>
      </c>
      <c r="N36" s="29">
        <f>ROUND(Saldos_Cartera_Total!N36 + Saldo_Residual_Activo!Q36, 2)</f>
        <v/>
      </c>
      <c r="O36" s="29">
        <f>ROUND(Saldos_Cartera_Total!O36 + Saldo_Residual_Activo!R36, 2)</f>
        <v/>
      </c>
      <c r="P36" s="29">
        <f>ROUND(Saldos_Cartera_Total!P36 + Saldo_Residual_Activo!S36, 2)</f>
        <v/>
      </c>
      <c r="Q36" s="29">
        <f>ROUND(Saldos_Cartera_Total!Q36 + Saldo_Residual_Activo!T36, 2)</f>
        <v/>
      </c>
      <c r="R36" s="29">
        <f>MAX(F36:Q36)</f>
        <v/>
      </c>
    </row>
    <row r="37">
      <c r="A37" s="20" t="inlineStr">
        <is>
          <t>0554-0003</t>
        </is>
      </c>
      <c r="B37" s="21" t="inlineStr">
        <is>
          <t>TRANSPORTES DEL BAJIO TRANSCOLD SA DE CV</t>
        </is>
      </c>
      <c r="C37" s="21" t="inlineStr">
        <is>
          <t>RAM 4000 CHASIS PLANO LARGO "PL"</t>
        </is>
      </c>
      <c r="D37" s="20" t="inlineStr">
        <is>
          <t>ACTIVO</t>
        </is>
      </c>
      <c r="E37" s="22" t="n">
        <v>48</v>
      </c>
      <c r="F37" s="23">
        <f>ROUND(Saldos_Cartera_Total!F37 + Saldo_Residual_Activo!I37, 2)</f>
        <v/>
      </c>
      <c r="G37" s="23">
        <f>ROUND(Saldos_Cartera_Total!G37 + Saldo_Residual_Activo!J37, 2)</f>
        <v/>
      </c>
      <c r="H37" s="23">
        <f>ROUND(Saldos_Cartera_Total!H37 + Saldo_Residual_Activo!K37, 2)</f>
        <v/>
      </c>
      <c r="I37" s="23">
        <f>ROUND(Saldos_Cartera_Total!I37 + Saldo_Residual_Activo!L37, 2)</f>
        <v/>
      </c>
      <c r="J37" s="23">
        <f>ROUND(Saldos_Cartera_Total!J37 + Saldo_Residual_Activo!M37, 2)</f>
        <v/>
      </c>
      <c r="K37" s="23">
        <f>ROUND(Saldos_Cartera_Total!K37 + Saldo_Residual_Activo!N37, 2)</f>
        <v/>
      </c>
      <c r="L37" s="23">
        <f>ROUND(Saldos_Cartera_Total!L37 + Saldo_Residual_Activo!O37, 2)</f>
        <v/>
      </c>
      <c r="M37" s="23">
        <f>ROUND(Saldos_Cartera_Total!M37 + Saldo_Residual_Activo!P37, 2)</f>
        <v/>
      </c>
      <c r="N37" s="23">
        <f>ROUND(Saldos_Cartera_Total!N37 + Saldo_Residual_Activo!Q37, 2)</f>
        <v/>
      </c>
      <c r="O37" s="23">
        <f>ROUND(Saldos_Cartera_Total!O37 + Saldo_Residual_Activo!R37, 2)</f>
        <v/>
      </c>
      <c r="P37" s="23" t="inlineStr"/>
      <c r="Q37" s="23" t="inlineStr"/>
      <c r="R37" s="23">
        <f>MAX(F37:Q37)</f>
        <v/>
      </c>
    </row>
    <row r="38">
      <c r="A38" s="26" t="inlineStr">
        <is>
          <t>0570-0006</t>
        </is>
      </c>
      <c r="B38" s="27" t="inlineStr">
        <is>
          <t>Jalco Iluminacion Sa de Cv</t>
        </is>
      </c>
      <c r="C38" s="27" t="inlineStr">
        <is>
          <t>RAM 700 BIG HORN</t>
        </is>
      </c>
      <c r="D38" s="26" t="inlineStr">
        <is>
          <t>ACTIVO</t>
        </is>
      </c>
      <c r="E38" s="28" t="n">
        <v>36</v>
      </c>
      <c r="F38" s="29">
        <f>ROUND(Saldos_Cartera_Total!F38 + Saldo_Residual_Activo!I38, 2)</f>
        <v/>
      </c>
      <c r="G38" s="29">
        <f>ROUND(Saldos_Cartera_Total!G38 + Saldo_Residual_Activo!J38, 2)</f>
        <v/>
      </c>
      <c r="H38" s="29">
        <f>ROUND(Saldos_Cartera_Total!H38 + Saldo_Residual_Activo!K38, 2)</f>
        <v/>
      </c>
      <c r="I38" s="29">
        <f>ROUND(Saldos_Cartera_Total!I38 + Saldo_Residual_Activo!L38, 2)</f>
        <v/>
      </c>
      <c r="J38" s="29">
        <f>ROUND(Saldos_Cartera_Total!J38 + Saldo_Residual_Activo!M38, 2)</f>
        <v/>
      </c>
      <c r="K38" s="29">
        <f>ROUND(Saldos_Cartera_Total!K38 + Saldo_Residual_Activo!N38, 2)</f>
        <v/>
      </c>
      <c r="L38" s="29">
        <f>ROUND(Saldos_Cartera_Total!L38 + Saldo_Residual_Activo!O38, 2)</f>
        <v/>
      </c>
      <c r="M38" s="29">
        <f>ROUND(Saldos_Cartera_Total!M38 + Saldo_Residual_Activo!P38, 2)</f>
        <v/>
      </c>
      <c r="N38" s="29">
        <f>ROUND(Saldos_Cartera_Total!N38 + Saldo_Residual_Activo!Q38, 2)</f>
        <v/>
      </c>
      <c r="O38" s="29">
        <f>ROUND(Saldos_Cartera_Total!O38 + Saldo_Residual_Activo!R38, 2)</f>
        <v/>
      </c>
      <c r="P38" s="29">
        <f>ROUND(Saldos_Cartera_Total!P38 + Saldo_Residual_Activo!S38, 2)</f>
        <v/>
      </c>
      <c r="Q38" s="29" t="inlineStr"/>
      <c r="R38" s="29">
        <f>MAX(F38:Q38)</f>
        <v/>
      </c>
    </row>
    <row r="39">
      <c r="A39" s="20" t="inlineStr">
        <is>
          <t>0573-0007</t>
        </is>
      </c>
      <c r="B39" s="21" t="inlineStr">
        <is>
          <t>Ar Marketing Sa de Cv</t>
        </is>
      </c>
      <c r="C39" s="21" t="inlineStr">
        <is>
          <t>Promaster Rapid</t>
        </is>
      </c>
      <c r="D39" s="20" t="inlineStr">
        <is>
          <t>ACTIVO</t>
        </is>
      </c>
      <c r="E39" s="22" t="n">
        <v>36</v>
      </c>
      <c r="F39" s="23">
        <f>ROUND(Saldos_Cartera_Total!F39 + Saldo_Residual_Activo!I39, 2)</f>
        <v/>
      </c>
      <c r="G39" s="23">
        <f>ROUND(Saldos_Cartera_Total!G39 + Saldo_Residual_Activo!J39, 2)</f>
        <v/>
      </c>
      <c r="H39" s="23">
        <f>ROUND(Saldos_Cartera_Total!H39 + Saldo_Residual_Activo!K39, 2)</f>
        <v/>
      </c>
      <c r="I39" s="23">
        <f>ROUND(Saldos_Cartera_Total!I39 + Saldo_Residual_Activo!L39, 2)</f>
        <v/>
      </c>
      <c r="J39" s="23">
        <f>ROUND(Saldos_Cartera_Total!J39 + Saldo_Residual_Activo!M39, 2)</f>
        <v/>
      </c>
      <c r="K39" s="23">
        <f>ROUND(Saldos_Cartera_Total!K39 + Saldo_Residual_Activo!N39, 2)</f>
        <v/>
      </c>
      <c r="L39" s="23">
        <f>ROUND(Saldos_Cartera_Total!L39 + Saldo_Residual_Activo!O39, 2)</f>
        <v/>
      </c>
      <c r="M39" s="23">
        <f>ROUND(Saldos_Cartera_Total!M39 + Saldo_Residual_Activo!P39, 2)</f>
        <v/>
      </c>
      <c r="N39" s="23">
        <f>ROUND(Saldos_Cartera_Total!N39 + Saldo_Residual_Activo!Q39, 2)</f>
        <v/>
      </c>
      <c r="O39" s="23">
        <f>ROUND(Saldos_Cartera_Total!O39 + Saldo_Residual_Activo!R39, 2)</f>
        <v/>
      </c>
      <c r="P39" s="23">
        <f>ROUND(Saldos_Cartera_Total!P39 + Saldo_Residual_Activo!S39, 2)</f>
        <v/>
      </c>
      <c r="Q39" s="23">
        <f>ROUND(Saldos_Cartera_Total!Q39 + Saldo_Residual_Activo!T39, 2)</f>
        <v/>
      </c>
      <c r="R39" s="23">
        <f>MAX(F39:Q39)</f>
        <v/>
      </c>
    </row>
    <row r="40">
      <c r="A40" s="26" t="inlineStr">
        <is>
          <t>0573-0008</t>
        </is>
      </c>
      <c r="B40" s="27" t="inlineStr">
        <is>
          <t>Ar Marketing Sa de Cv</t>
        </is>
      </c>
      <c r="C40" s="27" t="inlineStr">
        <is>
          <t>Promaster Rapid</t>
        </is>
      </c>
      <c r="D40" s="26" t="inlineStr">
        <is>
          <t>ACTIVO</t>
        </is>
      </c>
      <c r="E40" s="28" t="n">
        <v>36</v>
      </c>
      <c r="F40" s="29">
        <f>ROUND(Saldos_Cartera_Total!F40 + Saldo_Residual_Activo!I40, 2)</f>
        <v/>
      </c>
      <c r="G40" s="29">
        <f>ROUND(Saldos_Cartera_Total!G40 + Saldo_Residual_Activo!J40, 2)</f>
        <v/>
      </c>
      <c r="H40" s="29">
        <f>ROUND(Saldos_Cartera_Total!H40 + Saldo_Residual_Activo!K40, 2)</f>
        <v/>
      </c>
      <c r="I40" s="29">
        <f>ROUND(Saldos_Cartera_Total!I40 + Saldo_Residual_Activo!L40, 2)</f>
        <v/>
      </c>
      <c r="J40" s="29">
        <f>ROUND(Saldos_Cartera_Total!J40 + Saldo_Residual_Activo!M40, 2)</f>
        <v/>
      </c>
      <c r="K40" s="29">
        <f>ROUND(Saldos_Cartera_Total!K40 + Saldo_Residual_Activo!N40, 2)</f>
        <v/>
      </c>
      <c r="L40" s="29">
        <f>ROUND(Saldos_Cartera_Total!L40 + Saldo_Residual_Activo!O40, 2)</f>
        <v/>
      </c>
      <c r="M40" s="29">
        <f>ROUND(Saldos_Cartera_Total!M40 + Saldo_Residual_Activo!P40, 2)</f>
        <v/>
      </c>
      <c r="N40" s="29">
        <f>ROUND(Saldos_Cartera_Total!N40 + Saldo_Residual_Activo!Q40, 2)</f>
        <v/>
      </c>
      <c r="O40" s="29">
        <f>ROUND(Saldos_Cartera_Total!O40 + Saldo_Residual_Activo!R40, 2)</f>
        <v/>
      </c>
      <c r="P40" s="29">
        <f>ROUND(Saldos_Cartera_Total!P40 + Saldo_Residual_Activo!S40, 2)</f>
        <v/>
      </c>
      <c r="Q40" s="29">
        <f>ROUND(Saldos_Cartera_Total!Q40 + Saldo_Residual_Activo!T40, 2)</f>
        <v/>
      </c>
      <c r="R40" s="29">
        <f>MAX(F40:Q40)</f>
        <v/>
      </c>
    </row>
    <row r="41">
      <c r="A41" s="20" t="inlineStr">
        <is>
          <t>0573-0009</t>
        </is>
      </c>
      <c r="B41" s="21" t="inlineStr">
        <is>
          <t>Ar Marketing Sa de Cv</t>
        </is>
      </c>
      <c r="C41" s="21" t="inlineStr">
        <is>
          <t>Partner</t>
        </is>
      </c>
      <c r="D41" s="20" t="inlineStr">
        <is>
          <t>ACTIVO</t>
        </is>
      </c>
      <c r="E41" s="22" t="n">
        <v>36</v>
      </c>
      <c r="F41" s="23">
        <f>ROUND(Saldos_Cartera_Total!F41 + Saldo_Residual_Activo!I41, 2)</f>
        <v/>
      </c>
      <c r="G41" s="23">
        <f>ROUND(Saldos_Cartera_Total!G41 + Saldo_Residual_Activo!J41, 2)</f>
        <v/>
      </c>
      <c r="H41" s="23">
        <f>ROUND(Saldos_Cartera_Total!H41 + Saldo_Residual_Activo!K41, 2)</f>
        <v/>
      </c>
      <c r="I41" s="23">
        <f>ROUND(Saldos_Cartera_Total!I41 + Saldo_Residual_Activo!L41, 2)</f>
        <v/>
      </c>
      <c r="J41" s="23">
        <f>ROUND(Saldos_Cartera_Total!J41 + Saldo_Residual_Activo!M41, 2)</f>
        <v/>
      </c>
      <c r="K41" s="23">
        <f>ROUND(Saldos_Cartera_Total!K41 + Saldo_Residual_Activo!N41, 2)</f>
        <v/>
      </c>
      <c r="L41" s="23">
        <f>ROUND(Saldos_Cartera_Total!L41 + Saldo_Residual_Activo!O41, 2)</f>
        <v/>
      </c>
      <c r="M41" s="23">
        <f>ROUND(Saldos_Cartera_Total!M41 + Saldo_Residual_Activo!P41, 2)</f>
        <v/>
      </c>
      <c r="N41" s="23">
        <f>ROUND(Saldos_Cartera_Total!N41 + Saldo_Residual_Activo!Q41, 2)</f>
        <v/>
      </c>
      <c r="O41" s="23">
        <f>ROUND(Saldos_Cartera_Total!O41 + Saldo_Residual_Activo!R41, 2)</f>
        <v/>
      </c>
      <c r="P41" s="23">
        <f>ROUND(Saldos_Cartera_Total!P41 + Saldo_Residual_Activo!S41, 2)</f>
        <v/>
      </c>
      <c r="Q41" s="23">
        <f>ROUND(Saldos_Cartera_Total!Q41 + Saldo_Residual_Activo!T41, 2)</f>
        <v/>
      </c>
      <c r="R41" s="23">
        <f>MAX(F41:Q41)</f>
        <v/>
      </c>
    </row>
    <row r="42">
      <c r="A42" s="26" t="inlineStr">
        <is>
          <t>0580-0001</t>
        </is>
      </c>
      <c r="B42" s="27" t="inlineStr">
        <is>
          <t>YOLANDA AVALOS CARDENAS</t>
        </is>
      </c>
      <c r="C42" s="27" t="inlineStr">
        <is>
          <t>Mojave</t>
        </is>
      </c>
      <c r="D42" s="26" t="inlineStr">
        <is>
          <t>ACTIVO</t>
        </is>
      </c>
      <c r="E42" s="28" t="n">
        <v>48</v>
      </c>
      <c r="F42" s="29">
        <f>ROUND(Saldos_Cartera_Total!F42 + Saldo_Residual_Activo!I42, 2)</f>
        <v/>
      </c>
      <c r="G42" s="29">
        <f>ROUND(Saldos_Cartera_Total!G42 + Saldo_Residual_Activo!J42, 2)</f>
        <v/>
      </c>
      <c r="H42" s="29">
        <f>ROUND(Saldos_Cartera_Total!H42 + Saldo_Residual_Activo!K42, 2)</f>
        <v/>
      </c>
      <c r="I42" s="29">
        <f>ROUND(Saldos_Cartera_Total!I42 + Saldo_Residual_Activo!L42, 2)</f>
        <v/>
      </c>
      <c r="J42" s="29">
        <f>ROUND(Saldos_Cartera_Total!J42 + Saldo_Residual_Activo!M42, 2)</f>
        <v/>
      </c>
      <c r="K42" s="29">
        <f>ROUND(Saldos_Cartera_Total!K42 + Saldo_Residual_Activo!N42, 2)</f>
        <v/>
      </c>
      <c r="L42" s="29">
        <f>ROUND(Saldos_Cartera_Total!L42 + Saldo_Residual_Activo!O42, 2)</f>
        <v/>
      </c>
      <c r="M42" s="29">
        <f>ROUND(Saldos_Cartera_Total!M42 + Saldo_Residual_Activo!P42, 2)</f>
        <v/>
      </c>
      <c r="N42" s="29">
        <f>ROUND(Saldos_Cartera_Total!N42 + Saldo_Residual_Activo!Q42, 2)</f>
        <v/>
      </c>
      <c r="O42" s="29">
        <f>ROUND(Saldos_Cartera_Total!O42 + Saldo_Residual_Activo!R42, 2)</f>
        <v/>
      </c>
      <c r="P42" s="29" t="inlineStr"/>
      <c r="Q42" s="29" t="inlineStr"/>
      <c r="R42" s="29">
        <f>MAX(F42:Q42)</f>
        <v/>
      </c>
    </row>
    <row r="43">
      <c r="A43" s="20" t="inlineStr">
        <is>
          <t>0581-0001</t>
        </is>
      </c>
      <c r="B43" s="21" t="inlineStr">
        <is>
          <t>Aditivos y Vitaminas Mexicanas Sa de Cv</t>
        </is>
      </c>
      <c r="C43" s="21" t="inlineStr">
        <is>
          <t>RAM 700 REGULAR CAB</t>
        </is>
      </c>
      <c r="D43" s="20" t="inlineStr">
        <is>
          <t>ACTIVO</t>
        </is>
      </c>
      <c r="E43" s="22" t="n">
        <v>48</v>
      </c>
      <c r="F43" s="23">
        <f>ROUND(Saldos_Cartera_Total!F43 + Saldo_Residual_Activo!I43, 2)</f>
        <v/>
      </c>
      <c r="G43" s="23">
        <f>ROUND(Saldos_Cartera_Total!G43 + Saldo_Residual_Activo!J43, 2)</f>
        <v/>
      </c>
      <c r="H43" s="23">
        <f>ROUND(Saldos_Cartera_Total!H43 + Saldo_Residual_Activo!K43, 2)</f>
        <v/>
      </c>
      <c r="I43" s="23">
        <f>ROUND(Saldos_Cartera_Total!I43 + Saldo_Residual_Activo!L43, 2)</f>
        <v/>
      </c>
      <c r="J43" s="23">
        <f>ROUND(Saldos_Cartera_Total!J43 + Saldo_Residual_Activo!M43, 2)</f>
        <v/>
      </c>
      <c r="K43" s="23">
        <f>ROUND(Saldos_Cartera_Total!K43 + Saldo_Residual_Activo!N43, 2)</f>
        <v/>
      </c>
      <c r="L43" s="23">
        <f>ROUND(Saldos_Cartera_Total!L43 + Saldo_Residual_Activo!O43, 2)</f>
        <v/>
      </c>
      <c r="M43" s="23">
        <f>ROUND(Saldos_Cartera_Total!M43 + Saldo_Residual_Activo!P43, 2)</f>
        <v/>
      </c>
      <c r="N43" s="23">
        <f>ROUND(Saldos_Cartera_Total!N43 + Saldo_Residual_Activo!Q43, 2)</f>
        <v/>
      </c>
      <c r="O43" s="23">
        <f>ROUND(Saldos_Cartera_Total!O43 + Saldo_Residual_Activo!R43, 2)</f>
        <v/>
      </c>
      <c r="P43" s="23">
        <f>ROUND(Saldos_Cartera_Total!P43 + Saldo_Residual_Activo!S43, 2)</f>
        <v/>
      </c>
      <c r="Q43" s="23">
        <f>ROUND(Saldos_Cartera_Total!Q43 + Saldo_Residual_Activo!T43, 2)</f>
        <v/>
      </c>
      <c r="R43" s="23">
        <f>MAX(F43:Q43)</f>
        <v/>
      </c>
    </row>
    <row r="44">
      <c r="A44" s="26" t="inlineStr">
        <is>
          <t>0581-0002</t>
        </is>
      </c>
      <c r="B44" s="27" t="inlineStr">
        <is>
          <t>Aditivos y Vitaminas Mexicanas Sa de Cv</t>
        </is>
      </c>
      <c r="C44" s="27" t="inlineStr">
        <is>
          <t>Ram 700 Regular Cab</t>
        </is>
      </c>
      <c r="D44" s="26" t="inlineStr">
        <is>
          <t>ACTIVO</t>
        </is>
      </c>
      <c r="E44" s="28" t="n">
        <v>48</v>
      </c>
      <c r="F44" s="29">
        <f>ROUND(Saldos_Cartera_Total!F44 + Saldo_Residual_Activo!I44, 2)</f>
        <v/>
      </c>
      <c r="G44" s="29">
        <f>ROUND(Saldos_Cartera_Total!G44 + Saldo_Residual_Activo!J44, 2)</f>
        <v/>
      </c>
      <c r="H44" s="29">
        <f>ROUND(Saldos_Cartera_Total!H44 + Saldo_Residual_Activo!K44, 2)</f>
        <v/>
      </c>
      <c r="I44" s="29">
        <f>ROUND(Saldos_Cartera_Total!I44 + Saldo_Residual_Activo!L44, 2)</f>
        <v/>
      </c>
      <c r="J44" s="29">
        <f>ROUND(Saldos_Cartera_Total!J44 + Saldo_Residual_Activo!M44, 2)</f>
        <v/>
      </c>
      <c r="K44" s="29">
        <f>ROUND(Saldos_Cartera_Total!K44 + Saldo_Residual_Activo!N44, 2)</f>
        <v/>
      </c>
      <c r="L44" s="29">
        <f>ROUND(Saldos_Cartera_Total!L44 + Saldo_Residual_Activo!O44, 2)</f>
        <v/>
      </c>
      <c r="M44" s="29">
        <f>ROUND(Saldos_Cartera_Total!M44 + Saldo_Residual_Activo!P44, 2)</f>
        <v/>
      </c>
      <c r="N44" s="29">
        <f>ROUND(Saldos_Cartera_Total!N44 + Saldo_Residual_Activo!Q44, 2)</f>
        <v/>
      </c>
      <c r="O44" s="29">
        <f>ROUND(Saldos_Cartera_Total!O44 + Saldo_Residual_Activo!R44, 2)</f>
        <v/>
      </c>
      <c r="P44" s="29">
        <f>ROUND(Saldos_Cartera_Total!P44 + Saldo_Residual_Activo!S44, 2)</f>
        <v/>
      </c>
      <c r="Q44" s="29">
        <f>ROUND(Saldos_Cartera_Total!Q44 + Saldo_Residual_Activo!T44, 2)</f>
        <v/>
      </c>
      <c r="R44" s="29">
        <f>MAX(F44:Q44)</f>
        <v/>
      </c>
    </row>
    <row r="45">
      <c r="A45" s="20" t="inlineStr">
        <is>
          <t>0582-0003</t>
        </is>
      </c>
      <c r="B45" s="21" t="inlineStr">
        <is>
          <t>Ensaladas Frescas de Occidente Sa de Cv</t>
        </is>
      </c>
      <c r="C45" s="21" t="inlineStr">
        <is>
          <t>Pulse</t>
        </is>
      </c>
      <c r="D45" s="20" t="inlineStr">
        <is>
          <t>ACTIVO</t>
        </is>
      </c>
      <c r="E45" s="22" t="n">
        <v>48</v>
      </c>
      <c r="F45" s="23">
        <f>ROUND(Saldos_Cartera_Total!F45 + Saldo_Residual_Activo!I45, 2)</f>
        <v/>
      </c>
      <c r="G45" s="23">
        <f>ROUND(Saldos_Cartera_Total!G45 + Saldo_Residual_Activo!J45, 2)</f>
        <v/>
      </c>
      <c r="H45" s="23">
        <f>ROUND(Saldos_Cartera_Total!H45 + Saldo_Residual_Activo!K45, 2)</f>
        <v/>
      </c>
      <c r="I45" s="23">
        <f>ROUND(Saldos_Cartera_Total!I45 + Saldo_Residual_Activo!L45, 2)</f>
        <v/>
      </c>
      <c r="J45" s="23">
        <f>ROUND(Saldos_Cartera_Total!J45 + Saldo_Residual_Activo!M45, 2)</f>
        <v/>
      </c>
      <c r="K45" s="23">
        <f>ROUND(Saldos_Cartera_Total!K45 + Saldo_Residual_Activo!N45, 2)</f>
        <v/>
      </c>
      <c r="L45" s="23">
        <f>ROUND(Saldos_Cartera_Total!L45 + Saldo_Residual_Activo!O45, 2)</f>
        <v/>
      </c>
      <c r="M45" s="23">
        <f>ROUND(Saldos_Cartera_Total!M45 + Saldo_Residual_Activo!P45, 2)</f>
        <v/>
      </c>
      <c r="N45" s="23">
        <f>ROUND(Saldos_Cartera_Total!N45 + Saldo_Residual_Activo!Q45, 2)</f>
        <v/>
      </c>
      <c r="O45" s="23">
        <f>ROUND(Saldos_Cartera_Total!O45 + Saldo_Residual_Activo!R45, 2)</f>
        <v/>
      </c>
      <c r="P45" s="23">
        <f>ROUND(Saldos_Cartera_Total!P45 + Saldo_Residual_Activo!S45, 2)</f>
        <v/>
      </c>
      <c r="Q45" s="23">
        <f>ROUND(Saldos_Cartera_Total!Q45 + Saldo_Residual_Activo!T45, 2)</f>
        <v/>
      </c>
      <c r="R45" s="23">
        <f>MAX(F45:Q45)</f>
        <v/>
      </c>
    </row>
    <row r="46">
      <c r="A46" s="26" t="inlineStr">
        <is>
          <t>0583-0004</t>
        </is>
      </c>
      <c r="B46" s="27" t="inlineStr">
        <is>
          <t>Soluciones Profesionales para la Industria Alimentaria</t>
        </is>
      </c>
      <c r="C46" s="27" t="inlineStr">
        <is>
          <t>BIGHORN CREW CAB MT</t>
        </is>
      </c>
      <c r="D46" s="26" t="inlineStr">
        <is>
          <t>ACTIVO</t>
        </is>
      </c>
      <c r="E46" s="28" t="n">
        <v>24</v>
      </c>
      <c r="F46" s="29">
        <f>ROUND(Saldos_Cartera_Total!F46 + Saldo_Residual_Activo!I46, 2)</f>
        <v/>
      </c>
      <c r="G46" s="29">
        <f>ROUND(Saldos_Cartera_Total!G46 + Saldo_Residual_Activo!J46, 2)</f>
        <v/>
      </c>
      <c r="H46" s="29">
        <f>ROUND(Saldos_Cartera_Total!H46 + Saldo_Residual_Activo!K46, 2)</f>
        <v/>
      </c>
      <c r="I46" s="29">
        <f>ROUND(Saldos_Cartera_Total!I46 + Saldo_Residual_Activo!L46, 2)</f>
        <v/>
      </c>
      <c r="J46" s="29">
        <f>ROUND(Saldos_Cartera_Total!J46 + Saldo_Residual_Activo!M46, 2)</f>
        <v/>
      </c>
      <c r="K46" s="29">
        <f>ROUND(Saldos_Cartera_Total!K46 + Saldo_Residual_Activo!N46, 2)</f>
        <v/>
      </c>
      <c r="L46" s="29">
        <f>ROUND(Saldos_Cartera_Total!L46 + Saldo_Residual_Activo!O46, 2)</f>
        <v/>
      </c>
      <c r="M46" s="29">
        <f>ROUND(Saldos_Cartera_Total!M46 + Saldo_Residual_Activo!P46, 2)</f>
        <v/>
      </c>
      <c r="N46" s="29">
        <f>ROUND(Saldos_Cartera_Total!N46 + Saldo_Residual_Activo!Q46, 2)</f>
        <v/>
      </c>
      <c r="O46" s="29">
        <f>ROUND(Saldos_Cartera_Total!O46 + Saldo_Residual_Activo!R46, 2)</f>
        <v/>
      </c>
      <c r="P46" s="29">
        <f>ROUND(Saldos_Cartera_Total!P46 + Saldo_Residual_Activo!S46, 2)</f>
        <v/>
      </c>
      <c r="Q46" s="29" t="inlineStr"/>
      <c r="R46" s="29">
        <f>MAX(F46:Q46)</f>
        <v/>
      </c>
    </row>
    <row r="47">
      <c r="A47" s="20" t="inlineStr">
        <is>
          <t>0583-0005</t>
        </is>
      </c>
      <c r="B47" s="21" t="inlineStr">
        <is>
          <t>Soluciones Profesionales para la Industria Alimentaria</t>
        </is>
      </c>
      <c r="C47" s="21" t="inlineStr">
        <is>
          <t>3008</t>
        </is>
      </c>
      <c r="D47" s="20" t="inlineStr">
        <is>
          <t>ACTIVO</t>
        </is>
      </c>
      <c r="E47" s="22" t="n">
        <v>36</v>
      </c>
      <c r="F47" s="23">
        <f>ROUND(Saldos_Cartera_Total!F47 + Saldo_Residual_Activo!I47, 2)</f>
        <v/>
      </c>
      <c r="G47" s="23">
        <f>ROUND(Saldos_Cartera_Total!G47 + Saldo_Residual_Activo!J47, 2)</f>
        <v/>
      </c>
      <c r="H47" s="23">
        <f>ROUND(Saldos_Cartera_Total!H47 + Saldo_Residual_Activo!K47, 2)</f>
        <v/>
      </c>
      <c r="I47" s="23">
        <f>ROUND(Saldos_Cartera_Total!I47 + Saldo_Residual_Activo!L47, 2)</f>
        <v/>
      </c>
      <c r="J47" s="23">
        <f>ROUND(Saldos_Cartera_Total!J47 + Saldo_Residual_Activo!M47, 2)</f>
        <v/>
      </c>
      <c r="K47" s="23">
        <f>ROUND(Saldos_Cartera_Total!K47 + Saldo_Residual_Activo!N47, 2)</f>
        <v/>
      </c>
      <c r="L47" s="23">
        <f>ROUND(Saldos_Cartera_Total!L47 + Saldo_Residual_Activo!O47, 2)</f>
        <v/>
      </c>
      <c r="M47" s="23">
        <f>ROUND(Saldos_Cartera_Total!M47 + Saldo_Residual_Activo!P47, 2)</f>
        <v/>
      </c>
      <c r="N47" s="23">
        <f>ROUND(Saldos_Cartera_Total!N47 + Saldo_Residual_Activo!Q47, 2)</f>
        <v/>
      </c>
      <c r="O47" s="23">
        <f>ROUND(Saldos_Cartera_Total!O47 + Saldo_Residual_Activo!R47, 2)</f>
        <v/>
      </c>
      <c r="P47" s="23">
        <f>ROUND(Saldos_Cartera_Total!P47 + Saldo_Residual_Activo!S47, 2)</f>
        <v/>
      </c>
      <c r="Q47" s="23">
        <f>ROUND(Saldos_Cartera_Total!Q47 + Saldo_Residual_Activo!T47, 2)</f>
        <v/>
      </c>
      <c r="R47" s="23">
        <f>MAX(F47:Q47)</f>
        <v/>
      </c>
    </row>
    <row r="48">
      <c r="A48" s="26" t="inlineStr">
        <is>
          <t>0583-0006</t>
        </is>
      </c>
      <c r="B48" s="27" t="inlineStr">
        <is>
          <t>Soluciones Profesionales para la Industria Alimentaria</t>
        </is>
      </c>
      <c r="C48" s="27" t="inlineStr">
        <is>
          <t>Montana</t>
        </is>
      </c>
      <c r="D48" s="26" t="inlineStr">
        <is>
          <t>ACTIVO</t>
        </is>
      </c>
      <c r="E48" s="28" t="n">
        <v>24</v>
      </c>
      <c r="F48" s="29">
        <f>ROUND(Saldos_Cartera_Total!F48 + Saldo_Residual_Activo!I48, 2)</f>
        <v/>
      </c>
      <c r="G48" s="29">
        <f>ROUND(Saldos_Cartera_Total!G48 + Saldo_Residual_Activo!J48, 2)</f>
        <v/>
      </c>
      <c r="H48" s="29">
        <f>ROUND(Saldos_Cartera_Total!H48 + Saldo_Residual_Activo!K48, 2)</f>
        <v/>
      </c>
      <c r="I48" s="29">
        <f>ROUND(Saldos_Cartera_Total!I48 + Saldo_Residual_Activo!L48, 2)</f>
        <v/>
      </c>
      <c r="J48" s="29">
        <f>ROUND(Saldos_Cartera_Total!J48 + Saldo_Residual_Activo!M48, 2)</f>
        <v/>
      </c>
      <c r="K48" s="29">
        <f>ROUND(Saldos_Cartera_Total!K48 + Saldo_Residual_Activo!N48, 2)</f>
        <v/>
      </c>
      <c r="L48" s="29">
        <f>ROUND(Saldos_Cartera_Total!L48 + Saldo_Residual_Activo!O48, 2)</f>
        <v/>
      </c>
      <c r="M48" s="29">
        <f>ROUND(Saldos_Cartera_Total!M48 + Saldo_Residual_Activo!P48, 2)</f>
        <v/>
      </c>
      <c r="N48" s="29">
        <f>ROUND(Saldos_Cartera_Total!N48 + Saldo_Residual_Activo!Q48, 2)</f>
        <v/>
      </c>
      <c r="O48" s="29">
        <f>ROUND(Saldos_Cartera_Total!O48 + Saldo_Residual_Activo!R48, 2)</f>
        <v/>
      </c>
      <c r="P48" s="29">
        <f>ROUND(Saldos_Cartera_Total!P48 + Saldo_Residual_Activo!S48, 2)</f>
        <v/>
      </c>
      <c r="Q48" s="29">
        <f>ROUND(Saldos_Cartera_Total!Q48 + Saldo_Residual_Activo!T48, 2)</f>
        <v/>
      </c>
      <c r="R48" s="29">
        <f>MAX(F48:Q48)</f>
        <v/>
      </c>
    </row>
    <row r="49">
      <c r="A49" s="20" t="inlineStr">
        <is>
          <t>0585-0002</t>
        </is>
      </c>
      <c r="B49" s="21" t="inlineStr">
        <is>
          <t>Julio Alberto Ramos de la Mora</t>
        </is>
      </c>
      <c r="C49" s="21" t="inlineStr">
        <is>
          <t>Ram 1500 Limited</t>
        </is>
      </c>
      <c r="D49" s="20" t="inlineStr">
        <is>
          <t>ACTIVO</t>
        </is>
      </c>
      <c r="E49" s="22" t="n">
        <v>36</v>
      </c>
      <c r="F49" s="23">
        <f>ROUND(Saldos_Cartera_Total!F49 + Saldo_Residual_Activo!I49, 2)</f>
        <v/>
      </c>
      <c r="G49" s="23">
        <f>ROUND(Saldos_Cartera_Total!G49 + Saldo_Residual_Activo!J49, 2)</f>
        <v/>
      </c>
      <c r="H49" s="23">
        <f>ROUND(Saldos_Cartera_Total!H49 + Saldo_Residual_Activo!K49, 2)</f>
        <v/>
      </c>
      <c r="I49" s="23">
        <f>ROUND(Saldos_Cartera_Total!I49 + Saldo_Residual_Activo!L49, 2)</f>
        <v/>
      </c>
      <c r="J49" s="23">
        <f>ROUND(Saldos_Cartera_Total!J49 + Saldo_Residual_Activo!M49, 2)</f>
        <v/>
      </c>
      <c r="K49" s="23">
        <f>ROUND(Saldos_Cartera_Total!K49 + Saldo_Residual_Activo!N49, 2)</f>
        <v/>
      </c>
      <c r="L49" s="23">
        <f>ROUND(Saldos_Cartera_Total!L49 + Saldo_Residual_Activo!O49, 2)</f>
        <v/>
      </c>
      <c r="M49" s="23">
        <f>ROUND(Saldos_Cartera_Total!M49 + Saldo_Residual_Activo!P49, 2)</f>
        <v/>
      </c>
      <c r="N49" s="23">
        <f>ROUND(Saldos_Cartera_Total!N49 + Saldo_Residual_Activo!Q49, 2)</f>
        <v/>
      </c>
      <c r="O49" s="23">
        <f>ROUND(Saldos_Cartera_Total!O49 + Saldo_Residual_Activo!R49, 2)</f>
        <v/>
      </c>
      <c r="P49" s="23">
        <f>ROUND(Saldos_Cartera_Total!P49 + Saldo_Residual_Activo!S49, 2)</f>
        <v/>
      </c>
      <c r="Q49" s="23">
        <f>ROUND(Saldos_Cartera_Total!Q49 + Saldo_Residual_Activo!T49, 2)</f>
        <v/>
      </c>
      <c r="R49" s="23">
        <f>MAX(F49:Q49)</f>
        <v/>
      </c>
    </row>
    <row r="50">
      <c r="A50" s="26" t="inlineStr">
        <is>
          <t>0585-0003</t>
        </is>
      </c>
      <c r="B50" s="27" t="inlineStr">
        <is>
          <t>Julio Alberto Ramos de la Mora</t>
        </is>
      </c>
      <c r="C50" s="27" t="inlineStr">
        <is>
          <t>Wrangler Rubicon</t>
        </is>
      </c>
      <c r="D50" s="26" t="inlineStr">
        <is>
          <t>ACTIVO</t>
        </is>
      </c>
      <c r="E50" s="28" t="n">
        <v>48</v>
      </c>
      <c r="F50" s="29">
        <f>ROUND(Saldos_Cartera_Total!F50 + Saldo_Residual_Activo!I50, 2)</f>
        <v/>
      </c>
      <c r="G50" s="29">
        <f>ROUND(Saldos_Cartera_Total!G50 + Saldo_Residual_Activo!J50, 2)</f>
        <v/>
      </c>
      <c r="H50" s="29">
        <f>ROUND(Saldos_Cartera_Total!H50 + Saldo_Residual_Activo!K50, 2)</f>
        <v/>
      </c>
      <c r="I50" s="29">
        <f>ROUND(Saldos_Cartera_Total!I50 + Saldo_Residual_Activo!L50, 2)</f>
        <v/>
      </c>
      <c r="J50" s="29">
        <f>ROUND(Saldos_Cartera_Total!J50 + Saldo_Residual_Activo!M50, 2)</f>
        <v/>
      </c>
      <c r="K50" s="29">
        <f>ROUND(Saldos_Cartera_Total!K50 + Saldo_Residual_Activo!N50, 2)</f>
        <v/>
      </c>
      <c r="L50" s="29">
        <f>ROUND(Saldos_Cartera_Total!L50 + Saldo_Residual_Activo!O50, 2)</f>
        <v/>
      </c>
      <c r="M50" s="29">
        <f>ROUND(Saldos_Cartera_Total!M50 + Saldo_Residual_Activo!P50, 2)</f>
        <v/>
      </c>
      <c r="N50" s="29">
        <f>ROUND(Saldos_Cartera_Total!N50 + Saldo_Residual_Activo!Q50, 2)</f>
        <v/>
      </c>
      <c r="O50" s="29">
        <f>ROUND(Saldos_Cartera_Total!O50 + Saldo_Residual_Activo!R50, 2)</f>
        <v/>
      </c>
      <c r="P50" s="29">
        <f>ROUND(Saldos_Cartera_Total!P50 + Saldo_Residual_Activo!S50, 2)</f>
        <v/>
      </c>
      <c r="Q50" s="29">
        <f>ROUND(Saldos_Cartera_Total!Q50 + Saldo_Residual_Activo!T50, 2)</f>
        <v/>
      </c>
      <c r="R50" s="29">
        <f>MAX(F50:Q50)</f>
        <v/>
      </c>
    </row>
    <row r="51">
      <c r="A51" s="20" t="inlineStr">
        <is>
          <t>0585-0004</t>
        </is>
      </c>
      <c r="B51" s="21" t="inlineStr">
        <is>
          <t>Julio Alberto Ramos de la Mora</t>
        </is>
      </c>
      <c r="C51" s="21" t="inlineStr">
        <is>
          <t>Hrv Sport</t>
        </is>
      </c>
      <c r="D51" s="20" t="inlineStr">
        <is>
          <t>ACTIVO</t>
        </is>
      </c>
      <c r="E51" s="22" t="n">
        <v>36</v>
      </c>
      <c r="F51" s="23">
        <f>ROUND(Saldos_Cartera_Total!F51 + Saldo_Residual_Activo!I51, 2)</f>
        <v/>
      </c>
      <c r="G51" s="23">
        <f>ROUND(Saldos_Cartera_Total!G51 + Saldo_Residual_Activo!J51, 2)</f>
        <v/>
      </c>
      <c r="H51" s="23">
        <f>ROUND(Saldos_Cartera_Total!H51 + Saldo_Residual_Activo!K51, 2)</f>
        <v/>
      </c>
      <c r="I51" s="23">
        <f>ROUND(Saldos_Cartera_Total!I51 + Saldo_Residual_Activo!L51, 2)</f>
        <v/>
      </c>
      <c r="J51" s="23">
        <f>ROUND(Saldos_Cartera_Total!J51 + Saldo_Residual_Activo!M51, 2)</f>
        <v/>
      </c>
      <c r="K51" s="23">
        <f>ROUND(Saldos_Cartera_Total!K51 + Saldo_Residual_Activo!N51, 2)</f>
        <v/>
      </c>
      <c r="L51" s="23">
        <f>ROUND(Saldos_Cartera_Total!L51 + Saldo_Residual_Activo!O51, 2)</f>
        <v/>
      </c>
      <c r="M51" s="23">
        <f>ROUND(Saldos_Cartera_Total!M51 + Saldo_Residual_Activo!P51, 2)</f>
        <v/>
      </c>
      <c r="N51" s="23">
        <f>ROUND(Saldos_Cartera_Total!N51 + Saldo_Residual_Activo!Q51, 2)</f>
        <v/>
      </c>
      <c r="O51" s="23">
        <f>ROUND(Saldos_Cartera_Total!O51 + Saldo_Residual_Activo!R51, 2)</f>
        <v/>
      </c>
      <c r="P51" s="23">
        <f>ROUND(Saldos_Cartera_Total!P51 + Saldo_Residual_Activo!S51, 2)</f>
        <v/>
      </c>
      <c r="Q51" s="23">
        <f>ROUND(Saldos_Cartera_Total!Q51 + Saldo_Residual_Activo!T51, 2)</f>
        <v/>
      </c>
      <c r="R51" s="23">
        <f>MAX(F51:Q51)</f>
        <v/>
      </c>
    </row>
    <row r="52">
      <c r="A52" s="26" t="inlineStr">
        <is>
          <t>0585-0005</t>
        </is>
      </c>
      <c r="B52" s="27" t="inlineStr">
        <is>
          <t>Julio Alberto Ramos de la Mora</t>
        </is>
      </c>
      <c r="C52" s="27" t="inlineStr">
        <is>
          <t>M9 GL HEV</t>
        </is>
      </c>
      <c r="D52" s="26" t="inlineStr">
        <is>
          <t>ACTIVO</t>
        </is>
      </c>
      <c r="E52" s="28" t="n">
        <v>24</v>
      </c>
      <c r="F52" s="29">
        <f>ROUND(Saldos_Cartera_Total!F52 + Saldo_Residual_Activo!I52, 2)</f>
        <v/>
      </c>
      <c r="G52" s="29">
        <f>ROUND(Saldos_Cartera_Total!G52 + Saldo_Residual_Activo!J52, 2)</f>
        <v/>
      </c>
      <c r="H52" s="29">
        <f>ROUND(Saldos_Cartera_Total!H52 + Saldo_Residual_Activo!K52, 2)</f>
        <v/>
      </c>
      <c r="I52" s="29">
        <f>ROUND(Saldos_Cartera_Total!I52 + Saldo_Residual_Activo!L52, 2)</f>
        <v/>
      </c>
      <c r="J52" s="29">
        <f>ROUND(Saldos_Cartera_Total!J52 + Saldo_Residual_Activo!M52, 2)</f>
        <v/>
      </c>
      <c r="K52" s="29">
        <f>ROUND(Saldos_Cartera_Total!K52 + Saldo_Residual_Activo!N52, 2)</f>
        <v/>
      </c>
      <c r="L52" s="29">
        <f>ROUND(Saldos_Cartera_Total!L52 + Saldo_Residual_Activo!O52, 2)</f>
        <v/>
      </c>
      <c r="M52" s="29">
        <f>ROUND(Saldos_Cartera_Total!M52 + Saldo_Residual_Activo!P52, 2)</f>
        <v/>
      </c>
      <c r="N52" s="29">
        <f>ROUND(Saldos_Cartera_Total!N52 + Saldo_Residual_Activo!Q52, 2)</f>
        <v/>
      </c>
      <c r="O52" s="29">
        <f>ROUND(Saldos_Cartera_Total!O52 + Saldo_Residual_Activo!R52, 2)</f>
        <v/>
      </c>
      <c r="P52" s="29">
        <f>ROUND(Saldos_Cartera_Total!P52 + Saldo_Residual_Activo!S52, 2)</f>
        <v/>
      </c>
      <c r="Q52" s="29">
        <f>ROUND(Saldos_Cartera_Total!Q52 + Saldo_Residual_Activo!T52, 2)</f>
        <v/>
      </c>
      <c r="R52" s="29">
        <f>MAX(F52:Q52)</f>
        <v/>
      </c>
    </row>
    <row r="53">
      <c r="A53" s="20" t="inlineStr">
        <is>
          <t>0587-0002</t>
        </is>
      </c>
      <c r="B53" s="21" t="inlineStr">
        <is>
          <t>Allioth, S.C.</t>
        </is>
      </c>
      <c r="C53" s="21" t="inlineStr">
        <is>
          <t>Grand Cherokee L Summit</t>
        </is>
      </c>
      <c r="D53" s="20" t="inlineStr">
        <is>
          <t>ACTIVO</t>
        </is>
      </c>
      <c r="E53" s="22" t="n">
        <v>12</v>
      </c>
      <c r="F53" s="23" t="inlineStr"/>
      <c r="G53" s="23">
        <f>ROUND(Saldos_Cartera_Total!G53 + Saldo_Residual_Activo!J53, 2)</f>
        <v/>
      </c>
      <c r="H53" s="23">
        <f>ROUND(Saldos_Cartera_Total!H53 + Saldo_Residual_Activo!K53, 2)</f>
        <v/>
      </c>
      <c r="I53" s="23">
        <f>ROUND(Saldos_Cartera_Total!I53 + Saldo_Residual_Activo!L53, 2)</f>
        <v/>
      </c>
      <c r="J53" s="23">
        <f>ROUND(Saldos_Cartera_Total!J53 + Saldo_Residual_Activo!M53, 2)</f>
        <v/>
      </c>
      <c r="K53" s="23">
        <f>ROUND(Saldos_Cartera_Total!K53 + Saldo_Residual_Activo!N53, 2)</f>
        <v/>
      </c>
      <c r="L53" s="23">
        <f>ROUND(Saldos_Cartera_Total!L53 + Saldo_Residual_Activo!O53, 2)</f>
        <v/>
      </c>
      <c r="M53" s="23">
        <f>ROUND(Saldos_Cartera_Total!M53 + Saldo_Residual_Activo!P53, 2)</f>
        <v/>
      </c>
      <c r="N53" s="23">
        <f>ROUND(Saldos_Cartera_Total!N53 + Saldo_Residual_Activo!Q53, 2)</f>
        <v/>
      </c>
      <c r="O53" s="23">
        <f>ROUND(Saldos_Cartera_Total!O53 + Saldo_Residual_Activo!R53, 2)</f>
        <v/>
      </c>
      <c r="P53" s="23">
        <f>ROUND(Saldos_Cartera_Total!P53 + Saldo_Residual_Activo!S53, 2)</f>
        <v/>
      </c>
      <c r="Q53" s="23">
        <f>ROUND(Saldos_Cartera_Total!Q53 + Saldo_Residual_Activo!T53, 2)</f>
        <v/>
      </c>
      <c r="R53" s="23">
        <f>MAX(F53:Q53)</f>
        <v/>
      </c>
    </row>
    <row r="54">
      <c r="A54" s="26" t="inlineStr">
        <is>
          <t>0591-0002</t>
        </is>
      </c>
      <c r="B54" s="27" t="inlineStr">
        <is>
          <t>Cervantech Servicios Tecnologicos Sc</t>
        </is>
      </c>
      <c r="C54" s="27" t="inlineStr">
        <is>
          <t>WRANGLER RUBICON</t>
        </is>
      </c>
      <c r="D54" s="26" t="inlineStr">
        <is>
          <t>ACTIVO</t>
        </is>
      </c>
      <c r="E54" s="28" t="n">
        <v>36</v>
      </c>
      <c r="F54" s="29">
        <f>ROUND(Saldos_Cartera_Total!F54 + Saldo_Residual_Activo!I54, 2)</f>
        <v/>
      </c>
      <c r="G54" s="29">
        <f>ROUND(Saldos_Cartera_Total!G54 + Saldo_Residual_Activo!J54, 2)</f>
        <v/>
      </c>
      <c r="H54" s="29">
        <f>ROUND(Saldos_Cartera_Total!H54 + Saldo_Residual_Activo!K54, 2)</f>
        <v/>
      </c>
      <c r="I54" s="29">
        <f>ROUND(Saldos_Cartera_Total!I54 + Saldo_Residual_Activo!L54, 2)</f>
        <v/>
      </c>
      <c r="J54" s="29">
        <f>ROUND(Saldos_Cartera_Total!J54 + Saldo_Residual_Activo!M54, 2)</f>
        <v/>
      </c>
      <c r="K54" s="29">
        <f>ROUND(Saldos_Cartera_Total!K54 + Saldo_Residual_Activo!N54, 2)</f>
        <v/>
      </c>
      <c r="L54" s="29">
        <f>ROUND(Saldos_Cartera_Total!L54 + Saldo_Residual_Activo!O54, 2)</f>
        <v/>
      </c>
      <c r="M54" s="29">
        <f>ROUND(Saldos_Cartera_Total!M54 + Saldo_Residual_Activo!P54, 2)</f>
        <v/>
      </c>
      <c r="N54" s="29">
        <f>ROUND(Saldos_Cartera_Total!N54 + Saldo_Residual_Activo!Q54, 2)</f>
        <v/>
      </c>
      <c r="O54" s="29" t="inlineStr"/>
      <c r="P54" s="29" t="inlineStr"/>
      <c r="Q54" s="29" t="inlineStr"/>
      <c r="R54" s="29">
        <f>MAX(F54:Q54)</f>
        <v/>
      </c>
    </row>
    <row r="55">
      <c r="A55" s="20" t="inlineStr">
        <is>
          <t>0593-0002</t>
        </is>
      </c>
      <c r="B55" s="21" t="inlineStr">
        <is>
          <t>Metales y Minerales Moa Sa de Cv</t>
        </is>
      </c>
      <c r="C55" s="21" t="inlineStr">
        <is>
          <t>Ram 700 SLT Crew Cab</t>
        </is>
      </c>
      <c r="D55" s="20" t="inlineStr">
        <is>
          <t>ACTIVO</t>
        </is>
      </c>
      <c r="E55" s="22" t="n">
        <v>48</v>
      </c>
      <c r="F55" s="23">
        <f>ROUND(Saldos_Cartera_Total!F55 + Saldo_Residual_Activo!I55, 2)</f>
        <v/>
      </c>
      <c r="G55" s="23">
        <f>ROUND(Saldos_Cartera_Total!G55 + Saldo_Residual_Activo!J55, 2)</f>
        <v/>
      </c>
      <c r="H55" s="23">
        <f>ROUND(Saldos_Cartera_Total!H55 + Saldo_Residual_Activo!K55, 2)</f>
        <v/>
      </c>
      <c r="I55" s="23">
        <f>ROUND(Saldos_Cartera_Total!I55 + Saldo_Residual_Activo!L55, 2)</f>
        <v/>
      </c>
      <c r="J55" s="23">
        <f>ROUND(Saldos_Cartera_Total!J55 + Saldo_Residual_Activo!M55, 2)</f>
        <v/>
      </c>
      <c r="K55" s="23">
        <f>ROUND(Saldos_Cartera_Total!K55 + Saldo_Residual_Activo!N55, 2)</f>
        <v/>
      </c>
      <c r="L55" s="23">
        <f>ROUND(Saldos_Cartera_Total!L55 + Saldo_Residual_Activo!O55, 2)</f>
        <v/>
      </c>
      <c r="M55" s="23">
        <f>ROUND(Saldos_Cartera_Total!M55 + Saldo_Residual_Activo!P55, 2)</f>
        <v/>
      </c>
      <c r="N55" s="23">
        <f>ROUND(Saldos_Cartera_Total!N55 + Saldo_Residual_Activo!Q55, 2)</f>
        <v/>
      </c>
      <c r="O55" s="23">
        <f>ROUND(Saldos_Cartera_Total!O55 + Saldo_Residual_Activo!R55, 2)</f>
        <v/>
      </c>
      <c r="P55" s="23">
        <f>ROUND(Saldos_Cartera_Total!P55 + Saldo_Residual_Activo!S55, 2)</f>
        <v/>
      </c>
      <c r="Q55" s="23">
        <f>ROUND(Saldos_Cartera_Total!Q55 + Saldo_Residual_Activo!T55, 2)</f>
        <v/>
      </c>
      <c r="R55" s="23">
        <f>MAX(F55:Q55)</f>
        <v/>
      </c>
    </row>
    <row r="56">
      <c r="A56" s="26" t="inlineStr">
        <is>
          <t>0594-0001</t>
        </is>
      </c>
      <c r="B56" s="27" t="inlineStr">
        <is>
          <t>Biotecnologia Estetica Sa de Cv</t>
        </is>
      </c>
      <c r="C56" s="27" t="inlineStr">
        <is>
          <t>Mobi Like</t>
        </is>
      </c>
      <c r="D56" s="26" t="inlineStr">
        <is>
          <t>ACTIVO</t>
        </is>
      </c>
      <c r="E56" s="28" t="n">
        <v>48</v>
      </c>
      <c r="F56" s="29">
        <f>ROUND(Saldos_Cartera_Total!F56 + Saldo_Residual_Activo!I56, 2)</f>
        <v/>
      </c>
      <c r="G56" s="29">
        <f>ROUND(Saldos_Cartera_Total!G56 + Saldo_Residual_Activo!J56, 2)</f>
        <v/>
      </c>
      <c r="H56" s="29">
        <f>ROUND(Saldos_Cartera_Total!H56 + Saldo_Residual_Activo!K56, 2)</f>
        <v/>
      </c>
      <c r="I56" s="29">
        <f>ROUND(Saldos_Cartera_Total!I56 + Saldo_Residual_Activo!L56, 2)</f>
        <v/>
      </c>
      <c r="J56" s="29">
        <f>ROUND(Saldos_Cartera_Total!J56 + Saldo_Residual_Activo!M56, 2)</f>
        <v/>
      </c>
      <c r="K56" s="29">
        <f>ROUND(Saldos_Cartera_Total!K56 + Saldo_Residual_Activo!N56, 2)</f>
        <v/>
      </c>
      <c r="L56" s="29">
        <f>ROUND(Saldos_Cartera_Total!L56 + Saldo_Residual_Activo!O56, 2)</f>
        <v/>
      </c>
      <c r="M56" s="29">
        <f>ROUND(Saldos_Cartera_Total!M56 + Saldo_Residual_Activo!P56, 2)</f>
        <v/>
      </c>
      <c r="N56" s="29">
        <f>ROUND(Saldos_Cartera_Total!N56 + Saldo_Residual_Activo!Q56, 2)</f>
        <v/>
      </c>
      <c r="O56" s="29">
        <f>ROUND(Saldos_Cartera_Total!O56 + Saldo_Residual_Activo!R56, 2)</f>
        <v/>
      </c>
      <c r="P56" s="29">
        <f>ROUND(Saldos_Cartera_Total!P56 + Saldo_Residual_Activo!S56, 2)</f>
        <v/>
      </c>
      <c r="Q56" s="29">
        <f>ROUND(Saldos_Cartera_Total!Q56 + Saldo_Residual_Activo!T56, 2)</f>
        <v/>
      </c>
      <c r="R56" s="29">
        <f>MAX(F56:Q56)</f>
        <v/>
      </c>
    </row>
    <row r="57">
      <c r="A57" s="20" t="inlineStr">
        <is>
          <t>0596-0004</t>
        </is>
      </c>
      <c r="B57" s="21" t="inlineStr">
        <is>
          <t>Gruas Industriales Lb</t>
        </is>
      </c>
      <c r="C57" s="21" t="inlineStr">
        <is>
          <t>Ram 1500 TRX</t>
        </is>
      </c>
      <c r="D57" s="20" t="inlineStr">
        <is>
          <t>ACTIVO</t>
        </is>
      </c>
      <c r="E57" s="22" t="n">
        <v>48</v>
      </c>
      <c r="F57" s="23">
        <f>ROUND(Saldos_Cartera_Total!F57 + Saldo_Residual_Activo!I57, 2)</f>
        <v/>
      </c>
      <c r="G57" s="23">
        <f>ROUND(Saldos_Cartera_Total!G57 + Saldo_Residual_Activo!J57, 2)</f>
        <v/>
      </c>
      <c r="H57" s="23">
        <f>ROUND(Saldos_Cartera_Total!H57 + Saldo_Residual_Activo!K57, 2)</f>
        <v/>
      </c>
      <c r="I57" s="23">
        <f>ROUND(Saldos_Cartera_Total!I57 + Saldo_Residual_Activo!L57, 2)</f>
        <v/>
      </c>
      <c r="J57" s="23">
        <f>ROUND(Saldos_Cartera_Total!J57 + Saldo_Residual_Activo!M57, 2)</f>
        <v/>
      </c>
      <c r="K57" s="23">
        <f>ROUND(Saldos_Cartera_Total!K57 + Saldo_Residual_Activo!N57, 2)</f>
        <v/>
      </c>
      <c r="L57" s="23">
        <f>ROUND(Saldos_Cartera_Total!L57 + Saldo_Residual_Activo!O57, 2)</f>
        <v/>
      </c>
      <c r="M57" s="23">
        <f>ROUND(Saldos_Cartera_Total!M57 + Saldo_Residual_Activo!P57, 2)</f>
        <v/>
      </c>
      <c r="N57" s="23">
        <f>ROUND(Saldos_Cartera_Total!N57 + Saldo_Residual_Activo!Q57, 2)</f>
        <v/>
      </c>
      <c r="O57" s="23">
        <f>ROUND(Saldos_Cartera_Total!O57 + Saldo_Residual_Activo!R57, 2)</f>
        <v/>
      </c>
      <c r="P57" s="23">
        <f>ROUND(Saldos_Cartera_Total!P57 + Saldo_Residual_Activo!S57, 2)</f>
        <v/>
      </c>
      <c r="Q57" s="23">
        <f>ROUND(Saldos_Cartera_Total!Q57 + Saldo_Residual_Activo!T57, 2)</f>
        <v/>
      </c>
      <c r="R57" s="23">
        <f>MAX(F57:Q57)</f>
        <v/>
      </c>
    </row>
    <row r="58">
      <c r="A58" s="26" t="inlineStr">
        <is>
          <t>0596-0005</t>
        </is>
      </c>
      <c r="B58" s="27" t="inlineStr">
        <is>
          <t>Gruas Industriales Lb Sa de Cv</t>
        </is>
      </c>
      <c r="C58" s="27" t="inlineStr">
        <is>
          <t>L200 Glx Gasolina</t>
        </is>
      </c>
      <c r="D58" s="26" t="inlineStr">
        <is>
          <t>ACTIVO</t>
        </is>
      </c>
      <c r="E58" s="28" t="n">
        <v>48</v>
      </c>
      <c r="F58" s="29">
        <f>ROUND(Saldos_Cartera_Total!F58 + Saldo_Residual_Activo!I58, 2)</f>
        <v/>
      </c>
      <c r="G58" s="29">
        <f>ROUND(Saldos_Cartera_Total!G58 + Saldo_Residual_Activo!J58, 2)</f>
        <v/>
      </c>
      <c r="H58" s="29">
        <f>ROUND(Saldos_Cartera_Total!H58 + Saldo_Residual_Activo!K58, 2)</f>
        <v/>
      </c>
      <c r="I58" s="29">
        <f>ROUND(Saldos_Cartera_Total!I58 + Saldo_Residual_Activo!L58, 2)</f>
        <v/>
      </c>
      <c r="J58" s="29">
        <f>ROUND(Saldos_Cartera_Total!J58 + Saldo_Residual_Activo!M58, 2)</f>
        <v/>
      </c>
      <c r="K58" s="29">
        <f>ROUND(Saldos_Cartera_Total!K58 + Saldo_Residual_Activo!N58, 2)</f>
        <v/>
      </c>
      <c r="L58" s="29">
        <f>ROUND(Saldos_Cartera_Total!L58 + Saldo_Residual_Activo!O58, 2)</f>
        <v/>
      </c>
      <c r="M58" s="29">
        <f>ROUND(Saldos_Cartera_Total!M58 + Saldo_Residual_Activo!P58, 2)</f>
        <v/>
      </c>
      <c r="N58" s="29">
        <f>ROUND(Saldos_Cartera_Total!N58 + Saldo_Residual_Activo!Q58, 2)</f>
        <v/>
      </c>
      <c r="O58" s="29">
        <f>ROUND(Saldos_Cartera_Total!O58 + Saldo_Residual_Activo!R58, 2)</f>
        <v/>
      </c>
      <c r="P58" s="29">
        <f>ROUND(Saldos_Cartera_Total!P58 + Saldo_Residual_Activo!S58, 2)</f>
        <v/>
      </c>
      <c r="Q58" s="29">
        <f>ROUND(Saldos_Cartera_Total!Q58 + Saldo_Residual_Activo!T58, 2)</f>
        <v/>
      </c>
      <c r="R58" s="29">
        <f>MAX(F58:Q58)</f>
        <v/>
      </c>
    </row>
    <row r="59">
      <c r="A59" s="20" t="inlineStr">
        <is>
          <t>0598-0001</t>
        </is>
      </c>
      <c r="B59" s="21" t="inlineStr">
        <is>
          <t>Digitracking Solution Sa de Cv</t>
        </is>
      </c>
      <c r="C59" s="21" t="inlineStr">
        <is>
          <t>Ram 700 Laramie</t>
        </is>
      </c>
      <c r="D59" s="20" t="inlineStr">
        <is>
          <t>ACTIVO</t>
        </is>
      </c>
      <c r="E59" s="22" t="n">
        <v>48</v>
      </c>
      <c r="F59" s="23">
        <f>ROUND(Saldos_Cartera_Total!F59 + Saldo_Residual_Activo!I59, 2)</f>
        <v/>
      </c>
      <c r="G59" s="23">
        <f>ROUND(Saldos_Cartera_Total!G59 + Saldo_Residual_Activo!J59, 2)</f>
        <v/>
      </c>
      <c r="H59" s="23">
        <f>ROUND(Saldos_Cartera_Total!H59 + Saldo_Residual_Activo!K59, 2)</f>
        <v/>
      </c>
      <c r="I59" s="23">
        <f>ROUND(Saldos_Cartera_Total!I59 + Saldo_Residual_Activo!L59, 2)</f>
        <v/>
      </c>
      <c r="J59" s="23">
        <f>ROUND(Saldos_Cartera_Total!J59 + Saldo_Residual_Activo!M59, 2)</f>
        <v/>
      </c>
      <c r="K59" s="23">
        <f>ROUND(Saldos_Cartera_Total!K59 + Saldo_Residual_Activo!N59, 2)</f>
        <v/>
      </c>
      <c r="L59" s="23">
        <f>ROUND(Saldos_Cartera_Total!L59 + Saldo_Residual_Activo!O59, 2)</f>
        <v/>
      </c>
      <c r="M59" s="23">
        <f>ROUND(Saldos_Cartera_Total!M59 + Saldo_Residual_Activo!P59, 2)</f>
        <v/>
      </c>
      <c r="N59" s="23">
        <f>ROUND(Saldos_Cartera_Total!N59 + Saldo_Residual_Activo!Q59, 2)</f>
        <v/>
      </c>
      <c r="O59" s="23">
        <f>ROUND(Saldos_Cartera_Total!O59 + Saldo_Residual_Activo!R59, 2)</f>
        <v/>
      </c>
      <c r="P59" s="23">
        <f>ROUND(Saldos_Cartera_Total!P59 + Saldo_Residual_Activo!S59, 2)</f>
        <v/>
      </c>
      <c r="Q59" s="23">
        <f>ROUND(Saldos_Cartera_Total!Q59 + Saldo_Residual_Activo!T59, 2)</f>
        <v/>
      </c>
      <c r="R59" s="23">
        <f>MAX(F59:Q59)</f>
        <v/>
      </c>
    </row>
    <row r="60">
      <c r="A60" s="26" t="inlineStr">
        <is>
          <t>0600-0001</t>
        </is>
      </c>
      <c r="B60" s="27" t="inlineStr">
        <is>
          <t>Dulce Marisol Gonzalez Cuevas</t>
        </is>
      </c>
      <c r="C60" s="27" t="inlineStr">
        <is>
          <t>Ram 700 Laramie</t>
        </is>
      </c>
      <c r="D60" s="26" t="inlineStr">
        <is>
          <t>ACTIVO</t>
        </is>
      </c>
      <c r="E60" s="28" t="n">
        <v>48</v>
      </c>
      <c r="F60" s="29">
        <f>ROUND(Saldos_Cartera_Total!F60 + Saldo_Residual_Activo!I60, 2)</f>
        <v/>
      </c>
      <c r="G60" s="29">
        <f>ROUND(Saldos_Cartera_Total!G60 + Saldo_Residual_Activo!J60, 2)</f>
        <v/>
      </c>
      <c r="H60" s="29">
        <f>ROUND(Saldos_Cartera_Total!H60 + Saldo_Residual_Activo!K60, 2)</f>
        <v/>
      </c>
      <c r="I60" s="29">
        <f>ROUND(Saldos_Cartera_Total!I60 + Saldo_Residual_Activo!L60, 2)</f>
        <v/>
      </c>
      <c r="J60" s="29">
        <f>ROUND(Saldos_Cartera_Total!J60 + Saldo_Residual_Activo!M60, 2)</f>
        <v/>
      </c>
      <c r="K60" s="29">
        <f>ROUND(Saldos_Cartera_Total!K60 + Saldo_Residual_Activo!N60, 2)</f>
        <v/>
      </c>
      <c r="L60" s="29">
        <f>ROUND(Saldos_Cartera_Total!L60 + Saldo_Residual_Activo!O60, 2)</f>
        <v/>
      </c>
      <c r="M60" s="29">
        <f>ROUND(Saldos_Cartera_Total!M60 + Saldo_Residual_Activo!P60, 2)</f>
        <v/>
      </c>
      <c r="N60" s="29">
        <f>ROUND(Saldos_Cartera_Total!N60 + Saldo_Residual_Activo!Q60, 2)</f>
        <v/>
      </c>
      <c r="O60" s="29">
        <f>ROUND(Saldos_Cartera_Total!O60 + Saldo_Residual_Activo!R60, 2)</f>
        <v/>
      </c>
      <c r="P60" s="29">
        <f>ROUND(Saldos_Cartera_Total!P60 + Saldo_Residual_Activo!S60, 2)</f>
        <v/>
      </c>
      <c r="Q60" s="29">
        <f>ROUND(Saldos_Cartera_Total!Q60 + Saldo_Residual_Activo!T60, 2)</f>
        <v/>
      </c>
      <c r="R60" s="29">
        <f>MAX(F60:Q60)</f>
        <v/>
      </c>
    </row>
    <row r="61">
      <c r="A61" s="20" t="inlineStr">
        <is>
          <t>0603-0002</t>
        </is>
      </c>
      <c r="B61" s="21" t="inlineStr">
        <is>
          <t>Mario Alberto Velasco Santana</t>
        </is>
      </c>
      <c r="C61" s="21" t="inlineStr">
        <is>
          <t>Outlander Sport</t>
        </is>
      </c>
      <c r="D61" s="20" t="inlineStr">
        <is>
          <t>ACTIVO</t>
        </is>
      </c>
      <c r="E61" s="22" t="n">
        <v>48</v>
      </c>
      <c r="F61" s="23">
        <f>ROUND(Saldos_Cartera_Total!F61 + Saldo_Residual_Activo!I61, 2)</f>
        <v/>
      </c>
      <c r="G61" s="23">
        <f>ROUND(Saldos_Cartera_Total!G61 + Saldo_Residual_Activo!J61, 2)</f>
        <v/>
      </c>
      <c r="H61" s="23">
        <f>ROUND(Saldos_Cartera_Total!H61 + Saldo_Residual_Activo!K61, 2)</f>
        <v/>
      </c>
      <c r="I61" s="23">
        <f>ROUND(Saldos_Cartera_Total!I61 + Saldo_Residual_Activo!L61, 2)</f>
        <v/>
      </c>
      <c r="J61" s="23">
        <f>ROUND(Saldos_Cartera_Total!J61 + Saldo_Residual_Activo!M61, 2)</f>
        <v/>
      </c>
      <c r="K61" s="23">
        <f>ROUND(Saldos_Cartera_Total!K61 + Saldo_Residual_Activo!N61, 2)</f>
        <v/>
      </c>
      <c r="L61" s="23">
        <f>ROUND(Saldos_Cartera_Total!L61 + Saldo_Residual_Activo!O61, 2)</f>
        <v/>
      </c>
      <c r="M61" s="23">
        <f>ROUND(Saldos_Cartera_Total!M61 + Saldo_Residual_Activo!P61, 2)</f>
        <v/>
      </c>
      <c r="N61" s="23">
        <f>ROUND(Saldos_Cartera_Total!N61 + Saldo_Residual_Activo!Q61, 2)</f>
        <v/>
      </c>
      <c r="O61" s="23">
        <f>ROUND(Saldos_Cartera_Total!O61 + Saldo_Residual_Activo!R61, 2)</f>
        <v/>
      </c>
      <c r="P61" s="23">
        <f>ROUND(Saldos_Cartera_Total!P61 + Saldo_Residual_Activo!S61, 2)</f>
        <v/>
      </c>
      <c r="Q61" s="23">
        <f>ROUND(Saldos_Cartera_Total!Q61 + Saldo_Residual_Activo!T61, 2)</f>
        <v/>
      </c>
      <c r="R61" s="23">
        <f>MAX(F61:Q61)</f>
        <v/>
      </c>
    </row>
    <row r="62">
      <c r="A62" s="26" t="inlineStr">
        <is>
          <t>0605-0001</t>
        </is>
      </c>
      <c r="B62" s="27" t="inlineStr">
        <is>
          <t>Nato Arquitectos Sa de Cv</t>
        </is>
      </c>
      <c r="C62" s="27" t="inlineStr">
        <is>
          <t>Compass High Altitude</t>
        </is>
      </c>
      <c r="D62" s="26" t="inlineStr">
        <is>
          <t>ACTIVO</t>
        </is>
      </c>
      <c r="E62" s="28" t="n">
        <v>48</v>
      </c>
      <c r="F62" s="29">
        <f>ROUND(Saldos_Cartera_Total!F62 + Saldo_Residual_Activo!I62, 2)</f>
        <v/>
      </c>
      <c r="G62" s="29">
        <f>ROUND(Saldos_Cartera_Total!G62 + Saldo_Residual_Activo!J62, 2)</f>
        <v/>
      </c>
      <c r="H62" s="29">
        <f>ROUND(Saldos_Cartera_Total!H62 + Saldo_Residual_Activo!K62, 2)</f>
        <v/>
      </c>
      <c r="I62" s="29">
        <f>ROUND(Saldos_Cartera_Total!I62 + Saldo_Residual_Activo!L62, 2)</f>
        <v/>
      </c>
      <c r="J62" s="29">
        <f>ROUND(Saldos_Cartera_Total!J62 + Saldo_Residual_Activo!M62, 2)</f>
        <v/>
      </c>
      <c r="K62" s="29">
        <f>ROUND(Saldos_Cartera_Total!K62 + Saldo_Residual_Activo!N62, 2)</f>
        <v/>
      </c>
      <c r="L62" s="29">
        <f>ROUND(Saldos_Cartera_Total!L62 + Saldo_Residual_Activo!O62, 2)</f>
        <v/>
      </c>
      <c r="M62" s="29">
        <f>ROUND(Saldos_Cartera_Total!M62 + Saldo_Residual_Activo!P62, 2)</f>
        <v/>
      </c>
      <c r="N62" s="29">
        <f>ROUND(Saldos_Cartera_Total!N62 + Saldo_Residual_Activo!Q62, 2)</f>
        <v/>
      </c>
      <c r="O62" s="29">
        <f>ROUND(Saldos_Cartera_Total!O62 + Saldo_Residual_Activo!R62, 2)</f>
        <v/>
      </c>
      <c r="P62" s="29">
        <f>ROUND(Saldos_Cartera_Total!P62 + Saldo_Residual_Activo!S62, 2)</f>
        <v/>
      </c>
      <c r="Q62" s="29">
        <f>ROUND(Saldos_Cartera_Total!Q62 + Saldo_Residual_Activo!T62, 2)</f>
        <v/>
      </c>
      <c r="R62" s="29">
        <f>MAX(F62:Q62)</f>
        <v/>
      </c>
    </row>
    <row r="63">
      <c r="A63" s="20" t="inlineStr">
        <is>
          <t>0605-0002</t>
        </is>
      </c>
      <c r="B63" s="21" t="inlineStr">
        <is>
          <t>Nato Arquitectos Sa de Cv</t>
        </is>
      </c>
      <c r="C63" s="21" t="inlineStr">
        <is>
          <t>Hilux Diesel</t>
        </is>
      </c>
      <c r="D63" s="20" t="inlineStr">
        <is>
          <t>ACTIVO</t>
        </is>
      </c>
      <c r="E63" s="22" t="n">
        <v>24</v>
      </c>
      <c r="F63" s="23">
        <f>ROUND(Saldos_Cartera_Total!F63 + Saldo_Residual_Activo!I63, 2)</f>
        <v/>
      </c>
      <c r="G63" s="23">
        <f>ROUND(Saldos_Cartera_Total!G63 + Saldo_Residual_Activo!J63, 2)</f>
        <v/>
      </c>
      <c r="H63" s="23">
        <f>ROUND(Saldos_Cartera_Total!H63 + Saldo_Residual_Activo!K63, 2)</f>
        <v/>
      </c>
      <c r="I63" s="23">
        <f>ROUND(Saldos_Cartera_Total!I63 + Saldo_Residual_Activo!L63, 2)</f>
        <v/>
      </c>
      <c r="J63" s="23">
        <f>ROUND(Saldos_Cartera_Total!J63 + Saldo_Residual_Activo!M63, 2)</f>
        <v/>
      </c>
      <c r="K63" s="23">
        <f>ROUND(Saldos_Cartera_Total!K63 + Saldo_Residual_Activo!N63, 2)</f>
        <v/>
      </c>
      <c r="L63" s="23">
        <f>ROUND(Saldos_Cartera_Total!L63 + Saldo_Residual_Activo!O63, 2)</f>
        <v/>
      </c>
      <c r="M63" s="23">
        <f>ROUND(Saldos_Cartera_Total!M63 + Saldo_Residual_Activo!P63, 2)</f>
        <v/>
      </c>
      <c r="N63" s="23">
        <f>ROUND(Saldos_Cartera_Total!N63 + Saldo_Residual_Activo!Q63, 2)</f>
        <v/>
      </c>
      <c r="O63" s="23">
        <f>ROUND(Saldos_Cartera_Total!O63 + Saldo_Residual_Activo!R63, 2)</f>
        <v/>
      </c>
      <c r="P63" s="23">
        <f>ROUND(Saldos_Cartera_Total!P63 + Saldo_Residual_Activo!S63, 2)</f>
        <v/>
      </c>
      <c r="Q63" s="23">
        <f>ROUND(Saldos_Cartera_Total!Q63 + Saldo_Residual_Activo!T63, 2)</f>
        <v/>
      </c>
      <c r="R63" s="23">
        <f>MAX(F63:Q63)</f>
        <v/>
      </c>
    </row>
    <row r="64">
      <c r="A64" s="26" t="inlineStr">
        <is>
          <t>0605-0003</t>
        </is>
      </c>
      <c r="B64" s="27" t="inlineStr">
        <is>
          <t>Nato Arquitectos Sa de Cv</t>
        </is>
      </c>
      <c r="C64" s="27" t="inlineStr">
        <is>
          <t>Ranger Crew Cab 4X4 XLT</t>
        </is>
      </c>
      <c r="D64" s="26" t="inlineStr">
        <is>
          <t>ACTIVO</t>
        </is>
      </c>
      <c r="E64" s="28" t="n">
        <v>24</v>
      </c>
      <c r="F64" s="29">
        <f>ROUND(Saldos_Cartera_Total!F64 + Saldo_Residual_Activo!I64, 2)</f>
        <v/>
      </c>
      <c r="G64" s="29">
        <f>ROUND(Saldos_Cartera_Total!G64 + Saldo_Residual_Activo!J64, 2)</f>
        <v/>
      </c>
      <c r="H64" s="29">
        <f>ROUND(Saldos_Cartera_Total!H64 + Saldo_Residual_Activo!K64, 2)</f>
        <v/>
      </c>
      <c r="I64" s="29">
        <f>ROUND(Saldos_Cartera_Total!I64 + Saldo_Residual_Activo!L64, 2)</f>
        <v/>
      </c>
      <c r="J64" s="29">
        <f>ROUND(Saldos_Cartera_Total!J64 + Saldo_Residual_Activo!M64, 2)</f>
        <v/>
      </c>
      <c r="K64" s="29">
        <f>ROUND(Saldos_Cartera_Total!K64 + Saldo_Residual_Activo!N64, 2)</f>
        <v/>
      </c>
      <c r="L64" s="29">
        <f>ROUND(Saldos_Cartera_Total!L64 + Saldo_Residual_Activo!O64, 2)</f>
        <v/>
      </c>
      <c r="M64" s="29">
        <f>ROUND(Saldos_Cartera_Total!M64 + Saldo_Residual_Activo!P64, 2)</f>
        <v/>
      </c>
      <c r="N64" s="29">
        <f>ROUND(Saldos_Cartera_Total!N64 + Saldo_Residual_Activo!Q64, 2)</f>
        <v/>
      </c>
      <c r="O64" s="29">
        <f>ROUND(Saldos_Cartera_Total!O64 + Saldo_Residual_Activo!R64, 2)</f>
        <v/>
      </c>
      <c r="P64" s="29">
        <f>ROUND(Saldos_Cartera_Total!P64 + Saldo_Residual_Activo!S64, 2)</f>
        <v/>
      </c>
      <c r="Q64" s="29">
        <f>ROUND(Saldos_Cartera_Total!Q64 + Saldo_Residual_Activo!T64, 2)</f>
        <v/>
      </c>
      <c r="R64" s="29">
        <f>MAX(F64:Q64)</f>
        <v/>
      </c>
    </row>
    <row r="65">
      <c r="A65" s="20" t="inlineStr">
        <is>
          <t>0605-0004</t>
        </is>
      </c>
      <c r="B65" s="21" t="inlineStr">
        <is>
          <t>Nato Arquitectos Sa de Cv</t>
        </is>
      </c>
      <c r="C65" s="21" t="inlineStr">
        <is>
          <t>COLORADO DOBLE CABINA PAQ. "C"</t>
        </is>
      </c>
      <c r="D65" s="20" t="inlineStr">
        <is>
          <t>ACTIVO</t>
        </is>
      </c>
      <c r="E65" s="22" t="n">
        <v>24</v>
      </c>
      <c r="F65" s="23">
        <f>ROUND(Saldos_Cartera_Total!F65 + Saldo_Residual_Activo!I65, 2)</f>
        <v/>
      </c>
      <c r="G65" s="23">
        <f>ROUND(Saldos_Cartera_Total!G65 + Saldo_Residual_Activo!J65, 2)</f>
        <v/>
      </c>
      <c r="H65" s="23">
        <f>ROUND(Saldos_Cartera_Total!H65 + Saldo_Residual_Activo!K65, 2)</f>
        <v/>
      </c>
      <c r="I65" s="23">
        <f>ROUND(Saldos_Cartera_Total!I65 + Saldo_Residual_Activo!L65, 2)</f>
        <v/>
      </c>
      <c r="J65" s="23">
        <f>ROUND(Saldos_Cartera_Total!J65 + Saldo_Residual_Activo!M65, 2)</f>
        <v/>
      </c>
      <c r="K65" s="23">
        <f>ROUND(Saldos_Cartera_Total!K65 + Saldo_Residual_Activo!N65, 2)</f>
        <v/>
      </c>
      <c r="L65" s="23">
        <f>ROUND(Saldos_Cartera_Total!L65 + Saldo_Residual_Activo!O65, 2)</f>
        <v/>
      </c>
      <c r="M65" s="23">
        <f>ROUND(Saldos_Cartera_Total!M65 + Saldo_Residual_Activo!P65, 2)</f>
        <v/>
      </c>
      <c r="N65" s="23">
        <f>ROUND(Saldos_Cartera_Total!N65 + Saldo_Residual_Activo!Q65, 2)</f>
        <v/>
      </c>
      <c r="O65" s="23">
        <f>ROUND(Saldos_Cartera_Total!O65 + Saldo_Residual_Activo!R65, 2)</f>
        <v/>
      </c>
      <c r="P65" s="23">
        <f>ROUND(Saldos_Cartera_Total!P65 + Saldo_Residual_Activo!S65, 2)</f>
        <v/>
      </c>
      <c r="Q65" s="23">
        <f>ROUND(Saldos_Cartera_Total!Q65 + Saldo_Residual_Activo!T65, 2)</f>
        <v/>
      </c>
      <c r="R65" s="23">
        <f>MAX(F65:Q65)</f>
        <v/>
      </c>
    </row>
    <row r="66">
      <c r="A66" s="26" t="inlineStr">
        <is>
          <t>0606-0002</t>
        </is>
      </c>
      <c r="B66" s="27" t="inlineStr">
        <is>
          <t>Mayoreo Automotriz ML S de Rl de CV</t>
        </is>
      </c>
      <c r="C66" s="27" t="inlineStr">
        <is>
          <t>Grand Cherokee 4xE</t>
        </is>
      </c>
      <c r="D66" s="26" t="inlineStr">
        <is>
          <t>ACTIVO</t>
        </is>
      </c>
      <c r="E66" s="28" t="n">
        <v>12</v>
      </c>
      <c r="F66" s="29" t="inlineStr"/>
      <c r="G66" s="29" t="inlineStr"/>
      <c r="H66" s="29">
        <f>ROUND(Saldos_Cartera_Total!H66 + Saldo_Residual_Activo!K66, 2)</f>
        <v/>
      </c>
      <c r="I66" s="29">
        <f>ROUND(Saldos_Cartera_Total!I66 + Saldo_Residual_Activo!L66, 2)</f>
        <v/>
      </c>
      <c r="J66" s="29">
        <f>ROUND(Saldos_Cartera_Total!J66 + Saldo_Residual_Activo!M66, 2)</f>
        <v/>
      </c>
      <c r="K66" s="29">
        <f>ROUND(Saldos_Cartera_Total!K66 + Saldo_Residual_Activo!N66, 2)</f>
        <v/>
      </c>
      <c r="L66" s="29">
        <f>ROUND(Saldos_Cartera_Total!L66 + Saldo_Residual_Activo!O66, 2)</f>
        <v/>
      </c>
      <c r="M66" s="29">
        <f>ROUND(Saldos_Cartera_Total!M66 + Saldo_Residual_Activo!P66, 2)</f>
        <v/>
      </c>
      <c r="N66" s="29">
        <f>ROUND(Saldos_Cartera_Total!N66 + Saldo_Residual_Activo!Q66, 2)</f>
        <v/>
      </c>
      <c r="O66" s="29">
        <f>ROUND(Saldos_Cartera_Total!O66 + Saldo_Residual_Activo!R66, 2)</f>
        <v/>
      </c>
      <c r="P66" s="29">
        <f>ROUND(Saldos_Cartera_Total!P66 + Saldo_Residual_Activo!S66, 2)</f>
        <v/>
      </c>
      <c r="Q66" s="29">
        <f>ROUND(Saldos_Cartera_Total!Q66 + Saldo_Residual_Activo!T66, 2)</f>
        <v/>
      </c>
      <c r="R66" s="29">
        <f>MAX(F66:Q66)</f>
        <v/>
      </c>
    </row>
    <row r="67">
      <c r="A67" s="20" t="inlineStr">
        <is>
          <t>0607-0004</t>
        </is>
      </c>
      <c r="B67" s="21" t="inlineStr">
        <is>
          <t>Jose Guadalupe Dueñas Lomeli</t>
        </is>
      </c>
      <c r="C67" s="21" t="inlineStr">
        <is>
          <t>Rifter Allure Pack</t>
        </is>
      </c>
      <c r="D67" s="20" t="inlineStr">
        <is>
          <t>ACTIVO</t>
        </is>
      </c>
      <c r="E67" s="22" t="n">
        <v>48</v>
      </c>
      <c r="F67" s="23">
        <f>ROUND(Saldos_Cartera_Total!F67 + Saldo_Residual_Activo!I67, 2)</f>
        <v/>
      </c>
      <c r="G67" s="23">
        <f>ROUND(Saldos_Cartera_Total!G67 + Saldo_Residual_Activo!J67, 2)</f>
        <v/>
      </c>
      <c r="H67" s="23">
        <f>ROUND(Saldos_Cartera_Total!H67 + Saldo_Residual_Activo!K67, 2)</f>
        <v/>
      </c>
      <c r="I67" s="23">
        <f>ROUND(Saldos_Cartera_Total!I67 + Saldo_Residual_Activo!L67, 2)</f>
        <v/>
      </c>
      <c r="J67" s="23">
        <f>ROUND(Saldos_Cartera_Total!J67 + Saldo_Residual_Activo!M67, 2)</f>
        <v/>
      </c>
      <c r="K67" s="23">
        <f>ROUND(Saldos_Cartera_Total!K67 + Saldo_Residual_Activo!N67, 2)</f>
        <v/>
      </c>
      <c r="L67" s="23">
        <f>ROUND(Saldos_Cartera_Total!L67 + Saldo_Residual_Activo!O67, 2)</f>
        <v/>
      </c>
      <c r="M67" s="23">
        <f>ROUND(Saldos_Cartera_Total!M67 + Saldo_Residual_Activo!P67, 2)</f>
        <v/>
      </c>
      <c r="N67" s="23">
        <f>ROUND(Saldos_Cartera_Total!N67 + Saldo_Residual_Activo!Q67, 2)</f>
        <v/>
      </c>
      <c r="O67" s="23">
        <f>ROUND(Saldos_Cartera_Total!O67 + Saldo_Residual_Activo!R67, 2)</f>
        <v/>
      </c>
      <c r="P67" s="23">
        <f>ROUND(Saldos_Cartera_Total!P67 + Saldo_Residual_Activo!S67, 2)</f>
        <v/>
      </c>
      <c r="Q67" s="23">
        <f>ROUND(Saldos_Cartera_Total!Q67 + Saldo_Residual_Activo!T67, 2)</f>
        <v/>
      </c>
      <c r="R67" s="23">
        <f>MAX(F67:Q67)</f>
        <v/>
      </c>
    </row>
    <row r="68">
      <c r="A68" s="26" t="inlineStr">
        <is>
          <t>0607-0005</t>
        </is>
      </c>
      <c r="B68" s="27" t="inlineStr">
        <is>
          <t>Jose Guadalupe Dueñas Lomeli</t>
        </is>
      </c>
      <c r="C68" s="27" t="inlineStr">
        <is>
          <t>Durango Hellcat SRT</t>
        </is>
      </c>
      <c r="D68" s="26" t="inlineStr">
        <is>
          <t>ACTIVO</t>
        </is>
      </c>
      <c r="E68" s="28" t="n">
        <v>36</v>
      </c>
      <c r="F68" s="29" t="inlineStr"/>
      <c r="G68" s="29">
        <f>ROUND(Saldos_Cartera_Total!G68 + Saldo_Residual_Activo!J68, 2)</f>
        <v/>
      </c>
      <c r="H68" s="29">
        <f>ROUND(Saldos_Cartera_Total!H68 + Saldo_Residual_Activo!K68, 2)</f>
        <v/>
      </c>
      <c r="I68" s="29">
        <f>ROUND(Saldos_Cartera_Total!I68 + Saldo_Residual_Activo!L68, 2)</f>
        <v/>
      </c>
      <c r="J68" s="29">
        <f>ROUND(Saldos_Cartera_Total!J68 + Saldo_Residual_Activo!M68, 2)</f>
        <v/>
      </c>
      <c r="K68" s="29">
        <f>ROUND(Saldos_Cartera_Total!K68 + Saldo_Residual_Activo!N68, 2)</f>
        <v/>
      </c>
      <c r="L68" s="29">
        <f>ROUND(Saldos_Cartera_Total!L68 + Saldo_Residual_Activo!O68, 2)</f>
        <v/>
      </c>
      <c r="M68" s="29">
        <f>ROUND(Saldos_Cartera_Total!M68 + Saldo_Residual_Activo!P68, 2)</f>
        <v/>
      </c>
      <c r="N68" s="29">
        <f>ROUND(Saldos_Cartera_Total!N68 + Saldo_Residual_Activo!Q68, 2)</f>
        <v/>
      </c>
      <c r="O68" s="29">
        <f>ROUND(Saldos_Cartera_Total!O68 + Saldo_Residual_Activo!R68, 2)</f>
        <v/>
      </c>
      <c r="P68" s="29">
        <f>ROUND(Saldos_Cartera_Total!P68 + Saldo_Residual_Activo!S68, 2)</f>
        <v/>
      </c>
      <c r="Q68" s="29">
        <f>ROUND(Saldos_Cartera_Total!Q68 + Saldo_Residual_Activo!T68, 2)</f>
        <v/>
      </c>
      <c r="R68" s="29">
        <f>MAX(F68:Q68)</f>
        <v/>
      </c>
    </row>
    <row r="69">
      <c r="A69" s="20" t="inlineStr">
        <is>
          <t>0610-0003</t>
        </is>
      </c>
      <c r="B69" s="21" t="inlineStr">
        <is>
          <t>Minelaza</t>
        </is>
      </c>
      <c r="C69" s="21" t="inlineStr">
        <is>
          <t>Song Plus</t>
        </is>
      </c>
      <c r="D69" s="20" t="inlineStr">
        <is>
          <t>ACTIVO</t>
        </is>
      </c>
      <c r="E69" s="22" t="n">
        <v>36</v>
      </c>
      <c r="F69" s="23" t="inlineStr"/>
      <c r="G69" s="23" t="inlineStr"/>
      <c r="H69" s="23" t="inlineStr"/>
      <c r="I69" s="23">
        <f>ROUND(Saldos_Cartera_Total!I69 + Saldo_Residual_Activo!L69, 2)</f>
        <v/>
      </c>
      <c r="J69" s="23">
        <f>ROUND(Saldos_Cartera_Total!J69 + Saldo_Residual_Activo!M69, 2)</f>
        <v/>
      </c>
      <c r="K69" s="23">
        <f>ROUND(Saldos_Cartera_Total!K69 + Saldo_Residual_Activo!N69, 2)</f>
        <v/>
      </c>
      <c r="L69" s="23">
        <f>ROUND(Saldos_Cartera_Total!L69 + Saldo_Residual_Activo!O69, 2)</f>
        <v/>
      </c>
      <c r="M69" s="23">
        <f>ROUND(Saldos_Cartera_Total!M69 + Saldo_Residual_Activo!P69, 2)</f>
        <v/>
      </c>
      <c r="N69" s="23">
        <f>ROUND(Saldos_Cartera_Total!N69 + Saldo_Residual_Activo!Q69, 2)</f>
        <v/>
      </c>
      <c r="O69" s="23">
        <f>ROUND(Saldos_Cartera_Total!O69 + Saldo_Residual_Activo!R69, 2)</f>
        <v/>
      </c>
      <c r="P69" s="23">
        <f>ROUND(Saldos_Cartera_Total!P69 + Saldo_Residual_Activo!S69, 2)</f>
        <v/>
      </c>
      <c r="Q69" s="23">
        <f>ROUND(Saldos_Cartera_Total!Q69 + Saldo_Residual_Activo!T69, 2)</f>
        <v/>
      </c>
      <c r="R69" s="23">
        <f>MAX(F69:Q69)</f>
        <v/>
      </c>
    </row>
    <row r="70">
      <c r="A70" s="26" t="inlineStr">
        <is>
          <t>0612-0002</t>
        </is>
      </c>
      <c r="B70" s="27" t="inlineStr">
        <is>
          <t>Distribuidora Lopez Moctezuma Sa de Cv</t>
        </is>
      </c>
      <c r="C70" s="27" t="inlineStr">
        <is>
          <t>Ram 700 Tradesman</t>
        </is>
      </c>
      <c r="D70" s="26" t="inlineStr">
        <is>
          <t>ACTIVO</t>
        </is>
      </c>
      <c r="E70" s="28" t="n">
        <v>36</v>
      </c>
      <c r="F70" s="29">
        <f>ROUND(Saldos_Cartera_Total!F70 + Saldo_Residual_Activo!I70, 2)</f>
        <v/>
      </c>
      <c r="G70" s="29">
        <f>ROUND(Saldos_Cartera_Total!G70 + Saldo_Residual_Activo!J70, 2)</f>
        <v/>
      </c>
      <c r="H70" s="29">
        <f>ROUND(Saldos_Cartera_Total!H70 + Saldo_Residual_Activo!K70, 2)</f>
        <v/>
      </c>
      <c r="I70" s="29">
        <f>ROUND(Saldos_Cartera_Total!I70 + Saldo_Residual_Activo!L70, 2)</f>
        <v/>
      </c>
      <c r="J70" s="29">
        <f>ROUND(Saldos_Cartera_Total!J70 + Saldo_Residual_Activo!M70, 2)</f>
        <v/>
      </c>
      <c r="K70" s="29">
        <f>ROUND(Saldos_Cartera_Total!K70 + Saldo_Residual_Activo!N70, 2)</f>
        <v/>
      </c>
      <c r="L70" s="29">
        <f>ROUND(Saldos_Cartera_Total!L70 + Saldo_Residual_Activo!O70, 2)</f>
        <v/>
      </c>
      <c r="M70" s="29">
        <f>ROUND(Saldos_Cartera_Total!M70 + Saldo_Residual_Activo!P70, 2)</f>
        <v/>
      </c>
      <c r="N70" s="29">
        <f>ROUND(Saldos_Cartera_Total!N70 + Saldo_Residual_Activo!Q70, 2)</f>
        <v/>
      </c>
      <c r="O70" s="29">
        <f>ROUND(Saldos_Cartera_Total!O70 + Saldo_Residual_Activo!R70, 2)</f>
        <v/>
      </c>
      <c r="P70" s="29">
        <f>ROUND(Saldos_Cartera_Total!P70 + Saldo_Residual_Activo!S70, 2)</f>
        <v/>
      </c>
      <c r="Q70" s="29">
        <f>ROUND(Saldos_Cartera_Total!Q70 + Saldo_Residual_Activo!T70, 2)</f>
        <v/>
      </c>
      <c r="R70" s="29">
        <f>MAX(F70:Q70)</f>
        <v/>
      </c>
    </row>
    <row r="71">
      <c r="A71" s="20" t="inlineStr">
        <is>
          <t>0612-0003</t>
        </is>
      </c>
      <c r="B71" s="21" t="inlineStr">
        <is>
          <t>Distribuidora Lopez Moctezuma Sa de Cv</t>
        </is>
      </c>
      <c r="C71" s="21" t="inlineStr">
        <is>
          <t>Mitsubishi Xpander 2026</t>
        </is>
      </c>
      <c r="D71" s="20" t="inlineStr">
        <is>
          <t>ACTIVO</t>
        </is>
      </c>
      <c r="E71" s="22" t="n">
        <v>48</v>
      </c>
      <c r="F71" s="23" t="inlineStr"/>
      <c r="G71" s="23" t="inlineStr"/>
      <c r="H71" s="23" t="inlineStr"/>
      <c r="I71" s="23" t="inlineStr"/>
      <c r="J71" s="23" t="inlineStr"/>
      <c r="K71" s="23" t="inlineStr"/>
      <c r="L71" s="23">
        <f>ROUND(Saldos_Cartera_Total!L71 + Saldo_Residual_Activo!O71, 2)</f>
        <v/>
      </c>
      <c r="M71" s="23">
        <f>ROUND(Saldos_Cartera_Total!M71 + Saldo_Residual_Activo!P71, 2)</f>
        <v/>
      </c>
      <c r="N71" s="23">
        <f>ROUND(Saldos_Cartera_Total!N71 + Saldo_Residual_Activo!Q71, 2)</f>
        <v/>
      </c>
      <c r="O71" s="23">
        <f>ROUND(Saldos_Cartera_Total!O71 + Saldo_Residual_Activo!R71, 2)</f>
        <v/>
      </c>
      <c r="P71" s="23">
        <f>ROUND(Saldos_Cartera_Total!P71 + Saldo_Residual_Activo!S71, 2)</f>
        <v/>
      </c>
      <c r="Q71" s="23">
        <f>ROUND(Saldos_Cartera_Total!Q71 + Saldo_Residual_Activo!T71, 2)</f>
        <v/>
      </c>
      <c r="R71" s="23">
        <f>MAX(F71:Q71)</f>
        <v/>
      </c>
    </row>
    <row r="72">
      <c r="A72" s="26" t="inlineStr">
        <is>
          <t>0616-0002</t>
        </is>
      </c>
      <c r="B72" s="27" t="inlineStr">
        <is>
          <t>Commerce and Technology Connection Sas de Cv</t>
        </is>
      </c>
      <c r="C72" s="27" t="inlineStr">
        <is>
          <t>RAM 700 BIG HORN</t>
        </is>
      </c>
      <c r="D72" s="26" t="inlineStr">
        <is>
          <t>ACTIVO</t>
        </is>
      </c>
      <c r="E72" s="28" t="n">
        <v>36</v>
      </c>
      <c r="F72" s="29">
        <f>ROUND(Saldos_Cartera_Total!F72 + Saldo_Residual_Activo!I72, 2)</f>
        <v/>
      </c>
      <c r="G72" s="29">
        <f>ROUND(Saldos_Cartera_Total!G72 + Saldo_Residual_Activo!J72, 2)</f>
        <v/>
      </c>
      <c r="H72" s="29">
        <f>ROUND(Saldos_Cartera_Total!H72 + Saldo_Residual_Activo!K72, 2)</f>
        <v/>
      </c>
      <c r="I72" s="29">
        <f>ROUND(Saldos_Cartera_Total!I72 + Saldo_Residual_Activo!L72, 2)</f>
        <v/>
      </c>
      <c r="J72" s="29">
        <f>ROUND(Saldos_Cartera_Total!J72 + Saldo_Residual_Activo!M72, 2)</f>
        <v/>
      </c>
      <c r="K72" s="29">
        <f>ROUND(Saldos_Cartera_Total!K72 + Saldo_Residual_Activo!N72, 2)</f>
        <v/>
      </c>
      <c r="L72" s="29">
        <f>ROUND(Saldos_Cartera_Total!L72 + Saldo_Residual_Activo!O72, 2)</f>
        <v/>
      </c>
      <c r="M72" s="29">
        <f>ROUND(Saldos_Cartera_Total!M72 + Saldo_Residual_Activo!P72, 2)</f>
        <v/>
      </c>
      <c r="N72" s="29">
        <f>ROUND(Saldos_Cartera_Total!N72 + Saldo_Residual_Activo!Q72, 2)</f>
        <v/>
      </c>
      <c r="O72" s="29">
        <f>ROUND(Saldos_Cartera_Total!O72 + Saldo_Residual_Activo!R72, 2)</f>
        <v/>
      </c>
      <c r="P72" s="29">
        <f>ROUND(Saldos_Cartera_Total!P72 + Saldo_Residual_Activo!S72, 2)</f>
        <v/>
      </c>
      <c r="Q72" s="29">
        <f>ROUND(Saldos_Cartera_Total!Q72 + Saldo_Residual_Activo!T72, 2)</f>
        <v/>
      </c>
      <c r="R72" s="29">
        <f>MAX(F72:Q72)</f>
        <v/>
      </c>
    </row>
    <row r="73">
      <c r="A73" s="20" t="inlineStr">
        <is>
          <t>0616-0003</t>
        </is>
      </c>
      <c r="B73" s="21" t="inlineStr">
        <is>
          <t>Commerce and Technology Connection Sas de Cv</t>
        </is>
      </c>
      <c r="C73" s="21" t="inlineStr">
        <is>
          <t>FASTBACK</t>
        </is>
      </c>
      <c r="D73" s="20" t="inlineStr">
        <is>
          <t>ACTIVO</t>
        </is>
      </c>
      <c r="E73" s="22" t="n">
        <v>36</v>
      </c>
      <c r="F73" s="23">
        <f>ROUND(Saldos_Cartera_Total!F73 + Saldo_Residual_Activo!I73, 2)</f>
        <v/>
      </c>
      <c r="G73" s="23">
        <f>ROUND(Saldos_Cartera_Total!G73 + Saldo_Residual_Activo!J73, 2)</f>
        <v/>
      </c>
      <c r="H73" s="23">
        <f>ROUND(Saldos_Cartera_Total!H73 + Saldo_Residual_Activo!K73, 2)</f>
        <v/>
      </c>
      <c r="I73" s="23">
        <f>ROUND(Saldos_Cartera_Total!I73 + Saldo_Residual_Activo!L73, 2)</f>
        <v/>
      </c>
      <c r="J73" s="23">
        <f>ROUND(Saldos_Cartera_Total!J73 + Saldo_Residual_Activo!M73, 2)</f>
        <v/>
      </c>
      <c r="K73" s="23">
        <f>ROUND(Saldos_Cartera_Total!K73 + Saldo_Residual_Activo!N73, 2)</f>
        <v/>
      </c>
      <c r="L73" s="23">
        <f>ROUND(Saldos_Cartera_Total!L73 + Saldo_Residual_Activo!O73, 2)</f>
        <v/>
      </c>
      <c r="M73" s="23">
        <f>ROUND(Saldos_Cartera_Total!M73 + Saldo_Residual_Activo!P73, 2)</f>
        <v/>
      </c>
      <c r="N73" s="23">
        <f>ROUND(Saldos_Cartera_Total!N73 + Saldo_Residual_Activo!Q73, 2)</f>
        <v/>
      </c>
      <c r="O73" s="23">
        <f>ROUND(Saldos_Cartera_Total!O73 + Saldo_Residual_Activo!R73, 2)</f>
        <v/>
      </c>
      <c r="P73" s="23">
        <f>ROUND(Saldos_Cartera_Total!P73 + Saldo_Residual_Activo!S73, 2)</f>
        <v/>
      </c>
      <c r="Q73" s="23">
        <f>ROUND(Saldos_Cartera_Total!Q73 + Saldo_Residual_Activo!T73, 2)</f>
        <v/>
      </c>
      <c r="R73" s="23">
        <f>MAX(F73:Q73)</f>
        <v/>
      </c>
    </row>
    <row r="74">
      <c r="A74" s="26" t="inlineStr">
        <is>
          <t>0616-0004</t>
        </is>
      </c>
      <c r="B74" s="27" t="inlineStr">
        <is>
          <t>Commerce and Technology Connections Sas de Cv</t>
        </is>
      </c>
      <c r="C74" s="27" t="inlineStr">
        <is>
          <t>Argo</t>
        </is>
      </c>
      <c r="D74" s="26" t="inlineStr">
        <is>
          <t>ACTIVO</t>
        </is>
      </c>
      <c r="E74" s="28" t="n">
        <v>36</v>
      </c>
      <c r="F74" s="29">
        <f>ROUND(Saldos_Cartera_Total!F74 + Saldo_Residual_Activo!I74, 2)</f>
        <v/>
      </c>
      <c r="G74" s="29">
        <f>ROUND(Saldos_Cartera_Total!G74 + Saldo_Residual_Activo!J74, 2)</f>
        <v/>
      </c>
      <c r="H74" s="29">
        <f>ROUND(Saldos_Cartera_Total!H74 + Saldo_Residual_Activo!K74, 2)</f>
        <v/>
      </c>
      <c r="I74" s="29">
        <f>ROUND(Saldos_Cartera_Total!I74 + Saldo_Residual_Activo!L74, 2)</f>
        <v/>
      </c>
      <c r="J74" s="29">
        <f>ROUND(Saldos_Cartera_Total!J74 + Saldo_Residual_Activo!M74, 2)</f>
        <v/>
      </c>
      <c r="K74" s="29">
        <f>ROUND(Saldos_Cartera_Total!K74 + Saldo_Residual_Activo!N74, 2)</f>
        <v/>
      </c>
      <c r="L74" s="29">
        <f>ROUND(Saldos_Cartera_Total!L74 + Saldo_Residual_Activo!O74, 2)</f>
        <v/>
      </c>
      <c r="M74" s="29">
        <f>ROUND(Saldos_Cartera_Total!M74 + Saldo_Residual_Activo!P74, 2)</f>
        <v/>
      </c>
      <c r="N74" s="29">
        <f>ROUND(Saldos_Cartera_Total!N74 + Saldo_Residual_Activo!Q74, 2)</f>
        <v/>
      </c>
      <c r="O74" s="29">
        <f>ROUND(Saldos_Cartera_Total!O74 + Saldo_Residual_Activo!R74, 2)</f>
        <v/>
      </c>
      <c r="P74" s="29">
        <f>ROUND(Saldos_Cartera_Total!P74 + Saldo_Residual_Activo!S74, 2)</f>
        <v/>
      </c>
      <c r="Q74" s="29">
        <f>ROUND(Saldos_Cartera_Total!Q74 + Saldo_Residual_Activo!T74, 2)</f>
        <v/>
      </c>
      <c r="R74" s="29">
        <f>MAX(F74:Q74)</f>
        <v/>
      </c>
    </row>
    <row r="75">
      <c r="A75" s="20" t="inlineStr">
        <is>
          <t>0616-0005</t>
        </is>
      </c>
      <c r="B75" s="21" t="inlineStr">
        <is>
          <t>Commerce and Technology Connection Sas de Cv</t>
        </is>
      </c>
      <c r="C75" s="21" t="inlineStr">
        <is>
          <t>Journey GT</t>
        </is>
      </c>
      <c r="D75" s="20" t="inlineStr">
        <is>
          <t>ACTIVO</t>
        </is>
      </c>
      <c r="E75" s="22" t="n">
        <v>36</v>
      </c>
      <c r="F75" s="23">
        <f>ROUND(Saldos_Cartera_Total!F75 + Saldo_Residual_Activo!I75, 2)</f>
        <v/>
      </c>
      <c r="G75" s="23">
        <f>ROUND(Saldos_Cartera_Total!G75 + Saldo_Residual_Activo!J75, 2)</f>
        <v/>
      </c>
      <c r="H75" s="23">
        <f>ROUND(Saldos_Cartera_Total!H75 + Saldo_Residual_Activo!K75, 2)</f>
        <v/>
      </c>
      <c r="I75" s="23">
        <f>ROUND(Saldos_Cartera_Total!I75 + Saldo_Residual_Activo!L75, 2)</f>
        <v/>
      </c>
      <c r="J75" s="23">
        <f>ROUND(Saldos_Cartera_Total!J75 + Saldo_Residual_Activo!M75, 2)</f>
        <v/>
      </c>
      <c r="K75" s="23">
        <f>ROUND(Saldos_Cartera_Total!K75 + Saldo_Residual_Activo!N75, 2)</f>
        <v/>
      </c>
      <c r="L75" s="23">
        <f>ROUND(Saldos_Cartera_Total!L75 + Saldo_Residual_Activo!O75, 2)</f>
        <v/>
      </c>
      <c r="M75" s="23">
        <f>ROUND(Saldos_Cartera_Total!M75 + Saldo_Residual_Activo!P75, 2)</f>
        <v/>
      </c>
      <c r="N75" s="23">
        <f>ROUND(Saldos_Cartera_Total!N75 + Saldo_Residual_Activo!Q75, 2)</f>
        <v/>
      </c>
      <c r="O75" s="23">
        <f>ROUND(Saldos_Cartera_Total!O75 + Saldo_Residual_Activo!R75, 2)</f>
        <v/>
      </c>
      <c r="P75" s="23">
        <f>ROUND(Saldos_Cartera_Total!P75 + Saldo_Residual_Activo!S75, 2)</f>
        <v/>
      </c>
      <c r="Q75" s="23">
        <f>ROUND(Saldos_Cartera_Total!Q75 + Saldo_Residual_Activo!T75, 2)</f>
        <v/>
      </c>
      <c r="R75" s="23">
        <f>MAX(F75:Q75)</f>
        <v/>
      </c>
    </row>
    <row r="76">
      <c r="A76" s="26" t="inlineStr">
        <is>
          <t>0618-0001</t>
        </is>
      </c>
      <c r="B76" s="27" t="inlineStr">
        <is>
          <t>Juan Pablo Rodriguez Garcia</t>
        </is>
      </c>
      <c r="C76" s="27" t="inlineStr">
        <is>
          <t>JT MOJAVE</t>
        </is>
      </c>
      <c r="D76" s="26" t="inlineStr">
        <is>
          <t>ACTIVO</t>
        </is>
      </c>
      <c r="E76" s="28" t="n">
        <v>48</v>
      </c>
      <c r="F76" s="29">
        <f>ROUND(Saldos_Cartera_Total!F76 + Saldo_Residual_Activo!I76, 2)</f>
        <v/>
      </c>
      <c r="G76" s="29">
        <f>ROUND(Saldos_Cartera_Total!G76 + Saldo_Residual_Activo!J76, 2)</f>
        <v/>
      </c>
      <c r="H76" s="29">
        <f>ROUND(Saldos_Cartera_Total!H76 + Saldo_Residual_Activo!K76, 2)</f>
        <v/>
      </c>
      <c r="I76" s="29">
        <f>ROUND(Saldos_Cartera_Total!I76 + Saldo_Residual_Activo!L76, 2)</f>
        <v/>
      </c>
      <c r="J76" s="29">
        <f>ROUND(Saldos_Cartera_Total!J76 + Saldo_Residual_Activo!M76, 2)</f>
        <v/>
      </c>
      <c r="K76" s="29">
        <f>ROUND(Saldos_Cartera_Total!K76 + Saldo_Residual_Activo!N76, 2)</f>
        <v/>
      </c>
      <c r="L76" s="29">
        <f>ROUND(Saldos_Cartera_Total!L76 + Saldo_Residual_Activo!O76, 2)</f>
        <v/>
      </c>
      <c r="M76" s="29">
        <f>ROUND(Saldos_Cartera_Total!M76 + Saldo_Residual_Activo!P76, 2)</f>
        <v/>
      </c>
      <c r="N76" s="29">
        <f>ROUND(Saldos_Cartera_Total!N76 + Saldo_Residual_Activo!Q76, 2)</f>
        <v/>
      </c>
      <c r="O76" s="29">
        <f>ROUND(Saldos_Cartera_Total!O76 + Saldo_Residual_Activo!R76, 2)</f>
        <v/>
      </c>
      <c r="P76" s="29">
        <f>ROUND(Saldos_Cartera_Total!P76 + Saldo_Residual_Activo!S76, 2)</f>
        <v/>
      </c>
      <c r="Q76" s="29">
        <f>ROUND(Saldos_Cartera_Total!Q76 + Saldo_Residual_Activo!T76, 2)</f>
        <v/>
      </c>
      <c r="R76" s="29">
        <f>MAX(F76:Q76)</f>
        <v/>
      </c>
    </row>
    <row r="77">
      <c r="A77" s="20" t="inlineStr">
        <is>
          <t>0619-0002</t>
        </is>
      </c>
      <c r="B77" s="21" t="inlineStr">
        <is>
          <t>Horacio de la Vega Flores</t>
        </is>
      </c>
      <c r="C77" s="21" t="inlineStr">
        <is>
          <t>Bronco Sport</t>
        </is>
      </c>
      <c r="D77" s="20" t="inlineStr">
        <is>
          <t>ACTIVO</t>
        </is>
      </c>
      <c r="E77" s="22" t="n">
        <v>36</v>
      </c>
      <c r="F77" s="23">
        <f>ROUND(Saldos_Cartera_Total!F77 + Saldo_Residual_Activo!I77, 2)</f>
        <v/>
      </c>
      <c r="G77" s="23">
        <f>ROUND(Saldos_Cartera_Total!G77 + Saldo_Residual_Activo!J77, 2)</f>
        <v/>
      </c>
      <c r="H77" s="23">
        <f>ROUND(Saldos_Cartera_Total!H77 + Saldo_Residual_Activo!K77, 2)</f>
        <v/>
      </c>
      <c r="I77" s="23">
        <f>ROUND(Saldos_Cartera_Total!I77 + Saldo_Residual_Activo!L77, 2)</f>
        <v/>
      </c>
      <c r="J77" s="23">
        <f>ROUND(Saldos_Cartera_Total!J77 + Saldo_Residual_Activo!M77, 2)</f>
        <v/>
      </c>
      <c r="K77" s="23">
        <f>ROUND(Saldos_Cartera_Total!K77 + Saldo_Residual_Activo!N77, 2)</f>
        <v/>
      </c>
      <c r="L77" s="23">
        <f>ROUND(Saldos_Cartera_Total!L77 + Saldo_Residual_Activo!O77, 2)</f>
        <v/>
      </c>
      <c r="M77" s="23">
        <f>ROUND(Saldos_Cartera_Total!M77 + Saldo_Residual_Activo!P77, 2)</f>
        <v/>
      </c>
      <c r="N77" s="23">
        <f>ROUND(Saldos_Cartera_Total!N77 + Saldo_Residual_Activo!Q77, 2)</f>
        <v/>
      </c>
      <c r="O77" s="23">
        <f>ROUND(Saldos_Cartera_Total!O77 + Saldo_Residual_Activo!R77, 2)</f>
        <v/>
      </c>
      <c r="P77" s="23">
        <f>ROUND(Saldos_Cartera_Total!P77 + Saldo_Residual_Activo!S77, 2)</f>
        <v/>
      </c>
      <c r="Q77" s="23">
        <f>ROUND(Saldos_Cartera_Total!Q77 + Saldo_Residual_Activo!T77, 2)</f>
        <v/>
      </c>
      <c r="R77" s="23">
        <f>MAX(F77:Q77)</f>
        <v/>
      </c>
    </row>
    <row r="78">
      <c r="A78" s="26" t="inlineStr">
        <is>
          <t>0620-0001</t>
        </is>
      </c>
      <c r="B78" s="27" t="inlineStr">
        <is>
          <t>Desarrollos Romo Srl de Cv</t>
        </is>
      </c>
      <c r="C78" s="27" t="inlineStr">
        <is>
          <t>RAM 700 BIG HORN</t>
        </is>
      </c>
      <c r="D78" s="26" t="inlineStr">
        <is>
          <t>ACTIVO</t>
        </is>
      </c>
      <c r="E78" s="28" t="n">
        <v>48</v>
      </c>
      <c r="F78" s="29">
        <f>ROUND(Saldos_Cartera_Total!F78 + Saldo_Residual_Activo!I78, 2)</f>
        <v/>
      </c>
      <c r="G78" s="29">
        <f>ROUND(Saldos_Cartera_Total!G78 + Saldo_Residual_Activo!J78, 2)</f>
        <v/>
      </c>
      <c r="H78" s="29">
        <f>ROUND(Saldos_Cartera_Total!H78 + Saldo_Residual_Activo!K78, 2)</f>
        <v/>
      </c>
      <c r="I78" s="29">
        <f>ROUND(Saldos_Cartera_Total!I78 + Saldo_Residual_Activo!L78, 2)</f>
        <v/>
      </c>
      <c r="J78" s="29">
        <f>ROUND(Saldos_Cartera_Total!J78 + Saldo_Residual_Activo!M78, 2)</f>
        <v/>
      </c>
      <c r="K78" s="29">
        <f>ROUND(Saldos_Cartera_Total!K78 + Saldo_Residual_Activo!N78, 2)</f>
        <v/>
      </c>
      <c r="L78" s="29">
        <f>ROUND(Saldos_Cartera_Total!L78 + Saldo_Residual_Activo!O78, 2)</f>
        <v/>
      </c>
      <c r="M78" s="29">
        <f>ROUND(Saldos_Cartera_Total!M78 + Saldo_Residual_Activo!P78, 2)</f>
        <v/>
      </c>
      <c r="N78" s="29">
        <f>ROUND(Saldos_Cartera_Total!N78 + Saldo_Residual_Activo!Q78, 2)</f>
        <v/>
      </c>
      <c r="O78" s="29">
        <f>ROUND(Saldos_Cartera_Total!O78 + Saldo_Residual_Activo!R78, 2)</f>
        <v/>
      </c>
      <c r="P78" s="29">
        <f>ROUND(Saldos_Cartera_Total!P78 + Saldo_Residual_Activo!S78, 2)</f>
        <v/>
      </c>
      <c r="Q78" s="29">
        <f>ROUND(Saldos_Cartera_Total!Q78 + Saldo_Residual_Activo!T78, 2)</f>
        <v/>
      </c>
      <c r="R78" s="29">
        <f>MAX(F78:Q78)</f>
        <v/>
      </c>
    </row>
    <row r="79">
      <c r="A79" s="20" t="inlineStr">
        <is>
          <t>0620-0002</t>
        </is>
      </c>
      <c r="B79" s="21" t="inlineStr">
        <is>
          <t>Desarrollos Romo Srl de Cv</t>
        </is>
      </c>
      <c r="C79" s="21" t="inlineStr">
        <is>
          <t>RAM 700 BIG HORN</t>
        </is>
      </c>
      <c r="D79" s="20" t="inlineStr">
        <is>
          <t>ACTIVO</t>
        </is>
      </c>
      <c r="E79" s="22" t="n">
        <v>48</v>
      </c>
      <c r="F79" s="23">
        <f>ROUND(Saldos_Cartera_Total!F79 + Saldo_Residual_Activo!I79, 2)</f>
        <v/>
      </c>
      <c r="G79" s="23">
        <f>ROUND(Saldos_Cartera_Total!G79 + Saldo_Residual_Activo!J79, 2)</f>
        <v/>
      </c>
      <c r="H79" s="23">
        <f>ROUND(Saldos_Cartera_Total!H79 + Saldo_Residual_Activo!K79, 2)</f>
        <v/>
      </c>
      <c r="I79" s="23">
        <f>ROUND(Saldos_Cartera_Total!I79 + Saldo_Residual_Activo!L79, 2)</f>
        <v/>
      </c>
      <c r="J79" s="23">
        <f>ROUND(Saldos_Cartera_Total!J79 + Saldo_Residual_Activo!M79, 2)</f>
        <v/>
      </c>
      <c r="K79" s="23">
        <f>ROUND(Saldos_Cartera_Total!K79 + Saldo_Residual_Activo!N79, 2)</f>
        <v/>
      </c>
      <c r="L79" s="23">
        <f>ROUND(Saldos_Cartera_Total!L79 + Saldo_Residual_Activo!O79, 2)</f>
        <v/>
      </c>
      <c r="M79" s="23">
        <f>ROUND(Saldos_Cartera_Total!M79 + Saldo_Residual_Activo!P79, 2)</f>
        <v/>
      </c>
      <c r="N79" s="23">
        <f>ROUND(Saldos_Cartera_Total!N79 + Saldo_Residual_Activo!Q79, 2)</f>
        <v/>
      </c>
      <c r="O79" s="23">
        <f>ROUND(Saldos_Cartera_Total!O79 + Saldo_Residual_Activo!R79, 2)</f>
        <v/>
      </c>
      <c r="P79" s="23">
        <f>ROUND(Saldos_Cartera_Total!P79 + Saldo_Residual_Activo!S79, 2)</f>
        <v/>
      </c>
      <c r="Q79" s="23">
        <f>ROUND(Saldos_Cartera_Total!Q79 + Saldo_Residual_Activo!T79, 2)</f>
        <v/>
      </c>
      <c r="R79" s="23">
        <f>MAX(F79:Q79)</f>
        <v/>
      </c>
    </row>
    <row r="80">
      <c r="A80" s="26" t="inlineStr">
        <is>
          <t>0621-0008</t>
        </is>
      </c>
      <c r="B80" s="27" t="inlineStr">
        <is>
          <t>Luis Alberto Ponce Ruiz</t>
        </is>
      </c>
      <c r="C80" s="27" t="inlineStr">
        <is>
          <t>Hilux</t>
        </is>
      </c>
      <c r="D80" s="26" t="inlineStr">
        <is>
          <t>ACTIVO</t>
        </is>
      </c>
      <c r="E80" s="28" t="n">
        <v>12</v>
      </c>
      <c r="F80" s="29">
        <f>ROUND(Saldos_Cartera_Total!F80 + Saldo_Residual_Activo!I80, 2)</f>
        <v/>
      </c>
      <c r="G80" s="29">
        <f>ROUND(Saldos_Cartera_Total!G80 + Saldo_Residual_Activo!J80, 2)</f>
        <v/>
      </c>
      <c r="H80" s="29">
        <f>ROUND(Saldos_Cartera_Total!H80 + Saldo_Residual_Activo!K80, 2)</f>
        <v/>
      </c>
      <c r="I80" s="29">
        <f>ROUND(Saldos_Cartera_Total!I80 + Saldo_Residual_Activo!L80, 2)</f>
        <v/>
      </c>
      <c r="J80" s="29">
        <f>ROUND(Saldos_Cartera_Total!J80 + Saldo_Residual_Activo!M80, 2)</f>
        <v/>
      </c>
      <c r="K80" s="29">
        <f>ROUND(Saldos_Cartera_Total!K80 + Saldo_Residual_Activo!N80, 2)</f>
        <v/>
      </c>
      <c r="L80" s="29">
        <f>ROUND(Saldos_Cartera_Total!L80 + Saldo_Residual_Activo!O80, 2)</f>
        <v/>
      </c>
      <c r="M80" s="29">
        <f>ROUND(Saldos_Cartera_Total!M80 + Saldo_Residual_Activo!P80, 2)</f>
        <v/>
      </c>
      <c r="N80" s="29">
        <f>ROUND(Saldos_Cartera_Total!N80 + Saldo_Residual_Activo!Q80, 2)</f>
        <v/>
      </c>
      <c r="O80" s="29" t="inlineStr"/>
      <c r="P80" s="29" t="inlineStr"/>
      <c r="Q80" s="29" t="inlineStr"/>
      <c r="R80" s="29">
        <f>MAX(F80:Q80)</f>
        <v/>
      </c>
    </row>
    <row r="81">
      <c r="A81" s="20" t="inlineStr">
        <is>
          <t>0623-0001</t>
        </is>
      </c>
      <c r="B81" s="21" t="inlineStr">
        <is>
          <t>Seguridad y Automatismos Profesionales de Occidente S de SRL de Cv</t>
        </is>
      </c>
      <c r="C81" s="21" t="inlineStr">
        <is>
          <t>RAM 700 BIG HORN</t>
        </is>
      </c>
      <c r="D81" s="20" t="inlineStr">
        <is>
          <t>ACTIVO</t>
        </is>
      </c>
      <c r="E81" s="22" t="n">
        <v>48</v>
      </c>
      <c r="F81" s="23">
        <f>ROUND(Saldos_Cartera_Total!F81 + Saldo_Residual_Activo!I81, 2)</f>
        <v/>
      </c>
      <c r="G81" s="23">
        <f>ROUND(Saldos_Cartera_Total!G81 + Saldo_Residual_Activo!J81, 2)</f>
        <v/>
      </c>
      <c r="H81" s="23">
        <f>ROUND(Saldos_Cartera_Total!H81 + Saldo_Residual_Activo!K81, 2)</f>
        <v/>
      </c>
      <c r="I81" s="23">
        <f>ROUND(Saldos_Cartera_Total!I81 + Saldo_Residual_Activo!L81, 2)</f>
        <v/>
      </c>
      <c r="J81" s="23">
        <f>ROUND(Saldos_Cartera_Total!J81 + Saldo_Residual_Activo!M81, 2)</f>
        <v/>
      </c>
      <c r="K81" s="23">
        <f>ROUND(Saldos_Cartera_Total!K81 + Saldo_Residual_Activo!N81, 2)</f>
        <v/>
      </c>
      <c r="L81" s="23">
        <f>ROUND(Saldos_Cartera_Total!L81 + Saldo_Residual_Activo!O81, 2)</f>
        <v/>
      </c>
      <c r="M81" s="23">
        <f>ROUND(Saldos_Cartera_Total!M81 + Saldo_Residual_Activo!P81, 2)</f>
        <v/>
      </c>
      <c r="N81" s="23">
        <f>ROUND(Saldos_Cartera_Total!N81 + Saldo_Residual_Activo!Q81, 2)</f>
        <v/>
      </c>
      <c r="O81" s="23">
        <f>ROUND(Saldos_Cartera_Total!O81 + Saldo_Residual_Activo!R81, 2)</f>
        <v/>
      </c>
      <c r="P81" s="23">
        <f>ROUND(Saldos_Cartera_Total!P81 + Saldo_Residual_Activo!S81, 2)</f>
        <v/>
      </c>
      <c r="Q81" s="23">
        <f>ROUND(Saldos_Cartera_Total!Q81 + Saldo_Residual_Activo!T81, 2)</f>
        <v/>
      </c>
      <c r="R81" s="23">
        <f>MAX(F81:Q81)</f>
        <v/>
      </c>
    </row>
    <row r="82">
      <c r="A82" s="26" t="inlineStr">
        <is>
          <t>0626-0001</t>
        </is>
      </c>
      <c r="B82" s="27" t="inlineStr">
        <is>
          <t>Hugo Ceja Moreno</t>
        </is>
      </c>
      <c r="C82" s="27" t="inlineStr">
        <is>
          <t>JT MOJAVE</t>
        </is>
      </c>
      <c r="D82" s="26" t="inlineStr">
        <is>
          <t>ACTIVO</t>
        </is>
      </c>
      <c r="E82" s="28" t="n">
        <v>48</v>
      </c>
      <c r="F82" s="29">
        <f>ROUND(Saldos_Cartera_Total!F82 + Saldo_Residual_Activo!I82, 2)</f>
        <v/>
      </c>
      <c r="G82" s="29">
        <f>ROUND(Saldos_Cartera_Total!G82 + Saldo_Residual_Activo!J82, 2)</f>
        <v/>
      </c>
      <c r="H82" s="29">
        <f>ROUND(Saldos_Cartera_Total!H82 + Saldo_Residual_Activo!K82, 2)</f>
        <v/>
      </c>
      <c r="I82" s="29">
        <f>ROUND(Saldos_Cartera_Total!I82 + Saldo_Residual_Activo!L82, 2)</f>
        <v/>
      </c>
      <c r="J82" s="29">
        <f>ROUND(Saldos_Cartera_Total!J82 + Saldo_Residual_Activo!M82, 2)</f>
        <v/>
      </c>
      <c r="K82" s="29">
        <f>ROUND(Saldos_Cartera_Total!K82 + Saldo_Residual_Activo!N82, 2)</f>
        <v/>
      </c>
      <c r="L82" s="29">
        <f>ROUND(Saldos_Cartera_Total!L82 + Saldo_Residual_Activo!O82, 2)</f>
        <v/>
      </c>
      <c r="M82" s="29">
        <f>ROUND(Saldos_Cartera_Total!M82 + Saldo_Residual_Activo!P82, 2)</f>
        <v/>
      </c>
      <c r="N82" s="29">
        <f>ROUND(Saldos_Cartera_Total!N82 + Saldo_Residual_Activo!Q82, 2)</f>
        <v/>
      </c>
      <c r="O82" s="29">
        <f>ROUND(Saldos_Cartera_Total!O82 + Saldo_Residual_Activo!R82, 2)</f>
        <v/>
      </c>
      <c r="P82" s="29">
        <f>ROUND(Saldos_Cartera_Total!P82 + Saldo_Residual_Activo!S82, 2)</f>
        <v/>
      </c>
      <c r="Q82" s="29">
        <f>ROUND(Saldos_Cartera_Total!Q82 + Saldo_Residual_Activo!T82, 2)</f>
        <v/>
      </c>
      <c r="R82" s="29">
        <f>MAX(F82:Q82)</f>
        <v/>
      </c>
    </row>
    <row r="83">
      <c r="A83" s="20" t="inlineStr">
        <is>
          <t>0632-0004</t>
        </is>
      </c>
      <c r="B83" s="21" t="inlineStr">
        <is>
          <t>Art &amp; Sourcing Sa de Cv</t>
        </is>
      </c>
      <c r="C83" s="21" t="inlineStr">
        <is>
          <t>Ram 700 Tradesman</t>
        </is>
      </c>
      <c r="D83" s="20" t="inlineStr">
        <is>
          <t>ACTIVO</t>
        </is>
      </c>
      <c r="E83" s="22" t="n">
        <v>48</v>
      </c>
      <c r="F83" s="23">
        <f>ROUND(Saldos_Cartera_Total!F83 + Saldo_Residual_Activo!I83, 2)</f>
        <v/>
      </c>
      <c r="G83" s="23">
        <f>ROUND(Saldos_Cartera_Total!G83 + Saldo_Residual_Activo!J83, 2)</f>
        <v/>
      </c>
      <c r="H83" s="23">
        <f>ROUND(Saldos_Cartera_Total!H83 + Saldo_Residual_Activo!K83, 2)</f>
        <v/>
      </c>
      <c r="I83" s="23">
        <f>ROUND(Saldos_Cartera_Total!I83 + Saldo_Residual_Activo!L83, 2)</f>
        <v/>
      </c>
      <c r="J83" s="23">
        <f>ROUND(Saldos_Cartera_Total!J83 + Saldo_Residual_Activo!M83, 2)</f>
        <v/>
      </c>
      <c r="K83" s="23">
        <f>ROUND(Saldos_Cartera_Total!K83 + Saldo_Residual_Activo!N83, 2)</f>
        <v/>
      </c>
      <c r="L83" s="23">
        <f>ROUND(Saldos_Cartera_Total!L83 + Saldo_Residual_Activo!O83, 2)</f>
        <v/>
      </c>
      <c r="M83" s="23">
        <f>ROUND(Saldos_Cartera_Total!M83 + Saldo_Residual_Activo!P83, 2)</f>
        <v/>
      </c>
      <c r="N83" s="23">
        <f>ROUND(Saldos_Cartera_Total!N83 + Saldo_Residual_Activo!Q83, 2)</f>
        <v/>
      </c>
      <c r="O83" s="23">
        <f>ROUND(Saldos_Cartera_Total!O83 + Saldo_Residual_Activo!R83, 2)</f>
        <v/>
      </c>
      <c r="P83" s="23">
        <f>ROUND(Saldos_Cartera_Total!P83 + Saldo_Residual_Activo!S83, 2)</f>
        <v/>
      </c>
      <c r="Q83" s="23">
        <f>ROUND(Saldos_Cartera_Total!Q83 + Saldo_Residual_Activo!T83, 2)</f>
        <v/>
      </c>
      <c r="R83" s="23">
        <f>MAX(F83:Q83)</f>
        <v/>
      </c>
    </row>
    <row r="84">
      <c r="A84" s="26" t="inlineStr">
        <is>
          <t>0632-0005</t>
        </is>
      </c>
      <c r="B84" s="27" t="inlineStr">
        <is>
          <t>Art &amp; Sourcing Sa de Cv</t>
        </is>
      </c>
      <c r="C84" s="27" t="inlineStr">
        <is>
          <t>Ram 700</t>
        </is>
      </c>
      <c r="D84" s="26" t="inlineStr">
        <is>
          <t>ACTIVO</t>
        </is>
      </c>
      <c r="E84" s="28" t="n">
        <v>24</v>
      </c>
      <c r="F84" s="29">
        <f>ROUND(Saldos_Cartera_Total!F84 + Saldo_Residual_Activo!I84, 2)</f>
        <v/>
      </c>
      <c r="G84" s="29">
        <f>ROUND(Saldos_Cartera_Total!G84 + Saldo_Residual_Activo!J84, 2)</f>
        <v/>
      </c>
      <c r="H84" s="29">
        <f>ROUND(Saldos_Cartera_Total!H84 + Saldo_Residual_Activo!K84, 2)</f>
        <v/>
      </c>
      <c r="I84" s="29">
        <f>ROUND(Saldos_Cartera_Total!I84 + Saldo_Residual_Activo!L84, 2)</f>
        <v/>
      </c>
      <c r="J84" s="29">
        <f>ROUND(Saldos_Cartera_Total!J84 + Saldo_Residual_Activo!M84, 2)</f>
        <v/>
      </c>
      <c r="K84" s="29">
        <f>ROUND(Saldos_Cartera_Total!K84 + Saldo_Residual_Activo!N84, 2)</f>
        <v/>
      </c>
      <c r="L84" s="29">
        <f>ROUND(Saldos_Cartera_Total!L84 + Saldo_Residual_Activo!O84, 2)</f>
        <v/>
      </c>
      <c r="M84" s="29">
        <f>ROUND(Saldos_Cartera_Total!M84 + Saldo_Residual_Activo!P84, 2)</f>
        <v/>
      </c>
      <c r="N84" s="29">
        <f>ROUND(Saldos_Cartera_Total!N84 + Saldo_Residual_Activo!Q84, 2)</f>
        <v/>
      </c>
      <c r="O84" s="29">
        <f>ROUND(Saldos_Cartera_Total!O84 + Saldo_Residual_Activo!R84, 2)</f>
        <v/>
      </c>
      <c r="P84" s="29">
        <f>ROUND(Saldos_Cartera_Total!P84 + Saldo_Residual_Activo!S84, 2)</f>
        <v/>
      </c>
      <c r="Q84" s="29">
        <f>ROUND(Saldos_Cartera_Total!Q84 + Saldo_Residual_Activo!T84, 2)</f>
        <v/>
      </c>
      <c r="R84" s="29">
        <f>MAX(F84:Q84)</f>
        <v/>
      </c>
    </row>
    <row r="85">
      <c r="A85" s="20" t="inlineStr">
        <is>
          <t>0632-0006</t>
        </is>
      </c>
      <c r="B85" s="21" t="inlineStr">
        <is>
          <t>Art &amp; Sourcing Sa de Cv</t>
        </is>
      </c>
      <c r="C85" s="21" t="inlineStr">
        <is>
          <t>Mirage</t>
        </is>
      </c>
      <c r="D85" s="20" t="inlineStr">
        <is>
          <t>ACTIVO</t>
        </is>
      </c>
      <c r="E85" s="22" t="n">
        <v>24</v>
      </c>
      <c r="F85" s="23">
        <f>ROUND(Saldos_Cartera_Total!F85 + Saldo_Residual_Activo!I85, 2)</f>
        <v/>
      </c>
      <c r="G85" s="23">
        <f>ROUND(Saldos_Cartera_Total!G85 + Saldo_Residual_Activo!J85, 2)</f>
        <v/>
      </c>
      <c r="H85" s="23">
        <f>ROUND(Saldos_Cartera_Total!H85 + Saldo_Residual_Activo!K85, 2)</f>
        <v/>
      </c>
      <c r="I85" s="23">
        <f>ROUND(Saldos_Cartera_Total!I85 + Saldo_Residual_Activo!L85, 2)</f>
        <v/>
      </c>
      <c r="J85" s="23">
        <f>ROUND(Saldos_Cartera_Total!J85 + Saldo_Residual_Activo!M85, 2)</f>
        <v/>
      </c>
      <c r="K85" s="23">
        <f>ROUND(Saldos_Cartera_Total!K85 + Saldo_Residual_Activo!N85, 2)</f>
        <v/>
      </c>
      <c r="L85" s="23">
        <f>ROUND(Saldos_Cartera_Total!L85 + Saldo_Residual_Activo!O85, 2)</f>
        <v/>
      </c>
      <c r="M85" s="23">
        <f>ROUND(Saldos_Cartera_Total!M85 + Saldo_Residual_Activo!P85, 2)</f>
        <v/>
      </c>
      <c r="N85" s="23">
        <f>ROUND(Saldos_Cartera_Total!N85 + Saldo_Residual_Activo!Q85, 2)</f>
        <v/>
      </c>
      <c r="O85" s="23">
        <f>ROUND(Saldos_Cartera_Total!O85 + Saldo_Residual_Activo!R85, 2)</f>
        <v/>
      </c>
      <c r="P85" s="23">
        <f>ROUND(Saldos_Cartera_Total!P85 + Saldo_Residual_Activo!S85, 2)</f>
        <v/>
      </c>
      <c r="Q85" s="23">
        <f>ROUND(Saldos_Cartera_Total!Q85 + Saldo_Residual_Activo!T85, 2)</f>
        <v/>
      </c>
      <c r="R85" s="23">
        <f>MAX(F85:Q85)</f>
        <v/>
      </c>
    </row>
    <row r="86">
      <c r="A86" s="26" t="inlineStr">
        <is>
          <t>0632-0007</t>
        </is>
      </c>
      <c r="B86" s="27" t="inlineStr">
        <is>
          <t>Art &amp; Sourcing Sa de Cv</t>
        </is>
      </c>
      <c r="C86" s="27" t="inlineStr">
        <is>
          <t>JAC Camión X350 2026</t>
        </is>
      </c>
      <c r="D86" s="26" t="inlineStr">
        <is>
          <t>ACTIVO</t>
        </is>
      </c>
      <c r="E86" s="28" t="n">
        <v>24</v>
      </c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>
        <f>ROUND(Saldos_Cartera_Total!M86 + Saldo_Residual_Activo!P86, 2)</f>
        <v/>
      </c>
      <c r="N86" s="29">
        <f>ROUND(Saldos_Cartera_Total!N86 + Saldo_Residual_Activo!Q86, 2)</f>
        <v/>
      </c>
      <c r="O86" s="29">
        <f>ROUND(Saldos_Cartera_Total!O86 + Saldo_Residual_Activo!R86, 2)</f>
        <v/>
      </c>
      <c r="P86" s="29">
        <f>ROUND(Saldos_Cartera_Total!P86 + Saldo_Residual_Activo!S86, 2)</f>
        <v/>
      </c>
      <c r="Q86" s="29">
        <f>ROUND(Saldos_Cartera_Total!Q86 + Saldo_Residual_Activo!T86, 2)</f>
        <v/>
      </c>
      <c r="R86" s="29">
        <f>MAX(F86:Q86)</f>
        <v/>
      </c>
    </row>
    <row r="87">
      <c r="A87" s="20" t="inlineStr">
        <is>
          <t>0634-0001</t>
        </is>
      </c>
      <c r="B87" s="21" t="inlineStr">
        <is>
          <t>Jose de Jesus Vergara Rivera</t>
        </is>
      </c>
      <c r="C87" s="21" t="inlineStr">
        <is>
          <t>NP 300 Chasis Cabina TDI</t>
        </is>
      </c>
      <c r="D87" s="20" t="inlineStr">
        <is>
          <t>ACTIVO</t>
        </is>
      </c>
      <c r="E87" s="22" t="n">
        <v>48</v>
      </c>
      <c r="F87" s="23">
        <f>ROUND(Saldos_Cartera_Total!F87 + Saldo_Residual_Activo!I87, 2)</f>
        <v/>
      </c>
      <c r="G87" s="23">
        <f>ROUND(Saldos_Cartera_Total!G87 + Saldo_Residual_Activo!J87, 2)</f>
        <v/>
      </c>
      <c r="H87" s="23">
        <f>ROUND(Saldos_Cartera_Total!H87 + Saldo_Residual_Activo!K87, 2)</f>
        <v/>
      </c>
      <c r="I87" s="23">
        <f>ROUND(Saldos_Cartera_Total!I87 + Saldo_Residual_Activo!L87, 2)</f>
        <v/>
      </c>
      <c r="J87" s="23">
        <f>ROUND(Saldos_Cartera_Total!J87 + Saldo_Residual_Activo!M87, 2)</f>
        <v/>
      </c>
      <c r="K87" s="23">
        <f>ROUND(Saldos_Cartera_Total!K87 + Saldo_Residual_Activo!N87, 2)</f>
        <v/>
      </c>
      <c r="L87" s="23">
        <f>ROUND(Saldos_Cartera_Total!L87 + Saldo_Residual_Activo!O87, 2)</f>
        <v/>
      </c>
      <c r="M87" s="23">
        <f>ROUND(Saldos_Cartera_Total!M87 + Saldo_Residual_Activo!P87, 2)</f>
        <v/>
      </c>
      <c r="N87" s="23">
        <f>ROUND(Saldos_Cartera_Total!N87 + Saldo_Residual_Activo!Q87, 2)</f>
        <v/>
      </c>
      <c r="O87" s="23">
        <f>ROUND(Saldos_Cartera_Total!O87 + Saldo_Residual_Activo!R87, 2)</f>
        <v/>
      </c>
      <c r="P87" s="23">
        <f>ROUND(Saldos_Cartera_Total!P87 + Saldo_Residual_Activo!S87, 2)</f>
        <v/>
      </c>
      <c r="Q87" s="23">
        <f>ROUND(Saldos_Cartera_Total!Q87 + Saldo_Residual_Activo!T87, 2)</f>
        <v/>
      </c>
      <c r="R87" s="23">
        <f>MAX(F87:Q87)</f>
        <v/>
      </c>
    </row>
    <row r="88">
      <c r="A88" s="26" t="inlineStr">
        <is>
          <t>0634-0002</t>
        </is>
      </c>
      <c r="B88" s="27" t="inlineStr">
        <is>
          <t>Jose de Jesus Vergara Rivera</t>
        </is>
      </c>
      <c r="C88" s="27" t="inlineStr">
        <is>
          <t>700 Tradesman</t>
        </is>
      </c>
      <c r="D88" s="26" t="inlineStr">
        <is>
          <t>ACTIVO</t>
        </is>
      </c>
      <c r="E88" s="28" t="n">
        <v>48</v>
      </c>
      <c r="F88" s="29">
        <f>ROUND(Saldos_Cartera_Total!F88 + Saldo_Residual_Activo!I88, 2)</f>
        <v/>
      </c>
      <c r="G88" s="29">
        <f>ROUND(Saldos_Cartera_Total!G88 + Saldo_Residual_Activo!J88, 2)</f>
        <v/>
      </c>
      <c r="H88" s="29">
        <f>ROUND(Saldos_Cartera_Total!H88 + Saldo_Residual_Activo!K88, 2)</f>
        <v/>
      </c>
      <c r="I88" s="29">
        <f>ROUND(Saldos_Cartera_Total!I88 + Saldo_Residual_Activo!L88, 2)</f>
        <v/>
      </c>
      <c r="J88" s="29">
        <f>ROUND(Saldos_Cartera_Total!J88 + Saldo_Residual_Activo!M88, 2)</f>
        <v/>
      </c>
      <c r="K88" s="29">
        <f>ROUND(Saldos_Cartera_Total!K88 + Saldo_Residual_Activo!N88, 2)</f>
        <v/>
      </c>
      <c r="L88" s="29">
        <f>ROUND(Saldos_Cartera_Total!L88 + Saldo_Residual_Activo!O88, 2)</f>
        <v/>
      </c>
      <c r="M88" s="29">
        <f>ROUND(Saldos_Cartera_Total!M88 + Saldo_Residual_Activo!P88, 2)</f>
        <v/>
      </c>
      <c r="N88" s="29">
        <f>ROUND(Saldos_Cartera_Total!N88 + Saldo_Residual_Activo!Q88, 2)</f>
        <v/>
      </c>
      <c r="O88" s="29">
        <f>ROUND(Saldos_Cartera_Total!O88 + Saldo_Residual_Activo!R88, 2)</f>
        <v/>
      </c>
      <c r="P88" s="29">
        <f>ROUND(Saldos_Cartera_Total!P88 + Saldo_Residual_Activo!S88, 2)</f>
        <v/>
      </c>
      <c r="Q88" s="29">
        <f>ROUND(Saldos_Cartera_Total!Q88 + Saldo_Residual_Activo!T88, 2)</f>
        <v/>
      </c>
      <c r="R88" s="29">
        <f>MAX(F88:Q88)</f>
        <v/>
      </c>
    </row>
    <row r="89">
      <c r="A89" s="20" t="inlineStr">
        <is>
          <t>0635-0003</t>
        </is>
      </c>
      <c r="B89" s="21" t="inlineStr">
        <is>
          <t>Ankara Food Services Sa de CV</t>
        </is>
      </c>
      <c r="C89" s="21" t="inlineStr">
        <is>
          <t>Glc 350 E</t>
        </is>
      </c>
      <c r="D89" s="20" t="inlineStr">
        <is>
          <t>ACTIVO</t>
        </is>
      </c>
      <c r="E89" s="22" t="n">
        <v>36</v>
      </c>
      <c r="F89" s="23">
        <f>ROUND(Saldos_Cartera_Total!F89 + Saldo_Residual_Activo!I89, 2)</f>
        <v/>
      </c>
      <c r="G89" s="23">
        <f>ROUND(Saldos_Cartera_Total!G89 + Saldo_Residual_Activo!J89, 2)</f>
        <v/>
      </c>
      <c r="H89" s="23">
        <f>ROUND(Saldos_Cartera_Total!H89 + Saldo_Residual_Activo!K89, 2)</f>
        <v/>
      </c>
      <c r="I89" s="23">
        <f>ROUND(Saldos_Cartera_Total!I89 + Saldo_Residual_Activo!L89, 2)</f>
        <v/>
      </c>
      <c r="J89" s="23">
        <f>ROUND(Saldos_Cartera_Total!J89 + Saldo_Residual_Activo!M89, 2)</f>
        <v/>
      </c>
      <c r="K89" s="23">
        <f>ROUND(Saldos_Cartera_Total!K89 + Saldo_Residual_Activo!N89, 2)</f>
        <v/>
      </c>
      <c r="L89" s="23">
        <f>ROUND(Saldos_Cartera_Total!L89 + Saldo_Residual_Activo!O89, 2)</f>
        <v/>
      </c>
      <c r="M89" s="23">
        <f>ROUND(Saldos_Cartera_Total!M89 + Saldo_Residual_Activo!P89, 2)</f>
        <v/>
      </c>
      <c r="N89" s="23">
        <f>ROUND(Saldos_Cartera_Total!N89 + Saldo_Residual_Activo!Q89, 2)</f>
        <v/>
      </c>
      <c r="O89" s="23">
        <f>ROUND(Saldos_Cartera_Total!O89 + Saldo_Residual_Activo!R89, 2)</f>
        <v/>
      </c>
      <c r="P89" s="23">
        <f>ROUND(Saldos_Cartera_Total!P89 + Saldo_Residual_Activo!S89, 2)</f>
        <v/>
      </c>
      <c r="Q89" s="23">
        <f>ROUND(Saldos_Cartera_Total!Q89 + Saldo_Residual_Activo!T89, 2)</f>
        <v/>
      </c>
      <c r="R89" s="23">
        <f>MAX(F89:Q89)</f>
        <v/>
      </c>
    </row>
    <row r="90">
      <c r="A90" s="26" t="inlineStr">
        <is>
          <t>0635-0004</t>
        </is>
      </c>
      <c r="B90" s="27" t="inlineStr">
        <is>
          <t>Ankara Food Services Sa de CV</t>
        </is>
      </c>
      <c r="C90" s="27" t="inlineStr">
        <is>
          <t>Partner</t>
        </is>
      </c>
      <c r="D90" s="26" t="inlineStr">
        <is>
          <t>ACTIVO</t>
        </is>
      </c>
      <c r="E90" s="28" t="n">
        <v>36</v>
      </c>
      <c r="F90" s="29">
        <f>ROUND(Saldos_Cartera_Total!F90 + Saldo_Residual_Activo!I90, 2)</f>
        <v/>
      </c>
      <c r="G90" s="29">
        <f>ROUND(Saldos_Cartera_Total!G90 + Saldo_Residual_Activo!J90, 2)</f>
        <v/>
      </c>
      <c r="H90" s="29">
        <f>ROUND(Saldos_Cartera_Total!H90 + Saldo_Residual_Activo!K90, 2)</f>
        <v/>
      </c>
      <c r="I90" s="29">
        <f>ROUND(Saldos_Cartera_Total!I90 + Saldo_Residual_Activo!L90, 2)</f>
        <v/>
      </c>
      <c r="J90" s="29">
        <f>ROUND(Saldos_Cartera_Total!J90 + Saldo_Residual_Activo!M90, 2)</f>
        <v/>
      </c>
      <c r="K90" s="29">
        <f>ROUND(Saldos_Cartera_Total!K90 + Saldo_Residual_Activo!N90, 2)</f>
        <v/>
      </c>
      <c r="L90" s="29">
        <f>ROUND(Saldos_Cartera_Total!L90 + Saldo_Residual_Activo!O90, 2)</f>
        <v/>
      </c>
      <c r="M90" s="29">
        <f>ROUND(Saldos_Cartera_Total!M90 + Saldo_Residual_Activo!P90, 2)</f>
        <v/>
      </c>
      <c r="N90" s="29">
        <f>ROUND(Saldos_Cartera_Total!N90 + Saldo_Residual_Activo!Q90, 2)</f>
        <v/>
      </c>
      <c r="O90" s="29">
        <f>ROUND(Saldos_Cartera_Total!O90 + Saldo_Residual_Activo!R90, 2)</f>
        <v/>
      </c>
      <c r="P90" s="29">
        <f>ROUND(Saldos_Cartera_Total!P90 + Saldo_Residual_Activo!S90, 2)</f>
        <v/>
      </c>
      <c r="Q90" s="29">
        <f>ROUND(Saldos_Cartera_Total!Q90 + Saldo_Residual_Activo!T90, 2)</f>
        <v/>
      </c>
      <c r="R90" s="29">
        <f>MAX(F90:Q90)</f>
        <v/>
      </c>
    </row>
    <row r="91">
      <c r="A91" s="20" t="inlineStr">
        <is>
          <t>0635-0005</t>
        </is>
      </c>
      <c r="B91" s="21" t="inlineStr">
        <is>
          <t>Ankara Food Services Sa de CV</t>
        </is>
      </c>
      <c r="C91" s="21" t="inlineStr">
        <is>
          <t>Manager</t>
        </is>
      </c>
      <c r="D91" s="20" t="inlineStr">
        <is>
          <t>ACTIVO</t>
        </is>
      </c>
      <c r="E91" s="22" t="n">
        <v>36</v>
      </c>
      <c r="F91" s="23">
        <f>ROUND(Saldos_Cartera_Total!F91 + Saldo_Residual_Activo!I91, 2)</f>
        <v/>
      </c>
      <c r="G91" s="23">
        <f>ROUND(Saldos_Cartera_Total!G91 + Saldo_Residual_Activo!J91, 2)</f>
        <v/>
      </c>
      <c r="H91" s="23">
        <f>ROUND(Saldos_Cartera_Total!H91 + Saldo_Residual_Activo!K91, 2)</f>
        <v/>
      </c>
      <c r="I91" s="23">
        <f>ROUND(Saldos_Cartera_Total!I91 + Saldo_Residual_Activo!L91, 2)</f>
        <v/>
      </c>
      <c r="J91" s="23">
        <f>ROUND(Saldos_Cartera_Total!J91 + Saldo_Residual_Activo!M91, 2)</f>
        <v/>
      </c>
      <c r="K91" s="23">
        <f>ROUND(Saldos_Cartera_Total!K91 + Saldo_Residual_Activo!N91, 2)</f>
        <v/>
      </c>
      <c r="L91" s="23">
        <f>ROUND(Saldos_Cartera_Total!L91 + Saldo_Residual_Activo!O91, 2)</f>
        <v/>
      </c>
      <c r="M91" s="23">
        <f>ROUND(Saldos_Cartera_Total!M91 + Saldo_Residual_Activo!P91, 2)</f>
        <v/>
      </c>
      <c r="N91" s="23">
        <f>ROUND(Saldos_Cartera_Total!N91 + Saldo_Residual_Activo!Q91, 2)</f>
        <v/>
      </c>
      <c r="O91" s="23">
        <f>ROUND(Saldos_Cartera_Total!O91 + Saldo_Residual_Activo!R91, 2)</f>
        <v/>
      </c>
      <c r="P91" s="23">
        <f>ROUND(Saldos_Cartera_Total!P91 + Saldo_Residual_Activo!S91, 2)</f>
        <v/>
      </c>
      <c r="Q91" s="23">
        <f>ROUND(Saldos_Cartera_Total!Q91 + Saldo_Residual_Activo!T91, 2)</f>
        <v/>
      </c>
      <c r="R91" s="23">
        <f>MAX(F91:Q91)</f>
        <v/>
      </c>
    </row>
    <row r="92">
      <c r="A92" s="26" t="inlineStr">
        <is>
          <t>0635-0006</t>
        </is>
      </c>
      <c r="B92" s="27" t="inlineStr">
        <is>
          <t>Ankara Food Services Sa de CV</t>
        </is>
      </c>
      <c r="C92" s="27" t="inlineStr">
        <is>
          <t>Mobi</t>
        </is>
      </c>
      <c r="D92" s="26" t="inlineStr">
        <is>
          <t>ACTIVO</t>
        </is>
      </c>
      <c r="E92" s="28" t="n">
        <v>24</v>
      </c>
      <c r="F92" s="29">
        <f>ROUND(Saldos_Cartera_Total!F92 + Saldo_Residual_Activo!I92, 2)</f>
        <v/>
      </c>
      <c r="G92" s="29">
        <f>ROUND(Saldos_Cartera_Total!G92 + Saldo_Residual_Activo!J92, 2)</f>
        <v/>
      </c>
      <c r="H92" s="29">
        <f>ROUND(Saldos_Cartera_Total!H92 + Saldo_Residual_Activo!K92, 2)</f>
        <v/>
      </c>
      <c r="I92" s="29">
        <f>ROUND(Saldos_Cartera_Total!I92 + Saldo_Residual_Activo!L92, 2)</f>
        <v/>
      </c>
      <c r="J92" s="29">
        <f>ROUND(Saldos_Cartera_Total!J92 + Saldo_Residual_Activo!M92, 2)</f>
        <v/>
      </c>
      <c r="K92" s="29">
        <f>ROUND(Saldos_Cartera_Total!K92 + Saldo_Residual_Activo!N92, 2)</f>
        <v/>
      </c>
      <c r="L92" s="29">
        <f>ROUND(Saldos_Cartera_Total!L92 + Saldo_Residual_Activo!O92, 2)</f>
        <v/>
      </c>
      <c r="M92" s="29">
        <f>ROUND(Saldos_Cartera_Total!M92 + Saldo_Residual_Activo!P92, 2)</f>
        <v/>
      </c>
      <c r="N92" s="29">
        <f>ROUND(Saldos_Cartera_Total!N92 + Saldo_Residual_Activo!Q92, 2)</f>
        <v/>
      </c>
      <c r="O92" s="29">
        <f>ROUND(Saldos_Cartera_Total!O92 + Saldo_Residual_Activo!R92, 2)</f>
        <v/>
      </c>
      <c r="P92" s="29">
        <f>ROUND(Saldos_Cartera_Total!P92 + Saldo_Residual_Activo!S92, 2)</f>
        <v/>
      </c>
      <c r="Q92" s="29">
        <f>ROUND(Saldos_Cartera_Total!Q92 + Saldo_Residual_Activo!T92, 2)</f>
        <v/>
      </c>
      <c r="R92" s="29">
        <f>MAX(F92:Q92)</f>
        <v/>
      </c>
    </row>
    <row r="93">
      <c r="A93" s="20" t="inlineStr">
        <is>
          <t>0635-0007</t>
        </is>
      </c>
      <c r="B93" s="21" t="inlineStr">
        <is>
          <t>Ankara Food Services Sa de CV</t>
        </is>
      </c>
      <c r="C93" s="21" t="inlineStr">
        <is>
          <t>Mobi</t>
        </is>
      </c>
      <c r="D93" s="20" t="inlineStr">
        <is>
          <t>ACTIVO</t>
        </is>
      </c>
      <c r="E93" s="22" t="n">
        <v>24</v>
      </c>
      <c r="F93" s="23">
        <f>ROUND(Saldos_Cartera_Total!F93 + Saldo_Residual_Activo!I93, 2)</f>
        <v/>
      </c>
      <c r="G93" s="23">
        <f>ROUND(Saldos_Cartera_Total!G93 + Saldo_Residual_Activo!J93, 2)</f>
        <v/>
      </c>
      <c r="H93" s="23">
        <f>ROUND(Saldos_Cartera_Total!H93 + Saldo_Residual_Activo!K93, 2)</f>
        <v/>
      </c>
      <c r="I93" s="23">
        <f>ROUND(Saldos_Cartera_Total!I93 + Saldo_Residual_Activo!L93, 2)</f>
        <v/>
      </c>
      <c r="J93" s="23">
        <f>ROUND(Saldos_Cartera_Total!J93 + Saldo_Residual_Activo!M93, 2)</f>
        <v/>
      </c>
      <c r="K93" s="23">
        <f>ROUND(Saldos_Cartera_Total!K93 + Saldo_Residual_Activo!N93, 2)</f>
        <v/>
      </c>
      <c r="L93" s="23">
        <f>ROUND(Saldos_Cartera_Total!L93 + Saldo_Residual_Activo!O93, 2)</f>
        <v/>
      </c>
      <c r="M93" s="23">
        <f>ROUND(Saldos_Cartera_Total!M93 + Saldo_Residual_Activo!P93, 2)</f>
        <v/>
      </c>
      <c r="N93" s="23">
        <f>ROUND(Saldos_Cartera_Total!N93 + Saldo_Residual_Activo!Q93, 2)</f>
        <v/>
      </c>
      <c r="O93" s="23">
        <f>ROUND(Saldos_Cartera_Total!O93 + Saldo_Residual_Activo!R93, 2)</f>
        <v/>
      </c>
      <c r="P93" s="23">
        <f>ROUND(Saldos_Cartera_Total!P93 + Saldo_Residual_Activo!S93, 2)</f>
        <v/>
      </c>
      <c r="Q93" s="23">
        <f>ROUND(Saldos_Cartera_Total!Q93 + Saldo_Residual_Activo!T93, 2)</f>
        <v/>
      </c>
      <c r="R93" s="23">
        <f>MAX(F93:Q93)</f>
        <v/>
      </c>
    </row>
    <row r="94">
      <c r="A94" s="26" t="inlineStr">
        <is>
          <t>0635-0008</t>
        </is>
      </c>
      <c r="B94" s="27" t="inlineStr">
        <is>
          <t>Ankara Food Services Sa de CV</t>
        </is>
      </c>
      <c r="C94" s="27" t="inlineStr">
        <is>
          <t>Wrangler 4 XE</t>
        </is>
      </c>
      <c r="D94" s="26" t="inlineStr">
        <is>
          <t>ACTIVO</t>
        </is>
      </c>
      <c r="E94" s="28" t="n">
        <v>48</v>
      </c>
      <c r="F94" s="29">
        <f>ROUND(Saldos_Cartera_Total!F94 + Saldo_Residual_Activo!I94, 2)</f>
        <v/>
      </c>
      <c r="G94" s="29">
        <f>ROUND(Saldos_Cartera_Total!G94 + Saldo_Residual_Activo!J94, 2)</f>
        <v/>
      </c>
      <c r="H94" s="29">
        <f>ROUND(Saldos_Cartera_Total!H94 + Saldo_Residual_Activo!K94, 2)</f>
        <v/>
      </c>
      <c r="I94" s="29">
        <f>ROUND(Saldos_Cartera_Total!I94 + Saldo_Residual_Activo!L94, 2)</f>
        <v/>
      </c>
      <c r="J94" s="29">
        <f>ROUND(Saldos_Cartera_Total!J94 + Saldo_Residual_Activo!M94, 2)</f>
        <v/>
      </c>
      <c r="K94" s="29">
        <f>ROUND(Saldos_Cartera_Total!K94 + Saldo_Residual_Activo!N94, 2)</f>
        <v/>
      </c>
      <c r="L94" s="29">
        <f>ROUND(Saldos_Cartera_Total!L94 + Saldo_Residual_Activo!O94, 2)</f>
        <v/>
      </c>
      <c r="M94" s="29">
        <f>ROUND(Saldos_Cartera_Total!M94 + Saldo_Residual_Activo!P94, 2)</f>
        <v/>
      </c>
      <c r="N94" s="29">
        <f>ROUND(Saldos_Cartera_Total!N94 + Saldo_Residual_Activo!Q94, 2)</f>
        <v/>
      </c>
      <c r="O94" s="29">
        <f>ROUND(Saldos_Cartera_Total!O94 + Saldo_Residual_Activo!R94, 2)</f>
        <v/>
      </c>
      <c r="P94" s="29">
        <f>ROUND(Saldos_Cartera_Total!P94 + Saldo_Residual_Activo!S94, 2)</f>
        <v/>
      </c>
      <c r="Q94" s="29">
        <f>ROUND(Saldos_Cartera_Total!Q94 + Saldo_Residual_Activo!T94, 2)</f>
        <v/>
      </c>
      <c r="R94" s="29">
        <f>MAX(F94:Q94)</f>
        <v/>
      </c>
    </row>
    <row r="95">
      <c r="A95" s="20" t="inlineStr">
        <is>
          <t>0640-0001</t>
        </is>
      </c>
      <c r="B95" s="21" t="inlineStr">
        <is>
          <t>Marco Abner Hernand Barragan</t>
        </is>
      </c>
      <c r="C95" s="21" t="inlineStr">
        <is>
          <t>RIFTER</t>
        </is>
      </c>
      <c r="D95" s="20" t="inlineStr">
        <is>
          <t>ACTIVO</t>
        </is>
      </c>
      <c r="E95" s="22" t="n">
        <v>48</v>
      </c>
      <c r="F95" s="23">
        <f>ROUND(Saldos_Cartera_Total!F95 + Saldo_Residual_Activo!I95, 2)</f>
        <v/>
      </c>
      <c r="G95" s="23">
        <f>ROUND(Saldos_Cartera_Total!G95 + Saldo_Residual_Activo!J95, 2)</f>
        <v/>
      </c>
      <c r="H95" s="23">
        <f>ROUND(Saldos_Cartera_Total!H95 + Saldo_Residual_Activo!K95, 2)</f>
        <v/>
      </c>
      <c r="I95" s="23">
        <f>ROUND(Saldos_Cartera_Total!I95 + Saldo_Residual_Activo!L95, 2)</f>
        <v/>
      </c>
      <c r="J95" s="23">
        <f>ROUND(Saldos_Cartera_Total!J95 + Saldo_Residual_Activo!M95, 2)</f>
        <v/>
      </c>
      <c r="K95" s="23">
        <f>ROUND(Saldos_Cartera_Total!K95 + Saldo_Residual_Activo!N95, 2)</f>
        <v/>
      </c>
      <c r="L95" s="23">
        <f>ROUND(Saldos_Cartera_Total!L95 + Saldo_Residual_Activo!O95, 2)</f>
        <v/>
      </c>
      <c r="M95" s="23">
        <f>ROUND(Saldos_Cartera_Total!M95 + Saldo_Residual_Activo!P95, 2)</f>
        <v/>
      </c>
      <c r="N95" s="23">
        <f>ROUND(Saldos_Cartera_Total!N95 + Saldo_Residual_Activo!Q95, 2)</f>
        <v/>
      </c>
      <c r="O95" s="23">
        <f>ROUND(Saldos_Cartera_Total!O95 + Saldo_Residual_Activo!R95, 2)</f>
        <v/>
      </c>
      <c r="P95" s="23">
        <f>ROUND(Saldos_Cartera_Total!P95 + Saldo_Residual_Activo!S95, 2)</f>
        <v/>
      </c>
      <c r="Q95" s="23">
        <f>ROUND(Saldos_Cartera_Total!Q95 + Saldo_Residual_Activo!T95, 2)</f>
        <v/>
      </c>
      <c r="R95" s="23">
        <f>MAX(F95:Q95)</f>
        <v/>
      </c>
    </row>
    <row r="96">
      <c r="A96" s="26" t="inlineStr">
        <is>
          <t>0641-0001</t>
        </is>
      </c>
      <c r="B96" s="27" t="inlineStr">
        <is>
          <t>Agrideaz Sa de Cv</t>
        </is>
      </c>
      <c r="C96" s="27" t="inlineStr">
        <is>
          <t>Pulse Audace</t>
        </is>
      </c>
      <c r="D96" s="26" t="inlineStr">
        <is>
          <t>ACTIVO</t>
        </is>
      </c>
      <c r="E96" s="28" t="n">
        <v>36</v>
      </c>
      <c r="F96" s="29">
        <f>ROUND(Saldos_Cartera_Total!F96 + Saldo_Residual_Activo!I96, 2)</f>
        <v/>
      </c>
      <c r="G96" s="29">
        <f>ROUND(Saldos_Cartera_Total!G96 + Saldo_Residual_Activo!J96, 2)</f>
        <v/>
      </c>
      <c r="H96" s="29">
        <f>ROUND(Saldos_Cartera_Total!H96 + Saldo_Residual_Activo!K96, 2)</f>
        <v/>
      </c>
      <c r="I96" s="29">
        <f>ROUND(Saldos_Cartera_Total!I96 + Saldo_Residual_Activo!L96, 2)</f>
        <v/>
      </c>
      <c r="J96" s="29">
        <f>ROUND(Saldos_Cartera_Total!J96 + Saldo_Residual_Activo!M96, 2)</f>
        <v/>
      </c>
      <c r="K96" s="29">
        <f>ROUND(Saldos_Cartera_Total!K96 + Saldo_Residual_Activo!N96, 2)</f>
        <v/>
      </c>
      <c r="L96" s="29">
        <f>ROUND(Saldos_Cartera_Total!L96 + Saldo_Residual_Activo!O96, 2)</f>
        <v/>
      </c>
      <c r="M96" s="29">
        <f>ROUND(Saldos_Cartera_Total!M96 + Saldo_Residual_Activo!P96, 2)</f>
        <v/>
      </c>
      <c r="N96" s="29">
        <f>ROUND(Saldos_Cartera_Total!N96 + Saldo_Residual_Activo!Q96, 2)</f>
        <v/>
      </c>
      <c r="O96" s="29">
        <f>ROUND(Saldos_Cartera_Total!O96 + Saldo_Residual_Activo!R96, 2)</f>
        <v/>
      </c>
      <c r="P96" s="29" t="inlineStr"/>
      <c r="Q96" s="29" t="inlineStr"/>
      <c r="R96" s="29">
        <f>MAX(F96:Q96)</f>
        <v/>
      </c>
    </row>
    <row r="97">
      <c r="A97" s="20" t="inlineStr">
        <is>
          <t>0641-0002</t>
        </is>
      </c>
      <c r="B97" s="21" t="inlineStr">
        <is>
          <t>Agrideaz Sa de Cv</t>
        </is>
      </c>
      <c r="C97" s="21" t="inlineStr">
        <is>
          <t>MOBI</t>
        </is>
      </c>
      <c r="D97" s="20" t="inlineStr">
        <is>
          <t>ACTIVO</t>
        </is>
      </c>
      <c r="E97" s="22" t="n">
        <v>36</v>
      </c>
      <c r="F97" s="23">
        <f>ROUND(Saldos_Cartera_Total!F97 + Saldo_Residual_Activo!I97, 2)</f>
        <v/>
      </c>
      <c r="G97" s="23">
        <f>ROUND(Saldos_Cartera_Total!G97 + Saldo_Residual_Activo!J97, 2)</f>
        <v/>
      </c>
      <c r="H97" s="23">
        <f>ROUND(Saldos_Cartera_Total!H97 + Saldo_Residual_Activo!K97, 2)</f>
        <v/>
      </c>
      <c r="I97" s="23">
        <f>ROUND(Saldos_Cartera_Total!I97 + Saldo_Residual_Activo!L97, 2)</f>
        <v/>
      </c>
      <c r="J97" s="23">
        <f>ROUND(Saldos_Cartera_Total!J97 + Saldo_Residual_Activo!M97, 2)</f>
        <v/>
      </c>
      <c r="K97" s="23">
        <f>ROUND(Saldos_Cartera_Total!K97 + Saldo_Residual_Activo!N97, 2)</f>
        <v/>
      </c>
      <c r="L97" s="23">
        <f>ROUND(Saldos_Cartera_Total!L97 + Saldo_Residual_Activo!O97, 2)</f>
        <v/>
      </c>
      <c r="M97" s="23">
        <f>ROUND(Saldos_Cartera_Total!M97 + Saldo_Residual_Activo!P97, 2)</f>
        <v/>
      </c>
      <c r="N97" s="23">
        <f>ROUND(Saldos_Cartera_Total!N97 + Saldo_Residual_Activo!Q97, 2)</f>
        <v/>
      </c>
      <c r="O97" s="23">
        <f>ROUND(Saldos_Cartera_Total!O97 + Saldo_Residual_Activo!R97, 2)</f>
        <v/>
      </c>
      <c r="P97" s="23" t="inlineStr"/>
      <c r="Q97" s="23" t="inlineStr"/>
      <c r="R97" s="23">
        <f>MAX(F97:Q97)</f>
        <v/>
      </c>
    </row>
    <row r="98">
      <c r="A98" s="26" t="inlineStr">
        <is>
          <t>0642-0001</t>
        </is>
      </c>
      <c r="B98" s="27" t="inlineStr">
        <is>
          <t>Incubadora de Occidente Sa de Cv</t>
        </is>
      </c>
      <c r="C98" s="27" t="inlineStr">
        <is>
          <t>GRAND CHEROKEE LIMITED</t>
        </is>
      </c>
      <c r="D98" s="26" t="inlineStr">
        <is>
          <t>ACTIVO</t>
        </is>
      </c>
      <c r="E98" s="28" t="n">
        <v>48</v>
      </c>
      <c r="F98" s="29">
        <f>ROUND(Saldos_Cartera_Total!F98 + Saldo_Residual_Activo!I98, 2)</f>
        <v/>
      </c>
      <c r="G98" s="29">
        <f>ROUND(Saldos_Cartera_Total!G98 + Saldo_Residual_Activo!J98, 2)</f>
        <v/>
      </c>
      <c r="H98" s="29">
        <f>ROUND(Saldos_Cartera_Total!H98 + Saldo_Residual_Activo!K98, 2)</f>
        <v/>
      </c>
      <c r="I98" s="29">
        <f>ROUND(Saldos_Cartera_Total!I98 + Saldo_Residual_Activo!L98, 2)</f>
        <v/>
      </c>
      <c r="J98" s="29">
        <f>ROUND(Saldos_Cartera_Total!J98 + Saldo_Residual_Activo!M98, 2)</f>
        <v/>
      </c>
      <c r="K98" s="29">
        <f>ROUND(Saldos_Cartera_Total!K98 + Saldo_Residual_Activo!N98, 2)</f>
        <v/>
      </c>
      <c r="L98" s="29">
        <f>ROUND(Saldos_Cartera_Total!L98 + Saldo_Residual_Activo!O98, 2)</f>
        <v/>
      </c>
      <c r="M98" s="29">
        <f>ROUND(Saldos_Cartera_Total!M98 + Saldo_Residual_Activo!P98, 2)</f>
        <v/>
      </c>
      <c r="N98" s="29">
        <f>ROUND(Saldos_Cartera_Total!N98 + Saldo_Residual_Activo!Q98, 2)</f>
        <v/>
      </c>
      <c r="O98" s="29">
        <f>ROUND(Saldos_Cartera_Total!O98 + Saldo_Residual_Activo!R98, 2)</f>
        <v/>
      </c>
      <c r="P98" s="29">
        <f>ROUND(Saldos_Cartera_Total!P98 + Saldo_Residual_Activo!S98, 2)</f>
        <v/>
      </c>
      <c r="Q98" s="29">
        <f>ROUND(Saldos_Cartera_Total!Q98 + Saldo_Residual_Activo!T98, 2)</f>
        <v/>
      </c>
      <c r="R98" s="29">
        <f>MAX(F98:Q98)</f>
        <v/>
      </c>
    </row>
    <row r="99">
      <c r="A99" s="20" t="inlineStr">
        <is>
          <t>0644-0005</t>
        </is>
      </c>
      <c r="B99" s="21" t="inlineStr">
        <is>
          <t>Bakaya S.A.P.I.</t>
        </is>
      </c>
      <c r="C99" s="21" t="inlineStr">
        <is>
          <t>i118</t>
        </is>
      </c>
      <c r="D99" s="20" t="inlineStr">
        <is>
          <t>ACTIVO</t>
        </is>
      </c>
      <c r="E99" s="22" t="n">
        <v>36</v>
      </c>
      <c r="F99" s="23">
        <f>ROUND(Saldos_Cartera_Total!F99 + Saldo_Residual_Activo!I99, 2)</f>
        <v/>
      </c>
      <c r="G99" s="23">
        <f>ROUND(Saldos_Cartera_Total!G99 + Saldo_Residual_Activo!J99, 2)</f>
        <v/>
      </c>
      <c r="H99" s="23">
        <f>ROUND(Saldos_Cartera_Total!H99 + Saldo_Residual_Activo!K99, 2)</f>
        <v/>
      </c>
      <c r="I99" s="23">
        <f>ROUND(Saldos_Cartera_Total!I99 + Saldo_Residual_Activo!L99, 2)</f>
        <v/>
      </c>
      <c r="J99" s="23">
        <f>ROUND(Saldos_Cartera_Total!J99 + Saldo_Residual_Activo!M99, 2)</f>
        <v/>
      </c>
      <c r="K99" s="23">
        <f>ROUND(Saldos_Cartera_Total!K99 + Saldo_Residual_Activo!N99, 2)</f>
        <v/>
      </c>
      <c r="L99" s="23">
        <f>ROUND(Saldos_Cartera_Total!L99 + Saldo_Residual_Activo!O99, 2)</f>
        <v/>
      </c>
      <c r="M99" s="23">
        <f>ROUND(Saldos_Cartera_Total!M99 + Saldo_Residual_Activo!P99, 2)</f>
        <v/>
      </c>
      <c r="N99" s="23">
        <f>ROUND(Saldos_Cartera_Total!N99 + Saldo_Residual_Activo!Q99, 2)</f>
        <v/>
      </c>
      <c r="O99" s="23">
        <f>ROUND(Saldos_Cartera_Total!O99 + Saldo_Residual_Activo!R99, 2)</f>
        <v/>
      </c>
      <c r="P99" s="23">
        <f>ROUND(Saldos_Cartera_Total!P99 + Saldo_Residual_Activo!S99, 2)</f>
        <v/>
      </c>
      <c r="Q99" s="23">
        <f>ROUND(Saldos_Cartera_Total!Q99 + Saldo_Residual_Activo!T99, 2)</f>
        <v/>
      </c>
      <c r="R99" s="23">
        <f>MAX(F99:Q99)</f>
        <v/>
      </c>
    </row>
    <row r="100">
      <c r="A100" s="26" t="inlineStr">
        <is>
          <t>0644-0006</t>
        </is>
      </c>
      <c r="B100" s="27" t="inlineStr">
        <is>
          <t>Bkaya S.A.P.I.</t>
        </is>
      </c>
      <c r="C100" s="27" t="inlineStr">
        <is>
          <t>Highlander XLE</t>
        </is>
      </c>
      <c r="D100" s="26" t="inlineStr">
        <is>
          <t>ACTIVO</t>
        </is>
      </c>
      <c r="E100" s="28" t="n">
        <v>36</v>
      </c>
      <c r="F100" s="29" t="inlineStr"/>
      <c r="G100" s="29">
        <f>ROUND(Saldos_Cartera_Total!G100 + Saldo_Residual_Activo!J100, 2)</f>
        <v/>
      </c>
      <c r="H100" s="29">
        <f>ROUND(Saldos_Cartera_Total!H100 + Saldo_Residual_Activo!K100, 2)</f>
        <v/>
      </c>
      <c r="I100" s="29">
        <f>ROUND(Saldos_Cartera_Total!I100 + Saldo_Residual_Activo!L100, 2)</f>
        <v/>
      </c>
      <c r="J100" s="29">
        <f>ROUND(Saldos_Cartera_Total!J100 + Saldo_Residual_Activo!M100, 2)</f>
        <v/>
      </c>
      <c r="K100" s="29">
        <f>ROUND(Saldos_Cartera_Total!K100 + Saldo_Residual_Activo!N100, 2)</f>
        <v/>
      </c>
      <c r="L100" s="29">
        <f>ROUND(Saldos_Cartera_Total!L100 + Saldo_Residual_Activo!O100, 2)</f>
        <v/>
      </c>
      <c r="M100" s="29">
        <f>ROUND(Saldos_Cartera_Total!M100 + Saldo_Residual_Activo!P100, 2)</f>
        <v/>
      </c>
      <c r="N100" s="29">
        <f>ROUND(Saldos_Cartera_Total!N100 + Saldo_Residual_Activo!Q100, 2)</f>
        <v/>
      </c>
      <c r="O100" s="29">
        <f>ROUND(Saldos_Cartera_Total!O100 + Saldo_Residual_Activo!R100, 2)</f>
        <v/>
      </c>
      <c r="P100" s="29">
        <f>ROUND(Saldos_Cartera_Total!P100 + Saldo_Residual_Activo!S100, 2)</f>
        <v/>
      </c>
      <c r="Q100" s="29">
        <f>ROUND(Saldos_Cartera_Total!Q100 + Saldo_Residual_Activo!T100, 2)</f>
        <v/>
      </c>
      <c r="R100" s="29">
        <f>MAX(F100:Q100)</f>
        <v/>
      </c>
    </row>
    <row r="101">
      <c r="A101" s="20" t="inlineStr">
        <is>
          <t>0645-0001</t>
        </is>
      </c>
      <c r="B101" s="21" t="inlineStr">
        <is>
          <t>Armando Duran Rubio</t>
        </is>
      </c>
      <c r="C101" s="21" t="inlineStr">
        <is>
          <t>Ram 1500 Bighorn</t>
        </is>
      </c>
      <c r="D101" s="20" t="inlineStr">
        <is>
          <t>ACTIVO</t>
        </is>
      </c>
      <c r="E101" s="22" t="n">
        <v>48</v>
      </c>
      <c r="F101" s="23">
        <f>ROUND(Saldos_Cartera_Total!F101 + Saldo_Residual_Activo!I101, 2)</f>
        <v/>
      </c>
      <c r="G101" s="23">
        <f>ROUND(Saldos_Cartera_Total!G101 + Saldo_Residual_Activo!J101, 2)</f>
        <v/>
      </c>
      <c r="H101" s="23">
        <f>ROUND(Saldos_Cartera_Total!H101 + Saldo_Residual_Activo!K101, 2)</f>
        <v/>
      </c>
      <c r="I101" s="23">
        <f>ROUND(Saldos_Cartera_Total!I101 + Saldo_Residual_Activo!L101, 2)</f>
        <v/>
      </c>
      <c r="J101" s="23">
        <f>ROUND(Saldos_Cartera_Total!J101 + Saldo_Residual_Activo!M101, 2)</f>
        <v/>
      </c>
      <c r="K101" s="23">
        <f>ROUND(Saldos_Cartera_Total!K101 + Saldo_Residual_Activo!N101, 2)</f>
        <v/>
      </c>
      <c r="L101" s="23">
        <f>ROUND(Saldos_Cartera_Total!L101 + Saldo_Residual_Activo!O101, 2)</f>
        <v/>
      </c>
      <c r="M101" s="23">
        <f>ROUND(Saldos_Cartera_Total!M101 + Saldo_Residual_Activo!P101, 2)</f>
        <v/>
      </c>
      <c r="N101" s="23">
        <f>ROUND(Saldos_Cartera_Total!N101 + Saldo_Residual_Activo!Q101, 2)</f>
        <v/>
      </c>
      <c r="O101" s="23">
        <f>ROUND(Saldos_Cartera_Total!O101 + Saldo_Residual_Activo!R101, 2)</f>
        <v/>
      </c>
      <c r="P101" s="23">
        <f>ROUND(Saldos_Cartera_Total!P101 + Saldo_Residual_Activo!S101, 2)</f>
        <v/>
      </c>
      <c r="Q101" s="23">
        <f>ROUND(Saldos_Cartera_Total!Q101 + Saldo_Residual_Activo!T101, 2)</f>
        <v/>
      </c>
      <c r="R101" s="23">
        <f>MAX(F101:Q101)</f>
        <v/>
      </c>
    </row>
    <row r="102">
      <c r="A102" s="26" t="inlineStr">
        <is>
          <t>0646-0001</t>
        </is>
      </c>
      <c r="B102" s="27" t="inlineStr">
        <is>
          <t>Liza Minerva Magallanes Reimers</t>
        </is>
      </c>
      <c r="C102" s="27" t="inlineStr">
        <is>
          <t>Wrangler</t>
        </is>
      </c>
      <c r="D102" s="26" t="inlineStr">
        <is>
          <t>ACTIVO</t>
        </is>
      </c>
      <c r="E102" s="28" t="n">
        <v>48</v>
      </c>
      <c r="F102" s="29">
        <f>ROUND(Saldos_Cartera_Total!F102 + Saldo_Residual_Activo!I102, 2)</f>
        <v/>
      </c>
      <c r="G102" s="29">
        <f>ROUND(Saldos_Cartera_Total!G102 + Saldo_Residual_Activo!J102, 2)</f>
        <v/>
      </c>
      <c r="H102" s="29">
        <f>ROUND(Saldos_Cartera_Total!H102 + Saldo_Residual_Activo!K102, 2)</f>
        <v/>
      </c>
      <c r="I102" s="29">
        <f>ROUND(Saldos_Cartera_Total!I102 + Saldo_Residual_Activo!L102, 2)</f>
        <v/>
      </c>
      <c r="J102" s="29">
        <f>ROUND(Saldos_Cartera_Total!J102 + Saldo_Residual_Activo!M102, 2)</f>
        <v/>
      </c>
      <c r="K102" s="29">
        <f>ROUND(Saldos_Cartera_Total!K102 + Saldo_Residual_Activo!N102, 2)</f>
        <v/>
      </c>
      <c r="L102" s="29">
        <f>ROUND(Saldos_Cartera_Total!L102 + Saldo_Residual_Activo!O102, 2)</f>
        <v/>
      </c>
      <c r="M102" s="29">
        <f>ROUND(Saldos_Cartera_Total!M102 + Saldo_Residual_Activo!P102, 2)</f>
        <v/>
      </c>
      <c r="N102" s="29">
        <f>ROUND(Saldos_Cartera_Total!N102 + Saldo_Residual_Activo!Q102, 2)</f>
        <v/>
      </c>
      <c r="O102" s="29">
        <f>ROUND(Saldos_Cartera_Total!O102 + Saldo_Residual_Activo!R102, 2)</f>
        <v/>
      </c>
      <c r="P102" s="29">
        <f>ROUND(Saldos_Cartera_Total!P102 + Saldo_Residual_Activo!S102, 2)</f>
        <v/>
      </c>
      <c r="Q102" s="29">
        <f>ROUND(Saldos_Cartera_Total!Q102 + Saldo_Residual_Activo!T102, 2)</f>
        <v/>
      </c>
      <c r="R102" s="29">
        <f>MAX(F102:Q102)</f>
        <v/>
      </c>
    </row>
    <row r="103">
      <c r="A103" s="20" t="inlineStr">
        <is>
          <t>0647-0001</t>
        </is>
      </c>
      <c r="B103" s="21" t="inlineStr">
        <is>
          <t>Cibara Gourmet S de Rl de Cv</t>
        </is>
      </c>
      <c r="C103" s="21" t="inlineStr">
        <is>
          <t>Partner Maxi</t>
        </is>
      </c>
      <c r="D103" s="20" t="inlineStr">
        <is>
          <t>ACTIVO</t>
        </is>
      </c>
      <c r="E103" s="22" t="n">
        <v>36</v>
      </c>
      <c r="F103" s="23">
        <f>ROUND(Saldos_Cartera_Total!F103 + Saldo_Residual_Activo!I103, 2)</f>
        <v/>
      </c>
      <c r="G103" s="23">
        <f>ROUND(Saldos_Cartera_Total!G103 + Saldo_Residual_Activo!J103, 2)</f>
        <v/>
      </c>
      <c r="H103" s="23">
        <f>ROUND(Saldos_Cartera_Total!H103 + Saldo_Residual_Activo!K103, 2)</f>
        <v/>
      </c>
      <c r="I103" s="23">
        <f>ROUND(Saldos_Cartera_Total!I103 + Saldo_Residual_Activo!L103, 2)</f>
        <v/>
      </c>
      <c r="J103" s="23">
        <f>ROUND(Saldos_Cartera_Total!J103 + Saldo_Residual_Activo!M103, 2)</f>
        <v/>
      </c>
      <c r="K103" s="23">
        <f>ROUND(Saldos_Cartera_Total!K103 + Saldo_Residual_Activo!N103, 2)</f>
        <v/>
      </c>
      <c r="L103" s="23">
        <f>ROUND(Saldos_Cartera_Total!L103 + Saldo_Residual_Activo!O103, 2)</f>
        <v/>
      </c>
      <c r="M103" s="23">
        <f>ROUND(Saldos_Cartera_Total!M103 + Saldo_Residual_Activo!P103, 2)</f>
        <v/>
      </c>
      <c r="N103" s="23">
        <f>ROUND(Saldos_Cartera_Total!N103 + Saldo_Residual_Activo!Q103, 2)</f>
        <v/>
      </c>
      <c r="O103" s="23">
        <f>ROUND(Saldos_Cartera_Total!O103 + Saldo_Residual_Activo!R103, 2)</f>
        <v/>
      </c>
      <c r="P103" s="23">
        <f>ROUND(Saldos_Cartera_Total!P103 + Saldo_Residual_Activo!S103, 2)</f>
        <v/>
      </c>
      <c r="Q103" s="23">
        <f>ROUND(Saldos_Cartera_Total!Q103 + Saldo_Residual_Activo!T103, 2)</f>
        <v/>
      </c>
      <c r="R103" s="23">
        <f>MAX(F103:Q103)</f>
        <v/>
      </c>
    </row>
    <row r="104">
      <c r="A104" s="26" t="inlineStr">
        <is>
          <t>0647-0002</t>
        </is>
      </c>
      <c r="B104" s="27" t="inlineStr">
        <is>
          <t>Cibara Gourmet S de Rl de Cv</t>
        </is>
      </c>
      <c r="C104" s="27" t="inlineStr">
        <is>
          <t>Rifter Allure Pack</t>
        </is>
      </c>
      <c r="D104" s="26" t="inlineStr">
        <is>
          <t>ACTIVO</t>
        </is>
      </c>
      <c r="E104" s="28" t="n">
        <v>36</v>
      </c>
      <c r="F104" s="29">
        <f>ROUND(Saldos_Cartera_Total!F104 + Saldo_Residual_Activo!I104, 2)</f>
        <v/>
      </c>
      <c r="G104" s="29">
        <f>ROUND(Saldos_Cartera_Total!G104 + Saldo_Residual_Activo!J104, 2)</f>
        <v/>
      </c>
      <c r="H104" s="29">
        <f>ROUND(Saldos_Cartera_Total!H104 + Saldo_Residual_Activo!K104, 2)</f>
        <v/>
      </c>
      <c r="I104" s="29">
        <f>ROUND(Saldos_Cartera_Total!I104 + Saldo_Residual_Activo!L104, 2)</f>
        <v/>
      </c>
      <c r="J104" s="29">
        <f>ROUND(Saldos_Cartera_Total!J104 + Saldo_Residual_Activo!M104, 2)</f>
        <v/>
      </c>
      <c r="K104" s="29">
        <f>ROUND(Saldos_Cartera_Total!K104 + Saldo_Residual_Activo!N104, 2)</f>
        <v/>
      </c>
      <c r="L104" s="29">
        <f>ROUND(Saldos_Cartera_Total!L104 + Saldo_Residual_Activo!O104, 2)</f>
        <v/>
      </c>
      <c r="M104" s="29">
        <f>ROUND(Saldos_Cartera_Total!M104 + Saldo_Residual_Activo!P104, 2)</f>
        <v/>
      </c>
      <c r="N104" s="29">
        <f>ROUND(Saldos_Cartera_Total!N104 + Saldo_Residual_Activo!Q104, 2)</f>
        <v/>
      </c>
      <c r="O104" s="29">
        <f>ROUND(Saldos_Cartera_Total!O104 + Saldo_Residual_Activo!R104, 2)</f>
        <v/>
      </c>
      <c r="P104" s="29">
        <f>ROUND(Saldos_Cartera_Total!P104 + Saldo_Residual_Activo!S104, 2)</f>
        <v/>
      </c>
      <c r="Q104" s="29">
        <f>ROUND(Saldos_Cartera_Total!Q104 + Saldo_Residual_Activo!T104, 2)</f>
        <v/>
      </c>
      <c r="R104" s="29">
        <f>MAX(F104:Q104)</f>
        <v/>
      </c>
    </row>
    <row r="105">
      <c r="A105" s="20" t="inlineStr">
        <is>
          <t>0647-0003</t>
        </is>
      </c>
      <c r="B105" s="21" t="inlineStr">
        <is>
          <t>Cibaria Gourmet S de Rl de Cv</t>
        </is>
      </c>
      <c r="C105" s="21" t="inlineStr">
        <is>
          <t>1200 Bighorn</t>
        </is>
      </c>
      <c r="D105" s="20" t="inlineStr">
        <is>
          <t>ACTIVO</t>
        </is>
      </c>
      <c r="E105" s="22" t="n">
        <v>36</v>
      </c>
      <c r="F105" s="23" t="inlineStr"/>
      <c r="G105" s="23" t="inlineStr"/>
      <c r="H105" s="23" t="inlineStr"/>
      <c r="I105" s="23" t="inlineStr"/>
      <c r="J105" s="23" t="inlineStr"/>
      <c r="K105" s="23">
        <f>ROUND(Saldos_Cartera_Total!K105 + Saldo_Residual_Activo!N105, 2)</f>
        <v/>
      </c>
      <c r="L105" s="23">
        <f>ROUND(Saldos_Cartera_Total!L105 + Saldo_Residual_Activo!O105, 2)</f>
        <v/>
      </c>
      <c r="M105" s="23">
        <f>ROUND(Saldos_Cartera_Total!M105 + Saldo_Residual_Activo!P105, 2)</f>
        <v/>
      </c>
      <c r="N105" s="23">
        <f>ROUND(Saldos_Cartera_Total!N105 + Saldo_Residual_Activo!Q105, 2)</f>
        <v/>
      </c>
      <c r="O105" s="23">
        <f>ROUND(Saldos_Cartera_Total!O105 + Saldo_Residual_Activo!R105, 2)</f>
        <v/>
      </c>
      <c r="P105" s="23">
        <f>ROUND(Saldos_Cartera_Total!P105 + Saldo_Residual_Activo!S105, 2)</f>
        <v/>
      </c>
      <c r="Q105" s="23">
        <f>ROUND(Saldos_Cartera_Total!Q105 + Saldo_Residual_Activo!T105, 2)</f>
        <v/>
      </c>
      <c r="R105" s="23">
        <f>MAX(F105:Q105)</f>
        <v/>
      </c>
    </row>
    <row r="106">
      <c r="A106" s="26" t="inlineStr">
        <is>
          <t>0647-0004</t>
        </is>
      </c>
      <c r="B106" s="27" t="inlineStr">
        <is>
          <t>Cibaria Gourmet S de Rl de Cv</t>
        </is>
      </c>
      <c r="C106" s="27" t="inlineStr">
        <is>
          <t>1200 Bighorn</t>
        </is>
      </c>
      <c r="D106" s="26" t="inlineStr">
        <is>
          <t>ACTIVO</t>
        </is>
      </c>
      <c r="E106" s="28" t="n">
        <v>36</v>
      </c>
      <c r="F106" s="29" t="inlineStr"/>
      <c r="G106" s="29" t="inlineStr"/>
      <c r="H106" s="29" t="inlineStr"/>
      <c r="I106" s="29" t="inlineStr"/>
      <c r="J106" s="29" t="inlineStr"/>
      <c r="K106" s="29">
        <f>ROUND(Saldos_Cartera_Total!K106 + Saldo_Residual_Activo!N106, 2)</f>
        <v/>
      </c>
      <c r="L106" s="29">
        <f>ROUND(Saldos_Cartera_Total!L106 + Saldo_Residual_Activo!O106, 2)</f>
        <v/>
      </c>
      <c r="M106" s="29">
        <f>ROUND(Saldos_Cartera_Total!M106 + Saldo_Residual_Activo!P106, 2)</f>
        <v/>
      </c>
      <c r="N106" s="29">
        <f>ROUND(Saldos_Cartera_Total!N106 + Saldo_Residual_Activo!Q106, 2)</f>
        <v/>
      </c>
      <c r="O106" s="29">
        <f>ROUND(Saldos_Cartera_Total!O106 + Saldo_Residual_Activo!R106, 2)</f>
        <v/>
      </c>
      <c r="P106" s="29">
        <f>ROUND(Saldos_Cartera_Total!P106 + Saldo_Residual_Activo!S106, 2)</f>
        <v/>
      </c>
      <c r="Q106" s="29">
        <f>ROUND(Saldos_Cartera_Total!Q106 + Saldo_Residual_Activo!T106, 2)</f>
        <v/>
      </c>
      <c r="R106" s="29">
        <f>MAX(F106:Q106)</f>
        <v/>
      </c>
    </row>
    <row r="107">
      <c r="A107" s="20" t="inlineStr">
        <is>
          <t>0648-0002</t>
        </is>
      </c>
      <c r="B107" s="21" t="inlineStr">
        <is>
          <t>Jorge Luis Cervantes Gonzalez</t>
        </is>
      </c>
      <c r="C107" s="21" t="inlineStr">
        <is>
          <t>Wagoneer</t>
        </is>
      </c>
      <c r="D107" s="20" t="inlineStr">
        <is>
          <t>ACTIVO</t>
        </is>
      </c>
      <c r="E107" s="22" t="n">
        <v>48</v>
      </c>
      <c r="F107" s="23">
        <f>ROUND(Saldos_Cartera_Total!F107 + Saldo_Residual_Activo!I107, 2)</f>
        <v/>
      </c>
      <c r="G107" s="23">
        <f>ROUND(Saldos_Cartera_Total!G107 + Saldo_Residual_Activo!J107, 2)</f>
        <v/>
      </c>
      <c r="H107" s="23">
        <f>ROUND(Saldos_Cartera_Total!H107 + Saldo_Residual_Activo!K107, 2)</f>
        <v/>
      </c>
      <c r="I107" s="23">
        <f>ROUND(Saldos_Cartera_Total!I107 + Saldo_Residual_Activo!L107, 2)</f>
        <v/>
      </c>
      <c r="J107" s="23">
        <f>ROUND(Saldos_Cartera_Total!J107 + Saldo_Residual_Activo!M107, 2)</f>
        <v/>
      </c>
      <c r="K107" s="23">
        <f>ROUND(Saldos_Cartera_Total!K107 + Saldo_Residual_Activo!N107, 2)</f>
        <v/>
      </c>
      <c r="L107" s="23">
        <f>ROUND(Saldos_Cartera_Total!L107 + Saldo_Residual_Activo!O107, 2)</f>
        <v/>
      </c>
      <c r="M107" s="23">
        <f>ROUND(Saldos_Cartera_Total!M107 + Saldo_Residual_Activo!P107, 2)</f>
        <v/>
      </c>
      <c r="N107" s="23">
        <f>ROUND(Saldos_Cartera_Total!N107 + Saldo_Residual_Activo!Q107, 2)</f>
        <v/>
      </c>
      <c r="O107" s="23">
        <f>ROUND(Saldos_Cartera_Total!O107 + Saldo_Residual_Activo!R107, 2)</f>
        <v/>
      </c>
      <c r="P107" s="23">
        <f>ROUND(Saldos_Cartera_Total!P107 + Saldo_Residual_Activo!S107, 2)</f>
        <v/>
      </c>
      <c r="Q107" s="23">
        <f>ROUND(Saldos_Cartera_Total!Q107 + Saldo_Residual_Activo!T107, 2)</f>
        <v/>
      </c>
      <c r="R107" s="23">
        <f>MAX(F107:Q107)</f>
        <v/>
      </c>
    </row>
    <row r="108">
      <c r="A108" s="26" t="inlineStr">
        <is>
          <t>0648-0003</t>
        </is>
      </c>
      <c r="B108" s="27" t="inlineStr">
        <is>
          <t>Jorge Luis Cervantes Gonzalez</t>
        </is>
      </c>
      <c r="C108" s="27" t="inlineStr">
        <is>
          <t>Wrangler Tuscadero</t>
        </is>
      </c>
      <c r="D108" s="26" t="inlineStr">
        <is>
          <t>ACTIVO</t>
        </is>
      </c>
      <c r="E108" s="28" t="n">
        <v>48</v>
      </c>
      <c r="F108" s="29">
        <f>ROUND(Saldos_Cartera_Total!F108 + Saldo_Residual_Activo!I108, 2)</f>
        <v/>
      </c>
      <c r="G108" s="29">
        <f>ROUND(Saldos_Cartera_Total!G108 + Saldo_Residual_Activo!J108, 2)</f>
        <v/>
      </c>
      <c r="H108" s="29">
        <f>ROUND(Saldos_Cartera_Total!H108 + Saldo_Residual_Activo!K108, 2)</f>
        <v/>
      </c>
      <c r="I108" s="29">
        <f>ROUND(Saldos_Cartera_Total!I108 + Saldo_Residual_Activo!L108, 2)</f>
        <v/>
      </c>
      <c r="J108" s="29">
        <f>ROUND(Saldos_Cartera_Total!J108 + Saldo_Residual_Activo!M108, 2)</f>
        <v/>
      </c>
      <c r="K108" s="29">
        <f>ROUND(Saldos_Cartera_Total!K108 + Saldo_Residual_Activo!N108, 2)</f>
        <v/>
      </c>
      <c r="L108" s="29">
        <f>ROUND(Saldos_Cartera_Total!L108 + Saldo_Residual_Activo!O108, 2)</f>
        <v/>
      </c>
      <c r="M108" s="29">
        <f>ROUND(Saldos_Cartera_Total!M108 + Saldo_Residual_Activo!P108, 2)</f>
        <v/>
      </c>
      <c r="N108" s="29">
        <f>ROUND(Saldos_Cartera_Total!N108 + Saldo_Residual_Activo!Q108, 2)</f>
        <v/>
      </c>
      <c r="O108" s="29">
        <f>ROUND(Saldos_Cartera_Total!O108 + Saldo_Residual_Activo!R108, 2)</f>
        <v/>
      </c>
      <c r="P108" s="29">
        <f>ROUND(Saldos_Cartera_Total!P108 + Saldo_Residual_Activo!S108, 2)</f>
        <v/>
      </c>
      <c r="Q108" s="29">
        <f>ROUND(Saldos_Cartera_Total!Q108 + Saldo_Residual_Activo!T108, 2)</f>
        <v/>
      </c>
      <c r="R108" s="29">
        <f>MAX(F108:Q108)</f>
        <v/>
      </c>
    </row>
    <row r="109">
      <c r="A109" s="20" t="inlineStr">
        <is>
          <t>0648-0004</t>
        </is>
      </c>
      <c r="B109" s="21" t="inlineStr">
        <is>
          <t>Jorge Luis Cervantes Gonzalez</t>
        </is>
      </c>
      <c r="C109" s="21" t="inlineStr">
        <is>
          <t>JEEP 392</t>
        </is>
      </c>
      <c r="D109" s="20" t="inlineStr">
        <is>
          <t>ACTIVO</t>
        </is>
      </c>
      <c r="E109" s="22" t="n">
        <v>36</v>
      </c>
      <c r="F109" s="23">
        <f>ROUND(Saldos_Cartera_Total!F109 + Saldo_Residual_Activo!I109, 2)</f>
        <v/>
      </c>
      <c r="G109" s="23">
        <f>ROUND(Saldos_Cartera_Total!G109 + Saldo_Residual_Activo!J109, 2)</f>
        <v/>
      </c>
      <c r="H109" s="23">
        <f>ROUND(Saldos_Cartera_Total!H109 + Saldo_Residual_Activo!K109, 2)</f>
        <v/>
      </c>
      <c r="I109" s="23">
        <f>ROUND(Saldos_Cartera_Total!I109 + Saldo_Residual_Activo!L109, 2)</f>
        <v/>
      </c>
      <c r="J109" s="23">
        <f>ROUND(Saldos_Cartera_Total!J109 + Saldo_Residual_Activo!M109, 2)</f>
        <v/>
      </c>
      <c r="K109" s="23">
        <f>ROUND(Saldos_Cartera_Total!K109 + Saldo_Residual_Activo!N109, 2)</f>
        <v/>
      </c>
      <c r="L109" s="23">
        <f>ROUND(Saldos_Cartera_Total!L109 + Saldo_Residual_Activo!O109, 2)</f>
        <v/>
      </c>
      <c r="M109" s="23">
        <f>ROUND(Saldos_Cartera_Total!M109 + Saldo_Residual_Activo!P109, 2)</f>
        <v/>
      </c>
      <c r="N109" s="23">
        <f>ROUND(Saldos_Cartera_Total!N109 + Saldo_Residual_Activo!Q109, 2)</f>
        <v/>
      </c>
      <c r="O109" s="23">
        <f>ROUND(Saldos_Cartera_Total!O109 + Saldo_Residual_Activo!R109, 2)</f>
        <v/>
      </c>
      <c r="P109" s="23">
        <f>ROUND(Saldos_Cartera_Total!P109 + Saldo_Residual_Activo!S109, 2)</f>
        <v/>
      </c>
      <c r="Q109" s="23">
        <f>ROUND(Saldos_Cartera_Total!Q109 + Saldo_Residual_Activo!T109, 2)</f>
        <v/>
      </c>
      <c r="R109" s="23">
        <f>MAX(F109:Q109)</f>
        <v/>
      </c>
    </row>
    <row r="110">
      <c r="A110" s="26" t="inlineStr">
        <is>
          <t>0648-0005</t>
        </is>
      </c>
      <c r="B110" s="27" t="inlineStr">
        <is>
          <t>Jorge Luis Cervantes Gonzalez</t>
        </is>
      </c>
      <c r="C110" s="27" t="inlineStr">
        <is>
          <t>1500 RHO</t>
        </is>
      </c>
      <c r="D110" s="26" t="inlineStr">
        <is>
          <t>ACTIVO</t>
        </is>
      </c>
      <c r="E110" s="28" t="n">
        <v>36</v>
      </c>
      <c r="F110" s="29">
        <f>ROUND(Saldos_Cartera_Total!F110 + Saldo_Residual_Activo!I110, 2)</f>
        <v/>
      </c>
      <c r="G110" s="29">
        <f>ROUND(Saldos_Cartera_Total!G110 + Saldo_Residual_Activo!J110, 2)</f>
        <v/>
      </c>
      <c r="H110" s="29">
        <f>ROUND(Saldos_Cartera_Total!H110 + Saldo_Residual_Activo!K110, 2)</f>
        <v/>
      </c>
      <c r="I110" s="29">
        <f>ROUND(Saldos_Cartera_Total!I110 + Saldo_Residual_Activo!L110, 2)</f>
        <v/>
      </c>
      <c r="J110" s="29">
        <f>ROUND(Saldos_Cartera_Total!J110 + Saldo_Residual_Activo!M110, 2)</f>
        <v/>
      </c>
      <c r="K110" s="29">
        <f>ROUND(Saldos_Cartera_Total!K110 + Saldo_Residual_Activo!N110, 2)</f>
        <v/>
      </c>
      <c r="L110" s="29">
        <f>ROUND(Saldos_Cartera_Total!L110 + Saldo_Residual_Activo!O110, 2)</f>
        <v/>
      </c>
      <c r="M110" s="29">
        <f>ROUND(Saldos_Cartera_Total!M110 + Saldo_Residual_Activo!P110, 2)</f>
        <v/>
      </c>
      <c r="N110" s="29">
        <f>ROUND(Saldos_Cartera_Total!N110 + Saldo_Residual_Activo!Q110, 2)</f>
        <v/>
      </c>
      <c r="O110" s="29">
        <f>ROUND(Saldos_Cartera_Total!O110 + Saldo_Residual_Activo!R110, 2)</f>
        <v/>
      </c>
      <c r="P110" s="29">
        <f>ROUND(Saldos_Cartera_Total!P110 + Saldo_Residual_Activo!S110, 2)</f>
        <v/>
      </c>
      <c r="Q110" s="29">
        <f>ROUND(Saldos_Cartera_Total!Q110 + Saldo_Residual_Activo!T110, 2)</f>
        <v/>
      </c>
      <c r="R110" s="29">
        <f>MAX(F110:Q110)</f>
        <v/>
      </c>
    </row>
    <row r="111">
      <c r="A111" s="20" t="inlineStr">
        <is>
          <t>0648-0006</t>
        </is>
      </c>
      <c r="B111" s="21" t="inlineStr">
        <is>
          <t>Jorge Luis Cervantes Gonzalez</t>
        </is>
      </c>
      <c r="C111" s="21" t="inlineStr">
        <is>
          <t>Durango Hellcat SRT</t>
        </is>
      </c>
      <c r="D111" s="20" t="inlineStr">
        <is>
          <t>ACTIVO</t>
        </is>
      </c>
      <c r="E111" s="22" t="n">
        <v>36</v>
      </c>
      <c r="F111" s="23" t="inlineStr"/>
      <c r="G111" s="23" t="inlineStr"/>
      <c r="H111" s="23" t="inlineStr"/>
      <c r="I111" s="23">
        <f>ROUND(Saldos_Cartera_Total!I111 + Saldo_Residual_Activo!L111, 2)</f>
        <v/>
      </c>
      <c r="J111" s="23">
        <f>ROUND(Saldos_Cartera_Total!J111 + Saldo_Residual_Activo!M111, 2)</f>
        <v/>
      </c>
      <c r="K111" s="23">
        <f>ROUND(Saldos_Cartera_Total!K111 + Saldo_Residual_Activo!N111, 2)</f>
        <v/>
      </c>
      <c r="L111" s="23">
        <f>ROUND(Saldos_Cartera_Total!L111 + Saldo_Residual_Activo!O111, 2)</f>
        <v/>
      </c>
      <c r="M111" s="23">
        <f>ROUND(Saldos_Cartera_Total!M111 + Saldo_Residual_Activo!P111, 2)</f>
        <v/>
      </c>
      <c r="N111" s="23">
        <f>ROUND(Saldos_Cartera_Total!N111 + Saldo_Residual_Activo!Q111, 2)</f>
        <v/>
      </c>
      <c r="O111" s="23">
        <f>ROUND(Saldos_Cartera_Total!O111 + Saldo_Residual_Activo!R111, 2)</f>
        <v/>
      </c>
      <c r="P111" s="23">
        <f>ROUND(Saldos_Cartera_Total!P111 + Saldo_Residual_Activo!S111, 2)</f>
        <v/>
      </c>
      <c r="Q111" s="23">
        <f>ROUND(Saldos_Cartera_Total!Q111 + Saldo_Residual_Activo!T111, 2)</f>
        <v/>
      </c>
      <c r="R111" s="23">
        <f>MAX(F111:Q111)</f>
        <v/>
      </c>
    </row>
    <row r="112">
      <c r="A112" s="26" t="inlineStr">
        <is>
          <t>0649-0001</t>
        </is>
      </c>
      <c r="B112" s="27" t="inlineStr">
        <is>
          <t>Compusoluciones Y Asociados Sa de Cv</t>
        </is>
      </c>
      <c r="C112" s="27" t="inlineStr">
        <is>
          <t>CX-30</t>
        </is>
      </c>
      <c r="D112" s="26" t="inlineStr">
        <is>
          <t>ACTIVO</t>
        </is>
      </c>
      <c r="E112" s="28" t="n">
        <v>48</v>
      </c>
      <c r="F112" s="29">
        <f>ROUND(Saldos_Cartera_Total!F112 + Saldo_Residual_Activo!I112, 2)</f>
        <v/>
      </c>
      <c r="G112" s="29">
        <f>ROUND(Saldos_Cartera_Total!G112 + Saldo_Residual_Activo!J112, 2)</f>
        <v/>
      </c>
      <c r="H112" s="29">
        <f>ROUND(Saldos_Cartera_Total!H112 + Saldo_Residual_Activo!K112, 2)</f>
        <v/>
      </c>
      <c r="I112" s="29">
        <f>ROUND(Saldos_Cartera_Total!I112 + Saldo_Residual_Activo!L112, 2)</f>
        <v/>
      </c>
      <c r="J112" s="29">
        <f>ROUND(Saldos_Cartera_Total!J112 + Saldo_Residual_Activo!M112, 2)</f>
        <v/>
      </c>
      <c r="K112" s="29">
        <f>ROUND(Saldos_Cartera_Total!K112 + Saldo_Residual_Activo!N112, 2)</f>
        <v/>
      </c>
      <c r="L112" s="29">
        <f>ROUND(Saldos_Cartera_Total!L112 + Saldo_Residual_Activo!O112, 2)</f>
        <v/>
      </c>
      <c r="M112" s="29">
        <f>ROUND(Saldos_Cartera_Total!M112 + Saldo_Residual_Activo!P112, 2)</f>
        <v/>
      </c>
      <c r="N112" s="29">
        <f>ROUND(Saldos_Cartera_Total!N112 + Saldo_Residual_Activo!Q112, 2)</f>
        <v/>
      </c>
      <c r="O112" s="29">
        <f>ROUND(Saldos_Cartera_Total!O112 + Saldo_Residual_Activo!R112, 2)</f>
        <v/>
      </c>
      <c r="P112" s="29">
        <f>ROUND(Saldos_Cartera_Total!P112 + Saldo_Residual_Activo!S112, 2)</f>
        <v/>
      </c>
      <c r="Q112" s="29">
        <f>ROUND(Saldos_Cartera_Total!Q112 + Saldo_Residual_Activo!T112, 2)</f>
        <v/>
      </c>
      <c r="R112" s="29">
        <f>MAX(F112:Q112)</f>
        <v/>
      </c>
    </row>
    <row r="113">
      <c r="A113" s="20" t="inlineStr">
        <is>
          <t>0649-0002</t>
        </is>
      </c>
      <c r="B113" s="21" t="inlineStr">
        <is>
          <t>Compusoluciones Y Asociados Sa de Cv</t>
        </is>
      </c>
      <c r="C113" s="21" t="inlineStr">
        <is>
          <t>CX5</t>
        </is>
      </c>
      <c r="D113" s="20" t="inlineStr">
        <is>
          <t>ACTIVO</t>
        </is>
      </c>
      <c r="E113" s="22" t="n">
        <v>48</v>
      </c>
      <c r="F113" s="23">
        <f>ROUND(Saldos_Cartera_Total!F113 + Saldo_Residual_Activo!I113, 2)</f>
        <v/>
      </c>
      <c r="G113" s="23">
        <f>ROUND(Saldos_Cartera_Total!G113 + Saldo_Residual_Activo!J113, 2)</f>
        <v/>
      </c>
      <c r="H113" s="23">
        <f>ROUND(Saldos_Cartera_Total!H113 + Saldo_Residual_Activo!K113, 2)</f>
        <v/>
      </c>
      <c r="I113" s="23">
        <f>ROUND(Saldos_Cartera_Total!I113 + Saldo_Residual_Activo!L113, 2)</f>
        <v/>
      </c>
      <c r="J113" s="23">
        <f>ROUND(Saldos_Cartera_Total!J113 + Saldo_Residual_Activo!M113, 2)</f>
        <v/>
      </c>
      <c r="K113" s="23">
        <f>ROUND(Saldos_Cartera_Total!K113 + Saldo_Residual_Activo!N113, 2)</f>
        <v/>
      </c>
      <c r="L113" s="23">
        <f>ROUND(Saldos_Cartera_Total!L113 + Saldo_Residual_Activo!O113, 2)</f>
        <v/>
      </c>
      <c r="M113" s="23">
        <f>ROUND(Saldos_Cartera_Total!M113 + Saldo_Residual_Activo!P113, 2)</f>
        <v/>
      </c>
      <c r="N113" s="23">
        <f>ROUND(Saldos_Cartera_Total!N113 + Saldo_Residual_Activo!Q113, 2)</f>
        <v/>
      </c>
      <c r="O113" s="23">
        <f>ROUND(Saldos_Cartera_Total!O113 + Saldo_Residual_Activo!R113, 2)</f>
        <v/>
      </c>
      <c r="P113" s="23">
        <f>ROUND(Saldos_Cartera_Total!P113 + Saldo_Residual_Activo!S113, 2)</f>
        <v/>
      </c>
      <c r="Q113" s="23">
        <f>ROUND(Saldos_Cartera_Total!Q113 + Saldo_Residual_Activo!T113, 2)</f>
        <v/>
      </c>
      <c r="R113" s="23">
        <f>MAX(F113:Q113)</f>
        <v/>
      </c>
    </row>
    <row r="114">
      <c r="A114" s="26" t="inlineStr">
        <is>
          <t>0649-0003</t>
        </is>
      </c>
      <c r="B114" s="27" t="inlineStr">
        <is>
          <t>Compusoluciones Y Asociados Sa de Cv</t>
        </is>
      </c>
      <c r="C114" s="27" t="inlineStr">
        <is>
          <t>Highlander XLE</t>
        </is>
      </c>
      <c r="D114" s="26" t="inlineStr">
        <is>
          <t>ACTIVO</t>
        </is>
      </c>
      <c r="E114" s="28" t="n">
        <v>48</v>
      </c>
      <c r="F114" s="29">
        <f>ROUND(Saldos_Cartera_Total!F114 + Saldo_Residual_Activo!I114, 2)</f>
        <v/>
      </c>
      <c r="G114" s="29">
        <f>ROUND(Saldos_Cartera_Total!G114 + Saldo_Residual_Activo!J114, 2)</f>
        <v/>
      </c>
      <c r="H114" s="29">
        <f>ROUND(Saldos_Cartera_Total!H114 + Saldo_Residual_Activo!K114, 2)</f>
        <v/>
      </c>
      <c r="I114" s="29">
        <f>ROUND(Saldos_Cartera_Total!I114 + Saldo_Residual_Activo!L114, 2)</f>
        <v/>
      </c>
      <c r="J114" s="29">
        <f>ROUND(Saldos_Cartera_Total!J114 + Saldo_Residual_Activo!M114, 2)</f>
        <v/>
      </c>
      <c r="K114" s="29">
        <f>ROUND(Saldos_Cartera_Total!K114 + Saldo_Residual_Activo!N114, 2)</f>
        <v/>
      </c>
      <c r="L114" s="29">
        <f>ROUND(Saldos_Cartera_Total!L114 + Saldo_Residual_Activo!O114, 2)</f>
        <v/>
      </c>
      <c r="M114" s="29">
        <f>ROUND(Saldos_Cartera_Total!M114 + Saldo_Residual_Activo!P114, 2)</f>
        <v/>
      </c>
      <c r="N114" s="29">
        <f>ROUND(Saldos_Cartera_Total!N114 + Saldo_Residual_Activo!Q114, 2)</f>
        <v/>
      </c>
      <c r="O114" s="29">
        <f>ROUND(Saldos_Cartera_Total!O114 + Saldo_Residual_Activo!R114, 2)</f>
        <v/>
      </c>
      <c r="P114" s="29">
        <f>ROUND(Saldos_Cartera_Total!P114 + Saldo_Residual_Activo!S114, 2)</f>
        <v/>
      </c>
      <c r="Q114" s="29">
        <f>ROUND(Saldos_Cartera_Total!Q114 + Saldo_Residual_Activo!T114, 2)</f>
        <v/>
      </c>
      <c r="R114" s="29">
        <f>MAX(F114:Q114)</f>
        <v/>
      </c>
    </row>
    <row r="115">
      <c r="A115" s="20" t="inlineStr">
        <is>
          <t>0649-0005</t>
        </is>
      </c>
      <c r="B115" s="21" t="inlineStr">
        <is>
          <t>Compusoluciones y Asociados Sa de Cv</t>
        </is>
      </c>
      <c r="C115" s="21" t="inlineStr">
        <is>
          <t>3 i Touring</t>
        </is>
      </c>
      <c r="D115" s="20" t="inlineStr">
        <is>
          <t>ACTIVO</t>
        </is>
      </c>
      <c r="E115" s="22" t="n">
        <v>48</v>
      </c>
      <c r="F115" s="23">
        <f>ROUND(Saldos_Cartera_Total!F115 + Saldo_Residual_Activo!I115, 2)</f>
        <v/>
      </c>
      <c r="G115" s="23">
        <f>ROUND(Saldos_Cartera_Total!G115 + Saldo_Residual_Activo!J115, 2)</f>
        <v/>
      </c>
      <c r="H115" s="23">
        <f>ROUND(Saldos_Cartera_Total!H115 + Saldo_Residual_Activo!K115, 2)</f>
        <v/>
      </c>
      <c r="I115" s="23">
        <f>ROUND(Saldos_Cartera_Total!I115 + Saldo_Residual_Activo!L115, 2)</f>
        <v/>
      </c>
      <c r="J115" s="23">
        <f>ROUND(Saldos_Cartera_Total!J115 + Saldo_Residual_Activo!M115, 2)</f>
        <v/>
      </c>
      <c r="K115" s="23">
        <f>ROUND(Saldos_Cartera_Total!K115 + Saldo_Residual_Activo!N115, 2)</f>
        <v/>
      </c>
      <c r="L115" s="23">
        <f>ROUND(Saldos_Cartera_Total!L115 + Saldo_Residual_Activo!O115, 2)</f>
        <v/>
      </c>
      <c r="M115" s="23">
        <f>ROUND(Saldos_Cartera_Total!M115 + Saldo_Residual_Activo!P115, 2)</f>
        <v/>
      </c>
      <c r="N115" s="23">
        <f>ROUND(Saldos_Cartera_Total!N115 + Saldo_Residual_Activo!Q115, 2)</f>
        <v/>
      </c>
      <c r="O115" s="23">
        <f>ROUND(Saldos_Cartera_Total!O115 + Saldo_Residual_Activo!R115, 2)</f>
        <v/>
      </c>
      <c r="P115" s="23">
        <f>ROUND(Saldos_Cartera_Total!P115 + Saldo_Residual_Activo!S115, 2)</f>
        <v/>
      </c>
      <c r="Q115" s="23">
        <f>ROUND(Saldos_Cartera_Total!Q115 + Saldo_Residual_Activo!T115, 2)</f>
        <v/>
      </c>
      <c r="R115" s="23">
        <f>MAX(F115:Q115)</f>
        <v/>
      </c>
    </row>
    <row r="116">
      <c r="A116" s="26" t="inlineStr">
        <is>
          <t>0649-0006</t>
        </is>
      </c>
      <c r="B116" s="27" t="inlineStr">
        <is>
          <t>Compusoluciones y Asociados sa de Cv</t>
        </is>
      </c>
      <c r="C116" s="27" t="inlineStr">
        <is>
          <t>Mazda Cx5</t>
        </is>
      </c>
      <c r="D116" s="26" t="inlineStr">
        <is>
          <t>ACTIVO</t>
        </is>
      </c>
      <c r="E116" s="28" t="n">
        <v>48</v>
      </c>
      <c r="F116" s="29">
        <f>ROUND(Saldos_Cartera_Total!F116 + Saldo_Residual_Activo!I116, 2)</f>
        <v/>
      </c>
      <c r="G116" s="29">
        <f>ROUND(Saldos_Cartera_Total!G116 + Saldo_Residual_Activo!J116, 2)</f>
        <v/>
      </c>
      <c r="H116" s="29">
        <f>ROUND(Saldos_Cartera_Total!H116 + Saldo_Residual_Activo!K116, 2)</f>
        <v/>
      </c>
      <c r="I116" s="29">
        <f>ROUND(Saldos_Cartera_Total!I116 + Saldo_Residual_Activo!L116, 2)</f>
        <v/>
      </c>
      <c r="J116" s="29">
        <f>ROUND(Saldos_Cartera_Total!J116 + Saldo_Residual_Activo!M116, 2)</f>
        <v/>
      </c>
      <c r="K116" s="29">
        <f>ROUND(Saldos_Cartera_Total!K116 + Saldo_Residual_Activo!N116, 2)</f>
        <v/>
      </c>
      <c r="L116" s="29">
        <f>ROUND(Saldos_Cartera_Total!L116 + Saldo_Residual_Activo!O116, 2)</f>
        <v/>
      </c>
      <c r="M116" s="29">
        <f>ROUND(Saldos_Cartera_Total!M116 + Saldo_Residual_Activo!P116, 2)</f>
        <v/>
      </c>
      <c r="N116" s="29">
        <f>ROUND(Saldos_Cartera_Total!N116 + Saldo_Residual_Activo!Q116, 2)</f>
        <v/>
      </c>
      <c r="O116" s="29">
        <f>ROUND(Saldos_Cartera_Total!O116 + Saldo_Residual_Activo!R116, 2)</f>
        <v/>
      </c>
      <c r="P116" s="29">
        <f>ROUND(Saldos_Cartera_Total!P116 + Saldo_Residual_Activo!S116, 2)</f>
        <v/>
      </c>
      <c r="Q116" s="29">
        <f>ROUND(Saldos_Cartera_Total!Q116 + Saldo_Residual_Activo!T116, 2)</f>
        <v/>
      </c>
      <c r="R116" s="29">
        <f>MAX(F116:Q116)</f>
        <v/>
      </c>
    </row>
    <row r="117">
      <c r="A117" s="20" t="inlineStr">
        <is>
          <t>0649-0007</t>
        </is>
      </c>
      <c r="B117" s="21" t="inlineStr">
        <is>
          <t>Compusoluciones y Asociados sa de Cv</t>
        </is>
      </c>
      <c r="C117" s="21" t="inlineStr">
        <is>
          <t>RX5</t>
        </is>
      </c>
      <c r="D117" s="20" t="inlineStr">
        <is>
          <t>ACTIVO</t>
        </is>
      </c>
      <c r="E117" s="22" t="n">
        <v>36</v>
      </c>
      <c r="F117" s="23">
        <f>ROUND(Saldos_Cartera_Total!F117 + Saldo_Residual_Activo!I117, 2)</f>
        <v/>
      </c>
      <c r="G117" s="23">
        <f>ROUND(Saldos_Cartera_Total!G117 + Saldo_Residual_Activo!J117, 2)</f>
        <v/>
      </c>
      <c r="H117" s="23">
        <f>ROUND(Saldos_Cartera_Total!H117 + Saldo_Residual_Activo!K117, 2)</f>
        <v/>
      </c>
      <c r="I117" s="23">
        <f>ROUND(Saldos_Cartera_Total!I117 + Saldo_Residual_Activo!L117, 2)</f>
        <v/>
      </c>
      <c r="J117" s="23">
        <f>ROUND(Saldos_Cartera_Total!J117 + Saldo_Residual_Activo!M117, 2)</f>
        <v/>
      </c>
      <c r="K117" s="23">
        <f>ROUND(Saldos_Cartera_Total!K117 + Saldo_Residual_Activo!N117, 2)</f>
        <v/>
      </c>
      <c r="L117" s="23">
        <f>ROUND(Saldos_Cartera_Total!L117 + Saldo_Residual_Activo!O117, 2)</f>
        <v/>
      </c>
      <c r="M117" s="23">
        <f>ROUND(Saldos_Cartera_Total!M117 + Saldo_Residual_Activo!P117, 2)</f>
        <v/>
      </c>
      <c r="N117" s="23">
        <f>ROUND(Saldos_Cartera_Total!N117 + Saldo_Residual_Activo!Q117, 2)</f>
        <v/>
      </c>
      <c r="O117" s="23">
        <f>ROUND(Saldos_Cartera_Total!O117 + Saldo_Residual_Activo!R117, 2)</f>
        <v/>
      </c>
      <c r="P117" s="23">
        <f>ROUND(Saldos_Cartera_Total!P117 + Saldo_Residual_Activo!S117, 2)</f>
        <v/>
      </c>
      <c r="Q117" s="23">
        <f>ROUND(Saldos_Cartera_Total!Q117 + Saldo_Residual_Activo!T117, 2)</f>
        <v/>
      </c>
      <c r="R117" s="23">
        <f>MAX(F117:Q117)</f>
        <v/>
      </c>
    </row>
    <row r="118">
      <c r="A118" s="26" t="inlineStr">
        <is>
          <t>0649-0008</t>
        </is>
      </c>
      <c r="B118" s="27" t="inlineStr">
        <is>
          <t>Compusoluciones y Asociados Sa de Cv</t>
        </is>
      </c>
      <c r="C118" s="27" t="inlineStr">
        <is>
          <t>Kicks</t>
        </is>
      </c>
      <c r="D118" s="26" t="inlineStr">
        <is>
          <t>ACTIVO</t>
        </is>
      </c>
      <c r="E118" s="28" t="n">
        <v>48</v>
      </c>
      <c r="F118" s="29">
        <f>ROUND(Saldos_Cartera_Total!F118 + Saldo_Residual_Activo!I118, 2)</f>
        <v/>
      </c>
      <c r="G118" s="29">
        <f>ROUND(Saldos_Cartera_Total!G118 + Saldo_Residual_Activo!J118, 2)</f>
        <v/>
      </c>
      <c r="H118" s="29">
        <f>ROUND(Saldos_Cartera_Total!H118 + Saldo_Residual_Activo!K118, 2)</f>
        <v/>
      </c>
      <c r="I118" s="29">
        <f>ROUND(Saldos_Cartera_Total!I118 + Saldo_Residual_Activo!L118, 2)</f>
        <v/>
      </c>
      <c r="J118" s="29">
        <f>ROUND(Saldos_Cartera_Total!J118 + Saldo_Residual_Activo!M118, 2)</f>
        <v/>
      </c>
      <c r="K118" s="29">
        <f>ROUND(Saldos_Cartera_Total!K118 + Saldo_Residual_Activo!N118, 2)</f>
        <v/>
      </c>
      <c r="L118" s="29">
        <f>ROUND(Saldos_Cartera_Total!L118 + Saldo_Residual_Activo!O118, 2)</f>
        <v/>
      </c>
      <c r="M118" s="29">
        <f>ROUND(Saldos_Cartera_Total!M118 + Saldo_Residual_Activo!P118, 2)</f>
        <v/>
      </c>
      <c r="N118" s="29">
        <f>ROUND(Saldos_Cartera_Total!N118 + Saldo_Residual_Activo!Q118, 2)</f>
        <v/>
      </c>
      <c r="O118" s="29">
        <f>ROUND(Saldos_Cartera_Total!O118 + Saldo_Residual_Activo!R118, 2)</f>
        <v/>
      </c>
      <c r="P118" s="29">
        <f>ROUND(Saldos_Cartera_Total!P118 + Saldo_Residual_Activo!S118, 2)</f>
        <v/>
      </c>
      <c r="Q118" s="29">
        <f>ROUND(Saldos_Cartera_Total!Q118 + Saldo_Residual_Activo!T118, 2)</f>
        <v/>
      </c>
      <c r="R118" s="29">
        <f>MAX(F118:Q118)</f>
        <v/>
      </c>
    </row>
    <row r="119">
      <c r="A119" s="20" t="inlineStr">
        <is>
          <t>0649-0009</t>
        </is>
      </c>
      <c r="B119" s="21" t="inlineStr">
        <is>
          <t>Compusoluciones y Asociados Sa de Cv</t>
        </is>
      </c>
      <c r="C119" s="21" t="inlineStr">
        <is>
          <t>Fronx Boostergreen</t>
        </is>
      </c>
      <c r="D119" s="20" t="inlineStr">
        <is>
          <t>ACTIVO</t>
        </is>
      </c>
      <c r="E119" s="22" t="n">
        <v>48</v>
      </c>
      <c r="F119" s="23">
        <f>ROUND(Saldos_Cartera_Total!F119 + Saldo_Residual_Activo!I119, 2)</f>
        <v/>
      </c>
      <c r="G119" s="23">
        <f>ROUND(Saldos_Cartera_Total!G119 + Saldo_Residual_Activo!J119, 2)</f>
        <v/>
      </c>
      <c r="H119" s="23">
        <f>ROUND(Saldos_Cartera_Total!H119 + Saldo_Residual_Activo!K119, 2)</f>
        <v/>
      </c>
      <c r="I119" s="23">
        <f>ROUND(Saldos_Cartera_Total!I119 + Saldo_Residual_Activo!L119, 2)</f>
        <v/>
      </c>
      <c r="J119" s="23">
        <f>ROUND(Saldos_Cartera_Total!J119 + Saldo_Residual_Activo!M119, 2)</f>
        <v/>
      </c>
      <c r="K119" s="23">
        <f>ROUND(Saldos_Cartera_Total!K119 + Saldo_Residual_Activo!N119, 2)</f>
        <v/>
      </c>
      <c r="L119" s="23">
        <f>ROUND(Saldos_Cartera_Total!L119 + Saldo_Residual_Activo!O119, 2)</f>
        <v/>
      </c>
      <c r="M119" s="23">
        <f>ROUND(Saldos_Cartera_Total!M119 + Saldo_Residual_Activo!P119, 2)</f>
        <v/>
      </c>
      <c r="N119" s="23">
        <f>ROUND(Saldos_Cartera_Total!N119 + Saldo_Residual_Activo!Q119, 2)</f>
        <v/>
      </c>
      <c r="O119" s="23">
        <f>ROUND(Saldos_Cartera_Total!O119 + Saldo_Residual_Activo!R119, 2)</f>
        <v/>
      </c>
      <c r="P119" s="23">
        <f>ROUND(Saldos_Cartera_Total!P119 + Saldo_Residual_Activo!S119, 2)</f>
        <v/>
      </c>
      <c r="Q119" s="23">
        <f>ROUND(Saldos_Cartera_Total!Q119 + Saldo_Residual_Activo!T119, 2)</f>
        <v/>
      </c>
      <c r="R119" s="23">
        <f>MAX(F119:Q119)</f>
        <v/>
      </c>
    </row>
    <row r="120">
      <c r="A120" s="26" t="inlineStr">
        <is>
          <t>0649-0010</t>
        </is>
      </c>
      <c r="B120" s="27" t="inlineStr">
        <is>
          <t>Compusoluciones y Asociados Sa de Cv</t>
        </is>
      </c>
      <c r="C120" s="27" t="inlineStr">
        <is>
          <t>Mazda CX90</t>
        </is>
      </c>
      <c r="D120" s="26" t="inlineStr">
        <is>
          <t>ACTIVO</t>
        </is>
      </c>
      <c r="E120" s="28" t="n">
        <v>48</v>
      </c>
      <c r="F120" s="29">
        <f>ROUND(Saldos_Cartera_Total!F120 + Saldo_Residual_Activo!I120, 2)</f>
        <v/>
      </c>
      <c r="G120" s="29">
        <f>ROUND(Saldos_Cartera_Total!G120 + Saldo_Residual_Activo!J120, 2)</f>
        <v/>
      </c>
      <c r="H120" s="29">
        <f>ROUND(Saldos_Cartera_Total!H120 + Saldo_Residual_Activo!K120, 2)</f>
        <v/>
      </c>
      <c r="I120" s="29">
        <f>ROUND(Saldos_Cartera_Total!I120 + Saldo_Residual_Activo!L120, 2)</f>
        <v/>
      </c>
      <c r="J120" s="29">
        <f>ROUND(Saldos_Cartera_Total!J120 + Saldo_Residual_Activo!M120, 2)</f>
        <v/>
      </c>
      <c r="K120" s="29">
        <f>ROUND(Saldos_Cartera_Total!K120 + Saldo_Residual_Activo!N120, 2)</f>
        <v/>
      </c>
      <c r="L120" s="29">
        <f>ROUND(Saldos_Cartera_Total!L120 + Saldo_Residual_Activo!O120, 2)</f>
        <v/>
      </c>
      <c r="M120" s="29">
        <f>ROUND(Saldos_Cartera_Total!M120 + Saldo_Residual_Activo!P120, 2)</f>
        <v/>
      </c>
      <c r="N120" s="29">
        <f>ROUND(Saldos_Cartera_Total!N120 + Saldo_Residual_Activo!Q120, 2)</f>
        <v/>
      </c>
      <c r="O120" s="29">
        <f>ROUND(Saldos_Cartera_Total!O120 + Saldo_Residual_Activo!R120, 2)</f>
        <v/>
      </c>
      <c r="P120" s="29">
        <f>ROUND(Saldos_Cartera_Total!P120 + Saldo_Residual_Activo!S120, 2)</f>
        <v/>
      </c>
      <c r="Q120" s="29">
        <f>ROUND(Saldos_Cartera_Total!Q120 + Saldo_Residual_Activo!T120, 2)</f>
        <v/>
      </c>
      <c r="R120" s="29">
        <f>MAX(F120:Q120)</f>
        <v/>
      </c>
    </row>
    <row r="121">
      <c r="A121" s="20" t="inlineStr">
        <is>
          <t>0649-0011</t>
        </is>
      </c>
      <c r="B121" s="21" t="inlineStr">
        <is>
          <t>Compusoluciones y Asociados Sa de Cv</t>
        </is>
      </c>
      <c r="C121" s="21" t="inlineStr">
        <is>
          <t>EX40</t>
        </is>
      </c>
      <c r="D121" s="20" t="inlineStr">
        <is>
          <t>ACTIVO</t>
        </is>
      </c>
      <c r="E121" s="22" t="n">
        <v>48</v>
      </c>
      <c r="F121" s="23">
        <f>ROUND(Saldos_Cartera_Total!F121 + Saldo_Residual_Activo!I121, 2)</f>
        <v/>
      </c>
      <c r="G121" s="23">
        <f>ROUND(Saldos_Cartera_Total!G121 + Saldo_Residual_Activo!J121, 2)</f>
        <v/>
      </c>
      <c r="H121" s="23">
        <f>ROUND(Saldos_Cartera_Total!H121 + Saldo_Residual_Activo!K121, 2)</f>
        <v/>
      </c>
      <c r="I121" s="23">
        <f>ROUND(Saldos_Cartera_Total!I121 + Saldo_Residual_Activo!L121, 2)</f>
        <v/>
      </c>
      <c r="J121" s="23">
        <f>ROUND(Saldos_Cartera_Total!J121 + Saldo_Residual_Activo!M121, 2)</f>
        <v/>
      </c>
      <c r="K121" s="23">
        <f>ROUND(Saldos_Cartera_Total!K121 + Saldo_Residual_Activo!N121, 2)</f>
        <v/>
      </c>
      <c r="L121" s="23">
        <f>ROUND(Saldos_Cartera_Total!L121 + Saldo_Residual_Activo!O121, 2)</f>
        <v/>
      </c>
      <c r="M121" s="23">
        <f>ROUND(Saldos_Cartera_Total!M121 + Saldo_Residual_Activo!P121, 2)</f>
        <v/>
      </c>
      <c r="N121" s="23">
        <f>ROUND(Saldos_Cartera_Total!N121 + Saldo_Residual_Activo!Q121, 2)</f>
        <v/>
      </c>
      <c r="O121" s="23">
        <f>ROUND(Saldos_Cartera_Total!O121 + Saldo_Residual_Activo!R121, 2)</f>
        <v/>
      </c>
      <c r="P121" s="23">
        <f>ROUND(Saldos_Cartera_Total!P121 + Saldo_Residual_Activo!S121, 2)</f>
        <v/>
      </c>
      <c r="Q121" s="23">
        <f>ROUND(Saldos_Cartera_Total!Q121 + Saldo_Residual_Activo!T121, 2)</f>
        <v/>
      </c>
      <c r="R121" s="23">
        <f>MAX(F121:Q121)</f>
        <v/>
      </c>
    </row>
    <row r="122">
      <c r="A122" s="26" t="inlineStr">
        <is>
          <t>0649-0012</t>
        </is>
      </c>
      <c r="B122" s="27" t="inlineStr">
        <is>
          <t>Compusoluciones y Asociados Sa de Cv</t>
        </is>
      </c>
      <c r="C122" s="27" t="inlineStr">
        <is>
          <t>Sportage</t>
        </is>
      </c>
      <c r="D122" s="26" t="inlineStr">
        <is>
          <t>ACTIVO</t>
        </is>
      </c>
      <c r="E122" s="28" t="n">
        <v>48</v>
      </c>
      <c r="F122" s="29">
        <f>ROUND(Saldos_Cartera_Total!F122 + Saldo_Residual_Activo!I122, 2)</f>
        <v/>
      </c>
      <c r="G122" s="29">
        <f>ROUND(Saldos_Cartera_Total!G122 + Saldo_Residual_Activo!J122, 2)</f>
        <v/>
      </c>
      <c r="H122" s="29">
        <f>ROUND(Saldos_Cartera_Total!H122 + Saldo_Residual_Activo!K122, 2)</f>
        <v/>
      </c>
      <c r="I122" s="29">
        <f>ROUND(Saldos_Cartera_Total!I122 + Saldo_Residual_Activo!L122, 2)</f>
        <v/>
      </c>
      <c r="J122" s="29">
        <f>ROUND(Saldos_Cartera_Total!J122 + Saldo_Residual_Activo!M122, 2)</f>
        <v/>
      </c>
      <c r="K122" s="29">
        <f>ROUND(Saldos_Cartera_Total!K122 + Saldo_Residual_Activo!N122, 2)</f>
        <v/>
      </c>
      <c r="L122" s="29">
        <f>ROUND(Saldos_Cartera_Total!L122 + Saldo_Residual_Activo!O122, 2)</f>
        <v/>
      </c>
      <c r="M122" s="29">
        <f>ROUND(Saldos_Cartera_Total!M122 + Saldo_Residual_Activo!P122, 2)</f>
        <v/>
      </c>
      <c r="N122" s="29">
        <f>ROUND(Saldos_Cartera_Total!N122 + Saldo_Residual_Activo!Q122, 2)</f>
        <v/>
      </c>
      <c r="O122" s="29">
        <f>ROUND(Saldos_Cartera_Total!O122 + Saldo_Residual_Activo!R122, 2)</f>
        <v/>
      </c>
      <c r="P122" s="29">
        <f>ROUND(Saldos_Cartera_Total!P122 + Saldo_Residual_Activo!S122, 2)</f>
        <v/>
      </c>
      <c r="Q122" s="29">
        <f>ROUND(Saldos_Cartera_Total!Q122 + Saldo_Residual_Activo!T122, 2)</f>
        <v/>
      </c>
      <c r="R122" s="29">
        <f>MAX(F122:Q122)</f>
        <v/>
      </c>
    </row>
    <row r="123">
      <c r="A123" s="20" t="inlineStr">
        <is>
          <t>0649-0013</t>
        </is>
      </c>
      <c r="B123" s="21" t="inlineStr">
        <is>
          <t>Compusoluciones y Asociados Sa de Cv</t>
        </is>
      </c>
      <c r="C123" s="21" t="inlineStr">
        <is>
          <t>Mazda Mazda 3 Hatch Back 2026</t>
        </is>
      </c>
      <c r="D123" s="20" t="inlineStr">
        <is>
          <t>ACTIVO</t>
        </is>
      </c>
      <c r="E123" s="22" t="n">
        <v>48</v>
      </c>
      <c r="F123" s="23" t="inlineStr"/>
      <c r="G123" s="23" t="inlineStr"/>
      <c r="H123" s="23" t="inlineStr"/>
      <c r="I123" s="23" t="inlineStr"/>
      <c r="J123" s="23" t="inlineStr"/>
      <c r="K123" s="23" t="inlineStr"/>
      <c r="L123" s="23">
        <f>ROUND(Saldos_Cartera_Total!L123 + Saldo_Residual_Activo!O123, 2)</f>
        <v/>
      </c>
      <c r="M123" s="23">
        <f>ROUND(Saldos_Cartera_Total!M123 + Saldo_Residual_Activo!P123, 2)</f>
        <v/>
      </c>
      <c r="N123" s="23">
        <f>ROUND(Saldos_Cartera_Total!N123 + Saldo_Residual_Activo!Q123, 2)</f>
        <v/>
      </c>
      <c r="O123" s="23">
        <f>ROUND(Saldos_Cartera_Total!O123 + Saldo_Residual_Activo!R123, 2)</f>
        <v/>
      </c>
      <c r="P123" s="23">
        <f>ROUND(Saldos_Cartera_Total!P123 + Saldo_Residual_Activo!S123, 2)</f>
        <v/>
      </c>
      <c r="Q123" s="23">
        <f>ROUND(Saldos_Cartera_Total!Q123 + Saldo_Residual_Activo!T123, 2)</f>
        <v/>
      </c>
      <c r="R123" s="23">
        <f>MAX(F123:Q123)</f>
        <v/>
      </c>
    </row>
    <row r="124">
      <c r="A124" s="26" t="inlineStr">
        <is>
          <t>0649-0014</t>
        </is>
      </c>
      <c r="B124" s="27" t="inlineStr">
        <is>
          <t>Compusoluciones y Asociados Sa de Cv</t>
        </is>
      </c>
      <c r="C124" s="27" t="inlineStr">
        <is>
          <t>Subaru Forester 2026</t>
        </is>
      </c>
      <c r="D124" s="26" t="inlineStr">
        <is>
          <t>ACTIVO</t>
        </is>
      </c>
      <c r="E124" s="28" t="n">
        <v>48</v>
      </c>
      <c r="F124" s="29" t="inlineStr"/>
      <c r="G124" s="29" t="inlineStr"/>
      <c r="H124" s="29" t="inlineStr"/>
      <c r="I124" s="29" t="inlineStr"/>
      <c r="J124" s="29" t="inlineStr"/>
      <c r="K124" s="29" t="inlineStr"/>
      <c r="L124" s="29">
        <f>ROUND(Saldos_Cartera_Total!L124 + Saldo_Residual_Activo!O124, 2)</f>
        <v/>
      </c>
      <c r="M124" s="29">
        <f>ROUND(Saldos_Cartera_Total!M124 + Saldo_Residual_Activo!P124, 2)</f>
        <v/>
      </c>
      <c r="N124" s="29">
        <f>ROUND(Saldos_Cartera_Total!N124 + Saldo_Residual_Activo!Q124, 2)</f>
        <v/>
      </c>
      <c r="O124" s="29">
        <f>ROUND(Saldos_Cartera_Total!O124 + Saldo_Residual_Activo!R124, 2)</f>
        <v/>
      </c>
      <c r="P124" s="29">
        <f>ROUND(Saldos_Cartera_Total!P124 + Saldo_Residual_Activo!S124, 2)</f>
        <v/>
      </c>
      <c r="Q124" s="29">
        <f>ROUND(Saldos_Cartera_Total!Q124 + Saldo_Residual_Activo!T124, 2)</f>
        <v/>
      </c>
      <c r="R124" s="29">
        <f>MAX(F124:Q124)</f>
        <v/>
      </c>
    </row>
    <row r="125">
      <c r="A125" s="20" t="inlineStr">
        <is>
          <t>0650-0002</t>
        </is>
      </c>
      <c r="B125" s="21" t="inlineStr">
        <is>
          <t>Creando Music</t>
        </is>
      </c>
      <c r="C125" s="21" t="inlineStr">
        <is>
          <t>3008</t>
        </is>
      </c>
      <c r="D125" s="20" t="inlineStr">
        <is>
          <t>ACTIVO</t>
        </is>
      </c>
      <c r="E125" s="22" t="n">
        <v>12</v>
      </c>
      <c r="F125" s="23">
        <f>ROUND(Saldos_Cartera_Total!F125 + Saldo_Residual_Activo!I125, 2)</f>
        <v/>
      </c>
      <c r="G125" s="23">
        <f>ROUND(Saldos_Cartera_Total!G125 + Saldo_Residual_Activo!J125, 2)</f>
        <v/>
      </c>
      <c r="H125" s="23">
        <f>ROUND(Saldos_Cartera_Total!H125 + Saldo_Residual_Activo!K125, 2)</f>
        <v/>
      </c>
      <c r="I125" s="23">
        <f>ROUND(Saldos_Cartera_Total!I125 + Saldo_Residual_Activo!L125, 2)</f>
        <v/>
      </c>
      <c r="J125" s="23">
        <f>ROUND(Saldos_Cartera_Total!J125 + Saldo_Residual_Activo!M125, 2)</f>
        <v/>
      </c>
      <c r="K125" s="23">
        <f>ROUND(Saldos_Cartera_Total!K125 + Saldo_Residual_Activo!N125, 2)</f>
        <v/>
      </c>
      <c r="L125" s="23">
        <f>ROUND(Saldos_Cartera_Total!L125 + Saldo_Residual_Activo!O125, 2)</f>
        <v/>
      </c>
      <c r="M125" s="23">
        <f>ROUND(Saldos_Cartera_Total!M125 + Saldo_Residual_Activo!P125, 2)</f>
        <v/>
      </c>
      <c r="N125" s="23">
        <f>ROUND(Saldos_Cartera_Total!N125 + Saldo_Residual_Activo!Q125, 2)</f>
        <v/>
      </c>
      <c r="O125" s="23">
        <f>ROUND(Saldos_Cartera_Total!O125 + Saldo_Residual_Activo!R125, 2)</f>
        <v/>
      </c>
      <c r="P125" s="23">
        <f>ROUND(Saldos_Cartera_Total!P125 + Saldo_Residual_Activo!S125, 2)</f>
        <v/>
      </c>
      <c r="Q125" s="23" t="inlineStr"/>
      <c r="R125" s="23">
        <f>MAX(F125:Q125)</f>
        <v/>
      </c>
    </row>
    <row r="126">
      <c r="A126" s="26" t="inlineStr">
        <is>
          <t>0651-0001</t>
        </is>
      </c>
      <c r="B126" s="27" t="inlineStr">
        <is>
          <t>Asme Sa de Cv</t>
        </is>
      </c>
      <c r="C126" s="27" t="inlineStr">
        <is>
          <t>Compass High Altitude</t>
        </is>
      </c>
      <c r="D126" s="26" t="inlineStr">
        <is>
          <t>ACTIVO</t>
        </is>
      </c>
      <c r="E126" s="28" t="n">
        <v>48</v>
      </c>
      <c r="F126" s="29">
        <f>ROUND(Saldos_Cartera_Total!F126 + Saldo_Residual_Activo!I126, 2)</f>
        <v/>
      </c>
      <c r="G126" s="29">
        <f>ROUND(Saldos_Cartera_Total!G126 + Saldo_Residual_Activo!J126, 2)</f>
        <v/>
      </c>
      <c r="H126" s="29">
        <f>ROUND(Saldos_Cartera_Total!H126 + Saldo_Residual_Activo!K126, 2)</f>
        <v/>
      </c>
      <c r="I126" s="29">
        <f>ROUND(Saldos_Cartera_Total!I126 + Saldo_Residual_Activo!L126, 2)</f>
        <v/>
      </c>
      <c r="J126" s="29">
        <f>ROUND(Saldos_Cartera_Total!J126 + Saldo_Residual_Activo!M126, 2)</f>
        <v/>
      </c>
      <c r="K126" s="29">
        <f>ROUND(Saldos_Cartera_Total!K126 + Saldo_Residual_Activo!N126, 2)</f>
        <v/>
      </c>
      <c r="L126" s="29">
        <f>ROUND(Saldos_Cartera_Total!L126 + Saldo_Residual_Activo!O126, 2)</f>
        <v/>
      </c>
      <c r="M126" s="29">
        <f>ROUND(Saldos_Cartera_Total!M126 + Saldo_Residual_Activo!P126, 2)</f>
        <v/>
      </c>
      <c r="N126" s="29">
        <f>ROUND(Saldos_Cartera_Total!N126 + Saldo_Residual_Activo!Q126, 2)</f>
        <v/>
      </c>
      <c r="O126" s="29">
        <f>ROUND(Saldos_Cartera_Total!O126 + Saldo_Residual_Activo!R126, 2)</f>
        <v/>
      </c>
      <c r="P126" s="29">
        <f>ROUND(Saldos_Cartera_Total!P126 + Saldo_Residual_Activo!S126, 2)</f>
        <v/>
      </c>
      <c r="Q126" s="29">
        <f>ROUND(Saldos_Cartera_Total!Q126 + Saldo_Residual_Activo!T126, 2)</f>
        <v/>
      </c>
      <c r="R126" s="29">
        <f>MAX(F126:Q126)</f>
        <v/>
      </c>
    </row>
    <row r="127">
      <c r="A127" s="20" t="inlineStr">
        <is>
          <t>0654-0001</t>
        </is>
      </c>
      <c r="B127" s="21" t="inlineStr">
        <is>
          <t>Veronica Orozco Larios</t>
        </is>
      </c>
      <c r="C127" s="21" t="inlineStr">
        <is>
          <t>Ram 4000</t>
        </is>
      </c>
      <c r="D127" s="20" t="inlineStr">
        <is>
          <t>ACTIVO</t>
        </is>
      </c>
      <c r="E127" s="22" t="n">
        <v>36</v>
      </c>
      <c r="F127" s="23">
        <f>ROUND(Saldos_Cartera_Total!F127 + Saldo_Residual_Activo!I127, 2)</f>
        <v/>
      </c>
      <c r="G127" s="23">
        <f>ROUND(Saldos_Cartera_Total!G127 + Saldo_Residual_Activo!J127, 2)</f>
        <v/>
      </c>
      <c r="H127" s="23">
        <f>ROUND(Saldos_Cartera_Total!H127 + Saldo_Residual_Activo!K127, 2)</f>
        <v/>
      </c>
      <c r="I127" s="23">
        <f>ROUND(Saldos_Cartera_Total!I127 + Saldo_Residual_Activo!L127, 2)</f>
        <v/>
      </c>
      <c r="J127" s="23">
        <f>ROUND(Saldos_Cartera_Total!J127 + Saldo_Residual_Activo!M127, 2)</f>
        <v/>
      </c>
      <c r="K127" s="23">
        <f>ROUND(Saldos_Cartera_Total!K127 + Saldo_Residual_Activo!N127, 2)</f>
        <v/>
      </c>
      <c r="L127" s="23">
        <f>ROUND(Saldos_Cartera_Total!L127 + Saldo_Residual_Activo!O127, 2)</f>
        <v/>
      </c>
      <c r="M127" s="23">
        <f>ROUND(Saldos_Cartera_Total!M127 + Saldo_Residual_Activo!P127, 2)</f>
        <v/>
      </c>
      <c r="N127" s="23">
        <f>ROUND(Saldos_Cartera_Total!N127 + Saldo_Residual_Activo!Q127, 2)</f>
        <v/>
      </c>
      <c r="O127" s="23">
        <f>ROUND(Saldos_Cartera_Total!O127 + Saldo_Residual_Activo!R127, 2)</f>
        <v/>
      </c>
      <c r="P127" s="23">
        <f>ROUND(Saldos_Cartera_Total!P127 + Saldo_Residual_Activo!S127, 2)</f>
        <v/>
      </c>
      <c r="Q127" s="23">
        <f>ROUND(Saldos_Cartera_Total!Q127 + Saldo_Residual_Activo!T127, 2)</f>
        <v/>
      </c>
      <c r="R127" s="23">
        <f>MAX(F127:Q127)</f>
        <v/>
      </c>
    </row>
    <row r="128">
      <c r="A128" s="26" t="inlineStr">
        <is>
          <t>0655-0001</t>
        </is>
      </c>
      <c r="B128" s="27" t="inlineStr">
        <is>
          <t>Viñedos de la Rivera Sur de Chapala S de Rl de Cv</t>
        </is>
      </c>
      <c r="C128" s="27" t="inlineStr">
        <is>
          <t>Ram 2500 HEMI</t>
        </is>
      </c>
      <c r="D128" s="26" t="inlineStr">
        <is>
          <t>ACTIVO</t>
        </is>
      </c>
      <c r="E128" s="28" t="n">
        <v>36</v>
      </c>
      <c r="F128" s="29">
        <f>ROUND(Saldos_Cartera_Total!F128 + Saldo_Residual_Activo!I128, 2)</f>
        <v/>
      </c>
      <c r="G128" s="29">
        <f>ROUND(Saldos_Cartera_Total!G128 + Saldo_Residual_Activo!J128, 2)</f>
        <v/>
      </c>
      <c r="H128" s="29">
        <f>ROUND(Saldos_Cartera_Total!H128 + Saldo_Residual_Activo!K128, 2)</f>
        <v/>
      </c>
      <c r="I128" s="29">
        <f>ROUND(Saldos_Cartera_Total!I128 + Saldo_Residual_Activo!L128, 2)</f>
        <v/>
      </c>
      <c r="J128" s="29">
        <f>ROUND(Saldos_Cartera_Total!J128 + Saldo_Residual_Activo!M128, 2)</f>
        <v/>
      </c>
      <c r="K128" s="29">
        <f>ROUND(Saldos_Cartera_Total!K128 + Saldo_Residual_Activo!N128, 2)</f>
        <v/>
      </c>
      <c r="L128" s="29">
        <f>ROUND(Saldos_Cartera_Total!L128 + Saldo_Residual_Activo!O128, 2)</f>
        <v/>
      </c>
      <c r="M128" s="29">
        <f>ROUND(Saldos_Cartera_Total!M128 + Saldo_Residual_Activo!P128, 2)</f>
        <v/>
      </c>
      <c r="N128" s="29">
        <f>ROUND(Saldos_Cartera_Total!N128 + Saldo_Residual_Activo!Q128, 2)</f>
        <v/>
      </c>
      <c r="O128" s="29">
        <f>ROUND(Saldos_Cartera_Total!O128 + Saldo_Residual_Activo!R128, 2)</f>
        <v/>
      </c>
      <c r="P128" s="29">
        <f>ROUND(Saldos_Cartera_Total!P128 + Saldo_Residual_Activo!S128, 2)</f>
        <v/>
      </c>
      <c r="Q128" s="29">
        <f>ROUND(Saldos_Cartera_Total!Q128 + Saldo_Residual_Activo!T128, 2)</f>
        <v/>
      </c>
      <c r="R128" s="29">
        <f>MAX(F128:Q128)</f>
        <v/>
      </c>
    </row>
    <row r="129">
      <c r="A129" s="20" t="inlineStr">
        <is>
          <t>0658-0001</t>
        </is>
      </c>
      <c r="B129" s="21" t="inlineStr">
        <is>
          <t>Esteban Polanco Navarro</t>
        </is>
      </c>
      <c r="C129" s="21" t="inlineStr">
        <is>
          <t>RAM 1500 Long Horn</t>
        </is>
      </c>
      <c r="D129" s="20" t="inlineStr">
        <is>
          <t>ACTIVO</t>
        </is>
      </c>
      <c r="E129" s="22" t="n">
        <v>48</v>
      </c>
      <c r="F129" s="23">
        <f>ROUND(Saldos_Cartera_Total!F129 + Saldo_Residual_Activo!I129, 2)</f>
        <v/>
      </c>
      <c r="G129" s="23">
        <f>ROUND(Saldos_Cartera_Total!G129 + Saldo_Residual_Activo!J129, 2)</f>
        <v/>
      </c>
      <c r="H129" s="23">
        <f>ROUND(Saldos_Cartera_Total!H129 + Saldo_Residual_Activo!K129, 2)</f>
        <v/>
      </c>
      <c r="I129" s="23">
        <f>ROUND(Saldos_Cartera_Total!I129 + Saldo_Residual_Activo!L129, 2)</f>
        <v/>
      </c>
      <c r="J129" s="23">
        <f>ROUND(Saldos_Cartera_Total!J129 + Saldo_Residual_Activo!M129, 2)</f>
        <v/>
      </c>
      <c r="K129" s="23">
        <f>ROUND(Saldos_Cartera_Total!K129 + Saldo_Residual_Activo!N129, 2)</f>
        <v/>
      </c>
      <c r="L129" s="23">
        <f>ROUND(Saldos_Cartera_Total!L129 + Saldo_Residual_Activo!O129, 2)</f>
        <v/>
      </c>
      <c r="M129" s="23">
        <f>ROUND(Saldos_Cartera_Total!M129 + Saldo_Residual_Activo!P129, 2)</f>
        <v/>
      </c>
      <c r="N129" s="23">
        <f>ROUND(Saldos_Cartera_Total!N129 + Saldo_Residual_Activo!Q129, 2)</f>
        <v/>
      </c>
      <c r="O129" s="23">
        <f>ROUND(Saldos_Cartera_Total!O129 + Saldo_Residual_Activo!R129, 2)</f>
        <v/>
      </c>
      <c r="P129" s="23">
        <f>ROUND(Saldos_Cartera_Total!P129 + Saldo_Residual_Activo!S129, 2)</f>
        <v/>
      </c>
      <c r="Q129" s="23">
        <f>ROUND(Saldos_Cartera_Total!Q129 + Saldo_Residual_Activo!T129, 2)</f>
        <v/>
      </c>
      <c r="R129" s="23">
        <f>MAX(F129:Q129)</f>
        <v/>
      </c>
    </row>
    <row r="130">
      <c r="A130" s="26" t="inlineStr">
        <is>
          <t>0660-0001</t>
        </is>
      </c>
      <c r="B130" s="27" t="inlineStr">
        <is>
          <t>Big Buck Capital sc</t>
        </is>
      </c>
      <c r="C130" s="27" t="inlineStr">
        <is>
          <t>MG 5</t>
        </is>
      </c>
      <c r="D130" s="26" t="inlineStr">
        <is>
          <t>ACTIVO</t>
        </is>
      </c>
      <c r="E130" s="28" t="n">
        <v>48</v>
      </c>
      <c r="F130" s="29">
        <f>ROUND(Saldos_Cartera_Total!F130 + Saldo_Residual_Activo!I130, 2)</f>
        <v/>
      </c>
      <c r="G130" s="29">
        <f>ROUND(Saldos_Cartera_Total!G130 + Saldo_Residual_Activo!J130, 2)</f>
        <v/>
      </c>
      <c r="H130" s="29">
        <f>ROUND(Saldos_Cartera_Total!H130 + Saldo_Residual_Activo!K130, 2)</f>
        <v/>
      </c>
      <c r="I130" s="29">
        <f>ROUND(Saldos_Cartera_Total!I130 + Saldo_Residual_Activo!L130, 2)</f>
        <v/>
      </c>
      <c r="J130" s="29">
        <f>ROUND(Saldos_Cartera_Total!J130 + Saldo_Residual_Activo!M130, 2)</f>
        <v/>
      </c>
      <c r="K130" s="29">
        <f>ROUND(Saldos_Cartera_Total!K130 + Saldo_Residual_Activo!N130, 2)</f>
        <v/>
      </c>
      <c r="L130" s="29">
        <f>ROUND(Saldos_Cartera_Total!L130 + Saldo_Residual_Activo!O130, 2)</f>
        <v/>
      </c>
      <c r="M130" s="29">
        <f>ROUND(Saldos_Cartera_Total!M130 + Saldo_Residual_Activo!P130, 2)</f>
        <v/>
      </c>
      <c r="N130" s="29">
        <f>ROUND(Saldos_Cartera_Total!N130 + Saldo_Residual_Activo!Q130, 2)</f>
        <v/>
      </c>
      <c r="O130" s="29">
        <f>ROUND(Saldos_Cartera_Total!O130 + Saldo_Residual_Activo!R130, 2)</f>
        <v/>
      </c>
      <c r="P130" s="29">
        <f>ROUND(Saldos_Cartera_Total!P130 + Saldo_Residual_Activo!S130, 2)</f>
        <v/>
      </c>
      <c r="Q130" s="29">
        <f>ROUND(Saldos_Cartera_Total!Q130 + Saldo_Residual_Activo!T130, 2)</f>
        <v/>
      </c>
      <c r="R130" s="29">
        <f>MAX(F130:Q130)</f>
        <v/>
      </c>
    </row>
    <row r="131">
      <c r="A131" s="20" t="inlineStr">
        <is>
          <t>0660-0002</t>
        </is>
      </c>
      <c r="B131" s="21" t="inlineStr">
        <is>
          <t>Big Buck Capital Sc</t>
        </is>
      </c>
      <c r="C131" s="21" t="inlineStr">
        <is>
          <t>Sienna</t>
        </is>
      </c>
      <c r="D131" s="20" t="inlineStr">
        <is>
          <t>ACTIVO</t>
        </is>
      </c>
      <c r="E131" s="22" t="n">
        <v>48</v>
      </c>
      <c r="F131" s="23">
        <f>ROUND(Saldos_Cartera_Total!F131 + Saldo_Residual_Activo!I131, 2)</f>
        <v/>
      </c>
      <c r="G131" s="23">
        <f>ROUND(Saldos_Cartera_Total!G131 + Saldo_Residual_Activo!J131, 2)</f>
        <v/>
      </c>
      <c r="H131" s="23">
        <f>ROUND(Saldos_Cartera_Total!H131 + Saldo_Residual_Activo!K131, 2)</f>
        <v/>
      </c>
      <c r="I131" s="23">
        <f>ROUND(Saldos_Cartera_Total!I131 + Saldo_Residual_Activo!L131, 2)</f>
        <v/>
      </c>
      <c r="J131" s="23">
        <f>ROUND(Saldos_Cartera_Total!J131 + Saldo_Residual_Activo!M131, 2)</f>
        <v/>
      </c>
      <c r="K131" s="23">
        <f>ROUND(Saldos_Cartera_Total!K131 + Saldo_Residual_Activo!N131, 2)</f>
        <v/>
      </c>
      <c r="L131" s="23">
        <f>ROUND(Saldos_Cartera_Total!L131 + Saldo_Residual_Activo!O131, 2)</f>
        <v/>
      </c>
      <c r="M131" s="23">
        <f>ROUND(Saldos_Cartera_Total!M131 + Saldo_Residual_Activo!P131, 2)</f>
        <v/>
      </c>
      <c r="N131" s="23">
        <f>ROUND(Saldos_Cartera_Total!N131 + Saldo_Residual_Activo!Q131, 2)</f>
        <v/>
      </c>
      <c r="O131" s="23">
        <f>ROUND(Saldos_Cartera_Total!O131 + Saldo_Residual_Activo!R131, 2)</f>
        <v/>
      </c>
      <c r="P131" s="23">
        <f>ROUND(Saldos_Cartera_Total!P131 + Saldo_Residual_Activo!S131, 2)</f>
        <v/>
      </c>
      <c r="Q131" s="23">
        <f>ROUND(Saldos_Cartera_Total!Q131 + Saldo_Residual_Activo!T131, 2)</f>
        <v/>
      </c>
      <c r="R131" s="23">
        <f>MAX(F131:Q131)</f>
        <v/>
      </c>
    </row>
    <row r="132">
      <c r="A132" s="26" t="inlineStr">
        <is>
          <t>0661-0001</t>
        </is>
      </c>
      <c r="B132" s="27" t="inlineStr">
        <is>
          <t>Veta Vertical Home Sa de Cv</t>
        </is>
      </c>
      <c r="C132" s="27" t="inlineStr">
        <is>
          <t>3008 Allure Pack</t>
        </is>
      </c>
      <c r="D132" s="26" t="inlineStr">
        <is>
          <t>ACTIVO</t>
        </is>
      </c>
      <c r="E132" s="28" t="n">
        <v>48</v>
      </c>
      <c r="F132" s="29">
        <f>ROUND(Saldos_Cartera_Total!F132 + Saldo_Residual_Activo!I132, 2)</f>
        <v/>
      </c>
      <c r="G132" s="29">
        <f>ROUND(Saldos_Cartera_Total!G132 + Saldo_Residual_Activo!J132, 2)</f>
        <v/>
      </c>
      <c r="H132" s="29">
        <f>ROUND(Saldos_Cartera_Total!H132 + Saldo_Residual_Activo!K132, 2)</f>
        <v/>
      </c>
      <c r="I132" s="29">
        <f>ROUND(Saldos_Cartera_Total!I132 + Saldo_Residual_Activo!L132, 2)</f>
        <v/>
      </c>
      <c r="J132" s="29">
        <f>ROUND(Saldos_Cartera_Total!J132 + Saldo_Residual_Activo!M132, 2)</f>
        <v/>
      </c>
      <c r="K132" s="29">
        <f>ROUND(Saldos_Cartera_Total!K132 + Saldo_Residual_Activo!N132, 2)</f>
        <v/>
      </c>
      <c r="L132" s="29">
        <f>ROUND(Saldos_Cartera_Total!L132 + Saldo_Residual_Activo!O132, 2)</f>
        <v/>
      </c>
      <c r="M132" s="29">
        <f>ROUND(Saldos_Cartera_Total!M132 + Saldo_Residual_Activo!P132, 2)</f>
        <v/>
      </c>
      <c r="N132" s="29">
        <f>ROUND(Saldos_Cartera_Total!N132 + Saldo_Residual_Activo!Q132, 2)</f>
        <v/>
      </c>
      <c r="O132" s="29">
        <f>ROUND(Saldos_Cartera_Total!O132 + Saldo_Residual_Activo!R132, 2)</f>
        <v/>
      </c>
      <c r="P132" s="29">
        <f>ROUND(Saldos_Cartera_Total!P132 + Saldo_Residual_Activo!S132, 2)</f>
        <v/>
      </c>
      <c r="Q132" s="29">
        <f>ROUND(Saldos_Cartera_Total!Q132 + Saldo_Residual_Activo!T132, 2)</f>
        <v/>
      </c>
      <c r="R132" s="29">
        <f>MAX(F132:Q132)</f>
        <v/>
      </c>
    </row>
    <row r="133">
      <c r="A133" s="20" t="inlineStr">
        <is>
          <t>0662-0001</t>
        </is>
      </c>
      <c r="B133" s="21" t="inlineStr">
        <is>
          <t>Luis Jorge de Loera Perez</t>
        </is>
      </c>
      <c r="C133" s="21" t="inlineStr">
        <is>
          <t>L200 GLX Diesel</t>
        </is>
      </c>
      <c r="D133" s="20" t="inlineStr">
        <is>
          <t>ACTIVO</t>
        </is>
      </c>
      <c r="E133" s="22" t="n">
        <v>48</v>
      </c>
      <c r="F133" s="23">
        <f>ROUND(Saldos_Cartera_Total!F133 + Saldo_Residual_Activo!I133, 2)</f>
        <v/>
      </c>
      <c r="G133" s="23">
        <f>ROUND(Saldos_Cartera_Total!G133 + Saldo_Residual_Activo!J133, 2)</f>
        <v/>
      </c>
      <c r="H133" s="23">
        <f>ROUND(Saldos_Cartera_Total!H133 + Saldo_Residual_Activo!K133, 2)</f>
        <v/>
      </c>
      <c r="I133" s="23">
        <f>ROUND(Saldos_Cartera_Total!I133 + Saldo_Residual_Activo!L133, 2)</f>
        <v/>
      </c>
      <c r="J133" s="23">
        <f>ROUND(Saldos_Cartera_Total!J133 + Saldo_Residual_Activo!M133, 2)</f>
        <v/>
      </c>
      <c r="K133" s="23">
        <f>ROUND(Saldos_Cartera_Total!K133 + Saldo_Residual_Activo!N133, 2)</f>
        <v/>
      </c>
      <c r="L133" s="23">
        <f>ROUND(Saldos_Cartera_Total!L133 + Saldo_Residual_Activo!O133, 2)</f>
        <v/>
      </c>
      <c r="M133" s="23">
        <f>ROUND(Saldos_Cartera_Total!M133 + Saldo_Residual_Activo!P133, 2)</f>
        <v/>
      </c>
      <c r="N133" s="23">
        <f>ROUND(Saldos_Cartera_Total!N133 + Saldo_Residual_Activo!Q133, 2)</f>
        <v/>
      </c>
      <c r="O133" s="23">
        <f>ROUND(Saldos_Cartera_Total!O133 + Saldo_Residual_Activo!R133, 2)</f>
        <v/>
      </c>
      <c r="P133" s="23">
        <f>ROUND(Saldos_Cartera_Total!P133 + Saldo_Residual_Activo!S133, 2)</f>
        <v/>
      </c>
      <c r="Q133" s="23">
        <f>ROUND(Saldos_Cartera_Total!Q133 + Saldo_Residual_Activo!T133, 2)</f>
        <v/>
      </c>
      <c r="R133" s="23">
        <f>MAX(F133:Q133)</f>
        <v/>
      </c>
    </row>
    <row r="134">
      <c r="A134" s="26" t="inlineStr">
        <is>
          <t>0662-0002</t>
        </is>
      </c>
      <c r="B134" s="27" t="inlineStr">
        <is>
          <t>Luis Jorge De Loera Perez</t>
        </is>
      </c>
      <c r="C134" s="27" t="inlineStr">
        <is>
          <t>NP 300</t>
        </is>
      </c>
      <c r="D134" s="26" t="inlineStr">
        <is>
          <t>ACTIVO</t>
        </is>
      </c>
      <c r="E134" s="28" t="n">
        <v>48</v>
      </c>
      <c r="F134" s="29">
        <f>ROUND(Saldos_Cartera_Total!F134 + Saldo_Residual_Activo!I134, 2)</f>
        <v/>
      </c>
      <c r="G134" s="29">
        <f>ROUND(Saldos_Cartera_Total!G134 + Saldo_Residual_Activo!J134, 2)</f>
        <v/>
      </c>
      <c r="H134" s="29">
        <f>ROUND(Saldos_Cartera_Total!H134 + Saldo_Residual_Activo!K134, 2)</f>
        <v/>
      </c>
      <c r="I134" s="29">
        <f>ROUND(Saldos_Cartera_Total!I134 + Saldo_Residual_Activo!L134, 2)</f>
        <v/>
      </c>
      <c r="J134" s="29">
        <f>ROUND(Saldos_Cartera_Total!J134 + Saldo_Residual_Activo!M134, 2)</f>
        <v/>
      </c>
      <c r="K134" s="29">
        <f>ROUND(Saldos_Cartera_Total!K134 + Saldo_Residual_Activo!N134, 2)</f>
        <v/>
      </c>
      <c r="L134" s="29">
        <f>ROUND(Saldos_Cartera_Total!L134 + Saldo_Residual_Activo!O134, 2)</f>
        <v/>
      </c>
      <c r="M134" s="29">
        <f>ROUND(Saldos_Cartera_Total!M134 + Saldo_Residual_Activo!P134, 2)</f>
        <v/>
      </c>
      <c r="N134" s="29">
        <f>ROUND(Saldos_Cartera_Total!N134 + Saldo_Residual_Activo!Q134, 2)</f>
        <v/>
      </c>
      <c r="O134" s="29">
        <f>ROUND(Saldos_Cartera_Total!O134 + Saldo_Residual_Activo!R134, 2)</f>
        <v/>
      </c>
      <c r="P134" s="29">
        <f>ROUND(Saldos_Cartera_Total!P134 + Saldo_Residual_Activo!S134, 2)</f>
        <v/>
      </c>
      <c r="Q134" s="29">
        <f>ROUND(Saldos_Cartera_Total!Q134 + Saldo_Residual_Activo!T134, 2)</f>
        <v/>
      </c>
      <c r="R134" s="29">
        <f>MAX(F134:Q134)</f>
        <v/>
      </c>
    </row>
    <row r="135">
      <c r="A135" s="20" t="inlineStr">
        <is>
          <t>0662-0003</t>
        </is>
      </c>
      <c r="B135" s="21" t="inlineStr">
        <is>
          <t>Luis Jorge De Loera Perez</t>
        </is>
      </c>
      <c r="C135" s="21" t="inlineStr">
        <is>
          <t>Rav 4</t>
        </is>
      </c>
      <c r="D135" s="20" t="inlineStr">
        <is>
          <t>ACTIVO</t>
        </is>
      </c>
      <c r="E135" s="22" t="n">
        <v>48</v>
      </c>
      <c r="F135" s="23">
        <f>ROUND(Saldos_Cartera_Total!F135 + Saldo_Residual_Activo!I135, 2)</f>
        <v/>
      </c>
      <c r="G135" s="23">
        <f>ROUND(Saldos_Cartera_Total!G135 + Saldo_Residual_Activo!J135, 2)</f>
        <v/>
      </c>
      <c r="H135" s="23">
        <f>ROUND(Saldos_Cartera_Total!H135 + Saldo_Residual_Activo!K135, 2)</f>
        <v/>
      </c>
      <c r="I135" s="23">
        <f>ROUND(Saldos_Cartera_Total!I135 + Saldo_Residual_Activo!L135, 2)</f>
        <v/>
      </c>
      <c r="J135" s="23">
        <f>ROUND(Saldos_Cartera_Total!J135 + Saldo_Residual_Activo!M135, 2)</f>
        <v/>
      </c>
      <c r="K135" s="23">
        <f>ROUND(Saldos_Cartera_Total!K135 + Saldo_Residual_Activo!N135, 2)</f>
        <v/>
      </c>
      <c r="L135" s="23">
        <f>ROUND(Saldos_Cartera_Total!L135 + Saldo_Residual_Activo!O135, 2)</f>
        <v/>
      </c>
      <c r="M135" s="23">
        <f>ROUND(Saldos_Cartera_Total!M135 + Saldo_Residual_Activo!P135, 2)</f>
        <v/>
      </c>
      <c r="N135" s="23">
        <f>ROUND(Saldos_Cartera_Total!N135 + Saldo_Residual_Activo!Q135, 2)</f>
        <v/>
      </c>
      <c r="O135" s="23">
        <f>ROUND(Saldos_Cartera_Total!O135 + Saldo_Residual_Activo!R135, 2)</f>
        <v/>
      </c>
      <c r="P135" s="23">
        <f>ROUND(Saldos_Cartera_Total!P135 + Saldo_Residual_Activo!S135, 2)</f>
        <v/>
      </c>
      <c r="Q135" s="23">
        <f>ROUND(Saldos_Cartera_Total!Q135 + Saldo_Residual_Activo!T135, 2)</f>
        <v/>
      </c>
      <c r="R135" s="23">
        <f>MAX(F135:Q135)</f>
        <v/>
      </c>
    </row>
    <row r="136">
      <c r="A136" s="26" t="inlineStr">
        <is>
          <t>0663-0001</t>
        </is>
      </c>
      <c r="B136" s="27" t="inlineStr">
        <is>
          <t>Soluciones de Transporte de Carga B de Sa de Cv</t>
        </is>
      </c>
      <c r="C136" s="27" t="inlineStr">
        <is>
          <t>L200 GLX Diesel</t>
        </is>
      </c>
      <c r="D136" s="26" t="inlineStr">
        <is>
          <t>ACTIVO</t>
        </is>
      </c>
      <c r="E136" s="28" t="n">
        <v>48</v>
      </c>
      <c r="F136" s="29">
        <f>ROUND(Saldos_Cartera_Total!F136 + Saldo_Residual_Activo!I136, 2)</f>
        <v/>
      </c>
      <c r="G136" s="29">
        <f>ROUND(Saldos_Cartera_Total!G136 + Saldo_Residual_Activo!J136, 2)</f>
        <v/>
      </c>
      <c r="H136" s="29">
        <f>ROUND(Saldos_Cartera_Total!H136 + Saldo_Residual_Activo!K136, 2)</f>
        <v/>
      </c>
      <c r="I136" s="29">
        <f>ROUND(Saldos_Cartera_Total!I136 + Saldo_Residual_Activo!L136, 2)</f>
        <v/>
      </c>
      <c r="J136" s="29">
        <f>ROUND(Saldos_Cartera_Total!J136 + Saldo_Residual_Activo!M136, 2)</f>
        <v/>
      </c>
      <c r="K136" s="29">
        <f>ROUND(Saldos_Cartera_Total!K136 + Saldo_Residual_Activo!N136, 2)</f>
        <v/>
      </c>
      <c r="L136" s="29">
        <f>ROUND(Saldos_Cartera_Total!L136 + Saldo_Residual_Activo!O136, 2)</f>
        <v/>
      </c>
      <c r="M136" s="29">
        <f>ROUND(Saldos_Cartera_Total!M136 + Saldo_Residual_Activo!P136, 2)</f>
        <v/>
      </c>
      <c r="N136" s="29">
        <f>ROUND(Saldos_Cartera_Total!N136 + Saldo_Residual_Activo!Q136, 2)</f>
        <v/>
      </c>
      <c r="O136" s="29">
        <f>ROUND(Saldos_Cartera_Total!O136 + Saldo_Residual_Activo!R136, 2)</f>
        <v/>
      </c>
      <c r="P136" s="29">
        <f>ROUND(Saldos_Cartera_Total!P136 + Saldo_Residual_Activo!S136, 2)</f>
        <v/>
      </c>
      <c r="Q136" s="29">
        <f>ROUND(Saldos_Cartera_Total!Q136 + Saldo_Residual_Activo!T136, 2)</f>
        <v/>
      </c>
      <c r="R136" s="29">
        <f>MAX(F136:Q136)</f>
        <v/>
      </c>
    </row>
    <row r="137">
      <c r="A137" s="20" t="inlineStr">
        <is>
          <t>0663-0002</t>
        </is>
      </c>
      <c r="B137" s="21" t="inlineStr">
        <is>
          <t>Diego Hazael Morales Iñiguez</t>
        </is>
      </c>
      <c r="C137" s="21" t="inlineStr">
        <is>
          <t>Wrangler Rubicon</t>
        </is>
      </c>
      <c r="D137" s="20" t="inlineStr">
        <is>
          <t>ACTIVO</t>
        </is>
      </c>
      <c r="E137" s="22" t="n">
        <v>48</v>
      </c>
      <c r="F137" s="23">
        <f>ROUND(Saldos_Cartera_Total!F137 + Saldo_Residual_Activo!I137, 2)</f>
        <v/>
      </c>
      <c r="G137" s="23">
        <f>ROUND(Saldos_Cartera_Total!G137 + Saldo_Residual_Activo!J137, 2)</f>
        <v/>
      </c>
      <c r="H137" s="23">
        <f>ROUND(Saldos_Cartera_Total!H137 + Saldo_Residual_Activo!K137, 2)</f>
        <v/>
      </c>
      <c r="I137" s="23">
        <f>ROUND(Saldos_Cartera_Total!I137 + Saldo_Residual_Activo!L137, 2)</f>
        <v/>
      </c>
      <c r="J137" s="23">
        <f>ROUND(Saldos_Cartera_Total!J137 + Saldo_Residual_Activo!M137, 2)</f>
        <v/>
      </c>
      <c r="K137" s="23">
        <f>ROUND(Saldos_Cartera_Total!K137 + Saldo_Residual_Activo!N137, 2)</f>
        <v/>
      </c>
      <c r="L137" s="23">
        <f>ROUND(Saldos_Cartera_Total!L137 + Saldo_Residual_Activo!O137, 2)</f>
        <v/>
      </c>
      <c r="M137" s="23">
        <f>ROUND(Saldos_Cartera_Total!M137 + Saldo_Residual_Activo!P137, 2)</f>
        <v/>
      </c>
      <c r="N137" s="23">
        <f>ROUND(Saldos_Cartera_Total!N137 + Saldo_Residual_Activo!Q137, 2)</f>
        <v/>
      </c>
      <c r="O137" s="23">
        <f>ROUND(Saldos_Cartera_Total!O137 + Saldo_Residual_Activo!R137, 2)</f>
        <v/>
      </c>
      <c r="P137" s="23">
        <f>ROUND(Saldos_Cartera_Total!P137 + Saldo_Residual_Activo!S137, 2)</f>
        <v/>
      </c>
      <c r="Q137" s="23">
        <f>ROUND(Saldos_Cartera_Total!Q137 + Saldo_Residual_Activo!T137, 2)</f>
        <v/>
      </c>
      <c r="R137" s="23">
        <f>MAX(F137:Q137)</f>
        <v/>
      </c>
    </row>
    <row r="138">
      <c r="A138" s="26" t="inlineStr">
        <is>
          <t>0665-0001</t>
        </is>
      </c>
      <c r="B138" s="27" t="inlineStr">
        <is>
          <t>Dulce Guadalupe Amezcua Gomez</t>
        </is>
      </c>
      <c r="C138" s="27" t="inlineStr">
        <is>
          <t>Wrangler Jt</t>
        </is>
      </c>
      <c r="D138" s="26" t="inlineStr">
        <is>
          <t>ACTIVO</t>
        </is>
      </c>
      <c r="E138" s="28" t="n">
        <v>48</v>
      </c>
      <c r="F138" s="29">
        <f>ROUND(Saldos_Cartera_Total!F138 + Saldo_Residual_Activo!I138, 2)</f>
        <v/>
      </c>
      <c r="G138" s="29">
        <f>ROUND(Saldos_Cartera_Total!G138 + Saldo_Residual_Activo!J138, 2)</f>
        <v/>
      </c>
      <c r="H138" s="29">
        <f>ROUND(Saldos_Cartera_Total!H138 + Saldo_Residual_Activo!K138, 2)</f>
        <v/>
      </c>
      <c r="I138" s="29">
        <f>ROUND(Saldos_Cartera_Total!I138 + Saldo_Residual_Activo!L138, 2)</f>
        <v/>
      </c>
      <c r="J138" s="29">
        <f>ROUND(Saldos_Cartera_Total!J138 + Saldo_Residual_Activo!M138, 2)</f>
        <v/>
      </c>
      <c r="K138" s="29">
        <f>ROUND(Saldos_Cartera_Total!K138 + Saldo_Residual_Activo!N138, 2)</f>
        <v/>
      </c>
      <c r="L138" s="29">
        <f>ROUND(Saldos_Cartera_Total!L138 + Saldo_Residual_Activo!O138, 2)</f>
        <v/>
      </c>
      <c r="M138" s="29">
        <f>ROUND(Saldos_Cartera_Total!M138 + Saldo_Residual_Activo!P138, 2)</f>
        <v/>
      </c>
      <c r="N138" s="29">
        <f>ROUND(Saldos_Cartera_Total!N138 + Saldo_Residual_Activo!Q138, 2)</f>
        <v/>
      </c>
      <c r="O138" s="29">
        <f>ROUND(Saldos_Cartera_Total!O138 + Saldo_Residual_Activo!R138, 2)</f>
        <v/>
      </c>
      <c r="P138" s="29">
        <f>ROUND(Saldos_Cartera_Total!P138 + Saldo_Residual_Activo!S138, 2)</f>
        <v/>
      </c>
      <c r="Q138" s="29">
        <f>ROUND(Saldos_Cartera_Total!Q138 + Saldo_Residual_Activo!T138, 2)</f>
        <v/>
      </c>
      <c r="R138" s="29">
        <f>MAX(F138:Q138)</f>
        <v/>
      </c>
    </row>
    <row r="139">
      <c r="A139" s="20" t="inlineStr">
        <is>
          <t>0666-0003</t>
        </is>
      </c>
      <c r="B139" s="21" t="inlineStr">
        <is>
          <t>Jaime Adrian Muñiz Ramirez</t>
        </is>
      </c>
      <c r="C139" s="21" t="inlineStr">
        <is>
          <t>Wrangler Phev</t>
        </is>
      </c>
      <c r="D139" s="20" t="inlineStr">
        <is>
          <t>ACTIVO</t>
        </is>
      </c>
      <c r="E139" s="22" t="n">
        <v>36</v>
      </c>
      <c r="F139" s="23">
        <f>ROUND(Saldos_Cartera_Total!F139 + Saldo_Residual_Activo!I139, 2)</f>
        <v/>
      </c>
      <c r="G139" s="23">
        <f>ROUND(Saldos_Cartera_Total!G139 + Saldo_Residual_Activo!J139, 2)</f>
        <v/>
      </c>
      <c r="H139" s="23">
        <f>ROUND(Saldos_Cartera_Total!H139 + Saldo_Residual_Activo!K139, 2)</f>
        <v/>
      </c>
      <c r="I139" s="23">
        <f>ROUND(Saldos_Cartera_Total!I139 + Saldo_Residual_Activo!L139, 2)</f>
        <v/>
      </c>
      <c r="J139" s="23">
        <f>ROUND(Saldos_Cartera_Total!J139 + Saldo_Residual_Activo!M139, 2)</f>
        <v/>
      </c>
      <c r="K139" s="23">
        <f>ROUND(Saldos_Cartera_Total!K139 + Saldo_Residual_Activo!N139, 2)</f>
        <v/>
      </c>
      <c r="L139" s="23">
        <f>ROUND(Saldos_Cartera_Total!L139 + Saldo_Residual_Activo!O139, 2)</f>
        <v/>
      </c>
      <c r="M139" s="23">
        <f>ROUND(Saldos_Cartera_Total!M139 + Saldo_Residual_Activo!P139, 2)</f>
        <v/>
      </c>
      <c r="N139" s="23">
        <f>ROUND(Saldos_Cartera_Total!N139 + Saldo_Residual_Activo!Q139, 2)</f>
        <v/>
      </c>
      <c r="O139" s="23">
        <f>ROUND(Saldos_Cartera_Total!O139 + Saldo_Residual_Activo!R139, 2)</f>
        <v/>
      </c>
      <c r="P139" s="23">
        <f>ROUND(Saldos_Cartera_Total!P139 + Saldo_Residual_Activo!S139, 2)</f>
        <v/>
      </c>
      <c r="Q139" s="23">
        <f>ROUND(Saldos_Cartera_Total!Q139 + Saldo_Residual_Activo!T139, 2)</f>
        <v/>
      </c>
      <c r="R139" s="23">
        <f>MAX(F139:Q139)</f>
        <v/>
      </c>
    </row>
    <row r="140">
      <c r="A140" s="26" t="inlineStr">
        <is>
          <t>0668-0005</t>
        </is>
      </c>
      <c r="B140" s="27" t="inlineStr">
        <is>
          <t>Jorge Alonso Alvarez Garcia</t>
        </is>
      </c>
      <c r="C140" s="27" t="inlineStr">
        <is>
          <t>RAM 700 BIGHORN "S" CREW CAB CVT</t>
        </is>
      </c>
      <c r="D140" s="26" t="inlineStr">
        <is>
          <t>ACTIVO</t>
        </is>
      </c>
      <c r="E140" s="28" t="n">
        <v>12</v>
      </c>
      <c r="F140" s="29" t="inlineStr"/>
      <c r="G140" s="29" t="inlineStr"/>
      <c r="H140" s="29">
        <f>ROUND(Saldos_Cartera_Total!H140 + Saldo_Residual_Activo!K140, 2)</f>
        <v/>
      </c>
      <c r="I140" s="29">
        <f>ROUND(Saldos_Cartera_Total!I140 + Saldo_Residual_Activo!L140, 2)</f>
        <v/>
      </c>
      <c r="J140" s="29">
        <f>ROUND(Saldos_Cartera_Total!J140 + Saldo_Residual_Activo!M140, 2)</f>
        <v/>
      </c>
      <c r="K140" s="29">
        <f>ROUND(Saldos_Cartera_Total!K140 + Saldo_Residual_Activo!N140, 2)</f>
        <v/>
      </c>
      <c r="L140" s="29">
        <f>ROUND(Saldos_Cartera_Total!L140 + Saldo_Residual_Activo!O140, 2)</f>
        <v/>
      </c>
      <c r="M140" s="29">
        <f>ROUND(Saldos_Cartera_Total!M140 + Saldo_Residual_Activo!P140, 2)</f>
        <v/>
      </c>
      <c r="N140" s="29">
        <f>ROUND(Saldos_Cartera_Total!N140 + Saldo_Residual_Activo!Q140, 2)</f>
        <v/>
      </c>
      <c r="O140" s="29">
        <f>ROUND(Saldos_Cartera_Total!O140 + Saldo_Residual_Activo!R140, 2)</f>
        <v/>
      </c>
      <c r="P140" s="29">
        <f>ROUND(Saldos_Cartera_Total!P140 + Saldo_Residual_Activo!S140, 2)</f>
        <v/>
      </c>
      <c r="Q140" s="29">
        <f>ROUND(Saldos_Cartera_Total!Q140 + Saldo_Residual_Activo!T140, 2)</f>
        <v/>
      </c>
      <c r="R140" s="29">
        <f>MAX(F140:Q140)</f>
        <v/>
      </c>
    </row>
    <row r="141">
      <c r="A141" s="20" t="inlineStr">
        <is>
          <t>0669-0001</t>
        </is>
      </c>
      <c r="B141" s="21" t="inlineStr">
        <is>
          <t>Diego Hazael Morales Iñiguez</t>
        </is>
      </c>
      <c r="C141" s="21" t="inlineStr">
        <is>
          <t>Wrangler Jt</t>
        </is>
      </c>
      <c r="D141" s="20" t="inlineStr">
        <is>
          <t>ACTIVO</t>
        </is>
      </c>
      <c r="E141" s="22" t="n">
        <v>36</v>
      </c>
      <c r="F141" s="23">
        <f>ROUND(Saldos_Cartera_Total!F141 + Saldo_Residual_Activo!I141, 2)</f>
        <v/>
      </c>
      <c r="G141" s="23">
        <f>ROUND(Saldos_Cartera_Total!G141 + Saldo_Residual_Activo!J141, 2)</f>
        <v/>
      </c>
      <c r="H141" s="23">
        <f>ROUND(Saldos_Cartera_Total!H141 + Saldo_Residual_Activo!K141, 2)</f>
        <v/>
      </c>
      <c r="I141" s="23">
        <f>ROUND(Saldos_Cartera_Total!I141 + Saldo_Residual_Activo!L141, 2)</f>
        <v/>
      </c>
      <c r="J141" s="23">
        <f>ROUND(Saldos_Cartera_Total!J141 + Saldo_Residual_Activo!M141, 2)</f>
        <v/>
      </c>
      <c r="K141" s="23">
        <f>ROUND(Saldos_Cartera_Total!K141 + Saldo_Residual_Activo!N141, 2)</f>
        <v/>
      </c>
      <c r="L141" s="23">
        <f>ROUND(Saldos_Cartera_Total!L141 + Saldo_Residual_Activo!O141, 2)</f>
        <v/>
      </c>
      <c r="M141" s="23">
        <f>ROUND(Saldos_Cartera_Total!M141 + Saldo_Residual_Activo!P141, 2)</f>
        <v/>
      </c>
      <c r="N141" s="23">
        <f>ROUND(Saldos_Cartera_Total!N141 + Saldo_Residual_Activo!Q141, 2)</f>
        <v/>
      </c>
      <c r="O141" s="23">
        <f>ROUND(Saldos_Cartera_Total!O141 + Saldo_Residual_Activo!R141, 2)</f>
        <v/>
      </c>
      <c r="P141" s="23">
        <f>ROUND(Saldos_Cartera_Total!P141 + Saldo_Residual_Activo!S141, 2)</f>
        <v/>
      </c>
      <c r="Q141" s="23">
        <f>ROUND(Saldos_Cartera_Total!Q141 + Saldo_Residual_Activo!T141, 2)</f>
        <v/>
      </c>
      <c r="R141" s="23">
        <f>MAX(F141:Q141)</f>
        <v/>
      </c>
    </row>
    <row r="142">
      <c r="A142" s="26" t="inlineStr">
        <is>
          <t>0670-0001</t>
        </is>
      </c>
      <c r="B142" s="27" t="inlineStr">
        <is>
          <t>Consultoria Internacional Mexincorp Sc</t>
        </is>
      </c>
      <c r="C142" s="27" t="inlineStr">
        <is>
          <t>L200 Limited</t>
        </is>
      </c>
      <c r="D142" s="26" t="inlineStr">
        <is>
          <t>ACTIVO</t>
        </is>
      </c>
      <c r="E142" s="28" t="n">
        <v>48</v>
      </c>
      <c r="F142" s="29">
        <f>ROUND(Saldos_Cartera_Total!F142 + Saldo_Residual_Activo!I142, 2)</f>
        <v/>
      </c>
      <c r="G142" s="29">
        <f>ROUND(Saldos_Cartera_Total!G142 + Saldo_Residual_Activo!J142, 2)</f>
        <v/>
      </c>
      <c r="H142" s="29">
        <f>ROUND(Saldos_Cartera_Total!H142 + Saldo_Residual_Activo!K142, 2)</f>
        <v/>
      </c>
      <c r="I142" s="29">
        <f>ROUND(Saldos_Cartera_Total!I142 + Saldo_Residual_Activo!L142, 2)</f>
        <v/>
      </c>
      <c r="J142" s="29">
        <f>ROUND(Saldos_Cartera_Total!J142 + Saldo_Residual_Activo!M142, 2)</f>
        <v/>
      </c>
      <c r="K142" s="29">
        <f>ROUND(Saldos_Cartera_Total!K142 + Saldo_Residual_Activo!N142, 2)</f>
        <v/>
      </c>
      <c r="L142" s="29">
        <f>ROUND(Saldos_Cartera_Total!L142 + Saldo_Residual_Activo!O142, 2)</f>
        <v/>
      </c>
      <c r="M142" s="29">
        <f>ROUND(Saldos_Cartera_Total!M142 + Saldo_Residual_Activo!P142, 2)</f>
        <v/>
      </c>
      <c r="N142" s="29">
        <f>ROUND(Saldos_Cartera_Total!N142 + Saldo_Residual_Activo!Q142, 2)</f>
        <v/>
      </c>
      <c r="O142" s="29">
        <f>ROUND(Saldos_Cartera_Total!O142 + Saldo_Residual_Activo!R142, 2)</f>
        <v/>
      </c>
      <c r="P142" s="29">
        <f>ROUND(Saldos_Cartera_Total!P142 + Saldo_Residual_Activo!S142, 2)</f>
        <v/>
      </c>
      <c r="Q142" s="29">
        <f>ROUND(Saldos_Cartera_Total!Q142 + Saldo_Residual_Activo!T142, 2)</f>
        <v/>
      </c>
      <c r="R142" s="29">
        <f>MAX(F142:Q142)</f>
        <v/>
      </c>
    </row>
    <row r="143">
      <c r="A143" s="20" t="inlineStr">
        <is>
          <t>0672-0001</t>
        </is>
      </c>
      <c r="B143" s="21" t="inlineStr">
        <is>
          <t>Bax Blockchain Services Sa de Cv</t>
        </is>
      </c>
      <c r="C143" s="21" t="inlineStr">
        <is>
          <t>Tucson Limited</t>
        </is>
      </c>
      <c r="D143" s="20" t="inlineStr">
        <is>
          <t>ACTIVO</t>
        </is>
      </c>
      <c r="E143" s="22" t="n">
        <v>36</v>
      </c>
      <c r="F143" s="23">
        <f>ROUND(Saldos_Cartera_Total!F143 + Saldo_Residual_Activo!I143, 2)</f>
        <v/>
      </c>
      <c r="G143" s="23">
        <f>ROUND(Saldos_Cartera_Total!G143 + Saldo_Residual_Activo!J143, 2)</f>
        <v/>
      </c>
      <c r="H143" s="23">
        <f>ROUND(Saldos_Cartera_Total!H143 + Saldo_Residual_Activo!K143, 2)</f>
        <v/>
      </c>
      <c r="I143" s="23">
        <f>ROUND(Saldos_Cartera_Total!I143 + Saldo_Residual_Activo!L143, 2)</f>
        <v/>
      </c>
      <c r="J143" s="23">
        <f>ROUND(Saldos_Cartera_Total!J143 + Saldo_Residual_Activo!M143, 2)</f>
        <v/>
      </c>
      <c r="K143" s="23">
        <f>ROUND(Saldos_Cartera_Total!K143 + Saldo_Residual_Activo!N143, 2)</f>
        <v/>
      </c>
      <c r="L143" s="23">
        <f>ROUND(Saldos_Cartera_Total!L143 + Saldo_Residual_Activo!O143, 2)</f>
        <v/>
      </c>
      <c r="M143" s="23">
        <f>ROUND(Saldos_Cartera_Total!M143 + Saldo_Residual_Activo!P143, 2)</f>
        <v/>
      </c>
      <c r="N143" s="23">
        <f>ROUND(Saldos_Cartera_Total!N143 + Saldo_Residual_Activo!Q143, 2)</f>
        <v/>
      </c>
      <c r="O143" s="23">
        <f>ROUND(Saldos_Cartera_Total!O143 + Saldo_Residual_Activo!R143, 2)</f>
        <v/>
      </c>
      <c r="P143" s="23">
        <f>ROUND(Saldos_Cartera_Total!P143 + Saldo_Residual_Activo!S143, 2)</f>
        <v/>
      </c>
      <c r="Q143" s="23">
        <f>ROUND(Saldos_Cartera_Total!Q143 + Saldo_Residual_Activo!T143, 2)</f>
        <v/>
      </c>
      <c r="R143" s="23">
        <f>MAX(F143:Q143)</f>
        <v/>
      </c>
    </row>
    <row r="144">
      <c r="A144" s="26" t="inlineStr">
        <is>
          <t>0673-0001</t>
        </is>
      </c>
      <c r="B144" s="27" t="inlineStr">
        <is>
          <t>Juan Carlos Cardenas Arciniega</t>
        </is>
      </c>
      <c r="C144" s="27" t="inlineStr">
        <is>
          <t>Wrangler Unlimited</t>
        </is>
      </c>
      <c r="D144" s="26" t="inlineStr">
        <is>
          <t>ACTIVO</t>
        </is>
      </c>
      <c r="E144" s="28" t="n">
        <v>48</v>
      </c>
      <c r="F144" s="29">
        <f>ROUND(Saldos_Cartera_Total!F144 + Saldo_Residual_Activo!I144, 2)</f>
        <v/>
      </c>
      <c r="G144" s="29">
        <f>ROUND(Saldos_Cartera_Total!G144 + Saldo_Residual_Activo!J144, 2)</f>
        <v/>
      </c>
      <c r="H144" s="29">
        <f>ROUND(Saldos_Cartera_Total!H144 + Saldo_Residual_Activo!K144, 2)</f>
        <v/>
      </c>
      <c r="I144" s="29">
        <f>ROUND(Saldos_Cartera_Total!I144 + Saldo_Residual_Activo!L144, 2)</f>
        <v/>
      </c>
      <c r="J144" s="29">
        <f>ROUND(Saldos_Cartera_Total!J144 + Saldo_Residual_Activo!M144, 2)</f>
        <v/>
      </c>
      <c r="K144" s="29">
        <f>ROUND(Saldos_Cartera_Total!K144 + Saldo_Residual_Activo!N144, 2)</f>
        <v/>
      </c>
      <c r="L144" s="29">
        <f>ROUND(Saldos_Cartera_Total!L144 + Saldo_Residual_Activo!O144, 2)</f>
        <v/>
      </c>
      <c r="M144" s="29">
        <f>ROUND(Saldos_Cartera_Total!M144 + Saldo_Residual_Activo!P144, 2)</f>
        <v/>
      </c>
      <c r="N144" s="29">
        <f>ROUND(Saldos_Cartera_Total!N144 + Saldo_Residual_Activo!Q144, 2)</f>
        <v/>
      </c>
      <c r="O144" s="29">
        <f>ROUND(Saldos_Cartera_Total!O144 + Saldo_Residual_Activo!R144, 2)</f>
        <v/>
      </c>
      <c r="P144" s="29">
        <f>ROUND(Saldos_Cartera_Total!P144 + Saldo_Residual_Activo!S144, 2)</f>
        <v/>
      </c>
      <c r="Q144" s="29">
        <f>ROUND(Saldos_Cartera_Total!Q144 + Saldo_Residual_Activo!T144, 2)</f>
        <v/>
      </c>
      <c r="R144" s="29">
        <f>MAX(F144:Q144)</f>
        <v/>
      </c>
    </row>
    <row r="145">
      <c r="A145" s="20" t="inlineStr">
        <is>
          <t>0673-0002</t>
        </is>
      </c>
      <c r="B145" s="21" t="inlineStr">
        <is>
          <t>Juan Carlos Cardenas Arciniega</t>
        </is>
      </c>
      <c r="C145" s="21" t="inlineStr">
        <is>
          <t>L200 Glx Diesel</t>
        </is>
      </c>
      <c r="D145" s="20" t="inlineStr">
        <is>
          <t>ACTIVO</t>
        </is>
      </c>
      <c r="E145" s="22" t="n">
        <v>48</v>
      </c>
      <c r="F145" s="23">
        <f>ROUND(Saldos_Cartera_Total!F145 + Saldo_Residual_Activo!I145, 2)</f>
        <v/>
      </c>
      <c r="G145" s="23">
        <f>ROUND(Saldos_Cartera_Total!G145 + Saldo_Residual_Activo!J145, 2)</f>
        <v/>
      </c>
      <c r="H145" s="23">
        <f>ROUND(Saldos_Cartera_Total!H145 + Saldo_Residual_Activo!K145, 2)</f>
        <v/>
      </c>
      <c r="I145" s="23">
        <f>ROUND(Saldos_Cartera_Total!I145 + Saldo_Residual_Activo!L145, 2)</f>
        <v/>
      </c>
      <c r="J145" s="23">
        <f>ROUND(Saldos_Cartera_Total!J145 + Saldo_Residual_Activo!M145, 2)</f>
        <v/>
      </c>
      <c r="K145" s="23">
        <f>ROUND(Saldos_Cartera_Total!K145 + Saldo_Residual_Activo!N145, 2)</f>
        <v/>
      </c>
      <c r="L145" s="23">
        <f>ROUND(Saldos_Cartera_Total!L145 + Saldo_Residual_Activo!O145, 2)</f>
        <v/>
      </c>
      <c r="M145" s="23">
        <f>ROUND(Saldos_Cartera_Total!M145 + Saldo_Residual_Activo!P145, 2)</f>
        <v/>
      </c>
      <c r="N145" s="23">
        <f>ROUND(Saldos_Cartera_Total!N145 + Saldo_Residual_Activo!Q145, 2)</f>
        <v/>
      </c>
      <c r="O145" s="23">
        <f>ROUND(Saldos_Cartera_Total!O145 + Saldo_Residual_Activo!R145, 2)</f>
        <v/>
      </c>
      <c r="P145" s="23">
        <f>ROUND(Saldos_Cartera_Total!P145 + Saldo_Residual_Activo!S145, 2)</f>
        <v/>
      </c>
      <c r="Q145" s="23">
        <f>ROUND(Saldos_Cartera_Total!Q145 + Saldo_Residual_Activo!T145, 2)</f>
        <v/>
      </c>
      <c r="R145" s="23">
        <f>MAX(F145:Q145)</f>
        <v/>
      </c>
    </row>
    <row r="146">
      <c r="A146" s="26" t="inlineStr">
        <is>
          <t>0673-0003</t>
        </is>
      </c>
      <c r="B146" s="27" t="inlineStr">
        <is>
          <t>Juan Carlos Cardenas Arciniega</t>
        </is>
      </c>
      <c r="C146" s="27" t="inlineStr">
        <is>
          <t>Hilux Diesel</t>
        </is>
      </c>
      <c r="D146" s="26" t="inlineStr">
        <is>
          <t>ACTIVO</t>
        </is>
      </c>
      <c r="E146" s="28" t="n">
        <v>48</v>
      </c>
      <c r="F146" s="29">
        <f>ROUND(Saldos_Cartera_Total!F146 + Saldo_Residual_Activo!I146, 2)</f>
        <v/>
      </c>
      <c r="G146" s="29">
        <f>ROUND(Saldos_Cartera_Total!G146 + Saldo_Residual_Activo!J146, 2)</f>
        <v/>
      </c>
      <c r="H146" s="29">
        <f>ROUND(Saldos_Cartera_Total!H146 + Saldo_Residual_Activo!K146, 2)</f>
        <v/>
      </c>
      <c r="I146" s="29">
        <f>ROUND(Saldos_Cartera_Total!I146 + Saldo_Residual_Activo!L146, 2)</f>
        <v/>
      </c>
      <c r="J146" s="29">
        <f>ROUND(Saldos_Cartera_Total!J146 + Saldo_Residual_Activo!M146, 2)</f>
        <v/>
      </c>
      <c r="K146" s="29">
        <f>ROUND(Saldos_Cartera_Total!K146 + Saldo_Residual_Activo!N146, 2)</f>
        <v/>
      </c>
      <c r="L146" s="29">
        <f>ROUND(Saldos_Cartera_Total!L146 + Saldo_Residual_Activo!O146, 2)</f>
        <v/>
      </c>
      <c r="M146" s="29">
        <f>ROUND(Saldos_Cartera_Total!M146 + Saldo_Residual_Activo!P146, 2)</f>
        <v/>
      </c>
      <c r="N146" s="29">
        <f>ROUND(Saldos_Cartera_Total!N146 + Saldo_Residual_Activo!Q146, 2)</f>
        <v/>
      </c>
      <c r="O146" s="29">
        <f>ROUND(Saldos_Cartera_Total!O146 + Saldo_Residual_Activo!R146, 2)</f>
        <v/>
      </c>
      <c r="P146" s="29">
        <f>ROUND(Saldos_Cartera_Total!P146 + Saldo_Residual_Activo!S146, 2)</f>
        <v/>
      </c>
      <c r="Q146" s="29">
        <f>ROUND(Saldos_Cartera_Total!Q146 + Saldo_Residual_Activo!T146, 2)</f>
        <v/>
      </c>
      <c r="R146" s="29">
        <f>MAX(F146:Q146)</f>
        <v/>
      </c>
    </row>
    <row r="147">
      <c r="A147" s="20" t="inlineStr">
        <is>
          <t>0673-0004</t>
        </is>
      </c>
      <c r="B147" s="21" t="inlineStr">
        <is>
          <t>Juan Carlos Cardenas Arciniega</t>
        </is>
      </c>
      <c r="C147" s="21" t="inlineStr">
        <is>
          <t>Np300</t>
        </is>
      </c>
      <c r="D147" s="20" t="inlineStr">
        <is>
          <t>ACTIVO</t>
        </is>
      </c>
      <c r="E147" s="22" t="n">
        <v>24</v>
      </c>
      <c r="F147" s="23">
        <f>ROUND(Saldos_Cartera_Total!F147 + Saldo_Residual_Activo!I147, 2)</f>
        <v/>
      </c>
      <c r="G147" s="23">
        <f>ROUND(Saldos_Cartera_Total!G147 + Saldo_Residual_Activo!J147, 2)</f>
        <v/>
      </c>
      <c r="H147" s="23">
        <f>ROUND(Saldos_Cartera_Total!H147 + Saldo_Residual_Activo!K147, 2)</f>
        <v/>
      </c>
      <c r="I147" s="23">
        <f>ROUND(Saldos_Cartera_Total!I147 + Saldo_Residual_Activo!L147, 2)</f>
        <v/>
      </c>
      <c r="J147" s="23">
        <f>ROUND(Saldos_Cartera_Total!J147 + Saldo_Residual_Activo!M147, 2)</f>
        <v/>
      </c>
      <c r="K147" s="23">
        <f>ROUND(Saldos_Cartera_Total!K147 + Saldo_Residual_Activo!N147, 2)</f>
        <v/>
      </c>
      <c r="L147" s="23">
        <f>ROUND(Saldos_Cartera_Total!L147 + Saldo_Residual_Activo!O147, 2)</f>
        <v/>
      </c>
      <c r="M147" s="23">
        <f>ROUND(Saldos_Cartera_Total!M147 + Saldo_Residual_Activo!P147, 2)</f>
        <v/>
      </c>
      <c r="N147" s="23">
        <f>ROUND(Saldos_Cartera_Total!N147 + Saldo_Residual_Activo!Q147, 2)</f>
        <v/>
      </c>
      <c r="O147" s="23">
        <f>ROUND(Saldos_Cartera_Total!O147 + Saldo_Residual_Activo!R147, 2)</f>
        <v/>
      </c>
      <c r="P147" s="23">
        <f>ROUND(Saldos_Cartera_Total!P147 + Saldo_Residual_Activo!S147, 2)</f>
        <v/>
      </c>
      <c r="Q147" s="23">
        <f>ROUND(Saldos_Cartera_Total!Q147 + Saldo_Residual_Activo!T147, 2)</f>
        <v/>
      </c>
      <c r="R147" s="23">
        <f>MAX(F147:Q147)</f>
        <v/>
      </c>
    </row>
    <row r="148">
      <c r="A148" s="26" t="inlineStr">
        <is>
          <t>0673-0005</t>
        </is>
      </c>
      <c r="B148" s="27" t="inlineStr">
        <is>
          <t>Juan Carlos Cardenas Arciniega</t>
        </is>
      </c>
      <c r="C148" s="27" t="inlineStr">
        <is>
          <t>L200 Glx</t>
        </is>
      </c>
      <c r="D148" s="26" t="inlineStr">
        <is>
          <t>ACTIVO</t>
        </is>
      </c>
      <c r="E148" s="28" t="n">
        <v>36</v>
      </c>
      <c r="F148" s="29">
        <f>ROUND(Saldos_Cartera_Total!F148 + Saldo_Residual_Activo!I148, 2)</f>
        <v/>
      </c>
      <c r="G148" s="29">
        <f>ROUND(Saldos_Cartera_Total!G148 + Saldo_Residual_Activo!J148, 2)</f>
        <v/>
      </c>
      <c r="H148" s="29">
        <f>ROUND(Saldos_Cartera_Total!H148 + Saldo_Residual_Activo!K148, 2)</f>
        <v/>
      </c>
      <c r="I148" s="29">
        <f>ROUND(Saldos_Cartera_Total!I148 + Saldo_Residual_Activo!L148, 2)</f>
        <v/>
      </c>
      <c r="J148" s="29">
        <f>ROUND(Saldos_Cartera_Total!J148 + Saldo_Residual_Activo!M148, 2)</f>
        <v/>
      </c>
      <c r="K148" s="29">
        <f>ROUND(Saldos_Cartera_Total!K148 + Saldo_Residual_Activo!N148, 2)</f>
        <v/>
      </c>
      <c r="L148" s="29">
        <f>ROUND(Saldos_Cartera_Total!L148 + Saldo_Residual_Activo!O148, 2)</f>
        <v/>
      </c>
      <c r="M148" s="29">
        <f>ROUND(Saldos_Cartera_Total!M148 + Saldo_Residual_Activo!P148, 2)</f>
        <v/>
      </c>
      <c r="N148" s="29">
        <f>ROUND(Saldos_Cartera_Total!N148 + Saldo_Residual_Activo!Q148, 2)</f>
        <v/>
      </c>
      <c r="O148" s="29">
        <f>ROUND(Saldos_Cartera_Total!O148 + Saldo_Residual_Activo!R148, 2)</f>
        <v/>
      </c>
      <c r="P148" s="29">
        <f>ROUND(Saldos_Cartera_Total!P148 + Saldo_Residual_Activo!S148, 2)</f>
        <v/>
      </c>
      <c r="Q148" s="29">
        <f>ROUND(Saldos_Cartera_Total!Q148 + Saldo_Residual_Activo!T148, 2)</f>
        <v/>
      </c>
      <c r="R148" s="29">
        <f>MAX(F148:Q148)</f>
        <v/>
      </c>
    </row>
    <row r="149">
      <c r="A149" s="20" t="inlineStr">
        <is>
          <t>0674-0001</t>
        </is>
      </c>
      <c r="B149" s="21" t="inlineStr">
        <is>
          <t>Zuji Sa de Cv</t>
        </is>
      </c>
      <c r="C149" s="21" t="inlineStr">
        <is>
          <t>2008 Allure</t>
        </is>
      </c>
      <c r="D149" s="20" t="inlineStr">
        <is>
          <t>ACTIVO</t>
        </is>
      </c>
      <c r="E149" s="22" t="n">
        <v>36</v>
      </c>
      <c r="F149" s="23">
        <f>ROUND(Saldos_Cartera_Total!F149 + Saldo_Residual_Activo!I149, 2)</f>
        <v/>
      </c>
      <c r="G149" s="23">
        <f>ROUND(Saldos_Cartera_Total!G149 + Saldo_Residual_Activo!J149, 2)</f>
        <v/>
      </c>
      <c r="H149" s="23">
        <f>ROUND(Saldos_Cartera_Total!H149 + Saldo_Residual_Activo!K149, 2)</f>
        <v/>
      </c>
      <c r="I149" s="23">
        <f>ROUND(Saldos_Cartera_Total!I149 + Saldo_Residual_Activo!L149, 2)</f>
        <v/>
      </c>
      <c r="J149" s="23">
        <f>ROUND(Saldos_Cartera_Total!J149 + Saldo_Residual_Activo!M149, 2)</f>
        <v/>
      </c>
      <c r="K149" s="23">
        <f>ROUND(Saldos_Cartera_Total!K149 + Saldo_Residual_Activo!N149, 2)</f>
        <v/>
      </c>
      <c r="L149" s="23">
        <f>ROUND(Saldos_Cartera_Total!L149 + Saldo_Residual_Activo!O149, 2)</f>
        <v/>
      </c>
      <c r="M149" s="23">
        <f>ROUND(Saldos_Cartera_Total!M149 + Saldo_Residual_Activo!P149, 2)</f>
        <v/>
      </c>
      <c r="N149" s="23">
        <f>ROUND(Saldos_Cartera_Total!N149 + Saldo_Residual_Activo!Q149, 2)</f>
        <v/>
      </c>
      <c r="O149" s="23">
        <f>ROUND(Saldos_Cartera_Total!O149 + Saldo_Residual_Activo!R149, 2)</f>
        <v/>
      </c>
      <c r="P149" s="23">
        <f>ROUND(Saldos_Cartera_Total!P149 + Saldo_Residual_Activo!S149, 2)</f>
        <v/>
      </c>
      <c r="Q149" s="23">
        <f>ROUND(Saldos_Cartera_Total!Q149 + Saldo_Residual_Activo!T149, 2)</f>
        <v/>
      </c>
      <c r="R149" s="23">
        <f>MAX(F149:Q149)</f>
        <v/>
      </c>
    </row>
    <row r="150">
      <c r="A150" s="26" t="inlineStr">
        <is>
          <t>0675-0002</t>
        </is>
      </c>
      <c r="B150" s="27" t="inlineStr">
        <is>
          <t>Comercializadora Industrial de Zapopan Sa de Cv</t>
        </is>
      </c>
      <c r="C150" s="27" t="inlineStr">
        <is>
          <t>Valor Residual</t>
        </is>
      </c>
      <c r="D150" s="26" t="inlineStr">
        <is>
          <t>ACTIVO</t>
        </is>
      </c>
      <c r="E150" s="28" t="n">
        <v>12</v>
      </c>
      <c r="F150" s="29">
        <f>ROUND(Saldos_Cartera_Total!F150 + Saldo_Residual_Activo!I150, 2)</f>
        <v/>
      </c>
      <c r="G150" s="29">
        <f>ROUND(Saldos_Cartera_Total!G150 + Saldo_Residual_Activo!J150, 2)</f>
        <v/>
      </c>
      <c r="H150" s="29">
        <f>ROUND(Saldos_Cartera_Total!H150 + Saldo_Residual_Activo!K150, 2)</f>
        <v/>
      </c>
      <c r="I150" s="29">
        <f>ROUND(Saldos_Cartera_Total!I150 + Saldo_Residual_Activo!L150, 2)</f>
        <v/>
      </c>
      <c r="J150" s="29">
        <f>ROUND(Saldos_Cartera_Total!J150 + Saldo_Residual_Activo!M150, 2)</f>
        <v/>
      </c>
      <c r="K150" s="29">
        <f>ROUND(Saldos_Cartera_Total!K150 + Saldo_Residual_Activo!N150, 2)</f>
        <v/>
      </c>
      <c r="L150" s="29">
        <f>ROUND(Saldos_Cartera_Total!L150 + Saldo_Residual_Activo!O150, 2)</f>
        <v/>
      </c>
      <c r="M150" s="29">
        <f>ROUND(Saldos_Cartera_Total!M150 + Saldo_Residual_Activo!P150, 2)</f>
        <v/>
      </c>
      <c r="N150" s="29">
        <f>ROUND(Saldos_Cartera_Total!N150 + Saldo_Residual_Activo!Q150, 2)</f>
        <v/>
      </c>
      <c r="O150" s="29" t="inlineStr"/>
      <c r="P150" s="29" t="inlineStr"/>
      <c r="Q150" s="29" t="inlineStr"/>
      <c r="R150" s="29">
        <f>MAX(F150:Q150)</f>
        <v/>
      </c>
    </row>
    <row r="151">
      <c r="A151" s="20" t="inlineStr">
        <is>
          <t>0676-0001</t>
        </is>
      </c>
      <c r="B151" s="21" t="inlineStr">
        <is>
          <t>Productora Agricola los Amoles</t>
        </is>
      </c>
      <c r="C151" s="21" t="inlineStr">
        <is>
          <t>Ram 700 Regular Cab</t>
        </is>
      </c>
      <c r="D151" s="20" t="inlineStr">
        <is>
          <t>ACTIVO</t>
        </is>
      </c>
      <c r="E151" s="22" t="n">
        <v>36</v>
      </c>
      <c r="F151" s="23">
        <f>ROUND(Saldos_Cartera_Total!F151 + Saldo_Residual_Activo!I151, 2)</f>
        <v/>
      </c>
      <c r="G151" s="23">
        <f>ROUND(Saldos_Cartera_Total!G151 + Saldo_Residual_Activo!J151, 2)</f>
        <v/>
      </c>
      <c r="H151" s="23">
        <f>ROUND(Saldos_Cartera_Total!H151 + Saldo_Residual_Activo!K151, 2)</f>
        <v/>
      </c>
      <c r="I151" s="23">
        <f>ROUND(Saldos_Cartera_Total!I151 + Saldo_Residual_Activo!L151, 2)</f>
        <v/>
      </c>
      <c r="J151" s="23">
        <f>ROUND(Saldos_Cartera_Total!J151 + Saldo_Residual_Activo!M151, 2)</f>
        <v/>
      </c>
      <c r="K151" s="23">
        <f>ROUND(Saldos_Cartera_Total!K151 + Saldo_Residual_Activo!N151, 2)</f>
        <v/>
      </c>
      <c r="L151" s="23">
        <f>ROUND(Saldos_Cartera_Total!L151 + Saldo_Residual_Activo!O151, 2)</f>
        <v/>
      </c>
      <c r="M151" s="23">
        <f>ROUND(Saldos_Cartera_Total!M151 + Saldo_Residual_Activo!P151, 2)</f>
        <v/>
      </c>
      <c r="N151" s="23">
        <f>ROUND(Saldos_Cartera_Total!N151 + Saldo_Residual_Activo!Q151, 2)</f>
        <v/>
      </c>
      <c r="O151" s="23">
        <f>ROUND(Saldos_Cartera_Total!O151 + Saldo_Residual_Activo!R151, 2)</f>
        <v/>
      </c>
      <c r="P151" s="23">
        <f>ROUND(Saldos_Cartera_Total!P151 + Saldo_Residual_Activo!S151, 2)</f>
        <v/>
      </c>
      <c r="Q151" s="23">
        <f>ROUND(Saldos_Cartera_Total!Q151 + Saldo_Residual_Activo!T151, 2)</f>
        <v/>
      </c>
      <c r="R151" s="23">
        <f>MAX(F151:Q151)</f>
        <v/>
      </c>
    </row>
    <row r="152">
      <c r="A152" s="26" t="inlineStr">
        <is>
          <t>0677-0001</t>
        </is>
      </c>
      <c r="B152" s="27" t="inlineStr">
        <is>
          <t>Laboratorio Inunza Siglo XXI</t>
        </is>
      </c>
      <c r="C152" s="27" t="inlineStr">
        <is>
          <t>Outlander Diamon</t>
        </is>
      </c>
      <c r="D152" s="26" t="inlineStr">
        <is>
          <t>ACTIVO</t>
        </is>
      </c>
      <c r="E152" s="28" t="n">
        <v>36</v>
      </c>
      <c r="F152" s="29">
        <f>ROUND(Saldos_Cartera_Total!F152 + Saldo_Residual_Activo!I152, 2)</f>
        <v/>
      </c>
      <c r="G152" s="29">
        <f>ROUND(Saldos_Cartera_Total!G152 + Saldo_Residual_Activo!J152, 2)</f>
        <v/>
      </c>
      <c r="H152" s="29">
        <f>ROUND(Saldos_Cartera_Total!H152 + Saldo_Residual_Activo!K152, 2)</f>
        <v/>
      </c>
      <c r="I152" s="29">
        <f>ROUND(Saldos_Cartera_Total!I152 + Saldo_Residual_Activo!L152, 2)</f>
        <v/>
      </c>
      <c r="J152" s="29">
        <f>ROUND(Saldos_Cartera_Total!J152 + Saldo_Residual_Activo!M152, 2)</f>
        <v/>
      </c>
      <c r="K152" s="29">
        <f>ROUND(Saldos_Cartera_Total!K152 + Saldo_Residual_Activo!N152, 2)</f>
        <v/>
      </c>
      <c r="L152" s="29">
        <f>ROUND(Saldos_Cartera_Total!L152 + Saldo_Residual_Activo!O152, 2)</f>
        <v/>
      </c>
      <c r="M152" s="29">
        <f>ROUND(Saldos_Cartera_Total!M152 + Saldo_Residual_Activo!P152, 2)</f>
        <v/>
      </c>
      <c r="N152" s="29">
        <f>ROUND(Saldos_Cartera_Total!N152 + Saldo_Residual_Activo!Q152, 2)</f>
        <v/>
      </c>
      <c r="O152" s="29">
        <f>ROUND(Saldos_Cartera_Total!O152 + Saldo_Residual_Activo!R152, 2)</f>
        <v/>
      </c>
      <c r="P152" s="29">
        <f>ROUND(Saldos_Cartera_Total!P152 + Saldo_Residual_Activo!S152, 2)</f>
        <v/>
      </c>
      <c r="Q152" s="29">
        <f>ROUND(Saldos_Cartera_Total!Q152 + Saldo_Residual_Activo!T152, 2)</f>
        <v/>
      </c>
      <c r="R152" s="29">
        <f>MAX(F152:Q152)</f>
        <v/>
      </c>
    </row>
    <row r="153">
      <c r="A153" s="20" t="inlineStr">
        <is>
          <t>0678-0002</t>
        </is>
      </c>
      <c r="B153" s="21" t="inlineStr">
        <is>
          <t>Bhg Harmony S de Rl de Cv</t>
        </is>
      </c>
      <c r="C153" s="21" t="inlineStr">
        <is>
          <t>Teramont</t>
        </is>
      </c>
      <c r="D153" s="20" t="inlineStr">
        <is>
          <t>ACTIVO</t>
        </is>
      </c>
      <c r="E153" s="22" t="n">
        <v>12</v>
      </c>
      <c r="F153" s="23">
        <f>ROUND(Saldos_Cartera_Total!F153 + Saldo_Residual_Activo!I153, 2)</f>
        <v/>
      </c>
      <c r="G153" s="23">
        <f>ROUND(Saldos_Cartera_Total!G153 + Saldo_Residual_Activo!J153, 2)</f>
        <v/>
      </c>
      <c r="H153" s="23">
        <f>ROUND(Saldos_Cartera_Total!H153 + Saldo_Residual_Activo!K153, 2)</f>
        <v/>
      </c>
      <c r="I153" s="23">
        <f>ROUND(Saldos_Cartera_Total!I153 + Saldo_Residual_Activo!L153, 2)</f>
        <v/>
      </c>
      <c r="J153" s="23">
        <f>ROUND(Saldos_Cartera_Total!J153 + Saldo_Residual_Activo!M153, 2)</f>
        <v/>
      </c>
      <c r="K153" s="23">
        <f>ROUND(Saldos_Cartera_Total!K153 + Saldo_Residual_Activo!N153, 2)</f>
        <v/>
      </c>
      <c r="L153" s="23">
        <f>ROUND(Saldos_Cartera_Total!L153 + Saldo_Residual_Activo!O153, 2)</f>
        <v/>
      </c>
      <c r="M153" s="23">
        <f>ROUND(Saldos_Cartera_Total!M153 + Saldo_Residual_Activo!P153, 2)</f>
        <v/>
      </c>
      <c r="N153" s="23">
        <f>ROUND(Saldos_Cartera_Total!N153 + Saldo_Residual_Activo!Q153, 2)</f>
        <v/>
      </c>
      <c r="O153" s="23">
        <f>ROUND(Saldos_Cartera_Total!O153 + Saldo_Residual_Activo!R153, 2)</f>
        <v/>
      </c>
      <c r="P153" s="23">
        <f>ROUND(Saldos_Cartera_Total!P153 + Saldo_Residual_Activo!S153, 2)</f>
        <v/>
      </c>
      <c r="Q153" s="23" t="inlineStr"/>
      <c r="R153" s="23">
        <f>MAX(F153:Q153)</f>
        <v/>
      </c>
    </row>
    <row r="154">
      <c r="A154" s="26" t="inlineStr">
        <is>
          <t>0679-0001</t>
        </is>
      </c>
      <c r="B154" s="27" t="inlineStr">
        <is>
          <t>Naikor de Occidente Sa de Cv</t>
        </is>
      </c>
      <c r="C154" s="27" t="inlineStr">
        <is>
          <t>2008</t>
        </is>
      </c>
      <c r="D154" s="26" t="inlineStr">
        <is>
          <t>ACTIVO</t>
        </is>
      </c>
      <c r="E154" s="28" t="n">
        <v>48</v>
      </c>
      <c r="F154" s="29">
        <f>ROUND(Saldos_Cartera_Total!F154 + Saldo_Residual_Activo!I154, 2)</f>
        <v/>
      </c>
      <c r="G154" s="29">
        <f>ROUND(Saldos_Cartera_Total!G154 + Saldo_Residual_Activo!J154, 2)</f>
        <v/>
      </c>
      <c r="H154" s="29">
        <f>ROUND(Saldos_Cartera_Total!H154 + Saldo_Residual_Activo!K154, 2)</f>
        <v/>
      </c>
      <c r="I154" s="29">
        <f>ROUND(Saldos_Cartera_Total!I154 + Saldo_Residual_Activo!L154, 2)</f>
        <v/>
      </c>
      <c r="J154" s="29">
        <f>ROUND(Saldos_Cartera_Total!J154 + Saldo_Residual_Activo!M154, 2)</f>
        <v/>
      </c>
      <c r="K154" s="29">
        <f>ROUND(Saldos_Cartera_Total!K154 + Saldo_Residual_Activo!N154, 2)</f>
        <v/>
      </c>
      <c r="L154" s="29">
        <f>ROUND(Saldos_Cartera_Total!L154 + Saldo_Residual_Activo!O154, 2)</f>
        <v/>
      </c>
      <c r="M154" s="29">
        <f>ROUND(Saldos_Cartera_Total!M154 + Saldo_Residual_Activo!P154, 2)</f>
        <v/>
      </c>
      <c r="N154" s="29">
        <f>ROUND(Saldos_Cartera_Total!N154 + Saldo_Residual_Activo!Q154, 2)</f>
        <v/>
      </c>
      <c r="O154" s="29">
        <f>ROUND(Saldos_Cartera_Total!O154 + Saldo_Residual_Activo!R154, 2)</f>
        <v/>
      </c>
      <c r="P154" s="29">
        <f>ROUND(Saldos_Cartera_Total!P154 + Saldo_Residual_Activo!S154, 2)</f>
        <v/>
      </c>
      <c r="Q154" s="29">
        <f>ROUND(Saldos_Cartera_Total!Q154 + Saldo_Residual_Activo!T154, 2)</f>
        <v/>
      </c>
      <c r="R154" s="29">
        <f>MAX(F154:Q154)</f>
        <v/>
      </c>
    </row>
    <row r="155">
      <c r="A155" s="20" t="inlineStr">
        <is>
          <t>0680-0001</t>
        </is>
      </c>
      <c r="B155" s="21" t="inlineStr">
        <is>
          <t>Madereria el Volcan Sa de Cv</t>
        </is>
      </c>
      <c r="C155" s="21" t="inlineStr">
        <is>
          <t>JT Mojave</t>
        </is>
      </c>
      <c r="D155" s="20" t="inlineStr">
        <is>
          <t>ACTIVO</t>
        </is>
      </c>
      <c r="E155" s="22" t="n">
        <v>36</v>
      </c>
      <c r="F155" s="23">
        <f>ROUND(Saldos_Cartera_Total!F155 + Saldo_Residual_Activo!I155, 2)</f>
        <v/>
      </c>
      <c r="G155" s="23">
        <f>ROUND(Saldos_Cartera_Total!G155 + Saldo_Residual_Activo!J155, 2)</f>
        <v/>
      </c>
      <c r="H155" s="23">
        <f>ROUND(Saldos_Cartera_Total!H155 + Saldo_Residual_Activo!K155, 2)</f>
        <v/>
      </c>
      <c r="I155" s="23">
        <f>ROUND(Saldos_Cartera_Total!I155 + Saldo_Residual_Activo!L155, 2)</f>
        <v/>
      </c>
      <c r="J155" s="23">
        <f>ROUND(Saldos_Cartera_Total!J155 + Saldo_Residual_Activo!M155, 2)</f>
        <v/>
      </c>
      <c r="K155" s="23">
        <f>ROUND(Saldos_Cartera_Total!K155 + Saldo_Residual_Activo!N155, 2)</f>
        <v/>
      </c>
      <c r="L155" s="23">
        <f>ROUND(Saldos_Cartera_Total!L155 + Saldo_Residual_Activo!O155, 2)</f>
        <v/>
      </c>
      <c r="M155" s="23">
        <f>ROUND(Saldos_Cartera_Total!M155 + Saldo_Residual_Activo!P155, 2)</f>
        <v/>
      </c>
      <c r="N155" s="23">
        <f>ROUND(Saldos_Cartera_Total!N155 + Saldo_Residual_Activo!Q155, 2)</f>
        <v/>
      </c>
      <c r="O155" s="23">
        <f>ROUND(Saldos_Cartera_Total!O155 + Saldo_Residual_Activo!R155, 2)</f>
        <v/>
      </c>
      <c r="P155" s="23">
        <f>ROUND(Saldos_Cartera_Total!P155 + Saldo_Residual_Activo!S155, 2)</f>
        <v/>
      </c>
      <c r="Q155" s="23">
        <f>ROUND(Saldos_Cartera_Total!Q155 + Saldo_Residual_Activo!T155, 2)</f>
        <v/>
      </c>
      <c r="R155" s="23">
        <f>MAX(F155:Q155)</f>
        <v/>
      </c>
    </row>
    <row r="156">
      <c r="A156" s="26" t="inlineStr">
        <is>
          <t>0682-0001</t>
        </is>
      </c>
      <c r="B156" s="27" t="inlineStr">
        <is>
          <t>Hidraneumaticos y Equipos para Gas Sa de Cv</t>
        </is>
      </c>
      <c r="C156" s="27" t="inlineStr">
        <is>
          <t>Renegade Limited</t>
        </is>
      </c>
      <c r="D156" s="26" t="inlineStr">
        <is>
          <t>ACTIVO</t>
        </is>
      </c>
      <c r="E156" s="28" t="n">
        <v>24</v>
      </c>
      <c r="F156" s="29">
        <f>ROUND(Saldos_Cartera_Total!F156 + Saldo_Residual_Activo!I156, 2)</f>
        <v/>
      </c>
      <c r="G156" s="29">
        <f>ROUND(Saldos_Cartera_Total!G156 + Saldo_Residual_Activo!J156, 2)</f>
        <v/>
      </c>
      <c r="H156" s="29">
        <f>ROUND(Saldos_Cartera_Total!H156 + Saldo_Residual_Activo!K156, 2)</f>
        <v/>
      </c>
      <c r="I156" s="29">
        <f>ROUND(Saldos_Cartera_Total!I156 + Saldo_Residual_Activo!L156, 2)</f>
        <v/>
      </c>
      <c r="J156" s="29">
        <f>ROUND(Saldos_Cartera_Total!J156 + Saldo_Residual_Activo!M156, 2)</f>
        <v/>
      </c>
      <c r="K156" s="29">
        <f>ROUND(Saldos_Cartera_Total!K156 + Saldo_Residual_Activo!N156, 2)</f>
        <v/>
      </c>
      <c r="L156" s="29">
        <f>ROUND(Saldos_Cartera_Total!L156 + Saldo_Residual_Activo!O156, 2)</f>
        <v/>
      </c>
      <c r="M156" s="29">
        <f>ROUND(Saldos_Cartera_Total!M156 + Saldo_Residual_Activo!P156, 2)</f>
        <v/>
      </c>
      <c r="N156" s="29">
        <f>ROUND(Saldos_Cartera_Total!N156 + Saldo_Residual_Activo!Q156, 2)</f>
        <v/>
      </c>
      <c r="O156" s="29">
        <f>ROUND(Saldos_Cartera_Total!O156 + Saldo_Residual_Activo!R156, 2)</f>
        <v/>
      </c>
      <c r="P156" s="29">
        <f>ROUND(Saldos_Cartera_Total!P156 + Saldo_Residual_Activo!S156, 2)</f>
        <v/>
      </c>
      <c r="Q156" s="29" t="inlineStr"/>
      <c r="R156" s="29">
        <f>MAX(F156:Q156)</f>
        <v/>
      </c>
    </row>
    <row r="157">
      <c r="A157" s="20" t="inlineStr">
        <is>
          <t>0682-0002</t>
        </is>
      </c>
      <c r="B157" s="21" t="inlineStr">
        <is>
          <t>Hidroneumaticos y Equipos para Gas Sa de Cv</t>
        </is>
      </c>
      <c r="C157" s="21" t="inlineStr">
        <is>
          <t>RIO</t>
        </is>
      </c>
      <c r="D157" s="20" t="inlineStr">
        <is>
          <t>ACTIVO</t>
        </is>
      </c>
      <c r="E157" s="22" t="n">
        <v>24</v>
      </c>
      <c r="F157" s="23">
        <f>ROUND(Saldos_Cartera_Total!F157 + Saldo_Residual_Activo!I157, 2)</f>
        <v/>
      </c>
      <c r="G157" s="23">
        <f>ROUND(Saldos_Cartera_Total!G157 + Saldo_Residual_Activo!J157, 2)</f>
        <v/>
      </c>
      <c r="H157" s="23">
        <f>ROUND(Saldos_Cartera_Total!H157 + Saldo_Residual_Activo!K157, 2)</f>
        <v/>
      </c>
      <c r="I157" s="23">
        <f>ROUND(Saldos_Cartera_Total!I157 + Saldo_Residual_Activo!L157, 2)</f>
        <v/>
      </c>
      <c r="J157" s="23">
        <f>ROUND(Saldos_Cartera_Total!J157 + Saldo_Residual_Activo!M157, 2)</f>
        <v/>
      </c>
      <c r="K157" s="23">
        <f>ROUND(Saldos_Cartera_Total!K157 + Saldo_Residual_Activo!N157, 2)</f>
        <v/>
      </c>
      <c r="L157" s="23">
        <f>ROUND(Saldos_Cartera_Total!L157 + Saldo_Residual_Activo!O157, 2)</f>
        <v/>
      </c>
      <c r="M157" s="23">
        <f>ROUND(Saldos_Cartera_Total!M157 + Saldo_Residual_Activo!P157, 2)</f>
        <v/>
      </c>
      <c r="N157" s="23">
        <f>ROUND(Saldos_Cartera_Total!N157 + Saldo_Residual_Activo!Q157, 2)</f>
        <v/>
      </c>
      <c r="O157" s="23">
        <f>ROUND(Saldos_Cartera_Total!O157 + Saldo_Residual_Activo!R157, 2)</f>
        <v/>
      </c>
      <c r="P157" s="23">
        <f>ROUND(Saldos_Cartera_Total!P157 + Saldo_Residual_Activo!S157, 2)</f>
        <v/>
      </c>
      <c r="Q157" s="23">
        <f>ROUND(Saldos_Cartera_Total!Q157 + Saldo_Residual_Activo!T157, 2)</f>
        <v/>
      </c>
      <c r="R157" s="23">
        <f>MAX(F157:Q157)</f>
        <v/>
      </c>
    </row>
    <row r="158">
      <c r="A158" s="26" t="inlineStr">
        <is>
          <t>0683-0001</t>
        </is>
      </c>
      <c r="B158" s="27" t="inlineStr">
        <is>
          <t>Maria de Jesus Sanchez Aguayo</t>
        </is>
      </c>
      <c r="C158" s="27" t="inlineStr">
        <is>
          <t>Ram 700 Regular Cab</t>
        </is>
      </c>
      <c r="D158" s="26" t="inlineStr">
        <is>
          <t>ACTIVO</t>
        </is>
      </c>
      <c r="E158" s="28" t="n">
        <v>36</v>
      </c>
      <c r="F158" s="29">
        <f>ROUND(Saldos_Cartera_Total!F158 + Saldo_Residual_Activo!I158, 2)</f>
        <v/>
      </c>
      <c r="G158" s="29">
        <f>ROUND(Saldos_Cartera_Total!G158 + Saldo_Residual_Activo!J158, 2)</f>
        <v/>
      </c>
      <c r="H158" s="29">
        <f>ROUND(Saldos_Cartera_Total!H158 + Saldo_Residual_Activo!K158, 2)</f>
        <v/>
      </c>
      <c r="I158" s="29">
        <f>ROUND(Saldos_Cartera_Total!I158 + Saldo_Residual_Activo!L158, 2)</f>
        <v/>
      </c>
      <c r="J158" s="29">
        <f>ROUND(Saldos_Cartera_Total!J158 + Saldo_Residual_Activo!M158, 2)</f>
        <v/>
      </c>
      <c r="K158" s="29">
        <f>ROUND(Saldos_Cartera_Total!K158 + Saldo_Residual_Activo!N158, 2)</f>
        <v/>
      </c>
      <c r="L158" s="29">
        <f>ROUND(Saldos_Cartera_Total!L158 + Saldo_Residual_Activo!O158, 2)</f>
        <v/>
      </c>
      <c r="M158" s="29">
        <f>ROUND(Saldos_Cartera_Total!M158 + Saldo_Residual_Activo!P158, 2)</f>
        <v/>
      </c>
      <c r="N158" s="29">
        <f>ROUND(Saldos_Cartera_Total!N158 + Saldo_Residual_Activo!Q158, 2)</f>
        <v/>
      </c>
      <c r="O158" s="29">
        <f>ROUND(Saldos_Cartera_Total!O158 + Saldo_Residual_Activo!R158, 2)</f>
        <v/>
      </c>
      <c r="P158" s="29">
        <f>ROUND(Saldos_Cartera_Total!P158 + Saldo_Residual_Activo!S158, 2)</f>
        <v/>
      </c>
      <c r="Q158" s="29">
        <f>ROUND(Saldos_Cartera_Total!Q158 + Saldo_Residual_Activo!T158, 2)</f>
        <v/>
      </c>
      <c r="R158" s="29">
        <f>MAX(F158:Q158)</f>
        <v/>
      </c>
    </row>
    <row r="159">
      <c r="A159" s="20" t="inlineStr">
        <is>
          <t>0683-0002</t>
        </is>
      </c>
      <c r="B159" s="21" t="inlineStr">
        <is>
          <t>Maria de Jesus Sanchez Aguayo</t>
        </is>
      </c>
      <c r="C159" s="21" t="inlineStr">
        <is>
          <t>700 Tradesman Regular Cab</t>
        </is>
      </c>
      <c r="D159" s="20" t="inlineStr">
        <is>
          <t>ACTIVO</t>
        </is>
      </c>
      <c r="E159" s="22" t="n">
        <v>36</v>
      </c>
      <c r="F159" s="23">
        <f>ROUND(Saldos_Cartera_Total!F159 + Saldo_Residual_Activo!I159, 2)</f>
        <v/>
      </c>
      <c r="G159" s="23">
        <f>ROUND(Saldos_Cartera_Total!G159 + Saldo_Residual_Activo!J159, 2)</f>
        <v/>
      </c>
      <c r="H159" s="23">
        <f>ROUND(Saldos_Cartera_Total!H159 + Saldo_Residual_Activo!K159, 2)</f>
        <v/>
      </c>
      <c r="I159" s="23">
        <f>ROUND(Saldos_Cartera_Total!I159 + Saldo_Residual_Activo!L159, 2)</f>
        <v/>
      </c>
      <c r="J159" s="23">
        <f>ROUND(Saldos_Cartera_Total!J159 + Saldo_Residual_Activo!M159, 2)</f>
        <v/>
      </c>
      <c r="K159" s="23">
        <f>ROUND(Saldos_Cartera_Total!K159 + Saldo_Residual_Activo!N159, 2)</f>
        <v/>
      </c>
      <c r="L159" s="23">
        <f>ROUND(Saldos_Cartera_Total!L159 + Saldo_Residual_Activo!O159, 2)</f>
        <v/>
      </c>
      <c r="M159" s="23">
        <f>ROUND(Saldos_Cartera_Total!M159 + Saldo_Residual_Activo!P159, 2)</f>
        <v/>
      </c>
      <c r="N159" s="23">
        <f>ROUND(Saldos_Cartera_Total!N159 + Saldo_Residual_Activo!Q159, 2)</f>
        <v/>
      </c>
      <c r="O159" s="23">
        <f>ROUND(Saldos_Cartera_Total!O159 + Saldo_Residual_Activo!R159, 2)</f>
        <v/>
      </c>
      <c r="P159" s="23">
        <f>ROUND(Saldos_Cartera_Total!P159 + Saldo_Residual_Activo!S159, 2)</f>
        <v/>
      </c>
      <c r="Q159" s="23">
        <f>ROUND(Saldos_Cartera_Total!Q159 + Saldo_Residual_Activo!T159, 2)</f>
        <v/>
      </c>
      <c r="R159" s="23">
        <f>MAX(F159:Q159)</f>
        <v/>
      </c>
    </row>
    <row r="160">
      <c r="A160" s="26" t="inlineStr">
        <is>
          <t>0684-0001</t>
        </is>
      </c>
      <c r="B160" s="27" t="inlineStr">
        <is>
          <t>Corporativo Kareso Sa de v</t>
        </is>
      </c>
      <c r="C160" s="27" t="inlineStr">
        <is>
          <t>GRAND CHEROKEE LIMITED</t>
        </is>
      </c>
      <c r="D160" s="26" t="inlineStr">
        <is>
          <t>ACTIVO</t>
        </is>
      </c>
      <c r="E160" s="28" t="n">
        <v>24</v>
      </c>
      <c r="F160" s="29">
        <f>ROUND(Saldos_Cartera_Total!F160 + Saldo_Residual_Activo!I160, 2)</f>
        <v/>
      </c>
      <c r="G160" s="29">
        <f>ROUND(Saldos_Cartera_Total!G160 + Saldo_Residual_Activo!J160, 2)</f>
        <v/>
      </c>
      <c r="H160" s="29">
        <f>ROUND(Saldos_Cartera_Total!H160 + Saldo_Residual_Activo!K160, 2)</f>
        <v/>
      </c>
      <c r="I160" s="29">
        <f>ROUND(Saldos_Cartera_Total!I160 + Saldo_Residual_Activo!L160, 2)</f>
        <v/>
      </c>
      <c r="J160" s="29">
        <f>ROUND(Saldos_Cartera_Total!J160 + Saldo_Residual_Activo!M160, 2)</f>
        <v/>
      </c>
      <c r="K160" s="29">
        <f>ROUND(Saldos_Cartera_Total!K160 + Saldo_Residual_Activo!N160, 2)</f>
        <v/>
      </c>
      <c r="L160" s="29">
        <f>ROUND(Saldos_Cartera_Total!L160 + Saldo_Residual_Activo!O160, 2)</f>
        <v/>
      </c>
      <c r="M160" s="29">
        <f>ROUND(Saldos_Cartera_Total!M160 + Saldo_Residual_Activo!P160, 2)</f>
        <v/>
      </c>
      <c r="N160" s="29">
        <f>ROUND(Saldos_Cartera_Total!N160 + Saldo_Residual_Activo!Q160, 2)</f>
        <v/>
      </c>
      <c r="O160" s="29">
        <f>ROUND(Saldos_Cartera_Total!O160 + Saldo_Residual_Activo!R160, 2)</f>
        <v/>
      </c>
      <c r="P160" s="29">
        <f>ROUND(Saldos_Cartera_Total!P160 + Saldo_Residual_Activo!S160, 2)</f>
        <v/>
      </c>
      <c r="Q160" s="29" t="inlineStr"/>
      <c r="R160" s="29">
        <f>MAX(F160:Q160)</f>
        <v/>
      </c>
    </row>
    <row r="161">
      <c r="A161" s="20" t="inlineStr">
        <is>
          <t>0684-0002</t>
        </is>
      </c>
      <c r="B161" s="21" t="inlineStr">
        <is>
          <t>Corporativo Kareso Sa de Cv</t>
        </is>
      </c>
      <c r="C161" s="21" t="inlineStr">
        <is>
          <t>NP300 Chasis</t>
        </is>
      </c>
      <c r="D161" s="20" t="inlineStr">
        <is>
          <t>ACTIVO</t>
        </is>
      </c>
      <c r="E161" s="22" t="n">
        <v>24</v>
      </c>
      <c r="F161" s="23">
        <f>ROUND(Saldos_Cartera_Total!F161 + Saldo_Residual_Activo!I161, 2)</f>
        <v/>
      </c>
      <c r="G161" s="23">
        <f>ROUND(Saldos_Cartera_Total!G161 + Saldo_Residual_Activo!J161, 2)</f>
        <v/>
      </c>
      <c r="H161" s="23">
        <f>ROUND(Saldos_Cartera_Total!H161 + Saldo_Residual_Activo!K161, 2)</f>
        <v/>
      </c>
      <c r="I161" s="23">
        <f>ROUND(Saldos_Cartera_Total!I161 + Saldo_Residual_Activo!L161, 2)</f>
        <v/>
      </c>
      <c r="J161" s="23">
        <f>ROUND(Saldos_Cartera_Total!J161 + Saldo_Residual_Activo!M161, 2)</f>
        <v/>
      </c>
      <c r="K161" s="23">
        <f>ROUND(Saldos_Cartera_Total!K161 + Saldo_Residual_Activo!N161, 2)</f>
        <v/>
      </c>
      <c r="L161" s="23">
        <f>ROUND(Saldos_Cartera_Total!L161 + Saldo_Residual_Activo!O161, 2)</f>
        <v/>
      </c>
      <c r="M161" s="23">
        <f>ROUND(Saldos_Cartera_Total!M161 + Saldo_Residual_Activo!P161, 2)</f>
        <v/>
      </c>
      <c r="N161" s="23">
        <f>ROUND(Saldos_Cartera_Total!N161 + Saldo_Residual_Activo!Q161, 2)</f>
        <v/>
      </c>
      <c r="O161" s="23">
        <f>ROUND(Saldos_Cartera_Total!O161 + Saldo_Residual_Activo!R161, 2)</f>
        <v/>
      </c>
      <c r="P161" s="23">
        <f>ROUND(Saldos_Cartera_Total!P161 + Saldo_Residual_Activo!S161, 2)</f>
        <v/>
      </c>
      <c r="Q161" s="23">
        <f>ROUND(Saldos_Cartera_Total!Q161 + Saldo_Residual_Activo!T161, 2)</f>
        <v/>
      </c>
      <c r="R161" s="23">
        <f>MAX(F161:Q161)</f>
        <v/>
      </c>
    </row>
    <row r="162">
      <c r="A162" s="26" t="inlineStr">
        <is>
          <t>0684-0003</t>
        </is>
      </c>
      <c r="B162" s="27" t="inlineStr">
        <is>
          <t>Corporativo Kareso Sa de Cv</t>
        </is>
      </c>
      <c r="C162" s="27" t="inlineStr">
        <is>
          <t>Yaris HB</t>
        </is>
      </c>
      <c r="D162" s="26" t="inlineStr">
        <is>
          <t>ACTIVO</t>
        </is>
      </c>
      <c r="E162" s="28" t="n">
        <v>24</v>
      </c>
      <c r="F162" s="29" t="inlineStr"/>
      <c r="G162" s="29">
        <f>ROUND(Saldos_Cartera_Total!G162 + Saldo_Residual_Activo!J162, 2)</f>
        <v/>
      </c>
      <c r="H162" s="29">
        <f>ROUND(Saldos_Cartera_Total!H162 + Saldo_Residual_Activo!K162, 2)</f>
        <v/>
      </c>
      <c r="I162" s="29">
        <f>ROUND(Saldos_Cartera_Total!I162 + Saldo_Residual_Activo!L162, 2)</f>
        <v/>
      </c>
      <c r="J162" s="29">
        <f>ROUND(Saldos_Cartera_Total!J162 + Saldo_Residual_Activo!M162, 2)</f>
        <v/>
      </c>
      <c r="K162" s="29">
        <f>ROUND(Saldos_Cartera_Total!K162 + Saldo_Residual_Activo!N162, 2)</f>
        <v/>
      </c>
      <c r="L162" s="29">
        <f>ROUND(Saldos_Cartera_Total!L162 + Saldo_Residual_Activo!O162, 2)</f>
        <v/>
      </c>
      <c r="M162" s="29">
        <f>ROUND(Saldos_Cartera_Total!M162 + Saldo_Residual_Activo!P162, 2)</f>
        <v/>
      </c>
      <c r="N162" s="29">
        <f>ROUND(Saldos_Cartera_Total!N162 + Saldo_Residual_Activo!Q162, 2)</f>
        <v/>
      </c>
      <c r="O162" s="29">
        <f>ROUND(Saldos_Cartera_Total!O162 + Saldo_Residual_Activo!R162, 2)</f>
        <v/>
      </c>
      <c r="P162" s="29">
        <f>ROUND(Saldos_Cartera_Total!P162 + Saldo_Residual_Activo!S162, 2)</f>
        <v/>
      </c>
      <c r="Q162" s="29">
        <f>ROUND(Saldos_Cartera_Total!Q162 + Saldo_Residual_Activo!T162, 2)</f>
        <v/>
      </c>
      <c r="R162" s="29">
        <f>MAX(F162:Q162)</f>
        <v/>
      </c>
    </row>
    <row r="163">
      <c r="A163" s="20" t="inlineStr">
        <is>
          <t>0684-0004</t>
        </is>
      </c>
      <c r="B163" s="21" t="inlineStr">
        <is>
          <t>Corporativo Kareso Sa de Cv</t>
        </is>
      </c>
      <c r="C163" s="21" t="inlineStr">
        <is>
          <t>700 LARAMIE CREW CAB</t>
        </is>
      </c>
      <c r="D163" s="20" t="inlineStr">
        <is>
          <t>ACTIVO</t>
        </is>
      </c>
      <c r="E163" s="22" t="n">
        <v>24</v>
      </c>
      <c r="F163" s="23">
        <f>ROUND(Saldos_Cartera_Total!F163 + Saldo_Residual_Activo!I163, 2)</f>
        <v/>
      </c>
      <c r="G163" s="23">
        <f>ROUND(Saldos_Cartera_Total!G163 + Saldo_Residual_Activo!J163, 2)</f>
        <v/>
      </c>
      <c r="H163" s="23">
        <f>ROUND(Saldos_Cartera_Total!H163 + Saldo_Residual_Activo!K163, 2)</f>
        <v/>
      </c>
      <c r="I163" s="23">
        <f>ROUND(Saldos_Cartera_Total!I163 + Saldo_Residual_Activo!L163, 2)</f>
        <v/>
      </c>
      <c r="J163" s="23">
        <f>ROUND(Saldos_Cartera_Total!J163 + Saldo_Residual_Activo!M163, 2)</f>
        <v/>
      </c>
      <c r="K163" s="23">
        <f>ROUND(Saldos_Cartera_Total!K163 + Saldo_Residual_Activo!N163, 2)</f>
        <v/>
      </c>
      <c r="L163" s="23">
        <f>ROUND(Saldos_Cartera_Total!L163 + Saldo_Residual_Activo!O163, 2)</f>
        <v/>
      </c>
      <c r="M163" s="23">
        <f>ROUND(Saldos_Cartera_Total!M163 + Saldo_Residual_Activo!P163, 2)</f>
        <v/>
      </c>
      <c r="N163" s="23">
        <f>ROUND(Saldos_Cartera_Total!N163 + Saldo_Residual_Activo!Q163, 2)</f>
        <v/>
      </c>
      <c r="O163" s="23">
        <f>ROUND(Saldos_Cartera_Total!O163 + Saldo_Residual_Activo!R163, 2)</f>
        <v/>
      </c>
      <c r="P163" s="23">
        <f>ROUND(Saldos_Cartera_Total!P163 + Saldo_Residual_Activo!S163, 2)</f>
        <v/>
      </c>
      <c r="Q163" s="23">
        <f>ROUND(Saldos_Cartera_Total!Q163 + Saldo_Residual_Activo!T163, 2)</f>
        <v/>
      </c>
      <c r="R163" s="23">
        <f>MAX(F163:Q163)</f>
        <v/>
      </c>
    </row>
    <row r="164">
      <c r="A164" s="26" t="inlineStr">
        <is>
          <t>0687-0001</t>
        </is>
      </c>
      <c r="B164" s="27" t="inlineStr">
        <is>
          <t>Roberto Carlos Borbolla Alvarado</t>
        </is>
      </c>
      <c r="C164" s="27" t="inlineStr">
        <is>
          <t>Creta</t>
        </is>
      </c>
      <c r="D164" s="26" t="inlineStr">
        <is>
          <t>ACTIVO</t>
        </is>
      </c>
      <c r="E164" s="28" t="n">
        <v>36</v>
      </c>
      <c r="F164" s="29">
        <f>ROUND(Saldos_Cartera_Total!F164 + Saldo_Residual_Activo!I164, 2)</f>
        <v/>
      </c>
      <c r="G164" s="29">
        <f>ROUND(Saldos_Cartera_Total!G164 + Saldo_Residual_Activo!J164, 2)</f>
        <v/>
      </c>
      <c r="H164" s="29">
        <f>ROUND(Saldos_Cartera_Total!H164 + Saldo_Residual_Activo!K164, 2)</f>
        <v/>
      </c>
      <c r="I164" s="29">
        <f>ROUND(Saldos_Cartera_Total!I164 + Saldo_Residual_Activo!L164, 2)</f>
        <v/>
      </c>
      <c r="J164" s="29">
        <f>ROUND(Saldos_Cartera_Total!J164 + Saldo_Residual_Activo!M164, 2)</f>
        <v/>
      </c>
      <c r="K164" s="29">
        <f>ROUND(Saldos_Cartera_Total!K164 + Saldo_Residual_Activo!N164, 2)</f>
        <v/>
      </c>
      <c r="L164" s="29">
        <f>ROUND(Saldos_Cartera_Total!L164 + Saldo_Residual_Activo!O164, 2)</f>
        <v/>
      </c>
      <c r="M164" s="29">
        <f>ROUND(Saldos_Cartera_Total!M164 + Saldo_Residual_Activo!P164, 2)</f>
        <v/>
      </c>
      <c r="N164" s="29">
        <f>ROUND(Saldos_Cartera_Total!N164 + Saldo_Residual_Activo!Q164, 2)</f>
        <v/>
      </c>
      <c r="O164" s="29">
        <f>ROUND(Saldos_Cartera_Total!O164 + Saldo_Residual_Activo!R164, 2)</f>
        <v/>
      </c>
      <c r="P164" s="29">
        <f>ROUND(Saldos_Cartera_Total!P164 + Saldo_Residual_Activo!S164, 2)</f>
        <v/>
      </c>
      <c r="Q164" s="29">
        <f>ROUND(Saldos_Cartera_Total!Q164 + Saldo_Residual_Activo!T164, 2)</f>
        <v/>
      </c>
      <c r="R164" s="29">
        <f>MAX(F164:Q164)</f>
        <v/>
      </c>
    </row>
    <row r="165">
      <c r="A165" s="20" t="inlineStr">
        <is>
          <t>0688-0001</t>
        </is>
      </c>
      <c r="B165" s="21" t="inlineStr">
        <is>
          <t>Dolores Magdalena Rosales Rojas</t>
        </is>
      </c>
      <c r="C165" s="21" t="inlineStr">
        <is>
          <t>1500 RHO</t>
        </is>
      </c>
      <c r="D165" s="20" t="inlineStr">
        <is>
          <t>ACTIVO</t>
        </is>
      </c>
      <c r="E165" s="22" t="n">
        <v>24</v>
      </c>
      <c r="F165" s="23">
        <f>ROUND(Saldos_Cartera_Total!F165 + Saldo_Residual_Activo!I165, 2)</f>
        <v/>
      </c>
      <c r="G165" s="23">
        <f>ROUND(Saldos_Cartera_Total!G165 + Saldo_Residual_Activo!J165, 2)</f>
        <v/>
      </c>
      <c r="H165" s="23">
        <f>ROUND(Saldos_Cartera_Total!H165 + Saldo_Residual_Activo!K165, 2)</f>
        <v/>
      </c>
      <c r="I165" s="23">
        <f>ROUND(Saldos_Cartera_Total!I165 + Saldo_Residual_Activo!L165, 2)</f>
        <v/>
      </c>
      <c r="J165" s="23">
        <f>ROUND(Saldos_Cartera_Total!J165 + Saldo_Residual_Activo!M165, 2)</f>
        <v/>
      </c>
      <c r="K165" s="23">
        <f>ROUND(Saldos_Cartera_Total!K165 + Saldo_Residual_Activo!N165, 2)</f>
        <v/>
      </c>
      <c r="L165" s="23">
        <f>ROUND(Saldos_Cartera_Total!L165 + Saldo_Residual_Activo!O165, 2)</f>
        <v/>
      </c>
      <c r="M165" s="23">
        <f>ROUND(Saldos_Cartera_Total!M165 + Saldo_Residual_Activo!P165, 2)</f>
        <v/>
      </c>
      <c r="N165" s="23">
        <f>ROUND(Saldos_Cartera_Total!N165 + Saldo_Residual_Activo!Q165, 2)</f>
        <v/>
      </c>
      <c r="O165" s="23">
        <f>ROUND(Saldos_Cartera_Total!O165 + Saldo_Residual_Activo!R165, 2)</f>
        <v/>
      </c>
      <c r="P165" s="23">
        <f>ROUND(Saldos_Cartera_Total!P165 + Saldo_Residual_Activo!S165, 2)</f>
        <v/>
      </c>
      <c r="Q165" s="23">
        <f>ROUND(Saldos_Cartera_Total!Q165 + Saldo_Residual_Activo!T165, 2)</f>
        <v/>
      </c>
      <c r="R165" s="23">
        <f>MAX(F165:Q165)</f>
        <v/>
      </c>
    </row>
    <row r="166">
      <c r="A166" s="26" t="inlineStr">
        <is>
          <t>0688-0003</t>
        </is>
      </c>
      <c r="B166" s="27" t="inlineStr">
        <is>
          <t>Dolores Magdalena Rosales Rojas</t>
        </is>
      </c>
      <c r="C166" s="27" t="inlineStr">
        <is>
          <t>Jeep Jt Mojave 2025</t>
        </is>
      </c>
      <c r="D166" s="26" t="inlineStr">
        <is>
          <t>ACTIVO</t>
        </is>
      </c>
      <c r="E166" s="28" t="n">
        <v>12</v>
      </c>
      <c r="F166" s="29" t="inlineStr"/>
      <c r="G166" s="29" t="inlineStr"/>
      <c r="H166" s="29" t="inlineStr"/>
      <c r="I166" s="29" t="inlineStr"/>
      <c r="J166" s="29" t="inlineStr"/>
      <c r="K166" s="29" t="inlineStr"/>
      <c r="L166" s="29">
        <f>ROUND(Saldos_Cartera_Total!L166 + Saldo_Residual_Activo!O166, 2)</f>
        <v/>
      </c>
      <c r="M166" s="29">
        <f>ROUND(Saldos_Cartera_Total!M166 + Saldo_Residual_Activo!P166, 2)</f>
        <v/>
      </c>
      <c r="N166" s="29">
        <f>ROUND(Saldos_Cartera_Total!N166 + Saldo_Residual_Activo!Q166, 2)</f>
        <v/>
      </c>
      <c r="O166" s="29">
        <f>ROUND(Saldos_Cartera_Total!O166 + Saldo_Residual_Activo!R166, 2)</f>
        <v/>
      </c>
      <c r="P166" s="29">
        <f>ROUND(Saldos_Cartera_Total!P166 + Saldo_Residual_Activo!S166, 2)</f>
        <v/>
      </c>
      <c r="Q166" s="29">
        <f>ROUND(Saldos_Cartera_Total!Q166 + Saldo_Residual_Activo!T166, 2)</f>
        <v/>
      </c>
      <c r="R166" s="29">
        <f>MAX(F166:Q166)</f>
        <v/>
      </c>
    </row>
    <row r="167">
      <c r="A167" s="20" t="inlineStr">
        <is>
          <t>0689-0001</t>
        </is>
      </c>
      <c r="B167" s="21" t="inlineStr">
        <is>
          <t>Daniela Lizette Vargas Machuca</t>
        </is>
      </c>
      <c r="C167" s="21" t="inlineStr">
        <is>
          <t>1500 TUNGSTEN</t>
        </is>
      </c>
      <c r="D167" s="20" t="inlineStr">
        <is>
          <t>ACTIVO</t>
        </is>
      </c>
      <c r="E167" s="22" t="n">
        <v>36</v>
      </c>
      <c r="F167" s="23">
        <f>ROUND(Saldos_Cartera_Total!F167 + Saldo_Residual_Activo!I167, 2)</f>
        <v/>
      </c>
      <c r="G167" s="23">
        <f>ROUND(Saldos_Cartera_Total!G167 + Saldo_Residual_Activo!J167, 2)</f>
        <v/>
      </c>
      <c r="H167" s="23">
        <f>ROUND(Saldos_Cartera_Total!H167 + Saldo_Residual_Activo!K167, 2)</f>
        <v/>
      </c>
      <c r="I167" s="23">
        <f>ROUND(Saldos_Cartera_Total!I167 + Saldo_Residual_Activo!L167, 2)</f>
        <v/>
      </c>
      <c r="J167" s="23">
        <f>ROUND(Saldos_Cartera_Total!J167 + Saldo_Residual_Activo!M167, 2)</f>
        <v/>
      </c>
      <c r="K167" s="23">
        <f>ROUND(Saldos_Cartera_Total!K167 + Saldo_Residual_Activo!N167, 2)</f>
        <v/>
      </c>
      <c r="L167" s="23">
        <f>ROUND(Saldos_Cartera_Total!L167 + Saldo_Residual_Activo!O167, 2)</f>
        <v/>
      </c>
      <c r="M167" s="23">
        <f>ROUND(Saldos_Cartera_Total!M167 + Saldo_Residual_Activo!P167, 2)</f>
        <v/>
      </c>
      <c r="N167" s="23">
        <f>ROUND(Saldos_Cartera_Total!N167 + Saldo_Residual_Activo!Q167, 2)</f>
        <v/>
      </c>
      <c r="O167" s="23">
        <f>ROUND(Saldos_Cartera_Total!O167 + Saldo_Residual_Activo!R167, 2)</f>
        <v/>
      </c>
      <c r="P167" s="23">
        <f>ROUND(Saldos_Cartera_Total!P167 + Saldo_Residual_Activo!S167, 2)</f>
        <v/>
      </c>
      <c r="Q167" s="23">
        <f>ROUND(Saldos_Cartera_Total!Q167 + Saldo_Residual_Activo!T167, 2)</f>
        <v/>
      </c>
      <c r="R167" s="23">
        <f>MAX(F167:Q167)</f>
        <v/>
      </c>
    </row>
    <row r="168">
      <c r="A168" s="26" t="inlineStr">
        <is>
          <t>0690-0001</t>
        </is>
      </c>
      <c r="B168" s="27" t="inlineStr">
        <is>
          <t>Rogelio Sanchez Partida</t>
        </is>
      </c>
      <c r="C168" s="27" t="inlineStr">
        <is>
          <t>Grand Cherokee Limited</t>
        </is>
      </c>
      <c r="D168" s="26" t="inlineStr">
        <is>
          <t>ACTIVO</t>
        </is>
      </c>
      <c r="E168" s="28" t="n">
        <v>36</v>
      </c>
      <c r="F168" s="29">
        <f>ROUND(Saldos_Cartera_Total!F168 + Saldo_Residual_Activo!I168, 2)</f>
        <v/>
      </c>
      <c r="G168" s="29">
        <f>ROUND(Saldos_Cartera_Total!G168 + Saldo_Residual_Activo!J168, 2)</f>
        <v/>
      </c>
      <c r="H168" s="29">
        <f>ROUND(Saldos_Cartera_Total!H168 + Saldo_Residual_Activo!K168, 2)</f>
        <v/>
      </c>
      <c r="I168" s="29">
        <f>ROUND(Saldos_Cartera_Total!I168 + Saldo_Residual_Activo!L168, 2)</f>
        <v/>
      </c>
      <c r="J168" s="29">
        <f>ROUND(Saldos_Cartera_Total!J168 + Saldo_Residual_Activo!M168, 2)</f>
        <v/>
      </c>
      <c r="K168" s="29">
        <f>ROUND(Saldos_Cartera_Total!K168 + Saldo_Residual_Activo!N168, 2)</f>
        <v/>
      </c>
      <c r="L168" s="29">
        <f>ROUND(Saldos_Cartera_Total!L168 + Saldo_Residual_Activo!O168, 2)</f>
        <v/>
      </c>
      <c r="M168" s="29">
        <f>ROUND(Saldos_Cartera_Total!M168 + Saldo_Residual_Activo!P168, 2)</f>
        <v/>
      </c>
      <c r="N168" s="29">
        <f>ROUND(Saldos_Cartera_Total!N168 + Saldo_Residual_Activo!Q168, 2)</f>
        <v/>
      </c>
      <c r="O168" s="29">
        <f>ROUND(Saldos_Cartera_Total!O168 + Saldo_Residual_Activo!R168, 2)</f>
        <v/>
      </c>
      <c r="P168" s="29">
        <f>ROUND(Saldos_Cartera_Total!P168 + Saldo_Residual_Activo!S168, 2)</f>
        <v/>
      </c>
      <c r="Q168" s="29">
        <f>ROUND(Saldos_Cartera_Total!Q168 + Saldo_Residual_Activo!T168, 2)</f>
        <v/>
      </c>
      <c r="R168" s="29">
        <f>MAX(F168:Q168)</f>
        <v/>
      </c>
    </row>
    <row r="169">
      <c r="A169" s="20" t="inlineStr">
        <is>
          <t>0691-0001</t>
        </is>
      </c>
      <c r="B169" s="21" t="inlineStr">
        <is>
          <t>Pfc Films</t>
        </is>
      </c>
      <c r="C169" s="21" t="inlineStr">
        <is>
          <t>2008 allure Pack</t>
        </is>
      </c>
      <c r="D169" s="20" t="inlineStr">
        <is>
          <t>ACTIVO</t>
        </is>
      </c>
      <c r="E169" s="22" t="n">
        <v>24</v>
      </c>
      <c r="F169" s="23">
        <f>ROUND(Saldos_Cartera_Total!F169 + Saldo_Residual_Activo!I169, 2)</f>
        <v/>
      </c>
      <c r="G169" s="23">
        <f>ROUND(Saldos_Cartera_Total!G169 + Saldo_Residual_Activo!J169, 2)</f>
        <v/>
      </c>
      <c r="H169" s="23">
        <f>ROUND(Saldos_Cartera_Total!H169 + Saldo_Residual_Activo!K169, 2)</f>
        <v/>
      </c>
      <c r="I169" s="23">
        <f>ROUND(Saldos_Cartera_Total!I169 + Saldo_Residual_Activo!L169, 2)</f>
        <v/>
      </c>
      <c r="J169" s="23">
        <f>ROUND(Saldos_Cartera_Total!J169 + Saldo_Residual_Activo!M169, 2)</f>
        <v/>
      </c>
      <c r="K169" s="23">
        <f>ROUND(Saldos_Cartera_Total!K169 + Saldo_Residual_Activo!N169, 2)</f>
        <v/>
      </c>
      <c r="L169" s="23">
        <f>ROUND(Saldos_Cartera_Total!L169 + Saldo_Residual_Activo!O169, 2)</f>
        <v/>
      </c>
      <c r="M169" s="23">
        <f>ROUND(Saldos_Cartera_Total!M169 + Saldo_Residual_Activo!P169, 2)</f>
        <v/>
      </c>
      <c r="N169" s="23">
        <f>ROUND(Saldos_Cartera_Total!N169 + Saldo_Residual_Activo!Q169, 2)</f>
        <v/>
      </c>
      <c r="O169" s="23">
        <f>ROUND(Saldos_Cartera_Total!O169 + Saldo_Residual_Activo!R169, 2)</f>
        <v/>
      </c>
      <c r="P169" s="23">
        <f>ROUND(Saldos_Cartera_Total!P169 + Saldo_Residual_Activo!S169, 2)</f>
        <v/>
      </c>
      <c r="Q169" s="23">
        <f>ROUND(Saldos_Cartera_Total!Q169 + Saldo_Residual_Activo!T169, 2)</f>
        <v/>
      </c>
      <c r="R169" s="23">
        <f>MAX(F169:Q169)</f>
        <v/>
      </c>
    </row>
    <row r="170">
      <c r="A170" s="26" t="inlineStr">
        <is>
          <t>0692-0001</t>
        </is>
      </c>
      <c r="B170" s="27" t="inlineStr">
        <is>
          <t>Operadora de Centros Familiares Gato</t>
        </is>
      </c>
      <c r="C170" s="27" t="inlineStr">
        <is>
          <t>Partner Rapid</t>
        </is>
      </c>
      <c r="D170" s="26" t="inlineStr">
        <is>
          <t>ACTIVO</t>
        </is>
      </c>
      <c r="E170" s="28" t="n">
        <v>24</v>
      </c>
      <c r="F170" s="29">
        <f>ROUND(Saldos_Cartera_Total!F170 + Saldo_Residual_Activo!I170, 2)</f>
        <v/>
      </c>
      <c r="G170" s="29">
        <f>ROUND(Saldos_Cartera_Total!G170 + Saldo_Residual_Activo!J170, 2)</f>
        <v/>
      </c>
      <c r="H170" s="29">
        <f>ROUND(Saldos_Cartera_Total!H170 + Saldo_Residual_Activo!K170, 2)</f>
        <v/>
      </c>
      <c r="I170" s="29">
        <f>ROUND(Saldos_Cartera_Total!I170 + Saldo_Residual_Activo!L170, 2)</f>
        <v/>
      </c>
      <c r="J170" s="29">
        <f>ROUND(Saldos_Cartera_Total!J170 + Saldo_Residual_Activo!M170, 2)</f>
        <v/>
      </c>
      <c r="K170" s="29">
        <f>ROUND(Saldos_Cartera_Total!K170 + Saldo_Residual_Activo!N170, 2)</f>
        <v/>
      </c>
      <c r="L170" s="29">
        <f>ROUND(Saldos_Cartera_Total!L170 + Saldo_Residual_Activo!O170, 2)</f>
        <v/>
      </c>
      <c r="M170" s="29">
        <f>ROUND(Saldos_Cartera_Total!M170 + Saldo_Residual_Activo!P170, 2)</f>
        <v/>
      </c>
      <c r="N170" s="29">
        <f>ROUND(Saldos_Cartera_Total!N170 + Saldo_Residual_Activo!Q170, 2)</f>
        <v/>
      </c>
      <c r="O170" s="29">
        <f>ROUND(Saldos_Cartera_Total!O170 + Saldo_Residual_Activo!R170, 2)</f>
        <v/>
      </c>
      <c r="P170" s="29">
        <f>ROUND(Saldos_Cartera_Total!P170 + Saldo_Residual_Activo!S170, 2)</f>
        <v/>
      </c>
      <c r="Q170" s="29">
        <f>ROUND(Saldos_Cartera_Total!Q170 + Saldo_Residual_Activo!T170, 2)</f>
        <v/>
      </c>
      <c r="R170" s="29">
        <f>MAX(F170:Q170)</f>
        <v/>
      </c>
    </row>
    <row r="171">
      <c r="A171" s="20" t="inlineStr">
        <is>
          <t>0692-0002</t>
        </is>
      </c>
      <c r="B171" s="21" t="inlineStr">
        <is>
          <t>Operadora de Centros Familiares Gato</t>
        </is>
      </c>
      <c r="C171" s="21" t="inlineStr">
        <is>
          <t>Partner Rapid</t>
        </is>
      </c>
      <c r="D171" s="20" t="inlineStr">
        <is>
          <t>ACTIVO</t>
        </is>
      </c>
      <c r="E171" s="22" t="n">
        <v>24</v>
      </c>
      <c r="F171" s="23">
        <f>ROUND(Saldos_Cartera_Total!F171 + Saldo_Residual_Activo!I171, 2)</f>
        <v/>
      </c>
      <c r="G171" s="23">
        <f>ROUND(Saldos_Cartera_Total!G171 + Saldo_Residual_Activo!J171, 2)</f>
        <v/>
      </c>
      <c r="H171" s="23">
        <f>ROUND(Saldos_Cartera_Total!H171 + Saldo_Residual_Activo!K171, 2)</f>
        <v/>
      </c>
      <c r="I171" s="23">
        <f>ROUND(Saldos_Cartera_Total!I171 + Saldo_Residual_Activo!L171, 2)</f>
        <v/>
      </c>
      <c r="J171" s="23">
        <f>ROUND(Saldos_Cartera_Total!J171 + Saldo_Residual_Activo!M171, 2)</f>
        <v/>
      </c>
      <c r="K171" s="23">
        <f>ROUND(Saldos_Cartera_Total!K171 + Saldo_Residual_Activo!N171, 2)</f>
        <v/>
      </c>
      <c r="L171" s="23">
        <f>ROUND(Saldos_Cartera_Total!L171 + Saldo_Residual_Activo!O171, 2)</f>
        <v/>
      </c>
      <c r="M171" s="23">
        <f>ROUND(Saldos_Cartera_Total!M171 + Saldo_Residual_Activo!P171, 2)</f>
        <v/>
      </c>
      <c r="N171" s="23">
        <f>ROUND(Saldos_Cartera_Total!N171 + Saldo_Residual_Activo!Q171, 2)</f>
        <v/>
      </c>
      <c r="O171" s="23">
        <f>ROUND(Saldos_Cartera_Total!O171 + Saldo_Residual_Activo!R171, 2)</f>
        <v/>
      </c>
      <c r="P171" s="23">
        <f>ROUND(Saldos_Cartera_Total!P171 + Saldo_Residual_Activo!S171, 2)</f>
        <v/>
      </c>
      <c r="Q171" s="23">
        <f>ROUND(Saldos_Cartera_Total!Q171 + Saldo_Residual_Activo!T171, 2)</f>
        <v/>
      </c>
      <c r="R171" s="23">
        <f>MAX(F171:Q171)</f>
        <v/>
      </c>
    </row>
    <row r="172">
      <c r="A172" s="26" t="inlineStr">
        <is>
          <t>0692-0003</t>
        </is>
      </c>
      <c r="B172" s="27" t="inlineStr">
        <is>
          <t>Operadora de Centros Familiares Gato</t>
        </is>
      </c>
      <c r="C172" s="27" t="inlineStr">
        <is>
          <t>Partner Rapid</t>
        </is>
      </c>
      <c r="D172" s="26" t="inlineStr">
        <is>
          <t>ACTIVO</t>
        </is>
      </c>
      <c r="E172" s="28" t="n">
        <v>24</v>
      </c>
      <c r="F172" s="29">
        <f>ROUND(Saldos_Cartera_Total!F172 + Saldo_Residual_Activo!I172, 2)</f>
        <v/>
      </c>
      <c r="G172" s="29">
        <f>ROUND(Saldos_Cartera_Total!G172 + Saldo_Residual_Activo!J172, 2)</f>
        <v/>
      </c>
      <c r="H172" s="29">
        <f>ROUND(Saldos_Cartera_Total!H172 + Saldo_Residual_Activo!K172, 2)</f>
        <v/>
      </c>
      <c r="I172" s="29">
        <f>ROUND(Saldos_Cartera_Total!I172 + Saldo_Residual_Activo!L172, 2)</f>
        <v/>
      </c>
      <c r="J172" s="29">
        <f>ROUND(Saldos_Cartera_Total!J172 + Saldo_Residual_Activo!M172, 2)</f>
        <v/>
      </c>
      <c r="K172" s="29">
        <f>ROUND(Saldos_Cartera_Total!K172 + Saldo_Residual_Activo!N172, 2)</f>
        <v/>
      </c>
      <c r="L172" s="29">
        <f>ROUND(Saldos_Cartera_Total!L172 + Saldo_Residual_Activo!O172, 2)</f>
        <v/>
      </c>
      <c r="M172" s="29">
        <f>ROUND(Saldos_Cartera_Total!M172 + Saldo_Residual_Activo!P172, 2)</f>
        <v/>
      </c>
      <c r="N172" s="29">
        <f>ROUND(Saldos_Cartera_Total!N172 + Saldo_Residual_Activo!Q172, 2)</f>
        <v/>
      </c>
      <c r="O172" s="29">
        <f>ROUND(Saldos_Cartera_Total!O172 + Saldo_Residual_Activo!R172, 2)</f>
        <v/>
      </c>
      <c r="P172" s="29">
        <f>ROUND(Saldos_Cartera_Total!P172 + Saldo_Residual_Activo!S172, 2)</f>
        <v/>
      </c>
      <c r="Q172" s="29">
        <f>ROUND(Saldos_Cartera_Total!Q172 + Saldo_Residual_Activo!T172, 2)</f>
        <v/>
      </c>
      <c r="R172" s="29">
        <f>MAX(F172:Q172)</f>
        <v/>
      </c>
    </row>
    <row r="173">
      <c r="A173" s="20" t="inlineStr">
        <is>
          <t>0693-0001</t>
        </is>
      </c>
      <c r="B173" s="21" t="inlineStr">
        <is>
          <t>Neurovim</t>
        </is>
      </c>
      <c r="C173" s="21" t="inlineStr">
        <is>
          <t>Equipo Medico</t>
        </is>
      </c>
      <c r="D173" s="20" t="inlineStr">
        <is>
          <t>ACTIVO</t>
        </is>
      </c>
      <c r="E173" s="22" t="n">
        <v>36</v>
      </c>
      <c r="F173" s="23">
        <f>ROUND(Saldos_Cartera_Total!F173 + Saldo_Residual_Activo!I173, 2)</f>
        <v/>
      </c>
      <c r="G173" s="23">
        <f>ROUND(Saldos_Cartera_Total!G173 + Saldo_Residual_Activo!J173, 2)</f>
        <v/>
      </c>
      <c r="H173" s="23">
        <f>ROUND(Saldos_Cartera_Total!H173 + Saldo_Residual_Activo!K173, 2)</f>
        <v/>
      </c>
      <c r="I173" s="23">
        <f>ROUND(Saldos_Cartera_Total!I173 + Saldo_Residual_Activo!L173, 2)</f>
        <v/>
      </c>
      <c r="J173" s="23">
        <f>ROUND(Saldos_Cartera_Total!J173 + Saldo_Residual_Activo!M173, 2)</f>
        <v/>
      </c>
      <c r="K173" s="23">
        <f>ROUND(Saldos_Cartera_Total!K173 + Saldo_Residual_Activo!N173, 2)</f>
        <v/>
      </c>
      <c r="L173" s="23">
        <f>ROUND(Saldos_Cartera_Total!L173 + Saldo_Residual_Activo!O173, 2)</f>
        <v/>
      </c>
      <c r="M173" s="23">
        <f>ROUND(Saldos_Cartera_Total!M173 + Saldo_Residual_Activo!P173, 2)</f>
        <v/>
      </c>
      <c r="N173" s="23">
        <f>ROUND(Saldos_Cartera_Total!N173 + Saldo_Residual_Activo!Q173, 2)</f>
        <v/>
      </c>
      <c r="O173" s="23">
        <f>ROUND(Saldos_Cartera_Total!O173 + Saldo_Residual_Activo!R173, 2)</f>
        <v/>
      </c>
      <c r="P173" s="23">
        <f>ROUND(Saldos_Cartera_Total!P173 + Saldo_Residual_Activo!S173, 2)</f>
        <v/>
      </c>
      <c r="Q173" s="23">
        <f>ROUND(Saldos_Cartera_Total!Q173 + Saldo_Residual_Activo!T173, 2)</f>
        <v/>
      </c>
      <c r="R173" s="23">
        <f>MAX(F173:Q173)</f>
        <v/>
      </c>
    </row>
    <row r="174">
      <c r="A174" s="26" t="inlineStr">
        <is>
          <t>0694-0001</t>
        </is>
      </c>
      <c r="B174" s="27" t="inlineStr">
        <is>
          <t>Jose Gelacio Limon Reyes</t>
        </is>
      </c>
      <c r="C174" s="27" t="inlineStr">
        <is>
          <t>Outlander Sport</t>
        </is>
      </c>
      <c r="D174" s="26" t="inlineStr">
        <is>
          <t>ACTIVO</t>
        </is>
      </c>
      <c r="E174" s="28" t="n">
        <v>48</v>
      </c>
      <c r="F174" s="29">
        <f>ROUND(Saldos_Cartera_Total!F174 + Saldo_Residual_Activo!I174, 2)</f>
        <v/>
      </c>
      <c r="G174" s="29">
        <f>ROUND(Saldos_Cartera_Total!G174 + Saldo_Residual_Activo!J174, 2)</f>
        <v/>
      </c>
      <c r="H174" s="29">
        <f>ROUND(Saldos_Cartera_Total!H174 + Saldo_Residual_Activo!K174, 2)</f>
        <v/>
      </c>
      <c r="I174" s="29">
        <f>ROUND(Saldos_Cartera_Total!I174 + Saldo_Residual_Activo!L174, 2)</f>
        <v/>
      </c>
      <c r="J174" s="29">
        <f>ROUND(Saldos_Cartera_Total!J174 + Saldo_Residual_Activo!M174, 2)</f>
        <v/>
      </c>
      <c r="K174" s="29">
        <f>ROUND(Saldos_Cartera_Total!K174 + Saldo_Residual_Activo!N174, 2)</f>
        <v/>
      </c>
      <c r="L174" s="29">
        <f>ROUND(Saldos_Cartera_Total!L174 + Saldo_Residual_Activo!O174, 2)</f>
        <v/>
      </c>
      <c r="M174" s="29">
        <f>ROUND(Saldos_Cartera_Total!M174 + Saldo_Residual_Activo!P174, 2)</f>
        <v/>
      </c>
      <c r="N174" s="29">
        <f>ROUND(Saldos_Cartera_Total!N174 + Saldo_Residual_Activo!Q174, 2)</f>
        <v/>
      </c>
      <c r="O174" s="29">
        <f>ROUND(Saldos_Cartera_Total!O174 + Saldo_Residual_Activo!R174, 2)</f>
        <v/>
      </c>
      <c r="P174" s="29">
        <f>ROUND(Saldos_Cartera_Total!P174 + Saldo_Residual_Activo!S174, 2)</f>
        <v/>
      </c>
      <c r="Q174" s="29">
        <f>ROUND(Saldos_Cartera_Total!Q174 + Saldo_Residual_Activo!T174, 2)</f>
        <v/>
      </c>
      <c r="R174" s="29">
        <f>MAX(F174:Q174)</f>
        <v/>
      </c>
    </row>
    <row r="175">
      <c r="A175" s="20" t="inlineStr">
        <is>
          <t>0695-0001</t>
        </is>
      </c>
      <c r="B175" s="21" t="inlineStr">
        <is>
          <t>Sistemas de Seguridad Privada Ssp</t>
        </is>
      </c>
      <c r="C175" s="21" t="inlineStr">
        <is>
          <t>Attitude Sport</t>
        </is>
      </c>
      <c r="D175" s="20" t="inlineStr">
        <is>
          <t>ACTIVO</t>
        </is>
      </c>
      <c r="E175" s="22" t="n">
        <v>24</v>
      </c>
      <c r="F175" s="23">
        <f>ROUND(Saldos_Cartera_Total!F175 + Saldo_Residual_Activo!I175, 2)</f>
        <v/>
      </c>
      <c r="G175" s="23">
        <f>ROUND(Saldos_Cartera_Total!G175 + Saldo_Residual_Activo!J175, 2)</f>
        <v/>
      </c>
      <c r="H175" s="23">
        <f>ROUND(Saldos_Cartera_Total!H175 + Saldo_Residual_Activo!K175, 2)</f>
        <v/>
      </c>
      <c r="I175" s="23">
        <f>ROUND(Saldos_Cartera_Total!I175 + Saldo_Residual_Activo!L175, 2)</f>
        <v/>
      </c>
      <c r="J175" s="23">
        <f>ROUND(Saldos_Cartera_Total!J175 + Saldo_Residual_Activo!M175, 2)</f>
        <v/>
      </c>
      <c r="K175" s="23">
        <f>ROUND(Saldos_Cartera_Total!K175 + Saldo_Residual_Activo!N175, 2)</f>
        <v/>
      </c>
      <c r="L175" s="23">
        <f>ROUND(Saldos_Cartera_Total!L175 + Saldo_Residual_Activo!O175, 2)</f>
        <v/>
      </c>
      <c r="M175" s="23">
        <f>ROUND(Saldos_Cartera_Total!M175 + Saldo_Residual_Activo!P175, 2)</f>
        <v/>
      </c>
      <c r="N175" s="23">
        <f>ROUND(Saldos_Cartera_Total!N175 + Saldo_Residual_Activo!Q175, 2)</f>
        <v/>
      </c>
      <c r="O175" s="23">
        <f>ROUND(Saldos_Cartera_Total!O175 + Saldo_Residual_Activo!R175, 2)</f>
        <v/>
      </c>
      <c r="P175" s="23">
        <f>ROUND(Saldos_Cartera_Total!P175 + Saldo_Residual_Activo!S175, 2)</f>
        <v/>
      </c>
      <c r="Q175" s="23">
        <f>ROUND(Saldos_Cartera_Total!Q175 + Saldo_Residual_Activo!T175, 2)</f>
        <v/>
      </c>
      <c r="R175" s="23">
        <f>MAX(F175:Q175)</f>
        <v/>
      </c>
    </row>
    <row r="176">
      <c r="A176" s="26" t="inlineStr">
        <is>
          <t>0696-0001</t>
        </is>
      </c>
      <c r="B176" s="27" t="inlineStr">
        <is>
          <t>Karina Rocio Sanchez Cardenas</t>
        </is>
      </c>
      <c r="C176" s="27" t="inlineStr">
        <is>
          <t>Atittude GT</t>
        </is>
      </c>
      <c r="D176" s="26" t="inlineStr">
        <is>
          <t>ACTIVO</t>
        </is>
      </c>
      <c r="E176" s="28" t="n">
        <v>48</v>
      </c>
      <c r="F176" s="29">
        <f>ROUND(Saldos_Cartera_Total!F176 + Saldo_Residual_Activo!I176, 2)</f>
        <v/>
      </c>
      <c r="G176" s="29">
        <f>ROUND(Saldos_Cartera_Total!G176 + Saldo_Residual_Activo!J176, 2)</f>
        <v/>
      </c>
      <c r="H176" s="29">
        <f>ROUND(Saldos_Cartera_Total!H176 + Saldo_Residual_Activo!K176, 2)</f>
        <v/>
      </c>
      <c r="I176" s="29">
        <f>ROUND(Saldos_Cartera_Total!I176 + Saldo_Residual_Activo!L176, 2)</f>
        <v/>
      </c>
      <c r="J176" s="29">
        <f>ROUND(Saldos_Cartera_Total!J176 + Saldo_Residual_Activo!M176, 2)</f>
        <v/>
      </c>
      <c r="K176" s="29">
        <f>ROUND(Saldos_Cartera_Total!K176 + Saldo_Residual_Activo!N176, 2)</f>
        <v/>
      </c>
      <c r="L176" s="29">
        <f>ROUND(Saldos_Cartera_Total!L176 + Saldo_Residual_Activo!O176, 2)</f>
        <v/>
      </c>
      <c r="M176" s="29">
        <f>ROUND(Saldos_Cartera_Total!M176 + Saldo_Residual_Activo!P176, 2)</f>
        <v/>
      </c>
      <c r="N176" s="29">
        <f>ROUND(Saldos_Cartera_Total!N176 + Saldo_Residual_Activo!Q176, 2)</f>
        <v/>
      </c>
      <c r="O176" s="29">
        <f>ROUND(Saldos_Cartera_Total!O176 + Saldo_Residual_Activo!R176, 2)</f>
        <v/>
      </c>
      <c r="P176" s="29">
        <f>ROUND(Saldos_Cartera_Total!P176 + Saldo_Residual_Activo!S176, 2)</f>
        <v/>
      </c>
      <c r="Q176" s="29">
        <f>ROUND(Saldos_Cartera_Total!Q176 + Saldo_Residual_Activo!T176, 2)</f>
        <v/>
      </c>
      <c r="R176" s="29">
        <f>MAX(F176:Q176)</f>
        <v/>
      </c>
    </row>
    <row r="177">
      <c r="A177" s="20" t="inlineStr">
        <is>
          <t>0697-0001</t>
        </is>
      </c>
      <c r="B177" s="21" t="inlineStr">
        <is>
          <t>Guillermo Eduardo Robles Navarro</t>
        </is>
      </c>
      <c r="C177" s="21" t="inlineStr">
        <is>
          <t>Partner Rapid</t>
        </is>
      </c>
      <c r="D177" s="20" t="inlineStr">
        <is>
          <t>ACTIVO</t>
        </is>
      </c>
      <c r="E177" s="22" t="n">
        <v>24</v>
      </c>
      <c r="F177" s="23">
        <f>ROUND(Saldos_Cartera_Total!F177 + Saldo_Residual_Activo!I177, 2)</f>
        <v/>
      </c>
      <c r="G177" s="23">
        <f>ROUND(Saldos_Cartera_Total!G177 + Saldo_Residual_Activo!J177, 2)</f>
        <v/>
      </c>
      <c r="H177" s="23">
        <f>ROUND(Saldos_Cartera_Total!H177 + Saldo_Residual_Activo!K177, 2)</f>
        <v/>
      </c>
      <c r="I177" s="23">
        <f>ROUND(Saldos_Cartera_Total!I177 + Saldo_Residual_Activo!L177, 2)</f>
        <v/>
      </c>
      <c r="J177" s="23">
        <f>ROUND(Saldos_Cartera_Total!J177 + Saldo_Residual_Activo!M177, 2)</f>
        <v/>
      </c>
      <c r="K177" s="23">
        <f>ROUND(Saldos_Cartera_Total!K177 + Saldo_Residual_Activo!N177, 2)</f>
        <v/>
      </c>
      <c r="L177" s="23">
        <f>ROUND(Saldos_Cartera_Total!L177 + Saldo_Residual_Activo!O177, 2)</f>
        <v/>
      </c>
      <c r="M177" s="23">
        <f>ROUND(Saldos_Cartera_Total!M177 + Saldo_Residual_Activo!P177, 2)</f>
        <v/>
      </c>
      <c r="N177" s="23">
        <f>ROUND(Saldos_Cartera_Total!N177 + Saldo_Residual_Activo!Q177, 2)</f>
        <v/>
      </c>
      <c r="O177" s="23">
        <f>ROUND(Saldos_Cartera_Total!O177 + Saldo_Residual_Activo!R177, 2)</f>
        <v/>
      </c>
      <c r="P177" s="23">
        <f>ROUND(Saldos_Cartera_Total!P177 + Saldo_Residual_Activo!S177, 2)</f>
        <v/>
      </c>
      <c r="Q177" s="23">
        <f>ROUND(Saldos_Cartera_Total!Q177 + Saldo_Residual_Activo!T177, 2)</f>
        <v/>
      </c>
      <c r="R177" s="23">
        <f>MAX(F177:Q177)</f>
        <v/>
      </c>
    </row>
    <row r="178">
      <c r="A178" s="26" t="inlineStr">
        <is>
          <t>0698-0001</t>
        </is>
      </c>
      <c r="B178" s="27" t="inlineStr">
        <is>
          <t>Roberto Gontes Leon</t>
        </is>
      </c>
      <c r="C178" s="27" t="inlineStr">
        <is>
          <t>Wrangler Rubicon</t>
        </is>
      </c>
      <c r="D178" s="26" t="inlineStr">
        <is>
          <t>ACTIVO</t>
        </is>
      </c>
      <c r="E178" s="28" t="n">
        <v>48</v>
      </c>
      <c r="F178" s="29">
        <f>ROUND(Saldos_Cartera_Total!F178 + Saldo_Residual_Activo!I178, 2)</f>
        <v/>
      </c>
      <c r="G178" s="29">
        <f>ROUND(Saldos_Cartera_Total!G178 + Saldo_Residual_Activo!J178, 2)</f>
        <v/>
      </c>
      <c r="H178" s="29">
        <f>ROUND(Saldos_Cartera_Total!H178 + Saldo_Residual_Activo!K178, 2)</f>
        <v/>
      </c>
      <c r="I178" s="29">
        <f>ROUND(Saldos_Cartera_Total!I178 + Saldo_Residual_Activo!L178, 2)</f>
        <v/>
      </c>
      <c r="J178" s="29">
        <f>ROUND(Saldos_Cartera_Total!J178 + Saldo_Residual_Activo!M178, 2)</f>
        <v/>
      </c>
      <c r="K178" s="29">
        <f>ROUND(Saldos_Cartera_Total!K178 + Saldo_Residual_Activo!N178, 2)</f>
        <v/>
      </c>
      <c r="L178" s="29">
        <f>ROUND(Saldos_Cartera_Total!L178 + Saldo_Residual_Activo!O178, 2)</f>
        <v/>
      </c>
      <c r="M178" s="29">
        <f>ROUND(Saldos_Cartera_Total!M178 + Saldo_Residual_Activo!P178, 2)</f>
        <v/>
      </c>
      <c r="N178" s="29">
        <f>ROUND(Saldos_Cartera_Total!N178 + Saldo_Residual_Activo!Q178, 2)</f>
        <v/>
      </c>
      <c r="O178" s="29">
        <f>ROUND(Saldos_Cartera_Total!O178 + Saldo_Residual_Activo!R178, 2)</f>
        <v/>
      </c>
      <c r="P178" s="29">
        <f>ROUND(Saldos_Cartera_Total!P178 + Saldo_Residual_Activo!S178, 2)</f>
        <v/>
      </c>
      <c r="Q178" s="29">
        <f>ROUND(Saldos_Cartera_Total!Q178 + Saldo_Residual_Activo!T178, 2)</f>
        <v/>
      </c>
      <c r="R178" s="29">
        <f>MAX(F178:Q178)</f>
        <v/>
      </c>
    </row>
    <row r="179">
      <c r="A179" s="20" t="inlineStr">
        <is>
          <t>0699-0001</t>
        </is>
      </c>
      <c r="B179" s="21" t="inlineStr">
        <is>
          <t>Ramona Salazar Ramos</t>
        </is>
      </c>
      <c r="C179" s="21" t="inlineStr">
        <is>
          <t>Grand Cherokee 2025</t>
        </is>
      </c>
      <c r="D179" s="20" t="inlineStr">
        <is>
          <t>ACTIVO</t>
        </is>
      </c>
      <c r="E179" s="22" t="n">
        <v>36</v>
      </c>
      <c r="F179" s="23">
        <f>ROUND(Saldos_Cartera_Total!F179 + Saldo_Residual_Activo!I179, 2)</f>
        <v/>
      </c>
      <c r="G179" s="23">
        <f>ROUND(Saldos_Cartera_Total!G179 + Saldo_Residual_Activo!J179, 2)</f>
        <v/>
      </c>
      <c r="H179" s="23">
        <f>ROUND(Saldos_Cartera_Total!H179 + Saldo_Residual_Activo!K179, 2)</f>
        <v/>
      </c>
      <c r="I179" s="23">
        <f>ROUND(Saldos_Cartera_Total!I179 + Saldo_Residual_Activo!L179, 2)</f>
        <v/>
      </c>
      <c r="J179" s="23">
        <f>ROUND(Saldos_Cartera_Total!J179 + Saldo_Residual_Activo!M179, 2)</f>
        <v/>
      </c>
      <c r="K179" s="23">
        <f>ROUND(Saldos_Cartera_Total!K179 + Saldo_Residual_Activo!N179, 2)</f>
        <v/>
      </c>
      <c r="L179" s="23">
        <f>ROUND(Saldos_Cartera_Total!L179 + Saldo_Residual_Activo!O179, 2)</f>
        <v/>
      </c>
      <c r="M179" s="23">
        <f>ROUND(Saldos_Cartera_Total!M179 + Saldo_Residual_Activo!P179, 2)</f>
        <v/>
      </c>
      <c r="N179" s="23">
        <f>ROUND(Saldos_Cartera_Total!N179 + Saldo_Residual_Activo!Q179, 2)</f>
        <v/>
      </c>
      <c r="O179" s="23">
        <f>ROUND(Saldos_Cartera_Total!O179 + Saldo_Residual_Activo!R179, 2)</f>
        <v/>
      </c>
      <c r="P179" s="23">
        <f>ROUND(Saldos_Cartera_Total!P179 + Saldo_Residual_Activo!S179, 2)</f>
        <v/>
      </c>
      <c r="Q179" s="23">
        <f>ROUND(Saldos_Cartera_Total!Q179 + Saldo_Residual_Activo!T179, 2)</f>
        <v/>
      </c>
      <c r="R179" s="23">
        <f>MAX(F179:Q179)</f>
        <v/>
      </c>
    </row>
    <row r="180">
      <c r="A180" s="26" t="inlineStr">
        <is>
          <t>0700-0001</t>
        </is>
      </c>
      <c r="B180" s="27" t="inlineStr">
        <is>
          <t>Felipe de Jesus Ibañez Huizar</t>
        </is>
      </c>
      <c r="C180" s="27" t="inlineStr">
        <is>
          <t>K3</t>
        </is>
      </c>
      <c r="D180" s="26" t="inlineStr">
        <is>
          <t>ACTIVO</t>
        </is>
      </c>
      <c r="E180" s="28" t="n">
        <v>36</v>
      </c>
      <c r="F180" s="29">
        <f>ROUND(Saldos_Cartera_Total!F180 + Saldo_Residual_Activo!I180, 2)</f>
        <v/>
      </c>
      <c r="G180" s="29">
        <f>ROUND(Saldos_Cartera_Total!G180 + Saldo_Residual_Activo!J180, 2)</f>
        <v/>
      </c>
      <c r="H180" s="29">
        <f>ROUND(Saldos_Cartera_Total!H180 + Saldo_Residual_Activo!K180, 2)</f>
        <v/>
      </c>
      <c r="I180" s="29">
        <f>ROUND(Saldos_Cartera_Total!I180 + Saldo_Residual_Activo!L180, 2)</f>
        <v/>
      </c>
      <c r="J180" s="29">
        <f>ROUND(Saldos_Cartera_Total!J180 + Saldo_Residual_Activo!M180, 2)</f>
        <v/>
      </c>
      <c r="K180" s="29">
        <f>ROUND(Saldos_Cartera_Total!K180 + Saldo_Residual_Activo!N180, 2)</f>
        <v/>
      </c>
      <c r="L180" s="29">
        <f>ROUND(Saldos_Cartera_Total!L180 + Saldo_Residual_Activo!O180, 2)</f>
        <v/>
      </c>
      <c r="M180" s="29">
        <f>ROUND(Saldos_Cartera_Total!M180 + Saldo_Residual_Activo!P180, 2)</f>
        <v/>
      </c>
      <c r="N180" s="29">
        <f>ROUND(Saldos_Cartera_Total!N180 + Saldo_Residual_Activo!Q180, 2)</f>
        <v/>
      </c>
      <c r="O180" s="29">
        <f>ROUND(Saldos_Cartera_Total!O180 + Saldo_Residual_Activo!R180, 2)</f>
        <v/>
      </c>
      <c r="P180" s="29">
        <f>ROUND(Saldos_Cartera_Total!P180 + Saldo_Residual_Activo!S180, 2)</f>
        <v/>
      </c>
      <c r="Q180" s="29">
        <f>ROUND(Saldos_Cartera_Total!Q180 + Saldo_Residual_Activo!T180, 2)</f>
        <v/>
      </c>
      <c r="R180" s="29">
        <f>MAX(F180:Q180)</f>
        <v/>
      </c>
    </row>
    <row r="181">
      <c r="A181" s="20" t="inlineStr">
        <is>
          <t>0700-0002</t>
        </is>
      </c>
      <c r="B181" s="21" t="inlineStr">
        <is>
          <t>Felipe de Jesus Ibañez Huizar</t>
        </is>
      </c>
      <c r="C181" s="21" t="inlineStr">
        <is>
          <t>Nissan NP 300 Frontier 2026</t>
        </is>
      </c>
      <c r="D181" s="20" t="inlineStr">
        <is>
          <t>ACTIVO</t>
        </is>
      </c>
      <c r="E181" s="22" t="n">
        <v>24</v>
      </c>
      <c r="F181" s="23" t="inlineStr"/>
      <c r="G181" s="23" t="inlineStr"/>
      <c r="H181" s="23" t="inlineStr"/>
      <c r="I181" s="23" t="inlineStr"/>
      <c r="J181" s="23" t="inlineStr"/>
      <c r="K181" s="23" t="inlineStr"/>
      <c r="L181" s="23">
        <f>ROUND(Saldos_Cartera_Total!L181 + Saldo_Residual_Activo!O181, 2)</f>
        <v/>
      </c>
      <c r="M181" s="23">
        <f>ROUND(Saldos_Cartera_Total!M181 + Saldo_Residual_Activo!P181, 2)</f>
        <v/>
      </c>
      <c r="N181" s="23">
        <f>ROUND(Saldos_Cartera_Total!N181 + Saldo_Residual_Activo!Q181, 2)</f>
        <v/>
      </c>
      <c r="O181" s="23">
        <f>ROUND(Saldos_Cartera_Total!O181 + Saldo_Residual_Activo!R181, 2)</f>
        <v/>
      </c>
      <c r="P181" s="23">
        <f>ROUND(Saldos_Cartera_Total!P181 + Saldo_Residual_Activo!S181, 2)</f>
        <v/>
      </c>
      <c r="Q181" s="23">
        <f>ROUND(Saldos_Cartera_Total!Q181 + Saldo_Residual_Activo!T181, 2)</f>
        <v/>
      </c>
      <c r="R181" s="23">
        <f>MAX(F181:Q181)</f>
        <v/>
      </c>
    </row>
    <row r="182">
      <c r="A182" s="26" t="inlineStr">
        <is>
          <t>0701-0001</t>
        </is>
      </c>
      <c r="B182" s="27" t="inlineStr">
        <is>
          <t>Miguel Angel Yañez Rivera</t>
        </is>
      </c>
      <c r="C182" s="27" t="inlineStr">
        <is>
          <t>Maxi Partner</t>
        </is>
      </c>
      <c r="D182" s="26" t="inlineStr">
        <is>
          <t>ACTIVO</t>
        </is>
      </c>
      <c r="E182" s="28" t="n">
        <v>48</v>
      </c>
      <c r="F182" s="29">
        <f>ROUND(Saldos_Cartera_Total!F182 + Saldo_Residual_Activo!I182, 2)</f>
        <v/>
      </c>
      <c r="G182" s="29">
        <f>ROUND(Saldos_Cartera_Total!G182 + Saldo_Residual_Activo!J182, 2)</f>
        <v/>
      </c>
      <c r="H182" s="29">
        <f>ROUND(Saldos_Cartera_Total!H182 + Saldo_Residual_Activo!K182, 2)</f>
        <v/>
      </c>
      <c r="I182" s="29">
        <f>ROUND(Saldos_Cartera_Total!I182 + Saldo_Residual_Activo!L182, 2)</f>
        <v/>
      </c>
      <c r="J182" s="29">
        <f>ROUND(Saldos_Cartera_Total!J182 + Saldo_Residual_Activo!M182, 2)</f>
        <v/>
      </c>
      <c r="K182" s="29">
        <f>ROUND(Saldos_Cartera_Total!K182 + Saldo_Residual_Activo!N182, 2)</f>
        <v/>
      </c>
      <c r="L182" s="29">
        <f>ROUND(Saldos_Cartera_Total!L182 + Saldo_Residual_Activo!O182, 2)</f>
        <v/>
      </c>
      <c r="M182" s="29">
        <f>ROUND(Saldos_Cartera_Total!M182 + Saldo_Residual_Activo!P182, 2)</f>
        <v/>
      </c>
      <c r="N182" s="29">
        <f>ROUND(Saldos_Cartera_Total!N182 + Saldo_Residual_Activo!Q182, 2)</f>
        <v/>
      </c>
      <c r="O182" s="29">
        <f>ROUND(Saldos_Cartera_Total!O182 + Saldo_Residual_Activo!R182, 2)</f>
        <v/>
      </c>
      <c r="P182" s="29">
        <f>ROUND(Saldos_Cartera_Total!P182 + Saldo_Residual_Activo!S182, 2)</f>
        <v/>
      </c>
      <c r="Q182" s="29">
        <f>ROUND(Saldos_Cartera_Total!Q182 + Saldo_Residual_Activo!T182, 2)</f>
        <v/>
      </c>
      <c r="R182" s="29">
        <f>MAX(F182:Q182)</f>
        <v/>
      </c>
    </row>
    <row r="183">
      <c r="A183" s="20" t="inlineStr">
        <is>
          <t>0702-0001</t>
        </is>
      </c>
      <c r="B183" s="21" t="inlineStr">
        <is>
          <t>Ramses Tadeo Galindo Calderon</t>
        </is>
      </c>
      <c r="C183" s="21" t="inlineStr">
        <is>
          <t>Song Plus</t>
        </is>
      </c>
      <c r="D183" s="20" t="inlineStr">
        <is>
          <t>ACTIVO</t>
        </is>
      </c>
      <c r="E183" s="22" t="n">
        <v>48</v>
      </c>
      <c r="F183" s="23">
        <f>ROUND(Saldos_Cartera_Total!F183 + Saldo_Residual_Activo!I183, 2)</f>
        <v/>
      </c>
      <c r="G183" s="23">
        <f>ROUND(Saldos_Cartera_Total!G183 + Saldo_Residual_Activo!J183, 2)</f>
        <v/>
      </c>
      <c r="H183" s="23">
        <f>ROUND(Saldos_Cartera_Total!H183 + Saldo_Residual_Activo!K183, 2)</f>
        <v/>
      </c>
      <c r="I183" s="23">
        <f>ROUND(Saldos_Cartera_Total!I183 + Saldo_Residual_Activo!L183, 2)</f>
        <v/>
      </c>
      <c r="J183" s="23">
        <f>ROUND(Saldos_Cartera_Total!J183 + Saldo_Residual_Activo!M183, 2)</f>
        <v/>
      </c>
      <c r="K183" s="23">
        <f>ROUND(Saldos_Cartera_Total!K183 + Saldo_Residual_Activo!N183, 2)</f>
        <v/>
      </c>
      <c r="L183" s="23">
        <f>ROUND(Saldos_Cartera_Total!L183 + Saldo_Residual_Activo!O183, 2)</f>
        <v/>
      </c>
      <c r="M183" s="23">
        <f>ROUND(Saldos_Cartera_Total!M183 + Saldo_Residual_Activo!P183, 2)</f>
        <v/>
      </c>
      <c r="N183" s="23">
        <f>ROUND(Saldos_Cartera_Total!N183 + Saldo_Residual_Activo!Q183, 2)</f>
        <v/>
      </c>
      <c r="O183" s="23">
        <f>ROUND(Saldos_Cartera_Total!O183 + Saldo_Residual_Activo!R183, 2)</f>
        <v/>
      </c>
      <c r="P183" s="23">
        <f>ROUND(Saldos_Cartera_Total!P183 + Saldo_Residual_Activo!S183, 2)</f>
        <v/>
      </c>
      <c r="Q183" s="23">
        <f>ROUND(Saldos_Cartera_Total!Q183 + Saldo_Residual_Activo!T183, 2)</f>
        <v/>
      </c>
      <c r="R183" s="23">
        <f>MAX(F183:Q183)</f>
        <v/>
      </c>
    </row>
    <row r="184">
      <c r="A184" s="26" t="inlineStr">
        <is>
          <t>0703-0002</t>
        </is>
      </c>
      <c r="B184" s="27" t="inlineStr">
        <is>
          <t>Jali Fresh International Sa de Cv</t>
        </is>
      </c>
      <c r="C184" s="27" t="inlineStr">
        <is>
          <t>1500 Tradesman CC</t>
        </is>
      </c>
      <c r="D184" s="26" t="inlineStr">
        <is>
          <t>ACTIVO</t>
        </is>
      </c>
      <c r="E184" s="28" t="n">
        <v>36</v>
      </c>
      <c r="F184" s="29" t="inlineStr"/>
      <c r="G184" s="29" t="inlineStr"/>
      <c r="H184" s="29" t="inlineStr"/>
      <c r="I184" s="29">
        <f>ROUND(Saldos_Cartera_Total!I184 + Saldo_Residual_Activo!L184, 2)</f>
        <v/>
      </c>
      <c r="J184" s="29">
        <f>ROUND(Saldos_Cartera_Total!J184 + Saldo_Residual_Activo!M184, 2)</f>
        <v/>
      </c>
      <c r="K184" s="29">
        <f>ROUND(Saldos_Cartera_Total!K184 + Saldo_Residual_Activo!N184, 2)</f>
        <v/>
      </c>
      <c r="L184" s="29">
        <f>ROUND(Saldos_Cartera_Total!L184 + Saldo_Residual_Activo!O184, 2)</f>
        <v/>
      </c>
      <c r="M184" s="29">
        <f>ROUND(Saldos_Cartera_Total!M184 + Saldo_Residual_Activo!P184, 2)</f>
        <v/>
      </c>
      <c r="N184" s="29">
        <f>ROUND(Saldos_Cartera_Total!N184 + Saldo_Residual_Activo!Q184, 2)</f>
        <v/>
      </c>
      <c r="O184" s="29">
        <f>ROUND(Saldos_Cartera_Total!O184 + Saldo_Residual_Activo!R184, 2)</f>
        <v/>
      </c>
      <c r="P184" s="29">
        <f>ROUND(Saldos_Cartera_Total!P184 + Saldo_Residual_Activo!S184, 2)</f>
        <v/>
      </c>
      <c r="Q184" s="29">
        <f>ROUND(Saldos_Cartera_Total!Q184 + Saldo_Residual_Activo!T184, 2)</f>
        <v/>
      </c>
      <c r="R184" s="29">
        <f>MAX(F184:Q184)</f>
        <v/>
      </c>
    </row>
    <row r="185">
      <c r="A185" s="20" t="inlineStr">
        <is>
          <t>0704-0001</t>
        </is>
      </c>
      <c r="B185" s="21" t="inlineStr">
        <is>
          <t>Cristian Manuel Cruz Gutierrez</t>
        </is>
      </c>
      <c r="C185" s="21" t="inlineStr">
        <is>
          <t>Ram 1200</t>
        </is>
      </c>
      <c r="D185" s="20" t="inlineStr">
        <is>
          <t>ACTIVO</t>
        </is>
      </c>
      <c r="E185" s="22" t="n">
        <v>36</v>
      </c>
      <c r="F185" s="23">
        <f>ROUND(Saldos_Cartera_Total!F185 + Saldo_Residual_Activo!I185, 2)</f>
        <v/>
      </c>
      <c r="G185" s="23">
        <f>ROUND(Saldos_Cartera_Total!G185 + Saldo_Residual_Activo!J185, 2)</f>
        <v/>
      </c>
      <c r="H185" s="23">
        <f>ROUND(Saldos_Cartera_Total!H185 + Saldo_Residual_Activo!K185, 2)</f>
        <v/>
      </c>
      <c r="I185" s="23">
        <f>ROUND(Saldos_Cartera_Total!I185 + Saldo_Residual_Activo!L185, 2)</f>
        <v/>
      </c>
      <c r="J185" s="23">
        <f>ROUND(Saldos_Cartera_Total!J185 + Saldo_Residual_Activo!M185, 2)</f>
        <v/>
      </c>
      <c r="K185" s="23">
        <f>ROUND(Saldos_Cartera_Total!K185 + Saldo_Residual_Activo!N185, 2)</f>
        <v/>
      </c>
      <c r="L185" s="23">
        <f>ROUND(Saldos_Cartera_Total!L185 + Saldo_Residual_Activo!O185, 2)</f>
        <v/>
      </c>
      <c r="M185" s="23">
        <f>ROUND(Saldos_Cartera_Total!M185 + Saldo_Residual_Activo!P185, 2)</f>
        <v/>
      </c>
      <c r="N185" s="23">
        <f>ROUND(Saldos_Cartera_Total!N185 + Saldo_Residual_Activo!Q185, 2)</f>
        <v/>
      </c>
      <c r="O185" s="23">
        <f>ROUND(Saldos_Cartera_Total!O185 + Saldo_Residual_Activo!R185, 2)</f>
        <v/>
      </c>
      <c r="P185" s="23">
        <f>ROUND(Saldos_Cartera_Total!P185 + Saldo_Residual_Activo!S185, 2)</f>
        <v/>
      </c>
      <c r="Q185" s="23">
        <f>ROUND(Saldos_Cartera_Total!Q185 + Saldo_Residual_Activo!T185, 2)</f>
        <v/>
      </c>
      <c r="R185" s="23">
        <f>MAX(F185:Q185)</f>
        <v/>
      </c>
    </row>
    <row r="186">
      <c r="A186" s="26" t="inlineStr">
        <is>
          <t>0705-0001</t>
        </is>
      </c>
      <c r="B186" s="27" t="inlineStr">
        <is>
          <t>Oscar Alejandro Pedraza Gonzalez</t>
        </is>
      </c>
      <c r="C186" s="27" t="inlineStr">
        <is>
          <t>L200</t>
        </is>
      </c>
      <c r="D186" s="26" t="inlineStr">
        <is>
          <t>ACTIVO</t>
        </is>
      </c>
      <c r="E186" s="28" t="n">
        <v>24</v>
      </c>
      <c r="F186" s="29">
        <f>ROUND(Saldos_Cartera_Total!F186 + Saldo_Residual_Activo!I186, 2)</f>
        <v/>
      </c>
      <c r="G186" s="29">
        <f>ROUND(Saldos_Cartera_Total!G186 + Saldo_Residual_Activo!J186, 2)</f>
        <v/>
      </c>
      <c r="H186" s="29">
        <f>ROUND(Saldos_Cartera_Total!H186 + Saldo_Residual_Activo!K186, 2)</f>
        <v/>
      </c>
      <c r="I186" s="29">
        <f>ROUND(Saldos_Cartera_Total!I186 + Saldo_Residual_Activo!L186, 2)</f>
        <v/>
      </c>
      <c r="J186" s="29">
        <f>ROUND(Saldos_Cartera_Total!J186 + Saldo_Residual_Activo!M186, 2)</f>
        <v/>
      </c>
      <c r="K186" s="29">
        <f>ROUND(Saldos_Cartera_Total!K186 + Saldo_Residual_Activo!N186, 2)</f>
        <v/>
      </c>
      <c r="L186" s="29">
        <f>ROUND(Saldos_Cartera_Total!L186 + Saldo_Residual_Activo!O186, 2)</f>
        <v/>
      </c>
      <c r="M186" s="29">
        <f>ROUND(Saldos_Cartera_Total!M186 + Saldo_Residual_Activo!P186, 2)</f>
        <v/>
      </c>
      <c r="N186" s="29">
        <f>ROUND(Saldos_Cartera_Total!N186 + Saldo_Residual_Activo!Q186, 2)</f>
        <v/>
      </c>
      <c r="O186" s="29">
        <f>ROUND(Saldos_Cartera_Total!O186 + Saldo_Residual_Activo!R186, 2)</f>
        <v/>
      </c>
      <c r="P186" s="29">
        <f>ROUND(Saldos_Cartera_Total!P186 + Saldo_Residual_Activo!S186, 2)</f>
        <v/>
      </c>
      <c r="Q186" s="29">
        <f>ROUND(Saldos_Cartera_Total!Q186 + Saldo_Residual_Activo!T186, 2)</f>
        <v/>
      </c>
      <c r="R186" s="29">
        <f>MAX(F186:Q186)</f>
        <v/>
      </c>
    </row>
    <row r="187">
      <c r="A187" s="20" t="inlineStr">
        <is>
          <t>0706-0001</t>
        </is>
      </c>
      <c r="B187" s="21" t="inlineStr">
        <is>
          <t>Jose Luis Zepeda Gomez</t>
        </is>
      </c>
      <c r="C187" s="21" t="inlineStr">
        <is>
          <t>L200 Glx Diesel</t>
        </is>
      </c>
      <c r="D187" s="20" t="inlineStr">
        <is>
          <t>ACTIVO</t>
        </is>
      </c>
      <c r="E187" s="22" t="n">
        <v>48</v>
      </c>
      <c r="F187" s="23">
        <f>ROUND(Saldos_Cartera_Total!F187 + Saldo_Residual_Activo!I187, 2)</f>
        <v/>
      </c>
      <c r="G187" s="23">
        <f>ROUND(Saldos_Cartera_Total!G187 + Saldo_Residual_Activo!J187, 2)</f>
        <v/>
      </c>
      <c r="H187" s="23">
        <f>ROUND(Saldos_Cartera_Total!H187 + Saldo_Residual_Activo!K187, 2)</f>
        <v/>
      </c>
      <c r="I187" s="23">
        <f>ROUND(Saldos_Cartera_Total!I187 + Saldo_Residual_Activo!L187, 2)</f>
        <v/>
      </c>
      <c r="J187" s="23">
        <f>ROUND(Saldos_Cartera_Total!J187 + Saldo_Residual_Activo!M187, 2)</f>
        <v/>
      </c>
      <c r="K187" s="23">
        <f>ROUND(Saldos_Cartera_Total!K187 + Saldo_Residual_Activo!N187, 2)</f>
        <v/>
      </c>
      <c r="L187" s="23">
        <f>ROUND(Saldos_Cartera_Total!L187 + Saldo_Residual_Activo!O187, 2)</f>
        <v/>
      </c>
      <c r="M187" s="23">
        <f>ROUND(Saldos_Cartera_Total!M187 + Saldo_Residual_Activo!P187, 2)</f>
        <v/>
      </c>
      <c r="N187" s="23">
        <f>ROUND(Saldos_Cartera_Total!N187 + Saldo_Residual_Activo!Q187, 2)</f>
        <v/>
      </c>
      <c r="O187" s="23">
        <f>ROUND(Saldos_Cartera_Total!O187 + Saldo_Residual_Activo!R187, 2)</f>
        <v/>
      </c>
      <c r="P187" s="23">
        <f>ROUND(Saldos_Cartera_Total!P187 + Saldo_Residual_Activo!S187, 2)</f>
        <v/>
      </c>
      <c r="Q187" s="23">
        <f>ROUND(Saldos_Cartera_Total!Q187 + Saldo_Residual_Activo!T187, 2)</f>
        <v/>
      </c>
      <c r="R187" s="23">
        <f>MAX(F187:Q187)</f>
        <v/>
      </c>
    </row>
    <row r="188">
      <c r="A188" s="26" t="inlineStr">
        <is>
          <t>0707-0001</t>
        </is>
      </c>
      <c r="B188" s="27" t="inlineStr">
        <is>
          <t>Cabañas Lupita Sa de Cv</t>
        </is>
      </c>
      <c r="C188" s="27" t="inlineStr">
        <is>
          <t>Jt Rubicon</t>
        </is>
      </c>
      <c r="D188" s="26" t="inlineStr">
        <is>
          <t>ACTIVO</t>
        </is>
      </c>
      <c r="E188" s="28" t="n">
        <v>48</v>
      </c>
      <c r="F188" s="29">
        <f>ROUND(Saldos_Cartera_Total!F188 + Saldo_Residual_Activo!I188, 2)</f>
        <v/>
      </c>
      <c r="G188" s="29">
        <f>ROUND(Saldos_Cartera_Total!G188 + Saldo_Residual_Activo!J188, 2)</f>
        <v/>
      </c>
      <c r="H188" s="29">
        <f>ROUND(Saldos_Cartera_Total!H188 + Saldo_Residual_Activo!K188, 2)</f>
        <v/>
      </c>
      <c r="I188" s="29">
        <f>ROUND(Saldos_Cartera_Total!I188 + Saldo_Residual_Activo!L188, 2)</f>
        <v/>
      </c>
      <c r="J188" s="29">
        <f>ROUND(Saldos_Cartera_Total!J188 + Saldo_Residual_Activo!M188, 2)</f>
        <v/>
      </c>
      <c r="K188" s="29">
        <f>ROUND(Saldos_Cartera_Total!K188 + Saldo_Residual_Activo!N188, 2)</f>
        <v/>
      </c>
      <c r="L188" s="29">
        <f>ROUND(Saldos_Cartera_Total!L188 + Saldo_Residual_Activo!O188, 2)</f>
        <v/>
      </c>
      <c r="M188" s="29">
        <f>ROUND(Saldos_Cartera_Total!M188 + Saldo_Residual_Activo!P188, 2)</f>
        <v/>
      </c>
      <c r="N188" s="29">
        <f>ROUND(Saldos_Cartera_Total!N188 + Saldo_Residual_Activo!Q188, 2)</f>
        <v/>
      </c>
      <c r="O188" s="29">
        <f>ROUND(Saldos_Cartera_Total!O188 + Saldo_Residual_Activo!R188, 2)</f>
        <v/>
      </c>
      <c r="P188" s="29">
        <f>ROUND(Saldos_Cartera_Total!P188 + Saldo_Residual_Activo!S188, 2)</f>
        <v/>
      </c>
      <c r="Q188" s="29">
        <f>ROUND(Saldos_Cartera_Total!Q188 + Saldo_Residual_Activo!T188, 2)</f>
        <v/>
      </c>
      <c r="R188" s="29">
        <f>MAX(F188:Q188)</f>
        <v/>
      </c>
    </row>
    <row r="189">
      <c r="A189" s="20" t="inlineStr">
        <is>
          <t>0708-0001</t>
        </is>
      </c>
      <c r="B189" s="21" t="inlineStr">
        <is>
          <t>Pumps Company Sa de Cv</t>
        </is>
      </c>
      <c r="C189" s="21" t="inlineStr">
        <is>
          <t>L200 Glx Diesel</t>
        </is>
      </c>
      <c r="D189" s="20" t="inlineStr">
        <is>
          <t>ACTIVO</t>
        </is>
      </c>
      <c r="E189" s="22" t="n">
        <v>36</v>
      </c>
      <c r="F189" s="23">
        <f>ROUND(Saldos_Cartera_Total!F189 + Saldo_Residual_Activo!I189, 2)</f>
        <v/>
      </c>
      <c r="G189" s="23">
        <f>ROUND(Saldos_Cartera_Total!G189 + Saldo_Residual_Activo!J189, 2)</f>
        <v/>
      </c>
      <c r="H189" s="23">
        <f>ROUND(Saldos_Cartera_Total!H189 + Saldo_Residual_Activo!K189, 2)</f>
        <v/>
      </c>
      <c r="I189" s="23">
        <f>ROUND(Saldos_Cartera_Total!I189 + Saldo_Residual_Activo!L189, 2)</f>
        <v/>
      </c>
      <c r="J189" s="23">
        <f>ROUND(Saldos_Cartera_Total!J189 + Saldo_Residual_Activo!M189, 2)</f>
        <v/>
      </c>
      <c r="K189" s="23">
        <f>ROUND(Saldos_Cartera_Total!K189 + Saldo_Residual_Activo!N189, 2)</f>
        <v/>
      </c>
      <c r="L189" s="23">
        <f>ROUND(Saldos_Cartera_Total!L189 + Saldo_Residual_Activo!O189, 2)</f>
        <v/>
      </c>
      <c r="M189" s="23">
        <f>ROUND(Saldos_Cartera_Total!M189 + Saldo_Residual_Activo!P189, 2)</f>
        <v/>
      </c>
      <c r="N189" s="23">
        <f>ROUND(Saldos_Cartera_Total!N189 + Saldo_Residual_Activo!Q189, 2)</f>
        <v/>
      </c>
      <c r="O189" s="23">
        <f>ROUND(Saldos_Cartera_Total!O189 + Saldo_Residual_Activo!R189, 2)</f>
        <v/>
      </c>
      <c r="P189" s="23">
        <f>ROUND(Saldos_Cartera_Total!P189 + Saldo_Residual_Activo!S189, 2)</f>
        <v/>
      </c>
      <c r="Q189" s="23">
        <f>ROUND(Saldos_Cartera_Total!Q189 + Saldo_Residual_Activo!T189, 2)</f>
        <v/>
      </c>
      <c r="R189" s="23">
        <f>MAX(F189:Q189)</f>
        <v/>
      </c>
    </row>
    <row r="190">
      <c r="A190" s="26" t="inlineStr">
        <is>
          <t>0708-0002</t>
        </is>
      </c>
      <c r="B190" s="27" t="inlineStr">
        <is>
          <t>Pumps Company Sa de Cv</t>
        </is>
      </c>
      <c r="C190" s="27" t="inlineStr">
        <is>
          <t>L200 Glx Diesel</t>
        </is>
      </c>
      <c r="D190" s="26" t="inlineStr">
        <is>
          <t>ACTIVO</t>
        </is>
      </c>
      <c r="E190" s="28" t="n">
        <v>36</v>
      </c>
      <c r="F190" s="29">
        <f>ROUND(Saldos_Cartera_Total!F190 + Saldo_Residual_Activo!I190, 2)</f>
        <v/>
      </c>
      <c r="G190" s="29">
        <f>ROUND(Saldos_Cartera_Total!G190 + Saldo_Residual_Activo!J190, 2)</f>
        <v/>
      </c>
      <c r="H190" s="29">
        <f>ROUND(Saldos_Cartera_Total!H190 + Saldo_Residual_Activo!K190, 2)</f>
        <v/>
      </c>
      <c r="I190" s="29">
        <f>ROUND(Saldos_Cartera_Total!I190 + Saldo_Residual_Activo!L190, 2)</f>
        <v/>
      </c>
      <c r="J190" s="29">
        <f>ROUND(Saldos_Cartera_Total!J190 + Saldo_Residual_Activo!M190, 2)</f>
        <v/>
      </c>
      <c r="K190" s="29">
        <f>ROUND(Saldos_Cartera_Total!K190 + Saldo_Residual_Activo!N190, 2)</f>
        <v/>
      </c>
      <c r="L190" s="29">
        <f>ROUND(Saldos_Cartera_Total!L190 + Saldo_Residual_Activo!O190, 2)</f>
        <v/>
      </c>
      <c r="M190" s="29">
        <f>ROUND(Saldos_Cartera_Total!M190 + Saldo_Residual_Activo!P190, 2)</f>
        <v/>
      </c>
      <c r="N190" s="29">
        <f>ROUND(Saldos_Cartera_Total!N190 + Saldo_Residual_Activo!Q190, 2)</f>
        <v/>
      </c>
      <c r="O190" s="29">
        <f>ROUND(Saldos_Cartera_Total!O190 + Saldo_Residual_Activo!R190, 2)</f>
        <v/>
      </c>
      <c r="P190" s="29">
        <f>ROUND(Saldos_Cartera_Total!P190 + Saldo_Residual_Activo!S190, 2)</f>
        <v/>
      </c>
      <c r="Q190" s="29">
        <f>ROUND(Saldos_Cartera_Total!Q190 + Saldo_Residual_Activo!T190, 2)</f>
        <v/>
      </c>
      <c r="R190" s="29">
        <f>MAX(F190:Q190)</f>
        <v/>
      </c>
    </row>
    <row r="191">
      <c r="A191" s="20" t="inlineStr">
        <is>
          <t>0712-0001</t>
        </is>
      </c>
      <c r="B191" s="21" t="inlineStr">
        <is>
          <t>Containers del Pacifico sa de cv</t>
        </is>
      </c>
      <c r="C191" s="21" t="inlineStr">
        <is>
          <t>Outlander Sport</t>
        </is>
      </c>
      <c r="D191" s="20" t="inlineStr">
        <is>
          <t>ACTIVO</t>
        </is>
      </c>
      <c r="E191" s="22" t="n">
        <v>36</v>
      </c>
      <c r="F191" s="23">
        <f>ROUND(Saldos_Cartera_Total!F191 + Saldo_Residual_Activo!I191, 2)</f>
        <v/>
      </c>
      <c r="G191" s="23">
        <f>ROUND(Saldos_Cartera_Total!G191 + Saldo_Residual_Activo!J191, 2)</f>
        <v/>
      </c>
      <c r="H191" s="23">
        <f>ROUND(Saldos_Cartera_Total!H191 + Saldo_Residual_Activo!K191, 2)</f>
        <v/>
      </c>
      <c r="I191" s="23">
        <f>ROUND(Saldos_Cartera_Total!I191 + Saldo_Residual_Activo!L191, 2)</f>
        <v/>
      </c>
      <c r="J191" s="23">
        <f>ROUND(Saldos_Cartera_Total!J191 + Saldo_Residual_Activo!M191, 2)</f>
        <v/>
      </c>
      <c r="K191" s="23">
        <f>ROUND(Saldos_Cartera_Total!K191 + Saldo_Residual_Activo!N191, 2)</f>
        <v/>
      </c>
      <c r="L191" s="23">
        <f>ROUND(Saldos_Cartera_Total!L191 + Saldo_Residual_Activo!O191, 2)</f>
        <v/>
      </c>
      <c r="M191" s="23">
        <f>ROUND(Saldos_Cartera_Total!M191 + Saldo_Residual_Activo!P191, 2)</f>
        <v/>
      </c>
      <c r="N191" s="23">
        <f>ROUND(Saldos_Cartera_Total!N191 + Saldo_Residual_Activo!Q191, 2)</f>
        <v/>
      </c>
      <c r="O191" s="23">
        <f>ROUND(Saldos_Cartera_Total!O191 + Saldo_Residual_Activo!R191, 2)</f>
        <v/>
      </c>
      <c r="P191" s="23">
        <f>ROUND(Saldos_Cartera_Total!P191 + Saldo_Residual_Activo!S191, 2)</f>
        <v/>
      </c>
      <c r="Q191" s="23">
        <f>ROUND(Saldos_Cartera_Total!Q191 + Saldo_Residual_Activo!T191, 2)</f>
        <v/>
      </c>
      <c r="R191" s="23">
        <f>MAX(F191:Q191)</f>
        <v/>
      </c>
    </row>
    <row r="192">
      <c r="A192" s="26" t="inlineStr">
        <is>
          <t>0712-0002</t>
        </is>
      </c>
      <c r="B192" s="27" t="inlineStr">
        <is>
          <t>Containers del Pacifico sa de cv</t>
        </is>
      </c>
      <c r="C192" s="27" t="inlineStr">
        <is>
          <t>Np300</t>
        </is>
      </c>
      <c r="D192" s="26" t="inlineStr">
        <is>
          <t>ACTIVO</t>
        </is>
      </c>
      <c r="E192" s="28" t="n">
        <v>36</v>
      </c>
      <c r="F192" s="29">
        <f>ROUND(Saldos_Cartera_Total!F192 + Saldo_Residual_Activo!I192, 2)</f>
        <v/>
      </c>
      <c r="G192" s="29">
        <f>ROUND(Saldos_Cartera_Total!G192 + Saldo_Residual_Activo!J192, 2)</f>
        <v/>
      </c>
      <c r="H192" s="29">
        <f>ROUND(Saldos_Cartera_Total!H192 + Saldo_Residual_Activo!K192, 2)</f>
        <v/>
      </c>
      <c r="I192" s="29">
        <f>ROUND(Saldos_Cartera_Total!I192 + Saldo_Residual_Activo!L192, 2)</f>
        <v/>
      </c>
      <c r="J192" s="29">
        <f>ROUND(Saldos_Cartera_Total!J192 + Saldo_Residual_Activo!M192, 2)</f>
        <v/>
      </c>
      <c r="K192" s="29">
        <f>ROUND(Saldos_Cartera_Total!K192 + Saldo_Residual_Activo!N192, 2)</f>
        <v/>
      </c>
      <c r="L192" s="29">
        <f>ROUND(Saldos_Cartera_Total!L192 + Saldo_Residual_Activo!O192, 2)</f>
        <v/>
      </c>
      <c r="M192" s="29">
        <f>ROUND(Saldos_Cartera_Total!M192 + Saldo_Residual_Activo!P192, 2)</f>
        <v/>
      </c>
      <c r="N192" s="29">
        <f>ROUND(Saldos_Cartera_Total!N192 + Saldo_Residual_Activo!Q192, 2)</f>
        <v/>
      </c>
      <c r="O192" s="29">
        <f>ROUND(Saldos_Cartera_Total!O192 + Saldo_Residual_Activo!R192, 2)</f>
        <v/>
      </c>
      <c r="P192" s="29">
        <f>ROUND(Saldos_Cartera_Total!P192 + Saldo_Residual_Activo!S192, 2)</f>
        <v/>
      </c>
      <c r="Q192" s="29">
        <f>ROUND(Saldos_Cartera_Total!Q192 + Saldo_Residual_Activo!T192, 2)</f>
        <v/>
      </c>
      <c r="R192" s="29">
        <f>MAX(F192:Q192)</f>
        <v/>
      </c>
    </row>
    <row r="193">
      <c r="A193" s="20" t="inlineStr">
        <is>
          <t>0712-0003</t>
        </is>
      </c>
      <c r="B193" s="21" t="inlineStr">
        <is>
          <t>Containers del Pacifico sa de cv</t>
        </is>
      </c>
      <c r="C193" s="21" t="inlineStr">
        <is>
          <t>Np300</t>
        </is>
      </c>
      <c r="D193" s="20" t="inlineStr">
        <is>
          <t>ACTIVO</t>
        </is>
      </c>
      <c r="E193" s="22" t="n">
        <v>36</v>
      </c>
      <c r="F193" s="23">
        <f>ROUND(Saldos_Cartera_Total!F193 + Saldo_Residual_Activo!I193, 2)</f>
        <v/>
      </c>
      <c r="G193" s="23">
        <f>ROUND(Saldos_Cartera_Total!G193 + Saldo_Residual_Activo!J193, 2)</f>
        <v/>
      </c>
      <c r="H193" s="23">
        <f>ROUND(Saldos_Cartera_Total!H193 + Saldo_Residual_Activo!K193, 2)</f>
        <v/>
      </c>
      <c r="I193" s="23">
        <f>ROUND(Saldos_Cartera_Total!I193 + Saldo_Residual_Activo!L193, 2)</f>
        <v/>
      </c>
      <c r="J193" s="23">
        <f>ROUND(Saldos_Cartera_Total!J193 + Saldo_Residual_Activo!M193, 2)</f>
        <v/>
      </c>
      <c r="K193" s="23">
        <f>ROUND(Saldos_Cartera_Total!K193 + Saldo_Residual_Activo!N193, 2)</f>
        <v/>
      </c>
      <c r="L193" s="23">
        <f>ROUND(Saldos_Cartera_Total!L193 + Saldo_Residual_Activo!O193, 2)</f>
        <v/>
      </c>
      <c r="M193" s="23">
        <f>ROUND(Saldos_Cartera_Total!M193 + Saldo_Residual_Activo!P193, 2)</f>
        <v/>
      </c>
      <c r="N193" s="23">
        <f>ROUND(Saldos_Cartera_Total!N193 + Saldo_Residual_Activo!Q193, 2)</f>
        <v/>
      </c>
      <c r="O193" s="23">
        <f>ROUND(Saldos_Cartera_Total!O193 + Saldo_Residual_Activo!R193, 2)</f>
        <v/>
      </c>
      <c r="P193" s="23">
        <f>ROUND(Saldos_Cartera_Total!P193 + Saldo_Residual_Activo!S193, 2)</f>
        <v/>
      </c>
      <c r="Q193" s="23">
        <f>ROUND(Saldos_Cartera_Total!Q193 + Saldo_Residual_Activo!T193, 2)</f>
        <v/>
      </c>
      <c r="R193" s="23">
        <f>MAX(F193:Q193)</f>
        <v/>
      </c>
    </row>
    <row r="194">
      <c r="A194" s="26" t="inlineStr">
        <is>
          <t>0713-0001</t>
        </is>
      </c>
      <c r="B194" s="27" t="inlineStr">
        <is>
          <t>Ana Carolina Urzua Lopez</t>
        </is>
      </c>
      <c r="C194" s="27" t="inlineStr">
        <is>
          <t>Ram 1200</t>
        </is>
      </c>
      <c r="D194" s="26" t="inlineStr">
        <is>
          <t>ACTIVO</t>
        </is>
      </c>
      <c r="E194" s="28" t="n">
        <v>24</v>
      </c>
      <c r="F194" s="29">
        <f>ROUND(Saldos_Cartera_Total!F194 + Saldo_Residual_Activo!I194, 2)</f>
        <v/>
      </c>
      <c r="G194" s="29">
        <f>ROUND(Saldos_Cartera_Total!G194 + Saldo_Residual_Activo!J194, 2)</f>
        <v/>
      </c>
      <c r="H194" s="29">
        <f>ROUND(Saldos_Cartera_Total!H194 + Saldo_Residual_Activo!K194, 2)</f>
        <v/>
      </c>
      <c r="I194" s="29">
        <f>ROUND(Saldos_Cartera_Total!I194 + Saldo_Residual_Activo!L194, 2)</f>
        <v/>
      </c>
      <c r="J194" s="29">
        <f>ROUND(Saldos_Cartera_Total!J194 + Saldo_Residual_Activo!M194, 2)</f>
        <v/>
      </c>
      <c r="K194" s="29">
        <f>ROUND(Saldos_Cartera_Total!K194 + Saldo_Residual_Activo!N194, 2)</f>
        <v/>
      </c>
      <c r="L194" s="29">
        <f>ROUND(Saldos_Cartera_Total!L194 + Saldo_Residual_Activo!O194, 2)</f>
        <v/>
      </c>
      <c r="M194" s="29">
        <f>ROUND(Saldos_Cartera_Total!M194 + Saldo_Residual_Activo!P194, 2)</f>
        <v/>
      </c>
      <c r="N194" s="29">
        <f>ROUND(Saldos_Cartera_Total!N194 + Saldo_Residual_Activo!Q194, 2)</f>
        <v/>
      </c>
      <c r="O194" s="29">
        <f>ROUND(Saldos_Cartera_Total!O194 + Saldo_Residual_Activo!R194, 2)</f>
        <v/>
      </c>
      <c r="P194" s="29">
        <f>ROUND(Saldos_Cartera_Total!P194 + Saldo_Residual_Activo!S194, 2)</f>
        <v/>
      </c>
      <c r="Q194" s="29">
        <f>ROUND(Saldos_Cartera_Total!Q194 + Saldo_Residual_Activo!T194, 2)</f>
        <v/>
      </c>
      <c r="R194" s="29">
        <f>MAX(F194:Q194)</f>
        <v/>
      </c>
    </row>
    <row r="195">
      <c r="A195" s="20" t="inlineStr">
        <is>
          <t>0714-0001</t>
        </is>
      </c>
      <c r="B195" s="21" t="inlineStr">
        <is>
          <t>Celeste Capital Aj</t>
        </is>
      </c>
      <c r="C195" s="21" t="inlineStr">
        <is>
          <t>Wrangler 4Xe</t>
        </is>
      </c>
      <c r="D195" s="20" t="inlineStr">
        <is>
          <t>ACTIVO</t>
        </is>
      </c>
      <c r="E195" s="22" t="n">
        <v>48</v>
      </c>
      <c r="F195" s="23">
        <f>ROUND(Saldos_Cartera_Total!F195 + Saldo_Residual_Activo!I195, 2)</f>
        <v/>
      </c>
      <c r="G195" s="23">
        <f>ROUND(Saldos_Cartera_Total!G195 + Saldo_Residual_Activo!J195, 2)</f>
        <v/>
      </c>
      <c r="H195" s="23">
        <f>ROUND(Saldos_Cartera_Total!H195 + Saldo_Residual_Activo!K195, 2)</f>
        <v/>
      </c>
      <c r="I195" s="23">
        <f>ROUND(Saldos_Cartera_Total!I195 + Saldo_Residual_Activo!L195, 2)</f>
        <v/>
      </c>
      <c r="J195" s="23">
        <f>ROUND(Saldos_Cartera_Total!J195 + Saldo_Residual_Activo!M195, 2)</f>
        <v/>
      </c>
      <c r="K195" s="23">
        <f>ROUND(Saldos_Cartera_Total!K195 + Saldo_Residual_Activo!N195, 2)</f>
        <v/>
      </c>
      <c r="L195" s="23">
        <f>ROUND(Saldos_Cartera_Total!L195 + Saldo_Residual_Activo!O195, 2)</f>
        <v/>
      </c>
      <c r="M195" s="23">
        <f>ROUND(Saldos_Cartera_Total!M195 + Saldo_Residual_Activo!P195, 2)</f>
        <v/>
      </c>
      <c r="N195" s="23">
        <f>ROUND(Saldos_Cartera_Total!N195 + Saldo_Residual_Activo!Q195, 2)</f>
        <v/>
      </c>
      <c r="O195" s="23">
        <f>ROUND(Saldos_Cartera_Total!O195 + Saldo_Residual_Activo!R195, 2)</f>
        <v/>
      </c>
      <c r="P195" s="23">
        <f>ROUND(Saldos_Cartera_Total!P195 + Saldo_Residual_Activo!S195, 2)</f>
        <v/>
      </c>
      <c r="Q195" s="23">
        <f>ROUND(Saldos_Cartera_Total!Q195 + Saldo_Residual_Activo!T195, 2)</f>
        <v/>
      </c>
      <c r="R195" s="23">
        <f>MAX(F195:Q195)</f>
        <v/>
      </c>
    </row>
    <row r="196">
      <c r="A196" s="26" t="inlineStr">
        <is>
          <t>0715-0001</t>
        </is>
      </c>
      <c r="B196" s="27" t="inlineStr">
        <is>
          <t>Jose de Jesus Serrano Sanchez</t>
        </is>
      </c>
      <c r="C196" s="27" t="inlineStr">
        <is>
          <t>Ram 1200</t>
        </is>
      </c>
      <c r="D196" s="26" t="inlineStr">
        <is>
          <t>ACTIVO</t>
        </is>
      </c>
      <c r="E196" s="28" t="n">
        <v>48</v>
      </c>
      <c r="F196" s="29">
        <f>ROUND(Saldos_Cartera_Total!F196 + Saldo_Residual_Activo!I196, 2)</f>
        <v/>
      </c>
      <c r="G196" s="29">
        <f>ROUND(Saldos_Cartera_Total!G196 + Saldo_Residual_Activo!J196, 2)</f>
        <v/>
      </c>
      <c r="H196" s="29">
        <f>ROUND(Saldos_Cartera_Total!H196 + Saldo_Residual_Activo!K196, 2)</f>
        <v/>
      </c>
      <c r="I196" s="29">
        <f>ROUND(Saldos_Cartera_Total!I196 + Saldo_Residual_Activo!L196, 2)</f>
        <v/>
      </c>
      <c r="J196" s="29">
        <f>ROUND(Saldos_Cartera_Total!J196 + Saldo_Residual_Activo!M196, 2)</f>
        <v/>
      </c>
      <c r="K196" s="29">
        <f>ROUND(Saldos_Cartera_Total!K196 + Saldo_Residual_Activo!N196, 2)</f>
        <v/>
      </c>
      <c r="L196" s="29">
        <f>ROUND(Saldos_Cartera_Total!L196 + Saldo_Residual_Activo!O196, 2)</f>
        <v/>
      </c>
      <c r="M196" s="29">
        <f>ROUND(Saldos_Cartera_Total!M196 + Saldo_Residual_Activo!P196, 2)</f>
        <v/>
      </c>
      <c r="N196" s="29">
        <f>ROUND(Saldos_Cartera_Total!N196 + Saldo_Residual_Activo!Q196, 2)</f>
        <v/>
      </c>
      <c r="O196" s="29">
        <f>ROUND(Saldos_Cartera_Total!O196 + Saldo_Residual_Activo!R196, 2)</f>
        <v/>
      </c>
      <c r="P196" s="29">
        <f>ROUND(Saldos_Cartera_Total!P196 + Saldo_Residual_Activo!S196, 2)</f>
        <v/>
      </c>
      <c r="Q196" s="29">
        <f>ROUND(Saldos_Cartera_Total!Q196 + Saldo_Residual_Activo!T196, 2)</f>
        <v/>
      </c>
      <c r="R196" s="29">
        <f>MAX(F196:Q196)</f>
        <v/>
      </c>
    </row>
    <row r="197">
      <c r="A197" s="20" t="inlineStr">
        <is>
          <t>0716-0001</t>
        </is>
      </c>
      <c r="B197" s="21" t="inlineStr">
        <is>
          <t>Mayoristas Asociados en Servicio Celular SA de CV</t>
        </is>
      </c>
      <c r="C197" s="21" t="inlineStr">
        <is>
          <t>Wrangler Unlimited Rubicon</t>
        </is>
      </c>
      <c r="D197" s="20" t="inlineStr">
        <is>
          <t>ACTIVO</t>
        </is>
      </c>
      <c r="E197" s="22" t="n">
        <v>24</v>
      </c>
      <c r="F197" s="23">
        <f>ROUND(Saldos_Cartera_Total!F197 + Saldo_Residual_Activo!I197, 2)</f>
        <v/>
      </c>
      <c r="G197" s="23">
        <f>ROUND(Saldos_Cartera_Total!G197 + Saldo_Residual_Activo!J197, 2)</f>
        <v/>
      </c>
      <c r="H197" s="23">
        <f>ROUND(Saldos_Cartera_Total!H197 + Saldo_Residual_Activo!K197, 2)</f>
        <v/>
      </c>
      <c r="I197" s="23">
        <f>ROUND(Saldos_Cartera_Total!I197 + Saldo_Residual_Activo!L197, 2)</f>
        <v/>
      </c>
      <c r="J197" s="23">
        <f>ROUND(Saldos_Cartera_Total!J197 + Saldo_Residual_Activo!M197, 2)</f>
        <v/>
      </c>
      <c r="K197" s="23">
        <f>ROUND(Saldos_Cartera_Total!K197 + Saldo_Residual_Activo!N197, 2)</f>
        <v/>
      </c>
      <c r="L197" s="23">
        <f>ROUND(Saldos_Cartera_Total!L197 + Saldo_Residual_Activo!O197, 2)</f>
        <v/>
      </c>
      <c r="M197" s="23">
        <f>ROUND(Saldos_Cartera_Total!M197 + Saldo_Residual_Activo!P197, 2)</f>
        <v/>
      </c>
      <c r="N197" s="23">
        <f>ROUND(Saldos_Cartera_Total!N197 + Saldo_Residual_Activo!Q197, 2)</f>
        <v/>
      </c>
      <c r="O197" s="23">
        <f>ROUND(Saldos_Cartera_Total!O197 + Saldo_Residual_Activo!R197, 2)</f>
        <v/>
      </c>
      <c r="P197" s="23">
        <f>ROUND(Saldos_Cartera_Total!P197 + Saldo_Residual_Activo!S197, 2)</f>
        <v/>
      </c>
      <c r="Q197" s="23">
        <f>ROUND(Saldos_Cartera_Total!Q197 + Saldo_Residual_Activo!T197, 2)</f>
        <v/>
      </c>
      <c r="R197" s="23">
        <f>MAX(F197:Q197)</f>
        <v/>
      </c>
    </row>
    <row r="198">
      <c r="A198" s="26" t="inlineStr">
        <is>
          <t>0716-0002</t>
        </is>
      </c>
      <c r="B198" s="27" t="inlineStr">
        <is>
          <t>Mayoristas Asociados en Servicio Celular SA de CV</t>
        </is>
      </c>
      <c r="C198" s="27" t="inlineStr">
        <is>
          <t>EX30</t>
        </is>
      </c>
      <c r="D198" s="26" t="inlineStr">
        <is>
          <t>ACTIVO</t>
        </is>
      </c>
      <c r="E198" s="28" t="n">
        <v>24</v>
      </c>
      <c r="F198" s="29">
        <f>ROUND(Saldos_Cartera_Total!F198 + Saldo_Residual_Activo!I198, 2)</f>
        <v/>
      </c>
      <c r="G198" s="29">
        <f>ROUND(Saldos_Cartera_Total!G198 + Saldo_Residual_Activo!J198, 2)</f>
        <v/>
      </c>
      <c r="H198" s="29">
        <f>ROUND(Saldos_Cartera_Total!H198 + Saldo_Residual_Activo!K198, 2)</f>
        <v/>
      </c>
      <c r="I198" s="29">
        <f>ROUND(Saldos_Cartera_Total!I198 + Saldo_Residual_Activo!L198, 2)</f>
        <v/>
      </c>
      <c r="J198" s="29">
        <f>ROUND(Saldos_Cartera_Total!J198 + Saldo_Residual_Activo!M198, 2)</f>
        <v/>
      </c>
      <c r="K198" s="29">
        <f>ROUND(Saldos_Cartera_Total!K198 + Saldo_Residual_Activo!N198, 2)</f>
        <v/>
      </c>
      <c r="L198" s="29">
        <f>ROUND(Saldos_Cartera_Total!L198 + Saldo_Residual_Activo!O198, 2)</f>
        <v/>
      </c>
      <c r="M198" s="29">
        <f>ROUND(Saldos_Cartera_Total!M198 + Saldo_Residual_Activo!P198, 2)</f>
        <v/>
      </c>
      <c r="N198" s="29">
        <f>ROUND(Saldos_Cartera_Total!N198 + Saldo_Residual_Activo!Q198, 2)</f>
        <v/>
      </c>
      <c r="O198" s="29">
        <f>ROUND(Saldos_Cartera_Total!O198 + Saldo_Residual_Activo!R198, 2)</f>
        <v/>
      </c>
      <c r="P198" s="29">
        <f>ROUND(Saldos_Cartera_Total!P198 + Saldo_Residual_Activo!S198, 2)</f>
        <v/>
      </c>
      <c r="Q198" s="29">
        <f>ROUND(Saldos_Cartera_Total!Q198 + Saldo_Residual_Activo!T198, 2)</f>
        <v/>
      </c>
      <c r="R198" s="29">
        <f>MAX(F198:Q198)</f>
        <v/>
      </c>
    </row>
    <row r="199">
      <c r="A199" s="20" t="inlineStr">
        <is>
          <t>0716-0003</t>
        </is>
      </c>
      <c r="B199" s="21" t="inlineStr">
        <is>
          <t>Mayoristas Asociados en Servicio Celular SA de CV</t>
        </is>
      </c>
      <c r="C199" s="21" t="inlineStr">
        <is>
          <t>Bronco</t>
        </is>
      </c>
      <c r="D199" s="20" t="inlineStr">
        <is>
          <t>ACTIVO</t>
        </is>
      </c>
      <c r="E199" s="22" t="n">
        <v>24</v>
      </c>
      <c r="F199" s="23">
        <f>ROUND(Saldos_Cartera_Total!F199 + Saldo_Residual_Activo!I199, 2)</f>
        <v/>
      </c>
      <c r="G199" s="23">
        <f>ROUND(Saldos_Cartera_Total!G199 + Saldo_Residual_Activo!J199, 2)</f>
        <v/>
      </c>
      <c r="H199" s="23">
        <f>ROUND(Saldos_Cartera_Total!H199 + Saldo_Residual_Activo!K199, 2)</f>
        <v/>
      </c>
      <c r="I199" s="23">
        <f>ROUND(Saldos_Cartera_Total!I199 + Saldo_Residual_Activo!L199, 2)</f>
        <v/>
      </c>
      <c r="J199" s="23">
        <f>ROUND(Saldos_Cartera_Total!J199 + Saldo_Residual_Activo!M199, 2)</f>
        <v/>
      </c>
      <c r="K199" s="23">
        <f>ROUND(Saldos_Cartera_Total!K199 + Saldo_Residual_Activo!N199, 2)</f>
        <v/>
      </c>
      <c r="L199" s="23">
        <f>ROUND(Saldos_Cartera_Total!L199 + Saldo_Residual_Activo!O199, 2)</f>
        <v/>
      </c>
      <c r="M199" s="23">
        <f>ROUND(Saldos_Cartera_Total!M199 + Saldo_Residual_Activo!P199, 2)</f>
        <v/>
      </c>
      <c r="N199" s="23">
        <f>ROUND(Saldos_Cartera_Total!N199 + Saldo_Residual_Activo!Q199, 2)</f>
        <v/>
      </c>
      <c r="O199" s="23">
        <f>ROUND(Saldos_Cartera_Total!O199 + Saldo_Residual_Activo!R199, 2)</f>
        <v/>
      </c>
      <c r="P199" s="23">
        <f>ROUND(Saldos_Cartera_Total!P199 + Saldo_Residual_Activo!S199, 2)</f>
        <v/>
      </c>
      <c r="Q199" s="23">
        <f>ROUND(Saldos_Cartera_Total!Q199 + Saldo_Residual_Activo!T199, 2)</f>
        <v/>
      </c>
      <c r="R199" s="23">
        <f>MAX(F199:Q199)</f>
        <v/>
      </c>
    </row>
    <row r="200">
      <c r="A200" s="26" t="inlineStr">
        <is>
          <t>0717-0001</t>
        </is>
      </c>
      <c r="B200" s="27" t="inlineStr">
        <is>
          <t>Refaccionaria San Diego SA de CV</t>
        </is>
      </c>
      <c r="C200" s="27" t="inlineStr">
        <is>
          <t>Partner Rapid</t>
        </is>
      </c>
      <c r="D200" s="26" t="inlineStr">
        <is>
          <t>ACTIVO</t>
        </is>
      </c>
      <c r="E200" s="28" t="n">
        <v>48</v>
      </c>
      <c r="F200" s="29">
        <f>ROUND(Saldos_Cartera_Total!F200 + Saldo_Residual_Activo!I200, 2)</f>
        <v/>
      </c>
      <c r="G200" s="29">
        <f>ROUND(Saldos_Cartera_Total!G200 + Saldo_Residual_Activo!J200, 2)</f>
        <v/>
      </c>
      <c r="H200" s="29">
        <f>ROUND(Saldos_Cartera_Total!H200 + Saldo_Residual_Activo!K200, 2)</f>
        <v/>
      </c>
      <c r="I200" s="29">
        <f>ROUND(Saldos_Cartera_Total!I200 + Saldo_Residual_Activo!L200, 2)</f>
        <v/>
      </c>
      <c r="J200" s="29">
        <f>ROUND(Saldos_Cartera_Total!J200 + Saldo_Residual_Activo!M200, 2)</f>
        <v/>
      </c>
      <c r="K200" s="29">
        <f>ROUND(Saldos_Cartera_Total!K200 + Saldo_Residual_Activo!N200, 2)</f>
        <v/>
      </c>
      <c r="L200" s="29">
        <f>ROUND(Saldos_Cartera_Total!L200 + Saldo_Residual_Activo!O200, 2)</f>
        <v/>
      </c>
      <c r="M200" s="29">
        <f>ROUND(Saldos_Cartera_Total!M200 + Saldo_Residual_Activo!P200, 2)</f>
        <v/>
      </c>
      <c r="N200" s="29">
        <f>ROUND(Saldos_Cartera_Total!N200 + Saldo_Residual_Activo!Q200, 2)</f>
        <v/>
      </c>
      <c r="O200" s="29">
        <f>ROUND(Saldos_Cartera_Total!O200 + Saldo_Residual_Activo!R200, 2)</f>
        <v/>
      </c>
      <c r="P200" s="29">
        <f>ROUND(Saldos_Cartera_Total!P200 + Saldo_Residual_Activo!S200, 2)</f>
        <v/>
      </c>
      <c r="Q200" s="29">
        <f>ROUND(Saldos_Cartera_Total!Q200 + Saldo_Residual_Activo!T200, 2)</f>
        <v/>
      </c>
      <c r="R200" s="29">
        <f>MAX(F200:Q200)</f>
        <v/>
      </c>
    </row>
    <row r="201">
      <c r="A201" s="20" t="inlineStr">
        <is>
          <t>0718-0001</t>
        </is>
      </c>
      <c r="B201" s="21" t="inlineStr">
        <is>
          <t>Capriberrys</t>
        </is>
      </c>
      <c r="C201" s="21" t="inlineStr">
        <is>
          <t>Jt Mojave</t>
        </is>
      </c>
      <c r="D201" s="20" t="inlineStr">
        <is>
          <t>ACTIVO</t>
        </is>
      </c>
      <c r="E201" s="22" t="n">
        <v>24</v>
      </c>
      <c r="F201" s="23">
        <f>ROUND(Saldos_Cartera_Total!F201 + Saldo_Residual_Activo!I201, 2)</f>
        <v/>
      </c>
      <c r="G201" s="23">
        <f>ROUND(Saldos_Cartera_Total!G201 + Saldo_Residual_Activo!J201, 2)</f>
        <v/>
      </c>
      <c r="H201" s="23">
        <f>ROUND(Saldos_Cartera_Total!H201 + Saldo_Residual_Activo!K201, 2)</f>
        <v/>
      </c>
      <c r="I201" s="23">
        <f>ROUND(Saldos_Cartera_Total!I201 + Saldo_Residual_Activo!L201, 2)</f>
        <v/>
      </c>
      <c r="J201" s="23">
        <f>ROUND(Saldos_Cartera_Total!J201 + Saldo_Residual_Activo!M201, 2)</f>
        <v/>
      </c>
      <c r="K201" s="23">
        <f>ROUND(Saldos_Cartera_Total!K201 + Saldo_Residual_Activo!N201, 2)</f>
        <v/>
      </c>
      <c r="L201" s="23">
        <f>ROUND(Saldos_Cartera_Total!L201 + Saldo_Residual_Activo!O201, 2)</f>
        <v/>
      </c>
      <c r="M201" s="23">
        <f>ROUND(Saldos_Cartera_Total!M201 + Saldo_Residual_Activo!P201, 2)</f>
        <v/>
      </c>
      <c r="N201" s="23">
        <f>ROUND(Saldos_Cartera_Total!N201 + Saldo_Residual_Activo!Q201, 2)</f>
        <v/>
      </c>
      <c r="O201" s="23">
        <f>ROUND(Saldos_Cartera_Total!O201 + Saldo_Residual_Activo!R201, 2)</f>
        <v/>
      </c>
      <c r="P201" s="23">
        <f>ROUND(Saldos_Cartera_Total!P201 + Saldo_Residual_Activo!S201, 2)</f>
        <v/>
      </c>
      <c r="Q201" s="23">
        <f>ROUND(Saldos_Cartera_Total!Q201 + Saldo_Residual_Activo!T201, 2)</f>
        <v/>
      </c>
      <c r="R201" s="23">
        <f>MAX(F201:Q201)</f>
        <v/>
      </c>
    </row>
    <row r="202">
      <c r="A202" s="26" t="inlineStr">
        <is>
          <t>0719-0001</t>
        </is>
      </c>
      <c r="B202" s="27" t="inlineStr">
        <is>
          <t>Maria de Los Angeles Lopez Janeiro</t>
        </is>
      </c>
      <c r="C202" s="27" t="inlineStr">
        <is>
          <t>Rifter</t>
        </is>
      </c>
      <c r="D202" s="26" t="inlineStr">
        <is>
          <t>ACTIVO</t>
        </is>
      </c>
      <c r="E202" s="28" t="n">
        <v>36</v>
      </c>
      <c r="F202" s="29">
        <f>ROUND(Saldos_Cartera_Total!F202 + Saldo_Residual_Activo!I202, 2)</f>
        <v/>
      </c>
      <c r="G202" s="29">
        <f>ROUND(Saldos_Cartera_Total!G202 + Saldo_Residual_Activo!J202, 2)</f>
        <v/>
      </c>
      <c r="H202" s="29">
        <f>ROUND(Saldos_Cartera_Total!H202 + Saldo_Residual_Activo!K202, 2)</f>
        <v/>
      </c>
      <c r="I202" s="29">
        <f>ROUND(Saldos_Cartera_Total!I202 + Saldo_Residual_Activo!L202, 2)</f>
        <v/>
      </c>
      <c r="J202" s="29">
        <f>ROUND(Saldos_Cartera_Total!J202 + Saldo_Residual_Activo!M202, 2)</f>
        <v/>
      </c>
      <c r="K202" s="29">
        <f>ROUND(Saldos_Cartera_Total!K202 + Saldo_Residual_Activo!N202, 2)</f>
        <v/>
      </c>
      <c r="L202" s="29">
        <f>ROUND(Saldos_Cartera_Total!L202 + Saldo_Residual_Activo!O202, 2)</f>
        <v/>
      </c>
      <c r="M202" s="29">
        <f>ROUND(Saldos_Cartera_Total!M202 + Saldo_Residual_Activo!P202, 2)</f>
        <v/>
      </c>
      <c r="N202" s="29">
        <f>ROUND(Saldos_Cartera_Total!N202 + Saldo_Residual_Activo!Q202, 2)</f>
        <v/>
      </c>
      <c r="O202" s="29">
        <f>ROUND(Saldos_Cartera_Total!O202 + Saldo_Residual_Activo!R202, 2)</f>
        <v/>
      </c>
      <c r="P202" s="29">
        <f>ROUND(Saldos_Cartera_Total!P202 + Saldo_Residual_Activo!S202, 2)</f>
        <v/>
      </c>
      <c r="Q202" s="29">
        <f>ROUND(Saldos_Cartera_Total!Q202 + Saldo_Residual_Activo!T202, 2)</f>
        <v/>
      </c>
      <c r="R202" s="29">
        <f>MAX(F202:Q202)</f>
        <v/>
      </c>
    </row>
    <row r="203">
      <c r="A203" s="20" t="inlineStr">
        <is>
          <t>0720-0001</t>
        </is>
      </c>
      <c r="B203" s="21" t="inlineStr">
        <is>
          <t>Forrajes Los 6 Hermanos S.P.R. DE R.L.</t>
        </is>
      </c>
      <c r="C203" s="21" t="inlineStr">
        <is>
          <t>Shark</t>
        </is>
      </c>
      <c r="D203" s="20" t="inlineStr">
        <is>
          <t>ACTIVO</t>
        </is>
      </c>
      <c r="E203" s="22" t="n">
        <v>36</v>
      </c>
      <c r="F203" s="23">
        <f>ROUND(Saldos_Cartera_Total!F203 + Saldo_Residual_Activo!I203, 2)</f>
        <v/>
      </c>
      <c r="G203" s="23">
        <f>ROUND(Saldos_Cartera_Total!G203 + Saldo_Residual_Activo!J203, 2)</f>
        <v/>
      </c>
      <c r="H203" s="23">
        <f>ROUND(Saldos_Cartera_Total!H203 + Saldo_Residual_Activo!K203, 2)</f>
        <v/>
      </c>
      <c r="I203" s="23">
        <f>ROUND(Saldos_Cartera_Total!I203 + Saldo_Residual_Activo!L203, 2)</f>
        <v/>
      </c>
      <c r="J203" s="23">
        <f>ROUND(Saldos_Cartera_Total!J203 + Saldo_Residual_Activo!M203, 2)</f>
        <v/>
      </c>
      <c r="K203" s="23">
        <f>ROUND(Saldos_Cartera_Total!K203 + Saldo_Residual_Activo!N203, 2)</f>
        <v/>
      </c>
      <c r="L203" s="23">
        <f>ROUND(Saldos_Cartera_Total!L203 + Saldo_Residual_Activo!O203, 2)</f>
        <v/>
      </c>
      <c r="M203" s="23">
        <f>ROUND(Saldos_Cartera_Total!M203 + Saldo_Residual_Activo!P203, 2)</f>
        <v/>
      </c>
      <c r="N203" s="23">
        <f>ROUND(Saldos_Cartera_Total!N203 + Saldo_Residual_Activo!Q203, 2)</f>
        <v/>
      </c>
      <c r="O203" s="23">
        <f>ROUND(Saldos_Cartera_Total!O203 + Saldo_Residual_Activo!R203, 2)</f>
        <v/>
      </c>
      <c r="P203" s="23">
        <f>ROUND(Saldos_Cartera_Total!P203 + Saldo_Residual_Activo!S203, 2)</f>
        <v/>
      </c>
      <c r="Q203" s="23">
        <f>ROUND(Saldos_Cartera_Total!Q203 + Saldo_Residual_Activo!T203, 2)</f>
        <v/>
      </c>
      <c r="R203" s="23">
        <f>MAX(F203:Q203)</f>
        <v/>
      </c>
    </row>
    <row r="204">
      <c r="A204" s="26" t="inlineStr">
        <is>
          <t>0721-0001</t>
        </is>
      </c>
      <c r="B204" s="27" t="inlineStr">
        <is>
          <t>Ricardo Ortiz Guzman</t>
        </is>
      </c>
      <c r="C204" s="27" t="inlineStr">
        <is>
          <t>Rifter</t>
        </is>
      </c>
      <c r="D204" s="26" t="inlineStr">
        <is>
          <t>ACTIVO</t>
        </is>
      </c>
      <c r="E204" s="28" t="n">
        <v>48</v>
      </c>
      <c r="F204" s="29">
        <f>ROUND(Saldos_Cartera_Total!F204 + Saldo_Residual_Activo!I204, 2)</f>
        <v/>
      </c>
      <c r="G204" s="29">
        <f>ROUND(Saldos_Cartera_Total!G204 + Saldo_Residual_Activo!J204, 2)</f>
        <v/>
      </c>
      <c r="H204" s="29">
        <f>ROUND(Saldos_Cartera_Total!H204 + Saldo_Residual_Activo!K204, 2)</f>
        <v/>
      </c>
      <c r="I204" s="29">
        <f>ROUND(Saldos_Cartera_Total!I204 + Saldo_Residual_Activo!L204, 2)</f>
        <v/>
      </c>
      <c r="J204" s="29">
        <f>ROUND(Saldos_Cartera_Total!J204 + Saldo_Residual_Activo!M204, 2)</f>
        <v/>
      </c>
      <c r="K204" s="29">
        <f>ROUND(Saldos_Cartera_Total!K204 + Saldo_Residual_Activo!N204, 2)</f>
        <v/>
      </c>
      <c r="L204" s="29">
        <f>ROUND(Saldos_Cartera_Total!L204 + Saldo_Residual_Activo!O204, 2)</f>
        <v/>
      </c>
      <c r="M204" s="29">
        <f>ROUND(Saldos_Cartera_Total!M204 + Saldo_Residual_Activo!P204, 2)</f>
        <v/>
      </c>
      <c r="N204" s="29">
        <f>ROUND(Saldos_Cartera_Total!N204 + Saldo_Residual_Activo!Q204, 2)</f>
        <v/>
      </c>
      <c r="O204" s="29">
        <f>ROUND(Saldos_Cartera_Total!O204 + Saldo_Residual_Activo!R204, 2)</f>
        <v/>
      </c>
      <c r="P204" s="29">
        <f>ROUND(Saldos_Cartera_Total!P204 + Saldo_Residual_Activo!S204, 2)</f>
        <v/>
      </c>
      <c r="Q204" s="29">
        <f>ROUND(Saldos_Cartera_Total!Q204 + Saldo_Residual_Activo!T204, 2)</f>
        <v/>
      </c>
      <c r="R204" s="29">
        <f>MAX(F204:Q204)</f>
        <v/>
      </c>
    </row>
    <row r="205">
      <c r="A205" s="20" t="inlineStr">
        <is>
          <t>0721-0002</t>
        </is>
      </c>
      <c r="B205" s="21" t="inlineStr">
        <is>
          <t>Ricardo Ortiz Guzman</t>
        </is>
      </c>
      <c r="C205" s="21" t="inlineStr">
        <is>
          <t>CX5</t>
        </is>
      </c>
      <c r="D205" s="20" t="inlineStr">
        <is>
          <t>ACTIVO</t>
        </is>
      </c>
      <c r="E205" s="22" t="n">
        <v>48</v>
      </c>
      <c r="F205" s="23">
        <f>ROUND(Saldos_Cartera_Total!F205 + Saldo_Residual_Activo!I205, 2)</f>
        <v/>
      </c>
      <c r="G205" s="23">
        <f>ROUND(Saldos_Cartera_Total!G205 + Saldo_Residual_Activo!J205, 2)</f>
        <v/>
      </c>
      <c r="H205" s="23">
        <f>ROUND(Saldos_Cartera_Total!H205 + Saldo_Residual_Activo!K205, 2)</f>
        <v/>
      </c>
      <c r="I205" s="23">
        <f>ROUND(Saldos_Cartera_Total!I205 + Saldo_Residual_Activo!L205, 2)</f>
        <v/>
      </c>
      <c r="J205" s="23">
        <f>ROUND(Saldos_Cartera_Total!J205 + Saldo_Residual_Activo!M205, 2)</f>
        <v/>
      </c>
      <c r="K205" s="23">
        <f>ROUND(Saldos_Cartera_Total!K205 + Saldo_Residual_Activo!N205, 2)</f>
        <v/>
      </c>
      <c r="L205" s="23">
        <f>ROUND(Saldos_Cartera_Total!L205 + Saldo_Residual_Activo!O205, 2)</f>
        <v/>
      </c>
      <c r="M205" s="23">
        <f>ROUND(Saldos_Cartera_Total!M205 + Saldo_Residual_Activo!P205, 2)</f>
        <v/>
      </c>
      <c r="N205" s="23">
        <f>ROUND(Saldos_Cartera_Total!N205 + Saldo_Residual_Activo!Q205, 2)</f>
        <v/>
      </c>
      <c r="O205" s="23">
        <f>ROUND(Saldos_Cartera_Total!O205 + Saldo_Residual_Activo!R205, 2)</f>
        <v/>
      </c>
      <c r="P205" s="23">
        <f>ROUND(Saldos_Cartera_Total!P205 + Saldo_Residual_Activo!S205, 2)</f>
        <v/>
      </c>
      <c r="Q205" s="23">
        <f>ROUND(Saldos_Cartera_Total!Q205 + Saldo_Residual_Activo!T205, 2)</f>
        <v/>
      </c>
      <c r="R205" s="23">
        <f>MAX(F205:Q205)</f>
        <v/>
      </c>
    </row>
    <row r="206">
      <c r="A206" s="26" t="inlineStr">
        <is>
          <t>0722-0001</t>
        </is>
      </c>
      <c r="B206" s="27" t="inlineStr">
        <is>
          <t>Tortas Ro S. DE R.L. DE C.V.</t>
        </is>
      </c>
      <c r="C206" s="27" t="inlineStr">
        <is>
          <t>Partner</t>
        </is>
      </c>
      <c r="D206" s="26" t="inlineStr">
        <is>
          <t>ACTIVO</t>
        </is>
      </c>
      <c r="E206" s="28" t="n">
        <v>24</v>
      </c>
      <c r="F206" s="29">
        <f>ROUND(Saldos_Cartera_Total!F206 + Saldo_Residual_Activo!I206, 2)</f>
        <v/>
      </c>
      <c r="G206" s="29">
        <f>ROUND(Saldos_Cartera_Total!G206 + Saldo_Residual_Activo!J206, 2)</f>
        <v/>
      </c>
      <c r="H206" s="29">
        <f>ROUND(Saldos_Cartera_Total!H206 + Saldo_Residual_Activo!K206, 2)</f>
        <v/>
      </c>
      <c r="I206" s="29">
        <f>ROUND(Saldos_Cartera_Total!I206 + Saldo_Residual_Activo!L206, 2)</f>
        <v/>
      </c>
      <c r="J206" s="29">
        <f>ROUND(Saldos_Cartera_Total!J206 + Saldo_Residual_Activo!M206, 2)</f>
        <v/>
      </c>
      <c r="K206" s="29">
        <f>ROUND(Saldos_Cartera_Total!K206 + Saldo_Residual_Activo!N206, 2)</f>
        <v/>
      </c>
      <c r="L206" s="29">
        <f>ROUND(Saldos_Cartera_Total!L206 + Saldo_Residual_Activo!O206, 2)</f>
        <v/>
      </c>
      <c r="M206" s="29">
        <f>ROUND(Saldos_Cartera_Total!M206 + Saldo_Residual_Activo!P206, 2)</f>
        <v/>
      </c>
      <c r="N206" s="29">
        <f>ROUND(Saldos_Cartera_Total!N206 + Saldo_Residual_Activo!Q206, 2)</f>
        <v/>
      </c>
      <c r="O206" s="29">
        <f>ROUND(Saldos_Cartera_Total!O206 + Saldo_Residual_Activo!R206, 2)</f>
        <v/>
      </c>
      <c r="P206" s="29">
        <f>ROUND(Saldos_Cartera_Total!P206 + Saldo_Residual_Activo!S206, 2)</f>
        <v/>
      </c>
      <c r="Q206" s="29">
        <f>ROUND(Saldos_Cartera_Total!Q206 + Saldo_Residual_Activo!T206, 2)</f>
        <v/>
      </c>
      <c r="R206" s="29">
        <f>MAX(F206:Q206)</f>
        <v/>
      </c>
    </row>
    <row r="207">
      <c r="A207" s="20" t="inlineStr">
        <is>
          <t>0723-0001</t>
        </is>
      </c>
      <c r="B207" s="21" t="inlineStr">
        <is>
          <t>Sandra Inez Velazquez Altamirano</t>
        </is>
      </c>
      <c r="C207" s="21" t="inlineStr">
        <is>
          <t>Sierra Denali</t>
        </is>
      </c>
      <c r="D207" s="20" t="inlineStr">
        <is>
          <t>ACTIVO</t>
        </is>
      </c>
      <c r="E207" s="22" t="n">
        <v>36</v>
      </c>
      <c r="F207" s="23">
        <f>ROUND(Saldos_Cartera_Total!F207 + Saldo_Residual_Activo!I207, 2)</f>
        <v/>
      </c>
      <c r="G207" s="23">
        <f>ROUND(Saldos_Cartera_Total!G207 + Saldo_Residual_Activo!J207, 2)</f>
        <v/>
      </c>
      <c r="H207" s="23">
        <f>ROUND(Saldos_Cartera_Total!H207 + Saldo_Residual_Activo!K207, 2)</f>
        <v/>
      </c>
      <c r="I207" s="23">
        <f>ROUND(Saldos_Cartera_Total!I207 + Saldo_Residual_Activo!L207, 2)</f>
        <v/>
      </c>
      <c r="J207" s="23">
        <f>ROUND(Saldos_Cartera_Total!J207 + Saldo_Residual_Activo!M207, 2)</f>
        <v/>
      </c>
      <c r="K207" s="23">
        <f>ROUND(Saldos_Cartera_Total!K207 + Saldo_Residual_Activo!N207, 2)</f>
        <v/>
      </c>
      <c r="L207" s="23">
        <f>ROUND(Saldos_Cartera_Total!L207 + Saldo_Residual_Activo!O207, 2)</f>
        <v/>
      </c>
      <c r="M207" s="23">
        <f>ROUND(Saldos_Cartera_Total!M207 + Saldo_Residual_Activo!P207, 2)</f>
        <v/>
      </c>
      <c r="N207" s="23">
        <f>ROUND(Saldos_Cartera_Total!N207 + Saldo_Residual_Activo!Q207, 2)</f>
        <v/>
      </c>
      <c r="O207" s="23">
        <f>ROUND(Saldos_Cartera_Total!O207 + Saldo_Residual_Activo!R207, 2)</f>
        <v/>
      </c>
      <c r="P207" s="23">
        <f>ROUND(Saldos_Cartera_Total!P207 + Saldo_Residual_Activo!S207, 2)</f>
        <v/>
      </c>
      <c r="Q207" s="23">
        <f>ROUND(Saldos_Cartera_Total!Q207 + Saldo_Residual_Activo!T207, 2)</f>
        <v/>
      </c>
      <c r="R207" s="23">
        <f>MAX(F207:Q207)</f>
        <v/>
      </c>
    </row>
    <row r="208">
      <c r="A208" s="26" t="inlineStr">
        <is>
          <t>0724-0001</t>
        </is>
      </c>
      <c r="B208" s="27" t="inlineStr">
        <is>
          <t>Victor Merced Brizuela Aguilar</t>
        </is>
      </c>
      <c r="C208" s="27" t="inlineStr">
        <is>
          <t>Tiggo 7 Plus</t>
        </is>
      </c>
      <c r="D208" s="26" t="inlineStr">
        <is>
          <t>ACTIVO</t>
        </is>
      </c>
      <c r="E208" s="28" t="n">
        <v>48</v>
      </c>
      <c r="F208" s="29">
        <f>ROUND(Saldos_Cartera_Total!F208 + Saldo_Residual_Activo!I208, 2)</f>
        <v/>
      </c>
      <c r="G208" s="29">
        <f>ROUND(Saldos_Cartera_Total!G208 + Saldo_Residual_Activo!J208, 2)</f>
        <v/>
      </c>
      <c r="H208" s="29">
        <f>ROUND(Saldos_Cartera_Total!H208 + Saldo_Residual_Activo!K208, 2)</f>
        <v/>
      </c>
      <c r="I208" s="29">
        <f>ROUND(Saldos_Cartera_Total!I208 + Saldo_Residual_Activo!L208, 2)</f>
        <v/>
      </c>
      <c r="J208" s="29">
        <f>ROUND(Saldos_Cartera_Total!J208 + Saldo_Residual_Activo!M208, 2)</f>
        <v/>
      </c>
      <c r="K208" s="29">
        <f>ROUND(Saldos_Cartera_Total!K208 + Saldo_Residual_Activo!N208, 2)</f>
        <v/>
      </c>
      <c r="L208" s="29">
        <f>ROUND(Saldos_Cartera_Total!L208 + Saldo_Residual_Activo!O208, 2)</f>
        <v/>
      </c>
      <c r="M208" s="29">
        <f>ROUND(Saldos_Cartera_Total!M208 + Saldo_Residual_Activo!P208, 2)</f>
        <v/>
      </c>
      <c r="N208" s="29">
        <f>ROUND(Saldos_Cartera_Total!N208 + Saldo_Residual_Activo!Q208, 2)</f>
        <v/>
      </c>
      <c r="O208" s="29">
        <f>ROUND(Saldos_Cartera_Total!O208 + Saldo_Residual_Activo!R208, 2)</f>
        <v/>
      </c>
      <c r="P208" s="29">
        <f>ROUND(Saldos_Cartera_Total!P208 + Saldo_Residual_Activo!S208, 2)</f>
        <v/>
      </c>
      <c r="Q208" s="29">
        <f>ROUND(Saldos_Cartera_Total!Q208 + Saldo_Residual_Activo!T208, 2)</f>
        <v/>
      </c>
      <c r="R208" s="29">
        <f>MAX(F208:Q208)</f>
        <v/>
      </c>
    </row>
    <row r="209">
      <c r="A209" s="20" t="inlineStr">
        <is>
          <t>0725-0001</t>
        </is>
      </c>
      <c r="B209" s="21" t="inlineStr">
        <is>
          <t>Octavio Cortes Flores</t>
        </is>
      </c>
      <c r="C209" s="21" t="inlineStr">
        <is>
          <t>Rifter Allure</t>
        </is>
      </c>
      <c r="D209" s="20" t="inlineStr">
        <is>
          <t>ACTIVO</t>
        </is>
      </c>
      <c r="E209" s="22" t="n">
        <v>36</v>
      </c>
      <c r="F209" s="23">
        <f>ROUND(Saldos_Cartera_Total!F209 + Saldo_Residual_Activo!I209, 2)</f>
        <v/>
      </c>
      <c r="G209" s="23">
        <f>ROUND(Saldos_Cartera_Total!G209 + Saldo_Residual_Activo!J209, 2)</f>
        <v/>
      </c>
      <c r="H209" s="23">
        <f>ROUND(Saldos_Cartera_Total!H209 + Saldo_Residual_Activo!K209, 2)</f>
        <v/>
      </c>
      <c r="I209" s="23">
        <f>ROUND(Saldos_Cartera_Total!I209 + Saldo_Residual_Activo!L209, 2)</f>
        <v/>
      </c>
      <c r="J209" s="23">
        <f>ROUND(Saldos_Cartera_Total!J209 + Saldo_Residual_Activo!M209, 2)</f>
        <v/>
      </c>
      <c r="K209" s="23">
        <f>ROUND(Saldos_Cartera_Total!K209 + Saldo_Residual_Activo!N209, 2)</f>
        <v/>
      </c>
      <c r="L209" s="23">
        <f>ROUND(Saldos_Cartera_Total!L209 + Saldo_Residual_Activo!O209, 2)</f>
        <v/>
      </c>
      <c r="M209" s="23">
        <f>ROUND(Saldos_Cartera_Total!M209 + Saldo_Residual_Activo!P209, 2)</f>
        <v/>
      </c>
      <c r="N209" s="23">
        <f>ROUND(Saldos_Cartera_Total!N209 + Saldo_Residual_Activo!Q209, 2)</f>
        <v/>
      </c>
      <c r="O209" s="23">
        <f>ROUND(Saldos_Cartera_Total!O209 + Saldo_Residual_Activo!R209, 2)</f>
        <v/>
      </c>
      <c r="P209" s="23">
        <f>ROUND(Saldos_Cartera_Total!P209 + Saldo_Residual_Activo!S209, 2)</f>
        <v/>
      </c>
      <c r="Q209" s="23">
        <f>ROUND(Saldos_Cartera_Total!Q209 + Saldo_Residual_Activo!T209, 2)</f>
        <v/>
      </c>
      <c r="R209" s="23">
        <f>MAX(F209:Q209)</f>
        <v/>
      </c>
    </row>
    <row r="210">
      <c r="A210" s="26" t="inlineStr">
        <is>
          <t>0726-0001</t>
        </is>
      </c>
      <c r="B210" s="27" t="inlineStr">
        <is>
          <t>Martha Viviana Anguiano Gonzalez</t>
        </is>
      </c>
      <c r="C210" s="27" t="inlineStr">
        <is>
          <t>JT Mojave</t>
        </is>
      </c>
      <c r="D210" s="26" t="inlineStr">
        <is>
          <t>ACTIVO</t>
        </is>
      </c>
      <c r="E210" s="28" t="n">
        <v>48</v>
      </c>
      <c r="F210" s="29">
        <f>ROUND(Saldos_Cartera_Total!F210 + Saldo_Residual_Activo!I210, 2)</f>
        <v/>
      </c>
      <c r="G210" s="29">
        <f>ROUND(Saldos_Cartera_Total!G210 + Saldo_Residual_Activo!J210, 2)</f>
        <v/>
      </c>
      <c r="H210" s="29">
        <f>ROUND(Saldos_Cartera_Total!H210 + Saldo_Residual_Activo!K210, 2)</f>
        <v/>
      </c>
      <c r="I210" s="29">
        <f>ROUND(Saldos_Cartera_Total!I210 + Saldo_Residual_Activo!L210, 2)</f>
        <v/>
      </c>
      <c r="J210" s="29">
        <f>ROUND(Saldos_Cartera_Total!J210 + Saldo_Residual_Activo!M210, 2)</f>
        <v/>
      </c>
      <c r="K210" s="29">
        <f>ROUND(Saldos_Cartera_Total!K210 + Saldo_Residual_Activo!N210, 2)</f>
        <v/>
      </c>
      <c r="L210" s="29">
        <f>ROUND(Saldos_Cartera_Total!L210 + Saldo_Residual_Activo!O210, 2)</f>
        <v/>
      </c>
      <c r="M210" s="29">
        <f>ROUND(Saldos_Cartera_Total!M210 + Saldo_Residual_Activo!P210, 2)</f>
        <v/>
      </c>
      <c r="N210" s="29">
        <f>ROUND(Saldos_Cartera_Total!N210 + Saldo_Residual_Activo!Q210, 2)</f>
        <v/>
      </c>
      <c r="O210" s="29">
        <f>ROUND(Saldos_Cartera_Total!O210 + Saldo_Residual_Activo!R210, 2)</f>
        <v/>
      </c>
      <c r="P210" s="29">
        <f>ROUND(Saldos_Cartera_Total!P210 + Saldo_Residual_Activo!S210, 2)</f>
        <v/>
      </c>
      <c r="Q210" s="29">
        <f>ROUND(Saldos_Cartera_Total!Q210 + Saldo_Residual_Activo!T210, 2)</f>
        <v/>
      </c>
      <c r="R210" s="29">
        <f>MAX(F210:Q210)</f>
        <v/>
      </c>
    </row>
    <row r="211">
      <c r="A211" s="20" t="inlineStr">
        <is>
          <t>0727-0001</t>
        </is>
      </c>
      <c r="B211" s="21" t="inlineStr">
        <is>
          <t>Edgar Adrian Sainz Vazquez</t>
        </is>
      </c>
      <c r="C211" s="21" t="inlineStr">
        <is>
          <t>1200 Laramie</t>
        </is>
      </c>
      <c r="D211" s="20" t="inlineStr">
        <is>
          <t>ACTIVO</t>
        </is>
      </c>
      <c r="E211" s="22" t="n">
        <v>48</v>
      </c>
      <c r="F211" s="23">
        <f>ROUND(Saldos_Cartera_Total!F211 + Saldo_Residual_Activo!I211, 2)</f>
        <v/>
      </c>
      <c r="G211" s="23">
        <f>ROUND(Saldos_Cartera_Total!G211 + Saldo_Residual_Activo!J211, 2)</f>
        <v/>
      </c>
      <c r="H211" s="23">
        <f>ROUND(Saldos_Cartera_Total!H211 + Saldo_Residual_Activo!K211, 2)</f>
        <v/>
      </c>
      <c r="I211" s="23">
        <f>ROUND(Saldos_Cartera_Total!I211 + Saldo_Residual_Activo!L211, 2)</f>
        <v/>
      </c>
      <c r="J211" s="23">
        <f>ROUND(Saldos_Cartera_Total!J211 + Saldo_Residual_Activo!M211, 2)</f>
        <v/>
      </c>
      <c r="K211" s="23">
        <f>ROUND(Saldos_Cartera_Total!K211 + Saldo_Residual_Activo!N211, 2)</f>
        <v/>
      </c>
      <c r="L211" s="23">
        <f>ROUND(Saldos_Cartera_Total!L211 + Saldo_Residual_Activo!O211, 2)</f>
        <v/>
      </c>
      <c r="M211" s="23">
        <f>ROUND(Saldos_Cartera_Total!M211 + Saldo_Residual_Activo!P211, 2)</f>
        <v/>
      </c>
      <c r="N211" s="23">
        <f>ROUND(Saldos_Cartera_Total!N211 + Saldo_Residual_Activo!Q211, 2)</f>
        <v/>
      </c>
      <c r="O211" s="23">
        <f>ROUND(Saldos_Cartera_Total!O211 + Saldo_Residual_Activo!R211, 2)</f>
        <v/>
      </c>
      <c r="P211" s="23">
        <f>ROUND(Saldos_Cartera_Total!P211 + Saldo_Residual_Activo!S211, 2)</f>
        <v/>
      </c>
      <c r="Q211" s="23">
        <f>ROUND(Saldos_Cartera_Total!Q211 + Saldo_Residual_Activo!T211, 2)</f>
        <v/>
      </c>
      <c r="R211" s="23">
        <f>MAX(F211:Q211)</f>
        <v/>
      </c>
    </row>
    <row r="212">
      <c r="A212" s="26" t="inlineStr">
        <is>
          <t>0728-0001</t>
        </is>
      </c>
      <c r="B212" s="27" t="inlineStr">
        <is>
          <t>Arrendadora Tequila, S.A. de C.V.</t>
        </is>
      </c>
      <c r="C212" s="27" t="inlineStr">
        <is>
          <t>JEEP 392</t>
        </is>
      </c>
      <c r="D212" s="26" t="inlineStr">
        <is>
          <t>ACTIVO</t>
        </is>
      </c>
      <c r="E212" s="28" t="n">
        <v>36</v>
      </c>
      <c r="F212" s="29">
        <f>ROUND(Saldos_Cartera_Total!F212 + Saldo_Residual_Activo!I212, 2)</f>
        <v/>
      </c>
      <c r="G212" s="29">
        <f>ROUND(Saldos_Cartera_Total!G212 + Saldo_Residual_Activo!J212, 2)</f>
        <v/>
      </c>
      <c r="H212" s="29">
        <f>ROUND(Saldos_Cartera_Total!H212 + Saldo_Residual_Activo!K212, 2)</f>
        <v/>
      </c>
      <c r="I212" s="29">
        <f>ROUND(Saldos_Cartera_Total!I212 + Saldo_Residual_Activo!L212, 2)</f>
        <v/>
      </c>
      <c r="J212" s="29">
        <f>ROUND(Saldos_Cartera_Total!J212 + Saldo_Residual_Activo!M212, 2)</f>
        <v/>
      </c>
      <c r="K212" s="29">
        <f>ROUND(Saldos_Cartera_Total!K212 + Saldo_Residual_Activo!N212, 2)</f>
        <v/>
      </c>
      <c r="L212" s="29">
        <f>ROUND(Saldos_Cartera_Total!L212 + Saldo_Residual_Activo!O212, 2)</f>
        <v/>
      </c>
      <c r="M212" s="29">
        <f>ROUND(Saldos_Cartera_Total!M212 + Saldo_Residual_Activo!P212, 2)</f>
        <v/>
      </c>
      <c r="N212" s="29">
        <f>ROUND(Saldos_Cartera_Total!N212 + Saldo_Residual_Activo!Q212, 2)</f>
        <v/>
      </c>
      <c r="O212" s="29">
        <f>ROUND(Saldos_Cartera_Total!O212 + Saldo_Residual_Activo!R212, 2)</f>
        <v/>
      </c>
      <c r="P212" s="29">
        <f>ROUND(Saldos_Cartera_Total!P212 + Saldo_Residual_Activo!S212, 2)</f>
        <v/>
      </c>
      <c r="Q212" s="29">
        <f>ROUND(Saldos_Cartera_Total!Q212 + Saldo_Residual_Activo!T212, 2)</f>
        <v/>
      </c>
      <c r="R212" s="29">
        <f>MAX(F212:Q212)</f>
        <v/>
      </c>
    </row>
    <row r="213">
      <c r="A213" s="20" t="inlineStr">
        <is>
          <t>0729-0001</t>
        </is>
      </c>
      <c r="B213" s="21" t="inlineStr">
        <is>
          <t>Rubén Bravo Hernández</t>
        </is>
      </c>
      <c r="C213" s="21" t="inlineStr">
        <is>
          <t>Mamut T32 DC</t>
        </is>
      </c>
      <c r="D213" s="20" t="inlineStr">
        <is>
          <t>ACTIVO</t>
        </is>
      </c>
      <c r="E213" s="22" t="n">
        <v>36</v>
      </c>
      <c r="F213" s="23">
        <f>ROUND(Saldos_Cartera_Total!F213 + Saldo_Residual_Activo!I213, 2)</f>
        <v/>
      </c>
      <c r="G213" s="23">
        <f>ROUND(Saldos_Cartera_Total!G213 + Saldo_Residual_Activo!J213, 2)</f>
        <v/>
      </c>
      <c r="H213" s="23">
        <f>ROUND(Saldos_Cartera_Total!H213 + Saldo_Residual_Activo!K213, 2)</f>
        <v/>
      </c>
      <c r="I213" s="23">
        <f>ROUND(Saldos_Cartera_Total!I213 + Saldo_Residual_Activo!L213, 2)</f>
        <v/>
      </c>
      <c r="J213" s="23">
        <f>ROUND(Saldos_Cartera_Total!J213 + Saldo_Residual_Activo!M213, 2)</f>
        <v/>
      </c>
      <c r="K213" s="23">
        <f>ROUND(Saldos_Cartera_Total!K213 + Saldo_Residual_Activo!N213, 2)</f>
        <v/>
      </c>
      <c r="L213" s="23">
        <f>ROUND(Saldos_Cartera_Total!L213 + Saldo_Residual_Activo!O213, 2)</f>
        <v/>
      </c>
      <c r="M213" s="23">
        <f>ROUND(Saldos_Cartera_Total!M213 + Saldo_Residual_Activo!P213, 2)</f>
        <v/>
      </c>
      <c r="N213" s="23">
        <f>ROUND(Saldos_Cartera_Total!N213 + Saldo_Residual_Activo!Q213, 2)</f>
        <v/>
      </c>
      <c r="O213" s="23">
        <f>ROUND(Saldos_Cartera_Total!O213 + Saldo_Residual_Activo!R213, 2)</f>
        <v/>
      </c>
      <c r="P213" s="23">
        <f>ROUND(Saldos_Cartera_Total!P213 + Saldo_Residual_Activo!S213, 2)</f>
        <v/>
      </c>
      <c r="Q213" s="23">
        <f>ROUND(Saldos_Cartera_Total!Q213 + Saldo_Residual_Activo!T213, 2)</f>
        <v/>
      </c>
      <c r="R213" s="23">
        <f>MAX(F213:Q213)</f>
        <v/>
      </c>
    </row>
    <row r="214">
      <c r="A214" s="26" t="inlineStr">
        <is>
          <t>0730-0001</t>
        </is>
      </c>
      <c r="B214" s="27" t="inlineStr">
        <is>
          <t>Karen Manrique Amaya</t>
        </is>
      </c>
      <c r="C214" s="27" t="inlineStr">
        <is>
          <t>Wrangler</t>
        </is>
      </c>
      <c r="D214" s="26" t="inlineStr">
        <is>
          <t>ACTIVO</t>
        </is>
      </c>
      <c r="E214" s="28" t="n">
        <v>36</v>
      </c>
      <c r="F214" s="29">
        <f>ROUND(Saldos_Cartera_Total!F214 + Saldo_Residual_Activo!I214, 2)</f>
        <v/>
      </c>
      <c r="G214" s="29">
        <f>ROUND(Saldos_Cartera_Total!G214 + Saldo_Residual_Activo!J214, 2)</f>
        <v/>
      </c>
      <c r="H214" s="29">
        <f>ROUND(Saldos_Cartera_Total!H214 + Saldo_Residual_Activo!K214, 2)</f>
        <v/>
      </c>
      <c r="I214" s="29">
        <f>ROUND(Saldos_Cartera_Total!I214 + Saldo_Residual_Activo!L214, 2)</f>
        <v/>
      </c>
      <c r="J214" s="29">
        <f>ROUND(Saldos_Cartera_Total!J214 + Saldo_Residual_Activo!M214, 2)</f>
        <v/>
      </c>
      <c r="K214" s="29">
        <f>ROUND(Saldos_Cartera_Total!K214 + Saldo_Residual_Activo!N214, 2)</f>
        <v/>
      </c>
      <c r="L214" s="29">
        <f>ROUND(Saldos_Cartera_Total!L214 + Saldo_Residual_Activo!O214, 2)</f>
        <v/>
      </c>
      <c r="M214" s="29">
        <f>ROUND(Saldos_Cartera_Total!M214 + Saldo_Residual_Activo!P214, 2)</f>
        <v/>
      </c>
      <c r="N214" s="29">
        <f>ROUND(Saldos_Cartera_Total!N214 + Saldo_Residual_Activo!Q214, 2)</f>
        <v/>
      </c>
      <c r="O214" s="29">
        <f>ROUND(Saldos_Cartera_Total!O214 + Saldo_Residual_Activo!R214, 2)</f>
        <v/>
      </c>
      <c r="P214" s="29">
        <f>ROUND(Saldos_Cartera_Total!P214 + Saldo_Residual_Activo!S214, 2)</f>
        <v/>
      </c>
      <c r="Q214" s="29">
        <f>ROUND(Saldos_Cartera_Total!Q214 + Saldo_Residual_Activo!T214, 2)</f>
        <v/>
      </c>
      <c r="R214" s="29">
        <f>MAX(F214:Q214)</f>
        <v/>
      </c>
    </row>
    <row r="215">
      <c r="A215" s="20" t="inlineStr">
        <is>
          <t>0731-0001</t>
        </is>
      </c>
      <c r="B215" s="21" t="inlineStr">
        <is>
          <t>Tesselar Soluciones, S.A. de C.V.</t>
        </is>
      </c>
      <c r="C215" s="21" t="inlineStr">
        <is>
          <t>Song Plus</t>
        </is>
      </c>
      <c r="D215" s="20" t="inlineStr">
        <is>
          <t>ACTIVO</t>
        </is>
      </c>
      <c r="E215" s="22" t="n">
        <v>36</v>
      </c>
      <c r="F215" s="23">
        <f>ROUND(Saldos_Cartera_Total!F215 + Saldo_Residual_Activo!I215, 2)</f>
        <v/>
      </c>
      <c r="G215" s="23">
        <f>ROUND(Saldos_Cartera_Total!G215 + Saldo_Residual_Activo!J215, 2)</f>
        <v/>
      </c>
      <c r="H215" s="23">
        <f>ROUND(Saldos_Cartera_Total!H215 + Saldo_Residual_Activo!K215, 2)</f>
        <v/>
      </c>
      <c r="I215" s="23">
        <f>ROUND(Saldos_Cartera_Total!I215 + Saldo_Residual_Activo!L215, 2)</f>
        <v/>
      </c>
      <c r="J215" s="23">
        <f>ROUND(Saldos_Cartera_Total!J215 + Saldo_Residual_Activo!M215, 2)</f>
        <v/>
      </c>
      <c r="K215" s="23">
        <f>ROUND(Saldos_Cartera_Total!K215 + Saldo_Residual_Activo!N215, 2)</f>
        <v/>
      </c>
      <c r="L215" s="23">
        <f>ROUND(Saldos_Cartera_Total!L215 + Saldo_Residual_Activo!O215, 2)</f>
        <v/>
      </c>
      <c r="M215" s="23">
        <f>ROUND(Saldos_Cartera_Total!M215 + Saldo_Residual_Activo!P215, 2)</f>
        <v/>
      </c>
      <c r="N215" s="23">
        <f>ROUND(Saldos_Cartera_Total!N215 + Saldo_Residual_Activo!Q215, 2)</f>
        <v/>
      </c>
      <c r="O215" s="23">
        <f>ROUND(Saldos_Cartera_Total!O215 + Saldo_Residual_Activo!R215, 2)</f>
        <v/>
      </c>
      <c r="P215" s="23">
        <f>ROUND(Saldos_Cartera_Total!P215 + Saldo_Residual_Activo!S215, 2)</f>
        <v/>
      </c>
      <c r="Q215" s="23">
        <f>ROUND(Saldos_Cartera_Total!Q215 + Saldo_Residual_Activo!T215, 2)</f>
        <v/>
      </c>
      <c r="R215" s="23">
        <f>MAX(F215:Q215)</f>
        <v/>
      </c>
    </row>
    <row r="216">
      <c r="A216" s="26" t="inlineStr">
        <is>
          <t>0731-0002</t>
        </is>
      </c>
      <c r="B216" s="27" t="inlineStr">
        <is>
          <t>Tesselar Soluciones, S.A. de C.V.</t>
        </is>
      </c>
      <c r="C216" s="27" t="inlineStr">
        <is>
          <t>Arona Style</t>
        </is>
      </c>
      <c r="D216" s="26" t="inlineStr">
        <is>
          <t>ACTIVO</t>
        </is>
      </c>
      <c r="E216" s="28" t="n">
        <v>48</v>
      </c>
      <c r="F216" s="29">
        <f>ROUND(Saldos_Cartera_Total!F216 + Saldo_Residual_Activo!I216, 2)</f>
        <v/>
      </c>
      <c r="G216" s="29">
        <f>ROUND(Saldos_Cartera_Total!G216 + Saldo_Residual_Activo!J216, 2)</f>
        <v/>
      </c>
      <c r="H216" s="29">
        <f>ROUND(Saldos_Cartera_Total!H216 + Saldo_Residual_Activo!K216, 2)</f>
        <v/>
      </c>
      <c r="I216" s="29">
        <f>ROUND(Saldos_Cartera_Total!I216 + Saldo_Residual_Activo!L216, 2)</f>
        <v/>
      </c>
      <c r="J216" s="29">
        <f>ROUND(Saldos_Cartera_Total!J216 + Saldo_Residual_Activo!M216, 2)</f>
        <v/>
      </c>
      <c r="K216" s="29">
        <f>ROUND(Saldos_Cartera_Total!K216 + Saldo_Residual_Activo!N216, 2)</f>
        <v/>
      </c>
      <c r="L216" s="29">
        <f>ROUND(Saldos_Cartera_Total!L216 + Saldo_Residual_Activo!O216, 2)</f>
        <v/>
      </c>
      <c r="M216" s="29">
        <f>ROUND(Saldos_Cartera_Total!M216 + Saldo_Residual_Activo!P216, 2)</f>
        <v/>
      </c>
      <c r="N216" s="29">
        <f>ROUND(Saldos_Cartera_Total!N216 + Saldo_Residual_Activo!Q216, 2)</f>
        <v/>
      </c>
      <c r="O216" s="29">
        <f>ROUND(Saldos_Cartera_Total!O216 + Saldo_Residual_Activo!R216, 2)</f>
        <v/>
      </c>
      <c r="P216" s="29">
        <f>ROUND(Saldos_Cartera_Total!P216 + Saldo_Residual_Activo!S216, 2)</f>
        <v/>
      </c>
      <c r="Q216" s="29">
        <f>ROUND(Saldos_Cartera_Total!Q216 + Saldo_Residual_Activo!T216, 2)</f>
        <v/>
      </c>
      <c r="R216" s="29">
        <f>MAX(F216:Q216)</f>
        <v/>
      </c>
    </row>
    <row r="217">
      <c r="A217" s="20" t="inlineStr">
        <is>
          <t>0732-0001</t>
        </is>
      </c>
      <c r="B217" s="21" t="inlineStr">
        <is>
          <t>Koonol Food Traders, S.A. de C.V.</t>
        </is>
      </c>
      <c r="C217" s="21" t="inlineStr">
        <is>
          <t>K4 Turbo</t>
        </is>
      </c>
      <c r="D217" s="20" t="inlineStr">
        <is>
          <t>ACTIVO</t>
        </is>
      </c>
      <c r="E217" s="22" t="n">
        <v>36</v>
      </c>
      <c r="F217" s="23">
        <f>ROUND(Saldos_Cartera_Total!F217 + Saldo_Residual_Activo!I217, 2)</f>
        <v/>
      </c>
      <c r="G217" s="23">
        <f>ROUND(Saldos_Cartera_Total!G217 + Saldo_Residual_Activo!J217, 2)</f>
        <v/>
      </c>
      <c r="H217" s="23">
        <f>ROUND(Saldos_Cartera_Total!H217 + Saldo_Residual_Activo!K217, 2)</f>
        <v/>
      </c>
      <c r="I217" s="23">
        <f>ROUND(Saldos_Cartera_Total!I217 + Saldo_Residual_Activo!L217, 2)</f>
        <v/>
      </c>
      <c r="J217" s="23">
        <f>ROUND(Saldos_Cartera_Total!J217 + Saldo_Residual_Activo!M217, 2)</f>
        <v/>
      </c>
      <c r="K217" s="23">
        <f>ROUND(Saldos_Cartera_Total!K217 + Saldo_Residual_Activo!N217, 2)</f>
        <v/>
      </c>
      <c r="L217" s="23">
        <f>ROUND(Saldos_Cartera_Total!L217 + Saldo_Residual_Activo!O217, 2)</f>
        <v/>
      </c>
      <c r="M217" s="23">
        <f>ROUND(Saldos_Cartera_Total!M217 + Saldo_Residual_Activo!P217, 2)</f>
        <v/>
      </c>
      <c r="N217" s="23">
        <f>ROUND(Saldos_Cartera_Total!N217 + Saldo_Residual_Activo!Q217, 2)</f>
        <v/>
      </c>
      <c r="O217" s="23">
        <f>ROUND(Saldos_Cartera_Total!O217 + Saldo_Residual_Activo!R217, 2)</f>
        <v/>
      </c>
      <c r="P217" s="23">
        <f>ROUND(Saldos_Cartera_Total!P217 + Saldo_Residual_Activo!S217, 2)</f>
        <v/>
      </c>
      <c r="Q217" s="23">
        <f>ROUND(Saldos_Cartera_Total!Q217 + Saldo_Residual_Activo!T217, 2)</f>
        <v/>
      </c>
      <c r="R217" s="23">
        <f>MAX(F217:Q217)</f>
        <v/>
      </c>
    </row>
    <row r="218">
      <c r="A218" s="26" t="inlineStr">
        <is>
          <t>0733-0001</t>
        </is>
      </c>
      <c r="B218" s="27" t="inlineStr">
        <is>
          <t>Alejandro Arias Maldonado</t>
        </is>
      </c>
      <c r="C218" s="27" t="inlineStr">
        <is>
          <t>Wrangler</t>
        </is>
      </c>
      <c r="D218" s="26" t="inlineStr">
        <is>
          <t>ACTIVO</t>
        </is>
      </c>
      <c r="E218" s="28" t="n">
        <v>48</v>
      </c>
      <c r="F218" s="29">
        <f>ROUND(Saldos_Cartera_Total!F218 + Saldo_Residual_Activo!I218, 2)</f>
        <v/>
      </c>
      <c r="G218" s="29">
        <f>ROUND(Saldos_Cartera_Total!G218 + Saldo_Residual_Activo!J218, 2)</f>
        <v/>
      </c>
      <c r="H218" s="29">
        <f>ROUND(Saldos_Cartera_Total!H218 + Saldo_Residual_Activo!K218, 2)</f>
        <v/>
      </c>
      <c r="I218" s="29">
        <f>ROUND(Saldos_Cartera_Total!I218 + Saldo_Residual_Activo!L218, 2)</f>
        <v/>
      </c>
      <c r="J218" s="29">
        <f>ROUND(Saldos_Cartera_Total!J218 + Saldo_Residual_Activo!M218, 2)</f>
        <v/>
      </c>
      <c r="K218" s="29">
        <f>ROUND(Saldos_Cartera_Total!K218 + Saldo_Residual_Activo!N218, 2)</f>
        <v/>
      </c>
      <c r="L218" s="29">
        <f>ROUND(Saldos_Cartera_Total!L218 + Saldo_Residual_Activo!O218, 2)</f>
        <v/>
      </c>
      <c r="M218" s="29">
        <f>ROUND(Saldos_Cartera_Total!M218 + Saldo_Residual_Activo!P218, 2)</f>
        <v/>
      </c>
      <c r="N218" s="29">
        <f>ROUND(Saldos_Cartera_Total!N218 + Saldo_Residual_Activo!Q218, 2)</f>
        <v/>
      </c>
      <c r="O218" s="29">
        <f>ROUND(Saldos_Cartera_Total!O218 + Saldo_Residual_Activo!R218, 2)</f>
        <v/>
      </c>
      <c r="P218" s="29">
        <f>ROUND(Saldos_Cartera_Total!P218 + Saldo_Residual_Activo!S218, 2)</f>
        <v/>
      </c>
      <c r="Q218" s="29">
        <f>ROUND(Saldos_Cartera_Total!Q218 + Saldo_Residual_Activo!T218, 2)</f>
        <v/>
      </c>
      <c r="R218" s="29">
        <f>MAX(F218:Q218)</f>
        <v/>
      </c>
    </row>
    <row r="219">
      <c r="A219" s="20" t="inlineStr">
        <is>
          <t>0734-0001</t>
        </is>
      </c>
      <c r="B219" s="21" t="inlineStr">
        <is>
          <t>Nutrientes Agricolas de Colima, S. de R.L. de C.V.</t>
        </is>
      </c>
      <c r="C219" s="21" t="inlineStr">
        <is>
          <t>1200 TRADESMAN RC</t>
        </is>
      </c>
      <c r="D219" s="20" t="inlineStr">
        <is>
          <t>ACTIVO</t>
        </is>
      </c>
      <c r="E219" s="22" t="n">
        <v>36</v>
      </c>
      <c r="F219" s="23">
        <f>ROUND(Saldos_Cartera_Total!F219 + Saldo_Residual_Activo!I219, 2)</f>
        <v/>
      </c>
      <c r="G219" s="23">
        <f>ROUND(Saldos_Cartera_Total!G219 + Saldo_Residual_Activo!J219, 2)</f>
        <v/>
      </c>
      <c r="H219" s="23">
        <f>ROUND(Saldos_Cartera_Total!H219 + Saldo_Residual_Activo!K219, 2)</f>
        <v/>
      </c>
      <c r="I219" s="23">
        <f>ROUND(Saldos_Cartera_Total!I219 + Saldo_Residual_Activo!L219, 2)</f>
        <v/>
      </c>
      <c r="J219" s="23">
        <f>ROUND(Saldos_Cartera_Total!J219 + Saldo_Residual_Activo!M219, 2)</f>
        <v/>
      </c>
      <c r="K219" s="23">
        <f>ROUND(Saldos_Cartera_Total!K219 + Saldo_Residual_Activo!N219, 2)</f>
        <v/>
      </c>
      <c r="L219" s="23">
        <f>ROUND(Saldos_Cartera_Total!L219 + Saldo_Residual_Activo!O219, 2)</f>
        <v/>
      </c>
      <c r="M219" s="23">
        <f>ROUND(Saldos_Cartera_Total!M219 + Saldo_Residual_Activo!P219, 2)</f>
        <v/>
      </c>
      <c r="N219" s="23">
        <f>ROUND(Saldos_Cartera_Total!N219 + Saldo_Residual_Activo!Q219, 2)</f>
        <v/>
      </c>
      <c r="O219" s="23">
        <f>ROUND(Saldos_Cartera_Total!O219 + Saldo_Residual_Activo!R219, 2)</f>
        <v/>
      </c>
      <c r="P219" s="23">
        <f>ROUND(Saldos_Cartera_Total!P219 + Saldo_Residual_Activo!S219, 2)</f>
        <v/>
      </c>
      <c r="Q219" s="23">
        <f>ROUND(Saldos_Cartera_Total!Q219 + Saldo_Residual_Activo!T219, 2)</f>
        <v/>
      </c>
      <c r="R219" s="23">
        <f>MAX(F219:Q219)</f>
        <v/>
      </c>
    </row>
    <row r="220">
      <c r="A220" s="26" t="inlineStr">
        <is>
          <t>0734-0002</t>
        </is>
      </c>
      <c r="B220" s="27" t="inlineStr">
        <is>
          <t>Nutrientes Agricolas de Colima, S. de R.L. de C.V.</t>
        </is>
      </c>
      <c r="C220" s="27" t="inlineStr">
        <is>
          <t>1200 TRADESMAN CHASIS CABINA</t>
        </is>
      </c>
      <c r="D220" s="26" t="inlineStr">
        <is>
          <t>ACTIVO</t>
        </is>
      </c>
      <c r="E220" s="28" t="n">
        <v>36</v>
      </c>
      <c r="F220" s="29">
        <f>ROUND(Saldos_Cartera_Total!F220 + Saldo_Residual_Activo!I220, 2)</f>
        <v/>
      </c>
      <c r="G220" s="29">
        <f>ROUND(Saldos_Cartera_Total!G220 + Saldo_Residual_Activo!J220, 2)</f>
        <v/>
      </c>
      <c r="H220" s="29">
        <f>ROUND(Saldos_Cartera_Total!H220 + Saldo_Residual_Activo!K220, 2)</f>
        <v/>
      </c>
      <c r="I220" s="29">
        <f>ROUND(Saldos_Cartera_Total!I220 + Saldo_Residual_Activo!L220, 2)</f>
        <v/>
      </c>
      <c r="J220" s="29">
        <f>ROUND(Saldos_Cartera_Total!J220 + Saldo_Residual_Activo!M220, 2)</f>
        <v/>
      </c>
      <c r="K220" s="29">
        <f>ROUND(Saldos_Cartera_Total!K220 + Saldo_Residual_Activo!N220, 2)</f>
        <v/>
      </c>
      <c r="L220" s="29">
        <f>ROUND(Saldos_Cartera_Total!L220 + Saldo_Residual_Activo!O220, 2)</f>
        <v/>
      </c>
      <c r="M220" s="29">
        <f>ROUND(Saldos_Cartera_Total!M220 + Saldo_Residual_Activo!P220, 2)</f>
        <v/>
      </c>
      <c r="N220" s="29">
        <f>ROUND(Saldos_Cartera_Total!N220 + Saldo_Residual_Activo!Q220, 2)</f>
        <v/>
      </c>
      <c r="O220" s="29">
        <f>ROUND(Saldos_Cartera_Total!O220 + Saldo_Residual_Activo!R220, 2)</f>
        <v/>
      </c>
      <c r="P220" s="29">
        <f>ROUND(Saldos_Cartera_Total!P220 + Saldo_Residual_Activo!S220, 2)</f>
        <v/>
      </c>
      <c r="Q220" s="29">
        <f>ROUND(Saldos_Cartera_Total!Q220 + Saldo_Residual_Activo!T220, 2)</f>
        <v/>
      </c>
      <c r="R220" s="29">
        <f>MAX(F220:Q220)</f>
        <v/>
      </c>
    </row>
    <row r="221">
      <c r="A221" s="20" t="inlineStr">
        <is>
          <t>0735-0001</t>
        </is>
      </c>
      <c r="B221" s="21" t="inlineStr">
        <is>
          <t>Francisco Zepeda Covarrubias</t>
        </is>
      </c>
      <c r="C221" s="21" t="inlineStr">
        <is>
          <t>Territory Trend 1.5L Hibrido</t>
        </is>
      </c>
      <c r="D221" s="20" t="inlineStr">
        <is>
          <t>ACTIVO</t>
        </is>
      </c>
      <c r="E221" s="22" t="n">
        <v>36</v>
      </c>
      <c r="F221" s="23">
        <f>ROUND(Saldos_Cartera_Total!F221 + Saldo_Residual_Activo!I221, 2)</f>
        <v/>
      </c>
      <c r="G221" s="23">
        <f>ROUND(Saldos_Cartera_Total!G221 + Saldo_Residual_Activo!J221, 2)</f>
        <v/>
      </c>
      <c r="H221" s="23">
        <f>ROUND(Saldos_Cartera_Total!H221 + Saldo_Residual_Activo!K221, 2)</f>
        <v/>
      </c>
      <c r="I221" s="23">
        <f>ROUND(Saldos_Cartera_Total!I221 + Saldo_Residual_Activo!L221, 2)</f>
        <v/>
      </c>
      <c r="J221" s="23">
        <f>ROUND(Saldos_Cartera_Total!J221 + Saldo_Residual_Activo!M221, 2)</f>
        <v/>
      </c>
      <c r="K221" s="23">
        <f>ROUND(Saldos_Cartera_Total!K221 + Saldo_Residual_Activo!N221, 2)</f>
        <v/>
      </c>
      <c r="L221" s="23">
        <f>ROUND(Saldos_Cartera_Total!L221 + Saldo_Residual_Activo!O221, 2)</f>
        <v/>
      </c>
      <c r="M221" s="23">
        <f>ROUND(Saldos_Cartera_Total!M221 + Saldo_Residual_Activo!P221, 2)</f>
        <v/>
      </c>
      <c r="N221" s="23">
        <f>ROUND(Saldos_Cartera_Total!N221 + Saldo_Residual_Activo!Q221, 2)</f>
        <v/>
      </c>
      <c r="O221" s="23">
        <f>ROUND(Saldos_Cartera_Total!O221 + Saldo_Residual_Activo!R221, 2)</f>
        <v/>
      </c>
      <c r="P221" s="23">
        <f>ROUND(Saldos_Cartera_Total!P221 + Saldo_Residual_Activo!S221, 2)</f>
        <v/>
      </c>
      <c r="Q221" s="23">
        <f>ROUND(Saldos_Cartera_Total!Q221 + Saldo_Residual_Activo!T221, 2)</f>
        <v/>
      </c>
      <c r="R221" s="23">
        <f>MAX(F221:Q221)</f>
        <v/>
      </c>
    </row>
    <row r="222">
      <c r="A222" s="26" t="inlineStr">
        <is>
          <t>0736-0001</t>
        </is>
      </c>
      <c r="B222" s="27" t="inlineStr">
        <is>
          <t>Industrial Castillo de Tequila S.A. de C.V.</t>
        </is>
      </c>
      <c r="C222" s="27" t="inlineStr">
        <is>
          <t>700 TRADESMAN CREW CAB</t>
        </is>
      </c>
      <c r="D222" s="26" t="inlineStr">
        <is>
          <t>ACTIVO</t>
        </is>
      </c>
      <c r="E222" s="28" t="n">
        <v>48</v>
      </c>
      <c r="F222" s="29">
        <f>ROUND(Saldos_Cartera_Total!F222 + Saldo_Residual_Activo!I222, 2)</f>
        <v/>
      </c>
      <c r="G222" s="29">
        <f>ROUND(Saldos_Cartera_Total!G222 + Saldo_Residual_Activo!J222, 2)</f>
        <v/>
      </c>
      <c r="H222" s="29">
        <f>ROUND(Saldos_Cartera_Total!H222 + Saldo_Residual_Activo!K222, 2)</f>
        <v/>
      </c>
      <c r="I222" s="29">
        <f>ROUND(Saldos_Cartera_Total!I222 + Saldo_Residual_Activo!L222, 2)</f>
        <v/>
      </c>
      <c r="J222" s="29">
        <f>ROUND(Saldos_Cartera_Total!J222 + Saldo_Residual_Activo!M222, 2)</f>
        <v/>
      </c>
      <c r="K222" s="29">
        <f>ROUND(Saldos_Cartera_Total!K222 + Saldo_Residual_Activo!N222, 2)</f>
        <v/>
      </c>
      <c r="L222" s="29">
        <f>ROUND(Saldos_Cartera_Total!L222 + Saldo_Residual_Activo!O222, 2)</f>
        <v/>
      </c>
      <c r="M222" s="29">
        <f>ROUND(Saldos_Cartera_Total!M222 + Saldo_Residual_Activo!P222, 2)</f>
        <v/>
      </c>
      <c r="N222" s="29">
        <f>ROUND(Saldos_Cartera_Total!N222 + Saldo_Residual_Activo!Q222, 2)</f>
        <v/>
      </c>
      <c r="O222" s="29">
        <f>ROUND(Saldos_Cartera_Total!O222 + Saldo_Residual_Activo!R222, 2)</f>
        <v/>
      </c>
      <c r="P222" s="29">
        <f>ROUND(Saldos_Cartera_Total!P222 + Saldo_Residual_Activo!S222, 2)</f>
        <v/>
      </c>
      <c r="Q222" s="29">
        <f>ROUND(Saldos_Cartera_Total!Q222 + Saldo_Residual_Activo!T222, 2)</f>
        <v/>
      </c>
      <c r="R222" s="29">
        <f>MAX(F222:Q222)</f>
        <v/>
      </c>
    </row>
    <row r="223">
      <c r="A223" s="20" t="inlineStr">
        <is>
          <t>0737-0001</t>
        </is>
      </c>
      <c r="B223" s="21" t="inlineStr">
        <is>
          <t>Nicola Briani</t>
        </is>
      </c>
      <c r="C223" s="21" t="inlineStr">
        <is>
          <t>T1 Savage</t>
        </is>
      </c>
      <c r="D223" s="20" t="inlineStr">
        <is>
          <t>ACTIVO</t>
        </is>
      </c>
      <c r="E223" s="22" t="n">
        <v>48</v>
      </c>
      <c r="F223" s="23">
        <f>ROUND(Saldos_Cartera_Total!F223 + Saldo_Residual_Activo!I223, 2)</f>
        <v/>
      </c>
      <c r="G223" s="23">
        <f>ROUND(Saldos_Cartera_Total!G223 + Saldo_Residual_Activo!J223, 2)</f>
        <v/>
      </c>
      <c r="H223" s="23">
        <f>ROUND(Saldos_Cartera_Total!H223 + Saldo_Residual_Activo!K223, 2)</f>
        <v/>
      </c>
      <c r="I223" s="23">
        <f>ROUND(Saldos_Cartera_Total!I223 + Saldo_Residual_Activo!L223, 2)</f>
        <v/>
      </c>
      <c r="J223" s="23">
        <f>ROUND(Saldos_Cartera_Total!J223 + Saldo_Residual_Activo!M223, 2)</f>
        <v/>
      </c>
      <c r="K223" s="23">
        <f>ROUND(Saldos_Cartera_Total!K223 + Saldo_Residual_Activo!N223, 2)</f>
        <v/>
      </c>
      <c r="L223" s="23">
        <f>ROUND(Saldos_Cartera_Total!L223 + Saldo_Residual_Activo!O223, 2)</f>
        <v/>
      </c>
      <c r="M223" s="23">
        <f>ROUND(Saldos_Cartera_Total!M223 + Saldo_Residual_Activo!P223, 2)</f>
        <v/>
      </c>
      <c r="N223" s="23">
        <f>ROUND(Saldos_Cartera_Total!N223 + Saldo_Residual_Activo!Q223, 2)</f>
        <v/>
      </c>
      <c r="O223" s="23">
        <f>ROUND(Saldos_Cartera_Total!O223 + Saldo_Residual_Activo!R223, 2)</f>
        <v/>
      </c>
      <c r="P223" s="23">
        <f>ROUND(Saldos_Cartera_Total!P223 + Saldo_Residual_Activo!S223, 2)</f>
        <v/>
      </c>
      <c r="Q223" s="23">
        <f>ROUND(Saldos_Cartera_Total!Q223 + Saldo_Residual_Activo!T223, 2)</f>
        <v/>
      </c>
      <c r="R223" s="23">
        <f>MAX(F223:Q223)</f>
        <v/>
      </c>
    </row>
    <row r="224">
      <c r="A224" s="26" t="inlineStr">
        <is>
          <t>0738-0001</t>
        </is>
      </c>
      <c r="B224" s="27" t="inlineStr">
        <is>
          <t>Vinaria Distribución S.A.S.</t>
        </is>
      </c>
      <c r="C224" s="27" t="inlineStr">
        <is>
          <t>700 BIGHORN "S" CREW CAB CVT</t>
        </is>
      </c>
      <c r="D224" s="26" t="inlineStr">
        <is>
          <t>ACTIVO</t>
        </is>
      </c>
      <c r="E224" s="28" t="n">
        <v>36</v>
      </c>
      <c r="F224" s="29">
        <f>ROUND(Saldos_Cartera_Total!F224 + Saldo_Residual_Activo!I224, 2)</f>
        <v/>
      </c>
      <c r="G224" s="29">
        <f>ROUND(Saldos_Cartera_Total!G224 + Saldo_Residual_Activo!J224, 2)</f>
        <v/>
      </c>
      <c r="H224" s="29">
        <f>ROUND(Saldos_Cartera_Total!H224 + Saldo_Residual_Activo!K224, 2)</f>
        <v/>
      </c>
      <c r="I224" s="29">
        <f>ROUND(Saldos_Cartera_Total!I224 + Saldo_Residual_Activo!L224, 2)</f>
        <v/>
      </c>
      <c r="J224" s="29">
        <f>ROUND(Saldos_Cartera_Total!J224 + Saldo_Residual_Activo!M224, 2)</f>
        <v/>
      </c>
      <c r="K224" s="29">
        <f>ROUND(Saldos_Cartera_Total!K224 + Saldo_Residual_Activo!N224, 2)</f>
        <v/>
      </c>
      <c r="L224" s="29">
        <f>ROUND(Saldos_Cartera_Total!L224 + Saldo_Residual_Activo!O224, 2)</f>
        <v/>
      </c>
      <c r="M224" s="29">
        <f>ROUND(Saldos_Cartera_Total!M224 + Saldo_Residual_Activo!P224, 2)</f>
        <v/>
      </c>
      <c r="N224" s="29">
        <f>ROUND(Saldos_Cartera_Total!N224 + Saldo_Residual_Activo!Q224, 2)</f>
        <v/>
      </c>
      <c r="O224" s="29">
        <f>ROUND(Saldos_Cartera_Total!O224 + Saldo_Residual_Activo!R224, 2)</f>
        <v/>
      </c>
      <c r="P224" s="29">
        <f>ROUND(Saldos_Cartera_Total!P224 + Saldo_Residual_Activo!S224, 2)</f>
        <v/>
      </c>
      <c r="Q224" s="29">
        <f>ROUND(Saldos_Cartera_Total!Q224 + Saldo_Residual_Activo!T224, 2)</f>
        <v/>
      </c>
      <c r="R224" s="29">
        <f>MAX(F224:Q224)</f>
        <v/>
      </c>
    </row>
    <row r="225">
      <c r="A225" s="20" t="inlineStr">
        <is>
          <t>0739-0001</t>
        </is>
      </c>
      <c r="B225" s="21" t="inlineStr">
        <is>
          <t>Miriam Patricia López Flores</t>
        </is>
      </c>
      <c r="C225" s="21" t="inlineStr">
        <is>
          <t>Jeep Wrangler Unlimited Rubicon</t>
        </is>
      </c>
      <c r="D225" s="20" t="inlineStr">
        <is>
          <t>ACTIVO</t>
        </is>
      </c>
      <c r="E225" s="22" t="n">
        <v>48</v>
      </c>
      <c r="F225" s="23">
        <f>ROUND(Saldos_Cartera_Total!F225 + Saldo_Residual_Activo!I225, 2)</f>
        <v/>
      </c>
      <c r="G225" s="23">
        <f>ROUND(Saldos_Cartera_Total!G225 + Saldo_Residual_Activo!J225, 2)</f>
        <v/>
      </c>
      <c r="H225" s="23">
        <f>ROUND(Saldos_Cartera_Total!H225 + Saldo_Residual_Activo!K225, 2)</f>
        <v/>
      </c>
      <c r="I225" s="23">
        <f>ROUND(Saldos_Cartera_Total!I225 + Saldo_Residual_Activo!L225, 2)</f>
        <v/>
      </c>
      <c r="J225" s="23">
        <f>ROUND(Saldos_Cartera_Total!J225 + Saldo_Residual_Activo!M225, 2)</f>
        <v/>
      </c>
      <c r="K225" s="23">
        <f>ROUND(Saldos_Cartera_Total!K225 + Saldo_Residual_Activo!N225, 2)</f>
        <v/>
      </c>
      <c r="L225" s="23">
        <f>ROUND(Saldos_Cartera_Total!L225 + Saldo_Residual_Activo!O225, 2)</f>
        <v/>
      </c>
      <c r="M225" s="23">
        <f>ROUND(Saldos_Cartera_Total!M225 + Saldo_Residual_Activo!P225, 2)</f>
        <v/>
      </c>
      <c r="N225" s="23">
        <f>ROUND(Saldos_Cartera_Total!N225 + Saldo_Residual_Activo!Q225, 2)</f>
        <v/>
      </c>
      <c r="O225" s="23">
        <f>ROUND(Saldos_Cartera_Total!O225 + Saldo_Residual_Activo!R225, 2)</f>
        <v/>
      </c>
      <c r="P225" s="23">
        <f>ROUND(Saldos_Cartera_Total!P225 + Saldo_Residual_Activo!S225, 2)</f>
        <v/>
      </c>
      <c r="Q225" s="23">
        <f>ROUND(Saldos_Cartera_Total!Q225 + Saldo_Residual_Activo!T225, 2)</f>
        <v/>
      </c>
      <c r="R225" s="23">
        <f>MAX(F225:Q225)</f>
        <v/>
      </c>
    </row>
    <row r="226">
      <c r="A226" s="26" t="inlineStr">
        <is>
          <t>0740-0001</t>
        </is>
      </c>
      <c r="B226" s="27" t="inlineStr">
        <is>
          <t>Sanatorio Versalles de Guadalajara</t>
        </is>
      </c>
      <c r="C226" s="27" t="inlineStr">
        <is>
          <t>1200 Bighorn</t>
        </is>
      </c>
      <c r="D226" s="26" t="inlineStr">
        <is>
          <t>ACTIVO</t>
        </is>
      </c>
      <c r="E226" s="28" t="n">
        <v>12</v>
      </c>
      <c r="F226" s="29">
        <f>ROUND(Saldos_Cartera_Total!F226 + Saldo_Residual_Activo!I226, 2)</f>
        <v/>
      </c>
      <c r="G226" s="29">
        <f>ROUND(Saldos_Cartera_Total!G226 + Saldo_Residual_Activo!J226, 2)</f>
        <v/>
      </c>
      <c r="H226" s="29">
        <f>ROUND(Saldos_Cartera_Total!H226 + Saldo_Residual_Activo!K226, 2)</f>
        <v/>
      </c>
      <c r="I226" s="29">
        <f>ROUND(Saldos_Cartera_Total!I226 + Saldo_Residual_Activo!L226, 2)</f>
        <v/>
      </c>
      <c r="J226" s="29">
        <f>ROUND(Saldos_Cartera_Total!J226 + Saldo_Residual_Activo!M226, 2)</f>
        <v/>
      </c>
      <c r="K226" s="29">
        <f>ROUND(Saldos_Cartera_Total!K226 + Saldo_Residual_Activo!N226, 2)</f>
        <v/>
      </c>
      <c r="L226" s="29">
        <f>ROUND(Saldos_Cartera_Total!L226 + Saldo_Residual_Activo!O226, 2)</f>
        <v/>
      </c>
      <c r="M226" s="29">
        <f>ROUND(Saldos_Cartera_Total!M226 + Saldo_Residual_Activo!P226, 2)</f>
        <v/>
      </c>
      <c r="N226" s="29">
        <f>ROUND(Saldos_Cartera_Total!N226 + Saldo_Residual_Activo!Q226, 2)</f>
        <v/>
      </c>
      <c r="O226" s="29">
        <f>ROUND(Saldos_Cartera_Total!O226 + Saldo_Residual_Activo!R226, 2)</f>
        <v/>
      </c>
      <c r="P226" s="29">
        <f>ROUND(Saldos_Cartera_Total!P226 + Saldo_Residual_Activo!S226, 2)</f>
        <v/>
      </c>
      <c r="Q226" s="29" t="inlineStr"/>
      <c r="R226" s="29">
        <f>MAX(F226:Q226)</f>
        <v/>
      </c>
    </row>
    <row r="227">
      <c r="A227" s="20" t="inlineStr">
        <is>
          <t>0741-0001</t>
        </is>
      </c>
      <c r="B227" s="21" t="inlineStr">
        <is>
          <t>Alvaró Agustin Navarro Castellón</t>
        </is>
      </c>
      <c r="C227" s="21" t="inlineStr">
        <is>
          <t>Manager Furgon L4H2</t>
        </is>
      </c>
      <c r="D227" s="20" t="inlineStr">
        <is>
          <t>ACTIVO</t>
        </is>
      </c>
      <c r="E227" s="22" t="n">
        <v>48</v>
      </c>
      <c r="F227" s="23">
        <f>ROUND(Saldos_Cartera_Total!F227 + Saldo_Residual_Activo!I227, 2)</f>
        <v/>
      </c>
      <c r="G227" s="23">
        <f>ROUND(Saldos_Cartera_Total!G227 + Saldo_Residual_Activo!J227, 2)</f>
        <v/>
      </c>
      <c r="H227" s="23">
        <f>ROUND(Saldos_Cartera_Total!H227 + Saldo_Residual_Activo!K227, 2)</f>
        <v/>
      </c>
      <c r="I227" s="23">
        <f>ROUND(Saldos_Cartera_Total!I227 + Saldo_Residual_Activo!L227, 2)</f>
        <v/>
      </c>
      <c r="J227" s="23">
        <f>ROUND(Saldos_Cartera_Total!J227 + Saldo_Residual_Activo!M227, 2)</f>
        <v/>
      </c>
      <c r="K227" s="23">
        <f>ROUND(Saldos_Cartera_Total!K227 + Saldo_Residual_Activo!N227, 2)</f>
        <v/>
      </c>
      <c r="L227" s="23">
        <f>ROUND(Saldos_Cartera_Total!L227 + Saldo_Residual_Activo!O227, 2)</f>
        <v/>
      </c>
      <c r="M227" s="23">
        <f>ROUND(Saldos_Cartera_Total!M227 + Saldo_Residual_Activo!P227, 2)</f>
        <v/>
      </c>
      <c r="N227" s="23">
        <f>ROUND(Saldos_Cartera_Total!N227 + Saldo_Residual_Activo!Q227, 2)</f>
        <v/>
      </c>
      <c r="O227" s="23">
        <f>ROUND(Saldos_Cartera_Total!O227 + Saldo_Residual_Activo!R227, 2)</f>
        <v/>
      </c>
      <c r="P227" s="23">
        <f>ROUND(Saldos_Cartera_Total!P227 + Saldo_Residual_Activo!S227, 2)</f>
        <v/>
      </c>
      <c r="Q227" s="23">
        <f>ROUND(Saldos_Cartera_Total!Q227 + Saldo_Residual_Activo!T227, 2)</f>
        <v/>
      </c>
      <c r="R227" s="23">
        <f>MAX(F227:Q227)</f>
        <v/>
      </c>
    </row>
    <row r="228">
      <c r="A228" s="26" t="inlineStr">
        <is>
          <t>0742-0001</t>
        </is>
      </c>
      <c r="B228" s="27" t="inlineStr">
        <is>
          <t>Universidad de las Américas y el Caribe, S.C.</t>
        </is>
      </c>
      <c r="C228" s="27" t="inlineStr">
        <is>
          <t>700 BIGHORN "S" CREW CAB MT</t>
        </is>
      </c>
      <c r="D228" s="26" t="inlineStr">
        <is>
          <t>ACTIVO</t>
        </is>
      </c>
      <c r="E228" s="28" t="n">
        <v>36</v>
      </c>
      <c r="F228" s="29">
        <f>ROUND(Saldos_Cartera_Total!F228 + Saldo_Residual_Activo!I228, 2)</f>
        <v/>
      </c>
      <c r="G228" s="29">
        <f>ROUND(Saldos_Cartera_Total!G228 + Saldo_Residual_Activo!J228, 2)</f>
        <v/>
      </c>
      <c r="H228" s="29">
        <f>ROUND(Saldos_Cartera_Total!H228 + Saldo_Residual_Activo!K228, 2)</f>
        <v/>
      </c>
      <c r="I228" s="29">
        <f>ROUND(Saldos_Cartera_Total!I228 + Saldo_Residual_Activo!L228, 2)</f>
        <v/>
      </c>
      <c r="J228" s="29">
        <f>ROUND(Saldos_Cartera_Total!J228 + Saldo_Residual_Activo!M228, 2)</f>
        <v/>
      </c>
      <c r="K228" s="29">
        <f>ROUND(Saldos_Cartera_Total!K228 + Saldo_Residual_Activo!N228, 2)</f>
        <v/>
      </c>
      <c r="L228" s="29">
        <f>ROUND(Saldos_Cartera_Total!L228 + Saldo_Residual_Activo!O228, 2)</f>
        <v/>
      </c>
      <c r="M228" s="29">
        <f>ROUND(Saldos_Cartera_Total!M228 + Saldo_Residual_Activo!P228, 2)</f>
        <v/>
      </c>
      <c r="N228" s="29">
        <f>ROUND(Saldos_Cartera_Total!N228 + Saldo_Residual_Activo!Q228, 2)</f>
        <v/>
      </c>
      <c r="O228" s="29">
        <f>ROUND(Saldos_Cartera_Total!O228 + Saldo_Residual_Activo!R228, 2)</f>
        <v/>
      </c>
      <c r="P228" s="29">
        <f>ROUND(Saldos_Cartera_Total!P228 + Saldo_Residual_Activo!S228, 2)</f>
        <v/>
      </c>
      <c r="Q228" s="29">
        <f>ROUND(Saldos_Cartera_Total!Q228 + Saldo_Residual_Activo!T228, 2)</f>
        <v/>
      </c>
      <c r="R228" s="29">
        <f>MAX(F228:Q228)</f>
        <v/>
      </c>
    </row>
    <row r="229">
      <c r="A229" s="20" t="inlineStr">
        <is>
          <t>0742-0002</t>
        </is>
      </c>
      <c r="B229" s="21" t="inlineStr">
        <is>
          <t>Universidad de las Américas y el Caribe, S.C.</t>
        </is>
      </c>
      <c r="C229" s="21" t="inlineStr">
        <is>
          <t>700 BIGHORN "S" CREW CAB CVT</t>
        </is>
      </c>
      <c r="D229" s="20" t="inlineStr">
        <is>
          <t>ACTIVO</t>
        </is>
      </c>
      <c r="E229" s="22" t="n">
        <v>36</v>
      </c>
      <c r="F229" s="23">
        <f>ROUND(Saldos_Cartera_Total!F229 + Saldo_Residual_Activo!I229, 2)</f>
        <v/>
      </c>
      <c r="G229" s="23">
        <f>ROUND(Saldos_Cartera_Total!G229 + Saldo_Residual_Activo!J229, 2)</f>
        <v/>
      </c>
      <c r="H229" s="23">
        <f>ROUND(Saldos_Cartera_Total!H229 + Saldo_Residual_Activo!K229, 2)</f>
        <v/>
      </c>
      <c r="I229" s="23">
        <f>ROUND(Saldos_Cartera_Total!I229 + Saldo_Residual_Activo!L229, 2)</f>
        <v/>
      </c>
      <c r="J229" s="23">
        <f>ROUND(Saldos_Cartera_Total!J229 + Saldo_Residual_Activo!M229, 2)</f>
        <v/>
      </c>
      <c r="K229" s="23">
        <f>ROUND(Saldos_Cartera_Total!K229 + Saldo_Residual_Activo!N229, 2)</f>
        <v/>
      </c>
      <c r="L229" s="23">
        <f>ROUND(Saldos_Cartera_Total!L229 + Saldo_Residual_Activo!O229, 2)</f>
        <v/>
      </c>
      <c r="M229" s="23">
        <f>ROUND(Saldos_Cartera_Total!M229 + Saldo_Residual_Activo!P229, 2)</f>
        <v/>
      </c>
      <c r="N229" s="23">
        <f>ROUND(Saldos_Cartera_Total!N229 + Saldo_Residual_Activo!Q229, 2)</f>
        <v/>
      </c>
      <c r="O229" s="23">
        <f>ROUND(Saldos_Cartera_Total!O229 + Saldo_Residual_Activo!R229, 2)</f>
        <v/>
      </c>
      <c r="P229" s="23">
        <f>ROUND(Saldos_Cartera_Total!P229 + Saldo_Residual_Activo!S229, 2)</f>
        <v/>
      </c>
      <c r="Q229" s="23">
        <f>ROUND(Saldos_Cartera_Total!Q229 + Saldo_Residual_Activo!T229, 2)</f>
        <v/>
      </c>
      <c r="R229" s="23">
        <f>MAX(F229:Q229)</f>
        <v/>
      </c>
    </row>
    <row r="230">
      <c r="A230" s="26" t="inlineStr">
        <is>
          <t>0743-0001</t>
        </is>
      </c>
      <c r="B230" s="27" t="inlineStr">
        <is>
          <t>IEM Soluciones Integrales, S.C.</t>
        </is>
      </c>
      <c r="C230" s="27" t="inlineStr">
        <is>
          <t>1200 BIGHORN CC</t>
        </is>
      </c>
      <c r="D230" s="26" t="inlineStr">
        <is>
          <t>ACTIVO</t>
        </is>
      </c>
      <c r="E230" s="28" t="n">
        <v>36</v>
      </c>
      <c r="F230" s="29">
        <f>ROUND(Saldos_Cartera_Total!F230 + Saldo_Residual_Activo!I230, 2)</f>
        <v/>
      </c>
      <c r="G230" s="29">
        <f>ROUND(Saldos_Cartera_Total!G230 + Saldo_Residual_Activo!J230, 2)</f>
        <v/>
      </c>
      <c r="H230" s="29">
        <f>ROUND(Saldos_Cartera_Total!H230 + Saldo_Residual_Activo!K230, 2)</f>
        <v/>
      </c>
      <c r="I230" s="29">
        <f>ROUND(Saldos_Cartera_Total!I230 + Saldo_Residual_Activo!L230, 2)</f>
        <v/>
      </c>
      <c r="J230" s="29">
        <f>ROUND(Saldos_Cartera_Total!J230 + Saldo_Residual_Activo!M230, 2)</f>
        <v/>
      </c>
      <c r="K230" s="29">
        <f>ROUND(Saldos_Cartera_Total!K230 + Saldo_Residual_Activo!N230, 2)</f>
        <v/>
      </c>
      <c r="L230" s="29">
        <f>ROUND(Saldos_Cartera_Total!L230 + Saldo_Residual_Activo!O230, 2)</f>
        <v/>
      </c>
      <c r="M230" s="29">
        <f>ROUND(Saldos_Cartera_Total!M230 + Saldo_Residual_Activo!P230, 2)</f>
        <v/>
      </c>
      <c r="N230" s="29">
        <f>ROUND(Saldos_Cartera_Total!N230 + Saldo_Residual_Activo!Q230, 2)</f>
        <v/>
      </c>
      <c r="O230" s="29">
        <f>ROUND(Saldos_Cartera_Total!O230 + Saldo_Residual_Activo!R230, 2)</f>
        <v/>
      </c>
      <c r="P230" s="29">
        <f>ROUND(Saldos_Cartera_Total!P230 + Saldo_Residual_Activo!S230, 2)</f>
        <v/>
      </c>
      <c r="Q230" s="29">
        <f>ROUND(Saldos_Cartera_Total!Q230 + Saldo_Residual_Activo!T230, 2)</f>
        <v/>
      </c>
      <c r="R230" s="29">
        <f>MAX(F230:Q230)</f>
        <v/>
      </c>
    </row>
    <row r="231">
      <c r="A231" s="20" t="inlineStr">
        <is>
          <t>0744-0001</t>
        </is>
      </c>
      <c r="B231" s="21" t="inlineStr">
        <is>
          <t>H&amp;A Edicon, S.A. de C.V.</t>
        </is>
      </c>
      <c r="C231" s="21" t="inlineStr">
        <is>
          <t>NP 300 Chasis Cabina</t>
        </is>
      </c>
      <c r="D231" s="20" t="inlineStr">
        <is>
          <t>ACTIVO</t>
        </is>
      </c>
      <c r="E231" s="22" t="n">
        <v>24</v>
      </c>
      <c r="F231" s="23">
        <f>ROUND(Saldos_Cartera_Total!F231 + Saldo_Residual_Activo!I231, 2)</f>
        <v/>
      </c>
      <c r="G231" s="23">
        <f>ROUND(Saldos_Cartera_Total!G231 + Saldo_Residual_Activo!J231, 2)</f>
        <v/>
      </c>
      <c r="H231" s="23">
        <f>ROUND(Saldos_Cartera_Total!H231 + Saldo_Residual_Activo!K231, 2)</f>
        <v/>
      </c>
      <c r="I231" s="23">
        <f>ROUND(Saldos_Cartera_Total!I231 + Saldo_Residual_Activo!L231, 2)</f>
        <v/>
      </c>
      <c r="J231" s="23">
        <f>ROUND(Saldos_Cartera_Total!J231 + Saldo_Residual_Activo!M231, 2)</f>
        <v/>
      </c>
      <c r="K231" s="23">
        <f>ROUND(Saldos_Cartera_Total!K231 + Saldo_Residual_Activo!N231, 2)</f>
        <v/>
      </c>
      <c r="L231" s="23">
        <f>ROUND(Saldos_Cartera_Total!L231 + Saldo_Residual_Activo!O231, 2)</f>
        <v/>
      </c>
      <c r="M231" s="23">
        <f>ROUND(Saldos_Cartera_Total!M231 + Saldo_Residual_Activo!P231, 2)</f>
        <v/>
      </c>
      <c r="N231" s="23">
        <f>ROUND(Saldos_Cartera_Total!N231 + Saldo_Residual_Activo!Q231, 2)</f>
        <v/>
      </c>
      <c r="O231" s="23">
        <f>ROUND(Saldos_Cartera_Total!O231 + Saldo_Residual_Activo!R231, 2)</f>
        <v/>
      </c>
      <c r="P231" s="23">
        <f>ROUND(Saldos_Cartera_Total!P231 + Saldo_Residual_Activo!S231, 2)</f>
        <v/>
      </c>
      <c r="Q231" s="23">
        <f>ROUND(Saldos_Cartera_Total!Q231 + Saldo_Residual_Activo!T231, 2)</f>
        <v/>
      </c>
      <c r="R231" s="23">
        <f>MAX(F231:Q231)</f>
        <v/>
      </c>
    </row>
    <row r="232">
      <c r="A232" s="26" t="inlineStr">
        <is>
          <t>0745-0001</t>
        </is>
      </c>
      <c r="B232" s="27" t="inlineStr">
        <is>
          <t>Industrializadora de Productos Lácteos y Derivados los Cuates, S.A. de C.V.</t>
        </is>
      </c>
      <c r="C232" s="27" t="inlineStr">
        <is>
          <t>Outlander Sport SE Plus</t>
        </is>
      </c>
      <c r="D232" s="26" t="inlineStr">
        <is>
          <t>ACTIVO</t>
        </is>
      </c>
      <c r="E232" s="28" t="n">
        <v>36</v>
      </c>
      <c r="F232" s="29">
        <f>ROUND(Saldos_Cartera_Total!F232 + Saldo_Residual_Activo!I232, 2)</f>
        <v/>
      </c>
      <c r="G232" s="29">
        <f>ROUND(Saldos_Cartera_Total!G232 + Saldo_Residual_Activo!J232, 2)</f>
        <v/>
      </c>
      <c r="H232" s="29">
        <f>ROUND(Saldos_Cartera_Total!H232 + Saldo_Residual_Activo!K232, 2)</f>
        <v/>
      </c>
      <c r="I232" s="29">
        <f>ROUND(Saldos_Cartera_Total!I232 + Saldo_Residual_Activo!L232, 2)</f>
        <v/>
      </c>
      <c r="J232" s="29">
        <f>ROUND(Saldos_Cartera_Total!J232 + Saldo_Residual_Activo!M232, 2)</f>
        <v/>
      </c>
      <c r="K232" s="29">
        <f>ROUND(Saldos_Cartera_Total!K232 + Saldo_Residual_Activo!N232, 2)</f>
        <v/>
      </c>
      <c r="L232" s="29">
        <f>ROUND(Saldos_Cartera_Total!L232 + Saldo_Residual_Activo!O232, 2)</f>
        <v/>
      </c>
      <c r="M232" s="29">
        <f>ROUND(Saldos_Cartera_Total!M232 + Saldo_Residual_Activo!P232, 2)</f>
        <v/>
      </c>
      <c r="N232" s="29">
        <f>ROUND(Saldos_Cartera_Total!N232 + Saldo_Residual_Activo!Q232, 2)</f>
        <v/>
      </c>
      <c r="O232" s="29">
        <f>ROUND(Saldos_Cartera_Total!O232 + Saldo_Residual_Activo!R232, 2)</f>
        <v/>
      </c>
      <c r="P232" s="29">
        <f>ROUND(Saldos_Cartera_Total!P232 + Saldo_Residual_Activo!S232, 2)</f>
        <v/>
      </c>
      <c r="Q232" s="29">
        <f>ROUND(Saldos_Cartera_Total!Q232 + Saldo_Residual_Activo!T232, 2)</f>
        <v/>
      </c>
      <c r="R232" s="29">
        <f>MAX(F232:Q232)</f>
        <v/>
      </c>
    </row>
    <row r="233">
      <c r="A233" s="20" t="inlineStr">
        <is>
          <t>0746-0001</t>
        </is>
      </c>
      <c r="B233" s="21" t="inlineStr">
        <is>
          <t>Giovanni Salvador Medina Rubio</t>
        </is>
      </c>
      <c r="C233" s="21" t="inlineStr">
        <is>
          <t>Rapid</t>
        </is>
      </c>
      <c r="D233" s="20" t="inlineStr">
        <is>
          <t>ACTIVO</t>
        </is>
      </c>
      <c r="E233" s="22" t="n">
        <v>36</v>
      </c>
      <c r="F233" s="23" t="inlineStr"/>
      <c r="G233" s="23">
        <f>ROUND(Saldos_Cartera_Total!G233 + Saldo_Residual_Activo!J233, 2)</f>
        <v/>
      </c>
      <c r="H233" s="23">
        <f>ROUND(Saldos_Cartera_Total!H233 + Saldo_Residual_Activo!K233, 2)</f>
        <v/>
      </c>
      <c r="I233" s="23">
        <f>ROUND(Saldos_Cartera_Total!I233 + Saldo_Residual_Activo!L233, 2)</f>
        <v/>
      </c>
      <c r="J233" s="23">
        <f>ROUND(Saldos_Cartera_Total!J233 + Saldo_Residual_Activo!M233, 2)</f>
        <v/>
      </c>
      <c r="K233" s="23">
        <f>ROUND(Saldos_Cartera_Total!K233 + Saldo_Residual_Activo!N233, 2)</f>
        <v/>
      </c>
      <c r="L233" s="23">
        <f>ROUND(Saldos_Cartera_Total!L233 + Saldo_Residual_Activo!O233, 2)</f>
        <v/>
      </c>
      <c r="M233" s="23">
        <f>ROUND(Saldos_Cartera_Total!M233 + Saldo_Residual_Activo!P233, 2)</f>
        <v/>
      </c>
      <c r="N233" s="23">
        <f>ROUND(Saldos_Cartera_Total!N233 + Saldo_Residual_Activo!Q233, 2)</f>
        <v/>
      </c>
      <c r="O233" s="23">
        <f>ROUND(Saldos_Cartera_Total!O233 + Saldo_Residual_Activo!R233, 2)</f>
        <v/>
      </c>
      <c r="P233" s="23">
        <f>ROUND(Saldos_Cartera_Total!P233 + Saldo_Residual_Activo!S233, 2)</f>
        <v/>
      </c>
      <c r="Q233" s="23">
        <f>ROUND(Saldos_Cartera_Total!Q233 + Saldo_Residual_Activo!T233, 2)</f>
        <v/>
      </c>
      <c r="R233" s="23">
        <f>MAX(F233:Q233)</f>
        <v/>
      </c>
    </row>
    <row r="234">
      <c r="A234" s="26" t="inlineStr">
        <is>
          <t>0747-0001</t>
        </is>
      </c>
      <c r="B234" s="27" t="inlineStr">
        <is>
          <t>Brandon Joel Zepeda Romero</t>
        </is>
      </c>
      <c r="C234" s="27" t="inlineStr">
        <is>
          <t>Ranger Raptor</t>
        </is>
      </c>
      <c r="D234" s="26" t="inlineStr">
        <is>
          <t>ACTIVO</t>
        </is>
      </c>
      <c r="E234" s="28" t="n">
        <v>48</v>
      </c>
      <c r="F234" s="29" t="inlineStr"/>
      <c r="G234" s="29">
        <f>ROUND(Saldos_Cartera_Total!G234 + Saldo_Residual_Activo!J234, 2)</f>
        <v/>
      </c>
      <c r="H234" s="29">
        <f>ROUND(Saldos_Cartera_Total!H234 + Saldo_Residual_Activo!K234, 2)</f>
        <v/>
      </c>
      <c r="I234" s="29">
        <f>ROUND(Saldos_Cartera_Total!I234 + Saldo_Residual_Activo!L234, 2)</f>
        <v/>
      </c>
      <c r="J234" s="29">
        <f>ROUND(Saldos_Cartera_Total!J234 + Saldo_Residual_Activo!M234, 2)</f>
        <v/>
      </c>
      <c r="K234" s="29">
        <f>ROUND(Saldos_Cartera_Total!K234 + Saldo_Residual_Activo!N234, 2)</f>
        <v/>
      </c>
      <c r="L234" s="29">
        <f>ROUND(Saldos_Cartera_Total!L234 + Saldo_Residual_Activo!O234, 2)</f>
        <v/>
      </c>
      <c r="M234" s="29">
        <f>ROUND(Saldos_Cartera_Total!M234 + Saldo_Residual_Activo!P234, 2)</f>
        <v/>
      </c>
      <c r="N234" s="29">
        <f>ROUND(Saldos_Cartera_Total!N234 + Saldo_Residual_Activo!Q234, 2)</f>
        <v/>
      </c>
      <c r="O234" s="29">
        <f>ROUND(Saldos_Cartera_Total!O234 + Saldo_Residual_Activo!R234, 2)</f>
        <v/>
      </c>
      <c r="P234" s="29">
        <f>ROUND(Saldos_Cartera_Total!P234 + Saldo_Residual_Activo!S234, 2)</f>
        <v/>
      </c>
      <c r="Q234" s="29">
        <f>ROUND(Saldos_Cartera_Total!Q234 + Saldo_Residual_Activo!T234, 2)</f>
        <v/>
      </c>
      <c r="R234" s="29">
        <f>MAX(F234:Q234)</f>
        <v/>
      </c>
    </row>
    <row r="235">
      <c r="A235" s="20" t="inlineStr">
        <is>
          <t>0748-0001</t>
        </is>
      </c>
      <c r="B235" s="21" t="inlineStr">
        <is>
          <t>Carlos Guerra Iñiguez</t>
        </is>
      </c>
      <c r="C235" s="21" t="inlineStr">
        <is>
          <t>L200 GLX</t>
        </is>
      </c>
      <c r="D235" s="20" t="inlineStr">
        <is>
          <t>ACTIVO</t>
        </is>
      </c>
      <c r="E235" s="22" t="n">
        <v>48</v>
      </c>
      <c r="F235" s="23" t="inlineStr"/>
      <c r="G235" s="23" t="inlineStr"/>
      <c r="H235" s="23">
        <f>ROUND(Saldos_Cartera_Total!H235 + Saldo_Residual_Activo!K235, 2)</f>
        <v/>
      </c>
      <c r="I235" s="23">
        <f>ROUND(Saldos_Cartera_Total!I235 + Saldo_Residual_Activo!L235, 2)</f>
        <v/>
      </c>
      <c r="J235" s="23">
        <f>ROUND(Saldos_Cartera_Total!J235 + Saldo_Residual_Activo!M235, 2)</f>
        <v/>
      </c>
      <c r="K235" s="23">
        <f>ROUND(Saldos_Cartera_Total!K235 + Saldo_Residual_Activo!N235, 2)</f>
        <v/>
      </c>
      <c r="L235" s="23">
        <f>ROUND(Saldos_Cartera_Total!L235 + Saldo_Residual_Activo!O235, 2)</f>
        <v/>
      </c>
      <c r="M235" s="23">
        <f>ROUND(Saldos_Cartera_Total!M235 + Saldo_Residual_Activo!P235, 2)</f>
        <v/>
      </c>
      <c r="N235" s="23">
        <f>ROUND(Saldos_Cartera_Total!N235 + Saldo_Residual_Activo!Q235, 2)</f>
        <v/>
      </c>
      <c r="O235" s="23">
        <f>ROUND(Saldos_Cartera_Total!O235 + Saldo_Residual_Activo!R235, 2)</f>
        <v/>
      </c>
      <c r="P235" s="23">
        <f>ROUND(Saldos_Cartera_Total!P235 + Saldo_Residual_Activo!S235, 2)</f>
        <v/>
      </c>
      <c r="Q235" s="23">
        <f>ROUND(Saldos_Cartera_Total!Q235 + Saldo_Residual_Activo!T235, 2)</f>
        <v/>
      </c>
      <c r="R235" s="23">
        <f>MAX(F235:Q235)</f>
        <v/>
      </c>
    </row>
    <row r="236">
      <c r="A236" s="26" t="inlineStr">
        <is>
          <t>0749-0001</t>
        </is>
      </c>
      <c r="B236" s="27" t="inlineStr">
        <is>
          <t>Álvarez Fletes Nacionales, S.C.</t>
        </is>
      </c>
      <c r="C236" s="27" t="inlineStr">
        <is>
          <t>RAM 700 TRADESMAN CC</t>
        </is>
      </c>
      <c r="D236" s="26" t="inlineStr">
        <is>
          <t>ACTIVO</t>
        </is>
      </c>
      <c r="E236" s="28" t="n">
        <v>36</v>
      </c>
      <c r="F236" s="29" t="inlineStr"/>
      <c r="G236" s="29" t="inlineStr"/>
      <c r="H236" s="29">
        <f>ROUND(Saldos_Cartera_Total!H236 + Saldo_Residual_Activo!K236, 2)</f>
        <v/>
      </c>
      <c r="I236" s="29">
        <f>ROUND(Saldos_Cartera_Total!I236 + Saldo_Residual_Activo!L236, 2)</f>
        <v/>
      </c>
      <c r="J236" s="29">
        <f>ROUND(Saldos_Cartera_Total!J236 + Saldo_Residual_Activo!M236, 2)</f>
        <v/>
      </c>
      <c r="K236" s="29">
        <f>ROUND(Saldos_Cartera_Total!K236 + Saldo_Residual_Activo!N236, 2)</f>
        <v/>
      </c>
      <c r="L236" s="29">
        <f>ROUND(Saldos_Cartera_Total!L236 + Saldo_Residual_Activo!O236, 2)</f>
        <v/>
      </c>
      <c r="M236" s="29">
        <f>ROUND(Saldos_Cartera_Total!M236 + Saldo_Residual_Activo!P236, 2)</f>
        <v/>
      </c>
      <c r="N236" s="29">
        <f>ROUND(Saldos_Cartera_Total!N236 + Saldo_Residual_Activo!Q236, 2)</f>
        <v/>
      </c>
      <c r="O236" s="29">
        <f>ROUND(Saldos_Cartera_Total!O236 + Saldo_Residual_Activo!R236, 2)</f>
        <v/>
      </c>
      <c r="P236" s="29">
        <f>ROUND(Saldos_Cartera_Total!P236 + Saldo_Residual_Activo!S236, 2)</f>
        <v/>
      </c>
      <c r="Q236" s="29">
        <f>ROUND(Saldos_Cartera_Total!Q236 + Saldo_Residual_Activo!T236, 2)</f>
        <v/>
      </c>
      <c r="R236" s="29">
        <f>MAX(F236:Q236)</f>
        <v/>
      </c>
    </row>
    <row r="237">
      <c r="A237" s="20" t="inlineStr">
        <is>
          <t>0749-0002</t>
        </is>
      </c>
      <c r="B237" s="21" t="inlineStr">
        <is>
          <t>Álvarez Fletes Nacionales, S.C.</t>
        </is>
      </c>
      <c r="C237" s="21" t="inlineStr">
        <is>
          <t>RAM 700 TRADESMAN CC</t>
        </is>
      </c>
      <c r="D237" s="20" t="inlineStr">
        <is>
          <t>ACTIVO</t>
        </is>
      </c>
      <c r="E237" s="22" t="n">
        <v>36</v>
      </c>
      <c r="F237" s="23" t="inlineStr"/>
      <c r="G237" s="23" t="inlineStr"/>
      <c r="H237" s="23">
        <f>ROUND(Saldos_Cartera_Total!H237 + Saldo_Residual_Activo!K237, 2)</f>
        <v/>
      </c>
      <c r="I237" s="23">
        <f>ROUND(Saldos_Cartera_Total!I237 + Saldo_Residual_Activo!L237, 2)</f>
        <v/>
      </c>
      <c r="J237" s="23">
        <f>ROUND(Saldos_Cartera_Total!J237 + Saldo_Residual_Activo!M237, 2)</f>
        <v/>
      </c>
      <c r="K237" s="23">
        <f>ROUND(Saldos_Cartera_Total!K237 + Saldo_Residual_Activo!N237, 2)</f>
        <v/>
      </c>
      <c r="L237" s="23">
        <f>ROUND(Saldos_Cartera_Total!L237 + Saldo_Residual_Activo!O237, 2)</f>
        <v/>
      </c>
      <c r="M237" s="23">
        <f>ROUND(Saldos_Cartera_Total!M237 + Saldo_Residual_Activo!P237, 2)</f>
        <v/>
      </c>
      <c r="N237" s="23">
        <f>ROUND(Saldos_Cartera_Total!N237 + Saldo_Residual_Activo!Q237, 2)</f>
        <v/>
      </c>
      <c r="O237" s="23">
        <f>ROUND(Saldos_Cartera_Total!O237 + Saldo_Residual_Activo!R237, 2)</f>
        <v/>
      </c>
      <c r="P237" s="23">
        <f>ROUND(Saldos_Cartera_Total!P237 + Saldo_Residual_Activo!S237, 2)</f>
        <v/>
      </c>
      <c r="Q237" s="23">
        <f>ROUND(Saldos_Cartera_Total!Q237 + Saldo_Residual_Activo!T237, 2)</f>
        <v/>
      </c>
      <c r="R237" s="23">
        <f>MAX(F237:Q237)</f>
        <v/>
      </c>
    </row>
    <row r="238">
      <c r="A238" s="26" t="inlineStr">
        <is>
          <t>0750-0001</t>
        </is>
      </c>
      <c r="B238" s="27" t="inlineStr">
        <is>
          <t>Idea Gelato S de RL de CV</t>
        </is>
      </c>
      <c r="C238" s="27" t="inlineStr">
        <is>
          <t>Expert Furgon</t>
        </is>
      </c>
      <c r="D238" s="26" t="inlineStr">
        <is>
          <t>ACTIVO</t>
        </is>
      </c>
      <c r="E238" s="28" t="n">
        <v>24</v>
      </c>
      <c r="F238" s="29" t="inlineStr"/>
      <c r="G238" s="29" t="inlineStr"/>
      <c r="H238" s="29">
        <f>ROUND(Saldos_Cartera_Total!H238 + Saldo_Residual_Activo!K238, 2)</f>
        <v/>
      </c>
      <c r="I238" s="29">
        <f>ROUND(Saldos_Cartera_Total!I238 + Saldo_Residual_Activo!L238, 2)</f>
        <v/>
      </c>
      <c r="J238" s="29">
        <f>ROUND(Saldos_Cartera_Total!J238 + Saldo_Residual_Activo!M238, 2)</f>
        <v/>
      </c>
      <c r="K238" s="29">
        <f>ROUND(Saldos_Cartera_Total!K238 + Saldo_Residual_Activo!N238, 2)</f>
        <v/>
      </c>
      <c r="L238" s="29">
        <f>ROUND(Saldos_Cartera_Total!L238 + Saldo_Residual_Activo!O238, 2)</f>
        <v/>
      </c>
      <c r="M238" s="29">
        <f>ROUND(Saldos_Cartera_Total!M238 + Saldo_Residual_Activo!P238, 2)</f>
        <v/>
      </c>
      <c r="N238" s="29">
        <f>ROUND(Saldos_Cartera_Total!N238 + Saldo_Residual_Activo!Q238, 2)</f>
        <v/>
      </c>
      <c r="O238" s="29">
        <f>ROUND(Saldos_Cartera_Total!O238 + Saldo_Residual_Activo!R238, 2)</f>
        <v/>
      </c>
      <c r="P238" s="29">
        <f>ROUND(Saldos_Cartera_Total!P238 + Saldo_Residual_Activo!S238, 2)</f>
        <v/>
      </c>
      <c r="Q238" s="29">
        <f>ROUND(Saldos_Cartera_Total!Q238 + Saldo_Residual_Activo!T238, 2)</f>
        <v/>
      </c>
      <c r="R238" s="29">
        <f>MAX(F238:Q238)</f>
        <v/>
      </c>
    </row>
    <row r="239">
      <c r="A239" s="20" t="inlineStr">
        <is>
          <t>0752-0001</t>
        </is>
      </c>
      <c r="B239" s="21" t="inlineStr">
        <is>
          <t>Fernando Plasencia Lopez</t>
        </is>
      </c>
      <c r="C239" s="21" t="inlineStr">
        <is>
          <t>Grand Cherokee Limited</t>
        </is>
      </c>
      <c r="D239" s="20" t="inlineStr">
        <is>
          <t>ACTIVO</t>
        </is>
      </c>
      <c r="E239" s="22" t="n">
        <v>24</v>
      </c>
      <c r="F239" s="23" t="inlineStr"/>
      <c r="G239" s="23" t="inlineStr"/>
      <c r="H239" s="23">
        <f>ROUND(Saldos_Cartera_Total!H239 + Saldo_Residual_Activo!K239, 2)</f>
        <v/>
      </c>
      <c r="I239" s="23">
        <f>ROUND(Saldos_Cartera_Total!I239 + Saldo_Residual_Activo!L239, 2)</f>
        <v/>
      </c>
      <c r="J239" s="23">
        <f>ROUND(Saldos_Cartera_Total!J239 + Saldo_Residual_Activo!M239, 2)</f>
        <v/>
      </c>
      <c r="K239" s="23">
        <f>ROUND(Saldos_Cartera_Total!K239 + Saldo_Residual_Activo!N239, 2)</f>
        <v/>
      </c>
      <c r="L239" s="23">
        <f>ROUND(Saldos_Cartera_Total!L239 + Saldo_Residual_Activo!O239, 2)</f>
        <v/>
      </c>
      <c r="M239" s="23">
        <f>ROUND(Saldos_Cartera_Total!M239 + Saldo_Residual_Activo!P239, 2)</f>
        <v/>
      </c>
      <c r="N239" s="23">
        <f>ROUND(Saldos_Cartera_Total!N239 + Saldo_Residual_Activo!Q239, 2)</f>
        <v/>
      </c>
      <c r="O239" s="23">
        <f>ROUND(Saldos_Cartera_Total!O239 + Saldo_Residual_Activo!R239, 2)</f>
        <v/>
      </c>
      <c r="P239" s="23">
        <f>ROUND(Saldos_Cartera_Total!P239 + Saldo_Residual_Activo!S239, 2)</f>
        <v/>
      </c>
      <c r="Q239" s="23">
        <f>ROUND(Saldos_Cartera_Total!Q239 + Saldo_Residual_Activo!T239, 2)</f>
        <v/>
      </c>
      <c r="R239" s="23">
        <f>MAX(F239:Q239)</f>
        <v/>
      </c>
    </row>
    <row r="240">
      <c r="A240" s="26" t="inlineStr">
        <is>
          <t>0752-0002</t>
        </is>
      </c>
      <c r="B240" s="27" t="inlineStr">
        <is>
          <t>Fernando Plasencia Lopez</t>
        </is>
      </c>
      <c r="C240" s="27" t="inlineStr">
        <is>
          <t>Grand Cherokee Altitude</t>
        </is>
      </c>
      <c r="D240" s="26" t="inlineStr">
        <is>
          <t>ACTIVO</t>
        </is>
      </c>
      <c r="E240" s="28" t="n">
        <v>24</v>
      </c>
      <c r="F240" s="29" t="inlineStr"/>
      <c r="G240" s="29" t="inlineStr"/>
      <c r="H240" s="29">
        <f>ROUND(Saldos_Cartera_Total!H240 + Saldo_Residual_Activo!K240, 2)</f>
        <v/>
      </c>
      <c r="I240" s="29">
        <f>ROUND(Saldos_Cartera_Total!I240 + Saldo_Residual_Activo!L240, 2)</f>
        <v/>
      </c>
      <c r="J240" s="29">
        <f>ROUND(Saldos_Cartera_Total!J240 + Saldo_Residual_Activo!M240, 2)</f>
        <v/>
      </c>
      <c r="K240" s="29">
        <f>ROUND(Saldos_Cartera_Total!K240 + Saldo_Residual_Activo!N240, 2)</f>
        <v/>
      </c>
      <c r="L240" s="29">
        <f>ROUND(Saldos_Cartera_Total!L240 + Saldo_Residual_Activo!O240, 2)</f>
        <v/>
      </c>
      <c r="M240" s="29">
        <f>ROUND(Saldos_Cartera_Total!M240 + Saldo_Residual_Activo!P240, 2)</f>
        <v/>
      </c>
      <c r="N240" s="29">
        <f>ROUND(Saldos_Cartera_Total!N240 + Saldo_Residual_Activo!Q240, 2)</f>
        <v/>
      </c>
      <c r="O240" s="29">
        <f>ROUND(Saldos_Cartera_Total!O240 + Saldo_Residual_Activo!R240, 2)</f>
        <v/>
      </c>
      <c r="P240" s="29">
        <f>ROUND(Saldos_Cartera_Total!P240 + Saldo_Residual_Activo!S240, 2)</f>
        <v/>
      </c>
      <c r="Q240" s="29">
        <f>ROUND(Saldos_Cartera_Total!Q240 + Saldo_Residual_Activo!T240, 2)</f>
        <v/>
      </c>
      <c r="R240" s="29">
        <f>MAX(F240:Q240)</f>
        <v/>
      </c>
    </row>
    <row r="241">
      <c r="A241" s="20" t="inlineStr">
        <is>
          <t>0752-0003</t>
        </is>
      </c>
      <c r="B241" s="21" t="inlineStr">
        <is>
          <t>Fernando Plasencia Lopez</t>
        </is>
      </c>
      <c r="C241" s="21" t="inlineStr">
        <is>
          <t>Grand Cherokee Summit</t>
        </is>
      </c>
      <c r="D241" s="20" t="inlineStr">
        <is>
          <t>ACTIVO</t>
        </is>
      </c>
      <c r="E241" s="22" t="n">
        <v>24</v>
      </c>
      <c r="F241" s="23" t="inlineStr"/>
      <c r="G241" s="23" t="inlineStr"/>
      <c r="H241" s="23" t="inlineStr"/>
      <c r="I241" s="23" t="inlineStr"/>
      <c r="J241" s="23">
        <f>ROUND(Saldos_Cartera_Total!J241 + Saldo_Residual_Activo!M241, 2)</f>
        <v/>
      </c>
      <c r="K241" s="23">
        <f>ROUND(Saldos_Cartera_Total!K241 + Saldo_Residual_Activo!N241, 2)</f>
        <v/>
      </c>
      <c r="L241" s="23">
        <f>ROUND(Saldos_Cartera_Total!L241 + Saldo_Residual_Activo!O241, 2)</f>
        <v/>
      </c>
      <c r="M241" s="23">
        <f>ROUND(Saldos_Cartera_Total!M241 + Saldo_Residual_Activo!P241, 2)</f>
        <v/>
      </c>
      <c r="N241" s="23">
        <f>ROUND(Saldos_Cartera_Total!N241 + Saldo_Residual_Activo!Q241, 2)</f>
        <v/>
      </c>
      <c r="O241" s="23">
        <f>ROUND(Saldos_Cartera_Total!O241 + Saldo_Residual_Activo!R241, 2)</f>
        <v/>
      </c>
      <c r="P241" s="23">
        <f>ROUND(Saldos_Cartera_Total!P241 + Saldo_Residual_Activo!S241, 2)</f>
        <v/>
      </c>
      <c r="Q241" s="23">
        <f>ROUND(Saldos_Cartera_Total!Q241 + Saldo_Residual_Activo!T241, 2)</f>
        <v/>
      </c>
      <c r="R241" s="23">
        <f>MAX(F241:Q241)</f>
        <v/>
      </c>
    </row>
    <row r="242">
      <c r="A242" s="26" t="inlineStr">
        <is>
          <t>0752-0004</t>
        </is>
      </c>
      <c r="B242" s="27" t="inlineStr">
        <is>
          <t>Fernando Plasencia Lopez</t>
        </is>
      </c>
      <c r="C242" s="27" t="inlineStr">
        <is>
          <t>1200 BIGHORN CC</t>
        </is>
      </c>
      <c r="D242" s="26" t="inlineStr">
        <is>
          <t>ACTIVO</t>
        </is>
      </c>
      <c r="E242" s="28" t="n">
        <v>48</v>
      </c>
      <c r="F242" s="29" t="inlineStr"/>
      <c r="G242" s="29" t="inlineStr"/>
      <c r="H242" s="29" t="inlineStr"/>
      <c r="I242" s="29" t="inlineStr"/>
      <c r="J242" s="29" t="inlineStr"/>
      <c r="K242" s="29">
        <f>ROUND(Saldos_Cartera_Total!K242 + Saldo_Residual_Activo!N242, 2)</f>
        <v/>
      </c>
      <c r="L242" s="29">
        <f>ROUND(Saldos_Cartera_Total!L242 + Saldo_Residual_Activo!O242, 2)</f>
        <v/>
      </c>
      <c r="M242" s="29">
        <f>ROUND(Saldos_Cartera_Total!M242 + Saldo_Residual_Activo!P242, 2)</f>
        <v/>
      </c>
      <c r="N242" s="29">
        <f>ROUND(Saldos_Cartera_Total!N242 + Saldo_Residual_Activo!Q242, 2)</f>
        <v/>
      </c>
      <c r="O242" s="29">
        <f>ROUND(Saldos_Cartera_Total!O242 + Saldo_Residual_Activo!R242, 2)</f>
        <v/>
      </c>
      <c r="P242" s="29">
        <f>ROUND(Saldos_Cartera_Total!P242 + Saldo_Residual_Activo!S242, 2)</f>
        <v/>
      </c>
      <c r="Q242" s="29">
        <f>ROUND(Saldos_Cartera_Total!Q242 + Saldo_Residual_Activo!T242, 2)</f>
        <v/>
      </c>
      <c r="R242" s="29">
        <f>MAX(F242:Q242)</f>
        <v/>
      </c>
    </row>
    <row r="243">
      <c r="A243" s="20" t="inlineStr">
        <is>
          <t>0752-0005</t>
        </is>
      </c>
      <c r="B243" s="21" t="inlineStr">
        <is>
          <t>Fernando Plasencia Lopez</t>
        </is>
      </c>
      <c r="C243" s="21" t="inlineStr">
        <is>
          <t>Grand Charokee Altitude</t>
        </is>
      </c>
      <c r="D243" s="20" t="inlineStr">
        <is>
          <t>ACTIVO</t>
        </is>
      </c>
      <c r="E243" s="22" t="n">
        <v>24</v>
      </c>
      <c r="F243" s="23" t="inlineStr"/>
      <c r="G243" s="23" t="inlineStr"/>
      <c r="H243" s="23" t="inlineStr"/>
      <c r="I243" s="23" t="inlineStr"/>
      <c r="J243" s="23" t="inlineStr"/>
      <c r="K243" s="23">
        <f>ROUND(Saldos_Cartera_Total!K243 + Saldo_Residual_Activo!N243, 2)</f>
        <v/>
      </c>
      <c r="L243" s="23">
        <f>ROUND(Saldos_Cartera_Total!L243 + Saldo_Residual_Activo!O243, 2)</f>
        <v/>
      </c>
      <c r="M243" s="23">
        <f>ROUND(Saldos_Cartera_Total!M243 + Saldo_Residual_Activo!P243, 2)</f>
        <v/>
      </c>
      <c r="N243" s="23">
        <f>ROUND(Saldos_Cartera_Total!N243 + Saldo_Residual_Activo!Q243, 2)</f>
        <v/>
      </c>
      <c r="O243" s="23">
        <f>ROUND(Saldos_Cartera_Total!O243 + Saldo_Residual_Activo!R243, 2)</f>
        <v/>
      </c>
      <c r="P243" s="23">
        <f>ROUND(Saldos_Cartera_Total!P243 + Saldo_Residual_Activo!S243, 2)</f>
        <v/>
      </c>
      <c r="Q243" s="23">
        <f>ROUND(Saldos_Cartera_Total!Q243 + Saldo_Residual_Activo!T243, 2)</f>
        <v/>
      </c>
      <c r="R243" s="23">
        <f>MAX(F243:Q243)</f>
        <v/>
      </c>
    </row>
    <row r="244">
      <c r="A244" s="26" t="inlineStr">
        <is>
          <t>0753-0001</t>
        </is>
      </c>
      <c r="B244" s="27" t="inlineStr">
        <is>
          <t>Milodi Seguridad Privada</t>
        </is>
      </c>
      <c r="C244" s="27" t="inlineStr">
        <is>
          <t>Alsvin</t>
        </is>
      </c>
      <c r="D244" s="26" t="inlineStr">
        <is>
          <t>ACTIVO</t>
        </is>
      </c>
      <c r="E244" s="28" t="n">
        <v>36</v>
      </c>
      <c r="F244" s="29" t="inlineStr"/>
      <c r="G244" s="29" t="inlineStr"/>
      <c r="H244" s="29">
        <f>ROUND(Saldos_Cartera_Total!H244 + Saldo_Residual_Activo!K244, 2)</f>
        <v/>
      </c>
      <c r="I244" s="29">
        <f>ROUND(Saldos_Cartera_Total!I244 + Saldo_Residual_Activo!L244, 2)</f>
        <v/>
      </c>
      <c r="J244" s="29">
        <f>ROUND(Saldos_Cartera_Total!J244 + Saldo_Residual_Activo!M244, 2)</f>
        <v/>
      </c>
      <c r="K244" s="29">
        <f>ROUND(Saldos_Cartera_Total!K244 + Saldo_Residual_Activo!N244, 2)</f>
        <v/>
      </c>
      <c r="L244" s="29">
        <f>ROUND(Saldos_Cartera_Total!L244 + Saldo_Residual_Activo!O244, 2)</f>
        <v/>
      </c>
      <c r="M244" s="29">
        <f>ROUND(Saldos_Cartera_Total!M244 + Saldo_Residual_Activo!P244, 2)</f>
        <v/>
      </c>
      <c r="N244" s="29">
        <f>ROUND(Saldos_Cartera_Total!N244 + Saldo_Residual_Activo!Q244, 2)</f>
        <v/>
      </c>
      <c r="O244" s="29">
        <f>ROUND(Saldos_Cartera_Total!O244 + Saldo_Residual_Activo!R244, 2)</f>
        <v/>
      </c>
      <c r="P244" s="29">
        <f>ROUND(Saldos_Cartera_Total!P244 + Saldo_Residual_Activo!S244, 2)</f>
        <v/>
      </c>
      <c r="Q244" s="29">
        <f>ROUND(Saldos_Cartera_Total!Q244 + Saldo_Residual_Activo!T244, 2)</f>
        <v/>
      </c>
      <c r="R244" s="29">
        <f>MAX(F244:Q244)</f>
        <v/>
      </c>
    </row>
    <row r="245">
      <c r="A245" s="20" t="inlineStr">
        <is>
          <t>0753-0003</t>
        </is>
      </c>
      <c r="B245" s="21" t="inlineStr">
        <is>
          <t>Milodi Seguridad Privada</t>
        </is>
      </c>
      <c r="C245" s="21" t="inlineStr">
        <is>
          <t>CS35</t>
        </is>
      </c>
      <c r="D245" s="20" t="inlineStr">
        <is>
          <t>ACTIVO</t>
        </is>
      </c>
      <c r="E245" s="22" t="n">
        <v>36</v>
      </c>
      <c r="F245" s="23" t="inlineStr"/>
      <c r="G245" s="23" t="inlineStr"/>
      <c r="H245" s="23" t="inlineStr"/>
      <c r="I245" s="23" t="inlineStr"/>
      <c r="J245" s="23" t="inlineStr"/>
      <c r="K245" s="23">
        <f>ROUND(Saldos_Cartera_Total!K245 + Saldo_Residual_Activo!N245, 2)</f>
        <v/>
      </c>
      <c r="L245" s="23">
        <f>ROUND(Saldos_Cartera_Total!L245 + Saldo_Residual_Activo!O245, 2)</f>
        <v/>
      </c>
      <c r="M245" s="23">
        <f>ROUND(Saldos_Cartera_Total!M245 + Saldo_Residual_Activo!P245, 2)</f>
        <v/>
      </c>
      <c r="N245" s="23">
        <f>ROUND(Saldos_Cartera_Total!N245 + Saldo_Residual_Activo!Q245, 2)</f>
        <v/>
      </c>
      <c r="O245" s="23">
        <f>ROUND(Saldos_Cartera_Total!O245 + Saldo_Residual_Activo!R245, 2)</f>
        <v/>
      </c>
      <c r="P245" s="23">
        <f>ROUND(Saldos_Cartera_Total!P245 + Saldo_Residual_Activo!S245, 2)</f>
        <v/>
      </c>
      <c r="Q245" s="23">
        <f>ROUND(Saldos_Cartera_Total!Q245 + Saldo_Residual_Activo!T245, 2)</f>
        <v/>
      </c>
      <c r="R245" s="23">
        <f>MAX(F245:Q245)</f>
        <v/>
      </c>
    </row>
    <row r="246">
      <c r="A246" s="26" t="inlineStr">
        <is>
          <t>0754-0001</t>
        </is>
      </c>
      <c r="B246" s="27" t="inlineStr">
        <is>
          <t>Luis Guillermo Rios Villaseñor</t>
        </is>
      </c>
      <c r="C246" s="27" t="inlineStr">
        <is>
          <t>2008 GT</t>
        </is>
      </c>
      <c r="D246" s="26" t="inlineStr">
        <is>
          <t>ACTIVO</t>
        </is>
      </c>
      <c r="E246" s="28" t="n">
        <v>24</v>
      </c>
      <c r="F246" s="29" t="inlineStr"/>
      <c r="G246" s="29" t="inlineStr"/>
      <c r="H246" s="29" t="inlineStr"/>
      <c r="I246" s="29">
        <f>ROUND(Saldos_Cartera_Total!I246 + Saldo_Residual_Activo!L246, 2)</f>
        <v/>
      </c>
      <c r="J246" s="29">
        <f>ROUND(Saldos_Cartera_Total!J246 + Saldo_Residual_Activo!M246, 2)</f>
        <v/>
      </c>
      <c r="K246" s="29">
        <f>ROUND(Saldos_Cartera_Total!K246 + Saldo_Residual_Activo!N246, 2)</f>
        <v/>
      </c>
      <c r="L246" s="29">
        <f>ROUND(Saldos_Cartera_Total!L246 + Saldo_Residual_Activo!O246, 2)</f>
        <v/>
      </c>
      <c r="M246" s="29">
        <f>ROUND(Saldos_Cartera_Total!M246 + Saldo_Residual_Activo!P246, 2)</f>
        <v/>
      </c>
      <c r="N246" s="29">
        <f>ROUND(Saldos_Cartera_Total!N246 + Saldo_Residual_Activo!Q246, 2)</f>
        <v/>
      </c>
      <c r="O246" s="29">
        <f>ROUND(Saldos_Cartera_Total!O246 + Saldo_Residual_Activo!R246, 2)</f>
        <v/>
      </c>
      <c r="P246" s="29">
        <f>ROUND(Saldos_Cartera_Total!P246 + Saldo_Residual_Activo!S246, 2)</f>
        <v/>
      </c>
      <c r="Q246" s="29">
        <f>ROUND(Saldos_Cartera_Total!Q246 + Saldo_Residual_Activo!T246, 2)</f>
        <v/>
      </c>
      <c r="R246" s="29">
        <f>MAX(F246:Q246)</f>
        <v/>
      </c>
    </row>
    <row r="247">
      <c r="A247" s="20" t="inlineStr">
        <is>
          <t>0755-0001</t>
        </is>
      </c>
      <c r="B247" s="21" t="inlineStr">
        <is>
          <t>Abiam Antonio Reyna Aguilar</t>
        </is>
      </c>
      <c r="C247" s="21" t="inlineStr">
        <is>
          <t>1500 RHO</t>
        </is>
      </c>
      <c r="D247" s="20" t="inlineStr">
        <is>
          <t>ACTIVO</t>
        </is>
      </c>
      <c r="E247" s="22" t="n">
        <v>12</v>
      </c>
      <c r="F247" s="23" t="inlineStr"/>
      <c r="G247" s="23" t="inlineStr"/>
      <c r="H247" s="23" t="inlineStr"/>
      <c r="I247" s="23">
        <f>ROUND(Saldos_Cartera_Total!I247 + Saldo_Residual_Activo!L247, 2)</f>
        <v/>
      </c>
      <c r="J247" s="23">
        <f>ROUND(Saldos_Cartera_Total!J247 + Saldo_Residual_Activo!M247, 2)</f>
        <v/>
      </c>
      <c r="K247" s="23">
        <f>ROUND(Saldos_Cartera_Total!K247 + Saldo_Residual_Activo!N247, 2)</f>
        <v/>
      </c>
      <c r="L247" s="23">
        <f>ROUND(Saldos_Cartera_Total!L247 + Saldo_Residual_Activo!O247, 2)</f>
        <v/>
      </c>
      <c r="M247" s="23">
        <f>ROUND(Saldos_Cartera_Total!M247 + Saldo_Residual_Activo!P247, 2)</f>
        <v/>
      </c>
      <c r="N247" s="23">
        <f>ROUND(Saldos_Cartera_Total!N247 + Saldo_Residual_Activo!Q247, 2)</f>
        <v/>
      </c>
      <c r="O247" s="23">
        <f>ROUND(Saldos_Cartera_Total!O247 + Saldo_Residual_Activo!R247, 2)</f>
        <v/>
      </c>
      <c r="P247" s="23">
        <f>ROUND(Saldos_Cartera_Total!P247 + Saldo_Residual_Activo!S247, 2)</f>
        <v/>
      </c>
      <c r="Q247" s="23">
        <f>ROUND(Saldos_Cartera_Total!Q247 + Saldo_Residual_Activo!T247, 2)</f>
        <v/>
      </c>
      <c r="R247" s="23">
        <f>MAX(F247:Q247)</f>
        <v/>
      </c>
    </row>
    <row r="248">
      <c r="A248" s="26" t="inlineStr">
        <is>
          <t>0756-0001</t>
        </is>
      </c>
      <c r="B248" s="27" t="inlineStr">
        <is>
          <t>Agricola Hortiberry, S.A. de C.V.</t>
        </is>
      </c>
      <c r="C248" s="27" t="inlineStr">
        <is>
          <t>1200  Tradesman Chasis Cabina</t>
        </is>
      </c>
      <c r="D248" s="26" t="inlineStr">
        <is>
          <t>ACTIVO</t>
        </is>
      </c>
      <c r="E248" s="28" t="n">
        <v>48</v>
      </c>
      <c r="F248" s="29" t="inlineStr"/>
      <c r="G248" s="29" t="inlineStr"/>
      <c r="H248" s="29" t="inlineStr"/>
      <c r="I248" s="29" t="inlineStr"/>
      <c r="J248" s="29">
        <f>ROUND(Saldos_Cartera_Total!J248 + Saldo_Residual_Activo!M248, 2)</f>
        <v/>
      </c>
      <c r="K248" s="29">
        <f>ROUND(Saldos_Cartera_Total!K248 + Saldo_Residual_Activo!N248, 2)</f>
        <v/>
      </c>
      <c r="L248" s="29">
        <f>ROUND(Saldos_Cartera_Total!L248 + Saldo_Residual_Activo!O248, 2)</f>
        <v/>
      </c>
      <c r="M248" s="29">
        <f>ROUND(Saldos_Cartera_Total!M248 + Saldo_Residual_Activo!P248, 2)</f>
        <v/>
      </c>
      <c r="N248" s="29">
        <f>ROUND(Saldos_Cartera_Total!N248 + Saldo_Residual_Activo!Q248, 2)</f>
        <v/>
      </c>
      <c r="O248" s="29">
        <f>ROUND(Saldos_Cartera_Total!O248 + Saldo_Residual_Activo!R248, 2)</f>
        <v/>
      </c>
      <c r="P248" s="29">
        <f>ROUND(Saldos_Cartera_Total!P248 + Saldo_Residual_Activo!S248, 2)</f>
        <v/>
      </c>
      <c r="Q248" s="29">
        <f>ROUND(Saldos_Cartera_Total!Q248 + Saldo_Residual_Activo!T248, 2)</f>
        <v/>
      </c>
      <c r="R248" s="29">
        <f>MAX(F248:Q248)</f>
        <v/>
      </c>
    </row>
    <row r="249">
      <c r="A249" s="20" t="inlineStr">
        <is>
          <t>0757-0001</t>
        </is>
      </c>
      <c r="B249" s="21" t="inlineStr">
        <is>
          <t>Corporativo de Servicios Integrales de Occidente, S.A. de C.V.</t>
        </is>
      </c>
      <c r="C249" s="21" t="inlineStr">
        <is>
          <t>CX5</t>
        </is>
      </c>
      <c r="D249" s="20" t="inlineStr">
        <is>
          <t>ACTIVO</t>
        </is>
      </c>
      <c r="E249" s="22" t="n">
        <v>24</v>
      </c>
      <c r="F249" s="23" t="inlineStr"/>
      <c r="G249" s="23" t="inlineStr"/>
      <c r="H249" s="23" t="inlineStr"/>
      <c r="I249" s="23" t="inlineStr"/>
      <c r="J249" s="23">
        <f>ROUND(Saldos_Cartera_Total!J249 + Saldo_Residual_Activo!M249, 2)</f>
        <v/>
      </c>
      <c r="K249" s="23">
        <f>ROUND(Saldos_Cartera_Total!K249 + Saldo_Residual_Activo!N249, 2)</f>
        <v/>
      </c>
      <c r="L249" s="23">
        <f>ROUND(Saldos_Cartera_Total!L249 + Saldo_Residual_Activo!O249, 2)</f>
        <v/>
      </c>
      <c r="M249" s="23">
        <f>ROUND(Saldos_Cartera_Total!M249 + Saldo_Residual_Activo!P249, 2)</f>
        <v/>
      </c>
      <c r="N249" s="23">
        <f>ROUND(Saldos_Cartera_Total!N249 + Saldo_Residual_Activo!Q249, 2)</f>
        <v/>
      </c>
      <c r="O249" s="23">
        <f>ROUND(Saldos_Cartera_Total!O249 + Saldo_Residual_Activo!R249, 2)</f>
        <v/>
      </c>
      <c r="P249" s="23">
        <f>ROUND(Saldos_Cartera_Total!P249 + Saldo_Residual_Activo!S249, 2)</f>
        <v/>
      </c>
      <c r="Q249" s="23">
        <f>ROUND(Saldos_Cartera_Total!Q249 + Saldo_Residual_Activo!T249, 2)</f>
        <v/>
      </c>
      <c r="R249" s="23">
        <f>MAX(F249:Q249)</f>
        <v/>
      </c>
    </row>
    <row r="250">
      <c r="A250" s="26" t="inlineStr">
        <is>
          <t>0757-0002</t>
        </is>
      </c>
      <c r="B250" s="27" t="inlineStr">
        <is>
          <t>Corporativo de Servicios Integrales de Occidente, S.A. de C.V.</t>
        </is>
      </c>
      <c r="C250" s="27" t="inlineStr">
        <is>
          <t>Leapmotor B10 2026</t>
        </is>
      </c>
      <c r="D250" s="26" t="inlineStr">
        <is>
          <t>ACTIVO</t>
        </is>
      </c>
      <c r="E250" s="28" t="n">
        <v>36</v>
      </c>
      <c r="F250" s="29" t="inlineStr"/>
      <c r="G250" s="29" t="inlineStr"/>
      <c r="H250" s="29" t="inlineStr"/>
      <c r="I250" s="29" t="inlineStr"/>
      <c r="J250" s="29" t="inlineStr"/>
      <c r="K250" s="29" t="inlineStr"/>
      <c r="L250" s="29">
        <f>ROUND(Saldos_Cartera_Total!L250 + Saldo_Residual_Activo!O250, 2)</f>
        <v/>
      </c>
      <c r="M250" s="29">
        <f>ROUND(Saldos_Cartera_Total!M250 + Saldo_Residual_Activo!P250, 2)</f>
        <v/>
      </c>
      <c r="N250" s="29">
        <f>ROUND(Saldos_Cartera_Total!N250 + Saldo_Residual_Activo!Q250, 2)</f>
        <v/>
      </c>
      <c r="O250" s="29">
        <f>ROUND(Saldos_Cartera_Total!O250 + Saldo_Residual_Activo!R250, 2)</f>
        <v/>
      </c>
      <c r="P250" s="29">
        <f>ROUND(Saldos_Cartera_Total!P250 + Saldo_Residual_Activo!S250, 2)</f>
        <v/>
      </c>
      <c r="Q250" s="29">
        <f>ROUND(Saldos_Cartera_Total!Q250 + Saldo_Residual_Activo!T250, 2)</f>
        <v/>
      </c>
      <c r="R250" s="29">
        <f>MAX(F250:Q250)</f>
        <v/>
      </c>
    </row>
    <row r="251">
      <c r="A251" s="20" t="inlineStr">
        <is>
          <t>0758-0001</t>
        </is>
      </c>
      <c r="B251" s="21" t="inlineStr">
        <is>
          <t>Comedores y Servicios Industriales CAMSAA, S.A. de C.V.</t>
        </is>
      </c>
      <c r="C251" s="21" t="inlineStr">
        <is>
          <t>Partner Rapid</t>
        </is>
      </c>
      <c r="D251" s="20" t="inlineStr">
        <is>
          <t>ACTIVO</t>
        </is>
      </c>
      <c r="E251" s="22" t="n">
        <v>24</v>
      </c>
      <c r="F251" s="23" t="inlineStr"/>
      <c r="G251" s="23" t="inlineStr"/>
      <c r="H251" s="23" t="inlineStr"/>
      <c r="I251" s="23" t="inlineStr"/>
      <c r="J251" s="23">
        <f>ROUND(Saldos_Cartera_Total!J251 + Saldo_Residual_Activo!M251, 2)</f>
        <v/>
      </c>
      <c r="K251" s="23">
        <f>ROUND(Saldos_Cartera_Total!K251 + Saldo_Residual_Activo!N251, 2)</f>
        <v/>
      </c>
      <c r="L251" s="23">
        <f>ROUND(Saldos_Cartera_Total!L251 + Saldo_Residual_Activo!O251, 2)</f>
        <v/>
      </c>
      <c r="M251" s="23">
        <f>ROUND(Saldos_Cartera_Total!M251 + Saldo_Residual_Activo!P251, 2)</f>
        <v/>
      </c>
      <c r="N251" s="23">
        <f>ROUND(Saldos_Cartera_Total!N251 + Saldo_Residual_Activo!Q251, 2)</f>
        <v/>
      </c>
      <c r="O251" s="23">
        <f>ROUND(Saldos_Cartera_Total!O251 + Saldo_Residual_Activo!R251, 2)</f>
        <v/>
      </c>
      <c r="P251" s="23">
        <f>ROUND(Saldos_Cartera_Total!P251 + Saldo_Residual_Activo!S251, 2)</f>
        <v/>
      </c>
      <c r="Q251" s="23">
        <f>ROUND(Saldos_Cartera_Total!Q251 + Saldo_Residual_Activo!T251, 2)</f>
        <v/>
      </c>
      <c r="R251" s="23">
        <f>MAX(F251:Q251)</f>
        <v/>
      </c>
    </row>
    <row r="252">
      <c r="A252" s="26" t="inlineStr">
        <is>
          <t>0759-0001</t>
        </is>
      </c>
      <c r="B252" s="27" t="inlineStr">
        <is>
          <t>Construcciones Ligeras Frin, S.A. de C.V.</t>
        </is>
      </c>
      <c r="C252" s="27" t="inlineStr">
        <is>
          <t>700 BIGHORN CREW CAB</t>
        </is>
      </c>
      <c r="D252" s="26" t="inlineStr">
        <is>
          <t>ACTIVO</t>
        </is>
      </c>
      <c r="E252" s="28" t="n">
        <v>36</v>
      </c>
      <c r="F252" s="29" t="inlineStr"/>
      <c r="G252" s="29" t="inlineStr"/>
      <c r="H252" s="29" t="inlineStr"/>
      <c r="I252" s="29" t="inlineStr"/>
      <c r="J252" s="29">
        <f>ROUND(Saldos_Cartera_Total!J252 + Saldo_Residual_Activo!M252, 2)</f>
        <v/>
      </c>
      <c r="K252" s="29">
        <f>ROUND(Saldos_Cartera_Total!K252 + Saldo_Residual_Activo!N252, 2)</f>
        <v/>
      </c>
      <c r="L252" s="29">
        <f>ROUND(Saldos_Cartera_Total!L252 + Saldo_Residual_Activo!O252, 2)</f>
        <v/>
      </c>
      <c r="M252" s="29">
        <f>ROUND(Saldos_Cartera_Total!M252 + Saldo_Residual_Activo!P252, 2)</f>
        <v/>
      </c>
      <c r="N252" s="29">
        <f>ROUND(Saldos_Cartera_Total!N252 + Saldo_Residual_Activo!Q252, 2)</f>
        <v/>
      </c>
      <c r="O252" s="29">
        <f>ROUND(Saldos_Cartera_Total!O252 + Saldo_Residual_Activo!R252, 2)</f>
        <v/>
      </c>
      <c r="P252" s="29">
        <f>ROUND(Saldos_Cartera_Total!P252 + Saldo_Residual_Activo!S252, 2)</f>
        <v/>
      </c>
      <c r="Q252" s="29">
        <f>ROUND(Saldos_Cartera_Total!Q252 + Saldo_Residual_Activo!T252, 2)</f>
        <v/>
      </c>
      <c r="R252" s="29">
        <f>MAX(F252:Q252)</f>
        <v/>
      </c>
    </row>
    <row r="253">
      <c r="A253" s="20" t="inlineStr">
        <is>
          <t>0759-0002</t>
        </is>
      </c>
      <c r="B253" s="21" t="inlineStr">
        <is>
          <t>Construcciones Ligeras Frin, S.A. de C.V.</t>
        </is>
      </c>
      <c r="C253" s="21" t="inlineStr">
        <is>
          <t>700 TRADESMAN CREW CAB</t>
        </is>
      </c>
      <c r="D253" s="20" t="inlineStr">
        <is>
          <t>ACTIVO</t>
        </is>
      </c>
      <c r="E253" s="22" t="n">
        <v>36</v>
      </c>
      <c r="F253" s="23" t="inlineStr"/>
      <c r="G253" s="23" t="inlineStr"/>
      <c r="H253" s="23" t="inlineStr"/>
      <c r="I253" s="23" t="inlineStr"/>
      <c r="J253" s="23">
        <f>ROUND(Saldos_Cartera_Total!J253 + Saldo_Residual_Activo!M253, 2)</f>
        <v/>
      </c>
      <c r="K253" s="23">
        <f>ROUND(Saldos_Cartera_Total!K253 + Saldo_Residual_Activo!N253, 2)</f>
        <v/>
      </c>
      <c r="L253" s="23">
        <f>ROUND(Saldos_Cartera_Total!L253 + Saldo_Residual_Activo!O253, 2)</f>
        <v/>
      </c>
      <c r="M253" s="23">
        <f>ROUND(Saldos_Cartera_Total!M253 + Saldo_Residual_Activo!P253, 2)</f>
        <v/>
      </c>
      <c r="N253" s="23">
        <f>ROUND(Saldos_Cartera_Total!N253 + Saldo_Residual_Activo!Q253, 2)</f>
        <v/>
      </c>
      <c r="O253" s="23">
        <f>ROUND(Saldos_Cartera_Total!O253 + Saldo_Residual_Activo!R253, 2)</f>
        <v/>
      </c>
      <c r="P253" s="23">
        <f>ROUND(Saldos_Cartera_Total!P253 + Saldo_Residual_Activo!S253, 2)</f>
        <v/>
      </c>
      <c r="Q253" s="23">
        <f>ROUND(Saldos_Cartera_Total!Q253 + Saldo_Residual_Activo!T253, 2)</f>
        <v/>
      </c>
      <c r="R253" s="23">
        <f>MAX(F253:Q253)</f>
        <v/>
      </c>
    </row>
    <row r="254">
      <c r="A254" s="26" t="inlineStr">
        <is>
          <t>0760-0001</t>
        </is>
      </c>
      <c r="B254" s="27" t="inlineStr">
        <is>
          <t>Armando Candelario Figueroa</t>
        </is>
      </c>
      <c r="C254" s="27" t="inlineStr">
        <is>
          <t>1200 TRADESMAN CHASIS CABINA</t>
        </is>
      </c>
      <c r="D254" s="26" t="inlineStr">
        <is>
          <t>ACTIVO</t>
        </is>
      </c>
      <c r="E254" s="28" t="n">
        <v>48</v>
      </c>
      <c r="F254" s="29" t="inlineStr"/>
      <c r="G254" s="29" t="inlineStr"/>
      <c r="H254" s="29" t="inlineStr"/>
      <c r="I254" s="29" t="inlineStr"/>
      <c r="J254" s="29">
        <f>ROUND(Saldos_Cartera_Total!J254 + Saldo_Residual_Activo!M254, 2)</f>
        <v/>
      </c>
      <c r="K254" s="29">
        <f>ROUND(Saldos_Cartera_Total!K254 + Saldo_Residual_Activo!N254, 2)</f>
        <v/>
      </c>
      <c r="L254" s="29">
        <f>ROUND(Saldos_Cartera_Total!L254 + Saldo_Residual_Activo!O254, 2)</f>
        <v/>
      </c>
      <c r="M254" s="29">
        <f>ROUND(Saldos_Cartera_Total!M254 + Saldo_Residual_Activo!P254, 2)</f>
        <v/>
      </c>
      <c r="N254" s="29">
        <f>ROUND(Saldos_Cartera_Total!N254 + Saldo_Residual_Activo!Q254, 2)</f>
        <v/>
      </c>
      <c r="O254" s="29">
        <f>ROUND(Saldos_Cartera_Total!O254 + Saldo_Residual_Activo!R254, 2)</f>
        <v/>
      </c>
      <c r="P254" s="29">
        <f>ROUND(Saldos_Cartera_Total!P254 + Saldo_Residual_Activo!S254, 2)</f>
        <v/>
      </c>
      <c r="Q254" s="29">
        <f>ROUND(Saldos_Cartera_Total!Q254 + Saldo_Residual_Activo!T254, 2)</f>
        <v/>
      </c>
      <c r="R254" s="29">
        <f>MAX(F254:Q254)</f>
        <v/>
      </c>
    </row>
    <row r="255">
      <c r="A255" s="20" t="inlineStr">
        <is>
          <t>0761-0001</t>
        </is>
      </c>
      <c r="B255" s="21" t="inlineStr">
        <is>
          <t>Total Experience Produce, S.A.P.I. de C.V.</t>
        </is>
      </c>
      <c r="C255" s="21" t="inlineStr">
        <is>
          <t>700 BIGHORN CREW CAB</t>
        </is>
      </c>
      <c r="D255" s="20" t="inlineStr">
        <is>
          <t>ACTIVO</t>
        </is>
      </c>
      <c r="E255" s="22" t="n">
        <v>48</v>
      </c>
      <c r="F255" s="23" t="inlineStr"/>
      <c r="G255" s="23" t="inlineStr"/>
      <c r="H255" s="23" t="inlineStr"/>
      <c r="I255" s="23" t="inlineStr"/>
      <c r="J255" s="23">
        <f>ROUND(Saldos_Cartera_Total!J255 + Saldo_Residual_Activo!M255, 2)</f>
        <v/>
      </c>
      <c r="K255" s="23">
        <f>ROUND(Saldos_Cartera_Total!K255 + Saldo_Residual_Activo!N255, 2)</f>
        <v/>
      </c>
      <c r="L255" s="23">
        <f>ROUND(Saldos_Cartera_Total!L255 + Saldo_Residual_Activo!O255, 2)</f>
        <v/>
      </c>
      <c r="M255" s="23">
        <f>ROUND(Saldos_Cartera_Total!M255 + Saldo_Residual_Activo!P255, 2)</f>
        <v/>
      </c>
      <c r="N255" s="23">
        <f>ROUND(Saldos_Cartera_Total!N255 + Saldo_Residual_Activo!Q255, 2)</f>
        <v/>
      </c>
      <c r="O255" s="23">
        <f>ROUND(Saldos_Cartera_Total!O255 + Saldo_Residual_Activo!R255, 2)</f>
        <v/>
      </c>
      <c r="P255" s="23">
        <f>ROUND(Saldos_Cartera_Total!P255 + Saldo_Residual_Activo!S255, 2)</f>
        <v/>
      </c>
      <c r="Q255" s="23">
        <f>ROUND(Saldos_Cartera_Total!Q255 + Saldo_Residual_Activo!T255, 2)</f>
        <v/>
      </c>
      <c r="R255" s="23">
        <f>MAX(F255:Q255)</f>
        <v/>
      </c>
    </row>
    <row r="256">
      <c r="A256" s="26" t="inlineStr">
        <is>
          <t>0763-0001</t>
        </is>
      </c>
      <c r="B256" s="27" t="inlineStr">
        <is>
          <t>Francisco Javier Fernández Gutiérrez</t>
        </is>
      </c>
      <c r="C256" s="27" t="inlineStr">
        <is>
          <t>1500 RHO</t>
        </is>
      </c>
      <c r="D256" s="26" t="inlineStr">
        <is>
          <t>ACTIVO</t>
        </is>
      </c>
      <c r="E256" s="28" t="n">
        <v>36</v>
      </c>
      <c r="F256" s="29" t="inlineStr"/>
      <c r="G256" s="29" t="inlineStr"/>
      <c r="H256" s="29" t="inlineStr"/>
      <c r="I256" s="29" t="inlineStr"/>
      <c r="J256" s="29">
        <f>ROUND(Saldos_Cartera_Total!J256 + Saldo_Residual_Activo!M256, 2)</f>
        <v/>
      </c>
      <c r="K256" s="29">
        <f>ROUND(Saldos_Cartera_Total!K256 + Saldo_Residual_Activo!N256, 2)</f>
        <v/>
      </c>
      <c r="L256" s="29">
        <f>ROUND(Saldos_Cartera_Total!L256 + Saldo_Residual_Activo!O256, 2)</f>
        <v/>
      </c>
      <c r="M256" s="29">
        <f>ROUND(Saldos_Cartera_Total!M256 + Saldo_Residual_Activo!P256, 2)</f>
        <v/>
      </c>
      <c r="N256" s="29">
        <f>ROUND(Saldos_Cartera_Total!N256 + Saldo_Residual_Activo!Q256, 2)</f>
        <v/>
      </c>
      <c r="O256" s="29">
        <f>ROUND(Saldos_Cartera_Total!O256 + Saldo_Residual_Activo!R256, 2)</f>
        <v/>
      </c>
      <c r="P256" s="29">
        <f>ROUND(Saldos_Cartera_Total!P256 + Saldo_Residual_Activo!S256, 2)</f>
        <v/>
      </c>
      <c r="Q256" s="29">
        <f>ROUND(Saldos_Cartera_Total!Q256 + Saldo_Residual_Activo!T256, 2)</f>
        <v/>
      </c>
      <c r="R256" s="29">
        <f>MAX(F256:Q256)</f>
        <v/>
      </c>
    </row>
    <row r="257">
      <c r="A257" s="20" t="inlineStr">
        <is>
          <t>0764-0001</t>
        </is>
      </c>
      <c r="B257" s="21" t="inlineStr">
        <is>
          <t>Inspectores Marítimos de México, S. de R.L. de C.V.</t>
        </is>
      </c>
      <c r="C257" s="21" t="inlineStr">
        <is>
          <t>1200 Bighorn</t>
        </is>
      </c>
      <c r="D257" s="20" t="inlineStr">
        <is>
          <t>ACTIVO</t>
        </is>
      </c>
      <c r="E257" s="22" t="n">
        <v>36</v>
      </c>
      <c r="F257" s="23" t="inlineStr"/>
      <c r="G257" s="23" t="inlineStr"/>
      <c r="H257" s="23" t="inlineStr"/>
      <c r="I257" s="23" t="inlineStr"/>
      <c r="J257" s="23" t="inlineStr"/>
      <c r="K257" s="23">
        <f>ROUND(Saldos_Cartera_Total!K257 + Saldo_Residual_Activo!N257, 2)</f>
        <v/>
      </c>
      <c r="L257" s="23">
        <f>ROUND(Saldos_Cartera_Total!L257 + Saldo_Residual_Activo!O257, 2)</f>
        <v/>
      </c>
      <c r="M257" s="23">
        <f>ROUND(Saldos_Cartera_Total!M257 + Saldo_Residual_Activo!P257, 2)</f>
        <v/>
      </c>
      <c r="N257" s="23">
        <f>ROUND(Saldos_Cartera_Total!N257 + Saldo_Residual_Activo!Q257, 2)</f>
        <v/>
      </c>
      <c r="O257" s="23">
        <f>ROUND(Saldos_Cartera_Total!O257 + Saldo_Residual_Activo!R257, 2)</f>
        <v/>
      </c>
      <c r="P257" s="23">
        <f>ROUND(Saldos_Cartera_Total!P257 + Saldo_Residual_Activo!S257, 2)</f>
        <v/>
      </c>
      <c r="Q257" s="23">
        <f>ROUND(Saldos_Cartera_Total!Q257 + Saldo_Residual_Activo!T257, 2)</f>
        <v/>
      </c>
      <c r="R257" s="23">
        <f>MAX(F257:Q257)</f>
        <v/>
      </c>
    </row>
    <row r="258">
      <c r="A258" s="26" t="inlineStr">
        <is>
          <t>0765-0001</t>
        </is>
      </c>
      <c r="B258" s="27" t="inlineStr">
        <is>
          <t>Rafael Soltero Sánchez</t>
        </is>
      </c>
      <c r="C258" s="27" t="inlineStr">
        <is>
          <t>1200 Bighorn</t>
        </is>
      </c>
      <c r="D258" s="26" t="inlineStr">
        <is>
          <t>ACTIVO</t>
        </is>
      </c>
      <c r="E258" s="28" t="n">
        <v>48</v>
      </c>
      <c r="F258" s="29" t="inlineStr"/>
      <c r="G258" s="29" t="inlineStr"/>
      <c r="H258" s="29" t="inlineStr"/>
      <c r="I258" s="29" t="inlineStr"/>
      <c r="J258" s="29" t="inlineStr"/>
      <c r="K258" s="29">
        <f>ROUND(Saldos_Cartera_Total!K258 + Saldo_Residual_Activo!N258, 2)</f>
        <v/>
      </c>
      <c r="L258" s="29">
        <f>ROUND(Saldos_Cartera_Total!L258 + Saldo_Residual_Activo!O258, 2)</f>
        <v/>
      </c>
      <c r="M258" s="29">
        <f>ROUND(Saldos_Cartera_Total!M258 + Saldo_Residual_Activo!P258, 2)</f>
        <v/>
      </c>
      <c r="N258" s="29">
        <f>ROUND(Saldos_Cartera_Total!N258 + Saldo_Residual_Activo!Q258, 2)</f>
        <v/>
      </c>
      <c r="O258" s="29">
        <f>ROUND(Saldos_Cartera_Total!O258 + Saldo_Residual_Activo!R258, 2)</f>
        <v/>
      </c>
      <c r="P258" s="29">
        <f>ROUND(Saldos_Cartera_Total!P258 + Saldo_Residual_Activo!S258, 2)</f>
        <v/>
      </c>
      <c r="Q258" s="29">
        <f>ROUND(Saldos_Cartera_Total!Q258 + Saldo_Residual_Activo!T258, 2)</f>
        <v/>
      </c>
      <c r="R258" s="29">
        <f>MAX(F258:Q258)</f>
        <v/>
      </c>
    </row>
    <row r="259">
      <c r="A259" s="20" t="inlineStr">
        <is>
          <t>0766-0001</t>
        </is>
      </c>
      <c r="B259" s="21" t="inlineStr">
        <is>
          <t>Javier Alejandro Carbajal Chávez</t>
        </is>
      </c>
      <c r="C259" s="21" t="inlineStr">
        <is>
          <t>Jt Rubicon</t>
        </is>
      </c>
      <c r="D259" s="20" t="inlineStr">
        <is>
          <t>ACTIVO</t>
        </is>
      </c>
      <c r="E259" s="22" t="n">
        <v>48</v>
      </c>
      <c r="F259" s="23" t="inlineStr"/>
      <c r="G259" s="23" t="inlineStr"/>
      <c r="H259" s="23" t="inlineStr"/>
      <c r="I259" s="23" t="inlineStr"/>
      <c r="J259" s="23" t="inlineStr"/>
      <c r="K259" s="23">
        <f>ROUND(Saldos_Cartera_Total!K259 + Saldo_Residual_Activo!N259, 2)</f>
        <v/>
      </c>
      <c r="L259" s="23">
        <f>ROUND(Saldos_Cartera_Total!L259 + Saldo_Residual_Activo!O259, 2)</f>
        <v/>
      </c>
      <c r="M259" s="23">
        <f>ROUND(Saldos_Cartera_Total!M259 + Saldo_Residual_Activo!P259, 2)</f>
        <v/>
      </c>
      <c r="N259" s="23">
        <f>ROUND(Saldos_Cartera_Total!N259 + Saldo_Residual_Activo!Q259, 2)</f>
        <v/>
      </c>
      <c r="O259" s="23">
        <f>ROUND(Saldos_Cartera_Total!O259 + Saldo_Residual_Activo!R259, 2)</f>
        <v/>
      </c>
      <c r="P259" s="23">
        <f>ROUND(Saldos_Cartera_Total!P259 + Saldo_Residual_Activo!S259, 2)</f>
        <v/>
      </c>
      <c r="Q259" s="23">
        <f>ROUND(Saldos_Cartera_Total!Q259 + Saldo_Residual_Activo!T259, 2)</f>
        <v/>
      </c>
      <c r="R259" s="23">
        <f>MAX(F259:Q259)</f>
        <v/>
      </c>
    </row>
    <row r="260">
      <c r="A260" s="26" t="inlineStr">
        <is>
          <t>0767-0001</t>
        </is>
      </c>
      <c r="B260" s="27" t="inlineStr">
        <is>
          <t>Carlos Alberto Gutiérrez Hermosillo López</t>
        </is>
      </c>
      <c r="C260" s="27" t="inlineStr">
        <is>
          <t>Commander Overland</t>
        </is>
      </c>
      <c r="D260" s="26" t="inlineStr">
        <is>
          <t>ACTIVO</t>
        </is>
      </c>
      <c r="E260" s="28" t="n">
        <v>48</v>
      </c>
      <c r="F260" s="29" t="inlineStr"/>
      <c r="G260" s="29" t="inlineStr"/>
      <c r="H260" s="29" t="inlineStr"/>
      <c r="I260" s="29" t="inlineStr"/>
      <c r="J260" s="29" t="inlineStr"/>
      <c r="K260" s="29">
        <f>ROUND(Saldos_Cartera_Total!K260 + Saldo_Residual_Activo!N260, 2)</f>
        <v/>
      </c>
      <c r="L260" s="29">
        <f>ROUND(Saldos_Cartera_Total!L260 + Saldo_Residual_Activo!O260, 2)</f>
        <v/>
      </c>
      <c r="M260" s="29">
        <f>ROUND(Saldos_Cartera_Total!M260 + Saldo_Residual_Activo!P260, 2)</f>
        <v/>
      </c>
      <c r="N260" s="29">
        <f>ROUND(Saldos_Cartera_Total!N260 + Saldo_Residual_Activo!Q260, 2)</f>
        <v/>
      </c>
      <c r="O260" s="29">
        <f>ROUND(Saldos_Cartera_Total!O260 + Saldo_Residual_Activo!R260, 2)</f>
        <v/>
      </c>
      <c r="P260" s="29">
        <f>ROUND(Saldos_Cartera_Total!P260 + Saldo_Residual_Activo!S260, 2)</f>
        <v/>
      </c>
      <c r="Q260" s="29">
        <f>ROUND(Saldos_Cartera_Total!Q260 + Saldo_Residual_Activo!T260, 2)</f>
        <v/>
      </c>
      <c r="R260" s="29">
        <f>MAX(F260:Q260)</f>
        <v/>
      </c>
    </row>
    <row r="261">
      <c r="A261" s="20" t="inlineStr">
        <is>
          <t>0768-0001</t>
        </is>
      </c>
      <c r="B261" s="21" t="inlineStr">
        <is>
          <t>Distribuidora y Comercializadora 2000, S.A. de C.V.</t>
        </is>
      </c>
      <c r="C261" s="21" t="inlineStr">
        <is>
          <t>Manager Furgon L4H2</t>
        </is>
      </c>
      <c r="D261" s="20" t="inlineStr">
        <is>
          <t>ACTIVO</t>
        </is>
      </c>
      <c r="E261" s="22" t="n">
        <v>12</v>
      </c>
      <c r="F261" s="23" t="inlineStr"/>
      <c r="G261" s="23" t="inlineStr"/>
      <c r="H261" s="23" t="inlineStr"/>
      <c r="I261" s="23" t="inlineStr"/>
      <c r="J261" s="23" t="inlineStr"/>
      <c r="K261" s="23">
        <f>ROUND(Saldos_Cartera_Total!K261 + Saldo_Residual_Activo!N261, 2)</f>
        <v/>
      </c>
      <c r="L261" s="23">
        <f>ROUND(Saldos_Cartera_Total!L261 + Saldo_Residual_Activo!O261, 2)</f>
        <v/>
      </c>
      <c r="M261" s="23">
        <f>ROUND(Saldos_Cartera_Total!M261 + Saldo_Residual_Activo!P261, 2)</f>
        <v/>
      </c>
      <c r="N261" s="23">
        <f>ROUND(Saldos_Cartera_Total!N261 + Saldo_Residual_Activo!Q261, 2)</f>
        <v/>
      </c>
      <c r="O261" s="23">
        <f>ROUND(Saldos_Cartera_Total!O261 + Saldo_Residual_Activo!R261, 2)</f>
        <v/>
      </c>
      <c r="P261" s="23">
        <f>ROUND(Saldos_Cartera_Total!P261 + Saldo_Residual_Activo!S261, 2)</f>
        <v/>
      </c>
      <c r="Q261" s="23">
        <f>ROUND(Saldos_Cartera_Total!Q261 + Saldo_Residual_Activo!T261, 2)</f>
        <v/>
      </c>
      <c r="R261" s="23">
        <f>MAX(F261:Q261)</f>
        <v/>
      </c>
    </row>
    <row r="262">
      <c r="A262" s="26" t="inlineStr">
        <is>
          <t>0768-0002</t>
        </is>
      </c>
      <c r="B262" s="27" t="inlineStr">
        <is>
          <t>Distribuidora y Comercializadora 2000, S.A. de C.V.</t>
        </is>
      </c>
      <c r="C262" s="27" t="inlineStr">
        <is>
          <t>Manager Furgon L4H2</t>
        </is>
      </c>
      <c r="D262" s="26" t="inlineStr">
        <is>
          <t>ACTIVO</t>
        </is>
      </c>
      <c r="E262" s="28" t="n">
        <v>12</v>
      </c>
      <c r="F262" s="29" t="inlineStr"/>
      <c r="G262" s="29" t="inlineStr"/>
      <c r="H262" s="29" t="inlineStr"/>
      <c r="I262" s="29" t="inlineStr"/>
      <c r="J262" s="29" t="inlineStr"/>
      <c r="K262" s="29">
        <f>ROUND(Saldos_Cartera_Total!K262 + Saldo_Residual_Activo!N262, 2)</f>
        <v/>
      </c>
      <c r="L262" s="29">
        <f>ROUND(Saldos_Cartera_Total!L262 + Saldo_Residual_Activo!O262, 2)</f>
        <v/>
      </c>
      <c r="M262" s="29">
        <f>ROUND(Saldos_Cartera_Total!M262 + Saldo_Residual_Activo!P262, 2)</f>
        <v/>
      </c>
      <c r="N262" s="29">
        <f>ROUND(Saldos_Cartera_Total!N262 + Saldo_Residual_Activo!Q262, 2)</f>
        <v/>
      </c>
      <c r="O262" s="29">
        <f>ROUND(Saldos_Cartera_Total!O262 + Saldo_Residual_Activo!R262, 2)</f>
        <v/>
      </c>
      <c r="P262" s="29">
        <f>ROUND(Saldos_Cartera_Total!P262 + Saldo_Residual_Activo!S262, 2)</f>
        <v/>
      </c>
      <c r="Q262" s="29">
        <f>ROUND(Saldos_Cartera_Total!Q262 + Saldo_Residual_Activo!T262, 2)</f>
        <v/>
      </c>
      <c r="R262" s="29">
        <f>MAX(F262:Q262)</f>
        <v/>
      </c>
    </row>
    <row r="263">
      <c r="A263" s="20" t="inlineStr">
        <is>
          <t>0769-0001</t>
        </is>
      </c>
      <c r="B263" s="21" t="inlineStr">
        <is>
          <t>Paloma Bernhardt Partida</t>
        </is>
      </c>
      <c r="C263" s="21" t="inlineStr">
        <is>
          <t>700 TRADESMAN CREW CAB</t>
        </is>
      </c>
      <c r="D263" s="20" t="inlineStr">
        <is>
          <t>ACTIVO</t>
        </is>
      </c>
      <c r="E263" s="22" t="n">
        <v>36</v>
      </c>
      <c r="F263" s="23" t="inlineStr"/>
      <c r="G263" s="23" t="inlineStr"/>
      <c r="H263" s="23" t="inlineStr"/>
      <c r="I263" s="23" t="inlineStr"/>
      <c r="J263" s="23" t="inlineStr"/>
      <c r="K263" s="23">
        <f>ROUND(Saldos_Cartera_Total!K263 + Saldo_Residual_Activo!N263, 2)</f>
        <v/>
      </c>
      <c r="L263" s="23">
        <f>ROUND(Saldos_Cartera_Total!L263 + Saldo_Residual_Activo!O263, 2)</f>
        <v/>
      </c>
      <c r="M263" s="23">
        <f>ROUND(Saldos_Cartera_Total!M263 + Saldo_Residual_Activo!P263, 2)</f>
        <v/>
      </c>
      <c r="N263" s="23">
        <f>ROUND(Saldos_Cartera_Total!N263 + Saldo_Residual_Activo!Q263, 2)</f>
        <v/>
      </c>
      <c r="O263" s="23">
        <f>ROUND(Saldos_Cartera_Total!O263 + Saldo_Residual_Activo!R263, 2)</f>
        <v/>
      </c>
      <c r="P263" s="23">
        <f>ROUND(Saldos_Cartera_Total!P263 + Saldo_Residual_Activo!S263, 2)</f>
        <v/>
      </c>
      <c r="Q263" s="23">
        <f>ROUND(Saldos_Cartera_Total!Q263 + Saldo_Residual_Activo!T263, 2)</f>
        <v/>
      </c>
      <c r="R263" s="23">
        <f>MAX(F263:Q263)</f>
        <v/>
      </c>
    </row>
    <row r="264">
      <c r="A264" s="26" t="inlineStr">
        <is>
          <t>0769-0002</t>
        </is>
      </c>
      <c r="B264" s="27" t="inlineStr">
        <is>
          <t>Paloma Bernhardt Partida</t>
        </is>
      </c>
      <c r="C264" s="27" t="inlineStr">
        <is>
          <t>Ram 700 Tradesman 2026</t>
        </is>
      </c>
      <c r="D264" s="26" t="inlineStr">
        <is>
          <t>ACTIVO</t>
        </is>
      </c>
      <c r="E264" s="28" t="n">
        <v>36</v>
      </c>
      <c r="F264" s="29" t="inlineStr"/>
      <c r="G264" s="29" t="inlineStr"/>
      <c r="H264" s="29" t="inlineStr"/>
      <c r="I264" s="29" t="inlineStr"/>
      <c r="J264" s="29" t="inlineStr"/>
      <c r="K264" s="29" t="inlineStr"/>
      <c r="L264" s="29" t="inlineStr"/>
      <c r="M264" s="29" t="inlineStr"/>
      <c r="N264" s="29">
        <f>ROUND(Saldos_Cartera_Total!N264 + Saldo_Residual_Activo!Q264, 2)</f>
        <v/>
      </c>
      <c r="O264" s="29">
        <f>ROUND(Saldos_Cartera_Total!O264 + Saldo_Residual_Activo!R264, 2)</f>
        <v/>
      </c>
      <c r="P264" s="29">
        <f>ROUND(Saldos_Cartera_Total!P264 + Saldo_Residual_Activo!S264, 2)</f>
        <v/>
      </c>
      <c r="Q264" s="29">
        <f>ROUND(Saldos_Cartera_Total!Q264 + Saldo_Residual_Activo!T264, 2)</f>
        <v/>
      </c>
      <c r="R264" s="29">
        <f>MAX(F264:Q264)</f>
        <v/>
      </c>
    </row>
    <row r="265">
      <c r="A265" s="20" t="inlineStr">
        <is>
          <t>0770-0001</t>
        </is>
      </c>
      <c r="B265" s="21" t="inlineStr">
        <is>
          <t>Jorge Octavio Micher Camarena</t>
        </is>
      </c>
      <c r="C265" s="21" t="inlineStr">
        <is>
          <t>Jeep Cherokee Overland 2026</t>
        </is>
      </c>
      <c r="D265" s="20" t="inlineStr">
        <is>
          <t>ACTIVO</t>
        </is>
      </c>
      <c r="E265" s="22" t="n">
        <v>36</v>
      </c>
      <c r="F265" s="23" t="inlineStr"/>
      <c r="G265" s="23" t="inlineStr"/>
      <c r="H265" s="23" t="inlineStr"/>
      <c r="I265" s="23" t="inlineStr"/>
      <c r="J265" s="23" t="inlineStr"/>
      <c r="K265" s="23" t="inlineStr"/>
      <c r="L265" s="23">
        <f>ROUND(Saldos_Cartera_Total!L265 + Saldo_Residual_Activo!O265, 2)</f>
        <v/>
      </c>
      <c r="M265" s="23">
        <f>ROUND(Saldos_Cartera_Total!M265 + Saldo_Residual_Activo!P265, 2)</f>
        <v/>
      </c>
      <c r="N265" s="23">
        <f>ROUND(Saldos_Cartera_Total!N265 + Saldo_Residual_Activo!Q265, 2)</f>
        <v/>
      </c>
      <c r="O265" s="23">
        <f>ROUND(Saldos_Cartera_Total!O265 + Saldo_Residual_Activo!R265, 2)</f>
        <v/>
      </c>
      <c r="P265" s="23">
        <f>ROUND(Saldos_Cartera_Total!P265 + Saldo_Residual_Activo!S265, 2)</f>
        <v/>
      </c>
      <c r="Q265" s="23">
        <f>ROUND(Saldos_Cartera_Total!Q265 + Saldo_Residual_Activo!T265, 2)</f>
        <v/>
      </c>
      <c r="R265" s="23">
        <f>MAX(F265:Q265)</f>
        <v/>
      </c>
    </row>
    <row r="266">
      <c r="A266" s="26" t="inlineStr">
        <is>
          <t>0771-0001</t>
        </is>
      </c>
      <c r="B266" s="27" t="inlineStr">
        <is>
          <t>Inbcom de Colima</t>
        </is>
      </c>
      <c r="C266" s="27" t="inlineStr">
        <is>
          <t>Ram 1200 Tradesman CC 2026</t>
        </is>
      </c>
      <c r="D266" s="26" t="inlineStr">
        <is>
          <t>ACTIVO</t>
        </is>
      </c>
      <c r="E266" s="28" t="n">
        <v>12</v>
      </c>
      <c r="F266" s="29" t="inlineStr"/>
      <c r="G266" s="29" t="inlineStr"/>
      <c r="H266" s="29" t="inlineStr"/>
      <c r="I266" s="29" t="inlineStr"/>
      <c r="J266" s="29" t="inlineStr"/>
      <c r="K266" s="29" t="inlineStr"/>
      <c r="L266" s="29">
        <f>ROUND(Saldos_Cartera_Total!L266 + Saldo_Residual_Activo!O266, 2)</f>
        <v/>
      </c>
      <c r="M266" s="29">
        <f>ROUND(Saldos_Cartera_Total!M266 + Saldo_Residual_Activo!P266, 2)</f>
        <v/>
      </c>
      <c r="N266" s="29">
        <f>ROUND(Saldos_Cartera_Total!N266 + Saldo_Residual_Activo!Q266, 2)</f>
        <v/>
      </c>
      <c r="O266" s="29">
        <f>ROUND(Saldos_Cartera_Total!O266 + Saldo_Residual_Activo!R266, 2)</f>
        <v/>
      </c>
      <c r="P266" s="29">
        <f>ROUND(Saldos_Cartera_Total!P266 + Saldo_Residual_Activo!S266, 2)</f>
        <v/>
      </c>
      <c r="Q266" s="29">
        <f>ROUND(Saldos_Cartera_Total!Q266 + Saldo_Residual_Activo!T266, 2)</f>
        <v/>
      </c>
      <c r="R266" s="29">
        <f>MAX(F266:Q266)</f>
        <v/>
      </c>
    </row>
    <row r="267">
      <c r="A267" s="20" t="inlineStr">
        <is>
          <t>0772-0001</t>
        </is>
      </c>
      <c r="B267" s="21" t="inlineStr">
        <is>
          <t>Logistica y Transporte de Carga LGT</t>
        </is>
      </c>
      <c r="C267" s="21" t="inlineStr">
        <is>
          <t>Ram 1200 Laramie 2026</t>
        </is>
      </c>
      <c r="D267" s="20" t="inlineStr">
        <is>
          <t>ACTIVO</t>
        </is>
      </c>
      <c r="E267" s="22" t="n">
        <v>48</v>
      </c>
      <c r="F267" s="23" t="inlineStr"/>
      <c r="G267" s="23" t="inlineStr"/>
      <c r="H267" s="23" t="inlineStr"/>
      <c r="I267" s="23" t="inlineStr"/>
      <c r="J267" s="23" t="inlineStr"/>
      <c r="K267" s="23" t="inlineStr"/>
      <c r="L267" s="23">
        <f>ROUND(Saldos_Cartera_Total!L267 + Saldo_Residual_Activo!O267, 2)</f>
        <v/>
      </c>
      <c r="M267" s="23">
        <f>ROUND(Saldos_Cartera_Total!M267 + Saldo_Residual_Activo!P267, 2)</f>
        <v/>
      </c>
      <c r="N267" s="23">
        <f>ROUND(Saldos_Cartera_Total!N267 + Saldo_Residual_Activo!Q267, 2)</f>
        <v/>
      </c>
      <c r="O267" s="23">
        <f>ROUND(Saldos_Cartera_Total!O267 + Saldo_Residual_Activo!R267, 2)</f>
        <v/>
      </c>
      <c r="P267" s="23">
        <f>ROUND(Saldos_Cartera_Total!P267 + Saldo_Residual_Activo!S267, 2)</f>
        <v/>
      </c>
      <c r="Q267" s="23">
        <f>ROUND(Saldos_Cartera_Total!Q267 + Saldo_Residual_Activo!T267, 2)</f>
        <v/>
      </c>
      <c r="R267" s="23">
        <f>MAX(F267:Q267)</f>
        <v/>
      </c>
    </row>
    <row r="268">
      <c r="A268" s="26" t="inlineStr">
        <is>
          <t>0773-0001</t>
        </is>
      </c>
      <c r="B268" s="27" t="inlineStr">
        <is>
          <t>Industrias Besthelg, S.A. de C.V.</t>
        </is>
      </c>
      <c r="C268" s="27" t="inlineStr">
        <is>
          <t>Peugeot Manager Furgon L2H2 2026</t>
        </is>
      </c>
      <c r="D268" s="26" t="inlineStr">
        <is>
          <t>ACTIVO</t>
        </is>
      </c>
      <c r="E268" s="28" t="n">
        <v>36</v>
      </c>
      <c r="F268" s="29" t="inlineStr"/>
      <c r="G268" s="29" t="inlineStr"/>
      <c r="H268" s="29" t="inlineStr"/>
      <c r="I268" s="29" t="inlineStr"/>
      <c r="J268" s="29" t="inlineStr"/>
      <c r="K268" s="29" t="inlineStr"/>
      <c r="L268" s="29" t="inlineStr"/>
      <c r="M268" s="29">
        <f>ROUND(Saldos_Cartera_Total!M268 + Saldo_Residual_Activo!P268, 2)</f>
        <v/>
      </c>
      <c r="N268" s="29">
        <f>ROUND(Saldos_Cartera_Total!N268 + Saldo_Residual_Activo!Q268, 2)</f>
        <v/>
      </c>
      <c r="O268" s="29">
        <f>ROUND(Saldos_Cartera_Total!O268 + Saldo_Residual_Activo!R268, 2)</f>
        <v/>
      </c>
      <c r="P268" s="29">
        <f>ROUND(Saldos_Cartera_Total!P268 + Saldo_Residual_Activo!S268, 2)</f>
        <v/>
      </c>
      <c r="Q268" s="29">
        <f>ROUND(Saldos_Cartera_Total!Q268 + Saldo_Residual_Activo!T268, 2)</f>
        <v/>
      </c>
      <c r="R268" s="29">
        <f>MAX(F268:Q268)</f>
        <v/>
      </c>
    </row>
    <row r="269">
      <c r="A269" s="20" t="inlineStr">
        <is>
          <t>0773-0002</t>
        </is>
      </c>
      <c r="B269" s="21" t="inlineStr">
        <is>
          <t>Industrias Besthelg, S.A. de C.V.</t>
        </is>
      </c>
      <c r="C269" s="21" t="inlineStr">
        <is>
          <t>Peugeot Manager L4H2 2027</t>
        </is>
      </c>
      <c r="D269" s="20" t="inlineStr">
        <is>
          <t>ACTIVO</t>
        </is>
      </c>
      <c r="E269" s="22" t="n">
        <v>36</v>
      </c>
      <c r="F269" s="23" t="inlineStr"/>
      <c r="G269" s="23" t="inlineStr"/>
      <c r="H269" s="23" t="inlineStr"/>
      <c r="I269" s="23" t="inlineStr"/>
      <c r="J269" s="23" t="inlineStr"/>
      <c r="K269" s="23" t="inlineStr"/>
      <c r="L269" s="23">
        <f>ROUND(Saldos_Cartera_Total!L269 + Saldo_Residual_Activo!O269, 2)</f>
        <v/>
      </c>
      <c r="M269" s="23">
        <f>ROUND(Saldos_Cartera_Total!M269 + Saldo_Residual_Activo!P269, 2)</f>
        <v/>
      </c>
      <c r="N269" s="23">
        <f>ROUND(Saldos_Cartera_Total!N269 + Saldo_Residual_Activo!Q269, 2)</f>
        <v/>
      </c>
      <c r="O269" s="23">
        <f>ROUND(Saldos_Cartera_Total!O269 + Saldo_Residual_Activo!R269, 2)</f>
        <v/>
      </c>
      <c r="P269" s="23">
        <f>ROUND(Saldos_Cartera_Total!P269 + Saldo_Residual_Activo!S269, 2)</f>
        <v/>
      </c>
      <c r="Q269" s="23">
        <f>ROUND(Saldos_Cartera_Total!Q269 + Saldo_Residual_Activo!T269, 2)</f>
        <v/>
      </c>
      <c r="R269" s="23">
        <f>MAX(F269:Q269)</f>
        <v/>
      </c>
    </row>
    <row r="270">
      <c r="A270" s="26" t="inlineStr">
        <is>
          <t>0774-0001</t>
        </is>
      </c>
      <c r="B270" s="27" t="inlineStr">
        <is>
          <t>Grupo Plastikrom</t>
        </is>
      </c>
      <c r="C270" s="27" t="inlineStr">
        <is>
          <t>Jeep Cherokee Overland 2026</t>
        </is>
      </c>
      <c r="D270" s="26" t="inlineStr">
        <is>
          <t>ACTIVO</t>
        </is>
      </c>
      <c r="E270" s="28" t="n">
        <v>24</v>
      </c>
      <c r="F270" s="29" t="inlineStr"/>
      <c r="G270" s="29" t="inlineStr"/>
      <c r="H270" s="29" t="inlineStr"/>
      <c r="I270" s="29" t="inlineStr"/>
      <c r="J270" s="29" t="inlineStr"/>
      <c r="K270" s="29" t="inlineStr"/>
      <c r="L270" s="29" t="inlineStr"/>
      <c r="M270" s="29">
        <f>ROUND(Saldos_Cartera_Total!M270 + Saldo_Residual_Activo!P270, 2)</f>
        <v/>
      </c>
      <c r="N270" s="29">
        <f>ROUND(Saldos_Cartera_Total!N270 + Saldo_Residual_Activo!Q270, 2)</f>
        <v/>
      </c>
      <c r="O270" s="29">
        <f>ROUND(Saldos_Cartera_Total!O270 + Saldo_Residual_Activo!R270, 2)</f>
        <v/>
      </c>
      <c r="P270" s="29">
        <f>ROUND(Saldos_Cartera_Total!P270 + Saldo_Residual_Activo!S270, 2)</f>
        <v/>
      </c>
      <c r="Q270" s="29">
        <f>ROUND(Saldos_Cartera_Total!Q270 + Saldo_Residual_Activo!T270, 2)</f>
        <v/>
      </c>
      <c r="R270" s="29">
        <f>MAX(F270:Q270)</f>
        <v/>
      </c>
    </row>
    <row r="271">
      <c r="A271" s="20" t="inlineStr">
        <is>
          <t>0775-0001</t>
        </is>
      </c>
      <c r="B271" s="21" t="inlineStr">
        <is>
          <t>Manuel Ledezma Iñiguez</t>
        </is>
      </c>
      <c r="C271" s="21" t="inlineStr">
        <is>
          <t>Leapmotor B10 2026</t>
        </is>
      </c>
      <c r="D271" s="20" t="inlineStr">
        <is>
          <t>ACTIVO</t>
        </is>
      </c>
      <c r="E271" s="22" t="n">
        <v>48</v>
      </c>
      <c r="F271" s="23" t="inlineStr"/>
      <c r="G271" s="23" t="inlineStr"/>
      <c r="H271" s="23" t="inlineStr"/>
      <c r="I271" s="23" t="inlineStr"/>
      <c r="J271" s="23" t="inlineStr"/>
      <c r="K271" s="23" t="inlineStr"/>
      <c r="L271" s="23" t="inlineStr"/>
      <c r="M271" s="23">
        <f>ROUND(Saldos_Cartera_Total!M271 + Saldo_Residual_Activo!P271, 2)</f>
        <v/>
      </c>
      <c r="N271" s="23">
        <f>ROUND(Saldos_Cartera_Total!N271 + Saldo_Residual_Activo!Q271, 2)</f>
        <v/>
      </c>
      <c r="O271" s="23">
        <f>ROUND(Saldos_Cartera_Total!O271 + Saldo_Residual_Activo!R271, 2)</f>
        <v/>
      </c>
      <c r="P271" s="23">
        <f>ROUND(Saldos_Cartera_Total!P271 + Saldo_Residual_Activo!S271, 2)</f>
        <v/>
      </c>
      <c r="Q271" s="23">
        <f>ROUND(Saldos_Cartera_Total!Q271 + Saldo_Residual_Activo!T271, 2)</f>
        <v/>
      </c>
      <c r="R271" s="23">
        <f>MAX(F271:Q271)</f>
        <v/>
      </c>
    </row>
    <row r="272">
      <c r="A272" s="26" t="inlineStr">
        <is>
          <t>0776-0001</t>
        </is>
      </c>
      <c r="B272" s="27" t="inlineStr">
        <is>
          <t>Armando Serna Hernández</t>
        </is>
      </c>
      <c r="C272" s="27" t="inlineStr">
        <is>
          <t>Jeep Grand Cherokee Limited 2026</t>
        </is>
      </c>
      <c r="D272" s="26" t="inlineStr">
        <is>
          <t>ACTIVO</t>
        </is>
      </c>
      <c r="E272" s="28" t="n">
        <v>48</v>
      </c>
      <c r="F272" s="29" t="inlineStr"/>
      <c r="G272" s="29" t="inlineStr"/>
      <c r="H272" s="29" t="inlineStr"/>
      <c r="I272" s="29" t="inlineStr"/>
      <c r="J272" s="29" t="inlineStr"/>
      <c r="K272" s="29" t="inlineStr"/>
      <c r="L272" s="29" t="inlineStr"/>
      <c r="M272" s="29">
        <f>ROUND(Saldos_Cartera_Total!M272 + Saldo_Residual_Activo!P272, 2)</f>
        <v/>
      </c>
      <c r="N272" s="29">
        <f>ROUND(Saldos_Cartera_Total!N272 + Saldo_Residual_Activo!Q272, 2)</f>
        <v/>
      </c>
      <c r="O272" s="29">
        <f>ROUND(Saldos_Cartera_Total!O272 + Saldo_Residual_Activo!R272, 2)</f>
        <v/>
      </c>
      <c r="P272" s="29">
        <f>ROUND(Saldos_Cartera_Total!P272 + Saldo_Residual_Activo!S272, 2)</f>
        <v/>
      </c>
      <c r="Q272" s="29">
        <f>ROUND(Saldos_Cartera_Total!Q272 + Saldo_Residual_Activo!T272, 2)</f>
        <v/>
      </c>
      <c r="R272" s="29">
        <f>MAX(F272:Q272)</f>
        <v/>
      </c>
    </row>
    <row r="273">
      <c r="A273" s="20" t="inlineStr">
        <is>
          <t>0777-0001</t>
        </is>
      </c>
      <c r="B273" s="21" t="inlineStr">
        <is>
          <t>Yazmin Alejandra Gomez Olivas</t>
        </is>
      </c>
      <c r="C273" s="21" t="inlineStr">
        <is>
          <t>Jeep Wrangler Rubicon 2026</t>
        </is>
      </c>
      <c r="D273" s="20" t="inlineStr">
        <is>
          <t>ACTIVO</t>
        </is>
      </c>
      <c r="E273" s="22" t="n">
        <v>48</v>
      </c>
      <c r="F273" s="23" t="inlineStr"/>
      <c r="G273" s="23" t="inlineStr"/>
      <c r="H273" s="23" t="inlineStr"/>
      <c r="I273" s="23" t="inlineStr"/>
      <c r="J273" s="23" t="inlineStr"/>
      <c r="K273" s="23" t="inlineStr"/>
      <c r="L273" s="23" t="inlineStr"/>
      <c r="M273" s="23">
        <f>ROUND(Saldos_Cartera_Total!M273 + Saldo_Residual_Activo!P273, 2)</f>
        <v/>
      </c>
      <c r="N273" s="23">
        <f>ROUND(Saldos_Cartera_Total!N273 + Saldo_Residual_Activo!Q273, 2)</f>
        <v/>
      </c>
      <c r="O273" s="23">
        <f>ROUND(Saldos_Cartera_Total!O273 + Saldo_Residual_Activo!R273, 2)</f>
        <v/>
      </c>
      <c r="P273" s="23">
        <f>ROUND(Saldos_Cartera_Total!P273 + Saldo_Residual_Activo!S273, 2)</f>
        <v/>
      </c>
      <c r="Q273" s="23">
        <f>ROUND(Saldos_Cartera_Total!Q273 + Saldo_Residual_Activo!T273, 2)</f>
        <v/>
      </c>
      <c r="R273" s="23">
        <f>MAX(F273:Q273)</f>
        <v/>
      </c>
    </row>
    <row r="274">
      <c r="A274" s="26" t="inlineStr">
        <is>
          <t>0778-0001</t>
        </is>
      </c>
      <c r="B274" s="27" t="inlineStr">
        <is>
          <t>Construcciones y Desarrollos Inmobile, S.A. de C.V.</t>
        </is>
      </c>
      <c r="C274" s="27" t="inlineStr">
        <is>
          <t>Mitsubishi L200 2026</t>
        </is>
      </c>
      <c r="D274" s="26" t="inlineStr">
        <is>
          <t>ACTIVO</t>
        </is>
      </c>
      <c r="E274" s="28" t="n">
        <v>24</v>
      </c>
      <c r="F274" s="29" t="inlineStr"/>
      <c r="G274" s="29" t="inlineStr"/>
      <c r="H274" s="29" t="inlineStr"/>
      <c r="I274" s="29" t="inlineStr"/>
      <c r="J274" s="29" t="inlineStr"/>
      <c r="K274" s="29" t="inlineStr"/>
      <c r="L274" s="29" t="inlineStr"/>
      <c r="M274" s="29">
        <f>ROUND(Saldos_Cartera_Total!M274 + Saldo_Residual_Activo!P274, 2)</f>
        <v/>
      </c>
      <c r="N274" s="29">
        <f>ROUND(Saldos_Cartera_Total!N274 + Saldo_Residual_Activo!Q274, 2)</f>
        <v/>
      </c>
      <c r="O274" s="29">
        <f>ROUND(Saldos_Cartera_Total!O274 + Saldo_Residual_Activo!R274, 2)</f>
        <v/>
      </c>
      <c r="P274" s="29">
        <f>ROUND(Saldos_Cartera_Total!P274 + Saldo_Residual_Activo!S274, 2)</f>
        <v/>
      </c>
      <c r="Q274" s="29">
        <f>ROUND(Saldos_Cartera_Total!Q274 + Saldo_Residual_Activo!T274, 2)</f>
        <v/>
      </c>
      <c r="R274" s="29">
        <f>MAX(F274:Q274)</f>
        <v/>
      </c>
    </row>
    <row r="275">
      <c r="A275" s="20" t="inlineStr">
        <is>
          <t>0779-0001</t>
        </is>
      </c>
      <c r="B275" s="21" t="inlineStr">
        <is>
          <t>Margarita Kaplun Mucharrafille</t>
        </is>
      </c>
      <c r="C275" s="21" t="inlineStr">
        <is>
          <t>Ram 700 Bighorn 2026</t>
        </is>
      </c>
      <c r="D275" s="20" t="inlineStr">
        <is>
          <t>ACTIVO</t>
        </is>
      </c>
      <c r="E275" s="22" t="n">
        <v>48</v>
      </c>
      <c r="F275" s="23" t="inlineStr"/>
      <c r="G275" s="23" t="inlineStr"/>
      <c r="H275" s="23" t="inlineStr"/>
      <c r="I275" s="23" t="inlineStr"/>
      <c r="J275" s="23" t="inlineStr"/>
      <c r="K275" s="23" t="inlineStr"/>
      <c r="L275" s="23" t="inlineStr"/>
      <c r="M275" s="23" t="inlineStr"/>
      <c r="N275" s="23">
        <f>ROUND(Saldos_Cartera_Total!N275 + Saldo_Residual_Activo!Q275, 2)</f>
        <v/>
      </c>
      <c r="O275" s="23">
        <f>ROUND(Saldos_Cartera_Total!O275 + Saldo_Residual_Activo!R275, 2)</f>
        <v/>
      </c>
      <c r="P275" s="23">
        <f>ROUND(Saldos_Cartera_Total!P275 + Saldo_Residual_Activo!S275, 2)</f>
        <v/>
      </c>
      <c r="Q275" s="23">
        <f>ROUND(Saldos_Cartera_Total!Q275 + Saldo_Residual_Activo!T275, 2)</f>
        <v/>
      </c>
      <c r="R275" s="23">
        <f>MAX(F275:Q275)</f>
        <v/>
      </c>
    </row>
    <row r="276">
      <c r="A276" s="26" t="inlineStr">
        <is>
          <t>0780-0001</t>
        </is>
      </c>
      <c r="B276" s="27" t="inlineStr">
        <is>
          <t>David Rosendo Cedeño Guerrero</t>
        </is>
      </c>
      <c r="C276" s="27" t="inlineStr">
        <is>
          <t>Suzuki Jimny 2027</t>
        </is>
      </c>
      <c r="D276" s="26" t="inlineStr">
        <is>
          <t>ACTIVO</t>
        </is>
      </c>
      <c r="E276" s="28" t="n">
        <v>48</v>
      </c>
      <c r="F276" s="29" t="inlineStr"/>
      <c r="G276" s="29" t="inlineStr"/>
      <c r="H276" s="29" t="inlineStr"/>
      <c r="I276" s="29" t="inlineStr"/>
      <c r="J276" s="29" t="inlineStr"/>
      <c r="K276" s="29" t="inlineStr"/>
      <c r="L276" s="29" t="inlineStr"/>
      <c r="M276" s="29" t="inlineStr"/>
      <c r="N276" s="29">
        <f>ROUND(Saldos_Cartera_Total!N276 + Saldo_Residual_Activo!Q276, 2)</f>
        <v/>
      </c>
      <c r="O276" s="29">
        <f>ROUND(Saldos_Cartera_Total!O276 + Saldo_Residual_Activo!R276, 2)</f>
        <v/>
      </c>
      <c r="P276" s="29">
        <f>ROUND(Saldos_Cartera_Total!P276 + Saldo_Residual_Activo!S276, 2)</f>
        <v/>
      </c>
      <c r="Q276" s="29">
        <f>ROUND(Saldos_Cartera_Total!Q276 + Saldo_Residual_Activo!T276, 2)</f>
        <v/>
      </c>
      <c r="R276" s="29">
        <f>MAX(F276:Q276)</f>
        <v/>
      </c>
    </row>
    <row r="277">
      <c r="A277" s="20" t="inlineStr">
        <is>
          <t>0781-0001</t>
        </is>
      </c>
      <c r="B277" s="21" t="inlineStr">
        <is>
          <t>Northstar Marine &amp; Civil, S.A. de C.V.</t>
        </is>
      </c>
      <c r="C277" s="21" t="inlineStr">
        <is>
          <t>Sany Motoniveladora 2026</t>
        </is>
      </c>
      <c r="D277" s="20" t="inlineStr">
        <is>
          <t>ACTIVO</t>
        </is>
      </c>
      <c r="E277" s="22" t="n">
        <v>24</v>
      </c>
      <c r="F277" s="23" t="inlineStr"/>
      <c r="G277" s="23" t="inlineStr"/>
      <c r="H277" s="23" t="inlineStr"/>
      <c r="I277" s="23" t="inlineStr"/>
      <c r="J277" s="23" t="inlineStr"/>
      <c r="K277" s="23" t="inlineStr"/>
      <c r="L277" s="23" t="inlineStr"/>
      <c r="M277" s="23" t="inlineStr"/>
      <c r="N277" s="23">
        <f>ROUND(Saldos_Cartera_Total!N277 + Saldo_Residual_Activo!Q277, 2)</f>
        <v/>
      </c>
      <c r="O277" s="23">
        <f>ROUND(Saldos_Cartera_Total!O277 + Saldo_Residual_Activo!R277, 2)</f>
        <v/>
      </c>
      <c r="P277" s="23">
        <f>ROUND(Saldos_Cartera_Total!P277 + Saldo_Residual_Activo!S277, 2)</f>
        <v/>
      </c>
      <c r="Q277" s="23">
        <f>ROUND(Saldos_Cartera_Total!Q277 + Saldo_Residual_Activo!T277, 2)</f>
        <v/>
      </c>
      <c r="R277" s="23">
        <f>MAX(F277:Q277)</f>
        <v/>
      </c>
    </row>
    <row r="278">
      <c r="A278" s="26" t="inlineStr">
        <is>
          <t>0783-0001</t>
        </is>
      </c>
      <c r="B278" s="27" t="inlineStr">
        <is>
          <t>Nuup Trading, S.A. de C.V.</t>
        </is>
      </c>
      <c r="C278" s="27" t="inlineStr">
        <is>
          <t>Jeep Renegade 2026</t>
        </is>
      </c>
      <c r="D278" s="26" t="inlineStr">
        <is>
          <t>ACTIVO</t>
        </is>
      </c>
      <c r="E278" s="28" t="n">
        <v>24</v>
      </c>
      <c r="F278" s="29" t="inlineStr"/>
      <c r="G278" s="29" t="inlineStr"/>
      <c r="H278" s="29" t="inlineStr"/>
      <c r="I278" s="29" t="inlineStr"/>
      <c r="J278" s="29" t="inlineStr"/>
      <c r="K278" s="29" t="inlineStr"/>
      <c r="L278" s="29" t="inlineStr"/>
      <c r="M278" s="29" t="inlineStr"/>
      <c r="N278" s="29">
        <f>ROUND(Saldos_Cartera_Total!N278 + Saldo_Residual_Activo!Q278, 2)</f>
        <v/>
      </c>
      <c r="O278" s="29">
        <f>ROUND(Saldos_Cartera_Total!O278 + Saldo_Residual_Activo!R278, 2)</f>
        <v/>
      </c>
      <c r="P278" s="29">
        <f>ROUND(Saldos_Cartera_Total!P278 + Saldo_Residual_Activo!S278, 2)</f>
        <v/>
      </c>
      <c r="Q278" s="29">
        <f>ROUND(Saldos_Cartera_Total!Q278 + Saldo_Residual_Activo!T278, 2)</f>
        <v/>
      </c>
      <c r="R278" s="29">
        <f>MAX(F278:Q278)</f>
        <v/>
      </c>
    </row>
    <row r="279">
      <c r="A279" s="20" t="inlineStr">
        <is>
          <t>0784-0001</t>
        </is>
      </c>
      <c r="B279" s="21" t="inlineStr">
        <is>
          <t>Enruta App, S.A. de C.V.</t>
        </is>
      </c>
      <c r="C279" s="21" t="inlineStr">
        <is>
          <t>Dodge Attitude GT 2026</t>
        </is>
      </c>
      <c r="D279" s="20" t="inlineStr">
        <is>
          <t>ACTIVO</t>
        </is>
      </c>
      <c r="E279" s="22" t="n">
        <v>12</v>
      </c>
      <c r="F279" s="23" t="inlineStr"/>
      <c r="G279" s="23" t="inlineStr"/>
      <c r="H279" s="23" t="inlineStr"/>
      <c r="I279" s="23" t="inlineStr"/>
      <c r="J279" s="23" t="inlineStr"/>
      <c r="K279" s="23" t="inlineStr"/>
      <c r="L279" s="23" t="inlineStr"/>
      <c r="M279" s="23" t="inlineStr"/>
      <c r="N279" s="23">
        <f>ROUND(Saldos_Cartera_Total!N279 + Saldo_Residual_Activo!Q279, 2)</f>
        <v/>
      </c>
      <c r="O279" s="23">
        <f>ROUND(Saldos_Cartera_Total!O279 + Saldo_Residual_Activo!R279, 2)</f>
        <v/>
      </c>
      <c r="P279" s="23">
        <f>ROUND(Saldos_Cartera_Total!P279 + Saldo_Residual_Activo!S279, 2)</f>
        <v/>
      </c>
      <c r="Q279" s="23">
        <f>ROUND(Saldos_Cartera_Total!Q279 + Saldo_Residual_Activo!T279, 2)</f>
        <v/>
      </c>
      <c r="R279" s="23">
        <f>MAX(F279:Q279)</f>
        <v/>
      </c>
    </row>
    <row r="280">
      <c r="A280" s="26" t="inlineStr">
        <is>
          <t>0785-0001</t>
        </is>
      </c>
      <c r="B280" s="27" t="inlineStr">
        <is>
          <t>Velazquez Guerrero y Asociados, S.C.</t>
        </is>
      </c>
      <c r="C280" s="27" t="inlineStr">
        <is>
          <t>Peugeot Rifter Allure Pack 2027</t>
        </is>
      </c>
      <c r="D280" s="26" t="inlineStr">
        <is>
          <t>ACTIVO</t>
        </is>
      </c>
      <c r="E280" s="28" t="n">
        <v>24</v>
      </c>
      <c r="F280" s="29" t="inlineStr"/>
      <c r="G280" s="29" t="inlineStr"/>
      <c r="H280" s="29" t="inlineStr"/>
      <c r="I280" s="29" t="inlineStr"/>
      <c r="J280" s="29" t="inlineStr"/>
      <c r="K280" s="29" t="inlineStr"/>
      <c r="L280" s="29" t="inlineStr"/>
      <c r="M280" s="29" t="inlineStr"/>
      <c r="N280" s="29">
        <f>ROUND(Saldos_Cartera_Total!N280 + Saldo_Residual_Activo!Q280, 2)</f>
        <v/>
      </c>
      <c r="O280" s="29">
        <f>ROUND(Saldos_Cartera_Total!O280 + Saldo_Residual_Activo!R280, 2)</f>
        <v/>
      </c>
      <c r="P280" s="29">
        <f>ROUND(Saldos_Cartera_Total!P280 + Saldo_Residual_Activo!S280, 2)</f>
        <v/>
      </c>
      <c r="Q280" s="29">
        <f>ROUND(Saldos_Cartera_Total!Q280 + Saldo_Residual_Activo!T280, 2)</f>
        <v/>
      </c>
      <c r="R280" s="29">
        <f>MAX(F280:Q280)</f>
        <v/>
      </c>
    </row>
    <row r="281">
      <c r="A281" s="20" t="inlineStr">
        <is>
          <t>0786-0001</t>
        </is>
      </c>
      <c r="B281" s="21" t="inlineStr">
        <is>
          <t>Consejería Jurídico Empresarial, S.C.</t>
        </is>
      </c>
      <c r="C281" s="21" t="inlineStr">
        <is>
          <t>Mitsubishi Outlander Sport Limited 2027</t>
        </is>
      </c>
      <c r="D281" s="20" t="inlineStr">
        <is>
          <t>ACTIVO</t>
        </is>
      </c>
      <c r="E281" s="22" t="n">
        <v>24</v>
      </c>
      <c r="F281" s="23" t="inlineStr"/>
      <c r="G281" s="23" t="inlineStr"/>
      <c r="H281" s="23" t="inlineStr"/>
      <c r="I281" s="23" t="inlineStr"/>
      <c r="J281" s="23" t="inlineStr"/>
      <c r="K281" s="23" t="inlineStr"/>
      <c r="L281" s="23" t="inlineStr"/>
      <c r="M281" s="23" t="inlineStr"/>
      <c r="N281" s="23">
        <f>ROUND(Saldos_Cartera_Total!N281 + Saldo_Residual_Activo!Q281, 2)</f>
        <v/>
      </c>
      <c r="O281" s="23">
        <f>ROUND(Saldos_Cartera_Total!O281 + Saldo_Residual_Activo!R281, 2)</f>
        <v/>
      </c>
      <c r="P281" s="23">
        <f>ROUND(Saldos_Cartera_Total!P281 + Saldo_Residual_Activo!S281, 2)</f>
        <v/>
      </c>
      <c r="Q281" s="23">
        <f>ROUND(Saldos_Cartera_Total!Q281 + Saldo_Residual_Activo!T281, 2)</f>
        <v/>
      </c>
      <c r="R281" s="23">
        <f>MAX(F281:Q281)</f>
        <v/>
      </c>
    </row>
    <row r="282">
      <c r="A282" s="32" t="inlineStr">
        <is>
          <t>TOTAL CARTERA</t>
        </is>
      </c>
      <c r="B282" s="33" t="inlineStr">
        <is>
          <t>277 Contratos</t>
        </is>
      </c>
      <c r="C282" s="34" t="n"/>
      <c r="D282" s="34" t="n"/>
      <c r="E282" s="34" t="n"/>
      <c r="F282" s="35">
        <f>SUM(F5:F281)</f>
        <v/>
      </c>
      <c r="G282" s="35">
        <f>SUM(G5:G281)</f>
        <v/>
      </c>
      <c r="H282" s="35">
        <f>SUM(H5:H281)</f>
        <v/>
      </c>
      <c r="I282" s="35">
        <f>SUM(I5:I281)</f>
        <v/>
      </c>
      <c r="J282" s="35">
        <f>SUM(J5:J281)</f>
        <v/>
      </c>
      <c r="K282" s="35">
        <f>SUM(K5:K281)</f>
        <v/>
      </c>
      <c r="L282" s="35">
        <f>SUM(L5:L281)</f>
        <v/>
      </c>
      <c r="M282" s="35">
        <f>SUM(M5:M281)</f>
        <v/>
      </c>
      <c r="N282" s="35">
        <f>SUM(N5:N281)</f>
        <v/>
      </c>
      <c r="O282" s="35">
        <f>SUM(O5:O281)</f>
        <v/>
      </c>
      <c r="P282" s="35">
        <f>SUM(P5:P281)</f>
        <v/>
      </c>
      <c r="Q282" s="35">
        <f>SUM(Q5:Q281)</f>
        <v/>
      </c>
      <c r="R282" s="35">
        <f>SUM(R5:R281)</f>
        <v/>
      </c>
    </row>
  </sheetData>
  <autoFilter ref="A4:R281"/>
  <mergeCells count="2">
    <mergeCell ref="A1:O1"/>
    <mergeCell ref="A2:O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8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2" customWidth="1" min="4" max="4"/>
    <col width="13" customWidth="1" min="5" max="5"/>
    <col width="15" customWidth="1" min="6" max="6"/>
    <col width="10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24" customHeight="1">
      <c r="A1" s="18" t="inlineStr">
        <is>
          <t>O-LEASING · UNA APP DE ORANGE CREW · Saldos Insolutos de Capital al Cierre de Cada Mes</t>
        </is>
      </c>
    </row>
    <row r="2" ht="16" customHeight="1">
      <c r="A2" s="3" t="inlineStr">
        <is>
          <t>Saldo insoluto de cartera activa al término de cada período contable · Auditoría Financiera NIF C-15 / IFRS 16 · Desarrollado por Orange Crew</t>
        </is>
      </c>
    </row>
    <row r="4">
      <c r="A4" s="47" t="inlineStr">
        <is>
          <t>ID_Contrato</t>
        </is>
      </c>
      <c r="B4" s="47" t="inlineStr">
        <is>
          <t>Cliente</t>
        </is>
      </c>
      <c r="C4" s="47" t="inlineStr">
        <is>
          <t>Vehiculo</t>
        </is>
      </c>
      <c r="D4" s="47" t="inlineStr">
        <is>
          <t>Estatus</t>
        </is>
      </c>
      <c r="E4" s="47" t="inlineStr">
        <is>
          <t>Fecha_Alta</t>
        </is>
      </c>
      <c r="F4" s="47" t="inlineStr">
        <is>
          <t>Fecha_Vencimiento</t>
        </is>
      </c>
      <c r="G4" s="47" t="inlineStr">
        <is>
          <t>Plazo</t>
        </is>
      </c>
      <c r="H4" s="47" t="inlineStr">
        <is>
          <t>Inversion_Neta</t>
        </is>
      </c>
      <c r="I4" s="47" t="inlineStr">
        <is>
          <t>2026-01</t>
        </is>
      </c>
      <c r="J4" s="47" t="inlineStr">
        <is>
          <t>2026-02</t>
        </is>
      </c>
      <c r="K4" s="47" t="inlineStr">
        <is>
          <t>2026-03</t>
        </is>
      </c>
      <c r="L4" s="47" t="inlineStr">
        <is>
          <t>2026-04</t>
        </is>
      </c>
      <c r="M4" s="47" t="inlineStr">
        <is>
          <t>2026-05</t>
        </is>
      </c>
      <c r="N4" s="47" t="inlineStr">
        <is>
          <t>2026-06</t>
        </is>
      </c>
      <c r="O4" s="47" t="inlineStr">
        <is>
          <t>2026-07</t>
        </is>
      </c>
      <c r="P4" s="47" t="inlineStr">
        <is>
          <t>2026-08</t>
        </is>
      </c>
      <c r="Q4" s="47" t="inlineStr">
        <is>
          <t>2026-09</t>
        </is>
      </c>
      <c r="R4" s="47" t="inlineStr">
        <is>
          <t>2026-10</t>
        </is>
      </c>
      <c r="S4" s="47" t="inlineStr">
        <is>
          <t>2026-11</t>
        </is>
      </c>
      <c r="T4" s="47" t="inlineStr">
        <is>
          <t>2026-12</t>
        </is>
      </c>
      <c r="U4" s="47" t="inlineStr">
        <is>
          <t>Saldo_Capital_Cierre</t>
        </is>
      </c>
    </row>
    <row r="5">
      <c r="A5" s="48">
        <f>Saldos_Capital_Mensual!A5</f>
        <v/>
      </c>
      <c r="B5" s="48">
        <f>Saldos_Capital_Mensual!B5</f>
        <v/>
      </c>
      <c r="C5" s="48">
        <f>Saldos_Capital_Mensual!C5</f>
        <v/>
      </c>
      <c r="D5" s="48">
        <f>Saldos_Capital_Mensual!D5</f>
        <v/>
      </c>
      <c r="E5" s="48">
        <f>Saldos_Capital_Mensual!E5</f>
        <v/>
      </c>
      <c r="F5" s="48">
        <f>Saldos_Capital_Mensual!F5</f>
        <v/>
      </c>
      <c r="G5" s="49">
        <f>Saldos_Capital_Mensual!G5</f>
        <v/>
      </c>
      <c r="H5" s="50">
        <f>Saldos_Capital_Mensual!H5</f>
        <v/>
      </c>
      <c r="I5" s="50">
        <f>Saldos_Capital_Mensual!I5</f>
        <v/>
      </c>
      <c r="J5" s="50">
        <f>Saldos_Capital_Mensual!J5</f>
        <v/>
      </c>
      <c r="K5" s="50">
        <f>Saldos_Capital_Mensual!K5</f>
        <v/>
      </c>
      <c r="L5" s="50">
        <f>Saldos_Capital_Mensual!L5</f>
        <v/>
      </c>
      <c r="M5" s="50">
        <f>Saldos_Capital_Mensual!M5</f>
        <v/>
      </c>
      <c r="N5" s="50">
        <f>Saldos_Capital_Mensual!N5</f>
        <v/>
      </c>
      <c r="O5" s="50">
        <f>Saldos_Capital_Mensual!O5</f>
        <v/>
      </c>
      <c r="P5" s="50">
        <f>Saldos_Capital_Mensual!P5</f>
        <v/>
      </c>
      <c r="Q5" s="50">
        <f>Saldos_Capital_Mensual!Q5</f>
        <v/>
      </c>
      <c r="R5" s="50">
        <f>Saldos_Capital_Mensual!R5</f>
        <v/>
      </c>
      <c r="S5" s="50">
        <f>Saldos_Capital_Mensual!S5</f>
        <v/>
      </c>
      <c r="T5" s="50">
        <f>Saldos_Capital_Mensual!T5</f>
        <v/>
      </c>
      <c r="U5" s="50">
        <f>Saldos_Capital_Mensual!U5</f>
        <v/>
      </c>
    </row>
    <row r="6">
      <c r="A6" s="48">
        <f>Saldos_Capital_Mensual!A6</f>
        <v/>
      </c>
      <c r="B6" s="48">
        <f>Saldos_Capital_Mensual!B6</f>
        <v/>
      </c>
      <c r="C6" s="48">
        <f>Saldos_Capital_Mensual!C6</f>
        <v/>
      </c>
      <c r="D6" s="48">
        <f>Saldos_Capital_Mensual!D6</f>
        <v/>
      </c>
      <c r="E6" s="48">
        <f>Saldos_Capital_Mensual!E6</f>
        <v/>
      </c>
      <c r="F6" s="48">
        <f>Saldos_Capital_Mensual!F6</f>
        <v/>
      </c>
      <c r="G6" s="49">
        <f>Saldos_Capital_Mensual!G6</f>
        <v/>
      </c>
      <c r="H6" s="50">
        <f>Saldos_Capital_Mensual!H6</f>
        <v/>
      </c>
      <c r="I6" s="50">
        <f>Saldos_Capital_Mensual!I6</f>
        <v/>
      </c>
      <c r="J6" s="50">
        <f>Saldos_Capital_Mensual!J6</f>
        <v/>
      </c>
      <c r="K6" s="50">
        <f>Saldos_Capital_Mensual!K6</f>
        <v/>
      </c>
      <c r="L6" s="50">
        <f>Saldos_Capital_Mensual!L6</f>
        <v/>
      </c>
      <c r="M6" s="50">
        <f>Saldos_Capital_Mensual!M6</f>
        <v/>
      </c>
      <c r="N6" s="50">
        <f>Saldos_Capital_Mensual!N6</f>
        <v/>
      </c>
      <c r="O6" s="50">
        <f>Saldos_Capital_Mensual!O6</f>
        <v/>
      </c>
      <c r="P6" s="50">
        <f>Saldos_Capital_Mensual!P6</f>
        <v/>
      </c>
      <c r="Q6" s="50">
        <f>Saldos_Capital_Mensual!Q6</f>
        <v/>
      </c>
      <c r="R6" s="50">
        <f>Saldos_Capital_Mensual!R6</f>
        <v/>
      </c>
      <c r="S6" s="50">
        <f>Saldos_Capital_Mensual!S6</f>
        <v/>
      </c>
      <c r="T6" s="50">
        <f>Saldos_Capital_Mensual!T6</f>
        <v/>
      </c>
      <c r="U6" s="50">
        <f>Saldos_Capital_Mensual!U6</f>
        <v/>
      </c>
    </row>
    <row r="7">
      <c r="A7" s="48">
        <f>Saldos_Capital_Mensual!A7</f>
        <v/>
      </c>
      <c r="B7" s="48">
        <f>Saldos_Capital_Mensual!B7</f>
        <v/>
      </c>
      <c r="C7" s="48">
        <f>Saldos_Capital_Mensual!C7</f>
        <v/>
      </c>
      <c r="D7" s="48">
        <f>Saldos_Capital_Mensual!D7</f>
        <v/>
      </c>
      <c r="E7" s="48">
        <f>Saldos_Capital_Mensual!E7</f>
        <v/>
      </c>
      <c r="F7" s="48">
        <f>Saldos_Capital_Mensual!F7</f>
        <v/>
      </c>
      <c r="G7" s="49">
        <f>Saldos_Capital_Mensual!G7</f>
        <v/>
      </c>
      <c r="H7" s="50">
        <f>Saldos_Capital_Mensual!H7</f>
        <v/>
      </c>
      <c r="I7" s="50">
        <f>Saldos_Capital_Mensual!I7</f>
        <v/>
      </c>
      <c r="J7" s="50">
        <f>Saldos_Capital_Mensual!J7</f>
        <v/>
      </c>
      <c r="K7" s="50">
        <f>Saldos_Capital_Mensual!K7</f>
        <v/>
      </c>
      <c r="L7" s="50">
        <f>Saldos_Capital_Mensual!L7</f>
        <v/>
      </c>
      <c r="M7" s="50">
        <f>Saldos_Capital_Mensual!M7</f>
        <v/>
      </c>
      <c r="N7" s="50">
        <f>Saldos_Capital_Mensual!N7</f>
        <v/>
      </c>
      <c r="O7" s="50">
        <f>Saldos_Capital_Mensual!O7</f>
        <v/>
      </c>
      <c r="P7" s="50">
        <f>Saldos_Capital_Mensual!P7</f>
        <v/>
      </c>
      <c r="Q7" s="50">
        <f>Saldos_Capital_Mensual!Q7</f>
        <v/>
      </c>
      <c r="R7" s="50">
        <f>Saldos_Capital_Mensual!R7</f>
        <v/>
      </c>
      <c r="S7" s="50">
        <f>Saldos_Capital_Mensual!S7</f>
        <v/>
      </c>
      <c r="T7" s="50">
        <f>Saldos_Capital_Mensual!T7</f>
        <v/>
      </c>
      <c r="U7" s="50">
        <f>Saldos_Capital_Mensual!U7</f>
        <v/>
      </c>
    </row>
    <row r="8">
      <c r="A8" s="48">
        <f>Saldos_Capital_Mensual!A8</f>
        <v/>
      </c>
      <c r="B8" s="48">
        <f>Saldos_Capital_Mensual!B8</f>
        <v/>
      </c>
      <c r="C8" s="48">
        <f>Saldos_Capital_Mensual!C8</f>
        <v/>
      </c>
      <c r="D8" s="48">
        <f>Saldos_Capital_Mensual!D8</f>
        <v/>
      </c>
      <c r="E8" s="48">
        <f>Saldos_Capital_Mensual!E8</f>
        <v/>
      </c>
      <c r="F8" s="48">
        <f>Saldos_Capital_Mensual!F8</f>
        <v/>
      </c>
      <c r="G8" s="49">
        <f>Saldos_Capital_Mensual!G8</f>
        <v/>
      </c>
      <c r="H8" s="50">
        <f>Saldos_Capital_Mensual!H8</f>
        <v/>
      </c>
      <c r="I8" s="50">
        <f>Saldos_Capital_Mensual!I8</f>
        <v/>
      </c>
      <c r="J8" s="50">
        <f>Saldos_Capital_Mensual!J8</f>
        <v/>
      </c>
      <c r="K8" s="50">
        <f>Saldos_Capital_Mensual!K8</f>
        <v/>
      </c>
      <c r="L8" s="50">
        <f>Saldos_Capital_Mensual!L8</f>
        <v/>
      </c>
      <c r="M8" s="50">
        <f>Saldos_Capital_Mensual!M8</f>
        <v/>
      </c>
      <c r="N8" s="50">
        <f>Saldos_Capital_Mensual!N8</f>
        <v/>
      </c>
      <c r="O8" s="50">
        <f>Saldos_Capital_Mensual!O8</f>
        <v/>
      </c>
      <c r="P8" s="50">
        <f>Saldos_Capital_Mensual!P8</f>
        <v/>
      </c>
      <c r="Q8" s="50">
        <f>Saldos_Capital_Mensual!Q8</f>
        <v/>
      </c>
      <c r="R8" s="50">
        <f>Saldos_Capital_Mensual!R8</f>
        <v/>
      </c>
      <c r="S8" s="50">
        <f>Saldos_Capital_Mensual!S8</f>
        <v/>
      </c>
      <c r="T8" s="50">
        <f>Saldos_Capital_Mensual!T8</f>
        <v/>
      </c>
      <c r="U8" s="50">
        <f>Saldos_Capital_Mensual!U8</f>
        <v/>
      </c>
    </row>
    <row r="9">
      <c r="A9" s="48">
        <f>Saldos_Capital_Mensual!A9</f>
        <v/>
      </c>
      <c r="B9" s="48">
        <f>Saldos_Capital_Mensual!B9</f>
        <v/>
      </c>
      <c r="C9" s="48">
        <f>Saldos_Capital_Mensual!C9</f>
        <v/>
      </c>
      <c r="D9" s="48">
        <f>Saldos_Capital_Mensual!D9</f>
        <v/>
      </c>
      <c r="E9" s="48">
        <f>Saldos_Capital_Mensual!E9</f>
        <v/>
      </c>
      <c r="F9" s="48">
        <f>Saldos_Capital_Mensual!F9</f>
        <v/>
      </c>
      <c r="G9" s="49">
        <f>Saldos_Capital_Mensual!G9</f>
        <v/>
      </c>
      <c r="H9" s="50">
        <f>Saldos_Capital_Mensual!H9</f>
        <v/>
      </c>
      <c r="I9" s="50">
        <f>Saldos_Capital_Mensual!I9</f>
        <v/>
      </c>
      <c r="J9" s="50">
        <f>Saldos_Capital_Mensual!J9</f>
        <v/>
      </c>
      <c r="K9" s="50">
        <f>Saldos_Capital_Mensual!K9</f>
        <v/>
      </c>
      <c r="L9" s="50">
        <f>Saldos_Capital_Mensual!L9</f>
        <v/>
      </c>
      <c r="M9" s="50">
        <f>Saldos_Capital_Mensual!M9</f>
        <v/>
      </c>
      <c r="N9" s="50">
        <f>Saldos_Capital_Mensual!N9</f>
        <v/>
      </c>
      <c r="O9" s="50">
        <f>Saldos_Capital_Mensual!O9</f>
        <v/>
      </c>
      <c r="P9" s="50">
        <f>Saldos_Capital_Mensual!P9</f>
        <v/>
      </c>
      <c r="Q9" s="50">
        <f>Saldos_Capital_Mensual!Q9</f>
        <v/>
      </c>
      <c r="R9" s="50">
        <f>Saldos_Capital_Mensual!R9</f>
        <v/>
      </c>
      <c r="S9" s="50">
        <f>Saldos_Capital_Mensual!S9</f>
        <v/>
      </c>
      <c r="T9" s="50">
        <f>Saldos_Capital_Mensual!T9</f>
        <v/>
      </c>
      <c r="U9" s="50">
        <f>Saldos_Capital_Mensual!U9</f>
        <v/>
      </c>
    </row>
    <row r="10">
      <c r="A10" s="48">
        <f>Saldos_Capital_Mensual!A10</f>
        <v/>
      </c>
      <c r="B10" s="48">
        <f>Saldos_Capital_Mensual!B10</f>
        <v/>
      </c>
      <c r="C10" s="48">
        <f>Saldos_Capital_Mensual!C10</f>
        <v/>
      </c>
      <c r="D10" s="48">
        <f>Saldos_Capital_Mensual!D10</f>
        <v/>
      </c>
      <c r="E10" s="48">
        <f>Saldos_Capital_Mensual!E10</f>
        <v/>
      </c>
      <c r="F10" s="48">
        <f>Saldos_Capital_Mensual!F10</f>
        <v/>
      </c>
      <c r="G10" s="49">
        <f>Saldos_Capital_Mensual!G10</f>
        <v/>
      </c>
      <c r="H10" s="50">
        <f>Saldos_Capital_Mensual!H10</f>
        <v/>
      </c>
      <c r="I10" s="50">
        <f>Saldos_Capital_Mensual!I10</f>
        <v/>
      </c>
      <c r="J10" s="50">
        <f>Saldos_Capital_Mensual!J10</f>
        <v/>
      </c>
      <c r="K10" s="50">
        <f>Saldos_Capital_Mensual!K10</f>
        <v/>
      </c>
      <c r="L10" s="50">
        <f>Saldos_Capital_Mensual!L10</f>
        <v/>
      </c>
      <c r="M10" s="50">
        <f>Saldos_Capital_Mensual!M10</f>
        <v/>
      </c>
      <c r="N10" s="50">
        <f>Saldos_Capital_Mensual!N10</f>
        <v/>
      </c>
      <c r="O10" s="50">
        <f>Saldos_Capital_Mensual!O10</f>
        <v/>
      </c>
      <c r="P10" s="50">
        <f>Saldos_Capital_Mensual!P10</f>
        <v/>
      </c>
      <c r="Q10" s="50">
        <f>Saldos_Capital_Mensual!Q10</f>
        <v/>
      </c>
      <c r="R10" s="50">
        <f>Saldos_Capital_Mensual!R10</f>
        <v/>
      </c>
      <c r="S10" s="50">
        <f>Saldos_Capital_Mensual!S10</f>
        <v/>
      </c>
      <c r="T10" s="50">
        <f>Saldos_Capital_Mensual!T10</f>
        <v/>
      </c>
      <c r="U10" s="50">
        <f>Saldos_Capital_Mensual!U10</f>
        <v/>
      </c>
    </row>
    <row r="11">
      <c r="A11" s="48">
        <f>Saldos_Capital_Mensual!A11</f>
        <v/>
      </c>
      <c r="B11" s="48">
        <f>Saldos_Capital_Mensual!B11</f>
        <v/>
      </c>
      <c r="C11" s="48">
        <f>Saldos_Capital_Mensual!C11</f>
        <v/>
      </c>
      <c r="D11" s="48">
        <f>Saldos_Capital_Mensual!D11</f>
        <v/>
      </c>
      <c r="E11" s="48">
        <f>Saldos_Capital_Mensual!E11</f>
        <v/>
      </c>
      <c r="F11" s="48">
        <f>Saldos_Capital_Mensual!F11</f>
        <v/>
      </c>
      <c r="G11" s="49">
        <f>Saldos_Capital_Mensual!G11</f>
        <v/>
      </c>
      <c r="H11" s="50">
        <f>Saldos_Capital_Mensual!H11</f>
        <v/>
      </c>
      <c r="I11" s="50">
        <f>Saldos_Capital_Mensual!I11</f>
        <v/>
      </c>
      <c r="J11" s="50">
        <f>Saldos_Capital_Mensual!J11</f>
        <v/>
      </c>
      <c r="K11" s="50">
        <f>Saldos_Capital_Mensual!K11</f>
        <v/>
      </c>
      <c r="L11" s="50">
        <f>Saldos_Capital_Mensual!L11</f>
        <v/>
      </c>
      <c r="M11" s="50">
        <f>Saldos_Capital_Mensual!M11</f>
        <v/>
      </c>
      <c r="N11" s="50">
        <f>Saldos_Capital_Mensual!N11</f>
        <v/>
      </c>
      <c r="O11" s="50">
        <f>Saldos_Capital_Mensual!O11</f>
        <v/>
      </c>
      <c r="P11" s="50">
        <f>Saldos_Capital_Mensual!P11</f>
        <v/>
      </c>
      <c r="Q11" s="50">
        <f>Saldos_Capital_Mensual!Q11</f>
        <v/>
      </c>
      <c r="R11" s="50">
        <f>Saldos_Capital_Mensual!R11</f>
        <v/>
      </c>
      <c r="S11" s="50">
        <f>Saldos_Capital_Mensual!S11</f>
        <v/>
      </c>
      <c r="T11" s="50">
        <f>Saldos_Capital_Mensual!T11</f>
        <v/>
      </c>
      <c r="U11" s="50">
        <f>Saldos_Capital_Mensual!U11</f>
        <v/>
      </c>
    </row>
    <row r="12">
      <c r="A12" s="48">
        <f>Saldos_Capital_Mensual!A12</f>
        <v/>
      </c>
      <c r="B12" s="48">
        <f>Saldos_Capital_Mensual!B12</f>
        <v/>
      </c>
      <c r="C12" s="48">
        <f>Saldos_Capital_Mensual!C12</f>
        <v/>
      </c>
      <c r="D12" s="48">
        <f>Saldos_Capital_Mensual!D12</f>
        <v/>
      </c>
      <c r="E12" s="48">
        <f>Saldos_Capital_Mensual!E12</f>
        <v/>
      </c>
      <c r="F12" s="48">
        <f>Saldos_Capital_Mensual!F12</f>
        <v/>
      </c>
      <c r="G12" s="49">
        <f>Saldos_Capital_Mensual!G12</f>
        <v/>
      </c>
      <c r="H12" s="50">
        <f>Saldos_Capital_Mensual!H12</f>
        <v/>
      </c>
      <c r="I12" s="50">
        <f>Saldos_Capital_Mensual!I12</f>
        <v/>
      </c>
      <c r="J12" s="50">
        <f>Saldos_Capital_Mensual!J12</f>
        <v/>
      </c>
      <c r="K12" s="50">
        <f>Saldos_Capital_Mensual!K12</f>
        <v/>
      </c>
      <c r="L12" s="50">
        <f>Saldos_Capital_Mensual!L12</f>
        <v/>
      </c>
      <c r="M12" s="50">
        <f>Saldos_Capital_Mensual!M12</f>
        <v/>
      </c>
      <c r="N12" s="50">
        <f>Saldos_Capital_Mensual!N12</f>
        <v/>
      </c>
      <c r="O12" s="50">
        <f>Saldos_Capital_Mensual!O12</f>
        <v/>
      </c>
      <c r="P12" s="50">
        <f>Saldos_Capital_Mensual!P12</f>
        <v/>
      </c>
      <c r="Q12" s="50">
        <f>Saldos_Capital_Mensual!Q12</f>
        <v/>
      </c>
      <c r="R12" s="50">
        <f>Saldos_Capital_Mensual!R12</f>
        <v/>
      </c>
      <c r="S12" s="50">
        <f>Saldos_Capital_Mensual!S12</f>
        <v/>
      </c>
      <c r="T12" s="50">
        <f>Saldos_Capital_Mensual!T12</f>
        <v/>
      </c>
      <c r="U12" s="50">
        <f>Saldos_Capital_Mensual!U12</f>
        <v/>
      </c>
    </row>
    <row r="13">
      <c r="A13" s="48">
        <f>Saldos_Capital_Mensual!A13</f>
        <v/>
      </c>
      <c r="B13" s="48">
        <f>Saldos_Capital_Mensual!B13</f>
        <v/>
      </c>
      <c r="C13" s="48">
        <f>Saldos_Capital_Mensual!C13</f>
        <v/>
      </c>
      <c r="D13" s="48">
        <f>Saldos_Capital_Mensual!D13</f>
        <v/>
      </c>
      <c r="E13" s="48">
        <f>Saldos_Capital_Mensual!E13</f>
        <v/>
      </c>
      <c r="F13" s="48">
        <f>Saldos_Capital_Mensual!F13</f>
        <v/>
      </c>
      <c r="G13" s="49">
        <f>Saldos_Capital_Mensual!G13</f>
        <v/>
      </c>
      <c r="H13" s="50">
        <f>Saldos_Capital_Mensual!H13</f>
        <v/>
      </c>
      <c r="I13" s="50">
        <f>Saldos_Capital_Mensual!I13</f>
        <v/>
      </c>
      <c r="J13" s="50">
        <f>Saldos_Capital_Mensual!J13</f>
        <v/>
      </c>
      <c r="K13" s="50">
        <f>Saldos_Capital_Mensual!K13</f>
        <v/>
      </c>
      <c r="L13" s="50">
        <f>Saldos_Capital_Mensual!L13</f>
        <v/>
      </c>
      <c r="M13" s="50">
        <f>Saldos_Capital_Mensual!M13</f>
        <v/>
      </c>
      <c r="N13" s="50">
        <f>Saldos_Capital_Mensual!N13</f>
        <v/>
      </c>
      <c r="O13" s="50">
        <f>Saldos_Capital_Mensual!O13</f>
        <v/>
      </c>
      <c r="P13" s="50">
        <f>Saldos_Capital_Mensual!P13</f>
        <v/>
      </c>
      <c r="Q13" s="50">
        <f>Saldos_Capital_Mensual!Q13</f>
        <v/>
      </c>
      <c r="R13" s="50">
        <f>Saldos_Capital_Mensual!R13</f>
        <v/>
      </c>
      <c r="S13" s="50">
        <f>Saldos_Capital_Mensual!S13</f>
        <v/>
      </c>
      <c r="T13" s="50">
        <f>Saldos_Capital_Mensual!T13</f>
        <v/>
      </c>
      <c r="U13" s="50">
        <f>Saldos_Capital_Mensual!U13</f>
        <v/>
      </c>
    </row>
    <row r="14">
      <c r="A14" s="48">
        <f>Saldos_Capital_Mensual!A14</f>
        <v/>
      </c>
      <c r="B14" s="48">
        <f>Saldos_Capital_Mensual!B14</f>
        <v/>
      </c>
      <c r="C14" s="48">
        <f>Saldos_Capital_Mensual!C14</f>
        <v/>
      </c>
      <c r="D14" s="48">
        <f>Saldos_Capital_Mensual!D14</f>
        <v/>
      </c>
      <c r="E14" s="48">
        <f>Saldos_Capital_Mensual!E14</f>
        <v/>
      </c>
      <c r="F14" s="48">
        <f>Saldos_Capital_Mensual!F14</f>
        <v/>
      </c>
      <c r="G14" s="49">
        <f>Saldos_Capital_Mensual!G14</f>
        <v/>
      </c>
      <c r="H14" s="50">
        <f>Saldos_Capital_Mensual!H14</f>
        <v/>
      </c>
      <c r="I14" s="50">
        <f>Saldos_Capital_Mensual!I14</f>
        <v/>
      </c>
      <c r="J14" s="50">
        <f>Saldos_Capital_Mensual!J14</f>
        <v/>
      </c>
      <c r="K14" s="50">
        <f>Saldos_Capital_Mensual!K14</f>
        <v/>
      </c>
      <c r="L14" s="50">
        <f>Saldos_Capital_Mensual!L14</f>
        <v/>
      </c>
      <c r="M14" s="50">
        <f>Saldos_Capital_Mensual!M14</f>
        <v/>
      </c>
      <c r="N14" s="50">
        <f>Saldos_Capital_Mensual!N14</f>
        <v/>
      </c>
      <c r="O14" s="50">
        <f>Saldos_Capital_Mensual!O14</f>
        <v/>
      </c>
      <c r="P14" s="50">
        <f>Saldos_Capital_Mensual!P14</f>
        <v/>
      </c>
      <c r="Q14" s="50">
        <f>Saldos_Capital_Mensual!Q14</f>
        <v/>
      </c>
      <c r="R14" s="50">
        <f>Saldos_Capital_Mensual!R14</f>
        <v/>
      </c>
      <c r="S14" s="50">
        <f>Saldos_Capital_Mensual!S14</f>
        <v/>
      </c>
      <c r="T14" s="50">
        <f>Saldos_Capital_Mensual!T14</f>
        <v/>
      </c>
      <c r="U14" s="50">
        <f>Saldos_Capital_Mensual!U14</f>
        <v/>
      </c>
    </row>
    <row r="15">
      <c r="A15" s="48">
        <f>Saldos_Capital_Mensual!A15</f>
        <v/>
      </c>
      <c r="B15" s="48">
        <f>Saldos_Capital_Mensual!B15</f>
        <v/>
      </c>
      <c r="C15" s="48">
        <f>Saldos_Capital_Mensual!C15</f>
        <v/>
      </c>
      <c r="D15" s="48">
        <f>Saldos_Capital_Mensual!D15</f>
        <v/>
      </c>
      <c r="E15" s="48">
        <f>Saldos_Capital_Mensual!E15</f>
        <v/>
      </c>
      <c r="F15" s="48">
        <f>Saldos_Capital_Mensual!F15</f>
        <v/>
      </c>
      <c r="G15" s="49">
        <f>Saldos_Capital_Mensual!G15</f>
        <v/>
      </c>
      <c r="H15" s="50">
        <f>Saldos_Capital_Mensual!H15</f>
        <v/>
      </c>
      <c r="I15" s="50">
        <f>Saldos_Capital_Mensual!I15</f>
        <v/>
      </c>
      <c r="J15" s="50">
        <f>Saldos_Capital_Mensual!J15</f>
        <v/>
      </c>
      <c r="K15" s="50">
        <f>Saldos_Capital_Mensual!K15</f>
        <v/>
      </c>
      <c r="L15" s="50">
        <f>Saldos_Capital_Mensual!L15</f>
        <v/>
      </c>
      <c r="M15" s="50">
        <f>Saldos_Capital_Mensual!M15</f>
        <v/>
      </c>
      <c r="N15" s="50">
        <f>Saldos_Capital_Mensual!N15</f>
        <v/>
      </c>
      <c r="O15" s="50">
        <f>Saldos_Capital_Mensual!O15</f>
        <v/>
      </c>
      <c r="P15" s="50">
        <f>Saldos_Capital_Mensual!P15</f>
        <v/>
      </c>
      <c r="Q15" s="50">
        <f>Saldos_Capital_Mensual!Q15</f>
        <v/>
      </c>
      <c r="R15" s="50">
        <f>Saldos_Capital_Mensual!R15</f>
        <v/>
      </c>
      <c r="S15" s="50">
        <f>Saldos_Capital_Mensual!S15</f>
        <v/>
      </c>
      <c r="T15" s="50">
        <f>Saldos_Capital_Mensual!T15</f>
        <v/>
      </c>
      <c r="U15" s="50">
        <f>Saldos_Capital_Mensual!U15</f>
        <v/>
      </c>
    </row>
    <row r="16">
      <c r="A16" s="48">
        <f>Saldos_Capital_Mensual!A16</f>
        <v/>
      </c>
      <c r="B16" s="48">
        <f>Saldos_Capital_Mensual!B16</f>
        <v/>
      </c>
      <c r="C16" s="48">
        <f>Saldos_Capital_Mensual!C16</f>
        <v/>
      </c>
      <c r="D16" s="48">
        <f>Saldos_Capital_Mensual!D16</f>
        <v/>
      </c>
      <c r="E16" s="48">
        <f>Saldos_Capital_Mensual!E16</f>
        <v/>
      </c>
      <c r="F16" s="48">
        <f>Saldos_Capital_Mensual!F16</f>
        <v/>
      </c>
      <c r="G16" s="49">
        <f>Saldos_Capital_Mensual!G16</f>
        <v/>
      </c>
      <c r="H16" s="50">
        <f>Saldos_Capital_Mensual!H16</f>
        <v/>
      </c>
      <c r="I16" s="50">
        <f>Saldos_Capital_Mensual!I16</f>
        <v/>
      </c>
      <c r="J16" s="50">
        <f>Saldos_Capital_Mensual!J16</f>
        <v/>
      </c>
      <c r="K16" s="50">
        <f>Saldos_Capital_Mensual!K16</f>
        <v/>
      </c>
      <c r="L16" s="50">
        <f>Saldos_Capital_Mensual!L16</f>
        <v/>
      </c>
      <c r="M16" s="50">
        <f>Saldos_Capital_Mensual!M16</f>
        <v/>
      </c>
      <c r="N16" s="50">
        <f>Saldos_Capital_Mensual!N16</f>
        <v/>
      </c>
      <c r="O16" s="50">
        <f>Saldos_Capital_Mensual!O16</f>
        <v/>
      </c>
      <c r="P16" s="50">
        <f>Saldos_Capital_Mensual!P16</f>
        <v/>
      </c>
      <c r="Q16" s="50">
        <f>Saldos_Capital_Mensual!Q16</f>
        <v/>
      </c>
      <c r="R16" s="50">
        <f>Saldos_Capital_Mensual!R16</f>
        <v/>
      </c>
      <c r="S16" s="50">
        <f>Saldos_Capital_Mensual!S16</f>
        <v/>
      </c>
      <c r="T16" s="50">
        <f>Saldos_Capital_Mensual!T16</f>
        <v/>
      </c>
      <c r="U16" s="50">
        <f>Saldos_Capital_Mensual!U16</f>
        <v/>
      </c>
    </row>
    <row r="17">
      <c r="A17" s="48">
        <f>Saldos_Capital_Mensual!A17</f>
        <v/>
      </c>
      <c r="B17" s="48">
        <f>Saldos_Capital_Mensual!B17</f>
        <v/>
      </c>
      <c r="C17" s="48">
        <f>Saldos_Capital_Mensual!C17</f>
        <v/>
      </c>
      <c r="D17" s="48">
        <f>Saldos_Capital_Mensual!D17</f>
        <v/>
      </c>
      <c r="E17" s="48">
        <f>Saldos_Capital_Mensual!E17</f>
        <v/>
      </c>
      <c r="F17" s="48">
        <f>Saldos_Capital_Mensual!F17</f>
        <v/>
      </c>
      <c r="G17" s="49">
        <f>Saldos_Capital_Mensual!G17</f>
        <v/>
      </c>
      <c r="H17" s="50">
        <f>Saldos_Capital_Mensual!H17</f>
        <v/>
      </c>
      <c r="I17" s="50">
        <f>Saldos_Capital_Mensual!I17</f>
        <v/>
      </c>
      <c r="J17" s="50">
        <f>Saldos_Capital_Mensual!J17</f>
        <v/>
      </c>
      <c r="K17" s="50">
        <f>Saldos_Capital_Mensual!K17</f>
        <v/>
      </c>
      <c r="L17" s="50">
        <f>Saldos_Capital_Mensual!L17</f>
        <v/>
      </c>
      <c r="M17" s="50">
        <f>Saldos_Capital_Mensual!M17</f>
        <v/>
      </c>
      <c r="N17" s="50">
        <f>Saldos_Capital_Mensual!N17</f>
        <v/>
      </c>
      <c r="O17" s="50">
        <f>Saldos_Capital_Mensual!O17</f>
        <v/>
      </c>
      <c r="P17" s="50">
        <f>Saldos_Capital_Mensual!P17</f>
        <v/>
      </c>
      <c r="Q17" s="50">
        <f>Saldos_Capital_Mensual!Q17</f>
        <v/>
      </c>
      <c r="R17" s="50">
        <f>Saldos_Capital_Mensual!R17</f>
        <v/>
      </c>
      <c r="S17" s="50">
        <f>Saldos_Capital_Mensual!S17</f>
        <v/>
      </c>
      <c r="T17" s="50">
        <f>Saldos_Capital_Mensual!T17</f>
        <v/>
      </c>
      <c r="U17" s="50">
        <f>Saldos_Capital_Mensual!U17</f>
        <v/>
      </c>
    </row>
    <row r="18">
      <c r="A18" s="48">
        <f>Saldos_Capital_Mensual!A18</f>
        <v/>
      </c>
      <c r="B18" s="48">
        <f>Saldos_Capital_Mensual!B18</f>
        <v/>
      </c>
      <c r="C18" s="48">
        <f>Saldos_Capital_Mensual!C18</f>
        <v/>
      </c>
      <c r="D18" s="48">
        <f>Saldos_Capital_Mensual!D18</f>
        <v/>
      </c>
      <c r="E18" s="48">
        <f>Saldos_Capital_Mensual!E18</f>
        <v/>
      </c>
      <c r="F18" s="48">
        <f>Saldos_Capital_Mensual!F18</f>
        <v/>
      </c>
      <c r="G18" s="49">
        <f>Saldos_Capital_Mensual!G18</f>
        <v/>
      </c>
      <c r="H18" s="50">
        <f>Saldos_Capital_Mensual!H18</f>
        <v/>
      </c>
      <c r="I18" s="50">
        <f>Saldos_Capital_Mensual!I18</f>
        <v/>
      </c>
      <c r="J18" s="50">
        <f>Saldos_Capital_Mensual!J18</f>
        <v/>
      </c>
      <c r="K18" s="50">
        <f>Saldos_Capital_Mensual!K18</f>
        <v/>
      </c>
      <c r="L18" s="50">
        <f>Saldos_Capital_Mensual!L18</f>
        <v/>
      </c>
      <c r="M18" s="50">
        <f>Saldos_Capital_Mensual!M18</f>
        <v/>
      </c>
      <c r="N18" s="50">
        <f>Saldos_Capital_Mensual!N18</f>
        <v/>
      </c>
      <c r="O18" s="50">
        <f>Saldos_Capital_Mensual!O18</f>
        <v/>
      </c>
      <c r="P18" s="50">
        <f>Saldos_Capital_Mensual!P18</f>
        <v/>
      </c>
      <c r="Q18" s="50">
        <f>Saldos_Capital_Mensual!Q18</f>
        <v/>
      </c>
      <c r="R18" s="50">
        <f>Saldos_Capital_Mensual!R18</f>
        <v/>
      </c>
      <c r="S18" s="50">
        <f>Saldos_Capital_Mensual!S18</f>
        <v/>
      </c>
      <c r="T18" s="50">
        <f>Saldos_Capital_Mensual!T18</f>
        <v/>
      </c>
      <c r="U18" s="50">
        <f>Saldos_Capital_Mensual!U18</f>
        <v/>
      </c>
    </row>
    <row r="19">
      <c r="A19" s="48">
        <f>Saldos_Capital_Mensual!A19</f>
        <v/>
      </c>
      <c r="B19" s="48">
        <f>Saldos_Capital_Mensual!B19</f>
        <v/>
      </c>
      <c r="C19" s="48">
        <f>Saldos_Capital_Mensual!C19</f>
        <v/>
      </c>
      <c r="D19" s="48">
        <f>Saldos_Capital_Mensual!D19</f>
        <v/>
      </c>
      <c r="E19" s="48">
        <f>Saldos_Capital_Mensual!E19</f>
        <v/>
      </c>
      <c r="F19" s="48">
        <f>Saldos_Capital_Mensual!F19</f>
        <v/>
      </c>
      <c r="G19" s="49">
        <f>Saldos_Capital_Mensual!G19</f>
        <v/>
      </c>
      <c r="H19" s="50">
        <f>Saldos_Capital_Mensual!H19</f>
        <v/>
      </c>
      <c r="I19" s="50">
        <f>Saldos_Capital_Mensual!I19</f>
        <v/>
      </c>
      <c r="J19" s="50">
        <f>Saldos_Capital_Mensual!J19</f>
        <v/>
      </c>
      <c r="K19" s="50">
        <f>Saldos_Capital_Mensual!K19</f>
        <v/>
      </c>
      <c r="L19" s="50">
        <f>Saldos_Capital_Mensual!L19</f>
        <v/>
      </c>
      <c r="M19" s="50">
        <f>Saldos_Capital_Mensual!M19</f>
        <v/>
      </c>
      <c r="N19" s="50">
        <f>Saldos_Capital_Mensual!N19</f>
        <v/>
      </c>
      <c r="O19" s="50">
        <f>Saldos_Capital_Mensual!O19</f>
        <v/>
      </c>
      <c r="P19" s="50">
        <f>Saldos_Capital_Mensual!P19</f>
        <v/>
      </c>
      <c r="Q19" s="50">
        <f>Saldos_Capital_Mensual!Q19</f>
        <v/>
      </c>
      <c r="R19" s="50">
        <f>Saldos_Capital_Mensual!R19</f>
        <v/>
      </c>
      <c r="S19" s="50">
        <f>Saldos_Capital_Mensual!S19</f>
        <v/>
      </c>
      <c r="T19" s="50">
        <f>Saldos_Capital_Mensual!T19</f>
        <v/>
      </c>
      <c r="U19" s="50">
        <f>Saldos_Capital_Mensual!U19</f>
        <v/>
      </c>
    </row>
    <row r="20">
      <c r="A20" s="48">
        <f>Saldos_Capital_Mensual!A20</f>
        <v/>
      </c>
      <c r="B20" s="48">
        <f>Saldos_Capital_Mensual!B20</f>
        <v/>
      </c>
      <c r="C20" s="48">
        <f>Saldos_Capital_Mensual!C20</f>
        <v/>
      </c>
      <c r="D20" s="48">
        <f>Saldos_Capital_Mensual!D20</f>
        <v/>
      </c>
      <c r="E20" s="48">
        <f>Saldos_Capital_Mensual!E20</f>
        <v/>
      </c>
      <c r="F20" s="48">
        <f>Saldos_Capital_Mensual!F20</f>
        <v/>
      </c>
      <c r="G20" s="49">
        <f>Saldos_Capital_Mensual!G20</f>
        <v/>
      </c>
      <c r="H20" s="50">
        <f>Saldos_Capital_Mensual!H20</f>
        <v/>
      </c>
      <c r="I20" s="50">
        <f>Saldos_Capital_Mensual!I20</f>
        <v/>
      </c>
      <c r="J20" s="50">
        <f>Saldos_Capital_Mensual!J20</f>
        <v/>
      </c>
      <c r="K20" s="50">
        <f>Saldos_Capital_Mensual!K20</f>
        <v/>
      </c>
      <c r="L20" s="50">
        <f>Saldos_Capital_Mensual!L20</f>
        <v/>
      </c>
      <c r="M20" s="50">
        <f>Saldos_Capital_Mensual!M20</f>
        <v/>
      </c>
      <c r="N20" s="50">
        <f>Saldos_Capital_Mensual!N20</f>
        <v/>
      </c>
      <c r="O20" s="50">
        <f>Saldos_Capital_Mensual!O20</f>
        <v/>
      </c>
      <c r="P20" s="50">
        <f>Saldos_Capital_Mensual!P20</f>
        <v/>
      </c>
      <c r="Q20" s="50">
        <f>Saldos_Capital_Mensual!Q20</f>
        <v/>
      </c>
      <c r="R20" s="50">
        <f>Saldos_Capital_Mensual!R20</f>
        <v/>
      </c>
      <c r="S20" s="50">
        <f>Saldos_Capital_Mensual!S20</f>
        <v/>
      </c>
      <c r="T20" s="50">
        <f>Saldos_Capital_Mensual!T20</f>
        <v/>
      </c>
      <c r="U20" s="50">
        <f>Saldos_Capital_Mensual!U20</f>
        <v/>
      </c>
    </row>
    <row r="21">
      <c r="A21" s="48">
        <f>Saldos_Capital_Mensual!A21</f>
        <v/>
      </c>
      <c r="B21" s="48">
        <f>Saldos_Capital_Mensual!B21</f>
        <v/>
      </c>
      <c r="C21" s="48">
        <f>Saldos_Capital_Mensual!C21</f>
        <v/>
      </c>
      <c r="D21" s="48">
        <f>Saldos_Capital_Mensual!D21</f>
        <v/>
      </c>
      <c r="E21" s="48">
        <f>Saldos_Capital_Mensual!E21</f>
        <v/>
      </c>
      <c r="F21" s="48">
        <f>Saldos_Capital_Mensual!F21</f>
        <v/>
      </c>
      <c r="G21" s="49">
        <f>Saldos_Capital_Mensual!G21</f>
        <v/>
      </c>
      <c r="H21" s="50">
        <f>Saldos_Capital_Mensual!H21</f>
        <v/>
      </c>
      <c r="I21" s="50">
        <f>Saldos_Capital_Mensual!I21</f>
        <v/>
      </c>
      <c r="J21" s="50">
        <f>Saldos_Capital_Mensual!J21</f>
        <v/>
      </c>
      <c r="K21" s="50">
        <f>Saldos_Capital_Mensual!K21</f>
        <v/>
      </c>
      <c r="L21" s="50">
        <f>Saldos_Capital_Mensual!L21</f>
        <v/>
      </c>
      <c r="M21" s="50">
        <f>Saldos_Capital_Mensual!M21</f>
        <v/>
      </c>
      <c r="N21" s="50">
        <f>Saldos_Capital_Mensual!N21</f>
        <v/>
      </c>
      <c r="O21" s="50">
        <f>Saldos_Capital_Mensual!O21</f>
        <v/>
      </c>
      <c r="P21" s="50">
        <f>Saldos_Capital_Mensual!P21</f>
        <v/>
      </c>
      <c r="Q21" s="50">
        <f>Saldos_Capital_Mensual!Q21</f>
        <v/>
      </c>
      <c r="R21" s="50">
        <f>Saldos_Capital_Mensual!R21</f>
        <v/>
      </c>
      <c r="S21" s="50">
        <f>Saldos_Capital_Mensual!S21</f>
        <v/>
      </c>
      <c r="T21" s="50">
        <f>Saldos_Capital_Mensual!T21</f>
        <v/>
      </c>
      <c r="U21" s="50">
        <f>Saldos_Capital_Mensual!U21</f>
        <v/>
      </c>
    </row>
    <row r="22">
      <c r="A22" s="48">
        <f>Saldos_Capital_Mensual!A22</f>
        <v/>
      </c>
      <c r="B22" s="48">
        <f>Saldos_Capital_Mensual!B22</f>
        <v/>
      </c>
      <c r="C22" s="48">
        <f>Saldos_Capital_Mensual!C22</f>
        <v/>
      </c>
      <c r="D22" s="48">
        <f>Saldos_Capital_Mensual!D22</f>
        <v/>
      </c>
      <c r="E22" s="48">
        <f>Saldos_Capital_Mensual!E22</f>
        <v/>
      </c>
      <c r="F22" s="48">
        <f>Saldos_Capital_Mensual!F22</f>
        <v/>
      </c>
      <c r="G22" s="49">
        <f>Saldos_Capital_Mensual!G22</f>
        <v/>
      </c>
      <c r="H22" s="50">
        <f>Saldos_Capital_Mensual!H22</f>
        <v/>
      </c>
      <c r="I22" s="50">
        <f>Saldos_Capital_Mensual!I22</f>
        <v/>
      </c>
      <c r="J22" s="50">
        <f>Saldos_Capital_Mensual!J22</f>
        <v/>
      </c>
      <c r="K22" s="50">
        <f>Saldos_Capital_Mensual!K22</f>
        <v/>
      </c>
      <c r="L22" s="50">
        <f>Saldos_Capital_Mensual!L22</f>
        <v/>
      </c>
      <c r="M22" s="50">
        <f>Saldos_Capital_Mensual!M22</f>
        <v/>
      </c>
      <c r="N22" s="50">
        <f>Saldos_Capital_Mensual!N22</f>
        <v/>
      </c>
      <c r="O22" s="50">
        <f>Saldos_Capital_Mensual!O22</f>
        <v/>
      </c>
      <c r="P22" s="50">
        <f>Saldos_Capital_Mensual!P22</f>
        <v/>
      </c>
      <c r="Q22" s="50">
        <f>Saldos_Capital_Mensual!Q22</f>
        <v/>
      </c>
      <c r="R22" s="50">
        <f>Saldos_Capital_Mensual!R22</f>
        <v/>
      </c>
      <c r="S22" s="50">
        <f>Saldos_Capital_Mensual!S22</f>
        <v/>
      </c>
      <c r="T22" s="50">
        <f>Saldos_Capital_Mensual!T22</f>
        <v/>
      </c>
      <c r="U22" s="50">
        <f>Saldos_Capital_Mensual!U22</f>
        <v/>
      </c>
    </row>
    <row r="23">
      <c r="A23" s="48">
        <f>Saldos_Capital_Mensual!A23</f>
        <v/>
      </c>
      <c r="B23" s="48">
        <f>Saldos_Capital_Mensual!B23</f>
        <v/>
      </c>
      <c r="C23" s="48">
        <f>Saldos_Capital_Mensual!C23</f>
        <v/>
      </c>
      <c r="D23" s="48">
        <f>Saldos_Capital_Mensual!D23</f>
        <v/>
      </c>
      <c r="E23" s="48">
        <f>Saldos_Capital_Mensual!E23</f>
        <v/>
      </c>
      <c r="F23" s="48">
        <f>Saldos_Capital_Mensual!F23</f>
        <v/>
      </c>
      <c r="G23" s="49">
        <f>Saldos_Capital_Mensual!G23</f>
        <v/>
      </c>
      <c r="H23" s="50">
        <f>Saldos_Capital_Mensual!H23</f>
        <v/>
      </c>
      <c r="I23" s="50">
        <f>Saldos_Capital_Mensual!I23</f>
        <v/>
      </c>
      <c r="J23" s="50">
        <f>Saldos_Capital_Mensual!J23</f>
        <v/>
      </c>
      <c r="K23" s="50">
        <f>Saldos_Capital_Mensual!K23</f>
        <v/>
      </c>
      <c r="L23" s="50">
        <f>Saldos_Capital_Mensual!L23</f>
        <v/>
      </c>
      <c r="M23" s="50">
        <f>Saldos_Capital_Mensual!M23</f>
        <v/>
      </c>
      <c r="N23" s="50">
        <f>Saldos_Capital_Mensual!N23</f>
        <v/>
      </c>
      <c r="O23" s="50">
        <f>Saldos_Capital_Mensual!O23</f>
        <v/>
      </c>
      <c r="P23" s="50">
        <f>Saldos_Capital_Mensual!P23</f>
        <v/>
      </c>
      <c r="Q23" s="50">
        <f>Saldos_Capital_Mensual!Q23</f>
        <v/>
      </c>
      <c r="R23" s="50">
        <f>Saldos_Capital_Mensual!R23</f>
        <v/>
      </c>
      <c r="S23" s="50">
        <f>Saldos_Capital_Mensual!S23</f>
        <v/>
      </c>
      <c r="T23" s="50">
        <f>Saldos_Capital_Mensual!T23</f>
        <v/>
      </c>
      <c r="U23" s="50">
        <f>Saldos_Capital_Mensual!U23</f>
        <v/>
      </c>
    </row>
    <row r="24">
      <c r="A24" s="48">
        <f>Saldos_Capital_Mensual!A24</f>
        <v/>
      </c>
      <c r="B24" s="48">
        <f>Saldos_Capital_Mensual!B24</f>
        <v/>
      </c>
      <c r="C24" s="48">
        <f>Saldos_Capital_Mensual!C24</f>
        <v/>
      </c>
      <c r="D24" s="48">
        <f>Saldos_Capital_Mensual!D24</f>
        <v/>
      </c>
      <c r="E24" s="48">
        <f>Saldos_Capital_Mensual!E24</f>
        <v/>
      </c>
      <c r="F24" s="48">
        <f>Saldos_Capital_Mensual!F24</f>
        <v/>
      </c>
      <c r="G24" s="49">
        <f>Saldos_Capital_Mensual!G24</f>
        <v/>
      </c>
      <c r="H24" s="50">
        <f>Saldos_Capital_Mensual!H24</f>
        <v/>
      </c>
      <c r="I24" s="50">
        <f>Saldos_Capital_Mensual!I24</f>
        <v/>
      </c>
      <c r="J24" s="50">
        <f>Saldos_Capital_Mensual!J24</f>
        <v/>
      </c>
      <c r="K24" s="50">
        <f>Saldos_Capital_Mensual!K24</f>
        <v/>
      </c>
      <c r="L24" s="50">
        <f>Saldos_Capital_Mensual!L24</f>
        <v/>
      </c>
      <c r="M24" s="50">
        <f>Saldos_Capital_Mensual!M24</f>
        <v/>
      </c>
      <c r="N24" s="50">
        <f>Saldos_Capital_Mensual!N24</f>
        <v/>
      </c>
      <c r="O24" s="50">
        <f>Saldos_Capital_Mensual!O24</f>
        <v/>
      </c>
      <c r="P24" s="50">
        <f>Saldos_Capital_Mensual!P24</f>
        <v/>
      </c>
      <c r="Q24" s="50">
        <f>Saldos_Capital_Mensual!Q24</f>
        <v/>
      </c>
      <c r="R24" s="50">
        <f>Saldos_Capital_Mensual!R24</f>
        <v/>
      </c>
      <c r="S24" s="50">
        <f>Saldos_Capital_Mensual!S24</f>
        <v/>
      </c>
      <c r="T24" s="50">
        <f>Saldos_Capital_Mensual!T24</f>
        <v/>
      </c>
      <c r="U24" s="50">
        <f>Saldos_Capital_Mensual!U24</f>
        <v/>
      </c>
    </row>
    <row r="25">
      <c r="A25" s="48">
        <f>Saldos_Capital_Mensual!A25</f>
        <v/>
      </c>
      <c r="B25" s="48">
        <f>Saldos_Capital_Mensual!B25</f>
        <v/>
      </c>
      <c r="C25" s="48">
        <f>Saldos_Capital_Mensual!C25</f>
        <v/>
      </c>
      <c r="D25" s="48">
        <f>Saldos_Capital_Mensual!D25</f>
        <v/>
      </c>
      <c r="E25" s="48">
        <f>Saldos_Capital_Mensual!E25</f>
        <v/>
      </c>
      <c r="F25" s="48">
        <f>Saldos_Capital_Mensual!F25</f>
        <v/>
      </c>
      <c r="G25" s="49">
        <f>Saldos_Capital_Mensual!G25</f>
        <v/>
      </c>
      <c r="H25" s="50">
        <f>Saldos_Capital_Mensual!H25</f>
        <v/>
      </c>
      <c r="I25" s="50">
        <f>Saldos_Capital_Mensual!I25</f>
        <v/>
      </c>
      <c r="J25" s="50">
        <f>Saldos_Capital_Mensual!J25</f>
        <v/>
      </c>
      <c r="K25" s="50">
        <f>Saldos_Capital_Mensual!K25</f>
        <v/>
      </c>
      <c r="L25" s="50">
        <f>Saldos_Capital_Mensual!L25</f>
        <v/>
      </c>
      <c r="M25" s="50">
        <f>Saldos_Capital_Mensual!M25</f>
        <v/>
      </c>
      <c r="N25" s="50">
        <f>Saldos_Capital_Mensual!N25</f>
        <v/>
      </c>
      <c r="O25" s="50">
        <f>Saldos_Capital_Mensual!O25</f>
        <v/>
      </c>
      <c r="P25" s="50">
        <f>Saldos_Capital_Mensual!P25</f>
        <v/>
      </c>
      <c r="Q25" s="50">
        <f>Saldos_Capital_Mensual!Q25</f>
        <v/>
      </c>
      <c r="R25" s="50">
        <f>Saldos_Capital_Mensual!R25</f>
        <v/>
      </c>
      <c r="S25" s="50">
        <f>Saldos_Capital_Mensual!S25</f>
        <v/>
      </c>
      <c r="T25" s="50">
        <f>Saldos_Capital_Mensual!T25</f>
        <v/>
      </c>
      <c r="U25" s="50">
        <f>Saldos_Capital_Mensual!U25</f>
        <v/>
      </c>
    </row>
    <row r="26">
      <c r="A26" s="48">
        <f>Saldos_Capital_Mensual!A26</f>
        <v/>
      </c>
      <c r="B26" s="48">
        <f>Saldos_Capital_Mensual!B26</f>
        <v/>
      </c>
      <c r="C26" s="48">
        <f>Saldos_Capital_Mensual!C26</f>
        <v/>
      </c>
      <c r="D26" s="48">
        <f>Saldos_Capital_Mensual!D26</f>
        <v/>
      </c>
      <c r="E26" s="48">
        <f>Saldos_Capital_Mensual!E26</f>
        <v/>
      </c>
      <c r="F26" s="48">
        <f>Saldos_Capital_Mensual!F26</f>
        <v/>
      </c>
      <c r="G26" s="49">
        <f>Saldos_Capital_Mensual!G26</f>
        <v/>
      </c>
      <c r="H26" s="50">
        <f>Saldos_Capital_Mensual!H26</f>
        <v/>
      </c>
      <c r="I26" s="50">
        <f>Saldos_Capital_Mensual!I26</f>
        <v/>
      </c>
      <c r="J26" s="50">
        <f>Saldos_Capital_Mensual!J26</f>
        <v/>
      </c>
      <c r="K26" s="50">
        <f>Saldos_Capital_Mensual!K26</f>
        <v/>
      </c>
      <c r="L26" s="50">
        <f>Saldos_Capital_Mensual!L26</f>
        <v/>
      </c>
      <c r="M26" s="50">
        <f>Saldos_Capital_Mensual!M26</f>
        <v/>
      </c>
      <c r="N26" s="50">
        <f>Saldos_Capital_Mensual!N26</f>
        <v/>
      </c>
      <c r="O26" s="50">
        <f>Saldos_Capital_Mensual!O26</f>
        <v/>
      </c>
      <c r="P26" s="50">
        <f>Saldos_Capital_Mensual!P26</f>
        <v/>
      </c>
      <c r="Q26" s="50">
        <f>Saldos_Capital_Mensual!Q26</f>
        <v/>
      </c>
      <c r="R26" s="50">
        <f>Saldos_Capital_Mensual!R26</f>
        <v/>
      </c>
      <c r="S26" s="50">
        <f>Saldos_Capital_Mensual!S26</f>
        <v/>
      </c>
      <c r="T26" s="50">
        <f>Saldos_Capital_Mensual!T26</f>
        <v/>
      </c>
      <c r="U26" s="50">
        <f>Saldos_Capital_Mensual!U26</f>
        <v/>
      </c>
    </row>
    <row r="27">
      <c r="A27" s="48">
        <f>Saldos_Capital_Mensual!A27</f>
        <v/>
      </c>
      <c r="B27" s="48">
        <f>Saldos_Capital_Mensual!B27</f>
        <v/>
      </c>
      <c r="C27" s="48">
        <f>Saldos_Capital_Mensual!C27</f>
        <v/>
      </c>
      <c r="D27" s="48">
        <f>Saldos_Capital_Mensual!D27</f>
        <v/>
      </c>
      <c r="E27" s="48">
        <f>Saldos_Capital_Mensual!E27</f>
        <v/>
      </c>
      <c r="F27" s="48">
        <f>Saldos_Capital_Mensual!F27</f>
        <v/>
      </c>
      <c r="G27" s="49">
        <f>Saldos_Capital_Mensual!G27</f>
        <v/>
      </c>
      <c r="H27" s="50">
        <f>Saldos_Capital_Mensual!H27</f>
        <v/>
      </c>
      <c r="I27" s="50">
        <f>Saldos_Capital_Mensual!I27</f>
        <v/>
      </c>
      <c r="J27" s="50">
        <f>Saldos_Capital_Mensual!J27</f>
        <v/>
      </c>
      <c r="K27" s="50">
        <f>Saldos_Capital_Mensual!K27</f>
        <v/>
      </c>
      <c r="L27" s="50">
        <f>Saldos_Capital_Mensual!L27</f>
        <v/>
      </c>
      <c r="M27" s="50">
        <f>Saldos_Capital_Mensual!M27</f>
        <v/>
      </c>
      <c r="N27" s="50">
        <f>Saldos_Capital_Mensual!N27</f>
        <v/>
      </c>
      <c r="O27" s="50">
        <f>Saldos_Capital_Mensual!O27</f>
        <v/>
      </c>
      <c r="P27" s="50">
        <f>Saldos_Capital_Mensual!P27</f>
        <v/>
      </c>
      <c r="Q27" s="50">
        <f>Saldos_Capital_Mensual!Q27</f>
        <v/>
      </c>
      <c r="R27" s="50">
        <f>Saldos_Capital_Mensual!R27</f>
        <v/>
      </c>
      <c r="S27" s="50">
        <f>Saldos_Capital_Mensual!S27</f>
        <v/>
      </c>
      <c r="T27" s="50">
        <f>Saldos_Capital_Mensual!T27</f>
        <v/>
      </c>
      <c r="U27" s="50">
        <f>Saldos_Capital_Mensual!U27</f>
        <v/>
      </c>
    </row>
    <row r="28">
      <c r="A28" s="48">
        <f>Saldos_Capital_Mensual!A28</f>
        <v/>
      </c>
      <c r="B28" s="48">
        <f>Saldos_Capital_Mensual!B28</f>
        <v/>
      </c>
      <c r="C28" s="48">
        <f>Saldos_Capital_Mensual!C28</f>
        <v/>
      </c>
      <c r="D28" s="48">
        <f>Saldos_Capital_Mensual!D28</f>
        <v/>
      </c>
      <c r="E28" s="48">
        <f>Saldos_Capital_Mensual!E28</f>
        <v/>
      </c>
      <c r="F28" s="48">
        <f>Saldos_Capital_Mensual!F28</f>
        <v/>
      </c>
      <c r="G28" s="49">
        <f>Saldos_Capital_Mensual!G28</f>
        <v/>
      </c>
      <c r="H28" s="50">
        <f>Saldos_Capital_Mensual!H28</f>
        <v/>
      </c>
      <c r="I28" s="50">
        <f>Saldos_Capital_Mensual!I28</f>
        <v/>
      </c>
      <c r="J28" s="50">
        <f>Saldos_Capital_Mensual!J28</f>
        <v/>
      </c>
      <c r="K28" s="50">
        <f>Saldos_Capital_Mensual!K28</f>
        <v/>
      </c>
      <c r="L28" s="50">
        <f>Saldos_Capital_Mensual!L28</f>
        <v/>
      </c>
      <c r="M28" s="50">
        <f>Saldos_Capital_Mensual!M28</f>
        <v/>
      </c>
      <c r="N28" s="50">
        <f>Saldos_Capital_Mensual!N28</f>
        <v/>
      </c>
      <c r="O28" s="50">
        <f>Saldos_Capital_Mensual!O28</f>
        <v/>
      </c>
      <c r="P28" s="50">
        <f>Saldos_Capital_Mensual!P28</f>
        <v/>
      </c>
      <c r="Q28" s="50">
        <f>Saldos_Capital_Mensual!Q28</f>
        <v/>
      </c>
      <c r="R28" s="50">
        <f>Saldos_Capital_Mensual!R28</f>
        <v/>
      </c>
      <c r="S28" s="50">
        <f>Saldos_Capital_Mensual!S28</f>
        <v/>
      </c>
      <c r="T28" s="50">
        <f>Saldos_Capital_Mensual!T28</f>
        <v/>
      </c>
      <c r="U28" s="50">
        <f>Saldos_Capital_Mensual!U28</f>
        <v/>
      </c>
    </row>
    <row r="29">
      <c r="A29" s="48">
        <f>Saldos_Capital_Mensual!A29</f>
        <v/>
      </c>
      <c r="B29" s="48">
        <f>Saldos_Capital_Mensual!B29</f>
        <v/>
      </c>
      <c r="C29" s="48">
        <f>Saldos_Capital_Mensual!C29</f>
        <v/>
      </c>
      <c r="D29" s="48">
        <f>Saldos_Capital_Mensual!D29</f>
        <v/>
      </c>
      <c r="E29" s="48">
        <f>Saldos_Capital_Mensual!E29</f>
        <v/>
      </c>
      <c r="F29" s="48">
        <f>Saldos_Capital_Mensual!F29</f>
        <v/>
      </c>
      <c r="G29" s="49">
        <f>Saldos_Capital_Mensual!G29</f>
        <v/>
      </c>
      <c r="H29" s="50">
        <f>Saldos_Capital_Mensual!H29</f>
        <v/>
      </c>
      <c r="I29" s="50">
        <f>Saldos_Capital_Mensual!I29</f>
        <v/>
      </c>
      <c r="J29" s="50">
        <f>Saldos_Capital_Mensual!J29</f>
        <v/>
      </c>
      <c r="K29" s="50">
        <f>Saldos_Capital_Mensual!K29</f>
        <v/>
      </c>
      <c r="L29" s="50">
        <f>Saldos_Capital_Mensual!L29</f>
        <v/>
      </c>
      <c r="M29" s="50">
        <f>Saldos_Capital_Mensual!M29</f>
        <v/>
      </c>
      <c r="N29" s="50">
        <f>Saldos_Capital_Mensual!N29</f>
        <v/>
      </c>
      <c r="O29" s="50">
        <f>Saldos_Capital_Mensual!O29</f>
        <v/>
      </c>
      <c r="P29" s="50">
        <f>Saldos_Capital_Mensual!P29</f>
        <v/>
      </c>
      <c r="Q29" s="50">
        <f>Saldos_Capital_Mensual!Q29</f>
        <v/>
      </c>
      <c r="R29" s="50">
        <f>Saldos_Capital_Mensual!R29</f>
        <v/>
      </c>
      <c r="S29" s="50">
        <f>Saldos_Capital_Mensual!S29</f>
        <v/>
      </c>
      <c r="T29" s="50">
        <f>Saldos_Capital_Mensual!T29</f>
        <v/>
      </c>
      <c r="U29" s="50">
        <f>Saldos_Capital_Mensual!U29</f>
        <v/>
      </c>
    </row>
    <row r="30">
      <c r="A30" s="48">
        <f>Saldos_Capital_Mensual!A30</f>
        <v/>
      </c>
      <c r="B30" s="48">
        <f>Saldos_Capital_Mensual!B30</f>
        <v/>
      </c>
      <c r="C30" s="48">
        <f>Saldos_Capital_Mensual!C30</f>
        <v/>
      </c>
      <c r="D30" s="48">
        <f>Saldos_Capital_Mensual!D30</f>
        <v/>
      </c>
      <c r="E30" s="48">
        <f>Saldos_Capital_Mensual!E30</f>
        <v/>
      </c>
      <c r="F30" s="48">
        <f>Saldos_Capital_Mensual!F30</f>
        <v/>
      </c>
      <c r="G30" s="49">
        <f>Saldos_Capital_Mensual!G30</f>
        <v/>
      </c>
      <c r="H30" s="50">
        <f>Saldos_Capital_Mensual!H30</f>
        <v/>
      </c>
      <c r="I30" s="50">
        <f>Saldos_Capital_Mensual!I30</f>
        <v/>
      </c>
      <c r="J30" s="50">
        <f>Saldos_Capital_Mensual!J30</f>
        <v/>
      </c>
      <c r="K30" s="50">
        <f>Saldos_Capital_Mensual!K30</f>
        <v/>
      </c>
      <c r="L30" s="50">
        <f>Saldos_Capital_Mensual!L30</f>
        <v/>
      </c>
      <c r="M30" s="50">
        <f>Saldos_Capital_Mensual!M30</f>
        <v/>
      </c>
      <c r="N30" s="50">
        <f>Saldos_Capital_Mensual!N30</f>
        <v/>
      </c>
      <c r="O30" s="50">
        <f>Saldos_Capital_Mensual!O30</f>
        <v/>
      </c>
      <c r="P30" s="50">
        <f>Saldos_Capital_Mensual!P30</f>
        <v/>
      </c>
      <c r="Q30" s="50">
        <f>Saldos_Capital_Mensual!Q30</f>
        <v/>
      </c>
      <c r="R30" s="50">
        <f>Saldos_Capital_Mensual!R30</f>
        <v/>
      </c>
      <c r="S30" s="50">
        <f>Saldos_Capital_Mensual!S30</f>
        <v/>
      </c>
      <c r="T30" s="50">
        <f>Saldos_Capital_Mensual!T30</f>
        <v/>
      </c>
      <c r="U30" s="50">
        <f>Saldos_Capital_Mensual!U30</f>
        <v/>
      </c>
    </row>
    <row r="31">
      <c r="A31" s="48">
        <f>Saldos_Capital_Mensual!A31</f>
        <v/>
      </c>
      <c r="B31" s="48">
        <f>Saldos_Capital_Mensual!B31</f>
        <v/>
      </c>
      <c r="C31" s="48">
        <f>Saldos_Capital_Mensual!C31</f>
        <v/>
      </c>
      <c r="D31" s="48">
        <f>Saldos_Capital_Mensual!D31</f>
        <v/>
      </c>
      <c r="E31" s="48">
        <f>Saldos_Capital_Mensual!E31</f>
        <v/>
      </c>
      <c r="F31" s="48">
        <f>Saldos_Capital_Mensual!F31</f>
        <v/>
      </c>
      <c r="G31" s="49">
        <f>Saldos_Capital_Mensual!G31</f>
        <v/>
      </c>
      <c r="H31" s="50">
        <f>Saldos_Capital_Mensual!H31</f>
        <v/>
      </c>
      <c r="I31" s="50">
        <f>Saldos_Capital_Mensual!I31</f>
        <v/>
      </c>
      <c r="J31" s="50">
        <f>Saldos_Capital_Mensual!J31</f>
        <v/>
      </c>
      <c r="K31" s="50">
        <f>Saldos_Capital_Mensual!K31</f>
        <v/>
      </c>
      <c r="L31" s="50">
        <f>Saldos_Capital_Mensual!L31</f>
        <v/>
      </c>
      <c r="M31" s="50">
        <f>Saldos_Capital_Mensual!M31</f>
        <v/>
      </c>
      <c r="N31" s="50">
        <f>Saldos_Capital_Mensual!N31</f>
        <v/>
      </c>
      <c r="O31" s="50">
        <f>Saldos_Capital_Mensual!O31</f>
        <v/>
      </c>
      <c r="P31" s="50">
        <f>Saldos_Capital_Mensual!P31</f>
        <v/>
      </c>
      <c r="Q31" s="50">
        <f>Saldos_Capital_Mensual!Q31</f>
        <v/>
      </c>
      <c r="R31" s="50">
        <f>Saldos_Capital_Mensual!R31</f>
        <v/>
      </c>
      <c r="S31" s="50">
        <f>Saldos_Capital_Mensual!S31</f>
        <v/>
      </c>
      <c r="T31" s="50">
        <f>Saldos_Capital_Mensual!T31</f>
        <v/>
      </c>
      <c r="U31" s="50">
        <f>Saldos_Capital_Mensual!U31</f>
        <v/>
      </c>
    </row>
    <row r="32">
      <c r="A32" s="48">
        <f>Saldos_Capital_Mensual!A32</f>
        <v/>
      </c>
      <c r="B32" s="48">
        <f>Saldos_Capital_Mensual!B32</f>
        <v/>
      </c>
      <c r="C32" s="48">
        <f>Saldos_Capital_Mensual!C32</f>
        <v/>
      </c>
      <c r="D32" s="48">
        <f>Saldos_Capital_Mensual!D32</f>
        <v/>
      </c>
      <c r="E32" s="48">
        <f>Saldos_Capital_Mensual!E32</f>
        <v/>
      </c>
      <c r="F32" s="48">
        <f>Saldos_Capital_Mensual!F32</f>
        <v/>
      </c>
      <c r="G32" s="49">
        <f>Saldos_Capital_Mensual!G32</f>
        <v/>
      </c>
      <c r="H32" s="50">
        <f>Saldos_Capital_Mensual!H32</f>
        <v/>
      </c>
      <c r="I32" s="50">
        <f>Saldos_Capital_Mensual!I32</f>
        <v/>
      </c>
      <c r="J32" s="50">
        <f>Saldos_Capital_Mensual!J32</f>
        <v/>
      </c>
      <c r="K32" s="50">
        <f>Saldos_Capital_Mensual!K32</f>
        <v/>
      </c>
      <c r="L32" s="50">
        <f>Saldos_Capital_Mensual!L32</f>
        <v/>
      </c>
      <c r="M32" s="50">
        <f>Saldos_Capital_Mensual!M32</f>
        <v/>
      </c>
      <c r="N32" s="50">
        <f>Saldos_Capital_Mensual!N32</f>
        <v/>
      </c>
      <c r="O32" s="50">
        <f>Saldos_Capital_Mensual!O32</f>
        <v/>
      </c>
      <c r="P32" s="50">
        <f>Saldos_Capital_Mensual!P32</f>
        <v/>
      </c>
      <c r="Q32" s="50">
        <f>Saldos_Capital_Mensual!Q32</f>
        <v/>
      </c>
      <c r="R32" s="50">
        <f>Saldos_Capital_Mensual!R32</f>
        <v/>
      </c>
      <c r="S32" s="50">
        <f>Saldos_Capital_Mensual!S32</f>
        <v/>
      </c>
      <c r="T32" s="50">
        <f>Saldos_Capital_Mensual!T32</f>
        <v/>
      </c>
      <c r="U32" s="50">
        <f>Saldos_Capital_Mensual!U32</f>
        <v/>
      </c>
    </row>
    <row r="33">
      <c r="A33" s="48">
        <f>Saldos_Capital_Mensual!A33</f>
        <v/>
      </c>
      <c r="B33" s="48">
        <f>Saldos_Capital_Mensual!B33</f>
        <v/>
      </c>
      <c r="C33" s="48">
        <f>Saldos_Capital_Mensual!C33</f>
        <v/>
      </c>
      <c r="D33" s="48">
        <f>Saldos_Capital_Mensual!D33</f>
        <v/>
      </c>
      <c r="E33" s="48">
        <f>Saldos_Capital_Mensual!E33</f>
        <v/>
      </c>
      <c r="F33" s="48">
        <f>Saldos_Capital_Mensual!F33</f>
        <v/>
      </c>
      <c r="G33" s="49">
        <f>Saldos_Capital_Mensual!G33</f>
        <v/>
      </c>
      <c r="H33" s="50">
        <f>Saldos_Capital_Mensual!H33</f>
        <v/>
      </c>
      <c r="I33" s="50">
        <f>Saldos_Capital_Mensual!I33</f>
        <v/>
      </c>
      <c r="J33" s="50">
        <f>Saldos_Capital_Mensual!J33</f>
        <v/>
      </c>
      <c r="K33" s="50">
        <f>Saldos_Capital_Mensual!K33</f>
        <v/>
      </c>
      <c r="L33" s="50">
        <f>Saldos_Capital_Mensual!L33</f>
        <v/>
      </c>
      <c r="M33" s="50">
        <f>Saldos_Capital_Mensual!M33</f>
        <v/>
      </c>
      <c r="N33" s="50">
        <f>Saldos_Capital_Mensual!N33</f>
        <v/>
      </c>
      <c r="O33" s="50">
        <f>Saldos_Capital_Mensual!O33</f>
        <v/>
      </c>
      <c r="P33" s="50">
        <f>Saldos_Capital_Mensual!P33</f>
        <v/>
      </c>
      <c r="Q33" s="50">
        <f>Saldos_Capital_Mensual!Q33</f>
        <v/>
      </c>
      <c r="R33" s="50">
        <f>Saldos_Capital_Mensual!R33</f>
        <v/>
      </c>
      <c r="S33" s="50">
        <f>Saldos_Capital_Mensual!S33</f>
        <v/>
      </c>
      <c r="T33" s="50">
        <f>Saldos_Capital_Mensual!T33</f>
        <v/>
      </c>
      <c r="U33" s="50">
        <f>Saldos_Capital_Mensual!U33</f>
        <v/>
      </c>
    </row>
    <row r="34">
      <c r="A34" s="48">
        <f>Saldos_Capital_Mensual!A34</f>
        <v/>
      </c>
      <c r="B34" s="48">
        <f>Saldos_Capital_Mensual!B34</f>
        <v/>
      </c>
      <c r="C34" s="48">
        <f>Saldos_Capital_Mensual!C34</f>
        <v/>
      </c>
      <c r="D34" s="48">
        <f>Saldos_Capital_Mensual!D34</f>
        <v/>
      </c>
      <c r="E34" s="48">
        <f>Saldos_Capital_Mensual!E34</f>
        <v/>
      </c>
      <c r="F34" s="48">
        <f>Saldos_Capital_Mensual!F34</f>
        <v/>
      </c>
      <c r="G34" s="49">
        <f>Saldos_Capital_Mensual!G34</f>
        <v/>
      </c>
      <c r="H34" s="50">
        <f>Saldos_Capital_Mensual!H34</f>
        <v/>
      </c>
      <c r="I34" s="50">
        <f>Saldos_Capital_Mensual!I34</f>
        <v/>
      </c>
      <c r="J34" s="50">
        <f>Saldos_Capital_Mensual!J34</f>
        <v/>
      </c>
      <c r="K34" s="50">
        <f>Saldos_Capital_Mensual!K34</f>
        <v/>
      </c>
      <c r="L34" s="50">
        <f>Saldos_Capital_Mensual!L34</f>
        <v/>
      </c>
      <c r="M34" s="50">
        <f>Saldos_Capital_Mensual!M34</f>
        <v/>
      </c>
      <c r="N34" s="50">
        <f>Saldos_Capital_Mensual!N34</f>
        <v/>
      </c>
      <c r="O34" s="50">
        <f>Saldos_Capital_Mensual!O34</f>
        <v/>
      </c>
      <c r="P34" s="50">
        <f>Saldos_Capital_Mensual!P34</f>
        <v/>
      </c>
      <c r="Q34" s="50">
        <f>Saldos_Capital_Mensual!Q34</f>
        <v/>
      </c>
      <c r="R34" s="50">
        <f>Saldos_Capital_Mensual!R34</f>
        <v/>
      </c>
      <c r="S34" s="50">
        <f>Saldos_Capital_Mensual!S34</f>
        <v/>
      </c>
      <c r="T34" s="50">
        <f>Saldos_Capital_Mensual!T34</f>
        <v/>
      </c>
      <c r="U34" s="50">
        <f>Saldos_Capital_Mensual!U34</f>
        <v/>
      </c>
    </row>
    <row r="35">
      <c r="A35" s="48">
        <f>Saldos_Capital_Mensual!A35</f>
        <v/>
      </c>
      <c r="B35" s="48">
        <f>Saldos_Capital_Mensual!B35</f>
        <v/>
      </c>
      <c r="C35" s="48">
        <f>Saldos_Capital_Mensual!C35</f>
        <v/>
      </c>
      <c r="D35" s="48">
        <f>Saldos_Capital_Mensual!D35</f>
        <v/>
      </c>
      <c r="E35" s="48">
        <f>Saldos_Capital_Mensual!E35</f>
        <v/>
      </c>
      <c r="F35" s="48">
        <f>Saldos_Capital_Mensual!F35</f>
        <v/>
      </c>
      <c r="G35" s="49">
        <f>Saldos_Capital_Mensual!G35</f>
        <v/>
      </c>
      <c r="H35" s="50">
        <f>Saldos_Capital_Mensual!H35</f>
        <v/>
      </c>
      <c r="I35" s="50">
        <f>Saldos_Capital_Mensual!I35</f>
        <v/>
      </c>
      <c r="J35" s="50">
        <f>Saldos_Capital_Mensual!J35</f>
        <v/>
      </c>
      <c r="K35" s="50">
        <f>Saldos_Capital_Mensual!K35</f>
        <v/>
      </c>
      <c r="L35" s="50">
        <f>Saldos_Capital_Mensual!L35</f>
        <v/>
      </c>
      <c r="M35" s="50">
        <f>Saldos_Capital_Mensual!M35</f>
        <v/>
      </c>
      <c r="N35" s="50">
        <f>Saldos_Capital_Mensual!N35</f>
        <v/>
      </c>
      <c r="O35" s="50">
        <f>Saldos_Capital_Mensual!O35</f>
        <v/>
      </c>
      <c r="P35" s="50">
        <f>Saldos_Capital_Mensual!P35</f>
        <v/>
      </c>
      <c r="Q35" s="50">
        <f>Saldos_Capital_Mensual!Q35</f>
        <v/>
      </c>
      <c r="R35" s="50">
        <f>Saldos_Capital_Mensual!R35</f>
        <v/>
      </c>
      <c r="S35" s="50">
        <f>Saldos_Capital_Mensual!S35</f>
        <v/>
      </c>
      <c r="T35" s="50">
        <f>Saldos_Capital_Mensual!T35</f>
        <v/>
      </c>
      <c r="U35" s="50">
        <f>Saldos_Capital_Mensual!U35</f>
        <v/>
      </c>
    </row>
    <row r="36">
      <c r="A36" s="48">
        <f>Saldos_Capital_Mensual!A36</f>
        <v/>
      </c>
      <c r="B36" s="48">
        <f>Saldos_Capital_Mensual!B36</f>
        <v/>
      </c>
      <c r="C36" s="48">
        <f>Saldos_Capital_Mensual!C36</f>
        <v/>
      </c>
      <c r="D36" s="48">
        <f>Saldos_Capital_Mensual!D36</f>
        <v/>
      </c>
      <c r="E36" s="48">
        <f>Saldos_Capital_Mensual!E36</f>
        <v/>
      </c>
      <c r="F36" s="48">
        <f>Saldos_Capital_Mensual!F36</f>
        <v/>
      </c>
      <c r="G36" s="49">
        <f>Saldos_Capital_Mensual!G36</f>
        <v/>
      </c>
      <c r="H36" s="50">
        <f>Saldos_Capital_Mensual!H36</f>
        <v/>
      </c>
      <c r="I36" s="50">
        <f>Saldos_Capital_Mensual!I36</f>
        <v/>
      </c>
      <c r="J36" s="50">
        <f>Saldos_Capital_Mensual!J36</f>
        <v/>
      </c>
      <c r="K36" s="50">
        <f>Saldos_Capital_Mensual!K36</f>
        <v/>
      </c>
      <c r="L36" s="50">
        <f>Saldos_Capital_Mensual!L36</f>
        <v/>
      </c>
      <c r="M36" s="50">
        <f>Saldos_Capital_Mensual!M36</f>
        <v/>
      </c>
      <c r="N36" s="50">
        <f>Saldos_Capital_Mensual!N36</f>
        <v/>
      </c>
      <c r="O36" s="50">
        <f>Saldos_Capital_Mensual!O36</f>
        <v/>
      </c>
      <c r="P36" s="50">
        <f>Saldos_Capital_Mensual!P36</f>
        <v/>
      </c>
      <c r="Q36" s="50">
        <f>Saldos_Capital_Mensual!Q36</f>
        <v/>
      </c>
      <c r="R36" s="50">
        <f>Saldos_Capital_Mensual!R36</f>
        <v/>
      </c>
      <c r="S36" s="50">
        <f>Saldos_Capital_Mensual!S36</f>
        <v/>
      </c>
      <c r="T36" s="50">
        <f>Saldos_Capital_Mensual!T36</f>
        <v/>
      </c>
      <c r="U36" s="50">
        <f>Saldos_Capital_Mensual!U36</f>
        <v/>
      </c>
    </row>
    <row r="37">
      <c r="A37" s="48">
        <f>Saldos_Capital_Mensual!A37</f>
        <v/>
      </c>
      <c r="B37" s="48">
        <f>Saldos_Capital_Mensual!B37</f>
        <v/>
      </c>
      <c r="C37" s="48">
        <f>Saldos_Capital_Mensual!C37</f>
        <v/>
      </c>
      <c r="D37" s="48">
        <f>Saldos_Capital_Mensual!D37</f>
        <v/>
      </c>
      <c r="E37" s="48">
        <f>Saldos_Capital_Mensual!E37</f>
        <v/>
      </c>
      <c r="F37" s="48">
        <f>Saldos_Capital_Mensual!F37</f>
        <v/>
      </c>
      <c r="G37" s="49">
        <f>Saldos_Capital_Mensual!G37</f>
        <v/>
      </c>
      <c r="H37" s="50">
        <f>Saldos_Capital_Mensual!H37</f>
        <v/>
      </c>
      <c r="I37" s="50">
        <f>Saldos_Capital_Mensual!I37</f>
        <v/>
      </c>
      <c r="J37" s="50">
        <f>Saldos_Capital_Mensual!J37</f>
        <v/>
      </c>
      <c r="K37" s="50">
        <f>Saldos_Capital_Mensual!K37</f>
        <v/>
      </c>
      <c r="L37" s="50">
        <f>Saldos_Capital_Mensual!L37</f>
        <v/>
      </c>
      <c r="M37" s="50">
        <f>Saldos_Capital_Mensual!M37</f>
        <v/>
      </c>
      <c r="N37" s="50">
        <f>Saldos_Capital_Mensual!N37</f>
        <v/>
      </c>
      <c r="O37" s="50">
        <f>Saldos_Capital_Mensual!O37</f>
        <v/>
      </c>
      <c r="P37" s="50">
        <f>Saldos_Capital_Mensual!P37</f>
        <v/>
      </c>
      <c r="Q37" s="50">
        <f>Saldos_Capital_Mensual!Q37</f>
        <v/>
      </c>
      <c r="R37" s="50">
        <f>Saldos_Capital_Mensual!R37</f>
        <v/>
      </c>
      <c r="S37" s="50">
        <f>Saldos_Capital_Mensual!S37</f>
        <v/>
      </c>
      <c r="T37" s="50">
        <f>Saldos_Capital_Mensual!T37</f>
        <v/>
      </c>
      <c r="U37" s="50">
        <f>Saldos_Capital_Mensual!U37</f>
        <v/>
      </c>
    </row>
    <row r="38">
      <c r="A38" s="48">
        <f>Saldos_Capital_Mensual!A38</f>
        <v/>
      </c>
      <c r="B38" s="48">
        <f>Saldos_Capital_Mensual!B38</f>
        <v/>
      </c>
      <c r="C38" s="48">
        <f>Saldos_Capital_Mensual!C38</f>
        <v/>
      </c>
      <c r="D38" s="48">
        <f>Saldos_Capital_Mensual!D38</f>
        <v/>
      </c>
      <c r="E38" s="48">
        <f>Saldos_Capital_Mensual!E38</f>
        <v/>
      </c>
      <c r="F38" s="48">
        <f>Saldos_Capital_Mensual!F38</f>
        <v/>
      </c>
      <c r="G38" s="49">
        <f>Saldos_Capital_Mensual!G38</f>
        <v/>
      </c>
      <c r="H38" s="50">
        <f>Saldos_Capital_Mensual!H38</f>
        <v/>
      </c>
      <c r="I38" s="50">
        <f>Saldos_Capital_Mensual!I38</f>
        <v/>
      </c>
      <c r="J38" s="50">
        <f>Saldos_Capital_Mensual!J38</f>
        <v/>
      </c>
      <c r="K38" s="50">
        <f>Saldos_Capital_Mensual!K38</f>
        <v/>
      </c>
      <c r="L38" s="50">
        <f>Saldos_Capital_Mensual!L38</f>
        <v/>
      </c>
      <c r="M38" s="50">
        <f>Saldos_Capital_Mensual!M38</f>
        <v/>
      </c>
      <c r="N38" s="50">
        <f>Saldos_Capital_Mensual!N38</f>
        <v/>
      </c>
      <c r="O38" s="50">
        <f>Saldos_Capital_Mensual!O38</f>
        <v/>
      </c>
      <c r="P38" s="50">
        <f>Saldos_Capital_Mensual!P38</f>
        <v/>
      </c>
      <c r="Q38" s="50">
        <f>Saldos_Capital_Mensual!Q38</f>
        <v/>
      </c>
      <c r="R38" s="50">
        <f>Saldos_Capital_Mensual!R38</f>
        <v/>
      </c>
      <c r="S38" s="50">
        <f>Saldos_Capital_Mensual!S38</f>
        <v/>
      </c>
      <c r="T38" s="50">
        <f>Saldos_Capital_Mensual!T38</f>
        <v/>
      </c>
      <c r="U38" s="50">
        <f>Saldos_Capital_Mensual!U38</f>
        <v/>
      </c>
    </row>
    <row r="39">
      <c r="A39" s="48">
        <f>Saldos_Capital_Mensual!A39</f>
        <v/>
      </c>
      <c r="B39" s="48">
        <f>Saldos_Capital_Mensual!B39</f>
        <v/>
      </c>
      <c r="C39" s="48">
        <f>Saldos_Capital_Mensual!C39</f>
        <v/>
      </c>
      <c r="D39" s="48">
        <f>Saldos_Capital_Mensual!D39</f>
        <v/>
      </c>
      <c r="E39" s="48">
        <f>Saldos_Capital_Mensual!E39</f>
        <v/>
      </c>
      <c r="F39" s="48">
        <f>Saldos_Capital_Mensual!F39</f>
        <v/>
      </c>
      <c r="G39" s="49">
        <f>Saldos_Capital_Mensual!G39</f>
        <v/>
      </c>
      <c r="H39" s="50">
        <f>Saldos_Capital_Mensual!H39</f>
        <v/>
      </c>
      <c r="I39" s="50">
        <f>Saldos_Capital_Mensual!I39</f>
        <v/>
      </c>
      <c r="J39" s="50">
        <f>Saldos_Capital_Mensual!J39</f>
        <v/>
      </c>
      <c r="K39" s="50">
        <f>Saldos_Capital_Mensual!K39</f>
        <v/>
      </c>
      <c r="L39" s="50">
        <f>Saldos_Capital_Mensual!L39</f>
        <v/>
      </c>
      <c r="M39" s="50">
        <f>Saldos_Capital_Mensual!M39</f>
        <v/>
      </c>
      <c r="N39" s="50">
        <f>Saldos_Capital_Mensual!N39</f>
        <v/>
      </c>
      <c r="O39" s="50">
        <f>Saldos_Capital_Mensual!O39</f>
        <v/>
      </c>
      <c r="P39" s="50">
        <f>Saldos_Capital_Mensual!P39</f>
        <v/>
      </c>
      <c r="Q39" s="50">
        <f>Saldos_Capital_Mensual!Q39</f>
        <v/>
      </c>
      <c r="R39" s="50">
        <f>Saldos_Capital_Mensual!R39</f>
        <v/>
      </c>
      <c r="S39" s="50">
        <f>Saldos_Capital_Mensual!S39</f>
        <v/>
      </c>
      <c r="T39" s="50">
        <f>Saldos_Capital_Mensual!T39</f>
        <v/>
      </c>
      <c r="U39" s="50">
        <f>Saldos_Capital_Mensual!U39</f>
        <v/>
      </c>
    </row>
    <row r="40">
      <c r="A40" s="48">
        <f>Saldos_Capital_Mensual!A40</f>
        <v/>
      </c>
      <c r="B40" s="48">
        <f>Saldos_Capital_Mensual!B40</f>
        <v/>
      </c>
      <c r="C40" s="48">
        <f>Saldos_Capital_Mensual!C40</f>
        <v/>
      </c>
      <c r="D40" s="48">
        <f>Saldos_Capital_Mensual!D40</f>
        <v/>
      </c>
      <c r="E40" s="48">
        <f>Saldos_Capital_Mensual!E40</f>
        <v/>
      </c>
      <c r="F40" s="48">
        <f>Saldos_Capital_Mensual!F40</f>
        <v/>
      </c>
      <c r="G40" s="49">
        <f>Saldos_Capital_Mensual!G40</f>
        <v/>
      </c>
      <c r="H40" s="50">
        <f>Saldos_Capital_Mensual!H40</f>
        <v/>
      </c>
      <c r="I40" s="50">
        <f>Saldos_Capital_Mensual!I40</f>
        <v/>
      </c>
      <c r="J40" s="50">
        <f>Saldos_Capital_Mensual!J40</f>
        <v/>
      </c>
      <c r="K40" s="50">
        <f>Saldos_Capital_Mensual!K40</f>
        <v/>
      </c>
      <c r="L40" s="50">
        <f>Saldos_Capital_Mensual!L40</f>
        <v/>
      </c>
      <c r="M40" s="50">
        <f>Saldos_Capital_Mensual!M40</f>
        <v/>
      </c>
      <c r="N40" s="50">
        <f>Saldos_Capital_Mensual!N40</f>
        <v/>
      </c>
      <c r="O40" s="50">
        <f>Saldos_Capital_Mensual!O40</f>
        <v/>
      </c>
      <c r="P40" s="50">
        <f>Saldos_Capital_Mensual!P40</f>
        <v/>
      </c>
      <c r="Q40" s="50">
        <f>Saldos_Capital_Mensual!Q40</f>
        <v/>
      </c>
      <c r="R40" s="50">
        <f>Saldos_Capital_Mensual!R40</f>
        <v/>
      </c>
      <c r="S40" s="50">
        <f>Saldos_Capital_Mensual!S40</f>
        <v/>
      </c>
      <c r="T40" s="50">
        <f>Saldos_Capital_Mensual!T40</f>
        <v/>
      </c>
      <c r="U40" s="50">
        <f>Saldos_Capital_Mensual!U40</f>
        <v/>
      </c>
    </row>
    <row r="41">
      <c r="A41" s="48">
        <f>Saldos_Capital_Mensual!A41</f>
        <v/>
      </c>
      <c r="B41" s="48">
        <f>Saldos_Capital_Mensual!B41</f>
        <v/>
      </c>
      <c r="C41" s="48">
        <f>Saldos_Capital_Mensual!C41</f>
        <v/>
      </c>
      <c r="D41" s="48">
        <f>Saldos_Capital_Mensual!D41</f>
        <v/>
      </c>
      <c r="E41" s="48">
        <f>Saldos_Capital_Mensual!E41</f>
        <v/>
      </c>
      <c r="F41" s="48">
        <f>Saldos_Capital_Mensual!F41</f>
        <v/>
      </c>
      <c r="G41" s="49">
        <f>Saldos_Capital_Mensual!G41</f>
        <v/>
      </c>
      <c r="H41" s="50">
        <f>Saldos_Capital_Mensual!H41</f>
        <v/>
      </c>
      <c r="I41" s="50">
        <f>Saldos_Capital_Mensual!I41</f>
        <v/>
      </c>
      <c r="J41" s="50">
        <f>Saldos_Capital_Mensual!J41</f>
        <v/>
      </c>
      <c r="K41" s="50">
        <f>Saldos_Capital_Mensual!K41</f>
        <v/>
      </c>
      <c r="L41" s="50">
        <f>Saldos_Capital_Mensual!L41</f>
        <v/>
      </c>
      <c r="M41" s="50">
        <f>Saldos_Capital_Mensual!M41</f>
        <v/>
      </c>
      <c r="N41" s="50">
        <f>Saldos_Capital_Mensual!N41</f>
        <v/>
      </c>
      <c r="O41" s="50">
        <f>Saldos_Capital_Mensual!O41</f>
        <v/>
      </c>
      <c r="P41" s="50">
        <f>Saldos_Capital_Mensual!P41</f>
        <v/>
      </c>
      <c r="Q41" s="50">
        <f>Saldos_Capital_Mensual!Q41</f>
        <v/>
      </c>
      <c r="R41" s="50">
        <f>Saldos_Capital_Mensual!R41</f>
        <v/>
      </c>
      <c r="S41" s="50">
        <f>Saldos_Capital_Mensual!S41</f>
        <v/>
      </c>
      <c r="T41" s="50">
        <f>Saldos_Capital_Mensual!T41</f>
        <v/>
      </c>
      <c r="U41" s="50">
        <f>Saldos_Capital_Mensual!U41</f>
        <v/>
      </c>
    </row>
    <row r="42">
      <c r="A42" s="48">
        <f>Saldos_Capital_Mensual!A42</f>
        <v/>
      </c>
      <c r="B42" s="48">
        <f>Saldos_Capital_Mensual!B42</f>
        <v/>
      </c>
      <c r="C42" s="48">
        <f>Saldos_Capital_Mensual!C42</f>
        <v/>
      </c>
      <c r="D42" s="48">
        <f>Saldos_Capital_Mensual!D42</f>
        <v/>
      </c>
      <c r="E42" s="48">
        <f>Saldos_Capital_Mensual!E42</f>
        <v/>
      </c>
      <c r="F42" s="48">
        <f>Saldos_Capital_Mensual!F42</f>
        <v/>
      </c>
      <c r="G42" s="49">
        <f>Saldos_Capital_Mensual!G42</f>
        <v/>
      </c>
      <c r="H42" s="50">
        <f>Saldos_Capital_Mensual!H42</f>
        <v/>
      </c>
      <c r="I42" s="50">
        <f>Saldos_Capital_Mensual!I42</f>
        <v/>
      </c>
      <c r="J42" s="50">
        <f>Saldos_Capital_Mensual!J42</f>
        <v/>
      </c>
      <c r="K42" s="50">
        <f>Saldos_Capital_Mensual!K42</f>
        <v/>
      </c>
      <c r="L42" s="50">
        <f>Saldos_Capital_Mensual!L42</f>
        <v/>
      </c>
      <c r="M42" s="50">
        <f>Saldos_Capital_Mensual!M42</f>
        <v/>
      </c>
      <c r="N42" s="50">
        <f>Saldos_Capital_Mensual!N42</f>
        <v/>
      </c>
      <c r="O42" s="50">
        <f>Saldos_Capital_Mensual!O42</f>
        <v/>
      </c>
      <c r="P42" s="50">
        <f>Saldos_Capital_Mensual!P42</f>
        <v/>
      </c>
      <c r="Q42" s="50">
        <f>Saldos_Capital_Mensual!Q42</f>
        <v/>
      </c>
      <c r="R42" s="50">
        <f>Saldos_Capital_Mensual!R42</f>
        <v/>
      </c>
      <c r="S42" s="50">
        <f>Saldos_Capital_Mensual!S42</f>
        <v/>
      </c>
      <c r="T42" s="50">
        <f>Saldos_Capital_Mensual!T42</f>
        <v/>
      </c>
      <c r="U42" s="50">
        <f>Saldos_Capital_Mensual!U42</f>
        <v/>
      </c>
    </row>
    <row r="43">
      <c r="A43" s="48">
        <f>Saldos_Capital_Mensual!A43</f>
        <v/>
      </c>
      <c r="B43" s="48">
        <f>Saldos_Capital_Mensual!B43</f>
        <v/>
      </c>
      <c r="C43" s="48">
        <f>Saldos_Capital_Mensual!C43</f>
        <v/>
      </c>
      <c r="D43" s="48">
        <f>Saldos_Capital_Mensual!D43</f>
        <v/>
      </c>
      <c r="E43" s="48">
        <f>Saldos_Capital_Mensual!E43</f>
        <v/>
      </c>
      <c r="F43" s="48">
        <f>Saldos_Capital_Mensual!F43</f>
        <v/>
      </c>
      <c r="G43" s="49">
        <f>Saldos_Capital_Mensual!G43</f>
        <v/>
      </c>
      <c r="H43" s="50">
        <f>Saldos_Capital_Mensual!H43</f>
        <v/>
      </c>
      <c r="I43" s="50">
        <f>Saldos_Capital_Mensual!I43</f>
        <v/>
      </c>
      <c r="J43" s="50">
        <f>Saldos_Capital_Mensual!J43</f>
        <v/>
      </c>
      <c r="K43" s="50">
        <f>Saldos_Capital_Mensual!K43</f>
        <v/>
      </c>
      <c r="L43" s="50">
        <f>Saldos_Capital_Mensual!L43</f>
        <v/>
      </c>
      <c r="M43" s="50">
        <f>Saldos_Capital_Mensual!M43</f>
        <v/>
      </c>
      <c r="N43" s="50">
        <f>Saldos_Capital_Mensual!N43</f>
        <v/>
      </c>
      <c r="O43" s="50">
        <f>Saldos_Capital_Mensual!O43</f>
        <v/>
      </c>
      <c r="P43" s="50">
        <f>Saldos_Capital_Mensual!P43</f>
        <v/>
      </c>
      <c r="Q43" s="50">
        <f>Saldos_Capital_Mensual!Q43</f>
        <v/>
      </c>
      <c r="R43" s="50">
        <f>Saldos_Capital_Mensual!R43</f>
        <v/>
      </c>
      <c r="S43" s="50">
        <f>Saldos_Capital_Mensual!S43</f>
        <v/>
      </c>
      <c r="T43" s="50">
        <f>Saldos_Capital_Mensual!T43</f>
        <v/>
      </c>
      <c r="U43" s="50">
        <f>Saldos_Capital_Mensual!U43</f>
        <v/>
      </c>
    </row>
    <row r="44">
      <c r="A44" s="48">
        <f>Saldos_Capital_Mensual!A44</f>
        <v/>
      </c>
      <c r="B44" s="48">
        <f>Saldos_Capital_Mensual!B44</f>
        <v/>
      </c>
      <c r="C44" s="48">
        <f>Saldos_Capital_Mensual!C44</f>
        <v/>
      </c>
      <c r="D44" s="48">
        <f>Saldos_Capital_Mensual!D44</f>
        <v/>
      </c>
      <c r="E44" s="48">
        <f>Saldos_Capital_Mensual!E44</f>
        <v/>
      </c>
      <c r="F44" s="48">
        <f>Saldos_Capital_Mensual!F44</f>
        <v/>
      </c>
      <c r="G44" s="49">
        <f>Saldos_Capital_Mensual!G44</f>
        <v/>
      </c>
      <c r="H44" s="50">
        <f>Saldos_Capital_Mensual!H44</f>
        <v/>
      </c>
      <c r="I44" s="50">
        <f>Saldos_Capital_Mensual!I44</f>
        <v/>
      </c>
      <c r="J44" s="50">
        <f>Saldos_Capital_Mensual!J44</f>
        <v/>
      </c>
      <c r="K44" s="50">
        <f>Saldos_Capital_Mensual!K44</f>
        <v/>
      </c>
      <c r="L44" s="50">
        <f>Saldos_Capital_Mensual!L44</f>
        <v/>
      </c>
      <c r="M44" s="50">
        <f>Saldos_Capital_Mensual!M44</f>
        <v/>
      </c>
      <c r="N44" s="50">
        <f>Saldos_Capital_Mensual!N44</f>
        <v/>
      </c>
      <c r="O44" s="50">
        <f>Saldos_Capital_Mensual!O44</f>
        <v/>
      </c>
      <c r="P44" s="50">
        <f>Saldos_Capital_Mensual!P44</f>
        <v/>
      </c>
      <c r="Q44" s="50">
        <f>Saldos_Capital_Mensual!Q44</f>
        <v/>
      </c>
      <c r="R44" s="50">
        <f>Saldos_Capital_Mensual!R44</f>
        <v/>
      </c>
      <c r="S44" s="50">
        <f>Saldos_Capital_Mensual!S44</f>
        <v/>
      </c>
      <c r="T44" s="50">
        <f>Saldos_Capital_Mensual!T44</f>
        <v/>
      </c>
      <c r="U44" s="50">
        <f>Saldos_Capital_Mensual!U44</f>
        <v/>
      </c>
    </row>
    <row r="45">
      <c r="A45" s="48">
        <f>Saldos_Capital_Mensual!A45</f>
        <v/>
      </c>
      <c r="B45" s="48">
        <f>Saldos_Capital_Mensual!B45</f>
        <v/>
      </c>
      <c r="C45" s="48">
        <f>Saldos_Capital_Mensual!C45</f>
        <v/>
      </c>
      <c r="D45" s="48">
        <f>Saldos_Capital_Mensual!D45</f>
        <v/>
      </c>
      <c r="E45" s="48">
        <f>Saldos_Capital_Mensual!E45</f>
        <v/>
      </c>
      <c r="F45" s="48">
        <f>Saldos_Capital_Mensual!F45</f>
        <v/>
      </c>
      <c r="G45" s="49">
        <f>Saldos_Capital_Mensual!G45</f>
        <v/>
      </c>
      <c r="H45" s="50">
        <f>Saldos_Capital_Mensual!H45</f>
        <v/>
      </c>
      <c r="I45" s="50">
        <f>Saldos_Capital_Mensual!I45</f>
        <v/>
      </c>
      <c r="J45" s="50">
        <f>Saldos_Capital_Mensual!J45</f>
        <v/>
      </c>
      <c r="K45" s="50">
        <f>Saldos_Capital_Mensual!K45</f>
        <v/>
      </c>
      <c r="L45" s="50">
        <f>Saldos_Capital_Mensual!L45</f>
        <v/>
      </c>
      <c r="M45" s="50">
        <f>Saldos_Capital_Mensual!M45</f>
        <v/>
      </c>
      <c r="N45" s="50">
        <f>Saldos_Capital_Mensual!N45</f>
        <v/>
      </c>
      <c r="O45" s="50">
        <f>Saldos_Capital_Mensual!O45</f>
        <v/>
      </c>
      <c r="P45" s="50">
        <f>Saldos_Capital_Mensual!P45</f>
        <v/>
      </c>
      <c r="Q45" s="50">
        <f>Saldos_Capital_Mensual!Q45</f>
        <v/>
      </c>
      <c r="R45" s="50">
        <f>Saldos_Capital_Mensual!R45</f>
        <v/>
      </c>
      <c r="S45" s="50">
        <f>Saldos_Capital_Mensual!S45</f>
        <v/>
      </c>
      <c r="T45" s="50">
        <f>Saldos_Capital_Mensual!T45</f>
        <v/>
      </c>
      <c r="U45" s="50">
        <f>Saldos_Capital_Mensual!U45</f>
        <v/>
      </c>
    </row>
    <row r="46">
      <c r="A46" s="48">
        <f>Saldos_Capital_Mensual!A46</f>
        <v/>
      </c>
      <c r="B46" s="48">
        <f>Saldos_Capital_Mensual!B46</f>
        <v/>
      </c>
      <c r="C46" s="48">
        <f>Saldos_Capital_Mensual!C46</f>
        <v/>
      </c>
      <c r="D46" s="48">
        <f>Saldos_Capital_Mensual!D46</f>
        <v/>
      </c>
      <c r="E46" s="48">
        <f>Saldos_Capital_Mensual!E46</f>
        <v/>
      </c>
      <c r="F46" s="48">
        <f>Saldos_Capital_Mensual!F46</f>
        <v/>
      </c>
      <c r="G46" s="49">
        <f>Saldos_Capital_Mensual!G46</f>
        <v/>
      </c>
      <c r="H46" s="50">
        <f>Saldos_Capital_Mensual!H46</f>
        <v/>
      </c>
      <c r="I46" s="50">
        <f>Saldos_Capital_Mensual!I46</f>
        <v/>
      </c>
      <c r="J46" s="50">
        <f>Saldos_Capital_Mensual!J46</f>
        <v/>
      </c>
      <c r="K46" s="50">
        <f>Saldos_Capital_Mensual!K46</f>
        <v/>
      </c>
      <c r="L46" s="50">
        <f>Saldos_Capital_Mensual!L46</f>
        <v/>
      </c>
      <c r="M46" s="50">
        <f>Saldos_Capital_Mensual!M46</f>
        <v/>
      </c>
      <c r="N46" s="50">
        <f>Saldos_Capital_Mensual!N46</f>
        <v/>
      </c>
      <c r="O46" s="50">
        <f>Saldos_Capital_Mensual!O46</f>
        <v/>
      </c>
      <c r="P46" s="50">
        <f>Saldos_Capital_Mensual!P46</f>
        <v/>
      </c>
      <c r="Q46" s="50">
        <f>Saldos_Capital_Mensual!Q46</f>
        <v/>
      </c>
      <c r="R46" s="50">
        <f>Saldos_Capital_Mensual!R46</f>
        <v/>
      </c>
      <c r="S46" s="50">
        <f>Saldos_Capital_Mensual!S46</f>
        <v/>
      </c>
      <c r="T46" s="50">
        <f>Saldos_Capital_Mensual!T46</f>
        <v/>
      </c>
      <c r="U46" s="50">
        <f>Saldos_Capital_Mensual!U46</f>
        <v/>
      </c>
    </row>
    <row r="47">
      <c r="A47" s="48">
        <f>Saldos_Capital_Mensual!A47</f>
        <v/>
      </c>
      <c r="B47" s="48">
        <f>Saldos_Capital_Mensual!B47</f>
        <v/>
      </c>
      <c r="C47" s="48">
        <f>Saldos_Capital_Mensual!C47</f>
        <v/>
      </c>
      <c r="D47" s="48">
        <f>Saldos_Capital_Mensual!D47</f>
        <v/>
      </c>
      <c r="E47" s="48">
        <f>Saldos_Capital_Mensual!E47</f>
        <v/>
      </c>
      <c r="F47" s="48">
        <f>Saldos_Capital_Mensual!F47</f>
        <v/>
      </c>
      <c r="G47" s="49">
        <f>Saldos_Capital_Mensual!G47</f>
        <v/>
      </c>
      <c r="H47" s="50">
        <f>Saldos_Capital_Mensual!H47</f>
        <v/>
      </c>
      <c r="I47" s="50">
        <f>Saldos_Capital_Mensual!I47</f>
        <v/>
      </c>
      <c r="J47" s="50">
        <f>Saldos_Capital_Mensual!J47</f>
        <v/>
      </c>
      <c r="K47" s="50">
        <f>Saldos_Capital_Mensual!K47</f>
        <v/>
      </c>
      <c r="L47" s="50">
        <f>Saldos_Capital_Mensual!L47</f>
        <v/>
      </c>
      <c r="M47" s="50">
        <f>Saldos_Capital_Mensual!M47</f>
        <v/>
      </c>
      <c r="N47" s="50">
        <f>Saldos_Capital_Mensual!N47</f>
        <v/>
      </c>
      <c r="O47" s="50">
        <f>Saldos_Capital_Mensual!O47</f>
        <v/>
      </c>
      <c r="P47" s="50">
        <f>Saldos_Capital_Mensual!P47</f>
        <v/>
      </c>
      <c r="Q47" s="50">
        <f>Saldos_Capital_Mensual!Q47</f>
        <v/>
      </c>
      <c r="R47" s="50">
        <f>Saldos_Capital_Mensual!R47</f>
        <v/>
      </c>
      <c r="S47" s="50">
        <f>Saldos_Capital_Mensual!S47</f>
        <v/>
      </c>
      <c r="T47" s="50">
        <f>Saldos_Capital_Mensual!T47</f>
        <v/>
      </c>
      <c r="U47" s="50">
        <f>Saldos_Capital_Mensual!U47</f>
        <v/>
      </c>
    </row>
    <row r="48">
      <c r="A48" s="48">
        <f>Saldos_Capital_Mensual!A48</f>
        <v/>
      </c>
      <c r="B48" s="48">
        <f>Saldos_Capital_Mensual!B48</f>
        <v/>
      </c>
      <c r="C48" s="48">
        <f>Saldos_Capital_Mensual!C48</f>
        <v/>
      </c>
      <c r="D48" s="48">
        <f>Saldos_Capital_Mensual!D48</f>
        <v/>
      </c>
      <c r="E48" s="48">
        <f>Saldos_Capital_Mensual!E48</f>
        <v/>
      </c>
      <c r="F48" s="48">
        <f>Saldos_Capital_Mensual!F48</f>
        <v/>
      </c>
      <c r="G48" s="49">
        <f>Saldos_Capital_Mensual!G48</f>
        <v/>
      </c>
      <c r="H48" s="50">
        <f>Saldos_Capital_Mensual!H48</f>
        <v/>
      </c>
      <c r="I48" s="50">
        <f>Saldos_Capital_Mensual!I48</f>
        <v/>
      </c>
      <c r="J48" s="50">
        <f>Saldos_Capital_Mensual!J48</f>
        <v/>
      </c>
      <c r="K48" s="50">
        <f>Saldos_Capital_Mensual!K48</f>
        <v/>
      </c>
      <c r="L48" s="50">
        <f>Saldos_Capital_Mensual!L48</f>
        <v/>
      </c>
      <c r="M48" s="50">
        <f>Saldos_Capital_Mensual!M48</f>
        <v/>
      </c>
      <c r="N48" s="50">
        <f>Saldos_Capital_Mensual!N48</f>
        <v/>
      </c>
      <c r="O48" s="50">
        <f>Saldos_Capital_Mensual!O48</f>
        <v/>
      </c>
      <c r="P48" s="50">
        <f>Saldos_Capital_Mensual!P48</f>
        <v/>
      </c>
      <c r="Q48" s="50">
        <f>Saldos_Capital_Mensual!Q48</f>
        <v/>
      </c>
      <c r="R48" s="50">
        <f>Saldos_Capital_Mensual!R48</f>
        <v/>
      </c>
      <c r="S48" s="50">
        <f>Saldos_Capital_Mensual!S48</f>
        <v/>
      </c>
      <c r="T48" s="50">
        <f>Saldos_Capital_Mensual!T48</f>
        <v/>
      </c>
      <c r="U48" s="50">
        <f>Saldos_Capital_Mensual!U48</f>
        <v/>
      </c>
    </row>
    <row r="49">
      <c r="A49" s="48">
        <f>Saldos_Capital_Mensual!A49</f>
        <v/>
      </c>
      <c r="B49" s="48">
        <f>Saldos_Capital_Mensual!B49</f>
        <v/>
      </c>
      <c r="C49" s="48">
        <f>Saldos_Capital_Mensual!C49</f>
        <v/>
      </c>
      <c r="D49" s="48">
        <f>Saldos_Capital_Mensual!D49</f>
        <v/>
      </c>
      <c r="E49" s="48">
        <f>Saldos_Capital_Mensual!E49</f>
        <v/>
      </c>
      <c r="F49" s="48">
        <f>Saldos_Capital_Mensual!F49</f>
        <v/>
      </c>
      <c r="G49" s="49">
        <f>Saldos_Capital_Mensual!G49</f>
        <v/>
      </c>
      <c r="H49" s="50">
        <f>Saldos_Capital_Mensual!H49</f>
        <v/>
      </c>
      <c r="I49" s="50">
        <f>Saldos_Capital_Mensual!I49</f>
        <v/>
      </c>
      <c r="J49" s="50">
        <f>Saldos_Capital_Mensual!J49</f>
        <v/>
      </c>
      <c r="K49" s="50">
        <f>Saldos_Capital_Mensual!K49</f>
        <v/>
      </c>
      <c r="L49" s="50">
        <f>Saldos_Capital_Mensual!L49</f>
        <v/>
      </c>
      <c r="M49" s="50">
        <f>Saldos_Capital_Mensual!M49</f>
        <v/>
      </c>
      <c r="N49" s="50">
        <f>Saldos_Capital_Mensual!N49</f>
        <v/>
      </c>
      <c r="O49" s="50">
        <f>Saldos_Capital_Mensual!O49</f>
        <v/>
      </c>
      <c r="P49" s="50">
        <f>Saldos_Capital_Mensual!P49</f>
        <v/>
      </c>
      <c r="Q49" s="50">
        <f>Saldos_Capital_Mensual!Q49</f>
        <v/>
      </c>
      <c r="R49" s="50">
        <f>Saldos_Capital_Mensual!R49</f>
        <v/>
      </c>
      <c r="S49" s="50">
        <f>Saldos_Capital_Mensual!S49</f>
        <v/>
      </c>
      <c r="T49" s="50">
        <f>Saldos_Capital_Mensual!T49</f>
        <v/>
      </c>
      <c r="U49" s="50">
        <f>Saldos_Capital_Mensual!U49</f>
        <v/>
      </c>
    </row>
    <row r="50">
      <c r="A50" s="48">
        <f>Saldos_Capital_Mensual!A50</f>
        <v/>
      </c>
      <c r="B50" s="48">
        <f>Saldos_Capital_Mensual!B50</f>
        <v/>
      </c>
      <c r="C50" s="48">
        <f>Saldos_Capital_Mensual!C50</f>
        <v/>
      </c>
      <c r="D50" s="48">
        <f>Saldos_Capital_Mensual!D50</f>
        <v/>
      </c>
      <c r="E50" s="48">
        <f>Saldos_Capital_Mensual!E50</f>
        <v/>
      </c>
      <c r="F50" s="48">
        <f>Saldos_Capital_Mensual!F50</f>
        <v/>
      </c>
      <c r="G50" s="49">
        <f>Saldos_Capital_Mensual!G50</f>
        <v/>
      </c>
      <c r="H50" s="50">
        <f>Saldos_Capital_Mensual!H50</f>
        <v/>
      </c>
      <c r="I50" s="50">
        <f>Saldos_Capital_Mensual!I50</f>
        <v/>
      </c>
      <c r="J50" s="50">
        <f>Saldos_Capital_Mensual!J50</f>
        <v/>
      </c>
      <c r="K50" s="50">
        <f>Saldos_Capital_Mensual!K50</f>
        <v/>
      </c>
      <c r="L50" s="50">
        <f>Saldos_Capital_Mensual!L50</f>
        <v/>
      </c>
      <c r="M50" s="50">
        <f>Saldos_Capital_Mensual!M50</f>
        <v/>
      </c>
      <c r="N50" s="50">
        <f>Saldos_Capital_Mensual!N50</f>
        <v/>
      </c>
      <c r="O50" s="50">
        <f>Saldos_Capital_Mensual!O50</f>
        <v/>
      </c>
      <c r="P50" s="50">
        <f>Saldos_Capital_Mensual!P50</f>
        <v/>
      </c>
      <c r="Q50" s="50">
        <f>Saldos_Capital_Mensual!Q50</f>
        <v/>
      </c>
      <c r="R50" s="50">
        <f>Saldos_Capital_Mensual!R50</f>
        <v/>
      </c>
      <c r="S50" s="50">
        <f>Saldos_Capital_Mensual!S50</f>
        <v/>
      </c>
      <c r="T50" s="50">
        <f>Saldos_Capital_Mensual!T50</f>
        <v/>
      </c>
      <c r="U50" s="50">
        <f>Saldos_Capital_Mensual!U50</f>
        <v/>
      </c>
    </row>
    <row r="51">
      <c r="A51" s="48">
        <f>Saldos_Capital_Mensual!A51</f>
        <v/>
      </c>
      <c r="B51" s="48">
        <f>Saldos_Capital_Mensual!B51</f>
        <v/>
      </c>
      <c r="C51" s="48">
        <f>Saldos_Capital_Mensual!C51</f>
        <v/>
      </c>
      <c r="D51" s="48">
        <f>Saldos_Capital_Mensual!D51</f>
        <v/>
      </c>
      <c r="E51" s="48">
        <f>Saldos_Capital_Mensual!E51</f>
        <v/>
      </c>
      <c r="F51" s="48">
        <f>Saldos_Capital_Mensual!F51</f>
        <v/>
      </c>
      <c r="G51" s="49">
        <f>Saldos_Capital_Mensual!G51</f>
        <v/>
      </c>
      <c r="H51" s="50">
        <f>Saldos_Capital_Mensual!H51</f>
        <v/>
      </c>
      <c r="I51" s="50">
        <f>Saldos_Capital_Mensual!I51</f>
        <v/>
      </c>
      <c r="J51" s="50">
        <f>Saldos_Capital_Mensual!J51</f>
        <v/>
      </c>
      <c r="K51" s="50">
        <f>Saldos_Capital_Mensual!K51</f>
        <v/>
      </c>
      <c r="L51" s="50">
        <f>Saldos_Capital_Mensual!L51</f>
        <v/>
      </c>
      <c r="M51" s="50">
        <f>Saldos_Capital_Mensual!M51</f>
        <v/>
      </c>
      <c r="N51" s="50">
        <f>Saldos_Capital_Mensual!N51</f>
        <v/>
      </c>
      <c r="O51" s="50">
        <f>Saldos_Capital_Mensual!O51</f>
        <v/>
      </c>
      <c r="P51" s="50">
        <f>Saldos_Capital_Mensual!P51</f>
        <v/>
      </c>
      <c r="Q51" s="50">
        <f>Saldos_Capital_Mensual!Q51</f>
        <v/>
      </c>
      <c r="R51" s="50">
        <f>Saldos_Capital_Mensual!R51</f>
        <v/>
      </c>
      <c r="S51" s="50">
        <f>Saldos_Capital_Mensual!S51</f>
        <v/>
      </c>
      <c r="T51" s="50">
        <f>Saldos_Capital_Mensual!T51</f>
        <v/>
      </c>
      <c r="U51" s="50">
        <f>Saldos_Capital_Mensual!U51</f>
        <v/>
      </c>
    </row>
    <row r="52">
      <c r="A52" s="48">
        <f>Saldos_Capital_Mensual!A52</f>
        <v/>
      </c>
      <c r="B52" s="48">
        <f>Saldos_Capital_Mensual!B52</f>
        <v/>
      </c>
      <c r="C52" s="48">
        <f>Saldos_Capital_Mensual!C52</f>
        <v/>
      </c>
      <c r="D52" s="48">
        <f>Saldos_Capital_Mensual!D52</f>
        <v/>
      </c>
      <c r="E52" s="48">
        <f>Saldos_Capital_Mensual!E52</f>
        <v/>
      </c>
      <c r="F52" s="48">
        <f>Saldos_Capital_Mensual!F52</f>
        <v/>
      </c>
      <c r="G52" s="49">
        <f>Saldos_Capital_Mensual!G52</f>
        <v/>
      </c>
      <c r="H52" s="50">
        <f>Saldos_Capital_Mensual!H52</f>
        <v/>
      </c>
      <c r="I52" s="50">
        <f>Saldos_Capital_Mensual!I52</f>
        <v/>
      </c>
      <c r="J52" s="50">
        <f>Saldos_Capital_Mensual!J52</f>
        <v/>
      </c>
      <c r="K52" s="50">
        <f>Saldos_Capital_Mensual!K52</f>
        <v/>
      </c>
      <c r="L52" s="50">
        <f>Saldos_Capital_Mensual!L52</f>
        <v/>
      </c>
      <c r="M52" s="50">
        <f>Saldos_Capital_Mensual!M52</f>
        <v/>
      </c>
      <c r="N52" s="50">
        <f>Saldos_Capital_Mensual!N52</f>
        <v/>
      </c>
      <c r="O52" s="50">
        <f>Saldos_Capital_Mensual!O52</f>
        <v/>
      </c>
      <c r="P52" s="50">
        <f>Saldos_Capital_Mensual!P52</f>
        <v/>
      </c>
      <c r="Q52" s="50">
        <f>Saldos_Capital_Mensual!Q52</f>
        <v/>
      </c>
      <c r="R52" s="50">
        <f>Saldos_Capital_Mensual!R52</f>
        <v/>
      </c>
      <c r="S52" s="50">
        <f>Saldos_Capital_Mensual!S52</f>
        <v/>
      </c>
      <c r="T52" s="50">
        <f>Saldos_Capital_Mensual!T52</f>
        <v/>
      </c>
      <c r="U52" s="50">
        <f>Saldos_Capital_Mensual!U52</f>
        <v/>
      </c>
    </row>
    <row r="53">
      <c r="A53" s="48">
        <f>Saldos_Capital_Mensual!A53</f>
        <v/>
      </c>
      <c r="B53" s="48">
        <f>Saldos_Capital_Mensual!B53</f>
        <v/>
      </c>
      <c r="C53" s="48">
        <f>Saldos_Capital_Mensual!C53</f>
        <v/>
      </c>
      <c r="D53" s="48">
        <f>Saldos_Capital_Mensual!D53</f>
        <v/>
      </c>
      <c r="E53" s="48">
        <f>Saldos_Capital_Mensual!E53</f>
        <v/>
      </c>
      <c r="F53" s="48">
        <f>Saldos_Capital_Mensual!F53</f>
        <v/>
      </c>
      <c r="G53" s="49">
        <f>Saldos_Capital_Mensual!G53</f>
        <v/>
      </c>
      <c r="H53" s="50">
        <f>Saldos_Capital_Mensual!H53</f>
        <v/>
      </c>
      <c r="I53" s="50">
        <f>Saldos_Capital_Mensual!I53</f>
        <v/>
      </c>
      <c r="J53" s="50">
        <f>Saldos_Capital_Mensual!J53</f>
        <v/>
      </c>
      <c r="K53" s="50">
        <f>Saldos_Capital_Mensual!K53</f>
        <v/>
      </c>
      <c r="L53" s="50">
        <f>Saldos_Capital_Mensual!L53</f>
        <v/>
      </c>
      <c r="M53" s="50">
        <f>Saldos_Capital_Mensual!M53</f>
        <v/>
      </c>
      <c r="N53" s="50">
        <f>Saldos_Capital_Mensual!N53</f>
        <v/>
      </c>
      <c r="O53" s="50">
        <f>Saldos_Capital_Mensual!O53</f>
        <v/>
      </c>
      <c r="P53" s="50">
        <f>Saldos_Capital_Mensual!P53</f>
        <v/>
      </c>
      <c r="Q53" s="50">
        <f>Saldos_Capital_Mensual!Q53</f>
        <v/>
      </c>
      <c r="R53" s="50">
        <f>Saldos_Capital_Mensual!R53</f>
        <v/>
      </c>
      <c r="S53" s="50">
        <f>Saldos_Capital_Mensual!S53</f>
        <v/>
      </c>
      <c r="T53" s="50">
        <f>Saldos_Capital_Mensual!T53</f>
        <v/>
      </c>
      <c r="U53" s="50">
        <f>Saldos_Capital_Mensual!U53</f>
        <v/>
      </c>
    </row>
    <row r="54">
      <c r="A54" s="48">
        <f>Saldos_Capital_Mensual!A54</f>
        <v/>
      </c>
      <c r="B54" s="48">
        <f>Saldos_Capital_Mensual!B54</f>
        <v/>
      </c>
      <c r="C54" s="48">
        <f>Saldos_Capital_Mensual!C54</f>
        <v/>
      </c>
      <c r="D54" s="48">
        <f>Saldos_Capital_Mensual!D54</f>
        <v/>
      </c>
      <c r="E54" s="48">
        <f>Saldos_Capital_Mensual!E54</f>
        <v/>
      </c>
      <c r="F54" s="48">
        <f>Saldos_Capital_Mensual!F54</f>
        <v/>
      </c>
      <c r="G54" s="49">
        <f>Saldos_Capital_Mensual!G54</f>
        <v/>
      </c>
      <c r="H54" s="50">
        <f>Saldos_Capital_Mensual!H54</f>
        <v/>
      </c>
      <c r="I54" s="50">
        <f>Saldos_Capital_Mensual!I54</f>
        <v/>
      </c>
      <c r="J54" s="50">
        <f>Saldos_Capital_Mensual!J54</f>
        <v/>
      </c>
      <c r="K54" s="50">
        <f>Saldos_Capital_Mensual!K54</f>
        <v/>
      </c>
      <c r="L54" s="50">
        <f>Saldos_Capital_Mensual!L54</f>
        <v/>
      </c>
      <c r="M54" s="50">
        <f>Saldos_Capital_Mensual!M54</f>
        <v/>
      </c>
      <c r="N54" s="50">
        <f>Saldos_Capital_Mensual!N54</f>
        <v/>
      </c>
      <c r="O54" s="50">
        <f>Saldos_Capital_Mensual!O54</f>
        <v/>
      </c>
      <c r="P54" s="50">
        <f>Saldos_Capital_Mensual!P54</f>
        <v/>
      </c>
      <c r="Q54" s="50">
        <f>Saldos_Capital_Mensual!Q54</f>
        <v/>
      </c>
      <c r="R54" s="50">
        <f>Saldos_Capital_Mensual!R54</f>
        <v/>
      </c>
      <c r="S54" s="50">
        <f>Saldos_Capital_Mensual!S54</f>
        <v/>
      </c>
      <c r="T54" s="50">
        <f>Saldos_Capital_Mensual!T54</f>
        <v/>
      </c>
      <c r="U54" s="50">
        <f>Saldos_Capital_Mensual!U54</f>
        <v/>
      </c>
    </row>
    <row r="55">
      <c r="A55" s="48">
        <f>Saldos_Capital_Mensual!A55</f>
        <v/>
      </c>
      <c r="B55" s="48">
        <f>Saldos_Capital_Mensual!B55</f>
        <v/>
      </c>
      <c r="C55" s="48">
        <f>Saldos_Capital_Mensual!C55</f>
        <v/>
      </c>
      <c r="D55" s="48">
        <f>Saldos_Capital_Mensual!D55</f>
        <v/>
      </c>
      <c r="E55" s="48">
        <f>Saldos_Capital_Mensual!E55</f>
        <v/>
      </c>
      <c r="F55" s="48">
        <f>Saldos_Capital_Mensual!F55</f>
        <v/>
      </c>
      <c r="G55" s="49">
        <f>Saldos_Capital_Mensual!G55</f>
        <v/>
      </c>
      <c r="H55" s="50">
        <f>Saldos_Capital_Mensual!H55</f>
        <v/>
      </c>
      <c r="I55" s="50">
        <f>Saldos_Capital_Mensual!I55</f>
        <v/>
      </c>
      <c r="J55" s="50">
        <f>Saldos_Capital_Mensual!J55</f>
        <v/>
      </c>
      <c r="K55" s="50">
        <f>Saldos_Capital_Mensual!K55</f>
        <v/>
      </c>
      <c r="L55" s="50">
        <f>Saldos_Capital_Mensual!L55</f>
        <v/>
      </c>
      <c r="M55" s="50">
        <f>Saldos_Capital_Mensual!M55</f>
        <v/>
      </c>
      <c r="N55" s="50">
        <f>Saldos_Capital_Mensual!N55</f>
        <v/>
      </c>
      <c r="O55" s="50">
        <f>Saldos_Capital_Mensual!O55</f>
        <v/>
      </c>
      <c r="P55" s="50">
        <f>Saldos_Capital_Mensual!P55</f>
        <v/>
      </c>
      <c r="Q55" s="50">
        <f>Saldos_Capital_Mensual!Q55</f>
        <v/>
      </c>
      <c r="R55" s="50">
        <f>Saldos_Capital_Mensual!R55</f>
        <v/>
      </c>
      <c r="S55" s="50">
        <f>Saldos_Capital_Mensual!S55</f>
        <v/>
      </c>
      <c r="T55" s="50">
        <f>Saldos_Capital_Mensual!T55</f>
        <v/>
      </c>
      <c r="U55" s="50">
        <f>Saldos_Capital_Mensual!U55</f>
        <v/>
      </c>
    </row>
    <row r="56">
      <c r="A56" s="48">
        <f>Saldos_Capital_Mensual!A56</f>
        <v/>
      </c>
      <c r="B56" s="48">
        <f>Saldos_Capital_Mensual!B56</f>
        <v/>
      </c>
      <c r="C56" s="48">
        <f>Saldos_Capital_Mensual!C56</f>
        <v/>
      </c>
      <c r="D56" s="48">
        <f>Saldos_Capital_Mensual!D56</f>
        <v/>
      </c>
      <c r="E56" s="48">
        <f>Saldos_Capital_Mensual!E56</f>
        <v/>
      </c>
      <c r="F56" s="48">
        <f>Saldos_Capital_Mensual!F56</f>
        <v/>
      </c>
      <c r="G56" s="49">
        <f>Saldos_Capital_Mensual!G56</f>
        <v/>
      </c>
      <c r="H56" s="50">
        <f>Saldos_Capital_Mensual!H56</f>
        <v/>
      </c>
      <c r="I56" s="50">
        <f>Saldos_Capital_Mensual!I56</f>
        <v/>
      </c>
      <c r="J56" s="50">
        <f>Saldos_Capital_Mensual!J56</f>
        <v/>
      </c>
      <c r="K56" s="50">
        <f>Saldos_Capital_Mensual!K56</f>
        <v/>
      </c>
      <c r="L56" s="50">
        <f>Saldos_Capital_Mensual!L56</f>
        <v/>
      </c>
      <c r="M56" s="50">
        <f>Saldos_Capital_Mensual!M56</f>
        <v/>
      </c>
      <c r="N56" s="50">
        <f>Saldos_Capital_Mensual!N56</f>
        <v/>
      </c>
      <c r="O56" s="50">
        <f>Saldos_Capital_Mensual!O56</f>
        <v/>
      </c>
      <c r="P56" s="50">
        <f>Saldos_Capital_Mensual!P56</f>
        <v/>
      </c>
      <c r="Q56" s="50">
        <f>Saldos_Capital_Mensual!Q56</f>
        <v/>
      </c>
      <c r="R56" s="50">
        <f>Saldos_Capital_Mensual!R56</f>
        <v/>
      </c>
      <c r="S56" s="50">
        <f>Saldos_Capital_Mensual!S56</f>
        <v/>
      </c>
      <c r="T56" s="50">
        <f>Saldos_Capital_Mensual!T56</f>
        <v/>
      </c>
      <c r="U56" s="50">
        <f>Saldos_Capital_Mensual!U56</f>
        <v/>
      </c>
    </row>
    <row r="57">
      <c r="A57" s="48">
        <f>Saldos_Capital_Mensual!A57</f>
        <v/>
      </c>
      <c r="B57" s="48">
        <f>Saldos_Capital_Mensual!B57</f>
        <v/>
      </c>
      <c r="C57" s="48">
        <f>Saldos_Capital_Mensual!C57</f>
        <v/>
      </c>
      <c r="D57" s="48">
        <f>Saldos_Capital_Mensual!D57</f>
        <v/>
      </c>
      <c r="E57" s="48">
        <f>Saldos_Capital_Mensual!E57</f>
        <v/>
      </c>
      <c r="F57" s="48">
        <f>Saldos_Capital_Mensual!F57</f>
        <v/>
      </c>
      <c r="G57" s="49">
        <f>Saldos_Capital_Mensual!G57</f>
        <v/>
      </c>
      <c r="H57" s="50">
        <f>Saldos_Capital_Mensual!H57</f>
        <v/>
      </c>
      <c r="I57" s="50">
        <f>Saldos_Capital_Mensual!I57</f>
        <v/>
      </c>
      <c r="J57" s="50">
        <f>Saldos_Capital_Mensual!J57</f>
        <v/>
      </c>
      <c r="K57" s="50">
        <f>Saldos_Capital_Mensual!K57</f>
        <v/>
      </c>
      <c r="L57" s="50">
        <f>Saldos_Capital_Mensual!L57</f>
        <v/>
      </c>
      <c r="M57" s="50">
        <f>Saldos_Capital_Mensual!M57</f>
        <v/>
      </c>
      <c r="N57" s="50">
        <f>Saldos_Capital_Mensual!N57</f>
        <v/>
      </c>
      <c r="O57" s="50">
        <f>Saldos_Capital_Mensual!O57</f>
        <v/>
      </c>
      <c r="P57" s="50">
        <f>Saldos_Capital_Mensual!P57</f>
        <v/>
      </c>
      <c r="Q57" s="50">
        <f>Saldos_Capital_Mensual!Q57</f>
        <v/>
      </c>
      <c r="R57" s="50">
        <f>Saldos_Capital_Mensual!R57</f>
        <v/>
      </c>
      <c r="S57" s="50">
        <f>Saldos_Capital_Mensual!S57</f>
        <v/>
      </c>
      <c r="T57" s="50">
        <f>Saldos_Capital_Mensual!T57</f>
        <v/>
      </c>
      <c r="U57" s="50">
        <f>Saldos_Capital_Mensual!U57</f>
        <v/>
      </c>
    </row>
    <row r="58">
      <c r="A58" s="48">
        <f>Saldos_Capital_Mensual!A58</f>
        <v/>
      </c>
      <c r="B58" s="48">
        <f>Saldos_Capital_Mensual!B58</f>
        <v/>
      </c>
      <c r="C58" s="48">
        <f>Saldos_Capital_Mensual!C58</f>
        <v/>
      </c>
      <c r="D58" s="48">
        <f>Saldos_Capital_Mensual!D58</f>
        <v/>
      </c>
      <c r="E58" s="48">
        <f>Saldos_Capital_Mensual!E58</f>
        <v/>
      </c>
      <c r="F58" s="48">
        <f>Saldos_Capital_Mensual!F58</f>
        <v/>
      </c>
      <c r="G58" s="49">
        <f>Saldos_Capital_Mensual!G58</f>
        <v/>
      </c>
      <c r="H58" s="50">
        <f>Saldos_Capital_Mensual!H58</f>
        <v/>
      </c>
      <c r="I58" s="50">
        <f>Saldos_Capital_Mensual!I58</f>
        <v/>
      </c>
      <c r="J58" s="50">
        <f>Saldos_Capital_Mensual!J58</f>
        <v/>
      </c>
      <c r="K58" s="50">
        <f>Saldos_Capital_Mensual!K58</f>
        <v/>
      </c>
      <c r="L58" s="50">
        <f>Saldos_Capital_Mensual!L58</f>
        <v/>
      </c>
      <c r="M58" s="50">
        <f>Saldos_Capital_Mensual!M58</f>
        <v/>
      </c>
      <c r="N58" s="50">
        <f>Saldos_Capital_Mensual!N58</f>
        <v/>
      </c>
      <c r="O58" s="50">
        <f>Saldos_Capital_Mensual!O58</f>
        <v/>
      </c>
      <c r="P58" s="50">
        <f>Saldos_Capital_Mensual!P58</f>
        <v/>
      </c>
      <c r="Q58" s="50">
        <f>Saldos_Capital_Mensual!Q58</f>
        <v/>
      </c>
      <c r="R58" s="50">
        <f>Saldos_Capital_Mensual!R58</f>
        <v/>
      </c>
      <c r="S58" s="50">
        <f>Saldos_Capital_Mensual!S58</f>
        <v/>
      </c>
      <c r="T58" s="50">
        <f>Saldos_Capital_Mensual!T58</f>
        <v/>
      </c>
      <c r="U58" s="50">
        <f>Saldos_Capital_Mensual!U58</f>
        <v/>
      </c>
    </row>
    <row r="59">
      <c r="A59" s="48">
        <f>Saldos_Capital_Mensual!A59</f>
        <v/>
      </c>
      <c r="B59" s="48">
        <f>Saldos_Capital_Mensual!B59</f>
        <v/>
      </c>
      <c r="C59" s="48">
        <f>Saldos_Capital_Mensual!C59</f>
        <v/>
      </c>
      <c r="D59" s="48">
        <f>Saldos_Capital_Mensual!D59</f>
        <v/>
      </c>
      <c r="E59" s="48">
        <f>Saldos_Capital_Mensual!E59</f>
        <v/>
      </c>
      <c r="F59" s="48">
        <f>Saldos_Capital_Mensual!F59</f>
        <v/>
      </c>
      <c r="G59" s="49">
        <f>Saldos_Capital_Mensual!G59</f>
        <v/>
      </c>
      <c r="H59" s="50">
        <f>Saldos_Capital_Mensual!H59</f>
        <v/>
      </c>
      <c r="I59" s="50">
        <f>Saldos_Capital_Mensual!I59</f>
        <v/>
      </c>
      <c r="J59" s="50">
        <f>Saldos_Capital_Mensual!J59</f>
        <v/>
      </c>
      <c r="K59" s="50">
        <f>Saldos_Capital_Mensual!K59</f>
        <v/>
      </c>
      <c r="L59" s="50">
        <f>Saldos_Capital_Mensual!L59</f>
        <v/>
      </c>
      <c r="M59" s="50">
        <f>Saldos_Capital_Mensual!M59</f>
        <v/>
      </c>
      <c r="N59" s="50">
        <f>Saldos_Capital_Mensual!N59</f>
        <v/>
      </c>
      <c r="O59" s="50">
        <f>Saldos_Capital_Mensual!O59</f>
        <v/>
      </c>
      <c r="P59" s="50">
        <f>Saldos_Capital_Mensual!P59</f>
        <v/>
      </c>
      <c r="Q59" s="50">
        <f>Saldos_Capital_Mensual!Q59</f>
        <v/>
      </c>
      <c r="R59" s="50">
        <f>Saldos_Capital_Mensual!R59</f>
        <v/>
      </c>
      <c r="S59" s="50">
        <f>Saldos_Capital_Mensual!S59</f>
        <v/>
      </c>
      <c r="T59" s="50">
        <f>Saldos_Capital_Mensual!T59</f>
        <v/>
      </c>
      <c r="U59" s="50">
        <f>Saldos_Capital_Mensual!U59</f>
        <v/>
      </c>
    </row>
    <row r="60">
      <c r="A60" s="48">
        <f>Saldos_Capital_Mensual!A60</f>
        <v/>
      </c>
      <c r="B60" s="48">
        <f>Saldos_Capital_Mensual!B60</f>
        <v/>
      </c>
      <c r="C60" s="48">
        <f>Saldos_Capital_Mensual!C60</f>
        <v/>
      </c>
      <c r="D60" s="48">
        <f>Saldos_Capital_Mensual!D60</f>
        <v/>
      </c>
      <c r="E60" s="48">
        <f>Saldos_Capital_Mensual!E60</f>
        <v/>
      </c>
      <c r="F60" s="48">
        <f>Saldos_Capital_Mensual!F60</f>
        <v/>
      </c>
      <c r="G60" s="49">
        <f>Saldos_Capital_Mensual!G60</f>
        <v/>
      </c>
      <c r="H60" s="50">
        <f>Saldos_Capital_Mensual!H60</f>
        <v/>
      </c>
      <c r="I60" s="50">
        <f>Saldos_Capital_Mensual!I60</f>
        <v/>
      </c>
      <c r="J60" s="50">
        <f>Saldos_Capital_Mensual!J60</f>
        <v/>
      </c>
      <c r="K60" s="50">
        <f>Saldos_Capital_Mensual!K60</f>
        <v/>
      </c>
      <c r="L60" s="50">
        <f>Saldos_Capital_Mensual!L60</f>
        <v/>
      </c>
      <c r="M60" s="50">
        <f>Saldos_Capital_Mensual!M60</f>
        <v/>
      </c>
      <c r="N60" s="50">
        <f>Saldos_Capital_Mensual!N60</f>
        <v/>
      </c>
      <c r="O60" s="50">
        <f>Saldos_Capital_Mensual!O60</f>
        <v/>
      </c>
      <c r="P60" s="50">
        <f>Saldos_Capital_Mensual!P60</f>
        <v/>
      </c>
      <c r="Q60" s="50">
        <f>Saldos_Capital_Mensual!Q60</f>
        <v/>
      </c>
      <c r="R60" s="50">
        <f>Saldos_Capital_Mensual!R60</f>
        <v/>
      </c>
      <c r="S60" s="50">
        <f>Saldos_Capital_Mensual!S60</f>
        <v/>
      </c>
      <c r="T60" s="50">
        <f>Saldos_Capital_Mensual!T60</f>
        <v/>
      </c>
      <c r="U60" s="50">
        <f>Saldos_Capital_Mensual!U60</f>
        <v/>
      </c>
    </row>
    <row r="61">
      <c r="A61" s="48">
        <f>Saldos_Capital_Mensual!A61</f>
        <v/>
      </c>
      <c r="B61" s="48">
        <f>Saldos_Capital_Mensual!B61</f>
        <v/>
      </c>
      <c r="C61" s="48">
        <f>Saldos_Capital_Mensual!C61</f>
        <v/>
      </c>
      <c r="D61" s="48">
        <f>Saldos_Capital_Mensual!D61</f>
        <v/>
      </c>
      <c r="E61" s="48">
        <f>Saldos_Capital_Mensual!E61</f>
        <v/>
      </c>
      <c r="F61" s="48">
        <f>Saldos_Capital_Mensual!F61</f>
        <v/>
      </c>
      <c r="G61" s="49">
        <f>Saldos_Capital_Mensual!G61</f>
        <v/>
      </c>
      <c r="H61" s="50">
        <f>Saldos_Capital_Mensual!H61</f>
        <v/>
      </c>
      <c r="I61" s="50">
        <f>Saldos_Capital_Mensual!I61</f>
        <v/>
      </c>
      <c r="J61" s="50">
        <f>Saldos_Capital_Mensual!J61</f>
        <v/>
      </c>
      <c r="K61" s="50">
        <f>Saldos_Capital_Mensual!K61</f>
        <v/>
      </c>
      <c r="L61" s="50">
        <f>Saldos_Capital_Mensual!L61</f>
        <v/>
      </c>
      <c r="M61" s="50">
        <f>Saldos_Capital_Mensual!M61</f>
        <v/>
      </c>
      <c r="N61" s="50">
        <f>Saldos_Capital_Mensual!N61</f>
        <v/>
      </c>
      <c r="O61" s="50">
        <f>Saldos_Capital_Mensual!O61</f>
        <v/>
      </c>
      <c r="P61" s="50">
        <f>Saldos_Capital_Mensual!P61</f>
        <v/>
      </c>
      <c r="Q61" s="50">
        <f>Saldos_Capital_Mensual!Q61</f>
        <v/>
      </c>
      <c r="R61" s="50">
        <f>Saldos_Capital_Mensual!R61</f>
        <v/>
      </c>
      <c r="S61" s="50">
        <f>Saldos_Capital_Mensual!S61</f>
        <v/>
      </c>
      <c r="T61" s="50">
        <f>Saldos_Capital_Mensual!T61</f>
        <v/>
      </c>
      <c r="U61" s="50">
        <f>Saldos_Capital_Mensual!U61</f>
        <v/>
      </c>
    </row>
    <row r="62">
      <c r="A62" s="48">
        <f>Saldos_Capital_Mensual!A62</f>
        <v/>
      </c>
      <c r="B62" s="48">
        <f>Saldos_Capital_Mensual!B62</f>
        <v/>
      </c>
      <c r="C62" s="48">
        <f>Saldos_Capital_Mensual!C62</f>
        <v/>
      </c>
      <c r="D62" s="48">
        <f>Saldos_Capital_Mensual!D62</f>
        <v/>
      </c>
      <c r="E62" s="48">
        <f>Saldos_Capital_Mensual!E62</f>
        <v/>
      </c>
      <c r="F62" s="48">
        <f>Saldos_Capital_Mensual!F62</f>
        <v/>
      </c>
      <c r="G62" s="49">
        <f>Saldos_Capital_Mensual!G62</f>
        <v/>
      </c>
      <c r="H62" s="50">
        <f>Saldos_Capital_Mensual!H62</f>
        <v/>
      </c>
      <c r="I62" s="50">
        <f>Saldos_Capital_Mensual!I62</f>
        <v/>
      </c>
      <c r="J62" s="50">
        <f>Saldos_Capital_Mensual!J62</f>
        <v/>
      </c>
      <c r="K62" s="50">
        <f>Saldos_Capital_Mensual!K62</f>
        <v/>
      </c>
      <c r="L62" s="50">
        <f>Saldos_Capital_Mensual!L62</f>
        <v/>
      </c>
      <c r="M62" s="50">
        <f>Saldos_Capital_Mensual!M62</f>
        <v/>
      </c>
      <c r="N62" s="50">
        <f>Saldos_Capital_Mensual!N62</f>
        <v/>
      </c>
      <c r="O62" s="50">
        <f>Saldos_Capital_Mensual!O62</f>
        <v/>
      </c>
      <c r="P62" s="50">
        <f>Saldos_Capital_Mensual!P62</f>
        <v/>
      </c>
      <c r="Q62" s="50">
        <f>Saldos_Capital_Mensual!Q62</f>
        <v/>
      </c>
      <c r="R62" s="50">
        <f>Saldos_Capital_Mensual!R62</f>
        <v/>
      </c>
      <c r="S62" s="50">
        <f>Saldos_Capital_Mensual!S62</f>
        <v/>
      </c>
      <c r="T62" s="50">
        <f>Saldos_Capital_Mensual!T62</f>
        <v/>
      </c>
      <c r="U62" s="50">
        <f>Saldos_Capital_Mensual!U62</f>
        <v/>
      </c>
    </row>
    <row r="63">
      <c r="A63" s="48">
        <f>Saldos_Capital_Mensual!A63</f>
        <v/>
      </c>
      <c r="B63" s="48">
        <f>Saldos_Capital_Mensual!B63</f>
        <v/>
      </c>
      <c r="C63" s="48">
        <f>Saldos_Capital_Mensual!C63</f>
        <v/>
      </c>
      <c r="D63" s="48">
        <f>Saldos_Capital_Mensual!D63</f>
        <v/>
      </c>
      <c r="E63" s="48">
        <f>Saldos_Capital_Mensual!E63</f>
        <v/>
      </c>
      <c r="F63" s="48">
        <f>Saldos_Capital_Mensual!F63</f>
        <v/>
      </c>
      <c r="G63" s="49">
        <f>Saldos_Capital_Mensual!G63</f>
        <v/>
      </c>
      <c r="H63" s="50">
        <f>Saldos_Capital_Mensual!H63</f>
        <v/>
      </c>
      <c r="I63" s="50">
        <f>Saldos_Capital_Mensual!I63</f>
        <v/>
      </c>
      <c r="J63" s="50">
        <f>Saldos_Capital_Mensual!J63</f>
        <v/>
      </c>
      <c r="K63" s="50">
        <f>Saldos_Capital_Mensual!K63</f>
        <v/>
      </c>
      <c r="L63" s="50">
        <f>Saldos_Capital_Mensual!L63</f>
        <v/>
      </c>
      <c r="M63" s="50">
        <f>Saldos_Capital_Mensual!M63</f>
        <v/>
      </c>
      <c r="N63" s="50">
        <f>Saldos_Capital_Mensual!N63</f>
        <v/>
      </c>
      <c r="O63" s="50">
        <f>Saldos_Capital_Mensual!O63</f>
        <v/>
      </c>
      <c r="P63" s="50">
        <f>Saldos_Capital_Mensual!P63</f>
        <v/>
      </c>
      <c r="Q63" s="50">
        <f>Saldos_Capital_Mensual!Q63</f>
        <v/>
      </c>
      <c r="R63" s="50">
        <f>Saldos_Capital_Mensual!R63</f>
        <v/>
      </c>
      <c r="S63" s="50">
        <f>Saldos_Capital_Mensual!S63</f>
        <v/>
      </c>
      <c r="T63" s="50">
        <f>Saldos_Capital_Mensual!T63</f>
        <v/>
      </c>
      <c r="U63" s="50">
        <f>Saldos_Capital_Mensual!U63</f>
        <v/>
      </c>
    </row>
    <row r="64">
      <c r="A64" s="48">
        <f>Saldos_Capital_Mensual!A64</f>
        <v/>
      </c>
      <c r="B64" s="48">
        <f>Saldos_Capital_Mensual!B64</f>
        <v/>
      </c>
      <c r="C64" s="48">
        <f>Saldos_Capital_Mensual!C64</f>
        <v/>
      </c>
      <c r="D64" s="48">
        <f>Saldos_Capital_Mensual!D64</f>
        <v/>
      </c>
      <c r="E64" s="48">
        <f>Saldos_Capital_Mensual!E64</f>
        <v/>
      </c>
      <c r="F64" s="48">
        <f>Saldos_Capital_Mensual!F64</f>
        <v/>
      </c>
      <c r="G64" s="49">
        <f>Saldos_Capital_Mensual!G64</f>
        <v/>
      </c>
      <c r="H64" s="50">
        <f>Saldos_Capital_Mensual!H64</f>
        <v/>
      </c>
      <c r="I64" s="50">
        <f>Saldos_Capital_Mensual!I64</f>
        <v/>
      </c>
      <c r="J64" s="50">
        <f>Saldos_Capital_Mensual!J64</f>
        <v/>
      </c>
      <c r="K64" s="50">
        <f>Saldos_Capital_Mensual!K64</f>
        <v/>
      </c>
      <c r="L64" s="50">
        <f>Saldos_Capital_Mensual!L64</f>
        <v/>
      </c>
      <c r="M64" s="50">
        <f>Saldos_Capital_Mensual!M64</f>
        <v/>
      </c>
      <c r="N64" s="50">
        <f>Saldos_Capital_Mensual!N64</f>
        <v/>
      </c>
      <c r="O64" s="50">
        <f>Saldos_Capital_Mensual!O64</f>
        <v/>
      </c>
      <c r="P64" s="50">
        <f>Saldos_Capital_Mensual!P64</f>
        <v/>
      </c>
      <c r="Q64" s="50">
        <f>Saldos_Capital_Mensual!Q64</f>
        <v/>
      </c>
      <c r="R64" s="50">
        <f>Saldos_Capital_Mensual!R64</f>
        <v/>
      </c>
      <c r="S64" s="50">
        <f>Saldos_Capital_Mensual!S64</f>
        <v/>
      </c>
      <c r="T64" s="50">
        <f>Saldos_Capital_Mensual!T64</f>
        <v/>
      </c>
      <c r="U64" s="50">
        <f>Saldos_Capital_Mensual!U64</f>
        <v/>
      </c>
    </row>
    <row r="65">
      <c r="A65" s="48">
        <f>Saldos_Capital_Mensual!A65</f>
        <v/>
      </c>
      <c r="B65" s="48">
        <f>Saldos_Capital_Mensual!B65</f>
        <v/>
      </c>
      <c r="C65" s="48">
        <f>Saldos_Capital_Mensual!C65</f>
        <v/>
      </c>
      <c r="D65" s="48">
        <f>Saldos_Capital_Mensual!D65</f>
        <v/>
      </c>
      <c r="E65" s="48">
        <f>Saldos_Capital_Mensual!E65</f>
        <v/>
      </c>
      <c r="F65" s="48">
        <f>Saldos_Capital_Mensual!F65</f>
        <v/>
      </c>
      <c r="G65" s="49">
        <f>Saldos_Capital_Mensual!G65</f>
        <v/>
      </c>
      <c r="H65" s="50">
        <f>Saldos_Capital_Mensual!H65</f>
        <v/>
      </c>
      <c r="I65" s="50">
        <f>Saldos_Capital_Mensual!I65</f>
        <v/>
      </c>
      <c r="J65" s="50">
        <f>Saldos_Capital_Mensual!J65</f>
        <v/>
      </c>
      <c r="K65" s="50">
        <f>Saldos_Capital_Mensual!K65</f>
        <v/>
      </c>
      <c r="L65" s="50">
        <f>Saldos_Capital_Mensual!L65</f>
        <v/>
      </c>
      <c r="M65" s="50">
        <f>Saldos_Capital_Mensual!M65</f>
        <v/>
      </c>
      <c r="N65" s="50">
        <f>Saldos_Capital_Mensual!N65</f>
        <v/>
      </c>
      <c r="O65" s="50">
        <f>Saldos_Capital_Mensual!O65</f>
        <v/>
      </c>
      <c r="P65" s="50">
        <f>Saldos_Capital_Mensual!P65</f>
        <v/>
      </c>
      <c r="Q65" s="50">
        <f>Saldos_Capital_Mensual!Q65</f>
        <v/>
      </c>
      <c r="R65" s="50">
        <f>Saldos_Capital_Mensual!R65</f>
        <v/>
      </c>
      <c r="S65" s="50">
        <f>Saldos_Capital_Mensual!S65</f>
        <v/>
      </c>
      <c r="T65" s="50">
        <f>Saldos_Capital_Mensual!T65</f>
        <v/>
      </c>
      <c r="U65" s="50">
        <f>Saldos_Capital_Mensual!U65</f>
        <v/>
      </c>
    </row>
    <row r="66">
      <c r="A66" s="48">
        <f>Saldos_Capital_Mensual!A66</f>
        <v/>
      </c>
      <c r="B66" s="48">
        <f>Saldos_Capital_Mensual!B66</f>
        <v/>
      </c>
      <c r="C66" s="48">
        <f>Saldos_Capital_Mensual!C66</f>
        <v/>
      </c>
      <c r="D66" s="48">
        <f>Saldos_Capital_Mensual!D66</f>
        <v/>
      </c>
      <c r="E66" s="48">
        <f>Saldos_Capital_Mensual!E66</f>
        <v/>
      </c>
      <c r="F66" s="48">
        <f>Saldos_Capital_Mensual!F66</f>
        <v/>
      </c>
      <c r="G66" s="49">
        <f>Saldos_Capital_Mensual!G66</f>
        <v/>
      </c>
      <c r="H66" s="50">
        <f>Saldos_Capital_Mensual!H66</f>
        <v/>
      </c>
      <c r="I66" s="50">
        <f>Saldos_Capital_Mensual!I66</f>
        <v/>
      </c>
      <c r="J66" s="50">
        <f>Saldos_Capital_Mensual!J66</f>
        <v/>
      </c>
      <c r="K66" s="50">
        <f>Saldos_Capital_Mensual!K66</f>
        <v/>
      </c>
      <c r="L66" s="50">
        <f>Saldos_Capital_Mensual!L66</f>
        <v/>
      </c>
      <c r="M66" s="50">
        <f>Saldos_Capital_Mensual!M66</f>
        <v/>
      </c>
      <c r="N66" s="50">
        <f>Saldos_Capital_Mensual!N66</f>
        <v/>
      </c>
      <c r="O66" s="50">
        <f>Saldos_Capital_Mensual!O66</f>
        <v/>
      </c>
      <c r="P66" s="50">
        <f>Saldos_Capital_Mensual!P66</f>
        <v/>
      </c>
      <c r="Q66" s="50">
        <f>Saldos_Capital_Mensual!Q66</f>
        <v/>
      </c>
      <c r="R66" s="50">
        <f>Saldos_Capital_Mensual!R66</f>
        <v/>
      </c>
      <c r="S66" s="50">
        <f>Saldos_Capital_Mensual!S66</f>
        <v/>
      </c>
      <c r="T66" s="50">
        <f>Saldos_Capital_Mensual!T66</f>
        <v/>
      </c>
      <c r="U66" s="50">
        <f>Saldos_Capital_Mensual!U66</f>
        <v/>
      </c>
    </row>
    <row r="67">
      <c r="A67" s="48">
        <f>Saldos_Capital_Mensual!A67</f>
        <v/>
      </c>
      <c r="B67" s="48">
        <f>Saldos_Capital_Mensual!B67</f>
        <v/>
      </c>
      <c r="C67" s="48">
        <f>Saldos_Capital_Mensual!C67</f>
        <v/>
      </c>
      <c r="D67" s="48">
        <f>Saldos_Capital_Mensual!D67</f>
        <v/>
      </c>
      <c r="E67" s="48">
        <f>Saldos_Capital_Mensual!E67</f>
        <v/>
      </c>
      <c r="F67" s="48">
        <f>Saldos_Capital_Mensual!F67</f>
        <v/>
      </c>
      <c r="G67" s="49">
        <f>Saldos_Capital_Mensual!G67</f>
        <v/>
      </c>
      <c r="H67" s="50">
        <f>Saldos_Capital_Mensual!H67</f>
        <v/>
      </c>
      <c r="I67" s="50">
        <f>Saldos_Capital_Mensual!I67</f>
        <v/>
      </c>
      <c r="J67" s="50">
        <f>Saldos_Capital_Mensual!J67</f>
        <v/>
      </c>
      <c r="K67" s="50">
        <f>Saldos_Capital_Mensual!K67</f>
        <v/>
      </c>
      <c r="L67" s="50">
        <f>Saldos_Capital_Mensual!L67</f>
        <v/>
      </c>
      <c r="M67" s="50">
        <f>Saldos_Capital_Mensual!M67</f>
        <v/>
      </c>
      <c r="N67" s="50">
        <f>Saldos_Capital_Mensual!N67</f>
        <v/>
      </c>
      <c r="O67" s="50">
        <f>Saldos_Capital_Mensual!O67</f>
        <v/>
      </c>
      <c r="P67" s="50">
        <f>Saldos_Capital_Mensual!P67</f>
        <v/>
      </c>
      <c r="Q67" s="50">
        <f>Saldos_Capital_Mensual!Q67</f>
        <v/>
      </c>
      <c r="R67" s="50">
        <f>Saldos_Capital_Mensual!R67</f>
        <v/>
      </c>
      <c r="S67" s="50">
        <f>Saldos_Capital_Mensual!S67</f>
        <v/>
      </c>
      <c r="T67" s="50">
        <f>Saldos_Capital_Mensual!T67</f>
        <v/>
      </c>
      <c r="U67" s="50">
        <f>Saldos_Capital_Mensual!U67</f>
        <v/>
      </c>
    </row>
    <row r="68">
      <c r="A68" s="48">
        <f>Saldos_Capital_Mensual!A68</f>
        <v/>
      </c>
      <c r="B68" s="48">
        <f>Saldos_Capital_Mensual!B68</f>
        <v/>
      </c>
      <c r="C68" s="48">
        <f>Saldos_Capital_Mensual!C68</f>
        <v/>
      </c>
      <c r="D68" s="48">
        <f>Saldos_Capital_Mensual!D68</f>
        <v/>
      </c>
      <c r="E68" s="48">
        <f>Saldos_Capital_Mensual!E68</f>
        <v/>
      </c>
      <c r="F68" s="48">
        <f>Saldos_Capital_Mensual!F68</f>
        <v/>
      </c>
      <c r="G68" s="49">
        <f>Saldos_Capital_Mensual!G68</f>
        <v/>
      </c>
      <c r="H68" s="50">
        <f>Saldos_Capital_Mensual!H68</f>
        <v/>
      </c>
      <c r="I68" s="50">
        <f>Saldos_Capital_Mensual!I68</f>
        <v/>
      </c>
      <c r="J68" s="50">
        <f>Saldos_Capital_Mensual!J68</f>
        <v/>
      </c>
      <c r="K68" s="50">
        <f>Saldos_Capital_Mensual!K68</f>
        <v/>
      </c>
      <c r="L68" s="50">
        <f>Saldos_Capital_Mensual!L68</f>
        <v/>
      </c>
      <c r="M68" s="50">
        <f>Saldos_Capital_Mensual!M68</f>
        <v/>
      </c>
      <c r="N68" s="50">
        <f>Saldos_Capital_Mensual!N68</f>
        <v/>
      </c>
      <c r="O68" s="50">
        <f>Saldos_Capital_Mensual!O68</f>
        <v/>
      </c>
      <c r="P68" s="50">
        <f>Saldos_Capital_Mensual!P68</f>
        <v/>
      </c>
      <c r="Q68" s="50">
        <f>Saldos_Capital_Mensual!Q68</f>
        <v/>
      </c>
      <c r="R68" s="50">
        <f>Saldos_Capital_Mensual!R68</f>
        <v/>
      </c>
      <c r="S68" s="50">
        <f>Saldos_Capital_Mensual!S68</f>
        <v/>
      </c>
      <c r="T68" s="50">
        <f>Saldos_Capital_Mensual!T68</f>
        <v/>
      </c>
      <c r="U68" s="50">
        <f>Saldos_Capital_Mensual!U68</f>
        <v/>
      </c>
    </row>
    <row r="69">
      <c r="A69" s="48">
        <f>Saldos_Capital_Mensual!A69</f>
        <v/>
      </c>
      <c r="B69" s="48">
        <f>Saldos_Capital_Mensual!B69</f>
        <v/>
      </c>
      <c r="C69" s="48">
        <f>Saldos_Capital_Mensual!C69</f>
        <v/>
      </c>
      <c r="D69" s="48">
        <f>Saldos_Capital_Mensual!D69</f>
        <v/>
      </c>
      <c r="E69" s="48">
        <f>Saldos_Capital_Mensual!E69</f>
        <v/>
      </c>
      <c r="F69" s="48">
        <f>Saldos_Capital_Mensual!F69</f>
        <v/>
      </c>
      <c r="G69" s="49">
        <f>Saldos_Capital_Mensual!G69</f>
        <v/>
      </c>
      <c r="H69" s="50">
        <f>Saldos_Capital_Mensual!H69</f>
        <v/>
      </c>
      <c r="I69" s="50">
        <f>Saldos_Capital_Mensual!I69</f>
        <v/>
      </c>
      <c r="J69" s="50">
        <f>Saldos_Capital_Mensual!J69</f>
        <v/>
      </c>
      <c r="K69" s="50">
        <f>Saldos_Capital_Mensual!K69</f>
        <v/>
      </c>
      <c r="L69" s="50">
        <f>Saldos_Capital_Mensual!L69</f>
        <v/>
      </c>
      <c r="M69" s="50">
        <f>Saldos_Capital_Mensual!M69</f>
        <v/>
      </c>
      <c r="N69" s="50">
        <f>Saldos_Capital_Mensual!N69</f>
        <v/>
      </c>
      <c r="O69" s="50">
        <f>Saldos_Capital_Mensual!O69</f>
        <v/>
      </c>
      <c r="P69" s="50">
        <f>Saldos_Capital_Mensual!P69</f>
        <v/>
      </c>
      <c r="Q69" s="50">
        <f>Saldos_Capital_Mensual!Q69</f>
        <v/>
      </c>
      <c r="R69" s="50">
        <f>Saldos_Capital_Mensual!R69</f>
        <v/>
      </c>
      <c r="S69" s="50">
        <f>Saldos_Capital_Mensual!S69</f>
        <v/>
      </c>
      <c r="T69" s="50">
        <f>Saldos_Capital_Mensual!T69</f>
        <v/>
      </c>
      <c r="U69" s="50">
        <f>Saldos_Capital_Mensual!U69</f>
        <v/>
      </c>
    </row>
    <row r="70">
      <c r="A70" s="48">
        <f>Saldos_Capital_Mensual!A70</f>
        <v/>
      </c>
      <c r="B70" s="48">
        <f>Saldos_Capital_Mensual!B70</f>
        <v/>
      </c>
      <c r="C70" s="48">
        <f>Saldos_Capital_Mensual!C70</f>
        <v/>
      </c>
      <c r="D70" s="48">
        <f>Saldos_Capital_Mensual!D70</f>
        <v/>
      </c>
      <c r="E70" s="48">
        <f>Saldos_Capital_Mensual!E70</f>
        <v/>
      </c>
      <c r="F70" s="48">
        <f>Saldos_Capital_Mensual!F70</f>
        <v/>
      </c>
      <c r="G70" s="49">
        <f>Saldos_Capital_Mensual!G70</f>
        <v/>
      </c>
      <c r="H70" s="50">
        <f>Saldos_Capital_Mensual!H70</f>
        <v/>
      </c>
      <c r="I70" s="50">
        <f>Saldos_Capital_Mensual!I70</f>
        <v/>
      </c>
      <c r="J70" s="50">
        <f>Saldos_Capital_Mensual!J70</f>
        <v/>
      </c>
      <c r="K70" s="50">
        <f>Saldos_Capital_Mensual!K70</f>
        <v/>
      </c>
      <c r="L70" s="50">
        <f>Saldos_Capital_Mensual!L70</f>
        <v/>
      </c>
      <c r="M70" s="50">
        <f>Saldos_Capital_Mensual!M70</f>
        <v/>
      </c>
      <c r="N70" s="50">
        <f>Saldos_Capital_Mensual!N70</f>
        <v/>
      </c>
      <c r="O70" s="50">
        <f>Saldos_Capital_Mensual!O70</f>
        <v/>
      </c>
      <c r="P70" s="50">
        <f>Saldos_Capital_Mensual!P70</f>
        <v/>
      </c>
      <c r="Q70" s="50">
        <f>Saldos_Capital_Mensual!Q70</f>
        <v/>
      </c>
      <c r="R70" s="50">
        <f>Saldos_Capital_Mensual!R70</f>
        <v/>
      </c>
      <c r="S70" s="50">
        <f>Saldos_Capital_Mensual!S70</f>
        <v/>
      </c>
      <c r="T70" s="50">
        <f>Saldos_Capital_Mensual!T70</f>
        <v/>
      </c>
      <c r="U70" s="50">
        <f>Saldos_Capital_Mensual!U70</f>
        <v/>
      </c>
    </row>
    <row r="71">
      <c r="A71" s="48">
        <f>Saldos_Capital_Mensual!A71</f>
        <v/>
      </c>
      <c r="B71" s="48">
        <f>Saldos_Capital_Mensual!B71</f>
        <v/>
      </c>
      <c r="C71" s="48">
        <f>Saldos_Capital_Mensual!C71</f>
        <v/>
      </c>
      <c r="D71" s="48">
        <f>Saldos_Capital_Mensual!D71</f>
        <v/>
      </c>
      <c r="E71" s="48">
        <f>Saldos_Capital_Mensual!E71</f>
        <v/>
      </c>
      <c r="F71" s="48">
        <f>Saldos_Capital_Mensual!F71</f>
        <v/>
      </c>
      <c r="G71" s="49">
        <f>Saldos_Capital_Mensual!G71</f>
        <v/>
      </c>
      <c r="H71" s="50">
        <f>Saldos_Capital_Mensual!H71</f>
        <v/>
      </c>
      <c r="I71" s="50">
        <f>Saldos_Capital_Mensual!I71</f>
        <v/>
      </c>
      <c r="J71" s="50">
        <f>Saldos_Capital_Mensual!J71</f>
        <v/>
      </c>
      <c r="K71" s="50">
        <f>Saldos_Capital_Mensual!K71</f>
        <v/>
      </c>
      <c r="L71" s="50">
        <f>Saldos_Capital_Mensual!L71</f>
        <v/>
      </c>
      <c r="M71" s="50">
        <f>Saldos_Capital_Mensual!M71</f>
        <v/>
      </c>
      <c r="N71" s="50">
        <f>Saldos_Capital_Mensual!N71</f>
        <v/>
      </c>
      <c r="O71" s="50">
        <f>Saldos_Capital_Mensual!O71</f>
        <v/>
      </c>
      <c r="P71" s="50">
        <f>Saldos_Capital_Mensual!P71</f>
        <v/>
      </c>
      <c r="Q71" s="50">
        <f>Saldos_Capital_Mensual!Q71</f>
        <v/>
      </c>
      <c r="R71" s="50">
        <f>Saldos_Capital_Mensual!R71</f>
        <v/>
      </c>
      <c r="S71" s="50">
        <f>Saldos_Capital_Mensual!S71</f>
        <v/>
      </c>
      <c r="T71" s="50">
        <f>Saldos_Capital_Mensual!T71</f>
        <v/>
      </c>
      <c r="U71" s="50">
        <f>Saldos_Capital_Mensual!U71</f>
        <v/>
      </c>
    </row>
    <row r="72">
      <c r="A72" s="48">
        <f>Saldos_Capital_Mensual!A72</f>
        <v/>
      </c>
      <c r="B72" s="48">
        <f>Saldos_Capital_Mensual!B72</f>
        <v/>
      </c>
      <c r="C72" s="48">
        <f>Saldos_Capital_Mensual!C72</f>
        <v/>
      </c>
      <c r="D72" s="48">
        <f>Saldos_Capital_Mensual!D72</f>
        <v/>
      </c>
      <c r="E72" s="48">
        <f>Saldos_Capital_Mensual!E72</f>
        <v/>
      </c>
      <c r="F72" s="48">
        <f>Saldos_Capital_Mensual!F72</f>
        <v/>
      </c>
      <c r="G72" s="49">
        <f>Saldos_Capital_Mensual!G72</f>
        <v/>
      </c>
      <c r="H72" s="50">
        <f>Saldos_Capital_Mensual!H72</f>
        <v/>
      </c>
      <c r="I72" s="50">
        <f>Saldos_Capital_Mensual!I72</f>
        <v/>
      </c>
      <c r="J72" s="50">
        <f>Saldos_Capital_Mensual!J72</f>
        <v/>
      </c>
      <c r="K72" s="50">
        <f>Saldos_Capital_Mensual!K72</f>
        <v/>
      </c>
      <c r="L72" s="50">
        <f>Saldos_Capital_Mensual!L72</f>
        <v/>
      </c>
      <c r="M72" s="50">
        <f>Saldos_Capital_Mensual!M72</f>
        <v/>
      </c>
      <c r="N72" s="50">
        <f>Saldos_Capital_Mensual!N72</f>
        <v/>
      </c>
      <c r="O72" s="50">
        <f>Saldos_Capital_Mensual!O72</f>
        <v/>
      </c>
      <c r="P72" s="50">
        <f>Saldos_Capital_Mensual!P72</f>
        <v/>
      </c>
      <c r="Q72" s="50">
        <f>Saldos_Capital_Mensual!Q72</f>
        <v/>
      </c>
      <c r="R72" s="50">
        <f>Saldos_Capital_Mensual!R72</f>
        <v/>
      </c>
      <c r="S72" s="50">
        <f>Saldos_Capital_Mensual!S72</f>
        <v/>
      </c>
      <c r="T72" s="50">
        <f>Saldos_Capital_Mensual!T72</f>
        <v/>
      </c>
      <c r="U72" s="50">
        <f>Saldos_Capital_Mensual!U72</f>
        <v/>
      </c>
    </row>
    <row r="73">
      <c r="A73" s="48">
        <f>Saldos_Capital_Mensual!A73</f>
        <v/>
      </c>
      <c r="B73" s="48">
        <f>Saldos_Capital_Mensual!B73</f>
        <v/>
      </c>
      <c r="C73" s="48">
        <f>Saldos_Capital_Mensual!C73</f>
        <v/>
      </c>
      <c r="D73" s="48">
        <f>Saldos_Capital_Mensual!D73</f>
        <v/>
      </c>
      <c r="E73" s="48">
        <f>Saldos_Capital_Mensual!E73</f>
        <v/>
      </c>
      <c r="F73" s="48">
        <f>Saldos_Capital_Mensual!F73</f>
        <v/>
      </c>
      <c r="G73" s="49">
        <f>Saldos_Capital_Mensual!G73</f>
        <v/>
      </c>
      <c r="H73" s="50">
        <f>Saldos_Capital_Mensual!H73</f>
        <v/>
      </c>
      <c r="I73" s="50">
        <f>Saldos_Capital_Mensual!I73</f>
        <v/>
      </c>
      <c r="J73" s="50">
        <f>Saldos_Capital_Mensual!J73</f>
        <v/>
      </c>
      <c r="K73" s="50">
        <f>Saldos_Capital_Mensual!K73</f>
        <v/>
      </c>
      <c r="L73" s="50">
        <f>Saldos_Capital_Mensual!L73</f>
        <v/>
      </c>
      <c r="M73" s="50">
        <f>Saldos_Capital_Mensual!M73</f>
        <v/>
      </c>
      <c r="N73" s="50">
        <f>Saldos_Capital_Mensual!N73</f>
        <v/>
      </c>
      <c r="O73" s="50">
        <f>Saldos_Capital_Mensual!O73</f>
        <v/>
      </c>
      <c r="P73" s="50">
        <f>Saldos_Capital_Mensual!P73</f>
        <v/>
      </c>
      <c r="Q73" s="50">
        <f>Saldos_Capital_Mensual!Q73</f>
        <v/>
      </c>
      <c r="R73" s="50">
        <f>Saldos_Capital_Mensual!R73</f>
        <v/>
      </c>
      <c r="S73" s="50">
        <f>Saldos_Capital_Mensual!S73</f>
        <v/>
      </c>
      <c r="T73" s="50">
        <f>Saldos_Capital_Mensual!T73</f>
        <v/>
      </c>
      <c r="U73" s="50">
        <f>Saldos_Capital_Mensual!U73</f>
        <v/>
      </c>
    </row>
    <row r="74">
      <c r="A74" s="48">
        <f>Saldos_Capital_Mensual!A74</f>
        <v/>
      </c>
      <c r="B74" s="48">
        <f>Saldos_Capital_Mensual!B74</f>
        <v/>
      </c>
      <c r="C74" s="48">
        <f>Saldos_Capital_Mensual!C74</f>
        <v/>
      </c>
      <c r="D74" s="48">
        <f>Saldos_Capital_Mensual!D74</f>
        <v/>
      </c>
      <c r="E74" s="48">
        <f>Saldos_Capital_Mensual!E74</f>
        <v/>
      </c>
      <c r="F74" s="48">
        <f>Saldos_Capital_Mensual!F74</f>
        <v/>
      </c>
      <c r="G74" s="49">
        <f>Saldos_Capital_Mensual!G74</f>
        <v/>
      </c>
      <c r="H74" s="50">
        <f>Saldos_Capital_Mensual!H74</f>
        <v/>
      </c>
      <c r="I74" s="50">
        <f>Saldos_Capital_Mensual!I74</f>
        <v/>
      </c>
      <c r="J74" s="50">
        <f>Saldos_Capital_Mensual!J74</f>
        <v/>
      </c>
      <c r="K74" s="50">
        <f>Saldos_Capital_Mensual!K74</f>
        <v/>
      </c>
      <c r="L74" s="50">
        <f>Saldos_Capital_Mensual!L74</f>
        <v/>
      </c>
      <c r="M74" s="50">
        <f>Saldos_Capital_Mensual!M74</f>
        <v/>
      </c>
      <c r="N74" s="50">
        <f>Saldos_Capital_Mensual!N74</f>
        <v/>
      </c>
      <c r="O74" s="50">
        <f>Saldos_Capital_Mensual!O74</f>
        <v/>
      </c>
      <c r="P74" s="50">
        <f>Saldos_Capital_Mensual!P74</f>
        <v/>
      </c>
      <c r="Q74" s="50">
        <f>Saldos_Capital_Mensual!Q74</f>
        <v/>
      </c>
      <c r="R74" s="50">
        <f>Saldos_Capital_Mensual!R74</f>
        <v/>
      </c>
      <c r="S74" s="50">
        <f>Saldos_Capital_Mensual!S74</f>
        <v/>
      </c>
      <c r="T74" s="50">
        <f>Saldos_Capital_Mensual!T74</f>
        <v/>
      </c>
      <c r="U74" s="50">
        <f>Saldos_Capital_Mensual!U74</f>
        <v/>
      </c>
    </row>
    <row r="75">
      <c r="A75" s="48">
        <f>Saldos_Capital_Mensual!A75</f>
        <v/>
      </c>
      <c r="B75" s="48">
        <f>Saldos_Capital_Mensual!B75</f>
        <v/>
      </c>
      <c r="C75" s="48">
        <f>Saldos_Capital_Mensual!C75</f>
        <v/>
      </c>
      <c r="D75" s="48">
        <f>Saldos_Capital_Mensual!D75</f>
        <v/>
      </c>
      <c r="E75" s="48">
        <f>Saldos_Capital_Mensual!E75</f>
        <v/>
      </c>
      <c r="F75" s="48">
        <f>Saldos_Capital_Mensual!F75</f>
        <v/>
      </c>
      <c r="G75" s="49">
        <f>Saldos_Capital_Mensual!G75</f>
        <v/>
      </c>
      <c r="H75" s="50">
        <f>Saldos_Capital_Mensual!H75</f>
        <v/>
      </c>
      <c r="I75" s="50">
        <f>Saldos_Capital_Mensual!I75</f>
        <v/>
      </c>
      <c r="J75" s="50">
        <f>Saldos_Capital_Mensual!J75</f>
        <v/>
      </c>
      <c r="K75" s="50">
        <f>Saldos_Capital_Mensual!K75</f>
        <v/>
      </c>
      <c r="L75" s="50">
        <f>Saldos_Capital_Mensual!L75</f>
        <v/>
      </c>
      <c r="M75" s="50">
        <f>Saldos_Capital_Mensual!M75</f>
        <v/>
      </c>
      <c r="N75" s="50">
        <f>Saldos_Capital_Mensual!N75</f>
        <v/>
      </c>
      <c r="O75" s="50">
        <f>Saldos_Capital_Mensual!O75</f>
        <v/>
      </c>
      <c r="P75" s="50">
        <f>Saldos_Capital_Mensual!P75</f>
        <v/>
      </c>
      <c r="Q75" s="50">
        <f>Saldos_Capital_Mensual!Q75</f>
        <v/>
      </c>
      <c r="R75" s="50">
        <f>Saldos_Capital_Mensual!R75</f>
        <v/>
      </c>
      <c r="S75" s="50">
        <f>Saldos_Capital_Mensual!S75</f>
        <v/>
      </c>
      <c r="T75" s="50">
        <f>Saldos_Capital_Mensual!T75</f>
        <v/>
      </c>
      <c r="U75" s="50">
        <f>Saldos_Capital_Mensual!U75</f>
        <v/>
      </c>
    </row>
    <row r="76">
      <c r="A76" s="48">
        <f>Saldos_Capital_Mensual!A76</f>
        <v/>
      </c>
      <c r="B76" s="48">
        <f>Saldos_Capital_Mensual!B76</f>
        <v/>
      </c>
      <c r="C76" s="48">
        <f>Saldos_Capital_Mensual!C76</f>
        <v/>
      </c>
      <c r="D76" s="48">
        <f>Saldos_Capital_Mensual!D76</f>
        <v/>
      </c>
      <c r="E76" s="48">
        <f>Saldos_Capital_Mensual!E76</f>
        <v/>
      </c>
      <c r="F76" s="48">
        <f>Saldos_Capital_Mensual!F76</f>
        <v/>
      </c>
      <c r="G76" s="49">
        <f>Saldos_Capital_Mensual!G76</f>
        <v/>
      </c>
      <c r="H76" s="50">
        <f>Saldos_Capital_Mensual!H76</f>
        <v/>
      </c>
      <c r="I76" s="50">
        <f>Saldos_Capital_Mensual!I76</f>
        <v/>
      </c>
      <c r="J76" s="50">
        <f>Saldos_Capital_Mensual!J76</f>
        <v/>
      </c>
      <c r="K76" s="50">
        <f>Saldos_Capital_Mensual!K76</f>
        <v/>
      </c>
      <c r="L76" s="50">
        <f>Saldos_Capital_Mensual!L76</f>
        <v/>
      </c>
      <c r="M76" s="50">
        <f>Saldos_Capital_Mensual!M76</f>
        <v/>
      </c>
      <c r="N76" s="50">
        <f>Saldos_Capital_Mensual!N76</f>
        <v/>
      </c>
      <c r="O76" s="50">
        <f>Saldos_Capital_Mensual!O76</f>
        <v/>
      </c>
      <c r="P76" s="50">
        <f>Saldos_Capital_Mensual!P76</f>
        <v/>
      </c>
      <c r="Q76" s="50">
        <f>Saldos_Capital_Mensual!Q76</f>
        <v/>
      </c>
      <c r="R76" s="50">
        <f>Saldos_Capital_Mensual!R76</f>
        <v/>
      </c>
      <c r="S76" s="50">
        <f>Saldos_Capital_Mensual!S76</f>
        <v/>
      </c>
      <c r="T76" s="50">
        <f>Saldos_Capital_Mensual!T76</f>
        <v/>
      </c>
      <c r="U76" s="50">
        <f>Saldos_Capital_Mensual!U76</f>
        <v/>
      </c>
    </row>
    <row r="77">
      <c r="A77" s="48">
        <f>Saldos_Capital_Mensual!A77</f>
        <v/>
      </c>
      <c r="B77" s="48">
        <f>Saldos_Capital_Mensual!B77</f>
        <v/>
      </c>
      <c r="C77" s="48">
        <f>Saldos_Capital_Mensual!C77</f>
        <v/>
      </c>
      <c r="D77" s="48">
        <f>Saldos_Capital_Mensual!D77</f>
        <v/>
      </c>
      <c r="E77" s="48">
        <f>Saldos_Capital_Mensual!E77</f>
        <v/>
      </c>
      <c r="F77" s="48">
        <f>Saldos_Capital_Mensual!F77</f>
        <v/>
      </c>
      <c r="G77" s="49">
        <f>Saldos_Capital_Mensual!G77</f>
        <v/>
      </c>
      <c r="H77" s="50">
        <f>Saldos_Capital_Mensual!H77</f>
        <v/>
      </c>
      <c r="I77" s="50">
        <f>Saldos_Capital_Mensual!I77</f>
        <v/>
      </c>
      <c r="J77" s="50">
        <f>Saldos_Capital_Mensual!J77</f>
        <v/>
      </c>
      <c r="K77" s="50">
        <f>Saldos_Capital_Mensual!K77</f>
        <v/>
      </c>
      <c r="L77" s="50">
        <f>Saldos_Capital_Mensual!L77</f>
        <v/>
      </c>
      <c r="M77" s="50">
        <f>Saldos_Capital_Mensual!M77</f>
        <v/>
      </c>
      <c r="N77" s="50">
        <f>Saldos_Capital_Mensual!N77</f>
        <v/>
      </c>
      <c r="O77" s="50">
        <f>Saldos_Capital_Mensual!O77</f>
        <v/>
      </c>
      <c r="P77" s="50">
        <f>Saldos_Capital_Mensual!P77</f>
        <v/>
      </c>
      <c r="Q77" s="50">
        <f>Saldos_Capital_Mensual!Q77</f>
        <v/>
      </c>
      <c r="R77" s="50">
        <f>Saldos_Capital_Mensual!R77</f>
        <v/>
      </c>
      <c r="S77" s="50">
        <f>Saldos_Capital_Mensual!S77</f>
        <v/>
      </c>
      <c r="T77" s="50">
        <f>Saldos_Capital_Mensual!T77</f>
        <v/>
      </c>
      <c r="U77" s="50">
        <f>Saldos_Capital_Mensual!U77</f>
        <v/>
      </c>
    </row>
    <row r="78">
      <c r="A78" s="48">
        <f>Saldos_Capital_Mensual!A78</f>
        <v/>
      </c>
      <c r="B78" s="48">
        <f>Saldos_Capital_Mensual!B78</f>
        <v/>
      </c>
      <c r="C78" s="48">
        <f>Saldos_Capital_Mensual!C78</f>
        <v/>
      </c>
      <c r="D78" s="48">
        <f>Saldos_Capital_Mensual!D78</f>
        <v/>
      </c>
      <c r="E78" s="48">
        <f>Saldos_Capital_Mensual!E78</f>
        <v/>
      </c>
      <c r="F78" s="48">
        <f>Saldos_Capital_Mensual!F78</f>
        <v/>
      </c>
      <c r="G78" s="49">
        <f>Saldos_Capital_Mensual!G78</f>
        <v/>
      </c>
      <c r="H78" s="50">
        <f>Saldos_Capital_Mensual!H78</f>
        <v/>
      </c>
      <c r="I78" s="50">
        <f>Saldos_Capital_Mensual!I78</f>
        <v/>
      </c>
      <c r="J78" s="50">
        <f>Saldos_Capital_Mensual!J78</f>
        <v/>
      </c>
      <c r="K78" s="50">
        <f>Saldos_Capital_Mensual!K78</f>
        <v/>
      </c>
      <c r="L78" s="50">
        <f>Saldos_Capital_Mensual!L78</f>
        <v/>
      </c>
      <c r="M78" s="50">
        <f>Saldos_Capital_Mensual!M78</f>
        <v/>
      </c>
      <c r="N78" s="50">
        <f>Saldos_Capital_Mensual!N78</f>
        <v/>
      </c>
      <c r="O78" s="50">
        <f>Saldos_Capital_Mensual!O78</f>
        <v/>
      </c>
      <c r="P78" s="50">
        <f>Saldos_Capital_Mensual!P78</f>
        <v/>
      </c>
      <c r="Q78" s="50">
        <f>Saldos_Capital_Mensual!Q78</f>
        <v/>
      </c>
      <c r="R78" s="50">
        <f>Saldos_Capital_Mensual!R78</f>
        <v/>
      </c>
      <c r="S78" s="50">
        <f>Saldos_Capital_Mensual!S78</f>
        <v/>
      </c>
      <c r="T78" s="50">
        <f>Saldos_Capital_Mensual!T78</f>
        <v/>
      </c>
      <c r="U78" s="50">
        <f>Saldos_Capital_Mensual!U78</f>
        <v/>
      </c>
    </row>
    <row r="79">
      <c r="A79" s="48">
        <f>Saldos_Capital_Mensual!A79</f>
        <v/>
      </c>
      <c r="B79" s="48">
        <f>Saldos_Capital_Mensual!B79</f>
        <v/>
      </c>
      <c r="C79" s="48">
        <f>Saldos_Capital_Mensual!C79</f>
        <v/>
      </c>
      <c r="D79" s="48">
        <f>Saldos_Capital_Mensual!D79</f>
        <v/>
      </c>
      <c r="E79" s="48">
        <f>Saldos_Capital_Mensual!E79</f>
        <v/>
      </c>
      <c r="F79" s="48">
        <f>Saldos_Capital_Mensual!F79</f>
        <v/>
      </c>
      <c r="G79" s="49">
        <f>Saldos_Capital_Mensual!G79</f>
        <v/>
      </c>
      <c r="H79" s="50">
        <f>Saldos_Capital_Mensual!H79</f>
        <v/>
      </c>
      <c r="I79" s="50">
        <f>Saldos_Capital_Mensual!I79</f>
        <v/>
      </c>
      <c r="J79" s="50">
        <f>Saldos_Capital_Mensual!J79</f>
        <v/>
      </c>
      <c r="K79" s="50">
        <f>Saldos_Capital_Mensual!K79</f>
        <v/>
      </c>
      <c r="L79" s="50">
        <f>Saldos_Capital_Mensual!L79</f>
        <v/>
      </c>
      <c r="M79" s="50">
        <f>Saldos_Capital_Mensual!M79</f>
        <v/>
      </c>
      <c r="N79" s="50">
        <f>Saldos_Capital_Mensual!N79</f>
        <v/>
      </c>
      <c r="O79" s="50">
        <f>Saldos_Capital_Mensual!O79</f>
        <v/>
      </c>
      <c r="P79" s="50">
        <f>Saldos_Capital_Mensual!P79</f>
        <v/>
      </c>
      <c r="Q79" s="50">
        <f>Saldos_Capital_Mensual!Q79</f>
        <v/>
      </c>
      <c r="R79" s="50">
        <f>Saldos_Capital_Mensual!R79</f>
        <v/>
      </c>
      <c r="S79" s="50">
        <f>Saldos_Capital_Mensual!S79</f>
        <v/>
      </c>
      <c r="T79" s="50">
        <f>Saldos_Capital_Mensual!T79</f>
        <v/>
      </c>
      <c r="U79" s="50">
        <f>Saldos_Capital_Mensual!U79</f>
        <v/>
      </c>
    </row>
    <row r="80">
      <c r="A80" s="48">
        <f>Saldos_Capital_Mensual!A80</f>
        <v/>
      </c>
      <c r="B80" s="48">
        <f>Saldos_Capital_Mensual!B80</f>
        <v/>
      </c>
      <c r="C80" s="48">
        <f>Saldos_Capital_Mensual!C80</f>
        <v/>
      </c>
      <c r="D80" s="48">
        <f>Saldos_Capital_Mensual!D80</f>
        <v/>
      </c>
      <c r="E80" s="48">
        <f>Saldos_Capital_Mensual!E80</f>
        <v/>
      </c>
      <c r="F80" s="48">
        <f>Saldos_Capital_Mensual!F80</f>
        <v/>
      </c>
      <c r="G80" s="49">
        <f>Saldos_Capital_Mensual!G80</f>
        <v/>
      </c>
      <c r="H80" s="50">
        <f>Saldos_Capital_Mensual!H80</f>
        <v/>
      </c>
      <c r="I80" s="50">
        <f>Saldos_Capital_Mensual!I80</f>
        <v/>
      </c>
      <c r="J80" s="50">
        <f>Saldos_Capital_Mensual!J80</f>
        <v/>
      </c>
      <c r="K80" s="50">
        <f>Saldos_Capital_Mensual!K80</f>
        <v/>
      </c>
      <c r="L80" s="50">
        <f>Saldos_Capital_Mensual!L80</f>
        <v/>
      </c>
      <c r="M80" s="50">
        <f>Saldos_Capital_Mensual!M80</f>
        <v/>
      </c>
      <c r="N80" s="50">
        <f>Saldos_Capital_Mensual!N80</f>
        <v/>
      </c>
      <c r="O80" s="50">
        <f>Saldos_Capital_Mensual!O80</f>
        <v/>
      </c>
      <c r="P80" s="50">
        <f>Saldos_Capital_Mensual!P80</f>
        <v/>
      </c>
      <c r="Q80" s="50">
        <f>Saldos_Capital_Mensual!Q80</f>
        <v/>
      </c>
      <c r="R80" s="50">
        <f>Saldos_Capital_Mensual!R80</f>
        <v/>
      </c>
      <c r="S80" s="50">
        <f>Saldos_Capital_Mensual!S80</f>
        <v/>
      </c>
      <c r="T80" s="50">
        <f>Saldos_Capital_Mensual!T80</f>
        <v/>
      </c>
      <c r="U80" s="50">
        <f>Saldos_Capital_Mensual!U80</f>
        <v/>
      </c>
    </row>
    <row r="81">
      <c r="A81" s="48">
        <f>Saldos_Capital_Mensual!A81</f>
        <v/>
      </c>
      <c r="B81" s="48">
        <f>Saldos_Capital_Mensual!B81</f>
        <v/>
      </c>
      <c r="C81" s="48">
        <f>Saldos_Capital_Mensual!C81</f>
        <v/>
      </c>
      <c r="D81" s="48">
        <f>Saldos_Capital_Mensual!D81</f>
        <v/>
      </c>
      <c r="E81" s="48">
        <f>Saldos_Capital_Mensual!E81</f>
        <v/>
      </c>
      <c r="F81" s="48">
        <f>Saldos_Capital_Mensual!F81</f>
        <v/>
      </c>
      <c r="G81" s="49">
        <f>Saldos_Capital_Mensual!G81</f>
        <v/>
      </c>
      <c r="H81" s="50">
        <f>Saldos_Capital_Mensual!H81</f>
        <v/>
      </c>
      <c r="I81" s="50">
        <f>Saldos_Capital_Mensual!I81</f>
        <v/>
      </c>
      <c r="J81" s="50">
        <f>Saldos_Capital_Mensual!J81</f>
        <v/>
      </c>
      <c r="K81" s="50">
        <f>Saldos_Capital_Mensual!K81</f>
        <v/>
      </c>
      <c r="L81" s="50">
        <f>Saldos_Capital_Mensual!L81</f>
        <v/>
      </c>
      <c r="M81" s="50">
        <f>Saldos_Capital_Mensual!M81</f>
        <v/>
      </c>
      <c r="N81" s="50">
        <f>Saldos_Capital_Mensual!N81</f>
        <v/>
      </c>
      <c r="O81" s="50">
        <f>Saldos_Capital_Mensual!O81</f>
        <v/>
      </c>
      <c r="P81" s="50">
        <f>Saldos_Capital_Mensual!P81</f>
        <v/>
      </c>
      <c r="Q81" s="50">
        <f>Saldos_Capital_Mensual!Q81</f>
        <v/>
      </c>
      <c r="R81" s="50">
        <f>Saldos_Capital_Mensual!R81</f>
        <v/>
      </c>
      <c r="S81" s="50">
        <f>Saldos_Capital_Mensual!S81</f>
        <v/>
      </c>
      <c r="T81" s="50">
        <f>Saldos_Capital_Mensual!T81</f>
        <v/>
      </c>
      <c r="U81" s="50">
        <f>Saldos_Capital_Mensual!U81</f>
        <v/>
      </c>
    </row>
    <row r="82">
      <c r="A82" s="48">
        <f>Saldos_Capital_Mensual!A82</f>
        <v/>
      </c>
      <c r="B82" s="48">
        <f>Saldos_Capital_Mensual!B82</f>
        <v/>
      </c>
      <c r="C82" s="48">
        <f>Saldos_Capital_Mensual!C82</f>
        <v/>
      </c>
      <c r="D82" s="48">
        <f>Saldos_Capital_Mensual!D82</f>
        <v/>
      </c>
      <c r="E82" s="48">
        <f>Saldos_Capital_Mensual!E82</f>
        <v/>
      </c>
      <c r="F82" s="48">
        <f>Saldos_Capital_Mensual!F82</f>
        <v/>
      </c>
      <c r="G82" s="49">
        <f>Saldos_Capital_Mensual!G82</f>
        <v/>
      </c>
      <c r="H82" s="50">
        <f>Saldos_Capital_Mensual!H82</f>
        <v/>
      </c>
      <c r="I82" s="50">
        <f>Saldos_Capital_Mensual!I82</f>
        <v/>
      </c>
      <c r="J82" s="50">
        <f>Saldos_Capital_Mensual!J82</f>
        <v/>
      </c>
      <c r="K82" s="50">
        <f>Saldos_Capital_Mensual!K82</f>
        <v/>
      </c>
      <c r="L82" s="50">
        <f>Saldos_Capital_Mensual!L82</f>
        <v/>
      </c>
      <c r="M82" s="50">
        <f>Saldos_Capital_Mensual!M82</f>
        <v/>
      </c>
      <c r="N82" s="50">
        <f>Saldos_Capital_Mensual!N82</f>
        <v/>
      </c>
      <c r="O82" s="50">
        <f>Saldos_Capital_Mensual!O82</f>
        <v/>
      </c>
      <c r="P82" s="50">
        <f>Saldos_Capital_Mensual!P82</f>
        <v/>
      </c>
      <c r="Q82" s="50">
        <f>Saldos_Capital_Mensual!Q82</f>
        <v/>
      </c>
      <c r="R82" s="50">
        <f>Saldos_Capital_Mensual!R82</f>
        <v/>
      </c>
      <c r="S82" s="50">
        <f>Saldos_Capital_Mensual!S82</f>
        <v/>
      </c>
      <c r="T82" s="50">
        <f>Saldos_Capital_Mensual!T82</f>
        <v/>
      </c>
      <c r="U82" s="50">
        <f>Saldos_Capital_Mensual!U82</f>
        <v/>
      </c>
    </row>
    <row r="83">
      <c r="A83" s="48">
        <f>Saldos_Capital_Mensual!A83</f>
        <v/>
      </c>
      <c r="B83" s="48">
        <f>Saldos_Capital_Mensual!B83</f>
        <v/>
      </c>
      <c r="C83" s="48">
        <f>Saldos_Capital_Mensual!C83</f>
        <v/>
      </c>
      <c r="D83" s="48">
        <f>Saldos_Capital_Mensual!D83</f>
        <v/>
      </c>
      <c r="E83" s="48">
        <f>Saldos_Capital_Mensual!E83</f>
        <v/>
      </c>
      <c r="F83" s="48">
        <f>Saldos_Capital_Mensual!F83</f>
        <v/>
      </c>
      <c r="G83" s="49">
        <f>Saldos_Capital_Mensual!G83</f>
        <v/>
      </c>
      <c r="H83" s="50">
        <f>Saldos_Capital_Mensual!H83</f>
        <v/>
      </c>
      <c r="I83" s="50">
        <f>Saldos_Capital_Mensual!I83</f>
        <v/>
      </c>
      <c r="J83" s="50">
        <f>Saldos_Capital_Mensual!J83</f>
        <v/>
      </c>
      <c r="K83" s="50">
        <f>Saldos_Capital_Mensual!K83</f>
        <v/>
      </c>
      <c r="L83" s="50">
        <f>Saldos_Capital_Mensual!L83</f>
        <v/>
      </c>
      <c r="M83" s="50">
        <f>Saldos_Capital_Mensual!M83</f>
        <v/>
      </c>
      <c r="N83" s="50">
        <f>Saldos_Capital_Mensual!N83</f>
        <v/>
      </c>
      <c r="O83" s="50">
        <f>Saldos_Capital_Mensual!O83</f>
        <v/>
      </c>
      <c r="P83" s="50">
        <f>Saldos_Capital_Mensual!P83</f>
        <v/>
      </c>
      <c r="Q83" s="50">
        <f>Saldos_Capital_Mensual!Q83</f>
        <v/>
      </c>
      <c r="R83" s="50">
        <f>Saldos_Capital_Mensual!R83</f>
        <v/>
      </c>
      <c r="S83" s="50">
        <f>Saldos_Capital_Mensual!S83</f>
        <v/>
      </c>
      <c r="T83" s="50">
        <f>Saldos_Capital_Mensual!T83</f>
        <v/>
      </c>
      <c r="U83" s="50">
        <f>Saldos_Capital_Mensual!U83</f>
        <v/>
      </c>
    </row>
    <row r="84">
      <c r="A84" s="48">
        <f>Saldos_Capital_Mensual!A84</f>
        <v/>
      </c>
      <c r="B84" s="48">
        <f>Saldos_Capital_Mensual!B84</f>
        <v/>
      </c>
      <c r="C84" s="48">
        <f>Saldos_Capital_Mensual!C84</f>
        <v/>
      </c>
      <c r="D84" s="48">
        <f>Saldos_Capital_Mensual!D84</f>
        <v/>
      </c>
      <c r="E84" s="48">
        <f>Saldos_Capital_Mensual!E84</f>
        <v/>
      </c>
      <c r="F84" s="48">
        <f>Saldos_Capital_Mensual!F84</f>
        <v/>
      </c>
      <c r="G84" s="49">
        <f>Saldos_Capital_Mensual!G84</f>
        <v/>
      </c>
      <c r="H84" s="50">
        <f>Saldos_Capital_Mensual!H84</f>
        <v/>
      </c>
      <c r="I84" s="50">
        <f>Saldos_Capital_Mensual!I84</f>
        <v/>
      </c>
      <c r="J84" s="50">
        <f>Saldos_Capital_Mensual!J84</f>
        <v/>
      </c>
      <c r="K84" s="50">
        <f>Saldos_Capital_Mensual!K84</f>
        <v/>
      </c>
      <c r="L84" s="50">
        <f>Saldos_Capital_Mensual!L84</f>
        <v/>
      </c>
      <c r="M84" s="50">
        <f>Saldos_Capital_Mensual!M84</f>
        <v/>
      </c>
      <c r="N84" s="50">
        <f>Saldos_Capital_Mensual!N84</f>
        <v/>
      </c>
      <c r="O84" s="50">
        <f>Saldos_Capital_Mensual!O84</f>
        <v/>
      </c>
      <c r="P84" s="50">
        <f>Saldos_Capital_Mensual!P84</f>
        <v/>
      </c>
      <c r="Q84" s="50">
        <f>Saldos_Capital_Mensual!Q84</f>
        <v/>
      </c>
      <c r="R84" s="50">
        <f>Saldos_Capital_Mensual!R84</f>
        <v/>
      </c>
      <c r="S84" s="50">
        <f>Saldos_Capital_Mensual!S84</f>
        <v/>
      </c>
      <c r="T84" s="50">
        <f>Saldos_Capital_Mensual!T84</f>
        <v/>
      </c>
      <c r="U84" s="50">
        <f>Saldos_Capital_Mensual!U84</f>
        <v/>
      </c>
    </row>
    <row r="85">
      <c r="A85" s="48">
        <f>Saldos_Capital_Mensual!A85</f>
        <v/>
      </c>
      <c r="B85" s="48">
        <f>Saldos_Capital_Mensual!B85</f>
        <v/>
      </c>
      <c r="C85" s="48">
        <f>Saldos_Capital_Mensual!C85</f>
        <v/>
      </c>
      <c r="D85" s="48">
        <f>Saldos_Capital_Mensual!D85</f>
        <v/>
      </c>
      <c r="E85" s="48">
        <f>Saldos_Capital_Mensual!E85</f>
        <v/>
      </c>
      <c r="F85" s="48">
        <f>Saldos_Capital_Mensual!F85</f>
        <v/>
      </c>
      <c r="G85" s="49">
        <f>Saldos_Capital_Mensual!G85</f>
        <v/>
      </c>
      <c r="H85" s="50">
        <f>Saldos_Capital_Mensual!H85</f>
        <v/>
      </c>
      <c r="I85" s="50">
        <f>Saldos_Capital_Mensual!I85</f>
        <v/>
      </c>
      <c r="J85" s="50">
        <f>Saldos_Capital_Mensual!J85</f>
        <v/>
      </c>
      <c r="K85" s="50">
        <f>Saldos_Capital_Mensual!K85</f>
        <v/>
      </c>
      <c r="L85" s="50">
        <f>Saldos_Capital_Mensual!L85</f>
        <v/>
      </c>
      <c r="M85" s="50">
        <f>Saldos_Capital_Mensual!M85</f>
        <v/>
      </c>
      <c r="N85" s="50">
        <f>Saldos_Capital_Mensual!N85</f>
        <v/>
      </c>
      <c r="O85" s="50">
        <f>Saldos_Capital_Mensual!O85</f>
        <v/>
      </c>
      <c r="P85" s="50">
        <f>Saldos_Capital_Mensual!P85</f>
        <v/>
      </c>
      <c r="Q85" s="50">
        <f>Saldos_Capital_Mensual!Q85</f>
        <v/>
      </c>
      <c r="R85" s="50">
        <f>Saldos_Capital_Mensual!R85</f>
        <v/>
      </c>
      <c r="S85" s="50">
        <f>Saldos_Capital_Mensual!S85</f>
        <v/>
      </c>
      <c r="T85" s="50">
        <f>Saldos_Capital_Mensual!T85</f>
        <v/>
      </c>
      <c r="U85" s="50">
        <f>Saldos_Capital_Mensual!U85</f>
        <v/>
      </c>
    </row>
    <row r="86">
      <c r="A86" s="48">
        <f>Saldos_Capital_Mensual!A86</f>
        <v/>
      </c>
      <c r="B86" s="48">
        <f>Saldos_Capital_Mensual!B86</f>
        <v/>
      </c>
      <c r="C86" s="48">
        <f>Saldos_Capital_Mensual!C86</f>
        <v/>
      </c>
      <c r="D86" s="48">
        <f>Saldos_Capital_Mensual!D86</f>
        <v/>
      </c>
      <c r="E86" s="48">
        <f>Saldos_Capital_Mensual!E86</f>
        <v/>
      </c>
      <c r="F86" s="48">
        <f>Saldos_Capital_Mensual!F86</f>
        <v/>
      </c>
      <c r="G86" s="49">
        <f>Saldos_Capital_Mensual!G86</f>
        <v/>
      </c>
      <c r="H86" s="50">
        <f>Saldos_Capital_Mensual!H86</f>
        <v/>
      </c>
      <c r="I86" s="50">
        <f>Saldos_Capital_Mensual!I86</f>
        <v/>
      </c>
      <c r="J86" s="50">
        <f>Saldos_Capital_Mensual!J86</f>
        <v/>
      </c>
      <c r="K86" s="50">
        <f>Saldos_Capital_Mensual!K86</f>
        <v/>
      </c>
      <c r="L86" s="50">
        <f>Saldos_Capital_Mensual!L86</f>
        <v/>
      </c>
      <c r="M86" s="50">
        <f>Saldos_Capital_Mensual!M86</f>
        <v/>
      </c>
      <c r="N86" s="50">
        <f>Saldos_Capital_Mensual!N86</f>
        <v/>
      </c>
      <c r="O86" s="50">
        <f>Saldos_Capital_Mensual!O86</f>
        <v/>
      </c>
      <c r="P86" s="50">
        <f>Saldos_Capital_Mensual!P86</f>
        <v/>
      </c>
      <c r="Q86" s="50">
        <f>Saldos_Capital_Mensual!Q86</f>
        <v/>
      </c>
      <c r="R86" s="50">
        <f>Saldos_Capital_Mensual!R86</f>
        <v/>
      </c>
      <c r="S86" s="50">
        <f>Saldos_Capital_Mensual!S86</f>
        <v/>
      </c>
      <c r="T86" s="50">
        <f>Saldos_Capital_Mensual!T86</f>
        <v/>
      </c>
      <c r="U86" s="50">
        <f>Saldos_Capital_Mensual!U86</f>
        <v/>
      </c>
    </row>
    <row r="87">
      <c r="A87" s="48">
        <f>Saldos_Capital_Mensual!A87</f>
        <v/>
      </c>
      <c r="B87" s="48">
        <f>Saldos_Capital_Mensual!B87</f>
        <v/>
      </c>
      <c r="C87" s="48">
        <f>Saldos_Capital_Mensual!C87</f>
        <v/>
      </c>
      <c r="D87" s="48">
        <f>Saldos_Capital_Mensual!D87</f>
        <v/>
      </c>
      <c r="E87" s="48">
        <f>Saldos_Capital_Mensual!E87</f>
        <v/>
      </c>
      <c r="F87" s="48">
        <f>Saldos_Capital_Mensual!F87</f>
        <v/>
      </c>
      <c r="G87" s="49">
        <f>Saldos_Capital_Mensual!G87</f>
        <v/>
      </c>
      <c r="H87" s="50">
        <f>Saldos_Capital_Mensual!H87</f>
        <v/>
      </c>
      <c r="I87" s="50">
        <f>Saldos_Capital_Mensual!I87</f>
        <v/>
      </c>
      <c r="J87" s="50">
        <f>Saldos_Capital_Mensual!J87</f>
        <v/>
      </c>
      <c r="K87" s="50">
        <f>Saldos_Capital_Mensual!K87</f>
        <v/>
      </c>
      <c r="L87" s="50">
        <f>Saldos_Capital_Mensual!L87</f>
        <v/>
      </c>
      <c r="M87" s="50">
        <f>Saldos_Capital_Mensual!M87</f>
        <v/>
      </c>
      <c r="N87" s="50">
        <f>Saldos_Capital_Mensual!N87</f>
        <v/>
      </c>
      <c r="O87" s="50">
        <f>Saldos_Capital_Mensual!O87</f>
        <v/>
      </c>
      <c r="P87" s="50">
        <f>Saldos_Capital_Mensual!P87</f>
        <v/>
      </c>
      <c r="Q87" s="50">
        <f>Saldos_Capital_Mensual!Q87</f>
        <v/>
      </c>
      <c r="R87" s="50">
        <f>Saldos_Capital_Mensual!R87</f>
        <v/>
      </c>
      <c r="S87" s="50">
        <f>Saldos_Capital_Mensual!S87</f>
        <v/>
      </c>
      <c r="T87" s="50">
        <f>Saldos_Capital_Mensual!T87</f>
        <v/>
      </c>
      <c r="U87" s="50">
        <f>Saldos_Capital_Mensual!U87</f>
        <v/>
      </c>
    </row>
    <row r="88">
      <c r="A88" s="48">
        <f>Saldos_Capital_Mensual!A88</f>
        <v/>
      </c>
      <c r="B88" s="48">
        <f>Saldos_Capital_Mensual!B88</f>
        <v/>
      </c>
      <c r="C88" s="48">
        <f>Saldos_Capital_Mensual!C88</f>
        <v/>
      </c>
      <c r="D88" s="48">
        <f>Saldos_Capital_Mensual!D88</f>
        <v/>
      </c>
      <c r="E88" s="48">
        <f>Saldos_Capital_Mensual!E88</f>
        <v/>
      </c>
      <c r="F88" s="48">
        <f>Saldos_Capital_Mensual!F88</f>
        <v/>
      </c>
      <c r="G88" s="49">
        <f>Saldos_Capital_Mensual!G88</f>
        <v/>
      </c>
      <c r="H88" s="50">
        <f>Saldos_Capital_Mensual!H88</f>
        <v/>
      </c>
      <c r="I88" s="50">
        <f>Saldos_Capital_Mensual!I88</f>
        <v/>
      </c>
      <c r="J88" s="50">
        <f>Saldos_Capital_Mensual!J88</f>
        <v/>
      </c>
      <c r="K88" s="50">
        <f>Saldos_Capital_Mensual!K88</f>
        <v/>
      </c>
      <c r="L88" s="50">
        <f>Saldos_Capital_Mensual!L88</f>
        <v/>
      </c>
      <c r="M88" s="50">
        <f>Saldos_Capital_Mensual!M88</f>
        <v/>
      </c>
      <c r="N88" s="50">
        <f>Saldos_Capital_Mensual!N88</f>
        <v/>
      </c>
      <c r="O88" s="50">
        <f>Saldos_Capital_Mensual!O88</f>
        <v/>
      </c>
      <c r="P88" s="50">
        <f>Saldos_Capital_Mensual!P88</f>
        <v/>
      </c>
      <c r="Q88" s="50">
        <f>Saldos_Capital_Mensual!Q88</f>
        <v/>
      </c>
      <c r="R88" s="50">
        <f>Saldos_Capital_Mensual!R88</f>
        <v/>
      </c>
      <c r="S88" s="50">
        <f>Saldos_Capital_Mensual!S88</f>
        <v/>
      </c>
      <c r="T88" s="50">
        <f>Saldos_Capital_Mensual!T88</f>
        <v/>
      </c>
      <c r="U88" s="50">
        <f>Saldos_Capital_Mensual!U88</f>
        <v/>
      </c>
    </row>
    <row r="89">
      <c r="A89" s="48">
        <f>Saldos_Capital_Mensual!A89</f>
        <v/>
      </c>
      <c r="B89" s="48">
        <f>Saldos_Capital_Mensual!B89</f>
        <v/>
      </c>
      <c r="C89" s="48">
        <f>Saldos_Capital_Mensual!C89</f>
        <v/>
      </c>
      <c r="D89" s="48">
        <f>Saldos_Capital_Mensual!D89</f>
        <v/>
      </c>
      <c r="E89" s="48">
        <f>Saldos_Capital_Mensual!E89</f>
        <v/>
      </c>
      <c r="F89" s="48">
        <f>Saldos_Capital_Mensual!F89</f>
        <v/>
      </c>
      <c r="G89" s="49">
        <f>Saldos_Capital_Mensual!G89</f>
        <v/>
      </c>
      <c r="H89" s="50">
        <f>Saldos_Capital_Mensual!H89</f>
        <v/>
      </c>
      <c r="I89" s="50">
        <f>Saldos_Capital_Mensual!I89</f>
        <v/>
      </c>
      <c r="J89" s="50">
        <f>Saldos_Capital_Mensual!J89</f>
        <v/>
      </c>
      <c r="K89" s="50">
        <f>Saldos_Capital_Mensual!K89</f>
        <v/>
      </c>
      <c r="L89" s="50">
        <f>Saldos_Capital_Mensual!L89</f>
        <v/>
      </c>
      <c r="M89" s="50">
        <f>Saldos_Capital_Mensual!M89</f>
        <v/>
      </c>
      <c r="N89" s="50">
        <f>Saldos_Capital_Mensual!N89</f>
        <v/>
      </c>
      <c r="O89" s="50">
        <f>Saldos_Capital_Mensual!O89</f>
        <v/>
      </c>
      <c r="P89" s="50">
        <f>Saldos_Capital_Mensual!P89</f>
        <v/>
      </c>
      <c r="Q89" s="50">
        <f>Saldos_Capital_Mensual!Q89</f>
        <v/>
      </c>
      <c r="R89" s="50">
        <f>Saldos_Capital_Mensual!R89</f>
        <v/>
      </c>
      <c r="S89" s="50">
        <f>Saldos_Capital_Mensual!S89</f>
        <v/>
      </c>
      <c r="T89" s="50">
        <f>Saldos_Capital_Mensual!T89</f>
        <v/>
      </c>
      <c r="U89" s="50">
        <f>Saldos_Capital_Mensual!U89</f>
        <v/>
      </c>
    </row>
    <row r="90">
      <c r="A90" s="48">
        <f>Saldos_Capital_Mensual!A90</f>
        <v/>
      </c>
      <c r="B90" s="48">
        <f>Saldos_Capital_Mensual!B90</f>
        <v/>
      </c>
      <c r="C90" s="48">
        <f>Saldos_Capital_Mensual!C90</f>
        <v/>
      </c>
      <c r="D90" s="48">
        <f>Saldos_Capital_Mensual!D90</f>
        <v/>
      </c>
      <c r="E90" s="48">
        <f>Saldos_Capital_Mensual!E90</f>
        <v/>
      </c>
      <c r="F90" s="48">
        <f>Saldos_Capital_Mensual!F90</f>
        <v/>
      </c>
      <c r="G90" s="49">
        <f>Saldos_Capital_Mensual!G90</f>
        <v/>
      </c>
      <c r="H90" s="50">
        <f>Saldos_Capital_Mensual!H90</f>
        <v/>
      </c>
      <c r="I90" s="50">
        <f>Saldos_Capital_Mensual!I90</f>
        <v/>
      </c>
      <c r="J90" s="50">
        <f>Saldos_Capital_Mensual!J90</f>
        <v/>
      </c>
      <c r="K90" s="50">
        <f>Saldos_Capital_Mensual!K90</f>
        <v/>
      </c>
      <c r="L90" s="50">
        <f>Saldos_Capital_Mensual!L90</f>
        <v/>
      </c>
      <c r="M90" s="50">
        <f>Saldos_Capital_Mensual!M90</f>
        <v/>
      </c>
      <c r="N90" s="50">
        <f>Saldos_Capital_Mensual!N90</f>
        <v/>
      </c>
      <c r="O90" s="50">
        <f>Saldos_Capital_Mensual!O90</f>
        <v/>
      </c>
      <c r="P90" s="50">
        <f>Saldos_Capital_Mensual!P90</f>
        <v/>
      </c>
      <c r="Q90" s="50">
        <f>Saldos_Capital_Mensual!Q90</f>
        <v/>
      </c>
      <c r="R90" s="50">
        <f>Saldos_Capital_Mensual!R90</f>
        <v/>
      </c>
      <c r="S90" s="50">
        <f>Saldos_Capital_Mensual!S90</f>
        <v/>
      </c>
      <c r="T90" s="50">
        <f>Saldos_Capital_Mensual!T90</f>
        <v/>
      </c>
      <c r="U90" s="50">
        <f>Saldos_Capital_Mensual!U90</f>
        <v/>
      </c>
    </row>
    <row r="91">
      <c r="A91" s="48">
        <f>Saldos_Capital_Mensual!A91</f>
        <v/>
      </c>
      <c r="B91" s="48">
        <f>Saldos_Capital_Mensual!B91</f>
        <v/>
      </c>
      <c r="C91" s="48">
        <f>Saldos_Capital_Mensual!C91</f>
        <v/>
      </c>
      <c r="D91" s="48">
        <f>Saldos_Capital_Mensual!D91</f>
        <v/>
      </c>
      <c r="E91" s="48">
        <f>Saldos_Capital_Mensual!E91</f>
        <v/>
      </c>
      <c r="F91" s="48">
        <f>Saldos_Capital_Mensual!F91</f>
        <v/>
      </c>
      <c r="G91" s="49">
        <f>Saldos_Capital_Mensual!G91</f>
        <v/>
      </c>
      <c r="H91" s="50">
        <f>Saldos_Capital_Mensual!H91</f>
        <v/>
      </c>
      <c r="I91" s="50">
        <f>Saldos_Capital_Mensual!I91</f>
        <v/>
      </c>
      <c r="J91" s="50">
        <f>Saldos_Capital_Mensual!J91</f>
        <v/>
      </c>
      <c r="K91" s="50">
        <f>Saldos_Capital_Mensual!K91</f>
        <v/>
      </c>
      <c r="L91" s="50">
        <f>Saldos_Capital_Mensual!L91</f>
        <v/>
      </c>
      <c r="M91" s="50">
        <f>Saldos_Capital_Mensual!M91</f>
        <v/>
      </c>
      <c r="N91" s="50">
        <f>Saldos_Capital_Mensual!N91</f>
        <v/>
      </c>
      <c r="O91" s="50">
        <f>Saldos_Capital_Mensual!O91</f>
        <v/>
      </c>
      <c r="P91" s="50">
        <f>Saldos_Capital_Mensual!P91</f>
        <v/>
      </c>
      <c r="Q91" s="50">
        <f>Saldos_Capital_Mensual!Q91</f>
        <v/>
      </c>
      <c r="R91" s="50">
        <f>Saldos_Capital_Mensual!R91</f>
        <v/>
      </c>
      <c r="S91" s="50">
        <f>Saldos_Capital_Mensual!S91</f>
        <v/>
      </c>
      <c r="T91" s="50">
        <f>Saldos_Capital_Mensual!T91</f>
        <v/>
      </c>
      <c r="U91" s="50">
        <f>Saldos_Capital_Mensual!U91</f>
        <v/>
      </c>
    </row>
    <row r="92">
      <c r="A92" s="48">
        <f>Saldos_Capital_Mensual!A92</f>
        <v/>
      </c>
      <c r="B92" s="48">
        <f>Saldos_Capital_Mensual!B92</f>
        <v/>
      </c>
      <c r="C92" s="48">
        <f>Saldos_Capital_Mensual!C92</f>
        <v/>
      </c>
      <c r="D92" s="48">
        <f>Saldos_Capital_Mensual!D92</f>
        <v/>
      </c>
      <c r="E92" s="48">
        <f>Saldos_Capital_Mensual!E92</f>
        <v/>
      </c>
      <c r="F92" s="48">
        <f>Saldos_Capital_Mensual!F92</f>
        <v/>
      </c>
      <c r="G92" s="49">
        <f>Saldos_Capital_Mensual!G92</f>
        <v/>
      </c>
      <c r="H92" s="50">
        <f>Saldos_Capital_Mensual!H92</f>
        <v/>
      </c>
      <c r="I92" s="50">
        <f>Saldos_Capital_Mensual!I92</f>
        <v/>
      </c>
      <c r="J92" s="50">
        <f>Saldos_Capital_Mensual!J92</f>
        <v/>
      </c>
      <c r="K92" s="50">
        <f>Saldos_Capital_Mensual!K92</f>
        <v/>
      </c>
      <c r="L92" s="50">
        <f>Saldos_Capital_Mensual!L92</f>
        <v/>
      </c>
      <c r="M92" s="50">
        <f>Saldos_Capital_Mensual!M92</f>
        <v/>
      </c>
      <c r="N92" s="50">
        <f>Saldos_Capital_Mensual!N92</f>
        <v/>
      </c>
      <c r="O92" s="50">
        <f>Saldos_Capital_Mensual!O92</f>
        <v/>
      </c>
      <c r="P92" s="50">
        <f>Saldos_Capital_Mensual!P92</f>
        <v/>
      </c>
      <c r="Q92" s="50">
        <f>Saldos_Capital_Mensual!Q92</f>
        <v/>
      </c>
      <c r="R92" s="50">
        <f>Saldos_Capital_Mensual!R92</f>
        <v/>
      </c>
      <c r="S92" s="50">
        <f>Saldos_Capital_Mensual!S92</f>
        <v/>
      </c>
      <c r="T92" s="50">
        <f>Saldos_Capital_Mensual!T92</f>
        <v/>
      </c>
      <c r="U92" s="50">
        <f>Saldos_Capital_Mensual!U92</f>
        <v/>
      </c>
    </row>
    <row r="93">
      <c r="A93" s="48">
        <f>Saldos_Capital_Mensual!A93</f>
        <v/>
      </c>
      <c r="B93" s="48">
        <f>Saldos_Capital_Mensual!B93</f>
        <v/>
      </c>
      <c r="C93" s="48">
        <f>Saldos_Capital_Mensual!C93</f>
        <v/>
      </c>
      <c r="D93" s="48">
        <f>Saldos_Capital_Mensual!D93</f>
        <v/>
      </c>
      <c r="E93" s="48">
        <f>Saldos_Capital_Mensual!E93</f>
        <v/>
      </c>
      <c r="F93" s="48">
        <f>Saldos_Capital_Mensual!F93</f>
        <v/>
      </c>
      <c r="G93" s="49">
        <f>Saldos_Capital_Mensual!G93</f>
        <v/>
      </c>
      <c r="H93" s="50">
        <f>Saldos_Capital_Mensual!H93</f>
        <v/>
      </c>
      <c r="I93" s="50">
        <f>Saldos_Capital_Mensual!I93</f>
        <v/>
      </c>
      <c r="J93" s="50">
        <f>Saldos_Capital_Mensual!J93</f>
        <v/>
      </c>
      <c r="K93" s="50">
        <f>Saldos_Capital_Mensual!K93</f>
        <v/>
      </c>
      <c r="L93" s="50">
        <f>Saldos_Capital_Mensual!L93</f>
        <v/>
      </c>
      <c r="M93" s="50">
        <f>Saldos_Capital_Mensual!M93</f>
        <v/>
      </c>
      <c r="N93" s="50">
        <f>Saldos_Capital_Mensual!N93</f>
        <v/>
      </c>
      <c r="O93" s="50">
        <f>Saldos_Capital_Mensual!O93</f>
        <v/>
      </c>
      <c r="P93" s="50">
        <f>Saldos_Capital_Mensual!P93</f>
        <v/>
      </c>
      <c r="Q93" s="50">
        <f>Saldos_Capital_Mensual!Q93</f>
        <v/>
      </c>
      <c r="R93" s="50">
        <f>Saldos_Capital_Mensual!R93</f>
        <v/>
      </c>
      <c r="S93" s="50">
        <f>Saldos_Capital_Mensual!S93</f>
        <v/>
      </c>
      <c r="T93" s="50">
        <f>Saldos_Capital_Mensual!T93</f>
        <v/>
      </c>
      <c r="U93" s="50">
        <f>Saldos_Capital_Mensual!U93</f>
        <v/>
      </c>
    </row>
    <row r="94">
      <c r="A94" s="48">
        <f>Saldos_Capital_Mensual!A94</f>
        <v/>
      </c>
      <c r="B94" s="48">
        <f>Saldos_Capital_Mensual!B94</f>
        <v/>
      </c>
      <c r="C94" s="48">
        <f>Saldos_Capital_Mensual!C94</f>
        <v/>
      </c>
      <c r="D94" s="48">
        <f>Saldos_Capital_Mensual!D94</f>
        <v/>
      </c>
      <c r="E94" s="48">
        <f>Saldos_Capital_Mensual!E94</f>
        <v/>
      </c>
      <c r="F94" s="48">
        <f>Saldos_Capital_Mensual!F94</f>
        <v/>
      </c>
      <c r="G94" s="49">
        <f>Saldos_Capital_Mensual!G94</f>
        <v/>
      </c>
      <c r="H94" s="50">
        <f>Saldos_Capital_Mensual!H94</f>
        <v/>
      </c>
      <c r="I94" s="50">
        <f>Saldos_Capital_Mensual!I94</f>
        <v/>
      </c>
      <c r="J94" s="50">
        <f>Saldos_Capital_Mensual!J94</f>
        <v/>
      </c>
      <c r="K94" s="50">
        <f>Saldos_Capital_Mensual!K94</f>
        <v/>
      </c>
      <c r="L94" s="50">
        <f>Saldos_Capital_Mensual!L94</f>
        <v/>
      </c>
      <c r="M94" s="50">
        <f>Saldos_Capital_Mensual!M94</f>
        <v/>
      </c>
      <c r="N94" s="50">
        <f>Saldos_Capital_Mensual!N94</f>
        <v/>
      </c>
      <c r="O94" s="50">
        <f>Saldos_Capital_Mensual!O94</f>
        <v/>
      </c>
      <c r="P94" s="50">
        <f>Saldos_Capital_Mensual!P94</f>
        <v/>
      </c>
      <c r="Q94" s="50">
        <f>Saldos_Capital_Mensual!Q94</f>
        <v/>
      </c>
      <c r="R94" s="50">
        <f>Saldos_Capital_Mensual!R94</f>
        <v/>
      </c>
      <c r="S94" s="50">
        <f>Saldos_Capital_Mensual!S94</f>
        <v/>
      </c>
      <c r="T94" s="50">
        <f>Saldos_Capital_Mensual!T94</f>
        <v/>
      </c>
      <c r="U94" s="50">
        <f>Saldos_Capital_Mensual!U94</f>
        <v/>
      </c>
    </row>
    <row r="95">
      <c r="A95" s="48">
        <f>Saldos_Capital_Mensual!A95</f>
        <v/>
      </c>
      <c r="B95" s="48">
        <f>Saldos_Capital_Mensual!B95</f>
        <v/>
      </c>
      <c r="C95" s="48">
        <f>Saldos_Capital_Mensual!C95</f>
        <v/>
      </c>
      <c r="D95" s="48">
        <f>Saldos_Capital_Mensual!D95</f>
        <v/>
      </c>
      <c r="E95" s="48">
        <f>Saldos_Capital_Mensual!E95</f>
        <v/>
      </c>
      <c r="F95" s="48">
        <f>Saldos_Capital_Mensual!F95</f>
        <v/>
      </c>
      <c r="G95" s="49">
        <f>Saldos_Capital_Mensual!G95</f>
        <v/>
      </c>
      <c r="H95" s="50">
        <f>Saldos_Capital_Mensual!H95</f>
        <v/>
      </c>
      <c r="I95" s="50">
        <f>Saldos_Capital_Mensual!I95</f>
        <v/>
      </c>
      <c r="J95" s="50">
        <f>Saldos_Capital_Mensual!J95</f>
        <v/>
      </c>
      <c r="K95" s="50">
        <f>Saldos_Capital_Mensual!K95</f>
        <v/>
      </c>
      <c r="L95" s="50">
        <f>Saldos_Capital_Mensual!L95</f>
        <v/>
      </c>
      <c r="M95" s="50">
        <f>Saldos_Capital_Mensual!M95</f>
        <v/>
      </c>
      <c r="N95" s="50">
        <f>Saldos_Capital_Mensual!N95</f>
        <v/>
      </c>
      <c r="O95" s="50">
        <f>Saldos_Capital_Mensual!O95</f>
        <v/>
      </c>
      <c r="P95" s="50">
        <f>Saldos_Capital_Mensual!P95</f>
        <v/>
      </c>
      <c r="Q95" s="50">
        <f>Saldos_Capital_Mensual!Q95</f>
        <v/>
      </c>
      <c r="R95" s="50">
        <f>Saldos_Capital_Mensual!R95</f>
        <v/>
      </c>
      <c r="S95" s="50">
        <f>Saldos_Capital_Mensual!S95</f>
        <v/>
      </c>
      <c r="T95" s="50">
        <f>Saldos_Capital_Mensual!T95</f>
        <v/>
      </c>
      <c r="U95" s="50">
        <f>Saldos_Capital_Mensual!U95</f>
        <v/>
      </c>
    </row>
    <row r="96">
      <c r="A96" s="48">
        <f>Saldos_Capital_Mensual!A96</f>
        <v/>
      </c>
      <c r="B96" s="48">
        <f>Saldos_Capital_Mensual!B96</f>
        <v/>
      </c>
      <c r="C96" s="48">
        <f>Saldos_Capital_Mensual!C96</f>
        <v/>
      </c>
      <c r="D96" s="48">
        <f>Saldos_Capital_Mensual!D96</f>
        <v/>
      </c>
      <c r="E96" s="48">
        <f>Saldos_Capital_Mensual!E96</f>
        <v/>
      </c>
      <c r="F96" s="48">
        <f>Saldos_Capital_Mensual!F96</f>
        <v/>
      </c>
      <c r="G96" s="49">
        <f>Saldos_Capital_Mensual!G96</f>
        <v/>
      </c>
      <c r="H96" s="50">
        <f>Saldos_Capital_Mensual!H96</f>
        <v/>
      </c>
      <c r="I96" s="50">
        <f>Saldos_Capital_Mensual!I96</f>
        <v/>
      </c>
      <c r="J96" s="50">
        <f>Saldos_Capital_Mensual!J96</f>
        <v/>
      </c>
      <c r="K96" s="50">
        <f>Saldos_Capital_Mensual!K96</f>
        <v/>
      </c>
      <c r="L96" s="50">
        <f>Saldos_Capital_Mensual!L96</f>
        <v/>
      </c>
      <c r="M96" s="50">
        <f>Saldos_Capital_Mensual!M96</f>
        <v/>
      </c>
      <c r="N96" s="50">
        <f>Saldos_Capital_Mensual!N96</f>
        <v/>
      </c>
      <c r="O96" s="50">
        <f>Saldos_Capital_Mensual!O96</f>
        <v/>
      </c>
      <c r="P96" s="50">
        <f>Saldos_Capital_Mensual!P96</f>
        <v/>
      </c>
      <c r="Q96" s="50">
        <f>Saldos_Capital_Mensual!Q96</f>
        <v/>
      </c>
      <c r="R96" s="50">
        <f>Saldos_Capital_Mensual!R96</f>
        <v/>
      </c>
      <c r="S96" s="50">
        <f>Saldos_Capital_Mensual!S96</f>
        <v/>
      </c>
      <c r="T96" s="50">
        <f>Saldos_Capital_Mensual!T96</f>
        <v/>
      </c>
      <c r="U96" s="50">
        <f>Saldos_Capital_Mensual!U96</f>
        <v/>
      </c>
    </row>
    <row r="97">
      <c r="A97" s="48">
        <f>Saldos_Capital_Mensual!A97</f>
        <v/>
      </c>
      <c r="B97" s="48">
        <f>Saldos_Capital_Mensual!B97</f>
        <v/>
      </c>
      <c r="C97" s="48">
        <f>Saldos_Capital_Mensual!C97</f>
        <v/>
      </c>
      <c r="D97" s="48">
        <f>Saldos_Capital_Mensual!D97</f>
        <v/>
      </c>
      <c r="E97" s="48">
        <f>Saldos_Capital_Mensual!E97</f>
        <v/>
      </c>
      <c r="F97" s="48">
        <f>Saldos_Capital_Mensual!F97</f>
        <v/>
      </c>
      <c r="G97" s="49">
        <f>Saldos_Capital_Mensual!G97</f>
        <v/>
      </c>
      <c r="H97" s="50">
        <f>Saldos_Capital_Mensual!H97</f>
        <v/>
      </c>
      <c r="I97" s="50">
        <f>Saldos_Capital_Mensual!I97</f>
        <v/>
      </c>
      <c r="J97" s="50">
        <f>Saldos_Capital_Mensual!J97</f>
        <v/>
      </c>
      <c r="K97" s="50">
        <f>Saldos_Capital_Mensual!K97</f>
        <v/>
      </c>
      <c r="L97" s="50">
        <f>Saldos_Capital_Mensual!L97</f>
        <v/>
      </c>
      <c r="M97" s="50">
        <f>Saldos_Capital_Mensual!M97</f>
        <v/>
      </c>
      <c r="N97" s="50">
        <f>Saldos_Capital_Mensual!N97</f>
        <v/>
      </c>
      <c r="O97" s="50">
        <f>Saldos_Capital_Mensual!O97</f>
        <v/>
      </c>
      <c r="P97" s="50">
        <f>Saldos_Capital_Mensual!P97</f>
        <v/>
      </c>
      <c r="Q97" s="50">
        <f>Saldos_Capital_Mensual!Q97</f>
        <v/>
      </c>
      <c r="R97" s="50">
        <f>Saldos_Capital_Mensual!R97</f>
        <v/>
      </c>
      <c r="S97" s="50">
        <f>Saldos_Capital_Mensual!S97</f>
        <v/>
      </c>
      <c r="T97" s="50">
        <f>Saldos_Capital_Mensual!T97</f>
        <v/>
      </c>
      <c r="U97" s="50">
        <f>Saldos_Capital_Mensual!U97</f>
        <v/>
      </c>
    </row>
    <row r="98">
      <c r="A98" s="48">
        <f>Saldos_Capital_Mensual!A98</f>
        <v/>
      </c>
      <c r="B98" s="48">
        <f>Saldos_Capital_Mensual!B98</f>
        <v/>
      </c>
      <c r="C98" s="48">
        <f>Saldos_Capital_Mensual!C98</f>
        <v/>
      </c>
      <c r="D98" s="48">
        <f>Saldos_Capital_Mensual!D98</f>
        <v/>
      </c>
      <c r="E98" s="48">
        <f>Saldos_Capital_Mensual!E98</f>
        <v/>
      </c>
      <c r="F98" s="48">
        <f>Saldos_Capital_Mensual!F98</f>
        <v/>
      </c>
      <c r="G98" s="49">
        <f>Saldos_Capital_Mensual!G98</f>
        <v/>
      </c>
      <c r="H98" s="50">
        <f>Saldos_Capital_Mensual!H98</f>
        <v/>
      </c>
      <c r="I98" s="50">
        <f>Saldos_Capital_Mensual!I98</f>
        <v/>
      </c>
      <c r="J98" s="50">
        <f>Saldos_Capital_Mensual!J98</f>
        <v/>
      </c>
      <c r="K98" s="50">
        <f>Saldos_Capital_Mensual!K98</f>
        <v/>
      </c>
      <c r="L98" s="50">
        <f>Saldos_Capital_Mensual!L98</f>
        <v/>
      </c>
      <c r="M98" s="50">
        <f>Saldos_Capital_Mensual!M98</f>
        <v/>
      </c>
      <c r="N98" s="50">
        <f>Saldos_Capital_Mensual!N98</f>
        <v/>
      </c>
      <c r="O98" s="50">
        <f>Saldos_Capital_Mensual!O98</f>
        <v/>
      </c>
      <c r="P98" s="50">
        <f>Saldos_Capital_Mensual!P98</f>
        <v/>
      </c>
      <c r="Q98" s="50">
        <f>Saldos_Capital_Mensual!Q98</f>
        <v/>
      </c>
      <c r="R98" s="50">
        <f>Saldos_Capital_Mensual!R98</f>
        <v/>
      </c>
      <c r="S98" s="50">
        <f>Saldos_Capital_Mensual!S98</f>
        <v/>
      </c>
      <c r="T98" s="50">
        <f>Saldos_Capital_Mensual!T98</f>
        <v/>
      </c>
      <c r="U98" s="50">
        <f>Saldos_Capital_Mensual!U98</f>
        <v/>
      </c>
    </row>
    <row r="99">
      <c r="A99" s="48">
        <f>Saldos_Capital_Mensual!A99</f>
        <v/>
      </c>
      <c r="B99" s="48">
        <f>Saldos_Capital_Mensual!B99</f>
        <v/>
      </c>
      <c r="C99" s="48">
        <f>Saldos_Capital_Mensual!C99</f>
        <v/>
      </c>
      <c r="D99" s="48">
        <f>Saldos_Capital_Mensual!D99</f>
        <v/>
      </c>
      <c r="E99" s="48">
        <f>Saldos_Capital_Mensual!E99</f>
        <v/>
      </c>
      <c r="F99" s="48">
        <f>Saldos_Capital_Mensual!F99</f>
        <v/>
      </c>
      <c r="G99" s="49">
        <f>Saldos_Capital_Mensual!G99</f>
        <v/>
      </c>
      <c r="H99" s="50">
        <f>Saldos_Capital_Mensual!H99</f>
        <v/>
      </c>
      <c r="I99" s="50">
        <f>Saldos_Capital_Mensual!I99</f>
        <v/>
      </c>
      <c r="J99" s="50">
        <f>Saldos_Capital_Mensual!J99</f>
        <v/>
      </c>
      <c r="K99" s="50">
        <f>Saldos_Capital_Mensual!K99</f>
        <v/>
      </c>
      <c r="L99" s="50">
        <f>Saldos_Capital_Mensual!L99</f>
        <v/>
      </c>
      <c r="M99" s="50">
        <f>Saldos_Capital_Mensual!M99</f>
        <v/>
      </c>
      <c r="N99" s="50">
        <f>Saldos_Capital_Mensual!N99</f>
        <v/>
      </c>
      <c r="O99" s="50">
        <f>Saldos_Capital_Mensual!O99</f>
        <v/>
      </c>
      <c r="P99" s="50">
        <f>Saldos_Capital_Mensual!P99</f>
        <v/>
      </c>
      <c r="Q99" s="50">
        <f>Saldos_Capital_Mensual!Q99</f>
        <v/>
      </c>
      <c r="R99" s="50">
        <f>Saldos_Capital_Mensual!R99</f>
        <v/>
      </c>
      <c r="S99" s="50">
        <f>Saldos_Capital_Mensual!S99</f>
        <v/>
      </c>
      <c r="T99" s="50">
        <f>Saldos_Capital_Mensual!T99</f>
        <v/>
      </c>
      <c r="U99" s="50">
        <f>Saldos_Capital_Mensual!U99</f>
        <v/>
      </c>
    </row>
    <row r="100">
      <c r="A100" s="48">
        <f>Saldos_Capital_Mensual!A100</f>
        <v/>
      </c>
      <c r="B100" s="48">
        <f>Saldos_Capital_Mensual!B100</f>
        <v/>
      </c>
      <c r="C100" s="48">
        <f>Saldos_Capital_Mensual!C100</f>
        <v/>
      </c>
      <c r="D100" s="48">
        <f>Saldos_Capital_Mensual!D100</f>
        <v/>
      </c>
      <c r="E100" s="48">
        <f>Saldos_Capital_Mensual!E100</f>
        <v/>
      </c>
      <c r="F100" s="48">
        <f>Saldos_Capital_Mensual!F100</f>
        <v/>
      </c>
      <c r="G100" s="49">
        <f>Saldos_Capital_Mensual!G100</f>
        <v/>
      </c>
      <c r="H100" s="50">
        <f>Saldos_Capital_Mensual!H100</f>
        <v/>
      </c>
      <c r="I100" s="50">
        <f>Saldos_Capital_Mensual!I100</f>
        <v/>
      </c>
      <c r="J100" s="50">
        <f>Saldos_Capital_Mensual!J100</f>
        <v/>
      </c>
      <c r="K100" s="50">
        <f>Saldos_Capital_Mensual!K100</f>
        <v/>
      </c>
      <c r="L100" s="50">
        <f>Saldos_Capital_Mensual!L100</f>
        <v/>
      </c>
      <c r="M100" s="50">
        <f>Saldos_Capital_Mensual!M100</f>
        <v/>
      </c>
      <c r="N100" s="50">
        <f>Saldos_Capital_Mensual!N100</f>
        <v/>
      </c>
      <c r="O100" s="50">
        <f>Saldos_Capital_Mensual!O100</f>
        <v/>
      </c>
      <c r="P100" s="50">
        <f>Saldos_Capital_Mensual!P100</f>
        <v/>
      </c>
      <c r="Q100" s="50">
        <f>Saldos_Capital_Mensual!Q100</f>
        <v/>
      </c>
      <c r="R100" s="50">
        <f>Saldos_Capital_Mensual!R100</f>
        <v/>
      </c>
      <c r="S100" s="50">
        <f>Saldos_Capital_Mensual!S100</f>
        <v/>
      </c>
      <c r="T100" s="50">
        <f>Saldos_Capital_Mensual!T100</f>
        <v/>
      </c>
      <c r="U100" s="50">
        <f>Saldos_Capital_Mensual!U100</f>
        <v/>
      </c>
    </row>
    <row r="101">
      <c r="A101" s="48">
        <f>Saldos_Capital_Mensual!A101</f>
        <v/>
      </c>
      <c r="B101" s="48">
        <f>Saldos_Capital_Mensual!B101</f>
        <v/>
      </c>
      <c r="C101" s="48">
        <f>Saldos_Capital_Mensual!C101</f>
        <v/>
      </c>
      <c r="D101" s="48">
        <f>Saldos_Capital_Mensual!D101</f>
        <v/>
      </c>
      <c r="E101" s="48">
        <f>Saldos_Capital_Mensual!E101</f>
        <v/>
      </c>
      <c r="F101" s="48">
        <f>Saldos_Capital_Mensual!F101</f>
        <v/>
      </c>
      <c r="G101" s="49">
        <f>Saldos_Capital_Mensual!G101</f>
        <v/>
      </c>
      <c r="H101" s="50">
        <f>Saldos_Capital_Mensual!H101</f>
        <v/>
      </c>
      <c r="I101" s="50">
        <f>Saldos_Capital_Mensual!I101</f>
        <v/>
      </c>
      <c r="J101" s="50">
        <f>Saldos_Capital_Mensual!J101</f>
        <v/>
      </c>
      <c r="K101" s="50">
        <f>Saldos_Capital_Mensual!K101</f>
        <v/>
      </c>
      <c r="L101" s="50">
        <f>Saldos_Capital_Mensual!L101</f>
        <v/>
      </c>
      <c r="M101" s="50">
        <f>Saldos_Capital_Mensual!M101</f>
        <v/>
      </c>
      <c r="N101" s="50">
        <f>Saldos_Capital_Mensual!N101</f>
        <v/>
      </c>
      <c r="O101" s="50">
        <f>Saldos_Capital_Mensual!O101</f>
        <v/>
      </c>
      <c r="P101" s="50">
        <f>Saldos_Capital_Mensual!P101</f>
        <v/>
      </c>
      <c r="Q101" s="50">
        <f>Saldos_Capital_Mensual!Q101</f>
        <v/>
      </c>
      <c r="R101" s="50">
        <f>Saldos_Capital_Mensual!R101</f>
        <v/>
      </c>
      <c r="S101" s="50">
        <f>Saldos_Capital_Mensual!S101</f>
        <v/>
      </c>
      <c r="T101" s="50">
        <f>Saldos_Capital_Mensual!T101</f>
        <v/>
      </c>
      <c r="U101" s="50">
        <f>Saldos_Capital_Mensual!U101</f>
        <v/>
      </c>
    </row>
    <row r="102">
      <c r="A102" s="48">
        <f>Saldos_Capital_Mensual!A102</f>
        <v/>
      </c>
      <c r="B102" s="48">
        <f>Saldos_Capital_Mensual!B102</f>
        <v/>
      </c>
      <c r="C102" s="48">
        <f>Saldos_Capital_Mensual!C102</f>
        <v/>
      </c>
      <c r="D102" s="48">
        <f>Saldos_Capital_Mensual!D102</f>
        <v/>
      </c>
      <c r="E102" s="48">
        <f>Saldos_Capital_Mensual!E102</f>
        <v/>
      </c>
      <c r="F102" s="48">
        <f>Saldos_Capital_Mensual!F102</f>
        <v/>
      </c>
      <c r="G102" s="49">
        <f>Saldos_Capital_Mensual!G102</f>
        <v/>
      </c>
      <c r="H102" s="50">
        <f>Saldos_Capital_Mensual!H102</f>
        <v/>
      </c>
      <c r="I102" s="50">
        <f>Saldos_Capital_Mensual!I102</f>
        <v/>
      </c>
      <c r="J102" s="50">
        <f>Saldos_Capital_Mensual!J102</f>
        <v/>
      </c>
      <c r="K102" s="50">
        <f>Saldos_Capital_Mensual!K102</f>
        <v/>
      </c>
      <c r="L102" s="50">
        <f>Saldos_Capital_Mensual!L102</f>
        <v/>
      </c>
      <c r="M102" s="50">
        <f>Saldos_Capital_Mensual!M102</f>
        <v/>
      </c>
      <c r="N102" s="50">
        <f>Saldos_Capital_Mensual!N102</f>
        <v/>
      </c>
      <c r="O102" s="50">
        <f>Saldos_Capital_Mensual!O102</f>
        <v/>
      </c>
      <c r="P102" s="50">
        <f>Saldos_Capital_Mensual!P102</f>
        <v/>
      </c>
      <c r="Q102" s="50">
        <f>Saldos_Capital_Mensual!Q102</f>
        <v/>
      </c>
      <c r="R102" s="50">
        <f>Saldos_Capital_Mensual!R102</f>
        <v/>
      </c>
      <c r="S102" s="50">
        <f>Saldos_Capital_Mensual!S102</f>
        <v/>
      </c>
      <c r="T102" s="50">
        <f>Saldos_Capital_Mensual!T102</f>
        <v/>
      </c>
      <c r="U102" s="50">
        <f>Saldos_Capital_Mensual!U102</f>
        <v/>
      </c>
    </row>
    <row r="103">
      <c r="A103" s="48">
        <f>Saldos_Capital_Mensual!A103</f>
        <v/>
      </c>
      <c r="B103" s="48">
        <f>Saldos_Capital_Mensual!B103</f>
        <v/>
      </c>
      <c r="C103" s="48">
        <f>Saldos_Capital_Mensual!C103</f>
        <v/>
      </c>
      <c r="D103" s="48">
        <f>Saldos_Capital_Mensual!D103</f>
        <v/>
      </c>
      <c r="E103" s="48">
        <f>Saldos_Capital_Mensual!E103</f>
        <v/>
      </c>
      <c r="F103" s="48">
        <f>Saldos_Capital_Mensual!F103</f>
        <v/>
      </c>
      <c r="G103" s="49">
        <f>Saldos_Capital_Mensual!G103</f>
        <v/>
      </c>
      <c r="H103" s="50">
        <f>Saldos_Capital_Mensual!H103</f>
        <v/>
      </c>
      <c r="I103" s="50">
        <f>Saldos_Capital_Mensual!I103</f>
        <v/>
      </c>
      <c r="J103" s="50">
        <f>Saldos_Capital_Mensual!J103</f>
        <v/>
      </c>
      <c r="K103" s="50">
        <f>Saldos_Capital_Mensual!K103</f>
        <v/>
      </c>
      <c r="L103" s="50">
        <f>Saldos_Capital_Mensual!L103</f>
        <v/>
      </c>
      <c r="M103" s="50">
        <f>Saldos_Capital_Mensual!M103</f>
        <v/>
      </c>
      <c r="N103" s="50">
        <f>Saldos_Capital_Mensual!N103</f>
        <v/>
      </c>
      <c r="O103" s="50">
        <f>Saldos_Capital_Mensual!O103</f>
        <v/>
      </c>
      <c r="P103" s="50">
        <f>Saldos_Capital_Mensual!P103</f>
        <v/>
      </c>
      <c r="Q103" s="50">
        <f>Saldos_Capital_Mensual!Q103</f>
        <v/>
      </c>
      <c r="R103" s="50">
        <f>Saldos_Capital_Mensual!R103</f>
        <v/>
      </c>
      <c r="S103" s="50">
        <f>Saldos_Capital_Mensual!S103</f>
        <v/>
      </c>
      <c r="T103" s="50">
        <f>Saldos_Capital_Mensual!T103</f>
        <v/>
      </c>
      <c r="U103" s="50">
        <f>Saldos_Capital_Mensual!U103</f>
        <v/>
      </c>
    </row>
    <row r="104">
      <c r="A104" s="48">
        <f>Saldos_Capital_Mensual!A104</f>
        <v/>
      </c>
      <c r="B104" s="48">
        <f>Saldos_Capital_Mensual!B104</f>
        <v/>
      </c>
      <c r="C104" s="48">
        <f>Saldos_Capital_Mensual!C104</f>
        <v/>
      </c>
      <c r="D104" s="48">
        <f>Saldos_Capital_Mensual!D104</f>
        <v/>
      </c>
      <c r="E104" s="48">
        <f>Saldos_Capital_Mensual!E104</f>
        <v/>
      </c>
      <c r="F104" s="48">
        <f>Saldos_Capital_Mensual!F104</f>
        <v/>
      </c>
      <c r="G104" s="49">
        <f>Saldos_Capital_Mensual!G104</f>
        <v/>
      </c>
      <c r="H104" s="50">
        <f>Saldos_Capital_Mensual!H104</f>
        <v/>
      </c>
      <c r="I104" s="50">
        <f>Saldos_Capital_Mensual!I104</f>
        <v/>
      </c>
      <c r="J104" s="50">
        <f>Saldos_Capital_Mensual!J104</f>
        <v/>
      </c>
      <c r="K104" s="50">
        <f>Saldos_Capital_Mensual!K104</f>
        <v/>
      </c>
      <c r="L104" s="50">
        <f>Saldos_Capital_Mensual!L104</f>
        <v/>
      </c>
      <c r="M104" s="50">
        <f>Saldos_Capital_Mensual!M104</f>
        <v/>
      </c>
      <c r="N104" s="50">
        <f>Saldos_Capital_Mensual!N104</f>
        <v/>
      </c>
      <c r="O104" s="50">
        <f>Saldos_Capital_Mensual!O104</f>
        <v/>
      </c>
      <c r="P104" s="50">
        <f>Saldos_Capital_Mensual!P104</f>
        <v/>
      </c>
      <c r="Q104" s="50">
        <f>Saldos_Capital_Mensual!Q104</f>
        <v/>
      </c>
      <c r="R104" s="50">
        <f>Saldos_Capital_Mensual!R104</f>
        <v/>
      </c>
      <c r="S104" s="50">
        <f>Saldos_Capital_Mensual!S104</f>
        <v/>
      </c>
      <c r="T104" s="50">
        <f>Saldos_Capital_Mensual!T104</f>
        <v/>
      </c>
      <c r="U104" s="50">
        <f>Saldos_Capital_Mensual!U104</f>
        <v/>
      </c>
    </row>
    <row r="105">
      <c r="A105" s="48">
        <f>Saldos_Capital_Mensual!A105</f>
        <v/>
      </c>
      <c r="B105" s="48">
        <f>Saldos_Capital_Mensual!B105</f>
        <v/>
      </c>
      <c r="C105" s="48">
        <f>Saldos_Capital_Mensual!C105</f>
        <v/>
      </c>
      <c r="D105" s="48">
        <f>Saldos_Capital_Mensual!D105</f>
        <v/>
      </c>
      <c r="E105" s="48">
        <f>Saldos_Capital_Mensual!E105</f>
        <v/>
      </c>
      <c r="F105" s="48">
        <f>Saldos_Capital_Mensual!F105</f>
        <v/>
      </c>
      <c r="G105" s="49">
        <f>Saldos_Capital_Mensual!G105</f>
        <v/>
      </c>
      <c r="H105" s="50">
        <f>Saldos_Capital_Mensual!H105</f>
        <v/>
      </c>
      <c r="I105" s="50">
        <f>Saldos_Capital_Mensual!I105</f>
        <v/>
      </c>
      <c r="J105" s="50">
        <f>Saldos_Capital_Mensual!J105</f>
        <v/>
      </c>
      <c r="K105" s="50">
        <f>Saldos_Capital_Mensual!K105</f>
        <v/>
      </c>
      <c r="L105" s="50">
        <f>Saldos_Capital_Mensual!L105</f>
        <v/>
      </c>
      <c r="M105" s="50">
        <f>Saldos_Capital_Mensual!M105</f>
        <v/>
      </c>
      <c r="N105" s="50">
        <f>Saldos_Capital_Mensual!N105</f>
        <v/>
      </c>
      <c r="O105" s="50">
        <f>Saldos_Capital_Mensual!O105</f>
        <v/>
      </c>
      <c r="P105" s="50">
        <f>Saldos_Capital_Mensual!P105</f>
        <v/>
      </c>
      <c r="Q105" s="50">
        <f>Saldos_Capital_Mensual!Q105</f>
        <v/>
      </c>
      <c r="R105" s="50">
        <f>Saldos_Capital_Mensual!R105</f>
        <v/>
      </c>
      <c r="S105" s="50">
        <f>Saldos_Capital_Mensual!S105</f>
        <v/>
      </c>
      <c r="T105" s="50">
        <f>Saldos_Capital_Mensual!T105</f>
        <v/>
      </c>
      <c r="U105" s="50">
        <f>Saldos_Capital_Mensual!U105</f>
        <v/>
      </c>
    </row>
    <row r="106">
      <c r="A106" s="48">
        <f>Saldos_Capital_Mensual!A106</f>
        <v/>
      </c>
      <c r="B106" s="48">
        <f>Saldos_Capital_Mensual!B106</f>
        <v/>
      </c>
      <c r="C106" s="48">
        <f>Saldos_Capital_Mensual!C106</f>
        <v/>
      </c>
      <c r="D106" s="48">
        <f>Saldos_Capital_Mensual!D106</f>
        <v/>
      </c>
      <c r="E106" s="48">
        <f>Saldos_Capital_Mensual!E106</f>
        <v/>
      </c>
      <c r="F106" s="48">
        <f>Saldos_Capital_Mensual!F106</f>
        <v/>
      </c>
      <c r="G106" s="49">
        <f>Saldos_Capital_Mensual!G106</f>
        <v/>
      </c>
      <c r="H106" s="50">
        <f>Saldos_Capital_Mensual!H106</f>
        <v/>
      </c>
      <c r="I106" s="50">
        <f>Saldos_Capital_Mensual!I106</f>
        <v/>
      </c>
      <c r="J106" s="50">
        <f>Saldos_Capital_Mensual!J106</f>
        <v/>
      </c>
      <c r="K106" s="50">
        <f>Saldos_Capital_Mensual!K106</f>
        <v/>
      </c>
      <c r="L106" s="50">
        <f>Saldos_Capital_Mensual!L106</f>
        <v/>
      </c>
      <c r="M106" s="50">
        <f>Saldos_Capital_Mensual!M106</f>
        <v/>
      </c>
      <c r="N106" s="50">
        <f>Saldos_Capital_Mensual!N106</f>
        <v/>
      </c>
      <c r="O106" s="50">
        <f>Saldos_Capital_Mensual!O106</f>
        <v/>
      </c>
      <c r="P106" s="50">
        <f>Saldos_Capital_Mensual!P106</f>
        <v/>
      </c>
      <c r="Q106" s="50">
        <f>Saldos_Capital_Mensual!Q106</f>
        <v/>
      </c>
      <c r="R106" s="50">
        <f>Saldos_Capital_Mensual!R106</f>
        <v/>
      </c>
      <c r="S106" s="50">
        <f>Saldos_Capital_Mensual!S106</f>
        <v/>
      </c>
      <c r="T106" s="50">
        <f>Saldos_Capital_Mensual!T106</f>
        <v/>
      </c>
      <c r="U106" s="50">
        <f>Saldos_Capital_Mensual!U106</f>
        <v/>
      </c>
    </row>
    <row r="107">
      <c r="A107" s="48">
        <f>Saldos_Capital_Mensual!A107</f>
        <v/>
      </c>
      <c r="B107" s="48">
        <f>Saldos_Capital_Mensual!B107</f>
        <v/>
      </c>
      <c r="C107" s="48">
        <f>Saldos_Capital_Mensual!C107</f>
        <v/>
      </c>
      <c r="D107" s="48">
        <f>Saldos_Capital_Mensual!D107</f>
        <v/>
      </c>
      <c r="E107" s="48">
        <f>Saldos_Capital_Mensual!E107</f>
        <v/>
      </c>
      <c r="F107" s="48">
        <f>Saldos_Capital_Mensual!F107</f>
        <v/>
      </c>
      <c r="G107" s="49">
        <f>Saldos_Capital_Mensual!G107</f>
        <v/>
      </c>
      <c r="H107" s="50">
        <f>Saldos_Capital_Mensual!H107</f>
        <v/>
      </c>
      <c r="I107" s="50">
        <f>Saldos_Capital_Mensual!I107</f>
        <v/>
      </c>
      <c r="J107" s="50">
        <f>Saldos_Capital_Mensual!J107</f>
        <v/>
      </c>
      <c r="K107" s="50">
        <f>Saldos_Capital_Mensual!K107</f>
        <v/>
      </c>
      <c r="L107" s="50">
        <f>Saldos_Capital_Mensual!L107</f>
        <v/>
      </c>
      <c r="M107" s="50">
        <f>Saldos_Capital_Mensual!M107</f>
        <v/>
      </c>
      <c r="N107" s="50">
        <f>Saldos_Capital_Mensual!N107</f>
        <v/>
      </c>
      <c r="O107" s="50">
        <f>Saldos_Capital_Mensual!O107</f>
        <v/>
      </c>
      <c r="P107" s="50">
        <f>Saldos_Capital_Mensual!P107</f>
        <v/>
      </c>
      <c r="Q107" s="50">
        <f>Saldos_Capital_Mensual!Q107</f>
        <v/>
      </c>
      <c r="R107" s="50">
        <f>Saldos_Capital_Mensual!R107</f>
        <v/>
      </c>
      <c r="S107" s="50">
        <f>Saldos_Capital_Mensual!S107</f>
        <v/>
      </c>
      <c r="T107" s="50">
        <f>Saldos_Capital_Mensual!T107</f>
        <v/>
      </c>
      <c r="U107" s="50">
        <f>Saldos_Capital_Mensual!U107</f>
        <v/>
      </c>
    </row>
    <row r="108">
      <c r="A108" s="48">
        <f>Saldos_Capital_Mensual!A108</f>
        <v/>
      </c>
      <c r="B108" s="48">
        <f>Saldos_Capital_Mensual!B108</f>
        <v/>
      </c>
      <c r="C108" s="48">
        <f>Saldos_Capital_Mensual!C108</f>
        <v/>
      </c>
      <c r="D108" s="48">
        <f>Saldos_Capital_Mensual!D108</f>
        <v/>
      </c>
      <c r="E108" s="48">
        <f>Saldos_Capital_Mensual!E108</f>
        <v/>
      </c>
      <c r="F108" s="48">
        <f>Saldos_Capital_Mensual!F108</f>
        <v/>
      </c>
      <c r="G108" s="49">
        <f>Saldos_Capital_Mensual!G108</f>
        <v/>
      </c>
      <c r="H108" s="50">
        <f>Saldos_Capital_Mensual!H108</f>
        <v/>
      </c>
      <c r="I108" s="50">
        <f>Saldos_Capital_Mensual!I108</f>
        <v/>
      </c>
      <c r="J108" s="50">
        <f>Saldos_Capital_Mensual!J108</f>
        <v/>
      </c>
      <c r="K108" s="50">
        <f>Saldos_Capital_Mensual!K108</f>
        <v/>
      </c>
      <c r="L108" s="50">
        <f>Saldos_Capital_Mensual!L108</f>
        <v/>
      </c>
      <c r="M108" s="50">
        <f>Saldos_Capital_Mensual!M108</f>
        <v/>
      </c>
      <c r="N108" s="50">
        <f>Saldos_Capital_Mensual!N108</f>
        <v/>
      </c>
      <c r="O108" s="50">
        <f>Saldos_Capital_Mensual!O108</f>
        <v/>
      </c>
      <c r="P108" s="50">
        <f>Saldos_Capital_Mensual!P108</f>
        <v/>
      </c>
      <c r="Q108" s="50">
        <f>Saldos_Capital_Mensual!Q108</f>
        <v/>
      </c>
      <c r="R108" s="50">
        <f>Saldos_Capital_Mensual!R108</f>
        <v/>
      </c>
      <c r="S108" s="50">
        <f>Saldos_Capital_Mensual!S108</f>
        <v/>
      </c>
      <c r="T108" s="50">
        <f>Saldos_Capital_Mensual!T108</f>
        <v/>
      </c>
      <c r="U108" s="50">
        <f>Saldos_Capital_Mensual!U108</f>
        <v/>
      </c>
    </row>
    <row r="109">
      <c r="A109" s="48">
        <f>Saldos_Capital_Mensual!A109</f>
        <v/>
      </c>
      <c r="B109" s="48">
        <f>Saldos_Capital_Mensual!B109</f>
        <v/>
      </c>
      <c r="C109" s="48">
        <f>Saldos_Capital_Mensual!C109</f>
        <v/>
      </c>
      <c r="D109" s="48">
        <f>Saldos_Capital_Mensual!D109</f>
        <v/>
      </c>
      <c r="E109" s="48">
        <f>Saldos_Capital_Mensual!E109</f>
        <v/>
      </c>
      <c r="F109" s="48">
        <f>Saldos_Capital_Mensual!F109</f>
        <v/>
      </c>
      <c r="G109" s="49">
        <f>Saldos_Capital_Mensual!G109</f>
        <v/>
      </c>
      <c r="H109" s="50">
        <f>Saldos_Capital_Mensual!H109</f>
        <v/>
      </c>
      <c r="I109" s="50">
        <f>Saldos_Capital_Mensual!I109</f>
        <v/>
      </c>
      <c r="J109" s="50">
        <f>Saldos_Capital_Mensual!J109</f>
        <v/>
      </c>
      <c r="K109" s="50">
        <f>Saldos_Capital_Mensual!K109</f>
        <v/>
      </c>
      <c r="L109" s="50">
        <f>Saldos_Capital_Mensual!L109</f>
        <v/>
      </c>
      <c r="M109" s="50">
        <f>Saldos_Capital_Mensual!M109</f>
        <v/>
      </c>
      <c r="N109" s="50">
        <f>Saldos_Capital_Mensual!N109</f>
        <v/>
      </c>
      <c r="O109" s="50">
        <f>Saldos_Capital_Mensual!O109</f>
        <v/>
      </c>
      <c r="P109" s="50">
        <f>Saldos_Capital_Mensual!P109</f>
        <v/>
      </c>
      <c r="Q109" s="50">
        <f>Saldos_Capital_Mensual!Q109</f>
        <v/>
      </c>
      <c r="R109" s="50">
        <f>Saldos_Capital_Mensual!R109</f>
        <v/>
      </c>
      <c r="S109" s="50">
        <f>Saldos_Capital_Mensual!S109</f>
        <v/>
      </c>
      <c r="T109" s="50">
        <f>Saldos_Capital_Mensual!T109</f>
        <v/>
      </c>
      <c r="U109" s="50">
        <f>Saldos_Capital_Mensual!U109</f>
        <v/>
      </c>
    </row>
    <row r="110">
      <c r="A110" s="48">
        <f>Saldos_Capital_Mensual!A110</f>
        <v/>
      </c>
      <c r="B110" s="48">
        <f>Saldos_Capital_Mensual!B110</f>
        <v/>
      </c>
      <c r="C110" s="48">
        <f>Saldos_Capital_Mensual!C110</f>
        <v/>
      </c>
      <c r="D110" s="48">
        <f>Saldos_Capital_Mensual!D110</f>
        <v/>
      </c>
      <c r="E110" s="48">
        <f>Saldos_Capital_Mensual!E110</f>
        <v/>
      </c>
      <c r="F110" s="48">
        <f>Saldos_Capital_Mensual!F110</f>
        <v/>
      </c>
      <c r="G110" s="49">
        <f>Saldos_Capital_Mensual!G110</f>
        <v/>
      </c>
      <c r="H110" s="50">
        <f>Saldos_Capital_Mensual!H110</f>
        <v/>
      </c>
      <c r="I110" s="50">
        <f>Saldos_Capital_Mensual!I110</f>
        <v/>
      </c>
      <c r="J110" s="50">
        <f>Saldos_Capital_Mensual!J110</f>
        <v/>
      </c>
      <c r="K110" s="50">
        <f>Saldos_Capital_Mensual!K110</f>
        <v/>
      </c>
      <c r="L110" s="50">
        <f>Saldos_Capital_Mensual!L110</f>
        <v/>
      </c>
      <c r="M110" s="50">
        <f>Saldos_Capital_Mensual!M110</f>
        <v/>
      </c>
      <c r="N110" s="50">
        <f>Saldos_Capital_Mensual!N110</f>
        <v/>
      </c>
      <c r="O110" s="50">
        <f>Saldos_Capital_Mensual!O110</f>
        <v/>
      </c>
      <c r="P110" s="50">
        <f>Saldos_Capital_Mensual!P110</f>
        <v/>
      </c>
      <c r="Q110" s="50">
        <f>Saldos_Capital_Mensual!Q110</f>
        <v/>
      </c>
      <c r="R110" s="50">
        <f>Saldos_Capital_Mensual!R110</f>
        <v/>
      </c>
      <c r="S110" s="50">
        <f>Saldos_Capital_Mensual!S110</f>
        <v/>
      </c>
      <c r="T110" s="50">
        <f>Saldos_Capital_Mensual!T110</f>
        <v/>
      </c>
      <c r="U110" s="50">
        <f>Saldos_Capital_Mensual!U110</f>
        <v/>
      </c>
    </row>
    <row r="111">
      <c r="A111" s="48">
        <f>Saldos_Capital_Mensual!A111</f>
        <v/>
      </c>
      <c r="B111" s="48">
        <f>Saldos_Capital_Mensual!B111</f>
        <v/>
      </c>
      <c r="C111" s="48">
        <f>Saldos_Capital_Mensual!C111</f>
        <v/>
      </c>
      <c r="D111" s="48">
        <f>Saldos_Capital_Mensual!D111</f>
        <v/>
      </c>
      <c r="E111" s="48">
        <f>Saldos_Capital_Mensual!E111</f>
        <v/>
      </c>
      <c r="F111" s="48">
        <f>Saldos_Capital_Mensual!F111</f>
        <v/>
      </c>
      <c r="G111" s="49">
        <f>Saldos_Capital_Mensual!G111</f>
        <v/>
      </c>
      <c r="H111" s="50">
        <f>Saldos_Capital_Mensual!H111</f>
        <v/>
      </c>
      <c r="I111" s="50">
        <f>Saldos_Capital_Mensual!I111</f>
        <v/>
      </c>
      <c r="J111" s="50">
        <f>Saldos_Capital_Mensual!J111</f>
        <v/>
      </c>
      <c r="K111" s="50">
        <f>Saldos_Capital_Mensual!K111</f>
        <v/>
      </c>
      <c r="L111" s="50">
        <f>Saldos_Capital_Mensual!L111</f>
        <v/>
      </c>
      <c r="M111" s="50">
        <f>Saldos_Capital_Mensual!M111</f>
        <v/>
      </c>
      <c r="N111" s="50">
        <f>Saldos_Capital_Mensual!N111</f>
        <v/>
      </c>
      <c r="O111" s="50">
        <f>Saldos_Capital_Mensual!O111</f>
        <v/>
      </c>
      <c r="P111" s="50">
        <f>Saldos_Capital_Mensual!P111</f>
        <v/>
      </c>
      <c r="Q111" s="50">
        <f>Saldos_Capital_Mensual!Q111</f>
        <v/>
      </c>
      <c r="R111" s="50">
        <f>Saldos_Capital_Mensual!R111</f>
        <v/>
      </c>
      <c r="S111" s="50">
        <f>Saldos_Capital_Mensual!S111</f>
        <v/>
      </c>
      <c r="T111" s="50">
        <f>Saldos_Capital_Mensual!T111</f>
        <v/>
      </c>
      <c r="U111" s="50">
        <f>Saldos_Capital_Mensual!U111</f>
        <v/>
      </c>
    </row>
    <row r="112">
      <c r="A112" s="48">
        <f>Saldos_Capital_Mensual!A112</f>
        <v/>
      </c>
      <c r="B112" s="48">
        <f>Saldos_Capital_Mensual!B112</f>
        <v/>
      </c>
      <c r="C112" s="48">
        <f>Saldos_Capital_Mensual!C112</f>
        <v/>
      </c>
      <c r="D112" s="48">
        <f>Saldos_Capital_Mensual!D112</f>
        <v/>
      </c>
      <c r="E112" s="48">
        <f>Saldos_Capital_Mensual!E112</f>
        <v/>
      </c>
      <c r="F112" s="48">
        <f>Saldos_Capital_Mensual!F112</f>
        <v/>
      </c>
      <c r="G112" s="49">
        <f>Saldos_Capital_Mensual!G112</f>
        <v/>
      </c>
      <c r="H112" s="50">
        <f>Saldos_Capital_Mensual!H112</f>
        <v/>
      </c>
      <c r="I112" s="50">
        <f>Saldos_Capital_Mensual!I112</f>
        <v/>
      </c>
      <c r="J112" s="50">
        <f>Saldos_Capital_Mensual!J112</f>
        <v/>
      </c>
      <c r="K112" s="50">
        <f>Saldos_Capital_Mensual!K112</f>
        <v/>
      </c>
      <c r="L112" s="50">
        <f>Saldos_Capital_Mensual!L112</f>
        <v/>
      </c>
      <c r="M112" s="50">
        <f>Saldos_Capital_Mensual!M112</f>
        <v/>
      </c>
      <c r="N112" s="50">
        <f>Saldos_Capital_Mensual!N112</f>
        <v/>
      </c>
      <c r="O112" s="50">
        <f>Saldos_Capital_Mensual!O112</f>
        <v/>
      </c>
      <c r="P112" s="50">
        <f>Saldos_Capital_Mensual!P112</f>
        <v/>
      </c>
      <c r="Q112" s="50">
        <f>Saldos_Capital_Mensual!Q112</f>
        <v/>
      </c>
      <c r="R112" s="50">
        <f>Saldos_Capital_Mensual!R112</f>
        <v/>
      </c>
      <c r="S112" s="50">
        <f>Saldos_Capital_Mensual!S112</f>
        <v/>
      </c>
      <c r="T112" s="50">
        <f>Saldos_Capital_Mensual!T112</f>
        <v/>
      </c>
      <c r="U112" s="50">
        <f>Saldos_Capital_Mensual!U112</f>
        <v/>
      </c>
    </row>
    <row r="113">
      <c r="A113" s="48">
        <f>Saldos_Capital_Mensual!A113</f>
        <v/>
      </c>
      <c r="B113" s="48">
        <f>Saldos_Capital_Mensual!B113</f>
        <v/>
      </c>
      <c r="C113" s="48">
        <f>Saldos_Capital_Mensual!C113</f>
        <v/>
      </c>
      <c r="D113" s="48">
        <f>Saldos_Capital_Mensual!D113</f>
        <v/>
      </c>
      <c r="E113" s="48">
        <f>Saldos_Capital_Mensual!E113</f>
        <v/>
      </c>
      <c r="F113" s="48">
        <f>Saldos_Capital_Mensual!F113</f>
        <v/>
      </c>
      <c r="G113" s="49">
        <f>Saldos_Capital_Mensual!G113</f>
        <v/>
      </c>
      <c r="H113" s="50">
        <f>Saldos_Capital_Mensual!H113</f>
        <v/>
      </c>
      <c r="I113" s="50">
        <f>Saldos_Capital_Mensual!I113</f>
        <v/>
      </c>
      <c r="J113" s="50">
        <f>Saldos_Capital_Mensual!J113</f>
        <v/>
      </c>
      <c r="K113" s="50">
        <f>Saldos_Capital_Mensual!K113</f>
        <v/>
      </c>
      <c r="L113" s="50">
        <f>Saldos_Capital_Mensual!L113</f>
        <v/>
      </c>
      <c r="M113" s="50">
        <f>Saldos_Capital_Mensual!M113</f>
        <v/>
      </c>
      <c r="N113" s="50">
        <f>Saldos_Capital_Mensual!N113</f>
        <v/>
      </c>
      <c r="O113" s="50">
        <f>Saldos_Capital_Mensual!O113</f>
        <v/>
      </c>
      <c r="P113" s="50">
        <f>Saldos_Capital_Mensual!P113</f>
        <v/>
      </c>
      <c r="Q113" s="50">
        <f>Saldos_Capital_Mensual!Q113</f>
        <v/>
      </c>
      <c r="R113" s="50">
        <f>Saldos_Capital_Mensual!R113</f>
        <v/>
      </c>
      <c r="S113" s="50">
        <f>Saldos_Capital_Mensual!S113</f>
        <v/>
      </c>
      <c r="T113" s="50">
        <f>Saldos_Capital_Mensual!T113</f>
        <v/>
      </c>
      <c r="U113" s="50">
        <f>Saldos_Capital_Mensual!U113</f>
        <v/>
      </c>
    </row>
    <row r="114">
      <c r="A114" s="48">
        <f>Saldos_Capital_Mensual!A114</f>
        <v/>
      </c>
      <c r="B114" s="48">
        <f>Saldos_Capital_Mensual!B114</f>
        <v/>
      </c>
      <c r="C114" s="48">
        <f>Saldos_Capital_Mensual!C114</f>
        <v/>
      </c>
      <c r="D114" s="48">
        <f>Saldos_Capital_Mensual!D114</f>
        <v/>
      </c>
      <c r="E114" s="48">
        <f>Saldos_Capital_Mensual!E114</f>
        <v/>
      </c>
      <c r="F114" s="48">
        <f>Saldos_Capital_Mensual!F114</f>
        <v/>
      </c>
      <c r="G114" s="49">
        <f>Saldos_Capital_Mensual!G114</f>
        <v/>
      </c>
      <c r="H114" s="50">
        <f>Saldos_Capital_Mensual!H114</f>
        <v/>
      </c>
      <c r="I114" s="50">
        <f>Saldos_Capital_Mensual!I114</f>
        <v/>
      </c>
      <c r="J114" s="50">
        <f>Saldos_Capital_Mensual!J114</f>
        <v/>
      </c>
      <c r="K114" s="50">
        <f>Saldos_Capital_Mensual!K114</f>
        <v/>
      </c>
      <c r="L114" s="50">
        <f>Saldos_Capital_Mensual!L114</f>
        <v/>
      </c>
      <c r="M114" s="50">
        <f>Saldos_Capital_Mensual!M114</f>
        <v/>
      </c>
      <c r="N114" s="50">
        <f>Saldos_Capital_Mensual!N114</f>
        <v/>
      </c>
      <c r="O114" s="50">
        <f>Saldos_Capital_Mensual!O114</f>
        <v/>
      </c>
      <c r="P114" s="50">
        <f>Saldos_Capital_Mensual!P114</f>
        <v/>
      </c>
      <c r="Q114" s="50">
        <f>Saldos_Capital_Mensual!Q114</f>
        <v/>
      </c>
      <c r="R114" s="50">
        <f>Saldos_Capital_Mensual!R114</f>
        <v/>
      </c>
      <c r="S114" s="50">
        <f>Saldos_Capital_Mensual!S114</f>
        <v/>
      </c>
      <c r="T114" s="50">
        <f>Saldos_Capital_Mensual!T114</f>
        <v/>
      </c>
      <c r="U114" s="50">
        <f>Saldos_Capital_Mensual!U114</f>
        <v/>
      </c>
    </row>
    <row r="115">
      <c r="A115" s="48">
        <f>Saldos_Capital_Mensual!A115</f>
        <v/>
      </c>
      <c r="B115" s="48">
        <f>Saldos_Capital_Mensual!B115</f>
        <v/>
      </c>
      <c r="C115" s="48">
        <f>Saldos_Capital_Mensual!C115</f>
        <v/>
      </c>
      <c r="D115" s="48">
        <f>Saldos_Capital_Mensual!D115</f>
        <v/>
      </c>
      <c r="E115" s="48">
        <f>Saldos_Capital_Mensual!E115</f>
        <v/>
      </c>
      <c r="F115" s="48">
        <f>Saldos_Capital_Mensual!F115</f>
        <v/>
      </c>
      <c r="G115" s="49">
        <f>Saldos_Capital_Mensual!G115</f>
        <v/>
      </c>
      <c r="H115" s="50">
        <f>Saldos_Capital_Mensual!H115</f>
        <v/>
      </c>
      <c r="I115" s="50">
        <f>Saldos_Capital_Mensual!I115</f>
        <v/>
      </c>
      <c r="J115" s="50">
        <f>Saldos_Capital_Mensual!J115</f>
        <v/>
      </c>
      <c r="K115" s="50">
        <f>Saldos_Capital_Mensual!K115</f>
        <v/>
      </c>
      <c r="L115" s="50">
        <f>Saldos_Capital_Mensual!L115</f>
        <v/>
      </c>
      <c r="M115" s="50">
        <f>Saldos_Capital_Mensual!M115</f>
        <v/>
      </c>
      <c r="N115" s="50">
        <f>Saldos_Capital_Mensual!N115</f>
        <v/>
      </c>
      <c r="O115" s="50">
        <f>Saldos_Capital_Mensual!O115</f>
        <v/>
      </c>
      <c r="P115" s="50">
        <f>Saldos_Capital_Mensual!P115</f>
        <v/>
      </c>
      <c r="Q115" s="50">
        <f>Saldos_Capital_Mensual!Q115</f>
        <v/>
      </c>
      <c r="R115" s="50">
        <f>Saldos_Capital_Mensual!R115</f>
        <v/>
      </c>
      <c r="S115" s="50">
        <f>Saldos_Capital_Mensual!S115</f>
        <v/>
      </c>
      <c r="T115" s="50">
        <f>Saldos_Capital_Mensual!T115</f>
        <v/>
      </c>
      <c r="U115" s="50">
        <f>Saldos_Capital_Mensual!U115</f>
        <v/>
      </c>
    </row>
    <row r="116">
      <c r="A116" s="48">
        <f>Saldos_Capital_Mensual!A116</f>
        <v/>
      </c>
      <c r="B116" s="48">
        <f>Saldos_Capital_Mensual!B116</f>
        <v/>
      </c>
      <c r="C116" s="48">
        <f>Saldos_Capital_Mensual!C116</f>
        <v/>
      </c>
      <c r="D116" s="48">
        <f>Saldos_Capital_Mensual!D116</f>
        <v/>
      </c>
      <c r="E116" s="48">
        <f>Saldos_Capital_Mensual!E116</f>
        <v/>
      </c>
      <c r="F116" s="48">
        <f>Saldos_Capital_Mensual!F116</f>
        <v/>
      </c>
      <c r="G116" s="49">
        <f>Saldos_Capital_Mensual!G116</f>
        <v/>
      </c>
      <c r="H116" s="50">
        <f>Saldos_Capital_Mensual!H116</f>
        <v/>
      </c>
      <c r="I116" s="50">
        <f>Saldos_Capital_Mensual!I116</f>
        <v/>
      </c>
      <c r="J116" s="50">
        <f>Saldos_Capital_Mensual!J116</f>
        <v/>
      </c>
      <c r="K116" s="50">
        <f>Saldos_Capital_Mensual!K116</f>
        <v/>
      </c>
      <c r="L116" s="50">
        <f>Saldos_Capital_Mensual!L116</f>
        <v/>
      </c>
      <c r="M116" s="50">
        <f>Saldos_Capital_Mensual!M116</f>
        <v/>
      </c>
      <c r="N116" s="50">
        <f>Saldos_Capital_Mensual!N116</f>
        <v/>
      </c>
      <c r="O116" s="50">
        <f>Saldos_Capital_Mensual!O116</f>
        <v/>
      </c>
      <c r="P116" s="50">
        <f>Saldos_Capital_Mensual!P116</f>
        <v/>
      </c>
      <c r="Q116" s="50">
        <f>Saldos_Capital_Mensual!Q116</f>
        <v/>
      </c>
      <c r="R116" s="50">
        <f>Saldos_Capital_Mensual!R116</f>
        <v/>
      </c>
      <c r="S116" s="50">
        <f>Saldos_Capital_Mensual!S116</f>
        <v/>
      </c>
      <c r="T116" s="50">
        <f>Saldos_Capital_Mensual!T116</f>
        <v/>
      </c>
      <c r="U116" s="50">
        <f>Saldos_Capital_Mensual!U116</f>
        <v/>
      </c>
    </row>
    <row r="117">
      <c r="A117" s="48">
        <f>Saldos_Capital_Mensual!A117</f>
        <v/>
      </c>
      <c r="B117" s="48">
        <f>Saldos_Capital_Mensual!B117</f>
        <v/>
      </c>
      <c r="C117" s="48">
        <f>Saldos_Capital_Mensual!C117</f>
        <v/>
      </c>
      <c r="D117" s="48">
        <f>Saldos_Capital_Mensual!D117</f>
        <v/>
      </c>
      <c r="E117" s="48">
        <f>Saldos_Capital_Mensual!E117</f>
        <v/>
      </c>
      <c r="F117" s="48">
        <f>Saldos_Capital_Mensual!F117</f>
        <v/>
      </c>
      <c r="G117" s="49">
        <f>Saldos_Capital_Mensual!G117</f>
        <v/>
      </c>
      <c r="H117" s="50">
        <f>Saldos_Capital_Mensual!H117</f>
        <v/>
      </c>
      <c r="I117" s="50">
        <f>Saldos_Capital_Mensual!I117</f>
        <v/>
      </c>
      <c r="J117" s="50">
        <f>Saldos_Capital_Mensual!J117</f>
        <v/>
      </c>
      <c r="K117" s="50">
        <f>Saldos_Capital_Mensual!K117</f>
        <v/>
      </c>
      <c r="L117" s="50">
        <f>Saldos_Capital_Mensual!L117</f>
        <v/>
      </c>
      <c r="M117" s="50">
        <f>Saldos_Capital_Mensual!M117</f>
        <v/>
      </c>
      <c r="N117" s="50">
        <f>Saldos_Capital_Mensual!N117</f>
        <v/>
      </c>
      <c r="O117" s="50">
        <f>Saldos_Capital_Mensual!O117</f>
        <v/>
      </c>
      <c r="P117" s="50">
        <f>Saldos_Capital_Mensual!P117</f>
        <v/>
      </c>
      <c r="Q117" s="50">
        <f>Saldos_Capital_Mensual!Q117</f>
        <v/>
      </c>
      <c r="R117" s="50">
        <f>Saldos_Capital_Mensual!R117</f>
        <v/>
      </c>
      <c r="S117" s="50">
        <f>Saldos_Capital_Mensual!S117</f>
        <v/>
      </c>
      <c r="T117" s="50">
        <f>Saldos_Capital_Mensual!T117</f>
        <v/>
      </c>
      <c r="U117" s="50">
        <f>Saldos_Capital_Mensual!U117</f>
        <v/>
      </c>
    </row>
    <row r="118">
      <c r="A118" s="48">
        <f>Saldos_Capital_Mensual!A118</f>
        <v/>
      </c>
      <c r="B118" s="48">
        <f>Saldos_Capital_Mensual!B118</f>
        <v/>
      </c>
      <c r="C118" s="48">
        <f>Saldos_Capital_Mensual!C118</f>
        <v/>
      </c>
      <c r="D118" s="48">
        <f>Saldos_Capital_Mensual!D118</f>
        <v/>
      </c>
      <c r="E118" s="48">
        <f>Saldos_Capital_Mensual!E118</f>
        <v/>
      </c>
      <c r="F118" s="48">
        <f>Saldos_Capital_Mensual!F118</f>
        <v/>
      </c>
      <c r="G118" s="49">
        <f>Saldos_Capital_Mensual!G118</f>
        <v/>
      </c>
      <c r="H118" s="50">
        <f>Saldos_Capital_Mensual!H118</f>
        <v/>
      </c>
      <c r="I118" s="50">
        <f>Saldos_Capital_Mensual!I118</f>
        <v/>
      </c>
      <c r="J118" s="50">
        <f>Saldos_Capital_Mensual!J118</f>
        <v/>
      </c>
      <c r="K118" s="50">
        <f>Saldos_Capital_Mensual!K118</f>
        <v/>
      </c>
      <c r="L118" s="50">
        <f>Saldos_Capital_Mensual!L118</f>
        <v/>
      </c>
      <c r="M118" s="50">
        <f>Saldos_Capital_Mensual!M118</f>
        <v/>
      </c>
      <c r="N118" s="50">
        <f>Saldos_Capital_Mensual!N118</f>
        <v/>
      </c>
      <c r="O118" s="50">
        <f>Saldos_Capital_Mensual!O118</f>
        <v/>
      </c>
      <c r="P118" s="50">
        <f>Saldos_Capital_Mensual!P118</f>
        <v/>
      </c>
      <c r="Q118" s="50">
        <f>Saldos_Capital_Mensual!Q118</f>
        <v/>
      </c>
      <c r="R118" s="50">
        <f>Saldos_Capital_Mensual!R118</f>
        <v/>
      </c>
      <c r="S118" s="50">
        <f>Saldos_Capital_Mensual!S118</f>
        <v/>
      </c>
      <c r="T118" s="50">
        <f>Saldos_Capital_Mensual!T118</f>
        <v/>
      </c>
      <c r="U118" s="50">
        <f>Saldos_Capital_Mensual!U118</f>
        <v/>
      </c>
    </row>
    <row r="119">
      <c r="A119" s="48">
        <f>Saldos_Capital_Mensual!A119</f>
        <v/>
      </c>
      <c r="B119" s="48">
        <f>Saldos_Capital_Mensual!B119</f>
        <v/>
      </c>
      <c r="C119" s="48">
        <f>Saldos_Capital_Mensual!C119</f>
        <v/>
      </c>
      <c r="D119" s="48">
        <f>Saldos_Capital_Mensual!D119</f>
        <v/>
      </c>
      <c r="E119" s="48">
        <f>Saldos_Capital_Mensual!E119</f>
        <v/>
      </c>
      <c r="F119" s="48">
        <f>Saldos_Capital_Mensual!F119</f>
        <v/>
      </c>
      <c r="G119" s="49">
        <f>Saldos_Capital_Mensual!G119</f>
        <v/>
      </c>
      <c r="H119" s="50">
        <f>Saldos_Capital_Mensual!H119</f>
        <v/>
      </c>
      <c r="I119" s="50">
        <f>Saldos_Capital_Mensual!I119</f>
        <v/>
      </c>
      <c r="J119" s="50">
        <f>Saldos_Capital_Mensual!J119</f>
        <v/>
      </c>
      <c r="K119" s="50">
        <f>Saldos_Capital_Mensual!K119</f>
        <v/>
      </c>
      <c r="L119" s="50">
        <f>Saldos_Capital_Mensual!L119</f>
        <v/>
      </c>
      <c r="M119" s="50">
        <f>Saldos_Capital_Mensual!M119</f>
        <v/>
      </c>
      <c r="N119" s="50">
        <f>Saldos_Capital_Mensual!N119</f>
        <v/>
      </c>
      <c r="O119" s="50">
        <f>Saldos_Capital_Mensual!O119</f>
        <v/>
      </c>
      <c r="P119" s="50">
        <f>Saldos_Capital_Mensual!P119</f>
        <v/>
      </c>
      <c r="Q119" s="50">
        <f>Saldos_Capital_Mensual!Q119</f>
        <v/>
      </c>
      <c r="R119" s="50">
        <f>Saldos_Capital_Mensual!R119</f>
        <v/>
      </c>
      <c r="S119" s="50">
        <f>Saldos_Capital_Mensual!S119</f>
        <v/>
      </c>
      <c r="T119" s="50">
        <f>Saldos_Capital_Mensual!T119</f>
        <v/>
      </c>
      <c r="U119" s="50">
        <f>Saldos_Capital_Mensual!U119</f>
        <v/>
      </c>
    </row>
    <row r="120">
      <c r="A120" s="48">
        <f>Saldos_Capital_Mensual!A120</f>
        <v/>
      </c>
      <c r="B120" s="48">
        <f>Saldos_Capital_Mensual!B120</f>
        <v/>
      </c>
      <c r="C120" s="48">
        <f>Saldos_Capital_Mensual!C120</f>
        <v/>
      </c>
      <c r="D120" s="48">
        <f>Saldos_Capital_Mensual!D120</f>
        <v/>
      </c>
      <c r="E120" s="48">
        <f>Saldos_Capital_Mensual!E120</f>
        <v/>
      </c>
      <c r="F120" s="48">
        <f>Saldos_Capital_Mensual!F120</f>
        <v/>
      </c>
      <c r="G120" s="49">
        <f>Saldos_Capital_Mensual!G120</f>
        <v/>
      </c>
      <c r="H120" s="50">
        <f>Saldos_Capital_Mensual!H120</f>
        <v/>
      </c>
      <c r="I120" s="50">
        <f>Saldos_Capital_Mensual!I120</f>
        <v/>
      </c>
      <c r="J120" s="50">
        <f>Saldos_Capital_Mensual!J120</f>
        <v/>
      </c>
      <c r="K120" s="50">
        <f>Saldos_Capital_Mensual!K120</f>
        <v/>
      </c>
      <c r="L120" s="50">
        <f>Saldos_Capital_Mensual!L120</f>
        <v/>
      </c>
      <c r="M120" s="50">
        <f>Saldos_Capital_Mensual!M120</f>
        <v/>
      </c>
      <c r="N120" s="50">
        <f>Saldos_Capital_Mensual!N120</f>
        <v/>
      </c>
      <c r="O120" s="50">
        <f>Saldos_Capital_Mensual!O120</f>
        <v/>
      </c>
      <c r="P120" s="50">
        <f>Saldos_Capital_Mensual!P120</f>
        <v/>
      </c>
      <c r="Q120" s="50">
        <f>Saldos_Capital_Mensual!Q120</f>
        <v/>
      </c>
      <c r="R120" s="50">
        <f>Saldos_Capital_Mensual!R120</f>
        <v/>
      </c>
      <c r="S120" s="50">
        <f>Saldos_Capital_Mensual!S120</f>
        <v/>
      </c>
      <c r="T120" s="50">
        <f>Saldos_Capital_Mensual!T120</f>
        <v/>
      </c>
      <c r="U120" s="50">
        <f>Saldos_Capital_Mensual!U120</f>
        <v/>
      </c>
    </row>
    <row r="121">
      <c r="A121" s="48">
        <f>Saldos_Capital_Mensual!A121</f>
        <v/>
      </c>
      <c r="B121" s="48">
        <f>Saldos_Capital_Mensual!B121</f>
        <v/>
      </c>
      <c r="C121" s="48">
        <f>Saldos_Capital_Mensual!C121</f>
        <v/>
      </c>
      <c r="D121" s="48">
        <f>Saldos_Capital_Mensual!D121</f>
        <v/>
      </c>
      <c r="E121" s="48">
        <f>Saldos_Capital_Mensual!E121</f>
        <v/>
      </c>
      <c r="F121" s="48">
        <f>Saldos_Capital_Mensual!F121</f>
        <v/>
      </c>
      <c r="G121" s="49">
        <f>Saldos_Capital_Mensual!G121</f>
        <v/>
      </c>
      <c r="H121" s="50">
        <f>Saldos_Capital_Mensual!H121</f>
        <v/>
      </c>
      <c r="I121" s="50">
        <f>Saldos_Capital_Mensual!I121</f>
        <v/>
      </c>
      <c r="J121" s="50">
        <f>Saldos_Capital_Mensual!J121</f>
        <v/>
      </c>
      <c r="K121" s="50">
        <f>Saldos_Capital_Mensual!K121</f>
        <v/>
      </c>
      <c r="L121" s="50">
        <f>Saldos_Capital_Mensual!L121</f>
        <v/>
      </c>
      <c r="M121" s="50">
        <f>Saldos_Capital_Mensual!M121</f>
        <v/>
      </c>
      <c r="N121" s="50">
        <f>Saldos_Capital_Mensual!N121</f>
        <v/>
      </c>
      <c r="O121" s="50">
        <f>Saldos_Capital_Mensual!O121</f>
        <v/>
      </c>
      <c r="P121" s="50">
        <f>Saldos_Capital_Mensual!P121</f>
        <v/>
      </c>
      <c r="Q121" s="50">
        <f>Saldos_Capital_Mensual!Q121</f>
        <v/>
      </c>
      <c r="R121" s="50">
        <f>Saldos_Capital_Mensual!R121</f>
        <v/>
      </c>
      <c r="S121" s="50">
        <f>Saldos_Capital_Mensual!S121</f>
        <v/>
      </c>
      <c r="T121" s="50">
        <f>Saldos_Capital_Mensual!T121</f>
        <v/>
      </c>
      <c r="U121" s="50">
        <f>Saldos_Capital_Mensual!U121</f>
        <v/>
      </c>
    </row>
    <row r="122">
      <c r="A122" s="48">
        <f>Saldos_Capital_Mensual!A122</f>
        <v/>
      </c>
      <c r="B122" s="48">
        <f>Saldos_Capital_Mensual!B122</f>
        <v/>
      </c>
      <c r="C122" s="48">
        <f>Saldos_Capital_Mensual!C122</f>
        <v/>
      </c>
      <c r="D122" s="48">
        <f>Saldos_Capital_Mensual!D122</f>
        <v/>
      </c>
      <c r="E122" s="48">
        <f>Saldos_Capital_Mensual!E122</f>
        <v/>
      </c>
      <c r="F122" s="48">
        <f>Saldos_Capital_Mensual!F122</f>
        <v/>
      </c>
      <c r="G122" s="49">
        <f>Saldos_Capital_Mensual!G122</f>
        <v/>
      </c>
      <c r="H122" s="50">
        <f>Saldos_Capital_Mensual!H122</f>
        <v/>
      </c>
      <c r="I122" s="50">
        <f>Saldos_Capital_Mensual!I122</f>
        <v/>
      </c>
      <c r="J122" s="50">
        <f>Saldos_Capital_Mensual!J122</f>
        <v/>
      </c>
      <c r="K122" s="50">
        <f>Saldos_Capital_Mensual!K122</f>
        <v/>
      </c>
      <c r="L122" s="50">
        <f>Saldos_Capital_Mensual!L122</f>
        <v/>
      </c>
      <c r="M122" s="50">
        <f>Saldos_Capital_Mensual!M122</f>
        <v/>
      </c>
      <c r="N122" s="50">
        <f>Saldos_Capital_Mensual!N122</f>
        <v/>
      </c>
      <c r="O122" s="50">
        <f>Saldos_Capital_Mensual!O122</f>
        <v/>
      </c>
      <c r="P122" s="50">
        <f>Saldos_Capital_Mensual!P122</f>
        <v/>
      </c>
      <c r="Q122" s="50">
        <f>Saldos_Capital_Mensual!Q122</f>
        <v/>
      </c>
      <c r="R122" s="50">
        <f>Saldos_Capital_Mensual!R122</f>
        <v/>
      </c>
      <c r="S122" s="50">
        <f>Saldos_Capital_Mensual!S122</f>
        <v/>
      </c>
      <c r="T122" s="50">
        <f>Saldos_Capital_Mensual!T122</f>
        <v/>
      </c>
      <c r="U122" s="50">
        <f>Saldos_Capital_Mensual!U122</f>
        <v/>
      </c>
    </row>
    <row r="123">
      <c r="A123" s="48">
        <f>Saldos_Capital_Mensual!A123</f>
        <v/>
      </c>
      <c r="B123" s="48">
        <f>Saldos_Capital_Mensual!B123</f>
        <v/>
      </c>
      <c r="C123" s="48">
        <f>Saldos_Capital_Mensual!C123</f>
        <v/>
      </c>
      <c r="D123" s="48">
        <f>Saldos_Capital_Mensual!D123</f>
        <v/>
      </c>
      <c r="E123" s="48">
        <f>Saldos_Capital_Mensual!E123</f>
        <v/>
      </c>
      <c r="F123" s="48">
        <f>Saldos_Capital_Mensual!F123</f>
        <v/>
      </c>
      <c r="G123" s="49">
        <f>Saldos_Capital_Mensual!G123</f>
        <v/>
      </c>
      <c r="H123" s="50">
        <f>Saldos_Capital_Mensual!H123</f>
        <v/>
      </c>
      <c r="I123" s="50">
        <f>Saldos_Capital_Mensual!I123</f>
        <v/>
      </c>
      <c r="J123" s="50">
        <f>Saldos_Capital_Mensual!J123</f>
        <v/>
      </c>
      <c r="K123" s="50">
        <f>Saldos_Capital_Mensual!K123</f>
        <v/>
      </c>
      <c r="L123" s="50">
        <f>Saldos_Capital_Mensual!L123</f>
        <v/>
      </c>
      <c r="M123" s="50">
        <f>Saldos_Capital_Mensual!M123</f>
        <v/>
      </c>
      <c r="N123" s="50">
        <f>Saldos_Capital_Mensual!N123</f>
        <v/>
      </c>
      <c r="O123" s="50">
        <f>Saldos_Capital_Mensual!O123</f>
        <v/>
      </c>
      <c r="P123" s="50">
        <f>Saldos_Capital_Mensual!P123</f>
        <v/>
      </c>
      <c r="Q123" s="50">
        <f>Saldos_Capital_Mensual!Q123</f>
        <v/>
      </c>
      <c r="R123" s="50">
        <f>Saldos_Capital_Mensual!R123</f>
        <v/>
      </c>
      <c r="S123" s="50">
        <f>Saldos_Capital_Mensual!S123</f>
        <v/>
      </c>
      <c r="T123" s="50">
        <f>Saldos_Capital_Mensual!T123</f>
        <v/>
      </c>
      <c r="U123" s="50">
        <f>Saldos_Capital_Mensual!U123</f>
        <v/>
      </c>
    </row>
    <row r="124">
      <c r="A124" s="48">
        <f>Saldos_Capital_Mensual!A124</f>
        <v/>
      </c>
      <c r="B124" s="48">
        <f>Saldos_Capital_Mensual!B124</f>
        <v/>
      </c>
      <c r="C124" s="48">
        <f>Saldos_Capital_Mensual!C124</f>
        <v/>
      </c>
      <c r="D124" s="48">
        <f>Saldos_Capital_Mensual!D124</f>
        <v/>
      </c>
      <c r="E124" s="48">
        <f>Saldos_Capital_Mensual!E124</f>
        <v/>
      </c>
      <c r="F124" s="48">
        <f>Saldos_Capital_Mensual!F124</f>
        <v/>
      </c>
      <c r="G124" s="49">
        <f>Saldos_Capital_Mensual!G124</f>
        <v/>
      </c>
      <c r="H124" s="50">
        <f>Saldos_Capital_Mensual!H124</f>
        <v/>
      </c>
      <c r="I124" s="50">
        <f>Saldos_Capital_Mensual!I124</f>
        <v/>
      </c>
      <c r="J124" s="50">
        <f>Saldos_Capital_Mensual!J124</f>
        <v/>
      </c>
      <c r="K124" s="50">
        <f>Saldos_Capital_Mensual!K124</f>
        <v/>
      </c>
      <c r="L124" s="50">
        <f>Saldos_Capital_Mensual!L124</f>
        <v/>
      </c>
      <c r="M124" s="50">
        <f>Saldos_Capital_Mensual!M124</f>
        <v/>
      </c>
      <c r="N124" s="50">
        <f>Saldos_Capital_Mensual!N124</f>
        <v/>
      </c>
      <c r="O124" s="50">
        <f>Saldos_Capital_Mensual!O124</f>
        <v/>
      </c>
      <c r="P124" s="50">
        <f>Saldos_Capital_Mensual!P124</f>
        <v/>
      </c>
      <c r="Q124" s="50">
        <f>Saldos_Capital_Mensual!Q124</f>
        <v/>
      </c>
      <c r="R124" s="50">
        <f>Saldos_Capital_Mensual!R124</f>
        <v/>
      </c>
      <c r="S124" s="50">
        <f>Saldos_Capital_Mensual!S124</f>
        <v/>
      </c>
      <c r="T124" s="50">
        <f>Saldos_Capital_Mensual!T124</f>
        <v/>
      </c>
      <c r="U124" s="50">
        <f>Saldos_Capital_Mensual!U124</f>
        <v/>
      </c>
    </row>
    <row r="125">
      <c r="A125" s="48">
        <f>Saldos_Capital_Mensual!A125</f>
        <v/>
      </c>
      <c r="B125" s="48">
        <f>Saldos_Capital_Mensual!B125</f>
        <v/>
      </c>
      <c r="C125" s="48">
        <f>Saldos_Capital_Mensual!C125</f>
        <v/>
      </c>
      <c r="D125" s="48">
        <f>Saldos_Capital_Mensual!D125</f>
        <v/>
      </c>
      <c r="E125" s="48">
        <f>Saldos_Capital_Mensual!E125</f>
        <v/>
      </c>
      <c r="F125" s="48">
        <f>Saldos_Capital_Mensual!F125</f>
        <v/>
      </c>
      <c r="G125" s="49">
        <f>Saldos_Capital_Mensual!G125</f>
        <v/>
      </c>
      <c r="H125" s="50">
        <f>Saldos_Capital_Mensual!H125</f>
        <v/>
      </c>
      <c r="I125" s="50">
        <f>Saldos_Capital_Mensual!I125</f>
        <v/>
      </c>
      <c r="J125" s="50">
        <f>Saldos_Capital_Mensual!J125</f>
        <v/>
      </c>
      <c r="K125" s="50">
        <f>Saldos_Capital_Mensual!K125</f>
        <v/>
      </c>
      <c r="L125" s="50">
        <f>Saldos_Capital_Mensual!L125</f>
        <v/>
      </c>
      <c r="M125" s="50">
        <f>Saldos_Capital_Mensual!M125</f>
        <v/>
      </c>
      <c r="N125" s="50">
        <f>Saldos_Capital_Mensual!N125</f>
        <v/>
      </c>
      <c r="O125" s="50">
        <f>Saldos_Capital_Mensual!O125</f>
        <v/>
      </c>
      <c r="P125" s="50">
        <f>Saldos_Capital_Mensual!P125</f>
        <v/>
      </c>
      <c r="Q125" s="50">
        <f>Saldos_Capital_Mensual!Q125</f>
        <v/>
      </c>
      <c r="R125" s="50">
        <f>Saldos_Capital_Mensual!R125</f>
        <v/>
      </c>
      <c r="S125" s="50">
        <f>Saldos_Capital_Mensual!S125</f>
        <v/>
      </c>
      <c r="T125" s="50">
        <f>Saldos_Capital_Mensual!T125</f>
        <v/>
      </c>
      <c r="U125" s="50">
        <f>Saldos_Capital_Mensual!U125</f>
        <v/>
      </c>
    </row>
    <row r="126">
      <c r="A126" s="48">
        <f>Saldos_Capital_Mensual!A126</f>
        <v/>
      </c>
      <c r="B126" s="48">
        <f>Saldos_Capital_Mensual!B126</f>
        <v/>
      </c>
      <c r="C126" s="48">
        <f>Saldos_Capital_Mensual!C126</f>
        <v/>
      </c>
      <c r="D126" s="48">
        <f>Saldos_Capital_Mensual!D126</f>
        <v/>
      </c>
      <c r="E126" s="48">
        <f>Saldos_Capital_Mensual!E126</f>
        <v/>
      </c>
      <c r="F126" s="48">
        <f>Saldos_Capital_Mensual!F126</f>
        <v/>
      </c>
      <c r="G126" s="49">
        <f>Saldos_Capital_Mensual!G126</f>
        <v/>
      </c>
      <c r="H126" s="50">
        <f>Saldos_Capital_Mensual!H126</f>
        <v/>
      </c>
      <c r="I126" s="50">
        <f>Saldos_Capital_Mensual!I126</f>
        <v/>
      </c>
      <c r="J126" s="50">
        <f>Saldos_Capital_Mensual!J126</f>
        <v/>
      </c>
      <c r="K126" s="50">
        <f>Saldos_Capital_Mensual!K126</f>
        <v/>
      </c>
      <c r="L126" s="50">
        <f>Saldos_Capital_Mensual!L126</f>
        <v/>
      </c>
      <c r="M126" s="50">
        <f>Saldos_Capital_Mensual!M126</f>
        <v/>
      </c>
      <c r="N126" s="50">
        <f>Saldos_Capital_Mensual!N126</f>
        <v/>
      </c>
      <c r="O126" s="50">
        <f>Saldos_Capital_Mensual!O126</f>
        <v/>
      </c>
      <c r="P126" s="50">
        <f>Saldos_Capital_Mensual!P126</f>
        <v/>
      </c>
      <c r="Q126" s="50">
        <f>Saldos_Capital_Mensual!Q126</f>
        <v/>
      </c>
      <c r="R126" s="50">
        <f>Saldos_Capital_Mensual!R126</f>
        <v/>
      </c>
      <c r="S126" s="50">
        <f>Saldos_Capital_Mensual!S126</f>
        <v/>
      </c>
      <c r="T126" s="50">
        <f>Saldos_Capital_Mensual!T126</f>
        <v/>
      </c>
      <c r="U126" s="50">
        <f>Saldos_Capital_Mensual!U126</f>
        <v/>
      </c>
    </row>
    <row r="127">
      <c r="A127" s="48">
        <f>Saldos_Capital_Mensual!A127</f>
        <v/>
      </c>
      <c r="B127" s="48">
        <f>Saldos_Capital_Mensual!B127</f>
        <v/>
      </c>
      <c r="C127" s="48">
        <f>Saldos_Capital_Mensual!C127</f>
        <v/>
      </c>
      <c r="D127" s="48">
        <f>Saldos_Capital_Mensual!D127</f>
        <v/>
      </c>
      <c r="E127" s="48">
        <f>Saldos_Capital_Mensual!E127</f>
        <v/>
      </c>
      <c r="F127" s="48">
        <f>Saldos_Capital_Mensual!F127</f>
        <v/>
      </c>
      <c r="G127" s="49">
        <f>Saldos_Capital_Mensual!G127</f>
        <v/>
      </c>
      <c r="H127" s="50">
        <f>Saldos_Capital_Mensual!H127</f>
        <v/>
      </c>
      <c r="I127" s="50">
        <f>Saldos_Capital_Mensual!I127</f>
        <v/>
      </c>
      <c r="J127" s="50">
        <f>Saldos_Capital_Mensual!J127</f>
        <v/>
      </c>
      <c r="K127" s="50">
        <f>Saldos_Capital_Mensual!K127</f>
        <v/>
      </c>
      <c r="L127" s="50">
        <f>Saldos_Capital_Mensual!L127</f>
        <v/>
      </c>
      <c r="M127" s="50">
        <f>Saldos_Capital_Mensual!M127</f>
        <v/>
      </c>
      <c r="N127" s="50">
        <f>Saldos_Capital_Mensual!N127</f>
        <v/>
      </c>
      <c r="O127" s="50">
        <f>Saldos_Capital_Mensual!O127</f>
        <v/>
      </c>
      <c r="P127" s="50">
        <f>Saldos_Capital_Mensual!P127</f>
        <v/>
      </c>
      <c r="Q127" s="50">
        <f>Saldos_Capital_Mensual!Q127</f>
        <v/>
      </c>
      <c r="R127" s="50">
        <f>Saldos_Capital_Mensual!R127</f>
        <v/>
      </c>
      <c r="S127" s="50">
        <f>Saldos_Capital_Mensual!S127</f>
        <v/>
      </c>
      <c r="T127" s="50">
        <f>Saldos_Capital_Mensual!T127</f>
        <v/>
      </c>
      <c r="U127" s="50">
        <f>Saldos_Capital_Mensual!U127</f>
        <v/>
      </c>
    </row>
    <row r="128">
      <c r="A128" s="48">
        <f>Saldos_Capital_Mensual!A128</f>
        <v/>
      </c>
      <c r="B128" s="48">
        <f>Saldos_Capital_Mensual!B128</f>
        <v/>
      </c>
      <c r="C128" s="48">
        <f>Saldos_Capital_Mensual!C128</f>
        <v/>
      </c>
      <c r="D128" s="48">
        <f>Saldos_Capital_Mensual!D128</f>
        <v/>
      </c>
      <c r="E128" s="48">
        <f>Saldos_Capital_Mensual!E128</f>
        <v/>
      </c>
      <c r="F128" s="48">
        <f>Saldos_Capital_Mensual!F128</f>
        <v/>
      </c>
      <c r="G128" s="49">
        <f>Saldos_Capital_Mensual!G128</f>
        <v/>
      </c>
      <c r="H128" s="50">
        <f>Saldos_Capital_Mensual!H128</f>
        <v/>
      </c>
      <c r="I128" s="50">
        <f>Saldos_Capital_Mensual!I128</f>
        <v/>
      </c>
      <c r="J128" s="50">
        <f>Saldos_Capital_Mensual!J128</f>
        <v/>
      </c>
      <c r="K128" s="50">
        <f>Saldos_Capital_Mensual!K128</f>
        <v/>
      </c>
      <c r="L128" s="50">
        <f>Saldos_Capital_Mensual!L128</f>
        <v/>
      </c>
      <c r="M128" s="50">
        <f>Saldos_Capital_Mensual!M128</f>
        <v/>
      </c>
      <c r="N128" s="50">
        <f>Saldos_Capital_Mensual!N128</f>
        <v/>
      </c>
      <c r="O128" s="50">
        <f>Saldos_Capital_Mensual!O128</f>
        <v/>
      </c>
      <c r="P128" s="50">
        <f>Saldos_Capital_Mensual!P128</f>
        <v/>
      </c>
      <c r="Q128" s="50">
        <f>Saldos_Capital_Mensual!Q128</f>
        <v/>
      </c>
      <c r="R128" s="50">
        <f>Saldos_Capital_Mensual!R128</f>
        <v/>
      </c>
      <c r="S128" s="50">
        <f>Saldos_Capital_Mensual!S128</f>
        <v/>
      </c>
      <c r="T128" s="50">
        <f>Saldos_Capital_Mensual!T128</f>
        <v/>
      </c>
      <c r="U128" s="50">
        <f>Saldos_Capital_Mensual!U128</f>
        <v/>
      </c>
    </row>
    <row r="129">
      <c r="A129" s="48">
        <f>Saldos_Capital_Mensual!A129</f>
        <v/>
      </c>
      <c r="B129" s="48">
        <f>Saldos_Capital_Mensual!B129</f>
        <v/>
      </c>
      <c r="C129" s="48">
        <f>Saldos_Capital_Mensual!C129</f>
        <v/>
      </c>
      <c r="D129" s="48">
        <f>Saldos_Capital_Mensual!D129</f>
        <v/>
      </c>
      <c r="E129" s="48">
        <f>Saldos_Capital_Mensual!E129</f>
        <v/>
      </c>
      <c r="F129" s="48">
        <f>Saldos_Capital_Mensual!F129</f>
        <v/>
      </c>
      <c r="G129" s="49">
        <f>Saldos_Capital_Mensual!G129</f>
        <v/>
      </c>
      <c r="H129" s="50">
        <f>Saldos_Capital_Mensual!H129</f>
        <v/>
      </c>
      <c r="I129" s="50">
        <f>Saldos_Capital_Mensual!I129</f>
        <v/>
      </c>
      <c r="J129" s="50">
        <f>Saldos_Capital_Mensual!J129</f>
        <v/>
      </c>
      <c r="K129" s="50">
        <f>Saldos_Capital_Mensual!K129</f>
        <v/>
      </c>
      <c r="L129" s="50">
        <f>Saldos_Capital_Mensual!L129</f>
        <v/>
      </c>
      <c r="M129" s="50">
        <f>Saldos_Capital_Mensual!M129</f>
        <v/>
      </c>
      <c r="N129" s="50">
        <f>Saldos_Capital_Mensual!N129</f>
        <v/>
      </c>
      <c r="O129" s="50">
        <f>Saldos_Capital_Mensual!O129</f>
        <v/>
      </c>
      <c r="P129" s="50">
        <f>Saldos_Capital_Mensual!P129</f>
        <v/>
      </c>
      <c r="Q129" s="50">
        <f>Saldos_Capital_Mensual!Q129</f>
        <v/>
      </c>
      <c r="R129" s="50">
        <f>Saldos_Capital_Mensual!R129</f>
        <v/>
      </c>
      <c r="S129" s="50">
        <f>Saldos_Capital_Mensual!S129</f>
        <v/>
      </c>
      <c r="T129" s="50">
        <f>Saldos_Capital_Mensual!T129</f>
        <v/>
      </c>
      <c r="U129" s="50">
        <f>Saldos_Capital_Mensual!U129</f>
        <v/>
      </c>
    </row>
    <row r="130">
      <c r="A130" s="48">
        <f>Saldos_Capital_Mensual!A130</f>
        <v/>
      </c>
      <c r="B130" s="48">
        <f>Saldos_Capital_Mensual!B130</f>
        <v/>
      </c>
      <c r="C130" s="48">
        <f>Saldos_Capital_Mensual!C130</f>
        <v/>
      </c>
      <c r="D130" s="48">
        <f>Saldos_Capital_Mensual!D130</f>
        <v/>
      </c>
      <c r="E130" s="48">
        <f>Saldos_Capital_Mensual!E130</f>
        <v/>
      </c>
      <c r="F130" s="48">
        <f>Saldos_Capital_Mensual!F130</f>
        <v/>
      </c>
      <c r="G130" s="49">
        <f>Saldos_Capital_Mensual!G130</f>
        <v/>
      </c>
      <c r="H130" s="50">
        <f>Saldos_Capital_Mensual!H130</f>
        <v/>
      </c>
      <c r="I130" s="50">
        <f>Saldos_Capital_Mensual!I130</f>
        <v/>
      </c>
      <c r="J130" s="50">
        <f>Saldos_Capital_Mensual!J130</f>
        <v/>
      </c>
      <c r="K130" s="50">
        <f>Saldos_Capital_Mensual!K130</f>
        <v/>
      </c>
      <c r="L130" s="50">
        <f>Saldos_Capital_Mensual!L130</f>
        <v/>
      </c>
      <c r="M130" s="50">
        <f>Saldos_Capital_Mensual!M130</f>
        <v/>
      </c>
      <c r="N130" s="50">
        <f>Saldos_Capital_Mensual!N130</f>
        <v/>
      </c>
      <c r="O130" s="50">
        <f>Saldos_Capital_Mensual!O130</f>
        <v/>
      </c>
      <c r="P130" s="50">
        <f>Saldos_Capital_Mensual!P130</f>
        <v/>
      </c>
      <c r="Q130" s="50">
        <f>Saldos_Capital_Mensual!Q130</f>
        <v/>
      </c>
      <c r="R130" s="50">
        <f>Saldos_Capital_Mensual!R130</f>
        <v/>
      </c>
      <c r="S130" s="50">
        <f>Saldos_Capital_Mensual!S130</f>
        <v/>
      </c>
      <c r="T130" s="50">
        <f>Saldos_Capital_Mensual!T130</f>
        <v/>
      </c>
      <c r="U130" s="50">
        <f>Saldos_Capital_Mensual!U130</f>
        <v/>
      </c>
    </row>
    <row r="131">
      <c r="A131" s="48">
        <f>Saldos_Capital_Mensual!A131</f>
        <v/>
      </c>
      <c r="B131" s="48">
        <f>Saldos_Capital_Mensual!B131</f>
        <v/>
      </c>
      <c r="C131" s="48">
        <f>Saldos_Capital_Mensual!C131</f>
        <v/>
      </c>
      <c r="D131" s="48">
        <f>Saldos_Capital_Mensual!D131</f>
        <v/>
      </c>
      <c r="E131" s="48">
        <f>Saldos_Capital_Mensual!E131</f>
        <v/>
      </c>
      <c r="F131" s="48">
        <f>Saldos_Capital_Mensual!F131</f>
        <v/>
      </c>
      <c r="G131" s="49">
        <f>Saldos_Capital_Mensual!G131</f>
        <v/>
      </c>
      <c r="H131" s="50">
        <f>Saldos_Capital_Mensual!H131</f>
        <v/>
      </c>
      <c r="I131" s="50">
        <f>Saldos_Capital_Mensual!I131</f>
        <v/>
      </c>
      <c r="J131" s="50">
        <f>Saldos_Capital_Mensual!J131</f>
        <v/>
      </c>
      <c r="K131" s="50">
        <f>Saldos_Capital_Mensual!K131</f>
        <v/>
      </c>
      <c r="L131" s="50">
        <f>Saldos_Capital_Mensual!L131</f>
        <v/>
      </c>
      <c r="M131" s="50">
        <f>Saldos_Capital_Mensual!M131</f>
        <v/>
      </c>
      <c r="N131" s="50">
        <f>Saldos_Capital_Mensual!N131</f>
        <v/>
      </c>
      <c r="O131" s="50">
        <f>Saldos_Capital_Mensual!O131</f>
        <v/>
      </c>
      <c r="P131" s="50">
        <f>Saldos_Capital_Mensual!P131</f>
        <v/>
      </c>
      <c r="Q131" s="50">
        <f>Saldos_Capital_Mensual!Q131</f>
        <v/>
      </c>
      <c r="R131" s="50">
        <f>Saldos_Capital_Mensual!R131</f>
        <v/>
      </c>
      <c r="S131" s="50">
        <f>Saldos_Capital_Mensual!S131</f>
        <v/>
      </c>
      <c r="T131" s="50">
        <f>Saldos_Capital_Mensual!T131</f>
        <v/>
      </c>
      <c r="U131" s="50">
        <f>Saldos_Capital_Mensual!U131</f>
        <v/>
      </c>
    </row>
    <row r="132">
      <c r="A132" s="48">
        <f>Saldos_Capital_Mensual!A132</f>
        <v/>
      </c>
      <c r="B132" s="48">
        <f>Saldos_Capital_Mensual!B132</f>
        <v/>
      </c>
      <c r="C132" s="48">
        <f>Saldos_Capital_Mensual!C132</f>
        <v/>
      </c>
      <c r="D132" s="48">
        <f>Saldos_Capital_Mensual!D132</f>
        <v/>
      </c>
      <c r="E132" s="48">
        <f>Saldos_Capital_Mensual!E132</f>
        <v/>
      </c>
      <c r="F132" s="48">
        <f>Saldos_Capital_Mensual!F132</f>
        <v/>
      </c>
      <c r="G132" s="49">
        <f>Saldos_Capital_Mensual!G132</f>
        <v/>
      </c>
      <c r="H132" s="50">
        <f>Saldos_Capital_Mensual!H132</f>
        <v/>
      </c>
      <c r="I132" s="50">
        <f>Saldos_Capital_Mensual!I132</f>
        <v/>
      </c>
      <c r="J132" s="50">
        <f>Saldos_Capital_Mensual!J132</f>
        <v/>
      </c>
      <c r="K132" s="50">
        <f>Saldos_Capital_Mensual!K132</f>
        <v/>
      </c>
      <c r="L132" s="50">
        <f>Saldos_Capital_Mensual!L132</f>
        <v/>
      </c>
      <c r="M132" s="50">
        <f>Saldos_Capital_Mensual!M132</f>
        <v/>
      </c>
      <c r="N132" s="50">
        <f>Saldos_Capital_Mensual!N132</f>
        <v/>
      </c>
      <c r="O132" s="50">
        <f>Saldos_Capital_Mensual!O132</f>
        <v/>
      </c>
      <c r="P132" s="50">
        <f>Saldos_Capital_Mensual!P132</f>
        <v/>
      </c>
      <c r="Q132" s="50">
        <f>Saldos_Capital_Mensual!Q132</f>
        <v/>
      </c>
      <c r="R132" s="50">
        <f>Saldos_Capital_Mensual!R132</f>
        <v/>
      </c>
      <c r="S132" s="50">
        <f>Saldos_Capital_Mensual!S132</f>
        <v/>
      </c>
      <c r="T132" s="50">
        <f>Saldos_Capital_Mensual!T132</f>
        <v/>
      </c>
      <c r="U132" s="50">
        <f>Saldos_Capital_Mensual!U132</f>
        <v/>
      </c>
    </row>
    <row r="133">
      <c r="A133" s="48">
        <f>Saldos_Capital_Mensual!A133</f>
        <v/>
      </c>
      <c r="B133" s="48">
        <f>Saldos_Capital_Mensual!B133</f>
        <v/>
      </c>
      <c r="C133" s="48">
        <f>Saldos_Capital_Mensual!C133</f>
        <v/>
      </c>
      <c r="D133" s="48">
        <f>Saldos_Capital_Mensual!D133</f>
        <v/>
      </c>
      <c r="E133" s="48">
        <f>Saldos_Capital_Mensual!E133</f>
        <v/>
      </c>
      <c r="F133" s="48">
        <f>Saldos_Capital_Mensual!F133</f>
        <v/>
      </c>
      <c r="G133" s="49">
        <f>Saldos_Capital_Mensual!G133</f>
        <v/>
      </c>
      <c r="H133" s="50">
        <f>Saldos_Capital_Mensual!H133</f>
        <v/>
      </c>
      <c r="I133" s="50">
        <f>Saldos_Capital_Mensual!I133</f>
        <v/>
      </c>
      <c r="J133" s="50">
        <f>Saldos_Capital_Mensual!J133</f>
        <v/>
      </c>
      <c r="K133" s="50">
        <f>Saldos_Capital_Mensual!K133</f>
        <v/>
      </c>
      <c r="L133" s="50">
        <f>Saldos_Capital_Mensual!L133</f>
        <v/>
      </c>
      <c r="M133" s="50">
        <f>Saldos_Capital_Mensual!M133</f>
        <v/>
      </c>
      <c r="N133" s="50">
        <f>Saldos_Capital_Mensual!N133</f>
        <v/>
      </c>
      <c r="O133" s="50">
        <f>Saldos_Capital_Mensual!O133</f>
        <v/>
      </c>
      <c r="P133" s="50">
        <f>Saldos_Capital_Mensual!P133</f>
        <v/>
      </c>
      <c r="Q133" s="50">
        <f>Saldos_Capital_Mensual!Q133</f>
        <v/>
      </c>
      <c r="R133" s="50">
        <f>Saldos_Capital_Mensual!R133</f>
        <v/>
      </c>
      <c r="S133" s="50">
        <f>Saldos_Capital_Mensual!S133</f>
        <v/>
      </c>
      <c r="T133" s="50">
        <f>Saldos_Capital_Mensual!T133</f>
        <v/>
      </c>
      <c r="U133" s="50">
        <f>Saldos_Capital_Mensual!U133</f>
        <v/>
      </c>
    </row>
    <row r="134">
      <c r="A134" s="48">
        <f>Saldos_Capital_Mensual!A134</f>
        <v/>
      </c>
      <c r="B134" s="48">
        <f>Saldos_Capital_Mensual!B134</f>
        <v/>
      </c>
      <c r="C134" s="48">
        <f>Saldos_Capital_Mensual!C134</f>
        <v/>
      </c>
      <c r="D134" s="48">
        <f>Saldos_Capital_Mensual!D134</f>
        <v/>
      </c>
      <c r="E134" s="48">
        <f>Saldos_Capital_Mensual!E134</f>
        <v/>
      </c>
      <c r="F134" s="48">
        <f>Saldos_Capital_Mensual!F134</f>
        <v/>
      </c>
      <c r="G134" s="49">
        <f>Saldos_Capital_Mensual!G134</f>
        <v/>
      </c>
      <c r="H134" s="50">
        <f>Saldos_Capital_Mensual!H134</f>
        <v/>
      </c>
      <c r="I134" s="50">
        <f>Saldos_Capital_Mensual!I134</f>
        <v/>
      </c>
      <c r="J134" s="50">
        <f>Saldos_Capital_Mensual!J134</f>
        <v/>
      </c>
      <c r="K134" s="50">
        <f>Saldos_Capital_Mensual!K134</f>
        <v/>
      </c>
      <c r="L134" s="50">
        <f>Saldos_Capital_Mensual!L134</f>
        <v/>
      </c>
      <c r="M134" s="50">
        <f>Saldos_Capital_Mensual!M134</f>
        <v/>
      </c>
      <c r="N134" s="50">
        <f>Saldos_Capital_Mensual!N134</f>
        <v/>
      </c>
      <c r="O134" s="50">
        <f>Saldos_Capital_Mensual!O134</f>
        <v/>
      </c>
      <c r="P134" s="50">
        <f>Saldos_Capital_Mensual!P134</f>
        <v/>
      </c>
      <c r="Q134" s="50">
        <f>Saldos_Capital_Mensual!Q134</f>
        <v/>
      </c>
      <c r="R134" s="50">
        <f>Saldos_Capital_Mensual!R134</f>
        <v/>
      </c>
      <c r="S134" s="50">
        <f>Saldos_Capital_Mensual!S134</f>
        <v/>
      </c>
      <c r="T134" s="50">
        <f>Saldos_Capital_Mensual!T134</f>
        <v/>
      </c>
      <c r="U134" s="50">
        <f>Saldos_Capital_Mensual!U134</f>
        <v/>
      </c>
    </row>
    <row r="135">
      <c r="A135" s="48">
        <f>Saldos_Capital_Mensual!A135</f>
        <v/>
      </c>
      <c r="B135" s="48">
        <f>Saldos_Capital_Mensual!B135</f>
        <v/>
      </c>
      <c r="C135" s="48">
        <f>Saldos_Capital_Mensual!C135</f>
        <v/>
      </c>
      <c r="D135" s="48">
        <f>Saldos_Capital_Mensual!D135</f>
        <v/>
      </c>
      <c r="E135" s="48">
        <f>Saldos_Capital_Mensual!E135</f>
        <v/>
      </c>
      <c r="F135" s="48">
        <f>Saldos_Capital_Mensual!F135</f>
        <v/>
      </c>
      <c r="G135" s="49">
        <f>Saldos_Capital_Mensual!G135</f>
        <v/>
      </c>
      <c r="H135" s="50">
        <f>Saldos_Capital_Mensual!H135</f>
        <v/>
      </c>
      <c r="I135" s="50">
        <f>Saldos_Capital_Mensual!I135</f>
        <v/>
      </c>
      <c r="J135" s="50">
        <f>Saldos_Capital_Mensual!J135</f>
        <v/>
      </c>
      <c r="K135" s="50">
        <f>Saldos_Capital_Mensual!K135</f>
        <v/>
      </c>
      <c r="L135" s="50">
        <f>Saldos_Capital_Mensual!L135</f>
        <v/>
      </c>
      <c r="M135" s="50">
        <f>Saldos_Capital_Mensual!M135</f>
        <v/>
      </c>
      <c r="N135" s="50">
        <f>Saldos_Capital_Mensual!N135</f>
        <v/>
      </c>
      <c r="O135" s="50">
        <f>Saldos_Capital_Mensual!O135</f>
        <v/>
      </c>
      <c r="P135" s="50">
        <f>Saldos_Capital_Mensual!P135</f>
        <v/>
      </c>
      <c r="Q135" s="50">
        <f>Saldos_Capital_Mensual!Q135</f>
        <v/>
      </c>
      <c r="R135" s="50">
        <f>Saldos_Capital_Mensual!R135</f>
        <v/>
      </c>
      <c r="S135" s="50">
        <f>Saldos_Capital_Mensual!S135</f>
        <v/>
      </c>
      <c r="T135" s="50">
        <f>Saldos_Capital_Mensual!T135</f>
        <v/>
      </c>
      <c r="U135" s="50">
        <f>Saldos_Capital_Mensual!U135</f>
        <v/>
      </c>
    </row>
    <row r="136">
      <c r="A136" s="48">
        <f>Saldos_Capital_Mensual!A136</f>
        <v/>
      </c>
      <c r="B136" s="48">
        <f>Saldos_Capital_Mensual!B136</f>
        <v/>
      </c>
      <c r="C136" s="48">
        <f>Saldos_Capital_Mensual!C136</f>
        <v/>
      </c>
      <c r="D136" s="48">
        <f>Saldos_Capital_Mensual!D136</f>
        <v/>
      </c>
      <c r="E136" s="48">
        <f>Saldos_Capital_Mensual!E136</f>
        <v/>
      </c>
      <c r="F136" s="48">
        <f>Saldos_Capital_Mensual!F136</f>
        <v/>
      </c>
      <c r="G136" s="49">
        <f>Saldos_Capital_Mensual!G136</f>
        <v/>
      </c>
      <c r="H136" s="50">
        <f>Saldos_Capital_Mensual!H136</f>
        <v/>
      </c>
      <c r="I136" s="50">
        <f>Saldos_Capital_Mensual!I136</f>
        <v/>
      </c>
      <c r="J136" s="50">
        <f>Saldos_Capital_Mensual!J136</f>
        <v/>
      </c>
      <c r="K136" s="50">
        <f>Saldos_Capital_Mensual!K136</f>
        <v/>
      </c>
      <c r="L136" s="50">
        <f>Saldos_Capital_Mensual!L136</f>
        <v/>
      </c>
      <c r="M136" s="50">
        <f>Saldos_Capital_Mensual!M136</f>
        <v/>
      </c>
      <c r="N136" s="50">
        <f>Saldos_Capital_Mensual!N136</f>
        <v/>
      </c>
      <c r="O136" s="50">
        <f>Saldos_Capital_Mensual!O136</f>
        <v/>
      </c>
      <c r="P136" s="50">
        <f>Saldos_Capital_Mensual!P136</f>
        <v/>
      </c>
      <c r="Q136" s="50">
        <f>Saldos_Capital_Mensual!Q136</f>
        <v/>
      </c>
      <c r="R136" s="50">
        <f>Saldos_Capital_Mensual!R136</f>
        <v/>
      </c>
      <c r="S136" s="50">
        <f>Saldos_Capital_Mensual!S136</f>
        <v/>
      </c>
      <c r="T136" s="50">
        <f>Saldos_Capital_Mensual!T136</f>
        <v/>
      </c>
      <c r="U136" s="50">
        <f>Saldos_Capital_Mensual!U136</f>
        <v/>
      </c>
    </row>
    <row r="137">
      <c r="A137" s="48">
        <f>Saldos_Capital_Mensual!A137</f>
        <v/>
      </c>
      <c r="B137" s="48">
        <f>Saldos_Capital_Mensual!B137</f>
        <v/>
      </c>
      <c r="C137" s="48">
        <f>Saldos_Capital_Mensual!C137</f>
        <v/>
      </c>
      <c r="D137" s="48">
        <f>Saldos_Capital_Mensual!D137</f>
        <v/>
      </c>
      <c r="E137" s="48">
        <f>Saldos_Capital_Mensual!E137</f>
        <v/>
      </c>
      <c r="F137" s="48">
        <f>Saldos_Capital_Mensual!F137</f>
        <v/>
      </c>
      <c r="G137" s="49">
        <f>Saldos_Capital_Mensual!G137</f>
        <v/>
      </c>
      <c r="H137" s="50">
        <f>Saldos_Capital_Mensual!H137</f>
        <v/>
      </c>
      <c r="I137" s="50">
        <f>Saldos_Capital_Mensual!I137</f>
        <v/>
      </c>
      <c r="J137" s="50">
        <f>Saldos_Capital_Mensual!J137</f>
        <v/>
      </c>
      <c r="K137" s="50">
        <f>Saldos_Capital_Mensual!K137</f>
        <v/>
      </c>
      <c r="L137" s="50">
        <f>Saldos_Capital_Mensual!L137</f>
        <v/>
      </c>
      <c r="M137" s="50">
        <f>Saldos_Capital_Mensual!M137</f>
        <v/>
      </c>
      <c r="N137" s="50">
        <f>Saldos_Capital_Mensual!N137</f>
        <v/>
      </c>
      <c r="O137" s="50">
        <f>Saldos_Capital_Mensual!O137</f>
        <v/>
      </c>
      <c r="P137" s="50">
        <f>Saldos_Capital_Mensual!P137</f>
        <v/>
      </c>
      <c r="Q137" s="50">
        <f>Saldos_Capital_Mensual!Q137</f>
        <v/>
      </c>
      <c r="R137" s="50">
        <f>Saldos_Capital_Mensual!R137</f>
        <v/>
      </c>
      <c r="S137" s="50">
        <f>Saldos_Capital_Mensual!S137</f>
        <v/>
      </c>
      <c r="T137" s="50">
        <f>Saldos_Capital_Mensual!T137</f>
        <v/>
      </c>
      <c r="U137" s="50">
        <f>Saldos_Capital_Mensual!U137</f>
        <v/>
      </c>
    </row>
    <row r="138">
      <c r="A138" s="48">
        <f>Saldos_Capital_Mensual!A138</f>
        <v/>
      </c>
      <c r="B138" s="48">
        <f>Saldos_Capital_Mensual!B138</f>
        <v/>
      </c>
      <c r="C138" s="48">
        <f>Saldos_Capital_Mensual!C138</f>
        <v/>
      </c>
      <c r="D138" s="48">
        <f>Saldos_Capital_Mensual!D138</f>
        <v/>
      </c>
      <c r="E138" s="48">
        <f>Saldos_Capital_Mensual!E138</f>
        <v/>
      </c>
      <c r="F138" s="48">
        <f>Saldos_Capital_Mensual!F138</f>
        <v/>
      </c>
      <c r="G138" s="49">
        <f>Saldos_Capital_Mensual!G138</f>
        <v/>
      </c>
      <c r="H138" s="50">
        <f>Saldos_Capital_Mensual!H138</f>
        <v/>
      </c>
      <c r="I138" s="50">
        <f>Saldos_Capital_Mensual!I138</f>
        <v/>
      </c>
      <c r="J138" s="50">
        <f>Saldos_Capital_Mensual!J138</f>
        <v/>
      </c>
      <c r="K138" s="50">
        <f>Saldos_Capital_Mensual!K138</f>
        <v/>
      </c>
      <c r="L138" s="50">
        <f>Saldos_Capital_Mensual!L138</f>
        <v/>
      </c>
      <c r="M138" s="50">
        <f>Saldos_Capital_Mensual!M138</f>
        <v/>
      </c>
      <c r="N138" s="50">
        <f>Saldos_Capital_Mensual!N138</f>
        <v/>
      </c>
      <c r="O138" s="50">
        <f>Saldos_Capital_Mensual!O138</f>
        <v/>
      </c>
      <c r="P138" s="50">
        <f>Saldos_Capital_Mensual!P138</f>
        <v/>
      </c>
      <c r="Q138" s="50">
        <f>Saldos_Capital_Mensual!Q138</f>
        <v/>
      </c>
      <c r="R138" s="50">
        <f>Saldos_Capital_Mensual!R138</f>
        <v/>
      </c>
      <c r="S138" s="50">
        <f>Saldos_Capital_Mensual!S138</f>
        <v/>
      </c>
      <c r="T138" s="50">
        <f>Saldos_Capital_Mensual!T138</f>
        <v/>
      </c>
      <c r="U138" s="50">
        <f>Saldos_Capital_Mensual!U138</f>
        <v/>
      </c>
    </row>
    <row r="139">
      <c r="A139" s="48">
        <f>Saldos_Capital_Mensual!A139</f>
        <v/>
      </c>
      <c r="B139" s="48">
        <f>Saldos_Capital_Mensual!B139</f>
        <v/>
      </c>
      <c r="C139" s="48">
        <f>Saldos_Capital_Mensual!C139</f>
        <v/>
      </c>
      <c r="D139" s="48">
        <f>Saldos_Capital_Mensual!D139</f>
        <v/>
      </c>
      <c r="E139" s="48">
        <f>Saldos_Capital_Mensual!E139</f>
        <v/>
      </c>
      <c r="F139" s="48">
        <f>Saldos_Capital_Mensual!F139</f>
        <v/>
      </c>
      <c r="G139" s="49">
        <f>Saldos_Capital_Mensual!G139</f>
        <v/>
      </c>
      <c r="H139" s="50">
        <f>Saldos_Capital_Mensual!H139</f>
        <v/>
      </c>
      <c r="I139" s="50">
        <f>Saldos_Capital_Mensual!I139</f>
        <v/>
      </c>
      <c r="J139" s="50">
        <f>Saldos_Capital_Mensual!J139</f>
        <v/>
      </c>
      <c r="K139" s="50">
        <f>Saldos_Capital_Mensual!K139</f>
        <v/>
      </c>
      <c r="L139" s="50">
        <f>Saldos_Capital_Mensual!L139</f>
        <v/>
      </c>
      <c r="M139" s="50">
        <f>Saldos_Capital_Mensual!M139</f>
        <v/>
      </c>
      <c r="N139" s="50">
        <f>Saldos_Capital_Mensual!N139</f>
        <v/>
      </c>
      <c r="O139" s="50">
        <f>Saldos_Capital_Mensual!O139</f>
        <v/>
      </c>
      <c r="P139" s="50">
        <f>Saldos_Capital_Mensual!P139</f>
        <v/>
      </c>
      <c r="Q139" s="50">
        <f>Saldos_Capital_Mensual!Q139</f>
        <v/>
      </c>
      <c r="R139" s="50">
        <f>Saldos_Capital_Mensual!R139</f>
        <v/>
      </c>
      <c r="S139" s="50">
        <f>Saldos_Capital_Mensual!S139</f>
        <v/>
      </c>
      <c r="T139" s="50">
        <f>Saldos_Capital_Mensual!T139</f>
        <v/>
      </c>
      <c r="U139" s="50">
        <f>Saldos_Capital_Mensual!U139</f>
        <v/>
      </c>
    </row>
    <row r="140">
      <c r="A140" s="48">
        <f>Saldos_Capital_Mensual!A140</f>
        <v/>
      </c>
      <c r="B140" s="48">
        <f>Saldos_Capital_Mensual!B140</f>
        <v/>
      </c>
      <c r="C140" s="48">
        <f>Saldos_Capital_Mensual!C140</f>
        <v/>
      </c>
      <c r="D140" s="48">
        <f>Saldos_Capital_Mensual!D140</f>
        <v/>
      </c>
      <c r="E140" s="48">
        <f>Saldos_Capital_Mensual!E140</f>
        <v/>
      </c>
      <c r="F140" s="48">
        <f>Saldos_Capital_Mensual!F140</f>
        <v/>
      </c>
      <c r="G140" s="49">
        <f>Saldos_Capital_Mensual!G140</f>
        <v/>
      </c>
      <c r="H140" s="50">
        <f>Saldos_Capital_Mensual!H140</f>
        <v/>
      </c>
      <c r="I140" s="50">
        <f>Saldos_Capital_Mensual!I140</f>
        <v/>
      </c>
      <c r="J140" s="50">
        <f>Saldos_Capital_Mensual!J140</f>
        <v/>
      </c>
      <c r="K140" s="50">
        <f>Saldos_Capital_Mensual!K140</f>
        <v/>
      </c>
      <c r="L140" s="50">
        <f>Saldos_Capital_Mensual!L140</f>
        <v/>
      </c>
      <c r="M140" s="50">
        <f>Saldos_Capital_Mensual!M140</f>
        <v/>
      </c>
      <c r="N140" s="50">
        <f>Saldos_Capital_Mensual!N140</f>
        <v/>
      </c>
      <c r="O140" s="50">
        <f>Saldos_Capital_Mensual!O140</f>
        <v/>
      </c>
      <c r="P140" s="50">
        <f>Saldos_Capital_Mensual!P140</f>
        <v/>
      </c>
      <c r="Q140" s="50">
        <f>Saldos_Capital_Mensual!Q140</f>
        <v/>
      </c>
      <c r="R140" s="50">
        <f>Saldos_Capital_Mensual!R140</f>
        <v/>
      </c>
      <c r="S140" s="50">
        <f>Saldos_Capital_Mensual!S140</f>
        <v/>
      </c>
      <c r="T140" s="50">
        <f>Saldos_Capital_Mensual!T140</f>
        <v/>
      </c>
      <c r="U140" s="50">
        <f>Saldos_Capital_Mensual!U140</f>
        <v/>
      </c>
    </row>
    <row r="141">
      <c r="A141" s="48">
        <f>Saldos_Capital_Mensual!A141</f>
        <v/>
      </c>
      <c r="B141" s="48">
        <f>Saldos_Capital_Mensual!B141</f>
        <v/>
      </c>
      <c r="C141" s="48">
        <f>Saldos_Capital_Mensual!C141</f>
        <v/>
      </c>
      <c r="D141" s="48">
        <f>Saldos_Capital_Mensual!D141</f>
        <v/>
      </c>
      <c r="E141" s="48">
        <f>Saldos_Capital_Mensual!E141</f>
        <v/>
      </c>
      <c r="F141" s="48">
        <f>Saldos_Capital_Mensual!F141</f>
        <v/>
      </c>
      <c r="G141" s="49">
        <f>Saldos_Capital_Mensual!G141</f>
        <v/>
      </c>
      <c r="H141" s="50">
        <f>Saldos_Capital_Mensual!H141</f>
        <v/>
      </c>
      <c r="I141" s="50">
        <f>Saldos_Capital_Mensual!I141</f>
        <v/>
      </c>
      <c r="J141" s="50">
        <f>Saldos_Capital_Mensual!J141</f>
        <v/>
      </c>
      <c r="K141" s="50">
        <f>Saldos_Capital_Mensual!K141</f>
        <v/>
      </c>
      <c r="L141" s="50">
        <f>Saldos_Capital_Mensual!L141</f>
        <v/>
      </c>
      <c r="M141" s="50">
        <f>Saldos_Capital_Mensual!M141</f>
        <v/>
      </c>
      <c r="N141" s="50">
        <f>Saldos_Capital_Mensual!N141</f>
        <v/>
      </c>
      <c r="O141" s="50">
        <f>Saldos_Capital_Mensual!O141</f>
        <v/>
      </c>
      <c r="P141" s="50">
        <f>Saldos_Capital_Mensual!P141</f>
        <v/>
      </c>
      <c r="Q141" s="50">
        <f>Saldos_Capital_Mensual!Q141</f>
        <v/>
      </c>
      <c r="R141" s="50">
        <f>Saldos_Capital_Mensual!R141</f>
        <v/>
      </c>
      <c r="S141" s="50">
        <f>Saldos_Capital_Mensual!S141</f>
        <v/>
      </c>
      <c r="T141" s="50">
        <f>Saldos_Capital_Mensual!T141</f>
        <v/>
      </c>
      <c r="U141" s="50">
        <f>Saldos_Capital_Mensual!U141</f>
        <v/>
      </c>
    </row>
    <row r="142">
      <c r="A142" s="48">
        <f>Saldos_Capital_Mensual!A142</f>
        <v/>
      </c>
      <c r="B142" s="48">
        <f>Saldos_Capital_Mensual!B142</f>
        <v/>
      </c>
      <c r="C142" s="48">
        <f>Saldos_Capital_Mensual!C142</f>
        <v/>
      </c>
      <c r="D142" s="48">
        <f>Saldos_Capital_Mensual!D142</f>
        <v/>
      </c>
      <c r="E142" s="48">
        <f>Saldos_Capital_Mensual!E142</f>
        <v/>
      </c>
      <c r="F142" s="48">
        <f>Saldos_Capital_Mensual!F142</f>
        <v/>
      </c>
      <c r="G142" s="49">
        <f>Saldos_Capital_Mensual!G142</f>
        <v/>
      </c>
      <c r="H142" s="50">
        <f>Saldos_Capital_Mensual!H142</f>
        <v/>
      </c>
      <c r="I142" s="50">
        <f>Saldos_Capital_Mensual!I142</f>
        <v/>
      </c>
      <c r="J142" s="50">
        <f>Saldos_Capital_Mensual!J142</f>
        <v/>
      </c>
      <c r="K142" s="50">
        <f>Saldos_Capital_Mensual!K142</f>
        <v/>
      </c>
      <c r="L142" s="50">
        <f>Saldos_Capital_Mensual!L142</f>
        <v/>
      </c>
      <c r="M142" s="50">
        <f>Saldos_Capital_Mensual!M142</f>
        <v/>
      </c>
      <c r="N142" s="50">
        <f>Saldos_Capital_Mensual!N142</f>
        <v/>
      </c>
      <c r="O142" s="50">
        <f>Saldos_Capital_Mensual!O142</f>
        <v/>
      </c>
      <c r="P142" s="50">
        <f>Saldos_Capital_Mensual!P142</f>
        <v/>
      </c>
      <c r="Q142" s="50">
        <f>Saldos_Capital_Mensual!Q142</f>
        <v/>
      </c>
      <c r="R142" s="50">
        <f>Saldos_Capital_Mensual!R142</f>
        <v/>
      </c>
      <c r="S142" s="50">
        <f>Saldos_Capital_Mensual!S142</f>
        <v/>
      </c>
      <c r="T142" s="50">
        <f>Saldos_Capital_Mensual!T142</f>
        <v/>
      </c>
      <c r="U142" s="50">
        <f>Saldos_Capital_Mensual!U142</f>
        <v/>
      </c>
    </row>
    <row r="143">
      <c r="A143" s="48">
        <f>Saldos_Capital_Mensual!A143</f>
        <v/>
      </c>
      <c r="B143" s="48">
        <f>Saldos_Capital_Mensual!B143</f>
        <v/>
      </c>
      <c r="C143" s="48">
        <f>Saldos_Capital_Mensual!C143</f>
        <v/>
      </c>
      <c r="D143" s="48">
        <f>Saldos_Capital_Mensual!D143</f>
        <v/>
      </c>
      <c r="E143" s="48">
        <f>Saldos_Capital_Mensual!E143</f>
        <v/>
      </c>
      <c r="F143" s="48">
        <f>Saldos_Capital_Mensual!F143</f>
        <v/>
      </c>
      <c r="G143" s="49">
        <f>Saldos_Capital_Mensual!G143</f>
        <v/>
      </c>
      <c r="H143" s="50">
        <f>Saldos_Capital_Mensual!H143</f>
        <v/>
      </c>
      <c r="I143" s="50">
        <f>Saldos_Capital_Mensual!I143</f>
        <v/>
      </c>
      <c r="J143" s="50">
        <f>Saldos_Capital_Mensual!J143</f>
        <v/>
      </c>
      <c r="K143" s="50">
        <f>Saldos_Capital_Mensual!K143</f>
        <v/>
      </c>
      <c r="L143" s="50">
        <f>Saldos_Capital_Mensual!L143</f>
        <v/>
      </c>
      <c r="M143" s="50">
        <f>Saldos_Capital_Mensual!M143</f>
        <v/>
      </c>
      <c r="N143" s="50">
        <f>Saldos_Capital_Mensual!N143</f>
        <v/>
      </c>
      <c r="O143" s="50">
        <f>Saldos_Capital_Mensual!O143</f>
        <v/>
      </c>
      <c r="P143" s="50">
        <f>Saldos_Capital_Mensual!P143</f>
        <v/>
      </c>
      <c r="Q143" s="50">
        <f>Saldos_Capital_Mensual!Q143</f>
        <v/>
      </c>
      <c r="R143" s="50">
        <f>Saldos_Capital_Mensual!R143</f>
        <v/>
      </c>
      <c r="S143" s="50">
        <f>Saldos_Capital_Mensual!S143</f>
        <v/>
      </c>
      <c r="T143" s="50">
        <f>Saldos_Capital_Mensual!T143</f>
        <v/>
      </c>
      <c r="U143" s="50">
        <f>Saldos_Capital_Mensual!U143</f>
        <v/>
      </c>
    </row>
    <row r="144">
      <c r="A144" s="48">
        <f>Saldos_Capital_Mensual!A144</f>
        <v/>
      </c>
      <c r="B144" s="48">
        <f>Saldos_Capital_Mensual!B144</f>
        <v/>
      </c>
      <c r="C144" s="48">
        <f>Saldos_Capital_Mensual!C144</f>
        <v/>
      </c>
      <c r="D144" s="48">
        <f>Saldos_Capital_Mensual!D144</f>
        <v/>
      </c>
      <c r="E144" s="48">
        <f>Saldos_Capital_Mensual!E144</f>
        <v/>
      </c>
      <c r="F144" s="48">
        <f>Saldos_Capital_Mensual!F144</f>
        <v/>
      </c>
      <c r="G144" s="49">
        <f>Saldos_Capital_Mensual!G144</f>
        <v/>
      </c>
      <c r="H144" s="50">
        <f>Saldos_Capital_Mensual!H144</f>
        <v/>
      </c>
      <c r="I144" s="50">
        <f>Saldos_Capital_Mensual!I144</f>
        <v/>
      </c>
      <c r="J144" s="50">
        <f>Saldos_Capital_Mensual!J144</f>
        <v/>
      </c>
      <c r="K144" s="50">
        <f>Saldos_Capital_Mensual!K144</f>
        <v/>
      </c>
      <c r="L144" s="50">
        <f>Saldos_Capital_Mensual!L144</f>
        <v/>
      </c>
      <c r="M144" s="50">
        <f>Saldos_Capital_Mensual!M144</f>
        <v/>
      </c>
      <c r="N144" s="50">
        <f>Saldos_Capital_Mensual!N144</f>
        <v/>
      </c>
      <c r="O144" s="50">
        <f>Saldos_Capital_Mensual!O144</f>
        <v/>
      </c>
      <c r="P144" s="50">
        <f>Saldos_Capital_Mensual!P144</f>
        <v/>
      </c>
      <c r="Q144" s="50">
        <f>Saldos_Capital_Mensual!Q144</f>
        <v/>
      </c>
      <c r="R144" s="50">
        <f>Saldos_Capital_Mensual!R144</f>
        <v/>
      </c>
      <c r="S144" s="50">
        <f>Saldos_Capital_Mensual!S144</f>
        <v/>
      </c>
      <c r="T144" s="50">
        <f>Saldos_Capital_Mensual!T144</f>
        <v/>
      </c>
      <c r="U144" s="50">
        <f>Saldos_Capital_Mensual!U144</f>
        <v/>
      </c>
    </row>
    <row r="145">
      <c r="A145" s="48">
        <f>Saldos_Capital_Mensual!A145</f>
        <v/>
      </c>
      <c r="B145" s="48">
        <f>Saldos_Capital_Mensual!B145</f>
        <v/>
      </c>
      <c r="C145" s="48">
        <f>Saldos_Capital_Mensual!C145</f>
        <v/>
      </c>
      <c r="D145" s="48">
        <f>Saldos_Capital_Mensual!D145</f>
        <v/>
      </c>
      <c r="E145" s="48">
        <f>Saldos_Capital_Mensual!E145</f>
        <v/>
      </c>
      <c r="F145" s="48">
        <f>Saldos_Capital_Mensual!F145</f>
        <v/>
      </c>
      <c r="G145" s="49">
        <f>Saldos_Capital_Mensual!G145</f>
        <v/>
      </c>
      <c r="H145" s="50">
        <f>Saldos_Capital_Mensual!H145</f>
        <v/>
      </c>
      <c r="I145" s="50">
        <f>Saldos_Capital_Mensual!I145</f>
        <v/>
      </c>
      <c r="J145" s="50">
        <f>Saldos_Capital_Mensual!J145</f>
        <v/>
      </c>
      <c r="K145" s="50">
        <f>Saldos_Capital_Mensual!K145</f>
        <v/>
      </c>
      <c r="L145" s="50">
        <f>Saldos_Capital_Mensual!L145</f>
        <v/>
      </c>
      <c r="M145" s="50">
        <f>Saldos_Capital_Mensual!M145</f>
        <v/>
      </c>
      <c r="N145" s="50">
        <f>Saldos_Capital_Mensual!N145</f>
        <v/>
      </c>
      <c r="O145" s="50">
        <f>Saldos_Capital_Mensual!O145</f>
        <v/>
      </c>
      <c r="P145" s="50">
        <f>Saldos_Capital_Mensual!P145</f>
        <v/>
      </c>
      <c r="Q145" s="50">
        <f>Saldos_Capital_Mensual!Q145</f>
        <v/>
      </c>
      <c r="R145" s="50">
        <f>Saldos_Capital_Mensual!R145</f>
        <v/>
      </c>
      <c r="S145" s="50">
        <f>Saldos_Capital_Mensual!S145</f>
        <v/>
      </c>
      <c r="T145" s="50">
        <f>Saldos_Capital_Mensual!T145</f>
        <v/>
      </c>
      <c r="U145" s="50">
        <f>Saldos_Capital_Mensual!U145</f>
        <v/>
      </c>
    </row>
    <row r="146">
      <c r="A146" s="48">
        <f>Saldos_Capital_Mensual!A146</f>
        <v/>
      </c>
      <c r="B146" s="48">
        <f>Saldos_Capital_Mensual!B146</f>
        <v/>
      </c>
      <c r="C146" s="48">
        <f>Saldos_Capital_Mensual!C146</f>
        <v/>
      </c>
      <c r="D146" s="48">
        <f>Saldos_Capital_Mensual!D146</f>
        <v/>
      </c>
      <c r="E146" s="48">
        <f>Saldos_Capital_Mensual!E146</f>
        <v/>
      </c>
      <c r="F146" s="48">
        <f>Saldos_Capital_Mensual!F146</f>
        <v/>
      </c>
      <c r="G146" s="49">
        <f>Saldos_Capital_Mensual!G146</f>
        <v/>
      </c>
      <c r="H146" s="50">
        <f>Saldos_Capital_Mensual!H146</f>
        <v/>
      </c>
      <c r="I146" s="50">
        <f>Saldos_Capital_Mensual!I146</f>
        <v/>
      </c>
      <c r="J146" s="50">
        <f>Saldos_Capital_Mensual!J146</f>
        <v/>
      </c>
      <c r="K146" s="50">
        <f>Saldos_Capital_Mensual!K146</f>
        <v/>
      </c>
      <c r="L146" s="50">
        <f>Saldos_Capital_Mensual!L146</f>
        <v/>
      </c>
      <c r="M146" s="50">
        <f>Saldos_Capital_Mensual!M146</f>
        <v/>
      </c>
      <c r="N146" s="50">
        <f>Saldos_Capital_Mensual!N146</f>
        <v/>
      </c>
      <c r="O146" s="50">
        <f>Saldos_Capital_Mensual!O146</f>
        <v/>
      </c>
      <c r="P146" s="50">
        <f>Saldos_Capital_Mensual!P146</f>
        <v/>
      </c>
      <c r="Q146" s="50">
        <f>Saldos_Capital_Mensual!Q146</f>
        <v/>
      </c>
      <c r="R146" s="50">
        <f>Saldos_Capital_Mensual!R146</f>
        <v/>
      </c>
      <c r="S146" s="50">
        <f>Saldos_Capital_Mensual!S146</f>
        <v/>
      </c>
      <c r="T146" s="50">
        <f>Saldos_Capital_Mensual!T146</f>
        <v/>
      </c>
      <c r="U146" s="50">
        <f>Saldos_Capital_Mensual!U146</f>
        <v/>
      </c>
    </row>
    <row r="147">
      <c r="A147" s="48">
        <f>Saldos_Capital_Mensual!A147</f>
        <v/>
      </c>
      <c r="B147" s="48">
        <f>Saldos_Capital_Mensual!B147</f>
        <v/>
      </c>
      <c r="C147" s="48">
        <f>Saldos_Capital_Mensual!C147</f>
        <v/>
      </c>
      <c r="D147" s="48">
        <f>Saldos_Capital_Mensual!D147</f>
        <v/>
      </c>
      <c r="E147" s="48">
        <f>Saldos_Capital_Mensual!E147</f>
        <v/>
      </c>
      <c r="F147" s="48">
        <f>Saldos_Capital_Mensual!F147</f>
        <v/>
      </c>
      <c r="G147" s="49">
        <f>Saldos_Capital_Mensual!G147</f>
        <v/>
      </c>
      <c r="H147" s="50">
        <f>Saldos_Capital_Mensual!H147</f>
        <v/>
      </c>
      <c r="I147" s="50">
        <f>Saldos_Capital_Mensual!I147</f>
        <v/>
      </c>
      <c r="J147" s="50">
        <f>Saldos_Capital_Mensual!J147</f>
        <v/>
      </c>
      <c r="K147" s="50">
        <f>Saldos_Capital_Mensual!K147</f>
        <v/>
      </c>
      <c r="L147" s="50">
        <f>Saldos_Capital_Mensual!L147</f>
        <v/>
      </c>
      <c r="M147" s="50">
        <f>Saldos_Capital_Mensual!M147</f>
        <v/>
      </c>
      <c r="N147" s="50">
        <f>Saldos_Capital_Mensual!N147</f>
        <v/>
      </c>
      <c r="O147" s="50">
        <f>Saldos_Capital_Mensual!O147</f>
        <v/>
      </c>
      <c r="P147" s="50">
        <f>Saldos_Capital_Mensual!P147</f>
        <v/>
      </c>
      <c r="Q147" s="50">
        <f>Saldos_Capital_Mensual!Q147</f>
        <v/>
      </c>
      <c r="R147" s="50">
        <f>Saldos_Capital_Mensual!R147</f>
        <v/>
      </c>
      <c r="S147" s="50">
        <f>Saldos_Capital_Mensual!S147</f>
        <v/>
      </c>
      <c r="T147" s="50">
        <f>Saldos_Capital_Mensual!T147</f>
        <v/>
      </c>
      <c r="U147" s="50">
        <f>Saldos_Capital_Mensual!U147</f>
        <v/>
      </c>
    </row>
    <row r="148">
      <c r="A148" s="48">
        <f>Saldos_Capital_Mensual!A148</f>
        <v/>
      </c>
      <c r="B148" s="48">
        <f>Saldos_Capital_Mensual!B148</f>
        <v/>
      </c>
      <c r="C148" s="48">
        <f>Saldos_Capital_Mensual!C148</f>
        <v/>
      </c>
      <c r="D148" s="48">
        <f>Saldos_Capital_Mensual!D148</f>
        <v/>
      </c>
      <c r="E148" s="48">
        <f>Saldos_Capital_Mensual!E148</f>
        <v/>
      </c>
      <c r="F148" s="48">
        <f>Saldos_Capital_Mensual!F148</f>
        <v/>
      </c>
      <c r="G148" s="49">
        <f>Saldos_Capital_Mensual!G148</f>
        <v/>
      </c>
      <c r="H148" s="50">
        <f>Saldos_Capital_Mensual!H148</f>
        <v/>
      </c>
      <c r="I148" s="50">
        <f>Saldos_Capital_Mensual!I148</f>
        <v/>
      </c>
      <c r="J148" s="50">
        <f>Saldos_Capital_Mensual!J148</f>
        <v/>
      </c>
      <c r="K148" s="50">
        <f>Saldos_Capital_Mensual!K148</f>
        <v/>
      </c>
      <c r="L148" s="50">
        <f>Saldos_Capital_Mensual!L148</f>
        <v/>
      </c>
      <c r="M148" s="50">
        <f>Saldos_Capital_Mensual!M148</f>
        <v/>
      </c>
      <c r="N148" s="50">
        <f>Saldos_Capital_Mensual!N148</f>
        <v/>
      </c>
      <c r="O148" s="50">
        <f>Saldos_Capital_Mensual!O148</f>
        <v/>
      </c>
      <c r="P148" s="50">
        <f>Saldos_Capital_Mensual!P148</f>
        <v/>
      </c>
      <c r="Q148" s="50">
        <f>Saldos_Capital_Mensual!Q148</f>
        <v/>
      </c>
      <c r="R148" s="50">
        <f>Saldos_Capital_Mensual!R148</f>
        <v/>
      </c>
      <c r="S148" s="50">
        <f>Saldos_Capital_Mensual!S148</f>
        <v/>
      </c>
      <c r="T148" s="50">
        <f>Saldos_Capital_Mensual!T148</f>
        <v/>
      </c>
      <c r="U148" s="50">
        <f>Saldos_Capital_Mensual!U148</f>
        <v/>
      </c>
    </row>
    <row r="149">
      <c r="A149" s="48">
        <f>Saldos_Capital_Mensual!A149</f>
        <v/>
      </c>
      <c r="B149" s="48">
        <f>Saldos_Capital_Mensual!B149</f>
        <v/>
      </c>
      <c r="C149" s="48">
        <f>Saldos_Capital_Mensual!C149</f>
        <v/>
      </c>
      <c r="D149" s="48">
        <f>Saldos_Capital_Mensual!D149</f>
        <v/>
      </c>
      <c r="E149" s="48">
        <f>Saldos_Capital_Mensual!E149</f>
        <v/>
      </c>
      <c r="F149" s="48">
        <f>Saldos_Capital_Mensual!F149</f>
        <v/>
      </c>
      <c r="G149" s="49">
        <f>Saldos_Capital_Mensual!G149</f>
        <v/>
      </c>
      <c r="H149" s="50">
        <f>Saldos_Capital_Mensual!H149</f>
        <v/>
      </c>
      <c r="I149" s="50">
        <f>Saldos_Capital_Mensual!I149</f>
        <v/>
      </c>
      <c r="J149" s="50">
        <f>Saldos_Capital_Mensual!J149</f>
        <v/>
      </c>
      <c r="K149" s="50">
        <f>Saldos_Capital_Mensual!K149</f>
        <v/>
      </c>
      <c r="L149" s="50">
        <f>Saldos_Capital_Mensual!L149</f>
        <v/>
      </c>
      <c r="M149" s="50">
        <f>Saldos_Capital_Mensual!M149</f>
        <v/>
      </c>
      <c r="N149" s="50">
        <f>Saldos_Capital_Mensual!N149</f>
        <v/>
      </c>
      <c r="O149" s="50">
        <f>Saldos_Capital_Mensual!O149</f>
        <v/>
      </c>
      <c r="P149" s="50">
        <f>Saldos_Capital_Mensual!P149</f>
        <v/>
      </c>
      <c r="Q149" s="50">
        <f>Saldos_Capital_Mensual!Q149</f>
        <v/>
      </c>
      <c r="R149" s="50">
        <f>Saldos_Capital_Mensual!R149</f>
        <v/>
      </c>
      <c r="S149" s="50">
        <f>Saldos_Capital_Mensual!S149</f>
        <v/>
      </c>
      <c r="T149" s="50">
        <f>Saldos_Capital_Mensual!T149</f>
        <v/>
      </c>
      <c r="U149" s="50">
        <f>Saldos_Capital_Mensual!U149</f>
        <v/>
      </c>
    </row>
    <row r="150">
      <c r="A150" s="48">
        <f>Saldos_Capital_Mensual!A150</f>
        <v/>
      </c>
      <c r="B150" s="48">
        <f>Saldos_Capital_Mensual!B150</f>
        <v/>
      </c>
      <c r="C150" s="48">
        <f>Saldos_Capital_Mensual!C150</f>
        <v/>
      </c>
      <c r="D150" s="48">
        <f>Saldos_Capital_Mensual!D150</f>
        <v/>
      </c>
      <c r="E150" s="48">
        <f>Saldos_Capital_Mensual!E150</f>
        <v/>
      </c>
      <c r="F150" s="48">
        <f>Saldos_Capital_Mensual!F150</f>
        <v/>
      </c>
      <c r="G150" s="49">
        <f>Saldos_Capital_Mensual!G150</f>
        <v/>
      </c>
      <c r="H150" s="50">
        <f>Saldos_Capital_Mensual!H150</f>
        <v/>
      </c>
      <c r="I150" s="50">
        <f>Saldos_Capital_Mensual!I150</f>
        <v/>
      </c>
      <c r="J150" s="50">
        <f>Saldos_Capital_Mensual!J150</f>
        <v/>
      </c>
      <c r="K150" s="50">
        <f>Saldos_Capital_Mensual!K150</f>
        <v/>
      </c>
      <c r="L150" s="50">
        <f>Saldos_Capital_Mensual!L150</f>
        <v/>
      </c>
      <c r="M150" s="50">
        <f>Saldos_Capital_Mensual!M150</f>
        <v/>
      </c>
      <c r="N150" s="50">
        <f>Saldos_Capital_Mensual!N150</f>
        <v/>
      </c>
      <c r="O150" s="50">
        <f>Saldos_Capital_Mensual!O150</f>
        <v/>
      </c>
      <c r="P150" s="50">
        <f>Saldos_Capital_Mensual!P150</f>
        <v/>
      </c>
      <c r="Q150" s="50">
        <f>Saldos_Capital_Mensual!Q150</f>
        <v/>
      </c>
      <c r="R150" s="50">
        <f>Saldos_Capital_Mensual!R150</f>
        <v/>
      </c>
      <c r="S150" s="50">
        <f>Saldos_Capital_Mensual!S150</f>
        <v/>
      </c>
      <c r="T150" s="50">
        <f>Saldos_Capital_Mensual!T150</f>
        <v/>
      </c>
      <c r="U150" s="50">
        <f>Saldos_Capital_Mensual!U150</f>
        <v/>
      </c>
    </row>
    <row r="151">
      <c r="A151" s="48">
        <f>Saldos_Capital_Mensual!A151</f>
        <v/>
      </c>
      <c r="B151" s="48">
        <f>Saldos_Capital_Mensual!B151</f>
        <v/>
      </c>
      <c r="C151" s="48">
        <f>Saldos_Capital_Mensual!C151</f>
        <v/>
      </c>
      <c r="D151" s="48">
        <f>Saldos_Capital_Mensual!D151</f>
        <v/>
      </c>
      <c r="E151" s="48">
        <f>Saldos_Capital_Mensual!E151</f>
        <v/>
      </c>
      <c r="F151" s="48">
        <f>Saldos_Capital_Mensual!F151</f>
        <v/>
      </c>
      <c r="G151" s="49">
        <f>Saldos_Capital_Mensual!G151</f>
        <v/>
      </c>
      <c r="H151" s="50">
        <f>Saldos_Capital_Mensual!H151</f>
        <v/>
      </c>
      <c r="I151" s="50">
        <f>Saldos_Capital_Mensual!I151</f>
        <v/>
      </c>
      <c r="J151" s="50">
        <f>Saldos_Capital_Mensual!J151</f>
        <v/>
      </c>
      <c r="K151" s="50">
        <f>Saldos_Capital_Mensual!K151</f>
        <v/>
      </c>
      <c r="L151" s="50">
        <f>Saldos_Capital_Mensual!L151</f>
        <v/>
      </c>
      <c r="M151" s="50">
        <f>Saldos_Capital_Mensual!M151</f>
        <v/>
      </c>
      <c r="N151" s="50">
        <f>Saldos_Capital_Mensual!N151</f>
        <v/>
      </c>
      <c r="O151" s="50">
        <f>Saldos_Capital_Mensual!O151</f>
        <v/>
      </c>
      <c r="P151" s="50">
        <f>Saldos_Capital_Mensual!P151</f>
        <v/>
      </c>
      <c r="Q151" s="50">
        <f>Saldos_Capital_Mensual!Q151</f>
        <v/>
      </c>
      <c r="R151" s="50">
        <f>Saldos_Capital_Mensual!R151</f>
        <v/>
      </c>
      <c r="S151" s="50">
        <f>Saldos_Capital_Mensual!S151</f>
        <v/>
      </c>
      <c r="T151" s="50">
        <f>Saldos_Capital_Mensual!T151</f>
        <v/>
      </c>
      <c r="U151" s="50">
        <f>Saldos_Capital_Mensual!U151</f>
        <v/>
      </c>
    </row>
    <row r="152">
      <c r="A152" s="48">
        <f>Saldos_Capital_Mensual!A152</f>
        <v/>
      </c>
      <c r="B152" s="48">
        <f>Saldos_Capital_Mensual!B152</f>
        <v/>
      </c>
      <c r="C152" s="48">
        <f>Saldos_Capital_Mensual!C152</f>
        <v/>
      </c>
      <c r="D152" s="48">
        <f>Saldos_Capital_Mensual!D152</f>
        <v/>
      </c>
      <c r="E152" s="48">
        <f>Saldos_Capital_Mensual!E152</f>
        <v/>
      </c>
      <c r="F152" s="48">
        <f>Saldos_Capital_Mensual!F152</f>
        <v/>
      </c>
      <c r="G152" s="49">
        <f>Saldos_Capital_Mensual!G152</f>
        <v/>
      </c>
      <c r="H152" s="50">
        <f>Saldos_Capital_Mensual!H152</f>
        <v/>
      </c>
      <c r="I152" s="50">
        <f>Saldos_Capital_Mensual!I152</f>
        <v/>
      </c>
      <c r="J152" s="50">
        <f>Saldos_Capital_Mensual!J152</f>
        <v/>
      </c>
      <c r="K152" s="50">
        <f>Saldos_Capital_Mensual!K152</f>
        <v/>
      </c>
      <c r="L152" s="50">
        <f>Saldos_Capital_Mensual!L152</f>
        <v/>
      </c>
      <c r="M152" s="50">
        <f>Saldos_Capital_Mensual!M152</f>
        <v/>
      </c>
      <c r="N152" s="50">
        <f>Saldos_Capital_Mensual!N152</f>
        <v/>
      </c>
      <c r="O152" s="50">
        <f>Saldos_Capital_Mensual!O152</f>
        <v/>
      </c>
      <c r="P152" s="50">
        <f>Saldos_Capital_Mensual!P152</f>
        <v/>
      </c>
      <c r="Q152" s="50">
        <f>Saldos_Capital_Mensual!Q152</f>
        <v/>
      </c>
      <c r="R152" s="50">
        <f>Saldos_Capital_Mensual!R152</f>
        <v/>
      </c>
      <c r="S152" s="50">
        <f>Saldos_Capital_Mensual!S152</f>
        <v/>
      </c>
      <c r="T152" s="50">
        <f>Saldos_Capital_Mensual!T152</f>
        <v/>
      </c>
      <c r="U152" s="50">
        <f>Saldos_Capital_Mensual!U152</f>
        <v/>
      </c>
    </row>
    <row r="153">
      <c r="A153" s="48">
        <f>Saldos_Capital_Mensual!A153</f>
        <v/>
      </c>
      <c r="B153" s="48">
        <f>Saldos_Capital_Mensual!B153</f>
        <v/>
      </c>
      <c r="C153" s="48">
        <f>Saldos_Capital_Mensual!C153</f>
        <v/>
      </c>
      <c r="D153" s="48">
        <f>Saldos_Capital_Mensual!D153</f>
        <v/>
      </c>
      <c r="E153" s="48">
        <f>Saldos_Capital_Mensual!E153</f>
        <v/>
      </c>
      <c r="F153" s="48">
        <f>Saldos_Capital_Mensual!F153</f>
        <v/>
      </c>
      <c r="G153" s="49">
        <f>Saldos_Capital_Mensual!G153</f>
        <v/>
      </c>
      <c r="H153" s="50">
        <f>Saldos_Capital_Mensual!H153</f>
        <v/>
      </c>
      <c r="I153" s="50">
        <f>Saldos_Capital_Mensual!I153</f>
        <v/>
      </c>
      <c r="J153" s="50">
        <f>Saldos_Capital_Mensual!J153</f>
        <v/>
      </c>
      <c r="K153" s="50">
        <f>Saldos_Capital_Mensual!K153</f>
        <v/>
      </c>
      <c r="L153" s="50">
        <f>Saldos_Capital_Mensual!L153</f>
        <v/>
      </c>
      <c r="M153" s="50">
        <f>Saldos_Capital_Mensual!M153</f>
        <v/>
      </c>
      <c r="N153" s="50">
        <f>Saldos_Capital_Mensual!N153</f>
        <v/>
      </c>
      <c r="O153" s="50">
        <f>Saldos_Capital_Mensual!O153</f>
        <v/>
      </c>
      <c r="P153" s="50">
        <f>Saldos_Capital_Mensual!P153</f>
        <v/>
      </c>
      <c r="Q153" s="50">
        <f>Saldos_Capital_Mensual!Q153</f>
        <v/>
      </c>
      <c r="R153" s="50">
        <f>Saldos_Capital_Mensual!R153</f>
        <v/>
      </c>
      <c r="S153" s="50">
        <f>Saldos_Capital_Mensual!S153</f>
        <v/>
      </c>
      <c r="T153" s="50">
        <f>Saldos_Capital_Mensual!T153</f>
        <v/>
      </c>
      <c r="U153" s="50">
        <f>Saldos_Capital_Mensual!U153</f>
        <v/>
      </c>
    </row>
    <row r="154">
      <c r="A154" s="48">
        <f>Saldos_Capital_Mensual!A154</f>
        <v/>
      </c>
      <c r="B154" s="48">
        <f>Saldos_Capital_Mensual!B154</f>
        <v/>
      </c>
      <c r="C154" s="48">
        <f>Saldos_Capital_Mensual!C154</f>
        <v/>
      </c>
      <c r="D154" s="48">
        <f>Saldos_Capital_Mensual!D154</f>
        <v/>
      </c>
      <c r="E154" s="48">
        <f>Saldos_Capital_Mensual!E154</f>
        <v/>
      </c>
      <c r="F154" s="48">
        <f>Saldos_Capital_Mensual!F154</f>
        <v/>
      </c>
      <c r="G154" s="49">
        <f>Saldos_Capital_Mensual!G154</f>
        <v/>
      </c>
      <c r="H154" s="50">
        <f>Saldos_Capital_Mensual!H154</f>
        <v/>
      </c>
      <c r="I154" s="50">
        <f>Saldos_Capital_Mensual!I154</f>
        <v/>
      </c>
      <c r="J154" s="50">
        <f>Saldos_Capital_Mensual!J154</f>
        <v/>
      </c>
      <c r="K154" s="50">
        <f>Saldos_Capital_Mensual!K154</f>
        <v/>
      </c>
      <c r="L154" s="50">
        <f>Saldos_Capital_Mensual!L154</f>
        <v/>
      </c>
      <c r="M154" s="50">
        <f>Saldos_Capital_Mensual!M154</f>
        <v/>
      </c>
      <c r="N154" s="50">
        <f>Saldos_Capital_Mensual!N154</f>
        <v/>
      </c>
      <c r="O154" s="50">
        <f>Saldos_Capital_Mensual!O154</f>
        <v/>
      </c>
      <c r="P154" s="50">
        <f>Saldos_Capital_Mensual!P154</f>
        <v/>
      </c>
      <c r="Q154" s="50">
        <f>Saldos_Capital_Mensual!Q154</f>
        <v/>
      </c>
      <c r="R154" s="50">
        <f>Saldos_Capital_Mensual!R154</f>
        <v/>
      </c>
      <c r="S154" s="50">
        <f>Saldos_Capital_Mensual!S154</f>
        <v/>
      </c>
      <c r="T154" s="50">
        <f>Saldos_Capital_Mensual!T154</f>
        <v/>
      </c>
      <c r="U154" s="50">
        <f>Saldos_Capital_Mensual!U154</f>
        <v/>
      </c>
    </row>
    <row r="155">
      <c r="A155" s="48">
        <f>Saldos_Capital_Mensual!A155</f>
        <v/>
      </c>
      <c r="B155" s="48">
        <f>Saldos_Capital_Mensual!B155</f>
        <v/>
      </c>
      <c r="C155" s="48">
        <f>Saldos_Capital_Mensual!C155</f>
        <v/>
      </c>
      <c r="D155" s="48">
        <f>Saldos_Capital_Mensual!D155</f>
        <v/>
      </c>
      <c r="E155" s="48">
        <f>Saldos_Capital_Mensual!E155</f>
        <v/>
      </c>
      <c r="F155" s="48">
        <f>Saldos_Capital_Mensual!F155</f>
        <v/>
      </c>
      <c r="G155" s="49">
        <f>Saldos_Capital_Mensual!G155</f>
        <v/>
      </c>
      <c r="H155" s="50">
        <f>Saldos_Capital_Mensual!H155</f>
        <v/>
      </c>
      <c r="I155" s="50">
        <f>Saldos_Capital_Mensual!I155</f>
        <v/>
      </c>
      <c r="J155" s="50">
        <f>Saldos_Capital_Mensual!J155</f>
        <v/>
      </c>
      <c r="K155" s="50">
        <f>Saldos_Capital_Mensual!K155</f>
        <v/>
      </c>
      <c r="L155" s="50">
        <f>Saldos_Capital_Mensual!L155</f>
        <v/>
      </c>
      <c r="M155" s="50">
        <f>Saldos_Capital_Mensual!M155</f>
        <v/>
      </c>
      <c r="N155" s="50">
        <f>Saldos_Capital_Mensual!N155</f>
        <v/>
      </c>
      <c r="O155" s="50">
        <f>Saldos_Capital_Mensual!O155</f>
        <v/>
      </c>
      <c r="P155" s="50">
        <f>Saldos_Capital_Mensual!P155</f>
        <v/>
      </c>
      <c r="Q155" s="50">
        <f>Saldos_Capital_Mensual!Q155</f>
        <v/>
      </c>
      <c r="R155" s="50">
        <f>Saldos_Capital_Mensual!R155</f>
        <v/>
      </c>
      <c r="S155" s="50">
        <f>Saldos_Capital_Mensual!S155</f>
        <v/>
      </c>
      <c r="T155" s="50">
        <f>Saldos_Capital_Mensual!T155</f>
        <v/>
      </c>
      <c r="U155" s="50">
        <f>Saldos_Capital_Mensual!U155</f>
        <v/>
      </c>
    </row>
    <row r="156">
      <c r="A156" s="48">
        <f>Saldos_Capital_Mensual!A156</f>
        <v/>
      </c>
      <c r="B156" s="48">
        <f>Saldos_Capital_Mensual!B156</f>
        <v/>
      </c>
      <c r="C156" s="48">
        <f>Saldos_Capital_Mensual!C156</f>
        <v/>
      </c>
      <c r="D156" s="48">
        <f>Saldos_Capital_Mensual!D156</f>
        <v/>
      </c>
      <c r="E156" s="48">
        <f>Saldos_Capital_Mensual!E156</f>
        <v/>
      </c>
      <c r="F156" s="48">
        <f>Saldos_Capital_Mensual!F156</f>
        <v/>
      </c>
      <c r="G156" s="49">
        <f>Saldos_Capital_Mensual!G156</f>
        <v/>
      </c>
      <c r="H156" s="50">
        <f>Saldos_Capital_Mensual!H156</f>
        <v/>
      </c>
      <c r="I156" s="50">
        <f>Saldos_Capital_Mensual!I156</f>
        <v/>
      </c>
      <c r="J156" s="50">
        <f>Saldos_Capital_Mensual!J156</f>
        <v/>
      </c>
      <c r="K156" s="50">
        <f>Saldos_Capital_Mensual!K156</f>
        <v/>
      </c>
      <c r="L156" s="50">
        <f>Saldos_Capital_Mensual!L156</f>
        <v/>
      </c>
      <c r="M156" s="50">
        <f>Saldos_Capital_Mensual!M156</f>
        <v/>
      </c>
      <c r="N156" s="50">
        <f>Saldos_Capital_Mensual!N156</f>
        <v/>
      </c>
      <c r="O156" s="50">
        <f>Saldos_Capital_Mensual!O156</f>
        <v/>
      </c>
      <c r="P156" s="50">
        <f>Saldos_Capital_Mensual!P156</f>
        <v/>
      </c>
      <c r="Q156" s="50">
        <f>Saldos_Capital_Mensual!Q156</f>
        <v/>
      </c>
      <c r="R156" s="50">
        <f>Saldos_Capital_Mensual!R156</f>
        <v/>
      </c>
      <c r="S156" s="50">
        <f>Saldos_Capital_Mensual!S156</f>
        <v/>
      </c>
      <c r="T156" s="50">
        <f>Saldos_Capital_Mensual!T156</f>
        <v/>
      </c>
      <c r="U156" s="50">
        <f>Saldos_Capital_Mensual!U156</f>
        <v/>
      </c>
    </row>
    <row r="157">
      <c r="A157" s="48">
        <f>Saldos_Capital_Mensual!A157</f>
        <v/>
      </c>
      <c r="B157" s="48">
        <f>Saldos_Capital_Mensual!B157</f>
        <v/>
      </c>
      <c r="C157" s="48">
        <f>Saldos_Capital_Mensual!C157</f>
        <v/>
      </c>
      <c r="D157" s="48">
        <f>Saldos_Capital_Mensual!D157</f>
        <v/>
      </c>
      <c r="E157" s="48">
        <f>Saldos_Capital_Mensual!E157</f>
        <v/>
      </c>
      <c r="F157" s="48">
        <f>Saldos_Capital_Mensual!F157</f>
        <v/>
      </c>
      <c r="G157" s="49">
        <f>Saldos_Capital_Mensual!G157</f>
        <v/>
      </c>
      <c r="H157" s="50">
        <f>Saldos_Capital_Mensual!H157</f>
        <v/>
      </c>
      <c r="I157" s="50">
        <f>Saldos_Capital_Mensual!I157</f>
        <v/>
      </c>
      <c r="J157" s="50">
        <f>Saldos_Capital_Mensual!J157</f>
        <v/>
      </c>
      <c r="K157" s="50">
        <f>Saldos_Capital_Mensual!K157</f>
        <v/>
      </c>
      <c r="L157" s="50">
        <f>Saldos_Capital_Mensual!L157</f>
        <v/>
      </c>
      <c r="M157" s="50">
        <f>Saldos_Capital_Mensual!M157</f>
        <v/>
      </c>
      <c r="N157" s="50">
        <f>Saldos_Capital_Mensual!N157</f>
        <v/>
      </c>
      <c r="O157" s="50">
        <f>Saldos_Capital_Mensual!O157</f>
        <v/>
      </c>
      <c r="P157" s="50">
        <f>Saldos_Capital_Mensual!P157</f>
        <v/>
      </c>
      <c r="Q157" s="50">
        <f>Saldos_Capital_Mensual!Q157</f>
        <v/>
      </c>
      <c r="R157" s="50">
        <f>Saldos_Capital_Mensual!R157</f>
        <v/>
      </c>
      <c r="S157" s="50">
        <f>Saldos_Capital_Mensual!S157</f>
        <v/>
      </c>
      <c r="T157" s="50">
        <f>Saldos_Capital_Mensual!T157</f>
        <v/>
      </c>
      <c r="U157" s="50">
        <f>Saldos_Capital_Mensual!U157</f>
        <v/>
      </c>
    </row>
    <row r="158">
      <c r="A158" s="48">
        <f>Saldos_Capital_Mensual!A158</f>
        <v/>
      </c>
      <c r="B158" s="48">
        <f>Saldos_Capital_Mensual!B158</f>
        <v/>
      </c>
      <c r="C158" s="48">
        <f>Saldos_Capital_Mensual!C158</f>
        <v/>
      </c>
      <c r="D158" s="48">
        <f>Saldos_Capital_Mensual!D158</f>
        <v/>
      </c>
      <c r="E158" s="48">
        <f>Saldos_Capital_Mensual!E158</f>
        <v/>
      </c>
      <c r="F158" s="48">
        <f>Saldos_Capital_Mensual!F158</f>
        <v/>
      </c>
      <c r="G158" s="49">
        <f>Saldos_Capital_Mensual!G158</f>
        <v/>
      </c>
      <c r="H158" s="50">
        <f>Saldos_Capital_Mensual!H158</f>
        <v/>
      </c>
      <c r="I158" s="50">
        <f>Saldos_Capital_Mensual!I158</f>
        <v/>
      </c>
      <c r="J158" s="50">
        <f>Saldos_Capital_Mensual!J158</f>
        <v/>
      </c>
      <c r="K158" s="50">
        <f>Saldos_Capital_Mensual!K158</f>
        <v/>
      </c>
      <c r="L158" s="50">
        <f>Saldos_Capital_Mensual!L158</f>
        <v/>
      </c>
      <c r="M158" s="50">
        <f>Saldos_Capital_Mensual!M158</f>
        <v/>
      </c>
      <c r="N158" s="50">
        <f>Saldos_Capital_Mensual!N158</f>
        <v/>
      </c>
      <c r="O158" s="50">
        <f>Saldos_Capital_Mensual!O158</f>
        <v/>
      </c>
      <c r="P158" s="50">
        <f>Saldos_Capital_Mensual!P158</f>
        <v/>
      </c>
      <c r="Q158" s="50">
        <f>Saldos_Capital_Mensual!Q158</f>
        <v/>
      </c>
      <c r="R158" s="50">
        <f>Saldos_Capital_Mensual!R158</f>
        <v/>
      </c>
      <c r="S158" s="50">
        <f>Saldos_Capital_Mensual!S158</f>
        <v/>
      </c>
      <c r="T158" s="50">
        <f>Saldos_Capital_Mensual!T158</f>
        <v/>
      </c>
      <c r="U158" s="50">
        <f>Saldos_Capital_Mensual!U158</f>
        <v/>
      </c>
    </row>
    <row r="159">
      <c r="A159" s="48">
        <f>Saldos_Capital_Mensual!A159</f>
        <v/>
      </c>
      <c r="B159" s="48">
        <f>Saldos_Capital_Mensual!B159</f>
        <v/>
      </c>
      <c r="C159" s="48">
        <f>Saldos_Capital_Mensual!C159</f>
        <v/>
      </c>
      <c r="D159" s="48">
        <f>Saldos_Capital_Mensual!D159</f>
        <v/>
      </c>
      <c r="E159" s="48">
        <f>Saldos_Capital_Mensual!E159</f>
        <v/>
      </c>
      <c r="F159" s="48">
        <f>Saldos_Capital_Mensual!F159</f>
        <v/>
      </c>
      <c r="G159" s="49">
        <f>Saldos_Capital_Mensual!G159</f>
        <v/>
      </c>
      <c r="H159" s="50">
        <f>Saldos_Capital_Mensual!H159</f>
        <v/>
      </c>
      <c r="I159" s="50">
        <f>Saldos_Capital_Mensual!I159</f>
        <v/>
      </c>
      <c r="J159" s="50">
        <f>Saldos_Capital_Mensual!J159</f>
        <v/>
      </c>
      <c r="K159" s="50">
        <f>Saldos_Capital_Mensual!K159</f>
        <v/>
      </c>
      <c r="L159" s="50">
        <f>Saldos_Capital_Mensual!L159</f>
        <v/>
      </c>
      <c r="M159" s="50">
        <f>Saldos_Capital_Mensual!M159</f>
        <v/>
      </c>
      <c r="N159" s="50">
        <f>Saldos_Capital_Mensual!N159</f>
        <v/>
      </c>
      <c r="O159" s="50">
        <f>Saldos_Capital_Mensual!O159</f>
        <v/>
      </c>
      <c r="P159" s="50">
        <f>Saldos_Capital_Mensual!P159</f>
        <v/>
      </c>
      <c r="Q159" s="50">
        <f>Saldos_Capital_Mensual!Q159</f>
        <v/>
      </c>
      <c r="R159" s="50">
        <f>Saldos_Capital_Mensual!R159</f>
        <v/>
      </c>
      <c r="S159" s="50">
        <f>Saldos_Capital_Mensual!S159</f>
        <v/>
      </c>
      <c r="T159" s="50">
        <f>Saldos_Capital_Mensual!T159</f>
        <v/>
      </c>
      <c r="U159" s="50">
        <f>Saldos_Capital_Mensual!U159</f>
        <v/>
      </c>
    </row>
    <row r="160">
      <c r="A160" s="48">
        <f>Saldos_Capital_Mensual!A160</f>
        <v/>
      </c>
      <c r="B160" s="48">
        <f>Saldos_Capital_Mensual!B160</f>
        <v/>
      </c>
      <c r="C160" s="48">
        <f>Saldos_Capital_Mensual!C160</f>
        <v/>
      </c>
      <c r="D160" s="48">
        <f>Saldos_Capital_Mensual!D160</f>
        <v/>
      </c>
      <c r="E160" s="48">
        <f>Saldos_Capital_Mensual!E160</f>
        <v/>
      </c>
      <c r="F160" s="48">
        <f>Saldos_Capital_Mensual!F160</f>
        <v/>
      </c>
      <c r="G160" s="49">
        <f>Saldos_Capital_Mensual!G160</f>
        <v/>
      </c>
      <c r="H160" s="50">
        <f>Saldos_Capital_Mensual!H160</f>
        <v/>
      </c>
      <c r="I160" s="50">
        <f>Saldos_Capital_Mensual!I160</f>
        <v/>
      </c>
      <c r="J160" s="50">
        <f>Saldos_Capital_Mensual!J160</f>
        <v/>
      </c>
      <c r="K160" s="50">
        <f>Saldos_Capital_Mensual!K160</f>
        <v/>
      </c>
      <c r="L160" s="50">
        <f>Saldos_Capital_Mensual!L160</f>
        <v/>
      </c>
      <c r="M160" s="50">
        <f>Saldos_Capital_Mensual!M160</f>
        <v/>
      </c>
      <c r="N160" s="50">
        <f>Saldos_Capital_Mensual!N160</f>
        <v/>
      </c>
      <c r="O160" s="50">
        <f>Saldos_Capital_Mensual!O160</f>
        <v/>
      </c>
      <c r="P160" s="50">
        <f>Saldos_Capital_Mensual!P160</f>
        <v/>
      </c>
      <c r="Q160" s="50">
        <f>Saldos_Capital_Mensual!Q160</f>
        <v/>
      </c>
      <c r="R160" s="50">
        <f>Saldos_Capital_Mensual!R160</f>
        <v/>
      </c>
      <c r="S160" s="50">
        <f>Saldos_Capital_Mensual!S160</f>
        <v/>
      </c>
      <c r="T160" s="50">
        <f>Saldos_Capital_Mensual!T160</f>
        <v/>
      </c>
      <c r="U160" s="50">
        <f>Saldos_Capital_Mensual!U160</f>
        <v/>
      </c>
    </row>
    <row r="161">
      <c r="A161" s="48">
        <f>Saldos_Capital_Mensual!A161</f>
        <v/>
      </c>
      <c r="B161" s="48">
        <f>Saldos_Capital_Mensual!B161</f>
        <v/>
      </c>
      <c r="C161" s="48">
        <f>Saldos_Capital_Mensual!C161</f>
        <v/>
      </c>
      <c r="D161" s="48">
        <f>Saldos_Capital_Mensual!D161</f>
        <v/>
      </c>
      <c r="E161" s="48">
        <f>Saldos_Capital_Mensual!E161</f>
        <v/>
      </c>
      <c r="F161" s="48">
        <f>Saldos_Capital_Mensual!F161</f>
        <v/>
      </c>
      <c r="G161" s="49">
        <f>Saldos_Capital_Mensual!G161</f>
        <v/>
      </c>
      <c r="H161" s="50">
        <f>Saldos_Capital_Mensual!H161</f>
        <v/>
      </c>
      <c r="I161" s="50">
        <f>Saldos_Capital_Mensual!I161</f>
        <v/>
      </c>
      <c r="J161" s="50">
        <f>Saldos_Capital_Mensual!J161</f>
        <v/>
      </c>
      <c r="K161" s="50">
        <f>Saldos_Capital_Mensual!K161</f>
        <v/>
      </c>
      <c r="L161" s="50">
        <f>Saldos_Capital_Mensual!L161</f>
        <v/>
      </c>
      <c r="M161" s="50">
        <f>Saldos_Capital_Mensual!M161</f>
        <v/>
      </c>
      <c r="N161" s="50">
        <f>Saldos_Capital_Mensual!N161</f>
        <v/>
      </c>
      <c r="O161" s="50">
        <f>Saldos_Capital_Mensual!O161</f>
        <v/>
      </c>
      <c r="P161" s="50">
        <f>Saldos_Capital_Mensual!P161</f>
        <v/>
      </c>
      <c r="Q161" s="50">
        <f>Saldos_Capital_Mensual!Q161</f>
        <v/>
      </c>
      <c r="R161" s="50">
        <f>Saldos_Capital_Mensual!R161</f>
        <v/>
      </c>
      <c r="S161" s="50">
        <f>Saldos_Capital_Mensual!S161</f>
        <v/>
      </c>
      <c r="T161" s="50">
        <f>Saldos_Capital_Mensual!T161</f>
        <v/>
      </c>
      <c r="U161" s="50">
        <f>Saldos_Capital_Mensual!U161</f>
        <v/>
      </c>
    </row>
    <row r="162">
      <c r="A162" s="48">
        <f>Saldos_Capital_Mensual!A162</f>
        <v/>
      </c>
      <c r="B162" s="48">
        <f>Saldos_Capital_Mensual!B162</f>
        <v/>
      </c>
      <c r="C162" s="48">
        <f>Saldos_Capital_Mensual!C162</f>
        <v/>
      </c>
      <c r="D162" s="48">
        <f>Saldos_Capital_Mensual!D162</f>
        <v/>
      </c>
      <c r="E162" s="48">
        <f>Saldos_Capital_Mensual!E162</f>
        <v/>
      </c>
      <c r="F162" s="48">
        <f>Saldos_Capital_Mensual!F162</f>
        <v/>
      </c>
      <c r="G162" s="49">
        <f>Saldos_Capital_Mensual!G162</f>
        <v/>
      </c>
      <c r="H162" s="50">
        <f>Saldos_Capital_Mensual!H162</f>
        <v/>
      </c>
      <c r="I162" s="50">
        <f>Saldos_Capital_Mensual!I162</f>
        <v/>
      </c>
      <c r="J162" s="50">
        <f>Saldos_Capital_Mensual!J162</f>
        <v/>
      </c>
      <c r="K162" s="50">
        <f>Saldos_Capital_Mensual!K162</f>
        <v/>
      </c>
      <c r="L162" s="50">
        <f>Saldos_Capital_Mensual!L162</f>
        <v/>
      </c>
      <c r="M162" s="50">
        <f>Saldos_Capital_Mensual!M162</f>
        <v/>
      </c>
      <c r="N162" s="50">
        <f>Saldos_Capital_Mensual!N162</f>
        <v/>
      </c>
      <c r="O162" s="50">
        <f>Saldos_Capital_Mensual!O162</f>
        <v/>
      </c>
      <c r="P162" s="50">
        <f>Saldos_Capital_Mensual!P162</f>
        <v/>
      </c>
      <c r="Q162" s="50">
        <f>Saldos_Capital_Mensual!Q162</f>
        <v/>
      </c>
      <c r="R162" s="50">
        <f>Saldos_Capital_Mensual!R162</f>
        <v/>
      </c>
      <c r="S162" s="50">
        <f>Saldos_Capital_Mensual!S162</f>
        <v/>
      </c>
      <c r="T162" s="50">
        <f>Saldos_Capital_Mensual!T162</f>
        <v/>
      </c>
      <c r="U162" s="50">
        <f>Saldos_Capital_Mensual!U162</f>
        <v/>
      </c>
    </row>
    <row r="163">
      <c r="A163" s="48">
        <f>Saldos_Capital_Mensual!A163</f>
        <v/>
      </c>
      <c r="B163" s="48">
        <f>Saldos_Capital_Mensual!B163</f>
        <v/>
      </c>
      <c r="C163" s="48">
        <f>Saldos_Capital_Mensual!C163</f>
        <v/>
      </c>
      <c r="D163" s="48">
        <f>Saldos_Capital_Mensual!D163</f>
        <v/>
      </c>
      <c r="E163" s="48">
        <f>Saldos_Capital_Mensual!E163</f>
        <v/>
      </c>
      <c r="F163" s="48">
        <f>Saldos_Capital_Mensual!F163</f>
        <v/>
      </c>
      <c r="G163" s="49">
        <f>Saldos_Capital_Mensual!G163</f>
        <v/>
      </c>
      <c r="H163" s="50">
        <f>Saldos_Capital_Mensual!H163</f>
        <v/>
      </c>
      <c r="I163" s="50">
        <f>Saldos_Capital_Mensual!I163</f>
        <v/>
      </c>
      <c r="J163" s="50">
        <f>Saldos_Capital_Mensual!J163</f>
        <v/>
      </c>
      <c r="K163" s="50">
        <f>Saldos_Capital_Mensual!K163</f>
        <v/>
      </c>
      <c r="L163" s="50">
        <f>Saldos_Capital_Mensual!L163</f>
        <v/>
      </c>
      <c r="M163" s="50">
        <f>Saldos_Capital_Mensual!M163</f>
        <v/>
      </c>
      <c r="N163" s="50">
        <f>Saldos_Capital_Mensual!N163</f>
        <v/>
      </c>
      <c r="O163" s="50">
        <f>Saldos_Capital_Mensual!O163</f>
        <v/>
      </c>
      <c r="P163" s="50">
        <f>Saldos_Capital_Mensual!P163</f>
        <v/>
      </c>
      <c r="Q163" s="50">
        <f>Saldos_Capital_Mensual!Q163</f>
        <v/>
      </c>
      <c r="R163" s="50">
        <f>Saldos_Capital_Mensual!R163</f>
        <v/>
      </c>
      <c r="S163" s="50">
        <f>Saldos_Capital_Mensual!S163</f>
        <v/>
      </c>
      <c r="T163" s="50">
        <f>Saldos_Capital_Mensual!T163</f>
        <v/>
      </c>
      <c r="U163" s="50">
        <f>Saldos_Capital_Mensual!U163</f>
        <v/>
      </c>
    </row>
    <row r="164">
      <c r="A164" s="48">
        <f>Saldos_Capital_Mensual!A164</f>
        <v/>
      </c>
      <c r="B164" s="48">
        <f>Saldos_Capital_Mensual!B164</f>
        <v/>
      </c>
      <c r="C164" s="48">
        <f>Saldos_Capital_Mensual!C164</f>
        <v/>
      </c>
      <c r="D164" s="48">
        <f>Saldos_Capital_Mensual!D164</f>
        <v/>
      </c>
      <c r="E164" s="48">
        <f>Saldos_Capital_Mensual!E164</f>
        <v/>
      </c>
      <c r="F164" s="48">
        <f>Saldos_Capital_Mensual!F164</f>
        <v/>
      </c>
      <c r="G164" s="49">
        <f>Saldos_Capital_Mensual!G164</f>
        <v/>
      </c>
      <c r="H164" s="50">
        <f>Saldos_Capital_Mensual!H164</f>
        <v/>
      </c>
      <c r="I164" s="50">
        <f>Saldos_Capital_Mensual!I164</f>
        <v/>
      </c>
      <c r="J164" s="50">
        <f>Saldos_Capital_Mensual!J164</f>
        <v/>
      </c>
      <c r="K164" s="50">
        <f>Saldos_Capital_Mensual!K164</f>
        <v/>
      </c>
      <c r="L164" s="50">
        <f>Saldos_Capital_Mensual!L164</f>
        <v/>
      </c>
      <c r="M164" s="50">
        <f>Saldos_Capital_Mensual!M164</f>
        <v/>
      </c>
      <c r="N164" s="50">
        <f>Saldos_Capital_Mensual!N164</f>
        <v/>
      </c>
      <c r="O164" s="50">
        <f>Saldos_Capital_Mensual!O164</f>
        <v/>
      </c>
      <c r="P164" s="50">
        <f>Saldos_Capital_Mensual!P164</f>
        <v/>
      </c>
      <c r="Q164" s="50">
        <f>Saldos_Capital_Mensual!Q164</f>
        <v/>
      </c>
      <c r="R164" s="50">
        <f>Saldos_Capital_Mensual!R164</f>
        <v/>
      </c>
      <c r="S164" s="50">
        <f>Saldos_Capital_Mensual!S164</f>
        <v/>
      </c>
      <c r="T164" s="50">
        <f>Saldos_Capital_Mensual!T164</f>
        <v/>
      </c>
      <c r="U164" s="50">
        <f>Saldos_Capital_Mensual!U164</f>
        <v/>
      </c>
    </row>
    <row r="165">
      <c r="A165" s="48">
        <f>Saldos_Capital_Mensual!A165</f>
        <v/>
      </c>
      <c r="B165" s="48">
        <f>Saldos_Capital_Mensual!B165</f>
        <v/>
      </c>
      <c r="C165" s="48">
        <f>Saldos_Capital_Mensual!C165</f>
        <v/>
      </c>
      <c r="D165" s="48">
        <f>Saldos_Capital_Mensual!D165</f>
        <v/>
      </c>
      <c r="E165" s="48">
        <f>Saldos_Capital_Mensual!E165</f>
        <v/>
      </c>
      <c r="F165" s="48">
        <f>Saldos_Capital_Mensual!F165</f>
        <v/>
      </c>
      <c r="G165" s="49">
        <f>Saldos_Capital_Mensual!G165</f>
        <v/>
      </c>
      <c r="H165" s="50">
        <f>Saldos_Capital_Mensual!H165</f>
        <v/>
      </c>
      <c r="I165" s="50">
        <f>Saldos_Capital_Mensual!I165</f>
        <v/>
      </c>
      <c r="J165" s="50">
        <f>Saldos_Capital_Mensual!J165</f>
        <v/>
      </c>
      <c r="K165" s="50">
        <f>Saldos_Capital_Mensual!K165</f>
        <v/>
      </c>
      <c r="L165" s="50">
        <f>Saldos_Capital_Mensual!L165</f>
        <v/>
      </c>
      <c r="M165" s="50">
        <f>Saldos_Capital_Mensual!M165</f>
        <v/>
      </c>
      <c r="N165" s="50">
        <f>Saldos_Capital_Mensual!N165</f>
        <v/>
      </c>
      <c r="O165" s="50">
        <f>Saldos_Capital_Mensual!O165</f>
        <v/>
      </c>
      <c r="P165" s="50">
        <f>Saldos_Capital_Mensual!P165</f>
        <v/>
      </c>
      <c r="Q165" s="50">
        <f>Saldos_Capital_Mensual!Q165</f>
        <v/>
      </c>
      <c r="R165" s="50">
        <f>Saldos_Capital_Mensual!R165</f>
        <v/>
      </c>
      <c r="S165" s="50">
        <f>Saldos_Capital_Mensual!S165</f>
        <v/>
      </c>
      <c r="T165" s="50">
        <f>Saldos_Capital_Mensual!T165</f>
        <v/>
      </c>
      <c r="U165" s="50">
        <f>Saldos_Capital_Mensual!U165</f>
        <v/>
      </c>
    </row>
    <row r="166">
      <c r="A166" s="48">
        <f>Saldos_Capital_Mensual!A166</f>
        <v/>
      </c>
      <c r="B166" s="48">
        <f>Saldos_Capital_Mensual!B166</f>
        <v/>
      </c>
      <c r="C166" s="48">
        <f>Saldos_Capital_Mensual!C166</f>
        <v/>
      </c>
      <c r="D166" s="48">
        <f>Saldos_Capital_Mensual!D166</f>
        <v/>
      </c>
      <c r="E166" s="48">
        <f>Saldos_Capital_Mensual!E166</f>
        <v/>
      </c>
      <c r="F166" s="48">
        <f>Saldos_Capital_Mensual!F166</f>
        <v/>
      </c>
      <c r="G166" s="49">
        <f>Saldos_Capital_Mensual!G166</f>
        <v/>
      </c>
      <c r="H166" s="50">
        <f>Saldos_Capital_Mensual!H166</f>
        <v/>
      </c>
      <c r="I166" s="50">
        <f>Saldos_Capital_Mensual!I166</f>
        <v/>
      </c>
      <c r="J166" s="50">
        <f>Saldos_Capital_Mensual!J166</f>
        <v/>
      </c>
      <c r="K166" s="50">
        <f>Saldos_Capital_Mensual!K166</f>
        <v/>
      </c>
      <c r="L166" s="50">
        <f>Saldos_Capital_Mensual!L166</f>
        <v/>
      </c>
      <c r="M166" s="50">
        <f>Saldos_Capital_Mensual!M166</f>
        <v/>
      </c>
      <c r="N166" s="50">
        <f>Saldos_Capital_Mensual!N166</f>
        <v/>
      </c>
      <c r="O166" s="50">
        <f>Saldos_Capital_Mensual!O166</f>
        <v/>
      </c>
      <c r="P166" s="50">
        <f>Saldos_Capital_Mensual!P166</f>
        <v/>
      </c>
      <c r="Q166" s="50">
        <f>Saldos_Capital_Mensual!Q166</f>
        <v/>
      </c>
      <c r="R166" s="50">
        <f>Saldos_Capital_Mensual!R166</f>
        <v/>
      </c>
      <c r="S166" s="50">
        <f>Saldos_Capital_Mensual!S166</f>
        <v/>
      </c>
      <c r="T166" s="50">
        <f>Saldos_Capital_Mensual!T166</f>
        <v/>
      </c>
      <c r="U166" s="50">
        <f>Saldos_Capital_Mensual!U166</f>
        <v/>
      </c>
    </row>
    <row r="167">
      <c r="A167" s="48">
        <f>Saldos_Capital_Mensual!A167</f>
        <v/>
      </c>
      <c r="B167" s="48">
        <f>Saldos_Capital_Mensual!B167</f>
        <v/>
      </c>
      <c r="C167" s="48">
        <f>Saldos_Capital_Mensual!C167</f>
        <v/>
      </c>
      <c r="D167" s="48">
        <f>Saldos_Capital_Mensual!D167</f>
        <v/>
      </c>
      <c r="E167" s="48">
        <f>Saldos_Capital_Mensual!E167</f>
        <v/>
      </c>
      <c r="F167" s="48">
        <f>Saldos_Capital_Mensual!F167</f>
        <v/>
      </c>
      <c r="G167" s="49">
        <f>Saldos_Capital_Mensual!G167</f>
        <v/>
      </c>
      <c r="H167" s="50">
        <f>Saldos_Capital_Mensual!H167</f>
        <v/>
      </c>
      <c r="I167" s="50">
        <f>Saldos_Capital_Mensual!I167</f>
        <v/>
      </c>
      <c r="J167" s="50">
        <f>Saldos_Capital_Mensual!J167</f>
        <v/>
      </c>
      <c r="K167" s="50">
        <f>Saldos_Capital_Mensual!K167</f>
        <v/>
      </c>
      <c r="L167" s="50">
        <f>Saldos_Capital_Mensual!L167</f>
        <v/>
      </c>
      <c r="M167" s="50">
        <f>Saldos_Capital_Mensual!M167</f>
        <v/>
      </c>
      <c r="N167" s="50">
        <f>Saldos_Capital_Mensual!N167</f>
        <v/>
      </c>
      <c r="O167" s="50">
        <f>Saldos_Capital_Mensual!O167</f>
        <v/>
      </c>
      <c r="P167" s="50">
        <f>Saldos_Capital_Mensual!P167</f>
        <v/>
      </c>
      <c r="Q167" s="50">
        <f>Saldos_Capital_Mensual!Q167</f>
        <v/>
      </c>
      <c r="R167" s="50">
        <f>Saldos_Capital_Mensual!R167</f>
        <v/>
      </c>
      <c r="S167" s="50">
        <f>Saldos_Capital_Mensual!S167</f>
        <v/>
      </c>
      <c r="T167" s="50">
        <f>Saldos_Capital_Mensual!T167</f>
        <v/>
      </c>
      <c r="U167" s="50">
        <f>Saldos_Capital_Mensual!U167</f>
        <v/>
      </c>
    </row>
    <row r="168">
      <c r="A168" s="48">
        <f>Saldos_Capital_Mensual!A168</f>
        <v/>
      </c>
      <c r="B168" s="48">
        <f>Saldos_Capital_Mensual!B168</f>
        <v/>
      </c>
      <c r="C168" s="48">
        <f>Saldos_Capital_Mensual!C168</f>
        <v/>
      </c>
      <c r="D168" s="48">
        <f>Saldos_Capital_Mensual!D168</f>
        <v/>
      </c>
      <c r="E168" s="48">
        <f>Saldos_Capital_Mensual!E168</f>
        <v/>
      </c>
      <c r="F168" s="48">
        <f>Saldos_Capital_Mensual!F168</f>
        <v/>
      </c>
      <c r="G168" s="49">
        <f>Saldos_Capital_Mensual!G168</f>
        <v/>
      </c>
      <c r="H168" s="50">
        <f>Saldos_Capital_Mensual!H168</f>
        <v/>
      </c>
      <c r="I168" s="50">
        <f>Saldos_Capital_Mensual!I168</f>
        <v/>
      </c>
      <c r="J168" s="50">
        <f>Saldos_Capital_Mensual!J168</f>
        <v/>
      </c>
      <c r="K168" s="50">
        <f>Saldos_Capital_Mensual!K168</f>
        <v/>
      </c>
      <c r="L168" s="50">
        <f>Saldos_Capital_Mensual!L168</f>
        <v/>
      </c>
      <c r="M168" s="50">
        <f>Saldos_Capital_Mensual!M168</f>
        <v/>
      </c>
      <c r="N168" s="50">
        <f>Saldos_Capital_Mensual!N168</f>
        <v/>
      </c>
      <c r="O168" s="50">
        <f>Saldos_Capital_Mensual!O168</f>
        <v/>
      </c>
      <c r="P168" s="50">
        <f>Saldos_Capital_Mensual!P168</f>
        <v/>
      </c>
      <c r="Q168" s="50">
        <f>Saldos_Capital_Mensual!Q168</f>
        <v/>
      </c>
      <c r="R168" s="50">
        <f>Saldos_Capital_Mensual!R168</f>
        <v/>
      </c>
      <c r="S168" s="50">
        <f>Saldos_Capital_Mensual!S168</f>
        <v/>
      </c>
      <c r="T168" s="50">
        <f>Saldos_Capital_Mensual!T168</f>
        <v/>
      </c>
      <c r="U168" s="50">
        <f>Saldos_Capital_Mensual!U168</f>
        <v/>
      </c>
    </row>
    <row r="169">
      <c r="A169" s="48">
        <f>Saldos_Capital_Mensual!A169</f>
        <v/>
      </c>
      <c r="B169" s="48">
        <f>Saldos_Capital_Mensual!B169</f>
        <v/>
      </c>
      <c r="C169" s="48">
        <f>Saldos_Capital_Mensual!C169</f>
        <v/>
      </c>
      <c r="D169" s="48">
        <f>Saldos_Capital_Mensual!D169</f>
        <v/>
      </c>
      <c r="E169" s="48">
        <f>Saldos_Capital_Mensual!E169</f>
        <v/>
      </c>
      <c r="F169" s="48">
        <f>Saldos_Capital_Mensual!F169</f>
        <v/>
      </c>
      <c r="G169" s="49">
        <f>Saldos_Capital_Mensual!G169</f>
        <v/>
      </c>
      <c r="H169" s="50">
        <f>Saldos_Capital_Mensual!H169</f>
        <v/>
      </c>
      <c r="I169" s="50">
        <f>Saldos_Capital_Mensual!I169</f>
        <v/>
      </c>
      <c r="J169" s="50">
        <f>Saldos_Capital_Mensual!J169</f>
        <v/>
      </c>
      <c r="K169" s="50">
        <f>Saldos_Capital_Mensual!K169</f>
        <v/>
      </c>
      <c r="L169" s="50">
        <f>Saldos_Capital_Mensual!L169</f>
        <v/>
      </c>
      <c r="M169" s="50">
        <f>Saldos_Capital_Mensual!M169</f>
        <v/>
      </c>
      <c r="N169" s="50">
        <f>Saldos_Capital_Mensual!N169</f>
        <v/>
      </c>
      <c r="O169" s="50">
        <f>Saldos_Capital_Mensual!O169</f>
        <v/>
      </c>
      <c r="P169" s="50">
        <f>Saldos_Capital_Mensual!P169</f>
        <v/>
      </c>
      <c r="Q169" s="50">
        <f>Saldos_Capital_Mensual!Q169</f>
        <v/>
      </c>
      <c r="R169" s="50">
        <f>Saldos_Capital_Mensual!R169</f>
        <v/>
      </c>
      <c r="S169" s="50">
        <f>Saldos_Capital_Mensual!S169</f>
        <v/>
      </c>
      <c r="T169" s="50">
        <f>Saldos_Capital_Mensual!T169</f>
        <v/>
      </c>
      <c r="U169" s="50">
        <f>Saldos_Capital_Mensual!U169</f>
        <v/>
      </c>
    </row>
    <row r="170">
      <c r="A170" s="48">
        <f>Saldos_Capital_Mensual!A170</f>
        <v/>
      </c>
      <c r="B170" s="48">
        <f>Saldos_Capital_Mensual!B170</f>
        <v/>
      </c>
      <c r="C170" s="48">
        <f>Saldos_Capital_Mensual!C170</f>
        <v/>
      </c>
      <c r="D170" s="48">
        <f>Saldos_Capital_Mensual!D170</f>
        <v/>
      </c>
      <c r="E170" s="48">
        <f>Saldos_Capital_Mensual!E170</f>
        <v/>
      </c>
      <c r="F170" s="48">
        <f>Saldos_Capital_Mensual!F170</f>
        <v/>
      </c>
      <c r="G170" s="49">
        <f>Saldos_Capital_Mensual!G170</f>
        <v/>
      </c>
      <c r="H170" s="50">
        <f>Saldos_Capital_Mensual!H170</f>
        <v/>
      </c>
      <c r="I170" s="50">
        <f>Saldos_Capital_Mensual!I170</f>
        <v/>
      </c>
      <c r="J170" s="50">
        <f>Saldos_Capital_Mensual!J170</f>
        <v/>
      </c>
      <c r="K170" s="50">
        <f>Saldos_Capital_Mensual!K170</f>
        <v/>
      </c>
      <c r="L170" s="50">
        <f>Saldos_Capital_Mensual!L170</f>
        <v/>
      </c>
      <c r="M170" s="50">
        <f>Saldos_Capital_Mensual!M170</f>
        <v/>
      </c>
      <c r="N170" s="50">
        <f>Saldos_Capital_Mensual!N170</f>
        <v/>
      </c>
      <c r="O170" s="50">
        <f>Saldos_Capital_Mensual!O170</f>
        <v/>
      </c>
      <c r="P170" s="50">
        <f>Saldos_Capital_Mensual!P170</f>
        <v/>
      </c>
      <c r="Q170" s="50">
        <f>Saldos_Capital_Mensual!Q170</f>
        <v/>
      </c>
      <c r="R170" s="50">
        <f>Saldos_Capital_Mensual!R170</f>
        <v/>
      </c>
      <c r="S170" s="50">
        <f>Saldos_Capital_Mensual!S170</f>
        <v/>
      </c>
      <c r="T170" s="50">
        <f>Saldos_Capital_Mensual!T170</f>
        <v/>
      </c>
      <c r="U170" s="50">
        <f>Saldos_Capital_Mensual!U170</f>
        <v/>
      </c>
    </row>
    <row r="171">
      <c r="A171" s="48">
        <f>Saldos_Capital_Mensual!A171</f>
        <v/>
      </c>
      <c r="B171" s="48">
        <f>Saldos_Capital_Mensual!B171</f>
        <v/>
      </c>
      <c r="C171" s="48">
        <f>Saldos_Capital_Mensual!C171</f>
        <v/>
      </c>
      <c r="D171" s="48">
        <f>Saldos_Capital_Mensual!D171</f>
        <v/>
      </c>
      <c r="E171" s="48">
        <f>Saldos_Capital_Mensual!E171</f>
        <v/>
      </c>
      <c r="F171" s="48">
        <f>Saldos_Capital_Mensual!F171</f>
        <v/>
      </c>
      <c r="G171" s="49">
        <f>Saldos_Capital_Mensual!G171</f>
        <v/>
      </c>
      <c r="H171" s="50">
        <f>Saldos_Capital_Mensual!H171</f>
        <v/>
      </c>
      <c r="I171" s="50">
        <f>Saldos_Capital_Mensual!I171</f>
        <v/>
      </c>
      <c r="J171" s="50">
        <f>Saldos_Capital_Mensual!J171</f>
        <v/>
      </c>
      <c r="K171" s="50">
        <f>Saldos_Capital_Mensual!K171</f>
        <v/>
      </c>
      <c r="L171" s="50">
        <f>Saldos_Capital_Mensual!L171</f>
        <v/>
      </c>
      <c r="M171" s="50">
        <f>Saldos_Capital_Mensual!M171</f>
        <v/>
      </c>
      <c r="N171" s="50">
        <f>Saldos_Capital_Mensual!N171</f>
        <v/>
      </c>
      <c r="O171" s="50">
        <f>Saldos_Capital_Mensual!O171</f>
        <v/>
      </c>
      <c r="P171" s="50">
        <f>Saldos_Capital_Mensual!P171</f>
        <v/>
      </c>
      <c r="Q171" s="50">
        <f>Saldos_Capital_Mensual!Q171</f>
        <v/>
      </c>
      <c r="R171" s="50">
        <f>Saldos_Capital_Mensual!R171</f>
        <v/>
      </c>
      <c r="S171" s="50">
        <f>Saldos_Capital_Mensual!S171</f>
        <v/>
      </c>
      <c r="T171" s="50">
        <f>Saldos_Capital_Mensual!T171</f>
        <v/>
      </c>
      <c r="U171" s="50">
        <f>Saldos_Capital_Mensual!U171</f>
        <v/>
      </c>
    </row>
    <row r="172">
      <c r="A172" s="48">
        <f>Saldos_Capital_Mensual!A172</f>
        <v/>
      </c>
      <c r="B172" s="48">
        <f>Saldos_Capital_Mensual!B172</f>
        <v/>
      </c>
      <c r="C172" s="48">
        <f>Saldos_Capital_Mensual!C172</f>
        <v/>
      </c>
      <c r="D172" s="48">
        <f>Saldos_Capital_Mensual!D172</f>
        <v/>
      </c>
      <c r="E172" s="48">
        <f>Saldos_Capital_Mensual!E172</f>
        <v/>
      </c>
      <c r="F172" s="48">
        <f>Saldos_Capital_Mensual!F172</f>
        <v/>
      </c>
      <c r="G172" s="49">
        <f>Saldos_Capital_Mensual!G172</f>
        <v/>
      </c>
      <c r="H172" s="50">
        <f>Saldos_Capital_Mensual!H172</f>
        <v/>
      </c>
      <c r="I172" s="50">
        <f>Saldos_Capital_Mensual!I172</f>
        <v/>
      </c>
      <c r="J172" s="50">
        <f>Saldos_Capital_Mensual!J172</f>
        <v/>
      </c>
      <c r="K172" s="50">
        <f>Saldos_Capital_Mensual!K172</f>
        <v/>
      </c>
      <c r="L172" s="50">
        <f>Saldos_Capital_Mensual!L172</f>
        <v/>
      </c>
      <c r="M172" s="50">
        <f>Saldos_Capital_Mensual!M172</f>
        <v/>
      </c>
      <c r="N172" s="50">
        <f>Saldos_Capital_Mensual!N172</f>
        <v/>
      </c>
      <c r="O172" s="50">
        <f>Saldos_Capital_Mensual!O172</f>
        <v/>
      </c>
      <c r="P172" s="50">
        <f>Saldos_Capital_Mensual!P172</f>
        <v/>
      </c>
      <c r="Q172" s="50">
        <f>Saldos_Capital_Mensual!Q172</f>
        <v/>
      </c>
      <c r="R172" s="50">
        <f>Saldos_Capital_Mensual!R172</f>
        <v/>
      </c>
      <c r="S172" s="50">
        <f>Saldos_Capital_Mensual!S172</f>
        <v/>
      </c>
      <c r="T172" s="50">
        <f>Saldos_Capital_Mensual!T172</f>
        <v/>
      </c>
      <c r="U172" s="50">
        <f>Saldos_Capital_Mensual!U172</f>
        <v/>
      </c>
    </row>
    <row r="173">
      <c r="A173" s="48">
        <f>Saldos_Capital_Mensual!A173</f>
        <v/>
      </c>
      <c r="B173" s="48">
        <f>Saldos_Capital_Mensual!B173</f>
        <v/>
      </c>
      <c r="C173" s="48">
        <f>Saldos_Capital_Mensual!C173</f>
        <v/>
      </c>
      <c r="D173" s="48">
        <f>Saldos_Capital_Mensual!D173</f>
        <v/>
      </c>
      <c r="E173" s="48">
        <f>Saldos_Capital_Mensual!E173</f>
        <v/>
      </c>
      <c r="F173" s="48">
        <f>Saldos_Capital_Mensual!F173</f>
        <v/>
      </c>
      <c r="G173" s="49">
        <f>Saldos_Capital_Mensual!G173</f>
        <v/>
      </c>
      <c r="H173" s="50">
        <f>Saldos_Capital_Mensual!H173</f>
        <v/>
      </c>
      <c r="I173" s="50">
        <f>Saldos_Capital_Mensual!I173</f>
        <v/>
      </c>
      <c r="J173" s="50">
        <f>Saldos_Capital_Mensual!J173</f>
        <v/>
      </c>
      <c r="K173" s="50">
        <f>Saldos_Capital_Mensual!K173</f>
        <v/>
      </c>
      <c r="L173" s="50">
        <f>Saldos_Capital_Mensual!L173</f>
        <v/>
      </c>
      <c r="M173" s="50">
        <f>Saldos_Capital_Mensual!M173</f>
        <v/>
      </c>
      <c r="N173" s="50">
        <f>Saldos_Capital_Mensual!N173</f>
        <v/>
      </c>
      <c r="O173" s="50">
        <f>Saldos_Capital_Mensual!O173</f>
        <v/>
      </c>
      <c r="P173" s="50">
        <f>Saldos_Capital_Mensual!P173</f>
        <v/>
      </c>
      <c r="Q173" s="50">
        <f>Saldos_Capital_Mensual!Q173</f>
        <v/>
      </c>
      <c r="R173" s="50">
        <f>Saldos_Capital_Mensual!R173</f>
        <v/>
      </c>
      <c r="S173" s="50">
        <f>Saldos_Capital_Mensual!S173</f>
        <v/>
      </c>
      <c r="T173" s="50">
        <f>Saldos_Capital_Mensual!T173</f>
        <v/>
      </c>
      <c r="U173" s="50">
        <f>Saldos_Capital_Mensual!U173</f>
        <v/>
      </c>
    </row>
    <row r="174">
      <c r="A174" s="48">
        <f>Saldos_Capital_Mensual!A174</f>
        <v/>
      </c>
      <c r="B174" s="48">
        <f>Saldos_Capital_Mensual!B174</f>
        <v/>
      </c>
      <c r="C174" s="48">
        <f>Saldos_Capital_Mensual!C174</f>
        <v/>
      </c>
      <c r="D174" s="48">
        <f>Saldos_Capital_Mensual!D174</f>
        <v/>
      </c>
      <c r="E174" s="48">
        <f>Saldos_Capital_Mensual!E174</f>
        <v/>
      </c>
      <c r="F174" s="48">
        <f>Saldos_Capital_Mensual!F174</f>
        <v/>
      </c>
      <c r="G174" s="49">
        <f>Saldos_Capital_Mensual!G174</f>
        <v/>
      </c>
      <c r="H174" s="50">
        <f>Saldos_Capital_Mensual!H174</f>
        <v/>
      </c>
      <c r="I174" s="50">
        <f>Saldos_Capital_Mensual!I174</f>
        <v/>
      </c>
      <c r="J174" s="50">
        <f>Saldos_Capital_Mensual!J174</f>
        <v/>
      </c>
      <c r="K174" s="50">
        <f>Saldos_Capital_Mensual!K174</f>
        <v/>
      </c>
      <c r="L174" s="50">
        <f>Saldos_Capital_Mensual!L174</f>
        <v/>
      </c>
      <c r="M174" s="50">
        <f>Saldos_Capital_Mensual!M174</f>
        <v/>
      </c>
      <c r="N174" s="50">
        <f>Saldos_Capital_Mensual!N174</f>
        <v/>
      </c>
      <c r="O174" s="50">
        <f>Saldos_Capital_Mensual!O174</f>
        <v/>
      </c>
      <c r="P174" s="50">
        <f>Saldos_Capital_Mensual!P174</f>
        <v/>
      </c>
      <c r="Q174" s="50">
        <f>Saldos_Capital_Mensual!Q174</f>
        <v/>
      </c>
      <c r="R174" s="50">
        <f>Saldos_Capital_Mensual!R174</f>
        <v/>
      </c>
      <c r="S174" s="50">
        <f>Saldos_Capital_Mensual!S174</f>
        <v/>
      </c>
      <c r="T174" s="50">
        <f>Saldos_Capital_Mensual!T174</f>
        <v/>
      </c>
      <c r="U174" s="50">
        <f>Saldos_Capital_Mensual!U174</f>
        <v/>
      </c>
    </row>
    <row r="175">
      <c r="A175" s="48">
        <f>Saldos_Capital_Mensual!A175</f>
        <v/>
      </c>
      <c r="B175" s="48">
        <f>Saldos_Capital_Mensual!B175</f>
        <v/>
      </c>
      <c r="C175" s="48">
        <f>Saldos_Capital_Mensual!C175</f>
        <v/>
      </c>
      <c r="D175" s="48">
        <f>Saldos_Capital_Mensual!D175</f>
        <v/>
      </c>
      <c r="E175" s="48">
        <f>Saldos_Capital_Mensual!E175</f>
        <v/>
      </c>
      <c r="F175" s="48">
        <f>Saldos_Capital_Mensual!F175</f>
        <v/>
      </c>
      <c r="G175" s="49">
        <f>Saldos_Capital_Mensual!G175</f>
        <v/>
      </c>
      <c r="H175" s="50">
        <f>Saldos_Capital_Mensual!H175</f>
        <v/>
      </c>
      <c r="I175" s="50">
        <f>Saldos_Capital_Mensual!I175</f>
        <v/>
      </c>
      <c r="J175" s="50">
        <f>Saldos_Capital_Mensual!J175</f>
        <v/>
      </c>
      <c r="K175" s="50">
        <f>Saldos_Capital_Mensual!K175</f>
        <v/>
      </c>
      <c r="L175" s="50">
        <f>Saldos_Capital_Mensual!L175</f>
        <v/>
      </c>
      <c r="M175" s="50">
        <f>Saldos_Capital_Mensual!M175</f>
        <v/>
      </c>
      <c r="N175" s="50">
        <f>Saldos_Capital_Mensual!N175</f>
        <v/>
      </c>
      <c r="O175" s="50">
        <f>Saldos_Capital_Mensual!O175</f>
        <v/>
      </c>
      <c r="P175" s="50">
        <f>Saldos_Capital_Mensual!P175</f>
        <v/>
      </c>
      <c r="Q175" s="50">
        <f>Saldos_Capital_Mensual!Q175</f>
        <v/>
      </c>
      <c r="R175" s="50">
        <f>Saldos_Capital_Mensual!R175</f>
        <v/>
      </c>
      <c r="S175" s="50">
        <f>Saldos_Capital_Mensual!S175</f>
        <v/>
      </c>
      <c r="T175" s="50">
        <f>Saldos_Capital_Mensual!T175</f>
        <v/>
      </c>
      <c r="U175" s="50">
        <f>Saldos_Capital_Mensual!U175</f>
        <v/>
      </c>
    </row>
    <row r="176">
      <c r="A176" s="48">
        <f>Saldos_Capital_Mensual!A176</f>
        <v/>
      </c>
      <c r="B176" s="48">
        <f>Saldos_Capital_Mensual!B176</f>
        <v/>
      </c>
      <c r="C176" s="48">
        <f>Saldos_Capital_Mensual!C176</f>
        <v/>
      </c>
      <c r="D176" s="48">
        <f>Saldos_Capital_Mensual!D176</f>
        <v/>
      </c>
      <c r="E176" s="48">
        <f>Saldos_Capital_Mensual!E176</f>
        <v/>
      </c>
      <c r="F176" s="48">
        <f>Saldos_Capital_Mensual!F176</f>
        <v/>
      </c>
      <c r="G176" s="49">
        <f>Saldos_Capital_Mensual!G176</f>
        <v/>
      </c>
      <c r="H176" s="50">
        <f>Saldos_Capital_Mensual!H176</f>
        <v/>
      </c>
      <c r="I176" s="50">
        <f>Saldos_Capital_Mensual!I176</f>
        <v/>
      </c>
      <c r="J176" s="50">
        <f>Saldos_Capital_Mensual!J176</f>
        <v/>
      </c>
      <c r="K176" s="50">
        <f>Saldos_Capital_Mensual!K176</f>
        <v/>
      </c>
      <c r="L176" s="50">
        <f>Saldos_Capital_Mensual!L176</f>
        <v/>
      </c>
      <c r="M176" s="50">
        <f>Saldos_Capital_Mensual!M176</f>
        <v/>
      </c>
      <c r="N176" s="50">
        <f>Saldos_Capital_Mensual!N176</f>
        <v/>
      </c>
      <c r="O176" s="50">
        <f>Saldos_Capital_Mensual!O176</f>
        <v/>
      </c>
      <c r="P176" s="50">
        <f>Saldos_Capital_Mensual!P176</f>
        <v/>
      </c>
      <c r="Q176" s="50">
        <f>Saldos_Capital_Mensual!Q176</f>
        <v/>
      </c>
      <c r="R176" s="50">
        <f>Saldos_Capital_Mensual!R176</f>
        <v/>
      </c>
      <c r="S176" s="50">
        <f>Saldos_Capital_Mensual!S176</f>
        <v/>
      </c>
      <c r="T176" s="50">
        <f>Saldos_Capital_Mensual!T176</f>
        <v/>
      </c>
      <c r="U176" s="50">
        <f>Saldos_Capital_Mensual!U176</f>
        <v/>
      </c>
    </row>
    <row r="177">
      <c r="A177" s="48">
        <f>Saldos_Capital_Mensual!A177</f>
        <v/>
      </c>
      <c r="B177" s="48">
        <f>Saldos_Capital_Mensual!B177</f>
        <v/>
      </c>
      <c r="C177" s="48">
        <f>Saldos_Capital_Mensual!C177</f>
        <v/>
      </c>
      <c r="D177" s="48">
        <f>Saldos_Capital_Mensual!D177</f>
        <v/>
      </c>
      <c r="E177" s="48">
        <f>Saldos_Capital_Mensual!E177</f>
        <v/>
      </c>
      <c r="F177" s="48">
        <f>Saldos_Capital_Mensual!F177</f>
        <v/>
      </c>
      <c r="G177" s="49">
        <f>Saldos_Capital_Mensual!G177</f>
        <v/>
      </c>
      <c r="H177" s="50">
        <f>Saldos_Capital_Mensual!H177</f>
        <v/>
      </c>
      <c r="I177" s="50">
        <f>Saldos_Capital_Mensual!I177</f>
        <v/>
      </c>
      <c r="J177" s="50">
        <f>Saldos_Capital_Mensual!J177</f>
        <v/>
      </c>
      <c r="K177" s="50">
        <f>Saldos_Capital_Mensual!K177</f>
        <v/>
      </c>
      <c r="L177" s="50">
        <f>Saldos_Capital_Mensual!L177</f>
        <v/>
      </c>
      <c r="M177" s="50">
        <f>Saldos_Capital_Mensual!M177</f>
        <v/>
      </c>
      <c r="N177" s="50">
        <f>Saldos_Capital_Mensual!N177</f>
        <v/>
      </c>
      <c r="O177" s="50">
        <f>Saldos_Capital_Mensual!O177</f>
        <v/>
      </c>
      <c r="P177" s="50">
        <f>Saldos_Capital_Mensual!P177</f>
        <v/>
      </c>
      <c r="Q177" s="50">
        <f>Saldos_Capital_Mensual!Q177</f>
        <v/>
      </c>
      <c r="R177" s="50">
        <f>Saldos_Capital_Mensual!R177</f>
        <v/>
      </c>
      <c r="S177" s="50">
        <f>Saldos_Capital_Mensual!S177</f>
        <v/>
      </c>
      <c r="T177" s="50">
        <f>Saldos_Capital_Mensual!T177</f>
        <v/>
      </c>
      <c r="U177" s="50">
        <f>Saldos_Capital_Mensual!U177</f>
        <v/>
      </c>
    </row>
    <row r="178">
      <c r="A178" s="48">
        <f>Saldos_Capital_Mensual!A178</f>
        <v/>
      </c>
      <c r="B178" s="48">
        <f>Saldos_Capital_Mensual!B178</f>
        <v/>
      </c>
      <c r="C178" s="48">
        <f>Saldos_Capital_Mensual!C178</f>
        <v/>
      </c>
      <c r="D178" s="48">
        <f>Saldos_Capital_Mensual!D178</f>
        <v/>
      </c>
      <c r="E178" s="48">
        <f>Saldos_Capital_Mensual!E178</f>
        <v/>
      </c>
      <c r="F178" s="48">
        <f>Saldos_Capital_Mensual!F178</f>
        <v/>
      </c>
      <c r="G178" s="49">
        <f>Saldos_Capital_Mensual!G178</f>
        <v/>
      </c>
      <c r="H178" s="50">
        <f>Saldos_Capital_Mensual!H178</f>
        <v/>
      </c>
      <c r="I178" s="50">
        <f>Saldos_Capital_Mensual!I178</f>
        <v/>
      </c>
      <c r="J178" s="50">
        <f>Saldos_Capital_Mensual!J178</f>
        <v/>
      </c>
      <c r="K178" s="50">
        <f>Saldos_Capital_Mensual!K178</f>
        <v/>
      </c>
      <c r="L178" s="50">
        <f>Saldos_Capital_Mensual!L178</f>
        <v/>
      </c>
      <c r="M178" s="50">
        <f>Saldos_Capital_Mensual!M178</f>
        <v/>
      </c>
      <c r="N178" s="50">
        <f>Saldos_Capital_Mensual!N178</f>
        <v/>
      </c>
      <c r="O178" s="50">
        <f>Saldos_Capital_Mensual!O178</f>
        <v/>
      </c>
      <c r="P178" s="50">
        <f>Saldos_Capital_Mensual!P178</f>
        <v/>
      </c>
      <c r="Q178" s="50">
        <f>Saldos_Capital_Mensual!Q178</f>
        <v/>
      </c>
      <c r="R178" s="50">
        <f>Saldos_Capital_Mensual!R178</f>
        <v/>
      </c>
      <c r="S178" s="50">
        <f>Saldos_Capital_Mensual!S178</f>
        <v/>
      </c>
      <c r="T178" s="50">
        <f>Saldos_Capital_Mensual!T178</f>
        <v/>
      </c>
      <c r="U178" s="50">
        <f>Saldos_Capital_Mensual!U178</f>
        <v/>
      </c>
    </row>
    <row r="179">
      <c r="A179" s="48">
        <f>Saldos_Capital_Mensual!A179</f>
        <v/>
      </c>
      <c r="B179" s="48">
        <f>Saldos_Capital_Mensual!B179</f>
        <v/>
      </c>
      <c r="C179" s="48">
        <f>Saldos_Capital_Mensual!C179</f>
        <v/>
      </c>
      <c r="D179" s="48">
        <f>Saldos_Capital_Mensual!D179</f>
        <v/>
      </c>
      <c r="E179" s="48">
        <f>Saldos_Capital_Mensual!E179</f>
        <v/>
      </c>
      <c r="F179" s="48">
        <f>Saldos_Capital_Mensual!F179</f>
        <v/>
      </c>
      <c r="G179" s="49">
        <f>Saldos_Capital_Mensual!G179</f>
        <v/>
      </c>
      <c r="H179" s="50">
        <f>Saldos_Capital_Mensual!H179</f>
        <v/>
      </c>
      <c r="I179" s="50">
        <f>Saldos_Capital_Mensual!I179</f>
        <v/>
      </c>
      <c r="J179" s="50">
        <f>Saldos_Capital_Mensual!J179</f>
        <v/>
      </c>
      <c r="K179" s="50">
        <f>Saldos_Capital_Mensual!K179</f>
        <v/>
      </c>
      <c r="L179" s="50">
        <f>Saldos_Capital_Mensual!L179</f>
        <v/>
      </c>
      <c r="M179" s="50">
        <f>Saldos_Capital_Mensual!M179</f>
        <v/>
      </c>
      <c r="N179" s="50">
        <f>Saldos_Capital_Mensual!N179</f>
        <v/>
      </c>
      <c r="O179" s="50">
        <f>Saldos_Capital_Mensual!O179</f>
        <v/>
      </c>
      <c r="P179" s="50">
        <f>Saldos_Capital_Mensual!P179</f>
        <v/>
      </c>
      <c r="Q179" s="50">
        <f>Saldos_Capital_Mensual!Q179</f>
        <v/>
      </c>
      <c r="R179" s="50">
        <f>Saldos_Capital_Mensual!R179</f>
        <v/>
      </c>
      <c r="S179" s="50">
        <f>Saldos_Capital_Mensual!S179</f>
        <v/>
      </c>
      <c r="T179" s="50">
        <f>Saldos_Capital_Mensual!T179</f>
        <v/>
      </c>
      <c r="U179" s="50">
        <f>Saldos_Capital_Mensual!U179</f>
        <v/>
      </c>
    </row>
    <row r="180">
      <c r="A180" s="48">
        <f>Saldos_Capital_Mensual!A180</f>
        <v/>
      </c>
      <c r="B180" s="48">
        <f>Saldos_Capital_Mensual!B180</f>
        <v/>
      </c>
      <c r="C180" s="48">
        <f>Saldos_Capital_Mensual!C180</f>
        <v/>
      </c>
      <c r="D180" s="48">
        <f>Saldos_Capital_Mensual!D180</f>
        <v/>
      </c>
      <c r="E180" s="48">
        <f>Saldos_Capital_Mensual!E180</f>
        <v/>
      </c>
      <c r="F180" s="48">
        <f>Saldos_Capital_Mensual!F180</f>
        <v/>
      </c>
      <c r="G180" s="49">
        <f>Saldos_Capital_Mensual!G180</f>
        <v/>
      </c>
      <c r="H180" s="50">
        <f>Saldos_Capital_Mensual!H180</f>
        <v/>
      </c>
      <c r="I180" s="50">
        <f>Saldos_Capital_Mensual!I180</f>
        <v/>
      </c>
      <c r="J180" s="50">
        <f>Saldos_Capital_Mensual!J180</f>
        <v/>
      </c>
      <c r="K180" s="50">
        <f>Saldos_Capital_Mensual!K180</f>
        <v/>
      </c>
      <c r="L180" s="50">
        <f>Saldos_Capital_Mensual!L180</f>
        <v/>
      </c>
      <c r="M180" s="50">
        <f>Saldos_Capital_Mensual!M180</f>
        <v/>
      </c>
      <c r="N180" s="50">
        <f>Saldos_Capital_Mensual!N180</f>
        <v/>
      </c>
      <c r="O180" s="50">
        <f>Saldos_Capital_Mensual!O180</f>
        <v/>
      </c>
      <c r="P180" s="50">
        <f>Saldos_Capital_Mensual!P180</f>
        <v/>
      </c>
      <c r="Q180" s="50">
        <f>Saldos_Capital_Mensual!Q180</f>
        <v/>
      </c>
      <c r="R180" s="50">
        <f>Saldos_Capital_Mensual!R180</f>
        <v/>
      </c>
      <c r="S180" s="50">
        <f>Saldos_Capital_Mensual!S180</f>
        <v/>
      </c>
      <c r="T180" s="50">
        <f>Saldos_Capital_Mensual!T180</f>
        <v/>
      </c>
      <c r="U180" s="50">
        <f>Saldos_Capital_Mensual!U180</f>
        <v/>
      </c>
    </row>
    <row r="181">
      <c r="A181" s="48">
        <f>Saldos_Capital_Mensual!A181</f>
        <v/>
      </c>
      <c r="B181" s="48">
        <f>Saldos_Capital_Mensual!B181</f>
        <v/>
      </c>
      <c r="C181" s="48">
        <f>Saldos_Capital_Mensual!C181</f>
        <v/>
      </c>
      <c r="D181" s="48">
        <f>Saldos_Capital_Mensual!D181</f>
        <v/>
      </c>
      <c r="E181" s="48">
        <f>Saldos_Capital_Mensual!E181</f>
        <v/>
      </c>
      <c r="F181" s="48">
        <f>Saldos_Capital_Mensual!F181</f>
        <v/>
      </c>
      <c r="G181" s="49">
        <f>Saldos_Capital_Mensual!G181</f>
        <v/>
      </c>
      <c r="H181" s="50">
        <f>Saldos_Capital_Mensual!H181</f>
        <v/>
      </c>
      <c r="I181" s="50">
        <f>Saldos_Capital_Mensual!I181</f>
        <v/>
      </c>
      <c r="J181" s="50">
        <f>Saldos_Capital_Mensual!J181</f>
        <v/>
      </c>
      <c r="K181" s="50">
        <f>Saldos_Capital_Mensual!K181</f>
        <v/>
      </c>
      <c r="L181" s="50">
        <f>Saldos_Capital_Mensual!L181</f>
        <v/>
      </c>
      <c r="M181" s="50">
        <f>Saldos_Capital_Mensual!M181</f>
        <v/>
      </c>
      <c r="N181" s="50">
        <f>Saldos_Capital_Mensual!N181</f>
        <v/>
      </c>
      <c r="O181" s="50">
        <f>Saldos_Capital_Mensual!O181</f>
        <v/>
      </c>
      <c r="P181" s="50">
        <f>Saldos_Capital_Mensual!P181</f>
        <v/>
      </c>
      <c r="Q181" s="50">
        <f>Saldos_Capital_Mensual!Q181</f>
        <v/>
      </c>
      <c r="R181" s="50">
        <f>Saldos_Capital_Mensual!R181</f>
        <v/>
      </c>
      <c r="S181" s="50">
        <f>Saldos_Capital_Mensual!S181</f>
        <v/>
      </c>
      <c r="T181" s="50">
        <f>Saldos_Capital_Mensual!T181</f>
        <v/>
      </c>
      <c r="U181" s="50">
        <f>Saldos_Capital_Mensual!U181</f>
        <v/>
      </c>
    </row>
    <row r="182">
      <c r="A182" s="48">
        <f>Saldos_Capital_Mensual!A182</f>
        <v/>
      </c>
      <c r="B182" s="48">
        <f>Saldos_Capital_Mensual!B182</f>
        <v/>
      </c>
      <c r="C182" s="48">
        <f>Saldos_Capital_Mensual!C182</f>
        <v/>
      </c>
      <c r="D182" s="48">
        <f>Saldos_Capital_Mensual!D182</f>
        <v/>
      </c>
      <c r="E182" s="48">
        <f>Saldos_Capital_Mensual!E182</f>
        <v/>
      </c>
      <c r="F182" s="48">
        <f>Saldos_Capital_Mensual!F182</f>
        <v/>
      </c>
      <c r="G182" s="49">
        <f>Saldos_Capital_Mensual!G182</f>
        <v/>
      </c>
      <c r="H182" s="50">
        <f>Saldos_Capital_Mensual!H182</f>
        <v/>
      </c>
      <c r="I182" s="50">
        <f>Saldos_Capital_Mensual!I182</f>
        <v/>
      </c>
      <c r="J182" s="50">
        <f>Saldos_Capital_Mensual!J182</f>
        <v/>
      </c>
      <c r="K182" s="50">
        <f>Saldos_Capital_Mensual!K182</f>
        <v/>
      </c>
      <c r="L182" s="50">
        <f>Saldos_Capital_Mensual!L182</f>
        <v/>
      </c>
      <c r="M182" s="50">
        <f>Saldos_Capital_Mensual!M182</f>
        <v/>
      </c>
      <c r="N182" s="50">
        <f>Saldos_Capital_Mensual!N182</f>
        <v/>
      </c>
      <c r="O182" s="50">
        <f>Saldos_Capital_Mensual!O182</f>
        <v/>
      </c>
      <c r="P182" s="50">
        <f>Saldos_Capital_Mensual!P182</f>
        <v/>
      </c>
      <c r="Q182" s="50">
        <f>Saldos_Capital_Mensual!Q182</f>
        <v/>
      </c>
      <c r="R182" s="50">
        <f>Saldos_Capital_Mensual!R182</f>
        <v/>
      </c>
      <c r="S182" s="50">
        <f>Saldos_Capital_Mensual!S182</f>
        <v/>
      </c>
      <c r="T182" s="50">
        <f>Saldos_Capital_Mensual!T182</f>
        <v/>
      </c>
      <c r="U182" s="50">
        <f>Saldos_Capital_Mensual!U182</f>
        <v/>
      </c>
    </row>
    <row r="183">
      <c r="A183" s="48">
        <f>Saldos_Capital_Mensual!A183</f>
        <v/>
      </c>
      <c r="B183" s="48">
        <f>Saldos_Capital_Mensual!B183</f>
        <v/>
      </c>
      <c r="C183" s="48">
        <f>Saldos_Capital_Mensual!C183</f>
        <v/>
      </c>
      <c r="D183" s="48">
        <f>Saldos_Capital_Mensual!D183</f>
        <v/>
      </c>
      <c r="E183" s="48">
        <f>Saldos_Capital_Mensual!E183</f>
        <v/>
      </c>
      <c r="F183" s="48">
        <f>Saldos_Capital_Mensual!F183</f>
        <v/>
      </c>
      <c r="G183" s="49">
        <f>Saldos_Capital_Mensual!G183</f>
        <v/>
      </c>
      <c r="H183" s="50">
        <f>Saldos_Capital_Mensual!H183</f>
        <v/>
      </c>
      <c r="I183" s="50">
        <f>Saldos_Capital_Mensual!I183</f>
        <v/>
      </c>
      <c r="J183" s="50">
        <f>Saldos_Capital_Mensual!J183</f>
        <v/>
      </c>
      <c r="K183" s="50">
        <f>Saldos_Capital_Mensual!K183</f>
        <v/>
      </c>
      <c r="L183" s="50">
        <f>Saldos_Capital_Mensual!L183</f>
        <v/>
      </c>
      <c r="M183" s="50">
        <f>Saldos_Capital_Mensual!M183</f>
        <v/>
      </c>
      <c r="N183" s="50">
        <f>Saldos_Capital_Mensual!N183</f>
        <v/>
      </c>
      <c r="O183" s="50">
        <f>Saldos_Capital_Mensual!O183</f>
        <v/>
      </c>
      <c r="P183" s="50">
        <f>Saldos_Capital_Mensual!P183</f>
        <v/>
      </c>
      <c r="Q183" s="50">
        <f>Saldos_Capital_Mensual!Q183</f>
        <v/>
      </c>
      <c r="R183" s="50">
        <f>Saldos_Capital_Mensual!R183</f>
        <v/>
      </c>
      <c r="S183" s="50">
        <f>Saldos_Capital_Mensual!S183</f>
        <v/>
      </c>
      <c r="T183" s="50">
        <f>Saldos_Capital_Mensual!T183</f>
        <v/>
      </c>
      <c r="U183" s="50">
        <f>Saldos_Capital_Mensual!U183</f>
        <v/>
      </c>
    </row>
    <row r="184">
      <c r="A184" s="48">
        <f>Saldos_Capital_Mensual!A184</f>
        <v/>
      </c>
      <c r="B184" s="48">
        <f>Saldos_Capital_Mensual!B184</f>
        <v/>
      </c>
      <c r="C184" s="48">
        <f>Saldos_Capital_Mensual!C184</f>
        <v/>
      </c>
      <c r="D184" s="48">
        <f>Saldos_Capital_Mensual!D184</f>
        <v/>
      </c>
      <c r="E184" s="48">
        <f>Saldos_Capital_Mensual!E184</f>
        <v/>
      </c>
      <c r="F184" s="48">
        <f>Saldos_Capital_Mensual!F184</f>
        <v/>
      </c>
      <c r="G184" s="49">
        <f>Saldos_Capital_Mensual!G184</f>
        <v/>
      </c>
      <c r="H184" s="50">
        <f>Saldos_Capital_Mensual!H184</f>
        <v/>
      </c>
      <c r="I184" s="50">
        <f>Saldos_Capital_Mensual!I184</f>
        <v/>
      </c>
      <c r="J184" s="50">
        <f>Saldos_Capital_Mensual!J184</f>
        <v/>
      </c>
      <c r="K184" s="50">
        <f>Saldos_Capital_Mensual!K184</f>
        <v/>
      </c>
      <c r="L184" s="50">
        <f>Saldos_Capital_Mensual!L184</f>
        <v/>
      </c>
      <c r="M184" s="50">
        <f>Saldos_Capital_Mensual!M184</f>
        <v/>
      </c>
      <c r="N184" s="50">
        <f>Saldos_Capital_Mensual!N184</f>
        <v/>
      </c>
      <c r="O184" s="50">
        <f>Saldos_Capital_Mensual!O184</f>
        <v/>
      </c>
      <c r="P184" s="50">
        <f>Saldos_Capital_Mensual!P184</f>
        <v/>
      </c>
      <c r="Q184" s="50">
        <f>Saldos_Capital_Mensual!Q184</f>
        <v/>
      </c>
      <c r="R184" s="50">
        <f>Saldos_Capital_Mensual!R184</f>
        <v/>
      </c>
      <c r="S184" s="50">
        <f>Saldos_Capital_Mensual!S184</f>
        <v/>
      </c>
      <c r="T184" s="50">
        <f>Saldos_Capital_Mensual!T184</f>
        <v/>
      </c>
      <c r="U184" s="50">
        <f>Saldos_Capital_Mensual!U184</f>
        <v/>
      </c>
    </row>
    <row r="185">
      <c r="A185" s="48">
        <f>Saldos_Capital_Mensual!A185</f>
        <v/>
      </c>
      <c r="B185" s="48">
        <f>Saldos_Capital_Mensual!B185</f>
        <v/>
      </c>
      <c r="C185" s="48">
        <f>Saldos_Capital_Mensual!C185</f>
        <v/>
      </c>
      <c r="D185" s="48">
        <f>Saldos_Capital_Mensual!D185</f>
        <v/>
      </c>
      <c r="E185" s="48">
        <f>Saldos_Capital_Mensual!E185</f>
        <v/>
      </c>
      <c r="F185" s="48">
        <f>Saldos_Capital_Mensual!F185</f>
        <v/>
      </c>
      <c r="G185" s="49">
        <f>Saldos_Capital_Mensual!G185</f>
        <v/>
      </c>
      <c r="H185" s="50">
        <f>Saldos_Capital_Mensual!H185</f>
        <v/>
      </c>
      <c r="I185" s="50">
        <f>Saldos_Capital_Mensual!I185</f>
        <v/>
      </c>
      <c r="J185" s="50">
        <f>Saldos_Capital_Mensual!J185</f>
        <v/>
      </c>
      <c r="K185" s="50">
        <f>Saldos_Capital_Mensual!K185</f>
        <v/>
      </c>
      <c r="L185" s="50">
        <f>Saldos_Capital_Mensual!L185</f>
        <v/>
      </c>
      <c r="M185" s="50">
        <f>Saldos_Capital_Mensual!M185</f>
        <v/>
      </c>
      <c r="N185" s="50">
        <f>Saldos_Capital_Mensual!N185</f>
        <v/>
      </c>
      <c r="O185" s="50">
        <f>Saldos_Capital_Mensual!O185</f>
        <v/>
      </c>
      <c r="P185" s="50">
        <f>Saldos_Capital_Mensual!P185</f>
        <v/>
      </c>
      <c r="Q185" s="50">
        <f>Saldos_Capital_Mensual!Q185</f>
        <v/>
      </c>
      <c r="R185" s="50">
        <f>Saldos_Capital_Mensual!R185</f>
        <v/>
      </c>
      <c r="S185" s="50">
        <f>Saldos_Capital_Mensual!S185</f>
        <v/>
      </c>
      <c r="T185" s="50">
        <f>Saldos_Capital_Mensual!T185</f>
        <v/>
      </c>
      <c r="U185" s="50">
        <f>Saldos_Capital_Mensual!U185</f>
        <v/>
      </c>
    </row>
    <row r="186">
      <c r="A186" s="48">
        <f>Saldos_Capital_Mensual!A186</f>
        <v/>
      </c>
      <c r="B186" s="48">
        <f>Saldos_Capital_Mensual!B186</f>
        <v/>
      </c>
      <c r="C186" s="48">
        <f>Saldos_Capital_Mensual!C186</f>
        <v/>
      </c>
      <c r="D186" s="48">
        <f>Saldos_Capital_Mensual!D186</f>
        <v/>
      </c>
      <c r="E186" s="48">
        <f>Saldos_Capital_Mensual!E186</f>
        <v/>
      </c>
      <c r="F186" s="48">
        <f>Saldos_Capital_Mensual!F186</f>
        <v/>
      </c>
      <c r="G186" s="49">
        <f>Saldos_Capital_Mensual!G186</f>
        <v/>
      </c>
      <c r="H186" s="50">
        <f>Saldos_Capital_Mensual!H186</f>
        <v/>
      </c>
      <c r="I186" s="50">
        <f>Saldos_Capital_Mensual!I186</f>
        <v/>
      </c>
      <c r="J186" s="50">
        <f>Saldos_Capital_Mensual!J186</f>
        <v/>
      </c>
      <c r="K186" s="50">
        <f>Saldos_Capital_Mensual!K186</f>
        <v/>
      </c>
      <c r="L186" s="50">
        <f>Saldos_Capital_Mensual!L186</f>
        <v/>
      </c>
      <c r="M186" s="50">
        <f>Saldos_Capital_Mensual!M186</f>
        <v/>
      </c>
      <c r="N186" s="50">
        <f>Saldos_Capital_Mensual!N186</f>
        <v/>
      </c>
      <c r="O186" s="50">
        <f>Saldos_Capital_Mensual!O186</f>
        <v/>
      </c>
      <c r="P186" s="50">
        <f>Saldos_Capital_Mensual!P186</f>
        <v/>
      </c>
      <c r="Q186" s="50">
        <f>Saldos_Capital_Mensual!Q186</f>
        <v/>
      </c>
      <c r="R186" s="50">
        <f>Saldos_Capital_Mensual!R186</f>
        <v/>
      </c>
      <c r="S186" s="50">
        <f>Saldos_Capital_Mensual!S186</f>
        <v/>
      </c>
      <c r="T186" s="50">
        <f>Saldos_Capital_Mensual!T186</f>
        <v/>
      </c>
      <c r="U186" s="50">
        <f>Saldos_Capital_Mensual!U186</f>
        <v/>
      </c>
    </row>
    <row r="187">
      <c r="A187" s="48">
        <f>Saldos_Capital_Mensual!A187</f>
        <v/>
      </c>
      <c r="B187" s="48">
        <f>Saldos_Capital_Mensual!B187</f>
        <v/>
      </c>
      <c r="C187" s="48">
        <f>Saldos_Capital_Mensual!C187</f>
        <v/>
      </c>
      <c r="D187" s="48">
        <f>Saldos_Capital_Mensual!D187</f>
        <v/>
      </c>
      <c r="E187" s="48">
        <f>Saldos_Capital_Mensual!E187</f>
        <v/>
      </c>
      <c r="F187" s="48">
        <f>Saldos_Capital_Mensual!F187</f>
        <v/>
      </c>
      <c r="G187" s="49">
        <f>Saldos_Capital_Mensual!G187</f>
        <v/>
      </c>
      <c r="H187" s="50">
        <f>Saldos_Capital_Mensual!H187</f>
        <v/>
      </c>
      <c r="I187" s="50">
        <f>Saldos_Capital_Mensual!I187</f>
        <v/>
      </c>
      <c r="J187" s="50">
        <f>Saldos_Capital_Mensual!J187</f>
        <v/>
      </c>
      <c r="K187" s="50">
        <f>Saldos_Capital_Mensual!K187</f>
        <v/>
      </c>
      <c r="L187" s="50">
        <f>Saldos_Capital_Mensual!L187</f>
        <v/>
      </c>
      <c r="M187" s="50">
        <f>Saldos_Capital_Mensual!M187</f>
        <v/>
      </c>
      <c r="N187" s="50">
        <f>Saldos_Capital_Mensual!N187</f>
        <v/>
      </c>
      <c r="O187" s="50">
        <f>Saldos_Capital_Mensual!O187</f>
        <v/>
      </c>
      <c r="P187" s="50">
        <f>Saldos_Capital_Mensual!P187</f>
        <v/>
      </c>
      <c r="Q187" s="50">
        <f>Saldos_Capital_Mensual!Q187</f>
        <v/>
      </c>
      <c r="R187" s="50">
        <f>Saldos_Capital_Mensual!R187</f>
        <v/>
      </c>
      <c r="S187" s="50">
        <f>Saldos_Capital_Mensual!S187</f>
        <v/>
      </c>
      <c r="T187" s="50">
        <f>Saldos_Capital_Mensual!T187</f>
        <v/>
      </c>
      <c r="U187" s="50">
        <f>Saldos_Capital_Mensual!U187</f>
        <v/>
      </c>
    </row>
    <row r="188">
      <c r="A188" s="48">
        <f>Saldos_Capital_Mensual!A188</f>
        <v/>
      </c>
      <c r="B188" s="48">
        <f>Saldos_Capital_Mensual!B188</f>
        <v/>
      </c>
      <c r="C188" s="48">
        <f>Saldos_Capital_Mensual!C188</f>
        <v/>
      </c>
      <c r="D188" s="48">
        <f>Saldos_Capital_Mensual!D188</f>
        <v/>
      </c>
      <c r="E188" s="48">
        <f>Saldos_Capital_Mensual!E188</f>
        <v/>
      </c>
      <c r="F188" s="48">
        <f>Saldos_Capital_Mensual!F188</f>
        <v/>
      </c>
      <c r="G188" s="49">
        <f>Saldos_Capital_Mensual!G188</f>
        <v/>
      </c>
      <c r="H188" s="50">
        <f>Saldos_Capital_Mensual!H188</f>
        <v/>
      </c>
      <c r="I188" s="50">
        <f>Saldos_Capital_Mensual!I188</f>
        <v/>
      </c>
      <c r="J188" s="50">
        <f>Saldos_Capital_Mensual!J188</f>
        <v/>
      </c>
      <c r="K188" s="50">
        <f>Saldos_Capital_Mensual!K188</f>
        <v/>
      </c>
      <c r="L188" s="50">
        <f>Saldos_Capital_Mensual!L188</f>
        <v/>
      </c>
      <c r="M188" s="50">
        <f>Saldos_Capital_Mensual!M188</f>
        <v/>
      </c>
      <c r="N188" s="50">
        <f>Saldos_Capital_Mensual!N188</f>
        <v/>
      </c>
      <c r="O188" s="50">
        <f>Saldos_Capital_Mensual!O188</f>
        <v/>
      </c>
      <c r="P188" s="50">
        <f>Saldos_Capital_Mensual!P188</f>
        <v/>
      </c>
      <c r="Q188" s="50">
        <f>Saldos_Capital_Mensual!Q188</f>
        <v/>
      </c>
      <c r="R188" s="50">
        <f>Saldos_Capital_Mensual!R188</f>
        <v/>
      </c>
      <c r="S188" s="50">
        <f>Saldos_Capital_Mensual!S188</f>
        <v/>
      </c>
      <c r="T188" s="50">
        <f>Saldos_Capital_Mensual!T188</f>
        <v/>
      </c>
      <c r="U188" s="50">
        <f>Saldos_Capital_Mensual!U188</f>
        <v/>
      </c>
    </row>
    <row r="189">
      <c r="A189" s="48">
        <f>Saldos_Capital_Mensual!A189</f>
        <v/>
      </c>
      <c r="B189" s="48">
        <f>Saldos_Capital_Mensual!B189</f>
        <v/>
      </c>
      <c r="C189" s="48">
        <f>Saldos_Capital_Mensual!C189</f>
        <v/>
      </c>
      <c r="D189" s="48">
        <f>Saldos_Capital_Mensual!D189</f>
        <v/>
      </c>
      <c r="E189" s="48">
        <f>Saldos_Capital_Mensual!E189</f>
        <v/>
      </c>
      <c r="F189" s="48">
        <f>Saldos_Capital_Mensual!F189</f>
        <v/>
      </c>
      <c r="G189" s="49">
        <f>Saldos_Capital_Mensual!G189</f>
        <v/>
      </c>
      <c r="H189" s="50">
        <f>Saldos_Capital_Mensual!H189</f>
        <v/>
      </c>
      <c r="I189" s="50">
        <f>Saldos_Capital_Mensual!I189</f>
        <v/>
      </c>
      <c r="J189" s="50">
        <f>Saldos_Capital_Mensual!J189</f>
        <v/>
      </c>
      <c r="K189" s="50">
        <f>Saldos_Capital_Mensual!K189</f>
        <v/>
      </c>
      <c r="L189" s="50">
        <f>Saldos_Capital_Mensual!L189</f>
        <v/>
      </c>
      <c r="M189" s="50">
        <f>Saldos_Capital_Mensual!M189</f>
        <v/>
      </c>
      <c r="N189" s="50">
        <f>Saldos_Capital_Mensual!N189</f>
        <v/>
      </c>
      <c r="O189" s="50">
        <f>Saldos_Capital_Mensual!O189</f>
        <v/>
      </c>
      <c r="P189" s="50">
        <f>Saldos_Capital_Mensual!P189</f>
        <v/>
      </c>
      <c r="Q189" s="50">
        <f>Saldos_Capital_Mensual!Q189</f>
        <v/>
      </c>
      <c r="R189" s="50">
        <f>Saldos_Capital_Mensual!R189</f>
        <v/>
      </c>
      <c r="S189" s="50">
        <f>Saldos_Capital_Mensual!S189</f>
        <v/>
      </c>
      <c r="T189" s="50">
        <f>Saldos_Capital_Mensual!T189</f>
        <v/>
      </c>
      <c r="U189" s="50">
        <f>Saldos_Capital_Mensual!U189</f>
        <v/>
      </c>
    </row>
    <row r="190">
      <c r="A190" s="48">
        <f>Saldos_Capital_Mensual!A190</f>
        <v/>
      </c>
      <c r="B190" s="48">
        <f>Saldos_Capital_Mensual!B190</f>
        <v/>
      </c>
      <c r="C190" s="48">
        <f>Saldos_Capital_Mensual!C190</f>
        <v/>
      </c>
      <c r="D190" s="48">
        <f>Saldos_Capital_Mensual!D190</f>
        <v/>
      </c>
      <c r="E190" s="48">
        <f>Saldos_Capital_Mensual!E190</f>
        <v/>
      </c>
      <c r="F190" s="48">
        <f>Saldos_Capital_Mensual!F190</f>
        <v/>
      </c>
      <c r="G190" s="49">
        <f>Saldos_Capital_Mensual!G190</f>
        <v/>
      </c>
      <c r="H190" s="50">
        <f>Saldos_Capital_Mensual!H190</f>
        <v/>
      </c>
      <c r="I190" s="50">
        <f>Saldos_Capital_Mensual!I190</f>
        <v/>
      </c>
      <c r="J190" s="50">
        <f>Saldos_Capital_Mensual!J190</f>
        <v/>
      </c>
      <c r="K190" s="50">
        <f>Saldos_Capital_Mensual!K190</f>
        <v/>
      </c>
      <c r="L190" s="50">
        <f>Saldos_Capital_Mensual!L190</f>
        <v/>
      </c>
      <c r="M190" s="50">
        <f>Saldos_Capital_Mensual!M190</f>
        <v/>
      </c>
      <c r="N190" s="50">
        <f>Saldos_Capital_Mensual!N190</f>
        <v/>
      </c>
      <c r="O190" s="50">
        <f>Saldos_Capital_Mensual!O190</f>
        <v/>
      </c>
      <c r="P190" s="50">
        <f>Saldos_Capital_Mensual!P190</f>
        <v/>
      </c>
      <c r="Q190" s="50">
        <f>Saldos_Capital_Mensual!Q190</f>
        <v/>
      </c>
      <c r="R190" s="50">
        <f>Saldos_Capital_Mensual!R190</f>
        <v/>
      </c>
      <c r="S190" s="50">
        <f>Saldos_Capital_Mensual!S190</f>
        <v/>
      </c>
      <c r="T190" s="50">
        <f>Saldos_Capital_Mensual!T190</f>
        <v/>
      </c>
      <c r="U190" s="50">
        <f>Saldos_Capital_Mensual!U190</f>
        <v/>
      </c>
    </row>
    <row r="191">
      <c r="A191" s="48">
        <f>Saldos_Capital_Mensual!A191</f>
        <v/>
      </c>
      <c r="B191" s="48">
        <f>Saldos_Capital_Mensual!B191</f>
        <v/>
      </c>
      <c r="C191" s="48">
        <f>Saldos_Capital_Mensual!C191</f>
        <v/>
      </c>
      <c r="D191" s="48">
        <f>Saldos_Capital_Mensual!D191</f>
        <v/>
      </c>
      <c r="E191" s="48">
        <f>Saldos_Capital_Mensual!E191</f>
        <v/>
      </c>
      <c r="F191" s="48">
        <f>Saldos_Capital_Mensual!F191</f>
        <v/>
      </c>
      <c r="G191" s="49">
        <f>Saldos_Capital_Mensual!G191</f>
        <v/>
      </c>
      <c r="H191" s="50">
        <f>Saldos_Capital_Mensual!H191</f>
        <v/>
      </c>
      <c r="I191" s="50">
        <f>Saldos_Capital_Mensual!I191</f>
        <v/>
      </c>
      <c r="J191" s="50">
        <f>Saldos_Capital_Mensual!J191</f>
        <v/>
      </c>
      <c r="K191" s="50">
        <f>Saldos_Capital_Mensual!K191</f>
        <v/>
      </c>
      <c r="L191" s="50">
        <f>Saldos_Capital_Mensual!L191</f>
        <v/>
      </c>
      <c r="M191" s="50">
        <f>Saldos_Capital_Mensual!M191</f>
        <v/>
      </c>
      <c r="N191" s="50">
        <f>Saldos_Capital_Mensual!N191</f>
        <v/>
      </c>
      <c r="O191" s="50">
        <f>Saldos_Capital_Mensual!O191</f>
        <v/>
      </c>
      <c r="P191" s="50">
        <f>Saldos_Capital_Mensual!P191</f>
        <v/>
      </c>
      <c r="Q191" s="50">
        <f>Saldos_Capital_Mensual!Q191</f>
        <v/>
      </c>
      <c r="R191" s="50">
        <f>Saldos_Capital_Mensual!R191</f>
        <v/>
      </c>
      <c r="S191" s="50">
        <f>Saldos_Capital_Mensual!S191</f>
        <v/>
      </c>
      <c r="T191" s="50">
        <f>Saldos_Capital_Mensual!T191</f>
        <v/>
      </c>
      <c r="U191" s="50">
        <f>Saldos_Capital_Mensual!U191</f>
        <v/>
      </c>
    </row>
    <row r="192">
      <c r="A192" s="48">
        <f>Saldos_Capital_Mensual!A192</f>
        <v/>
      </c>
      <c r="B192" s="48">
        <f>Saldos_Capital_Mensual!B192</f>
        <v/>
      </c>
      <c r="C192" s="48">
        <f>Saldos_Capital_Mensual!C192</f>
        <v/>
      </c>
      <c r="D192" s="48">
        <f>Saldos_Capital_Mensual!D192</f>
        <v/>
      </c>
      <c r="E192" s="48">
        <f>Saldos_Capital_Mensual!E192</f>
        <v/>
      </c>
      <c r="F192" s="48">
        <f>Saldos_Capital_Mensual!F192</f>
        <v/>
      </c>
      <c r="G192" s="49">
        <f>Saldos_Capital_Mensual!G192</f>
        <v/>
      </c>
      <c r="H192" s="50">
        <f>Saldos_Capital_Mensual!H192</f>
        <v/>
      </c>
      <c r="I192" s="50">
        <f>Saldos_Capital_Mensual!I192</f>
        <v/>
      </c>
      <c r="J192" s="50">
        <f>Saldos_Capital_Mensual!J192</f>
        <v/>
      </c>
      <c r="K192" s="50">
        <f>Saldos_Capital_Mensual!K192</f>
        <v/>
      </c>
      <c r="L192" s="50">
        <f>Saldos_Capital_Mensual!L192</f>
        <v/>
      </c>
      <c r="M192" s="50">
        <f>Saldos_Capital_Mensual!M192</f>
        <v/>
      </c>
      <c r="N192" s="50">
        <f>Saldos_Capital_Mensual!N192</f>
        <v/>
      </c>
      <c r="O192" s="50">
        <f>Saldos_Capital_Mensual!O192</f>
        <v/>
      </c>
      <c r="P192" s="50">
        <f>Saldos_Capital_Mensual!P192</f>
        <v/>
      </c>
      <c r="Q192" s="50">
        <f>Saldos_Capital_Mensual!Q192</f>
        <v/>
      </c>
      <c r="R192" s="50">
        <f>Saldos_Capital_Mensual!R192</f>
        <v/>
      </c>
      <c r="S192" s="50">
        <f>Saldos_Capital_Mensual!S192</f>
        <v/>
      </c>
      <c r="T192" s="50">
        <f>Saldos_Capital_Mensual!T192</f>
        <v/>
      </c>
      <c r="U192" s="50">
        <f>Saldos_Capital_Mensual!U192</f>
        <v/>
      </c>
    </row>
    <row r="193">
      <c r="A193" s="48">
        <f>Saldos_Capital_Mensual!A193</f>
        <v/>
      </c>
      <c r="B193" s="48">
        <f>Saldos_Capital_Mensual!B193</f>
        <v/>
      </c>
      <c r="C193" s="48">
        <f>Saldos_Capital_Mensual!C193</f>
        <v/>
      </c>
      <c r="D193" s="48">
        <f>Saldos_Capital_Mensual!D193</f>
        <v/>
      </c>
      <c r="E193" s="48">
        <f>Saldos_Capital_Mensual!E193</f>
        <v/>
      </c>
      <c r="F193" s="48">
        <f>Saldos_Capital_Mensual!F193</f>
        <v/>
      </c>
      <c r="G193" s="49">
        <f>Saldos_Capital_Mensual!G193</f>
        <v/>
      </c>
      <c r="H193" s="50">
        <f>Saldos_Capital_Mensual!H193</f>
        <v/>
      </c>
      <c r="I193" s="50">
        <f>Saldos_Capital_Mensual!I193</f>
        <v/>
      </c>
      <c r="J193" s="50">
        <f>Saldos_Capital_Mensual!J193</f>
        <v/>
      </c>
      <c r="K193" s="50">
        <f>Saldos_Capital_Mensual!K193</f>
        <v/>
      </c>
      <c r="L193" s="50">
        <f>Saldos_Capital_Mensual!L193</f>
        <v/>
      </c>
      <c r="M193" s="50">
        <f>Saldos_Capital_Mensual!M193</f>
        <v/>
      </c>
      <c r="N193" s="50">
        <f>Saldos_Capital_Mensual!N193</f>
        <v/>
      </c>
      <c r="O193" s="50">
        <f>Saldos_Capital_Mensual!O193</f>
        <v/>
      </c>
      <c r="P193" s="50">
        <f>Saldos_Capital_Mensual!P193</f>
        <v/>
      </c>
      <c r="Q193" s="50">
        <f>Saldos_Capital_Mensual!Q193</f>
        <v/>
      </c>
      <c r="R193" s="50">
        <f>Saldos_Capital_Mensual!R193</f>
        <v/>
      </c>
      <c r="S193" s="50">
        <f>Saldos_Capital_Mensual!S193</f>
        <v/>
      </c>
      <c r="T193" s="50">
        <f>Saldos_Capital_Mensual!T193</f>
        <v/>
      </c>
      <c r="U193" s="50">
        <f>Saldos_Capital_Mensual!U193</f>
        <v/>
      </c>
    </row>
    <row r="194">
      <c r="A194" s="48">
        <f>Saldos_Capital_Mensual!A194</f>
        <v/>
      </c>
      <c r="B194" s="48">
        <f>Saldos_Capital_Mensual!B194</f>
        <v/>
      </c>
      <c r="C194" s="48">
        <f>Saldos_Capital_Mensual!C194</f>
        <v/>
      </c>
      <c r="D194" s="48">
        <f>Saldos_Capital_Mensual!D194</f>
        <v/>
      </c>
      <c r="E194" s="48">
        <f>Saldos_Capital_Mensual!E194</f>
        <v/>
      </c>
      <c r="F194" s="48">
        <f>Saldos_Capital_Mensual!F194</f>
        <v/>
      </c>
      <c r="G194" s="49">
        <f>Saldos_Capital_Mensual!G194</f>
        <v/>
      </c>
      <c r="H194" s="50">
        <f>Saldos_Capital_Mensual!H194</f>
        <v/>
      </c>
      <c r="I194" s="50">
        <f>Saldos_Capital_Mensual!I194</f>
        <v/>
      </c>
      <c r="J194" s="50">
        <f>Saldos_Capital_Mensual!J194</f>
        <v/>
      </c>
      <c r="K194" s="50">
        <f>Saldos_Capital_Mensual!K194</f>
        <v/>
      </c>
      <c r="L194" s="50">
        <f>Saldos_Capital_Mensual!L194</f>
        <v/>
      </c>
      <c r="M194" s="50">
        <f>Saldos_Capital_Mensual!M194</f>
        <v/>
      </c>
      <c r="N194" s="50">
        <f>Saldos_Capital_Mensual!N194</f>
        <v/>
      </c>
      <c r="O194" s="50">
        <f>Saldos_Capital_Mensual!O194</f>
        <v/>
      </c>
      <c r="P194" s="50">
        <f>Saldos_Capital_Mensual!P194</f>
        <v/>
      </c>
      <c r="Q194" s="50">
        <f>Saldos_Capital_Mensual!Q194</f>
        <v/>
      </c>
      <c r="R194" s="50">
        <f>Saldos_Capital_Mensual!R194</f>
        <v/>
      </c>
      <c r="S194" s="50">
        <f>Saldos_Capital_Mensual!S194</f>
        <v/>
      </c>
      <c r="T194" s="50">
        <f>Saldos_Capital_Mensual!T194</f>
        <v/>
      </c>
      <c r="U194" s="50">
        <f>Saldos_Capital_Mensual!U194</f>
        <v/>
      </c>
    </row>
    <row r="195">
      <c r="A195" s="48">
        <f>Saldos_Capital_Mensual!A195</f>
        <v/>
      </c>
      <c r="B195" s="48">
        <f>Saldos_Capital_Mensual!B195</f>
        <v/>
      </c>
      <c r="C195" s="48">
        <f>Saldos_Capital_Mensual!C195</f>
        <v/>
      </c>
      <c r="D195" s="48">
        <f>Saldos_Capital_Mensual!D195</f>
        <v/>
      </c>
      <c r="E195" s="48">
        <f>Saldos_Capital_Mensual!E195</f>
        <v/>
      </c>
      <c r="F195" s="48">
        <f>Saldos_Capital_Mensual!F195</f>
        <v/>
      </c>
      <c r="G195" s="49">
        <f>Saldos_Capital_Mensual!G195</f>
        <v/>
      </c>
      <c r="H195" s="50">
        <f>Saldos_Capital_Mensual!H195</f>
        <v/>
      </c>
      <c r="I195" s="50">
        <f>Saldos_Capital_Mensual!I195</f>
        <v/>
      </c>
      <c r="J195" s="50">
        <f>Saldos_Capital_Mensual!J195</f>
        <v/>
      </c>
      <c r="K195" s="50">
        <f>Saldos_Capital_Mensual!K195</f>
        <v/>
      </c>
      <c r="L195" s="50">
        <f>Saldos_Capital_Mensual!L195</f>
        <v/>
      </c>
      <c r="M195" s="50">
        <f>Saldos_Capital_Mensual!M195</f>
        <v/>
      </c>
      <c r="N195" s="50">
        <f>Saldos_Capital_Mensual!N195</f>
        <v/>
      </c>
      <c r="O195" s="50">
        <f>Saldos_Capital_Mensual!O195</f>
        <v/>
      </c>
      <c r="P195" s="50">
        <f>Saldos_Capital_Mensual!P195</f>
        <v/>
      </c>
      <c r="Q195" s="50">
        <f>Saldos_Capital_Mensual!Q195</f>
        <v/>
      </c>
      <c r="R195" s="50">
        <f>Saldos_Capital_Mensual!R195</f>
        <v/>
      </c>
      <c r="S195" s="50">
        <f>Saldos_Capital_Mensual!S195</f>
        <v/>
      </c>
      <c r="T195" s="50">
        <f>Saldos_Capital_Mensual!T195</f>
        <v/>
      </c>
      <c r="U195" s="50">
        <f>Saldos_Capital_Mensual!U195</f>
        <v/>
      </c>
    </row>
    <row r="196">
      <c r="A196" s="48">
        <f>Saldos_Capital_Mensual!A196</f>
        <v/>
      </c>
      <c r="B196" s="48">
        <f>Saldos_Capital_Mensual!B196</f>
        <v/>
      </c>
      <c r="C196" s="48">
        <f>Saldos_Capital_Mensual!C196</f>
        <v/>
      </c>
      <c r="D196" s="48">
        <f>Saldos_Capital_Mensual!D196</f>
        <v/>
      </c>
      <c r="E196" s="48">
        <f>Saldos_Capital_Mensual!E196</f>
        <v/>
      </c>
      <c r="F196" s="48">
        <f>Saldos_Capital_Mensual!F196</f>
        <v/>
      </c>
      <c r="G196" s="49">
        <f>Saldos_Capital_Mensual!G196</f>
        <v/>
      </c>
      <c r="H196" s="50">
        <f>Saldos_Capital_Mensual!H196</f>
        <v/>
      </c>
      <c r="I196" s="50">
        <f>Saldos_Capital_Mensual!I196</f>
        <v/>
      </c>
      <c r="J196" s="50">
        <f>Saldos_Capital_Mensual!J196</f>
        <v/>
      </c>
      <c r="K196" s="50">
        <f>Saldos_Capital_Mensual!K196</f>
        <v/>
      </c>
      <c r="L196" s="50">
        <f>Saldos_Capital_Mensual!L196</f>
        <v/>
      </c>
      <c r="M196" s="50">
        <f>Saldos_Capital_Mensual!M196</f>
        <v/>
      </c>
      <c r="N196" s="50">
        <f>Saldos_Capital_Mensual!N196</f>
        <v/>
      </c>
      <c r="O196" s="50">
        <f>Saldos_Capital_Mensual!O196</f>
        <v/>
      </c>
      <c r="P196" s="50">
        <f>Saldos_Capital_Mensual!P196</f>
        <v/>
      </c>
      <c r="Q196" s="50">
        <f>Saldos_Capital_Mensual!Q196</f>
        <v/>
      </c>
      <c r="R196" s="50">
        <f>Saldos_Capital_Mensual!R196</f>
        <v/>
      </c>
      <c r="S196" s="50">
        <f>Saldos_Capital_Mensual!S196</f>
        <v/>
      </c>
      <c r="T196" s="50">
        <f>Saldos_Capital_Mensual!T196</f>
        <v/>
      </c>
      <c r="U196" s="50">
        <f>Saldos_Capital_Mensual!U196</f>
        <v/>
      </c>
    </row>
    <row r="197">
      <c r="A197" s="48">
        <f>Saldos_Capital_Mensual!A197</f>
        <v/>
      </c>
      <c r="B197" s="48">
        <f>Saldos_Capital_Mensual!B197</f>
        <v/>
      </c>
      <c r="C197" s="48">
        <f>Saldos_Capital_Mensual!C197</f>
        <v/>
      </c>
      <c r="D197" s="48">
        <f>Saldos_Capital_Mensual!D197</f>
        <v/>
      </c>
      <c r="E197" s="48">
        <f>Saldos_Capital_Mensual!E197</f>
        <v/>
      </c>
      <c r="F197" s="48">
        <f>Saldos_Capital_Mensual!F197</f>
        <v/>
      </c>
      <c r="G197" s="49">
        <f>Saldos_Capital_Mensual!G197</f>
        <v/>
      </c>
      <c r="H197" s="50">
        <f>Saldos_Capital_Mensual!H197</f>
        <v/>
      </c>
      <c r="I197" s="50">
        <f>Saldos_Capital_Mensual!I197</f>
        <v/>
      </c>
      <c r="J197" s="50">
        <f>Saldos_Capital_Mensual!J197</f>
        <v/>
      </c>
      <c r="K197" s="50">
        <f>Saldos_Capital_Mensual!K197</f>
        <v/>
      </c>
      <c r="L197" s="50">
        <f>Saldos_Capital_Mensual!L197</f>
        <v/>
      </c>
      <c r="M197" s="50">
        <f>Saldos_Capital_Mensual!M197</f>
        <v/>
      </c>
      <c r="N197" s="50">
        <f>Saldos_Capital_Mensual!N197</f>
        <v/>
      </c>
      <c r="O197" s="50">
        <f>Saldos_Capital_Mensual!O197</f>
        <v/>
      </c>
      <c r="P197" s="50">
        <f>Saldos_Capital_Mensual!P197</f>
        <v/>
      </c>
      <c r="Q197" s="50">
        <f>Saldos_Capital_Mensual!Q197</f>
        <v/>
      </c>
      <c r="R197" s="50">
        <f>Saldos_Capital_Mensual!R197</f>
        <v/>
      </c>
      <c r="S197" s="50">
        <f>Saldos_Capital_Mensual!S197</f>
        <v/>
      </c>
      <c r="T197" s="50">
        <f>Saldos_Capital_Mensual!T197</f>
        <v/>
      </c>
      <c r="U197" s="50">
        <f>Saldos_Capital_Mensual!U197</f>
        <v/>
      </c>
    </row>
    <row r="198">
      <c r="A198" s="48">
        <f>Saldos_Capital_Mensual!A198</f>
        <v/>
      </c>
      <c r="B198" s="48">
        <f>Saldos_Capital_Mensual!B198</f>
        <v/>
      </c>
      <c r="C198" s="48">
        <f>Saldos_Capital_Mensual!C198</f>
        <v/>
      </c>
      <c r="D198" s="48">
        <f>Saldos_Capital_Mensual!D198</f>
        <v/>
      </c>
      <c r="E198" s="48">
        <f>Saldos_Capital_Mensual!E198</f>
        <v/>
      </c>
      <c r="F198" s="48">
        <f>Saldos_Capital_Mensual!F198</f>
        <v/>
      </c>
      <c r="G198" s="49">
        <f>Saldos_Capital_Mensual!G198</f>
        <v/>
      </c>
      <c r="H198" s="50">
        <f>Saldos_Capital_Mensual!H198</f>
        <v/>
      </c>
      <c r="I198" s="50">
        <f>Saldos_Capital_Mensual!I198</f>
        <v/>
      </c>
      <c r="J198" s="50">
        <f>Saldos_Capital_Mensual!J198</f>
        <v/>
      </c>
      <c r="K198" s="50">
        <f>Saldos_Capital_Mensual!K198</f>
        <v/>
      </c>
      <c r="L198" s="50">
        <f>Saldos_Capital_Mensual!L198</f>
        <v/>
      </c>
      <c r="M198" s="50">
        <f>Saldos_Capital_Mensual!M198</f>
        <v/>
      </c>
      <c r="N198" s="50">
        <f>Saldos_Capital_Mensual!N198</f>
        <v/>
      </c>
      <c r="O198" s="50">
        <f>Saldos_Capital_Mensual!O198</f>
        <v/>
      </c>
      <c r="P198" s="50">
        <f>Saldos_Capital_Mensual!P198</f>
        <v/>
      </c>
      <c r="Q198" s="50">
        <f>Saldos_Capital_Mensual!Q198</f>
        <v/>
      </c>
      <c r="R198" s="50">
        <f>Saldos_Capital_Mensual!R198</f>
        <v/>
      </c>
      <c r="S198" s="50">
        <f>Saldos_Capital_Mensual!S198</f>
        <v/>
      </c>
      <c r="T198" s="50">
        <f>Saldos_Capital_Mensual!T198</f>
        <v/>
      </c>
      <c r="U198" s="50">
        <f>Saldos_Capital_Mensual!U198</f>
        <v/>
      </c>
    </row>
    <row r="199">
      <c r="A199" s="48">
        <f>Saldos_Capital_Mensual!A199</f>
        <v/>
      </c>
      <c r="B199" s="48">
        <f>Saldos_Capital_Mensual!B199</f>
        <v/>
      </c>
      <c r="C199" s="48">
        <f>Saldos_Capital_Mensual!C199</f>
        <v/>
      </c>
      <c r="D199" s="48">
        <f>Saldos_Capital_Mensual!D199</f>
        <v/>
      </c>
      <c r="E199" s="48">
        <f>Saldos_Capital_Mensual!E199</f>
        <v/>
      </c>
      <c r="F199" s="48">
        <f>Saldos_Capital_Mensual!F199</f>
        <v/>
      </c>
      <c r="G199" s="49">
        <f>Saldos_Capital_Mensual!G199</f>
        <v/>
      </c>
      <c r="H199" s="50">
        <f>Saldos_Capital_Mensual!H199</f>
        <v/>
      </c>
      <c r="I199" s="50">
        <f>Saldos_Capital_Mensual!I199</f>
        <v/>
      </c>
      <c r="J199" s="50">
        <f>Saldos_Capital_Mensual!J199</f>
        <v/>
      </c>
      <c r="K199" s="50">
        <f>Saldos_Capital_Mensual!K199</f>
        <v/>
      </c>
      <c r="L199" s="50">
        <f>Saldos_Capital_Mensual!L199</f>
        <v/>
      </c>
      <c r="M199" s="50">
        <f>Saldos_Capital_Mensual!M199</f>
        <v/>
      </c>
      <c r="N199" s="50">
        <f>Saldos_Capital_Mensual!N199</f>
        <v/>
      </c>
      <c r="O199" s="50">
        <f>Saldos_Capital_Mensual!O199</f>
        <v/>
      </c>
      <c r="P199" s="50">
        <f>Saldos_Capital_Mensual!P199</f>
        <v/>
      </c>
      <c r="Q199" s="50">
        <f>Saldos_Capital_Mensual!Q199</f>
        <v/>
      </c>
      <c r="R199" s="50">
        <f>Saldos_Capital_Mensual!R199</f>
        <v/>
      </c>
      <c r="S199" s="50">
        <f>Saldos_Capital_Mensual!S199</f>
        <v/>
      </c>
      <c r="T199" s="50">
        <f>Saldos_Capital_Mensual!T199</f>
        <v/>
      </c>
      <c r="U199" s="50">
        <f>Saldos_Capital_Mensual!U199</f>
        <v/>
      </c>
    </row>
    <row r="200">
      <c r="A200" s="48">
        <f>Saldos_Capital_Mensual!A200</f>
        <v/>
      </c>
      <c r="B200" s="48">
        <f>Saldos_Capital_Mensual!B200</f>
        <v/>
      </c>
      <c r="C200" s="48">
        <f>Saldos_Capital_Mensual!C200</f>
        <v/>
      </c>
      <c r="D200" s="48">
        <f>Saldos_Capital_Mensual!D200</f>
        <v/>
      </c>
      <c r="E200" s="48">
        <f>Saldos_Capital_Mensual!E200</f>
        <v/>
      </c>
      <c r="F200" s="48">
        <f>Saldos_Capital_Mensual!F200</f>
        <v/>
      </c>
      <c r="G200" s="49">
        <f>Saldos_Capital_Mensual!G200</f>
        <v/>
      </c>
      <c r="H200" s="50">
        <f>Saldos_Capital_Mensual!H200</f>
        <v/>
      </c>
      <c r="I200" s="50">
        <f>Saldos_Capital_Mensual!I200</f>
        <v/>
      </c>
      <c r="J200" s="50">
        <f>Saldos_Capital_Mensual!J200</f>
        <v/>
      </c>
      <c r="K200" s="50">
        <f>Saldos_Capital_Mensual!K200</f>
        <v/>
      </c>
      <c r="L200" s="50">
        <f>Saldos_Capital_Mensual!L200</f>
        <v/>
      </c>
      <c r="M200" s="50">
        <f>Saldos_Capital_Mensual!M200</f>
        <v/>
      </c>
      <c r="N200" s="50">
        <f>Saldos_Capital_Mensual!N200</f>
        <v/>
      </c>
      <c r="O200" s="50">
        <f>Saldos_Capital_Mensual!O200</f>
        <v/>
      </c>
      <c r="P200" s="50">
        <f>Saldos_Capital_Mensual!P200</f>
        <v/>
      </c>
      <c r="Q200" s="50">
        <f>Saldos_Capital_Mensual!Q200</f>
        <v/>
      </c>
      <c r="R200" s="50">
        <f>Saldos_Capital_Mensual!R200</f>
        <v/>
      </c>
      <c r="S200" s="50">
        <f>Saldos_Capital_Mensual!S200</f>
        <v/>
      </c>
      <c r="T200" s="50">
        <f>Saldos_Capital_Mensual!T200</f>
        <v/>
      </c>
      <c r="U200" s="50">
        <f>Saldos_Capital_Mensual!U200</f>
        <v/>
      </c>
    </row>
    <row r="201">
      <c r="A201" s="48">
        <f>Saldos_Capital_Mensual!A201</f>
        <v/>
      </c>
      <c r="B201" s="48">
        <f>Saldos_Capital_Mensual!B201</f>
        <v/>
      </c>
      <c r="C201" s="48">
        <f>Saldos_Capital_Mensual!C201</f>
        <v/>
      </c>
      <c r="D201" s="48">
        <f>Saldos_Capital_Mensual!D201</f>
        <v/>
      </c>
      <c r="E201" s="48">
        <f>Saldos_Capital_Mensual!E201</f>
        <v/>
      </c>
      <c r="F201" s="48">
        <f>Saldos_Capital_Mensual!F201</f>
        <v/>
      </c>
      <c r="G201" s="49">
        <f>Saldos_Capital_Mensual!G201</f>
        <v/>
      </c>
      <c r="H201" s="50">
        <f>Saldos_Capital_Mensual!H201</f>
        <v/>
      </c>
      <c r="I201" s="50">
        <f>Saldos_Capital_Mensual!I201</f>
        <v/>
      </c>
      <c r="J201" s="50">
        <f>Saldos_Capital_Mensual!J201</f>
        <v/>
      </c>
      <c r="K201" s="50">
        <f>Saldos_Capital_Mensual!K201</f>
        <v/>
      </c>
      <c r="L201" s="50">
        <f>Saldos_Capital_Mensual!L201</f>
        <v/>
      </c>
      <c r="M201" s="50">
        <f>Saldos_Capital_Mensual!M201</f>
        <v/>
      </c>
      <c r="N201" s="50">
        <f>Saldos_Capital_Mensual!N201</f>
        <v/>
      </c>
      <c r="O201" s="50">
        <f>Saldos_Capital_Mensual!O201</f>
        <v/>
      </c>
      <c r="P201" s="50">
        <f>Saldos_Capital_Mensual!P201</f>
        <v/>
      </c>
      <c r="Q201" s="50">
        <f>Saldos_Capital_Mensual!Q201</f>
        <v/>
      </c>
      <c r="R201" s="50">
        <f>Saldos_Capital_Mensual!R201</f>
        <v/>
      </c>
      <c r="S201" s="50">
        <f>Saldos_Capital_Mensual!S201</f>
        <v/>
      </c>
      <c r="T201" s="50">
        <f>Saldos_Capital_Mensual!T201</f>
        <v/>
      </c>
      <c r="U201" s="50">
        <f>Saldos_Capital_Mensual!U201</f>
        <v/>
      </c>
    </row>
    <row r="202">
      <c r="A202" s="48">
        <f>Saldos_Capital_Mensual!A202</f>
        <v/>
      </c>
      <c r="B202" s="48">
        <f>Saldos_Capital_Mensual!B202</f>
        <v/>
      </c>
      <c r="C202" s="48">
        <f>Saldos_Capital_Mensual!C202</f>
        <v/>
      </c>
      <c r="D202" s="48">
        <f>Saldos_Capital_Mensual!D202</f>
        <v/>
      </c>
      <c r="E202" s="48">
        <f>Saldos_Capital_Mensual!E202</f>
        <v/>
      </c>
      <c r="F202" s="48">
        <f>Saldos_Capital_Mensual!F202</f>
        <v/>
      </c>
      <c r="G202" s="49">
        <f>Saldos_Capital_Mensual!G202</f>
        <v/>
      </c>
      <c r="H202" s="50">
        <f>Saldos_Capital_Mensual!H202</f>
        <v/>
      </c>
      <c r="I202" s="50">
        <f>Saldos_Capital_Mensual!I202</f>
        <v/>
      </c>
      <c r="J202" s="50">
        <f>Saldos_Capital_Mensual!J202</f>
        <v/>
      </c>
      <c r="K202" s="50">
        <f>Saldos_Capital_Mensual!K202</f>
        <v/>
      </c>
      <c r="L202" s="50">
        <f>Saldos_Capital_Mensual!L202</f>
        <v/>
      </c>
      <c r="M202" s="50">
        <f>Saldos_Capital_Mensual!M202</f>
        <v/>
      </c>
      <c r="N202" s="50">
        <f>Saldos_Capital_Mensual!N202</f>
        <v/>
      </c>
      <c r="O202" s="50">
        <f>Saldos_Capital_Mensual!O202</f>
        <v/>
      </c>
      <c r="P202" s="50">
        <f>Saldos_Capital_Mensual!P202</f>
        <v/>
      </c>
      <c r="Q202" s="50">
        <f>Saldos_Capital_Mensual!Q202</f>
        <v/>
      </c>
      <c r="R202" s="50">
        <f>Saldos_Capital_Mensual!R202</f>
        <v/>
      </c>
      <c r="S202" s="50">
        <f>Saldos_Capital_Mensual!S202</f>
        <v/>
      </c>
      <c r="T202" s="50">
        <f>Saldos_Capital_Mensual!T202</f>
        <v/>
      </c>
      <c r="U202" s="50">
        <f>Saldos_Capital_Mensual!U202</f>
        <v/>
      </c>
    </row>
    <row r="203">
      <c r="A203" s="48">
        <f>Saldos_Capital_Mensual!A203</f>
        <v/>
      </c>
      <c r="B203" s="48">
        <f>Saldos_Capital_Mensual!B203</f>
        <v/>
      </c>
      <c r="C203" s="48">
        <f>Saldos_Capital_Mensual!C203</f>
        <v/>
      </c>
      <c r="D203" s="48">
        <f>Saldos_Capital_Mensual!D203</f>
        <v/>
      </c>
      <c r="E203" s="48">
        <f>Saldos_Capital_Mensual!E203</f>
        <v/>
      </c>
      <c r="F203" s="48">
        <f>Saldos_Capital_Mensual!F203</f>
        <v/>
      </c>
      <c r="G203" s="49">
        <f>Saldos_Capital_Mensual!G203</f>
        <v/>
      </c>
      <c r="H203" s="50">
        <f>Saldos_Capital_Mensual!H203</f>
        <v/>
      </c>
      <c r="I203" s="50">
        <f>Saldos_Capital_Mensual!I203</f>
        <v/>
      </c>
      <c r="J203" s="50">
        <f>Saldos_Capital_Mensual!J203</f>
        <v/>
      </c>
      <c r="K203" s="50">
        <f>Saldos_Capital_Mensual!K203</f>
        <v/>
      </c>
      <c r="L203" s="50">
        <f>Saldos_Capital_Mensual!L203</f>
        <v/>
      </c>
      <c r="M203" s="50">
        <f>Saldos_Capital_Mensual!M203</f>
        <v/>
      </c>
      <c r="N203" s="50">
        <f>Saldos_Capital_Mensual!N203</f>
        <v/>
      </c>
      <c r="O203" s="50">
        <f>Saldos_Capital_Mensual!O203</f>
        <v/>
      </c>
      <c r="P203" s="50">
        <f>Saldos_Capital_Mensual!P203</f>
        <v/>
      </c>
      <c r="Q203" s="50">
        <f>Saldos_Capital_Mensual!Q203</f>
        <v/>
      </c>
      <c r="R203" s="50">
        <f>Saldos_Capital_Mensual!R203</f>
        <v/>
      </c>
      <c r="S203" s="50">
        <f>Saldos_Capital_Mensual!S203</f>
        <v/>
      </c>
      <c r="T203" s="50">
        <f>Saldos_Capital_Mensual!T203</f>
        <v/>
      </c>
      <c r="U203" s="50">
        <f>Saldos_Capital_Mensual!U203</f>
        <v/>
      </c>
    </row>
    <row r="204">
      <c r="A204" s="48">
        <f>Saldos_Capital_Mensual!A204</f>
        <v/>
      </c>
      <c r="B204" s="48">
        <f>Saldos_Capital_Mensual!B204</f>
        <v/>
      </c>
      <c r="C204" s="48">
        <f>Saldos_Capital_Mensual!C204</f>
        <v/>
      </c>
      <c r="D204" s="48">
        <f>Saldos_Capital_Mensual!D204</f>
        <v/>
      </c>
      <c r="E204" s="48">
        <f>Saldos_Capital_Mensual!E204</f>
        <v/>
      </c>
      <c r="F204" s="48">
        <f>Saldos_Capital_Mensual!F204</f>
        <v/>
      </c>
      <c r="G204" s="49">
        <f>Saldos_Capital_Mensual!G204</f>
        <v/>
      </c>
      <c r="H204" s="50">
        <f>Saldos_Capital_Mensual!H204</f>
        <v/>
      </c>
      <c r="I204" s="50">
        <f>Saldos_Capital_Mensual!I204</f>
        <v/>
      </c>
      <c r="J204" s="50">
        <f>Saldos_Capital_Mensual!J204</f>
        <v/>
      </c>
      <c r="K204" s="50">
        <f>Saldos_Capital_Mensual!K204</f>
        <v/>
      </c>
      <c r="L204" s="50">
        <f>Saldos_Capital_Mensual!L204</f>
        <v/>
      </c>
      <c r="M204" s="50">
        <f>Saldos_Capital_Mensual!M204</f>
        <v/>
      </c>
      <c r="N204" s="50">
        <f>Saldos_Capital_Mensual!N204</f>
        <v/>
      </c>
      <c r="O204" s="50">
        <f>Saldos_Capital_Mensual!O204</f>
        <v/>
      </c>
      <c r="P204" s="50">
        <f>Saldos_Capital_Mensual!P204</f>
        <v/>
      </c>
      <c r="Q204" s="50">
        <f>Saldos_Capital_Mensual!Q204</f>
        <v/>
      </c>
      <c r="R204" s="50">
        <f>Saldos_Capital_Mensual!R204</f>
        <v/>
      </c>
      <c r="S204" s="50">
        <f>Saldos_Capital_Mensual!S204</f>
        <v/>
      </c>
      <c r="T204" s="50">
        <f>Saldos_Capital_Mensual!T204</f>
        <v/>
      </c>
      <c r="U204" s="50">
        <f>Saldos_Capital_Mensual!U204</f>
        <v/>
      </c>
    </row>
    <row r="205">
      <c r="A205" s="48">
        <f>Saldos_Capital_Mensual!A205</f>
        <v/>
      </c>
      <c r="B205" s="48">
        <f>Saldos_Capital_Mensual!B205</f>
        <v/>
      </c>
      <c r="C205" s="48">
        <f>Saldos_Capital_Mensual!C205</f>
        <v/>
      </c>
      <c r="D205" s="48">
        <f>Saldos_Capital_Mensual!D205</f>
        <v/>
      </c>
      <c r="E205" s="48">
        <f>Saldos_Capital_Mensual!E205</f>
        <v/>
      </c>
      <c r="F205" s="48">
        <f>Saldos_Capital_Mensual!F205</f>
        <v/>
      </c>
      <c r="G205" s="49">
        <f>Saldos_Capital_Mensual!G205</f>
        <v/>
      </c>
      <c r="H205" s="50">
        <f>Saldos_Capital_Mensual!H205</f>
        <v/>
      </c>
      <c r="I205" s="50">
        <f>Saldos_Capital_Mensual!I205</f>
        <v/>
      </c>
      <c r="J205" s="50">
        <f>Saldos_Capital_Mensual!J205</f>
        <v/>
      </c>
      <c r="K205" s="50">
        <f>Saldos_Capital_Mensual!K205</f>
        <v/>
      </c>
      <c r="L205" s="50">
        <f>Saldos_Capital_Mensual!L205</f>
        <v/>
      </c>
      <c r="M205" s="50">
        <f>Saldos_Capital_Mensual!M205</f>
        <v/>
      </c>
      <c r="N205" s="50">
        <f>Saldos_Capital_Mensual!N205</f>
        <v/>
      </c>
      <c r="O205" s="50">
        <f>Saldos_Capital_Mensual!O205</f>
        <v/>
      </c>
      <c r="P205" s="50">
        <f>Saldos_Capital_Mensual!P205</f>
        <v/>
      </c>
      <c r="Q205" s="50">
        <f>Saldos_Capital_Mensual!Q205</f>
        <v/>
      </c>
      <c r="R205" s="50">
        <f>Saldos_Capital_Mensual!R205</f>
        <v/>
      </c>
      <c r="S205" s="50">
        <f>Saldos_Capital_Mensual!S205</f>
        <v/>
      </c>
      <c r="T205" s="50">
        <f>Saldos_Capital_Mensual!T205</f>
        <v/>
      </c>
      <c r="U205" s="50">
        <f>Saldos_Capital_Mensual!U205</f>
        <v/>
      </c>
    </row>
    <row r="206">
      <c r="A206" s="48">
        <f>Saldos_Capital_Mensual!A206</f>
        <v/>
      </c>
      <c r="B206" s="48">
        <f>Saldos_Capital_Mensual!B206</f>
        <v/>
      </c>
      <c r="C206" s="48">
        <f>Saldos_Capital_Mensual!C206</f>
        <v/>
      </c>
      <c r="D206" s="48">
        <f>Saldos_Capital_Mensual!D206</f>
        <v/>
      </c>
      <c r="E206" s="48">
        <f>Saldos_Capital_Mensual!E206</f>
        <v/>
      </c>
      <c r="F206" s="48">
        <f>Saldos_Capital_Mensual!F206</f>
        <v/>
      </c>
      <c r="G206" s="49">
        <f>Saldos_Capital_Mensual!G206</f>
        <v/>
      </c>
      <c r="H206" s="50">
        <f>Saldos_Capital_Mensual!H206</f>
        <v/>
      </c>
      <c r="I206" s="50">
        <f>Saldos_Capital_Mensual!I206</f>
        <v/>
      </c>
      <c r="J206" s="50">
        <f>Saldos_Capital_Mensual!J206</f>
        <v/>
      </c>
      <c r="K206" s="50">
        <f>Saldos_Capital_Mensual!K206</f>
        <v/>
      </c>
      <c r="L206" s="50">
        <f>Saldos_Capital_Mensual!L206</f>
        <v/>
      </c>
      <c r="M206" s="50">
        <f>Saldos_Capital_Mensual!M206</f>
        <v/>
      </c>
      <c r="N206" s="50">
        <f>Saldos_Capital_Mensual!N206</f>
        <v/>
      </c>
      <c r="O206" s="50">
        <f>Saldos_Capital_Mensual!O206</f>
        <v/>
      </c>
      <c r="P206" s="50">
        <f>Saldos_Capital_Mensual!P206</f>
        <v/>
      </c>
      <c r="Q206" s="50">
        <f>Saldos_Capital_Mensual!Q206</f>
        <v/>
      </c>
      <c r="R206" s="50">
        <f>Saldos_Capital_Mensual!R206</f>
        <v/>
      </c>
      <c r="S206" s="50">
        <f>Saldos_Capital_Mensual!S206</f>
        <v/>
      </c>
      <c r="T206" s="50">
        <f>Saldos_Capital_Mensual!T206</f>
        <v/>
      </c>
      <c r="U206" s="50">
        <f>Saldos_Capital_Mensual!U206</f>
        <v/>
      </c>
    </row>
    <row r="207">
      <c r="A207" s="48">
        <f>Saldos_Capital_Mensual!A207</f>
        <v/>
      </c>
      <c r="B207" s="48">
        <f>Saldos_Capital_Mensual!B207</f>
        <v/>
      </c>
      <c r="C207" s="48">
        <f>Saldos_Capital_Mensual!C207</f>
        <v/>
      </c>
      <c r="D207" s="48">
        <f>Saldos_Capital_Mensual!D207</f>
        <v/>
      </c>
      <c r="E207" s="48">
        <f>Saldos_Capital_Mensual!E207</f>
        <v/>
      </c>
      <c r="F207" s="48">
        <f>Saldos_Capital_Mensual!F207</f>
        <v/>
      </c>
      <c r="G207" s="49">
        <f>Saldos_Capital_Mensual!G207</f>
        <v/>
      </c>
      <c r="H207" s="50">
        <f>Saldos_Capital_Mensual!H207</f>
        <v/>
      </c>
      <c r="I207" s="50">
        <f>Saldos_Capital_Mensual!I207</f>
        <v/>
      </c>
      <c r="J207" s="50">
        <f>Saldos_Capital_Mensual!J207</f>
        <v/>
      </c>
      <c r="K207" s="50">
        <f>Saldos_Capital_Mensual!K207</f>
        <v/>
      </c>
      <c r="L207" s="50">
        <f>Saldos_Capital_Mensual!L207</f>
        <v/>
      </c>
      <c r="M207" s="50">
        <f>Saldos_Capital_Mensual!M207</f>
        <v/>
      </c>
      <c r="N207" s="50">
        <f>Saldos_Capital_Mensual!N207</f>
        <v/>
      </c>
      <c r="O207" s="50">
        <f>Saldos_Capital_Mensual!O207</f>
        <v/>
      </c>
      <c r="P207" s="50">
        <f>Saldos_Capital_Mensual!P207</f>
        <v/>
      </c>
      <c r="Q207" s="50">
        <f>Saldos_Capital_Mensual!Q207</f>
        <v/>
      </c>
      <c r="R207" s="50">
        <f>Saldos_Capital_Mensual!R207</f>
        <v/>
      </c>
      <c r="S207" s="50">
        <f>Saldos_Capital_Mensual!S207</f>
        <v/>
      </c>
      <c r="T207" s="50">
        <f>Saldos_Capital_Mensual!T207</f>
        <v/>
      </c>
      <c r="U207" s="50">
        <f>Saldos_Capital_Mensual!U207</f>
        <v/>
      </c>
    </row>
    <row r="208">
      <c r="A208" s="48">
        <f>Saldos_Capital_Mensual!A208</f>
        <v/>
      </c>
      <c r="B208" s="48">
        <f>Saldos_Capital_Mensual!B208</f>
        <v/>
      </c>
      <c r="C208" s="48">
        <f>Saldos_Capital_Mensual!C208</f>
        <v/>
      </c>
      <c r="D208" s="48">
        <f>Saldos_Capital_Mensual!D208</f>
        <v/>
      </c>
      <c r="E208" s="48">
        <f>Saldos_Capital_Mensual!E208</f>
        <v/>
      </c>
      <c r="F208" s="48">
        <f>Saldos_Capital_Mensual!F208</f>
        <v/>
      </c>
      <c r="G208" s="49">
        <f>Saldos_Capital_Mensual!G208</f>
        <v/>
      </c>
      <c r="H208" s="50">
        <f>Saldos_Capital_Mensual!H208</f>
        <v/>
      </c>
      <c r="I208" s="50">
        <f>Saldos_Capital_Mensual!I208</f>
        <v/>
      </c>
      <c r="J208" s="50">
        <f>Saldos_Capital_Mensual!J208</f>
        <v/>
      </c>
      <c r="K208" s="50">
        <f>Saldos_Capital_Mensual!K208</f>
        <v/>
      </c>
      <c r="L208" s="50">
        <f>Saldos_Capital_Mensual!L208</f>
        <v/>
      </c>
      <c r="M208" s="50">
        <f>Saldos_Capital_Mensual!M208</f>
        <v/>
      </c>
      <c r="N208" s="50">
        <f>Saldos_Capital_Mensual!N208</f>
        <v/>
      </c>
      <c r="O208" s="50">
        <f>Saldos_Capital_Mensual!O208</f>
        <v/>
      </c>
      <c r="P208" s="50">
        <f>Saldos_Capital_Mensual!P208</f>
        <v/>
      </c>
      <c r="Q208" s="50">
        <f>Saldos_Capital_Mensual!Q208</f>
        <v/>
      </c>
      <c r="R208" s="50">
        <f>Saldos_Capital_Mensual!R208</f>
        <v/>
      </c>
      <c r="S208" s="50">
        <f>Saldos_Capital_Mensual!S208</f>
        <v/>
      </c>
      <c r="T208" s="50">
        <f>Saldos_Capital_Mensual!T208</f>
        <v/>
      </c>
      <c r="U208" s="50">
        <f>Saldos_Capital_Mensual!U208</f>
        <v/>
      </c>
    </row>
    <row r="209">
      <c r="A209" s="48">
        <f>Saldos_Capital_Mensual!A209</f>
        <v/>
      </c>
      <c r="B209" s="48">
        <f>Saldos_Capital_Mensual!B209</f>
        <v/>
      </c>
      <c r="C209" s="48">
        <f>Saldos_Capital_Mensual!C209</f>
        <v/>
      </c>
      <c r="D209" s="48">
        <f>Saldos_Capital_Mensual!D209</f>
        <v/>
      </c>
      <c r="E209" s="48">
        <f>Saldos_Capital_Mensual!E209</f>
        <v/>
      </c>
      <c r="F209" s="48">
        <f>Saldos_Capital_Mensual!F209</f>
        <v/>
      </c>
      <c r="G209" s="49">
        <f>Saldos_Capital_Mensual!G209</f>
        <v/>
      </c>
      <c r="H209" s="50">
        <f>Saldos_Capital_Mensual!H209</f>
        <v/>
      </c>
      <c r="I209" s="50">
        <f>Saldos_Capital_Mensual!I209</f>
        <v/>
      </c>
      <c r="J209" s="50">
        <f>Saldos_Capital_Mensual!J209</f>
        <v/>
      </c>
      <c r="K209" s="50">
        <f>Saldos_Capital_Mensual!K209</f>
        <v/>
      </c>
      <c r="L209" s="50">
        <f>Saldos_Capital_Mensual!L209</f>
        <v/>
      </c>
      <c r="M209" s="50">
        <f>Saldos_Capital_Mensual!M209</f>
        <v/>
      </c>
      <c r="N209" s="50">
        <f>Saldos_Capital_Mensual!N209</f>
        <v/>
      </c>
      <c r="O209" s="50">
        <f>Saldos_Capital_Mensual!O209</f>
        <v/>
      </c>
      <c r="P209" s="50">
        <f>Saldos_Capital_Mensual!P209</f>
        <v/>
      </c>
      <c r="Q209" s="50">
        <f>Saldos_Capital_Mensual!Q209</f>
        <v/>
      </c>
      <c r="R209" s="50">
        <f>Saldos_Capital_Mensual!R209</f>
        <v/>
      </c>
      <c r="S209" s="50">
        <f>Saldos_Capital_Mensual!S209</f>
        <v/>
      </c>
      <c r="T209" s="50">
        <f>Saldos_Capital_Mensual!T209</f>
        <v/>
      </c>
      <c r="U209" s="50">
        <f>Saldos_Capital_Mensual!U209</f>
        <v/>
      </c>
    </row>
    <row r="210">
      <c r="A210" s="48">
        <f>Saldos_Capital_Mensual!A210</f>
        <v/>
      </c>
      <c r="B210" s="48">
        <f>Saldos_Capital_Mensual!B210</f>
        <v/>
      </c>
      <c r="C210" s="48">
        <f>Saldos_Capital_Mensual!C210</f>
        <v/>
      </c>
      <c r="D210" s="48">
        <f>Saldos_Capital_Mensual!D210</f>
        <v/>
      </c>
      <c r="E210" s="48">
        <f>Saldos_Capital_Mensual!E210</f>
        <v/>
      </c>
      <c r="F210" s="48">
        <f>Saldos_Capital_Mensual!F210</f>
        <v/>
      </c>
      <c r="G210" s="49">
        <f>Saldos_Capital_Mensual!G210</f>
        <v/>
      </c>
      <c r="H210" s="50">
        <f>Saldos_Capital_Mensual!H210</f>
        <v/>
      </c>
      <c r="I210" s="50">
        <f>Saldos_Capital_Mensual!I210</f>
        <v/>
      </c>
      <c r="J210" s="50">
        <f>Saldos_Capital_Mensual!J210</f>
        <v/>
      </c>
      <c r="K210" s="50">
        <f>Saldos_Capital_Mensual!K210</f>
        <v/>
      </c>
      <c r="L210" s="50">
        <f>Saldos_Capital_Mensual!L210</f>
        <v/>
      </c>
      <c r="M210" s="50">
        <f>Saldos_Capital_Mensual!M210</f>
        <v/>
      </c>
      <c r="N210" s="50">
        <f>Saldos_Capital_Mensual!N210</f>
        <v/>
      </c>
      <c r="O210" s="50">
        <f>Saldos_Capital_Mensual!O210</f>
        <v/>
      </c>
      <c r="P210" s="50">
        <f>Saldos_Capital_Mensual!P210</f>
        <v/>
      </c>
      <c r="Q210" s="50">
        <f>Saldos_Capital_Mensual!Q210</f>
        <v/>
      </c>
      <c r="R210" s="50">
        <f>Saldos_Capital_Mensual!R210</f>
        <v/>
      </c>
      <c r="S210" s="50">
        <f>Saldos_Capital_Mensual!S210</f>
        <v/>
      </c>
      <c r="T210" s="50">
        <f>Saldos_Capital_Mensual!T210</f>
        <v/>
      </c>
      <c r="U210" s="50">
        <f>Saldos_Capital_Mensual!U210</f>
        <v/>
      </c>
    </row>
    <row r="211">
      <c r="A211" s="48">
        <f>Saldos_Capital_Mensual!A211</f>
        <v/>
      </c>
      <c r="B211" s="48">
        <f>Saldos_Capital_Mensual!B211</f>
        <v/>
      </c>
      <c r="C211" s="48">
        <f>Saldos_Capital_Mensual!C211</f>
        <v/>
      </c>
      <c r="D211" s="48">
        <f>Saldos_Capital_Mensual!D211</f>
        <v/>
      </c>
      <c r="E211" s="48">
        <f>Saldos_Capital_Mensual!E211</f>
        <v/>
      </c>
      <c r="F211" s="48">
        <f>Saldos_Capital_Mensual!F211</f>
        <v/>
      </c>
      <c r="G211" s="49">
        <f>Saldos_Capital_Mensual!G211</f>
        <v/>
      </c>
      <c r="H211" s="50">
        <f>Saldos_Capital_Mensual!H211</f>
        <v/>
      </c>
      <c r="I211" s="50">
        <f>Saldos_Capital_Mensual!I211</f>
        <v/>
      </c>
      <c r="J211" s="50">
        <f>Saldos_Capital_Mensual!J211</f>
        <v/>
      </c>
      <c r="K211" s="50">
        <f>Saldos_Capital_Mensual!K211</f>
        <v/>
      </c>
      <c r="L211" s="50">
        <f>Saldos_Capital_Mensual!L211</f>
        <v/>
      </c>
      <c r="M211" s="50">
        <f>Saldos_Capital_Mensual!M211</f>
        <v/>
      </c>
      <c r="N211" s="50">
        <f>Saldos_Capital_Mensual!N211</f>
        <v/>
      </c>
      <c r="O211" s="50">
        <f>Saldos_Capital_Mensual!O211</f>
        <v/>
      </c>
      <c r="P211" s="50">
        <f>Saldos_Capital_Mensual!P211</f>
        <v/>
      </c>
      <c r="Q211" s="50">
        <f>Saldos_Capital_Mensual!Q211</f>
        <v/>
      </c>
      <c r="R211" s="50">
        <f>Saldos_Capital_Mensual!R211</f>
        <v/>
      </c>
      <c r="S211" s="50">
        <f>Saldos_Capital_Mensual!S211</f>
        <v/>
      </c>
      <c r="T211" s="50">
        <f>Saldos_Capital_Mensual!T211</f>
        <v/>
      </c>
      <c r="U211" s="50">
        <f>Saldos_Capital_Mensual!U211</f>
        <v/>
      </c>
    </row>
    <row r="212">
      <c r="A212" s="48">
        <f>Saldos_Capital_Mensual!A212</f>
        <v/>
      </c>
      <c r="B212" s="48">
        <f>Saldos_Capital_Mensual!B212</f>
        <v/>
      </c>
      <c r="C212" s="48">
        <f>Saldos_Capital_Mensual!C212</f>
        <v/>
      </c>
      <c r="D212" s="48">
        <f>Saldos_Capital_Mensual!D212</f>
        <v/>
      </c>
      <c r="E212" s="48">
        <f>Saldos_Capital_Mensual!E212</f>
        <v/>
      </c>
      <c r="F212" s="48">
        <f>Saldos_Capital_Mensual!F212</f>
        <v/>
      </c>
      <c r="G212" s="49">
        <f>Saldos_Capital_Mensual!G212</f>
        <v/>
      </c>
      <c r="H212" s="50">
        <f>Saldos_Capital_Mensual!H212</f>
        <v/>
      </c>
      <c r="I212" s="50">
        <f>Saldos_Capital_Mensual!I212</f>
        <v/>
      </c>
      <c r="J212" s="50">
        <f>Saldos_Capital_Mensual!J212</f>
        <v/>
      </c>
      <c r="K212" s="50">
        <f>Saldos_Capital_Mensual!K212</f>
        <v/>
      </c>
      <c r="L212" s="50">
        <f>Saldos_Capital_Mensual!L212</f>
        <v/>
      </c>
      <c r="M212" s="50">
        <f>Saldos_Capital_Mensual!M212</f>
        <v/>
      </c>
      <c r="N212" s="50">
        <f>Saldos_Capital_Mensual!N212</f>
        <v/>
      </c>
      <c r="O212" s="50">
        <f>Saldos_Capital_Mensual!O212</f>
        <v/>
      </c>
      <c r="P212" s="50">
        <f>Saldos_Capital_Mensual!P212</f>
        <v/>
      </c>
      <c r="Q212" s="50">
        <f>Saldos_Capital_Mensual!Q212</f>
        <v/>
      </c>
      <c r="R212" s="50">
        <f>Saldos_Capital_Mensual!R212</f>
        <v/>
      </c>
      <c r="S212" s="50">
        <f>Saldos_Capital_Mensual!S212</f>
        <v/>
      </c>
      <c r="T212" s="50">
        <f>Saldos_Capital_Mensual!T212</f>
        <v/>
      </c>
      <c r="U212" s="50">
        <f>Saldos_Capital_Mensual!U212</f>
        <v/>
      </c>
    </row>
    <row r="213">
      <c r="A213" s="48">
        <f>Saldos_Capital_Mensual!A213</f>
        <v/>
      </c>
      <c r="B213" s="48">
        <f>Saldos_Capital_Mensual!B213</f>
        <v/>
      </c>
      <c r="C213" s="48">
        <f>Saldos_Capital_Mensual!C213</f>
        <v/>
      </c>
      <c r="D213" s="48">
        <f>Saldos_Capital_Mensual!D213</f>
        <v/>
      </c>
      <c r="E213" s="48">
        <f>Saldos_Capital_Mensual!E213</f>
        <v/>
      </c>
      <c r="F213" s="48">
        <f>Saldos_Capital_Mensual!F213</f>
        <v/>
      </c>
      <c r="G213" s="49">
        <f>Saldos_Capital_Mensual!G213</f>
        <v/>
      </c>
      <c r="H213" s="50">
        <f>Saldos_Capital_Mensual!H213</f>
        <v/>
      </c>
      <c r="I213" s="50">
        <f>Saldos_Capital_Mensual!I213</f>
        <v/>
      </c>
      <c r="J213" s="50">
        <f>Saldos_Capital_Mensual!J213</f>
        <v/>
      </c>
      <c r="K213" s="50">
        <f>Saldos_Capital_Mensual!K213</f>
        <v/>
      </c>
      <c r="L213" s="50">
        <f>Saldos_Capital_Mensual!L213</f>
        <v/>
      </c>
      <c r="M213" s="50">
        <f>Saldos_Capital_Mensual!M213</f>
        <v/>
      </c>
      <c r="N213" s="50">
        <f>Saldos_Capital_Mensual!N213</f>
        <v/>
      </c>
      <c r="O213" s="50">
        <f>Saldos_Capital_Mensual!O213</f>
        <v/>
      </c>
      <c r="P213" s="50">
        <f>Saldos_Capital_Mensual!P213</f>
        <v/>
      </c>
      <c r="Q213" s="50">
        <f>Saldos_Capital_Mensual!Q213</f>
        <v/>
      </c>
      <c r="R213" s="50">
        <f>Saldos_Capital_Mensual!R213</f>
        <v/>
      </c>
      <c r="S213" s="50">
        <f>Saldos_Capital_Mensual!S213</f>
        <v/>
      </c>
      <c r="T213" s="50">
        <f>Saldos_Capital_Mensual!T213</f>
        <v/>
      </c>
      <c r="U213" s="50">
        <f>Saldos_Capital_Mensual!U213</f>
        <v/>
      </c>
    </row>
    <row r="214">
      <c r="A214" s="48">
        <f>Saldos_Capital_Mensual!A214</f>
        <v/>
      </c>
      <c r="B214" s="48">
        <f>Saldos_Capital_Mensual!B214</f>
        <v/>
      </c>
      <c r="C214" s="48">
        <f>Saldos_Capital_Mensual!C214</f>
        <v/>
      </c>
      <c r="D214" s="48">
        <f>Saldos_Capital_Mensual!D214</f>
        <v/>
      </c>
      <c r="E214" s="48">
        <f>Saldos_Capital_Mensual!E214</f>
        <v/>
      </c>
      <c r="F214" s="48">
        <f>Saldos_Capital_Mensual!F214</f>
        <v/>
      </c>
      <c r="G214" s="49">
        <f>Saldos_Capital_Mensual!G214</f>
        <v/>
      </c>
      <c r="H214" s="50">
        <f>Saldos_Capital_Mensual!H214</f>
        <v/>
      </c>
      <c r="I214" s="50">
        <f>Saldos_Capital_Mensual!I214</f>
        <v/>
      </c>
      <c r="J214" s="50">
        <f>Saldos_Capital_Mensual!J214</f>
        <v/>
      </c>
      <c r="K214" s="50">
        <f>Saldos_Capital_Mensual!K214</f>
        <v/>
      </c>
      <c r="L214" s="50">
        <f>Saldos_Capital_Mensual!L214</f>
        <v/>
      </c>
      <c r="M214" s="50">
        <f>Saldos_Capital_Mensual!M214</f>
        <v/>
      </c>
      <c r="N214" s="50">
        <f>Saldos_Capital_Mensual!N214</f>
        <v/>
      </c>
      <c r="O214" s="50">
        <f>Saldos_Capital_Mensual!O214</f>
        <v/>
      </c>
      <c r="P214" s="50">
        <f>Saldos_Capital_Mensual!P214</f>
        <v/>
      </c>
      <c r="Q214" s="50">
        <f>Saldos_Capital_Mensual!Q214</f>
        <v/>
      </c>
      <c r="R214" s="50">
        <f>Saldos_Capital_Mensual!R214</f>
        <v/>
      </c>
      <c r="S214" s="50">
        <f>Saldos_Capital_Mensual!S214</f>
        <v/>
      </c>
      <c r="T214" s="50">
        <f>Saldos_Capital_Mensual!T214</f>
        <v/>
      </c>
      <c r="U214" s="50">
        <f>Saldos_Capital_Mensual!U214</f>
        <v/>
      </c>
    </row>
    <row r="215">
      <c r="A215" s="48">
        <f>Saldos_Capital_Mensual!A215</f>
        <v/>
      </c>
      <c r="B215" s="48">
        <f>Saldos_Capital_Mensual!B215</f>
        <v/>
      </c>
      <c r="C215" s="48">
        <f>Saldos_Capital_Mensual!C215</f>
        <v/>
      </c>
      <c r="D215" s="48">
        <f>Saldos_Capital_Mensual!D215</f>
        <v/>
      </c>
      <c r="E215" s="48">
        <f>Saldos_Capital_Mensual!E215</f>
        <v/>
      </c>
      <c r="F215" s="48">
        <f>Saldos_Capital_Mensual!F215</f>
        <v/>
      </c>
      <c r="G215" s="49">
        <f>Saldos_Capital_Mensual!G215</f>
        <v/>
      </c>
      <c r="H215" s="50">
        <f>Saldos_Capital_Mensual!H215</f>
        <v/>
      </c>
      <c r="I215" s="50">
        <f>Saldos_Capital_Mensual!I215</f>
        <v/>
      </c>
      <c r="J215" s="50">
        <f>Saldos_Capital_Mensual!J215</f>
        <v/>
      </c>
      <c r="K215" s="50">
        <f>Saldos_Capital_Mensual!K215</f>
        <v/>
      </c>
      <c r="L215" s="50">
        <f>Saldos_Capital_Mensual!L215</f>
        <v/>
      </c>
      <c r="M215" s="50">
        <f>Saldos_Capital_Mensual!M215</f>
        <v/>
      </c>
      <c r="N215" s="50">
        <f>Saldos_Capital_Mensual!N215</f>
        <v/>
      </c>
      <c r="O215" s="50">
        <f>Saldos_Capital_Mensual!O215</f>
        <v/>
      </c>
      <c r="P215" s="50">
        <f>Saldos_Capital_Mensual!P215</f>
        <v/>
      </c>
      <c r="Q215" s="50">
        <f>Saldos_Capital_Mensual!Q215</f>
        <v/>
      </c>
      <c r="R215" s="50">
        <f>Saldos_Capital_Mensual!R215</f>
        <v/>
      </c>
      <c r="S215" s="50">
        <f>Saldos_Capital_Mensual!S215</f>
        <v/>
      </c>
      <c r="T215" s="50">
        <f>Saldos_Capital_Mensual!T215</f>
        <v/>
      </c>
      <c r="U215" s="50">
        <f>Saldos_Capital_Mensual!U215</f>
        <v/>
      </c>
    </row>
    <row r="216">
      <c r="A216" s="48">
        <f>Saldos_Capital_Mensual!A216</f>
        <v/>
      </c>
      <c r="B216" s="48">
        <f>Saldos_Capital_Mensual!B216</f>
        <v/>
      </c>
      <c r="C216" s="48">
        <f>Saldos_Capital_Mensual!C216</f>
        <v/>
      </c>
      <c r="D216" s="48">
        <f>Saldos_Capital_Mensual!D216</f>
        <v/>
      </c>
      <c r="E216" s="48">
        <f>Saldos_Capital_Mensual!E216</f>
        <v/>
      </c>
      <c r="F216" s="48">
        <f>Saldos_Capital_Mensual!F216</f>
        <v/>
      </c>
      <c r="G216" s="49">
        <f>Saldos_Capital_Mensual!G216</f>
        <v/>
      </c>
      <c r="H216" s="50">
        <f>Saldos_Capital_Mensual!H216</f>
        <v/>
      </c>
      <c r="I216" s="50">
        <f>Saldos_Capital_Mensual!I216</f>
        <v/>
      </c>
      <c r="J216" s="50">
        <f>Saldos_Capital_Mensual!J216</f>
        <v/>
      </c>
      <c r="K216" s="50">
        <f>Saldos_Capital_Mensual!K216</f>
        <v/>
      </c>
      <c r="L216" s="50">
        <f>Saldos_Capital_Mensual!L216</f>
        <v/>
      </c>
      <c r="M216" s="50">
        <f>Saldos_Capital_Mensual!M216</f>
        <v/>
      </c>
      <c r="N216" s="50">
        <f>Saldos_Capital_Mensual!N216</f>
        <v/>
      </c>
      <c r="O216" s="50">
        <f>Saldos_Capital_Mensual!O216</f>
        <v/>
      </c>
      <c r="P216" s="50">
        <f>Saldos_Capital_Mensual!P216</f>
        <v/>
      </c>
      <c r="Q216" s="50">
        <f>Saldos_Capital_Mensual!Q216</f>
        <v/>
      </c>
      <c r="R216" s="50">
        <f>Saldos_Capital_Mensual!R216</f>
        <v/>
      </c>
      <c r="S216" s="50">
        <f>Saldos_Capital_Mensual!S216</f>
        <v/>
      </c>
      <c r="T216" s="50">
        <f>Saldos_Capital_Mensual!T216</f>
        <v/>
      </c>
      <c r="U216" s="50">
        <f>Saldos_Capital_Mensual!U216</f>
        <v/>
      </c>
    </row>
    <row r="217">
      <c r="A217" s="48">
        <f>Saldos_Capital_Mensual!A217</f>
        <v/>
      </c>
      <c r="B217" s="48">
        <f>Saldos_Capital_Mensual!B217</f>
        <v/>
      </c>
      <c r="C217" s="48">
        <f>Saldos_Capital_Mensual!C217</f>
        <v/>
      </c>
      <c r="D217" s="48">
        <f>Saldos_Capital_Mensual!D217</f>
        <v/>
      </c>
      <c r="E217" s="48">
        <f>Saldos_Capital_Mensual!E217</f>
        <v/>
      </c>
      <c r="F217" s="48">
        <f>Saldos_Capital_Mensual!F217</f>
        <v/>
      </c>
      <c r="G217" s="49">
        <f>Saldos_Capital_Mensual!G217</f>
        <v/>
      </c>
      <c r="H217" s="50">
        <f>Saldos_Capital_Mensual!H217</f>
        <v/>
      </c>
      <c r="I217" s="50">
        <f>Saldos_Capital_Mensual!I217</f>
        <v/>
      </c>
      <c r="J217" s="50">
        <f>Saldos_Capital_Mensual!J217</f>
        <v/>
      </c>
      <c r="K217" s="50">
        <f>Saldos_Capital_Mensual!K217</f>
        <v/>
      </c>
      <c r="L217" s="50">
        <f>Saldos_Capital_Mensual!L217</f>
        <v/>
      </c>
      <c r="M217" s="50">
        <f>Saldos_Capital_Mensual!M217</f>
        <v/>
      </c>
      <c r="N217" s="50">
        <f>Saldos_Capital_Mensual!N217</f>
        <v/>
      </c>
      <c r="O217" s="50">
        <f>Saldos_Capital_Mensual!O217</f>
        <v/>
      </c>
      <c r="P217" s="50">
        <f>Saldos_Capital_Mensual!P217</f>
        <v/>
      </c>
      <c r="Q217" s="50">
        <f>Saldos_Capital_Mensual!Q217</f>
        <v/>
      </c>
      <c r="R217" s="50">
        <f>Saldos_Capital_Mensual!R217</f>
        <v/>
      </c>
      <c r="S217" s="50">
        <f>Saldos_Capital_Mensual!S217</f>
        <v/>
      </c>
      <c r="T217" s="50">
        <f>Saldos_Capital_Mensual!T217</f>
        <v/>
      </c>
      <c r="U217" s="50">
        <f>Saldos_Capital_Mensual!U217</f>
        <v/>
      </c>
    </row>
    <row r="218">
      <c r="A218" s="48">
        <f>Saldos_Capital_Mensual!A218</f>
        <v/>
      </c>
      <c r="B218" s="48">
        <f>Saldos_Capital_Mensual!B218</f>
        <v/>
      </c>
      <c r="C218" s="48">
        <f>Saldos_Capital_Mensual!C218</f>
        <v/>
      </c>
      <c r="D218" s="48">
        <f>Saldos_Capital_Mensual!D218</f>
        <v/>
      </c>
      <c r="E218" s="48">
        <f>Saldos_Capital_Mensual!E218</f>
        <v/>
      </c>
      <c r="F218" s="48">
        <f>Saldos_Capital_Mensual!F218</f>
        <v/>
      </c>
      <c r="G218" s="49">
        <f>Saldos_Capital_Mensual!G218</f>
        <v/>
      </c>
      <c r="H218" s="50">
        <f>Saldos_Capital_Mensual!H218</f>
        <v/>
      </c>
      <c r="I218" s="50">
        <f>Saldos_Capital_Mensual!I218</f>
        <v/>
      </c>
      <c r="J218" s="50">
        <f>Saldos_Capital_Mensual!J218</f>
        <v/>
      </c>
      <c r="K218" s="50">
        <f>Saldos_Capital_Mensual!K218</f>
        <v/>
      </c>
      <c r="L218" s="50">
        <f>Saldos_Capital_Mensual!L218</f>
        <v/>
      </c>
      <c r="M218" s="50">
        <f>Saldos_Capital_Mensual!M218</f>
        <v/>
      </c>
      <c r="N218" s="50">
        <f>Saldos_Capital_Mensual!N218</f>
        <v/>
      </c>
      <c r="O218" s="50">
        <f>Saldos_Capital_Mensual!O218</f>
        <v/>
      </c>
      <c r="P218" s="50">
        <f>Saldos_Capital_Mensual!P218</f>
        <v/>
      </c>
      <c r="Q218" s="50">
        <f>Saldos_Capital_Mensual!Q218</f>
        <v/>
      </c>
      <c r="R218" s="50">
        <f>Saldos_Capital_Mensual!R218</f>
        <v/>
      </c>
      <c r="S218" s="50">
        <f>Saldos_Capital_Mensual!S218</f>
        <v/>
      </c>
      <c r="T218" s="50">
        <f>Saldos_Capital_Mensual!T218</f>
        <v/>
      </c>
      <c r="U218" s="50">
        <f>Saldos_Capital_Mensual!U218</f>
        <v/>
      </c>
    </row>
    <row r="219">
      <c r="A219" s="48">
        <f>Saldos_Capital_Mensual!A219</f>
        <v/>
      </c>
      <c r="B219" s="48">
        <f>Saldos_Capital_Mensual!B219</f>
        <v/>
      </c>
      <c r="C219" s="48">
        <f>Saldos_Capital_Mensual!C219</f>
        <v/>
      </c>
      <c r="D219" s="48">
        <f>Saldos_Capital_Mensual!D219</f>
        <v/>
      </c>
      <c r="E219" s="48">
        <f>Saldos_Capital_Mensual!E219</f>
        <v/>
      </c>
      <c r="F219" s="48">
        <f>Saldos_Capital_Mensual!F219</f>
        <v/>
      </c>
      <c r="G219" s="49">
        <f>Saldos_Capital_Mensual!G219</f>
        <v/>
      </c>
      <c r="H219" s="50">
        <f>Saldos_Capital_Mensual!H219</f>
        <v/>
      </c>
      <c r="I219" s="50">
        <f>Saldos_Capital_Mensual!I219</f>
        <v/>
      </c>
      <c r="J219" s="50">
        <f>Saldos_Capital_Mensual!J219</f>
        <v/>
      </c>
      <c r="K219" s="50">
        <f>Saldos_Capital_Mensual!K219</f>
        <v/>
      </c>
      <c r="L219" s="50">
        <f>Saldos_Capital_Mensual!L219</f>
        <v/>
      </c>
      <c r="M219" s="50">
        <f>Saldos_Capital_Mensual!M219</f>
        <v/>
      </c>
      <c r="N219" s="50">
        <f>Saldos_Capital_Mensual!N219</f>
        <v/>
      </c>
      <c r="O219" s="50">
        <f>Saldos_Capital_Mensual!O219</f>
        <v/>
      </c>
      <c r="P219" s="50">
        <f>Saldos_Capital_Mensual!P219</f>
        <v/>
      </c>
      <c r="Q219" s="50">
        <f>Saldos_Capital_Mensual!Q219</f>
        <v/>
      </c>
      <c r="R219" s="50">
        <f>Saldos_Capital_Mensual!R219</f>
        <v/>
      </c>
      <c r="S219" s="50">
        <f>Saldos_Capital_Mensual!S219</f>
        <v/>
      </c>
      <c r="T219" s="50">
        <f>Saldos_Capital_Mensual!T219</f>
        <v/>
      </c>
      <c r="U219" s="50">
        <f>Saldos_Capital_Mensual!U219</f>
        <v/>
      </c>
    </row>
    <row r="220">
      <c r="A220" s="48">
        <f>Saldos_Capital_Mensual!A220</f>
        <v/>
      </c>
      <c r="B220" s="48">
        <f>Saldos_Capital_Mensual!B220</f>
        <v/>
      </c>
      <c r="C220" s="48">
        <f>Saldos_Capital_Mensual!C220</f>
        <v/>
      </c>
      <c r="D220" s="48">
        <f>Saldos_Capital_Mensual!D220</f>
        <v/>
      </c>
      <c r="E220" s="48">
        <f>Saldos_Capital_Mensual!E220</f>
        <v/>
      </c>
      <c r="F220" s="48">
        <f>Saldos_Capital_Mensual!F220</f>
        <v/>
      </c>
      <c r="G220" s="49">
        <f>Saldos_Capital_Mensual!G220</f>
        <v/>
      </c>
      <c r="H220" s="50">
        <f>Saldos_Capital_Mensual!H220</f>
        <v/>
      </c>
      <c r="I220" s="50">
        <f>Saldos_Capital_Mensual!I220</f>
        <v/>
      </c>
      <c r="J220" s="50">
        <f>Saldos_Capital_Mensual!J220</f>
        <v/>
      </c>
      <c r="K220" s="50">
        <f>Saldos_Capital_Mensual!K220</f>
        <v/>
      </c>
      <c r="L220" s="50">
        <f>Saldos_Capital_Mensual!L220</f>
        <v/>
      </c>
      <c r="M220" s="50">
        <f>Saldos_Capital_Mensual!M220</f>
        <v/>
      </c>
      <c r="N220" s="50">
        <f>Saldos_Capital_Mensual!N220</f>
        <v/>
      </c>
      <c r="O220" s="50">
        <f>Saldos_Capital_Mensual!O220</f>
        <v/>
      </c>
      <c r="P220" s="50">
        <f>Saldos_Capital_Mensual!P220</f>
        <v/>
      </c>
      <c r="Q220" s="50">
        <f>Saldos_Capital_Mensual!Q220</f>
        <v/>
      </c>
      <c r="R220" s="50">
        <f>Saldos_Capital_Mensual!R220</f>
        <v/>
      </c>
      <c r="S220" s="50">
        <f>Saldos_Capital_Mensual!S220</f>
        <v/>
      </c>
      <c r="T220" s="50">
        <f>Saldos_Capital_Mensual!T220</f>
        <v/>
      </c>
      <c r="U220" s="50">
        <f>Saldos_Capital_Mensual!U220</f>
        <v/>
      </c>
    </row>
    <row r="221">
      <c r="A221" s="48">
        <f>Saldos_Capital_Mensual!A221</f>
        <v/>
      </c>
      <c r="B221" s="48">
        <f>Saldos_Capital_Mensual!B221</f>
        <v/>
      </c>
      <c r="C221" s="48">
        <f>Saldos_Capital_Mensual!C221</f>
        <v/>
      </c>
      <c r="D221" s="48">
        <f>Saldos_Capital_Mensual!D221</f>
        <v/>
      </c>
      <c r="E221" s="48">
        <f>Saldos_Capital_Mensual!E221</f>
        <v/>
      </c>
      <c r="F221" s="48">
        <f>Saldos_Capital_Mensual!F221</f>
        <v/>
      </c>
      <c r="G221" s="49">
        <f>Saldos_Capital_Mensual!G221</f>
        <v/>
      </c>
      <c r="H221" s="50">
        <f>Saldos_Capital_Mensual!H221</f>
        <v/>
      </c>
      <c r="I221" s="50">
        <f>Saldos_Capital_Mensual!I221</f>
        <v/>
      </c>
      <c r="J221" s="50">
        <f>Saldos_Capital_Mensual!J221</f>
        <v/>
      </c>
      <c r="K221" s="50">
        <f>Saldos_Capital_Mensual!K221</f>
        <v/>
      </c>
      <c r="L221" s="50">
        <f>Saldos_Capital_Mensual!L221</f>
        <v/>
      </c>
      <c r="M221" s="50">
        <f>Saldos_Capital_Mensual!M221</f>
        <v/>
      </c>
      <c r="N221" s="50">
        <f>Saldos_Capital_Mensual!N221</f>
        <v/>
      </c>
      <c r="O221" s="50">
        <f>Saldos_Capital_Mensual!O221</f>
        <v/>
      </c>
      <c r="P221" s="50">
        <f>Saldos_Capital_Mensual!P221</f>
        <v/>
      </c>
      <c r="Q221" s="50">
        <f>Saldos_Capital_Mensual!Q221</f>
        <v/>
      </c>
      <c r="R221" s="50">
        <f>Saldos_Capital_Mensual!R221</f>
        <v/>
      </c>
      <c r="S221" s="50">
        <f>Saldos_Capital_Mensual!S221</f>
        <v/>
      </c>
      <c r="T221" s="50">
        <f>Saldos_Capital_Mensual!T221</f>
        <v/>
      </c>
      <c r="U221" s="50">
        <f>Saldos_Capital_Mensual!U221</f>
        <v/>
      </c>
    </row>
    <row r="222">
      <c r="A222" s="48">
        <f>Saldos_Capital_Mensual!A222</f>
        <v/>
      </c>
      <c r="B222" s="48">
        <f>Saldos_Capital_Mensual!B222</f>
        <v/>
      </c>
      <c r="C222" s="48">
        <f>Saldos_Capital_Mensual!C222</f>
        <v/>
      </c>
      <c r="D222" s="48">
        <f>Saldos_Capital_Mensual!D222</f>
        <v/>
      </c>
      <c r="E222" s="48">
        <f>Saldos_Capital_Mensual!E222</f>
        <v/>
      </c>
      <c r="F222" s="48">
        <f>Saldos_Capital_Mensual!F222</f>
        <v/>
      </c>
      <c r="G222" s="49">
        <f>Saldos_Capital_Mensual!G222</f>
        <v/>
      </c>
      <c r="H222" s="50">
        <f>Saldos_Capital_Mensual!H222</f>
        <v/>
      </c>
      <c r="I222" s="50">
        <f>Saldos_Capital_Mensual!I222</f>
        <v/>
      </c>
      <c r="J222" s="50">
        <f>Saldos_Capital_Mensual!J222</f>
        <v/>
      </c>
      <c r="K222" s="50">
        <f>Saldos_Capital_Mensual!K222</f>
        <v/>
      </c>
      <c r="L222" s="50">
        <f>Saldos_Capital_Mensual!L222</f>
        <v/>
      </c>
      <c r="M222" s="50">
        <f>Saldos_Capital_Mensual!M222</f>
        <v/>
      </c>
      <c r="N222" s="50">
        <f>Saldos_Capital_Mensual!N222</f>
        <v/>
      </c>
      <c r="O222" s="50">
        <f>Saldos_Capital_Mensual!O222</f>
        <v/>
      </c>
      <c r="P222" s="50">
        <f>Saldos_Capital_Mensual!P222</f>
        <v/>
      </c>
      <c r="Q222" s="50">
        <f>Saldos_Capital_Mensual!Q222</f>
        <v/>
      </c>
      <c r="R222" s="50">
        <f>Saldos_Capital_Mensual!R222</f>
        <v/>
      </c>
      <c r="S222" s="50">
        <f>Saldos_Capital_Mensual!S222</f>
        <v/>
      </c>
      <c r="T222" s="50">
        <f>Saldos_Capital_Mensual!T222</f>
        <v/>
      </c>
      <c r="U222" s="50">
        <f>Saldos_Capital_Mensual!U222</f>
        <v/>
      </c>
    </row>
    <row r="223">
      <c r="A223" s="48">
        <f>Saldos_Capital_Mensual!A223</f>
        <v/>
      </c>
      <c r="B223" s="48">
        <f>Saldos_Capital_Mensual!B223</f>
        <v/>
      </c>
      <c r="C223" s="48">
        <f>Saldos_Capital_Mensual!C223</f>
        <v/>
      </c>
      <c r="D223" s="48">
        <f>Saldos_Capital_Mensual!D223</f>
        <v/>
      </c>
      <c r="E223" s="48">
        <f>Saldos_Capital_Mensual!E223</f>
        <v/>
      </c>
      <c r="F223" s="48">
        <f>Saldos_Capital_Mensual!F223</f>
        <v/>
      </c>
      <c r="G223" s="49">
        <f>Saldos_Capital_Mensual!G223</f>
        <v/>
      </c>
      <c r="H223" s="50">
        <f>Saldos_Capital_Mensual!H223</f>
        <v/>
      </c>
      <c r="I223" s="50">
        <f>Saldos_Capital_Mensual!I223</f>
        <v/>
      </c>
      <c r="J223" s="50">
        <f>Saldos_Capital_Mensual!J223</f>
        <v/>
      </c>
      <c r="K223" s="50">
        <f>Saldos_Capital_Mensual!K223</f>
        <v/>
      </c>
      <c r="L223" s="50">
        <f>Saldos_Capital_Mensual!L223</f>
        <v/>
      </c>
      <c r="M223" s="50">
        <f>Saldos_Capital_Mensual!M223</f>
        <v/>
      </c>
      <c r="N223" s="50">
        <f>Saldos_Capital_Mensual!N223</f>
        <v/>
      </c>
      <c r="O223" s="50">
        <f>Saldos_Capital_Mensual!O223</f>
        <v/>
      </c>
      <c r="P223" s="50">
        <f>Saldos_Capital_Mensual!P223</f>
        <v/>
      </c>
      <c r="Q223" s="50">
        <f>Saldos_Capital_Mensual!Q223</f>
        <v/>
      </c>
      <c r="R223" s="50">
        <f>Saldos_Capital_Mensual!R223</f>
        <v/>
      </c>
      <c r="S223" s="50">
        <f>Saldos_Capital_Mensual!S223</f>
        <v/>
      </c>
      <c r="T223" s="50">
        <f>Saldos_Capital_Mensual!T223</f>
        <v/>
      </c>
      <c r="U223" s="50">
        <f>Saldos_Capital_Mensual!U223</f>
        <v/>
      </c>
    </row>
    <row r="224">
      <c r="A224" s="48">
        <f>Saldos_Capital_Mensual!A224</f>
        <v/>
      </c>
      <c r="B224" s="48">
        <f>Saldos_Capital_Mensual!B224</f>
        <v/>
      </c>
      <c r="C224" s="48">
        <f>Saldos_Capital_Mensual!C224</f>
        <v/>
      </c>
      <c r="D224" s="48">
        <f>Saldos_Capital_Mensual!D224</f>
        <v/>
      </c>
      <c r="E224" s="48">
        <f>Saldos_Capital_Mensual!E224</f>
        <v/>
      </c>
      <c r="F224" s="48">
        <f>Saldos_Capital_Mensual!F224</f>
        <v/>
      </c>
      <c r="G224" s="49">
        <f>Saldos_Capital_Mensual!G224</f>
        <v/>
      </c>
      <c r="H224" s="50">
        <f>Saldos_Capital_Mensual!H224</f>
        <v/>
      </c>
      <c r="I224" s="50">
        <f>Saldos_Capital_Mensual!I224</f>
        <v/>
      </c>
      <c r="J224" s="50">
        <f>Saldos_Capital_Mensual!J224</f>
        <v/>
      </c>
      <c r="K224" s="50">
        <f>Saldos_Capital_Mensual!K224</f>
        <v/>
      </c>
      <c r="L224" s="50">
        <f>Saldos_Capital_Mensual!L224</f>
        <v/>
      </c>
      <c r="M224" s="50">
        <f>Saldos_Capital_Mensual!M224</f>
        <v/>
      </c>
      <c r="N224" s="50">
        <f>Saldos_Capital_Mensual!N224</f>
        <v/>
      </c>
      <c r="O224" s="50">
        <f>Saldos_Capital_Mensual!O224</f>
        <v/>
      </c>
      <c r="P224" s="50">
        <f>Saldos_Capital_Mensual!P224</f>
        <v/>
      </c>
      <c r="Q224" s="50">
        <f>Saldos_Capital_Mensual!Q224</f>
        <v/>
      </c>
      <c r="R224" s="50">
        <f>Saldos_Capital_Mensual!R224</f>
        <v/>
      </c>
      <c r="S224" s="50">
        <f>Saldos_Capital_Mensual!S224</f>
        <v/>
      </c>
      <c r="T224" s="50">
        <f>Saldos_Capital_Mensual!T224</f>
        <v/>
      </c>
      <c r="U224" s="50">
        <f>Saldos_Capital_Mensual!U224</f>
        <v/>
      </c>
    </row>
    <row r="225">
      <c r="A225" s="48">
        <f>Saldos_Capital_Mensual!A225</f>
        <v/>
      </c>
      <c r="B225" s="48">
        <f>Saldos_Capital_Mensual!B225</f>
        <v/>
      </c>
      <c r="C225" s="48">
        <f>Saldos_Capital_Mensual!C225</f>
        <v/>
      </c>
      <c r="D225" s="48">
        <f>Saldos_Capital_Mensual!D225</f>
        <v/>
      </c>
      <c r="E225" s="48">
        <f>Saldos_Capital_Mensual!E225</f>
        <v/>
      </c>
      <c r="F225" s="48">
        <f>Saldos_Capital_Mensual!F225</f>
        <v/>
      </c>
      <c r="G225" s="49">
        <f>Saldos_Capital_Mensual!G225</f>
        <v/>
      </c>
      <c r="H225" s="50">
        <f>Saldos_Capital_Mensual!H225</f>
        <v/>
      </c>
      <c r="I225" s="50">
        <f>Saldos_Capital_Mensual!I225</f>
        <v/>
      </c>
      <c r="J225" s="50">
        <f>Saldos_Capital_Mensual!J225</f>
        <v/>
      </c>
      <c r="K225" s="50">
        <f>Saldos_Capital_Mensual!K225</f>
        <v/>
      </c>
      <c r="L225" s="50">
        <f>Saldos_Capital_Mensual!L225</f>
        <v/>
      </c>
      <c r="M225" s="50">
        <f>Saldos_Capital_Mensual!M225</f>
        <v/>
      </c>
      <c r="N225" s="50">
        <f>Saldos_Capital_Mensual!N225</f>
        <v/>
      </c>
      <c r="O225" s="50">
        <f>Saldos_Capital_Mensual!O225</f>
        <v/>
      </c>
      <c r="P225" s="50">
        <f>Saldos_Capital_Mensual!P225</f>
        <v/>
      </c>
      <c r="Q225" s="50">
        <f>Saldos_Capital_Mensual!Q225</f>
        <v/>
      </c>
      <c r="R225" s="50">
        <f>Saldos_Capital_Mensual!R225</f>
        <v/>
      </c>
      <c r="S225" s="50">
        <f>Saldos_Capital_Mensual!S225</f>
        <v/>
      </c>
      <c r="T225" s="50">
        <f>Saldos_Capital_Mensual!T225</f>
        <v/>
      </c>
      <c r="U225" s="50">
        <f>Saldos_Capital_Mensual!U225</f>
        <v/>
      </c>
    </row>
    <row r="226">
      <c r="A226" s="48">
        <f>Saldos_Capital_Mensual!A226</f>
        <v/>
      </c>
      <c r="B226" s="48">
        <f>Saldos_Capital_Mensual!B226</f>
        <v/>
      </c>
      <c r="C226" s="48">
        <f>Saldos_Capital_Mensual!C226</f>
        <v/>
      </c>
      <c r="D226" s="48">
        <f>Saldos_Capital_Mensual!D226</f>
        <v/>
      </c>
      <c r="E226" s="48">
        <f>Saldos_Capital_Mensual!E226</f>
        <v/>
      </c>
      <c r="F226" s="48">
        <f>Saldos_Capital_Mensual!F226</f>
        <v/>
      </c>
      <c r="G226" s="49">
        <f>Saldos_Capital_Mensual!G226</f>
        <v/>
      </c>
      <c r="H226" s="50">
        <f>Saldos_Capital_Mensual!H226</f>
        <v/>
      </c>
      <c r="I226" s="50">
        <f>Saldos_Capital_Mensual!I226</f>
        <v/>
      </c>
      <c r="J226" s="50">
        <f>Saldos_Capital_Mensual!J226</f>
        <v/>
      </c>
      <c r="K226" s="50">
        <f>Saldos_Capital_Mensual!K226</f>
        <v/>
      </c>
      <c r="L226" s="50">
        <f>Saldos_Capital_Mensual!L226</f>
        <v/>
      </c>
      <c r="M226" s="50">
        <f>Saldos_Capital_Mensual!M226</f>
        <v/>
      </c>
      <c r="N226" s="50">
        <f>Saldos_Capital_Mensual!N226</f>
        <v/>
      </c>
      <c r="O226" s="50">
        <f>Saldos_Capital_Mensual!O226</f>
        <v/>
      </c>
      <c r="P226" s="50">
        <f>Saldos_Capital_Mensual!P226</f>
        <v/>
      </c>
      <c r="Q226" s="50">
        <f>Saldos_Capital_Mensual!Q226</f>
        <v/>
      </c>
      <c r="R226" s="50">
        <f>Saldos_Capital_Mensual!R226</f>
        <v/>
      </c>
      <c r="S226" s="50">
        <f>Saldos_Capital_Mensual!S226</f>
        <v/>
      </c>
      <c r="T226" s="50">
        <f>Saldos_Capital_Mensual!T226</f>
        <v/>
      </c>
      <c r="U226" s="50">
        <f>Saldos_Capital_Mensual!U226</f>
        <v/>
      </c>
    </row>
    <row r="227">
      <c r="A227" s="48">
        <f>Saldos_Capital_Mensual!A227</f>
        <v/>
      </c>
      <c r="B227" s="48">
        <f>Saldos_Capital_Mensual!B227</f>
        <v/>
      </c>
      <c r="C227" s="48">
        <f>Saldos_Capital_Mensual!C227</f>
        <v/>
      </c>
      <c r="D227" s="48">
        <f>Saldos_Capital_Mensual!D227</f>
        <v/>
      </c>
      <c r="E227" s="48">
        <f>Saldos_Capital_Mensual!E227</f>
        <v/>
      </c>
      <c r="F227" s="48">
        <f>Saldos_Capital_Mensual!F227</f>
        <v/>
      </c>
      <c r="G227" s="49">
        <f>Saldos_Capital_Mensual!G227</f>
        <v/>
      </c>
      <c r="H227" s="50">
        <f>Saldos_Capital_Mensual!H227</f>
        <v/>
      </c>
      <c r="I227" s="50">
        <f>Saldos_Capital_Mensual!I227</f>
        <v/>
      </c>
      <c r="J227" s="50">
        <f>Saldos_Capital_Mensual!J227</f>
        <v/>
      </c>
      <c r="K227" s="50">
        <f>Saldos_Capital_Mensual!K227</f>
        <v/>
      </c>
      <c r="L227" s="50">
        <f>Saldos_Capital_Mensual!L227</f>
        <v/>
      </c>
      <c r="M227" s="50">
        <f>Saldos_Capital_Mensual!M227</f>
        <v/>
      </c>
      <c r="N227" s="50">
        <f>Saldos_Capital_Mensual!N227</f>
        <v/>
      </c>
      <c r="O227" s="50">
        <f>Saldos_Capital_Mensual!O227</f>
        <v/>
      </c>
      <c r="P227" s="50">
        <f>Saldos_Capital_Mensual!P227</f>
        <v/>
      </c>
      <c r="Q227" s="50">
        <f>Saldos_Capital_Mensual!Q227</f>
        <v/>
      </c>
      <c r="R227" s="50">
        <f>Saldos_Capital_Mensual!R227</f>
        <v/>
      </c>
      <c r="S227" s="50">
        <f>Saldos_Capital_Mensual!S227</f>
        <v/>
      </c>
      <c r="T227" s="50">
        <f>Saldos_Capital_Mensual!T227</f>
        <v/>
      </c>
      <c r="U227" s="50">
        <f>Saldos_Capital_Mensual!U227</f>
        <v/>
      </c>
    </row>
    <row r="228">
      <c r="A228" s="48">
        <f>Saldos_Capital_Mensual!A228</f>
        <v/>
      </c>
      <c r="B228" s="48">
        <f>Saldos_Capital_Mensual!B228</f>
        <v/>
      </c>
      <c r="C228" s="48">
        <f>Saldos_Capital_Mensual!C228</f>
        <v/>
      </c>
      <c r="D228" s="48">
        <f>Saldos_Capital_Mensual!D228</f>
        <v/>
      </c>
      <c r="E228" s="48">
        <f>Saldos_Capital_Mensual!E228</f>
        <v/>
      </c>
      <c r="F228" s="48">
        <f>Saldos_Capital_Mensual!F228</f>
        <v/>
      </c>
      <c r="G228" s="49">
        <f>Saldos_Capital_Mensual!G228</f>
        <v/>
      </c>
      <c r="H228" s="50">
        <f>Saldos_Capital_Mensual!H228</f>
        <v/>
      </c>
      <c r="I228" s="50">
        <f>Saldos_Capital_Mensual!I228</f>
        <v/>
      </c>
      <c r="J228" s="50">
        <f>Saldos_Capital_Mensual!J228</f>
        <v/>
      </c>
      <c r="K228" s="50">
        <f>Saldos_Capital_Mensual!K228</f>
        <v/>
      </c>
      <c r="L228" s="50">
        <f>Saldos_Capital_Mensual!L228</f>
        <v/>
      </c>
      <c r="M228" s="50">
        <f>Saldos_Capital_Mensual!M228</f>
        <v/>
      </c>
      <c r="N228" s="50">
        <f>Saldos_Capital_Mensual!N228</f>
        <v/>
      </c>
      <c r="O228" s="50">
        <f>Saldos_Capital_Mensual!O228</f>
        <v/>
      </c>
      <c r="P228" s="50">
        <f>Saldos_Capital_Mensual!P228</f>
        <v/>
      </c>
      <c r="Q228" s="50">
        <f>Saldos_Capital_Mensual!Q228</f>
        <v/>
      </c>
      <c r="R228" s="50">
        <f>Saldos_Capital_Mensual!R228</f>
        <v/>
      </c>
      <c r="S228" s="50">
        <f>Saldos_Capital_Mensual!S228</f>
        <v/>
      </c>
      <c r="T228" s="50">
        <f>Saldos_Capital_Mensual!T228</f>
        <v/>
      </c>
      <c r="U228" s="50">
        <f>Saldos_Capital_Mensual!U228</f>
        <v/>
      </c>
    </row>
    <row r="229">
      <c r="A229" s="48">
        <f>Saldos_Capital_Mensual!A229</f>
        <v/>
      </c>
      <c r="B229" s="48">
        <f>Saldos_Capital_Mensual!B229</f>
        <v/>
      </c>
      <c r="C229" s="48">
        <f>Saldos_Capital_Mensual!C229</f>
        <v/>
      </c>
      <c r="D229" s="48">
        <f>Saldos_Capital_Mensual!D229</f>
        <v/>
      </c>
      <c r="E229" s="48">
        <f>Saldos_Capital_Mensual!E229</f>
        <v/>
      </c>
      <c r="F229" s="48">
        <f>Saldos_Capital_Mensual!F229</f>
        <v/>
      </c>
      <c r="G229" s="49">
        <f>Saldos_Capital_Mensual!G229</f>
        <v/>
      </c>
      <c r="H229" s="50">
        <f>Saldos_Capital_Mensual!H229</f>
        <v/>
      </c>
      <c r="I229" s="50">
        <f>Saldos_Capital_Mensual!I229</f>
        <v/>
      </c>
      <c r="J229" s="50">
        <f>Saldos_Capital_Mensual!J229</f>
        <v/>
      </c>
      <c r="K229" s="50">
        <f>Saldos_Capital_Mensual!K229</f>
        <v/>
      </c>
      <c r="L229" s="50">
        <f>Saldos_Capital_Mensual!L229</f>
        <v/>
      </c>
      <c r="M229" s="50">
        <f>Saldos_Capital_Mensual!M229</f>
        <v/>
      </c>
      <c r="N229" s="50">
        <f>Saldos_Capital_Mensual!N229</f>
        <v/>
      </c>
      <c r="O229" s="50">
        <f>Saldos_Capital_Mensual!O229</f>
        <v/>
      </c>
      <c r="P229" s="50">
        <f>Saldos_Capital_Mensual!P229</f>
        <v/>
      </c>
      <c r="Q229" s="50">
        <f>Saldos_Capital_Mensual!Q229</f>
        <v/>
      </c>
      <c r="R229" s="50">
        <f>Saldos_Capital_Mensual!R229</f>
        <v/>
      </c>
      <c r="S229" s="50">
        <f>Saldos_Capital_Mensual!S229</f>
        <v/>
      </c>
      <c r="T229" s="50">
        <f>Saldos_Capital_Mensual!T229</f>
        <v/>
      </c>
      <c r="U229" s="50">
        <f>Saldos_Capital_Mensual!U229</f>
        <v/>
      </c>
    </row>
    <row r="230">
      <c r="A230" s="48">
        <f>Saldos_Capital_Mensual!A230</f>
        <v/>
      </c>
      <c r="B230" s="48">
        <f>Saldos_Capital_Mensual!B230</f>
        <v/>
      </c>
      <c r="C230" s="48">
        <f>Saldos_Capital_Mensual!C230</f>
        <v/>
      </c>
      <c r="D230" s="48">
        <f>Saldos_Capital_Mensual!D230</f>
        <v/>
      </c>
      <c r="E230" s="48">
        <f>Saldos_Capital_Mensual!E230</f>
        <v/>
      </c>
      <c r="F230" s="48">
        <f>Saldos_Capital_Mensual!F230</f>
        <v/>
      </c>
      <c r="G230" s="49">
        <f>Saldos_Capital_Mensual!G230</f>
        <v/>
      </c>
      <c r="H230" s="50">
        <f>Saldos_Capital_Mensual!H230</f>
        <v/>
      </c>
      <c r="I230" s="50">
        <f>Saldos_Capital_Mensual!I230</f>
        <v/>
      </c>
      <c r="J230" s="50">
        <f>Saldos_Capital_Mensual!J230</f>
        <v/>
      </c>
      <c r="K230" s="50">
        <f>Saldos_Capital_Mensual!K230</f>
        <v/>
      </c>
      <c r="L230" s="50">
        <f>Saldos_Capital_Mensual!L230</f>
        <v/>
      </c>
      <c r="M230" s="50">
        <f>Saldos_Capital_Mensual!M230</f>
        <v/>
      </c>
      <c r="N230" s="50">
        <f>Saldos_Capital_Mensual!N230</f>
        <v/>
      </c>
      <c r="O230" s="50">
        <f>Saldos_Capital_Mensual!O230</f>
        <v/>
      </c>
      <c r="P230" s="50">
        <f>Saldos_Capital_Mensual!P230</f>
        <v/>
      </c>
      <c r="Q230" s="50">
        <f>Saldos_Capital_Mensual!Q230</f>
        <v/>
      </c>
      <c r="R230" s="50">
        <f>Saldos_Capital_Mensual!R230</f>
        <v/>
      </c>
      <c r="S230" s="50">
        <f>Saldos_Capital_Mensual!S230</f>
        <v/>
      </c>
      <c r="T230" s="50">
        <f>Saldos_Capital_Mensual!T230</f>
        <v/>
      </c>
      <c r="U230" s="50">
        <f>Saldos_Capital_Mensual!U230</f>
        <v/>
      </c>
    </row>
    <row r="231">
      <c r="A231" s="48">
        <f>Saldos_Capital_Mensual!A231</f>
        <v/>
      </c>
      <c r="B231" s="48">
        <f>Saldos_Capital_Mensual!B231</f>
        <v/>
      </c>
      <c r="C231" s="48">
        <f>Saldos_Capital_Mensual!C231</f>
        <v/>
      </c>
      <c r="D231" s="48">
        <f>Saldos_Capital_Mensual!D231</f>
        <v/>
      </c>
      <c r="E231" s="48">
        <f>Saldos_Capital_Mensual!E231</f>
        <v/>
      </c>
      <c r="F231" s="48">
        <f>Saldos_Capital_Mensual!F231</f>
        <v/>
      </c>
      <c r="G231" s="49">
        <f>Saldos_Capital_Mensual!G231</f>
        <v/>
      </c>
      <c r="H231" s="50">
        <f>Saldos_Capital_Mensual!H231</f>
        <v/>
      </c>
      <c r="I231" s="50">
        <f>Saldos_Capital_Mensual!I231</f>
        <v/>
      </c>
      <c r="J231" s="50">
        <f>Saldos_Capital_Mensual!J231</f>
        <v/>
      </c>
      <c r="K231" s="50">
        <f>Saldos_Capital_Mensual!K231</f>
        <v/>
      </c>
      <c r="L231" s="50">
        <f>Saldos_Capital_Mensual!L231</f>
        <v/>
      </c>
      <c r="M231" s="50">
        <f>Saldos_Capital_Mensual!M231</f>
        <v/>
      </c>
      <c r="N231" s="50">
        <f>Saldos_Capital_Mensual!N231</f>
        <v/>
      </c>
      <c r="O231" s="50">
        <f>Saldos_Capital_Mensual!O231</f>
        <v/>
      </c>
      <c r="P231" s="50">
        <f>Saldos_Capital_Mensual!P231</f>
        <v/>
      </c>
      <c r="Q231" s="50">
        <f>Saldos_Capital_Mensual!Q231</f>
        <v/>
      </c>
      <c r="R231" s="50">
        <f>Saldos_Capital_Mensual!R231</f>
        <v/>
      </c>
      <c r="S231" s="50">
        <f>Saldos_Capital_Mensual!S231</f>
        <v/>
      </c>
      <c r="T231" s="50">
        <f>Saldos_Capital_Mensual!T231</f>
        <v/>
      </c>
      <c r="U231" s="50">
        <f>Saldos_Capital_Mensual!U231</f>
        <v/>
      </c>
    </row>
    <row r="232">
      <c r="A232" s="48">
        <f>Saldos_Capital_Mensual!A232</f>
        <v/>
      </c>
      <c r="B232" s="48">
        <f>Saldos_Capital_Mensual!B232</f>
        <v/>
      </c>
      <c r="C232" s="48">
        <f>Saldos_Capital_Mensual!C232</f>
        <v/>
      </c>
      <c r="D232" s="48">
        <f>Saldos_Capital_Mensual!D232</f>
        <v/>
      </c>
      <c r="E232" s="48">
        <f>Saldos_Capital_Mensual!E232</f>
        <v/>
      </c>
      <c r="F232" s="48">
        <f>Saldos_Capital_Mensual!F232</f>
        <v/>
      </c>
      <c r="G232" s="49">
        <f>Saldos_Capital_Mensual!G232</f>
        <v/>
      </c>
      <c r="H232" s="50">
        <f>Saldos_Capital_Mensual!H232</f>
        <v/>
      </c>
      <c r="I232" s="50">
        <f>Saldos_Capital_Mensual!I232</f>
        <v/>
      </c>
      <c r="J232" s="50">
        <f>Saldos_Capital_Mensual!J232</f>
        <v/>
      </c>
      <c r="K232" s="50">
        <f>Saldos_Capital_Mensual!K232</f>
        <v/>
      </c>
      <c r="L232" s="50">
        <f>Saldos_Capital_Mensual!L232</f>
        <v/>
      </c>
      <c r="M232" s="50">
        <f>Saldos_Capital_Mensual!M232</f>
        <v/>
      </c>
      <c r="N232" s="50">
        <f>Saldos_Capital_Mensual!N232</f>
        <v/>
      </c>
      <c r="O232" s="50">
        <f>Saldos_Capital_Mensual!O232</f>
        <v/>
      </c>
      <c r="P232" s="50">
        <f>Saldos_Capital_Mensual!P232</f>
        <v/>
      </c>
      <c r="Q232" s="50">
        <f>Saldos_Capital_Mensual!Q232</f>
        <v/>
      </c>
      <c r="R232" s="50">
        <f>Saldos_Capital_Mensual!R232</f>
        <v/>
      </c>
      <c r="S232" s="50">
        <f>Saldos_Capital_Mensual!S232</f>
        <v/>
      </c>
      <c r="T232" s="50">
        <f>Saldos_Capital_Mensual!T232</f>
        <v/>
      </c>
      <c r="U232" s="50">
        <f>Saldos_Capital_Mensual!U232</f>
        <v/>
      </c>
    </row>
    <row r="233">
      <c r="A233" s="48">
        <f>Saldos_Capital_Mensual!A233</f>
        <v/>
      </c>
      <c r="B233" s="48">
        <f>Saldos_Capital_Mensual!B233</f>
        <v/>
      </c>
      <c r="C233" s="48">
        <f>Saldos_Capital_Mensual!C233</f>
        <v/>
      </c>
      <c r="D233" s="48">
        <f>Saldos_Capital_Mensual!D233</f>
        <v/>
      </c>
      <c r="E233" s="48">
        <f>Saldos_Capital_Mensual!E233</f>
        <v/>
      </c>
      <c r="F233" s="48">
        <f>Saldos_Capital_Mensual!F233</f>
        <v/>
      </c>
      <c r="G233" s="49">
        <f>Saldos_Capital_Mensual!G233</f>
        <v/>
      </c>
      <c r="H233" s="50">
        <f>Saldos_Capital_Mensual!H233</f>
        <v/>
      </c>
      <c r="I233" s="50">
        <f>Saldos_Capital_Mensual!I233</f>
        <v/>
      </c>
      <c r="J233" s="50">
        <f>Saldos_Capital_Mensual!J233</f>
        <v/>
      </c>
      <c r="K233" s="50">
        <f>Saldos_Capital_Mensual!K233</f>
        <v/>
      </c>
      <c r="L233" s="50">
        <f>Saldos_Capital_Mensual!L233</f>
        <v/>
      </c>
      <c r="M233" s="50">
        <f>Saldos_Capital_Mensual!M233</f>
        <v/>
      </c>
      <c r="N233" s="50">
        <f>Saldos_Capital_Mensual!N233</f>
        <v/>
      </c>
      <c r="O233" s="50">
        <f>Saldos_Capital_Mensual!O233</f>
        <v/>
      </c>
      <c r="P233" s="50">
        <f>Saldos_Capital_Mensual!P233</f>
        <v/>
      </c>
      <c r="Q233" s="50">
        <f>Saldos_Capital_Mensual!Q233</f>
        <v/>
      </c>
      <c r="R233" s="50">
        <f>Saldos_Capital_Mensual!R233</f>
        <v/>
      </c>
      <c r="S233" s="50">
        <f>Saldos_Capital_Mensual!S233</f>
        <v/>
      </c>
      <c r="T233" s="50">
        <f>Saldos_Capital_Mensual!T233</f>
        <v/>
      </c>
      <c r="U233" s="50">
        <f>Saldos_Capital_Mensual!U233</f>
        <v/>
      </c>
    </row>
    <row r="234">
      <c r="A234" s="48">
        <f>Saldos_Capital_Mensual!A234</f>
        <v/>
      </c>
      <c r="B234" s="48">
        <f>Saldos_Capital_Mensual!B234</f>
        <v/>
      </c>
      <c r="C234" s="48">
        <f>Saldos_Capital_Mensual!C234</f>
        <v/>
      </c>
      <c r="D234" s="48">
        <f>Saldos_Capital_Mensual!D234</f>
        <v/>
      </c>
      <c r="E234" s="48">
        <f>Saldos_Capital_Mensual!E234</f>
        <v/>
      </c>
      <c r="F234" s="48">
        <f>Saldos_Capital_Mensual!F234</f>
        <v/>
      </c>
      <c r="G234" s="49">
        <f>Saldos_Capital_Mensual!G234</f>
        <v/>
      </c>
      <c r="H234" s="50">
        <f>Saldos_Capital_Mensual!H234</f>
        <v/>
      </c>
      <c r="I234" s="50">
        <f>Saldos_Capital_Mensual!I234</f>
        <v/>
      </c>
      <c r="J234" s="50">
        <f>Saldos_Capital_Mensual!J234</f>
        <v/>
      </c>
      <c r="K234" s="50">
        <f>Saldos_Capital_Mensual!K234</f>
        <v/>
      </c>
      <c r="L234" s="50">
        <f>Saldos_Capital_Mensual!L234</f>
        <v/>
      </c>
      <c r="M234" s="50">
        <f>Saldos_Capital_Mensual!M234</f>
        <v/>
      </c>
      <c r="N234" s="50">
        <f>Saldos_Capital_Mensual!N234</f>
        <v/>
      </c>
      <c r="O234" s="50">
        <f>Saldos_Capital_Mensual!O234</f>
        <v/>
      </c>
      <c r="P234" s="50">
        <f>Saldos_Capital_Mensual!P234</f>
        <v/>
      </c>
      <c r="Q234" s="50">
        <f>Saldos_Capital_Mensual!Q234</f>
        <v/>
      </c>
      <c r="R234" s="50">
        <f>Saldos_Capital_Mensual!R234</f>
        <v/>
      </c>
      <c r="S234" s="50">
        <f>Saldos_Capital_Mensual!S234</f>
        <v/>
      </c>
      <c r="T234" s="50">
        <f>Saldos_Capital_Mensual!T234</f>
        <v/>
      </c>
      <c r="U234" s="50">
        <f>Saldos_Capital_Mensual!U234</f>
        <v/>
      </c>
    </row>
    <row r="235">
      <c r="A235" s="48">
        <f>Saldos_Capital_Mensual!A235</f>
        <v/>
      </c>
      <c r="B235" s="48">
        <f>Saldos_Capital_Mensual!B235</f>
        <v/>
      </c>
      <c r="C235" s="48">
        <f>Saldos_Capital_Mensual!C235</f>
        <v/>
      </c>
      <c r="D235" s="48">
        <f>Saldos_Capital_Mensual!D235</f>
        <v/>
      </c>
      <c r="E235" s="48">
        <f>Saldos_Capital_Mensual!E235</f>
        <v/>
      </c>
      <c r="F235" s="48">
        <f>Saldos_Capital_Mensual!F235</f>
        <v/>
      </c>
      <c r="G235" s="49">
        <f>Saldos_Capital_Mensual!G235</f>
        <v/>
      </c>
      <c r="H235" s="50">
        <f>Saldos_Capital_Mensual!H235</f>
        <v/>
      </c>
      <c r="I235" s="50">
        <f>Saldos_Capital_Mensual!I235</f>
        <v/>
      </c>
      <c r="J235" s="50">
        <f>Saldos_Capital_Mensual!J235</f>
        <v/>
      </c>
      <c r="K235" s="50">
        <f>Saldos_Capital_Mensual!K235</f>
        <v/>
      </c>
      <c r="L235" s="50">
        <f>Saldos_Capital_Mensual!L235</f>
        <v/>
      </c>
      <c r="M235" s="50">
        <f>Saldos_Capital_Mensual!M235</f>
        <v/>
      </c>
      <c r="N235" s="50">
        <f>Saldos_Capital_Mensual!N235</f>
        <v/>
      </c>
      <c r="O235" s="50">
        <f>Saldos_Capital_Mensual!O235</f>
        <v/>
      </c>
      <c r="P235" s="50">
        <f>Saldos_Capital_Mensual!P235</f>
        <v/>
      </c>
      <c r="Q235" s="50">
        <f>Saldos_Capital_Mensual!Q235</f>
        <v/>
      </c>
      <c r="R235" s="50">
        <f>Saldos_Capital_Mensual!R235</f>
        <v/>
      </c>
      <c r="S235" s="50">
        <f>Saldos_Capital_Mensual!S235</f>
        <v/>
      </c>
      <c r="T235" s="50">
        <f>Saldos_Capital_Mensual!T235</f>
        <v/>
      </c>
      <c r="U235" s="50">
        <f>Saldos_Capital_Mensual!U235</f>
        <v/>
      </c>
    </row>
    <row r="236">
      <c r="A236" s="48">
        <f>Saldos_Capital_Mensual!A236</f>
        <v/>
      </c>
      <c r="B236" s="48">
        <f>Saldos_Capital_Mensual!B236</f>
        <v/>
      </c>
      <c r="C236" s="48">
        <f>Saldos_Capital_Mensual!C236</f>
        <v/>
      </c>
      <c r="D236" s="48">
        <f>Saldos_Capital_Mensual!D236</f>
        <v/>
      </c>
      <c r="E236" s="48">
        <f>Saldos_Capital_Mensual!E236</f>
        <v/>
      </c>
      <c r="F236" s="48">
        <f>Saldos_Capital_Mensual!F236</f>
        <v/>
      </c>
      <c r="G236" s="49">
        <f>Saldos_Capital_Mensual!G236</f>
        <v/>
      </c>
      <c r="H236" s="50">
        <f>Saldos_Capital_Mensual!H236</f>
        <v/>
      </c>
      <c r="I236" s="50">
        <f>Saldos_Capital_Mensual!I236</f>
        <v/>
      </c>
      <c r="J236" s="50">
        <f>Saldos_Capital_Mensual!J236</f>
        <v/>
      </c>
      <c r="K236" s="50">
        <f>Saldos_Capital_Mensual!K236</f>
        <v/>
      </c>
      <c r="L236" s="50">
        <f>Saldos_Capital_Mensual!L236</f>
        <v/>
      </c>
      <c r="M236" s="50">
        <f>Saldos_Capital_Mensual!M236</f>
        <v/>
      </c>
      <c r="N236" s="50">
        <f>Saldos_Capital_Mensual!N236</f>
        <v/>
      </c>
      <c r="O236" s="50">
        <f>Saldos_Capital_Mensual!O236</f>
        <v/>
      </c>
      <c r="P236" s="50">
        <f>Saldos_Capital_Mensual!P236</f>
        <v/>
      </c>
      <c r="Q236" s="50">
        <f>Saldos_Capital_Mensual!Q236</f>
        <v/>
      </c>
      <c r="R236" s="50">
        <f>Saldos_Capital_Mensual!R236</f>
        <v/>
      </c>
      <c r="S236" s="50">
        <f>Saldos_Capital_Mensual!S236</f>
        <v/>
      </c>
      <c r="T236" s="50">
        <f>Saldos_Capital_Mensual!T236</f>
        <v/>
      </c>
      <c r="U236" s="50">
        <f>Saldos_Capital_Mensual!U236</f>
        <v/>
      </c>
    </row>
    <row r="237">
      <c r="A237" s="48">
        <f>Saldos_Capital_Mensual!A237</f>
        <v/>
      </c>
      <c r="B237" s="48">
        <f>Saldos_Capital_Mensual!B237</f>
        <v/>
      </c>
      <c r="C237" s="48">
        <f>Saldos_Capital_Mensual!C237</f>
        <v/>
      </c>
      <c r="D237" s="48">
        <f>Saldos_Capital_Mensual!D237</f>
        <v/>
      </c>
      <c r="E237" s="48">
        <f>Saldos_Capital_Mensual!E237</f>
        <v/>
      </c>
      <c r="F237" s="48">
        <f>Saldos_Capital_Mensual!F237</f>
        <v/>
      </c>
      <c r="G237" s="49">
        <f>Saldos_Capital_Mensual!G237</f>
        <v/>
      </c>
      <c r="H237" s="50">
        <f>Saldos_Capital_Mensual!H237</f>
        <v/>
      </c>
      <c r="I237" s="50">
        <f>Saldos_Capital_Mensual!I237</f>
        <v/>
      </c>
      <c r="J237" s="50">
        <f>Saldos_Capital_Mensual!J237</f>
        <v/>
      </c>
      <c r="K237" s="50">
        <f>Saldos_Capital_Mensual!K237</f>
        <v/>
      </c>
      <c r="L237" s="50">
        <f>Saldos_Capital_Mensual!L237</f>
        <v/>
      </c>
      <c r="M237" s="50">
        <f>Saldos_Capital_Mensual!M237</f>
        <v/>
      </c>
      <c r="N237" s="50">
        <f>Saldos_Capital_Mensual!N237</f>
        <v/>
      </c>
      <c r="O237" s="50">
        <f>Saldos_Capital_Mensual!O237</f>
        <v/>
      </c>
      <c r="P237" s="50">
        <f>Saldos_Capital_Mensual!P237</f>
        <v/>
      </c>
      <c r="Q237" s="50">
        <f>Saldos_Capital_Mensual!Q237</f>
        <v/>
      </c>
      <c r="R237" s="50">
        <f>Saldos_Capital_Mensual!R237</f>
        <v/>
      </c>
      <c r="S237" s="50">
        <f>Saldos_Capital_Mensual!S237</f>
        <v/>
      </c>
      <c r="T237" s="50">
        <f>Saldos_Capital_Mensual!T237</f>
        <v/>
      </c>
      <c r="U237" s="50">
        <f>Saldos_Capital_Mensual!U237</f>
        <v/>
      </c>
    </row>
    <row r="238">
      <c r="A238" s="48">
        <f>Saldos_Capital_Mensual!A238</f>
        <v/>
      </c>
      <c r="B238" s="48">
        <f>Saldos_Capital_Mensual!B238</f>
        <v/>
      </c>
      <c r="C238" s="48">
        <f>Saldos_Capital_Mensual!C238</f>
        <v/>
      </c>
      <c r="D238" s="48">
        <f>Saldos_Capital_Mensual!D238</f>
        <v/>
      </c>
      <c r="E238" s="48">
        <f>Saldos_Capital_Mensual!E238</f>
        <v/>
      </c>
      <c r="F238" s="48">
        <f>Saldos_Capital_Mensual!F238</f>
        <v/>
      </c>
      <c r="G238" s="49">
        <f>Saldos_Capital_Mensual!G238</f>
        <v/>
      </c>
      <c r="H238" s="50">
        <f>Saldos_Capital_Mensual!H238</f>
        <v/>
      </c>
      <c r="I238" s="50">
        <f>Saldos_Capital_Mensual!I238</f>
        <v/>
      </c>
      <c r="J238" s="50">
        <f>Saldos_Capital_Mensual!J238</f>
        <v/>
      </c>
      <c r="K238" s="50">
        <f>Saldos_Capital_Mensual!K238</f>
        <v/>
      </c>
      <c r="L238" s="50">
        <f>Saldos_Capital_Mensual!L238</f>
        <v/>
      </c>
      <c r="M238" s="50">
        <f>Saldos_Capital_Mensual!M238</f>
        <v/>
      </c>
      <c r="N238" s="50">
        <f>Saldos_Capital_Mensual!N238</f>
        <v/>
      </c>
      <c r="O238" s="50">
        <f>Saldos_Capital_Mensual!O238</f>
        <v/>
      </c>
      <c r="P238" s="50">
        <f>Saldos_Capital_Mensual!P238</f>
        <v/>
      </c>
      <c r="Q238" s="50">
        <f>Saldos_Capital_Mensual!Q238</f>
        <v/>
      </c>
      <c r="R238" s="50">
        <f>Saldos_Capital_Mensual!R238</f>
        <v/>
      </c>
      <c r="S238" s="50">
        <f>Saldos_Capital_Mensual!S238</f>
        <v/>
      </c>
      <c r="T238" s="50">
        <f>Saldos_Capital_Mensual!T238</f>
        <v/>
      </c>
      <c r="U238" s="50">
        <f>Saldos_Capital_Mensual!U238</f>
        <v/>
      </c>
    </row>
    <row r="239">
      <c r="A239" s="48">
        <f>Saldos_Capital_Mensual!A239</f>
        <v/>
      </c>
      <c r="B239" s="48">
        <f>Saldos_Capital_Mensual!B239</f>
        <v/>
      </c>
      <c r="C239" s="48">
        <f>Saldos_Capital_Mensual!C239</f>
        <v/>
      </c>
      <c r="D239" s="48">
        <f>Saldos_Capital_Mensual!D239</f>
        <v/>
      </c>
      <c r="E239" s="48">
        <f>Saldos_Capital_Mensual!E239</f>
        <v/>
      </c>
      <c r="F239" s="48">
        <f>Saldos_Capital_Mensual!F239</f>
        <v/>
      </c>
      <c r="G239" s="49">
        <f>Saldos_Capital_Mensual!G239</f>
        <v/>
      </c>
      <c r="H239" s="50">
        <f>Saldos_Capital_Mensual!H239</f>
        <v/>
      </c>
      <c r="I239" s="50">
        <f>Saldos_Capital_Mensual!I239</f>
        <v/>
      </c>
      <c r="J239" s="50">
        <f>Saldos_Capital_Mensual!J239</f>
        <v/>
      </c>
      <c r="K239" s="50">
        <f>Saldos_Capital_Mensual!K239</f>
        <v/>
      </c>
      <c r="L239" s="50">
        <f>Saldos_Capital_Mensual!L239</f>
        <v/>
      </c>
      <c r="M239" s="50">
        <f>Saldos_Capital_Mensual!M239</f>
        <v/>
      </c>
      <c r="N239" s="50">
        <f>Saldos_Capital_Mensual!N239</f>
        <v/>
      </c>
      <c r="O239" s="50">
        <f>Saldos_Capital_Mensual!O239</f>
        <v/>
      </c>
      <c r="P239" s="50">
        <f>Saldos_Capital_Mensual!P239</f>
        <v/>
      </c>
      <c r="Q239" s="50">
        <f>Saldos_Capital_Mensual!Q239</f>
        <v/>
      </c>
      <c r="R239" s="50">
        <f>Saldos_Capital_Mensual!R239</f>
        <v/>
      </c>
      <c r="S239" s="50">
        <f>Saldos_Capital_Mensual!S239</f>
        <v/>
      </c>
      <c r="T239" s="50">
        <f>Saldos_Capital_Mensual!T239</f>
        <v/>
      </c>
      <c r="U239" s="50">
        <f>Saldos_Capital_Mensual!U239</f>
        <v/>
      </c>
    </row>
    <row r="240">
      <c r="A240" s="48">
        <f>Saldos_Capital_Mensual!A240</f>
        <v/>
      </c>
      <c r="B240" s="48">
        <f>Saldos_Capital_Mensual!B240</f>
        <v/>
      </c>
      <c r="C240" s="48">
        <f>Saldos_Capital_Mensual!C240</f>
        <v/>
      </c>
      <c r="D240" s="48">
        <f>Saldos_Capital_Mensual!D240</f>
        <v/>
      </c>
      <c r="E240" s="48">
        <f>Saldos_Capital_Mensual!E240</f>
        <v/>
      </c>
      <c r="F240" s="48">
        <f>Saldos_Capital_Mensual!F240</f>
        <v/>
      </c>
      <c r="G240" s="49">
        <f>Saldos_Capital_Mensual!G240</f>
        <v/>
      </c>
      <c r="H240" s="50">
        <f>Saldos_Capital_Mensual!H240</f>
        <v/>
      </c>
      <c r="I240" s="50">
        <f>Saldos_Capital_Mensual!I240</f>
        <v/>
      </c>
      <c r="J240" s="50">
        <f>Saldos_Capital_Mensual!J240</f>
        <v/>
      </c>
      <c r="K240" s="50">
        <f>Saldos_Capital_Mensual!K240</f>
        <v/>
      </c>
      <c r="L240" s="50">
        <f>Saldos_Capital_Mensual!L240</f>
        <v/>
      </c>
      <c r="M240" s="50">
        <f>Saldos_Capital_Mensual!M240</f>
        <v/>
      </c>
      <c r="N240" s="50">
        <f>Saldos_Capital_Mensual!N240</f>
        <v/>
      </c>
      <c r="O240" s="50">
        <f>Saldos_Capital_Mensual!O240</f>
        <v/>
      </c>
      <c r="P240" s="50">
        <f>Saldos_Capital_Mensual!P240</f>
        <v/>
      </c>
      <c r="Q240" s="50">
        <f>Saldos_Capital_Mensual!Q240</f>
        <v/>
      </c>
      <c r="R240" s="50">
        <f>Saldos_Capital_Mensual!R240</f>
        <v/>
      </c>
      <c r="S240" s="50">
        <f>Saldos_Capital_Mensual!S240</f>
        <v/>
      </c>
      <c r="T240" s="50">
        <f>Saldos_Capital_Mensual!T240</f>
        <v/>
      </c>
      <c r="U240" s="50">
        <f>Saldos_Capital_Mensual!U240</f>
        <v/>
      </c>
    </row>
    <row r="241">
      <c r="A241" s="48">
        <f>Saldos_Capital_Mensual!A241</f>
        <v/>
      </c>
      <c r="B241" s="48">
        <f>Saldos_Capital_Mensual!B241</f>
        <v/>
      </c>
      <c r="C241" s="48">
        <f>Saldos_Capital_Mensual!C241</f>
        <v/>
      </c>
      <c r="D241" s="48">
        <f>Saldos_Capital_Mensual!D241</f>
        <v/>
      </c>
      <c r="E241" s="48">
        <f>Saldos_Capital_Mensual!E241</f>
        <v/>
      </c>
      <c r="F241" s="48">
        <f>Saldos_Capital_Mensual!F241</f>
        <v/>
      </c>
      <c r="G241" s="49">
        <f>Saldos_Capital_Mensual!G241</f>
        <v/>
      </c>
      <c r="H241" s="50">
        <f>Saldos_Capital_Mensual!H241</f>
        <v/>
      </c>
      <c r="I241" s="50">
        <f>Saldos_Capital_Mensual!I241</f>
        <v/>
      </c>
      <c r="J241" s="50">
        <f>Saldos_Capital_Mensual!J241</f>
        <v/>
      </c>
      <c r="K241" s="50">
        <f>Saldos_Capital_Mensual!K241</f>
        <v/>
      </c>
      <c r="L241" s="50">
        <f>Saldos_Capital_Mensual!L241</f>
        <v/>
      </c>
      <c r="M241" s="50">
        <f>Saldos_Capital_Mensual!M241</f>
        <v/>
      </c>
      <c r="N241" s="50">
        <f>Saldos_Capital_Mensual!N241</f>
        <v/>
      </c>
      <c r="O241" s="50">
        <f>Saldos_Capital_Mensual!O241</f>
        <v/>
      </c>
      <c r="P241" s="50">
        <f>Saldos_Capital_Mensual!P241</f>
        <v/>
      </c>
      <c r="Q241" s="50">
        <f>Saldos_Capital_Mensual!Q241</f>
        <v/>
      </c>
      <c r="R241" s="50">
        <f>Saldos_Capital_Mensual!R241</f>
        <v/>
      </c>
      <c r="S241" s="50">
        <f>Saldos_Capital_Mensual!S241</f>
        <v/>
      </c>
      <c r="T241" s="50">
        <f>Saldos_Capital_Mensual!T241</f>
        <v/>
      </c>
      <c r="U241" s="50">
        <f>Saldos_Capital_Mensual!U241</f>
        <v/>
      </c>
    </row>
    <row r="242">
      <c r="A242" s="48">
        <f>Saldos_Capital_Mensual!A242</f>
        <v/>
      </c>
      <c r="B242" s="48">
        <f>Saldos_Capital_Mensual!B242</f>
        <v/>
      </c>
      <c r="C242" s="48">
        <f>Saldos_Capital_Mensual!C242</f>
        <v/>
      </c>
      <c r="D242" s="48">
        <f>Saldos_Capital_Mensual!D242</f>
        <v/>
      </c>
      <c r="E242" s="48">
        <f>Saldos_Capital_Mensual!E242</f>
        <v/>
      </c>
      <c r="F242" s="48">
        <f>Saldos_Capital_Mensual!F242</f>
        <v/>
      </c>
      <c r="G242" s="49">
        <f>Saldos_Capital_Mensual!G242</f>
        <v/>
      </c>
      <c r="H242" s="50">
        <f>Saldos_Capital_Mensual!H242</f>
        <v/>
      </c>
      <c r="I242" s="50">
        <f>Saldos_Capital_Mensual!I242</f>
        <v/>
      </c>
      <c r="J242" s="50">
        <f>Saldos_Capital_Mensual!J242</f>
        <v/>
      </c>
      <c r="K242" s="50">
        <f>Saldos_Capital_Mensual!K242</f>
        <v/>
      </c>
      <c r="L242" s="50">
        <f>Saldos_Capital_Mensual!L242</f>
        <v/>
      </c>
      <c r="M242" s="50">
        <f>Saldos_Capital_Mensual!M242</f>
        <v/>
      </c>
      <c r="N242" s="50">
        <f>Saldos_Capital_Mensual!N242</f>
        <v/>
      </c>
      <c r="O242" s="50">
        <f>Saldos_Capital_Mensual!O242</f>
        <v/>
      </c>
      <c r="P242" s="50">
        <f>Saldos_Capital_Mensual!P242</f>
        <v/>
      </c>
      <c r="Q242" s="50">
        <f>Saldos_Capital_Mensual!Q242</f>
        <v/>
      </c>
      <c r="R242" s="50">
        <f>Saldos_Capital_Mensual!R242</f>
        <v/>
      </c>
      <c r="S242" s="50">
        <f>Saldos_Capital_Mensual!S242</f>
        <v/>
      </c>
      <c r="T242" s="50">
        <f>Saldos_Capital_Mensual!T242</f>
        <v/>
      </c>
      <c r="U242" s="50">
        <f>Saldos_Capital_Mensual!U242</f>
        <v/>
      </c>
    </row>
    <row r="243">
      <c r="A243" s="48">
        <f>Saldos_Capital_Mensual!A243</f>
        <v/>
      </c>
      <c r="B243" s="48">
        <f>Saldos_Capital_Mensual!B243</f>
        <v/>
      </c>
      <c r="C243" s="48">
        <f>Saldos_Capital_Mensual!C243</f>
        <v/>
      </c>
      <c r="D243" s="48">
        <f>Saldos_Capital_Mensual!D243</f>
        <v/>
      </c>
      <c r="E243" s="48">
        <f>Saldos_Capital_Mensual!E243</f>
        <v/>
      </c>
      <c r="F243" s="48">
        <f>Saldos_Capital_Mensual!F243</f>
        <v/>
      </c>
      <c r="G243" s="49">
        <f>Saldos_Capital_Mensual!G243</f>
        <v/>
      </c>
      <c r="H243" s="50">
        <f>Saldos_Capital_Mensual!H243</f>
        <v/>
      </c>
      <c r="I243" s="50">
        <f>Saldos_Capital_Mensual!I243</f>
        <v/>
      </c>
      <c r="J243" s="50">
        <f>Saldos_Capital_Mensual!J243</f>
        <v/>
      </c>
      <c r="K243" s="50">
        <f>Saldos_Capital_Mensual!K243</f>
        <v/>
      </c>
      <c r="L243" s="50">
        <f>Saldos_Capital_Mensual!L243</f>
        <v/>
      </c>
      <c r="M243" s="50">
        <f>Saldos_Capital_Mensual!M243</f>
        <v/>
      </c>
      <c r="N243" s="50">
        <f>Saldos_Capital_Mensual!N243</f>
        <v/>
      </c>
      <c r="O243" s="50">
        <f>Saldos_Capital_Mensual!O243</f>
        <v/>
      </c>
      <c r="P243" s="50">
        <f>Saldos_Capital_Mensual!P243</f>
        <v/>
      </c>
      <c r="Q243" s="50">
        <f>Saldos_Capital_Mensual!Q243</f>
        <v/>
      </c>
      <c r="R243" s="50">
        <f>Saldos_Capital_Mensual!R243</f>
        <v/>
      </c>
      <c r="S243" s="50">
        <f>Saldos_Capital_Mensual!S243</f>
        <v/>
      </c>
      <c r="T243" s="50">
        <f>Saldos_Capital_Mensual!T243</f>
        <v/>
      </c>
      <c r="U243" s="50">
        <f>Saldos_Capital_Mensual!U243</f>
        <v/>
      </c>
    </row>
    <row r="244">
      <c r="A244" s="48">
        <f>Saldos_Capital_Mensual!A244</f>
        <v/>
      </c>
      <c r="B244" s="48">
        <f>Saldos_Capital_Mensual!B244</f>
        <v/>
      </c>
      <c r="C244" s="48">
        <f>Saldos_Capital_Mensual!C244</f>
        <v/>
      </c>
      <c r="D244" s="48">
        <f>Saldos_Capital_Mensual!D244</f>
        <v/>
      </c>
      <c r="E244" s="48">
        <f>Saldos_Capital_Mensual!E244</f>
        <v/>
      </c>
      <c r="F244" s="48">
        <f>Saldos_Capital_Mensual!F244</f>
        <v/>
      </c>
      <c r="G244" s="49">
        <f>Saldos_Capital_Mensual!G244</f>
        <v/>
      </c>
      <c r="H244" s="50">
        <f>Saldos_Capital_Mensual!H244</f>
        <v/>
      </c>
      <c r="I244" s="50">
        <f>Saldos_Capital_Mensual!I244</f>
        <v/>
      </c>
      <c r="J244" s="50">
        <f>Saldos_Capital_Mensual!J244</f>
        <v/>
      </c>
      <c r="K244" s="50">
        <f>Saldos_Capital_Mensual!K244</f>
        <v/>
      </c>
      <c r="L244" s="50">
        <f>Saldos_Capital_Mensual!L244</f>
        <v/>
      </c>
      <c r="M244" s="50">
        <f>Saldos_Capital_Mensual!M244</f>
        <v/>
      </c>
      <c r="N244" s="50">
        <f>Saldos_Capital_Mensual!N244</f>
        <v/>
      </c>
      <c r="O244" s="50">
        <f>Saldos_Capital_Mensual!O244</f>
        <v/>
      </c>
      <c r="P244" s="50">
        <f>Saldos_Capital_Mensual!P244</f>
        <v/>
      </c>
      <c r="Q244" s="50">
        <f>Saldos_Capital_Mensual!Q244</f>
        <v/>
      </c>
      <c r="R244" s="50">
        <f>Saldos_Capital_Mensual!R244</f>
        <v/>
      </c>
      <c r="S244" s="50">
        <f>Saldos_Capital_Mensual!S244</f>
        <v/>
      </c>
      <c r="T244" s="50">
        <f>Saldos_Capital_Mensual!T244</f>
        <v/>
      </c>
      <c r="U244" s="50">
        <f>Saldos_Capital_Mensual!U244</f>
        <v/>
      </c>
    </row>
    <row r="245">
      <c r="A245" s="48">
        <f>Saldos_Capital_Mensual!A245</f>
        <v/>
      </c>
      <c r="B245" s="48">
        <f>Saldos_Capital_Mensual!B245</f>
        <v/>
      </c>
      <c r="C245" s="48">
        <f>Saldos_Capital_Mensual!C245</f>
        <v/>
      </c>
      <c r="D245" s="48">
        <f>Saldos_Capital_Mensual!D245</f>
        <v/>
      </c>
      <c r="E245" s="48">
        <f>Saldos_Capital_Mensual!E245</f>
        <v/>
      </c>
      <c r="F245" s="48">
        <f>Saldos_Capital_Mensual!F245</f>
        <v/>
      </c>
      <c r="G245" s="49">
        <f>Saldos_Capital_Mensual!G245</f>
        <v/>
      </c>
      <c r="H245" s="50">
        <f>Saldos_Capital_Mensual!H245</f>
        <v/>
      </c>
      <c r="I245" s="50">
        <f>Saldos_Capital_Mensual!I245</f>
        <v/>
      </c>
      <c r="J245" s="50">
        <f>Saldos_Capital_Mensual!J245</f>
        <v/>
      </c>
      <c r="K245" s="50">
        <f>Saldos_Capital_Mensual!K245</f>
        <v/>
      </c>
      <c r="L245" s="50">
        <f>Saldos_Capital_Mensual!L245</f>
        <v/>
      </c>
      <c r="M245" s="50">
        <f>Saldos_Capital_Mensual!M245</f>
        <v/>
      </c>
      <c r="N245" s="50">
        <f>Saldos_Capital_Mensual!N245</f>
        <v/>
      </c>
      <c r="O245" s="50">
        <f>Saldos_Capital_Mensual!O245</f>
        <v/>
      </c>
      <c r="P245" s="50">
        <f>Saldos_Capital_Mensual!P245</f>
        <v/>
      </c>
      <c r="Q245" s="50">
        <f>Saldos_Capital_Mensual!Q245</f>
        <v/>
      </c>
      <c r="R245" s="50">
        <f>Saldos_Capital_Mensual!R245</f>
        <v/>
      </c>
      <c r="S245" s="50">
        <f>Saldos_Capital_Mensual!S245</f>
        <v/>
      </c>
      <c r="T245" s="50">
        <f>Saldos_Capital_Mensual!T245</f>
        <v/>
      </c>
      <c r="U245" s="50">
        <f>Saldos_Capital_Mensual!U245</f>
        <v/>
      </c>
    </row>
    <row r="246">
      <c r="A246" s="48">
        <f>Saldos_Capital_Mensual!A246</f>
        <v/>
      </c>
      <c r="B246" s="48">
        <f>Saldos_Capital_Mensual!B246</f>
        <v/>
      </c>
      <c r="C246" s="48">
        <f>Saldos_Capital_Mensual!C246</f>
        <v/>
      </c>
      <c r="D246" s="48">
        <f>Saldos_Capital_Mensual!D246</f>
        <v/>
      </c>
      <c r="E246" s="48">
        <f>Saldos_Capital_Mensual!E246</f>
        <v/>
      </c>
      <c r="F246" s="48">
        <f>Saldos_Capital_Mensual!F246</f>
        <v/>
      </c>
      <c r="G246" s="49">
        <f>Saldos_Capital_Mensual!G246</f>
        <v/>
      </c>
      <c r="H246" s="50">
        <f>Saldos_Capital_Mensual!H246</f>
        <v/>
      </c>
      <c r="I246" s="50">
        <f>Saldos_Capital_Mensual!I246</f>
        <v/>
      </c>
      <c r="J246" s="50">
        <f>Saldos_Capital_Mensual!J246</f>
        <v/>
      </c>
      <c r="K246" s="50">
        <f>Saldos_Capital_Mensual!K246</f>
        <v/>
      </c>
      <c r="L246" s="50">
        <f>Saldos_Capital_Mensual!L246</f>
        <v/>
      </c>
      <c r="M246" s="50">
        <f>Saldos_Capital_Mensual!M246</f>
        <v/>
      </c>
      <c r="N246" s="50">
        <f>Saldos_Capital_Mensual!N246</f>
        <v/>
      </c>
      <c r="O246" s="50">
        <f>Saldos_Capital_Mensual!O246</f>
        <v/>
      </c>
      <c r="P246" s="50">
        <f>Saldos_Capital_Mensual!P246</f>
        <v/>
      </c>
      <c r="Q246" s="50">
        <f>Saldos_Capital_Mensual!Q246</f>
        <v/>
      </c>
      <c r="R246" s="50">
        <f>Saldos_Capital_Mensual!R246</f>
        <v/>
      </c>
      <c r="S246" s="50">
        <f>Saldos_Capital_Mensual!S246</f>
        <v/>
      </c>
      <c r="T246" s="50">
        <f>Saldos_Capital_Mensual!T246</f>
        <v/>
      </c>
      <c r="U246" s="50">
        <f>Saldos_Capital_Mensual!U246</f>
        <v/>
      </c>
    </row>
    <row r="247">
      <c r="A247" s="48">
        <f>Saldos_Capital_Mensual!A247</f>
        <v/>
      </c>
      <c r="B247" s="48">
        <f>Saldos_Capital_Mensual!B247</f>
        <v/>
      </c>
      <c r="C247" s="48">
        <f>Saldos_Capital_Mensual!C247</f>
        <v/>
      </c>
      <c r="D247" s="48">
        <f>Saldos_Capital_Mensual!D247</f>
        <v/>
      </c>
      <c r="E247" s="48">
        <f>Saldos_Capital_Mensual!E247</f>
        <v/>
      </c>
      <c r="F247" s="48">
        <f>Saldos_Capital_Mensual!F247</f>
        <v/>
      </c>
      <c r="G247" s="49">
        <f>Saldos_Capital_Mensual!G247</f>
        <v/>
      </c>
      <c r="H247" s="50">
        <f>Saldos_Capital_Mensual!H247</f>
        <v/>
      </c>
      <c r="I247" s="50">
        <f>Saldos_Capital_Mensual!I247</f>
        <v/>
      </c>
      <c r="J247" s="50">
        <f>Saldos_Capital_Mensual!J247</f>
        <v/>
      </c>
      <c r="K247" s="50">
        <f>Saldos_Capital_Mensual!K247</f>
        <v/>
      </c>
      <c r="L247" s="50">
        <f>Saldos_Capital_Mensual!L247</f>
        <v/>
      </c>
      <c r="M247" s="50">
        <f>Saldos_Capital_Mensual!M247</f>
        <v/>
      </c>
      <c r="N247" s="50">
        <f>Saldos_Capital_Mensual!N247</f>
        <v/>
      </c>
      <c r="O247" s="50">
        <f>Saldos_Capital_Mensual!O247</f>
        <v/>
      </c>
      <c r="P247" s="50">
        <f>Saldos_Capital_Mensual!P247</f>
        <v/>
      </c>
      <c r="Q247" s="50">
        <f>Saldos_Capital_Mensual!Q247</f>
        <v/>
      </c>
      <c r="R247" s="50">
        <f>Saldos_Capital_Mensual!R247</f>
        <v/>
      </c>
      <c r="S247" s="50">
        <f>Saldos_Capital_Mensual!S247</f>
        <v/>
      </c>
      <c r="T247" s="50">
        <f>Saldos_Capital_Mensual!T247</f>
        <v/>
      </c>
      <c r="U247" s="50">
        <f>Saldos_Capital_Mensual!U247</f>
        <v/>
      </c>
    </row>
    <row r="248">
      <c r="A248" s="48">
        <f>Saldos_Capital_Mensual!A248</f>
        <v/>
      </c>
      <c r="B248" s="48">
        <f>Saldos_Capital_Mensual!B248</f>
        <v/>
      </c>
      <c r="C248" s="48">
        <f>Saldos_Capital_Mensual!C248</f>
        <v/>
      </c>
      <c r="D248" s="48">
        <f>Saldos_Capital_Mensual!D248</f>
        <v/>
      </c>
      <c r="E248" s="48">
        <f>Saldos_Capital_Mensual!E248</f>
        <v/>
      </c>
      <c r="F248" s="48">
        <f>Saldos_Capital_Mensual!F248</f>
        <v/>
      </c>
      <c r="G248" s="49">
        <f>Saldos_Capital_Mensual!G248</f>
        <v/>
      </c>
      <c r="H248" s="50">
        <f>Saldos_Capital_Mensual!H248</f>
        <v/>
      </c>
      <c r="I248" s="50">
        <f>Saldos_Capital_Mensual!I248</f>
        <v/>
      </c>
      <c r="J248" s="50">
        <f>Saldos_Capital_Mensual!J248</f>
        <v/>
      </c>
      <c r="K248" s="50">
        <f>Saldos_Capital_Mensual!K248</f>
        <v/>
      </c>
      <c r="L248" s="50">
        <f>Saldos_Capital_Mensual!L248</f>
        <v/>
      </c>
      <c r="M248" s="50">
        <f>Saldos_Capital_Mensual!M248</f>
        <v/>
      </c>
      <c r="N248" s="50">
        <f>Saldos_Capital_Mensual!N248</f>
        <v/>
      </c>
      <c r="O248" s="50">
        <f>Saldos_Capital_Mensual!O248</f>
        <v/>
      </c>
      <c r="P248" s="50">
        <f>Saldos_Capital_Mensual!P248</f>
        <v/>
      </c>
      <c r="Q248" s="50">
        <f>Saldos_Capital_Mensual!Q248</f>
        <v/>
      </c>
      <c r="R248" s="50">
        <f>Saldos_Capital_Mensual!R248</f>
        <v/>
      </c>
      <c r="S248" s="50">
        <f>Saldos_Capital_Mensual!S248</f>
        <v/>
      </c>
      <c r="T248" s="50">
        <f>Saldos_Capital_Mensual!T248</f>
        <v/>
      </c>
      <c r="U248" s="50">
        <f>Saldos_Capital_Mensual!U248</f>
        <v/>
      </c>
    </row>
    <row r="249">
      <c r="A249" s="48">
        <f>Saldos_Capital_Mensual!A249</f>
        <v/>
      </c>
      <c r="B249" s="48">
        <f>Saldos_Capital_Mensual!B249</f>
        <v/>
      </c>
      <c r="C249" s="48">
        <f>Saldos_Capital_Mensual!C249</f>
        <v/>
      </c>
      <c r="D249" s="48">
        <f>Saldos_Capital_Mensual!D249</f>
        <v/>
      </c>
      <c r="E249" s="48">
        <f>Saldos_Capital_Mensual!E249</f>
        <v/>
      </c>
      <c r="F249" s="48">
        <f>Saldos_Capital_Mensual!F249</f>
        <v/>
      </c>
      <c r="G249" s="49">
        <f>Saldos_Capital_Mensual!G249</f>
        <v/>
      </c>
      <c r="H249" s="50">
        <f>Saldos_Capital_Mensual!H249</f>
        <v/>
      </c>
      <c r="I249" s="50">
        <f>Saldos_Capital_Mensual!I249</f>
        <v/>
      </c>
      <c r="J249" s="50">
        <f>Saldos_Capital_Mensual!J249</f>
        <v/>
      </c>
      <c r="K249" s="50">
        <f>Saldos_Capital_Mensual!K249</f>
        <v/>
      </c>
      <c r="L249" s="50">
        <f>Saldos_Capital_Mensual!L249</f>
        <v/>
      </c>
      <c r="M249" s="50">
        <f>Saldos_Capital_Mensual!M249</f>
        <v/>
      </c>
      <c r="N249" s="50">
        <f>Saldos_Capital_Mensual!N249</f>
        <v/>
      </c>
      <c r="O249" s="50">
        <f>Saldos_Capital_Mensual!O249</f>
        <v/>
      </c>
      <c r="P249" s="50">
        <f>Saldos_Capital_Mensual!P249</f>
        <v/>
      </c>
      <c r="Q249" s="50">
        <f>Saldos_Capital_Mensual!Q249</f>
        <v/>
      </c>
      <c r="R249" s="50">
        <f>Saldos_Capital_Mensual!R249</f>
        <v/>
      </c>
      <c r="S249" s="50">
        <f>Saldos_Capital_Mensual!S249</f>
        <v/>
      </c>
      <c r="T249" s="50">
        <f>Saldos_Capital_Mensual!T249</f>
        <v/>
      </c>
      <c r="U249" s="50">
        <f>Saldos_Capital_Mensual!U249</f>
        <v/>
      </c>
    </row>
    <row r="250">
      <c r="A250" s="48">
        <f>Saldos_Capital_Mensual!A250</f>
        <v/>
      </c>
      <c r="B250" s="48">
        <f>Saldos_Capital_Mensual!B250</f>
        <v/>
      </c>
      <c r="C250" s="48">
        <f>Saldos_Capital_Mensual!C250</f>
        <v/>
      </c>
      <c r="D250" s="48">
        <f>Saldos_Capital_Mensual!D250</f>
        <v/>
      </c>
      <c r="E250" s="48">
        <f>Saldos_Capital_Mensual!E250</f>
        <v/>
      </c>
      <c r="F250" s="48">
        <f>Saldos_Capital_Mensual!F250</f>
        <v/>
      </c>
      <c r="G250" s="49">
        <f>Saldos_Capital_Mensual!G250</f>
        <v/>
      </c>
      <c r="H250" s="50">
        <f>Saldos_Capital_Mensual!H250</f>
        <v/>
      </c>
      <c r="I250" s="50">
        <f>Saldos_Capital_Mensual!I250</f>
        <v/>
      </c>
      <c r="J250" s="50">
        <f>Saldos_Capital_Mensual!J250</f>
        <v/>
      </c>
      <c r="K250" s="50">
        <f>Saldos_Capital_Mensual!K250</f>
        <v/>
      </c>
      <c r="L250" s="50">
        <f>Saldos_Capital_Mensual!L250</f>
        <v/>
      </c>
      <c r="M250" s="50">
        <f>Saldos_Capital_Mensual!M250</f>
        <v/>
      </c>
      <c r="N250" s="50">
        <f>Saldos_Capital_Mensual!N250</f>
        <v/>
      </c>
      <c r="O250" s="50">
        <f>Saldos_Capital_Mensual!O250</f>
        <v/>
      </c>
      <c r="P250" s="50">
        <f>Saldos_Capital_Mensual!P250</f>
        <v/>
      </c>
      <c r="Q250" s="50">
        <f>Saldos_Capital_Mensual!Q250</f>
        <v/>
      </c>
      <c r="R250" s="50">
        <f>Saldos_Capital_Mensual!R250</f>
        <v/>
      </c>
      <c r="S250" s="50">
        <f>Saldos_Capital_Mensual!S250</f>
        <v/>
      </c>
      <c r="T250" s="50">
        <f>Saldos_Capital_Mensual!T250</f>
        <v/>
      </c>
      <c r="U250" s="50">
        <f>Saldos_Capital_Mensual!U250</f>
        <v/>
      </c>
    </row>
    <row r="251">
      <c r="A251" s="48">
        <f>Saldos_Capital_Mensual!A251</f>
        <v/>
      </c>
      <c r="B251" s="48">
        <f>Saldos_Capital_Mensual!B251</f>
        <v/>
      </c>
      <c r="C251" s="48">
        <f>Saldos_Capital_Mensual!C251</f>
        <v/>
      </c>
      <c r="D251" s="48">
        <f>Saldos_Capital_Mensual!D251</f>
        <v/>
      </c>
      <c r="E251" s="48">
        <f>Saldos_Capital_Mensual!E251</f>
        <v/>
      </c>
      <c r="F251" s="48">
        <f>Saldos_Capital_Mensual!F251</f>
        <v/>
      </c>
      <c r="G251" s="49">
        <f>Saldos_Capital_Mensual!G251</f>
        <v/>
      </c>
      <c r="H251" s="50">
        <f>Saldos_Capital_Mensual!H251</f>
        <v/>
      </c>
      <c r="I251" s="50">
        <f>Saldos_Capital_Mensual!I251</f>
        <v/>
      </c>
      <c r="J251" s="50">
        <f>Saldos_Capital_Mensual!J251</f>
        <v/>
      </c>
      <c r="K251" s="50">
        <f>Saldos_Capital_Mensual!K251</f>
        <v/>
      </c>
      <c r="L251" s="50">
        <f>Saldos_Capital_Mensual!L251</f>
        <v/>
      </c>
      <c r="M251" s="50">
        <f>Saldos_Capital_Mensual!M251</f>
        <v/>
      </c>
      <c r="N251" s="50">
        <f>Saldos_Capital_Mensual!N251</f>
        <v/>
      </c>
      <c r="O251" s="50">
        <f>Saldos_Capital_Mensual!O251</f>
        <v/>
      </c>
      <c r="P251" s="50">
        <f>Saldos_Capital_Mensual!P251</f>
        <v/>
      </c>
      <c r="Q251" s="50">
        <f>Saldos_Capital_Mensual!Q251</f>
        <v/>
      </c>
      <c r="R251" s="50">
        <f>Saldos_Capital_Mensual!R251</f>
        <v/>
      </c>
      <c r="S251" s="50">
        <f>Saldos_Capital_Mensual!S251</f>
        <v/>
      </c>
      <c r="T251" s="50">
        <f>Saldos_Capital_Mensual!T251</f>
        <v/>
      </c>
      <c r="U251" s="50">
        <f>Saldos_Capital_Mensual!U251</f>
        <v/>
      </c>
    </row>
    <row r="252">
      <c r="A252" s="48">
        <f>Saldos_Capital_Mensual!A252</f>
        <v/>
      </c>
      <c r="B252" s="48">
        <f>Saldos_Capital_Mensual!B252</f>
        <v/>
      </c>
      <c r="C252" s="48">
        <f>Saldos_Capital_Mensual!C252</f>
        <v/>
      </c>
      <c r="D252" s="48">
        <f>Saldos_Capital_Mensual!D252</f>
        <v/>
      </c>
      <c r="E252" s="48">
        <f>Saldos_Capital_Mensual!E252</f>
        <v/>
      </c>
      <c r="F252" s="48">
        <f>Saldos_Capital_Mensual!F252</f>
        <v/>
      </c>
      <c r="G252" s="49">
        <f>Saldos_Capital_Mensual!G252</f>
        <v/>
      </c>
      <c r="H252" s="50">
        <f>Saldos_Capital_Mensual!H252</f>
        <v/>
      </c>
      <c r="I252" s="50">
        <f>Saldos_Capital_Mensual!I252</f>
        <v/>
      </c>
      <c r="J252" s="50">
        <f>Saldos_Capital_Mensual!J252</f>
        <v/>
      </c>
      <c r="K252" s="50">
        <f>Saldos_Capital_Mensual!K252</f>
        <v/>
      </c>
      <c r="L252" s="50">
        <f>Saldos_Capital_Mensual!L252</f>
        <v/>
      </c>
      <c r="M252" s="50">
        <f>Saldos_Capital_Mensual!M252</f>
        <v/>
      </c>
      <c r="N252" s="50">
        <f>Saldos_Capital_Mensual!N252</f>
        <v/>
      </c>
      <c r="O252" s="50">
        <f>Saldos_Capital_Mensual!O252</f>
        <v/>
      </c>
      <c r="P252" s="50">
        <f>Saldos_Capital_Mensual!P252</f>
        <v/>
      </c>
      <c r="Q252" s="50">
        <f>Saldos_Capital_Mensual!Q252</f>
        <v/>
      </c>
      <c r="R252" s="50">
        <f>Saldos_Capital_Mensual!R252</f>
        <v/>
      </c>
      <c r="S252" s="50">
        <f>Saldos_Capital_Mensual!S252</f>
        <v/>
      </c>
      <c r="T252" s="50">
        <f>Saldos_Capital_Mensual!T252</f>
        <v/>
      </c>
      <c r="U252" s="50">
        <f>Saldos_Capital_Mensual!U252</f>
        <v/>
      </c>
    </row>
    <row r="253">
      <c r="A253" s="48">
        <f>Saldos_Capital_Mensual!A253</f>
        <v/>
      </c>
      <c r="B253" s="48">
        <f>Saldos_Capital_Mensual!B253</f>
        <v/>
      </c>
      <c r="C253" s="48">
        <f>Saldos_Capital_Mensual!C253</f>
        <v/>
      </c>
      <c r="D253" s="48">
        <f>Saldos_Capital_Mensual!D253</f>
        <v/>
      </c>
      <c r="E253" s="48">
        <f>Saldos_Capital_Mensual!E253</f>
        <v/>
      </c>
      <c r="F253" s="48">
        <f>Saldos_Capital_Mensual!F253</f>
        <v/>
      </c>
      <c r="G253" s="49">
        <f>Saldos_Capital_Mensual!G253</f>
        <v/>
      </c>
      <c r="H253" s="50">
        <f>Saldos_Capital_Mensual!H253</f>
        <v/>
      </c>
      <c r="I253" s="50">
        <f>Saldos_Capital_Mensual!I253</f>
        <v/>
      </c>
      <c r="J253" s="50">
        <f>Saldos_Capital_Mensual!J253</f>
        <v/>
      </c>
      <c r="K253" s="50">
        <f>Saldos_Capital_Mensual!K253</f>
        <v/>
      </c>
      <c r="L253" s="50">
        <f>Saldos_Capital_Mensual!L253</f>
        <v/>
      </c>
      <c r="M253" s="50">
        <f>Saldos_Capital_Mensual!M253</f>
        <v/>
      </c>
      <c r="N253" s="50">
        <f>Saldos_Capital_Mensual!N253</f>
        <v/>
      </c>
      <c r="O253" s="50">
        <f>Saldos_Capital_Mensual!O253</f>
        <v/>
      </c>
      <c r="P253" s="50">
        <f>Saldos_Capital_Mensual!P253</f>
        <v/>
      </c>
      <c r="Q253" s="50">
        <f>Saldos_Capital_Mensual!Q253</f>
        <v/>
      </c>
      <c r="R253" s="50">
        <f>Saldos_Capital_Mensual!R253</f>
        <v/>
      </c>
      <c r="S253" s="50">
        <f>Saldos_Capital_Mensual!S253</f>
        <v/>
      </c>
      <c r="T253" s="50">
        <f>Saldos_Capital_Mensual!T253</f>
        <v/>
      </c>
      <c r="U253" s="50">
        <f>Saldos_Capital_Mensual!U253</f>
        <v/>
      </c>
    </row>
    <row r="254">
      <c r="A254" s="48">
        <f>Saldos_Capital_Mensual!A254</f>
        <v/>
      </c>
      <c r="B254" s="48">
        <f>Saldos_Capital_Mensual!B254</f>
        <v/>
      </c>
      <c r="C254" s="48">
        <f>Saldos_Capital_Mensual!C254</f>
        <v/>
      </c>
      <c r="D254" s="48">
        <f>Saldos_Capital_Mensual!D254</f>
        <v/>
      </c>
      <c r="E254" s="48">
        <f>Saldos_Capital_Mensual!E254</f>
        <v/>
      </c>
      <c r="F254" s="48">
        <f>Saldos_Capital_Mensual!F254</f>
        <v/>
      </c>
      <c r="G254" s="49">
        <f>Saldos_Capital_Mensual!G254</f>
        <v/>
      </c>
      <c r="H254" s="50">
        <f>Saldos_Capital_Mensual!H254</f>
        <v/>
      </c>
      <c r="I254" s="50">
        <f>Saldos_Capital_Mensual!I254</f>
        <v/>
      </c>
      <c r="J254" s="50">
        <f>Saldos_Capital_Mensual!J254</f>
        <v/>
      </c>
      <c r="K254" s="50">
        <f>Saldos_Capital_Mensual!K254</f>
        <v/>
      </c>
      <c r="L254" s="50">
        <f>Saldos_Capital_Mensual!L254</f>
        <v/>
      </c>
      <c r="M254" s="50">
        <f>Saldos_Capital_Mensual!M254</f>
        <v/>
      </c>
      <c r="N254" s="50">
        <f>Saldos_Capital_Mensual!N254</f>
        <v/>
      </c>
      <c r="O254" s="50">
        <f>Saldos_Capital_Mensual!O254</f>
        <v/>
      </c>
      <c r="P254" s="50">
        <f>Saldos_Capital_Mensual!P254</f>
        <v/>
      </c>
      <c r="Q254" s="50">
        <f>Saldos_Capital_Mensual!Q254</f>
        <v/>
      </c>
      <c r="R254" s="50">
        <f>Saldos_Capital_Mensual!R254</f>
        <v/>
      </c>
      <c r="S254" s="50">
        <f>Saldos_Capital_Mensual!S254</f>
        <v/>
      </c>
      <c r="T254" s="50">
        <f>Saldos_Capital_Mensual!T254</f>
        <v/>
      </c>
      <c r="U254" s="50">
        <f>Saldos_Capital_Mensual!U254</f>
        <v/>
      </c>
    </row>
    <row r="255">
      <c r="A255" s="48">
        <f>Saldos_Capital_Mensual!A255</f>
        <v/>
      </c>
      <c r="B255" s="48">
        <f>Saldos_Capital_Mensual!B255</f>
        <v/>
      </c>
      <c r="C255" s="48">
        <f>Saldos_Capital_Mensual!C255</f>
        <v/>
      </c>
      <c r="D255" s="48">
        <f>Saldos_Capital_Mensual!D255</f>
        <v/>
      </c>
      <c r="E255" s="48">
        <f>Saldos_Capital_Mensual!E255</f>
        <v/>
      </c>
      <c r="F255" s="48">
        <f>Saldos_Capital_Mensual!F255</f>
        <v/>
      </c>
      <c r="G255" s="49">
        <f>Saldos_Capital_Mensual!G255</f>
        <v/>
      </c>
      <c r="H255" s="50">
        <f>Saldos_Capital_Mensual!H255</f>
        <v/>
      </c>
      <c r="I255" s="50">
        <f>Saldos_Capital_Mensual!I255</f>
        <v/>
      </c>
      <c r="J255" s="50">
        <f>Saldos_Capital_Mensual!J255</f>
        <v/>
      </c>
      <c r="K255" s="50">
        <f>Saldos_Capital_Mensual!K255</f>
        <v/>
      </c>
      <c r="L255" s="50">
        <f>Saldos_Capital_Mensual!L255</f>
        <v/>
      </c>
      <c r="M255" s="50">
        <f>Saldos_Capital_Mensual!M255</f>
        <v/>
      </c>
      <c r="N255" s="50">
        <f>Saldos_Capital_Mensual!N255</f>
        <v/>
      </c>
      <c r="O255" s="50">
        <f>Saldos_Capital_Mensual!O255</f>
        <v/>
      </c>
      <c r="P255" s="50">
        <f>Saldos_Capital_Mensual!P255</f>
        <v/>
      </c>
      <c r="Q255" s="50">
        <f>Saldos_Capital_Mensual!Q255</f>
        <v/>
      </c>
      <c r="R255" s="50">
        <f>Saldos_Capital_Mensual!R255</f>
        <v/>
      </c>
      <c r="S255" s="50">
        <f>Saldos_Capital_Mensual!S255</f>
        <v/>
      </c>
      <c r="T255" s="50">
        <f>Saldos_Capital_Mensual!T255</f>
        <v/>
      </c>
      <c r="U255" s="50">
        <f>Saldos_Capital_Mensual!U255</f>
        <v/>
      </c>
    </row>
    <row r="256">
      <c r="A256" s="48">
        <f>Saldos_Capital_Mensual!A256</f>
        <v/>
      </c>
      <c r="B256" s="48">
        <f>Saldos_Capital_Mensual!B256</f>
        <v/>
      </c>
      <c r="C256" s="48">
        <f>Saldos_Capital_Mensual!C256</f>
        <v/>
      </c>
      <c r="D256" s="48">
        <f>Saldos_Capital_Mensual!D256</f>
        <v/>
      </c>
      <c r="E256" s="48">
        <f>Saldos_Capital_Mensual!E256</f>
        <v/>
      </c>
      <c r="F256" s="48">
        <f>Saldos_Capital_Mensual!F256</f>
        <v/>
      </c>
      <c r="G256" s="49">
        <f>Saldos_Capital_Mensual!G256</f>
        <v/>
      </c>
      <c r="H256" s="50">
        <f>Saldos_Capital_Mensual!H256</f>
        <v/>
      </c>
      <c r="I256" s="50">
        <f>Saldos_Capital_Mensual!I256</f>
        <v/>
      </c>
      <c r="J256" s="50">
        <f>Saldos_Capital_Mensual!J256</f>
        <v/>
      </c>
      <c r="K256" s="50">
        <f>Saldos_Capital_Mensual!K256</f>
        <v/>
      </c>
      <c r="L256" s="50">
        <f>Saldos_Capital_Mensual!L256</f>
        <v/>
      </c>
      <c r="M256" s="50">
        <f>Saldos_Capital_Mensual!M256</f>
        <v/>
      </c>
      <c r="N256" s="50">
        <f>Saldos_Capital_Mensual!N256</f>
        <v/>
      </c>
      <c r="O256" s="50">
        <f>Saldos_Capital_Mensual!O256</f>
        <v/>
      </c>
      <c r="P256" s="50">
        <f>Saldos_Capital_Mensual!P256</f>
        <v/>
      </c>
      <c r="Q256" s="50">
        <f>Saldos_Capital_Mensual!Q256</f>
        <v/>
      </c>
      <c r="R256" s="50">
        <f>Saldos_Capital_Mensual!R256</f>
        <v/>
      </c>
      <c r="S256" s="50">
        <f>Saldos_Capital_Mensual!S256</f>
        <v/>
      </c>
      <c r="T256" s="50">
        <f>Saldos_Capital_Mensual!T256</f>
        <v/>
      </c>
      <c r="U256" s="50">
        <f>Saldos_Capital_Mensual!U256</f>
        <v/>
      </c>
    </row>
    <row r="257">
      <c r="A257" s="48">
        <f>Saldos_Capital_Mensual!A257</f>
        <v/>
      </c>
      <c r="B257" s="48">
        <f>Saldos_Capital_Mensual!B257</f>
        <v/>
      </c>
      <c r="C257" s="48">
        <f>Saldos_Capital_Mensual!C257</f>
        <v/>
      </c>
      <c r="D257" s="48">
        <f>Saldos_Capital_Mensual!D257</f>
        <v/>
      </c>
      <c r="E257" s="48">
        <f>Saldos_Capital_Mensual!E257</f>
        <v/>
      </c>
      <c r="F257" s="48">
        <f>Saldos_Capital_Mensual!F257</f>
        <v/>
      </c>
      <c r="G257" s="49">
        <f>Saldos_Capital_Mensual!G257</f>
        <v/>
      </c>
      <c r="H257" s="50">
        <f>Saldos_Capital_Mensual!H257</f>
        <v/>
      </c>
      <c r="I257" s="50">
        <f>Saldos_Capital_Mensual!I257</f>
        <v/>
      </c>
      <c r="J257" s="50">
        <f>Saldos_Capital_Mensual!J257</f>
        <v/>
      </c>
      <c r="K257" s="50">
        <f>Saldos_Capital_Mensual!K257</f>
        <v/>
      </c>
      <c r="L257" s="50">
        <f>Saldos_Capital_Mensual!L257</f>
        <v/>
      </c>
      <c r="M257" s="50">
        <f>Saldos_Capital_Mensual!M257</f>
        <v/>
      </c>
      <c r="N257" s="50">
        <f>Saldos_Capital_Mensual!N257</f>
        <v/>
      </c>
      <c r="O257" s="50">
        <f>Saldos_Capital_Mensual!O257</f>
        <v/>
      </c>
      <c r="P257" s="50">
        <f>Saldos_Capital_Mensual!P257</f>
        <v/>
      </c>
      <c r="Q257" s="50">
        <f>Saldos_Capital_Mensual!Q257</f>
        <v/>
      </c>
      <c r="R257" s="50">
        <f>Saldos_Capital_Mensual!R257</f>
        <v/>
      </c>
      <c r="S257" s="50">
        <f>Saldos_Capital_Mensual!S257</f>
        <v/>
      </c>
      <c r="T257" s="50">
        <f>Saldos_Capital_Mensual!T257</f>
        <v/>
      </c>
      <c r="U257" s="50">
        <f>Saldos_Capital_Mensual!U257</f>
        <v/>
      </c>
    </row>
    <row r="258">
      <c r="A258" s="48">
        <f>Saldos_Capital_Mensual!A258</f>
        <v/>
      </c>
      <c r="B258" s="48">
        <f>Saldos_Capital_Mensual!B258</f>
        <v/>
      </c>
      <c r="C258" s="48">
        <f>Saldos_Capital_Mensual!C258</f>
        <v/>
      </c>
      <c r="D258" s="48">
        <f>Saldos_Capital_Mensual!D258</f>
        <v/>
      </c>
      <c r="E258" s="48">
        <f>Saldos_Capital_Mensual!E258</f>
        <v/>
      </c>
      <c r="F258" s="48">
        <f>Saldos_Capital_Mensual!F258</f>
        <v/>
      </c>
      <c r="G258" s="49">
        <f>Saldos_Capital_Mensual!G258</f>
        <v/>
      </c>
      <c r="H258" s="50">
        <f>Saldos_Capital_Mensual!H258</f>
        <v/>
      </c>
      <c r="I258" s="50">
        <f>Saldos_Capital_Mensual!I258</f>
        <v/>
      </c>
      <c r="J258" s="50">
        <f>Saldos_Capital_Mensual!J258</f>
        <v/>
      </c>
      <c r="K258" s="50">
        <f>Saldos_Capital_Mensual!K258</f>
        <v/>
      </c>
      <c r="L258" s="50">
        <f>Saldos_Capital_Mensual!L258</f>
        <v/>
      </c>
      <c r="M258" s="50">
        <f>Saldos_Capital_Mensual!M258</f>
        <v/>
      </c>
      <c r="N258" s="50">
        <f>Saldos_Capital_Mensual!N258</f>
        <v/>
      </c>
      <c r="O258" s="50">
        <f>Saldos_Capital_Mensual!O258</f>
        <v/>
      </c>
      <c r="P258" s="50">
        <f>Saldos_Capital_Mensual!P258</f>
        <v/>
      </c>
      <c r="Q258" s="50">
        <f>Saldos_Capital_Mensual!Q258</f>
        <v/>
      </c>
      <c r="R258" s="50">
        <f>Saldos_Capital_Mensual!R258</f>
        <v/>
      </c>
      <c r="S258" s="50">
        <f>Saldos_Capital_Mensual!S258</f>
        <v/>
      </c>
      <c r="T258" s="50">
        <f>Saldos_Capital_Mensual!T258</f>
        <v/>
      </c>
      <c r="U258" s="50">
        <f>Saldos_Capital_Mensual!U258</f>
        <v/>
      </c>
    </row>
    <row r="259">
      <c r="A259" s="48">
        <f>Saldos_Capital_Mensual!A259</f>
        <v/>
      </c>
      <c r="B259" s="48">
        <f>Saldos_Capital_Mensual!B259</f>
        <v/>
      </c>
      <c r="C259" s="48">
        <f>Saldos_Capital_Mensual!C259</f>
        <v/>
      </c>
      <c r="D259" s="48">
        <f>Saldos_Capital_Mensual!D259</f>
        <v/>
      </c>
      <c r="E259" s="48">
        <f>Saldos_Capital_Mensual!E259</f>
        <v/>
      </c>
      <c r="F259" s="48">
        <f>Saldos_Capital_Mensual!F259</f>
        <v/>
      </c>
      <c r="G259" s="49">
        <f>Saldos_Capital_Mensual!G259</f>
        <v/>
      </c>
      <c r="H259" s="50">
        <f>Saldos_Capital_Mensual!H259</f>
        <v/>
      </c>
      <c r="I259" s="50">
        <f>Saldos_Capital_Mensual!I259</f>
        <v/>
      </c>
      <c r="J259" s="50">
        <f>Saldos_Capital_Mensual!J259</f>
        <v/>
      </c>
      <c r="K259" s="50">
        <f>Saldos_Capital_Mensual!K259</f>
        <v/>
      </c>
      <c r="L259" s="50">
        <f>Saldos_Capital_Mensual!L259</f>
        <v/>
      </c>
      <c r="M259" s="50">
        <f>Saldos_Capital_Mensual!M259</f>
        <v/>
      </c>
      <c r="N259" s="50">
        <f>Saldos_Capital_Mensual!N259</f>
        <v/>
      </c>
      <c r="O259" s="50">
        <f>Saldos_Capital_Mensual!O259</f>
        <v/>
      </c>
      <c r="P259" s="50">
        <f>Saldos_Capital_Mensual!P259</f>
        <v/>
      </c>
      <c r="Q259" s="50">
        <f>Saldos_Capital_Mensual!Q259</f>
        <v/>
      </c>
      <c r="R259" s="50">
        <f>Saldos_Capital_Mensual!R259</f>
        <v/>
      </c>
      <c r="S259" s="50">
        <f>Saldos_Capital_Mensual!S259</f>
        <v/>
      </c>
      <c r="T259" s="50">
        <f>Saldos_Capital_Mensual!T259</f>
        <v/>
      </c>
      <c r="U259" s="50">
        <f>Saldos_Capital_Mensual!U259</f>
        <v/>
      </c>
    </row>
    <row r="260">
      <c r="A260" s="48">
        <f>Saldos_Capital_Mensual!A260</f>
        <v/>
      </c>
      <c r="B260" s="48">
        <f>Saldos_Capital_Mensual!B260</f>
        <v/>
      </c>
      <c r="C260" s="48">
        <f>Saldos_Capital_Mensual!C260</f>
        <v/>
      </c>
      <c r="D260" s="48">
        <f>Saldos_Capital_Mensual!D260</f>
        <v/>
      </c>
      <c r="E260" s="48">
        <f>Saldos_Capital_Mensual!E260</f>
        <v/>
      </c>
      <c r="F260" s="48">
        <f>Saldos_Capital_Mensual!F260</f>
        <v/>
      </c>
      <c r="G260" s="49">
        <f>Saldos_Capital_Mensual!G260</f>
        <v/>
      </c>
      <c r="H260" s="50">
        <f>Saldos_Capital_Mensual!H260</f>
        <v/>
      </c>
      <c r="I260" s="50">
        <f>Saldos_Capital_Mensual!I260</f>
        <v/>
      </c>
      <c r="J260" s="50">
        <f>Saldos_Capital_Mensual!J260</f>
        <v/>
      </c>
      <c r="K260" s="50">
        <f>Saldos_Capital_Mensual!K260</f>
        <v/>
      </c>
      <c r="L260" s="50">
        <f>Saldos_Capital_Mensual!L260</f>
        <v/>
      </c>
      <c r="M260" s="50">
        <f>Saldos_Capital_Mensual!M260</f>
        <v/>
      </c>
      <c r="N260" s="50">
        <f>Saldos_Capital_Mensual!N260</f>
        <v/>
      </c>
      <c r="O260" s="50">
        <f>Saldos_Capital_Mensual!O260</f>
        <v/>
      </c>
      <c r="P260" s="50">
        <f>Saldos_Capital_Mensual!P260</f>
        <v/>
      </c>
      <c r="Q260" s="50">
        <f>Saldos_Capital_Mensual!Q260</f>
        <v/>
      </c>
      <c r="R260" s="50">
        <f>Saldos_Capital_Mensual!R260</f>
        <v/>
      </c>
      <c r="S260" s="50">
        <f>Saldos_Capital_Mensual!S260</f>
        <v/>
      </c>
      <c r="T260" s="50">
        <f>Saldos_Capital_Mensual!T260</f>
        <v/>
      </c>
      <c r="U260" s="50">
        <f>Saldos_Capital_Mensual!U260</f>
        <v/>
      </c>
    </row>
    <row r="261">
      <c r="A261" s="48">
        <f>Saldos_Capital_Mensual!A261</f>
        <v/>
      </c>
      <c r="B261" s="48">
        <f>Saldos_Capital_Mensual!B261</f>
        <v/>
      </c>
      <c r="C261" s="48">
        <f>Saldos_Capital_Mensual!C261</f>
        <v/>
      </c>
      <c r="D261" s="48">
        <f>Saldos_Capital_Mensual!D261</f>
        <v/>
      </c>
      <c r="E261" s="48">
        <f>Saldos_Capital_Mensual!E261</f>
        <v/>
      </c>
      <c r="F261" s="48">
        <f>Saldos_Capital_Mensual!F261</f>
        <v/>
      </c>
      <c r="G261" s="49">
        <f>Saldos_Capital_Mensual!G261</f>
        <v/>
      </c>
      <c r="H261" s="50">
        <f>Saldos_Capital_Mensual!H261</f>
        <v/>
      </c>
      <c r="I261" s="50">
        <f>Saldos_Capital_Mensual!I261</f>
        <v/>
      </c>
      <c r="J261" s="50">
        <f>Saldos_Capital_Mensual!J261</f>
        <v/>
      </c>
      <c r="K261" s="50">
        <f>Saldos_Capital_Mensual!K261</f>
        <v/>
      </c>
      <c r="L261" s="50">
        <f>Saldos_Capital_Mensual!L261</f>
        <v/>
      </c>
      <c r="M261" s="50">
        <f>Saldos_Capital_Mensual!M261</f>
        <v/>
      </c>
      <c r="N261" s="50">
        <f>Saldos_Capital_Mensual!N261</f>
        <v/>
      </c>
      <c r="O261" s="50">
        <f>Saldos_Capital_Mensual!O261</f>
        <v/>
      </c>
      <c r="P261" s="50">
        <f>Saldos_Capital_Mensual!P261</f>
        <v/>
      </c>
      <c r="Q261" s="50">
        <f>Saldos_Capital_Mensual!Q261</f>
        <v/>
      </c>
      <c r="R261" s="50">
        <f>Saldos_Capital_Mensual!R261</f>
        <v/>
      </c>
      <c r="S261" s="50">
        <f>Saldos_Capital_Mensual!S261</f>
        <v/>
      </c>
      <c r="T261" s="50">
        <f>Saldos_Capital_Mensual!T261</f>
        <v/>
      </c>
      <c r="U261" s="50">
        <f>Saldos_Capital_Mensual!U261</f>
        <v/>
      </c>
    </row>
    <row r="262">
      <c r="A262" s="48">
        <f>Saldos_Capital_Mensual!A262</f>
        <v/>
      </c>
      <c r="B262" s="48">
        <f>Saldos_Capital_Mensual!B262</f>
        <v/>
      </c>
      <c r="C262" s="48">
        <f>Saldos_Capital_Mensual!C262</f>
        <v/>
      </c>
      <c r="D262" s="48">
        <f>Saldos_Capital_Mensual!D262</f>
        <v/>
      </c>
      <c r="E262" s="48">
        <f>Saldos_Capital_Mensual!E262</f>
        <v/>
      </c>
      <c r="F262" s="48">
        <f>Saldos_Capital_Mensual!F262</f>
        <v/>
      </c>
      <c r="G262" s="49">
        <f>Saldos_Capital_Mensual!G262</f>
        <v/>
      </c>
      <c r="H262" s="50">
        <f>Saldos_Capital_Mensual!H262</f>
        <v/>
      </c>
      <c r="I262" s="50">
        <f>Saldos_Capital_Mensual!I262</f>
        <v/>
      </c>
      <c r="J262" s="50">
        <f>Saldos_Capital_Mensual!J262</f>
        <v/>
      </c>
      <c r="K262" s="50">
        <f>Saldos_Capital_Mensual!K262</f>
        <v/>
      </c>
      <c r="L262" s="50">
        <f>Saldos_Capital_Mensual!L262</f>
        <v/>
      </c>
      <c r="M262" s="50">
        <f>Saldos_Capital_Mensual!M262</f>
        <v/>
      </c>
      <c r="N262" s="50">
        <f>Saldos_Capital_Mensual!N262</f>
        <v/>
      </c>
      <c r="O262" s="50">
        <f>Saldos_Capital_Mensual!O262</f>
        <v/>
      </c>
      <c r="P262" s="50">
        <f>Saldos_Capital_Mensual!P262</f>
        <v/>
      </c>
      <c r="Q262" s="50">
        <f>Saldos_Capital_Mensual!Q262</f>
        <v/>
      </c>
      <c r="R262" s="50">
        <f>Saldos_Capital_Mensual!R262</f>
        <v/>
      </c>
      <c r="S262" s="50">
        <f>Saldos_Capital_Mensual!S262</f>
        <v/>
      </c>
      <c r="T262" s="50">
        <f>Saldos_Capital_Mensual!T262</f>
        <v/>
      </c>
      <c r="U262" s="50">
        <f>Saldos_Capital_Mensual!U262</f>
        <v/>
      </c>
    </row>
    <row r="263">
      <c r="A263" s="48">
        <f>Saldos_Capital_Mensual!A263</f>
        <v/>
      </c>
      <c r="B263" s="48">
        <f>Saldos_Capital_Mensual!B263</f>
        <v/>
      </c>
      <c r="C263" s="48">
        <f>Saldos_Capital_Mensual!C263</f>
        <v/>
      </c>
      <c r="D263" s="48">
        <f>Saldos_Capital_Mensual!D263</f>
        <v/>
      </c>
      <c r="E263" s="48">
        <f>Saldos_Capital_Mensual!E263</f>
        <v/>
      </c>
      <c r="F263" s="48">
        <f>Saldos_Capital_Mensual!F263</f>
        <v/>
      </c>
      <c r="G263" s="49">
        <f>Saldos_Capital_Mensual!G263</f>
        <v/>
      </c>
      <c r="H263" s="50">
        <f>Saldos_Capital_Mensual!H263</f>
        <v/>
      </c>
      <c r="I263" s="50">
        <f>Saldos_Capital_Mensual!I263</f>
        <v/>
      </c>
      <c r="J263" s="50">
        <f>Saldos_Capital_Mensual!J263</f>
        <v/>
      </c>
      <c r="K263" s="50">
        <f>Saldos_Capital_Mensual!K263</f>
        <v/>
      </c>
      <c r="L263" s="50">
        <f>Saldos_Capital_Mensual!L263</f>
        <v/>
      </c>
      <c r="M263" s="50">
        <f>Saldos_Capital_Mensual!M263</f>
        <v/>
      </c>
      <c r="N263" s="50">
        <f>Saldos_Capital_Mensual!N263</f>
        <v/>
      </c>
      <c r="O263" s="50">
        <f>Saldos_Capital_Mensual!O263</f>
        <v/>
      </c>
      <c r="P263" s="50">
        <f>Saldos_Capital_Mensual!P263</f>
        <v/>
      </c>
      <c r="Q263" s="50">
        <f>Saldos_Capital_Mensual!Q263</f>
        <v/>
      </c>
      <c r="R263" s="50">
        <f>Saldos_Capital_Mensual!R263</f>
        <v/>
      </c>
      <c r="S263" s="50">
        <f>Saldos_Capital_Mensual!S263</f>
        <v/>
      </c>
      <c r="T263" s="50">
        <f>Saldos_Capital_Mensual!T263</f>
        <v/>
      </c>
      <c r="U263" s="50">
        <f>Saldos_Capital_Mensual!U263</f>
        <v/>
      </c>
    </row>
    <row r="264">
      <c r="A264" s="48">
        <f>Saldos_Capital_Mensual!A264</f>
        <v/>
      </c>
      <c r="B264" s="48">
        <f>Saldos_Capital_Mensual!B264</f>
        <v/>
      </c>
      <c r="C264" s="48">
        <f>Saldos_Capital_Mensual!C264</f>
        <v/>
      </c>
      <c r="D264" s="48">
        <f>Saldos_Capital_Mensual!D264</f>
        <v/>
      </c>
      <c r="E264" s="48">
        <f>Saldos_Capital_Mensual!E264</f>
        <v/>
      </c>
      <c r="F264" s="48">
        <f>Saldos_Capital_Mensual!F264</f>
        <v/>
      </c>
      <c r="G264" s="49">
        <f>Saldos_Capital_Mensual!G264</f>
        <v/>
      </c>
      <c r="H264" s="50">
        <f>Saldos_Capital_Mensual!H264</f>
        <v/>
      </c>
      <c r="I264" s="50">
        <f>Saldos_Capital_Mensual!I264</f>
        <v/>
      </c>
      <c r="J264" s="50">
        <f>Saldos_Capital_Mensual!J264</f>
        <v/>
      </c>
      <c r="K264" s="50">
        <f>Saldos_Capital_Mensual!K264</f>
        <v/>
      </c>
      <c r="L264" s="50">
        <f>Saldos_Capital_Mensual!L264</f>
        <v/>
      </c>
      <c r="M264" s="50">
        <f>Saldos_Capital_Mensual!M264</f>
        <v/>
      </c>
      <c r="N264" s="50">
        <f>Saldos_Capital_Mensual!N264</f>
        <v/>
      </c>
      <c r="O264" s="50">
        <f>Saldos_Capital_Mensual!O264</f>
        <v/>
      </c>
      <c r="P264" s="50">
        <f>Saldos_Capital_Mensual!P264</f>
        <v/>
      </c>
      <c r="Q264" s="50">
        <f>Saldos_Capital_Mensual!Q264</f>
        <v/>
      </c>
      <c r="R264" s="50">
        <f>Saldos_Capital_Mensual!R264</f>
        <v/>
      </c>
      <c r="S264" s="50">
        <f>Saldos_Capital_Mensual!S264</f>
        <v/>
      </c>
      <c r="T264" s="50">
        <f>Saldos_Capital_Mensual!T264</f>
        <v/>
      </c>
      <c r="U264" s="50">
        <f>Saldos_Capital_Mensual!U264</f>
        <v/>
      </c>
    </row>
    <row r="265">
      <c r="A265" s="48">
        <f>Saldos_Capital_Mensual!A265</f>
        <v/>
      </c>
      <c r="B265" s="48">
        <f>Saldos_Capital_Mensual!B265</f>
        <v/>
      </c>
      <c r="C265" s="48">
        <f>Saldos_Capital_Mensual!C265</f>
        <v/>
      </c>
      <c r="D265" s="48">
        <f>Saldos_Capital_Mensual!D265</f>
        <v/>
      </c>
      <c r="E265" s="48">
        <f>Saldos_Capital_Mensual!E265</f>
        <v/>
      </c>
      <c r="F265" s="48">
        <f>Saldos_Capital_Mensual!F265</f>
        <v/>
      </c>
      <c r="G265" s="49">
        <f>Saldos_Capital_Mensual!G265</f>
        <v/>
      </c>
      <c r="H265" s="50">
        <f>Saldos_Capital_Mensual!H265</f>
        <v/>
      </c>
      <c r="I265" s="50">
        <f>Saldos_Capital_Mensual!I265</f>
        <v/>
      </c>
      <c r="J265" s="50">
        <f>Saldos_Capital_Mensual!J265</f>
        <v/>
      </c>
      <c r="K265" s="50">
        <f>Saldos_Capital_Mensual!K265</f>
        <v/>
      </c>
      <c r="L265" s="50">
        <f>Saldos_Capital_Mensual!L265</f>
        <v/>
      </c>
      <c r="M265" s="50">
        <f>Saldos_Capital_Mensual!M265</f>
        <v/>
      </c>
      <c r="N265" s="50">
        <f>Saldos_Capital_Mensual!N265</f>
        <v/>
      </c>
      <c r="O265" s="50">
        <f>Saldos_Capital_Mensual!O265</f>
        <v/>
      </c>
      <c r="P265" s="50">
        <f>Saldos_Capital_Mensual!P265</f>
        <v/>
      </c>
      <c r="Q265" s="50">
        <f>Saldos_Capital_Mensual!Q265</f>
        <v/>
      </c>
      <c r="R265" s="50">
        <f>Saldos_Capital_Mensual!R265</f>
        <v/>
      </c>
      <c r="S265" s="50">
        <f>Saldos_Capital_Mensual!S265</f>
        <v/>
      </c>
      <c r="T265" s="50">
        <f>Saldos_Capital_Mensual!T265</f>
        <v/>
      </c>
      <c r="U265" s="50">
        <f>Saldos_Capital_Mensual!U265</f>
        <v/>
      </c>
    </row>
    <row r="266">
      <c r="A266" s="48">
        <f>Saldos_Capital_Mensual!A266</f>
        <v/>
      </c>
      <c r="B266" s="48">
        <f>Saldos_Capital_Mensual!B266</f>
        <v/>
      </c>
      <c r="C266" s="48">
        <f>Saldos_Capital_Mensual!C266</f>
        <v/>
      </c>
      <c r="D266" s="48">
        <f>Saldos_Capital_Mensual!D266</f>
        <v/>
      </c>
      <c r="E266" s="48">
        <f>Saldos_Capital_Mensual!E266</f>
        <v/>
      </c>
      <c r="F266" s="48">
        <f>Saldos_Capital_Mensual!F266</f>
        <v/>
      </c>
      <c r="G266" s="49">
        <f>Saldos_Capital_Mensual!G266</f>
        <v/>
      </c>
      <c r="H266" s="50">
        <f>Saldos_Capital_Mensual!H266</f>
        <v/>
      </c>
      <c r="I266" s="50">
        <f>Saldos_Capital_Mensual!I266</f>
        <v/>
      </c>
      <c r="J266" s="50">
        <f>Saldos_Capital_Mensual!J266</f>
        <v/>
      </c>
      <c r="K266" s="50">
        <f>Saldos_Capital_Mensual!K266</f>
        <v/>
      </c>
      <c r="L266" s="50">
        <f>Saldos_Capital_Mensual!L266</f>
        <v/>
      </c>
      <c r="M266" s="50">
        <f>Saldos_Capital_Mensual!M266</f>
        <v/>
      </c>
      <c r="N266" s="50">
        <f>Saldos_Capital_Mensual!N266</f>
        <v/>
      </c>
      <c r="O266" s="50">
        <f>Saldos_Capital_Mensual!O266</f>
        <v/>
      </c>
      <c r="P266" s="50">
        <f>Saldos_Capital_Mensual!P266</f>
        <v/>
      </c>
      <c r="Q266" s="50">
        <f>Saldos_Capital_Mensual!Q266</f>
        <v/>
      </c>
      <c r="R266" s="50">
        <f>Saldos_Capital_Mensual!R266</f>
        <v/>
      </c>
      <c r="S266" s="50">
        <f>Saldos_Capital_Mensual!S266</f>
        <v/>
      </c>
      <c r="T266" s="50">
        <f>Saldos_Capital_Mensual!T266</f>
        <v/>
      </c>
      <c r="U266" s="50">
        <f>Saldos_Capital_Mensual!U266</f>
        <v/>
      </c>
    </row>
    <row r="267">
      <c r="A267" s="48">
        <f>Saldos_Capital_Mensual!A267</f>
        <v/>
      </c>
      <c r="B267" s="48">
        <f>Saldos_Capital_Mensual!B267</f>
        <v/>
      </c>
      <c r="C267" s="48">
        <f>Saldos_Capital_Mensual!C267</f>
        <v/>
      </c>
      <c r="D267" s="48">
        <f>Saldos_Capital_Mensual!D267</f>
        <v/>
      </c>
      <c r="E267" s="48">
        <f>Saldos_Capital_Mensual!E267</f>
        <v/>
      </c>
      <c r="F267" s="48">
        <f>Saldos_Capital_Mensual!F267</f>
        <v/>
      </c>
      <c r="G267" s="49">
        <f>Saldos_Capital_Mensual!G267</f>
        <v/>
      </c>
      <c r="H267" s="50">
        <f>Saldos_Capital_Mensual!H267</f>
        <v/>
      </c>
      <c r="I267" s="50">
        <f>Saldos_Capital_Mensual!I267</f>
        <v/>
      </c>
      <c r="J267" s="50">
        <f>Saldos_Capital_Mensual!J267</f>
        <v/>
      </c>
      <c r="K267" s="50">
        <f>Saldos_Capital_Mensual!K267</f>
        <v/>
      </c>
      <c r="L267" s="50">
        <f>Saldos_Capital_Mensual!L267</f>
        <v/>
      </c>
      <c r="M267" s="50">
        <f>Saldos_Capital_Mensual!M267</f>
        <v/>
      </c>
      <c r="N267" s="50">
        <f>Saldos_Capital_Mensual!N267</f>
        <v/>
      </c>
      <c r="O267" s="50">
        <f>Saldos_Capital_Mensual!O267</f>
        <v/>
      </c>
      <c r="P267" s="50">
        <f>Saldos_Capital_Mensual!P267</f>
        <v/>
      </c>
      <c r="Q267" s="50">
        <f>Saldos_Capital_Mensual!Q267</f>
        <v/>
      </c>
      <c r="R267" s="50">
        <f>Saldos_Capital_Mensual!R267</f>
        <v/>
      </c>
      <c r="S267" s="50">
        <f>Saldos_Capital_Mensual!S267</f>
        <v/>
      </c>
      <c r="T267" s="50">
        <f>Saldos_Capital_Mensual!T267</f>
        <v/>
      </c>
      <c r="U267" s="50">
        <f>Saldos_Capital_Mensual!U267</f>
        <v/>
      </c>
    </row>
    <row r="268">
      <c r="A268" s="48">
        <f>Saldos_Capital_Mensual!A268</f>
        <v/>
      </c>
      <c r="B268" s="48">
        <f>Saldos_Capital_Mensual!B268</f>
        <v/>
      </c>
      <c r="C268" s="48">
        <f>Saldos_Capital_Mensual!C268</f>
        <v/>
      </c>
      <c r="D268" s="48">
        <f>Saldos_Capital_Mensual!D268</f>
        <v/>
      </c>
      <c r="E268" s="48">
        <f>Saldos_Capital_Mensual!E268</f>
        <v/>
      </c>
      <c r="F268" s="48">
        <f>Saldos_Capital_Mensual!F268</f>
        <v/>
      </c>
      <c r="G268" s="49">
        <f>Saldos_Capital_Mensual!G268</f>
        <v/>
      </c>
      <c r="H268" s="50">
        <f>Saldos_Capital_Mensual!H268</f>
        <v/>
      </c>
      <c r="I268" s="50">
        <f>Saldos_Capital_Mensual!I268</f>
        <v/>
      </c>
      <c r="J268" s="50">
        <f>Saldos_Capital_Mensual!J268</f>
        <v/>
      </c>
      <c r="K268" s="50">
        <f>Saldos_Capital_Mensual!K268</f>
        <v/>
      </c>
      <c r="L268" s="50">
        <f>Saldos_Capital_Mensual!L268</f>
        <v/>
      </c>
      <c r="M268" s="50">
        <f>Saldos_Capital_Mensual!M268</f>
        <v/>
      </c>
      <c r="N268" s="50">
        <f>Saldos_Capital_Mensual!N268</f>
        <v/>
      </c>
      <c r="O268" s="50">
        <f>Saldos_Capital_Mensual!O268</f>
        <v/>
      </c>
      <c r="P268" s="50">
        <f>Saldos_Capital_Mensual!P268</f>
        <v/>
      </c>
      <c r="Q268" s="50">
        <f>Saldos_Capital_Mensual!Q268</f>
        <v/>
      </c>
      <c r="R268" s="50">
        <f>Saldos_Capital_Mensual!R268</f>
        <v/>
      </c>
      <c r="S268" s="50">
        <f>Saldos_Capital_Mensual!S268</f>
        <v/>
      </c>
      <c r="T268" s="50">
        <f>Saldos_Capital_Mensual!T268</f>
        <v/>
      </c>
      <c r="U268" s="50">
        <f>Saldos_Capital_Mensual!U268</f>
        <v/>
      </c>
    </row>
    <row r="269">
      <c r="A269" s="48">
        <f>Saldos_Capital_Mensual!A269</f>
        <v/>
      </c>
      <c r="B269" s="48">
        <f>Saldos_Capital_Mensual!B269</f>
        <v/>
      </c>
      <c r="C269" s="48">
        <f>Saldos_Capital_Mensual!C269</f>
        <v/>
      </c>
      <c r="D269" s="48">
        <f>Saldos_Capital_Mensual!D269</f>
        <v/>
      </c>
      <c r="E269" s="48">
        <f>Saldos_Capital_Mensual!E269</f>
        <v/>
      </c>
      <c r="F269" s="48">
        <f>Saldos_Capital_Mensual!F269</f>
        <v/>
      </c>
      <c r="G269" s="49">
        <f>Saldos_Capital_Mensual!G269</f>
        <v/>
      </c>
      <c r="H269" s="50">
        <f>Saldos_Capital_Mensual!H269</f>
        <v/>
      </c>
      <c r="I269" s="50">
        <f>Saldos_Capital_Mensual!I269</f>
        <v/>
      </c>
      <c r="J269" s="50">
        <f>Saldos_Capital_Mensual!J269</f>
        <v/>
      </c>
      <c r="K269" s="50">
        <f>Saldos_Capital_Mensual!K269</f>
        <v/>
      </c>
      <c r="L269" s="50">
        <f>Saldos_Capital_Mensual!L269</f>
        <v/>
      </c>
      <c r="M269" s="50">
        <f>Saldos_Capital_Mensual!M269</f>
        <v/>
      </c>
      <c r="N269" s="50">
        <f>Saldos_Capital_Mensual!N269</f>
        <v/>
      </c>
      <c r="O269" s="50">
        <f>Saldos_Capital_Mensual!O269</f>
        <v/>
      </c>
      <c r="P269" s="50">
        <f>Saldos_Capital_Mensual!P269</f>
        <v/>
      </c>
      <c r="Q269" s="50">
        <f>Saldos_Capital_Mensual!Q269</f>
        <v/>
      </c>
      <c r="R269" s="50">
        <f>Saldos_Capital_Mensual!R269</f>
        <v/>
      </c>
      <c r="S269" s="50">
        <f>Saldos_Capital_Mensual!S269</f>
        <v/>
      </c>
      <c r="T269" s="50">
        <f>Saldos_Capital_Mensual!T269</f>
        <v/>
      </c>
      <c r="U269" s="50">
        <f>Saldos_Capital_Mensual!U269</f>
        <v/>
      </c>
    </row>
    <row r="270">
      <c r="A270" s="48">
        <f>Saldos_Capital_Mensual!A270</f>
        <v/>
      </c>
      <c r="B270" s="48">
        <f>Saldos_Capital_Mensual!B270</f>
        <v/>
      </c>
      <c r="C270" s="48">
        <f>Saldos_Capital_Mensual!C270</f>
        <v/>
      </c>
      <c r="D270" s="48">
        <f>Saldos_Capital_Mensual!D270</f>
        <v/>
      </c>
      <c r="E270" s="48">
        <f>Saldos_Capital_Mensual!E270</f>
        <v/>
      </c>
      <c r="F270" s="48">
        <f>Saldos_Capital_Mensual!F270</f>
        <v/>
      </c>
      <c r="G270" s="49">
        <f>Saldos_Capital_Mensual!G270</f>
        <v/>
      </c>
      <c r="H270" s="50">
        <f>Saldos_Capital_Mensual!H270</f>
        <v/>
      </c>
      <c r="I270" s="50">
        <f>Saldos_Capital_Mensual!I270</f>
        <v/>
      </c>
      <c r="J270" s="50">
        <f>Saldos_Capital_Mensual!J270</f>
        <v/>
      </c>
      <c r="K270" s="50">
        <f>Saldos_Capital_Mensual!K270</f>
        <v/>
      </c>
      <c r="L270" s="50">
        <f>Saldos_Capital_Mensual!L270</f>
        <v/>
      </c>
      <c r="M270" s="50">
        <f>Saldos_Capital_Mensual!M270</f>
        <v/>
      </c>
      <c r="N270" s="50">
        <f>Saldos_Capital_Mensual!N270</f>
        <v/>
      </c>
      <c r="O270" s="50">
        <f>Saldos_Capital_Mensual!O270</f>
        <v/>
      </c>
      <c r="P270" s="50">
        <f>Saldos_Capital_Mensual!P270</f>
        <v/>
      </c>
      <c r="Q270" s="50">
        <f>Saldos_Capital_Mensual!Q270</f>
        <v/>
      </c>
      <c r="R270" s="50">
        <f>Saldos_Capital_Mensual!R270</f>
        <v/>
      </c>
      <c r="S270" s="50">
        <f>Saldos_Capital_Mensual!S270</f>
        <v/>
      </c>
      <c r="T270" s="50">
        <f>Saldos_Capital_Mensual!T270</f>
        <v/>
      </c>
      <c r="U270" s="50">
        <f>Saldos_Capital_Mensual!U270</f>
        <v/>
      </c>
    </row>
    <row r="271">
      <c r="A271" s="48">
        <f>Saldos_Capital_Mensual!A271</f>
        <v/>
      </c>
      <c r="B271" s="48">
        <f>Saldos_Capital_Mensual!B271</f>
        <v/>
      </c>
      <c r="C271" s="48">
        <f>Saldos_Capital_Mensual!C271</f>
        <v/>
      </c>
      <c r="D271" s="48">
        <f>Saldos_Capital_Mensual!D271</f>
        <v/>
      </c>
      <c r="E271" s="48">
        <f>Saldos_Capital_Mensual!E271</f>
        <v/>
      </c>
      <c r="F271" s="48">
        <f>Saldos_Capital_Mensual!F271</f>
        <v/>
      </c>
      <c r="G271" s="49">
        <f>Saldos_Capital_Mensual!G271</f>
        <v/>
      </c>
      <c r="H271" s="50">
        <f>Saldos_Capital_Mensual!H271</f>
        <v/>
      </c>
      <c r="I271" s="50">
        <f>Saldos_Capital_Mensual!I271</f>
        <v/>
      </c>
      <c r="J271" s="50">
        <f>Saldos_Capital_Mensual!J271</f>
        <v/>
      </c>
      <c r="K271" s="50">
        <f>Saldos_Capital_Mensual!K271</f>
        <v/>
      </c>
      <c r="L271" s="50">
        <f>Saldos_Capital_Mensual!L271</f>
        <v/>
      </c>
      <c r="M271" s="50">
        <f>Saldos_Capital_Mensual!M271</f>
        <v/>
      </c>
      <c r="N271" s="50">
        <f>Saldos_Capital_Mensual!N271</f>
        <v/>
      </c>
      <c r="O271" s="50">
        <f>Saldos_Capital_Mensual!O271</f>
        <v/>
      </c>
      <c r="P271" s="50">
        <f>Saldos_Capital_Mensual!P271</f>
        <v/>
      </c>
      <c r="Q271" s="50">
        <f>Saldos_Capital_Mensual!Q271</f>
        <v/>
      </c>
      <c r="R271" s="50">
        <f>Saldos_Capital_Mensual!R271</f>
        <v/>
      </c>
      <c r="S271" s="50">
        <f>Saldos_Capital_Mensual!S271</f>
        <v/>
      </c>
      <c r="T271" s="50">
        <f>Saldos_Capital_Mensual!T271</f>
        <v/>
      </c>
      <c r="U271" s="50">
        <f>Saldos_Capital_Mensual!U271</f>
        <v/>
      </c>
    </row>
    <row r="272">
      <c r="A272" s="48">
        <f>Saldos_Capital_Mensual!A272</f>
        <v/>
      </c>
      <c r="B272" s="48">
        <f>Saldos_Capital_Mensual!B272</f>
        <v/>
      </c>
      <c r="C272" s="48">
        <f>Saldos_Capital_Mensual!C272</f>
        <v/>
      </c>
      <c r="D272" s="48">
        <f>Saldos_Capital_Mensual!D272</f>
        <v/>
      </c>
      <c r="E272" s="48">
        <f>Saldos_Capital_Mensual!E272</f>
        <v/>
      </c>
      <c r="F272" s="48">
        <f>Saldos_Capital_Mensual!F272</f>
        <v/>
      </c>
      <c r="G272" s="49">
        <f>Saldos_Capital_Mensual!G272</f>
        <v/>
      </c>
      <c r="H272" s="50">
        <f>Saldos_Capital_Mensual!H272</f>
        <v/>
      </c>
      <c r="I272" s="50">
        <f>Saldos_Capital_Mensual!I272</f>
        <v/>
      </c>
      <c r="J272" s="50">
        <f>Saldos_Capital_Mensual!J272</f>
        <v/>
      </c>
      <c r="K272" s="50">
        <f>Saldos_Capital_Mensual!K272</f>
        <v/>
      </c>
      <c r="L272" s="50">
        <f>Saldos_Capital_Mensual!L272</f>
        <v/>
      </c>
      <c r="M272" s="50">
        <f>Saldos_Capital_Mensual!M272</f>
        <v/>
      </c>
      <c r="N272" s="50">
        <f>Saldos_Capital_Mensual!N272</f>
        <v/>
      </c>
      <c r="O272" s="50">
        <f>Saldos_Capital_Mensual!O272</f>
        <v/>
      </c>
      <c r="P272" s="50">
        <f>Saldos_Capital_Mensual!P272</f>
        <v/>
      </c>
      <c r="Q272" s="50">
        <f>Saldos_Capital_Mensual!Q272</f>
        <v/>
      </c>
      <c r="R272" s="50">
        <f>Saldos_Capital_Mensual!R272</f>
        <v/>
      </c>
      <c r="S272" s="50">
        <f>Saldos_Capital_Mensual!S272</f>
        <v/>
      </c>
      <c r="T272" s="50">
        <f>Saldos_Capital_Mensual!T272</f>
        <v/>
      </c>
      <c r="U272" s="50">
        <f>Saldos_Capital_Mensual!U272</f>
        <v/>
      </c>
    </row>
    <row r="273">
      <c r="A273" s="48">
        <f>Saldos_Capital_Mensual!A273</f>
        <v/>
      </c>
      <c r="B273" s="48">
        <f>Saldos_Capital_Mensual!B273</f>
        <v/>
      </c>
      <c r="C273" s="48">
        <f>Saldos_Capital_Mensual!C273</f>
        <v/>
      </c>
      <c r="D273" s="48">
        <f>Saldos_Capital_Mensual!D273</f>
        <v/>
      </c>
      <c r="E273" s="48">
        <f>Saldos_Capital_Mensual!E273</f>
        <v/>
      </c>
      <c r="F273" s="48">
        <f>Saldos_Capital_Mensual!F273</f>
        <v/>
      </c>
      <c r="G273" s="49">
        <f>Saldos_Capital_Mensual!G273</f>
        <v/>
      </c>
      <c r="H273" s="50">
        <f>Saldos_Capital_Mensual!H273</f>
        <v/>
      </c>
      <c r="I273" s="50">
        <f>Saldos_Capital_Mensual!I273</f>
        <v/>
      </c>
      <c r="J273" s="50">
        <f>Saldos_Capital_Mensual!J273</f>
        <v/>
      </c>
      <c r="K273" s="50">
        <f>Saldos_Capital_Mensual!K273</f>
        <v/>
      </c>
      <c r="L273" s="50">
        <f>Saldos_Capital_Mensual!L273</f>
        <v/>
      </c>
      <c r="M273" s="50">
        <f>Saldos_Capital_Mensual!M273</f>
        <v/>
      </c>
      <c r="N273" s="50">
        <f>Saldos_Capital_Mensual!N273</f>
        <v/>
      </c>
      <c r="O273" s="50">
        <f>Saldos_Capital_Mensual!O273</f>
        <v/>
      </c>
      <c r="P273" s="50">
        <f>Saldos_Capital_Mensual!P273</f>
        <v/>
      </c>
      <c r="Q273" s="50">
        <f>Saldos_Capital_Mensual!Q273</f>
        <v/>
      </c>
      <c r="R273" s="50">
        <f>Saldos_Capital_Mensual!R273</f>
        <v/>
      </c>
      <c r="S273" s="50">
        <f>Saldos_Capital_Mensual!S273</f>
        <v/>
      </c>
      <c r="T273" s="50">
        <f>Saldos_Capital_Mensual!T273</f>
        <v/>
      </c>
      <c r="U273" s="50">
        <f>Saldos_Capital_Mensual!U273</f>
        <v/>
      </c>
    </row>
    <row r="274">
      <c r="A274" s="48">
        <f>Saldos_Capital_Mensual!A274</f>
        <v/>
      </c>
      <c r="B274" s="48">
        <f>Saldos_Capital_Mensual!B274</f>
        <v/>
      </c>
      <c r="C274" s="48">
        <f>Saldos_Capital_Mensual!C274</f>
        <v/>
      </c>
      <c r="D274" s="48">
        <f>Saldos_Capital_Mensual!D274</f>
        <v/>
      </c>
      <c r="E274" s="48">
        <f>Saldos_Capital_Mensual!E274</f>
        <v/>
      </c>
      <c r="F274" s="48">
        <f>Saldos_Capital_Mensual!F274</f>
        <v/>
      </c>
      <c r="G274" s="49">
        <f>Saldos_Capital_Mensual!G274</f>
        <v/>
      </c>
      <c r="H274" s="50">
        <f>Saldos_Capital_Mensual!H274</f>
        <v/>
      </c>
      <c r="I274" s="50">
        <f>Saldos_Capital_Mensual!I274</f>
        <v/>
      </c>
      <c r="J274" s="50">
        <f>Saldos_Capital_Mensual!J274</f>
        <v/>
      </c>
      <c r="K274" s="50">
        <f>Saldos_Capital_Mensual!K274</f>
        <v/>
      </c>
      <c r="L274" s="50">
        <f>Saldos_Capital_Mensual!L274</f>
        <v/>
      </c>
      <c r="M274" s="50">
        <f>Saldos_Capital_Mensual!M274</f>
        <v/>
      </c>
      <c r="N274" s="50">
        <f>Saldos_Capital_Mensual!N274</f>
        <v/>
      </c>
      <c r="O274" s="50">
        <f>Saldos_Capital_Mensual!O274</f>
        <v/>
      </c>
      <c r="P274" s="50">
        <f>Saldos_Capital_Mensual!P274</f>
        <v/>
      </c>
      <c r="Q274" s="50">
        <f>Saldos_Capital_Mensual!Q274</f>
        <v/>
      </c>
      <c r="R274" s="50">
        <f>Saldos_Capital_Mensual!R274</f>
        <v/>
      </c>
      <c r="S274" s="50">
        <f>Saldos_Capital_Mensual!S274</f>
        <v/>
      </c>
      <c r="T274" s="50">
        <f>Saldos_Capital_Mensual!T274</f>
        <v/>
      </c>
      <c r="U274" s="50">
        <f>Saldos_Capital_Mensual!U274</f>
        <v/>
      </c>
    </row>
    <row r="275">
      <c r="A275" s="48">
        <f>Saldos_Capital_Mensual!A275</f>
        <v/>
      </c>
      <c r="B275" s="48">
        <f>Saldos_Capital_Mensual!B275</f>
        <v/>
      </c>
      <c r="C275" s="48">
        <f>Saldos_Capital_Mensual!C275</f>
        <v/>
      </c>
      <c r="D275" s="48">
        <f>Saldos_Capital_Mensual!D275</f>
        <v/>
      </c>
      <c r="E275" s="48">
        <f>Saldos_Capital_Mensual!E275</f>
        <v/>
      </c>
      <c r="F275" s="48">
        <f>Saldos_Capital_Mensual!F275</f>
        <v/>
      </c>
      <c r="G275" s="49">
        <f>Saldos_Capital_Mensual!G275</f>
        <v/>
      </c>
      <c r="H275" s="50">
        <f>Saldos_Capital_Mensual!H275</f>
        <v/>
      </c>
      <c r="I275" s="50">
        <f>Saldos_Capital_Mensual!I275</f>
        <v/>
      </c>
      <c r="J275" s="50">
        <f>Saldos_Capital_Mensual!J275</f>
        <v/>
      </c>
      <c r="K275" s="50">
        <f>Saldos_Capital_Mensual!K275</f>
        <v/>
      </c>
      <c r="L275" s="50">
        <f>Saldos_Capital_Mensual!L275</f>
        <v/>
      </c>
      <c r="M275" s="50">
        <f>Saldos_Capital_Mensual!M275</f>
        <v/>
      </c>
      <c r="N275" s="50">
        <f>Saldos_Capital_Mensual!N275</f>
        <v/>
      </c>
      <c r="O275" s="50">
        <f>Saldos_Capital_Mensual!O275</f>
        <v/>
      </c>
      <c r="P275" s="50">
        <f>Saldos_Capital_Mensual!P275</f>
        <v/>
      </c>
      <c r="Q275" s="50">
        <f>Saldos_Capital_Mensual!Q275</f>
        <v/>
      </c>
      <c r="R275" s="50">
        <f>Saldos_Capital_Mensual!R275</f>
        <v/>
      </c>
      <c r="S275" s="50">
        <f>Saldos_Capital_Mensual!S275</f>
        <v/>
      </c>
      <c r="T275" s="50">
        <f>Saldos_Capital_Mensual!T275</f>
        <v/>
      </c>
      <c r="U275" s="50">
        <f>Saldos_Capital_Mensual!U275</f>
        <v/>
      </c>
    </row>
    <row r="276">
      <c r="A276" s="48">
        <f>Saldos_Capital_Mensual!A276</f>
        <v/>
      </c>
      <c r="B276" s="48">
        <f>Saldos_Capital_Mensual!B276</f>
        <v/>
      </c>
      <c r="C276" s="48">
        <f>Saldos_Capital_Mensual!C276</f>
        <v/>
      </c>
      <c r="D276" s="48">
        <f>Saldos_Capital_Mensual!D276</f>
        <v/>
      </c>
      <c r="E276" s="48">
        <f>Saldos_Capital_Mensual!E276</f>
        <v/>
      </c>
      <c r="F276" s="48">
        <f>Saldos_Capital_Mensual!F276</f>
        <v/>
      </c>
      <c r="G276" s="49">
        <f>Saldos_Capital_Mensual!G276</f>
        <v/>
      </c>
      <c r="H276" s="50">
        <f>Saldos_Capital_Mensual!H276</f>
        <v/>
      </c>
      <c r="I276" s="50">
        <f>Saldos_Capital_Mensual!I276</f>
        <v/>
      </c>
      <c r="J276" s="50">
        <f>Saldos_Capital_Mensual!J276</f>
        <v/>
      </c>
      <c r="K276" s="50">
        <f>Saldos_Capital_Mensual!K276</f>
        <v/>
      </c>
      <c r="L276" s="50">
        <f>Saldos_Capital_Mensual!L276</f>
        <v/>
      </c>
      <c r="M276" s="50">
        <f>Saldos_Capital_Mensual!M276</f>
        <v/>
      </c>
      <c r="N276" s="50">
        <f>Saldos_Capital_Mensual!N276</f>
        <v/>
      </c>
      <c r="O276" s="50">
        <f>Saldos_Capital_Mensual!O276</f>
        <v/>
      </c>
      <c r="P276" s="50">
        <f>Saldos_Capital_Mensual!P276</f>
        <v/>
      </c>
      <c r="Q276" s="50">
        <f>Saldos_Capital_Mensual!Q276</f>
        <v/>
      </c>
      <c r="R276" s="50">
        <f>Saldos_Capital_Mensual!R276</f>
        <v/>
      </c>
      <c r="S276" s="50">
        <f>Saldos_Capital_Mensual!S276</f>
        <v/>
      </c>
      <c r="T276" s="50">
        <f>Saldos_Capital_Mensual!T276</f>
        <v/>
      </c>
      <c r="U276" s="50">
        <f>Saldos_Capital_Mensual!U276</f>
        <v/>
      </c>
    </row>
    <row r="277">
      <c r="A277" s="48">
        <f>Saldos_Capital_Mensual!A277</f>
        <v/>
      </c>
      <c r="B277" s="48">
        <f>Saldos_Capital_Mensual!B277</f>
        <v/>
      </c>
      <c r="C277" s="48">
        <f>Saldos_Capital_Mensual!C277</f>
        <v/>
      </c>
      <c r="D277" s="48">
        <f>Saldos_Capital_Mensual!D277</f>
        <v/>
      </c>
      <c r="E277" s="48">
        <f>Saldos_Capital_Mensual!E277</f>
        <v/>
      </c>
      <c r="F277" s="48">
        <f>Saldos_Capital_Mensual!F277</f>
        <v/>
      </c>
      <c r="G277" s="49">
        <f>Saldos_Capital_Mensual!G277</f>
        <v/>
      </c>
      <c r="H277" s="50">
        <f>Saldos_Capital_Mensual!H277</f>
        <v/>
      </c>
      <c r="I277" s="50">
        <f>Saldos_Capital_Mensual!I277</f>
        <v/>
      </c>
      <c r="J277" s="50">
        <f>Saldos_Capital_Mensual!J277</f>
        <v/>
      </c>
      <c r="K277" s="50">
        <f>Saldos_Capital_Mensual!K277</f>
        <v/>
      </c>
      <c r="L277" s="50">
        <f>Saldos_Capital_Mensual!L277</f>
        <v/>
      </c>
      <c r="M277" s="50">
        <f>Saldos_Capital_Mensual!M277</f>
        <v/>
      </c>
      <c r="N277" s="50">
        <f>Saldos_Capital_Mensual!N277</f>
        <v/>
      </c>
      <c r="O277" s="50">
        <f>Saldos_Capital_Mensual!O277</f>
        <v/>
      </c>
      <c r="P277" s="50">
        <f>Saldos_Capital_Mensual!P277</f>
        <v/>
      </c>
      <c r="Q277" s="50">
        <f>Saldos_Capital_Mensual!Q277</f>
        <v/>
      </c>
      <c r="R277" s="50">
        <f>Saldos_Capital_Mensual!R277</f>
        <v/>
      </c>
      <c r="S277" s="50">
        <f>Saldos_Capital_Mensual!S277</f>
        <v/>
      </c>
      <c r="T277" s="50">
        <f>Saldos_Capital_Mensual!T277</f>
        <v/>
      </c>
      <c r="U277" s="50">
        <f>Saldos_Capital_Mensual!U277</f>
        <v/>
      </c>
    </row>
    <row r="278">
      <c r="A278" s="48">
        <f>Saldos_Capital_Mensual!A278</f>
        <v/>
      </c>
      <c r="B278" s="48">
        <f>Saldos_Capital_Mensual!B278</f>
        <v/>
      </c>
      <c r="C278" s="48">
        <f>Saldos_Capital_Mensual!C278</f>
        <v/>
      </c>
      <c r="D278" s="48">
        <f>Saldos_Capital_Mensual!D278</f>
        <v/>
      </c>
      <c r="E278" s="48">
        <f>Saldos_Capital_Mensual!E278</f>
        <v/>
      </c>
      <c r="F278" s="48">
        <f>Saldos_Capital_Mensual!F278</f>
        <v/>
      </c>
      <c r="G278" s="49">
        <f>Saldos_Capital_Mensual!G278</f>
        <v/>
      </c>
      <c r="H278" s="50">
        <f>Saldos_Capital_Mensual!H278</f>
        <v/>
      </c>
      <c r="I278" s="50">
        <f>Saldos_Capital_Mensual!I278</f>
        <v/>
      </c>
      <c r="J278" s="50">
        <f>Saldos_Capital_Mensual!J278</f>
        <v/>
      </c>
      <c r="K278" s="50">
        <f>Saldos_Capital_Mensual!K278</f>
        <v/>
      </c>
      <c r="L278" s="50">
        <f>Saldos_Capital_Mensual!L278</f>
        <v/>
      </c>
      <c r="M278" s="50">
        <f>Saldos_Capital_Mensual!M278</f>
        <v/>
      </c>
      <c r="N278" s="50">
        <f>Saldos_Capital_Mensual!N278</f>
        <v/>
      </c>
      <c r="O278" s="50">
        <f>Saldos_Capital_Mensual!O278</f>
        <v/>
      </c>
      <c r="P278" s="50">
        <f>Saldos_Capital_Mensual!P278</f>
        <v/>
      </c>
      <c r="Q278" s="50">
        <f>Saldos_Capital_Mensual!Q278</f>
        <v/>
      </c>
      <c r="R278" s="50">
        <f>Saldos_Capital_Mensual!R278</f>
        <v/>
      </c>
      <c r="S278" s="50">
        <f>Saldos_Capital_Mensual!S278</f>
        <v/>
      </c>
      <c r="T278" s="50">
        <f>Saldos_Capital_Mensual!T278</f>
        <v/>
      </c>
      <c r="U278" s="50">
        <f>Saldos_Capital_Mensual!U278</f>
        <v/>
      </c>
    </row>
    <row r="279">
      <c r="A279" s="48">
        <f>Saldos_Capital_Mensual!A279</f>
        <v/>
      </c>
      <c r="B279" s="48">
        <f>Saldos_Capital_Mensual!B279</f>
        <v/>
      </c>
      <c r="C279" s="48">
        <f>Saldos_Capital_Mensual!C279</f>
        <v/>
      </c>
      <c r="D279" s="48">
        <f>Saldos_Capital_Mensual!D279</f>
        <v/>
      </c>
      <c r="E279" s="48">
        <f>Saldos_Capital_Mensual!E279</f>
        <v/>
      </c>
      <c r="F279" s="48">
        <f>Saldos_Capital_Mensual!F279</f>
        <v/>
      </c>
      <c r="G279" s="49">
        <f>Saldos_Capital_Mensual!G279</f>
        <v/>
      </c>
      <c r="H279" s="50">
        <f>Saldos_Capital_Mensual!H279</f>
        <v/>
      </c>
      <c r="I279" s="50">
        <f>Saldos_Capital_Mensual!I279</f>
        <v/>
      </c>
      <c r="J279" s="50">
        <f>Saldos_Capital_Mensual!J279</f>
        <v/>
      </c>
      <c r="K279" s="50">
        <f>Saldos_Capital_Mensual!K279</f>
        <v/>
      </c>
      <c r="L279" s="50">
        <f>Saldos_Capital_Mensual!L279</f>
        <v/>
      </c>
      <c r="M279" s="50">
        <f>Saldos_Capital_Mensual!M279</f>
        <v/>
      </c>
      <c r="N279" s="50">
        <f>Saldos_Capital_Mensual!N279</f>
        <v/>
      </c>
      <c r="O279" s="50">
        <f>Saldos_Capital_Mensual!O279</f>
        <v/>
      </c>
      <c r="P279" s="50">
        <f>Saldos_Capital_Mensual!P279</f>
        <v/>
      </c>
      <c r="Q279" s="50">
        <f>Saldos_Capital_Mensual!Q279</f>
        <v/>
      </c>
      <c r="R279" s="50">
        <f>Saldos_Capital_Mensual!R279</f>
        <v/>
      </c>
      <c r="S279" s="50">
        <f>Saldos_Capital_Mensual!S279</f>
        <v/>
      </c>
      <c r="T279" s="50">
        <f>Saldos_Capital_Mensual!T279</f>
        <v/>
      </c>
      <c r="U279" s="50">
        <f>Saldos_Capital_Mensual!U279</f>
        <v/>
      </c>
    </row>
    <row r="280">
      <c r="A280" s="48">
        <f>Saldos_Capital_Mensual!A280</f>
        <v/>
      </c>
      <c r="B280" s="48">
        <f>Saldos_Capital_Mensual!B280</f>
        <v/>
      </c>
      <c r="C280" s="48">
        <f>Saldos_Capital_Mensual!C280</f>
        <v/>
      </c>
      <c r="D280" s="48">
        <f>Saldos_Capital_Mensual!D280</f>
        <v/>
      </c>
      <c r="E280" s="48">
        <f>Saldos_Capital_Mensual!E280</f>
        <v/>
      </c>
      <c r="F280" s="48">
        <f>Saldos_Capital_Mensual!F280</f>
        <v/>
      </c>
      <c r="G280" s="49">
        <f>Saldos_Capital_Mensual!G280</f>
        <v/>
      </c>
      <c r="H280" s="50">
        <f>Saldos_Capital_Mensual!H280</f>
        <v/>
      </c>
      <c r="I280" s="50">
        <f>Saldos_Capital_Mensual!I280</f>
        <v/>
      </c>
      <c r="J280" s="50">
        <f>Saldos_Capital_Mensual!J280</f>
        <v/>
      </c>
      <c r="K280" s="50">
        <f>Saldos_Capital_Mensual!K280</f>
        <v/>
      </c>
      <c r="L280" s="50">
        <f>Saldos_Capital_Mensual!L280</f>
        <v/>
      </c>
      <c r="M280" s="50">
        <f>Saldos_Capital_Mensual!M280</f>
        <v/>
      </c>
      <c r="N280" s="50">
        <f>Saldos_Capital_Mensual!N280</f>
        <v/>
      </c>
      <c r="O280" s="50">
        <f>Saldos_Capital_Mensual!O280</f>
        <v/>
      </c>
      <c r="P280" s="50">
        <f>Saldos_Capital_Mensual!P280</f>
        <v/>
      </c>
      <c r="Q280" s="50">
        <f>Saldos_Capital_Mensual!Q280</f>
        <v/>
      </c>
      <c r="R280" s="50">
        <f>Saldos_Capital_Mensual!R280</f>
        <v/>
      </c>
      <c r="S280" s="50">
        <f>Saldos_Capital_Mensual!S280</f>
        <v/>
      </c>
      <c r="T280" s="50">
        <f>Saldos_Capital_Mensual!T280</f>
        <v/>
      </c>
      <c r="U280" s="50">
        <f>Saldos_Capital_Mensual!U280</f>
        <v/>
      </c>
    </row>
    <row r="281">
      <c r="A281" s="48">
        <f>Saldos_Capital_Mensual!A281</f>
        <v/>
      </c>
      <c r="B281" s="48">
        <f>Saldos_Capital_Mensual!B281</f>
        <v/>
      </c>
      <c r="C281" s="48">
        <f>Saldos_Capital_Mensual!C281</f>
        <v/>
      </c>
      <c r="D281" s="48">
        <f>Saldos_Capital_Mensual!D281</f>
        <v/>
      </c>
      <c r="E281" s="48">
        <f>Saldos_Capital_Mensual!E281</f>
        <v/>
      </c>
      <c r="F281" s="48">
        <f>Saldos_Capital_Mensual!F281</f>
        <v/>
      </c>
      <c r="G281" s="49">
        <f>Saldos_Capital_Mensual!G281</f>
        <v/>
      </c>
      <c r="H281" s="50">
        <f>Saldos_Capital_Mensual!H281</f>
        <v/>
      </c>
      <c r="I281" s="50">
        <f>Saldos_Capital_Mensual!I281</f>
        <v/>
      </c>
      <c r="J281" s="50">
        <f>Saldos_Capital_Mensual!J281</f>
        <v/>
      </c>
      <c r="K281" s="50">
        <f>Saldos_Capital_Mensual!K281</f>
        <v/>
      </c>
      <c r="L281" s="50">
        <f>Saldos_Capital_Mensual!L281</f>
        <v/>
      </c>
      <c r="M281" s="50">
        <f>Saldos_Capital_Mensual!M281</f>
        <v/>
      </c>
      <c r="N281" s="50">
        <f>Saldos_Capital_Mensual!N281</f>
        <v/>
      </c>
      <c r="O281" s="50">
        <f>Saldos_Capital_Mensual!O281</f>
        <v/>
      </c>
      <c r="P281" s="50">
        <f>Saldos_Capital_Mensual!P281</f>
        <v/>
      </c>
      <c r="Q281" s="50">
        <f>Saldos_Capital_Mensual!Q281</f>
        <v/>
      </c>
      <c r="R281" s="50">
        <f>Saldos_Capital_Mensual!R281</f>
        <v/>
      </c>
      <c r="S281" s="50">
        <f>Saldos_Capital_Mensual!S281</f>
        <v/>
      </c>
      <c r="T281" s="50">
        <f>Saldos_Capital_Mensual!T281</f>
        <v/>
      </c>
      <c r="U281" s="50">
        <f>Saldos_Capital_Mensual!U281</f>
        <v/>
      </c>
    </row>
    <row r="282">
      <c r="A282" s="34" t="inlineStr">
        <is>
          <t>TOTAL CARTERA</t>
        </is>
      </c>
      <c r="B282" s="34" t="inlineStr">
        <is>
          <t>277 Contratos</t>
        </is>
      </c>
      <c r="C282" s="34" t="n"/>
      <c r="D282" s="34" t="n"/>
      <c r="E282" s="34" t="n"/>
      <c r="F282" s="34" t="n"/>
      <c r="G282" s="34" t="n"/>
      <c r="H282" s="34" t="n"/>
      <c r="I282" s="51">
        <f>SUM(I5:I281)</f>
        <v/>
      </c>
      <c r="J282" s="51">
        <f>SUM(J5:J281)</f>
        <v/>
      </c>
      <c r="K282" s="51">
        <f>SUM(K5:K281)</f>
        <v/>
      </c>
      <c r="L282" s="51">
        <f>SUM(L5:L281)</f>
        <v/>
      </c>
      <c r="M282" s="51">
        <f>SUM(M5:M281)</f>
        <v/>
      </c>
      <c r="N282" s="51">
        <f>SUM(N5:N281)</f>
        <v/>
      </c>
      <c r="O282" s="51">
        <f>SUM(O5:O281)</f>
        <v/>
      </c>
      <c r="P282" s="51">
        <f>SUM(P5:P281)</f>
        <v/>
      </c>
      <c r="Q282" s="51">
        <f>SUM(Q5:Q281)</f>
        <v/>
      </c>
      <c r="R282" s="51">
        <f>SUM(R5:R281)</f>
        <v/>
      </c>
      <c r="S282" s="51">
        <f>SUM(S5:S281)</f>
        <v/>
      </c>
      <c r="T282" s="51">
        <f>SUM(T5:T281)</f>
        <v/>
      </c>
      <c r="U282" s="51">
        <f>SUM(U5:U281)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L282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0" customWidth="1" min="4" max="4"/>
    <col width="14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4" customWidth="1" min="16" max="16"/>
    <col width="15" customWidth="1" min="17" max="17"/>
    <col width="14" customWidth="1" min="18" max="18"/>
    <col width="15" customWidth="1" min="19" max="19"/>
    <col width="14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4" customWidth="1" min="26" max="26"/>
    <col width="15" customWidth="1" min="27" max="27"/>
    <col width="14" customWidth="1" min="28" max="28"/>
    <col width="15" customWidth="1" min="29" max="29"/>
    <col width="14" customWidth="1" min="30" max="30"/>
    <col width="14" customWidth="1" min="31" max="31"/>
    <col width="15" customWidth="1" min="32" max="32"/>
    <col width="14" customWidth="1" min="33" max="33"/>
    <col width="15" customWidth="1" min="34" max="34"/>
    <col width="14" customWidth="1" min="35" max="35"/>
    <col width="14" customWidth="1" min="36" max="36"/>
    <col width="15" customWidth="1" min="37" max="37"/>
    <col width="14" customWidth="1" min="38" max="38"/>
    <col width="15" customWidth="1" min="39" max="39"/>
    <col width="14" customWidth="1" min="40" max="40"/>
    <col width="14" customWidth="1" min="41" max="41"/>
    <col width="15" customWidth="1" min="42" max="42"/>
    <col width="14" customWidth="1" min="43" max="43"/>
    <col width="15" customWidth="1" min="44" max="44"/>
    <col width="14" customWidth="1" min="45" max="45"/>
    <col width="14" customWidth="1" min="46" max="46"/>
    <col width="15" customWidth="1" min="47" max="47"/>
    <col width="14" customWidth="1" min="48" max="48"/>
    <col width="15" customWidth="1" min="49" max="49"/>
    <col width="14" customWidth="1" min="50" max="50"/>
    <col width="14" customWidth="1" min="51" max="51"/>
    <col width="15" customWidth="1" min="52" max="52"/>
    <col width="14" customWidth="1" min="53" max="53"/>
    <col width="15" customWidth="1" min="54" max="54"/>
    <col width="14" customWidth="1" min="55" max="55"/>
    <col width="14" customWidth="1" min="56" max="56"/>
    <col width="15" customWidth="1" min="57" max="57"/>
    <col width="14" customWidth="1" min="58" max="58"/>
    <col width="15" customWidth="1" min="59" max="59"/>
    <col width="14" customWidth="1" min="60" max="60"/>
    <col width="14" customWidth="1" min="61" max="61"/>
    <col width="15" customWidth="1" min="62" max="62"/>
    <col width="14" customWidth="1" min="63" max="63"/>
    <col width="15" customWidth="1" min="64" max="64"/>
  </cols>
  <sheetData>
    <row r="1" ht="24" customHeight="1">
      <c r="A1" s="18" t="inlineStr">
        <is>
          <t>O-LEASING · UNA APP DE ORANGE CREW · Matriz Cronológica Consolidada Multi-Concepto (Flujos y Devengos)</t>
        </is>
      </c>
    </row>
    <row r="2" ht="16" customHeight="1">
      <c r="A2" s="3" t="inlineStr">
        <is>
          <t>Interés leasing, amortización de capital, saldo insoluto e interés de residual mes por mes con fórmulas vivas · Auditoría Financiera NIF C-15 / IFRS 16 · Desarrollado por Orange Crew</t>
        </is>
      </c>
    </row>
    <row r="3" ht="20" customHeight="1">
      <c r="A3" s="9" t="inlineStr">
        <is>
          <t>ID_Contrato</t>
        </is>
      </c>
      <c r="B3" s="9" t="inlineStr">
        <is>
          <t>Cliente</t>
        </is>
      </c>
      <c r="C3" s="9" t="inlineStr">
        <is>
          <t>Vehiculo</t>
        </is>
      </c>
      <c r="D3" s="9" t="inlineStr">
        <is>
          <t>Plazo</t>
        </is>
      </c>
      <c r="E3" s="9" t="inlineStr">
        <is>
          <t>2026-01</t>
        </is>
      </c>
      <c r="J3" s="9" t="inlineStr">
        <is>
          <t>2026-02</t>
        </is>
      </c>
      <c r="O3" s="9" t="inlineStr">
        <is>
          <t>2026-03</t>
        </is>
      </c>
      <c r="T3" s="9" t="inlineStr">
        <is>
          <t>2026-04</t>
        </is>
      </c>
      <c r="Y3" s="9" t="inlineStr">
        <is>
          <t>2026-05</t>
        </is>
      </c>
      <c r="AD3" s="9" t="inlineStr">
        <is>
          <t>2026-06</t>
        </is>
      </c>
      <c r="AI3" s="9" t="inlineStr">
        <is>
          <t>2026-07</t>
        </is>
      </c>
      <c r="AN3" s="9" t="inlineStr">
        <is>
          <t>2026-08</t>
        </is>
      </c>
      <c r="AS3" s="9" t="inlineStr">
        <is>
          <t>2026-09</t>
        </is>
      </c>
      <c r="AX3" s="9" t="inlineStr">
        <is>
          <t>2026-10</t>
        </is>
      </c>
      <c r="BC3" s="9" t="inlineStr">
        <is>
          <t>2026-11</t>
        </is>
      </c>
      <c r="BH3" s="9" t="inlineStr">
        <is>
          <t>2026-12</t>
        </is>
      </c>
    </row>
    <row r="4" ht="22" customHeight="1">
      <c r="E4" s="52" t="inlineStr">
        <is>
          <t>Int_Leasing</t>
        </is>
      </c>
      <c r="F4" s="52" t="inlineStr">
        <is>
          <t>Capital</t>
        </is>
      </c>
      <c r="G4" s="52" t="inlineStr">
        <is>
          <t>Saldo_Cap</t>
        </is>
      </c>
      <c r="H4" s="52" t="inlineStr">
        <is>
          <t>Int_Residual</t>
        </is>
      </c>
      <c r="I4" s="52" t="inlineStr">
        <is>
          <t>Total_Ingreso</t>
        </is>
      </c>
      <c r="J4" s="52" t="inlineStr">
        <is>
          <t>Int_Leasing</t>
        </is>
      </c>
      <c r="K4" s="52" t="inlineStr">
        <is>
          <t>Capital</t>
        </is>
      </c>
      <c r="L4" s="52" t="inlineStr">
        <is>
          <t>Saldo_Cap</t>
        </is>
      </c>
      <c r="M4" s="52" t="inlineStr">
        <is>
          <t>Int_Residual</t>
        </is>
      </c>
      <c r="N4" s="52" t="inlineStr">
        <is>
          <t>Total_Ingreso</t>
        </is>
      </c>
      <c r="O4" s="52" t="inlineStr">
        <is>
          <t>Int_Leasing</t>
        </is>
      </c>
      <c r="P4" s="52" t="inlineStr">
        <is>
          <t>Capital</t>
        </is>
      </c>
      <c r="Q4" s="52" t="inlineStr">
        <is>
          <t>Saldo_Cap</t>
        </is>
      </c>
      <c r="R4" s="52" t="inlineStr">
        <is>
          <t>Int_Residual</t>
        </is>
      </c>
      <c r="S4" s="52" t="inlineStr">
        <is>
          <t>Total_Ingreso</t>
        </is>
      </c>
      <c r="T4" s="52" t="inlineStr">
        <is>
          <t>Int_Leasing</t>
        </is>
      </c>
      <c r="U4" s="52" t="inlineStr">
        <is>
          <t>Capital</t>
        </is>
      </c>
      <c r="V4" s="52" t="inlineStr">
        <is>
          <t>Saldo_Cap</t>
        </is>
      </c>
      <c r="W4" s="52" t="inlineStr">
        <is>
          <t>Int_Residual</t>
        </is>
      </c>
      <c r="X4" s="52" t="inlineStr">
        <is>
          <t>Total_Ingreso</t>
        </is>
      </c>
      <c r="Y4" s="52" t="inlineStr">
        <is>
          <t>Int_Leasing</t>
        </is>
      </c>
      <c r="Z4" s="52" t="inlineStr">
        <is>
          <t>Capital</t>
        </is>
      </c>
      <c r="AA4" s="52" t="inlineStr">
        <is>
          <t>Saldo_Cap</t>
        </is>
      </c>
      <c r="AB4" s="52" t="inlineStr">
        <is>
          <t>Int_Residual</t>
        </is>
      </c>
      <c r="AC4" s="52" t="inlineStr">
        <is>
          <t>Total_Ingreso</t>
        </is>
      </c>
      <c r="AD4" s="52" t="inlineStr">
        <is>
          <t>Int_Leasing</t>
        </is>
      </c>
      <c r="AE4" s="52" t="inlineStr">
        <is>
          <t>Capital</t>
        </is>
      </c>
      <c r="AF4" s="52" t="inlineStr">
        <is>
          <t>Saldo_Cap</t>
        </is>
      </c>
      <c r="AG4" s="52" t="inlineStr">
        <is>
          <t>Int_Residual</t>
        </is>
      </c>
      <c r="AH4" s="52" t="inlineStr">
        <is>
          <t>Total_Ingreso</t>
        </is>
      </c>
      <c r="AI4" s="52" t="inlineStr">
        <is>
          <t>Int_Leasing</t>
        </is>
      </c>
      <c r="AJ4" s="52" t="inlineStr">
        <is>
          <t>Capital</t>
        </is>
      </c>
      <c r="AK4" s="52" t="inlineStr">
        <is>
          <t>Saldo_Cap</t>
        </is>
      </c>
      <c r="AL4" s="52" t="inlineStr">
        <is>
          <t>Int_Residual</t>
        </is>
      </c>
      <c r="AM4" s="52" t="inlineStr">
        <is>
          <t>Total_Ingreso</t>
        </is>
      </c>
      <c r="AN4" s="52" t="inlineStr">
        <is>
          <t>Int_Leasing</t>
        </is>
      </c>
      <c r="AO4" s="52" t="inlineStr">
        <is>
          <t>Capital</t>
        </is>
      </c>
      <c r="AP4" s="52" t="inlineStr">
        <is>
          <t>Saldo_Cap</t>
        </is>
      </c>
      <c r="AQ4" s="52" t="inlineStr">
        <is>
          <t>Int_Residual</t>
        </is>
      </c>
      <c r="AR4" s="52" t="inlineStr">
        <is>
          <t>Total_Ingreso</t>
        </is>
      </c>
      <c r="AS4" s="52" t="inlineStr">
        <is>
          <t>Int_Leasing</t>
        </is>
      </c>
      <c r="AT4" s="52" t="inlineStr">
        <is>
          <t>Capital</t>
        </is>
      </c>
      <c r="AU4" s="52" t="inlineStr">
        <is>
          <t>Saldo_Cap</t>
        </is>
      </c>
      <c r="AV4" s="52" t="inlineStr">
        <is>
          <t>Int_Residual</t>
        </is>
      </c>
      <c r="AW4" s="52" t="inlineStr">
        <is>
          <t>Total_Ingreso</t>
        </is>
      </c>
      <c r="AX4" s="52" t="inlineStr">
        <is>
          <t>Int_Leasing</t>
        </is>
      </c>
      <c r="AY4" s="52" t="inlineStr">
        <is>
          <t>Capital</t>
        </is>
      </c>
      <c r="AZ4" s="52" t="inlineStr">
        <is>
          <t>Saldo_Cap</t>
        </is>
      </c>
      <c r="BA4" s="52" t="inlineStr">
        <is>
          <t>Int_Residual</t>
        </is>
      </c>
      <c r="BB4" s="52" t="inlineStr">
        <is>
          <t>Total_Ingreso</t>
        </is>
      </c>
      <c r="BC4" s="52" t="inlineStr">
        <is>
          <t>Int_Leasing</t>
        </is>
      </c>
      <c r="BD4" s="52" t="inlineStr">
        <is>
          <t>Capital</t>
        </is>
      </c>
      <c r="BE4" s="52" t="inlineStr">
        <is>
          <t>Saldo_Cap</t>
        </is>
      </c>
      <c r="BF4" s="52" t="inlineStr">
        <is>
          <t>Int_Residual</t>
        </is>
      </c>
      <c r="BG4" s="52" t="inlineStr">
        <is>
          <t>Total_Ingreso</t>
        </is>
      </c>
      <c r="BH4" s="52" t="inlineStr">
        <is>
          <t>Int_Leasing</t>
        </is>
      </c>
      <c r="BI4" s="52" t="inlineStr">
        <is>
          <t>Capital</t>
        </is>
      </c>
      <c r="BJ4" s="52" t="inlineStr">
        <is>
          <t>Saldo_Cap</t>
        </is>
      </c>
      <c r="BK4" s="52" t="inlineStr">
        <is>
          <t>Int_Residual</t>
        </is>
      </c>
      <c r="BL4" s="52" t="inlineStr">
        <is>
          <t>Total_Ingreso</t>
        </is>
      </c>
    </row>
    <row r="5">
      <c r="A5" s="20" t="inlineStr">
        <is>
          <t>0326-0003</t>
        </is>
      </c>
      <c r="B5" s="21" t="inlineStr">
        <is>
          <t>Alberto Vázquez Solorio</t>
        </is>
      </c>
      <c r="C5" s="21" t="inlineStr">
        <is>
          <t>Volkswagen Tiguan R-Line 2026</t>
        </is>
      </c>
      <c r="D5" s="22" t="n">
        <v>48</v>
      </c>
      <c r="E5" s="23">
        <f>Intereses_Leasing_Mensual!I5</f>
        <v/>
      </c>
      <c r="F5" s="23">
        <f>Amortizacion_Capital_Mensual!J5</f>
        <v/>
      </c>
      <c r="G5" s="23">
        <f>Saldos_Capital_Mensual!I5</f>
        <v/>
      </c>
      <c r="H5" s="23">
        <f>Intereses_Residual_Mensual!I5</f>
        <v/>
      </c>
      <c r="I5" s="23">
        <f>ROUND(E5 + H5, 2)</f>
        <v/>
      </c>
      <c r="J5" s="23">
        <f>Intereses_Leasing_Mensual!J5</f>
        <v/>
      </c>
      <c r="K5" s="23">
        <f>Amortizacion_Capital_Mensual!K5</f>
        <v/>
      </c>
      <c r="L5" s="23">
        <f>Saldos_Capital_Mensual!J5</f>
        <v/>
      </c>
      <c r="M5" s="23">
        <f>Intereses_Residual_Mensual!J5</f>
        <v/>
      </c>
      <c r="N5" s="23">
        <f>ROUND(J5 + M5, 2)</f>
        <v/>
      </c>
      <c r="O5" s="23">
        <f>Intereses_Leasing_Mensual!K5</f>
        <v/>
      </c>
      <c r="P5" s="23">
        <f>Amortizacion_Capital_Mensual!L5</f>
        <v/>
      </c>
      <c r="Q5" s="23">
        <f>Saldos_Capital_Mensual!K5</f>
        <v/>
      </c>
      <c r="R5" s="23">
        <f>Intereses_Residual_Mensual!K5</f>
        <v/>
      </c>
      <c r="S5" s="23">
        <f>ROUND(O5 + R5, 2)</f>
        <v/>
      </c>
      <c r="T5" s="23">
        <f>Intereses_Leasing_Mensual!L5</f>
        <v/>
      </c>
      <c r="U5" s="23">
        <f>Amortizacion_Capital_Mensual!M5</f>
        <v/>
      </c>
      <c r="V5" s="23">
        <f>Saldos_Capital_Mensual!L5</f>
        <v/>
      </c>
      <c r="W5" s="23">
        <f>Intereses_Residual_Mensual!L5</f>
        <v/>
      </c>
      <c r="X5" s="23">
        <f>ROUND(T5 + W5, 2)</f>
        <v/>
      </c>
      <c r="Y5" s="23">
        <f>Intereses_Leasing_Mensual!M5</f>
        <v/>
      </c>
      <c r="Z5" s="23">
        <f>Amortizacion_Capital_Mensual!N5</f>
        <v/>
      </c>
      <c r="AA5" s="23">
        <f>Saldos_Capital_Mensual!M5</f>
        <v/>
      </c>
      <c r="AB5" s="23">
        <f>Intereses_Residual_Mensual!M5</f>
        <v/>
      </c>
      <c r="AC5" s="23">
        <f>ROUND(Y5 + AB5, 2)</f>
        <v/>
      </c>
      <c r="AD5" s="23">
        <f>Intereses_Leasing_Mensual!N5</f>
        <v/>
      </c>
      <c r="AE5" s="23">
        <f>Amortizacion_Capital_Mensual!O5</f>
        <v/>
      </c>
      <c r="AF5" s="23">
        <f>Saldos_Capital_Mensual!N5</f>
        <v/>
      </c>
      <c r="AG5" s="23">
        <f>Intereses_Residual_Mensual!N5</f>
        <v/>
      </c>
      <c r="AH5" s="23">
        <f>ROUND(AD5 + AG5, 2)</f>
        <v/>
      </c>
      <c r="AI5" s="23">
        <f>Intereses_Leasing_Mensual!O5</f>
        <v/>
      </c>
      <c r="AJ5" s="23">
        <f>Amortizacion_Capital_Mensual!P5</f>
        <v/>
      </c>
      <c r="AK5" s="23">
        <f>Saldos_Capital_Mensual!O5</f>
        <v/>
      </c>
      <c r="AL5" s="23">
        <f>Intereses_Residual_Mensual!O5</f>
        <v/>
      </c>
      <c r="AM5" s="23">
        <f>ROUND(AI5 + AL5, 2)</f>
        <v/>
      </c>
      <c r="AN5" s="23">
        <f>Intereses_Leasing_Mensual!P5</f>
        <v/>
      </c>
      <c r="AO5" s="23">
        <f>Amortizacion_Capital_Mensual!Q5</f>
        <v/>
      </c>
      <c r="AP5" s="23">
        <f>Saldos_Capital_Mensual!P5</f>
        <v/>
      </c>
      <c r="AQ5" s="23">
        <f>Intereses_Residual_Mensual!P5</f>
        <v/>
      </c>
      <c r="AR5" s="23">
        <f>ROUND(AN5 + AQ5, 2)</f>
        <v/>
      </c>
      <c r="AS5" s="23">
        <f>Intereses_Leasing_Mensual!Q5</f>
        <v/>
      </c>
      <c r="AT5" s="23">
        <f>Amortizacion_Capital_Mensual!R5</f>
        <v/>
      </c>
      <c r="AU5" s="23">
        <f>Saldos_Capital_Mensual!Q5</f>
        <v/>
      </c>
      <c r="AV5" s="23">
        <f>Intereses_Residual_Mensual!Q5</f>
        <v/>
      </c>
      <c r="AW5" s="23">
        <f>ROUND(AS5 + AV5, 2)</f>
        <v/>
      </c>
      <c r="AX5" s="23">
        <f>Intereses_Leasing_Mensual!R5</f>
        <v/>
      </c>
      <c r="AY5" s="23">
        <f>Amortizacion_Capital_Mensual!S5</f>
        <v/>
      </c>
      <c r="AZ5" s="23">
        <f>Saldos_Capital_Mensual!R5</f>
        <v/>
      </c>
      <c r="BA5" s="23">
        <f>Intereses_Residual_Mensual!R5</f>
        <v/>
      </c>
      <c r="BB5" s="23">
        <f>ROUND(AX5 + BA5, 2)</f>
        <v/>
      </c>
      <c r="BC5" s="23">
        <f>Intereses_Leasing_Mensual!S5</f>
        <v/>
      </c>
      <c r="BD5" s="23">
        <f>Amortizacion_Capital_Mensual!T5</f>
        <v/>
      </c>
      <c r="BE5" s="23">
        <f>Saldos_Capital_Mensual!S5</f>
        <v/>
      </c>
      <c r="BF5" s="23">
        <f>Intereses_Residual_Mensual!S5</f>
        <v/>
      </c>
      <c r="BG5" s="23">
        <f>ROUND(BC5 + BF5, 2)</f>
        <v/>
      </c>
      <c r="BH5" s="23">
        <f>Intereses_Leasing_Mensual!T5</f>
        <v/>
      </c>
      <c r="BI5" s="23">
        <f>Amortizacion_Capital_Mensual!U5</f>
        <v/>
      </c>
      <c r="BJ5" s="23">
        <f>Saldos_Capital_Mensual!T5</f>
        <v/>
      </c>
      <c r="BK5" s="23">
        <f>Intereses_Residual_Mensual!T5</f>
        <v/>
      </c>
      <c r="BL5" s="23">
        <f>ROUND(BH5 + BK5, 2)</f>
        <v/>
      </c>
    </row>
    <row r="6">
      <c r="A6" s="26" t="inlineStr">
        <is>
          <t>0472-0003</t>
        </is>
      </c>
      <c r="B6" s="27" t="inlineStr">
        <is>
          <t>Miguel Zazueta Beltrán</t>
        </is>
      </c>
      <c r="C6" s="27" t="inlineStr">
        <is>
          <t>Jeep Grand Cherokee</t>
        </is>
      </c>
      <c r="D6" s="28" t="n">
        <v>36</v>
      </c>
      <c r="E6" s="29">
        <f>Intereses_Leasing_Mensual!I6</f>
        <v/>
      </c>
      <c r="F6" s="29">
        <f>Amortizacion_Capital_Mensual!J6</f>
        <v/>
      </c>
      <c r="G6" s="29">
        <f>Saldos_Capital_Mensual!I6</f>
        <v/>
      </c>
      <c r="H6" s="29">
        <f>Intereses_Residual_Mensual!I6</f>
        <v/>
      </c>
      <c r="I6" s="29">
        <f>ROUND(E6 + H6, 2)</f>
        <v/>
      </c>
      <c r="J6" s="29">
        <f>Intereses_Leasing_Mensual!J6</f>
        <v/>
      </c>
      <c r="K6" s="29">
        <f>Amortizacion_Capital_Mensual!K6</f>
        <v/>
      </c>
      <c r="L6" s="29">
        <f>Saldos_Capital_Mensual!J6</f>
        <v/>
      </c>
      <c r="M6" s="29">
        <f>Intereses_Residual_Mensual!J6</f>
        <v/>
      </c>
      <c r="N6" s="29">
        <f>ROUND(J6 + M6, 2)</f>
        <v/>
      </c>
      <c r="O6" s="29">
        <f>Intereses_Leasing_Mensual!K6</f>
        <v/>
      </c>
      <c r="P6" s="29">
        <f>Amortizacion_Capital_Mensual!L6</f>
        <v/>
      </c>
      <c r="Q6" s="29">
        <f>Saldos_Capital_Mensual!K6</f>
        <v/>
      </c>
      <c r="R6" s="29">
        <f>Intereses_Residual_Mensual!K6</f>
        <v/>
      </c>
      <c r="S6" s="29">
        <f>ROUND(O6 + R6, 2)</f>
        <v/>
      </c>
      <c r="T6" s="29">
        <f>Intereses_Leasing_Mensual!L6</f>
        <v/>
      </c>
      <c r="U6" s="29">
        <f>Amortizacion_Capital_Mensual!M6</f>
        <v/>
      </c>
      <c r="V6" s="29">
        <f>Saldos_Capital_Mensual!L6</f>
        <v/>
      </c>
      <c r="W6" s="29">
        <f>Intereses_Residual_Mensual!L6</f>
        <v/>
      </c>
      <c r="X6" s="29">
        <f>ROUND(T6 + W6, 2)</f>
        <v/>
      </c>
      <c r="Y6" s="29">
        <f>Intereses_Leasing_Mensual!M6</f>
        <v/>
      </c>
      <c r="Z6" s="29">
        <f>Amortizacion_Capital_Mensual!N6</f>
        <v/>
      </c>
      <c r="AA6" s="29">
        <f>Saldos_Capital_Mensual!M6</f>
        <v/>
      </c>
      <c r="AB6" s="29">
        <f>Intereses_Residual_Mensual!M6</f>
        <v/>
      </c>
      <c r="AC6" s="29">
        <f>ROUND(Y6 + AB6, 2)</f>
        <v/>
      </c>
      <c r="AD6" s="29">
        <f>Intereses_Leasing_Mensual!N6</f>
        <v/>
      </c>
      <c r="AE6" s="29">
        <f>Amortizacion_Capital_Mensual!O6</f>
        <v/>
      </c>
      <c r="AF6" s="29">
        <f>Saldos_Capital_Mensual!N6</f>
        <v/>
      </c>
      <c r="AG6" s="29">
        <f>Intereses_Residual_Mensual!N6</f>
        <v/>
      </c>
      <c r="AH6" s="29">
        <f>ROUND(AD6 + AG6, 2)</f>
        <v/>
      </c>
      <c r="AI6" s="29">
        <f>Intereses_Leasing_Mensual!O6</f>
        <v/>
      </c>
      <c r="AJ6" s="29">
        <f>Amortizacion_Capital_Mensual!P6</f>
        <v/>
      </c>
      <c r="AK6" s="29">
        <f>Saldos_Capital_Mensual!O6</f>
        <v/>
      </c>
      <c r="AL6" s="29">
        <f>Intereses_Residual_Mensual!O6</f>
        <v/>
      </c>
      <c r="AM6" s="29">
        <f>ROUND(AI6 + AL6, 2)</f>
        <v/>
      </c>
      <c r="AN6" s="29">
        <f>Intereses_Leasing_Mensual!P6</f>
        <v/>
      </c>
      <c r="AO6" s="29">
        <f>Amortizacion_Capital_Mensual!Q6</f>
        <v/>
      </c>
      <c r="AP6" s="29">
        <f>Saldos_Capital_Mensual!P6</f>
        <v/>
      </c>
      <c r="AQ6" s="29">
        <f>Intereses_Residual_Mensual!P6</f>
        <v/>
      </c>
      <c r="AR6" s="29">
        <f>ROUND(AN6 + AQ6, 2)</f>
        <v/>
      </c>
      <c r="AS6" s="29">
        <f>Intereses_Leasing_Mensual!Q6</f>
        <v/>
      </c>
      <c r="AT6" s="29">
        <f>Amortizacion_Capital_Mensual!R6</f>
        <v/>
      </c>
      <c r="AU6" s="29">
        <f>Saldos_Capital_Mensual!Q6</f>
        <v/>
      </c>
      <c r="AV6" s="29">
        <f>Intereses_Residual_Mensual!Q6</f>
        <v/>
      </c>
      <c r="AW6" s="29">
        <f>ROUND(AS6 + AV6, 2)</f>
        <v/>
      </c>
      <c r="AX6" s="29">
        <f>Intereses_Leasing_Mensual!R6</f>
        <v/>
      </c>
      <c r="AY6" s="29">
        <f>Amortizacion_Capital_Mensual!S6</f>
        <v/>
      </c>
      <c r="AZ6" s="29">
        <f>Saldos_Capital_Mensual!R6</f>
        <v/>
      </c>
      <c r="BA6" s="29">
        <f>Intereses_Residual_Mensual!R6</f>
        <v/>
      </c>
      <c r="BB6" s="29">
        <f>ROUND(AX6 + BA6, 2)</f>
        <v/>
      </c>
      <c r="BC6" s="29">
        <f>Intereses_Leasing_Mensual!S6</f>
        <v/>
      </c>
      <c r="BD6" s="29">
        <f>Amortizacion_Capital_Mensual!T6</f>
        <v/>
      </c>
      <c r="BE6" s="29">
        <f>Saldos_Capital_Mensual!S6</f>
        <v/>
      </c>
      <c r="BF6" s="29">
        <f>Intereses_Residual_Mensual!S6</f>
        <v/>
      </c>
      <c r="BG6" s="29">
        <f>ROUND(BC6 + BF6, 2)</f>
        <v/>
      </c>
      <c r="BH6" s="29">
        <f>Intereses_Leasing_Mensual!T6</f>
        <v/>
      </c>
      <c r="BI6" s="29">
        <f>Amortizacion_Capital_Mensual!U6</f>
        <v/>
      </c>
      <c r="BJ6" s="29">
        <f>Saldos_Capital_Mensual!T6</f>
        <v/>
      </c>
      <c r="BK6" s="29">
        <f>Intereses_Residual_Mensual!T6</f>
        <v/>
      </c>
      <c r="BL6" s="29">
        <f>ROUND(BH6 + BK6, 2)</f>
        <v/>
      </c>
    </row>
    <row r="7">
      <c r="A7" s="20" t="inlineStr">
        <is>
          <t>0504-0004</t>
        </is>
      </c>
      <c r="B7" s="21" t="inlineStr">
        <is>
          <t>Oscar Ivan Lozano Terriquez</t>
        </is>
      </c>
      <c r="C7" s="21" t="inlineStr">
        <is>
          <t>700 BIGHORN "S" CREW CAB MT</t>
        </is>
      </c>
      <c r="D7" s="22" t="n">
        <v>12</v>
      </c>
      <c r="E7" s="23">
        <f>Intereses_Leasing_Mensual!I7</f>
        <v/>
      </c>
      <c r="F7" s="23">
        <f>Amortizacion_Capital_Mensual!J7</f>
        <v/>
      </c>
      <c r="G7" s="23">
        <f>Saldos_Capital_Mensual!I7</f>
        <v/>
      </c>
      <c r="H7" s="23">
        <f>Intereses_Residual_Mensual!I7</f>
        <v/>
      </c>
      <c r="I7" s="23">
        <f>ROUND(E7 + H7, 2)</f>
        <v/>
      </c>
      <c r="J7" s="23">
        <f>Intereses_Leasing_Mensual!J7</f>
        <v/>
      </c>
      <c r="K7" s="23">
        <f>Amortizacion_Capital_Mensual!K7</f>
        <v/>
      </c>
      <c r="L7" s="23">
        <f>Saldos_Capital_Mensual!J7</f>
        <v/>
      </c>
      <c r="M7" s="23">
        <f>Intereses_Residual_Mensual!J7</f>
        <v/>
      </c>
      <c r="N7" s="23">
        <f>ROUND(J7 + M7, 2)</f>
        <v/>
      </c>
      <c r="O7" s="23">
        <f>Intereses_Leasing_Mensual!K7</f>
        <v/>
      </c>
      <c r="P7" s="23">
        <f>Amortizacion_Capital_Mensual!L7</f>
        <v/>
      </c>
      <c r="Q7" s="23">
        <f>Saldos_Capital_Mensual!K7</f>
        <v/>
      </c>
      <c r="R7" s="23">
        <f>Intereses_Residual_Mensual!K7</f>
        <v/>
      </c>
      <c r="S7" s="23">
        <f>ROUND(O7 + R7, 2)</f>
        <v/>
      </c>
      <c r="T7" s="23">
        <f>Intereses_Leasing_Mensual!L7</f>
        <v/>
      </c>
      <c r="U7" s="23">
        <f>Amortizacion_Capital_Mensual!M7</f>
        <v/>
      </c>
      <c r="V7" s="23">
        <f>Saldos_Capital_Mensual!L7</f>
        <v/>
      </c>
      <c r="W7" s="23">
        <f>Intereses_Residual_Mensual!L7</f>
        <v/>
      </c>
      <c r="X7" s="23">
        <f>ROUND(T7 + W7, 2)</f>
        <v/>
      </c>
      <c r="Y7" s="23">
        <f>Intereses_Leasing_Mensual!M7</f>
        <v/>
      </c>
      <c r="Z7" s="23">
        <f>Amortizacion_Capital_Mensual!N7</f>
        <v/>
      </c>
      <c r="AA7" s="23">
        <f>Saldos_Capital_Mensual!M7</f>
        <v/>
      </c>
      <c r="AB7" s="23">
        <f>Intereses_Residual_Mensual!M7</f>
        <v/>
      </c>
      <c r="AC7" s="23">
        <f>ROUND(Y7 + AB7, 2)</f>
        <v/>
      </c>
      <c r="AD7" s="23">
        <f>Intereses_Leasing_Mensual!N7</f>
        <v/>
      </c>
      <c r="AE7" s="23">
        <f>Amortizacion_Capital_Mensual!O7</f>
        <v/>
      </c>
      <c r="AF7" s="23">
        <f>Saldos_Capital_Mensual!N7</f>
        <v/>
      </c>
      <c r="AG7" s="23">
        <f>Intereses_Residual_Mensual!N7</f>
        <v/>
      </c>
      <c r="AH7" s="23">
        <f>ROUND(AD7 + AG7, 2)</f>
        <v/>
      </c>
      <c r="AI7" s="23">
        <f>Intereses_Leasing_Mensual!O7</f>
        <v/>
      </c>
      <c r="AJ7" s="23">
        <f>Amortizacion_Capital_Mensual!P7</f>
        <v/>
      </c>
      <c r="AK7" s="23">
        <f>Saldos_Capital_Mensual!O7</f>
        <v/>
      </c>
      <c r="AL7" s="23">
        <f>Intereses_Residual_Mensual!O7</f>
        <v/>
      </c>
      <c r="AM7" s="23">
        <f>ROUND(AI7 + AL7, 2)</f>
        <v/>
      </c>
      <c r="AN7" s="23">
        <f>Intereses_Leasing_Mensual!P7</f>
        <v/>
      </c>
      <c r="AO7" s="23">
        <f>Amortizacion_Capital_Mensual!Q7</f>
        <v/>
      </c>
      <c r="AP7" s="23">
        <f>Saldos_Capital_Mensual!P7</f>
        <v/>
      </c>
      <c r="AQ7" s="23">
        <f>Intereses_Residual_Mensual!P7</f>
        <v/>
      </c>
      <c r="AR7" s="23">
        <f>ROUND(AN7 + AQ7, 2)</f>
        <v/>
      </c>
      <c r="AS7" s="23">
        <f>Intereses_Leasing_Mensual!Q7</f>
        <v/>
      </c>
      <c r="AT7" s="23">
        <f>Amortizacion_Capital_Mensual!R7</f>
        <v/>
      </c>
      <c r="AU7" s="23">
        <f>Saldos_Capital_Mensual!Q7</f>
        <v/>
      </c>
      <c r="AV7" s="23">
        <f>Intereses_Residual_Mensual!Q7</f>
        <v/>
      </c>
      <c r="AW7" s="23">
        <f>ROUND(AS7 + AV7, 2)</f>
        <v/>
      </c>
      <c r="AX7" s="23">
        <f>Intereses_Leasing_Mensual!R7</f>
        <v/>
      </c>
      <c r="AY7" s="23">
        <f>Amortizacion_Capital_Mensual!S7</f>
        <v/>
      </c>
      <c r="AZ7" s="23">
        <f>Saldos_Capital_Mensual!R7</f>
        <v/>
      </c>
      <c r="BA7" s="23">
        <f>Intereses_Residual_Mensual!R7</f>
        <v/>
      </c>
      <c r="BB7" s="23">
        <f>ROUND(AX7 + BA7, 2)</f>
        <v/>
      </c>
      <c r="BC7" s="23">
        <f>Intereses_Leasing_Mensual!S7</f>
        <v/>
      </c>
      <c r="BD7" s="23">
        <f>Amortizacion_Capital_Mensual!T7</f>
        <v/>
      </c>
      <c r="BE7" s="23">
        <f>Saldos_Capital_Mensual!S7</f>
        <v/>
      </c>
      <c r="BF7" s="23">
        <f>Intereses_Residual_Mensual!S7</f>
        <v/>
      </c>
      <c r="BG7" s="23">
        <f>ROUND(BC7 + BF7, 2)</f>
        <v/>
      </c>
      <c r="BH7" s="23">
        <f>Intereses_Leasing_Mensual!T7</f>
        <v/>
      </c>
      <c r="BI7" s="23">
        <f>Amortizacion_Capital_Mensual!U7</f>
        <v/>
      </c>
      <c r="BJ7" s="23">
        <f>Saldos_Capital_Mensual!T7</f>
        <v/>
      </c>
      <c r="BK7" s="23">
        <f>Intereses_Residual_Mensual!T7</f>
        <v/>
      </c>
      <c r="BL7" s="23">
        <f>ROUND(BH7 + BK7, 2)</f>
        <v/>
      </c>
    </row>
    <row r="8">
      <c r="A8" s="26" t="inlineStr">
        <is>
          <t>0506-0006</t>
        </is>
      </c>
      <c r="B8" s="27" t="inlineStr">
        <is>
          <t>Electronic Accounting Sa de Cv</t>
        </is>
      </c>
      <c r="C8" s="27" t="inlineStr">
        <is>
          <t>X5</t>
        </is>
      </c>
      <c r="D8" s="28" t="n">
        <v>36</v>
      </c>
      <c r="E8" s="29">
        <f>Intereses_Leasing_Mensual!I8</f>
        <v/>
      </c>
      <c r="F8" s="29">
        <f>Amortizacion_Capital_Mensual!J8</f>
        <v/>
      </c>
      <c r="G8" s="29">
        <f>Saldos_Capital_Mensual!I8</f>
        <v/>
      </c>
      <c r="H8" s="29">
        <f>Intereses_Residual_Mensual!I8</f>
        <v/>
      </c>
      <c r="I8" s="29">
        <f>ROUND(E8 + H8, 2)</f>
        <v/>
      </c>
      <c r="J8" s="29">
        <f>Intereses_Leasing_Mensual!J8</f>
        <v/>
      </c>
      <c r="K8" s="29">
        <f>Amortizacion_Capital_Mensual!K8</f>
        <v/>
      </c>
      <c r="L8" s="29">
        <f>Saldos_Capital_Mensual!J8</f>
        <v/>
      </c>
      <c r="M8" s="29">
        <f>Intereses_Residual_Mensual!J8</f>
        <v/>
      </c>
      <c r="N8" s="29">
        <f>ROUND(J8 + M8, 2)</f>
        <v/>
      </c>
      <c r="O8" s="29">
        <f>Intereses_Leasing_Mensual!K8</f>
        <v/>
      </c>
      <c r="P8" s="29">
        <f>Amortizacion_Capital_Mensual!L8</f>
        <v/>
      </c>
      <c r="Q8" s="29">
        <f>Saldos_Capital_Mensual!K8</f>
        <v/>
      </c>
      <c r="R8" s="29">
        <f>Intereses_Residual_Mensual!K8</f>
        <v/>
      </c>
      <c r="S8" s="29">
        <f>ROUND(O8 + R8, 2)</f>
        <v/>
      </c>
      <c r="T8" s="29">
        <f>Intereses_Leasing_Mensual!L8</f>
        <v/>
      </c>
      <c r="U8" s="29">
        <f>Amortizacion_Capital_Mensual!M8</f>
        <v/>
      </c>
      <c r="V8" s="29">
        <f>Saldos_Capital_Mensual!L8</f>
        <v/>
      </c>
      <c r="W8" s="29">
        <f>Intereses_Residual_Mensual!L8</f>
        <v/>
      </c>
      <c r="X8" s="29">
        <f>ROUND(T8 + W8, 2)</f>
        <v/>
      </c>
      <c r="Y8" s="29">
        <f>Intereses_Leasing_Mensual!M8</f>
        <v/>
      </c>
      <c r="Z8" s="29">
        <f>Amortizacion_Capital_Mensual!N8</f>
        <v/>
      </c>
      <c r="AA8" s="29">
        <f>Saldos_Capital_Mensual!M8</f>
        <v/>
      </c>
      <c r="AB8" s="29">
        <f>Intereses_Residual_Mensual!M8</f>
        <v/>
      </c>
      <c r="AC8" s="29">
        <f>ROUND(Y8 + AB8, 2)</f>
        <v/>
      </c>
      <c r="AD8" s="29">
        <f>Intereses_Leasing_Mensual!N8</f>
        <v/>
      </c>
      <c r="AE8" s="29">
        <f>Amortizacion_Capital_Mensual!O8</f>
        <v/>
      </c>
      <c r="AF8" s="29">
        <f>Saldos_Capital_Mensual!N8</f>
        <v/>
      </c>
      <c r="AG8" s="29">
        <f>Intereses_Residual_Mensual!N8</f>
        <v/>
      </c>
      <c r="AH8" s="29">
        <f>ROUND(AD8 + AG8, 2)</f>
        <v/>
      </c>
      <c r="AI8" s="29">
        <f>Intereses_Leasing_Mensual!O8</f>
        <v/>
      </c>
      <c r="AJ8" s="29">
        <f>Amortizacion_Capital_Mensual!P8</f>
        <v/>
      </c>
      <c r="AK8" s="29">
        <f>Saldos_Capital_Mensual!O8</f>
        <v/>
      </c>
      <c r="AL8" s="29">
        <f>Intereses_Residual_Mensual!O8</f>
        <v/>
      </c>
      <c r="AM8" s="29">
        <f>ROUND(AI8 + AL8, 2)</f>
        <v/>
      </c>
      <c r="AN8" s="29">
        <f>Intereses_Leasing_Mensual!P8</f>
        <v/>
      </c>
      <c r="AO8" s="29">
        <f>Amortizacion_Capital_Mensual!Q8</f>
        <v/>
      </c>
      <c r="AP8" s="29">
        <f>Saldos_Capital_Mensual!P8</f>
        <v/>
      </c>
      <c r="AQ8" s="29">
        <f>Intereses_Residual_Mensual!P8</f>
        <v/>
      </c>
      <c r="AR8" s="29">
        <f>ROUND(AN8 + AQ8, 2)</f>
        <v/>
      </c>
      <c r="AS8" s="29">
        <f>Intereses_Leasing_Mensual!Q8</f>
        <v/>
      </c>
      <c r="AT8" s="29">
        <f>Amortizacion_Capital_Mensual!R8</f>
        <v/>
      </c>
      <c r="AU8" s="29">
        <f>Saldos_Capital_Mensual!Q8</f>
        <v/>
      </c>
      <c r="AV8" s="29">
        <f>Intereses_Residual_Mensual!Q8</f>
        <v/>
      </c>
      <c r="AW8" s="29">
        <f>ROUND(AS8 + AV8, 2)</f>
        <v/>
      </c>
      <c r="AX8" s="29">
        <f>Intereses_Leasing_Mensual!R8</f>
        <v/>
      </c>
      <c r="AY8" s="29">
        <f>Amortizacion_Capital_Mensual!S8</f>
        <v/>
      </c>
      <c r="AZ8" s="29">
        <f>Saldos_Capital_Mensual!R8</f>
        <v/>
      </c>
      <c r="BA8" s="29">
        <f>Intereses_Residual_Mensual!R8</f>
        <v/>
      </c>
      <c r="BB8" s="29">
        <f>ROUND(AX8 + BA8, 2)</f>
        <v/>
      </c>
      <c r="BC8" s="29">
        <f>Intereses_Leasing_Mensual!S8</f>
        <v/>
      </c>
      <c r="BD8" s="29">
        <f>Amortizacion_Capital_Mensual!T8</f>
        <v/>
      </c>
      <c r="BE8" s="29">
        <f>Saldos_Capital_Mensual!S8</f>
        <v/>
      </c>
      <c r="BF8" s="29">
        <f>Intereses_Residual_Mensual!S8</f>
        <v/>
      </c>
      <c r="BG8" s="29">
        <f>ROUND(BC8 + BF8, 2)</f>
        <v/>
      </c>
      <c r="BH8" s="29">
        <f>Intereses_Leasing_Mensual!T8</f>
        <v/>
      </c>
      <c r="BI8" s="29">
        <f>Amortizacion_Capital_Mensual!U8</f>
        <v/>
      </c>
      <c r="BJ8" s="29">
        <f>Saldos_Capital_Mensual!T8</f>
        <v/>
      </c>
      <c r="BK8" s="29">
        <f>Intereses_Residual_Mensual!T8</f>
        <v/>
      </c>
      <c r="BL8" s="29">
        <f>ROUND(BH8 + BK8, 2)</f>
        <v/>
      </c>
    </row>
    <row r="9">
      <c r="A9" s="20" t="inlineStr">
        <is>
          <t>0506-0007</t>
        </is>
      </c>
      <c r="B9" s="21" t="inlineStr">
        <is>
          <t>Electronic Acounting</t>
        </is>
      </c>
      <c r="C9" s="21" t="inlineStr">
        <is>
          <t>L200 Glx Diesel</t>
        </is>
      </c>
      <c r="D9" s="22" t="n">
        <v>36</v>
      </c>
      <c r="E9" s="23">
        <f>Intereses_Leasing_Mensual!I9</f>
        <v/>
      </c>
      <c r="F9" s="23">
        <f>Amortizacion_Capital_Mensual!J9</f>
        <v/>
      </c>
      <c r="G9" s="23">
        <f>Saldos_Capital_Mensual!I9</f>
        <v/>
      </c>
      <c r="H9" s="23">
        <f>Intereses_Residual_Mensual!I9</f>
        <v/>
      </c>
      <c r="I9" s="23">
        <f>ROUND(E9 + H9, 2)</f>
        <v/>
      </c>
      <c r="J9" s="23">
        <f>Intereses_Leasing_Mensual!J9</f>
        <v/>
      </c>
      <c r="K9" s="23">
        <f>Amortizacion_Capital_Mensual!K9</f>
        <v/>
      </c>
      <c r="L9" s="23">
        <f>Saldos_Capital_Mensual!J9</f>
        <v/>
      </c>
      <c r="M9" s="23">
        <f>Intereses_Residual_Mensual!J9</f>
        <v/>
      </c>
      <c r="N9" s="23">
        <f>ROUND(J9 + M9, 2)</f>
        <v/>
      </c>
      <c r="O9" s="23">
        <f>Intereses_Leasing_Mensual!K9</f>
        <v/>
      </c>
      <c r="P9" s="23">
        <f>Amortizacion_Capital_Mensual!L9</f>
        <v/>
      </c>
      <c r="Q9" s="23">
        <f>Saldos_Capital_Mensual!K9</f>
        <v/>
      </c>
      <c r="R9" s="23">
        <f>Intereses_Residual_Mensual!K9</f>
        <v/>
      </c>
      <c r="S9" s="23">
        <f>ROUND(O9 + R9, 2)</f>
        <v/>
      </c>
      <c r="T9" s="23">
        <f>Intereses_Leasing_Mensual!L9</f>
        <v/>
      </c>
      <c r="U9" s="23">
        <f>Amortizacion_Capital_Mensual!M9</f>
        <v/>
      </c>
      <c r="V9" s="23">
        <f>Saldos_Capital_Mensual!L9</f>
        <v/>
      </c>
      <c r="W9" s="23">
        <f>Intereses_Residual_Mensual!L9</f>
        <v/>
      </c>
      <c r="X9" s="23">
        <f>ROUND(T9 + W9, 2)</f>
        <v/>
      </c>
      <c r="Y9" s="23">
        <f>Intereses_Leasing_Mensual!M9</f>
        <v/>
      </c>
      <c r="Z9" s="23">
        <f>Amortizacion_Capital_Mensual!N9</f>
        <v/>
      </c>
      <c r="AA9" s="23">
        <f>Saldos_Capital_Mensual!M9</f>
        <v/>
      </c>
      <c r="AB9" s="23">
        <f>Intereses_Residual_Mensual!M9</f>
        <v/>
      </c>
      <c r="AC9" s="23">
        <f>ROUND(Y9 + AB9, 2)</f>
        <v/>
      </c>
      <c r="AD9" s="23">
        <f>Intereses_Leasing_Mensual!N9</f>
        <v/>
      </c>
      <c r="AE9" s="23">
        <f>Amortizacion_Capital_Mensual!O9</f>
        <v/>
      </c>
      <c r="AF9" s="23">
        <f>Saldos_Capital_Mensual!N9</f>
        <v/>
      </c>
      <c r="AG9" s="23">
        <f>Intereses_Residual_Mensual!N9</f>
        <v/>
      </c>
      <c r="AH9" s="23">
        <f>ROUND(AD9 + AG9, 2)</f>
        <v/>
      </c>
      <c r="AI9" s="23">
        <f>Intereses_Leasing_Mensual!O9</f>
        <v/>
      </c>
      <c r="AJ9" s="23">
        <f>Amortizacion_Capital_Mensual!P9</f>
        <v/>
      </c>
      <c r="AK9" s="23">
        <f>Saldos_Capital_Mensual!O9</f>
        <v/>
      </c>
      <c r="AL9" s="23">
        <f>Intereses_Residual_Mensual!O9</f>
        <v/>
      </c>
      <c r="AM9" s="23">
        <f>ROUND(AI9 + AL9, 2)</f>
        <v/>
      </c>
      <c r="AN9" s="23">
        <f>Intereses_Leasing_Mensual!P9</f>
        <v/>
      </c>
      <c r="AO9" s="23">
        <f>Amortizacion_Capital_Mensual!Q9</f>
        <v/>
      </c>
      <c r="AP9" s="23">
        <f>Saldos_Capital_Mensual!P9</f>
        <v/>
      </c>
      <c r="AQ9" s="23">
        <f>Intereses_Residual_Mensual!P9</f>
        <v/>
      </c>
      <c r="AR9" s="23">
        <f>ROUND(AN9 + AQ9, 2)</f>
        <v/>
      </c>
      <c r="AS9" s="23">
        <f>Intereses_Leasing_Mensual!Q9</f>
        <v/>
      </c>
      <c r="AT9" s="23">
        <f>Amortizacion_Capital_Mensual!R9</f>
        <v/>
      </c>
      <c r="AU9" s="23">
        <f>Saldos_Capital_Mensual!Q9</f>
        <v/>
      </c>
      <c r="AV9" s="23">
        <f>Intereses_Residual_Mensual!Q9</f>
        <v/>
      </c>
      <c r="AW9" s="23">
        <f>ROUND(AS9 + AV9, 2)</f>
        <v/>
      </c>
      <c r="AX9" s="23">
        <f>Intereses_Leasing_Mensual!R9</f>
        <v/>
      </c>
      <c r="AY9" s="23">
        <f>Amortizacion_Capital_Mensual!S9</f>
        <v/>
      </c>
      <c r="AZ9" s="23">
        <f>Saldos_Capital_Mensual!R9</f>
        <v/>
      </c>
      <c r="BA9" s="23">
        <f>Intereses_Residual_Mensual!R9</f>
        <v/>
      </c>
      <c r="BB9" s="23">
        <f>ROUND(AX9 + BA9, 2)</f>
        <v/>
      </c>
      <c r="BC9" s="23">
        <f>Intereses_Leasing_Mensual!S9</f>
        <v/>
      </c>
      <c r="BD9" s="23">
        <f>Amortizacion_Capital_Mensual!T9</f>
        <v/>
      </c>
      <c r="BE9" s="23">
        <f>Saldos_Capital_Mensual!S9</f>
        <v/>
      </c>
      <c r="BF9" s="23">
        <f>Intereses_Residual_Mensual!S9</f>
        <v/>
      </c>
      <c r="BG9" s="23">
        <f>ROUND(BC9 + BF9, 2)</f>
        <v/>
      </c>
      <c r="BH9" s="23">
        <f>Intereses_Leasing_Mensual!T9</f>
        <v/>
      </c>
      <c r="BI9" s="23">
        <f>Amortizacion_Capital_Mensual!U9</f>
        <v/>
      </c>
      <c r="BJ9" s="23">
        <f>Saldos_Capital_Mensual!T9</f>
        <v/>
      </c>
      <c r="BK9" s="23">
        <f>Intereses_Residual_Mensual!T9</f>
        <v/>
      </c>
      <c r="BL9" s="23">
        <f>ROUND(BH9 + BK9, 2)</f>
        <v/>
      </c>
    </row>
    <row r="10">
      <c r="A10" s="26" t="inlineStr">
        <is>
          <t>0519-0005</t>
        </is>
      </c>
      <c r="B10" s="27" t="inlineStr">
        <is>
          <t>Tequilas el Mexicano S.A. de C.V.</t>
        </is>
      </c>
      <c r="C10" s="27" t="inlineStr">
        <is>
          <t>Attitude Sport</t>
        </is>
      </c>
      <c r="D10" s="28" t="n">
        <v>48</v>
      </c>
      <c r="E10" s="29">
        <f>Intereses_Leasing_Mensual!I10</f>
        <v/>
      </c>
      <c r="F10" s="29">
        <f>Amortizacion_Capital_Mensual!J10</f>
        <v/>
      </c>
      <c r="G10" s="29">
        <f>Saldos_Capital_Mensual!I10</f>
        <v/>
      </c>
      <c r="H10" s="29">
        <f>Intereses_Residual_Mensual!I10</f>
        <v/>
      </c>
      <c r="I10" s="29">
        <f>ROUND(E10 + H10, 2)</f>
        <v/>
      </c>
      <c r="J10" s="29">
        <f>Intereses_Leasing_Mensual!J10</f>
        <v/>
      </c>
      <c r="K10" s="29">
        <f>Amortizacion_Capital_Mensual!K10</f>
        <v/>
      </c>
      <c r="L10" s="29">
        <f>Saldos_Capital_Mensual!J10</f>
        <v/>
      </c>
      <c r="M10" s="29">
        <f>Intereses_Residual_Mensual!J10</f>
        <v/>
      </c>
      <c r="N10" s="29">
        <f>ROUND(J10 + M10, 2)</f>
        <v/>
      </c>
      <c r="O10" s="29">
        <f>Intereses_Leasing_Mensual!K10</f>
        <v/>
      </c>
      <c r="P10" s="29">
        <f>Amortizacion_Capital_Mensual!L10</f>
        <v/>
      </c>
      <c r="Q10" s="29">
        <f>Saldos_Capital_Mensual!K10</f>
        <v/>
      </c>
      <c r="R10" s="29">
        <f>Intereses_Residual_Mensual!K10</f>
        <v/>
      </c>
      <c r="S10" s="29">
        <f>ROUND(O10 + R10, 2)</f>
        <v/>
      </c>
      <c r="T10" s="29">
        <f>Intereses_Leasing_Mensual!L10</f>
        <v/>
      </c>
      <c r="U10" s="29">
        <f>Amortizacion_Capital_Mensual!M10</f>
        <v/>
      </c>
      <c r="V10" s="29">
        <f>Saldos_Capital_Mensual!L10</f>
        <v/>
      </c>
      <c r="W10" s="29">
        <f>Intereses_Residual_Mensual!L10</f>
        <v/>
      </c>
      <c r="X10" s="29">
        <f>ROUND(T10 + W10, 2)</f>
        <v/>
      </c>
      <c r="Y10" s="29">
        <f>Intereses_Leasing_Mensual!M10</f>
        <v/>
      </c>
      <c r="Z10" s="29">
        <f>Amortizacion_Capital_Mensual!N10</f>
        <v/>
      </c>
      <c r="AA10" s="29">
        <f>Saldos_Capital_Mensual!M10</f>
        <v/>
      </c>
      <c r="AB10" s="29">
        <f>Intereses_Residual_Mensual!M10</f>
        <v/>
      </c>
      <c r="AC10" s="29">
        <f>ROUND(Y10 + AB10, 2)</f>
        <v/>
      </c>
      <c r="AD10" s="29">
        <f>Intereses_Leasing_Mensual!N10</f>
        <v/>
      </c>
      <c r="AE10" s="29">
        <f>Amortizacion_Capital_Mensual!O10</f>
        <v/>
      </c>
      <c r="AF10" s="29">
        <f>Saldos_Capital_Mensual!N10</f>
        <v/>
      </c>
      <c r="AG10" s="29">
        <f>Intereses_Residual_Mensual!N10</f>
        <v/>
      </c>
      <c r="AH10" s="29">
        <f>ROUND(AD10 + AG10, 2)</f>
        <v/>
      </c>
      <c r="AI10" s="29">
        <f>Intereses_Leasing_Mensual!O10</f>
        <v/>
      </c>
      <c r="AJ10" s="29">
        <f>Amortizacion_Capital_Mensual!P10</f>
        <v/>
      </c>
      <c r="AK10" s="29">
        <f>Saldos_Capital_Mensual!O10</f>
        <v/>
      </c>
      <c r="AL10" s="29">
        <f>Intereses_Residual_Mensual!O10</f>
        <v/>
      </c>
      <c r="AM10" s="29">
        <f>ROUND(AI10 + AL10, 2)</f>
        <v/>
      </c>
      <c r="AN10" s="29">
        <f>Intereses_Leasing_Mensual!P10</f>
        <v/>
      </c>
      <c r="AO10" s="29">
        <f>Amortizacion_Capital_Mensual!Q10</f>
        <v/>
      </c>
      <c r="AP10" s="29">
        <f>Saldos_Capital_Mensual!P10</f>
        <v/>
      </c>
      <c r="AQ10" s="29">
        <f>Intereses_Residual_Mensual!P10</f>
        <v/>
      </c>
      <c r="AR10" s="29">
        <f>ROUND(AN10 + AQ10, 2)</f>
        <v/>
      </c>
      <c r="AS10" s="29">
        <f>Intereses_Leasing_Mensual!Q10</f>
        <v/>
      </c>
      <c r="AT10" s="29">
        <f>Amortizacion_Capital_Mensual!R10</f>
        <v/>
      </c>
      <c r="AU10" s="29">
        <f>Saldos_Capital_Mensual!Q10</f>
        <v/>
      </c>
      <c r="AV10" s="29">
        <f>Intereses_Residual_Mensual!Q10</f>
        <v/>
      </c>
      <c r="AW10" s="29">
        <f>ROUND(AS10 + AV10, 2)</f>
        <v/>
      </c>
      <c r="AX10" s="29">
        <f>Intereses_Leasing_Mensual!R10</f>
        <v/>
      </c>
      <c r="AY10" s="29">
        <f>Amortizacion_Capital_Mensual!S10</f>
        <v/>
      </c>
      <c r="AZ10" s="29">
        <f>Saldos_Capital_Mensual!R10</f>
        <v/>
      </c>
      <c r="BA10" s="29">
        <f>Intereses_Residual_Mensual!R10</f>
        <v/>
      </c>
      <c r="BB10" s="29">
        <f>ROUND(AX10 + BA10, 2)</f>
        <v/>
      </c>
      <c r="BC10" s="29">
        <f>Intereses_Leasing_Mensual!S10</f>
        <v/>
      </c>
      <c r="BD10" s="29">
        <f>Amortizacion_Capital_Mensual!T10</f>
        <v/>
      </c>
      <c r="BE10" s="29">
        <f>Saldos_Capital_Mensual!S10</f>
        <v/>
      </c>
      <c r="BF10" s="29">
        <f>Intereses_Residual_Mensual!S10</f>
        <v/>
      </c>
      <c r="BG10" s="29">
        <f>ROUND(BC10 + BF10, 2)</f>
        <v/>
      </c>
      <c r="BH10" s="29">
        <f>Intereses_Leasing_Mensual!T10</f>
        <v/>
      </c>
      <c r="BI10" s="29">
        <f>Amortizacion_Capital_Mensual!U10</f>
        <v/>
      </c>
      <c r="BJ10" s="29">
        <f>Saldos_Capital_Mensual!T10</f>
        <v/>
      </c>
      <c r="BK10" s="29">
        <f>Intereses_Residual_Mensual!T10</f>
        <v/>
      </c>
      <c r="BL10" s="29">
        <f>ROUND(BH10 + BK10, 2)</f>
        <v/>
      </c>
    </row>
    <row r="11">
      <c r="A11" s="20" t="inlineStr">
        <is>
          <t>0520-0003</t>
        </is>
      </c>
      <c r="B11" s="21" t="inlineStr">
        <is>
          <t>Tractomotriz Diesel Leal, S.A. de C.V.</t>
        </is>
      </c>
      <c r="C11" s="21" t="inlineStr">
        <is>
          <t>Montero Sport</t>
        </is>
      </c>
      <c r="D11" s="22" t="n">
        <v>36</v>
      </c>
      <c r="E11" s="23">
        <f>Intereses_Leasing_Mensual!I11</f>
        <v/>
      </c>
      <c r="F11" s="23">
        <f>Amortizacion_Capital_Mensual!J11</f>
        <v/>
      </c>
      <c r="G11" s="23">
        <f>Saldos_Capital_Mensual!I11</f>
        <v/>
      </c>
      <c r="H11" s="23">
        <f>Intereses_Residual_Mensual!I11</f>
        <v/>
      </c>
      <c r="I11" s="23">
        <f>ROUND(E11 + H11, 2)</f>
        <v/>
      </c>
      <c r="J11" s="23">
        <f>Intereses_Leasing_Mensual!J11</f>
        <v/>
      </c>
      <c r="K11" s="23">
        <f>Amortizacion_Capital_Mensual!K11</f>
        <v/>
      </c>
      <c r="L11" s="23">
        <f>Saldos_Capital_Mensual!J11</f>
        <v/>
      </c>
      <c r="M11" s="23">
        <f>Intereses_Residual_Mensual!J11</f>
        <v/>
      </c>
      <c r="N11" s="23">
        <f>ROUND(J11 + M11, 2)</f>
        <v/>
      </c>
      <c r="O11" s="23">
        <f>Intereses_Leasing_Mensual!K11</f>
        <v/>
      </c>
      <c r="P11" s="23">
        <f>Amortizacion_Capital_Mensual!L11</f>
        <v/>
      </c>
      <c r="Q11" s="23">
        <f>Saldos_Capital_Mensual!K11</f>
        <v/>
      </c>
      <c r="R11" s="23">
        <f>Intereses_Residual_Mensual!K11</f>
        <v/>
      </c>
      <c r="S11" s="23">
        <f>ROUND(O11 + R11, 2)</f>
        <v/>
      </c>
      <c r="T11" s="23">
        <f>Intereses_Leasing_Mensual!L11</f>
        <v/>
      </c>
      <c r="U11" s="23">
        <f>Amortizacion_Capital_Mensual!M11</f>
        <v/>
      </c>
      <c r="V11" s="23">
        <f>Saldos_Capital_Mensual!L11</f>
        <v/>
      </c>
      <c r="W11" s="23">
        <f>Intereses_Residual_Mensual!L11</f>
        <v/>
      </c>
      <c r="X11" s="23">
        <f>ROUND(T11 + W11, 2)</f>
        <v/>
      </c>
      <c r="Y11" s="23">
        <f>Intereses_Leasing_Mensual!M11</f>
        <v/>
      </c>
      <c r="Z11" s="23">
        <f>Amortizacion_Capital_Mensual!N11</f>
        <v/>
      </c>
      <c r="AA11" s="23">
        <f>Saldos_Capital_Mensual!M11</f>
        <v/>
      </c>
      <c r="AB11" s="23">
        <f>Intereses_Residual_Mensual!M11</f>
        <v/>
      </c>
      <c r="AC11" s="23">
        <f>ROUND(Y11 + AB11, 2)</f>
        <v/>
      </c>
      <c r="AD11" s="23">
        <f>Intereses_Leasing_Mensual!N11</f>
        <v/>
      </c>
      <c r="AE11" s="23">
        <f>Amortizacion_Capital_Mensual!O11</f>
        <v/>
      </c>
      <c r="AF11" s="23">
        <f>Saldos_Capital_Mensual!N11</f>
        <v/>
      </c>
      <c r="AG11" s="23">
        <f>Intereses_Residual_Mensual!N11</f>
        <v/>
      </c>
      <c r="AH11" s="23">
        <f>ROUND(AD11 + AG11, 2)</f>
        <v/>
      </c>
      <c r="AI11" s="23">
        <f>Intereses_Leasing_Mensual!O11</f>
        <v/>
      </c>
      <c r="AJ11" s="23">
        <f>Amortizacion_Capital_Mensual!P11</f>
        <v/>
      </c>
      <c r="AK11" s="23">
        <f>Saldos_Capital_Mensual!O11</f>
        <v/>
      </c>
      <c r="AL11" s="23">
        <f>Intereses_Residual_Mensual!O11</f>
        <v/>
      </c>
      <c r="AM11" s="23">
        <f>ROUND(AI11 + AL11, 2)</f>
        <v/>
      </c>
      <c r="AN11" s="23">
        <f>Intereses_Leasing_Mensual!P11</f>
        <v/>
      </c>
      <c r="AO11" s="23">
        <f>Amortizacion_Capital_Mensual!Q11</f>
        <v/>
      </c>
      <c r="AP11" s="23">
        <f>Saldos_Capital_Mensual!P11</f>
        <v/>
      </c>
      <c r="AQ11" s="23">
        <f>Intereses_Residual_Mensual!P11</f>
        <v/>
      </c>
      <c r="AR11" s="23">
        <f>ROUND(AN11 + AQ11, 2)</f>
        <v/>
      </c>
      <c r="AS11" s="23">
        <f>Intereses_Leasing_Mensual!Q11</f>
        <v/>
      </c>
      <c r="AT11" s="23">
        <f>Amortizacion_Capital_Mensual!R11</f>
        <v/>
      </c>
      <c r="AU11" s="23">
        <f>Saldos_Capital_Mensual!Q11</f>
        <v/>
      </c>
      <c r="AV11" s="23">
        <f>Intereses_Residual_Mensual!Q11</f>
        <v/>
      </c>
      <c r="AW11" s="23">
        <f>ROUND(AS11 + AV11, 2)</f>
        <v/>
      </c>
      <c r="AX11" s="23">
        <f>Intereses_Leasing_Mensual!R11</f>
        <v/>
      </c>
      <c r="AY11" s="23">
        <f>Amortizacion_Capital_Mensual!S11</f>
        <v/>
      </c>
      <c r="AZ11" s="23">
        <f>Saldos_Capital_Mensual!R11</f>
        <v/>
      </c>
      <c r="BA11" s="23">
        <f>Intereses_Residual_Mensual!R11</f>
        <v/>
      </c>
      <c r="BB11" s="23">
        <f>ROUND(AX11 + BA11, 2)</f>
        <v/>
      </c>
      <c r="BC11" s="23">
        <f>Intereses_Leasing_Mensual!S11</f>
        <v/>
      </c>
      <c r="BD11" s="23">
        <f>Amortizacion_Capital_Mensual!T11</f>
        <v/>
      </c>
      <c r="BE11" s="23">
        <f>Saldos_Capital_Mensual!S11</f>
        <v/>
      </c>
      <c r="BF11" s="23">
        <f>Intereses_Residual_Mensual!S11</f>
        <v/>
      </c>
      <c r="BG11" s="23">
        <f>ROUND(BC11 + BF11, 2)</f>
        <v/>
      </c>
      <c r="BH11" s="23">
        <f>Intereses_Leasing_Mensual!T11</f>
        <v/>
      </c>
      <c r="BI11" s="23">
        <f>Amortizacion_Capital_Mensual!U11</f>
        <v/>
      </c>
      <c r="BJ11" s="23">
        <f>Saldos_Capital_Mensual!T11</f>
        <v/>
      </c>
      <c r="BK11" s="23">
        <f>Intereses_Residual_Mensual!T11</f>
        <v/>
      </c>
      <c r="BL11" s="23">
        <f>ROUND(BH11 + BK11, 2)</f>
        <v/>
      </c>
    </row>
    <row r="12">
      <c r="A12" s="26" t="inlineStr">
        <is>
          <t>0520-0004</t>
        </is>
      </c>
      <c r="B12" s="27" t="inlineStr">
        <is>
          <t>Tractomotriz Diesel Leal, S.A. de C.V.</t>
        </is>
      </c>
      <c r="C12" s="27" t="inlineStr">
        <is>
          <t>Partner Maxi Pack</t>
        </is>
      </c>
      <c r="D12" s="28" t="n">
        <v>36</v>
      </c>
      <c r="E12" s="29">
        <f>Intereses_Leasing_Mensual!I12</f>
        <v/>
      </c>
      <c r="F12" s="29">
        <f>Amortizacion_Capital_Mensual!J12</f>
        <v/>
      </c>
      <c r="G12" s="29">
        <f>Saldos_Capital_Mensual!I12</f>
        <v/>
      </c>
      <c r="H12" s="29">
        <f>Intereses_Residual_Mensual!I12</f>
        <v/>
      </c>
      <c r="I12" s="29">
        <f>ROUND(E12 + H12, 2)</f>
        <v/>
      </c>
      <c r="J12" s="29">
        <f>Intereses_Leasing_Mensual!J12</f>
        <v/>
      </c>
      <c r="K12" s="29">
        <f>Amortizacion_Capital_Mensual!K12</f>
        <v/>
      </c>
      <c r="L12" s="29">
        <f>Saldos_Capital_Mensual!J12</f>
        <v/>
      </c>
      <c r="M12" s="29">
        <f>Intereses_Residual_Mensual!J12</f>
        <v/>
      </c>
      <c r="N12" s="29">
        <f>ROUND(J12 + M12, 2)</f>
        <v/>
      </c>
      <c r="O12" s="29">
        <f>Intereses_Leasing_Mensual!K12</f>
        <v/>
      </c>
      <c r="P12" s="29">
        <f>Amortizacion_Capital_Mensual!L12</f>
        <v/>
      </c>
      <c r="Q12" s="29">
        <f>Saldos_Capital_Mensual!K12</f>
        <v/>
      </c>
      <c r="R12" s="29">
        <f>Intereses_Residual_Mensual!K12</f>
        <v/>
      </c>
      <c r="S12" s="29">
        <f>ROUND(O12 + R12, 2)</f>
        <v/>
      </c>
      <c r="T12" s="29">
        <f>Intereses_Leasing_Mensual!L12</f>
        <v/>
      </c>
      <c r="U12" s="29">
        <f>Amortizacion_Capital_Mensual!M12</f>
        <v/>
      </c>
      <c r="V12" s="29">
        <f>Saldos_Capital_Mensual!L12</f>
        <v/>
      </c>
      <c r="W12" s="29">
        <f>Intereses_Residual_Mensual!L12</f>
        <v/>
      </c>
      <c r="X12" s="29">
        <f>ROUND(T12 + W12, 2)</f>
        <v/>
      </c>
      <c r="Y12" s="29">
        <f>Intereses_Leasing_Mensual!M12</f>
        <v/>
      </c>
      <c r="Z12" s="29">
        <f>Amortizacion_Capital_Mensual!N12</f>
        <v/>
      </c>
      <c r="AA12" s="29">
        <f>Saldos_Capital_Mensual!M12</f>
        <v/>
      </c>
      <c r="AB12" s="29">
        <f>Intereses_Residual_Mensual!M12</f>
        <v/>
      </c>
      <c r="AC12" s="29">
        <f>ROUND(Y12 + AB12, 2)</f>
        <v/>
      </c>
      <c r="AD12" s="29">
        <f>Intereses_Leasing_Mensual!N12</f>
        <v/>
      </c>
      <c r="AE12" s="29">
        <f>Amortizacion_Capital_Mensual!O12</f>
        <v/>
      </c>
      <c r="AF12" s="29">
        <f>Saldos_Capital_Mensual!N12</f>
        <v/>
      </c>
      <c r="AG12" s="29">
        <f>Intereses_Residual_Mensual!N12</f>
        <v/>
      </c>
      <c r="AH12" s="29">
        <f>ROUND(AD12 + AG12, 2)</f>
        <v/>
      </c>
      <c r="AI12" s="29">
        <f>Intereses_Leasing_Mensual!O12</f>
        <v/>
      </c>
      <c r="AJ12" s="29">
        <f>Amortizacion_Capital_Mensual!P12</f>
        <v/>
      </c>
      <c r="AK12" s="29">
        <f>Saldos_Capital_Mensual!O12</f>
        <v/>
      </c>
      <c r="AL12" s="29">
        <f>Intereses_Residual_Mensual!O12</f>
        <v/>
      </c>
      <c r="AM12" s="29">
        <f>ROUND(AI12 + AL12, 2)</f>
        <v/>
      </c>
      <c r="AN12" s="29">
        <f>Intereses_Leasing_Mensual!P12</f>
        <v/>
      </c>
      <c r="AO12" s="29">
        <f>Amortizacion_Capital_Mensual!Q12</f>
        <v/>
      </c>
      <c r="AP12" s="29">
        <f>Saldos_Capital_Mensual!P12</f>
        <v/>
      </c>
      <c r="AQ12" s="29">
        <f>Intereses_Residual_Mensual!P12</f>
        <v/>
      </c>
      <c r="AR12" s="29">
        <f>ROUND(AN12 + AQ12, 2)</f>
        <v/>
      </c>
      <c r="AS12" s="29">
        <f>Intereses_Leasing_Mensual!Q12</f>
        <v/>
      </c>
      <c r="AT12" s="29">
        <f>Amortizacion_Capital_Mensual!R12</f>
        <v/>
      </c>
      <c r="AU12" s="29">
        <f>Saldos_Capital_Mensual!Q12</f>
        <v/>
      </c>
      <c r="AV12" s="29">
        <f>Intereses_Residual_Mensual!Q12</f>
        <v/>
      </c>
      <c r="AW12" s="29">
        <f>ROUND(AS12 + AV12, 2)</f>
        <v/>
      </c>
      <c r="AX12" s="29">
        <f>Intereses_Leasing_Mensual!R12</f>
        <v/>
      </c>
      <c r="AY12" s="29">
        <f>Amortizacion_Capital_Mensual!S12</f>
        <v/>
      </c>
      <c r="AZ12" s="29">
        <f>Saldos_Capital_Mensual!R12</f>
        <v/>
      </c>
      <c r="BA12" s="29">
        <f>Intereses_Residual_Mensual!R12</f>
        <v/>
      </c>
      <c r="BB12" s="29">
        <f>ROUND(AX12 + BA12, 2)</f>
        <v/>
      </c>
      <c r="BC12" s="29">
        <f>Intereses_Leasing_Mensual!S12</f>
        <v/>
      </c>
      <c r="BD12" s="29">
        <f>Amortizacion_Capital_Mensual!T12</f>
        <v/>
      </c>
      <c r="BE12" s="29">
        <f>Saldos_Capital_Mensual!S12</f>
        <v/>
      </c>
      <c r="BF12" s="29">
        <f>Intereses_Residual_Mensual!S12</f>
        <v/>
      </c>
      <c r="BG12" s="29">
        <f>ROUND(BC12 + BF12, 2)</f>
        <v/>
      </c>
      <c r="BH12" s="29">
        <f>Intereses_Leasing_Mensual!T12</f>
        <v/>
      </c>
      <c r="BI12" s="29">
        <f>Amortizacion_Capital_Mensual!U12</f>
        <v/>
      </c>
      <c r="BJ12" s="29">
        <f>Saldos_Capital_Mensual!T12</f>
        <v/>
      </c>
      <c r="BK12" s="29">
        <f>Intereses_Residual_Mensual!T12</f>
        <v/>
      </c>
      <c r="BL12" s="29">
        <f>ROUND(BH12 + BK12, 2)</f>
        <v/>
      </c>
    </row>
    <row r="13">
      <c r="A13" s="20" t="inlineStr">
        <is>
          <t>0521-0002</t>
        </is>
      </c>
      <c r="B13" s="21" t="inlineStr">
        <is>
          <t>Carlos Hiram leal Leal</t>
        </is>
      </c>
      <c r="C13" s="21" t="inlineStr">
        <is>
          <t>Xpander</t>
        </is>
      </c>
      <c r="D13" s="22" t="n">
        <v>36</v>
      </c>
      <c r="E13" s="23">
        <f>Intereses_Leasing_Mensual!I13</f>
        <v/>
      </c>
      <c r="F13" s="23">
        <f>Amortizacion_Capital_Mensual!J13</f>
        <v/>
      </c>
      <c r="G13" s="23">
        <f>Saldos_Capital_Mensual!I13</f>
        <v/>
      </c>
      <c r="H13" s="23">
        <f>Intereses_Residual_Mensual!I13</f>
        <v/>
      </c>
      <c r="I13" s="23">
        <f>ROUND(E13 + H13, 2)</f>
        <v/>
      </c>
      <c r="J13" s="23">
        <f>Intereses_Leasing_Mensual!J13</f>
        <v/>
      </c>
      <c r="K13" s="23">
        <f>Amortizacion_Capital_Mensual!K13</f>
        <v/>
      </c>
      <c r="L13" s="23">
        <f>Saldos_Capital_Mensual!J13</f>
        <v/>
      </c>
      <c r="M13" s="23">
        <f>Intereses_Residual_Mensual!J13</f>
        <v/>
      </c>
      <c r="N13" s="23">
        <f>ROUND(J13 + M13, 2)</f>
        <v/>
      </c>
      <c r="O13" s="23">
        <f>Intereses_Leasing_Mensual!K13</f>
        <v/>
      </c>
      <c r="P13" s="23">
        <f>Amortizacion_Capital_Mensual!L13</f>
        <v/>
      </c>
      <c r="Q13" s="23">
        <f>Saldos_Capital_Mensual!K13</f>
        <v/>
      </c>
      <c r="R13" s="23">
        <f>Intereses_Residual_Mensual!K13</f>
        <v/>
      </c>
      <c r="S13" s="23">
        <f>ROUND(O13 + R13, 2)</f>
        <v/>
      </c>
      <c r="T13" s="23">
        <f>Intereses_Leasing_Mensual!L13</f>
        <v/>
      </c>
      <c r="U13" s="23">
        <f>Amortizacion_Capital_Mensual!M13</f>
        <v/>
      </c>
      <c r="V13" s="23">
        <f>Saldos_Capital_Mensual!L13</f>
        <v/>
      </c>
      <c r="W13" s="23">
        <f>Intereses_Residual_Mensual!L13</f>
        <v/>
      </c>
      <c r="X13" s="23">
        <f>ROUND(T13 + W13, 2)</f>
        <v/>
      </c>
      <c r="Y13" s="23">
        <f>Intereses_Leasing_Mensual!M13</f>
        <v/>
      </c>
      <c r="Z13" s="23">
        <f>Amortizacion_Capital_Mensual!N13</f>
        <v/>
      </c>
      <c r="AA13" s="23">
        <f>Saldos_Capital_Mensual!M13</f>
        <v/>
      </c>
      <c r="AB13" s="23">
        <f>Intereses_Residual_Mensual!M13</f>
        <v/>
      </c>
      <c r="AC13" s="23">
        <f>ROUND(Y13 + AB13, 2)</f>
        <v/>
      </c>
      <c r="AD13" s="23">
        <f>Intereses_Leasing_Mensual!N13</f>
        <v/>
      </c>
      <c r="AE13" s="23">
        <f>Amortizacion_Capital_Mensual!O13</f>
        <v/>
      </c>
      <c r="AF13" s="23">
        <f>Saldos_Capital_Mensual!N13</f>
        <v/>
      </c>
      <c r="AG13" s="23">
        <f>Intereses_Residual_Mensual!N13</f>
        <v/>
      </c>
      <c r="AH13" s="23">
        <f>ROUND(AD13 + AG13, 2)</f>
        <v/>
      </c>
      <c r="AI13" s="23">
        <f>Intereses_Leasing_Mensual!O13</f>
        <v/>
      </c>
      <c r="AJ13" s="23">
        <f>Amortizacion_Capital_Mensual!P13</f>
        <v/>
      </c>
      <c r="AK13" s="23">
        <f>Saldos_Capital_Mensual!O13</f>
        <v/>
      </c>
      <c r="AL13" s="23">
        <f>Intereses_Residual_Mensual!O13</f>
        <v/>
      </c>
      <c r="AM13" s="23">
        <f>ROUND(AI13 + AL13, 2)</f>
        <v/>
      </c>
      <c r="AN13" s="23">
        <f>Intereses_Leasing_Mensual!P13</f>
        <v/>
      </c>
      <c r="AO13" s="23">
        <f>Amortizacion_Capital_Mensual!Q13</f>
        <v/>
      </c>
      <c r="AP13" s="23">
        <f>Saldos_Capital_Mensual!P13</f>
        <v/>
      </c>
      <c r="AQ13" s="23">
        <f>Intereses_Residual_Mensual!P13</f>
        <v/>
      </c>
      <c r="AR13" s="23">
        <f>ROUND(AN13 + AQ13, 2)</f>
        <v/>
      </c>
      <c r="AS13" s="23">
        <f>Intereses_Leasing_Mensual!Q13</f>
        <v/>
      </c>
      <c r="AT13" s="23">
        <f>Amortizacion_Capital_Mensual!R13</f>
        <v/>
      </c>
      <c r="AU13" s="23">
        <f>Saldos_Capital_Mensual!Q13</f>
        <v/>
      </c>
      <c r="AV13" s="23">
        <f>Intereses_Residual_Mensual!Q13</f>
        <v/>
      </c>
      <c r="AW13" s="23">
        <f>ROUND(AS13 + AV13, 2)</f>
        <v/>
      </c>
      <c r="AX13" s="23">
        <f>Intereses_Leasing_Mensual!R13</f>
        <v/>
      </c>
      <c r="AY13" s="23">
        <f>Amortizacion_Capital_Mensual!S13</f>
        <v/>
      </c>
      <c r="AZ13" s="23">
        <f>Saldos_Capital_Mensual!R13</f>
        <v/>
      </c>
      <c r="BA13" s="23">
        <f>Intereses_Residual_Mensual!R13</f>
        <v/>
      </c>
      <c r="BB13" s="23">
        <f>ROUND(AX13 + BA13, 2)</f>
        <v/>
      </c>
      <c r="BC13" s="23">
        <f>Intereses_Leasing_Mensual!S13</f>
        <v/>
      </c>
      <c r="BD13" s="23">
        <f>Amortizacion_Capital_Mensual!T13</f>
        <v/>
      </c>
      <c r="BE13" s="23">
        <f>Saldos_Capital_Mensual!S13</f>
        <v/>
      </c>
      <c r="BF13" s="23">
        <f>Intereses_Residual_Mensual!S13</f>
        <v/>
      </c>
      <c r="BG13" s="23">
        <f>ROUND(BC13 + BF13, 2)</f>
        <v/>
      </c>
      <c r="BH13" s="23">
        <f>Intereses_Leasing_Mensual!T13</f>
        <v/>
      </c>
      <c r="BI13" s="23">
        <f>Amortizacion_Capital_Mensual!U13</f>
        <v/>
      </c>
      <c r="BJ13" s="23">
        <f>Saldos_Capital_Mensual!T13</f>
        <v/>
      </c>
      <c r="BK13" s="23">
        <f>Intereses_Residual_Mensual!T13</f>
        <v/>
      </c>
      <c r="BL13" s="23">
        <f>ROUND(BH13 + BK13, 2)</f>
        <v/>
      </c>
    </row>
    <row r="14">
      <c r="A14" s="26" t="inlineStr">
        <is>
          <t>0524-0007</t>
        </is>
      </c>
      <c r="B14" s="27" t="inlineStr">
        <is>
          <t>Lider En Derecho De Via y Construcción SA DE CV</t>
        </is>
      </c>
      <c r="C14" s="27" t="inlineStr">
        <is>
          <t>L200 Gls</t>
        </is>
      </c>
      <c r="D14" s="28" t="n">
        <v>24</v>
      </c>
      <c r="E14" s="29">
        <f>Intereses_Leasing_Mensual!I14</f>
        <v/>
      </c>
      <c r="F14" s="29">
        <f>Amortizacion_Capital_Mensual!J14</f>
        <v/>
      </c>
      <c r="G14" s="29">
        <f>Saldos_Capital_Mensual!I14</f>
        <v/>
      </c>
      <c r="H14" s="29">
        <f>Intereses_Residual_Mensual!I14</f>
        <v/>
      </c>
      <c r="I14" s="29">
        <f>ROUND(E14 + H14, 2)</f>
        <v/>
      </c>
      <c r="J14" s="29">
        <f>Intereses_Leasing_Mensual!J14</f>
        <v/>
      </c>
      <c r="K14" s="29">
        <f>Amortizacion_Capital_Mensual!K14</f>
        <v/>
      </c>
      <c r="L14" s="29">
        <f>Saldos_Capital_Mensual!J14</f>
        <v/>
      </c>
      <c r="M14" s="29">
        <f>Intereses_Residual_Mensual!J14</f>
        <v/>
      </c>
      <c r="N14" s="29">
        <f>ROUND(J14 + M14, 2)</f>
        <v/>
      </c>
      <c r="O14" s="29">
        <f>Intereses_Leasing_Mensual!K14</f>
        <v/>
      </c>
      <c r="P14" s="29">
        <f>Amortizacion_Capital_Mensual!L14</f>
        <v/>
      </c>
      <c r="Q14" s="29">
        <f>Saldos_Capital_Mensual!K14</f>
        <v/>
      </c>
      <c r="R14" s="29">
        <f>Intereses_Residual_Mensual!K14</f>
        <v/>
      </c>
      <c r="S14" s="29">
        <f>ROUND(O14 + R14, 2)</f>
        <v/>
      </c>
      <c r="T14" s="29">
        <f>Intereses_Leasing_Mensual!L14</f>
        <v/>
      </c>
      <c r="U14" s="29">
        <f>Amortizacion_Capital_Mensual!M14</f>
        <v/>
      </c>
      <c r="V14" s="29">
        <f>Saldos_Capital_Mensual!L14</f>
        <v/>
      </c>
      <c r="W14" s="29">
        <f>Intereses_Residual_Mensual!L14</f>
        <v/>
      </c>
      <c r="X14" s="29">
        <f>ROUND(T14 + W14, 2)</f>
        <v/>
      </c>
      <c r="Y14" s="29">
        <f>Intereses_Leasing_Mensual!M14</f>
        <v/>
      </c>
      <c r="Z14" s="29">
        <f>Amortizacion_Capital_Mensual!N14</f>
        <v/>
      </c>
      <c r="AA14" s="29">
        <f>Saldos_Capital_Mensual!M14</f>
        <v/>
      </c>
      <c r="AB14" s="29">
        <f>Intereses_Residual_Mensual!M14</f>
        <v/>
      </c>
      <c r="AC14" s="29">
        <f>ROUND(Y14 + AB14, 2)</f>
        <v/>
      </c>
      <c r="AD14" s="29">
        <f>Intereses_Leasing_Mensual!N14</f>
        <v/>
      </c>
      <c r="AE14" s="29">
        <f>Amortizacion_Capital_Mensual!O14</f>
        <v/>
      </c>
      <c r="AF14" s="29">
        <f>Saldos_Capital_Mensual!N14</f>
        <v/>
      </c>
      <c r="AG14" s="29">
        <f>Intereses_Residual_Mensual!N14</f>
        <v/>
      </c>
      <c r="AH14" s="29">
        <f>ROUND(AD14 + AG14, 2)</f>
        <v/>
      </c>
      <c r="AI14" s="29">
        <f>Intereses_Leasing_Mensual!O14</f>
        <v/>
      </c>
      <c r="AJ14" s="29">
        <f>Amortizacion_Capital_Mensual!P14</f>
        <v/>
      </c>
      <c r="AK14" s="29">
        <f>Saldos_Capital_Mensual!O14</f>
        <v/>
      </c>
      <c r="AL14" s="29">
        <f>Intereses_Residual_Mensual!O14</f>
        <v/>
      </c>
      <c r="AM14" s="29">
        <f>ROUND(AI14 + AL14, 2)</f>
        <v/>
      </c>
      <c r="AN14" s="29">
        <f>Intereses_Leasing_Mensual!P14</f>
        <v/>
      </c>
      <c r="AO14" s="29">
        <f>Amortizacion_Capital_Mensual!Q14</f>
        <v/>
      </c>
      <c r="AP14" s="29">
        <f>Saldos_Capital_Mensual!P14</f>
        <v/>
      </c>
      <c r="AQ14" s="29">
        <f>Intereses_Residual_Mensual!P14</f>
        <v/>
      </c>
      <c r="AR14" s="29">
        <f>ROUND(AN14 + AQ14, 2)</f>
        <v/>
      </c>
      <c r="AS14" s="29">
        <f>Intereses_Leasing_Mensual!Q14</f>
        <v/>
      </c>
      <c r="AT14" s="29">
        <f>Amortizacion_Capital_Mensual!R14</f>
        <v/>
      </c>
      <c r="AU14" s="29">
        <f>Saldos_Capital_Mensual!Q14</f>
        <v/>
      </c>
      <c r="AV14" s="29">
        <f>Intereses_Residual_Mensual!Q14</f>
        <v/>
      </c>
      <c r="AW14" s="29">
        <f>ROUND(AS14 + AV14, 2)</f>
        <v/>
      </c>
      <c r="AX14" s="29">
        <f>Intereses_Leasing_Mensual!R14</f>
        <v/>
      </c>
      <c r="AY14" s="29">
        <f>Amortizacion_Capital_Mensual!S14</f>
        <v/>
      </c>
      <c r="AZ14" s="29">
        <f>Saldos_Capital_Mensual!R14</f>
        <v/>
      </c>
      <c r="BA14" s="29">
        <f>Intereses_Residual_Mensual!R14</f>
        <v/>
      </c>
      <c r="BB14" s="29">
        <f>ROUND(AX14 + BA14, 2)</f>
        <v/>
      </c>
      <c r="BC14" s="29">
        <f>Intereses_Leasing_Mensual!S14</f>
        <v/>
      </c>
      <c r="BD14" s="29">
        <f>Amortizacion_Capital_Mensual!T14</f>
        <v/>
      </c>
      <c r="BE14" s="29">
        <f>Saldos_Capital_Mensual!S14</f>
        <v/>
      </c>
      <c r="BF14" s="29">
        <f>Intereses_Residual_Mensual!S14</f>
        <v/>
      </c>
      <c r="BG14" s="29">
        <f>ROUND(BC14 + BF14, 2)</f>
        <v/>
      </c>
      <c r="BH14" s="29">
        <f>Intereses_Leasing_Mensual!T14</f>
        <v/>
      </c>
      <c r="BI14" s="29">
        <f>Amortizacion_Capital_Mensual!U14</f>
        <v/>
      </c>
      <c r="BJ14" s="29">
        <f>Saldos_Capital_Mensual!T14</f>
        <v/>
      </c>
      <c r="BK14" s="29">
        <f>Intereses_Residual_Mensual!T14</f>
        <v/>
      </c>
      <c r="BL14" s="29">
        <f>ROUND(BH14 + BK14, 2)</f>
        <v/>
      </c>
    </row>
    <row r="15">
      <c r="A15" s="20" t="inlineStr">
        <is>
          <t>0524-0011</t>
        </is>
      </c>
      <c r="B15" s="21" t="inlineStr">
        <is>
          <t>Lider En Derecho De Via y Construcción SA DE CV</t>
        </is>
      </c>
      <c r="C15" s="21" t="inlineStr">
        <is>
          <t>Wrangler Unlimited Sahara</t>
        </is>
      </c>
      <c r="D15" s="22" t="n">
        <v>48</v>
      </c>
      <c r="E15" s="23">
        <f>Intereses_Leasing_Mensual!I15</f>
        <v/>
      </c>
      <c r="F15" s="23">
        <f>Amortizacion_Capital_Mensual!J15</f>
        <v/>
      </c>
      <c r="G15" s="23">
        <f>Saldos_Capital_Mensual!I15</f>
        <v/>
      </c>
      <c r="H15" s="23">
        <f>Intereses_Residual_Mensual!I15</f>
        <v/>
      </c>
      <c r="I15" s="23">
        <f>ROUND(E15 + H15, 2)</f>
        <v/>
      </c>
      <c r="J15" s="23">
        <f>Intereses_Leasing_Mensual!J15</f>
        <v/>
      </c>
      <c r="K15" s="23">
        <f>Amortizacion_Capital_Mensual!K15</f>
        <v/>
      </c>
      <c r="L15" s="23">
        <f>Saldos_Capital_Mensual!J15</f>
        <v/>
      </c>
      <c r="M15" s="23">
        <f>Intereses_Residual_Mensual!J15</f>
        <v/>
      </c>
      <c r="N15" s="23">
        <f>ROUND(J15 + M15, 2)</f>
        <v/>
      </c>
      <c r="O15" s="23">
        <f>Intereses_Leasing_Mensual!K15</f>
        <v/>
      </c>
      <c r="P15" s="23">
        <f>Amortizacion_Capital_Mensual!L15</f>
        <v/>
      </c>
      <c r="Q15" s="23">
        <f>Saldos_Capital_Mensual!K15</f>
        <v/>
      </c>
      <c r="R15" s="23">
        <f>Intereses_Residual_Mensual!K15</f>
        <v/>
      </c>
      <c r="S15" s="23">
        <f>ROUND(O15 + R15, 2)</f>
        <v/>
      </c>
      <c r="T15" s="23">
        <f>Intereses_Leasing_Mensual!L15</f>
        <v/>
      </c>
      <c r="U15" s="23">
        <f>Amortizacion_Capital_Mensual!M15</f>
        <v/>
      </c>
      <c r="V15" s="23">
        <f>Saldos_Capital_Mensual!L15</f>
        <v/>
      </c>
      <c r="W15" s="23">
        <f>Intereses_Residual_Mensual!L15</f>
        <v/>
      </c>
      <c r="X15" s="23">
        <f>ROUND(T15 + W15, 2)</f>
        <v/>
      </c>
      <c r="Y15" s="23">
        <f>Intereses_Leasing_Mensual!M15</f>
        <v/>
      </c>
      <c r="Z15" s="23">
        <f>Amortizacion_Capital_Mensual!N15</f>
        <v/>
      </c>
      <c r="AA15" s="23">
        <f>Saldos_Capital_Mensual!M15</f>
        <v/>
      </c>
      <c r="AB15" s="23">
        <f>Intereses_Residual_Mensual!M15</f>
        <v/>
      </c>
      <c r="AC15" s="23">
        <f>ROUND(Y15 + AB15, 2)</f>
        <v/>
      </c>
      <c r="AD15" s="23">
        <f>Intereses_Leasing_Mensual!N15</f>
        <v/>
      </c>
      <c r="AE15" s="23">
        <f>Amortizacion_Capital_Mensual!O15</f>
        <v/>
      </c>
      <c r="AF15" s="23">
        <f>Saldos_Capital_Mensual!N15</f>
        <v/>
      </c>
      <c r="AG15" s="23">
        <f>Intereses_Residual_Mensual!N15</f>
        <v/>
      </c>
      <c r="AH15" s="23">
        <f>ROUND(AD15 + AG15, 2)</f>
        <v/>
      </c>
      <c r="AI15" s="23">
        <f>Intereses_Leasing_Mensual!O15</f>
        <v/>
      </c>
      <c r="AJ15" s="23">
        <f>Amortizacion_Capital_Mensual!P15</f>
        <v/>
      </c>
      <c r="AK15" s="23">
        <f>Saldos_Capital_Mensual!O15</f>
        <v/>
      </c>
      <c r="AL15" s="23">
        <f>Intereses_Residual_Mensual!O15</f>
        <v/>
      </c>
      <c r="AM15" s="23">
        <f>ROUND(AI15 + AL15, 2)</f>
        <v/>
      </c>
      <c r="AN15" s="23">
        <f>Intereses_Leasing_Mensual!P15</f>
        <v/>
      </c>
      <c r="AO15" s="23">
        <f>Amortizacion_Capital_Mensual!Q15</f>
        <v/>
      </c>
      <c r="AP15" s="23">
        <f>Saldos_Capital_Mensual!P15</f>
        <v/>
      </c>
      <c r="AQ15" s="23">
        <f>Intereses_Residual_Mensual!P15</f>
        <v/>
      </c>
      <c r="AR15" s="23">
        <f>ROUND(AN15 + AQ15, 2)</f>
        <v/>
      </c>
      <c r="AS15" s="23">
        <f>Intereses_Leasing_Mensual!Q15</f>
        <v/>
      </c>
      <c r="AT15" s="23">
        <f>Amortizacion_Capital_Mensual!R15</f>
        <v/>
      </c>
      <c r="AU15" s="23">
        <f>Saldos_Capital_Mensual!Q15</f>
        <v/>
      </c>
      <c r="AV15" s="23">
        <f>Intereses_Residual_Mensual!Q15</f>
        <v/>
      </c>
      <c r="AW15" s="23">
        <f>ROUND(AS15 + AV15, 2)</f>
        <v/>
      </c>
      <c r="AX15" s="23">
        <f>Intereses_Leasing_Mensual!R15</f>
        <v/>
      </c>
      <c r="AY15" s="23">
        <f>Amortizacion_Capital_Mensual!S15</f>
        <v/>
      </c>
      <c r="AZ15" s="23">
        <f>Saldos_Capital_Mensual!R15</f>
        <v/>
      </c>
      <c r="BA15" s="23">
        <f>Intereses_Residual_Mensual!R15</f>
        <v/>
      </c>
      <c r="BB15" s="23">
        <f>ROUND(AX15 + BA15, 2)</f>
        <v/>
      </c>
      <c r="BC15" s="23">
        <f>Intereses_Leasing_Mensual!S15</f>
        <v/>
      </c>
      <c r="BD15" s="23">
        <f>Amortizacion_Capital_Mensual!T15</f>
        <v/>
      </c>
      <c r="BE15" s="23">
        <f>Saldos_Capital_Mensual!S15</f>
        <v/>
      </c>
      <c r="BF15" s="23">
        <f>Intereses_Residual_Mensual!S15</f>
        <v/>
      </c>
      <c r="BG15" s="23">
        <f>ROUND(BC15 + BF15, 2)</f>
        <v/>
      </c>
      <c r="BH15" s="23">
        <f>Intereses_Leasing_Mensual!T15</f>
        <v/>
      </c>
      <c r="BI15" s="23">
        <f>Amortizacion_Capital_Mensual!U15</f>
        <v/>
      </c>
      <c r="BJ15" s="23">
        <f>Saldos_Capital_Mensual!T15</f>
        <v/>
      </c>
      <c r="BK15" s="23">
        <f>Intereses_Residual_Mensual!T15</f>
        <v/>
      </c>
      <c r="BL15" s="23">
        <f>ROUND(BH15 + BK15, 2)</f>
        <v/>
      </c>
    </row>
    <row r="16">
      <c r="A16" s="26" t="inlineStr">
        <is>
          <t>0524-0012</t>
        </is>
      </c>
      <c r="B16" s="27" t="inlineStr">
        <is>
          <t>Lider En Derecho De Via y Construcción SA DE CV</t>
        </is>
      </c>
      <c r="C16" s="27" t="inlineStr">
        <is>
          <t>L200 GLS</t>
        </is>
      </c>
      <c r="D16" s="28" t="n">
        <v>48</v>
      </c>
      <c r="E16" s="29">
        <f>Intereses_Leasing_Mensual!I16</f>
        <v/>
      </c>
      <c r="F16" s="29">
        <f>Amortizacion_Capital_Mensual!J16</f>
        <v/>
      </c>
      <c r="G16" s="29">
        <f>Saldos_Capital_Mensual!I16</f>
        <v/>
      </c>
      <c r="H16" s="29">
        <f>Intereses_Residual_Mensual!I16</f>
        <v/>
      </c>
      <c r="I16" s="29">
        <f>ROUND(E16 + H16, 2)</f>
        <v/>
      </c>
      <c r="J16" s="29">
        <f>Intereses_Leasing_Mensual!J16</f>
        <v/>
      </c>
      <c r="K16" s="29">
        <f>Amortizacion_Capital_Mensual!K16</f>
        <v/>
      </c>
      <c r="L16" s="29">
        <f>Saldos_Capital_Mensual!J16</f>
        <v/>
      </c>
      <c r="M16" s="29">
        <f>Intereses_Residual_Mensual!J16</f>
        <v/>
      </c>
      <c r="N16" s="29">
        <f>ROUND(J16 + M16, 2)</f>
        <v/>
      </c>
      <c r="O16" s="29">
        <f>Intereses_Leasing_Mensual!K16</f>
        <v/>
      </c>
      <c r="P16" s="29">
        <f>Amortizacion_Capital_Mensual!L16</f>
        <v/>
      </c>
      <c r="Q16" s="29">
        <f>Saldos_Capital_Mensual!K16</f>
        <v/>
      </c>
      <c r="R16" s="29">
        <f>Intereses_Residual_Mensual!K16</f>
        <v/>
      </c>
      <c r="S16" s="29">
        <f>ROUND(O16 + R16, 2)</f>
        <v/>
      </c>
      <c r="T16" s="29">
        <f>Intereses_Leasing_Mensual!L16</f>
        <v/>
      </c>
      <c r="U16" s="29">
        <f>Amortizacion_Capital_Mensual!M16</f>
        <v/>
      </c>
      <c r="V16" s="29">
        <f>Saldos_Capital_Mensual!L16</f>
        <v/>
      </c>
      <c r="W16" s="29">
        <f>Intereses_Residual_Mensual!L16</f>
        <v/>
      </c>
      <c r="X16" s="29">
        <f>ROUND(T16 + W16, 2)</f>
        <v/>
      </c>
      <c r="Y16" s="29">
        <f>Intereses_Leasing_Mensual!M16</f>
        <v/>
      </c>
      <c r="Z16" s="29">
        <f>Amortizacion_Capital_Mensual!N16</f>
        <v/>
      </c>
      <c r="AA16" s="29">
        <f>Saldos_Capital_Mensual!M16</f>
        <v/>
      </c>
      <c r="AB16" s="29">
        <f>Intereses_Residual_Mensual!M16</f>
        <v/>
      </c>
      <c r="AC16" s="29">
        <f>ROUND(Y16 + AB16, 2)</f>
        <v/>
      </c>
      <c r="AD16" s="29">
        <f>Intereses_Leasing_Mensual!N16</f>
        <v/>
      </c>
      <c r="AE16" s="29">
        <f>Amortizacion_Capital_Mensual!O16</f>
        <v/>
      </c>
      <c r="AF16" s="29">
        <f>Saldos_Capital_Mensual!N16</f>
        <v/>
      </c>
      <c r="AG16" s="29">
        <f>Intereses_Residual_Mensual!N16</f>
        <v/>
      </c>
      <c r="AH16" s="29">
        <f>ROUND(AD16 + AG16, 2)</f>
        <v/>
      </c>
      <c r="AI16" s="29">
        <f>Intereses_Leasing_Mensual!O16</f>
        <v/>
      </c>
      <c r="AJ16" s="29">
        <f>Amortizacion_Capital_Mensual!P16</f>
        <v/>
      </c>
      <c r="AK16" s="29">
        <f>Saldos_Capital_Mensual!O16</f>
        <v/>
      </c>
      <c r="AL16" s="29">
        <f>Intereses_Residual_Mensual!O16</f>
        <v/>
      </c>
      <c r="AM16" s="29">
        <f>ROUND(AI16 + AL16, 2)</f>
        <v/>
      </c>
      <c r="AN16" s="29">
        <f>Intereses_Leasing_Mensual!P16</f>
        <v/>
      </c>
      <c r="AO16" s="29">
        <f>Amortizacion_Capital_Mensual!Q16</f>
        <v/>
      </c>
      <c r="AP16" s="29">
        <f>Saldos_Capital_Mensual!P16</f>
        <v/>
      </c>
      <c r="AQ16" s="29">
        <f>Intereses_Residual_Mensual!P16</f>
        <v/>
      </c>
      <c r="AR16" s="29">
        <f>ROUND(AN16 + AQ16, 2)</f>
        <v/>
      </c>
      <c r="AS16" s="29">
        <f>Intereses_Leasing_Mensual!Q16</f>
        <v/>
      </c>
      <c r="AT16" s="29">
        <f>Amortizacion_Capital_Mensual!R16</f>
        <v/>
      </c>
      <c r="AU16" s="29">
        <f>Saldos_Capital_Mensual!Q16</f>
        <v/>
      </c>
      <c r="AV16" s="29">
        <f>Intereses_Residual_Mensual!Q16</f>
        <v/>
      </c>
      <c r="AW16" s="29">
        <f>ROUND(AS16 + AV16, 2)</f>
        <v/>
      </c>
      <c r="AX16" s="29">
        <f>Intereses_Leasing_Mensual!R16</f>
        <v/>
      </c>
      <c r="AY16" s="29">
        <f>Amortizacion_Capital_Mensual!S16</f>
        <v/>
      </c>
      <c r="AZ16" s="29">
        <f>Saldos_Capital_Mensual!R16</f>
        <v/>
      </c>
      <c r="BA16" s="29">
        <f>Intereses_Residual_Mensual!R16</f>
        <v/>
      </c>
      <c r="BB16" s="29">
        <f>ROUND(AX16 + BA16, 2)</f>
        <v/>
      </c>
      <c r="BC16" s="29">
        <f>Intereses_Leasing_Mensual!S16</f>
        <v/>
      </c>
      <c r="BD16" s="29">
        <f>Amortizacion_Capital_Mensual!T16</f>
        <v/>
      </c>
      <c r="BE16" s="29">
        <f>Saldos_Capital_Mensual!S16</f>
        <v/>
      </c>
      <c r="BF16" s="29">
        <f>Intereses_Residual_Mensual!S16</f>
        <v/>
      </c>
      <c r="BG16" s="29">
        <f>ROUND(BC16 + BF16, 2)</f>
        <v/>
      </c>
      <c r="BH16" s="29">
        <f>Intereses_Leasing_Mensual!T16</f>
        <v/>
      </c>
      <c r="BI16" s="29">
        <f>Amortizacion_Capital_Mensual!U16</f>
        <v/>
      </c>
      <c r="BJ16" s="29">
        <f>Saldos_Capital_Mensual!T16</f>
        <v/>
      </c>
      <c r="BK16" s="29">
        <f>Intereses_Residual_Mensual!T16</f>
        <v/>
      </c>
      <c r="BL16" s="29">
        <f>ROUND(BH16 + BK16, 2)</f>
        <v/>
      </c>
    </row>
    <row r="17">
      <c r="A17" s="20" t="inlineStr">
        <is>
          <t>0524-0013</t>
        </is>
      </c>
      <c r="B17" s="21" t="inlineStr">
        <is>
          <t>Lider En Derecho De Via y Construcción SA DE CV</t>
        </is>
      </c>
      <c r="C17" s="21" t="inlineStr">
        <is>
          <t>L200 GLX</t>
        </is>
      </c>
      <c r="D17" s="22" t="n">
        <v>36</v>
      </c>
      <c r="E17" s="23">
        <f>Intereses_Leasing_Mensual!I17</f>
        <v/>
      </c>
      <c r="F17" s="23">
        <f>Amortizacion_Capital_Mensual!J17</f>
        <v/>
      </c>
      <c r="G17" s="23">
        <f>Saldos_Capital_Mensual!I17</f>
        <v/>
      </c>
      <c r="H17" s="23">
        <f>Intereses_Residual_Mensual!I17</f>
        <v/>
      </c>
      <c r="I17" s="23">
        <f>ROUND(E17 + H17, 2)</f>
        <v/>
      </c>
      <c r="J17" s="23">
        <f>Intereses_Leasing_Mensual!J17</f>
        <v/>
      </c>
      <c r="K17" s="23">
        <f>Amortizacion_Capital_Mensual!K17</f>
        <v/>
      </c>
      <c r="L17" s="23">
        <f>Saldos_Capital_Mensual!J17</f>
        <v/>
      </c>
      <c r="M17" s="23">
        <f>Intereses_Residual_Mensual!J17</f>
        <v/>
      </c>
      <c r="N17" s="23">
        <f>ROUND(J17 + M17, 2)</f>
        <v/>
      </c>
      <c r="O17" s="23">
        <f>Intereses_Leasing_Mensual!K17</f>
        <v/>
      </c>
      <c r="P17" s="23">
        <f>Amortizacion_Capital_Mensual!L17</f>
        <v/>
      </c>
      <c r="Q17" s="23">
        <f>Saldos_Capital_Mensual!K17</f>
        <v/>
      </c>
      <c r="R17" s="23">
        <f>Intereses_Residual_Mensual!K17</f>
        <v/>
      </c>
      <c r="S17" s="23">
        <f>ROUND(O17 + R17, 2)</f>
        <v/>
      </c>
      <c r="T17" s="23">
        <f>Intereses_Leasing_Mensual!L17</f>
        <v/>
      </c>
      <c r="U17" s="23">
        <f>Amortizacion_Capital_Mensual!M17</f>
        <v/>
      </c>
      <c r="V17" s="23">
        <f>Saldos_Capital_Mensual!L17</f>
        <v/>
      </c>
      <c r="W17" s="23">
        <f>Intereses_Residual_Mensual!L17</f>
        <v/>
      </c>
      <c r="X17" s="23">
        <f>ROUND(T17 + W17, 2)</f>
        <v/>
      </c>
      <c r="Y17" s="23">
        <f>Intereses_Leasing_Mensual!M17</f>
        <v/>
      </c>
      <c r="Z17" s="23">
        <f>Amortizacion_Capital_Mensual!N17</f>
        <v/>
      </c>
      <c r="AA17" s="23">
        <f>Saldos_Capital_Mensual!M17</f>
        <v/>
      </c>
      <c r="AB17" s="23">
        <f>Intereses_Residual_Mensual!M17</f>
        <v/>
      </c>
      <c r="AC17" s="23">
        <f>ROUND(Y17 + AB17, 2)</f>
        <v/>
      </c>
      <c r="AD17" s="23">
        <f>Intereses_Leasing_Mensual!N17</f>
        <v/>
      </c>
      <c r="AE17" s="23">
        <f>Amortizacion_Capital_Mensual!O17</f>
        <v/>
      </c>
      <c r="AF17" s="23">
        <f>Saldos_Capital_Mensual!N17</f>
        <v/>
      </c>
      <c r="AG17" s="23">
        <f>Intereses_Residual_Mensual!N17</f>
        <v/>
      </c>
      <c r="AH17" s="23">
        <f>ROUND(AD17 + AG17, 2)</f>
        <v/>
      </c>
      <c r="AI17" s="23">
        <f>Intereses_Leasing_Mensual!O17</f>
        <v/>
      </c>
      <c r="AJ17" s="23">
        <f>Amortizacion_Capital_Mensual!P17</f>
        <v/>
      </c>
      <c r="AK17" s="23">
        <f>Saldos_Capital_Mensual!O17</f>
        <v/>
      </c>
      <c r="AL17" s="23">
        <f>Intereses_Residual_Mensual!O17</f>
        <v/>
      </c>
      <c r="AM17" s="23">
        <f>ROUND(AI17 + AL17, 2)</f>
        <v/>
      </c>
      <c r="AN17" s="23">
        <f>Intereses_Leasing_Mensual!P17</f>
        <v/>
      </c>
      <c r="AO17" s="23">
        <f>Amortizacion_Capital_Mensual!Q17</f>
        <v/>
      </c>
      <c r="AP17" s="23">
        <f>Saldos_Capital_Mensual!P17</f>
        <v/>
      </c>
      <c r="AQ17" s="23">
        <f>Intereses_Residual_Mensual!P17</f>
        <v/>
      </c>
      <c r="AR17" s="23">
        <f>ROUND(AN17 + AQ17, 2)</f>
        <v/>
      </c>
      <c r="AS17" s="23">
        <f>Intereses_Leasing_Mensual!Q17</f>
        <v/>
      </c>
      <c r="AT17" s="23">
        <f>Amortizacion_Capital_Mensual!R17</f>
        <v/>
      </c>
      <c r="AU17" s="23">
        <f>Saldos_Capital_Mensual!Q17</f>
        <v/>
      </c>
      <c r="AV17" s="23">
        <f>Intereses_Residual_Mensual!Q17</f>
        <v/>
      </c>
      <c r="AW17" s="23">
        <f>ROUND(AS17 + AV17, 2)</f>
        <v/>
      </c>
      <c r="AX17" s="23">
        <f>Intereses_Leasing_Mensual!R17</f>
        <v/>
      </c>
      <c r="AY17" s="23">
        <f>Amortizacion_Capital_Mensual!S17</f>
        <v/>
      </c>
      <c r="AZ17" s="23">
        <f>Saldos_Capital_Mensual!R17</f>
        <v/>
      </c>
      <c r="BA17" s="23">
        <f>Intereses_Residual_Mensual!R17</f>
        <v/>
      </c>
      <c r="BB17" s="23">
        <f>ROUND(AX17 + BA17, 2)</f>
        <v/>
      </c>
      <c r="BC17" s="23">
        <f>Intereses_Leasing_Mensual!S17</f>
        <v/>
      </c>
      <c r="BD17" s="23">
        <f>Amortizacion_Capital_Mensual!T17</f>
        <v/>
      </c>
      <c r="BE17" s="23">
        <f>Saldos_Capital_Mensual!S17</f>
        <v/>
      </c>
      <c r="BF17" s="23">
        <f>Intereses_Residual_Mensual!S17</f>
        <v/>
      </c>
      <c r="BG17" s="23">
        <f>ROUND(BC17 + BF17, 2)</f>
        <v/>
      </c>
      <c r="BH17" s="23">
        <f>Intereses_Leasing_Mensual!T17</f>
        <v/>
      </c>
      <c r="BI17" s="23">
        <f>Amortizacion_Capital_Mensual!U17</f>
        <v/>
      </c>
      <c r="BJ17" s="23">
        <f>Saldos_Capital_Mensual!T17</f>
        <v/>
      </c>
      <c r="BK17" s="23">
        <f>Intereses_Residual_Mensual!T17</f>
        <v/>
      </c>
      <c r="BL17" s="23">
        <f>ROUND(BH17 + BK17, 2)</f>
        <v/>
      </c>
    </row>
    <row r="18">
      <c r="A18" s="26" t="inlineStr">
        <is>
          <t>0524-0014</t>
        </is>
      </c>
      <c r="B18" s="27" t="inlineStr">
        <is>
          <t>Lider En Derecho De Via y Construcción SA DE CV</t>
        </is>
      </c>
      <c r="C18" s="27" t="inlineStr">
        <is>
          <t>L200 GLX</t>
        </is>
      </c>
      <c r="D18" s="28" t="n">
        <v>36</v>
      </c>
      <c r="E18" s="29">
        <f>Intereses_Leasing_Mensual!I18</f>
        <v/>
      </c>
      <c r="F18" s="29">
        <f>Amortizacion_Capital_Mensual!J18</f>
        <v/>
      </c>
      <c r="G18" s="29">
        <f>Saldos_Capital_Mensual!I18</f>
        <v/>
      </c>
      <c r="H18" s="29">
        <f>Intereses_Residual_Mensual!I18</f>
        <v/>
      </c>
      <c r="I18" s="29">
        <f>ROUND(E18 + H18, 2)</f>
        <v/>
      </c>
      <c r="J18" s="29">
        <f>Intereses_Leasing_Mensual!J18</f>
        <v/>
      </c>
      <c r="K18" s="29">
        <f>Amortizacion_Capital_Mensual!K18</f>
        <v/>
      </c>
      <c r="L18" s="29">
        <f>Saldos_Capital_Mensual!J18</f>
        <v/>
      </c>
      <c r="M18" s="29">
        <f>Intereses_Residual_Mensual!J18</f>
        <v/>
      </c>
      <c r="N18" s="29">
        <f>ROUND(J18 + M18, 2)</f>
        <v/>
      </c>
      <c r="O18" s="29">
        <f>Intereses_Leasing_Mensual!K18</f>
        <v/>
      </c>
      <c r="P18" s="29">
        <f>Amortizacion_Capital_Mensual!L18</f>
        <v/>
      </c>
      <c r="Q18" s="29">
        <f>Saldos_Capital_Mensual!K18</f>
        <v/>
      </c>
      <c r="R18" s="29">
        <f>Intereses_Residual_Mensual!K18</f>
        <v/>
      </c>
      <c r="S18" s="29">
        <f>ROUND(O18 + R18, 2)</f>
        <v/>
      </c>
      <c r="T18" s="29">
        <f>Intereses_Leasing_Mensual!L18</f>
        <v/>
      </c>
      <c r="U18" s="29">
        <f>Amortizacion_Capital_Mensual!M18</f>
        <v/>
      </c>
      <c r="V18" s="29">
        <f>Saldos_Capital_Mensual!L18</f>
        <v/>
      </c>
      <c r="W18" s="29">
        <f>Intereses_Residual_Mensual!L18</f>
        <v/>
      </c>
      <c r="X18" s="29">
        <f>ROUND(T18 + W18, 2)</f>
        <v/>
      </c>
      <c r="Y18" s="29">
        <f>Intereses_Leasing_Mensual!M18</f>
        <v/>
      </c>
      <c r="Z18" s="29">
        <f>Amortizacion_Capital_Mensual!N18</f>
        <v/>
      </c>
      <c r="AA18" s="29">
        <f>Saldos_Capital_Mensual!M18</f>
        <v/>
      </c>
      <c r="AB18" s="29">
        <f>Intereses_Residual_Mensual!M18</f>
        <v/>
      </c>
      <c r="AC18" s="29">
        <f>ROUND(Y18 + AB18, 2)</f>
        <v/>
      </c>
      <c r="AD18" s="29">
        <f>Intereses_Leasing_Mensual!N18</f>
        <v/>
      </c>
      <c r="AE18" s="29">
        <f>Amortizacion_Capital_Mensual!O18</f>
        <v/>
      </c>
      <c r="AF18" s="29">
        <f>Saldos_Capital_Mensual!N18</f>
        <v/>
      </c>
      <c r="AG18" s="29">
        <f>Intereses_Residual_Mensual!N18</f>
        <v/>
      </c>
      <c r="AH18" s="29">
        <f>ROUND(AD18 + AG18, 2)</f>
        <v/>
      </c>
      <c r="AI18" s="29">
        <f>Intereses_Leasing_Mensual!O18</f>
        <v/>
      </c>
      <c r="AJ18" s="29">
        <f>Amortizacion_Capital_Mensual!P18</f>
        <v/>
      </c>
      <c r="AK18" s="29">
        <f>Saldos_Capital_Mensual!O18</f>
        <v/>
      </c>
      <c r="AL18" s="29">
        <f>Intereses_Residual_Mensual!O18</f>
        <v/>
      </c>
      <c r="AM18" s="29">
        <f>ROUND(AI18 + AL18, 2)</f>
        <v/>
      </c>
      <c r="AN18" s="29">
        <f>Intereses_Leasing_Mensual!P18</f>
        <v/>
      </c>
      <c r="AO18" s="29">
        <f>Amortizacion_Capital_Mensual!Q18</f>
        <v/>
      </c>
      <c r="AP18" s="29">
        <f>Saldos_Capital_Mensual!P18</f>
        <v/>
      </c>
      <c r="AQ18" s="29">
        <f>Intereses_Residual_Mensual!P18</f>
        <v/>
      </c>
      <c r="AR18" s="29">
        <f>ROUND(AN18 + AQ18, 2)</f>
        <v/>
      </c>
      <c r="AS18" s="29">
        <f>Intereses_Leasing_Mensual!Q18</f>
        <v/>
      </c>
      <c r="AT18" s="29">
        <f>Amortizacion_Capital_Mensual!R18</f>
        <v/>
      </c>
      <c r="AU18" s="29">
        <f>Saldos_Capital_Mensual!Q18</f>
        <v/>
      </c>
      <c r="AV18" s="29">
        <f>Intereses_Residual_Mensual!Q18</f>
        <v/>
      </c>
      <c r="AW18" s="29">
        <f>ROUND(AS18 + AV18, 2)</f>
        <v/>
      </c>
      <c r="AX18" s="29">
        <f>Intereses_Leasing_Mensual!R18</f>
        <v/>
      </c>
      <c r="AY18" s="29">
        <f>Amortizacion_Capital_Mensual!S18</f>
        <v/>
      </c>
      <c r="AZ18" s="29">
        <f>Saldos_Capital_Mensual!R18</f>
        <v/>
      </c>
      <c r="BA18" s="29">
        <f>Intereses_Residual_Mensual!R18</f>
        <v/>
      </c>
      <c r="BB18" s="29">
        <f>ROUND(AX18 + BA18, 2)</f>
        <v/>
      </c>
      <c r="BC18" s="29">
        <f>Intereses_Leasing_Mensual!S18</f>
        <v/>
      </c>
      <c r="BD18" s="29">
        <f>Amortizacion_Capital_Mensual!T18</f>
        <v/>
      </c>
      <c r="BE18" s="29">
        <f>Saldos_Capital_Mensual!S18</f>
        <v/>
      </c>
      <c r="BF18" s="29">
        <f>Intereses_Residual_Mensual!S18</f>
        <v/>
      </c>
      <c r="BG18" s="29">
        <f>ROUND(BC18 + BF18, 2)</f>
        <v/>
      </c>
      <c r="BH18" s="29">
        <f>Intereses_Leasing_Mensual!T18</f>
        <v/>
      </c>
      <c r="BI18" s="29">
        <f>Amortizacion_Capital_Mensual!U18</f>
        <v/>
      </c>
      <c r="BJ18" s="29">
        <f>Saldos_Capital_Mensual!T18</f>
        <v/>
      </c>
      <c r="BK18" s="29">
        <f>Intereses_Residual_Mensual!T18</f>
        <v/>
      </c>
      <c r="BL18" s="29">
        <f>ROUND(BH18 + BK18, 2)</f>
        <v/>
      </c>
    </row>
    <row r="19">
      <c r="A19" s="20" t="inlineStr">
        <is>
          <t>0524-0015</t>
        </is>
      </c>
      <c r="B19" s="21" t="inlineStr">
        <is>
          <t>Lider En Derecho De Via y Construcción SA DE CV</t>
        </is>
      </c>
      <c r="C19" s="21" t="inlineStr">
        <is>
          <t>Mitsubishi L200 GLX 2026</t>
        </is>
      </c>
      <c r="D19" s="22" t="n">
        <v>36</v>
      </c>
      <c r="E19" s="23">
        <f>Intereses_Leasing_Mensual!I19</f>
        <v/>
      </c>
      <c r="F19" s="23">
        <f>Amortizacion_Capital_Mensual!J19</f>
        <v/>
      </c>
      <c r="G19" s="23">
        <f>Saldos_Capital_Mensual!I19</f>
        <v/>
      </c>
      <c r="H19" s="23">
        <f>Intereses_Residual_Mensual!I19</f>
        <v/>
      </c>
      <c r="I19" s="23">
        <f>ROUND(E19 + H19, 2)</f>
        <v/>
      </c>
      <c r="J19" s="23">
        <f>Intereses_Leasing_Mensual!J19</f>
        <v/>
      </c>
      <c r="K19" s="23">
        <f>Amortizacion_Capital_Mensual!K19</f>
        <v/>
      </c>
      <c r="L19" s="23">
        <f>Saldos_Capital_Mensual!J19</f>
        <v/>
      </c>
      <c r="M19" s="23">
        <f>Intereses_Residual_Mensual!J19</f>
        <v/>
      </c>
      <c r="N19" s="23">
        <f>ROUND(J19 + M19, 2)</f>
        <v/>
      </c>
      <c r="O19" s="23">
        <f>Intereses_Leasing_Mensual!K19</f>
        <v/>
      </c>
      <c r="P19" s="23">
        <f>Amortizacion_Capital_Mensual!L19</f>
        <v/>
      </c>
      <c r="Q19" s="23">
        <f>Saldos_Capital_Mensual!K19</f>
        <v/>
      </c>
      <c r="R19" s="23">
        <f>Intereses_Residual_Mensual!K19</f>
        <v/>
      </c>
      <c r="S19" s="23">
        <f>ROUND(O19 + R19, 2)</f>
        <v/>
      </c>
      <c r="T19" s="23">
        <f>Intereses_Leasing_Mensual!L19</f>
        <v/>
      </c>
      <c r="U19" s="23">
        <f>Amortizacion_Capital_Mensual!M19</f>
        <v/>
      </c>
      <c r="V19" s="23">
        <f>Saldos_Capital_Mensual!L19</f>
        <v/>
      </c>
      <c r="W19" s="23">
        <f>Intereses_Residual_Mensual!L19</f>
        <v/>
      </c>
      <c r="X19" s="23">
        <f>ROUND(T19 + W19, 2)</f>
        <v/>
      </c>
      <c r="Y19" s="23">
        <f>Intereses_Leasing_Mensual!M19</f>
        <v/>
      </c>
      <c r="Z19" s="23">
        <f>Amortizacion_Capital_Mensual!N19</f>
        <v/>
      </c>
      <c r="AA19" s="23">
        <f>Saldos_Capital_Mensual!M19</f>
        <v/>
      </c>
      <c r="AB19" s="23">
        <f>Intereses_Residual_Mensual!M19</f>
        <v/>
      </c>
      <c r="AC19" s="23">
        <f>ROUND(Y19 + AB19, 2)</f>
        <v/>
      </c>
      <c r="AD19" s="23">
        <f>Intereses_Leasing_Mensual!N19</f>
        <v/>
      </c>
      <c r="AE19" s="23">
        <f>Amortizacion_Capital_Mensual!O19</f>
        <v/>
      </c>
      <c r="AF19" s="23">
        <f>Saldos_Capital_Mensual!N19</f>
        <v/>
      </c>
      <c r="AG19" s="23">
        <f>Intereses_Residual_Mensual!N19</f>
        <v/>
      </c>
      <c r="AH19" s="23">
        <f>ROUND(AD19 + AG19, 2)</f>
        <v/>
      </c>
      <c r="AI19" s="23">
        <f>Intereses_Leasing_Mensual!O19</f>
        <v/>
      </c>
      <c r="AJ19" s="23">
        <f>Amortizacion_Capital_Mensual!P19</f>
        <v/>
      </c>
      <c r="AK19" s="23">
        <f>Saldos_Capital_Mensual!O19</f>
        <v/>
      </c>
      <c r="AL19" s="23">
        <f>Intereses_Residual_Mensual!O19</f>
        <v/>
      </c>
      <c r="AM19" s="23">
        <f>ROUND(AI19 + AL19, 2)</f>
        <v/>
      </c>
      <c r="AN19" s="23">
        <f>Intereses_Leasing_Mensual!P19</f>
        <v/>
      </c>
      <c r="AO19" s="23">
        <f>Amortizacion_Capital_Mensual!Q19</f>
        <v/>
      </c>
      <c r="AP19" s="23">
        <f>Saldos_Capital_Mensual!P19</f>
        <v/>
      </c>
      <c r="AQ19" s="23">
        <f>Intereses_Residual_Mensual!P19</f>
        <v/>
      </c>
      <c r="AR19" s="23">
        <f>ROUND(AN19 + AQ19, 2)</f>
        <v/>
      </c>
      <c r="AS19" s="23">
        <f>Intereses_Leasing_Mensual!Q19</f>
        <v/>
      </c>
      <c r="AT19" s="23">
        <f>Amortizacion_Capital_Mensual!R19</f>
        <v/>
      </c>
      <c r="AU19" s="23">
        <f>Saldos_Capital_Mensual!Q19</f>
        <v/>
      </c>
      <c r="AV19" s="23">
        <f>Intereses_Residual_Mensual!Q19</f>
        <v/>
      </c>
      <c r="AW19" s="23">
        <f>ROUND(AS19 + AV19, 2)</f>
        <v/>
      </c>
      <c r="AX19" s="23">
        <f>Intereses_Leasing_Mensual!R19</f>
        <v/>
      </c>
      <c r="AY19" s="23">
        <f>Amortizacion_Capital_Mensual!S19</f>
        <v/>
      </c>
      <c r="AZ19" s="23">
        <f>Saldos_Capital_Mensual!R19</f>
        <v/>
      </c>
      <c r="BA19" s="23">
        <f>Intereses_Residual_Mensual!R19</f>
        <v/>
      </c>
      <c r="BB19" s="23">
        <f>ROUND(AX19 + BA19, 2)</f>
        <v/>
      </c>
      <c r="BC19" s="23">
        <f>Intereses_Leasing_Mensual!S19</f>
        <v/>
      </c>
      <c r="BD19" s="23">
        <f>Amortizacion_Capital_Mensual!T19</f>
        <v/>
      </c>
      <c r="BE19" s="23">
        <f>Saldos_Capital_Mensual!S19</f>
        <v/>
      </c>
      <c r="BF19" s="23">
        <f>Intereses_Residual_Mensual!S19</f>
        <v/>
      </c>
      <c r="BG19" s="23">
        <f>ROUND(BC19 + BF19, 2)</f>
        <v/>
      </c>
      <c r="BH19" s="23">
        <f>Intereses_Leasing_Mensual!T19</f>
        <v/>
      </c>
      <c r="BI19" s="23">
        <f>Amortizacion_Capital_Mensual!U19</f>
        <v/>
      </c>
      <c r="BJ19" s="23">
        <f>Saldos_Capital_Mensual!T19</f>
        <v/>
      </c>
      <c r="BK19" s="23">
        <f>Intereses_Residual_Mensual!T19</f>
        <v/>
      </c>
      <c r="BL19" s="23">
        <f>ROUND(BH19 + BK19, 2)</f>
        <v/>
      </c>
    </row>
    <row r="20">
      <c r="A20" s="26" t="inlineStr">
        <is>
          <t>0524-0016</t>
        </is>
      </c>
      <c r="B20" s="27" t="inlineStr">
        <is>
          <t>Lider En Derecho De Via y Construcción SA DE CV</t>
        </is>
      </c>
      <c r="C20" s="27" t="inlineStr">
        <is>
          <t>Mitsubishi L200 GLX 2026</t>
        </is>
      </c>
      <c r="D20" s="28" t="n">
        <v>36</v>
      </c>
      <c r="E20" s="29">
        <f>Intereses_Leasing_Mensual!I20</f>
        <v/>
      </c>
      <c r="F20" s="29">
        <f>Amortizacion_Capital_Mensual!J20</f>
        <v/>
      </c>
      <c r="G20" s="29">
        <f>Saldos_Capital_Mensual!I20</f>
        <v/>
      </c>
      <c r="H20" s="29">
        <f>Intereses_Residual_Mensual!I20</f>
        <v/>
      </c>
      <c r="I20" s="29">
        <f>ROUND(E20 + H20, 2)</f>
        <v/>
      </c>
      <c r="J20" s="29">
        <f>Intereses_Leasing_Mensual!J20</f>
        <v/>
      </c>
      <c r="K20" s="29">
        <f>Amortizacion_Capital_Mensual!K20</f>
        <v/>
      </c>
      <c r="L20" s="29">
        <f>Saldos_Capital_Mensual!J20</f>
        <v/>
      </c>
      <c r="M20" s="29">
        <f>Intereses_Residual_Mensual!J20</f>
        <v/>
      </c>
      <c r="N20" s="29">
        <f>ROUND(J20 + M20, 2)</f>
        <v/>
      </c>
      <c r="O20" s="29">
        <f>Intereses_Leasing_Mensual!K20</f>
        <v/>
      </c>
      <c r="P20" s="29">
        <f>Amortizacion_Capital_Mensual!L20</f>
        <v/>
      </c>
      <c r="Q20" s="29">
        <f>Saldos_Capital_Mensual!K20</f>
        <v/>
      </c>
      <c r="R20" s="29">
        <f>Intereses_Residual_Mensual!K20</f>
        <v/>
      </c>
      <c r="S20" s="29">
        <f>ROUND(O20 + R20, 2)</f>
        <v/>
      </c>
      <c r="T20" s="29">
        <f>Intereses_Leasing_Mensual!L20</f>
        <v/>
      </c>
      <c r="U20" s="29">
        <f>Amortizacion_Capital_Mensual!M20</f>
        <v/>
      </c>
      <c r="V20" s="29">
        <f>Saldos_Capital_Mensual!L20</f>
        <v/>
      </c>
      <c r="W20" s="29">
        <f>Intereses_Residual_Mensual!L20</f>
        <v/>
      </c>
      <c r="X20" s="29">
        <f>ROUND(T20 + W20, 2)</f>
        <v/>
      </c>
      <c r="Y20" s="29">
        <f>Intereses_Leasing_Mensual!M20</f>
        <v/>
      </c>
      <c r="Z20" s="29">
        <f>Amortizacion_Capital_Mensual!N20</f>
        <v/>
      </c>
      <c r="AA20" s="29">
        <f>Saldos_Capital_Mensual!M20</f>
        <v/>
      </c>
      <c r="AB20" s="29">
        <f>Intereses_Residual_Mensual!M20</f>
        <v/>
      </c>
      <c r="AC20" s="29">
        <f>ROUND(Y20 + AB20, 2)</f>
        <v/>
      </c>
      <c r="AD20" s="29">
        <f>Intereses_Leasing_Mensual!N20</f>
        <v/>
      </c>
      <c r="AE20" s="29">
        <f>Amortizacion_Capital_Mensual!O20</f>
        <v/>
      </c>
      <c r="AF20" s="29">
        <f>Saldos_Capital_Mensual!N20</f>
        <v/>
      </c>
      <c r="AG20" s="29">
        <f>Intereses_Residual_Mensual!N20</f>
        <v/>
      </c>
      <c r="AH20" s="29">
        <f>ROUND(AD20 + AG20, 2)</f>
        <v/>
      </c>
      <c r="AI20" s="29">
        <f>Intereses_Leasing_Mensual!O20</f>
        <v/>
      </c>
      <c r="AJ20" s="29">
        <f>Amortizacion_Capital_Mensual!P20</f>
        <v/>
      </c>
      <c r="AK20" s="29">
        <f>Saldos_Capital_Mensual!O20</f>
        <v/>
      </c>
      <c r="AL20" s="29">
        <f>Intereses_Residual_Mensual!O20</f>
        <v/>
      </c>
      <c r="AM20" s="29">
        <f>ROUND(AI20 + AL20, 2)</f>
        <v/>
      </c>
      <c r="AN20" s="29">
        <f>Intereses_Leasing_Mensual!P20</f>
        <v/>
      </c>
      <c r="AO20" s="29">
        <f>Amortizacion_Capital_Mensual!Q20</f>
        <v/>
      </c>
      <c r="AP20" s="29">
        <f>Saldos_Capital_Mensual!P20</f>
        <v/>
      </c>
      <c r="AQ20" s="29">
        <f>Intereses_Residual_Mensual!P20</f>
        <v/>
      </c>
      <c r="AR20" s="29">
        <f>ROUND(AN20 + AQ20, 2)</f>
        <v/>
      </c>
      <c r="AS20" s="29">
        <f>Intereses_Leasing_Mensual!Q20</f>
        <v/>
      </c>
      <c r="AT20" s="29">
        <f>Amortizacion_Capital_Mensual!R20</f>
        <v/>
      </c>
      <c r="AU20" s="29">
        <f>Saldos_Capital_Mensual!Q20</f>
        <v/>
      </c>
      <c r="AV20" s="29">
        <f>Intereses_Residual_Mensual!Q20</f>
        <v/>
      </c>
      <c r="AW20" s="29">
        <f>ROUND(AS20 + AV20, 2)</f>
        <v/>
      </c>
      <c r="AX20" s="29">
        <f>Intereses_Leasing_Mensual!R20</f>
        <v/>
      </c>
      <c r="AY20" s="29">
        <f>Amortizacion_Capital_Mensual!S20</f>
        <v/>
      </c>
      <c r="AZ20" s="29">
        <f>Saldos_Capital_Mensual!R20</f>
        <v/>
      </c>
      <c r="BA20" s="29">
        <f>Intereses_Residual_Mensual!R20</f>
        <v/>
      </c>
      <c r="BB20" s="29">
        <f>ROUND(AX20 + BA20, 2)</f>
        <v/>
      </c>
      <c r="BC20" s="29">
        <f>Intereses_Leasing_Mensual!S20</f>
        <v/>
      </c>
      <c r="BD20" s="29">
        <f>Amortizacion_Capital_Mensual!T20</f>
        <v/>
      </c>
      <c r="BE20" s="29">
        <f>Saldos_Capital_Mensual!S20</f>
        <v/>
      </c>
      <c r="BF20" s="29">
        <f>Intereses_Residual_Mensual!S20</f>
        <v/>
      </c>
      <c r="BG20" s="29">
        <f>ROUND(BC20 + BF20, 2)</f>
        <v/>
      </c>
      <c r="BH20" s="29">
        <f>Intereses_Leasing_Mensual!T20</f>
        <v/>
      </c>
      <c r="BI20" s="29">
        <f>Amortizacion_Capital_Mensual!U20</f>
        <v/>
      </c>
      <c r="BJ20" s="29">
        <f>Saldos_Capital_Mensual!T20</f>
        <v/>
      </c>
      <c r="BK20" s="29">
        <f>Intereses_Residual_Mensual!T20</f>
        <v/>
      </c>
      <c r="BL20" s="29">
        <f>ROUND(BH20 + BK20, 2)</f>
        <v/>
      </c>
    </row>
    <row r="21">
      <c r="A21" s="20" t="inlineStr">
        <is>
          <t>0527-0003</t>
        </is>
      </c>
      <c r="B21" s="21" t="inlineStr">
        <is>
          <t>Comercilizadora e Importadora Nabega Sa de Cv</t>
        </is>
      </c>
      <c r="C21" s="21" t="inlineStr">
        <is>
          <t>RAM 700 Big Horn CVT</t>
        </is>
      </c>
      <c r="D21" s="22" t="n">
        <v>36</v>
      </c>
      <c r="E21" s="23">
        <f>Intereses_Leasing_Mensual!I21</f>
        <v/>
      </c>
      <c r="F21" s="23">
        <f>Amortizacion_Capital_Mensual!J21</f>
        <v/>
      </c>
      <c r="G21" s="23">
        <f>Saldos_Capital_Mensual!I21</f>
        <v/>
      </c>
      <c r="H21" s="23">
        <f>Intereses_Residual_Mensual!I21</f>
        <v/>
      </c>
      <c r="I21" s="23">
        <f>ROUND(E21 + H21, 2)</f>
        <v/>
      </c>
      <c r="J21" s="23">
        <f>Intereses_Leasing_Mensual!J21</f>
        <v/>
      </c>
      <c r="K21" s="23">
        <f>Amortizacion_Capital_Mensual!K21</f>
        <v/>
      </c>
      <c r="L21" s="23">
        <f>Saldos_Capital_Mensual!J21</f>
        <v/>
      </c>
      <c r="M21" s="23">
        <f>Intereses_Residual_Mensual!J21</f>
        <v/>
      </c>
      <c r="N21" s="23">
        <f>ROUND(J21 + M21, 2)</f>
        <v/>
      </c>
      <c r="O21" s="23">
        <f>Intereses_Leasing_Mensual!K21</f>
        <v/>
      </c>
      <c r="P21" s="23">
        <f>Amortizacion_Capital_Mensual!L21</f>
        <v/>
      </c>
      <c r="Q21" s="23">
        <f>Saldos_Capital_Mensual!K21</f>
        <v/>
      </c>
      <c r="R21" s="23">
        <f>Intereses_Residual_Mensual!K21</f>
        <v/>
      </c>
      <c r="S21" s="23">
        <f>ROUND(O21 + R21, 2)</f>
        <v/>
      </c>
      <c r="T21" s="23">
        <f>Intereses_Leasing_Mensual!L21</f>
        <v/>
      </c>
      <c r="U21" s="23">
        <f>Amortizacion_Capital_Mensual!M21</f>
        <v/>
      </c>
      <c r="V21" s="23">
        <f>Saldos_Capital_Mensual!L21</f>
        <v/>
      </c>
      <c r="W21" s="23">
        <f>Intereses_Residual_Mensual!L21</f>
        <v/>
      </c>
      <c r="X21" s="23">
        <f>ROUND(T21 + W21, 2)</f>
        <v/>
      </c>
      <c r="Y21" s="23">
        <f>Intereses_Leasing_Mensual!M21</f>
        <v/>
      </c>
      <c r="Z21" s="23">
        <f>Amortizacion_Capital_Mensual!N21</f>
        <v/>
      </c>
      <c r="AA21" s="23">
        <f>Saldos_Capital_Mensual!M21</f>
        <v/>
      </c>
      <c r="AB21" s="23">
        <f>Intereses_Residual_Mensual!M21</f>
        <v/>
      </c>
      <c r="AC21" s="23">
        <f>ROUND(Y21 + AB21, 2)</f>
        <v/>
      </c>
      <c r="AD21" s="23">
        <f>Intereses_Leasing_Mensual!N21</f>
        <v/>
      </c>
      <c r="AE21" s="23">
        <f>Amortizacion_Capital_Mensual!O21</f>
        <v/>
      </c>
      <c r="AF21" s="23">
        <f>Saldos_Capital_Mensual!N21</f>
        <v/>
      </c>
      <c r="AG21" s="23">
        <f>Intereses_Residual_Mensual!N21</f>
        <v/>
      </c>
      <c r="AH21" s="23">
        <f>ROUND(AD21 + AG21, 2)</f>
        <v/>
      </c>
      <c r="AI21" s="23">
        <f>Intereses_Leasing_Mensual!O21</f>
        <v/>
      </c>
      <c r="AJ21" s="23">
        <f>Amortizacion_Capital_Mensual!P21</f>
        <v/>
      </c>
      <c r="AK21" s="23">
        <f>Saldos_Capital_Mensual!O21</f>
        <v/>
      </c>
      <c r="AL21" s="23">
        <f>Intereses_Residual_Mensual!O21</f>
        <v/>
      </c>
      <c r="AM21" s="23">
        <f>ROUND(AI21 + AL21, 2)</f>
        <v/>
      </c>
      <c r="AN21" s="23">
        <f>Intereses_Leasing_Mensual!P21</f>
        <v/>
      </c>
      <c r="AO21" s="23">
        <f>Amortizacion_Capital_Mensual!Q21</f>
        <v/>
      </c>
      <c r="AP21" s="23">
        <f>Saldos_Capital_Mensual!P21</f>
        <v/>
      </c>
      <c r="AQ21" s="23">
        <f>Intereses_Residual_Mensual!P21</f>
        <v/>
      </c>
      <c r="AR21" s="23">
        <f>ROUND(AN21 + AQ21, 2)</f>
        <v/>
      </c>
      <c r="AS21" s="23">
        <f>Intereses_Leasing_Mensual!Q21</f>
        <v/>
      </c>
      <c r="AT21" s="23">
        <f>Amortizacion_Capital_Mensual!R21</f>
        <v/>
      </c>
      <c r="AU21" s="23">
        <f>Saldos_Capital_Mensual!Q21</f>
        <v/>
      </c>
      <c r="AV21" s="23">
        <f>Intereses_Residual_Mensual!Q21</f>
        <v/>
      </c>
      <c r="AW21" s="23">
        <f>ROUND(AS21 + AV21, 2)</f>
        <v/>
      </c>
      <c r="AX21" s="23">
        <f>Intereses_Leasing_Mensual!R21</f>
        <v/>
      </c>
      <c r="AY21" s="23">
        <f>Amortizacion_Capital_Mensual!S21</f>
        <v/>
      </c>
      <c r="AZ21" s="23">
        <f>Saldos_Capital_Mensual!R21</f>
        <v/>
      </c>
      <c r="BA21" s="23">
        <f>Intereses_Residual_Mensual!R21</f>
        <v/>
      </c>
      <c r="BB21" s="23">
        <f>ROUND(AX21 + BA21, 2)</f>
        <v/>
      </c>
      <c r="BC21" s="23">
        <f>Intereses_Leasing_Mensual!S21</f>
        <v/>
      </c>
      <c r="BD21" s="23">
        <f>Amortizacion_Capital_Mensual!T21</f>
        <v/>
      </c>
      <c r="BE21" s="23">
        <f>Saldos_Capital_Mensual!S21</f>
        <v/>
      </c>
      <c r="BF21" s="23">
        <f>Intereses_Residual_Mensual!S21</f>
        <v/>
      </c>
      <c r="BG21" s="23">
        <f>ROUND(BC21 + BF21, 2)</f>
        <v/>
      </c>
      <c r="BH21" s="23">
        <f>Intereses_Leasing_Mensual!T21</f>
        <v/>
      </c>
      <c r="BI21" s="23">
        <f>Amortizacion_Capital_Mensual!U21</f>
        <v/>
      </c>
      <c r="BJ21" s="23">
        <f>Saldos_Capital_Mensual!T21</f>
        <v/>
      </c>
      <c r="BK21" s="23">
        <f>Intereses_Residual_Mensual!T21</f>
        <v/>
      </c>
      <c r="BL21" s="23">
        <f>ROUND(BH21 + BK21, 2)</f>
        <v/>
      </c>
    </row>
    <row r="22">
      <c r="A22" s="26" t="inlineStr">
        <is>
          <t>0527-0004</t>
        </is>
      </c>
      <c r="B22" s="27" t="inlineStr">
        <is>
          <t>Comercilizadora e Importadora Nabega Sa de Cv</t>
        </is>
      </c>
      <c r="C22" s="27" t="inlineStr">
        <is>
          <t>Gmc Denali</t>
        </is>
      </c>
      <c r="D22" s="28" t="n">
        <v>48</v>
      </c>
      <c r="E22" s="29">
        <f>Intereses_Leasing_Mensual!I22</f>
        <v/>
      </c>
      <c r="F22" s="29">
        <f>Amortizacion_Capital_Mensual!J22</f>
        <v/>
      </c>
      <c r="G22" s="29">
        <f>Saldos_Capital_Mensual!I22</f>
        <v/>
      </c>
      <c r="H22" s="29">
        <f>Intereses_Residual_Mensual!I22</f>
        <v/>
      </c>
      <c r="I22" s="29">
        <f>ROUND(E22 + H22, 2)</f>
        <v/>
      </c>
      <c r="J22" s="29">
        <f>Intereses_Leasing_Mensual!J22</f>
        <v/>
      </c>
      <c r="K22" s="29">
        <f>Amortizacion_Capital_Mensual!K22</f>
        <v/>
      </c>
      <c r="L22" s="29">
        <f>Saldos_Capital_Mensual!J22</f>
        <v/>
      </c>
      <c r="M22" s="29">
        <f>Intereses_Residual_Mensual!J22</f>
        <v/>
      </c>
      <c r="N22" s="29">
        <f>ROUND(J22 + M22, 2)</f>
        <v/>
      </c>
      <c r="O22" s="29">
        <f>Intereses_Leasing_Mensual!K22</f>
        <v/>
      </c>
      <c r="P22" s="29">
        <f>Amortizacion_Capital_Mensual!L22</f>
        <v/>
      </c>
      <c r="Q22" s="29">
        <f>Saldos_Capital_Mensual!K22</f>
        <v/>
      </c>
      <c r="R22" s="29">
        <f>Intereses_Residual_Mensual!K22</f>
        <v/>
      </c>
      <c r="S22" s="29">
        <f>ROUND(O22 + R22, 2)</f>
        <v/>
      </c>
      <c r="T22" s="29">
        <f>Intereses_Leasing_Mensual!L22</f>
        <v/>
      </c>
      <c r="U22" s="29">
        <f>Amortizacion_Capital_Mensual!M22</f>
        <v/>
      </c>
      <c r="V22" s="29">
        <f>Saldos_Capital_Mensual!L22</f>
        <v/>
      </c>
      <c r="W22" s="29">
        <f>Intereses_Residual_Mensual!L22</f>
        <v/>
      </c>
      <c r="X22" s="29">
        <f>ROUND(T22 + W22, 2)</f>
        <v/>
      </c>
      <c r="Y22" s="29">
        <f>Intereses_Leasing_Mensual!M22</f>
        <v/>
      </c>
      <c r="Z22" s="29">
        <f>Amortizacion_Capital_Mensual!N22</f>
        <v/>
      </c>
      <c r="AA22" s="29">
        <f>Saldos_Capital_Mensual!M22</f>
        <v/>
      </c>
      <c r="AB22" s="29">
        <f>Intereses_Residual_Mensual!M22</f>
        <v/>
      </c>
      <c r="AC22" s="29">
        <f>ROUND(Y22 + AB22, 2)</f>
        <v/>
      </c>
      <c r="AD22" s="29">
        <f>Intereses_Leasing_Mensual!N22</f>
        <v/>
      </c>
      <c r="AE22" s="29">
        <f>Amortizacion_Capital_Mensual!O22</f>
        <v/>
      </c>
      <c r="AF22" s="29">
        <f>Saldos_Capital_Mensual!N22</f>
        <v/>
      </c>
      <c r="AG22" s="29">
        <f>Intereses_Residual_Mensual!N22</f>
        <v/>
      </c>
      <c r="AH22" s="29">
        <f>ROUND(AD22 + AG22, 2)</f>
        <v/>
      </c>
      <c r="AI22" s="29">
        <f>Intereses_Leasing_Mensual!O22</f>
        <v/>
      </c>
      <c r="AJ22" s="29">
        <f>Amortizacion_Capital_Mensual!P22</f>
        <v/>
      </c>
      <c r="AK22" s="29">
        <f>Saldos_Capital_Mensual!O22</f>
        <v/>
      </c>
      <c r="AL22" s="29">
        <f>Intereses_Residual_Mensual!O22</f>
        <v/>
      </c>
      <c r="AM22" s="29">
        <f>ROUND(AI22 + AL22, 2)</f>
        <v/>
      </c>
      <c r="AN22" s="29">
        <f>Intereses_Leasing_Mensual!P22</f>
        <v/>
      </c>
      <c r="AO22" s="29">
        <f>Amortizacion_Capital_Mensual!Q22</f>
        <v/>
      </c>
      <c r="AP22" s="29">
        <f>Saldos_Capital_Mensual!P22</f>
        <v/>
      </c>
      <c r="AQ22" s="29">
        <f>Intereses_Residual_Mensual!P22</f>
        <v/>
      </c>
      <c r="AR22" s="29">
        <f>ROUND(AN22 + AQ22, 2)</f>
        <v/>
      </c>
      <c r="AS22" s="29">
        <f>Intereses_Leasing_Mensual!Q22</f>
        <v/>
      </c>
      <c r="AT22" s="29">
        <f>Amortizacion_Capital_Mensual!R22</f>
        <v/>
      </c>
      <c r="AU22" s="29">
        <f>Saldos_Capital_Mensual!Q22</f>
        <v/>
      </c>
      <c r="AV22" s="29">
        <f>Intereses_Residual_Mensual!Q22</f>
        <v/>
      </c>
      <c r="AW22" s="29">
        <f>ROUND(AS22 + AV22, 2)</f>
        <v/>
      </c>
      <c r="AX22" s="29">
        <f>Intereses_Leasing_Mensual!R22</f>
        <v/>
      </c>
      <c r="AY22" s="29">
        <f>Amortizacion_Capital_Mensual!S22</f>
        <v/>
      </c>
      <c r="AZ22" s="29">
        <f>Saldos_Capital_Mensual!R22</f>
        <v/>
      </c>
      <c r="BA22" s="29">
        <f>Intereses_Residual_Mensual!R22</f>
        <v/>
      </c>
      <c r="BB22" s="29">
        <f>ROUND(AX22 + BA22, 2)</f>
        <v/>
      </c>
      <c r="BC22" s="29">
        <f>Intereses_Leasing_Mensual!S22</f>
        <v/>
      </c>
      <c r="BD22" s="29">
        <f>Amortizacion_Capital_Mensual!T22</f>
        <v/>
      </c>
      <c r="BE22" s="29">
        <f>Saldos_Capital_Mensual!S22</f>
        <v/>
      </c>
      <c r="BF22" s="29">
        <f>Intereses_Residual_Mensual!S22</f>
        <v/>
      </c>
      <c r="BG22" s="29">
        <f>ROUND(BC22 + BF22, 2)</f>
        <v/>
      </c>
      <c r="BH22" s="29">
        <f>Intereses_Leasing_Mensual!T22</f>
        <v/>
      </c>
      <c r="BI22" s="29">
        <f>Amortizacion_Capital_Mensual!U22</f>
        <v/>
      </c>
      <c r="BJ22" s="29">
        <f>Saldos_Capital_Mensual!T22</f>
        <v/>
      </c>
      <c r="BK22" s="29">
        <f>Intereses_Residual_Mensual!T22</f>
        <v/>
      </c>
      <c r="BL22" s="29">
        <f>ROUND(BH22 + BK22, 2)</f>
        <v/>
      </c>
    </row>
    <row r="23">
      <c r="A23" s="20" t="inlineStr">
        <is>
          <t>0527-0005</t>
        </is>
      </c>
      <c r="B23" s="21" t="inlineStr">
        <is>
          <t>Comercilizadora e Importadora Nabega Sa de Cv</t>
        </is>
      </c>
      <c r="C23" s="21" t="inlineStr">
        <is>
          <t>Gle 450 Sport</t>
        </is>
      </c>
      <c r="D23" s="22" t="n">
        <v>36</v>
      </c>
      <c r="E23" s="23">
        <f>Intereses_Leasing_Mensual!I23</f>
        <v/>
      </c>
      <c r="F23" s="23">
        <f>Amortizacion_Capital_Mensual!J23</f>
        <v/>
      </c>
      <c r="G23" s="23">
        <f>Saldos_Capital_Mensual!I23</f>
        <v/>
      </c>
      <c r="H23" s="23">
        <f>Intereses_Residual_Mensual!I23</f>
        <v/>
      </c>
      <c r="I23" s="23">
        <f>ROUND(E23 + H23, 2)</f>
        <v/>
      </c>
      <c r="J23" s="23">
        <f>Intereses_Leasing_Mensual!J23</f>
        <v/>
      </c>
      <c r="K23" s="23">
        <f>Amortizacion_Capital_Mensual!K23</f>
        <v/>
      </c>
      <c r="L23" s="23">
        <f>Saldos_Capital_Mensual!J23</f>
        <v/>
      </c>
      <c r="M23" s="23">
        <f>Intereses_Residual_Mensual!J23</f>
        <v/>
      </c>
      <c r="N23" s="23">
        <f>ROUND(J23 + M23, 2)</f>
        <v/>
      </c>
      <c r="O23" s="23">
        <f>Intereses_Leasing_Mensual!K23</f>
        <v/>
      </c>
      <c r="P23" s="23">
        <f>Amortizacion_Capital_Mensual!L23</f>
        <v/>
      </c>
      <c r="Q23" s="23">
        <f>Saldos_Capital_Mensual!K23</f>
        <v/>
      </c>
      <c r="R23" s="23">
        <f>Intereses_Residual_Mensual!K23</f>
        <v/>
      </c>
      <c r="S23" s="23">
        <f>ROUND(O23 + R23, 2)</f>
        <v/>
      </c>
      <c r="T23" s="23">
        <f>Intereses_Leasing_Mensual!L23</f>
        <v/>
      </c>
      <c r="U23" s="23">
        <f>Amortizacion_Capital_Mensual!M23</f>
        <v/>
      </c>
      <c r="V23" s="23">
        <f>Saldos_Capital_Mensual!L23</f>
        <v/>
      </c>
      <c r="W23" s="23">
        <f>Intereses_Residual_Mensual!L23</f>
        <v/>
      </c>
      <c r="X23" s="23">
        <f>ROUND(T23 + W23, 2)</f>
        <v/>
      </c>
      <c r="Y23" s="23">
        <f>Intereses_Leasing_Mensual!M23</f>
        <v/>
      </c>
      <c r="Z23" s="23">
        <f>Amortizacion_Capital_Mensual!N23</f>
        <v/>
      </c>
      <c r="AA23" s="23">
        <f>Saldos_Capital_Mensual!M23</f>
        <v/>
      </c>
      <c r="AB23" s="23">
        <f>Intereses_Residual_Mensual!M23</f>
        <v/>
      </c>
      <c r="AC23" s="23">
        <f>ROUND(Y23 + AB23, 2)</f>
        <v/>
      </c>
      <c r="AD23" s="23">
        <f>Intereses_Leasing_Mensual!N23</f>
        <v/>
      </c>
      <c r="AE23" s="23">
        <f>Amortizacion_Capital_Mensual!O23</f>
        <v/>
      </c>
      <c r="AF23" s="23">
        <f>Saldos_Capital_Mensual!N23</f>
        <v/>
      </c>
      <c r="AG23" s="23">
        <f>Intereses_Residual_Mensual!N23</f>
        <v/>
      </c>
      <c r="AH23" s="23">
        <f>ROUND(AD23 + AG23, 2)</f>
        <v/>
      </c>
      <c r="AI23" s="23">
        <f>Intereses_Leasing_Mensual!O23</f>
        <v/>
      </c>
      <c r="AJ23" s="23">
        <f>Amortizacion_Capital_Mensual!P23</f>
        <v/>
      </c>
      <c r="AK23" s="23">
        <f>Saldos_Capital_Mensual!O23</f>
        <v/>
      </c>
      <c r="AL23" s="23">
        <f>Intereses_Residual_Mensual!O23</f>
        <v/>
      </c>
      <c r="AM23" s="23">
        <f>ROUND(AI23 + AL23, 2)</f>
        <v/>
      </c>
      <c r="AN23" s="23">
        <f>Intereses_Leasing_Mensual!P23</f>
        <v/>
      </c>
      <c r="AO23" s="23">
        <f>Amortizacion_Capital_Mensual!Q23</f>
        <v/>
      </c>
      <c r="AP23" s="23">
        <f>Saldos_Capital_Mensual!P23</f>
        <v/>
      </c>
      <c r="AQ23" s="23">
        <f>Intereses_Residual_Mensual!P23</f>
        <v/>
      </c>
      <c r="AR23" s="23">
        <f>ROUND(AN23 + AQ23, 2)</f>
        <v/>
      </c>
      <c r="AS23" s="23">
        <f>Intereses_Leasing_Mensual!Q23</f>
        <v/>
      </c>
      <c r="AT23" s="23">
        <f>Amortizacion_Capital_Mensual!R23</f>
        <v/>
      </c>
      <c r="AU23" s="23">
        <f>Saldos_Capital_Mensual!Q23</f>
        <v/>
      </c>
      <c r="AV23" s="23">
        <f>Intereses_Residual_Mensual!Q23</f>
        <v/>
      </c>
      <c r="AW23" s="23">
        <f>ROUND(AS23 + AV23, 2)</f>
        <v/>
      </c>
      <c r="AX23" s="23">
        <f>Intereses_Leasing_Mensual!R23</f>
        <v/>
      </c>
      <c r="AY23" s="23">
        <f>Amortizacion_Capital_Mensual!S23</f>
        <v/>
      </c>
      <c r="AZ23" s="23">
        <f>Saldos_Capital_Mensual!R23</f>
        <v/>
      </c>
      <c r="BA23" s="23">
        <f>Intereses_Residual_Mensual!R23</f>
        <v/>
      </c>
      <c r="BB23" s="23">
        <f>ROUND(AX23 + BA23, 2)</f>
        <v/>
      </c>
      <c r="BC23" s="23">
        <f>Intereses_Leasing_Mensual!S23</f>
        <v/>
      </c>
      <c r="BD23" s="23">
        <f>Amortizacion_Capital_Mensual!T23</f>
        <v/>
      </c>
      <c r="BE23" s="23">
        <f>Saldos_Capital_Mensual!S23</f>
        <v/>
      </c>
      <c r="BF23" s="23">
        <f>Intereses_Residual_Mensual!S23</f>
        <v/>
      </c>
      <c r="BG23" s="23">
        <f>ROUND(BC23 + BF23, 2)</f>
        <v/>
      </c>
      <c r="BH23" s="23">
        <f>Intereses_Leasing_Mensual!T23</f>
        <v/>
      </c>
      <c r="BI23" s="23">
        <f>Amortizacion_Capital_Mensual!U23</f>
        <v/>
      </c>
      <c r="BJ23" s="23">
        <f>Saldos_Capital_Mensual!T23</f>
        <v/>
      </c>
      <c r="BK23" s="23">
        <f>Intereses_Residual_Mensual!T23</f>
        <v/>
      </c>
      <c r="BL23" s="23">
        <f>ROUND(BH23 + BK23, 2)</f>
        <v/>
      </c>
    </row>
    <row r="24">
      <c r="A24" s="26" t="inlineStr">
        <is>
          <t>0531-0002</t>
        </is>
      </c>
      <c r="B24" s="27" t="inlineStr">
        <is>
          <t>Otcada Mex, S. de R.L. de C.V.</t>
        </is>
      </c>
      <c r="C24" s="27" t="inlineStr">
        <is>
          <t>Grand Cherokee Limited</t>
        </is>
      </c>
      <c r="D24" s="28" t="n">
        <v>48</v>
      </c>
      <c r="E24" s="29">
        <f>Intereses_Leasing_Mensual!I24</f>
        <v/>
      </c>
      <c r="F24" s="29">
        <f>Amortizacion_Capital_Mensual!J24</f>
        <v/>
      </c>
      <c r="G24" s="29">
        <f>Saldos_Capital_Mensual!I24</f>
        <v/>
      </c>
      <c r="H24" s="29">
        <f>Intereses_Residual_Mensual!I24</f>
        <v/>
      </c>
      <c r="I24" s="29">
        <f>ROUND(E24 + H24, 2)</f>
        <v/>
      </c>
      <c r="J24" s="29">
        <f>Intereses_Leasing_Mensual!J24</f>
        <v/>
      </c>
      <c r="K24" s="29">
        <f>Amortizacion_Capital_Mensual!K24</f>
        <v/>
      </c>
      <c r="L24" s="29">
        <f>Saldos_Capital_Mensual!J24</f>
        <v/>
      </c>
      <c r="M24" s="29">
        <f>Intereses_Residual_Mensual!J24</f>
        <v/>
      </c>
      <c r="N24" s="29">
        <f>ROUND(J24 + M24, 2)</f>
        <v/>
      </c>
      <c r="O24" s="29">
        <f>Intereses_Leasing_Mensual!K24</f>
        <v/>
      </c>
      <c r="P24" s="29">
        <f>Amortizacion_Capital_Mensual!L24</f>
        <v/>
      </c>
      <c r="Q24" s="29">
        <f>Saldos_Capital_Mensual!K24</f>
        <v/>
      </c>
      <c r="R24" s="29">
        <f>Intereses_Residual_Mensual!K24</f>
        <v/>
      </c>
      <c r="S24" s="29">
        <f>ROUND(O24 + R24, 2)</f>
        <v/>
      </c>
      <c r="T24" s="29">
        <f>Intereses_Leasing_Mensual!L24</f>
        <v/>
      </c>
      <c r="U24" s="29">
        <f>Amortizacion_Capital_Mensual!M24</f>
        <v/>
      </c>
      <c r="V24" s="29">
        <f>Saldos_Capital_Mensual!L24</f>
        <v/>
      </c>
      <c r="W24" s="29">
        <f>Intereses_Residual_Mensual!L24</f>
        <v/>
      </c>
      <c r="X24" s="29">
        <f>ROUND(T24 + W24, 2)</f>
        <v/>
      </c>
      <c r="Y24" s="29">
        <f>Intereses_Leasing_Mensual!M24</f>
        <v/>
      </c>
      <c r="Z24" s="29">
        <f>Amortizacion_Capital_Mensual!N24</f>
        <v/>
      </c>
      <c r="AA24" s="29">
        <f>Saldos_Capital_Mensual!M24</f>
        <v/>
      </c>
      <c r="AB24" s="29">
        <f>Intereses_Residual_Mensual!M24</f>
        <v/>
      </c>
      <c r="AC24" s="29">
        <f>ROUND(Y24 + AB24, 2)</f>
        <v/>
      </c>
      <c r="AD24" s="29">
        <f>Intereses_Leasing_Mensual!N24</f>
        <v/>
      </c>
      <c r="AE24" s="29">
        <f>Amortizacion_Capital_Mensual!O24</f>
        <v/>
      </c>
      <c r="AF24" s="29">
        <f>Saldos_Capital_Mensual!N24</f>
        <v/>
      </c>
      <c r="AG24" s="29">
        <f>Intereses_Residual_Mensual!N24</f>
        <v/>
      </c>
      <c r="AH24" s="29">
        <f>ROUND(AD24 + AG24, 2)</f>
        <v/>
      </c>
      <c r="AI24" s="29">
        <f>Intereses_Leasing_Mensual!O24</f>
        <v/>
      </c>
      <c r="AJ24" s="29">
        <f>Amortizacion_Capital_Mensual!P24</f>
        <v/>
      </c>
      <c r="AK24" s="29">
        <f>Saldos_Capital_Mensual!O24</f>
        <v/>
      </c>
      <c r="AL24" s="29">
        <f>Intereses_Residual_Mensual!O24</f>
        <v/>
      </c>
      <c r="AM24" s="29">
        <f>ROUND(AI24 + AL24, 2)</f>
        <v/>
      </c>
      <c r="AN24" s="29">
        <f>Intereses_Leasing_Mensual!P24</f>
        <v/>
      </c>
      <c r="AO24" s="29">
        <f>Amortizacion_Capital_Mensual!Q24</f>
        <v/>
      </c>
      <c r="AP24" s="29">
        <f>Saldos_Capital_Mensual!P24</f>
        <v/>
      </c>
      <c r="AQ24" s="29">
        <f>Intereses_Residual_Mensual!P24</f>
        <v/>
      </c>
      <c r="AR24" s="29">
        <f>ROUND(AN24 + AQ24, 2)</f>
        <v/>
      </c>
      <c r="AS24" s="29">
        <f>Intereses_Leasing_Mensual!Q24</f>
        <v/>
      </c>
      <c r="AT24" s="29">
        <f>Amortizacion_Capital_Mensual!R24</f>
        <v/>
      </c>
      <c r="AU24" s="29">
        <f>Saldos_Capital_Mensual!Q24</f>
        <v/>
      </c>
      <c r="AV24" s="29">
        <f>Intereses_Residual_Mensual!Q24</f>
        <v/>
      </c>
      <c r="AW24" s="29">
        <f>ROUND(AS24 + AV24, 2)</f>
        <v/>
      </c>
      <c r="AX24" s="29">
        <f>Intereses_Leasing_Mensual!R24</f>
        <v/>
      </c>
      <c r="AY24" s="29">
        <f>Amortizacion_Capital_Mensual!S24</f>
        <v/>
      </c>
      <c r="AZ24" s="29">
        <f>Saldos_Capital_Mensual!R24</f>
        <v/>
      </c>
      <c r="BA24" s="29">
        <f>Intereses_Residual_Mensual!R24</f>
        <v/>
      </c>
      <c r="BB24" s="29">
        <f>ROUND(AX24 + BA24, 2)</f>
        <v/>
      </c>
      <c r="BC24" s="29">
        <f>Intereses_Leasing_Mensual!S24</f>
        <v/>
      </c>
      <c r="BD24" s="29">
        <f>Amortizacion_Capital_Mensual!T24</f>
        <v/>
      </c>
      <c r="BE24" s="29">
        <f>Saldos_Capital_Mensual!S24</f>
        <v/>
      </c>
      <c r="BF24" s="29">
        <f>Intereses_Residual_Mensual!S24</f>
        <v/>
      </c>
      <c r="BG24" s="29">
        <f>ROUND(BC24 + BF24, 2)</f>
        <v/>
      </c>
      <c r="BH24" s="29">
        <f>Intereses_Leasing_Mensual!T24</f>
        <v/>
      </c>
      <c r="BI24" s="29">
        <f>Amortizacion_Capital_Mensual!U24</f>
        <v/>
      </c>
      <c r="BJ24" s="29">
        <f>Saldos_Capital_Mensual!T24</f>
        <v/>
      </c>
      <c r="BK24" s="29">
        <f>Intereses_Residual_Mensual!T24</f>
        <v/>
      </c>
      <c r="BL24" s="29">
        <f>ROUND(BH24 + BK24, 2)</f>
        <v/>
      </c>
    </row>
    <row r="25">
      <c r="A25" s="20" t="inlineStr">
        <is>
          <t>0546-0007</t>
        </is>
      </c>
      <c r="B25" s="21" t="inlineStr">
        <is>
          <t>Norma Elena Bonilla Lupio</t>
        </is>
      </c>
      <c r="C25" s="21" t="inlineStr">
        <is>
          <t>GLC 350 E 4MATIC</t>
        </is>
      </c>
      <c r="D25" s="22" t="n">
        <v>24</v>
      </c>
      <c r="E25" s="23">
        <f>Intereses_Leasing_Mensual!I25</f>
        <v/>
      </c>
      <c r="F25" s="23">
        <f>Amortizacion_Capital_Mensual!J25</f>
        <v/>
      </c>
      <c r="G25" s="23">
        <f>Saldos_Capital_Mensual!I25</f>
        <v/>
      </c>
      <c r="H25" s="23">
        <f>Intereses_Residual_Mensual!I25</f>
        <v/>
      </c>
      <c r="I25" s="23">
        <f>ROUND(E25 + H25, 2)</f>
        <v/>
      </c>
      <c r="J25" s="23">
        <f>Intereses_Leasing_Mensual!J25</f>
        <v/>
      </c>
      <c r="K25" s="23">
        <f>Amortizacion_Capital_Mensual!K25</f>
        <v/>
      </c>
      <c r="L25" s="23">
        <f>Saldos_Capital_Mensual!J25</f>
        <v/>
      </c>
      <c r="M25" s="23">
        <f>Intereses_Residual_Mensual!J25</f>
        <v/>
      </c>
      <c r="N25" s="23">
        <f>ROUND(J25 + M25, 2)</f>
        <v/>
      </c>
      <c r="O25" s="23">
        <f>Intereses_Leasing_Mensual!K25</f>
        <v/>
      </c>
      <c r="P25" s="23">
        <f>Amortizacion_Capital_Mensual!L25</f>
        <v/>
      </c>
      <c r="Q25" s="23">
        <f>Saldos_Capital_Mensual!K25</f>
        <v/>
      </c>
      <c r="R25" s="23">
        <f>Intereses_Residual_Mensual!K25</f>
        <v/>
      </c>
      <c r="S25" s="23">
        <f>ROUND(O25 + R25, 2)</f>
        <v/>
      </c>
      <c r="T25" s="23">
        <f>Intereses_Leasing_Mensual!L25</f>
        <v/>
      </c>
      <c r="U25" s="23">
        <f>Amortizacion_Capital_Mensual!M25</f>
        <v/>
      </c>
      <c r="V25" s="23">
        <f>Saldos_Capital_Mensual!L25</f>
        <v/>
      </c>
      <c r="W25" s="23">
        <f>Intereses_Residual_Mensual!L25</f>
        <v/>
      </c>
      <c r="X25" s="23">
        <f>ROUND(T25 + W25, 2)</f>
        <v/>
      </c>
      <c r="Y25" s="23">
        <f>Intereses_Leasing_Mensual!M25</f>
        <v/>
      </c>
      <c r="Z25" s="23">
        <f>Amortizacion_Capital_Mensual!N25</f>
        <v/>
      </c>
      <c r="AA25" s="23">
        <f>Saldos_Capital_Mensual!M25</f>
        <v/>
      </c>
      <c r="AB25" s="23">
        <f>Intereses_Residual_Mensual!M25</f>
        <v/>
      </c>
      <c r="AC25" s="23">
        <f>ROUND(Y25 + AB25, 2)</f>
        <v/>
      </c>
      <c r="AD25" s="23">
        <f>Intereses_Leasing_Mensual!N25</f>
        <v/>
      </c>
      <c r="AE25" s="23">
        <f>Amortizacion_Capital_Mensual!O25</f>
        <v/>
      </c>
      <c r="AF25" s="23">
        <f>Saldos_Capital_Mensual!N25</f>
        <v/>
      </c>
      <c r="AG25" s="23">
        <f>Intereses_Residual_Mensual!N25</f>
        <v/>
      </c>
      <c r="AH25" s="23">
        <f>ROUND(AD25 + AG25, 2)</f>
        <v/>
      </c>
      <c r="AI25" s="23">
        <f>Intereses_Leasing_Mensual!O25</f>
        <v/>
      </c>
      <c r="AJ25" s="23">
        <f>Amortizacion_Capital_Mensual!P25</f>
        <v/>
      </c>
      <c r="AK25" s="23">
        <f>Saldos_Capital_Mensual!O25</f>
        <v/>
      </c>
      <c r="AL25" s="23">
        <f>Intereses_Residual_Mensual!O25</f>
        <v/>
      </c>
      <c r="AM25" s="23">
        <f>ROUND(AI25 + AL25, 2)</f>
        <v/>
      </c>
      <c r="AN25" s="23">
        <f>Intereses_Leasing_Mensual!P25</f>
        <v/>
      </c>
      <c r="AO25" s="23">
        <f>Amortizacion_Capital_Mensual!Q25</f>
        <v/>
      </c>
      <c r="AP25" s="23">
        <f>Saldos_Capital_Mensual!P25</f>
        <v/>
      </c>
      <c r="AQ25" s="23">
        <f>Intereses_Residual_Mensual!P25</f>
        <v/>
      </c>
      <c r="AR25" s="23">
        <f>ROUND(AN25 + AQ25, 2)</f>
        <v/>
      </c>
      <c r="AS25" s="23">
        <f>Intereses_Leasing_Mensual!Q25</f>
        <v/>
      </c>
      <c r="AT25" s="23">
        <f>Amortizacion_Capital_Mensual!R25</f>
        <v/>
      </c>
      <c r="AU25" s="23">
        <f>Saldos_Capital_Mensual!Q25</f>
        <v/>
      </c>
      <c r="AV25" s="23">
        <f>Intereses_Residual_Mensual!Q25</f>
        <v/>
      </c>
      <c r="AW25" s="23">
        <f>ROUND(AS25 + AV25, 2)</f>
        <v/>
      </c>
      <c r="AX25" s="23">
        <f>Intereses_Leasing_Mensual!R25</f>
        <v/>
      </c>
      <c r="AY25" s="23">
        <f>Amortizacion_Capital_Mensual!S25</f>
        <v/>
      </c>
      <c r="AZ25" s="23">
        <f>Saldos_Capital_Mensual!R25</f>
        <v/>
      </c>
      <c r="BA25" s="23">
        <f>Intereses_Residual_Mensual!R25</f>
        <v/>
      </c>
      <c r="BB25" s="23">
        <f>ROUND(AX25 + BA25, 2)</f>
        <v/>
      </c>
      <c r="BC25" s="23">
        <f>Intereses_Leasing_Mensual!S25</f>
        <v/>
      </c>
      <c r="BD25" s="23">
        <f>Amortizacion_Capital_Mensual!T25</f>
        <v/>
      </c>
      <c r="BE25" s="23">
        <f>Saldos_Capital_Mensual!S25</f>
        <v/>
      </c>
      <c r="BF25" s="23">
        <f>Intereses_Residual_Mensual!S25</f>
        <v/>
      </c>
      <c r="BG25" s="23">
        <f>ROUND(BC25 + BF25, 2)</f>
        <v/>
      </c>
      <c r="BH25" s="23">
        <f>Intereses_Leasing_Mensual!T25</f>
        <v/>
      </c>
      <c r="BI25" s="23">
        <f>Amortizacion_Capital_Mensual!U25</f>
        <v/>
      </c>
      <c r="BJ25" s="23">
        <f>Saldos_Capital_Mensual!T25</f>
        <v/>
      </c>
      <c r="BK25" s="23">
        <f>Intereses_Residual_Mensual!T25</f>
        <v/>
      </c>
      <c r="BL25" s="23">
        <f>ROUND(BH25 + BK25, 2)</f>
        <v/>
      </c>
    </row>
    <row r="26">
      <c r="A26" s="26" t="inlineStr">
        <is>
          <t>0546-0008</t>
        </is>
      </c>
      <c r="B26" s="27" t="inlineStr">
        <is>
          <t>Norma Elena Bonilla Lupio</t>
        </is>
      </c>
      <c r="C26" s="27" t="inlineStr">
        <is>
          <t>JT MOJAVE 4X4</t>
        </is>
      </c>
      <c r="D26" s="28" t="n">
        <v>24</v>
      </c>
      <c r="E26" s="29">
        <f>Intereses_Leasing_Mensual!I26</f>
        <v/>
      </c>
      <c r="F26" s="29">
        <f>Amortizacion_Capital_Mensual!J26</f>
        <v/>
      </c>
      <c r="G26" s="29">
        <f>Saldos_Capital_Mensual!I26</f>
        <v/>
      </c>
      <c r="H26" s="29">
        <f>Intereses_Residual_Mensual!I26</f>
        <v/>
      </c>
      <c r="I26" s="29">
        <f>ROUND(E26 + H26, 2)</f>
        <v/>
      </c>
      <c r="J26" s="29">
        <f>Intereses_Leasing_Mensual!J26</f>
        <v/>
      </c>
      <c r="K26" s="29">
        <f>Amortizacion_Capital_Mensual!K26</f>
        <v/>
      </c>
      <c r="L26" s="29">
        <f>Saldos_Capital_Mensual!J26</f>
        <v/>
      </c>
      <c r="M26" s="29">
        <f>Intereses_Residual_Mensual!J26</f>
        <v/>
      </c>
      <c r="N26" s="29">
        <f>ROUND(J26 + M26, 2)</f>
        <v/>
      </c>
      <c r="O26" s="29">
        <f>Intereses_Leasing_Mensual!K26</f>
        <v/>
      </c>
      <c r="P26" s="29">
        <f>Amortizacion_Capital_Mensual!L26</f>
        <v/>
      </c>
      <c r="Q26" s="29">
        <f>Saldos_Capital_Mensual!K26</f>
        <v/>
      </c>
      <c r="R26" s="29">
        <f>Intereses_Residual_Mensual!K26</f>
        <v/>
      </c>
      <c r="S26" s="29">
        <f>ROUND(O26 + R26, 2)</f>
        <v/>
      </c>
      <c r="T26" s="29">
        <f>Intereses_Leasing_Mensual!L26</f>
        <v/>
      </c>
      <c r="U26" s="29">
        <f>Amortizacion_Capital_Mensual!M26</f>
        <v/>
      </c>
      <c r="V26" s="29">
        <f>Saldos_Capital_Mensual!L26</f>
        <v/>
      </c>
      <c r="W26" s="29">
        <f>Intereses_Residual_Mensual!L26</f>
        <v/>
      </c>
      <c r="X26" s="29">
        <f>ROUND(T26 + W26, 2)</f>
        <v/>
      </c>
      <c r="Y26" s="29">
        <f>Intereses_Leasing_Mensual!M26</f>
        <v/>
      </c>
      <c r="Z26" s="29">
        <f>Amortizacion_Capital_Mensual!N26</f>
        <v/>
      </c>
      <c r="AA26" s="29">
        <f>Saldos_Capital_Mensual!M26</f>
        <v/>
      </c>
      <c r="AB26" s="29">
        <f>Intereses_Residual_Mensual!M26</f>
        <v/>
      </c>
      <c r="AC26" s="29">
        <f>ROUND(Y26 + AB26, 2)</f>
        <v/>
      </c>
      <c r="AD26" s="29">
        <f>Intereses_Leasing_Mensual!N26</f>
        <v/>
      </c>
      <c r="AE26" s="29">
        <f>Amortizacion_Capital_Mensual!O26</f>
        <v/>
      </c>
      <c r="AF26" s="29">
        <f>Saldos_Capital_Mensual!N26</f>
        <v/>
      </c>
      <c r="AG26" s="29">
        <f>Intereses_Residual_Mensual!N26</f>
        <v/>
      </c>
      <c r="AH26" s="29">
        <f>ROUND(AD26 + AG26, 2)</f>
        <v/>
      </c>
      <c r="AI26" s="29">
        <f>Intereses_Leasing_Mensual!O26</f>
        <v/>
      </c>
      <c r="AJ26" s="29">
        <f>Amortizacion_Capital_Mensual!P26</f>
        <v/>
      </c>
      <c r="AK26" s="29">
        <f>Saldos_Capital_Mensual!O26</f>
        <v/>
      </c>
      <c r="AL26" s="29">
        <f>Intereses_Residual_Mensual!O26</f>
        <v/>
      </c>
      <c r="AM26" s="29">
        <f>ROUND(AI26 + AL26, 2)</f>
        <v/>
      </c>
      <c r="AN26" s="29">
        <f>Intereses_Leasing_Mensual!P26</f>
        <v/>
      </c>
      <c r="AO26" s="29">
        <f>Amortizacion_Capital_Mensual!Q26</f>
        <v/>
      </c>
      <c r="AP26" s="29">
        <f>Saldos_Capital_Mensual!P26</f>
        <v/>
      </c>
      <c r="AQ26" s="29">
        <f>Intereses_Residual_Mensual!P26</f>
        <v/>
      </c>
      <c r="AR26" s="29">
        <f>ROUND(AN26 + AQ26, 2)</f>
        <v/>
      </c>
      <c r="AS26" s="29">
        <f>Intereses_Leasing_Mensual!Q26</f>
        <v/>
      </c>
      <c r="AT26" s="29">
        <f>Amortizacion_Capital_Mensual!R26</f>
        <v/>
      </c>
      <c r="AU26" s="29">
        <f>Saldos_Capital_Mensual!Q26</f>
        <v/>
      </c>
      <c r="AV26" s="29">
        <f>Intereses_Residual_Mensual!Q26</f>
        <v/>
      </c>
      <c r="AW26" s="29">
        <f>ROUND(AS26 + AV26, 2)</f>
        <v/>
      </c>
      <c r="AX26" s="29">
        <f>Intereses_Leasing_Mensual!R26</f>
        <v/>
      </c>
      <c r="AY26" s="29">
        <f>Amortizacion_Capital_Mensual!S26</f>
        <v/>
      </c>
      <c r="AZ26" s="29">
        <f>Saldos_Capital_Mensual!R26</f>
        <v/>
      </c>
      <c r="BA26" s="29">
        <f>Intereses_Residual_Mensual!R26</f>
        <v/>
      </c>
      <c r="BB26" s="29">
        <f>ROUND(AX26 + BA26, 2)</f>
        <v/>
      </c>
      <c r="BC26" s="29">
        <f>Intereses_Leasing_Mensual!S26</f>
        <v/>
      </c>
      <c r="BD26" s="29">
        <f>Amortizacion_Capital_Mensual!T26</f>
        <v/>
      </c>
      <c r="BE26" s="29">
        <f>Saldos_Capital_Mensual!S26</f>
        <v/>
      </c>
      <c r="BF26" s="29">
        <f>Intereses_Residual_Mensual!S26</f>
        <v/>
      </c>
      <c r="BG26" s="29">
        <f>ROUND(BC26 + BF26, 2)</f>
        <v/>
      </c>
      <c r="BH26" s="29">
        <f>Intereses_Leasing_Mensual!T26</f>
        <v/>
      </c>
      <c r="BI26" s="29">
        <f>Amortizacion_Capital_Mensual!U26</f>
        <v/>
      </c>
      <c r="BJ26" s="29">
        <f>Saldos_Capital_Mensual!T26</f>
        <v/>
      </c>
      <c r="BK26" s="29">
        <f>Intereses_Residual_Mensual!T26</f>
        <v/>
      </c>
      <c r="BL26" s="29">
        <f>ROUND(BH26 + BK26, 2)</f>
        <v/>
      </c>
    </row>
    <row r="27">
      <c r="A27" s="20" t="inlineStr">
        <is>
          <t>0546-0009</t>
        </is>
      </c>
      <c r="B27" s="21" t="inlineStr">
        <is>
          <t>Norma Elena Bonilla Lupio</t>
        </is>
      </c>
      <c r="C27" s="21" t="inlineStr">
        <is>
          <t>Ram 1200 Tradesman 2026</t>
        </is>
      </c>
      <c r="D27" s="22" t="n">
        <v>24</v>
      </c>
      <c r="E27" s="23">
        <f>Intereses_Leasing_Mensual!I27</f>
        <v/>
      </c>
      <c r="F27" s="23">
        <f>Amortizacion_Capital_Mensual!J27</f>
        <v/>
      </c>
      <c r="G27" s="23">
        <f>Saldos_Capital_Mensual!I27</f>
        <v/>
      </c>
      <c r="H27" s="23">
        <f>Intereses_Residual_Mensual!I27</f>
        <v/>
      </c>
      <c r="I27" s="23">
        <f>ROUND(E27 + H27, 2)</f>
        <v/>
      </c>
      <c r="J27" s="23">
        <f>Intereses_Leasing_Mensual!J27</f>
        <v/>
      </c>
      <c r="K27" s="23">
        <f>Amortizacion_Capital_Mensual!K27</f>
        <v/>
      </c>
      <c r="L27" s="23">
        <f>Saldos_Capital_Mensual!J27</f>
        <v/>
      </c>
      <c r="M27" s="23">
        <f>Intereses_Residual_Mensual!J27</f>
        <v/>
      </c>
      <c r="N27" s="23">
        <f>ROUND(J27 + M27, 2)</f>
        <v/>
      </c>
      <c r="O27" s="23">
        <f>Intereses_Leasing_Mensual!K27</f>
        <v/>
      </c>
      <c r="P27" s="23">
        <f>Amortizacion_Capital_Mensual!L27</f>
        <v/>
      </c>
      <c r="Q27" s="23">
        <f>Saldos_Capital_Mensual!K27</f>
        <v/>
      </c>
      <c r="R27" s="23">
        <f>Intereses_Residual_Mensual!K27</f>
        <v/>
      </c>
      <c r="S27" s="23">
        <f>ROUND(O27 + R27, 2)</f>
        <v/>
      </c>
      <c r="T27" s="23">
        <f>Intereses_Leasing_Mensual!L27</f>
        <v/>
      </c>
      <c r="U27" s="23">
        <f>Amortizacion_Capital_Mensual!M27</f>
        <v/>
      </c>
      <c r="V27" s="23">
        <f>Saldos_Capital_Mensual!L27</f>
        <v/>
      </c>
      <c r="W27" s="23">
        <f>Intereses_Residual_Mensual!L27</f>
        <v/>
      </c>
      <c r="X27" s="23">
        <f>ROUND(T27 + W27, 2)</f>
        <v/>
      </c>
      <c r="Y27" s="23">
        <f>Intereses_Leasing_Mensual!M27</f>
        <v/>
      </c>
      <c r="Z27" s="23">
        <f>Amortizacion_Capital_Mensual!N27</f>
        <v/>
      </c>
      <c r="AA27" s="23">
        <f>Saldos_Capital_Mensual!M27</f>
        <v/>
      </c>
      <c r="AB27" s="23">
        <f>Intereses_Residual_Mensual!M27</f>
        <v/>
      </c>
      <c r="AC27" s="23">
        <f>ROUND(Y27 + AB27, 2)</f>
        <v/>
      </c>
      <c r="AD27" s="23">
        <f>Intereses_Leasing_Mensual!N27</f>
        <v/>
      </c>
      <c r="AE27" s="23">
        <f>Amortizacion_Capital_Mensual!O27</f>
        <v/>
      </c>
      <c r="AF27" s="23">
        <f>Saldos_Capital_Mensual!N27</f>
        <v/>
      </c>
      <c r="AG27" s="23">
        <f>Intereses_Residual_Mensual!N27</f>
        <v/>
      </c>
      <c r="AH27" s="23">
        <f>ROUND(AD27 + AG27, 2)</f>
        <v/>
      </c>
      <c r="AI27" s="23">
        <f>Intereses_Leasing_Mensual!O27</f>
        <v/>
      </c>
      <c r="AJ27" s="23">
        <f>Amortizacion_Capital_Mensual!P27</f>
        <v/>
      </c>
      <c r="AK27" s="23">
        <f>Saldos_Capital_Mensual!O27</f>
        <v/>
      </c>
      <c r="AL27" s="23">
        <f>Intereses_Residual_Mensual!O27</f>
        <v/>
      </c>
      <c r="AM27" s="23">
        <f>ROUND(AI27 + AL27, 2)</f>
        <v/>
      </c>
      <c r="AN27" s="23">
        <f>Intereses_Leasing_Mensual!P27</f>
        <v/>
      </c>
      <c r="AO27" s="23">
        <f>Amortizacion_Capital_Mensual!Q27</f>
        <v/>
      </c>
      <c r="AP27" s="23">
        <f>Saldos_Capital_Mensual!P27</f>
        <v/>
      </c>
      <c r="AQ27" s="23">
        <f>Intereses_Residual_Mensual!P27</f>
        <v/>
      </c>
      <c r="AR27" s="23">
        <f>ROUND(AN27 + AQ27, 2)</f>
        <v/>
      </c>
      <c r="AS27" s="23">
        <f>Intereses_Leasing_Mensual!Q27</f>
        <v/>
      </c>
      <c r="AT27" s="23">
        <f>Amortizacion_Capital_Mensual!R27</f>
        <v/>
      </c>
      <c r="AU27" s="23">
        <f>Saldos_Capital_Mensual!Q27</f>
        <v/>
      </c>
      <c r="AV27" s="23">
        <f>Intereses_Residual_Mensual!Q27</f>
        <v/>
      </c>
      <c r="AW27" s="23">
        <f>ROUND(AS27 + AV27, 2)</f>
        <v/>
      </c>
      <c r="AX27" s="23">
        <f>Intereses_Leasing_Mensual!R27</f>
        <v/>
      </c>
      <c r="AY27" s="23">
        <f>Amortizacion_Capital_Mensual!S27</f>
        <v/>
      </c>
      <c r="AZ27" s="23">
        <f>Saldos_Capital_Mensual!R27</f>
        <v/>
      </c>
      <c r="BA27" s="23">
        <f>Intereses_Residual_Mensual!R27</f>
        <v/>
      </c>
      <c r="BB27" s="23">
        <f>ROUND(AX27 + BA27, 2)</f>
        <v/>
      </c>
      <c r="BC27" s="23">
        <f>Intereses_Leasing_Mensual!S27</f>
        <v/>
      </c>
      <c r="BD27" s="23">
        <f>Amortizacion_Capital_Mensual!T27</f>
        <v/>
      </c>
      <c r="BE27" s="23">
        <f>Saldos_Capital_Mensual!S27</f>
        <v/>
      </c>
      <c r="BF27" s="23">
        <f>Intereses_Residual_Mensual!S27</f>
        <v/>
      </c>
      <c r="BG27" s="23">
        <f>ROUND(BC27 + BF27, 2)</f>
        <v/>
      </c>
      <c r="BH27" s="23">
        <f>Intereses_Leasing_Mensual!T27</f>
        <v/>
      </c>
      <c r="BI27" s="23">
        <f>Amortizacion_Capital_Mensual!U27</f>
        <v/>
      </c>
      <c r="BJ27" s="23">
        <f>Saldos_Capital_Mensual!T27</f>
        <v/>
      </c>
      <c r="BK27" s="23">
        <f>Intereses_Residual_Mensual!T27</f>
        <v/>
      </c>
      <c r="BL27" s="23">
        <f>ROUND(BH27 + BK27, 2)</f>
        <v/>
      </c>
    </row>
    <row r="28">
      <c r="A28" s="26" t="inlineStr">
        <is>
          <t>0551-0002</t>
        </is>
      </c>
      <c r="B28" s="27" t="inlineStr">
        <is>
          <t>Agaveros Unidos de Tequila Jalisco Aun S de RL de Cv</t>
        </is>
      </c>
      <c r="C28" s="27" t="inlineStr">
        <is>
          <t>Ram 700 Laramie</t>
        </is>
      </c>
      <c r="D28" s="28" t="n">
        <v>48</v>
      </c>
      <c r="E28" s="29">
        <f>Intereses_Leasing_Mensual!I28</f>
        <v/>
      </c>
      <c r="F28" s="29">
        <f>Amortizacion_Capital_Mensual!J28</f>
        <v/>
      </c>
      <c r="G28" s="29">
        <f>Saldos_Capital_Mensual!I28</f>
        <v/>
      </c>
      <c r="H28" s="29">
        <f>Intereses_Residual_Mensual!I28</f>
        <v/>
      </c>
      <c r="I28" s="29">
        <f>ROUND(E28 + H28, 2)</f>
        <v/>
      </c>
      <c r="J28" s="29">
        <f>Intereses_Leasing_Mensual!J28</f>
        <v/>
      </c>
      <c r="K28" s="29">
        <f>Amortizacion_Capital_Mensual!K28</f>
        <v/>
      </c>
      <c r="L28" s="29">
        <f>Saldos_Capital_Mensual!J28</f>
        <v/>
      </c>
      <c r="M28" s="29">
        <f>Intereses_Residual_Mensual!J28</f>
        <v/>
      </c>
      <c r="N28" s="29">
        <f>ROUND(J28 + M28, 2)</f>
        <v/>
      </c>
      <c r="O28" s="29">
        <f>Intereses_Leasing_Mensual!K28</f>
        <v/>
      </c>
      <c r="P28" s="29">
        <f>Amortizacion_Capital_Mensual!L28</f>
        <v/>
      </c>
      <c r="Q28" s="29">
        <f>Saldos_Capital_Mensual!K28</f>
        <v/>
      </c>
      <c r="R28" s="29">
        <f>Intereses_Residual_Mensual!K28</f>
        <v/>
      </c>
      <c r="S28" s="29">
        <f>ROUND(O28 + R28, 2)</f>
        <v/>
      </c>
      <c r="T28" s="29">
        <f>Intereses_Leasing_Mensual!L28</f>
        <v/>
      </c>
      <c r="U28" s="29">
        <f>Amortizacion_Capital_Mensual!M28</f>
        <v/>
      </c>
      <c r="V28" s="29">
        <f>Saldos_Capital_Mensual!L28</f>
        <v/>
      </c>
      <c r="W28" s="29">
        <f>Intereses_Residual_Mensual!L28</f>
        <v/>
      </c>
      <c r="X28" s="29">
        <f>ROUND(T28 + W28, 2)</f>
        <v/>
      </c>
      <c r="Y28" s="29">
        <f>Intereses_Leasing_Mensual!M28</f>
        <v/>
      </c>
      <c r="Z28" s="29">
        <f>Amortizacion_Capital_Mensual!N28</f>
        <v/>
      </c>
      <c r="AA28" s="29">
        <f>Saldos_Capital_Mensual!M28</f>
        <v/>
      </c>
      <c r="AB28" s="29">
        <f>Intereses_Residual_Mensual!M28</f>
        <v/>
      </c>
      <c r="AC28" s="29">
        <f>ROUND(Y28 + AB28, 2)</f>
        <v/>
      </c>
      <c r="AD28" s="29">
        <f>Intereses_Leasing_Mensual!N28</f>
        <v/>
      </c>
      <c r="AE28" s="29">
        <f>Amortizacion_Capital_Mensual!O28</f>
        <v/>
      </c>
      <c r="AF28" s="29">
        <f>Saldos_Capital_Mensual!N28</f>
        <v/>
      </c>
      <c r="AG28" s="29">
        <f>Intereses_Residual_Mensual!N28</f>
        <v/>
      </c>
      <c r="AH28" s="29">
        <f>ROUND(AD28 + AG28, 2)</f>
        <v/>
      </c>
      <c r="AI28" s="29">
        <f>Intereses_Leasing_Mensual!O28</f>
        <v/>
      </c>
      <c r="AJ28" s="29">
        <f>Amortizacion_Capital_Mensual!P28</f>
        <v/>
      </c>
      <c r="AK28" s="29">
        <f>Saldos_Capital_Mensual!O28</f>
        <v/>
      </c>
      <c r="AL28" s="29">
        <f>Intereses_Residual_Mensual!O28</f>
        <v/>
      </c>
      <c r="AM28" s="29">
        <f>ROUND(AI28 + AL28, 2)</f>
        <v/>
      </c>
      <c r="AN28" s="29">
        <f>Intereses_Leasing_Mensual!P28</f>
        <v/>
      </c>
      <c r="AO28" s="29">
        <f>Amortizacion_Capital_Mensual!Q28</f>
        <v/>
      </c>
      <c r="AP28" s="29">
        <f>Saldos_Capital_Mensual!P28</f>
        <v/>
      </c>
      <c r="AQ28" s="29">
        <f>Intereses_Residual_Mensual!P28</f>
        <v/>
      </c>
      <c r="AR28" s="29">
        <f>ROUND(AN28 + AQ28, 2)</f>
        <v/>
      </c>
      <c r="AS28" s="29">
        <f>Intereses_Leasing_Mensual!Q28</f>
        <v/>
      </c>
      <c r="AT28" s="29">
        <f>Amortizacion_Capital_Mensual!R28</f>
        <v/>
      </c>
      <c r="AU28" s="29">
        <f>Saldos_Capital_Mensual!Q28</f>
        <v/>
      </c>
      <c r="AV28" s="29">
        <f>Intereses_Residual_Mensual!Q28</f>
        <v/>
      </c>
      <c r="AW28" s="29">
        <f>ROUND(AS28 + AV28, 2)</f>
        <v/>
      </c>
      <c r="AX28" s="29">
        <f>Intereses_Leasing_Mensual!R28</f>
        <v/>
      </c>
      <c r="AY28" s="29">
        <f>Amortizacion_Capital_Mensual!S28</f>
        <v/>
      </c>
      <c r="AZ28" s="29">
        <f>Saldos_Capital_Mensual!R28</f>
        <v/>
      </c>
      <c r="BA28" s="29">
        <f>Intereses_Residual_Mensual!R28</f>
        <v/>
      </c>
      <c r="BB28" s="29">
        <f>ROUND(AX28 + BA28, 2)</f>
        <v/>
      </c>
      <c r="BC28" s="29">
        <f>Intereses_Leasing_Mensual!S28</f>
        <v/>
      </c>
      <c r="BD28" s="29">
        <f>Amortizacion_Capital_Mensual!T28</f>
        <v/>
      </c>
      <c r="BE28" s="29">
        <f>Saldos_Capital_Mensual!S28</f>
        <v/>
      </c>
      <c r="BF28" s="29">
        <f>Intereses_Residual_Mensual!S28</f>
        <v/>
      </c>
      <c r="BG28" s="29">
        <f>ROUND(BC28 + BF28, 2)</f>
        <v/>
      </c>
      <c r="BH28" s="29">
        <f>Intereses_Leasing_Mensual!T28</f>
        <v/>
      </c>
      <c r="BI28" s="29">
        <f>Amortizacion_Capital_Mensual!U28</f>
        <v/>
      </c>
      <c r="BJ28" s="29">
        <f>Saldos_Capital_Mensual!T28</f>
        <v/>
      </c>
      <c r="BK28" s="29">
        <f>Intereses_Residual_Mensual!T28</f>
        <v/>
      </c>
      <c r="BL28" s="29">
        <f>ROUND(BH28 + BK28, 2)</f>
        <v/>
      </c>
    </row>
    <row r="29">
      <c r="A29" s="20" t="inlineStr">
        <is>
          <t>0552-0018</t>
        </is>
      </c>
      <c r="B29" s="21" t="inlineStr">
        <is>
          <t>Transportes y Maniobras Portuarias</t>
        </is>
      </c>
      <c r="C29" s="21" t="inlineStr">
        <is>
          <t>Raizer</t>
        </is>
      </c>
      <c r="D29" s="22" t="n">
        <v>24</v>
      </c>
      <c r="E29" s="23">
        <f>Intereses_Leasing_Mensual!I29</f>
        <v/>
      </c>
      <c r="F29" s="23">
        <f>Amortizacion_Capital_Mensual!J29</f>
        <v/>
      </c>
      <c r="G29" s="23">
        <f>Saldos_Capital_Mensual!I29</f>
        <v/>
      </c>
      <c r="H29" s="23">
        <f>Intereses_Residual_Mensual!I29</f>
        <v/>
      </c>
      <c r="I29" s="23">
        <f>ROUND(E29 + H29, 2)</f>
        <v/>
      </c>
      <c r="J29" s="23">
        <f>Intereses_Leasing_Mensual!J29</f>
        <v/>
      </c>
      <c r="K29" s="23">
        <f>Amortizacion_Capital_Mensual!K29</f>
        <v/>
      </c>
      <c r="L29" s="23">
        <f>Saldos_Capital_Mensual!J29</f>
        <v/>
      </c>
      <c r="M29" s="23">
        <f>Intereses_Residual_Mensual!J29</f>
        <v/>
      </c>
      <c r="N29" s="23">
        <f>ROUND(J29 + M29, 2)</f>
        <v/>
      </c>
      <c r="O29" s="23">
        <f>Intereses_Leasing_Mensual!K29</f>
        <v/>
      </c>
      <c r="P29" s="23">
        <f>Amortizacion_Capital_Mensual!L29</f>
        <v/>
      </c>
      <c r="Q29" s="23">
        <f>Saldos_Capital_Mensual!K29</f>
        <v/>
      </c>
      <c r="R29" s="23">
        <f>Intereses_Residual_Mensual!K29</f>
        <v/>
      </c>
      <c r="S29" s="23">
        <f>ROUND(O29 + R29, 2)</f>
        <v/>
      </c>
      <c r="T29" s="23">
        <f>Intereses_Leasing_Mensual!L29</f>
        <v/>
      </c>
      <c r="U29" s="23">
        <f>Amortizacion_Capital_Mensual!M29</f>
        <v/>
      </c>
      <c r="V29" s="23">
        <f>Saldos_Capital_Mensual!L29</f>
        <v/>
      </c>
      <c r="W29" s="23">
        <f>Intereses_Residual_Mensual!L29</f>
        <v/>
      </c>
      <c r="X29" s="23">
        <f>ROUND(T29 + W29, 2)</f>
        <v/>
      </c>
      <c r="Y29" s="23">
        <f>Intereses_Leasing_Mensual!M29</f>
        <v/>
      </c>
      <c r="Z29" s="23">
        <f>Amortizacion_Capital_Mensual!N29</f>
        <v/>
      </c>
      <c r="AA29" s="23">
        <f>Saldos_Capital_Mensual!M29</f>
        <v/>
      </c>
      <c r="AB29" s="23">
        <f>Intereses_Residual_Mensual!M29</f>
        <v/>
      </c>
      <c r="AC29" s="23">
        <f>ROUND(Y29 + AB29, 2)</f>
        <v/>
      </c>
      <c r="AD29" s="23">
        <f>Intereses_Leasing_Mensual!N29</f>
        <v/>
      </c>
      <c r="AE29" s="23">
        <f>Amortizacion_Capital_Mensual!O29</f>
        <v/>
      </c>
      <c r="AF29" s="23">
        <f>Saldos_Capital_Mensual!N29</f>
        <v/>
      </c>
      <c r="AG29" s="23">
        <f>Intereses_Residual_Mensual!N29</f>
        <v/>
      </c>
      <c r="AH29" s="23">
        <f>ROUND(AD29 + AG29, 2)</f>
        <v/>
      </c>
      <c r="AI29" s="23">
        <f>Intereses_Leasing_Mensual!O29</f>
        <v/>
      </c>
      <c r="AJ29" s="23">
        <f>Amortizacion_Capital_Mensual!P29</f>
        <v/>
      </c>
      <c r="AK29" s="23">
        <f>Saldos_Capital_Mensual!O29</f>
        <v/>
      </c>
      <c r="AL29" s="23">
        <f>Intereses_Residual_Mensual!O29</f>
        <v/>
      </c>
      <c r="AM29" s="23">
        <f>ROUND(AI29 + AL29, 2)</f>
        <v/>
      </c>
      <c r="AN29" s="23">
        <f>Intereses_Leasing_Mensual!P29</f>
        <v/>
      </c>
      <c r="AO29" s="23">
        <f>Amortizacion_Capital_Mensual!Q29</f>
        <v/>
      </c>
      <c r="AP29" s="23">
        <f>Saldos_Capital_Mensual!P29</f>
        <v/>
      </c>
      <c r="AQ29" s="23">
        <f>Intereses_Residual_Mensual!P29</f>
        <v/>
      </c>
      <c r="AR29" s="23">
        <f>ROUND(AN29 + AQ29, 2)</f>
        <v/>
      </c>
      <c r="AS29" s="23">
        <f>Intereses_Leasing_Mensual!Q29</f>
        <v/>
      </c>
      <c r="AT29" s="23">
        <f>Amortizacion_Capital_Mensual!R29</f>
        <v/>
      </c>
      <c r="AU29" s="23">
        <f>Saldos_Capital_Mensual!Q29</f>
        <v/>
      </c>
      <c r="AV29" s="23">
        <f>Intereses_Residual_Mensual!Q29</f>
        <v/>
      </c>
      <c r="AW29" s="23">
        <f>ROUND(AS29 + AV29, 2)</f>
        <v/>
      </c>
      <c r="AX29" s="23">
        <f>Intereses_Leasing_Mensual!R29</f>
        <v/>
      </c>
      <c r="AY29" s="23">
        <f>Amortizacion_Capital_Mensual!S29</f>
        <v/>
      </c>
      <c r="AZ29" s="23">
        <f>Saldos_Capital_Mensual!R29</f>
        <v/>
      </c>
      <c r="BA29" s="23">
        <f>Intereses_Residual_Mensual!R29</f>
        <v/>
      </c>
      <c r="BB29" s="23">
        <f>ROUND(AX29 + BA29, 2)</f>
        <v/>
      </c>
      <c r="BC29" s="23">
        <f>Intereses_Leasing_Mensual!S29</f>
        <v/>
      </c>
      <c r="BD29" s="23">
        <f>Amortizacion_Capital_Mensual!T29</f>
        <v/>
      </c>
      <c r="BE29" s="23">
        <f>Saldos_Capital_Mensual!S29</f>
        <v/>
      </c>
      <c r="BF29" s="23">
        <f>Intereses_Residual_Mensual!S29</f>
        <v/>
      </c>
      <c r="BG29" s="23">
        <f>ROUND(BC29 + BF29, 2)</f>
        <v/>
      </c>
      <c r="BH29" s="23">
        <f>Intereses_Leasing_Mensual!T29</f>
        <v/>
      </c>
      <c r="BI29" s="23">
        <f>Amortizacion_Capital_Mensual!U29</f>
        <v/>
      </c>
      <c r="BJ29" s="23">
        <f>Saldos_Capital_Mensual!T29</f>
        <v/>
      </c>
      <c r="BK29" s="23">
        <f>Intereses_Residual_Mensual!T29</f>
        <v/>
      </c>
      <c r="BL29" s="23">
        <f>ROUND(BH29 + BK29, 2)</f>
        <v/>
      </c>
    </row>
    <row r="30">
      <c r="A30" s="26" t="inlineStr">
        <is>
          <t>0552-0019</t>
        </is>
      </c>
      <c r="B30" s="27" t="inlineStr">
        <is>
          <t>Transportes y Maniobras Portuarias de Mexico Sa de Cv</t>
        </is>
      </c>
      <c r="C30" s="27" t="inlineStr">
        <is>
          <t>Remolque tipo Dolly</t>
        </is>
      </c>
      <c r="D30" s="28" t="n">
        <v>24</v>
      </c>
      <c r="E30" s="29">
        <f>Intereses_Leasing_Mensual!I30</f>
        <v/>
      </c>
      <c r="F30" s="29">
        <f>Amortizacion_Capital_Mensual!J30</f>
        <v/>
      </c>
      <c r="G30" s="29">
        <f>Saldos_Capital_Mensual!I30</f>
        <v/>
      </c>
      <c r="H30" s="29">
        <f>Intereses_Residual_Mensual!I30</f>
        <v/>
      </c>
      <c r="I30" s="29">
        <f>ROUND(E30 + H30, 2)</f>
        <v/>
      </c>
      <c r="J30" s="29">
        <f>Intereses_Leasing_Mensual!J30</f>
        <v/>
      </c>
      <c r="K30" s="29">
        <f>Amortizacion_Capital_Mensual!K30</f>
        <v/>
      </c>
      <c r="L30" s="29">
        <f>Saldos_Capital_Mensual!J30</f>
        <v/>
      </c>
      <c r="M30" s="29">
        <f>Intereses_Residual_Mensual!J30</f>
        <v/>
      </c>
      <c r="N30" s="29">
        <f>ROUND(J30 + M30, 2)</f>
        <v/>
      </c>
      <c r="O30" s="29">
        <f>Intereses_Leasing_Mensual!K30</f>
        <v/>
      </c>
      <c r="P30" s="29">
        <f>Amortizacion_Capital_Mensual!L30</f>
        <v/>
      </c>
      <c r="Q30" s="29">
        <f>Saldos_Capital_Mensual!K30</f>
        <v/>
      </c>
      <c r="R30" s="29">
        <f>Intereses_Residual_Mensual!K30</f>
        <v/>
      </c>
      <c r="S30" s="29">
        <f>ROUND(O30 + R30, 2)</f>
        <v/>
      </c>
      <c r="T30" s="29">
        <f>Intereses_Leasing_Mensual!L30</f>
        <v/>
      </c>
      <c r="U30" s="29">
        <f>Amortizacion_Capital_Mensual!M30</f>
        <v/>
      </c>
      <c r="V30" s="29">
        <f>Saldos_Capital_Mensual!L30</f>
        <v/>
      </c>
      <c r="W30" s="29">
        <f>Intereses_Residual_Mensual!L30</f>
        <v/>
      </c>
      <c r="X30" s="29">
        <f>ROUND(T30 + W30, 2)</f>
        <v/>
      </c>
      <c r="Y30" s="29">
        <f>Intereses_Leasing_Mensual!M30</f>
        <v/>
      </c>
      <c r="Z30" s="29">
        <f>Amortizacion_Capital_Mensual!N30</f>
        <v/>
      </c>
      <c r="AA30" s="29">
        <f>Saldos_Capital_Mensual!M30</f>
        <v/>
      </c>
      <c r="AB30" s="29">
        <f>Intereses_Residual_Mensual!M30</f>
        <v/>
      </c>
      <c r="AC30" s="29">
        <f>ROUND(Y30 + AB30, 2)</f>
        <v/>
      </c>
      <c r="AD30" s="29">
        <f>Intereses_Leasing_Mensual!N30</f>
        <v/>
      </c>
      <c r="AE30" s="29">
        <f>Amortizacion_Capital_Mensual!O30</f>
        <v/>
      </c>
      <c r="AF30" s="29">
        <f>Saldos_Capital_Mensual!N30</f>
        <v/>
      </c>
      <c r="AG30" s="29">
        <f>Intereses_Residual_Mensual!N30</f>
        <v/>
      </c>
      <c r="AH30" s="29">
        <f>ROUND(AD30 + AG30, 2)</f>
        <v/>
      </c>
      <c r="AI30" s="29">
        <f>Intereses_Leasing_Mensual!O30</f>
        <v/>
      </c>
      <c r="AJ30" s="29">
        <f>Amortizacion_Capital_Mensual!P30</f>
        <v/>
      </c>
      <c r="AK30" s="29">
        <f>Saldos_Capital_Mensual!O30</f>
        <v/>
      </c>
      <c r="AL30" s="29">
        <f>Intereses_Residual_Mensual!O30</f>
        <v/>
      </c>
      <c r="AM30" s="29">
        <f>ROUND(AI30 + AL30, 2)</f>
        <v/>
      </c>
      <c r="AN30" s="29">
        <f>Intereses_Leasing_Mensual!P30</f>
        <v/>
      </c>
      <c r="AO30" s="29">
        <f>Amortizacion_Capital_Mensual!Q30</f>
        <v/>
      </c>
      <c r="AP30" s="29">
        <f>Saldos_Capital_Mensual!P30</f>
        <v/>
      </c>
      <c r="AQ30" s="29">
        <f>Intereses_Residual_Mensual!P30</f>
        <v/>
      </c>
      <c r="AR30" s="29">
        <f>ROUND(AN30 + AQ30, 2)</f>
        <v/>
      </c>
      <c r="AS30" s="29">
        <f>Intereses_Leasing_Mensual!Q30</f>
        <v/>
      </c>
      <c r="AT30" s="29">
        <f>Amortizacion_Capital_Mensual!R30</f>
        <v/>
      </c>
      <c r="AU30" s="29">
        <f>Saldos_Capital_Mensual!Q30</f>
        <v/>
      </c>
      <c r="AV30" s="29">
        <f>Intereses_Residual_Mensual!Q30</f>
        <v/>
      </c>
      <c r="AW30" s="29">
        <f>ROUND(AS30 + AV30, 2)</f>
        <v/>
      </c>
      <c r="AX30" s="29">
        <f>Intereses_Leasing_Mensual!R30</f>
        <v/>
      </c>
      <c r="AY30" s="29">
        <f>Amortizacion_Capital_Mensual!S30</f>
        <v/>
      </c>
      <c r="AZ30" s="29">
        <f>Saldos_Capital_Mensual!R30</f>
        <v/>
      </c>
      <c r="BA30" s="29">
        <f>Intereses_Residual_Mensual!R30</f>
        <v/>
      </c>
      <c r="BB30" s="29">
        <f>ROUND(AX30 + BA30, 2)</f>
        <v/>
      </c>
      <c r="BC30" s="29">
        <f>Intereses_Leasing_Mensual!S30</f>
        <v/>
      </c>
      <c r="BD30" s="29">
        <f>Amortizacion_Capital_Mensual!T30</f>
        <v/>
      </c>
      <c r="BE30" s="29">
        <f>Saldos_Capital_Mensual!S30</f>
        <v/>
      </c>
      <c r="BF30" s="29">
        <f>Intereses_Residual_Mensual!S30</f>
        <v/>
      </c>
      <c r="BG30" s="29">
        <f>ROUND(BC30 + BF30, 2)</f>
        <v/>
      </c>
      <c r="BH30" s="29">
        <f>Intereses_Leasing_Mensual!T30</f>
        <v/>
      </c>
      <c r="BI30" s="29">
        <f>Amortizacion_Capital_Mensual!U30</f>
        <v/>
      </c>
      <c r="BJ30" s="29">
        <f>Saldos_Capital_Mensual!T30</f>
        <v/>
      </c>
      <c r="BK30" s="29">
        <f>Intereses_Residual_Mensual!T30</f>
        <v/>
      </c>
      <c r="BL30" s="29">
        <f>ROUND(BH30 + BK30, 2)</f>
        <v/>
      </c>
    </row>
    <row r="31">
      <c r="A31" s="20" t="inlineStr">
        <is>
          <t>0552-0020</t>
        </is>
      </c>
      <c r="B31" s="21" t="inlineStr">
        <is>
          <t>Transportes y Maniobras Portuarias de Mexico Sa de Cv</t>
        </is>
      </c>
      <c r="C31" s="21" t="inlineStr">
        <is>
          <t>PLATAFORMA MULTIMODAL</t>
        </is>
      </c>
      <c r="D31" s="22" t="n">
        <v>24</v>
      </c>
      <c r="E31" s="23">
        <f>Intereses_Leasing_Mensual!I31</f>
        <v/>
      </c>
      <c r="F31" s="23">
        <f>Amortizacion_Capital_Mensual!J31</f>
        <v/>
      </c>
      <c r="G31" s="23">
        <f>Saldos_Capital_Mensual!I31</f>
        <v/>
      </c>
      <c r="H31" s="23">
        <f>Intereses_Residual_Mensual!I31</f>
        <v/>
      </c>
      <c r="I31" s="23">
        <f>ROUND(E31 + H31, 2)</f>
        <v/>
      </c>
      <c r="J31" s="23">
        <f>Intereses_Leasing_Mensual!J31</f>
        <v/>
      </c>
      <c r="K31" s="23">
        <f>Amortizacion_Capital_Mensual!K31</f>
        <v/>
      </c>
      <c r="L31" s="23">
        <f>Saldos_Capital_Mensual!J31</f>
        <v/>
      </c>
      <c r="M31" s="23">
        <f>Intereses_Residual_Mensual!J31</f>
        <v/>
      </c>
      <c r="N31" s="23">
        <f>ROUND(J31 + M31, 2)</f>
        <v/>
      </c>
      <c r="O31" s="23">
        <f>Intereses_Leasing_Mensual!K31</f>
        <v/>
      </c>
      <c r="P31" s="23">
        <f>Amortizacion_Capital_Mensual!L31</f>
        <v/>
      </c>
      <c r="Q31" s="23">
        <f>Saldos_Capital_Mensual!K31</f>
        <v/>
      </c>
      <c r="R31" s="23">
        <f>Intereses_Residual_Mensual!K31</f>
        <v/>
      </c>
      <c r="S31" s="23">
        <f>ROUND(O31 + R31, 2)</f>
        <v/>
      </c>
      <c r="T31" s="23">
        <f>Intereses_Leasing_Mensual!L31</f>
        <v/>
      </c>
      <c r="U31" s="23">
        <f>Amortizacion_Capital_Mensual!M31</f>
        <v/>
      </c>
      <c r="V31" s="23">
        <f>Saldos_Capital_Mensual!L31</f>
        <v/>
      </c>
      <c r="W31" s="23">
        <f>Intereses_Residual_Mensual!L31</f>
        <v/>
      </c>
      <c r="X31" s="23">
        <f>ROUND(T31 + W31, 2)</f>
        <v/>
      </c>
      <c r="Y31" s="23">
        <f>Intereses_Leasing_Mensual!M31</f>
        <v/>
      </c>
      <c r="Z31" s="23">
        <f>Amortizacion_Capital_Mensual!N31</f>
        <v/>
      </c>
      <c r="AA31" s="23">
        <f>Saldos_Capital_Mensual!M31</f>
        <v/>
      </c>
      <c r="AB31" s="23">
        <f>Intereses_Residual_Mensual!M31</f>
        <v/>
      </c>
      <c r="AC31" s="23">
        <f>ROUND(Y31 + AB31, 2)</f>
        <v/>
      </c>
      <c r="AD31" s="23">
        <f>Intereses_Leasing_Mensual!N31</f>
        <v/>
      </c>
      <c r="AE31" s="23">
        <f>Amortizacion_Capital_Mensual!O31</f>
        <v/>
      </c>
      <c r="AF31" s="23">
        <f>Saldos_Capital_Mensual!N31</f>
        <v/>
      </c>
      <c r="AG31" s="23">
        <f>Intereses_Residual_Mensual!N31</f>
        <v/>
      </c>
      <c r="AH31" s="23">
        <f>ROUND(AD31 + AG31, 2)</f>
        <v/>
      </c>
      <c r="AI31" s="23">
        <f>Intereses_Leasing_Mensual!O31</f>
        <v/>
      </c>
      <c r="AJ31" s="23">
        <f>Amortizacion_Capital_Mensual!P31</f>
        <v/>
      </c>
      <c r="AK31" s="23">
        <f>Saldos_Capital_Mensual!O31</f>
        <v/>
      </c>
      <c r="AL31" s="23">
        <f>Intereses_Residual_Mensual!O31</f>
        <v/>
      </c>
      <c r="AM31" s="23">
        <f>ROUND(AI31 + AL31, 2)</f>
        <v/>
      </c>
      <c r="AN31" s="23">
        <f>Intereses_Leasing_Mensual!P31</f>
        <v/>
      </c>
      <c r="AO31" s="23">
        <f>Amortizacion_Capital_Mensual!Q31</f>
        <v/>
      </c>
      <c r="AP31" s="23">
        <f>Saldos_Capital_Mensual!P31</f>
        <v/>
      </c>
      <c r="AQ31" s="23">
        <f>Intereses_Residual_Mensual!P31</f>
        <v/>
      </c>
      <c r="AR31" s="23">
        <f>ROUND(AN31 + AQ31, 2)</f>
        <v/>
      </c>
      <c r="AS31" s="23">
        <f>Intereses_Leasing_Mensual!Q31</f>
        <v/>
      </c>
      <c r="AT31" s="23">
        <f>Amortizacion_Capital_Mensual!R31</f>
        <v/>
      </c>
      <c r="AU31" s="23">
        <f>Saldos_Capital_Mensual!Q31</f>
        <v/>
      </c>
      <c r="AV31" s="23">
        <f>Intereses_Residual_Mensual!Q31</f>
        <v/>
      </c>
      <c r="AW31" s="23">
        <f>ROUND(AS31 + AV31, 2)</f>
        <v/>
      </c>
      <c r="AX31" s="23">
        <f>Intereses_Leasing_Mensual!R31</f>
        <v/>
      </c>
      <c r="AY31" s="23">
        <f>Amortizacion_Capital_Mensual!S31</f>
        <v/>
      </c>
      <c r="AZ31" s="23">
        <f>Saldos_Capital_Mensual!R31</f>
        <v/>
      </c>
      <c r="BA31" s="23">
        <f>Intereses_Residual_Mensual!R31</f>
        <v/>
      </c>
      <c r="BB31" s="23">
        <f>ROUND(AX31 + BA31, 2)</f>
        <v/>
      </c>
      <c r="BC31" s="23">
        <f>Intereses_Leasing_Mensual!S31</f>
        <v/>
      </c>
      <c r="BD31" s="23">
        <f>Amortizacion_Capital_Mensual!T31</f>
        <v/>
      </c>
      <c r="BE31" s="23">
        <f>Saldos_Capital_Mensual!S31</f>
        <v/>
      </c>
      <c r="BF31" s="23">
        <f>Intereses_Residual_Mensual!S31</f>
        <v/>
      </c>
      <c r="BG31" s="23">
        <f>ROUND(BC31 + BF31, 2)</f>
        <v/>
      </c>
      <c r="BH31" s="23">
        <f>Intereses_Leasing_Mensual!T31</f>
        <v/>
      </c>
      <c r="BI31" s="23">
        <f>Amortizacion_Capital_Mensual!U31</f>
        <v/>
      </c>
      <c r="BJ31" s="23">
        <f>Saldos_Capital_Mensual!T31</f>
        <v/>
      </c>
      <c r="BK31" s="23">
        <f>Intereses_Residual_Mensual!T31</f>
        <v/>
      </c>
      <c r="BL31" s="23">
        <f>ROUND(BH31 + BK31, 2)</f>
        <v/>
      </c>
    </row>
    <row r="32">
      <c r="A32" s="26" t="inlineStr">
        <is>
          <t>0552-0021</t>
        </is>
      </c>
      <c r="B32" s="27" t="inlineStr">
        <is>
          <t>Transportes y Maniobras Portuarias de Mexico Sa de Cv</t>
        </is>
      </c>
      <c r="C32" s="27" t="inlineStr">
        <is>
          <t>PLATAFORMA MULTIMODAL</t>
        </is>
      </c>
      <c r="D32" s="28" t="n">
        <v>24</v>
      </c>
      <c r="E32" s="29">
        <f>Intereses_Leasing_Mensual!I32</f>
        <v/>
      </c>
      <c r="F32" s="29">
        <f>Amortizacion_Capital_Mensual!J32</f>
        <v/>
      </c>
      <c r="G32" s="29">
        <f>Saldos_Capital_Mensual!I32</f>
        <v/>
      </c>
      <c r="H32" s="29">
        <f>Intereses_Residual_Mensual!I32</f>
        <v/>
      </c>
      <c r="I32" s="29">
        <f>ROUND(E32 + H32, 2)</f>
        <v/>
      </c>
      <c r="J32" s="29">
        <f>Intereses_Leasing_Mensual!J32</f>
        <v/>
      </c>
      <c r="K32" s="29">
        <f>Amortizacion_Capital_Mensual!K32</f>
        <v/>
      </c>
      <c r="L32" s="29">
        <f>Saldos_Capital_Mensual!J32</f>
        <v/>
      </c>
      <c r="M32" s="29">
        <f>Intereses_Residual_Mensual!J32</f>
        <v/>
      </c>
      <c r="N32" s="29">
        <f>ROUND(J32 + M32, 2)</f>
        <v/>
      </c>
      <c r="O32" s="29">
        <f>Intereses_Leasing_Mensual!K32</f>
        <v/>
      </c>
      <c r="P32" s="29">
        <f>Amortizacion_Capital_Mensual!L32</f>
        <v/>
      </c>
      <c r="Q32" s="29">
        <f>Saldos_Capital_Mensual!K32</f>
        <v/>
      </c>
      <c r="R32" s="29">
        <f>Intereses_Residual_Mensual!K32</f>
        <v/>
      </c>
      <c r="S32" s="29">
        <f>ROUND(O32 + R32, 2)</f>
        <v/>
      </c>
      <c r="T32" s="29">
        <f>Intereses_Leasing_Mensual!L32</f>
        <v/>
      </c>
      <c r="U32" s="29">
        <f>Amortizacion_Capital_Mensual!M32</f>
        <v/>
      </c>
      <c r="V32" s="29">
        <f>Saldos_Capital_Mensual!L32</f>
        <v/>
      </c>
      <c r="W32" s="29">
        <f>Intereses_Residual_Mensual!L32</f>
        <v/>
      </c>
      <c r="X32" s="29">
        <f>ROUND(T32 + W32, 2)</f>
        <v/>
      </c>
      <c r="Y32" s="29">
        <f>Intereses_Leasing_Mensual!M32</f>
        <v/>
      </c>
      <c r="Z32" s="29">
        <f>Amortizacion_Capital_Mensual!N32</f>
        <v/>
      </c>
      <c r="AA32" s="29">
        <f>Saldos_Capital_Mensual!M32</f>
        <v/>
      </c>
      <c r="AB32" s="29">
        <f>Intereses_Residual_Mensual!M32</f>
        <v/>
      </c>
      <c r="AC32" s="29">
        <f>ROUND(Y32 + AB32, 2)</f>
        <v/>
      </c>
      <c r="AD32" s="29">
        <f>Intereses_Leasing_Mensual!N32</f>
        <v/>
      </c>
      <c r="AE32" s="29">
        <f>Amortizacion_Capital_Mensual!O32</f>
        <v/>
      </c>
      <c r="AF32" s="29">
        <f>Saldos_Capital_Mensual!N32</f>
        <v/>
      </c>
      <c r="AG32" s="29">
        <f>Intereses_Residual_Mensual!N32</f>
        <v/>
      </c>
      <c r="AH32" s="29">
        <f>ROUND(AD32 + AG32, 2)</f>
        <v/>
      </c>
      <c r="AI32" s="29">
        <f>Intereses_Leasing_Mensual!O32</f>
        <v/>
      </c>
      <c r="AJ32" s="29">
        <f>Amortizacion_Capital_Mensual!P32</f>
        <v/>
      </c>
      <c r="AK32" s="29">
        <f>Saldos_Capital_Mensual!O32</f>
        <v/>
      </c>
      <c r="AL32" s="29">
        <f>Intereses_Residual_Mensual!O32</f>
        <v/>
      </c>
      <c r="AM32" s="29">
        <f>ROUND(AI32 + AL32, 2)</f>
        <v/>
      </c>
      <c r="AN32" s="29">
        <f>Intereses_Leasing_Mensual!P32</f>
        <v/>
      </c>
      <c r="AO32" s="29">
        <f>Amortizacion_Capital_Mensual!Q32</f>
        <v/>
      </c>
      <c r="AP32" s="29">
        <f>Saldos_Capital_Mensual!P32</f>
        <v/>
      </c>
      <c r="AQ32" s="29">
        <f>Intereses_Residual_Mensual!P32</f>
        <v/>
      </c>
      <c r="AR32" s="29">
        <f>ROUND(AN32 + AQ32, 2)</f>
        <v/>
      </c>
      <c r="AS32" s="29">
        <f>Intereses_Leasing_Mensual!Q32</f>
        <v/>
      </c>
      <c r="AT32" s="29">
        <f>Amortizacion_Capital_Mensual!R32</f>
        <v/>
      </c>
      <c r="AU32" s="29">
        <f>Saldos_Capital_Mensual!Q32</f>
        <v/>
      </c>
      <c r="AV32" s="29">
        <f>Intereses_Residual_Mensual!Q32</f>
        <v/>
      </c>
      <c r="AW32" s="29">
        <f>ROUND(AS32 + AV32, 2)</f>
        <v/>
      </c>
      <c r="AX32" s="29">
        <f>Intereses_Leasing_Mensual!R32</f>
        <v/>
      </c>
      <c r="AY32" s="29">
        <f>Amortizacion_Capital_Mensual!S32</f>
        <v/>
      </c>
      <c r="AZ32" s="29">
        <f>Saldos_Capital_Mensual!R32</f>
        <v/>
      </c>
      <c r="BA32" s="29">
        <f>Intereses_Residual_Mensual!R32</f>
        <v/>
      </c>
      <c r="BB32" s="29">
        <f>ROUND(AX32 + BA32, 2)</f>
        <v/>
      </c>
      <c r="BC32" s="29">
        <f>Intereses_Leasing_Mensual!S32</f>
        <v/>
      </c>
      <c r="BD32" s="29">
        <f>Amortizacion_Capital_Mensual!T32</f>
        <v/>
      </c>
      <c r="BE32" s="29">
        <f>Saldos_Capital_Mensual!S32</f>
        <v/>
      </c>
      <c r="BF32" s="29">
        <f>Intereses_Residual_Mensual!S32</f>
        <v/>
      </c>
      <c r="BG32" s="29">
        <f>ROUND(BC32 + BF32, 2)</f>
        <v/>
      </c>
      <c r="BH32" s="29">
        <f>Intereses_Leasing_Mensual!T32</f>
        <v/>
      </c>
      <c r="BI32" s="29">
        <f>Amortizacion_Capital_Mensual!U32</f>
        <v/>
      </c>
      <c r="BJ32" s="29">
        <f>Saldos_Capital_Mensual!T32</f>
        <v/>
      </c>
      <c r="BK32" s="29">
        <f>Intereses_Residual_Mensual!T32</f>
        <v/>
      </c>
      <c r="BL32" s="29">
        <f>ROUND(BH32 + BK32, 2)</f>
        <v/>
      </c>
    </row>
    <row r="33">
      <c r="A33" s="20" t="inlineStr">
        <is>
          <t>0552-0022</t>
        </is>
      </c>
      <c r="B33" s="21" t="inlineStr">
        <is>
          <t>Transportes y Maniobras Portuarias de Mexico Sa de Cv</t>
        </is>
      </c>
      <c r="C33" s="21" t="inlineStr">
        <is>
          <t>RZR</t>
        </is>
      </c>
      <c r="D33" s="22" t="n">
        <v>24</v>
      </c>
      <c r="E33" s="23">
        <f>Intereses_Leasing_Mensual!I33</f>
        <v/>
      </c>
      <c r="F33" s="23">
        <f>Amortizacion_Capital_Mensual!J33</f>
        <v/>
      </c>
      <c r="G33" s="23">
        <f>Saldos_Capital_Mensual!I33</f>
        <v/>
      </c>
      <c r="H33" s="23">
        <f>Intereses_Residual_Mensual!I33</f>
        <v/>
      </c>
      <c r="I33" s="23">
        <f>ROUND(E33 + H33, 2)</f>
        <v/>
      </c>
      <c r="J33" s="23">
        <f>Intereses_Leasing_Mensual!J33</f>
        <v/>
      </c>
      <c r="K33" s="23">
        <f>Amortizacion_Capital_Mensual!K33</f>
        <v/>
      </c>
      <c r="L33" s="23">
        <f>Saldos_Capital_Mensual!J33</f>
        <v/>
      </c>
      <c r="M33" s="23">
        <f>Intereses_Residual_Mensual!J33</f>
        <v/>
      </c>
      <c r="N33" s="23">
        <f>ROUND(J33 + M33, 2)</f>
        <v/>
      </c>
      <c r="O33" s="23">
        <f>Intereses_Leasing_Mensual!K33</f>
        <v/>
      </c>
      <c r="P33" s="23">
        <f>Amortizacion_Capital_Mensual!L33</f>
        <v/>
      </c>
      <c r="Q33" s="23">
        <f>Saldos_Capital_Mensual!K33</f>
        <v/>
      </c>
      <c r="R33" s="23">
        <f>Intereses_Residual_Mensual!K33</f>
        <v/>
      </c>
      <c r="S33" s="23">
        <f>ROUND(O33 + R33, 2)</f>
        <v/>
      </c>
      <c r="T33" s="23">
        <f>Intereses_Leasing_Mensual!L33</f>
        <v/>
      </c>
      <c r="U33" s="23">
        <f>Amortizacion_Capital_Mensual!M33</f>
        <v/>
      </c>
      <c r="V33" s="23">
        <f>Saldos_Capital_Mensual!L33</f>
        <v/>
      </c>
      <c r="W33" s="23">
        <f>Intereses_Residual_Mensual!L33</f>
        <v/>
      </c>
      <c r="X33" s="23">
        <f>ROUND(T33 + W33, 2)</f>
        <v/>
      </c>
      <c r="Y33" s="23">
        <f>Intereses_Leasing_Mensual!M33</f>
        <v/>
      </c>
      <c r="Z33" s="23">
        <f>Amortizacion_Capital_Mensual!N33</f>
        <v/>
      </c>
      <c r="AA33" s="23">
        <f>Saldos_Capital_Mensual!M33</f>
        <v/>
      </c>
      <c r="AB33" s="23">
        <f>Intereses_Residual_Mensual!M33</f>
        <v/>
      </c>
      <c r="AC33" s="23">
        <f>ROUND(Y33 + AB33, 2)</f>
        <v/>
      </c>
      <c r="AD33" s="23">
        <f>Intereses_Leasing_Mensual!N33</f>
        <v/>
      </c>
      <c r="AE33" s="23">
        <f>Amortizacion_Capital_Mensual!O33</f>
        <v/>
      </c>
      <c r="AF33" s="23">
        <f>Saldos_Capital_Mensual!N33</f>
        <v/>
      </c>
      <c r="AG33" s="23">
        <f>Intereses_Residual_Mensual!N33</f>
        <v/>
      </c>
      <c r="AH33" s="23">
        <f>ROUND(AD33 + AG33, 2)</f>
        <v/>
      </c>
      <c r="AI33" s="23">
        <f>Intereses_Leasing_Mensual!O33</f>
        <v/>
      </c>
      <c r="AJ33" s="23">
        <f>Amortizacion_Capital_Mensual!P33</f>
        <v/>
      </c>
      <c r="AK33" s="23">
        <f>Saldos_Capital_Mensual!O33</f>
        <v/>
      </c>
      <c r="AL33" s="23">
        <f>Intereses_Residual_Mensual!O33</f>
        <v/>
      </c>
      <c r="AM33" s="23">
        <f>ROUND(AI33 + AL33, 2)</f>
        <v/>
      </c>
      <c r="AN33" s="23">
        <f>Intereses_Leasing_Mensual!P33</f>
        <v/>
      </c>
      <c r="AO33" s="23">
        <f>Amortizacion_Capital_Mensual!Q33</f>
        <v/>
      </c>
      <c r="AP33" s="23">
        <f>Saldos_Capital_Mensual!P33</f>
        <v/>
      </c>
      <c r="AQ33" s="23">
        <f>Intereses_Residual_Mensual!P33</f>
        <v/>
      </c>
      <c r="AR33" s="23">
        <f>ROUND(AN33 + AQ33, 2)</f>
        <v/>
      </c>
      <c r="AS33" s="23">
        <f>Intereses_Leasing_Mensual!Q33</f>
        <v/>
      </c>
      <c r="AT33" s="23">
        <f>Amortizacion_Capital_Mensual!R33</f>
        <v/>
      </c>
      <c r="AU33" s="23">
        <f>Saldos_Capital_Mensual!Q33</f>
        <v/>
      </c>
      <c r="AV33" s="23">
        <f>Intereses_Residual_Mensual!Q33</f>
        <v/>
      </c>
      <c r="AW33" s="23">
        <f>ROUND(AS33 + AV33, 2)</f>
        <v/>
      </c>
      <c r="AX33" s="23">
        <f>Intereses_Leasing_Mensual!R33</f>
        <v/>
      </c>
      <c r="AY33" s="23">
        <f>Amortizacion_Capital_Mensual!S33</f>
        <v/>
      </c>
      <c r="AZ33" s="23">
        <f>Saldos_Capital_Mensual!R33</f>
        <v/>
      </c>
      <c r="BA33" s="23">
        <f>Intereses_Residual_Mensual!R33</f>
        <v/>
      </c>
      <c r="BB33" s="23">
        <f>ROUND(AX33 + BA33, 2)</f>
        <v/>
      </c>
      <c r="BC33" s="23">
        <f>Intereses_Leasing_Mensual!S33</f>
        <v/>
      </c>
      <c r="BD33" s="23">
        <f>Amortizacion_Capital_Mensual!T33</f>
        <v/>
      </c>
      <c r="BE33" s="23">
        <f>Saldos_Capital_Mensual!S33</f>
        <v/>
      </c>
      <c r="BF33" s="23">
        <f>Intereses_Residual_Mensual!S33</f>
        <v/>
      </c>
      <c r="BG33" s="23">
        <f>ROUND(BC33 + BF33, 2)</f>
        <v/>
      </c>
      <c r="BH33" s="23">
        <f>Intereses_Leasing_Mensual!T33</f>
        <v/>
      </c>
      <c r="BI33" s="23">
        <f>Amortizacion_Capital_Mensual!U33</f>
        <v/>
      </c>
      <c r="BJ33" s="23">
        <f>Saldos_Capital_Mensual!T33</f>
        <v/>
      </c>
      <c r="BK33" s="23">
        <f>Intereses_Residual_Mensual!T33</f>
        <v/>
      </c>
      <c r="BL33" s="23">
        <f>ROUND(BH33 + BK33, 2)</f>
        <v/>
      </c>
    </row>
    <row r="34">
      <c r="A34" s="26" t="inlineStr">
        <is>
          <t>0552-0023</t>
        </is>
      </c>
      <c r="B34" s="27" t="inlineStr">
        <is>
          <t>Transportes y Maniobras Portuarias de Mexico Sa de Cv</t>
        </is>
      </c>
      <c r="C34" s="27" t="inlineStr">
        <is>
          <t>Iternational Lt</t>
        </is>
      </c>
      <c r="D34" s="28" t="n">
        <v>24</v>
      </c>
      <c r="E34" s="29">
        <f>Intereses_Leasing_Mensual!I34</f>
        <v/>
      </c>
      <c r="F34" s="29">
        <f>Amortizacion_Capital_Mensual!J34</f>
        <v/>
      </c>
      <c r="G34" s="29">
        <f>Saldos_Capital_Mensual!I34</f>
        <v/>
      </c>
      <c r="H34" s="29">
        <f>Intereses_Residual_Mensual!I34</f>
        <v/>
      </c>
      <c r="I34" s="29">
        <f>ROUND(E34 + H34, 2)</f>
        <v/>
      </c>
      <c r="J34" s="29">
        <f>Intereses_Leasing_Mensual!J34</f>
        <v/>
      </c>
      <c r="K34" s="29">
        <f>Amortizacion_Capital_Mensual!K34</f>
        <v/>
      </c>
      <c r="L34" s="29">
        <f>Saldos_Capital_Mensual!J34</f>
        <v/>
      </c>
      <c r="M34" s="29">
        <f>Intereses_Residual_Mensual!J34</f>
        <v/>
      </c>
      <c r="N34" s="29">
        <f>ROUND(J34 + M34, 2)</f>
        <v/>
      </c>
      <c r="O34" s="29">
        <f>Intereses_Leasing_Mensual!K34</f>
        <v/>
      </c>
      <c r="P34" s="29">
        <f>Amortizacion_Capital_Mensual!L34</f>
        <v/>
      </c>
      <c r="Q34" s="29">
        <f>Saldos_Capital_Mensual!K34</f>
        <v/>
      </c>
      <c r="R34" s="29">
        <f>Intereses_Residual_Mensual!K34</f>
        <v/>
      </c>
      <c r="S34" s="29">
        <f>ROUND(O34 + R34, 2)</f>
        <v/>
      </c>
      <c r="T34" s="29">
        <f>Intereses_Leasing_Mensual!L34</f>
        <v/>
      </c>
      <c r="U34" s="29">
        <f>Amortizacion_Capital_Mensual!M34</f>
        <v/>
      </c>
      <c r="V34" s="29">
        <f>Saldos_Capital_Mensual!L34</f>
        <v/>
      </c>
      <c r="W34" s="29">
        <f>Intereses_Residual_Mensual!L34</f>
        <v/>
      </c>
      <c r="X34" s="29">
        <f>ROUND(T34 + W34, 2)</f>
        <v/>
      </c>
      <c r="Y34" s="29">
        <f>Intereses_Leasing_Mensual!M34</f>
        <v/>
      </c>
      <c r="Z34" s="29">
        <f>Amortizacion_Capital_Mensual!N34</f>
        <v/>
      </c>
      <c r="AA34" s="29">
        <f>Saldos_Capital_Mensual!M34</f>
        <v/>
      </c>
      <c r="AB34" s="29">
        <f>Intereses_Residual_Mensual!M34</f>
        <v/>
      </c>
      <c r="AC34" s="29">
        <f>ROUND(Y34 + AB34, 2)</f>
        <v/>
      </c>
      <c r="AD34" s="29">
        <f>Intereses_Leasing_Mensual!N34</f>
        <v/>
      </c>
      <c r="AE34" s="29">
        <f>Amortizacion_Capital_Mensual!O34</f>
        <v/>
      </c>
      <c r="AF34" s="29">
        <f>Saldos_Capital_Mensual!N34</f>
        <v/>
      </c>
      <c r="AG34" s="29">
        <f>Intereses_Residual_Mensual!N34</f>
        <v/>
      </c>
      <c r="AH34" s="29">
        <f>ROUND(AD34 + AG34, 2)</f>
        <v/>
      </c>
      <c r="AI34" s="29">
        <f>Intereses_Leasing_Mensual!O34</f>
        <v/>
      </c>
      <c r="AJ34" s="29">
        <f>Amortizacion_Capital_Mensual!P34</f>
        <v/>
      </c>
      <c r="AK34" s="29">
        <f>Saldos_Capital_Mensual!O34</f>
        <v/>
      </c>
      <c r="AL34" s="29">
        <f>Intereses_Residual_Mensual!O34</f>
        <v/>
      </c>
      <c r="AM34" s="29">
        <f>ROUND(AI34 + AL34, 2)</f>
        <v/>
      </c>
      <c r="AN34" s="29">
        <f>Intereses_Leasing_Mensual!P34</f>
        <v/>
      </c>
      <c r="AO34" s="29">
        <f>Amortizacion_Capital_Mensual!Q34</f>
        <v/>
      </c>
      <c r="AP34" s="29">
        <f>Saldos_Capital_Mensual!P34</f>
        <v/>
      </c>
      <c r="AQ34" s="29">
        <f>Intereses_Residual_Mensual!P34</f>
        <v/>
      </c>
      <c r="AR34" s="29">
        <f>ROUND(AN34 + AQ34, 2)</f>
        <v/>
      </c>
      <c r="AS34" s="29">
        <f>Intereses_Leasing_Mensual!Q34</f>
        <v/>
      </c>
      <c r="AT34" s="29">
        <f>Amortizacion_Capital_Mensual!R34</f>
        <v/>
      </c>
      <c r="AU34" s="29">
        <f>Saldos_Capital_Mensual!Q34</f>
        <v/>
      </c>
      <c r="AV34" s="29">
        <f>Intereses_Residual_Mensual!Q34</f>
        <v/>
      </c>
      <c r="AW34" s="29">
        <f>ROUND(AS34 + AV34, 2)</f>
        <v/>
      </c>
      <c r="AX34" s="29">
        <f>Intereses_Leasing_Mensual!R34</f>
        <v/>
      </c>
      <c r="AY34" s="29">
        <f>Amortizacion_Capital_Mensual!S34</f>
        <v/>
      </c>
      <c r="AZ34" s="29">
        <f>Saldos_Capital_Mensual!R34</f>
        <v/>
      </c>
      <c r="BA34" s="29">
        <f>Intereses_Residual_Mensual!R34</f>
        <v/>
      </c>
      <c r="BB34" s="29">
        <f>ROUND(AX34 + BA34, 2)</f>
        <v/>
      </c>
      <c r="BC34" s="29">
        <f>Intereses_Leasing_Mensual!S34</f>
        <v/>
      </c>
      <c r="BD34" s="29">
        <f>Amortizacion_Capital_Mensual!T34</f>
        <v/>
      </c>
      <c r="BE34" s="29">
        <f>Saldos_Capital_Mensual!S34</f>
        <v/>
      </c>
      <c r="BF34" s="29">
        <f>Intereses_Residual_Mensual!S34</f>
        <v/>
      </c>
      <c r="BG34" s="29">
        <f>ROUND(BC34 + BF34, 2)</f>
        <v/>
      </c>
      <c r="BH34" s="29">
        <f>Intereses_Leasing_Mensual!T34</f>
        <v/>
      </c>
      <c r="BI34" s="29">
        <f>Amortizacion_Capital_Mensual!U34</f>
        <v/>
      </c>
      <c r="BJ34" s="29">
        <f>Saldos_Capital_Mensual!T34</f>
        <v/>
      </c>
      <c r="BK34" s="29">
        <f>Intereses_Residual_Mensual!T34</f>
        <v/>
      </c>
      <c r="BL34" s="29">
        <f>ROUND(BH34 + BK34, 2)</f>
        <v/>
      </c>
    </row>
    <row r="35">
      <c r="A35" s="20" t="inlineStr">
        <is>
          <t>0552-0024</t>
        </is>
      </c>
      <c r="B35" s="21" t="inlineStr">
        <is>
          <t>Transportes y Maniobras Portuarias de Mexico Sa de Cv</t>
        </is>
      </c>
      <c r="C35" s="21" t="inlineStr">
        <is>
          <t>Iternational Lt</t>
        </is>
      </c>
      <c r="D35" s="22" t="n">
        <v>24</v>
      </c>
      <c r="E35" s="23">
        <f>Intereses_Leasing_Mensual!I35</f>
        <v/>
      </c>
      <c r="F35" s="23">
        <f>Amortizacion_Capital_Mensual!J35</f>
        <v/>
      </c>
      <c r="G35" s="23">
        <f>Saldos_Capital_Mensual!I35</f>
        <v/>
      </c>
      <c r="H35" s="23">
        <f>Intereses_Residual_Mensual!I35</f>
        <v/>
      </c>
      <c r="I35" s="23">
        <f>ROUND(E35 + H35, 2)</f>
        <v/>
      </c>
      <c r="J35" s="23">
        <f>Intereses_Leasing_Mensual!J35</f>
        <v/>
      </c>
      <c r="K35" s="23">
        <f>Amortizacion_Capital_Mensual!K35</f>
        <v/>
      </c>
      <c r="L35" s="23">
        <f>Saldos_Capital_Mensual!J35</f>
        <v/>
      </c>
      <c r="M35" s="23">
        <f>Intereses_Residual_Mensual!J35</f>
        <v/>
      </c>
      <c r="N35" s="23">
        <f>ROUND(J35 + M35, 2)</f>
        <v/>
      </c>
      <c r="O35" s="23">
        <f>Intereses_Leasing_Mensual!K35</f>
        <v/>
      </c>
      <c r="P35" s="23">
        <f>Amortizacion_Capital_Mensual!L35</f>
        <v/>
      </c>
      <c r="Q35" s="23">
        <f>Saldos_Capital_Mensual!K35</f>
        <v/>
      </c>
      <c r="R35" s="23">
        <f>Intereses_Residual_Mensual!K35</f>
        <v/>
      </c>
      <c r="S35" s="23">
        <f>ROUND(O35 + R35, 2)</f>
        <v/>
      </c>
      <c r="T35" s="23">
        <f>Intereses_Leasing_Mensual!L35</f>
        <v/>
      </c>
      <c r="U35" s="23">
        <f>Amortizacion_Capital_Mensual!M35</f>
        <v/>
      </c>
      <c r="V35" s="23">
        <f>Saldos_Capital_Mensual!L35</f>
        <v/>
      </c>
      <c r="W35" s="23">
        <f>Intereses_Residual_Mensual!L35</f>
        <v/>
      </c>
      <c r="X35" s="23">
        <f>ROUND(T35 + W35, 2)</f>
        <v/>
      </c>
      <c r="Y35" s="23">
        <f>Intereses_Leasing_Mensual!M35</f>
        <v/>
      </c>
      <c r="Z35" s="23">
        <f>Amortizacion_Capital_Mensual!N35</f>
        <v/>
      </c>
      <c r="AA35" s="23">
        <f>Saldos_Capital_Mensual!M35</f>
        <v/>
      </c>
      <c r="AB35" s="23">
        <f>Intereses_Residual_Mensual!M35</f>
        <v/>
      </c>
      <c r="AC35" s="23">
        <f>ROUND(Y35 + AB35, 2)</f>
        <v/>
      </c>
      <c r="AD35" s="23">
        <f>Intereses_Leasing_Mensual!N35</f>
        <v/>
      </c>
      <c r="AE35" s="23">
        <f>Amortizacion_Capital_Mensual!O35</f>
        <v/>
      </c>
      <c r="AF35" s="23">
        <f>Saldos_Capital_Mensual!N35</f>
        <v/>
      </c>
      <c r="AG35" s="23">
        <f>Intereses_Residual_Mensual!N35</f>
        <v/>
      </c>
      <c r="AH35" s="23">
        <f>ROUND(AD35 + AG35, 2)</f>
        <v/>
      </c>
      <c r="AI35" s="23">
        <f>Intereses_Leasing_Mensual!O35</f>
        <v/>
      </c>
      <c r="AJ35" s="23">
        <f>Amortizacion_Capital_Mensual!P35</f>
        <v/>
      </c>
      <c r="AK35" s="23">
        <f>Saldos_Capital_Mensual!O35</f>
        <v/>
      </c>
      <c r="AL35" s="23">
        <f>Intereses_Residual_Mensual!O35</f>
        <v/>
      </c>
      <c r="AM35" s="23">
        <f>ROUND(AI35 + AL35, 2)</f>
        <v/>
      </c>
      <c r="AN35" s="23">
        <f>Intereses_Leasing_Mensual!P35</f>
        <v/>
      </c>
      <c r="AO35" s="23">
        <f>Amortizacion_Capital_Mensual!Q35</f>
        <v/>
      </c>
      <c r="AP35" s="23">
        <f>Saldos_Capital_Mensual!P35</f>
        <v/>
      </c>
      <c r="AQ35" s="23">
        <f>Intereses_Residual_Mensual!P35</f>
        <v/>
      </c>
      <c r="AR35" s="23">
        <f>ROUND(AN35 + AQ35, 2)</f>
        <v/>
      </c>
      <c r="AS35" s="23">
        <f>Intereses_Leasing_Mensual!Q35</f>
        <v/>
      </c>
      <c r="AT35" s="23">
        <f>Amortizacion_Capital_Mensual!R35</f>
        <v/>
      </c>
      <c r="AU35" s="23">
        <f>Saldos_Capital_Mensual!Q35</f>
        <v/>
      </c>
      <c r="AV35" s="23">
        <f>Intereses_Residual_Mensual!Q35</f>
        <v/>
      </c>
      <c r="AW35" s="23">
        <f>ROUND(AS35 + AV35, 2)</f>
        <v/>
      </c>
      <c r="AX35" s="23">
        <f>Intereses_Leasing_Mensual!R35</f>
        <v/>
      </c>
      <c r="AY35" s="23">
        <f>Amortizacion_Capital_Mensual!S35</f>
        <v/>
      </c>
      <c r="AZ35" s="23">
        <f>Saldos_Capital_Mensual!R35</f>
        <v/>
      </c>
      <c r="BA35" s="23">
        <f>Intereses_Residual_Mensual!R35</f>
        <v/>
      </c>
      <c r="BB35" s="23">
        <f>ROUND(AX35 + BA35, 2)</f>
        <v/>
      </c>
      <c r="BC35" s="23">
        <f>Intereses_Leasing_Mensual!S35</f>
        <v/>
      </c>
      <c r="BD35" s="23">
        <f>Amortizacion_Capital_Mensual!T35</f>
        <v/>
      </c>
      <c r="BE35" s="23">
        <f>Saldos_Capital_Mensual!S35</f>
        <v/>
      </c>
      <c r="BF35" s="23">
        <f>Intereses_Residual_Mensual!S35</f>
        <v/>
      </c>
      <c r="BG35" s="23">
        <f>ROUND(BC35 + BF35, 2)</f>
        <v/>
      </c>
      <c r="BH35" s="23">
        <f>Intereses_Leasing_Mensual!T35</f>
        <v/>
      </c>
      <c r="BI35" s="23">
        <f>Amortizacion_Capital_Mensual!U35</f>
        <v/>
      </c>
      <c r="BJ35" s="23">
        <f>Saldos_Capital_Mensual!T35</f>
        <v/>
      </c>
      <c r="BK35" s="23">
        <f>Intereses_Residual_Mensual!T35</f>
        <v/>
      </c>
      <c r="BL35" s="23">
        <f>ROUND(BH35 + BK35, 2)</f>
        <v/>
      </c>
    </row>
    <row r="36">
      <c r="A36" s="26" t="inlineStr">
        <is>
          <t>0552-0025</t>
        </is>
      </c>
      <c r="B36" s="27" t="inlineStr">
        <is>
          <t>Transportes y Maniobras Portuarias de Mexico Sa de Cv</t>
        </is>
      </c>
      <c r="C36" s="27" t="inlineStr">
        <is>
          <t>Iternational Lt</t>
        </is>
      </c>
      <c r="D36" s="28" t="n">
        <v>24</v>
      </c>
      <c r="E36" s="29">
        <f>Intereses_Leasing_Mensual!I36</f>
        <v/>
      </c>
      <c r="F36" s="29">
        <f>Amortizacion_Capital_Mensual!J36</f>
        <v/>
      </c>
      <c r="G36" s="29">
        <f>Saldos_Capital_Mensual!I36</f>
        <v/>
      </c>
      <c r="H36" s="29">
        <f>Intereses_Residual_Mensual!I36</f>
        <v/>
      </c>
      <c r="I36" s="29">
        <f>ROUND(E36 + H36, 2)</f>
        <v/>
      </c>
      <c r="J36" s="29">
        <f>Intereses_Leasing_Mensual!J36</f>
        <v/>
      </c>
      <c r="K36" s="29">
        <f>Amortizacion_Capital_Mensual!K36</f>
        <v/>
      </c>
      <c r="L36" s="29">
        <f>Saldos_Capital_Mensual!J36</f>
        <v/>
      </c>
      <c r="M36" s="29">
        <f>Intereses_Residual_Mensual!J36</f>
        <v/>
      </c>
      <c r="N36" s="29">
        <f>ROUND(J36 + M36, 2)</f>
        <v/>
      </c>
      <c r="O36" s="29">
        <f>Intereses_Leasing_Mensual!K36</f>
        <v/>
      </c>
      <c r="P36" s="29">
        <f>Amortizacion_Capital_Mensual!L36</f>
        <v/>
      </c>
      <c r="Q36" s="29">
        <f>Saldos_Capital_Mensual!K36</f>
        <v/>
      </c>
      <c r="R36" s="29">
        <f>Intereses_Residual_Mensual!K36</f>
        <v/>
      </c>
      <c r="S36" s="29">
        <f>ROUND(O36 + R36, 2)</f>
        <v/>
      </c>
      <c r="T36" s="29">
        <f>Intereses_Leasing_Mensual!L36</f>
        <v/>
      </c>
      <c r="U36" s="29">
        <f>Amortizacion_Capital_Mensual!M36</f>
        <v/>
      </c>
      <c r="V36" s="29">
        <f>Saldos_Capital_Mensual!L36</f>
        <v/>
      </c>
      <c r="W36" s="29">
        <f>Intereses_Residual_Mensual!L36</f>
        <v/>
      </c>
      <c r="X36" s="29">
        <f>ROUND(T36 + W36, 2)</f>
        <v/>
      </c>
      <c r="Y36" s="29">
        <f>Intereses_Leasing_Mensual!M36</f>
        <v/>
      </c>
      <c r="Z36" s="29">
        <f>Amortizacion_Capital_Mensual!N36</f>
        <v/>
      </c>
      <c r="AA36" s="29">
        <f>Saldos_Capital_Mensual!M36</f>
        <v/>
      </c>
      <c r="AB36" s="29">
        <f>Intereses_Residual_Mensual!M36</f>
        <v/>
      </c>
      <c r="AC36" s="29">
        <f>ROUND(Y36 + AB36, 2)</f>
        <v/>
      </c>
      <c r="AD36" s="29">
        <f>Intereses_Leasing_Mensual!N36</f>
        <v/>
      </c>
      <c r="AE36" s="29">
        <f>Amortizacion_Capital_Mensual!O36</f>
        <v/>
      </c>
      <c r="AF36" s="29">
        <f>Saldos_Capital_Mensual!N36</f>
        <v/>
      </c>
      <c r="AG36" s="29">
        <f>Intereses_Residual_Mensual!N36</f>
        <v/>
      </c>
      <c r="AH36" s="29">
        <f>ROUND(AD36 + AG36, 2)</f>
        <v/>
      </c>
      <c r="AI36" s="29">
        <f>Intereses_Leasing_Mensual!O36</f>
        <v/>
      </c>
      <c r="AJ36" s="29">
        <f>Amortizacion_Capital_Mensual!P36</f>
        <v/>
      </c>
      <c r="AK36" s="29">
        <f>Saldos_Capital_Mensual!O36</f>
        <v/>
      </c>
      <c r="AL36" s="29">
        <f>Intereses_Residual_Mensual!O36</f>
        <v/>
      </c>
      <c r="AM36" s="29">
        <f>ROUND(AI36 + AL36, 2)</f>
        <v/>
      </c>
      <c r="AN36" s="29">
        <f>Intereses_Leasing_Mensual!P36</f>
        <v/>
      </c>
      <c r="AO36" s="29">
        <f>Amortizacion_Capital_Mensual!Q36</f>
        <v/>
      </c>
      <c r="AP36" s="29">
        <f>Saldos_Capital_Mensual!P36</f>
        <v/>
      </c>
      <c r="AQ36" s="29">
        <f>Intereses_Residual_Mensual!P36</f>
        <v/>
      </c>
      <c r="AR36" s="29">
        <f>ROUND(AN36 + AQ36, 2)</f>
        <v/>
      </c>
      <c r="AS36" s="29">
        <f>Intereses_Leasing_Mensual!Q36</f>
        <v/>
      </c>
      <c r="AT36" s="29">
        <f>Amortizacion_Capital_Mensual!R36</f>
        <v/>
      </c>
      <c r="AU36" s="29">
        <f>Saldos_Capital_Mensual!Q36</f>
        <v/>
      </c>
      <c r="AV36" s="29">
        <f>Intereses_Residual_Mensual!Q36</f>
        <v/>
      </c>
      <c r="AW36" s="29">
        <f>ROUND(AS36 + AV36, 2)</f>
        <v/>
      </c>
      <c r="AX36" s="29">
        <f>Intereses_Leasing_Mensual!R36</f>
        <v/>
      </c>
      <c r="AY36" s="29">
        <f>Amortizacion_Capital_Mensual!S36</f>
        <v/>
      </c>
      <c r="AZ36" s="29">
        <f>Saldos_Capital_Mensual!R36</f>
        <v/>
      </c>
      <c r="BA36" s="29">
        <f>Intereses_Residual_Mensual!R36</f>
        <v/>
      </c>
      <c r="BB36" s="29">
        <f>ROUND(AX36 + BA36, 2)</f>
        <v/>
      </c>
      <c r="BC36" s="29">
        <f>Intereses_Leasing_Mensual!S36</f>
        <v/>
      </c>
      <c r="BD36" s="29">
        <f>Amortizacion_Capital_Mensual!T36</f>
        <v/>
      </c>
      <c r="BE36" s="29">
        <f>Saldos_Capital_Mensual!S36</f>
        <v/>
      </c>
      <c r="BF36" s="29">
        <f>Intereses_Residual_Mensual!S36</f>
        <v/>
      </c>
      <c r="BG36" s="29">
        <f>ROUND(BC36 + BF36, 2)</f>
        <v/>
      </c>
      <c r="BH36" s="29">
        <f>Intereses_Leasing_Mensual!T36</f>
        <v/>
      </c>
      <c r="BI36" s="29">
        <f>Amortizacion_Capital_Mensual!U36</f>
        <v/>
      </c>
      <c r="BJ36" s="29">
        <f>Saldos_Capital_Mensual!T36</f>
        <v/>
      </c>
      <c r="BK36" s="29">
        <f>Intereses_Residual_Mensual!T36</f>
        <v/>
      </c>
      <c r="BL36" s="29">
        <f>ROUND(BH36 + BK36, 2)</f>
        <v/>
      </c>
    </row>
    <row r="37">
      <c r="A37" s="20" t="inlineStr">
        <is>
          <t>0554-0003</t>
        </is>
      </c>
      <c r="B37" s="21" t="inlineStr">
        <is>
          <t>TRANSPORTES DEL BAJIO TRANSCOLD SA DE CV</t>
        </is>
      </c>
      <c r="C37" s="21" t="inlineStr">
        <is>
          <t>RAM 4000 CHASIS PLANO LARGO "PL"</t>
        </is>
      </c>
      <c r="D37" s="22" t="n">
        <v>48</v>
      </c>
      <c r="E37" s="23">
        <f>Intereses_Leasing_Mensual!I37</f>
        <v/>
      </c>
      <c r="F37" s="23">
        <f>Amortizacion_Capital_Mensual!J37</f>
        <v/>
      </c>
      <c r="G37" s="23">
        <f>Saldos_Capital_Mensual!I37</f>
        <v/>
      </c>
      <c r="H37" s="23">
        <f>Intereses_Residual_Mensual!I37</f>
        <v/>
      </c>
      <c r="I37" s="23">
        <f>ROUND(E37 + H37, 2)</f>
        <v/>
      </c>
      <c r="J37" s="23">
        <f>Intereses_Leasing_Mensual!J37</f>
        <v/>
      </c>
      <c r="K37" s="23">
        <f>Amortizacion_Capital_Mensual!K37</f>
        <v/>
      </c>
      <c r="L37" s="23">
        <f>Saldos_Capital_Mensual!J37</f>
        <v/>
      </c>
      <c r="M37" s="23">
        <f>Intereses_Residual_Mensual!J37</f>
        <v/>
      </c>
      <c r="N37" s="23">
        <f>ROUND(J37 + M37, 2)</f>
        <v/>
      </c>
      <c r="O37" s="23">
        <f>Intereses_Leasing_Mensual!K37</f>
        <v/>
      </c>
      <c r="P37" s="23">
        <f>Amortizacion_Capital_Mensual!L37</f>
        <v/>
      </c>
      <c r="Q37" s="23">
        <f>Saldos_Capital_Mensual!K37</f>
        <v/>
      </c>
      <c r="R37" s="23">
        <f>Intereses_Residual_Mensual!K37</f>
        <v/>
      </c>
      <c r="S37" s="23">
        <f>ROUND(O37 + R37, 2)</f>
        <v/>
      </c>
      <c r="T37" s="23">
        <f>Intereses_Leasing_Mensual!L37</f>
        <v/>
      </c>
      <c r="U37" s="23">
        <f>Amortizacion_Capital_Mensual!M37</f>
        <v/>
      </c>
      <c r="V37" s="23">
        <f>Saldos_Capital_Mensual!L37</f>
        <v/>
      </c>
      <c r="W37" s="23">
        <f>Intereses_Residual_Mensual!L37</f>
        <v/>
      </c>
      <c r="X37" s="23">
        <f>ROUND(T37 + W37, 2)</f>
        <v/>
      </c>
      <c r="Y37" s="23">
        <f>Intereses_Leasing_Mensual!M37</f>
        <v/>
      </c>
      <c r="Z37" s="23">
        <f>Amortizacion_Capital_Mensual!N37</f>
        <v/>
      </c>
      <c r="AA37" s="23">
        <f>Saldos_Capital_Mensual!M37</f>
        <v/>
      </c>
      <c r="AB37" s="23">
        <f>Intereses_Residual_Mensual!M37</f>
        <v/>
      </c>
      <c r="AC37" s="23">
        <f>ROUND(Y37 + AB37, 2)</f>
        <v/>
      </c>
      <c r="AD37" s="23">
        <f>Intereses_Leasing_Mensual!N37</f>
        <v/>
      </c>
      <c r="AE37" s="23">
        <f>Amortizacion_Capital_Mensual!O37</f>
        <v/>
      </c>
      <c r="AF37" s="23">
        <f>Saldos_Capital_Mensual!N37</f>
        <v/>
      </c>
      <c r="AG37" s="23">
        <f>Intereses_Residual_Mensual!N37</f>
        <v/>
      </c>
      <c r="AH37" s="23">
        <f>ROUND(AD37 + AG37, 2)</f>
        <v/>
      </c>
      <c r="AI37" s="23">
        <f>Intereses_Leasing_Mensual!O37</f>
        <v/>
      </c>
      <c r="AJ37" s="23">
        <f>Amortizacion_Capital_Mensual!P37</f>
        <v/>
      </c>
      <c r="AK37" s="23">
        <f>Saldos_Capital_Mensual!O37</f>
        <v/>
      </c>
      <c r="AL37" s="23">
        <f>Intereses_Residual_Mensual!O37</f>
        <v/>
      </c>
      <c r="AM37" s="23">
        <f>ROUND(AI37 + AL37, 2)</f>
        <v/>
      </c>
      <c r="AN37" s="23">
        <f>Intereses_Leasing_Mensual!P37</f>
        <v/>
      </c>
      <c r="AO37" s="23">
        <f>Amortizacion_Capital_Mensual!Q37</f>
        <v/>
      </c>
      <c r="AP37" s="23">
        <f>Saldos_Capital_Mensual!P37</f>
        <v/>
      </c>
      <c r="AQ37" s="23">
        <f>Intereses_Residual_Mensual!P37</f>
        <v/>
      </c>
      <c r="AR37" s="23">
        <f>ROUND(AN37 + AQ37, 2)</f>
        <v/>
      </c>
      <c r="AS37" s="23">
        <f>Intereses_Leasing_Mensual!Q37</f>
        <v/>
      </c>
      <c r="AT37" s="23">
        <f>Amortizacion_Capital_Mensual!R37</f>
        <v/>
      </c>
      <c r="AU37" s="23">
        <f>Saldos_Capital_Mensual!Q37</f>
        <v/>
      </c>
      <c r="AV37" s="23">
        <f>Intereses_Residual_Mensual!Q37</f>
        <v/>
      </c>
      <c r="AW37" s="23">
        <f>ROUND(AS37 + AV37, 2)</f>
        <v/>
      </c>
      <c r="AX37" s="23">
        <f>Intereses_Leasing_Mensual!R37</f>
        <v/>
      </c>
      <c r="AY37" s="23">
        <f>Amortizacion_Capital_Mensual!S37</f>
        <v/>
      </c>
      <c r="AZ37" s="23">
        <f>Saldos_Capital_Mensual!R37</f>
        <v/>
      </c>
      <c r="BA37" s="23">
        <f>Intereses_Residual_Mensual!R37</f>
        <v/>
      </c>
      <c r="BB37" s="23">
        <f>ROUND(AX37 + BA37, 2)</f>
        <v/>
      </c>
      <c r="BC37" s="23">
        <f>Intereses_Leasing_Mensual!S37</f>
        <v/>
      </c>
      <c r="BD37" s="23">
        <f>Amortizacion_Capital_Mensual!T37</f>
        <v/>
      </c>
      <c r="BE37" s="23">
        <f>Saldos_Capital_Mensual!S37</f>
        <v/>
      </c>
      <c r="BF37" s="23">
        <f>Intereses_Residual_Mensual!S37</f>
        <v/>
      </c>
      <c r="BG37" s="23">
        <f>ROUND(BC37 + BF37, 2)</f>
        <v/>
      </c>
      <c r="BH37" s="23">
        <f>Intereses_Leasing_Mensual!T37</f>
        <v/>
      </c>
      <c r="BI37" s="23">
        <f>Amortizacion_Capital_Mensual!U37</f>
        <v/>
      </c>
      <c r="BJ37" s="23">
        <f>Saldos_Capital_Mensual!T37</f>
        <v/>
      </c>
      <c r="BK37" s="23">
        <f>Intereses_Residual_Mensual!T37</f>
        <v/>
      </c>
      <c r="BL37" s="23">
        <f>ROUND(BH37 + BK37, 2)</f>
        <v/>
      </c>
    </row>
    <row r="38">
      <c r="A38" s="26" t="inlineStr">
        <is>
          <t>0570-0006</t>
        </is>
      </c>
      <c r="B38" s="27" t="inlineStr">
        <is>
          <t>Jalco Iluminacion Sa de Cv</t>
        </is>
      </c>
      <c r="C38" s="27" t="inlineStr">
        <is>
          <t>RAM 700 BIG HORN</t>
        </is>
      </c>
      <c r="D38" s="28" t="n">
        <v>36</v>
      </c>
      <c r="E38" s="29">
        <f>Intereses_Leasing_Mensual!I38</f>
        <v/>
      </c>
      <c r="F38" s="29">
        <f>Amortizacion_Capital_Mensual!J38</f>
        <v/>
      </c>
      <c r="G38" s="29">
        <f>Saldos_Capital_Mensual!I38</f>
        <v/>
      </c>
      <c r="H38" s="29">
        <f>Intereses_Residual_Mensual!I38</f>
        <v/>
      </c>
      <c r="I38" s="29">
        <f>ROUND(E38 + H38, 2)</f>
        <v/>
      </c>
      <c r="J38" s="29">
        <f>Intereses_Leasing_Mensual!J38</f>
        <v/>
      </c>
      <c r="K38" s="29">
        <f>Amortizacion_Capital_Mensual!K38</f>
        <v/>
      </c>
      <c r="L38" s="29">
        <f>Saldos_Capital_Mensual!J38</f>
        <v/>
      </c>
      <c r="M38" s="29">
        <f>Intereses_Residual_Mensual!J38</f>
        <v/>
      </c>
      <c r="N38" s="29">
        <f>ROUND(J38 + M38, 2)</f>
        <v/>
      </c>
      <c r="O38" s="29">
        <f>Intereses_Leasing_Mensual!K38</f>
        <v/>
      </c>
      <c r="P38" s="29">
        <f>Amortizacion_Capital_Mensual!L38</f>
        <v/>
      </c>
      <c r="Q38" s="29">
        <f>Saldos_Capital_Mensual!K38</f>
        <v/>
      </c>
      <c r="R38" s="29">
        <f>Intereses_Residual_Mensual!K38</f>
        <v/>
      </c>
      <c r="S38" s="29">
        <f>ROUND(O38 + R38, 2)</f>
        <v/>
      </c>
      <c r="T38" s="29">
        <f>Intereses_Leasing_Mensual!L38</f>
        <v/>
      </c>
      <c r="U38" s="29">
        <f>Amortizacion_Capital_Mensual!M38</f>
        <v/>
      </c>
      <c r="V38" s="29">
        <f>Saldos_Capital_Mensual!L38</f>
        <v/>
      </c>
      <c r="W38" s="29">
        <f>Intereses_Residual_Mensual!L38</f>
        <v/>
      </c>
      <c r="X38" s="29">
        <f>ROUND(T38 + W38, 2)</f>
        <v/>
      </c>
      <c r="Y38" s="29">
        <f>Intereses_Leasing_Mensual!M38</f>
        <v/>
      </c>
      <c r="Z38" s="29">
        <f>Amortizacion_Capital_Mensual!N38</f>
        <v/>
      </c>
      <c r="AA38" s="29">
        <f>Saldos_Capital_Mensual!M38</f>
        <v/>
      </c>
      <c r="AB38" s="29">
        <f>Intereses_Residual_Mensual!M38</f>
        <v/>
      </c>
      <c r="AC38" s="29">
        <f>ROUND(Y38 + AB38, 2)</f>
        <v/>
      </c>
      <c r="AD38" s="29">
        <f>Intereses_Leasing_Mensual!N38</f>
        <v/>
      </c>
      <c r="AE38" s="29">
        <f>Amortizacion_Capital_Mensual!O38</f>
        <v/>
      </c>
      <c r="AF38" s="29">
        <f>Saldos_Capital_Mensual!N38</f>
        <v/>
      </c>
      <c r="AG38" s="29">
        <f>Intereses_Residual_Mensual!N38</f>
        <v/>
      </c>
      <c r="AH38" s="29">
        <f>ROUND(AD38 + AG38, 2)</f>
        <v/>
      </c>
      <c r="AI38" s="29">
        <f>Intereses_Leasing_Mensual!O38</f>
        <v/>
      </c>
      <c r="AJ38" s="29">
        <f>Amortizacion_Capital_Mensual!P38</f>
        <v/>
      </c>
      <c r="AK38" s="29">
        <f>Saldos_Capital_Mensual!O38</f>
        <v/>
      </c>
      <c r="AL38" s="29">
        <f>Intereses_Residual_Mensual!O38</f>
        <v/>
      </c>
      <c r="AM38" s="29">
        <f>ROUND(AI38 + AL38, 2)</f>
        <v/>
      </c>
      <c r="AN38" s="29">
        <f>Intereses_Leasing_Mensual!P38</f>
        <v/>
      </c>
      <c r="AO38" s="29">
        <f>Amortizacion_Capital_Mensual!Q38</f>
        <v/>
      </c>
      <c r="AP38" s="29">
        <f>Saldos_Capital_Mensual!P38</f>
        <v/>
      </c>
      <c r="AQ38" s="29">
        <f>Intereses_Residual_Mensual!P38</f>
        <v/>
      </c>
      <c r="AR38" s="29">
        <f>ROUND(AN38 + AQ38, 2)</f>
        <v/>
      </c>
      <c r="AS38" s="29">
        <f>Intereses_Leasing_Mensual!Q38</f>
        <v/>
      </c>
      <c r="AT38" s="29">
        <f>Amortizacion_Capital_Mensual!R38</f>
        <v/>
      </c>
      <c r="AU38" s="29">
        <f>Saldos_Capital_Mensual!Q38</f>
        <v/>
      </c>
      <c r="AV38" s="29">
        <f>Intereses_Residual_Mensual!Q38</f>
        <v/>
      </c>
      <c r="AW38" s="29">
        <f>ROUND(AS38 + AV38, 2)</f>
        <v/>
      </c>
      <c r="AX38" s="29">
        <f>Intereses_Leasing_Mensual!R38</f>
        <v/>
      </c>
      <c r="AY38" s="29">
        <f>Amortizacion_Capital_Mensual!S38</f>
        <v/>
      </c>
      <c r="AZ38" s="29">
        <f>Saldos_Capital_Mensual!R38</f>
        <v/>
      </c>
      <c r="BA38" s="29">
        <f>Intereses_Residual_Mensual!R38</f>
        <v/>
      </c>
      <c r="BB38" s="29">
        <f>ROUND(AX38 + BA38, 2)</f>
        <v/>
      </c>
      <c r="BC38" s="29">
        <f>Intereses_Leasing_Mensual!S38</f>
        <v/>
      </c>
      <c r="BD38" s="29">
        <f>Amortizacion_Capital_Mensual!T38</f>
        <v/>
      </c>
      <c r="BE38" s="29">
        <f>Saldos_Capital_Mensual!S38</f>
        <v/>
      </c>
      <c r="BF38" s="29">
        <f>Intereses_Residual_Mensual!S38</f>
        <v/>
      </c>
      <c r="BG38" s="29">
        <f>ROUND(BC38 + BF38, 2)</f>
        <v/>
      </c>
      <c r="BH38" s="29">
        <f>Intereses_Leasing_Mensual!T38</f>
        <v/>
      </c>
      <c r="BI38" s="29">
        <f>Amortizacion_Capital_Mensual!U38</f>
        <v/>
      </c>
      <c r="BJ38" s="29">
        <f>Saldos_Capital_Mensual!T38</f>
        <v/>
      </c>
      <c r="BK38" s="29">
        <f>Intereses_Residual_Mensual!T38</f>
        <v/>
      </c>
      <c r="BL38" s="29">
        <f>ROUND(BH38 + BK38, 2)</f>
        <v/>
      </c>
    </row>
    <row r="39">
      <c r="A39" s="20" t="inlineStr">
        <is>
          <t>0573-0007</t>
        </is>
      </c>
      <c r="B39" s="21" t="inlineStr">
        <is>
          <t>Ar Marketing Sa de Cv</t>
        </is>
      </c>
      <c r="C39" s="21" t="inlineStr">
        <is>
          <t>Promaster Rapid</t>
        </is>
      </c>
      <c r="D39" s="22" t="n">
        <v>36</v>
      </c>
      <c r="E39" s="23">
        <f>Intereses_Leasing_Mensual!I39</f>
        <v/>
      </c>
      <c r="F39" s="23">
        <f>Amortizacion_Capital_Mensual!J39</f>
        <v/>
      </c>
      <c r="G39" s="23">
        <f>Saldos_Capital_Mensual!I39</f>
        <v/>
      </c>
      <c r="H39" s="23">
        <f>Intereses_Residual_Mensual!I39</f>
        <v/>
      </c>
      <c r="I39" s="23">
        <f>ROUND(E39 + H39, 2)</f>
        <v/>
      </c>
      <c r="J39" s="23">
        <f>Intereses_Leasing_Mensual!J39</f>
        <v/>
      </c>
      <c r="K39" s="23">
        <f>Amortizacion_Capital_Mensual!K39</f>
        <v/>
      </c>
      <c r="L39" s="23">
        <f>Saldos_Capital_Mensual!J39</f>
        <v/>
      </c>
      <c r="M39" s="23">
        <f>Intereses_Residual_Mensual!J39</f>
        <v/>
      </c>
      <c r="N39" s="23">
        <f>ROUND(J39 + M39, 2)</f>
        <v/>
      </c>
      <c r="O39" s="23">
        <f>Intereses_Leasing_Mensual!K39</f>
        <v/>
      </c>
      <c r="P39" s="23">
        <f>Amortizacion_Capital_Mensual!L39</f>
        <v/>
      </c>
      <c r="Q39" s="23">
        <f>Saldos_Capital_Mensual!K39</f>
        <v/>
      </c>
      <c r="R39" s="23">
        <f>Intereses_Residual_Mensual!K39</f>
        <v/>
      </c>
      <c r="S39" s="23">
        <f>ROUND(O39 + R39, 2)</f>
        <v/>
      </c>
      <c r="T39" s="23">
        <f>Intereses_Leasing_Mensual!L39</f>
        <v/>
      </c>
      <c r="U39" s="23">
        <f>Amortizacion_Capital_Mensual!M39</f>
        <v/>
      </c>
      <c r="V39" s="23">
        <f>Saldos_Capital_Mensual!L39</f>
        <v/>
      </c>
      <c r="W39" s="23">
        <f>Intereses_Residual_Mensual!L39</f>
        <v/>
      </c>
      <c r="X39" s="23">
        <f>ROUND(T39 + W39, 2)</f>
        <v/>
      </c>
      <c r="Y39" s="23">
        <f>Intereses_Leasing_Mensual!M39</f>
        <v/>
      </c>
      <c r="Z39" s="23">
        <f>Amortizacion_Capital_Mensual!N39</f>
        <v/>
      </c>
      <c r="AA39" s="23">
        <f>Saldos_Capital_Mensual!M39</f>
        <v/>
      </c>
      <c r="AB39" s="23">
        <f>Intereses_Residual_Mensual!M39</f>
        <v/>
      </c>
      <c r="AC39" s="23">
        <f>ROUND(Y39 + AB39, 2)</f>
        <v/>
      </c>
      <c r="AD39" s="23">
        <f>Intereses_Leasing_Mensual!N39</f>
        <v/>
      </c>
      <c r="AE39" s="23">
        <f>Amortizacion_Capital_Mensual!O39</f>
        <v/>
      </c>
      <c r="AF39" s="23">
        <f>Saldos_Capital_Mensual!N39</f>
        <v/>
      </c>
      <c r="AG39" s="23">
        <f>Intereses_Residual_Mensual!N39</f>
        <v/>
      </c>
      <c r="AH39" s="23">
        <f>ROUND(AD39 + AG39, 2)</f>
        <v/>
      </c>
      <c r="AI39" s="23">
        <f>Intereses_Leasing_Mensual!O39</f>
        <v/>
      </c>
      <c r="AJ39" s="23">
        <f>Amortizacion_Capital_Mensual!P39</f>
        <v/>
      </c>
      <c r="AK39" s="23">
        <f>Saldos_Capital_Mensual!O39</f>
        <v/>
      </c>
      <c r="AL39" s="23">
        <f>Intereses_Residual_Mensual!O39</f>
        <v/>
      </c>
      <c r="AM39" s="23">
        <f>ROUND(AI39 + AL39, 2)</f>
        <v/>
      </c>
      <c r="AN39" s="23">
        <f>Intereses_Leasing_Mensual!P39</f>
        <v/>
      </c>
      <c r="AO39" s="23">
        <f>Amortizacion_Capital_Mensual!Q39</f>
        <v/>
      </c>
      <c r="AP39" s="23">
        <f>Saldos_Capital_Mensual!P39</f>
        <v/>
      </c>
      <c r="AQ39" s="23">
        <f>Intereses_Residual_Mensual!P39</f>
        <v/>
      </c>
      <c r="AR39" s="23">
        <f>ROUND(AN39 + AQ39, 2)</f>
        <v/>
      </c>
      <c r="AS39" s="23">
        <f>Intereses_Leasing_Mensual!Q39</f>
        <v/>
      </c>
      <c r="AT39" s="23">
        <f>Amortizacion_Capital_Mensual!R39</f>
        <v/>
      </c>
      <c r="AU39" s="23">
        <f>Saldos_Capital_Mensual!Q39</f>
        <v/>
      </c>
      <c r="AV39" s="23">
        <f>Intereses_Residual_Mensual!Q39</f>
        <v/>
      </c>
      <c r="AW39" s="23">
        <f>ROUND(AS39 + AV39, 2)</f>
        <v/>
      </c>
      <c r="AX39" s="23">
        <f>Intereses_Leasing_Mensual!R39</f>
        <v/>
      </c>
      <c r="AY39" s="23">
        <f>Amortizacion_Capital_Mensual!S39</f>
        <v/>
      </c>
      <c r="AZ39" s="23">
        <f>Saldos_Capital_Mensual!R39</f>
        <v/>
      </c>
      <c r="BA39" s="23">
        <f>Intereses_Residual_Mensual!R39</f>
        <v/>
      </c>
      <c r="BB39" s="23">
        <f>ROUND(AX39 + BA39, 2)</f>
        <v/>
      </c>
      <c r="BC39" s="23">
        <f>Intereses_Leasing_Mensual!S39</f>
        <v/>
      </c>
      <c r="BD39" s="23">
        <f>Amortizacion_Capital_Mensual!T39</f>
        <v/>
      </c>
      <c r="BE39" s="23">
        <f>Saldos_Capital_Mensual!S39</f>
        <v/>
      </c>
      <c r="BF39" s="23">
        <f>Intereses_Residual_Mensual!S39</f>
        <v/>
      </c>
      <c r="BG39" s="23">
        <f>ROUND(BC39 + BF39, 2)</f>
        <v/>
      </c>
      <c r="BH39" s="23">
        <f>Intereses_Leasing_Mensual!T39</f>
        <v/>
      </c>
      <c r="BI39" s="23">
        <f>Amortizacion_Capital_Mensual!U39</f>
        <v/>
      </c>
      <c r="BJ39" s="23">
        <f>Saldos_Capital_Mensual!T39</f>
        <v/>
      </c>
      <c r="BK39" s="23">
        <f>Intereses_Residual_Mensual!T39</f>
        <v/>
      </c>
      <c r="BL39" s="23">
        <f>ROUND(BH39 + BK39, 2)</f>
        <v/>
      </c>
    </row>
    <row r="40">
      <c r="A40" s="26" t="inlineStr">
        <is>
          <t>0573-0008</t>
        </is>
      </c>
      <c r="B40" s="27" t="inlineStr">
        <is>
          <t>Ar Marketing Sa de Cv</t>
        </is>
      </c>
      <c r="C40" s="27" t="inlineStr">
        <is>
          <t>Promaster Rapid</t>
        </is>
      </c>
      <c r="D40" s="28" t="n">
        <v>36</v>
      </c>
      <c r="E40" s="29">
        <f>Intereses_Leasing_Mensual!I40</f>
        <v/>
      </c>
      <c r="F40" s="29">
        <f>Amortizacion_Capital_Mensual!J40</f>
        <v/>
      </c>
      <c r="G40" s="29">
        <f>Saldos_Capital_Mensual!I40</f>
        <v/>
      </c>
      <c r="H40" s="29">
        <f>Intereses_Residual_Mensual!I40</f>
        <v/>
      </c>
      <c r="I40" s="29">
        <f>ROUND(E40 + H40, 2)</f>
        <v/>
      </c>
      <c r="J40" s="29">
        <f>Intereses_Leasing_Mensual!J40</f>
        <v/>
      </c>
      <c r="K40" s="29">
        <f>Amortizacion_Capital_Mensual!K40</f>
        <v/>
      </c>
      <c r="L40" s="29">
        <f>Saldos_Capital_Mensual!J40</f>
        <v/>
      </c>
      <c r="M40" s="29">
        <f>Intereses_Residual_Mensual!J40</f>
        <v/>
      </c>
      <c r="N40" s="29">
        <f>ROUND(J40 + M40, 2)</f>
        <v/>
      </c>
      <c r="O40" s="29">
        <f>Intereses_Leasing_Mensual!K40</f>
        <v/>
      </c>
      <c r="P40" s="29">
        <f>Amortizacion_Capital_Mensual!L40</f>
        <v/>
      </c>
      <c r="Q40" s="29">
        <f>Saldos_Capital_Mensual!K40</f>
        <v/>
      </c>
      <c r="R40" s="29">
        <f>Intereses_Residual_Mensual!K40</f>
        <v/>
      </c>
      <c r="S40" s="29">
        <f>ROUND(O40 + R40, 2)</f>
        <v/>
      </c>
      <c r="T40" s="29">
        <f>Intereses_Leasing_Mensual!L40</f>
        <v/>
      </c>
      <c r="U40" s="29">
        <f>Amortizacion_Capital_Mensual!M40</f>
        <v/>
      </c>
      <c r="V40" s="29">
        <f>Saldos_Capital_Mensual!L40</f>
        <v/>
      </c>
      <c r="W40" s="29">
        <f>Intereses_Residual_Mensual!L40</f>
        <v/>
      </c>
      <c r="X40" s="29">
        <f>ROUND(T40 + W40, 2)</f>
        <v/>
      </c>
      <c r="Y40" s="29">
        <f>Intereses_Leasing_Mensual!M40</f>
        <v/>
      </c>
      <c r="Z40" s="29">
        <f>Amortizacion_Capital_Mensual!N40</f>
        <v/>
      </c>
      <c r="AA40" s="29">
        <f>Saldos_Capital_Mensual!M40</f>
        <v/>
      </c>
      <c r="AB40" s="29">
        <f>Intereses_Residual_Mensual!M40</f>
        <v/>
      </c>
      <c r="AC40" s="29">
        <f>ROUND(Y40 + AB40, 2)</f>
        <v/>
      </c>
      <c r="AD40" s="29">
        <f>Intereses_Leasing_Mensual!N40</f>
        <v/>
      </c>
      <c r="AE40" s="29">
        <f>Amortizacion_Capital_Mensual!O40</f>
        <v/>
      </c>
      <c r="AF40" s="29">
        <f>Saldos_Capital_Mensual!N40</f>
        <v/>
      </c>
      <c r="AG40" s="29">
        <f>Intereses_Residual_Mensual!N40</f>
        <v/>
      </c>
      <c r="AH40" s="29">
        <f>ROUND(AD40 + AG40, 2)</f>
        <v/>
      </c>
      <c r="AI40" s="29">
        <f>Intereses_Leasing_Mensual!O40</f>
        <v/>
      </c>
      <c r="AJ40" s="29">
        <f>Amortizacion_Capital_Mensual!P40</f>
        <v/>
      </c>
      <c r="AK40" s="29">
        <f>Saldos_Capital_Mensual!O40</f>
        <v/>
      </c>
      <c r="AL40" s="29">
        <f>Intereses_Residual_Mensual!O40</f>
        <v/>
      </c>
      <c r="AM40" s="29">
        <f>ROUND(AI40 + AL40, 2)</f>
        <v/>
      </c>
      <c r="AN40" s="29">
        <f>Intereses_Leasing_Mensual!P40</f>
        <v/>
      </c>
      <c r="AO40" s="29">
        <f>Amortizacion_Capital_Mensual!Q40</f>
        <v/>
      </c>
      <c r="AP40" s="29">
        <f>Saldos_Capital_Mensual!P40</f>
        <v/>
      </c>
      <c r="AQ40" s="29">
        <f>Intereses_Residual_Mensual!P40</f>
        <v/>
      </c>
      <c r="AR40" s="29">
        <f>ROUND(AN40 + AQ40, 2)</f>
        <v/>
      </c>
      <c r="AS40" s="29">
        <f>Intereses_Leasing_Mensual!Q40</f>
        <v/>
      </c>
      <c r="AT40" s="29">
        <f>Amortizacion_Capital_Mensual!R40</f>
        <v/>
      </c>
      <c r="AU40" s="29">
        <f>Saldos_Capital_Mensual!Q40</f>
        <v/>
      </c>
      <c r="AV40" s="29">
        <f>Intereses_Residual_Mensual!Q40</f>
        <v/>
      </c>
      <c r="AW40" s="29">
        <f>ROUND(AS40 + AV40, 2)</f>
        <v/>
      </c>
      <c r="AX40" s="29">
        <f>Intereses_Leasing_Mensual!R40</f>
        <v/>
      </c>
      <c r="AY40" s="29">
        <f>Amortizacion_Capital_Mensual!S40</f>
        <v/>
      </c>
      <c r="AZ40" s="29">
        <f>Saldos_Capital_Mensual!R40</f>
        <v/>
      </c>
      <c r="BA40" s="29">
        <f>Intereses_Residual_Mensual!R40</f>
        <v/>
      </c>
      <c r="BB40" s="29">
        <f>ROUND(AX40 + BA40, 2)</f>
        <v/>
      </c>
      <c r="BC40" s="29">
        <f>Intereses_Leasing_Mensual!S40</f>
        <v/>
      </c>
      <c r="BD40" s="29">
        <f>Amortizacion_Capital_Mensual!T40</f>
        <v/>
      </c>
      <c r="BE40" s="29">
        <f>Saldos_Capital_Mensual!S40</f>
        <v/>
      </c>
      <c r="BF40" s="29">
        <f>Intereses_Residual_Mensual!S40</f>
        <v/>
      </c>
      <c r="BG40" s="29">
        <f>ROUND(BC40 + BF40, 2)</f>
        <v/>
      </c>
      <c r="BH40" s="29">
        <f>Intereses_Leasing_Mensual!T40</f>
        <v/>
      </c>
      <c r="BI40" s="29">
        <f>Amortizacion_Capital_Mensual!U40</f>
        <v/>
      </c>
      <c r="BJ40" s="29">
        <f>Saldos_Capital_Mensual!T40</f>
        <v/>
      </c>
      <c r="BK40" s="29">
        <f>Intereses_Residual_Mensual!T40</f>
        <v/>
      </c>
      <c r="BL40" s="29">
        <f>ROUND(BH40 + BK40, 2)</f>
        <v/>
      </c>
    </row>
    <row r="41">
      <c r="A41" s="20" t="inlineStr">
        <is>
          <t>0573-0009</t>
        </is>
      </c>
      <c r="B41" s="21" t="inlineStr">
        <is>
          <t>Ar Marketing Sa de Cv</t>
        </is>
      </c>
      <c r="C41" s="21" t="inlineStr">
        <is>
          <t>Partner</t>
        </is>
      </c>
      <c r="D41" s="22" t="n">
        <v>36</v>
      </c>
      <c r="E41" s="23">
        <f>Intereses_Leasing_Mensual!I41</f>
        <v/>
      </c>
      <c r="F41" s="23">
        <f>Amortizacion_Capital_Mensual!J41</f>
        <v/>
      </c>
      <c r="G41" s="23">
        <f>Saldos_Capital_Mensual!I41</f>
        <v/>
      </c>
      <c r="H41" s="23">
        <f>Intereses_Residual_Mensual!I41</f>
        <v/>
      </c>
      <c r="I41" s="23">
        <f>ROUND(E41 + H41, 2)</f>
        <v/>
      </c>
      <c r="J41" s="23">
        <f>Intereses_Leasing_Mensual!J41</f>
        <v/>
      </c>
      <c r="K41" s="23">
        <f>Amortizacion_Capital_Mensual!K41</f>
        <v/>
      </c>
      <c r="L41" s="23">
        <f>Saldos_Capital_Mensual!J41</f>
        <v/>
      </c>
      <c r="M41" s="23">
        <f>Intereses_Residual_Mensual!J41</f>
        <v/>
      </c>
      <c r="N41" s="23">
        <f>ROUND(J41 + M41, 2)</f>
        <v/>
      </c>
      <c r="O41" s="23">
        <f>Intereses_Leasing_Mensual!K41</f>
        <v/>
      </c>
      <c r="P41" s="23">
        <f>Amortizacion_Capital_Mensual!L41</f>
        <v/>
      </c>
      <c r="Q41" s="23">
        <f>Saldos_Capital_Mensual!K41</f>
        <v/>
      </c>
      <c r="R41" s="23">
        <f>Intereses_Residual_Mensual!K41</f>
        <v/>
      </c>
      <c r="S41" s="23">
        <f>ROUND(O41 + R41, 2)</f>
        <v/>
      </c>
      <c r="T41" s="23">
        <f>Intereses_Leasing_Mensual!L41</f>
        <v/>
      </c>
      <c r="U41" s="23">
        <f>Amortizacion_Capital_Mensual!M41</f>
        <v/>
      </c>
      <c r="V41" s="23">
        <f>Saldos_Capital_Mensual!L41</f>
        <v/>
      </c>
      <c r="W41" s="23">
        <f>Intereses_Residual_Mensual!L41</f>
        <v/>
      </c>
      <c r="X41" s="23">
        <f>ROUND(T41 + W41, 2)</f>
        <v/>
      </c>
      <c r="Y41" s="23">
        <f>Intereses_Leasing_Mensual!M41</f>
        <v/>
      </c>
      <c r="Z41" s="23">
        <f>Amortizacion_Capital_Mensual!N41</f>
        <v/>
      </c>
      <c r="AA41" s="23">
        <f>Saldos_Capital_Mensual!M41</f>
        <v/>
      </c>
      <c r="AB41" s="23">
        <f>Intereses_Residual_Mensual!M41</f>
        <v/>
      </c>
      <c r="AC41" s="23">
        <f>ROUND(Y41 + AB41, 2)</f>
        <v/>
      </c>
      <c r="AD41" s="23">
        <f>Intereses_Leasing_Mensual!N41</f>
        <v/>
      </c>
      <c r="AE41" s="23">
        <f>Amortizacion_Capital_Mensual!O41</f>
        <v/>
      </c>
      <c r="AF41" s="23">
        <f>Saldos_Capital_Mensual!N41</f>
        <v/>
      </c>
      <c r="AG41" s="23">
        <f>Intereses_Residual_Mensual!N41</f>
        <v/>
      </c>
      <c r="AH41" s="23">
        <f>ROUND(AD41 + AG41, 2)</f>
        <v/>
      </c>
      <c r="AI41" s="23">
        <f>Intereses_Leasing_Mensual!O41</f>
        <v/>
      </c>
      <c r="AJ41" s="23">
        <f>Amortizacion_Capital_Mensual!P41</f>
        <v/>
      </c>
      <c r="AK41" s="23">
        <f>Saldos_Capital_Mensual!O41</f>
        <v/>
      </c>
      <c r="AL41" s="23">
        <f>Intereses_Residual_Mensual!O41</f>
        <v/>
      </c>
      <c r="AM41" s="23">
        <f>ROUND(AI41 + AL41, 2)</f>
        <v/>
      </c>
      <c r="AN41" s="23">
        <f>Intereses_Leasing_Mensual!P41</f>
        <v/>
      </c>
      <c r="AO41" s="23">
        <f>Amortizacion_Capital_Mensual!Q41</f>
        <v/>
      </c>
      <c r="AP41" s="23">
        <f>Saldos_Capital_Mensual!P41</f>
        <v/>
      </c>
      <c r="AQ41" s="23">
        <f>Intereses_Residual_Mensual!P41</f>
        <v/>
      </c>
      <c r="AR41" s="23">
        <f>ROUND(AN41 + AQ41, 2)</f>
        <v/>
      </c>
      <c r="AS41" s="23">
        <f>Intereses_Leasing_Mensual!Q41</f>
        <v/>
      </c>
      <c r="AT41" s="23">
        <f>Amortizacion_Capital_Mensual!R41</f>
        <v/>
      </c>
      <c r="AU41" s="23">
        <f>Saldos_Capital_Mensual!Q41</f>
        <v/>
      </c>
      <c r="AV41" s="23">
        <f>Intereses_Residual_Mensual!Q41</f>
        <v/>
      </c>
      <c r="AW41" s="23">
        <f>ROUND(AS41 + AV41, 2)</f>
        <v/>
      </c>
      <c r="AX41" s="23">
        <f>Intereses_Leasing_Mensual!R41</f>
        <v/>
      </c>
      <c r="AY41" s="23">
        <f>Amortizacion_Capital_Mensual!S41</f>
        <v/>
      </c>
      <c r="AZ41" s="23">
        <f>Saldos_Capital_Mensual!R41</f>
        <v/>
      </c>
      <c r="BA41" s="23">
        <f>Intereses_Residual_Mensual!R41</f>
        <v/>
      </c>
      <c r="BB41" s="23">
        <f>ROUND(AX41 + BA41, 2)</f>
        <v/>
      </c>
      <c r="BC41" s="23">
        <f>Intereses_Leasing_Mensual!S41</f>
        <v/>
      </c>
      <c r="BD41" s="23">
        <f>Amortizacion_Capital_Mensual!T41</f>
        <v/>
      </c>
      <c r="BE41" s="23">
        <f>Saldos_Capital_Mensual!S41</f>
        <v/>
      </c>
      <c r="BF41" s="23">
        <f>Intereses_Residual_Mensual!S41</f>
        <v/>
      </c>
      <c r="BG41" s="23">
        <f>ROUND(BC41 + BF41, 2)</f>
        <v/>
      </c>
      <c r="BH41" s="23">
        <f>Intereses_Leasing_Mensual!T41</f>
        <v/>
      </c>
      <c r="BI41" s="23">
        <f>Amortizacion_Capital_Mensual!U41</f>
        <v/>
      </c>
      <c r="BJ41" s="23">
        <f>Saldos_Capital_Mensual!T41</f>
        <v/>
      </c>
      <c r="BK41" s="23">
        <f>Intereses_Residual_Mensual!T41</f>
        <v/>
      </c>
      <c r="BL41" s="23">
        <f>ROUND(BH41 + BK41, 2)</f>
        <v/>
      </c>
    </row>
    <row r="42">
      <c r="A42" s="26" t="inlineStr">
        <is>
          <t>0580-0001</t>
        </is>
      </c>
      <c r="B42" s="27" t="inlineStr">
        <is>
          <t>YOLANDA AVALOS CARDENAS</t>
        </is>
      </c>
      <c r="C42" s="27" t="inlineStr">
        <is>
          <t>Mojave</t>
        </is>
      </c>
      <c r="D42" s="28" t="n">
        <v>48</v>
      </c>
      <c r="E42" s="29">
        <f>Intereses_Leasing_Mensual!I42</f>
        <v/>
      </c>
      <c r="F42" s="29">
        <f>Amortizacion_Capital_Mensual!J42</f>
        <v/>
      </c>
      <c r="G42" s="29">
        <f>Saldos_Capital_Mensual!I42</f>
        <v/>
      </c>
      <c r="H42" s="29">
        <f>Intereses_Residual_Mensual!I42</f>
        <v/>
      </c>
      <c r="I42" s="29">
        <f>ROUND(E42 + H42, 2)</f>
        <v/>
      </c>
      <c r="J42" s="29">
        <f>Intereses_Leasing_Mensual!J42</f>
        <v/>
      </c>
      <c r="K42" s="29">
        <f>Amortizacion_Capital_Mensual!K42</f>
        <v/>
      </c>
      <c r="L42" s="29">
        <f>Saldos_Capital_Mensual!J42</f>
        <v/>
      </c>
      <c r="M42" s="29">
        <f>Intereses_Residual_Mensual!J42</f>
        <v/>
      </c>
      <c r="N42" s="29">
        <f>ROUND(J42 + M42, 2)</f>
        <v/>
      </c>
      <c r="O42" s="29">
        <f>Intereses_Leasing_Mensual!K42</f>
        <v/>
      </c>
      <c r="P42" s="29">
        <f>Amortizacion_Capital_Mensual!L42</f>
        <v/>
      </c>
      <c r="Q42" s="29">
        <f>Saldos_Capital_Mensual!K42</f>
        <v/>
      </c>
      <c r="R42" s="29">
        <f>Intereses_Residual_Mensual!K42</f>
        <v/>
      </c>
      <c r="S42" s="29">
        <f>ROUND(O42 + R42, 2)</f>
        <v/>
      </c>
      <c r="T42" s="29">
        <f>Intereses_Leasing_Mensual!L42</f>
        <v/>
      </c>
      <c r="U42" s="29">
        <f>Amortizacion_Capital_Mensual!M42</f>
        <v/>
      </c>
      <c r="V42" s="29">
        <f>Saldos_Capital_Mensual!L42</f>
        <v/>
      </c>
      <c r="W42" s="29">
        <f>Intereses_Residual_Mensual!L42</f>
        <v/>
      </c>
      <c r="X42" s="29">
        <f>ROUND(T42 + W42, 2)</f>
        <v/>
      </c>
      <c r="Y42" s="29">
        <f>Intereses_Leasing_Mensual!M42</f>
        <v/>
      </c>
      <c r="Z42" s="29">
        <f>Amortizacion_Capital_Mensual!N42</f>
        <v/>
      </c>
      <c r="AA42" s="29">
        <f>Saldos_Capital_Mensual!M42</f>
        <v/>
      </c>
      <c r="AB42" s="29">
        <f>Intereses_Residual_Mensual!M42</f>
        <v/>
      </c>
      <c r="AC42" s="29">
        <f>ROUND(Y42 + AB42, 2)</f>
        <v/>
      </c>
      <c r="AD42" s="29">
        <f>Intereses_Leasing_Mensual!N42</f>
        <v/>
      </c>
      <c r="AE42" s="29">
        <f>Amortizacion_Capital_Mensual!O42</f>
        <v/>
      </c>
      <c r="AF42" s="29">
        <f>Saldos_Capital_Mensual!N42</f>
        <v/>
      </c>
      <c r="AG42" s="29">
        <f>Intereses_Residual_Mensual!N42</f>
        <v/>
      </c>
      <c r="AH42" s="29">
        <f>ROUND(AD42 + AG42, 2)</f>
        <v/>
      </c>
      <c r="AI42" s="29">
        <f>Intereses_Leasing_Mensual!O42</f>
        <v/>
      </c>
      <c r="AJ42" s="29">
        <f>Amortizacion_Capital_Mensual!P42</f>
        <v/>
      </c>
      <c r="AK42" s="29">
        <f>Saldos_Capital_Mensual!O42</f>
        <v/>
      </c>
      <c r="AL42" s="29">
        <f>Intereses_Residual_Mensual!O42</f>
        <v/>
      </c>
      <c r="AM42" s="29">
        <f>ROUND(AI42 + AL42, 2)</f>
        <v/>
      </c>
      <c r="AN42" s="29">
        <f>Intereses_Leasing_Mensual!P42</f>
        <v/>
      </c>
      <c r="AO42" s="29">
        <f>Amortizacion_Capital_Mensual!Q42</f>
        <v/>
      </c>
      <c r="AP42" s="29">
        <f>Saldos_Capital_Mensual!P42</f>
        <v/>
      </c>
      <c r="AQ42" s="29">
        <f>Intereses_Residual_Mensual!P42</f>
        <v/>
      </c>
      <c r="AR42" s="29">
        <f>ROUND(AN42 + AQ42, 2)</f>
        <v/>
      </c>
      <c r="AS42" s="29">
        <f>Intereses_Leasing_Mensual!Q42</f>
        <v/>
      </c>
      <c r="AT42" s="29">
        <f>Amortizacion_Capital_Mensual!R42</f>
        <v/>
      </c>
      <c r="AU42" s="29">
        <f>Saldos_Capital_Mensual!Q42</f>
        <v/>
      </c>
      <c r="AV42" s="29">
        <f>Intereses_Residual_Mensual!Q42</f>
        <v/>
      </c>
      <c r="AW42" s="29">
        <f>ROUND(AS42 + AV42, 2)</f>
        <v/>
      </c>
      <c r="AX42" s="29">
        <f>Intereses_Leasing_Mensual!R42</f>
        <v/>
      </c>
      <c r="AY42" s="29">
        <f>Amortizacion_Capital_Mensual!S42</f>
        <v/>
      </c>
      <c r="AZ42" s="29">
        <f>Saldos_Capital_Mensual!R42</f>
        <v/>
      </c>
      <c r="BA42" s="29">
        <f>Intereses_Residual_Mensual!R42</f>
        <v/>
      </c>
      <c r="BB42" s="29">
        <f>ROUND(AX42 + BA42, 2)</f>
        <v/>
      </c>
      <c r="BC42" s="29">
        <f>Intereses_Leasing_Mensual!S42</f>
        <v/>
      </c>
      <c r="BD42" s="29">
        <f>Amortizacion_Capital_Mensual!T42</f>
        <v/>
      </c>
      <c r="BE42" s="29">
        <f>Saldos_Capital_Mensual!S42</f>
        <v/>
      </c>
      <c r="BF42" s="29">
        <f>Intereses_Residual_Mensual!S42</f>
        <v/>
      </c>
      <c r="BG42" s="29">
        <f>ROUND(BC42 + BF42, 2)</f>
        <v/>
      </c>
      <c r="BH42" s="29">
        <f>Intereses_Leasing_Mensual!T42</f>
        <v/>
      </c>
      <c r="BI42" s="29">
        <f>Amortizacion_Capital_Mensual!U42</f>
        <v/>
      </c>
      <c r="BJ42" s="29">
        <f>Saldos_Capital_Mensual!T42</f>
        <v/>
      </c>
      <c r="BK42" s="29">
        <f>Intereses_Residual_Mensual!T42</f>
        <v/>
      </c>
      <c r="BL42" s="29">
        <f>ROUND(BH42 + BK42, 2)</f>
        <v/>
      </c>
    </row>
    <row r="43">
      <c r="A43" s="20" t="inlineStr">
        <is>
          <t>0581-0001</t>
        </is>
      </c>
      <c r="B43" s="21" t="inlineStr">
        <is>
          <t>Aditivos y Vitaminas Mexicanas Sa de Cv</t>
        </is>
      </c>
      <c r="C43" s="21" t="inlineStr">
        <is>
          <t>RAM 700 REGULAR CAB</t>
        </is>
      </c>
      <c r="D43" s="22" t="n">
        <v>48</v>
      </c>
      <c r="E43" s="23">
        <f>Intereses_Leasing_Mensual!I43</f>
        <v/>
      </c>
      <c r="F43" s="23">
        <f>Amortizacion_Capital_Mensual!J43</f>
        <v/>
      </c>
      <c r="G43" s="23">
        <f>Saldos_Capital_Mensual!I43</f>
        <v/>
      </c>
      <c r="H43" s="23">
        <f>Intereses_Residual_Mensual!I43</f>
        <v/>
      </c>
      <c r="I43" s="23">
        <f>ROUND(E43 + H43, 2)</f>
        <v/>
      </c>
      <c r="J43" s="23">
        <f>Intereses_Leasing_Mensual!J43</f>
        <v/>
      </c>
      <c r="K43" s="23">
        <f>Amortizacion_Capital_Mensual!K43</f>
        <v/>
      </c>
      <c r="L43" s="23">
        <f>Saldos_Capital_Mensual!J43</f>
        <v/>
      </c>
      <c r="M43" s="23">
        <f>Intereses_Residual_Mensual!J43</f>
        <v/>
      </c>
      <c r="N43" s="23">
        <f>ROUND(J43 + M43, 2)</f>
        <v/>
      </c>
      <c r="O43" s="23">
        <f>Intereses_Leasing_Mensual!K43</f>
        <v/>
      </c>
      <c r="P43" s="23">
        <f>Amortizacion_Capital_Mensual!L43</f>
        <v/>
      </c>
      <c r="Q43" s="23">
        <f>Saldos_Capital_Mensual!K43</f>
        <v/>
      </c>
      <c r="R43" s="23">
        <f>Intereses_Residual_Mensual!K43</f>
        <v/>
      </c>
      <c r="S43" s="23">
        <f>ROUND(O43 + R43, 2)</f>
        <v/>
      </c>
      <c r="T43" s="23">
        <f>Intereses_Leasing_Mensual!L43</f>
        <v/>
      </c>
      <c r="U43" s="23">
        <f>Amortizacion_Capital_Mensual!M43</f>
        <v/>
      </c>
      <c r="V43" s="23">
        <f>Saldos_Capital_Mensual!L43</f>
        <v/>
      </c>
      <c r="W43" s="23">
        <f>Intereses_Residual_Mensual!L43</f>
        <v/>
      </c>
      <c r="X43" s="23">
        <f>ROUND(T43 + W43, 2)</f>
        <v/>
      </c>
      <c r="Y43" s="23">
        <f>Intereses_Leasing_Mensual!M43</f>
        <v/>
      </c>
      <c r="Z43" s="23">
        <f>Amortizacion_Capital_Mensual!N43</f>
        <v/>
      </c>
      <c r="AA43" s="23">
        <f>Saldos_Capital_Mensual!M43</f>
        <v/>
      </c>
      <c r="AB43" s="23">
        <f>Intereses_Residual_Mensual!M43</f>
        <v/>
      </c>
      <c r="AC43" s="23">
        <f>ROUND(Y43 + AB43, 2)</f>
        <v/>
      </c>
      <c r="AD43" s="23">
        <f>Intereses_Leasing_Mensual!N43</f>
        <v/>
      </c>
      <c r="AE43" s="23">
        <f>Amortizacion_Capital_Mensual!O43</f>
        <v/>
      </c>
      <c r="AF43" s="23">
        <f>Saldos_Capital_Mensual!N43</f>
        <v/>
      </c>
      <c r="AG43" s="23">
        <f>Intereses_Residual_Mensual!N43</f>
        <v/>
      </c>
      <c r="AH43" s="23">
        <f>ROUND(AD43 + AG43, 2)</f>
        <v/>
      </c>
      <c r="AI43" s="23">
        <f>Intereses_Leasing_Mensual!O43</f>
        <v/>
      </c>
      <c r="AJ43" s="23">
        <f>Amortizacion_Capital_Mensual!P43</f>
        <v/>
      </c>
      <c r="AK43" s="23">
        <f>Saldos_Capital_Mensual!O43</f>
        <v/>
      </c>
      <c r="AL43" s="23">
        <f>Intereses_Residual_Mensual!O43</f>
        <v/>
      </c>
      <c r="AM43" s="23">
        <f>ROUND(AI43 + AL43, 2)</f>
        <v/>
      </c>
      <c r="AN43" s="23">
        <f>Intereses_Leasing_Mensual!P43</f>
        <v/>
      </c>
      <c r="AO43" s="23">
        <f>Amortizacion_Capital_Mensual!Q43</f>
        <v/>
      </c>
      <c r="AP43" s="23">
        <f>Saldos_Capital_Mensual!P43</f>
        <v/>
      </c>
      <c r="AQ43" s="23">
        <f>Intereses_Residual_Mensual!P43</f>
        <v/>
      </c>
      <c r="AR43" s="23">
        <f>ROUND(AN43 + AQ43, 2)</f>
        <v/>
      </c>
      <c r="AS43" s="23">
        <f>Intereses_Leasing_Mensual!Q43</f>
        <v/>
      </c>
      <c r="AT43" s="23">
        <f>Amortizacion_Capital_Mensual!R43</f>
        <v/>
      </c>
      <c r="AU43" s="23">
        <f>Saldos_Capital_Mensual!Q43</f>
        <v/>
      </c>
      <c r="AV43" s="23">
        <f>Intereses_Residual_Mensual!Q43</f>
        <v/>
      </c>
      <c r="AW43" s="23">
        <f>ROUND(AS43 + AV43, 2)</f>
        <v/>
      </c>
      <c r="AX43" s="23">
        <f>Intereses_Leasing_Mensual!R43</f>
        <v/>
      </c>
      <c r="AY43" s="23">
        <f>Amortizacion_Capital_Mensual!S43</f>
        <v/>
      </c>
      <c r="AZ43" s="23">
        <f>Saldos_Capital_Mensual!R43</f>
        <v/>
      </c>
      <c r="BA43" s="23">
        <f>Intereses_Residual_Mensual!R43</f>
        <v/>
      </c>
      <c r="BB43" s="23">
        <f>ROUND(AX43 + BA43, 2)</f>
        <v/>
      </c>
      <c r="BC43" s="23">
        <f>Intereses_Leasing_Mensual!S43</f>
        <v/>
      </c>
      <c r="BD43" s="23">
        <f>Amortizacion_Capital_Mensual!T43</f>
        <v/>
      </c>
      <c r="BE43" s="23">
        <f>Saldos_Capital_Mensual!S43</f>
        <v/>
      </c>
      <c r="BF43" s="23">
        <f>Intereses_Residual_Mensual!S43</f>
        <v/>
      </c>
      <c r="BG43" s="23">
        <f>ROUND(BC43 + BF43, 2)</f>
        <v/>
      </c>
      <c r="BH43" s="23">
        <f>Intereses_Leasing_Mensual!T43</f>
        <v/>
      </c>
      <c r="BI43" s="23">
        <f>Amortizacion_Capital_Mensual!U43</f>
        <v/>
      </c>
      <c r="BJ43" s="23">
        <f>Saldos_Capital_Mensual!T43</f>
        <v/>
      </c>
      <c r="BK43" s="23">
        <f>Intereses_Residual_Mensual!T43</f>
        <v/>
      </c>
      <c r="BL43" s="23">
        <f>ROUND(BH43 + BK43, 2)</f>
        <v/>
      </c>
    </row>
    <row r="44">
      <c r="A44" s="26" t="inlineStr">
        <is>
          <t>0581-0002</t>
        </is>
      </c>
      <c r="B44" s="27" t="inlineStr">
        <is>
          <t>Aditivos y Vitaminas Mexicanas Sa de Cv</t>
        </is>
      </c>
      <c r="C44" s="27" t="inlineStr">
        <is>
          <t>Ram 700 Regular Cab</t>
        </is>
      </c>
      <c r="D44" s="28" t="n">
        <v>48</v>
      </c>
      <c r="E44" s="29">
        <f>Intereses_Leasing_Mensual!I44</f>
        <v/>
      </c>
      <c r="F44" s="29">
        <f>Amortizacion_Capital_Mensual!J44</f>
        <v/>
      </c>
      <c r="G44" s="29">
        <f>Saldos_Capital_Mensual!I44</f>
        <v/>
      </c>
      <c r="H44" s="29">
        <f>Intereses_Residual_Mensual!I44</f>
        <v/>
      </c>
      <c r="I44" s="29">
        <f>ROUND(E44 + H44, 2)</f>
        <v/>
      </c>
      <c r="J44" s="29">
        <f>Intereses_Leasing_Mensual!J44</f>
        <v/>
      </c>
      <c r="K44" s="29">
        <f>Amortizacion_Capital_Mensual!K44</f>
        <v/>
      </c>
      <c r="L44" s="29">
        <f>Saldos_Capital_Mensual!J44</f>
        <v/>
      </c>
      <c r="M44" s="29">
        <f>Intereses_Residual_Mensual!J44</f>
        <v/>
      </c>
      <c r="N44" s="29">
        <f>ROUND(J44 + M44, 2)</f>
        <v/>
      </c>
      <c r="O44" s="29">
        <f>Intereses_Leasing_Mensual!K44</f>
        <v/>
      </c>
      <c r="P44" s="29">
        <f>Amortizacion_Capital_Mensual!L44</f>
        <v/>
      </c>
      <c r="Q44" s="29">
        <f>Saldos_Capital_Mensual!K44</f>
        <v/>
      </c>
      <c r="R44" s="29">
        <f>Intereses_Residual_Mensual!K44</f>
        <v/>
      </c>
      <c r="S44" s="29">
        <f>ROUND(O44 + R44, 2)</f>
        <v/>
      </c>
      <c r="T44" s="29">
        <f>Intereses_Leasing_Mensual!L44</f>
        <v/>
      </c>
      <c r="U44" s="29">
        <f>Amortizacion_Capital_Mensual!M44</f>
        <v/>
      </c>
      <c r="V44" s="29">
        <f>Saldos_Capital_Mensual!L44</f>
        <v/>
      </c>
      <c r="W44" s="29">
        <f>Intereses_Residual_Mensual!L44</f>
        <v/>
      </c>
      <c r="X44" s="29">
        <f>ROUND(T44 + W44, 2)</f>
        <v/>
      </c>
      <c r="Y44" s="29">
        <f>Intereses_Leasing_Mensual!M44</f>
        <v/>
      </c>
      <c r="Z44" s="29">
        <f>Amortizacion_Capital_Mensual!N44</f>
        <v/>
      </c>
      <c r="AA44" s="29">
        <f>Saldos_Capital_Mensual!M44</f>
        <v/>
      </c>
      <c r="AB44" s="29">
        <f>Intereses_Residual_Mensual!M44</f>
        <v/>
      </c>
      <c r="AC44" s="29">
        <f>ROUND(Y44 + AB44, 2)</f>
        <v/>
      </c>
      <c r="AD44" s="29">
        <f>Intereses_Leasing_Mensual!N44</f>
        <v/>
      </c>
      <c r="AE44" s="29">
        <f>Amortizacion_Capital_Mensual!O44</f>
        <v/>
      </c>
      <c r="AF44" s="29">
        <f>Saldos_Capital_Mensual!N44</f>
        <v/>
      </c>
      <c r="AG44" s="29">
        <f>Intereses_Residual_Mensual!N44</f>
        <v/>
      </c>
      <c r="AH44" s="29">
        <f>ROUND(AD44 + AG44, 2)</f>
        <v/>
      </c>
      <c r="AI44" s="29">
        <f>Intereses_Leasing_Mensual!O44</f>
        <v/>
      </c>
      <c r="AJ44" s="29">
        <f>Amortizacion_Capital_Mensual!P44</f>
        <v/>
      </c>
      <c r="AK44" s="29">
        <f>Saldos_Capital_Mensual!O44</f>
        <v/>
      </c>
      <c r="AL44" s="29">
        <f>Intereses_Residual_Mensual!O44</f>
        <v/>
      </c>
      <c r="AM44" s="29">
        <f>ROUND(AI44 + AL44, 2)</f>
        <v/>
      </c>
      <c r="AN44" s="29">
        <f>Intereses_Leasing_Mensual!P44</f>
        <v/>
      </c>
      <c r="AO44" s="29">
        <f>Amortizacion_Capital_Mensual!Q44</f>
        <v/>
      </c>
      <c r="AP44" s="29">
        <f>Saldos_Capital_Mensual!P44</f>
        <v/>
      </c>
      <c r="AQ44" s="29">
        <f>Intereses_Residual_Mensual!P44</f>
        <v/>
      </c>
      <c r="AR44" s="29">
        <f>ROUND(AN44 + AQ44, 2)</f>
        <v/>
      </c>
      <c r="AS44" s="29">
        <f>Intereses_Leasing_Mensual!Q44</f>
        <v/>
      </c>
      <c r="AT44" s="29">
        <f>Amortizacion_Capital_Mensual!R44</f>
        <v/>
      </c>
      <c r="AU44" s="29">
        <f>Saldos_Capital_Mensual!Q44</f>
        <v/>
      </c>
      <c r="AV44" s="29">
        <f>Intereses_Residual_Mensual!Q44</f>
        <v/>
      </c>
      <c r="AW44" s="29">
        <f>ROUND(AS44 + AV44, 2)</f>
        <v/>
      </c>
      <c r="AX44" s="29">
        <f>Intereses_Leasing_Mensual!R44</f>
        <v/>
      </c>
      <c r="AY44" s="29">
        <f>Amortizacion_Capital_Mensual!S44</f>
        <v/>
      </c>
      <c r="AZ44" s="29">
        <f>Saldos_Capital_Mensual!R44</f>
        <v/>
      </c>
      <c r="BA44" s="29">
        <f>Intereses_Residual_Mensual!R44</f>
        <v/>
      </c>
      <c r="BB44" s="29">
        <f>ROUND(AX44 + BA44, 2)</f>
        <v/>
      </c>
      <c r="BC44" s="29">
        <f>Intereses_Leasing_Mensual!S44</f>
        <v/>
      </c>
      <c r="BD44" s="29">
        <f>Amortizacion_Capital_Mensual!T44</f>
        <v/>
      </c>
      <c r="BE44" s="29">
        <f>Saldos_Capital_Mensual!S44</f>
        <v/>
      </c>
      <c r="BF44" s="29">
        <f>Intereses_Residual_Mensual!S44</f>
        <v/>
      </c>
      <c r="BG44" s="29">
        <f>ROUND(BC44 + BF44, 2)</f>
        <v/>
      </c>
      <c r="BH44" s="29">
        <f>Intereses_Leasing_Mensual!T44</f>
        <v/>
      </c>
      <c r="BI44" s="29">
        <f>Amortizacion_Capital_Mensual!U44</f>
        <v/>
      </c>
      <c r="BJ44" s="29">
        <f>Saldos_Capital_Mensual!T44</f>
        <v/>
      </c>
      <c r="BK44" s="29">
        <f>Intereses_Residual_Mensual!T44</f>
        <v/>
      </c>
      <c r="BL44" s="29">
        <f>ROUND(BH44 + BK44, 2)</f>
        <v/>
      </c>
    </row>
    <row r="45">
      <c r="A45" s="20" t="inlineStr">
        <is>
          <t>0582-0003</t>
        </is>
      </c>
      <c r="B45" s="21" t="inlineStr">
        <is>
          <t>Ensaladas Frescas de Occidente Sa de Cv</t>
        </is>
      </c>
      <c r="C45" s="21" t="inlineStr">
        <is>
          <t>Pulse</t>
        </is>
      </c>
      <c r="D45" s="22" t="n">
        <v>48</v>
      </c>
      <c r="E45" s="23">
        <f>Intereses_Leasing_Mensual!I45</f>
        <v/>
      </c>
      <c r="F45" s="23">
        <f>Amortizacion_Capital_Mensual!J45</f>
        <v/>
      </c>
      <c r="G45" s="23">
        <f>Saldos_Capital_Mensual!I45</f>
        <v/>
      </c>
      <c r="H45" s="23">
        <f>Intereses_Residual_Mensual!I45</f>
        <v/>
      </c>
      <c r="I45" s="23">
        <f>ROUND(E45 + H45, 2)</f>
        <v/>
      </c>
      <c r="J45" s="23">
        <f>Intereses_Leasing_Mensual!J45</f>
        <v/>
      </c>
      <c r="K45" s="23">
        <f>Amortizacion_Capital_Mensual!K45</f>
        <v/>
      </c>
      <c r="L45" s="23">
        <f>Saldos_Capital_Mensual!J45</f>
        <v/>
      </c>
      <c r="M45" s="23">
        <f>Intereses_Residual_Mensual!J45</f>
        <v/>
      </c>
      <c r="N45" s="23">
        <f>ROUND(J45 + M45, 2)</f>
        <v/>
      </c>
      <c r="O45" s="23">
        <f>Intereses_Leasing_Mensual!K45</f>
        <v/>
      </c>
      <c r="P45" s="23">
        <f>Amortizacion_Capital_Mensual!L45</f>
        <v/>
      </c>
      <c r="Q45" s="23">
        <f>Saldos_Capital_Mensual!K45</f>
        <v/>
      </c>
      <c r="R45" s="23">
        <f>Intereses_Residual_Mensual!K45</f>
        <v/>
      </c>
      <c r="S45" s="23">
        <f>ROUND(O45 + R45, 2)</f>
        <v/>
      </c>
      <c r="T45" s="23">
        <f>Intereses_Leasing_Mensual!L45</f>
        <v/>
      </c>
      <c r="U45" s="23">
        <f>Amortizacion_Capital_Mensual!M45</f>
        <v/>
      </c>
      <c r="V45" s="23">
        <f>Saldos_Capital_Mensual!L45</f>
        <v/>
      </c>
      <c r="W45" s="23">
        <f>Intereses_Residual_Mensual!L45</f>
        <v/>
      </c>
      <c r="X45" s="23">
        <f>ROUND(T45 + W45, 2)</f>
        <v/>
      </c>
      <c r="Y45" s="23">
        <f>Intereses_Leasing_Mensual!M45</f>
        <v/>
      </c>
      <c r="Z45" s="23">
        <f>Amortizacion_Capital_Mensual!N45</f>
        <v/>
      </c>
      <c r="AA45" s="23">
        <f>Saldos_Capital_Mensual!M45</f>
        <v/>
      </c>
      <c r="AB45" s="23">
        <f>Intereses_Residual_Mensual!M45</f>
        <v/>
      </c>
      <c r="AC45" s="23">
        <f>ROUND(Y45 + AB45, 2)</f>
        <v/>
      </c>
      <c r="AD45" s="23">
        <f>Intereses_Leasing_Mensual!N45</f>
        <v/>
      </c>
      <c r="AE45" s="23">
        <f>Amortizacion_Capital_Mensual!O45</f>
        <v/>
      </c>
      <c r="AF45" s="23">
        <f>Saldos_Capital_Mensual!N45</f>
        <v/>
      </c>
      <c r="AG45" s="23">
        <f>Intereses_Residual_Mensual!N45</f>
        <v/>
      </c>
      <c r="AH45" s="23">
        <f>ROUND(AD45 + AG45, 2)</f>
        <v/>
      </c>
      <c r="AI45" s="23">
        <f>Intereses_Leasing_Mensual!O45</f>
        <v/>
      </c>
      <c r="AJ45" s="23">
        <f>Amortizacion_Capital_Mensual!P45</f>
        <v/>
      </c>
      <c r="AK45" s="23">
        <f>Saldos_Capital_Mensual!O45</f>
        <v/>
      </c>
      <c r="AL45" s="23">
        <f>Intereses_Residual_Mensual!O45</f>
        <v/>
      </c>
      <c r="AM45" s="23">
        <f>ROUND(AI45 + AL45, 2)</f>
        <v/>
      </c>
      <c r="AN45" s="23">
        <f>Intereses_Leasing_Mensual!P45</f>
        <v/>
      </c>
      <c r="AO45" s="23">
        <f>Amortizacion_Capital_Mensual!Q45</f>
        <v/>
      </c>
      <c r="AP45" s="23">
        <f>Saldos_Capital_Mensual!P45</f>
        <v/>
      </c>
      <c r="AQ45" s="23">
        <f>Intereses_Residual_Mensual!P45</f>
        <v/>
      </c>
      <c r="AR45" s="23">
        <f>ROUND(AN45 + AQ45, 2)</f>
        <v/>
      </c>
      <c r="AS45" s="23">
        <f>Intereses_Leasing_Mensual!Q45</f>
        <v/>
      </c>
      <c r="AT45" s="23">
        <f>Amortizacion_Capital_Mensual!R45</f>
        <v/>
      </c>
      <c r="AU45" s="23">
        <f>Saldos_Capital_Mensual!Q45</f>
        <v/>
      </c>
      <c r="AV45" s="23">
        <f>Intereses_Residual_Mensual!Q45</f>
        <v/>
      </c>
      <c r="AW45" s="23">
        <f>ROUND(AS45 + AV45, 2)</f>
        <v/>
      </c>
      <c r="AX45" s="23">
        <f>Intereses_Leasing_Mensual!R45</f>
        <v/>
      </c>
      <c r="AY45" s="23">
        <f>Amortizacion_Capital_Mensual!S45</f>
        <v/>
      </c>
      <c r="AZ45" s="23">
        <f>Saldos_Capital_Mensual!R45</f>
        <v/>
      </c>
      <c r="BA45" s="23">
        <f>Intereses_Residual_Mensual!R45</f>
        <v/>
      </c>
      <c r="BB45" s="23">
        <f>ROUND(AX45 + BA45, 2)</f>
        <v/>
      </c>
      <c r="BC45" s="23">
        <f>Intereses_Leasing_Mensual!S45</f>
        <v/>
      </c>
      <c r="BD45" s="23">
        <f>Amortizacion_Capital_Mensual!T45</f>
        <v/>
      </c>
      <c r="BE45" s="23">
        <f>Saldos_Capital_Mensual!S45</f>
        <v/>
      </c>
      <c r="BF45" s="23">
        <f>Intereses_Residual_Mensual!S45</f>
        <v/>
      </c>
      <c r="BG45" s="23">
        <f>ROUND(BC45 + BF45, 2)</f>
        <v/>
      </c>
      <c r="BH45" s="23">
        <f>Intereses_Leasing_Mensual!T45</f>
        <v/>
      </c>
      <c r="BI45" s="23">
        <f>Amortizacion_Capital_Mensual!U45</f>
        <v/>
      </c>
      <c r="BJ45" s="23">
        <f>Saldos_Capital_Mensual!T45</f>
        <v/>
      </c>
      <c r="BK45" s="23">
        <f>Intereses_Residual_Mensual!T45</f>
        <v/>
      </c>
      <c r="BL45" s="23">
        <f>ROUND(BH45 + BK45, 2)</f>
        <v/>
      </c>
    </row>
    <row r="46">
      <c r="A46" s="26" t="inlineStr">
        <is>
          <t>0583-0004</t>
        </is>
      </c>
      <c r="B46" s="27" t="inlineStr">
        <is>
          <t>Soluciones Profesionales para la Industria Alimentaria</t>
        </is>
      </c>
      <c r="C46" s="27" t="inlineStr">
        <is>
          <t>BIGHORN CREW CAB MT</t>
        </is>
      </c>
      <c r="D46" s="28" t="n">
        <v>24</v>
      </c>
      <c r="E46" s="29">
        <f>Intereses_Leasing_Mensual!I46</f>
        <v/>
      </c>
      <c r="F46" s="29">
        <f>Amortizacion_Capital_Mensual!J46</f>
        <v/>
      </c>
      <c r="G46" s="29">
        <f>Saldos_Capital_Mensual!I46</f>
        <v/>
      </c>
      <c r="H46" s="29">
        <f>Intereses_Residual_Mensual!I46</f>
        <v/>
      </c>
      <c r="I46" s="29">
        <f>ROUND(E46 + H46, 2)</f>
        <v/>
      </c>
      <c r="J46" s="29">
        <f>Intereses_Leasing_Mensual!J46</f>
        <v/>
      </c>
      <c r="K46" s="29">
        <f>Amortizacion_Capital_Mensual!K46</f>
        <v/>
      </c>
      <c r="L46" s="29">
        <f>Saldos_Capital_Mensual!J46</f>
        <v/>
      </c>
      <c r="M46" s="29">
        <f>Intereses_Residual_Mensual!J46</f>
        <v/>
      </c>
      <c r="N46" s="29">
        <f>ROUND(J46 + M46, 2)</f>
        <v/>
      </c>
      <c r="O46" s="29">
        <f>Intereses_Leasing_Mensual!K46</f>
        <v/>
      </c>
      <c r="P46" s="29">
        <f>Amortizacion_Capital_Mensual!L46</f>
        <v/>
      </c>
      <c r="Q46" s="29">
        <f>Saldos_Capital_Mensual!K46</f>
        <v/>
      </c>
      <c r="R46" s="29">
        <f>Intereses_Residual_Mensual!K46</f>
        <v/>
      </c>
      <c r="S46" s="29">
        <f>ROUND(O46 + R46, 2)</f>
        <v/>
      </c>
      <c r="T46" s="29">
        <f>Intereses_Leasing_Mensual!L46</f>
        <v/>
      </c>
      <c r="U46" s="29">
        <f>Amortizacion_Capital_Mensual!M46</f>
        <v/>
      </c>
      <c r="V46" s="29">
        <f>Saldos_Capital_Mensual!L46</f>
        <v/>
      </c>
      <c r="W46" s="29">
        <f>Intereses_Residual_Mensual!L46</f>
        <v/>
      </c>
      <c r="X46" s="29">
        <f>ROUND(T46 + W46, 2)</f>
        <v/>
      </c>
      <c r="Y46" s="29">
        <f>Intereses_Leasing_Mensual!M46</f>
        <v/>
      </c>
      <c r="Z46" s="29">
        <f>Amortizacion_Capital_Mensual!N46</f>
        <v/>
      </c>
      <c r="AA46" s="29">
        <f>Saldos_Capital_Mensual!M46</f>
        <v/>
      </c>
      <c r="AB46" s="29">
        <f>Intereses_Residual_Mensual!M46</f>
        <v/>
      </c>
      <c r="AC46" s="29">
        <f>ROUND(Y46 + AB46, 2)</f>
        <v/>
      </c>
      <c r="AD46" s="29">
        <f>Intereses_Leasing_Mensual!N46</f>
        <v/>
      </c>
      <c r="AE46" s="29">
        <f>Amortizacion_Capital_Mensual!O46</f>
        <v/>
      </c>
      <c r="AF46" s="29">
        <f>Saldos_Capital_Mensual!N46</f>
        <v/>
      </c>
      <c r="AG46" s="29">
        <f>Intereses_Residual_Mensual!N46</f>
        <v/>
      </c>
      <c r="AH46" s="29">
        <f>ROUND(AD46 + AG46, 2)</f>
        <v/>
      </c>
      <c r="AI46" s="29">
        <f>Intereses_Leasing_Mensual!O46</f>
        <v/>
      </c>
      <c r="AJ46" s="29">
        <f>Amortizacion_Capital_Mensual!P46</f>
        <v/>
      </c>
      <c r="AK46" s="29">
        <f>Saldos_Capital_Mensual!O46</f>
        <v/>
      </c>
      <c r="AL46" s="29">
        <f>Intereses_Residual_Mensual!O46</f>
        <v/>
      </c>
      <c r="AM46" s="29">
        <f>ROUND(AI46 + AL46, 2)</f>
        <v/>
      </c>
      <c r="AN46" s="29">
        <f>Intereses_Leasing_Mensual!P46</f>
        <v/>
      </c>
      <c r="AO46" s="29">
        <f>Amortizacion_Capital_Mensual!Q46</f>
        <v/>
      </c>
      <c r="AP46" s="29">
        <f>Saldos_Capital_Mensual!P46</f>
        <v/>
      </c>
      <c r="AQ46" s="29">
        <f>Intereses_Residual_Mensual!P46</f>
        <v/>
      </c>
      <c r="AR46" s="29">
        <f>ROUND(AN46 + AQ46, 2)</f>
        <v/>
      </c>
      <c r="AS46" s="29">
        <f>Intereses_Leasing_Mensual!Q46</f>
        <v/>
      </c>
      <c r="AT46" s="29">
        <f>Amortizacion_Capital_Mensual!R46</f>
        <v/>
      </c>
      <c r="AU46" s="29">
        <f>Saldos_Capital_Mensual!Q46</f>
        <v/>
      </c>
      <c r="AV46" s="29">
        <f>Intereses_Residual_Mensual!Q46</f>
        <v/>
      </c>
      <c r="AW46" s="29">
        <f>ROUND(AS46 + AV46, 2)</f>
        <v/>
      </c>
      <c r="AX46" s="29">
        <f>Intereses_Leasing_Mensual!R46</f>
        <v/>
      </c>
      <c r="AY46" s="29">
        <f>Amortizacion_Capital_Mensual!S46</f>
        <v/>
      </c>
      <c r="AZ46" s="29">
        <f>Saldos_Capital_Mensual!R46</f>
        <v/>
      </c>
      <c r="BA46" s="29">
        <f>Intereses_Residual_Mensual!R46</f>
        <v/>
      </c>
      <c r="BB46" s="29">
        <f>ROUND(AX46 + BA46, 2)</f>
        <v/>
      </c>
      <c r="BC46" s="29">
        <f>Intereses_Leasing_Mensual!S46</f>
        <v/>
      </c>
      <c r="BD46" s="29">
        <f>Amortizacion_Capital_Mensual!T46</f>
        <v/>
      </c>
      <c r="BE46" s="29">
        <f>Saldos_Capital_Mensual!S46</f>
        <v/>
      </c>
      <c r="BF46" s="29">
        <f>Intereses_Residual_Mensual!S46</f>
        <v/>
      </c>
      <c r="BG46" s="29">
        <f>ROUND(BC46 + BF46, 2)</f>
        <v/>
      </c>
      <c r="BH46" s="29">
        <f>Intereses_Leasing_Mensual!T46</f>
        <v/>
      </c>
      <c r="BI46" s="29">
        <f>Amortizacion_Capital_Mensual!U46</f>
        <v/>
      </c>
      <c r="BJ46" s="29">
        <f>Saldos_Capital_Mensual!T46</f>
        <v/>
      </c>
      <c r="BK46" s="29">
        <f>Intereses_Residual_Mensual!T46</f>
        <v/>
      </c>
      <c r="BL46" s="29">
        <f>ROUND(BH46 + BK46, 2)</f>
        <v/>
      </c>
    </row>
    <row r="47">
      <c r="A47" s="20" t="inlineStr">
        <is>
          <t>0583-0005</t>
        </is>
      </c>
      <c r="B47" s="21" t="inlineStr">
        <is>
          <t>Soluciones Profesionales para la Industria Alimentaria</t>
        </is>
      </c>
      <c r="C47" s="21" t="inlineStr">
        <is>
          <t>3008</t>
        </is>
      </c>
      <c r="D47" s="22" t="n">
        <v>36</v>
      </c>
      <c r="E47" s="23">
        <f>Intereses_Leasing_Mensual!I47</f>
        <v/>
      </c>
      <c r="F47" s="23">
        <f>Amortizacion_Capital_Mensual!J47</f>
        <v/>
      </c>
      <c r="G47" s="23">
        <f>Saldos_Capital_Mensual!I47</f>
        <v/>
      </c>
      <c r="H47" s="23">
        <f>Intereses_Residual_Mensual!I47</f>
        <v/>
      </c>
      <c r="I47" s="23">
        <f>ROUND(E47 + H47, 2)</f>
        <v/>
      </c>
      <c r="J47" s="23">
        <f>Intereses_Leasing_Mensual!J47</f>
        <v/>
      </c>
      <c r="K47" s="23">
        <f>Amortizacion_Capital_Mensual!K47</f>
        <v/>
      </c>
      <c r="L47" s="23">
        <f>Saldos_Capital_Mensual!J47</f>
        <v/>
      </c>
      <c r="M47" s="23">
        <f>Intereses_Residual_Mensual!J47</f>
        <v/>
      </c>
      <c r="N47" s="23">
        <f>ROUND(J47 + M47, 2)</f>
        <v/>
      </c>
      <c r="O47" s="23">
        <f>Intereses_Leasing_Mensual!K47</f>
        <v/>
      </c>
      <c r="P47" s="23">
        <f>Amortizacion_Capital_Mensual!L47</f>
        <v/>
      </c>
      <c r="Q47" s="23">
        <f>Saldos_Capital_Mensual!K47</f>
        <v/>
      </c>
      <c r="R47" s="23">
        <f>Intereses_Residual_Mensual!K47</f>
        <v/>
      </c>
      <c r="S47" s="23">
        <f>ROUND(O47 + R47, 2)</f>
        <v/>
      </c>
      <c r="T47" s="23">
        <f>Intereses_Leasing_Mensual!L47</f>
        <v/>
      </c>
      <c r="U47" s="23">
        <f>Amortizacion_Capital_Mensual!M47</f>
        <v/>
      </c>
      <c r="V47" s="23">
        <f>Saldos_Capital_Mensual!L47</f>
        <v/>
      </c>
      <c r="W47" s="23">
        <f>Intereses_Residual_Mensual!L47</f>
        <v/>
      </c>
      <c r="X47" s="23">
        <f>ROUND(T47 + W47, 2)</f>
        <v/>
      </c>
      <c r="Y47" s="23">
        <f>Intereses_Leasing_Mensual!M47</f>
        <v/>
      </c>
      <c r="Z47" s="23">
        <f>Amortizacion_Capital_Mensual!N47</f>
        <v/>
      </c>
      <c r="AA47" s="23">
        <f>Saldos_Capital_Mensual!M47</f>
        <v/>
      </c>
      <c r="AB47" s="23">
        <f>Intereses_Residual_Mensual!M47</f>
        <v/>
      </c>
      <c r="AC47" s="23">
        <f>ROUND(Y47 + AB47, 2)</f>
        <v/>
      </c>
      <c r="AD47" s="23">
        <f>Intereses_Leasing_Mensual!N47</f>
        <v/>
      </c>
      <c r="AE47" s="23">
        <f>Amortizacion_Capital_Mensual!O47</f>
        <v/>
      </c>
      <c r="AF47" s="23">
        <f>Saldos_Capital_Mensual!N47</f>
        <v/>
      </c>
      <c r="AG47" s="23">
        <f>Intereses_Residual_Mensual!N47</f>
        <v/>
      </c>
      <c r="AH47" s="23">
        <f>ROUND(AD47 + AG47, 2)</f>
        <v/>
      </c>
      <c r="AI47" s="23">
        <f>Intereses_Leasing_Mensual!O47</f>
        <v/>
      </c>
      <c r="AJ47" s="23">
        <f>Amortizacion_Capital_Mensual!P47</f>
        <v/>
      </c>
      <c r="AK47" s="23">
        <f>Saldos_Capital_Mensual!O47</f>
        <v/>
      </c>
      <c r="AL47" s="23">
        <f>Intereses_Residual_Mensual!O47</f>
        <v/>
      </c>
      <c r="AM47" s="23">
        <f>ROUND(AI47 + AL47, 2)</f>
        <v/>
      </c>
      <c r="AN47" s="23">
        <f>Intereses_Leasing_Mensual!P47</f>
        <v/>
      </c>
      <c r="AO47" s="23">
        <f>Amortizacion_Capital_Mensual!Q47</f>
        <v/>
      </c>
      <c r="AP47" s="23">
        <f>Saldos_Capital_Mensual!P47</f>
        <v/>
      </c>
      <c r="AQ47" s="23">
        <f>Intereses_Residual_Mensual!P47</f>
        <v/>
      </c>
      <c r="AR47" s="23">
        <f>ROUND(AN47 + AQ47, 2)</f>
        <v/>
      </c>
      <c r="AS47" s="23">
        <f>Intereses_Leasing_Mensual!Q47</f>
        <v/>
      </c>
      <c r="AT47" s="23">
        <f>Amortizacion_Capital_Mensual!R47</f>
        <v/>
      </c>
      <c r="AU47" s="23">
        <f>Saldos_Capital_Mensual!Q47</f>
        <v/>
      </c>
      <c r="AV47" s="23">
        <f>Intereses_Residual_Mensual!Q47</f>
        <v/>
      </c>
      <c r="AW47" s="23">
        <f>ROUND(AS47 + AV47, 2)</f>
        <v/>
      </c>
      <c r="AX47" s="23">
        <f>Intereses_Leasing_Mensual!R47</f>
        <v/>
      </c>
      <c r="AY47" s="23">
        <f>Amortizacion_Capital_Mensual!S47</f>
        <v/>
      </c>
      <c r="AZ47" s="23">
        <f>Saldos_Capital_Mensual!R47</f>
        <v/>
      </c>
      <c r="BA47" s="23">
        <f>Intereses_Residual_Mensual!R47</f>
        <v/>
      </c>
      <c r="BB47" s="23">
        <f>ROUND(AX47 + BA47, 2)</f>
        <v/>
      </c>
      <c r="BC47" s="23">
        <f>Intereses_Leasing_Mensual!S47</f>
        <v/>
      </c>
      <c r="BD47" s="23">
        <f>Amortizacion_Capital_Mensual!T47</f>
        <v/>
      </c>
      <c r="BE47" s="23">
        <f>Saldos_Capital_Mensual!S47</f>
        <v/>
      </c>
      <c r="BF47" s="23">
        <f>Intereses_Residual_Mensual!S47</f>
        <v/>
      </c>
      <c r="BG47" s="23">
        <f>ROUND(BC47 + BF47, 2)</f>
        <v/>
      </c>
      <c r="BH47" s="23">
        <f>Intereses_Leasing_Mensual!T47</f>
        <v/>
      </c>
      <c r="BI47" s="23">
        <f>Amortizacion_Capital_Mensual!U47</f>
        <v/>
      </c>
      <c r="BJ47" s="23">
        <f>Saldos_Capital_Mensual!T47</f>
        <v/>
      </c>
      <c r="BK47" s="23">
        <f>Intereses_Residual_Mensual!T47</f>
        <v/>
      </c>
      <c r="BL47" s="23">
        <f>ROUND(BH47 + BK47, 2)</f>
        <v/>
      </c>
    </row>
    <row r="48">
      <c r="A48" s="26" t="inlineStr">
        <is>
          <t>0583-0006</t>
        </is>
      </c>
      <c r="B48" s="27" t="inlineStr">
        <is>
          <t>Soluciones Profesionales para la Industria Alimentaria</t>
        </is>
      </c>
      <c r="C48" s="27" t="inlineStr">
        <is>
          <t>Montana</t>
        </is>
      </c>
      <c r="D48" s="28" t="n">
        <v>24</v>
      </c>
      <c r="E48" s="29">
        <f>Intereses_Leasing_Mensual!I48</f>
        <v/>
      </c>
      <c r="F48" s="29">
        <f>Amortizacion_Capital_Mensual!J48</f>
        <v/>
      </c>
      <c r="G48" s="29">
        <f>Saldos_Capital_Mensual!I48</f>
        <v/>
      </c>
      <c r="H48" s="29">
        <f>Intereses_Residual_Mensual!I48</f>
        <v/>
      </c>
      <c r="I48" s="29">
        <f>ROUND(E48 + H48, 2)</f>
        <v/>
      </c>
      <c r="J48" s="29">
        <f>Intereses_Leasing_Mensual!J48</f>
        <v/>
      </c>
      <c r="K48" s="29">
        <f>Amortizacion_Capital_Mensual!K48</f>
        <v/>
      </c>
      <c r="L48" s="29">
        <f>Saldos_Capital_Mensual!J48</f>
        <v/>
      </c>
      <c r="M48" s="29">
        <f>Intereses_Residual_Mensual!J48</f>
        <v/>
      </c>
      <c r="N48" s="29">
        <f>ROUND(J48 + M48, 2)</f>
        <v/>
      </c>
      <c r="O48" s="29">
        <f>Intereses_Leasing_Mensual!K48</f>
        <v/>
      </c>
      <c r="P48" s="29">
        <f>Amortizacion_Capital_Mensual!L48</f>
        <v/>
      </c>
      <c r="Q48" s="29">
        <f>Saldos_Capital_Mensual!K48</f>
        <v/>
      </c>
      <c r="R48" s="29">
        <f>Intereses_Residual_Mensual!K48</f>
        <v/>
      </c>
      <c r="S48" s="29">
        <f>ROUND(O48 + R48, 2)</f>
        <v/>
      </c>
      <c r="T48" s="29">
        <f>Intereses_Leasing_Mensual!L48</f>
        <v/>
      </c>
      <c r="U48" s="29">
        <f>Amortizacion_Capital_Mensual!M48</f>
        <v/>
      </c>
      <c r="V48" s="29">
        <f>Saldos_Capital_Mensual!L48</f>
        <v/>
      </c>
      <c r="W48" s="29">
        <f>Intereses_Residual_Mensual!L48</f>
        <v/>
      </c>
      <c r="X48" s="29">
        <f>ROUND(T48 + W48, 2)</f>
        <v/>
      </c>
      <c r="Y48" s="29">
        <f>Intereses_Leasing_Mensual!M48</f>
        <v/>
      </c>
      <c r="Z48" s="29">
        <f>Amortizacion_Capital_Mensual!N48</f>
        <v/>
      </c>
      <c r="AA48" s="29">
        <f>Saldos_Capital_Mensual!M48</f>
        <v/>
      </c>
      <c r="AB48" s="29">
        <f>Intereses_Residual_Mensual!M48</f>
        <v/>
      </c>
      <c r="AC48" s="29">
        <f>ROUND(Y48 + AB48, 2)</f>
        <v/>
      </c>
      <c r="AD48" s="29">
        <f>Intereses_Leasing_Mensual!N48</f>
        <v/>
      </c>
      <c r="AE48" s="29">
        <f>Amortizacion_Capital_Mensual!O48</f>
        <v/>
      </c>
      <c r="AF48" s="29">
        <f>Saldos_Capital_Mensual!N48</f>
        <v/>
      </c>
      <c r="AG48" s="29">
        <f>Intereses_Residual_Mensual!N48</f>
        <v/>
      </c>
      <c r="AH48" s="29">
        <f>ROUND(AD48 + AG48, 2)</f>
        <v/>
      </c>
      <c r="AI48" s="29">
        <f>Intereses_Leasing_Mensual!O48</f>
        <v/>
      </c>
      <c r="AJ48" s="29">
        <f>Amortizacion_Capital_Mensual!P48</f>
        <v/>
      </c>
      <c r="AK48" s="29">
        <f>Saldos_Capital_Mensual!O48</f>
        <v/>
      </c>
      <c r="AL48" s="29">
        <f>Intereses_Residual_Mensual!O48</f>
        <v/>
      </c>
      <c r="AM48" s="29">
        <f>ROUND(AI48 + AL48, 2)</f>
        <v/>
      </c>
      <c r="AN48" s="29">
        <f>Intereses_Leasing_Mensual!P48</f>
        <v/>
      </c>
      <c r="AO48" s="29">
        <f>Amortizacion_Capital_Mensual!Q48</f>
        <v/>
      </c>
      <c r="AP48" s="29">
        <f>Saldos_Capital_Mensual!P48</f>
        <v/>
      </c>
      <c r="AQ48" s="29">
        <f>Intereses_Residual_Mensual!P48</f>
        <v/>
      </c>
      <c r="AR48" s="29">
        <f>ROUND(AN48 + AQ48, 2)</f>
        <v/>
      </c>
      <c r="AS48" s="29">
        <f>Intereses_Leasing_Mensual!Q48</f>
        <v/>
      </c>
      <c r="AT48" s="29">
        <f>Amortizacion_Capital_Mensual!R48</f>
        <v/>
      </c>
      <c r="AU48" s="29">
        <f>Saldos_Capital_Mensual!Q48</f>
        <v/>
      </c>
      <c r="AV48" s="29">
        <f>Intereses_Residual_Mensual!Q48</f>
        <v/>
      </c>
      <c r="AW48" s="29">
        <f>ROUND(AS48 + AV48, 2)</f>
        <v/>
      </c>
      <c r="AX48" s="29">
        <f>Intereses_Leasing_Mensual!R48</f>
        <v/>
      </c>
      <c r="AY48" s="29">
        <f>Amortizacion_Capital_Mensual!S48</f>
        <v/>
      </c>
      <c r="AZ48" s="29">
        <f>Saldos_Capital_Mensual!R48</f>
        <v/>
      </c>
      <c r="BA48" s="29">
        <f>Intereses_Residual_Mensual!R48</f>
        <v/>
      </c>
      <c r="BB48" s="29">
        <f>ROUND(AX48 + BA48, 2)</f>
        <v/>
      </c>
      <c r="BC48" s="29">
        <f>Intereses_Leasing_Mensual!S48</f>
        <v/>
      </c>
      <c r="BD48" s="29">
        <f>Amortizacion_Capital_Mensual!T48</f>
        <v/>
      </c>
      <c r="BE48" s="29">
        <f>Saldos_Capital_Mensual!S48</f>
        <v/>
      </c>
      <c r="BF48" s="29">
        <f>Intereses_Residual_Mensual!S48</f>
        <v/>
      </c>
      <c r="BG48" s="29">
        <f>ROUND(BC48 + BF48, 2)</f>
        <v/>
      </c>
      <c r="BH48" s="29">
        <f>Intereses_Leasing_Mensual!T48</f>
        <v/>
      </c>
      <c r="BI48" s="29">
        <f>Amortizacion_Capital_Mensual!U48</f>
        <v/>
      </c>
      <c r="BJ48" s="29">
        <f>Saldos_Capital_Mensual!T48</f>
        <v/>
      </c>
      <c r="BK48" s="29">
        <f>Intereses_Residual_Mensual!T48</f>
        <v/>
      </c>
      <c r="BL48" s="29">
        <f>ROUND(BH48 + BK48, 2)</f>
        <v/>
      </c>
    </row>
    <row r="49">
      <c r="A49" s="20" t="inlineStr">
        <is>
          <t>0585-0002</t>
        </is>
      </c>
      <c r="B49" s="21" t="inlineStr">
        <is>
          <t>Julio Alberto Ramos de la Mora</t>
        </is>
      </c>
      <c r="C49" s="21" t="inlineStr">
        <is>
          <t>Ram 1500 Limited</t>
        </is>
      </c>
      <c r="D49" s="22" t="n">
        <v>36</v>
      </c>
      <c r="E49" s="23">
        <f>Intereses_Leasing_Mensual!I49</f>
        <v/>
      </c>
      <c r="F49" s="23">
        <f>Amortizacion_Capital_Mensual!J49</f>
        <v/>
      </c>
      <c r="G49" s="23">
        <f>Saldos_Capital_Mensual!I49</f>
        <v/>
      </c>
      <c r="H49" s="23">
        <f>Intereses_Residual_Mensual!I49</f>
        <v/>
      </c>
      <c r="I49" s="23">
        <f>ROUND(E49 + H49, 2)</f>
        <v/>
      </c>
      <c r="J49" s="23">
        <f>Intereses_Leasing_Mensual!J49</f>
        <v/>
      </c>
      <c r="K49" s="23">
        <f>Amortizacion_Capital_Mensual!K49</f>
        <v/>
      </c>
      <c r="L49" s="23">
        <f>Saldos_Capital_Mensual!J49</f>
        <v/>
      </c>
      <c r="M49" s="23">
        <f>Intereses_Residual_Mensual!J49</f>
        <v/>
      </c>
      <c r="N49" s="23">
        <f>ROUND(J49 + M49, 2)</f>
        <v/>
      </c>
      <c r="O49" s="23">
        <f>Intereses_Leasing_Mensual!K49</f>
        <v/>
      </c>
      <c r="P49" s="23">
        <f>Amortizacion_Capital_Mensual!L49</f>
        <v/>
      </c>
      <c r="Q49" s="23">
        <f>Saldos_Capital_Mensual!K49</f>
        <v/>
      </c>
      <c r="R49" s="23">
        <f>Intereses_Residual_Mensual!K49</f>
        <v/>
      </c>
      <c r="S49" s="23">
        <f>ROUND(O49 + R49, 2)</f>
        <v/>
      </c>
      <c r="T49" s="23">
        <f>Intereses_Leasing_Mensual!L49</f>
        <v/>
      </c>
      <c r="U49" s="23">
        <f>Amortizacion_Capital_Mensual!M49</f>
        <v/>
      </c>
      <c r="V49" s="23">
        <f>Saldos_Capital_Mensual!L49</f>
        <v/>
      </c>
      <c r="W49" s="23">
        <f>Intereses_Residual_Mensual!L49</f>
        <v/>
      </c>
      <c r="X49" s="23">
        <f>ROUND(T49 + W49, 2)</f>
        <v/>
      </c>
      <c r="Y49" s="23">
        <f>Intereses_Leasing_Mensual!M49</f>
        <v/>
      </c>
      <c r="Z49" s="23">
        <f>Amortizacion_Capital_Mensual!N49</f>
        <v/>
      </c>
      <c r="AA49" s="23">
        <f>Saldos_Capital_Mensual!M49</f>
        <v/>
      </c>
      <c r="AB49" s="23">
        <f>Intereses_Residual_Mensual!M49</f>
        <v/>
      </c>
      <c r="AC49" s="23">
        <f>ROUND(Y49 + AB49, 2)</f>
        <v/>
      </c>
      <c r="AD49" s="23">
        <f>Intereses_Leasing_Mensual!N49</f>
        <v/>
      </c>
      <c r="AE49" s="23">
        <f>Amortizacion_Capital_Mensual!O49</f>
        <v/>
      </c>
      <c r="AF49" s="23">
        <f>Saldos_Capital_Mensual!N49</f>
        <v/>
      </c>
      <c r="AG49" s="23">
        <f>Intereses_Residual_Mensual!N49</f>
        <v/>
      </c>
      <c r="AH49" s="23">
        <f>ROUND(AD49 + AG49, 2)</f>
        <v/>
      </c>
      <c r="AI49" s="23">
        <f>Intereses_Leasing_Mensual!O49</f>
        <v/>
      </c>
      <c r="AJ49" s="23">
        <f>Amortizacion_Capital_Mensual!P49</f>
        <v/>
      </c>
      <c r="AK49" s="23">
        <f>Saldos_Capital_Mensual!O49</f>
        <v/>
      </c>
      <c r="AL49" s="23">
        <f>Intereses_Residual_Mensual!O49</f>
        <v/>
      </c>
      <c r="AM49" s="23">
        <f>ROUND(AI49 + AL49, 2)</f>
        <v/>
      </c>
      <c r="AN49" s="23">
        <f>Intereses_Leasing_Mensual!P49</f>
        <v/>
      </c>
      <c r="AO49" s="23">
        <f>Amortizacion_Capital_Mensual!Q49</f>
        <v/>
      </c>
      <c r="AP49" s="23">
        <f>Saldos_Capital_Mensual!P49</f>
        <v/>
      </c>
      <c r="AQ49" s="23">
        <f>Intereses_Residual_Mensual!P49</f>
        <v/>
      </c>
      <c r="AR49" s="23">
        <f>ROUND(AN49 + AQ49, 2)</f>
        <v/>
      </c>
      <c r="AS49" s="23">
        <f>Intereses_Leasing_Mensual!Q49</f>
        <v/>
      </c>
      <c r="AT49" s="23">
        <f>Amortizacion_Capital_Mensual!R49</f>
        <v/>
      </c>
      <c r="AU49" s="23">
        <f>Saldos_Capital_Mensual!Q49</f>
        <v/>
      </c>
      <c r="AV49" s="23">
        <f>Intereses_Residual_Mensual!Q49</f>
        <v/>
      </c>
      <c r="AW49" s="23">
        <f>ROUND(AS49 + AV49, 2)</f>
        <v/>
      </c>
      <c r="AX49" s="23">
        <f>Intereses_Leasing_Mensual!R49</f>
        <v/>
      </c>
      <c r="AY49" s="23">
        <f>Amortizacion_Capital_Mensual!S49</f>
        <v/>
      </c>
      <c r="AZ49" s="23">
        <f>Saldos_Capital_Mensual!R49</f>
        <v/>
      </c>
      <c r="BA49" s="23">
        <f>Intereses_Residual_Mensual!R49</f>
        <v/>
      </c>
      <c r="BB49" s="23">
        <f>ROUND(AX49 + BA49, 2)</f>
        <v/>
      </c>
      <c r="BC49" s="23">
        <f>Intereses_Leasing_Mensual!S49</f>
        <v/>
      </c>
      <c r="BD49" s="23">
        <f>Amortizacion_Capital_Mensual!T49</f>
        <v/>
      </c>
      <c r="BE49" s="23">
        <f>Saldos_Capital_Mensual!S49</f>
        <v/>
      </c>
      <c r="BF49" s="23">
        <f>Intereses_Residual_Mensual!S49</f>
        <v/>
      </c>
      <c r="BG49" s="23">
        <f>ROUND(BC49 + BF49, 2)</f>
        <v/>
      </c>
      <c r="BH49" s="23">
        <f>Intereses_Leasing_Mensual!T49</f>
        <v/>
      </c>
      <c r="BI49" s="23">
        <f>Amortizacion_Capital_Mensual!U49</f>
        <v/>
      </c>
      <c r="BJ49" s="23">
        <f>Saldos_Capital_Mensual!T49</f>
        <v/>
      </c>
      <c r="BK49" s="23">
        <f>Intereses_Residual_Mensual!T49</f>
        <v/>
      </c>
      <c r="BL49" s="23">
        <f>ROUND(BH49 + BK49, 2)</f>
        <v/>
      </c>
    </row>
    <row r="50">
      <c r="A50" s="26" t="inlineStr">
        <is>
          <t>0585-0003</t>
        </is>
      </c>
      <c r="B50" s="27" t="inlineStr">
        <is>
          <t>Julio Alberto Ramos de la Mora</t>
        </is>
      </c>
      <c r="C50" s="27" t="inlineStr">
        <is>
          <t>Wrangler Rubicon</t>
        </is>
      </c>
      <c r="D50" s="28" t="n">
        <v>48</v>
      </c>
      <c r="E50" s="29">
        <f>Intereses_Leasing_Mensual!I50</f>
        <v/>
      </c>
      <c r="F50" s="29">
        <f>Amortizacion_Capital_Mensual!J50</f>
        <v/>
      </c>
      <c r="G50" s="29">
        <f>Saldos_Capital_Mensual!I50</f>
        <v/>
      </c>
      <c r="H50" s="29">
        <f>Intereses_Residual_Mensual!I50</f>
        <v/>
      </c>
      <c r="I50" s="29">
        <f>ROUND(E50 + H50, 2)</f>
        <v/>
      </c>
      <c r="J50" s="29">
        <f>Intereses_Leasing_Mensual!J50</f>
        <v/>
      </c>
      <c r="K50" s="29">
        <f>Amortizacion_Capital_Mensual!K50</f>
        <v/>
      </c>
      <c r="L50" s="29">
        <f>Saldos_Capital_Mensual!J50</f>
        <v/>
      </c>
      <c r="M50" s="29">
        <f>Intereses_Residual_Mensual!J50</f>
        <v/>
      </c>
      <c r="N50" s="29">
        <f>ROUND(J50 + M50, 2)</f>
        <v/>
      </c>
      <c r="O50" s="29">
        <f>Intereses_Leasing_Mensual!K50</f>
        <v/>
      </c>
      <c r="P50" s="29">
        <f>Amortizacion_Capital_Mensual!L50</f>
        <v/>
      </c>
      <c r="Q50" s="29">
        <f>Saldos_Capital_Mensual!K50</f>
        <v/>
      </c>
      <c r="R50" s="29">
        <f>Intereses_Residual_Mensual!K50</f>
        <v/>
      </c>
      <c r="S50" s="29">
        <f>ROUND(O50 + R50, 2)</f>
        <v/>
      </c>
      <c r="T50" s="29">
        <f>Intereses_Leasing_Mensual!L50</f>
        <v/>
      </c>
      <c r="U50" s="29">
        <f>Amortizacion_Capital_Mensual!M50</f>
        <v/>
      </c>
      <c r="V50" s="29">
        <f>Saldos_Capital_Mensual!L50</f>
        <v/>
      </c>
      <c r="W50" s="29">
        <f>Intereses_Residual_Mensual!L50</f>
        <v/>
      </c>
      <c r="X50" s="29">
        <f>ROUND(T50 + W50, 2)</f>
        <v/>
      </c>
      <c r="Y50" s="29">
        <f>Intereses_Leasing_Mensual!M50</f>
        <v/>
      </c>
      <c r="Z50" s="29">
        <f>Amortizacion_Capital_Mensual!N50</f>
        <v/>
      </c>
      <c r="AA50" s="29">
        <f>Saldos_Capital_Mensual!M50</f>
        <v/>
      </c>
      <c r="AB50" s="29">
        <f>Intereses_Residual_Mensual!M50</f>
        <v/>
      </c>
      <c r="AC50" s="29">
        <f>ROUND(Y50 + AB50, 2)</f>
        <v/>
      </c>
      <c r="AD50" s="29">
        <f>Intereses_Leasing_Mensual!N50</f>
        <v/>
      </c>
      <c r="AE50" s="29">
        <f>Amortizacion_Capital_Mensual!O50</f>
        <v/>
      </c>
      <c r="AF50" s="29">
        <f>Saldos_Capital_Mensual!N50</f>
        <v/>
      </c>
      <c r="AG50" s="29">
        <f>Intereses_Residual_Mensual!N50</f>
        <v/>
      </c>
      <c r="AH50" s="29">
        <f>ROUND(AD50 + AG50, 2)</f>
        <v/>
      </c>
      <c r="AI50" s="29">
        <f>Intereses_Leasing_Mensual!O50</f>
        <v/>
      </c>
      <c r="AJ50" s="29">
        <f>Amortizacion_Capital_Mensual!P50</f>
        <v/>
      </c>
      <c r="AK50" s="29">
        <f>Saldos_Capital_Mensual!O50</f>
        <v/>
      </c>
      <c r="AL50" s="29">
        <f>Intereses_Residual_Mensual!O50</f>
        <v/>
      </c>
      <c r="AM50" s="29">
        <f>ROUND(AI50 + AL50, 2)</f>
        <v/>
      </c>
      <c r="AN50" s="29">
        <f>Intereses_Leasing_Mensual!P50</f>
        <v/>
      </c>
      <c r="AO50" s="29">
        <f>Amortizacion_Capital_Mensual!Q50</f>
        <v/>
      </c>
      <c r="AP50" s="29">
        <f>Saldos_Capital_Mensual!P50</f>
        <v/>
      </c>
      <c r="AQ50" s="29">
        <f>Intereses_Residual_Mensual!P50</f>
        <v/>
      </c>
      <c r="AR50" s="29">
        <f>ROUND(AN50 + AQ50, 2)</f>
        <v/>
      </c>
      <c r="AS50" s="29">
        <f>Intereses_Leasing_Mensual!Q50</f>
        <v/>
      </c>
      <c r="AT50" s="29">
        <f>Amortizacion_Capital_Mensual!R50</f>
        <v/>
      </c>
      <c r="AU50" s="29">
        <f>Saldos_Capital_Mensual!Q50</f>
        <v/>
      </c>
      <c r="AV50" s="29">
        <f>Intereses_Residual_Mensual!Q50</f>
        <v/>
      </c>
      <c r="AW50" s="29">
        <f>ROUND(AS50 + AV50, 2)</f>
        <v/>
      </c>
      <c r="AX50" s="29">
        <f>Intereses_Leasing_Mensual!R50</f>
        <v/>
      </c>
      <c r="AY50" s="29">
        <f>Amortizacion_Capital_Mensual!S50</f>
        <v/>
      </c>
      <c r="AZ50" s="29">
        <f>Saldos_Capital_Mensual!R50</f>
        <v/>
      </c>
      <c r="BA50" s="29">
        <f>Intereses_Residual_Mensual!R50</f>
        <v/>
      </c>
      <c r="BB50" s="29">
        <f>ROUND(AX50 + BA50, 2)</f>
        <v/>
      </c>
      <c r="BC50" s="29">
        <f>Intereses_Leasing_Mensual!S50</f>
        <v/>
      </c>
      <c r="BD50" s="29">
        <f>Amortizacion_Capital_Mensual!T50</f>
        <v/>
      </c>
      <c r="BE50" s="29">
        <f>Saldos_Capital_Mensual!S50</f>
        <v/>
      </c>
      <c r="BF50" s="29">
        <f>Intereses_Residual_Mensual!S50</f>
        <v/>
      </c>
      <c r="BG50" s="29">
        <f>ROUND(BC50 + BF50, 2)</f>
        <v/>
      </c>
      <c r="BH50" s="29">
        <f>Intereses_Leasing_Mensual!T50</f>
        <v/>
      </c>
      <c r="BI50" s="29">
        <f>Amortizacion_Capital_Mensual!U50</f>
        <v/>
      </c>
      <c r="BJ50" s="29">
        <f>Saldos_Capital_Mensual!T50</f>
        <v/>
      </c>
      <c r="BK50" s="29">
        <f>Intereses_Residual_Mensual!T50</f>
        <v/>
      </c>
      <c r="BL50" s="29">
        <f>ROUND(BH50 + BK50, 2)</f>
        <v/>
      </c>
    </row>
    <row r="51">
      <c r="A51" s="20" t="inlineStr">
        <is>
          <t>0585-0004</t>
        </is>
      </c>
      <c r="B51" s="21" t="inlineStr">
        <is>
          <t>Julio Alberto Ramos de la Mora</t>
        </is>
      </c>
      <c r="C51" s="21" t="inlineStr">
        <is>
          <t>Hrv Sport</t>
        </is>
      </c>
      <c r="D51" s="22" t="n">
        <v>36</v>
      </c>
      <c r="E51" s="23">
        <f>Intereses_Leasing_Mensual!I51</f>
        <v/>
      </c>
      <c r="F51" s="23">
        <f>Amortizacion_Capital_Mensual!J51</f>
        <v/>
      </c>
      <c r="G51" s="23">
        <f>Saldos_Capital_Mensual!I51</f>
        <v/>
      </c>
      <c r="H51" s="23">
        <f>Intereses_Residual_Mensual!I51</f>
        <v/>
      </c>
      <c r="I51" s="23">
        <f>ROUND(E51 + H51, 2)</f>
        <v/>
      </c>
      <c r="J51" s="23">
        <f>Intereses_Leasing_Mensual!J51</f>
        <v/>
      </c>
      <c r="K51" s="23">
        <f>Amortizacion_Capital_Mensual!K51</f>
        <v/>
      </c>
      <c r="L51" s="23">
        <f>Saldos_Capital_Mensual!J51</f>
        <v/>
      </c>
      <c r="M51" s="23">
        <f>Intereses_Residual_Mensual!J51</f>
        <v/>
      </c>
      <c r="N51" s="23">
        <f>ROUND(J51 + M51, 2)</f>
        <v/>
      </c>
      <c r="O51" s="23">
        <f>Intereses_Leasing_Mensual!K51</f>
        <v/>
      </c>
      <c r="P51" s="23">
        <f>Amortizacion_Capital_Mensual!L51</f>
        <v/>
      </c>
      <c r="Q51" s="23">
        <f>Saldos_Capital_Mensual!K51</f>
        <v/>
      </c>
      <c r="R51" s="23">
        <f>Intereses_Residual_Mensual!K51</f>
        <v/>
      </c>
      <c r="S51" s="23">
        <f>ROUND(O51 + R51, 2)</f>
        <v/>
      </c>
      <c r="T51" s="23">
        <f>Intereses_Leasing_Mensual!L51</f>
        <v/>
      </c>
      <c r="U51" s="23">
        <f>Amortizacion_Capital_Mensual!M51</f>
        <v/>
      </c>
      <c r="V51" s="23">
        <f>Saldos_Capital_Mensual!L51</f>
        <v/>
      </c>
      <c r="W51" s="23">
        <f>Intereses_Residual_Mensual!L51</f>
        <v/>
      </c>
      <c r="X51" s="23">
        <f>ROUND(T51 + W51, 2)</f>
        <v/>
      </c>
      <c r="Y51" s="23">
        <f>Intereses_Leasing_Mensual!M51</f>
        <v/>
      </c>
      <c r="Z51" s="23">
        <f>Amortizacion_Capital_Mensual!N51</f>
        <v/>
      </c>
      <c r="AA51" s="23">
        <f>Saldos_Capital_Mensual!M51</f>
        <v/>
      </c>
      <c r="AB51" s="23">
        <f>Intereses_Residual_Mensual!M51</f>
        <v/>
      </c>
      <c r="AC51" s="23">
        <f>ROUND(Y51 + AB51, 2)</f>
        <v/>
      </c>
      <c r="AD51" s="23">
        <f>Intereses_Leasing_Mensual!N51</f>
        <v/>
      </c>
      <c r="AE51" s="23">
        <f>Amortizacion_Capital_Mensual!O51</f>
        <v/>
      </c>
      <c r="AF51" s="23">
        <f>Saldos_Capital_Mensual!N51</f>
        <v/>
      </c>
      <c r="AG51" s="23">
        <f>Intereses_Residual_Mensual!N51</f>
        <v/>
      </c>
      <c r="AH51" s="23">
        <f>ROUND(AD51 + AG51, 2)</f>
        <v/>
      </c>
      <c r="AI51" s="23">
        <f>Intereses_Leasing_Mensual!O51</f>
        <v/>
      </c>
      <c r="AJ51" s="23">
        <f>Amortizacion_Capital_Mensual!P51</f>
        <v/>
      </c>
      <c r="AK51" s="23">
        <f>Saldos_Capital_Mensual!O51</f>
        <v/>
      </c>
      <c r="AL51" s="23">
        <f>Intereses_Residual_Mensual!O51</f>
        <v/>
      </c>
      <c r="AM51" s="23">
        <f>ROUND(AI51 + AL51, 2)</f>
        <v/>
      </c>
      <c r="AN51" s="23">
        <f>Intereses_Leasing_Mensual!P51</f>
        <v/>
      </c>
      <c r="AO51" s="23">
        <f>Amortizacion_Capital_Mensual!Q51</f>
        <v/>
      </c>
      <c r="AP51" s="23">
        <f>Saldos_Capital_Mensual!P51</f>
        <v/>
      </c>
      <c r="AQ51" s="23">
        <f>Intereses_Residual_Mensual!P51</f>
        <v/>
      </c>
      <c r="AR51" s="23">
        <f>ROUND(AN51 + AQ51, 2)</f>
        <v/>
      </c>
      <c r="AS51" s="23">
        <f>Intereses_Leasing_Mensual!Q51</f>
        <v/>
      </c>
      <c r="AT51" s="23">
        <f>Amortizacion_Capital_Mensual!R51</f>
        <v/>
      </c>
      <c r="AU51" s="23">
        <f>Saldos_Capital_Mensual!Q51</f>
        <v/>
      </c>
      <c r="AV51" s="23">
        <f>Intereses_Residual_Mensual!Q51</f>
        <v/>
      </c>
      <c r="AW51" s="23">
        <f>ROUND(AS51 + AV51, 2)</f>
        <v/>
      </c>
      <c r="AX51" s="23">
        <f>Intereses_Leasing_Mensual!R51</f>
        <v/>
      </c>
      <c r="AY51" s="23">
        <f>Amortizacion_Capital_Mensual!S51</f>
        <v/>
      </c>
      <c r="AZ51" s="23">
        <f>Saldos_Capital_Mensual!R51</f>
        <v/>
      </c>
      <c r="BA51" s="23">
        <f>Intereses_Residual_Mensual!R51</f>
        <v/>
      </c>
      <c r="BB51" s="23">
        <f>ROUND(AX51 + BA51, 2)</f>
        <v/>
      </c>
      <c r="BC51" s="23">
        <f>Intereses_Leasing_Mensual!S51</f>
        <v/>
      </c>
      <c r="BD51" s="23">
        <f>Amortizacion_Capital_Mensual!T51</f>
        <v/>
      </c>
      <c r="BE51" s="23">
        <f>Saldos_Capital_Mensual!S51</f>
        <v/>
      </c>
      <c r="BF51" s="23">
        <f>Intereses_Residual_Mensual!S51</f>
        <v/>
      </c>
      <c r="BG51" s="23">
        <f>ROUND(BC51 + BF51, 2)</f>
        <v/>
      </c>
      <c r="BH51" s="23">
        <f>Intereses_Leasing_Mensual!T51</f>
        <v/>
      </c>
      <c r="BI51" s="23">
        <f>Amortizacion_Capital_Mensual!U51</f>
        <v/>
      </c>
      <c r="BJ51" s="23">
        <f>Saldos_Capital_Mensual!T51</f>
        <v/>
      </c>
      <c r="BK51" s="23">
        <f>Intereses_Residual_Mensual!T51</f>
        <v/>
      </c>
      <c r="BL51" s="23">
        <f>ROUND(BH51 + BK51, 2)</f>
        <v/>
      </c>
    </row>
    <row r="52">
      <c r="A52" s="26" t="inlineStr">
        <is>
          <t>0585-0005</t>
        </is>
      </c>
      <c r="B52" s="27" t="inlineStr">
        <is>
          <t>Julio Alberto Ramos de la Mora</t>
        </is>
      </c>
      <c r="C52" s="27" t="inlineStr">
        <is>
          <t>M9 GL HEV</t>
        </is>
      </c>
      <c r="D52" s="28" t="n">
        <v>24</v>
      </c>
      <c r="E52" s="29">
        <f>Intereses_Leasing_Mensual!I52</f>
        <v/>
      </c>
      <c r="F52" s="29">
        <f>Amortizacion_Capital_Mensual!J52</f>
        <v/>
      </c>
      <c r="G52" s="29">
        <f>Saldos_Capital_Mensual!I52</f>
        <v/>
      </c>
      <c r="H52" s="29">
        <f>Intereses_Residual_Mensual!I52</f>
        <v/>
      </c>
      <c r="I52" s="29">
        <f>ROUND(E52 + H52, 2)</f>
        <v/>
      </c>
      <c r="J52" s="29">
        <f>Intereses_Leasing_Mensual!J52</f>
        <v/>
      </c>
      <c r="K52" s="29">
        <f>Amortizacion_Capital_Mensual!K52</f>
        <v/>
      </c>
      <c r="L52" s="29">
        <f>Saldos_Capital_Mensual!J52</f>
        <v/>
      </c>
      <c r="M52" s="29">
        <f>Intereses_Residual_Mensual!J52</f>
        <v/>
      </c>
      <c r="N52" s="29">
        <f>ROUND(J52 + M52, 2)</f>
        <v/>
      </c>
      <c r="O52" s="29">
        <f>Intereses_Leasing_Mensual!K52</f>
        <v/>
      </c>
      <c r="P52" s="29">
        <f>Amortizacion_Capital_Mensual!L52</f>
        <v/>
      </c>
      <c r="Q52" s="29">
        <f>Saldos_Capital_Mensual!K52</f>
        <v/>
      </c>
      <c r="R52" s="29">
        <f>Intereses_Residual_Mensual!K52</f>
        <v/>
      </c>
      <c r="S52" s="29">
        <f>ROUND(O52 + R52, 2)</f>
        <v/>
      </c>
      <c r="T52" s="29">
        <f>Intereses_Leasing_Mensual!L52</f>
        <v/>
      </c>
      <c r="U52" s="29">
        <f>Amortizacion_Capital_Mensual!M52</f>
        <v/>
      </c>
      <c r="V52" s="29">
        <f>Saldos_Capital_Mensual!L52</f>
        <v/>
      </c>
      <c r="W52" s="29">
        <f>Intereses_Residual_Mensual!L52</f>
        <v/>
      </c>
      <c r="X52" s="29">
        <f>ROUND(T52 + W52, 2)</f>
        <v/>
      </c>
      <c r="Y52" s="29">
        <f>Intereses_Leasing_Mensual!M52</f>
        <v/>
      </c>
      <c r="Z52" s="29">
        <f>Amortizacion_Capital_Mensual!N52</f>
        <v/>
      </c>
      <c r="AA52" s="29">
        <f>Saldos_Capital_Mensual!M52</f>
        <v/>
      </c>
      <c r="AB52" s="29">
        <f>Intereses_Residual_Mensual!M52</f>
        <v/>
      </c>
      <c r="AC52" s="29">
        <f>ROUND(Y52 + AB52, 2)</f>
        <v/>
      </c>
      <c r="AD52" s="29">
        <f>Intereses_Leasing_Mensual!N52</f>
        <v/>
      </c>
      <c r="AE52" s="29">
        <f>Amortizacion_Capital_Mensual!O52</f>
        <v/>
      </c>
      <c r="AF52" s="29">
        <f>Saldos_Capital_Mensual!N52</f>
        <v/>
      </c>
      <c r="AG52" s="29">
        <f>Intereses_Residual_Mensual!N52</f>
        <v/>
      </c>
      <c r="AH52" s="29">
        <f>ROUND(AD52 + AG52, 2)</f>
        <v/>
      </c>
      <c r="AI52" s="29">
        <f>Intereses_Leasing_Mensual!O52</f>
        <v/>
      </c>
      <c r="AJ52" s="29">
        <f>Amortizacion_Capital_Mensual!P52</f>
        <v/>
      </c>
      <c r="AK52" s="29">
        <f>Saldos_Capital_Mensual!O52</f>
        <v/>
      </c>
      <c r="AL52" s="29">
        <f>Intereses_Residual_Mensual!O52</f>
        <v/>
      </c>
      <c r="AM52" s="29">
        <f>ROUND(AI52 + AL52, 2)</f>
        <v/>
      </c>
      <c r="AN52" s="29">
        <f>Intereses_Leasing_Mensual!P52</f>
        <v/>
      </c>
      <c r="AO52" s="29">
        <f>Amortizacion_Capital_Mensual!Q52</f>
        <v/>
      </c>
      <c r="AP52" s="29">
        <f>Saldos_Capital_Mensual!P52</f>
        <v/>
      </c>
      <c r="AQ52" s="29">
        <f>Intereses_Residual_Mensual!P52</f>
        <v/>
      </c>
      <c r="AR52" s="29">
        <f>ROUND(AN52 + AQ52, 2)</f>
        <v/>
      </c>
      <c r="AS52" s="29">
        <f>Intereses_Leasing_Mensual!Q52</f>
        <v/>
      </c>
      <c r="AT52" s="29">
        <f>Amortizacion_Capital_Mensual!R52</f>
        <v/>
      </c>
      <c r="AU52" s="29">
        <f>Saldos_Capital_Mensual!Q52</f>
        <v/>
      </c>
      <c r="AV52" s="29">
        <f>Intereses_Residual_Mensual!Q52</f>
        <v/>
      </c>
      <c r="AW52" s="29">
        <f>ROUND(AS52 + AV52, 2)</f>
        <v/>
      </c>
      <c r="AX52" s="29">
        <f>Intereses_Leasing_Mensual!R52</f>
        <v/>
      </c>
      <c r="AY52" s="29">
        <f>Amortizacion_Capital_Mensual!S52</f>
        <v/>
      </c>
      <c r="AZ52" s="29">
        <f>Saldos_Capital_Mensual!R52</f>
        <v/>
      </c>
      <c r="BA52" s="29">
        <f>Intereses_Residual_Mensual!R52</f>
        <v/>
      </c>
      <c r="BB52" s="29">
        <f>ROUND(AX52 + BA52, 2)</f>
        <v/>
      </c>
      <c r="BC52" s="29">
        <f>Intereses_Leasing_Mensual!S52</f>
        <v/>
      </c>
      <c r="BD52" s="29">
        <f>Amortizacion_Capital_Mensual!T52</f>
        <v/>
      </c>
      <c r="BE52" s="29">
        <f>Saldos_Capital_Mensual!S52</f>
        <v/>
      </c>
      <c r="BF52" s="29">
        <f>Intereses_Residual_Mensual!S52</f>
        <v/>
      </c>
      <c r="BG52" s="29">
        <f>ROUND(BC52 + BF52, 2)</f>
        <v/>
      </c>
      <c r="BH52" s="29">
        <f>Intereses_Leasing_Mensual!T52</f>
        <v/>
      </c>
      <c r="BI52" s="29">
        <f>Amortizacion_Capital_Mensual!U52</f>
        <v/>
      </c>
      <c r="BJ52" s="29">
        <f>Saldos_Capital_Mensual!T52</f>
        <v/>
      </c>
      <c r="BK52" s="29">
        <f>Intereses_Residual_Mensual!T52</f>
        <v/>
      </c>
      <c r="BL52" s="29">
        <f>ROUND(BH52 + BK52, 2)</f>
        <v/>
      </c>
    </row>
    <row r="53">
      <c r="A53" s="20" t="inlineStr">
        <is>
          <t>0587-0002</t>
        </is>
      </c>
      <c r="B53" s="21" t="inlineStr">
        <is>
          <t>Allioth, S.C.</t>
        </is>
      </c>
      <c r="C53" s="21" t="inlineStr">
        <is>
          <t>Grand Cherokee L Summit</t>
        </is>
      </c>
      <c r="D53" s="22" t="n">
        <v>12</v>
      </c>
      <c r="E53" s="23">
        <f>Intereses_Leasing_Mensual!I53</f>
        <v/>
      </c>
      <c r="F53" s="23">
        <f>Amortizacion_Capital_Mensual!J53</f>
        <v/>
      </c>
      <c r="G53" s="23">
        <f>Saldos_Capital_Mensual!I53</f>
        <v/>
      </c>
      <c r="H53" s="23">
        <f>Intereses_Residual_Mensual!I53</f>
        <v/>
      </c>
      <c r="I53" s="23">
        <f>ROUND(E53 + H53, 2)</f>
        <v/>
      </c>
      <c r="J53" s="23">
        <f>Intereses_Leasing_Mensual!J53</f>
        <v/>
      </c>
      <c r="K53" s="23">
        <f>Amortizacion_Capital_Mensual!K53</f>
        <v/>
      </c>
      <c r="L53" s="23">
        <f>Saldos_Capital_Mensual!J53</f>
        <v/>
      </c>
      <c r="M53" s="23">
        <f>Intereses_Residual_Mensual!J53</f>
        <v/>
      </c>
      <c r="N53" s="23">
        <f>ROUND(J53 + M53, 2)</f>
        <v/>
      </c>
      <c r="O53" s="23">
        <f>Intereses_Leasing_Mensual!K53</f>
        <v/>
      </c>
      <c r="P53" s="23">
        <f>Amortizacion_Capital_Mensual!L53</f>
        <v/>
      </c>
      <c r="Q53" s="23">
        <f>Saldos_Capital_Mensual!K53</f>
        <v/>
      </c>
      <c r="R53" s="23">
        <f>Intereses_Residual_Mensual!K53</f>
        <v/>
      </c>
      <c r="S53" s="23">
        <f>ROUND(O53 + R53, 2)</f>
        <v/>
      </c>
      <c r="T53" s="23">
        <f>Intereses_Leasing_Mensual!L53</f>
        <v/>
      </c>
      <c r="U53" s="23">
        <f>Amortizacion_Capital_Mensual!M53</f>
        <v/>
      </c>
      <c r="V53" s="23">
        <f>Saldos_Capital_Mensual!L53</f>
        <v/>
      </c>
      <c r="W53" s="23">
        <f>Intereses_Residual_Mensual!L53</f>
        <v/>
      </c>
      <c r="X53" s="23">
        <f>ROUND(T53 + W53, 2)</f>
        <v/>
      </c>
      <c r="Y53" s="23">
        <f>Intereses_Leasing_Mensual!M53</f>
        <v/>
      </c>
      <c r="Z53" s="23">
        <f>Amortizacion_Capital_Mensual!N53</f>
        <v/>
      </c>
      <c r="AA53" s="23">
        <f>Saldos_Capital_Mensual!M53</f>
        <v/>
      </c>
      <c r="AB53" s="23">
        <f>Intereses_Residual_Mensual!M53</f>
        <v/>
      </c>
      <c r="AC53" s="23">
        <f>ROUND(Y53 + AB53, 2)</f>
        <v/>
      </c>
      <c r="AD53" s="23">
        <f>Intereses_Leasing_Mensual!N53</f>
        <v/>
      </c>
      <c r="AE53" s="23">
        <f>Amortizacion_Capital_Mensual!O53</f>
        <v/>
      </c>
      <c r="AF53" s="23">
        <f>Saldos_Capital_Mensual!N53</f>
        <v/>
      </c>
      <c r="AG53" s="23">
        <f>Intereses_Residual_Mensual!N53</f>
        <v/>
      </c>
      <c r="AH53" s="23">
        <f>ROUND(AD53 + AG53, 2)</f>
        <v/>
      </c>
      <c r="AI53" s="23">
        <f>Intereses_Leasing_Mensual!O53</f>
        <v/>
      </c>
      <c r="AJ53" s="23">
        <f>Amortizacion_Capital_Mensual!P53</f>
        <v/>
      </c>
      <c r="AK53" s="23">
        <f>Saldos_Capital_Mensual!O53</f>
        <v/>
      </c>
      <c r="AL53" s="23">
        <f>Intereses_Residual_Mensual!O53</f>
        <v/>
      </c>
      <c r="AM53" s="23">
        <f>ROUND(AI53 + AL53, 2)</f>
        <v/>
      </c>
      <c r="AN53" s="23">
        <f>Intereses_Leasing_Mensual!P53</f>
        <v/>
      </c>
      <c r="AO53" s="23">
        <f>Amortizacion_Capital_Mensual!Q53</f>
        <v/>
      </c>
      <c r="AP53" s="23">
        <f>Saldos_Capital_Mensual!P53</f>
        <v/>
      </c>
      <c r="AQ53" s="23">
        <f>Intereses_Residual_Mensual!P53</f>
        <v/>
      </c>
      <c r="AR53" s="23">
        <f>ROUND(AN53 + AQ53, 2)</f>
        <v/>
      </c>
      <c r="AS53" s="23">
        <f>Intereses_Leasing_Mensual!Q53</f>
        <v/>
      </c>
      <c r="AT53" s="23">
        <f>Amortizacion_Capital_Mensual!R53</f>
        <v/>
      </c>
      <c r="AU53" s="23">
        <f>Saldos_Capital_Mensual!Q53</f>
        <v/>
      </c>
      <c r="AV53" s="23">
        <f>Intereses_Residual_Mensual!Q53</f>
        <v/>
      </c>
      <c r="AW53" s="23">
        <f>ROUND(AS53 + AV53, 2)</f>
        <v/>
      </c>
      <c r="AX53" s="23">
        <f>Intereses_Leasing_Mensual!R53</f>
        <v/>
      </c>
      <c r="AY53" s="23">
        <f>Amortizacion_Capital_Mensual!S53</f>
        <v/>
      </c>
      <c r="AZ53" s="23">
        <f>Saldos_Capital_Mensual!R53</f>
        <v/>
      </c>
      <c r="BA53" s="23">
        <f>Intereses_Residual_Mensual!R53</f>
        <v/>
      </c>
      <c r="BB53" s="23">
        <f>ROUND(AX53 + BA53, 2)</f>
        <v/>
      </c>
      <c r="BC53" s="23">
        <f>Intereses_Leasing_Mensual!S53</f>
        <v/>
      </c>
      <c r="BD53" s="23">
        <f>Amortizacion_Capital_Mensual!T53</f>
        <v/>
      </c>
      <c r="BE53" s="23">
        <f>Saldos_Capital_Mensual!S53</f>
        <v/>
      </c>
      <c r="BF53" s="23">
        <f>Intereses_Residual_Mensual!S53</f>
        <v/>
      </c>
      <c r="BG53" s="23">
        <f>ROUND(BC53 + BF53, 2)</f>
        <v/>
      </c>
      <c r="BH53" s="23">
        <f>Intereses_Leasing_Mensual!T53</f>
        <v/>
      </c>
      <c r="BI53" s="23">
        <f>Amortizacion_Capital_Mensual!U53</f>
        <v/>
      </c>
      <c r="BJ53" s="23">
        <f>Saldos_Capital_Mensual!T53</f>
        <v/>
      </c>
      <c r="BK53" s="23">
        <f>Intereses_Residual_Mensual!T53</f>
        <v/>
      </c>
      <c r="BL53" s="23">
        <f>ROUND(BH53 + BK53, 2)</f>
        <v/>
      </c>
    </row>
    <row r="54">
      <c r="A54" s="26" t="inlineStr">
        <is>
          <t>0591-0002</t>
        </is>
      </c>
      <c r="B54" s="27" t="inlineStr">
        <is>
          <t>Cervantech Servicios Tecnologicos Sc</t>
        </is>
      </c>
      <c r="C54" s="27" t="inlineStr">
        <is>
          <t>WRANGLER RUBICON</t>
        </is>
      </c>
      <c r="D54" s="28" t="n">
        <v>36</v>
      </c>
      <c r="E54" s="29">
        <f>Intereses_Leasing_Mensual!I54</f>
        <v/>
      </c>
      <c r="F54" s="29">
        <f>Amortizacion_Capital_Mensual!J54</f>
        <v/>
      </c>
      <c r="G54" s="29">
        <f>Saldos_Capital_Mensual!I54</f>
        <v/>
      </c>
      <c r="H54" s="29">
        <f>Intereses_Residual_Mensual!I54</f>
        <v/>
      </c>
      <c r="I54" s="29">
        <f>ROUND(E54 + H54, 2)</f>
        <v/>
      </c>
      <c r="J54" s="29">
        <f>Intereses_Leasing_Mensual!J54</f>
        <v/>
      </c>
      <c r="K54" s="29">
        <f>Amortizacion_Capital_Mensual!K54</f>
        <v/>
      </c>
      <c r="L54" s="29">
        <f>Saldos_Capital_Mensual!J54</f>
        <v/>
      </c>
      <c r="M54" s="29">
        <f>Intereses_Residual_Mensual!J54</f>
        <v/>
      </c>
      <c r="N54" s="29">
        <f>ROUND(J54 + M54, 2)</f>
        <v/>
      </c>
      <c r="O54" s="29">
        <f>Intereses_Leasing_Mensual!K54</f>
        <v/>
      </c>
      <c r="P54" s="29">
        <f>Amortizacion_Capital_Mensual!L54</f>
        <v/>
      </c>
      <c r="Q54" s="29">
        <f>Saldos_Capital_Mensual!K54</f>
        <v/>
      </c>
      <c r="R54" s="29">
        <f>Intereses_Residual_Mensual!K54</f>
        <v/>
      </c>
      <c r="S54" s="29">
        <f>ROUND(O54 + R54, 2)</f>
        <v/>
      </c>
      <c r="T54" s="29">
        <f>Intereses_Leasing_Mensual!L54</f>
        <v/>
      </c>
      <c r="U54" s="29">
        <f>Amortizacion_Capital_Mensual!M54</f>
        <v/>
      </c>
      <c r="V54" s="29">
        <f>Saldos_Capital_Mensual!L54</f>
        <v/>
      </c>
      <c r="W54" s="29">
        <f>Intereses_Residual_Mensual!L54</f>
        <v/>
      </c>
      <c r="X54" s="29">
        <f>ROUND(T54 + W54, 2)</f>
        <v/>
      </c>
      <c r="Y54" s="29">
        <f>Intereses_Leasing_Mensual!M54</f>
        <v/>
      </c>
      <c r="Z54" s="29">
        <f>Amortizacion_Capital_Mensual!N54</f>
        <v/>
      </c>
      <c r="AA54" s="29">
        <f>Saldos_Capital_Mensual!M54</f>
        <v/>
      </c>
      <c r="AB54" s="29">
        <f>Intereses_Residual_Mensual!M54</f>
        <v/>
      </c>
      <c r="AC54" s="29">
        <f>ROUND(Y54 + AB54, 2)</f>
        <v/>
      </c>
      <c r="AD54" s="29">
        <f>Intereses_Leasing_Mensual!N54</f>
        <v/>
      </c>
      <c r="AE54" s="29">
        <f>Amortizacion_Capital_Mensual!O54</f>
        <v/>
      </c>
      <c r="AF54" s="29">
        <f>Saldos_Capital_Mensual!N54</f>
        <v/>
      </c>
      <c r="AG54" s="29">
        <f>Intereses_Residual_Mensual!N54</f>
        <v/>
      </c>
      <c r="AH54" s="29">
        <f>ROUND(AD54 + AG54, 2)</f>
        <v/>
      </c>
      <c r="AI54" s="29">
        <f>Intereses_Leasing_Mensual!O54</f>
        <v/>
      </c>
      <c r="AJ54" s="29">
        <f>Amortizacion_Capital_Mensual!P54</f>
        <v/>
      </c>
      <c r="AK54" s="29">
        <f>Saldos_Capital_Mensual!O54</f>
        <v/>
      </c>
      <c r="AL54" s="29">
        <f>Intereses_Residual_Mensual!O54</f>
        <v/>
      </c>
      <c r="AM54" s="29">
        <f>ROUND(AI54 + AL54, 2)</f>
        <v/>
      </c>
      <c r="AN54" s="29">
        <f>Intereses_Leasing_Mensual!P54</f>
        <v/>
      </c>
      <c r="AO54" s="29">
        <f>Amortizacion_Capital_Mensual!Q54</f>
        <v/>
      </c>
      <c r="AP54" s="29">
        <f>Saldos_Capital_Mensual!P54</f>
        <v/>
      </c>
      <c r="AQ54" s="29">
        <f>Intereses_Residual_Mensual!P54</f>
        <v/>
      </c>
      <c r="AR54" s="29">
        <f>ROUND(AN54 + AQ54, 2)</f>
        <v/>
      </c>
      <c r="AS54" s="29">
        <f>Intereses_Leasing_Mensual!Q54</f>
        <v/>
      </c>
      <c r="AT54" s="29">
        <f>Amortizacion_Capital_Mensual!R54</f>
        <v/>
      </c>
      <c r="AU54" s="29">
        <f>Saldos_Capital_Mensual!Q54</f>
        <v/>
      </c>
      <c r="AV54" s="29">
        <f>Intereses_Residual_Mensual!Q54</f>
        <v/>
      </c>
      <c r="AW54" s="29">
        <f>ROUND(AS54 + AV54, 2)</f>
        <v/>
      </c>
      <c r="AX54" s="29">
        <f>Intereses_Leasing_Mensual!R54</f>
        <v/>
      </c>
      <c r="AY54" s="29">
        <f>Amortizacion_Capital_Mensual!S54</f>
        <v/>
      </c>
      <c r="AZ54" s="29">
        <f>Saldos_Capital_Mensual!R54</f>
        <v/>
      </c>
      <c r="BA54" s="29">
        <f>Intereses_Residual_Mensual!R54</f>
        <v/>
      </c>
      <c r="BB54" s="29">
        <f>ROUND(AX54 + BA54, 2)</f>
        <v/>
      </c>
      <c r="BC54" s="29">
        <f>Intereses_Leasing_Mensual!S54</f>
        <v/>
      </c>
      <c r="BD54" s="29">
        <f>Amortizacion_Capital_Mensual!T54</f>
        <v/>
      </c>
      <c r="BE54" s="29">
        <f>Saldos_Capital_Mensual!S54</f>
        <v/>
      </c>
      <c r="BF54" s="29">
        <f>Intereses_Residual_Mensual!S54</f>
        <v/>
      </c>
      <c r="BG54" s="29">
        <f>ROUND(BC54 + BF54, 2)</f>
        <v/>
      </c>
      <c r="BH54" s="29">
        <f>Intereses_Leasing_Mensual!T54</f>
        <v/>
      </c>
      <c r="BI54" s="29">
        <f>Amortizacion_Capital_Mensual!U54</f>
        <v/>
      </c>
      <c r="BJ54" s="29">
        <f>Saldos_Capital_Mensual!T54</f>
        <v/>
      </c>
      <c r="BK54" s="29">
        <f>Intereses_Residual_Mensual!T54</f>
        <v/>
      </c>
      <c r="BL54" s="29">
        <f>ROUND(BH54 + BK54, 2)</f>
        <v/>
      </c>
    </row>
    <row r="55">
      <c r="A55" s="20" t="inlineStr">
        <is>
          <t>0593-0002</t>
        </is>
      </c>
      <c r="B55" s="21" t="inlineStr">
        <is>
          <t>Metales y Minerales Moa Sa de Cv</t>
        </is>
      </c>
      <c r="C55" s="21" t="inlineStr">
        <is>
          <t>Ram 700 SLT Crew Cab</t>
        </is>
      </c>
      <c r="D55" s="22" t="n">
        <v>48</v>
      </c>
      <c r="E55" s="23">
        <f>Intereses_Leasing_Mensual!I55</f>
        <v/>
      </c>
      <c r="F55" s="23">
        <f>Amortizacion_Capital_Mensual!J55</f>
        <v/>
      </c>
      <c r="G55" s="23">
        <f>Saldos_Capital_Mensual!I55</f>
        <v/>
      </c>
      <c r="H55" s="23">
        <f>Intereses_Residual_Mensual!I55</f>
        <v/>
      </c>
      <c r="I55" s="23">
        <f>ROUND(E55 + H55, 2)</f>
        <v/>
      </c>
      <c r="J55" s="23">
        <f>Intereses_Leasing_Mensual!J55</f>
        <v/>
      </c>
      <c r="K55" s="23">
        <f>Amortizacion_Capital_Mensual!K55</f>
        <v/>
      </c>
      <c r="L55" s="23">
        <f>Saldos_Capital_Mensual!J55</f>
        <v/>
      </c>
      <c r="M55" s="23">
        <f>Intereses_Residual_Mensual!J55</f>
        <v/>
      </c>
      <c r="N55" s="23">
        <f>ROUND(J55 + M55, 2)</f>
        <v/>
      </c>
      <c r="O55" s="23">
        <f>Intereses_Leasing_Mensual!K55</f>
        <v/>
      </c>
      <c r="P55" s="23">
        <f>Amortizacion_Capital_Mensual!L55</f>
        <v/>
      </c>
      <c r="Q55" s="23">
        <f>Saldos_Capital_Mensual!K55</f>
        <v/>
      </c>
      <c r="R55" s="23">
        <f>Intereses_Residual_Mensual!K55</f>
        <v/>
      </c>
      <c r="S55" s="23">
        <f>ROUND(O55 + R55, 2)</f>
        <v/>
      </c>
      <c r="T55" s="23">
        <f>Intereses_Leasing_Mensual!L55</f>
        <v/>
      </c>
      <c r="U55" s="23">
        <f>Amortizacion_Capital_Mensual!M55</f>
        <v/>
      </c>
      <c r="V55" s="23">
        <f>Saldos_Capital_Mensual!L55</f>
        <v/>
      </c>
      <c r="W55" s="23">
        <f>Intereses_Residual_Mensual!L55</f>
        <v/>
      </c>
      <c r="X55" s="23">
        <f>ROUND(T55 + W55, 2)</f>
        <v/>
      </c>
      <c r="Y55" s="23">
        <f>Intereses_Leasing_Mensual!M55</f>
        <v/>
      </c>
      <c r="Z55" s="23">
        <f>Amortizacion_Capital_Mensual!N55</f>
        <v/>
      </c>
      <c r="AA55" s="23">
        <f>Saldos_Capital_Mensual!M55</f>
        <v/>
      </c>
      <c r="AB55" s="23">
        <f>Intereses_Residual_Mensual!M55</f>
        <v/>
      </c>
      <c r="AC55" s="23">
        <f>ROUND(Y55 + AB55, 2)</f>
        <v/>
      </c>
      <c r="AD55" s="23">
        <f>Intereses_Leasing_Mensual!N55</f>
        <v/>
      </c>
      <c r="AE55" s="23">
        <f>Amortizacion_Capital_Mensual!O55</f>
        <v/>
      </c>
      <c r="AF55" s="23">
        <f>Saldos_Capital_Mensual!N55</f>
        <v/>
      </c>
      <c r="AG55" s="23">
        <f>Intereses_Residual_Mensual!N55</f>
        <v/>
      </c>
      <c r="AH55" s="23">
        <f>ROUND(AD55 + AG55, 2)</f>
        <v/>
      </c>
      <c r="AI55" s="23">
        <f>Intereses_Leasing_Mensual!O55</f>
        <v/>
      </c>
      <c r="AJ55" s="23">
        <f>Amortizacion_Capital_Mensual!P55</f>
        <v/>
      </c>
      <c r="AK55" s="23">
        <f>Saldos_Capital_Mensual!O55</f>
        <v/>
      </c>
      <c r="AL55" s="23">
        <f>Intereses_Residual_Mensual!O55</f>
        <v/>
      </c>
      <c r="AM55" s="23">
        <f>ROUND(AI55 + AL55, 2)</f>
        <v/>
      </c>
      <c r="AN55" s="23">
        <f>Intereses_Leasing_Mensual!P55</f>
        <v/>
      </c>
      <c r="AO55" s="23">
        <f>Amortizacion_Capital_Mensual!Q55</f>
        <v/>
      </c>
      <c r="AP55" s="23">
        <f>Saldos_Capital_Mensual!P55</f>
        <v/>
      </c>
      <c r="AQ55" s="23">
        <f>Intereses_Residual_Mensual!P55</f>
        <v/>
      </c>
      <c r="AR55" s="23">
        <f>ROUND(AN55 + AQ55, 2)</f>
        <v/>
      </c>
      <c r="AS55" s="23">
        <f>Intereses_Leasing_Mensual!Q55</f>
        <v/>
      </c>
      <c r="AT55" s="23">
        <f>Amortizacion_Capital_Mensual!R55</f>
        <v/>
      </c>
      <c r="AU55" s="23">
        <f>Saldos_Capital_Mensual!Q55</f>
        <v/>
      </c>
      <c r="AV55" s="23">
        <f>Intereses_Residual_Mensual!Q55</f>
        <v/>
      </c>
      <c r="AW55" s="23">
        <f>ROUND(AS55 + AV55, 2)</f>
        <v/>
      </c>
      <c r="AX55" s="23">
        <f>Intereses_Leasing_Mensual!R55</f>
        <v/>
      </c>
      <c r="AY55" s="23">
        <f>Amortizacion_Capital_Mensual!S55</f>
        <v/>
      </c>
      <c r="AZ55" s="23">
        <f>Saldos_Capital_Mensual!R55</f>
        <v/>
      </c>
      <c r="BA55" s="23">
        <f>Intereses_Residual_Mensual!R55</f>
        <v/>
      </c>
      <c r="BB55" s="23">
        <f>ROUND(AX55 + BA55, 2)</f>
        <v/>
      </c>
      <c r="BC55" s="23">
        <f>Intereses_Leasing_Mensual!S55</f>
        <v/>
      </c>
      <c r="BD55" s="23">
        <f>Amortizacion_Capital_Mensual!T55</f>
        <v/>
      </c>
      <c r="BE55" s="23">
        <f>Saldos_Capital_Mensual!S55</f>
        <v/>
      </c>
      <c r="BF55" s="23">
        <f>Intereses_Residual_Mensual!S55</f>
        <v/>
      </c>
      <c r="BG55" s="23">
        <f>ROUND(BC55 + BF55, 2)</f>
        <v/>
      </c>
      <c r="BH55" s="23">
        <f>Intereses_Leasing_Mensual!T55</f>
        <v/>
      </c>
      <c r="BI55" s="23">
        <f>Amortizacion_Capital_Mensual!U55</f>
        <v/>
      </c>
      <c r="BJ55" s="23">
        <f>Saldos_Capital_Mensual!T55</f>
        <v/>
      </c>
      <c r="BK55" s="23">
        <f>Intereses_Residual_Mensual!T55</f>
        <v/>
      </c>
      <c r="BL55" s="23">
        <f>ROUND(BH55 + BK55, 2)</f>
        <v/>
      </c>
    </row>
    <row r="56">
      <c r="A56" s="26" t="inlineStr">
        <is>
          <t>0594-0001</t>
        </is>
      </c>
      <c r="B56" s="27" t="inlineStr">
        <is>
          <t>Biotecnologia Estetica Sa de Cv</t>
        </is>
      </c>
      <c r="C56" s="27" t="inlineStr">
        <is>
          <t>Mobi Like</t>
        </is>
      </c>
      <c r="D56" s="28" t="n">
        <v>48</v>
      </c>
      <c r="E56" s="29">
        <f>Intereses_Leasing_Mensual!I56</f>
        <v/>
      </c>
      <c r="F56" s="29">
        <f>Amortizacion_Capital_Mensual!J56</f>
        <v/>
      </c>
      <c r="G56" s="29">
        <f>Saldos_Capital_Mensual!I56</f>
        <v/>
      </c>
      <c r="H56" s="29">
        <f>Intereses_Residual_Mensual!I56</f>
        <v/>
      </c>
      <c r="I56" s="29">
        <f>ROUND(E56 + H56, 2)</f>
        <v/>
      </c>
      <c r="J56" s="29">
        <f>Intereses_Leasing_Mensual!J56</f>
        <v/>
      </c>
      <c r="K56" s="29">
        <f>Amortizacion_Capital_Mensual!K56</f>
        <v/>
      </c>
      <c r="L56" s="29">
        <f>Saldos_Capital_Mensual!J56</f>
        <v/>
      </c>
      <c r="M56" s="29">
        <f>Intereses_Residual_Mensual!J56</f>
        <v/>
      </c>
      <c r="N56" s="29">
        <f>ROUND(J56 + M56, 2)</f>
        <v/>
      </c>
      <c r="O56" s="29">
        <f>Intereses_Leasing_Mensual!K56</f>
        <v/>
      </c>
      <c r="P56" s="29">
        <f>Amortizacion_Capital_Mensual!L56</f>
        <v/>
      </c>
      <c r="Q56" s="29">
        <f>Saldos_Capital_Mensual!K56</f>
        <v/>
      </c>
      <c r="R56" s="29">
        <f>Intereses_Residual_Mensual!K56</f>
        <v/>
      </c>
      <c r="S56" s="29">
        <f>ROUND(O56 + R56, 2)</f>
        <v/>
      </c>
      <c r="T56" s="29">
        <f>Intereses_Leasing_Mensual!L56</f>
        <v/>
      </c>
      <c r="U56" s="29">
        <f>Amortizacion_Capital_Mensual!M56</f>
        <v/>
      </c>
      <c r="V56" s="29">
        <f>Saldos_Capital_Mensual!L56</f>
        <v/>
      </c>
      <c r="W56" s="29">
        <f>Intereses_Residual_Mensual!L56</f>
        <v/>
      </c>
      <c r="X56" s="29">
        <f>ROUND(T56 + W56, 2)</f>
        <v/>
      </c>
      <c r="Y56" s="29">
        <f>Intereses_Leasing_Mensual!M56</f>
        <v/>
      </c>
      <c r="Z56" s="29">
        <f>Amortizacion_Capital_Mensual!N56</f>
        <v/>
      </c>
      <c r="AA56" s="29">
        <f>Saldos_Capital_Mensual!M56</f>
        <v/>
      </c>
      <c r="AB56" s="29">
        <f>Intereses_Residual_Mensual!M56</f>
        <v/>
      </c>
      <c r="AC56" s="29">
        <f>ROUND(Y56 + AB56, 2)</f>
        <v/>
      </c>
      <c r="AD56" s="29">
        <f>Intereses_Leasing_Mensual!N56</f>
        <v/>
      </c>
      <c r="AE56" s="29">
        <f>Amortizacion_Capital_Mensual!O56</f>
        <v/>
      </c>
      <c r="AF56" s="29">
        <f>Saldos_Capital_Mensual!N56</f>
        <v/>
      </c>
      <c r="AG56" s="29">
        <f>Intereses_Residual_Mensual!N56</f>
        <v/>
      </c>
      <c r="AH56" s="29">
        <f>ROUND(AD56 + AG56, 2)</f>
        <v/>
      </c>
      <c r="AI56" s="29">
        <f>Intereses_Leasing_Mensual!O56</f>
        <v/>
      </c>
      <c r="AJ56" s="29">
        <f>Amortizacion_Capital_Mensual!P56</f>
        <v/>
      </c>
      <c r="AK56" s="29">
        <f>Saldos_Capital_Mensual!O56</f>
        <v/>
      </c>
      <c r="AL56" s="29">
        <f>Intereses_Residual_Mensual!O56</f>
        <v/>
      </c>
      <c r="AM56" s="29">
        <f>ROUND(AI56 + AL56, 2)</f>
        <v/>
      </c>
      <c r="AN56" s="29">
        <f>Intereses_Leasing_Mensual!P56</f>
        <v/>
      </c>
      <c r="AO56" s="29">
        <f>Amortizacion_Capital_Mensual!Q56</f>
        <v/>
      </c>
      <c r="AP56" s="29">
        <f>Saldos_Capital_Mensual!P56</f>
        <v/>
      </c>
      <c r="AQ56" s="29">
        <f>Intereses_Residual_Mensual!P56</f>
        <v/>
      </c>
      <c r="AR56" s="29">
        <f>ROUND(AN56 + AQ56, 2)</f>
        <v/>
      </c>
      <c r="AS56" s="29">
        <f>Intereses_Leasing_Mensual!Q56</f>
        <v/>
      </c>
      <c r="AT56" s="29">
        <f>Amortizacion_Capital_Mensual!R56</f>
        <v/>
      </c>
      <c r="AU56" s="29">
        <f>Saldos_Capital_Mensual!Q56</f>
        <v/>
      </c>
      <c r="AV56" s="29">
        <f>Intereses_Residual_Mensual!Q56</f>
        <v/>
      </c>
      <c r="AW56" s="29">
        <f>ROUND(AS56 + AV56, 2)</f>
        <v/>
      </c>
      <c r="AX56" s="29">
        <f>Intereses_Leasing_Mensual!R56</f>
        <v/>
      </c>
      <c r="AY56" s="29">
        <f>Amortizacion_Capital_Mensual!S56</f>
        <v/>
      </c>
      <c r="AZ56" s="29">
        <f>Saldos_Capital_Mensual!R56</f>
        <v/>
      </c>
      <c r="BA56" s="29">
        <f>Intereses_Residual_Mensual!R56</f>
        <v/>
      </c>
      <c r="BB56" s="29">
        <f>ROUND(AX56 + BA56, 2)</f>
        <v/>
      </c>
      <c r="BC56" s="29">
        <f>Intereses_Leasing_Mensual!S56</f>
        <v/>
      </c>
      <c r="BD56" s="29">
        <f>Amortizacion_Capital_Mensual!T56</f>
        <v/>
      </c>
      <c r="BE56" s="29">
        <f>Saldos_Capital_Mensual!S56</f>
        <v/>
      </c>
      <c r="BF56" s="29">
        <f>Intereses_Residual_Mensual!S56</f>
        <v/>
      </c>
      <c r="BG56" s="29">
        <f>ROUND(BC56 + BF56, 2)</f>
        <v/>
      </c>
      <c r="BH56" s="29">
        <f>Intereses_Leasing_Mensual!T56</f>
        <v/>
      </c>
      <c r="BI56" s="29">
        <f>Amortizacion_Capital_Mensual!U56</f>
        <v/>
      </c>
      <c r="BJ56" s="29">
        <f>Saldos_Capital_Mensual!T56</f>
        <v/>
      </c>
      <c r="BK56" s="29">
        <f>Intereses_Residual_Mensual!T56</f>
        <v/>
      </c>
      <c r="BL56" s="29">
        <f>ROUND(BH56 + BK56, 2)</f>
        <v/>
      </c>
    </row>
    <row r="57">
      <c r="A57" s="20" t="inlineStr">
        <is>
          <t>0596-0004</t>
        </is>
      </c>
      <c r="B57" s="21" t="inlineStr">
        <is>
          <t>Gruas Industriales Lb</t>
        </is>
      </c>
      <c r="C57" s="21" t="inlineStr">
        <is>
          <t>Ram 1500 TRX</t>
        </is>
      </c>
      <c r="D57" s="22" t="n">
        <v>48</v>
      </c>
      <c r="E57" s="23">
        <f>Intereses_Leasing_Mensual!I57</f>
        <v/>
      </c>
      <c r="F57" s="23">
        <f>Amortizacion_Capital_Mensual!J57</f>
        <v/>
      </c>
      <c r="G57" s="23">
        <f>Saldos_Capital_Mensual!I57</f>
        <v/>
      </c>
      <c r="H57" s="23">
        <f>Intereses_Residual_Mensual!I57</f>
        <v/>
      </c>
      <c r="I57" s="23">
        <f>ROUND(E57 + H57, 2)</f>
        <v/>
      </c>
      <c r="J57" s="23">
        <f>Intereses_Leasing_Mensual!J57</f>
        <v/>
      </c>
      <c r="K57" s="23">
        <f>Amortizacion_Capital_Mensual!K57</f>
        <v/>
      </c>
      <c r="L57" s="23">
        <f>Saldos_Capital_Mensual!J57</f>
        <v/>
      </c>
      <c r="M57" s="23">
        <f>Intereses_Residual_Mensual!J57</f>
        <v/>
      </c>
      <c r="N57" s="23">
        <f>ROUND(J57 + M57, 2)</f>
        <v/>
      </c>
      <c r="O57" s="23">
        <f>Intereses_Leasing_Mensual!K57</f>
        <v/>
      </c>
      <c r="P57" s="23">
        <f>Amortizacion_Capital_Mensual!L57</f>
        <v/>
      </c>
      <c r="Q57" s="23">
        <f>Saldos_Capital_Mensual!K57</f>
        <v/>
      </c>
      <c r="R57" s="23">
        <f>Intereses_Residual_Mensual!K57</f>
        <v/>
      </c>
      <c r="S57" s="23">
        <f>ROUND(O57 + R57, 2)</f>
        <v/>
      </c>
      <c r="T57" s="23">
        <f>Intereses_Leasing_Mensual!L57</f>
        <v/>
      </c>
      <c r="U57" s="23">
        <f>Amortizacion_Capital_Mensual!M57</f>
        <v/>
      </c>
      <c r="V57" s="23">
        <f>Saldos_Capital_Mensual!L57</f>
        <v/>
      </c>
      <c r="W57" s="23">
        <f>Intereses_Residual_Mensual!L57</f>
        <v/>
      </c>
      <c r="X57" s="23">
        <f>ROUND(T57 + W57, 2)</f>
        <v/>
      </c>
      <c r="Y57" s="23">
        <f>Intereses_Leasing_Mensual!M57</f>
        <v/>
      </c>
      <c r="Z57" s="23">
        <f>Amortizacion_Capital_Mensual!N57</f>
        <v/>
      </c>
      <c r="AA57" s="23">
        <f>Saldos_Capital_Mensual!M57</f>
        <v/>
      </c>
      <c r="AB57" s="23">
        <f>Intereses_Residual_Mensual!M57</f>
        <v/>
      </c>
      <c r="AC57" s="23">
        <f>ROUND(Y57 + AB57, 2)</f>
        <v/>
      </c>
      <c r="AD57" s="23">
        <f>Intereses_Leasing_Mensual!N57</f>
        <v/>
      </c>
      <c r="AE57" s="23">
        <f>Amortizacion_Capital_Mensual!O57</f>
        <v/>
      </c>
      <c r="AF57" s="23">
        <f>Saldos_Capital_Mensual!N57</f>
        <v/>
      </c>
      <c r="AG57" s="23">
        <f>Intereses_Residual_Mensual!N57</f>
        <v/>
      </c>
      <c r="AH57" s="23">
        <f>ROUND(AD57 + AG57, 2)</f>
        <v/>
      </c>
      <c r="AI57" s="23">
        <f>Intereses_Leasing_Mensual!O57</f>
        <v/>
      </c>
      <c r="AJ57" s="23">
        <f>Amortizacion_Capital_Mensual!P57</f>
        <v/>
      </c>
      <c r="AK57" s="23">
        <f>Saldos_Capital_Mensual!O57</f>
        <v/>
      </c>
      <c r="AL57" s="23">
        <f>Intereses_Residual_Mensual!O57</f>
        <v/>
      </c>
      <c r="AM57" s="23">
        <f>ROUND(AI57 + AL57, 2)</f>
        <v/>
      </c>
      <c r="AN57" s="23">
        <f>Intereses_Leasing_Mensual!P57</f>
        <v/>
      </c>
      <c r="AO57" s="23">
        <f>Amortizacion_Capital_Mensual!Q57</f>
        <v/>
      </c>
      <c r="AP57" s="23">
        <f>Saldos_Capital_Mensual!P57</f>
        <v/>
      </c>
      <c r="AQ57" s="23">
        <f>Intereses_Residual_Mensual!P57</f>
        <v/>
      </c>
      <c r="AR57" s="23">
        <f>ROUND(AN57 + AQ57, 2)</f>
        <v/>
      </c>
      <c r="AS57" s="23">
        <f>Intereses_Leasing_Mensual!Q57</f>
        <v/>
      </c>
      <c r="AT57" s="23">
        <f>Amortizacion_Capital_Mensual!R57</f>
        <v/>
      </c>
      <c r="AU57" s="23">
        <f>Saldos_Capital_Mensual!Q57</f>
        <v/>
      </c>
      <c r="AV57" s="23">
        <f>Intereses_Residual_Mensual!Q57</f>
        <v/>
      </c>
      <c r="AW57" s="23">
        <f>ROUND(AS57 + AV57, 2)</f>
        <v/>
      </c>
      <c r="AX57" s="23">
        <f>Intereses_Leasing_Mensual!R57</f>
        <v/>
      </c>
      <c r="AY57" s="23">
        <f>Amortizacion_Capital_Mensual!S57</f>
        <v/>
      </c>
      <c r="AZ57" s="23">
        <f>Saldos_Capital_Mensual!R57</f>
        <v/>
      </c>
      <c r="BA57" s="23">
        <f>Intereses_Residual_Mensual!R57</f>
        <v/>
      </c>
      <c r="BB57" s="23">
        <f>ROUND(AX57 + BA57, 2)</f>
        <v/>
      </c>
      <c r="BC57" s="23">
        <f>Intereses_Leasing_Mensual!S57</f>
        <v/>
      </c>
      <c r="BD57" s="23">
        <f>Amortizacion_Capital_Mensual!T57</f>
        <v/>
      </c>
      <c r="BE57" s="23">
        <f>Saldos_Capital_Mensual!S57</f>
        <v/>
      </c>
      <c r="BF57" s="23">
        <f>Intereses_Residual_Mensual!S57</f>
        <v/>
      </c>
      <c r="BG57" s="23">
        <f>ROUND(BC57 + BF57, 2)</f>
        <v/>
      </c>
      <c r="BH57" s="23">
        <f>Intereses_Leasing_Mensual!T57</f>
        <v/>
      </c>
      <c r="BI57" s="23">
        <f>Amortizacion_Capital_Mensual!U57</f>
        <v/>
      </c>
      <c r="BJ57" s="23">
        <f>Saldos_Capital_Mensual!T57</f>
        <v/>
      </c>
      <c r="BK57" s="23">
        <f>Intereses_Residual_Mensual!T57</f>
        <v/>
      </c>
      <c r="BL57" s="23">
        <f>ROUND(BH57 + BK57, 2)</f>
        <v/>
      </c>
    </row>
    <row r="58">
      <c r="A58" s="26" t="inlineStr">
        <is>
          <t>0596-0005</t>
        </is>
      </c>
      <c r="B58" s="27" t="inlineStr">
        <is>
          <t>Gruas Industriales Lb Sa de Cv</t>
        </is>
      </c>
      <c r="C58" s="27" t="inlineStr">
        <is>
          <t>L200 Glx Gasolina</t>
        </is>
      </c>
      <c r="D58" s="28" t="n">
        <v>48</v>
      </c>
      <c r="E58" s="29">
        <f>Intereses_Leasing_Mensual!I58</f>
        <v/>
      </c>
      <c r="F58" s="29">
        <f>Amortizacion_Capital_Mensual!J58</f>
        <v/>
      </c>
      <c r="G58" s="29">
        <f>Saldos_Capital_Mensual!I58</f>
        <v/>
      </c>
      <c r="H58" s="29">
        <f>Intereses_Residual_Mensual!I58</f>
        <v/>
      </c>
      <c r="I58" s="29">
        <f>ROUND(E58 + H58, 2)</f>
        <v/>
      </c>
      <c r="J58" s="29">
        <f>Intereses_Leasing_Mensual!J58</f>
        <v/>
      </c>
      <c r="K58" s="29">
        <f>Amortizacion_Capital_Mensual!K58</f>
        <v/>
      </c>
      <c r="L58" s="29">
        <f>Saldos_Capital_Mensual!J58</f>
        <v/>
      </c>
      <c r="M58" s="29">
        <f>Intereses_Residual_Mensual!J58</f>
        <v/>
      </c>
      <c r="N58" s="29">
        <f>ROUND(J58 + M58, 2)</f>
        <v/>
      </c>
      <c r="O58" s="29">
        <f>Intereses_Leasing_Mensual!K58</f>
        <v/>
      </c>
      <c r="P58" s="29">
        <f>Amortizacion_Capital_Mensual!L58</f>
        <v/>
      </c>
      <c r="Q58" s="29">
        <f>Saldos_Capital_Mensual!K58</f>
        <v/>
      </c>
      <c r="R58" s="29">
        <f>Intereses_Residual_Mensual!K58</f>
        <v/>
      </c>
      <c r="S58" s="29">
        <f>ROUND(O58 + R58, 2)</f>
        <v/>
      </c>
      <c r="T58" s="29">
        <f>Intereses_Leasing_Mensual!L58</f>
        <v/>
      </c>
      <c r="U58" s="29">
        <f>Amortizacion_Capital_Mensual!M58</f>
        <v/>
      </c>
      <c r="V58" s="29">
        <f>Saldos_Capital_Mensual!L58</f>
        <v/>
      </c>
      <c r="W58" s="29">
        <f>Intereses_Residual_Mensual!L58</f>
        <v/>
      </c>
      <c r="X58" s="29">
        <f>ROUND(T58 + W58, 2)</f>
        <v/>
      </c>
      <c r="Y58" s="29">
        <f>Intereses_Leasing_Mensual!M58</f>
        <v/>
      </c>
      <c r="Z58" s="29">
        <f>Amortizacion_Capital_Mensual!N58</f>
        <v/>
      </c>
      <c r="AA58" s="29">
        <f>Saldos_Capital_Mensual!M58</f>
        <v/>
      </c>
      <c r="AB58" s="29">
        <f>Intereses_Residual_Mensual!M58</f>
        <v/>
      </c>
      <c r="AC58" s="29">
        <f>ROUND(Y58 + AB58, 2)</f>
        <v/>
      </c>
      <c r="AD58" s="29">
        <f>Intereses_Leasing_Mensual!N58</f>
        <v/>
      </c>
      <c r="AE58" s="29">
        <f>Amortizacion_Capital_Mensual!O58</f>
        <v/>
      </c>
      <c r="AF58" s="29">
        <f>Saldos_Capital_Mensual!N58</f>
        <v/>
      </c>
      <c r="AG58" s="29">
        <f>Intereses_Residual_Mensual!N58</f>
        <v/>
      </c>
      <c r="AH58" s="29">
        <f>ROUND(AD58 + AG58, 2)</f>
        <v/>
      </c>
      <c r="AI58" s="29">
        <f>Intereses_Leasing_Mensual!O58</f>
        <v/>
      </c>
      <c r="AJ58" s="29">
        <f>Amortizacion_Capital_Mensual!P58</f>
        <v/>
      </c>
      <c r="AK58" s="29">
        <f>Saldos_Capital_Mensual!O58</f>
        <v/>
      </c>
      <c r="AL58" s="29">
        <f>Intereses_Residual_Mensual!O58</f>
        <v/>
      </c>
      <c r="AM58" s="29">
        <f>ROUND(AI58 + AL58, 2)</f>
        <v/>
      </c>
      <c r="AN58" s="29">
        <f>Intereses_Leasing_Mensual!P58</f>
        <v/>
      </c>
      <c r="AO58" s="29">
        <f>Amortizacion_Capital_Mensual!Q58</f>
        <v/>
      </c>
      <c r="AP58" s="29">
        <f>Saldos_Capital_Mensual!P58</f>
        <v/>
      </c>
      <c r="AQ58" s="29">
        <f>Intereses_Residual_Mensual!P58</f>
        <v/>
      </c>
      <c r="AR58" s="29">
        <f>ROUND(AN58 + AQ58, 2)</f>
        <v/>
      </c>
      <c r="AS58" s="29">
        <f>Intereses_Leasing_Mensual!Q58</f>
        <v/>
      </c>
      <c r="AT58" s="29">
        <f>Amortizacion_Capital_Mensual!R58</f>
        <v/>
      </c>
      <c r="AU58" s="29">
        <f>Saldos_Capital_Mensual!Q58</f>
        <v/>
      </c>
      <c r="AV58" s="29">
        <f>Intereses_Residual_Mensual!Q58</f>
        <v/>
      </c>
      <c r="AW58" s="29">
        <f>ROUND(AS58 + AV58, 2)</f>
        <v/>
      </c>
      <c r="AX58" s="29">
        <f>Intereses_Leasing_Mensual!R58</f>
        <v/>
      </c>
      <c r="AY58" s="29">
        <f>Amortizacion_Capital_Mensual!S58</f>
        <v/>
      </c>
      <c r="AZ58" s="29">
        <f>Saldos_Capital_Mensual!R58</f>
        <v/>
      </c>
      <c r="BA58" s="29">
        <f>Intereses_Residual_Mensual!R58</f>
        <v/>
      </c>
      <c r="BB58" s="29">
        <f>ROUND(AX58 + BA58, 2)</f>
        <v/>
      </c>
      <c r="BC58" s="29">
        <f>Intereses_Leasing_Mensual!S58</f>
        <v/>
      </c>
      <c r="BD58" s="29">
        <f>Amortizacion_Capital_Mensual!T58</f>
        <v/>
      </c>
      <c r="BE58" s="29">
        <f>Saldos_Capital_Mensual!S58</f>
        <v/>
      </c>
      <c r="BF58" s="29">
        <f>Intereses_Residual_Mensual!S58</f>
        <v/>
      </c>
      <c r="BG58" s="29">
        <f>ROUND(BC58 + BF58, 2)</f>
        <v/>
      </c>
      <c r="BH58" s="29">
        <f>Intereses_Leasing_Mensual!T58</f>
        <v/>
      </c>
      <c r="BI58" s="29">
        <f>Amortizacion_Capital_Mensual!U58</f>
        <v/>
      </c>
      <c r="BJ58" s="29">
        <f>Saldos_Capital_Mensual!T58</f>
        <v/>
      </c>
      <c r="BK58" s="29">
        <f>Intereses_Residual_Mensual!T58</f>
        <v/>
      </c>
      <c r="BL58" s="29">
        <f>ROUND(BH58 + BK58, 2)</f>
        <v/>
      </c>
    </row>
    <row r="59">
      <c r="A59" s="20" t="inlineStr">
        <is>
          <t>0598-0001</t>
        </is>
      </c>
      <c r="B59" s="21" t="inlineStr">
        <is>
          <t>Digitracking Solution Sa de Cv</t>
        </is>
      </c>
      <c r="C59" s="21" t="inlineStr">
        <is>
          <t>Ram 700 Laramie</t>
        </is>
      </c>
      <c r="D59" s="22" t="n">
        <v>48</v>
      </c>
      <c r="E59" s="23">
        <f>Intereses_Leasing_Mensual!I59</f>
        <v/>
      </c>
      <c r="F59" s="23">
        <f>Amortizacion_Capital_Mensual!J59</f>
        <v/>
      </c>
      <c r="G59" s="23">
        <f>Saldos_Capital_Mensual!I59</f>
        <v/>
      </c>
      <c r="H59" s="23">
        <f>Intereses_Residual_Mensual!I59</f>
        <v/>
      </c>
      <c r="I59" s="23">
        <f>ROUND(E59 + H59, 2)</f>
        <v/>
      </c>
      <c r="J59" s="23">
        <f>Intereses_Leasing_Mensual!J59</f>
        <v/>
      </c>
      <c r="K59" s="23">
        <f>Amortizacion_Capital_Mensual!K59</f>
        <v/>
      </c>
      <c r="L59" s="23">
        <f>Saldos_Capital_Mensual!J59</f>
        <v/>
      </c>
      <c r="M59" s="23">
        <f>Intereses_Residual_Mensual!J59</f>
        <v/>
      </c>
      <c r="N59" s="23">
        <f>ROUND(J59 + M59, 2)</f>
        <v/>
      </c>
      <c r="O59" s="23">
        <f>Intereses_Leasing_Mensual!K59</f>
        <v/>
      </c>
      <c r="P59" s="23">
        <f>Amortizacion_Capital_Mensual!L59</f>
        <v/>
      </c>
      <c r="Q59" s="23">
        <f>Saldos_Capital_Mensual!K59</f>
        <v/>
      </c>
      <c r="R59" s="23">
        <f>Intereses_Residual_Mensual!K59</f>
        <v/>
      </c>
      <c r="S59" s="23">
        <f>ROUND(O59 + R59, 2)</f>
        <v/>
      </c>
      <c r="T59" s="23">
        <f>Intereses_Leasing_Mensual!L59</f>
        <v/>
      </c>
      <c r="U59" s="23">
        <f>Amortizacion_Capital_Mensual!M59</f>
        <v/>
      </c>
      <c r="V59" s="23">
        <f>Saldos_Capital_Mensual!L59</f>
        <v/>
      </c>
      <c r="W59" s="23">
        <f>Intereses_Residual_Mensual!L59</f>
        <v/>
      </c>
      <c r="X59" s="23">
        <f>ROUND(T59 + W59, 2)</f>
        <v/>
      </c>
      <c r="Y59" s="23">
        <f>Intereses_Leasing_Mensual!M59</f>
        <v/>
      </c>
      <c r="Z59" s="23">
        <f>Amortizacion_Capital_Mensual!N59</f>
        <v/>
      </c>
      <c r="AA59" s="23">
        <f>Saldos_Capital_Mensual!M59</f>
        <v/>
      </c>
      <c r="AB59" s="23">
        <f>Intereses_Residual_Mensual!M59</f>
        <v/>
      </c>
      <c r="AC59" s="23">
        <f>ROUND(Y59 + AB59, 2)</f>
        <v/>
      </c>
      <c r="AD59" s="23">
        <f>Intereses_Leasing_Mensual!N59</f>
        <v/>
      </c>
      <c r="AE59" s="23">
        <f>Amortizacion_Capital_Mensual!O59</f>
        <v/>
      </c>
      <c r="AF59" s="23">
        <f>Saldos_Capital_Mensual!N59</f>
        <v/>
      </c>
      <c r="AG59" s="23">
        <f>Intereses_Residual_Mensual!N59</f>
        <v/>
      </c>
      <c r="AH59" s="23">
        <f>ROUND(AD59 + AG59, 2)</f>
        <v/>
      </c>
      <c r="AI59" s="23">
        <f>Intereses_Leasing_Mensual!O59</f>
        <v/>
      </c>
      <c r="AJ59" s="23">
        <f>Amortizacion_Capital_Mensual!P59</f>
        <v/>
      </c>
      <c r="AK59" s="23">
        <f>Saldos_Capital_Mensual!O59</f>
        <v/>
      </c>
      <c r="AL59" s="23">
        <f>Intereses_Residual_Mensual!O59</f>
        <v/>
      </c>
      <c r="AM59" s="23">
        <f>ROUND(AI59 + AL59, 2)</f>
        <v/>
      </c>
      <c r="AN59" s="23">
        <f>Intereses_Leasing_Mensual!P59</f>
        <v/>
      </c>
      <c r="AO59" s="23">
        <f>Amortizacion_Capital_Mensual!Q59</f>
        <v/>
      </c>
      <c r="AP59" s="23">
        <f>Saldos_Capital_Mensual!P59</f>
        <v/>
      </c>
      <c r="AQ59" s="23">
        <f>Intereses_Residual_Mensual!P59</f>
        <v/>
      </c>
      <c r="AR59" s="23">
        <f>ROUND(AN59 + AQ59, 2)</f>
        <v/>
      </c>
      <c r="AS59" s="23">
        <f>Intereses_Leasing_Mensual!Q59</f>
        <v/>
      </c>
      <c r="AT59" s="23">
        <f>Amortizacion_Capital_Mensual!R59</f>
        <v/>
      </c>
      <c r="AU59" s="23">
        <f>Saldos_Capital_Mensual!Q59</f>
        <v/>
      </c>
      <c r="AV59" s="23">
        <f>Intereses_Residual_Mensual!Q59</f>
        <v/>
      </c>
      <c r="AW59" s="23">
        <f>ROUND(AS59 + AV59, 2)</f>
        <v/>
      </c>
      <c r="AX59" s="23">
        <f>Intereses_Leasing_Mensual!R59</f>
        <v/>
      </c>
      <c r="AY59" s="23">
        <f>Amortizacion_Capital_Mensual!S59</f>
        <v/>
      </c>
      <c r="AZ59" s="23">
        <f>Saldos_Capital_Mensual!R59</f>
        <v/>
      </c>
      <c r="BA59" s="23">
        <f>Intereses_Residual_Mensual!R59</f>
        <v/>
      </c>
      <c r="BB59" s="23">
        <f>ROUND(AX59 + BA59, 2)</f>
        <v/>
      </c>
      <c r="BC59" s="23">
        <f>Intereses_Leasing_Mensual!S59</f>
        <v/>
      </c>
      <c r="BD59" s="23">
        <f>Amortizacion_Capital_Mensual!T59</f>
        <v/>
      </c>
      <c r="BE59" s="23">
        <f>Saldos_Capital_Mensual!S59</f>
        <v/>
      </c>
      <c r="BF59" s="23">
        <f>Intereses_Residual_Mensual!S59</f>
        <v/>
      </c>
      <c r="BG59" s="23">
        <f>ROUND(BC59 + BF59, 2)</f>
        <v/>
      </c>
      <c r="BH59" s="23">
        <f>Intereses_Leasing_Mensual!T59</f>
        <v/>
      </c>
      <c r="BI59" s="23">
        <f>Amortizacion_Capital_Mensual!U59</f>
        <v/>
      </c>
      <c r="BJ59" s="23">
        <f>Saldos_Capital_Mensual!T59</f>
        <v/>
      </c>
      <c r="BK59" s="23">
        <f>Intereses_Residual_Mensual!T59</f>
        <v/>
      </c>
      <c r="BL59" s="23">
        <f>ROUND(BH59 + BK59, 2)</f>
        <v/>
      </c>
    </row>
    <row r="60">
      <c r="A60" s="26" t="inlineStr">
        <is>
          <t>0600-0001</t>
        </is>
      </c>
      <c r="B60" s="27" t="inlineStr">
        <is>
          <t>Dulce Marisol Gonzalez Cuevas</t>
        </is>
      </c>
      <c r="C60" s="27" t="inlineStr">
        <is>
          <t>Ram 700 Laramie</t>
        </is>
      </c>
      <c r="D60" s="28" t="n">
        <v>48</v>
      </c>
      <c r="E60" s="29">
        <f>Intereses_Leasing_Mensual!I60</f>
        <v/>
      </c>
      <c r="F60" s="29">
        <f>Amortizacion_Capital_Mensual!J60</f>
        <v/>
      </c>
      <c r="G60" s="29">
        <f>Saldos_Capital_Mensual!I60</f>
        <v/>
      </c>
      <c r="H60" s="29">
        <f>Intereses_Residual_Mensual!I60</f>
        <v/>
      </c>
      <c r="I60" s="29">
        <f>ROUND(E60 + H60, 2)</f>
        <v/>
      </c>
      <c r="J60" s="29">
        <f>Intereses_Leasing_Mensual!J60</f>
        <v/>
      </c>
      <c r="K60" s="29">
        <f>Amortizacion_Capital_Mensual!K60</f>
        <v/>
      </c>
      <c r="L60" s="29">
        <f>Saldos_Capital_Mensual!J60</f>
        <v/>
      </c>
      <c r="M60" s="29">
        <f>Intereses_Residual_Mensual!J60</f>
        <v/>
      </c>
      <c r="N60" s="29">
        <f>ROUND(J60 + M60, 2)</f>
        <v/>
      </c>
      <c r="O60" s="29">
        <f>Intereses_Leasing_Mensual!K60</f>
        <v/>
      </c>
      <c r="P60" s="29">
        <f>Amortizacion_Capital_Mensual!L60</f>
        <v/>
      </c>
      <c r="Q60" s="29">
        <f>Saldos_Capital_Mensual!K60</f>
        <v/>
      </c>
      <c r="R60" s="29">
        <f>Intereses_Residual_Mensual!K60</f>
        <v/>
      </c>
      <c r="S60" s="29">
        <f>ROUND(O60 + R60, 2)</f>
        <v/>
      </c>
      <c r="T60" s="29">
        <f>Intereses_Leasing_Mensual!L60</f>
        <v/>
      </c>
      <c r="U60" s="29">
        <f>Amortizacion_Capital_Mensual!M60</f>
        <v/>
      </c>
      <c r="V60" s="29">
        <f>Saldos_Capital_Mensual!L60</f>
        <v/>
      </c>
      <c r="W60" s="29">
        <f>Intereses_Residual_Mensual!L60</f>
        <v/>
      </c>
      <c r="X60" s="29">
        <f>ROUND(T60 + W60, 2)</f>
        <v/>
      </c>
      <c r="Y60" s="29">
        <f>Intereses_Leasing_Mensual!M60</f>
        <v/>
      </c>
      <c r="Z60" s="29">
        <f>Amortizacion_Capital_Mensual!N60</f>
        <v/>
      </c>
      <c r="AA60" s="29">
        <f>Saldos_Capital_Mensual!M60</f>
        <v/>
      </c>
      <c r="AB60" s="29">
        <f>Intereses_Residual_Mensual!M60</f>
        <v/>
      </c>
      <c r="AC60" s="29">
        <f>ROUND(Y60 + AB60, 2)</f>
        <v/>
      </c>
      <c r="AD60" s="29">
        <f>Intereses_Leasing_Mensual!N60</f>
        <v/>
      </c>
      <c r="AE60" s="29">
        <f>Amortizacion_Capital_Mensual!O60</f>
        <v/>
      </c>
      <c r="AF60" s="29">
        <f>Saldos_Capital_Mensual!N60</f>
        <v/>
      </c>
      <c r="AG60" s="29">
        <f>Intereses_Residual_Mensual!N60</f>
        <v/>
      </c>
      <c r="AH60" s="29">
        <f>ROUND(AD60 + AG60, 2)</f>
        <v/>
      </c>
      <c r="AI60" s="29">
        <f>Intereses_Leasing_Mensual!O60</f>
        <v/>
      </c>
      <c r="AJ60" s="29">
        <f>Amortizacion_Capital_Mensual!P60</f>
        <v/>
      </c>
      <c r="AK60" s="29">
        <f>Saldos_Capital_Mensual!O60</f>
        <v/>
      </c>
      <c r="AL60" s="29">
        <f>Intereses_Residual_Mensual!O60</f>
        <v/>
      </c>
      <c r="AM60" s="29">
        <f>ROUND(AI60 + AL60, 2)</f>
        <v/>
      </c>
      <c r="AN60" s="29">
        <f>Intereses_Leasing_Mensual!P60</f>
        <v/>
      </c>
      <c r="AO60" s="29">
        <f>Amortizacion_Capital_Mensual!Q60</f>
        <v/>
      </c>
      <c r="AP60" s="29">
        <f>Saldos_Capital_Mensual!P60</f>
        <v/>
      </c>
      <c r="AQ60" s="29">
        <f>Intereses_Residual_Mensual!P60</f>
        <v/>
      </c>
      <c r="AR60" s="29">
        <f>ROUND(AN60 + AQ60, 2)</f>
        <v/>
      </c>
      <c r="AS60" s="29">
        <f>Intereses_Leasing_Mensual!Q60</f>
        <v/>
      </c>
      <c r="AT60" s="29">
        <f>Amortizacion_Capital_Mensual!R60</f>
        <v/>
      </c>
      <c r="AU60" s="29">
        <f>Saldos_Capital_Mensual!Q60</f>
        <v/>
      </c>
      <c r="AV60" s="29">
        <f>Intereses_Residual_Mensual!Q60</f>
        <v/>
      </c>
      <c r="AW60" s="29">
        <f>ROUND(AS60 + AV60, 2)</f>
        <v/>
      </c>
      <c r="AX60" s="29">
        <f>Intereses_Leasing_Mensual!R60</f>
        <v/>
      </c>
      <c r="AY60" s="29">
        <f>Amortizacion_Capital_Mensual!S60</f>
        <v/>
      </c>
      <c r="AZ60" s="29">
        <f>Saldos_Capital_Mensual!R60</f>
        <v/>
      </c>
      <c r="BA60" s="29">
        <f>Intereses_Residual_Mensual!R60</f>
        <v/>
      </c>
      <c r="BB60" s="29">
        <f>ROUND(AX60 + BA60, 2)</f>
        <v/>
      </c>
      <c r="BC60" s="29">
        <f>Intereses_Leasing_Mensual!S60</f>
        <v/>
      </c>
      <c r="BD60" s="29">
        <f>Amortizacion_Capital_Mensual!T60</f>
        <v/>
      </c>
      <c r="BE60" s="29">
        <f>Saldos_Capital_Mensual!S60</f>
        <v/>
      </c>
      <c r="BF60" s="29">
        <f>Intereses_Residual_Mensual!S60</f>
        <v/>
      </c>
      <c r="BG60" s="29">
        <f>ROUND(BC60 + BF60, 2)</f>
        <v/>
      </c>
      <c r="BH60" s="29">
        <f>Intereses_Leasing_Mensual!T60</f>
        <v/>
      </c>
      <c r="BI60" s="29">
        <f>Amortizacion_Capital_Mensual!U60</f>
        <v/>
      </c>
      <c r="BJ60" s="29">
        <f>Saldos_Capital_Mensual!T60</f>
        <v/>
      </c>
      <c r="BK60" s="29">
        <f>Intereses_Residual_Mensual!T60</f>
        <v/>
      </c>
      <c r="BL60" s="29">
        <f>ROUND(BH60 + BK60, 2)</f>
        <v/>
      </c>
    </row>
    <row r="61">
      <c r="A61" s="20" t="inlineStr">
        <is>
          <t>0603-0002</t>
        </is>
      </c>
      <c r="B61" s="21" t="inlineStr">
        <is>
          <t>Mario Alberto Velasco Santana</t>
        </is>
      </c>
      <c r="C61" s="21" t="inlineStr">
        <is>
          <t>Outlander Sport</t>
        </is>
      </c>
      <c r="D61" s="22" t="n">
        <v>48</v>
      </c>
      <c r="E61" s="23">
        <f>Intereses_Leasing_Mensual!I61</f>
        <v/>
      </c>
      <c r="F61" s="23">
        <f>Amortizacion_Capital_Mensual!J61</f>
        <v/>
      </c>
      <c r="G61" s="23">
        <f>Saldos_Capital_Mensual!I61</f>
        <v/>
      </c>
      <c r="H61" s="23">
        <f>Intereses_Residual_Mensual!I61</f>
        <v/>
      </c>
      <c r="I61" s="23">
        <f>ROUND(E61 + H61, 2)</f>
        <v/>
      </c>
      <c r="J61" s="23">
        <f>Intereses_Leasing_Mensual!J61</f>
        <v/>
      </c>
      <c r="K61" s="23">
        <f>Amortizacion_Capital_Mensual!K61</f>
        <v/>
      </c>
      <c r="L61" s="23">
        <f>Saldos_Capital_Mensual!J61</f>
        <v/>
      </c>
      <c r="M61" s="23">
        <f>Intereses_Residual_Mensual!J61</f>
        <v/>
      </c>
      <c r="N61" s="23">
        <f>ROUND(J61 + M61, 2)</f>
        <v/>
      </c>
      <c r="O61" s="23">
        <f>Intereses_Leasing_Mensual!K61</f>
        <v/>
      </c>
      <c r="P61" s="23">
        <f>Amortizacion_Capital_Mensual!L61</f>
        <v/>
      </c>
      <c r="Q61" s="23">
        <f>Saldos_Capital_Mensual!K61</f>
        <v/>
      </c>
      <c r="R61" s="23">
        <f>Intereses_Residual_Mensual!K61</f>
        <v/>
      </c>
      <c r="S61" s="23">
        <f>ROUND(O61 + R61, 2)</f>
        <v/>
      </c>
      <c r="T61" s="23">
        <f>Intereses_Leasing_Mensual!L61</f>
        <v/>
      </c>
      <c r="U61" s="23">
        <f>Amortizacion_Capital_Mensual!M61</f>
        <v/>
      </c>
      <c r="V61" s="23">
        <f>Saldos_Capital_Mensual!L61</f>
        <v/>
      </c>
      <c r="W61" s="23">
        <f>Intereses_Residual_Mensual!L61</f>
        <v/>
      </c>
      <c r="X61" s="23">
        <f>ROUND(T61 + W61, 2)</f>
        <v/>
      </c>
      <c r="Y61" s="23">
        <f>Intereses_Leasing_Mensual!M61</f>
        <v/>
      </c>
      <c r="Z61" s="23">
        <f>Amortizacion_Capital_Mensual!N61</f>
        <v/>
      </c>
      <c r="AA61" s="23">
        <f>Saldos_Capital_Mensual!M61</f>
        <v/>
      </c>
      <c r="AB61" s="23">
        <f>Intereses_Residual_Mensual!M61</f>
        <v/>
      </c>
      <c r="AC61" s="23">
        <f>ROUND(Y61 + AB61, 2)</f>
        <v/>
      </c>
      <c r="AD61" s="23">
        <f>Intereses_Leasing_Mensual!N61</f>
        <v/>
      </c>
      <c r="AE61" s="23">
        <f>Amortizacion_Capital_Mensual!O61</f>
        <v/>
      </c>
      <c r="AF61" s="23">
        <f>Saldos_Capital_Mensual!N61</f>
        <v/>
      </c>
      <c r="AG61" s="23">
        <f>Intereses_Residual_Mensual!N61</f>
        <v/>
      </c>
      <c r="AH61" s="23">
        <f>ROUND(AD61 + AG61, 2)</f>
        <v/>
      </c>
      <c r="AI61" s="23">
        <f>Intereses_Leasing_Mensual!O61</f>
        <v/>
      </c>
      <c r="AJ61" s="23">
        <f>Amortizacion_Capital_Mensual!P61</f>
        <v/>
      </c>
      <c r="AK61" s="23">
        <f>Saldos_Capital_Mensual!O61</f>
        <v/>
      </c>
      <c r="AL61" s="23">
        <f>Intereses_Residual_Mensual!O61</f>
        <v/>
      </c>
      <c r="AM61" s="23">
        <f>ROUND(AI61 + AL61, 2)</f>
        <v/>
      </c>
      <c r="AN61" s="23">
        <f>Intereses_Leasing_Mensual!P61</f>
        <v/>
      </c>
      <c r="AO61" s="23">
        <f>Amortizacion_Capital_Mensual!Q61</f>
        <v/>
      </c>
      <c r="AP61" s="23">
        <f>Saldos_Capital_Mensual!P61</f>
        <v/>
      </c>
      <c r="AQ61" s="23">
        <f>Intereses_Residual_Mensual!P61</f>
        <v/>
      </c>
      <c r="AR61" s="23">
        <f>ROUND(AN61 + AQ61, 2)</f>
        <v/>
      </c>
      <c r="AS61" s="23">
        <f>Intereses_Leasing_Mensual!Q61</f>
        <v/>
      </c>
      <c r="AT61" s="23">
        <f>Amortizacion_Capital_Mensual!R61</f>
        <v/>
      </c>
      <c r="AU61" s="23">
        <f>Saldos_Capital_Mensual!Q61</f>
        <v/>
      </c>
      <c r="AV61" s="23">
        <f>Intereses_Residual_Mensual!Q61</f>
        <v/>
      </c>
      <c r="AW61" s="23">
        <f>ROUND(AS61 + AV61, 2)</f>
        <v/>
      </c>
      <c r="AX61" s="23">
        <f>Intereses_Leasing_Mensual!R61</f>
        <v/>
      </c>
      <c r="AY61" s="23">
        <f>Amortizacion_Capital_Mensual!S61</f>
        <v/>
      </c>
      <c r="AZ61" s="23">
        <f>Saldos_Capital_Mensual!R61</f>
        <v/>
      </c>
      <c r="BA61" s="23">
        <f>Intereses_Residual_Mensual!R61</f>
        <v/>
      </c>
      <c r="BB61" s="23">
        <f>ROUND(AX61 + BA61, 2)</f>
        <v/>
      </c>
      <c r="BC61" s="23">
        <f>Intereses_Leasing_Mensual!S61</f>
        <v/>
      </c>
      <c r="BD61" s="23">
        <f>Amortizacion_Capital_Mensual!T61</f>
        <v/>
      </c>
      <c r="BE61" s="23">
        <f>Saldos_Capital_Mensual!S61</f>
        <v/>
      </c>
      <c r="BF61" s="23">
        <f>Intereses_Residual_Mensual!S61</f>
        <v/>
      </c>
      <c r="BG61" s="23">
        <f>ROUND(BC61 + BF61, 2)</f>
        <v/>
      </c>
      <c r="BH61" s="23">
        <f>Intereses_Leasing_Mensual!T61</f>
        <v/>
      </c>
      <c r="BI61" s="23">
        <f>Amortizacion_Capital_Mensual!U61</f>
        <v/>
      </c>
      <c r="BJ61" s="23">
        <f>Saldos_Capital_Mensual!T61</f>
        <v/>
      </c>
      <c r="BK61" s="23">
        <f>Intereses_Residual_Mensual!T61</f>
        <v/>
      </c>
      <c r="BL61" s="23">
        <f>ROUND(BH61 + BK61, 2)</f>
        <v/>
      </c>
    </row>
    <row r="62">
      <c r="A62" s="26" t="inlineStr">
        <is>
          <t>0605-0001</t>
        </is>
      </c>
      <c r="B62" s="27" t="inlineStr">
        <is>
          <t>Nato Arquitectos Sa de Cv</t>
        </is>
      </c>
      <c r="C62" s="27" t="inlineStr">
        <is>
          <t>Compass High Altitude</t>
        </is>
      </c>
      <c r="D62" s="28" t="n">
        <v>48</v>
      </c>
      <c r="E62" s="29">
        <f>Intereses_Leasing_Mensual!I62</f>
        <v/>
      </c>
      <c r="F62" s="29">
        <f>Amortizacion_Capital_Mensual!J62</f>
        <v/>
      </c>
      <c r="G62" s="29">
        <f>Saldos_Capital_Mensual!I62</f>
        <v/>
      </c>
      <c r="H62" s="29">
        <f>Intereses_Residual_Mensual!I62</f>
        <v/>
      </c>
      <c r="I62" s="29">
        <f>ROUND(E62 + H62, 2)</f>
        <v/>
      </c>
      <c r="J62" s="29">
        <f>Intereses_Leasing_Mensual!J62</f>
        <v/>
      </c>
      <c r="K62" s="29">
        <f>Amortizacion_Capital_Mensual!K62</f>
        <v/>
      </c>
      <c r="L62" s="29">
        <f>Saldos_Capital_Mensual!J62</f>
        <v/>
      </c>
      <c r="M62" s="29">
        <f>Intereses_Residual_Mensual!J62</f>
        <v/>
      </c>
      <c r="N62" s="29">
        <f>ROUND(J62 + M62, 2)</f>
        <v/>
      </c>
      <c r="O62" s="29">
        <f>Intereses_Leasing_Mensual!K62</f>
        <v/>
      </c>
      <c r="P62" s="29">
        <f>Amortizacion_Capital_Mensual!L62</f>
        <v/>
      </c>
      <c r="Q62" s="29">
        <f>Saldos_Capital_Mensual!K62</f>
        <v/>
      </c>
      <c r="R62" s="29">
        <f>Intereses_Residual_Mensual!K62</f>
        <v/>
      </c>
      <c r="S62" s="29">
        <f>ROUND(O62 + R62, 2)</f>
        <v/>
      </c>
      <c r="T62" s="29">
        <f>Intereses_Leasing_Mensual!L62</f>
        <v/>
      </c>
      <c r="U62" s="29">
        <f>Amortizacion_Capital_Mensual!M62</f>
        <v/>
      </c>
      <c r="V62" s="29">
        <f>Saldos_Capital_Mensual!L62</f>
        <v/>
      </c>
      <c r="W62" s="29">
        <f>Intereses_Residual_Mensual!L62</f>
        <v/>
      </c>
      <c r="X62" s="29">
        <f>ROUND(T62 + W62, 2)</f>
        <v/>
      </c>
      <c r="Y62" s="29">
        <f>Intereses_Leasing_Mensual!M62</f>
        <v/>
      </c>
      <c r="Z62" s="29">
        <f>Amortizacion_Capital_Mensual!N62</f>
        <v/>
      </c>
      <c r="AA62" s="29">
        <f>Saldos_Capital_Mensual!M62</f>
        <v/>
      </c>
      <c r="AB62" s="29">
        <f>Intereses_Residual_Mensual!M62</f>
        <v/>
      </c>
      <c r="AC62" s="29">
        <f>ROUND(Y62 + AB62, 2)</f>
        <v/>
      </c>
      <c r="AD62" s="29">
        <f>Intereses_Leasing_Mensual!N62</f>
        <v/>
      </c>
      <c r="AE62" s="29">
        <f>Amortizacion_Capital_Mensual!O62</f>
        <v/>
      </c>
      <c r="AF62" s="29">
        <f>Saldos_Capital_Mensual!N62</f>
        <v/>
      </c>
      <c r="AG62" s="29">
        <f>Intereses_Residual_Mensual!N62</f>
        <v/>
      </c>
      <c r="AH62" s="29">
        <f>ROUND(AD62 + AG62, 2)</f>
        <v/>
      </c>
      <c r="AI62" s="29">
        <f>Intereses_Leasing_Mensual!O62</f>
        <v/>
      </c>
      <c r="AJ62" s="29">
        <f>Amortizacion_Capital_Mensual!P62</f>
        <v/>
      </c>
      <c r="AK62" s="29">
        <f>Saldos_Capital_Mensual!O62</f>
        <v/>
      </c>
      <c r="AL62" s="29">
        <f>Intereses_Residual_Mensual!O62</f>
        <v/>
      </c>
      <c r="AM62" s="29">
        <f>ROUND(AI62 + AL62, 2)</f>
        <v/>
      </c>
      <c r="AN62" s="29">
        <f>Intereses_Leasing_Mensual!P62</f>
        <v/>
      </c>
      <c r="AO62" s="29">
        <f>Amortizacion_Capital_Mensual!Q62</f>
        <v/>
      </c>
      <c r="AP62" s="29">
        <f>Saldos_Capital_Mensual!P62</f>
        <v/>
      </c>
      <c r="AQ62" s="29">
        <f>Intereses_Residual_Mensual!P62</f>
        <v/>
      </c>
      <c r="AR62" s="29">
        <f>ROUND(AN62 + AQ62, 2)</f>
        <v/>
      </c>
      <c r="AS62" s="29">
        <f>Intereses_Leasing_Mensual!Q62</f>
        <v/>
      </c>
      <c r="AT62" s="29">
        <f>Amortizacion_Capital_Mensual!R62</f>
        <v/>
      </c>
      <c r="AU62" s="29">
        <f>Saldos_Capital_Mensual!Q62</f>
        <v/>
      </c>
      <c r="AV62" s="29">
        <f>Intereses_Residual_Mensual!Q62</f>
        <v/>
      </c>
      <c r="AW62" s="29">
        <f>ROUND(AS62 + AV62, 2)</f>
        <v/>
      </c>
      <c r="AX62" s="29">
        <f>Intereses_Leasing_Mensual!R62</f>
        <v/>
      </c>
      <c r="AY62" s="29">
        <f>Amortizacion_Capital_Mensual!S62</f>
        <v/>
      </c>
      <c r="AZ62" s="29">
        <f>Saldos_Capital_Mensual!R62</f>
        <v/>
      </c>
      <c r="BA62" s="29">
        <f>Intereses_Residual_Mensual!R62</f>
        <v/>
      </c>
      <c r="BB62" s="29">
        <f>ROUND(AX62 + BA62, 2)</f>
        <v/>
      </c>
      <c r="BC62" s="29">
        <f>Intereses_Leasing_Mensual!S62</f>
        <v/>
      </c>
      <c r="BD62" s="29">
        <f>Amortizacion_Capital_Mensual!T62</f>
        <v/>
      </c>
      <c r="BE62" s="29">
        <f>Saldos_Capital_Mensual!S62</f>
        <v/>
      </c>
      <c r="BF62" s="29">
        <f>Intereses_Residual_Mensual!S62</f>
        <v/>
      </c>
      <c r="BG62" s="29">
        <f>ROUND(BC62 + BF62, 2)</f>
        <v/>
      </c>
      <c r="BH62" s="29">
        <f>Intereses_Leasing_Mensual!T62</f>
        <v/>
      </c>
      <c r="BI62" s="29">
        <f>Amortizacion_Capital_Mensual!U62</f>
        <v/>
      </c>
      <c r="BJ62" s="29">
        <f>Saldos_Capital_Mensual!T62</f>
        <v/>
      </c>
      <c r="BK62" s="29">
        <f>Intereses_Residual_Mensual!T62</f>
        <v/>
      </c>
      <c r="BL62" s="29">
        <f>ROUND(BH62 + BK62, 2)</f>
        <v/>
      </c>
    </row>
    <row r="63">
      <c r="A63" s="20" t="inlineStr">
        <is>
          <t>0605-0002</t>
        </is>
      </c>
      <c r="B63" s="21" t="inlineStr">
        <is>
          <t>Nato Arquitectos Sa de Cv</t>
        </is>
      </c>
      <c r="C63" s="21" t="inlineStr">
        <is>
          <t>Hilux Diesel</t>
        </is>
      </c>
      <c r="D63" s="22" t="n">
        <v>24</v>
      </c>
      <c r="E63" s="23">
        <f>Intereses_Leasing_Mensual!I63</f>
        <v/>
      </c>
      <c r="F63" s="23">
        <f>Amortizacion_Capital_Mensual!J63</f>
        <v/>
      </c>
      <c r="G63" s="23">
        <f>Saldos_Capital_Mensual!I63</f>
        <v/>
      </c>
      <c r="H63" s="23">
        <f>Intereses_Residual_Mensual!I63</f>
        <v/>
      </c>
      <c r="I63" s="23">
        <f>ROUND(E63 + H63, 2)</f>
        <v/>
      </c>
      <c r="J63" s="23">
        <f>Intereses_Leasing_Mensual!J63</f>
        <v/>
      </c>
      <c r="K63" s="23">
        <f>Amortizacion_Capital_Mensual!K63</f>
        <v/>
      </c>
      <c r="L63" s="23">
        <f>Saldos_Capital_Mensual!J63</f>
        <v/>
      </c>
      <c r="M63" s="23">
        <f>Intereses_Residual_Mensual!J63</f>
        <v/>
      </c>
      <c r="N63" s="23">
        <f>ROUND(J63 + M63, 2)</f>
        <v/>
      </c>
      <c r="O63" s="23">
        <f>Intereses_Leasing_Mensual!K63</f>
        <v/>
      </c>
      <c r="P63" s="23">
        <f>Amortizacion_Capital_Mensual!L63</f>
        <v/>
      </c>
      <c r="Q63" s="23">
        <f>Saldos_Capital_Mensual!K63</f>
        <v/>
      </c>
      <c r="R63" s="23">
        <f>Intereses_Residual_Mensual!K63</f>
        <v/>
      </c>
      <c r="S63" s="23">
        <f>ROUND(O63 + R63, 2)</f>
        <v/>
      </c>
      <c r="T63" s="23">
        <f>Intereses_Leasing_Mensual!L63</f>
        <v/>
      </c>
      <c r="U63" s="23">
        <f>Amortizacion_Capital_Mensual!M63</f>
        <v/>
      </c>
      <c r="V63" s="23">
        <f>Saldos_Capital_Mensual!L63</f>
        <v/>
      </c>
      <c r="W63" s="23">
        <f>Intereses_Residual_Mensual!L63</f>
        <v/>
      </c>
      <c r="X63" s="23">
        <f>ROUND(T63 + W63, 2)</f>
        <v/>
      </c>
      <c r="Y63" s="23">
        <f>Intereses_Leasing_Mensual!M63</f>
        <v/>
      </c>
      <c r="Z63" s="23">
        <f>Amortizacion_Capital_Mensual!N63</f>
        <v/>
      </c>
      <c r="AA63" s="23">
        <f>Saldos_Capital_Mensual!M63</f>
        <v/>
      </c>
      <c r="AB63" s="23">
        <f>Intereses_Residual_Mensual!M63</f>
        <v/>
      </c>
      <c r="AC63" s="23">
        <f>ROUND(Y63 + AB63, 2)</f>
        <v/>
      </c>
      <c r="AD63" s="23">
        <f>Intereses_Leasing_Mensual!N63</f>
        <v/>
      </c>
      <c r="AE63" s="23">
        <f>Amortizacion_Capital_Mensual!O63</f>
        <v/>
      </c>
      <c r="AF63" s="23">
        <f>Saldos_Capital_Mensual!N63</f>
        <v/>
      </c>
      <c r="AG63" s="23">
        <f>Intereses_Residual_Mensual!N63</f>
        <v/>
      </c>
      <c r="AH63" s="23">
        <f>ROUND(AD63 + AG63, 2)</f>
        <v/>
      </c>
      <c r="AI63" s="23">
        <f>Intereses_Leasing_Mensual!O63</f>
        <v/>
      </c>
      <c r="AJ63" s="23">
        <f>Amortizacion_Capital_Mensual!P63</f>
        <v/>
      </c>
      <c r="AK63" s="23">
        <f>Saldos_Capital_Mensual!O63</f>
        <v/>
      </c>
      <c r="AL63" s="23">
        <f>Intereses_Residual_Mensual!O63</f>
        <v/>
      </c>
      <c r="AM63" s="23">
        <f>ROUND(AI63 + AL63, 2)</f>
        <v/>
      </c>
      <c r="AN63" s="23">
        <f>Intereses_Leasing_Mensual!P63</f>
        <v/>
      </c>
      <c r="AO63" s="23">
        <f>Amortizacion_Capital_Mensual!Q63</f>
        <v/>
      </c>
      <c r="AP63" s="23">
        <f>Saldos_Capital_Mensual!P63</f>
        <v/>
      </c>
      <c r="AQ63" s="23">
        <f>Intereses_Residual_Mensual!P63</f>
        <v/>
      </c>
      <c r="AR63" s="23">
        <f>ROUND(AN63 + AQ63, 2)</f>
        <v/>
      </c>
      <c r="AS63" s="23">
        <f>Intereses_Leasing_Mensual!Q63</f>
        <v/>
      </c>
      <c r="AT63" s="23">
        <f>Amortizacion_Capital_Mensual!R63</f>
        <v/>
      </c>
      <c r="AU63" s="23">
        <f>Saldos_Capital_Mensual!Q63</f>
        <v/>
      </c>
      <c r="AV63" s="23">
        <f>Intereses_Residual_Mensual!Q63</f>
        <v/>
      </c>
      <c r="AW63" s="23">
        <f>ROUND(AS63 + AV63, 2)</f>
        <v/>
      </c>
      <c r="AX63" s="23">
        <f>Intereses_Leasing_Mensual!R63</f>
        <v/>
      </c>
      <c r="AY63" s="23">
        <f>Amortizacion_Capital_Mensual!S63</f>
        <v/>
      </c>
      <c r="AZ63" s="23">
        <f>Saldos_Capital_Mensual!R63</f>
        <v/>
      </c>
      <c r="BA63" s="23">
        <f>Intereses_Residual_Mensual!R63</f>
        <v/>
      </c>
      <c r="BB63" s="23">
        <f>ROUND(AX63 + BA63, 2)</f>
        <v/>
      </c>
      <c r="BC63" s="23">
        <f>Intereses_Leasing_Mensual!S63</f>
        <v/>
      </c>
      <c r="BD63" s="23">
        <f>Amortizacion_Capital_Mensual!T63</f>
        <v/>
      </c>
      <c r="BE63" s="23">
        <f>Saldos_Capital_Mensual!S63</f>
        <v/>
      </c>
      <c r="BF63" s="23">
        <f>Intereses_Residual_Mensual!S63</f>
        <v/>
      </c>
      <c r="BG63" s="23">
        <f>ROUND(BC63 + BF63, 2)</f>
        <v/>
      </c>
      <c r="BH63" s="23">
        <f>Intereses_Leasing_Mensual!T63</f>
        <v/>
      </c>
      <c r="BI63" s="23">
        <f>Amortizacion_Capital_Mensual!U63</f>
        <v/>
      </c>
      <c r="BJ63" s="23">
        <f>Saldos_Capital_Mensual!T63</f>
        <v/>
      </c>
      <c r="BK63" s="23">
        <f>Intereses_Residual_Mensual!T63</f>
        <v/>
      </c>
      <c r="BL63" s="23">
        <f>ROUND(BH63 + BK63, 2)</f>
        <v/>
      </c>
    </row>
    <row r="64">
      <c r="A64" s="26" t="inlineStr">
        <is>
          <t>0605-0003</t>
        </is>
      </c>
      <c r="B64" s="27" t="inlineStr">
        <is>
          <t>Nato Arquitectos Sa de Cv</t>
        </is>
      </c>
      <c r="C64" s="27" t="inlineStr">
        <is>
          <t>Ranger Crew Cab 4X4 XLT</t>
        </is>
      </c>
      <c r="D64" s="28" t="n">
        <v>24</v>
      </c>
      <c r="E64" s="29">
        <f>Intereses_Leasing_Mensual!I64</f>
        <v/>
      </c>
      <c r="F64" s="29">
        <f>Amortizacion_Capital_Mensual!J64</f>
        <v/>
      </c>
      <c r="G64" s="29">
        <f>Saldos_Capital_Mensual!I64</f>
        <v/>
      </c>
      <c r="H64" s="29">
        <f>Intereses_Residual_Mensual!I64</f>
        <v/>
      </c>
      <c r="I64" s="29">
        <f>ROUND(E64 + H64, 2)</f>
        <v/>
      </c>
      <c r="J64" s="29">
        <f>Intereses_Leasing_Mensual!J64</f>
        <v/>
      </c>
      <c r="K64" s="29">
        <f>Amortizacion_Capital_Mensual!K64</f>
        <v/>
      </c>
      <c r="L64" s="29">
        <f>Saldos_Capital_Mensual!J64</f>
        <v/>
      </c>
      <c r="M64" s="29">
        <f>Intereses_Residual_Mensual!J64</f>
        <v/>
      </c>
      <c r="N64" s="29">
        <f>ROUND(J64 + M64, 2)</f>
        <v/>
      </c>
      <c r="O64" s="29">
        <f>Intereses_Leasing_Mensual!K64</f>
        <v/>
      </c>
      <c r="P64" s="29">
        <f>Amortizacion_Capital_Mensual!L64</f>
        <v/>
      </c>
      <c r="Q64" s="29">
        <f>Saldos_Capital_Mensual!K64</f>
        <v/>
      </c>
      <c r="R64" s="29">
        <f>Intereses_Residual_Mensual!K64</f>
        <v/>
      </c>
      <c r="S64" s="29">
        <f>ROUND(O64 + R64, 2)</f>
        <v/>
      </c>
      <c r="T64" s="29">
        <f>Intereses_Leasing_Mensual!L64</f>
        <v/>
      </c>
      <c r="U64" s="29">
        <f>Amortizacion_Capital_Mensual!M64</f>
        <v/>
      </c>
      <c r="V64" s="29">
        <f>Saldos_Capital_Mensual!L64</f>
        <v/>
      </c>
      <c r="W64" s="29">
        <f>Intereses_Residual_Mensual!L64</f>
        <v/>
      </c>
      <c r="X64" s="29">
        <f>ROUND(T64 + W64, 2)</f>
        <v/>
      </c>
      <c r="Y64" s="29">
        <f>Intereses_Leasing_Mensual!M64</f>
        <v/>
      </c>
      <c r="Z64" s="29">
        <f>Amortizacion_Capital_Mensual!N64</f>
        <v/>
      </c>
      <c r="AA64" s="29">
        <f>Saldos_Capital_Mensual!M64</f>
        <v/>
      </c>
      <c r="AB64" s="29">
        <f>Intereses_Residual_Mensual!M64</f>
        <v/>
      </c>
      <c r="AC64" s="29">
        <f>ROUND(Y64 + AB64, 2)</f>
        <v/>
      </c>
      <c r="AD64" s="29">
        <f>Intereses_Leasing_Mensual!N64</f>
        <v/>
      </c>
      <c r="AE64" s="29">
        <f>Amortizacion_Capital_Mensual!O64</f>
        <v/>
      </c>
      <c r="AF64" s="29">
        <f>Saldos_Capital_Mensual!N64</f>
        <v/>
      </c>
      <c r="AG64" s="29">
        <f>Intereses_Residual_Mensual!N64</f>
        <v/>
      </c>
      <c r="AH64" s="29">
        <f>ROUND(AD64 + AG64, 2)</f>
        <v/>
      </c>
      <c r="AI64" s="29">
        <f>Intereses_Leasing_Mensual!O64</f>
        <v/>
      </c>
      <c r="AJ64" s="29">
        <f>Amortizacion_Capital_Mensual!P64</f>
        <v/>
      </c>
      <c r="AK64" s="29">
        <f>Saldos_Capital_Mensual!O64</f>
        <v/>
      </c>
      <c r="AL64" s="29">
        <f>Intereses_Residual_Mensual!O64</f>
        <v/>
      </c>
      <c r="AM64" s="29">
        <f>ROUND(AI64 + AL64, 2)</f>
        <v/>
      </c>
      <c r="AN64" s="29">
        <f>Intereses_Leasing_Mensual!P64</f>
        <v/>
      </c>
      <c r="AO64" s="29">
        <f>Amortizacion_Capital_Mensual!Q64</f>
        <v/>
      </c>
      <c r="AP64" s="29">
        <f>Saldos_Capital_Mensual!P64</f>
        <v/>
      </c>
      <c r="AQ64" s="29">
        <f>Intereses_Residual_Mensual!P64</f>
        <v/>
      </c>
      <c r="AR64" s="29">
        <f>ROUND(AN64 + AQ64, 2)</f>
        <v/>
      </c>
      <c r="AS64" s="29">
        <f>Intereses_Leasing_Mensual!Q64</f>
        <v/>
      </c>
      <c r="AT64" s="29">
        <f>Amortizacion_Capital_Mensual!R64</f>
        <v/>
      </c>
      <c r="AU64" s="29">
        <f>Saldos_Capital_Mensual!Q64</f>
        <v/>
      </c>
      <c r="AV64" s="29">
        <f>Intereses_Residual_Mensual!Q64</f>
        <v/>
      </c>
      <c r="AW64" s="29">
        <f>ROUND(AS64 + AV64, 2)</f>
        <v/>
      </c>
      <c r="AX64" s="29">
        <f>Intereses_Leasing_Mensual!R64</f>
        <v/>
      </c>
      <c r="AY64" s="29">
        <f>Amortizacion_Capital_Mensual!S64</f>
        <v/>
      </c>
      <c r="AZ64" s="29">
        <f>Saldos_Capital_Mensual!R64</f>
        <v/>
      </c>
      <c r="BA64" s="29">
        <f>Intereses_Residual_Mensual!R64</f>
        <v/>
      </c>
      <c r="BB64" s="29">
        <f>ROUND(AX64 + BA64, 2)</f>
        <v/>
      </c>
      <c r="BC64" s="29">
        <f>Intereses_Leasing_Mensual!S64</f>
        <v/>
      </c>
      <c r="BD64" s="29">
        <f>Amortizacion_Capital_Mensual!T64</f>
        <v/>
      </c>
      <c r="BE64" s="29">
        <f>Saldos_Capital_Mensual!S64</f>
        <v/>
      </c>
      <c r="BF64" s="29">
        <f>Intereses_Residual_Mensual!S64</f>
        <v/>
      </c>
      <c r="BG64" s="29">
        <f>ROUND(BC64 + BF64, 2)</f>
        <v/>
      </c>
      <c r="BH64" s="29">
        <f>Intereses_Leasing_Mensual!T64</f>
        <v/>
      </c>
      <c r="BI64" s="29">
        <f>Amortizacion_Capital_Mensual!U64</f>
        <v/>
      </c>
      <c r="BJ64" s="29">
        <f>Saldos_Capital_Mensual!T64</f>
        <v/>
      </c>
      <c r="BK64" s="29">
        <f>Intereses_Residual_Mensual!T64</f>
        <v/>
      </c>
      <c r="BL64" s="29">
        <f>ROUND(BH64 + BK64, 2)</f>
        <v/>
      </c>
    </row>
    <row r="65">
      <c r="A65" s="20" t="inlineStr">
        <is>
          <t>0605-0004</t>
        </is>
      </c>
      <c r="B65" s="21" t="inlineStr">
        <is>
          <t>Nato Arquitectos Sa de Cv</t>
        </is>
      </c>
      <c r="C65" s="21" t="inlineStr">
        <is>
          <t>COLORADO DOBLE CABINA PAQ. "C"</t>
        </is>
      </c>
      <c r="D65" s="22" t="n">
        <v>24</v>
      </c>
      <c r="E65" s="23">
        <f>Intereses_Leasing_Mensual!I65</f>
        <v/>
      </c>
      <c r="F65" s="23">
        <f>Amortizacion_Capital_Mensual!J65</f>
        <v/>
      </c>
      <c r="G65" s="23">
        <f>Saldos_Capital_Mensual!I65</f>
        <v/>
      </c>
      <c r="H65" s="23">
        <f>Intereses_Residual_Mensual!I65</f>
        <v/>
      </c>
      <c r="I65" s="23">
        <f>ROUND(E65 + H65, 2)</f>
        <v/>
      </c>
      <c r="J65" s="23">
        <f>Intereses_Leasing_Mensual!J65</f>
        <v/>
      </c>
      <c r="K65" s="23">
        <f>Amortizacion_Capital_Mensual!K65</f>
        <v/>
      </c>
      <c r="L65" s="23">
        <f>Saldos_Capital_Mensual!J65</f>
        <v/>
      </c>
      <c r="M65" s="23">
        <f>Intereses_Residual_Mensual!J65</f>
        <v/>
      </c>
      <c r="N65" s="23">
        <f>ROUND(J65 + M65, 2)</f>
        <v/>
      </c>
      <c r="O65" s="23">
        <f>Intereses_Leasing_Mensual!K65</f>
        <v/>
      </c>
      <c r="P65" s="23">
        <f>Amortizacion_Capital_Mensual!L65</f>
        <v/>
      </c>
      <c r="Q65" s="23">
        <f>Saldos_Capital_Mensual!K65</f>
        <v/>
      </c>
      <c r="R65" s="23">
        <f>Intereses_Residual_Mensual!K65</f>
        <v/>
      </c>
      <c r="S65" s="23">
        <f>ROUND(O65 + R65, 2)</f>
        <v/>
      </c>
      <c r="T65" s="23">
        <f>Intereses_Leasing_Mensual!L65</f>
        <v/>
      </c>
      <c r="U65" s="23">
        <f>Amortizacion_Capital_Mensual!M65</f>
        <v/>
      </c>
      <c r="V65" s="23">
        <f>Saldos_Capital_Mensual!L65</f>
        <v/>
      </c>
      <c r="W65" s="23">
        <f>Intereses_Residual_Mensual!L65</f>
        <v/>
      </c>
      <c r="X65" s="23">
        <f>ROUND(T65 + W65, 2)</f>
        <v/>
      </c>
      <c r="Y65" s="23">
        <f>Intereses_Leasing_Mensual!M65</f>
        <v/>
      </c>
      <c r="Z65" s="23">
        <f>Amortizacion_Capital_Mensual!N65</f>
        <v/>
      </c>
      <c r="AA65" s="23">
        <f>Saldos_Capital_Mensual!M65</f>
        <v/>
      </c>
      <c r="AB65" s="23">
        <f>Intereses_Residual_Mensual!M65</f>
        <v/>
      </c>
      <c r="AC65" s="23">
        <f>ROUND(Y65 + AB65, 2)</f>
        <v/>
      </c>
      <c r="AD65" s="23">
        <f>Intereses_Leasing_Mensual!N65</f>
        <v/>
      </c>
      <c r="AE65" s="23">
        <f>Amortizacion_Capital_Mensual!O65</f>
        <v/>
      </c>
      <c r="AF65" s="23">
        <f>Saldos_Capital_Mensual!N65</f>
        <v/>
      </c>
      <c r="AG65" s="23">
        <f>Intereses_Residual_Mensual!N65</f>
        <v/>
      </c>
      <c r="AH65" s="23">
        <f>ROUND(AD65 + AG65, 2)</f>
        <v/>
      </c>
      <c r="AI65" s="23">
        <f>Intereses_Leasing_Mensual!O65</f>
        <v/>
      </c>
      <c r="AJ65" s="23">
        <f>Amortizacion_Capital_Mensual!P65</f>
        <v/>
      </c>
      <c r="AK65" s="23">
        <f>Saldos_Capital_Mensual!O65</f>
        <v/>
      </c>
      <c r="AL65" s="23">
        <f>Intereses_Residual_Mensual!O65</f>
        <v/>
      </c>
      <c r="AM65" s="23">
        <f>ROUND(AI65 + AL65, 2)</f>
        <v/>
      </c>
      <c r="AN65" s="23">
        <f>Intereses_Leasing_Mensual!P65</f>
        <v/>
      </c>
      <c r="AO65" s="23">
        <f>Amortizacion_Capital_Mensual!Q65</f>
        <v/>
      </c>
      <c r="AP65" s="23">
        <f>Saldos_Capital_Mensual!P65</f>
        <v/>
      </c>
      <c r="AQ65" s="23">
        <f>Intereses_Residual_Mensual!P65</f>
        <v/>
      </c>
      <c r="AR65" s="23">
        <f>ROUND(AN65 + AQ65, 2)</f>
        <v/>
      </c>
      <c r="AS65" s="23">
        <f>Intereses_Leasing_Mensual!Q65</f>
        <v/>
      </c>
      <c r="AT65" s="23">
        <f>Amortizacion_Capital_Mensual!R65</f>
        <v/>
      </c>
      <c r="AU65" s="23">
        <f>Saldos_Capital_Mensual!Q65</f>
        <v/>
      </c>
      <c r="AV65" s="23">
        <f>Intereses_Residual_Mensual!Q65</f>
        <v/>
      </c>
      <c r="AW65" s="23">
        <f>ROUND(AS65 + AV65, 2)</f>
        <v/>
      </c>
      <c r="AX65" s="23">
        <f>Intereses_Leasing_Mensual!R65</f>
        <v/>
      </c>
      <c r="AY65" s="23">
        <f>Amortizacion_Capital_Mensual!S65</f>
        <v/>
      </c>
      <c r="AZ65" s="23">
        <f>Saldos_Capital_Mensual!R65</f>
        <v/>
      </c>
      <c r="BA65" s="23">
        <f>Intereses_Residual_Mensual!R65</f>
        <v/>
      </c>
      <c r="BB65" s="23">
        <f>ROUND(AX65 + BA65, 2)</f>
        <v/>
      </c>
      <c r="BC65" s="23">
        <f>Intereses_Leasing_Mensual!S65</f>
        <v/>
      </c>
      <c r="BD65" s="23">
        <f>Amortizacion_Capital_Mensual!T65</f>
        <v/>
      </c>
      <c r="BE65" s="23">
        <f>Saldos_Capital_Mensual!S65</f>
        <v/>
      </c>
      <c r="BF65" s="23">
        <f>Intereses_Residual_Mensual!S65</f>
        <v/>
      </c>
      <c r="BG65" s="23">
        <f>ROUND(BC65 + BF65, 2)</f>
        <v/>
      </c>
      <c r="BH65" s="23">
        <f>Intereses_Leasing_Mensual!T65</f>
        <v/>
      </c>
      <c r="BI65" s="23">
        <f>Amortizacion_Capital_Mensual!U65</f>
        <v/>
      </c>
      <c r="BJ65" s="23">
        <f>Saldos_Capital_Mensual!T65</f>
        <v/>
      </c>
      <c r="BK65" s="23">
        <f>Intereses_Residual_Mensual!T65</f>
        <v/>
      </c>
      <c r="BL65" s="23">
        <f>ROUND(BH65 + BK65, 2)</f>
        <v/>
      </c>
    </row>
    <row r="66">
      <c r="A66" s="26" t="inlineStr">
        <is>
          <t>0606-0002</t>
        </is>
      </c>
      <c r="B66" s="27" t="inlineStr">
        <is>
          <t>Mayoreo Automotriz ML S de Rl de CV</t>
        </is>
      </c>
      <c r="C66" s="27" t="inlineStr">
        <is>
          <t>Grand Cherokee 4xE</t>
        </is>
      </c>
      <c r="D66" s="28" t="n">
        <v>12</v>
      </c>
      <c r="E66" s="29">
        <f>Intereses_Leasing_Mensual!I66</f>
        <v/>
      </c>
      <c r="F66" s="29">
        <f>Amortizacion_Capital_Mensual!J66</f>
        <v/>
      </c>
      <c r="G66" s="29">
        <f>Saldos_Capital_Mensual!I66</f>
        <v/>
      </c>
      <c r="H66" s="29">
        <f>Intereses_Residual_Mensual!I66</f>
        <v/>
      </c>
      <c r="I66" s="29">
        <f>ROUND(E66 + H66, 2)</f>
        <v/>
      </c>
      <c r="J66" s="29">
        <f>Intereses_Leasing_Mensual!J66</f>
        <v/>
      </c>
      <c r="K66" s="29">
        <f>Amortizacion_Capital_Mensual!K66</f>
        <v/>
      </c>
      <c r="L66" s="29">
        <f>Saldos_Capital_Mensual!J66</f>
        <v/>
      </c>
      <c r="M66" s="29">
        <f>Intereses_Residual_Mensual!J66</f>
        <v/>
      </c>
      <c r="N66" s="29">
        <f>ROUND(J66 + M66, 2)</f>
        <v/>
      </c>
      <c r="O66" s="29">
        <f>Intereses_Leasing_Mensual!K66</f>
        <v/>
      </c>
      <c r="P66" s="29">
        <f>Amortizacion_Capital_Mensual!L66</f>
        <v/>
      </c>
      <c r="Q66" s="29">
        <f>Saldos_Capital_Mensual!K66</f>
        <v/>
      </c>
      <c r="R66" s="29">
        <f>Intereses_Residual_Mensual!K66</f>
        <v/>
      </c>
      <c r="S66" s="29">
        <f>ROUND(O66 + R66, 2)</f>
        <v/>
      </c>
      <c r="T66" s="29">
        <f>Intereses_Leasing_Mensual!L66</f>
        <v/>
      </c>
      <c r="U66" s="29">
        <f>Amortizacion_Capital_Mensual!M66</f>
        <v/>
      </c>
      <c r="V66" s="29">
        <f>Saldos_Capital_Mensual!L66</f>
        <v/>
      </c>
      <c r="W66" s="29">
        <f>Intereses_Residual_Mensual!L66</f>
        <v/>
      </c>
      <c r="X66" s="29">
        <f>ROUND(T66 + W66, 2)</f>
        <v/>
      </c>
      <c r="Y66" s="29">
        <f>Intereses_Leasing_Mensual!M66</f>
        <v/>
      </c>
      <c r="Z66" s="29">
        <f>Amortizacion_Capital_Mensual!N66</f>
        <v/>
      </c>
      <c r="AA66" s="29">
        <f>Saldos_Capital_Mensual!M66</f>
        <v/>
      </c>
      <c r="AB66" s="29">
        <f>Intereses_Residual_Mensual!M66</f>
        <v/>
      </c>
      <c r="AC66" s="29">
        <f>ROUND(Y66 + AB66, 2)</f>
        <v/>
      </c>
      <c r="AD66" s="29">
        <f>Intereses_Leasing_Mensual!N66</f>
        <v/>
      </c>
      <c r="AE66" s="29">
        <f>Amortizacion_Capital_Mensual!O66</f>
        <v/>
      </c>
      <c r="AF66" s="29">
        <f>Saldos_Capital_Mensual!N66</f>
        <v/>
      </c>
      <c r="AG66" s="29">
        <f>Intereses_Residual_Mensual!N66</f>
        <v/>
      </c>
      <c r="AH66" s="29">
        <f>ROUND(AD66 + AG66, 2)</f>
        <v/>
      </c>
      <c r="AI66" s="29">
        <f>Intereses_Leasing_Mensual!O66</f>
        <v/>
      </c>
      <c r="AJ66" s="29">
        <f>Amortizacion_Capital_Mensual!P66</f>
        <v/>
      </c>
      <c r="AK66" s="29">
        <f>Saldos_Capital_Mensual!O66</f>
        <v/>
      </c>
      <c r="AL66" s="29">
        <f>Intereses_Residual_Mensual!O66</f>
        <v/>
      </c>
      <c r="AM66" s="29">
        <f>ROUND(AI66 + AL66, 2)</f>
        <v/>
      </c>
      <c r="AN66" s="29">
        <f>Intereses_Leasing_Mensual!P66</f>
        <v/>
      </c>
      <c r="AO66" s="29">
        <f>Amortizacion_Capital_Mensual!Q66</f>
        <v/>
      </c>
      <c r="AP66" s="29">
        <f>Saldos_Capital_Mensual!P66</f>
        <v/>
      </c>
      <c r="AQ66" s="29">
        <f>Intereses_Residual_Mensual!P66</f>
        <v/>
      </c>
      <c r="AR66" s="29">
        <f>ROUND(AN66 + AQ66, 2)</f>
        <v/>
      </c>
      <c r="AS66" s="29">
        <f>Intereses_Leasing_Mensual!Q66</f>
        <v/>
      </c>
      <c r="AT66" s="29">
        <f>Amortizacion_Capital_Mensual!R66</f>
        <v/>
      </c>
      <c r="AU66" s="29">
        <f>Saldos_Capital_Mensual!Q66</f>
        <v/>
      </c>
      <c r="AV66" s="29">
        <f>Intereses_Residual_Mensual!Q66</f>
        <v/>
      </c>
      <c r="AW66" s="29">
        <f>ROUND(AS66 + AV66, 2)</f>
        <v/>
      </c>
      <c r="AX66" s="29">
        <f>Intereses_Leasing_Mensual!R66</f>
        <v/>
      </c>
      <c r="AY66" s="29">
        <f>Amortizacion_Capital_Mensual!S66</f>
        <v/>
      </c>
      <c r="AZ66" s="29">
        <f>Saldos_Capital_Mensual!R66</f>
        <v/>
      </c>
      <c r="BA66" s="29">
        <f>Intereses_Residual_Mensual!R66</f>
        <v/>
      </c>
      <c r="BB66" s="29">
        <f>ROUND(AX66 + BA66, 2)</f>
        <v/>
      </c>
      <c r="BC66" s="29">
        <f>Intereses_Leasing_Mensual!S66</f>
        <v/>
      </c>
      <c r="BD66" s="29">
        <f>Amortizacion_Capital_Mensual!T66</f>
        <v/>
      </c>
      <c r="BE66" s="29">
        <f>Saldos_Capital_Mensual!S66</f>
        <v/>
      </c>
      <c r="BF66" s="29">
        <f>Intereses_Residual_Mensual!S66</f>
        <v/>
      </c>
      <c r="BG66" s="29">
        <f>ROUND(BC66 + BF66, 2)</f>
        <v/>
      </c>
      <c r="BH66" s="29">
        <f>Intereses_Leasing_Mensual!T66</f>
        <v/>
      </c>
      <c r="BI66" s="29">
        <f>Amortizacion_Capital_Mensual!U66</f>
        <v/>
      </c>
      <c r="BJ66" s="29">
        <f>Saldos_Capital_Mensual!T66</f>
        <v/>
      </c>
      <c r="BK66" s="29">
        <f>Intereses_Residual_Mensual!T66</f>
        <v/>
      </c>
      <c r="BL66" s="29">
        <f>ROUND(BH66 + BK66, 2)</f>
        <v/>
      </c>
    </row>
    <row r="67">
      <c r="A67" s="20" t="inlineStr">
        <is>
          <t>0607-0004</t>
        </is>
      </c>
      <c r="B67" s="21" t="inlineStr">
        <is>
          <t>Jose Guadalupe Dueñas Lomeli</t>
        </is>
      </c>
      <c r="C67" s="21" t="inlineStr">
        <is>
          <t>Rifter Allure Pack</t>
        </is>
      </c>
      <c r="D67" s="22" t="n">
        <v>48</v>
      </c>
      <c r="E67" s="23">
        <f>Intereses_Leasing_Mensual!I67</f>
        <v/>
      </c>
      <c r="F67" s="23">
        <f>Amortizacion_Capital_Mensual!J67</f>
        <v/>
      </c>
      <c r="G67" s="23">
        <f>Saldos_Capital_Mensual!I67</f>
        <v/>
      </c>
      <c r="H67" s="23">
        <f>Intereses_Residual_Mensual!I67</f>
        <v/>
      </c>
      <c r="I67" s="23">
        <f>ROUND(E67 + H67, 2)</f>
        <v/>
      </c>
      <c r="J67" s="23">
        <f>Intereses_Leasing_Mensual!J67</f>
        <v/>
      </c>
      <c r="K67" s="23">
        <f>Amortizacion_Capital_Mensual!K67</f>
        <v/>
      </c>
      <c r="L67" s="23">
        <f>Saldos_Capital_Mensual!J67</f>
        <v/>
      </c>
      <c r="M67" s="23">
        <f>Intereses_Residual_Mensual!J67</f>
        <v/>
      </c>
      <c r="N67" s="23">
        <f>ROUND(J67 + M67, 2)</f>
        <v/>
      </c>
      <c r="O67" s="23">
        <f>Intereses_Leasing_Mensual!K67</f>
        <v/>
      </c>
      <c r="P67" s="23">
        <f>Amortizacion_Capital_Mensual!L67</f>
        <v/>
      </c>
      <c r="Q67" s="23">
        <f>Saldos_Capital_Mensual!K67</f>
        <v/>
      </c>
      <c r="R67" s="23">
        <f>Intereses_Residual_Mensual!K67</f>
        <v/>
      </c>
      <c r="S67" s="23">
        <f>ROUND(O67 + R67, 2)</f>
        <v/>
      </c>
      <c r="T67" s="23">
        <f>Intereses_Leasing_Mensual!L67</f>
        <v/>
      </c>
      <c r="U67" s="23">
        <f>Amortizacion_Capital_Mensual!M67</f>
        <v/>
      </c>
      <c r="V67" s="23">
        <f>Saldos_Capital_Mensual!L67</f>
        <v/>
      </c>
      <c r="W67" s="23">
        <f>Intereses_Residual_Mensual!L67</f>
        <v/>
      </c>
      <c r="X67" s="23">
        <f>ROUND(T67 + W67, 2)</f>
        <v/>
      </c>
      <c r="Y67" s="23">
        <f>Intereses_Leasing_Mensual!M67</f>
        <v/>
      </c>
      <c r="Z67" s="23">
        <f>Amortizacion_Capital_Mensual!N67</f>
        <v/>
      </c>
      <c r="AA67" s="23">
        <f>Saldos_Capital_Mensual!M67</f>
        <v/>
      </c>
      <c r="AB67" s="23">
        <f>Intereses_Residual_Mensual!M67</f>
        <v/>
      </c>
      <c r="AC67" s="23">
        <f>ROUND(Y67 + AB67, 2)</f>
        <v/>
      </c>
      <c r="AD67" s="23">
        <f>Intereses_Leasing_Mensual!N67</f>
        <v/>
      </c>
      <c r="AE67" s="23">
        <f>Amortizacion_Capital_Mensual!O67</f>
        <v/>
      </c>
      <c r="AF67" s="23">
        <f>Saldos_Capital_Mensual!N67</f>
        <v/>
      </c>
      <c r="AG67" s="23">
        <f>Intereses_Residual_Mensual!N67</f>
        <v/>
      </c>
      <c r="AH67" s="23">
        <f>ROUND(AD67 + AG67, 2)</f>
        <v/>
      </c>
      <c r="AI67" s="23">
        <f>Intereses_Leasing_Mensual!O67</f>
        <v/>
      </c>
      <c r="AJ67" s="23">
        <f>Amortizacion_Capital_Mensual!P67</f>
        <v/>
      </c>
      <c r="AK67" s="23">
        <f>Saldos_Capital_Mensual!O67</f>
        <v/>
      </c>
      <c r="AL67" s="23">
        <f>Intereses_Residual_Mensual!O67</f>
        <v/>
      </c>
      <c r="AM67" s="23">
        <f>ROUND(AI67 + AL67, 2)</f>
        <v/>
      </c>
      <c r="AN67" s="23">
        <f>Intereses_Leasing_Mensual!P67</f>
        <v/>
      </c>
      <c r="AO67" s="23">
        <f>Amortizacion_Capital_Mensual!Q67</f>
        <v/>
      </c>
      <c r="AP67" s="23">
        <f>Saldos_Capital_Mensual!P67</f>
        <v/>
      </c>
      <c r="AQ67" s="23">
        <f>Intereses_Residual_Mensual!P67</f>
        <v/>
      </c>
      <c r="AR67" s="23">
        <f>ROUND(AN67 + AQ67, 2)</f>
        <v/>
      </c>
      <c r="AS67" s="23">
        <f>Intereses_Leasing_Mensual!Q67</f>
        <v/>
      </c>
      <c r="AT67" s="23">
        <f>Amortizacion_Capital_Mensual!R67</f>
        <v/>
      </c>
      <c r="AU67" s="23">
        <f>Saldos_Capital_Mensual!Q67</f>
        <v/>
      </c>
      <c r="AV67" s="23">
        <f>Intereses_Residual_Mensual!Q67</f>
        <v/>
      </c>
      <c r="AW67" s="23">
        <f>ROUND(AS67 + AV67, 2)</f>
        <v/>
      </c>
      <c r="AX67" s="23">
        <f>Intereses_Leasing_Mensual!R67</f>
        <v/>
      </c>
      <c r="AY67" s="23">
        <f>Amortizacion_Capital_Mensual!S67</f>
        <v/>
      </c>
      <c r="AZ67" s="23">
        <f>Saldos_Capital_Mensual!R67</f>
        <v/>
      </c>
      <c r="BA67" s="23">
        <f>Intereses_Residual_Mensual!R67</f>
        <v/>
      </c>
      <c r="BB67" s="23">
        <f>ROUND(AX67 + BA67, 2)</f>
        <v/>
      </c>
      <c r="BC67" s="23">
        <f>Intereses_Leasing_Mensual!S67</f>
        <v/>
      </c>
      <c r="BD67" s="23">
        <f>Amortizacion_Capital_Mensual!T67</f>
        <v/>
      </c>
      <c r="BE67" s="23">
        <f>Saldos_Capital_Mensual!S67</f>
        <v/>
      </c>
      <c r="BF67" s="23">
        <f>Intereses_Residual_Mensual!S67</f>
        <v/>
      </c>
      <c r="BG67" s="23">
        <f>ROUND(BC67 + BF67, 2)</f>
        <v/>
      </c>
      <c r="BH67" s="23">
        <f>Intereses_Leasing_Mensual!T67</f>
        <v/>
      </c>
      <c r="BI67" s="23">
        <f>Amortizacion_Capital_Mensual!U67</f>
        <v/>
      </c>
      <c r="BJ67" s="23">
        <f>Saldos_Capital_Mensual!T67</f>
        <v/>
      </c>
      <c r="BK67" s="23">
        <f>Intereses_Residual_Mensual!T67</f>
        <v/>
      </c>
      <c r="BL67" s="23">
        <f>ROUND(BH67 + BK67, 2)</f>
        <v/>
      </c>
    </row>
    <row r="68">
      <c r="A68" s="26" t="inlineStr">
        <is>
          <t>0607-0005</t>
        </is>
      </c>
      <c r="B68" s="27" t="inlineStr">
        <is>
          <t>Jose Guadalupe Dueñas Lomeli</t>
        </is>
      </c>
      <c r="C68" s="27" t="inlineStr">
        <is>
          <t>Durango Hellcat SRT</t>
        </is>
      </c>
      <c r="D68" s="28" t="n">
        <v>36</v>
      </c>
      <c r="E68" s="29">
        <f>Intereses_Leasing_Mensual!I68</f>
        <v/>
      </c>
      <c r="F68" s="29">
        <f>Amortizacion_Capital_Mensual!J68</f>
        <v/>
      </c>
      <c r="G68" s="29">
        <f>Saldos_Capital_Mensual!I68</f>
        <v/>
      </c>
      <c r="H68" s="29">
        <f>Intereses_Residual_Mensual!I68</f>
        <v/>
      </c>
      <c r="I68" s="29">
        <f>ROUND(E68 + H68, 2)</f>
        <v/>
      </c>
      <c r="J68" s="29">
        <f>Intereses_Leasing_Mensual!J68</f>
        <v/>
      </c>
      <c r="K68" s="29">
        <f>Amortizacion_Capital_Mensual!K68</f>
        <v/>
      </c>
      <c r="L68" s="29">
        <f>Saldos_Capital_Mensual!J68</f>
        <v/>
      </c>
      <c r="M68" s="29">
        <f>Intereses_Residual_Mensual!J68</f>
        <v/>
      </c>
      <c r="N68" s="29">
        <f>ROUND(J68 + M68, 2)</f>
        <v/>
      </c>
      <c r="O68" s="29">
        <f>Intereses_Leasing_Mensual!K68</f>
        <v/>
      </c>
      <c r="P68" s="29">
        <f>Amortizacion_Capital_Mensual!L68</f>
        <v/>
      </c>
      <c r="Q68" s="29">
        <f>Saldos_Capital_Mensual!K68</f>
        <v/>
      </c>
      <c r="R68" s="29">
        <f>Intereses_Residual_Mensual!K68</f>
        <v/>
      </c>
      <c r="S68" s="29">
        <f>ROUND(O68 + R68, 2)</f>
        <v/>
      </c>
      <c r="T68" s="29">
        <f>Intereses_Leasing_Mensual!L68</f>
        <v/>
      </c>
      <c r="U68" s="29">
        <f>Amortizacion_Capital_Mensual!M68</f>
        <v/>
      </c>
      <c r="V68" s="29">
        <f>Saldos_Capital_Mensual!L68</f>
        <v/>
      </c>
      <c r="W68" s="29">
        <f>Intereses_Residual_Mensual!L68</f>
        <v/>
      </c>
      <c r="X68" s="29">
        <f>ROUND(T68 + W68, 2)</f>
        <v/>
      </c>
      <c r="Y68" s="29">
        <f>Intereses_Leasing_Mensual!M68</f>
        <v/>
      </c>
      <c r="Z68" s="29">
        <f>Amortizacion_Capital_Mensual!N68</f>
        <v/>
      </c>
      <c r="AA68" s="29">
        <f>Saldos_Capital_Mensual!M68</f>
        <v/>
      </c>
      <c r="AB68" s="29">
        <f>Intereses_Residual_Mensual!M68</f>
        <v/>
      </c>
      <c r="AC68" s="29">
        <f>ROUND(Y68 + AB68, 2)</f>
        <v/>
      </c>
      <c r="AD68" s="29">
        <f>Intereses_Leasing_Mensual!N68</f>
        <v/>
      </c>
      <c r="AE68" s="29">
        <f>Amortizacion_Capital_Mensual!O68</f>
        <v/>
      </c>
      <c r="AF68" s="29">
        <f>Saldos_Capital_Mensual!N68</f>
        <v/>
      </c>
      <c r="AG68" s="29">
        <f>Intereses_Residual_Mensual!N68</f>
        <v/>
      </c>
      <c r="AH68" s="29">
        <f>ROUND(AD68 + AG68, 2)</f>
        <v/>
      </c>
      <c r="AI68" s="29">
        <f>Intereses_Leasing_Mensual!O68</f>
        <v/>
      </c>
      <c r="AJ68" s="29">
        <f>Amortizacion_Capital_Mensual!P68</f>
        <v/>
      </c>
      <c r="AK68" s="29">
        <f>Saldos_Capital_Mensual!O68</f>
        <v/>
      </c>
      <c r="AL68" s="29">
        <f>Intereses_Residual_Mensual!O68</f>
        <v/>
      </c>
      <c r="AM68" s="29">
        <f>ROUND(AI68 + AL68, 2)</f>
        <v/>
      </c>
      <c r="AN68" s="29">
        <f>Intereses_Leasing_Mensual!P68</f>
        <v/>
      </c>
      <c r="AO68" s="29">
        <f>Amortizacion_Capital_Mensual!Q68</f>
        <v/>
      </c>
      <c r="AP68" s="29">
        <f>Saldos_Capital_Mensual!P68</f>
        <v/>
      </c>
      <c r="AQ68" s="29">
        <f>Intereses_Residual_Mensual!P68</f>
        <v/>
      </c>
      <c r="AR68" s="29">
        <f>ROUND(AN68 + AQ68, 2)</f>
        <v/>
      </c>
      <c r="AS68" s="29">
        <f>Intereses_Leasing_Mensual!Q68</f>
        <v/>
      </c>
      <c r="AT68" s="29">
        <f>Amortizacion_Capital_Mensual!R68</f>
        <v/>
      </c>
      <c r="AU68" s="29">
        <f>Saldos_Capital_Mensual!Q68</f>
        <v/>
      </c>
      <c r="AV68" s="29">
        <f>Intereses_Residual_Mensual!Q68</f>
        <v/>
      </c>
      <c r="AW68" s="29">
        <f>ROUND(AS68 + AV68, 2)</f>
        <v/>
      </c>
      <c r="AX68" s="29">
        <f>Intereses_Leasing_Mensual!R68</f>
        <v/>
      </c>
      <c r="AY68" s="29">
        <f>Amortizacion_Capital_Mensual!S68</f>
        <v/>
      </c>
      <c r="AZ68" s="29">
        <f>Saldos_Capital_Mensual!R68</f>
        <v/>
      </c>
      <c r="BA68" s="29">
        <f>Intereses_Residual_Mensual!R68</f>
        <v/>
      </c>
      <c r="BB68" s="29">
        <f>ROUND(AX68 + BA68, 2)</f>
        <v/>
      </c>
      <c r="BC68" s="29">
        <f>Intereses_Leasing_Mensual!S68</f>
        <v/>
      </c>
      <c r="BD68" s="29">
        <f>Amortizacion_Capital_Mensual!T68</f>
        <v/>
      </c>
      <c r="BE68" s="29">
        <f>Saldos_Capital_Mensual!S68</f>
        <v/>
      </c>
      <c r="BF68" s="29">
        <f>Intereses_Residual_Mensual!S68</f>
        <v/>
      </c>
      <c r="BG68" s="29">
        <f>ROUND(BC68 + BF68, 2)</f>
        <v/>
      </c>
      <c r="BH68" s="29">
        <f>Intereses_Leasing_Mensual!T68</f>
        <v/>
      </c>
      <c r="BI68" s="29">
        <f>Amortizacion_Capital_Mensual!U68</f>
        <v/>
      </c>
      <c r="BJ68" s="29">
        <f>Saldos_Capital_Mensual!T68</f>
        <v/>
      </c>
      <c r="BK68" s="29">
        <f>Intereses_Residual_Mensual!T68</f>
        <v/>
      </c>
      <c r="BL68" s="29">
        <f>ROUND(BH68 + BK68, 2)</f>
        <v/>
      </c>
    </row>
    <row r="69">
      <c r="A69" s="20" t="inlineStr">
        <is>
          <t>0610-0003</t>
        </is>
      </c>
      <c r="B69" s="21" t="inlineStr">
        <is>
          <t>Minelaza</t>
        </is>
      </c>
      <c r="C69" s="21" t="inlineStr">
        <is>
          <t>Song Plus</t>
        </is>
      </c>
      <c r="D69" s="22" t="n">
        <v>36</v>
      </c>
      <c r="E69" s="23">
        <f>Intereses_Leasing_Mensual!I69</f>
        <v/>
      </c>
      <c r="F69" s="23">
        <f>Amortizacion_Capital_Mensual!J69</f>
        <v/>
      </c>
      <c r="G69" s="23">
        <f>Saldos_Capital_Mensual!I69</f>
        <v/>
      </c>
      <c r="H69" s="23">
        <f>Intereses_Residual_Mensual!I69</f>
        <v/>
      </c>
      <c r="I69" s="23">
        <f>ROUND(E69 + H69, 2)</f>
        <v/>
      </c>
      <c r="J69" s="23">
        <f>Intereses_Leasing_Mensual!J69</f>
        <v/>
      </c>
      <c r="K69" s="23">
        <f>Amortizacion_Capital_Mensual!K69</f>
        <v/>
      </c>
      <c r="L69" s="23">
        <f>Saldos_Capital_Mensual!J69</f>
        <v/>
      </c>
      <c r="M69" s="23">
        <f>Intereses_Residual_Mensual!J69</f>
        <v/>
      </c>
      <c r="N69" s="23">
        <f>ROUND(J69 + M69, 2)</f>
        <v/>
      </c>
      <c r="O69" s="23">
        <f>Intereses_Leasing_Mensual!K69</f>
        <v/>
      </c>
      <c r="P69" s="23">
        <f>Amortizacion_Capital_Mensual!L69</f>
        <v/>
      </c>
      <c r="Q69" s="23">
        <f>Saldos_Capital_Mensual!K69</f>
        <v/>
      </c>
      <c r="R69" s="23">
        <f>Intereses_Residual_Mensual!K69</f>
        <v/>
      </c>
      <c r="S69" s="23">
        <f>ROUND(O69 + R69, 2)</f>
        <v/>
      </c>
      <c r="T69" s="23">
        <f>Intereses_Leasing_Mensual!L69</f>
        <v/>
      </c>
      <c r="U69" s="23">
        <f>Amortizacion_Capital_Mensual!M69</f>
        <v/>
      </c>
      <c r="V69" s="23">
        <f>Saldos_Capital_Mensual!L69</f>
        <v/>
      </c>
      <c r="W69" s="23">
        <f>Intereses_Residual_Mensual!L69</f>
        <v/>
      </c>
      <c r="X69" s="23">
        <f>ROUND(T69 + W69, 2)</f>
        <v/>
      </c>
      <c r="Y69" s="23">
        <f>Intereses_Leasing_Mensual!M69</f>
        <v/>
      </c>
      <c r="Z69" s="23">
        <f>Amortizacion_Capital_Mensual!N69</f>
        <v/>
      </c>
      <c r="AA69" s="23">
        <f>Saldos_Capital_Mensual!M69</f>
        <v/>
      </c>
      <c r="AB69" s="23">
        <f>Intereses_Residual_Mensual!M69</f>
        <v/>
      </c>
      <c r="AC69" s="23">
        <f>ROUND(Y69 + AB69, 2)</f>
        <v/>
      </c>
      <c r="AD69" s="23">
        <f>Intereses_Leasing_Mensual!N69</f>
        <v/>
      </c>
      <c r="AE69" s="23">
        <f>Amortizacion_Capital_Mensual!O69</f>
        <v/>
      </c>
      <c r="AF69" s="23">
        <f>Saldos_Capital_Mensual!N69</f>
        <v/>
      </c>
      <c r="AG69" s="23">
        <f>Intereses_Residual_Mensual!N69</f>
        <v/>
      </c>
      <c r="AH69" s="23">
        <f>ROUND(AD69 + AG69, 2)</f>
        <v/>
      </c>
      <c r="AI69" s="23">
        <f>Intereses_Leasing_Mensual!O69</f>
        <v/>
      </c>
      <c r="AJ69" s="23">
        <f>Amortizacion_Capital_Mensual!P69</f>
        <v/>
      </c>
      <c r="AK69" s="23">
        <f>Saldos_Capital_Mensual!O69</f>
        <v/>
      </c>
      <c r="AL69" s="23">
        <f>Intereses_Residual_Mensual!O69</f>
        <v/>
      </c>
      <c r="AM69" s="23">
        <f>ROUND(AI69 + AL69, 2)</f>
        <v/>
      </c>
      <c r="AN69" s="23">
        <f>Intereses_Leasing_Mensual!P69</f>
        <v/>
      </c>
      <c r="AO69" s="23">
        <f>Amortizacion_Capital_Mensual!Q69</f>
        <v/>
      </c>
      <c r="AP69" s="23">
        <f>Saldos_Capital_Mensual!P69</f>
        <v/>
      </c>
      <c r="AQ69" s="23">
        <f>Intereses_Residual_Mensual!P69</f>
        <v/>
      </c>
      <c r="AR69" s="23">
        <f>ROUND(AN69 + AQ69, 2)</f>
        <v/>
      </c>
      <c r="AS69" s="23">
        <f>Intereses_Leasing_Mensual!Q69</f>
        <v/>
      </c>
      <c r="AT69" s="23">
        <f>Amortizacion_Capital_Mensual!R69</f>
        <v/>
      </c>
      <c r="AU69" s="23">
        <f>Saldos_Capital_Mensual!Q69</f>
        <v/>
      </c>
      <c r="AV69" s="23">
        <f>Intereses_Residual_Mensual!Q69</f>
        <v/>
      </c>
      <c r="AW69" s="23">
        <f>ROUND(AS69 + AV69, 2)</f>
        <v/>
      </c>
      <c r="AX69" s="23">
        <f>Intereses_Leasing_Mensual!R69</f>
        <v/>
      </c>
      <c r="AY69" s="23">
        <f>Amortizacion_Capital_Mensual!S69</f>
        <v/>
      </c>
      <c r="AZ69" s="23">
        <f>Saldos_Capital_Mensual!R69</f>
        <v/>
      </c>
      <c r="BA69" s="23">
        <f>Intereses_Residual_Mensual!R69</f>
        <v/>
      </c>
      <c r="BB69" s="23">
        <f>ROUND(AX69 + BA69, 2)</f>
        <v/>
      </c>
      <c r="BC69" s="23">
        <f>Intereses_Leasing_Mensual!S69</f>
        <v/>
      </c>
      <c r="BD69" s="23">
        <f>Amortizacion_Capital_Mensual!T69</f>
        <v/>
      </c>
      <c r="BE69" s="23">
        <f>Saldos_Capital_Mensual!S69</f>
        <v/>
      </c>
      <c r="BF69" s="23">
        <f>Intereses_Residual_Mensual!S69</f>
        <v/>
      </c>
      <c r="BG69" s="23">
        <f>ROUND(BC69 + BF69, 2)</f>
        <v/>
      </c>
      <c r="BH69" s="23">
        <f>Intereses_Leasing_Mensual!T69</f>
        <v/>
      </c>
      <c r="BI69" s="23">
        <f>Amortizacion_Capital_Mensual!U69</f>
        <v/>
      </c>
      <c r="BJ69" s="23">
        <f>Saldos_Capital_Mensual!T69</f>
        <v/>
      </c>
      <c r="BK69" s="23">
        <f>Intereses_Residual_Mensual!T69</f>
        <v/>
      </c>
      <c r="BL69" s="23">
        <f>ROUND(BH69 + BK69, 2)</f>
        <v/>
      </c>
    </row>
    <row r="70">
      <c r="A70" s="26" t="inlineStr">
        <is>
          <t>0612-0002</t>
        </is>
      </c>
      <c r="B70" s="27" t="inlineStr">
        <is>
          <t>Distribuidora Lopez Moctezuma Sa de Cv</t>
        </is>
      </c>
      <c r="C70" s="27" t="inlineStr">
        <is>
          <t>Ram 700 Tradesman</t>
        </is>
      </c>
      <c r="D70" s="28" t="n">
        <v>36</v>
      </c>
      <c r="E70" s="29">
        <f>Intereses_Leasing_Mensual!I70</f>
        <v/>
      </c>
      <c r="F70" s="29">
        <f>Amortizacion_Capital_Mensual!J70</f>
        <v/>
      </c>
      <c r="G70" s="29">
        <f>Saldos_Capital_Mensual!I70</f>
        <v/>
      </c>
      <c r="H70" s="29">
        <f>Intereses_Residual_Mensual!I70</f>
        <v/>
      </c>
      <c r="I70" s="29">
        <f>ROUND(E70 + H70, 2)</f>
        <v/>
      </c>
      <c r="J70" s="29">
        <f>Intereses_Leasing_Mensual!J70</f>
        <v/>
      </c>
      <c r="K70" s="29">
        <f>Amortizacion_Capital_Mensual!K70</f>
        <v/>
      </c>
      <c r="L70" s="29">
        <f>Saldos_Capital_Mensual!J70</f>
        <v/>
      </c>
      <c r="M70" s="29">
        <f>Intereses_Residual_Mensual!J70</f>
        <v/>
      </c>
      <c r="N70" s="29">
        <f>ROUND(J70 + M70, 2)</f>
        <v/>
      </c>
      <c r="O70" s="29">
        <f>Intereses_Leasing_Mensual!K70</f>
        <v/>
      </c>
      <c r="P70" s="29">
        <f>Amortizacion_Capital_Mensual!L70</f>
        <v/>
      </c>
      <c r="Q70" s="29">
        <f>Saldos_Capital_Mensual!K70</f>
        <v/>
      </c>
      <c r="R70" s="29">
        <f>Intereses_Residual_Mensual!K70</f>
        <v/>
      </c>
      <c r="S70" s="29">
        <f>ROUND(O70 + R70, 2)</f>
        <v/>
      </c>
      <c r="T70" s="29">
        <f>Intereses_Leasing_Mensual!L70</f>
        <v/>
      </c>
      <c r="U70" s="29">
        <f>Amortizacion_Capital_Mensual!M70</f>
        <v/>
      </c>
      <c r="V70" s="29">
        <f>Saldos_Capital_Mensual!L70</f>
        <v/>
      </c>
      <c r="W70" s="29">
        <f>Intereses_Residual_Mensual!L70</f>
        <v/>
      </c>
      <c r="X70" s="29">
        <f>ROUND(T70 + W70, 2)</f>
        <v/>
      </c>
      <c r="Y70" s="29">
        <f>Intereses_Leasing_Mensual!M70</f>
        <v/>
      </c>
      <c r="Z70" s="29">
        <f>Amortizacion_Capital_Mensual!N70</f>
        <v/>
      </c>
      <c r="AA70" s="29">
        <f>Saldos_Capital_Mensual!M70</f>
        <v/>
      </c>
      <c r="AB70" s="29">
        <f>Intereses_Residual_Mensual!M70</f>
        <v/>
      </c>
      <c r="AC70" s="29">
        <f>ROUND(Y70 + AB70, 2)</f>
        <v/>
      </c>
      <c r="AD70" s="29">
        <f>Intereses_Leasing_Mensual!N70</f>
        <v/>
      </c>
      <c r="AE70" s="29">
        <f>Amortizacion_Capital_Mensual!O70</f>
        <v/>
      </c>
      <c r="AF70" s="29">
        <f>Saldos_Capital_Mensual!N70</f>
        <v/>
      </c>
      <c r="AG70" s="29">
        <f>Intereses_Residual_Mensual!N70</f>
        <v/>
      </c>
      <c r="AH70" s="29">
        <f>ROUND(AD70 + AG70, 2)</f>
        <v/>
      </c>
      <c r="AI70" s="29">
        <f>Intereses_Leasing_Mensual!O70</f>
        <v/>
      </c>
      <c r="AJ70" s="29">
        <f>Amortizacion_Capital_Mensual!P70</f>
        <v/>
      </c>
      <c r="AK70" s="29">
        <f>Saldos_Capital_Mensual!O70</f>
        <v/>
      </c>
      <c r="AL70" s="29">
        <f>Intereses_Residual_Mensual!O70</f>
        <v/>
      </c>
      <c r="AM70" s="29">
        <f>ROUND(AI70 + AL70, 2)</f>
        <v/>
      </c>
      <c r="AN70" s="29">
        <f>Intereses_Leasing_Mensual!P70</f>
        <v/>
      </c>
      <c r="AO70" s="29">
        <f>Amortizacion_Capital_Mensual!Q70</f>
        <v/>
      </c>
      <c r="AP70" s="29">
        <f>Saldos_Capital_Mensual!P70</f>
        <v/>
      </c>
      <c r="AQ70" s="29">
        <f>Intereses_Residual_Mensual!P70</f>
        <v/>
      </c>
      <c r="AR70" s="29">
        <f>ROUND(AN70 + AQ70, 2)</f>
        <v/>
      </c>
      <c r="AS70" s="29">
        <f>Intereses_Leasing_Mensual!Q70</f>
        <v/>
      </c>
      <c r="AT70" s="29">
        <f>Amortizacion_Capital_Mensual!R70</f>
        <v/>
      </c>
      <c r="AU70" s="29">
        <f>Saldos_Capital_Mensual!Q70</f>
        <v/>
      </c>
      <c r="AV70" s="29">
        <f>Intereses_Residual_Mensual!Q70</f>
        <v/>
      </c>
      <c r="AW70" s="29">
        <f>ROUND(AS70 + AV70, 2)</f>
        <v/>
      </c>
      <c r="AX70" s="29">
        <f>Intereses_Leasing_Mensual!R70</f>
        <v/>
      </c>
      <c r="AY70" s="29">
        <f>Amortizacion_Capital_Mensual!S70</f>
        <v/>
      </c>
      <c r="AZ70" s="29">
        <f>Saldos_Capital_Mensual!R70</f>
        <v/>
      </c>
      <c r="BA70" s="29">
        <f>Intereses_Residual_Mensual!R70</f>
        <v/>
      </c>
      <c r="BB70" s="29">
        <f>ROUND(AX70 + BA70, 2)</f>
        <v/>
      </c>
      <c r="BC70" s="29">
        <f>Intereses_Leasing_Mensual!S70</f>
        <v/>
      </c>
      <c r="BD70" s="29">
        <f>Amortizacion_Capital_Mensual!T70</f>
        <v/>
      </c>
      <c r="BE70" s="29">
        <f>Saldos_Capital_Mensual!S70</f>
        <v/>
      </c>
      <c r="BF70" s="29">
        <f>Intereses_Residual_Mensual!S70</f>
        <v/>
      </c>
      <c r="BG70" s="29">
        <f>ROUND(BC70 + BF70, 2)</f>
        <v/>
      </c>
      <c r="BH70" s="29">
        <f>Intereses_Leasing_Mensual!T70</f>
        <v/>
      </c>
      <c r="BI70" s="29">
        <f>Amortizacion_Capital_Mensual!U70</f>
        <v/>
      </c>
      <c r="BJ70" s="29">
        <f>Saldos_Capital_Mensual!T70</f>
        <v/>
      </c>
      <c r="BK70" s="29">
        <f>Intereses_Residual_Mensual!T70</f>
        <v/>
      </c>
      <c r="BL70" s="29">
        <f>ROUND(BH70 + BK70, 2)</f>
        <v/>
      </c>
    </row>
    <row r="71">
      <c r="A71" s="20" t="inlineStr">
        <is>
          <t>0612-0003</t>
        </is>
      </c>
      <c r="B71" s="21" t="inlineStr">
        <is>
          <t>Distribuidora Lopez Moctezuma Sa de Cv</t>
        </is>
      </c>
      <c r="C71" s="21" t="inlineStr">
        <is>
          <t>Mitsubishi Xpander 2026</t>
        </is>
      </c>
      <c r="D71" s="22" t="n">
        <v>48</v>
      </c>
      <c r="E71" s="23">
        <f>Intereses_Leasing_Mensual!I71</f>
        <v/>
      </c>
      <c r="F71" s="23">
        <f>Amortizacion_Capital_Mensual!J71</f>
        <v/>
      </c>
      <c r="G71" s="23">
        <f>Saldos_Capital_Mensual!I71</f>
        <v/>
      </c>
      <c r="H71" s="23">
        <f>Intereses_Residual_Mensual!I71</f>
        <v/>
      </c>
      <c r="I71" s="23">
        <f>ROUND(E71 + H71, 2)</f>
        <v/>
      </c>
      <c r="J71" s="23">
        <f>Intereses_Leasing_Mensual!J71</f>
        <v/>
      </c>
      <c r="K71" s="23">
        <f>Amortizacion_Capital_Mensual!K71</f>
        <v/>
      </c>
      <c r="L71" s="23">
        <f>Saldos_Capital_Mensual!J71</f>
        <v/>
      </c>
      <c r="M71" s="23">
        <f>Intereses_Residual_Mensual!J71</f>
        <v/>
      </c>
      <c r="N71" s="23">
        <f>ROUND(J71 + M71, 2)</f>
        <v/>
      </c>
      <c r="O71" s="23">
        <f>Intereses_Leasing_Mensual!K71</f>
        <v/>
      </c>
      <c r="P71" s="23">
        <f>Amortizacion_Capital_Mensual!L71</f>
        <v/>
      </c>
      <c r="Q71" s="23">
        <f>Saldos_Capital_Mensual!K71</f>
        <v/>
      </c>
      <c r="R71" s="23">
        <f>Intereses_Residual_Mensual!K71</f>
        <v/>
      </c>
      <c r="S71" s="23">
        <f>ROUND(O71 + R71, 2)</f>
        <v/>
      </c>
      <c r="T71" s="23">
        <f>Intereses_Leasing_Mensual!L71</f>
        <v/>
      </c>
      <c r="U71" s="23">
        <f>Amortizacion_Capital_Mensual!M71</f>
        <v/>
      </c>
      <c r="V71" s="23">
        <f>Saldos_Capital_Mensual!L71</f>
        <v/>
      </c>
      <c r="W71" s="23">
        <f>Intereses_Residual_Mensual!L71</f>
        <v/>
      </c>
      <c r="X71" s="23">
        <f>ROUND(T71 + W71, 2)</f>
        <v/>
      </c>
      <c r="Y71" s="23">
        <f>Intereses_Leasing_Mensual!M71</f>
        <v/>
      </c>
      <c r="Z71" s="23">
        <f>Amortizacion_Capital_Mensual!N71</f>
        <v/>
      </c>
      <c r="AA71" s="23">
        <f>Saldos_Capital_Mensual!M71</f>
        <v/>
      </c>
      <c r="AB71" s="23">
        <f>Intereses_Residual_Mensual!M71</f>
        <v/>
      </c>
      <c r="AC71" s="23">
        <f>ROUND(Y71 + AB71, 2)</f>
        <v/>
      </c>
      <c r="AD71" s="23">
        <f>Intereses_Leasing_Mensual!N71</f>
        <v/>
      </c>
      <c r="AE71" s="23">
        <f>Amortizacion_Capital_Mensual!O71</f>
        <v/>
      </c>
      <c r="AF71" s="23">
        <f>Saldos_Capital_Mensual!N71</f>
        <v/>
      </c>
      <c r="AG71" s="23">
        <f>Intereses_Residual_Mensual!N71</f>
        <v/>
      </c>
      <c r="AH71" s="23">
        <f>ROUND(AD71 + AG71, 2)</f>
        <v/>
      </c>
      <c r="AI71" s="23">
        <f>Intereses_Leasing_Mensual!O71</f>
        <v/>
      </c>
      <c r="AJ71" s="23">
        <f>Amortizacion_Capital_Mensual!P71</f>
        <v/>
      </c>
      <c r="AK71" s="23">
        <f>Saldos_Capital_Mensual!O71</f>
        <v/>
      </c>
      <c r="AL71" s="23">
        <f>Intereses_Residual_Mensual!O71</f>
        <v/>
      </c>
      <c r="AM71" s="23">
        <f>ROUND(AI71 + AL71, 2)</f>
        <v/>
      </c>
      <c r="AN71" s="23">
        <f>Intereses_Leasing_Mensual!P71</f>
        <v/>
      </c>
      <c r="AO71" s="23">
        <f>Amortizacion_Capital_Mensual!Q71</f>
        <v/>
      </c>
      <c r="AP71" s="23">
        <f>Saldos_Capital_Mensual!P71</f>
        <v/>
      </c>
      <c r="AQ71" s="23">
        <f>Intereses_Residual_Mensual!P71</f>
        <v/>
      </c>
      <c r="AR71" s="23">
        <f>ROUND(AN71 + AQ71, 2)</f>
        <v/>
      </c>
      <c r="AS71" s="23">
        <f>Intereses_Leasing_Mensual!Q71</f>
        <v/>
      </c>
      <c r="AT71" s="23">
        <f>Amortizacion_Capital_Mensual!R71</f>
        <v/>
      </c>
      <c r="AU71" s="23">
        <f>Saldos_Capital_Mensual!Q71</f>
        <v/>
      </c>
      <c r="AV71" s="23">
        <f>Intereses_Residual_Mensual!Q71</f>
        <v/>
      </c>
      <c r="AW71" s="23">
        <f>ROUND(AS71 + AV71, 2)</f>
        <v/>
      </c>
      <c r="AX71" s="23">
        <f>Intereses_Leasing_Mensual!R71</f>
        <v/>
      </c>
      <c r="AY71" s="23">
        <f>Amortizacion_Capital_Mensual!S71</f>
        <v/>
      </c>
      <c r="AZ71" s="23">
        <f>Saldos_Capital_Mensual!R71</f>
        <v/>
      </c>
      <c r="BA71" s="23">
        <f>Intereses_Residual_Mensual!R71</f>
        <v/>
      </c>
      <c r="BB71" s="23">
        <f>ROUND(AX71 + BA71, 2)</f>
        <v/>
      </c>
      <c r="BC71" s="23">
        <f>Intereses_Leasing_Mensual!S71</f>
        <v/>
      </c>
      <c r="BD71" s="23">
        <f>Amortizacion_Capital_Mensual!T71</f>
        <v/>
      </c>
      <c r="BE71" s="23">
        <f>Saldos_Capital_Mensual!S71</f>
        <v/>
      </c>
      <c r="BF71" s="23">
        <f>Intereses_Residual_Mensual!S71</f>
        <v/>
      </c>
      <c r="BG71" s="23">
        <f>ROUND(BC71 + BF71, 2)</f>
        <v/>
      </c>
      <c r="BH71" s="23">
        <f>Intereses_Leasing_Mensual!T71</f>
        <v/>
      </c>
      <c r="BI71" s="23">
        <f>Amortizacion_Capital_Mensual!U71</f>
        <v/>
      </c>
      <c r="BJ71" s="23">
        <f>Saldos_Capital_Mensual!T71</f>
        <v/>
      </c>
      <c r="BK71" s="23">
        <f>Intereses_Residual_Mensual!T71</f>
        <v/>
      </c>
      <c r="BL71" s="23">
        <f>ROUND(BH71 + BK71, 2)</f>
        <v/>
      </c>
    </row>
    <row r="72">
      <c r="A72" s="26" t="inlineStr">
        <is>
          <t>0616-0002</t>
        </is>
      </c>
      <c r="B72" s="27" t="inlineStr">
        <is>
          <t>Commerce and Technology Connection Sas de Cv</t>
        </is>
      </c>
      <c r="C72" s="27" t="inlineStr">
        <is>
          <t>RAM 700 BIG HORN</t>
        </is>
      </c>
      <c r="D72" s="28" t="n">
        <v>36</v>
      </c>
      <c r="E72" s="29">
        <f>Intereses_Leasing_Mensual!I72</f>
        <v/>
      </c>
      <c r="F72" s="29">
        <f>Amortizacion_Capital_Mensual!J72</f>
        <v/>
      </c>
      <c r="G72" s="29">
        <f>Saldos_Capital_Mensual!I72</f>
        <v/>
      </c>
      <c r="H72" s="29">
        <f>Intereses_Residual_Mensual!I72</f>
        <v/>
      </c>
      <c r="I72" s="29">
        <f>ROUND(E72 + H72, 2)</f>
        <v/>
      </c>
      <c r="J72" s="29">
        <f>Intereses_Leasing_Mensual!J72</f>
        <v/>
      </c>
      <c r="K72" s="29">
        <f>Amortizacion_Capital_Mensual!K72</f>
        <v/>
      </c>
      <c r="L72" s="29">
        <f>Saldos_Capital_Mensual!J72</f>
        <v/>
      </c>
      <c r="M72" s="29">
        <f>Intereses_Residual_Mensual!J72</f>
        <v/>
      </c>
      <c r="N72" s="29">
        <f>ROUND(J72 + M72, 2)</f>
        <v/>
      </c>
      <c r="O72" s="29">
        <f>Intereses_Leasing_Mensual!K72</f>
        <v/>
      </c>
      <c r="P72" s="29">
        <f>Amortizacion_Capital_Mensual!L72</f>
        <v/>
      </c>
      <c r="Q72" s="29">
        <f>Saldos_Capital_Mensual!K72</f>
        <v/>
      </c>
      <c r="R72" s="29">
        <f>Intereses_Residual_Mensual!K72</f>
        <v/>
      </c>
      <c r="S72" s="29">
        <f>ROUND(O72 + R72, 2)</f>
        <v/>
      </c>
      <c r="T72" s="29">
        <f>Intereses_Leasing_Mensual!L72</f>
        <v/>
      </c>
      <c r="U72" s="29">
        <f>Amortizacion_Capital_Mensual!M72</f>
        <v/>
      </c>
      <c r="V72" s="29">
        <f>Saldos_Capital_Mensual!L72</f>
        <v/>
      </c>
      <c r="W72" s="29">
        <f>Intereses_Residual_Mensual!L72</f>
        <v/>
      </c>
      <c r="X72" s="29">
        <f>ROUND(T72 + W72, 2)</f>
        <v/>
      </c>
      <c r="Y72" s="29">
        <f>Intereses_Leasing_Mensual!M72</f>
        <v/>
      </c>
      <c r="Z72" s="29">
        <f>Amortizacion_Capital_Mensual!N72</f>
        <v/>
      </c>
      <c r="AA72" s="29">
        <f>Saldos_Capital_Mensual!M72</f>
        <v/>
      </c>
      <c r="AB72" s="29">
        <f>Intereses_Residual_Mensual!M72</f>
        <v/>
      </c>
      <c r="AC72" s="29">
        <f>ROUND(Y72 + AB72, 2)</f>
        <v/>
      </c>
      <c r="AD72" s="29">
        <f>Intereses_Leasing_Mensual!N72</f>
        <v/>
      </c>
      <c r="AE72" s="29">
        <f>Amortizacion_Capital_Mensual!O72</f>
        <v/>
      </c>
      <c r="AF72" s="29">
        <f>Saldos_Capital_Mensual!N72</f>
        <v/>
      </c>
      <c r="AG72" s="29">
        <f>Intereses_Residual_Mensual!N72</f>
        <v/>
      </c>
      <c r="AH72" s="29">
        <f>ROUND(AD72 + AG72, 2)</f>
        <v/>
      </c>
      <c r="AI72" s="29">
        <f>Intereses_Leasing_Mensual!O72</f>
        <v/>
      </c>
      <c r="AJ72" s="29">
        <f>Amortizacion_Capital_Mensual!P72</f>
        <v/>
      </c>
      <c r="AK72" s="29">
        <f>Saldos_Capital_Mensual!O72</f>
        <v/>
      </c>
      <c r="AL72" s="29">
        <f>Intereses_Residual_Mensual!O72</f>
        <v/>
      </c>
      <c r="AM72" s="29">
        <f>ROUND(AI72 + AL72, 2)</f>
        <v/>
      </c>
      <c r="AN72" s="29">
        <f>Intereses_Leasing_Mensual!P72</f>
        <v/>
      </c>
      <c r="AO72" s="29">
        <f>Amortizacion_Capital_Mensual!Q72</f>
        <v/>
      </c>
      <c r="AP72" s="29">
        <f>Saldos_Capital_Mensual!P72</f>
        <v/>
      </c>
      <c r="AQ72" s="29">
        <f>Intereses_Residual_Mensual!P72</f>
        <v/>
      </c>
      <c r="AR72" s="29">
        <f>ROUND(AN72 + AQ72, 2)</f>
        <v/>
      </c>
      <c r="AS72" s="29">
        <f>Intereses_Leasing_Mensual!Q72</f>
        <v/>
      </c>
      <c r="AT72" s="29">
        <f>Amortizacion_Capital_Mensual!R72</f>
        <v/>
      </c>
      <c r="AU72" s="29">
        <f>Saldos_Capital_Mensual!Q72</f>
        <v/>
      </c>
      <c r="AV72" s="29">
        <f>Intereses_Residual_Mensual!Q72</f>
        <v/>
      </c>
      <c r="AW72" s="29">
        <f>ROUND(AS72 + AV72, 2)</f>
        <v/>
      </c>
      <c r="AX72" s="29">
        <f>Intereses_Leasing_Mensual!R72</f>
        <v/>
      </c>
      <c r="AY72" s="29">
        <f>Amortizacion_Capital_Mensual!S72</f>
        <v/>
      </c>
      <c r="AZ72" s="29">
        <f>Saldos_Capital_Mensual!R72</f>
        <v/>
      </c>
      <c r="BA72" s="29">
        <f>Intereses_Residual_Mensual!R72</f>
        <v/>
      </c>
      <c r="BB72" s="29">
        <f>ROUND(AX72 + BA72, 2)</f>
        <v/>
      </c>
      <c r="BC72" s="29">
        <f>Intereses_Leasing_Mensual!S72</f>
        <v/>
      </c>
      <c r="BD72" s="29">
        <f>Amortizacion_Capital_Mensual!T72</f>
        <v/>
      </c>
      <c r="BE72" s="29">
        <f>Saldos_Capital_Mensual!S72</f>
        <v/>
      </c>
      <c r="BF72" s="29">
        <f>Intereses_Residual_Mensual!S72</f>
        <v/>
      </c>
      <c r="BG72" s="29">
        <f>ROUND(BC72 + BF72, 2)</f>
        <v/>
      </c>
      <c r="BH72" s="29">
        <f>Intereses_Leasing_Mensual!T72</f>
        <v/>
      </c>
      <c r="BI72" s="29">
        <f>Amortizacion_Capital_Mensual!U72</f>
        <v/>
      </c>
      <c r="BJ72" s="29">
        <f>Saldos_Capital_Mensual!T72</f>
        <v/>
      </c>
      <c r="BK72" s="29">
        <f>Intereses_Residual_Mensual!T72</f>
        <v/>
      </c>
      <c r="BL72" s="29">
        <f>ROUND(BH72 + BK72, 2)</f>
        <v/>
      </c>
    </row>
    <row r="73">
      <c r="A73" s="20" t="inlineStr">
        <is>
          <t>0616-0003</t>
        </is>
      </c>
      <c r="B73" s="21" t="inlineStr">
        <is>
          <t>Commerce and Technology Connection Sas de Cv</t>
        </is>
      </c>
      <c r="C73" s="21" t="inlineStr">
        <is>
          <t>FASTBACK</t>
        </is>
      </c>
      <c r="D73" s="22" t="n">
        <v>36</v>
      </c>
      <c r="E73" s="23">
        <f>Intereses_Leasing_Mensual!I73</f>
        <v/>
      </c>
      <c r="F73" s="23">
        <f>Amortizacion_Capital_Mensual!J73</f>
        <v/>
      </c>
      <c r="G73" s="23">
        <f>Saldos_Capital_Mensual!I73</f>
        <v/>
      </c>
      <c r="H73" s="23">
        <f>Intereses_Residual_Mensual!I73</f>
        <v/>
      </c>
      <c r="I73" s="23">
        <f>ROUND(E73 + H73, 2)</f>
        <v/>
      </c>
      <c r="J73" s="23">
        <f>Intereses_Leasing_Mensual!J73</f>
        <v/>
      </c>
      <c r="K73" s="23">
        <f>Amortizacion_Capital_Mensual!K73</f>
        <v/>
      </c>
      <c r="L73" s="23">
        <f>Saldos_Capital_Mensual!J73</f>
        <v/>
      </c>
      <c r="M73" s="23">
        <f>Intereses_Residual_Mensual!J73</f>
        <v/>
      </c>
      <c r="N73" s="23">
        <f>ROUND(J73 + M73, 2)</f>
        <v/>
      </c>
      <c r="O73" s="23">
        <f>Intereses_Leasing_Mensual!K73</f>
        <v/>
      </c>
      <c r="P73" s="23">
        <f>Amortizacion_Capital_Mensual!L73</f>
        <v/>
      </c>
      <c r="Q73" s="23">
        <f>Saldos_Capital_Mensual!K73</f>
        <v/>
      </c>
      <c r="R73" s="23">
        <f>Intereses_Residual_Mensual!K73</f>
        <v/>
      </c>
      <c r="S73" s="23">
        <f>ROUND(O73 + R73, 2)</f>
        <v/>
      </c>
      <c r="T73" s="23">
        <f>Intereses_Leasing_Mensual!L73</f>
        <v/>
      </c>
      <c r="U73" s="23">
        <f>Amortizacion_Capital_Mensual!M73</f>
        <v/>
      </c>
      <c r="V73" s="23">
        <f>Saldos_Capital_Mensual!L73</f>
        <v/>
      </c>
      <c r="W73" s="23">
        <f>Intereses_Residual_Mensual!L73</f>
        <v/>
      </c>
      <c r="X73" s="23">
        <f>ROUND(T73 + W73, 2)</f>
        <v/>
      </c>
      <c r="Y73" s="23">
        <f>Intereses_Leasing_Mensual!M73</f>
        <v/>
      </c>
      <c r="Z73" s="23">
        <f>Amortizacion_Capital_Mensual!N73</f>
        <v/>
      </c>
      <c r="AA73" s="23">
        <f>Saldos_Capital_Mensual!M73</f>
        <v/>
      </c>
      <c r="AB73" s="23">
        <f>Intereses_Residual_Mensual!M73</f>
        <v/>
      </c>
      <c r="AC73" s="23">
        <f>ROUND(Y73 + AB73, 2)</f>
        <v/>
      </c>
      <c r="AD73" s="23">
        <f>Intereses_Leasing_Mensual!N73</f>
        <v/>
      </c>
      <c r="AE73" s="23">
        <f>Amortizacion_Capital_Mensual!O73</f>
        <v/>
      </c>
      <c r="AF73" s="23">
        <f>Saldos_Capital_Mensual!N73</f>
        <v/>
      </c>
      <c r="AG73" s="23">
        <f>Intereses_Residual_Mensual!N73</f>
        <v/>
      </c>
      <c r="AH73" s="23">
        <f>ROUND(AD73 + AG73, 2)</f>
        <v/>
      </c>
      <c r="AI73" s="23">
        <f>Intereses_Leasing_Mensual!O73</f>
        <v/>
      </c>
      <c r="AJ73" s="23">
        <f>Amortizacion_Capital_Mensual!P73</f>
        <v/>
      </c>
      <c r="AK73" s="23">
        <f>Saldos_Capital_Mensual!O73</f>
        <v/>
      </c>
      <c r="AL73" s="23">
        <f>Intereses_Residual_Mensual!O73</f>
        <v/>
      </c>
      <c r="AM73" s="23">
        <f>ROUND(AI73 + AL73, 2)</f>
        <v/>
      </c>
      <c r="AN73" s="23">
        <f>Intereses_Leasing_Mensual!P73</f>
        <v/>
      </c>
      <c r="AO73" s="23">
        <f>Amortizacion_Capital_Mensual!Q73</f>
        <v/>
      </c>
      <c r="AP73" s="23">
        <f>Saldos_Capital_Mensual!P73</f>
        <v/>
      </c>
      <c r="AQ73" s="23">
        <f>Intereses_Residual_Mensual!P73</f>
        <v/>
      </c>
      <c r="AR73" s="23">
        <f>ROUND(AN73 + AQ73, 2)</f>
        <v/>
      </c>
      <c r="AS73" s="23">
        <f>Intereses_Leasing_Mensual!Q73</f>
        <v/>
      </c>
      <c r="AT73" s="23">
        <f>Amortizacion_Capital_Mensual!R73</f>
        <v/>
      </c>
      <c r="AU73" s="23">
        <f>Saldos_Capital_Mensual!Q73</f>
        <v/>
      </c>
      <c r="AV73" s="23">
        <f>Intereses_Residual_Mensual!Q73</f>
        <v/>
      </c>
      <c r="AW73" s="23">
        <f>ROUND(AS73 + AV73, 2)</f>
        <v/>
      </c>
      <c r="AX73" s="23">
        <f>Intereses_Leasing_Mensual!R73</f>
        <v/>
      </c>
      <c r="AY73" s="23">
        <f>Amortizacion_Capital_Mensual!S73</f>
        <v/>
      </c>
      <c r="AZ73" s="23">
        <f>Saldos_Capital_Mensual!R73</f>
        <v/>
      </c>
      <c r="BA73" s="23">
        <f>Intereses_Residual_Mensual!R73</f>
        <v/>
      </c>
      <c r="BB73" s="23">
        <f>ROUND(AX73 + BA73, 2)</f>
        <v/>
      </c>
      <c r="BC73" s="23">
        <f>Intereses_Leasing_Mensual!S73</f>
        <v/>
      </c>
      <c r="BD73" s="23">
        <f>Amortizacion_Capital_Mensual!T73</f>
        <v/>
      </c>
      <c r="BE73" s="23">
        <f>Saldos_Capital_Mensual!S73</f>
        <v/>
      </c>
      <c r="BF73" s="23">
        <f>Intereses_Residual_Mensual!S73</f>
        <v/>
      </c>
      <c r="BG73" s="23">
        <f>ROUND(BC73 + BF73, 2)</f>
        <v/>
      </c>
      <c r="BH73" s="23">
        <f>Intereses_Leasing_Mensual!T73</f>
        <v/>
      </c>
      <c r="BI73" s="23">
        <f>Amortizacion_Capital_Mensual!U73</f>
        <v/>
      </c>
      <c r="BJ73" s="23">
        <f>Saldos_Capital_Mensual!T73</f>
        <v/>
      </c>
      <c r="BK73" s="23">
        <f>Intereses_Residual_Mensual!T73</f>
        <v/>
      </c>
      <c r="BL73" s="23">
        <f>ROUND(BH73 + BK73, 2)</f>
        <v/>
      </c>
    </row>
    <row r="74">
      <c r="A74" s="26" t="inlineStr">
        <is>
          <t>0616-0004</t>
        </is>
      </c>
      <c r="B74" s="27" t="inlineStr">
        <is>
          <t>Commerce and Technology Connections Sas de Cv</t>
        </is>
      </c>
      <c r="C74" s="27" t="inlineStr">
        <is>
          <t>Argo</t>
        </is>
      </c>
      <c r="D74" s="28" t="n">
        <v>36</v>
      </c>
      <c r="E74" s="29">
        <f>Intereses_Leasing_Mensual!I74</f>
        <v/>
      </c>
      <c r="F74" s="29">
        <f>Amortizacion_Capital_Mensual!J74</f>
        <v/>
      </c>
      <c r="G74" s="29">
        <f>Saldos_Capital_Mensual!I74</f>
        <v/>
      </c>
      <c r="H74" s="29">
        <f>Intereses_Residual_Mensual!I74</f>
        <v/>
      </c>
      <c r="I74" s="29">
        <f>ROUND(E74 + H74, 2)</f>
        <v/>
      </c>
      <c r="J74" s="29">
        <f>Intereses_Leasing_Mensual!J74</f>
        <v/>
      </c>
      <c r="K74" s="29">
        <f>Amortizacion_Capital_Mensual!K74</f>
        <v/>
      </c>
      <c r="L74" s="29">
        <f>Saldos_Capital_Mensual!J74</f>
        <v/>
      </c>
      <c r="M74" s="29">
        <f>Intereses_Residual_Mensual!J74</f>
        <v/>
      </c>
      <c r="N74" s="29">
        <f>ROUND(J74 + M74, 2)</f>
        <v/>
      </c>
      <c r="O74" s="29">
        <f>Intereses_Leasing_Mensual!K74</f>
        <v/>
      </c>
      <c r="P74" s="29">
        <f>Amortizacion_Capital_Mensual!L74</f>
        <v/>
      </c>
      <c r="Q74" s="29">
        <f>Saldos_Capital_Mensual!K74</f>
        <v/>
      </c>
      <c r="R74" s="29">
        <f>Intereses_Residual_Mensual!K74</f>
        <v/>
      </c>
      <c r="S74" s="29">
        <f>ROUND(O74 + R74, 2)</f>
        <v/>
      </c>
      <c r="T74" s="29">
        <f>Intereses_Leasing_Mensual!L74</f>
        <v/>
      </c>
      <c r="U74" s="29">
        <f>Amortizacion_Capital_Mensual!M74</f>
        <v/>
      </c>
      <c r="V74" s="29">
        <f>Saldos_Capital_Mensual!L74</f>
        <v/>
      </c>
      <c r="W74" s="29">
        <f>Intereses_Residual_Mensual!L74</f>
        <v/>
      </c>
      <c r="X74" s="29">
        <f>ROUND(T74 + W74, 2)</f>
        <v/>
      </c>
      <c r="Y74" s="29">
        <f>Intereses_Leasing_Mensual!M74</f>
        <v/>
      </c>
      <c r="Z74" s="29">
        <f>Amortizacion_Capital_Mensual!N74</f>
        <v/>
      </c>
      <c r="AA74" s="29">
        <f>Saldos_Capital_Mensual!M74</f>
        <v/>
      </c>
      <c r="AB74" s="29">
        <f>Intereses_Residual_Mensual!M74</f>
        <v/>
      </c>
      <c r="AC74" s="29">
        <f>ROUND(Y74 + AB74, 2)</f>
        <v/>
      </c>
      <c r="AD74" s="29">
        <f>Intereses_Leasing_Mensual!N74</f>
        <v/>
      </c>
      <c r="AE74" s="29">
        <f>Amortizacion_Capital_Mensual!O74</f>
        <v/>
      </c>
      <c r="AF74" s="29">
        <f>Saldos_Capital_Mensual!N74</f>
        <v/>
      </c>
      <c r="AG74" s="29">
        <f>Intereses_Residual_Mensual!N74</f>
        <v/>
      </c>
      <c r="AH74" s="29">
        <f>ROUND(AD74 + AG74, 2)</f>
        <v/>
      </c>
      <c r="AI74" s="29">
        <f>Intereses_Leasing_Mensual!O74</f>
        <v/>
      </c>
      <c r="AJ74" s="29">
        <f>Amortizacion_Capital_Mensual!P74</f>
        <v/>
      </c>
      <c r="AK74" s="29">
        <f>Saldos_Capital_Mensual!O74</f>
        <v/>
      </c>
      <c r="AL74" s="29">
        <f>Intereses_Residual_Mensual!O74</f>
        <v/>
      </c>
      <c r="AM74" s="29">
        <f>ROUND(AI74 + AL74, 2)</f>
        <v/>
      </c>
      <c r="AN74" s="29">
        <f>Intereses_Leasing_Mensual!P74</f>
        <v/>
      </c>
      <c r="AO74" s="29">
        <f>Amortizacion_Capital_Mensual!Q74</f>
        <v/>
      </c>
      <c r="AP74" s="29">
        <f>Saldos_Capital_Mensual!P74</f>
        <v/>
      </c>
      <c r="AQ74" s="29">
        <f>Intereses_Residual_Mensual!P74</f>
        <v/>
      </c>
      <c r="AR74" s="29">
        <f>ROUND(AN74 + AQ74, 2)</f>
        <v/>
      </c>
      <c r="AS74" s="29">
        <f>Intereses_Leasing_Mensual!Q74</f>
        <v/>
      </c>
      <c r="AT74" s="29">
        <f>Amortizacion_Capital_Mensual!R74</f>
        <v/>
      </c>
      <c r="AU74" s="29">
        <f>Saldos_Capital_Mensual!Q74</f>
        <v/>
      </c>
      <c r="AV74" s="29">
        <f>Intereses_Residual_Mensual!Q74</f>
        <v/>
      </c>
      <c r="AW74" s="29">
        <f>ROUND(AS74 + AV74, 2)</f>
        <v/>
      </c>
      <c r="AX74" s="29">
        <f>Intereses_Leasing_Mensual!R74</f>
        <v/>
      </c>
      <c r="AY74" s="29">
        <f>Amortizacion_Capital_Mensual!S74</f>
        <v/>
      </c>
      <c r="AZ74" s="29">
        <f>Saldos_Capital_Mensual!R74</f>
        <v/>
      </c>
      <c r="BA74" s="29">
        <f>Intereses_Residual_Mensual!R74</f>
        <v/>
      </c>
      <c r="BB74" s="29">
        <f>ROUND(AX74 + BA74, 2)</f>
        <v/>
      </c>
      <c r="BC74" s="29">
        <f>Intereses_Leasing_Mensual!S74</f>
        <v/>
      </c>
      <c r="BD74" s="29">
        <f>Amortizacion_Capital_Mensual!T74</f>
        <v/>
      </c>
      <c r="BE74" s="29">
        <f>Saldos_Capital_Mensual!S74</f>
        <v/>
      </c>
      <c r="BF74" s="29">
        <f>Intereses_Residual_Mensual!S74</f>
        <v/>
      </c>
      <c r="BG74" s="29">
        <f>ROUND(BC74 + BF74, 2)</f>
        <v/>
      </c>
      <c r="BH74" s="29">
        <f>Intereses_Leasing_Mensual!T74</f>
        <v/>
      </c>
      <c r="BI74" s="29">
        <f>Amortizacion_Capital_Mensual!U74</f>
        <v/>
      </c>
      <c r="BJ74" s="29">
        <f>Saldos_Capital_Mensual!T74</f>
        <v/>
      </c>
      <c r="BK74" s="29">
        <f>Intereses_Residual_Mensual!T74</f>
        <v/>
      </c>
      <c r="BL74" s="29">
        <f>ROUND(BH74 + BK74, 2)</f>
        <v/>
      </c>
    </row>
    <row r="75">
      <c r="A75" s="20" t="inlineStr">
        <is>
          <t>0616-0005</t>
        </is>
      </c>
      <c r="B75" s="21" t="inlineStr">
        <is>
          <t>Commerce and Technology Connection Sas de Cv</t>
        </is>
      </c>
      <c r="C75" s="21" t="inlineStr">
        <is>
          <t>Journey GT</t>
        </is>
      </c>
      <c r="D75" s="22" t="n">
        <v>36</v>
      </c>
      <c r="E75" s="23">
        <f>Intereses_Leasing_Mensual!I75</f>
        <v/>
      </c>
      <c r="F75" s="23">
        <f>Amortizacion_Capital_Mensual!J75</f>
        <v/>
      </c>
      <c r="G75" s="23">
        <f>Saldos_Capital_Mensual!I75</f>
        <v/>
      </c>
      <c r="H75" s="23">
        <f>Intereses_Residual_Mensual!I75</f>
        <v/>
      </c>
      <c r="I75" s="23">
        <f>ROUND(E75 + H75, 2)</f>
        <v/>
      </c>
      <c r="J75" s="23">
        <f>Intereses_Leasing_Mensual!J75</f>
        <v/>
      </c>
      <c r="K75" s="23">
        <f>Amortizacion_Capital_Mensual!K75</f>
        <v/>
      </c>
      <c r="L75" s="23">
        <f>Saldos_Capital_Mensual!J75</f>
        <v/>
      </c>
      <c r="M75" s="23">
        <f>Intereses_Residual_Mensual!J75</f>
        <v/>
      </c>
      <c r="N75" s="23">
        <f>ROUND(J75 + M75, 2)</f>
        <v/>
      </c>
      <c r="O75" s="23">
        <f>Intereses_Leasing_Mensual!K75</f>
        <v/>
      </c>
      <c r="P75" s="23">
        <f>Amortizacion_Capital_Mensual!L75</f>
        <v/>
      </c>
      <c r="Q75" s="23">
        <f>Saldos_Capital_Mensual!K75</f>
        <v/>
      </c>
      <c r="R75" s="23">
        <f>Intereses_Residual_Mensual!K75</f>
        <v/>
      </c>
      <c r="S75" s="23">
        <f>ROUND(O75 + R75, 2)</f>
        <v/>
      </c>
      <c r="T75" s="23">
        <f>Intereses_Leasing_Mensual!L75</f>
        <v/>
      </c>
      <c r="U75" s="23">
        <f>Amortizacion_Capital_Mensual!M75</f>
        <v/>
      </c>
      <c r="V75" s="23">
        <f>Saldos_Capital_Mensual!L75</f>
        <v/>
      </c>
      <c r="W75" s="23">
        <f>Intereses_Residual_Mensual!L75</f>
        <v/>
      </c>
      <c r="X75" s="23">
        <f>ROUND(T75 + W75, 2)</f>
        <v/>
      </c>
      <c r="Y75" s="23">
        <f>Intereses_Leasing_Mensual!M75</f>
        <v/>
      </c>
      <c r="Z75" s="23">
        <f>Amortizacion_Capital_Mensual!N75</f>
        <v/>
      </c>
      <c r="AA75" s="23">
        <f>Saldos_Capital_Mensual!M75</f>
        <v/>
      </c>
      <c r="AB75" s="23">
        <f>Intereses_Residual_Mensual!M75</f>
        <v/>
      </c>
      <c r="AC75" s="23">
        <f>ROUND(Y75 + AB75, 2)</f>
        <v/>
      </c>
      <c r="AD75" s="23">
        <f>Intereses_Leasing_Mensual!N75</f>
        <v/>
      </c>
      <c r="AE75" s="23">
        <f>Amortizacion_Capital_Mensual!O75</f>
        <v/>
      </c>
      <c r="AF75" s="23">
        <f>Saldos_Capital_Mensual!N75</f>
        <v/>
      </c>
      <c r="AG75" s="23">
        <f>Intereses_Residual_Mensual!N75</f>
        <v/>
      </c>
      <c r="AH75" s="23">
        <f>ROUND(AD75 + AG75, 2)</f>
        <v/>
      </c>
      <c r="AI75" s="23">
        <f>Intereses_Leasing_Mensual!O75</f>
        <v/>
      </c>
      <c r="AJ75" s="23">
        <f>Amortizacion_Capital_Mensual!P75</f>
        <v/>
      </c>
      <c r="AK75" s="23">
        <f>Saldos_Capital_Mensual!O75</f>
        <v/>
      </c>
      <c r="AL75" s="23">
        <f>Intereses_Residual_Mensual!O75</f>
        <v/>
      </c>
      <c r="AM75" s="23">
        <f>ROUND(AI75 + AL75, 2)</f>
        <v/>
      </c>
      <c r="AN75" s="23">
        <f>Intereses_Leasing_Mensual!P75</f>
        <v/>
      </c>
      <c r="AO75" s="23">
        <f>Amortizacion_Capital_Mensual!Q75</f>
        <v/>
      </c>
      <c r="AP75" s="23">
        <f>Saldos_Capital_Mensual!P75</f>
        <v/>
      </c>
      <c r="AQ75" s="23">
        <f>Intereses_Residual_Mensual!P75</f>
        <v/>
      </c>
      <c r="AR75" s="23">
        <f>ROUND(AN75 + AQ75, 2)</f>
        <v/>
      </c>
      <c r="AS75" s="23">
        <f>Intereses_Leasing_Mensual!Q75</f>
        <v/>
      </c>
      <c r="AT75" s="23">
        <f>Amortizacion_Capital_Mensual!R75</f>
        <v/>
      </c>
      <c r="AU75" s="23">
        <f>Saldos_Capital_Mensual!Q75</f>
        <v/>
      </c>
      <c r="AV75" s="23">
        <f>Intereses_Residual_Mensual!Q75</f>
        <v/>
      </c>
      <c r="AW75" s="23">
        <f>ROUND(AS75 + AV75, 2)</f>
        <v/>
      </c>
      <c r="AX75" s="23">
        <f>Intereses_Leasing_Mensual!R75</f>
        <v/>
      </c>
      <c r="AY75" s="23">
        <f>Amortizacion_Capital_Mensual!S75</f>
        <v/>
      </c>
      <c r="AZ75" s="23">
        <f>Saldos_Capital_Mensual!R75</f>
        <v/>
      </c>
      <c r="BA75" s="23">
        <f>Intereses_Residual_Mensual!R75</f>
        <v/>
      </c>
      <c r="BB75" s="23">
        <f>ROUND(AX75 + BA75, 2)</f>
        <v/>
      </c>
      <c r="BC75" s="23">
        <f>Intereses_Leasing_Mensual!S75</f>
        <v/>
      </c>
      <c r="BD75" s="23">
        <f>Amortizacion_Capital_Mensual!T75</f>
        <v/>
      </c>
      <c r="BE75" s="23">
        <f>Saldos_Capital_Mensual!S75</f>
        <v/>
      </c>
      <c r="BF75" s="23">
        <f>Intereses_Residual_Mensual!S75</f>
        <v/>
      </c>
      <c r="BG75" s="23">
        <f>ROUND(BC75 + BF75, 2)</f>
        <v/>
      </c>
      <c r="BH75" s="23">
        <f>Intereses_Leasing_Mensual!T75</f>
        <v/>
      </c>
      <c r="BI75" s="23">
        <f>Amortizacion_Capital_Mensual!U75</f>
        <v/>
      </c>
      <c r="BJ75" s="23">
        <f>Saldos_Capital_Mensual!T75</f>
        <v/>
      </c>
      <c r="BK75" s="23">
        <f>Intereses_Residual_Mensual!T75</f>
        <v/>
      </c>
      <c r="BL75" s="23">
        <f>ROUND(BH75 + BK75, 2)</f>
        <v/>
      </c>
    </row>
    <row r="76">
      <c r="A76" s="26" t="inlineStr">
        <is>
          <t>0618-0001</t>
        </is>
      </c>
      <c r="B76" s="27" t="inlineStr">
        <is>
          <t>Juan Pablo Rodriguez Garcia</t>
        </is>
      </c>
      <c r="C76" s="27" t="inlineStr">
        <is>
          <t>JT MOJAVE</t>
        </is>
      </c>
      <c r="D76" s="28" t="n">
        <v>48</v>
      </c>
      <c r="E76" s="29">
        <f>Intereses_Leasing_Mensual!I76</f>
        <v/>
      </c>
      <c r="F76" s="29">
        <f>Amortizacion_Capital_Mensual!J76</f>
        <v/>
      </c>
      <c r="G76" s="29">
        <f>Saldos_Capital_Mensual!I76</f>
        <v/>
      </c>
      <c r="H76" s="29">
        <f>Intereses_Residual_Mensual!I76</f>
        <v/>
      </c>
      <c r="I76" s="29">
        <f>ROUND(E76 + H76, 2)</f>
        <v/>
      </c>
      <c r="J76" s="29">
        <f>Intereses_Leasing_Mensual!J76</f>
        <v/>
      </c>
      <c r="K76" s="29">
        <f>Amortizacion_Capital_Mensual!K76</f>
        <v/>
      </c>
      <c r="L76" s="29">
        <f>Saldos_Capital_Mensual!J76</f>
        <v/>
      </c>
      <c r="M76" s="29">
        <f>Intereses_Residual_Mensual!J76</f>
        <v/>
      </c>
      <c r="N76" s="29">
        <f>ROUND(J76 + M76, 2)</f>
        <v/>
      </c>
      <c r="O76" s="29">
        <f>Intereses_Leasing_Mensual!K76</f>
        <v/>
      </c>
      <c r="P76" s="29">
        <f>Amortizacion_Capital_Mensual!L76</f>
        <v/>
      </c>
      <c r="Q76" s="29">
        <f>Saldos_Capital_Mensual!K76</f>
        <v/>
      </c>
      <c r="R76" s="29">
        <f>Intereses_Residual_Mensual!K76</f>
        <v/>
      </c>
      <c r="S76" s="29">
        <f>ROUND(O76 + R76, 2)</f>
        <v/>
      </c>
      <c r="T76" s="29">
        <f>Intereses_Leasing_Mensual!L76</f>
        <v/>
      </c>
      <c r="U76" s="29">
        <f>Amortizacion_Capital_Mensual!M76</f>
        <v/>
      </c>
      <c r="V76" s="29">
        <f>Saldos_Capital_Mensual!L76</f>
        <v/>
      </c>
      <c r="W76" s="29">
        <f>Intereses_Residual_Mensual!L76</f>
        <v/>
      </c>
      <c r="X76" s="29">
        <f>ROUND(T76 + W76, 2)</f>
        <v/>
      </c>
      <c r="Y76" s="29">
        <f>Intereses_Leasing_Mensual!M76</f>
        <v/>
      </c>
      <c r="Z76" s="29">
        <f>Amortizacion_Capital_Mensual!N76</f>
        <v/>
      </c>
      <c r="AA76" s="29">
        <f>Saldos_Capital_Mensual!M76</f>
        <v/>
      </c>
      <c r="AB76" s="29">
        <f>Intereses_Residual_Mensual!M76</f>
        <v/>
      </c>
      <c r="AC76" s="29">
        <f>ROUND(Y76 + AB76, 2)</f>
        <v/>
      </c>
      <c r="AD76" s="29">
        <f>Intereses_Leasing_Mensual!N76</f>
        <v/>
      </c>
      <c r="AE76" s="29">
        <f>Amortizacion_Capital_Mensual!O76</f>
        <v/>
      </c>
      <c r="AF76" s="29">
        <f>Saldos_Capital_Mensual!N76</f>
        <v/>
      </c>
      <c r="AG76" s="29">
        <f>Intereses_Residual_Mensual!N76</f>
        <v/>
      </c>
      <c r="AH76" s="29">
        <f>ROUND(AD76 + AG76, 2)</f>
        <v/>
      </c>
      <c r="AI76" s="29">
        <f>Intereses_Leasing_Mensual!O76</f>
        <v/>
      </c>
      <c r="AJ76" s="29">
        <f>Amortizacion_Capital_Mensual!P76</f>
        <v/>
      </c>
      <c r="AK76" s="29">
        <f>Saldos_Capital_Mensual!O76</f>
        <v/>
      </c>
      <c r="AL76" s="29">
        <f>Intereses_Residual_Mensual!O76</f>
        <v/>
      </c>
      <c r="AM76" s="29">
        <f>ROUND(AI76 + AL76, 2)</f>
        <v/>
      </c>
      <c r="AN76" s="29">
        <f>Intereses_Leasing_Mensual!P76</f>
        <v/>
      </c>
      <c r="AO76" s="29">
        <f>Amortizacion_Capital_Mensual!Q76</f>
        <v/>
      </c>
      <c r="AP76" s="29">
        <f>Saldos_Capital_Mensual!P76</f>
        <v/>
      </c>
      <c r="AQ76" s="29">
        <f>Intereses_Residual_Mensual!P76</f>
        <v/>
      </c>
      <c r="AR76" s="29">
        <f>ROUND(AN76 + AQ76, 2)</f>
        <v/>
      </c>
      <c r="AS76" s="29">
        <f>Intereses_Leasing_Mensual!Q76</f>
        <v/>
      </c>
      <c r="AT76" s="29">
        <f>Amortizacion_Capital_Mensual!R76</f>
        <v/>
      </c>
      <c r="AU76" s="29">
        <f>Saldos_Capital_Mensual!Q76</f>
        <v/>
      </c>
      <c r="AV76" s="29">
        <f>Intereses_Residual_Mensual!Q76</f>
        <v/>
      </c>
      <c r="AW76" s="29">
        <f>ROUND(AS76 + AV76, 2)</f>
        <v/>
      </c>
      <c r="AX76" s="29">
        <f>Intereses_Leasing_Mensual!R76</f>
        <v/>
      </c>
      <c r="AY76" s="29">
        <f>Amortizacion_Capital_Mensual!S76</f>
        <v/>
      </c>
      <c r="AZ76" s="29">
        <f>Saldos_Capital_Mensual!R76</f>
        <v/>
      </c>
      <c r="BA76" s="29">
        <f>Intereses_Residual_Mensual!R76</f>
        <v/>
      </c>
      <c r="BB76" s="29">
        <f>ROUND(AX76 + BA76, 2)</f>
        <v/>
      </c>
      <c r="BC76" s="29">
        <f>Intereses_Leasing_Mensual!S76</f>
        <v/>
      </c>
      <c r="BD76" s="29">
        <f>Amortizacion_Capital_Mensual!T76</f>
        <v/>
      </c>
      <c r="BE76" s="29">
        <f>Saldos_Capital_Mensual!S76</f>
        <v/>
      </c>
      <c r="BF76" s="29">
        <f>Intereses_Residual_Mensual!S76</f>
        <v/>
      </c>
      <c r="BG76" s="29">
        <f>ROUND(BC76 + BF76, 2)</f>
        <v/>
      </c>
      <c r="BH76" s="29">
        <f>Intereses_Leasing_Mensual!T76</f>
        <v/>
      </c>
      <c r="BI76" s="29">
        <f>Amortizacion_Capital_Mensual!U76</f>
        <v/>
      </c>
      <c r="BJ76" s="29">
        <f>Saldos_Capital_Mensual!T76</f>
        <v/>
      </c>
      <c r="BK76" s="29">
        <f>Intereses_Residual_Mensual!T76</f>
        <v/>
      </c>
      <c r="BL76" s="29">
        <f>ROUND(BH76 + BK76, 2)</f>
        <v/>
      </c>
    </row>
    <row r="77">
      <c r="A77" s="20" t="inlineStr">
        <is>
          <t>0619-0002</t>
        </is>
      </c>
      <c r="B77" s="21" t="inlineStr">
        <is>
          <t>Horacio de la Vega Flores</t>
        </is>
      </c>
      <c r="C77" s="21" t="inlineStr">
        <is>
          <t>Bronco Sport</t>
        </is>
      </c>
      <c r="D77" s="22" t="n">
        <v>36</v>
      </c>
      <c r="E77" s="23">
        <f>Intereses_Leasing_Mensual!I77</f>
        <v/>
      </c>
      <c r="F77" s="23">
        <f>Amortizacion_Capital_Mensual!J77</f>
        <v/>
      </c>
      <c r="G77" s="23">
        <f>Saldos_Capital_Mensual!I77</f>
        <v/>
      </c>
      <c r="H77" s="23">
        <f>Intereses_Residual_Mensual!I77</f>
        <v/>
      </c>
      <c r="I77" s="23">
        <f>ROUND(E77 + H77, 2)</f>
        <v/>
      </c>
      <c r="J77" s="23">
        <f>Intereses_Leasing_Mensual!J77</f>
        <v/>
      </c>
      <c r="K77" s="23">
        <f>Amortizacion_Capital_Mensual!K77</f>
        <v/>
      </c>
      <c r="L77" s="23">
        <f>Saldos_Capital_Mensual!J77</f>
        <v/>
      </c>
      <c r="M77" s="23">
        <f>Intereses_Residual_Mensual!J77</f>
        <v/>
      </c>
      <c r="N77" s="23">
        <f>ROUND(J77 + M77, 2)</f>
        <v/>
      </c>
      <c r="O77" s="23">
        <f>Intereses_Leasing_Mensual!K77</f>
        <v/>
      </c>
      <c r="P77" s="23">
        <f>Amortizacion_Capital_Mensual!L77</f>
        <v/>
      </c>
      <c r="Q77" s="23">
        <f>Saldos_Capital_Mensual!K77</f>
        <v/>
      </c>
      <c r="R77" s="23">
        <f>Intereses_Residual_Mensual!K77</f>
        <v/>
      </c>
      <c r="S77" s="23">
        <f>ROUND(O77 + R77, 2)</f>
        <v/>
      </c>
      <c r="T77" s="23">
        <f>Intereses_Leasing_Mensual!L77</f>
        <v/>
      </c>
      <c r="U77" s="23">
        <f>Amortizacion_Capital_Mensual!M77</f>
        <v/>
      </c>
      <c r="V77" s="23">
        <f>Saldos_Capital_Mensual!L77</f>
        <v/>
      </c>
      <c r="W77" s="23">
        <f>Intereses_Residual_Mensual!L77</f>
        <v/>
      </c>
      <c r="X77" s="23">
        <f>ROUND(T77 + W77, 2)</f>
        <v/>
      </c>
      <c r="Y77" s="23">
        <f>Intereses_Leasing_Mensual!M77</f>
        <v/>
      </c>
      <c r="Z77" s="23">
        <f>Amortizacion_Capital_Mensual!N77</f>
        <v/>
      </c>
      <c r="AA77" s="23">
        <f>Saldos_Capital_Mensual!M77</f>
        <v/>
      </c>
      <c r="AB77" s="23">
        <f>Intereses_Residual_Mensual!M77</f>
        <v/>
      </c>
      <c r="AC77" s="23">
        <f>ROUND(Y77 + AB77, 2)</f>
        <v/>
      </c>
      <c r="AD77" s="23">
        <f>Intereses_Leasing_Mensual!N77</f>
        <v/>
      </c>
      <c r="AE77" s="23">
        <f>Amortizacion_Capital_Mensual!O77</f>
        <v/>
      </c>
      <c r="AF77" s="23">
        <f>Saldos_Capital_Mensual!N77</f>
        <v/>
      </c>
      <c r="AG77" s="23">
        <f>Intereses_Residual_Mensual!N77</f>
        <v/>
      </c>
      <c r="AH77" s="23">
        <f>ROUND(AD77 + AG77, 2)</f>
        <v/>
      </c>
      <c r="AI77" s="23">
        <f>Intereses_Leasing_Mensual!O77</f>
        <v/>
      </c>
      <c r="AJ77" s="23">
        <f>Amortizacion_Capital_Mensual!P77</f>
        <v/>
      </c>
      <c r="AK77" s="23">
        <f>Saldos_Capital_Mensual!O77</f>
        <v/>
      </c>
      <c r="AL77" s="23">
        <f>Intereses_Residual_Mensual!O77</f>
        <v/>
      </c>
      <c r="AM77" s="23">
        <f>ROUND(AI77 + AL77, 2)</f>
        <v/>
      </c>
      <c r="AN77" s="23">
        <f>Intereses_Leasing_Mensual!P77</f>
        <v/>
      </c>
      <c r="AO77" s="23">
        <f>Amortizacion_Capital_Mensual!Q77</f>
        <v/>
      </c>
      <c r="AP77" s="23">
        <f>Saldos_Capital_Mensual!P77</f>
        <v/>
      </c>
      <c r="AQ77" s="23">
        <f>Intereses_Residual_Mensual!P77</f>
        <v/>
      </c>
      <c r="AR77" s="23">
        <f>ROUND(AN77 + AQ77, 2)</f>
        <v/>
      </c>
      <c r="AS77" s="23">
        <f>Intereses_Leasing_Mensual!Q77</f>
        <v/>
      </c>
      <c r="AT77" s="23">
        <f>Amortizacion_Capital_Mensual!R77</f>
        <v/>
      </c>
      <c r="AU77" s="23">
        <f>Saldos_Capital_Mensual!Q77</f>
        <v/>
      </c>
      <c r="AV77" s="23">
        <f>Intereses_Residual_Mensual!Q77</f>
        <v/>
      </c>
      <c r="AW77" s="23">
        <f>ROUND(AS77 + AV77, 2)</f>
        <v/>
      </c>
      <c r="AX77" s="23">
        <f>Intereses_Leasing_Mensual!R77</f>
        <v/>
      </c>
      <c r="AY77" s="23">
        <f>Amortizacion_Capital_Mensual!S77</f>
        <v/>
      </c>
      <c r="AZ77" s="23">
        <f>Saldos_Capital_Mensual!R77</f>
        <v/>
      </c>
      <c r="BA77" s="23">
        <f>Intereses_Residual_Mensual!R77</f>
        <v/>
      </c>
      <c r="BB77" s="23">
        <f>ROUND(AX77 + BA77, 2)</f>
        <v/>
      </c>
      <c r="BC77" s="23">
        <f>Intereses_Leasing_Mensual!S77</f>
        <v/>
      </c>
      <c r="BD77" s="23">
        <f>Amortizacion_Capital_Mensual!T77</f>
        <v/>
      </c>
      <c r="BE77" s="23">
        <f>Saldos_Capital_Mensual!S77</f>
        <v/>
      </c>
      <c r="BF77" s="23">
        <f>Intereses_Residual_Mensual!S77</f>
        <v/>
      </c>
      <c r="BG77" s="23">
        <f>ROUND(BC77 + BF77, 2)</f>
        <v/>
      </c>
      <c r="BH77" s="23">
        <f>Intereses_Leasing_Mensual!T77</f>
        <v/>
      </c>
      <c r="BI77" s="23">
        <f>Amortizacion_Capital_Mensual!U77</f>
        <v/>
      </c>
      <c r="BJ77" s="23">
        <f>Saldos_Capital_Mensual!T77</f>
        <v/>
      </c>
      <c r="BK77" s="23">
        <f>Intereses_Residual_Mensual!T77</f>
        <v/>
      </c>
      <c r="BL77" s="23">
        <f>ROUND(BH77 + BK77, 2)</f>
        <v/>
      </c>
    </row>
    <row r="78">
      <c r="A78" s="26" t="inlineStr">
        <is>
          <t>0620-0001</t>
        </is>
      </c>
      <c r="B78" s="27" t="inlineStr">
        <is>
          <t>Desarrollos Romo Srl de Cv</t>
        </is>
      </c>
      <c r="C78" s="27" t="inlineStr">
        <is>
          <t>RAM 700 BIG HORN</t>
        </is>
      </c>
      <c r="D78" s="28" t="n">
        <v>48</v>
      </c>
      <c r="E78" s="29">
        <f>Intereses_Leasing_Mensual!I78</f>
        <v/>
      </c>
      <c r="F78" s="29">
        <f>Amortizacion_Capital_Mensual!J78</f>
        <v/>
      </c>
      <c r="G78" s="29">
        <f>Saldos_Capital_Mensual!I78</f>
        <v/>
      </c>
      <c r="H78" s="29">
        <f>Intereses_Residual_Mensual!I78</f>
        <v/>
      </c>
      <c r="I78" s="29">
        <f>ROUND(E78 + H78, 2)</f>
        <v/>
      </c>
      <c r="J78" s="29">
        <f>Intereses_Leasing_Mensual!J78</f>
        <v/>
      </c>
      <c r="K78" s="29">
        <f>Amortizacion_Capital_Mensual!K78</f>
        <v/>
      </c>
      <c r="L78" s="29">
        <f>Saldos_Capital_Mensual!J78</f>
        <v/>
      </c>
      <c r="M78" s="29">
        <f>Intereses_Residual_Mensual!J78</f>
        <v/>
      </c>
      <c r="N78" s="29">
        <f>ROUND(J78 + M78, 2)</f>
        <v/>
      </c>
      <c r="O78" s="29">
        <f>Intereses_Leasing_Mensual!K78</f>
        <v/>
      </c>
      <c r="P78" s="29">
        <f>Amortizacion_Capital_Mensual!L78</f>
        <v/>
      </c>
      <c r="Q78" s="29">
        <f>Saldos_Capital_Mensual!K78</f>
        <v/>
      </c>
      <c r="R78" s="29">
        <f>Intereses_Residual_Mensual!K78</f>
        <v/>
      </c>
      <c r="S78" s="29">
        <f>ROUND(O78 + R78, 2)</f>
        <v/>
      </c>
      <c r="T78" s="29">
        <f>Intereses_Leasing_Mensual!L78</f>
        <v/>
      </c>
      <c r="U78" s="29">
        <f>Amortizacion_Capital_Mensual!M78</f>
        <v/>
      </c>
      <c r="V78" s="29">
        <f>Saldos_Capital_Mensual!L78</f>
        <v/>
      </c>
      <c r="W78" s="29">
        <f>Intereses_Residual_Mensual!L78</f>
        <v/>
      </c>
      <c r="X78" s="29">
        <f>ROUND(T78 + W78, 2)</f>
        <v/>
      </c>
      <c r="Y78" s="29">
        <f>Intereses_Leasing_Mensual!M78</f>
        <v/>
      </c>
      <c r="Z78" s="29">
        <f>Amortizacion_Capital_Mensual!N78</f>
        <v/>
      </c>
      <c r="AA78" s="29">
        <f>Saldos_Capital_Mensual!M78</f>
        <v/>
      </c>
      <c r="AB78" s="29">
        <f>Intereses_Residual_Mensual!M78</f>
        <v/>
      </c>
      <c r="AC78" s="29">
        <f>ROUND(Y78 + AB78, 2)</f>
        <v/>
      </c>
      <c r="AD78" s="29">
        <f>Intereses_Leasing_Mensual!N78</f>
        <v/>
      </c>
      <c r="AE78" s="29">
        <f>Amortizacion_Capital_Mensual!O78</f>
        <v/>
      </c>
      <c r="AF78" s="29">
        <f>Saldos_Capital_Mensual!N78</f>
        <v/>
      </c>
      <c r="AG78" s="29">
        <f>Intereses_Residual_Mensual!N78</f>
        <v/>
      </c>
      <c r="AH78" s="29">
        <f>ROUND(AD78 + AG78, 2)</f>
        <v/>
      </c>
      <c r="AI78" s="29">
        <f>Intereses_Leasing_Mensual!O78</f>
        <v/>
      </c>
      <c r="AJ78" s="29">
        <f>Amortizacion_Capital_Mensual!P78</f>
        <v/>
      </c>
      <c r="AK78" s="29">
        <f>Saldos_Capital_Mensual!O78</f>
        <v/>
      </c>
      <c r="AL78" s="29">
        <f>Intereses_Residual_Mensual!O78</f>
        <v/>
      </c>
      <c r="AM78" s="29">
        <f>ROUND(AI78 + AL78, 2)</f>
        <v/>
      </c>
      <c r="AN78" s="29">
        <f>Intereses_Leasing_Mensual!P78</f>
        <v/>
      </c>
      <c r="AO78" s="29">
        <f>Amortizacion_Capital_Mensual!Q78</f>
        <v/>
      </c>
      <c r="AP78" s="29">
        <f>Saldos_Capital_Mensual!P78</f>
        <v/>
      </c>
      <c r="AQ78" s="29">
        <f>Intereses_Residual_Mensual!P78</f>
        <v/>
      </c>
      <c r="AR78" s="29">
        <f>ROUND(AN78 + AQ78, 2)</f>
        <v/>
      </c>
      <c r="AS78" s="29">
        <f>Intereses_Leasing_Mensual!Q78</f>
        <v/>
      </c>
      <c r="AT78" s="29">
        <f>Amortizacion_Capital_Mensual!R78</f>
        <v/>
      </c>
      <c r="AU78" s="29">
        <f>Saldos_Capital_Mensual!Q78</f>
        <v/>
      </c>
      <c r="AV78" s="29">
        <f>Intereses_Residual_Mensual!Q78</f>
        <v/>
      </c>
      <c r="AW78" s="29">
        <f>ROUND(AS78 + AV78, 2)</f>
        <v/>
      </c>
      <c r="AX78" s="29">
        <f>Intereses_Leasing_Mensual!R78</f>
        <v/>
      </c>
      <c r="AY78" s="29">
        <f>Amortizacion_Capital_Mensual!S78</f>
        <v/>
      </c>
      <c r="AZ78" s="29">
        <f>Saldos_Capital_Mensual!R78</f>
        <v/>
      </c>
      <c r="BA78" s="29">
        <f>Intereses_Residual_Mensual!R78</f>
        <v/>
      </c>
      <c r="BB78" s="29">
        <f>ROUND(AX78 + BA78, 2)</f>
        <v/>
      </c>
      <c r="BC78" s="29">
        <f>Intereses_Leasing_Mensual!S78</f>
        <v/>
      </c>
      <c r="BD78" s="29">
        <f>Amortizacion_Capital_Mensual!T78</f>
        <v/>
      </c>
      <c r="BE78" s="29">
        <f>Saldos_Capital_Mensual!S78</f>
        <v/>
      </c>
      <c r="BF78" s="29">
        <f>Intereses_Residual_Mensual!S78</f>
        <v/>
      </c>
      <c r="BG78" s="29">
        <f>ROUND(BC78 + BF78, 2)</f>
        <v/>
      </c>
      <c r="BH78" s="29">
        <f>Intereses_Leasing_Mensual!T78</f>
        <v/>
      </c>
      <c r="BI78" s="29">
        <f>Amortizacion_Capital_Mensual!U78</f>
        <v/>
      </c>
      <c r="BJ78" s="29">
        <f>Saldos_Capital_Mensual!T78</f>
        <v/>
      </c>
      <c r="BK78" s="29">
        <f>Intereses_Residual_Mensual!T78</f>
        <v/>
      </c>
      <c r="BL78" s="29">
        <f>ROUND(BH78 + BK78, 2)</f>
        <v/>
      </c>
    </row>
    <row r="79">
      <c r="A79" s="20" t="inlineStr">
        <is>
          <t>0620-0002</t>
        </is>
      </c>
      <c r="B79" s="21" t="inlineStr">
        <is>
          <t>Desarrollos Romo Srl de Cv</t>
        </is>
      </c>
      <c r="C79" s="21" t="inlineStr">
        <is>
          <t>RAM 700 BIG HORN</t>
        </is>
      </c>
      <c r="D79" s="22" t="n">
        <v>48</v>
      </c>
      <c r="E79" s="23">
        <f>Intereses_Leasing_Mensual!I79</f>
        <v/>
      </c>
      <c r="F79" s="23">
        <f>Amortizacion_Capital_Mensual!J79</f>
        <v/>
      </c>
      <c r="G79" s="23">
        <f>Saldos_Capital_Mensual!I79</f>
        <v/>
      </c>
      <c r="H79" s="23">
        <f>Intereses_Residual_Mensual!I79</f>
        <v/>
      </c>
      <c r="I79" s="23">
        <f>ROUND(E79 + H79, 2)</f>
        <v/>
      </c>
      <c r="J79" s="23">
        <f>Intereses_Leasing_Mensual!J79</f>
        <v/>
      </c>
      <c r="K79" s="23">
        <f>Amortizacion_Capital_Mensual!K79</f>
        <v/>
      </c>
      <c r="L79" s="23">
        <f>Saldos_Capital_Mensual!J79</f>
        <v/>
      </c>
      <c r="M79" s="23">
        <f>Intereses_Residual_Mensual!J79</f>
        <v/>
      </c>
      <c r="N79" s="23">
        <f>ROUND(J79 + M79, 2)</f>
        <v/>
      </c>
      <c r="O79" s="23">
        <f>Intereses_Leasing_Mensual!K79</f>
        <v/>
      </c>
      <c r="P79" s="23">
        <f>Amortizacion_Capital_Mensual!L79</f>
        <v/>
      </c>
      <c r="Q79" s="23">
        <f>Saldos_Capital_Mensual!K79</f>
        <v/>
      </c>
      <c r="R79" s="23">
        <f>Intereses_Residual_Mensual!K79</f>
        <v/>
      </c>
      <c r="S79" s="23">
        <f>ROUND(O79 + R79, 2)</f>
        <v/>
      </c>
      <c r="T79" s="23">
        <f>Intereses_Leasing_Mensual!L79</f>
        <v/>
      </c>
      <c r="U79" s="23">
        <f>Amortizacion_Capital_Mensual!M79</f>
        <v/>
      </c>
      <c r="V79" s="23">
        <f>Saldos_Capital_Mensual!L79</f>
        <v/>
      </c>
      <c r="W79" s="23">
        <f>Intereses_Residual_Mensual!L79</f>
        <v/>
      </c>
      <c r="X79" s="23">
        <f>ROUND(T79 + W79, 2)</f>
        <v/>
      </c>
      <c r="Y79" s="23">
        <f>Intereses_Leasing_Mensual!M79</f>
        <v/>
      </c>
      <c r="Z79" s="23">
        <f>Amortizacion_Capital_Mensual!N79</f>
        <v/>
      </c>
      <c r="AA79" s="23">
        <f>Saldos_Capital_Mensual!M79</f>
        <v/>
      </c>
      <c r="AB79" s="23">
        <f>Intereses_Residual_Mensual!M79</f>
        <v/>
      </c>
      <c r="AC79" s="23">
        <f>ROUND(Y79 + AB79, 2)</f>
        <v/>
      </c>
      <c r="AD79" s="23">
        <f>Intereses_Leasing_Mensual!N79</f>
        <v/>
      </c>
      <c r="AE79" s="23">
        <f>Amortizacion_Capital_Mensual!O79</f>
        <v/>
      </c>
      <c r="AF79" s="23">
        <f>Saldos_Capital_Mensual!N79</f>
        <v/>
      </c>
      <c r="AG79" s="23">
        <f>Intereses_Residual_Mensual!N79</f>
        <v/>
      </c>
      <c r="AH79" s="23">
        <f>ROUND(AD79 + AG79, 2)</f>
        <v/>
      </c>
      <c r="AI79" s="23">
        <f>Intereses_Leasing_Mensual!O79</f>
        <v/>
      </c>
      <c r="AJ79" s="23">
        <f>Amortizacion_Capital_Mensual!P79</f>
        <v/>
      </c>
      <c r="AK79" s="23">
        <f>Saldos_Capital_Mensual!O79</f>
        <v/>
      </c>
      <c r="AL79" s="23">
        <f>Intereses_Residual_Mensual!O79</f>
        <v/>
      </c>
      <c r="AM79" s="23">
        <f>ROUND(AI79 + AL79, 2)</f>
        <v/>
      </c>
      <c r="AN79" s="23">
        <f>Intereses_Leasing_Mensual!P79</f>
        <v/>
      </c>
      <c r="AO79" s="23">
        <f>Amortizacion_Capital_Mensual!Q79</f>
        <v/>
      </c>
      <c r="AP79" s="23">
        <f>Saldos_Capital_Mensual!P79</f>
        <v/>
      </c>
      <c r="AQ79" s="23">
        <f>Intereses_Residual_Mensual!P79</f>
        <v/>
      </c>
      <c r="AR79" s="23">
        <f>ROUND(AN79 + AQ79, 2)</f>
        <v/>
      </c>
      <c r="AS79" s="23">
        <f>Intereses_Leasing_Mensual!Q79</f>
        <v/>
      </c>
      <c r="AT79" s="23">
        <f>Amortizacion_Capital_Mensual!R79</f>
        <v/>
      </c>
      <c r="AU79" s="23">
        <f>Saldos_Capital_Mensual!Q79</f>
        <v/>
      </c>
      <c r="AV79" s="23">
        <f>Intereses_Residual_Mensual!Q79</f>
        <v/>
      </c>
      <c r="AW79" s="23">
        <f>ROUND(AS79 + AV79, 2)</f>
        <v/>
      </c>
      <c r="AX79" s="23">
        <f>Intereses_Leasing_Mensual!R79</f>
        <v/>
      </c>
      <c r="AY79" s="23">
        <f>Amortizacion_Capital_Mensual!S79</f>
        <v/>
      </c>
      <c r="AZ79" s="23">
        <f>Saldos_Capital_Mensual!R79</f>
        <v/>
      </c>
      <c r="BA79" s="23">
        <f>Intereses_Residual_Mensual!R79</f>
        <v/>
      </c>
      <c r="BB79" s="23">
        <f>ROUND(AX79 + BA79, 2)</f>
        <v/>
      </c>
      <c r="BC79" s="23">
        <f>Intereses_Leasing_Mensual!S79</f>
        <v/>
      </c>
      <c r="BD79" s="23">
        <f>Amortizacion_Capital_Mensual!T79</f>
        <v/>
      </c>
      <c r="BE79" s="23">
        <f>Saldos_Capital_Mensual!S79</f>
        <v/>
      </c>
      <c r="BF79" s="23">
        <f>Intereses_Residual_Mensual!S79</f>
        <v/>
      </c>
      <c r="BG79" s="23">
        <f>ROUND(BC79 + BF79, 2)</f>
        <v/>
      </c>
      <c r="BH79" s="23">
        <f>Intereses_Leasing_Mensual!T79</f>
        <v/>
      </c>
      <c r="BI79" s="23">
        <f>Amortizacion_Capital_Mensual!U79</f>
        <v/>
      </c>
      <c r="BJ79" s="23">
        <f>Saldos_Capital_Mensual!T79</f>
        <v/>
      </c>
      <c r="BK79" s="23">
        <f>Intereses_Residual_Mensual!T79</f>
        <v/>
      </c>
      <c r="BL79" s="23">
        <f>ROUND(BH79 + BK79, 2)</f>
        <v/>
      </c>
    </row>
    <row r="80">
      <c r="A80" s="26" t="inlineStr">
        <is>
          <t>0621-0008</t>
        </is>
      </c>
      <c r="B80" s="27" t="inlineStr">
        <is>
          <t>Luis Alberto Ponce Ruiz</t>
        </is>
      </c>
      <c r="C80" s="27" t="inlineStr">
        <is>
          <t>Hilux</t>
        </is>
      </c>
      <c r="D80" s="28" t="n">
        <v>12</v>
      </c>
      <c r="E80" s="29">
        <f>Intereses_Leasing_Mensual!I80</f>
        <v/>
      </c>
      <c r="F80" s="29">
        <f>Amortizacion_Capital_Mensual!J80</f>
        <v/>
      </c>
      <c r="G80" s="29">
        <f>Saldos_Capital_Mensual!I80</f>
        <v/>
      </c>
      <c r="H80" s="29">
        <f>Intereses_Residual_Mensual!I80</f>
        <v/>
      </c>
      <c r="I80" s="29">
        <f>ROUND(E80 + H80, 2)</f>
        <v/>
      </c>
      <c r="J80" s="29">
        <f>Intereses_Leasing_Mensual!J80</f>
        <v/>
      </c>
      <c r="K80" s="29">
        <f>Amortizacion_Capital_Mensual!K80</f>
        <v/>
      </c>
      <c r="L80" s="29">
        <f>Saldos_Capital_Mensual!J80</f>
        <v/>
      </c>
      <c r="M80" s="29">
        <f>Intereses_Residual_Mensual!J80</f>
        <v/>
      </c>
      <c r="N80" s="29">
        <f>ROUND(J80 + M80, 2)</f>
        <v/>
      </c>
      <c r="O80" s="29">
        <f>Intereses_Leasing_Mensual!K80</f>
        <v/>
      </c>
      <c r="P80" s="29">
        <f>Amortizacion_Capital_Mensual!L80</f>
        <v/>
      </c>
      <c r="Q80" s="29">
        <f>Saldos_Capital_Mensual!K80</f>
        <v/>
      </c>
      <c r="R80" s="29">
        <f>Intereses_Residual_Mensual!K80</f>
        <v/>
      </c>
      <c r="S80" s="29">
        <f>ROUND(O80 + R80, 2)</f>
        <v/>
      </c>
      <c r="T80" s="29">
        <f>Intereses_Leasing_Mensual!L80</f>
        <v/>
      </c>
      <c r="U80" s="29">
        <f>Amortizacion_Capital_Mensual!M80</f>
        <v/>
      </c>
      <c r="V80" s="29">
        <f>Saldos_Capital_Mensual!L80</f>
        <v/>
      </c>
      <c r="W80" s="29">
        <f>Intereses_Residual_Mensual!L80</f>
        <v/>
      </c>
      <c r="X80" s="29">
        <f>ROUND(T80 + W80, 2)</f>
        <v/>
      </c>
      <c r="Y80" s="29">
        <f>Intereses_Leasing_Mensual!M80</f>
        <v/>
      </c>
      <c r="Z80" s="29">
        <f>Amortizacion_Capital_Mensual!N80</f>
        <v/>
      </c>
      <c r="AA80" s="29">
        <f>Saldos_Capital_Mensual!M80</f>
        <v/>
      </c>
      <c r="AB80" s="29">
        <f>Intereses_Residual_Mensual!M80</f>
        <v/>
      </c>
      <c r="AC80" s="29">
        <f>ROUND(Y80 + AB80, 2)</f>
        <v/>
      </c>
      <c r="AD80" s="29">
        <f>Intereses_Leasing_Mensual!N80</f>
        <v/>
      </c>
      <c r="AE80" s="29">
        <f>Amortizacion_Capital_Mensual!O80</f>
        <v/>
      </c>
      <c r="AF80" s="29">
        <f>Saldos_Capital_Mensual!N80</f>
        <v/>
      </c>
      <c r="AG80" s="29">
        <f>Intereses_Residual_Mensual!N80</f>
        <v/>
      </c>
      <c r="AH80" s="29">
        <f>ROUND(AD80 + AG80, 2)</f>
        <v/>
      </c>
      <c r="AI80" s="29">
        <f>Intereses_Leasing_Mensual!O80</f>
        <v/>
      </c>
      <c r="AJ80" s="29">
        <f>Amortizacion_Capital_Mensual!P80</f>
        <v/>
      </c>
      <c r="AK80" s="29">
        <f>Saldos_Capital_Mensual!O80</f>
        <v/>
      </c>
      <c r="AL80" s="29">
        <f>Intereses_Residual_Mensual!O80</f>
        <v/>
      </c>
      <c r="AM80" s="29">
        <f>ROUND(AI80 + AL80, 2)</f>
        <v/>
      </c>
      <c r="AN80" s="29">
        <f>Intereses_Leasing_Mensual!P80</f>
        <v/>
      </c>
      <c r="AO80" s="29">
        <f>Amortizacion_Capital_Mensual!Q80</f>
        <v/>
      </c>
      <c r="AP80" s="29">
        <f>Saldos_Capital_Mensual!P80</f>
        <v/>
      </c>
      <c r="AQ80" s="29">
        <f>Intereses_Residual_Mensual!P80</f>
        <v/>
      </c>
      <c r="AR80" s="29">
        <f>ROUND(AN80 + AQ80, 2)</f>
        <v/>
      </c>
      <c r="AS80" s="29">
        <f>Intereses_Leasing_Mensual!Q80</f>
        <v/>
      </c>
      <c r="AT80" s="29">
        <f>Amortizacion_Capital_Mensual!R80</f>
        <v/>
      </c>
      <c r="AU80" s="29">
        <f>Saldos_Capital_Mensual!Q80</f>
        <v/>
      </c>
      <c r="AV80" s="29">
        <f>Intereses_Residual_Mensual!Q80</f>
        <v/>
      </c>
      <c r="AW80" s="29">
        <f>ROUND(AS80 + AV80, 2)</f>
        <v/>
      </c>
      <c r="AX80" s="29">
        <f>Intereses_Leasing_Mensual!R80</f>
        <v/>
      </c>
      <c r="AY80" s="29">
        <f>Amortizacion_Capital_Mensual!S80</f>
        <v/>
      </c>
      <c r="AZ80" s="29">
        <f>Saldos_Capital_Mensual!R80</f>
        <v/>
      </c>
      <c r="BA80" s="29">
        <f>Intereses_Residual_Mensual!R80</f>
        <v/>
      </c>
      <c r="BB80" s="29">
        <f>ROUND(AX80 + BA80, 2)</f>
        <v/>
      </c>
      <c r="BC80" s="29">
        <f>Intereses_Leasing_Mensual!S80</f>
        <v/>
      </c>
      <c r="BD80" s="29">
        <f>Amortizacion_Capital_Mensual!T80</f>
        <v/>
      </c>
      <c r="BE80" s="29">
        <f>Saldos_Capital_Mensual!S80</f>
        <v/>
      </c>
      <c r="BF80" s="29">
        <f>Intereses_Residual_Mensual!S80</f>
        <v/>
      </c>
      <c r="BG80" s="29">
        <f>ROUND(BC80 + BF80, 2)</f>
        <v/>
      </c>
      <c r="BH80" s="29">
        <f>Intereses_Leasing_Mensual!T80</f>
        <v/>
      </c>
      <c r="BI80" s="29">
        <f>Amortizacion_Capital_Mensual!U80</f>
        <v/>
      </c>
      <c r="BJ80" s="29">
        <f>Saldos_Capital_Mensual!T80</f>
        <v/>
      </c>
      <c r="BK80" s="29">
        <f>Intereses_Residual_Mensual!T80</f>
        <v/>
      </c>
      <c r="BL80" s="29">
        <f>ROUND(BH80 + BK80, 2)</f>
        <v/>
      </c>
    </row>
    <row r="81">
      <c r="A81" s="20" t="inlineStr">
        <is>
          <t>0623-0001</t>
        </is>
      </c>
      <c r="B81" s="21" t="inlineStr">
        <is>
          <t>Seguridad y Automatismos Profesionales de Occidente S de SRL de Cv</t>
        </is>
      </c>
      <c r="C81" s="21" t="inlineStr">
        <is>
          <t>RAM 700 BIG HORN</t>
        </is>
      </c>
      <c r="D81" s="22" t="n">
        <v>48</v>
      </c>
      <c r="E81" s="23">
        <f>Intereses_Leasing_Mensual!I81</f>
        <v/>
      </c>
      <c r="F81" s="23">
        <f>Amortizacion_Capital_Mensual!J81</f>
        <v/>
      </c>
      <c r="G81" s="23">
        <f>Saldos_Capital_Mensual!I81</f>
        <v/>
      </c>
      <c r="H81" s="23">
        <f>Intereses_Residual_Mensual!I81</f>
        <v/>
      </c>
      <c r="I81" s="23">
        <f>ROUND(E81 + H81, 2)</f>
        <v/>
      </c>
      <c r="J81" s="23">
        <f>Intereses_Leasing_Mensual!J81</f>
        <v/>
      </c>
      <c r="K81" s="23">
        <f>Amortizacion_Capital_Mensual!K81</f>
        <v/>
      </c>
      <c r="L81" s="23">
        <f>Saldos_Capital_Mensual!J81</f>
        <v/>
      </c>
      <c r="M81" s="23">
        <f>Intereses_Residual_Mensual!J81</f>
        <v/>
      </c>
      <c r="N81" s="23">
        <f>ROUND(J81 + M81, 2)</f>
        <v/>
      </c>
      <c r="O81" s="23">
        <f>Intereses_Leasing_Mensual!K81</f>
        <v/>
      </c>
      <c r="P81" s="23">
        <f>Amortizacion_Capital_Mensual!L81</f>
        <v/>
      </c>
      <c r="Q81" s="23">
        <f>Saldos_Capital_Mensual!K81</f>
        <v/>
      </c>
      <c r="R81" s="23">
        <f>Intereses_Residual_Mensual!K81</f>
        <v/>
      </c>
      <c r="S81" s="23">
        <f>ROUND(O81 + R81, 2)</f>
        <v/>
      </c>
      <c r="T81" s="23">
        <f>Intereses_Leasing_Mensual!L81</f>
        <v/>
      </c>
      <c r="U81" s="23">
        <f>Amortizacion_Capital_Mensual!M81</f>
        <v/>
      </c>
      <c r="V81" s="23">
        <f>Saldos_Capital_Mensual!L81</f>
        <v/>
      </c>
      <c r="W81" s="23">
        <f>Intereses_Residual_Mensual!L81</f>
        <v/>
      </c>
      <c r="X81" s="23">
        <f>ROUND(T81 + W81, 2)</f>
        <v/>
      </c>
      <c r="Y81" s="23">
        <f>Intereses_Leasing_Mensual!M81</f>
        <v/>
      </c>
      <c r="Z81" s="23">
        <f>Amortizacion_Capital_Mensual!N81</f>
        <v/>
      </c>
      <c r="AA81" s="23">
        <f>Saldos_Capital_Mensual!M81</f>
        <v/>
      </c>
      <c r="AB81" s="23">
        <f>Intereses_Residual_Mensual!M81</f>
        <v/>
      </c>
      <c r="AC81" s="23">
        <f>ROUND(Y81 + AB81, 2)</f>
        <v/>
      </c>
      <c r="AD81" s="23">
        <f>Intereses_Leasing_Mensual!N81</f>
        <v/>
      </c>
      <c r="AE81" s="23">
        <f>Amortizacion_Capital_Mensual!O81</f>
        <v/>
      </c>
      <c r="AF81" s="23">
        <f>Saldos_Capital_Mensual!N81</f>
        <v/>
      </c>
      <c r="AG81" s="23">
        <f>Intereses_Residual_Mensual!N81</f>
        <v/>
      </c>
      <c r="AH81" s="23">
        <f>ROUND(AD81 + AG81, 2)</f>
        <v/>
      </c>
      <c r="AI81" s="23">
        <f>Intereses_Leasing_Mensual!O81</f>
        <v/>
      </c>
      <c r="AJ81" s="23">
        <f>Amortizacion_Capital_Mensual!P81</f>
        <v/>
      </c>
      <c r="AK81" s="23">
        <f>Saldos_Capital_Mensual!O81</f>
        <v/>
      </c>
      <c r="AL81" s="23">
        <f>Intereses_Residual_Mensual!O81</f>
        <v/>
      </c>
      <c r="AM81" s="23">
        <f>ROUND(AI81 + AL81, 2)</f>
        <v/>
      </c>
      <c r="AN81" s="23">
        <f>Intereses_Leasing_Mensual!P81</f>
        <v/>
      </c>
      <c r="AO81" s="23">
        <f>Amortizacion_Capital_Mensual!Q81</f>
        <v/>
      </c>
      <c r="AP81" s="23">
        <f>Saldos_Capital_Mensual!P81</f>
        <v/>
      </c>
      <c r="AQ81" s="23">
        <f>Intereses_Residual_Mensual!P81</f>
        <v/>
      </c>
      <c r="AR81" s="23">
        <f>ROUND(AN81 + AQ81, 2)</f>
        <v/>
      </c>
      <c r="AS81" s="23">
        <f>Intereses_Leasing_Mensual!Q81</f>
        <v/>
      </c>
      <c r="AT81" s="23">
        <f>Amortizacion_Capital_Mensual!R81</f>
        <v/>
      </c>
      <c r="AU81" s="23">
        <f>Saldos_Capital_Mensual!Q81</f>
        <v/>
      </c>
      <c r="AV81" s="23">
        <f>Intereses_Residual_Mensual!Q81</f>
        <v/>
      </c>
      <c r="AW81" s="23">
        <f>ROUND(AS81 + AV81, 2)</f>
        <v/>
      </c>
      <c r="AX81" s="23">
        <f>Intereses_Leasing_Mensual!R81</f>
        <v/>
      </c>
      <c r="AY81" s="23">
        <f>Amortizacion_Capital_Mensual!S81</f>
        <v/>
      </c>
      <c r="AZ81" s="23">
        <f>Saldos_Capital_Mensual!R81</f>
        <v/>
      </c>
      <c r="BA81" s="23">
        <f>Intereses_Residual_Mensual!R81</f>
        <v/>
      </c>
      <c r="BB81" s="23">
        <f>ROUND(AX81 + BA81, 2)</f>
        <v/>
      </c>
      <c r="BC81" s="23">
        <f>Intereses_Leasing_Mensual!S81</f>
        <v/>
      </c>
      <c r="BD81" s="23">
        <f>Amortizacion_Capital_Mensual!T81</f>
        <v/>
      </c>
      <c r="BE81" s="23">
        <f>Saldos_Capital_Mensual!S81</f>
        <v/>
      </c>
      <c r="BF81" s="23">
        <f>Intereses_Residual_Mensual!S81</f>
        <v/>
      </c>
      <c r="BG81" s="23">
        <f>ROUND(BC81 + BF81, 2)</f>
        <v/>
      </c>
      <c r="BH81" s="23">
        <f>Intereses_Leasing_Mensual!T81</f>
        <v/>
      </c>
      <c r="BI81" s="23">
        <f>Amortizacion_Capital_Mensual!U81</f>
        <v/>
      </c>
      <c r="BJ81" s="23">
        <f>Saldos_Capital_Mensual!T81</f>
        <v/>
      </c>
      <c r="BK81" s="23">
        <f>Intereses_Residual_Mensual!T81</f>
        <v/>
      </c>
      <c r="BL81" s="23">
        <f>ROUND(BH81 + BK81, 2)</f>
        <v/>
      </c>
    </row>
    <row r="82">
      <c r="A82" s="26" t="inlineStr">
        <is>
          <t>0626-0001</t>
        </is>
      </c>
      <c r="B82" s="27" t="inlineStr">
        <is>
          <t>Hugo Ceja Moreno</t>
        </is>
      </c>
      <c r="C82" s="27" t="inlineStr">
        <is>
          <t>JT MOJAVE</t>
        </is>
      </c>
      <c r="D82" s="28" t="n">
        <v>48</v>
      </c>
      <c r="E82" s="29">
        <f>Intereses_Leasing_Mensual!I82</f>
        <v/>
      </c>
      <c r="F82" s="29">
        <f>Amortizacion_Capital_Mensual!J82</f>
        <v/>
      </c>
      <c r="G82" s="29">
        <f>Saldos_Capital_Mensual!I82</f>
        <v/>
      </c>
      <c r="H82" s="29">
        <f>Intereses_Residual_Mensual!I82</f>
        <v/>
      </c>
      <c r="I82" s="29">
        <f>ROUND(E82 + H82, 2)</f>
        <v/>
      </c>
      <c r="J82" s="29">
        <f>Intereses_Leasing_Mensual!J82</f>
        <v/>
      </c>
      <c r="K82" s="29">
        <f>Amortizacion_Capital_Mensual!K82</f>
        <v/>
      </c>
      <c r="L82" s="29">
        <f>Saldos_Capital_Mensual!J82</f>
        <v/>
      </c>
      <c r="M82" s="29">
        <f>Intereses_Residual_Mensual!J82</f>
        <v/>
      </c>
      <c r="N82" s="29">
        <f>ROUND(J82 + M82, 2)</f>
        <v/>
      </c>
      <c r="O82" s="29">
        <f>Intereses_Leasing_Mensual!K82</f>
        <v/>
      </c>
      <c r="P82" s="29">
        <f>Amortizacion_Capital_Mensual!L82</f>
        <v/>
      </c>
      <c r="Q82" s="29">
        <f>Saldos_Capital_Mensual!K82</f>
        <v/>
      </c>
      <c r="R82" s="29">
        <f>Intereses_Residual_Mensual!K82</f>
        <v/>
      </c>
      <c r="S82" s="29">
        <f>ROUND(O82 + R82, 2)</f>
        <v/>
      </c>
      <c r="T82" s="29">
        <f>Intereses_Leasing_Mensual!L82</f>
        <v/>
      </c>
      <c r="U82" s="29">
        <f>Amortizacion_Capital_Mensual!M82</f>
        <v/>
      </c>
      <c r="V82" s="29">
        <f>Saldos_Capital_Mensual!L82</f>
        <v/>
      </c>
      <c r="W82" s="29">
        <f>Intereses_Residual_Mensual!L82</f>
        <v/>
      </c>
      <c r="X82" s="29">
        <f>ROUND(T82 + W82, 2)</f>
        <v/>
      </c>
      <c r="Y82" s="29">
        <f>Intereses_Leasing_Mensual!M82</f>
        <v/>
      </c>
      <c r="Z82" s="29">
        <f>Amortizacion_Capital_Mensual!N82</f>
        <v/>
      </c>
      <c r="AA82" s="29">
        <f>Saldos_Capital_Mensual!M82</f>
        <v/>
      </c>
      <c r="AB82" s="29">
        <f>Intereses_Residual_Mensual!M82</f>
        <v/>
      </c>
      <c r="AC82" s="29">
        <f>ROUND(Y82 + AB82, 2)</f>
        <v/>
      </c>
      <c r="AD82" s="29">
        <f>Intereses_Leasing_Mensual!N82</f>
        <v/>
      </c>
      <c r="AE82" s="29">
        <f>Amortizacion_Capital_Mensual!O82</f>
        <v/>
      </c>
      <c r="AF82" s="29">
        <f>Saldos_Capital_Mensual!N82</f>
        <v/>
      </c>
      <c r="AG82" s="29">
        <f>Intereses_Residual_Mensual!N82</f>
        <v/>
      </c>
      <c r="AH82" s="29">
        <f>ROUND(AD82 + AG82, 2)</f>
        <v/>
      </c>
      <c r="AI82" s="29">
        <f>Intereses_Leasing_Mensual!O82</f>
        <v/>
      </c>
      <c r="AJ82" s="29">
        <f>Amortizacion_Capital_Mensual!P82</f>
        <v/>
      </c>
      <c r="AK82" s="29">
        <f>Saldos_Capital_Mensual!O82</f>
        <v/>
      </c>
      <c r="AL82" s="29">
        <f>Intereses_Residual_Mensual!O82</f>
        <v/>
      </c>
      <c r="AM82" s="29">
        <f>ROUND(AI82 + AL82, 2)</f>
        <v/>
      </c>
      <c r="AN82" s="29">
        <f>Intereses_Leasing_Mensual!P82</f>
        <v/>
      </c>
      <c r="AO82" s="29">
        <f>Amortizacion_Capital_Mensual!Q82</f>
        <v/>
      </c>
      <c r="AP82" s="29">
        <f>Saldos_Capital_Mensual!P82</f>
        <v/>
      </c>
      <c r="AQ82" s="29">
        <f>Intereses_Residual_Mensual!P82</f>
        <v/>
      </c>
      <c r="AR82" s="29">
        <f>ROUND(AN82 + AQ82, 2)</f>
        <v/>
      </c>
      <c r="AS82" s="29">
        <f>Intereses_Leasing_Mensual!Q82</f>
        <v/>
      </c>
      <c r="AT82" s="29">
        <f>Amortizacion_Capital_Mensual!R82</f>
        <v/>
      </c>
      <c r="AU82" s="29">
        <f>Saldos_Capital_Mensual!Q82</f>
        <v/>
      </c>
      <c r="AV82" s="29">
        <f>Intereses_Residual_Mensual!Q82</f>
        <v/>
      </c>
      <c r="AW82" s="29">
        <f>ROUND(AS82 + AV82, 2)</f>
        <v/>
      </c>
      <c r="AX82" s="29">
        <f>Intereses_Leasing_Mensual!R82</f>
        <v/>
      </c>
      <c r="AY82" s="29">
        <f>Amortizacion_Capital_Mensual!S82</f>
        <v/>
      </c>
      <c r="AZ82" s="29">
        <f>Saldos_Capital_Mensual!R82</f>
        <v/>
      </c>
      <c r="BA82" s="29">
        <f>Intereses_Residual_Mensual!R82</f>
        <v/>
      </c>
      <c r="BB82" s="29">
        <f>ROUND(AX82 + BA82, 2)</f>
        <v/>
      </c>
      <c r="BC82" s="29">
        <f>Intereses_Leasing_Mensual!S82</f>
        <v/>
      </c>
      <c r="BD82" s="29">
        <f>Amortizacion_Capital_Mensual!T82</f>
        <v/>
      </c>
      <c r="BE82" s="29">
        <f>Saldos_Capital_Mensual!S82</f>
        <v/>
      </c>
      <c r="BF82" s="29">
        <f>Intereses_Residual_Mensual!S82</f>
        <v/>
      </c>
      <c r="BG82" s="29">
        <f>ROUND(BC82 + BF82, 2)</f>
        <v/>
      </c>
      <c r="BH82" s="29">
        <f>Intereses_Leasing_Mensual!T82</f>
        <v/>
      </c>
      <c r="BI82" s="29">
        <f>Amortizacion_Capital_Mensual!U82</f>
        <v/>
      </c>
      <c r="BJ82" s="29">
        <f>Saldos_Capital_Mensual!T82</f>
        <v/>
      </c>
      <c r="BK82" s="29">
        <f>Intereses_Residual_Mensual!T82</f>
        <v/>
      </c>
      <c r="BL82" s="29">
        <f>ROUND(BH82 + BK82, 2)</f>
        <v/>
      </c>
    </row>
    <row r="83">
      <c r="A83" s="20" t="inlineStr">
        <is>
          <t>0632-0004</t>
        </is>
      </c>
      <c r="B83" s="21" t="inlineStr">
        <is>
          <t>Art &amp; Sourcing Sa de Cv</t>
        </is>
      </c>
      <c r="C83" s="21" t="inlineStr">
        <is>
          <t>Ram 700 Tradesman</t>
        </is>
      </c>
      <c r="D83" s="22" t="n">
        <v>48</v>
      </c>
      <c r="E83" s="23">
        <f>Intereses_Leasing_Mensual!I83</f>
        <v/>
      </c>
      <c r="F83" s="23">
        <f>Amortizacion_Capital_Mensual!J83</f>
        <v/>
      </c>
      <c r="G83" s="23">
        <f>Saldos_Capital_Mensual!I83</f>
        <v/>
      </c>
      <c r="H83" s="23">
        <f>Intereses_Residual_Mensual!I83</f>
        <v/>
      </c>
      <c r="I83" s="23">
        <f>ROUND(E83 + H83, 2)</f>
        <v/>
      </c>
      <c r="J83" s="23">
        <f>Intereses_Leasing_Mensual!J83</f>
        <v/>
      </c>
      <c r="K83" s="23">
        <f>Amortizacion_Capital_Mensual!K83</f>
        <v/>
      </c>
      <c r="L83" s="23">
        <f>Saldos_Capital_Mensual!J83</f>
        <v/>
      </c>
      <c r="M83" s="23">
        <f>Intereses_Residual_Mensual!J83</f>
        <v/>
      </c>
      <c r="N83" s="23">
        <f>ROUND(J83 + M83, 2)</f>
        <v/>
      </c>
      <c r="O83" s="23">
        <f>Intereses_Leasing_Mensual!K83</f>
        <v/>
      </c>
      <c r="P83" s="23">
        <f>Amortizacion_Capital_Mensual!L83</f>
        <v/>
      </c>
      <c r="Q83" s="23">
        <f>Saldos_Capital_Mensual!K83</f>
        <v/>
      </c>
      <c r="R83" s="23">
        <f>Intereses_Residual_Mensual!K83</f>
        <v/>
      </c>
      <c r="S83" s="23">
        <f>ROUND(O83 + R83, 2)</f>
        <v/>
      </c>
      <c r="T83" s="23">
        <f>Intereses_Leasing_Mensual!L83</f>
        <v/>
      </c>
      <c r="U83" s="23">
        <f>Amortizacion_Capital_Mensual!M83</f>
        <v/>
      </c>
      <c r="V83" s="23">
        <f>Saldos_Capital_Mensual!L83</f>
        <v/>
      </c>
      <c r="W83" s="23">
        <f>Intereses_Residual_Mensual!L83</f>
        <v/>
      </c>
      <c r="X83" s="23">
        <f>ROUND(T83 + W83, 2)</f>
        <v/>
      </c>
      <c r="Y83" s="23">
        <f>Intereses_Leasing_Mensual!M83</f>
        <v/>
      </c>
      <c r="Z83" s="23">
        <f>Amortizacion_Capital_Mensual!N83</f>
        <v/>
      </c>
      <c r="AA83" s="23">
        <f>Saldos_Capital_Mensual!M83</f>
        <v/>
      </c>
      <c r="AB83" s="23">
        <f>Intereses_Residual_Mensual!M83</f>
        <v/>
      </c>
      <c r="AC83" s="23">
        <f>ROUND(Y83 + AB83, 2)</f>
        <v/>
      </c>
      <c r="AD83" s="23">
        <f>Intereses_Leasing_Mensual!N83</f>
        <v/>
      </c>
      <c r="AE83" s="23">
        <f>Amortizacion_Capital_Mensual!O83</f>
        <v/>
      </c>
      <c r="AF83" s="23">
        <f>Saldos_Capital_Mensual!N83</f>
        <v/>
      </c>
      <c r="AG83" s="23">
        <f>Intereses_Residual_Mensual!N83</f>
        <v/>
      </c>
      <c r="AH83" s="23">
        <f>ROUND(AD83 + AG83, 2)</f>
        <v/>
      </c>
      <c r="AI83" s="23">
        <f>Intereses_Leasing_Mensual!O83</f>
        <v/>
      </c>
      <c r="AJ83" s="23">
        <f>Amortizacion_Capital_Mensual!P83</f>
        <v/>
      </c>
      <c r="AK83" s="23">
        <f>Saldos_Capital_Mensual!O83</f>
        <v/>
      </c>
      <c r="AL83" s="23">
        <f>Intereses_Residual_Mensual!O83</f>
        <v/>
      </c>
      <c r="AM83" s="23">
        <f>ROUND(AI83 + AL83, 2)</f>
        <v/>
      </c>
      <c r="AN83" s="23">
        <f>Intereses_Leasing_Mensual!P83</f>
        <v/>
      </c>
      <c r="AO83" s="23">
        <f>Amortizacion_Capital_Mensual!Q83</f>
        <v/>
      </c>
      <c r="AP83" s="23">
        <f>Saldos_Capital_Mensual!P83</f>
        <v/>
      </c>
      <c r="AQ83" s="23">
        <f>Intereses_Residual_Mensual!P83</f>
        <v/>
      </c>
      <c r="AR83" s="23">
        <f>ROUND(AN83 + AQ83, 2)</f>
        <v/>
      </c>
      <c r="AS83" s="23">
        <f>Intereses_Leasing_Mensual!Q83</f>
        <v/>
      </c>
      <c r="AT83" s="23">
        <f>Amortizacion_Capital_Mensual!R83</f>
        <v/>
      </c>
      <c r="AU83" s="23">
        <f>Saldos_Capital_Mensual!Q83</f>
        <v/>
      </c>
      <c r="AV83" s="23">
        <f>Intereses_Residual_Mensual!Q83</f>
        <v/>
      </c>
      <c r="AW83" s="23">
        <f>ROUND(AS83 + AV83, 2)</f>
        <v/>
      </c>
      <c r="AX83" s="23">
        <f>Intereses_Leasing_Mensual!R83</f>
        <v/>
      </c>
      <c r="AY83" s="23">
        <f>Amortizacion_Capital_Mensual!S83</f>
        <v/>
      </c>
      <c r="AZ83" s="23">
        <f>Saldos_Capital_Mensual!R83</f>
        <v/>
      </c>
      <c r="BA83" s="23">
        <f>Intereses_Residual_Mensual!R83</f>
        <v/>
      </c>
      <c r="BB83" s="23">
        <f>ROUND(AX83 + BA83, 2)</f>
        <v/>
      </c>
      <c r="BC83" s="23">
        <f>Intereses_Leasing_Mensual!S83</f>
        <v/>
      </c>
      <c r="BD83" s="23">
        <f>Amortizacion_Capital_Mensual!T83</f>
        <v/>
      </c>
      <c r="BE83" s="23">
        <f>Saldos_Capital_Mensual!S83</f>
        <v/>
      </c>
      <c r="BF83" s="23">
        <f>Intereses_Residual_Mensual!S83</f>
        <v/>
      </c>
      <c r="BG83" s="23">
        <f>ROUND(BC83 + BF83, 2)</f>
        <v/>
      </c>
      <c r="BH83" s="23">
        <f>Intereses_Leasing_Mensual!T83</f>
        <v/>
      </c>
      <c r="BI83" s="23">
        <f>Amortizacion_Capital_Mensual!U83</f>
        <v/>
      </c>
      <c r="BJ83" s="23">
        <f>Saldos_Capital_Mensual!T83</f>
        <v/>
      </c>
      <c r="BK83" s="23">
        <f>Intereses_Residual_Mensual!T83</f>
        <v/>
      </c>
      <c r="BL83" s="23">
        <f>ROUND(BH83 + BK83, 2)</f>
        <v/>
      </c>
    </row>
    <row r="84">
      <c r="A84" s="26" t="inlineStr">
        <is>
          <t>0632-0005</t>
        </is>
      </c>
      <c r="B84" s="27" t="inlineStr">
        <is>
          <t>Art &amp; Sourcing Sa de Cv</t>
        </is>
      </c>
      <c r="C84" s="27" t="inlineStr">
        <is>
          <t>Ram 700</t>
        </is>
      </c>
      <c r="D84" s="28" t="n">
        <v>24</v>
      </c>
      <c r="E84" s="29">
        <f>Intereses_Leasing_Mensual!I84</f>
        <v/>
      </c>
      <c r="F84" s="29">
        <f>Amortizacion_Capital_Mensual!J84</f>
        <v/>
      </c>
      <c r="G84" s="29">
        <f>Saldos_Capital_Mensual!I84</f>
        <v/>
      </c>
      <c r="H84" s="29">
        <f>Intereses_Residual_Mensual!I84</f>
        <v/>
      </c>
      <c r="I84" s="29">
        <f>ROUND(E84 + H84, 2)</f>
        <v/>
      </c>
      <c r="J84" s="29">
        <f>Intereses_Leasing_Mensual!J84</f>
        <v/>
      </c>
      <c r="K84" s="29">
        <f>Amortizacion_Capital_Mensual!K84</f>
        <v/>
      </c>
      <c r="L84" s="29">
        <f>Saldos_Capital_Mensual!J84</f>
        <v/>
      </c>
      <c r="M84" s="29">
        <f>Intereses_Residual_Mensual!J84</f>
        <v/>
      </c>
      <c r="N84" s="29">
        <f>ROUND(J84 + M84, 2)</f>
        <v/>
      </c>
      <c r="O84" s="29">
        <f>Intereses_Leasing_Mensual!K84</f>
        <v/>
      </c>
      <c r="P84" s="29">
        <f>Amortizacion_Capital_Mensual!L84</f>
        <v/>
      </c>
      <c r="Q84" s="29">
        <f>Saldos_Capital_Mensual!K84</f>
        <v/>
      </c>
      <c r="R84" s="29">
        <f>Intereses_Residual_Mensual!K84</f>
        <v/>
      </c>
      <c r="S84" s="29">
        <f>ROUND(O84 + R84, 2)</f>
        <v/>
      </c>
      <c r="T84" s="29">
        <f>Intereses_Leasing_Mensual!L84</f>
        <v/>
      </c>
      <c r="U84" s="29">
        <f>Amortizacion_Capital_Mensual!M84</f>
        <v/>
      </c>
      <c r="V84" s="29">
        <f>Saldos_Capital_Mensual!L84</f>
        <v/>
      </c>
      <c r="W84" s="29">
        <f>Intereses_Residual_Mensual!L84</f>
        <v/>
      </c>
      <c r="X84" s="29">
        <f>ROUND(T84 + W84, 2)</f>
        <v/>
      </c>
      <c r="Y84" s="29">
        <f>Intereses_Leasing_Mensual!M84</f>
        <v/>
      </c>
      <c r="Z84" s="29">
        <f>Amortizacion_Capital_Mensual!N84</f>
        <v/>
      </c>
      <c r="AA84" s="29">
        <f>Saldos_Capital_Mensual!M84</f>
        <v/>
      </c>
      <c r="AB84" s="29">
        <f>Intereses_Residual_Mensual!M84</f>
        <v/>
      </c>
      <c r="AC84" s="29">
        <f>ROUND(Y84 + AB84, 2)</f>
        <v/>
      </c>
      <c r="AD84" s="29">
        <f>Intereses_Leasing_Mensual!N84</f>
        <v/>
      </c>
      <c r="AE84" s="29">
        <f>Amortizacion_Capital_Mensual!O84</f>
        <v/>
      </c>
      <c r="AF84" s="29">
        <f>Saldos_Capital_Mensual!N84</f>
        <v/>
      </c>
      <c r="AG84" s="29">
        <f>Intereses_Residual_Mensual!N84</f>
        <v/>
      </c>
      <c r="AH84" s="29">
        <f>ROUND(AD84 + AG84, 2)</f>
        <v/>
      </c>
      <c r="AI84" s="29">
        <f>Intereses_Leasing_Mensual!O84</f>
        <v/>
      </c>
      <c r="AJ84" s="29">
        <f>Amortizacion_Capital_Mensual!P84</f>
        <v/>
      </c>
      <c r="AK84" s="29">
        <f>Saldos_Capital_Mensual!O84</f>
        <v/>
      </c>
      <c r="AL84" s="29">
        <f>Intereses_Residual_Mensual!O84</f>
        <v/>
      </c>
      <c r="AM84" s="29">
        <f>ROUND(AI84 + AL84, 2)</f>
        <v/>
      </c>
      <c r="AN84" s="29">
        <f>Intereses_Leasing_Mensual!P84</f>
        <v/>
      </c>
      <c r="AO84" s="29">
        <f>Amortizacion_Capital_Mensual!Q84</f>
        <v/>
      </c>
      <c r="AP84" s="29">
        <f>Saldos_Capital_Mensual!P84</f>
        <v/>
      </c>
      <c r="AQ84" s="29">
        <f>Intereses_Residual_Mensual!P84</f>
        <v/>
      </c>
      <c r="AR84" s="29">
        <f>ROUND(AN84 + AQ84, 2)</f>
        <v/>
      </c>
      <c r="AS84" s="29">
        <f>Intereses_Leasing_Mensual!Q84</f>
        <v/>
      </c>
      <c r="AT84" s="29">
        <f>Amortizacion_Capital_Mensual!R84</f>
        <v/>
      </c>
      <c r="AU84" s="29">
        <f>Saldos_Capital_Mensual!Q84</f>
        <v/>
      </c>
      <c r="AV84" s="29">
        <f>Intereses_Residual_Mensual!Q84</f>
        <v/>
      </c>
      <c r="AW84" s="29">
        <f>ROUND(AS84 + AV84, 2)</f>
        <v/>
      </c>
      <c r="AX84" s="29">
        <f>Intereses_Leasing_Mensual!R84</f>
        <v/>
      </c>
      <c r="AY84" s="29">
        <f>Amortizacion_Capital_Mensual!S84</f>
        <v/>
      </c>
      <c r="AZ84" s="29">
        <f>Saldos_Capital_Mensual!R84</f>
        <v/>
      </c>
      <c r="BA84" s="29">
        <f>Intereses_Residual_Mensual!R84</f>
        <v/>
      </c>
      <c r="BB84" s="29">
        <f>ROUND(AX84 + BA84, 2)</f>
        <v/>
      </c>
      <c r="BC84" s="29">
        <f>Intereses_Leasing_Mensual!S84</f>
        <v/>
      </c>
      <c r="BD84" s="29">
        <f>Amortizacion_Capital_Mensual!T84</f>
        <v/>
      </c>
      <c r="BE84" s="29">
        <f>Saldos_Capital_Mensual!S84</f>
        <v/>
      </c>
      <c r="BF84" s="29">
        <f>Intereses_Residual_Mensual!S84</f>
        <v/>
      </c>
      <c r="BG84" s="29">
        <f>ROUND(BC84 + BF84, 2)</f>
        <v/>
      </c>
      <c r="BH84" s="29">
        <f>Intereses_Leasing_Mensual!T84</f>
        <v/>
      </c>
      <c r="BI84" s="29">
        <f>Amortizacion_Capital_Mensual!U84</f>
        <v/>
      </c>
      <c r="BJ84" s="29">
        <f>Saldos_Capital_Mensual!T84</f>
        <v/>
      </c>
      <c r="BK84" s="29">
        <f>Intereses_Residual_Mensual!T84</f>
        <v/>
      </c>
      <c r="BL84" s="29">
        <f>ROUND(BH84 + BK84, 2)</f>
        <v/>
      </c>
    </row>
    <row r="85">
      <c r="A85" s="20" t="inlineStr">
        <is>
          <t>0632-0006</t>
        </is>
      </c>
      <c r="B85" s="21" t="inlineStr">
        <is>
          <t>Art &amp; Sourcing Sa de Cv</t>
        </is>
      </c>
      <c r="C85" s="21" t="inlineStr">
        <is>
          <t>Mirage</t>
        </is>
      </c>
      <c r="D85" s="22" t="n">
        <v>24</v>
      </c>
      <c r="E85" s="23">
        <f>Intereses_Leasing_Mensual!I85</f>
        <v/>
      </c>
      <c r="F85" s="23">
        <f>Amortizacion_Capital_Mensual!J85</f>
        <v/>
      </c>
      <c r="G85" s="23">
        <f>Saldos_Capital_Mensual!I85</f>
        <v/>
      </c>
      <c r="H85" s="23">
        <f>Intereses_Residual_Mensual!I85</f>
        <v/>
      </c>
      <c r="I85" s="23">
        <f>ROUND(E85 + H85, 2)</f>
        <v/>
      </c>
      <c r="J85" s="23">
        <f>Intereses_Leasing_Mensual!J85</f>
        <v/>
      </c>
      <c r="K85" s="23">
        <f>Amortizacion_Capital_Mensual!K85</f>
        <v/>
      </c>
      <c r="L85" s="23">
        <f>Saldos_Capital_Mensual!J85</f>
        <v/>
      </c>
      <c r="M85" s="23">
        <f>Intereses_Residual_Mensual!J85</f>
        <v/>
      </c>
      <c r="N85" s="23">
        <f>ROUND(J85 + M85, 2)</f>
        <v/>
      </c>
      <c r="O85" s="23">
        <f>Intereses_Leasing_Mensual!K85</f>
        <v/>
      </c>
      <c r="P85" s="23">
        <f>Amortizacion_Capital_Mensual!L85</f>
        <v/>
      </c>
      <c r="Q85" s="23">
        <f>Saldos_Capital_Mensual!K85</f>
        <v/>
      </c>
      <c r="R85" s="23">
        <f>Intereses_Residual_Mensual!K85</f>
        <v/>
      </c>
      <c r="S85" s="23">
        <f>ROUND(O85 + R85, 2)</f>
        <v/>
      </c>
      <c r="T85" s="23">
        <f>Intereses_Leasing_Mensual!L85</f>
        <v/>
      </c>
      <c r="U85" s="23">
        <f>Amortizacion_Capital_Mensual!M85</f>
        <v/>
      </c>
      <c r="V85" s="23">
        <f>Saldos_Capital_Mensual!L85</f>
        <v/>
      </c>
      <c r="W85" s="23">
        <f>Intereses_Residual_Mensual!L85</f>
        <v/>
      </c>
      <c r="X85" s="23">
        <f>ROUND(T85 + W85, 2)</f>
        <v/>
      </c>
      <c r="Y85" s="23">
        <f>Intereses_Leasing_Mensual!M85</f>
        <v/>
      </c>
      <c r="Z85" s="23">
        <f>Amortizacion_Capital_Mensual!N85</f>
        <v/>
      </c>
      <c r="AA85" s="23">
        <f>Saldos_Capital_Mensual!M85</f>
        <v/>
      </c>
      <c r="AB85" s="23">
        <f>Intereses_Residual_Mensual!M85</f>
        <v/>
      </c>
      <c r="AC85" s="23">
        <f>ROUND(Y85 + AB85, 2)</f>
        <v/>
      </c>
      <c r="AD85" s="23">
        <f>Intereses_Leasing_Mensual!N85</f>
        <v/>
      </c>
      <c r="AE85" s="23">
        <f>Amortizacion_Capital_Mensual!O85</f>
        <v/>
      </c>
      <c r="AF85" s="23">
        <f>Saldos_Capital_Mensual!N85</f>
        <v/>
      </c>
      <c r="AG85" s="23">
        <f>Intereses_Residual_Mensual!N85</f>
        <v/>
      </c>
      <c r="AH85" s="23">
        <f>ROUND(AD85 + AG85, 2)</f>
        <v/>
      </c>
      <c r="AI85" s="23">
        <f>Intereses_Leasing_Mensual!O85</f>
        <v/>
      </c>
      <c r="AJ85" s="23">
        <f>Amortizacion_Capital_Mensual!P85</f>
        <v/>
      </c>
      <c r="AK85" s="23">
        <f>Saldos_Capital_Mensual!O85</f>
        <v/>
      </c>
      <c r="AL85" s="23">
        <f>Intereses_Residual_Mensual!O85</f>
        <v/>
      </c>
      <c r="AM85" s="23">
        <f>ROUND(AI85 + AL85, 2)</f>
        <v/>
      </c>
      <c r="AN85" s="23">
        <f>Intereses_Leasing_Mensual!P85</f>
        <v/>
      </c>
      <c r="AO85" s="23">
        <f>Amortizacion_Capital_Mensual!Q85</f>
        <v/>
      </c>
      <c r="AP85" s="23">
        <f>Saldos_Capital_Mensual!P85</f>
        <v/>
      </c>
      <c r="AQ85" s="23">
        <f>Intereses_Residual_Mensual!P85</f>
        <v/>
      </c>
      <c r="AR85" s="23">
        <f>ROUND(AN85 + AQ85, 2)</f>
        <v/>
      </c>
      <c r="AS85" s="23">
        <f>Intereses_Leasing_Mensual!Q85</f>
        <v/>
      </c>
      <c r="AT85" s="23">
        <f>Amortizacion_Capital_Mensual!R85</f>
        <v/>
      </c>
      <c r="AU85" s="23">
        <f>Saldos_Capital_Mensual!Q85</f>
        <v/>
      </c>
      <c r="AV85" s="23">
        <f>Intereses_Residual_Mensual!Q85</f>
        <v/>
      </c>
      <c r="AW85" s="23">
        <f>ROUND(AS85 + AV85, 2)</f>
        <v/>
      </c>
      <c r="AX85" s="23">
        <f>Intereses_Leasing_Mensual!R85</f>
        <v/>
      </c>
      <c r="AY85" s="23">
        <f>Amortizacion_Capital_Mensual!S85</f>
        <v/>
      </c>
      <c r="AZ85" s="23">
        <f>Saldos_Capital_Mensual!R85</f>
        <v/>
      </c>
      <c r="BA85" s="23">
        <f>Intereses_Residual_Mensual!R85</f>
        <v/>
      </c>
      <c r="BB85" s="23">
        <f>ROUND(AX85 + BA85, 2)</f>
        <v/>
      </c>
      <c r="BC85" s="23">
        <f>Intereses_Leasing_Mensual!S85</f>
        <v/>
      </c>
      <c r="BD85" s="23">
        <f>Amortizacion_Capital_Mensual!T85</f>
        <v/>
      </c>
      <c r="BE85" s="23">
        <f>Saldos_Capital_Mensual!S85</f>
        <v/>
      </c>
      <c r="BF85" s="23">
        <f>Intereses_Residual_Mensual!S85</f>
        <v/>
      </c>
      <c r="BG85" s="23">
        <f>ROUND(BC85 + BF85, 2)</f>
        <v/>
      </c>
      <c r="BH85" s="23">
        <f>Intereses_Leasing_Mensual!T85</f>
        <v/>
      </c>
      <c r="BI85" s="23">
        <f>Amortizacion_Capital_Mensual!U85</f>
        <v/>
      </c>
      <c r="BJ85" s="23">
        <f>Saldos_Capital_Mensual!T85</f>
        <v/>
      </c>
      <c r="BK85" s="23">
        <f>Intereses_Residual_Mensual!T85</f>
        <v/>
      </c>
      <c r="BL85" s="23">
        <f>ROUND(BH85 + BK85, 2)</f>
        <v/>
      </c>
    </row>
    <row r="86">
      <c r="A86" s="26" t="inlineStr">
        <is>
          <t>0632-0007</t>
        </is>
      </c>
      <c r="B86" s="27" t="inlineStr">
        <is>
          <t>Art &amp; Sourcing Sa de Cv</t>
        </is>
      </c>
      <c r="C86" s="27" t="inlineStr">
        <is>
          <t>JAC Camión X350 2026</t>
        </is>
      </c>
      <c r="D86" s="28" t="n">
        <v>24</v>
      </c>
      <c r="E86" s="29">
        <f>Intereses_Leasing_Mensual!I86</f>
        <v/>
      </c>
      <c r="F86" s="29">
        <f>Amortizacion_Capital_Mensual!J86</f>
        <v/>
      </c>
      <c r="G86" s="29">
        <f>Saldos_Capital_Mensual!I86</f>
        <v/>
      </c>
      <c r="H86" s="29">
        <f>Intereses_Residual_Mensual!I86</f>
        <v/>
      </c>
      <c r="I86" s="29">
        <f>ROUND(E86 + H86, 2)</f>
        <v/>
      </c>
      <c r="J86" s="29">
        <f>Intereses_Leasing_Mensual!J86</f>
        <v/>
      </c>
      <c r="K86" s="29">
        <f>Amortizacion_Capital_Mensual!K86</f>
        <v/>
      </c>
      <c r="L86" s="29">
        <f>Saldos_Capital_Mensual!J86</f>
        <v/>
      </c>
      <c r="M86" s="29">
        <f>Intereses_Residual_Mensual!J86</f>
        <v/>
      </c>
      <c r="N86" s="29">
        <f>ROUND(J86 + M86, 2)</f>
        <v/>
      </c>
      <c r="O86" s="29">
        <f>Intereses_Leasing_Mensual!K86</f>
        <v/>
      </c>
      <c r="P86" s="29">
        <f>Amortizacion_Capital_Mensual!L86</f>
        <v/>
      </c>
      <c r="Q86" s="29">
        <f>Saldos_Capital_Mensual!K86</f>
        <v/>
      </c>
      <c r="R86" s="29">
        <f>Intereses_Residual_Mensual!K86</f>
        <v/>
      </c>
      <c r="S86" s="29">
        <f>ROUND(O86 + R86, 2)</f>
        <v/>
      </c>
      <c r="T86" s="29">
        <f>Intereses_Leasing_Mensual!L86</f>
        <v/>
      </c>
      <c r="U86" s="29">
        <f>Amortizacion_Capital_Mensual!M86</f>
        <v/>
      </c>
      <c r="V86" s="29">
        <f>Saldos_Capital_Mensual!L86</f>
        <v/>
      </c>
      <c r="W86" s="29">
        <f>Intereses_Residual_Mensual!L86</f>
        <v/>
      </c>
      <c r="X86" s="29">
        <f>ROUND(T86 + W86, 2)</f>
        <v/>
      </c>
      <c r="Y86" s="29">
        <f>Intereses_Leasing_Mensual!M86</f>
        <v/>
      </c>
      <c r="Z86" s="29">
        <f>Amortizacion_Capital_Mensual!N86</f>
        <v/>
      </c>
      <c r="AA86" s="29">
        <f>Saldos_Capital_Mensual!M86</f>
        <v/>
      </c>
      <c r="AB86" s="29">
        <f>Intereses_Residual_Mensual!M86</f>
        <v/>
      </c>
      <c r="AC86" s="29">
        <f>ROUND(Y86 + AB86, 2)</f>
        <v/>
      </c>
      <c r="AD86" s="29">
        <f>Intereses_Leasing_Mensual!N86</f>
        <v/>
      </c>
      <c r="AE86" s="29">
        <f>Amortizacion_Capital_Mensual!O86</f>
        <v/>
      </c>
      <c r="AF86" s="29">
        <f>Saldos_Capital_Mensual!N86</f>
        <v/>
      </c>
      <c r="AG86" s="29">
        <f>Intereses_Residual_Mensual!N86</f>
        <v/>
      </c>
      <c r="AH86" s="29">
        <f>ROUND(AD86 + AG86, 2)</f>
        <v/>
      </c>
      <c r="AI86" s="29">
        <f>Intereses_Leasing_Mensual!O86</f>
        <v/>
      </c>
      <c r="AJ86" s="29">
        <f>Amortizacion_Capital_Mensual!P86</f>
        <v/>
      </c>
      <c r="AK86" s="29">
        <f>Saldos_Capital_Mensual!O86</f>
        <v/>
      </c>
      <c r="AL86" s="29">
        <f>Intereses_Residual_Mensual!O86</f>
        <v/>
      </c>
      <c r="AM86" s="29">
        <f>ROUND(AI86 + AL86, 2)</f>
        <v/>
      </c>
      <c r="AN86" s="29">
        <f>Intereses_Leasing_Mensual!P86</f>
        <v/>
      </c>
      <c r="AO86" s="29">
        <f>Amortizacion_Capital_Mensual!Q86</f>
        <v/>
      </c>
      <c r="AP86" s="29">
        <f>Saldos_Capital_Mensual!P86</f>
        <v/>
      </c>
      <c r="AQ86" s="29">
        <f>Intereses_Residual_Mensual!P86</f>
        <v/>
      </c>
      <c r="AR86" s="29">
        <f>ROUND(AN86 + AQ86, 2)</f>
        <v/>
      </c>
      <c r="AS86" s="29">
        <f>Intereses_Leasing_Mensual!Q86</f>
        <v/>
      </c>
      <c r="AT86" s="29">
        <f>Amortizacion_Capital_Mensual!R86</f>
        <v/>
      </c>
      <c r="AU86" s="29">
        <f>Saldos_Capital_Mensual!Q86</f>
        <v/>
      </c>
      <c r="AV86" s="29">
        <f>Intereses_Residual_Mensual!Q86</f>
        <v/>
      </c>
      <c r="AW86" s="29">
        <f>ROUND(AS86 + AV86, 2)</f>
        <v/>
      </c>
      <c r="AX86" s="29">
        <f>Intereses_Leasing_Mensual!R86</f>
        <v/>
      </c>
      <c r="AY86" s="29">
        <f>Amortizacion_Capital_Mensual!S86</f>
        <v/>
      </c>
      <c r="AZ86" s="29">
        <f>Saldos_Capital_Mensual!R86</f>
        <v/>
      </c>
      <c r="BA86" s="29">
        <f>Intereses_Residual_Mensual!R86</f>
        <v/>
      </c>
      <c r="BB86" s="29">
        <f>ROUND(AX86 + BA86, 2)</f>
        <v/>
      </c>
      <c r="BC86" s="29">
        <f>Intereses_Leasing_Mensual!S86</f>
        <v/>
      </c>
      <c r="BD86" s="29">
        <f>Amortizacion_Capital_Mensual!T86</f>
        <v/>
      </c>
      <c r="BE86" s="29">
        <f>Saldos_Capital_Mensual!S86</f>
        <v/>
      </c>
      <c r="BF86" s="29">
        <f>Intereses_Residual_Mensual!S86</f>
        <v/>
      </c>
      <c r="BG86" s="29">
        <f>ROUND(BC86 + BF86, 2)</f>
        <v/>
      </c>
      <c r="BH86" s="29">
        <f>Intereses_Leasing_Mensual!T86</f>
        <v/>
      </c>
      <c r="BI86" s="29">
        <f>Amortizacion_Capital_Mensual!U86</f>
        <v/>
      </c>
      <c r="BJ86" s="29">
        <f>Saldos_Capital_Mensual!T86</f>
        <v/>
      </c>
      <c r="BK86" s="29">
        <f>Intereses_Residual_Mensual!T86</f>
        <v/>
      </c>
      <c r="BL86" s="29">
        <f>ROUND(BH86 + BK86, 2)</f>
        <v/>
      </c>
    </row>
    <row r="87">
      <c r="A87" s="20" t="inlineStr">
        <is>
          <t>0634-0001</t>
        </is>
      </c>
      <c r="B87" s="21" t="inlineStr">
        <is>
          <t>Jose de Jesus Vergara Rivera</t>
        </is>
      </c>
      <c r="C87" s="21" t="inlineStr">
        <is>
          <t>NP 300 Chasis Cabina TDI</t>
        </is>
      </c>
      <c r="D87" s="22" t="n">
        <v>48</v>
      </c>
      <c r="E87" s="23">
        <f>Intereses_Leasing_Mensual!I87</f>
        <v/>
      </c>
      <c r="F87" s="23">
        <f>Amortizacion_Capital_Mensual!J87</f>
        <v/>
      </c>
      <c r="G87" s="23">
        <f>Saldos_Capital_Mensual!I87</f>
        <v/>
      </c>
      <c r="H87" s="23">
        <f>Intereses_Residual_Mensual!I87</f>
        <v/>
      </c>
      <c r="I87" s="23">
        <f>ROUND(E87 + H87, 2)</f>
        <v/>
      </c>
      <c r="J87" s="23">
        <f>Intereses_Leasing_Mensual!J87</f>
        <v/>
      </c>
      <c r="K87" s="23">
        <f>Amortizacion_Capital_Mensual!K87</f>
        <v/>
      </c>
      <c r="L87" s="23">
        <f>Saldos_Capital_Mensual!J87</f>
        <v/>
      </c>
      <c r="M87" s="23">
        <f>Intereses_Residual_Mensual!J87</f>
        <v/>
      </c>
      <c r="N87" s="23">
        <f>ROUND(J87 + M87, 2)</f>
        <v/>
      </c>
      <c r="O87" s="23">
        <f>Intereses_Leasing_Mensual!K87</f>
        <v/>
      </c>
      <c r="P87" s="23">
        <f>Amortizacion_Capital_Mensual!L87</f>
        <v/>
      </c>
      <c r="Q87" s="23">
        <f>Saldos_Capital_Mensual!K87</f>
        <v/>
      </c>
      <c r="R87" s="23">
        <f>Intereses_Residual_Mensual!K87</f>
        <v/>
      </c>
      <c r="S87" s="23">
        <f>ROUND(O87 + R87, 2)</f>
        <v/>
      </c>
      <c r="T87" s="23">
        <f>Intereses_Leasing_Mensual!L87</f>
        <v/>
      </c>
      <c r="U87" s="23">
        <f>Amortizacion_Capital_Mensual!M87</f>
        <v/>
      </c>
      <c r="V87" s="23">
        <f>Saldos_Capital_Mensual!L87</f>
        <v/>
      </c>
      <c r="W87" s="23">
        <f>Intereses_Residual_Mensual!L87</f>
        <v/>
      </c>
      <c r="X87" s="23">
        <f>ROUND(T87 + W87, 2)</f>
        <v/>
      </c>
      <c r="Y87" s="23">
        <f>Intereses_Leasing_Mensual!M87</f>
        <v/>
      </c>
      <c r="Z87" s="23">
        <f>Amortizacion_Capital_Mensual!N87</f>
        <v/>
      </c>
      <c r="AA87" s="23">
        <f>Saldos_Capital_Mensual!M87</f>
        <v/>
      </c>
      <c r="AB87" s="23">
        <f>Intereses_Residual_Mensual!M87</f>
        <v/>
      </c>
      <c r="AC87" s="23">
        <f>ROUND(Y87 + AB87, 2)</f>
        <v/>
      </c>
      <c r="AD87" s="23">
        <f>Intereses_Leasing_Mensual!N87</f>
        <v/>
      </c>
      <c r="AE87" s="23">
        <f>Amortizacion_Capital_Mensual!O87</f>
        <v/>
      </c>
      <c r="AF87" s="23">
        <f>Saldos_Capital_Mensual!N87</f>
        <v/>
      </c>
      <c r="AG87" s="23">
        <f>Intereses_Residual_Mensual!N87</f>
        <v/>
      </c>
      <c r="AH87" s="23">
        <f>ROUND(AD87 + AG87, 2)</f>
        <v/>
      </c>
      <c r="AI87" s="23">
        <f>Intereses_Leasing_Mensual!O87</f>
        <v/>
      </c>
      <c r="AJ87" s="23">
        <f>Amortizacion_Capital_Mensual!P87</f>
        <v/>
      </c>
      <c r="AK87" s="23">
        <f>Saldos_Capital_Mensual!O87</f>
        <v/>
      </c>
      <c r="AL87" s="23">
        <f>Intereses_Residual_Mensual!O87</f>
        <v/>
      </c>
      <c r="AM87" s="23">
        <f>ROUND(AI87 + AL87, 2)</f>
        <v/>
      </c>
      <c r="AN87" s="23">
        <f>Intereses_Leasing_Mensual!P87</f>
        <v/>
      </c>
      <c r="AO87" s="23">
        <f>Amortizacion_Capital_Mensual!Q87</f>
        <v/>
      </c>
      <c r="AP87" s="23">
        <f>Saldos_Capital_Mensual!P87</f>
        <v/>
      </c>
      <c r="AQ87" s="23">
        <f>Intereses_Residual_Mensual!P87</f>
        <v/>
      </c>
      <c r="AR87" s="23">
        <f>ROUND(AN87 + AQ87, 2)</f>
        <v/>
      </c>
      <c r="AS87" s="23">
        <f>Intereses_Leasing_Mensual!Q87</f>
        <v/>
      </c>
      <c r="AT87" s="23">
        <f>Amortizacion_Capital_Mensual!R87</f>
        <v/>
      </c>
      <c r="AU87" s="23">
        <f>Saldos_Capital_Mensual!Q87</f>
        <v/>
      </c>
      <c r="AV87" s="23">
        <f>Intereses_Residual_Mensual!Q87</f>
        <v/>
      </c>
      <c r="AW87" s="23">
        <f>ROUND(AS87 + AV87, 2)</f>
        <v/>
      </c>
      <c r="AX87" s="23">
        <f>Intereses_Leasing_Mensual!R87</f>
        <v/>
      </c>
      <c r="AY87" s="23">
        <f>Amortizacion_Capital_Mensual!S87</f>
        <v/>
      </c>
      <c r="AZ87" s="23">
        <f>Saldos_Capital_Mensual!R87</f>
        <v/>
      </c>
      <c r="BA87" s="23">
        <f>Intereses_Residual_Mensual!R87</f>
        <v/>
      </c>
      <c r="BB87" s="23">
        <f>ROUND(AX87 + BA87, 2)</f>
        <v/>
      </c>
      <c r="BC87" s="23">
        <f>Intereses_Leasing_Mensual!S87</f>
        <v/>
      </c>
      <c r="BD87" s="23">
        <f>Amortizacion_Capital_Mensual!T87</f>
        <v/>
      </c>
      <c r="BE87" s="23">
        <f>Saldos_Capital_Mensual!S87</f>
        <v/>
      </c>
      <c r="BF87" s="23">
        <f>Intereses_Residual_Mensual!S87</f>
        <v/>
      </c>
      <c r="BG87" s="23">
        <f>ROUND(BC87 + BF87, 2)</f>
        <v/>
      </c>
      <c r="BH87" s="23">
        <f>Intereses_Leasing_Mensual!T87</f>
        <v/>
      </c>
      <c r="BI87" s="23">
        <f>Amortizacion_Capital_Mensual!U87</f>
        <v/>
      </c>
      <c r="BJ87" s="23">
        <f>Saldos_Capital_Mensual!T87</f>
        <v/>
      </c>
      <c r="BK87" s="23">
        <f>Intereses_Residual_Mensual!T87</f>
        <v/>
      </c>
      <c r="BL87" s="23">
        <f>ROUND(BH87 + BK87, 2)</f>
        <v/>
      </c>
    </row>
    <row r="88">
      <c r="A88" s="26" t="inlineStr">
        <is>
          <t>0634-0002</t>
        </is>
      </c>
      <c r="B88" s="27" t="inlineStr">
        <is>
          <t>Jose de Jesus Vergara Rivera</t>
        </is>
      </c>
      <c r="C88" s="27" t="inlineStr">
        <is>
          <t>700 Tradesman</t>
        </is>
      </c>
      <c r="D88" s="28" t="n">
        <v>48</v>
      </c>
      <c r="E88" s="29">
        <f>Intereses_Leasing_Mensual!I88</f>
        <v/>
      </c>
      <c r="F88" s="29">
        <f>Amortizacion_Capital_Mensual!J88</f>
        <v/>
      </c>
      <c r="G88" s="29">
        <f>Saldos_Capital_Mensual!I88</f>
        <v/>
      </c>
      <c r="H88" s="29">
        <f>Intereses_Residual_Mensual!I88</f>
        <v/>
      </c>
      <c r="I88" s="29">
        <f>ROUND(E88 + H88, 2)</f>
        <v/>
      </c>
      <c r="J88" s="29">
        <f>Intereses_Leasing_Mensual!J88</f>
        <v/>
      </c>
      <c r="K88" s="29">
        <f>Amortizacion_Capital_Mensual!K88</f>
        <v/>
      </c>
      <c r="L88" s="29">
        <f>Saldos_Capital_Mensual!J88</f>
        <v/>
      </c>
      <c r="M88" s="29">
        <f>Intereses_Residual_Mensual!J88</f>
        <v/>
      </c>
      <c r="N88" s="29">
        <f>ROUND(J88 + M88, 2)</f>
        <v/>
      </c>
      <c r="O88" s="29">
        <f>Intereses_Leasing_Mensual!K88</f>
        <v/>
      </c>
      <c r="P88" s="29">
        <f>Amortizacion_Capital_Mensual!L88</f>
        <v/>
      </c>
      <c r="Q88" s="29">
        <f>Saldos_Capital_Mensual!K88</f>
        <v/>
      </c>
      <c r="R88" s="29">
        <f>Intereses_Residual_Mensual!K88</f>
        <v/>
      </c>
      <c r="S88" s="29">
        <f>ROUND(O88 + R88, 2)</f>
        <v/>
      </c>
      <c r="T88" s="29">
        <f>Intereses_Leasing_Mensual!L88</f>
        <v/>
      </c>
      <c r="U88" s="29">
        <f>Amortizacion_Capital_Mensual!M88</f>
        <v/>
      </c>
      <c r="V88" s="29">
        <f>Saldos_Capital_Mensual!L88</f>
        <v/>
      </c>
      <c r="W88" s="29">
        <f>Intereses_Residual_Mensual!L88</f>
        <v/>
      </c>
      <c r="X88" s="29">
        <f>ROUND(T88 + W88, 2)</f>
        <v/>
      </c>
      <c r="Y88" s="29">
        <f>Intereses_Leasing_Mensual!M88</f>
        <v/>
      </c>
      <c r="Z88" s="29">
        <f>Amortizacion_Capital_Mensual!N88</f>
        <v/>
      </c>
      <c r="AA88" s="29">
        <f>Saldos_Capital_Mensual!M88</f>
        <v/>
      </c>
      <c r="AB88" s="29">
        <f>Intereses_Residual_Mensual!M88</f>
        <v/>
      </c>
      <c r="AC88" s="29">
        <f>ROUND(Y88 + AB88, 2)</f>
        <v/>
      </c>
      <c r="AD88" s="29">
        <f>Intereses_Leasing_Mensual!N88</f>
        <v/>
      </c>
      <c r="AE88" s="29">
        <f>Amortizacion_Capital_Mensual!O88</f>
        <v/>
      </c>
      <c r="AF88" s="29">
        <f>Saldos_Capital_Mensual!N88</f>
        <v/>
      </c>
      <c r="AG88" s="29">
        <f>Intereses_Residual_Mensual!N88</f>
        <v/>
      </c>
      <c r="AH88" s="29">
        <f>ROUND(AD88 + AG88, 2)</f>
        <v/>
      </c>
      <c r="AI88" s="29">
        <f>Intereses_Leasing_Mensual!O88</f>
        <v/>
      </c>
      <c r="AJ88" s="29">
        <f>Amortizacion_Capital_Mensual!P88</f>
        <v/>
      </c>
      <c r="AK88" s="29">
        <f>Saldos_Capital_Mensual!O88</f>
        <v/>
      </c>
      <c r="AL88" s="29">
        <f>Intereses_Residual_Mensual!O88</f>
        <v/>
      </c>
      <c r="AM88" s="29">
        <f>ROUND(AI88 + AL88, 2)</f>
        <v/>
      </c>
      <c r="AN88" s="29">
        <f>Intereses_Leasing_Mensual!P88</f>
        <v/>
      </c>
      <c r="AO88" s="29">
        <f>Amortizacion_Capital_Mensual!Q88</f>
        <v/>
      </c>
      <c r="AP88" s="29">
        <f>Saldos_Capital_Mensual!P88</f>
        <v/>
      </c>
      <c r="AQ88" s="29">
        <f>Intereses_Residual_Mensual!P88</f>
        <v/>
      </c>
      <c r="AR88" s="29">
        <f>ROUND(AN88 + AQ88, 2)</f>
        <v/>
      </c>
      <c r="AS88" s="29">
        <f>Intereses_Leasing_Mensual!Q88</f>
        <v/>
      </c>
      <c r="AT88" s="29">
        <f>Amortizacion_Capital_Mensual!R88</f>
        <v/>
      </c>
      <c r="AU88" s="29">
        <f>Saldos_Capital_Mensual!Q88</f>
        <v/>
      </c>
      <c r="AV88" s="29">
        <f>Intereses_Residual_Mensual!Q88</f>
        <v/>
      </c>
      <c r="AW88" s="29">
        <f>ROUND(AS88 + AV88, 2)</f>
        <v/>
      </c>
      <c r="AX88" s="29">
        <f>Intereses_Leasing_Mensual!R88</f>
        <v/>
      </c>
      <c r="AY88" s="29">
        <f>Amortizacion_Capital_Mensual!S88</f>
        <v/>
      </c>
      <c r="AZ88" s="29">
        <f>Saldos_Capital_Mensual!R88</f>
        <v/>
      </c>
      <c r="BA88" s="29">
        <f>Intereses_Residual_Mensual!R88</f>
        <v/>
      </c>
      <c r="BB88" s="29">
        <f>ROUND(AX88 + BA88, 2)</f>
        <v/>
      </c>
      <c r="BC88" s="29">
        <f>Intereses_Leasing_Mensual!S88</f>
        <v/>
      </c>
      <c r="BD88" s="29">
        <f>Amortizacion_Capital_Mensual!T88</f>
        <v/>
      </c>
      <c r="BE88" s="29">
        <f>Saldos_Capital_Mensual!S88</f>
        <v/>
      </c>
      <c r="BF88" s="29">
        <f>Intereses_Residual_Mensual!S88</f>
        <v/>
      </c>
      <c r="BG88" s="29">
        <f>ROUND(BC88 + BF88, 2)</f>
        <v/>
      </c>
      <c r="BH88" s="29">
        <f>Intereses_Leasing_Mensual!T88</f>
        <v/>
      </c>
      <c r="BI88" s="29">
        <f>Amortizacion_Capital_Mensual!U88</f>
        <v/>
      </c>
      <c r="BJ88" s="29">
        <f>Saldos_Capital_Mensual!T88</f>
        <v/>
      </c>
      <c r="BK88" s="29">
        <f>Intereses_Residual_Mensual!T88</f>
        <v/>
      </c>
      <c r="BL88" s="29">
        <f>ROUND(BH88 + BK88, 2)</f>
        <v/>
      </c>
    </row>
    <row r="89">
      <c r="A89" s="20" t="inlineStr">
        <is>
          <t>0635-0003</t>
        </is>
      </c>
      <c r="B89" s="21" t="inlineStr">
        <is>
          <t>Ankara Food Services Sa de CV</t>
        </is>
      </c>
      <c r="C89" s="21" t="inlineStr">
        <is>
          <t>Glc 350 E</t>
        </is>
      </c>
      <c r="D89" s="22" t="n">
        <v>36</v>
      </c>
      <c r="E89" s="23">
        <f>Intereses_Leasing_Mensual!I89</f>
        <v/>
      </c>
      <c r="F89" s="23">
        <f>Amortizacion_Capital_Mensual!J89</f>
        <v/>
      </c>
      <c r="G89" s="23">
        <f>Saldos_Capital_Mensual!I89</f>
        <v/>
      </c>
      <c r="H89" s="23">
        <f>Intereses_Residual_Mensual!I89</f>
        <v/>
      </c>
      <c r="I89" s="23">
        <f>ROUND(E89 + H89, 2)</f>
        <v/>
      </c>
      <c r="J89" s="23">
        <f>Intereses_Leasing_Mensual!J89</f>
        <v/>
      </c>
      <c r="K89" s="23">
        <f>Amortizacion_Capital_Mensual!K89</f>
        <v/>
      </c>
      <c r="L89" s="23">
        <f>Saldos_Capital_Mensual!J89</f>
        <v/>
      </c>
      <c r="M89" s="23">
        <f>Intereses_Residual_Mensual!J89</f>
        <v/>
      </c>
      <c r="N89" s="23">
        <f>ROUND(J89 + M89, 2)</f>
        <v/>
      </c>
      <c r="O89" s="23">
        <f>Intereses_Leasing_Mensual!K89</f>
        <v/>
      </c>
      <c r="P89" s="23">
        <f>Amortizacion_Capital_Mensual!L89</f>
        <v/>
      </c>
      <c r="Q89" s="23">
        <f>Saldos_Capital_Mensual!K89</f>
        <v/>
      </c>
      <c r="R89" s="23">
        <f>Intereses_Residual_Mensual!K89</f>
        <v/>
      </c>
      <c r="S89" s="23">
        <f>ROUND(O89 + R89, 2)</f>
        <v/>
      </c>
      <c r="T89" s="23">
        <f>Intereses_Leasing_Mensual!L89</f>
        <v/>
      </c>
      <c r="U89" s="23">
        <f>Amortizacion_Capital_Mensual!M89</f>
        <v/>
      </c>
      <c r="V89" s="23">
        <f>Saldos_Capital_Mensual!L89</f>
        <v/>
      </c>
      <c r="W89" s="23">
        <f>Intereses_Residual_Mensual!L89</f>
        <v/>
      </c>
      <c r="X89" s="23">
        <f>ROUND(T89 + W89, 2)</f>
        <v/>
      </c>
      <c r="Y89" s="23">
        <f>Intereses_Leasing_Mensual!M89</f>
        <v/>
      </c>
      <c r="Z89" s="23">
        <f>Amortizacion_Capital_Mensual!N89</f>
        <v/>
      </c>
      <c r="AA89" s="23">
        <f>Saldos_Capital_Mensual!M89</f>
        <v/>
      </c>
      <c r="AB89" s="23">
        <f>Intereses_Residual_Mensual!M89</f>
        <v/>
      </c>
      <c r="AC89" s="23">
        <f>ROUND(Y89 + AB89, 2)</f>
        <v/>
      </c>
      <c r="AD89" s="23">
        <f>Intereses_Leasing_Mensual!N89</f>
        <v/>
      </c>
      <c r="AE89" s="23">
        <f>Amortizacion_Capital_Mensual!O89</f>
        <v/>
      </c>
      <c r="AF89" s="23">
        <f>Saldos_Capital_Mensual!N89</f>
        <v/>
      </c>
      <c r="AG89" s="23">
        <f>Intereses_Residual_Mensual!N89</f>
        <v/>
      </c>
      <c r="AH89" s="23">
        <f>ROUND(AD89 + AG89, 2)</f>
        <v/>
      </c>
      <c r="AI89" s="23">
        <f>Intereses_Leasing_Mensual!O89</f>
        <v/>
      </c>
      <c r="AJ89" s="23">
        <f>Amortizacion_Capital_Mensual!P89</f>
        <v/>
      </c>
      <c r="AK89" s="23">
        <f>Saldos_Capital_Mensual!O89</f>
        <v/>
      </c>
      <c r="AL89" s="23">
        <f>Intereses_Residual_Mensual!O89</f>
        <v/>
      </c>
      <c r="AM89" s="23">
        <f>ROUND(AI89 + AL89, 2)</f>
        <v/>
      </c>
      <c r="AN89" s="23">
        <f>Intereses_Leasing_Mensual!P89</f>
        <v/>
      </c>
      <c r="AO89" s="23">
        <f>Amortizacion_Capital_Mensual!Q89</f>
        <v/>
      </c>
      <c r="AP89" s="23">
        <f>Saldos_Capital_Mensual!P89</f>
        <v/>
      </c>
      <c r="AQ89" s="23">
        <f>Intereses_Residual_Mensual!P89</f>
        <v/>
      </c>
      <c r="AR89" s="23">
        <f>ROUND(AN89 + AQ89, 2)</f>
        <v/>
      </c>
      <c r="AS89" s="23">
        <f>Intereses_Leasing_Mensual!Q89</f>
        <v/>
      </c>
      <c r="AT89" s="23">
        <f>Amortizacion_Capital_Mensual!R89</f>
        <v/>
      </c>
      <c r="AU89" s="23">
        <f>Saldos_Capital_Mensual!Q89</f>
        <v/>
      </c>
      <c r="AV89" s="23">
        <f>Intereses_Residual_Mensual!Q89</f>
        <v/>
      </c>
      <c r="AW89" s="23">
        <f>ROUND(AS89 + AV89, 2)</f>
        <v/>
      </c>
      <c r="AX89" s="23">
        <f>Intereses_Leasing_Mensual!R89</f>
        <v/>
      </c>
      <c r="AY89" s="23">
        <f>Amortizacion_Capital_Mensual!S89</f>
        <v/>
      </c>
      <c r="AZ89" s="23">
        <f>Saldos_Capital_Mensual!R89</f>
        <v/>
      </c>
      <c r="BA89" s="23">
        <f>Intereses_Residual_Mensual!R89</f>
        <v/>
      </c>
      <c r="BB89" s="23">
        <f>ROUND(AX89 + BA89, 2)</f>
        <v/>
      </c>
      <c r="BC89" s="23">
        <f>Intereses_Leasing_Mensual!S89</f>
        <v/>
      </c>
      <c r="BD89" s="23">
        <f>Amortizacion_Capital_Mensual!T89</f>
        <v/>
      </c>
      <c r="BE89" s="23">
        <f>Saldos_Capital_Mensual!S89</f>
        <v/>
      </c>
      <c r="BF89" s="23">
        <f>Intereses_Residual_Mensual!S89</f>
        <v/>
      </c>
      <c r="BG89" s="23">
        <f>ROUND(BC89 + BF89, 2)</f>
        <v/>
      </c>
      <c r="BH89" s="23">
        <f>Intereses_Leasing_Mensual!T89</f>
        <v/>
      </c>
      <c r="BI89" s="23">
        <f>Amortizacion_Capital_Mensual!U89</f>
        <v/>
      </c>
      <c r="BJ89" s="23">
        <f>Saldos_Capital_Mensual!T89</f>
        <v/>
      </c>
      <c r="BK89" s="23">
        <f>Intereses_Residual_Mensual!T89</f>
        <v/>
      </c>
      <c r="BL89" s="23">
        <f>ROUND(BH89 + BK89, 2)</f>
        <v/>
      </c>
    </row>
    <row r="90">
      <c r="A90" s="26" t="inlineStr">
        <is>
          <t>0635-0004</t>
        </is>
      </c>
      <c r="B90" s="27" t="inlineStr">
        <is>
          <t>Ankara Food Services Sa de CV</t>
        </is>
      </c>
      <c r="C90" s="27" t="inlineStr">
        <is>
          <t>Partner</t>
        </is>
      </c>
      <c r="D90" s="28" t="n">
        <v>36</v>
      </c>
      <c r="E90" s="29">
        <f>Intereses_Leasing_Mensual!I90</f>
        <v/>
      </c>
      <c r="F90" s="29">
        <f>Amortizacion_Capital_Mensual!J90</f>
        <v/>
      </c>
      <c r="G90" s="29">
        <f>Saldos_Capital_Mensual!I90</f>
        <v/>
      </c>
      <c r="H90" s="29">
        <f>Intereses_Residual_Mensual!I90</f>
        <v/>
      </c>
      <c r="I90" s="29">
        <f>ROUND(E90 + H90, 2)</f>
        <v/>
      </c>
      <c r="J90" s="29">
        <f>Intereses_Leasing_Mensual!J90</f>
        <v/>
      </c>
      <c r="K90" s="29">
        <f>Amortizacion_Capital_Mensual!K90</f>
        <v/>
      </c>
      <c r="L90" s="29">
        <f>Saldos_Capital_Mensual!J90</f>
        <v/>
      </c>
      <c r="M90" s="29">
        <f>Intereses_Residual_Mensual!J90</f>
        <v/>
      </c>
      <c r="N90" s="29">
        <f>ROUND(J90 + M90, 2)</f>
        <v/>
      </c>
      <c r="O90" s="29">
        <f>Intereses_Leasing_Mensual!K90</f>
        <v/>
      </c>
      <c r="P90" s="29">
        <f>Amortizacion_Capital_Mensual!L90</f>
        <v/>
      </c>
      <c r="Q90" s="29">
        <f>Saldos_Capital_Mensual!K90</f>
        <v/>
      </c>
      <c r="R90" s="29">
        <f>Intereses_Residual_Mensual!K90</f>
        <v/>
      </c>
      <c r="S90" s="29">
        <f>ROUND(O90 + R90, 2)</f>
        <v/>
      </c>
      <c r="T90" s="29">
        <f>Intereses_Leasing_Mensual!L90</f>
        <v/>
      </c>
      <c r="U90" s="29">
        <f>Amortizacion_Capital_Mensual!M90</f>
        <v/>
      </c>
      <c r="V90" s="29">
        <f>Saldos_Capital_Mensual!L90</f>
        <v/>
      </c>
      <c r="W90" s="29">
        <f>Intereses_Residual_Mensual!L90</f>
        <v/>
      </c>
      <c r="X90" s="29">
        <f>ROUND(T90 + W90, 2)</f>
        <v/>
      </c>
      <c r="Y90" s="29">
        <f>Intereses_Leasing_Mensual!M90</f>
        <v/>
      </c>
      <c r="Z90" s="29">
        <f>Amortizacion_Capital_Mensual!N90</f>
        <v/>
      </c>
      <c r="AA90" s="29">
        <f>Saldos_Capital_Mensual!M90</f>
        <v/>
      </c>
      <c r="AB90" s="29">
        <f>Intereses_Residual_Mensual!M90</f>
        <v/>
      </c>
      <c r="AC90" s="29">
        <f>ROUND(Y90 + AB90, 2)</f>
        <v/>
      </c>
      <c r="AD90" s="29">
        <f>Intereses_Leasing_Mensual!N90</f>
        <v/>
      </c>
      <c r="AE90" s="29">
        <f>Amortizacion_Capital_Mensual!O90</f>
        <v/>
      </c>
      <c r="AF90" s="29">
        <f>Saldos_Capital_Mensual!N90</f>
        <v/>
      </c>
      <c r="AG90" s="29">
        <f>Intereses_Residual_Mensual!N90</f>
        <v/>
      </c>
      <c r="AH90" s="29">
        <f>ROUND(AD90 + AG90, 2)</f>
        <v/>
      </c>
      <c r="AI90" s="29">
        <f>Intereses_Leasing_Mensual!O90</f>
        <v/>
      </c>
      <c r="AJ90" s="29">
        <f>Amortizacion_Capital_Mensual!P90</f>
        <v/>
      </c>
      <c r="AK90" s="29">
        <f>Saldos_Capital_Mensual!O90</f>
        <v/>
      </c>
      <c r="AL90" s="29">
        <f>Intereses_Residual_Mensual!O90</f>
        <v/>
      </c>
      <c r="AM90" s="29">
        <f>ROUND(AI90 + AL90, 2)</f>
        <v/>
      </c>
      <c r="AN90" s="29">
        <f>Intereses_Leasing_Mensual!P90</f>
        <v/>
      </c>
      <c r="AO90" s="29">
        <f>Amortizacion_Capital_Mensual!Q90</f>
        <v/>
      </c>
      <c r="AP90" s="29">
        <f>Saldos_Capital_Mensual!P90</f>
        <v/>
      </c>
      <c r="AQ90" s="29">
        <f>Intereses_Residual_Mensual!P90</f>
        <v/>
      </c>
      <c r="AR90" s="29">
        <f>ROUND(AN90 + AQ90, 2)</f>
        <v/>
      </c>
      <c r="AS90" s="29">
        <f>Intereses_Leasing_Mensual!Q90</f>
        <v/>
      </c>
      <c r="AT90" s="29">
        <f>Amortizacion_Capital_Mensual!R90</f>
        <v/>
      </c>
      <c r="AU90" s="29">
        <f>Saldos_Capital_Mensual!Q90</f>
        <v/>
      </c>
      <c r="AV90" s="29">
        <f>Intereses_Residual_Mensual!Q90</f>
        <v/>
      </c>
      <c r="AW90" s="29">
        <f>ROUND(AS90 + AV90, 2)</f>
        <v/>
      </c>
      <c r="AX90" s="29">
        <f>Intereses_Leasing_Mensual!R90</f>
        <v/>
      </c>
      <c r="AY90" s="29">
        <f>Amortizacion_Capital_Mensual!S90</f>
        <v/>
      </c>
      <c r="AZ90" s="29">
        <f>Saldos_Capital_Mensual!R90</f>
        <v/>
      </c>
      <c r="BA90" s="29">
        <f>Intereses_Residual_Mensual!R90</f>
        <v/>
      </c>
      <c r="BB90" s="29">
        <f>ROUND(AX90 + BA90, 2)</f>
        <v/>
      </c>
      <c r="BC90" s="29">
        <f>Intereses_Leasing_Mensual!S90</f>
        <v/>
      </c>
      <c r="BD90" s="29">
        <f>Amortizacion_Capital_Mensual!T90</f>
        <v/>
      </c>
      <c r="BE90" s="29">
        <f>Saldos_Capital_Mensual!S90</f>
        <v/>
      </c>
      <c r="BF90" s="29">
        <f>Intereses_Residual_Mensual!S90</f>
        <v/>
      </c>
      <c r="BG90" s="29">
        <f>ROUND(BC90 + BF90, 2)</f>
        <v/>
      </c>
      <c r="BH90" s="29">
        <f>Intereses_Leasing_Mensual!T90</f>
        <v/>
      </c>
      <c r="BI90" s="29">
        <f>Amortizacion_Capital_Mensual!U90</f>
        <v/>
      </c>
      <c r="BJ90" s="29">
        <f>Saldos_Capital_Mensual!T90</f>
        <v/>
      </c>
      <c r="BK90" s="29">
        <f>Intereses_Residual_Mensual!T90</f>
        <v/>
      </c>
      <c r="BL90" s="29">
        <f>ROUND(BH90 + BK90, 2)</f>
        <v/>
      </c>
    </row>
    <row r="91">
      <c r="A91" s="20" t="inlineStr">
        <is>
          <t>0635-0005</t>
        </is>
      </c>
      <c r="B91" s="21" t="inlineStr">
        <is>
          <t>Ankara Food Services Sa de CV</t>
        </is>
      </c>
      <c r="C91" s="21" t="inlineStr">
        <is>
          <t>Manager</t>
        </is>
      </c>
      <c r="D91" s="22" t="n">
        <v>36</v>
      </c>
      <c r="E91" s="23">
        <f>Intereses_Leasing_Mensual!I91</f>
        <v/>
      </c>
      <c r="F91" s="23">
        <f>Amortizacion_Capital_Mensual!J91</f>
        <v/>
      </c>
      <c r="G91" s="23">
        <f>Saldos_Capital_Mensual!I91</f>
        <v/>
      </c>
      <c r="H91" s="23">
        <f>Intereses_Residual_Mensual!I91</f>
        <v/>
      </c>
      <c r="I91" s="23">
        <f>ROUND(E91 + H91, 2)</f>
        <v/>
      </c>
      <c r="J91" s="23">
        <f>Intereses_Leasing_Mensual!J91</f>
        <v/>
      </c>
      <c r="K91" s="23">
        <f>Amortizacion_Capital_Mensual!K91</f>
        <v/>
      </c>
      <c r="L91" s="23">
        <f>Saldos_Capital_Mensual!J91</f>
        <v/>
      </c>
      <c r="M91" s="23">
        <f>Intereses_Residual_Mensual!J91</f>
        <v/>
      </c>
      <c r="N91" s="23">
        <f>ROUND(J91 + M91, 2)</f>
        <v/>
      </c>
      <c r="O91" s="23">
        <f>Intereses_Leasing_Mensual!K91</f>
        <v/>
      </c>
      <c r="P91" s="23">
        <f>Amortizacion_Capital_Mensual!L91</f>
        <v/>
      </c>
      <c r="Q91" s="23">
        <f>Saldos_Capital_Mensual!K91</f>
        <v/>
      </c>
      <c r="R91" s="23">
        <f>Intereses_Residual_Mensual!K91</f>
        <v/>
      </c>
      <c r="S91" s="23">
        <f>ROUND(O91 + R91, 2)</f>
        <v/>
      </c>
      <c r="T91" s="23">
        <f>Intereses_Leasing_Mensual!L91</f>
        <v/>
      </c>
      <c r="U91" s="23">
        <f>Amortizacion_Capital_Mensual!M91</f>
        <v/>
      </c>
      <c r="V91" s="23">
        <f>Saldos_Capital_Mensual!L91</f>
        <v/>
      </c>
      <c r="W91" s="23">
        <f>Intereses_Residual_Mensual!L91</f>
        <v/>
      </c>
      <c r="X91" s="23">
        <f>ROUND(T91 + W91, 2)</f>
        <v/>
      </c>
      <c r="Y91" s="23">
        <f>Intereses_Leasing_Mensual!M91</f>
        <v/>
      </c>
      <c r="Z91" s="23">
        <f>Amortizacion_Capital_Mensual!N91</f>
        <v/>
      </c>
      <c r="AA91" s="23">
        <f>Saldos_Capital_Mensual!M91</f>
        <v/>
      </c>
      <c r="AB91" s="23">
        <f>Intereses_Residual_Mensual!M91</f>
        <v/>
      </c>
      <c r="AC91" s="23">
        <f>ROUND(Y91 + AB91, 2)</f>
        <v/>
      </c>
      <c r="AD91" s="23">
        <f>Intereses_Leasing_Mensual!N91</f>
        <v/>
      </c>
      <c r="AE91" s="23">
        <f>Amortizacion_Capital_Mensual!O91</f>
        <v/>
      </c>
      <c r="AF91" s="23">
        <f>Saldos_Capital_Mensual!N91</f>
        <v/>
      </c>
      <c r="AG91" s="23">
        <f>Intereses_Residual_Mensual!N91</f>
        <v/>
      </c>
      <c r="AH91" s="23">
        <f>ROUND(AD91 + AG91, 2)</f>
        <v/>
      </c>
      <c r="AI91" s="23">
        <f>Intereses_Leasing_Mensual!O91</f>
        <v/>
      </c>
      <c r="AJ91" s="23">
        <f>Amortizacion_Capital_Mensual!P91</f>
        <v/>
      </c>
      <c r="AK91" s="23">
        <f>Saldos_Capital_Mensual!O91</f>
        <v/>
      </c>
      <c r="AL91" s="23">
        <f>Intereses_Residual_Mensual!O91</f>
        <v/>
      </c>
      <c r="AM91" s="23">
        <f>ROUND(AI91 + AL91, 2)</f>
        <v/>
      </c>
      <c r="AN91" s="23">
        <f>Intereses_Leasing_Mensual!P91</f>
        <v/>
      </c>
      <c r="AO91" s="23">
        <f>Amortizacion_Capital_Mensual!Q91</f>
        <v/>
      </c>
      <c r="AP91" s="23">
        <f>Saldos_Capital_Mensual!P91</f>
        <v/>
      </c>
      <c r="AQ91" s="23">
        <f>Intereses_Residual_Mensual!P91</f>
        <v/>
      </c>
      <c r="AR91" s="23">
        <f>ROUND(AN91 + AQ91, 2)</f>
        <v/>
      </c>
      <c r="AS91" s="23">
        <f>Intereses_Leasing_Mensual!Q91</f>
        <v/>
      </c>
      <c r="AT91" s="23">
        <f>Amortizacion_Capital_Mensual!R91</f>
        <v/>
      </c>
      <c r="AU91" s="23">
        <f>Saldos_Capital_Mensual!Q91</f>
        <v/>
      </c>
      <c r="AV91" s="23">
        <f>Intereses_Residual_Mensual!Q91</f>
        <v/>
      </c>
      <c r="AW91" s="23">
        <f>ROUND(AS91 + AV91, 2)</f>
        <v/>
      </c>
      <c r="AX91" s="23">
        <f>Intereses_Leasing_Mensual!R91</f>
        <v/>
      </c>
      <c r="AY91" s="23">
        <f>Amortizacion_Capital_Mensual!S91</f>
        <v/>
      </c>
      <c r="AZ91" s="23">
        <f>Saldos_Capital_Mensual!R91</f>
        <v/>
      </c>
      <c r="BA91" s="23">
        <f>Intereses_Residual_Mensual!R91</f>
        <v/>
      </c>
      <c r="BB91" s="23">
        <f>ROUND(AX91 + BA91, 2)</f>
        <v/>
      </c>
      <c r="BC91" s="23">
        <f>Intereses_Leasing_Mensual!S91</f>
        <v/>
      </c>
      <c r="BD91" s="23">
        <f>Amortizacion_Capital_Mensual!T91</f>
        <v/>
      </c>
      <c r="BE91" s="23">
        <f>Saldos_Capital_Mensual!S91</f>
        <v/>
      </c>
      <c r="BF91" s="23">
        <f>Intereses_Residual_Mensual!S91</f>
        <v/>
      </c>
      <c r="BG91" s="23">
        <f>ROUND(BC91 + BF91, 2)</f>
        <v/>
      </c>
      <c r="BH91" s="23">
        <f>Intereses_Leasing_Mensual!T91</f>
        <v/>
      </c>
      <c r="BI91" s="23">
        <f>Amortizacion_Capital_Mensual!U91</f>
        <v/>
      </c>
      <c r="BJ91" s="23">
        <f>Saldos_Capital_Mensual!T91</f>
        <v/>
      </c>
      <c r="BK91" s="23">
        <f>Intereses_Residual_Mensual!T91</f>
        <v/>
      </c>
      <c r="BL91" s="23">
        <f>ROUND(BH91 + BK91, 2)</f>
        <v/>
      </c>
    </row>
    <row r="92">
      <c r="A92" s="26" t="inlineStr">
        <is>
          <t>0635-0006</t>
        </is>
      </c>
      <c r="B92" s="27" t="inlineStr">
        <is>
          <t>Ankara Food Services Sa de CV</t>
        </is>
      </c>
      <c r="C92" s="27" t="inlineStr">
        <is>
          <t>Mobi</t>
        </is>
      </c>
      <c r="D92" s="28" t="n">
        <v>24</v>
      </c>
      <c r="E92" s="29">
        <f>Intereses_Leasing_Mensual!I92</f>
        <v/>
      </c>
      <c r="F92" s="29">
        <f>Amortizacion_Capital_Mensual!J92</f>
        <v/>
      </c>
      <c r="G92" s="29">
        <f>Saldos_Capital_Mensual!I92</f>
        <v/>
      </c>
      <c r="H92" s="29">
        <f>Intereses_Residual_Mensual!I92</f>
        <v/>
      </c>
      <c r="I92" s="29">
        <f>ROUND(E92 + H92, 2)</f>
        <v/>
      </c>
      <c r="J92" s="29">
        <f>Intereses_Leasing_Mensual!J92</f>
        <v/>
      </c>
      <c r="K92" s="29">
        <f>Amortizacion_Capital_Mensual!K92</f>
        <v/>
      </c>
      <c r="L92" s="29">
        <f>Saldos_Capital_Mensual!J92</f>
        <v/>
      </c>
      <c r="M92" s="29">
        <f>Intereses_Residual_Mensual!J92</f>
        <v/>
      </c>
      <c r="N92" s="29">
        <f>ROUND(J92 + M92, 2)</f>
        <v/>
      </c>
      <c r="O92" s="29">
        <f>Intereses_Leasing_Mensual!K92</f>
        <v/>
      </c>
      <c r="P92" s="29">
        <f>Amortizacion_Capital_Mensual!L92</f>
        <v/>
      </c>
      <c r="Q92" s="29">
        <f>Saldos_Capital_Mensual!K92</f>
        <v/>
      </c>
      <c r="R92" s="29">
        <f>Intereses_Residual_Mensual!K92</f>
        <v/>
      </c>
      <c r="S92" s="29">
        <f>ROUND(O92 + R92, 2)</f>
        <v/>
      </c>
      <c r="T92" s="29">
        <f>Intereses_Leasing_Mensual!L92</f>
        <v/>
      </c>
      <c r="U92" s="29">
        <f>Amortizacion_Capital_Mensual!M92</f>
        <v/>
      </c>
      <c r="V92" s="29">
        <f>Saldos_Capital_Mensual!L92</f>
        <v/>
      </c>
      <c r="W92" s="29">
        <f>Intereses_Residual_Mensual!L92</f>
        <v/>
      </c>
      <c r="X92" s="29">
        <f>ROUND(T92 + W92, 2)</f>
        <v/>
      </c>
      <c r="Y92" s="29">
        <f>Intereses_Leasing_Mensual!M92</f>
        <v/>
      </c>
      <c r="Z92" s="29">
        <f>Amortizacion_Capital_Mensual!N92</f>
        <v/>
      </c>
      <c r="AA92" s="29">
        <f>Saldos_Capital_Mensual!M92</f>
        <v/>
      </c>
      <c r="AB92" s="29">
        <f>Intereses_Residual_Mensual!M92</f>
        <v/>
      </c>
      <c r="AC92" s="29">
        <f>ROUND(Y92 + AB92, 2)</f>
        <v/>
      </c>
      <c r="AD92" s="29">
        <f>Intereses_Leasing_Mensual!N92</f>
        <v/>
      </c>
      <c r="AE92" s="29">
        <f>Amortizacion_Capital_Mensual!O92</f>
        <v/>
      </c>
      <c r="AF92" s="29">
        <f>Saldos_Capital_Mensual!N92</f>
        <v/>
      </c>
      <c r="AG92" s="29">
        <f>Intereses_Residual_Mensual!N92</f>
        <v/>
      </c>
      <c r="AH92" s="29">
        <f>ROUND(AD92 + AG92, 2)</f>
        <v/>
      </c>
      <c r="AI92" s="29">
        <f>Intereses_Leasing_Mensual!O92</f>
        <v/>
      </c>
      <c r="AJ92" s="29">
        <f>Amortizacion_Capital_Mensual!P92</f>
        <v/>
      </c>
      <c r="AK92" s="29">
        <f>Saldos_Capital_Mensual!O92</f>
        <v/>
      </c>
      <c r="AL92" s="29">
        <f>Intereses_Residual_Mensual!O92</f>
        <v/>
      </c>
      <c r="AM92" s="29">
        <f>ROUND(AI92 + AL92, 2)</f>
        <v/>
      </c>
      <c r="AN92" s="29">
        <f>Intereses_Leasing_Mensual!P92</f>
        <v/>
      </c>
      <c r="AO92" s="29">
        <f>Amortizacion_Capital_Mensual!Q92</f>
        <v/>
      </c>
      <c r="AP92" s="29">
        <f>Saldos_Capital_Mensual!P92</f>
        <v/>
      </c>
      <c r="AQ92" s="29">
        <f>Intereses_Residual_Mensual!P92</f>
        <v/>
      </c>
      <c r="AR92" s="29">
        <f>ROUND(AN92 + AQ92, 2)</f>
        <v/>
      </c>
      <c r="AS92" s="29">
        <f>Intereses_Leasing_Mensual!Q92</f>
        <v/>
      </c>
      <c r="AT92" s="29">
        <f>Amortizacion_Capital_Mensual!R92</f>
        <v/>
      </c>
      <c r="AU92" s="29">
        <f>Saldos_Capital_Mensual!Q92</f>
        <v/>
      </c>
      <c r="AV92" s="29">
        <f>Intereses_Residual_Mensual!Q92</f>
        <v/>
      </c>
      <c r="AW92" s="29">
        <f>ROUND(AS92 + AV92, 2)</f>
        <v/>
      </c>
      <c r="AX92" s="29">
        <f>Intereses_Leasing_Mensual!R92</f>
        <v/>
      </c>
      <c r="AY92" s="29">
        <f>Amortizacion_Capital_Mensual!S92</f>
        <v/>
      </c>
      <c r="AZ92" s="29">
        <f>Saldos_Capital_Mensual!R92</f>
        <v/>
      </c>
      <c r="BA92" s="29">
        <f>Intereses_Residual_Mensual!R92</f>
        <v/>
      </c>
      <c r="BB92" s="29">
        <f>ROUND(AX92 + BA92, 2)</f>
        <v/>
      </c>
      <c r="BC92" s="29">
        <f>Intereses_Leasing_Mensual!S92</f>
        <v/>
      </c>
      <c r="BD92" s="29">
        <f>Amortizacion_Capital_Mensual!T92</f>
        <v/>
      </c>
      <c r="BE92" s="29">
        <f>Saldos_Capital_Mensual!S92</f>
        <v/>
      </c>
      <c r="BF92" s="29">
        <f>Intereses_Residual_Mensual!S92</f>
        <v/>
      </c>
      <c r="BG92" s="29">
        <f>ROUND(BC92 + BF92, 2)</f>
        <v/>
      </c>
      <c r="BH92" s="29">
        <f>Intereses_Leasing_Mensual!T92</f>
        <v/>
      </c>
      <c r="BI92" s="29">
        <f>Amortizacion_Capital_Mensual!U92</f>
        <v/>
      </c>
      <c r="BJ92" s="29">
        <f>Saldos_Capital_Mensual!T92</f>
        <v/>
      </c>
      <c r="BK92" s="29">
        <f>Intereses_Residual_Mensual!T92</f>
        <v/>
      </c>
      <c r="BL92" s="29">
        <f>ROUND(BH92 + BK92, 2)</f>
        <v/>
      </c>
    </row>
    <row r="93">
      <c r="A93" s="20" t="inlineStr">
        <is>
          <t>0635-0007</t>
        </is>
      </c>
      <c r="B93" s="21" t="inlineStr">
        <is>
          <t>Ankara Food Services Sa de CV</t>
        </is>
      </c>
      <c r="C93" s="21" t="inlineStr">
        <is>
          <t>Mobi</t>
        </is>
      </c>
      <c r="D93" s="22" t="n">
        <v>24</v>
      </c>
      <c r="E93" s="23">
        <f>Intereses_Leasing_Mensual!I93</f>
        <v/>
      </c>
      <c r="F93" s="23">
        <f>Amortizacion_Capital_Mensual!J93</f>
        <v/>
      </c>
      <c r="G93" s="23">
        <f>Saldos_Capital_Mensual!I93</f>
        <v/>
      </c>
      <c r="H93" s="23">
        <f>Intereses_Residual_Mensual!I93</f>
        <v/>
      </c>
      <c r="I93" s="23">
        <f>ROUND(E93 + H93, 2)</f>
        <v/>
      </c>
      <c r="J93" s="23">
        <f>Intereses_Leasing_Mensual!J93</f>
        <v/>
      </c>
      <c r="K93" s="23">
        <f>Amortizacion_Capital_Mensual!K93</f>
        <v/>
      </c>
      <c r="L93" s="23">
        <f>Saldos_Capital_Mensual!J93</f>
        <v/>
      </c>
      <c r="M93" s="23">
        <f>Intereses_Residual_Mensual!J93</f>
        <v/>
      </c>
      <c r="N93" s="23">
        <f>ROUND(J93 + M93, 2)</f>
        <v/>
      </c>
      <c r="O93" s="23">
        <f>Intereses_Leasing_Mensual!K93</f>
        <v/>
      </c>
      <c r="P93" s="23">
        <f>Amortizacion_Capital_Mensual!L93</f>
        <v/>
      </c>
      <c r="Q93" s="23">
        <f>Saldos_Capital_Mensual!K93</f>
        <v/>
      </c>
      <c r="R93" s="23">
        <f>Intereses_Residual_Mensual!K93</f>
        <v/>
      </c>
      <c r="S93" s="23">
        <f>ROUND(O93 + R93, 2)</f>
        <v/>
      </c>
      <c r="T93" s="23">
        <f>Intereses_Leasing_Mensual!L93</f>
        <v/>
      </c>
      <c r="U93" s="23">
        <f>Amortizacion_Capital_Mensual!M93</f>
        <v/>
      </c>
      <c r="V93" s="23">
        <f>Saldos_Capital_Mensual!L93</f>
        <v/>
      </c>
      <c r="W93" s="23">
        <f>Intereses_Residual_Mensual!L93</f>
        <v/>
      </c>
      <c r="X93" s="23">
        <f>ROUND(T93 + W93, 2)</f>
        <v/>
      </c>
      <c r="Y93" s="23">
        <f>Intereses_Leasing_Mensual!M93</f>
        <v/>
      </c>
      <c r="Z93" s="23">
        <f>Amortizacion_Capital_Mensual!N93</f>
        <v/>
      </c>
      <c r="AA93" s="23">
        <f>Saldos_Capital_Mensual!M93</f>
        <v/>
      </c>
      <c r="AB93" s="23">
        <f>Intereses_Residual_Mensual!M93</f>
        <v/>
      </c>
      <c r="AC93" s="23">
        <f>ROUND(Y93 + AB93, 2)</f>
        <v/>
      </c>
      <c r="AD93" s="23">
        <f>Intereses_Leasing_Mensual!N93</f>
        <v/>
      </c>
      <c r="AE93" s="23">
        <f>Amortizacion_Capital_Mensual!O93</f>
        <v/>
      </c>
      <c r="AF93" s="23">
        <f>Saldos_Capital_Mensual!N93</f>
        <v/>
      </c>
      <c r="AG93" s="23">
        <f>Intereses_Residual_Mensual!N93</f>
        <v/>
      </c>
      <c r="AH93" s="23">
        <f>ROUND(AD93 + AG93, 2)</f>
        <v/>
      </c>
      <c r="AI93" s="23">
        <f>Intereses_Leasing_Mensual!O93</f>
        <v/>
      </c>
      <c r="AJ93" s="23">
        <f>Amortizacion_Capital_Mensual!P93</f>
        <v/>
      </c>
      <c r="AK93" s="23">
        <f>Saldos_Capital_Mensual!O93</f>
        <v/>
      </c>
      <c r="AL93" s="23">
        <f>Intereses_Residual_Mensual!O93</f>
        <v/>
      </c>
      <c r="AM93" s="23">
        <f>ROUND(AI93 + AL93, 2)</f>
        <v/>
      </c>
      <c r="AN93" s="23">
        <f>Intereses_Leasing_Mensual!P93</f>
        <v/>
      </c>
      <c r="AO93" s="23">
        <f>Amortizacion_Capital_Mensual!Q93</f>
        <v/>
      </c>
      <c r="AP93" s="23">
        <f>Saldos_Capital_Mensual!P93</f>
        <v/>
      </c>
      <c r="AQ93" s="23">
        <f>Intereses_Residual_Mensual!P93</f>
        <v/>
      </c>
      <c r="AR93" s="23">
        <f>ROUND(AN93 + AQ93, 2)</f>
        <v/>
      </c>
      <c r="AS93" s="23">
        <f>Intereses_Leasing_Mensual!Q93</f>
        <v/>
      </c>
      <c r="AT93" s="23">
        <f>Amortizacion_Capital_Mensual!R93</f>
        <v/>
      </c>
      <c r="AU93" s="23">
        <f>Saldos_Capital_Mensual!Q93</f>
        <v/>
      </c>
      <c r="AV93" s="23">
        <f>Intereses_Residual_Mensual!Q93</f>
        <v/>
      </c>
      <c r="AW93" s="23">
        <f>ROUND(AS93 + AV93, 2)</f>
        <v/>
      </c>
      <c r="AX93" s="23">
        <f>Intereses_Leasing_Mensual!R93</f>
        <v/>
      </c>
      <c r="AY93" s="23">
        <f>Amortizacion_Capital_Mensual!S93</f>
        <v/>
      </c>
      <c r="AZ93" s="23">
        <f>Saldos_Capital_Mensual!R93</f>
        <v/>
      </c>
      <c r="BA93" s="23">
        <f>Intereses_Residual_Mensual!R93</f>
        <v/>
      </c>
      <c r="BB93" s="23">
        <f>ROUND(AX93 + BA93, 2)</f>
        <v/>
      </c>
      <c r="BC93" s="23">
        <f>Intereses_Leasing_Mensual!S93</f>
        <v/>
      </c>
      <c r="BD93" s="23">
        <f>Amortizacion_Capital_Mensual!T93</f>
        <v/>
      </c>
      <c r="BE93" s="23">
        <f>Saldos_Capital_Mensual!S93</f>
        <v/>
      </c>
      <c r="BF93" s="23">
        <f>Intereses_Residual_Mensual!S93</f>
        <v/>
      </c>
      <c r="BG93" s="23">
        <f>ROUND(BC93 + BF93, 2)</f>
        <v/>
      </c>
      <c r="BH93" s="23">
        <f>Intereses_Leasing_Mensual!T93</f>
        <v/>
      </c>
      <c r="BI93" s="23">
        <f>Amortizacion_Capital_Mensual!U93</f>
        <v/>
      </c>
      <c r="BJ93" s="23">
        <f>Saldos_Capital_Mensual!T93</f>
        <v/>
      </c>
      <c r="BK93" s="23">
        <f>Intereses_Residual_Mensual!T93</f>
        <v/>
      </c>
      <c r="BL93" s="23">
        <f>ROUND(BH93 + BK93, 2)</f>
        <v/>
      </c>
    </row>
    <row r="94">
      <c r="A94" s="26" t="inlineStr">
        <is>
          <t>0635-0008</t>
        </is>
      </c>
      <c r="B94" s="27" t="inlineStr">
        <is>
          <t>Ankara Food Services Sa de CV</t>
        </is>
      </c>
      <c r="C94" s="27" t="inlineStr">
        <is>
          <t>Wrangler 4 XE</t>
        </is>
      </c>
      <c r="D94" s="28" t="n">
        <v>48</v>
      </c>
      <c r="E94" s="29">
        <f>Intereses_Leasing_Mensual!I94</f>
        <v/>
      </c>
      <c r="F94" s="29">
        <f>Amortizacion_Capital_Mensual!J94</f>
        <v/>
      </c>
      <c r="G94" s="29">
        <f>Saldos_Capital_Mensual!I94</f>
        <v/>
      </c>
      <c r="H94" s="29">
        <f>Intereses_Residual_Mensual!I94</f>
        <v/>
      </c>
      <c r="I94" s="29">
        <f>ROUND(E94 + H94, 2)</f>
        <v/>
      </c>
      <c r="J94" s="29">
        <f>Intereses_Leasing_Mensual!J94</f>
        <v/>
      </c>
      <c r="K94" s="29">
        <f>Amortizacion_Capital_Mensual!K94</f>
        <v/>
      </c>
      <c r="L94" s="29">
        <f>Saldos_Capital_Mensual!J94</f>
        <v/>
      </c>
      <c r="M94" s="29">
        <f>Intereses_Residual_Mensual!J94</f>
        <v/>
      </c>
      <c r="N94" s="29">
        <f>ROUND(J94 + M94, 2)</f>
        <v/>
      </c>
      <c r="O94" s="29">
        <f>Intereses_Leasing_Mensual!K94</f>
        <v/>
      </c>
      <c r="P94" s="29">
        <f>Amortizacion_Capital_Mensual!L94</f>
        <v/>
      </c>
      <c r="Q94" s="29">
        <f>Saldos_Capital_Mensual!K94</f>
        <v/>
      </c>
      <c r="R94" s="29">
        <f>Intereses_Residual_Mensual!K94</f>
        <v/>
      </c>
      <c r="S94" s="29">
        <f>ROUND(O94 + R94, 2)</f>
        <v/>
      </c>
      <c r="T94" s="29">
        <f>Intereses_Leasing_Mensual!L94</f>
        <v/>
      </c>
      <c r="U94" s="29">
        <f>Amortizacion_Capital_Mensual!M94</f>
        <v/>
      </c>
      <c r="V94" s="29">
        <f>Saldos_Capital_Mensual!L94</f>
        <v/>
      </c>
      <c r="W94" s="29">
        <f>Intereses_Residual_Mensual!L94</f>
        <v/>
      </c>
      <c r="X94" s="29">
        <f>ROUND(T94 + W94, 2)</f>
        <v/>
      </c>
      <c r="Y94" s="29">
        <f>Intereses_Leasing_Mensual!M94</f>
        <v/>
      </c>
      <c r="Z94" s="29">
        <f>Amortizacion_Capital_Mensual!N94</f>
        <v/>
      </c>
      <c r="AA94" s="29">
        <f>Saldos_Capital_Mensual!M94</f>
        <v/>
      </c>
      <c r="AB94" s="29">
        <f>Intereses_Residual_Mensual!M94</f>
        <v/>
      </c>
      <c r="AC94" s="29">
        <f>ROUND(Y94 + AB94, 2)</f>
        <v/>
      </c>
      <c r="AD94" s="29">
        <f>Intereses_Leasing_Mensual!N94</f>
        <v/>
      </c>
      <c r="AE94" s="29">
        <f>Amortizacion_Capital_Mensual!O94</f>
        <v/>
      </c>
      <c r="AF94" s="29">
        <f>Saldos_Capital_Mensual!N94</f>
        <v/>
      </c>
      <c r="AG94" s="29">
        <f>Intereses_Residual_Mensual!N94</f>
        <v/>
      </c>
      <c r="AH94" s="29">
        <f>ROUND(AD94 + AG94, 2)</f>
        <v/>
      </c>
      <c r="AI94" s="29">
        <f>Intereses_Leasing_Mensual!O94</f>
        <v/>
      </c>
      <c r="AJ94" s="29">
        <f>Amortizacion_Capital_Mensual!P94</f>
        <v/>
      </c>
      <c r="AK94" s="29">
        <f>Saldos_Capital_Mensual!O94</f>
        <v/>
      </c>
      <c r="AL94" s="29">
        <f>Intereses_Residual_Mensual!O94</f>
        <v/>
      </c>
      <c r="AM94" s="29">
        <f>ROUND(AI94 + AL94, 2)</f>
        <v/>
      </c>
      <c r="AN94" s="29">
        <f>Intereses_Leasing_Mensual!P94</f>
        <v/>
      </c>
      <c r="AO94" s="29">
        <f>Amortizacion_Capital_Mensual!Q94</f>
        <v/>
      </c>
      <c r="AP94" s="29">
        <f>Saldos_Capital_Mensual!P94</f>
        <v/>
      </c>
      <c r="AQ94" s="29">
        <f>Intereses_Residual_Mensual!P94</f>
        <v/>
      </c>
      <c r="AR94" s="29">
        <f>ROUND(AN94 + AQ94, 2)</f>
        <v/>
      </c>
      <c r="AS94" s="29">
        <f>Intereses_Leasing_Mensual!Q94</f>
        <v/>
      </c>
      <c r="AT94" s="29">
        <f>Amortizacion_Capital_Mensual!R94</f>
        <v/>
      </c>
      <c r="AU94" s="29">
        <f>Saldos_Capital_Mensual!Q94</f>
        <v/>
      </c>
      <c r="AV94" s="29">
        <f>Intereses_Residual_Mensual!Q94</f>
        <v/>
      </c>
      <c r="AW94" s="29">
        <f>ROUND(AS94 + AV94, 2)</f>
        <v/>
      </c>
      <c r="AX94" s="29">
        <f>Intereses_Leasing_Mensual!R94</f>
        <v/>
      </c>
      <c r="AY94" s="29">
        <f>Amortizacion_Capital_Mensual!S94</f>
        <v/>
      </c>
      <c r="AZ94" s="29">
        <f>Saldos_Capital_Mensual!R94</f>
        <v/>
      </c>
      <c r="BA94" s="29">
        <f>Intereses_Residual_Mensual!R94</f>
        <v/>
      </c>
      <c r="BB94" s="29">
        <f>ROUND(AX94 + BA94, 2)</f>
        <v/>
      </c>
      <c r="BC94" s="29">
        <f>Intereses_Leasing_Mensual!S94</f>
        <v/>
      </c>
      <c r="BD94" s="29">
        <f>Amortizacion_Capital_Mensual!T94</f>
        <v/>
      </c>
      <c r="BE94" s="29">
        <f>Saldos_Capital_Mensual!S94</f>
        <v/>
      </c>
      <c r="BF94" s="29">
        <f>Intereses_Residual_Mensual!S94</f>
        <v/>
      </c>
      <c r="BG94" s="29">
        <f>ROUND(BC94 + BF94, 2)</f>
        <v/>
      </c>
      <c r="BH94" s="29">
        <f>Intereses_Leasing_Mensual!T94</f>
        <v/>
      </c>
      <c r="BI94" s="29">
        <f>Amortizacion_Capital_Mensual!U94</f>
        <v/>
      </c>
      <c r="BJ94" s="29">
        <f>Saldos_Capital_Mensual!T94</f>
        <v/>
      </c>
      <c r="BK94" s="29">
        <f>Intereses_Residual_Mensual!T94</f>
        <v/>
      </c>
      <c r="BL94" s="29">
        <f>ROUND(BH94 + BK94, 2)</f>
        <v/>
      </c>
    </row>
    <row r="95">
      <c r="A95" s="20" t="inlineStr">
        <is>
          <t>0640-0001</t>
        </is>
      </c>
      <c r="B95" s="21" t="inlineStr">
        <is>
          <t>Marco Abner Hernand Barragan</t>
        </is>
      </c>
      <c r="C95" s="21" t="inlineStr">
        <is>
          <t>RIFTER</t>
        </is>
      </c>
      <c r="D95" s="22" t="n">
        <v>48</v>
      </c>
      <c r="E95" s="23">
        <f>Intereses_Leasing_Mensual!I95</f>
        <v/>
      </c>
      <c r="F95" s="23">
        <f>Amortizacion_Capital_Mensual!J95</f>
        <v/>
      </c>
      <c r="G95" s="23">
        <f>Saldos_Capital_Mensual!I95</f>
        <v/>
      </c>
      <c r="H95" s="23">
        <f>Intereses_Residual_Mensual!I95</f>
        <v/>
      </c>
      <c r="I95" s="23">
        <f>ROUND(E95 + H95, 2)</f>
        <v/>
      </c>
      <c r="J95" s="23">
        <f>Intereses_Leasing_Mensual!J95</f>
        <v/>
      </c>
      <c r="K95" s="23">
        <f>Amortizacion_Capital_Mensual!K95</f>
        <v/>
      </c>
      <c r="L95" s="23">
        <f>Saldos_Capital_Mensual!J95</f>
        <v/>
      </c>
      <c r="M95" s="23">
        <f>Intereses_Residual_Mensual!J95</f>
        <v/>
      </c>
      <c r="N95" s="23">
        <f>ROUND(J95 + M95, 2)</f>
        <v/>
      </c>
      <c r="O95" s="23">
        <f>Intereses_Leasing_Mensual!K95</f>
        <v/>
      </c>
      <c r="P95" s="23">
        <f>Amortizacion_Capital_Mensual!L95</f>
        <v/>
      </c>
      <c r="Q95" s="23">
        <f>Saldos_Capital_Mensual!K95</f>
        <v/>
      </c>
      <c r="R95" s="23">
        <f>Intereses_Residual_Mensual!K95</f>
        <v/>
      </c>
      <c r="S95" s="23">
        <f>ROUND(O95 + R95, 2)</f>
        <v/>
      </c>
      <c r="T95" s="23">
        <f>Intereses_Leasing_Mensual!L95</f>
        <v/>
      </c>
      <c r="U95" s="23">
        <f>Amortizacion_Capital_Mensual!M95</f>
        <v/>
      </c>
      <c r="V95" s="23">
        <f>Saldos_Capital_Mensual!L95</f>
        <v/>
      </c>
      <c r="W95" s="23">
        <f>Intereses_Residual_Mensual!L95</f>
        <v/>
      </c>
      <c r="X95" s="23">
        <f>ROUND(T95 + W95, 2)</f>
        <v/>
      </c>
      <c r="Y95" s="23">
        <f>Intereses_Leasing_Mensual!M95</f>
        <v/>
      </c>
      <c r="Z95" s="23">
        <f>Amortizacion_Capital_Mensual!N95</f>
        <v/>
      </c>
      <c r="AA95" s="23">
        <f>Saldos_Capital_Mensual!M95</f>
        <v/>
      </c>
      <c r="AB95" s="23">
        <f>Intereses_Residual_Mensual!M95</f>
        <v/>
      </c>
      <c r="AC95" s="23">
        <f>ROUND(Y95 + AB95, 2)</f>
        <v/>
      </c>
      <c r="AD95" s="23">
        <f>Intereses_Leasing_Mensual!N95</f>
        <v/>
      </c>
      <c r="AE95" s="23">
        <f>Amortizacion_Capital_Mensual!O95</f>
        <v/>
      </c>
      <c r="AF95" s="23">
        <f>Saldos_Capital_Mensual!N95</f>
        <v/>
      </c>
      <c r="AG95" s="23">
        <f>Intereses_Residual_Mensual!N95</f>
        <v/>
      </c>
      <c r="AH95" s="23">
        <f>ROUND(AD95 + AG95, 2)</f>
        <v/>
      </c>
      <c r="AI95" s="23">
        <f>Intereses_Leasing_Mensual!O95</f>
        <v/>
      </c>
      <c r="AJ95" s="23">
        <f>Amortizacion_Capital_Mensual!P95</f>
        <v/>
      </c>
      <c r="AK95" s="23">
        <f>Saldos_Capital_Mensual!O95</f>
        <v/>
      </c>
      <c r="AL95" s="23">
        <f>Intereses_Residual_Mensual!O95</f>
        <v/>
      </c>
      <c r="AM95" s="23">
        <f>ROUND(AI95 + AL95, 2)</f>
        <v/>
      </c>
      <c r="AN95" s="23">
        <f>Intereses_Leasing_Mensual!P95</f>
        <v/>
      </c>
      <c r="AO95" s="23">
        <f>Amortizacion_Capital_Mensual!Q95</f>
        <v/>
      </c>
      <c r="AP95" s="23">
        <f>Saldos_Capital_Mensual!P95</f>
        <v/>
      </c>
      <c r="AQ95" s="23">
        <f>Intereses_Residual_Mensual!P95</f>
        <v/>
      </c>
      <c r="AR95" s="23">
        <f>ROUND(AN95 + AQ95, 2)</f>
        <v/>
      </c>
      <c r="AS95" s="23">
        <f>Intereses_Leasing_Mensual!Q95</f>
        <v/>
      </c>
      <c r="AT95" s="23">
        <f>Amortizacion_Capital_Mensual!R95</f>
        <v/>
      </c>
      <c r="AU95" s="23">
        <f>Saldos_Capital_Mensual!Q95</f>
        <v/>
      </c>
      <c r="AV95" s="23">
        <f>Intereses_Residual_Mensual!Q95</f>
        <v/>
      </c>
      <c r="AW95" s="23">
        <f>ROUND(AS95 + AV95, 2)</f>
        <v/>
      </c>
      <c r="AX95" s="23">
        <f>Intereses_Leasing_Mensual!R95</f>
        <v/>
      </c>
      <c r="AY95" s="23">
        <f>Amortizacion_Capital_Mensual!S95</f>
        <v/>
      </c>
      <c r="AZ95" s="23">
        <f>Saldos_Capital_Mensual!R95</f>
        <v/>
      </c>
      <c r="BA95" s="23">
        <f>Intereses_Residual_Mensual!R95</f>
        <v/>
      </c>
      <c r="BB95" s="23">
        <f>ROUND(AX95 + BA95, 2)</f>
        <v/>
      </c>
      <c r="BC95" s="23">
        <f>Intereses_Leasing_Mensual!S95</f>
        <v/>
      </c>
      <c r="BD95" s="23">
        <f>Amortizacion_Capital_Mensual!T95</f>
        <v/>
      </c>
      <c r="BE95" s="23">
        <f>Saldos_Capital_Mensual!S95</f>
        <v/>
      </c>
      <c r="BF95" s="23">
        <f>Intereses_Residual_Mensual!S95</f>
        <v/>
      </c>
      <c r="BG95" s="23">
        <f>ROUND(BC95 + BF95, 2)</f>
        <v/>
      </c>
      <c r="BH95" s="23">
        <f>Intereses_Leasing_Mensual!T95</f>
        <v/>
      </c>
      <c r="BI95" s="23">
        <f>Amortizacion_Capital_Mensual!U95</f>
        <v/>
      </c>
      <c r="BJ95" s="23">
        <f>Saldos_Capital_Mensual!T95</f>
        <v/>
      </c>
      <c r="BK95" s="23">
        <f>Intereses_Residual_Mensual!T95</f>
        <v/>
      </c>
      <c r="BL95" s="23">
        <f>ROUND(BH95 + BK95, 2)</f>
        <v/>
      </c>
    </row>
    <row r="96">
      <c r="A96" s="26" t="inlineStr">
        <is>
          <t>0641-0001</t>
        </is>
      </c>
      <c r="B96" s="27" t="inlineStr">
        <is>
          <t>Agrideaz Sa de Cv</t>
        </is>
      </c>
      <c r="C96" s="27" t="inlineStr">
        <is>
          <t>Pulse Audace</t>
        </is>
      </c>
      <c r="D96" s="28" t="n">
        <v>36</v>
      </c>
      <c r="E96" s="29">
        <f>Intereses_Leasing_Mensual!I96</f>
        <v/>
      </c>
      <c r="F96" s="29">
        <f>Amortizacion_Capital_Mensual!J96</f>
        <v/>
      </c>
      <c r="G96" s="29">
        <f>Saldos_Capital_Mensual!I96</f>
        <v/>
      </c>
      <c r="H96" s="29">
        <f>Intereses_Residual_Mensual!I96</f>
        <v/>
      </c>
      <c r="I96" s="29">
        <f>ROUND(E96 + H96, 2)</f>
        <v/>
      </c>
      <c r="J96" s="29">
        <f>Intereses_Leasing_Mensual!J96</f>
        <v/>
      </c>
      <c r="K96" s="29">
        <f>Amortizacion_Capital_Mensual!K96</f>
        <v/>
      </c>
      <c r="L96" s="29">
        <f>Saldos_Capital_Mensual!J96</f>
        <v/>
      </c>
      <c r="M96" s="29">
        <f>Intereses_Residual_Mensual!J96</f>
        <v/>
      </c>
      <c r="N96" s="29">
        <f>ROUND(J96 + M96, 2)</f>
        <v/>
      </c>
      <c r="O96" s="29">
        <f>Intereses_Leasing_Mensual!K96</f>
        <v/>
      </c>
      <c r="P96" s="29">
        <f>Amortizacion_Capital_Mensual!L96</f>
        <v/>
      </c>
      <c r="Q96" s="29">
        <f>Saldos_Capital_Mensual!K96</f>
        <v/>
      </c>
      <c r="R96" s="29">
        <f>Intereses_Residual_Mensual!K96</f>
        <v/>
      </c>
      <c r="S96" s="29">
        <f>ROUND(O96 + R96, 2)</f>
        <v/>
      </c>
      <c r="T96" s="29">
        <f>Intereses_Leasing_Mensual!L96</f>
        <v/>
      </c>
      <c r="U96" s="29">
        <f>Amortizacion_Capital_Mensual!M96</f>
        <v/>
      </c>
      <c r="V96" s="29">
        <f>Saldos_Capital_Mensual!L96</f>
        <v/>
      </c>
      <c r="W96" s="29">
        <f>Intereses_Residual_Mensual!L96</f>
        <v/>
      </c>
      <c r="X96" s="29">
        <f>ROUND(T96 + W96, 2)</f>
        <v/>
      </c>
      <c r="Y96" s="29">
        <f>Intereses_Leasing_Mensual!M96</f>
        <v/>
      </c>
      <c r="Z96" s="29">
        <f>Amortizacion_Capital_Mensual!N96</f>
        <v/>
      </c>
      <c r="AA96" s="29">
        <f>Saldos_Capital_Mensual!M96</f>
        <v/>
      </c>
      <c r="AB96" s="29">
        <f>Intereses_Residual_Mensual!M96</f>
        <v/>
      </c>
      <c r="AC96" s="29">
        <f>ROUND(Y96 + AB96, 2)</f>
        <v/>
      </c>
      <c r="AD96" s="29">
        <f>Intereses_Leasing_Mensual!N96</f>
        <v/>
      </c>
      <c r="AE96" s="29">
        <f>Amortizacion_Capital_Mensual!O96</f>
        <v/>
      </c>
      <c r="AF96" s="29">
        <f>Saldos_Capital_Mensual!N96</f>
        <v/>
      </c>
      <c r="AG96" s="29">
        <f>Intereses_Residual_Mensual!N96</f>
        <v/>
      </c>
      <c r="AH96" s="29">
        <f>ROUND(AD96 + AG96, 2)</f>
        <v/>
      </c>
      <c r="AI96" s="29">
        <f>Intereses_Leasing_Mensual!O96</f>
        <v/>
      </c>
      <c r="AJ96" s="29">
        <f>Amortizacion_Capital_Mensual!P96</f>
        <v/>
      </c>
      <c r="AK96" s="29">
        <f>Saldos_Capital_Mensual!O96</f>
        <v/>
      </c>
      <c r="AL96" s="29">
        <f>Intereses_Residual_Mensual!O96</f>
        <v/>
      </c>
      <c r="AM96" s="29">
        <f>ROUND(AI96 + AL96, 2)</f>
        <v/>
      </c>
      <c r="AN96" s="29">
        <f>Intereses_Leasing_Mensual!P96</f>
        <v/>
      </c>
      <c r="AO96" s="29">
        <f>Amortizacion_Capital_Mensual!Q96</f>
        <v/>
      </c>
      <c r="AP96" s="29">
        <f>Saldos_Capital_Mensual!P96</f>
        <v/>
      </c>
      <c r="AQ96" s="29">
        <f>Intereses_Residual_Mensual!P96</f>
        <v/>
      </c>
      <c r="AR96" s="29">
        <f>ROUND(AN96 + AQ96, 2)</f>
        <v/>
      </c>
      <c r="AS96" s="29">
        <f>Intereses_Leasing_Mensual!Q96</f>
        <v/>
      </c>
      <c r="AT96" s="29">
        <f>Amortizacion_Capital_Mensual!R96</f>
        <v/>
      </c>
      <c r="AU96" s="29">
        <f>Saldos_Capital_Mensual!Q96</f>
        <v/>
      </c>
      <c r="AV96" s="29">
        <f>Intereses_Residual_Mensual!Q96</f>
        <v/>
      </c>
      <c r="AW96" s="29">
        <f>ROUND(AS96 + AV96, 2)</f>
        <v/>
      </c>
      <c r="AX96" s="29">
        <f>Intereses_Leasing_Mensual!R96</f>
        <v/>
      </c>
      <c r="AY96" s="29">
        <f>Amortizacion_Capital_Mensual!S96</f>
        <v/>
      </c>
      <c r="AZ96" s="29">
        <f>Saldos_Capital_Mensual!R96</f>
        <v/>
      </c>
      <c r="BA96" s="29">
        <f>Intereses_Residual_Mensual!R96</f>
        <v/>
      </c>
      <c r="BB96" s="29">
        <f>ROUND(AX96 + BA96, 2)</f>
        <v/>
      </c>
      <c r="BC96" s="29">
        <f>Intereses_Leasing_Mensual!S96</f>
        <v/>
      </c>
      <c r="BD96" s="29">
        <f>Amortizacion_Capital_Mensual!T96</f>
        <v/>
      </c>
      <c r="BE96" s="29">
        <f>Saldos_Capital_Mensual!S96</f>
        <v/>
      </c>
      <c r="BF96" s="29">
        <f>Intereses_Residual_Mensual!S96</f>
        <v/>
      </c>
      <c r="BG96" s="29">
        <f>ROUND(BC96 + BF96, 2)</f>
        <v/>
      </c>
      <c r="BH96" s="29">
        <f>Intereses_Leasing_Mensual!T96</f>
        <v/>
      </c>
      <c r="BI96" s="29">
        <f>Amortizacion_Capital_Mensual!U96</f>
        <v/>
      </c>
      <c r="BJ96" s="29">
        <f>Saldos_Capital_Mensual!T96</f>
        <v/>
      </c>
      <c r="BK96" s="29">
        <f>Intereses_Residual_Mensual!T96</f>
        <v/>
      </c>
      <c r="BL96" s="29">
        <f>ROUND(BH96 + BK96, 2)</f>
        <v/>
      </c>
    </row>
    <row r="97">
      <c r="A97" s="20" t="inlineStr">
        <is>
          <t>0641-0002</t>
        </is>
      </c>
      <c r="B97" s="21" t="inlineStr">
        <is>
          <t>Agrideaz Sa de Cv</t>
        </is>
      </c>
      <c r="C97" s="21" t="inlineStr">
        <is>
          <t>MOBI</t>
        </is>
      </c>
      <c r="D97" s="22" t="n">
        <v>36</v>
      </c>
      <c r="E97" s="23">
        <f>Intereses_Leasing_Mensual!I97</f>
        <v/>
      </c>
      <c r="F97" s="23">
        <f>Amortizacion_Capital_Mensual!J97</f>
        <v/>
      </c>
      <c r="G97" s="23">
        <f>Saldos_Capital_Mensual!I97</f>
        <v/>
      </c>
      <c r="H97" s="23">
        <f>Intereses_Residual_Mensual!I97</f>
        <v/>
      </c>
      <c r="I97" s="23">
        <f>ROUND(E97 + H97, 2)</f>
        <v/>
      </c>
      <c r="J97" s="23">
        <f>Intereses_Leasing_Mensual!J97</f>
        <v/>
      </c>
      <c r="K97" s="23">
        <f>Amortizacion_Capital_Mensual!K97</f>
        <v/>
      </c>
      <c r="L97" s="23">
        <f>Saldos_Capital_Mensual!J97</f>
        <v/>
      </c>
      <c r="M97" s="23">
        <f>Intereses_Residual_Mensual!J97</f>
        <v/>
      </c>
      <c r="N97" s="23">
        <f>ROUND(J97 + M97, 2)</f>
        <v/>
      </c>
      <c r="O97" s="23">
        <f>Intereses_Leasing_Mensual!K97</f>
        <v/>
      </c>
      <c r="P97" s="23">
        <f>Amortizacion_Capital_Mensual!L97</f>
        <v/>
      </c>
      <c r="Q97" s="23">
        <f>Saldos_Capital_Mensual!K97</f>
        <v/>
      </c>
      <c r="R97" s="23">
        <f>Intereses_Residual_Mensual!K97</f>
        <v/>
      </c>
      <c r="S97" s="23">
        <f>ROUND(O97 + R97, 2)</f>
        <v/>
      </c>
      <c r="T97" s="23">
        <f>Intereses_Leasing_Mensual!L97</f>
        <v/>
      </c>
      <c r="U97" s="23">
        <f>Amortizacion_Capital_Mensual!M97</f>
        <v/>
      </c>
      <c r="V97" s="23">
        <f>Saldos_Capital_Mensual!L97</f>
        <v/>
      </c>
      <c r="W97" s="23">
        <f>Intereses_Residual_Mensual!L97</f>
        <v/>
      </c>
      <c r="X97" s="23">
        <f>ROUND(T97 + W97, 2)</f>
        <v/>
      </c>
      <c r="Y97" s="23">
        <f>Intereses_Leasing_Mensual!M97</f>
        <v/>
      </c>
      <c r="Z97" s="23">
        <f>Amortizacion_Capital_Mensual!N97</f>
        <v/>
      </c>
      <c r="AA97" s="23">
        <f>Saldos_Capital_Mensual!M97</f>
        <v/>
      </c>
      <c r="AB97" s="23">
        <f>Intereses_Residual_Mensual!M97</f>
        <v/>
      </c>
      <c r="AC97" s="23">
        <f>ROUND(Y97 + AB97, 2)</f>
        <v/>
      </c>
      <c r="AD97" s="23">
        <f>Intereses_Leasing_Mensual!N97</f>
        <v/>
      </c>
      <c r="AE97" s="23">
        <f>Amortizacion_Capital_Mensual!O97</f>
        <v/>
      </c>
      <c r="AF97" s="23">
        <f>Saldos_Capital_Mensual!N97</f>
        <v/>
      </c>
      <c r="AG97" s="23">
        <f>Intereses_Residual_Mensual!N97</f>
        <v/>
      </c>
      <c r="AH97" s="23">
        <f>ROUND(AD97 + AG97, 2)</f>
        <v/>
      </c>
      <c r="AI97" s="23">
        <f>Intereses_Leasing_Mensual!O97</f>
        <v/>
      </c>
      <c r="AJ97" s="23">
        <f>Amortizacion_Capital_Mensual!P97</f>
        <v/>
      </c>
      <c r="AK97" s="23">
        <f>Saldos_Capital_Mensual!O97</f>
        <v/>
      </c>
      <c r="AL97" s="23">
        <f>Intereses_Residual_Mensual!O97</f>
        <v/>
      </c>
      <c r="AM97" s="23">
        <f>ROUND(AI97 + AL97, 2)</f>
        <v/>
      </c>
      <c r="AN97" s="23">
        <f>Intereses_Leasing_Mensual!P97</f>
        <v/>
      </c>
      <c r="AO97" s="23">
        <f>Amortizacion_Capital_Mensual!Q97</f>
        <v/>
      </c>
      <c r="AP97" s="23">
        <f>Saldos_Capital_Mensual!P97</f>
        <v/>
      </c>
      <c r="AQ97" s="23">
        <f>Intereses_Residual_Mensual!P97</f>
        <v/>
      </c>
      <c r="AR97" s="23">
        <f>ROUND(AN97 + AQ97, 2)</f>
        <v/>
      </c>
      <c r="AS97" s="23">
        <f>Intereses_Leasing_Mensual!Q97</f>
        <v/>
      </c>
      <c r="AT97" s="23">
        <f>Amortizacion_Capital_Mensual!R97</f>
        <v/>
      </c>
      <c r="AU97" s="23">
        <f>Saldos_Capital_Mensual!Q97</f>
        <v/>
      </c>
      <c r="AV97" s="23">
        <f>Intereses_Residual_Mensual!Q97</f>
        <v/>
      </c>
      <c r="AW97" s="23">
        <f>ROUND(AS97 + AV97, 2)</f>
        <v/>
      </c>
      <c r="AX97" s="23">
        <f>Intereses_Leasing_Mensual!R97</f>
        <v/>
      </c>
      <c r="AY97" s="23">
        <f>Amortizacion_Capital_Mensual!S97</f>
        <v/>
      </c>
      <c r="AZ97" s="23">
        <f>Saldos_Capital_Mensual!R97</f>
        <v/>
      </c>
      <c r="BA97" s="23">
        <f>Intereses_Residual_Mensual!R97</f>
        <v/>
      </c>
      <c r="BB97" s="23">
        <f>ROUND(AX97 + BA97, 2)</f>
        <v/>
      </c>
      <c r="BC97" s="23">
        <f>Intereses_Leasing_Mensual!S97</f>
        <v/>
      </c>
      <c r="BD97" s="23">
        <f>Amortizacion_Capital_Mensual!T97</f>
        <v/>
      </c>
      <c r="BE97" s="23">
        <f>Saldos_Capital_Mensual!S97</f>
        <v/>
      </c>
      <c r="BF97" s="23">
        <f>Intereses_Residual_Mensual!S97</f>
        <v/>
      </c>
      <c r="BG97" s="23">
        <f>ROUND(BC97 + BF97, 2)</f>
        <v/>
      </c>
      <c r="BH97" s="23">
        <f>Intereses_Leasing_Mensual!T97</f>
        <v/>
      </c>
      <c r="BI97" s="23">
        <f>Amortizacion_Capital_Mensual!U97</f>
        <v/>
      </c>
      <c r="BJ97" s="23">
        <f>Saldos_Capital_Mensual!T97</f>
        <v/>
      </c>
      <c r="BK97" s="23">
        <f>Intereses_Residual_Mensual!T97</f>
        <v/>
      </c>
      <c r="BL97" s="23">
        <f>ROUND(BH97 + BK97, 2)</f>
        <v/>
      </c>
    </row>
    <row r="98">
      <c r="A98" s="26" t="inlineStr">
        <is>
          <t>0642-0001</t>
        </is>
      </c>
      <c r="B98" s="27" t="inlineStr">
        <is>
          <t>Incubadora de Occidente Sa de Cv</t>
        </is>
      </c>
      <c r="C98" s="27" t="inlineStr">
        <is>
          <t>GRAND CHEROKEE LIMITED</t>
        </is>
      </c>
      <c r="D98" s="28" t="n">
        <v>48</v>
      </c>
      <c r="E98" s="29">
        <f>Intereses_Leasing_Mensual!I98</f>
        <v/>
      </c>
      <c r="F98" s="29">
        <f>Amortizacion_Capital_Mensual!J98</f>
        <v/>
      </c>
      <c r="G98" s="29">
        <f>Saldos_Capital_Mensual!I98</f>
        <v/>
      </c>
      <c r="H98" s="29">
        <f>Intereses_Residual_Mensual!I98</f>
        <v/>
      </c>
      <c r="I98" s="29">
        <f>ROUND(E98 + H98, 2)</f>
        <v/>
      </c>
      <c r="J98" s="29">
        <f>Intereses_Leasing_Mensual!J98</f>
        <v/>
      </c>
      <c r="K98" s="29">
        <f>Amortizacion_Capital_Mensual!K98</f>
        <v/>
      </c>
      <c r="L98" s="29">
        <f>Saldos_Capital_Mensual!J98</f>
        <v/>
      </c>
      <c r="M98" s="29">
        <f>Intereses_Residual_Mensual!J98</f>
        <v/>
      </c>
      <c r="N98" s="29">
        <f>ROUND(J98 + M98, 2)</f>
        <v/>
      </c>
      <c r="O98" s="29">
        <f>Intereses_Leasing_Mensual!K98</f>
        <v/>
      </c>
      <c r="P98" s="29">
        <f>Amortizacion_Capital_Mensual!L98</f>
        <v/>
      </c>
      <c r="Q98" s="29">
        <f>Saldos_Capital_Mensual!K98</f>
        <v/>
      </c>
      <c r="R98" s="29">
        <f>Intereses_Residual_Mensual!K98</f>
        <v/>
      </c>
      <c r="S98" s="29">
        <f>ROUND(O98 + R98, 2)</f>
        <v/>
      </c>
      <c r="T98" s="29">
        <f>Intereses_Leasing_Mensual!L98</f>
        <v/>
      </c>
      <c r="U98" s="29">
        <f>Amortizacion_Capital_Mensual!M98</f>
        <v/>
      </c>
      <c r="V98" s="29">
        <f>Saldos_Capital_Mensual!L98</f>
        <v/>
      </c>
      <c r="W98" s="29">
        <f>Intereses_Residual_Mensual!L98</f>
        <v/>
      </c>
      <c r="X98" s="29">
        <f>ROUND(T98 + W98, 2)</f>
        <v/>
      </c>
      <c r="Y98" s="29">
        <f>Intereses_Leasing_Mensual!M98</f>
        <v/>
      </c>
      <c r="Z98" s="29">
        <f>Amortizacion_Capital_Mensual!N98</f>
        <v/>
      </c>
      <c r="AA98" s="29">
        <f>Saldos_Capital_Mensual!M98</f>
        <v/>
      </c>
      <c r="AB98" s="29">
        <f>Intereses_Residual_Mensual!M98</f>
        <v/>
      </c>
      <c r="AC98" s="29">
        <f>ROUND(Y98 + AB98, 2)</f>
        <v/>
      </c>
      <c r="AD98" s="29">
        <f>Intereses_Leasing_Mensual!N98</f>
        <v/>
      </c>
      <c r="AE98" s="29">
        <f>Amortizacion_Capital_Mensual!O98</f>
        <v/>
      </c>
      <c r="AF98" s="29">
        <f>Saldos_Capital_Mensual!N98</f>
        <v/>
      </c>
      <c r="AG98" s="29">
        <f>Intereses_Residual_Mensual!N98</f>
        <v/>
      </c>
      <c r="AH98" s="29">
        <f>ROUND(AD98 + AG98, 2)</f>
        <v/>
      </c>
      <c r="AI98" s="29">
        <f>Intereses_Leasing_Mensual!O98</f>
        <v/>
      </c>
      <c r="AJ98" s="29">
        <f>Amortizacion_Capital_Mensual!P98</f>
        <v/>
      </c>
      <c r="AK98" s="29">
        <f>Saldos_Capital_Mensual!O98</f>
        <v/>
      </c>
      <c r="AL98" s="29">
        <f>Intereses_Residual_Mensual!O98</f>
        <v/>
      </c>
      <c r="AM98" s="29">
        <f>ROUND(AI98 + AL98, 2)</f>
        <v/>
      </c>
      <c r="AN98" s="29">
        <f>Intereses_Leasing_Mensual!P98</f>
        <v/>
      </c>
      <c r="AO98" s="29">
        <f>Amortizacion_Capital_Mensual!Q98</f>
        <v/>
      </c>
      <c r="AP98" s="29">
        <f>Saldos_Capital_Mensual!P98</f>
        <v/>
      </c>
      <c r="AQ98" s="29">
        <f>Intereses_Residual_Mensual!P98</f>
        <v/>
      </c>
      <c r="AR98" s="29">
        <f>ROUND(AN98 + AQ98, 2)</f>
        <v/>
      </c>
      <c r="AS98" s="29">
        <f>Intereses_Leasing_Mensual!Q98</f>
        <v/>
      </c>
      <c r="AT98" s="29">
        <f>Amortizacion_Capital_Mensual!R98</f>
        <v/>
      </c>
      <c r="AU98" s="29">
        <f>Saldos_Capital_Mensual!Q98</f>
        <v/>
      </c>
      <c r="AV98" s="29">
        <f>Intereses_Residual_Mensual!Q98</f>
        <v/>
      </c>
      <c r="AW98" s="29">
        <f>ROUND(AS98 + AV98, 2)</f>
        <v/>
      </c>
      <c r="AX98" s="29">
        <f>Intereses_Leasing_Mensual!R98</f>
        <v/>
      </c>
      <c r="AY98" s="29">
        <f>Amortizacion_Capital_Mensual!S98</f>
        <v/>
      </c>
      <c r="AZ98" s="29">
        <f>Saldos_Capital_Mensual!R98</f>
        <v/>
      </c>
      <c r="BA98" s="29">
        <f>Intereses_Residual_Mensual!R98</f>
        <v/>
      </c>
      <c r="BB98" s="29">
        <f>ROUND(AX98 + BA98, 2)</f>
        <v/>
      </c>
      <c r="BC98" s="29">
        <f>Intereses_Leasing_Mensual!S98</f>
        <v/>
      </c>
      <c r="BD98" s="29">
        <f>Amortizacion_Capital_Mensual!T98</f>
        <v/>
      </c>
      <c r="BE98" s="29">
        <f>Saldos_Capital_Mensual!S98</f>
        <v/>
      </c>
      <c r="BF98" s="29">
        <f>Intereses_Residual_Mensual!S98</f>
        <v/>
      </c>
      <c r="BG98" s="29">
        <f>ROUND(BC98 + BF98, 2)</f>
        <v/>
      </c>
      <c r="BH98" s="29">
        <f>Intereses_Leasing_Mensual!T98</f>
        <v/>
      </c>
      <c r="BI98" s="29">
        <f>Amortizacion_Capital_Mensual!U98</f>
        <v/>
      </c>
      <c r="BJ98" s="29">
        <f>Saldos_Capital_Mensual!T98</f>
        <v/>
      </c>
      <c r="BK98" s="29">
        <f>Intereses_Residual_Mensual!T98</f>
        <v/>
      </c>
      <c r="BL98" s="29">
        <f>ROUND(BH98 + BK98, 2)</f>
        <v/>
      </c>
    </row>
    <row r="99">
      <c r="A99" s="20" t="inlineStr">
        <is>
          <t>0644-0005</t>
        </is>
      </c>
      <c r="B99" s="21" t="inlineStr">
        <is>
          <t>Bakaya S.A.P.I.</t>
        </is>
      </c>
      <c r="C99" s="21" t="inlineStr">
        <is>
          <t>i118</t>
        </is>
      </c>
      <c r="D99" s="22" t="n">
        <v>36</v>
      </c>
      <c r="E99" s="23">
        <f>Intereses_Leasing_Mensual!I99</f>
        <v/>
      </c>
      <c r="F99" s="23">
        <f>Amortizacion_Capital_Mensual!J99</f>
        <v/>
      </c>
      <c r="G99" s="23">
        <f>Saldos_Capital_Mensual!I99</f>
        <v/>
      </c>
      <c r="H99" s="23">
        <f>Intereses_Residual_Mensual!I99</f>
        <v/>
      </c>
      <c r="I99" s="23">
        <f>ROUND(E99 + H99, 2)</f>
        <v/>
      </c>
      <c r="J99" s="23">
        <f>Intereses_Leasing_Mensual!J99</f>
        <v/>
      </c>
      <c r="K99" s="23">
        <f>Amortizacion_Capital_Mensual!K99</f>
        <v/>
      </c>
      <c r="L99" s="23">
        <f>Saldos_Capital_Mensual!J99</f>
        <v/>
      </c>
      <c r="M99" s="23">
        <f>Intereses_Residual_Mensual!J99</f>
        <v/>
      </c>
      <c r="N99" s="23">
        <f>ROUND(J99 + M99, 2)</f>
        <v/>
      </c>
      <c r="O99" s="23">
        <f>Intereses_Leasing_Mensual!K99</f>
        <v/>
      </c>
      <c r="P99" s="23">
        <f>Amortizacion_Capital_Mensual!L99</f>
        <v/>
      </c>
      <c r="Q99" s="23">
        <f>Saldos_Capital_Mensual!K99</f>
        <v/>
      </c>
      <c r="R99" s="23">
        <f>Intereses_Residual_Mensual!K99</f>
        <v/>
      </c>
      <c r="S99" s="23">
        <f>ROUND(O99 + R99, 2)</f>
        <v/>
      </c>
      <c r="T99" s="23">
        <f>Intereses_Leasing_Mensual!L99</f>
        <v/>
      </c>
      <c r="U99" s="23">
        <f>Amortizacion_Capital_Mensual!M99</f>
        <v/>
      </c>
      <c r="V99" s="23">
        <f>Saldos_Capital_Mensual!L99</f>
        <v/>
      </c>
      <c r="W99" s="23">
        <f>Intereses_Residual_Mensual!L99</f>
        <v/>
      </c>
      <c r="X99" s="23">
        <f>ROUND(T99 + W99, 2)</f>
        <v/>
      </c>
      <c r="Y99" s="23">
        <f>Intereses_Leasing_Mensual!M99</f>
        <v/>
      </c>
      <c r="Z99" s="23">
        <f>Amortizacion_Capital_Mensual!N99</f>
        <v/>
      </c>
      <c r="AA99" s="23">
        <f>Saldos_Capital_Mensual!M99</f>
        <v/>
      </c>
      <c r="AB99" s="23">
        <f>Intereses_Residual_Mensual!M99</f>
        <v/>
      </c>
      <c r="AC99" s="23">
        <f>ROUND(Y99 + AB99, 2)</f>
        <v/>
      </c>
      <c r="AD99" s="23">
        <f>Intereses_Leasing_Mensual!N99</f>
        <v/>
      </c>
      <c r="AE99" s="23">
        <f>Amortizacion_Capital_Mensual!O99</f>
        <v/>
      </c>
      <c r="AF99" s="23">
        <f>Saldos_Capital_Mensual!N99</f>
        <v/>
      </c>
      <c r="AG99" s="23">
        <f>Intereses_Residual_Mensual!N99</f>
        <v/>
      </c>
      <c r="AH99" s="23">
        <f>ROUND(AD99 + AG99, 2)</f>
        <v/>
      </c>
      <c r="AI99" s="23">
        <f>Intereses_Leasing_Mensual!O99</f>
        <v/>
      </c>
      <c r="AJ99" s="23">
        <f>Amortizacion_Capital_Mensual!P99</f>
        <v/>
      </c>
      <c r="AK99" s="23">
        <f>Saldos_Capital_Mensual!O99</f>
        <v/>
      </c>
      <c r="AL99" s="23">
        <f>Intereses_Residual_Mensual!O99</f>
        <v/>
      </c>
      <c r="AM99" s="23">
        <f>ROUND(AI99 + AL99, 2)</f>
        <v/>
      </c>
      <c r="AN99" s="23">
        <f>Intereses_Leasing_Mensual!P99</f>
        <v/>
      </c>
      <c r="AO99" s="23">
        <f>Amortizacion_Capital_Mensual!Q99</f>
        <v/>
      </c>
      <c r="AP99" s="23">
        <f>Saldos_Capital_Mensual!P99</f>
        <v/>
      </c>
      <c r="AQ99" s="23">
        <f>Intereses_Residual_Mensual!P99</f>
        <v/>
      </c>
      <c r="AR99" s="23">
        <f>ROUND(AN99 + AQ99, 2)</f>
        <v/>
      </c>
      <c r="AS99" s="23">
        <f>Intereses_Leasing_Mensual!Q99</f>
        <v/>
      </c>
      <c r="AT99" s="23">
        <f>Amortizacion_Capital_Mensual!R99</f>
        <v/>
      </c>
      <c r="AU99" s="23">
        <f>Saldos_Capital_Mensual!Q99</f>
        <v/>
      </c>
      <c r="AV99" s="23">
        <f>Intereses_Residual_Mensual!Q99</f>
        <v/>
      </c>
      <c r="AW99" s="23">
        <f>ROUND(AS99 + AV99, 2)</f>
        <v/>
      </c>
      <c r="AX99" s="23">
        <f>Intereses_Leasing_Mensual!R99</f>
        <v/>
      </c>
      <c r="AY99" s="23">
        <f>Amortizacion_Capital_Mensual!S99</f>
        <v/>
      </c>
      <c r="AZ99" s="23">
        <f>Saldos_Capital_Mensual!R99</f>
        <v/>
      </c>
      <c r="BA99" s="23">
        <f>Intereses_Residual_Mensual!R99</f>
        <v/>
      </c>
      <c r="BB99" s="23">
        <f>ROUND(AX99 + BA99, 2)</f>
        <v/>
      </c>
      <c r="BC99" s="23">
        <f>Intereses_Leasing_Mensual!S99</f>
        <v/>
      </c>
      <c r="BD99" s="23">
        <f>Amortizacion_Capital_Mensual!T99</f>
        <v/>
      </c>
      <c r="BE99" s="23">
        <f>Saldos_Capital_Mensual!S99</f>
        <v/>
      </c>
      <c r="BF99" s="23">
        <f>Intereses_Residual_Mensual!S99</f>
        <v/>
      </c>
      <c r="BG99" s="23">
        <f>ROUND(BC99 + BF99, 2)</f>
        <v/>
      </c>
      <c r="BH99" s="23">
        <f>Intereses_Leasing_Mensual!T99</f>
        <v/>
      </c>
      <c r="BI99" s="23">
        <f>Amortizacion_Capital_Mensual!U99</f>
        <v/>
      </c>
      <c r="BJ99" s="23">
        <f>Saldos_Capital_Mensual!T99</f>
        <v/>
      </c>
      <c r="BK99" s="23">
        <f>Intereses_Residual_Mensual!T99</f>
        <v/>
      </c>
      <c r="BL99" s="23">
        <f>ROUND(BH99 + BK99, 2)</f>
        <v/>
      </c>
    </row>
    <row r="100">
      <c r="A100" s="26" t="inlineStr">
        <is>
          <t>0644-0006</t>
        </is>
      </c>
      <c r="B100" s="27" t="inlineStr">
        <is>
          <t>Bkaya S.A.P.I.</t>
        </is>
      </c>
      <c r="C100" s="27" t="inlineStr">
        <is>
          <t>Highlander XLE</t>
        </is>
      </c>
      <c r="D100" s="28" t="n">
        <v>36</v>
      </c>
      <c r="E100" s="29">
        <f>Intereses_Leasing_Mensual!I100</f>
        <v/>
      </c>
      <c r="F100" s="29">
        <f>Amortizacion_Capital_Mensual!J100</f>
        <v/>
      </c>
      <c r="G100" s="29">
        <f>Saldos_Capital_Mensual!I100</f>
        <v/>
      </c>
      <c r="H100" s="29">
        <f>Intereses_Residual_Mensual!I100</f>
        <v/>
      </c>
      <c r="I100" s="29">
        <f>ROUND(E100 + H100, 2)</f>
        <v/>
      </c>
      <c r="J100" s="29">
        <f>Intereses_Leasing_Mensual!J100</f>
        <v/>
      </c>
      <c r="K100" s="29">
        <f>Amortizacion_Capital_Mensual!K100</f>
        <v/>
      </c>
      <c r="L100" s="29">
        <f>Saldos_Capital_Mensual!J100</f>
        <v/>
      </c>
      <c r="M100" s="29">
        <f>Intereses_Residual_Mensual!J100</f>
        <v/>
      </c>
      <c r="N100" s="29">
        <f>ROUND(J100 + M100, 2)</f>
        <v/>
      </c>
      <c r="O100" s="29">
        <f>Intereses_Leasing_Mensual!K100</f>
        <v/>
      </c>
      <c r="P100" s="29">
        <f>Amortizacion_Capital_Mensual!L100</f>
        <v/>
      </c>
      <c r="Q100" s="29">
        <f>Saldos_Capital_Mensual!K100</f>
        <v/>
      </c>
      <c r="R100" s="29">
        <f>Intereses_Residual_Mensual!K100</f>
        <v/>
      </c>
      <c r="S100" s="29">
        <f>ROUND(O100 + R100, 2)</f>
        <v/>
      </c>
      <c r="T100" s="29">
        <f>Intereses_Leasing_Mensual!L100</f>
        <v/>
      </c>
      <c r="U100" s="29">
        <f>Amortizacion_Capital_Mensual!M100</f>
        <v/>
      </c>
      <c r="V100" s="29">
        <f>Saldos_Capital_Mensual!L100</f>
        <v/>
      </c>
      <c r="W100" s="29">
        <f>Intereses_Residual_Mensual!L100</f>
        <v/>
      </c>
      <c r="X100" s="29">
        <f>ROUND(T100 + W100, 2)</f>
        <v/>
      </c>
      <c r="Y100" s="29">
        <f>Intereses_Leasing_Mensual!M100</f>
        <v/>
      </c>
      <c r="Z100" s="29">
        <f>Amortizacion_Capital_Mensual!N100</f>
        <v/>
      </c>
      <c r="AA100" s="29">
        <f>Saldos_Capital_Mensual!M100</f>
        <v/>
      </c>
      <c r="AB100" s="29">
        <f>Intereses_Residual_Mensual!M100</f>
        <v/>
      </c>
      <c r="AC100" s="29">
        <f>ROUND(Y100 + AB100, 2)</f>
        <v/>
      </c>
      <c r="AD100" s="29">
        <f>Intereses_Leasing_Mensual!N100</f>
        <v/>
      </c>
      <c r="AE100" s="29">
        <f>Amortizacion_Capital_Mensual!O100</f>
        <v/>
      </c>
      <c r="AF100" s="29">
        <f>Saldos_Capital_Mensual!N100</f>
        <v/>
      </c>
      <c r="AG100" s="29">
        <f>Intereses_Residual_Mensual!N100</f>
        <v/>
      </c>
      <c r="AH100" s="29">
        <f>ROUND(AD100 + AG100, 2)</f>
        <v/>
      </c>
      <c r="AI100" s="29">
        <f>Intereses_Leasing_Mensual!O100</f>
        <v/>
      </c>
      <c r="AJ100" s="29">
        <f>Amortizacion_Capital_Mensual!P100</f>
        <v/>
      </c>
      <c r="AK100" s="29">
        <f>Saldos_Capital_Mensual!O100</f>
        <v/>
      </c>
      <c r="AL100" s="29">
        <f>Intereses_Residual_Mensual!O100</f>
        <v/>
      </c>
      <c r="AM100" s="29">
        <f>ROUND(AI100 + AL100, 2)</f>
        <v/>
      </c>
      <c r="AN100" s="29">
        <f>Intereses_Leasing_Mensual!P100</f>
        <v/>
      </c>
      <c r="AO100" s="29">
        <f>Amortizacion_Capital_Mensual!Q100</f>
        <v/>
      </c>
      <c r="AP100" s="29">
        <f>Saldos_Capital_Mensual!P100</f>
        <v/>
      </c>
      <c r="AQ100" s="29">
        <f>Intereses_Residual_Mensual!P100</f>
        <v/>
      </c>
      <c r="AR100" s="29">
        <f>ROUND(AN100 + AQ100, 2)</f>
        <v/>
      </c>
      <c r="AS100" s="29">
        <f>Intereses_Leasing_Mensual!Q100</f>
        <v/>
      </c>
      <c r="AT100" s="29">
        <f>Amortizacion_Capital_Mensual!R100</f>
        <v/>
      </c>
      <c r="AU100" s="29">
        <f>Saldos_Capital_Mensual!Q100</f>
        <v/>
      </c>
      <c r="AV100" s="29">
        <f>Intereses_Residual_Mensual!Q100</f>
        <v/>
      </c>
      <c r="AW100" s="29">
        <f>ROUND(AS100 + AV100, 2)</f>
        <v/>
      </c>
      <c r="AX100" s="29">
        <f>Intereses_Leasing_Mensual!R100</f>
        <v/>
      </c>
      <c r="AY100" s="29">
        <f>Amortizacion_Capital_Mensual!S100</f>
        <v/>
      </c>
      <c r="AZ100" s="29">
        <f>Saldos_Capital_Mensual!R100</f>
        <v/>
      </c>
      <c r="BA100" s="29">
        <f>Intereses_Residual_Mensual!R100</f>
        <v/>
      </c>
      <c r="BB100" s="29">
        <f>ROUND(AX100 + BA100, 2)</f>
        <v/>
      </c>
      <c r="BC100" s="29">
        <f>Intereses_Leasing_Mensual!S100</f>
        <v/>
      </c>
      <c r="BD100" s="29">
        <f>Amortizacion_Capital_Mensual!T100</f>
        <v/>
      </c>
      <c r="BE100" s="29">
        <f>Saldos_Capital_Mensual!S100</f>
        <v/>
      </c>
      <c r="BF100" s="29">
        <f>Intereses_Residual_Mensual!S100</f>
        <v/>
      </c>
      <c r="BG100" s="29">
        <f>ROUND(BC100 + BF100, 2)</f>
        <v/>
      </c>
      <c r="BH100" s="29">
        <f>Intereses_Leasing_Mensual!T100</f>
        <v/>
      </c>
      <c r="BI100" s="29">
        <f>Amortizacion_Capital_Mensual!U100</f>
        <v/>
      </c>
      <c r="BJ100" s="29">
        <f>Saldos_Capital_Mensual!T100</f>
        <v/>
      </c>
      <c r="BK100" s="29">
        <f>Intereses_Residual_Mensual!T100</f>
        <v/>
      </c>
      <c r="BL100" s="29">
        <f>ROUND(BH100 + BK100, 2)</f>
        <v/>
      </c>
    </row>
    <row r="101">
      <c r="A101" s="20" t="inlineStr">
        <is>
          <t>0645-0001</t>
        </is>
      </c>
      <c r="B101" s="21" t="inlineStr">
        <is>
          <t>Armando Duran Rubio</t>
        </is>
      </c>
      <c r="C101" s="21" t="inlineStr">
        <is>
          <t>Ram 1500 Bighorn</t>
        </is>
      </c>
      <c r="D101" s="22" t="n">
        <v>48</v>
      </c>
      <c r="E101" s="23">
        <f>Intereses_Leasing_Mensual!I101</f>
        <v/>
      </c>
      <c r="F101" s="23">
        <f>Amortizacion_Capital_Mensual!J101</f>
        <v/>
      </c>
      <c r="G101" s="23">
        <f>Saldos_Capital_Mensual!I101</f>
        <v/>
      </c>
      <c r="H101" s="23">
        <f>Intereses_Residual_Mensual!I101</f>
        <v/>
      </c>
      <c r="I101" s="23">
        <f>ROUND(E101 + H101, 2)</f>
        <v/>
      </c>
      <c r="J101" s="23">
        <f>Intereses_Leasing_Mensual!J101</f>
        <v/>
      </c>
      <c r="K101" s="23">
        <f>Amortizacion_Capital_Mensual!K101</f>
        <v/>
      </c>
      <c r="L101" s="23">
        <f>Saldos_Capital_Mensual!J101</f>
        <v/>
      </c>
      <c r="M101" s="23">
        <f>Intereses_Residual_Mensual!J101</f>
        <v/>
      </c>
      <c r="N101" s="23">
        <f>ROUND(J101 + M101, 2)</f>
        <v/>
      </c>
      <c r="O101" s="23">
        <f>Intereses_Leasing_Mensual!K101</f>
        <v/>
      </c>
      <c r="P101" s="23">
        <f>Amortizacion_Capital_Mensual!L101</f>
        <v/>
      </c>
      <c r="Q101" s="23">
        <f>Saldos_Capital_Mensual!K101</f>
        <v/>
      </c>
      <c r="R101" s="23">
        <f>Intereses_Residual_Mensual!K101</f>
        <v/>
      </c>
      <c r="S101" s="23">
        <f>ROUND(O101 + R101, 2)</f>
        <v/>
      </c>
      <c r="T101" s="23">
        <f>Intereses_Leasing_Mensual!L101</f>
        <v/>
      </c>
      <c r="U101" s="23">
        <f>Amortizacion_Capital_Mensual!M101</f>
        <v/>
      </c>
      <c r="V101" s="23">
        <f>Saldos_Capital_Mensual!L101</f>
        <v/>
      </c>
      <c r="W101" s="23">
        <f>Intereses_Residual_Mensual!L101</f>
        <v/>
      </c>
      <c r="X101" s="23">
        <f>ROUND(T101 + W101, 2)</f>
        <v/>
      </c>
      <c r="Y101" s="23">
        <f>Intereses_Leasing_Mensual!M101</f>
        <v/>
      </c>
      <c r="Z101" s="23">
        <f>Amortizacion_Capital_Mensual!N101</f>
        <v/>
      </c>
      <c r="AA101" s="23">
        <f>Saldos_Capital_Mensual!M101</f>
        <v/>
      </c>
      <c r="AB101" s="23">
        <f>Intereses_Residual_Mensual!M101</f>
        <v/>
      </c>
      <c r="AC101" s="23">
        <f>ROUND(Y101 + AB101, 2)</f>
        <v/>
      </c>
      <c r="AD101" s="23">
        <f>Intereses_Leasing_Mensual!N101</f>
        <v/>
      </c>
      <c r="AE101" s="23">
        <f>Amortizacion_Capital_Mensual!O101</f>
        <v/>
      </c>
      <c r="AF101" s="23">
        <f>Saldos_Capital_Mensual!N101</f>
        <v/>
      </c>
      <c r="AG101" s="23">
        <f>Intereses_Residual_Mensual!N101</f>
        <v/>
      </c>
      <c r="AH101" s="23">
        <f>ROUND(AD101 + AG101, 2)</f>
        <v/>
      </c>
      <c r="AI101" s="23">
        <f>Intereses_Leasing_Mensual!O101</f>
        <v/>
      </c>
      <c r="AJ101" s="23">
        <f>Amortizacion_Capital_Mensual!P101</f>
        <v/>
      </c>
      <c r="AK101" s="23">
        <f>Saldos_Capital_Mensual!O101</f>
        <v/>
      </c>
      <c r="AL101" s="23">
        <f>Intereses_Residual_Mensual!O101</f>
        <v/>
      </c>
      <c r="AM101" s="23">
        <f>ROUND(AI101 + AL101, 2)</f>
        <v/>
      </c>
      <c r="AN101" s="23">
        <f>Intereses_Leasing_Mensual!P101</f>
        <v/>
      </c>
      <c r="AO101" s="23">
        <f>Amortizacion_Capital_Mensual!Q101</f>
        <v/>
      </c>
      <c r="AP101" s="23">
        <f>Saldos_Capital_Mensual!P101</f>
        <v/>
      </c>
      <c r="AQ101" s="23">
        <f>Intereses_Residual_Mensual!P101</f>
        <v/>
      </c>
      <c r="AR101" s="23">
        <f>ROUND(AN101 + AQ101, 2)</f>
        <v/>
      </c>
      <c r="AS101" s="23">
        <f>Intereses_Leasing_Mensual!Q101</f>
        <v/>
      </c>
      <c r="AT101" s="23">
        <f>Amortizacion_Capital_Mensual!R101</f>
        <v/>
      </c>
      <c r="AU101" s="23">
        <f>Saldos_Capital_Mensual!Q101</f>
        <v/>
      </c>
      <c r="AV101" s="23">
        <f>Intereses_Residual_Mensual!Q101</f>
        <v/>
      </c>
      <c r="AW101" s="23">
        <f>ROUND(AS101 + AV101, 2)</f>
        <v/>
      </c>
      <c r="AX101" s="23">
        <f>Intereses_Leasing_Mensual!R101</f>
        <v/>
      </c>
      <c r="AY101" s="23">
        <f>Amortizacion_Capital_Mensual!S101</f>
        <v/>
      </c>
      <c r="AZ101" s="23">
        <f>Saldos_Capital_Mensual!R101</f>
        <v/>
      </c>
      <c r="BA101" s="23">
        <f>Intereses_Residual_Mensual!R101</f>
        <v/>
      </c>
      <c r="BB101" s="23">
        <f>ROUND(AX101 + BA101, 2)</f>
        <v/>
      </c>
      <c r="BC101" s="23">
        <f>Intereses_Leasing_Mensual!S101</f>
        <v/>
      </c>
      <c r="BD101" s="23">
        <f>Amortizacion_Capital_Mensual!T101</f>
        <v/>
      </c>
      <c r="BE101" s="23">
        <f>Saldos_Capital_Mensual!S101</f>
        <v/>
      </c>
      <c r="BF101" s="23">
        <f>Intereses_Residual_Mensual!S101</f>
        <v/>
      </c>
      <c r="BG101" s="23">
        <f>ROUND(BC101 + BF101, 2)</f>
        <v/>
      </c>
      <c r="BH101" s="23">
        <f>Intereses_Leasing_Mensual!T101</f>
        <v/>
      </c>
      <c r="BI101" s="23">
        <f>Amortizacion_Capital_Mensual!U101</f>
        <v/>
      </c>
      <c r="BJ101" s="23">
        <f>Saldos_Capital_Mensual!T101</f>
        <v/>
      </c>
      <c r="BK101" s="23">
        <f>Intereses_Residual_Mensual!T101</f>
        <v/>
      </c>
      <c r="BL101" s="23">
        <f>ROUND(BH101 + BK101, 2)</f>
        <v/>
      </c>
    </row>
    <row r="102">
      <c r="A102" s="26" t="inlineStr">
        <is>
          <t>0646-0001</t>
        </is>
      </c>
      <c r="B102" s="27" t="inlineStr">
        <is>
          <t>Liza Minerva Magallanes Reimers</t>
        </is>
      </c>
      <c r="C102" s="27" t="inlineStr">
        <is>
          <t>Wrangler</t>
        </is>
      </c>
      <c r="D102" s="28" t="n">
        <v>48</v>
      </c>
      <c r="E102" s="29">
        <f>Intereses_Leasing_Mensual!I102</f>
        <v/>
      </c>
      <c r="F102" s="29">
        <f>Amortizacion_Capital_Mensual!J102</f>
        <v/>
      </c>
      <c r="G102" s="29">
        <f>Saldos_Capital_Mensual!I102</f>
        <v/>
      </c>
      <c r="H102" s="29">
        <f>Intereses_Residual_Mensual!I102</f>
        <v/>
      </c>
      <c r="I102" s="29">
        <f>ROUND(E102 + H102, 2)</f>
        <v/>
      </c>
      <c r="J102" s="29">
        <f>Intereses_Leasing_Mensual!J102</f>
        <v/>
      </c>
      <c r="K102" s="29">
        <f>Amortizacion_Capital_Mensual!K102</f>
        <v/>
      </c>
      <c r="L102" s="29">
        <f>Saldos_Capital_Mensual!J102</f>
        <v/>
      </c>
      <c r="M102" s="29">
        <f>Intereses_Residual_Mensual!J102</f>
        <v/>
      </c>
      <c r="N102" s="29">
        <f>ROUND(J102 + M102, 2)</f>
        <v/>
      </c>
      <c r="O102" s="29">
        <f>Intereses_Leasing_Mensual!K102</f>
        <v/>
      </c>
      <c r="P102" s="29">
        <f>Amortizacion_Capital_Mensual!L102</f>
        <v/>
      </c>
      <c r="Q102" s="29">
        <f>Saldos_Capital_Mensual!K102</f>
        <v/>
      </c>
      <c r="R102" s="29">
        <f>Intereses_Residual_Mensual!K102</f>
        <v/>
      </c>
      <c r="S102" s="29">
        <f>ROUND(O102 + R102, 2)</f>
        <v/>
      </c>
      <c r="T102" s="29">
        <f>Intereses_Leasing_Mensual!L102</f>
        <v/>
      </c>
      <c r="U102" s="29">
        <f>Amortizacion_Capital_Mensual!M102</f>
        <v/>
      </c>
      <c r="V102" s="29">
        <f>Saldos_Capital_Mensual!L102</f>
        <v/>
      </c>
      <c r="W102" s="29">
        <f>Intereses_Residual_Mensual!L102</f>
        <v/>
      </c>
      <c r="X102" s="29">
        <f>ROUND(T102 + W102, 2)</f>
        <v/>
      </c>
      <c r="Y102" s="29">
        <f>Intereses_Leasing_Mensual!M102</f>
        <v/>
      </c>
      <c r="Z102" s="29">
        <f>Amortizacion_Capital_Mensual!N102</f>
        <v/>
      </c>
      <c r="AA102" s="29">
        <f>Saldos_Capital_Mensual!M102</f>
        <v/>
      </c>
      <c r="AB102" s="29">
        <f>Intereses_Residual_Mensual!M102</f>
        <v/>
      </c>
      <c r="AC102" s="29">
        <f>ROUND(Y102 + AB102, 2)</f>
        <v/>
      </c>
      <c r="AD102" s="29">
        <f>Intereses_Leasing_Mensual!N102</f>
        <v/>
      </c>
      <c r="AE102" s="29">
        <f>Amortizacion_Capital_Mensual!O102</f>
        <v/>
      </c>
      <c r="AF102" s="29">
        <f>Saldos_Capital_Mensual!N102</f>
        <v/>
      </c>
      <c r="AG102" s="29">
        <f>Intereses_Residual_Mensual!N102</f>
        <v/>
      </c>
      <c r="AH102" s="29">
        <f>ROUND(AD102 + AG102, 2)</f>
        <v/>
      </c>
      <c r="AI102" s="29">
        <f>Intereses_Leasing_Mensual!O102</f>
        <v/>
      </c>
      <c r="AJ102" s="29">
        <f>Amortizacion_Capital_Mensual!P102</f>
        <v/>
      </c>
      <c r="AK102" s="29">
        <f>Saldos_Capital_Mensual!O102</f>
        <v/>
      </c>
      <c r="AL102" s="29">
        <f>Intereses_Residual_Mensual!O102</f>
        <v/>
      </c>
      <c r="AM102" s="29">
        <f>ROUND(AI102 + AL102, 2)</f>
        <v/>
      </c>
      <c r="AN102" s="29">
        <f>Intereses_Leasing_Mensual!P102</f>
        <v/>
      </c>
      <c r="AO102" s="29">
        <f>Amortizacion_Capital_Mensual!Q102</f>
        <v/>
      </c>
      <c r="AP102" s="29">
        <f>Saldos_Capital_Mensual!P102</f>
        <v/>
      </c>
      <c r="AQ102" s="29">
        <f>Intereses_Residual_Mensual!P102</f>
        <v/>
      </c>
      <c r="AR102" s="29">
        <f>ROUND(AN102 + AQ102, 2)</f>
        <v/>
      </c>
      <c r="AS102" s="29">
        <f>Intereses_Leasing_Mensual!Q102</f>
        <v/>
      </c>
      <c r="AT102" s="29">
        <f>Amortizacion_Capital_Mensual!R102</f>
        <v/>
      </c>
      <c r="AU102" s="29">
        <f>Saldos_Capital_Mensual!Q102</f>
        <v/>
      </c>
      <c r="AV102" s="29">
        <f>Intereses_Residual_Mensual!Q102</f>
        <v/>
      </c>
      <c r="AW102" s="29">
        <f>ROUND(AS102 + AV102, 2)</f>
        <v/>
      </c>
      <c r="AX102" s="29">
        <f>Intereses_Leasing_Mensual!R102</f>
        <v/>
      </c>
      <c r="AY102" s="29">
        <f>Amortizacion_Capital_Mensual!S102</f>
        <v/>
      </c>
      <c r="AZ102" s="29">
        <f>Saldos_Capital_Mensual!R102</f>
        <v/>
      </c>
      <c r="BA102" s="29">
        <f>Intereses_Residual_Mensual!R102</f>
        <v/>
      </c>
      <c r="BB102" s="29">
        <f>ROUND(AX102 + BA102, 2)</f>
        <v/>
      </c>
      <c r="BC102" s="29">
        <f>Intereses_Leasing_Mensual!S102</f>
        <v/>
      </c>
      <c r="BD102" s="29">
        <f>Amortizacion_Capital_Mensual!T102</f>
        <v/>
      </c>
      <c r="BE102" s="29">
        <f>Saldos_Capital_Mensual!S102</f>
        <v/>
      </c>
      <c r="BF102" s="29">
        <f>Intereses_Residual_Mensual!S102</f>
        <v/>
      </c>
      <c r="BG102" s="29">
        <f>ROUND(BC102 + BF102, 2)</f>
        <v/>
      </c>
      <c r="BH102" s="29">
        <f>Intereses_Leasing_Mensual!T102</f>
        <v/>
      </c>
      <c r="BI102" s="29">
        <f>Amortizacion_Capital_Mensual!U102</f>
        <v/>
      </c>
      <c r="BJ102" s="29">
        <f>Saldos_Capital_Mensual!T102</f>
        <v/>
      </c>
      <c r="BK102" s="29">
        <f>Intereses_Residual_Mensual!T102</f>
        <v/>
      </c>
      <c r="BL102" s="29">
        <f>ROUND(BH102 + BK102, 2)</f>
        <v/>
      </c>
    </row>
    <row r="103">
      <c r="A103" s="20" t="inlineStr">
        <is>
          <t>0647-0001</t>
        </is>
      </c>
      <c r="B103" s="21" t="inlineStr">
        <is>
          <t>Cibara Gourmet S de Rl de Cv</t>
        </is>
      </c>
      <c r="C103" s="21" t="inlineStr">
        <is>
          <t>Partner Maxi</t>
        </is>
      </c>
      <c r="D103" s="22" t="n">
        <v>36</v>
      </c>
      <c r="E103" s="23">
        <f>Intereses_Leasing_Mensual!I103</f>
        <v/>
      </c>
      <c r="F103" s="23">
        <f>Amortizacion_Capital_Mensual!J103</f>
        <v/>
      </c>
      <c r="G103" s="23">
        <f>Saldos_Capital_Mensual!I103</f>
        <v/>
      </c>
      <c r="H103" s="23">
        <f>Intereses_Residual_Mensual!I103</f>
        <v/>
      </c>
      <c r="I103" s="23">
        <f>ROUND(E103 + H103, 2)</f>
        <v/>
      </c>
      <c r="J103" s="23">
        <f>Intereses_Leasing_Mensual!J103</f>
        <v/>
      </c>
      <c r="K103" s="23">
        <f>Amortizacion_Capital_Mensual!K103</f>
        <v/>
      </c>
      <c r="L103" s="23">
        <f>Saldos_Capital_Mensual!J103</f>
        <v/>
      </c>
      <c r="M103" s="23">
        <f>Intereses_Residual_Mensual!J103</f>
        <v/>
      </c>
      <c r="N103" s="23">
        <f>ROUND(J103 + M103, 2)</f>
        <v/>
      </c>
      <c r="O103" s="23">
        <f>Intereses_Leasing_Mensual!K103</f>
        <v/>
      </c>
      <c r="P103" s="23">
        <f>Amortizacion_Capital_Mensual!L103</f>
        <v/>
      </c>
      <c r="Q103" s="23">
        <f>Saldos_Capital_Mensual!K103</f>
        <v/>
      </c>
      <c r="R103" s="23">
        <f>Intereses_Residual_Mensual!K103</f>
        <v/>
      </c>
      <c r="S103" s="23">
        <f>ROUND(O103 + R103, 2)</f>
        <v/>
      </c>
      <c r="T103" s="23">
        <f>Intereses_Leasing_Mensual!L103</f>
        <v/>
      </c>
      <c r="U103" s="23">
        <f>Amortizacion_Capital_Mensual!M103</f>
        <v/>
      </c>
      <c r="V103" s="23">
        <f>Saldos_Capital_Mensual!L103</f>
        <v/>
      </c>
      <c r="W103" s="23">
        <f>Intereses_Residual_Mensual!L103</f>
        <v/>
      </c>
      <c r="X103" s="23">
        <f>ROUND(T103 + W103, 2)</f>
        <v/>
      </c>
      <c r="Y103" s="23">
        <f>Intereses_Leasing_Mensual!M103</f>
        <v/>
      </c>
      <c r="Z103" s="23">
        <f>Amortizacion_Capital_Mensual!N103</f>
        <v/>
      </c>
      <c r="AA103" s="23">
        <f>Saldos_Capital_Mensual!M103</f>
        <v/>
      </c>
      <c r="AB103" s="23">
        <f>Intereses_Residual_Mensual!M103</f>
        <v/>
      </c>
      <c r="AC103" s="23">
        <f>ROUND(Y103 + AB103, 2)</f>
        <v/>
      </c>
      <c r="AD103" s="23">
        <f>Intereses_Leasing_Mensual!N103</f>
        <v/>
      </c>
      <c r="AE103" s="23">
        <f>Amortizacion_Capital_Mensual!O103</f>
        <v/>
      </c>
      <c r="AF103" s="23">
        <f>Saldos_Capital_Mensual!N103</f>
        <v/>
      </c>
      <c r="AG103" s="23">
        <f>Intereses_Residual_Mensual!N103</f>
        <v/>
      </c>
      <c r="AH103" s="23">
        <f>ROUND(AD103 + AG103, 2)</f>
        <v/>
      </c>
      <c r="AI103" s="23">
        <f>Intereses_Leasing_Mensual!O103</f>
        <v/>
      </c>
      <c r="AJ103" s="23">
        <f>Amortizacion_Capital_Mensual!P103</f>
        <v/>
      </c>
      <c r="AK103" s="23">
        <f>Saldos_Capital_Mensual!O103</f>
        <v/>
      </c>
      <c r="AL103" s="23">
        <f>Intereses_Residual_Mensual!O103</f>
        <v/>
      </c>
      <c r="AM103" s="23">
        <f>ROUND(AI103 + AL103, 2)</f>
        <v/>
      </c>
      <c r="AN103" s="23">
        <f>Intereses_Leasing_Mensual!P103</f>
        <v/>
      </c>
      <c r="AO103" s="23">
        <f>Amortizacion_Capital_Mensual!Q103</f>
        <v/>
      </c>
      <c r="AP103" s="23">
        <f>Saldos_Capital_Mensual!P103</f>
        <v/>
      </c>
      <c r="AQ103" s="23">
        <f>Intereses_Residual_Mensual!P103</f>
        <v/>
      </c>
      <c r="AR103" s="23">
        <f>ROUND(AN103 + AQ103, 2)</f>
        <v/>
      </c>
      <c r="AS103" s="23">
        <f>Intereses_Leasing_Mensual!Q103</f>
        <v/>
      </c>
      <c r="AT103" s="23">
        <f>Amortizacion_Capital_Mensual!R103</f>
        <v/>
      </c>
      <c r="AU103" s="23">
        <f>Saldos_Capital_Mensual!Q103</f>
        <v/>
      </c>
      <c r="AV103" s="23">
        <f>Intereses_Residual_Mensual!Q103</f>
        <v/>
      </c>
      <c r="AW103" s="23">
        <f>ROUND(AS103 + AV103, 2)</f>
        <v/>
      </c>
      <c r="AX103" s="23">
        <f>Intereses_Leasing_Mensual!R103</f>
        <v/>
      </c>
      <c r="AY103" s="23">
        <f>Amortizacion_Capital_Mensual!S103</f>
        <v/>
      </c>
      <c r="AZ103" s="23">
        <f>Saldos_Capital_Mensual!R103</f>
        <v/>
      </c>
      <c r="BA103" s="23">
        <f>Intereses_Residual_Mensual!R103</f>
        <v/>
      </c>
      <c r="BB103" s="23">
        <f>ROUND(AX103 + BA103, 2)</f>
        <v/>
      </c>
      <c r="BC103" s="23">
        <f>Intereses_Leasing_Mensual!S103</f>
        <v/>
      </c>
      <c r="BD103" s="23">
        <f>Amortizacion_Capital_Mensual!T103</f>
        <v/>
      </c>
      <c r="BE103" s="23">
        <f>Saldos_Capital_Mensual!S103</f>
        <v/>
      </c>
      <c r="BF103" s="23">
        <f>Intereses_Residual_Mensual!S103</f>
        <v/>
      </c>
      <c r="BG103" s="23">
        <f>ROUND(BC103 + BF103, 2)</f>
        <v/>
      </c>
      <c r="BH103" s="23">
        <f>Intereses_Leasing_Mensual!T103</f>
        <v/>
      </c>
      <c r="BI103" s="23">
        <f>Amortizacion_Capital_Mensual!U103</f>
        <v/>
      </c>
      <c r="BJ103" s="23">
        <f>Saldos_Capital_Mensual!T103</f>
        <v/>
      </c>
      <c r="BK103" s="23">
        <f>Intereses_Residual_Mensual!T103</f>
        <v/>
      </c>
      <c r="BL103" s="23">
        <f>ROUND(BH103 + BK103, 2)</f>
        <v/>
      </c>
    </row>
    <row r="104">
      <c r="A104" s="26" t="inlineStr">
        <is>
          <t>0647-0002</t>
        </is>
      </c>
      <c r="B104" s="27" t="inlineStr">
        <is>
          <t>Cibara Gourmet S de Rl de Cv</t>
        </is>
      </c>
      <c r="C104" s="27" t="inlineStr">
        <is>
          <t>Rifter Allure Pack</t>
        </is>
      </c>
      <c r="D104" s="28" t="n">
        <v>36</v>
      </c>
      <c r="E104" s="29">
        <f>Intereses_Leasing_Mensual!I104</f>
        <v/>
      </c>
      <c r="F104" s="29">
        <f>Amortizacion_Capital_Mensual!J104</f>
        <v/>
      </c>
      <c r="G104" s="29">
        <f>Saldos_Capital_Mensual!I104</f>
        <v/>
      </c>
      <c r="H104" s="29">
        <f>Intereses_Residual_Mensual!I104</f>
        <v/>
      </c>
      <c r="I104" s="29">
        <f>ROUND(E104 + H104, 2)</f>
        <v/>
      </c>
      <c r="J104" s="29">
        <f>Intereses_Leasing_Mensual!J104</f>
        <v/>
      </c>
      <c r="K104" s="29">
        <f>Amortizacion_Capital_Mensual!K104</f>
        <v/>
      </c>
      <c r="L104" s="29">
        <f>Saldos_Capital_Mensual!J104</f>
        <v/>
      </c>
      <c r="M104" s="29">
        <f>Intereses_Residual_Mensual!J104</f>
        <v/>
      </c>
      <c r="N104" s="29">
        <f>ROUND(J104 + M104, 2)</f>
        <v/>
      </c>
      <c r="O104" s="29">
        <f>Intereses_Leasing_Mensual!K104</f>
        <v/>
      </c>
      <c r="P104" s="29">
        <f>Amortizacion_Capital_Mensual!L104</f>
        <v/>
      </c>
      <c r="Q104" s="29">
        <f>Saldos_Capital_Mensual!K104</f>
        <v/>
      </c>
      <c r="R104" s="29">
        <f>Intereses_Residual_Mensual!K104</f>
        <v/>
      </c>
      <c r="S104" s="29">
        <f>ROUND(O104 + R104, 2)</f>
        <v/>
      </c>
      <c r="T104" s="29">
        <f>Intereses_Leasing_Mensual!L104</f>
        <v/>
      </c>
      <c r="U104" s="29">
        <f>Amortizacion_Capital_Mensual!M104</f>
        <v/>
      </c>
      <c r="V104" s="29">
        <f>Saldos_Capital_Mensual!L104</f>
        <v/>
      </c>
      <c r="W104" s="29">
        <f>Intereses_Residual_Mensual!L104</f>
        <v/>
      </c>
      <c r="X104" s="29">
        <f>ROUND(T104 + W104, 2)</f>
        <v/>
      </c>
      <c r="Y104" s="29">
        <f>Intereses_Leasing_Mensual!M104</f>
        <v/>
      </c>
      <c r="Z104" s="29">
        <f>Amortizacion_Capital_Mensual!N104</f>
        <v/>
      </c>
      <c r="AA104" s="29">
        <f>Saldos_Capital_Mensual!M104</f>
        <v/>
      </c>
      <c r="AB104" s="29">
        <f>Intereses_Residual_Mensual!M104</f>
        <v/>
      </c>
      <c r="AC104" s="29">
        <f>ROUND(Y104 + AB104, 2)</f>
        <v/>
      </c>
      <c r="AD104" s="29">
        <f>Intereses_Leasing_Mensual!N104</f>
        <v/>
      </c>
      <c r="AE104" s="29">
        <f>Amortizacion_Capital_Mensual!O104</f>
        <v/>
      </c>
      <c r="AF104" s="29">
        <f>Saldos_Capital_Mensual!N104</f>
        <v/>
      </c>
      <c r="AG104" s="29">
        <f>Intereses_Residual_Mensual!N104</f>
        <v/>
      </c>
      <c r="AH104" s="29">
        <f>ROUND(AD104 + AG104, 2)</f>
        <v/>
      </c>
      <c r="AI104" s="29">
        <f>Intereses_Leasing_Mensual!O104</f>
        <v/>
      </c>
      <c r="AJ104" s="29">
        <f>Amortizacion_Capital_Mensual!P104</f>
        <v/>
      </c>
      <c r="AK104" s="29">
        <f>Saldos_Capital_Mensual!O104</f>
        <v/>
      </c>
      <c r="AL104" s="29">
        <f>Intereses_Residual_Mensual!O104</f>
        <v/>
      </c>
      <c r="AM104" s="29">
        <f>ROUND(AI104 + AL104, 2)</f>
        <v/>
      </c>
      <c r="AN104" s="29">
        <f>Intereses_Leasing_Mensual!P104</f>
        <v/>
      </c>
      <c r="AO104" s="29">
        <f>Amortizacion_Capital_Mensual!Q104</f>
        <v/>
      </c>
      <c r="AP104" s="29">
        <f>Saldos_Capital_Mensual!P104</f>
        <v/>
      </c>
      <c r="AQ104" s="29">
        <f>Intereses_Residual_Mensual!P104</f>
        <v/>
      </c>
      <c r="AR104" s="29">
        <f>ROUND(AN104 + AQ104, 2)</f>
        <v/>
      </c>
      <c r="AS104" s="29">
        <f>Intereses_Leasing_Mensual!Q104</f>
        <v/>
      </c>
      <c r="AT104" s="29">
        <f>Amortizacion_Capital_Mensual!R104</f>
        <v/>
      </c>
      <c r="AU104" s="29">
        <f>Saldos_Capital_Mensual!Q104</f>
        <v/>
      </c>
      <c r="AV104" s="29">
        <f>Intereses_Residual_Mensual!Q104</f>
        <v/>
      </c>
      <c r="AW104" s="29">
        <f>ROUND(AS104 + AV104, 2)</f>
        <v/>
      </c>
      <c r="AX104" s="29">
        <f>Intereses_Leasing_Mensual!R104</f>
        <v/>
      </c>
      <c r="AY104" s="29">
        <f>Amortizacion_Capital_Mensual!S104</f>
        <v/>
      </c>
      <c r="AZ104" s="29">
        <f>Saldos_Capital_Mensual!R104</f>
        <v/>
      </c>
      <c r="BA104" s="29">
        <f>Intereses_Residual_Mensual!R104</f>
        <v/>
      </c>
      <c r="BB104" s="29">
        <f>ROUND(AX104 + BA104, 2)</f>
        <v/>
      </c>
      <c r="BC104" s="29">
        <f>Intereses_Leasing_Mensual!S104</f>
        <v/>
      </c>
      <c r="BD104" s="29">
        <f>Amortizacion_Capital_Mensual!T104</f>
        <v/>
      </c>
      <c r="BE104" s="29">
        <f>Saldos_Capital_Mensual!S104</f>
        <v/>
      </c>
      <c r="BF104" s="29">
        <f>Intereses_Residual_Mensual!S104</f>
        <v/>
      </c>
      <c r="BG104" s="29">
        <f>ROUND(BC104 + BF104, 2)</f>
        <v/>
      </c>
      <c r="BH104" s="29">
        <f>Intereses_Leasing_Mensual!T104</f>
        <v/>
      </c>
      <c r="BI104" s="29">
        <f>Amortizacion_Capital_Mensual!U104</f>
        <v/>
      </c>
      <c r="BJ104" s="29">
        <f>Saldos_Capital_Mensual!T104</f>
        <v/>
      </c>
      <c r="BK104" s="29">
        <f>Intereses_Residual_Mensual!T104</f>
        <v/>
      </c>
      <c r="BL104" s="29">
        <f>ROUND(BH104 + BK104, 2)</f>
        <v/>
      </c>
    </row>
    <row r="105">
      <c r="A105" s="20" t="inlineStr">
        <is>
          <t>0647-0003</t>
        </is>
      </c>
      <c r="B105" s="21" t="inlineStr">
        <is>
          <t>Cibaria Gourmet S de Rl de Cv</t>
        </is>
      </c>
      <c r="C105" s="21" t="inlineStr">
        <is>
          <t>1200 Bighorn</t>
        </is>
      </c>
      <c r="D105" s="22" t="n">
        <v>36</v>
      </c>
      <c r="E105" s="23">
        <f>Intereses_Leasing_Mensual!I105</f>
        <v/>
      </c>
      <c r="F105" s="23">
        <f>Amortizacion_Capital_Mensual!J105</f>
        <v/>
      </c>
      <c r="G105" s="23">
        <f>Saldos_Capital_Mensual!I105</f>
        <v/>
      </c>
      <c r="H105" s="23">
        <f>Intereses_Residual_Mensual!I105</f>
        <v/>
      </c>
      <c r="I105" s="23">
        <f>ROUND(E105 + H105, 2)</f>
        <v/>
      </c>
      <c r="J105" s="23">
        <f>Intereses_Leasing_Mensual!J105</f>
        <v/>
      </c>
      <c r="K105" s="23">
        <f>Amortizacion_Capital_Mensual!K105</f>
        <v/>
      </c>
      <c r="L105" s="23">
        <f>Saldos_Capital_Mensual!J105</f>
        <v/>
      </c>
      <c r="M105" s="23">
        <f>Intereses_Residual_Mensual!J105</f>
        <v/>
      </c>
      <c r="N105" s="23">
        <f>ROUND(J105 + M105, 2)</f>
        <v/>
      </c>
      <c r="O105" s="23">
        <f>Intereses_Leasing_Mensual!K105</f>
        <v/>
      </c>
      <c r="P105" s="23">
        <f>Amortizacion_Capital_Mensual!L105</f>
        <v/>
      </c>
      <c r="Q105" s="23">
        <f>Saldos_Capital_Mensual!K105</f>
        <v/>
      </c>
      <c r="R105" s="23">
        <f>Intereses_Residual_Mensual!K105</f>
        <v/>
      </c>
      <c r="S105" s="23">
        <f>ROUND(O105 + R105, 2)</f>
        <v/>
      </c>
      <c r="T105" s="23">
        <f>Intereses_Leasing_Mensual!L105</f>
        <v/>
      </c>
      <c r="U105" s="23">
        <f>Amortizacion_Capital_Mensual!M105</f>
        <v/>
      </c>
      <c r="V105" s="23">
        <f>Saldos_Capital_Mensual!L105</f>
        <v/>
      </c>
      <c r="W105" s="23">
        <f>Intereses_Residual_Mensual!L105</f>
        <v/>
      </c>
      <c r="X105" s="23">
        <f>ROUND(T105 + W105, 2)</f>
        <v/>
      </c>
      <c r="Y105" s="23">
        <f>Intereses_Leasing_Mensual!M105</f>
        <v/>
      </c>
      <c r="Z105" s="23">
        <f>Amortizacion_Capital_Mensual!N105</f>
        <v/>
      </c>
      <c r="AA105" s="23">
        <f>Saldos_Capital_Mensual!M105</f>
        <v/>
      </c>
      <c r="AB105" s="23">
        <f>Intereses_Residual_Mensual!M105</f>
        <v/>
      </c>
      <c r="AC105" s="23">
        <f>ROUND(Y105 + AB105, 2)</f>
        <v/>
      </c>
      <c r="AD105" s="23">
        <f>Intereses_Leasing_Mensual!N105</f>
        <v/>
      </c>
      <c r="AE105" s="23">
        <f>Amortizacion_Capital_Mensual!O105</f>
        <v/>
      </c>
      <c r="AF105" s="23">
        <f>Saldos_Capital_Mensual!N105</f>
        <v/>
      </c>
      <c r="AG105" s="23">
        <f>Intereses_Residual_Mensual!N105</f>
        <v/>
      </c>
      <c r="AH105" s="23">
        <f>ROUND(AD105 + AG105, 2)</f>
        <v/>
      </c>
      <c r="AI105" s="23">
        <f>Intereses_Leasing_Mensual!O105</f>
        <v/>
      </c>
      <c r="AJ105" s="23">
        <f>Amortizacion_Capital_Mensual!P105</f>
        <v/>
      </c>
      <c r="AK105" s="23">
        <f>Saldos_Capital_Mensual!O105</f>
        <v/>
      </c>
      <c r="AL105" s="23">
        <f>Intereses_Residual_Mensual!O105</f>
        <v/>
      </c>
      <c r="AM105" s="23">
        <f>ROUND(AI105 + AL105, 2)</f>
        <v/>
      </c>
      <c r="AN105" s="23">
        <f>Intereses_Leasing_Mensual!P105</f>
        <v/>
      </c>
      <c r="AO105" s="23">
        <f>Amortizacion_Capital_Mensual!Q105</f>
        <v/>
      </c>
      <c r="AP105" s="23">
        <f>Saldos_Capital_Mensual!P105</f>
        <v/>
      </c>
      <c r="AQ105" s="23">
        <f>Intereses_Residual_Mensual!P105</f>
        <v/>
      </c>
      <c r="AR105" s="23">
        <f>ROUND(AN105 + AQ105, 2)</f>
        <v/>
      </c>
      <c r="AS105" s="23">
        <f>Intereses_Leasing_Mensual!Q105</f>
        <v/>
      </c>
      <c r="AT105" s="23">
        <f>Amortizacion_Capital_Mensual!R105</f>
        <v/>
      </c>
      <c r="AU105" s="23">
        <f>Saldos_Capital_Mensual!Q105</f>
        <v/>
      </c>
      <c r="AV105" s="23">
        <f>Intereses_Residual_Mensual!Q105</f>
        <v/>
      </c>
      <c r="AW105" s="23">
        <f>ROUND(AS105 + AV105, 2)</f>
        <v/>
      </c>
      <c r="AX105" s="23">
        <f>Intereses_Leasing_Mensual!R105</f>
        <v/>
      </c>
      <c r="AY105" s="23">
        <f>Amortizacion_Capital_Mensual!S105</f>
        <v/>
      </c>
      <c r="AZ105" s="23">
        <f>Saldos_Capital_Mensual!R105</f>
        <v/>
      </c>
      <c r="BA105" s="23">
        <f>Intereses_Residual_Mensual!R105</f>
        <v/>
      </c>
      <c r="BB105" s="23">
        <f>ROUND(AX105 + BA105, 2)</f>
        <v/>
      </c>
      <c r="BC105" s="23">
        <f>Intereses_Leasing_Mensual!S105</f>
        <v/>
      </c>
      <c r="BD105" s="23">
        <f>Amortizacion_Capital_Mensual!T105</f>
        <v/>
      </c>
      <c r="BE105" s="23">
        <f>Saldos_Capital_Mensual!S105</f>
        <v/>
      </c>
      <c r="BF105" s="23">
        <f>Intereses_Residual_Mensual!S105</f>
        <v/>
      </c>
      <c r="BG105" s="23">
        <f>ROUND(BC105 + BF105, 2)</f>
        <v/>
      </c>
      <c r="BH105" s="23">
        <f>Intereses_Leasing_Mensual!T105</f>
        <v/>
      </c>
      <c r="BI105" s="23">
        <f>Amortizacion_Capital_Mensual!U105</f>
        <v/>
      </c>
      <c r="BJ105" s="23">
        <f>Saldos_Capital_Mensual!T105</f>
        <v/>
      </c>
      <c r="BK105" s="23">
        <f>Intereses_Residual_Mensual!T105</f>
        <v/>
      </c>
      <c r="BL105" s="23">
        <f>ROUND(BH105 + BK105, 2)</f>
        <v/>
      </c>
    </row>
    <row r="106">
      <c r="A106" s="26" t="inlineStr">
        <is>
          <t>0647-0004</t>
        </is>
      </c>
      <c r="B106" s="27" t="inlineStr">
        <is>
          <t>Cibaria Gourmet S de Rl de Cv</t>
        </is>
      </c>
      <c r="C106" s="27" t="inlineStr">
        <is>
          <t>1200 Bighorn</t>
        </is>
      </c>
      <c r="D106" s="28" t="n">
        <v>36</v>
      </c>
      <c r="E106" s="29">
        <f>Intereses_Leasing_Mensual!I106</f>
        <v/>
      </c>
      <c r="F106" s="29">
        <f>Amortizacion_Capital_Mensual!J106</f>
        <v/>
      </c>
      <c r="G106" s="29">
        <f>Saldos_Capital_Mensual!I106</f>
        <v/>
      </c>
      <c r="H106" s="29">
        <f>Intereses_Residual_Mensual!I106</f>
        <v/>
      </c>
      <c r="I106" s="29">
        <f>ROUND(E106 + H106, 2)</f>
        <v/>
      </c>
      <c r="J106" s="29">
        <f>Intereses_Leasing_Mensual!J106</f>
        <v/>
      </c>
      <c r="K106" s="29">
        <f>Amortizacion_Capital_Mensual!K106</f>
        <v/>
      </c>
      <c r="L106" s="29">
        <f>Saldos_Capital_Mensual!J106</f>
        <v/>
      </c>
      <c r="M106" s="29">
        <f>Intereses_Residual_Mensual!J106</f>
        <v/>
      </c>
      <c r="N106" s="29">
        <f>ROUND(J106 + M106, 2)</f>
        <v/>
      </c>
      <c r="O106" s="29">
        <f>Intereses_Leasing_Mensual!K106</f>
        <v/>
      </c>
      <c r="P106" s="29">
        <f>Amortizacion_Capital_Mensual!L106</f>
        <v/>
      </c>
      <c r="Q106" s="29">
        <f>Saldos_Capital_Mensual!K106</f>
        <v/>
      </c>
      <c r="R106" s="29">
        <f>Intereses_Residual_Mensual!K106</f>
        <v/>
      </c>
      <c r="S106" s="29">
        <f>ROUND(O106 + R106, 2)</f>
        <v/>
      </c>
      <c r="T106" s="29">
        <f>Intereses_Leasing_Mensual!L106</f>
        <v/>
      </c>
      <c r="U106" s="29">
        <f>Amortizacion_Capital_Mensual!M106</f>
        <v/>
      </c>
      <c r="V106" s="29">
        <f>Saldos_Capital_Mensual!L106</f>
        <v/>
      </c>
      <c r="W106" s="29">
        <f>Intereses_Residual_Mensual!L106</f>
        <v/>
      </c>
      <c r="X106" s="29">
        <f>ROUND(T106 + W106, 2)</f>
        <v/>
      </c>
      <c r="Y106" s="29">
        <f>Intereses_Leasing_Mensual!M106</f>
        <v/>
      </c>
      <c r="Z106" s="29">
        <f>Amortizacion_Capital_Mensual!N106</f>
        <v/>
      </c>
      <c r="AA106" s="29">
        <f>Saldos_Capital_Mensual!M106</f>
        <v/>
      </c>
      <c r="AB106" s="29">
        <f>Intereses_Residual_Mensual!M106</f>
        <v/>
      </c>
      <c r="AC106" s="29">
        <f>ROUND(Y106 + AB106, 2)</f>
        <v/>
      </c>
      <c r="AD106" s="29">
        <f>Intereses_Leasing_Mensual!N106</f>
        <v/>
      </c>
      <c r="AE106" s="29">
        <f>Amortizacion_Capital_Mensual!O106</f>
        <v/>
      </c>
      <c r="AF106" s="29">
        <f>Saldos_Capital_Mensual!N106</f>
        <v/>
      </c>
      <c r="AG106" s="29">
        <f>Intereses_Residual_Mensual!N106</f>
        <v/>
      </c>
      <c r="AH106" s="29">
        <f>ROUND(AD106 + AG106, 2)</f>
        <v/>
      </c>
      <c r="AI106" s="29">
        <f>Intereses_Leasing_Mensual!O106</f>
        <v/>
      </c>
      <c r="AJ106" s="29">
        <f>Amortizacion_Capital_Mensual!P106</f>
        <v/>
      </c>
      <c r="AK106" s="29">
        <f>Saldos_Capital_Mensual!O106</f>
        <v/>
      </c>
      <c r="AL106" s="29">
        <f>Intereses_Residual_Mensual!O106</f>
        <v/>
      </c>
      <c r="AM106" s="29">
        <f>ROUND(AI106 + AL106, 2)</f>
        <v/>
      </c>
      <c r="AN106" s="29">
        <f>Intereses_Leasing_Mensual!P106</f>
        <v/>
      </c>
      <c r="AO106" s="29">
        <f>Amortizacion_Capital_Mensual!Q106</f>
        <v/>
      </c>
      <c r="AP106" s="29">
        <f>Saldos_Capital_Mensual!P106</f>
        <v/>
      </c>
      <c r="AQ106" s="29">
        <f>Intereses_Residual_Mensual!P106</f>
        <v/>
      </c>
      <c r="AR106" s="29">
        <f>ROUND(AN106 + AQ106, 2)</f>
        <v/>
      </c>
      <c r="AS106" s="29">
        <f>Intereses_Leasing_Mensual!Q106</f>
        <v/>
      </c>
      <c r="AT106" s="29">
        <f>Amortizacion_Capital_Mensual!R106</f>
        <v/>
      </c>
      <c r="AU106" s="29">
        <f>Saldos_Capital_Mensual!Q106</f>
        <v/>
      </c>
      <c r="AV106" s="29">
        <f>Intereses_Residual_Mensual!Q106</f>
        <v/>
      </c>
      <c r="AW106" s="29">
        <f>ROUND(AS106 + AV106, 2)</f>
        <v/>
      </c>
      <c r="AX106" s="29">
        <f>Intereses_Leasing_Mensual!R106</f>
        <v/>
      </c>
      <c r="AY106" s="29">
        <f>Amortizacion_Capital_Mensual!S106</f>
        <v/>
      </c>
      <c r="AZ106" s="29">
        <f>Saldos_Capital_Mensual!R106</f>
        <v/>
      </c>
      <c r="BA106" s="29">
        <f>Intereses_Residual_Mensual!R106</f>
        <v/>
      </c>
      <c r="BB106" s="29">
        <f>ROUND(AX106 + BA106, 2)</f>
        <v/>
      </c>
      <c r="BC106" s="29">
        <f>Intereses_Leasing_Mensual!S106</f>
        <v/>
      </c>
      <c r="BD106" s="29">
        <f>Amortizacion_Capital_Mensual!T106</f>
        <v/>
      </c>
      <c r="BE106" s="29">
        <f>Saldos_Capital_Mensual!S106</f>
        <v/>
      </c>
      <c r="BF106" s="29">
        <f>Intereses_Residual_Mensual!S106</f>
        <v/>
      </c>
      <c r="BG106" s="29">
        <f>ROUND(BC106 + BF106, 2)</f>
        <v/>
      </c>
      <c r="BH106" s="29">
        <f>Intereses_Leasing_Mensual!T106</f>
        <v/>
      </c>
      <c r="BI106" s="29">
        <f>Amortizacion_Capital_Mensual!U106</f>
        <v/>
      </c>
      <c r="BJ106" s="29">
        <f>Saldos_Capital_Mensual!T106</f>
        <v/>
      </c>
      <c r="BK106" s="29">
        <f>Intereses_Residual_Mensual!T106</f>
        <v/>
      </c>
      <c r="BL106" s="29">
        <f>ROUND(BH106 + BK106, 2)</f>
        <v/>
      </c>
    </row>
    <row r="107">
      <c r="A107" s="20" t="inlineStr">
        <is>
          <t>0648-0002</t>
        </is>
      </c>
      <c r="B107" s="21" t="inlineStr">
        <is>
          <t>Jorge Luis Cervantes Gonzalez</t>
        </is>
      </c>
      <c r="C107" s="21" t="inlineStr">
        <is>
          <t>Wagoneer</t>
        </is>
      </c>
      <c r="D107" s="22" t="n">
        <v>48</v>
      </c>
      <c r="E107" s="23">
        <f>Intereses_Leasing_Mensual!I107</f>
        <v/>
      </c>
      <c r="F107" s="23">
        <f>Amortizacion_Capital_Mensual!J107</f>
        <v/>
      </c>
      <c r="G107" s="23">
        <f>Saldos_Capital_Mensual!I107</f>
        <v/>
      </c>
      <c r="H107" s="23">
        <f>Intereses_Residual_Mensual!I107</f>
        <v/>
      </c>
      <c r="I107" s="23">
        <f>ROUND(E107 + H107, 2)</f>
        <v/>
      </c>
      <c r="J107" s="23">
        <f>Intereses_Leasing_Mensual!J107</f>
        <v/>
      </c>
      <c r="K107" s="23">
        <f>Amortizacion_Capital_Mensual!K107</f>
        <v/>
      </c>
      <c r="L107" s="23">
        <f>Saldos_Capital_Mensual!J107</f>
        <v/>
      </c>
      <c r="M107" s="23">
        <f>Intereses_Residual_Mensual!J107</f>
        <v/>
      </c>
      <c r="N107" s="23">
        <f>ROUND(J107 + M107, 2)</f>
        <v/>
      </c>
      <c r="O107" s="23">
        <f>Intereses_Leasing_Mensual!K107</f>
        <v/>
      </c>
      <c r="P107" s="23">
        <f>Amortizacion_Capital_Mensual!L107</f>
        <v/>
      </c>
      <c r="Q107" s="23">
        <f>Saldos_Capital_Mensual!K107</f>
        <v/>
      </c>
      <c r="R107" s="23">
        <f>Intereses_Residual_Mensual!K107</f>
        <v/>
      </c>
      <c r="S107" s="23">
        <f>ROUND(O107 + R107, 2)</f>
        <v/>
      </c>
      <c r="T107" s="23">
        <f>Intereses_Leasing_Mensual!L107</f>
        <v/>
      </c>
      <c r="U107" s="23">
        <f>Amortizacion_Capital_Mensual!M107</f>
        <v/>
      </c>
      <c r="V107" s="23">
        <f>Saldos_Capital_Mensual!L107</f>
        <v/>
      </c>
      <c r="W107" s="23">
        <f>Intereses_Residual_Mensual!L107</f>
        <v/>
      </c>
      <c r="X107" s="23">
        <f>ROUND(T107 + W107, 2)</f>
        <v/>
      </c>
      <c r="Y107" s="23">
        <f>Intereses_Leasing_Mensual!M107</f>
        <v/>
      </c>
      <c r="Z107" s="23">
        <f>Amortizacion_Capital_Mensual!N107</f>
        <v/>
      </c>
      <c r="AA107" s="23">
        <f>Saldos_Capital_Mensual!M107</f>
        <v/>
      </c>
      <c r="AB107" s="23">
        <f>Intereses_Residual_Mensual!M107</f>
        <v/>
      </c>
      <c r="AC107" s="23">
        <f>ROUND(Y107 + AB107, 2)</f>
        <v/>
      </c>
      <c r="AD107" s="23">
        <f>Intereses_Leasing_Mensual!N107</f>
        <v/>
      </c>
      <c r="AE107" s="23">
        <f>Amortizacion_Capital_Mensual!O107</f>
        <v/>
      </c>
      <c r="AF107" s="23">
        <f>Saldos_Capital_Mensual!N107</f>
        <v/>
      </c>
      <c r="AG107" s="23">
        <f>Intereses_Residual_Mensual!N107</f>
        <v/>
      </c>
      <c r="AH107" s="23">
        <f>ROUND(AD107 + AG107, 2)</f>
        <v/>
      </c>
      <c r="AI107" s="23">
        <f>Intereses_Leasing_Mensual!O107</f>
        <v/>
      </c>
      <c r="AJ107" s="23">
        <f>Amortizacion_Capital_Mensual!P107</f>
        <v/>
      </c>
      <c r="AK107" s="23">
        <f>Saldos_Capital_Mensual!O107</f>
        <v/>
      </c>
      <c r="AL107" s="23">
        <f>Intereses_Residual_Mensual!O107</f>
        <v/>
      </c>
      <c r="AM107" s="23">
        <f>ROUND(AI107 + AL107, 2)</f>
        <v/>
      </c>
      <c r="AN107" s="23">
        <f>Intereses_Leasing_Mensual!P107</f>
        <v/>
      </c>
      <c r="AO107" s="23">
        <f>Amortizacion_Capital_Mensual!Q107</f>
        <v/>
      </c>
      <c r="AP107" s="23">
        <f>Saldos_Capital_Mensual!P107</f>
        <v/>
      </c>
      <c r="AQ107" s="23">
        <f>Intereses_Residual_Mensual!P107</f>
        <v/>
      </c>
      <c r="AR107" s="23">
        <f>ROUND(AN107 + AQ107, 2)</f>
        <v/>
      </c>
      <c r="AS107" s="23">
        <f>Intereses_Leasing_Mensual!Q107</f>
        <v/>
      </c>
      <c r="AT107" s="23">
        <f>Amortizacion_Capital_Mensual!R107</f>
        <v/>
      </c>
      <c r="AU107" s="23">
        <f>Saldos_Capital_Mensual!Q107</f>
        <v/>
      </c>
      <c r="AV107" s="23">
        <f>Intereses_Residual_Mensual!Q107</f>
        <v/>
      </c>
      <c r="AW107" s="23">
        <f>ROUND(AS107 + AV107, 2)</f>
        <v/>
      </c>
      <c r="AX107" s="23">
        <f>Intereses_Leasing_Mensual!R107</f>
        <v/>
      </c>
      <c r="AY107" s="23">
        <f>Amortizacion_Capital_Mensual!S107</f>
        <v/>
      </c>
      <c r="AZ107" s="23">
        <f>Saldos_Capital_Mensual!R107</f>
        <v/>
      </c>
      <c r="BA107" s="23">
        <f>Intereses_Residual_Mensual!R107</f>
        <v/>
      </c>
      <c r="BB107" s="23">
        <f>ROUND(AX107 + BA107, 2)</f>
        <v/>
      </c>
      <c r="BC107" s="23">
        <f>Intereses_Leasing_Mensual!S107</f>
        <v/>
      </c>
      <c r="BD107" s="23">
        <f>Amortizacion_Capital_Mensual!T107</f>
        <v/>
      </c>
      <c r="BE107" s="23">
        <f>Saldos_Capital_Mensual!S107</f>
        <v/>
      </c>
      <c r="BF107" s="23">
        <f>Intereses_Residual_Mensual!S107</f>
        <v/>
      </c>
      <c r="BG107" s="23">
        <f>ROUND(BC107 + BF107, 2)</f>
        <v/>
      </c>
      <c r="BH107" s="23">
        <f>Intereses_Leasing_Mensual!T107</f>
        <v/>
      </c>
      <c r="BI107" s="23">
        <f>Amortizacion_Capital_Mensual!U107</f>
        <v/>
      </c>
      <c r="BJ107" s="23">
        <f>Saldos_Capital_Mensual!T107</f>
        <v/>
      </c>
      <c r="BK107" s="23">
        <f>Intereses_Residual_Mensual!T107</f>
        <v/>
      </c>
      <c r="BL107" s="23">
        <f>ROUND(BH107 + BK107, 2)</f>
        <v/>
      </c>
    </row>
    <row r="108">
      <c r="A108" s="26" t="inlineStr">
        <is>
          <t>0648-0003</t>
        </is>
      </c>
      <c r="B108" s="27" t="inlineStr">
        <is>
          <t>Jorge Luis Cervantes Gonzalez</t>
        </is>
      </c>
      <c r="C108" s="27" t="inlineStr">
        <is>
          <t>Wrangler Tuscadero</t>
        </is>
      </c>
      <c r="D108" s="28" t="n">
        <v>48</v>
      </c>
      <c r="E108" s="29">
        <f>Intereses_Leasing_Mensual!I108</f>
        <v/>
      </c>
      <c r="F108" s="29">
        <f>Amortizacion_Capital_Mensual!J108</f>
        <v/>
      </c>
      <c r="G108" s="29">
        <f>Saldos_Capital_Mensual!I108</f>
        <v/>
      </c>
      <c r="H108" s="29">
        <f>Intereses_Residual_Mensual!I108</f>
        <v/>
      </c>
      <c r="I108" s="29">
        <f>ROUND(E108 + H108, 2)</f>
        <v/>
      </c>
      <c r="J108" s="29">
        <f>Intereses_Leasing_Mensual!J108</f>
        <v/>
      </c>
      <c r="K108" s="29">
        <f>Amortizacion_Capital_Mensual!K108</f>
        <v/>
      </c>
      <c r="L108" s="29">
        <f>Saldos_Capital_Mensual!J108</f>
        <v/>
      </c>
      <c r="M108" s="29">
        <f>Intereses_Residual_Mensual!J108</f>
        <v/>
      </c>
      <c r="N108" s="29">
        <f>ROUND(J108 + M108, 2)</f>
        <v/>
      </c>
      <c r="O108" s="29">
        <f>Intereses_Leasing_Mensual!K108</f>
        <v/>
      </c>
      <c r="P108" s="29">
        <f>Amortizacion_Capital_Mensual!L108</f>
        <v/>
      </c>
      <c r="Q108" s="29">
        <f>Saldos_Capital_Mensual!K108</f>
        <v/>
      </c>
      <c r="R108" s="29">
        <f>Intereses_Residual_Mensual!K108</f>
        <v/>
      </c>
      <c r="S108" s="29">
        <f>ROUND(O108 + R108, 2)</f>
        <v/>
      </c>
      <c r="T108" s="29">
        <f>Intereses_Leasing_Mensual!L108</f>
        <v/>
      </c>
      <c r="U108" s="29">
        <f>Amortizacion_Capital_Mensual!M108</f>
        <v/>
      </c>
      <c r="V108" s="29">
        <f>Saldos_Capital_Mensual!L108</f>
        <v/>
      </c>
      <c r="W108" s="29">
        <f>Intereses_Residual_Mensual!L108</f>
        <v/>
      </c>
      <c r="X108" s="29">
        <f>ROUND(T108 + W108, 2)</f>
        <v/>
      </c>
      <c r="Y108" s="29">
        <f>Intereses_Leasing_Mensual!M108</f>
        <v/>
      </c>
      <c r="Z108" s="29">
        <f>Amortizacion_Capital_Mensual!N108</f>
        <v/>
      </c>
      <c r="AA108" s="29">
        <f>Saldos_Capital_Mensual!M108</f>
        <v/>
      </c>
      <c r="AB108" s="29">
        <f>Intereses_Residual_Mensual!M108</f>
        <v/>
      </c>
      <c r="AC108" s="29">
        <f>ROUND(Y108 + AB108, 2)</f>
        <v/>
      </c>
      <c r="AD108" s="29">
        <f>Intereses_Leasing_Mensual!N108</f>
        <v/>
      </c>
      <c r="AE108" s="29">
        <f>Amortizacion_Capital_Mensual!O108</f>
        <v/>
      </c>
      <c r="AF108" s="29">
        <f>Saldos_Capital_Mensual!N108</f>
        <v/>
      </c>
      <c r="AG108" s="29">
        <f>Intereses_Residual_Mensual!N108</f>
        <v/>
      </c>
      <c r="AH108" s="29">
        <f>ROUND(AD108 + AG108, 2)</f>
        <v/>
      </c>
      <c r="AI108" s="29">
        <f>Intereses_Leasing_Mensual!O108</f>
        <v/>
      </c>
      <c r="AJ108" s="29">
        <f>Amortizacion_Capital_Mensual!P108</f>
        <v/>
      </c>
      <c r="AK108" s="29">
        <f>Saldos_Capital_Mensual!O108</f>
        <v/>
      </c>
      <c r="AL108" s="29">
        <f>Intereses_Residual_Mensual!O108</f>
        <v/>
      </c>
      <c r="AM108" s="29">
        <f>ROUND(AI108 + AL108, 2)</f>
        <v/>
      </c>
      <c r="AN108" s="29">
        <f>Intereses_Leasing_Mensual!P108</f>
        <v/>
      </c>
      <c r="AO108" s="29">
        <f>Amortizacion_Capital_Mensual!Q108</f>
        <v/>
      </c>
      <c r="AP108" s="29">
        <f>Saldos_Capital_Mensual!P108</f>
        <v/>
      </c>
      <c r="AQ108" s="29">
        <f>Intereses_Residual_Mensual!P108</f>
        <v/>
      </c>
      <c r="AR108" s="29">
        <f>ROUND(AN108 + AQ108, 2)</f>
        <v/>
      </c>
      <c r="AS108" s="29">
        <f>Intereses_Leasing_Mensual!Q108</f>
        <v/>
      </c>
      <c r="AT108" s="29">
        <f>Amortizacion_Capital_Mensual!R108</f>
        <v/>
      </c>
      <c r="AU108" s="29">
        <f>Saldos_Capital_Mensual!Q108</f>
        <v/>
      </c>
      <c r="AV108" s="29">
        <f>Intereses_Residual_Mensual!Q108</f>
        <v/>
      </c>
      <c r="AW108" s="29">
        <f>ROUND(AS108 + AV108, 2)</f>
        <v/>
      </c>
      <c r="AX108" s="29">
        <f>Intereses_Leasing_Mensual!R108</f>
        <v/>
      </c>
      <c r="AY108" s="29">
        <f>Amortizacion_Capital_Mensual!S108</f>
        <v/>
      </c>
      <c r="AZ108" s="29">
        <f>Saldos_Capital_Mensual!R108</f>
        <v/>
      </c>
      <c r="BA108" s="29">
        <f>Intereses_Residual_Mensual!R108</f>
        <v/>
      </c>
      <c r="BB108" s="29">
        <f>ROUND(AX108 + BA108, 2)</f>
        <v/>
      </c>
      <c r="BC108" s="29">
        <f>Intereses_Leasing_Mensual!S108</f>
        <v/>
      </c>
      <c r="BD108" s="29">
        <f>Amortizacion_Capital_Mensual!T108</f>
        <v/>
      </c>
      <c r="BE108" s="29">
        <f>Saldos_Capital_Mensual!S108</f>
        <v/>
      </c>
      <c r="BF108" s="29">
        <f>Intereses_Residual_Mensual!S108</f>
        <v/>
      </c>
      <c r="BG108" s="29">
        <f>ROUND(BC108 + BF108, 2)</f>
        <v/>
      </c>
      <c r="BH108" s="29">
        <f>Intereses_Leasing_Mensual!T108</f>
        <v/>
      </c>
      <c r="BI108" s="29">
        <f>Amortizacion_Capital_Mensual!U108</f>
        <v/>
      </c>
      <c r="BJ108" s="29">
        <f>Saldos_Capital_Mensual!T108</f>
        <v/>
      </c>
      <c r="BK108" s="29">
        <f>Intereses_Residual_Mensual!T108</f>
        <v/>
      </c>
      <c r="BL108" s="29">
        <f>ROUND(BH108 + BK108, 2)</f>
        <v/>
      </c>
    </row>
    <row r="109">
      <c r="A109" s="20" t="inlineStr">
        <is>
          <t>0648-0004</t>
        </is>
      </c>
      <c r="B109" s="21" t="inlineStr">
        <is>
          <t>Jorge Luis Cervantes Gonzalez</t>
        </is>
      </c>
      <c r="C109" s="21" t="inlineStr">
        <is>
          <t>JEEP 392</t>
        </is>
      </c>
      <c r="D109" s="22" t="n">
        <v>36</v>
      </c>
      <c r="E109" s="23">
        <f>Intereses_Leasing_Mensual!I109</f>
        <v/>
      </c>
      <c r="F109" s="23">
        <f>Amortizacion_Capital_Mensual!J109</f>
        <v/>
      </c>
      <c r="G109" s="23">
        <f>Saldos_Capital_Mensual!I109</f>
        <v/>
      </c>
      <c r="H109" s="23">
        <f>Intereses_Residual_Mensual!I109</f>
        <v/>
      </c>
      <c r="I109" s="23">
        <f>ROUND(E109 + H109, 2)</f>
        <v/>
      </c>
      <c r="J109" s="23">
        <f>Intereses_Leasing_Mensual!J109</f>
        <v/>
      </c>
      <c r="K109" s="23">
        <f>Amortizacion_Capital_Mensual!K109</f>
        <v/>
      </c>
      <c r="L109" s="23">
        <f>Saldos_Capital_Mensual!J109</f>
        <v/>
      </c>
      <c r="M109" s="23">
        <f>Intereses_Residual_Mensual!J109</f>
        <v/>
      </c>
      <c r="N109" s="23">
        <f>ROUND(J109 + M109, 2)</f>
        <v/>
      </c>
      <c r="O109" s="23">
        <f>Intereses_Leasing_Mensual!K109</f>
        <v/>
      </c>
      <c r="P109" s="23">
        <f>Amortizacion_Capital_Mensual!L109</f>
        <v/>
      </c>
      <c r="Q109" s="23">
        <f>Saldos_Capital_Mensual!K109</f>
        <v/>
      </c>
      <c r="R109" s="23">
        <f>Intereses_Residual_Mensual!K109</f>
        <v/>
      </c>
      <c r="S109" s="23">
        <f>ROUND(O109 + R109, 2)</f>
        <v/>
      </c>
      <c r="T109" s="23">
        <f>Intereses_Leasing_Mensual!L109</f>
        <v/>
      </c>
      <c r="U109" s="23">
        <f>Amortizacion_Capital_Mensual!M109</f>
        <v/>
      </c>
      <c r="V109" s="23">
        <f>Saldos_Capital_Mensual!L109</f>
        <v/>
      </c>
      <c r="W109" s="23">
        <f>Intereses_Residual_Mensual!L109</f>
        <v/>
      </c>
      <c r="X109" s="23">
        <f>ROUND(T109 + W109, 2)</f>
        <v/>
      </c>
      <c r="Y109" s="23">
        <f>Intereses_Leasing_Mensual!M109</f>
        <v/>
      </c>
      <c r="Z109" s="23">
        <f>Amortizacion_Capital_Mensual!N109</f>
        <v/>
      </c>
      <c r="AA109" s="23">
        <f>Saldos_Capital_Mensual!M109</f>
        <v/>
      </c>
      <c r="AB109" s="23">
        <f>Intereses_Residual_Mensual!M109</f>
        <v/>
      </c>
      <c r="AC109" s="23">
        <f>ROUND(Y109 + AB109, 2)</f>
        <v/>
      </c>
      <c r="AD109" s="23">
        <f>Intereses_Leasing_Mensual!N109</f>
        <v/>
      </c>
      <c r="AE109" s="23">
        <f>Amortizacion_Capital_Mensual!O109</f>
        <v/>
      </c>
      <c r="AF109" s="23">
        <f>Saldos_Capital_Mensual!N109</f>
        <v/>
      </c>
      <c r="AG109" s="23">
        <f>Intereses_Residual_Mensual!N109</f>
        <v/>
      </c>
      <c r="AH109" s="23">
        <f>ROUND(AD109 + AG109, 2)</f>
        <v/>
      </c>
      <c r="AI109" s="23">
        <f>Intereses_Leasing_Mensual!O109</f>
        <v/>
      </c>
      <c r="AJ109" s="23">
        <f>Amortizacion_Capital_Mensual!P109</f>
        <v/>
      </c>
      <c r="AK109" s="23">
        <f>Saldos_Capital_Mensual!O109</f>
        <v/>
      </c>
      <c r="AL109" s="23">
        <f>Intereses_Residual_Mensual!O109</f>
        <v/>
      </c>
      <c r="AM109" s="23">
        <f>ROUND(AI109 + AL109, 2)</f>
        <v/>
      </c>
      <c r="AN109" s="23">
        <f>Intereses_Leasing_Mensual!P109</f>
        <v/>
      </c>
      <c r="AO109" s="23">
        <f>Amortizacion_Capital_Mensual!Q109</f>
        <v/>
      </c>
      <c r="AP109" s="23">
        <f>Saldos_Capital_Mensual!P109</f>
        <v/>
      </c>
      <c r="AQ109" s="23">
        <f>Intereses_Residual_Mensual!P109</f>
        <v/>
      </c>
      <c r="AR109" s="23">
        <f>ROUND(AN109 + AQ109, 2)</f>
        <v/>
      </c>
      <c r="AS109" s="23">
        <f>Intereses_Leasing_Mensual!Q109</f>
        <v/>
      </c>
      <c r="AT109" s="23">
        <f>Amortizacion_Capital_Mensual!R109</f>
        <v/>
      </c>
      <c r="AU109" s="23">
        <f>Saldos_Capital_Mensual!Q109</f>
        <v/>
      </c>
      <c r="AV109" s="23">
        <f>Intereses_Residual_Mensual!Q109</f>
        <v/>
      </c>
      <c r="AW109" s="23">
        <f>ROUND(AS109 + AV109, 2)</f>
        <v/>
      </c>
      <c r="AX109" s="23">
        <f>Intereses_Leasing_Mensual!R109</f>
        <v/>
      </c>
      <c r="AY109" s="23">
        <f>Amortizacion_Capital_Mensual!S109</f>
        <v/>
      </c>
      <c r="AZ109" s="23">
        <f>Saldos_Capital_Mensual!R109</f>
        <v/>
      </c>
      <c r="BA109" s="23">
        <f>Intereses_Residual_Mensual!R109</f>
        <v/>
      </c>
      <c r="BB109" s="23">
        <f>ROUND(AX109 + BA109, 2)</f>
        <v/>
      </c>
      <c r="BC109" s="23">
        <f>Intereses_Leasing_Mensual!S109</f>
        <v/>
      </c>
      <c r="BD109" s="23">
        <f>Amortizacion_Capital_Mensual!T109</f>
        <v/>
      </c>
      <c r="BE109" s="23">
        <f>Saldos_Capital_Mensual!S109</f>
        <v/>
      </c>
      <c r="BF109" s="23">
        <f>Intereses_Residual_Mensual!S109</f>
        <v/>
      </c>
      <c r="BG109" s="23">
        <f>ROUND(BC109 + BF109, 2)</f>
        <v/>
      </c>
      <c r="BH109" s="23">
        <f>Intereses_Leasing_Mensual!T109</f>
        <v/>
      </c>
      <c r="BI109" s="23">
        <f>Amortizacion_Capital_Mensual!U109</f>
        <v/>
      </c>
      <c r="BJ109" s="23">
        <f>Saldos_Capital_Mensual!T109</f>
        <v/>
      </c>
      <c r="BK109" s="23">
        <f>Intereses_Residual_Mensual!T109</f>
        <v/>
      </c>
      <c r="BL109" s="23">
        <f>ROUND(BH109 + BK109, 2)</f>
        <v/>
      </c>
    </row>
    <row r="110">
      <c r="A110" s="26" t="inlineStr">
        <is>
          <t>0648-0005</t>
        </is>
      </c>
      <c r="B110" s="27" t="inlineStr">
        <is>
          <t>Jorge Luis Cervantes Gonzalez</t>
        </is>
      </c>
      <c r="C110" s="27" t="inlineStr">
        <is>
          <t>1500 RHO</t>
        </is>
      </c>
      <c r="D110" s="28" t="n">
        <v>36</v>
      </c>
      <c r="E110" s="29">
        <f>Intereses_Leasing_Mensual!I110</f>
        <v/>
      </c>
      <c r="F110" s="29">
        <f>Amortizacion_Capital_Mensual!J110</f>
        <v/>
      </c>
      <c r="G110" s="29">
        <f>Saldos_Capital_Mensual!I110</f>
        <v/>
      </c>
      <c r="H110" s="29">
        <f>Intereses_Residual_Mensual!I110</f>
        <v/>
      </c>
      <c r="I110" s="29">
        <f>ROUND(E110 + H110, 2)</f>
        <v/>
      </c>
      <c r="J110" s="29">
        <f>Intereses_Leasing_Mensual!J110</f>
        <v/>
      </c>
      <c r="K110" s="29">
        <f>Amortizacion_Capital_Mensual!K110</f>
        <v/>
      </c>
      <c r="L110" s="29">
        <f>Saldos_Capital_Mensual!J110</f>
        <v/>
      </c>
      <c r="M110" s="29">
        <f>Intereses_Residual_Mensual!J110</f>
        <v/>
      </c>
      <c r="N110" s="29">
        <f>ROUND(J110 + M110, 2)</f>
        <v/>
      </c>
      <c r="O110" s="29">
        <f>Intereses_Leasing_Mensual!K110</f>
        <v/>
      </c>
      <c r="P110" s="29">
        <f>Amortizacion_Capital_Mensual!L110</f>
        <v/>
      </c>
      <c r="Q110" s="29">
        <f>Saldos_Capital_Mensual!K110</f>
        <v/>
      </c>
      <c r="R110" s="29">
        <f>Intereses_Residual_Mensual!K110</f>
        <v/>
      </c>
      <c r="S110" s="29">
        <f>ROUND(O110 + R110, 2)</f>
        <v/>
      </c>
      <c r="T110" s="29">
        <f>Intereses_Leasing_Mensual!L110</f>
        <v/>
      </c>
      <c r="U110" s="29">
        <f>Amortizacion_Capital_Mensual!M110</f>
        <v/>
      </c>
      <c r="V110" s="29">
        <f>Saldos_Capital_Mensual!L110</f>
        <v/>
      </c>
      <c r="W110" s="29">
        <f>Intereses_Residual_Mensual!L110</f>
        <v/>
      </c>
      <c r="X110" s="29">
        <f>ROUND(T110 + W110, 2)</f>
        <v/>
      </c>
      <c r="Y110" s="29">
        <f>Intereses_Leasing_Mensual!M110</f>
        <v/>
      </c>
      <c r="Z110" s="29">
        <f>Amortizacion_Capital_Mensual!N110</f>
        <v/>
      </c>
      <c r="AA110" s="29">
        <f>Saldos_Capital_Mensual!M110</f>
        <v/>
      </c>
      <c r="AB110" s="29">
        <f>Intereses_Residual_Mensual!M110</f>
        <v/>
      </c>
      <c r="AC110" s="29">
        <f>ROUND(Y110 + AB110, 2)</f>
        <v/>
      </c>
      <c r="AD110" s="29">
        <f>Intereses_Leasing_Mensual!N110</f>
        <v/>
      </c>
      <c r="AE110" s="29">
        <f>Amortizacion_Capital_Mensual!O110</f>
        <v/>
      </c>
      <c r="AF110" s="29">
        <f>Saldos_Capital_Mensual!N110</f>
        <v/>
      </c>
      <c r="AG110" s="29">
        <f>Intereses_Residual_Mensual!N110</f>
        <v/>
      </c>
      <c r="AH110" s="29">
        <f>ROUND(AD110 + AG110, 2)</f>
        <v/>
      </c>
      <c r="AI110" s="29">
        <f>Intereses_Leasing_Mensual!O110</f>
        <v/>
      </c>
      <c r="AJ110" s="29">
        <f>Amortizacion_Capital_Mensual!P110</f>
        <v/>
      </c>
      <c r="AK110" s="29">
        <f>Saldos_Capital_Mensual!O110</f>
        <v/>
      </c>
      <c r="AL110" s="29">
        <f>Intereses_Residual_Mensual!O110</f>
        <v/>
      </c>
      <c r="AM110" s="29">
        <f>ROUND(AI110 + AL110, 2)</f>
        <v/>
      </c>
      <c r="AN110" s="29">
        <f>Intereses_Leasing_Mensual!P110</f>
        <v/>
      </c>
      <c r="AO110" s="29">
        <f>Amortizacion_Capital_Mensual!Q110</f>
        <v/>
      </c>
      <c r="AP110" s="29">
        <f>Saldos_Capital_Mensual!P110</f>
        <v/>
      </c>
      <c r="AQ110" s="29">
        <f>Intereses_Residual_Mensual!P110</f>
        <v/>
      </c>
      <c r="AR110" s="29">
        <f>ROUND(AN110 + AQ110, 2)</f>
        <v/>
      </c>
      <c r="AS110" s="29">
        <f>Intereses_Leasing_Mensual!Q110</f>
        <v/>
      </c>
      <c r="AT110" s="29">
        <f>Amortizacion_Capital_Mensual!R110</f>
        <v/>
      </c>
      <c r="AU110" s="29">
        <f>Saldos_Capital_Mensual!Q110</f>
        <v/>
      </c>
      <c r="AV110" s="29">
        <f>Intereses_Residual_Mensual!Q110</f>
        <v/>
      </c>
      <c r="AW110" s="29">
        <f>ROUND(AS110 + AV110, 2)</f>
        <v/>
      </c>
      <c r="AX110" s="29">
        <f>Intereses_Leasing_Mensual!R110</f>
        <v/>
      </c>
      <c r="AY110" s="29">
        <f>Amortizacion_Capital_Mensual!S110</f>
        <v/>
      </c>
      <c r="AZ110" s="29">
        <f>Saldos_Capital_Mensual!R110</f>
        <v/>
      </c>
      <c r="BA110" s="29">
        <f>Intereses_Residual_Mensual!R110</f>
        <v/>
      </c>
      <c r="BB110" s="29">
        <f>ROUND(AX110 + BA110, 2)</f>
        <v/>
      </c>
      <c r="BC110" s="29">
        <f>Intereses_Leasing_Mensual!S110</f>
        <v/>
      </c>
      <c r="BD110" s="29">
        <f>Amortizacion_Capital_Mensual!T110</f>
        <v/>
      </c>
      <c r="BE110" s="29">
        <f>Saldos_Capital_Mensual!S110</f>
        <v/>
      </c>
      <c r="BF110" s="29">
        <f>Intereses_Residual_Mensual!S110</f>
        <v/>
      </c>
      <c r="BG110" s="29">
        <f>ROUND(BC110 + BF110, 2)</f>
        <v/>
      </c>
      <c r="BH110" s="29">
        <f>Intereses_Leasing_Mensual!T110</f>
        <v/>
      </c>
      <c r="BI110" s="29">
        <f>Amortizacion_Capital_Mensual!U110</f>
        <v/>
      </c>
      <c r="BJ110" s="29">
        <f>Saldos_Capital_Mensual!T110</f>
        <v/>
      </c>
      <c r="BK110" s="29">
        <f>Intereses_Residual_Mensual!T110</f>
        <v/>
      </c>
      <c r="BL110" s="29">
        <f>ROUND(BH110 + BK110, 2)</f>
        <v/>
      </c>
    </row>
    <row r="111">
      <c r="A111" s="20" t="inlineStr">
        <is>
          <t>0648-0006</t>
        </is>
      </c>
      <c r="B111" s="21" t="inlineStr">
        <is>
          <t>Jorge Luis Cervantes Gonzalez</t>
        </is>
      </c>
      <c r="C111" s="21" t="inlineStr">
        <is>
          <t>Durango Hellcat SRT</t>
        </is>
      </c>
      <c r="D111" s="22" t="n">
        <v>36</v>
      </c>
      <c r="E111" s="23">
        <f>Intereses_Leasing_Mensual!I111</f>
        <v/>
      </c>
      <c r="F111" s="23">
        <f>Amortizacion_Capital_Mensual!J111</f>
        <v/>
      </c>
      <c r="G111" s="23">
        <f>Saldos_Capital_Mensual!I111</f>
        <v/>
      </c>
      <c r="H111" s="23">
        <f>Intereses_Residual_Mensual!I111</f>
        <v/>
      </c>
      <c r="I111" s="23">
        <f>ROUND(E111 + H111, 2)</f>
        <v/>
      </c>
      <c r="J111" s="23">
        <f>Intereses_Leasing_Mensual!J111</f>
        <v/>
      </c>
      <c r="K111" s="23">
        <f>Amortizacion_Capital_Mensual!K111</f>
        <v/>
      </c>
      <c r="L111" s="23">
        <f>Saldos_Capital_Mensual!J111</f>
        <v/>
      </c>
      <c r="M111" s="23">
        <f>Intereses_Residual_Mensual!J111</f>
        <v/>
      </c>
      <c r="N111" s="23">
        <f>ROUND(J111 + M111, 2)</f>
        <v/>
      </c>
      <c r="O111" s="23">
        <f>Intereses_Leasing_Mensual!K111</f>
        <v/>
      </c>
      <c r="P111" s="23">
        <f>Amortizacion_Capital_Mensual!L111</f>
        <v/>
      </c>
      <c r="Q111" s="23">
        <f>Saldos_Capital_Mensual!K111</f>
        <v/>
      </c>
      <c r="R111" s="23">
        <f>Intereses_Residual_Mensual!K111</f>
        <v/>
      </c>
      <c r="S111" s="23">
        <f>ROUND(O111 + R111, 2)</f>
        <v/>
      </c>
      <c r="T111" s="23">
        <f>Intereses_Leasing_Mensual!L111</f>
        <v/>
      </c>
      <c r="U111" s="23">
        <f>Amortizacion_Capital_Mensual!M111</f>
        <v/>
      </c>
      <c r="V111" s="23">
        <f>Saldos_Capital_Mensual!L111</f>
        <v/>
      </c>
      <c r="W111" s="23">
        <f>Intereses_Residual_Mensual!L111</f>
        <v/>
      </c>
      <c r="X111" s="23">
        <f>ROUND(T111 + W111, 2)</f>
        <v/>
      </c>
      <c r="Y111" s="23">
        <f>Intereses_Leasing_Mensual!M111</f>
        <v/>
      </c>
      <c r="Z111" s="23">
        <f>Amortizacion_Capital_Mensual!N111</f>
        <v/>
      </c>
      <c r="AA111" s="23">
        <f>Saldos_Capital_Mensual!M111</f>
        <v/>
      </c>
      <c r="AB111" s="23">
        <f>Intereses_Residual_Mensual!M111</f>
        <v/>
      </c>
      <c r="AC111" s="23">
        <f>ROUND(Y111 + AB111, 2)</f>
        <v/>
      </c>
      <c r="AD111" s="23">
        <f>Intereses_Leasing_Mensual!N111</f>
        <v/>
      </c>
      <c r="AE111" s="23">
        <f>Amortizacion_Capital_Mensual!O111</f>
        <v/>
      </c>
      <c r="AF111" s="23">
        <f>Saldos_Capital_Mensual!N111</f>
        <v/>
      </c>
      <c r="AG111" s="23">
        <f>Intereses_Residual_Mensual!N111</f>
        <v/>
      </c>
      <c r="AH111" s="23">
        <f>ROUND(AD111 + AG111, 2)</f>
        <v/>
      </c>
      <c r="AI111" s="23">
        <f>Intereses_Leasing_Mensual!O111</f>
        <v/>
      </c>
      <c r="AJ111" s="23">
        <f>Amortizacion_Capital_Mensual!P111</f>
        <v/>
      </c>
      <c r="AK111" s="23">
        <f>Saldos_Capital_Mensual!O111</f>
        <v/>
      </c>
      <c r="AL111" s="23">
        <f>Intereses_Residual_Mensual!O111</f>
        <v/>
      </c>
      <c r="AM111" s="23">
        <f>ROUND(AI111 + AL111, 2)</f>
        <v/>
      </c>
      <c r="AN111" s="23">
        <f>Intereses_Leasing_Mensual!P111</f>
        <v/>
      </c>
      <c r="AO111" s="23">
        <f>Amortizacion_Capital_Mensual!Q111</f>
        <v/>
      </c>
      <c r="AP111" s="23">
        <f>Saldos_Capital_Mensual!P111</f>
        <v/>
      </c>
      <c r="AQ111" s="23">
        <f>Intereses_Residual_Mensual!P111</f>
        <v/>
      </c>
      <c r="AR111" s="23">
        <f>ROUND(AN111 + AQ111, 2)</f>
        <v/>
      </c>
      <c r="AS111" s="23">
        <f>Intereses_Leasing_Mensual!Q111</f>
        <v/>
      </c>
      <c r="AT111" s="23">
        <f>Amortizacion_Capital_Mensual!R111</f>
        <v/>
      </c>
      <c r="AU111" s="23">
        <f>Saldos_Capital_Mensual!Q111</f>
        <v/>
      </c>
      <c r="AV111" s="23">
        <f>Intereses_Residual_Mensual!Q111</f>
        <v/>
      </c>
      <c r="AW111" s="23">
        <f>ROUND(AS111 + AV111, 2)</f>
        <v/>
      </c>
      <c r="AX111" s="23">
        <f>Intereses_Leasing_Mensual!R111</f>
        <v/>
      </c>
      <c r="AY111" s="23">
        <f>Amortizacion_Capital_Mensual!S111</f>
        <v/>
      </c>
      <c r="AZ111" s="23">
        <f>Saldos_Capital_Mensual!R111</f>
        <v/>
      </c>
      <c r="BA111" s="23">
        <f>Intereses_Residual_Mensual!R111</f>
        <v/>
      </c>
      <c r="BB111" s="23">
        <f>ROUND(AX111 + BA111, 2)</f>
        <v/>
      </c>
      <c r="BC111" s="23">
        <f>Intereses_Leasing_Mensual!S111</f>
        <v/>
      </c>
      <c r="BD111" s="23">
        <f>Amortizacion_Capital_Mensual!T111</f>
        <v/>
      </c>
      <c r="BE111" s="23">
        <f>Saldos_Capital_Mensual!S111</f>
        <v/>
      </c>
      <c r="BF111" s="23">
        <f>Intereses_Residual_Mensual!S111</f>
        <v/>
      </c>
      <c r="BG111" s="23">
        <f>ROUND(BC111 + BF111, 2)</f>
        <v/>
      </c>
      <c r="BH111" s="23">
        <f>Intereses_Leasing_Mensual!T111</f>
        <v/>
      </c>
      <c r="BI111" s="23">
        <f>Amortizacion_Capital_Mensual!U111</f>
        <v/>
      </c>
      <c r="BJ111" s="23">
        <f>Saldos_Capital_Mensual!T111</f>
        <v/>
      </c>
      <c r="BK111" s="23">
        <f>Intereses_Residual_Mensual!T111</f>
        <v/>
      </c>
      <c r="BL111" s="23">
        <f>ROUND(BH111 + BK111, 2)</f>
        <v/>
      </c>
    </row>
    <row r="112">
      <c r="A112" s="26" t="inlineStr">
        <is>
          <t>0649-0001</t>
        </is>
      </c>
      <c r="B112" s="27" t="inlineStr">
        <is>
          <t>Compusoluciones Y Asociados Sa de Cv</t>
        </is>
      </c>
      <c r="C112" s="27" t="inlineStr">
        <is>
          <t>CX-30</t>
        </is>
      </c>
      <c r="D112" s="28" t="n">
        <v>48</v>
      </c>
      <c r="E112" s="29">
        <f>Intereses_Leasing_Mensual!I112</f>
        <v/>
      </c>
      <c r="F112" s="29">
        <f>Amortizacion_Capital_Mensual!J112</f>
        <v/>
      </c>
      <c r="G112" s="29">
        <f>Saldos_Capital_Mensual!I112</f>
        <v/>
      </c>
      <c r="H112" s="29">
        <f>Intereses_Residual_Mensual!I112</f>
        <v/>
      </c>
      <c r="I112" s="29">
        <f>ROUND(E112 + H112, 2)</f>
        <v/>
      </c>
      <c r="J112" s="29">
        <f>Intereses_Leasing_Mensual!J112</f>
        <v/>
      </c>
      <c r="K112" s="29">
        <f>Amortizacion_Capital_Mensual!K112</f>
        <v/>
      </c>
      <c r="L112" s="29">
        <f>Saldos_Capital_Mensual!J112</f>
        <v/>
      </c>
      <c r="M112" s="29">
        <f>Intereses_Residual_Mensual!J112</f>
        <v/>
      </c>
      <c r="N112" s="29">
        <f>ROUND(J112 + M112, 2)</f>
        <v/>
      </c>
      <c r="O112" s="29">
        <f>Intereses_Leasing_Mensual!K112</f>
        <v/>
      </c>
      <c r="P112" s="29">
        <f>Amortizacion_Capital_Mensual!L112</f>
        <v/>
      </c>
      <c r="Q112" s="29">
        <f>Saldos_Capital_Mensual!K112</f>
        <v/>
      </c>
      <c r="R112" s="29">
        <f>Intereses_Residual_Mensual!K112</f>
        <v/>
      </c>
      <c r="S112" s="29">
        <f>ROUND(O112 + R112, 2)</f>
        <v/>
      </c>
      <c r="T112" s="29">
        <f>Intereses_Leasing_Mensual!L112</f>
        <v/>
      </c>
      <c r="U112" s="29">
        <f>Amortizacion_Capital_Mensual!M112</f>
        <v/>
      </c>
      <c r="V112" s="29">
        <f>Saldos_Capital_Mensual!L112</f>
        <v/>
      </c>
      <c r="W112" s="29">
        <f>Intereses_Residual_Mensual!L112</f>
        <v/>
      </c>
      <c r="X112" s="29">
        <f>ROUND(T112 + W112, 2)</f>
        <v/>
      </c>
      <c r="Y112" s="29">
        <f>Intereses_Leasing_Mensual!M112</f>
        <v/>
      </c>
      <c r="Z112" s="29">
        <f>Amortizacion_Capital_Mensual!N112</f>
        <v/>
      </c>
      <c r="AA112" s="29">
        <f>Saldos_Capital_Mensual!M112</f>
        <v/>
      </c>
      <c r="AB112" s="29">
        <f>Intereses_Residual_Mensual!M112</f>
        <v/>
      </c>
      <c r="AC112" s="29">
        <f>ROUND(Y112 + AB112, 2)</f>
        <v/>
      </c>
      <c r="AD112" s="29">
        <f>Intereses_Leasing_Mensual!N112</f>
        <v/>
      </c>
      <c r="AE112" s="29">
        <f>Amortizacion_Capital_Mensual!O112</f>
        <v/>
      </c>
      <c r="AF112" s="29">
        <f>Saldos_Capital_Mensual!N112</f>
        <v/>
      </c>
      <c r="AG112" s="29">
        <f>Intereses_Residual_Mensual!N112</f>
        <v/>
      </c>
      <c r="AH112" s="29">
        <f>ROUND(AD112 + AG112, 2)</f>
        <v/>
      </c>
      <c r="AI112" s="29">
        <f>Intereses_Leasing_Mensual!O112</f>
        <v/>
      </c>
      <c r="AJ112" s="29">
        <f>Amortizacion_Capital_Mensual!P112</f>
        <v/>
      </c>
      <c r="AK112" s="29">
        <f>Saldos_Capital_Mensual!O112</f>
        <v/>
      </c>
      <c r="AL112" s="29">
        <f>Intereses_Residual_Mensual!O112</f>
        <v/>
      </c>
      <c r="AM112" s="29">
        <f>ROUND(AI112 + AL112, 2)</f>
        <v/>
      </c>
      <c r="AN112" s="29">
        <f>Intereses_Leasing_Mensual!P112</f>
        <v/>
      </c>
      <c r="AO112" s="29">
        <f>Amortizacion_Capital_Mensual!Q112</f>
        <v/>
      </c>
      <c r="AP112" s="29">
        <f>Saldos_Capital_Mensual!P112</f>
        <v/>
      </c>
      <c r="AQ112" s="29">
        <f>Intereses_Residual_Mensual!P112</f>
        <v/>
      </c>
      <c r="AR112" s="29">
        <f>ROUND(AN112 + AQ112, 2)</f>
        <v/>
      </c>
      <c r="AS112" s="29">
        <f>Intereses_Leasing_Mensual!Q112</f>
        <v/>
      </c>
      <c r="AT112" s="29">
        <f>Amortizacion_Capital_Mensual!R112</f>
        <v/>
      </c>
      <c r="AU112" s="29">
        <f>Saldos_Capital_Mensual!Q112</f>
        <v/>
      </c>
      <c r="AV112" s="29">
        <f>Intereses_Residual_Mensual!Q112</f>
        <v/>
      </c>
      <c r="AW112" s="29">
        <f>ROUND(AS112 + AV112, 2)</f>
        <v/>
      </c>
      <c r="AX112" s="29">
        <f>Intereses_Leasing_Mensual!R112</f>
        <v/>
      </c>
      <c r="AY112" s="29">
        <f>Amortizacion_Capital_Mensual!S112</f>
        <v/>
      </c>
      <c r="AZ112" s="29">
        <f>Saldos_Capital_Mensual!R112</f>
        <v/>
      </c>
      <c r="BA112" s="29">
        <f>Intereses_Residual_Mensual!R112</f>
        <v/>
      </c>
      <c r="BB112" s="29">
        <f>ROUND(AX112 + BA112, 2)</f>
        <v/>
      </c>
      <c r="BC112" s="29">
        <f>Intereses_Leasing_Mensual!S112</f>
        <v/>
      </c>
      <c r="BD112" s="29">
        <f>Amortizacion_Capital_Mensual!T112</f>
        <v/>
      </c>
      <c r="BE112" s="29">
        <f>Saldos_Capital_Mensual!S112</f>
        <v/>
      </c>
      <c r="BF112" s="29">
        <f>Intereses_Residual_Mensual!S112</f>
        <v/>
      </c>
      <c r="BG112" s="29">
        <f>ROUND(BC112 + BF112, 2)</f>
        <v/>
      </c>
      <c r="BH112" s="29">
        <f>Intereses_Leasing_Mensual!T112</f>
        <v/>
      </c>
      <c r="BI112" s="29">
        <f>Amortizacion_Capital_Mensual!U112</f>
        <v/>
      </c>
      <c r="BJ112" s="29">
        <f>Saldos_Capital_Mensual!T112</f>
        <v/>
      </c>
      <c r="BK112" s="29">
        <f>Intereses_Residual_Mensual!T112</f>
        <v/>
      </c>
      <c r="BL112" s="29">
        <f>ROUND(BH112 + BK112, 2)</f>
        <v/>
      </c>
    </row>
    <row r="113">
      <c r="A113" s="20" t="inlineStr">
        <is>
          <t>0649-0002</t>
        </is>
      </c>
      <c r="B113" s="21" t="inlineStr">
        <is>
          <t>Compusoluciones Y Asociados Sa de Cv</t>
        </is>
      </c>
      <c r="C113" s="21" t="inlineStr">
        <is>
          <t>CX5</t>
        </is>
      </c>
      <c r="D113" s="22" t="n">
        <v>48</v>
      </c>
      <c r="E113" s="23">
        <f>Intereses_Leasing_Mensual!I113</f>
        <v/>
      </c>
      <c r="F113" s="23">
        <f>Amortizacion_Capital_Mensual!J113</f>
        <v/>
      </c>
      <c r="G113" s="23">
        <f>Saldos_Capital_Mensual!I113</f>
        <v/>
      </c>
      <c r="H113" s="23">
        <f>Intereses_Residual_Mensual!I113</f>
        <v/>
      </c>
      <c r="I113" s="23">
        <f>ROUND(E113 + H113, 2)</f>
        <v/>
      </c>
      <c r="J113" s="23">
        <f>Intereses_Leasing_Mensual!J113</f>
        <v/>
      </c>
      <c r="K113" s="23">
        <f>Amortizacion_Capital_Mensual!K113</f>
        <v/>
      </c>
      <c r="L113" s="23">
        <f>Saldos_Capital_Mensual!J113</f>
        <v/>
      </c>
      <c r="M113" s="23">
        <f>Intereses_Residual_Mensual!J113</f>
        <v/>
      </c>
      <c r="N113" s="23">
        <f>ROUND(J113 + M113, 2)</f>
        <v/>
      </c>
      <c r="O113" s="23">
        <f>Intereses_Leasing_Mensual!K113</f>
        <v/>
      </c>
      <c r="P113" s="23">
        <f>Amortizacion_Capital_Mensual!L113</f>
        <v/>
      </c>
      <c r="Q113" s="23">
        <f>Saldos_Capital_Mensual!K113</f>
        <v/>
      </c>
      <c r="R113" s="23">
        <f>Intereses_Residual_Mensual!K113</f>
        <v/>
      </c>
      <c r="S113" s="23">
        <f>ROUND(O113 + R113, 2)</f>
        <v/>
      </c>
      <c r="T113" s="23">
        <f>Intereses_Leasing_Mensual!L113</f>
        <v/>
      </c>
      <c r="U113" s="23">
        <f>Amortizacion_Capital_Mensual!M113</f>
        <v/>
      </c>
      <c r="V113" s="23">
        <f>Saldos_Capital_Mensual!L113</f>
        <v/>
      </c>
      <c r="W113" s="23">
        <f>Intereses_Residual_Mensual!L113</f>
        <v/>
      </c>
      <c r="X113" s="23">
        <f>ROUND(T113 + W113, 2)</f>
        <v/>
      </c>
      <c r="Y113" s="23">
        <f>Intereses_Leasing_Mensual!M113</f>
        <v/>
      </c>
      <c r="Z113" s="23">
        <f>Amortizacion_Capital_Mensual!N113</f>
        <v/>
      </c>
      <c r="AA113" s="23">
        <f>Saldos_Capital_Mensual!M113</f>
        <v/>
      </c>
      <c r="AB113" s="23">
        <f>Intereses_Residual_Mensual!M113</f>
        <v/>
      </c>
      <c r="AC113" s="23">
        <f>ROUND(Y113 + AB113, 2)</f>
        <v/>
      </c>
      <c r="AD113" s="23">
        <f>Intereses_Leasing_Mensual!N113</f>
        <v/>
      </c>
      <c r="AE113" s="23">
        <f>Amortizacion_Capital_Mensual!O113</f>
        <v/>
      </c>
      <c r="AF113" s="23">
        <f>Saldos_Capital_Mensual!N113</f>
        <v/>
      </c>
      <c r="AG113" s="23">
        <f>Intereses_Residual_Mensual!N113</f>
        <v/>
      </c>
      <c r="AH113" s="23">
        <f>ROUND(AD113 + AG113, 2)</f>
        <v/>
      </c>
      <c r="AI113" s="23">
        <f>Intereses_Leasing_Mensual!O113</f>
        <v/>
      </c>
      <c r="AJ113" s="23">
        <f>Amortizacion_Capital_Mensual!P113</f>
        <v/>
      </c>
      <c r="AK113" s="23">
        <f>Saldos_Capital_Mensual!O113</f>
        <v/>
      </c>
      <c r="AL113" s="23">
        <f>Intereses_Residual_Mensual!O113</f>
        <v/>
      </c>
      <c r="AM113" s="23">
        <f>ROUND(AI113 + AL113, 2)</f>
        <v/>
      </c>
      <c r="AN113" s="23">
        <f>Intereses_Leasing_Mensual!P113</f>
        <v/>
      </c>
      <c r="AO113" s="23">
        <f>Amortizacion_Capital_Mensual!Q113</f>
        <v/>
      </c>
      <c r="AP113" s="23">
        <f>Saldos_Capital_Mensual!P113</f>
        <v/>
      </c>
      <c r="AQ113" s="23">
        <f>Intereses_Residual_Mensual!P113</f>
        <v/>
      </c>
      <c r="AR113" s="23">
        <f>ROUND(AN113 + AQ113, 2)</f>
        <v/>
      </c>
      <c r="AS113" s="23">
        <f>Intereses_Leasing_Mensual!Q113</f>
        <v/>
      </c>
      <c r="AT113" s="23">
        <f>Amortizacion_Capital_Mensual!R113</f>
        <v/>
      </c>
      <c r="AU113" s="23">
        <f>Saldos_Capital_Mensual!Q113</f>
        <v/>
      </c>
      <c r="AV113" s="23">
        <f>Intereses_Residual_Mensual!Q113</f>
        <v/>
      </c>
      <c r="AW113" s="23">
        <f>ROUND(AS113 + AV113, 2)</f>
        <v/>
      </c>
      <c r="AX113" s="23">
        <f>Intereses_Leasing_Mensual!R113</f>
        <v/>
      </c>
      <c r="AY113" s="23">
        <f>Amortizacion_Capital_Mensual!S113</f>
        <v/>
      </c>
      <c r="AZ113" s="23">
        <f>Saldos_Capital_Mensual!R113</f>
        <v/>
      </c>
      <c r="BA113" s="23">
        <f>Intereses_Residual_Mensual!R113</f>
        <v/>
      </c>
      <c r="BB113" s="23">
        <f>ROUND(AX113 + BA113, 2)</f>
        <v/>
      </c>
      <c r="BC113" s="23">
        <f>Intereses_Leasing_Mensual!S113</f>
        <v/>
      </c>
      <c r="BD113" s="23">
        <f>Amortizacion_Capital_Mensual!T113</f>
        <v/>
      </c>
      <c r="BE113" s="23">
        <f>Saldos_Capital_Mensual!S113</f>
        <v/>
      </c>
      <c r="BF113" s="23">
        <f>Intereses_Residual_Mensual!S113</f>
        <v/>
      </c>
      <c r="BG113" s="23">
        <f>ROUND(BC113 + BF113, 2)</f>
        <v/>
      </c>
      <c r="BH113" s="23">
        <f>Intereses_Leasing_Mensual!T113</f>
        <v/>
      </c>
      <c r="BI113" s="23">
        <f>Amortizacion_Capital_Mensual!U113</f>
        <v/>
      </c>
      <c r="BJ113" s="23">
        <f>Saldos_Capital_Mensual!T113</f>
        <v/>
      </c>
      <c r="BK113" s="23">
        <f>Intereses_Residual_Mensual!T113</f>
        <v/>
      </c>
      <c r="BL113" s="23">
        <f>ROUND(BH113 + BK113, 2)</f>
        <v/>
      </c>
    </row>
    <row r="114">
      <c r="A114" s="26" t="inlineStr">
        <is>
          <t>0649-0003</t>
        </is>
      </c>
      <c r="B114" s="27" t="inlineStr">
        <is>
          <t>Compusoluciones Y Asociados Sa de Cv</t>
        </is>
      </c>
      <c r="C114" s="27" t="inlineStr">
        <is>
          <t>Highlander XLE</t>
        </is>
      </c>
      <c r="D114" s="28" t="n">
        <v>48</v>
      </c>
      <c r="E114" s="29">
        <f>Intereses_Leasing_Mensual!I114</f>
        <v/>
      </c>
      <c r="F114" s="29">
        <f>Amortizacion_Capital_Mensual!J114</f>
        <v/>
      </c>
      <c r="G114" s="29">
        <f>Saldos_Capital_Mensual!I114</f>
        <v/>
      </c>
      <c r="H114" s="29">
        <f>Intereses_Residual_Mensual!I114</f>
        <v/>
      </c>
      <c r="I114" s="29">
        <f>ROUND(E114 + H114, 2)</f>
        <v/>
      </c>
      <c r="J114" s="29">
        <f>Intereses_Leasing_Mensual!J114</f>
        <v/>
      </c>
      <c r="K114" s="29">
        <f>Amortizacion_Capital_Mensual!K114</f>
        <v/>
      </c>
      <c r="L114" s="29">
        <f>Saldos_Capital_Mensual!J114</f>
        <v/>
      </c>
      <c r="M114" s="29">
        <f>Intereses_Residual_Mensual!J114</f>
        <v/>
      </c>
      <c r="N114" s="29">
        <f>ROUND(J114 + M114, 2)</f>
        <v/>
      </c>
      <c r="O114" s="29">
        <f>Intereses_Leasing_Mensual!K114</f>
        <v/>
      </c>
      <c r="P114" s="29">
        <f>Amortizacion_Capital_Mensual!L114</f>
        <v/>
      </c>
      <c r="Q114" s="29">
        <f>Saldos_Capital_Mensual!K114</f>
        <v/>
      </c>
      <c r="R114" s="29">
        <f>Intereses_Residual_Mensual!K114</f>
        <v/>
      </c>
      <c r="S114" s="29">
        <f>ROUND(O114 + R114, 2)</f>
        <v/>
      </c>
      <c r="T114" s="29">
        <f>Intereses_Leasing_Mensual!L114</f>
        <v/>
      </c>
      <c r="U114" s="29">
        <f>Amortizacion_Capital_Mensual!M114</f>
        <v/>
      </c>
      <c r="V114" s="29">
        <f>Saldos_Capital_Mensual!L114</f>
        <v/>
      </c>
      <c r="W114" s="29">
        <f>Intereses_Residual_Mensual!L114</f>
        <v/>
      </c>
      <c r="X114" s="29">
        <f>ROUND(T114 + W114, 2)</f>
        <v/>
      </c>
      <c r="Y114" s="29">
        <f>Intereses_Leasing_Mensual!M114</f>
        <v/>
      </c>
      <c r="Z114" s="29">
        <f>Amortizacion_Capital_Mensual!N114</f>
        <v/>
      </c>
      <c r="AA114" s="29">
        <f>Saldos_Capital_Mensual!M114</f>
        <v/>
      </c>
      <c r="AB114" s="29">
        <f>Intereses_Residual_Mensual!M114</f>
        <v/>
      </c>
      <c r="AC114" s="29">
        <f>ROUND(Y114 + AB114, 2)</f>
        <v/>
      </c>
      <c r="AD114" s="29">
        <f>Intereses_Leasing_Mensual!N114</f>
        <v/>
      </c>
      <c r="AE114" s="29">
        <f>Amortizacion_Capital_Mensual!O114</f>
        <v/>
      </c>
      <c r="AF114" s="29">
        <f>Saldos_Capital_Mensual!N114</f>
        <v/>
      </c>
      <c r="AG114" s="29">
        <f>Intereses_Residual_Mensual!N114</f>
        <v/>
      </c>
      <c r="AH114" s="29">
        <f>ROUND(AD114 + AG114, 2)</f>
        <v/>
      </c>
      <c r="AI114" s="29">
        <f>Intereses_Leasing_Mensual!O114</f>
        <v/>
      </c>
      <c r="AJ114" s="29">
        <f>Amortizacion_Capital_Mensual!P114</f>
        <v/>
      </c>
      <c r="AK114" s="29">
        <f>Saldos_Capital_Mensual!O114</f>
        <v/>
      </c>
      <c r="AL114" s="29">
        <f>Intereses_Residual_Mensual!O114</f>
        <v/>
      </c>
      <c r="AM114" s="29">
        <f>ROUND(AI114 + AL114, 2)</f>
        <v/>
      </c>
      <c r="AN114" s="29">
        <f>Intereses_Leasing_Mensual!P114</f>
        <v/>
      </c>
      <c r="AO114" s="29">
        <f>Amortizacion_Capital_Mensual!Q114</f>
        <v/>
      </c>
      <c r="AP114" s="29">
        <f>Saldos_Capital_Mensual!P114</f>
        <v/>
      </c>
      <c r="AQ114" s="29">
        <f>Intereses_Residual_Mensual!P114</f>
        <v/>
      </c>
      <c r="AR114" s="29">
        <f>ROUND(AN114 + AQ114, 2)</f>
        <v/>
      </c>
      <c r="AS114" s="29">
        <f>Intereses_Leasing_Mensual!Q114</f>
        <v/>
      </c>
      <c r="AT114" s="29">
        <f>Amortizacion_Capital_Mensual!R114</f>
        <v/>
      </c>
      <c r="AU114" s="29">
        <f>Saldos_Capital_Mensual!Q114</f>
        <v/>
      </c>
      <c r="AV114" s="29">
        <f>Intereses_Residual_Mensual!Q114</f>
        <v/>
      </c>
      <c r="AW114" s="29">
        <f>ROUND(AS114 + AV114, 2)</f>
        <v/>
      </c>
      <c r="AX114" s="29">
        <f>Intereses_Leasing_Mensual!R114</f>
        <v/>
      </c>
      <c r="AY114" s="29">
        <f>Amortizacion_Capital_Mensual!S114</f>
        <v/>
      </c>
      <c r="AZ114" s="29">
        <f>Saldos_Capital_Mensual!R114</f>
        <v/>
      </c>
      <c r="BA114" s="29">
        <f>Intereses_Residual_Mensual!R114</f>
        <v/>
      </c>
      <c r="BB114" s="29">
        <f>ROUND(AX114 + BA114, 2)</f>
        <v/>
      </c>
      <c r="BC114" s="29">
        <f>Intereses_Leasing_Mensual!S114</f>
        <v/>
      </c>
      <c r="BD114" s="29">
        <f>Amortizacion_Capital_Mensual!T114</f>
        <v/>
      </c>
      <c r="BE114" s="29">
        <f>Saldos_Capital_Mensual!S114</f>
        <v/>
      </c>
      <c r="BF114" s="29">
        <f>Intereses_Residual_Mensual!S114</f>
        <v/>
      </c>
      <c r="BG114" s="29">
        <f>ROUND(BC114 + BF114, 2)</f>
        <v/>
      </c>
      <c r="BH114" s="29">
        <f>Intereses_Leasing_Mensual!T114</f>
        <v/>
      </c>
      <c r="BI114" s="29">
        <f>Amortizacion_Capital_Mensual!U114</f>
        <v/>
      </c>
      <c r="BJ114" s="29">
        <f>Saldos_Capital_Mensual!T114</f>
        <v/>
      </c>
      <c r="BK114" s="29">
        <f>Intereses_Residual_Mensual!T114</f>
        <v/>
      </c>
      <c r="BL114" s="29">
        <f>ROUND(BH114 + BK114, 2)</f>
        <v/>
      </c>
    </row>
    <row r="115">
      <c r="A115" s="20" t="inlineStr">
        <is>
          <t>0649-0005</t>
        </is>
      </c>
      <c r="B115" s="21" t="inlineStr">
        <is>
          <t>Compusoluciones y Asociados Sa de Cv</t>
        </is>
      </c>
      <c r="C115" s="21" t="inlineStr">
        <is>
          <t>3 i Touring</t>
        </is>
      </c>
      <c r="D115" s="22" t="n">
        <v>48</v>
      </c>
      <c r="E115" s="23">
        <f>Intereses_Leasing_Mensual!I115</f>
        <v/>
      </c>
      <c r="F115" s="23">
        <f>Amortizacion_Capital_Mensual!J115</f>
        <v/>
      </c>
      <c r="G115" s="23">
        <f>Saldos_Capital_Mensual!I115</f>
        <v/>
      </c>
      <c r="H115" s="23">
        <f>Intereses_Residual_Mensual!I115</f>
        <v/>
      </c>
      <c r="I115" s="23">
        <f>ROUND(E115 + H115, 2)</f>
        <v/>
      </c>
      <c r="J115" s="23">
        <f>Intereses_Leasing_Mensual!J115</f>
        <v/>
      </c>
      <c r="K115" s="23">
        <f>Amortizacion_Capital_Mensual!K115</f>
        <v/>
      </c>
      <c r="L115" s="23">
        <f>Saldos_Capital_Mensual!J115</f>
        <v/>
      </c>
      <c r="M115" s="23">
        <f>Intereses_Residual_Mensual!J115</f>
        <v/>
      </c>
      <c r="N115" s="23">
        <f>ROUND(J115 + M115, 2)</f>
        <v/>
      </c>
      <c r="O115" s="23">
        <f>Intereses_Leasing_Mensual!K115</f>
        <v/>
      </c>
      <c r="P115" s="23">
        <f>Amortizacion_Capital_Mensual!L115</f>
        <v/>
      </c>
      <c r="Q115" s="23">
        <f>Saldos_Capital_Mensual!K115</f>
        <v/>
      </c>
      <c r="R115" s="23">
        <f>Intereses_Residual_Mensual!K115</f>
        <v/>
      </c>
      <c r="S115" s="23">
        <f>ROUND(O115 + R115, 2)</f>
        <v/>
      </c>
      <c r="T115" s="23">
        <f>Intereses_Leasing_Mensual!L115</f>
        <v/>
      </c>
      <c r="U115" s="23">
        <f>Amortizacion_Capital_Mensual!M115</f>
        <v/>
      </c>
      <c r="V115" s="23">
        <f>Saldos_Capital_Mensual!L115</f>
        <v/>
      </c>
      <c r="W115" s="23">
        <f>Intereses_Residual_Mensual!L115</f>
        <v/>
      </c>
      <c r="X115" s="23">
        <f>ROUND(T115 + W115, 2)</f>
        <v/>
      </c>
      <c r="Y115" s="23">
        <f>Intereses_Leasing_Mensual!M115</f>
        <v/>
      </c>
      <c r="Z115" s="23">
        <f>Amortizacion_Capital_Mensual!N115</f>
        <v/>
      </c>
      <c r="AA115" s="23">
        <f>Saldos_Capital_Mensual!M115</f>
        <v/>
      </c>
      <c r="AB115" s="23">
        <f>Intereses_Residual_Mensual!M115</f>
        <v/>
      </c>
      <c r="AC115" s="23">
        <f>ROUND(Y115 + AB115, 2)</f>
        <v/>
      </c>
      <c r="AD115" s="23">
        <f>Intereses_Leasing_Mensual!N115</f>
        <v/>
      </c>
      <c r="AE115" s="23">
        <f>Amortizacion_Capital_Mensual!O115</f>
        <v/>
      </c>
      <c r="AF115" s="23">
        <f>Saldos_Capital_Mensual!N115</f>
        <v/>
      </c>
      <c r="AG115" s="23">
        <f>Intereses_Residual_Mensual!N115</f>
        <v/>
      </c>
      <c r="AH115" s="23">
        <f>ROUND(AD115 + AG115, 2)</f>
        <v/>
      </c>
      <c r="AI115" s="23">
        <f>Intereses_Leasing_Mensual!O115</f>
        <v/>
      </c>
      <c r="AJ115" s="23">
        <f>Amortizacion_Capital_Mensual!P115</f>
        <v/>
      </c>
      <c r="AK115" s="23">
        <f>Saldos_Capital_Mensual!O115</f>
        <v/>
      </c>
      <c r="AL115" s="23">
        <f>Intereses_Residual_Mensual!O115</f>
        <v/>
      </c>
      <c r="AM115" s="23">
        <f>ROUND(AI115 + AL115, 2)</f>
        <v/>
      </c>
      <c r="AN115" s="23">
        <f>Intereses_Leasing_Mensual!P115</f>
        <v/>
      </c>
      <c r="AO115" s="23">
        <f>Amortizacion_Capital_Mensual!Q115</f>
        <v/>
      </c>
      <c r="AP115" s="23">
        <f>Saldos_Capital_Mensual!P115</f>
        <v/>
      </c>
      <c r="AQ115" s="23">
        <f>Intereses_Residual_Mensual!P115</f>
        <v/>
      </c>
      <c r="AR115" s="23">
        <f>ROUND(AN115 + AQ115, 2)</f>
        <v/>
      </c>
      <c r="AS115" s="23">
        <f>Intereses_Leasing_Mensual!Q115</f>
        <v/>
      </c>
      <c r="AT115" s="23">
        <f>Amortizacion_Capital_Mensual!R115</f>
        <v/>
      </c>
      <c r="AU115" s="23">
        <f>Saldos_Capital_Mensual!Q115</f>
        <v/>
      </c>
      <c r="AV115" s="23">
        <f>Intereses_Residual_Mensual!Q115</f>
        <v/>
      </c>
      <c r="AW115" s="23">
        <f>ROUND(AS115 + AV115, 2)</f>
        <v/>
      </c>
      <c r="AX115" s="23">
        <f>Intereses_Leasing_Mensual!R115</f>
        <v/>
      </c>
      <c r="AY115" s="23">
        <f>Amortizacion_Capital_Mensual!S115</f>
        <v/>
      </c>
      <c r="AZ115" s="23">
        <f>Saldos_Capital_Mensual!R115</f>
        <v/>
      </c>
      <c r="BA115" s="23">
        <f>Intereses_Residual_Mensual!R115</f>
        <v/>
      </c>
      <c r="BB115" s="23">
        <f>ROUND(AX115 + BA115, 2)</f>
        <v/>
      </c>
      <c r="BC115" s="23">
        <f>Intereses_Leasing_Mensual!S115</f>
        <v/>
      </c>
      <c r="BD115" s="23">
        <f>Amortizacion_Capital_Mensual!T115</f>
        <v/>
      </c>
      <c r="BE115" s="23">
        <f>Saldos_Capital_Mensual!S115</f>
        <v/>
      </c>
      <c r="BF115" s="23">
        <f>Intereses_Residual_Mensual!S115</f>
        <v/>
      </c>
      <c r="BG115" s="23">
        <f>ROUND(BC115 + BF115, 2)</f>
        <v/>
      </c>
      <c r="BH115" s="23">
        <f>Intereses_Leasing_Mensual!T115</f>
        <v/>
      </c>
      <c r="BI115" s="23">
        <f>Amortizacion_Capital_Mensual!U115</f>
        <v/>
      </c>
      <c r="BJ115" s="23">
        <f>Saldos_Capital_Mensual!T115</f>
        <v/>
      </c>
      <c r="BK115" s="23">
        <f>Intereses_Residual_Mensual!T115</f>
        <v/>
      </c>
      <c r="BL115" s="23">
        <f>ROUND(BH115 + BK115, 2)</f>
        <v/>
      </c>
    </row>
    <row r="116">
      <c r="A116" s="26" t="inlineStr">
        <is>
          <t>0649-0006</t>
        </is>
      </c>
      <c r="B116" s="27" t="inlineStr">
        <is>
          <t>Compusoluciones y Asociados sa de Cv</t>
        </is>
      </c>
      <c r="C116" s="27" t="inlineStr">
        <is>
          <t>Mazda Cx5</t>
        </is>
      </c>
      <c r="D116" s="28" t="n">
        <v>48</v>
      </c>
      <c r="E116" s="29">
        <f>Intereses_Leasing_Mensual!I116</f>
        <v/>
      </c>
      <c r="F116" s="29">
        <f>Amortizacion_Capital_Mensual!J116</f>
        <v/>
      </c>
      <c r="G116" s="29">
        <f>Saldos_Capital_Mensual!I116</f>
        <v/>
      </c>
      <c r="H116" s="29">
        <f>Intereses_Residual_Mensual!I116</f>
        <v/>
      </c>
      <c r="I116" s="29">
        <f>ROUND(E116 + H116, 2)</f>
        <v/>
      </c>
      <c r="J116" s="29">
        <f>Intereses_Leasing_Mensual!J116</f>
        <v/>
      </c>
      <c r="K116" s="29">
        <f>Amortizacion_Capital_Mensual!K116</f>
        <v/>
      </c>
      <c r="L116" s="29">
        <f>Saldos_Capital_Mensual!J116</f>
        <v/>
      </c>
      <c r="M116" s="29">
        <f>Intereses_Residual_Mensual!J116</f>
        <v/>
      </c>
      <c r="N116" s="29">
        <f>ROUND(J116 + M116, 2)</f>
        <v/>
      </c>
      <c r="O116" s="29">
        <f>Intereses_Leasing_Mensual!K116</f>
        <v/>
      </c>
      <c r="P116" s="29">
        <f>Amortizacion_Capital_Mensual!L116</f>
        <v/>
      </c>
      <c r="Q116" s="29">
        <f>Saldos_Capital_Mensual!K116</f>
        <v/>
      </c>
      <c r="R116" s="29">
        <f>Intereses_Residual_Mensual!K116</f>
        <v/>
      </c>
      <c r="S116" s="29">
        <f>ROUND(O116 + R116, 2)</f>
        <v/>
      </c>
      <c r="T116" s="29">
        <f>Intereses_Leasing_Mensual!L116</f>
        <v/>
      </c>
      <c r="U116" s="29">
        <f>Amortizacion_Capital_Mensual!M116</f>
        <v/>
      </c>
      <c r="V116" s="29">
        <f>Saldos_Capital_Mensual!L116</f>
        <v/>
      </c>
      <c r="W116" s="29">
        <f>Intereses_Residual_Mensual!L116</f>
        <v/>
      </c>
      <c r="X116" s="29">
        <f>ROUND(T116 + W116, 2)</f>
        <v/>
      </c>
      <c r="Y116" s="29">
        <f>Intereses_Leasing_Mensual!M116</f>
        <v/>
      </c>
      <c r="Z116" s="29">
        <f>Amortizacion_Capital_Mensual!N116</f>
        <v/>
      </c>
      <c r="AA116" s="29">
        <f>Saldos_Capital_Mensual!M116</f>
        <v/>
      </c>
      <c r="AB116" s="29">
        <f>Intereses_Residual_Mensual!M116</f>
        <v/>
      </c>
      <c r="AC116" s="29">
        <f>ROUND(Y116 + AB116, 2)</f>
        <v/>
      </c>
      <c r="AD116" s="29">
        <f>Intereses_Leasing_Mensual!N116</f>
        <v/>
      </c>
      <c r="AE116" s="29">
        <f>Amortizacion_Capital_Mensual!O116</f>
        <v/>
      </c>
      <c r="AF116" s="29">
        <f>Saldos_Capital_Mensual!N116</f>
        <v/>
      </c>
      <c r="AG116" s="29">
        <f>Intereses_Residual_Mensual!N116</f>
        <v/>
      </c>
      <c r="AH116" s="29">
        <f>ROUND(AD116 + AG116, 2)</f>
        <v/>
      </c>
      <c r="AI116" s="29">
        <f>Intereses_Leasing_Mensual!O116</f>
        <v/>
      </c>
      <c r="AJ116" s="29">
        <f>Amortizacion_Capital_Mensual!P116</f>
        <v/>
      </c>
      <c r="AK116" s="29">
        <f>Saldos_Capital_Mensual!O116</f>
        <v/>
      </c>
      <c r="AL116" s="29">
        <f>Intereses_Residual_Mensual!O116</f>
        <v/>
      </c>
      <c r="AM116" s="29">
        <f>ROUND(AI116 + AL116, 2)</f>
        <v/>
      </c>
      <c r="AN116" s="29">
        <f>Intereses_Leasing_Mensual!P116</f>
        <v/>
      </c>
      <c r="AO116" s="29">
        <f>Amortizacion_Capital_Mensual!Q116</f>
        <v/>
      </c>
      <c r="AP116" s="29">
        <f>Saldos_Capital_Mensual!P116</f>
        <v/>
      </c>
      <c r="AQ116" s="29">
        <f>Intereses_Residual_Mensual!P116</f>
        <v/>
      </c>
      <c r="AR116" s="29">
        <f>ROUND(AN116 + AQ116, 2)</f>
        <v/>
      </c>
      <c r="AS116" s="29">
        <f>Intereses_Leasing_Mensual!Q116</f>
        <v/>
      </c>
      <c r="AT116" s="29">
        <f>Amortizacion_Capital_Mensual!R116</f>
        <v/>
      </c>
      <c r="AU116" s="29">
        <f>Saldos_Capital_Mensual!Q116</f>
        <v/>
      </c>
      <c r="AV116" s="29">
        <f>Intereses_Residual_Mensual!Q116</f>
        <v/>
      </c>
      <c r="AW116" s="29">
        <f>ROUND(AS116 + AV116, 2)</f>
        <v/>
      </c>
      <c r="AX116" s="29">
        <f>Intereses_Leasing_Mensual!R116</f>
        <v/>
      </c>
      <c r="AY116" s="29">
        <f>Amortizacion_Capital_Mensual!S116</f>
        <v/>
      </c>
      <c r="AZ116" s="29">
        <f>Saldos_Capital_Mensual!R116</f>
        <v/>
      </c>
      <c r="BA116" s="29">
        <f>Intereses_Residual_Mensual!R116</f>
        <v/>
      </c>
      <c r="BB116" s="29">
        <f>ROUND(AX116 + BA116, 2)</f>
        <v/>
      </c>
      <c r="BC116" s="29">
        <f>Intereses_Leasing_Mensual!S116</f>
        <v/>
      </c>
      <c r="BD116" s="29">
        <f>Amortizacion_Capital_Mensual!T116</f>
        <v/>
      </c>
      <c r="BE116" s="29">
        <f>Saldos_Capital_Mensual!S116</f>
        <v/>
      </c>
      <c r="BF116" s="29">
        <f>Intereses_Residual_Mensual!S116</f>
        <v/>
      </c>
      <c r="BG116" s="29">
        <f>ROUND(BC116 + BF116, 2)</f>
        <v/>
      </c>
      <c r="BH116" s="29">
        <f>Intereses_Leasing_Mensual!T116</f>
        <v/>
      </c>
      <c r="BI116" s="29">
        <f>Amortizacion_Capital_Mensual!U116</f>
        <v/>
      </c>
      <c r="BJ116" s="29">
        <f>Saldos_Capital_Mensual!T116</f>
        <v/>
      </c>
      <c r="BK116" s="29">
        <f>Intereses_Residual_Mensual!T116</f>
        <v/>
      </c>
      <c r="BL116" s="29">
        <f>ROUND(BH116 + BK116, 2)</f>
        <v/>
      </c>
    </row>
    <row r="117">
      <c r="A117" s="20" t="inlineStr">
        <is>
          <t>0649-0007</t>
        </is>
      </c>
      <c r="B117" s="21" t="inlineStr">
        <is>
          <t>Compusoluciones y Asociados sa de Cv</t>
        </is>
      </c>
      <c r="C117" s="21" t="inlineStr">
        <is>
          <t>RX5</t>
        </is>
      </c>
      <c r="D117" s="22" t="n">
        <v>36</v>
      </c>
      <c r="E117" s="23">
        <f>Intereses_Leasing_Mensual!I117</f>
        <v/>
      </c>
      <c r="F117" s="23">
        <f>Amortizacion_Capital_Mensual!J117</f>
        <v/>
      </c>
      <c r="G117" s="23">
        <f>Saldos_Capital_Mensual!I117</f>
        <v/>
      </c>
      <c r="H117" s="23">
        <f>Intereses_Residual_Mensual!I117</f>
        <v/>
      </c>
      <c r="I117" s="23">
        <f>ROUND(E117 + H117, 2)</f>
        <v/>
      </c>
      <c r="J117" s="23">
        <f>Intereses_Leasing_Mensual!J117</f>
        <v/>
      </c>
      <c r="K117" s="23">
        <f>Amortizacion_Capital_Mensual!K117</f>
        <v/>
      </c>
      <c r="L117" s="23">
        <f>Saldos_Capital_Mensual!J117</f>
        <v/>
      </c>
      <c r="M117" s="23">
        <f>Intereses_Residual_Mensual!J117</f>
        <v/>
      </c>
      <c r="N117" s="23">
        <f>ROUND(J117 + M117, 2)</f>
        <v/>
      </c>
      <c r="O117" s="23">
        <f>Intereses_Leasing_Mensual!K117</f>
        <v/>
      </c>
      <c r="P117" s="23">
        <f>Amortizacion_Capital_Mensual!L117</f>
        <v/>
      </c>
      <c r="Q117" s="23">
        <f>Saldos_Capital_Mensual!K117</f>
        <v/>
      </c>
      <c r="R117" s="23">
        <f>Intereses_Residual_Mensual!K117</f>
        <v/>
      </c>
      <c r="S117" s="23">
        <f>ROUND(O117 + R117, 2)</f>
        <v/>
      </c>
      <c r="T117" s="23">
        <f>Intereses_Leasing_Mensual!L117</f>
        <v/>
      </c>
      <c r="U117" s="23">
        <f>Amortizacion_Capital_Mensual!M117</f>
        <v/>
      </c>
      <c r="V117" s="23">
        <f>Saldos_Capital_Mensual!L117</f>
        <v/>
      </c>
      <c r="W117" s="23">
        <f>Intereses_Residual_Mensual!L117</f>
        <v/>
      </c>
      <c r="X117" s="23">
        <f>ROUND(T117 + W117, 2)</f>
        <v/>
      </c>
      <c r="Y117" s="23">
        <f>Intereses_Leasing_Mensual!M117</f>
        <v/>
      </c>
      <c r="Z117" s="23">
        <f>Amortizacion_Capital_Mensual!N117</f>
        <v/>
      </c>
      <c r="AA117" s="23">
        <f>Saldos_Capital_Mensual!M117</f>
        <v/>
      </c>
      <c r="AB117" s="23">
        <f>Intereses_Residual_Mensual!M117</f>
        <v/>
      </c>
      <c r="AC117" s="23">
        <f>ROUND(Y117 + AB117, 2)</f>
        <v/>
      </c>
      <c r="AD117" s="23">
        <f>Intereses_Leasing_Mensual!N117</f>
        <v/>
      </c>
      <c r="AE117" s="23">
        <f>Amortizacion_Capital_Mensual!O117</f>
        <v/>
      </c>
      <c r="AF117" s="23">
        <f>Saldos_Capital_Mensual!N117</f>
        <v/>
      </c>
      <c r="AG117" s="23">
        <f>Intereses_Residual_Mensual!N117</f>
        <v/>
      </c>
      <c r="AH117" s="23">
        <f>ROUND(AD117 + AG117, 2)</f>
        <v/>
      </c>
      <c r="AI117" s="23">
        <f>Intereses_Leasing_Mensual!O117</f>
        <v/>
      </c>
      <c r="AJ117" s="23">
        <f>Amortizacion_Capital_Mensual!P117</f>
        <v/>
      </c>
      <c r="AK117" s="23">
        <f>Saldos_Capital_Mensual!O117</f>
        <v/>
      </c>
      <c r="AL117" s="23">
        <f>Intereses_Residual_Mensual!O117</f>
        <v/>
      </c>
      <c r="AM117" s="23">
        <f>ROUND(AI117 + AL117, 2)</f>
        <v/>
      </c>
      <c r="AN117" s="23">
        <f>Intereses_Leasing_Mensual!P117</f>
        <v/>
      </c>
      <c r="AO117" s="23">
        <f>Amortizacion_Capital_Mensual!Q117</f>
        <v/>
      </c>
      <c r="AP117" s="23">
        <f>Saldos_Capital_Mensual!P117</f>
        <v/>
      </c>
      <c r="AQ117" s="23">
        <f>Intereses_Residual_Mensual!P117</f>
        <v/>
      </c>
      <c r="AR117" s="23">
        <f>ROUND(AN117 + AQ117, 2)</f>
        <v/>
      </c>
      <c r="AS117" s="23">
        <f>Intereses_Leasing_Mensual!Q117</f>
        <v/>
      </c>
      <c r="AT117" s="23">
        <f>Amortizacion_Capital_Mensual!R117</f>
        <v/>
      </c>
      <c r="AU117" s="23">
        <f>Saldos_Capital_Mensual!Q117</f>
        <v/>
      </c>
      <c r="AV117" s="23">
        <f>Intereses_Residual_Mensual!Q117</f>
        <v/>
      </c>
      <c r="AW117" s="23">
        <f>ROUND(AS117 + AV117, 2)</f>
        <v/>
      </c>
      <c r="AX117" s="23">
        <f>Intereses_Leasing_Mensual!R117</f>
        <v/>
      </c>
      <c r="AY117" s="23">
        <f>Amortizacion_Capital_Mensual!S117</f>
        <v/>
      </c>
      <c r="AZ117" s="23">
        <f>Saldos_Capital_Mensual!R117</f>
        <v/>
      </c>
      <c r="BA117" s="23">
        <f>Intereses_Residual_Mensual!R117</f>
        <v/>
      </c>
      <c r="BB117" s="23">
        <f>ROUND(AX117 + BA117, 2)</f>
        <v/>
      </c>
      <c r="BC117" s="23">
        <f>Intereses_Leasing_Mensual!S117</f>
        <v/>
      </c>
      <c r="BD117" s="23">
        <f>Amortizacion_Capital_Mensual!T117</f>
        <v/>
      </c>
      <c r="BE117" s="23">
        <f>Saldos_Capital_Mensual!S117</f>
        <v/>
      </c>
      <c r="BF117" s="23">
        <f>Intereses_Residual_Mensual!S117</f>
        <v/>
      </c>
      <c r="BG117" s="23">
        <f>ROUND(BC117 + BF117, 2)</f>
        <v/>
      </c>
      <c r="BH117" s="23">
        <f>Intereses_Leasing_Mensual!T117</f>
        <v/>
      </c>
      <c r="BI117" s="23">
        <f>Amortizacion_Capital_Mensual!U117</f>
        <v/>
      </c>
      <c r="BJ117" s="23">
        <f>Saldos_Capital_Mensual!T117</f>
        <v/>
      </c>
      <c r="BK117" s="23">
        <f>Intereses_Residual_Mensual!T117</f>
        <v/>
      </c>
      <c r="BL117" s="23">
        <f>ROUND(BH117 + BK117, 2)</f>
        <v/>
      </c>
    </row>
    <row r="118">
      <c r="A118" s="26" t="inlineStr">
        <is>
          <t>0649-0008</t>
        </is>
      </c>
      <c r="B118" s="27" t="inlineStr">
        <is>
          <t>Compusoluciones y Asociados Sa de Cv</t>
        </is>
      </c>
      <c r="C118" s="27" t="inlineStr">
        <is>
          <t>Kicks</t>
        </is>
      </c>
      <c r="D118" s="28" t="n">
        <v>48</v>
      </c>
      <c r="E118" s="29">
        <f>Intereses_Leasing_Mensual!I118</f>
        <v/>
      </c>
      <c r="F118" s="29">
        <f>Amortizacion_Capital_Mensual!J118</f>
        <v/>
      </c>
      <c r="G118" s="29">
        <f>Saldos_Capital_Mensual!I118</f>
        <v/>
      </c>
      <c r="H118" s="29">
        <f>Intereses_Residual_Mensual!I118</f>
        <v/>
      </c>
      <c r="I118" s="29">
        <f>ROUND(E118 + H118, 2)</f>
        <v/>
      </c>
      <c r="J118" s="29">
        <f>Intereses_Leasing_Mensual!J118</f>
        <v/>
      </c>
      <c r="K118" s="29">
        <f>Amortizacion_Capital_Mensual!K118</f>
        <v/>
      </c>
      <c r="L118" s="29">
        <f>Saldos_Capital_Mensual!J118</f>
        <v/>
      </c>
      <c r="M118" s="29">
        <f>Intereses_Residual_Mensual!J118</f>
        <v/>
      </c>
      <c r="N118" s="29">
        <f>ROUND(J118 + M118, 2)</f>
        <v/>
      </c>
      <c r="O118" s="29">
        <f>Intereses_Leasing_Mensual!K118</f>
        <v/>
      </c>
      <c r="P118" s="29">
        <f>Amortizacion_Capital_Mensual!L118</f>
        <v/>
      </c>
      <c r="Q118" s="29">
        <f>Saldos_Capital_Mensual!K118</f>
        <v/>
      </c>
      <c r="R118" s="29">
        <f>Intereses_Residual_Mensual!K118</f>
        <v/>
      </c>
      <c r="S118" s="29">
        <f>ROUND(O118 + R118, 2)</f>
        <v/>
      </c>
      <c r="T118" s="29">
        <f>Intereses_Leasing_Mensual!L118</f>
        <v/>
      </c>
      <c r="U118" s="29">
        <f>Amortizacion_Capital_Mensual!M118</f>
        <v/>
      </c>
      <c r="V118" s="29">
        <f>Saldos_Capital_Mensual!L118</f>
        <v/>
      </c>
      <c r="W118" s="29">
        <f>Intereses_Residual_Mensual!L118</f>
        <v/>
      </c>
      <c r="X118" s="29">
        <f>ROUND(T118 + W118, 2)</f>
        <v/>
      </c>
      <c r="Y118" s="29">
        <f>Intereses_Leasing_Mensual!M118</f>
        <v/>
      </c>
      <c r="Z118" s="29">
        <f>Amortizacion_Capital_Mensual!N118</f>
        <v/>
      </c>
      <c r="AA118" s="29">
        <f>Saldos_Capital_Mensual!M118</f>
        <v/>
      </c>
      <c r="AB118" s="29">
        <f>Intereses_Residual_Mensual!M118</f>
        <v/>
      </c>
      <c r="AC118" s="29">
        <f>ROUND(Y118 + AB118, 2)</f>
        <v/>
      </c>
      <c r="AD118" s="29">
        <f>Intereses_Leasing_Mensual!N118</f>
        <v/>
      </c>
      <c r="AE118" s="29">
        <f>Amortizacion_Capital_Mensual!O118</f>
        <v/>
      </c>
      <c r="AF118" s="29">
        <f>Saldos_Capital_Mensual!N118</f>
        <v/>
      </c>
      <c r="AG118" s="29">
        <f>Intereses_Residual_Mensual!N118</f>
        <v/>
      </c>
      <c r="AH118" s="29">
        <f>ROUND(AD118 + AG118, 2)</f>
        <v/>
      </c>
      <c r="AI118" s="29">
        <f>Intereses_Leasing_Mensual!O118</f>
        <v/>
      </c>
      <c r="AJ118" s="29">
        <f>Amortizacion_Capital_Mensual!P118</f>
        <v/>
      </c>
      <c r="AK118" s="29">
        <f>Saldos_Capital_Mensual!O118</f>
        <v/>
      </c>
      <c r="AL118" s="29">
        <f>Intereses_Residual_Mensual!O118</f>
        <v/>
      </c>
      <c r="AM118" s="29">
        <f>ROUND(AI118 + AL118, 2)</f>
        <v/>
      </c>
      <c r="AN118" s="29">
        <f>Intereses_Leasing_Mensual!P118</f>
        <v/>
      </c>
      <c r="AO118" s="29">
        <f>Amortizacion_Capital_Mensual!Q118</f>
        <v/>
      </c>
      <c r="AP118" s="29">
        <f>Saldos_Capital_Mensual!P118</f>
        <v/>
      </c>
      <c r="AQ118" s="29">
        <f>Intereses_Residual_Mensual!P118</f>
        <v/>
      </c>
      <c r="AR118" s="29">
        <f>ROUND(AN118 + AQ118, 2)</f>
        <v/>
      </c>
      <c r="AS118" s="29">
        <f>Intereses_Leasing_Mensual!Q118</f>
        <v/>
      </c>
      <c r="AT118" s="29">
        <f>Amortizacion_Capital_Mensual!R118</f>
        <v/>
      </c>
      <c r="AU118" s="29">
        <f>Saldos_Capital_Mensual!Q118</f>
        <v/>
      </c>
      <c r="AV118" s="29">
        <f>Intereses_Residual_Mensual!Q118</f>
        <v/>
      </c>
      <c r="AW118" s="29">
        <f>ROUND(AS118 + AV118, 2)</f>
        <v/>
      </c>
      <c r="AX118" s="29">
        <f>Intereses_Leasing_Mensual!R118</f>
        <v/>
      </c>
      <c r="AY118" s="29">
        <f>Amortizacion_Capital_Mensual!S118</f>
        <v/>
      </c>
      <c r="AZ118" s="29">
        <f>Saldos_Capital_Mensual!R118</f>
        <v/>
      </c>
      <c r="BA118" s="29">
        <f>Intereses_Residual_Mensual!R118</f>
        <v/>
      </c>
      <c r="BB118" s="29">
        <f>ROUND(AX118 + BA118, 2)</f>
        <v/>
      </c>
      <c r="BC118" s="29">
        <f>Intereses_Leasing_Mensual!S118</f>
        <v/>
      </c>
      <c r="BD118" s="29">
        <f>Amortizacion_Capital_Mensual!T118</f>
        <v/>
      </c>
      <c r="BE118" s="29">
        <f>Saldos_Capital_Mensual!S118</f>
        <v/>
      </c>
      <c r="BF118" s="29">
        <f>Intereses_Residual_Mensual!S118</f>
        <v/>
      </c>
      <c r="BG118" s="29">
        <f>ROUND(BC118 + BF118, 2)</f>
        <v/>
      </c>
      <c r="BH118" s="29">
        <f>Intereses_Leasing_Mensual!T118</f>
        <v/>
      </c>
      <c r="BI118" s="29">
        <f>Amortizacion_Capital_Mensual!U118</f>
        <v/>
      </c>
      <c r="BJ118" s="29">
        <f>Saldos_Capital_Mensual!T118</f>
        <v/>
      </c>
      <c r="BK118" s="29">
        <f>Intereses_Residual_Mensual!T118</f>
        <v/>
      </c>
      <c r="BL118" s="29">
        <f>ROUND(BH118 + BK118, 2)</f>
        <v/>
      </c>
    </row>
    <row r="119">
      <c r="A119" s="20" t="inlineStr">
        <is>
          <t>0649-0009</t>
        </is>
      </c>
      <c r="B119" s="21" t="inlineStr">
        <is>
          <t>Compusoluciones y Asociados Sa de Cv</t>
        </is>
      </c>
      <c r="C119" s="21" t="inlineStr">
        <is>
          <t>Fronx Boostergreen</t>
        </is>
      </c>
      <c r="D119" s="22" t="n">
        <v>48</v>
      </c>
      <c r="E119" s="23">
        <f>Intereses_Leasing_Mensual!I119</f>
        <v/>
      </c>
      <c r="F119" s="23">
        <f>Amortizacion_Capital_Mensual!J119</f>
        <v/>
      </c>
      <c r="G119" s="23">
        <f>Saldos_Capital_Mensual!I119</f>
        <v/>
      </c>
      <c r="H119" s="23">
        <f>Intereses_Residual_Mensual!I119</f>
        <v/>
      </c>
      <c r="I119" s="23">
        <f>ROUND(E119 + H119, 2)</f>
        <v/>
      </c>
      <c r="J119" s="23">
        <f>Intereses_Leasing_Mensual!J119</f>
        <v/>
      </c>
      <c r="K119" s="23">
        <f>Amortizacion_Capital_Mensual!K119</f>
        <v/>
      </c>
      <c r="L119" s="23">
        <f>Saldos_Capital_Mensual!J119</f>
        <v/>
      </c>
      <c r="M119" s="23">
        <f>Intereses_Residual_Mensual!J119</f>
        <v/>
      </c>
      <c r="N119" s="23">
        <f>ROUND(J119 + M119, 2)</f>
        <v/>
      </c>
      <c r="O119" s="23">
        <f>Intereses_Leasing_Mensual!K119</f>
        <v/>
      </c>
      <c r="P119" s="23">
        <f>Amortizacion_Capital_Mensual!L119</f>
        <v/>
      </c>
      <c r="Q119" s="23">
        <f>Saldos_Capital_Mensual!K119</f>
        <v/>
      </c>
      <c r="R119" s="23">
        <f>Intereses_Residual_Mensual!K119</f>
        <v/>
      </c>
      <c r="S119" s="23">
        <f>ROUND(O119 + R119, 2)</f>
        <v/>
      </c>
      <c r="T119" s="23">
        <f>Intereses_Leasing_Mensual!L119</f>
        <v/>
      </c>
      <c r="U119" s="23">
        <f>Amortizacion_Capital_Mensual!M119</f>
        <v/>
      </c>
      <c r="V119" s="23">
        <f>Saldos_Capital_Mensual!L119</f>
        <v/>
      </c>
      <c r="W119" s="23">
        <f>Intereses_Residual_Mensual!L119</f>
        <v/>
      </c>
      <c r="X119" s="23">
        <f>ROUND(T119 + W119, 2)</f>
        <v/>
      </c>
      <c r="Y119" s="23">
        <f>Intereses_Leasing_Mensual!M119</f>
        <v/>
      </c>
      <c r="Z119" s="23">
        <f>Amortizacion_Capital_Mensual!N119</f>
        <v/>
      </c>
      <c r="AA119" s="23">
        <f>Saldos_Capital_Mensual!M119</f>
        <v/>
      </c>
      <c r="AB119" s="23">
        <f>Intereses_Residual_Mensual!M119</f>
        <v/>
      </c>
      <c r="AC119" s="23">
        <f>ROUND(Y119 + AB119, 2)</f>
        <v/>
      </c>
      <c r="AD119" s="23">
        <f>Intereses_Leasing_Mensual!N119</f>
        <v/>
      </c>
      <c r="AE119" s="23">
        <f>Amortizacion_Capital_Mensual!O119</f>
        <v/>
      </c>
      <c r="AF119" s="23">
        <f>Saldos_Capital_Mensual!N119</f>
        <v/>
      </c>
      <c r="AG119" s="23">
        <f>Intereses_Residual_Mensual!N119</f>
        <v/>
      </c>
      <c r="AH119" s="23">
        <f>ROUND(AD119 + AG119, 2)</f>
        <v/>
      </c>
      <c r="AI119" s="23">
        <f>Intereses_Leasing_Mensual!O119</f>
        <v/>
      </c>
      <c r="AJ119" s="23">
        <f>Amortizacion_Capital_Mensual!P119</f>
        <v/>
      </c>
      <c r="AK119" s="23">
        <f>Saldos_Capital_Mensual!O119</f>
        <v/>
      </c>
      <c r="AL119" s="23">
        <f>Intereses_Residual_Mensual!O119</f>
        <v/>
      </c>
      <c r="AM119" s="23">
        <f>ROUND(AI119 + AL119, 2)</f>
        <v/>
      </c>
      <c r="AN119" s="23">
        <f>Intereses_Leasing_Mensual!P119</f>
        <v/>
      </c>
      <c r="AO119" s="23">
        <f>Amortizacion_Capital_Mensual!Q119</f>
        <v/>
      </c>
      <c r="AP119" s="23">
        <f>Saldos_Capital_Mensual!P119</f>
        <v/>
      </c>
      <c r="AQ119" s="23">
        <f>Intereses_Residual_Mensual!P119</f>
        <v/>
      </c>
      <c r="AR119" s="23">
        <f>ROUND(AN119 + AQ119, 2)</f>
        <v/>
      </c>
      <c r="AS119" s="23">
        <f>Intereses_Leasing_Mensual!Q119</f>
        <v/>
      </c>
      <c r="AT119" s="23">
        <f>Amortizacion_Capital_Mensual!R119</f>
        <v/>
      </c>
      <c r="AU119" s="23">
        <f>Saldos_Capital_Mensual!Q119</f>
        <v/>
      </c>
      <c r="AV119" s="23">
        <f>Intereses_Residual_Mensual!Q119</f>
        <v/>
      </c>
      <c r="AW119" s="23">
        <f>ROUND(AS119 + AV119, 2)</f>
        <v/>
      </c>
      <c r="AX119" s="23">
        <f>Intereses_Leasing_Mensual!R119</f>
        <v/>
      </c>
      <c r="AY119" s="23">
        <f>Amortizacion_Capital_Mensual!S119</f>
        <v/>
      </c>
      <c r="AZ119" s="23">
        <f>Saldos_Capital_Mensual!R119</f>
        <v/>
      </c>
      <c r="BA119" s="23">
        <f>Intereses_Residual_Mensual!R119</f>
        <v/>
      </c>
      <c r="BB119" s="23">
        <f>ROUND(AX119 + BA119, 2)</f>
        <v/>
      </c>
      <c r="BC119" s="23">
        <f>Intereses_Leasing_Mensual!S119</f>
        <v/>
      </c>
      <c r="BD119" s="23">
        <f>Amortizacion_Capital_Mensual!T119</f>
        <v/>
      </c>
      <c r="BE119" s="23">
        <f>Saldos_Capital_Mensual!S119</f>
        <v/>
      </c>
      <c r="BF119" s="23">
        <f>Intereses_Residual_Mensual!S119</f>
        <v/>
      </c>
      <c r="BG119" s="23">
        <f>ROUND(BC119 + BF119, 2)</f>
        <v/>
      </c>
      <c r="BH119" s="23">
        <f>Intereses_Leasing_Mensual!T119</f>
        <v/>
      </c>
      <c r="BI119" s="23">
        <f>Amortizacion_Capital_Mensual!U119</f>
        <v/>
      </c>
      <c r="BJ119" s="23">
        <f>Saldos_Capital_Mensual!T119</f>
        <v/>
      </c>
      <c r="BK119" s="23">
        <f>Intereses_Residual_Mensual!T119</f>
        <v/>
      </c>
      <c r="BL119" s="23">
        <f>ROUND(BH119 + BK119, 2)</f>
        <v/>
      </c>
    </row>
    <row r="120">
      <c r="A120" s="26" t="inlineStr">
        <is>
          <t>0649-0010</t>
        </is>
      </c>
      <c r="B120" s="27" t="inlineStr">
        <is>
          <t>Compusoluciones y Asociados Sa de Cv</t>
        </is>
      </c>
      <c r="C120" s="27" t="inlineStr">
        <is>
          <t>Mazda CX90</t>
        </is>
      </c>
      <c r="D120" s="28" t="n">
        <v>48</v>
      </c>
      <c r="E120" s="29">
        <f>Intereses_Leasing_Mensual!I120</f>
        <v/>
      </c>
      <c r="F120" s="29">
        <f>Amortizacion_Capital_Mensual!J120</f>
        <v/>
      </c>
      <c r="G120" s="29">
        <f>Saldos_Capital_Mensual!I120</f>
        <v/>
      </c>
      <c r="H120" s="29">
        <f>Intereses_Residual_Mensual!I120</f>
        <v/>
      </c>
      <c r="I120" s="29">
        <f>ROUND(E120 + H120, 2)</f>
        <v/>
      </c>
      <c r="J120" s="29">
        <f>Intereses_Leasing_Mensual!J120</f>
        <v/>
      </c>
      <c r="K120" s="29">
        <f>Amortizacion_Capital_Mensual!K120</f>
        <v/>
      </c>
      <c r="L120" s="29">
        <f>Saldos_Capital_Mensual!J120</f>
        <v/>
      </c>
      <c r="M120" s="29">
        <f>Intereses_Residual_Mensual!J120</f>
        <v/>
      </c>
      <c r="N120" s="29">
        <f>ROUND(J120 + M120, 2)</f>
        <v/>
      </c>
      <c r="O120" s="29">
        <f>Intereses_Leasing_Mensual!K120</f>
        <v/>
      </c>
      <c r="P120" s="29">
        <f>Amortizacion_Capital_Mensual!L120</f>
        <v/>
      </c>
      <c r="Q120" s="29">
        <f>Saldos_Capital_Mensual!K120</f>
        <v/>
      </c>
      <c r="R120" s="29">
        <f>Intereses_Residual_Mensual!K120</f>
        <v/>
      </c>
      <c r="S120" s="29">
        <f>ROUND(O120 + R120, 2)</f>
        <v/>
      </c>
      <c r="T120" s="29">
        <f>Intereses_Leasing_Mensual!L120</f>
        <v/>
      </c>
      <c r="U120" s="29">
        <f>Amortizacion_Capital_Mensual!M120</f>
        <v/>
      </c>
      <c r="V120" s="29">
        <f>Saldos_Capital_Mensual!L120</f>
        <v/>
      </c>
      <c r="W120" s="29">
        <f>Intereses_Residual_Mensual!L120</f>
        <v/>
      </c>
      <c r="X120" s="29">
        <f>ROUND(T120 + W120, 2)</f>
        <v/>
      </c>
      <c r="Y120" s="29">
        <f>Intereses_Leasing_Mensual!M120</f>
        <v/>
      </c>
      <c r="Z120" s="29">
        <f>Amortizacion_Capital_Mensual!N120</f>
        <v/>
      </c>
      <c r="AA120" s="29">
        <f>Saldos_Capital_Mensual!M120</f>
        <v/>
      </c>
      <c r="AB120" s="29">
        <f>Intereses_Residual_Mensual!M120</f>
        <v/>
      </c>
      <c r="AC120" s="29">
        <f>ROUND(Y120 + AB120, 2)</f>
        <v/>
      </c>
      <c r="AD120" s="29">
        <f>Intereses_Leasing_Mensual!N120</f>
        <v/>
      </c>
      <c r="AE120" s="29">
        <f>Amortizacion_Capital_Mensual!O120</f>
        <v/>
      </c>
      <c r="AF120" s="29">
        <f>Saldos_Capital_Mensual!N120</f>
        <v/>
      </c>
      <c r="AG120" s="29">
        <f>Intereses_Residual_Mensual!N120</f>
        <v/>
      </c>
      <c r="AH120" s="29">
        <f>ROUND(AD120 + AG120, 2)</f>
        <v/>
      </c>
      <c r="AI120" s="29">
        <f>Intereses_Leasing_Mensual!O120</f>
        <v/>
      </c>
      <c r="AJ120" s="29">
        <f>Amortizacion_Capital_Mensual!P120</f>
        <v/>
      </c>
      <c r="AK120" s="29">
        <f>Saldos_Capital_Mensual!O120</f>
        <v/>
      </c>
      <c r="AL120" s="29">
        <f>Intereses_Residual_Mensual!O120</f>
        <v/>
      </c>
      <c r="AM120" s="29">
        <f>ROUND(AI120 + AL120, 2)</f>
        <v/>
      </c>
      <c r="AN120" s="29">
        <f>Intereses_Leasing_Mensual!P120</f>
        <v/>
      </c>
      <c r="AO120" s="29">
        <f>Amortizacion_Capital_Mensual!Q120</f>
        <v/>
      </c>
      <c r="AP120" s="29">
        <f>Saldos_Capital_Mensual!P120</f>
        <v/>
      </c>
      <c r="AQ120" s="29">
        <f>Intereses_Residual_Mensual!P120</f>
        <v/>
      </c>
      <c r="AR120" s="29">
        <f>ROUND(AN120 + AQ120, 2)</f>
        <v/>
      </c>
      <c r="AS120" s="29">
        <f>Intereses_Leasing_Mensual!Q120</f>
        <v/>
      </c>
      <c r="AT120" s="29">
        <f>Amortizacion_Capital_Mensual!R120</f>
        <v/>
      </c>
      <c r="AU120" s="29">
        <f>Saldos_Capital_Mensual!Q120</f>
        <v/>
      </c>
      <c r="AV120" s="29">
        <f>Intereses_Residual_Mensual!Q120</f>
        <v/>
      </c>
      <c r="AW120" s="29">
        <f>ROUND(AS120 + AV120, 2)</f>
        <v/>
      </c>
      <c r="AX120" s="29">
        <f>Intereses_Leasing_Mensual!R120</f>
        <v/>
      </c>
      <c r="AY120" s="29">
        <f>Amortizacion_Capital_Mensual!S120</f>
        <v/>
      </c>
      <c r="AZ120" s="29">
        <f>Saldos_Capital_Mensual!R120</f>
        <v/>
      </c>
      <c r="BA120" s="29">
        <f>Intereses_Residual_Mensual!R120</f>
        <v/>
      </c>
      <c r="BB120" s="29">
        <f>ROUND(AX120 + BA120, 2)</f>
        <v/>
      </c>
      <c r="BC120" s="29">
        <f>Intereses_Leasing_Mensual!S120</f>
        <v/>
      </c>
      <c r="BD120" s="29">
        <f>Amortizacion_Capital_Mensual!T120</f>
        <v/>
      </c>
      <c r="BE120" s="29">
        <f>Saldos_Capital_Mensual!S120</f>
        <v/>
      </c>
      <c r="BF120" s="29">
        <f>Intereses_Residual_Mensual!S120</f>
        <v/>
      </c>
      <c r="BG120" s="29">
        <f>ROUND(BC120 + BF120, 2)</f>
        <v/>
      </c>
      <c r="BH120" s="29">
        <f>Intereses_Leasing_Mensual!T120</f>
        <v/>
      </c>
      <c r="BI120" s="29">
        <f>Amortizacion_Capital_Mensual!U120</f>
        <v/>
      </c>
      <c r="BJ120" s="29">
        <f>Saldos_Capital_Mensual!T120</f>
        <v/>
      </c>
      <c r="BK120" s="29">
        <f>Intereses_Residual_Mensual!T120</f>
        <v/>
      </c>
      <c r="BL120" s="29">
        <f>ROUND(BH120 + BK120, 2)</f>
        <v/>
      </c>
    </row>
    <row r="121">
      <c r="A121" s="20" t="inlineStr">
        <is>
          <t>0649-0011</t>
        </is>
      </c>
      <c r="B121" s="21" t="inlineStr">
        <is>
          <t>Compusoluciones y Asociados Sa de Cv</t>
        </is>
      </c>
      <c r="C121" s="21" t="inlineStr">
        <is>
          <t>EX40</t>
        </is>
      </c>
      <c r="D121" s="22" t="n">
        <v>48</v>
      </c>
      <c r="E121" s="23">
        <f>Intereses_Leasing_Mensual!I121</f>
        <v/>
      </c>
      <c r="F121" s="23">
        <f>Amortizacion_Capital_Mensual!J121</f>
        <v/>
      </c>
      <c r="G121" s="23">
        <f>Saldos_Capital_Mensual!I121</f>
        <v/>
      </c>
      <c r="H121" s="23">
        <f>Intereses_Residual_Mensual!I121</f>
        <v/>
      </c>
      <c r="I121" s="23">
        <f>ROUND(E121 + H121, 2)</f>
        <v/>
      </c>
      <c r="J121" s="23">
        <f>Intereses_Leasing_Mensual!J121</f>
        <v/>
      </c>
      <c r="K121" s="23">
        <f>Amortizacion_Capital_Mensual!K121</f>
        <v/>
      </c>
      <c r="L121" s="23">
        <f>Saldos_Capital_Mensual!J121</f>
        <v/>
      </c>
      <c r="M121" s="23">
        <f>Intereses_Residual_Mensual!J121</f>
        <v/>
      </c>
      <c r="N121" s="23">
        <f>ROUND(J121 + M121, 2)</f>
        <v/>
      </c>
      <c r="O121" s="23">
        <f>Intereses_Leasing_Mensual!K121</f>
        <v/>
      </c>
      <c r="P121" s="23">
        <f>Amortizacion_Capital_Mensual!L121</f>
        <v/>
      </c>
      <c r="Q121" s="23">
        <f>Saldos_Capital_Mensual!K121</f>
        <v/>
      </c>
      <c r="R121" s="23">
        <f>Intereses_Residual_Mensual!K121</f>
        <v/>
      </c>
      <c r="S121" s="23">
        <f>ROUND(O121 + R121, 2)</f>
        <v/>
      </c>
      <c r="T121" s="23">
        <f>Intereses_Leasing_Mensual!L121</f>
        <v/>
      </c>
      <c r="U121" s="23">
        <f>Amortizacion_Capital_Mensual!M121</f>
        <v/>
      </c>
      <c r="V121" s="23">
        <f>Saldos_Capital_Mensual!L121</f>
        <v/>
      </c>
      <c r="W121" s="23">
        <f>Intereses_Residual_Mensual!L121</f>
        <v/>
      </c>
      <c r="X121" s="23">
        <f>ROUND(T121 + W121, 2)</f>
        <v/>
      </c>
      <c r="Y121" s="23">
        <f>Intereses_Leasing_Mensual!M121</f>
        <v/>
      </c>
      <c r="Z121" s="23">
        <f>Amortizacion_Capital_Mensual!N121</f>
        <v/>
      </c>
      <c r="AA121" s="23">
        <f>Saldos_Capital_Mensual!M121</f>
        <v/>
      </c>
      <c r="AB121" s="23">
        <f>Intereses_Residual_Mensual!M121</f>
        <v/>
      </c>
      <c r="AC121" s="23">
        <f>ROUND(Y121 + AB121, 2)</f>
        <v/>
      </c>
      <c r="AD121" s="23">
        <f>Intereses_Leasing_Mensual!N121</f>
        <v/>
      </c>
      <c r="AE121" s="23">
        <f>Amortizacion_Capital_Mensual!O121</f>
        <v/>
      </c>
      <c r="AF121" s="23">
        <f>Saldos_Capital_Mensual!N121</f>
        <v/>
      </c>
      <c r="AG121" s="23">
        <f>Intereses_Residual_Mensual!N121</f>
        <v/>
      </c>
      <c r="AH121" s="23">
        <f>ROUND(AD121 + AG121, 2)</f>
        <v/>
      </c>
      <c r="AI121" s="23">
        <f>Intereses_Leasing_Mensual!O121</f>
        <v/>
      </c>
      <c r="AJ121" s="23">
        <f>Amortizacion_Capital_Mensual!P121</f>
        <v/>
      </c>
      <c r="AK121" s="23">
        <f>Saldos_Capital_Mensual!O121</f>
        <v/>
      </c>
      <c r="AL121" s="23">
        <f>Intereses_Residual_Mensual!O121</f>
        <v/>
      </c>
      <c r="AM121" s="23">
        <f>ROUND(AI121 + AL121, 2)</f>
        <v/>
      </c>
      <c r="AN121" s="23">
        <f>Intereses_Leasing_Mensual!P121</f>
        <v/>
      </c>
      <c r="AO121" s="23">
        <f>Amortizacion_Capital_Mensual!Q121</f>
        <v/>
      </c>
      <c r="AP121" s="23">
        <f>Saldos_Capital_Mensual!P121</f>
        <v/>
      </c>
      <c r="AQ121" s="23">
        <f>Intereses_Residual_Mensual!P121</f>
        <v/>
      </c>
      <c r="AR121" s="23">
        <f>ROUND(AN121 + AQ121, 2)</f>
        <v/>
      </c>
      <c r="AS121" s="23">
        <f>Intereses_Leasing_Mensual!Q121</f>
        <v/>
      </c>
      <c r="AT121" s="23">
        <f>Amortizacion_Capital_Mensual!R121</f>
        <v/>
      </c>
      <c r="AU121" s="23">
        <f>Saldos_Capital_Mensual!Q121</f>
        <v/>
      </c>
      <c r="AV121" s="23">
        <f>Intereses_Residual_Mensual!Q121</f>
        <v/>
      </c>
      <c r="AW121" s="23">
        <f>ROUND(AS121 + AV121, 2)</f>
        <v/>
      </c>
      <c r="AX121" s="23">
        <f>Intereses_Leasing_Mensual!R121</f>
        <v/>
      </c>
      <c r="AY121" s="23">
        <f>Amortizacion_Capital_Mensual!S121</f>
        <v/>
      </c>
      <c r="AZ121" s="23">
        <f>Saldos_Capital_Mensual!R121</f>
        <v/>
      </c>
      <c r="BA121" s="23">
        <f>Intereses_Residual_Mensual!R121</f>
        <v/>
      </c>
      <c r="BB121" s="23">
        <f>ROUND(AX121 + BA121, 2)</f>
        <v/>
      </c>
      <c r="BC121" s="23">
        <f>Intereses_Leasing_Mensual!S121</f>
        <v/>
      </c>
      <c r="BD121" s="23">
        <f>Amortizacion_Capital_Mensual!T121</f>
        <v/>
      </c>
      <c r="BE121" s="23">
        <f>Saldos_Capital_Mensual!S121</f>
        <v/>
      </c>
      <c r="BF121" s="23">
        <f>Intereses_Residual_Mensual!S121</f>
        <v/>
      </c>
      <c r="BG121" s="23">
        <f>ROUND(BC121 + BF121, 2)</f>
        <v/>
      </c>
      <c r="BH121" s="23">
        <f>Intereses_Leasing_Mensual!T121</f>
        <v/>
      </c>
      <c r="BI121" s="23">
        <f>Amortizacion_Capital_Mensual!U121</f>
        <v/>
      </c>
      <c r="BJ121" s="23">
        <f>Saldos_Capital_Mensual!T121</f>
        <v/>
      </c>
      <c r="BK121" s="23">
        <f>Intereses_Residual_Mensual!T121</f>
        <v/>
      </c>
      <c r="BL121" s="23">
        <f>ROUND(BH121 + BK121, 2)</f>
        <v/>
      </c>
    </row>
    <row r="122">
      <c r="A122" s="26" t="inlineStr">
        <is>
          <t>0649-0012</t>
        </is>
      </c>
      <c r="B122" s="27" t="inlineStr">
        <is>
          <t>Compusoluciones y Asociados Sa de Cv</t>
        </is>
      </c>
      <c r="C122" s="27" t="inlineStr">
        <is>
          <t>Sportage</t>
        </is>
      </c>
      <c r="D122" s="28" t="n">
        <v>48</v>
      </c>
      <c r="E122" s="29">
        <f>Intereses_Leasing_Mensual!I122</f>
        <v/>
      </c>
      <c r="F122" s="29">
        <f>Amortizacion_Capital_Mensual!J122</f>
        <v/>
      </c>
      <c r="G122" s="29">
        <f>Saldos_Capital_Mensual!I122</f>
        <v/>
      </c>
      <c r="H122" s="29">
        <f>Intereses_Residual_Mensual!I122</f>
        <v/>
      </c>
      <c r="I122" s="29">
        <f>ROUND(E122 + H122, 2)</f>
        <v/>
      </c>
      <c r="J122" s="29">
        <f>Intereses_Leasing_Mensual!J122</f>
        <v/>
      </c>
      <c r="K122" s="29">
        <f>Amortizacion_Capital_Mensual!K122</f>
        <v/>
      </c>
      <c r="L122" s="29">
        <f>Saldos_Capital_Mensual!J122</f>
        <v/>
      </c>
      <c r="M122" s="29">
        <f>Intereses_Residual_Mensual!J122</f>
        <v/>
      </c>
      <c r="N122" s="29">
        <f>ROUND(J122 + M122, 2)</f>
        <v/>
      </c>
      <c r="O122" s="29">
        <f>Intereses_Leasing_Mensual!K122</f>
        <v/>
      </c>
      <c r="P122" s="29">
        <f>Amortizacion_Capital_Mensual!L122</f>
        <v/>
      </c>
      <c r="Q122" s="29">
        <f>Saldos_Capital_Mensual!K122</f>
        <v/>
      </c>
      <c r="R122" s="29">
        <f>Intereses_Residual_Mensual!K122</f>
        <v/>
      </c>
      <c r="S122" s="29">
        <f>ROUND(O122 + R122, 2)</f>
        <v/>
      </c>
      <c r="T122" s="29">
        <f>Intereses_Leasing_Mensual!L122</f>
        <v/>
      </c>
      <c r="U122" s="29">
        <f>Amortizacion_Capital_Mensual!M122</f>
        <v/>
      </c>
      <c r="V122" s="29">
        <f>Saldos_Capital_Mensual!L122</f>
        <v/>
      </c>
      <c r="W122" s="29">
        <f>Intereses_Residual_Mensual!L122</f>
        <v/>
      </c>
      <c r="X122" s="29">
        <f>ROUND(T122 + W122, 2)</f>
        <v/>
      </c>
      <c r="Y122" s="29">
        <f>Intereses_Leasing_Mensual!M122</f>
        <v/>
      </c>
      <c r="Z122" s="29">
        <f>Amortizacion_Capital_Mensual!N122</f>
        <v/>
      </c>
      <c r="AA122" s="29">
        <f>Saldos_Capital_Mensual!M122</f>
        <v/>
      </c>
      <c r="AB122" s="29">
        <f>Intereses_Residual_Mensual!M122</f>
        <v/>
      </c>
      <c r="AC122" s="29">
        <f>ROUND(Y122 + AB122, 2)</f>
        <v/>
      </c>
      <c r="AD122" s="29">
        <f>Intereses_Leasing_Mensual!N122</f>
        <v/>
      </c>
      <c r="AE122" s="29">
        <f>Amortizacion_Capital_Mensual!O122</f>
        <v/>
      </c>
      <c r="AF122" s="29">
        <f>Saldos_Capital_Mensual!N122</f>
        <v/>
      </c>
      <c r="AG122" s="29">
        <f>Intereses_Residual_Mensual!N122</f>
        <v/>
      </c>
      <c r="AH122" s="29">
        <f>ROUND(AD122 + AG122, 2)</f>
        <v/>
      </c>
      <c r="AI122" s="29">
        <f>Intereses_Leasing_Mensual!O122</f>
        <v/>
      </c>
      <c r="AJ122" s="29">
        <f>Amortizacion_Capital_Mensual!P122</f>
        <v/>
      </c>
      <c r="AK122" s="29">
        <f>Saldos_Capital_Mensual!O122</f>
        <v/>
      </c>
      <c r="AL122" s="29">
        <f>Intereses_Residual_Mensual!O122</f>
        <v/>
      </c>
      <c r="AM122" s="29">
        <f>ROUND(AI122 + AL122, 2)</f>
        <v/>
      </c>
      <c r="AN122" s="29">
        <f>Intereses_Leasing_Mensual!P122</f>
        <v/>
      </c>
      <c r="AO122" s="29">
        <f>Amortizacion_Capital_Mensual!Q122</f>
        <v/>
      </c>
      <c r="AP122" s="29">
        <f>Saldos_Capital_Mensual!P122</f>
        <v/>
      </c>
      <c r="AQ122" s="29">
        <f>Intereses_Residual_Mensual!P122</f>
        <v/>
      </c>
      <c r="AR122" s="29">
        <f>ROUND(AN122 + AQ122, 2)</f>
        <v/>
      </c>
      <c r="AS122" s="29">
        <f>Intereses_Leasing_Mensual!Q122</f>
        <v/>
      </c>
      <c r="AT122" s="29">
        <f>Amortizacion_Capital_Mensual!R122</f>
        <v/>
      </c>
      <c r="AU122" s="29">
        <f>Saldos_Capital_Mensual!Q122</f>
        <v/>
      </c>
      <c r="AV122" s="29">
        <f>Intereses_Residual_Mensual!Q122</f>
        <v/>
      </c>
      <c r="AW122" s="29">
        <f>ROUND(AS122 + AV122, 2)</f>
        <v/>
      </c>
      <c r="AX122" s="29">
        <f>Intereses_Leasing_Mensual!R122</f>
        <v/>
      </c>
      <c r="AY122" s="29">
        <f>Amortizacion_Capital_Mensual!S122</f>
        <v/>
      </c>
      <c r="AZ122" s="29">
        <f>Saldos_Capital_Mensual!R122</f>
        <v/>
      </c>
      <c r="BA122" s="29">
        <f>Intereses_Residual_Mensual!R122</f>
        <v/>
      </c>
      <c r="BB122" s="29">
        <f>ROUND(AX122 + BA122, 2)</f>
        <v/>
      </c>
      <c r="BC122" s="29">
        <f>Intereses_Leasing_Mensual!S122</f>
        <v/>
      </c>
      <c r="BD122" s="29">
        <f>Amortizacion_Capital_Mensual!T122</f>
        <v/>
      </c>
      <c r="BE122" s="29">
        <f>Saldos_Capital_Mensual!S122</f>
        <v/>
      </c>
      <c r="BF122" s="29">
        <f>Intereses_Residual_Mensual!S122</f>
        <v/>
      </c>
      <c r="BG122" s="29">
        <f>ROUND(BC122 + BF122, 2)</f>
        <v/>
      </c>
      <c r="BH122" s="29">
        <f>Intereses_Leasing_Mensual!T122</f>
        <v/>
      </c>
      <c r="BI122" s="29">
        <f>Amortizacion_Capital_Mensual!U122</f>
        <v/>
      </c>
      <c r="BJ122" s="29">
        <f>Saldos_Capital_Mensual!T122</f>
        <v/>
      </c>
      <c r="BK122" s="29">
        <f>Intereses_Residual_Mensual!T122</f>
        <v/>
      </c>
      <c r="BL122" s="29">
        <f>ROUND(BH122 + BK122, 2)</f>
        <v/>
      </c>
    </row>
    <row r="123">
      <c r="A123" s="20" t="inlineStr">
        <is>
          <t>0649-0013</t>
        </is>
      </c>
      <c r="B123" s="21" t="inlineStr">
        <is>
          <t>Compusoluciones y Asociados Sa de Cv</t>
        </is>
      </c>
      <c r="C123" s="21" t="inlineStr">
        <is>
          <t>Mazda Mazda 3 Hatch Back 2026</t>
        </is>
      </c>
      <c r="D123" s="22" t="n">
        <v>48</v>
      </c>
      <c r="E123" s="23">
        <f>Intereses_Leasing_Mensual!I123</f>
        <v/>
      </c>
      <c r="F123" s="23">
        <f>Amortizacion_Capital_Mensual!J123</f>
        <v/>
      </c>
      <c r="G123" s="23">
        <f>Saldos_Capital_Mensual!I123</f>
        <v/>
      </c>
      <c r="H123" s="23">
        <f>Intereses_Residual_Mensual!I123</f>
        <v/>
      </c>
      <c r="I123" s="23">
        <f>ROUND(E123 + H123, 2)</f>
        <v/>
      </c>
      <c r="J123" s="23">
        <f>Intereses_Leasing_Mensual!J123</f>
        <v/>
      </c>
      <c r="K123" s="23">
        <f>Amortizacion_Capital_Mensual!K123</f>
        <v/>
      </c>
      <c r="L123" s="23">
        <f>Saldos_Capital_Mensual!J123</f>
        <v/>
      </c>
      <c r="M123" s="23">
        <f>Intereses_Residual_Mensual!J123</f>
        <v/>
      </c>
      <c r="N123" s="23">
        <f>ROUND(J123 + M123, 2)</f>
        <v/>
      </c>
      <c r="O123" s="23">
        <f>Intereses_Leasing_Mensual!K123</f>
        <v/>
      </c>
      <c r="P123" s="23">
        <f>Amortizacion_Capital_Mensual!L123</f>
        <v/>
      </c>
      <c r="Q123" s="23">
        <f>Saldos_Capital_Mensual!K123</f>
        <v/>
      </c>
      <c r="R123" s="23">
        <f>Intereses_Residual_Mensual!K123</f>
        <v/>
      </c>
      <c r="S123" s="23">
        <f>ROUND(O123 + R123, 2)</f>
        <v/>
      </c>
      <c r="T123" s="23">
        <f>Intereses_Leasing_Mensual!L123</f>
        <v/>
      </c>
      <c r="U123" s="23">
        <f>Amortizacion_Capital_Mensual!M123</f>
        <v/>
      </c>
      <c r="V123" s="23">
        <f>Saldos_Capital_Mensual!L123</f>
        <v/>
      </c>
      <c r="W123" s="23">
        <f>Intereses_Residual_Mensual!L123</f>
        <v/>
      </c>
      <c r="X123" s="23">
        <f>ROUND(T123 + W123, 2)</f>
        <v/>
      </c>
      <c r="Y123" s="23">
        <f>Intereses_Leasing_Mensual!M123</f>
        <v/>
      </c>
      <c r="Z123" s="23">
        <f>Amortizacion_Capital_Mensual!N123</f>
        <v/>
      </c>
      <c r="AA123" s="23">
        <f>Saldos_Capital_Mensual!M123</f>
        <v/>
      </c>
      <c r="AB123" s="23">
        <f>Intereses_Residual_Mensual!M123</f>
        <v/>
      </c>
      <c r="AC123" s="23">
        <f>ROUND(Y123 + AB123, 2)</f>
        <v/>
      </c>
      <c r="AD123" s="23">
        <f>Intereses_Leasing_Mensual!N123</f>
        <v/>
      </c>
      <c r="AE123" s="23">
        <f>Amortizacion_Capital_Mensual!O123</f>
        <v/>
      </c>
      <c r="AF123" s="23">
        <f>Saldos_Capital_Mensual!N123</f>
        <v/>
      </c>
      <c r="AG123" s="23">
        <f>Intereses_Residual_Mensual!N123</f>
        <v/>
      </c>
      <c r="AH123" s="23">
        <f>ROUND(AD123 + AG123, 2)</f>
        <v/>
      </c>
      <c r="AI123" s="23">
        <f>Intereses_Leasing_Mensual!O123</f>
        <v/>
      </c>
      <c r="AJ123" s="23">
        <f>Amortizacion_Capital_Mensual!P123</f>
        <v/>
      </c>
      <c r="AK123" s="23">
        <f>Saldos_Capital_Mensual!O123</f>
        <v/>
      </c>
      <c r="AL123" s="23">
        <f>Intereses_Residual_Mensual!O123</f>
        <v/>
      </c>
      <c r="AM123" s="23">
        <f>ROUND(AI123 + AL123, 2)</f>
        <v/>
      </c>
      <c r="AN123" s="23">
        <f>Intereses_Leasing_Mensual!P123</f>
        <v/>
      </c>
      <c r="AO123" s="23">
        <f>Amortizacion_Capital_Mensual!Q123</f>
        <v/>
      </c>
      <c r="AP123" s="23">
        <f>Saldos_Capital_Mensual!P123</f>
        <v/>
      </c>
      <c r="AQ123" s="23">
        <f>Intereses_Residual_Mensual!P123</f>
        <v/>
      </c>
      <c r="AR123" s="23">
        <f>ROUND(AN123 + AQ123, 2)</f>
        <v/>
      </c>
      <c r="AS123" s="23">
        <f>Intereses_Leasing_Mensual!Q123</f>
        <v/>
      </c>
      <c r="AT123" s="23">
        <f>Amortizacion_Capital_Mensual!R123</f>
        <v/>
      </c>
      <c r="AU123" s="23">
        <f>Saldos_Capital_Mensual!Q123</f>
        <v/>
      </c>
      <c r="AV123" s="23">
        <f>Intereses_Residual_Mensual!Q123</f>
        <v/>
      </c>
      <c r="AW123" s="23">
        <f>ROUND(AS123 + AV123, 2)</f>
        <v/>
      </c>
      <c r="AX123" s="23">
        <f>Intereses_Leasing_Mensual!R123</f>
        <v/>
      </c>
      <c r="AY123" s="23">
        <f>Amortizacion_Capital_Mensual!S123</f>
        <v/>
      </c>
      <c r="AZ123" s="23">
        <f>Saldos_Capital_Mensual!R123</f>
        <v/>
      </c>
      <c r="BA123" s="23">
        <f>Intereses_Residual_Mensual!R123</f>
        <v/>
      </c>
      <c r="BB123" s="23">
        <f>ROUND(AX123 + BA123, 2)</f>
        <v/>
      </c>
      <c r="BC123" s="23">
        <f>Intereses_Leasing_Mensual!S123</f>
        <v/>
      </c>
      <c r="BD123" s="23">
        <f>Amortizacion_Capital_Mensual!T123</f>
        <v/>
      </c>
      <c r="BE123" s="23">
        <f>Saldos_Capital_Mensual!S123</f>
        <v/>
      </c>
      <c r="BF123" s="23">
        <f>Intereses_Residual_Mensual!S123</f>
        <v/>
      </c>
      <c r="BG123" s="23">
        <f>ROUND(BC123 + BF123, 2)</f>
        <v/>
      </c>
      <c r="BH123" s="23">
        <f>Intereses_Leasing_Mensual!T123</f>
        <v/>
      </c>
      <c r="BI123" s="23">
        <f>Amortizacion_Capital_Mensual!U123</f>
        <v/>
      </c>
      <c r="BJ123" s="23">
        <f>Saldos_Capital_Mensual!T123</f>
        <v/>
      </c>
      <c r="BK123" s="23">
        <f>Intereses_Residual_Mensual!T123</f>
        <v/>
      </c>
      <c r="BL123" s="23">
        <f>ROUND(BH123 + BK123, 2)</f>
        <v/>
      </c>
    </row>
    <row r="124">
      <c r="A124" s="26" t="inlineStr">
        <is>
          <t>0649-0014</t>
        </is>
      </c>
      <c r="B124" s="27" t="inlineStr">
        <is>
          <t>Compusoluciones y Asociados Sa de Cv</t>
        </is>
      </c>
      <c r="C124" s="27" t="inlineStr">
        <is>
          <t>Subaru Forester 2026</t>
        </is>
      </c>
      <c r="D124" s="28" t="n">
        <v>48</v>
      </c>
      <c r="E124" s="29">
        <f>Intereses_Leasing_Mensual!I124</f>
        <v/>
      </c>
      <c r="F124" s="29">
        <f>Amortizacion_Capital_Mensual!J124</f>
        <v/>
      </c>
      <c r="G124" s="29">
        <f>Saldos_Capital_Mensual!I124</f>
        <v/>
      </c>
      <c r="H124" s="29">
        <f>Intereses_Residual_Mensual!I124</f>
        <v/>
      </c>
      <c r="I124" s="29">
        <f>ROUND(E124 + H124, 2)</f>
        <v/>
      </c>
      <c r="J124" s="29">
        <f>Intereses_Leasing_Mensual!J124</f>
        <v/>
      </c>
      <c r="K124" s="29">
        <f>Amortizacion_Capital_Mensual!K124</f>
        <v/>
      </c>
      <c r="L124" s="29">
        <f>Saldos_Capital_Mensual!J124</f>
        <v/>
      </c>
      <c r="M124" s="29">
        <f>Intereses_Residual_Mensual!J124</f>
        <v/>
      </c>
      <c r="N124" s="29">
        <f>ROUND(J124 + M124, 2)</f>
        <v/>
      </c>
      <c r="O124" s="29">
        <f>Intereses_Leasing_Mensual!K124</f>
        <v/>
      </c>
      <c r="P124" s="29">
        <f>Amortizacion_Capital_Mensual!L124</f>
        <v/>
      </c>
      <c r="Q124" s="29">
        <f>Saldos_Capital_Mensual!K124</f>
        <v/>
      </c>
      <c r="R124" s="29">
        <f>Intereses_Residual_Mensual!K124</f>
        <v/>
      </c>
      <c r="S124" s="29">
        <f>ROUND(O124 + R124, 2)</f>
        <v/>
      </c>
      <c r="T124" s="29">
        <f>Intereses_Leasing_Mensual!L124</f>
        <v/>
      </c>
      <c r="U124" s="29">
        <f>Amortizacion_Capital_Mensual!M124</f>
        <v/>
      </c>
      <c r="V124" s="29">
        <f>Saldos_Capital_Mensual!L124</f>
        <v/>
      </c>
      <c r="W124" s="29">
        <f>Intereses_Residual_Mensual!L124</f>
        <v/>
      </c>
      <c r="X124" s="29">
        <f>ROUND(T124 + W124, 2)</f>
        <v/>
      </c>
      <c r="Y124" s="29">
        <f>Intereses_Leasing_Mensual!M124</f>
        <v/>
      </c>
      <c r="Z124" s="29">
        <f>Amortizacion_Capital_Mensual!N124</f>
        <v/>
      </c>
      <c r="AA124" s="29">
        <f>Saldos_Capital_Mensual!M124</f>
        <v/>
      </c>
      <c r="AB124" s="29">
        <f>Intereses_Residual_Mensual!M124</f>
        <v/>
      </c>
      <c r="AC124" s="29">
        <f>ROUND(Y124 + AB124, 2)</f>
        <v/>
      </c>
      <c r="AD124" s="29">
        <f>Intereses_Leasing_Mensual!N124</f>
        <v/>
      </c>
      <c r="AE124" s="29">
        <f>Amortizacion_Capital_Mensual!O124</f>
        <v/>
      </c>
      <c r="AF124" s="29">
        <f>Saldos_Capital_Mensual!N124</f>
        <v/>
      </c>
      <c r="AG124" s="29">
        <f>Intereses_Residual_Mensual!N124</f>
        <v/>
      </c>
      <c r="AH124" s="29">
        <f>ROUND(AD124 + AG124, 2)</f>
        <v/>
      </c>
      <c r="AI124" s="29">
        <f>Intereses_Leasing_Mensual!O124</f>
        <v/>
      </c>
      <c r="AJ124" s="29">
        <f>Amortizacion_Capital_Mensual!P124</f>
        <v/>
      </c>
      <c r="AK124" s="29">
        <f>Saldos_Capital_Mensual!O124</f>
        <v/>
      </c>
      <c r="AL124" s="29">
        <f>Intereses_Residual_Mensual!O124</f>
        <v/>
      </c>
      <c r="AM124" s="29">
        <f>ROUND(AI124 + AL124, 2)</f>
        <v/>
      </c>
      <c r="AN124" s="29">
        <f>Intereses_Leasing_Mensual!P124</f>
        <v/>
      </c>
      <c r="AO124" s="29">
        <f>Amortizacion_Capital_Mensual!Q124</f>
        <v/>
      </c>
      <c r="AP124" s="29">
        <f>Saldos_Capital_Mensual!P124</f>
        <v/>
      </c>
      <c r="AQ124" s="29">
        <f>Intereses_Residual_Mensual!P124</f>
        <v/>
      </c>
      <c r="AR124" s="29">
        <f>ROUND(AN124 + AQ124, 2)</f>
        <v/>
      </c>
      <c r="AS124" s="29">
        <f>Intereses_Leasing_Mensual!Q124</f>
        <v/>
      </c>
      <c r="AT124" s="29">
        <f>Amortizacion_Capital_Mensual!R124</f>
        <v/>
      </c>
      <c r="AU124" s="29">
        <f>Saldos_Capital_Mensual!Q124</f>
        <v/>
      </c>
      <c r="AV124" s="29">
        <f>Intereses_Residual_Mensual!Q124</f>
        <v/>
      </c>
      <c r="AW124" s="29">
        <f>ROUND(AS124 + AV124, 2)</f>
        <v/>
      </c>
      <c r="AX124" s="29">
        <f>Intereses_Leasing_Mensual!R124</f>
        <v/>
      </c>
      <c r="AY124" s="29">
        <f>Amortizacion_Capital_Mensual!S124</f>
        <v/>
      </c>
      <c r="AZ124" s="29">
        <f>Saldos_Capital_Mensual!R124</f>
        <v/>
      </c>
      <c r="BA124" s="29">
        <f>Intereses_Residual_Mensual!R124</f>
        <v/>
      </c>
      <c r="BB124" s="29">
        <f>ROUND(AX124 + BA124, 2)</f>
        <v/>
      </c>
      <c r="BC124" s="29">
        <f>Intereses_Leasing_Mensual!S124</f>
        <v/>
      </c>
      <c r="BD124" s="29">
        <f>Amortizacion_Capital_Mensual!T124</f>
        <v/>
      </c>
      <c r="BE124" s="29">
        <f>Saldos_Capital_Mensual!S124</f>
        <v/>
      </c>
      <c r="BF124" s="29">
        <f>Intereses_Residual_Mensual!S124</f>
        <v/>
      </c>
      <c r="BG124" s="29">
        <f>ROUND(BC124 + BF124, 2)</f>
        <v/>
      </c>
      <c r="BH124" s="29">
        <f>Intereses_Leasing_Mensual!T124</f>
        <v/>
      </c>
      <c r="BI124" s="29">
        <f>Amortizacion_Capital_Mensual!U124</f>
        <v/>
      </c>
      <c r="BJ124" s="29">
        <f>Saldos_Capital_Mensual!T124</f>
        <v/>
      </c>
      <c r="BK124" s="29">
        <f>Intereses_Residual_Mensual!T124</f>
        <v/>
      </c>
      <c r="BL124" s="29">
        <f>ROUND(BH124 + BK124, 2)</f>
        <v/>
      </c>
    </row>
    <row r="125">
      <c r="A125" s="20" t="inlineStr">
        <is>
          <t>0650-0002</t>
        </is>
      </c>
      <c r="B125" s="21" t="inlineStr">
        <is>
          <t>Creando Music</t>
        </is>
      </c>
      <c r="C125" s="21" t="inlineStr">
        <is>
          <t>3008</t>
        </is>
      </c>
      <c r="D125" s="22" t="n">
        <v>12</v>
      </c>
      <c r="E125" s="23">
        <f>Intereses_Leasing_Mensual!I125</f>
        <v/>
      </c>
      <c r="F125" s="23">
        <f>Amortizacion_Capital_Mensual!J125</f>
        <v/>
      </c>
      <c r="G125" s="23">
        <f>Saldos_Capital_Mensual!I125</f>
        <v/>
      </c>
      <c r="H125" s="23">
        <f>Intereses_Residual_Mensual!I125</f>
        <v/>
      </c>
      <c r="I125" s="23">
        <f>ROUND(E125 + H125, 2)</f>
        <v/>
      </c>
      <c r="J125" s="23">
        <f>Intereses_Leasing_Mensual!J125</f>
        <v/>
      </c>
      <c r="K125" s="23">
        <f>Amortizacion_Capital_Mensual!K125</f>
        <v/>
      </c>
      <c r="L125" s="23">
        <f>Saldos_Capital_Mensual!J125</f>
        <v/>
      </c>
      <c r="M125" s="23">
        <f>Intereses_Residual_Mensual!J125</f>
        <v/>
      </c>
      <c r="N125" s="23">
        <f>ROUND(J125 + M125, 2)</f>
        <v/>
      </c>
      <c r="O125" s="23">
        <f>Intereses_Leasing_Mensual!K125</f>
        <v/>
      </c>
      <c r="P125" s="23">
        <f>Amortizacion_Capital_Mensual!L125</f>
        <v/>
      </c>
      <c r="Q125" s="23">
        <f>Saldos_Capital_Mensual!K125</f>
        <v/>
      </c>
      <c r="R125" s="23">
        <f>Intereses_Residual_Mensual!K125</f>
        <v/>
      </c>
      <c r="S125" s="23">
        <f>ROUND(O125 + R125, 2)</f>
        <v/>
      </c>
      <c r="T125" s="23">
        <f>Intereses_Leasing_Mensual!L125</f>
        <v/>
      </c>
      <c r="U125" s="23">
        <f>Amortizacion_Capital_Mensual!M125</f>
        <v/>
      </c>
      <c r="V125" s="23">
        <f>Saldos_Capital_Mensual!L125</f>
        <v/>
      </c>
      <c r="W125" s="23">
        <f>Intereses_Residual_Mensual!L125</f>
        <v/>
      </c>
      <c r="X125" s="23">
        <f>ROUND(T125 + W125, 2)</f>
        <v/>
      </c>
      <c r="Y125" s="23">
        <f>Intereses_Leasing_Mensual!M125</f>
        <v/>
      </c>
      <c r="Z125" s="23">
        <f>Amortizacion_Capital_Mensual!N125</f>
        <v/>
      </c>
      <c r="AA125" s="23">
        <f>Saldos_Capital_Mensual!M125</f>
        <v/>
      </c>
      <c r="AB125" s="23">
        <f>Intereses_Residual_Mensual!M125</f>
        <v/>
      </c>
      <c r="AC125" s="23">
        <f>ROUND(Y125 + AB125, 2)</f>
        <v/>
      </c>
      <c r="AD125" s="23">
        <f>Intereses_Leasing_Mensual!N125</f>
        <v/>
      </c>
      <c r="AE125" s="23">
        <f>Amortizacion_Capital_Mensual!O125</f>
        <v/>
      </c>
      <c r="AF125" s="23">
        <f>Saldos_Capital_Mensual!N125</f>
        <v/>
      </c>
      <c r="AG125" s="23">
        <f>Intereses_Residual_Mensual!N125</f>
        <v/>
      </c>
      <c r="AH125" s="23">
        <f>ROUND(AD125 + AG125, 2)</f>
        <v/>
      </c>
      <c r="AI125" s="23">
        <f>Intereses_Leasing_Mensual!O125</f>
        <v/>
      </c>
      <c r="AJ125" s="23">
        <f>Amortizacion_Capital_Mensual!P125</f>
        <v/>
      </c>
      <c r="AK125" s="23">
        <f>Saldos_Capital_Mensual!O125</f>
        <v/>
      </c>
      <c r="AL125" s="23">
        <f>Intereses_Residual_Mensual!O125</f>
        <v/>
      </c>
      <c r="AM125" s="23">
        <f>ROUND(AI125 + AL125, 2)</f>
        <v/>
      </c>
      <c r="AN125" s="23">
        <f>Intereses_Leasing_Mensual!P125</f>
        <v/>
      </c>
      <c r="AO125" s="23">
        <f>Amortizacion_Capital_Mensual!Q125</f>
        <v/>
      </c>
      <c r="AP125" s="23">
        <f>Saldos_Capital_Mensual!P125</f>
        <v/>
      </c>
      <c r="AQ125" s="23">
        <f>Intereses_Residual_Mensual!P125</f>
        <v/>
      </c>
      <c r="AR125" s="23">
        <f>ROUND(AN125 + AQ125, 2)</f>
        <v/>
      </c>
      <c r="AS125" s="23">
        <f>Intereses_Leasing_Mensual!Q125</f>
        <v/>
      </c>
      <c r="AT125" s="23">
        <f>Amortizacion_Capital_Mensual!R125</f>
        <v/>
      </c>
      <c r="AU125" s="23">
        <f>Saldos_Capital_Mensual!Q125</f>
        <v/>
      </c>
      <c r="AV125" s="23">
        <f>Intereses_Residual_Mensual!Q125</f>
        <v/>
      </c>
      <c r="AW125" s="23">
        <f>ROUND(AS125 + AV125, 2)</f>
        <v/>
      </c>
      <c r="AX125" s="23">
        <f>Intereses_Leasing_Mensual!R125</f>
        <v/>
      </c>
      <c r="AY125" s="23">
        <f>Amortizacion_Capital_Mensual!S125</f>
        <v/>
      </c>
      <c r="AZ125" s="23">
        <f>Saldos_Capital_Mensual!R125</f>
        <v/>
      </c>
      <c r="BA125" s="23">
        <f>Intereses_Residual_Mensual!R125</f>
        <v/>
      </c>
      <c r="BB125" s="23">
        <f>ROUND(AX125 + BA125, 2)</f>
        <v/>
      </c>
      <c r="BC125" s="23">
        <f>Intereses_Leasing_Mensual!S125</f>
        <v/>
      </c>
      <c r="BD125" s="23">
        <f>Amortizacion_Capital_Mensual!T125</f>
        <v/>
      </c>
      <c r="BE125" s="23">
        <f>Saldos_Capital_Mensual!S125</f>
        <v/>
      </c>
      <c r="BF125" s="23">
        <f>Intereses_Residual_Mensual!S125</f>
        <v/>
      </c>
      <c r="BG125" s="23">
        <f>ROUND(BC125 + BF125, 2)</f>
        <v/>
      </c>
      <c r="BH125" s="23">
        <f>Intereses_Leasing_Mensual!T125</f>
        <v/>
      </c>
      <c r="BI125" s="23">
        <f>Amortizacion_Capital_Mensual!U125</f>
        <v/>
      </c>
      <c r="BJ125" s="23">
        <f>Saldos_Capital_Mensual!T125</f>
        <v/>
      </c>
      <c r="BK125" s="23">
        <f>Intereses_Residual_Mensual!T125</f>
        <v/>
      </c>
      <c r="BL125" s="23">
        <f>ROUND(BH125 + BK125, 2)</f>
        <v/>
      </c>
    </row>
    <row r="126">
      <c r="A126" s="26" t="inlineStr">
        <is>
          <t>0651-0001</t>
        </is>
      </c>
      <c r="B126" s="27" t="inlineStr">
        <is>
          <t>Asme Sa de Cv</t>
        </is>
      </c>
      <c r="C126" s="27" t="inlineStr">
        <is>
          <t>Compass High Altitude</t>
        </is>
      </c>
      <c r="D126" s="28" t="n">
        <v>48</v>
      </c>
      <c r="E126" s="29">
        <f>Intereses_Leasing_Mensual!I126</f>
        <v/>
      </c>
      <c r="F126" s="29">
        <f>Amortizacion_Capital_Mensual!J126</f>
        <v/>
      </c>
      <c r="G126" s="29">
        <f>Saldos_Capital_Mensual!I126</f>
        <v/>
      </c>
      <c r="H126" s="29">
        <f>Intereses_Residual_Mensual!I126</f>
        <v/>
      </c>
      <c r="I126" s="29">
        <f>ROUND(E126 + H126, 2)</f>
        <v/>
      </c>
      <c r="J126" s="29">
        <f>Intereses_Leasing_Mensual!J126</f>
        <v/>
      </c>
      <c r="K126" s="29">
        <f>Amortizacion_Capital_Mensual!K126</f>
        <v/>
      </c>
      <c r="L126" s="29">
        <f>Saldos_Capital_Mensual!J126</f>
        <v/>
      </c>
      <c r="M126" s="29">
        <f>Intereses_Residual_Mensual!J126</f>
        <v/>
      </c>
      <c r="N126" s="29">
        <f>ROUND(J126 + M126, 2)</f>
        <v/>
      </c>
      <c r="O126" s="29">
        <f>Intereses_Leasing_Mensual!K126</f>
        <v/>
      </c>
      <c r="P126" s="29">
        <f>Amortizacion_Capital_Mensual!L126</f>
        <v/>
      </c>
      <c r="Q126" s="29">
        <f>Saldos_Capital_Mensual!K126</f>
        <v/>
      </c>
      <c r="R126" s="29">
        <f>Intereses_Residual_Mensual!K126</f>
        <v/>
      </c>
      <c r="S126" s="29">
        <f>ROUND(O126 + R126, 2)</f>
        <v/>
      </c>
      <c r="T126" s="29">
        <f>Intereses_Leasing_Mensual!L126</f>
        <v/>
      </c>
      <c r="U126" s="29">
        <f>Amortizacion_Capital_Mensual!M126</f>
        <v/>
      </c>
      <c r="V126" s="29">
        <f>Saldos_Capital_Mensual!L126</f>
        <v/>
      </c>
      <c r="W126" s="29">
        <f>Intereses_Residual_Mensual!L126</f>
        <v/>
      </c>
      <c r="X126" s="29">
        <f>ROUND(T126 + W126, 2)</f>
        <v/>
      </c>
      <c r="Y126" s="29">
        <f>Intereses_Leasing_Mensual!M126</f>
        <v/>
      </c>
      <c r="Z126" s="29">
        <f>Amortizacion_Capital_Mensual!N126</f>
        <v/>
      </c>
      <c r="AA126" s="29">
        <f>Saldos_Capital_Mensual!M126</f>
        <v/>
      </c>
      <c r="AB126" s="29">
        <f>Intereses_Residual_Mensual!M126</f>
        <v/>
      </c>
      <c r="AC126" s="29">
        <f>ROUND(Y126 + AB126, 2)</f>
        <v/>
      </c>
      <c r="AD126" s="29">
        <f>Intereses_Leasing_Mensual!N126</f>
        <v/>
      </c>
      <c r="AE126" s="29">
        <f>Amortizacion_Capital_Mensual!O126</f>
        <v/>
      </c>
      <c r="AF126" s="29">
        <f>Saldos_Capital_Mensual!N126</f>
        <v/>
      </c>
      <c r="AG126" s="29">
        <f>Intereses_Residual_Mensual!N126</f>
        <v/>
      </c>
      <c r="AH126" s="29">
        <f>ROUND(AD126 + AG126, 2)</f>
        <v/>
      </c>
      <c r="AI126" s="29">
        <f>Intereses_Leasing_Mensual!O126</f>
        <v/>
      </c>
      <c r="AJ126" s="29">
        <f>Amortizacion_Capital_Mensual!P126</f>
        <v/>
      </c>
      <c r="AK126" s="29">
        <f>Saldos_Capital_Mensual!O126</f>
        <v/>
      </c>
      <c r="AL126" s="29">
        <f>Intereses_Residual_Mensual!O126</f>
        <v/>
      </c>
      <c r="AM126" s="29">
        <f>ROUND(AI126 + AL126, 2)</f>
        <v/>
      </c>
      <c r="AN126" s="29">
        <f>Intereses_Leasing_Mensual!P126</f>
        <v/>
      </c>
      <c r="AO126" s="29">
        <f>Amortizacion_Capital_Mensual!Q126</f>
        <v/>
      </c>
      <c r="AP126" s="29">
        <f>Saldos_Capital_Mensual!P126</f>
        <v/>
      </c>
      <c r="AQ126" s="29">
        <f>Intereses_Residual_Mensual!P126</f>
        <v/>
      </c>
      <c r="AR126" s="29">
        <f>ROUND(AN126 + AQ126, 2)</f>
        <v/>
      </c>
      <c r="AS126" s="29">
        <f>Intereses_Leasing_Mensual!Q126</f>
        <v/>
      </c>
      <c r="AT126" s="29">
        <f>Amortizacion_Capital_Mensual!R126</f>
        <v/>
      </c>
      <c r="AU126" s="29">
        <f>Saldos_Capital_Mensual!Q126</f>
        <v/>
      </c>
      <c r="AV126" s="29">
        <f>Intereses_Residual_Mensual!Q126</f>
        <v/>
      </c>
      <c r="AW126" s="29">
        <f>ROUND(AS126 + AV126, 2)</f>
        <v/>
      </c>
      <c r="AX126" s="29">
        <f>Intereses_Leasing_Mensual!R126</f>
        <v/>
      </c>
      <c r="AY126" s="29">
        <f>Amortizacion_Capital_Mensual!S126</f>
        <v/>
      </c>
      <c r="AZ126" s="29">
        <f>Saldos_Capital_Mensual!R126</f>
        <v/>
      </c>
      <c r="BA126" s="29">
        <f>Intereses_Residual_Mensual!R126</f>
        <v/>
      </c>
      <c r="BB126" s="29">
        <f>ROUND(AX126 + BA126, 2)</f>
        <v/>
      </c>
      <c r="BC126" s="29">
        <f>Intereses_Leasing_Mensual!S126</f>
        <v/>
      </c>
      <c r="BD126" s="29">
        <f>Amortizacion_Capital_Mensual!T126</f>
        <v/>
      </c>
      <c r="BE126" s="29">
        <f>Saldos_Capital_Mensual!S126</f>
        <v/>
      </c>
      <c r="BF126" s="29">
        <f>Intereses_Residual_Mensual!S126</f>
        <v/>
      </c>
      <c r="BG126" s="29">
        <f>ROUND(BC126 + BF126, 2)</f>
        <v/>
      </c>
      <c r="BH126" s="29">
        <f>Intereses_Leasing_Mensual!T126</f>
        <v/>
      </c>
      <c r="BI126" s="29">
        <f>Amortizacion_Capital_Mensual!U126</f>
        <v/>
      </c>
      <c r="BJ126" s="29">
        <f>Saldos_Capital_Mensual!T126</f>
        <v/>
      </c>
      <c r="BK126" s="29">
        <f>Intereses_Residual_Mensual!T126</f>
        <v/>
      </c>
      <c r="BL126" s="29">
        <f>ROUND(BH126 + BK126, 2)</f>
        <v/>
      </c>
    </row>
    <row r="127">
      <c r="A127" s="20" t="inlineStr">
        <is>
          <t>0654-0001</t>
        </is>
      </c>
      <c r="B127" s="21" t="inlineStr">
        <is>
          <t>Veronica Orozco Larios</t>
        </is>
      </c>
      <c r="C127" s="21" t="inlineStr">
        <is>
          <t>Ram 4000</t>
        </is>
      </c>
      <c r="D127" s="22" t="n">
        <v>36</v>
      </c>
      <c r="E127" s="23">
        <f>Intereses_Leasing_Mensual!I127</f>
        <v/>
      </c>
      <c r="F127" s="23">
        <f>Amortizacion_Capital_Mensual!J127</f>
        <v/>
      </c>
      <c r="G127" s="23">
        <f>Saldos_Capital_Mensual!I127</f>
        <v/>
      </c>
      <c r="H127" s="23">
        <f>Intereses_Residual_Mensual!I127</f>
        <v/>
      </c>
      <c r="I127" s="23">
        <f>ROUND(E127 + H127, 2)</f>
        <v/>
      </c>
      <c r="J127" s="23">
        <f>Intereses_Leasing_Mensual!J127</f>
        <v/>
      </c>
      <c r="K127" s="23">
        <f>Amortizacion_Capital_Mensual!K127</f>
        <v/>
      </c>
      <c r="L127" s="23">
        <f>Saldos_Capital_Mensual!J127</f>
        <v/>
      </c>
      <c r="M127" s="23">
        <f>Intereses_Residual_Mensual!J127</f>
        <v/>
      </c>
      <c r="N127" s="23">
        <f>ROUND(J127 + M127, 2)</f>
        <v/>
      </c>
      <c r="O127" s="23">
        <f>Intereses_Leasing_Mensual!K127</f>
        <v/>
      </c>
      <c r="P127" s="23">
        <f>Amortizacion_Capital_Mensual!L127</f>
        <v/>
      </c>
      <c r="Q127" s="23">
        <f>Saldos_Capital_Mensual!K127</f>
        <v/>
      </c>
      <c r="R127" s="23">
        <f>Intereses_Residual_Mensual!K127</f>
        <v/>
      </c>
      <c r="S127" s="23">
        <f>ROUND(O127 + R127, 2)</f>
        <v/>
      </c>
      <c r="T127" s="23">
        <f>Intereses_Leasing_Mensual!L127</f>
        <v/>
      </c>
      <c r="U127" s="23">
        <f>Amortizacion_Capital_Mensual!M127</f>
        <v/>
      </c>
      <c r="V127" s="23">
        <f>Saldos_Capital_Mensual!L127</f>
        <v/>
      </c>
      <c r="W127" s="23">
        <f>Intereses_Residual_Mensual!L127</f>
        <v/>
      </c>
      <c r="X127" s="23">
        <f>ROUND(T127 + W127, 2)</f>
        <v/>
      </c>
      <c r="Y127" s="23">
        <f>Intereses_Leasing_Mensual!M127</f>
        <v/>
      </c>
      <c r="Z127" s="23">
        <f>Amortizacion_Capital_Mensual!N127</f>
        <v/>
      </c>
      <c r="AA127" s="23">
        <f>Saldos_Capital_Mensual!M127</f>
        <v/>
      </c>
      <c r="AB127" s="23">
        <f>Intereses_Residual_Mensual!M127</f>
        <v/>
      </c>
      <c r="AC127" s="23">
        <f>ROUND(Y127 + AB127, 2)</f>
        <v/>
      </c>
      <c r="AD127" s="23">
        <f>Intereses_Leasing_Mensual!N127</f>
        <v/>
      </c>
      <c r="AE127" s="23">
        <f>Amortizacion_Capital_Mensual!O127</f>
        <v/>
      </c>
      <c r="AF127" s="23">
        <f>Saldos_Capital_Mensual!N127</f>
        <v/>
      </c>
      <c r="AG127" s="23">
        <f>Intereses_Residual_Mensual!N127</f>
        <v/>
      </c>
      <c r="AH127" s="23">
        <f>ROUND(AD127 + AG127, 2)</f>
        <v/>
      </c>
      <c r="AI127" s="23">
        <f>Intereses_Leasing_Mensual!O127</f>
        <v/>
      </c>
      <c r="AJ127" s="23">
        <f>Amortizacion_Capital_Mensual!P127</f>
        <v/>
      </c>
      <c r="AK127" s="23">
        <f>Saldos_Capital_Mensual!O127</f>
        <v/>
      </c>
      <c r="AL127" s="23">
        <f>Intereses_Residual_Mensual!O127</f>
        <v/>
      </c>
      <c r="AM127" s="23">
        <f>ROUND(AI127 + AL127, 2)</f>
        <v/>
      </c>
      <c r="AN127" s="23">
        <f>Intereses_Leasing_Mensual!P127</f>
        <v/>
      </c>
      <c r="AO127" s="23">
        <f>Amortizacion_Capital_Mensual!Q127</f>
        <v/>
      </c>
      <c r="AP127" s="23">
        <f>Saldos_Capital_Mensual!P127</f>
        <v/>
      </c>
      <c r="AQ127" s="23">
        <f>Intereses_Residual_Mensual!P127</f>
        <v/>
      </c>
      <c r="AR127" s="23">
        <f>ROUND(AN127 + AQ127, 2)</f>
        <v/>
      </c>
      <c r="AS127" s="23">
        <f>Intereses_Leasing_Mensual!Q127</f>
        <v/>
      </c>
      <c r="AT127" s="23">
        <f>Amortizacion_Capital_Mensual!R127</f>
        <v/>
      </c>
      <c r="AU127" s="23">
        <f>Saldos_Capital_Mensual!Q127</f>
        <v/>
      </c>
      <c r="AV127" s="23">
        <f>Intereses_Residual_Mensual!Q127</f>
        <v/>
      </c>
      <c r="AW127" s="23">
        <f>ROUND(AS127 + AV127, 2)</f>
        <v/>
      </c>
      <c r="AX127" s="23">
        <f>Intereses_Leasing_Mensual!R127</f>
        <v/>
      </c>
      <c r="AY127" s="23">
        <f>Amortizacion_Capital_Mensual!S127</f>
        <v/>
      </c>
      <c r="AZ127" s="23">
        <f>Saldos_Capital_Mensual!R127</f>
        <v/>
      </c>
      <c r="BA127" s="23">
        <f>Intereses_Residual_Mensual!R127</f>
        <v/>
      </c>
      <c r="BB127" s="23">
        <f>ROUND(AX127 + BA127, 2)</f>
        <v/>
      </c>
      <c r="BC127" s="23">
        <f>Intereses_Leasing_Mensual!S127</f>
        <v/>
      </c>
      <c r="BD127" s="23">
        <f>Amortizacion_Capital_Mensual!T127</f>
        <v/>
      </c>
      <c r="BE127" s="23">
        <f>Saldos_Capital_Mensual!S127</f>
        <v/>
      </c>
      <c r="BF127" s="23">
        <f>Intereses_Residual_Mensual!S127</f>
        <v/>
      </c>
      <c r="BG127" s="23">
        <f>ROUND(BC127 + BF127, 2)</f>
        <v/>
      </c>
      <c r="BH127" s="23">
        <f>Intereses_Leasing_Mensual!T127</f>
        <v/>
      </c>
      <c r="BI127" s="23">
        <f>Amortizacion_Capital_Mensual!U127</f>
        <v/>
      </c>
      <c r="BJ127" s="23">
        <f>Saldos_Capital_Mensual!T127</f>
        <v/>
      </c>
      <c r="BK127" s="23">
        <f>Intereses_Residual_Mensual!T127</f>
        <v/>
      </c>
      <c r="BL127" s="23">
        <f>ROUND(BH127 + BK127, 2)</f>
        <v/>
      </c>
    </row>
    <row r="128">
      <c r="A128" s="26" t="inlineStr">
        <is>
          <t>0655-0001</t>
        </is>
      </c>
      <c r="B128" s="27" t="inlineStr">
        <is>
          <t>Viñedos de la Rivera Sur de Chapala S de Rl de Cv</t>
        </is>
      </c>
      <c r="C128" s="27" t="inlineStr">
        <is>
          <t>Ram 2500 HEMI</t>
        </is>
      </c>
      <c r="D128" s="28" t="n">
        <v>36</v>
      </c>
      <c r="E128" s="29">
        <f>Intereses_Leasing_Mensual!I128</f>
        <v/>
      </c>
      <c r="F128" s="29">
        <f>Amortizacion_Capital_Mensual!J128</f>
        <v/>
      </c>
      <c r="G128" s="29">
        <f>Saldos_Capital_Mensual!I128</f>
        <v/>
      </c>
      <c r="H128" s="29">
        <f>Intereses_Residual_Mensual!I128</f>
        <v/>
      </c>
      <c r="I128" s="29">
        <f>ROUND(E128 + H128, 2)</f>
        <v/>
      </c>
      <c r="J128" s="29">
        <f>Intereses_Leasing_Mensual!J128</f>
        <v/>
      </c>
      <c r="K128" s="29">
        <f>Amortizacion_Capital_Mensual!K128</f>
        <v/>
      </c>
      <c r="L128" s="29">
        <f>Saldos_Capital_Mensual!J128</f>
        <v/>
      </c>
      <c r="M128" s="29">
        <f>Intereses_Residual_Mensual!J128</f>
        <v/>
      </c>
      <c r="N128" s="29">
        <f>ROUND(J128 + M128, 2)</f>
        <v/>
      </c>
      <c r="O128" s="29">
        <f>Intereses_Leasing_Mensual!K128</f>
        <v/>
      </c>
      <c r="P128" s="29">
        <f>Amortizacion_Capital_Mensual!L128</f>
        <v/>
      </c>
      <c r="Q128" s="29">
        <f>Saldos_Capital_Mensual!K128</f>
        <v/>
      </c>
      <c r="R128" s="29">
        <f>Intereses_Residual_Mensual!K128</f>
        <v/>
      </c>
      <c r="S128" s="29">
        <f>ROUND(O128 + R128, 2)</f>
        <v/>
      </c>
      <c r="T128" s="29">
        <f>Intereses_Leasing_Mensual!L128</f>
        <v/>
      </c>
      <c r="U128" s="29">
        <f>Amortizacion_Capital_Mensual!M128</f>
        <v/>
      </c>
      <c r="V128" s="29">
        <f>Saldos_Capital_Mensual!L128</f>
        <v/>
      </c>
      <c r="W128" s="29">
        <f>Intereses_Residual_Mensual!L128</f>
        <v/>
      </c>
      <c r="X128" s="29">
        <f>ROUND(T128 + W128, 2)</f>
        <v/>
      </c>
      <c r="Y128" s="29">
        <f>Intereses_Leasing_Mensual!M128</f>
        <v/>
      </c>
      <c r="Z128" s="29">
        <f>Amortizacion_Capital_Mensual!N128</f>
        <v/>
      </c>
      <c r="AA128" s="29">
        <f>Saldos_Capital_Mensual!M128</f>
        <v/>
      </c>
      <c r="AB128" s="29">
        <f>Intereses_Residual_Mensual!M128</f>
        <v/>
      </c>
      <c r="AC128" s="29">
        <f>ROUND(Y128 + AB128, 2)</f>
        <v/>
      </c>
      <c r="AD128" s="29">
        <f>Intereses_Leasing_Mensual!N128</f>
        <v/>
      </c>
      <c r="AE128" s="29">
        <f>Amortizacion_Capital_Mensual!O128</f>
        <v/>
      </c>
      <c r="AF128" s="29">
        <f>Saldos_Capital_Mensual!N128</f>
        <v/>
      </c>
      <c r="AG128" s="29">
        <f>Intereses_Residual_Mensual!N128</f>
        <v/>
      </c>
      <c r="AH128" s="29">
        <f>ROUND(AD128 + AG128, 2)</f>
        <v/>
      </c>
      <c r="AI128" s="29">
        <f>Intereses_Leasing_Mensual!O128</f>
        <v/>
      </c>
      <c r="AJ128" s="29">
        <f>Amortizacion_Capital_Mensual!P128</f>
        <v/>
      </c>
      <c r="AK128" s="29">
        <f>Saldos_Capital_Mensual!O128</f>
        <v/>
      </c>
      <c r="AL128" s="29">
        <f>Intereses_Residual_Mensual!O128</f>
        <v/>
      </c>
      <c r="AM128" s="29">
        <f>ROUND(AI128 + AL128, 2)</f>
        <v/>
      </c>
      <c r="AN128" s="29">
        <f>Intereses_Leasing_Mensual!P128</f>
        <v/>
      </c>
      <c r="AO128" s="29">
        <f>Amortizacion_Capital_Mensual!Q128</f>
        <v/>
      </c>
      <c r="AP128" s="29">
        <f>Saldos_Capital_Mensual!P128</f>
        <v/>
      </c>
      <c r="AQ128" s="29">
        <f>Intereses_Residual_Mensual!P128</f>
        <v/>
      </c>
      <c r="AR128" s="29">
        <f>ROUND(AN128 + AQ128, 2)</f>
        <v/>
      </c>
      <c r="AS128" s="29">
        <f>Intereses_Leasing_Mensual!Q128</f>
        <v/>
      </c>
      <c r="AT128" s="29">
        <f>Amortizacion_Capital_Mensual!R128</f>
        <v/>
      </c>
      <c r="AU128" s="29">
        <f>Saldos_Capital_Mensual!Q128</f>
        <v/>
      </c>
      <c r="AV128" s="29">
        <f>Intereses_Residual_Mensual!Q128</f>
        <v/>
      </c>
      <c r="AW128" s="29">
        <f>ROUND(AS128 + AV128, 2)</f>
        <v/>
      </c>
      <c r="AX128" s="29">
        <f>Intereses_Leasing_Mensual!R128</f>
        <v/>
      </c>
      <c r="AY128" s="29">
        <f>Amortizacion_Capital_Mensual!S128</f>
        <v/>
      </c>
      <c r="AZ128" s="29">
        <f>Saldos_Capital_Mensual!R128</f>
        <v/>
      </c>
      <c r="BA128" s="29">
        <f>Intereses_Residual_Mensual!R128</f>
        <v/>
      </c>
      <c r="BB128" s="29">
        <f>ROUND(AX128 + BA128, 2)</f>
        <v/>
      </c>
      <c r="BC128" s="29">
        <f>Intereses_Leasing_Mensual!S128</f>
        <v/>
      </c>
      <c r="BD128" s="29">
        <f>Amortizacion_Capital_Mensual!T128</f>
        <v/>
      </c>
      <c r="BE128" s="29">
        <f>Saldos_Capital_Mensual!S128</f>
        <v/>
      </c>
      <c r="BF128" s="29">
        <f>Intereses_Residual_Mensual!S128</f>
        <v/>
      </c>
      <c r="BG128" s="29">
        <f>ROUND(BC128 + BF128, 2)</f>
        <v/>
      </c>
      <c r="BH128" s="29">
        <f>Intereses_Leasing_Mensual!T128</f>
        <v/>
      </c>
      <c r="BI128" s="29">
        <f>Amortizacion_Capital_Mensual!U128</f>
        <v/>
      </c>
      <c r="BJ128" s="29">
        <f>Saldos_Capital_Mensual!T128</f>
        <v/>
      </c>
      <c r="BK128" s="29">
        <f>Intereses_Residual_Mensual!T128</f>
        <v/>
      </c>
      <c r="BL128" s="29">
        <f>ROUND(BH128 + BK128, 2)</f>
        <v/>
      </c>
    </row>
    <row r="129">
      <c r="A129" s="20" t="inlineStr">
        <is>
          <t>0658-0001</t>
        </is>
      </c>
      <c r="B129" s="21" t="inlineStr">
        <is>
          <t>Esteban Polanco Navarro</t>
        </is>
      </c>
      <c r="C129" s="21" t="inlineStr">
        <is>
          <t>RAM 1500 Long Horn</t>
        </is>
      </c>
      <c r="D129" s="22" t="n">
        <v>48</v>
      </c>
      <c r="E129" s="23">
        <f>Intereses_Leasing_Mensual!I129</f>
        <v/>
      </c>
      <c r="F129" s="23">
        <f>Amortizacion_Capital_Mensual!J129</f>
        <v/>
      </c>
      <c r="G129" s="23">
        <f>Saldos_Capital_Mensual!I129</f>
        <v/>
      </c>
      <c r="H129" s="23">
        <f>Intereses_Residual_Mensual!I129</f>
        <v/>
      </c>
      <c r="I129" s="23">
        <f>ROUND(E129 + H129, 2)</f>
        <v/>
      </c>
      <c r="J129" s="23">
        <f>Intereses_Leasing_Mensual!J129</f>
        <v/>
      </c>
      <c r="K129" s="23">
        <f>Amortizacion_Capital_Mensual!K129</f>
        <v/>
      </c>
      <c r="L129" s="23">
        <f>Saldos_Capital_Mensual!J129</f>
        <v/>
      </c>
      <c r="M129" s="23">
        <f>Intereses_Residual_Mensual!J129</f>
        <v/>
      </c>
      <c r="N129" s="23">
        <f>ROUND(J129 + M129, 2)</f>
        <v/>
      </c>
      <c r="O129" s="23">
        <f>Intereses_Leasing_Mensual!K129</f>
        <v/>
      </c>
      <c r="P129" s="23">
        <f>Amortizacion_Capital_Mensual!L129</f>
        <v/>
      </c>
      <c r="Q129" s="23">
        <f>Saldos_Capital_Mensual!K129</f>
        <v/>
      </c>
      <c r="R129" s="23">
        <f>Intereses_Residual_Mensual!K129</f>
        <v/>
      </c>
      <c r="S129" s="23">
        <f>ROUND(O129 + R129, 2)</f>
        <v/>
      </c>
      <c r="T129" s="23">
        <f>Intereses_Leasing_Mensual!L129</f>
        <v/>
      </c>
      <c r="U129" s="23">
        <f>Amortizacion_Capital_Mensual!M129</f>
        <v/>
      </c>
      <c r="V129" s="23">
        <f>Saldos_Capital_Mensual!L129</f>
        <v/>
      </c>
      <c r="W129" s="23">
        <f>Intereses_Residual_Mensual!L129</f>
        <v/>
      </c>
      <c r="X129" s="23">
        <f>ROUND(T129 + W129, 2)</f>
        <v/>
      </c>
      <c r="Y129" s="23">
        <f>Intereses_Leasing_Mensual!M129</f>
        <v/>
      </c>
      <c r="Z129" s="23">
        <f>Amortizacion_Capital_Mensual!N129</f>
        <v/>
      </c>
      <c r="AA129" s="23">
        <f>Saldos_Capital_Mensual!M129</f>
        <v/>
      </c>
      <c r="AB129" s="23">
        <f>Intereses_Residual_Mensual!M129</f>
        <v/>
      </c>
      <c r="AC129" s="23">
        <f>ROUND(Y129 + AB129, 2)</f>
        <v/>
      </c>
      <c r="AD129" s="23">
        <f>Intereses_Leasing_Mensual!N129</f>
        <v/>
      </c>
      <c r="AE129" s="23">
        <f>Amortizacion_Capital_Mensual!O129</f>
        <v/>
      </c>
      <c r="AF129" s="23">
        <f>Saldos_Capital_Mensual!N129</f>
        <v/>
      </c>
      <c r="AG129" s="23">
        <f>Intereses_Residual_Mensual!N129</f>
        <v/>
      </c>
      <c r="AH129" s="23">
        <f>ROUND(AD129 + AG129, 2)</f>
        <v/>
      </c>
      <c r="AI129" s="23">
        <f>Intereses_Leasing_Mensual!O129</f>
        <v/>
      </c>
      <c r="AJ129" s="23">
        <f>Amortizacion_Capital_Mensual!P129</f>
        <v/>
      </c>
      <c r="AK129" s="23">
        <f>Saldos_Capital_Mensual!O129</f>
        <v/>
      </c>
      <c r="AL129" s="23">
        <f>Intereses_Residual_Mensual!O129</f>
        <v/>
      </c>
      <c r="AM129" s="23">
        <f>ROUND(AI129 + AL129, 2)</f>
        <v/>
      </c>
      <c r="AN129" s="23">
        <f>Intereses_Leasing_Mensual!P129</f>
        <v/>
      </c>
      <c r="AO129" s="23">
        <f>Amortizacion_Capital_Mensual!Q129</f>
        <v/>
      </c>
      <c r="AP129" s="23">
        <f>Saldos_Capital_Mensual!P129</f>
        <v/>
      </c>
      <c r="AQ129" s="23">
        <f>Intereses_Residual_Mensual!P129</f>
        <v/>
      </c>
      <c r="AR129" s="23">
        <f>ROUND(AN129 + AQ129, 2)</f>
        <v/>
      </c>
      <c r="AS129" s="23">
        <f>Intereses_Leasing_Mensual!Q129</f>
        <v/>
      </c>
      <c r="AT129" s="23">
        <f>Amortizacion_Capital_Mensual!R129</f>
        <v/>
      </c>
      <c r="AU129" s="23">
        <f>Saldos_Capital_Mensual!Q129</f>
        <v/>
      </c>
      <c r="AV129" s="23">
        <f>Intereses_Residual_Mensual!Q129</f>
        <v/>
      </c>
      <c r="AW129" s="23">
        <f>ROUND(AS129 + AV129, 2)</f>
        <v/>
      </c>
      <c r="AX129" s="23">
        <f>Intereses_Leasing_Mensual!R129</f>
        <v/>
      </c>
      <c r="AY129" s="23">
        <f>Amortizacion_Capital_Mensual!S129</f>
        <v/>
      </c>
      <c r="AZ129" s="23">
        <f>Saldos_Capital_Mensual!R129</f>
        <v/>
      </c>
      <c r="BA129" s="23">
        <f>Intereses_Residual_Mensual!R129</f>
        <v/>
      </c>
      <c r="BB129" s="23">
        <f>ROUND(AX129 + BA129, 2)</f>
        <v/>
      </c>
      <c r="BC129" s="23">
        <f>Intereses_Leasing_Mensual!S129</f>
        <v/>
      </c>
      <c r="BD129" s="23">
        <f>Amortizacion_Capital_Mensual!T129</f>
        <v/>
      </c>
      <c r="BE129" s="23">
        <f>Saldos_Capital_Mensual!S129</f>
        <v/>
      </c>
      <c r="BF129" s="23">
        <f>Intereses_Residual_Mensual!S129</f>
        <v/>
      </c>
      <c r="BG129" s="23">
        <f>ROUND(BC129 + BF129, 2)</f>
        <v/>
      </c>
      <c r="BH129" s="23">
        <f>Intereses_Leasing_Mensual!T129</f>
        <v/>
      </c>
      <c r="BI129" s="23">
        <f>Amortizacion_Capital_Mensual!U129</f>
        <v/>
      </c>
      <c r="BJ129" s="23">
        <f>Saldos_Capital_Mensual!T129</f>
        <v/>
      </c>
      <c r="BK129" s="23">
        <f>Intereses_Residual_Mensual!T129</f>
        <v/>
      </c>
      <c r="BL129" s="23">
        <f>ROUND(BH129 + BK129, 2)</f>
        <v/>
      </c>
    </row>
    <row r="130">
      <c r="A130" s="26" t="inlineStr">
        <is>
          <t>0660-0001</t>
        </is>
      </c>
      <c r="B130" s="27" t="inlineStr">
        <is>
          <t>Big Buck Capital sc</t>
        </is>
      </c>
      <c r="C130" s="27" t="inlineStr">
        <is>
          <t>MG 5</t>
        </is>
      </c>
      <c r="D130" s="28" t="n">
        <v>48</v>
      </c>
      <c r="E130" s="29">
        <f>Intereses_Leasing_Mensual!I130</f>
        <v/>
      </c>
      <c r="F130" s="29">
        <f>Amortizacion_Capital_Mensual!J130</f>
        <v/>
      </c>
      <c r="G130" s="29">
        <f>Saldos_Capital_Mensual!I130</f>
        <v/>
      </c>
      <c r="H130" s="29">
        <f>Intereses_Residual_Mensual!I130</f>
        <v/>
      </c>
      <c r="I130" s="29">
        <f>ROUND(E130 + H130, 2)</f>
        <v/>
      </c>
      <c r="J130" s="29">
        <f>Intereses_Leasing_Mensual!J130</f>
        <v/>
      </c>
      <c r="K130" s="29">
        <f>Amortizacion_Capital_Mensual!K130</f>
        <v/>
      </c>
      <c r="L130" s="29">
        <f>Saldos_Capital_Mensual!J130</f>
        <v/>
      </c>
      <c r="M130" s="29">
        <f>Intereses_Residual_Mensual!J130</f>
        <v/>
      </c>
      <c r="N130" s="29">
        <f>ROUND(J130 + M130, 2)</f>
        <v/>
      </c>
      <c r="O130" s="29">
        <f>Intereses_Leasing_Mensual!K130</f>
        <v/>
      </c>
      <c r="P130" s="29">
        <f>Amortizacion_Capital_Mensual!L130</f>
        <v/>
      </c>
      <c r="Q130" s="29">
        <f>Saldos_Capital_Mensual!K130</f>
        <v/>
      </c>
      <c r="R130" s="29">
        <f>Intereses_Residual_Mensual!K130</f>
        <v/>
      </c>
      <c r="S130" s="29">
        <f>ROUND(O130 + R130, 2)</f>
        <v/>
      </c>
      <c r="T130" s="29">
        <f>Intereses_Leasing_Mensual!L130</f>
        <v/>
      </c>
      <c r="U130" s="29">
        <f>Amortizacion_Capital_Mensual!M130</f>
        <v/>
      </c>
      <c r="V130" s="29">
        <f>Saldos_Capital_Mensual!L130</f>
        <v/>
      </c>
      <c r="W130" s="29">
        <f>Intereses_Residual_Mensual!L130</f>
        <v/>
      </c>
      <c r="X130" s="29">
        <f>ROUND(T130 + W130, 2)</f>
        <v/>
      </c>
      <c r="Y130" s="29">
        <f>Intereses_Leasing_Mensual!M130</f>
        <v/>
      </c>
      <c r="Z130" s="29">
        <f>Amortizacion_Capital_Mensual!N130</f>
        <v/>
      </c>
      <c r="AA130" s="29">
        <f>Saldos_Capital_Mensual!M130</f>
        <v/>
      </c>
      <c r="AB130" s="29">
        <f>Intereses_Residual_Mensual!M130</f>
        <v/>
      </c>
      <c r="AC130" s="29">
        <f>ROUND(Y130 + AB130, 2)</f>
        <v/>
      </c>
      <c r="AD130" s="29">
        <f>Intereses_Leasing_Mensual!N130</f>
        <v/>
      </c>
      <c r="AE130" s="29">
        <f>Amortizacion_Capital_Mensual!O130</f>
        <v/>
      </c>
      <c r="AF130" s="29">
        <f>Saldos_Capital_Mensual!N130</f>
        <v/>
      </c>
      <c r="AG130" s="29">
        <f>Intereses_Residual_Mensual!N130</f>
        <v/>
      </c>
      <c r="AH130" s="29">
        <f>ROUND(AD130 + AG130, 2)</f>
        <v/>
      </c>
      <c r="AI130" s="29">
        <f>Intereses_Leasing_Mensual!O130</f>
        <v/>
      </c>
      <c r="AJ130" s="29">
        <f>Amortizacion_Capital_Mensual!P130</f>
        <v/>
      </c>
      <c r="AK130" s="29">
        <f>Saldos_Capital_Mensual!O130</f>
        <v/>
      </c>
      <c r="AL130" s="29">
        <f>Intereses_Residual_Mensual!O130</f>
        <v/>
      </c>
      <c r="AM130" s="29">
        <f>ROUND(AI130 + AL130, 2)</f>
        <v/>
      </c>
      <c r="AN130" s="29">
        <f>Intereses_Leasing_Mensual!P130</f>
        <v/>
      </c>
      <c r="AO130" s="29">
        <f>Amortizacion_Capital_Mensual!Q130</f>
        <v/>
      </c>
      <c r="AP130" s="29">
        <f>Saldos_Capital_Mensual!P130</f>
        <v/>
      </c>
      <c r="AQ130" s="29">
        <f>Intereses_Residual_Mensual!P130</f>
        <v/>
      </c>
      <c r="AR130" s="29">
        <f>ROUND(AN130 + AQ130, 2)</f>
        <v/>
      </c>
      <c r="AS130" s="29">
        <f>Intereses_Leasing_Mensual!Q130</f>
        <v/>
      </c>
      <c r="AT130" s="29">
        <f>Amortizacion_Capital_Mensual!R130</f>
        <v/>
      </c>
      <c r="AU130" s="29">
        <f>Saldos_Capital_Mensual!Q130</f>
        <v/>
      </c>
      <c r="AV130" s="29">
        <f>Intereses_Residual_Mensual!Q130</f>
        <v/>
      </c>
      <c r="AW130" s="29">
        <f>ROUND(AS130 + AV130, 2)</f>
        <v/>
      </c>
      <c r="AX130" s="29">
        <f>Intereses_Leasing_Mensual!R130</f>
        <v/>
      </c>
      <c r="AY130" s="29">
        <f>Amortizacion_Capital_Mensual!S130</f>
        <v/>
      </c>
      <c r="AZ130" s="29">
        <f>Saldos_Capital_Mensual!R130</f>
        <v/>
      </c>
      <c r="BA130" s="29">
        <f>Intereses_Residual_Mensual!R130</f>
        <v/>
      </c>
      <c r="BB130" s="29">
        <f>ROUND(AX130 + BA130, 2)</f>
        <v/>
      </c>
      <c r="BC130" s="29">
        <f>Intereses_Leasing_Mensual!S130</f>
        <v/>
      </c>
      <c r="BD130" s="29">
        <f>Amortizacion_Capital_Mensual!T130</f>
        <v/>
      </c>
      <c r="BE130" s="29">
        <f>Saldos_Capital_Mensual!S130</f>
        <v/>
      </c>
      <c r="BF130" s="29">
        <f>Intereses_Residual_Mensual!S130</f>
        <v/>
      </c>
      <c r="BG130" s="29">
        <f>ROUND(BC130 + BF130, 2)</f>
        <v/>
      </c>
      <c r="BH130" s="29">
        <f>Intereses_Leasing_Mensual!T130</f>
        <v/>
      </c>
      <c r="BI130" s="29">
        <f>Amortizacion_Capital_Mensual!U130</f>
        <v/>
      </c>
      <c r="BJ130" s="29">
        <f>Saldos_Capital_Mensual!T130</f>
        <v/>
      </c>
      <c r="BK130" s="29">
        <f>Intereses_Residual_Mensual!T130</f>
        <v/>
      </c>
      <c r="BL130" s="29">
        <f>ROUND(BH130 + BK130, 2)</f>
        <v/>
      </c>
    </row>
    <row r="131">
      <c r="A131" s="20" t="inlineStr">
        <is>
          <t>0660-0002</t>
        </is>
      </c>
      <c r="B131" s="21" t="inlineStr">
        <is>
          <t>Big Buck Capital Sc</t>
        </is>
      </c>
      <c r="C131" s="21" t="inlineStr">
        <is>
          <t>Sienna</t>
        </is>
      </c>
      <c r="D131" s="22" t="n">
        <v>48</v>
      </c>
      <c r="E131" s="23">
        <f>Intereses_Leasing_Mensual!I131</f>
        <v/>
      </c>
      <c r="F131" s="23">
        <f>Amortizacion_Capital_Mensual!J131</f>
        <v/>
      </c>
      <c r="G131" s="23">
        <f>Saldos_Capital_Mensual!I131</f>
        <v/>
      </c>
      <c r="H131" s="23">
        <f>Intereses_Residual_Mensual!I131</f>
        <v/>
      </c>
      <c r="I131" s="23">
        <f>ROUND(E131 + H131, 2)</f>
        <v/>
      </c>
      <c r="J131" s="23">
        <f>Intereses_Leasing_Mensual!J131</f>
        <v/>
      </c>
      <c r="K131" s="23">
        <f>Amortizacion_Capital_Mensual!K131</f>
        <v/>
      </c>
      <c r="L131" s="23">
        <f>Saldos_Capital_Mensual!J131</f>
        <v/>
      </c>
      <c r="M131" s="23">
        <f>Intereses_Residual_Mensual!J131</f>
        <v/>
      </c>
      <c r="N131" s="23">
        <f>ROUND(J131 + M131, 2)</f>
        <v/>
      </c>
      <c r="O131" s="23">
        <f>Intereses_Leasing_Mensual!K131</f>
        <v/>
      </c>
      <c r="P131" s="23">
        <f>Amortizacion_Capital_Mensual!L131</f>
        <v/>
      </c>
      <c r="Q131" s="23">
        <f>Saldos_Capital_Mensual!K131</f>
        <v/>
      </c>
      <c r="R131" s="23">
        <f>Intereses_Residual_Mensual!K131</f>
        <v/>
      </c>
      <c r="S131" s="23">
        <f>ROUND(O131 + R131, 2)</f>
        <v/>
      </c>
      <c r="T131" s="23">
        <f>Intereses_Leasing_Mensual!L131</f>
        <v/>
      </c>
      <c r="U131" s="23">
        <f>Amortizacion_Capital_Mensual!M131</f>
        <v/>
      </c>
      <c r="V131" s="23">
        <f>Saldos_Capital_Mensual!L131</f>
        <v/>
      </c>
      <c r="W131" s="23">
        <f>Intereses_Residual_Mensual!L131</f>
        <v/>
      </c>
      <c r="X131" s="23">
        <f>ROUND(T131 + W131, 2)</f>
        <v/>
      </c>
      <c r="Y131" s="23">
        <f>Intereses_Leasing_Mensual!M131</f>
        <v/>
      </c>
      <c r="Z131" s="23">
        <f>Amortizacion_Capital_Mensual!N131</f>
        <v/>
      </c>
      <c r="AA131" s="23">
        <f>Saldos_Capital_Mensual!M131</f>
        <v/>
      </c>
      <c r="AB131" s="23">
        <f>Intereses_Residual_Mensual!M131</f>
        <v/>
      </c>
      <c r="AC131" s="23">
        <f>ROUND(Y131 + AB131, 2)</f>
        <v/>
      </c>
      <c r="AD131" s="23">
        <f>Intereses_Leasing_Mensual!N131</f>
        <v/>
      </c>
      <c r="AE131" s="23">
        <f>Amortizacion_Capital_Mensual!O131</f>
        <v/>
      </c>
      <c r="AF131" s="23">
        <f>Saldos_Capital_Mensual!N131</f>
        <v/>
      </c>
      <c r="AG131" s="23">
        <f>Intereses_Residual_Mensual!N131</f>
        <v/>
      </c>
      <c r="AH131" s="23">
        <f>ROUND(AD131 + AG131, 2)</f>
        <v/>
      </c>
      <c r="AI131" s="23">
        <f>Intereses_Leasing_Mensual!O131</f>
        <v/>
      </c>
      <c r="AJ131" s="23">
        <f>Amortizacion_Capital_Mensual!P131</f>
        <v/>
      </c>
      <c r="AK131" s="23">
        <f>Saldos_Capital_Mensual!O131</f>
        <v/>
      </c>
      <c r="AL131" s="23">
        <f>Intereses_Residual_Mensual!O131</f>
        <v/>
      </c>
      <c r="AM131" s="23">
        <f>ROUND(AI131 + AL131, 2)</f>
        <v/>
      </c>
      <c r="AN131" s="23">
        <f>Intereses_Leasing_Mensual!P131</f>
        <v/>
      </c>
      <c r="AO131" s="23">
        <f>Amortizacion_Capital_Mensual!Q131</f>
        <v/>
      </c>
      <c r="AP131" s="23">
        <f>Saldos_Capital_Mensual!P131</f>
        <v/>
      </c>
      <c r="AQ131" s="23">
        <f>Intereses_Residual_Mensual!P131</f>
        <v/>
      </c>
      <c r="AR131" s="23">
        <f>ROUND(AN131 + AQ131, 2)</f>
        <v/>
      </c>
      <c r="AS131" s="23">
        <f>Intereses_Leasing_Mensual!Q131</f>
        <v/>
      </c>
      <c r="AT131" s="23">
        <f>Amortizacion_Capital_Mensual!R131</f>
        <v/>
      </c>
      <c r="AU131" s="23">
        <f>Saldos_Capital_Mensual!Q131</f>
        <v/>
      </c>
      <c r="AV131" s="23">
        <f>Intereses_Residual_Mensual!Q131</f>
        <v/>
      </c>
      <c r="AW131" s="23">
        <f>ROUND(AS131 + AV131, 2)</f>
        <v/>
      </c>
      <c r="AX131" s="23">
        <f>Intereses_Leasing_Mensual!R131</f>
        <v/>
      </c>
      <c r="AY131" s="23">
        <f>Amortizacion_Capital_Mensual!S131</f>
        <v/>
      </c>
      <c r="AZ131" s="23">
        <f>Saldos_Capital_Mensual!R131</f>
        <v/>
      </c>
      <c r="BA131" s="23">
        <f>Intereses_Residual_Mensual!R131</f>
        <v/>
      </c>
      <c r="BB131" s="23">
        <f>ROUND(AX131 + BA131, 2)</f>
        <v/>
      </c>
      <c r="BC131" s="23">
        <f>Intereses_Leasing_Mensual!S131</f>
        <v/>
      </c>
      <c r="BD131" s="23">
        <f>Amortizacion_Capital_Mensual!T131</f>
        <v/>
      </c>
      <c r="BE131" s="23">
        <f>Saldos_Capital_Mensual!S131</f>
        <v/>
      </c>
      <c r="BF131" s="23">
        <f>Intereses_Residual_Mensual!S131</f>
        <v/>
      </c>
      <c r="BG131" s="23">
        <f>ROUND(BC131 + BF131, 2)</f>
        <v/>
      </c>
      <c r="BH131" s="23">
        <f>Intereses_Leasing_Mensual!T131</f>
        <v/>
      </c>
      <c r="BI131" s="23">
        <f>Amortizacion_Capital_Mensual!U131</f>
        <v/>
      </c>
      <c r="BJ131" s="23">
        <f>Saldos_Capital_Mensual!T131</f>
        <v/>
      </c>
      <c r="BK131" s="23">
        <f>Intereses_Residual_Mensual!T131</f>
        <v/>
      </c>
      <c r="BL131" s="23">
        <f>ROUND(BH131 + BK131, 2)</f>
        <v/>
      </c>
    </row>
    <row r="132">
      <c r="A132" s="26" t="inlineStr">
        <is>
          <t>0661-0001</t>
        </is>
      </c>
      <c r="B132" s="27" t="inlineStr">
        <is>
          <t>Veta Vertical Home Sa de Cv</t>
        </is>
      </c>
      <c r="C132" s="27" t="inlineStr">
        <is>
          <t>3008 Allure Pack</t>
        </is>
      </c>
      <c r="D132" s="28" t="n">
        <v>48</v>
      </c>
      <c r="E132" s="29">
        <f>Intereses_Leasing_Mensual!I132</f>
        <v/>
      </c>
      <c r="F132" s="29">
        <f>Amortizacion_Capital_Mensual!J132</f>
        <v/>
      </c>
      <c r="G132" s="29">
        <f>Saldos_Capital_Mensual!I132</f>
        <v/>
      </c>
      <c r="H132" s="29">
        <f>Intereses_Residual_Mensual!I132</f>
        <v/>
      </c>
      <c r="I132" s="29">
        <f>ROUND(E132 + H132, 2)</f>
        <v/>
      </c>
      <c r="J132" s="29">
        <f>Intereses_Leasing_Mensual!J132</f>
        <v/>
      </c>
      <c r="K132" s="29">
        <f>Amortizacion_Capital_Mensual!K132</f>
        <v/>
      </c>
      <c r="L132" s="29">
        <f>Saldos_Capital_Mensual!J132</f>
        <v/>
      </c>
      <c r="M132" s="29">
        <f>Intereses_Residual_Mensual!J132</f>
        <v/>
      </c>
      <c r="N132" s="29">
        <f>ROUND(J132 + M132, 2)</f>
        <v/>
      </c>
      <c r="O132" s="29">
        <f>Intereses_Leasing_Mensual!K132</f>
        <v/>
      </c>
      <c r="P132" s="29">
        <f>Amortizacion_Capital_Mensual!L132</f>
        <v/>
      </c>
      <c r="Q132" s="29">
        <f>Saldos_Capital_Mensual!K132</f>
        <v/>
      </c>
      <c r="R132" s="29">
        <f>Intereses_Residual_Mensual!K132</f>
        <v/>
      </c>
      <c r="S132" s="29">
        <f>ROUND(O132 + R132, 2)</f>
        <v/>
      </c>
      <c r="T132" s="29">
        <f>Intereses_Leasing_Mensual!L132</f>
        <v/>
      </c>
      <c r="U132" s="29">
        <f>Amortizacion_Capital_Mensual!M132</f>
        <v/>
      </c>
      <c r="V132" s="29">
        <f>Saldos_Capital_Mensual!L132</f>
        <v/>
      </c>
      <c r="W132" s="29">
        <f>Intereses_Residual_Mensual!L132</f>
        <v/>
      </c>
      <c r="X132" s="29">
        <f>ROUND(T132 + W132, 2)</f>
        <v/>
      </c>
      <c r="Y132" s="29">
        <f>Intereses_Leasing_Mensual!M132</f>
        <v/>
      </c>
      <c r="Z132" s="29">
        <f>Amortizacion_Capital_Mensual!N132</f>
        <v/>
      </c>
      <c r="AA132" s="29">
        <f>Saldos_Capital_Mensual!M132</f>
        <v/>
      </c>
      <c r="AB132" s="29">
        <f>Intereses_Residual_Mensual!M132</f>
        <v/>
      </c>
      <c r="AC132" s="29">
        <f>ROUND(Y132 + AB132, 2)</f>
        <v/>
      </c>
      <c r="AD132" s="29">
        <f>Intereses_Leasing_Mensual!N132</f>
        <v/>
      </c>
      <c r="AE132" s="29">
        <f>Amortizacion_Capital_Mensual!O132</f>
        <v/>
      </c>
      <c r="AF132" s="29">
        <f>Saldos_Capital_Mensual!N132</f>
        <v/>
      </c>
      <c r="AG132" s="29">
        <f>Intereses_Residual_Mensual!N132</f>
        <v/>
      </c>
      <c r="AH132" s="29">
        <f>ROUND(AD132 + AG132, 2)</f>
        <v/>
      </c>
      <c r="AI132" s="29">
        <f>Intereses_Leasing_Mensual!O132</f>
        <v/>
      </c>
      <c r="AJ132" s="29">
        <f>Amortizacion_Capital_Mensual!P132</f>
        <v/>
      </c>
      <c r="AK132" s="29">
        <f>Saldos_Capital_Mensual!O132</f>
        <v/>
      </c>
      <c r="AL132" s="29">
        <f>Intereses_Residual_Mensual!O132</f>
        <v/>
      </c>
      <c r="AM132" s="29">
        <f>ROUND(AI132 + AL132, 2)</f>
        <v/>
      </c>
      <c r="AN132" s="29">
        <f>Intereses_Leasing_Mensual!P132</f>
        <v/>
      </c>
      <c r="AO132" s="29">
        <f>Amortizacion_Capital_Mensual!Q132</f>
        <v/>
      </c>
      <c r="AP132" s="29">
        <f>Saldos_Capital_Mensual!P132</f>
        <v/>
      </c>
      <c r="AQ132" s="29">
        <f>Intereses_Residual_Mensual!P132</f>
        <v/>
      </c>
      <c r="AR132" s="29">
        <f>ROUND(AN132 + AQ132, 2)</f>
        <v/>
      </c>
      <c r="AS132" s="29">
        <f>Intereses_Leasing_Mensual!Q132</f>
        <v/>
      </c>
      <c r="AT132" s="29">
        <f>Amortizacion_Capital_Mensual!R132</f>
        <v/>
      </c>
      <c r="AU132" s="29">
        <f>Saldos_Capital_Mensual!Q132</f>
        <v/>
      </c>
      <c r="AV132" s="29">
        <f>Intereses_Residual_Mensual!Q132</f>
        <v/>
      </c>
      <c r="AW132" s="29">
        <f>ROUND(AS132 + AV132, 2)</f>
        <v/>
      </c>
      <c r="AX132" s="29">
        <f>Intereses_Leasing_Mensual!R132</f>
        <v/>
      </c>
      <c r="AY132" s="29">
        <f>Amortizacion_Capital_Mensual!S132</f>
        <v/>
      </c>
      <c r="AZ132" s="29">
        <f>Saldos_Capital_Mensual!R132</f>
        <v/>
      </c>
      <c r="BA132" s="29">
        <f>Intereses_Residual_Mensual!R132</f>
        <v/>
      </c>
      <c r="BB132" s="29">
        <f>ROUND(AX132 + BA132, 2)</f>
        <v/>
      </c>
      <c r="BC132" s="29">
        <f>Intereses_Leasing_Mensual!S132</f>
        <v/>
      </c>
      <c r="BD132" s="29">
        <f>Amortizacion_Capital_Mensual!T132</f>
        <v/>
      </c>
      <c r="BE132" s="29">
        <f>Saldos_Capital_Mensual!S132</f>
        <v/>
      </c>
      <c r="BF132" s="29">
        <f>Intereses_Residual_Mensual!S132</f>
        <v/>
      </c>
      <c r="BG132" s="29">
        <f>ROUND(BC132 + BF132, 2)</f>
        <v/>
      </c>
      <c r="BH132" s="29">
        <f>Intereses_Leasing_Mensual!T132</f>
        <v/>
      </c>
      <c r="BI132" s="29">
        <f>Amortizacion_Capital_Mensual!U132</f>
        <v/>
      </c>
      <c r="BJ132" s="29">
        <f>Saldos_Capital_Mensual!T132</f>
        <v/>
      </c>
      <c r="BK132" s="29">
        <f>Intereses_Residual_Mensual!T132</f>
        <v/>
      </c>
      <c r="BL132" s="29">
        <f>ROUND(BH132 + BK132, 2)</f>
        <v/>
      </c>
    </row>
    <row r="133">
      <c r="A133" s="20" t="inlineStr">
        <is>
          <t>0662-0001</t>
        </is>
      </c>
      <c r="B133" s="21" t="inlineStr">
        <is>
          <t>Luis Jorge de Loera Perez</t>
        </is>
      </c>
      <c r="C133" s="21" t="inlineStr">
        <is>
          <t>L200 GLX Diesel</t>
        </is>
      </c>
      <c r="D133" s="22" t="n">
        <v>48</v>
      </c>
      <c r="E133" s="23">
        <f>Intereses_Leasing_Mensual!I133</f>
        <v/>
      </c>
      <c r="F133" s="23">
        <f>Amortizacion_Capital_Mensual!J133</f>
        <v/>
      </c>
      <c r="G133" s="23">
        <f>Saldos_Capital_Mensual!I133</f>
        <v/>
      </c>
      <c r="H133" s="23">
        <f>Intereses_Residual_Mensual!I133</f>
        <v/>
      </c>
      <c r="I133" s="23">
        <f>ROUND(E133 + H133, 2)</f>
        <v/>
      </c>
      <c r="J133" s="23">
        <f>Intereses_Leasing_Mensual!J133</f>
        <v/>
      </c>
      <c r="K133" s="23">
        <f>Amortizacion_Capital_Mensual!K133</f>
        <v/>
      </c>
      <c r="L133" s="23">
        <f>Saldos_Capital_Mensual!J133</f>
        <v/>
      </c>
      <c r="M133" s="23">
        <f>Intereses_Residual_Mensual!J133</f>
        <v/>
      </c>
      <c r="N133" s="23">
        <f>ROUND(J133 + M133, 2)</f>
        <v/>
      </c>
      <c r="O133" s="23">
        <f>Intereses_Leasing_Mensual!K133</f>
        <v/>
      </c>
      <c r="P133" s="23">
        <f>Amortizacion_Capital_Mensual!L133</f>
        <v/>
      </c>
      <c r="Q133" s="23">
        <f>Saldos_Capital_Mensual!K133</f>
        <v/>
      </c>
      <c r="R133" s="23">
        <f>Intereses_Residual_Mensual!K133</f>
        <v/>
      </c>
      <c r="S133" s="23">
        <f>ROUND(O133 + R133, 2)</f>
        <v/>
      </c>
      <c r="T133" s="23">
        <f>Intereses_Leasing_Mensual!L133</f>
        <v/>
      </c>
      <c r="U133" s="23">
        <f>Amortizacion_Capital_Mensual!M133</f>
        <v/>
      </c>
      <c r="V133" s="23">
        <f>Saldos_Capital_Mensual!L133</f>
        <v/>
      </c>
      <c r="W133" s="23">
        <f>Intereses_Residual_Mensual!L133</f>
        <v/>
      </c>
      <c r="X133" s="23">
        <f>ROUND(T133 + W133, 2)</f>
        <v/>
      </c>
      <c r="Y133" s="23">
        <f>Intereses_Leasing_Mensual!M133</f>
        <v/>
      </c>
      <c r="Z133" s="23">
        <f>Amortizacion_Capital_Mensual!N133</f>
        <v/>
      </c>
      <c r="AA133" s="23">
        <f>Saldos_Capital_Mensual!M133</f>
        <v/>
      </c>
      <c r="AB133" s="23">
        <f>Intereses_Residual_Mensual!M133</f>
        <v/>
      </c>
      <c r="AC133" s="23">
        <f>ROUND(Y133 + AB133, 2)</f>
        <v/>
      </c>
      <c r="AD133" s="23">
        <f>Intereses_Leasing_Mensual!N133</f>
        <v/>
      </c>
      <c r="AE133" s="23">
        <f>Amortizacion_Capital_Mensual!O133</f>
        <v/>
      </c>
      <c r="AF133" s="23">
        <f>Saldos_Capital_Mensual!N133</f>
        <v/>
      </c>
      <c r="AG133" s="23">
        <f>Intereses_Residual_Mensual!N133</f>
        <v/>
      </c>
      <c r="AH133" s="23">
        <f>ROUND(AD133 + AG133, 2)</f>
        <v/>
      </c>
      <c r="AI133" s="23">
        <f>Intereses_Leasing_Mensual!O133</f>
        <v/>
      </c>
      <c r="AJ133" s="23">
        <f>Amortizacion_Capital_Mensual!P133</f>
        <v/>
      </c>
      <c r="AK133" s="23">
        <f>Saldos_Capital_Mensual!O133</f>
        <v/>
      </c>
      <c r="AL133" s="23">
        <f>Intereses_Residual_Mensual!O133</f>
        <v/>
      </c>
      <c r="AM133" s="23">
        <f>ROUND(AI133 + AL133, 2)</f>
        <v/>
      </c>
      <c r="AN133" s="23">
        <f>Intereses_Leasing_Mensual!P133</f>
        <v/>
      </c>
      <c r="AO133" s="23">
        <f>Amortizacion_Capital_Mensual!Q133</f>
        <v/>
      </c>
      <c r="AP133" s="23">
        <f>Saldos_Capital_Mensual!P133</f>
        <v/>
      </c>
      <c r="AQ133" s="23">
        <f>Intereses_Residual_Mensual!P133</f>
        <v/>
      </c>
      <c r="AR133" s="23">
        <f>ROUND(AN133 + AQ133, 2)</f>
        <v/>
      </c>
      <c r="AS133" s="23">
        <f>Intereses_Leasing_Mensual!Q133</f>
        <v/>
      </c>
      <c r="AT133" s="23">
        <f>Amortizacion_Capital_Mensual!R133</f>
        <v/>
      </c>
      <c r="AU133" s="23">
        <f>Saldos_Capital_Mensual!Q133</f>
        <v/>
      </c>
      <c r="AV133" s="23">
        <f>Intereses_Residual_Mensual!Q133</f>
        <v/>
      </c>
      <c r="AW133" s="23">
        <f>ROUND(AS133 + AV133, 2)</f>
        <v/>
      </c>
      <c r="AX133" s="23">
        <f>Intereses_Leasing_Mensual!R133</f>
        <v/>
      </c>
      <c r="AY133" s="23">
        <f>Amortizacion_Capital_Mensual!S133</f>
        <v/>
      </c>
      <c r="AZ133" s="23">
        <f>Saldos_Capital_Mensual!R133</f>
        <v/>
      </c>
      <c r="BA133" s="23">
        <f>Intereses_Residual_Mensual!R133</f>
        <v/>
      </c>
      <c r="BB133" s="23">
        <f>ROUND(AX133 + BA133, 2)</f>
        <v/>
      </c>
      <c r="BC133" s="23">
        <f>Intereses_Leasing_Mensual!S133</f>
        <v/>
      </c>
      <c r="BD133" s="23">
        <f>Amortizacion_Capital_Mensual!T133</f>
        <v/>
      </c>
      <c r="BE133" s="23">
        <f>Saldos_Capital_Mensual!S133</f>
        <v/>
      </c>
      <c r="BF133" s="23">
        <f>Intereses_Residual_Mensual!S133</f>
        <v/>
      </c>
      <c r="BG133" s="23">
        <f>ROUND(BC133 + BF133, 2)</f>
        <v/>
      </c>
      <c r="BH133" s="23">
        <f>Intereses_Leasing_Mensual!T133</f>
        <v/>
      </c>
      <c r="BI133" s="23">
        <f>Amortizacion_Capital_Mensual!U133</f>
        <v/>
      </c>
      <c r="BJ133" s="23">
        <f>Saldos_Capital_Mensual!T133</f>
        <v/>
      </c>
      <c r="BK133" s="23">
        <f>Intereses_Residual_Mensual!T133</f>
        <v/>
      </c>
      <c r="BL133" s="23">
        <f>ROUND(BH133 + BK133, 2)</f>
        <v/>
      </c>
    </row>
    <row r="134">
      <c r="A134" s="26" t="inlineStr">
        <is>
          <t>0662-0002</t>
        </is>
      </c>
      <c r="B134" s="27" t="inlineStr">
        <is>
          <t>Luis Jorge De Loera Perez</t>
        </is>
      </c>
      <c r="C134" s="27" t="inlineStr">
        <is>
          <t>NP 300</t>
        </is>
      </c>
      <c r="D134" s="28" t="n">
        <v>48</v>
      </c>
      <c r="E134" s="29">
        <f>Intereses_Leasing_Mensual!I134</f>
        <v/>
      </c>
      <c r="F134" s="29">
        <f>Amortizacion_Capital_Mensual!J134</f>
        <v/>
      </c>
      <c r="G134" s="29">
        <f>Saldos_Capital_Mensual!I134</f>
        <v/>
      </c>
      <c r="H134" s="29">
        <f>Intereses_Residual_Mensual!I134</f>
        <v/>
      </c>
      <c r="I134" s="29">
        <f>ROUND(E134 + H134, 2)</f>
        <v/>
      </c>
      <c r="J134" s="29">
        <f>Intereses_Leasing_Mensual!J134</f>
        <v/>
      </c>
      <c r="K134" s="29">
        <f>Amortizacion_Capital_Mensual!K134</f>
        <v/>
      </c>
      <c r="L134" s="29">
        <f>Saldos_Capital_Mensual!J134</f>
        <v/>
      </c>
      <c r="M134" s="29">
        <f>Intereses_Residual_Mensual!J134</f>
        <v/>
      </c>
      <c r="N134" s="29">
        <f>ROUND(J134 + M134, 2)</f>
        <v/>
      </c>
      <c r="O134" s="29">
        <f>Intereses_Leasing_Mensual!K134</f>
        <v/>
      </c>
      <c r="P134" s="29">
        <f>Amortizacion_Capital_Mensual!L134</f>
        <v/>
      </c>
      <c r="Q134" s="29">
        <f>Saldos_Capital_Mensual!K134</f>
        <v/>
      </c>
      <c r="R134" s="29">
        <f>Intereses_Residual_Mensual!K134</f>
        <v/>
      </c>
      <c r="S134" s="29">
        <f>ROUND(O134 + R134, 2)</f>
        <v/>
      </c>
      <c r="T134" s="29">
        <f>Intereses_Leasing_Mensual!L134</f>
        <v/>
      </c>
      <c r="U134" s="29">
        <f>Amortizacion_Capital_Mensual!M134</f>
        <v/>
      </c>
      <c r="V134" s="29">
        <f>Saldos_Capital_Mensual!L134</f>
        <v/>
      </c>
      <c r="W134" s="29">
        <f>Intereses_Residual_Mensual!L134</f>
        <v/>
      </c>
      <c r="X134" s="29">
        <f>ROUND(T134 + W134, 2)</f>
        <v/>
      </c>
      <c r="Y134" s="29">
        <f>Intereses_Leasing_Mensual!M134</f>
        <v/>
      </c>
      <c r="Z134" s="29">
        <f>Amortizacion_Capital_Mensual!N134</f>
        <v/>
      </c>
      <c r="AA134" s="29">
        <f>Saldos_Capital_Mensual!M134</f>
        <v/>
      </c>
      <c r="AB134" s="29">
        <f>Intereses_Residual_Mensual!M134</f>
        <v/>
      </c>
      <c r="AC134" s="29">
        <f>ROUND(Y134 + AB134, 2)</f>
        <v/>
      </c>
      <c r="AD134" s="29">
        <f>Intereses_Leasing_Mensual!N134</f>
        <v/>
      </c>
      <c r="AE134" s="29">
        <f>Amortizacion_Capital_Mensual!O134</f>
        <v/>
      </c>
      <c r="AF134" s="29">
        <f>Saldos_Capital_Mensual!N134</f>
        <v/>
      </c>
      <c r="AG134" s="29">
        <f>Intereses_Residual_Mensual!N134</f>
        <v/>
      </c>
      <c r="AH134" s="29">
        <f>ROUND(AD134 + AG134, 2)</f>
        <v/>
      </c>
      <c r="AI134" s="29">
        <f>Intereses_Leasing_Mensual!O134</f>
        <v/>
      </c>
      <c r="AJ134" s="29">
        <f>Amortizacion_Capital_Mensual!P134</f>
        <v/>
      </c>
      <c r="AK134" s="29">
        <f>Saldos_Capital_Mensual!O134</f>
        <v/>
      </c>
      <c r="AL134" s="29">
        <f>Intereses_Residual_Mensual!O134</f>
        <v/>
      </c>
      <c r="AM134" s="29">
        <f>ROUND(AI134 + AL134, 2)</f>
        <v/>
      </c>
      <c r="AN134" s="29">
        <f>Intereses_Leasing_Mensual!P134</f>
        <v/>
      </c>
      <c r="AO134" s="29">
        <f>Amortizacion_Capital_Mensual!Q134</f>
        <v/>
      </c>
      <c r="AP134" s="29">
        <f>Saldos_Capital_Mensual!P134</f>
        <v/>
      </c>
      <c r="AQ134" s="29">
        <f>Intereses_Residual_Mensual!P134</f>
        <v/>
      </c>
      <c r="AR134" s="29">
        <f>ROUND(AN134 + AQ134, 2)</f>
        <v/>
      </c>
      <c r="AS134" s="29">
        <f>Intereses_Leasing_Mensual!Q134</f>
        <v/>
      </c>
      <c r="AT134" s="29">
        <f>Amortizacion_Capital_Mensual!R134</f>
        <v/>
      </c>
      <c r="AU134" s="29">
        <f>Saldos_Capital_Mensual!Q134</f>
        <v/>
      </c>
      <c r="AV134" s="29">
        <f>Intereses_Residual_Mensual!Q134</f>
        <v/>
      </c>
      <c r="AW134" s="29">
        <f>ROUND(AS134 + AV134, 2)</f>
        <v/>
      </c>
      <c r="AX134" s="29">
        <f>Intereses_Leasing_Mensual!R134</f>
        <v/>
      </c>
      <c r="AY134" s="29">
        <f>Amortizacion_Capital_Mensual!S134</f>
        <v/>
      </c>
      <c r="AZ134" s="29">
        <f>Saldos_Capital_Mensual!R134</f>
        <v/>
      </c>
      <c r="BA134" s="29">
        <f>Intereses_Residual_Mensual!R134</f>
        <v/>
      </c>
      <c r="BB134" s="29">
        <f>ROUND(AX134 + BA134, 2)</f>
        <v/>
      </c>
      <c r="BC134" s="29">
        <f>Intereses_Leasing_Mensual!S134</f>
        <v/>
      </c>
      <c r="BD134" s="29">
        <f>Amortizacion_Capital_Mensual!T134</f>
        <v/>
      </c>
      <c r="BE134" s="29">
        <f>Saldos_Capital_Mensual!S134</f>
        <v/>
      </c>
      <c r="BF134" s="29">
        <f>Intereses_Residual_Mensual!S134</f>
        <v/>
      </c>
      <c r="BG134" s="29">
        <f>ROUND(BC134 + BF134, 2)</f>
        <v/>
      </c>
      <c r="BH134" s="29">
        <f>Intereses_Leasing_Mensual!T134</f>
        <v/>
      </c>
      <c r="BI134" s="29">
        <f>Amortizacion_Capital_Mensual!U134</f>
        <v/>
      </c>
      <c r="BJ134" s="29">
        <f>Saldos_Capital_Mensual!T134</f>
        <v/>
      </c>
      <c r="BK134" s="29">
        <f>Intereses_Residual_Mensual!T134</f>
        <v/>
      </c>
      <c r="BL134" s="29">
        <f>ROUND(BH134 + BK134, 2)</f>
        <v/>
      </c>
    </row>
    <row r="135">
      <c r="A135" s="20" t="inlineStr">
        <is>
          <t>0662-0003</t>
        </is>
      </c>
      <c r="B135" s="21" t="inlineStr">
        <is>
          <t>Luis Jorge De Loera Perez</t>
        </is>
      </c>
      <c r="C135" s="21" t="inlineStr">
        <is>
          <t>Rav 4</t>
        </is>
      </c>
      <c r="D135" s="22" t="n">
        <v>48</v>
      </c>
      <c r="E135" s="23">
        <f>Intereses_Leasing_Mensual!I135</f>
        <v/>
      </c>
      <c r="F135" s="23">
        <f>Amortizacion_Capital_Mensual!J135</f>
        <v/>
      </c>
      <c r="G135" s="23">
        <f>Saldos_Capital_Mensual!I135</f>
        <v/>
      </c>
      <c r="H135" s="23">
        <f>Intereses_Residual_Mensual!I135</f>
        <v/>
      </c>
      <c r="I135" s="23">
        <f>ROUND(E135 + H135, 2)</f>
        <v/>
      </c>
      <c r="J135" s="23">
        <f>Intereses_Leasing_Mensual!J135</f>
        <v/>
      </c>
      <c r="K135" s="23">
        <f>Amortizacion_Capital_Mensual!K135</f>
        <v/>
      </c>
      <c r="L135" s="23">
        <f>Saldos_Capital_Mensual!J135</f>
        <v/>
      </c>
      <c r="M135" s="23">
        <f>Intereses_Residual_Mensual!J135</f>
        <v/>
      </c>
      <c r="N135" s="23">
        <f>ROUND(J135 + M135, 2)</f>
        <v/>
      </c>
      <c r="O135" s="23">
        <f>Intereses_Leasing_Mensual!K135</f>
        <v/>
      </c>
      <c r="P135" s="23">
        <f>Amortizacion_Capital_Mensual!L135</f>
        <v/>
      </c>
      <c r="Q135" s="23">
        <f>Saldos_Capital_Mensual!K135</f>
        <v/>
      </c>
      <c r="R135" s="23">
        <f>Intereses_Residual_Mensual!K135</f>
        <v/>
      </c>
      <c r="S135" s="23">
        <f>ROUND(O135 + R135, 2)</f>
        <v/>
      </c>
      <c r="T135" s="23">
        <f>Intereses_Leasing_Mensual!L135</f>
        <v/>
      </c>
      <c r="U135" s="23">
        <f>Amortizacion_Capital_Mensual!M135</f>
        <v/>
      </c>
      <c r="V135" s="23">
        <f>Saldos_Capital_Mensual!L135</f>
        <v/>
      </c>
      <c r="W135" s="23">
        <f>Intereses_Residual_Mensual!L135</f>
        <v/>
      </c>
      <c r="X135" s="23">
        <f>ROUND(T135 + W135, 2)</f>
        <v/>
      </c>
      <c r="Y135" s="23">
        <f>Intereses_Leasing_Mensual!M135</f>
        <v/>
      </c>
      <c r="Z135" s="23">
        <f>Amortizacion_Capital_Mensual!N135</f>
        <v/>
      </c>
      <c r="AA135" s="23">
        <f>Saldos_Capital_Mensual!M135</f>
        <v/>
      </c>
      <c r="AB135" s="23">
        <f>Intereses_Residual_Mensual!M135</f>
        <v/>
      </c>
      <c r="AC135" s="23">
        <f>ROUND(Y135 + AB135, 2)</f>
        <v/>
      </c>
      <c r="AD135" s="23">
        <f>Intereses_Leasing_Mensual!N135</f>
        <v/>
      </c>
      <c r="AE135" s="23">
        <f>Amortizacion_Capital_Mensual!O135</f>
        <v/>
      </c>
      <c r="AF135" s="23">
        <f>Saldos_Capital_Mensual!N135</f>
        <v/>
      </c>
      <c r="AG135" s="23">
        <f>Intereses_Residual_Mensual!N135</f>
        <v/>
      </c>
      <c r="AH135" s="23">
        <f>ROUND(AD135 + AG135, 2)</f>
        <v/>
      </c>
      <c r="AI135" s="23">
        <f>Intereses_Leasing_Mensual!O135</f>
        <v/>
      </c>
      <c r="AJ135" s="23">
        <f>Amortizacion_Capital_Mensual!P135</f>
        <v/>
      </c>
      <c r="AK135" s="23">
        <f>Saldos_Capital_Mensual!O135</f>
        <v/>
      </c>
      <c r="AL135" s="23">
        <f>Intereses_Residual_Mensual!O135</f>
        <v/>
      </c>
      <c r="AM135" s="23">
        <f>ROUND(AI135 + AL135, 2)</f>
        <v/>
      </c>
      <c r="AN135" s="23">
        <f>Intereses_Leasing_Mensual!P135</f>
        <v/>
      </c>
      <c r="AO135" s="23">
        <f>Amortizacion_Capital_Mensual!Q135</f>
        <v/>
      </c>
      <c r="AP135" s="23">
        <f>Saldos_Capital_Mensual!P135</f>
        <v/>
      </c>
      <c r="AQ135" s="23">
        <f>Intereses_Residual_Mensual!P135</f>
        <v/>
      </c>
      <c r="AR135" s="23">
        <f>ROUND(AN135 + AQ135, 2)</f>
        <v/>
      </c>
      <c r="AS135" s="23">
        <f>Intereses_Leasing_Mensual!Q135</f>
        <v/>
      </c>
      <c r="AT135" s="23">
        <f>Amortizacion_Capital_Mensual!R135</f>
        <v/>
      </c>
      <c r="AU135" s="23">
        <f>Saldos_Capital_Mensual!Q135</f>
        <v/>
      </c>
      <c r="AV135" s="23">
        <f>Intereses_Residual_Mensual!Q135</f>
        <v/>
      </c>
      <c r="AW135" s="23">
        <f>ROUND(AS135 + AV135, 2)</f>
        <v/>
      </c>
      <c r="AX135" s="23">
        <f>Intereses_Leasing_Mensual!R135</f>
        <v/>
      </c>
      <c r="AY135" s="23">
        <f>Amortizacion_Capital_Mensual!S135</f>
        <v/>
      </c>
      <c r="AZ135" s="23">
        <f>Saldos_Capital_Mensual!R135</f>
        <v/>
      </c>
      <c r="BA135" s="23">
        <f>Intereses_Residual_Mensual!R135</f>
        <v/>
      </c>
      <c r="BB135" s="23">
        <f>ROUND(AX135 + BA135, 2)</f>
        <v/>
      </c>
      <c r="BC135" s="23">
        <f>Intereses_Leasing_Mensual!S135</f>
        <v/>
      </c>
      <c r="BD135" s="23">
        <f>Amortizacion_Capital_Mensual!T135</f>
        <v/>
      </c>
      <c r="BE135" s="23">
        <f>Saldos_Capital_Mensual!S135</f>
        <v/>
      </c>
      <c r="BF135" s="23">
        <f>Intereses_Residual_Mensual!S135</f>
        <v/>
      </c>
      <c r="BG135" s="23">
        <f>ROUND(BC135 + BF135, 2)</f>
        <v/>
      </c>
      <c r="BH135" s="23">
        <f>Intereses_Leasing_Mensual!T135</f>
        <v/>
      </c>
      <c r="BI135" s="23">
        <f>Amortizacion_Capital_Mensual!U135</f>
        <v/>
      </c>
      <c r="BJ135" s="23">
        <f>Saldos_Capital_Mensual!T135</f>
        <v/>
      </c>
      <c r="BK135" s="23">
        <f>Intereses_Residual_Mensual!T135</f>
        <v/>
      </c>
      <c r="BL135" s="23">
        <f>ROUND(BH135 + BK135, 2)</f>
        <v/>
      </c>
    </row>
    <row r="136">
      <c r="A136" s="26" t="inlineStr">
        <is>
          <t>0663-0001</t>
        </is>
      </c>
      <c r="B136" s="27" t="inlineStr">
        <is>
          <t>Soluciones de Transporte de Carga B de Sa de Cv</t>
        </is>
      </c>
      <c r="C136" s="27" t="inlineStr">
        <is>
          <t>L200 GLX Diesel</t>
        </is>
      </c>
      <c r="D136" s="28" t="n">
        <v>48</v>
      </c>
      <c r="E136" s="29">
        <f>Intereses_Leasing_Mensual!I136</f>
        <v/>
      </c>
      <c r="F136" s="29">
        <f>Amortizacion_Capital_Mensual!J136</f>
        <v/>
      </c>
      <c r="G136" s="29">
        <f>Saldos_Capital_Mensual!I136</f>
        <v/>
      </c>
      <c r="H136" s="29">
        <f>Intereses_Residual_Mensual!I136</f>
        <v/>
      </c>
      <c r="I136" s="29">
        <f>ROUND(E136 + H136, 2)</f>
        <v/>
      </c>
      <c r="J136" s="29">
        <f>Intereses_Leasing_Mensual!J136</f>
        <v/>
      </c>
      <c r="K136" s="29">
        <f>Amortizacion_Capital_Mensual!K136</f>
        <v/>
      </c>
      <c r="L136" s="29">
        <f>Saldos_Capital_Mensual!J136</f>
        <v/>
      </c>
      <c r="M136" s="29">
        <f>Intereses_Residual_Mensual!J136</f>
        <v/>
      </c>
      <c r="N136" s="29">
        <f>ROUND(J136 + M136, 2)</f>
        <v/>
      </c>
      <c r="O136" s="29">
        <f>Intereses_Leasing_Mensual!K136</f>
        <v/>
      </c>
      <c r="P136" s="29">
        <f>Amortizacion_Capital_Mensual!L136</f>
        <v/>
      </c>
      <c r="Q136" s="29">
        <f>Saldos_Capital_Mensual!K136</f>
        <v/>
      </c>
      <c r="R136" s="29">
        <f>Intereses_Residual_Mensual!K136</f>
        <v/>
      </c>
      <c r="S136" s="29">
        <f>ROUND(O136 + R136, 2)</f>
        <v/>
      </c>
      <c r="T136" s="29">
        <f>Intereses_Leasing_Mensual!L136</f>
        <v/>
      </c>
      <c r="U136" s="29">
        <f>Amortizacion_Capital_Mensual!M136</f>
        <v/>
      </c>
      <c r="V136" s="29">
        <f>Saldos_Capital_Mensual!L136</f>
        <v/>
      </c>
      <c r="W136" s="29">
        <f>Intereses_Residual_Mensual!L136</f>
        <v/>
      </c>
      <c r="X136" s="29">
        <f>ROUND(T136 + W136, 2)</f>
        <v/>
      </c>
      <c r="Y136" s="29">
        <f>Intereses_Leasing_Mensual!M136</f>
        <v/>
      </c>
      <c r="Z136" s="29">
        <f>Amortizacion_Capital_Mensual!N136</f>
        <v/>
      </c>
      <c r="AA136" s="29">
        <f>Saldos_Capital_Mensual!M136</f>
        <v/>
      </c>
      <c r="AB136" s="29">
        <f>Intereses_Residual_Mensual!M136</f>
        <v/>
      </c>
      <c r="AC136" s="29">
        <f>ROUND(Y136 + AB136, 2)</f>
        <v/>
      </c>
      <c r="AD136" s="29">
        <f>Intereses_Leasing_Mensual!N136</f>
        <v/>
      </c>
      <c r="AE136" s="29">
        <f>Amortizacion_Capital_Mensual!O136</f>
        <v/>
      </c>
      <c r="AF136" s="29">
        <f>Saldos_Capital_Mensual!N136</f>
        <v/>
      </c>
      <c r="AG136" s="29">
        <f>Intereses_Residual_Mensual!N136</f>
        <v/>
      </c>
      <c r="AH136" s="29">
        <f>ROUND(AD136 + AG136, 2)</f>
        <v/>
      </c>
      <c r="AI136" s="29">
        <f>Intereses_Leasing_Mensual!O136</f>
        <v/>
      </c>
      <c r="AJ136" s="29">
        <f>Amortizacion_Capital_Mensual!P136</f>
        <v/>
      </c>
      <c r="AK136" s="29">
        <f>Saldos_Capital_Mensual!O136</f>
        <v/>
      </c>
      <c r="AL136" s="29">
        <f>Intereses_Residual_Mensual!O136</f>
        <v/>
      </c>
      <c r="AM136" s="29">
        <f>ROUND(AI136 + AL136, 2)</f>
        <v/>
      </c>
      <c r="AN136" s="29">
        <f>Intereses_Leasing_Mensual!P136</f>
        <v/>
      </c>
      <c r="AO136" s="29">
        <f>Amortizacion_Capital_Mensual!Q136</f>
        <v/>
      </c>
      <c r="AP136" s="29">
        <f>Saldos_Capital_Mensual!P136</f>
        <v/>
      </c>
      <c r="AQ136" s="29">
        <f>Intereses_Residual_Mensual!P136</f>
        <v/>
      </c>
      <c r="AR136" s="29">
        <f>ROUND(AN136 + AQ136, 2)</f>
        <v/>
      </c>
      <c r="AS136" s="29">
        <f>Intereses_Leasing_Mensual!Q136</f>
        <v/>
      </c>
      <c r="AT136" s="29">
        <f>Amortizacion_Capital_Mensual!R136</f>
        <v/>
      </c>
      <c r="AU136" s="29">
        <f>Saldos_Capital_Mensual!Q136</f>
        <v/>
      </c>
      <c r="AV136" s="29">
        <f>Intereses_Residual_Mensual!Q136</f>
        <v/>
      </c>
      <c r="AW136" s="29">
        <f>ROUND(AS136 + AV136, 2)</f>
        <v/>
      </c>
      <c r="AX136" s="29">
        <f>Intereses_Leasing_Mensual!R136</f>
        <v/>
      </c>
      <c r="AY136" s="29">
        <f>Amortizacion_Capital_Mensual!S136</f>
        <v/>
      </c>
      <c r="AZ136" s="29">
        <f>Saldos_Capital_Mensual!R136</f>
        <v/>
      </c>
      <c r="BA136" s="29">
        <f>Intereses_Residual_Mensual!R136</f>
        <v/>
      </c>
      <c r="BB136" s="29">
        <f>ROUND(AX136 + BA136, 2)</f>
        <v/>
      </c>
      <c r="BC136" s="29">
        <f>Intereses_Leasing_Mensual!S136</f>
        <v/>
      </c>
      <c r="BD136" s="29">
        <f>Amortizacion_Capital_Mensual!T136</f>
        <v/>
      </c>
      <c r="BE136" s="29">
        <f>Saldos_Capital_Mensual!S136</f>
        <v/>
      </c>
      <c r="BF136" s="29">
        <f>Intereses_Residual_Mensual!S136</f>
        <v/>
      </c>
      <c r="BG136" s="29">
        <f>ROUND(BC136 + BF136, 2)</f>
        <v/>
      </c>
      <c r="BH136" s="29">
        <f>Intereses_Leasing_Mensual!T136</f>
        <v/>
      </c>
      <c r="BI136" s="29">
        <f>Amortizacion_Capital_Mensual!U136</f>
        <v/>
      </c>
      <c r="BJ136" s="29">
        <f>Saldos_Capital_Mensual!T136</f>
        <v/>
      </c>
      <c r="BK136" s="29">
        <f>Intereses_Residual_Mensual!T136</f>
        <v/>
      </c>
      <c r="BL136" s="29">
        <f>ROUND(BH136 + BK136, 2)</f>
        <v/>
      </c>
    </row>
    <row r="137">
      <c r="A137" s="20" t="inlineStr">
        <is>
          <t>0663-0002</t>
        </is>
      </c>
      <c r="B137" s="21" t="inlineStr">
        <is>
          <t>Diego Hazael Morales Iñiguez</t>
        </is>
      </c>
      <c r="C137" s="21" t="inlineStr">
        <is>
          <t>Wrangler Rubicon</t>
        </is>
      </c>
      <c r="D137" s="22" t="n">
        <v>48</v>
      </c>
      <c r="E137" s="23">
        <f>Intereses_Leasing_Mensual!I137</f>
        <v/>
      </c>
      <c r="F137" s="23">
        <f>Amortizacion_Capital_Mensual!J137</f>
        <v/>
      </c>
      <c r="G137" s="23">
        <f>Saldos_Capital_Mensual!I137</f>
        <v/>
      </c>
      <c r="H137" s="23">
        <f>Intereses_Residual_Mensual!I137</f>
        <v/>
      </c>
      <c r="I137" s="23">
        <f>ROUND(E137 + H137, 2)</f>
        <v/>
      </c>
      <c r="J137" s="23">
        <f>Intereses_Leasing_Mensual!J137</f>
        <v/>
      </c>
      <c r="K137" s="23">
        <f>Amortizacion_Capital_Mensual!K137</f>
        <v/>
      </c>
      <c r="L137" s="23">
        <f>Saldos_Capital_Mensual!J137</f>
        <v/>
      </c>
      <c r="M137" s="23">
        <f>Intereses_Residual_Mensual!J137</f>
        <v/>
      </c>
      <c r="N137" s="23">
        <f>ROUND(J137 + M137, 2)</f>
        <v/>
      </c>
      <c r="O137" s="23">
        <f>Intereses_Leasing_Mensual!K137</f>
        <v/>
      </c>
      <c r="P137" s="23">
        <f>Amortizacion_Capital_Mensual!L137</f>
        <v/>
      </c>
      <c r="Q137" s="23">
        <f>Saldos_Capital_Mensual!K137</f>
        <v/>
      </c>
      <c r="R137" s="23">
        <f>Intereses_Residual_Mensual!K137</f>
        <v/>
      </c>
      <c r="S137" s="23">
        <f>ROUND(O137 + R137, 2)</f>
        <v/>
      </c>
      <c r="T137" s="23">
        <f>Intereses_Leasing_Mensual!L137</f>
        <v/>
      </c>
      <c r="U137" s="23">
        <f>Amortizacion_Capital_Mensual!M137</f>
        <v/>
      </c>
      <c r="V137" s="23">
        <f>Saldos_Capital_Mensual!L137</f>
        <v/>
      </c>
      <c r="W137" s="23">
        <f>Intereses_Residual_Mensual!L137</f>
        <v/>
      </c>
      <c r="X137" s="23">
        <f>ROUND(T137 + W137, 2)</f>
        <v/>
      </c>
      <c r="Y137" s="23">
        <f>Intereses_Leasing_Mensual!M137</f>
        <v/>
      </c>
      <c r="Z137" s="23">
        <f>Amortizacion_Capital_Mensual!N137</f>
        <v/>
      </c>
      <c r="AA137" s="23">
        <f>Saldos_Capital_Mensual!M137</f>
        <v/>
      </c>
      <c r="AB137" s="23">
        <f>Intereses_Residual_Mensual!M137</f>
        <v/>
      </c>
      <c r="AC137" s="23">
        <f>ROUND(Y137 + AB137, 2)</f>
        <v/>
      </c>
      <c r="AD137" s="23">
        <f>Intereses_Leasing_Mensual!N137</f>
        <v/>
      </c>
      <c r="AE137" s="23">
        <f>Amortizacion_Capital_Mensual!O137</f>
        <v/>
      </c>
      <c r="AF137" s="23">
        <f>Saldos_Capital_Mensual!N137</f>
        <v/>
      </c>
      <c r="AG137" s="23">
        <f>Intereses_Residual_Mensual!N137</f>
        <v/>
      </c>
      <c r="AH137" s="23">
        <f>ROUND(AD137 + AG137, 2)</f>
        <v/>
      </c>
      <c r="AI137" s="23">
        <f>Intereses_Leasing_Mensual!O137</f>
        <v/>
      </c>
      <c r="AJ137" s="23">
        <f>Amortizacion_Capital_Mensual!P137</f>
        <v/>
      </c>
      <c r="AK137" s="23">
        <f>Saldos_Capital_Mensual!O137</f>
        <v/>
      </c>
      <c r="AL137" s="23">
        <f>Intereses_Residual_Mensual!O137</f>
        <v/>
      </c>
      <c r="AM137" s="23">
        <f>ROUND(AI137 + AL137, 2)</f>
        <v/>
      </c>
      <c r="AN137" s="23">
        <f>Intereses_Leasing_Mensual!P137</f>
        <v/>
      </c>
      <c r="AO137" s="23">
        <f>Amortizacion_Capital_Mensual!Q137</f>
        <v/>
      </c>
      <c r="AP137" s="23">
        <f>Saldos_Capital_Mensual!P137</f>
        <v/>
      </c>
      <c r="AQ137" s="23">
        <f>Intereses_Residual_Mensual!P137</f>
        <v/>
      </c>
      <c r="AR137" s="23">
        <f>ROUND(AN137 + AQ137, 2)</f>
        <v/>
      </c>
      <c r="AS137" s="23">
        <f>Intereses_Leasing_Mensual!Q137</f>
        <v/>
      </c>
      <c r="AT137" s="23">
        <f>Amortizacion_Capital_Mensual!R137</f>
        <v/>
      </c>
      <c r="AU137" s="23">
        <f>Saldos_Capital_Mensual!Q137</f>
        <v/>
      </c>
      <c r="AV137" s="23">
        <f>Intereses_Residual_Mensual!Q137</f>
        <v/>
      </c>
      <c r="AW137" s="23">
        <f>ROUND(AS137 + AV137, 2)</f>
        <v/>
      </c>
      <c r="AX137" s="23">
        <f>Intereses_Leasing_Mensual!R137</f>
        <v/>
      </c>
      <c r="AY137" s="23">
        <f>Amortizacion_Capital_Mensual!S137</f>
        <v/>
      </c>
      <c r="AZ137" s="23">
        <f>Saldos_Capital_Mensual!R137</f>
        <v/>
      </c>
      <c r="BA137" s="23">
        <f>Intereses_Residual_Mensual!R137</f>
        <v/>
      </c>
      <c r="BB137" s="23">
        <f>ROUND(AX137 + BA137, 2)</f>
        <v/>
      </c>
      <c r="BC137" s="23">
        <f>Intereses_Leasing_Mensual!S137</f>
        <v/>
      </c>
      <c r="BD137" s="23">
        <f>Amortizacion_Capital_Mensual!T137</f>
        <v/>
      </c>
      <c r="BE137" s="23">
        <f>Saldos_Capital_Mensual!S137</f>
        <v/>
      </c>
      <c r="BF137" s="23">
        <f>Intereses_Residual_Mensual!S137</f>
        <v/>
      </c>
      <c r="BG137" s="23">
        <f>ROUND(BC137 + BF137, 2)</f>
        <v/>
      </c>
      <c r="BH137" s="23">
        <f>Intereses_Leasing_Mensual!T137</f>
        <v/>
      </c>
      <c r="BI137" s="23">
        <f>Amortizacion_Capital_Mensual!U137</f>
        <v/>
      </c>
      <c r="BJ137" s="23">
        <f>Saldos_Capital_Mensual!T137</f>
        <v/>
      </c>
      <c r="BK137" s="23">
        <f>Intereses_Residual_Mensual!T137</f>
        <v/>
      </c>
      <c r="BL137" s="23">
        <f>ROUND(BH137 + BK137, 2)</f>
        <v/>
      </c>
    </row>
    <row r="138">
      <c r="A138" s="26" t="inlineStr">
        <is>
          <t>0665-0001</t>
        </is>
      </c>
      <c r="B138" s="27" t="inlineStr">
        <is>
          <t>Dulce Guadalupe Amezcua Gomez</t>
        </is>
      </c>
      <c r="C138" s="27" t="inlineStr">
        <is>
          <t>Wrangler Jt</t>
        </is>
      </c>
      <c r="D138" s="28" t="n">
        <v>48</v>
      </c>
      <c r="E138" s="29">
        <f>Intereses_Leasing_Mensual!I138</f>
        <v/>
      </c>
      <c r="F138" s="29">
        <f>Amortizacion_Capital_Mensual!J138</f>
        <v/>
      </c>
      <c r="G138" s="29">
        <f>Saldos_Capital_Mensual!I138</f>
        <v/>
      </c>
      <c r="H138" s="29">
        <f>Intereses_Residual_Mensual!I138</f>
        <v/>
      </c>
      <c r="I138" s="29">
        <f>ROUND(E138 + H138, 2)</f>
        <v/>
      </c>
      <c r="J138" s="29">
        <f>Intereses_Leasing_Mensual!J138</f>
        <v/>
      </c>
      <c r="K138" s="29">
        <f>Amortizacion_Capital_Mensual!K138</f>
        <v/>
      </c>
      <c r="L138" s="29">
        <f>Saldos_Capital_Mensual!J138</f>
        <v/>
      </c>
      <c r="M138" s="29">
        <f>Intereses_Residual_Mensual!J138</f>
        <v/>
      </c>
      <c r="N138" s="29">
        <f>ROUND(J138 + M138, 2)</f>
        <v/>
      </c>
      <c r="O138" s="29">
        <f>Intereses_Leasing_Mensual!K138</f>
        <v/>
      </c>
      <c r="P138" s="29">
        <f>Amortizacion_Capital_Mensual!L138</f>
        <v/>
      </c>
      <c r="Q138" s="29">
        <f>Saldos_Capital_Mensual!K138</f>
        <v/>
      </c>
      <c r="R138" s="29">
        <f>Intereses_Residual_Mensual!K138</f>
        <v/>
      </c>
      <c r="S138" s="29">
        <f>ROUND(O138 + R138, 2)</f>
        <v/>
      </c>
      <c r="T138" s="29">
        <f>Intereses_Leasing_Mensual!L138</f>
        <v/>
      </c>
      <c r="U138" s="29">
        <f>Amortizacion_Capital_Mensual!M138</f>
        <v/>
      </c>
      <c r="V138" s="29">
        <f>Saldos_Capital_Mensual!L138</f>
        <v/>
      </c>
      <c r="W138" s="29">
        <f>Intereses_Residual_Mensual!L138</f>
        <v/>
      </c>
      <c r="X138" s="29">
        <f>ROUND(T138 + W138, 2)</f>
        <v/>
      </c>
      <c r="Y138" s="29">
        <f>Intereses_Leasing_Mensual!M138</f>
        <v/>
      </c>
      <c r="Z138" s="29">
        <f>Amortizacion_Capital_Mensual!N138</f>
        <v/>
      </c>
      <c r="AA138" s="29">
        <f>Saldos_Capital_Mensual!M138</f>
        <v/>
      </c>
      <c r="AB138" s="29">
        <f>Intereses_Residual_Mensual!M138</f>
        <v/>
      </c>
      <c r="AC138" s="29">
        <f>ROUND(Y138 + AB138, 2)</f>
        <v/>
      </c>
      <c r="AD138" s="29">
        <f>Intereses_Leasing_Mensual!N138</f>
        <v/>
      </c>
      <c r="AE138" s="29">
        <f>Amortizacion_Capital_Mensual!O138</f>
        <v/>
      </c>
      <c r="AF138" s="29">
        <f>Saldos_Capital_Mensual!N138</f>
        <v/>
      </c>
      <c r="AG138" s="29">
        <f>Intereses_Residual_Mensual!N138</f>
        <v/>
      </c>
      <c r="AH138" s="29">
        <f>ROUND(AD138 + AG138, 2)</f>
        <v/>
      </c>
      <c r="AI138" s="29">
        <f>Intereses_Leasing_Mensual!O138</f>
        <v/>
      </c>
      <c r="AJ138" s="29">
        <f>Amortizacion_Capital_Mensual!P138</f>
        <v/>
      </c>
      <c r="AK138" s="29">
        <f>Saldos_Capital_Mensual!O138</f>
        <v/>
      </c>
      <c r="AL138" s="29">
        <f>Intereses_Residual_Mensual!O138</f>
        <v/>
      </c>
      <c r="AM138" s="29">
        <f>ROUND(AI138 + AL138, 2)</f>
        <v/>
      </c>
      <c r="AN138" s="29">
        <f>Intereses_Leasing_Mensual!P138</f>
        <v/>
      </c>
      <c r="AO138" s="29">
        <f>Amortizacion_Capital_Mensual!Q138</f>
        <v/>
      </c>
      <c r="AP138" s="29">
        <f>Saldos_Capital_Mensual!P138</f>
        <v/>
      </c>
      <c r="AQ138" s="29">
        <f>Intereses_Residual_Mensual!P138</f>
        <v/>
      </c>
      <c r="AR138" s="29">
        <f>ROUND(AN138 + AQ138, 2)</f>
        <v/>
      </c>
      <c r="AS138" s="29">
        <f>Intereses_Leasing_Mensual!Q138</f>
        <v/>
      </c>
      <c r="AT138" s="29">
        <f>Amortizacion_Capital_Mensual!R138</f>
        <v/>
      </c>
      <c r="AU138" s="29">
        <f>Saldos_Capital_Mensual!Q138</f>
        <v/>
      </c>
      <c r="AV138" s="29">
        <f>Intereses_Residual_Mensual!Q138</f>
        <v/>
      </c>
      <c r="AW138" s="29">
        <f>ROUND(AS138 + AV138, 2)</f>
        <v/>
      </c>
      <c r="AX138" s="29">
        <f>Intereses_Leasing_Mensual!R138</f>
        <v/>
      </c>
      <c r="AY138" s="29">
        <f>Amortizacion_Capital_Mensual!S138</f>
        <v/>
      </c>
      <c r="AZ138" s="29">
        <f>Saldos_Capital_Mensual!R138</f>
        <v/>
      </c>
      <c r="BA138" s="29">
        <f>Intereses_Residual_Mensual!R138</f>
        <v/>
      </c>
      <c r="BB138" s="29">
        <f>ROUND(AX138 + BA138, 2)</f>
        <v/>
      </c>
      <c r="BC138" s="29">
        <f>Intereses_Leasing_Mensual!S138</f>
        <v/>
      </c>
      <c r="BD138" s="29">
        <f>Amortizacion_Capital_Mensual!T138</f>
        <v/>
      </c>
      <c r="BE138" s="29">
        <f>Saldos_Capital_Mensual!S138</f>
        <v/>
      </c>
      <c r="BF138" s="29">
        <f>Intereses_Residual_Mensual!S138</f>
        <v/>
      </c>
      <c r="BG138" s="29">
        <f>ROUND(BC138 + BF138, 2)</f>
        <v/>
      </c>
      <c r="BH138" s="29">
        <f>Intereses_Leasing_Mensual!T138</f>
        <v/>
      </c>
      <c r="BI138" s="29">
        <f>Amortizacion_Capital_Mensual!U138</f>
        <v/>
      </c>
      <c r="BJ138" s="29">
        <f>Saldos_Capital_Mensual!T138</f>
        <v/>
      </c>
      <c r="BK138" s="29">
        <f>Intereses_Residual_Mensual!T138</f>
        <v/>
      </c>
      <c r="BL138" s="29">
        <f>ROUND(BH138 + BK138, 2)</f>
        <v/>
      </c>
    </row>
    <row r="139">
      <c r="A139" s="20" t="inlineStr">
        <is>
          <t>0666-0003</t>
        </is>
      </c>
      <c r="B139" s="21" t="inlineStr">
        <is>
          <t>Jaime Adrian Muñiz Ramirez</t>
        </is>
      </c>
      <c r="C139" s="21" t="inlineStr">
        <is>
          <t>Wrangler Phev</t>
        </is>
      </c>
      <c r="D139" s="22" t="n">
        <v>36</v>
      </c>
      <c r="E139" s="23">
        <f>Intereses_Leasing_Mensual!I139</f>
        <v/>
      </c>
      <c r="F139" s="23">
        <f>Amortizacion_Capital_Mensual!J139</f>
        <v/>
      </c>
      <c r="G139" s="23">
        <f>Saldos_Capital_Mensual!I139</f>
        <v/>
      </c>
      <c r="H139" s="23">
        <f>Intereses_Residual_Mensual!I139</f>
        <v/>
      </c>
      <c r="I139" s="23">
        <f>ROUND(E139 + H139, 2)</f>
        <v/>
      </c>
      <c r="J139" s="23">
        <f>Intereses_Leasing_Mensual!J139</f>
        <v/>
      </c>
      <c r="K139" s="23">
        <f>Amortizacion_Capital_Mensual!K139</f>
        <v/>
      </c>
      <c r="L139" s="23">
        <f>Saldos_Capital_Mensual!J139</f>
        <v/>
      </c>
      <c r="M139" s="23">
        <f>Intereses_Residual_Mensual!J139</f>
        <v/>
      </c>
      <c r="N139" s="23">
        <f>ROUND(J139 + M139, 2)</f>
        <v/>
      </c>
      <c r="O139" s="23">
        <f>Intereses_Leasing_Mensual!K139</f>
        <v/>
      </c>
      <c r="P139" s="23">
        <f>Amortizacion_Capital_Mensual!L139</f>
        <v/>
      </c>
      <c r="Q139" s="23">
        <f>Saldos_Capital_Mensual!K139</f>
        <v/>
      </c>
      <c r="R139" s="23">
        <f>Intereses_Residual_Mensual!K139</f>
        <v/>
      </c>
      <c r="S139" s="23">
        <f>ROUND(O139 + R139, 2)</f>
        <v/>
      </c>
      <c r="T139" s="23">
        <f>Intereses_Leasing_Mensual!L139</f>
        <v/>
      </c>
      <c r="U139" s="23">
        <f>Amortizacion_Capital_Mensual!M139</f>
        <v/>
      </c>
      <c r="V139" s="23">
        <f>Saldos_Capital_Mensual!L139</f>
        <v/>
      </c>
      <c r="W139" s="23">
        <f>Intereses_Residual_Mensual!L139</f>
        <v/>
      </c>
      <c r="X139" s="23">
        <f>ROUND(T139 + W139, 2)</f>
        <v/>
      </c>
      <c r="Y139" s="23">
        <f>Intereses_Leasing_Mensual!M139</f>
        <v/>
      </c>
      <c r="Z139" s="23">
        <f>Amortizacion_Capital_Mensual!N139</f>
        <v/>
      </c>
      <c r="AA139" s="23">
        <f>Saldos_Capital_Mensual!M139</f>
        <v/>
      </c>
      <c r="AB139" s="23">
        <f>Intereses_Residual_Mensual!M139</f>
        <v/>
      </c>
      <c r="AC139" s="23">
        <f>ROUND(Y139 + AB139, 2)</f>
        <v/>
      </c>
      <c r="AD139" s="23">
        <f>Intereses_Leasing_Mensual!N139</f>
        <v/>
      </c>
      <c r="AE139" s="23">
        <f>Amortizacion_Capital_Mensual!O139</f>
        <v/>
      </c>
      <c r="AF139" s="23">
        <f>Saldos_Capital_Mensual!N139</f>
        <v/>
      </c>
      <c r="AG139" s="23">
        <f>Intereses_Residual_Mensual!N139</f>
        <v/>
      </c>
      <c r="AH139" s="23">
        <f>ROUND(AD139 + AG139, 2)</f>
        <v/>
      </c>
      <c r="AI139" s="23">
        <f>Intereses_Leasing_Mensual!O139</f>
        <v/>
      </c>
      <c r="AJ139" s="23">
        <f>Amortizacion_Capital_Mensual!P139</f>
        <v/>
      </c>
      <c r="AK139" s="23">
        <f>Saldos_Capital_Mensual!O139</f>
        <v/>
      </c>
      <c r="AL139" s="23">
        <f>Intereses_Residual_Mensual!O139</f>
        <v/>
      </c>
      <c r="AM139" s="23">
        <f>ROUND(AI139 + AL139, 2)</f>
        <v/>
      </c>
      <c r="AN139" s="23">
        <f>Intereses_Leasing_Mensual!P139</f>
        <v/>
      </c>
      <c r="AO139" s="23">
        <f>Amortizacion_Capital_Mensual!Q139</f>
        <v/>
      </c>
      <c r="AP139" s="23">
        <f>Saldos_Capital_Mensual!P139</f>
        <v/>
      </c>
      <c r="AQ139" s="23">
        <f>Intereses_Residual_Mensual!P139</f>
        <v/>
      </c>
      <c r="AR139" s="23">
        <f>ROUND(AN139 + AQ139, 2)</f>
        <v/>
      </c>
      <c r="AS139" s="23">
        <f>Intereses_Leasing_Mensual!Q139</f>
        <v/>
      </c>
      <c r="AT139" s="23">
        <f>Amortizacion_Capital_Mensual!R139</f>
        <v/>
      </c>
      <c r="AU139" s="23">
        <f>Saldos_Capital_Mensual!Q139</f>
        <v/>
      </c>
      <c r="AV139" s="23">
        <f>Intereses_Residual_Mensual!Q139</f>
        <v/>
      </c>
      <c r="AW139" s="23">
        <f>ROUND(AS139 + AV139, 2)</f>
        <v/>
      </c>
      <c r="AX139" s="23">
        <f>Intereses_Leasing_Mensual!R139</f>
        <v/>
      </c>
      <c r="AY139" s="23">
        <f>Amortizacion_Capital_Mensual!S139</f>
        <v/>
      </c>
      <c r="AZ139" s="23">
        <f>Saldos_Capital_Mensual!R139</f>
        <v/>
      </c>
      <c r="BA139" s="23">
        <f>Intereses_Residual_Mensual!R139</f>
        <v/>
      </c>
      <c r="BB139" s="23">
        <f>ROUND(AX139 + BA139, 2)</f>
        <v/>
      </c>
      <c r="BC139" s="23">
        <f>Intereses_Leasing_Mensual!S139</f>
        <v/>
      </c>
      <c r="BD139" s="23">
        <f>Amortizacion_Capital_Mensual!T139</f>
        <v/>
      </c>
      <c r="BE139" s="23">
        <f>Saldos_Capital_Mensual!S139</f>
        <v/>
      </c>
      <c r="BF139" s="23">
        <f>Intereses_Residual_Mensual!S139</f>
        <v/>
      </c>
      <c r="BG139" s="23">
        <f>ROUND(BC139 + BF139, 2)</f>
        <v/>
      </c>
      <c r="BH139" s="23">
        <f>Intereses_Leasing_Mensual!T139</f>
        <v/>
      </c>
      <c r="BI139" s="23">
        <f>Amortizacion_Capital_Mensual!U139</f>
        <v/>
      </c>
      <c r="BJ139" s="23">
        <f>Saldos_Capital_Mensual!T139</f>
        <v/>
      </c>
      <c r="BK139" s="23">
        <f>Intereses_Residual_Mensual!T139</f>
        <v/>
      </c>
      <c r="BL139" s="23">
        <f>ROUND(BH139 + BK139, 2)</f>
        <v/>
      </c>
    </row>
    <row r="140">
      <c r="A140" s="26" t="inlineStr">
        <is>
          <t>0668-0005</t>
        </is>
      </c>
      <c r="B140" s="27" t="inlineStr">
        <is>
          <t>Jorge Alonso Alvarez Garcia</t>
        </is>
      </c>
      <c r="C140" s="27" t="inlineStr">
        <is>
          <t>RAM 700 BIGHORN "S" CREW CAB CVT</t>
        </is>
      </c>
      <c r="D140" s="28" t="n">
        <v>12</v>
      </c>
      <c r="E140" s="29">
        <f>Intereses_Leasing_Mensual!I140</f>
        <v/>
      </c>
      <c r="F140" s="29">
        <f>Amortizacion_Capital_Mensual!J140</f>
        <v/>
      </c>
      <c r="G140" s="29">
        <f>Saldos_Capital_Mensual!I140</f>
        <v/>
      </c>
      <c r="H140" s="29">
        <f>Intereses_Residual_Mensual!I140</f>
        <v/>
      </c>
      <c r="I140" s="29">
        <f>ROUND(E140 + H140, 2)</f>
        <v/>
      </c>
      <c r="J140" s="29">
        <f>Intereses_Leasing_Mensual!J140</f>
        <v/>
      </c>
      <c r="K140" s="29">
        <f>Amortizacion_Capital_Mensual!K140</f>
        <v/>
      </c>
      <c r="L140" s="29">
        <f>Saldos_Capital_Mensual!J140</f>
        <v/>
      </c>
      <c r="M140" s="29">
        <f>Intereses_Residual_Mensual!J140</f>
        <v/>
      </c>
      <c r="N140" s="29">
        <f>ROUND(J140 + M140, 2)</f>
        <v/>
      </c>
      <c r="O140" s="29">
        <f>Intereses_Leasing_Mensual!K140</f>
        <v/>
      </c>
      <c r="P140" s="29">
        <f>Amortizacion_Capital_Mensual!L140</f>
        <v/>
      </c>
      <c r="Q140" s="29">
        <f>Saldos_Capital_Mensual!K140</f>
        <v/>
      </c>
      <c r="R140" s="29">
        <f>Intereses_Residual_Mensual!K140</f>
        <v/>
      </c>
      <c r="S140" s="29">
        <f>ROUND(O140 + R140, 2)</f>
        <v/>
      </c>
      <c r="T140" s="29">
        <f>Intereses_Leasing_Mensual!L140</f>
        <v/>
      </c>
      <c r="U140" s="29">
        <f>Amortizacion_Capital_Mensual!M140</f>
        <v/>
      </c>
      <c r="V140" s="29">
        <f>Saldos_Capital_Mensual!L140</f>
        <v/>
      </c>
      <c r="W140" s="29">
        <f>Intereses_Residual_Mensual!L140</f>
        <v/>
      </c>
      <c r="X140" s="29">
        <f>ROUND(T140 + W140, 2)</f>
        <v/>
      </c>
      <c r="Y140" s="29">
        <f>Intereses_Leasing_Mensual!M140</f>
        <v/>
      </c>
      <c r="Z140" s="29">
        <f>Amortizacion_Capital_Mensual!N140</f>
        <v/>
      </c>
      <c r="AA140" s="29">
        <f>Saldos_Capital_Mensual!M140</f>
        <v/>
      </c>
      <c r="AB140" s="29">
        <f>Intereses_Residual_Mensual!M140</f>
        <v/>
      </c>
      <c r="AC140" s="29">
        <f>ROUND(Y140 + AB140, 2)</f>
        <v/>
      </c>
      <c r="AD140" s="29">
        <f>Intereses_Leasing_Mensual!N140</f>
        <v/>
      </c>
      <c r="AE140" s="29">
        <f>Amortizacion_Capital_Mensual!O140</f>
        <v/>
      </c>
      <c r="AF140" s="29">
        <f>Saldos_Capital_Mensual!N140</f>
        <v/>
      </c>
      <c r="AG140" s="29">
        <f>Intereses_Residual_Mensual!N140</f>
        <v/>
      </c>
      <c r="AH140" s="29">
        <f>ROUND(AD140 + AG140, 2)</f>
        <v/>
      </c>
      <c r="AI140" s="29">
        <f>Intereses_Leasing_Mensual!O140</f>
        <v/>
      </c>
      <c r="AJ140" s="29">
        <f>Amortizacion_Capital_Mensual!P140</f>
        <v/>
      </c>
      <c r="AK140" s="29">
        <f>Saldos_Capital_Mensual!O140</f>
        <v/>
      </c>
      <c r="AL140" s="29">
        <f>Intereses_Residual_Mensual!O140</f>
        <v/>
      </c>
      <c r="AM140" s="29">
        <f>ROUND(AI140 + AL140, 2)</f>
        <v/>
      </c>
      <c r="AN140" s="29">
        <f>Intereses_Leasing_Mensual!P140</f>
        <v/>
      </c>
      <c r="AO140" s="29">
        <f>Amortizacion_Capital_Mensual!Q140</f>
        <v/>
      </c>
      <c r="AP140" s="29">
        <f>Saldos_Capital_Mensual!P140</f>
        <v/>
      </c>
      <c r="AQ140" s="29">
        <f>Intereses_Residual_Mensual!P140</f>
        <v/>
      </c>
      <c r="AR140" s="29">
        <f>ROUND(AN140 + AQ140, 2)</f>
        <v/>
      </c>
      <c r="AS140" s="29">
        <f>Intereses_Leasing_Mensual!Q140</f>
        <v/>
      </c>
      <c r="AT140" s="29">
        <f>Amortizacion_Capital_Mensual!R140</f>
        <v/>
      </c>
      <c r="AU140" s="29">
        <f>Saldos_Capital_Mensual!Q140</f>
        <v/>
      </c>
      <c r="AV140" s="29">
        <f>Intereses_Residual_Mensual!Q140</f>
        <v/>
      </c>
      <c r="AW140" s="29">
        <f>ROUND(AS140 + AV140, 2)</f>
        <v/>
      </c>
      <c r="AX140" s="29">
        <f>Intereses_Leasing_Mensual!R140</f>
        <v/>
      </c>
      <c r="AY140" s="29">
        <f>Amortizacion_Capital_Mensual!S140</f>
        <v/>
      </c>
      <c r="AZ140" s="29">
        <f>Saldos_Capital_Mensual!R140</f>
        <v/>
      </c>
      <c r="BA140" s="29">
        <f>Intereses_Residual_Mensual!R140</f>
        <v/>
      </c>
      <c r="BB140" s="29">
        <f>ROUND(AX140 + BA140, 2)</f>
        <v/>
      </c>
      <c r="BC140" s="29">
        <f>Intereses_Leasing_Mensual!S140</f>
        <v/>
      </c>
      <c r="BD140" s="29">
        <f>Amortizacion_Capital_Mensual!T140</f>
        <v/>
      </c>
      <c r="BE140" s="29">
        <f>Saldos_Capital_Mensual!S140</f>
        <v/>
      </c>
      <c r="BF140" s="29">
        <f>Intereses_Residual_Mensual!S140</f>
        <v/>
      </c>
      <c r="BG140" s="29">
        <f>ROUND(BC140 + BF140, 2)</f>
        <v/>
      </c>
      <c r="BH140" s="29">
        <f>Intereses_Leasing_Mensual!T140</f>
        <v/>
      </c>
      <c r="BI140" s="29">
        <f>Amortizacion_Capital_Mensual!U140</f>
        <v/>
      </c>
      <c r="BJ140" s="29">
        <f>Saldos_Capital_Mensual!T140</f>
        <v/>
      </c>
      <c r="BK140" s="29">
        <f>Intereses_Residual_Mensual!T140</f>
        <v/>
      </c>
      <c r="BL140" s="29">
        <f>ROUND(BH140 + BK140, 2)</f>
        <v/>
      </c>
    </row>
    <row r="141">
      <c r="A141" s="20" t="inlineStr">
        <is>
          <t>0669-0001</t>
        </is>
      </c>
      <c r="B141" s="21" t="inlineStr">
        <is>
          <t>Diego Hazael Morales Iñiguez</t>
        </is>
      </c>
      <c r="C141" s="21" t="inlineStr">
        <is>
          <t>Wrangler Jt</t>
        </is>
      </c>
      <c r="D141" s="22" t="n">
        <v>36</v>
      </c>
      <c r="E141" s="23">
        <f>Intereses_Leasing_Mensual!I141</f>
        <v/>
      </c>
      <c r="F141" s="23">
        <f>Amortizacion_Capital_Mensual!J141</f>
        <v/>
      </c>
      <c r="G141" s="23">
        <f>Saldos_Capital_Mensual!I141</f>
        <v/>
      </c>
      <c r="H141" s="23">
        <f>Intereses_Residual_Mensual!I141</f>
        <v/>
      </c>
      <c r="I141" s="23">
        <f>ROUND(E141 + H141, 2)</f>
        <v/>
      </c>
      <c r="J141" s="23">
        <f>Intereses_Leasing_Mensual!J141</f>
        <v/>
      </c>
      <c r="K141" s="23">
        <f>Amortizacion_Capital_Mensual!K141</f>
        <v/>
      </c>
      <c r="L141" s="23">
        <f>Saldos_Capital_Mensual!J141</f>
        <v/>
      </c>
      <c r="M141" s="23">
        <f>Intereses_Residual_Mensual!J141</f>
        <v/>
      </c>
      <c r="N141" s="23">
        <f>ROUND(J141 + M141, 2)</f>
        <v/>
      </c>
      <c r="O141" s="23">
        <f>Intereses_Leasing_Mensual!K141</f>
        <v/>
      </c>
      <c r="P141" s="23">
        <f>Amortizacion_Capital_Mensual!L141</f>
        <v/>
      </c>
      <c r="Q141" s="23">
        <f>Saldos_Capital_Mensual!K141</f>
        <v/>
      </c>
      <c r="R141" s="23">
        <f>Intereses_Residual_Mensual!K141</f>
        <v/>
      </c>
      <c r="S141" s="23">
        <f>ROUND(O141 + R141, 2)</f>
        <v/>
      </c>
      <c r="T141" s="23">
        <f>Intereses_Leasing_Mensual!L141</f>
        <v/>
      </c>
      <c r="U141" s="23">
        <f>Amortizacion_Capital_Mensual!M141</f>
        <v/>
      </c>
      <c r="V141" s="23">
        <f>Saldos_Capital_Mensual!L141</f>
        <v/>
      </c>
      <c r="W141" s="23">
        <f>Intereses_Residual_Mensual!L141</f>
        <v/>
      </c>
      <c r="X141" s="23">
        <f>ROUND(T141 + W141, 2)</f>
        <v/>
      </c>
      <c r="Y141" s="23">
        <f>Intereses_Leasing_Mensual!M141</f>
        <v/>
      </c>
      <c r="Z141" s="23">
        <f>Amortizacion_Capital_Mensual!N141</f>
        <v/>
      </c>
      <c r="AA141" s="23">
        <f>Saldos_Capital_Mensual!M141</f>
        <v/>
      </c>
      <c r="AB141" s="23">
        <f>Intereses_Residual_Mensual!M141</f>
        <v/>
      </c>
      <c r="AC141" s="23">
        <f>ROUND(Y141 + AB141, 2)</f>
        <v/>
      </c>
      <c r="AD141" s="23">
        <f>Intereses_Leasing_Mensual!N141</f>
        <v/>
      </c>
      <c r="AE141" s="23">
        <f>Amortizacion_Capital_Mensual!O141</f>
        <v/>
      </c>
      <c r="AF141" s="23">
        <f>Saldos_Capital_Mensual!N141</f>
        <v/>
      </c>
      <c r="AG141" s="23">
        <f>Intereses_Residual_Mensual!N141</f>
        <v/>
      </c>
      <c r="AH141" s="23">
        <f>ROUND(AD141 + AG141, 2)</f>
        <v/>
      </c>
      <c r="AI141" s="23">
        <f>Intereses_Leasing_Mensual!O141</f>
        <v/>
      </c>
      <c r="AJ141" s="23">
        <f>Amortizacion_Capital_Mensual!P141</f>
        <v/>
      </c>
      <c r="AK141" s="23">
        <f>Saldos_Capital_Mensual!O141</f>
        <v/>
      </c>
      <c r="AL141" s="23">
        <f>Intereses_Residual_Mensual!O141</f>
        <v/>
      </c>
      <c r="AM141" s="23">
        <f>ROUND(AI141 + AL141, 2)</f>
        <v/>
      </c>
      <c r="AN141" s="23">
        <f>Intereses_Leasing_Mensual!P141</f>
        <v/>
      </c>
      <c r="AO141" s="23">
        <f>Amortizacion_Capital_Mensual!Q141</f>
        <v/>
      </c>
      <c r="AP141" s="23">
        <f>Saldos_Capital_Mensual!P141</f>
        <v/>
      </c>
      <c r="AQ141" s="23">
        <f>Intereses_Residual_Mensual!P141</f>
        <v/>
      </c>
      <c r="AR141" s="23">
        <f>ROUND(AN141 + AQ141, 2)</f>
        <v/>
      </c>
      <c r="AS141" s="23">
        <f>Intereses_Leasing_Mensual!Q141</f>
        <v/>
      </c>
      <c r="AT141" s="23">
        <f>Amortizacion_Capital_Mensual!R141</f>
        <v/>
      </c>
      <c r="AU141" s="23">
        <f>Saldos_Capital_Mensual!Q141</f>
        <v/>
      </c>
      <c r="AV141" s="23">
        <f>Intereses_Residual_Mensual!Q141</f>
        <v/>
      </c>
      <c r="AW141" s="23">
        <f>ROUND(AS141 + AV141, 2)</f>
        <v/>
      </c>
      <c r="AX141" s="23">
        <f>Intereses_Leasing_Mensual!R141</f>
        <v/>
      </c>
      <c r="AY141" s="23">
        <f>Amortizacion_Capital_Mensual!S141</f>
        <v/>
      </c>
      <c r="AZ141" s="23">
        <f>Saldos_Capital_Mensual!R141</f>
        <v/>
      </c>
      <c r="BA141" s="23">
        <f>Intereses_Residual_Mensual!R141</f>
        <v/>
      </c>
      <c r="BB141" s="23">
        <f>ROUND(AX141 + BA141, 2)</f>
        <v/>
      </c>
      <c r="BC141" s="23">
        <f>Intereses_Leasing_Mensual!S141</f>
        <v/>
      </c>
      <c r="BD141" s="23">
        <f>Amortizacion_Capital_Mensual!T141</f>
        <v/>
      </c>
      <c r="BE141" s="23">
        <f>Saldos_Capital_Mensual!S141</f>
        <v/>
      </c>
      <c r="BF141" s="23">
        <f>Intereses_Residual_Mensual!S141</f>
        <v/>
      </c>
      <c r="BG141" s="23">
        <f>ROUND(BC141 + BF141, 2)</f>
        <v/>
      </c>
      <c r="BH141" s="23">
        <f>Intereses_Leasing_Mensual!T141</f>
        <v/>
      </c>
      <c r="BI141" s="23">
        <f>Amortizacion_Capital_Mensual!U141</f>
        <v/>
      </c>
      <c r="BJ141" s="23">
        <f>Saldos_Capital_Mensual!T141</f>
        <v/>
      </c>
      <c r="BK141" s="23">
        <f>Intereses_Residual_Mensual!T141</f>
        <v/>
      </c>
      <c r="BL141" s="23">
        <f>ROUND(BH141 + BK141, 2)</f>
        <v/>
      </c>
    </row>
    <row r="142">
      <c r="A142" s="26" t="inlineStr">
        <is>
          <t>0670-0001</t>
        </is>
      </c>
      <c r="B142" s="27" t="inlineStr">
        <is>
          <t>Consultoria Internacional Mexincorp Sc</t>
        </is>
      </c>
      <c r="C142" s="27" t="inlineStr">
        <is>
          <t>L200 Limited</t>
        </is>
      </c>
      <c r="D142" s="28" t="n">
        <v>48</v>
      </c>
      <c r="E142" s="29">
        <f>Intereses_Leasing_Mensual!I142</f>
        <v/>
      </c>
      <c r="F142" s="29">
        <f>Amortizacion_Capital_Mensual!J142</f>
        <v/>
      </c>
      <c r="G142" s="29">
        <f>Saldos_Capital_Mensual!I142</f>
        <v/>
      </c>
      <c r="H142" s="29">
        <f>Intereses_Residual_Mensual!I142</f>
        <v/>
      </c>
      <c r="I142" s="29">
        <f>ROUND(E142 + H142, 2)</f>
        <v/>
      </c>
      <c r="J142" s="29">
        <f>Intereses_Leasing_Mensual!J142</f>
        <v/>
      </c>
      <c r="K142" s="29">
        <f>Amortizacion_Capital_Mensual!K142</f>
        <v/>
      </c>
      <c r="L142" s="29">
        <f>Saldos_Capital_Mensual!J142</f>
        <v/>
      </c>
      <c r="M142" s="29">
        <f>Intereses_Residual_Mensual!J142</f>
        <v/>
      </c>
      <c r="N142" s="29">
        <f>ROUND(J142 + M142, 2)</f>
        <v/>
      </c>
      <c r="O142" s="29">
        <f>Intereses_Leasing_Mensual!K142</f>
        <v/>
      </c>
      <c r="P142" s="29">
        <f>Amortizacion_Capital_Mensual!L142</f>
        <v/>
      </c>
      <c r="Q142" s="29">
        <f>Saldos_Capital_Mensual!K142</f>
        <v/>
      </c>
      <c r="R142" s="29">
        <f>Intereses_Residual_Mensual!K142</f>
        <v/>
      </c>
      <c r="S142" s="29">
        <f>ROUND(O142 + R142, 2)</f>
        <v/>
      </c>
      <c r="T142" s="29">
        <f>Intereses_Leasing_Mensual!L142</f>
        <v/>
      </c>
      <c r="U142" s="29">
        <f>Amortizacion_Capital_Mensual!M142</f>
        <v/>
      </c>
      <c r="V142" s="29">
        <f>Saldos_Capital_Mensual!L142</f>
        <v/>
      </c>
      <c r="W142" s="29">
        <f>Intereses_Residual_Mensual!L142</f>
        <v/>
      </c>
      <c r="X142" s="29">
        <f>ROUND(T142 + W142, 2)</f>
        <v/>
      </c>
      <c r="Y142" s="29">
        <f>Intereses_Leasing_Mensual!M142</f>
        <v/>
      </c>
      <c r="Z142" s="29">
        <f>Amortizacion_Capital_Mensual!N142</f>
        <v/>
      </c>
      <c r="AA142" s="29">
        <f>Saldos_Capital_Mensual!M142</f>
        <v/>
      </c>
      <c r="AB142" s="29">
        <f>Intereses_Residual_Mensual!M142</f>
        <v/>
      </c>
      <c r="AC142" s="29">
        <f>ROUND(Y142 + AB142, 2)</f>
        <v/>
      </c>
      <c r="AD142" s="29">
        <f>Intereses_Leasing_Mensual!N142</f>
        <v/>
      </c>
      <c r="AE142" s="29">
        <f>Amortizacion_Capital_Mensual!O142</f>
        <v/>
      </c>
      <c r="AF142" s="29">
        <f>Saldos_Capital_Mensual!N142</f>
        <v/>
      </c>
      <c r="AG142" s="29">
        <f>Intereses_Residual_Mensual!N142</f>
        <v/>
      </c>
      <c r="AH142" s="29">
        <f>ROUND(AD142 + AG142, 2)</f>
        <v/>
      </c>
      <c r="AI142" s="29">
        <f>Intereses_Leasing_Mensual!O142</f>
        <v/>
      </c>
      <c r="AJ142" s="29">
        <f>Amortizacion_Capital_Mensual!P142</f>
        <v/>
      </c>
      <c r="AK142" s="29">
        <f>Saldos_Capital_Mensual!O142</f>
        <v/>
      </c>
      <c r="AL142" s="29">
        <f>Intereses_Residual_Mensual!O142</f>
        <v/>
      </c>
      <c r="AM142" s="29">
        <f>ROUND(AI142 + AL142, 2)</f>
        <v/>
      </c>
      <c r="AN142" s="29">
        <f>Intereses_Leasing_Mensual!P142</f>
        <v/>
      </c>
      <c r="AO142" s="29">
        <f>Amortizacion_Capital_Mensual!Q142</f>
        <v/>
      </c>
      <c r="AP142" s="29">
        <f>Saldos_Capital_Mensual!P142</f>
        <v/>
      </c>
      <c r="AQ142" s="29">
        <f>Intereses_Residual_Mensual!P142</f>
        <v/>
      </c>
      <c r="AR142" s="29">
        <f>ROUND(AN142 + AQ142, 2)</f>
        <v/>
      </c>
      <c r="AS142" s="29">
        <f>Intereses_Leasing_Mensual!Q142</f>
        <v/>
      </c>
      <c r="AT142" s="29">
        <f>Amortizacion_Capital_Mensual!R142</f>
        <v/>
      </c>
      <c r="AU142" s="29">
        <f>Saldos_Capital_Mensual!Q142</f>
        <v/>
      </c>
      <c r="AV142" s="29">
        <f>Intereses_Residual_Mensual!Q142</f>
        <v/>
      </c>
      <c r="AW142" s="29">
        <f>ROUND(AS142 + AV142, 2)</f>
        <v/>
      </c>
      <c r="AX142" s="29">
        <f>Intereses_Leasing_Mensual!R142</f>
        <v/>
      </c>
      <c r="AY142" s="29">
        <f>Amortizacion_Capital_Mensual!S142</f>
        <v/>
      </c>
      <c r="AZ142" s="29">
        <f>Saldos_Capital_Mensual!R142</f>
        <v/>
      </c>
      <c r="BA142" s="29">
        <f>Intereses_Residual_Mensual!R142</f>
        <v/>
      </c>
      <c r="BB142" s="29">
        <f>ROUND(AX142 + BA142, 2)</f>
        <v/>
      </c>
      <c r="BC142" s="29">
        <f>Intereses_Leasing_Mensual!S142</f>
        <v/>
      </c>
      <c r="BD142" s="29">
        <f>Amortizacion_Capital_Mensual!T142</f>
        <v/>
      </c>
      <c r="BE142" s="29">
        <f>Saldos_Capital_Mensual!S142</f>
        <v/>
      </c>
      <c r="BF142" s="29">
        <f>Intereses_Residual_Mensual!S142</f>
        <v/>
      </c>
      <c r="BG142" s="29">
        <f>ROUND(BC142 + BF142, 2)</f>
        <v/>
      </c>
      <c r="BH142" s="29">
        <f>Intereses_Leasing_Mensual!T142</f>
        <v/>
      </c>
      <c r="BI142" s="29">
        <f>Amortizacion_Capital_Mensual!U142</f>
        <v/>
      </c>
      <c r="BJ142" s="29">
        <f>Saldos_Capital_Mensual!T142</f>
        <v/>
      </c>
      <c r="BK142" s="29">
        <f>Intereses_Residual_Mensual!T142</f>
        <v/>
      </c>
      <c r="BL142" s="29">
        <f>ROUND(BH142 + BK142, 2)</f>
        <v/>
      </c>
    </row>
    <row r="143">
      <c r="A143" s="20" t="inlineStr">
        <is>
          <t>0672-0001</t>
        </is>
      </c>
      <c r="B143" s="21" t="inlineStr">
        <is>
          <t>Bax Blockchain Services Sa de Cv</t>
        </is>
      </c>
      <c r="C143" s="21" t="inlineStr">
        <is>
          <t>Tucson Limited</t>
        </is>
      </c>
      <c r="D143" s="22" t="n">
        <v>36</v>
      </c>
      <c r="E143" s="23">
        <f>Intereses_Leasing_Mensual!I143</f>
        <v/>
      </c>
      <c r="F143" s="23">
        <f>Amortizacion_Capital_Mensual!J143</f>
        <v/>
      </c>
      <c r="G143" s="23">
        <f>Saldos_Capital_Mensual!I143</f>
        <v/>
      </c>
      <c r="H143" s="23">
        <f>Intereses_Residual_Mensual!I143</f>
        <v/>
      </c>
      <c r="I143" s="23">
        <f>ROUND(E143 + H143, 2)</f>
        <v/>
      </c>
      <c r="J143" s="23">
        <f>Intereses_Leasing_Mensual!J143</f>
        <v/>
      </c>
      <c r="K143" s="23">
        <f>Amortizacion_Capital_Mensual!K143</f>
        <v/>
      </c>
      <c r="L143" s="23">
        <f>Saldos_Capital_Mensual!J143</f>
        <v/>
      </c>
      <c r="M143" s="23">
        <f>Intereses_Residual_Mensual!J143</f>
        <v/>
      </c>
      <c r="N143" s="23">
        <f>ROUND(J143 + M143, 2)</f>
        <v/>
      </c>
      <c r="O143" s="23">
        <f>Intereses_Leasing_Mensual!K143</f>
        <v/>
      </c>
      <c r="P143" s="23">
        <f>Amortizacion_Capital_Mensual!L143</f>
        <v/>
      </c>
      <c r="Q143" s="23">
        <f>Saldos_Capital_Mensual!K143</f>
        <v/>
      </c>
      <c r="R143" s="23">
        <f>Intereses_Residual_Mensual!K143</f>
        <v/>
      </c>
      <c r="S143" s="23">
        <f>ROUND(O143 + R143, 2)</f>
        <v/>
      </c>
      <c r="T143" s="23">
        <f>Intereses_Leasing_Mensual!L143</f>
        <v/>
      </c>
      <c r="U143" s="23">
        <f>Amortizacion_Capital_Mensual!M143</f>
        <v/>
      </c>
      <c r="V143" s="23">
        <f>Saldos_Capital_Mensual!L143</f>
        <v/>
      </c>
      <c r="W143" s="23">
        <f>Intereses_Residual_Mensual!L143</f>
        <v/>
      </c>
      <c r="X143" s="23">
        <f>ROUND(T143 + W143, 2)</f>
        <v/>
      </c>
      <c r="Y143" s="23">
        <f>Intereses_Leasing_Mensual!M143</f>
        <v/>
      </c>
      <c r="Z143" s="23">
        <f>Amortizacion_Capital_Mensual!N143</f>
        <v/>
      </c>
      <c r="AA143" s="23">
        <f>Saldos_Capital_Mensual!M143</f>
        <v/>
      </c>
      <c r="AB143" s="23">
        <f>Intereses_Residual_Mensual!M143</f>
        <v/>
      </c>
      <c r="AC143" s="23">
        <f>ROUND(Y143 + AB143, 2)</f>
        <v/>
      </c>
      <c r="AD143" s="23">
        <f>Intereses_Leasing_Mensual!N143</f>
        <v/>
      </c>
      <c r="AE143" s="23">
        <f>Amortizacion_Capital_Mensual!O143</f>
        <v/>
      </c>
      <c r="AF143" s="23">
        <f>Saldos_Capital_Mensual!N143</f>
        <v/>
      </c>
      <c r="AG143" s="23">
        <f>Intereses_Residual_Mensual!N143</f>
        <v/>
      </c>
      <c r="AH143" s="23">
        <f>ROUND(AD143 + AG143, 2)</f>
        <v/>
      </c>
      <c r="AI143" s="23">
        <f>Intereses_Leasing_Mensual!O143</f>
        <v/>
      </c>
      <c r="AJ143" s="23">
        <f>Amortizacion_Capital_Mensual!P143</f>
        <v/>
      </c>
      <c r="AK143" s="23">
        <f>Saldos_Capital_Mensual!O143</f>
        <v/>
      </c>
      <c r="AL143" s="23">
        <f>Intereses_Residual_Mensual!O143</f>
        <v/>
      </c>
      <c r="AM143" s="23">
        <f>ROUND(AI143 + AL143, 2)</f>
        <v/>
      </c>
      <c r="AN143" s="23">
        <f>Intereses_Leasing_Mensual!P143</f>
        <v/>
      </c>
      <c r="AO143" s="23">
        <f>Amortizacion_Capital_Mensual!Q143</f>
        <v/>
      </c>
      <c r="AP143" s="23">
        <f>Saldos_Capital_Mensual!P143</f>
        <v/>
      </c>
      <c r="AQ143" s="23">
        <f>Intereses_Residual_Mensual!P143</f>
        <v/>
      </c>
      <c r="AR143" s="23">
        <f>ROUND(AN143 + AQ143, 2)</f>
        <v/>
      </c>
      <c r="AS143" s="23">
        <f>Intereses_Leasing_Mensual!Q143</f>
        <v/>
      </c>
      <c r="AT143" s="23">
        <f>Amortizacion_Capital_Mensual!R143</f>
        <v/>
      </c>
      <c r="AU143" s="23">
        <f>Saldos_Capital_Mensual!Q143</f>
        <v/>
      </c>
      <c r="AV143" s="23">
        <f>Intereses_Residual_Mensual!Q143</f>
        <v/>
      </c>
      <c r="AW143" s="23">
        <f>ROUND(AS143 + AV143, 2)</f>
        <v/>
      </c>
      <c r="AX143" s="23">
        <f>Intereses_Leasing_Mensual!R143</f>
        <v/>
      </c>
      <c r="AY143" s="23">
        <f>Amortizacion_Capital_Mensual!S143</f>
        <v/>
      </c>
      <c r="AZ143" s="23">
        <f>Saldos_Capital_Mensual!R143</f>
        <v/>
      </c>
      <c r="BA143" s="23">
        <f>Intereses_Residual_Mensual!R143</f>
        <v/>
      </c>
      <c r="BB143" s="23">
        <f>ROUND(AX143 + BA143, 2)</f>
        <v/>
      </c>
      <c r="BC143" s="23">
        <f>Intereses_Leasing_Mensual!S143</f>
        <v/>
      </c>
      <c r="BD143" s="23">
        <f>Amortizacion_Capital_Mensual!T143</f>
        <v/>
      </c>
      <c r="BE143" s="23">
        <f>Saldos_Capital_Mensual!S143</f>
        <v/>
      </c>
      <c r="BF143" s="23">
        <f>Intereses_Residual_Mensual!S143</f>
        <v/>
      </c>
      <c r="BG143" s="23">
        <f>ROUND(BC143 + BF143, 2)</f>
        <v/>
      </c>
      <c r="BH143" s="23">
        <f>Intereses_Leasing_Mensual!T143</f>
        <v/>
      </c>
      <c r="BI143" s="23">
        <f>Amortizacion_Capital_Mensual!U143</f>
        <v/>
      </c>
      <c r="BJ143" s="23">
        <f>Saldos_Capital_Mensual!T143</f>
        <v/>
      </c>
      <c r="BK143" s="23">
        <f>Intereses_Residual_Mensual!T143</f>
        <v/>
      </c>
      <c r="BL143" s="23">
        <f>ROUND(BH143 + BK143, 2)</f>
        <v/>
      </c>
    </row>
    <row r="144">
      <c r="A144" s="26" t="inlineStr">
        <is>
          <t>0673-0001</t>
        </is>
      </c>
      <c r="B144" s="27" t="inlineStr">
        <is>
          <t>Juan Carlos Cardenas Arciniega</t>
        </is>
      </c>
      <c r="C144" s="27" t="inlineStr">
        <is>
          <t>Wrangler Unlimited</t>
        </is>
      </c>
      <c r="D144" s="28" t="n">
        <v>48</v>
      </c>
      <c r="E144" s="29">
        <f>Intereses_Leasing_Mensual!I144</f>
        <v/>
      </c>
      <c r="F144" s="29">
        <f>Amortizacion_Capital_Mensual!J144</f>
        <v/>
      </c>
      <c r="G144" s="29">
        <f>Saldos_Capital_Mensual!I144</f>
        <v/>
      </c>
      <c r="H144" s="29">
        <f>Intereses_Residual_Mensual!I144</f>
        <v/>
      </c>
      <c r="I144" s="29">
        <f>ROUND(E144 + H144, 2)</f>
        <v/>
      </c>
      <c r="J144" s="29">
        <f>Intereses_Leasing_Mensual!J144</f>
        <v/>
      </c>
      <c r="K144" s="29">
        <f>Amortizacion_Capital_Mensual!K144</f>
        <v/>
      </c>
      <c r="L144" s="29">
        <f>Saldos_Capital_Mensual!J144</f>
        <v/>
      </c>
      <c r="M144" s="29">
        <f>Intereses_Residual_Mensual!J144</f>
        <v/>
      </c>
      <c r="N144" s="29">
        <f>ROUND(J144 + M144, 2)</f>
        <v/>
      </c>
      <c r="O144" s="29">
        <f>Intereses_Leasing_Mensual!K144</f>
        <v/>
      </c>
      <c r="P144" s="29">
        <f>Amortizacion_Capital_Mensual!L144</f>
        <v/>
      </c>
      <c r="Q144" s="29">
        <f>Saldos_Capital_Mensual!K144</f>
        <v/>
      </c>
      <c r="R144" s="29">
        <f>Intereses_Residual_Mensual!K144</f>
        <v/>
      </c>
      <c r="S144" s="29">
        <f>ROUND(O144 + R144, 2)</f>
        <v/>
      </c>
      <c r="T144" s="29">
        <f>Intereses_Leasing_Mensual!L144</f>
        <v/>
      </c>
      <c r="U144" s="29">
        <f>Amortizacion_Capital_Mensual!M144</f>
        <v/>
      </c>
      <c r="V144" s="29">
        <f>Saldos_Capital_Mensual!L144</f>
        <v/>
      </c>
      <c r="W144" s="29">
        <f>Intereses_Residual_Mensual!L144</f>
        <v/>
      </c>
      <c r="X144" s="29">
        <f>ROUND(T144 + W144, 2)</f>
        <v/>
      </c>
      <c r="Y144" s="29">
        <f>Intereses_Leasing_Mensual!M144</f>
        <v/>
      </c>
      <c r="Z144" s="29">
        <f>Amortizacion_Capital_Mensual!N144</f>
        <v/>
      </c>
      <c r="AA144" s="29">
        <f>Saldos_Capital_Mensual!M144</f>
        <v/>
      </c>
      <c r="AB144" s="29">
        <f>Intereses_Residual_Mensual!M144</f>
        <v/>
      </c>
      <c r="AC144" s="29">
        <f>ROUND(Y144 + AB144, 2)</f>
        <v/>
      </c>
      <c r="AD144" s="29">
        <f>Intereses_Leasing_Mensual!N144</f>
        <v/>
      </c>
      <c r="AE144" s="29">
        <f>Amortizacion_Capital_Mensual!O144</f>
        <v/>
      </c>
      <c r="AF144" s="29">
        <f>Saldos_Capital_Mensual!N144</f>
        <v/>
      </c>
      <c r="AG144" s="29">
        <f>Intereses_Residual_Mensual!N144</f>
        <v/>
      </c>
      <c r="AH144" s="29">
        <f>ROUND(AD144 + AG144, 2)</f>
        <v/>
      </c>
      <c r="AI144" s="29">
        <f>Intereses_Leasing_Mensual!O144</f>
        <v/>
      </c>
      <c r="AJ144" s="29">
        <f>Amortizacion_Capital_Mensual!P144</f>
        <v/>
      </c>
      <c r="AK144" s="29">
        <f>Saldos_Capital_Mensual!O144</f>
        <v/>
      </c>
      <c r="AL144" s="29">
        <f>Intereses_Residual_Mensual!O144</f>
        <v/>
      </c>
      <c r="AM144" s="29">
        <f>ROUND(AI144 + AL144, 2)</f>
        <v/>
      </c>
      <c r="AN144" s="29">
        <f>Intereses_Leasing_Mensual!P144</f>
        <v/>
      </c>
      <c r="AO144" s="29">
        <f>Amortizacion_Capital_Mensual!Q144</f>
        <v/>
      </c>
      <c r="AP144" s="29">
        <f>Saldos_Capital_Mensual!P144</f>
        <v/>
      </c>
      <c r="AQ144" s="29">
        <f>Intereses_Residual_Mensual!P144</f>
        <v/>
      </c>
      <c r="AR144" s="29">
        <f>ROUND(AN144 + AQ144, 2)</f>
        <v/>
      </c>
      <c r="AS144" s="29">
        <f>Intereses_Leasing_Mensual!Q144</f>
        <v/>
      </c>
      <c r="AT144" s="29">
        <f>Amortizacion_Capital_Mensual!R144</f>
        <v/>
      </c>
      <c r="AU144" s="29">
        <f>Saldos_Capital_Mensual!Q144</f>
        <v/>
      </c>
      <c r="AV144" s="29">
        <f>Intereses_Residual_Mensual!Q144</f>
        <v/>
      </c>
      <c r="AW144" s="29">
        <f>ROUND(AS144 + AV144, 2)</f>
        <v/>
      </c>
      <c r="AX144" s="29">
        <f>Intereses_Leasing_Mensual!R144</f>
        <v/>
      </c>
      <c r="AY144" s="29">
        <f>Amortizacion_Capital_Mensual!S144</f>
        <v/>
      </c>
      <c r="AZ144" s="29">
        <f>Saldos_Capital_Mensual!R144</f>
        <v/>
      </c>
      <c r="BA144" s="29">
        <f>Intereses_Residual_Mensual!R144</f>
        <v/>
      </c>
      <c r="BB144" s="29">
        <f>ROUND(AX144 + BA144, 2)</f>
        <v/>
      </c>
      <c r="BC144" s="29">
        <f>Intereses_Leasing_Mensual!S144</f>
        <v/>
      </c>
      <c r="BD144" s="29">
        <f>Amortizacion_Capital_Mensual!T144</f>
        <v/>
      </c>
      <c r="BE144" s="29">
        <f>Saldos_Capital_Mensual!S144</f>
        <v/>
      </c>
      <c r="BF144" s="29">
        <f>Intereses_Residual_Mensual!S144</f>
        <v/>
      </c>
      <c r="BG144" s="29">
        <f>ROUND(BC144 + BF144, 2)</f>
        <v/>
      </c>
      <c r="BH144" s="29">
        <f>Intereses_Leasing_Mensual!T144</f>
        <v/>
      </c>
      <c r="BI144" s="29">
        <f>Amortizacion_Capital_Mensual!U144</f>
        <v/>
      </c>
      <c r="BJ144" s="29">
        <f>Saldos_Capital_Mensual!T144</f>
        <v/>
      </c>
      <c r="BK144" s="29">
        <f>Intereses_Residual_Mensual!T144</f>
        <v/>
      </c>
      <c r="BL144" s="29">
        <f>ROUND(BH144 + BK144, 2)</f>
        <v/>
      </c>
    </row>
    <row r="145">
      <c r="A145" s="20" t="inlineStr">
        <is>
          <t>0673-0002</t>
        </is>
      </c>
      <c r="B145" s="21" t="inlineStr">
        <is>
          <t>Juan Carlos Cardenas Arciniega</t>
        </is>
      </c>
      <c r="C145" s="21" t="inlineStr">
        <is>
          <t>L200 Glx Diesel</t>
        </is>
      </c>
      <c r="D145" s="22" t="n">
        <v>48</v>
      </c>
      <c r="E145" s="23">
        <f>Intereses_Leasing_Mensual!I145</f>
        <v/>
      </c>
      <c r="F145" s="23">
        <f>Amortizacion_Capital_Mensual!J145</f>
        <v/>
      </c>
      <c r="G145" s="23">
        <f>Saldos_Capital_Mensual!I145</f>
        <v/>
      </c>
      <c r="H145" s="23">
        <f>Intereses_Residual_Mensual!I145</f>
        <v/>
      </c>
      <c r="I145" s="23">
        <f>ROUND(E145 + H145, 2)</f>
        <v/>
      </c>
      <c r="J145" s="23">
        <f>Intereses_Leasing_Mensual!J145</f>
        <v/>
      </c>
      <c r="K145" s="23">
        <f>Amortizacion_Capital_Mensual!K145</f>
        <v/>
      </c>
      <c r="L145" s="23">
        <f>Saldos_Capital_Mensual!J145</f>
        <v/>
      </c>
      <c r="M145" s="23">
        <f>Intereses_Residual_Mensual!J145</f>
        <v/>
      </c>
      <c r="N145" s="23">
        <f>ROUND(J145 + M145, 2)</f>
        <v/>
      </c>
      <c r="O145" s="23">
        <f>Intereses_Leasing_Mensual!K145</f>
        <v/>
      </c>
      <c r="P145" s="23">
        <f>Amortizacion_Capital_Mensual!L145</f>
        <v/>
      </c>
      <c r="Q145" s="23">
        <f>Saldos_Capital_Mensual!K145</f>
        <v/>
      </c>
      <c r="R145" s="23">
        <f>Intereses_Residual_Mensual!K145</f>
        <v/>
      </c>
      <c r="S145" s="23">
        <f>ROUND(O145 + R145, 2)</f>
        <v/>
      </c>
      <c r="T145" s="23">
        <f>Intereses_Leasing_Mensual!L145</f>
        <v/>
      </c>
      <c r="U145" s="23">
        <f>Amortizacion_Capital_Mensual!M145</f>
        <v/>
      </c>
      <c r="V145" s="23">
        <f>Saldos_Capital_Mensual!L145</f>
        <v/>
      </c>
      <c r="W145" s="23">
        <f>Intereses_Residual_Mensual!L145</f>
        <v/>
      </c>
      <c r="X145" s="23">
        <f>ROUND(T145 + W145, 2)</f>
        <v/>
      </c>
      <c r="Y145" s="23">
        <f>Intereses_Leasing_Mensual!M145</f>
        <v/>
      </c>
      <c r="Z145" s="23">
        <f>Amortizacion_Capital_Mensual!N145</f>
        <v/>
      </c>
      <c r="AA145" s="23">
        <f>Saldos_Capital_Mensual!M145</f>
        <v/>
      </c>
      <c r="AB145" s="23">
        <f>Intereses_Residual_Mensual!M145</f>
        <v/>
      </c>
      <c r="AC145" s="23">
        <f>ROUND(Y145 + AB145, 2)</f>
        <v/>
      </c>
      <c r="AD145" s="23">
        <f>Intereses_Leasing_Mensual!N145</f>
        <v/>
      </c>
      <c r="AE145" s="23">
        <f>Amortizacion_Capital_Mensual!O145</f>
        <v/>
      </c>
      <c r="AF145" s="23">
        <f>Saldos_Capital_Mensual!N145</f>
        <v/>
      </c>
      <c r="AG145" s="23">
        <f>Intereses_Residual_Mensual!N145</f>
        <v/>
      </c>
      <c r="AH145" s="23">
        <f>ROUND(AD145 + AG145, 2)</f>
        <v/>
      </c>
      <c r="AI145" s="23">
        <f>Intereses_Leasing_Mensual!O145</f>
        <v/>
      </c>
      <c r="AJ145" s="23">
        <f>Amortizacion_Capital_Mensual!P145</f>
        <v/>
      </c>
      <c r="AK145" s="23">
        <f>Saldos_Capital_Mensual!O145</f>
        <v/>
      </c>
      <c r="AL145" s="23">
        <f>Intereses_Residual_Mensual!O145</f>
        <v/>
      </c>
      <c r="AM145" s="23">
        <f>ROUND(AI145 + AL145, 2)</f>
        <v/>
      </c>
      <c r="AN145" s="23">
        <f>Intereses_Leasing_Mensual!P145</f>
        <v/>
      </c>
      <c r="AO145" s="23">
        <f>Amortizacion_Capital_Mensual!Q145</f>
        <v/>
      </c>
      <c r="AP145" s="23">
        <f>Saldos_Capital_Mensual!P145</f>
        <v/>
      </c>
      <c r="AQ145" s="23">
        <f>Intereses_Residual_Mensual!P145</f>
        <v/>
      </c>
      <c r="AR145" s="23">
        <f>ROUND(AN145 + AQ145, 2)</f>
        <v/>
      </c>
      <c r="AS145" s="23">
        <f>Intereses_Leasing_Mensual!Q145</f>
        <v/>
      </c>
      <c r="AT145" s="23">
        <f>Amortizacion_Capital_Mensual!R145</f>
        <v/>
      </c>
      <c r="AU145" s="23">
        <f>Saldos_Capital_Mensual!Q145</f>
        <v/>
      </c>
      <c r="AV145" s="23">
        <f>Intereses_Residual_Mensual!Q145</f>
        <v/>
      </c>
      <c r="AW145" s="23">
        <f>ROUND(AS145 + AV145, 2)</f>
        <v/>
      </c>
      <c r="AX145" s="23">
        <f>Intereses_Leasing_Mensual!R145</f>
        <v/>
      </c>
      <c r="AY145" s="23">
        <f>Amortizacion_Capital_Mensual!S145</f>
        <v/>
      </c>
      <c r="AZ145" s="23">
        <f>Saldos_Capital_Mensual!R145</f>
        <v/>
      </c>
      <c r="BA145" s="23">
        <f>Intereses_Residual_Mensual!R145</f>
        <v/>
      </c>
      <c r="BB145" s="23">
        <f>ROUND(AX145 + BA145, 2)</f>
        <v/>
      </c>
      <c r="BC145" s="23">
        <f>Intereses_Leasing_Mensual!S145</f>
        <v/>
      </c>
      <c r="BD145" s="23">
        <f>Amortizacion_Capital_Mensual!T145</f>
        <v/>
      </c>
      <c r="BE145" s="23">
        <f>Saldos_Capital_Mensual!S145</f>
        <v/>
      </c>
      <c r="BF145" s="23">
        <f>Intereses_Residual_Mensual!S145</f>
        <v/>
      </c>
      <c r="BG145" s="23">
        <f>ROUND(BC145 + BF145, 2)</f>
        <v/>
      </c>
      <c r="BH145" s="23">
        <f>Intereses_Leasing_Mensual!T145</f>
        <v/>
      </c>
      <c r="BI145" s="23">
        <f>Amortizacion_Capital_Mensual!U145</f>
        <v/>
      </c>
      <c r="BJ145" s="23">
        <f>Saldos_Capital_Mensual!T145</f>
        <v/>
      </c>
      <c r="BK145" s="23">
        <f>Intereses_Residual_Mensual!T145</f>
        <v/>
      </c>
      <c r="BL145" s="23">
        <f>ROUND(BH145 + BK145, 2)</f>
        <v/>
      </c>
    </row>
    <row r="146">
      <c r="A146" s="26" t="inlineStr">
        <is>
          <t>0673-0003</t>
        </is>
      </c>
      <c r="B146" s="27" t="inlineStr">
        <is>
          <t>Juan Carlos Cardenas Arciniega</t>
        </is>
      </c>
      <c r="C146" s="27" t="inlineStr">
        <is>
          <t>Hilux Diesel</t>
        </is>
      </c>
      <c r="D146" s="28" t="n">
        <v>48</v>
      </c>
      <c r="E146" s="29">
        <f>Intereses_Leasing_Mensual!I146</f>
        <v/>
      </c>
      <c r="F146" s="29">
        <f>Amortizacion_Capital_Mensual!J146</f>
        <v/>
      </c>
      <c r="G146" s="29">
        <f>Saldos_Capital_Mensual!I146</f>
        <v/>
      </c>
      <c r="H146" s="29">
        <f>Intereses_Residual_Mensual!I146</f>
        <v/>
      </c>
      <c r="I146" s="29">
        <f>ROUND(E146 + H146, 2)</f>
        <v/>
      </c>
      <c r="J146" s="29">
        <f>Intereses_Leasing_Mensual!J146</f>
        <v/>
      </c>
      <c r="K146" s="29">
        <f>Amortizacion_Capital_Mensual!K146</f>
        <v/>
      </c>
      <c r="L146" s="29">
        <f>Saldos_Capital_Mensual!J146</f>
        <v/>
      </c>
      <c r="M146" s="29">
        <f>Intereses_Residual_Mensual!J146</f>
        <v/>
      </c>
      <c r="N146" s="29">
        <f>ROUND(J146 + M146, 2)</f>
        <v/>
      </c>
      <c r="O146" s="29">
        <f>Intereses_Leasing_Mensual!K146</f>
        <v/>
      </c>
      <c r="P146" s="29">
        <f>Amortizacion_Capital_Mensual!L146</f>
        <v/>
      </c>
      <c r="Q146" s="29">
        <f>Saldos_Capital_Mensual!K146</f>
        <v/>
      </c>
      <c r="R146" s="29">
        <f>Intereses_Residual_Mensual!K146</f>
        <v/>
      </c>
      <c r="S146" s="29">
        <f>ROUND(O146 + R146, 2)</f>
        <v/>
      </c>
      <c r="T146" s="29">
        <f>Intereses_Leasing_Mensual!L146</f>
        <v/>
      </c>
      <c r="U146" s="29">
        <f>Amortizacion_Capital_Mensual!M146</f>
        <v/>
      </c>
      <c r="V146" s="29">
        <f>Saldos_Capital_Mensual!L146</f>
        <v/>
      </c>
      <c r="W146" s="29">
        <f>Intereses_Residual_Mensual!L146</f>
        <v/>
      </c>
      <c r="X146" s="29">
        <f>ROUND(T146 + W146, 2)</f>
        <v/>
      </c>
      <c r="Y146" s="29">
        <f>Intereses_Leasing_Mensual!M146</f>
        <v/>
      </c>
      <c r="Z146" s="29">
        <f>Amortizacion_Capital_Mensual!N146</f>
        <v/>
      </c>
      <c r="AA146" s="29">
        <f>Saldos_Capital_Mensual!M146</f>
        <v/>
      </c>
      <c r="AB146" s="29">
        <f>Intereses_Residual_Mensual!M146</f>
        <v/>
      </c>
      <c r="AC146" s="29">
        <f>ROUND(Y146 + AB146, 2)</f>
        <v/>
      </c>
      <c r="AD146" s="29">
        <f>Intereses_Leasing_Mensual!N146</f>
        <v/>
      </c>
      <c r="AE146" s="29">
        <f>Amortizacion_Capital_Mensual!O146</f>
        <v/>
      </c>
      <c r="AF146" s="29">
        <f>Saldos_Capital_Mensual!N146</f>
        <v/>
      </c>
      <c r="AG146" s="29">
        <f>Intereses_Residual_Mensual!N146</f>
        <v/>
      </c>
      <c r="AH146" s="29">
        <f>ROUND(AD146 + AG146, 2)</f>
        <v/>
      </c>
      <c r="AI146" s="29">
        <f>Intereses_Leasing_Mensual!O146</f>
        <v/>
      </c>
      <c r="AJ146" s="29">
        <f>Amortizacion_Capital_Mensual!P146</f>
        <v/>
      </c>
      <c r="AK146" s="29">
        <f>Saldos_Capital_Mensual!O146</f>
        <v/>
      </c>
      <c r="AL146" s="29">
        <f>Intereses_Residual_Mensual!O146</f>
        <v/>
      </c>
      <c r="AM146" s="29">
        <f>ROUND(AI146 + AL146, 2)</f>
        <v/>
      </c>
      <c r="AN146" s="29">
        <f>Intereses_Leasing_Mensual!P146</f>
        <v/>
      </c>
      <c r="AO146" s="29">
        <f>Amortizacion_Capital_Mensual!Q146</f>
        <v/>
      </c>
      <c r="AP146" s="29">
        <f>Saldos_Capital_Mensual!P146</f>
        <v/>
      </c>
      <c r="AQ146" s="29">
        <f>Intereses_Residual_Mensual!P146</f>
        <v/>
      </c>
      <c r="AR146" s="29">
        <f>ROUND(AN146 + AQ146, 2)</f>
        <v/>
      </c>
      <c r="AS146" s="29">
        <f>Intereses_Leasing_Mensual!Q146</f>
        <v/>
      </c>
      <c r="AT146" s="29">
        <f>Amortizacion_Capital_Mensual!R146</f>
        <v/>
      </c>
      <c r="AU146" s="29">
        <f>Saldos_Capital_Mensual!Q146</f>
        <v/>
      </c>
      <c r="AV146" s="29">
        <f>Intereses_Residual_Mensual!Q146</f>
        <v/>
      </c>
      <c r="AW146" s="29">
        <f>ROUND(AS146 + AV146, 2)</f>
        <v/>
      </c>
      <c r="AX146" s="29">
        <f>Intereses_Leasing_Mensual!R146</f>
        <v/>
      </c>
      <c r="AY146" s="29">
        <f>Amortizacion_Capital_Mensual!S146</f>
        <v/>
      </c>
      <c r="AZ146" s="29">
        <f>Saldos_Capital_Mensual!R146</f>
        <v/>
      </c>
      <c r="BA146" s="29">
        <f>Intereses_Residual_Mensual!R146</f>
        <v/>
      </c>
      <c r="BB146" s="29">
        <f>ROUND(AX146 + BA146, 2)</f>
        <v/>
      </c>
      <c r="BC146" s="29">
        <f>Intereses_Leasing_Mensual!S146</f>
        <v/>
      </c>
      <c r="BD146" s="29">
        <f>Amortizacion_Capital_Mensual!T146</f>
        <v/>
      </c>
      <c r="BE146" s="29">
        <f>Saldos_Capital_Mensual!S146</f>
        <v/>
      </c>
      <c r="BF146" s="29">
        <f>Intereses_Residual_Mensual!S146</f>
        <v/>
      </c>
      <c r="BG146" s="29">
        <f>ROUND(BC146 + BF146, 2)</f>
        <v/>
      </c>
      <c r="BH146" s="29">
        <f>Intereses_Leasing_Mensual!T146</f>
        <v/>
      </c>
      <c r="BI146" s="29">
        <f>Amortizacion_Capital_Mensual!U146</f>
        <v/>
      </c>
      <c r="BJ146" s="29">
        <f>Saldos_Capital_Mensual!T146</f>
        <v/>
      </c>
      <c r="BK146" s="29">
        <f>Intereses_Residual_Mensual!T146</f>
        <v/>
      </c>
      <c r="BL146" s="29">
        <f>ROUND(BH146 + BK146, 2)</f>
        <v/>
      </c>
    </row>
    <row r="147">
      <c r="A147" s="20" t="inlineStr">
        <is>
          <t>0673-0004</t>
        </is>
      </c>
      <c r="B147" s="21" t="inlineStr">
        <is>
          <t>Juan Carlos Cardenas Arciniega</t>
        </is>
      </c>
      <c r="C147" s="21" t="inlineStr">
        <is>
          <t>Np300</t>
        </is>
      </c>
      <c r="D147" s="22" t="n">
        <v>24</v>
      </c>
      <c r="E147" s="23">
        <f>Intereses_Leasing_Mensual!I147</f>
        <v/>
      </c>
      <c r="F147" s="23">
        <f>Amortizacion_Capital_Mensual!J147</f>
        <v/>
      </c>
      <c r="G147" s="23">
        <f>Saldos_Capital_Mensual!I147</f>
        <v/>
      </c>
      <c r="H147" s="23">
        <f>Intereses_Residual_Mensual!I147</f>
        <v/>
      </c>
      <c r="I147" s="23">
        <f>ROUND(E147 + H147, 2)</f>
        <v/>
      </c>
      <c r="J147" s="23">
        <f>Intereses_Leasing_Mensual!J147</f>
        <v/>
      </c>
      <c r="K147" s="23">
        <f>Amortizacion_Capital_Mensual!K147</f>
        <v/>
      </c>
      <c r="L147" s="23">
        <f>Saldos_Capital_Mensual!J147</f>
        <v/>
      </c>
      <c r="M147" s="23">
        <f>Intereses_Residual_Mensual!J147</f>
        <v/>
      </c>
      <c r="N147" s="23">
        <f>ROUND(J147 + M147, 2)</f>
        <v/>
      </c>
      <c r="O147" s="23">
        <f>Intereses_Leasing_Mensual!K147</f>
        <v/>
      </c>
      <c r="P147" s="23">
        <f>Amortizacion_Capital_Mensual!L147</f>
        <v/>
      </c>
      <c r="Q147" s="23">
        <f>Saldos_Capital_Mensual!K147</f>
        <v/>
      </c>
      <c r="R147" s="23">
        <f>Intereses_Residual_Mensual!K147</f>
        <v/>
      </c>
      <c r="S147" s="23">
        <f>ROUND(O147 + R147, 2)</f>
        <v/>
      </c>
      <c r="T147" s="23">
        <f>Intereses_Leasing_Mensual!L147</f>
        <v/>
      </c>
      <c r="U147" s="23">
        <f>Amortizacion_Capital_Mensual!M147</f>
        <v/>
      </c>
      <c r="V147" s="23">
        <f>Saldos_Capital_Mensual!L147</f>
        <v/>
      </c>
      <c r="W147" s="23">
        <f>Intereses_Residual_Mensual!L147</f>
        <v/>
      </c>
      <c r="X147" s="23">
        <f>ROUND(T147 + W147, 2)</f>
        <v/>
      </c>
      <c r="Y147" s="23">
        <f>Intereses_Leasing_Mensual!M147</f>
        <v/>
      </c>
      <c r="Z147" s="23">
        <f>Amortizacion_Capital_Mensual!N147</f>
        <v/>
      </c>
      <c r="AA147" s="23">
        <f>Saldos_Capital_Mensual!M147</f>
        <v/>
      </c>
      <c r="AB147" s="23">
        <f>Intereses_Residual_Mensual!M147</f>
        <v/>
      </c>
      <c r="AC147" s="23">
        <f>ROUND(Y147 + AB147, 2)</f>
        <v/>
      </c>
      <c r="AD147" s="23">
        <f>Intereses_Leasing_Mensual!N147</f>
        <v/>
      </c>
      <c r="AE147" s="23">
        <f>Amortizacion_Capital_Mensual!O147</f>
        <v/>
      </c>
      <c r="AF147" s="23">
        <f>Saldos_Capital_Mensual!N147</f>
        <v/>
      </c>
      <c r="AG147" s="23">
        <f>Intereses_Residual_Mensual!N147</f>
        <v/>
      </c>
      <c r="AH147" s="23">
        <f>ROUND(AD147 + AG147, 2)</f>
        <v/>
      </c>
      <c r="AI147" s="23">
        <f>Intereses_Leasing_Mensual!O147</f>
        <v/>
      </c>
      <c r="AJ147" s="23">
        <f>Amortizacion_Capital_Mensual!P147</f>
        <v/>
      </c>
      <c r="AK147" s="23">
        <f>Saldos_Capital_Mensual!O147</f>
        <v/>
      </c>
      <c r="AL147" s="23">
        <f>Intereses_Residual_Mensual!O147</f>
        <v/>
      </c>
      <c r="AM147" s="23">
        <f>ROUND(AI147 + AL147, 2)</f>
        <v/>
      </c>
      <c r="AN147" s="23">
        <f>Intereses_Leasing_Mensual!P147</f>
        <v/>
      </c>
      <c r="AO147" s="23">
        <f>Amortizacion_Capital_Mensual!Q147</f>
        <v/>
      </c>
      <c r="AP147" s="23">
        <f>Saldos_Capital_Mensual!P147</f>
        <v/>
      </c>
      <c r="AQ147" s="23">
        <f>Intereses_Residual_Mensual!P147</f>
        <v/>
      </c>
      <c r="AR147" s="23">
        <f>ROUND(AN147 + AQ147, 2)</f>
        <v/>
      </c>
      <c r="AS147" s="23">
        <f>Intereses_Leasing_Mensual!Q147</f>
        <v/>
      </c>
      <c r="AT147" s="23">
        <f>Amortizacion_Capital_Mensual!R147</f>
        <v/>
      </c>
      <c r="AU147" s="23">
        <f>Saldos_Capital_Mensual!Q147</f>
        <v/>
      </c>
      <c r="AV147" s="23">
        <f>Intereses_Residual_Mensual!Q147</f>
        <v/>
      </c>
      <c r="AW147" s="23">
        <f>ROUND(AS147 + AV147, 2)</f>
        <v/>
      </c>
      <c r="AX147" s="23">
        <f>Intereses_Leasing_Mensual!R147</f>
        <v/>
      </c>
      <c r="AY147" s="23">
        <f>Amortizacion_Capital_Mensual!S147</f>
        <v/>
      </c>
      <c r="AZ147" s="23">
        <f>Saldos_Capital_Mensual!R147</f>
        <v/>
      </c>
      <c r="BA147" s="23">
        <f>Intereses_Residual_Mensual!R147</f>
        <v/>
      </c>
      <c r="BB147" s="23">
        <f>ROUND(AX147 + BA147, 2)</f>
        <v/>
      </c>
      <c r="BC147" s="23">
        <f>Intereses_Leasing_Mensual!S147</f>
        <v/>
      </c>
      <c r="BD147" s="23">
        <f>Amortizacion_Capital_Mensual!T147</f>
        <v/>
      </c>
      <c r="BE147" s="23">
        <f>Saldos_Capital_Mensual!S147</f>
        <v/>
      </c>
      <c r="BF147" s="23">
        <f>Intereses_Residual_Mensual!S147</f>
        <v/>
      </c>
      <c r="BG147" s="23">
        <f>ROUND(BC147 + BF147, 2)</f>
        <v/>
      </c>
      <c r="BH147" s="23">
        <f>Intereses_Leasing_Mensual!T147</f>
        <v/>
      </c>
      <c r="BI147" s="23">
        <f>Amortizacion_Capital_Mensual!U147</f>
        <v/>
      </c>
      <c r="BJ147" s="23">
        <f>Saldos_Capital_Mensual!T147</f>
        <v/>
      </c>
      <c r="BK147" s="23">
        <f>Intereses_Residual_Mensual!T147</f>
        <v/>
      </c>
      <c r="BL147" s="23">
        <f>ROUND(BH147 + BK147, 2)</f>
        <v/>
      </c>
    </row>
    <row r="148">
      <c r="A148" s="26" t="inlineStr">
        <is>
          <t>0673-0005</t>
        </is>
      </c>
      <c r="B148" s="27" t="inlineStr">
        <is>
          <t>Juan Carlos Cardenas Arciniega</t>
        </is>
      </c>
      <c r="C148" s="27" t="inlineStr">
        <is>
          <t>L200 Glx</t>
        </is>
      </c>
      <c r="D148" s="28" t="n">
        <v>36</v>
      </c>
      <c r="E148" s="29">
        <f>Intereses_Leasing_Mensual!I148</f>
        <v/>
      </c>
      <c r="F148" s="29">
        <f>Amortizacion_Capital_Mensual!J148</f>
        <v/>
      </c>
      <c r="G148" s="29">
        <f>Saldos_Capital_Mensual!I148</f>
        <v/>
      </c>
      <c r="H148" s="29">
        <f>Intereses_Residual_Mensual!I148</f>
        <v/>
      </c>
      <c r="I148" s="29">
        <f>ROUND(E148 + H148, 2)</f>
        <v/>
      </c>
      <c r="J148" s="29">
        <f>Intereses_Leasing_Mensual!J148</f>
        <v/>
      </c>
      <c r="K148" s="29">
        <f>Amortizacion_Capital_Mensual!K148</f>
        <v/>
      </c>
      <c r="L148" s="29">
        <f>Saldos_Capital_Mensual!J148</f>
        <v/>
      </c>
      <c r="M148" s="29">
        <f>Intereses_Residual_Mensual!J148</f>
        <v/>
      </c>
      <c r="N148" s="29">
        <f>ROUND(J148 + M148, 2)</f>
        <v/>
      </c>
      <c r="O148" s="29">
        <f>Intereses_Leasing_Mensual!K148</f>
        <v/>
      </c>
      <c r="P148" s="29">
        <f>Amortizacion_Capital_Mensual!L148</f>
        <v/>
      </c>
      <c r="Q148" s="29">
        <f>Saldos_Capital_Mensual!K148</f>
        <v/>
      </c>
      <c r="R148" s="29">
        <f>Intereses_Residual_Mensual!K148</f>
        <v/>
      </c>
      <c r="S148" s="29">
        <f>ROUND(O148 + R148, 2)</f>
        <v/>
      </c>
      <c r="T148" s="29">
        <f>Intereses_Leasing_Mensual!L148</f>
        <v/>
      </c>
      <c r="U148" s="29">
        <f>Amortizacion_Capital_Mensual!M148</f>
        <v/>
      </c>
      <c r="V148" s="29">
        <f>Saldos_Capital_Mensual!L148</f>
        <v/>
      </c>
      <c r="W148" s="29">
        <f>Intereses_Residual_Mensual!L148</f>
        <v/>
      </c>
      <c r="X148" s="29">
        <f>ROUND(T148 + W148, 2)</f>
        <v/>
      </c>
      <c r="Y148" s="29">
        <f>Intereses_Leasing_Mensual!M148</f>
        <v/>
      </c>
      <c r="Z148" s="29">
        <f>Amortizacion_Capital_Mensual!N148</f>
        <v/>
      </c>
      <c r="AA148" s="29">
        <f>Saldos_Capital_Mensual!M148</f>
        <v/>
      </c>
      <c r="AB148" s="29">
        <f>Intereses_Residual_Mensual!M148</f>
        <v/>
      </c>
      <c r="AC148" s="29">
        <f>ROUND(Y148 + AB148, 2)</f>
        <v/>
      </c>
      <c r="AD148" s="29">
        <f>Intereses_Leasing_Mensual!N148</f>
        <v/>
      </c>
      <c r="AE148" s="29">
        <f>Amortizacion_Capital_Mensual!O148</f>
        <v/>
      </c>
      <c r="AF148" s="29">
        <f>Saldos_Capital_Mensual!N148</f>
        <v/>
      </c>
      <c r="AG148" s="29">
        <f>Intereses_Residual_Mensual!N148</f>
        <v/>
      </c>
      <c r="AH148" s="29">
        <f>ROUND(AD148 + AG148, 2)</f>
        <v/>
      </c>
      <c r="AI148" s="29">
        <f>Intereses_Leasing_Mensual!O148</f>
        <v/>
      </c>
      <c r="AJ148" s="29">
        <f>Amortizacion_Capital_Mensual!P148</f>
        <v/>
      </c>
      <c r="AK148" s="29">
        <f>Saldos_Capital_Mensual!O148</f>
        <v/>
      </c>
      <c r="AL148" s="29">
        <f>Intereses_Residual_Mensual!O148</f>
        <v/>
      </c>
      <c r="AM148" s="29">
        <f>ROUND(AI148 + AL148, 2)</f>
        <v/>
      </c>
      <c r="AN148" s="29">
        <f>Intereses_Leasing_Mensual!P148</f>
        <v/>
      </c>
      <c r="AO148" s="29">
        <f>Amortizacion_Capital_Mensual!Q148</f>
        <v/>
      </c>
      <c r="AP148" s="29">
        <f>Saldos_Capital_Mensual!P148</f>
        <v/>
      </c>
      <c r="AQ148" s="29">
        <f>Intereses_Residual_Mensual!P148</f>
        <v/>
      </c>
      <c r="AR148" s="29">
        <f>ROUND(AN148 + AQ148, 2)</f>
        <v/>
      </c>
      <c r="AS148" s="29">
        <f>Intereses_Leasing_Mensual!Q148</f>
        <v/>
      </c>
      <c r="AT148" s="29">
        <f>Amortizacion_Capital_Mensual!R148</f>
        <v/>
      </c>
      <c r="AU148" s="29">
        <f>Saldos_Capital_Mensual!Q148</f>
        <v/>
      </c>
      <c r="AV148" s="29">
        <f>Intereses_Residual_Mensual!Q148</f>
        <v/>
      </c>
      <c r="AW148" s="29">
        <f>ROUND(AS148 + AV148, 2)</f>
        <v/>
      </c>
      <c r="AX148" s="29">
        <f>Intereses_Leasing_Mensual!R148</f>
        <v/>
      </c>
      <c r="AY148" s="29">
        <f>Amortizacion_Capital_Mensual!S148</f>
        <v/>
      </c>
      <c r="AZ148" s="29">
        <f>Saldos_Capital_Mensual!R148</f>
        <v/>
      </c>
      <c r="BA148" s="29">
        <f>Intereses_Residual_Mensual!R148</f>
        <v/>
      </c>
      <c r="BB148" s="29">
        <f>ROUND(AX148 + BA148, 2)</f>
        <v/>
      </c>
      <c r="BC148" s="29">
        <f>Intereses_Leasing_Mensual!S148</f>
        <v/>
      </c>
      <c r="BD148" s="29">
        <f>Amortizacion_Capital_Mensual!T148</f>
        <v/>
      </c>
      <c r="BE148" s="29">
        <f>Saldos_Capital_Mensual!S148</f>
        <v/>
      </c>
      <c r="BF148" s="29">
        <f>Intereses_Residual_Mensual!S148</f>
        <v/>
      </c>
      <c r="BG148" s="29">
        <f>ROUND(BC148 + BF148, 2)</f>
        <v/>
      </c>
      <c r="BH148" s="29">
        <f>Intereses_Leasing_Mensual!T148</f>
        <v/>
      </c>
      <c r="BI148" s="29">
        <f>Amortizacion_Capital_Mensual!U148</f>
        <v/>
      </c>
      <c r="BJ148" s="29">
        <f>Saldos_Capital_Mensual!T148</f>
        <v/>
      </c>
      <c r="BK148" s="29">
        <f>Intereses_Residual_Mensual!T148</f>
        <v/>
      </c>
      <c r="BL148" s="29">
        <f>ROUND(BH148 + BK148, 2)</f>
        <v/>
      </c>
    </row>
    <row r="149">
      <c r="A149" s="20" t="inlineStr">
        <is>
          <t>0674-0001</t>
        </is>
      </c>
      <c r="B149" s="21" t="inlineStr">
        <is>
          <t>Zuji Sa de Cv</t>
        </is>
      </c>
      <c r="C149" s="21" t="inlineStr">
        <is>
          <t>2008 Allure</t>
        </is>
      </c>
      <c r="D149" s="22" t="n">
        <v>36</v>
      </c>
      <c r="E149" s="23">
        <f>Intereses_Leasing_Mensual!I149</f>
        <v/>
      </c>
      <c r="F149" s="23">
        <f>Amortizacion_Capital_Mensual!J149</f>
        <v/>
      </c>
      <c r="G149" s="23">
        <f>Saldos_Capital_Mensual!I149</f>
        <v/>
      </c>
      <c r="H149" s="23">
        <f>Intereses_Residual_Mensual!I149</f>
        <v/>
      </c>
      <c r="I149" s="23">
        <f>ROUND(E149 + H149, 2)</f>
        <v/>
      </c>
      <c r="J149" s="23">
        <f>Intereses_Leasing_Mensual!J149</f>
        <v/>
      </c>
      <c r="K149" s="23">
        <f>Amortizacion_Capital_Mensual!K149</f>
        <v/>
      </c>
      <c r="L149" s="23">
        <f>Saldos_Capital_Mensual!J149</f>
        <v/>
      </c>
      <c r="M149" s="23">
        <f>Intereses_Residual_Mensual!J149</f>
        <v/>
      </c>
      <c r="N149" s="23">
        <f>ROUND(J149 + M149, 2)</f>
        <v/>
      </c>
      <c r="O149" s="23">
        <f>Intereses_Leasing_Mensual!K149</f>
        <v/>
      </c>
      <c r="P149" s="23">
        <f>Amortizacion_Capital_Mensual!L149</f>
        <v/>
      </c>
      <c r="Q149" s="23">
        <f>Saldos_Capital_Mensual!K149</f>
        <v/>
      </c>
      <c r="R149" s="23">
        <f>Intereses_Residual_Mensual!K149</f>
        <v/>
      </c>
      <c r="S149" s="23">
        <f>ROUND(O149 + R149, 2)</f>
        <v/>
      </c>
      <c r="T149" s="23">
        <f>Intereses_Leasing_Mensual!L149</f>
        <v/>
      </c>
      <c r="U149" s="23">
        <f>Amortizacion_Capital_Mensual!M149</f>
        <v/>
      </c>
      <c r="V149" s="23">
        <f>Saldos_Capital_Mensual!L149</f>
        <v/>
      </c>
      <c r="W149" s="23">
        <f>Intereses_Residual_Mensual!L149</f>
        <v/>
      </c>
      <c r="X149" s="23">
        <f>ROUND(T149 + W149, 2)</f>
        <v/>
      </c>
      <c r="Y149" s="23">
        <f>Intereses_Leasing_Mensual!M149</f>
        <v/>
      </c>
      <c r="Z149" s="23">
        <f>Amortizacion_Capital_Mensual!N149</f>
        <v/>
      </c>
      <c r="AA149" s="23">
        <f>Saldos_Capital_Mensual!M149</f>
        <v/>
      </c>
      <c r="AB149" s="23">
        <f>Intereses_Residual_Mensual!M149</f>
        <v/>
      </c>
      <c r="AC149" s="23">
        <f>ROUND(Y149 + AB149, 2)</f>
        <v/>
      </c>
      <c r="AD149" s="23">
        <f>Intereses_Leasing_Mensual!N149</f>
        <v/>
      </c>
      <c r="AE149" s="23">
        <f>Amortizacion_Capital_Mensual!O149</f>
        <v/>
      </c>
      <c r="AF149" s="23">
        <f>Saldos_Capital_Mensual!N149</f>
        <v/>
      </c>
      <c r="AG149" s="23">
        <f>Intereses_Residual_Mensual!N149</f>
        <v/>
      </c>
      <c r="AH149" s="23">
        <f>ROUND(AD149 + AG149, 2)</f>
        <v/>
      </c>
      <c r="AI149" s="23">
        <f>Intereses_Leasing_Mensual!O149</f>
        <v/>
      </c>
      <c r="AJ149" s="23">
        <f>Amortizacion_Capital_Mensual!P149</f>
        <v/>
      </c>
      <c r="AK149" s="23">
        <f>Saldos_Capital_Mensual!O149</f>
        <v/>
      </c>
      <c r="AL149" s="23">
        <f>Intereses_Residual_Mensual!O149</f>
        <v/>
      </c>
      <c r="AM149" s="23">
        <f>ROUND(AI149 + AL149, 2)</f>
        <v/>
      </c>
      <c r="AN149" s="23">
        <f>Intereses_Leasing_Mensual!P149</f>
        <v/>
      </c>
      <c r="AO149" s="23">
        <f>Amortizacion_Capital_Mensual!Q149</f>
        <v/>
      </c>
      <c r="AP149" s="23">
        <f>Saldos_Capital_Mensual!P149</f>
        <v/>
      </c>
      <c r="AQ149" s="23">
        <f>Intereses_Residual_Mensual!P149</f>
        <v/>
      </c>
      <c r="AR149" s="23">
        <f>ROUND(AN149 + AQ149, 2)</f>
        <v/>
      </c>
      <c r="AS149" s="23">
        <f>Intereses_Leasing_Mensual!Q149</f>
        <v/>
      </c>
      <c r="AT149" s="23">
        <f>Amortizacion_Capital_Mensual!R149</f>
        <v/>
      </c>
      <c r="AU149" s="23">
        <f>Saldos_Capital_Mensual!Q149</f>
        <v/>
      </c>
      <c r="AV149" s="23">
        <f>Intereses_Residual_Mensual!Q149</f>
        <v/>
      </c>
      <c r="AW149" s="23">
        <f>ROUND(AS149 + AV149, 2)</f>
        <v/>
      </c>
      <c r="AX149" s="23">
        <f>Intereses_Leasing_Mensual!R149</f>
        <v/>
      </c>
      <c r="AY149" s="23">
        <f>Amortizacion_Capital_Mensual!S149</f>
        <v/>
      </c>
      <c r="AZ149" s="23">
        <f>Saldos_Capital_Mensual!R149</f>
        <v/>
      </c>
      <c r="BA149" s="23">
        <f>Intereses_Residual_Mensual!R149</f>
        <v/>
      </c>
      <c r="BB149" s="23">
        <f>ROUND(AX149 + BA149, 2)</f>
        <v/>
      </c>
      <c r="BC149" s="23">
        <f>Intereses_Leasing_Mensual!S149</f>
        <v/>
      </c>
      <c r="BD149" s="23">
        <f>Amortizacion_Capital_Mensual!T149</f>
        <v/>
      </c>
      <c r="BE149" s="23">
        <f>Saldos_Capital_Mensual!S149</f>
        <v/>
      </c>
      <c r="BF149" s="23">
        <f>Intereses_Residual_Mensual!S149</f>
        <v/>
      </c>
      <c r="BG149" s="23">
        <f>ROUND(BC149 + BF149, 2)</f>
        <v/>
      </c>
      <c r="BH149" s="23">
        <f>Intereses_Leasing_Mensual!T149</f>
        <v/>
      </c>
      <c r="BI149" s="23">
        <f>Amortizacion_Capital_Mensual!U149</f>
        <v/>
      </c>
      <c r="BJ149" s="23">
        <f>Saldos_Capital_Mensual!T149</f>
        <v/>
      </c>
      <c r="BK149" s="23">
        <f>Intereses_Residual_Mensual!T149</f>
        <v/>
      </c>
      <c r="BL149" s="23">
        <f>ROUND(BH149 + BK149, 2)</f>
        <v/>
      </c>
    </row>
    <row r="150">
      <c r="A150" s="26" t="inlineStr">
        <is>
          <t>0675-0002</t>
        </is>
      </c>
      <c r="B150" s="27" t="inlineStr">
        <is>
          <t>Comercializadora Industrial de Zapopan Sa de Cv</t>
        </is>
      </c>
      <c r="C150" s="27" t="inlineStr">
        <is>
          <t>Valor Residual</t>
        </is>
      </c>
      <c r="D150" s="28" t="n">
        <v>12</v>
      </c>
      <c r="E150" s="29">
        <f>Intereses_Leasing_Mensual!I150</f>
        <v/>
      </c>
      <c r="F150" s="29">
        <f>Amortizacion_Capital_Mensual!J150</f>
        <v/>
      </c>
      <c r="G150" s="29">
        <f>Saldos_Capital_Mensual!I150</f>
        <v/>
      </c>
      <c r="H150" s="29">
        <f>Intereses_Residual_Mensual!I150</f>
        <v/>
      </c>
      <c r="I150" s="29">
        <f>ROUND(E150 + H150, 2)</f>
        <v/>
      </c>
      <c r="J150" s="29">
        <f>Intereses_Leasing_Mensual!J150</f>
        <v/>
      </c>
      <c r="K150" s="29">
        <f>Amortizacion_Capital_Mensual!K150</f>
        <v/>
      </c>
      <c r="L150" s="29">
        <f>Saldos_Capital_Mensual!J150</f>
        <v/>
      </c>
      <c r="M150" s="29">
        <f>Intereses_Residual_Mensual!J150</f>
        <v/>
      </c>
      <c r="N150" s="29">
        <f>ROUND(J150 + M150, 2)</f>
        <v/>
      </c>
      <c r="O150" s="29">
        <f>Intereses_Leasing_Mensual!K150</f>
        <v/>
      </c>
      <c r="P150" s="29">
        <f>Amortizacion_Capital_Mensual!L150</f>
        <v/>
      </c>
      <c r="Q150" s="29">
        <f>Saldos_Capital_Mensual!K150</f>
        <v/>
      </c>
      <c r="R150" s="29">
        <f>Intereses_Residual_Mensual!K150</f>
        <v/>
      </c>
      <c r="S150" s="29">
        <f>ROUND(O150 + R150, 2)</f>
        <v/>
      </c>
      <c r="T150" s="29">
        <f>Intereses_Leasing_Mensual!L150</f>
        <v/>
      </c>
      <c r="U150" s="29">
        <f>Amortizacion_Capital_Mensual!M150</f>
        <v/>
      </c>
      <c r="V150" s="29">
        <f>Saldos_Capital_Mensual!L150</f>
        <v/>
      </c>
      <c r="W150" s="29">
        <f>Intereses_Residual_Mensual!L150</f>
        <v/>
      </c>
      <c r="X150" s="29">
        <f>ROUND(T150 + W150, 2)</f>
        <v/>
      </c>
      <c r="Y150" s="29">
        <f>Intereses_Leasing_Mensual!M150</f>
        <v/>
      </c>
      <c r="Z150" s="29">
        <f>Amortizacion_Capital_Mensual!N150</f>
        <v/>
      </c>
      <c r="AA150" s="29">
        <f>Saldos_Capital_Mensual!M150</f>
        <v/>
      </c>
      <c r="AB150" s="29">
        <f>Intereses_Residual_Mensual!M150</f>
        <v/>
      </c>
      <c r="AC150" s="29">
        <f>ROUND(Y150 + AB150, 2)</f>
        <v/>
      </c>
      <c r="AD150" s="29">
        <f>Intereses_Leasing_Mensual!N150</f>
        <v/>
      </c>
      <c r="AE150" s="29">
        <f>Amortizacion_Capital_Mensual!O150</f>
        <v/>
      </c>
      <c r="AF150" s="29">
        <f>Saldos_Capital_Mensual!N150</f>
        <v/>
      </c>
      <c r="AG150" s="29">
        <f>Intereses_Residual_Mensual!N150</f>
        <v/>
      </c>
      <c r="AH150" s="29">
        <f>ROUND(AD150 + AG150, 2)</f>
        <v/>
      </c>
      <c r="AI150" s="29">
        <f>Intereses_Leasing_Mensual!O150</f>
        <v/>
      </c>
      <c r="AJ150" s="29">
        <f>Amortizacion_Capital_Mensual!P150</f>
        <v/>
      </c>
      <c r="AK150" s="29">
        <f>Saldos_Capital_Mensual!O150</f>
        <v/>
      </c>
      <c r="AL150" s="29">
        <f>Intereses_Residual_Mensual!O150</f>
        <v/>
      </c>
      <c r="AM150" s="29">
        <f>ROUND(AI150 + AL150, 2)</f>
        <v/>
      </c>
      <c r="AN150" s="29">
        <f>Intereses_Leasing_Mensual!P150</f>
        <v/>
      </c>
      <c r="AO150" s="29">
        <f>Amortizacion_Capital_Mensual!Q150</f>
        <v/>
      </c>
      <c r="AP150" s="29">
        <f>Saldos_Capital_Mensual!P150</f>
        <v/>
      </c>
      <c r="AQ150" s="29">
        <f>Intereses_Residual_Mensual!P150</f>
        <v/>
      </c>
      <c r="AR150" s="29">
        <f>ROUND(AN150 + AQ150, 2)</f>
        <v/>
      </c>
      <c r="AS150" s="29">
        <f>Intereses_Leasing_Mensual!Q150</f>
        <v/>
      </c>
      <c r="AT150" s="29">
        <f>Amortizacion_Capital_Mensual!R150</f>
        <v/>
      </c>
      <c r="AU150" s="29">
        <f>Saldos_Capital_Mensual!Q150</f>
        <v/>
      </c>
      <c r="AV150" s="29">
        <f>Intereses_Residual_Mensual!Q150</f>
        <v/>
      </c>
      <c r="AW150" s="29">
        <f>ROUND(AS150 + AV150, 2)</f>
        <v/>
      </c>
      <c r="AX150" s="29">
        <f>Intereses_Leasing_Mensual!R150</f>
        <v/>
      </c>
      <c r="AY150" s="29">
        <f>Amortizacion_Capital_Mensual!S150</f>
        <v/>
      </c>
      <c r="AZ150" s="29">
        <f>Saldos_Capital_Mensual!R150</f>
        <v/>
      </c>
      <c r="BA150" s="29">
        <f>Intereses_Residual_Mensual!R150</f>
        <v/>
      </c>
      <c r="BB150" s="29">
        <f>ROUND(AX150 + BA150, 2)</f>
        <v/>
      </c>
      <c r="BC150" s="29">
        <f>Intereses_Leasing_Mensual!S150</f>
        <v/>
      </c>
      <c r="BD150" s="29">
        <f>Amortizacion_Capital_Mensual!T150</f>
        <v/>
      </c>
      <c r="BE150" s="29">
        <f>Saldos_Capital_Mensual!S150</f>
        <v/>
      </c>
      <c r="BF150" s="29">
        <f>Intereses_Residual_Mensual!S150</f>
        <v/>
      </c>
      <c r="BG150" s="29">
        <f>ROUND(BC150 + BF150, 2)</f>
        <v/>
      </c>
      <c r="BH150" s="29">
        <f>Intereses_Leasing_Mensual!T150</f>
        <v/>
      </c>
      <c r="BI150" s="29">
        <f>Amortizacion_Capital_Mensual!U150</f>
        <v/>
      </c>
      <c r="BJ150" s="29">
        <f>Saldos_Capital_Mensual!T150</f>
        <v/>
      </c>
      <c r="BK150" s="29">
        <f>Intereses_Residual_Mensual!T150</f>
        <v/>
      </c>
      <c r="BL150" s="29">
        <f>ROUND(BH150 + BK150, 2)</f>
        <v/>
      </c>
    </row>
    <row r="151">
      <c r="A151" s="20" t="inlineStr">
        <is>
          <t>0676-0001</t>
        </is>
      </c>
      <c r="B151" s="21" t="inlineStr">
        <is>
          <t>Productora Agricola los Amoles</t>
        </is>
      </c>
      <c r="C151" s="21" t="inlineStr">
        <is>
          <t>Ram 700 Regular Cab</t>
        </is>
      </c>
      <c r="D151" s="22" t="n">
        <v>36</v>
      </c>
      <c r="E151" s="23">
        <f>Intereses_Leasing_Mensual!I151</f>
        <v/>
      </c>
      <c r="F151" s="23">
        <f>Amortizacion_Capital_Mensual!J151</f>
        <v/>
      </c>
      <c r="G151" s="23">
        <f>Saldos_Capital_Mensual!I151</f>
        <v/>
      </c>
      <c r="H151" s="23">
        <f>Intereses_Residual_Mensual!I151</f>
        <v/>
      </c>
      <c r="I151" s="23">
        <f>ROUND(E151 + H151, 2)</f>
        <v/>
      </c>
      <c r="J151" s="23">
        <f>Intereses_Leasing_Mensual!J151</f>
        <v/>
      </c>
      <c r="K151" s="23">
        <f>Amortizacion_Capital_Mensual!K151</f>
        <v/>
      </c>
      <c r="L151" s="23">
        <f>Saldos_Capital_Mensual!J151</f>
        <v/>
      </c>
      <c r="M151" s="23">
        <f>Intereses_Residual_Mensual!J151</f>
        <v/>
      </c>
      <c r="N151" s="23">
        <f>ROUND(J151 + M151, 2)</f>
        <v/>
      </c>
      <c r="O151" s="23">
        <f>Intereses_Leasing_Mensual!K151</f>
        <v/>
      </c>
      <c r="P151" s="23">
        <f>Amortizacion_Capital_Mensual!L151</f>
        <v/>
      </c>
      <c r="Q151" s="23">
        <f>Saldos_Capital_Mensual!K151</f>
        <v/>
      </c>
      <c r="R151" s="23">
        <f>Intereses_Residual_Mensual!K151</f>
        <v/>
      </c>
      <c r="S151" s="23">
        <f>ROUND(O151 + R151, 2)</f>
        <v/>
      </c>
      <c r="T151" s="23">
        <f>Intereses_Leasing_Mensual!L151</f>
        <v/>
      </c>
      <c r="U151" s="23">
        <f>Amortizacion_Capital_Mensual!M151</f>
        <v/>
      </c>
      <c r="V151" s="23">
        <f>Saldos_Capital_Mensual!L151</f>
        <v/>
      </c>
      <c r="W151" s="23">
        <f>Intereses_Residual_Mensual!L151</f>
        <v/>
      </c>
      <c r="X151" s="23">
        <f>ROUND(T151 + W151, 2)</f>
        <v/>
      </c>
      <c r="Y151" s="23">
        <f>Intereses_Leasing_Mensual!M151</f>
        <v/>
      </c>
      <c r="Z151" s="23">
        <f>Amortizacion_Capital_Mensual!N151</f>
        <v/>
      </c>
      <c r="AA151" s="23">
        <f>Saldos_Capital_Mensual!M151</f>
        <v/>
      </c>
      <c r="AB151" s="23">
        <f>Intereses_Residual_Mensual!M151</f>
        <v/>
      </c>
      <c r="AC151" s="23">
        <f>ROUND(Y151 + AB151, 2)</f>
        <v/>
      </c>
      <c r="AD151" s="23">
        <f>Intereses_Leasing_Mensual!N151</f>
        <v/>
      </c>
      <c r="AE151" s="23">
        <f>Amortizacion_Capital_Mensual!O151</f>
        <v/>
      </c>
      <c r="AF151" s="23">
        <f>Saldos_Capital_Mensual!N151</f>
        <v/>
      </c>
      <c r="AG151" s="23">
        <f>Intereses_Residual_Mensual!N151</f>
        <v/>
      </c>
      <c r="AH151" s="23">
        <f>ROUND(AD151 + AG151, 2)</f>
        <v/>
      </c>
      <c r="AI151" s="23">
        <f>Intereses_Leasing_Mensual!O151</f>
        <v/>
      </c>
      <c r="AJ151" s="23">
        <f>Amortizacion_Capital_Mensual!P151</f>
        <v/>
      </c>
      <c r="AK151" s="23">
        <f>Saldos_Capital_Mensual!O151</f>
        <v/>
      </c>
      <c r="AL151" s="23">
        <f>Intereses_Residual_Mensual!O151</f>
        <v/>
      </c>
      <c r="AM151" s="23">
        <f>ROUND(AI151 + AL151, 2)</f>
        <v/>
      </c>
      <c r="AN151" s="23">
        <f>Intereses_Leasing_Mensual!P151</f>
        <v/>
      </c>
      <c r="AO151" s="23">
        <f>Amortizacion_Capital_Mensual!Q151</f>
        <v/>
      </c>
      <c r="AP151" s="23">
        <f>Saldos_Capital_Mensual!P151</f>
        <v/>
      </c>
      <c r="AQ151" s="23">
        <f>Intereses_Residual_Mensual!P151</f>
        <v/>
      </c>
      <c r="AR151" s="23">
        <f>ROUND(AN151 + AQ151, 2)</f>
        <v/>
      </c>
      <c r="AS151" s="23">
        <f>Intereses_Leasing_Mensual!Q151</f>
        <v/>
      </c>
      <c r="AT151" s="23">
        <f>Amortizacion_Capital_Mensual!R151</f>
        <v/>
      </c>
      <c r="AU151" s="23">
        <f>Saldos_Capital_Mensual!Q151</f>
        <v/>
      </c>
      <c r="AV151" s="23">
        <f>Intereses_Residual_Mensual!Q151</f>
        <v/>
      </c>
      <c r="AW151" s="23">
        <f>ROUND(AS151 + AV151, 2)</f>
        <v/>
      </c>
      <c r="AX151" s="23">
        <f>Intereses_Leasing_Mensual!R151</f>
        <v/>
      </c>
      <c r="AY151" s="23">
        <f>Amortizacion_Capital_Mensual!S151</f>
        <v/>
      </c>
      <c r="AZ151" s="23">
        <f>Saldos_Capital_Mensual!R151</f>
        <v/>
      </c>
      <c r="BA151" s="23">
        <f>Intereses_Residual_Mensual!R151</f>
        <v/>
      </c>
      <c r="BB151" s="23">
        <f>ROUND(AX151 + BA151, 2)</f>
        <v/>
      </c>
      <c r="BC151" s="23">
        <f>Intereses_Leasing_Mensual!S151</f>
        <v/>
      </c>
      <c r="BD151" s="23">
        <f>Amortizacion_Capital_Mensual!T151</f>
        <v/>
      </c>
      <c r="BE151" s="23">
        <f>Saldos_Capital_Mensual!S151</f>
        <v/>
      </c>
      <c r="BF151" s="23">
        <f>Intereses_Residual_Mensual!S151</f>
        <v/>
      </c>
      <c r="BG151" s="23">
        <f>ROUND(BC151 + BF151, 2)</f>
        <v/>
      </c>
      <c r="BH151" s="23">
        <f>Intereses_Leasing_Mensual!T151</f>
        <v/>
      </c>
      <c r="BI151" s="23">
        <f>Amortizacion_Capital_Mensual!U151</f>
        <v/>
      </c>
      <c r="BJ151" s="23">
        <f>Saldos_Capital_Mensual!T151</f>
        <v/>
      </c>
      <c r="BK151" s="23">
        <f>Intereses_Residual_Mensual!T151</f>
        <v/>
      </c>
      <c r="BL151" s="23">
        <f>ROUND(BH151 + BK151, 2)</f>
        <v/>
      </c>
    </row>
    <row r="152">
      <c r="A152" s="26" t="inlineStr">
        <is>
          <t>0677-0001</t>
        </is>
      </c>
      <c r="B152" s="27" t="inlineStr">
        <is>
          <t>Laboratorio Inunza Siglo XXI</t>
        </is>
      </c>
      <c r="C152" s="27" t="inlineStr">
        <is>
          <t>Outlander Diamon</t>
        </is>
      </c>
      <c r="D152" s="28" t="n">
        <v>36</v>
      </c>
      <c r="E152" s="29">
        <f>Intereses_Leasing_Mensual!I152</f>
        <v/>
      </c>
      <c r="F152" s="29">
        <f>Amortizacion_Capital_Mensual!J152</f>
        <v/>
      </c>
      <c r="G152" s="29">
        <f>Saldos_Capital_Mensual!I152</f>
        <v/>
      </c>
      <c r="H152" s="29">
        <f>Intereses_Residual_Mensual!I152</f>
        <v/>
      </c>
      <c r="I152" s="29">
        <f>ROUND(E152 + H152, 2)</f>
        <v/>
      </c>
      <c r="J152" s="29">
        <f>Intereses_Leasing_Mensual!J152</f>
        <v/>
      </c>
      <c r="K152" s="29">
        <f>Amortizacion_Capital_Mensual!K152</f>
        <v/>
      </c>
      <c r="L152" s="29">
        <f>Saldos_Capital_Mensual!J152</f>
        <v/>
      </c>
      <c r="M152" s="29">
        <f>Intereses_Residual_Mensual!J152</f>
        <v/>
      </c>
      <c r="N152" s="29">
        <f>ROUND(J152 + M152, 2)</f>
        <v/>
      </c>
      <c r="O152" s="29">
        <f>Intereses_Leasing_Mensual!K152</f>
        <v/>
      </c>
      <c r="P152" s="29">
        <f>Amortizacion_Capital_Mensual!L152</f>
        <v/>
      </c>
      <c r="Q152" s="29">
        <f>Saldos_Capital_Mensual!K152</f>
        <v/>
      </c>
      <c r="R152" s="29">
        <f>Intereses_Residual_Mensual!K152</f>
        <v/>
      </c>
      <c r="S152" s="29">
        <f>ROUND(O152 + R152, 2)</f>
        <v/>
      </c>
      <c r="T152" s="29">
        <f>Intereses_Leasing_Mensual!L152</f>
        <v/>
      </c>
      <c r="U152" s="29">
        <f>Amortizacion_Capital_Mensual!M152</f>
        <v/>
      </c>
      <c r="V152" s="29">
        <f>Saldos_Capital_Mensual!L152</f>
        <v/>
      </c>
      <c r="W152" s="29">
        <f>Intereses_Residual_Mensual!L152</f>
        <v/>
      </c>
      <c r="X152" s="29">
        <f>ROUND(T152 + W152, 2)</f>
        <v/>
      </c>
      <c r="Y152" s="29">
        <f>Intereses_Leasing_Mensual!M152</f>
        <v/>
      </c>
      <c r="Z152" s="29">
        <f>Amortizacion_Capital_Mensual!N152</f>
        <v/>
      </c>
      <c r="AA152" s="29">
        <f>Saldos_Capital_Mensual!M152</f>
        <v/>
      </c>
      <c r="AB152" s="29">
        <f>Intereses_Residual_Mensual!M152</f>
        <v/>
      </c>
      <c r="AC152" s="29">
        <f>ROUND(Y152 + AB152, 2)</f>
        <v/>
      </c>
      <c r="AD152" s="29">
        <f>Intereses_Leasing_Mensual!N152</f>
        <v/>
      </c>
      <c r="AE152" s="29">
        <f>Amortizacion_Capital_Mensual!O152</f>
        <v/>
      </c>
      <c r="AF152" s="29">
        <f>Saldos_Capital_Mensual!N152</f>
        <v/>
      </c>
      <c r="AG152" s="29">
        <f>Intereses_Residual_Mensual!N152</f>
        <v/>
      </c>
      <c r="AH152" s="29">
        <f>ROUND(AD152 + AG152, 2)</f>
        <v/>
      </c>
      <c r="AI152" s="29">
        <f>Intereses_Leasing_Mensual!O152</f>
        <v/>
      </c>
      <c r="AJ152" s="29">
        <f>Amortizacion_Capital_Mensual!P152</f>
        <v/>
      </c>
      <c r="AK152" s="29">
        <f>Saldos_Capital_Mensual!O152</f>
        <v/>
      </c>
      <c r="AL152" s="29">
        <f>Intereses_Residual_Mensual!O152</f>
        <v/>
      </c>
      <c r="AM152" s="29">
        <f>ROUND(AI152 + AL152, 2)</f>
        <v/>
      </c>
      <c r="AN152" s="29">
        <f>Intereses_Leasing_Mensual!P152</f>
        <v/>
      </c>
      <c r="AO152" s="29">
        <f>Amortizacion_Capital_Mensual!Q152</f>
        <v/>
      </c>
      <c r="AP152" s="29">
        <f>Saldos_Capital_Mensual!P152</f>
        <v/>
      </c>
      <c r="AQ152" s="29">
        <f>Intereses_Residual_Mensual!P152</f>
        <v/>
      </c>
      <c r="AR152" s="29">
        <f>ROUND(AN152 + AQ152, 2)</f>
        <v/>
      </c>
      <c r="AS152" s="29">
        <f>Intereses_Leasing_Mensual!Q152</f>
        <v/>
      </c>
      <c r="AT152" s="29">
        <f>Amortizacion_Capital_Mensual!R152</f>
        <v/>
      </c>
      <c r="AU152" s="29">
        <f>Saldos_Capital_Mensual!Q152</f>
        <v/>
      </c>
      <c r="AV152" s="29">
        <f>Intereses_Residual_Mensual!Q152</f>
        <v/>
      </c>
      <c r="AW152" s="29">
        <f>ROUND(AS152 + AV152, 2)</f>
        <v/>
      </c>
      <c r="AX152" s="29">
        <f>Intereses_Leasing_Mensual!R152</f>
        <v/>
      </c>
      <c r="AY152" s="29">
        <f>Amortizacion_Capital_Mensual!S152</f>
        <v/>
      </c>
      <c r="AZ152" s="29">
        <f>Saldos_Capital_Mensual!R152</f>
        <v/>
      </c>
      <c r="BA152" s="29">
        <f>Intereses_Residual_Mensual!R152</f>
        <v/>
      </c>
      <c r="BB152" s="29">
        <f>ROUND(AX152 + BA152, 2)</f>
        <v/>
      </c>
      <c r="BC152" s="29">
        <f>Intereses_Leasing_Mensual!S152</f>
        <v/>
      </c>
      <c r="BD152" s="29">
        <f>Amortizacion_Capital_Mensual!T152</f>
        <v/>
      </c>
      <c r="BE152" s="29">
        <f>Saldos_Capital_Mensual!S152</f>
        <v/>
      </c>
      <c r="BF152" s="29">
        <f>Intereses_Residual_Mensual!S152</f>
        <v/>
      </c>
      <c r="BG152" s="29">
        <f>ROUND(BC152 + BF152, 2)</f>
        <v/>
      </c>
      <c r="BH152" s="29">
        <f>Intereses_Leasing_Mensual!T152</f>
        <v/>
      </c>
      <c r="BI152" s="29">
        <f>Amortizacion_Capital_Mensual!U152</f>
        <v/>
      </c>
      <c r="BJ152" s="29">
        <f>Saldos_Capital_Mensual!T152</f>
        <v/>
      </c>
      <c r="BK152" s="29">
        <f>Intereses_Residual_Mensual!T152</f>
        <v/>
      </c>
      <c r="BL152" s="29">
        <f>ROUND(BH152 + BK152, 2)</f>
        <v/>
      </c>
    </row>
    <row r="153">
      <c r="A153" s="20" t="inlineStr">
        <is>
          <t>0678-0002</t>
        </is>
      </c>
      <c r="B153" s="21" t="inlineStr">
        <is>
          <t>Bhg Harmony S de Rl de Cv</t>
        </is>
      </c>
      <c r="C153" s="21" t="inlineStr">
        <is>
          <t>Teramont</t>
        </is>
      </c>
      <c r="D153" s="22" t="n">
        <v>12</v>
      </c>
      <c r="E153" s="23">
        <f>Intereses_Leasing_Mensual!I153</f>
        <v/>
      </c>
      <c r="F153" s="23">
        <f>Amortizacion_Capital_Mensual!J153</f>
        <v/>
      </c>
      <c r="G153" s="23">
        <f>Saldos_Capital_Mensual!I153</f>
        <v/>
      </c>
      <c r="H153" s="23">
        <f>Intereses_Residual_Mensual!I153</f>
        <v/>
      </c>
      <c r="I153" s="23">
        <f>ROUND(E153 + H153, 2)</f>
        <v/>
      </c>
      <c r="J153" s="23">
        <f>Intereses_Leasing_Mensual!J153</f>
        <v/>
      </c>
      <c r="K153" s="23">
        <f>Amortizacion_Capital_Mensual!K153</f>
        <v/>
      </c>
      <c r="L153" s="23">
        <f>Saldos_Capital_Mensual!J153</f>
        <v/>
      </c>
      <c r="M153" s="23">
        <f>Intereses_Residual_Mensual!J153</f>
        <v/>
      </c>
      <c r="N153" s="23">
        <f>ROUND(J153 + M153, 2)</f>
        <v/>
      </c>
      <c r="O153" s="23">
        <f>Intereses_Leasing_Mensual!K153</f>
        <v/>
      </c>
      <c r="P153" s="23">
        <f>Amortizacion_Capital_Mensual!L153</f>
        <v/>
      </c>
      <c r="Q153" s="23">
        <f>Saldos_Capital_Mensual!K153</f>
        <v/>
      </c>
      <c r="R153" s="23">
        <f>Intereses_Residual_Mensual!K153</f>
        <v/>
      </c>
      <c r="S153" s="23">
        <f>ROUND(O153 + R153, 2)</f>
        <v/>
      </c>
      <c r="T153" s="23">
        <f>Intereses_Leasing_Mensual!L153</f>
        <v/>
      </c>
      <c r="U153" s="23">
        <f>Amortizacion_Capital_Mensual!M153</f>
        <v/>
      </c>
      <c r="V153" s="23">
        <f>Saldos_Capital_Mensual!L153</f>
        <v/>
      </c>
      <c r="W153" s="23">
        <f>Intereses_Residual_Mensual!L153</f>
        <v/>
      </c>
      <c r="X153" s="23">
        <f>ROUND(T153 + W153, 2)</f>
        <v/>
      </c>
      <c r="Y153" s="23">
        <f>Intereses_Leasing_Mensual!M153</f>
        <v/>
      </c>
      <c r="Z153" s="23">
        <f>Amortizacion_Capital_Mensual!N153</f>
        <v/>
      </c>
      <c r="AA153" s="23">
        <f>Saldos_Capital_Mensual!M153</f>
        <v/>
      </c>
      <c r="AB153" s="23">
        <f>Intereses_Residual_Mensual!M153</f>
        <v/>
      </c>
      <c r="AC153" s="23">
        <f>ROUND(Y153 + AB153, 2)</f>
        <v/>
      </c>
      <c r="AD153" s="23">
        <f>Intereses_Leasing_Mensual!N153</f>
        <v/>
      </c>
      <c r="AE153" s="23">
        <f>Amortizacion_Capital_Mensual!O153</f>
        <v/>
      </c>
      <c r="AF153" s="23">
        <f>Saldos_Capital_Mensual!N153</f>
        <v/>
      </c>
      <c r="AG153" s="23">
        <f>Intereses_Residual_Mensual!N153</f>
        <v/>
      </c>
      <c r="AH153" s="23">
        <f>ROUND(AD153 + AG153, 2)</f>
        <v/>
      </c>
      <c r="AI153" s="23">
        <f>Intereses_Leasing_Mensual!O153</f>
        <v/>
      </c>
      <c r="AJ153" s="23">
        <f>Amortizacion_Capital_Mensual!P153</f>
        <v/>
      </c>
      <c r="AK153" s="23">
        <f>Saldos_Capital_Mensual!O153</f>
        <v/>
      </c>
      <c r="AL153" s="23">
        <f>Intereses_Residual_Mensual!O153</f>
        <v/>
      </c>
      <c r="AM153" s="23">
        <f>ROUND(AI153 + AL153, 2)</f>
        <v/>
      </c>
      <c r="AN153" s="23">
        <f>Intereses_Leasing_Mensual!P153</f>
        <v/>
      </c>
      <c r="AO153" s="23">
        <f>Amortizacion_Capital_Mensual!Q153</f>
        <v/>
      </c>
      <c r="AP153" s="23">
        <f>Saldos_Capital_Mensual!P153</f>
        <v/>
      </c>
      <c r="AQ153" s="23">
        <f>Intereses_Residual_Mensual!P153</f>
        <v/>
      </c>
      <c r="AR153" s="23">
        <f>ROUND(AN153 + AQ153, 2)</f>
        <v/>
      </c>
      <c r="AS153" s="23">
        <f>Intereses_Leasing_Mensual!Q153</f>
        <v/>
      </c>
      <c r="AT153" s="23">
        <f>Amortizacion_Capital_Mensual!R153</f>
        <v/>
      </c>
      <c r="AU153" s="23">
        <f>Saldos_Capital_Mensual!Q153</f>
        <v/>
      </c>
      <c r="AV153" s="23">
        <f>Intereses_Residual_Mensual!Q153</f>
        <v/>
      </c>
      <c r="AW153" s="23">
        <f>ROUND(AS153 + AV153, 2)</f>
        <v/>
      </c>
      <c r="AX153" s="23">
        <f>Intereses_Leasing_Mensual!R153</f>
        <v/>
      </c>
      <c r="AY153" s="23">
        <f>Amortizacion_Capital_Mensual!S153</f>
        <v/>
      </c>
      <c r="AZ153" s="23">
        <f>Saldos_Capital_Mensual!R153</f>
        <v/>
      </c>
      <c r="BA153" s="23">
        <f>Intereses_Residual_Mensual!R153</f>
        <v/>
      </c>
      <c r="BB153" s="23">
        <f>ROUND(AX153 + BA153, 2)</f>
        <v/>
      </c>
      <c r="BC153" s="23">
        <f>Intereses_Leasing_Mensual!S153</f>
        <v/>
      </c>
      <c r="BD153" s="23">
        <f>Amortizacion_Capital_Mensual!T153</f>
        <v/>
      </c>
      <c r="BE153" s="23">
        <f>Saldos_Capital_Mensual!S153</f>
        <v/>
      </c>
      <c r="BF153" s="23">
        <f>Intereses_Residual_Mensual!S153</f>
        <v/>
      </c>
      <c r="BG153" s="23">
        <f>ROUND(BC153 + BF153, 2)</f>
        <v/>
      </c>
      <c r="BH153" s="23">
        <f>Intereses_Leasing_Mensual!T153</f>
        <v/>
      </c>
      <c r="BI153" s="23">
        <f>Amortizacion_Capital_Mensual!U153</f>
        <v/>
      </c>
      <c r="BJ153" s="23">
        <f>Saldos_Capital_Mensual!T153</f>
        <v/>
      </c>
      <c r="BK153" s="23">
        <f>Intereses_Residual_Mensual!T153</f>
        <v/>
      </c>
      <c r="BL153" s="23">
        <f>ROUND(BH153 + BK153, 2)</f>
        <v/>
      </c>
    </row>
    <row r="154">
      <c r="A154" s="26" t="inlineStr">
        <is>
          <t>0679-0001</t>
        </is>
      </c>
      <c r="B154" s="27" t="inlineStr">
        <is>
          <t>Naikor de Occidente Sa de Cv</t>
        </is>
      </c>
      <c r="C154" s="27" t="inlineStr">
        <is>
          <t>2008</t>
        </is>
      </c>
      <c r="D154" s="28" t="n">
        <v>48</v>
      </c>
      <c r="E154" s="29">
        <f>Intereses_Leasing_Mensual!I154</f>
        <v/>
      </c>
      <c r="F154" s="29">
        <f>Amortizacion_Capital_Mensual!J154</f>
        <v/>
      </c>
      <c r="G154" s="29">
        <f>Saldos_Capital_Mensual!I154</f>
        <v/>
      </c>
      <c r="H154" s="29">
        <f>Intereses_Residual_Mensual!I154</f>
        <v/>
      </c>
      <c r="I154" s="29">
        <f>ROUND(E154 + H154, 2)</f>
        <v/>
      </c>
      <c r="J154" s="29">
        <f>Intereses_Leasing_Mensual!J154</f>
        <v/>
      </c>
      <c r="K154" s="29">
        <f>Amortizacion_Capital_Mensual!K154</f>
        <v/>
      </c>
      <c r="L154" s="29">
        <f>Saldos_Capital_Mensual!J154</f>
        <v/>
      </c>
      <c r="M154" s="29">
        <f>Intereses_Residual_Mensual!J154</f>
        <v/>
      </c>
      <c r="N154" s="29">
        <f>ROUND(J154 + M154, 2)</f>
        <v/>
      </c>
      <c r="O154" s="29">
        <f>Intereses_Leasing_Mensual!K154</f>
        <v/>
      </c>
      <c r="P154" s="29">
        <f>Amortizacion_Capital_Mensual!L154</f>
        <v/>
      </c>
      <c r="Q154" s="29">
        <f>Saldos_Capital_Mensual!K154</f>
        <v/>
      </c>
      <c r="R154" s="29">
        <f>Intereses_Residual_Mensual!K154</f>
        <v/>
      </c>
      <c r="S154" s="29">
        <f>ROUND(O154 + R154, 2)</f>
        <v/>
      </c>
      <c r="T154" s="29">
        <f>Intereses_Leasing_Mensual!L154</f>
        <v/>
      </c>
      <c r="U154" s="29">
        <f>Amortizacion_Capital_Mensual!M154</f>
        <v/>
      </c>
      <c r="V154" s="29">
        <f>Saldos_Capital_Mensual!L154</f>
        <v/>
      </c>
      <c r="W154" s="29">
        <f>Intereses_Residual_Mensual!L154</f>
        <v/>
      </c>
      <c r="X154" s="29">
        <f>ROUND(T154 + W154, 2)</f>
        <v/>
      </c>
      <c r="Y154" s="29">
        <f>Intereses_Leasing_Mensual!M154</f>
        <v/>
      </c>
      <c r="Z154" s="29">
        <f>Amortizacion_Capital_Mensual!N154</f>
        <v/>
      </c>
      <c r="AA154" s="29">
        <f>Saldos_Capital_Mensual!M154</f>
        <v/>
      </c>
      <c r="AB154" s="29">
        <f>Intereses_Residual_Mensual!M154</f>
        <v/>
      </c>
      <c r="AC154" s="29">
        <f>ROUND(Y154 + AB154, 2)</f>
        <v/>
      </c>
      <c r="AD154" s="29">
        <f>Intereses_Leasing_Mensual!N154</f>
        <v/>
      </c>
      <c r="AE154" s="29">
        <f>Amortizacion_Capital_Mensual!O154</f>
        <v/>
      </c>
      <c r="AF154" s="29">
        <f>Saldos_Capital_Mensual!N154</f>
        <v/>
      </c>
      <c r="AG154" s="29">
        <f>Intereses_Residual_Mensual!N154</f>
        <v/>
      </c>
      <c r="AH154" s="29">
        <f>ROUND(AD154 + AG154, 2)</f>
        <v/>
      </c>
      <c r="AI154" s="29">
        <f>Intereses_Leasing_Mensual!O154</f>
        <v/>
      </c>
      <c r="AJ154" s="29">
        <f>Amortizacion_Capital_Mensual!P154</f>
        <v/>
      </c>
      <c r="AK154" s="29">
        <f>Saldos_Capital_Mensual!O154</f>
        <v/>
      </c>
      <c r="AL154" s="29">
        <f>Intereses_Residual_Mensual!O154</f>
        <v/>
      </c>
      <c r="AM154" s="29">
        <f>ROUND(AI154 + AL154, 2)</f>
        <v/>
      </c>
      <c r="AN154" s="29">
        <f>Intereses_Leasing_Mensual!P154</f>
        <v/>
      </c>
      <c r="AO154" s="29">
        <f>Amortizacion_Capital_Mensual!Q154</f>
        <v/>
      </c>
      <c r="AP154" s="29">
        <f>Saldos_Capital_Mensual!P154</f>
        <v/>
      </c>
      <c r="AQ154" s="29">
        <f>Intereses_Residual_Mensual!P154</f>
        <v/>
      </c>
      <c r="AR154" s="29">
        <f>ROUND(AN154 + AQ154, 2)</f>
        <v/>
      </c>
      <c r="AS154" s="29">
        <f>Intereses_Leasing_Mensual!Q154</f>
        <v/>
      </c>
      <c r="AT154" s="29">
        <f>Amortizacion_Capital_Mensual!R154</f>
        <v/>
      </c>
      <c r="AU154" s="29">
        <f>Saldos_Capital_Mensual!Q154</f>
        <v/>
      </c>
      <c r="AV154" s="29">
        <f>Intereses_Residual_Mensual!Q154</f>
        <v/>
      </c>
      <c r="AW154" s="29">
        <f>ROUND(AS154 + AV154, 2)</f>
        <v/>
      </c>
      <c r="AX154" s="29">
        <f>Intereses_Leasing_Mensual!R154</f>
        <v/>
      </c>
      <c r="AY154" s="29">
        <f>Amortizacion_Capital_Mensual!S154</f>
        <v/>
      </c>
      <c r="AZ154" s="29">
        <f>Saldos_Capital_Mensual!R154</f>
        <v/>
      </c>
      <c r="BA154" s="29">
        <f>Intereses_Residual_Mensual!R154</f>
        <v/>
      </c>
      <c r="BB154" s="29">
        <f>ROUND(AX154 + BA154, 2)</f>
        <v/>
      </c>
      <c r="BC154" s="29">
        <f>Intereses_Leasing_Mensual!S154</f>
        <v/>
      </c>
      <c r="BD154" s="29">
        <f>Amortizacion_Capital_Mensual!T154</f>
        <v/>
      </c>
      <c r="BE154" s="29">
        <f>Saldos_Capital_Mensual!S154</f>
        <v/>
      </c>
      <c r="BF154" s="29">
        <f>Intereses_Residual_Mensual!S154</f>
        <v/>
      </c>
      <c r="BG154" s="29">
        <f>ROUND(BC154 + BF154, 2)</f>
        <v/>
      </c>
      <c r="BH154" s="29">
        <f>Intereses_Leasing_Mensual!T154</f>
        <v/>
      </c>
      <c r="BI154" s="29">
        <f>Amortizacion_Capital_Mensual!U154</f>
        <v/>
      </c>
      <c r="BJ154" s="29">
        <f>Saldos_Capital_Mensual!T154</f>
        <v/>
      </c>
      <c r="BK154" s="29">
        <f>Intereses_Residual_Mensual!T154</f>
        <v/>
      </c>
      <c r="BL154" s="29">
        <f>ROUND(BH154 + BK154, 2)</f>
        <v/>
      </c>
    </row>
    <row r="155">
      <c r="A155" s="20" t="inlineStr">
        <is>
          <t>0680-0001</t>
        </is>
      </c>
      <c r="B155" s="21" t="inlineStr">
        <is>
          <t>Madereria el Volcan Sa de Cv</t>
        </is>
      </c>
      <c r="C155" s="21" t="inlineStr">
        <is>
          <t>JT Mojave</t>
        </is>
      </c>
      <c r="D155" s="22" t="n">
        <v>36</v>
      </c>
      <c r="E155" s="23">
        <f>Intereses_Leasing_Mensual!I155</f>
        <v/>
      </c>
      <c r="F155" s="23">
        <f>Amortizacion_Capital_Mensual!J155</f>
        <v/>
      </c>
      <c r="G155" s="23">
        <f>Saldos_Capital_Mensual!I155</f>
        <v/>
      </c>
      <c r="H155" s="23">
        <f>Intereses_Residual_Mensual!I155</f>
        <v/>
      </c>
      <c r="I155" s="23">
        <f>ROUND(E155 + H155, 2)</f>
        <v/>
      </c>
      <c r="J155" s="23">
        <f>Intereses_Leasing_Mensual!J155</f>
        <v/>
      </c>
      <c r="K155" s="23">
        <f>Amortizacion_Capital_Mensual!K155</f>
        <v/>
      </c>
      <c r="L155" s="23">
        <f>Saldos_Capital_Mensual!J155</f>
        <v/>
      </c>
      <c r="M155" s="23">
        <f>Intereses_Residual_Mensual!J155</f>
        <v/>
      </c>
      <c r="N155" s="23">
        <f>ROUND(J155 + M155, 2)</f>
        <v/>
      </c>
      <c r="O155" s="23">
        <f>Intereses_Leasing_Mensual!K155</f>
        <v/>
      </c>
      <c r="P155" s="23">
        <f>Amortizacion_Capital_Mensual!L155</f>
        <v/>
      </c>
      <c r="Q155" s="23">
        <f>Saldos_Capital_Mensual!K155</f>
        <v/>
      </c>
      <c r="R155" s="23">
        <f>Intereses_Residual_Mensual!K155</f>
        <v/>
      </c>
      <c r="S155" s="23">
        <f>ROUND(O155 + R155, 2)</f>
        <v/>
      </c>
      <c r="T155" s="23">
        <f>Intereses_Leasing_Mensual!L155</f>
        <v/>
      </c>
      <c r="U155" s="23">
        <f>Amortizacion_Capital_Mensual!M155</f>
        <v/>
      </c>
      <c r="V155" s="23">
        <f>Saldos_Capital_Mensual!L155</f>
        <v/>
      </c>
      <c r="W155" s="23">
        <f>Intereses_Residual_Mensual!L155</f>
        <v/>
      </c>
      <c r="X155" s="23">
        <f>ROUND(T155 + W155, 2)</f>
        <v/>
      </c>
      <c r="Y155" s="23">
        <f>Intereses_Leasing_Mensual!M155</f>
        <v/>
      </c>
      <c r="Z155" s="23">
        <f>Amortizacion_Capital_Mensual!N155</f>
        <v/>
      </c>
      <c r="AA155" s="23">
        <f>Saldos_Capital_Mensual!M155</f>
        <v/>
      </c>
      <c r="AB155" s="23">
        <f>Intereses_Residual_Mensual!M155</f>
        <v/>
      </c>
      <c r="AC155" s="23">
        <f>ROUND(Y155 + AB155, 2)</f>
        <v/>
      </c>
      <c r="AD155" s="23">
        <f>Intereses_Leasing_Mensual!N155</f>
        <v/>
      </c>
      <c r="AE155" s="23">
        <f>Amortizacion_Capital_Mensual!O155</f>
        <v/>
      </c>
      <c r="AF155" s="23">
        <f>Saldos_Capital_Mensual!N155</f>
        <v/>
      </c>
      <c r="AG155" s="23">
        <f>Intereses_Residual_Mensual!N155</f>
        <v/>
      </c>
      <c r="AH155" s="23">
        <f>ROUND(AD155 + AG155, 2)</f>
        <v/>
      </c>
      <c r="AI155" s="23">
        <f>Intereses_Leasing_Mensual!O155</f>
        <v/>
      </c>
      <c r="AJ155" s="23">
        <f>Amortizacion_Capital_Mensual!P155</f>
        <v/>
      </c>
      <c r="AK155" s="23">
        <f>Saldos_Capital_Mensual!O155</f>
        <v/>
      </c>
      <c r="AL155" s="23">
        <f>Intereses_Residual_Mensual!O155</f>
        <v/>
      </c>
      <c r="AM155" s="23">
        <f>ROUND(AI155 + AL155, 2)</f>
        <v/>
      </c>
      <c r="AN155" s="23">
        <f>Intereses_Leasing_Mensual!P155</f>
        <v/>
      </c>
      <c r="AO155" s="23">
        <f>Amortizacion_Capital_Mensual!Q155</f>
        <v/>
      </c>
      <c r="AP155" s="23">
        <f>Saldos_Capital_Mensual!P155</f>
        <v/>
      </c>
      <c r="AQ155" s="23">
        <f>Intereses_Residual_Mensual!P155</f>
        <v/>
      </c>
      <c r="AR155" s="23">
        <f>ROUND(AN155 + AQ155, 2)</f>
        <v/>
      </c>
      <c r="AS155" s="23">
        <f>Intereses_Leasing_Mensual!Q155</f>
        <v/>
      </c>
      <c r="AT155" s="23">
        <f>Amortizacion_Capital_Mensual!R155</f>
        <v/>
      </c>
      <c r="AU155" s="23">
        <f>Saldos_Capital_Mensual!Q155</f>
        <v/>
      </c>
      <c r="AV155" s="23">
        <f>Intereses_Residual_Mensual!Q155</f>
        <v/>
      </c>
      <c r="AW155" s="23">
        <f>ROUND(AS155 + AV155, 2)</f>
        <v/>
      </c>
      <c r="AX155" s="23">
        <f>Intereses_Leasing_Mensual!R155</f>
        <v/>
      </c>
      <c r="AY155" s="23">
        <f>Amortizacion_Capital_Mensual!S155</f>
        <v/>
      </c>
      <c r="AZ155" s="23">
        <f>Saldos_Capital_Mensual!R155</f>
        <v/>
      </c>
      <c r="BA155" s="23">
        <f>Intereses_Residual_Mensual!R155</f>
        <v/>
      </c>
      <c r="BB155" s="23">
        <f>ROUND(AX155 + BA155, 2)</f>
        <v/>
      </c>
      <c r="BC155" s="23">
        <f>Intereses_Leasing_Mensual!S155</f>
        <v/>
      </c>
      <c r="BD155" s="23">
        <f>Amortizacion_Capital_Mensual!T155</f>
        <v/>
      </c>
      <c r="BE155" s="23">
        <f>Saldos_Capital_Mensual!S155</f>
        <v/>
      </c>
      <c r="BF155" s="23">
        <f>Intereses_Residual_Mensual!S155</f>
        <v/>
      </c>
      <c r="BG155" s="23">
        <f>ROUND(BC155 + BF155, 2)</f>
        <v/>
      </c>
      <c r="BH155" s="23">
        <f>Intereses_Leasing_Mensual!T155</f>
        <v/>
      </c>
      <c r="BI155" s="23">
        <f>Amortizacion_Capital_Mensual!U155</f>
        <v/>
      </c>
      <c r="BJ155" s="23">
        <f>Saldos_Capital_Mensual!T155</f>
        <v/>
      </c>
      <c r="BK155" s="23">
        <f>Intereses_Residual_Mensual!T155</f>
        <v/>
      </c>
      <c r="BL155" s="23">
        <f>ROUND(BH155 + BK155, 2)</f>
        <v/>
      </c>
    </row>
    <row r="156">
      <c r="A156" s="26" t="inlineStr">
        <is>
          <t>0682-0001</t>
        </is>
      </c>
      <c r="B156" s="27" t="inlineStr">
        <is>
          <t>Hidraneumaticos y Equipos para Gas Sa de Cv</t>
        </is>
      </c>
      <c r="C156" s="27" t="inlineStr">
        <is>
          <t>Renegade Limited</t>
        </is>
      </c>
      <c r="D156" s="28" t="n">
        <v>24</v>
      </c>
      <c r="E156" s="29">
        <f>Intereses_Leasing_Mensual!I156</f>
        <v/>
      </c>
      <c r="F156" s="29">
        <f>Amortizacion_Capital_Mensual!J156</f>
        <v/>
      </c>
      <c r="G156" s="29">
        <f>Saldos_Capital_Mensual!I156</f>
        <v/>
      </c>
      <c r="H156" s="29">
        <f>Intereses_Residual_Mensual!I156</f>
        <v/>
      </c>
      <c r="I156" s="29">
        <f>ROUND(E156 + H156, 2)</f>
        <v/>
      </c>
      <c r="J156" s="29">
        <f>Intereses_Leasing_Mensual!J156</f>
        <v/>
      </c>
      <c r="K156" s="29">
        <f>Amortizacion_Capital_Mensual!K156</f>
        <v/>
      </c>
      <c r="L156" s="29">
        <f>Saldos_Capital_Mensual!J156</f>
        <v/>
      </c>
      <c r="M156" s="29">
        <f>Intereses_Residual_Mensual!J156</f>
        <v/>
      </c>
      <c r="N156" s="29">
        <f>ROUND(J156 + M156, 2)</f>
        <v/>
      </c>
      <c r="O156" s="29">
        <f>Intereses_Leasing_Mensual!K156</f>
        <v/>
      </c>
      <c r="P156" s="29">
        <f>Amortizacion_Capital_Mensual!L156</f>
        <v/>
      </c>
      <c r="Q156" s="29">
        <f>Saldos_Capital_Mensual!K156</f>
        <v/>
      </c>
      <c r="R156" s="29">
        <f>Intereses_Residual_Mensual!K156</f>
        <v/>
      </c>
      <c r="S156" s="29">
        <f>ROUND(O156 + R156, 2)</f>
        <v/>
      </c>
      <c r="T156" s="29">
        <f>Intereses_Leasing_Mensual!L156</f>
        <v/>
      </c>
      <c r="U156" s="29">
        <f>Amortizacion_Capital_Mensual!M156</f>
        <v/>
      </c>
      <c r="V156" s="29">
        <f>Saldos_Capital_Mensual!L156</f>
        <v/>
      </c>
      <c r="W156" s="29">
        <f>Intereses_Residual_Mensual!L156</f>
        <v/>
      </c>
      <c r="X156" s="29">
        <f>ROUND(T156 + W156, 2)</f>
        <v/>
      </c>
      <c r="Y156" s="29">
        <f>Intereses_Leasing_Mensual!M156</f>
        <v/>
      </c>
      <c r="Z156" s="29">
        <f>Amortizacion_Capital_Mensual!N156</f>
        <v/>
      </c>
      <c r="AA156" s="29">
        <f>Saldos_Capital_Mensual!M156</f>
        <v/>
      </c>
      <c r="AB156" s="29">
        <f>Intereses_Residual_Mensual!M156</f>
        <v/>
      </c>
      <c r="AC156" s="29">
        <f>ROUND(Y156 + AB156, 2)</f>
        <v/>
      </c>
      <c r="AD156" s="29">
        <f>Intereses_Leasing_Mensual!N156</f>
        <v/>
      </c>
      <c r="AE156" s="29">
        <f>Amortizacion_Capital_Mensual!O156</f>
        <v/>
      </c>
      <c r="AF156" s="29">
        <f>Saldos_Capital_Mensual!N156</f>
        <v/>
      </c>
      <c r="AG156" s="29">
        <f>Intereses_Residual_Mensual!N156</f>
        <v/>
      </c>
      <c r="AH156" s="29">
        <f>ROUND(AD156 + AG156, 2)</f>
        <v/>
      </c>
      <c r="AI156" s="29">
        <f>Intereses_Leasing_Mensual!O156</f>
        <v/>
      </c>
      <c r="AJ156" s="29">
        <f>Amortizacion_Capital_Mensual!P156</f>
        <v/>
      </c>
      <c r="AK156" s="29">
        <f>Saldos_Capital_Mensual!O156</f>
        <v/>
      </c>
      <c r="AL156" s="29">
        <f>Intereses_Residual_Mensual!O156</f>
        <v/>
      </c>
      <c r="AM156" s="29">
        <f>ROUND(AI156 + AL156, 2)</f>
        <v/>
      </c>
      <c r="AN156" s="29">
        <f>Intereses_Leasing_Mensual!P156</f>
        <v/>
      </c>
      <c r="AO156" s="29">
        <f>Amortizacion_Capital_Mensual!Q156</f>
        <v/>
      </c>
      <c r="AP156" s="29">
        <f>Saldos_Capital_Mensual!P156</f>
        <v/>
      </c>
      <c r="AQ156" s="29">
        <f>Intereses_Residual_Mensual!P156</f>
        <v/>
      </c>
      <c r="AR156" s="29">
        <f>ROUND(AN156 + AQ156, 2)</f>
        <v/>
      </c>
      <c r="AS156" s="29">
        <f>Intereses_Leasing_Mensual!Q156</f>
        <v/>
      </c>
      <c r="AT156" s="29">
        <f>Amortizacion_Capital_Mensual!R156</f>
        <v/>
      </c>
      <c r="AU156" s="29">
        <f>Saldos_Capital_Mensual!Q156</f>
        <v/>
      </c>
      <c r="AV156" s="29">
        <f>Intereses_Residual_Mensual!Q156</f>
        <v/>
      </c>
      <c r="AW156" s="29">
        <f>ROUND(AS156 + AV156, 2)</f>
        <v/>
      </c>
      <c r="AX156" s="29">
        <f>Intereses_Leasing_Mensual!R156</f>
        <v/>
      </c>
      <c r="AY156" s="29">
        <f>Amortizacion_Capital_Mensual!S156</f>
        <v/>
      </c>
      <c r="AZ156" s="29">
        <f>Saldos_Capital_Mensual!R156</f>
        <v/>
      </c>
      <c r="BA156" s="29">
        <f>Intereses_Residual_Mensual!R156</f>
        <v/>
      </c>
      <c r="BB156" s="29">
        <f>ROUND(AX156 + BA156, 2)</f>
        <v/>
      </c>
      <c r="BC156" s="29">
        <f>Intereses_Leasing_Mensual!S156</f>
        <v/>
      </c>
      <c r="BD156" s="29">
        <f>Amortizacion_Capital_Mensual!T156</f>
        <v/>
      </c>
      <c r="BE156" s="29">
        <f>Saldos_Capital_Mensual!S156</f>
        <v/>
      </c>
      <c r="BF156" s="29">
        <f>Intereses_Residual_Mensual!S156</f>
        <v/>
      </c>
      <c r="BG156" s="29">
        <f>ROUND(BC156 + BF156, 2)</f>
        <v/>
      </c>
      <c r="BH156" s="29">
        <f>Intereses_Leasing_Mensual!T156</f>
        <v/>
      </c>
      <c r="BI156" s="29">
        <f>Amortizacion_Capital_Mensual!U156</f>
        <v/>
      </c>
      <c r="BJ156" s="29">
        <f>Saldos_Capital_Mensual!T156</f>
        <v/>
      </c>
      <c r="BK156" s="29">
        <f>Intereses_Residual_Mensual!T156</f>
        <v/>
      </c>
      <c r="BL156" s="29">
        <f>ROUND(BH156 + BK156, 2)</f>
        <v/>
      </c>
    </row>
    <row r="157">
      <c r="A157" s="20" t="inlineStr">
        <is>
          <t>0682-0002</t>
        </is>
      </c>
      <c r="B157" s="21" t="inlineStr">
        <is>
          <t>Hidroneumaticos y Equipos para Gas Sa de Cv</t>
        </is>
      </c>
      <c r="C157" s="21" t="inlineStr">
        <is>
          <t>RIO</t>
        </is>
      </c>
      <c r="D157" s="22" t="n">
        <v>24</v>
      </c>
      <c r="E157" s="23">
        <f>Intereses_Leasing_Mensual!I157</f>
        <v/>
      </c>
      <c r="F157" s="23">
        <f>Amortizacion_Capital_Mensual!J157</f>
        <v/>
      </c>
      <c r="G157" s="23">
        <f>Saldos_Capital_Mensual!I157</f>
        <v/>
      </c>
      <c r="H157" s="23">
        <f>Intereses_Residual_Mensual!I157</f>
        <v/>
      </c>
      <c r="I157" s="23">
        <f>ROUND(E157 + H157, 2)</f>
        <v/>
      </c>
      <c r="J157" s="23">
        <f>Intereses_Leasing_Mensual!J157</f>
        <v/>
      </c>
      <c r="K157" s="23">
        <f>Amortizacion_Capital_Mensual!K157</f>
        <v/>
      </c>
      <c r="L157" s="23">
        <f>Saldos_Capital_Mensual!J157</f>
        <v/>
      </c>
      <c r="M157" s="23">
        <f>Intereses_Residual_Mensual!J157</f>
        <v/>
      </c>
      <c r="N157" s="23">
        <f>ROUND(J157 + M157, 2)</f>
        <v/>
      </c>
      <c r="O157" s="23">
        <f>Intereses_Leasing_Mensual!K157</f>
        <v/>
      </c>
      <c r="P157" s="23">
        <f>Amortizacion_Capital_Mensual!L157</f>
        <v/>
      </c>
      <c r="Q157" s="23">
        <f>Saldos_Capital_Mensual!K157</f>
        <v/>
      </c>
      <c r="R157" s="23">
        <f>Intereses_Residual_Mensual!K157</f>
        <v/>
      </c>
      <c r="S157" s="23">
        <f>ROUND(O157 + R157, 2)</f>
        <v/>
      </c>
      <c r="T157" s="23">
        <f>Intereses_Leasing_Mensual!L157</f>
        <v/>
      </c>
      <c r="U157" s="23">
        <f>Amortizacion_Capital_Mensual!M157</f>
        <v/>
      </c>
      <c r="V157" s="23">
        <f>Saldos_Capital_Mensual!L157</f>
        <v/>
      </c>
      <c r="W157" s="23">
        <f>Intereses_Residual_Mensual!L157</f>
        <v/>
      </c>
      <c r="X157" s="23">
        <f>ROUND(T157 + W157, 2)</f>
        <v/>
      </c>
      <c r="Y157" s="23">
        <f>Intereses_Leasing_Mensual!M157</f>
        <v/>
      </c>
      <c r="Z157" s="23">
        <f>Amortizacion_Capital_Mensual!N157</f>
        <v/>
      </c>
      <c r="AA157" s="23">
        <f>Saldos_Capital_Mensual!M157</f>
        <v/>
      </c>
      <c r="AB157" s="23">
        <f>Intereses_Residual_Mensual!M157</f>
        <v/>
      </c>
      <c r="AC157" s="23">
        <f>ROUND(Y157 + AB157, 2)</f>
        <v/>
      </c>
      <c r="AD157" s="23">
        <f>Intereses_Leasing_Mensual!N157</f>
        <v/>
      </c>
      <c r="AE157" s="23">
        <f>Amortizacion_Capital_Mensual!O157</f>
        <v/>
      </c>
      <c r="AF157" s="23">
        <f>Saldos_Capital_Mensual!N157</f>
        <v/>
      </c>
      <c r="AG157" s="23">
        <f>Intereses_Residual_Mensual!N157</f>
        <v/>
      </c>
      <c r="AH157" s="23">
        <f>ROUND(AD157 + AG157, 2)</f>
        <v/>
      </c>
      <c r="AI157" s="23">
        <f>Intereses_Leasing_Mensual!O157</f>
        <v/>
      </c>
      <c r="AJ157" s="23">
        <f>Amortizacion_Capital_Mensual!P157</f>
        <v/>
      </c>
      <c r="AK157" s="23">
        <f>Saldos_Capital_Mensual!O157</f>
        <v/>
      </c>
      <c r="AL157" s="23">
        <f>Intereses_Residual_Mensual!O157</f>
        <v/>
      </c>
      <c r="AM157" s="23">
        <f>ROUND(AI157 + AL157, 2)</f>
        <v/>
      </c>
      <c r="AN157" s="23">
        <f>Intereses_Leasing_Mensual!P157</f>
        <v/>
      </c>
      <c r="AO157" s="23">
        <f>Amortizacion_Capital_Mensual!Q157</f>
        <v/>
      </c>
      <c r="AP157" s="23">
        <f>Saldos_Capital_Mensual!P157</f>
        <v/>
      </c>
      <c r="AQ157" s="23">
        <f>Intereses_Residual_Mensual!P157</f>
        <v/>
      </c>
      <c r="AR157" s="23">
        <f>ROUND(AN157 + AQ157, 2)</f>
        <v/>
      </c>
      <c r="AS157" s="23">
        <f>Intereses_Leasing_Mensual!Q157</f>
        <v/>
      </c>
      <c r="AT157" s="23">
        <f>Amortizacion_Capital_Mensual!R157</f>
        <v/>
      </c>
      <c r="AU157" s="23">
        <f>Saldos_Capital_Mensual!Q157</f>
        <v/>
      </c>
      <c r="AV157" s="23">
        <f>Intereses_Residual_Mensual!Q157</f>
        <v/>
      </c>
      <c r="AW157" s="23">
        <f>ROUND(AS157 + AV157, 2)</f>
        <v/>
      </c>
      <c r="AX157" s="23">
        <f>Intereses_Leasing_Mensual!R157</f>
        <v/>
      </c>
      <c r="AY157" s="23">
        <f>Amortizacion_Capital_Mensual!S157</f>
        <v/>
      </c>
      <c r="AZ157" s="23">
        <f>Saldos_Capital_Mensual!R157</f>
        <v/>
      </c>
      <c r="BA157" s="23">
        <f>Intereses_Residual_Mensual!R157</f>
        <v/>
      </c>
      <c r="BB157" s="23">
        <f>ROUND(AX157 + BA157, 2)</f>
        <v/>
      </c>
      <c r="BC157" s="23">
        <f>Intereses_Leasing_Mensual!S157</f>
        <v/>
      </c>
      <c r="BD157" s="23">
        <f>Amortizacion_Capital_Mensual!T157</f>
        <v/>
      </c>
      <c r="BE157" s="23">
        <f>Saldos_Capital_Mensual!S157</f>
        <v/>
      </c>
      <c r="BF157" s="23">
        <f>Intereses_Residual_Mensual!S157</f>
        <v/>
      </c>
      <c r="BG157" s="23">
        <f>ROUND(BC157 + BF157, 2)</f>
        <v/>
      </c>
      <c r="BH157" s="23">
        <f>Intereses_Leasing_Mensual!T157</f>
        <v/>
      </c>
      <c r="BI157" s="23">
        <f>Amortizacion_Capital_Mensual!U157</f>
        <v/>
      </c>
      <c r="BJ157" s="23">
        <f>Saldos_Capital_Mensual!T157</f>
        <v/>
      </c>
      <c r="BK157" s="23">
        <f>Intereses_Residual_Mensual!T157</f>
        <v/>
      </c>
      <c r="BL157" s="23">
        <f>ROUND(BH157 + BK157, 2)</f>
        <v/>
      </c>
    </row>
    <row r="158">
      <c r="A158" s="26" t="inlineStr">
        <is>
          <t>0683-0001</t>
        </is>
      </c>
      <c r="B158" s="27" t="inlineStr">
        <is>
          <t>Maria de Jesus Sanchez Aguayo</t>
        </is>
      </c>
      <c r="C158" s="27" t="inlineStr">
        <is>
          <t>Ram 700 Regular Cab</t>
        </is>
      </c>
      <c r="D158" s="28" t="n">
        <v>36</v>
      </c>
      <c r="E158" s="29">
        <f>Intereses_Leasing_Mensual!I158</f>
        <v/>
      </c>
      <c r="F158" s="29">
        <f>Amortizacion_Capital_Mensual!J158</f>
        <v/>
      </c>
      <c r="G158" s="29">
        <f>Saldos_Capital_Mensual!I158</f>
        <v/>
      </c>
      <c r="H158" s="29">
        <f>Intereses_Residual_Mensual!I158</f>
        <v/>
      </c>
      <c r="I158" s="29">
        <f>ROUND(E158 + H158, 2)</f>
        <v/>
      </c>
      <c r="J158" s="29">
        <f>Intereses_Leasing_Mensual!J158</f>
        <v/>
      </c>
      <c r="K158" s="29">
        <f>Amortizacion_Capital_Mensual!K158</f>
        <v/>
      </c>
      <c r="L158" s="29">
        <f>Saldos_Capital_Mensual!J158</f>
        <v/>
      </c>
      <c r="M158" s="29">
        <f>Intereses_Residual_Mensual!J158</f>
        <v/>
      </c>
      <c r="N158" s="29">
        <f>ROUND(J158 + M158, 2)</f>
        <v/>
      </c>
      <c r="O158" s="29">
        <f>Intereses_Leasing_Mensual!K158</f>
        <v/>
      </c>
      <c r="P158" s="29">
        <f>Amortizacion_Capital_Mensual!L158</f>
        <v/>
      </c>
      <c r="Q158" s="29">
        <f>Saldos_Capital_Mensual!K158</f>
        <v/>
      </c>
      <c r="R158" s="29">
        <f>Intereses_Residual_Mensual!K158</f>
        <v/>
      </c>
      <c r="S158" s="29">
        <f>ROUND(O158 + R158, 2)</f>
        <v/>
      </c>
      <c r="T158" s="29">
        <f>Intereses_Leasing_Mensual!L158</f>
        <v/>
      </c>
      <c r="U158" s="29">
        <f>Amortizacion_Capital_Mensual!M158</f>
        <v/>
      </c>
      <c r="V158" s="29">
        <f>Saldos_Capital_Mensual!L158</f>
        <v/>
      </c>
      <c r="W158" s="29">
        <f>Intereses_Residual_Mensual!L158</f>
        <v/>
      </c>
      <c r="X158" s="29">
        <f>ROUND(T158 + W158, 2)</f>
        <v/>
      </c>
      <c r="Y158" s="29">
        <f>Intereses_Leasing_Mensual!M158</f>
        <v/>
      </c>
      <c r="Z158" s="29">
        <f>Amortizacion_Capital_Mensual!N158</f>
        <v/>
      </c>
      <c r="AA158" s="29">
        <f>Saldos_Capital_Mensual!M158</f>
        <v/>
      </c>
      <c r="AB158" s="29">
        <f>Intereses_Residual_Mensual!M158</f>
        <v/>
      </c>
      <c r="AC158" s="29">
        <f>ROUND(Y158 + AB158, 2)</f>
        <v/>
      </c>
      <c r="AD158" s="29">
        <f>Intereses_Leasing_Mensual!N158</f>
        <v/>
      </c>
      <c r="AE158" s="29">
        <f>Amortizacion_Capital_Mensual!O158</f>
        <v/>
      </c>
      <c r="AF158" s="29">
        <f>Saldos_Capital_Mensual!N158</f>
        <v/>
      </c>
      <c r="AG158" s="29">
        <f>Intereses_Residual_Mensual!N158</f>
        <v/>
      </c>
      <c r="AH158" s="29">
        <f>ROUND(AD158 + AG158, 2)</f>
        <v/>
      </c>
      <c r="AI158" s="29">
        <f>Intereses_Leasing_Mensual!O158</f>
        <v/>
      </c>
      <c r="AJ158" s="29">
        <f>Amortizacion_Capital_Mensual!P158</f>
        <v/>
      </c>
      <c r="AK158" s="29">
        <f>Saldos_Capital_Mensual!O158</f>
        <v/>
      </c>
      <c r="AL158" s="29">
        <f>Intereses_Residual_Mensual!O158</f>
        <v/>
      </c>
      <c r="AM158" s="29">
        <f>ROUND(AI158 + AL158, 2)</f>
        <v/>
      </c>
      <c r="AN158" s="29">
        <f>Intereses_Leasing_Mensual!P158</f>
        <v/>
      </c>
      <c r="AO158" s="29">
        <f>Amortizacion_Capital_Mensual!Q158</f>
        <v/>
      </c>
      <c r="AP158" s="29">
        <f>Saldos_Capital_Mensual!P158</f>
        <v/>
      </c>
      <c r="AQ158" s="29">
        <f>Intereses_Residual_Mensual!P158</f>
        <v/>
      </c>
      <c r="AR158" s="29">
        <f>ROUND(AN158 + AQ158, 2)</f>
        <v/>
      </c>
      <c r="AS158" s="29">
        <f>Intereses_Leasing_Mensual!Q158</f>
        <v/>
      </c>
      <c r="AT158" s="29">
        <f>Amortizacion_Capital_Mensual!R158</f>
        <v/>
      </c>
      <c r="AU158" s="29">
        <f>Saldos_Capital_Mensual!Q158</f>
        <v/>
      </c>
      <c r="AV158" s="29">
        <f>Intereses_Residual_Mensual!Q158</f>
        <v/>
      </c>
      <c r="AW158" s="29">
        <f>ROUND(AS158 + AV158, 2)</f>
        <v/>
      </c>
      <c r="AX158" s="29">
        <f>Intereses_Leasing_Mensual!R158</f>
        <v/>
      </c>
      <c r="AY158" s="29">
        <f>Amortizacion_Capital_Mensual!S158</f>
        <v/>
      </c>
      <c r="AZ158" s="29">
        <f>Saldos_Capital_Mensual!R158</f>
        <v/>
      </c>
      <c r="BA158" s="29">
        <f>Intereses_Residual_Mensual!R158</f>
        <v/>
      </c>
      <c r="BB158" s="29">
        <f>ROUND(AX158 + BA158, 2)</f>
        <v/>
      </c>
      <c r="BC158" s="29">
        <f>Intereses_Leasing_Mensual!S158</f>
        <v/>
      </c>
      <c r="BD158" s="29">
        <f>Amortizacion_Capital_Mensual!T158</f>
        <v/>
      </c>
      <c r="BE158" s="29">
        <f>Saldos_Capital_Mensual!S158</f>
        <v/>
      </c>
      <c r="BF158" s="29">
        <f>Intereses_Residual_Mensual!S158</f>
        <v/>
      </c>
      <c r="BG158" s="29">
        <f>ROUND(BC158 + BF158, 2)</f>
        <v/>
      </c>
      <c r="BH158" s="29">
        <f>Intereses_Leasing_Mensual!T158</f>
        <v/>
      </c>
      <c r="BI158" s="29">
        <f>Amortizacion_Capital_Mensual!U158</f>
        <v/>
      </c>
      <c r="BJ158" s="29">
        <f>Saldos_Capital_Mensual!T158</f>
        <v/>
      </c>
      <c r="BK158" s="29">
        <f>Intereses_Residual_Mensual!T158</f>
        <v/>
      </c>
      <c r="BL158" s="29">
        <f>ROUND(BH158 + BK158, 2)</f>
        <v/>
      </c>
    </row>
    <row r="159">
      <c r="A159" s="20" t="inlineStr">
        <is>
          <t>0683-0002</t>
        </is>
      </c>
      <c r="B159" s="21" t="inlineStr">
        <is>
          <t>Maria de Jesus Sanchez Aguayo</t>
        </is>
      </c>
      <c r="C159" s="21" t="inlineStr">
        <is>
          <t>700 Tradesman Regular Cab</t>
        </is>
      </c>
      <c r="D159" s="22" t="n">
        <v>36</v>
      </c>
      <c r="E159" s="23">
        <f>Intereses_Leasing_Mensual!I159</f>
        <v/>
      </c>
      <c r="F159" s="23">
        <f>Amortizacion_Capital_Mensual!J159</f>
        <v/>
      </c>
      <c r="G159" s="23">
        <f>Saldos_Capital_Mensual!I159</f>
        <v/>
      </c>
      <c r="H159" s="23">
        <f>Intereses_Residual_Mensual!I159</f>
        <v/>
      </c>
      <c r="I159" s="23">
        <f>ROUND(E159 + H159, 2)</f>
        <v/>
      </c>
      <c r="J159" s="23">
        <f>Intereses_Leasing_Mensual!J159</f>
        <v/>
      </c>
      <c r="K159" s="23">
        <f>Amortizacion_Capital_Mensual!K159</f>
        <v/>
      </c>
      <c r="L159" s="23">
        <f>Saldos_Capital_Mensual!J159</f>
        <v/>
      </c>
      <c r="M159" s="23">
        <f>Intereses_Residual_Mensual!J159</f>
        <v/>
      </c>
      <c r="N159" s="23">
        <f>ROUND(J159 + M159, 2)</f>
        <v/>
      </c>
      <c r="O159" s="23">
        <f>Intereses_Leasing_Mensual!K159</f>
        <v/>
      </c>
      <c r="P159" s="23">
        <f>Amortizacion_Capital_Mensual!L159</f>
        <v/>
      </c>
      <c r="Q159" s="23">
        <f>Saldos_Capital_Mensual!K159</f>
        <v/>
      </c>
      <c r="R159" s="23">
        <f>Intereses_Residual_Mensual!K159</f>
        <v/>
      </c>
      <c r="S159" s="23">
        <f>ROUND(O159 + R159, 2)</f>
        <v/>
      </c>
      <c r="T159" s="23">
        <f>Intereses_Leasing_Mensual!L159</f>
        <v/>
      </c>
      <c r="U159" s="23">
        <f>Amortizacion_Capital_Mensual!M159</f>
        <v/>
      </c>
      <c r="V159" s="23">
        <f>Saldos_Capital_Mensual!L159</f>
        <v/>
      </c>
      <c r="W159" s="23">
        <f>Intereses_Residual_Mensual!L159</f>
        <v/>
      </c>
      <c r="X159" s="23">
        <f>ROUND(T159 + W159, 2)</f>
        <v/>
      </c>
      <c r="Y159" s="23">
        <f>Intereses_Leasing_Mensual!M159</f>
        <v/>
      </c>
      <c r="Z159" s="23">
        <f>Amortizacion_Capital_Mensual!N159</f>
        <v/>
      </c>
      <c r="AA159" s="23">
        <f>Saldos_Capital_Mensual!M159</f>
        <v/>
      </c>
      <c r="AB159" s="23">
        <f>Intereses_Residual_Mensual!M159</f>
        <v/>
      </c>
      <c r="AC159" s="23">
        <f>ROUND(Y159 + AB159, 2)</f>
        <v/>
      </c>
      <c r="AD159" s="23">
        <f>Intereses_Leasing_Mensual!N159</f>
        <v/>
      </c>
      <c r="AE159" s="23">
        <f>Amortizacion_Capital_Mensual!O159</f>
        <v/>
      </c>
      <c r="AF159" s="23">
        <f>Saldos_Capital_Mensual!N159</f>
        <v/>
      </c>
      <c r="AG159" s="23">
        <f>Intereses_Residual_Mensual!N159</f>
        <v/>
      </c>
      <c r="AH159" s="23">
        <f>ROUND(AD159 + AG159, 2)</f>
        <v/>
      </c>
      <c r="AI159" s="23">
        <f>Intereses_Leasing_Mensual!O159</f>
        <v/>
      </c>
      <c r="AJ159" s="23">
        <f>Amortizacion_Capital_Mensual!P159</f>
        <v/>
      </c>
      <c r="AK159" s="23">
        <f>Saldos_Capital_Mensual!O159</f>
        <v/>
      </c>
      <c r="AL159" s="23">
        <f>Intereses_Residual_Mensual!O159</f>
        <v/>
      </c>
      <c r="AM159" s="23">
        <f>ROUND(AI159 + AL159, 2)</f>
        <v/>
      </c>
      <c r="AN159" s="23">
        <f>Intereses_Leasing_Mensual!P159</f>
        <v/>
      </c>
      <c r="AO159" s="23">
        <f>Amortizacion_Capital_Mensual!Q159</f>
        <v/>
      </c>
      <c r="AP159" s="23">
        <f>Saldos_Capital_Mensual!P159</f>
        <v/>
      </c>
      <c r="AQ159" s="23">
        <f>Intereses_Residual_Mensual!P159</f>
        <v/>
      </c>
      <c r="AR159" s="23">
        <f>ROUND(AN159 + AQ159, 2)</f>
        <v/>
      </c>
      <c r="AS159" s="23">
        <f>Intereses_Leasing_Mensual!Q159</f>
        <v/>
      </c>
      <c r="AT159" s="23">
        <f>Amortizacion_Capital_Mensual!R159</f>
        <v/>
      </c>
      <c r="AU159" s="23">
        <f>Saldos_Capital_Mensual!Q159</f>
        <v/>
      </c>
      <c r="AV159" s="23">
        <f>Intereses_Residual_Mensual!Q159</f>
        <v/>
      </c>
      <c r="AW159" s="23">
        <f>ROUND(AS159 + AV159, 2)</f>
        <v/>
      </c>
      <c r="AX159" s="23">
        <f>Intereses_Leasing_Mensual!R159</f>
        <v/>
      </c>
      <c r="AY159" s="23">
        <f>Amortizacion_Capital_Mensual!S159</f>
        <v/>
      </c>
      <c r="AZ159" s="23">
        <f>Saldos_Capital_Mensual!R159</f>
        <v/>
      </c>
      <c r="BA159" s="23">
        <f>Intereses_Residual_Mensual!R159</f>
        <v/>
      </c>
      <c r="BB159" s="23">
        <f>ROUND(AX159 + BA159, 2)</f>
        <v/>
      </c>
      <c r="BC159" s="23">
        <f>Intereses_Leasing_Mensual!S159</f>
        <v/>
      </c>
      <c r="BD159" s="23">
        <f>Amortizacion_Capital_Mensual!T159</f>
        <v/>
      </c>
      <c r="BE159" s="23">
        <f>Saldos_Capital_Mensual!S159</f>
        <v/>
      </c>
      <c r="BF159" s="23">
        <f>Intereses_Residual_Mensual!S159</f>
        <v/>
      </c>
      <c r="BG159" s="23">
        <f>ROUND(BC159 + BF159, 2)</f>
        <v/>
      </c>
      <c r="BH159" s="23">
        <f>Intereses_Leasing_Mensual!T159</f>
        <v/>
      </c>
      <c r="BI159" s="23">
        <f>Amortizacion_Capital_Mensual!U159</f>
        <v/>
      </c>
      <c r="BJ159" s="23">
        <f>Saldos_Capital_Mensual!T159</f>
        <v/>
      </c>
      <c r="BK159" s="23">
        <f>Intereses_Residual_Mensual!T159</f>
        <v/>
      </c>
      <c r="BL159" s="23">
        <f>ROUND(BH159 + BK159, 2)</f>
        <v/>
      </c>
    </row>
    <row r="160">
      <c r="A160" s="26" t="inlineStr">
        <is>
          <t>0684-0001</t>
        </is>
      </c>
      <c r="B160" s="27" t="inlineStr">
        <is>
          <t>Corporativo Kareso Sa de v</t>
        </is>
      </c>
      <c r="C160" s="27" t="inlineStr">
        <is>
          <t>GRAND CHEROKEE LIMITED</t>
        </is>
      </c>
      <c r="D160" s="28" t="n">
        <v>24</v>
      </c>
      <c r="E160" s="29">
        <f>Intereses_Leasing_Mensual!I160</f>
        <v/>
      </c>
      <c r="F160" s="29">
        <f>Amortizacion_Capital_Mensual!J160</f>
        <v/>
      </c>
      <c r="G160" s="29">
        <f>Saldos_Capital_Mensual!I160</f>
        <v/>
      </c>
      <c r="H160" s="29">
        <f>Intereses_Residual_Mensual!I160</f>
        <v/>
      </c>
      <c r="I160" s="29">
        <f>ROUND(E160 + H160, 2)</f>
        <v/>
      </c>
      <c r="J160" s="29">
        <f>Intereses_Leasing_Mensual!J160</f>
        <v/>
      </c>
      <c r="K160" s="29">
        <f>Amortizacion_Capital_Mensual!K160</f>
        <v/>
      </c>
      <c r="L160" s="29">
        <f>Saldos_Capital_Mensual!J160</f>
        <v/>
      </c>
      <c r="M160" s="29">
        <f>Intereses_Residual_Mensual!J160</f>
        <v/>
      </c>
      <c r="N160" s="29">
        <f>ROUND(J160 + M160, 2)</f>
        <v/>
      </c>
      <c r="O160" s="29">
        <f>Intereses_Leasing_Mensual!K160</f>
        <v/>
      </c>
      <c r="P160" s="29">
        <f>Amortizacion_Capital_Mensual!L160</f>
        <v/>
      </c>
      <c r="Q160" s="29">
        <f>Saldos_Capital_Mensual!K160</f>
        <v/>
      </c>
      <c r="R160" s="29">
        <f>Intereses_Residual_Mensual!K160</f>
        <v/>
      </c>
      <c r="S160" s="29">
        <f>ROUND(O160 + R160, 2)</f>
        <v/>
      </c>
      <c r="T160" s="29">
        <f>Intereses_Leasing_Mensual!L160</f>
        <v/>
      </c>
      <c r="U160" s="29">
        <f>Amortizacion_Capital_Mensual!M160</f>
        <v/>
      </c>
      <c r="V160" s="29">
        <f>Saldos_Capital_Mensual!L160</f>
        <v/>
      </c>
      <c r="W160" s="29">
        <f>Intereses_Residual_Mensual!L160</f>
        <v/>
      </c>
      <c r="X160" s="29">
        <f>ROUND(T160 + W160, 2)</f>
        <v/>
      </c>
      <c r="Y160" s="29">
        <f>Intereses_Leasing_Mensual!M160</f>
        <v/>
      </c>
      <c r="Z160" s="29">
        <f>Amortizacion_Capital_Mensual!N160</f>
        <v/>
      </c>
      <c r="AA160" s="29">
        <f>Saldos_Capital_Mensual!M160</f>
        <v/>
      </c>
      <c r="AB160" s="29">
        <f>Intereses_Residual_Mensual!M160</f>
        <v/>
      </c>
      <c r="AC160" s="29">
        <f>ROUND(Y160 + AB160, 2)</f>
        <v/>
      </c>
      <c r="AD160" s="29">
        <f>Intereses_Leasing_Mensual!N160</f>
        <v/>
      </c>
      <c r="AE160" s="29">
        <f>Amortizacion_Capital_Mensual!O160</f>
        <v/>
      </c>
      <c r="AF160" s="29">
        <f>Saldos_Capital_Mensual!N160</f>
        <v/>
      </c>
      <c r="AG160" s="29">
        <f>Intereses_Residual_Mensual!N160</f>
        <v/>
      </c>
      <c r="AH160" s="29">
        <f>ROUND(AD160 + AG160, 2)</f>
        <v/>
      </c>
      <c r="AI160" s="29">
        <f>Intereses_Leasing_Mensual!O160</f>
        <v/>
      </c>
      <c r="AJ160" s="29">
        <f>Amortizacion_Capital_Mensual!P160</f>
        <v/>
      </c>
      <c r="AK160" s="29">
        <f>Saldos_Capital_Mensual!O160</f>
        <v/>
      </c>
      <c r="AL160" s="29">
        <f>Intereses_Residual_Mensual!O160</f>
        <v/>
      </c>
      <c r="AM160" s="29">
        <f>ROUND(AI160 + AL160, 2)</f>
        <v/>
      </c>
      <c r="AN160" s="29">
        <f>Intereses_Leasing_Mensual!P160</f>
        <v/>
      </c>
      <c r="AO160" s="29">
        <f>Amortizacion_Capital_Mensual!Q160</f>
        <v/>
      </c>
      <c r="AP160" s="29">
        <f>Saldos_Capital_Mensual!P160</f>
        <v/>
      </c>
      <c r="AQ160" s="29">
        <f>Intereses_Residual_Mensual!P160</f>
        <v/>
      </c>
      <c r="AR160" s="29">
        <f>ROUND(AN160 + AQ160, 2)</f>
        <v/>
      </c>
      <c r="AS160" s="29">
        <f>Intereses_Leasing_Mensual!Q160</f>
        <v/>
      </c>
      <c r="AT160" s="29">
        <f>Amortizacion_Capital_Mensual!R160</f>
        <v/>
      </c>
      <c r="AU160" s="29">
        <f>Saldos_Capital_Mensual!Q160</f>
        <v/>
      </c>
      <c r="AV160" s="29">
        <f>Intereses_Residual_Mensual!Q160</f>
        <v/>
      </c>
      <c r="AW160" s="29">
        <f>ROUND(AS160 + AV160, 2)</f>
        <v/>
      </c>
      <c r="AX160" s="29">
        <f>Intereses_Leasing_Mensual!R160</f>
        <v/>
      </c>
      <c r="AY160" s="29">
        <f>Amortizacion_Capital_Mensual!S160</f>
        <v/>
      </c>
      <c r="AZ160" s="29">
        <f>Saldos_Capital_Mensual!R160</f>
        <v/>
      </c>
      <c r="BA160" s="29">
        <f>Intereses_Residual_Mensual!R160</f>
        <v/>
      </c>
      <c r="BB160" s="29">
        <f>ROUND(AX160 + BA160, 2)</f>
        <v/>
      </c>
      <c r="BC160" s="29">
        <f>Intereses_Leasing_Mensual!S160</f>
        <v/>
      </c>
      <c r="BD160" s="29">
        <f>Amortizacion_Capital_Mensual!T160</f>
        <v/>
      </c>
      <c r="BE160" s="29">
        <f>Saldos_Capital_Mensual!S160</f>
        <v/>
      </c>
      <c r="BF160" s="29">
        <f>Intereses_Residual_Mensual!S160</f>
        <v/>
      </c>
      <c r="BG160" s="29">
        <f>ROUND(BC160 + BF160, 2)</f>
        <v/>
      </c>
      <c r="BH160" s="29">
        <f>Intereses_Leasing_Mensual!T160</f>
        <v/>
      </c>
      <c r="BI160" s="29">
        <f>Amortizacion_Capital_Mensual!U160</f>
        <v/>
      </c>
      <c r="BJ160" s="29">
        <f>Saldos_Capital_Mensual!T160</f>
        <v/>
      </c>
      <c r="BK160" s="29">
        <f>Intereses_Residual_Mensual!T160</f>
        <v/>
      </c>
      <c r="BL160" s="29">
        <f>ROUND(BH160 + BK160, 2)</f>
        <v/>
      </c>
    </row>
    <row r="161">
      <c r="A161" s="20" t="inlineStr">
        <is>
          <t>0684-0002</t>
        </is>
      </c>
      <c r="B161" s="21" t="inlineStr">
        <is>
          <t>Corporativo Kareso Sa de Cv</t>
        </is>
      </c>
      <c r="C161" s="21" t="inlineStr">
        <is>
          <t>NP300 Chasis</t>
        </is>
      </c>
      <c r="D161" s="22" t="n">
        <v>24</v>
      </c>
      <c r="E161" s="23">
        <f>Intereses_Leasing_Mensual!I161</f>
        <v/>
      </c>
      <c r="F161" s="23">
        <f>Amortizacion_Capital_Mensual!J161</f>
        <v/>
      </c>
      <c r="G161" s="23">
        <f>Saldos_Capital_Mensual!I161</f>
        <v/>
      </c>
      <c r="H161" s="23">
        <f>Intereses_Residual_Mensual!I161</f>
        <v/>
      </c>
      <c r="I161" s="23">
        <f>ROUND(E161 + H161, 2)</f>
        <v/>
      </c>
      <c r="J161" s="23">
        <f>Intereses_Leasing_Mensual!J161</f>
        <v/>
      </c>
      <c r="K161" s="23">
        <f>Amortizacion_Capital_Mensual!K161</f>
        <v/>
      </c>
      <c r="L161" s="23">
        <f>Saldos_Capital_Mensual!J161</f>
        <v/>
      </c>
      <c r="M161" s="23">
        <f>Intereses_Residual_Mensual!J161</f>
        <v/>
      </c>
      <c r="N161" s="23">
        <f>ROUND(J161 + M161, 2)</f>
        <v/>
      </c>
      <c r="O161" s="23">
        <f>Intereses_Leasing_Mensual!K161</f>
        <v/>
      </c>
      <c r="P161" s="23">
        <f>Amortizacion_Capital_Mensual!L161</f>
        <v/>
      </c>
      <c r="Q161" s="23">
        <f>Saldos_Capital_Mensual!K161</f>
        <v/>
      </c>
      <c r="R161" s="23">
        <f>Intereses_Residual_Mensual!K161</f>
        <v/>
      </c>
      <c r="S161" s="23">
        <f>ROUND(O161 + R161, 2)</f>
        <v/>
      </c>
      <c r="T161" s="23">
        <f>Intereses_Leasing_Mensual!L161</f>
        <v/>
      </c>
      <c r="U161" s="23">
        <f>Amortizacion_Capital_Mensual!M161</f>
        <v/>
      </c>
      <c r="V161" s="23">
        <f>Saldos_Capital_Mensual!L161</f>
        <v/>
      </c>
      <c r="W161" s="23">
        <f>Intereses_Residual_Mensual!L161</f>
        <v/>
      </c>
      <c r="X161" s="23">
        <f>ROUND(T161 + W161, 2)</f>
        <v/>
      </c>
      <c r="Y161" s="23">
        <f>Intereses_Leasing_Mensual!M161</f>
        <v/>
      </c>
      <c r="Z161" s="23">
        <f>Amortizacion_Capital_Mensual!N161</f>
        <v/>
      </c>
      <c r="AA161" s="23">
        <f>Saldos_Capital_Mensual!M161</f>
        <v/>
      </c>
      <c r="AB161" s="23">
        <f>Intereses_Residual_Mensual!M161</f>
        <v/>
      </c>
      <c r="AC161" s="23">
        <f>ROUND(Y161 + AB161, 2)</f>
        <v/>
      </c>
      <c r="AD161" s="23">
        <f>Intereses_Leasing_Mensual!N161</f>
        <v/>
      </c>
      <c r="AE161" s="23">
        <f>Amortizacion_Capital_Mensual!O161</f>
        <v/>
      </c>
      <c r="AF161" s="23">
        <f>Saldos_Capital_Mensual!N161</f>
        <v/>
      </c>
      <c r="AG161" s="23">
        <f>Intereses_Residual_Mensual!N161</f>
        <v/>
      </c>
      <c r="AH161" s="23">
        <f>ROUND(AD161 + AG161, 2)</f>
        <v/>
      </c>
      <c r="AI161" s="23">
        <f>Intereses_Leasing_Mensual!O161</f>
        <v/>
      </c>
      <c r="AJ161" s="23">
        <f>Amortizacion_Capital_Mensual!P161</f>
        <v/>
      </c>
      <c r="AK161" s="23">
        <f>Saldos_Capital_Mensual!O161</f>
        <v/>
      </c>
      <c r="AL161" s="23">
        <f>Intereses_Residual_Mensual!O161</f>
        <v/>
      </c>
      <c r="AM161" s="23">
        <f>ROUND(AI161 + AL161, 2)</f>
        <v/>
      </c>
      <c r="AN161" s="23">
        <f>Intereses_Leasing_Mensual!P161</f>
        <v/>
      </c>
      <c r="AO161" s="23">
        <f>Amortizacion_Capital_Mensual!Q161</f>
        <v/>
      </c>
      <c r="AP161" s="23">
        <f>Saldos_Capital_Mensual!P161</f>
        <v/>
      </c>
      <c r="AQ161" s="23">
        <f>Intereses_Residual_Mensual!P161</f>
        <v/>
      </c>
      <c r="AR161" s="23">
        <f>ROUND(AN161 + AQ161, 2)</f>
        <v/>
      </c>
      <c r="AS161" s="23">
        <f>Intereses_Leasing_Mensual!Q161</f>
        <v/>
      </c>
      <c r="AT161" s="23">
        <f>Amortizacion_Capital_Mensual!R161</f>
        <v/>
      </c>
      <c r="AU161" s="23">
        <f>Saldos_Capital_Mensual!Q161</f>
        <v/>
      </c>
      <c r="AV161" s="23">
        <f>Intereses_Residual_Mensual!Q161</f>
        <v/>
      </c>
      <c r="AW161" s="23">
        <f>ROUND(AS161 + AV161, 2)</f>
        <v/>
      </c>
      <c r="AX161" s="23">
        <f>Intereses_Leasing_Mensual!R161</f>
        <v/>
      </c>
      <c r="AY161" s="23">
        <f>Amortizacion_Capital_Mensual!S161</f>
        <v/>
      </c>
      <c r="AZ161" s="23">
        <f>Saldos_Capital_Mensual!R161</f>
        <v/>
      </c>
      <c r="BA161" s="23">
        <f>Intereses_Residual_Mensual!R161</f>
        <v/>
      </c>
      <c r="BB161" s="23">
        <f>ROUND(AX161 + BA161, 2)</f>
        <v/>
      </c>
      <c r="BC161" s="23">
        <f>Intereses_Leasing_Mensual!S161</f>
        <v/>
      </c>
      <c r="BD161" s="23">
        <f>Amortizacion_Capital_Mensual!T161</f>
        <v/>
      </c>
      <c r="BE161" s="23">
        <f>Saldos_Capital_Mensual!S161</f>
        <v/>
      </c>
      <c r="BF161" s="23">
        <f>Intereses_Residual_Mensual!S161</f>
        <v/>
      </c>
      <c r="BG161" s="23">
        <f>ROUND(BC161 + BF161, 2)</f>
        <v/>
      </c>
      <c r="BH161" s="23">
        <f>Intereses_Leasing_Mensual!T161</f>
        <v/>
      </c>
      <c r="BI161" s="23">
        <f>Amortizacion_Capital_Mensual!U161</f>
        <v/>
      </c>
      <c r="BJ161" s="23">
        <f>Saldos_Capital_Mensual!T161</f>
        <v/>
      </c>
      <c r="BK161" s="23">
        <f>Intereses_Residual_Mensual!T161</f>
        <v/>
      </c>
      <c r="BL161" s="23">
        <f>ROUND(BH161 + BK161, 2)</f>
        <v/>
      </c>
    </row>
    <row r="162">
      <c r="A162" s="26" t="inlineStr">
        <is>
          <t>0684-0003</t>
        </is>
      </c>
      <c r="B162" s="27" t="inlineStr">
        <is>
          <t>Corporativo Kareso Sa de Cv</t>
        </is>
      </c>
      <c r="C162" s="27" t="inlineStr">
        <is>
          <t>Yaris HB</t>
        </is>
      </c>
      <c r="D162" s="28" t="n">
        <v>24</v>
      </c>
      <c r="E162" s="29">
        <f>Intereses_Leasing_Mensual!I162</f>
        <v/>
      </c>
      <c r="F162" s="29">
        <f>Amortizacion_Capital_Mensual!J162</f>
        <v/>
      </c>
      <c r="G162" s="29">
        <f>Saldos_Capital_Mensual!I162</f>
        <v/>
      </c>
      <c r="H162" s="29">
        <f>Intereses_Residual_Mensual!I162</f>
        <v/>
      </c>
      <c r="I162" s="29">
        <f>ROUND(E162 + H162, 2)</f>
        <v/>
      </c>
      <c r="J162" s="29">
        <f>Intereses_Leasing_Mensual!J162</f>
        <v/>
      </c>
      <c r="K162" s="29">
        <f>Amortizacion_Capital_Mensual!K162</f>
        <v/>
      </c>
      <c r="L162" s="29">
        <f>Saldos_Capital_Mensual!J162</f>
        <v/>
      </c>
      <c r="M162" s="29">
        <f>Intereses_Residual_Mensual!J162</f>
        <v/>
      </c>
      <c r="N162" s="29">
        <f>ROUND(J162 + M162, 2)</f>
        <v/>
      </c>
      <c r="O162" s="29">
        <f>Intereses_Leasing_Mensual!K162</f>
        <v/>
      </c>
      <c r="P162" s="29">
        <f>Amortizacion_Capital_Mensual!L162</f>
        <v/>
      </c>
      <c r="Q162" s="29">
        <f>Saldos_Capital_Mensual!K162</f>
        <v/>
      </c>
      <c r="R162" s="29">
        <f>Intereses_Residual_Mensual!K162</f>
        <v/>
      </c>
      <c r="S162" s="29">
        <f>ROUND(O162 + R162, 2)</f>
        <v/>
      </c>
      <c r="T162" s="29">
        <f>Intereses_Leasing_Mensual!L162</f>
        <v/>
      </c>
      <c r="U162" s="29">
        <f>Amortizacion_Capital_Mensual!M162</f>
        <v/>
      </c>
      <c r="V162" s="29">
        <f>Saldos_Capital_Mensual!L162</f>
        <v/>
      </c>
      <c r="W162" s="29">
        <f>Intereses_Residual_Mensual!L162</f>
        <v/>
      </c>
      <c r="X162" s="29">
        <f>ROUND(T162 + W162, 2)</f>
        <v/>
      </c>
      <c r="Y162" s="29">
        <f>Intereses_Leasing_Mensual!M162</f>
        <v/>
      </c>
      <c r="Z162" s="29">
        <f>Amortizacion_Capital_Mensual!N162</f>
        <v/>
      </c>
      <c r="AA162" s="29">
        <f>Saldos_Capital_Mensual!M162</f>
        <v/>
      </c>
      <c r="AB162" s="29">
        <f>Intereses_Residual_Mensual!M162</f>
        <v/>
      </c>
      <c r="AC162" s="29">
        <f>ROUND(Y162 + AB162, 2)</f>
        <v/>
      </c>
      <c r="AD162" s="29">
        <f>Intereses_Leasing_Mensual!N162</f>
        <v/>
      </c>
      <c r="AE162" s="29">
        <f>Amortizacion_Capital_Mensual!O162</f>
        <v/>
      </c>
      <c r="AF162" s="29">
        <f>Saldos_Capital_Mensual!N162</f>
        <v/>
      </c>
      <c r="AG162" s="29">
        <f>Intereses_Residual_Mensual!N162</f>
        <v/>
      </c>
      <c r="AH162" s="29">
        <f>ROUND(AD162 + AG162, 2)</f>
        <v/>
      </c>
      <c r="AI162" s="29">
        <f>Intereses_Leasing_Mensual!O162</f>
        <v/>
      </c>
      <c r="AJ162" s="29">
        <f>Amortizacion_Capital_Mensual!P162</f>
        <v/>
      </c>
      <c r="AK162" s="29">
        <f>Saldos_Capital_Mensual!O162</f>
        <v/>
      </c>
      <c r="AL162" s="29">
        <f>Intereses_Residual_Mensual!O162</f>
        <v/>
      </c>
      <c r="AM162" s="29">
        <f>ROUND(AI162 + AL162, 2)</f>
        <v/>
      </c>
      <c r="AN162" s="29">
        <f>Intereses_Leasing_Mensual!P162</f>
        <v/>
      </c>
      <c r="AO162" s="29">
        <f>Amortizacion_Capital_Mensual!Q162</f>
        <v/>
      </c>
      <c r="AP162" s="29">
        <f>Saldos_Capital_Mensual!P162</f>
        <v/>
      </c>
      <c r="AQ162" s="29">
        <f>Intereses_Residual_Mensual!P162</f>
        <v/>
      </c>
      <c r="AR162" s="29">
        <f>ROUND(AN162 + AQ162, 2)</f>
        <v/>
      </c>
      <c r="AS162" s="29">
        <f>Intereses_Leasing_Mensual!Q162</f>
        <v/>
      </c>
      <c r="AT162" s="29">
        <f>Amortizacion_Capital_Mensual!R162</f>
        <v/>
      </c>
      <c r="AU162" s="29">
        <f>Saldos_Capital_Mensual!Q162</f>
        <v/>
      </c>
      <c r="AV162" s="29">
        <f>Intereses_Residual_Mensual!Q162</f>
        <v/>
      </c>
      <c r="AW162" s="29">
        <f>ROUND(AS162 + AV162, 2)</f>
        <v/>
      </c>
      <c r="AX162" s="29">
        <f>Intereses_Leasing_Mensual!R162</f>
        <v/>
      </c>
      <c r="AY162" s="29">
        <f>Amortizacion_Capital_Mensual!S162</f>
        <v/>
      </c>
      <c r="AZ162" s="29">
        <f>Saldos_Capital_Mensual!R162</f>
        <v/>
      </c>
      <c r="BA162" s="29">
        <f>Intereses_Residual_Mensual!R162</f>
        <v/>
      </c>
      <c r="BB162" s="29">
        <f>ROUND(AX162 + BA162, 2)</f>
        <v/>
      </c>
      <c r="BC162" s="29">
        <f>Intereses_Leasing_Mensual!S162</f>
        <v/>
      </c>
      <c r="BD162" s="29">
        <f>Amortizacion_Capital_Mensual!T162</f>
        <v/>
      </c>
      <c r="BE162" s="29">
        <f>Saldos_Capital_Mensual!S162</f>
        <v/>
      </c>
      <c r="BF162" s="29">
        <f>Intereses_Residual_Mensual!S162</f>
        <v/>
      </c>
      <c r="BG162" s="29">
        <f>ROUND(BC162 + BF162, 2)</f>
        <v/>
      </c>
      <c r="BH162" s="29">
        <f>Intereses_Leasing_Mensual!T162</f>
        <v/>
      </c>
      <c r="BI162" s="29">
        <f>Amortizacion_Capital_Mensual!U162</f>
        <v/>
      </c>
      <c r="BJ162" s="29">
        <f>Saldos_Capital_Mensual!T162</f>
        <v/>
      </c>
      <c r="BK162" s="29">
        <f>Intereses_Residual_Mensual!T162</f>
        <v/>
      </c>
      <c r="BL162" s="29">
        <f>ROUND(BH162 + BK162, 2)</f>
        <v/>
      </c>
    </row>
    <row r="163">
      <c r="A163" s="20" t="inlineStr">
        <is>
          <t>0684-0004</t>
        </is>
      </c>
      <c r="B163" s="21" t="inlineStr">
        <is>
          <t>Corporativo Kareso Sa de Cv</t>
        </is>
      </c>
      <c r="C163" s="21" t="inlineStr">
        <is>
          <t>700 LARAMIE CREW CAB</t>
        </is>
      </c>
      <c r="D163" s="22" t="n">
        <v>24</v>
      </c>
      <c r="E163" s="23">
        <f>Intereses_Leasing_Mensual!I163</f>
        <v/>
      </c>
      <c r="F163" s="23">
        <f>Amortizacion_Capital_Mensual!J163</f>
        <v/>
      </c>
      <c r="G163" s="23">
        <f>Saldos_Capital_Mensual!I163</f>
        <v/>
      </c>
      <c r="H163" s="23">
        <f>Intereses_Residual_Mensual!I163</f>
        <v/>
      </c>
      <c r="I163" s="23">
        <f>ROUND(E163 + H163, 2)</f>
        <v/>
      </c>
      <c r="J163" s="23">
        <f>Intereses_Leasing_Mensual!J163</f>
        <v/>
      </c>
      <c r="K163" s="23">
        <f>Amortizacion_Capital_Mensual!K163</f>
        <v/>
      </c>
      <c r="L163" s="23">
        <f>Saldos_Capital_Mensual!J163</f>
        <v/>
      </c>
      <c r="M163" s="23">
        <f>Intereses_Residual_Mensual!J163</f>
        <v/>
      </c>
      <c r="N163" s="23">
        <f>ROUND(J163 + M163, 2)</f>
        <v/>
      </c>
      <c r="O163" s="23">
        <f>Intereses_Leasing_Mensual!K163</f>
        <v/>
      </c>
      <c r="P163" s="23">
        <f>Amortizacion_Capital_Mensual!L163</f>
        <v/>
      </c>
      <c r="Q163" s="23">
        <f>Saldos_Capital_Mensual!K163</f>
        <v/>
      </c>
      <c r="R163" s="23">
        <f>Intereses_Residual_Mensual!K163</f>
        <v/>
      </c>
      <c r="S163" s="23">
        <f>ROUND(O163 + R163, 2)</f>
        <v/>
      </c>
      <c r="T163" s="23">
        <f>Intereses_Leasing_Mensual!L163</f>
        <v/>
      </c>
      <c r="U163" s="23">
        <f>Amortizacion_Capital_Mensual!M163</f>
        <v/>
      </c>
      <c r="V163" s="23">
        <f>Saldos_Capital_Mensual!L163</f>
        <v/>
      </c>
      <c r="W163" s="23">
        <f>Intereses_Residual_Mensual!L163</f>
        <v/>
      </c>
      <c r="X163" s="23">
        <f>ROUND(T163 + W163, 2)</f>
        <v/>
      </c>
      <c r="Y163" s="23">
        <f>Intereses_Leasing_Mensual!M163</f>
        <v/>
      </c>
      <c r="Z163" s="23">
        <f>Amortizacion_Capital_Mensual!N163</f>
        <v/>
      </c>
      <c r="AA163" s="23">
        <f>Saldos_Capital_Mensual!M163</f>
        <v/>
      </c>
      <c r="AB163" s="23">
        <f>Intereses_Residual_Mensual!M163</f>
        <v/>
      </c>
      <c r="AC163" s="23">
        <f>ROUND(Y163 + AB163, 2)</f>
        <v/>
      </c>
      <c r="AD163" s="23">
        <f>Intereses_Leasing_Mensual!N163</f>
        <v/>
      </c>
      <c r="AE163" s="23">
        <f>Amortizacion_Capital_Mensual!O163</f>
        <v/>
      </c>
      <c r="AF163" s="23">
        <f>Saldos_Capital_Mensual!N163</f>
        <v/>
      </c>
      <c r="AG163" s="23">
        <f>Intereses_Residual_Mensual!N163</f>
        <v/>
      </c>
      <c r="AH163" s="23">
        <f>ROUND(AD163 + AG163, 2)</f>
        <v/>
      </c>
      <c r="AI163" s="23">
        <f>Intereses_Leasing_Mensual!O163</f>
        <v/>
      </c>
      <c r="AJ163" s="23">
        <f>Amortizacion_Capital_Mensual!P163</f>
        <v/>
      </c>
      <c r="AK163" s="23">
        <f>Saldos_Capital_Mensual!O163</f>
        <v/>
      </c>
      <c r="AL163" s="23">
        <f>Intereses_Residual_Mensual!O163</f>
        <v/>
      </c>
      <c r="AM163" s="23">
        <f>ROUND(AI163 + AL163, 2)</f>
        <v/>
      </c>
      <c r="AN163" s="23">
        <f>Intereses_Leasing_Mensual!P163</f>
        <v/>
      </c>
      <c r="AO163" s="23">
        <f>Amortizacion_Capital_Mensual!Q163</f>
        <v/>
      </c>
      <c r="AP163" s="23">
        <f>Saldos_Capital_Mensual!P163</f>
        <v/>
      </c>
      <c r="AQ163" s="23">
        <f>Intereses_Residual_Mensual!P163</f>
        <v/>
      </c>
      <c r="AR163" s="23">
        <f>ROUND(AN163 + AQ163, 2)</f>
        <v/>
      </c>
      <c r="AS163" s="23">
        <f>Intereses_Leasing_Mensual!Q163</f>
        <v/>
      </c>
      <c r="AT163" s="23">
        <f>Amortizacion_Capital_Mensual!R163</f>
        <v/>
      </c>
      <c r="AU163" s="23">
        <f>Saldos_Capital_Mensual!Q163</f>
        <v/>
      </c>
      <c r="AV163" s="23">
        <f>Intereses_Residual_Mensual!Q163</f>
        <v/>
      </c>
      <c r="AW163" s="23">
        <f>ROUND(AS163 + AV163, 2)</f>
        <v/>
      </c>
      <c r="AX163" s="23">
        <f>Intereses_Leasing_Mensual!R163</f>
        <v/>
      </c>
      <c r="AY163" s="23">
        <f>Amortizacion_Capital_Mensual!S163</f>
        <v/>
      </c>
      <c r="AZ163" s="23">
        <f>Saldos_Capital_Mensual!R163</f>
        <v/>
      </c>
      <c r="BA163" s="23">
        <f>Intereses_Residual_Mensual!R163</f>
        <v/>
      </c>
      <c r="BB163" s="23">
        <f>ROUND(AX163 + BA163, 2)</f>
        <v/>
      </c>
      <c r="BC163" s="23">
        <f>Intereses_Leasing_Mensual!S163</f>
        <v/>
      </c>
      <c r="BD163" s="23">
        <f>Amortizacion_Capital_Mensual!T163</f>
        <v/>
      </c>
      <c r="BE163" s="23">
        <f>Saldos_Capital_Mensual!S163</f>
        <v/>
      </c>
      <c r="BF163" s="23">
        <f>Intereses_Residual_Mensual!S163</f>
        <v/>
      </c>
      <c r="BG163" s="23">
        <f>ROUND(BC163 + BF163, 2)</f>
        <v/>
      </c>
      <c r="BH163" s="23">
        <f>Intereses_Leasing_Mensual!T163</f>
        <v/>
      </c>
      <c r="BI163" s="23">
        <f>Amortizacion_Capital_Mensual!U163</f>
        <v/>
      </c>
      <c r="BJ163" s="23">
        <f>Saldos_Capital_Mensual!T163</f>
        <v/>
      </c>
      <c r="BK163" s="23">
        <f>Intereses_Residual_Mensual!T163</f>
        <v/>
      </c>
      <c r="BL163" s="23">
        <f>ROUND(BH163 + BK163, 2)</f>
        <v/>
      </c>
    </row>
    <row r="164">
      <c r="A164" s="26" t="inlineStr">
        <is>
          <t>0687-0001</t>
        </is>
      </c>
      <c r="B164" s="27" t="inlineStr">
        <is>
          <t>Roberto Carlos Borbolla Alvarado</t>
        </is>
      </c>
      <c r="C164" s="27" t="inlineStr">
        <is>
          <t>Creta</t>
        </is>
      </c>
      <c r="D164" s="28" t="n">
        <v>36</v>
      </c>
      <c r="E164" s="29">
        <f>Intereses_Leasing_Mensual!I164</f>
        <v/>
      </c>
      <c r="F164" s="29">
        <f>Amortizacion_Capital_Mensual!J164</f>
        <v/>
      </c>
      <c r="G164" s="29">
        <f>Saldos_Capital_Mensual!I164</f>
        <v/>
      </c>
      <c r="H164" s="29">
        <f>Intereses_Residual_Mensual!I164</f>
        <v/>
      </c>
      <c r="I164" s="29">
        <f>ROUND(E164 + H164, 2)</f>
        <v/>
      </c>
      <c r="J164" s="29">
        <f>Intereses_Leasing_Mensual!J164</f>
        <v/>
      </c>
      <c r="K164" s="29">
        <f>Amortizacion_Capital_Mensual!K164</f>
        <v/>
      </c>
      <c r="L164" s="29">
        <f>Saldos_Capital_Mensual!J164</f>
        <v/>
      </c>
      <c r="M164" s="29">
        <f>Intereses_Residual_Mensual!J164</f>
        <v/>
      </c>
      <c r="N164" s="29">
        <f>ROUND(J164 + M164, 2)</f>
        <v/>
      </c>
      <c r="O164" s="29">
        <f>Intereses_Leasing_Mensual!K164</f>
        <v/>
      </c>
      <c r="P164" s="29">
        <f>Amortizacion_Capital_Mensual!L164</f>
        <v/>
      </c>
      <c r="Q164" s="29">
        <f>Saldos_Capital_Mensual!K164</f>
        <v/>
      </c>
      <c r="R164" s="29">
        <f>Intereses_Residual_Mensual!K164</f>
        <v/>
      </c>
      <c r="S164" s="29">
        <f>ROUND(O164 + R164, 2)</f>
        <v/>
      </c>
      <c r="T164" s="29">
        <f>Intereses_Leasing_Mensual!L164</f>
        <v/>
      </c>
      <c r="U164" s="29">
        <f>Amortizacion_Capital_Mensual!M164</f>
        <v/>
      </c>
      <c r="V164" s="29">
        <f>Saldos_Capital_Mensual!L164</f>
        <v/>
      </c>
      <c r="W164" s="29">
        <f>Intereses_Residual_Mensual!L164</f>
        <v/>
      </c>
      <c r="X164" s="29">
        <f>ROUND(T164 + W164, 2)</f>
        <v/>
      </c>
      <c r="Y164" s="29">
        <f>Intereses_Leasing_Mensual!M164</f>
        <v/>
      </c>
      <c r="Z164" s="29">
        <f>Amortizacion_Capital_Mensual!N164</f>
        <v/>
      </c>
      <c r="AA164" s="29">
        <f>Saldos_Capital_Mensual!M164</f>
        <v/>
      </c>
      <c r="AB164" s="29">
        <f>Intereses_Residual_Mensual!M164</f>
        <v/>
      </c>
      <c r="AC164" s="29">
        <f>ROUND(Y164 + AB164, 2)</f>
        <v/>
      </c>
      <c r="AD164" s="29">
        <f>Intereses_Leasing_Mensual!N164</f>
        <v/>
      </c>
      <c r="AE164" s="29">
        <f>Amortizacion_Capital_Mensual!O164</f>
        <v/>
      </c>
      <c r="AF164" s="29">
        <f>Saldos_Capital_Mensual!N164</f>
        <v/>
      </c>
      <c r="AG164" s="29">
        <f>Intereses_Residual_Mensual!N164</f>
        <v/>
      </c>
      <c r="AH164" s="29">
        <f>ROUND(AD164 + AG164, 2)</f>
        <v/>
      </c>
      <c r="AI164" s="29">
        <f>Intereses_Leasing_Mensual!O164</f>
        <v/>
      </c>
      <c r="AJ164" s="29">
        <f>Amortizacion_Capital_Mensual!P164</f>
        <v/>
      </c>
      <c r="AK164" s="29">
        <f>Saldos_Capital_Mensual!O164</f>
        <v/>
      </c>
      <c r="AL164" s="29">
        <f>Intereses_Residual_Mensual!O164</f>
        <v/>
      </c>
      <c r="AM164" s="29">
        <f>ROUND(AI164 + AL164, 2)</f>
        <v/>
      </c>
      <c r="AN164" s="29">
        <f>Intereses_Leasing_Mensual!P164</f>
        <v/>
      </c>
      <c r="AO164" s="29">
        <f>Amortizacion_Capital_Mensual!Q164</f>
        <v/>
      </c>
      <c r="AP164" s="29">
        <f>Saldos_Capital_Mensual!P164</f>
        <v/>
      </c>
      <c r="AQ164" s="29">
        <f>Intereses_Residual_Mensual!P164</f>
        <v/>
      </c>
      <c r="AR164" s="29">
        <f>ROUND(AN164 + AQ164, 2)</f>
        <v/>
      </c>
      <c r="AS164" s="29">
        <f>Intereses_Leasing_Mensual!Q164</f>
        <v/>
      </c>
      <c r="AT164" s="29">
        <f>Amortizacion_Capital_Mensual!R164</f>
        <v/>
      </c>
      <c r="AU164" s="29">
        <f>Saldos_Capital_Mensual!Q164</f>
        <v/>
      </c>
      <c r="AV164" s="29">
        <f>Intereses_Residual_Mensual!Q164</f>
        <v/>
      </c>
      <c r="AW164" s="29">
        <f>ROUND(AS164 + AV164, 2)</f>
        <v/>
      </c>
      <c r="AX164" s="29">
        <f>Intereses_Leasing_Mensual!R164</f>
        <v/>
      </c>
      <c r="AY164" s="29">
        <f>Amortizacion_Capital_Mensual!S164</f>
        <v/>
      </c>
      <c r="AZ164" s="29">
        <f>Saldos_Capital_Mensual!R164</f>
        <v/>
      </c>
      <c r="BA164" s="29">
        <f>Intereses_Residual_Mensual!R164</f>
        <v/>
      </c>
      <c r="BB164" s="29">
        <f>ROUND(AX164 + BA164, 2)</f>
        <v/>
      </c>
      <c r="BC164" s="29">
        <f>Intereses_Leasing_Mensual!S164</f>
        <v/>
      </c>
      <c r="BD164" s="29">
        <f>Amortizacion_Capital_Mensual!T164</f>
        <v/>
      </c>
      <c r="BE164" s="29">
        <f>Saldos_Capital_Mensual!S164</f>
        <v/>
      </c>
      <c r="BF164" s="29">
        <f>Intereses_Residual_Mensual!S164</f>
        <v/>
      </c>
      <c r="BG164" s="29">
        <f>ROUND(BC164 + BF164, 2)</f>
        <v/>
      </c>
      <c r="BH164" s="29">
        <f>Intereses_Leasing_Mensual!T164</f>
        <v/>
      </c>
      <c r="BI164" s="29">
        <f>Amortizacion_Capital_Mensual!U164</f>
        <v/>
      </c>
      <c r="BJ164" s="29">
        <f>Saldos_Capital_Mensual!T164</f>
        <v/>
      </c>
      <c r="BK164" s="29">
        <f>Intereses_Residual_Mensual!T164</f>
        <v/>
      </c>
      <c r="BL164" s="29">
        <f>ROUND(BH164 + BK164, 2)</f>
        <v/>
      </c>
    </row>
    <row r="165">
      <c r="A165" s="20" t="inlineStr">
        <is>
          <t>0688-0001</t>
        </is>
      </c>
      <c r="B165" s="21" t="inlineStr">
        <is>
          <t>Dolores Magdalena Rosales Rojas</t>
        </is>
      </c>
      <c r="C165" s="21" t="inlineStr">
        <is>
          <t>1500 RHO</t>
        </is>
      </c>
      <c r="D165" s="22" t="n">
        <v>24</v>
      </c>
      <c r="E165" s="23">
        <f>Intereses_Leasing_Mensual!I165</f>
        <v/>
      </c>
      <c r="F165" s="23">
        <f>Amortizacion_Capital_Mensual!J165</f>
        <v/>
      </c>
      <c r="G165" s="23">
        <f>Saldos_Capital_Mensual!I165</f>
        <v/>
      </c>
      <c r="H165" s="23">
        <f>Intereses_Residual_Mensual!I165</f>
        <v/>
      </c>
      <c r="I165" s="23">
        <f>ROUND(E165 + H165, 2)</f>
        <v/>
      </c>
      <c r="J165" s="23">
        <f>Intereses_Leasing_Mensual!J165</f>
        <v/>
      </c>
      <c r="K165" s="23">
        <f>Amortizacion_Capital_Mensual!K165</f>
        <v/>
      </c>
      <c r="L165" s="23">
        <f>Saldos_Capital_Mensual!J165</f>
        <v/>
      </c>
      <c r="M165" s="23">
        <f>Intereses_Residual_Mensual!J165</f>
        <v/>
      </c>
      <c r="N165" s="23">
        <f>ROUND(J165 + M165, 2)</f>
        <v/>
      </c>
      <c r="O165" s="23">
        <f>Intereses_Leasing_Mensual!K165</f>
        <v/>
      </c>
      <c r="P165" s="23">
        <f>Amortizacion_Capital_Mensual!L165</f>
        <v/>
      </c>
      <c r="Q165" s="23">
        <f>Saldos_Capital_Mensual!K165</f>
        <v/>
      </c>
      <c r="R165" s="23">
        <f>Intereses_Residual_Mensual!K165</f>
        <v/>
      </c>
      <c r="S165" s="23">
        <f>ROUND(O165 + R165, 2)</f>
        <v/>
      </c>
      <c r="T165" s="23">
        <f>Intereses_Leasing_Mensual!L165</f>
        <v/>
      </c>
      <c r="U165" s="23">
        <f>Amortizacion_Capital_Mensual!M165</f>
        <v/>
      </c>
      <c r="V165" s="23">
        <f>Saldos_Capital_Mensual!L165</f>
        <v/>
      </c>
      <c r="W165" s="23">
        <f>Intereses_Residual_Mensual!L165</f>
        <v/>
      </c>
      <c r="X165" s="23">
        <f>ROUND(T165 + W165, 2)</f>
        <v/>
      </c>
      <c r="Y165" s="23">
        <f>Intereses_Leasing_Mensual!M165</f>
        <v/>
      </c>
      <c r="Z165" s="23">
        <f>Amortizacion_Capital_Mensual!N165</f>
        <v/>
      </c>
      <c r="AA165" s="23">
        <f>Saldos_Capital_Mensual!M165</f>
        <v/>
      </c>
      <c r="AB165" s="23">
        <f>Intereses_Residual_Mensual!M165</f>
        <v/>
      </c>
      <c r="AC165" s="23">
        <f>ROUND(Y165 + AB165, 2)</f>
        <v/>
      </c>
      <c r="AD165" s="23">
        <f>Intereses_Leasing_Mensual!N165</f>
        <v/>
      </c>
      <c r="AE165" s="23">
        <f>Amortizacion_Capital_Mensual!O165</f>
        <v/>
      </c>
      <c r="AF165" s="23">
        <f>Saldos_Capital_Mensual!N165</f>
        <v/>
      </c>
      <c r="AG165" s="23">
        <f>Intereses_Residual_Mensual!N165</f>
        <v/>
      </c>
      <c r="AH165" s="23">
        <f>ROUND(AD165 + AG165, 2)</f>
        <v/>
      </c>
      <c r="AI165" s="23">
        <f>Intereses_Leasing_Mensual!O165</f>
        <v/>
      </c>
      <c r="AJ165" s="23">
        <f>Amortizacion_Capital_Mensual!P165</f>
        <v/>
      </c>
      <c r="AK165" s="23">
        <f>Saldos_Capital_Mensual!O165</f>
        <v/>
      </c>
      <c r="AL165" s="23">
        <f>Intereses_Residual_Mensual!O165</f>
        <v/>
      </c>
      <c r="AM165" s="23">
        <f>ROUND(AI165 + AL165, 2)</f>
        <v/>
      </c>
      <c r="AN165" s="23">
        <f>Intereses_Leasing_Mensual!P165</f>
        <v/>
      </c>
      <c r="AO165" s="23">
        <f>Amortizacion_Capital_Mensual!Q165</f>
        <v/>
      </c>
      <c r="AP165" s="23">
        <f>Saldos_Capital_Mensual!P165</f>
        <v/>
      </c>
      <c r="AQ165" s="23">
        <f>Intereses_Residual_Mensual!P165</f>
        <v/>
      </c>
      <c r="AR165" s="23">
        <f>ROUND(AN165 + AQ165, 2)</f>
        <v/>
      </c>
      <c r="AS165" s="23">
        <f>Intereses_Leasing_Mensual!Q165</f>
        <v/>
      </c>
      <c r="AT165" s="23">
        <f>Amortizacion_Capital_Mensual!R165</f>
        <v/>
      </c>
      <c r="AU165" s="23">
        <f>Saldos_Capital_Mensual!Q165</f>
        <v/>
      </c>
      <c r="AV165" s="23">
        <f>Intereses_Residual_Mensual!Q165</f>
        <v/>
      </c>
      <c r="AW165" s="23">
        <f>ROUND(AS165 + AV165, 2)</f>
        <v/>
      </c>
      <c r="AX165" s="23">
        <f>Intereses_Leasing_Mensual!R165</f>
        <v/>
      </c>
      <c r="AY165" s="23">
        <f>Amortizacion_Capital_Mensual!S165</f>
        <v/>
      </c>
      <c r="AZ165" s="23">
        <f>Saldos_Capital_Mensual!R165</f>
        <v/>
      </c>
      <c r="BA165" s="23">
        <f>Intereses_Residual_Mensual!R165</f>
        <v/>
      </c>
      <c r="BB165" s="23">
        <f>ROUND(AX165 + BA165, 2)</f>
        <v/>
      </c>
      <c r="BC165" s="23">
        <f>Intereses_Leasing_Mensual!S165</f>
        <v/>
      </c>
      <c r="BD165" s="23">
        <f>Amortizacion_Capital_Mensual!T165</f>
        <v/>
      </c>
      <c r="BE165" s="23">
        <f>Saldos_Capital_Mensual!S165</f>
        <v/>
      </c>
      <c r="BF165" s="23">
        <f>Intereses_Residual_Mensual!S165</f>
        <v/>
      </c>
      <c r="BG165" s="23">
        <f>ROUND(BC165 + BF165, 2)</f>
        <v/>
      </c>
      <c r="BH165" s="23">
        <f>Intereses_Leasing_Mensual!T165</f>
        <v/>
      </c>
      <c r="BI165" s="23">
        <f>Amortizacion_Capital_Mensual!U165</f>
        <v/>
      </c>
      <c r="BJ165" s="23">
        <f>Saldos_Capital_Mensual!T165</f>
        <v/>
      </c>
      <c r="BK165" s="23">
        <f>Intereses_Residual_Mensual!T165</f>
        <v/>
      </c>
      <c r="BL165" s="23">
        <f>ROUND(BH165 + BK165, 2)</f>
        <v/>
      </c>
    </row>
    <row r="166">
      <c r="A166" s="26" t="inlineStr">
        <is>
          <t>0688-0003</t>
        </is>
      </c>
      <c r="B166" s="27" t="inlineStr">
        <is>
          <t>Dolores Magdalena Rosales Rojas</t>
        </is>
      </c>
      <c r="C166" s="27" t="inlineStr">
        <is>
          <t>Jeep Jt Mojave 2025</t>
        </is>
      </c>
      <c r="D166" s="28" t="n">
        <v>12</v>
      </c>
      <c r="E166" s="29">
        <f>Intereses_Leasing_Mensual!I166</f>
        <v/>
      </c>
      <c r="F166" s="29">
        <f>Amortizacion_Capital_Mensual!J166</f>
        <v/>
      </c>
      <c r="G166" s="29">
        <f>Saldos_Capital_Mensual!I166</f>
        <v/>
      </c>
      <c r="H166" s="29">
        <f>Intereses_Residual_Mensual!I166</f>
        <v/>
      </c>
      <c r="I166" s="29">
        <f>ROUND(E166 + H166, 2)</f>
        <v/>
      </c>
      <c r="J166" s="29">
        <f>Intereses_Leasing_Mensual!J166</f>
        <v/>
      </c>
      <c r="K166" s="29">
        <f>Amortizacion_Capital_Mensual!K166</f>
        <v/>
      </c>
      <c r="L166" s="29">
        <f>Saldos_Capital_Mensual!J166</f>
        <v/>
      </c>
      <c r="M166" s="29">
        <f>Intereses_Residual_Mensual!J166</f>
        <v/>
      </c>
      <c r="N166" s="29">
        <f>ROUND(J166 + M166, 2)</f>
        <v/>
      </c>
      <c r="O166" s="29">
        <f>Intereses_Leasing_Mensual!K166</f>
        <v/>
      </c>
      <c r="P166" s="29">
        <f>Amortizacion_Capital_Mensual!L166</f>
        <v/>
      </c>
      <c r="Q166" s="29">
        <f>Saldos_Capital_Mensual!K166</f>
        <v/>
      </c>
      <c r="R166" s="29">
        <f>Intereses_Residual_Mensual!K166</f>
        <v/>
      </c>
      <c r="S166" s="29">
        <f>ROUND(O166 + R166, 2)</f>
        <v/>
      </c>
      <c r="T166" s="29">
        <f>Intereses_Leasing_Mensual!L166</f>
        <v/>
      </c>
      <c r="U166" s="29">
        <f>Amortizacion_Capital_Mensual!M166</f>
        <v/>
      </c>
      <c r="V166" s="29">
        <f>Saldos_Capital_Mensual!L166</f>
        <v/>
      </c>
      <c r="W166" s="29">
        <f>Intereses_Residual_Mensual!L166</f>
        <v/>
      </c>
      <c r="X166" s="29">
        <f>ROUND(T166 + W166, 2)</f>
        <v/>
      </c>
      <c r="Y166" s="29">
        <f>Intereses_Leasing_Mensual!M166</f>
        <v/>
      </c>
      <c r="Z166" s="29">
        <f>Amortizacion_Capital_Mensual!N166</f>
        <v/>
      </c>
      <c r="AA166" s="29">
        <f>Saldos_Capital_Mensual!M166</f>
        <v/>
      </c>
      <c r="AB166" s="29">
        <f>Intereses_Residual_Mensual!M166</f>
        <v/>
      </c>
      <c r="AC166" s="29">
        <f>ROUND(Y166 + AB166, 2)</f>
        <v/>
      </c>
      <c r="AD166" s="29">
        <f>Intereses_Leasing_Mensual!N166</f>
        <v/>
      </c>
      <c r="AE166" s="29">
        <f>Amortizacion_Capital_Mensual!O166</f>
        <v/>
      </c>
      <c r="AF166" s="29">
        <f>Saldos_Capital_Mensual!N166</f>
        <v/>
      </c>
      <c r="AG166" s="29">
        <f>Intereses_Residual_Mensual!N166</f>
        <v/>
      </c>
      <c r="AH166" s="29">
        <f>ROUND(AD166 + AG166, 2)</f>
        <v/>
      </c>
      <c r="AI166" s="29">
        <f>Intereses_Leasing_Mensual!O166</f>
        <v/>
      </c>
      <c r="AJ166" s="29">
        <f>Amortizacion_Capital_Mensual!P166</f>
        <v/>
      </c>
      <c r="AK166" s="29">
        <f>Saldos_Capital_Mensual!O166</f>
        <v/>
      </c>
      <c r="AL166" s="29">
        <f>Intereses_Residual_Mensual!O166</f>
        <v/>
      </c>
      <c r="AM166" s="29">
        <f>ROUND(AI166 + AL166, 2)</f>
        <v/>
      </c>
      <c r="AN166" s="29">
        <f>Intereses_Leasing_Mensual!P166</f>
        <v/>
      </c>
      <c r="AO166" s="29">
        <f>Amortizacion_Capital_Mensual!Q166</f>
        <v/>
      </c>
      <c r="AP166" s="29">
        <f>Saldos_Capital_Mensual!P166</f>
        <v/>
      </c>
      <c r="AQ166" s="29">
        <f>Intereses_Residual_Mensual!P166</f>
        <v/>
      </c>
      <c r="AR166" s="29">
        <f>ROUND(AN166 + AQ166, 2)</f>
        <v/>
      </c>
      <c r="AS166" s="29">
        <f>Intereses_Leasing_Mensual!Q166</f>
        <v/>
      </c>
      <c r="AT166" s="29">
        <f>Amortizacion_Capital_Mensual!R166</f>
        <v/>
      </c>
      <c r="AU166" s="29">
        <f>Saldos_Capital_Mensual!Q166</f>
        <v/>
      </c>
      <c r="AV166" s="29">
        <f>Intereses_Residual_Mensual!Q166</f>
        <v/>
      </c>
      <c r="AW166" s="29">
        <f>ROUND(AS166 + AV166, 2)</f>
        <v/>
      </c>
      <c r="AX166" s="29">
        <f>Intereses_Leasing_Mensual!R166</f>
        <v/>
      </c>
      <c r="AY166" s="29">
        <f>Amortizacion_Capital_Mensual!S166</f>
        <v/>
      </c>
      <c r="AZ166" s="29">
        <f>Saldos_Capital_Mensual!R166</f>
        <v/>
      </c>
      <c r="BA166" s="29">
        <f>Intereses_Residual_Mensual!R166</f>
        <v/>
      </c>
      <c r="BB166" s="29">
        <f>ROUND(AX166 + BA166, 2)</f>
        <v/>
      </c>
      <c r="BC166" s="29">
        <f>Intereses_Leasing_Mensual!S166</f>
        <v/>
      </c>
      <c r="BD166" s="29">
        <f>Amortizacion_Capital_Mensual!T166</f>
        <v/>
      </c>
      <c r="BE166" s="29">
        <f>Saldos_Capital_Mensual!S166</f>
        <v/>
      </c>
      <c r="BF166" s="29">
        <f>Intereses_Residual_Mensual!S166</f>
        <v/>
      </c>
      <c r="BG166" s="29">
        <f>ROUND(BC166 + BF166, 2)</f>
        <v/>
      </c>
      <c r="BH166" s="29">
        <f>Intereses_Leasing_Mensual!T166</f>
        <v/>
      </c>
      <c r="BI166" s="29">
        <f>Amortizacion_Capital_Mensual!U166</f>
        <v/>
      </c>
      <c r="BJ166" s="29">
        <f>Saldos_Capital_Mensual!T166</f>
        <v/>
      </c>
      <c r="BK166" s="29">
        <f>Intereses_Residual_Mensual!T166</f>
        <v/>
      </c>
      <c r="BL166" s="29">
        <f>ROUND(BH166 + BK166, 2)</f>
        <v/>
      </c>
    </row>
    <row r="167">
      <c r="A167" s="20" t="inlineStr">
        <is>
          <t>0689-0001</t>
        </is>
      </c>
      <c r="B167" s="21" t="inlineStr">
        <is>
          <t>Daniela Lizette Vargas Machuca</t>
        </is>
      </c>
      <c r="C167" s="21" t="inlineStr">
        <is>
          <t>1500 TUNGSTEN</t>
        </is>
      </c>
      <c r="D167" s="22" t="n">
        <v>36</v>
      </c>
      <c r="E167" s="23">
        <f>Intereses_Leasing_Mensual!I167</f>
        <v/>
      </c>
      <c r="F167" s="23">
        <f>Amortizacion_Capital_Mensual!J167</f>
        <v/>
      </c>
      <c r="G167" s="23">
        <f>Saldos_Capital_Mensual!I167</f>
        <v/>
      </c>
      <c r="H167" s="23">
        <f>Intereses_Residual_Mensual!I167</f>
        <v/>
      </c>
      <c r="I167" s="23">
        <f>ROUND(E167 + H167, 2)</f>
        <v/>
      </c>
      <c r="J167" s="23">
        <f>Intereses_Leasing_Mensual!J167</f>
        <v/>
      </c>
      <c r="K167" s="23">
        <f>Amortizacion_Capital_Mensual!K167</f>
        <v/>
      </c>
      <c r="L167" s="23">
        <f>Saldos_Capital_Mensual!J167</f>
        <v/>
      </c>
      <c r="M167" s="23">
        <f>Intereses_Residual_Mensual!J167</f>
        <v/>
      </c>
      <c r="N167" s="23">
        <f>ROUND(J167 + M167, 2)</f>
        <v/>
      </c>
      <c r="O167" s="23">
        <f>Intereses_Leasing_Mensual!K167</f>
        <v/>
      </c>
      <c r="P167" s="23">
        <f>Amortizacion_Capital_Mensual!L167</f>
        <v/>
      </c>
      <c r="Q167" s="23">
        <f>Saldos_Capital_Mensual!K167</f>
        <v/>
      </c>
      <c r="R167" s="23">
        <f>Intereses_Residual_Mensual!K167</f>
        <v/>
      </c>
      <c r="S167" s="23">
        <f>ROUND(O167 + R167, 2)</f>
        <v/>
      </c>
      <c r="T167" s="23">
        <f>Intereses_Leasing_Mensual!L167</f>
        <v/>
      </c>
      <c r="U167" s="23">
        <f>Amortizacion_Capital_Mensual!M167</f>
        <v/>
      </c>
      <c r="V167" s="23">
        <f>Saldos_Capital_Mensual!L167</f>
        <v/>
      </c>
      <c r="W167" s="23">
        <f>Intereses_Residual_Mensual!L167</f>
        <v/>
      </c>
      <c r="X167" s="23">
        <f>ROUND(T167 + W167, 2)</f>
        <v/>
      </c>
      <c r="Y167" s="23">
        <f>Intereses_Leasing_Mensual!M167</f>
        <v/>
      </c>
      <c r="Z167" s="23">
        <f>Amortizacion_Capital_Mensual!N167</f>
        <v/>
      </c>
      <c r="AA167" s="23">
        <f>Saldos_Capital_Mensual!M167</f>
        <v/>
      </c>
      <c r="AB167" s="23">
        <f>Intereses_Residual_Mensual!M167</f>
        <v/>
      </c>
      <c r="AC167" s="23">
        <f>ROUND(Y167 + AB167, 2)</f>
        <v/>
      </c>
      <c r="AD167" s="23">
        <f>Intereses_Leasing_Mensual!N167</f>
        <v/>
      </c>
      <c r="AE167" s="23">
        <f>Amortizacion_Capital_Mensual!O167</f>
        <v/>
      </c>
      <c r="AF167" s="23">
        <f>Saldos_Capital_Mensual!N167</f>
        <v/>
      </c>
      <c r="AG167" s="23">
        <f>Intereses_Residual_Mensual!N167</f>
        <v/>
      </c>
      <c r="AH167" s="23">
        <f>ROUND(AD167 + AG167, 2)</f>
        <v/>
      </c>
      <c r="AI167" s="23">
        <f>Intereses_Leasing_Mensual!O167</f>
        <v/>
      </c>
      <c r="AJ167" s="23">
        <f>Amortizacion_Capital_Mensual!P167</f>
        <v/>
      </c>
      <c r="AK167" s="23">
        <f>Saldos_Capital_Mensual!O167</f>
        <v/>
      </c>
      <c r="AL167" s="23">
        <f>Intereses_Residual_Mensual!O167</f>
        <v/>
      </c>
      <c r="AM167" s="23">
        <f>ROUND(AI167 + AL167, 2)</f>
        <v/>
      </c>
      <c r="AN167" s="23">
        <f>Intereses_Leasing_Mensual!P167</f>
        <v/>
      </c>
      <c r="AO167" s="23">
        <f>Amortizacion_Capital_Mensual!Q167</f>
        <v/>
      </c>
      <c r="AP167" s="23">
        <f>Saldos_Capital_Mensual!P167</f>
        <v/>
      </c>
      <c r="AQ167" s="23">
        <f>Intereses_Residual_Mensual!P167</f>
        <v/>
      </c>
      <c r="AR167" s="23">
        <f>ROUND(AN167 + AQ167, 2)</f>
        <v/>
      </c>
      <c r="AS167" s="23">
        <f>Intereses_Leasing_Mensual!Q167</f>
        <v/>
      </c>
      <c r="AT167" s="23">
        <f>Amortizacion_Capital_Mensual!R167</f>
        <v/>
      </c>
      <c r="AU167" s="23">
        <f>Saldos_Capital_Mensual!Q167</f>
        <v/>
      </c>
      <c r="AV167" s="23">
        <f>Intereses_Residual_Mensual!Q167</f>
        <v/>
      </c>
      <c r="AW167" s="23">
        <f>ROUND(AS167 + AV167, 2)</f>
        <v/>
      </c>
      <c r="AX167" s="23">
        <f>Intereses_Leasing_Mensual!R167</f>
        <v/>
      </c>
      <c r="AY167" s="23">
        <f>Amortizacion_Capital_Mensual!S167</f>
        <v/>
      </c>
      <c r="AZ167" s="23">
        <f>Saldos_Capital_Mensual!R167</f>
        <v/>
      </c>
      <c r="BA167" s="23">
        <f>Intereses_Residual_Mensual!R167</f>
        <v/>
      </c>
      <c r="BB167" s="23">
        <f>ROUND(AX167 + BA167, 2)</f>
        <v/>
      </c>
      <c r="BC167" s="23">
        <f>Intereses_Leasing_Mensual!S167</f>
        <v/>
      </c>
      <c r="BD167" s="23">
        <f>Amortizacion_Capital_Mensual!T167</f>
        <v/>
      </c>
      <c r="BE167" s="23">
        <f>Saldos_Capital_Mensual!S167</f>
        <v/>
      </c>
      <c r="BF167" s="23">
        <f>Intereses_Residual_Mensual!S167</f>
        <v/>
      </c>
      <c r="BG167" s="23">
        <f>ROUND(BC167 + BF167, 2)</f>
        <v/>
      </c>
      <c r="BH167" s="23">
        <f>Intereses_Leasing_Mensual!T167</f>
        <v/>
      </c>
      <c r="BI167" s="23">
        <f>Amortizacion_Capital_Mensual!U167</f>
        <v/>
      </c>
      <c r="BJ167" s="23">
        <f>Saldos_Capital_Mensual!T167</f>
        <v/>
      </c>
      <c r="BK167" s="23">
        <f>Intereses_Residual_Mensual!T167</f>
        <v/>
      </c>
      <c r="BL167" s="23">
        <f>ROUND(BH167 + BK167, 2)</f>
        <v/>
      </c>
    </row>
    <row r="168">
      <c r="A168" s="26" t="inlineStr">
        <is>
          <t>0690-0001</t>
        </is>
      </c>
      <c r="B168" s="27" t="inlineStr">
        <is>
          <t>Rogelio Sanchez Partida</t>
        </is>
      </c>
      <c r="C168" s="27" t="inlineStr">
        <is>
          <t>Grand Cherokee Limited</t>
        </is>
      </c>
      <c r="D168" s="28" t="n">
        <v>36</v>
      </c>
      <c r="E168" s="29">
        <f>Intereses_Leasing_Mensual!I168</f>
        <v/>
      </c>
      <c r="F168" s="29">
        <f>Amortizacion_Capital_Mensual!J168</f>
        <v/>
      </c>
      <c r="G168" s="29">
        <f>Saldos_Capital_Mensual!I168</f>
        <v/>
      </c>
      <c r="H168" s="29">
        <f>Intereses_Residual_Mensual!I168</f>
        <v/>
      </c>
      <c r="I168" s="29">
        <f>ROUND(E168 + H168, 2)</f>
        <v/>
      </c>
      <c r="J168" s="29">
        <f>Intereses_Leasing_Mensual!J168</f>
        <v/>
      </c>
      <c r="K168" s="29">
        <f>Amortizacion_Capital_Mensual!K168</f>
        <v/>
      </c>
      <c r="L168" s="29">
        <f>Saldos_Capital_Mensual!J168</f>
        <v/>
      </c>
      <c r="M168" s="29">
        <f>Intereses_Residual_Mensual!J168</f>
        <v/>
      </c>
      <c r="N168" s="29">
        <f>ROUND(J168 + M168, 2)</f>
        <v/>
      </c>
      <c r="O168" s="29">
        <f>Intereses_Leasing_Mensual!K168</f>
        <v/>
      </c>
      <c r="P168" s="29">
        <f>Amortizacion_Capital_Mensual!L168</f>
        <v/>
      </c>
      <c r="Q168" s="29">
        <f>Saldos_Capital_Mensual!K168</f>
        <v/>
      </c>
      <c r="R168" s="29">
        <f>Intereses_Residual_Mensual!K168</f>
        <v/>
      </c>
      <c r="S168" s="29">
        <f>ROUND(O168 + R168, 2)</f>
        <v/>
      </c>
      <c r="T168" s="29">
        <f>Intereses_Leasing_Mensual!L168</f>
        <v/>
      </c>
      <c r="U168" s="29">
        <f>Amortizacion_Capital_Mensual!M168</f>
        <v/>
      </c>
      <c r="V168" s="29">
        <f>Saldos_Capital_Mensual!L168</f>
        <v/>
      </c>
      <c r="W168" s="29">
        <f>Intereses_Residual_Mensual!L168</f>
        <v/>
      </c>
      <c r="X168" s="29">
        <f>ROUND(T168 + W168, 2)</f>
        <v/>
      </c>
      <c r="Y168" s="29">
        <f>Intereses_Leasing_Mensual!M168</f>
        <v/>
      </c>
      <c r="Z168" s="29">
        <f>Amortizacion_Capital_Mensual!N168</f>
        <v/>
      </c>
      <c r="AA168" s="29">
        <f>Saldos_Capital_Mensual!M168</f>
        <v/>
      </c>
      <c r="AB168" s="29">
        <f>Intereses_Residual_Mensual!M168</f>
        <v/>
      </c>
      <c r="AC168" s="29">
        <f>ROUND(Y168 + AB168, 2)</f>
        <v/>
      </c>
      <c r="AD168" s="29">
        <f>Intereses_Leasing_Mensual!N168</f>
        <v/>
      </c>
      <c r="AE168" s="29">
        <f>Amortizacion_Capital_Mensual!O168</f>
        <v/>
      </c>
      <c r="AF168" s="29">
        <f>Saldos_Capital_Mensual!N168</f>
        <v/>
      </c>
      <c r="AG168" s="29">
        <f>Intereses_Residual_Mensual!N168</f>
        <v/>
      </c>
      <c r="AH168" s="29">
        <f>ROUND(AD168 + AG168, 2)</f>
        <v/>
      </c>
      <c r="AI168" s="29">
        <f>Intereses_Leasing_Mensual!O168</f>
        <v/>
      </c>
      <c r="AJ168" s="29">
        <f>Amortizacion_Capital_Mensual!P168</f>
        <v/>
      </c>
      <c r="AK168" s="29">
        <f>Saldos_Capital_Mensual!O168</f>
        <v/>
      </c>
      <c r="AL168" s="29">
        <f>Intereses_Residual_Mensual!O168</f>
        <v/>
      </c>
      <c r="AM168" s="29">
        <f>ROUND(AI168 + AL168, 2)</f>
        <v/>
      </c>
      <c r="AN168" s="29">
        <f>Intereses_Leasing_Mensual!P168</f>
        <v/>
      </c>
      <c r="AO168" s="29">
        <f>Amortizacion_Capital_Mensual!Q168</f>
        <v/>
      </c>
      <c r="AP168" s="29">
        <f>Saldos_Capital_Mensual!P168</f>
        <v/>
      </c>
      <c r="AQ168" s="29">
        <f>Intereses_Residual_Mensual!P168</f>
        <v/>
      </c>
      <c r="AR168" s="29">
        <f>ROUND(AN168 + AQ168, 2)</f>
        <v/>
      </c>
      <c r="AS168" s="29">
        <f>Intereses_Leasing_Mensual!Q168</f>
        <v/>
      </c>
      <c r="AT168" s="29">
        <f>Amortizacion_Capital_Mensual!R168</f>
        <v/>
      </c>
      <c r="AU168" s="29">
        <f>Saldos_Capital_Mensual!Q168</f>
        <v/>
      </c>
      <c r="AV168" s="29">
        <f>Intereses_Residual_Mensual!Q168</f>
        <v/>
      </c>
      <c r="AW168" s="29">
        <f>ROUND(AS168 + AV168, 2)</f>
        <v/>
      </c>
      <c r="AX168" s="29">
        <f>Intereses_Leasing_Mensual!R168</f>
        <v/>
      </c>
      <c r="AY168" s="29">
        <f>Amortizacion_Capital_Mensual!S168</f>
        <v/>
      </c>
      <c r="AZ168" s="29">
        <f>Saldos_Capital_Mensual!R168</f>
        <v/>
      </c>
      <c r="BA168" s="29">
        <f>Intereses_Residual_Mensual!R168</f>
        <v/>
      </c>
      <c r="BB168" s="29">
        <f>ROUND(AX168 + BA168, 2)</f>
        <v/>
      </c>
      <c r="BC168" s="29">
        <f>Intereses_Leasing_Mensual!S168</f>
        <v/>
      </c>
      <c r="BD168" s="29">
        <f>Amortizacion_Capital_Mensual!T168</f>
        <v/>
      </c>
      <c r="BE168" s="29">
        <f>Saldos_Capital_Mensual!S168</f>
        <v/>
      </c>
      <c r="BF168" s="29">
        <f>Intereses_Residual_Mensual!S168</f>
        <v/>
      </c>
      <c r="BG168" s="29">
        <f>ROUND(BC168 + BF168, 2)</f>
        <v/>
      </c>
      <c r="BH168" s="29">
        <f>Intereses_Leasing_Mensual!T168</f>
        <v/>
      </c>
      <c r="BI168" s="29">
        <f>Amortizacion_Capital_Mensual!U168</f>
        <v/>
      </c>
      <c r="BJ168" s="29">
        <f>Saldos_Capital_Mensual!T168</f>
        <v/>
      </c>
      <c r="BK168" s="29">
        <f>Intereses_Residual_Mensual!T168</f>
        <v/>
      </c>
      <c r="BL168" s="29">
        <f>ROUND(BH168 + BK168, 2)</f>
        <v/>
      </c>
    </row>
    <row r="169">
      <c r="A169" s="20" t="inlineStr">
        <is>
          <t>0691-0001</t>
        </is>
      </c>
      <c r="B169" s="21" t="inlineStr">
        <is>
          <t>Pfc Films</t>
        </is>
      </c>
      <c r="C169" s="21" t="inlineStr">
        <is>
          <t>2008 allure Pack</t>
        </is>
      </c>
      <c r="D169" s="22" t="n">
        <v>24</v>
      </c>
      <c r="E169" s="23">
        <f>Intereses_Leasing_Mensual!I169</f>
        <v/>
      </c>
      <c r="F169" s="23">
        <f>Amortizacion_Capital_Mensual!J169</f>
        <v/>
      </c>
      <c r="G169" s="23">
        <f>Saldos_Capital_Mensual!I169</f>
        <v/>
      </c>
      <c r="H169" s="23">
        <f>Intereses_Residual_Mensual!I169</f>
        <v/>
      </c>
      <c r="I169" s="23">
        <f>ROUND(E169 + H169, 2)</f>
        <v/>
      </c>
      <c r="J169" s="23">
        <f>Intereses_Leasing_Mensual!J169</f>
        <v/>
      </c>
      <c r="K169" s="23">
        <f>Amortizacion_Capital_Mensual!K169</f>
        <v/>
      </c>
      <c r="L169" s="23">
        <f>Saldos_Capital_Mensual!J169</f>
        <v/>
      </c>
      <c r="M169" s="23">
        <f>Intereses_Residual_Mensual!J169</f>
        <v/>
      </c>
      <c r="N169" s="23">
        <f>ROUND(J169 + M169, 2)</f>
        <v/>
      </c>
      <c r="O169" s="23">
        <f>Intereses_Leasing_Mensual!K169</f>
        <v/>
      </c>
      <c r="P169" s="23">
        <f>Amortizacion_Capital_Mensual!L169</f>
        <v/>
      </c>
      <c r="Q169" s="23">
        <f>Saldos_Capital_Mensual!K169</f>
        <v/>
      </c>
      <c r="R169" s="23">
        <f>Intereses_Residual_Mensual!K169</f>
        <v/>
      </c>
      <c r="S169" s="23">
        <f>ROUND(O169 + R169, 2)</f>
        <v/>
      </c>
      <c r="T169" s="23">
        <f>Intereses_Leasing_Mensual!L169</f>
        <v/>
      </c>
      <c r="U169" s="23">
        <f>Amortizacion_Capital_Mensual!M169</f>
        <v/>
      </c>
      <c r="V169" s="23">
        <f>Saldos_Capital_Mensual!L169</f>
        <v/>
      </c>
      <c r="W169" s="23">
        <f>Intereses_Residual_Mensual!L169</f>
        <v/>
      </c>
      <c r="X169" s="23">
        <f>ROUND(T169 + W169, 2)</f>
        <v/>
      </c>
      <c r="Y169" s="23">
        <f>Intereses_Leasing_Mensual!M169</f>
        <v/>
      </c>
      <c r="Z169" s="23">
        <f>Amortizacion_Capital_Mensual!N169</f>
        <v/>
      </c>
      <c r="AA169" s="23">
        <f>Saldos_Capital_Mensual!M169</f>
        <v/>
      </c>
      <c r="AB169" s="23">
        <f>Intereses_Residual_Mensual!M169</f>
        <v/>
      </c>
      <c r="AC169" s="23">
        <f>ROUND(Y169 + AB169, 2)</f>
        <v/>
      </c>
      <c r="AD169" s="23">
        <f>Intereses_Leasing_Mensual!N169</f>
        <v/>
      </c>
      <c r="AE169" s="23">
        <f>Amortizacion_Capital_Mensual!O169</f>
        <v/>
      </c>
      <c r="AF169" s="23">
        <f>Saldos_Capital_Mensual!N169</f>
        <v/>
      </c>
      <c r="AG169" s="23">
        <f>Intereses_Residual_Mensual!N169</f>
        <v/>
      </c>
      <c r="AH169" s="23">
        <f>ROUND(AD169 + AG169, 2)</f>
        <v/>
      </c>
      <c r="AI169" s="23">
        <f>Intereses_Leasing_Mensual!O169</f>
        <v/>
      </c>
      <c r="AJ169" s="23">
        <f>Amortizacion_Capital_Mensual!P169</f>
        <v/>
      </c>
      <c r="AK169" s="23">
        <f>Saldos_Capital_Mensual!O169</f>
        <v/>
      </c>
      <c r="AL169" s="23">
        <f>Intereses_Residual_Mensual!O169</f>
        <v/>
      </c>
      <c r="AM169" s="23">
        <f>ROUND(AI169 + AL169, 2)</f>
        <v/>
      </c>
      <c r="AN169" s="23">
        <f>Intereses_Leasing_Mensual!P169</f>
        <v/>
      </c>
      <c r="AO169" s="23">
        <f>Amortizacion_Capital_Mensual!Q169</f>
        <v/>
      </c>
      <c r="AP169" s="23">
        <f>Saldos_Capital_Mensual!P169</f>
        <v/>
      </c>
      <c r="AQ169" s="23">
        <f>Intereses_Residual_Mensual!P169</f>
        <v/>
      </c>
      <c r="AR169" s="23">
        <f>ROUND(AN169 + AQ169, 2)</f>
        <v/>
      </c>
      <c r="AS169" s="23">
        <f>Intereses_Leasing_Mensual!Q169</f>
        <v/>
      </c>
      <c r="AT169" s="23">
        <f>Amortizacion_Capital_Mensual!R169</f>
        <v/>
      </c>
      <c r="AU169" s="23">
        <f>Saldos_Capital_Mensual!Q169</f>
        <v/>
      </c>
      <c r="AV169" s="23">
        <f>Intereses_Residual_Mensual!Q169</f>
        <v/>
      </c>
      <c r="AW169" s="23">
        <f>ROUND(AS169 + AV169, 2)</f>
        <v/>
      </c>
      <c r="AX169" s="23">
        <f>Intereses_Leasing_Mensual!R169</f>
        <v/>
      </c>
      <c r="AY169" s="23">
        <f>Amortizacion_Capital_Mensual!S169</f>
        <v/>
      </c>
      <c r="AZ169" s="23">
        <f>Saldos_Capital_Mensual!R169</f>
        <v/>
      </c>
      <c r="BA169" s="23">
        <f>Intereses_Residual_Mensual!R169</f>
        <v/>
      </c>
      <c r="BB169" s="23">
        <f>ROUND(AX169 + BA169, 2)</f>
        <v/>
      </c>
      <c r="BC169" s="23">
        <f>Intereses_Leasing_Mensual!S169</f>
        <v/>
      </c>
      <c r="BD169" s="23">
        <f>Amortizacion_Capital_Mensual!T169</f>
        <v/>
      </c>
      <c r="BE169" s="23">
        <f>Saldos_Capital_Mensual!S169</f>
        <v/>
      </c>
      <c r="BF169" s="23">
        <f>Intereses_Residual_Mensual!S169</f>
        <v/>
      </c>
      <c r="BG169" s="23">
        <f>ROUND(BC169 + BF169, 2)</f>
        <v/>
      </c>
      <c r="BH169" s="23">
        <f>Intereses_Leasing_Mensual!T169</f>
        <v/>
      </c>
      <c r="BI169" s="23">
        <f>Amortizacion_Capital_Mensual!U169</f>
        <v/>
      </c>
      <c r="BJ169" s="23">
        <f>Saldos_Capital_Mensual!T169</f>
        <v/>
      </c>
      <c r="BK169" s="23">
        <f>Intereses_Residual_Mensual!T169</f>
        <v/>
      </c>
      <c r="BL169" s="23">
        <f>ROUND(BH169 + BK169, 2)</f>
        <v/>
      </c>
    </row>
    <row r="170">
      <c r="A170" s="26" t="inlineStr">
        <is>
          <t>0692-0001</t>
        </is>
      </c>
      <c r="B170" s="27" t="inlineStr">
        <is>
          <t>Operadora de Centros Familiares Gato</t>
        </is>
      </c>
      <c r="C170" s="27" t="inlineStr">
        <is>
          <t>Partner Rapid</t>
        </is>
      </c>
      <c r="D170" s="28" t="n">
        <v>24</v>
      </c>
      <c r="E170" s="29">
        <f>Intereses_Leasing_Mensual!I170</f>
        <v/>
      </c>
      <c r="F170" s="29">
        <f>Amortizacion_Capital_Mensual!J170</f>
        <v/>
      </c>
      <c r="G170" s="29">
        <f>Saldos_Capital_Mensual!I170</f>
        <v/>
      </c>
      <c r="H170" s="29">
        <f>Intereses_Residual_Mensual!I170</f>
        <v/>
      </c>
      <c r="I170" s="29">
        <f>ROUND(E170 + H170, 2)</f>
        <v/>
      </c>
      <c r="J170" s="29">
        <f>Intereses_Leasing_Mensual!J170</f>
        <v/>
      </c>
      <c r="K170" s="29">
        <f>Amortizacion_Capital_Mensual!K170</f>
        <v/>
      </c>
      <c r="L170" s="29">
        <f>Saldos_Capital_Mensual!J170</f>
        <v/>
      </c>
      <c r="M170" s="29">
        <f>Intereses_Residual_Mensual!J170</f>
        <v/>
      </c>
      <c r="N170" s="29">
        <f>ROUND(J170 + M170, 2)</f>
        <v/>
      </c>
      <c r="O170" s="29">
        <f>Intereses_Leasing_Mensual!K170</f>
        <v/>
      </c>
      <c r="P170" s="29">
        <f>Amortizacion_Capital_Mensual!L170</f>
        <v/>
      </c>
      <c r="Q170" s="29">
        <f>Saldos_Capital_Mensual!K170</f>
        <v/>
      </c>
      <c r="R170" s="29">
        <f>Intereses_Residual_Mensual!K170</f>
        <v/>
      </c>
      <c r="S170" s="29">
        <f>ROUND(O170 + R170, 2)</f>
        <v/>
      </c>
      <c r="T170" s="29">
        <f>Intereses_Leasing_Mensual!L170</f>
        <v/>
      </c>
      <c r="U170" s="29">
        <f>Amortizacion_Capital_Mensual!M170</f>
        <v/>
      </c>
      <c r="V170" s="29">
        <f>Saldos_Capital_Mensual!L170</f>
        <v/>
      </c>
      <c r="W170" s="29">
        <f>Intereses_Residual_Mensual!L170</f>
        <v/>
      </c>
      <c r="X170" s="29">
        <f>ROUND(T170 + W170, 2)</f>
        <v/>
      </c>
      <c r="Y170" s="29">
        <f>Intereses_Leasing_Mensual!M170</f>
        <v/>
      </c>
      <c r="Z170" s="29">
        <f>Amortizacion_Capital_Mensual!N170</f>
        <v/>
      </c>
      <c r="AA170" s="29">
        <f>Saldos_Capital_Mensual!M170</f>
        <v/>
      </c>
      <c r="AB170" s="29">
        <f>Intereses_Residual_Mensual!M170</f>
        <v/>
      </c>
      <c r="AC170" s="29">
        <f>ROUND(Y170 + AB170, 2)</f>
        <v/>
      </c>
      <c r="AD170" s="29">
        <f>Intereses_Leasing_Mensual!N170</f>
        <v/>
      </c>
      <c r="AE170" s="29">
        <f>Amortizacion_Capital_Mensual!O170</f>
        <v/>
      </c>
      <c r="AF170" s="29">
        <f>Saldos_Capital_Mensual!N170</f>
        <v/>
      </c>
      <c r="AG170" s="29">
        <f>Intereses_Residual_Mensual!N170</f>
        <v/>
      </c>
      <c r="AH170" s="29">
        <f>ROUND(AD170 + AG170, 2)</f>
        <v/>
      </c>
      <c r="AI170" s="29">
        <f>Intereses_Leasing_Mensual!O170</f>
        <v/>
      </c>
      <c r="AJ170" s="29">
        <f>Amortizacion_Capital_Mensual!P170</f>
        <v/>
      </c>
      <c r="AK170" s="29">
        <f>Saldos_Capital_Mensual!O170</f>
        <v/>
      </c>
      <c r="AL170" s="29">
        <f>Intereses_Residual_Mensual!O170</f>
        <v/>
      </c>
      <c r="AM170" s="29">
        <f>ROUND(AI170 + AL170, 2)</f>
        <v/>
      </c>
      <c r="AN170" s="29">
        <f>Intereses_Leasing_Mensual!P170</f>
        <v/>
      </c>
      <c r="AO170" s="29">
        <f>Amortizacion_Capital_Mensual!Q170</f>
        <v/>
      </c>
      <c r="AP170" s="29">
        <f>Saldos_Capital_Mensual!P170</f>
        <v/>
      </c>
      <c r="AQ170" s="29">
        <f>Intereses_Residual_Mensual!P170</f>
        <v/>
      </c>
      <c r="AR170" s="29">
        <f>ROUND(AN170 + AQ170, 2)</f>
        <v/>
      </c>
      <c r="AS170" s="29">
        <f>Intereses_Leasing_Mensual!Q170</f>
        <v/>
      </c>
      <c r="AT170" s="29">
        <f>Amortizacion_Capital_Mensual!R170</f>
        <v/>
      </c>
      <c r="AU170" s="29">
        <f>Saldos_Capital_Mensual!Q170</f>
        <v/>
      </c>
      <c r="AV170" s="29">
        <f>Intereses_Residual_Mensual!Q170</f>
        <v/>
      </c>
      <c r="AW170" s="29">
        <f>ROUND(AS170 + AV170, 2)</f>
        <v/>
      </c>
      <c r="AX170" s="29">
        <f>Intereses_Leasing_Mensual!R170</f>
        <v/>
      </c>
      <c r="AY170" s="29">
        <f>Amortizacion_Capital_Mensual!S170</f>
        <v/>
      </c>
      <c r="AZ170" s="29">
        <f>Saldos_Capital_Mensual!R170</f>
        <v/>
      </c>
      <c r="BA170" s="29">
        <f>Intereses_Residual_Mensual!R170</f>
        <v/>
      </c>
      <c r="BB170" s="29">
        <f>ROUND(AX170 + BA170, 2)</f>
        <v/>
      </c>
      <c r="BC170" s="29">
        <f>Intereses_Leasing_Mensual!S170</f>
        <v/>
      </c>
      <c r="BD170" s="29">
        <f>Amortizacion_Capital_Mensual!T170</f>
        <v/>
      </c>
      <c r="BE170" s="29">
        <f>Saldos_Capital_Mensual!S170</f>
        <v/>
      </c>
      <c r="BF170" s="29">
        <f>Intereses_Residual_Mensual!S170</f>
        <v/>
      </c>
      <c r="BG170" s="29">
        <f>ROUND(BC170 + BF170, 2)</f>
        <v/>
      </c>
      <c r="BH170" s="29">
        <f>Intereses_Leasing_Mensual!T170</f>
        <v/>
      </c>
      <c r="BI170" s="29">
        <f>Amortizacion_Capital_Mensual!U170</f>
        <v/>
      </c>
      <c r="BJ170" s="29">
        <f>Saldos_Capital_Mensual!T170</f>
        <v/>
      </c>
      <c r="BK170" s="29">
        <f>Intereses_Residual_Mensual!T170</f>
        <v/>
      </c>
      <c r="BL170" s="29">
        <f>ROUND(BH170 + BK170, 2)</f>
        <v/>
      </c>
    </row>
    <row r="171">
      <c r="A171" s="20" t="inlineStr">
        <is>
          <t>0692-0002</t>
        </is>
      </c>
      <c r="B171" s="21" t="inlineStr">
        <is>
          <t>Operadora de Centros Familiares Gato</t>
        </is>
      </c>
      <c r="C171" s="21" t="inlineStr">
        <is>
          <t>Partner Rapid</t>
        </is>
      </c>
      <c r="D171" s="22" t="n">
        <v>24</v>
      </c>
      <c r="E171" s="23">
        <f>Intereses_Leasing_Mensual!I171</f>
        <v/>
      </c>
      <c r="F171" s="23">
        <f>Amortizacion_Capital_Mensual!J171</f>
        <v/>
      </c>
      <c r="G171" s="23">
        <f>Saldos_Capital_Mensual!I171</f>
        <v/>
      </c>
      <c r="H171" s="23">
        <f>Intereses_Residual_Mensual!I171</f>
        <v/>
      </c>
      <c r="I171" s="23">
        <f>ROUND(E171 + H171, 2)</f>
        <v/>
      </c>
      <c r="J171" s="23">
        <f>Intereses_Leasing_Mensual!J171</f>
        <v/>
      </c>
      <c r="K171" s="23">
        <f>Amortizacion_Capital_Mensual!K171</f>
        <v/>
      </c>
      <c r="L171" s="23">
        <f>Saldos_Capital_Mensual!J171</f>
        <v/>
      </c>
      <c r="M171" s="23">
        <f>Intereses_Residual_Mensual!J171</f>
        <v/>
      </c>
      <c r="N171" s="23">
        <f>ROUND(J171 + M171, 2)</f>
        <v/>
      </c>
      <c r="O171" s="23">
        <f>Intereses_Leasing_Mensual!K171</f>
        <v/>
      </c>
      <c r="P171" s="23">
        <f>Amortizacion_Capital_Mensual!L171</f>
        <v/>
      </c>
      <c r="Q171" s="23">
        <f>Saldos_Capital_Mensual!K171</f>
        <v/>
      </c>
      <c r="R171" s="23">
        <f>Intereses_Residual_Mensual!K171</f>
        <v/>
      </c>
      <c r="S171" s="23">
        <f>ROUND(O171 + R171, 2)</f>
        <v/>
      </c>
      <c r="T171" s="23">
        <f>Intereses_Leasing_Mensual!L171</f>
        <v/>
      </c>
      <c r="U171" s="23">
        <f>Amortizacion_Capital_Mensual!M171</f>
        <v/>
      </c>
      <c r="V171" s="23">
        <f>Saldos_Capital_Mensual!L171</f>
        <v/>
      </c>
      <c r="W171" s="23">
        <f>Intereses_Residual_Mensual!L171</f>
        <v/>
      </c>
      <c r="X171" s="23">
        <f>ROUND(T171 + W171, 2)</f>
        <v/>
      </c>
      <c r="Y171" s="23">
        <f>Intereses_Leasing_Mensual!M171</f>
        <v/>
      </c>
      <c r="Z171" s="23">
        <f>Amortizacion_Capital_Mensual!N171</f>
        <v/>
      </c>
      <c r="AA171" s="23">
        <f>Saldos_Capital_Mensual!M171</f>
        <v/>
      </c>
      <c r="AB171" s="23">
        <f>Intereses_Residual_Mensual!M171</f>
        <v/>
      </c>
      <c r="AC171" s="23">
        <f>ROUND(Y171 + AB171, 2)</f>
        <v/>
      </c>
      <c r="AD171" s="23">
        <f>Intereses_Leasing_Mensual!N171</f>
        <v/>
      </c>
      <c r="AE171" s="23">
        <f>Amortizacion_Capital_Mensual!O171</f>
        <v/>
      </c>
      <c r="AF171" s="23">
        <f>Saldos_Capital_Mensual!N171</f>
        <v/>
      </c>
      <c r="AG171" s="23">
        <f>Intereses_Residual_Mensual!N171</f>
        <v/>
      </c>
      <c r="AH171" s="23">
        <f>ROUND(AD171 + AG171, 2)</f>
        <v/>
      </c>
      <c r="AI171" s="23">
        <f>Intereses_Leasing_Mensual!O171</f>
        <v/>
      </c>
      <c r="AJ171" s="23">
        <f>Amortizacion_Capital_Mensual!P171</f>
        <v/>
      </c>
      <c r="AK171" s="23">
        <f>Saldos_Capital_Mensual!O171</f>
        <v/>
      </c>
      <c r="AL171" s="23">
        <f>Intereses_Residual_Mensual!O171</f>
        <v/>
      </c>
      <c r="AM171" s="23">
        <f>ROUND(AI171 + AL171, 2)</f>
        <v/>
      </c>
      <c r="AN171" s="23">
        <f>Intereses_Leasing_Mensual!P171</f>
        <v/>
      </c>
      <c r="AO171" s="23">
        <f>Amortizacion_Capital_Mensual!Q171</f>
        <v/>
      </c>
      <c r="AP171" s="23">
        <f>Saldos_Capital_Mensual!P171</f>
        <v/>
      </c>
      <c r="AQ171" s="23">
        <f>Intereses_Residual_Mensual!P171</f>
        <v/>
      </c>
      <c r="AR171" s="23">
        <f>ROUND(AN171 + AQ171, 2)</f>
        <v/>
      </c>
      <c r="AS171" s="23">
        <f>Intereses_Leasing_Mensual!Q171</f>
        <v/>
      </c>
      <c r="AT171" s="23">
        <f>Amortizacion_Capital_Mensual!R171</f>
        <v/>
      </c>
      <c r="AU171" s="23">
        <f>Saldos_Capital_Mensual!Q171</f>
        <v/>
      </c>
      <c r="AV171" s="23">
        <f>Intereses_Residual_Mensual!Q171</f>
        <v/>
      </c>
      <c r="AW171" s="23">
        <f>ROUND(AS171 + AV171, 2)</f>
        <v/>
      </c>
      <c r="AX171" s="23">
        <f>Intereses_Leasing_Mensual!R171</f>
        <v/>
      </c>
      <c r="AY171" s="23">
        <f>Amortizacion_Capital_Mensual!S171</f>
        <v/>
      </c>
      <c r="AZ171" s="23">
        <f>Saldos_Capital_Mensual!R171</f>
        <v/>
      </c>
      <c r="BA171" s="23">
        <f>Intereses_Residual_Mensual!R171</f>
        <v/>
      </c>
      <c r="BB171" s="23">
        <f>ROUND(AX171 + BA171, 2)</f>
        <v/>
      </c>
      <c r="BC171" s="23">
        <f>Intereses_Leasing_Mensual!S171</f>
        <v/>
      </c>
      <c r="BD171" s="23">
        <f>Amortizacion_Capital_Mensual!T171</f>
        <v/>
      </c>
      <c r="BE171" s="23">
        <f>Saldos_Capital_Mensual!S171</f>
        <v/>
      </c>
      <c r="BF171" s="23">
        <f>Intereses_Residual_Mensual!S171</f>
        <v/>
      </c>
      <c r="BG171" s="23">
        <f>ROUND(BC171 + BF171, 2)</f>
        <v/>
      </c>
      <c r="BH171" s="23">
        <f>Intereses_Leasing_Mensual!T171</f>
        <v/>
      </c>
      <c r="BI171" s="23">
        <f>Amortizacion_Capital_Mensual!U171</f>
        <v/>
      </c>
      <c r="BJ171" s="23">
        <f>Saldos_Capital_Mensual!T171</f>
        <v/>
      </c>
      <c r="BK171" s="23">
        <f>Intereses_Residual_Mensual!T171</f>
        <v/>
      </c>
      <c r="BL171" s="23">
        <f>ROUND(BH171 + BK171, 2)</f>
        <v/>
      </c>
    </row>
    <row r="172">
      <c r="A172" s="26" t="inlineStr">
        <is>
          <t>0692-0003</t>
        </is>
      </c>
      <c r="B172" s="27" t="inlineStr">
        <is>
          <t>Operadora de Centros Familiares Gato</t>
        </is>
      </c>
      <c r="C172" s="27" t="inlineStr">
        <is>
          <t>Partner Rapid</t>
        </is>
      </c>
      <c r="D172" s="28" t="n">
        <v>24</v>
      </c>
      <c r="E172" s="29">
        <f>Intereses_Leasing_Mensual!I172</f>
        <v/>
      </c>
      <c r="F172" s="29">
        <f>Amortizacion_Capital_Mensual!J172</f>
        <v/>
      </c>
      <c r="G172" s="29">
        <f>Saldos_Capital_Mensual!I172</f>
        <v/>
      </c>
      <c r="H172" s="29">
        <f>Intereses_Residual_Mensual!I172</f>
        <v/>
      </c>
      <c r="I172" s="29">
        <f>ROUND(E172 + H172, 2)</f>
        <v/>
      </c>
      <c r="J172" s="29">
        <f>Intereses_Leasing_Mensual!J172</f>
        <v/>
      </c>
      <c r="K172" s="29">
        <f>Amortizacion_Capital_Mensual!K172</f>
        <v/>
      </c>
      <c r="L172" s="29">
        <f>Saldos_Capital_Mensual!J172</f>
        <v/>
      </c>
      <c r="M172" s="29">
        <f>Intereses_Residual_Mensual!J172</f>
        <v/>
      </c>
      <c r="N172" s="29">
        <f>ROUND(J172 + M172, 2)</f>
        <v/>
      </c>
      <c r="O172" s="29">
        <f>Intereses_Leasing_Mensual!K172</f>
        <v/>
      </c>
      <c r="P172" s="29">
        <f>Amortizacion_Capital_Mensual!L172</f>
        <v/>
      </c>
      <c r="Q172" s="29">
        <f>Saldos_Capital_Mensual!K172</f>
        <v/>
      </c>
      <c r="R172" s="29">
        <f>Intereses_Residual_Mensual!K172</f>
        <v/>
      </c>
      <c r="S172" s="29">
        <f>ROUND(O172 + R172, 2)</f>
        <v/>
      </c>
      <c r="T172" s="29">
        <f>Intereses_Leasing_Mensual!L172</f>
        <v/>
      </c>
      <c r="U172" s="29">
        <f>Amortizacion_Capital_Mensual!M172</f>
        <v/>
      </c>
      <c r="V172" s="29">
        <f>Saldos_Capital_Mensual!L172</f>
        <v/>
      </c>
      <c r="W172" s="29">
        <f>Intereses_Residual_Mensual!L172</f>
        <v/>
      </c>
      <c r="X172" s="29">
        <f>ROUND(T172 + W172, 2)</f>
        <v/>
      </c>
      <c r="Y172" s="29">
        <f>Intereses_Leasing_Mensual!M172</f>
        <v/>
      </c>
      <c r="Z172" s="29">
        <f>Amortizacion_Capital_Mensual!N172</f>
        <v/>
      </c>
      <c r="AA172" s="29">
        <f>Saldos_Capital_Mensual!M172</f>
        <v/>
      </c>
      <c r="AB172" s="29">
        <f>Intereses_Residual_Mensual!M172</f>
        <v/>
      </c>
      <c r="AC172" s="29">
        <f>ROUND(Y172 + AB172, 2)</f>
        <v/>
      </c>
      <c r="AD172" s="29">
        <f>Intereses_Leasing_Mensual!N172</f>
        <v/>
      </c>
      <c r="AE172" s="29">
        <f>Amortizacion_Capital_Mensual!O172</f>
        <v/>
      </c>
      <c r="AF172" s="29">
        <f>Saldos_Capital_Mensual!N172</f>
        <v/>
      </c>
      <c r="AG172" s="29">
        <f>Intereses_Residual_Mensual!N172</f>
        <v/>
      </c>
      <c r="AH172" s="29">
        <f>ROUND(AD172 + AG172, 2)</f>
        <v/>
      </c>
      <c r="AI172" s="29">
        <f>Intereses_Leasing_Mensual!O172</f>
        <v/>
      </c>
      <c r="AJ172" s="29">
        <f>Amortizacion_Capital_Mensual!P172</f>
        <v/>
      </c>
      <c r="AK172" s="29">
        <f>Saldos_Capital_Mensual!O172</f>
        <v/>
      </c>
      <c r="AL172" s="29">
        <f>Intereses_Residual_Mensual!O172</f>
        <v/>
      </c>
      <c r="AM172" s="29">
        <f>ROUND(AI172 + AL172, 2)</f>
        <v/>
      </c>
      <c r="AN172" s="29">
        <f>Intereses_Leasing_Mensual!P172</f>
        <v/>
      </c>
      <c r="AO172" s="29">
        <f>Amortizacion_Capital_Mensual!Q172</f>
        <v/>
      </c>
      <c r="AP172" s="29">
        <f>Saldos_Capital_Mensual!P172</f>
        <v/>
      </c>
      <c r="AQ172" s="29">
        <f>Intereses_Residual_Mensual!P172</f>
        <v/>
      </c>
      <c r="AR172" s="29">
        <f>ROUND(AN172 + AQ172, 2)</f>
        <v/>
      </c>
      <c r="AS172" s="29">
        <f>Intereses_Leasing_Mensual!Q172</f>
        <v/>
      </c>
      <c r="AT172" s="29">
        <f>Amortizacion_Capital_Mensual!R172</f>
        <v/>
      </c>
      <c r="AU172" s="29">
        <f>Saldos_Capital_Mensual!Q172</f>
        <v/>
      </c>
      <c r="AV172" s="29">
        <f>Intereses_Residual_Mensual!Q172</f>
        <v/>
      </c>
      <c r="AW172" s="29">
        <f>ROUND(AS172 + AV172, 2)</f>
        <v/>
      </c>
      <c r="AX172" s="29">
        <f>Intereses_Leasing_Mensual!R172</f>
        <v/>
      </c>
      <c r="AY172" s="29">
        <f>Amortizacion_Capital_Mensual!S172</f>
        <v/>
      </c>
      <c r="AZ172" s="29">
        <f>Saldos_Capital_Mensual!R172</f>
        <v/>
      </c>
      <c r="BA172" s="29">
        <f>Intereses_Residual_Mensual!R172</f>
        <v/>
      </c>
      <c r="BB172" s="29">
        <f>ROUND(AX172 + BA172, 2)</f>
        <v/>
      </c>
      <c r="BC172" s="29">
        <f>Intereses_Leasing_Mensual!S172</f>
        <v/>
      </c>
      <c r="BD172" s="29">
        <f>Amortizacion_Capital_Mensual!T172</f>
        <v/>
      </c>
      <c r="BE172" s="29">
        <f>Saldos_Capital_Mensual!S172</f>
        <v/>
      </c>
      <c r="BF172" s="29">
        <f>Intereses_Residual_Mensual!S172</f>
        <v/>
      </c>
      <c r="BG172" s="29">
        <f>ROUND(BC172 + BF172, 2)</f>
        <v/>
      </c>
      <c r="BH172" s="29">
        <f>Intereses_Leasing_Mensual!T172</f>
        <v/>
      </c>
      <c r="BI172" s="29">
        <f>Amortizacion_Capital_Mensual!U172</f>
        <v/>
      </c>
      <c r="BJ172" s="29">
        <f>Saldos_Capital_Mensual!T172</f>
        <v/>
      </c>
      <c r="BK172" s="29">
        <f>Intereses_Residual_Mensual!T172</f>
        <v/>
      </c>
      <c r="BL172" s="29">
        <f>ROUND(BH172 + BK172, 2)</f>
        <v/>
      </c>
    </row>
    <row r="173">
      <c r="A173" s="20" t="inlineStr">
        <is>
          <t>0693-0001</t>
        </is>
      </c>
      <c r="B173" s="21" t="inlineStr">
        <is>
          <t>Neurovim</t>
        </is>
      </c>
      <c r="C173" s="21" t="inlineStr">
        <is>
          <t>Equipo Medico</t>
        </is>
      </c>
      <c r="D173" s="22" t="n">
        <v>36</v>
      </c>
      <c r="E173" s="23">
        <f>Intereses_Leasing_Mensual!I173</f>
        <v/>
      </c>
      <c r="F173" s="23">
        <f>Amortizacion_Capital_Mensual!J173</f>
        <v/>
      </c>
      <c r="G173" s="23">
        <f>Saldos_Capital_Mensual!I173</f>
        <v/>
      </c>
      <c r="H173" s="23">
        <f>Intereses_Residual_Mensual!I173</f>
        <v/>
      </c>
      <c r="I173" s="23">
        <f>ROUND(E173 + H173, 2)</f>
        <v/>
      </c>
      <c r="J173" s="23">
        <f>Intereses_Leasing_Mensual!J173</f>
        <v/>
      </c>
      <c r="K173" s="23">
        <f>Amortizacion_Capital_Mensual!K173</f>
        <v/>
      </c>
      <c r="L173" s="23">
        <f>Saldos_Capital_Mensual!J173</f>
        <v/>
      </c>
      <c r="M173" s="23">
        <f>Intereses_Residual_Mensual!J173</f>
        <v/>
      </c>
      <c r="N173" s="23">
        <f>ROUND(J173 + M173, 2)</f>
        <v/>
      </c>
      <c r="O173" s="23">
        <f>Intereses_Leasing_Mensual!K173</f>
        <v/>
      </c>
      <c r="P173" s="23">
        <f>Amortizacion_Capital_Mensual!L173</f>
        <v/>
      </c>
      <c r="Q173" s="23">
        <f>Saldos_Capital_Mensual!K173</f>
        <v/>
      </c>
      <c r="R173" s="23">
        <f>Intereses_Residual_Mensual!K173</f>
        <v/>
      </c>
      <c r="S173" s="23">
        <f>ROUND(O173 + R173, 2)</f>
        <v/>
      </c>
      <c r="T173" s="23">
        <f>Intereses_Leasing_Mensual!L173</f>
        <v/>
      </c>
      <c r="U173" s="23">
        <f>Amortizacion_Capital_Mensual!M173</f>
        <v/>
      </c>
      <c r="V173" s="23">
        <f>Saldos_Capital_Mensual!L173</f>
        <v/>
      </c>
      <c r="W173" s="23">
        <f>Intereses_Residual_Mensual!L173</f>
        <v/>
      </c>
      <c r="X173" s="23">
        <f>ROUND(T173 + W173, 2)</f>
        <v/>
      </c>
      <c r="Y173" s="23">
        <f>Intereses_Leasing_Mensual!M173</f>
        <v/>
      </c>
      <c r="Z173" s="23">
        <f>Amortizacion_Capital_Mensual!N173</f>
        <v/>
      </c>
      <c r="AA173" s="23">
        <f>Saldos_Capital_Mensual!M173</f>
        <v/>
      </c>
      <c r="AB173" s="23">
        <f>Intereses_Residual_Mensual!M173</f>
        <v/>
      </c>
      <c r="AC173" s="23">
        <f>ROUND(Y173 + AB173, 2)</f>
        <v/>
      </c>
      <c r="AD173" s="23">
        <f>Intereses_Leasing_Mensual!N173</f>
        <v/>
      </c>
      <c r="AE173" s="23">
        <f>Amortizacion_Capital_Mensual!O173</f>
        <v/>
      </c>
      <c r="AF173" s="23">
        <f>Saldos_Capital_Mensual!N173</f>
        <v/>
      </c>
      <c r="AG173" s="23">
        <f>Intereses_Residual_Mensual!N173</f>
        <v/>
      </c>
      <c r="AH173" s="23">
        <f>ROUND(AD173 + AG173, 2)</f>
        <v/>
      </c>
      <c r="AI173" s="23">
        <f>Intereses_Leasing_Mensual!O173</f>
        <v/>
      </c>
      <c r="AJ173" s="23">
        <f>Amortizacion_Capital_Mensual!P173</f>
        <v/>
      </c>
      <c r="AK173" s="23">
        <f>Saldos_Capital_Mensual!O173</f>
        <v/>
      </c>
      <c r="AL173" s="23">
        <f>Intereses_Residual_Mensual!O173</f>
        <v/>
      </c>
      <c r="AM173" s="23">
        <f>ROUND(AI173 + AL173, 2)</f>
        <v/>
      </c>
      <c r="AN173" s="23">
        <f>Intereses_Leasing_Mensual!P173</f>
        <v/>
      </c>
      <c r="AO173" s="23">
        <f>Amortizacion_Capital_Mensual!Q173</f>
        <v/>
      </c>
      <c r="AP173" s="23">
        <f>Saldos_Capital_Mensual!P173</f>
        <v/>
      </c>
      <c r="AQ173" s="23">
        <f>Intereses_Residual_Mensual!P173</f>
        <v/>
      </c>
      <c r="AR173" s="23">
        <f>ROUND(AN173 + AQ173, 2)</f>
        <v/>
      </c>
      <c r="AS173" s="23">
        <f>Intereses_Leasing_Mensual!Q173</f>
        <v/>
      </c>
      <c r="AT173" s="23">
        <f>Amortizacion_Capital_Mensual!R173</f>
        <v/>
      </c>
      <c r="AU173" s="23">
        <f>Saldos_Capital_Mensual!Q173</f>
        <v/>
      </c>
      <c r="AV173" s="23">
        <f>Intereses_Residual_Mensual!Q173</f>
        <v/>
      </c>
      <c r="AW173" s="23">
        <f>ROUND(AS173 + AV173, 2)</f>
        <v/>
      </c>
      <c r="AX173" s="23">
        <f>Intereses_Leasing_Mensual!R173</f>
        <v/>
      </c>
      <c r="AY173" s="23">
        <f>Amortizacion_Capital_Mensual!S173</f>
        <v/>
      </c>
      <c r="AZ173" s="23">
        <f>Saldos_Capital_Mensual!R173</f>
        <v/>
      </c>
      <c r="BA173" s="23">
        <f>Intereses_Residual_Mensual!R173</f>
        <v/>
      </c>
      <c r="BB173" s="23">
        <f>ROUND(AX173 + BA173, 2)</f>
        <v/>
      </c>
      <c r="BC173" s="23">
        <f>Intereses_Leasing_Mensual!S173</f>
        <v/>
      </c>
      <c r="BD173" s="23">
        <f>Amortizacion_Capital_Mensual!T173</f>
        <v/>
      </c>
      <c r="BE173" s="23">
        <f>Saldos_Capital_Mensual!S173</f>
        <v/>
      </c>
      <c r="BF173" s="23">
        <f>Intereses_Residual_Mensual!S173</f>
        <v/>
      </c>
      <c r="BG173" s="23">
        <f>ROUND(BC173 + BF173, 2)</f>
        <v/>
      </c>
      <c r="BH173" s="23">
        <f>Intereses_Leasing_Mensual!T173</f>
        <v/>
      </c>
      <c r="BI173" s="23">
        <f>Amortizacion_Capital_Mensual!U173</f>
        <v/>
      </c>
      <c r="BJ173" s="23">
        <f>Saldos_Capital_Mensual!T173</f>
        <v/>
      </c>
      <c r="BK173" s="23">
        <f>Intereses_Residual_Mensual!T173</f>
        <v/>
      </c>
      <c r="BL173" s="23">
        <f>ROUND(BH173 + BK173, 2)</f>
        <v/>
      </c>
    </row>
    <row r="174">
      <c r="A174" s="26" t="inlineStr">
        <is>
          <t>0694-0001</t>
        </is>
      </c>
      <c r="B174" s="27" t="inlineStr">
        <is>
          <t>Jose Gelacio Limon Reyes</t>
        </is>
      </c>
      <c r="C174" s="27" t="inlineStr">
        <is>
          <t>Outlander Sport</t>
        </is>
      </c>
      <c r="D174" s="28" t="n">
        <v>48</v>
      </c>
      <c r="E174" s="29">
        <f>Intereses_Leasing_Mensual!I174</f>
        <v/>
      </c>
      <c r="F174" s="29">
        <f>Amortizacion_Capital_Mensual!J174</f>
        <v/>
      </c>
      <c r="G174" s="29">
        <f>Saldos_Capital_Mensual!I174</f>
        <v/>
      </c>
      <c r="H174" s="29">
        <f>Intereses_Residual_Mensual!I174</f>
        <v/>
      </c>
      <c r="I174" s="29">
        <f>ROUND(E174 + H174, 2)</f>
        <v/>
      </c>
      <c r="J174" s="29">
        <f>Intereses_Leasing_Mensual!J174</f>
        <v/>
      </c>
      <c r="K174" s="29">
        <f>Amortizacion_Capital_Mensual!K174</f>
        <v/>
      </c>
      <c r="L174" s="29">
        <f>Saldos_Capital_Mensual!J174</f>
        <v/>
      </c>
      <c r="M174" s="29">
        <f>Intereses_Residual_Mensual!J174</f>
        <v/>
      </c>
      <c r="N174" s="29">
        <f>ROUND(J174 + M174, 2)</f>
        <v/>
      </c>
      <c r="O174" s="29">
        <f>Intereses_Leasing_Mensual!K174</f>
        <v/>
      </c>
      <c r="P174" s="29">
        <f>Amortizacion_Capital_Mensual!L174</f>
        <v/>
      </c>
      <c r="Q174" s="29">
        <f>Saldos_Capital_Mensual!K174</f>
        <v/>
      </c>
      <c r="R174" s="29">
        <f>Intereses_Residual_Mensual!K174</f>
        <v/>
      </c>
      <c r="S174" s="29">
        <f>ROUND(O174 + R174, 2)</f>
        <v/>
      </c>
      <c r="T174" s="29">
        <f>Intereses_Leasing_Mensual!L174</f>
        <v/>
      </c>
      <c r="U174" s="29">
        <f>Amortizacion_Capital_Mensual!M174</f>
        <v/>
      </c>
      <c r="V174" s="29">
        <f>Saldos_Capital_Mensual!L174</f>
        <v/>
      </c>
      <c r="W174" s="29">
        <f>Intereses_Residual_Mensual!L174</f>
        <v/>
      </c>
      <c r="X174" s="29">
        <f>ROUND(T174 + W174, 2)</f>
        <v/>
      </c>
      <c r="Y174" s="29">
        <f>Intereses_Leasing_Mensual!M174</f>
        <v/>
      </c>
      <c r="Z174" s="29">
        <f>Amortizacion_Capital_Mensual!N174</f>
        <v/>
      </c>
      <c r="AA174" s="29">
        <f>Saldos_Capital_Mensual!M174</f>
        <v/>
      </c>
      <c r="AB174" s="29">
        <f>Intereses_Residual_Mensual!M174</f>
        <v/>
      </c>
      <c r="AC174" s="29">
        <f>ROUND(Y174 + AB174, 2)</f>
        <v/>
      </c>
      <c r="AD174" s="29">
        <f>Intereses_Leasing_Mensual!N174</f>
        <v/>
      </c>
      <c r="AE174" s="29">
        <f>Amortizacion_Capital_Mensual!O174</f>
        <v/>
      </c>
      <c r="AF174" s="29">
        <f>Saldos_Capital_Mensual!N174</f>
        <v/>
      </c>
      <c r="AG174" s="29">
        <f>Intereses_Residual_Mensual!N174</f>
        <v/>
      </c>
      <c r="AH174" s="29">
        <f>ROUND(AD174 + AG174, 2)</f>
        <v/>
      </c>
      <c r="AI174" s="29">
        <f>Intereses_Leasing_Mensual!O174</f>
        <v/>
      </c>
      <c r="AJ174" s="29">
        <f>Amortizacion_Capital_Mensual!P174</f>
        <v/>
      </c>
      <c r="AK174" s="29">
        <f>Saldos_Capital_Mensual!O174</f>
        <v/>
      </c>
      <c r="AL174" s="29">
        <f>Intereses_Residual_Mensual!O174</f>
        <v/>
      </c>
      <c r="AM174" s="29">
        <f>ROUND(AI174 + AL174, 2)</f>
        <v/>
      </c>
      <c r="AN174" s="29">
        <f>Intereses_Leasing_Mensual!P174</f>
        <v/>
      </c>
      <c r="AO174" s="29">
        <f>Amortizacion_Capital_Mensual!Q174</f>
        <v/>
      </c>
      <c r="AP174" s="29">
        <f>Saldos_Capital_Mensual!P174</f>
        <v/>
      </c>
      <c r="AQ174" s="29">
        <f>Intereses_Residual_Mensual!P174</f>
        <v/>
      </c>
      <c r="AR174" s="29">
        <f>ROUND(AN174 + AQ174, 2)</f>
        <v/>
      </c>
      <c r="AS174" s="29">
        <f>Intereses_Leasing_Mensual!Q174</f>
        <v/>
      </c>
      <c r="AT174" s="29">
        <f>Amortizacion_Capital_Mensual!R174</f>
        <v/>
      </c>
      <c r="AU174" s="29">
        <f>Saldos_Capital_Mensual!Q174</f>
        <v/>
      </c>
      <c r="AV174" s="29">
        <f>Intereses_Residual_Mensual!Q174</f>
        <v/>
      </c>
      <c r="AW174" s="29">
        <f>ROUND(AS174 + AV174, 2)</f>
        <v/>
      </c>
      <c r="AX174" s="29">
        <f>Intereses_Leasing_Mensual!R174</f>
        <v/>
      </c>
      <c r="AY174" s="29">
        <f>Amortizacion_Capital_Mensual!S174</f>
        <v/>
      </c>
      <c r="AZ174" s="29">
        <f>Saldos_Capital_Mensual!R174</f>
        <v/>
      </c>
      <c r="BA174" s="29">
        <f>Intereses_Residual_Mensual!R174</f>
        <v/>
      </c>
      <c r="BB174" s="29">
        <f>ROUND(AX174 + BA174, 2)</f>
        <v/>
      </c>
      <c r="BC174" s="29">
        <f>Intereses_Leasing_Mensual!S174</f>
        <v/>
      </c>
      <c r="BD174" s="29">
        <f>Amortizacion_Capital_Mensual!T174</f>
        <v/>
      </c>
      <c r="BE174" s="29">
        <f>Saldos_Capital_Mensual!S174</f>
        <v/>
      </c>
      <c r="BF174" s="29">
        <f>Intereses_Residual_Mensual!S174</f>
        <v/>
      </c>
      <c r="BG174" s="29">
        <f>ROUND(BC174 + BF174, 2)</f>
        <v/>
      </c>
      <c r="BH174" s="29">
        <f>Intereses_Leasing_Mensual!T174</f>
        <v/>
      </c>
      <c r="BI174" s="29">
        <f>Amortizacion_Capital_Mensual!U174</f>
        <v/>
      </c>
      <c r="BJ174" s="29">
        <f>Saldos_Capital_Mensual!T174</f>
        <v/>
      </c>
      <c r="BK174" s="29">
        <f>Intereses_Residual_Mensual!T174</f>
        <v/>
      </c>
      <c r="BL174" s="29">
        <f>ROUND(BH174 + BK174, 2)</f>
        <v/>
      </c>
    </row>
    <row r="175">
      <c r="A175" s="20" t="inlineStr">
        <is>
          <t>0695-0001</t>
        </is>
      </c>
      <c r="B175" s="21" t="inlineStr">
        <is>
          <t>Sistemas de Seguridad Privada Ssp</t>
        </is>
      </c>
      <c r="C175" s="21" t="inlineStr">
        <is>
          <t>Attitude Sport</t>
        </is>
      </c>
      <c r="D175" s="22" t="n">
        <v>24</v>
      </c>
      <c r="E175" s="23">
        <f>Intereses_Leasing_Mensual!I175</f>
        <v/>
      </c>
      <c r="F175" s="23">
        <f>Amortizacion_Capital_Mensual!J175</f>
        <v/>
      </c>
      <c r="G175" s="23">
        <f>Saldos_Capital_Mensual!I175</f>
        <v/>
      </c>
      <c r="H175" s="23">
        <f>Intereses_Residual_Mensual!I175</f>
        <v/>
      </c>
      <c r="I175" s="23">
        <f>ROUND(E175 + H175, 2)</f>
        <v/>
      </c>
      <c r="J175" s="23">
        <f>Intereses_Leasing_Mensual!J175</f>
        <v/>
      </c>
      <c r="K175" s="23">
        <f>Amortizacion_Capital_Mensual!K175</f>
        <v/>
      </c>
      <c r="L175" s="23">
        <f>Saldos_Capital_Mensual!J175</f>
        <v/>
      </c>
      <c r="M175" s="23">
        <f>Intereses_Residual_Mensual!J175</f>
        <v/>
      </c>
      <c r="N175" s="23">
        <f>ROUND(J175 + M175, 2)</f>
        <v/>
      </c>
      <c r="O175" s="23">
        <f>Intereses_Leasing_Mensual!K175</f>
        <v/>
      </c>
      <c r="P175" s="23">
        <f>Amortizacion_Capital_Mensual!L175</f>
        <v/>
      </c>
      <c r="Q175" s="23">
        <f>Saldos_Capital_Mensual!K175</f>
        <v/>
      </c>
      <c r="R175" s="23">
        <f>Intereses_Residual_Mensual!K175</f>
        <v/>
      </c>
      <c r="S175" s="23">
        <f>ROUND(O175 + R175, 2)</f>
        <v/>
      </c>
      <c r="T175" s="23">
        <f>Intereses_Leasing_Mensual!L175</f>
        <v/>
      </c>
      <c r="U175" s="23">
        <f>Amortizacion_Capital_Mensual!M175</f>
        <v/>
      </c>
      <c r="V175" s="23">
        <f>Saldos_Capital_Mensual!L175</f>
        <v/>
      </c>
      <c r="W175" s="23">
        <f>Intereses_Residual_Mensual!L175</f>
        <v/>
      </c>
      <c r="X175" s="23">
        <f>ROUND(T175 + W175, 2)</f>
        <v/>
      </c>
      <c r="Y175" s="23">
        <f>Intereses_Leasing_Mensual!M175</f>
        <v/>
      </c>
      <c r="Z175" s="23">
        <f>Amortizacion_Capital_Mensual!N175</f>
        <v/>
      </c>
      <c r="AA175" s="23">
        <f>Saldos_Capital_Mensual!M175</f>
        <v/>
      </c>
      <c r="AB175" s="23">
        <f>Intereses_Residual_Mensual!M175</f>
        <v/>
      </c>
      <c r="AC175" s="23">
        <f>ROUND(Y175 + AB175, 2)</f>
        <v/>
      </c>
      <c r="AD175" s="23">
        <f>Intereses_Leasing_Mensual!N175</f>
        <v/>
      </c>
      <c r="AE175" s="23">
        <f>Amortizacion_Capital_Mensual!O175</f>
        <v/>
      </c>
      <c r="AF175" s="23">
        <f>Saldos_Capital_Mensual!N175</f>
        <v/>
      </c>
      <c r="AG175" s="23">
        <f>Intereses_Residual_Mensual!N175</f>
        <v/>
      </c>
      <c r="AH175" s="23">
        <f>ROUND(AD175 + AG175, 2)</f>
        <v/>
      </c>
      <c r="AI175" s="23">
        <f>Intereses_Leasing_Mensual!O175</f>
        <v/>
      </c>
      <c r="AJ175" s="23">
        <f>Amortizacion_Capital_Mensual!P175</f>
        <v/>
      </c>
      <c r="AK175" s="23">
        <f>Saldos_Capital_Mensual!O175</f>
        <v/>
      </c>
      <c r="AL175" s="23">
        <f>Intereses_Residual_Mensual!O175</f>
        <v/>
      </c>
      <c r="AM175" s="23">
        <f>ROUND(AI175 + AL175, 2)</f>
        <v/>
      </c>
      <c r="AN175" s="23">
        <f>Intereses_Leasing_Mensual!P175</f>
        <v/>
      </c>
      <c r="AO175" s="23">
        <f>Amortizacion_Capital_Mensual!Q175</f>
        <v/>
      </c>
      <c r="AP175" s="23">
        <f>Saldos_Capital_Mensual!P175</f>
        <v/>
      </c>
      <c r="AQ175" s="23">
        <f>Intereses_Residual_Mensual!P175</f>
        <v/>
      </c>
      <c r="AR175" s="23">
        <f>ROUND(AN175 + AQ175, 2)</f>
        <v/>
      </c>
      <c r="AS175" s="23">
        <f>Intereses_Leasing_Mensual!Q175</f>
        <v/>
      </c>
      <c r="AT175" s="23">
        <f>Amortizacion_Capital_Mensual!R175</f>
        <v/>
      </c>
      <c r="AU175" s="23">
        <f>Saldos_Capital_Mensual!Q175</f>
        <v/>
      </c>
      <c r="AV175" s="23">
        <f>Intereses_Residual_Mensual!Q175</f>
        <v/>
      </c>
      <c r="AW175" s="23">
        <f>ROUND(AS175 + AV175, 2)</f>
        <v/>
      </c>
      <c r="AX175" s="23">
        <f>Intereses_Leasing_Mensual!R175</f>
        <v/>
      </c>
      <c r="AY175" s="23">
        <f>Amortizacion_Capital_Mensual!S175</f>
        <v/>
      </c>
      <c r="AZ175" s="23">
        <f>Saldos_Capital_Mensual!R175</f>
        <v/>
      </c>
      <c r="BA175" s="23">
        <f>Intereses_Residual_Mensual!R175</f>
        <v/>
      </c>
      <c r="BB175" s="23">
        <f>ROUND(AX175 + BA175, 2)</f>
        <v/>
      </c>
      <c r="BC175" s="23">
        <f>Intereses_Leasing_Mensual!S175</f>
        <v/>
      </c>
      <c r="BD175" s="23">
        <f>Amortizacion_Capital_Mensual!T175</f>
        <v/>
      </c>
      <c r="BE175" s="23">
        <f>Saldos_Capital_Mensual!S175</f>
        <v/>
      </c>
      <c r="BF175" s="23">
        <f>Intereses_Residual_Mensual!S175</f>
        <v/>
      </c>
      <c r="BG175" s="23">
        <f>ROUND(BC175 + BF175, 2)</f>
        <v/>
      </c>
      <c r="BH175" s="23">
        <f>Intereses_Leasing_Mensual!T175</f>
        <v/>
      </c>
      <c r="BI175" s="23">
        <f>Amortizacion_Capital_Mensual!U175</f>
        <v/>
      </c>
      <c r="BJ175" s="23">
        <f>Saldos_Capital_Mensual!T175</f>
        <v/>
      </c>
      <c r="BK175" s="23">
        <f>Intereses_Residual_Mensual!T175</f>
        <v/>
      </c>
      <c r="BL175" s="23">
        <f>ROUND(BH175 + BK175, 2)</f>
        <v/>
      </c>
    </row>
    <row r="176">
      <c r="A176" s="26" t="inlineStr">
        <is>
          <t>0696-0001</t>
        </is>
      </c>
      <c r="B176" s="27" t="inlineStr">
        <is>
          <t>Karina Rocio Sanchez Cardenas</t>
        </is>
      </c>
      <c r="C176" s="27" t="inlineStr">
        <is>
          <t>Atittude GT</t>
        </is>
      </c>
      <c r="D176" s="28" t="n">
        <v>48</v>
      </c>
      <c r="E176" s="29">
        <f>Intereses_Leasing_Mensual!I176</f>
        <v/>
      </c>
      <c r="F176" s="29">
        <f>Amortizacion_Capital_Mensual!J176</f>
        <v/>
      </c>
      <c r="G176" s="29">
        <f>Saldos_Capital_Mensual!I176</f>
        <v/>
      </c>
      <c r="H176" s="29">
        <f>Intereses_Residual_Mensual!I176</f>
        <v/>
      </c>
      <c r="I176" s="29">
        <f>ROUND(E176 + H176, 2)</f>
        <v/>
      </c>
      <c r="J176" s="29">
        <f>Intereses_Leasing_Mensual!J176</f>
        <v/>
      </c>
      <c r="K176" s="29">
        <f>Amortizacion_Capital_Mensual!K176</f>
        <v/>
      </c>
      <c r="L176" s="29">
        <f>Saldos_Capital_Mensual!J176</f>
        <v/>
      </c>
      <c r="M176" s="29">
        <f>Intereses_Residual_Mensual!J176</f>
        <v/>
      </c>
      <c r="N176" s="29">
        <f>ROUND(J176 + M176, 2)</f>
        <v/>
      </c>
      <c r="O176" s="29">
        <f>Intereses_Leasing_Mensual!K176</f>
        <v/>
      </c>
      <c r="P176" s="29">
        <f>Amortizacion_Capital_Mensual!L176</f>
        <v/>
      </c>
      <c r="Q176" s="29">
        <f>Saldos_Capital_Mensual!K176</f>
        <v/>
      </c>
      <c r="R176" s="29">
        <f>Intereses_Residual_Mensual!K176</f>
        <v/>
      </c>
      <c r="S176" s="29">
        <f>ROUND(O176 + R176, 2)</f>
        <v/>
      </c>
      <c r="T176" s="29">
        <f>Intereses_Leasing_Mensual!L176</f>
        <v/>
      </c>
      <c r="U176" s="29">
        <f>Amortizacion_Capital_Mensual!M176</f>
        <v/>
      </c>
      <c r="V176" s="29">
        <f>Saldos_Capital_Mensual!L176</f>
        <v/>
      </c>
      <c r="W176" s="29">
        <f>Intereses_Residual_Mensual!L176</f>
        <v/>
      </c>
      <c r="X176" s="29">
        <f>ROUND(T176 + W176, 2)</f>
        <v/>
      </c>
      <c r="Y176" s="29">
        <f>Intereses_Leasing_Mensual!M176</f>
        <v/>
      </c>
      <c r="Z176" s="29">
        <f>Amortizacion_Capital_Mensual!N176</f>
        <v/>
      </c>
      <c r="AA176" s="29">
        <f>Saldos_Capital_Mensual!M176</f>
        <v/>
      </c>
      <c r="AB176" s="29">
        <f>Intereses_Residual_Mensual!M176</f>
        <v/>
      </c>
      <c r="AC176" s="29">
        <f>ROUND(Y176 + AB176, 2)</f>
        <v/>
      </c>
      <c r="AD176" s="29">
        <f>Intereses_Leasing_Mensual!N176</f>
        <v/>
      </c>
      <c r="AE176" s="29">
        <f>Amortizacion_Capital_Mensual!O176</f>
        <v/>
      </c>
      <c r="AF176" s="29">
        <f>Saldos_Capital_Mensual!N176</f>
        <v/>
      </c>
      <c r="AG176" s="29">
        <f>Intereses_Residual_Mensual!N176</f>
        <v/>
      </c>
      <c r="AH176" s="29">
        <f>ROUND(AD176 + AG176, 2)</f>
        <v/>
      </c>
      <c r="AI176" s="29">
        <f>Intereses_Leasing_Mensual!O176</f>
        <v/>
      </c>
      <c r="AJ176" s="29">
        <f>Amortizacion_Capital_Mensual!P176</f>
        <v/>
      </c>
      <c r="AK176" s="29">
        <f>Saldos_Capital_Mensual!O176</f>
        <v/>
      </c>
      <c r="AL176" s="29">
        <f>Intereses_Residual_Mensual!O176</f>
        <v/>
      </c>
      <c r="AM176" s="29">
        <f>ROUND(AI176 + AL176, 2)</f>
        <v/>
      </c>
      <c r="AN176" s="29">
        <f>Intereses_Leasing_Mensual!P176</f>
        <v/>
      </c>
      <c r="AO176" s="29">
        <f>Amortizacion_Capital_Mensual!Q176</f>
        <v/>
      </c>
      <c r="AP176" s="29">
        <f>Saldos_Capital_Mensual!P176</f>
        <v/>
      </c>
      <c r="AQ176" s="29">
        <f>Intereses_Residual_Mensual!P176</f>
        <v/>
      </c>
      <c r="AR176" s="29">
        <f>ROUND(AN176 + AQ176, 2)</f>
        <v/>
      </c>
      <c r="AS176" s="29">
        <f>Intereses_Leasing_Mensual!Q176</f>
        <v/>
      </c>
      <c r="AT176" s="29">
        <f>Amortizacion_Capital_Mensual!R176</f>
        <v/>
      </c>
      <c r="AU176" s="29">
        <f>Saldos_Capital_Mensual!Q176</f>
        <v/>
      </c>
      <c r="AV176" s="29">
        <f>Intereses_Residual_Mensual!Q176</f>
        <v/>
      </c>
      <c r="AW176" s="29">
        <f>ROUND(AS176 + AV176, 2)</f>
        <v/>
      </c>
      <c r="AX176" s="29">
        <f>Intereses_Leasing_Mensual!R176</f>
        <v/>
      </c>
      <c r="AY176" s="29">
        <f>Amortizacion_Capital_Mensual!S176</f>
        <v/>
      </c>
      <c r="AZ176" s="29">
        <f>Saldos_Capital_Mensual!R176</f>
        <v/>
      </c>
      <c r="BA176" s="29">
        <f>Intereses_Residual_Mensual!R176</f>
        <v/>
      </c>
      <c r="BB176" s="29">
        <f>ROUND(AX176 + BA176, 2)</f>
        <v/>
      </c>
      <c r="BC176" s="29">
        <f>Intereses_Leasing_Mensual!S176</f>
        <v/>
      </c>
      <c r="BD176" s="29">
        <f>Amortizacion_Capital_Mensual!T176</f>
        <v/>
      </c>
      <c r="BE176" s="29">
        <f>Saldos_Capital_Mensual!S176</f>
        <v/>
      </c>
      <c r="BF176" s="29">
        <f>Intereses_Residual_Mensual!S176</f>
        <v/>
      </c>
      <c r="BG176" s="29">
        <f>ROUND(BC176 + BF176, 2)</f>
        <v/>
      </c>
      <c r="BH176" s="29">
        <f>Intereses_Leasing_Mensual!T176</f>
        <v/>
      </c>
      <c r="BI176" s="29">
        <f>Amortizacion_Capital_Mensual!U176</f>
        <v/>
      </c>
      <c r="BJ176" s="29">
        <f>Saldos_Capital_Mensual!T176</f>
        <v/>
      </c>
      <c r="BK176" s="29">
        <f>Intereses_Residual_Mensual!T176</f>
        <v/>
      </c>
      <c r="BL176" s="29">
        <f>ROUND(BH176 + BK176, 2)</f>
        <v/>
      </c>
    </row>
    <row r="177">
      <c r="A177" s="20" t="inlineStr">
        <is>
          <t>0697-0001</t>
        </is>
      </c>
      <c r="B177" s="21" t="inlineStr">
        <is>
          <t>Guillermo Eduardo Robles Navarro</t>
        </is>
      </c>
      <c r="C177" s="21" t="inlineStr">
        <is>
          <t>Partner Rapid</t>
        </is>
      </c>
      <c r="D177" s="22" t="n">
        <v>24</v>
      </c>
      <c r="E177" s="23">
        <f>Intereses_Leasing_Mensual!I177</f>
        <v/>
      </c>
      <c r="F177" s="23">
        <f>Amortizacion_Capital_Mensual!J177</f>
        <v/>
      </c>
      <c r="G177" s="23">
        <f>Saldos_Capital_Mensual!I177</f>
        <v/>
      </c>
      <c r="H177" s="23">
        <f>Intereses_Residual_Mensual!I177</f>
        <v/>
      </c>
      <c r="I177" s="23">
        <f>ROUND(E177 + H177, 2)</f>
        <v/>
      </c>
      <c r="J177" s="23">
        <f>Intereses_Leasing_Mensual!J177</f>
        <v/>
      </c>
      <c r="K177" s="23">
        <f>Amortizacion_Capital_Mensual!K177</f>
        <v/>
      </c>
      <c r="L177" s="23">
        <f>Saldos_Capital_Mensual!J177</f>
        <v/>
      </c>
      <c r="M177" s="23">
        <f>Intereses_Residual_Mensual!J177</f>
        <v/>
      </c>
      <c r="N177" s="23">
        <f>ROUND(J177 + M177, 2)</f>
        <v/>
      </c>
      <c r="O177" s="23">
        <f>Intereses_Leasing_Mensual!K177</f>
        <v/>
      </c>
      <c r="P177" s="23">
        <f>Amortizacion_Capital_Mensual!L177</f>
        <v/>
      </c>
      <c r="Q177" s="23">
        <f>Saldos_Capital_Mensual!K177</f>
        <v/>
      </c>
      <c r="R177" s="23">
        <f>Intereses_Residual_Mensual!K177</f>
        <v/>
      </c>
      <c r="S177" s="23">
        <f>ROUND(O177 + R177, 2)</f>
        <v/>
      </c>
      <c r="T177" s="23">
        <f>Intereses_Leasing_Mensual!L177</f>
        <v/>
      </c>
      <c r="U177" s="23">
        <f>Amortizacion_Capital_Mensual!M177</f>
        <v/>
      </c>
      <c r="V177" s="23">
        <f>Saldos_Capital_Mensual!L177</f>
        <v/>
      </c>
      <c r="W177" s="23">
        <f>Intereses_Residual_Mensual!L177</f>
        <v/>
      </c>
      <c r="X177" s="23">
        <f>ROUND(T177 + W177, 2)</f>
        <v/>
      </c>
      <c r="Y177" s="23">
        <f>Intereses_Leasing_Mensual!M177</f>
        <v/>
      </c>
      <c r="Z177" s="23">
        <f>Amortizacion_Capital_Mensual!N177</f>
        <v/>
      </c>
      <c r="AA177" s="23">
        <f>Saldos_Capital_Mensual!M177</f>
        <v/>
      </c>
      <c r="AB177" s="23">
        <f>Intereses_Residual_Mensual!M177</f>
        <v/>
      </c>
      <c r="AC177" s="23">
        <f>ROUND(Y177 + AB177, 2)</f>
        <v/>
      </c>
      <c r="AD177" s="23">
        <f>Intereses_Leasing_Mensual!N177</f>
        <v/>
      </c>
      <c r="AE177" s="23">
        <f>Amortizacion_Capital_Mensual!O177</f>
        <v/>
      </c>
      <c r="AF177" s="23">
        <f>Saldos_Capital_Mensual!N177</f>
        <v/>
      </c>
      <c r="AG177" s="23">
        <f>Intereses_Residual_Mensual!N177</f>
        <v/>
      </c>
      <c r="AH177" s="23">
        <f>ROUND(AD177 + AG177, 2)</f>
        <v/>
      </c>
      <c r="AI177" s="23">
        <f>Intereses_Leasing_Mensual!O177</f>
        <v/>
      </c>
      <c r="AJ177" s="23">
        <f>Amortizacion_Capital_Mensual!P177</f>
        <v/>
      </c>
      <c r="AK177" s="23">
        <f>Saldos_Capital_Mensual!O177</f>
        <v/>
      </c>
      <c r="AL177" s="23">
        <f>Intereses_Residual_Mensual!O177</f>
        <v/>
      </c>
      <c r="AM177" s="23">
        <f>ROUND(AI177 + AL177, 2)</f>
        <v/>
      </c>
      <c r="AN177" s="23">
        <f>Intereses_Leasing_Mensual!P177</f>
        <v/>
      </c>
      <c r="AO177" s="23">
        <f>Amortizacion_Capital_Mensual!Q177</f>
        <v/>
      </c>
      <c r="AP177" s="23">
        <f>Saldos_Capital_Mensual!P177</f>
        <v/>
      </c>
      <c r="AQ177" s="23">
        <f>Intereses_Residual_Mensual!P177</f>
        <v/>
      </c>
      <c r="AR177" s="23">
        <f>ROUND(AN177 + AQ177, 2)</f>
        <v/>
      </c>
      <c r="AS177" s="23">
        <f>Intereses_Leasing_Mensual!Q177</f>
        <v/>
      </c>
      <c r="AT177" s="23">
        <f>Amortizacion_Capital_Mensual!R177</f>
        <v/>
      </c>
      <c r="AU177" s="23">
        <f>Saldos_Capital_Mensual!Q177</f>
        <v/>
      </c>
      <c r="AV177" s="23">
        <f>Intereses_Residual_Mensual!Q177</f>
        <v/>
      </c>
      <c r="AW177" s="23">
        <f>ROUND(AS177 + AV177, 2)</f>
        <v/>
      </c>
      <c r="AX177" s="23">
        <f>Intereses_Leasing_Mensual!R177</f>
        <v/>
      </c>
      <c r="AY177" s="23">
        <f>Amortizacion_Capital_Mensual!S177</f>
        <v/>
      </c>
      <c r="AZ177" s="23">
        <f>Saldos_Capital_Mensual!R177</f>
        <v/>
      </c>
      <c r="BA177" s="23">
        <f>Intereses_Residual_Mensual!R177</f>
        <v/>
      </c>
      <c r="BB177" s="23">
        <f>ROUND(AX177 + BA177, 2)</f>
        <v/>
      </c>
      <c r="BC177" s="23">
        <f>Intereses_Leasing_Mensual!S177</f>
        <v/>
      </c>
      <c r="BD177" s="23">
        <f>Amortizacion_Capital_Mensual!T177</f>
        <v/>
      </c>
      <c r="BE177" s="23">
        <f>Saldos_Capital_Mensual!S177</f>
        <v/>
      </c>
      <c r="BF177" s="23">
        <f>Intereses_Residual_Mensual!S177</f>
        <v/>
      </c>
      <c r="BG177" s="23">
        <f>ROUND(BC177 + BF177, 2)</f>
        <v/>
      </c>
      <c r="BH177" s="23">
        <f>Intereses_Leasing_Mensual!T177</f>
        <v/>
      </c>
      <c r="BI177" s="23">
        <f>Amortizacion_Capital_Mensual!U177</f>
        <v/>
      </c>
      <c r="BJ177" s="23">
        <f>Saldos_Capital_Mensual!T177</f>
        <v/>
      </c>
      <c r="BK177" s="23">
        <f>Intereses_Residual_Mensual!T177</f>
        <v/>
      </c>
      <c r="BL177" s="23">
        <f>ROUND(BH177 + BK177, 2)</f>
        <v/>
      </c>
    </row>
    <row r="178">
      <c r="A178" s="26" t="inlineStr">
        <is>
          <t>0698-0001</t>
        </is>
      </c>
      <c r="B178" s="27" t="inlineStr">
        <is>
          <t>Roberto Gontes Leon</t>
        </is>
      </c>
      <c r="C178" s="27" t="inlineStr">
        <is>
          <t>Wrangler Rubicon</t>
        </is>
      </c>
      <c r="D178" s="28" t="n">
        <v>48</v>
      </c>
      <c r="E178" s="29">
        <f>Intereses_Leasing_Mensual!I178</f>
        <v/>
      </c>
      <c r="F178" s="29">
        <f>Amortizacion_Capital_Mensual!J178</f>
        <v/>
      </c>
      <c r="G178" s="29">
        <f>Saldos_Capital_Mensual!I178</f>
        <v/>
      </c>
      <c r="H178" s="29">
        <f>Intereses_Residual_Mensual!I178</f>
        <v/>
      </c>
      <c r="I178" s="29">
        <f>ROUND(E178 + H178, 2)</f>
        <v/>
      </c>
      <c r="J178" s="29">
        <f>Intereses_Leasing_Mensual!J178</f>
        <v/>
      </c>
      <c r="K178" s="29">
        <f>Amortizacion_Capital_Mensual!K178</f>
        <v/>
      </c>
      <c r="L178" s="29">
        <f>Saldos_Capital_Mensual!J178</f>
        <v/>
      </c>
      <c r="M178" s="29">
        <f>Intereses_Residual_Mensual!J178</f>
        <v/>
      </c>
      <c r="N178" s="29">
        <f>ROUND(J178 + M178, 2)</f>
        <v/>
      </c>
      <c r="O178" s="29">
        <f>Intereses_Leasing_Mensual!K178</f>
        <v/>
      </c>
      <c r="P178" s="29">
        <f>Amortizacion_Capital_Mensual!L178</f>
        <v/>
      </c>
      <c r="Q178" s="29">
        <f>Saldos_Capital_Mensual!K178</f>
        <v/>
      </c>
      <c r="R178" s="29">
        <f>Intereses_Residual_Mensual!K178</f>
        <v/>
      </c>
      <c r="S178" s="29">
        <f>ROUND(O178 + R178, 2)</f>
        <v/>
      </c>
      <c r="T178" s="29">
        <f>Intereses_Leasing_Mensual!L178</f>
        <v/>
      </c>
      <c r="U178" s="29">
        <f>Amortizacion_Capital_Mensual!M178</f>
        <v/>
      </c>
      <c r="V178" s="29">
        <f>Saldos_Capital_Mensual!L178</f>
        <v/>
      </c>
      <c r="W178" s="29">
        <f>Intereses_Residual_Mensual!L178</f>
        <v/>
      </c>
      <c r="X178" s="29">
        <f>ROUND(T178 + W178, 2)</f>
        <v/>
      </c>
      <c r="Y178" s="29">
        <f>Intereses_Leasing_Mensual!M178</f>
        <v/>
      </c>
      <c r="Z178" s="29">
        <f>Amortizacion_Capital_Mensual!N178</f>
        <v/>
      </c>
      <c r="AA178" s="29">
        <f>Saldos_Capital_Mensual!M178</f>
        <v/>
      </c>
      <c r="AB178" s="29">
        <f>Intereses_Residual_Mensual!M178</f>
        <v/>
      </c>
      <c r="AC178" s="29">
        <f>ROUND(Y178 + AB178, 2)</f>
        <v/>
      </c>
      <c r="AD178" s="29">
        <f>Intereses_Leasing_Mensual!N178</f>
        <v/>
      </c>
      <c r="AE178" s="29">
        <f>Amortizacion_Capital_Mensual!O178</f>
        <v/>
      </c>
      <c r="AF178" s="29">
        <f>Saldos_Capital_Mensual!N178</f>
        <v/>
      </c>
      <c r="AG178" s="29">
        <f>Intereses_Residual_Mensual!N178</f>
        <v/>
      </c>
      <c r="AH178" s="29">
        <f>ROUND(AD178 + AG178, 2)</f>
        <v/>
      </c>
      <c r="AI178" s="29">
        <f>Intereses_Leasing_Mensual!O178</f>
        <v/>
      </c>
      <c r="AJ178" s="29">
        <f>Amortizacion_Capital_Mensual!P178</f>
        <v/>
      </c>
      <c r="AK178" s="29">
        <f>Saldos_Capital_Mensual!O178</f>
        <v/>
      </c>
      <c r="AL178" s="29">
        <f>Intereses_Residual_Mensual!O178</f>
        <v/>
      </c>
      <c r="AM178" s="29">
        <f>ROUND(AI178 + AL178, 2)</f>
        <v/>
      </c>
      <c r="AN178" s="29">
        <f>Intereses_Leasing_Mensual!P178</f>
        <v/>
      </c>
      <c r="AO178" s="29">
        <f>Amortizacion_Capital_Mensual!Q178</f>
        <v/>
      </c>
      <c r="AP178" s="29">
        <f>Saldos_Capital_Mensual!P178</f>
        <v/>
      </c>
      <c r="AQ178" s="29">
        <f>Intereses_Residual_Mensual!P178</f>
        <v/>
      </c>
      <c r="AR178" s="29">
        <f>ROUND(AN178 + AQ178, 2)</f>
        <v/>
      </c>
      <c r="AS178" s="29">
        <f>Intereses_Leasing_Mensual!Q178</f>
        <v/>
      </c>
      <c r="AT178" s="29">
        <f>Amortizacion_Capital_Mensual!R178</f>
        <v/>
      </c>
      <c r="AU178" s="29">
        <f>Saldos_Capital_Mensual!Q178</f>
        <v/>
      </c>
      <c r="AV178" s="29">
        <f>Intereses_Residual_Mensual!Q178</f>
        <v/>
      </c>
      <c r="AW178" s="29">
        <f>ROUND(AS178 + AV178, 2)</f>
        <v/>
      </c>
      <c r="AX178" s="29">
        <f>Intereses_Leasing_Mensual!R178</f>
        <v/>
      </c>
      <c r="AY178" s="29">
        <f>Amortizacion_Capital_Mensual!S178</f>
        <v/>
      </c>
      <c r="AZ178" s="29">
        <f>Saldos_Capital_Mensual!R178</f>
        <v/>
      </c>
      <c r="BA178" s="29">
        <f>Intereses_Residual_Mensual!R178</f>
        <v/>
      </c>
      <c r="BB178" s="29">
        <f>ROUND(AX178 + BA178, 2)</f>
        <v/>
      </c>
      <c r="BC178" s="29">
        <f>Intereses_Leasing_Mensual!S178</f>
        <v/>
      </c>
      <c r="BD178" s="29">
        <f>Amortizacion_Capital_Mensual!T178</f>
        <v/>
      </c>
      <c r="BE178" s="29">
        <f>Saldos_Capital_Mensual!S178</f>
        <v/>
      </c>
      <c r="BF178" s="29">
        <f>Intereses_Residual_Mensual!S178</f>
        <v/>
      </c>
      <c r="BG178" s="29">
        <f>ROUND(BC178 + BF178, 2)</f>
        <v/>
      </c>
      <c r="BH178" s="29">
        <f>Intereses_Leasing_Mensual!T178</f>
        <v/>
      </c>
      <c r="BI178" s="29">
        <f>Amortizacion_Capital_Mensual!U178</f>
        <v/>
      </c>
      <c r="BJ178" s="29">
        <f>Saldos_Capital_Mensual!T178</f>
        <v/>
      </c>
      <c r="BK178" s="29">
        <f>Intereses_Residual_Mensual!T178</f>
        <v/>
      </c>
      <c r="BL178" s="29">
        <f>ROUND(BH178 + BK178, 2)</f>
        <v/>
      </c>
    </row>
    <row r="179">
      <c r="A179" s="20" t="inlineStr">
        <is>
          <t>0699-0001</t>
        </is>
      </c>
      <c r="B179" s="21" t="inlineStr">
        <is>
          <t>Ramona Salazar Ramos</t>
        </is>
      </c>
      <c r="C179" s="21" t="inlineStr">
        <is>
          <t>Grand Cherokee 2025</t>
        </is>
      </c>
      <c r="D179" s="22" t="n">
        <v>36</v>
      </c>
      <c r="E179" s="23">
        <f>Intereses_Leasing_Mensual!I179</f>
        <v/>
      </c>
      <c r="F179" s="23">
        <f>Amortizacion_Capital_Mensual!J179</f>
        <v/>
      </c>
      <c r="G179" s="23">
        <f>Saldos_Capital_Mensual!I179</f>
        <v/>
      </c>
      <c r="H179" s="23">
        <f>Intereses_Residual_Mensual!I179</f>
        <v/>
      </c>
      <c r="I179" s="23">
        <f>ROUND(E179 + H179, 2)</f>
        <v/>
      </c>
      <c r="J179" s="23">
        <f>Intereses_Leasing_Mensual!J179</f>
        <v/>
      </c>
      <c r="K179" s="23">
        <f>Amortizacion_Capital_Mensual!K179</f>
        <v/>
      </c>
      <c r="L179" s="23">
        <f>Saldos_Capital_Mensual!J179</f>
        <v/>
      </c>
      <c r="M179" s="23">
        <f>Intereses_Residual_Mensual!J179</f>
        <v/>
      </c>
      <c r="N179" s="23">
        <f>ROUND(J179 + M179, 2)</f>
        <v/>
      </c>
      <c r="O179" s="23">
        <f>Intereses_Leasing_Mensual!K179</f>
        <v/>
      </c>
      <c r="P179" s="23">
        <f>Amortizacion_Capital_Mensual!L179</f>
        <v/>
      </c>
      <c r="Q179" s="23">
        <f>Saldos_Capital_Mensual!K179</f>
        <v/>
      </c>
      <c r="R179" s="23">
        <f>Intereses_Residual_Mensual!K179</f>
        <v/>
      </c>
      <c r="S179" s="23">
        <f>ROUND(O179 + R179, 2)</f>
        <v/>
      </c>
      <c r="T179" s="23">
        <f>Intereses_Leasing_Mensual!L179</f>
        <v/>
      </c>
      <c r="U179" s="23">
        <f>Amortizacion_Capital_Mensual!M179</f>
        <v/>
      </c>
      <c r="V179" s="23">
        <f>Saldos_Capital_Mensual!L179</f>
        <v/>
      </c>
      <c r="W179" s="23">
        <f>Intereses_Residual_Mensual!L179</f>
        <v/>
      </c>
      <c r="X179" s="23">
        <f>ROUND(T179 + W179, 2)</f>
        <v/>
      </c>
      <c r="Y179" s="23">
        <f>Intereses_Leasing_Mensual!M179</f>
        <v/>
      </c>
      <c r="Z179" s="23">
        <f>Amortizacion_Capital_Mensual!N179</f>
        <v/>
      </c>
      <c r="AA179" s="23">
        <f>Saldos_Capital_Mensual!M179</f>
        <v/>
      </c>
      <c r="AB179" s="23">
        <f>Intereses_Residual_Mensual!M179</f>
        <v/>
      </c>
      <c r="AC179" s="23">
        <f>ROUND(Y179 + AB179, 2)</f>
        <v/>
      </c>
      <c r="AD179" s="23">
        <f>Intereses_Leasing_Mensual!N179</f>
        <v/>
      </c>
      <c r="AE179" s="23">
        <f>Amortizacion_Capital_Mensual!O179</f>
        <v/>
      </c>
      <c r="AF179" s="23">
        <f>Saldos_Capital_Mensual!N179</f>
        <v/>
      </c>
      <c r="AG179" s="23">
        <f>Intereses_Residual_Mensual!N179</f>
        <v/>
      </c>
      <c r="AH179" s="23">
        <f>ROUND(AD179 + AG179, 2)</f>
        <v/>
      </c>
      <c r="AI179" s="23">
        <f>Intereses_Leasing_Mensual!O179</f>
        <v/>
      </c>
      <c r="AJ179" s="23">
        <f>Amortizacion_Capital_Mensual!P179</f>
        <v/>
      </c>
      <c r="AK179" s="23">
        <f>Saldos_Capital_Mensual!O179</f>
        <v/>
      </c>
      <c r="AL179" s="23">
        <f>Intereses_Residual_Mensual!O179</f>
        <v/>
      </c>
      <c r="AM179" s="23">
        <f>ROUND(AI179 + AL179, 2)</f>
        <v/>
      </c>
      <c r="AN179" s="23">
        <f>Intereses_Leasing_Mensual!P179</f>
        <v/>
      </c>
      <c r="AO179" s="23">
        <f>Amortizacion_Capital_Mensual!Q179</f>
        <v/>
      </c>
      <c r="AP179" s="23">
        <f>Saldos_Capital_Mensual!P179</f>
        <v/>
      </c>
      <c r="AQ179" s="23">
        <f>Intereses_Residual_Mensual!P179</f>
        <v/>
      </c>
      <c r="AR179" s="23">
        <f>ROUND(AN179 + AQ179, 2)</f>
        <v/>
      </c>
      <c r="AS179" s="23">
        <f>Intereses_Leasing_Mensual!Q179</f>
        <v/>
      </c>
      <c r="AT179" s="23">
        <f>Amortizacion_Capital_Mensual!R179</f>
        <v/>
      </c>
      <c r="AU179" s="23">
        <f>Saldos_Capital_Mensual!Q179</f>
        <v/>
      </c>
      <c r="AV179" s="23">
        <f>Intereses_Residual_Mensual!Q179</f>
        <v/>
      </c>
      <c r="AW179" s="23">
        <f>ROUND(AS179 + AV179, 2)</f>
        <v/>
      </c>
      <c r="AX179" s="23">
        <f>Intereses_Leasing_Mensual!R179</f>
        <v/>
      </c>
      <c r="AY179" s="23">
        <f>Amortizacion_Capital_Mensual!S179</f>
        <v/>
      </c>
      <c r="AZ179" s="23">
        <f>Saldos_Capital_Mensual!R179</f>
        <v/>
      </c>
      <c r="BA179" s="23">
        <f>Intereses_Residual_Mensual!R179</f>
        <v/>
      </c>
      <c r="BB179" s="23">
        <f>ROUND(AX179 + BA179, 2)</f>
        <v/>
      </c>
      <c r="BC179" s="23">
        <f>Intereses_Leasing_Mensual!S179</f>
        <v/>
      </c>
      <c r="BD179" s="23">
        <f>Amortizacion_Capital_Mensual!T179</f>
        <v/>
      </c>
      <c r="BE179" s="23">
        <f>Saldos_Capital_Mensual!S179</f>
        <v/>
      </c>
      <c r="BF179" s="23">
        <f>Intereses_Residual_Mensual!S179</f>
        <v/>
      </c>
      <c r="BG179" s="23">
        <f>ROUND(BC179 + BF179, 2)</f>
        <v/>
      </c>
      <c r="BH179" s="23">
        <f>Intereses_Leasing_Mensual!T179</f>
        <v/>
      </c>
      <c r="BI179" s="23">
        <f>Amortizacion_Capital_Mensual!U179</f>
        <v/>
      </c>
      <c r="BJ179" s="23">
        <f>Saldos_Capital_Mensual!T179</f>
        <v/>
      </c>
      <c r="BK179" s="23">
        <f>Intereses_Residual_Mensual!T179</f>
        <v/>
      </c>
      <c r="BL179" s="23">
        <f>ROUND(BH179 + BK179, 2)</f>
        <v/>
      </c>
    </row>
    <row r="180">
      <c r="A180" s="26" t="inlineStr">
        <is>
          <t>0700-0001</t>
        </is>
      </c>
      <c r="B180" s="27" t="inlineStr">
        <is>
          <t>Felipe de Jesus Ibañez Huizar</t>
        </is>
      </c>
      <c r="C180" s="27" t="inlineStr">
        <is>
          <t>K3</t>
        </is>
      </c>
      <c r="D180" s="28" t="n">
        <v>36</v>
      </c>
      <c r="E180" s="29">
        <f>Intereses_Leasing_Mensual!I180</f>
        <v/>
      </c>
      <c r="F180" s="29">
        <f>Amortizacion_Capital_Mensual!J180</f>
        <v/>
      </c>
      <c r="G180" s="29">
        <f>Saldos_Capital_Mensual!I180</f>
        <v/>
      </c>
      <c r="H180" s="29">
        <f>Intereses_Residual_Mensual!I180</f>
        <v/>
      </c>
      <c r="I180" s="29">
        <f>ROUND(E180 + H180, 2)</f>
        <v/>
      </c>
      <c r="J180" s="29">
        <f>Intereses_Leasing_Mensual!J180</f>
        <v/>
      </c>
      <c r="K180" s="29">
        <f>Amortizacion_Capital_Mensual!K180</f>
        <v/>
      </c>
      <c r="L180" s="29">
        <f>Saldos_Capital_Mensual!J180</f>
        <v/>
      </c>
      <c r="M180" s="29">
        <f>Intereses_Residual_Mensual!J180</f>
        <v/>
      </c>
      <c r="N180" s="29">
        <f>ROUND(J180 + M180, 2)</f>
        <v/>
      </c>
      <c r="O180" s="29">
        <f>Intereses_Leasing_Mensual!K180</f>
        <v/>
      </c>
      <c r="P180" s="29">
        <f>Amortizacion_Capital_Mensual!L180</f>
        <v/>
      </c>
      <c r="Q180" s="29">
        <f>Saldos_Capital_Mensual!K180</f>
        <v/>
      </c>
      <c r="R180" s="29">
        <f>Intereses_Residual_Mensual!K180</f>
        <v/>
      </c>
      <c r="S180" s="29">
        <f>ROUND(O180 + R180, 2)</f>
        <v/>
      </c>
      <c r="T180" s="29">
        <f>Intereses_Leasing_Mensual!L180</f>
        <v/>
      </c>
      <c r="U180" s="29">
        <f>Amortizacion_Capital_Mensual!M180</f>
        <v/>
      </c>
      <c r="V180" s="29">
        <f>Saldos_Capital_Mensual!L180</f>
        <v/>
      </c>
      <c r="W180" s="29">
        <f>Intereses_Residual_Mensual!L180</f>
        <v/>
      </c>
      <c r="X180" s="29">
        <f>ROUND(T180 + W180, 2)</f>
        <v/>
      </c>
      <c r="Y180" s="29">
        <f>Intereses_Leasing_Mensual!M180</f>
        <v/>
      </c>
      <c r="Z180" s="29">
        <f>Amortizacion_Capital_Mensual!N180</f>
        <v/>
      </c>
      <c r="AA180" s="29">
        <f>Saldos_Capital_Mensual!M180</f>
        <v/>
      </c>
      <c r="AB180" s="29">
        <f>Intereses_Residual_Mensual!M180</f>
        <v/>
      </c>
      <c r="AC180" s="29">
        <f>ROUND(Y180 + AB180, 2)</f>
        <v/>
      </c>
      <c r="AD180" s="29">
        <f>Intereses_Leasing_Mensual!N180</f>
        <v/>
      </c>
      <c r="AE180" s="29">
        <f>Amortizacion_Capital_Mensual!O180</f>
        <v/>
      </c>
      <c r="AF180" s="29">
        <f>Saldos_Capital_Mensual!N180</f>
        <v/>
      </c>
      <c r="AG180" s="29">
        <f>Intereses_Residual_Mensual!N180</f>
        <v/>
      </c>
      <c r="AH180" s="29">
        <f>ROUND(AD180 + AG180, 2)</f>
        <v/>
      </c>
      <c r="AI180" s="29">
        <f>Intereses_Leasing_Mensual!O180</f>
        <v/>
      </c>
      <c r="AJ180" s="29">
        <f>Amortizacion_Capital_Mensual!P180</f>
        <v/>
      </c>
      <c r="AK180" s="29">
        <f>Saldos_Capital_Mensual!O180</f>
        <v/>
      </c>
      <c r="AL180" s="29">
        <f>Intereses_Residual_Mensual!O180</f>
        <v/>
      </c>
      <c r="AM180" s="29">
        <f>ROUND(AI180 + AL180, 2)</f>
        <v/>
      </c>
      <c r="AN180" s="29">
        <f>Intereses_Leasing_Mensual!P180</f>
        <v/>
      </c>
      <c r="AO180" s="29">
        <f>Amortizacion_Capital_Mensual!Q180</f>
        <v/>
      </c>
      <c r="AP180" s="29">
        <f>Saldos_Capital_Mensual!P180</f>
        <v/>
      </c>
      <c r="AQ180" s="29">
        <f>Intereses_Residual_Mensual!P180</f>
        <v/>
      </c>
      <c r="AR180" s="29">
        <f>ROUND(AN180 + AQ180, 2)</f>
        <v/>
      </c>
      <c r="AS180" s="29">
        <f>Intereses_Leasing_Mensual!Q180</f>
        <v/>
      </c>
      <c r="AT180" s="29">
        <f>Amortizacion_Capital_Mensual!R180</f>
        <v/>
      </c>
      <c r="AU180" s="29">
        <f>Saldos_Capital_Mensual!Q180</f>
        <v/>
      </c>
      <c r="AV180" s="29">
        <f>Intereses_Residual_Mensual!Q180</f>
        <v/>
      </c>
      <c r="AW180" s="29">
        <f>ROUND(AS180 + AV180, 2)</f>
        <v/>
      </c>
      <c r="AX180" s="29">
        <f>Intereses_Leasing_Mensual!R180</f>
        <v/>
      </c>
      <c r="AY180" s="29">
        <f>Amortizacion_Capital_Mensual!S180</f>
        <v/>
      </c>
      <c r="AZ180" s="29">
        <f>Saldos_Capital_Mensual!R180</f>
        <v/>
      </c>
      <c r="BA180" s="29">
        <f>Intereses_Residual_Mensual!R180</f>
        <v/>
      </c>
      <c r="BB180" s="29">
        <f>ROUND(AX180 + BA180, 2)</f>
        <v/>
      </c>
      <c r="BC180" s="29">
        <f>Intereses_Leasing_Mensual!S180</f>
        <v/>
      </c>
      <c r="BD180" s="29">
        <f>Amortizacion_Capital_Mensual!T180</f>
        <v/>
      </c>
      <c r="BE180" s="29">
        <f>Saldos_Capital_Mensual!S180</f>
        <v/>
      </c>
      <c r="BF180" s="29">
        <f>Intereses_Residual_Mensual!S180</f>
        <v/>
      </c>
      <c r="BG180" s="29">
        <f>ROUND(BC180 + BF180, 2)</f>
        <v/>
      </c>
      <c r="BH180" s="29">
        <f>Intereses_Leasing_Mensual!T180</f>
        <v/>
      </c>
      <c r="BI180" s="29">
        <f>Amortizacion_Capital_Mensual!U180</f>
        <v/>
      </c>
      <c r="BJ180" s="29">
        <f>Saldos_Capital_Mensual!T180</f>
        <v/>
      </c>
      <c r="BK180" s="29">
        <f>Intereses_Residual_Mensual!T180</f>
        <v/>
      </c>
      <c r="BL180" s="29">
        <f>ROUND(BH180 + BK180, 2)</f>
        <v/>
      </c>
    </row>
    <row r="181">
      <c r="A181" s="20" t="inlineStr">
        <is>
          <t>0700-0002</t>
        </is>
      </c>
      <c r="B181" s="21" t="inlineStr">
        <is>
          <t>Felipe de Jesus Ibañez Huizar</t>
        </is>
      </c>
      <c r="C181" s="21" t="inlineStr">
        <is>
          <t>Nissan NP 300 Frontier 2026</t>
        </is>
      </c>
      <c r="D181" s="22" t="n">
        <v>24</v>
      </c>
      <c r="E181" s="23">
        <f>Intereses_Leasing_Mensual!I181</f>
        <v/>
      </c>
      <c r="F181" s="23">
        <f>Amortizacion_Capital_Mensual!J181</f>
        <v/>
      </c>
      <c r="G181" s="23">
        <f>Saldos_Capital_Mensual!I181</f>
        <v/>
      </c>
      <c r="H181" s="23">
        <f>Intereses_Residual_Mensual!I181</f>
        <v/>
      </c>
      <c r="I181" s="23">
        <f>ROUND(E181 + H181, 2)</f>
        <v/>
      </c>
      <c r="J181" s="23">
        <f>Intereses_Leasing_Mensual!J181</f>
        <v/>
      </c>
      <c r="K181" s="23">
        <f>Amortizacion_Capital_Mensual!K181</f>
        <v/>
      </c>
      <c r="L181" s="23">
        <f>Saldos_Capital_Mensual!J181</f>
        <v/>
      </c>
      <c r="M181" s="23">
        <f>Intereses_Residual_Mensual!J181</f>
        <v/>
      </c>
      <c r="N181" s="23">
        <f>ROUND(J181 + M181, 2)</f>
        <v/>
      </c>
      <c r="O181" s="23">
        <f>Intereses_Leasing_Mensual!K181</f>
        <v/>
      </c>
      <c r="P181" s="23">
        <f>Amortizacion_Capital_Mensual!L181</f>
        <v/>
      </c>
      <c r="Q181" s="23">
        <f>Saldos_Capital_Mensual!K181</f>
        <v/>
      </c>
      <c r="R181" s="23">
        <f>Intereses_Residual_Mensual!K181</f>
        <v/>
      </c>
      <c r="S181" s="23">
        <f>ROUND(O181 + R181, 2)</f>
        <v/>
      </c>
      <c r="T181" s="23">
        <f>Intereses_Leasing_Mensual!L181</f>
        <v/>
      </c>
      <c r="U181" s="23">
        <f>Amortizacion_Capital_Mensual!M181</f>
        <v/>
      </c>
      <c r="V181" s="23">
        <f>Saldos_Capital_Mensual!L181</f>
        <v/>
      </c>
      <c r="W181" s="23">
        <f>Intereses_Residual_Mensual!L181</f>
        <v/>
      </c>
      <c r="X181" s="23">
        <f>ROUND(T181 + W181, 2)</f>
        <v/>
      </c>
      <c r="Y181" s="23">
        <f>Intereses_Leasing_Mensual!M181</f>
        <v/>
      </c>
      <c r="Z181" s="23">
        <f>Amortizacion_Capital_Mensual!N181</f>
        <v/>
      </c>
      <c r="AA181" s="23">
        <f>Saldos_Capital_Mensual!M181</f>
        <v/>
      </c>
      <c r="AB181" s="23">
        <f>Intereses_Residual_Mensual!M181</f>
        <v/>
      </c>
      <c r="AC181" s="23">
        <f>ROUND(Y181 + AB181, 2)</f>
        <v/>
      </c>
      <c r="AD181" s="23">
        <f>Intereses_Leasing_Mensual!N181</f>
        <v/>
      </c>
      <c r="AE181" s="23">
        <f>Amortizacion_Capital_Mensual!O181</f>
        <v/>
      </c>
      <c r="AF181" s="23">
        <f>Saldos_Capital_Mensual!N181</f>
        <v/>
      </c>
      <c r="AG181" s="23">
        <f>Intereses_Residual_Mensual!N181</f>
        <v/>
      </c>
      <c r="AH181" s="23">
        <f>ROUND(AD181 + AG181, 2)</f>
        <v/>
      </c>
      <c r="AI181" s="23">
        <f>Intereses_Leasing_Mensual!O181</f>
        <v/>
      </c>
      <c r="AJ181" s="23">
        <f>Amortizacion_Capital_Mensual!P181</f>
        <v/>
      </c>
      <c r="AK181" s="23">
        <f>Saldos_Capital_Mensual!O181</f>
        <v/>
      </c>
      <c r="AL181" s="23">
        <f>Intereses_Residual_Mensual!O181</f>
        <v/>
      </c>
      <c r="AM181" s="23">
        <f>ROUND(AI181 + AL181, 2)</f>
        <v/>
      </c>
      <c r="AN181" s="23">
        <f>Intereses_Leasing_Mensual!P181</f>
        <v/>
      </c>
      <c r="AO181" s="23">
        <f>Amortizacion_Capital_Mensual!Q181</f>
        <v/>
      </c>
      <c r="AP181" s="23">
        <f>Saldos_Capital_Mensual!P181</f>
        <v/>
      </c>
      <c r="AQ181" s="23">
        <f>Intereses_Residual_Mensual!P181</f>
        <v/>
      </c>
      <c r="AR181" s="23">
        <f>ROUND(AN181 + AQ181, 2)</f>
        <v/>
      </c>
      <c r="AS181" s="23">
        <f>Intereses_Leasing_Mensual!Q181</f>
        <v/>
      </c>
      <c r="AT181" s="23">
        <f>Amortizacion_Capital_Mensual!R181</f>
        <v/>
      </c>
      <c r="AU181" s="23">
        <f>Saldos_Capital_Mensual!Q181</f>
        <v/>
      </c>
      <c r="AV181" s="23">
        <f>Intereses_Residual_Mensual!Q181</f>
        <v/>
      </c>
      <c r="AW181" s="23">
        <f>ROUND(AS181 + AV181, 2)</f>
        <v/>
      </c>
      <c r="AX181" s="23">
        <f>Intereses_Leasing_Mensual!R181</f>
        <v/>
      </c>
      <c r="AY181" s="23">
        <f>Amortizacion_Capital_Mensual!S181</f>
        <v/>
      </c>
      <c r="AZ181" s="23">
        <f>Saldos_Capital_Mensual!R181</f>
        <v/>
      </c>
      <c r="BA181" s="23">
        <f>Intereses_Residual_Mensual!R181</f>
        <v/>
      </c>
      <c r="BB181" s="23">
        <f>ROUND(AX181 + BA181, 2)</f>
        <v/>
      </c>
      <c r="BC181" s="23">
        <f>Intereses_Leasing_Mensual!S181</f>
        <v/>
      </c>
      <c r="BD181" s="23">
        <f>Amortizacion_Capital_Mensual!T181</f>
        <v/>
      </c>
      <c r="BE181" s="23">
        <f>Saldos_Capital_Mensual!S181</f>
        <v/>
      </c>
      <c r="BF181" s="23">
        <f>Intereses_Residual_Mensual!S181</f>
        <v/>
      </c>
      <c r="BG181" s="23">
        <f>ROUND(BC181 + BF181, 2)</f>
        <v/>
      </c>
      <c r="BH181" s="23">
        <f>Intereses_Leasing_Mensual!T181</f>
        <v/>
      </c>
      <c r="BI181" s="23">
        <f>Amortizacion_Capital_Mensual!U181</f>
        <v/>
      </c>
      <c r="BJ181" s="23">
        <f>Saldos_Capital_Mensual!T181</f>
        <v/>
      </c>
      <c r="BK181" s="23">
        <f>Intereses_Residual_Mensual!T181</f>
        <v/>
      </c>
      <c r="BL181" s="23">
        <f>ROUND(BH181 + BK181, 2)</f>
        <v/>
      </c>
    </row>
    <row r="182">
      <c r="A182" s="26" t="inlineStr">
        <is>
          <t>0701-0001</t>
        </is>
      </c>
      <c r="B182" s="27" t="inlineStr">
        <is>
          <t>Miguel Angel Yañez Rivera</t>
        </is>
      </c>
      <c r="C182" s="27" t="inlineStr">
        <is>
          <t>Maxi Partner</t>
        </is>
      </c>
      <c r="D182" s="28" t="n">
        <v>48</v>
      </c>
      <c r="E182" s="29">
        <f>Intereses_Leasing_Mensual!I182</f>
        <v/>
      </c>
      <c r="F182" s="29">
        <f>Amortizacion_Capital_Mensual!J182</f>
        <v/>
      </c>
      <c r="G182" s="29">
        <f>Saldos_Capital_Mensual!I182</f>
        <v/>
      </c>
      <c r="H182" s="29">
        <f>Intereses_Residual_Mensual!I182</f>
        <v/>
      </c>
      <c r="I182" s="29">
        <f>ROUND(E182 + H182, 2)</f>
        <v/>
      </c>
      <c r="J182" s="29">
        <f>Intereses_Leasing_Mensual!J182</f>
        <v/>
      </c>
      <c r="K182" s="29">
        <f>Amortizacion_Capital_Mensual!K182</f>
        <v/>
      </c>
      <c r="L182" s="29">
        <f>Saldos_Capital_Mensual!J182</f>
        <v/>
      </c>
      <c r="M182" s="29">
        <f>Intereses_Residual_Mensual!J182</f>
        <v/>
      </c>
      <c r="N182" s="29">
        <f>ROUND(J182 + M182, 2)</f>
        <v/>
      </c>
      <c r="O182" s="29">
        <f>Intereses_Leasing_Mensual!K182</f>
        <v/>
      </c>
      <c r="P182" s="29">
        <f>Amortizacion_Capital_Mensual!L182</f>
        <v/>
      </c>
      <c r="Q182" s="29">
        <f>Saldos_Capital_Mensual!K182</f>
        <v/>
      </c>
      <c r="R182" s="29">
        <f>Intereses_Residual_Mensual!K182</f>
        <v/>
      </c>
      <c r="S182" s="29">
        <f>ROUND(O182 + R182, 2)</f>
        <v/>
      </c>
      <c r="T182" s="29">
        <f>Intereses_Leasing_Mensual!L182</f>
        <v/>
      </c>
      <c r="U182" s="29">
        <f>Amortizacion_Capital_Mensual!M182</f>
        <v/>
      </c>
      <c r="V182" s="29">
        <f>Saldos_Capital_Mensual!L182</f>
        <v/>
      </c>
      <c r="W182" s="29">
        <f>Intereses_Residual_Mensual!L182</f>
        <v/>
      </c>
      <c r="X182" s="29">
        <f>ROUND(T182 + W182, 2)</f>
        <v/>
      </c>
      <c r="Y182" s="29">
        <f>Intereses_Leasing_Mensual!M182</f>
        <v/>
      </c>
      <c r="Z182" s="29">
        <f>Amortizacion_Capital_Mensual!N182</f>
        <v/>
      </c>
      <c r="AA182" s="29">
        <f>Saldos_Capital_Mensual!M182</f>
        <v/>
      </c>
      <c r="AB182" s="29">
        <f>Intereses_Residual_Mensual!M182</f>
        <v/>
      </c>
      <c r="AC182" s="29">
        <f>ROUND(Y182 + AB182, 2)</f>
        <v/>
      </c>
      <c r="AD182" s="29">
        <f>Intereses_Leasing_Mensual!N182</f>
        <v/>
      </c>
      <c r="AE182" s="29">
        <f>Amortizacion_Capital_Mensual!O182</f>
        <v/>
      </c>
      <c r="AF182" s="29">
        <f>Saldos_Capital_Mensual!N182</f>
        <v/>
      </c>
      <c r="AG182" s="29">
        <f>Intereses_Residual_Mensual!N182</f>
        <v/>
      </c>
      <c r="AH182" s="29">
        <f>ROUND(AD182 + AG182, 2)</f>
        <v/>
      </c>
      <c r="AI182" s="29">
        <f>Intereses_Leasing_Mensual!O182</f>
        <v/>
      </c>
      <c r="AJ182" s="29">
        <f>Amortizacion_Capital_Mensual!P182</f>
        <v/>
      </c>
      <c r="AK182" s="29">
        <f>Saldos_Capital_Mensual!O182</f>
        <v/>
      </c>
      <c r="AL182" s="29">
        <f>Intereses_Residual_Mensual!O182</f>
        <v/>
      </c>
      <c r="AM182" s="29">
        <f>ROUND(AI182 + AL182, 2)</f>
        <v/>
      </c>
      <c r="AN182" s="29">
        <f>Intereses_Leasing_Mensual!P182</f>
        <v/>
      </c>
      <c r="AO182" s="29">
        <f>Amortizacion_Capital_Mensual!Q182</f>
        <v/>
      </c>
      <c r="AP182" s="29">
        <f>Saldos_Capital_Mensual!P182</f>
        <v/>
      </c>
      <c r="AQ182" s="29">
        <f>Intereses_Residual_Mensual!P182</f>
        <v/>
      </c>
      <c r="AR182" s="29">
        <f>ROUND(AN182 + AQ182, 2)</f>
        <v/>
      </c>
      <c r="AS182" s="29">
        <f>Intereses_Leasing_Mensual!Q182</f>
        <v/>
      </c>
      <c r="AT182" s="29">
        <f>Amortizacion_Capital_Mensual!R182</f>
        <v/>
      </c>
      <c r="AU182" s="29">
        <f>Saldos_Capital_Mensual!Q182</f>
        <v/>
      </c>
      <c r="AV182" s="29">
        <f>Intereses_Residual_Mensual!Q182</f>
        <v/>
      </c>
      <c r="AW182" s="29">
        <f>ROUND(AS182 + AV182, 2)</f>
        <v/>
      </c>
      <c r="AX182" s="29">
        <f>Intereses_Leasing_Mensual!R182</f>
        <v/>
      </c>
      <c r="AY182" s="29">
        <f>Amortizacion_Capital_Mensual!S182</f>
        <v/>
      </c>
      <c r="AZ182" s="29">
        <f>Saldos_Capital_Mensual!R182</f>
        <v/>
      </c>
      <c r="BA182" s="29">
        <f>Intereses_Residual_Mensual!R182</f>
        <v/>
      </c>
      <c r="BB182" s="29">
        <f>ROUND(AX182 + BA182, 2)</f>
        <v/>
      </c>
      <c r="BC182" s="29">
        <f>Intereses_Leasing_Mensual!S182</f>
        <v/>
      </c>
      <c r="BD182" s="29">
        <f>Amortizacion_Capital_Mensual!T182</f>
        <v/>
      </c>
      <c r="BE182" s="29">
        <f>Saldos_Capital_Mensual!S182</f>
        <v/>
      </c>
      <c r="BF182" s="29">
        <f>Intereses_Residual_Mensual!S182</f>
        <v/>
      </c>
      <c r="BG182" s="29">
        <f>ROUND(BC182 + BF182, 2)</f>
        <v/>
      </c>
      <c r="BH182" s="29">
        <f>Intereses_Leasing_Mensual!T182</f>
        <v/>
      </c>
      <c r="BI182" s="29">
        <f>Amortizacion_Capital_Mensual!U182</f>
        <v/>
      </c>
      <c r="BJ182" s="29">
        <f>Saldos_Capital_Mensual!T182</f>
        <v/>
      </c>
      <c r="BK182" s="29">
        <f>Intereses_Residual_Mensual!T182</f>
        <v/>
      </c>
      <c r="BL182" s="29">
        <f>ROUND(BH182 + BK182, 2)</f>
        <v/>
      </c>
    </row>
    <row r="183">
      <c r="A183" s="20" t="inlineStr">
        <is>
          <t>0702-0001</t>
        </is>
      </c>
      <c r="B183" s="21" t="inlineStr">
        <is>
          <t>Ramses Tadeo Galindo Calderon</t>
        </is>
      </c>
      <c r="C183" s="21" t="inlineStr">
        <is>
          <t>Song Plus</t>
        </is>
      </c>
      <c r="D183" s="22" t="n">
        <v>48</v>
      </c>
      <c r="E183" s="23">
        <f>Intereses_Leasing_Mensual!I183</f>
        <v/>
      </c>
      <c r="F183" s="23">
        <f>Amortizacion_Capital_Mensual!J183</f>
        <v/>
      </c>
      <c r="G183" s="23">
        <f>Saldos_Capital_Mensual!I183</f>
        <v/>
      </c>
      <c r="H183" s="23">
        <f>Intereses_Residual_Mensual!I183</f>
        <v/>
      </c>
      <c r="I183" s="23">
        <f>ROUND(E183 + H183, 2)</f>
        <v/>
      </c>
      <c r="J183" s="23">
        <f>Intereses_Leasing_Mensual!J183</f>
        <v/>
      </c>
      <c r="K183" s="23">
        <f>Amortizacion_Capital_Mensual!K183</f>
        <v/>
      </c>
      <c r="L183" s="23">
        <f>Saldos_Capital_Mensual!J183</f>
        <v/>
      </c>
      <c r="M183" s="23">
        <f>Intereses_Residual_Mensual!J183</f>
        <v/>
      </c>
      <c r="N183" s="23">
        <f>ROUND(J183 + M183, 2)</f>
        <v/>
      </c>
      <c r="O183" s="23">
        <f>Intereses_Leasing_Mensual!K183</f>
        <v/>
      </c>
      <c r="P183" s="23">
        <f>Amortizacion_Capital_Mensual!L183</f>
        <v/>
      </c>
      <c r="Q183" s="23">
        <f>Saldos_Capital_Mensual!K183</f>
        <v/>
      </c>
      <c r="R183" s="23">
        <f>Intereses_Residual_Mensual!K183</f>
        <v/>
      </c>
      <c r="S183" s="23">
        <f>ROUND(O183 + R183, 2)</f>
        <v/>
      </c>
      <c r="T183" s="23">
        <f>Intereses_Leasing_Mensual!L183</f>
        <v/>
      </c>
      <c r="U183" s="23">
        <f>Amortizacion_Capital_Mensual!M183</f>
        <v/>
      </c>
      <c r="V183" s="23">
        <f>Saldos_Capital_Mensual!L183</f>
        <v/>
      </c>
      <c r="W183" s="23">
        <f>Intereses_Residual_Mensual!L183</f>
        <v/>
      </c>
      <c r="X183" s="23">
        <f>ROUND(T183 + W183, 2)</f>
        <v/>
      </c>
      <c r="Y183" s="23">
        <f>Intereses_Leasing_Mensual!M183</f>
        <v/>
      </c>
      <c r="Z183" s="23">
        <f>Amortizacion_Capital_Mensual!N183</f>
        <v/>
      </c>
      <c r="AA183" s="23">
        <f>Saldos_Capital_Mensual!M183</f>
        <v/>
      </c>
      <c r="AB183" s="23">
        <f>Intereses_Residual_Mensual!M183</f>
        <v/>
      </c>
      <c r="AC183" s="23">
        <f>ROUND(Y183 + AB183, 2)</f>
        <v/>
      </c>
      <c r="AD183" s="23">
        <f>Intereses_Leasing_Mensual!N183</f>
        <v/>
      </c>
      <c r="AE183" s="23">
        <f>Amortizacion_Capital_Mensual!O183</f>
        <v/>
      </c>
      <c r="AF183" s="23">
        <f>Saldos_Capital_Mensual!N183</f>
        <v/>
      </c>
      <c r="AG183" s="23">
        <f>Intereses_Residual_Mensual!N183</f>
        <v/>
      </c>
      <c r="AH183" s="23">
        <f>ROUND(AD183 + AG183, 2)</f>
        <v/>
      </c>
      <c r="AI183" s="23">
        <f>Intereses_Leasing_Mensual!O183</f>
        <v/>
      </c>
      <c r="AJ183" s="23">
        <f>Amortizacion_Capital_Mensual!P183</f>
        <v/>
      </c>
      <c r="AK183" s="23">
        <f>Saldos_Capital_Mensual!O183</f>
        <v/>
      </c>
      <c r="AL183" s="23">
        <f>Intereses_Residual_Mensual!O183</f>
        <v/>
      </c>
      <c r="AM183" s="23">
        <f>ROUND(AI183 + AL183, 2)</f>
        <v/>
      </c>
      <c r="AN183" s="23">
        <f>Intereses_Leasing_Mensual!P183</f>
        <v/>
      </c>
      <c r="AO183" s="23">
        <f>Amortizacion_Capital_Mensual!Q183</f>
        <v/>
      </c>
      <c r="AP183" s="23">
        <f>Saldos_Capital_Mensual!P183</f>
        <v/>
      </c>
      <c r="AQ183" s="23">
        <f>Intereses_Residual_Mensual!P183</f>
        <v/>
      </c>
      <c r="AR183" s="23">
        <f>ROUND(AN183 + AQ183, 2)</f>
        <v/>
      </c>
      <c r="AS183" s="23">
        <f>Intereses_Leasing_Mensual!Q183</f>
        <v/>
      </c>
      <c r="AT183" s="23">
        <f>Amortizacion_Capital_Mensual!R183</f>
        <v/>
      </c>
      <c r="AU183" s="23">
        <f>Saldos_Capital_Mensual!Q183</f>
        <v/>
      </c>
      <c r="AV183" s="23">
        <f>Intereses_Residual_Mensual!Q183</f>
        <v/>
      </c>
      <c r="AW183" s="23">
        <f>ROUND(AS183 + AV183, 2)</f>
        <v/>
      </c>
      <c r="AX183" s="23">
        <f>Intereses_Leasing_Mensual!R183</f>
        <v/>
      </c>
      <c r="AY183" s="23">
        <f>Amortizacion_Capital_Mensual!S183</f>
        <v/>
      </c>
      <c r="AZ183" s="23">
        <f>Saldos_Capital_Mensual!R183</f>
        <v/>
      </c>
      <c r="BA183" s="23">
        <f>Intereses_Residual_Mensual!R183</f>
        <v/>
      </c>
      <c r="BB183" s="23">
        <f>ROUND(AX183 + BA183, 2)</f>
        <v/>
      </c>
      <c r="BC183" s="23">
        <f>Intereses_Leasing_Mensual!S183</f>
        <v/>
      </c>
      <c r="BD183" s="23">
        <f>Amortizacion_Capital_Mensual!T183</f>
        <v/>
      </c>
      <c r="BE183" s="23">
        <f>Saldos_Capital_Mensual!S183</f>
        <v/>
      </c>
      <c r="BF183" s="23">
        <f>Intereses_Residual_Mensual!S183</f>
        <v/>
      </c>
      <c r="BG183" s="23">
        <f>ROUND(BC183 + BF183, 2)</f>
        <v/>
      </c>
      <c r="BH183" s="23">
        <f>Intereses_Leasing_Mensual!T183</f>
        <v/>
      </c>
      <c r="BI183" s="23">
        <f>Amortizacion_Capital_Mensual!U183</f>
        <v/>
      </c>
      <c r="BJ183" s="23">
        <f>Saldos_Capital_Mensual!T183</f>
        <v/>
      </c>
      <c r="BK183" s="23">
        <f>Intereses_Residual_Mensual!T183</f>
        <v/>
      </c>
      <c r="BL183" s="23">
        <f>ROUND(BH183 + BK183, 2)</f>
        <v/>
      </c>
    </row>
    <row r="184">
      <c r="A184" s="26" t="inlineStr">
        <is>
          <t>0703-0002</t>
        </is>
      </c>
      <c r="B184" s="27" t="inlineStr">
        <is>
          <t>Jali Fresh International Sa de Cv</t>
        </is>
      </c>
      <c r="C184" s="27" t="inlineStr">
        <is>
          <t>1500 Tradesman CC</t>
        </is>
      </c>
      <c r="D184" s="28" t="n">
        <v>36</v>
      </c>
      <c r="E184" s="29">
        <f>Intereses_Leasing_Mensual!I184</f>
        <v/>
      </c>
      <c r="F184" s="29">
        <f>Amortizacion_Capital_Mensual!J184</f>
        <v/>
      </c>
      <c r="G184" s="29">
        <f>Saldos_Capital_Mensual!I184</f>
        <v/>
      </c>
      <c r="H184" s="29">
        <f>Intereses_Residual_Mensual!I184</f>
        <v/>
      </c>
      <c r="I184" s="29">
        <f>ROUND(E184 + H184, 2)</f>
        <v/>
      </c>
      <c r="J184" s="29">
        <f>Intereses_Leasing_Mensual!J184</f>
        <v/>
      </c>
      <c r="K184" s="29">
        <f>Amortizacion_Capital_Mensual!K184</f>
        <v/>
      </c>
      <c r="L184" s="29">
        <f>Saldos_Capital_Mensual!J184</f>
        <v/>
      </c>
      <c r="M184" s="29">
        <f>Intereses_Residual_Mensual!J184</f>
        <v/>
      </c>
      <c r="N184" s="29">
        <f>ROUND(J184 + M184, 2)</f>
        <v/>
      </c>
      <c r="O184" s="29">
        <f>Intereses_Leasing_Mensual!K184</f>
        <v/>
      </c>
      <c r="P184" s="29">
        <f>Amortizacion_Capital_Mensual!L184</f>
        <v/>
      </c>
      <c r="Q184" s="29">
        <f>Saldos_Capital_Mensual!K184</f>
        <v/>
      </c>
      <c r="R184" s="29">
        <f>Intereses_Residual_Mensual!K184</f>
        <v/>
      </c>
      <c r="S184" s="29">
        <f>ROUND(O184 + R184, 2)</f>
        <v/>
      </c>
      <c r="T184" s="29">
        <f>Intereses_Leasing_Mensual!L184</f>
        <v/>
      </c>
      <c r="U184" s="29">
        <f>Amortizacion_Capital_Mensual!M184</f>
        <v/>
      </c>
      <c r="V184" s="29">
        <f>Saldos_Capital_Mensual!L184</f>
        <v/>
      </c>
      <c r="W184" s="29">
        <f>Intereses_Residual_Mensual!L184</f>
        <v/>
      </c>
      <c r="X184" s="29">
        <f>ROUND(T184 + W184, 2)</f>
        <v/>
      </c>
      <c r="Y184" s="29">
        <f>Intereses_Leasing_Mensual!M184</f>
        <v/>
      </c>
      <c r="Z184" s="29">
        <f>Amortizacion_Capital_Mensual!N184</f>
        <v/>
      </c>
      <c r="AA184" s="29">
        <f>Saldos_Capital_Mensual!M184</f>
        <v/>
      </c>
      <c r="AB184" s="29">
        <f>Intereses_Residual_Mensual!M184</f>
        <v/>
      </c>
      <c r="AC184" s="29">
        <f>ROUND(Y184 + AB184, 2)</f>
        <v/>
      </c>
      <c r="AD184" s="29">
        <f>Intereses_Leasing_Mensual!N184</f>
        <v/>
      </c>
      <c r="AE184" s="29">
        <f>Amortizacion_Capital_Mensual!O184</f>
        <v/>
      </c>
      <c r="AF184" s="29">
        <f>Saldos_Capital_Mensual!N184</f>
        <v/>
      </c>
      <c r="AG184" s="29">
        <f>Intereses_Residual_Mensual!N184</f>
        <v/>
      </c>
      <c r="AH184" s="29">
        <f>ROUND(AD184 + AG184, 2)</f>
        <v/>
      </c>
      <c r="AI184" s="29">
        <f>Intereses_Leasing_Mensual!O184</f>
        <v/>
      </c>
      <c r="AJ184" s="29">
        <f>Amortizacion_Capital_Mensual!P184</f>
        <v/>
      </c>
      <c r="AK184" s="29">
        <f>Saldos_Capital_Mensual!O184</f>
        <v/>
      </c>
      <c r="AL184" s="29">
        <f>Intereses_Residual_Mensual!O184</f>
        <v/>
      </c>
      <c r="AM184" s="29">
        <f>ROUND(AI184 + AL184, 2)</f>
        <v/>
      </c>
      <c r="AN184" s="29">
        <f>Intereses_Leasing_Mensual!P184</f>
        <v/>
      </c>
      <c r="AO184" s="29">
        <f>Amortizacion_Capital_Mensual!Q184</f>
        <v/>
      </c>
      <c r="AP184" s="29">
        <f>Saldos_Capital_Mensual!P184</f>
        <v/>
      </c>
      <c r="AQ184" s="29">
        <f>Intereses_Residual_Mensual!P184</f>
        <v/>
      </c>
      <c r="AR184" s="29">
        <f>ROUND(AN184 + AQ184, 2)</f>
        <v/>
      </c>
      <c r="AS184" s="29">
        <f>Intereses_Leasing_Mensual!Q184</f>
        <v/>
      </c>
      <c r="AT184" s="29">
        <f>Amortizacion_Capital_Mensual!R184</f>
        <v/>
      </c>
      <c r="AU184" s="29">
        <f>Saldos_Capital_Mensual!Q184</f>
        <v/>
      </c>
      <c r="AV184" s="29">
        <f>Intereses_Residual_Mensual!Q184</f>
        <v/>
      </c>
      <c r="AW184" s="29">
        <f>ROUND(AS184 + AV184, 2)</f>
        <v/>
      </c>
      <c r="AX184" s="29">
        <f>Intereses_Leasing_Mensual!R184</f>
        <v/>
      </c>
      <c r="AY184" s="29">
        <f>Amortizacion_Capital_Mensual!S184</f>
        <v/>
      </c>
      <c r="AZ184" s="29">
        <f>Saldos_Capital_Mensual!R184</f>
        <v/>
      </c>
      <c r="BA184" s="29">
        <f>Intereses_Residual_Mensual!R184</f>
        <v/>
      </c>
      <c r="BB184" s="29">
        <f>ROUND(AX184 + BA184, 2)</f>
        <v/>
      </c>
      <c r="BC184" s="29">
        <f>Intereses_Leasing_Mensual!S184</f>
        <v/>
      </c>
      <c r="BD184" s="29">
        <f>Amortizacion_Capital_Mensual!T184</f>
        <v/>
      </c>
      <c r="BE184" s="29">
        <f>Saldos_Capital_Mensual!S184</f>
        <v/>
      </c>
      <c r="BF184" s="29">
        <f>Intereses_Residual_Mensual!S184</f>
        <v/>
      </c>
      <c r="BG184" s="29">
        <f>ROUND(BC184 + BF184, 2)</f>
        <v/>
      </c>
      <c r="BH184" s="29">
        <f>Intereses_Leasing_Mensual!T184</f>
        <v/>
      </c>
      <c r="BI184" s="29">
        <f>Amortizacion_Capital_Mensual!U184</f>
        <v/>
      </c>
      <c r="BJ184" s="29">
        <f>Saldos_Capital_Mensual!T184</f>
        <v/>
      </c>
      <c r="BK184" s="29">
        <f>Intereses_Residual_Mensual!T184</f>
        <v/>
      </c>
      <c r="BL184" s="29">
        <f>ROUND(BH184 + BK184, 2)</f>
        <v/>
      </c>
    </row>
    <row r="185">
      <c r="A185" s="20" t="inlineStr">
        <is>
          <t>0704-0001</t>
        </is>
      </c>
      <c r="B185" s="21" t="inlineStr">
        <is>
          <t>Cristian Manuel Cruz Gutierrez</t>
        </is>
      </c>
      <c r="C185" s="21" t="inlineStr">
        <is>
          <t>Ram 1200</t>
        </is>
      </c>
      <c r="D185" s="22" t="n">
        <v>36</v>
      </c>
      <c r="E185" s="23">
        <f>Intereses_Leasing_Mensual!I185</f>
        <v/>
      </c>
      <c r="F185" s="23">
        <f>Amortizacion_Capital_Mensual!J185</f>
        <v/>
      </c>
      <c r="G185" s="23">
        <f>Saldos_Capital_Mensual!I185</f>
        <v/>
      </c>
      <c r="H185" s="23">
        <f>Intereses_Residual_Mensual!I185</f>
        <v/>
      </c>
      <c r="I185" s="23">
        <f>ROUND(E185 + H185, 2)</f>
        <v/>
      </c>
      <c r="J185" s="23">
        <f>Intereses_Leasing_Mensual!J185</f>
        <v/>
      </c>
      <c r="K185" s="23">
        <f>Amortizacion_Capital_Mensual!K185</f>
        <v/>
      </c>
      <c r="L185" s="23">
        <f>Saldos_Capital_Mensual!J185</f>
        <v/>
      </c>
      <c r="M185" s="23">
        <f>Intereses_Residual_Mensual!J185</f>
        <v/>
      </c>
      <c r="N185" s="23">
        <f>ROUND(J185 + M185, 2)</f>
        <v/>
      </c>
      <c r="O185" s="23">
        <f>Intereses_Leasing_Mensual!K185</f>
        <v/>
      </c>
      <c r="P185" s="23">
        <f>Amortizacion_Capital_Mensual!L185</f>
        <v/>
      </c>
      <c r="Q185" s="23">
        <f>Saldos_Capital_Mensual!K185</f>
        <v/>
      </c>
      <c r="R185" s="23">
        <f>Intereses_Residual_Mensual!K185</f>
        <v/>
      </c>
      <c r="S185" s="23">
        <f>ROUND(O185 + R185, 2)</f>
        <v/>
      </c>
      <c r="T185" s="23">
        <f>Intereses_Leasing_Mensual!L185</f>
        <v/>
      </c>
      <c r="U185" s="23">
        <f>Amortizacion_Capital_Mensual!M185</f>
        <v/>
      </c>
      <c r="V185" s="23">
        <f>Saldos_Capital_Mensual!L185</f>
        <v/>
      </c>
      <c r="W185" s="23">
        <f>Intereses_Residual_Mensual!L185</f>
        <v/>
      </c>
      <c r="X185" s="23">
        <f>ROUND(T185 + W185, 2)</f>
        <v/>
      </c>
      <c r="Y185" s="23">
        <f>Intereses_Leasing_Mensual!M185</f>
        <v/>
      </c>
      <c r="Z185" s="23">
        <f>Amortizacion_Capital_Mensual!N185</f>
        <v/>
      </c>
      <c r="AA185" s="23">
        <f>Saldos_Capital_Mensual!M185</f>
        <v/>
      </c>
      <c r="AB185" s="23">
        <f>Intereses_Residual_Mensual!M185</f>
        <v/>
      </c>
      <c r="AC185" s="23">
        <f>ROUND(Y185 + AB185, 2)</f>
        <v/>
      </c>
      <c r="AD185" s="23">
        <f>Intereses_Leasing_Mensual!N185</f>
        <v/>
      </c>
      <c r="AE185" s="23">
        <f>Amortizacion_Capital_Mensual!O185</f>
        <v/>
      </c>
      <c r="AF185" s="23">
        <f>Saldos_Capital_Mensual!N185</f>
        <v/>
      </c>
      <c r="AG185" s="23">
        <f>Intereses_Residual_Mensual!N185</f>
        <v/>
      </c>
      <c r="AH185" s="23">
        <f>ROUND(AD185 + AG185, 2)</f>
        <v/>
      </c>
      <c r="AI185" s="23">
        <f>Intereses_Leasing_Mensual!O185</f>
        <v/>
      </c>
      <c r="AJ185" s="23">
        <f>Amortizacion_Capital_Mensual!P185</f>
        <v/>
      </c>
      <c r="AK185" s="23">
        <f>Saldos_Capital_Mensual!O185</f>
        <v/>
      </c>
      <c r="AL185" s="23">
        <f>Intereses_Residual_Mensual!O185</f>
        <v/>
      </c>
      <c r="AM185" s="23">
        <f>ROUND(AI185 + AL185, 2)</f>
        <v/>
      </c>
      <c r="AN185" s="23">
        <f>Intereses_Leasing_Mensual!P185</f>
        <v/>
      </c>
      <c r="AO185" s="23">
        <f>Amortizacion_Capital_Mensual!Q185</f>
        <v/>
      </c>
      <c r="AP185" s="23">
        <f>Saldos_Capital_Mensual!P185</f>
        <v/>
      </c>
      <c r="AQ185" s="23">
        <f>Intereses_Residual_Mensual!P185</f>
        <v/>
      </c>
      <c r="AR185" s="23">
        <f>ROUND(AN185 + AQ185, 2)</f>
        <v/>
      </c>
      <c r="AS185" s="23">
        <f>Intereses_Leasing_Mensual!Q185</f>
        <v/>
      </c>
      <c r="AT185" s="23">
        <f>Amortizacion_Capital_Mensual!R185</f>
        <v/>
      </c>
      <c r="AU185" s="23">
        <f>Saldos_Capital_Mensual!Q185</f>
        <v/>
      </c>
      <c r="AV185" s="23">
        <f>Intereses_Residual_Mensual!Q185</f>
        <v/>
      </c>
      <c r="AW185" s="23">
        <f>ROUND(AS185 + AV185, 2)</f>
        <v/>
      </c>
      <c r="AX185" s="23">
        <f>Intereses_Leasing_Mensual!R185</f>
        <v/>
      </c>
      <c r="AY185" s="23">
        <f>Amortizacion_Capital_Mensual!S185</f>
        <v/>
      </c>
      <c r="AZ185" s="23">
        <f>Saldos_Capital_Mensual!R185</f>
        <v/>
      </c>
      <c r="BA185" s="23">
        <f>Intereses_Residual_Mensual!R185</f>
        <v/>
      </c>
      <c r="BB185" s="23">
        <f>ROUND(AX185 + BA185, 2)</f>
        <v/>
      </c>
      <c r="BC185" s="23">
        <f>Intereses_Leasing_Mensual!S185</f>
        <v/>
      </c>
      <c r="BD185" s="23">
        <f>Amortizacion_Capital_Mensual!T185</f>
        <v/>
      </c>
      <c r="BE185" s="23">
        <f>Saldos_Capital_Mensual!S185</f>
        <v/>
      </c>
      <c r="BF185" s="23">
        <f>Intereses_Residual_Mensual!S185</f>
        <v/>
      </c>
      <c r="BG185" s="23">
        <f>ROUND(BC185 + BF185, 2)</f>
        <v/>
      </c>
      <c r="BH185" s="23">
        <f>Intereses_Leasing_Mensual!T185</f>
        <v/>
      </c>
      <c r="BI185" s="23">
        <f>Amortizacion_Capital_Mensual!U185</f>
        <v/>
      </c>
      <c r="BJ185" s="23">
        <f>Saldos_Capital_Mensual!T185</f>
        <v/>
      </c>
      <c r="BK185" s="23">
        <f>Intereses_Residual_Mensual!T185</f>
        <v/>
      </c>
      <c r="BL185" s="23">
        <f>ROUND(BH185 + BK185, 2)</f>
        <v/>
      </c>
    </row>
    <row r="186">
      <c r="A186" s="26" t="inlineStr">
        <is>
          <t>0705-0001</t>
        </is>
      </c>
      <c r="B186" s="27" t="inlineStr">
        <is>
          <t>Oscar Alejandro Pedraza Gonzalez</t>
        </is>
      </c>
      <c r="C186" s="27" t="inlineStr">
        <is>
          <t>L200</t>
        </is>
      </c>
      <c r="D186" s="28" t="n">
        <v>24</v>
      </c>
      <c r="E186" s="29">
        <f>Intereses_Leasing_Mensual!I186</f>
        <v/>
      </c>
      <c r="F186" s="29">
        <f>Amortizacion_Capital_Mensual!J186</f>
        <v/>
      </c>
      <c r="G186" s="29">
        <f>Saldos_Capital_Mensual!I186</f>
        <v/>
      </c>
      <c r="H186" s="29">
        <f>Intereses_Residual_Mensual!I186</f>
        <v/>
      </c>
      <c r="I186" s="29">
        <f>ROUND(E186 + H186, 2)</f>
        <v/>
      </c>
      <c r="J186" s="29">
        <f>Intereses_Leasing_Mensual!J186</f>
        <v/>
      </c>
      <c r="K186" s="29">
        <f>Amortizacion_Capital_Mensual!K186</f>
        <v/>
      </c>
      <c r="L186" s="29">
        <f>Saldos_Capital_Mensual!J186</f>
        <v/>
      </c>
      <c r="M186" s="29">
        <f>Intereses_Residual_Mensual!J186</f>
        <v/>
      </c>
      <c r="N186" s="29">
        <f>ROUND(J186 + M186, 2)</f>
        <v/>
      </c>
      <c r="O186" s="29">
        <f>Intereses_Leasing_Mensual!K186</f>
        <v/>
      </c>
      <c r="P186" s="29">
        <f>Amortizacion_Capital_Mensual!L186</f>
        <v/>
      </c>
      <c r="Q186" s="29">
        <f>Saldos_Capital_Mensual!K186</f>
        <v/>
      </c>
      <c r="R186" s="29">
        <f>Intereses_Residual_Mensual!K186</f>
        <v/>
      </c>
      <c r="S186" s="29">
        <f>ROUND(O186 + R186, 2)</f>
        <v/>
      </c>
      <c r="T186" s="29">
        <f>Intereses_Leasing_Mensual!L186</f>
        <v/>
      </c>
      <c r="U186" s="29">
        <f>Amortizacion_Capital_Mensual!M186</f>
        <v/>
      </c>
      <c r="V186" s="29">
        <f>Saldos_Capital_Mensual!L186</f>
        <v/>
      </c>
      <c r="W186" s="29">
        <f>Intereses_Residual_Mensual!L186</f>
        <v/>
      </c>
      <c r="X186" s="29">
        <f>ROUND(T186 + W186, 2)</f>
        <v/>
      </c>
      <c r="Y186" s="29">
        <f>Intereses_Leasing_Mensual!M186</f>
        <v/>
      </c>
      <c r="Z186" s="29">
        <f>Amortizacion_Capital_Mensual!N186</f>
        <v/>
      </c>
      <c r="AA186" s="29">
        <f>Saldos_Capital_Mensual!M186</f>
        <v/>
      </c>
      <c r="AB186" s="29">
        <f>Intereses_Residual_Mensual!M186</f>
        <v/>
      </c>
      <c r="AC186" s="29">
        <f>ROUND(Y186 + AB186, 2)</f>
        <v/>
      </c>
      <c r="AD186" s="29">
        <f>Intereses_Leasing_Mensual!N186</f>
        <v/>
      </c>
      <c r="AE186" s="29">
        <f>Amortizacion_Capital_Mensual!O186</f>
        <v/>
      </c>
      <c r="AF186" s="29">
        <f>Saldos_Capital_Mensual!N186</f>
        <v/>
      </c>
      <c r="AG186" s="29">
        <f>Intereses_Residual_Mensual!N186</f>
        <v/>
      </c>
      <c r="AH186" s="29">
        <f>ROUND(AD186 + AG186, 2)</f>
        <v/>
      </c>
      <c r="AI186" s="29">
        <f>Intereses_Leasing_Mensual!O186</f>
        <v/>
      </c>
      <c r="AJ186" s="29">
        <f>Amortizacion_Capital_Mensual!P186</f>
        <v/>
      </c>
      <c r="AK186" s="29">
        <f>Saldos_Capital_Mensual!O186</f>
        <v/>
      </c>
      <c r="AL186" s="29">
        <f>Intereses_Residual_Mensual!O186</f>
        <v/>
      </c>
      <c r="AM186" s="29">
        <f>ROUND(AI186 + AL186, 2)</f>
        <v/>
      </c>
      <c r="AN186" s="29">
        <f>Intereses_Leasing_Mensual!P186</f>
        <v/>
      </c>
      <c r="AO186" s="29">
        <f>Amortizacion_Capital_Mensual!Q186</f>
        <v/>
      </c>
      <c r="AP186" s="29">
        <f>Saldos_Capital_Mensual!P186</f>
        <v/>
      </c>
      <c r="AQ186" s="29">
        <f>Intereses_Residual_Mensual!P186</f>
        <v/>
      </c>
      <c r="AR186" s="29">
        <f>ROUND(AN186 + AQ186, 2)</f>
        <v/>
      </c>
      <c r="AS186" s="29">
        <f>Intereses_Leasing_Mensual!Q186</f>
        <v/>
      </c>
      <c r="AT186" s="29">
        <f>Amortizacion_Capital_Mensual!R186</f>
        <v/>
      </c>
      <c r="AU186" s="29">
        <f>Saldos_Capital_Mensual!Q186</f>
        <v/>
      </c>
      <c r="AV186" s="29">
        <f>Intereses_Residual_Mensual!Q186</f>
        <v/>
      </c>
      <c r="AW186" s="29">
        <f>ROUND(AS186 + AV186, 2)</f>
        <v/>
      </c>
      <c r="AX186" s="29">
        <f>Intereses_Leasing_Mensual!R186</f>
        <v/>
      </c>
      <c r="AY186" s="29">
        <f>Amortizacion_Capital_Mensual!S186</f>
        <v/>
      </c>
      <c r="AZ186" s="29">
        <f>Saldos_Capital_Mensual!R186</f>
        <v/>
      </c>
      <c r="BA186" s="29">
        <f>Intereses_Residual_Mensual!R186</f>
        <v/>
      </c>
      <c r="BB186" s="29">
        <f>ROUND(AX186 + BA186, 2)</f>
        <v/>
      </c>
      <c r="BC186" s="29">
        <f>Intereses_Leasing_Mensual!S186</f>
        <v/>
      </c>
      <c r="BD186" s="29">
        <f>Amortizacion_Capital_Mensual!T186</f>
        <v/>
      </c>
      <c r="BE186" s="29">
        <f>Saldos_Capital_Mensual!S186</f>
        <v/>
      </c>
      <c r="BF186" s="29">
        <f>Intereses_Residual_Mensual!S186</f>
        <v/>
      </c>
      <c r="BG186" s="29">
        <f>ROUND(BC186 + BF186, 2)</f>
        <v/>
      </c>
      <c r="BH186" s="29">
        <f>Intereses_Leasing_Mensual!T186</f>
        <v/>
      </c>
      <c r="BI186" s="29">
        <f>Amortizacion_Capital_Mensual!U186</f>
        <v/>
      </c>
      <c r="BJ186" s="29">
        <f>Saldos_Capital_Mensual!T186</f>
        <v/>
      </c>
      <c r="BK186" s="29">
        <f>Intereses_Residual_Mensual!T186</f>
        <v/>
      </c>
      <c r="BL186" s="29">
        <f>ROUND(BH186 + BK186, 2)</f>
        <v/>
      </c>
    </row>
    <row r="187">
      <c r="A187" s="20" t="inlineStr">
        <is>
          <t>0706-0001</t>
        </is>
      </c>
      <c r="B187" s="21" t="inlineStr">
        <is>
          <t>Jose Luis Zepeda Gomez</t>
        </is>
      </c>
      <c r="C187" s="21" t="inlineStr">
        <is>
          <t>L200 Glx Diesel</t>
        </is>
      </c>
      <c r="D187" s="22" t="n">
        <v>48</v>
      </c>
      <c r="E187" s="23">
        <f>Intereses_Leasing_Mensual!I187</f>
        <v/>
      </c>
      <c r="F187" s="23">
        <f>Amortizacion_Capital_Mensual!J187</f>
        <v/>
      </c>
      <c r="G187" s="23">
        <f>Saldos_Capital_Mensual!I187</f>
        <v/>
      </c>
      <c r="H187" s="23">
        <f>Intereses_Residual_Mensual!I187</f>
        <v/>
      </c>
      <c r="I187" s="23">
        <f>ROUND(E187 + H187, 2)</f>
        <v/>
      </c>
      <c r="J187" s="23">
        <f>Intereses_Leasing_Mensual!J187</f>
        <v/>
      </c>
      <c r="K187" s="23">
        <f>Amortizacion_Capital_Mensual!K187</f>
        <v/>
      </c>
      <c r="L187" s="23">
        <f>Saldos_Capital_Mensual!J187</f>
        <v/>
      </c>
      <c r="M187" s="23">
        <f>Intereses_Residual_Mensual!J187</f>
        <v/>
      </c>
      <c r="N187" s="23">
        <f>ROUND(J187 + M187, 2)</f>
        <v/>
      </c>
      <c r="O187" s="23">
        <f>Intereses_Leasing_Mensual!K187</f>
        <v/>
      </c>
      <c r="P187" s="23">
        <f>Amortizacion_Capital_Mensual!L187</f>
        <v/>
      </c>
      <c r="Q187" s="23">
        <f>Saldos_Capital_Mensual!K187</f>
        <v/>
      </c>
      <c r="R187" s="23">
        <f>Intereses_Residual_Mensual!K187</f>
        <v/>
      </c>
      <c r="S187" s="23">
        <f>ROUND(O187 + R187, 2)</f>
        <v/>
      </c>
      <c r="T187" s="23">
        <f>Intereses_Leasing_Mensual!L187</f>
        <v/>
      </c>
      <c r="U187" s="23">
        <f>Amortizacion_Capital_Mensual!M187</f>
        <v/>
      </c>
      <c r="V187" s="23">
        <f>Saldos_Capital_Mensual!L187</f>
        <v/>
      </c>
      <c r="W187" s="23">
        <f>Intereses_Residual_Mensual!L187</f>
        <v/>
      </c>
      <c r="X187" s="23">
        <f>ROUND(T187 + W187, 2)</f>
        <v/>
      </c>
      <c r="Y187" s="23">
        <f>Intereses_Leasing_Mensual!M187</f>
        <v/>
      </c>
      <c r="Z187" s="23">
        <f>Amortizacion_Capital_Mensual!N187</f>
        <v/>
      </c>
      <c r="AA187" s="23">
        <f>Saldos_Capital_Mensual!M187</f>
        <v/>
      </c>
      <c r="AB187" s="23">
        <f>Intereses_Residual_Mensual!M187</f>
        <v/>
      </c>
      <c r="AC187" s="23">
        <f>ROUND(Y187 + AB187, 2)</f>
        <v/>
      </c>
      <c r="AD187" s="23">
        <f>Intereses_Leasing_Mensual!N187</f>
        <v/>
      </c>
      <c r="AE187" s="23">
        <f>Amortizacion_Capital_Mensual!O187</f>
        <v/>
      </c>
      <c r="AF187" s="23">
        <f>Saldos_Capital_Mensual!N187</f>
        <v/>
      </c>
      <c r="AG187" s="23">
        <f>Intereses_Residual_Mensual!N187</f>
        <v/>
      </c>
      <c r="AH187" s="23">
        <f>ROUND(AD187 + AG187, 2)</f>
        <v/>
      </c>
      <c r="AI187" s="23">
        <f>Intereses_Leasing_Mensual!O187</f>
        <v/>
      </c>
      <c r="AJ187" s="23">
        <f>Amortizacion_Capital_Mensual!P187</f>
        <v/>
      </c>
      <c r="AK187" s="23">
        <f>Saldos_Capital_Mensual!O187</f>
        <v/>
      </c>
      <c r="AL187" s="23">
        <f>Intereses_Residual_Mensual!O187</f>
        <v/>
      </c>
      <c r="AM187" s="23">
        <f>ROUND(AI187 + AL187, 2)</f>
        <v/>
      </c>
      <c r="AN187" s="23">
        <f>Intereses_Leasing_Mensual!P187</f>
        <v/>
      </c>
      <c r="AO187" s="23">
        <f>Amortizacion_Capital_Mensual!Q187</f>
        <v/>
      </c>
      <c r="AP187" s="23">
        <f>Saldos_Capital_Mensual!P187</f>
        <v/>
      </c>
      <c r="AQ187" s="23">
        <f>Intereses_Residual_Mensual!P187</f>
        <v/>
      </c>
      <c r="AR187" s="23">
        <f>ROUND(AN187 + AQ187, 2)</f>
        <v/>
      </c>
      <c r="AS187" s="23">
        <f>Intereses_Leasing_Mensual!Q187</f>
        <v/>
      </c>
      <c r="AT187" s="23">
        <f>Amortizacion_Capital_Mensual!R187</f>
        <v/>
      </c>
      <c r="AU187" s="23">
        <f>Saldos_Capital_Mensual!Q187</f>
        <v/>
      </c>
      <c r="AV187" s="23">
        <f>Intereses_Residual_Mensual!Q187</f>
        <v/>
      </c>
      <c r="AW187" s="23">
        <f>ROUND(AS187 + AV187, 2)</f>
        <v/>
      </c>
      <c r="AX187" s="23">
        <f>Intereses_Leasing_Mensual!R187</f>
        <v/>
      </c>
      <c r="AY187" s="23">
        <f>Amortizacion_Capital_Mensual!S187</f>
        <v/>
      </c>
      <c r="AZ187" s="23">
        <f>Saldos_Capital_Mensual!R187</f>
        <v/>
      </c>
      <c r="BA187" s="23">
        <f>Intereses_Residual_Mensual!R187</f>
        <v/>
      </c>
      <c r="BB187" s="23">
        <f>ROUND(AX187 + BA187, 2)</f>
        <v/>
      </c>
      <c r="BC187" s="23">
        <f>Intereses_Leasing_Mensual!S187</f>
        <v/>
      </c>
      <c r="BD187" s="23">
        <f>Amortizacion_Capital_Mensual!T187</f>
        <v/>
      </c>
      <c r="BE187" s="23">
        <f>Saldos_Capital_Mensual!S187</f>
        <v/>
      </c>
      <c r="BF187" s="23">
        <f>Intereses_Residual_Mensual!S187</f>
        <v/>
      </c>
      <c r="BG187" s="23">
        <f>ROUND(BC187 + BF187, 2)</f>
        <v/>
      </c>
      <c r="BH187" s="23">
        <f>Intereses_Leasing_Mensual!T187</f>
        <v/>
      </c>
      <c r="BI187" s="23">
        <f>Amortizacion_Capital_Mensual!U187</f>
        <v/>
      </c>
      <c r="BJ187" s="23">
        <f>Saldos_Capital_Mensual!T187</f>
        <v/>
      </c>
      <c r="BK187" s="23">
        <f>Intereses_Residual_Mensual!T187</f>
        <v/>
      </c>
      <c r="BL187" s="23">
        <f>ROUND(BH187 + BK187, 2)</f>
        <v/>
      </c>
    </row>
    <row r="188">
      <c r="A188" s="26" t="inlineStr">
        <is>
          <t>0707-0001</t>
        </is>
      </c>
      <c r="B188" s="27" t="inlineStr">
        <is>
          <t>Cabañas Lupita Sa de Cv</t>
        </is>
      </c>
      <c r="C188" s="27" t="inlineStr">
        <is>
          <t>Jt Rubicon</t>
        </is>
      </c>
      <c r="D188" s="28" t="n">
        <v>48</v>
      </c>
      <c r="E188" s="29">
        <f>Intereses_Leasing_Mensual!I188</f>
        <v/>
      </c>
      <c r="F188" s="29">
        <f>Amortizacion_Capital_Mensual!J188</f>
        <v/>
      </c>
      <c r="G188" s="29">
        <f>Saldos_Capital_Mensual!I188</f>
        <v/>
      </c>
      <c r="H188" s="29">
        <f>Intereses_Residual_Mensual!I188</f>
        <v/>
      </c>
      <c r="I188" s="29">
        <f>ROUND(E188 + H188, 2)</f>
        <v/>
      </c>
      <c r="J188" s="29">
        <f>Intereses_Leasing_Mensual!J188</f>
        <v/>
      </c>
      <c r="K188" s="29">
        <f>Amortizacion_Capital_Mensual!K188</f>
        <v/>
      </c>
      <c r="L188" s="29">
        <f>Saldos_Capital_Mensual!J188</f>
        <v/>
      </c>
      <c r="M188" s="29">
        <f>Intereses_Residual_Mensual!J188</f>
        <v/>
      </c>
      <c r="N188" s="29">
        <f>ROUND(J188 + M188, 2)</f>
        <v/>
      </c>
      <c r="O188" s="29">
        <f>Intereses_Leasing_Mensual!K188</f>
        <v/>
      </c>
      <c r="P188" s="29">
        <f>Amortizacion_Capital_Mensual!L188</f>
        <v/>
      </c>
      <c r="Q188" s="29">
        <f>Saldos_Capital_Mensual!K188</f>
        <v/>
      </c>
      <c r="R188" s="29">
        <f>Intereses_Residual_Mensual!K188</f>
        <v/>
      </c>
      <c r="S188" s="29">
        <f>ROUND(O188 + R188, 2)</f>
        <v/>
      </c>
      <c r="T188" s="29">
        <f>Intereses_Leasing_Mensual!L188</f>
        <v/>
      </c>
      <c r="U188" s="29">
        <f>Amortizacion_Capital_Mensual!M188</f>
        <v/>
      </c>
      <c r="V188" s="29">
        <f>Saldos_Capital_Mensual!L188</f>
        <v/>
      </c>
      <c r="W188" s="29">
        <f>Intereses_Residual_Mensual!L188</f>
        <v/>
      </c>
      <c r="X188" s="29">
        <f>ROUND(T188 + W188, 2)</f>
        <v/>
      </c>
      <c r="Y188" s="29">
        <f>Intereses_Leasing_Mensual!M188</f>
        <v/>
      </c>
      <c r="Z188" s="29">
        <f>Amortizacion_Capital_Mensual!N188</f>
        <v/>
      </c>
      <c r="AA188" s="29">
        <f>Saldos_Capital_Mensual!M188</f>
        <v/>
      </c>
      <c r="AB188" s="29">
        <f>Intereses_Residual_Mensual!M188</f>
        <v/>
      </c>
      <c r="AC188" s="29">
        <f>ROUND(Y188 + AB188, 2)</f>
        <v/>
      </c>
      <c r="AD188" s="29">
        <f>Intereses_Leasing_Mensual!N188</f>
        <v/>
      </c>
      <c r="AE188" s="29">
        <f>Amortizacion_Capital_Mensual!O188</f>
        <v/>
      </c>
      <c r="AF188" s="29">
        <f>Saldos_Capital_Mensual!N188</f>
        <v/>
      </c>
      <c r="AG188" s="29">
        <f>Intereses_Residual_Mensual!N188</f>
        <v/>
      </c>
      <c r="AH188" s="29">
        <f>ROUND(AD188 + AG188, 2)</f>
        <v/>
      </c>
      <c r="AI188" s="29">
        <f>Intereses_Leasing_Mensual!O188</f>
        <v/>
      </c>
      <c r="AJ188" s="29">
        <f>Amortizacion_Capital_Mensual!P188</f>
        <v/>
      </c>
      <c r="AK188" s="29">
        <f>Saldos_Capital_Mensual!O188</f>
        <v/>
      </c>
      <c r="AL188" s="29">
        <f>Intereses_Residual_Mensual!O188</f>
        <v/>
      </c>
      <c r="AM188" s="29">
        <f>ROUND(AI188 + AL188, 2)</f>
        <v/>
      </c>
      <c r="AN188" s="29">
        <f>Intereses_Leasing_Mensual!P188</f>
        <v/>
      </c>
      <c r="AO188" s="29">
        <f>Amortizacion_Capital_Mensual!Q188</f>
        <v/>
      </c>
      <c r="AP188" s="29">
        <f>Saldos_Capital_Mensual!P188</f>
        <v/>
      </c>
      <c r="AQ188" s="29">
        <f>Intereses_Residual_Mensual!P188</f>
        <v/>
      </c>
      <c r="AR188" s="29">
        <f>ROUND(AN188 + AQ188, 2)</f>
        <v/>
      </c>
      <c r="AS188" s="29">
        <f>Intereses_Leasing_Mensual!Q188</f>
        <v/>
      </c>
      <c r="AT188" s="29">
        <f>Amortizacion_Capital_Mensual!R188</f>
        <v/>
      </c>
      <c r="AU188" s="29">
        <f>Saldos_Capital_Mensual!Q188</f>
        <v/>
      </c>
      <c r="AV188" s="29">
        <f>Intereses_Residual_Mensual!Q188</f>
        <v/>
      </c>
      <c r="AW188" s="29">
        <f>ROUND(AS188 + AV188, 2)</f>
        <v/>
      </c>
      <c r="AX188" s="29">
        <f>Intereses_Leasing_Mensual!R188</f>
        <v/>
      </c>
      <c r="AY188" s="29">
        <f>Amortizacion_Capital_Mensual!S188</f>
        <v/>
      </c>
      <c r="AZ188" s="29">
        <f>Saldos_Capital_Mensual!R188</f>
        <v/>
      </c>
      <c r="BA188" s="29">
        <f>Intereses_Residual_Mensual!R188</f>
        <v/>
      </c>
      <c r="BB188" s="29">
        <f>ROUND(AX188 + BA188, 2)</f>
        <v/>
      </c>
      <c r="BC188" s="29">
        <f>Intereses_Leasing_Mensual!S188</f>
        <v/>
      </c>
      <c r="BD188" s="29">
        <f>Amortizacion_Capital_Mensual!T188</f>
        <v/>
      </c>
      <c r="BE188" s="29">
        <f>Saldos_Capital_Mensual!S188</f>
        <v/>
      </c>
      <c r="BF188" s="29">
        <f>Intereses_Residual_Mensual!S188</f>
        <v/>
      </c>
      <c r="BG188" s="29">
        <f>ROUND(BC188 + BF188, 2)</f>
        <v/>
      </c>
      <c r="BH188" s="29">
        <f>Intereses_Leasing_Mensual!T188</f>
        <v/>
      </c>
      <c r="BI188" s="29">
        <f>Amortizacion_Capital_Mensual!U188</f>
        <v/>
      </c>
      <c r="BJ188" s="29">
        <f>Saldos_Capital_Mensual!T188</f>
        <v/>
      </c>
      <c r="BK188" s="29">
        <f>Intereses_Residual_Mensual!T188</f>
        <v/>
      </c>
      <c r="BL188" s="29">
        <f>ROUND(BH188 + BK188, 2)</f>
        <v/>
      </c>
    </row>
    <row r="189">
      <c r="A189" s="20" t="inlineStr">
        <is>
          <t>0708-0001</t>
        </is>
      </c>
      <c r="B189" s="21" t="inlineStr">
        <is>
          <t>Pumps Company Sa de Cv</t>
        </is>
      </c>
      <c r="C189" s="21" t="inlineStr">
        <is>
          <t>L200 Glx Diesel</t>
        </is>
      </c>
      <c r="D189" s="22" t="n">
        <v>36</v>
      </c>
      <c r="E189" s="23">
        <f>Intereses_Leasing_Mensual!I189</f>
        <v/>
      </c>
      <c r="F189" s="23">
        <f>Amortizacion_Capital_Mensual!J189</f>
        <v/>
      </c>
      <c r="G189" s="23">
        <f>Saldos_Capital_Mensual!I189</f>
        <v/>
      </c>
      <c r="H189" s="23">
        <f>Intereses_Residual_Mensual!I189</f>
        <v/>
      </c>
      <c r="I189" s="23">
        <f>ROUND(E189 + H189, 2)</f>
        <v/>
      </c>
      <c r="J189" s="23">
        <f>Intereses_Leasing_Mensual!J189</f>
        <v/>
      </c>
      <c r="K189" s="23">
        <f>Amortizacion_Capital_Mensual!K189</f>
        <v/>
      </c>
      <c r="L189" s="23">
        <f>Saldos_Capital_Mensual!J189</f>
        <v/>
      </c>
      <c r="M189" s="23">
        <f>Intereses_Residual_Mensual!J189</f>
        <v/>
      </c>
      <c r="N189" s="23">
        <f>ROUND(J189 + M189, 2)</f>
        <v/>
      </c>
      <c r="O189" s="23">
        <f>Intereses_Leasing_Mensual!K189</f>
        <v/>
      </c>
      <c r="P189" s="23">
        <f>Amortizacion_Capital_Mensual!L189</f>
        <v/>
      </c>
      <c r="Q189" s="23">
        <f>Saldos_Capital_Mensual!K189</f>
        <v/>
      </c>
      <c r="R189" s="23">
        <f>Intereses_Residual_Mensual!K189</f>
        <v/>
      </c>
      <c r="S189" s="23">
        <f>ROUND(O189 + R189, 2)</f>
        <v/>
      </c>
      <c r="T189" s="23">
        <f>Intereses_Leasing_Mensual!L189</f>
        <v/>
      </c>
      <c r="U189" s="23">
        <f>Amortizacion_Capital_Mensual!M189</f>
        <v/>
      </c>
      <c r="V189" s="23">
        <f>Saldos_Capital_Mensual!L189</f>
        <v/>
      </c>
      <c r="W189" s="23">
        <f>Intereses_Residual_Mensual!L189</f>
        <v/>
      </c>
      <c r="X189" s="23">
        <f>ROUND(T189 + W189, 2)</f>
        <v/>
      </c>
      <c r="Y189" s="23">
        <f>Intereses_Leasing_Mensual!M189</f>
        <v/>
      </c>
      <c r="Z189" s="23">
        <f>Amortizacion_Capital_Mensual!N189</f>
        <v/>
      </c>
      <c r="AA189" s="23">
        <f>Saldos_Capital_Mensual!M189</f>
        <v/>
      </c>
      <c r="AB189" s="23">
        <f>Intereses_Residual_Mensual!M189</f>
        <v/>
      </c>
      <c r="AC189" s="23">
        <f>ROUND(Y189 + AB189, 2)</f>
        <v/>
      </c>
      <c r="AD189" s="23">
        <f>Intereses_Leasing_Mensual!N189</f>
        <v/>
      </c>
      <c r="AE189" s="23">
        <f>Amortizacion_Capital_Mensual!O189</f>
        <v/>
      </c>
      <c r="AF189" s="23">
        <f>Saldos_Capital_Mensual!N189</f>
        <v/>
      </c>
      <c r="AG189" s="23">
        <f>Intereses_Residual_Mensual!N189</f>
        <v/>
      </c>
      <c r="AH189" s="23">
        <f>ROUND(AD189 + AG189, 2)</f>
        <v/>
      </c>
      <c r="AI189" s="23">
        <f>Intereses_Leasing_Mensual!O189</f>
        <v/>
      </c>
      <c r="AJ189" s="23">
        <f>Amortizacion_Capital_Mensual!P189</f>
        <v/>
      </c>
      <c r="AK189" s="23">
        <f>Saldos_Capital_Mensual!O189</f>
        <v/>
      </c>
      <c r="AL189" s="23">
        <f>Intereses_Residual_Mensual!O189</f>
        <v/>
      </c>
      <c r="AM189" s="23">
        <f>ROUND(AI189 + AL189, 2)</f>
        <v/>
      </c>
      <c r="AN189" s="23">
        <f>Intereses_Leasing_Mensual!P189</f>
        <v/>
      </c>
      <c r="AO189" s="23">
        <f>Amortizacion_Capital_Mensual!Q189</f>
        <v/>
      </c>
      <c r="AP189" s="23">
        <f>Saldos_Capital_Mensual!P189</f>
        <v/>
      </c>
      <c r="AQ189" s="23">
        <f>Intereses_Residual_Mensual!P189</f>
        <v/>
      </c>
      <c r="AR189" s="23">
        <f>ROUND(AN189 + AQ189, 2)</f>
        <v/>
      </c>
      <c r="AS189" s="23">
        <f>Intereses_Leasing_Mensual!Q189</f>
        <v/>
      </c>
      <c r="AT189" s="23">
        <f>Amortizacion_Capital_Mensual!R189</f>
        <v/>
      </c>
      <c r="AU189" s="23">
        <f>Saldos_Capital_Mensual!Q189</f>
        <v/>
      </c>
      <c r="AV189" s="23">
        <f>Intereses_Residual_Mensual!Q189</f>
        <v/>
      </c>
      <c r="AW189" s="23">
        <f>ROUND(AS189 + AV189, 2)</f>
        <v/>
      </c>
      <c r="AX189" s="23">
        <f>Intereses_Leasing_Mensual!R189</f>
        <v/>
      </c>
      <c r="AY189" s="23">
        <f>Amortizacion_Capital_Mensual!S189</f>
        <v/>
      </c>
      <c r="AZ189" s="23">
        <f>Saldos_Capital_Mensual!R189</f>
        <v/>
      </c>
      <c r="BA189" s="23">
        <f>Intereses_Residual_Mensual!R189</f>
        <v/>
      </c>
      <c r="BB189" s="23">
        <f>ROUND(AX189 + BA189, 2)</f>
        <v/>
      </c>
      <c r="BC189" s="23">
        <f>Intereses_Leasing_Mensual!S189</f>
        <v/>
      </c>
      <c r="BD189" s="23">
        <f>Amortizacion_Capital_Mensual!T189</f>
        <v/>
      </c>
      <c r="BE189" s="23">
        <f>Saldos_Capital_Mensual!S189</f>
        <v/>
      </c>
      <c r="BF189" s="23">
        <f>Intereses_Residual_Mensual!S189</f>
        <v/>
      </c>
      <c r="BG189" s="23">
        <f>ROUND(BC189 + BF189, 2)</f>
        <v/>
      </c>
      <c r="BH189" s="23">
        <f>Intereses_Leasing_Mensual!T189</f>
        <v/>
      </c>
      <c r="BI189" s="23">
        <f>Amortizacion_Capital_Mensual!U189</f>
        <v/>
      </c>
      <c r="BJ189" s="23">
        <f>Saldos_Capital_Mensual!T189</f>
        <v/>
      </c>
      <c r="BK189" s="23">
        <f>Intereses_Residual_Mensual!T189</f>
        <v/>
      </c>
      <c r="BL189" s="23">
        <f>ROUND(BH189 + BK189, 2)</f>
        <v/>
      </c>
    </row>
    <row r="190">
      <c r="A190" s="26" t="inlineStr">
        <is>
          <t>0708-0002</t>
        </is>
      </c>
      <c r="B190" s="27" t="inlineStr">
        <is>
          <t>Pumps Company Sa de Cv</t>
        </is>
      </c>
      <c r="C190" s="27" t="inlineStr">
        <is>
          <t>L200 Glx Diesel</t>
        </is>
      </c>
      <c r="D190" s="28" t="n">
        <v>36</v>
      </c>
      <c r="E190" s="29">
        <f>Intereses_Leasing_Mensual!I190</f>
        <v/>
      </c>
      <c r="F190" s="29">
        <f>Amortizacion_Capital_Mensual!J190</f>
        <v/>
      </c>
      <c r="G190" s="29">
        <f>Saldos_Capital_Mensual!I190</f>
        <v/>
      </c>
      <c r="H190" s="29">
        <f>Intereses_Residual_Mensual!I190</f>
        <v/>
      </c>
      <c r="I190" s="29">
        <f>ROUND(E190 + H190, 2)</f>
        <v/>
      </c>
      <c r="J190" s="29">
        <f>Intereses_Leasing_Mensual!J190</f>
        <v/>
      </c>
      <c r="K190" s="29">
        <f>Amortizacion_Capital_Mensual!K190</f>
        <v/>
      </c>
      <c r="L190" s="29">
        <f>Saldos_Capital_Mensual!J190</f>
        <v/>
      </c>
      <c r="M190" s="29">
        <f>Intereses_Residual_Mensual!J190</f>
        <v/>
      </c>
      <c r="N190" s="29">
        <f>ROUND(J190 + M190, 2)</f>
        <v/>
      </c>
      <c r="O190" s="29">
        <f>Intereses_Leasing_Mensual!K190</f>
        <v/>
      </c>
      <c r="P190" s="29">
        <f>Amortizacion_Capital_Mensual!L190</f>
        <v/>
      </c>
      <c r="Q190" s="29">
        <f>Saldos_Capital_Mensual!K190</f>
        <v/>
      </c>
      <c r="R190" s="29">
        <f>Intereses_Residual_Mensual!K190</f>
        <v/>
      </c>
      <c r="S190" s="29">
        <f>ROUND(O190 + R190, 2)</f>
        <v/>
      </c>
      <c r="T190" s="29">
        <f>Intereses_Leasing_Mensual!L190</f>
        <v/>
      </c>
      <c r="U190" s="29">
        <f>Amortizacion_Capital_Mensual!M190</f>
        <v/>
      </c>
      <c r="V190" s="29">
        <f>Saldos_Capital_Mensual!L190</f>
        <v/>
      </c>
      <c r="W190" s="29">
        <f>Intereses_Residual_Mensual!L190</f>
        <v/>
      </c>
      <c r="X190" s="29">
        <f>ROUND(T190 + W190, 2)</f>
        <v/>
      </c>
      <c r="Y190" s="29">
        <f>Intereses_Leasing_Mensual!M190</f>
        <v/>
      </c>
      <c r="Z190" s="29">
        <f>Amortizacion_Capital_Mensual!N190</f>
        <v/>
      </c>
      <c r="AA190" s="29">
        <f>Saldos_Capital_Mensual!M190</f>
        <v/>
      </c>
      <c r="AB190" s="29">
        <f>Intereses_Residual_Mensual!M190</f>
        <v/>
      </c>
      <c r="AC190" s="29">
        <f>ROUND(Y190 + AB190, 2)</f>
        <v/>
      </c>
      <c r="AD190" s="29">
        <f>Intereses_Leasing_Mensual!N190</f>
        <v/>
      </c>
      <c r="AE190" s="29">
        <f>Amortizacion_Capital_Mensual!O190</f>
        <v/>
      </c>
      <c r="AF190" s="29">
        <f>Saldos_Capital_Mensual!N190</f>
        <v/>
      </c>
      <c r="AG190" s="29">
        <f>Intereses_Residual_Mensual!N190</f>
        <v/>
      </c>
      <c r="AH190" s="29">
        <f>ROUND(AD190 + AG190, 2)</f>
        <v/>
      </c>
      <c r="AI190" s="29">
        <f>Intereses_Leasing_Mensual!O190</f>
        <v/>
      </c>
      <c r="AJ190" s="29">
        <f>Amortizacion_Capital_Mensual!P190</f>
        <v/>
      </c>
      <c r="AK190" s="29">
        <f>Saldos_Capital_Mensual!O190</f>
        <v/>
      </c>
      <c r="AL190" s="29">
        <f>Intereses_Residual_Mensual!O190</f>
        <v/>
      </c>
      <c r="AM190" s="29">
        <f>ROUND(AI190 + AL190, 2)</f>
        <v/>
      </c>
      <c r="AN190" s="29">
        <f>Intereses_Leasing_Mensual!P190</f>
        <v/>
      </c>
      <c r="AO190" s="29">
        <f>Amortizacion_Capital_Mensual!Q190</f>
        <v/>
      </c>
      <c r="AP190" s="29">
        <f>Saldos_Capital_Mensual!P190</f>
        <v/>
      </c>
      <c r="AQ190" s="29">
        <f>Intereses_Residual_Mensual!P190</f>
        <v/>
      </c>
      <c r="AR190" s="29">
        <f>ROUND(AN190 + AQ190, 2)</f>
        <v/>
      </c>
      <c r="AS190" s="29">
        <f>Intereses_Leasing_Mensual!Q190</f>
        <v/>
      </c>
      <c r="AT190" s="29">
        <f>Amortizacion_Capital_Mensual!R190</f>
        <v/>
      </c>
      <c r="AU190" s="29">
        <f>Saldos_Capital_Mensual!Q190</f>
        <v/>
      </c>
      <c r="AV190" s="29">
        <f>Intereses_Residual_Mensual!Q190</f>
        <v/>
      </c>
      <c r="AW190" s="29">
        <f>ROUND(AS190 + AV190, 2)</f>
        <v/>
      </c>
      <c r="AX190" s="29">
        <f>Intereses_Leasing_Mensual!R190</f>
        <v/>
      </c>
      <c r="AY190" s="29">
        <f>Amortizacion_Capital_Mensual!S190</f>
        <v/>
      </c>
      <c r="AZ190" s="29">
        <f>Saldos_Capital_Mensual!R190</f>
        <v/>
      </c>
      <c r="BA190" s="29">
        <f>Intereses_Residual_Mensual!R190</f>
        <v/>
      </c>
      <c r="BB190" s="29">
        <f>ROUND(AX190 + BA190, 2)</f>
        <v/>
      </c>
      <c r="BC190" s="29">
        <f>Intereses_Leasing_Mensual!S190</f>
        <v/>
      </c>
      <c r="BD190" s="29">
        <f>Amortizacion_Capital_Mensual!T190</f>
        <v/>
      </c>
      <c r="BE190" s="29">
        <f>Saldos_Capital_Mensual!S190</f>
        <v/>
      </c>
      <c r="BF190" s="29">
        <f>Intereses_Residual_Mensual!S190</f>
        <v/>
      </c>
      <c r="BG190" s="29">
        <f>ROUND(BC190 + BF190, 2)</f>
        <v/>
      </c>
      <c r="BH190" s="29">
        <f>Intereses_Leasing_Mensual!T190</f>
        <v/>
      </c>
      <c r="BI190" s="29">
        <f>Amortizacion_Capital_Mensual!U190</f>
        <v/>
      </c>
      <c r="BJ190" s="29">
        <f>Saldos_Capital_Mensual!T190</f>
        <v/>
      </c>
      <c r="BK190" s="29">
        <f>Intereses_Residual_Mensual!T190</f>
        <v/>
      </c>
      <c r="BL190" s="29">
        <f>ROUND(BH190 + BK190, 2)</f>
        <v/>
      </c>
    </row>
    <row r="191">
      <c r="A191" s="20" t="inlineStr">
        <is>
          <t>0712-0001</t>
        </is>
      </c>
      <c r="B191" s="21" t="inlineStr">
        <is>
          <t>Containers del Pacifico sa de cv</t>
        </is>
      </c>
      <c r="C191" s="21" t="inlineStr">
        <is>
          <t>Outlander Sport</t>
        </is>
      </c>
      <c r="D191" s="22" t="n">
        <v>36</v>
      </c>
      <c r="E191" s="23">
        <f>Intereses_Leasing_Mensual!I191</f>
        <v/>
      </c>
      <c r="F191" s="23">
        <f>Amortizacion_Capital_Mensual!J191</f>
        <v/>
      </c>
      <c r="G191" s="23">
        <f>Saldos_Capital_Mensual!I191</f>
        <v/>
      </c>
      <c r="H191" s="23">
        <f>Intereses_Residual_Mensual!I191</f>
        <v/>
      </c>
      <c r="I191" s="23">
        <f>ROUND(E191 + H191, 2)</f>
        <v/>
      </c>
      <c r="J191" s="23">
        <f>Intereses_Leasing_Mensual!J191</f>
        <v/>
      </c>
      <c r="K191" s="23">
        <f>Amortizacion_Capital_Mensual!K191</f>
        <v/>
      </c>
      <c r="L191" s="23">
        <f>Saldos_Capital_Mensual!J191</f>
        <v/>
      </c>
      <c r="M191" s="23">
        <f>Intereses_Residual_Mensual!J191</f>
        <v/>
      </c>
      <c r="N191" s="23">
        <f>ROUND(J191 + M191, 2)</f>
        <v/>
      </c>
      <c r="O191" s="23">
        <f>Intereses_Leasing_Mensual!K191</f>
        <v/>
      </c>
      <c r="P191" s="23">
        <f>Amortizacion_Capital_Mensual!L191</f>
        <v/>
      </c>
      <c r="Q191" s="23">
        <f>Saldos_Capital_Mensual!K191</f>
        <v/>
      </c>
      <c r="R191" s="23">
        <f>Intereses_Residual_Mensual!K191</f>
        <v/>
      </c>
      <c r="S191" s="23">
        <f>ROUND(O191 + R191, 2)</f>
        <v/>
      </c>
      <c r="T191" s="23">
        <f>Intereses_Leasing_Mensual!L191</f>
        <v/>
      </c>
      <c r="U191" s="23">
        <f>Amortizacion_Capital_Mensual!M191</f>
        <v/>
      </c>
      <c r="V191" s="23">
        <f>Saldos_Capital_Mensual!L191</f>
        <v/>
      </c>
      <c r="W191" s="23">
        <f>Intereses_Residual_Mensual!L191</f>
        <v/>
      </c>
      <c r="X191" s="23">
        <f>ROUND(T191 + W191, 2)</f>
        <v/>
      </c>
      <c r="Y191" s="23">
        <f>Intereses_Leasing_Mensual!M191</f>
        <v/>
      </c>
      <c r="Z191" s="23">
        <f>Amortizacion_Capital_Mensual!N191</f>
        <v/>
      </c>
      <c r="AA191" s="23">
        <f>Saldos_Capital_Mensual!M191</f>
        <v/>
      </c>
      <c r="AB191" s="23">
        <f>Intereses_Residual_Mensual!M191</f>
        <v/>
      </c>
      <c r="AC191" s="23">
        <f>ROUND(Y191 + AB191, 2)</f>
        <v/>
      </c>
      <c r="AD191" s="23">
        <f>Intereses_Leasing_Mensual!N191</f>
        <v/>
      </c>
      <c r="AE191" s="23">
        <f>Amortizacion_Capital_Mensual!O191</f>
        <v/>
      </c>
      <c r="AF191" s="23">
        <f>Saldos_Capital_Mensual!N191</f>
        <v/>
      </c>
      <c r="AG191" s="23">
        <f>Intereses_Residual_Mensual!N191</f>
        <v/>
      </c>
      <c r="AH191" s="23">
        <f>ROUND(AD191 + AG191, 2)</f>
        <v/>
      </c>
      <c r="AI191" s="23">
        <f>Intereses_Leasing_Mensual!O191</f>
        <v/>
      </c>
      <c r="AJ191" s="23">
        <f>Amortizacion_Capital_Mensual!P191</f>
        <v/>
      </c>
      <c r="AK191" s="23">
        <f>Saldos_Capital_Mensual!O191</f>
        <v/>
      </c>
      <c r="AL191" s="23">
        <f>Intereses_Residual_Mensual!O191</f>
        <v/>
      </c>
      <c r="AM191" s="23">
        <f>ROUND(AI191 + AL191, 2)</f>
        <v/>
      </c>
      <c r="AN191" s="23">
        <f>Intereses_Leasing_Mensual!P191</f>
        <v/>
      </c>
      <c r="AO191" s="23">
        <f>Amortizacion_Capital_Mensual!Q191</f>
        <v/>
      </c>
      <c r="AP191" s="23">
        <f>Saldos_Capital_Mensual!P191</f>
        <v/>
      </c>
      <c r="AQ191" s="23">
        <f>Intereses_Residual_Mensual!P191</f>
        <v/>
      </c>
      <c r="AR191" s="23">
        <f>ROUND(AN191 + AQ191, 2)</f>
        <v/>
      </c>
      <c r="AS191" s="23">
        <f>Intereses_Leasing_Mensual!Q191</f>
        <v/>
      </c>
      <c r="AT191" s="23">
        <f>Amortizacion_Capital_Mensual!R191</f>
        <v/>
      </c>
      <c r="AU191" s="23">
        <f>Saldos_Capital_Mensual!Q191</f>
        <v/>
      </c>
      <c r="AV191" s="23">
        <f>Intereses_Residual_Mensual!Q191</f>
        <v/>
      </c>
      <c r="AW191" s="23">
        <f>ROUND(AS191 + AV191, 2)</f>
        <v/>
      </c>
      <c r="AX191" s="23">
        <f>Intereses_Leasing_Mensual!R191</f>
        <v/>
      </c>
      <c r="AY191" s="23">
        <f>Amortizacion_Capital_Mensual!S191</f>
        <v/>
      </c>
      <c r="AZ191" s="23">
        <f>Saldos_Capital_Mensual!R191</f>
        <v/>
      </c>
      <c r="BA191" s="23">
        <f>Intereses_Residual_Mensual!R191</f>
        <v/>
      </c>
      <c r="BB191" s="23">
        <f>ROUND(AX191 + BA191, 2)</f>
        <v/>
      </c>
      <c r="BC191" s="23">
        <f>Intereses_Leasing_Mensual!S191</f>
        <v/>
      </c>
      <c r="BD191" s="23">
        <f>Amortizacion_Capital_Mensual!T191</f>
        <v/>
      </c>
      <c r="BE191" s="23">
        <f>Saldos_Capital_Mensual!S191</f>
        <v/>
      </c>
      <c r="BF191" s="23">
        <f>Intereses_Residual_Mensual!S191</f>
        <v/>
      </c>
      <c r="BG191" s="23">
        <f>ROUND(BC191 + BF191, 2)</f>
        <v/>
      </c>
      <c r="BH191" s="23">
        <f>Intereses_Leasing_Mensual!T191</f>
        <v/>
      </c>
      <c r="BI191" s="23">
        <f>Amortizacion_Capital_Mensual!U191</f>
        <v/>
      </c>
      <c r="BJ191" s="23">
        <f>Saldos_Capital_Mensual!T191</f>
        <v/>
      </c>
      <c r="BK191" s="23">
        <f>Intereses_Residual_Mensual!T191</f>
        <v/>
      </c>
      <c r="BL191" s="23">
        <f>ROUND(BH191 + BK191, 2)</f>
        <v/>
      </c>
    </row>
    <row r="192">
      <c r="A192" s="26" t="inlineStr">
        <is>
          <t>0712-0002</t>
        </is>
      </c>
      <c r="B192" s="27" t="inlineStr">
        <is>
          <t>Containers del Pacifico sa de cv</t>
        </is>
      </c>
      <c r="C192" s="27" t="inlineStr">
        <is>
          <t>Np300</t>
        </is>
      </c>
      <c r="D192" s="28" t="n">
        <v>36</v>
      </c>
      <c r="E192" s="29">
        <f>Intereses_Leasing_Mensual!I192</f>
        <v/>
      </c>
      <c r="F192" s="29">
        <f>Amortizacion_Capital_Mensual!J192</f>
        <v/>
      </c>
      <c r="G192" s="29">
        <f>Saldos_Capital_Mensual!I192</f>
        <v/>
      </c>
      <c r="H192" s="29">
        <f>Intereses_Residual_Mensual!I192</f>
        <v/>
      </c>
      <c r="I192" s="29">
        <f>ROUND(E192 + H192, 2)</f>
        <v/>
      </c>
      <c r="J192" s="29">
        <f>Intereses_Leasing_Mensual!J192</f>
        <v/>
      </c>
      <c r="K192" s="29">
        <f>Amortizacion_Capital_Mensual!K192</f>
        <v/>
      </c>
      <c r="L192" s="29">
        <f>Saldos_Capital_Mensual!J192</f>
        <v/>
      </c>
      <c r="M192" s="29">
        <f>Intereses_Residual_Mensual!J192</f>
        <v/>
      </c>
      <c r="N192" s="29">
        <f>ROUND(J192 + M192, 2)</f>
        <v/>
      </c>
      <c r="O192" s="29">
        <f>Intereses_Leasing_Mensual!K192</f>
        <v/>
      </c>
      <c r="P192" s="29">
        <f>Amortizacion_Capital_Mensual!L192</f>
        <v/>
      </c>
      <c r="Q192" s="29">
        <f>Saldos_Capital_Mensual!K192</f>
        <v/>
      </c>
      <c r="R192" s="29">
        <f>Intereses_Residual_Mensual!K192</f>
        <v/>
      </c>
      <c r="S192" s="29">
        <f>ROUND(O192 + R192, 2)</f>
        <v/>
      </c>
      <c r="T192" s="29">
        <f>Intereses_Leasing_Mensual!L192</f>
        <v/>
      </c>
      <c r="U192" s="29">
        <f>Amortizacion_Capital_Mensual!M192</f>
        <v/>
      </c>
      <c r="V192" s="29">
        <f>Saldos_Capital_Mensual!L192</f>
        <v/>
      </c>
      <c r="W192" s="29">
        <f>Intereses_Residual_Mensual!L192</f>
        <v/>
      </c>
      <c r="X192" s="29">
        <f>ROUND(T192 + W192, 2)</f>
        <v/>
      </c>
      <c r="Y192" s="29">
        <f>Intereses_Leasing_Mensual!M192</f>
        <v/>
      </c>
      <c r="Z192" s="29">
        <f>Amortizacion_Capital_Mensual!N192</f>
        <v/>
      </c>
      <c r="AA192" s="29">
        <f>Saldos_Capital_Mensual!M192</f>
        <v/>
      </c>
      <c r="AB192" s="29">
        <f>Intereses_Residual_Mensual!M192</f>
        <v/>
      </c>
      <c r="AC192" s="29">
        <f>ROUND(Y192 + AB192, 2)</f>
        <v/>
      </c>
      <c r="AD192" s="29">
        <f>Intereses_Leasing_Mensual!N192</f>
        <v/>
      </c>
      <c r="AE192" s="29">
        <f>Amortizacion_Capital_Mensual!O192</f>
        <v/>
      </c>
      <c r="AF192" s="29">
        <f>Saldos_Capital_Mensual!N192</f>
        <v/>
      </c>
      <c r="AG192" s="29">
        <f>Intereses_Residual_Mensual!N192</f>
        <v/>
      </c>
      <c r="AH192" s="29">
        <f>ROUND(AD192 + AG192, 2)</f>
        <v/>
      </c>
      <c r="AI192" s="29">
        <f>Intereses_Leasing_Mensual!O192</f>
        <v/>
      </c>
      <c r="AJ192" s="29">
        <f>Amortizacion_Capital_Mensual!P192</f>
        <v/>
      </c>
      <c r="AK192" s="29">
        <f>Saldos_Capital_Mensual!O192</f>
        <v/>
      </c>
      <c r="AL192" s="29">
        <f>Intereses_Residual_Mensual!O192</f>
        <v/>
      </c>
      <c r="AM192" s="29">
        <f>ROUND(AI192 + AL192, 2)</f>
        <v/>
      </c>
      <c r="AN192" s="29">
        <f>Intereses_Leasing_Mensual!P192</f>
        <v/>
      </c>
      <c r="AO192" s="29">
        <f>Amortizacion_Capital_Mensual!Q192</f>
        <v/>
      </c>
      <c r="AP192" s="29">
        <f>Saldos_Capital_Mensual!P192</f>
        <v/>
      </c>
      <c r="AQ192" s="29">
        <f>Intereses_Residual_Mensual!P192</f>
        <v/>
      </c>
      <c r="AR192" s="29">
        <f>ROUND(AN192 + AQ192, 2)</f>
        <v/>
      </c>
      <c r="AS192" s="29">
        <f>Intereses_Leasing_Mensual!Q192</f>
        <v/>
      </c>
      <c r="AT192" s="29">
        <f>Amortizacion_Capital_Mensual!R192</f>
        <v/>
      </c>
      <c r="AU192" s="29">
        <f>Saldos_Capital_Mensual!Q192</f>
        <v/>
      </c>
      <c r="AV192" s="29">
        <f>Intereses_Residual_Mensual!Q192</f>
        <v/>
      </c>
      <c r="AW192" s="29">
        <f>ROUND(AS192 + AV192, 2)</f>
        <v/>
      </c>
      <c r="AX192" s="29">
        <f>Intereses_Leasing_Mensual!R192</f>
        <v/>
      </c>
      <c r="AY192" s="29">
        <f>Amortizacion_Capital_Mensual!S192</f>
        <v/>
      </c>
      <c r="AZ192" s="29">
        <f>Saldos_Capital_Mensual!R192</f>
        <v/>
      </c>
      <c r="BA192" s="29">
        <f>Intereses_Residual_Mensual!R192</f>
        <v/>
      </c>
      <c r="BB192" s="29">
        <f>ROUND(AX192 + BA192, 2)</f>
        <v/>
      </c>
      <c r="BC192" s="29">
        <f>Intereses_Leasing_Mensual!S192</f>
        <v/>
      </c>
      <c r="BD192" s="29">
        <f>Amortizacion_Capital_Mensual!T192</f>
        <v/>
      </c>
      <c r="BE192" s="29">
        <f>Saldos_Capital_Mensual!S192</f>
        <v/>
      </c>
      <c r="BF192" s="29">
        <f>Intereses_Residual_Mensual!S192</f>
        <v/>
      </c>
      <c r="BG192" s="29">
        <f>ROUND(BC192 + BF192, 2)</f>
        <v/>
      </c>
      <c r="BH192" s="29">
        <f>Intereses_Leasing_Mensual!T192</f>
        <v/>
      </c>
      <c r="BI192" s="29">
        <f>Amortizacion_Capital_Mensual!U192</f>
        <v/>
      </c>
      <c r="BJ192" s="29">
        <f>Saldos_Capital_Mensual!T192</f>
        <v/>
      </c>
      <c r="BK192" s="29">
        <f>Intereses_Residual_Mensual!T192</f>
        <v/>
      </c>
      <c r="BL192" s="29">
        <f>ROUND(BH192 + BK192, 2)</f>
        <v/>
      </c>
    </row>
    <row r="193">
      <c r="A193" s="20" t="inlineStr">
        <is>
          <t>0712-0003</t>
        </is>
      </c>
      <c r="B193" s="21" t="inlineStr">
        <is>
          <t>Containers del Pacifico sa de cv</t>
        </is>
      </c>
      <c r="C193" s="21" t="inlineStr">
        <is>
          <t>Np300</t>
        </is>
      </c>
      <c r="D193" s="22" t="n">
        <v>36</v>
      </c>
      <c r="E193" s="23">
        <f>Intereses_Leasing_Mensual!I193</f>
        <v/>
      </c>
      <c r="F193" s="23">
        <f>Amortizacion_Capital_Mensual!J193</f>
        <v/>
      </c>
      <c r="G193" s="23">
        <f>Saldos_Capital_Mensual!I193</f>
        <v/>
      </c>
      <c r="H193" s="23">
        <f>Intereses_Residual_Mensual!I193</f>
        <v/>
      </c>
      <c r="I193" s="23">
        <f>ROUND(E193 + H193, 2)</f>
        <v/>
      </c>
      <c r="J193" s="23">
        <f>Intereses_Leasing_Mensual!J193</f>
        <v/>
      </c>
      <c r="K193" s="23">
        <f>Amortizacion_Capital_Mensual!K193</f>
        <v/>
      </c>
      <c r="L193" s="23">
        <f>Saldos_Capital_Mensual!J193</f>
        <v/>
      </c>
      <c r="M193" s="23">
        <f>Intereses_Residual_Mensual!J193</f>
        <v/>
      </c>
      <c r="N193" s="23">
        <f>ROUND(J193 + M193, 2)</f>
        <v/>
      </c>
      <c r="O193" s="23">
        <f>Intereses_Leasing_Mensual!K193</f>
        <v/>
      </c>
      <c r="P193" s="23">
        <f>Amortizacion_Capital_Mensual!L193</f>
        <v/>
      </c>
      <c r="Q193" s="23">
        <f>Saldos_Capital_Mensual!K193</f>
        <v/>
      </c>
      <c r="R193" s="23">
        <f>Intereses_Residual_Mensual!K193</f>
        <v/>
      </c>
      <c r="S193" s="23">
        <f>ROUND(O193 + R193, 2)</f>
        <v/>
      </c>
      <c r="T193" s="23">
        <f>Intereses_Leasing_Mensual!L193</f>
        <v/>
      </c>
      <c r="U193" s="23">
        <f>Amortizacion_Capital_Mensual!M193</f>
        <v/>
      </c>
      <c r="V193" s="23">
        <f>Saldos_Capital_Mensual!L193</f>
        <v/>
      </c>
      <c r="W193" s="23">
        <f>Intereses_Residual_Mensual!L193</f>
        <v/>
      </c>
      <c r="X193" s="23">
        <f>ROUND(T193 + W193, 2)</f>
        <v/>
      </c>
      <c r="Y193" s="23">
        <f>Intereses_Leasing_Mensual!M193</f>
        <v/>
      </c>
      <c r="Z193" s="23">
        <f>Amortizacion_Capital_Mensual!N193</f>
        <v/>
      </c>
      <c r="AA193" s="23">
        <f>Saldos_Capital_Mensual!M193</f>
        <v/>
      </c>
      <c r="AB193" s="23">
        <f>Intereses_Residual_Mensual!M193</f>
        <v/>
      </c>
      <c r="AC193" s="23">
        <f>ROUND(Y193 + AB193, 2)</f>
        <v/>
      </c>
      <c r="AD193" s="23">
        <f>Intereses_Leasing_Mensual!N193</f>
        <v/>
      </c>
      <c r="AE193" s="23">
        <f>Amortizacion_Capital_Mensual!O193</f>
        <v/>
      </c>
      <c r="AF193" s="23">
        <f>Saldos_Capital_Mensual!N193</f>
        <v/>
      </c>
      <c r="AG193" s="23">
        <f>Intereses_Residual_Mensual!N193</f>
        <v/>
      </c>
      <c r="AH193" s="23">
        <f>ROUND(AD193 + AG193, 2)</f>
        <v/>
      </c>
      <c r="AI193" s="23">
        <f>Intereses_Leasing_Mensual!O193</f>
        <v/>
      </c>
      <c r="AJ193" s="23">
        <f>Amortizacion_Capital_Mensual!P193</f>
        <v/>
      </c>
      <c r="AK193" s="23">
        <f>Saldos_Capital_Mensual!O193</f>
        <v/>
      </c>
      <c r="AL193" s="23">
        <f>Intereses_Residual_Mensual!O193</f>
        <v/>
      </c>
      <c r="AM193" s="23">
        <f>ROUND(AI193 + AL193, 2)</f>
        <v/>
      </c>
      <c r="AN193" s="23">
        <f>Intereses_Leasing_Mensual!P193</f>
        <v/>
      </c>
      <c r="AO193" s="23">
        <f>Amortizacion_Capital_Mensual!Q193</f>
        <v/>
      </c>
      <c r="AP193" s="23">
        <f>Saldos_Capital_Mensual!P193</f>
        <v/>
      </c>
      <c r="AQ193" s="23">
        <f>Intereses_Residual_Mensual!P193</f>
        <v/>
      </c>
      <c r="AR193" s="23">
        <f>ROUND(AN193 + AQ193, 2)</f>
        <v/>
      </c>
      <c r="AS193" s="23">
        <f>Intereses_Leasing_Mensual!Q193</f>
        <v/>
      </c>
      <c r="AT193" s="23">
        <f>Amortizacion_Capital_Mensual!R193</f>
        <v/>
      </c>
      <c r="AU193" s="23">
        <f>Saldos_Capital_Mensual!Q193</f>
        <v/>
      </c>
      <c r="AV193" s="23">
        <f>Intereses_Residual_Mensual!Q193</f>
        <v/>
      </c>
      <c r="AW193" s="23">
        <f>ROUND(AS193 + AV193, 2)</f>
        <v/>
      </c>
      <c r="AX193" s="23">
        <f>Intereses_Leasing_Mensual!R193</f>
        <v/>
      </c>
      <c r="AY193" s="23">
        <f>Amortizacion_Capital_Mensual!S193</f>
        <v/>
      </c>
      <c r="AZ193" s="23">
        <f>Saldos_Capital_Mensual!R193</f>
        <v/>
      </c>
      <c r="BA193" s="23">
        <f>Intereses_Residual_Mensual!R193</f>
        <v/>
      </c>
      <c r="BB193" s="23">
        <f>ROUND(AX193 + BA193, 2)</f>
        <v/>
      </c>
      <c r="BC193" s="23">
        <f>Intereses_Leasing_Mensual!S193</f>
        <v/>
      </c>
      <c r="BD193" s="23">
        <f>Amortizacion_Capital_Mensual!T193</f>
        <v/>
      </c>
      <c r="BE193" s="23">
        <f>Saldos_Capital_Mensual!S193</f>
        <v/>
      </c>
      <c r="BF193" s="23">
        <f>Intereses_Residual_Mensual!S193</f>
        <v/>
      </c>
      <c r="BG193" s="23">
        <f>ROUND(BC193 + BF193, 2)</f>
        <v/>
      </c>
      <c r="BH193" s="23">
        <f>Intereses_Leasing_Mensual!T193</f>
        <v/>
      </c>
      <c r="BI193" s="23">
        <f>Amortizacion_Capital_Mensual!U193</f>
        <v/>
      </c>
      <c r="BJ193" s="23">
        <f>Saldos_Capital_Mensual!T193</f>
        <v/>
      </c>
      <c r="BK193" s="23">
        <f>Intereses_Residual_Mensual!T193</f>
        <v/>
      </c>
      <c r="BL193" s="23">
        <f>ROUND(BH193 + BK193, 2)</f>
        <v/>
      </c>
    </row>
    <row r="194">
      <c r="A194" s="26" t="inlineStr">
        <is>
          <t>0713-0001</t>
        </is>
      </c>
      <c r="B194" s="27" t="inlineStr">
        <is>
          <t>Ana Carolina Urzua Lopez</t>
        </is>
      </c>
      <c r="C194" s="27" t="inlineStr">
        <is>
          <t>Ram 1200</t>
        </is>
      </c>
      <c r="D194" s="28" t="n">
        <v>24</v>
      </c>
      <c r="E194" s="29">
        <f>Intereses_Leasing_Mensual!I194</f>
        <v/>
      </c>
      <c r="F194" s="29">
        <f>Amortizacion_Capital_Mensual!J194</f>
        <v/>
      </c>
      <c r="G194" s="29">
        <f>Saldos_Capital_Mensual!I194</f>
        <v/>
      </c>
      <c r="H194" s="29">
        <f>Intereses_Residual_Mensual!I194</f>
        <v/>
      </c>
      <c r="I194" s="29">
        <f>ROUND(E194 + H194, 2)</f>
        <v/>
      </c>
      <c r="J194" s="29">
        <f>Intereses_Leasing_Mensual!J194</f>
        <v/>
      </c>
      <c r="K194" s="29">
        <f>Amortizacion_Capital_Mensual!K194</f>
        <v/>
      </c>
      <c r="L194" s="29">
        <f>Saldos_Capital_Mensual!J194</f>
        <v/>
      </c>
      <c r="M194" s="29">
        <f>Intereses_Residual_Mensual!J194</f>
        <v/>
      </c>
      <c r="N194" s="29">
        <f>ROUND(J194 + M194, 2)</f>
        <v/>
      </c>
      <c r="O194" s="29">
        <f>Intereses_Leasing_Mensual!K194</f>
        <v/>
      </c>
      <c r="P194" s="29">
        <f>Amortizacion_Capital_Mensual!L194</f>
        <v/>
      </c>
      <c r="Q194" s="29">
        <f>Saldos_Capital_Mensual!K194</f>
        <v/>
      </c>
      <c r="R194" s="29">
        <f>Intereses_Residual_Mensual!K194</f>
        <v/>
      </c>
      <c r="S194" s="29">
        <f>ROUND(O194 + R194, 2)</f>
        <v/>
      </c>
      <c r="T194" s="29">
        <f>Intereses_Leasing_Mensual!L194</f>
        <v/>
      </c>
      <c r="U194" s="29">
        <f>Amortizacion_Capital_Mensual!M194</f>
        <v/>
      </c>
      <c r="V194" s="29">
        <f>Saldos_Capital_Mensual!L194</f>
        <v/>
      </c>
      <c r="W194" s="29">
        <f>Intereses_Residual_Mensual!L194</f>
        <v/>
      </c>
      <c r="X194" s="29">
        <f>ROUND(T194 + W194, 2)</f>
        <v/>
      </c>
      <c r="Y194" s="29">
        <f>Intereses_Leasing_Mensual!M194</f>
        <v/>
      </c>
      <c r="Z194" s="29">
        <f>Amortizacion_Capital_Mensual!N194</f>
        <v/>
      </c>
      <c r="AA194" s="29">
        <f>Saldos_Capital_Mensual!M194</f>
        <v/>
      </c>
      <c r="AB194" s="29">
        <f>Intereses_Residual_Mensual!M194</f>
        <v/>
      </c>
      <c r="AC194" s="29">
        <f>ROUND(Y194 + AB194, 2)</f>
        <v/>
      </c>
      <c r="AD194" s="29">
        <f>Intereses_Leasing_Mensual!N194</f>
        <v/>
      </c>
      <c r="AE194" s="29">
        <f>Amortizacion_Capital_Mensual!O194</f>
        <v/>
      </c>
      <c r="AF194" s="29">
        <f>Saldos_Capital_Mensual!N194</f>
        <v/>
      </c>
      <c r="AG194" s="29">
        <f>Intereses_Residual_Mensual!N194</f>
        <v/>
      </c>
      <c r="AH194" s="29">
        <f>ROUND(AD194 + AG194, 2)</f>
        <v/>
      </c>
      <c r="AI194" s="29">
        <f>Intereses_Leasing_Mensual!O194</f>
        <v/>
      </c>
      <c r="AJ194" s="29">
        <f>Amortizacion_Capital_Mensual!P194</f>
        <v/>
      </c>
      <c r="AK194" s="29">
        <f>Saldos_Capital_Mensual!O194</f>
        <v/>
      </c>
      <c r="AL194" s="29">
        <f>Intereses_Residual_Mensual!O194</f>
        <v/>
      </c>
      <c r="AM194" s="29">
        <f>ROUND(AI194 + AL194, 2)</f>
        <v/>
      </c>
      <c r="AN194" s="29">
        <f>Intereses_Leasing_Mensual!P194</f>
        <v/>
      </c>
      <c r="AO194" s="29">
        <f>Amortizacion_Capital_Mensual!Q194</f>
        <v/>
      </c>
      <c r="AP194" s="29">
        <f>Saldos_Capital_Mensual!P194</f>
        <v/>
      </c>
      <c r="AQ194" s="29">
        <f>Intereses_Residual_Mensual!P194</f>
        <v/>
      </c>
      <c r="AR194" s="29">
        <f>ROUND(AN194 + AQ194, 2)</f>
        <v/>
      </c>
      <c r="AS194" s="29">
        <f>Intereses_Leasing_Mensual!Q194</f>
        <v/>
      </c>
      <c r="AT194" s="29">
        <f>Amortizacion_Capital_Mensual!R194</f>
        <v/>
      </c>
      <c r="AU194" s="29">
        <f>Saldos_Capital_Mensual!Q194</f>
        <v/>
      </c>
      <c r="AV194" s="29">
        <f>Intereses_Residual_Mensual!Q194</f>
        <v/>
      </c>
      <c r="AW194" s="29">
        <f>ROUND(AS194 + AV194, 2)</f>
        <v/>
      </c>
      <c r="AX194" s="29">
        <f>Intereses_Leasing_Mensual!R194</f>
        <v/>
      </c>
      <c r="AY194" s="29">
        <f>Amortizacion_Capital_Mensual!S194</f>
        <v/>
      </c>
      <c r="AZ194" s="29">
        <f>Saldos_Capital_Mensual!R194</f>
        <v/>
      </c>
      <c r="BA194" s="29">
        <f>Intereses_Residual_Mensual!R194</f>
        <v/>
      </c>
      <c r="BB194" s="29">
        <f>ROUND(AX194 + BA194, 2)</f>
        <v/>
      </c>
      <c r="BC194" s="29">
        <f>Intereses_Leasing_Mensual!S194</f>
        <v/>
      </c>
      <c r="BD194" s="29">
        <f>Amortizacion_Capital_Mensual!T194</f>
        <v/>
      </c>
      <c r="BE194" s="29">
        <f>Saldos_Capital_Mensual!S194</f>
        <v/>
      </c>
      <c r="BF194" s="29">
        <f>Intereses_Residual_Mensual!S194</f>
        <v/>
      </c>
      <c r="BG194" s="29">
        <f>ROUND(BC194 + BF194, 2)</f>
        <v/>
      </c>
      <c r="BH194" s="29">
        <f>Intereses_Leasing_Mensual!T194</f>
        <v/>
      </c>
      <c r="BI194" s="29">
        <f>Amortizacion_Capital_Mensual!U194</f>
        <v/>
      </c>
      <c r="BJ194" s="29">
        <f>Saldos_Capital_Mensual!T194</f>
        <v/>
      </c>
      <c r="BK194" s="29">
        <f>Intereses_Residual_Mensual!T194</f>
        <v/>
      </c>
      <c r="BL194" s="29">
        <f>ROUND(BH194 + BK194, 2)</f>
        <v/>
      </c>
    </row>
    <row r="195">
      <c r="A195" s="20" t="inlineStr">
        <is>
          <t>0714-0001</t>
        </is>
      </c>
      <c r="B195" s="21" t="inlineStr">
        <is>
          <t>Celeste Capital Aj</t>
        </is>
      </c>
      <c r="C195" s="21" t="inlineStr">
        <is>
          <t>Wrangler 4Xe</t>
        </is>
      </c>
      <c r="D195" s="22" t="n">
        <v>48</v>
      </c>
      <c r="E195" s="23">
        <f>Intereses_Leasing_Mensual!I195</f>
        <v/>
      </c>
      <c r="F195" s="23">
        <f>Amortizacion_Capital_Mensual!J195</f>
        <v/>
      </c>
      <c r="G195" s="23">
        <f>Saldos_Capital_Mensual!I195</f>
        <v/>
      </c>
      <c r="H195" s="23">
        <f>Intereses_Residual_Mensual!I195</f>
        <v/>
      </c>
      <c r="I195" s="23">
        <f>ROUND(E195 + H195, 2)</f>
        <v/>
      </c>
      <c r="J195" s="23">
        <f>Intereses_Leasing_Mensual!J195</f>
        <v/>
      </c>
      <c r="K195" s="23">
        <f>Amortizacion_Capital_Mensual!K195</f>
        <v/>
      </c>
      <c r="L195" s="23">
        <f>Saldos_Capital_Mensual!J195</f>
        <v/>
      </c>
      <c r="M195" s="23">
        <f>Intereses_Residual_Mensual!J195</f>
        <v/>
      </c>
      <c r="N195" s="23">
        <f>ROUND(J195 + M195, 2)</f>
        <v/>
      </c>
      <c r="O195" s="23">
        <f>Intereses_Leasing_Mensual!K195</f>
        <v/>
      </c>
      <c r="P195" s="23">
        <f>Amortizacion_Capital_Mensual!L195</f>
        <v/>
      </c>
      <c r="Q195" s="23">
        <f>Saldos_Capital_Mensual!K195</f>
        <v/>
      </c>
      <c r="R195" s="23">
        <f>Intereses_Residual_Mensual!K195</f>
        <v/>
      </c>
      <c r="S195" s="23">
        <f>ROUND(O195 + R195, 2)</f>
        <v/>
      </c>
      <c r="T195" s="23">
        <f>Intereses_Leasing_Mensual!L195</f>
        <v/>
      </c>
      <c r="U195" s="23">
        <f>Amortizacion_Capital_Mensual!M195</f>
        <v/>
      </c>
      <c r="V195" s="23">
        <f>Saldos_Capital_Mensual!L195</f>
        <v/>
      </c>
      <c r="W195" s="23">
        <f>Intereses_Residual_Mensual!L195</f>
        <v/>
      </c>
      <c r="X195" s="23">
        <f>ROUND(T195 + W195, 2)</f>
        <v/>
      </c>
      <c r="Y195" s="23">
        <f>Intereses_Leasing_Mensual!M195</f>
        <v/>
      </c>
      <c r="Z195" s="23">
        <f>Amortizacion_Capital_Mensual!N195</f>
        <v/>
      </c>
      <c r="AA195" s="23">
        <f>Saldos_Capital_Mensual!M195</f>
        <v/>
      </c>
      <c r="AB195" s="23">
        <f>Intereses_Residual_Mensual!M195</f>
        <v/>
      </c>
      <c r="AC195" s="23">
        <f>ROUND(Y195 + AB195, 2)</f>
        <v/>
      </c>
      <c r="AD195" s="23">
        <f>Intereses_Leasing_Mensual!N195</f>
        <v/>
      </c>
      <c r="AE195" s="23">
        <f>Amortizacion_Capital_Mensual!O195</f>
        <v/>
      </c>
      <c r="AF195" s="23">
        <f>Saldos_Capital_Mensual!N195</f>
        <v/>
      </c>
      <c r="AG195" s="23">
        <f>Intereses_Residual_Mensual!N195</f>
        <v/>
      </c>
      <c r="AH195" s="23">
        <f>ROUND(AD195 + AG195, 2)</f>
        <v/>
      </c>
      <c r="AI195" s="23">
        <f>Intereses_Leasing_Mensual!O195</f>
        <v/>
      </c>
      <c r="AJ195" s="23">
        <f>Amortizacion_Capital_Mensual!P195</f>
        <v/>
      </c>
      <c r="AK195" s="23">
        <f>Saldos_Capital_Mensual!O195</f>
        <v/>
      </c>
      <c r="AL195" s="23">
        <f>Intereses_Residual_Mensual!O195</f>
        <v/>
      </c>
      <c r="AM195" s="23">
        <f>ROUND(AI195 + AL195, 2)</f>
        <v/>
      </c>
      <c r="AN195" s="23">
        <f>Intereses_Leasing_Mensual!P195</f>
        <v/>
      </c>
      <c r="AO195" s="23">
        <f>Amortizacion_Capital_Mensual!Q195</f>
        <v/>
      </c>
      <c r="AP195" s="23">
        <f>Saldos_Capital_Mensual!P195</f>
        <v/>
      </c>
      <c r="AQ195" s="23">
        <f>Intereses_Residual_Mensual!P195</f>
        <v/>
      </c>
      <c r="AR195" s="23">
        <f>ROUND(AN195 + AQ195, 2)</f>
        <v/>
      </c>
      <c r="AS195" s="23">
        <f>Intereses_Leasing_Mensual!Q195</f>
        <v/>
      </c>
      <c r="AT195" s="23">
        <f>Amortizacion_Capital_Mensual!R195</f>
        <v/>
      </c>
      <c r="AU195" s="23">
        <f>Saldos_Capital_Mensual!Q195</f>
        <v/>
      </c>
      <c r="AV195" s="23">
        <f>Intereses_Residual_Mensual!Q195</f>
        <v/>
      </c>
      <c r="AW195" s="23">
        <f>ROUND(AS195 + AV195, 2)</f>
        <v/>
      </c>
      <c r="AX195" s="23">
        <f>Intereses_Leasing_Mensual!R195</f>
        <v/>
      </c>
      <c r="AY195" s="23">
        <f>Amortizacion_Capital_Mensual!S195</f>
        <v/>
      </c>
      <c r="AZ195" s="23">
        <f>Saldos_Capital_Mensual!R195</f>
        <v/>
      </c>
      <c r="BA195" s="23">
        <f>Intereses_Residual_Mensual!R195</f>
        <v/>
      </c>
      <c r="BB195" s="23">
        <f>ROUND(AX195 + BA195, 2)</f>
        <v/>
      </c>
      <c r="BC195" s="23">
        <f>Intereses_Leasing_Mensual!S195</f>
        <v/>
      </c>
      <c r="BD195" s="23">
        <f>Amortizacion_Capital_Mensual!T195</f>
        <v/>
      </c>
      <c r="BE195" s="23">
        <f>Saldos_Capital_Mensual!S195</f>
        <v/>
      </c>
      <c r="BF195" s="23">
        <f>Intereses_Residual_Mensual!S195</f>
        <v/>
      </c>
      <c r="BG195" s="23">
        <f>ROUND(BC195 + BF195, 2)</f>
        <v/>
      </c>
      <c r="BH195" s="23">
        <f>Intereses_Leasing_Mensual!T195</f>
        <v/>
      </c>
      <c r="BI195" s="23">
        <f>Amortizacion_Capital_Mensual!U195</f>
        <v/>
      </c>
      <c r="BJ195" s="23">
        <f>Saldos_Capital_Mensual!T195</f>
        <v/>
      </c>
      <c r="BK195" s="23">
        <f>Intereses_Residual_Mensual!T195</f>
        <v/>
      </c>
      <c r="BL195" s="23">
        <f>ROUND(BH195 + BK195, 2)</f>
        <v/>
      </c>
    </row>
    <row r="196">
      <c r="A196" s="26" t="inlineStr">
        <is>
          <t>0715-0001</t>
        </is>
      </c>
      <c r="B196" s="27" t="inlineStr">
        <is>
          <t>Jose de Jesus Serrano Sanchez</t>
        </is>
      </c>
      <c r="C196" s="27" t="inlineStr">
        <is>
          <t>Ram 1200</t>
        </is>
      </c>
      <c r="D196" s="28" t="n">
        <v>48</v>
      </c>
      <c r="E196" s="29">
        <f>Intereses_Leasing_Mensual!I196</f>
        <v/>
      </c>
      <c r="F196" s="29">
        <f>Amortizacion_Capital_Mensual!J196</f>
        <v/>
      </c>
      <c r="G196" s="29">
        <f>Saldos_Capital_Mensual!I196</f>
        <v/>
      </c>
      <c r="H196" s="29">
        <f>Intereses_Residual_Mensual!I196</f>
        <v/>
      </c>
      <c r="I196" s="29">
        <f>ROUND(E196 + H196, 2)</f>
        <v/>
      </c>
      <c r="J196" s="29">
        <f>Intereses_Leasing_Mensual!J196</f>
        <v/>
      </c>
      <c r="K196" s="29">
        <f>Amortizacion_Capital_Mensual!K196</f>
        <v/>
      </c>
      <c r="L196" s="29">
        <f>Saldos_Capital_Mensual!J196</f>
        <v/>
      </c>
      <c r="M196" s="29">
        <f>Intereses_Residual_Mensual!J196</f>
        <v/>
      </c>
      <c r="N196" s="29">
        <f>ROUND(J196 + M196, 2)</f>
        <v/>
      </c>
      <c r="O196" s="29">
        <f>Intereses_Leasing_Mensual!K196</f>
        <v/>
      </c>
      <c r="P196" s="29">
        <f>Amortizacion_Capital_Mensual!L196</f>
        <v/>
      </c>
      <c r="Q196" s="29">
        <f>Saldos_Capital_Mensual!K196</f>
        <v/>
      </c>
      <c r="R196" s="29">
        <f>Intereses_Residual_Mensual!K196</f>
        <v/>
      </c>
      <c r="S196" s="29">
        <f>ROUND(O196 + R196, 2)</f>
        <v/>
      </c>
      <c r="T196" s="29">
        <f>Intereses_Leasing_Mensual!L196</f>
        <v/>
      </c>
      <c r="U196" s="29">
        <f>Amortizacion_Capital_Mensual!M196</f>
        <v/>
      </c>
      <c r="V196" s="29">
        <f>Saldos_Capital_Mensual!L196</f>
        <v/>
      </c>
      <c r="W196" s="29">
        <f>Intereses_Residual_Mensual!L196</f>
        <v/>
      </c>
      <c r="X196" s="29">
        <f>ROUND(T196 + W196, 2)</f>
        <v/>
      </c>
      <c r="Y196" s="29">
        <f>Intereses_Leasing_Mensual!M196</f>
        <v/>
      </c>
      <c r="Z196" s="29">
        <f>Amortizacion_Capital_Mensual!N196</f>
        <v/>
      </c>
      <c r="AA196" s="29">
        <f>Saldos_Capital_Mensual!M196</f>
        <v/>
      </c>
      <c r="AB196" s="29">
        <f>Intereses_Residual_Mensual!M196</f>
        <v/>
      </c>
      <c r="AC196" s="29">
        <f>ROUND(Y196 + AB196, 2)</f>
        <v/>
      </c>
      <c r="AD196" s="29">
        <f>Intereses_Leasing_Mensual!N196</f>
        <v/>
      </c>
      <c r="AE196" s="29">
        <f>Amortizacion_Capital_Mensual!O196</f>
        <v/>
      </c>
      <c r="AF196" s="29">
        <f>Saldos_Capital_Mensual!N196</f>
        <v/>
      </c>
      <c r="AG196" s="29">
        <f>Intereses_Residual_Mensual!N196</f>
        <v/>
      </c>
      <c r="AH196" s="29">
        <f>ROUND(AD196 + AG196, 2)</f>
        <v/>
      </c>
      <c r="AI196" s="29">
        <f>Intereses_Leasing_Mensual!O196</f>
        <v/>
      </c>
      <c r="AJ196" s="29">
        <f>Amortizacion_Capital_Mensual!P196</f>
        <v/>
      </c>
      <c r="AK196" s="29">
        <f>Saldos_Capital_Mensual!O196</f>
        <v/>
      </c>
      <c r="AL196" s="29">
        <f>Intereses_Residual_Mensual!O196</f>
        <v/>
      </c>
      <c r="AM196" s="29">
        <f>ROUND(AI196 + AL196, 2)</f>
        <v/>
      </c>
      <c r="AN196" s="29">
        <f>Intereses_Leasing_Mensual!P196</f>
        <v/>
      </c>
      <c r="AO196" s="29">
        <f>Amortizacion_Capital_Mensual!Q196</f>
        <v/>
      </c>
      <c r="AP196" s="29">
        <f>Saldos_Capital_Mensual!P196</f>
        <v/>
      </c>
      <c r="AQ196" s="29">
        <f>Intereses_Residual_Mensual!P196</f>
        <v/>
      </c>
      <c r="AR196" s="29">
        <f>ROUND(AN196 + AQ196, 2)</f>
        <v/>
      </c>
      <c r="AS196" s="29">
        <f>Intereses_Leasing_Mensual!Q196</f>
        <v/>
      </c>
      <c r="AT196" s="29">
        <f>Amortizacion_Capital_Mensual!R196</f>
        <v/>
      </c>
      <c r="AU196" s="29">
        <f>Saldos_Capital_Mensual!Q196</f>
        <v/>
      </c>
      <c r="AV196" s="29">
        <f>Intereses_Residual_Mensual!Q196</f>
        <v/>
      </c>
      <c r="AW196" s="29">
        <f>ROUND(AS196 + AV196, 2)</f>
        <v/>
      </c>
      <c r="AX196" s="29">
        <f>Intereses_Leasing_Mensual!R196</f>
        <v/>
      </c>
      <c r="AY196" s="29">
        <f>Amortizacion_Capital_Mensual!S196</f>
        <v/>
      </c>
      <c r="AZ196" s="29">
        <f>Saldos_Capital_Mensual!R196</f>
        <v/>
      </c>
      <c r="BA196" s="29">
        <f>Intereses_Residual_Mensual!R196</f>
        <v/>
      </c>
      <c r="BB196" s="29">
        <f>ROUND(AX196 + BA196, 2)</f>
        <v/>
      </c>
      <c r="BC196" s="29">
        <f>Intereses_Leasing_Mensual!S196</f>
        <v/>
      </c>
      <c r="BD196" s="29">
        <f>Amortizacion_Capital_Mensual!T196</f>
        <v/>
      </c>
      <c r="BE196" s="29">
        <f>Saldos_Capital_Mensual!S196</f>
        <v/>
      </c>
      <c r="BF196" s="29">
        <f>Intereses_Residual_Mensual!S196</f>
        <v/>
      </c>
      <c r="BG196" s="29">
        <f>ROUND(BC196 + BF196, 2)</f>
        <v/>
      </c>
      <c r="BH196" s="29">
        <f>Intereses_Leasing_Mensual!T196</f>
        <v/>
      </c>
      <c r="BI196" s="29">
        <f>Amortizacion_Capital_Mensual!U196</f>
        <v/>
      </c>
      <c r="BJ196" s="29">
        <f>Saldos_Capital_Mensual!T196</f>
        <v/>
      </c>
      <c r="BK196" s="29">
        <f>Intereses_Residual_Mensual!T196</f>
        <v/>
      </c>
      <c r="BL196" s="29">
        <f>ROUND(BH196 + BK196, 2)</f>
        <v/>
      </c>
    </row>
    <row r="197">
      <c r="A197" s="20" t="inlineStr">
        <is>
          <t>0716-0001</t>
        </is>
      </c>
      <c r="B197" s="21" t="inlineStr">
        <is>
          <t>Mayoristas Asociados en Servicio Celular SA de CV</t>
        </is>
      </c>
      <c r="C197" s="21" t="inlineStr">
        <is>
          <t>Wrangler Unlimited Rubicon</t>
        </is>
      </c>
      <c r="D197" s="22" t="n">
        <v>24</v>
      </c>
      <c r="E197" s="23">
        <f>Intereses_Leasing_Mensual!I197</f>
        <v/>
      </c>
      <c r="F197" s="23">
        <f>Amortizacion_Capital_Mensual!J197</f>
        <v/>
      </c>
      <c r="G197" s="23">
        <f>Saldos_Capital_Mensual!I197</f>
        <v/>
      </c>
      <c r="H197" s="23">
        <f>Intereses_Residual_Mensual!I197</f>
        <v/>
      </c>
      <c r="I197" s="23">
        <f>ROUND(E197 + H197, 2)</f>
        <v/>
      </c>
      <c r="J197" s="23">
        <f>Intereses_Leasing_Mensual!J197</f>
        <v/>
      </c>
      <c r="K197" s="23">
        <f>Amortizacion_Capital_Mensual!K197</f>
        <v/>
      </c>
      <c r="L197" s="23">
        <f>Saldos_Capital_Mensual!J197</f>
        <v/>
      </c>
      <c r="M197" s="23">
        <f>Intereses_Residual_Mensual!J197</f>
        <v/>
      </c>
      <c r="N197" s="23">
        <f>ROUND(J197 + M197, 2)</f>
        <v/>
      </c>
      <c r="O197" s="23">
        <f>Intereses_Leasing_Mensual!K197</f>
        <v/>
      </c>
      <c r="P197" s="23">
        <f>Amortizacion_Capital_Mensual!L197</f>
        <v/>
      </c>
      <c r="Q197" s="23">
        <f>Saldos_Capital_Mensual!K197</f>
        <v/>
      </c>
      <c r="R197" s="23">
        <f>Intereses_Residual_Mensual!K197</f>
        <v/>
      </c>
      <c r="S197" s="23">
        <f>ROUND(O197 + R197, 2)</f>
        <v/>
      </c>
      <c r="T197" s="23">
        <f>Intereses_Leasing_Mensual!L197</f>
        <v/>
      </c>
      <c r="U197" s="23">
        <f>Amortizacion_Capital_Mensual!M197</f>
        <v/>
      </c>
      <c r="V197" s="23">
        <f>Saldos_Capital_Mensual!L197</f>
        <v/>
      </c>
      <c r="W197" s="23">
        <f>Intereses_Residual_Mensual!L197</f>
        <v/>
      </c>
      <c r="X197" s="23">
        <f>ROUND(T197 + W197, 2)</f>
        <v/>
      </c>
      <c r="Y197" s="23">
        <f>Intereses_Leasing_Mensual!M197</f>
        <v/>
      </c>
      <c r="Z197" s="23">
        <f>Amortizacion_Capital_Mensual!N197</f>
        <v/>
      </c>
      <c r="AA197" s="23">
        <f>Saldos_Capital_Mensual!M197</f>
        <v/>
      </c>
      <c r="AB197" s="23">
        <f>Intereses_Residual_Mensual!M197</f>
        <v/>
      </c>
      <c r="AC197" s="23">
        <f>ROUND(Y197 + AB197, 2)</f>
        <v/>
      </c>
      <c r="AD197" s="23">
        <f>Intereses_Leasing_Mensual!N197</f>
        <v/>
      </c>
      <c r="AE197" s="23">
        <f>Amortizacion_Capital_Mensual!O197</f>
        <v/>
      </c>
      <c r="AF197" s="23">
        <f>Saldos_Capital_Mensual!N197</f>
        <v/>
      </c>
      <c r="AG197" s="23">
        <f>Intereses_Residual_Mensual!N197</f>
        <v/>
      </c>
      <c r="AH197" s="23">
        <f>ROUND(AD197 + AG197, 2)</f>
        <v/>
      </c>
      <c r="AI197" s="23">
        <f>Intereses_Leasing_Mensual!O197</f>
        <v/>
      </c>
      <c r="AJ197" s="23">
        <f>Amortizacion_Capital_Mensual!P197</f>
        <v/>
      </c>
      <c r="AK197" s="23">
        <f>Saldos_Capital_Mensual!O197</f>
        <v/>
      </c>
      <c r="AL197" s="23">
        <f>Intereses_Residual_Mensual!O197</f>
        <v/>
      </c>
      <c r="AM197" s="23">
        <f>ROUND(AI197 + AL197, 2)</f>
        <v/>
      </c>
      <c r="AN197" s="23">
        <f>Intereses_Leasing_Mensual!P197</f>
        <v/>
      </c>
      <c r="AO197" s="23">
        <f>Amortizacion_Capital_Mensual!Q197</f>
        <v/>
      </c>
      <c r="AP197" s="23">
        <f>Saldos_Capital_Mensual!P197</f>
        <v/>
      </c>
      <c r="AQ197" s="23">
        <f>Intereses_Residual_Mensual!P197</f>
        <v/>
      </c>
      <c r="AR197" s="23">
        <f>ROUND(AN197 + AQ197, 2)</f>
        <v/>
      </c>
      <c r="AS197" s="23">
        <f>Intereses_Leasing_Mensual!Q197</f>
        <v/>
      </c>
      <c r="AT197" s="23">
        <f>Amortizacion_Capital_Mensual!R197</f>
        <v/>
      </c>
      <c r="AU197" s="23">
        <f>Saldos_Capital_Mensual!Q197</f>
        <v/>
      </c>
      <c r="AV197" s="23">
        <f>Intereses_Residual_Mensual!Q197</f>
        <v/>
      </c>
      <c r="AW197" s="23">
        <f>ROUND(AS197 + AV197, 2)</f>
        <v/>
      </c>
      <c r="AX197" s="23">
        <f>Intereses_Leasing_Mensual!R197</f>
        <v/>
      </c>
      <c r="AY197" s="23">
        <f>Amortizacion_Capital_Mensual!S197</f>
        <v/>
      </c>
      <c r="AZ197" s="23">
        <f>Saldos_Capital_Mensual!R197</f>
        <v/>
      </c>
      <c r="BA197" s="23">
        <f>Intereses_Residual_Mensual!R197</f>
        <v/>
      </c>
      <c r="BB197" s="23">
        <f>ROUND(AX197 + BA197, 2)</f>
        <v/>
      </c>
      <c r="BC197" s="23">
        <f>Intereses_Leasing_Mensual!S197</f>
        <v/>
      </c>
      <c r="BD197" s="23">
        <f>Amortizacion_Capital_Mensual!T197</f>
        <v/>
      </c>
      <c r="BE197" s="23">
        <f>Saldos_Capital_Mensual!S197</f>
        <v/>
      </c>
      <c r="BF197" s="23">
        <f>Intereses_Residual_Mensual!S197</f>
        <v/>
      </c>
      <c r="BG197" s="23">
        <f>ROUND(BC197 + BF197, 2)</f>
        <v/>
      </c>
      <c r="BH197" s="23">
        <f>Intereses_Leasing_Mensual!T197</f>
        <v/>
      </c>
      <c r="BI197" s="23">
        <f>Amortizacion_Capital_Mensual!U197</f>
        <v/>
      </c>
      <c r="BJ197" s="23">
        <f>Saldos_Capital_Mensual!T197</f>
        <v/>
      </c>
      <c r="BK197" s="23">
        <f>Intereses_Residual_Mensual!T197</f>
        <v/>
      </c>
      <c r="BL197" s="23">
        <f>ROUND(BH197 + BK197, 2)</f>
        <v/>
      </c>
    </row>
    <row r="198">
      <c r="A198" s="26" t="inlineStr">
        <is>
          <t>0716-0002</t>
        </is>
      </c>
      <c r="B198" s="27" t="inlineStr">
        <is>
          <t>Mayoristas Asociados en Servicio Celular SA de CV</t>
        </is>
      </c>
      <c r="C198" s="27" t="inlineStr">
        <is>
          <t>EX30</t>
        </is>
      </c>
      <c r="D198" s="28" t="n">
        <v>24</v>
      </c>
      <c r="E198" s="29">
        <f>Intereses_Leasing_Mensual!I198</f>
        <v/>
      </c>
      <c r="F198" s="29">
        <f>Amortizacion_Capital_Mensual!J198</f>
        <v/>
      </c>
      <c r="G198" s="29">
        <f>Saldos_Capital_Mensual!I198</f>
        <v/>
      </c>
      <c r="H198" s="29">
        <f>Intereses_Residual_Mensual!I198</f>
        <v/>
      </c>
      <c r="I198" s="29">
        <f>ROUND(E198 + H198, 2)</f>
        <v/>
      </c>
      <c r="J198" s="29">
        <f>Intereses_Leasing_Mensual!J198</f>
        <v/>
      </c>
      <c r="K198" s="29">
        <f>Amortizacion_Capital_Mensual!K198</f>
        <v/>
      </c>
      <c r="L198" s="29">
        <f>Saldos_Capital_Mensual!J198</f>
        <v/>
      </c>
      <c r="M198" s="29">
        <f>Intereses_Residual_Mensual!J198</f>
        <v/>
      </c>
      <c r="N198" s="29">
        <f>ROUND(J198 + M198, 2)</f>
        <v/>
      </c>
      <c r="O198" s="29">
        <f>Intereses_Leasing_Mensual!K198</f>
        <v/>
      </c>
      <c r="P198" s="29">
        <f>Amortizacion_Capital_Mensual!L198</f>
        <v/>
      </c>
      <c r="Q198" s="29">
        <f>Saldos_Capital_Mensual!K198</f>
        <v/>
      </c>
      <c r="R198" s="29">
        <f>Intereses_Residual_Mensual!K198</f>
        <v/>
      </c>
      <c r="S198" s="29">
        <f>ROUND(O198 + R198, 2)</f>
        <v/>
      </c>
      <c r="T198" s="29">
        <f>Intereses_Leasing_Mensual!L198</f>
        <v/>
      </c>
      <c r="U198" s="29">
        <f>Amortizacion_Capital_Mensual!M198</f>
        <v/>
      </c>
      <c r="V198" s="29">
        <f>Saldos_Capital_Mensual!L198</f>
        <v/>
      </c>
      <c r="W198" s="29">
        <f>Intereses_Residual_Mensual!L198</f>
        <v/>
      </c>
      <c r="X198" s="29">
        <f>ROUND(T198 + W198, 2)</f>
        <v/>
      </c>
      <c r="Y198" s="29">
        <f>Intereses_Leasing_Mensual!M198</f>
        <v/>
      </c>
      <c r="Z198" s="29">
        <f>Amortizacion_Capital_Mensual!N198</f>
        <v/>
      </c>
      <c r="AA198" s="29">
        <f>Saldos_Capital_Mensual!M198</f>
        <v/>
      </c>
      <c r="AB198" s="29">
        <f>Intereses_Residual_Mensual!M198</f>
        <v/>
      </c>
      <c r="AC198" s="29">
        <f>ROUND(Y198 + AB198, 2)</f>
        <v/>
      </c>
      <c r="AD198" s="29">
        <f>Intereses_Leasing_Mensual!N198</f>
        <v/>
      </c>
      <c r="AE198" s="29">
        <f>Amortizacion_Capital_Mensual!O198</f>
        <v/>
      </c>
      <c r="AF198" s="29">
        <f>Saldos_Capital_Mensual!N198</f>
        <v/>
      </c>
      <c r="AG198" s="29">
        <f>Intereses_Residual_Mensual!N198</f>
        <v/>
      </c>
      <c r="AH198" s="29">
        <f>ROUND(AD198 + AG198, 2)</f>
        <v/>
      </c>
      <c r="AI198" s="29">
        <f>Intereses_Leasing_Mensual!O198</f>
        <v/>
      </c>
      <c r="AJ198" s="29">
        <f>Amortizacion_Capital_Mensual!P198</f>
        <v/>
      </c>
      <c r="AK198" s="29">
        <f>Saldos_Capital_Mensual!O198</f>
        <v/>
      </c>
      <c r="AL198" s="29">
        <f>Intereses_Residual_Mensual!O198</f>
        <v/>
      </c>
      <c r="AM198" s="29">
        <f>ROUND(AI198 + AL198, 2)</f>
        <v/>
      </c>
      <c r="AN198" s="29">
        <f>Intereses_Leasing_Mensual!P198</f>
        <v/>
      </c>
      <c r="AO198" s="29">
        <f>Amortizacion_Capital_Mensual!Q198</f>
        <v/>
      </c>
      <c r="AP198" s="29">
        <f>Saldos_Capital_Mensual!P198</f>
        <v/>
      </c>
      <c r="AQ198" s="29">
        <f>Intereses_Residual_Mensual!P198</f>
        <v/>
      </c>
      <c r="AR198" s="29">
        <f>ROUND(AN198 + AQ198, 2)</f>
        <v/>
      </c>
      <c r="AS198" s="29">
        <f>Intereses_Leasing_Mensual!Q198</f>
        <v/>
      </c>
      <c r="AT198" s="29">
        <f>Amortizacion_Capital_Mensual!R198</f>
        <v/>
      </c>
      <c r="AU198" s="29">
        <f>Saldos_Capital_Mensual!Q198</f>
        <v/>
      </c>
      <c r="AV198" s="29">
        <f>Intereses_Residual_Mensual!Q198</f>
        <v/>
      </c>
      <c r="AW198" s="29">
        <f>ROUND(AS198 + AV198, 2)</f>
        <v/>
      </c>
      <c r="AX198" s="29">
        <f>Intereses_Leasing_Mensual!R198</f>
        <v/>
      </c>
      <c r="AY198" s="29">
        <f>Amortizacion_Capital_Mensual!S198</f>
        <v/>
      </c>
      <c r="AZ198" s="29">
        <f>Saldos_Capital_Mensual!R198</f>
        <v/>
      </c>
      <c r="BA198" s="29">
        <f>Intereses_Residual_Mensual!R198</f>
        <v/>
      </c>
      <c r="BB198" s="29">
        <f>ROUND(AX198 + BA198, 2)</f>
        <v/>
      </c>
      <c r="BC198" s="29">
        <f>Intereses_Leasing_Mensual!S198</f>
        <v/>
      </c>
      <c r="BD198" s="29">
        <f>Amortizacion_Capital_Mensual!T198</f>
        <v/>
      </c>
      <c r="BE198" s="29">
        <f>Saldos_Capital_Mensual!S198</f>
        <v/>
      </c>
      <c r="BF198" s="29">
        <f>Intereses_Residual_Mensual!S198</f>
        <v/>
      </c>
      <c r="BG198" s="29">
        <f>ROUND(BC198 + BF198, 2)</f>
        <v/>
      </c>
      <c r="BH198" s="29">
        <f>Intereses_Leasing_Mensual!T198</f>
        <v/>
      </c>
      <c r="BI198" s="29">
        <f>Amortizacion_Capital_Mensual!U198</f>
        <v/>
      </c>
      <c r="BJ198" s="29">
        <f>Saldos_Capital_Mensual!T198</f>
        <v/>
      </c>
      <c r="BK198" s="29">
        <f>Intereses_Residual_Mensual!T198</f>
        <v/>
      </c>
      <c r="BL198" s="29">
        <f>ROUND(BH198 + BK198, 2)</f>
        <v/>
      </c>
    </row>
    <row r="199">
      <c r="A199" s="20" t="inlineStr">
        <is>
          <t>0716-0003</t>
        </is>
      </c>
      <c r="B199" s="21" t="inlineStr">
        <is>
          <t>Mayoristas Asociados en Servicio Celular SA de CV</t>
        </is>
      </c>
      <c r="C199" s="21" t="inlineStr">
        <is>
          <t>Bronco</t>
        </is>
      </c>
      <c r="D199" s="22" t="n">
        <v>24</v>
      </c>
      <c r="E199" s="23">
        <f>Intereses_Leasing_Mensual!I199</f>
        <v/>
      </c>
      <c r="F199" s="23">
        <f>Amortizacion_Capital_Mensual!J199</f>
        <v/>
      </c>
      <c r="G199" s="23">
        <f>Saldos_Capital_Mensual!I199</f>
        <v/>
      </c>
      <c r="H199" s="23">
        <f>Intereses_Residual_Mensual!I199</f>
        <v/>
      </c>
      <c r="I199" s="23">
        <f>ROUND(E199 + H199, 2)</f>
        <v/>
      </c>
      <c r="J199" s="23">
        <f>Intereses_Leasing_Mensual!J199</f>
        <v/>
      </c>
      <c r="K199" s="23">
        <f>Amortizacion_Capital_Mensual!K199</f>
        <v/>
      </c>
      <c r="L199" s="23">
        <f>Saldos_Capital_Mensual!J199</f>
        <v/>
      </c>
      <c r="M199" s="23">
        <f>Intereses_Residual_Mensual!J199</f>
        <v/>
      </c>
      <c r="N199" s="23">
        <f>ROUND(J199 + M199, 2)</f>
        <v/>
      </c>
      <c r="O199" s="23">
        <f>Intereses_Leasing_Mensual!K199</f>
        <v/>
      </c>
      <c r="P199" s="23">
        <f>Amortizacion_Capital_Mensual!L199</f>
        <v/>
      </c>
      <c r="Q199" s="23">
        <f>Saldos_Capital_Mensual!K199</f>
        <v/>
      </c>
      <c r="R199" s="23">
        <f>Intereses_Residual_Mensual!K199</f>
        <v/>
      </c>
      <c r="S199" s="23">
        <f>ROUND(O199 + R199, 2)</f>
        <v/>
      </c>
      <c r="T199" s="23">
        <f>Intereses_Leasing_Mensual!L199</f>
        <v/>
      </c>
      <c r="U199" s="23">
        <f>Amortizacion_Capital_Mensual!M199</f>
        <v/>
      </c>
      <c r="V199" s="23">
        <f>Saldos_Capital_Mensual!L199</f>
        <v/>
      </c>
      <c r="W199" s="23">
        <f>Intereses_Residual_Mensual!L199</f>
        <v/>
      </c>
      <c r="X199" s="23">
        <f>ROUND(T199 + W199, 2)</f>
        <v/>
      </c>
      <c r="Y199" s="23">
        <f>Intereses_Leasing_Mensual!M199</f>
        <v/>
      </c>
      <c r="Z199" s="23">
        <f>Amortizacion_Capital_Mensual!N199</f>
        <v/>
      </c>
      <c r="AA199" s="23">
        <f>Saldos_Capital_Mensual!M199</f>
        <v/>
      </c>
      <c r="AB199" s="23">
        <f>Intereses_Residual_Mensual!M199</f>
        <v/>
      </c>
      <c r="AC199" s="23">
        <f>ROUND(Y199 + AB199, 2)</f>
        <v/>
      </c>
      <c r="AD199" s="23">
        <f>Intereses_Leasing_Mensual!N199</f>
        <v/>
      </c>
      <c r="AE199" s="23">
        <f>Amortizacion_Capital_Mensual!O199</f>
        <v/>
      </c>
      <c r="AF199" s="23">
        <f>Saldos_Capital_Mensual!N199</f>
        <v/>
      </c>
      <c r="AG199" s="23">
        <f>Intereses_Residual_Mensual!N199</f>
        <v/>
      </c>
      <c r="AH199" s="23">
        <f>ROUND(AD199 + AG199, 2)</f>
        <v/>
      </c>
      <c r="AI199" s="23">
        <f>Intereses_Leasing_Mensual!O199</f>
        <v/>
      </c>
      <c r="AJ199" s="23">
        <f>Amortizacion_Capital_Mensual!P199</f>
        <v/>
      </c>
      <c r="AK199" s="23">
        <f>Saldos_Capital_Mensual!O199</f>
        <v/>
      </c>
      <c r="AL199" s="23">
        <f>Intereses_Residual_Mensual!O199</f>
        <v/>
      </c>
      <c r="AM199" s="23">
        <f>ROUND(AI199 + AL199, 2)</f>
        <v/>
      </c>
      <c r="AN199" s="23">
        <f>Intereses_Leasing_Mensual!P199</f>
        <v/>
      </c>
      <c r="AO199" s="23">
        <f>Amortizacion_Capital_Mensual!Q199</f>
        <v/>
      </c>
      <c r="AP199" s="23">
        <f>Saldos_Capital_Mensual!P199</f>
        <v/>
      </c>
      <c r="AQ199" s="23">
        <f>Intereses_Residual_Mensual!P199</f>
        <v/>
      </c>
      <c r="AR199" s="23">
        <f>ROUND(AN199 + AQ199, 2)</f>
        <v/>
      </c>
      <c r="AS199" s="23">
        <f>Intereses_Leasing_Mensual!Q199</f>
        <v/>
      </c>
      <c r="AT199" s="23">
        <f>Amortizacion_Capital_Mensual!R199</f>
        <v/>
      </c>
      <c r="AU199" s="23">
        <f>Saldos_Capital_Mensual!Q199</f>
        <v/>
      </c>
      <c r="AV199" s="23">
        <f>Intereses_Residual_Mensual!Q199</f>
        <v/>
      </c>
      <c r="AW199" s="23">
        <f>ROUND(AS199 + AV199, 2)</f>
        <v/>
      </c>
      <c r="AX199" s="23">
        <f>Intereses_Leasing_Mensual!R199</f>
        <v/>
      </c>
      <c r="AY199" s="23">
        <f>Amortizacion_Capital_Mensual!S199</f>
        <v/>
      </c>
      <c r="AZ199" s="23">
        <f>Saldos_Capital_Mensual!R199</f>
        <v/>
      </c>
      <c r="BA199" s="23">
        <f>Intereses_Residual_Mensual!R199</f>
        <v/>
      </c>
      <c r="BB199" s="23">
        <f>ROUND(AX199 + BA199, 2)</f>
        <v/>
      </c>
      <c r="BC199" s="23">
        <f>Intereses_Leasing_Mensual!S199</f>
        <v/>
      </c>
      <c r="BD199" s="23">
        <f>Amortizacion_Capital_Mensual!T199</f>
        <v/>
      </c>
      <c r="BE199" s="23">
        <f>Saldos_Capital_Mensual!S199</f>
        <v/>
      </c>
      <c r="BF199" s="23">
        <f>Intereses_Residual_Mensual!S199</f>
        <v/>
      </c>
      <c r="BG199" s="23">
        <f>ROUND(BC199 + BF199, 2)</f>
        <v/>
      </c>
      <c r="BH199" s="23">
        <f>Intereses_Leasing_Mensual!T199</f>
        <v/>
      </c>
      <c r="BI199" s="23">
        <f>Amortizacion_Capital_Mensual!U199</f>
        <v/>
      </c>
      <c r="BJ199" s="23">
        <f>Saldos_Capital_Mensual!T199</f>
        <v/>
      </c>
      <c r="BK199" s="23">
        <f>Intereses_Residual_Mensual!T199</f>
        <v/>
      </c>
      <c r="BL199" s="23">
        <f>ROUND(BH199 + BK199, 2)</f>
        <v/>
      </c>
    </row>
    <row r="200">
      <c r="A200" s="26" t="inlineStr">
        <is>
          <t>0717-0001</t>
        </is>
      </c>
      <c r="B200" s="27" t="inlineStr">
        <is>
          <t>Refaccionaria San Diego SA de CV</t>
        </is>
      </c>
      <c r="C200" s="27" t="inlineStr">
        <is>
          <t>Partner Rapid</t>
        </is>
      </c>
      <c r="D200" s="28" t="n">
        <v>48</v>
      </c>
      <c r="E200" s="29">
        <f>Intereses_Leasing_Mensual!I200</f>
        <v/>
      </c>
      <c r="F200" s="29">
        <f>Amortizacion_Capital_Mensual!J200</f>
        <v/>
      </c>
      <c r="G200" s="29">
        <f>Saldos_Capital_Mensual!I200</f>
        <v/>
      </c>
      <c r="H200" s="29">
        <f>Intereses_Residual_Mensual!I200</f>
        <v/>
      </c>
      <c r="I200" s="29">
        <f>ROUND(E200 + H200, 2)</f>
        <v/>
      </c>
      <c r="J200" s="29">
        <f>Intereses_Leasing_Mensual!J200</f>
        <v/>
      </c>
      <c r="K200" s="29">
        <f>Amortizacion_Capital_Mensual!K200</f>
        <v/>
      </c>
      <c r="L200" s="29">
        <f>Saldos_Capital_Mensual!J200</f>
        <v/>
      </c>
      <c r="M200" s="29">
        <f>Intereses_Residual_Mensual!J200</f>
        <v/>
      </c>
      <c r="N200" s="29">
        <f>ROUND(J200 + M200, 2)</f>
        <v/>
      </c>
      <c r="O200" s="29">
        <f>Intereses_Leasing_Mensual!K200</f>
        <v/>
      </c>
      <c r="P200" s="29">
        <f>Amortizacion_Capital_Mensual!L200</f>
        <v/>
      </c>
      <c r="Q200" s="29">
        <f>Saldos_Capital_Mensual!K200</f>
        <v/>
      </c>
      <c r="R200" s="29">
        <f>Intereses_Residual_Mensual!K200</f>
        <v/>
      </c>
      <c r="S200" s="29">
        <f>ROUND(O200 + R200, 2)</f>
        <v/>
      </c>
      <c r="T200" s="29">
        <f>Intereses_Leasing_Mensual!L200</f>
        <v/>
      </c>
      <c r="U200" s="29">
        <f>Amortizacion_Capital_Mensual!M200</f>
        <v/>
      </c>
      <c r="V200" s="29">
        <f>Saldos_Capital_Mensual!L200</f>
        <v/>
      </c>
      <c r="W200" s="29">
        <f>Intereses_Residual_Mensual!L200</f>
        <v/>
      </c>
      <c r="X200" s="29">
        <f>ROUND(T200 + W200, 2)</f>
        <v/>
      </c>
      <c r="Y200" s="29">
        <f>Intereses_Leasing_Mensual!M200</f>
        <v/>
      </c>
      <c r="Z200" s="29">
        <f>Amortizacion_Capital_Mensual!N200</f>
        <v/>
      </c>
      <c r="AA200" s="29">
        <f>Saldos_Capital_Mensual!M200</f>
        <v/>
      </c>
      <c r="AB200" s="29">
        <f>Intereses_Residual_Mensual!M200</f>
        <v/>
      </c>
      <c r="AC200" s="29">
        <f>ROUND(Y200 + AB200, 2)</f>
        <v/>
      </c>
      <c r="AD200" s="29">
        <f>Intereses_Leasing_Mensual!N200</f>
        <v/>
      </c>
      <c r="AE200" s="29">
        <f>Amortizacion_Capital_Mensual!O200</f>
        <v/>
      </c>
      <c r="AF200" s="29">
        <f>Saldos_Capital_Mensual!N200</f>
        <v/>
      </c>
      <c r="AG200" s="29">
        <f>Intereses_Residual_Mensual!N200</f>
        <v/>
      </c>
      <c r="AH200" s="29">
        <f>ROUND(AD200 + AG200, 2)</f>
        <v/>
      </c>
      <c r="AI200" s="29">
        <f>Intereses_Leasing_Mensual!O200</f>
        <v/>
      </c>
      <c r="AJ200" s="29">
        <f>Amortizacion_Capital_Mensual!P200</f>
        <v/>
      </c>
      <c r="AK200" s="29">
        <f>Saldos_Capital_Mensual!O200</f>
        <v/>
      </c>
      <c r="AL200" s="29">
        <f>Intereses_Residual_Mensual!O200</f>
        <v/>
      </c>
      <c r="AM200" s="29">
        <f>ROUND(AI200 + AL200, 2)</f>
        <v/>
      </c>
      <c r="AN200" s="29">
        <f>Intereses_Leasing_Mensual!P200</f>
        <v/>
      </c>
      <c r="AO200" s="29">
        <f>Amortizacion_Capital_Mensual!Q200</f>
        <v/>
      </c>
      <c r="AP200" s="29">
        <f>Saldos_Capital_Mensual!P200</f>
        <v/>
      </c>
      <c r="AQ200" s="29">
        <f>Intereses_Residual_Mensual!P200</f>
        <v/>
      </c>
      <c r="AR200" s="29">
        <f>ROUND(AN200 + AQ200, 2)</f>
        <v/>
      </c>
      <c r="AS200" s="29">
        <f>Intereses_Leasing_Mensual!Q200</f>
        <v/>
      </c>
      <c r="AT200" s="29">
        <f>Amortizacion_Capital_Mensual!R200</f>
        <v/>
      </c>
      <c r="AU200" s="29">
        <f>Saldos_Capital_Mensual!Q200</f>
        <v/>
      </c>
      <c r="AV200" s="29">
        <f>Intereses_Residual_Mensual!Q200</f>
        <v/>
      </c>
      <c r="AW200" s="29">
        <f>ROUND(AS200 + AV200, 2)</f>
        <v/>
      </c>
      <c r="AX200" s="29">
        <f>Intereses_Leasing_Mensual!R200</f>
        <v/>
      </c>
      <c r="AY200" s="29">
        <f>Amortizacion_Capital_Mensual!S200</f>
        <v/>
      </c>
      <c r="AZ200" s="29">
        <f>Saldos_Capital_Mensual!R200</f>
        <v/>
      </c>
      <c r="BA200" s="29">
        <f>Intereses_Residual_Mensual!R200</f>
        <v/>
      </c>
      <c r="BB200" s="29">
        <f>ROUND(AX200 + BA200, 2)</f>
        <v/>
      </c>
      <c r="BC200" s="29">
        <f>Intereses_Leasing_Mensual!S200</f>
        <v/>
      </c>
      <c r="BD200" s="29">
        <f>Amortizacion_Capital_Mensual!T200</f>
        <v/>
      </c>
      <c r="BE200" s="29">
        <f>Saldos_Capital_Mensual!S200</f>
        <v/>
      </c>
      <c r="BF200" s="29">
        <f>Intereses_Residual_Mensual!S200</f>
        <v/>
      </c>
      <c r="BG200" s="29">
        <f>ROUND(BC200 + BF200, 2)</f>
        <v/>
      </c>
      <c r="BH200" s="29">
        <f>Intereses_Leasing_Mensual!T200</f>
        <v/>
      </c>
      <c r="BI200" s="29">
        <f>Amortizacion_Capital_Mensual!U200</f>
        <v/>
      </c>
      <c r="BJ200" s="29">
        <f>Saldos_Capital_Mensual!T200</f>
        <v/>
      </c>
      <c r="BK200" s="29">
        <f>Intereses_Residual_Mensual!T200</f>
        <v/>
      </c>
      <c r="BL200" s="29">
        <f>ROUND(BH200 + BK200, 2)</f>
        <v/>
      </c>
    </row>
    <row r="201">
      <c r="A201" s="20" t="inlineStr">
        <is>
          <t>0718-0001</t>
        </is>
      </c>
      <c r="B201" s="21" t="inlineStr">
        <is>
          <t>Capriberrys</t>
        </is>
      </c>
      <c r="C201" s="21" t="inlineStr">
        <is>
          <t>Jt Mojave</t>
        </is>
      </c>
      <c r="D201" s="22" t="n">
        <v>24</v>
      </c>
      <c r="E201" s="23">
        <f>Intereses_Leasing_Mensual!I201</f>
        <v/>
      </c>
      <c r="F201" s="23">
        <f>Amortizacion_Capital_Mensual!J201</f>
        <v/>
      </c>
      <c r="G201" s="23">
        <f>Saldos_Capital_Mensual!I201</f>
        <v/>
      </c>
      <c r="H201" s="23">
        <f>Intereses_Residual_Mensual!I201</f>
        <v/>
      </c>
      <c r="I201" s="23">
        <f>ROUND(E201 + H201, 2)</f>
        <v/>
      </c>
      <c r="J201" s="23">
        <f>Intereses_Leasing_Mensual!J201</f>
        <v/>
      </c>
      <c r="K201" s="23">
        <f>Amortizacion_Capital_Mensual!K201</f>
        <v/>
      </c>
      <c r="L201" s="23">
        <f>Saldos_Capital_Mensual!J201</f>
        <v/>
      </c>
      <c r="M201" s="23">
        <f>Intereses_Residual_Mensual!J201</f>
        <v/>
      </c>
      <c r="N201" s="23">
        <f>ROUND(J201 + M201, 2)</f>
        <v/>
      </c>
      <c r="O201" s="23">
        <f>Intereses_Leasing_Mensual!K201</f>
        <v/>
      </c>
      <c r="P201" s="23">
        <f>Amortizacion_Capital_Mensual!L201</f>
        <v/>
      </c>
      <c r="Q201" s="23">
        <f>Saldos_Capital_Mensual!K201</f>
        <v/>
      </c>
      <c r="R201" s="23">
        <f>Intereses_Residual_Mensual!K201</f>
        <v/>
      </c>
      <c r="S201" s="23">
        <f>ROUND(O201 + R201, 2)</f>
        <v/>
      </c>
      <c r="T201" s="23">
        <f>Intereses_Leasing_Mensual!L201</f>
        <v/>
      </c>
      <c r="U201" s="23">
        <f>Amortizacion_Capital_Mensual!M201</f>
        <v/>
      </c>
      <c r="V201" s="23">
        <f>Saldos_Capital_Mensual!L201</f>
        <v/>
      </c>
      <c r="W201" s="23">
        <f>Intereses_Residual_Mensual!L201</f>
        <v/>
      </c>
      <c r="X201" s="23">
        <f>ROUND(T201 + W201, 2)</f>
        <v/>
      </c>
      <c r="Y201" s="23">
        <f>Intereses_Leasing_Mensual!M201</f>
        <v/>
      </c>
      <c r="Z201" s="23">
        <f>Amortizacion_Capital_Mensual!N201</f>
        <v/>
      </c>
      <c r="AA201" s="23">
        <f>Saldos_Capital_Mensual!M201</f>
        <v/>
      </c>
      <c r="AB201" s="23">
        <f>Intereses_Residual_Mensual!M201</f>
        <v/>
      </c>
      <c r="AC201" s="23">
        <f>ROUND(Y201 + AB201, 2)</f>
        <v/>
      </c>
      <c r="AD201" s="23">
        <f>Intereses_Leasing_Mensual!N201</f>
        <v/>
      </c>
      <c r="AE201" s="23">
        <f>Amortizacion_Capital_Mensual!O201</f>
        <v/>
      </c>
      <c r="AF201" s="23">
        <f>Saldos_Capital_Mensual!N201</f>
        <v/>
      </c>
      <c r="AG201" s="23">
        <f>Intereses_Residual_Mensual!N201</f>
        <v/>
      </c>
      <c r="AH201" s="23">
        <f>ROUND(AD201 + AG201, 2)</f>
        <v/>
      </c>
      <c r="AI201" s="23">
        <f>Intereses_Leasing_Mensual!O201</f>
        <v/>
      </c>
      <c r="AJ201" s="23">
        <f>Amortizacion_Capital_Mensual!P201</f>
        <v/>
      </c>
      <c r="AK201" s="23">
        <f>Saldos_Capital_Mensual!O201</f>
        <v/>
      </c>
      <c r="AL201" s="23">
        <f>Intereses_Residual_Mensual!O201</f>
        <v/>
      </c>
      <c r="AM201" s="23">
        <f>ROUND(AI201 + AL201, 2)</f>
        <v/>
      </c>
      <c r="AN201" s="23">
        <f>Intereses_Leasing_Mensual!P201</f>
        <v/>
      </c>
      <c r="AO201" s="23">
        <f>Amortizacion_Capital_Mensual!Q201</f>
        <v/>
      </c>
      <c r="AP201" s="23">
        <f>Saldos_Capital_Mensual!P201</f>
        <v/>
      </c>
      <c r="AQ201" s="23">
        <f>Intereses_Residual_Mensual!P201</f>
        <v/>
      </c>
      <c r="AR201" s="23">
        <f>ROUND(AN201 + AQ201, 2)</f>
        <v/>
      </c>
      <c r="AS201" s="23">
        <f>Intereses_Leasing_Mensual!Q201</f>
        <v/>
      </c>
      <c r="AT201" s="23">
        <f>Amortizacion_Capital_Mensual!R201</f>
        <v/>
      </c>
      <c r="AU201" s="23">
        <f>Saldos_Capital_Mensual!Q201</f>
        <v/>
      </c>
      <c r="AV201" s="23">
        <f>Intereses_Residual_Mensual!Q201</f>
        <v/>
      </c>
      <c r="AW201" s="23">
        <f>ROUND(AS201 + AV201, 2)</f>
        <v/>
      </c>
      <c r="AX201" s="23">
        <f>Intereses_Leasing_Mensual!R201</f>
        <v/>
      </c>
      <c r="AY201" s="23">
        <f>Amortizacion_Capital_Mensual!S201</f>
        <v/>
      </c>
      <c r="AZ201" s="23">
        <f>Saldos_Capital_Mensual!R201</f>
        <v/>
      </c>
      <c r="BA201" s="23">
        <f>Intereses_Residual_Mensual!R201</f>
        <v/>
      </c>
      <c r="BB201" s="23">
        <f>ROUND(AX201 + BA201, 2)</f>
        <v/>
      </c>
      <c r="BC201" s="23">
        <f>Intereses_Leasing_Mensual!S201</f>
        <v/>
      </c>
      <c r="BD201" s="23">
        <f>Amortizacion_Capital_Mensual!T201</f>
        <v/>
      </c>
      <c r="BE201" s="23">
        <f>Saldos_Capital_Mensual!S201</f>
        <v/>
      </c>
      <c r="BF201" s="23">
        <f>Intereses_Residual_Mensual!S201</f>
        <v/>
      </c>
      <c r="BG201" s="23">
        <f>ROUND(BC201 + BF201, 2)</f>
        <v/>
      </c>
      <c r="BH201" s="23">
        <f>Intereses_Leasing_Mensual!T201</f>
        <v/>
      </c>
      <c r="BI201" s="23">
        <f>Amortizacion_Capital_Mensual!U201</f>
        <v/>
      </c>
      <c r="BJ201" s="23">
        <f>Saldos_Capital_Mensual!T201</f>
        <v/>
      </c>
      <c r="BK201" s="23">
        <f>Intereses_Residual_Mensual!T201</f>
        <v/>
      </c>
      <c r="BL201" s="23">
        <f>ROUND(BH201 + BK201, 2)</f>
        <v/>
      </c>
    </row>
    <row r="202">
      <c r="A202" s="26" t="inlineStr">
        <is>
          <t>0719-0001</t>
        </is>
      </c>
      <c r="B202" s="27" t="inlineStr">
        <is>
          <t>Maria de Los Angeles Lopez Janeiro</t>
        </is>
      </c>
      <c r="C202" s="27" t="inlineStr">
        <is>
          <t>Rifter</t>
        </is>
      </c>
      <c r="D202" s="28" t="n">
        <v>36</v>
      </c>
      <c r="E202" s="29">
        <f>Intereses_Leasing_Mensual!I202</f>
        <v/>
      </c>
      <c r="F202" s="29">
        <f>Amortizacion_Capital_Mensual!J202</f>
        <v/>
      </c>
      <c r="G202" s="29">
        <f>Saldos_Capital_Mensual!I202</f>
        <v/>
      </c>
      <c r="H202" s="29">
        <f>Intereses_Residual_Mensual!I202</f>
        <v/>
      </c>
      <c r="I202" s="29">
        <f>ROUND(E202 + H202, 2)</f>
        <v/>
      </c>
      <c r="J202" s="29">
        <f>Intereses_Leasing_Mensual!J202</f>
        <v/>
      </c>
      <c r="K202" s="29">
        <f>Amortizacion_Capital_Mensual!K202</f>
        <v/>
      </c>
      <c r="L202" s="29">
        <f>Saldos_Capital_Mensual!J202</f>
        <v/>
      </c>
      <c r="M202" s="29">
        <f>Intereses_Residual_Mensual!J202</f>
        <v/>
      </c>
      <c r="N202" s="29">
        <f>ROUND(J202 + M202, 2)</f>
        <v/>
      </c>
      <c r="O202" s="29">
        <f>Intereses_Leasing_Mensual!K202</f>
        <v/>
      </c>
      <c r="P202" s="29">
        <f>Amortizacion_Capital_Mensual!L202</f>
        <v/>
      </c>
      <c r="Q202" s="29">
        <f>Saldos_Capital_Mensual!K202</f>
        <v/>
      </c>
      <c r="R202" s="29">
        <f>Intereses_Residual_Mensual!K202</f>
        <v/>
      </c>
      <c r="S202" s="29">
        <f>ROUND(O202 + R202, 2)</f>
        <v/>
      </c>
      <c r="T202" s="29">
        <f>Intereses_Leasing_Mensual!L202</f>
        <v/>
      </c>
      <c r="U202" s="29">
        <f>Amortizacion_Capital_Mensual!M202</f>
        <v/>
      </c>
      <c r="V202" s="29">
        <f>Saldos_Capital_Mensual!L202</f>
        <v/>
      </c>
      <c r="W202" s="29">
        <f>Intereses_Residual_Mensual!L202</f>
        <v/>
      </c>
      <c r="X202" s="29">
        <f>ROUND(T202 + W202, 2)</f>
        <v/>
      </c>
      <c r="Y202" s="29">
        <f>Intereses_Leasing_Mensual!M202</f>
        <v/>
      </c>
      <c r="Z202" s="29">
        <f>Amortizacion_Capital_Mensual!N202</f>
        <v/>
      </c>
      <c r="AA202" s="29">
        <f>Saldos_Capital_Mensual!M202</f>
        <v/>
      </c>
      <c r="AB202" s="29">
        <f>Intereses_Residual_Mensual!M202</f>
        <v/>
      </c>
      <c r="AC202" s="29">
        <f>ROUND(Y202 + AB202, 2)</f>
        <v/>
      </c>
      <c r="AD202" s="29">
        <f>Intereses_Leasing_Mensual!N202</f>
        <v/>
      </c>
      <c r="AE202" s="29">
        <f>Amortizacion_Capital_Mensual!O202</f>
        <v/>
      </c>
      <c r="AF202" s="29">
        <f>Saldos_Capital_Mensual!N202</f>
        <v/>
      </c>
      <c r="AG202" s="29">
        <f>Intereses_Residual_Mensual!N202</f>
        <v/>
      </c>
      <c r="AH202" s="29">
        <f>ROUND(AD202 + AG202, 2)</f>
        <v/>
      </c>
      <c r="AI202" s="29">
        <f>Intereses_Leasing_Mensual!O202</f>
        <v/>
      </c>
      <c r="AJ202" s="29">
        <f>Amortizacion_Capital_Mensual!P202</f>
        <v/>
      </c>
      <c r="AK202" s="29">
        <f>Saldos_Capital_Mensual!O202</f>
        <v/>
      </c>
      <c r="AL202" s="29">
        <f>Intereses_Residual_Mensual!O202</f>
        <v/>
      </c>
      <c r="AM202" s="29">
        <f>ROUND(AI202 + AL202, 2)</f>
        <v/>
      </c>
      <c r="AN202" s="29">
        <f>Intereses_Leasing_Mensual!P202</f>
        <v/>
      </c>
      <c r="AO202" s="29">
        <f>Amortizacion_Capital_Mensual!Q202</f>
        <v/>
      </c>
      <c r="AP202" s="29">
        <f>Saldos_Capital_Mensual!P202</f>
        <v/>
      </c>
      <c r="AQ202" s="29">
        <f>Intereses_Residual_Mensual!P202</f>
        <v/>
      </c>
      <c r="AR202" s="29">
        <f>ROUND(AN202 + AQ202, 2)</f>
        <v/>
      </c>
      <c r="AS202" s="29">
        <f>Intereses_Leasing_Mensual!Q202</f>
        <v/>
      </c>
      <c r="AT202" s="29">
        <f>Amortizacion_Capital_Mensual!R202</f>
        <v/>
      </c>
      <c r="AU202" s="29">
        <f>Saldos_Capital_Mensual!Q202</f>
        <v/>
      </c>
      <c r="AV202" s="29">
        <f>Intereses_Residual_Mensual!Q202</f>
        <v/>
      </c>
      <c r="AW202" s="29">
        <f>ROUND(AS202 + AV202, 2)</f>
        <v/>
      </c>
      <c r="AX202" s="29">
        <f>Intereses_Leasing_Mensual!R202</f>
        <v/>
      </c>
      <c r="AY202" s="29">
        <f>Amortizacion_Capital_Mensual!S202</f>
        <v/>
      </c>
      <c r="AZ202" s="29">
        <f>Saldos_Capital_Mensual!R202</f>
        <v/>
      </c>
      <c r="BA202" s="29">
        <f>Intereses_Residual_Mensual!R202</f>
        <v/>
      </c>
      <c r="BB202" s="29">
        <f>ROUND(AX202 + BA202, 2)</f>
        <v/>
      </c>
      <c r="BC202" s="29">
        <f>Intereses_Leasing_Mensual!S202</f>
        <v/>
      </c>
      <c r="BD202" s="29">
        <f>Amortizacion_Capital_Mensual!T202</f>
        <v/>
      </c>
      <c r="BE202" s="29">
        <f>Saldos_Capital_Mensual!S202</f>
        <v/>
      </c>
      <c r="BF202" s="29">
        <f>Intereses_Residual_Mensual!S202</f>
        <v/>
      </c>
      <c r="BG202" s="29">
        <f>ROUND(BC202 + BF202, 2)</f>
        <v/>
      </c>
      <c r="BH202" s="29">
        <f>Intereses_Leasing_Mensual!T202</f>
        <v/>
      </c>
      <c r="BI202" s="29">
        <f>Amortizacion_Capital_Mensual!U202</f>
        <v/>
      </c>
      <c r="BJ202" s="29">
        <f>Saldos_Capital_Mensual!T202</f>
        <v/>
      </c>
      <c r="BK202" s="29">
        <f>Intereses_Residual_Mensual!T202</f>
        <v/>
      </c>
      <c r="BL202" s="29">
        <f>ROUND(BH202 + BK202, 2)</f>
        <v/>
      </c>
    </row>
    <row r="203">
      <c r="A203" s="20" t="inlineStr">
        <is>
          <t>0720-0001</t>
        </is>
      </c>
      <c r="B203" s="21" t="inlineStr">
        <is>
          <t>Forrajes Los 6 Hermanos S.P.R. DE R.L.</t>
        </is>
      </c>
      <c r="C203" s="21" t="inlineStr">
        <is>
          <t>Shark</t>
        </is>
      </c>
      <c r="D203" s="22" t="n">
        <v>36</v>
      </c>
      <c r="E203" s="23">
        <f>Intereses_Leasing_Mensual!I203</f>
        <v/>
      </c>
      <c r="F203" s="23">
        <f>Amortizacion_Capital_Mensual!J203</f>
        <v/>
      </c>
      <c r="G203" s="23">
        <f>Saldos_Capital_Mensual!I203</f>
        <v/>
      </c>
      <c r="H203" s="23">
        <f>Intereses_Residual_Mensual!I203</f>
        <v/>
      </c>
      <c r="I203" s="23">
        <f>ROUND(E203 + H203, 2)</f>
        <v/>
      </c>
      <c r="J203" s="23">
        <f>Intereses_Leasing_Mensual!J203</f>
        <v/>
      </c>
      <c r="K203" s="23">
        <f>Amortizacion_Capital_Mensual!K203</f>
        <v/>
      </c>
      <c r="L203" s="23">
        <f>Saldos_Capital_Mensual!J203</f>
        <v/>
      </c>
      <c r="M203" s="23">
        <f>Intereses_Residual_Mensual!J203</f>
        <v/>
      </c>
      <c r="N203" s="23">
        <f>ROUND(J203 + M203, 2)</f>
        <v/>
      </c>
      <c r="O203" s="23">
        <f>Intereses_Leasing_Mensual!K203</f>
        <v/>
      </c>
      <c r="P203" s="23">
        <f>Amortizacion_Capital_Mensual!L203</f>
        <v/>
      </c>
      <c r="Q203" s="23">
        <f>Saldos_Capital_Mensual!K203</f>
        <v/>
      </c>
      <c r="R203" s="23">
        <f>Intereses_Residual_Mensual!K203</f>
        <v/>
      </c>
      <c r="S203" s="23">
        <f>ROUND(O203 + R203, 2)</f>
        <v/>
      </c>
      <c r="T203" s="23">
        <f>Intereses_Leasing_Mensual!L203</f>
        <v/>
      </c>
      <c r="U203" s="23">
        <f>Amortizacion_Capital_Mensual!M203</f>
        <v/>
      </c>
      <c r="V203" s="23">
        <f>Saldos_Capital_Mensual!L203</f>
        <v/>
      </c>
      <c r="W203" s="23">
        <f>Intereses_Residual_Mensual!L203</f>
        <v/>
      </c>
      <c r="X203" s="23">
        <f>ROUND(T203 + W203, 2)</f>
        <v/>
      </c>
      <c r="Y203" s="23">
        <f>Intereses_Leasing_Mensual!M203</f>
        <v/>
      </c>
      <c r="Z203" s="23">
        <f>Amortizacion_Capital_Mensual!N203</f>
        <v/>
      </c>
      <c r="AA203" s="23">
        <f>Saldos_Capital_Mensual!M203</f>
        <v/>
      </c>
      <c r="AB203" s="23">
        <f>Intereses_Residual_Mensual!M203</f>
        <v/>
      </c>
      <c r="AC203" s="23">
        <f>ROUND(Y203 + AB203, 2)</f>
        <v/>
      </c>
      <c r="AD203" s="23">
        <f>Intereses_Leasing_Mensual!N203</f>
        <v/>
      </c>
      <c r="AE203" s="23">
        <f>Amortizacion_Capital_Mensual!O203</f>
        <v/>
      </c>
      <c r="AF203" s="23">
        <f>Saldos_Capital_Mensual!N203</f>
        <v/>
      </c>
      <c r="AG203" s="23">
        <f>Intereses_Residual_Mensual!N203</f>
        <v/>
      </c>
      <c r="AH203" s="23">
        <f>ROUND(AD203 + AG203, 2)</f>
        <v/>
      </c>
      <c r="AI203" s="23">
        <f>Intereses_Leasing_Mensual!O203</f>
        <v/>
      </c>
      <c r="AJ203" s="23">
        <f>Amortizacion_Capital_Mensual!P203</f>
        <v/>
      </c>
      <c r="AK203" s="23">
        <f>Saldos_Capital_Mensual!O203</f>
        <v/>
      </c>
      <c r="AL203" s="23">
        <f>Intereses_Residual_Mensual!O203</f>
        <v/>
      </c>
      <c r="AM203" s="23">
        <f>ROUND(AI203 + AL203, 2)</f>
        <v/>
      </c>
      <c r="AN203" s="23">
        <f>Intereses_Leasing_Mensual!P203</f>
        <v/>
      </c>
      <c r="AO203" s="23">
        <f>Amortizacion_Capital_Mensual!Q203</f>
        <v/>
      </c>
      <c r="AP203" s="23">
        <f>Saldos_Capital_Mensual!P203</f>
        <v/>
      </c>
      <c r="AQ203" s="23">
        <f>Intereses_Residual_Mensual!P203</f>
        <v/>
      </c>
      <c r="AR203" s="23">
        <f>ROUND(AN203 + AQ203, 2)</f>
        <v/>
      </c>
      <c r="AS203" s="23">
        <f>Intereses_Leasing_Mensual!Q203</f>
        <v/>
      </c>
      <c r="AT203" s="23">
        <f>Amortizacion_Capital_Mensual!R203</f>
        <v/>
      </c>
      <c r="AU203" s="23">
        <f>Saldos_Capital_Mensual!Q203</f>
        <v/>
      </c>
      <c r="AV203" s="23">
        <f>Intereses_Residual_Mensual!Q203</f>
        <v/>
      </c>
      <c r="AW203" s="23">
        <f>ROUND(AS203 + AV203, 2)</f>
        <v/>
      </c>
      <c r="AX203" s="23">
        <f>Intereses_Leasing_Mensual!R203</f>
        <v/>
      </c>
      <c r="AY203" s="23">
        <f>Amortizacion_Capital_Mensual!S203</f>
        <v/>
      </c>
      <c r="AZ203" s="23">
        <f>Saldos_Capital_Mensual!R203</f>
        <v/>
      </c>
      <c r="BA203" s="23">
        <f>Intereses_Residual_Mensual!R203</f>
        <v/>
      </c>
      <c r="BB203" s="23">
        <f>ROUND(AX203 + BA203, 2)</f>
        <v/>
      </c>
      <c r="BC203" s="23">
        <f>Intereses_Leasing_Mensual!S203</f>
        <v/>
      </c>
      <c r="BD203" s="23">
        <f>Amortizacion_Capital_Mensual!T203</f>
        <v/>
      </c>
      <c r="BE203" s="23">
        <f>Saldos_Capital_Mensual!S203</f>
        <v/>
      </c>
      <c r="BF203" s="23">
        <f>Intereses_Residual_Mensual!S203</f>
        <v/>
      </c>
      <c r="BG203" s="23">
        <f>ROUND(BC203 + BF203, 2)</f>
        <v/>
      </c>
      <c r="BH203" s="23">
        <f>Intereses_Leasing_Mensual!T203</f>
        <v/>
      </c>
      <c r="BI203" s="23">
        <f>Amortizacion_Capital_Mensual!U203</f>
        <v/>
      </c>
      <c r="BJ203" s="23">
        <f>Saldos_Capital_Mensual!T203</f>
        <v/>
      </c>
      <c r="BK203" s="23">
        <f>Intereses_Residual_Mensual!T203</f>
        <v/>
      </c>
      <c r="BL203" s="23">
        <f>ROUND(BH203 + BK203, 2)</f>
        <v/>
      </c>
    </row>
    <row r="204">
      <c r="A204" s="26" t="inlineStr">
        <is>
          <t>0721-0001</t>
        </is>
      </c>
      <c r="B204" s="27" t="inlineStr">
        <is>
          <t>Ricardo Ortiz Guzman</t>
        </is>
      </c>
      <c r="C204" s="27" t="inlineStr">
        <is>
          <t>Rifter</t>
        </is>
      </c>
      <c r="D204" s="28" t="n">
        <v>48</v>
      </c>
      <c r="E204" s="29">
        <f>Intereses_Leasing_Mensual!I204</f>
        <v/>
      </c>
      <c r="F204" s="29">
        <f>Amortizacion_Capital_Mensual!J204</f>
        <v/>
      </c>
      <c r="G204" s="29">
        <f>Saldos_Capital_Mensual!I204</f>
        <v/>
      </c>
      <c r="H204" s="29">
        <f>Intereses_Residual_Mensual!I204</f>
        <v/>
      </c>
      <c r="I204" s="29">
        <f>ROUND(E204 + H204, 2)</f>
        <v/>
      </c>
      <c r="J204" s="29">
        <f>Intereses_Leasing_Mensual!J204</f>
        <v/>
      </c>
      <c r="K204" s="29">
        <f>Amortizacion_Capital_Mensual!K204</f>
        <v/>
      </c>
      <c r="L204" s="29">
        <f>Saldos_Capital_Mensual!J204</f>
        <v/>
      </c>
      <c r="M204" s="29">
        <f>Intereses_Residual_Mensual!J204</f>
        <v/>
      </c>
      <c r="N204" s="29">
        <f>ROUND(J204 + M204, 2)</f>
        <v/>
      </c>
      <c r="O204" s="29">
        <f>Intereses_Leasing_Mensual!K204</f>
        <v/>
      </c>
      <c r="P204" s="29">
        <f>Amortizacion_Capital_Mensual!L204</f>
        <v/>
      </c>
      <c r="Q204" s="29">
        <f>Saldos_Capital_Mensual!K204</f>
        <v/>
      </c>
      <c r="R204" s="29">
        <f>Intereses_Residual_Mensual!K204</f>
        <v/>
      </c>
      <c r="S204" s="29">
        <f>ROUND(O204 + R204, 2)</f>
        <v/>
      </c>
      <c r="T204" s="29">
        <f>Intereses_Leasing_Mensual!L204</f>
        <v/>
      </c>
      <c r="U204" s="29">
        <f>Amortizacion_Capital_Mensual!M204</f>
        <v/>
      </c>
      <c r="V204" s="29">
        <f>Saldos_Capital_Mensual!L204</f>
        <v/>
      </c>
      <c r="W204" s="29">
        <f>Intereses_Residual_Mensual!L204</f>
        <v/>
      </c>
      <c r="X204" s="29">
        <f>ROUND(T204 + W204, 2)</f>
        <v/>
      </c>
      <c r="Y204" s="29">
        <f>Intereses_Leasing_Mensual!M204</f>
        <v/>
      </c>
      <c r="Z204" s="29">
        <f>Amortizacion_Capital_Mensual!N204</f>
        <v/>
      </c>
      <c r="AA204" s="29">
        <f>Saldos_Capital_Mensual!M204</f>
        <v/>
      </c>
      <c r="AB204" s="29">
        <f>Intereses_Residual_Mensual!M204</f>
        <v/>
      </c>
      <c r="AC204" s="29">
        <f>ROUND(Y204 + AB204, 2)</f>
        <v/>
      </c>
      <c r="AD204" s="29">
        <f>Intereses_Leasing_Mensual!N204</f>
        <v/>
      </c>
      <c r="AE204" s="29">
        <f>Amortizacion_Capital_Mensual!O204</f>
        <v/>
      </c>
      <c r="AF204" s="29">
        <f>Saldos_Capital_Mensual!N204</f>
        <v/>
      </c>
      <c r="AG204" s="29">
        <f>Intereses_Residual_Mensual!N204</f>
        <v/>
      </c>
      <c r="AH204" s="29">
        <f>ROUND(AD204 + AG204, 2)</f>
        <v/>
      </c>
      <c r="AI204" s="29">
        <f>Intereses_Leasing_Mensual!O204</f>
        <v/>
      </c>
      <c r="AJ204" s="29">
        <f>Amortizacion_Capital_Mensual!P204</f>
        <v/>
      </c>
      <c r="AK204" s="29">
        <f>Saldos_Capital_Mensual!O204</f>
        <v/>
      </c>
      <c r="AL204" s="29">
        <f>Intereses_Residual_Mensual!O204</f>
        <v/>
      </c>
      <c r="AM204" s="29">
        <f>ROUND(AI204 + AL204, 2)</f>
        <v/>
      </c>
      <c r="AN204" s="29">
        <f>Intereses_Leasing_Mensual!P204</f>
        <v/>
      </c>
      <c r="AO204" s="29">
        <f>Amortizacion_Capital_Mensual!Q204</f>
        <v/>
      </c>
      <c r="AP204" s="29">
        <f>Saldos_Capital_Mensual!P204</f>
        <v/>
      </c>
      <c r="AQ204" s="29">
        <f>Intereses_Residual_Mensual!P204</f>
        <v/>
      </c>
      <c r="AR204" s="29">
        <f>ROUND(AN204 + AQ204, 2)</f>
        <v/>
      </c>
      <c r="AS204" s="29">
        <f>Intereses_Leasing_Mensual!Q204</f>
        <v/>
      </c>
      <c r="AT204" s="29">
        <f>Amortizacion_Capital_Mensual!R204</f>
        <v/>
      </c>
      <c r="AU204" s="29">
        <f>Saldos_Capital_Mensual!Q204</f>
        <v/>
      </c>
      <c r="AV204" s="29">
        <f>Intereses_Residual_Mensual!Q204</f>
        <v/>
      </c>
      <c r="AW204" s="29">
        <f>ROUND(AS204 + AV204, 2)</f>
        <v/>
      </c>
      <c r="AX204" s="29">
        <f>Intereses_Leasing_Mensual!R204</f>
        <v/>
      </c>
      <c r="AY204" s="29">
        <f>Amortizacion_Capital_Mensual!S204</f>
        <v/>
      </c>
      <c r="AZ204" s="29">
        <f>Saldos_Capital_Mensual!R204</f>
        <v/>
      </c>
      <c r="BA204" s="29">
        <f>Intereses_Residual_Mensual!R204</f>
        <v/>
      </c>
      <c r="BB204" s="29">
        <f>ROUND(AX204 + BA204, 2)</f>
        <v/>
      </c>
      <c r="BC204" s="29">
        <f>Intereses_Leasing_Mensual!S204</f>
        <v/>
      </c>
      <c r="BD204" s="29">
        <f>Amortizacion_Capital_Mensual!T204</f>
        <v/>
      </c>
      <c r="BE204" s="29">
        <f>Saldos_Capital_Mensual!S204</f>
        <v/>
      </c>
      <c r="BF204" s="29">
        <f>Intereses_Residual_Mensual!S204</f>
        <v/>
      </c>
      <c r="BG204" s="29">
        <f>ROUND(BC204 + BF204, 2)</f>
        <v/>
      </c>
      <c r="BH204" s="29">
        <f>Intereses_Leasing_Mensual!T204</f>
        <v/>
      </c>
      <c r="BI204" s="29">
        <f>Amortizacion_Capital_Mensual!U204</f>
        <v/>
      </c>
      <c r="BJ204" s="29">
        <f>Saldos_Capital_Mensual!T204</f>
        <v/>
      </c>
      <c r="BK204" s="29">
        <f>Intereses_Residual_Mensual!T204</f>
        <v/>
      </c>
      <c r="BL204" s="29">
        <f>ROUND(BH204 + BK204, 2)</f>
        <v/>
      </c>
    </row>
    <row r="205">
      <c r="A205" s="20" t="inlineStr">
        <is>
          <t>0721-0002</t>
        </is>
      </c>
      <c r="B205" s="21" t="inlineStr">
        <is>
          <t>Ricardo Ortiz Guzman</t>
        </is>
      </c>
      <c r="C205" s="21" t="inlineStr">
        <is>
          <t>CX5</t>
        </is>
      </c>
      <c r="D205" s="22" t="n">
        <v>48</v>
      </c>
      <c r="E205" s="23">
        <f>Intereses_Leasing_Mensual!I205</f>
        <v/>
      </c>
      <c r="F205" s="23">
        <f>Amortizacion_Capital_Mensual!J205</f>
        <v/>
      </c>
      <c r="G205" s="23">
        <f>Saldos_Capital_Mensual!I205</f>
        <v/>
      </c>
      <c r="H205" s="23">
        <f>Intereses_Residual_Mensual!I205</f>
        <v/>
      </c>
      <c r="I205" s="23">
        <f>ROUND(E205 + H205, 2)</f>
        <v/>
      </c>
      <c r="J205" s="23">
        <f>Intereses_Leasing_Mensual!J205</f>
        <v/>
      </c>
      <c r="K205" s="23">
        <f>Amortizacion_Capital_Mensual!K205</f>
        <v/>
      </c>
      <c r="L205" s="23">
        <f>Saldos_Capital_Mensual!J205</f>
        <v/>
      </c>
      <c r="M205" s="23">
        <f>Intereses_Residual_Mensual!J205</f>
        <v/>
      </c>
      <c r="N205" s="23">
        <f>ROUND(J205 + M205, 2)</f>
        <v/>
      </c>
      <c r="O205" s="23">
        <f>Intereses_Leasing_Mensual!K205</f>
        <v/>
      </c>
      <c r="P205" s="23">
        <f>Amortizacion_Capital_Mensual!L205</f>
        <v/>
      </c>
      <c r="Q205" s="23">
        <f>Saldos_Capital_Mensual!K205</f>
        <v/>
      </c>
      <c r="R205" s="23">
        <f>Intereses_Residual_Mensual!K205</f>
        <v/>
      </c>
      <c r="S205" s="23">
        <f>ROUND(O205 + R205, 2)</f>
        <v/>
      </c>
      <c r="T205" s="23">
        <f>Intereses_Leasing_Mensual!L205</f>
        <v/>
      </c>
      <c r="U205" s="23">
        <f>Amortizacion_Capital_Mensual!M205</f>
        <v/>
      </c>
      <c r="V205" s="23">
        <f>Saldos_Capital_Mensual!L205</f>
        <v/>
      </c>
      <c r="W205" s="23">
        <f>Intereses_Residual_Mensual!L205</f>
        <v/>
      </c>
      <c r="X205" s="23">
        <f>ROUND(T205 + W205, 2)</f>
        <v/>
      </c>
      <c r="Y205" s="23">
        <f>Intereses_Leasing_Mensual!M205</f>
        <v/>
      </c>
      <c r="Z205" s="23">
        <f>Amortizacion_Capital_Mensual!N205</f>
        <v/>
      </c>
      <c r="AA205" s="23">
        <f>Saldos_Capital_Mensual!M205</f>
        <v/>
      </c>
      <c r="AB205" s="23">
        <f>Intereses_Residual_Mensual!M205</f>
        <v/>
      </c>
      <c r="AC205" s="23">
        <f>ROUND(Y205 + AB205, 2)</f>
        <v/>
      </c>
      <c r="AD205" s="23">
        <f>Intereses_Leasing_Mensual!N205</f>
        <v/>
      </c>
      <c r="AE205" s="23">
        <f>Amortizacion_Capital_Mensual!O205</f>
        <v/>
      </c>
      <c r="AF205" s="23">
        <f>Saldos_Capital_Mensual!N205</f>
        <v/>
      </c>
      <c r="AG205" s="23">
        <f>Intereses_Residual_Mensual!N205</f>
        <v/>
      </c>
      <c r="AH205" s="23">
        <f>ROUND(AD205 + AG205, 2)</f>
        <v/>
      </c>
      <c r="AI205" s="23">
        <f>Intereses_Leasing_Mensual!O205</f>
        <v/>
      </c>
      <c r="AJ205" s="23">
        <f>Amortizacion_Capital_Mensual!P205</f>
        <v/>
      </c>
      <c r="AK205" s="23">
        <f>Saldos_Capital_Mensual!O205</f>
        <v/>
      </c>
      <c r="AL205" s="23">
        <f>Intereses_Residual_Mensual!O205</f>
        <v/>
      </c>
      <c r="AM205" s="23">
        <f>ROUND(AI205 + AL205, 2)</f>
        <v/>
      </c>
      <c r="AN205" s="23">
        <f>Intereses_Leasing_Mensual!P205</f>
        <v/>
      </c>
      <c r="AO205" s="23">
        <f>Amortizacion_Capital_Mensual!Q205</f>
        <v/>
      </c>
      <c r="AP205" s="23">
        <f>Saldos_Capital_Mensual!P205</f>
        <v/>
      </c>
      <c r="AQ205" s="23">
        <f>Intereses_Residual_Mensual!P205</f>
        <v/>
      </c>
      <c r="AR205" s="23">
        <f>ROUND(AN205 + AQ205, 2)</f>
        <v/>
      </c>
      <c r="AS205" s="23">
        <f>Intereses_Leasing_Mensual!Q205</f>
        <v/>
      </c>
      <c r="AT205" s="23">
        <f>Amortizacion_Capital_Mensual!R205</f>
        <v/>
      </c>
      <c r="AU205" s="23">
        <f>Saldos_Capital_Mensual!Q205</f>
        <v/>
      </c>
      <c r="AV205" s="23">
        <f>Intereses_Residual_Mensual!Q205</f>
        <v/>
      </c>
      <c r="AW205" s="23">
        <f>ROUND(AS205 + AV205, 2)</f>
        <v/>
      </c>
      <c r="AX205" s="23">
        <f>Intereses_Leasing_Mensual!R205</f>
        <v/>
      </c>
      <c r="AY205" s="23">
        <f>Amortizacion_Capital_Mensual!S205</f>
        <v/>
      </c>
      <c r="AZ205" s="23">
        <f>Saldos_Capital_Mensual!R205</f>
        <v/>
      </c>
      <c r="BA205" s="23">
        <f>Intereses_Residual_Mensual!R205</f>
        <v/>
      </c>
      <c r="BB205" s="23">
        <f>ROUND(AX205 + BA205, 2)</f>
        <v/>
      </c>
      <c r="BC205" s="23">
        <f>Intereses_Leasing_Mensual!S205</f>
        <v/>
      </c>
      <c r="BD205" s="23">
        <f>Amortizacion_Capital_Mensual!T205</f>
        <v/>
      </c>
      <c r="BE205" s="23">
        <f>Saldos_Capital_Mensual!S205</f>
        <v/>
      </c>
      <c r="BF205" s="23">
        <f>Intereses_Residual_Mensual!S205</f>
        <v/>
      </c>
      <c r="BG205" s="23">
        <f>ROUND(BC205 + BF205, 2)</f>
        <v/>
      </c>
      <c r="BH205" s="23">
        <f>Intereses_Leasing_Mensual!T205</f>
        <v/>
      </c>
      <c r="BI205" s="23">
        <f>Amortizacion_Capital_Mensual!U205</f>
        <v/>
      </c>
      <c r="BJ205" s="23">
        <f>Saldos_Capital_Mensual!T205</f>
        <v/>
      </c>
      <c r="BK205" s="23">
        <f>Intereses_Residual_Mensual!T205</f>
        <v/>
      </c>
      <c r="BL205" s="23">
        <f>ROUND(BH205 + BK205, 2)</f>
        <v/>
      </c>
    </row>
    <row r="206">
      <c r="A206" s="26" t="inlineStr">
        <is>
          <t>0722-0001</t>
        </is>
      </c>
      <c r="B206" s="27" t="inlineStr">
        <is>
          <t>Tortas Ro S. DE R.L. DE C.V.</t>
        </is>
      </c>
      <c r="C206" s="27" t="inlineStr">
        <is>
          <t>Partner</t>
        </is>
      </c>
      <c r="D206" s="28" t="n">
        <v>24</v>
      </c>
      <c r="E206" s="29">
        <f>Intereses_Leasing_Mensual!I206</f>
        <v/>
      </c>
      <c r="F206" s="29">
        <f>Amortizacion_Capital_Mensual!J206</f>
        <v/>
      </c>
      <c r="G206" s="29">
        <f>Saldos_Capital_Mensual!I206</f>
        <v/>
      </c>
      <c r="H206" s="29">
        <f>Intereses_Residual_Mensual!I206</f>
        <v/>
      </c>
      <c r="I206" s="29">
        <f>ROUND(E206 + H206, 2)</f>
        <v/>
      </c>
      <c r="J206" s="29">
        <f>Intereses_Leasing_Mensual!J206</f>
        <v/>
      </c>
      <c r="K206" s="29">
        <f>Amortizacion_Capital_Mensual!K206</f>
        <v/>
      </c>
      <c r="L206" s="29">
        <f>Saldos_Capital_Mensual!J206</f>
        <v/>
      </c>
      <c r="M206" s="29">
        <f>Intereses_Residual_Mensual!J206</f>
        <v/>
      </c>
      <c r="N206" s="29">
        <f>ROUND(J206 + M206, 2)</f>
        <v/>
      </c>
      <c r="O206" s="29">
        <f>Intereses_Leasing_Mensual!K206</f>
        <v/>
      </c>
      <c r="P206" s="29">
        <f>Amortizacion_Capital_Mensual!L206</f>
        <v/>
      </c>
      <c r="Q206" s="29">
        <f>Saldos_Capital_Mensual!K206</f>
        <v/>
      </c>
      <c r="R206" s="29">
        <f>Intereses_Residual_Mensual!K206</f>
        <v/>
      </c>
      <c r="S206" s="29">
        <f>ROUND(O206 + R206, 2)</f>
        <v/>
      </c>
      <c r="T206" s="29">
        <f>Intereses_Leasing_Mensual!L206</f>
        <v/>
      </c>
      <c r="U206" s="29">
        <f>Amortizacion_Capital_Mensual!M206</f>
        <v/>
      </c>
      <c r="V206" s="29">
        <f>Saldos_Capital_Mensual!L206</f>
        <v/>
      </c>
      <c r="W206" s="29">
        <f>Intereses_Residual_Mensual!L206</f>
        <v/>
      </c>
      <c r="X206" s="29">
        <f>ROUND(T206 + W206, 2)</f>
        <v/>
      </c>
      <c r="Y206" s="29">
        <f>Intereses_Leasing_Mensual!M206</f>
        <v/>
      </c>
      <c r="Z206" s="29">
        <f>Amortizacion_Capital_Mensual!N206</f>
        <v/>
      </c>
      <c r="AA206" s="29">
        <f>Saldos_Capital_Mensual!M206</f>
        <v/>
      </c>
      <c r="AB206" s="29">
        <f>Intereses_Residual_Mensual!M206</f>
        <v/>
      </c>
      <c r="AC206" s="29">
        <f>ROUND(Y206 + AB206, 2)</f>
        <v/>
      </c>
      <c r="AD206" s="29">
        <f>Intereses_Leasing_Mensual!N206</f>
        <v/>
      </c>
      <c r="AE206" s="29">
        <f>Amortizacion_Capital_Mensual!O206</f>
        <v/>
      </c>
      <c r="AF206" s="29">
        <f>Saldos_Capital_Mensual!N206</f>
        <v/>
      </c>
      <c r="AG206" s="29">
        <f>Intereses_Residual_Mensual!N206</f>
        <v/>
      </c>
      <c r="AH206" s="29">
        <f>ROUND(AD206 + AG206, 2)</f>
        <v/>
      </c>
      <c r="AI206" s="29">
        <f>Intereses_Leasing_Mensual!O206</f>
        <v/>
      </c>
      <c r="AJ206" s="29">
        <f>Amortizacion_Capital_Mensual!P206</f>
        <v/>
      </c>
      <c r="AK206" s="29">
        <f>Saldos_Capital_Mensual!O206</f>
        <v/>
      </c>
      <c r="AL206" s="29">
        <f>Intereses_Residual_Mensual!O206</f>
        <v/>
      </c>
      <c r="AM206" s="29">
        <f>ROUND(AI206 + AL206, 2)</f>
        <v/>
      </c>
      <c r="AN206" s="29">
        <f>Intereses_Leasing_Mensual!P206</f>
        <v/>
      </c>
      <c r="AO206" s="29">
        <f>Amortizacion_Capital_Mensual!Q206</f>
        <v/>
      </c>
      <c r="AP206" s="29">
        <f>Saldos_Capital_Mensual!P206</f>
        <v/>
      </c>
      <c r="AQ206" s="29">
        <f>Intereses_Residual_Mensual!P206</f>
        <v/>
      </c>
      <c r="AR206" s="29">
        <f>ROUND(AN206 + AQ206, 2)</f>
        <v/>
      </c>
      <c r="AS206" s="29">
        <f>Intereses_Leasing_Mensual!Q206</f>
        <v/>
      </c>
      <c r="AT206" s="29">
        <f>Amortizacion_Capital_Mensual!R206</f>
        <v/>
      </c>
      <c r="AU206" s="29">
        <f>Saldos_Capital_Mensual!Q206</f>
        <v/>
      </c>
      <c r="AV206" s="29">
        <f>Intereses_Residual_Mensual!Q206</f>
        <v/>
      </c>
      <c r="AW206" s="29">
        <f>ROUND(AS206 + AV206, 2)</f>
        <v/>
      </c>
      <c r="AX206" s="29">
        <f>Intereses_Leasing_Mensual!R206</f>
        <v/>
      </c>
      <c r="AY206" s="29">
        <f>Amortizacion_Capital_Mensual!S206</f>
        <v/>
      </c>
      <c r="AZ206" s="29">
        <f>Saldos_Capital_Mensual!R206</f>
        <v/>
      </c>
      <c r="BA206" s="29">
        <f>Intereses_Residual_Mensual!R206</f>
        <v/>
      </c>
      <c r="BB206" s="29">
        <f>ROUND(AX206 + BA206, 2)</f>
        <v/>
      </c>
      <c r="BC206" s="29">
        <f>Intereses_Leasing_Mensual!S206</f>
        <v/>
      </c>
      <c r="BD206" s="29">
        <f>Amortizacion_Capital_Mensual!T206</f>
        <v/>
      </c>
      <c r="BE206" s="29">
        <f>Saldos_Capital_Mensual!S206</f>
        <v/>
      </c>
      <c r="BF206" s="29">
        <f>Intereses_Residual_Mensual!S206</f>
        <v/>
      </c>
      <c r="BG206" s="29">
        <f>ROUND(BC206 + BF206, 2)</f>
        <v/>
      </c>
      <c r="BH206" s="29">
        <f>Intereses_Leasing_Mensual!T206</f>
        <v/>
      </c>
      <c r="BI206" s="29">
        <f>Amortizacion_Capital_Mensual!U206</f>
        <v/>
      </c>
      <c r="BJ206" s="29">
        <f>Saldos_Capital_Mensual!T206</f>
        <v/>
      </c>
      <c r="BK206" s="29">
        <f>Intereses_Residual_Mensual!T206</f>
        <v/>
      </c>
      <c r="BL206" s="29">
        <f>ROUND(BH206 + BK206, 2)</f>
        <v/>
      </c>
    </row>
    <row r="207">
      <c r="A207" s="20" t="inlineStr">
        <is>
          <t>0723-0001</t>
        </is>
      </c>
      <c r="B207" s="21" t="inlineStr">
        <is>
          <t>Sandra Inez Velazquez Altamirano</t>
        </is>
      </c>
      <c r="C207" s="21" t="inlineStr">
        <is>
          <t>Sierra Denali</t>
        </is>
      </c>
      <c r="D207" s="22" t="n">
        <v>36</v>
      </c>
      <c r="E207" s="23">
        <f>Intereses_Leasing_Mensual!I207</f>
        <v/>
      </c>
      <c r="F207" s="23">
        <f>Amortizacion_Capital_Mensual!J207</f>
        <v/>
      </c>
      <c r="G207" s="23">
        <f>Saldos_Capital_Mensual!I207</f>
        <v/>
      </c>
      <c r="H207" s="23">
        <f>Intereses_Residual_Mensual!I207</f>
        <v/>
      </c>
      <c r="I207" s="23">
        <f>ROUND(E207 + H207, 2)</f>
        <v/>
      </c>
      <c r="J207" s="23">
        <f>Intereses_Leasing_Mensual!J207</f>
        <v/>
      </c>
      <c r="K207" s="23">
        <f>Amortizacion_Capital_Mensual!K207</f>
        <v/>
      </c>
      <c r="L207" s="23">
        <f>Saldos_Capital_Mensual!J207</f>
        <v/>
      </c>
      <c r="M207" s="23">
        <f>Intereses_Residual_Mensual!J207</f>
        <v/>
      </c>
      <c r="N207" s="23">
        <f>ROUND(J207 + M207, 2)</f>
        <v/>
      </c>
      <c r="O207" s="23">
        <f>Intereses_Leasing_Mensual!K207</f>
        <v/>
      </c>
      <c r="P207" s="23">
        <f>Amortizacion_Capital_Mensual!L207</f>
        <v/>
      </c>
      <c r="Q207" s="23">
        <f>Saldos_Capital_Mensual!K207</f>
        <v/>
      </c>
      <c r="R207" s="23">
        <f>Intereses_Residual_Mensual!K207</f>
        <v/>
      </c>
      <c r="S207" s="23">
        <f>ROUND(O207 + R207, 2)</f>
        <v/>
      </c>
      <c r="T207" s="23">
        <f>Intereses_Leasing_Mensual!L207</f>
        <v/>
      </c>
      <c r="U207" s="23">
        <f>Amortizacion_Capital_Mensual!M207</f>
        <v/>
      </c>
      <c r="V207" s="23">
        <f>Saldos_Capital_Mensual!L207</f>
        <v/>
      </c>
      <c r="W207" s="23">
        <f>Intereses_Residual_Mensual!L207</f>
        <v/>
      </c>
      <c r="X207" s="23">
        <f>ROUND(T207 + W207, 2)</f>
        <v/>
      </c>
      <c r="Y207" s="23">
        <f>Intereses_Leasing_Mensual!M207</f>
        <v/>
      </c>
      <c r="Z207" s="23">
        <f>Amortizacion_Capital_Mensual!N207</f>
        <v/>
      </c>
      <c r="AA207" s="23">
        <f>Saldos_Capital_Mensual!M207</f>
        <v/>
      </c>
      <c r="AB207" s="23">
        <f>Intereses_Residual_Mensual!M207</f>
        <v/>
      </c>
      <c r="AC207" s="23">
        <f>ROUND(Y207 + AB207, 2)</f>
        <v/>
      </c>
      <c r="AD207" s="23">
        <f>Intereses_Leasing_Mensual!N207</f>
        <v/>
      </c>
      <c r="AE207" s="23">
        <f>Amortizacion_Capital_Mensual!O207</f>
        <v/>
      </c>
      <c r="AF207" s="23">
        <f>Saldos_Capital_Mensual!N207</f>
        <v/>
      </c>
      <c r="AG207" s="23">
        <f>Intereses_Residual_Mensual!N207</f>
        <v/>
      </c>
      <c r="AH207" s="23">
        <f>ROUND(AD207 + AG207, 2)</f>
        <v/>
      </c>
      <c r="AI207" s="23">
        <f>Intereses_Leasing_Mensual!O207</f>
        <v/>
      </c>
      <c r="AJ207" s="23">
        <f>Amortizacion_Capital_Mensual!P207</f>
        <v/>
      </c>
      <c r="AK207" s="23">
        <f>Saldos_Capital_Mensual!O207</f>
        <v/>
      </c>
      <c r="AL207" s="23">
        <f>Intereses_Residual_Mensual!O207</f>
        <v/>
      </c>
      <c r="AM207" s="23">
        <f>ROUND(AI207 + AL207, 2)</f>
        <v/>
      </c>
      <c r="AN207" s="23">
        <f>Intereses_Leasing_Mensual!P207</f>
        <v/>
      </c>
      <c r="AO207" s="23">
        <f>Amortizacion_Capital_Mensual!Q207</f>
        <v/>
      </c>
      <c r="AP207" s="23">
        <f>Saldos_Capital_Mensual!P207</f>
        <v/>
      </c>
      <c r="AQ207" s="23">
        <f>Intereses_Residual_Mensual!P207</f>
        <v/>
      </c>
      <c r="AR207" s="23">
        <f>ROUND(AN207 + AQ207, 2)</f>
        <v/>
      </c>
      <c r="AS207" s="23">
        <f>Intereses_Leasing_Mensual!Q207</f>
        <v/>
      </c>
      <c r="AT207" s="23">
        <f>Amortizacion_Capital_Mensual!R207</f>
        <v/>
      </c>
      <c r="AU207" s="23">
        <f>Saldos_Capital_Mensual!Q207</f>
        <v/>
      </c>
      <c r="AV207" s="23">
        <f>Intereses_Residual_Mensual!Q207</f>
        <v/>
      </c>
      <c r="AW207" s="23">
        <f>ROUND(AS207 + AV207, 2)</f>
        <v/>
      </c>
      <c r="AX207" s="23">
        <f>Intereses_Leasing_Mensual!R207</f>
        <v/>
      </c>
      <c r="AY207" s="23">
        <f>Amortizacion_Capital_Mensual!S207</f>
        <v/>
      </c>
      <c r="AZ207" s="23">
        <f>Saldos_Capital_Mensual!R207</f>
        <v/>
      </c>
      <c r="BA207" s="23">
        <f>Intereses_Residual_Mensual!R207</f>
        <v/>
      </c>
      <c r="BB207" s="23">
        <f>ROUND(AX207 + BA207, 2)</f>
        <v/>
      </c>
      <c r="BC207" s="23">
        <f>Intereses_Leasing_Mensual!S207</f>
        <v/>
      </c>
      <c r="BD207" s="23">
        <f>Amortizacion_Capital_Mensual!T207</f>
        <v/>
      </c>
      <c r="BE207" s="23">
        <f>Saldos_Capital_Mensual!S207</f>
        <v/>
      </c>
      <c r="BF207" s="23">
        <f>Intereses_Residual_Mensual!S207</f>
        <v/>
      </c>
      <c r="BG207" s="23">
        <f>ROUND(BC207 + BF207, 2)</f>
        <v/>
      </c>
      <c r="BH207" s="23">
        <f>Intereses_Leasing_Mensual!T207</f>
        <v/>
      </c>
      <c r="BI207" s="23">
        <f>Amortizacion_Capital_Mensual!U207</f>
        <v/>
      </c>
      <c r="BJ207" s="23">
        <f>Saldos_Capital_Mensual!T207</f>
        <v/>
      </c>
      <c r="BK207" s="23">
        <f>Intereses_Residual_Mensual!T207</f>
        <v/>
      </c>
      <c r="BL207" s="23">
        <f>ROUND(BH207 + BK207, 2)</f>
        <v/>
      </c>
    </row>
    <row r="208">
      <c r="A208" s="26" t="inlineStr">
        <is>
          <t>0724-0001</t>
        </is>
      </c>
      <c r="B208" s="27" t="inlineStr">
        <is>
          <t>Victor Merced Brizuela Aguilar</t>
        </is>
      </c>
      <c r="C208" s="27" t="inlineStr">
        <is>
          <t>Tiggo 7 Plus</t>
        </is>
      </c>
      <c r="D208" s="28" t="n">
        <v>48</v>
      </c>
      <c r="E208" s="29">
        <f>Intereses_Leasing_Mensual!I208</f>
        <v/>
      </c>
      <c r="F208" s="29">
        <f>Amortizacion_Capital_Mensual!J208</f>
        <v/>
      </c>
      <c r="G208" s="29">
        <f>Saldos_Capital_Mensual!I208</f>
        <v/>
      </c>
      <c r="H208" s="29">
        <f>Intereses_Residual_Mensual!I208</f>
        <v/>
      </c>
      <c r="I208" s="29">
        <f>ROUND(E208 + H208, 2)</f>
        <v/>
      </c>
      <c r="J208" s="29">
        <f>Intereses_Leasing_Mensual!J208</f>
        <v/>
      </c>
      <c r="K208" s="29">
        <f>Amortizacion_Capital_Mensual!K208</f>
        <v/>
      </c>
      <c r="L208" s="29">
        <f>Saldos_Capital_Mensual!J208</f>
        <v/>
      </c>
      <c r="M208" s="29">
        <f>Intereses_Residual_Mensual!J208</f>
        <v/>
      </c>
      <c r="N208" s="29">
        <f>ROUND(J208 + M208, 2)</f>
        <v/>
      </c>
      <c r="O208" s="29">
        <f>Intereses_Leasing_Mensual!K208</f>
        <v/>
      </c>
      <c r="P208" s="29">
        <f>Amortizacion_Capital_Mensual!L208</f>
        <v/>
      </c>
      <c r="Q208" s="29">
        <f>Saldos_Capital_Mensual!K208</f>
        <v/>
      </c>
      <c r="R208" s="29">
        <f>Intereses_Residual_Mensual!K208</f>
        <v/>
      </c>
      <c r="S208" s="29">
        <f>ROUND(O208 + R208, 2)</f>
        <v/>
      </c>
      <c r="T208" s="29">
        <f>Intereses_Leasing_Mensual!L208</f>
        <v/>
      </c>
      <c r="U208" s="29">
        <f>Amortizacion_Capital_Mensual!M208</f>
        <v/>
      </c>
      <c r="V208" s="29">
        <f>Saldos_Capital_Mensual!L208</f>
        <v/>
      </c>
      <c r="W208" s="29">
        <f>Intereses_Residual_Mensual!L208</f>
        <v/>
      </c>
      <c r="X208" s="29">
        <f>ROUND(T208 + W208, 2)</f>
        <v/>
      </c>
      <c r="Y208" s="29">
        <f>Intereses_Leasing_Mensual!M208</f>
        <v/>
      </c>
      <c r="Z208" s="29">
        <f>Amortizacion_Capital_Mensual!N208</f>
        <v/>
      </c>
      <c r="AA208" s="29">
        <f>Saldos_Capital_Mensual!M208</f>
        <v/>
      </c>
      <c r="AB208" s="29">
        <f>Intereses_Residual_Mensual!M208</f>
        <v/>
      </c>
      <c r="AC208" s="29">
        <f>ROUND(Y208 + AB208, 2)</f>
        <v/>
      </c>
      <c r="AD208" s="29">
        <f>Intereses_Leasing_Mensual!N208</f>
        <v/>
      </c>
      <c r="AE208" s="29">
        <f>Amortizacion_Capital_Mensual!O208</f>
        <v/>
      </c>
      <c r="AF208" s="29">
        <f>Saldos_Capital_Mensual!N208</f>
        <v/>
      </c>
      <c r="AG208" s="29">
        <f>Intereses_Residual_Mensual!N208</f>
        <v/>
      </c>
      <c r="AH208" s="29">
        <f>ROUND(AD208 + AG208, 2)</f>
        <v/>
      </c>
      <c r="AI208" s="29">
        <f>Intereses_Leasing_Mensual!O208</f>
        <v/>
      </c>
      <c r="AJ208" s="29">
        <f>Amortizacion_Capital_Mensual!P208</f>
        <v/>
      </c>
      <c r="AK208" s="29">
        <f>Saldos_Capital_Mensual!O208</f>
        <v/>
      </c>
      <c r="AL208" s="29">
        <f>Intereses_Residual_Mensual!O208</f>
        <v/>
      </c>
      <c r="AM208" s="29">
        <f>ROUND(AI208 + AL208, 2)</f>
        <v/>
      </c>
      <c r="AN208" s="29">
        <f>Intereses_Leasing_Mensual!P208</f>
        <v/>
      </c>
      <c r="AO208" s="29">
        <f>Amortizacion_Capital_Mensual!Q208</f>
        <v/>
      </c>
      <c r="AP208" s="29">
        <f>Saldos_Capital_Mensual!P208</f>
        <v/>
      </c>
      <c r="AQ208" s="29">
        <f>Intereses_Residual_Mensual!P208</f>
        <v/>
      </c>
      <c r="AR208" s="29">
        <f>ROUND(AN208 + AQ208, 2)</f>
        <v/>
      </c>
      <c r="AS208" s="29">
        <f>Intereses_Leasing_Mensual!Q208</f>
        <v/>
      </c>
      <c r="AT208" s="29">
        <f>Amortizacion_Capital_Mensual!R208</f>
        <v/>
      </c>
      <c r="AU208" s="29">
        <f>Saldos_Capital_Mensual!Q208</f>
        <v/>
      </c>
      <c r="AV208" s="29">
        <f>Intereses_Residual_Mensual!Q208</f>
        <v/>
      </c>
      <c r="AW208" s="29">
        <f>ROUND(AS208 + AV208, 2)</f>
        <v/>
      </c>
      <c r="AX208" s="29">
        <f>Intereses_Leasing_Mensual!R208</f>
        <v/>
      </c>
      <c r="AY208" s="29">
        <f>Amortizacion_Capital_Mensual!S208</f>
        <v/>
      </c>
      <c r="AZ208" s="29">
        <f>Saldos_Capital_Mensual!R208</f>
        <v/>
      </c>
      <c r="BA208" s="29">
        <f>Intereses_Residual_Mensual!R208</f>
        <v/>
      </c>
      <c r="BB208" s="29">
        <f>ROUND(AX208 + BA208, 2)</f>
        <v/>
      </c>
      <c r="BC208" s="29">
        <f>Intereses_Leasing_Mensual!S208</f>
        <v/>
      </c>
      <c r="BD208" s="29">
        <f>Amortizacion_Capital_Mensual!T208</f>
        <v/>
      </c>
      <c r="BE208" s="29">
        <f>Saldos_Capital_Mensual!S208</f>
        <v/>
      </c>
      <c r="BF208" s="29">
        <f>Intereses_Residual_Mensual!S208</f>
        <v/>
      </c>
      <c r="BG208" s="29">
        <f>ROUND(BC208 + BF208, 2)</f>
        <v/>
      </c>
      <c r="BH208" s="29">
        <f>Intereses_Leasing_Mensual!T208</f>
        <v/>
      </c>
      <c r="BI208" s="29">
        <f>Amortizacion_Capital_Mensual!U208</f>
        <v/>
      </c>
      <c r="BJ208" s="29">
        <f>Saldos_Capital_Mensual!T208</f>
        <v/>
      </c>
      <c r="BK208" s="29">
        <f>Intereses_Residual_Mensual!T208</f>
        <v/>
      </c>
      <c r="BL208" s="29">
        <f>ROUND(BH208 + BK208, 2)</f>
        <v/>
      </c>
    </row>
    <row r="209">
      <c r="A209" s="20" t="inlineStr">
        <is>
          <t>0725-0001</t>
        </is>
      </c>
      <c r="B209" s="21" t="inlineStr">
        <is>
          <t>Octavio Cortes Flores</t>
        </is>
      </c>
      <c r="C209" s="21" t="inlineStr">
        <is>
          <t>Rifter Allure</t>
        </is>
      </c>
      <c r="D209" s="22" t="n">
        <v>36</v>
      </c>
      <c r="E209" s="23">
        <f>Intereses_Leasing_Mensual!I209</f>
        <v/>
      </c>
      <c r="F209" s="23">
        <f>Amortizacion_Capital_Mensual!J209</f>
        <v/>
      </c>
      <c r="G209" s="23">
        <f>Saldos_Capital_Mensual!I209</f>
        <v/>
      </c>
      <c r="H209" s="23">
        <f>Intereses_Residual_Mensual!I209</f>
        <v/>
      </c>
      <c r="I209" s="23">
        <f>ROUND(E209 + H209, 2)</f>
        <v/>
      </c>
      <c r="J209" s="23">
        <f>Intereses_Leasing_Mensual!J209</f>
        <v/>
      </c>
      <c r="K209" s="23">
        <f>Amortizacion_Capital_Mensual!K209</f>
        <v/>
      </c>
      <c r="L209" s="23">
        <f>Saldos_Capital_Mensual!J209</f>
        <v/>
      </c>
      <c r="M209" s="23">
        <f>Intereses_Residual_Mensual!J209</f>
        <v/>
      </c>
      <c r="N209" s="23">
        <f>ROUND(J209 + M209, 2)</f>
        <v/>
      </c>
      <c r="O209" s="23">
        <f>Intereses_Leasing_Mensual!K209</f>
        <v/>
      </c>
      <c r="P209" s="23">
        <f>Amortizacion_Capital_Mensual!L209</f>
        <v/>
      </c>
      <c r="Q209" s="23">
        <f>Saldos_Capital_Mensual!K209</f>
        <v/>
      </c>
      <c r="R209" s="23">
        <f>Intereses_Residual_Mensual!K209</f>
        <v/>
      </c>
      <c r="S209" s="23">
        <f>ROUND(O209 + R209, 2)</f>
        <v/>
      </c>
      <c r="T209" s="23">
        <f>Intereses_Leasing_Mensual!L209</f>
        <v/>
      </c>
      <c r="U209" s="23">
        <f>Amortizacion_Capital_Mensual!M209</f>
        <v/>
      </c>
      <c r="V209" s="23">
        <f>Saldos_Capital_Mensual!L209</f>
        <v/>
      </c>
      <c r="W209" s="23">
        <f>Intereses_Residual_Mensual!L209</f>
        <v/>
      </c>
      <c r="X209" s="23">
        <f>ROUND(T209 + W209, 2)</f>
        <v/>
      </c>
      <c r="Y209" s="23">
        <f>Intereses_Leasing_Mensual!M209</f>
        <v/>
      </c>
      <c r="Z209" s="23">
        <f>Amortizacion_Capital_Mensual!N209</f>
        <v/>
      </c>
      <c r="AA209" s="23">
        <f>Saldos_Capital_Mensual!M209</f>
        <v/>
      </c>
      <c r="AB209" s="23">
        <f>Intereses_Residual_Mensual!M209</f>
        <v/>
      </c>
      <c r="AC209" s="23">
        <f>ROUND(Y209 + AB209, 2)</f>
        <v/>
      </c>
      <c r="AD209" s="23">
        <f>Intereses_Leasing_Mensual!N209</f>
        <v/>
      </c>
      <c r="AE209" s="23">
        <f>Amortizacion_Capital_Mensual!O209</f>
        <v/>
      </c>
      <c r="AF209" s="23">
        <f>Saldos_Capital_Mensual!N209</f>
        <v/>
      </c>
      <c r="AG209" s="23">
        <f>Intereses_Residual_Mensual!N209</f>
        <v/>
      </c>
      <c r="AH209" s="23">
        <f>ROUND(AD209 + AG209, 2)</f>
        <v/>
      </c>
      <c r="AI209" s="23">
        <f>Intereses_Leasing_Mensual!O209</f>
        <v/>
      </c>
      <c r="AJ209" s="23">
        <f>Amortizacion_Capital_Mensual!P209</f>
        <v/>
      </c>
      <c r="AK209" s="23">
        <f>Saldos_Capital_Mensual!O209</f>
        <v/>
      </c>
      <c r="AL209" s="23">
        <f>Intereses_Residual_Mensual!O209</f>
        <v/>
      </c>
      <c r="AM209" s="23">
        <f>ROUND(AI209 + AL209, 2)</f>
        <v/>
      </c>
      <c r="AN209" s="23">
        <f>Intereses_Leasing_Mensual!P209</f>
        <v/>
      </c>
      <c r="AO209" s="23">
        <f>Amortizacion_Capital_Mensual!Q209</f>
        <v/>
      </c>
      <c r="AP209" s="23">
        <f>Saldos_Capital_Mensual!P209</f>
        <v/>
      </c>
      <c r="AQ209" s="23">
        <f>Intereses_Residual_Mensual!P209</f>
        <v/>
      </c>
      <c r="AR209" s="23">
        <f>ROUND(AN209 + AQ209, 2)</f>
        <v/>
      </c>
      <c r="AS209" s="23">
        <f>Intereses_Leasing_Mensual!Q209</f>
        <v/>
      </c>
      <c r="AT209" s="23">
        <f>Amortizacion_Capital_Mensual!R209</f>
        <v/>
      </c>
      <c r="AU209" s="23">
        <f>Saldos_Capital_Mensual!Q209</f>
        <v/>
      </c>
      <c r="AV209" s="23">
        <f>Intereses_Residual_Mensual!Q209</f>
        <v/>
      </c>
      <c r="AW209" s="23">
        <f>ROUND(AS209 + AV209, 2)</f>
        <v/>
      </c>
      <c r="AX209" s="23">
        <f>Intereses_Leasing_Mensual!R209</f>
        <v/>
      </c>
      <c r="AY209" s="23">
        <f>Amortizacion_Capital_Mensual!S209</f>
        <v/>
      </c>
      <c r="AZ209" s="23">
        <f>Saldos_Capital_Mensual!R209</f>
        <v/>
      </c>
      <c r="BA209" s="23">
        <f>Intereses_Residual_Mensual!R209</f>
        <v/>
      </c>
      <c r="BB209" s="23">
        <f>ROUND(AX209 + BA209, 2)</f>
        <v/>
      </c>
      <c r="BC209" s="23">
        <f>Intereses_Leasing_Mensual!S209</f>
        <v/>
      </c>
      <c r="BD209" s="23">
        <f>Amortizacion_Capital_Mensual!T209</f>
        <v/>
      </c>
      <c r="BE209" s="23">
        <f>Saldos_Capital_Mensual!S209</f>
        <v/>
      </c>
      <c r="BF209" s="23">
        <f>Intereses_Residual_Mensual!S209</f>
        <v/>
      </c>
      <c r="BG209" s="23">
        <f>ROUND(BC209 + BF209, 2)</f>
        <v/>
      </c>
      <c r="BH209" s="23">
        <f>Intereses_Leasing_Mensual!T209</f>
        <v/>
      </c>
      <c r="BI209" s="23">
        <f>Amortizacion_Capital_Mensual!U209</f>
        <v/>
      </c>
      <c r="BJ209" s="23">
        <f>Saldos_Capital_Mensual!T209</f>
        <v/>
      </c>
      <c r="BK209" s="23">
        <f>Intereses_Residual_Mensual!T209</f>
        <v/>
      </c>
      <c r="BL209" s="23">
        <f>ROUND(BH209 + BK209, 2)</f>
        <v/>
      </c>
    </row>
    <row r="210">
      <c r="A210" s="26" t="inlineStr">
        <is>
          <t>0726-0001</t>
        </is>
      </c>
      <c r="B210" s="27" t="inlineStr">
        <is>
          <t>Martha Viviana Anguiano Gonzalez</t>
        </is>
      </c>
      <c r="C210" s="27" t="inlineStr">
        <is>
          <t>JT Mojave</t>
        </is>
      </c>
      <c r="D210" s="28" t="n">
        <v>48</v>
      </c>
      <c r="E210" s="29">
        <f>Intereses_Leasing_Mensual!I210</f>
        <v/>
      </c>
      <c r="F210" s="29">
        <f>Amortizacion_Capital_Mensual!J210</f>
        <v/>
      </c>
      <c r="G210" s="29">
        <f>Saldos_Capital_Mensual!I210</f>
        <v/>
      </c>
      <c r="H210" s="29">
        <f>Intereses_Residual_Mensual!I210</f>
        <v/>
      </c>
      <c r="I210" s="29">
        <f>ROUND(E210 + H210, 2)</f>
        <v/>
      </c>
      <c r="J210" s="29">
        <f>Intereses_Leasing_Mensual!J210</f>
        <v/>
      </c>
      <c r="K210" s="29">
        <f>Amortizacion_Capital_Mensual!K210</f>
        <v/>
      </c>
      <c r="L210" s="29">
        <f>Saldos_Capital_Mensual!J210</f>
        <v/>
      </c>
      <c r="M210" s="29">
        <f>Intereses_Residual_Mensual!J210</f>
        <v/>
      </c>
      <c r="N210" s="29">
        <f>ROUND(J210 + M210, 2)</f>
        <v/>
      </c>
      <c r="O210" s="29">
        <f>Intereses_Leasing_Mensual!K210</f>
        <v/>
      </c>
      <c r="P210" s="29">
        <f>Amortizacion_Capital_Mensual!L210</f>
        <v/>
      </c>
      <c r="Q210" s="29">
        <f>Saldos_Capital_Mensual!K210</f>
        <v/>
      </c>
      <c r="R210" s="29">
        <f>Intereses_Residual_Mensual!K210</f>
        <v/>
      </c>
      <c r="S210" s="29">
        <f>ROUND(O210 + R210, 2)</f>
        <v/>
      </c>
      <c r="T210" s="29">
        <f>Intereses_Leasing_Mensual!L210</f>
        <v/>
      </c>
      <c r="U210" s="29">
        <f>Amortizacion_Capital_Mensual!M210</f>
        <v/>
      </c>
      <c r="V210" s="29">
        <f>Saldos_Capital_Mensual!L210</f>
        <v/>
      </c>
      <c r="W210" s="29">
        <f>Intereses_Residual_Mensual!L210</f>
        <v/>
      </c>
      <c r="X210" s="29">
        <f>ROUND(T210 + W210, 2)</f>
        <v/>
      </c>
      <c r="Y210" s="29">
        <f>Intereses_Leasing_Mensual!M210</f>
        <v/>
      </c>
      <c r="Z210" s="29">
        <f>Amortizacion_Capital_Mensual!N210</f>
        <v/>
      </c>
      <c r="AA210" s="29">
        <f>Saldos_Capital_Mensual!M210</f>
        <v/>
      </c>
      <c r="AB210" s="29">
        <f>Intereses_Residual_Mensual!M210</f>
        <v/>
      </c>
      <c r="AC210" s="29">
        <f>ROUND(Y210 + AB210, 2)</f>
        <v/>
      </c>
      <c r="AD210" s="29">
        <f>Intereses_Leasing_Mensual!N210</f>
        <v/>
      </c>
      <c r="AE210" s="29">
        <f>Amortizacion_Capital_Mensual!O210</f>
        <v/>
      </c>
      <c r="AF210" s="29">
        <f>Saldos_Capital_Mensual!N210</f>
        <v/>
      </c>
      <c r="AG210" s="29">
        <f>Intereses_Residual_Mensual!N210</f>
        <v/>
      </c>
      <c r="AH210" s="29">
        <f>ROUND(AD210 + AG210, 2)</f>
        <v/>
      </c>
      <c r="AI210" s="29">
        <f>Intereses_Leasing_Mensual!O210</f>
        <v/>
      </c>
      <c r="AJ210" s="29">
        <f>Amortizacion_Capital_Mensual!P210</f>
        <v/>
      </c>
      <c r="AK210" s="29">
        <f>Saldos_Capital_Mensual!O210</f>
        <v/>
      </c>
      <c r="AL210" s="29">
        <f>Intereses_Residual_Mensual!O210</f>
        <v/>
      </c>
      <c r="AM210" s="29">
        <f>ROUND(AI210 + AL210, 2)</f>
        <v/>
      </c>
      <c r="AN210" s="29">
        <f>Intereses_Leasing_Mensual!P210</f>
        <v/>
      </c>
      <c r="AO210" s="29">
        <f>Amortizacion_Capital_Mensual!Q210</f>
        <v/>
      </c>
      <c r="AP210" s="29">
        <f>Saldos_Capital_Mensual!P210</f>
        <v/>
      </c>
      <c r="AQ210" s="29">
        <f>Intereses_Residual_Mensual!P210</f>
        <v/>
      </c>
      <c r="AR210" s="29">
        <f>ROUND(AN210 + AQ210, 2)</f>
        <v/>
      </c>
      <c r="AS210" s="29">
        <f>Intereses_Leasing_Mensual!Q210</f>
        <v/>
      </c>
      <c r="AT210" s="29">
        <f>Amortizacion_Capital_Mensual!R210</f>
        <v/>
      </c>
      <c r="AU210" s="29">
        <f>Saldos_Capital_Mensual!Q210</f>
        <v/>
      </c>
      <c r="AV210" s="29">
        <f>Intereses_Residual_Mensual!Q210</f>
        <v/>
      </c>
      <c r="AW210" s="29">
        <f>ROUND(AS210 + AV210, 2)</f>
        <v/>
      </c>
      <c r="AX210" s="29">
        <f>Intereses_Leasing_Mensual!R210</f>
        <v/>
      </c>
      <c r="AY210" s="29">
        <f>Amortizacion_Capital_Mensual!S210</f>
        <v/>
      </c>
      <c r="AZ210" s="29">
        <f>Saldos_Capital_Mensual!R210</f>
        <v/>
      </c>
      <c r="BA210" s="29">
        <f>Intereses_Residual_Mensual!R210</f>
        <v/>
      </c>
      <c r="BB210" s="29">
        <f>ROUND(AX210 + BA210, 2)</f>
        <v/>
      </c>
      <c r="BC210" s="29">
        <f>Intereses_Leasing_Mensual!S210</f>
        <v/>
      </c>
      <c r="BD210" s="29">
        <f>Amortizacion_Capital_Mensual!T210</f>
        <v/>
      </c>
      <c r="BE210" s="29">
        <f>Saldos_Capital_Mensual!S210</f>
        <v/>
      </c>
      <c r="BF210" s="29">
        <f>Intereses_Residual_Mensual!S210</f>
        <v/>
      </c>
      <c r="BG210" s="29">
        <f>ROUND(BC210 + BF210, 2)</f>
        <v/>
      </c>
      <c r="BH210" s="29">
        <f>Intereses_Leasing_Mensual!T210</f>
        <v/>
      </c>
      <c r="BI210" s="29">
        <f>Amortizacion_Capital_Mensual!U210</f>
        <v/>
      </c>
      <c r="BJ210" s="29">
        <f>Saldos_Capital_Mensual!T210</f>
        <v/>
      </c>
      <c r="BK210" s="29">
        <f>Intereses_Residual_Mensual!T210</f>
        <v/>
      </c>
      <c r="BL210" s="29">
        <f>ROUND(BH210 + BK210, 2)</f>
        <v/>
      </c>
    </row>
    <row r="211">
      <c r="A211" s="20" t="inlineStr">
        <is>
          <t>0727-0001</t>
        </is>
      </c>
      <c r="B211" s="21" t="inlineStr">
        <is>
          <t>Edgar Adrian Sainz Vazquez</t>
        </is>
      </c>
      <c r="C211" s="21" t="inlineStr">
        <is>
          <t>1200 Laramie</t>
        </is>
      </c>
      <c r="D211" s="22" t="n">
        <v>48</v>
      </c>
      <c r="E211" s="23">
        <f>Intereses_Leasing_Mensual!I211</f>
        <v/>
      </c>
      <c r="F211" s="23">
        <f>Amortizacion_Capital_Mensual!J211</f>
        <v/>
      </c>
      <c r="G211" s="23">
        <f>Saldos_Capital_Mensual!I211</f>
        <v/>
      </c>
      <c r="H211" s="23">
        <f>Intereses_Residual_Mensual!I211</f>
        <v/>
      </c>
      <c r="I211" s="23">
        <f>ROUND(E211 + H211, 2)</f>
        <v/>
      </c>
      <c r="J211" s="23">
        <f>Intereses_Leasing_Mensual!J211</f>
        <v/>
      </c>
      <c r="K211" s="23">
        <f>Amortizacion_Capital_Mensual!K211</f>
        <v/>
      </c>
      <c r="L211" s="23">
        <f>Saldos_Capital_Mensual!J211</f>
        <v/>
      </c>
      <c r="M211" s="23">
        <f>Intereses_Residual_Mensual!J211</f>
        <v/>
      </c>
      <c r="N211" s="23">
        <f>ROUND(J211 + M211, 2)</f>
        <v/>
      </c>
      <c r="O211" s="23">
        <f>Intereses_Leasing_Mensual!K211</f>
        <v/>
      </c>
      <c r="P211" s="23">
        <f>Amortizacion_Capital_Mensual!L211</f>
        <v/>
      </c>
      <c r="Q211" s="23">
        <f>Saldos_Capital_Mensual!K211</f>
        <v/>
      </c>
      <c r="R211" s="23">
        <f>Intereses_Residual_Mensual!K211</f>
        <v/>
      </c>
      <c r="S211" s="23">
        <f>ROUND(O211 + R211, 2)</f>
        <v/>
      </c>
      <c r="T211" s="23">
        <f>Intereses_Leasing_Mensual!L211</f>
        <v/>
      </c>
      <c r="U211" s="23">
        <f>Amortizacion_Capital_Mensual!M211</f>
        <v/>
      </c>
      <c r="V211" s="23">
        <f>Saldos_Capital_Mensual!L211</f>
        <v/>
      </c>
      <c r="W211" s="23">
        <f>Intereses_Residual_Mensual!L211</f>
        <v/>
      </c>
      <c r="X211" s="23">
        <f>ROUND(T211 + W211, 2)</f>
        <v/>
      </c>
      <c r="Y211" s="23">
        <f>Intereses_Leasing_Mensual!M211</f>
        <v/>
      </c>
      <c r="Z211" s="23">
        <f>Amortizacion_Capital_Mensual!N211</f>
        <v/>
      </c>
      <c r="AA211" s="23">
        <f>Saldos_Capital_Mensual!M211</f>
        <v/>
      </c>
      <c r="AB211" s="23">
        <f>Intereses_Residual_Mensual!M211</f>
        <v/>
      </c>
      <c r="AC211" s="23">
        <f>ROUND(Y211 + AB211, 2)</f>
        <v/>
      </c>
      <c r="AD211" s="23">
        <f>Intereses_Leasing_Mensual!N211</f>
        <v/>
      </c>
      <c r="AE211" s="23">
        <f>Amortizacion_Capital_Mensual!O211</f>
        <v/>
      </c>
      <c r="AF211" s="23">
        <f>Saldos_Capital_Mensual!N211</f>
        <v/>
      </c>
      <c r="AG211" s="23">
        <f>Intereses_Residual_Mensual!N211</f>
        <v/>
      </c>
      <c r="AH211" s="23">
        <f>ROUND(AD211 + AG211, 2)</f>
        <v/>
      </c>
      <c r="AI211" s="23">
        <f>Intereses_Leasing_Mensual!O211</f>
        <v/>
      </c>
      <c r="AJ211" s="23">
        <f>Amortizacion_Capital_Mensual!P211</f>
        <v/>
      </c>
      <c r="AK211" s="23">
        <f>Saldos_Capital_Mensual!O211</f>
        <v/>
      </c>
      <c r="AL211" s="23">
        <f>Intereses_Residual_Mensual!O211</f>
        <v/>
      </c>
      <c r="AM211" s="23">
        <f>ROUND(AI211 + AL211, 2)</f>
        <v/>
      </c>
      <c r="AN211" s="23">
        <f>Intereses_Leasing_Mensual!P211</f>
        <v/>
      </c>
      <c r="AO211" s="23">
        <f>Amortizacion_Capital_Mensual!Q211</f>
        <v/>
      </c>
      <c r="AP211" s="23">
        <f>Saldos_Capital_Mensual!P211</f>
        <v/>
      </c>
      <c r="AQ211" s="23">
        <f>Intereses_Residual_Mensual!P211</f>
        <v/>
      </c>
      <c r="AR211" s="23">
        <f>ROUND(AN211 + AQ211, 2)</f>
        <v/>
      </c>
      <c r="AS211" s="23">
        <f>Intereses_Leasing_Mensual!Q211</f>
        <v/>
      </c>
      <c r="AT211" s="23">
        <f>Amortizacion_Capital_Mensual!R211</f>
        <v/>
      </c>
      <c r="AU211" s="23">
        <f>Saldos_Capital_Mensual!Q211</f>
        <v/>
      </c>
      <c r="AV211" s="23">
        <f>Intereses_Residual_Mensual!Q211</f>
        <v/>
      </c>
      <c r="AW211" s="23">
        <f>ROUND(AS211 + AV211, 2)</f>
        <v/>
      </c>
      <c r="AX211" s="23">
        <f>Intereses_Leasing_Mensual!R211</f>
        <v/>
      </c>
      <c r="AY211" s="23">
        <f>Amortizacion_Capital_Mensual!S211</f>
        <v/>
      </c>
      <c r="AZ211" s="23">
        <f>Saldos_Capital_Mensual!R211</f>
        <v/>
      </c>
      <c r="BA211" s="23">
        <f>Intereses_Residual_Mensual!R211</f>
        <v/>
      </c>
      <c r="BB211" s="23">
        <f>ROUND(AX211 + BA211, 2)</f>
        <v/>
      </c>
      <c r="BC211" s="23">
        <f>Intereses_Leasing_Mensual!S211</f>
        <v/>
      </c>
      <c r="BD211" s="23">
        <f>Amortizacion_Capital_Mensual!T211</f>
        <v/>
      </c>
      <c r="BE211" s="23">
        <f>Saldos_Capital_Mensual!S211</f>
        <v/>
      </c>
      <c r="BF211" s="23">
        <f>Intereses_Residual_Mensual!S211</f>
        <v/>
      </c>
      <c r="BG211" s="23">
        <f>ROUND(BC211 + BF211, 2)</f>
        <v/>
      </c>
      <c r="BH211" s="23">
        <f>Intereses_Leasing_Mensual!T211</f>
        <v/>
      </c>
      <c r="BI211" s="23">
        <f>Amortizacion_Capital_Mensual!U211</f>
        <v/>
      </c>
      <c r="BJ211" s="23">
        <f>Saldos_Capital_Mensual!T211</f>
        <v/>
      </c>
      <c r="BK211" s="23">
        <f>Intereses_Residual_Mensual!T211</f>
        <v/>
      </c>
      <c r="BL211" s="23">
        <f>ROUND(BH211 + BK211, 2)</f>
        <v/>
      </c>
    </row>
    <row r="212">
      <c r="A212" s="26" t="inlineStr">
        <is>
          <t>0728-0001</t>
        </is>
      </c>
      <c r="B212" s="27" t="inlineStr">
        <is>
          <t>Arrendadora Tequila, S.A. de C.V.</t>
        </is>
      </c>
      <c r="C212" s="27" t="inlineStr">
        <is>
          <t>JEEP 392</t>
        </is>
      </c>
      <c r="D212" s="28" t="n">
        <v>36</v>
      </c>
      <c r="E212" s="29">
        <f>Intereses_Leasing_Mensual!I212</f>
        <v/>
      </c>
      <c r="F212" s="29">
        <f>Amortizacion_Capital_Mensual!J212</f>
        <v/>
      </c>
      <c r="G212" s="29">
        <f>Saldos_Capital_Mensual!I212</f>
        <v/>
      </c>
      <c r="H212" s="29">
        <f>Intereses_Residual_Mensual!I212</f>
        <v/>
      </c>
      <c r="I212" s="29">
        <f>ROUND(E212 + H212, 2)</f>
        <v/>
      </c>
      <c r="J212" s="29">
        <f>Intereses_Leasing_Mensual!J212</f>
        <v/>
      </c>
      <c r="K212" s="29">
        <f>Amortizacion_Capital_Mensual!K212</f>
        <v/>
      </c>
      <c r="L212" s="29">
        <f>Saldos_Capital_Mensual!J212</f>
        <v/>
      </c>
      <c r="M212" s="29">
        <f>Intereses_Residual_Mensual!J212</f>
        <v/>
      </c>
      <c r="N212" s="29">
        <f>ROUND(J212 + M212, 2)</f>
        <v/>
      </c>
      <c r="O212" s="29">
        <f>Intereses_Leasing_Mensual!K212</f>
        <v/>
      </c>
      <c r="P212" s="29">
        <f>Amortizacion_Capital_Mensual!L212</f>
        <v/>
      </c>
      <c r="Q212" s="29">
        <f>Saldos_Capital_Mensual!K212</f>
        <v/>
      </c>
      <c r="R212" s="29">
        <f>Intereses_Residual_Mensual!K212</f>
        <v/>
      </c>
      <c r="S212" s="29">
        <f>ROUND(O212 + R212, 2)</f>
        <v/>
      </c>
      <c r="T212" s="29">
        <f>Intereses_Leasing_Mensual!L212</f>
        <v/>
      </c>
      <c r="U212" s="29">
        <f>Amortizacion_Capital_Mensual!M212</f>
        <v/>
      </c>
      <c r="V212" s="29">
        <f>Saldos_Capital_Mensual!L212</f>
        <v/>
      </c>
      <c r="W212" s="29">
        <f>Intereses_Residual_Mensual!L212</f>
        <v/>
      </c>
      <c r="X212" s="29">
        <f>ROUND(T212 + W212, 2)</f>
        <v/>
      </c>
      <c r="Y212" s="29">
        <f>Intereses_Leasing_Mensual!M212</f>
        <v/>
      </c>
      <c r="Z212" s="29">
        <f>Amortizacion_Capital_Mensual!N212</f>
        <v/>
      </c>
      <c r="AA212" s="29">
        <f>Saldos_Capital_Mensual!M212</f>
        <v/>
      </c>
      <c r="AB212" s="29">
        <f>Intereses_Residual_Mensual!M212</f>
        <v/>
      </c>
      <c r="AC212" s="29">
        <f>ROUND(Y212 + AB212, 2)</f>
        <v/>
      </c>
      <c r="AD212" s="29">
        <f>Intereses_Leasing_Mensual!N212</f>
        <v/>
      </c>
      <c r="AE212" s="29">
        <f>Amortizacion_Capital_Mensual!O212</f>
        <v/>
      </c>
      <c r="AF212" s="29">
        <f>Saldos_Capital_Mensual!N212</f>
        <v/>
      </c>
      <c r="AG212" s="29">
        <f>Intereses_Residual_Mensual!N212</f>
        <v/>
      </c>
      <c r="AH212" s="29">
        <f>ROUND(AD212 + AG212, 2)</f>
        <v/>
      </c>
      <c r="AI212" s="29">
        <f>Intereses_Leasing_Mensual!O212</f>
        <v/>
      </c>
      <c r="AJ212" s="29">
        <f>Amortizacion_Capital_Mensual!P212</f>
        <v/>
      </c>
      <c r="AK212" s="29">
        <f>Saldos_Capital_Mensual!O212</f>
        <v/>
      </c>
      <c r="AL212" s="29">
        <f>Intereses_Residual_Mensual!O212</f>
        <v/>
      </c>
      <c r="AM212" s="29">
        <f>ROUND(AI212 + AL212, 2)</f>
        <v/>
      </c>
      <c r="AN212" s="29">
        <f>Intereses_Leasing_Mensual!P212</f>
        <v/>
      </c>
      <c r="AO212" s="29">
        <f>Amortizacion_Capital_Mensual!Q212</f>
        <v/>
      </c>
      <c r="AP212" s="29">
        <f>Saldos_Capital_Mensual!P212</f>
        <v/>
      </c>
      <c r="AQ212" s="29">
        <f>Intereses_Residual_Mensual!P212</f>
        <v/>
      </c>
      <c r="AR212" s="29">
        <f>ROUND(AN212 + AQ212, 2)</f>
        <v/>
      </c>
      <c r="AS212" s="29">
        <f>Intereses_Leasing_Mensual!Q212</f>
        <v/>
      </c>
      <c r="AT212" s="29">
        <f>Amortizacion_Capital_Mensual!R212</f>
        <v/>
      </c>
      <c r="AU212" s="29">
        <f>Saldos_Capital_Mensual!Q212</f>
        <v/>
      </c>
      <c r="AV212" s="29">
        <f>Intereses_Residual_Mensual!Q212</f>
        <v/>
      </c>
      <c r="AW212" s="29">
        <f>ROUND(AS212 + AV212, 2)</f>
        <v/>
      </c>
      <c r="AX212" s="29">
        <f>Intereses_Leasing_Mensual!R212</f>
        <v/>
      </c>
      <c r="AY212" s="29">
        <f>Amortizacion_Capital_Mensual!S212</f>
        <v/>
      </c>
      <c r="AZ212" s="29">
        <f>Saldos_Capital_Mensual!R212</f>
        <v/>
      </c>
      <c r="BA212" s="29">
        <f>Intereses_Residual_Mensual!R212</f>
        <v/>
      </c>
      <c r="BB212" s="29">
        <f>ROUND(AX212 + BA212, 2)</f>
        <v/>
      </c>
      <c r="BC212" s="29">
        <f>Intereses_Leasing_Mensual!S212</f>
        <v/>
      </c>
      <c r="BD212" s="29">
        <f>Amortizacion_Capital_Mensual!T212</f>
        <v/>
      </c>
      <c r="BE212" s="29">
        <f>Saldos_Capital_Mensual!S212</f>
        <v/>
      </c>
      <c r="BF212" s="29">
        <f>Intereses_Residual_Mensual!S212</f>
        <v/>
      </c>
      <c r="BG212" s="29">
        <f>ROUND(BC212 + BF212, 2)</f>
        <v/>
      </c>
      <c r="BH212" s="29">
        <f>Intereses_Leasing_Mensual!T212</f>
        <v/>
      </c>
      <c r="BI212" s="29">
        <f>Amortizacion_Capital_Mensual!U212</f>
        <v/>
      </c>
      <c r="BJ212" s="29">
        <f>Saldos_Capital_Mensual!T212</f>
        <v/>
      </c>
      <c r="BK212" s="29">
        <f>Intereses_Residual_Mensual!T212</f>
        <v/>
      </c>
      <c r="BL212" s="29">
        <f>ROUND(BH212 + BK212, 2)</f>
        <v/>
      </c>
    </row>
    <row r="213">
      <c r="A213" s="20" t="inlineStr">
        <is>
          <t>0729-0001</t>
        </is>
      </c>
      <c r="B213" s="21" t="inlineStr">
        <is>
          <t>Rubén Bravo Hernández</t>
        </is>
      </c>
      <c r="C213" s="21" t="inlineStr">
        <is>
          <t>Mamut T32 DC</t>
        </is>
      </c>
      <c r="D213" s="22" t="n">
        <v>36</v>
      </c>
      <c r="E213" s="23">
        <f>Intereses_Leasing_Mensual!I213</f>
        <v/>
      </c>
      <c r="F213" s="23">
        <f>Amortizacion_Capital_Mensual!J213</f>
        <v/>
      </c>
      <c r="G213" s="23">
        <f>Saldos_Capital_Mensual!I213</f>
        <v/>
      </c>
      <c r="H213" s="23">
        <f>Intereses_Residual_Mensual!I213</f>
        <v/>
      </c>
      <c r="I213" s="23">
        <f>ROUND(E213 + H213, 2)</f>
        <v/>
      </c>
      <c r="J213" s="23">
        <f>Intereses_Leasing_Mensual!J213</f>
        <v/>
      </c>
      <c r="K213" s="23">
        <f>Amortizacion_Capital_Mensual!K213</f>
        <v/>
      </c>
      <c r="L213" s="23">
        <f>Saldos_Capital_Mensual!J213</f>
        <v/>
      </c>
      <c r="M213" s="23">
        <f>Intereses_Residual_Mensual!J213</f>
        <v/>
      </c>
      <c r="N213" s="23">
        <f>ROUND(J213 + M213, 2)</f>
        <v/>
      </c>
      <c r="O213" s="23">
        <f>Intereses_Leasing_Mensual!K213</f>
        <v/>
      </c>
      <c r="P213" s="23">
        <f>Amortizacion_Capital_Mensual!L213</f>
        <v/>
      </c>
      <c r="Q213" s="23">
        <f>Saldos_Capital_Mensual!K213</f>
        <v/>
      </c>
      <c r="R213" s="23">
        <f>Intereses_Residual_Mensual!K213</f>
        <v/>
      </c>
      <c r="S213" s="23">
        <f>ROUND(O213 + R213, 2)</f>
        <v/>
      </c>
      <c r="T213" s="23">
        <f>Intereses_Leasing_Mensual!L213</f>
        <v/>
      </c>
      <c r="U213" s="23">
        <f>Amortizacion_Capital_Mensual!M213</f>
        <v/>
      </c>
      <c r="V213" s="23">
        <f>Saldos_Capital_Mensual!L213</f>
        <v/>
      </c>
      <c r="W213" s="23">
        <f>Intereses_Residual_Mensual!L213</f>
        <v/>
      </c>
      <c r="X213" s="23">
        <f>ROUND(T213 + W213, 2)</f>
        <v/>
      </c>
      <c r="Y213" s="23">
        <f>Intereses_Leasing_Mensual!M213</f>
        <v/>
      </c>
      <c r="Z213" s="23">
        <f>Amortizacion_Capital_Mensual!N213</f>
        <v/>
      </c>
      <c r="AA213" s="23">
        <f>Saldos_Capital_Mensual!M213</f>
        <v/>
      </c>
      <c r="AB213" s="23">
        <f>Intereses_Residual_Mensual!M213</f>
        <v/>
      </c>
      <c r="AC213" s="23">
        <f>ROUND(Y213 + AB213, 2)</f>
        <v/>
      </c>
      <c r="AD213" s="23">
        <f>Intereses_Leasing_Mensual!N213</f>
        <v/>
      </c>
      <c r="AE213" s="23">
        <f>Amortizacion_Capital_Mensual!O213</f>
        <v/>
      </c>
      <c r="AF213" s="23">
        <f>Saldos_Capital_Mensual!N213</f>
        <v/>
      </c>
      <c r="AG213" s="23">
        <f>Intereses_Residual_Mensual!N213</f>
        <v/>
      </c>
      <c r="AH213" s="23">
        <f>ROUND(AD213 + AG213, 2)</f>
        <v/>
      </c>
      <c r="AI213" s="23">
        <f>Intereses_Leasing_Mensual!O213</f>
        <v/>
      </c>
      <c r="AJ213" s="23">
        <f>Amortizacion_Capital_Mensual!P213</f>
        <v/>
      </c>
      <c r="AK213" s="23">
        <f>Saldos_Capital_Mensual!O213</f>
        <v/>
      </c>
      <c r="AL213" s="23">
        <f>Intereses_Residual_Mensual!O213</f>
        <v/>
      </c>
      <c r="AM213" s="23">
        <f>ROUND(AI213 + AL213, 2)</f>
        <v/>
      </c>
      <c r="AN213" s="23">
        <f>Intereses_Leasing_Mensual!P213</f>
        <v/>
      </c>
      <c r="AO213" s="23">
        <f>Amortizacion_Capital_Mensual!Q213</f>
        <v/>
      </c>
      <c r="AP213" s="23">
        <f>Saldos_Capital_Mensual!P213</f>
        <v/>
      </c>
      <c r="AQ213" s="23">
        <f>Intereses_Residual_Mensual!P213</f>
        <v/>
      </c>
      <c r="AR213" s="23">
        <f>ROUND(AN213 + AQ213, 2)</f>
        <v/>
      </c>
      <c r="AS213" s="23">
        <f>Intereses_Leasing_Mensual!Q213</f>
        <v/>
      </c>
      <c r="AT213" s="23">
        <f>Amortizacion_Capital_Mensual!R213</f>
        <v/>
      </c>
      <c r="AU213" s="23">
        <f>Saldos_Capital_Mensual!Q213</f>
        <v/>
      </c>
      <c r="AV213" s="23">
        <f>Intereses_Residual_Mensual!Q213</f>
        <v/>
      </c>
      <c r="AW213" s="23">
        <f>ROUND(AS213 + AV213, 2)</f>
        <v/>
      </c>
      <c r="AX213" s="23">
        <f>Intereses_Leasing_Mensual!R213</f>
        <v/>
      </c>
      <c r="AY213" s="23">
        <f>Amortizacion_Capital_Mensual!S213</f>
        <v/>
      </c>
      <c r="AZ213" s="23">
        <f>Saldos_Capital_Mensual!R213</f>
        <v/>
      </c>
      <c r="BA213" s="23">
        <f>Intereses_Residual_Mensual!R213</f>
        <v/>
      </c>
      <c r="BB213" s="23">
        <f>ROUND(AX213 + BA213, 2)</f>
        <v/>
      </c>
      <c r="BC213" s="23">
        <f>Intereses_Leasing_Mensual!S213</f>
        <v/>
      </c>
      <c r="BD213" s="23">
        <f>Amortizacion_Capital_Mensual!T213</f>
        <v/>
      </c>
      <c r="BE213" s="23">
        <f>Saldos_Capital_Mensual!S213</f>
        <v/>
      </c>
      <c r="BF213" s="23">
        <f>Intereses_Residual_Mensual!S213</f>
        <v/>
      </c>
      <c r="BG213" s="23">
        <f>ROUND(BC213 + BF213, 2)</f>
        <v/>
      </c>
      <c r="BH213" s="23">
        <f>Intereses_Leasing_Mensual!T213</f>
        <v/>
      </c>
      <c r="BI213" s="23">
        <f>Amortizacion_Capital_Mensual!U213</f>
        <v/>
      </c>
      <c r="BJ213" s="23">
        <f>Saldos_Capital_Mensual!T213</f>
        <v/>
      </c>
      <c r="BK213" s="23">
        <f>Intereses_Residual_Mensual!T213</f>
        <v/>
      </c>
      <c r="BL213" s="23">
        <f>ROUND(BH213 + BK213, 2)</f>
        <v/>
      </c>
    </row>
    <row r="214">
      <c r="A214" s="26" t="inlineStr">
        <is>
          <t>0730-0001</t>
        </is>
      </c>
      <c r="B214" s="27" t="inlineStr">
        <is>
          <t>Karen Manrique Amaya</t>
        </is>
      </c>
      <c r="C214" s="27" t="inlineStr">
        <is>
          <t>Wrangler</t>
        </is>
      </c>
      <c r="D214" s="28" t="n">
        <v>36</v>
      </c>
      <c r="E214" s="29">
        <f>Intereses_Leasing_Mensual!I214</f>
        <v/>
      </c>
      <c r="F214" s="29">
        <f>Amortizacion_Capital_Mensual!J214</f>
        <v/>
      </c>
      <c r="G214" s="29">
        <f>Saldos_Capital_Mensual!I214</f>
        <v/>
      </c>
      <c r="H214" s="29">
        <f>Intereses_Residual_Mensual!I214</f>
        <v/>
      </c>
      <c r="I214" s="29">
        <f>ROUND(E214 + H214, 2)</f>
        <v/>
      </c>
      <c r="J214" s="29">
        <f>Intereses_Leasing_Mensual!J214</f>
        <v/>
      </c>
      <c r="K214" s="29">
        <f>Amortizacion_Capital_Mensual!K214</f>
        <v/>
      </c>
      <c r="L214" s="29">
        <f>Saldos_Capital_Mensual!J214</f>
        <v/>
      </c>
      <c r="M214" s="29">
        <f>Intereses_Residual_Mensual!J214</f>
        <v/>
      </c>
      <c r="N214" s="29">
        <f>ROUND(J214 + M214, 2)</f>
        <v/>
      </c>
      <c r="O214" s="29">
        <f>Intereses_Leasing_Mensual!K214</f>
        <v/>
      </c>
      <c r="P214" s="29">
        <f>Amortizacion_Capital_Mensual!L214</f>
        <v/>
      </c>
      <c r="Q214" s="29">
        <f>Saldos_Capital_Mensual!K214</f>
        <v/>
      </c>
      <c r="R214" s="29">
        <f>Intereses_Residual_Mensual!K214</f>
        <v/>
      </c>
      <c r="S214" s="29">
        <f>ROUND(O214 + R214, 2)</f>
        <v/>
      </c>
      <c r="T214" s="29">
        <f>Intereses_Leasing_Mensual!L214</f>
        <v/>
      </c>
      <c r="U214" s="29">
        <f>Amortizacion_Capital_Mensual!M214</f>
        <v/>
      </c>
      <c r="V214" s="29">
        <f>Saldos_Capital_Mensual!L214</f>
        <v/>
      </c>
      <c r="W214" s="29">
        <f>Intereses_Residual_Mensual!L214</f>
        <v/>
      </c>
      <c r="X214" s="29">
        <f>ROUND(T214 + W214, 2)</f>
        <v/>
      </c>
      <c r="Y214" s="29">
        <f>Intereses_Leasing_Mensual!M214</f>
        <v/>
      </c>
      <c r="Z214" s="29">
        <f>Amortizacion_Capital_Mensual!N214</f>
        <v/>
      </c>
      <c r="AA214" s="29">
        <f>Saldos_Capital_Mensual!M214</f>
        <v/>
      </c>
      <c r="AB214" s="29">
        <f>Intereses_Residual_Mensual!M214</f>
        <v/>
      </c>
      <c r="AC214" s="29">
        <f>ROUND(Y214 + AB214, 2)</f>
        <v/>
      </c>
      <c r="AD214" s="29">
        <f>Intereses_Leasing_Mensual!N214</f>
        <v/>
      </c>
      <c r="AE214" s="29">
        <f>Amortizacion_Capital_Mensual!O214</f>
        <v/>
      </c>
      <c r="AF214" s="29">
        <f>Saldos_Capital_Mensual!N214</f>
        <v/>
      </c>
      <c r="AG214" s="29">
        <f>Intereses_Residual_Mensual!N214</f>
        <v/>
      </c>
      <c r="AH214" s="29">
        <f>ROUND(AD214 + AG214, 2)</f>
        <v/>
      </c>
      <c r="AI214" s="29">
        <f>Intereses_Leasing_Mensual!O214</f>
        <v/>
      </c>
      <c r="AJ214" s="29">
        <f>Amortizacion_Capital_Mensual!P214</f>
        <v/>
      </c>
      <c r="AK214" s="29">
        <f>Saldos_Capital_Mensual!O214</f>
        <v/>
      </c>
      <c r="AL214" s="29">
        <f>Intereses_Residual_Mensual!O214</f>
        <v/>
      </c>
      <c r="AM214" s="29">
        <f>ROUND(AI214 + AL214, 2)</f>
        <v/>
      </c>
      <c r="AN214" s="29">
        <f>Intereses_Leasing_Mensual!P214</f>
        <v/>
      </c>
      <c r="AO214" s="29">
        <f>Amortizacion_Capital_Mensual!Q214</f>
        <v/>
      </c>
      <c r="AP214" s="29">
        <f>Saldos_Capital_Mensual!P214</f>
        <v/>
      </c>
      <c r="AQ214" s="29">
        <f>Intereses_Residual_Mensual!P214</f>
        <v/>
      </c>
      <c r="AR214" s="29">
        <f>ROUND(AN214 + AQ214, 2)</f>
        <v/>
      </c>
      <c r="AS214" s="29">
        <f>Intereses_Leasing_Mensual!Q214</f>
        <v/>
      </c>
      <c r="AT214" s="29">
        <f>Amortizacion_Capital_Mensual!R214</f>
        <v/>
      </c>
      <c r="AU214" s="29">
        <f>Saldos_Capital_Mensual!Q214</f>
        <v/>
      </c>
      <c r="AV214" s="29">
        <f>Intereses_Residual_Mensual!Q214</f>
        <v/>
      </c>
      <c r="AW214" s="29">
        <f>ROUND(AS214 + AV214, 2)</f>
        <v/>
      </c>
      <c r="AX214" s="29">
        <f>Intereses_Leasing_Mensual!R214</f>
        <v/>
      </c>
      <c r="AY214" s="29">
        <f>Amortizacion_Capital_Mensual!S214</f>
        <v/>
      </c>
      <c r="AZ214" s="29">
        <f>Saldos_Capital_Mensual!R214</f>
        <v/>
      </c>
      <c r="BA214" s="29">
        <f>Intereses_Residual_Mensual!R214</f>
        <v/>
      </c>
      <c r="BB214" s="29">
        <f>ROUND(AX214 + BA214, 2)</f>
        <v/>
      </c>
      <c r="BC214" s="29">
        <f>Intereses_Leasing_Mensual!S214</f>
        <v/>
      </c>
      <c r="BD214" s="29">
        <f>Amortizacion_Capital_Mensual!T214</f>
        <v/>
      </c>
      <c r="BE214" s="29">
        <f>Saldos_Capital_Mensual!S214</f>
        <v/>
      </c>
      <c r="BF214" s="29">
        <f>Intereses_Residual_Mensual!S214</f>
        <v/>
      </c>
      <c r="BG214" s="29">
        <f>ROUND(BC214 + BF214, 2)</f>
        <v/>
      </c>
      <c r="BH214" s="29">
        <f>Intereses_Leasing_Mensual!T214</f>
        <v/>
      </c>
      <c r="BI214" s="29">
        <f>Amortizacion_Capital_Mensual!U214</f>
        <v/>
      </c>
      <c r="BJ214" s="29">
        <f>Saldos_Capital_Mensual!T214</f>
        <v/>
      </c>
      <c r="BK214" s="29">
        <f>Intereses_Residual_Mensual!T214</f>
        <v/>
      </c>
      <c r="BL214" s="29">
        <f>ROUND(BH214 + BK214, 2)</f>
        <v/>
      </c>
    </row>
    <row r="215">
      <c r="A215" s="20" t="inlineStr">
        <is>
          <t>0731-0001</t>
        </is>
      </c>
      <c r="B215" s="21" t="inlineStr">
        <is>
          <t>Tesselar Soluciones, S.A. de C.V.</t>
        </is>
      </c>
      <c r="C215" s="21" t="inlineStr">
        <is>
          <t>Song Plus</t>
        </is>
      </c>
      <c r="D215" s="22" t="n">
        <v>36</v>
      </c>
      <c r="E215" s="23">
        <f>Intereses_Leasing_Mensual!I215</f>
        <v/>
      </c>
      <c r="F215" s="23">
        <f>Amortizacion_Capital_Mensual!J215</f>
        <v/>
      </c>
      <c r="G215" s="23">
        <f>Saldos_Capital_Mensual!I215</f>
        <v/>
      </c>
      <c r="H215" s="23">
        <f>Intereses_Residual_Mensual!I215</f>
        <v/>
      </c>
      <c r="I215" s="23">
        <f>ROUND(E215 + H215, 2)</f>
        <v/>
      </c>
      <c r="J215" s="23">
        <f>Intereses_Leasing_Mensual!J215</f>
        <v/>
      </c>
      <c r="K215" s="23">
        <f>Amortizacion_Capital_Mensual!K215</f>
        <v/>
      </c>
      <c r="L215" s="23">
        <f>Saldos_Capital_Mensual!J215</f>
        <v/>
      </c>
      <c r="M215" s="23">
        <f>Intereses_Residual_Mensual!J215</f>
        <v/>
      </c>
      <c r="N215" s="23">
        <f>ROUND(J215 + M215, 2)</f>
        <v/>
      </c>
      <c r="O215" s="23">
        <f>Intereses_Leasing_Mensual!K215</f>
        <v/>
      </c>
      <c r="P215" s="23">
        <f>Amortizacion_Capital_Mensual!L215</f>
        <v/>
      </c>
      <c r="Q215" s="23">
        <f>Saldos_Capital_Mensual!K215</f>
        <v/>
      </c>
      <c r="R215" s="23">
        <f>Intereses_Residual_Mensual!K215</f>
        <v/>
      </c>
      <c r="S215" s="23">
        <f>ROUND(O215 + R215, 2)</f>
        <v/>
      </c>
      <c r="T215" s="23">
        <f>Intereses_Leasing_Mensual!L215</f>
        <v/>
      </c>
      <c r="U215" s="23">
        <f>Amortizacion_Capital_Mensual!M215</f>
        <v/>
      </c>
      <c r="V215" s="23">
        <f>Saldos_Capital_Mensual!L215</f>
        <v/>
      </c>
      <c r="W215" s="23">
        <f>Intereses_Residual_Mensual!L215</f>
        <v/>
      </c>
      <c r="X215" s="23">
        <f>ROUND(T215 + W215, 2)</f>
        <v/>
      </c>
      <c r="Y215" s="23">
        <f>Intereses_Leasing_Mensual!M215</f>
        <v/>
      </c>
      <c r="Z215" s="23">
        <f>Amortizacion_Capital_Mensual!N215</f>
        <v/>
      </c>
      <c r="AA215" s="23">
        <f>Saldos_Capital_Mensual!M215</f>
        <v/>
      </c>
      <c r="AB215" s="23">
        <f>Intereses_Residual_Mensual!M215</f>
        <v/>
      </c>
      <c r="AC215" s="23">
        <f>ROUND(Y215 + AB215, 2)</f>
        <v/>
      </c>
      <c r="AD215" s="23">
        <f>Intereses_Leasing_Mensual!N215</f>
        <v/>
      </c>
      <c r="AE215" s="23">
        <f>Amortizacion_Capital_Mensual!O215</f>
        <v/>
      </c>
      <c r="AF215" s="23">
        <f>Saldos_Capital_Mensual!N215</f>
        <v/>
      </c>
      <c r="AG215" s="23">
        <f>Intereses_Residual_Mensual!N215</f>
        <v/>
      </c>
      <c r="AH215" s="23">
        <f>ROUND(AD215 + AG215, 2)</f>
        <v/>
      </c>
      <c r="AI215" s="23">
        <f>Intereses_Leasing_Mensual!O215</f>
        <v/>
      </c>
      <c r="AJ215" s="23">
        <f>Amortizacion_Capital_Mensual!P215</f>
        <v/>
      </c>
      <c r="AK215" s="23">
        <f>Saldos_Capital_Mensual!O215</f>
        <v/>
      </c>
      <c r="AL215" s="23">
        <f>Intereses_Residual_Mensual!O215</f>
        <v/>
      </c>
      <c r="AM215" s="23">
        <f>ROUND(AI215 + AL215, 2)</f>
        <v/>
      </c>
      <c r="AN215" s="23">
        <f>Intereses_Leasing_Mensual!P215</f>
        <v/>
      </c>
      <c r="AO215" s="23">
        <f>Amortizacion_Capital_Mensual!Q215</f>
        <v/>
      </c>
      <c r="AP215" s="23">
        <f>Saldos_Capital_Mensual!P215</f>
        <v/>
      </c>
      <c r="AQ215" s="23">
        <f>Intereses_Residual_Mensual!P215</f>
        <v/>
      </c>
      <c r="AR215" s="23">
        <f>ROUND(AN215 + AQ215, 2)</f>
        <v/>
      </c>
      <c r="AS215" s="23">
        <f>Intereses_Leasing_Mensual!Q215</f>
        <v/>
      </c>
      <c r="AT215" s="23">
        <f>Amortizacion_Capital_Mensual!R215</f>
        <v/>
      </c>
      <c r="AU215" s="23">
        <f>Saldos_Capital_Mensual!Q215</f>
        <v/>
      </c>
      <c r="AV215" s="23">
        <f>Intereses_Residual_Mensual!Q215</f>
        <v/>
      </c>
      <c r="AW215" s="23">
        <f>ROUND(AS215 + AV215, 2)</f>
        <v/>
      </c>
      <c r="AX215" s="23">
        <f>Intereses_Leasing_Mensual!R215</f>
        <v/>
      </c>
      <c r="AY215" s="23">
        <f>Amortizacion_Capital_Mensual!S215</f>
        <v/>
      </c>
      <c r="AZ215" s="23">
        <f>Saldos_Capital_Mensual!R215</f>
        <v/>
      </c>
      <c r="BA215" s="23">
        <f>Intereses_Residual_Mensual!R215</f>
        <v/>
      </c>
      <c r="BB215" s="23">
        <f>ROUND(AX215 + BA215, 2)</f>
        <v/>
      </c>
      <c r="BC215" s="23">
        <f>Intereses_Leasing_Mensual!S215</f>
        <v/>
      </c>
      <c r="BD215" s="23">
        <f>Amortizacion_Capital_Mensual!T215</f>
        <v/>
      </c>
      <c r="BE215" s="23">
        <f>Saldos_Capital_Mensual!S215</f>
        <v/>
      </c>
      <c r="BF215" s="23">
        <f>Intereses_Residual_Mensual!S215</f>
        <v/>
      </c>
      <c r="BG215" s="23">
        <f>ROUND(BC215 + BF215, 2)</f>
        <v/>
      </c>
      <c r="BH215" s="23">
        <f>Intereses_Leasing_Mensual!T215</f>
        <v/>
      </c>
      <c r="BI215" s="23">
        <f>Amortizacion_Capital_Mensual!U215</f>
        <v/>
      </c>
      <c r="BJ215" s="23">
        <f>Saldos_Capital_Mensual!T215</f>
        <v/>
      </c>
      <c r="BK215" s="23">
        <f>Intereses_Residual_Mensual!T215</f>
        <v/>
      </c>
      <c r="BL215" s="23">
        <f>ROUND(BH215 + BK215, 2)</f>
        <v/>
      </c>
    </row>
    <row r="216">
      <c r="A216" s="26" t="inlineStr">
        <is>
          <t>0731-0002</t>
        </is>
      </c>
      <c r="B216" s="27" t="inlineStr">
        <is>
          <t>Tesselar Soluciones, S.A. de C.V.</t>
        </is>
      </c>
      <c r="C216" s="27" t="inlineStr">
        <is>
          <t>Arona Style</t>
        </is>
      </c>
      <c r="D216" s="28" t="n">
        <v>48</v>
      </c>
      <c r="E216" s="29">
        <f>Intereses_Leasing_Mensual!I216</f>
        <v/>
      </c>
      <c r="F216" s="29">
        <f>Amortizacion_Capital_Mensual!J216</f>
        <v/>
      </c>
      <c r="G216" s="29">
        <f>Saldos_Capital_Mensual!I216</f>
        <v/>
      </c>
      <c r="H216" s="29">
        <f>Intereses_Residual_Mensual!I216</f>
        <v/>
      </c>
      <c r="I216" s="29">
        <f>ROUND(E216 + H216, 2)</f>
        <v/>
      </c>
      <c r="J216" s="29">
        <f>Intereses_Leasing_Mensual!J216</f>
        <v/>
      </c>
      <c r="K216" s="29">
        <f>Amortizacion_Capital_Mensual!K216</f>
        <v/>
      </c>
      <c r="L216" s="29">
        <f>Saldos_Capital_Mensual!J216</f>
        <v/>
      </c>
      <c r="M216" s="29">
        <f>Intereses_Residual_Mensual!J216</f>
        <v/>
      </c>
      <c r="N216" s="29">
        <f>ROUND(J216 + M216, 2)</f>
        <v/>
      </c>
      <c r="O216" s="29">
        <f>Intereses_Leasing_Mensual!K216</f>
        <v/>
      </c>
      <c r="P216" s="29">
        <f>Amortizacion_Capital_Mensual!L216</f>
        <v/>
      </c>
      <c r="Q216" s="29">
        <f>Saldos_Capital_Mensual!K216</f>
        <v/>
      </c>
      <c r="R216" s="29">
        <f>Intereses_Residual_Mensual!K216</f>
        <v/>
      </c>
      <c r="S216" s="29">
        <f>ROUND(O216 + R216, 2)</f>
        <v/>
      </c>
      <c r="T216" s="29">
        <f>Intereses_Leasing_Mensual!L216</f>
        <v/>
      </c>
      <c r="U216" s="29">
        <f>Amortizacion_Capital_Mensual!M216</f>
        <v/>
      </c>
      <c r="V216" s="29">
        <f>Saldos_Capital_Mensual!L216</f>
        <v/>
      </c>
      <c r="W216" s="29">
        <f>Intereses_Residual_Mensual!L216</f>
        <v/>
      </c>
      <c r="X216" s="29">
        <f>ROUND(T216 + W216, 2)</f>
        <v/>
      </c>
      <c r="Y216" s="29">
        <f>Intereses_Leasing_Mensual!M216</f>
        <v/>
      </c>
      <c r="Z216" s="29">
        <f>Amortizacion_Capital_Mensual!N216</f>
        <v/>
      </c>
      <c r="AA216" s="29">
        <f>Saldos_Capital_Mensual!M216</f>
        <v/>
      </c>
      <c r="AB216" s="29">
        <f>Intereses_Residual_Mensual!M216</f>
        <v/>
      </c>
      <c r="AC216" s="29">
        <f>ROUND(Y216 + AB216, 2)</f>
        <v/>
      </c>
      <c r="AD216" s="29">
        <f>Intereses_Leasing_Mensual!N216</f>
        <v/>
      </c>
      <c r="AE216" s="29">
        <f>Amortizacion_Capital_Mensual!O216</f>
        <v/>
      </c>
      <c r="AF216" s="29">
        <f>Saldos_Capital_Mensual!N216</f>
        <v/>
      </c>
      <c r="AG216" s="29">
        <f>Intereses_Residual_Mensual!N216</f>
        <v/>
      </c>
      <c r="AH216" s="29">
        <f>ROUND(AD216 + AG216, 2)</f>
        <v/>
      </c>
      <c r="AI216" s="29">
        <f>Intereses_Leasing_Mensual!O216</f>
        <v/>
      </c>
      <c r="AJ216" s="29">
        <f>Amortizacion_Capital_Mensual!P216</f>
        <v/>
      </c>
      <c r="AK216" s="29">
        <f>Saldos_Capital_Mensual!O216</f>
        <v/>
      </c>
      <c r="AL216" s="29">
        <f>Intereses_Residual_Mensual!O216</f>
        <v/>
      </c>
      <c r="AM216" s="29">
        <f>ROUND(AI216 + AL216, 2)</f>
        <v/>
      </c>
      <c r="AN216" s="29">
        <f>Intereses_Leasing_Mensual!P216</f>
        <v/>
      </c>
      <c r="AO216" s="29">
        <f>Amortizacion_Capital_Mensual!Q216</f>
        <v/>
      </c>
      <c r="AP216" s="29">
        <f>Saldos_Capital_Mensual!P216</f>
        <v/>
      </c>
      <c r="AQ216" s="29">
        <f>Intereses_Residual_Mensual!P216</f>
        <v/>
      </c>
      <c r="AR216" s="29">
        <f>ROUND(AN216 + AQ216, 2)</f>
        <v/>
      </c>
      <c r="AS216" s="29">
        <f>Intereses_Leasing_Mensual!Q216</f>
        <v/>
      </c>
      <c r="AT216" s="29">
        <f>Amortizacion_Capital_Mensual!R216</f>
        <v/>
      </c>
      <c r="AU216" s="29">
        <f>Saldos_Capital_Mensual!Q216</f>
        <v/>
      </c>
      <c r="AV216" s="29">
        <f>Intereses_Residual_Mensual!Q216</f>
        <v/>
      </c>
      <c r="AW216" s="29">
        <f>ROUND(AS216 + AV216, 2)</f>
        <v/>
      </c>
      <c r="AX216" s="29">
        <f>Intereses_Leasing_Mensual!R216</f>
        <v/>
      </c>
      <c r="AY216" s="29">
        <f>Amortizacion_Capital_Mensual!S216</f>
        <v/>
      </c>
      <c r="AZ216" s="29">
        <f>Saldos_Capital_Mensual!R216</f>
        <v/>
      </c>
      <c r="BA216" s="29">
        <f>Intereses_Residual_Mensual!R216</f>
        <v/>
      </c>
      <c r="BB216" s="29">
        <f>ROUND(AX216 + BA216, 2)</f>
        <v/>
      </c>
      <c r="BC216" s="29">
        <f>Intereses_Leasing_Mensual!S216</f>
        <v/>
      </c>
      <c r="BD216" s="29">
        <f>Amortizacion_Capital_Mensual!T216</f>
        <v/>
      </c>
      <c r="BE216" s="29">
        <f>Saldos_Capital_Mensual!S216</f>
        <v/>
      </c>
      <c r="BF216" s="29">
        <f>Intereses_Residual_Mensual!S216</f>
        <v/>
      </c>
      <c r="BG216" s="29">
        <f>ROUND(BC216 + BF216, 2)</f>
        <v/>
      </c>
      <c r="BH216" s="29">
        <f>Intereses_Leasing_Mensual!T216</f>
        <v/>
      </c>
      <c r="BI216" s="29">
        <f>Amortizacion_Capital_Mensual!U216</f>
        <v/>
      </c>
      <c r="BJ216" s="29">
        <f>Saldos_Capital_Mensual!T216</f>
        <v/>
      </c>
      <c r="BK216" s="29">
        <f>Intereses_Residual_Mensual!T216</f>
        <v/>
      </c>
      <c r="BL216" s="29">
        <f>ROUND(BH216 + BK216, 2)</f>
        <v/>
      </c>
    </row>
    <row r="217">
      <c r="A217" s="20" t="inlineStr">
        <is>
          <t>0732-0001</t>
        </is>
      </c>
      <c r="B217" s="21" t="inlineStr">
        <is>
          <t>Koonol Food Traders, S.A. de C.V.</t>
        </is>
      </c>
      <c r="C217" s="21" t="inlineStr">
        <is>
          <t>K4 Turbo</t>
        </is>
      </c>
      <c r="D217" s="22" t="n">
        <v>36</v>
      </c>
      <c r="E217" s="23">
        <f>Intereses_Leasing_Mensual!I217</f>
        <v/>
      </c>
      <c r="F217" s="23">
        <f>Amortizacion_Capital_Mensual!J217</f>
        <v/>
      </c>
      <c r="G217" s="23">
        <f>Saldos_Capital_Mensual!I217</f>
        <v/>
      </c>
      <c r="H217" s="23">
        <f>Intereses_Residual_Mensual!I217</f>
        <v/>
      </c>
      <c r="I217" s="23">
        <f>ROUND(E217 + H217, 2)</f>
        <v/>
      </c>
      <c r="J217" s="23">
        <f>Intereses_Leasing_Mensual!J217</f>
        <v/>
      </c>
      <c r="K217" s="23">
        <f>Amortizacion_Capital_Mensual!K217</f>
        <v/>
      </c>
      <c r="L217" s="23">
        <f>Saldos_Capital_Mensual!J217</f>
        <v/>
      </c>
      <c r="M217" s="23">
        <f>Intereses_Residual_Mensual!J217</f>
        <v/>
      </c>
      <c r="N217" s="23">
        <f>ROUND(J217 + M217, 2)</f>
        <v/>
      </c>
      <c r="O217" s="23">
        <f>Intereses_Leasing_Mensual!K217</f>
        <v/>
      </c>
      <c r="P217" s="23">
        <f>Amortizacion_Capital_Mensual!L217</f>
        <v/>
      </c>
      <c r="Q217" s="23">
        <f>Saldos_Capital_Mensual!K217</f>
        <v/>
      </c>
      <c r="R217" s="23">
        <f>Intereses_Residual_Mensual!K217</f>
        <v/>
      </c>
      <c r="S217" s="23">
        <f>ROUND(O217 + R217, 2)</f>
        <v/>
      </c>
      <c r="T217" s="23">
        <f>Intereses_Leasing_Mensual!L217</f>
        <v/>
      </c>
      <c r="U217" s="23">
        <f>Amortizacion_Capital_Mensual!M217</f>
        <v/>
      </c>
      <c r="V217" s="23">
        <f>Saldos_Capital_Mensual!L217</f>
        <v/>
      </c>
      <c r="W217" s="23">
        <f>Intereses_Residual_Mensual!L217</f>
        <v/>
      </c>
      <c r="X217" s="23">
        <f>ROUND(T217 + W217, 2)</f>
        <v/>
      </c>
      <c r="Y217" s="23">
        <f>Intereses_Leasing_Mensual!M217</f>
        <v/>
      </c>
      <c r="Z217" s="23">
        <f>Amortizacion_Capital_Mensual!N217</f>
        <v/>
      </c>
      <c r="AA217" s="23">
        <f>Saldos_Capital_Mensual!M217</f>
        <v/>
      </c>
      <c r="AB217" s="23">
        <f>Intereses_Residual_Mensual!M217</f>
        <v/>
      </c>
      <c r="AC217" s="23">
        <f>ROUND(Y217 + AB217, 2)</f>
        <v/>
      </c>
      <c r="AD217" s="23">
        <f>Intereses_Leasing_Mensual!N217</f>
        <v/>
      </c>
      <c r="AE217" s="23">
        <f>Amortizacion_Capital_Mensual!O217</f>
        <v/>
      </c>
      <c r="AF217" s="23">
        <f>Saldos_Capital_Mensual!N217</f>
        <v/>
      </c>
      <c r="AG217" s="23">
        <f>Intereses_Residual_Mensual!N217</f>
        <v/>
      </c>
      <c r="AH217" s="23">
        <f>ROUND(AD217 + AG217, 2)</f>
        <v/>
      </c>
      <c r="AI217" s="23">
        <f>Intereses_Leasing_Mensual!O217</f>
        <v/>
      </c>
      <c r="AJ217" s="23">
        <f>Amortizacion_Capital_Mensual!P217</f>
        <v/>
      </c>
      <c r="AK217" s="23">
        <f>Saldos_Capital_Mensual!O217</f>
        <v/>
      </c>
      <c r="AL217" s="23">
        <f>Intereses_Residual_Mensual!O217</f>
        <v/>
      </c>
      <c r="AM217" s="23">
        <f>ROUND(AI217 + AL217, 2)</f>
        <v/>
      </c>
      <c r="AN217" s="23">
        <f>Intereses_Leasing_Mensual!P217</f>
        <v/>
      </c>
      <c r="AO217" s="23">
        <f>Amortizacion_Capital_Mensual!Q217</f>
        <v/>
      </c>
      <c r="AP217" s="23">
        <f>Saldos_Capital_Mensual!P217</f>
        <v/>
      </c>
      <c r="AQ217" s="23">
        <f>Intereses_Residual_Mensual!P217</f>
        <v/>
      </c>
      <c r="AR217" s="23">
        <f>ROUND(AN217 + AQ217, 2)</f>
        <v/>
      </c>
      <c r="AS217" s="23">
        <f>Intereses_Leasing_Mensual!Q217</f>
        <v/>
      </c>
      <c r="AT217" s="23">
        <f>Amortizacion_Capital_Mensual!R217</f>
        <v/>
      </c>
      <c r="AU217" s="23">
        <f>Saldos_Capital_Mensual!Q217</f>
        <v/>
      </c>
      <c r="AV217" s="23">
        <f>Intereses_Residual_Mensual!Q217</f>
        <v/>
      </c>
      <c r="AW217" s="23">
        <f>ROUND(AS217 + AV217, 2)</f>
        <v/>
      </c>
      <c r="AX217" s="23">
        <f>Intereses_Leasing_Mensual!R217</f>
        <v/>
      </c>
      <c r="AY217" s="23">
        <f>Amortizacion_Capital_Mensual!S217</f>
        <v/>
      </c>
      <c r="AZ217" s="23">
        <f>Saldos_Capital_Mensual!R217</f>
        <v/>
      </c>
      <c r="BA217" s="23">
        <f>Intereses_Residual_Mensual!R217</f>
        <v/>
      </c>
      <c r="BB217" s="23">
        <f>ROUND(AX217 + BA217, 2)</f>
        <v/>
      </c>
      <c r="BC217" s="23">
        <f>Intereses_Leasing_Mensual!S217</f>
        <v/>
      </c>
      <c r="BD217" s="23">
        <f>Amortizacion_Capital_Mensual!T217</f>
        <v/>
      </c>
      <c r="BE217" s="23">
        <f>Saldos_Capital_Mensual!S217</f>
        <v/>
      </c>
      <c r="BF217" s="23">
        <f>Intereses_Residual_Mensual!S217</f>
        <v/>
      </c>
      <c r="BG217" s="23">
        <f>ROUND(BC217 + BF217, 2)</f>
        <v/>
      </c>
      <c r="BH217" s="23">
        <f>Intereses_Leasing_Mensual!T217</f>
        <v/>
      </c>
      <c r="BI217" s="23">
        <f>Amortizacion_Capital_Mensual!U217</f>
        <v/>
      </c>
      <c r="BJ217" s="23">
        <f>Saldos_Capital_Mensual!T217</f>
        <v/>
      </c>
      <c r="BK217" s="23">
        <f>Intereses_Residual_Mensual!T217</f>
        <v/>
      </c>
      <c r="BL217" s="23">
        <f>ROUND(BH217 + BK217, 2)</f>
        <v/>
      </c>
    </row>
    <row r="218">
      <c r="A218" s="26" t="inlineStr">
        <is>
          <t>0733-0001</t>
        </is>
      </c>
      <c r="B218" s="27" t="inlineStr">
        <is>
          <t>Alejandro Arias Maldonado</t>
        </is>
      </c>
      <c r="C218" s="27" t="inlineStr">
        <is>
          <t>Wrangler</t>
        </is>
      </c>
      <c r="D218" s="28" t="n">
        <v>48</v>
      </c>
      <c r="E218" s="29">
        <f>Intereses_Leasing_Mensual!I218</f>
        <v/>
      </c>
      <c r="F218" s="29">
        <f>Amortizacion_Capital_Mensual!J218</f>
        <v/>
      </c>
      <c r="G218" s="29">
        <f>Saldos_Capital_Mensual!I218</f>
        <v/>
      </c>
      <c r="H218" s="29">
        <f>Intereses_Residual_Mensual!I218</f>
        <v/>
      </c>
      <c r="I218" s="29">
        <f>ROUND(E218 + H218, 2)</f>
        <v/>
      </c>
      <c r="J218" s="29">
        <f>Intereses_Leasing_Mensual!J218</f>
        <v/>
      </c>
      <c r="K218" s="29">
        <f>Amortizacion_Capital_Mensual!K218</f>
        <v/>
      </c>
      <c r="L218" s="29">
        <f>Saldos_Capital_Mensual!J218</f>
        <v/>
      </c>
      <c r="M218" s="29">
        <f>Intereses_Residual_Mensual!J218</f>
        <v/>
      </c>
      <c r="N218" s="29">
        <f>ROUND(J218 + M218, 2)</f>
        <v/>
      </c>
      <c r="O218" s="29">
        <f>Intereses_Leasing_Mensual!K218</f>
        <v/>
      </c>
      <c r="P218" s="29">
        <f>Amortizacion_Capital_Mensual!L218</f>
        <v/>
      </c>
      <c r="Q218" s="29">
        <f>Saldos_Capital_Mensual!K218</f>
        <v/>
      </c>
      <c r="R218" s="29">
        <f>Intereses_Residual_Mensual!K218</f>
        <v/>
      </c>
      <c r="S218" s="29">
        <f>ROUND(O218 + R218, 2)</f>
        <v/>
      </c>
      <c r="T218" s="29">
        <f>Intereses_Leasing_Mensual!L218</f>
        <v/>
      </c>
      <c r="U218" s="29">
        <f>Amortizacion_Capital_Mensual!M218</f>
        <v/>
      </c>
      <c r="V218" s="29">
        <f>Saldos_Capital_Mensual!L218</f>
        <v/>
      </c>
      <c r="W218" s="29">
        <f>Intereses_Residual_Mensual!L218</f>
        <v/>
      </c>
      <c r="X218" s="29">
        <f>ROUND(T218 + W218, 2)</f>
        <v/>
      </c>
      <c r="Y218" s="29">
        <f>Intereses_Leasing_Mensual!M218</f>
        <v/>
      </c>
      <c r="Z218" s="29">
        <f>Amortizacion_Capital_Mensual!N218</f>
        <v/>
      </c>
      <c r="AA218" s="29">
        <f>Saldos_Capital_Mensual!M218</f>
        <v/>
      </c>
      <c r="AB218" s="29">
        <f>Intereses_Residual_Mensual!M218</f>
        <v/>
      </c>
      <c r="AC218" s="29">
        <f>ROUND(Y218 + AB218, 2)</f>
        <v/>
      </c>
      <c r="AD218" s="29">
        <f>Intereses_Leasing_Mensual!N218</f>
        <v/>
      </c>
      <c r="AE218" s="29">
        <f>Amortizacion_Capital_Mensual!O218</f>
        <v/>
      </c>
      <c r="AF218" s="29">
        <f>Saldos_Capital_Mensual!N218</f>
        <v/>
      </c>
      <c r="AG218" s="29">
        <f>Intereses_Residual_Mensual!N218</f>
        <v/>
      </c>
      <c r="AH218" s="29">
        <f>ROUND(AD218 + AG218, 2)</f>
        <v/>
      </c>
      <c r="AI218" s="29">
        <f>Intereses_Leasing_Mensual!O218</f>
        <v/>
      </c>
      <c r="AJ218" s="29">
        <f>Amortizacion_Capital_Mensual!P218</f>
        <v/>
      </c>
      <c r="AK218" s="29">
        <f>Saldos_Capital_Mensual!O218</f>
        <v/>
      </c>
      <c r="AL218" s="29">
        <f>Intereses_Residual_Mensual!O218</f>
        <v/>
      </c>
      <c r="AM218" s="29">
        <f>ROUND(AI218 + AL218, 2)</f>
        <v/>
      </c>
      <c r="AN218" s="29">
        <f>Intereses_Leasing_Mensual!P218</f>
        <v/>
      </c>
      <c r="AO218" s="29">
        <f>Amortizacion_Capital_Mensual!Q218</f>
        <v/>
      </c>
      <c r="AP218" s="29">
        <f>Saldos_Capital_Mensual!P218</f>
        <v/>
      </c>
      <c r="AQ218" s="29">
        <f>Intereses_Residual_Mensual!P218</f>
        <v/>
      </c>
      <c r="AR218" s="29">
        <f>ROUND(AN218 + AQ218, 2)</f>
        <v/>
      </c>
      <c r="AS218" s="29">
        <f>Intereses_Leasing_Mensual!Q218</f>
        <v/>
      </c>
      <c r="AT218" s="29">
        <f>Amortizacion_Capital_Mensual!R218</f>
        <v/>
      </c>
      <c r="AU218" s="29">
        <f>Saldos_Capital_Mensual!Q218</f>
        <v/>
      </c>
      <c r="AV218" s="29">
        <f>Intereses_Residual_Mensual!Q218</f>
        <v/>
      </c>
      <c r="AW218" s="29">
        <f>ROUND(AS218 + AV218, 2)</f>
        <v/>
      </c>
      <c r="AX218" s="29">
        <f>Intereses_Leasing_Mensual!R218</f>
        <v/>
      </c>
      <c r="AY218" s="29">
        <f>Amortizacion_Capital_Mensual!S218</f>
        <v/>
      </c>
      <c r="AZ218" s="29">
        <f>Saldos_Capital_Mensual!R218</f>
        <v/>
      </c>
      <c r="BA218" s="29">
        <f>Intereses_Residual_Mensual!R218</f>
        <v/>
      </c>
      <c r="BB218" s="29">
        <f>ROUND(AX218 + BA218, 2)</f>
        <v/>
      </c>
      <c r="BC218" s="29">
        <f>Intereses_Leasing_Mensual!S218</f>
        <v/>
      </c>
      <c r="BD218" s="29">
        <f>Amortizacion_Capital_Mensual!T218</f>
        <v/>
      </c>
      <c r="BE218" s="29">
        <f>Saldos_Capital_Mensual!S218</f>
        <v/>
      </c>
      <c r="BF218" s="29">
        <f>Intereses_Residual_Mensual!S218</f>
        <v/>
      </c>
      <c r="BG218" s="29">
        <f>ROUND(BC218 + BF218, 2)</f>
        <v/>
      </c>
      <c r="BH218" s="29">
        <f>Intereses_Leasing_Mensual!T218</f>
        <v/>
      </c>
      <c r="BI218" s="29">
        <f>Amortizacion_Capital_Mensual!U218</f>
        <v/>
      </c>
      <c r="BJ218" s="29">
        <f>Saldos_Capital_Mensual!T218</f>
        <v/>
      </c>
      <c r="BK218" s="29">
        <f>Intereses_Residual_Mensual!T218</f>
        <v/>
      </c>
      <c r="BL218" s="29">
        <f>ROUND(BH218 + BK218, 2)</f>
        <v/>
      </c>
    </row>
    <row r="219">
      <c r="A219" s="20" t="inlineStr">
        <is>
          <t>0734-0001</t>
        </is>
      </c>
      <c r="B219" s="21" t="inlineStr">
        <is>
          <t>Nutrientes Agricolas de Colima, S. de R.L. de C.V.</t>
        </is>
      </c>
      <c r="C219" s="21" t="inlineStr">
        <is>
          <t>1200 TRADESMAN RC</t>
        </is>
      </c>
      <c r="D219" s="22" t="n">
        <v>36</v>
      </c>
      <c r="E219" s="23">
        <f>Intereses_Leasing_Mensual!I219</f>
        <v/>
      </c>
      <c r="F219" s="23">
        <f>Amortizacion_Capital_Mensual!J219</f>
        <v/>
      </c>
      <c r="G219" s="23">
        <f>Saldos_Capital_Mensual!I219</f>
        <v/>
      </c>
      <c r="H219" s="23">
        <f>Intereses_Residual_Mensual!I219</f>
        <v/>
      </c>
      <c r="I219" s="23">
        <f>ROUND(E219 + H219, 2)</f>
        <v/>
      </c>
      <c r="J219" s="23">
        <f>Intereses_Leasing_Mensual!J219</f>
        <v/>
      </c>
      <c r="K219" s="23">
        <f>Amortizacion_Capital_Mensual!K219</f>
        <v/>
      </c>
      <c r="L219" s="23">
        <f>Saldos_Capital_Mensual!J219</f>
        <v/>
      </c>
      <c r="M219" s="23">
        <f>Intereses_Residual_Mensual!J219</f>
        <v/>
      </c>
      <c r="N219" s="23">
        <f>ROUND(J219 + M219, 2)</f>
        <v/>
      </c>
      <c r="O219" s="23">
        <f>Intereses_Leasing_Mensual!K219</f>
        <v/>
      </c>
      <c r="P219" s="23">
        <f>Amortizacion_Capital_Mensual!L219</f>
        <v/>
      </c>
      <c r="Q219" s="23">
        <f>Saldos_Capital_Mensual!K219</f>
        <v/>
      </c>
      <c r="R219" s="23">
        <f>Intereses_Residual_Mensual!K219</f>
        <v/>
      </c>
      <c r="S219" s="23">
        <f>ROUND(O219 + R219, 2)</f>
        <v/>
      </c>
      <c r="T219" s="23">
        <f>Intereses_Leasing_Mensual!L219</f>
        <v/>
      </c>
      <c r="U219" s="23">
        <f>Amortizacion_Capital_Mensual!M219</f>
        <v/>
      </c>
      <c r="V219" s="23">
        <f>Saldos_Capital_Mensual!L219</f>
        <v/>
      </c>
      <c r="W219" s="23">
        <f>Intereses_Residual_Mensual!L219</f>
        <v/>
      </c>
      <c r="X219" s="23">
        <f>ROUND(T219 + W219, 2)</f>
        <v/>
      </c>
      <c r="Y219" s="23">
        <f>Intereses_Leasing_Mensual!M219</f>
        <v/>
      </c>
      <c r="Z219" s="23">
        <f>Amortizacion_Capital_Mensual!N219</f>
        <v/>
      </c>
      <c r="AA219" s="23">
        <f>Saldos_Capital_Mensual!M219</f>
        <v/>
      </c>
      <c r="AB219" s="23">
        <f>Intereses_Residual_Mensual!M219</f>
        <v/>
      </c>
      <c r="AC219" s="23">
        <f>ROUND(Y219 + AB219, 2)</f>
        <v/>
      </c>
      <c r="AD219" s="23">
        <f>Intereses_Leasing_Mensual!N219</f>
        <v/>
      </c>
      <c r="AE219" s="23">
        <f>Amortizacion_Capital_Mensual!O219</f>
        <v/>
      </c>
      <c r="AF219" s="23">
        <f>Saldos_Capital_Mensual!N219</f>
        <v/>
      </c>
      <c r="AG219" s="23">
        <f>Intereses_Residual_Mensual!N219</f>
        <v/>
      </c>
      <c r="AH219" s="23">
        <f>ROUND(AD219 + AG219, 2)</f>
        <v/>
      </c>
      <c r="AI219" s="23">
        <f>Intereses_Leasing_Mensual!O219</f>
        <v/>
      </c>
      <c r="AJ219" s="23">
        <f>Amortizacion_Capital_Mensual!P219</f>
        <v/>
      </c>
      <c r="AK219" s="23">
        <f>Saldos_Capital_Mensual!O219</f>
        <v/>
      </c>
      <c r="AL219" s="23">
        <f>Intereses_Residual_Mensual!O219</f>
        <v/>
      </c>
      <c r="AM219" s="23">
        <f>ROUND(AI219 + AL219, 2)</f>
        <v/>
      </c>
      <c r="AN219" s="23">
        <f>Intereses_Leasing_Mensual!P219</f>
        <v/>
      </c>
      <c r="AO219" s="23">
        <f>Amortizacion_Capital_Mensual!Q219</f>
        <v/>
      </c>
      <c r="AP219" s="23">
        <f>Saldos_Capital_Mensual!P219</f>
        <v/>
      </c>
      <c r="AQ219" s="23">
        <f>Intereses_Residual_Mensual!P219</f>
        <v/>
      </c>
      <c r="AR219" s="23">
        <f>ROUND(AN219 + AQ219, 2)</f>
        <v/>
      </c>
      <c r="AS219" s="23">
        <f>Intereses_Leasing_Mensual!Q219</f>
        <v/>
      </c>
      <c r="AT219" s="23">
        <f>Amortizacion_Capital_Mensual!R219</f>
        <v/>
      </c>
      <c r="AU219" s="23">
        <f>Saldos_Capital_Mensual!Q219</f>
        <v/>
      </c>
      <c r="AV219" s="23">
        <f>Intereses_Residual_Mensual!Q219</f>
        <v/>
      </c>
      <c r="AW219" s="23">
        <f>ROUND(AS219 + AV219, 2)</f>
        <v/>
      </c>
      <c r="AX219" s="23">
        <f>Intereses_Leasing_Mensual!R219</f>
        <v/>
      </c>
      <c r="AY219" s="23">
        <f>Amortizacion_Capital_Mensual!S219</f>
        <v/>
      </c>
      <c r="AZ219" s="23">
        <f>Saldos_Capital_Mensual!R219</f>
        <v/>
      </c>
      <c r="BA219" s="23">
        <f>Intereses_Residual_Mensual!R219</f>
        <v/>
      </c>
      <c r="BB219" s="23">
        <f>ROUND(AX219 + BA219, 2)</f>
        <v/>
      </c>
      <c r="BC219" s="23">
        <f>Intereses_Leasing_Mensual!S219</f>
        <v/>
      </c>
      <c r="BD219" s="23">
        <f>Amortizacion_Capital_Mensual!T219</f>
        <v/>
      </c>
      <c r="BE219" s="23">
        <f>Saldos_Capital_Mensual!S219</f>
        <v/>
      </c>
      <c r="BF219" s="23">
        <f>Intereses_Residual_Mensual!S219</f>
        <v/>
      </c>
      <c r="BG219" s="23">
        <f>ROUND(BC219 + BF219, 2)</f>
        <v/>
      </c>
      <c r="BH219" s="23">
        <f>Intereses_Leasing_Mensual!T219</f>
        <v/>
      </c>
      <c r="BI219" s="23">
        <f>Amortizacion_Capital_Mensual!U219</f>
        <v/>
      </c>
      <c r="BJ219" s="23">
        <f>Saldos_Capital_Mensual!T219</f>
        <v/>
      </c>
      <c r="BK219" s="23">
        <f>Intereses_Residual_Mensual!T219</f>
        <v/>
      </c>
      <c r="BL219" s="23">
        <f>ROUND(BH219 + BK219, 2)</f>
        <v/>
      </c>
    </row>
    <row r="220">
      <c r="A220" s="26" t="inlineStr">
        <is>
          <t>0734-0002</t>
        </is>
      </c>
      <c r="B220" s="27" t="inlineStr">
        <is>
          <t>Nutrientes Agricolas de Colima, S. de R.L. de C.V.</t>
        </is>
      </c>
      <c r="C220" s="27" t="inlineStr">
        <is>
          <t>1200 TRADESMAN CHASIS CABINA</t>
        </is>
      </c>
      <c r="D220" s="28" t="n">
        <v>36</v>
      </c>
      <c r="E220" s="29">
        <f>Intereses_Leasing_Mensual!I220</f>
        <v/>
      </c>
      <c r="F220" s="29">
        <f>Amortizacion_Capital_Mensual!J220</f>
        <v/>
      </c>
      <c r="G220" s="29">
        <f>Saldos_Capital_Mensual!I220</f>
        <v/>
      </c>
      <c r="H220" s="29">
        <f>Intereses_Residual_Mensual!I220</f>
        <v/>
      </c>
      <c r="I220" s="29">
        <f>ROUND(E220 + H220, 2)</f>
        <v/>
      </c>
      <c r="J220" s="29">
        <f>Intereses_Leasing_Mensual!J220</f>
        <v/>
      </c>
      <c r="K220" s="29">
        <f>Amortizacion_Capital_Mensual!K220</f>
        <v/>
      </c>
      <c r="L220" s="29">
        <f>Saldos_Capital_Mensual!J220</f>
        <v/>
      </c>
      <c r="M220" s="29">
        <f>Intereses_Residual_Mensual!J220</f>
        <v/>
      </c>
      <c r="N220" s="29">
        <f>ROUND(J220 + M220, 2)</f>
        <v/>
      </c>
      <c r="O220" s="29">
        <f>Intereses_Leasing_Mensual!K220</f>
        <v/>
      </c>
      <c r="P220" s="29">
        <f>Amortizacion_Capital_Mensual!L220</f>
        <v/>
      </c>
      <c r="Q220" s="29">
        <f>Saldos_Capital_Mensual!K220</f>
        <v/>
      </c>
      <c r="R220" s="29">
        <f>Intereses_Residual_Mensual!K220</f>
        <v/>
      </c>
      <c r="S220" s="29">
        <f>ROUND(O220 + R220, 2)</f>
        <v/>
      </c>
      <c r="T220" s="29">
        <f>Intereses_Leasing_Mensual!L220</f>
        <v/>
      </c>
      <c r="U220" s="29">
        <f>Amortizacion_Capital_Mensual!M220</f>
        <v/>
      </c>
      <c r="V220" s="29">
        <f>Saldos_Capital_Mensual!L220</f>
        <v/>
      </c>
      <c r="W220" s="29">
        <f>Intereses_Residual_Mensual!L220</f>
        <v/>
      </c>
      <c r="X220" s="29">
        <f>ROUND(T220 + W220, 2)</f>
        <v/>
      </c>
      <c r="Y220" s="29">
        <f>Intereses_Leasing_Mensual!M220</f>
        <v/>
      </c>
      <c r="Z220" s="29">
        <f>Amortizacion_Capital_Mensual!N220</f>
        <v/>
      </c>
      <c r="AA220" s="29">
        <f>Saldos_Capital_Mensual!M220</f>
        <v/>
      </c>
      <c r="AB220" s="29">
        <f>Intereses_Residual_Mensual!M220</f>
        <v/>
      </c>
      <c r="AC220" s="29">
        <f>ROUND(Y220 + AB220, 2)</f>
        <v/>
      </c>
      <c r="AD220" s="29">
        <f>Intereses_Leasing_Mensual!N220</f>
        <v/>
      </c>
      <c r="AE220" s="29">
        <f>Amortizacion_Capital_Mensual!O220</f>
        <v/>
      </c>
      <c r="AF220" s="29">
        <f>Saldos_Capital_Mensual!N220</f>
        <v/>
      </c>
      <c r="AG220" s="29">
        <f>Intereses_Residual_Mensual!N220</f>
        <v/>
      </c>
      <c r="AH220" s="29">
        <f>ROUND(AD220 + AG220, 2)</f>
        <v/>
      </c>
      <c r="AI220" s="29">
        <f>Intereses_Leasing_Mensual!O220</f>
        <v/>
      </c>
      <c r="AJ220" s="29">
        <f>Amortizacion_Capital_Mensual!P220</f>
        <v/>
      </c>
      <c r="AK220" s="29">
        <f>Saldos_Capital_Mensual!O220</f>
        <v/>
      </c>
      <c r="AL220" s="29">
        <f>Intereses_Residual_Mensual!O220</f>
        <v/>
      </c>
      <c r="AM220" s="29">
        <f>ROUND(AI220 + AL220, 2)</f>
        <v/>
      </c>
      <c r="AN220" s="29">
        <f>Intereses_Leasing_Mensual!P220</f>
        <v/>
      </c>
      <c r="AO220" s="29">
        <f>Amortizacion_Capital_Mensual!Q220</f>
        <v/>
      </c>
      <c r="AP220" s="29">
        <f>Saldos_Capital_Mensual!P220</f>
        <v/>
      </c>
      <c r="AQ220" s="29">
        <f>Intereses_Residual_Mensual!P220</f>
        <v/>
      </c>
      <c r="AR220" s="29">
        <f>ROUND(AN220 + AQ220, 2)</f>
        <v/>
      </c>
      <c r="AS220" s="29">
        <f>Intereses_Leasing_Mensual!Q220</f>
        <v/>
      </c>
      <c r="AT220" s="29">
        <f>Amortizacion_Capital_Mensual!R220</f>
        <v/>
      </c>
      <c r="AU220" s="29">
        <f>Saldos_Capital_Mensual!Q220</f>
        <v/>
      </c>
      <c r="AV220" s="29">
        <f>Intereses_Residual_Mensual!Q220</f>
        <v/>
      </c>
      <c r="AW220" s="29">
        <f>ROUND(AS220 + AV220, 2)</f>
        <v/>
      </c>
      <c r="AX220" s="29">
        <f>Intereses_Leasing_Mensual!R220</f>
        <v/>
      </c>
      <c r="AY220" s="29">
        <f>Amortizacion_Capital_Mensual!S220</f>
        <v/>
      </c>
      <c r="AZ220" s="29">
        <f>Saldos_Capital_Mensual!R220</f>
        <v/>
      </c>
      <c r="BA220" s="29">
        <f>Intereses_Residual_Mensual!R220</f>
        <v/>
      </c>
      <c r="BB220" s="29">
        <f>ROUND(AX220 + BA220, 2)</f>
        <v/>
      </c>
      <c r="BC220" s="29">
        <f>Intereses_Leasing_Mensual!S220</f>
        <v/>
      </c>
      <c r="BD220" s="29">
        <f>Amortizacion_Capital_Mensual!T220</f>
        <v/>
      </c>
      <c r="BE220" s="29">
        <f>Saldos_Capital_Mensual!S220</f>
        <v/>
      </c>
      <c r="BF220" s="29">
        <f>Intereses_Residual_Mensual!S220</f>
        <v/>
      </c>
      <c r="BG220" s="29">
        <f>ROUND(BC220 + BF220, 2)</f>
        <v/>
      </c>
      <c r="BH220" s="29">
        <f>Intereses_Leasing_Mensual!T220</f>
        <v/>
      </c>
      <c r="BI220" s="29">
        <f>Amortizacion_Capital_Mensual!U220</f>
        <v/>
      </c>
      <c r="BJ220" s="29">
        <f>Saldos_Capital_Mensual!T220</f>
        <v/>
      </c>
      <c r="BK220" s="29">
        <f>Intereses_Residual_Mensual!T220</f>
        <v/>
      </c>
      <c r="BL220" s="29">
        <f>ROUND(BH220 + BK220, 2)</f>
        <v/>
      </c>
    </row>
    <row r="221">
      <c r="A221" s="20" t="inlineStr">
        <is>
          <t>0735-0001</t>
        </is>
      </c>
      <c r="B221" s="21" t="inlineStr">
        <is>
          <t>Francisco Zepeda Covarrubias</t>
        </is>
      </c>
      <c r="C221" s="21" t="inlineStr">
        <is>
          <t>Territory Trend 1.5L Hibrido</t>
        </is>
      </c>
      <c r="D221" s="22" t="n">
        <v>36</v>
      </c>
      <c r="E221" s="23">
        <f>Intereses_Leasing_Mensual!I221</f>
        <v/>
      </c>
      <c r="F221" s="23">
        <f>Amortizacion_Capital_Mensual!J221</f>
        <v/>
      </c>
      <c r="G221" s="23">
        <f>Saldos_Capital_Mensual!I221</f>
        <v/>
      </c>
      <c r="H221" s="23">
        <f>Intereses_Residual_Mensual!I221</f>
        <v/>
      </c>
      <c r="I221" s="23">
        <f>ROUND(E221 + H221, 2)</f>
        <v/>
      </c>
      <c r="J221" s="23">
        <f>Intereses_Leasing_Mensual!J221</f>
        <v/>
      </c>
      <c r="K221" s="23">
        <f>Amortizacion_Capital_Mensual!K221</f>
        <v/>
      </c>
      <c r="L221" s="23">
        <f>Saldos_Capital_Mensual!J221</f>
        <v/>
      </c>
      <c r="M221" s="23">
        <f>Intereses_Residual_Mensual!J221</f>
        <v/>
      </c>
      <c r="N221" s="23">
        <f>ROUND(J221 + M221, 2)</f>
        <v/>
      </c>
      <c r="O221" s="23">
        <f>Intereses_Leasing_Mensual!K221</f>
        <v/>
      </c>
      <c r="P221" s="23">
        <f>Amortizacion_Capital_Mensual!L221</f>
        <v/>
      </c>
      <c r="Q221" s="23">
        <f>Saldos_Capital_Mensual!K221</f>
        <v/>
      </c>
      <c r="R221" s="23">
        <f>Intereses_Residual_Mensual!K221</f>
        <v/>
      </c>
      <c r="S221" s="23">
        <f>ROUND(O221 + R221, 2)</f>
        <v/>
      </c>
      <c r="T221" s="23">
        <f>Intereses_Leasing_Mensual!L221</f>
        <v/>
      </c>
      <c r="U221" s="23">
        <f>Amortizacion_Capital_Mensual!M221</f>
        <v/>
      </c>
      <c r="V221" s="23">
        <f>Saldos_Capital_Mensual!L221</f>
        <v/>
      </c>
      <c r="W221" s="23">
        <f>Intereses_Residual_Mensual!L221</f>
        <v/>
      </c>
      <c r="X221" s="23">
        <f>ROUND(T221 + W221, 2)</f>
        <v/>
      </c>
      <c r="Y221" s="23">
        <f>Intereses_Leasing_Mensual!M221</f>
        <v/>
      </c>
      <c r="Z221" s="23">
        <f>Amortizacion_Capital_Mensual!N221</f>
        <v/>
      </c>
      <c r="AA221" s="23">
        <f>Saldos_Capital_Mensual!M221</f>
        <v/>
      </c>
      <c r="AB221" s="23">
        <f>Intereses_Residual_Mensual!M221</f>
        <v/>
      </c>
      <c r="AC221" s="23">
        <f>ROUND(Y221 + AB221, 2)</f>
        <v/>
      </c>
      <c r="AD221" s="23">
        <f>Intereses_Leasing_Mensual!N221</f>
        <v/>
      </c>
      <c r="AE221" s="23">
        <f>Amortizacion_Capital_Mensual!O221</f>
        <v/>
      </c>
      <c r="AF221" s="23">
        <f>Saldos_Capital_Mensual!N221</f>
        <v/>
      </c>
      <c r="AG221" s="23">
        <f>Intereses_Residual_Mensual!N221</f>
        <v/>
      </c>
      <c r="AH221" s="23">
        <f>ROUND(AD221 + AG221, 2)</f>
        <v/>
      </c>
      <c r="AI221" s="23">
        <f>Intereses_Leasing_Mensual!O221</f>
        <v/>
      </c>
      <c r="AJ221" s="23">
        <f>Amortizacion_Capital_Mensual!P221</f>
        <v/>
      </c>
      <c r="AK221" s="23">
        <f>Saldos_Capital_Mensual!O221</f>
        <v/>
      </c>
      <c r="AL221" s="23">
        <f>Intereses_Residual_Mensual!O221</f>
        <v/>
      </c>
      <c r="AM221" s="23">
        <f>ROUND(AI221 + AL221, 2)</f>
        <v/>
      </c>
      <c r="AN221" s="23">
        <f>Intereses_Leasing_Mensual!P221</f>
        <v/>
      </c>
      <c r="AO221" s="23">
        <f>Amortizacion_Capital_Mensual!Q221</f>
        <v/>
      </c>
      <c r="AP221" s="23">
        <f>Saldos_Capital_Mensual!P221</f>
        <v/>
      </c>
      <c r="AQ221" s="23">
        <f>Intereses_Residual_Mensual!P221</f>
        <v/>
      </c>
      <c r="AR221" s="23">
        <f>ROUND(AN221 + AQ221, 2)</f>
        <v/>
      </c>
      <c r="AS221" s="23">
        <f>Intereses_Leasing_Mensual!Q221</f>
        <v/>
      </c>
      <c r="AT221" s="23">
        <f>Amortizacion_Capital_Mensual!R221</f>
        <v/>
      </c>
      <c r="AU221" s="23">
        <f>Saldos_Capital_Mensual!Q221</f>
        <v/>
      </c>
      <c r="AV221" s="23">
        <f>Intereses_Residual_Mensual!Q221</f>
        <v/>
      </c>
      <c r="AW221" s="23">
        <f>ROUND(AS221 + AV221, 2)</f>
        <v/>
      </c>
      <c r="AX221" s="23">
        <f>Intereses_Leasing_Mensual!R221</f>
        <v/>
      </c>
      <c r="AY221" s="23">
        <f>Amortizacion_Capital_Mensual!S221</f>
        <v/>
      </c>
      <c r="AZ221" s="23">
        <f>Saldos_Capital_Mensual!R221</f>
        <v/>
      </c>
      <c r="BA221" s="23">
        <f>Intereses_Residual_Mensual!R221</f>
        <v/>
      </c>
      <c r="BB221" s="23">
        <f>ROUND(AX221 + BA221, 2)</f>
        <v/>
      </c>
      <c r="BC221" s="23">
        <f>Intereses_Leasing_Mensual!S221</f>
        <v/>
      </c>
      <c r="BD221" s="23">
        <f>Amortizacion_Capital_Mensual!T221</f>
        <v/>
      </c>
      <c r="BE221" s="23">
        <f>Saldos_Capital_Mensual!S221</f>
        <v/>
      </c>
      <c r="BF221" s="23">
        <f>Intereses_Residual_Mensual!S221</f>
        <v/>
      </c>
      <c r="BG221" s="23">
        <f>ROUND(BC221 + BF221, 2)</f>
        <v/>
      </c>
      <c r="BH221" s="23">
        <f>Intereses_Leasing_Mensual!T221</f>
        <v/>
      </c>
      <c r="BI221" s="23">
        <f>Amortizacion_Capital_Mensual!U221</f>
        <v/>
      </c>
      <c r="BJ221" s="23">
        <f>Saldos_Capital_Mensual!T221</f>
        <v/>
      </c>
      <c r="BK221" s="23">
        <f>Intereses_Residual_Mensual!T221</f>
        <v/>
      </c>
      <c r="BL221" s="23">
        <f>ROUND(BH221 + BK221, 2)</f>
        <v/>
      </c>
    </row>
    <row r="222">
      <c r="A222" s="26" t="inlineStr">
        <is>
          <t>0736-0001</t>
        </is>
      </c>
      <c r="B222" s="27" t="inlineStr">
        <is>
          <t>Industrial Castillo de Tequila S.A. de C.V.</t>
        </is>
      </c>
      <c r="C222" s="27" t="inlineStr">
        <is>
          <t>700 TRADESMAN CREW CAB</t>
        </is>
      </c>
      <c r="D222" s="28" t="n">
        <v>48</v>
      </c>
      <c r="E222" s="29">
        <f>Intereses_Leasing_Mensual!I222</f>
        <v/>
      </c>
      <c r="F222" s="29">
        <f>Amortizacion_Capital_Mensual!J222</f>
        <v/>
      </c>
      <c r="G222" s="29">
        <f>Saldos_Capital_Mensual!I222</f>
        <v/>
      </c>
      <c r="H222" s="29">
        <f>Intereses_Residual_Mensual!I222</f>
        <v/>
      </c>
      <c r="I222" s="29">
        <f>ROUND(E222 + H222, 2)</f>
        <v/>
      </c>
      <c r="J222" s="29">
        <f>Intereses_Leasing_Mensual!J222</f>
        <v/>
      </c>
      <c r="K222" s="29">
        <f>Amortizacion_Capital_Mensual!K222</f>
        <v/>
      </c>
      <c r="L222" s="29">
        <f>Saldos_Capital_Mensual!J222</f>
        <v/>
      </c>
      <c r="M222" s="29">
        <f>Intereses_Residual_Mensual!J222</f>
        <v/>
      </c>
      <c r="N222" s="29">
        <f>ROUND(J222 + M222, 2)</f>
        <v/>
      </c>
      <c r="O222" s="29">
        <f>Intereses_Leasing_Mensual!K222</f>
        <v/>
      </c>
      <c r="P222" s="29">
        <f>Amortizacion_Capital_Mensual!L222</f>
        <v/>
      </c>
      <c r="Q222" s="29">
        <f>Saldos_Capital_Mensual!K222</f>
        <v/>
      </c>
      <c r="R222" s="29">
        <f>Intereses_Residual_Mensual!K222</f>
        <v/>
      </c>
      <c r="S222" s="29">
        <f>ROUND(O222 + R222, 2)</f>
        <v/>
      </c>
      <c r="T222" s="29">
        <f>Intereses_Leasing_Mensual!L222</f>
        <v/>
      </c>
      <c r="U222" s="29">
        <f>Amortizacion_Capital_Mensual!M222</f>
        <v/>
      </c>
      <c r="V222" s="29">
        <f>Saldos_Capital_Mensual!L222</f>
        <v/>
      </c>
      <c r="W222" s="29">
        <f>Intereses_Residual_Mensual!L222</f>
        <v/>
      </c>
      <c r="X222" s="29">
        <f>ROUND(T222 + W222, 2)</f>
        <v/>
      </c>
      <c r="Y222" s="29">
        <f>Intereses_Leasing_Mensual!M222</f>
        <v/>
      </c>
      <c r="Z222" s="29">
        <f>Amortizacion_Capital_Mensual!N222</f>
        <v/>
      </c>
      <c r="AA222" s="29">
        <f>Saldos_Capital_Mensual!M222</f>
        <v/>
      </c>
      <c r="AB222" s="29">
        <f>Intereses_Residual_Mensual!M222</f>
        <v/>
      </c>
      <c r="AC222" s="29">
        <f>ROUND(Y222 + AB222, 2)</f>
        <v/>
      </c>
      <c r="AD222" s="29">
        <f>Intereses_Leasing_Mensual!N222</f>
        <v/>
      </c>
      <c r="AE222" s="29">
        <f>Amortizacion_Capital_Mensual!O222</f>
        <v/>
      </c>
      <c r="AF222" s="29">
        <f>Saldos_Capital_Mensual!N222</f>
        <v/>
      </c>
      <c r="AG222" s="29">
        <f>Intereses_Residual_Mensual!N222</f>
        <v/>
      </c>
      <c r="AH222" s="29">
        <f>ROUND(AD222 + AG222, 2)</f>
        <v/>
      </c>
      <c r="AI222" s="29">
        <f>Intereses_Leasing_Mensual!O222</f>
        <v/>
      </c>
      <c r="AJ222" s="29">
        <f>Amortizacion_Capital_Mensual!P222</f>
        <v/>
      </c>
      <c r="AK222" s="29">
        <f>Saldos_Capital_Mensual!O222</f>
        <v/>
      </c>
      <c r="AL222" s="29">
        <f>Intereses_Residual_Mensual!O222</f>
        <v/>
      </c>
      <c r="AM222" s="29">
        <f>ROUND(AI222 + AL222, 2)</f>
        <v/>
      </c>
      <c r="AN222" s="29">
        <f>Intereses_Leasing_Mensual!P222</f>
        <v/>
      </c>
      <c r="AO222" s="29">
        <f>Amortizacion_Capital_Mensual!Q222</f>
        <v/>
      </c>
      <c r="AP222" s="29">
        <f>Saldos_Capital_Mensual!P222</f>
        <v/>
      </c>
      <c r="AQ222" s="29">
        <f>Intereses_Residual_Mensual!P222</f>
        <v/>
      </c>
      <c r="AR222" s="29">
        <f>ROUND(AN222 + AQ222, 2)</f>
        <v/>
      </c>
      <c r="AS222" s="29">
        <f>Intereses_Leasing_Mensual!Q222</f>
        <v/>
      </c>
      <c r="AT222" s="29">
        <f>Amortizacion_Capital_Mensual!R222</f>
        <v/>
      </c>
      <c r="AU222" s="29">
        <f>Saldos_Capital_Mensual!Q222</f>
        <v/>
      </c>
      <c r="AV222" s="29">
        <f>Intereses_Residual_Mensual!Q222</f>
        <v/>
      </c>
      <c r="AW222" s="29">
        <f>ROUND(AS222 + AV222, 2)</f>
        <v/>
      </c>
      <c r="AX222" s="29">
        <f>Intereses_Leasing_Mensual!R222</f>
        <v/>
      </c>
      <c r="AY222" s="29">
        <f>Amortizacion_Capital_Mensual!S222</f>
        <v/>
      </c>
      <c r="AZ222" s="29">
        <f>Saldos_Capital_Mensual!R222</f>
        <v/>
      </c>
      <c r="BA222" s="29">
        <f>Intereses_Residual_Mensual!R222</f>
        <v/>
      </c>
      <c r="BB222" s="29">
        <f>ROUND(AX222 + BA222, 2)</f>
        <v/>
      </c>
      <c r="BC222" s="29">
        <f>Intereses_Leasing_Mensual!S222</f>
        <v/>
      </c>
      <c r="BD222" s="29">
        <f>Amortizacion_Capital_Mensual!T222</f>
        <v/>
      </c>
      <c r="BE222" s="29">
        <f>Saldos_Capital_Mensual!S222</f>
        <v/>
      </c>
      <c r="BF222" s="29">
        <f>Intereses_Residual_Mensual!S222</f>
        <v/>
      </c>
      <c r="BG222" s="29">
        <f>ROUND(BC222 + BF222, 2)</f>
        <v/>
      </c>
      <c r="BH222" s="29">
        <f>Intereses_Leasing_Mensual!T222</f>
        <v/>
      </c>
      <c r="BI222" s="29">
        <f>Amortizacion_Capital_Mensual!U222</f>
        <v/>
      </c>
      <c r="BJ222" s="29">
        <f>Saldos_Capital_Mensual!T222</f>
        <v/>
      </c>
      <c r="BK222" s="29">
        <f>Intereses_Residual_Mensual!T222</f>
        <v/>
      </c>
      <c r="BL222" s="29">
        <f>ROUND(BH222 + BK222, 2)</f>
        <v/>
      </c>
    </row>
    <row r="223">
      <c r="A223" s="20" t="inlineStr">
        <is>
          <t>0737-0001</t>
        </is>
      </c>
      <c r="B223" s="21" t="inlineStr">
        <is>
          <t>Nicola Briani</t>
        </is>
      </c>
      <c r="C223" s="21" t="inlineStr">
        <is>
          <t>T1 Savage</t>
        </is>
      </c>
      <c r="D223" s="22" t="n">
        <v>48</v>
      </c>
      <c r="E223" s="23">
        <f>Intereses_Leasing_Mensual!I223</f>
        <v/>
      </c>
      <c r="F223" s="23">
        <f>Amortizacion_Capital_Mensual!J223</f>
        <v/>
      </c>
      <c r="G223" s="23">
        <f>Saldos_Capital_Mensual!I223</f>
        <v/>
      </c>
      <c r="H223" s="23">
        <f>Intereses_Residual_Mensual!I223</f>
        <v/>
      </c>
      <c r="I223" s="23">
        <f>ROUND(E223 + H223, 2)</f>
        <v/>
      </c>
      <c r="J223" s="23">
        <f>Intereses_Leasing_Mensual!J223</f>
        <v/>
      </c>
      <c r="K223" s="23">
        <f>Amortizacion_Capital_Mensual!K223</f>
        <v/>
      </c>
      <c r="L223" s="23">
        <f>Saldos_Capital_Mensual!J223</f>
        <v/>
      </c>
      <c r="M223" s="23">
        <f>Intereses_Residual_Mensual!J223</f>
        <v/>
      </c>
      <c r="N223" s="23">
        <f>ROUND(J223 + M223, 2)</f>
        <v/>
      </c>
      <c r="O223" s="23">
        <f>Intereses_Leasing_Mensual!K223</f>
        <v/>
      </c>
      <c r="P223" s="23">
        <f>Amortizacion_Capital_Mensual!L223</f>
        <v/>
      </c>
      <c r="Q223" s="23">
        <f>Saldos_Capital_Mensual!K223</f>
        <v/>
      </c>
      <c r="R223" s="23">
        <f>Intereses_Residual_Mensual!K223</f>
        <v/>
      </c>
      <c r="S223" s="23">
        <f>ROUND(O223 + R223, 2)</f>
        <v/>
      </c>
      <c r="T223" s="23">
        <f>Intereses_Leasing_Mensual!L223</f>
        <v/>
      </c>
      <c r="U223" s="23">
        <f>Amortizacion_Capital_Mensual!M223</f>
        <v/>
      </c>
      <c r="V223" s="23">
        <f>Saldos_Capital_Mensual!L223</f>
        <v/>
      </c>
      <c r="W223" s="23">
        <f>Intereses_Residual_Mensual!L223</f>
        <v/>
      </c>
      <c r="X223" s="23">
        <f>ROUND(T223 + W223, 2)</f>
        <v/>
      </c>
      <c r="Y223" s="23">
        <f>Intereses_Leasing_Mensual!M223</f>
        <v/>
      </c>
      <c r="Z223" s="23">
        <f>Amortizacion_Capital_Mensual!N223</f>
        <v/>
      </c>
      <c r="AA223" s="23">
        <f>Saldos_Capital_Mensual!M223</f>
        <v/>
      </c>
      <c r="AB223" s="23">
        <f>Intereses_Residual_Mensual!M223</f>
        <v/>
      </c>
      <c r="AC223" s="23">
        <f>ROUND(Y223 + AB223, 2)</f>
        <v/>
      </c>
      <c r="AD223" s="23">
        <f>Intereses_Leasing_Mensual!N223</f>
        <v/>
      </c>
      <c r="AE223" s="23">
        <f>Amortizacion_Capital_Mensual!O223</f>
        <v/>
      </c>
      <c r="AF223" s="23">
        <f>Saldos_Capital_Mensual!N223</f>
        <v/>
      </c>
      <c r="AG223" s="23">
        <f>Intereses_Residual_Mensual!N223</f>
        <v/>
      </c>
      <c r="AH223" s="23">
        <f>ROUND(AD223 + AG223, 2)</f>
        <v/>
      </c>
      <c r="AI223" s="23">
        <f>Intereses_Leasing_Mensual!O223</f>
        <v/>
      </c>
      <c r="AJ223" s="23">
        <f>Amortizacion_Capital_Mensual!P223</f>
        <v/>
      </c>
      <c r="AK223" s="23">
        <f>Saldos_Capital_Mensual!O223</f>
        <v/>
      </c>
      <c r="AL223" s="23">
        <f>Intereses_Residual_Mensual!O223</f>
        <v/>
      </c>
      <c r="AM223" s="23">
        <f>ROUND(AI223 + AL223, 2)</f>
        <v/>
      </c>
      <c r="AN223" s="23">
        <f>Intereses_Leasing_Mensual!P223</f>
        <v/>
      </c>
      <c r="AO223" s="23">
        <f>Amortizacion_Capital_Mensual!Q223</f>
        <v/>
      </c>
      <c r="AP223" s="23">
        <f>Saldos_Capital_Mensual!P223</f>
        <v/>
      </c>
      <c r="AQ223" s="23">
        <f>Intereses_Residual_Mensual!P223</f>
        <v/>
      </c>
      <c r="AR223" s="23">
        <f>ROUND(AN223 + AQ223, 2)</f>
        <v/>
      </c>
      <c r="AS223" s="23">
        <f>Intereses_Leasing_Mensual!Q223</f>
        <v/>
      </c>
      <c r="AT223" s="23">
        <f>Amortizacion_Capital_Mensual!R223</f>
        <v/>
      </c>
      <c r="AU223" s="23">
        <f>Saldos_Capital_Mensual!Q223</f>
        <v/>
      </c>
      <c r="AV223" s="23">
        <f>Intereses_Residual_Mensual!Q223</f>
        <v/>
      </c>
      <c r="AW223" s="23">
        <f>ROUND(AS223 + AV223, 2)</f>
        <v/>
      </c>
      <c r="AX223" s="23">
        <f>Intereses_Leasing_Mensual!R223</f>
        <v/>
      </c>
      <c r="AY223" s="23">
        <f>Amortizacion_Capital_Mensual!S223</f>
        <v/>
      </c>
      <c r="AZ223" s="23">
        <f>Saldos_Capital_Mensual!R223</f>
        <v/>
      </c>
      <c r="BA223" s="23">
        <f>Intereses_Residual_Mensual!R223</f>
        <v/>
      </c>
      <c r="BB223" s="23">
        <f>ROUND(AX223 + BA223, 2)</f>
        <v/>
      </c>
      <c r="BC223" s="23">
        <f>Intereses_Leasing_Mensual!S223</f>
        <v/>
      </c>
      <c r="BD223" s="23">
        <f>Amortizacion_Capital_Mensual!T223</f>
        <v/>
      </c>
      <c r="BE223" s="23">
        <f>Saldos_Capital_Mensual!S223</f>
        <v/>
      </c>
      <c r="BF223" s="23">
        <f>Intereses_Residual_Mensual!S223</f>
        <v/>
      </c>
      <c r="BG223" s="23">
        <f>ROUND(BC223 + BF223, 2)</f>
        <v/>
      </c>
      <c r="BH223" s="23">
        <f>Intereses_Leasing_Mensual!T223</f>
        <v/>
      </c>
      <c r="BI223" s="23">
        <f>Amortizacion_Capital_Mensual!U223</f>
        <v/>
      </c>
      <c r="BJ223" s="23">
        <f>Saldos_Capital_Mensual!T223</f>
        <v/>
      </c>
      <c r="BK223" s="23">
        <f>Intereses_Residual_Mensual!T223</f>
        <v/>
      </c>
      <c r="BL223" s="23">
        <f>ROUND(BH223 + BK223, 2)</f>
        <v/>
      </c>
    </row>
    <row r="224">
      <c r="A224" s="26" t="inlineStr">
        <is>
          <t>0738-0001</t>
        </is>
      </c>
      <c r="B224" s="27" t="inlineStr">
        <is>
          <t>Vinaria Distribución S.A.S.</t>
        </is>
      </c>
      <c r="C224" s="27" t="inlineStr">
        <is>
          <t>700 BIGHORN "S" CREW CAB CVT</t>
        </is>
      </c>
      <c r="D224" s="28" t="n">
        <v>36</v>
      </c>
      <c r="E224" s="29">
        <f>Intereses_Leasing_Mensual!I224</f>
        <v/>
      </c>
      <c r="F224" s="29">
        <f>Amortizacion_Capital_Mensual!J224</f>
        <v/>
      </c>
      <c r="G224" s="29">
        <f>Saldos_Capital_Mensual!I224</f>
        <v/>
      </c>
      <c r="H224" s="29">
        <f>Intereses_Residual_Mensual!I224</f>
        <v/>
      </c>
      <c r="I224" s="29">
        <f>ROUND(E224 + H224, 2)</f>
        <v/>
      </c>
      <c r="J224" s="29">
        <f>Intereses_Leasing_Mensual!J224</f>
        <v/>
      </c>
      <c r="K224" s="29">
        <f>Amortizacion_Capital_Mensual!K224</f>
        <v/>
      </c>
      <c r="L224" s="29">
        <f>Saldos_Capital_Mensual!J224</f>
        <v/>
      </c>
      <c r="M224" s="29">
        <f>Intereses_Residual_Mensual!J224</f>
        <v/>
      </c>
      <c r="N224" s="29">
        <f>ROUND(J224 + M224, 2)</f>
        <v/>
      </c>
      <c r="O224" s="29">
        <f>Intereses_Leasing_Mensual!K224</f>
        <v/>
      </c>
      <c r="P224" s="29">
        <f>Amortizacion_Capital_Mensual!L224</f>
        <v/>
      </c>
      <c r="Q224" s="29">
        <f>Saldos_Capital_Mensual!K224</f>
        <v/>
      </c>
      <c r="R224" s="29">
        <f>Intereses_Residual_Mensual!K224</f>
        <v/>
      </c>
      <c r="S224" s="29">
        <f>ROUND(O224 + R224, 2)</f>
        <v/>
      </c>
      <c r="T224" s="29">
        <f>Intereses_Leasing_Mensual!L224</f>
        <v/>
      </c>
      <c r="U224" s="29">
        <f>Amortizacion_Capital_Mensual!M224</f>
        <v/>
      </c>
      <c r="V224" s="29">
        <f>Saldos_Capital_Mensual!L224</f>
        <v/>
      </c>
      <c r="W224" s="29">
        <f>Intereses_Residual_Mensual!L224</f>
        <v/>
      </c>
      <c r="X224" s="29">
        <f>ROUND(T224 + W224, 2)</f>
        <v/>
      </c>
      <c r="Y224" s="29">
        <f>Intereses_Leasing_Mensual!M224</f>
        <v/>
      </c>
      <c r="Z224" s="29">
        <f>Amortizacion_Capital_Mensual!N224</f>
        <v/>
      </c>
      <c r="AA224" s="29">
        <f>Saldos_Capital_Mensual!M224</f>
        <v/>
      </c>
      <c r="AB224" s="29">
        <f>Intereses_Residual_Mensual!M224</f>
        <v/>
      </c>
      <c r="AC224" s="29">
        <f>ROUND(Y224 + AB224, 2)</f>
        <v/>
      </c>
      <c r="AD224" s="29">
        <f>Intereses_Leasing_Mensual!N224</f>
        <v/>
      </c>
      <c r="AE224" s="29">
        <f>Amortizacion_Capital_Mensual!O224</f>
        <v/>
      </c>
      <c r="AF224" s="29">
        <f>Saldos_Capital_Mensual!N224</f>
        <v/>
      </c>
      <c r="AG224" s="29">
        <f>Intereses_Residual_Mensual!N224</f>
        <v/>
      </c>
      <c r="AH224" s="29">
        <f>ROUND(AD224 + AG224, 2)</f>
        <v/>
      </c>
      <c r="AI224" s="29">
        <f>Intereses_Leasing_Mensual!O224</f>
        <v/>
      </c>
      <c r="AJ224" s="29">
        <f>Amortizacion_Capital_Mensual!P224</f>
        <v/>
      </c>
      <c r="AK224" s="29">
        <f>Saldos_Capital_Mensual!O224</f>
        <v/>
      </c>
      <c r="AL224" s="29">
        <f>Intereses_Residual_Mensual!O224</f>
        <v/>
      </c>
      <c r="AM224" s="29">
        <f>ROUND(AI224 + AL224, 2)</f>
        <v/>
      </c>
      <c r="AN224" s="29">
        <f>Intereses_Leasing_Mensual!P224</f>
        <v/>
      </c>
      <c r="AO224" s="29">
        <f>Amortizacion_Capital_Mensual!Q224</f>
        <v/>
      </c>
      <c r="AP224" s="29">
        <f>Saldos_Capital_Mensual!P224</f>
        <v/>
      </c>
      <c r="AQ224" s="29">
        <f>Intereses_Residual_Mensual!P224</f>
        <v/>
      </c>
      <c r="AR224" s="29">
        <f>ROUND(AN224 + AQ224, 2)</f>
        <v/>
      </c>
      <c r="AS224" s="29">
        <f>Intereses_Leasing_Mensual!Q224</f>
        <v/>
      </c>
      <c r="AT224" s="29">
        <f>Amortizacion_Capital_Mensual!R224</f>
        <v/>
      </c>
      <c r="AU224" s="29">
        <f>Saldos_Capital_Mensual!Q224</f>
        <v/>
      </c>
      <c r="AV224" s="29">
        <f>Intereses_Residual_Mensual!Q224</f>
        <v/>
      </c>
      <c r="AW224" s="29">
        <f>ROUND(AS224 + AV224, 2)</f>
        <v/>
      </c>
      <c r="AX224" s="29">
        <f>Intereses_Leasing_Mensual!R224</f>
        <v/>
      </c>
      <c r="AY224" s="29">
        <f>Amortizacion_Capital_Mensual!S224</f>
        <v/>
      </c>
      <c r="AZ224" s="29">
        <f>Saldos_Capital_Mensual!R224</f>
        <v/>
      </c>
      <c r="BA224" s="29">
        <f>Intereses_Residual_Mensual!R224</f>
        <v/>
      </c>
      <c r="BB224" s="29">
        <f>ROUND(AX224 + BA224, 2)</f>
        <v/>
      </c>
      <c r="BC224" s="29">
        <f>Intereses_Leasing_Mensual!S224</f>
        <v/>
      </c>
      <c r="BD224" s="29">
        <f>Amortizacion_Capital_Mensual!T224</f>
        <v/>
      </c>
      <c r="BE224" s="29">
        <f>Saldos_Capital_Mensual!S224</f>
        <v/>
      </c>
      <c r="BF224" s="29">
        <f>Intereses_Residual_Mensual!S224</f>
        <v/>
      </c>
      <c r="BG224" s="29">
        <f>ROUND(BC224 + BF224, 2)</f>
        <v/>
      </c>
      <c r="BH224" s="29">
        <f>Intereses_Leasing_Mensual!T224</f>
        <v/>
      </c>
      <c r="BI224" s="29">
        <f>Amortizacion_Capital_Mensual!U224</f>
        <v/>
      </c>
      <c r="BJ224" s="29">
        <f>Saldos_Capital_Mensual!T224</f>
        <v/>
      </c>
      <c r="BK224" s="29">
        <f>Intereses_Residual_Mensual!T224</f>
        <v/>
      </c>
      <c r="BL224" s="29">
        <f>ROUND(BH224 + BK224, 2)</f>
        <v/>
      </c>
    </row>
    <row r="225">
      <c r="A225" s="20" t="inlineStr">
        <is>
          <t>0739-0001</t>
        </is>
      </c>
      <c r="B225" s="21" t="inlineStr">
        <is>
          <t>Miriam Patricia López Flores</t>
        </is>
      </c>
      <c r="C225" s="21" t="inlineStr">
        <is>
          <t>Jeep Wrangler Unlimited Rubicon</t>
        </is>
      </c>
      <c r="D225" s="22" t="n">
        <v>48</v>
      </c>
      <c r="E225" s="23">
        <f>Intereses_Leasing_Mensual!I225</f>
        <v/>
      </c>
      <c r="F225" s="23">
        <f>Amortizacion_Capital_Mensual!J225</f>
        <v/>
      </c>
      <c r="G225" s="23">
        <f>Saldos_Capital_Mensual!I225</f>
        <v/>
      </c>
      <c r="H225" s="23">
        <f>Intereses_Residual_Mensual!I225</f>
        <v/>
      </c>
      <c r="I225" s="23">
        <f>ROUND(E225 + H225, 2)</f>
        <v/>
      </c>
      <c r="J225" s="23">
        <f>Intereses_Leasing_Mensual!J225</f>
        <v/>
      </c>
      <c r="K225" s="23">
        <f>Amortizacion_Capital_Mensual!K225</f>
        <v/>
      </c>
      <c r="L225" s="23">
        <f>Saldos_Capital_Mensual!J225</f>
        <v/>
      </c>
      <c r="M225" s="23">
        <f>Intereses_Residual_Mensual!J225</f>
        <v/>
      </c>
      <c r="N225" s="23">
        <f>ROUND(J225 + M225, 2)</f>
        <v/>
      </c>
      <c r="O225" s="23">
        <f>Intereses_Leasing_Mensual!K225</f>
        <v/>
      </c>
      <c r="P225" s="23">
        <f>Amortizacion_Capital_Mensual!L225</f>
        <v/>
      </c>
      <c r="Q225" s="23">
        <f>Saldos_Capital_Mensual!K225</f>
        <v/>
      </c>
      <c r="R225" s="23">
        <f>Intereses_Residual_Mensual!K225</f>
        <v/>
      </c>
      <c r="S225" s="23">
        <f>ROUND(O225 + R225, 2)</f>
        <v/>
      </c>
      <c r="T225" s="23">
        <f>Intereses_Leasing_Mensual!L225</f>
        <v/>
      </c>
      <c r="U225" s="23">
        <f>Amortizacion_Capital_Mensual!M225</f>
        <v/>
      </c>
      <c r="V225" s="23">
        <f>Saldos_Capital_Mensual!L225</f>
        <v/>
      </c>
      <c r="W225" s="23">
        <f>Intereses_Residual_Mensual!L225</f>
        <v/>
      </c>
      <c r="X225" s="23">
        <f>ROUND(T225 + W225, 2)</f>
        <v/>
      </c>
      <c r="Y225" s="23">
        <f>Intereses_Leasing_Mensual!M225</f>
        <v/>
      </c>
      <c r="Z225" s="23">
        <f>Amortizacion_Capital_Mensual!N225</f>
        <v/>
      </c>
      <c r="AA225" s="23">
        <f>Saldos_Capital_Mensual!M225</f>
        <v/>
      </c>
      <c r="AB225" s="23">
        <f>Intereses_Residual_Mensual!M225</f>
        <v/>
      </c>
      <c r="AC225" s="23">
        <f>ROUND(Y225 + AB225, 2)</f>
        <v/>
      </c>
      <c r="AD225" s="23">
        <f>Intereses_Leasing_Mensual!N225</f>
        <v/>
      </c>
      <c r="AE225" s="23">
        <f>Amortizacion_Capital_Mensual!O225</f>
        <v/>
      </c>
      <c r="AF225" s="23">
        <f>Saldos_Capital_Mensual!N225</f>
        <v/>
      </c>
      <c r="AG225" s="23">
        <f>Intereses_Residual_Mensual!N225</f>
        <v/>
      </c>
      <c r="AH225" s="23">
        <f>ROUND(AD225 + AG225, 2)</f>
        <v/>
      </c>
      <c r="AI225" s="23">
        <f>Intereses_Leasing_Mensual!O225</f>
        <v/>
      </c>
      <c r="AJ225" s="23">
        <f>Amortizacion_Capital_Mensual!P225</f>
        <v/>
      </c>
      <c r="AK225" s="23">
        <f>Saldos_Capital_Mensual!O225</f>
        <v/>
      </c>
      <c r="AL225" s="23">
        <f>Intereses_Residual_Mensual!O225</f>
        <v/>
      </c>
      <c r="AM225" s="23">
        <f>ROUND(AI225 + AL225, 2)</f>
        <v/>
      </c>
      <c r="AN225" s="23">
        <f>Intereses_Leasing_Mensual!P225</f>
        <v/>
      </c>
      <c r="AO225" s="23">
        <f>Amortizacion_Capital_Mensual!Q225</f>
        <v/>
      </c>
      <c r="AP225" s="23">
        <f>Saldos_Capital_Mensual!P225</f>
        <v/>
      </c>
      <c r="AQ225" s="23">
        <f>Intereses_Residual_Mensual!P225</f>
        <v/>
      </c>
      <c r="AR225" s="23">
        <f>ROUND(AN225 + AQ225, 2)</f>
        <v/>
      </c>
      <c r="AS225" s="23">
        <f>Intereses_Leasing_Mensual!Q225</f>
        <v/>
      </c>
      <c r="AT225" s="23">
        <f>Amortizacion_Capital_Mensual!R225</f>
        <v/>
      </c>
      <c r="AU225" s="23">
        <f>Saldos_Capital_Mensual!Q225</f>
        <v/>
      </c>
      <c r="AV225" s="23">
        <f>Intereses_Residual_Mensual!Q225</f>
        <v/>
      </c>
      <c r="AW225" s="23">
        <f>ROUND(AS225 + AV225, 2)</f>
        <v/>
      </c>
      <c r="AX225" s="23">
        <f>Intereses_Leasing_Mensual!R225</f>
        <v/>
      </c>
      <c r="AY225" s="23">
        <f>Amortizacion_Capital_Mensual!S225</f>
        <v/>
      </c>
      <c r="AZ225" s="23">
        <f>Saldos_Capital_Mensual!R225</f>
        <v/>
      </c>
      <c r="BA225" s="23">
        <f>Intereses_Residual_Mensual!R225</f>
        <v/>
      </c>
      <c r="BB225" s="23">
        <f>ROUND(AX225 + BA225, 2)</f>
        <v/>
      </c>
      <c r="BC225" s="23">
        <f>Intereses_Leasing_Mensual!S225</f>
        <v/>
      </c>
      <c r="BD225" s="23">
        <f>Amortizacion_Capital_Mensual!T225</f>
        <v/>
      </c>
      <c r="BE225" s="23">
        <f>Saldos_Capital_Mensual!S225</f>
        <v/>
      </c>
      <c r="BF225" s="23">
        <f>Intereses_Residual_Mensual!S225</f>
        <v/>
      </c>
      <c r="BG225" s="23">
        <f>ROUND(BC225 + BF225, 2)</f>
        <v/>
      </c>
      <c r="BH225" s="23">
        <f>Intereses_Leasing_Mensual!T225</f>
        <v/>
      </c>
      <c r="BI225" s="23">
        <f>Amortizacion_Capital_Mensual!U225</f>
        <v/>
      </c>
      <c r="BJ225" s="23">
        <f>Saldos_Capital_Mensual!T225</f>
        <v/>
      </c>
      <c r="BK225" s="23">
        <f>Intereses_Residual_Mensual!T225</f>
        <v/>
      </c>
      <c r="BL225" s="23">
        <f>ROUND(BH225 + BK225, 2)</f>
        <v/>
      </c>
    </row>
    <row r="226">
      <c r="A226" s="26" t="inlineStr">
        <is>
          <t>0740-0001</t>
        </is>
      </c>
      <c r="B226" s="27" t="inlineStr">
        <is>
          <t>Sanatorio Versalles de Guadalajara</t>
        </is>
      </c>
      <c r="C226" s="27" t="inlineStr">
        <is>
          <t>1200 Bighorn</t>
        </is>
      </c>
      <c r="D226" s="28" t="n">
        <v>12</v>
      </c>
      <c r="E226" s="29">
        <f>Intereses_Leasing_Mensual!I226</f>
        <v/>
      </c>
      <c r="F226" s="29">
        <f>Amortizacion_Capital_Mensual!J226</f>
        <v/>
      </c>
      <c r="G226" s="29">
        <f>Saldos_Capital_Mensual!I226</f>
        <v/>
      </c>
      <c r="H226" s="29">
        <f>Intereses_Residual_Mensual!I226</f>
        <v/>
      </c>
      <c r="I226" s="29">
        <f>ROUND(E226 + H226, 2)</f>
        <v/>
      </c>
      <c r="J226" s="29">
        <f>Intereses_Leasing_Mensual!J226</f>
        <v/>
      </c>
      <c r="K226" s="29">
        <f>Amortizacion_Capital_Mensual!K226</f>
        <v/>
      </c>
      <c r="L226" s="29">
        <f>Saldos_Capital_Mensual!J226</f>
        <v/>
      </c>
      <c r="M226" s="29">
        <f>Intereses_Residual_Mensual!J226</f>
        <v/>
      </c>
      <c r="N226" s="29">
        <f>ROUND(J226 + M226, 2)</f>
        <v/>
      </c>
      <c r="O226" s="29">
        <f>Intereses_Leasing_Mensual!K226</f>
        <v/>
      </c>
      <c r="P226" s="29">
        <f>Amortizacion_Capital_Mensual!L226</f>
        <v/>
      </c>
      <c r="Q226" s="29">
        <f>Saldos_Capital_Mensual!K226</f>
        <v/>
      </c>
      <c r="R226" s="29">
        <f>Intereses_Residual_Mensual!K226</f>
        <v/>
      </c>
      <c r="S226" s="29">
        <f>ROUND(O226 + R226, 2)</f>
        <v/>
      </c>
      <c r="T226" s="29">
        <f>Intereses_Leasing_Mensual!L226</f>
        <v/>
      </c>
      <c r="U226" s="29">
        <f>Amortizacion_Capital_Mensual!M226</f>
        <v/>
      </c>
      <c r="V226" s="29">
        <f>Saldos_Capital_Mensual!L226</f>
        <v/>
      </c>
      <c r="W226" s="29">
        <f>Intereses_Residual_Mensual!L226</f>
        <v/>
      </c>
      <c r="X226" s="29">
        <f>ROUND(T226 + W226, 2)</f>
        <v/>
      </c>
      <c r="Y226" s="29">
        <f>Intereses_Leasing_Mensual!M226</f>
        <v/>
      </c>
      <c r="Z226" s="29">
        <f>Amortizacion_Capital_Mensual!N226</f>
        <v/>
      </c>
      <c r="AA226" s="29">
        <f>Saldos_Capital_Mensual!M226</f>
        <v/>
      </c>
      <c r="AB226" s="29">
        <f>Intereses_Residual_Mensual!M226</f>
        <v/>
      </c>
      <c r="AC226" s="29">
        <f>ROUND(Y226 + AB226, 2)</f>
        <v/>
      </c>
      <c r="AD226" s="29">
        <f>Intereses_Leasing_Mensual!N226</f>
        <v/>
      </c>
      <c r="AE226" s="29">
        <f>Amortizacion_Capital_Mensual!O226</f>
        <v/>
      </c>
      <c r="AF226" s="29">
        <f>Saldos_Capital_Mensual!N226</f>
        <v/>
      </c>
      <c r="AG226" s="29">
        <f>Intereses_Residual_Mensual!N226</f>
        <v/>
      </c>
      <c r="AH226" s="29">
        <f>ROUND(AD226 + AG226, 2)</f>
        <v/>
      </c>
      <c r="AI226" s="29">
        <f>Intereses_Leasing_Mensual!O226</f>
        <v/>
      </c>
      <c r="AJ226" s="29">
        <f>Amortizacion_Capital_Mensual!P226</f>
        <v/>
      </c>
      <c r="AK226" s="29">
        <f>Saldos_Capital_Mensual!O226</f>
        <v/>
      </c>
      <c r="AL226" s="29">
        <f>Intereses_Residual_Mensual!O226</f>
        <v/>
      </c>
      <c r="AM226" s="29">
        <f>ROUND(AI226 + AL226, 2)</f>
        <v/>
      </c>
      <c r="AN226" s="29">
        <f>Intereses_Leasing_Mensual!P226</f>
        <v/>
      </c>
      <c r="AO226" s="29">
        <f>Amortizacion_Capital_Mensual!Q226</f>
        <v/>
      </c>
      <c r="AP226" s="29">
        <f>Saldos_Capital_Mensual!P226</f>
        <v/>
      </c>
      <c r="AQ226" s="29">
        <f>Intereses_Residual_Mensual!P226</f>
        <v/>
      </c>
      <c r="AR226" s="29">
        <f>ROUND(AN226 + AQ226, 2)</f>
        <v/>
      </c>
      <c r="AS226" s="29">
        <f>Intereses_Leasing_Mensual!Q226</f>
        <v/>
      </c>
      <c r="AT226" s="29">
        <f>Amortizacion_Capital_Mensual!R226</f>
        <v/>
      </c>
      <c r="AU226" s="29">
        <f>Saldos_Capital_Mensual!Q226</f>
        <v/>
      </c>
      <c r="AV226" s="29">
        <f>Intereses_Residual_Mensual!Q226</f>
        <v/>
      </c>
      <c r="AW226" s="29">
        <f>ROUND(AS226 + AV226, 2)</f>
        <v/>
      </c>
      <c r="AX226" s="29">
        <f>Intereses_Leasing_Mensual!R226</f>
        <v/>
      </c>
      <c r="AY226" s="29">
        <f>Amortizacion_Capital_Mensual!S226</f>
        <v/>
      </c>
      <c r="AZ226" s="29">
        <f>Saldos_Capital_Mensual!R226</f>
        <v/>
      </c>
      <c r="BA226" s="29">
        <f>Intereses_Residual_Mensual!R226</f>
        <v/>
      </c>
      <c r="BB226" s="29">
        <f>ROUND(AX226 + BA226, 2)</f>
        <v/>
      </c>
      <c r="BC226" s="29">
        <f>Intereses_Leasing_Mensual!S226</f>
        <v/>
      </c>
      <c r="BD226" s="29">
        <f>Amortizacion_Capital_Mensual!T226</f>
        <v/>
      </c>
      <c r="BE226" s="29">
        <f>Saldos_Capital_Mensual!S226</f>
        <v/>
      </c>
      <c r="BF226" s="29">
        <f>Intereses_Residual_Mensual!S226</f>
        <v/>
      </c>
      <c r="BG226" s="29">
        <f>ROUND(BC226 + BF226, 2)</f>
        <v/>
      </c>
      <c r="BH226" s="29">
        <f>Intereses_Leasing_Mensual!T226</f>
        <v/>
      </c>
      <c r="BI226" s="29">
        <f>Amortizacion_Capital_Mensual!U226</f>
        <v/>
      </c>
      <c r="BJ226" s="29">
        <f>Saldos_Capital_Mensual!T226</f>
        <v/>
      </c>
      <c r="BK226" s="29">
        <f>Intereses_Residual_Mensual!T226</f>
        <v/>
      </c>
      <c r="BL226" s="29">
        <f>ROUND(BH226 + BK226, 2)</f>
        <v/>
      </c>
    </row>
    <row r="227">
      <c r="A227" s="20" t="inlineStr">
        <is>
          <t>0741-0001</t>
        </is>
      </c>
      <c r="B227" s="21" t="inlineStr">
        <is>
          <t>Alvaró Agustin Navarro Castellón</t>
        </is>
      </c>
      <c r="C227" s="21" t="inlineStr">
        <is>
          <t>Manager Furgon L4H2</t>
        </is>
      </c>
      <c r="D227" s="22" t="n">
        <v>48</v>
      </c>
      <c r="E227" s="23">
        <f>Intereses_Leasing_Mensual!I227</f>
        <v/>
      </c>
      <c r="F227" s="23">
        <f>Amortizacion_Capital_Mensual!J227</f>
        <v/>
      </c>
      <c r="G227" s="23">
        <f>Saldos_Capital_Mensual!I227</f>
        <v/>
      </c>
      <c r="H227" s="23">
        <f>Intereses_Residual_Mensual!I227</f>
        <v/>
      </c>
      <c r="I227" s="23">
        <f>ROUND(E227 + H227, 2)</f>
        <v/>
      </c>
      <c r="J227" s="23">
        <f>Intereses_Leasing_Mensual!J227</f>
        <v/>
      </c>
      <c r="K227" s="23">
        <f>Amortizacion_Capital_Mensual!K227</f>
        <v/>
      </c>
      <c r="L227" s="23">
        <f>Saldos_Capital_Mensual!J227</f>
        <v/>
      </c>
      <c r="M227" s="23">
        <f>Intereses_Residual_Mensual!J227</f>
        <v/>
      </c>
      <c r="N227" s="23">
        <f>ROUND(J227 + M227, 2)</f>
        <v/>
      </c>
      <c r="O227" s="23">
        <f>Intereses_Leasing_Mensual!K227</f>
        <v/>
      </c>
      <c r="P227" s="23">
        <f>Amortizacion_Capital_Mensual!L227</f>
        <v/>
      </c>
      <c r="Q227" s="23">
        <f>Saldos_Capital_Mensual!K227</f>
        <v/>
      </c>
      <c r="R227" s="23">
        <f>Intereses_Residual_Mensual!K227</f>
        <v/>
      </c>
      <c r="S227" s="23">
        <f>ROUND(O227 + R227, 2)</f>
        <v/>
      </c>
      <c r="T227" s="23">
        <f>Intereses_Leasing_Mensual!L227</f>
        <v/>
      </c>
      <c r="U227" s="23">
        <f>Amortizacion_Capital_Mensual!M227</f>
        <v/>
      </c>
      <c r="V227" s="23">
        <f>Saldos_Capital_Mensual!L227</f>
        <v/>
      </c>
      <c r="W227" s="23">
        <f>Intereses_Residual_Mensual!L227</f>
        <v/>
      </c>
      <c r="X227" s="23">
        <f>ROUND(T227 + W227, 2)</f>
        <v/>
      </c>
      <c r="Y227" s="23">
        <f>Intereses_Leasing_Mensual!M227</f>
        <v/>
      </c>
      <c r="Z227" s="23">
        <f>Amortizacion_Capital_Mensual!N227</f>
        <v/>
      </c>
      <c r="AA227" s="23">
        <f>Saldos_Capital_Mensual!M227</f>
        <v/>
      </c>
      <c r="AB227" s="23">
        <f>Intereses_Residual_Mensual!M227</f>
        <v/>
      </c>
      <c r="AC227" s="23">
        <f>ROUND(Y227 + AB227, 2)</f>
        <v/>
      </c>
      <c r="AD227" s="23">
        <f>Intereses_Leasing_Mensual!N227</f>
        <v/>
      </c>
      <c r="AE227" s="23">
        <f>Amortizacion_Capital_Mensual!O227</f>
        <v/>
      </c>
      <c r="AF227" s="23">
        <f>Saldos_Capital_Mensual!N227</f>
        <v/>
      </c>
      <c r="AG227" s="23">
        <f>Intereses_Residual_Mensual!N227</f>
        <v/>
      </c>
      <c r="AH227" s="23">
        <f>ROUND(AD227 + AG227, 2)</f>
        <v/>
      </c>
      <c r="AI227" s="23">
        <f>Intereses_Leasing_Mensual!O227</f>
        <v/>
      </c>
      <c r="AJ227" s="23">
        <f>Amortizacion_Capital_Mensual!P227</f>
        <v/>
      </c>
      <c r="AK227" s="23">
        <f>Saldos_Capital_Mensual!O227</f>
        <v/>
      </c>
      <c r="AL227" s="23">
        <f>Intereses_Residual_Mensual!O227</f>
        <v/>
      </c>
      <c r="AM227" s="23">
        <f>ROUND(AI227 + AL227, 2)</f>
        <v/>
      </c>
      <c r="AN227" s="23">
        <f>Intereses_Leasing_Mensual!P227</f>
        <v/>
      </c>
      <c r="AO227" s="23">
        <f>Amortizacion_Capital_Mensual!Q227</f>
        <v/>
      </c>
      <c r="AP227" s="23">
        <f>Saldos_Capital_Mensual!P227</f>
        <v/>
      </c>
      <c r="AQ227" s="23">
        <f>Intereses_Residual_Mensual!P227</f>
        <v/>
      </c>
      <c r="AR227" s="23">
        <f>ROUND(AN227 + AQ227, 2)</f>
        <v/>
      </c>
      <c r="AS227" s="23">
        <f>Intereses_Leasing_Mensual!Q227</f>
        <v/>
      </c>
      <c r="AT227" s="23">
        <f>Amortizacion_Capital_Mensual!R227</f>
        <v/>
      </c>
      <c r="AU227" s="23">
        <f>Saldos_Capital_Mensual!Q227</f>
        <v/>
      </c>
      <c r="AV227" s="23">
        <f>Intereses_Residual_Mensual!Q227</f>
        <v/>
      </c>
      <c r="AW227" s="23">
        <f>ROUND(AS227 + AV227, 2)</f>
        <v/>
      </c>
      <c r="AX227" s="23">
        <f>Intereses_Leasing_Mensual!R227</f>
        <v/>
      </c>
      <c r="AY227" s="23">
        <f>Amortizacion_Capital_Mensual!S227</f>
        <v/>
      </c>
      <c r="AZ227" s="23">
        <f>Saldos_Capital_Mensual!R227</f>
        <v/>
      </c>
      <c r="BA227" s="23">
        <f>Intereses_Residual_Mensual!R227</f>
        <v/>
      </c>
      <c r="BB227" s="23">
        <f>ROUND(AX227 + BA227, 2)</f>
        <v/>
      </c>
      <c r="BC227" s="23">
        <f>Intereses_Leasing_Mensual!S227</f>
        <v/>
      </c>
      <c r="BD227" s="23">
        <f>Amortizacion_Capital_Mensual!T227</f>
        <v/>
      </c>
      <c r="BE227" s="23">
        <f>Saldos_Capital_Mensual!S227</f>
        <v/>
      </c>
      <c r="BF227" s="23">
        <f>Intereses_Residual_Mensual!S227</f>
        <v/>
      </c>
      <c r="BG227" s="23">
        <f>ROUND(BC227 + BF227, 2)</f>
        <v/>
      </c>
      <c r="BH227" s="23">
        <f>Intereses_Leasing_Mensual!T227</f>
        <v/>
      </c>
      <c r="BI227" s="23">
        <f>Amortizacion_Capital_Mensual!U227</f>
        <v/>
      </c>
      <c r="BJ227" s="23">
        <f>Saldos_Capital_Mensual!T227</f>
        <v/>
      </c>
      <c r="BK227" s="23">
        <f>Intereses_Residual_Mensual!T227</f>
        <v/>
      </c>
      <c r="BL227" s="23">
        <f>ROUND(BH227 + BK227, 2)</f>
        <v/>
      </c>
    </row>
    <row r="228">
      <c r="A228" s="26" t="inlineStr">
        <is>
          <t>0742-0001</t>
        </is>
      </c>
      <c r="B228" s="27" t="inlineStr">
        <is>
          <t>Universidad de las Américas y el Caribe, S.C.</t>
        </is>
      </c>
      <c r="C228" s="27" t="inlineStr">
        <is>
          <t>700 BIGHORN "S" CREW CAB MT</t>
        </is>
      </c>
      <c r="D228" s="28" t="n">
        <v>36</v>
      </c>
      <c r="E228" s="29">
        <f>Intereses_Leasing_Mensual!I228</f>
        <v/>
      </c>
      <c r="F228" s="29">
        <f>Amortizacion_Capital_Mensual!J228</f>
        <v/>
      </c>
      <c r="G228" s="29">
        <f>Saldos_Capital_Mensual!I228</f>
        <v/>
      </c>
      <c r="H228" s="29">
        <f>Intereses_Residual_Mensual!I228</f>
        <v/>
      </c>
      <c r="I228" s="29">
        <f>ROUND(E228 + H228, 2)</f>
        <v/>
      </c>
      <c r="J228" s="29">
        <f>Intereses_Leasing_Mensual!J228</f>
        <v/>
      </c>
      <c r="K228" s="29">
        <f>Amortizacion_Capital_Mensual!K228</f>
        <v/>
      </c>
      <c r="L228" s="29">
        <f>Saldos_Capital_Mensual!J228</f>
        <v/>
      </c>
      <c r="M228" s="29">
        <f>Intereses_Residual_Mensual!J228</f>
        <v/>
      </c>
      <c r="N228" s="29">
        <f>ROUND(J228 + M228, 2)</f>
        <v/>
      </c>
      <c r="O228" s="29">
        <f>Intereses_Leasing_Mensual!K228</f>
        <v/>
      </c>
      <c r="P228" s="29">
        <f>Amortizacion_Capital_Mensual!L228</f>
        <v/>
      </c>
      <c r="Q228" s="29">
        <f>Saldos_Capital_Mensual!K228</f>
        <v/>
      </c>
      <c r="R228" s="29">
        <f>Intereses_Residual_Mensual!K228</f>
        <v/>
      </c>
      <c r="S228" s="29">
        <f>ROUND(O228 + R228, 2)</f>
        <v/>
      </c>
      <c r="T228" s="29">
        <f>Intereses_Leasing_Mensual!L228</f>
        <v/>
      </c>
      <c r="U228" s="29">
        <f>Amortizacion_Capital_Mensual!M228</f>
        <v/>
      </c>
      <c r="V228" s="29">
        <f>Saldos_Capital_Mensual!L228</f>
        <v/>
      </c>
      <c r="W228" s="29">
        <f>Intereses_Residual_Mensual!L228</f>
        <v/>
      </c>
      <c r="X228" s="29">
        <f>ROUND(T228 + W228, 2)</f>
        <v/>
      </c>
      <c r="Y228" s="29">
        <f>Intereses_Leasing_Mensual!M228</f>
        <v/>
      </c>
      <c r="Z228" s="29">
        <f>Amortizacion_Capital_Mensual!N228</f>
        <v/>
      </c>
      <c r="AA228" s="29">
        <f>Saldos_Capital_Mensual!M228</f>
        <v/>
      </c>
      <c r="AB228" s="29">
        <f>Intereses_Residual_Mensual!M228</f>
        <v/>
      </c>
      <c r="AC228" s="29">
        <f>ROUND(Y228 + AB228, 2)</f>
        <v/>
      </c>
      <c r="AD228" s="29">
        <f>Intereses_Leasing_Mensual!N228</f>
        <v/>
      </c>
      <c r="AE228" s="29">
        <f>Amortizacion_Capital_Mensual!O228</f>
        <v/>
      </c>
      <c r="AF228" s="29">
        <f>Saldos_Capital_Mensual!N228</f>
        <v/>
      </c>
      <c r="AG228" s="29">
        <f>Intereses_Residual_Mensual!N228</f>
        <v/>
      </c>
      <c r="AH228" s="29">
        <f>ROUND(AD228 + AG228, 2)</f>
        <v/>
      </c>
      <c r="AI228" s="29">
        <f>Intereses_Leasing_Mensual!O228</f>
        <v/>
      </c>
      <c r="AJ228" s="29">
        <f>Amortizacion_Capital_Mensual!P228</f>
        <v/>
      </c>
      <c r="AK228" s="29">
        <f>Saldos_Capital_Mensual!O228</f>
        <v/>
      </c>
      <c r="AL228" s="29">
        <f>Intereses_Residual_Mensual!O228</f>
        <v/>
      </c>
      <c r="AM228" s="29">
        <f>ROUND(AI228 + AL228, 2)</f>
        <v/>
      </c>
      <c r="AN228" s="29">
        <f>Intereses_Leasing_Mensual!P228</f>
        <v/>
      </c>
      <c r="AO228" s="29">
        <f>Amortizacion_Capital_Mensual!Q228</f>
        <v/>
      </c>
      <c r="AP228" s="29">
        <f>Saldos_Capital_Mensual!P228</f>
        <v/>
      </c>
      <c r="AQ228" s="29">
        <f>Intereses_Residual_Mensual!P228</f>
        <v/>
      </c>
      <c r="AR228" s="29">
        <f>ROUND(AN228 + AQ228, 2)</f>
        <v/>
      </c>
      <c r="AS228" s="29">
        <f>Intereses_Leasing_Mensual!Q228</f>
        <v/>
      </c>
      <c r="AT228" s="29">
        <f>Amortizacion_Capital_Mensual!R228</f>
        <v/>
      </c>
      <c r="AU228" s="29">
        <f>Saldos_Capital_Mensual!Q228</f>
        <v/>
      </c>
      <c r="AV228" s="29">
        <f>Intereses_Residual_Mensual!Q228</f>
        <v/>
      </c>
      <c r="AW228" s="29">
        <f>ROUND(AS228 + AV228, 2)</f>
        <v/>
      </c>
      <c r="AX228" s="29">
        <f>Intereses_Leasing_Mensual!R228</f>
        <v/>
      </c>
      <c r="AY228" s="29">
        <f>Amortizacion_Capital_Mensual!S228</f>
        <v/>
      </c>
      <c r="AZ228" s="29">
        <f>Saldos_Capital_Mensual!R228</f>
        <v/>
      </c>
      <c r="BA228" s="29">
        <f>Intereses_Residual_Mensual!R228</f>
        <v/>
      </c>
      <c r="BB228" s="29">
        <f>ROUND(AX228 + BA228, 2)</f>
        <v/>
      </c>
      <c r="BC228" s="29">
        <f>Intereses_Leasing_Mensual!S228</f>
        <v/>
      </c>
      <c r="BD228" s="29">
        <f>Amortizacion_Capital_Mensual!T228</f>
        <v/>
      </c>
      <c r="BE228" s="29">
        <f>Saldos_Capital_Mensual!S228</f>
        <v/>
      </c>
      <c r="BF228" s="29">
        <f>Intereses_Residual_Mensual!S228</f>
        <v/>
      </c>
      <c r="BG228" s="29">
        <f>ROUND(BC228 + BF228, 2)</f>
        <v/>
      </c>
      <c r="BH228" s="29">
        <f>Intereses_Leasing_Mensual!T228</f>
        <v/>
      </c>
      <c r="BI228" s="29">
        <f>Amortizacion_Capital_Mensual!U228</f>
        <v/>
      </c>
      <c r="BJ228" s="29">
        <f>Saldos_Capital_Mensual!T228</f>
        <v/>
      </c>
      <c r="BK228" s="29">
        <f>Intereses_Residual_Mensual!T228</f>
        <v/>
      </c>
      <c r="BL228" s="29">
        <f>ROUND(BH228 + BK228, 2)</f>
        <v/>
      </c>
    </row>
    <row r="229">
      <c r="A229" s="20" t="inlineStr">
        <is>
          <t>0742-0002</t>
        </is>
      </c>
      <c r="B229" s="21" t="inlineStr">
        <is>
          <t>Universidad de las Américas y el Caribe, S.C.</t>
        </is>
      </c>
      <c r="C229" s="21" t="inlineStr">
        <is>
          <t>700 BIGHORN "S" CREW CAB CVT</t>
        </is>
      </c>
      <c r="D229" s="22" t="n">
        <v>36</v>
      </c>
      <c r="E229" s="23">
        <f>Intereses_Leasing_Mensual!I229</f>
        <v/>
      </c>
      <c r="F229" s="23">
        <f>Amortizacion_Capital_Mensual!J229</f>
        <v/>
      </c>
      <c r="G229" s="23">
        <f>Saldos_Capital_Mensual!I229</f>
        <v/>
      </c>
      <c r="H229" s="23">
        <f>Intereses_Residual_Mensual!I229</f>
        <v/>
      </c>
      <c r="I229" s="23">
        <f>ROUND(E229 + H229, 2)</f>
        <v/>
      </c>
      <c r="J229" s="23">
        <f>Intereses_Leasing_Mensual!J229</f>
        <v/>
      </c>
      <c r="K229" s="23">
        <f>Amortizacion_Capital_Mensual!K229</f>
        <v/>
      </c>
      <c r="L229" s="23">
        <f>Saldos_Capital_Mensual!J229</f>
        <v/>
      </c>
      <c r="M229" s="23">
        <f>Intereses_Residual_Mensual!J229</f>
        <v/>
      </c>
      <c r="N229" s="23">
        <f>ROUND(J229 + M229, 2)</f>
        <v/>
      </c>
      <c r="O229" s="23">
        <f>Intereses_Leasing_Mensual!K229</f>
        <v/>
      </c>
      <c r="P229" s="23">
        <f>Amortizacion_Capital_Mensual!L229</f>
        <v/>
      </c>
      <c r="Q229" s="23">
        <f>Saldos_Capital_Mensual!K229</f>
        <v/>
      </c>
      <c r="R229" s="23">
        <f>Intereses_Residual_Mensual!K229</f>
        <v/>
      </c>
      <c r="S229" s="23">
        <f>ROUND(O229 + R229, 2)</f>
        <v/>
      </c>
      <c r="T229" s="23">
        <f>Intereses_Leasing_Mensual!L229</f>
        <v/>
      </c>
      <c r="U229" s="23">
        <f>Amortizacion_Capital_Mensual!M229</f>
        <v/>
      </c>
      <c r="V229" s="23">
        <f>Saldos_Capital_Mensual!L229</f>
        <v/>
      </c>
      <c r="W229" s="23">
        <f>Intereses_Residual_Mensual!L229</f>
        <v/>
      </c>
      <c r="X229" s="23">
        <f>ROUND(T229 + W229, 2)</f>
        <v/>
      </c>
      <c r="Y229" s="23">
        <f>Intereses_Leasing_Mensual!M229</f>
        <v/>
      </c>
      <c r="Z229" s="23">
        <f>Amortizacion_Capital_Mensual!N229</f>
        <v/>
      </c>
      <c r="AA229" s="23">
        <f>Saldos_Capital_Mensual!M229</f>
        <v/>
      </c>
      <c r="AB229" s="23">
        <f>Intereses_Residual_Mensual!M229</f>
        <v/>
      </c>
      <c r="AC229" s="23">
        <f>ROUND(Y229 + AB229, 2)</f>
        <v/>
      </c>
      <c r="AD229" s="23">
        <f>Intereses_Leasing_Mensual!N229</f>
        <v/>
      </c>
      <c r="AE229" s="23">
        <f>Amortizacion_Capital_Mensual!O229</f>
        <v/>
      </c>
      <c r="AF229" s="23">
        <f>Saldos_Capital_Mensual!N229</f>
        <v/>
      </c>
      <c r="AG229" s="23">
        <f>Intereses_Residual_Mensual!N229</f>
        <v/>
      </c>
      <c r="AH229" s="23">
        <f>ROUND(AD229 + AG229, 2)</f>
        <v/>
      </c>
      <c r="AI229" s="23">
        <f>Intereses_Leasing_Mensual!O229</f>
        <v/>
      </c>
      <c r="AJ229" s="23">
        <f>Amortizacion_Capital_Mensual!P229</f>
        <v/>
      </c>
      <c r="AK229" s="23">
        <f>Saldos_Capital_Mensual!O229</f>
        <v/>
      </c>
      <c r="AL229" s="23">
        <f>Intereses_Residual_Mensual!O229</f>
        <v/>
      </c>
      <c r="AM229" s="23">
        <f>ROUND(AI229 + AL229, 2)</f>
        <v/>
      </c>
      <c r="AN229" s="23">
        <f>Intereses_Leasing_Mensual!P229</f>
        <v/>
      </c>
      <c r="AO229" s="23">
        <f>Amortizacion_Capital_Mensual!Q229</f>
        <v/>
      </c>
      <c r="AP229" s="23">
        <f>Saldos_Capital_Mensual!P229</f>
        <v/>
      </c>
      <c r="AQ229" s="23">
        <f>Intereses_Residual_Mensual!P229</f>
        <v/>
      </c>
      <c r="AR229" s="23">
        <f>ROUND(AN229 + AQ229, 2)</f>
        <v/>
      </c>
      <c r="AS229" s="23">
        <f>Intereses_Leasing_Mensual!Q229</f>
        <v/>
      </c>
      <c r="AT229" s="23">
        <f>Amortizacion_Capital_Mensual!R229</f>
        <v/>
      </c>
      <c r="AU229" s="23">
        <f>Saldos_Capital_Mensual!Q229</f>
        <v/>
      </c>
      <c r="AV229" s="23">
        <f>Intereses_Residual_Mensual!Q229</f>
        <v/>
      </c>
      <c r="AW229" s="23">
        <f>ROUND(AS229 + AV229, 2)</f>
        <v/>
      </c>
      <c r="AX229" s="23">
        <f>Intereses_Leasing_Mensual!R229</f>
        <v/>
      </c>
      <c r="AY229" s="23">
        <f>Amortizacion_Capital_Mensual!S229</f>
        <v/>
      </c>
      <c r="AZ229" s="23">
        <f>Saldos_Capital_Mensual!R229</f>
        <v/>
      </c>
      <c r="BA229" s="23">
        <f>Intereses_Residual_Mensual!R229</f>
        <v/>
      </c>
      <c r="BB229" s="23">
        <f>ROUND(AX229 + BA229, 2)</f>
        <v/>
      </c>
      <c r="BC229" s="23">
        <f>Intereses_Leasing_Mensual!S229</f>
        <v/>
      </c>
      <c r="BD229" s="23">
        <f>Amortizacion_Capital_Mensual!T229</f>
        <v/>
      </c>
      <c r="BE229" s="23">
        <f>Saldos_Capital_Mensual!S229</f>
        <v/>
      </c>
      <c r="BF229" s="23">
        <f>Intereses_Residual_Mensual!S229</f>
        <v/>
      </c>
      <c r="BG229" s="23">
        <f>ROUND(BC229 + BF229, 2)</f>
        <v/>
      </c>
      <c r="BH229" s="23">
        <f>Intereses_Leasing_Mensual!T229</f>
        <v/>
      </c>
      <c r="BI229" s="23">
        <f>Amortizacion_Capital_Mensual!U229</f>
        <v/>
      </c>
      <c r="BJ229" s="23">
        <f>Saldos_Capital_Mensual!T229</f>
        <v/>
      </c>
      <c r="BK229" s="23">
        <f>Intereses_Residual_Mensual!T229</f>
        <v/>
      </c>
      <c r="BL229" s="23">
        <f>ROUND(BH229 + BK229, 2)</f>
        <v/>
      </c>
    </row>
    <row r="230">
      <c r="A230" s="26" t="inlineStr">
        <is>
          <t>0743-0001</t>
        </is>
      </c>
      <c r="B230" s="27" t="inlineStr">
        <is>
          <t>IEM Soluciones Integrales, S.C.</t>
        </is>
      </c>
      <c r="C230" s="27" t="inlineStr">
        <is>
          <t>1200 BIGHORN CC</t>
        </is>
      </c>
      <c r="D230" s="28" t="n">
        <v>36</v>
      </c>
      <c r="E230" s="29">
        <f>Intereses_Leasing_Mensual!I230</f>
        <v/>
      </c>
      <c r="F230" s="29">
        <f>Amortizacion_Capital_Mensual!J230</f>
        <v/>
      </c>
      <c r="G230" s="29">
        <f>Saldos_Capital_Mensual!I230</f>
        <v/>
      </c>
      <c r="H230" s="29">
        <f>Intereses_Residual_Mensual!I230</f>
        <v/>
      </c>
      <c r="I230" s="29">
        <f>ROUND(E230 + H230, 2)</f>
        <v/>
      </c>
      <c r="J230" s="29">
        <f>Intereses_Leasing_Mensual!J230</f>
        <v/>
      </c>
      <c r="K230" s="29">
        <f>Amortizacion_Capital_Mensual!K230</f>
        <v/>
      </c>
      <c r="L230" s="29">
        <f>Saldos_Capital_Mensual!J230</f>
        <v/>
      </c>
      <c r="M230" s="29">
        <f>Intereses_Residual_Mensual!J230</f>
        <v/>
      </c>
      <c r="N230" s="29">
        <f>ROUND(J230 + M230, 2)</f>
        <v/>
      </c>
      <c r="O230" s="29">
        <f>Intereses_Leasing_Mensual!K230</f>
        <v/>
      </c>
      <c r="P230" s="29">
        <f>Amortizacion_Capital_Mensual!L230</f>
        <v/>
      </c>
      <c r="Q230" s="29">
        <f>Saldos_Capital_Mensual!K230</f>
        <v/>
      </c>
      <c r="R230" s="29">
        <f>Intereses_Residual_Mensual!K230</f>
        <v/>
      </c>
      <c r="S230" s="29">
        <f>ROUND(O230 + R230, 2)</f>
        <v/>
      </c>
      <c r="T230" s="29">
        <f>Intereses_Leasing_Mensual!L230</f>
        <v/>
      </c>
      <c r="U230" s="29">
        <f>Amortizacion_Capital_Mensual!M230</f>
        <v/>
      </c>
      <c r="V230" s="29">
        <f>Saldos_Capital_Mensual!L230</f>
        <v/>
      </c>
      <c r="W230" s="29">
        <f>Intereses_Residual_Mensual!L230</f>
        <v/>
      </c>
      <c r="X230" s="29">
        <f>ROUND(T230 + W230, 2)</f>
        <v/>
      </c>
      <c r="Y230" s="29">
        <f>Intereses_Leasing_Mensual!M230</f>
        <v/>
      </c>
      <c r="Z230" s="29">
        <f>Amortizacion_Capital_Mensual!N230</f>
        <v/>
      </c>
      <c r="AA230" s="29">
        <f>Saldos_Capital_Mensual!M230</f>
        <v/>
      </c>
      <c r="AB230" s="29">
        <f>Intereses_Residual_Mensual!M230</f>
        <v/>
      </c>
      <c r="AC230" s="29">
        <f>ROUND(Y230 + AB230, 2)</f>
        <v/>
      </c>
      <c r="AD230" s="29">
        <f>Intereses_Leasing_Mensual!N230</f>
        <v/>
      </c>
      <c r="AE230" s="29">
        <f>Amortizacion_Capital_Mensual!O230</f>
        <v/>
      </c>
      <c r="AF230" s="29">
        <f>Saldos_Capital_Mensual!N230</f>
        <v/>
      </c>
      <c r="AG230" s="29">
        <f>Intereses_Residual_Mensual!N230</f>
        <v/>
      </c>
      <c r="AH230" s="29">
        <f>ROUND(AD230 + AG230, 2)</f>
        <v/>
      </c>
      <c r="AI230" s="29">
        <f>Intereses_Leasing_Mensual!O230</f>
        <v/>
      </c>
      <c r="AJ230" s="29">
        <f>Amortizacion_Capital_Mensual!P230</f>
        <v/>
      </c>
      <c r="AK230" s="29">
        <f>Saldos_Capital_Mensual!O230</f>
        <v/>
      </c>
      <c r="AL230" s="29">
        <f>Intereses_Residual_Mensual!O230</f>
        <v/>
      </c>
      <c r="AM230" s="29">
        <f>ROUND(AI230 + AL230, 2)</f>
        <v/>
      </c>
      <c r="AN230" s="29">
        <f>Intereses_Leasing_Mensual!P230</f>
        <v/>
      </c>
      <c r="AO230" s="29">
        <f>Amortizacion_Capital_Mensual!Q230</f>
        <v/>
      </c>
      <c r="AP230" s="29">
        <f>Saldos_Capital_Mensual!P230</f>
        <v/>
      </c>
      <c r="AQ230" s="29">
        <f>Intereses_Residual_Mensual!P230</f>
        <v/>
      </c>
      <c r="AR230" s="29">
        <f>ROUND(AN230 + AQ230, 2)</f>
        <v/>
      </c>
      <c r="AS230" s="29">
        <f>Intereses_Leasing_Mensual!Q230</f>
        <v/>
      </c>
      <c r="AT230" s="29">
        <f>Amortizacion_Capital_Mensual!R230</f>
        <v/>
      </c>
      <c r="AU230" s="29">
        <f>Saldos_Capital_Mensual!Q230</f>
        <v/>
      </c>
      <c r="AV230" s="29">
        <f>Intereses_Residual_Mensual!Q230</f>
        <v/>
      </c>
      <c r="AW230" s="29">
        <f>ROUND(AS230 + AV230, 2)</f>
        <v/>
      </c>
      <c r="AX230" s="29">
        <f>Intereses_Leasing_Mensual!R230</f>
        <v/>
      </c>
      <c r="AY230" s="29">
        <f>Amortizacion_Capital_Mensual!S230</f>
        <v/>
      </c>
      <c r="AZ230" s="29">
        <f>Saldos_Capital_Mensual!R230</f>
        <v/>
      </c>
      <c r="BA230" s="29">
        <f>Intereses_Residual_Mensual!R230</f>
        <v/>
      </c>
      <c r="BB230" s="29">
        <f>ROUND(AX230 + BA230, 2)</f>
        <v/>
      </c>
      <c r="BC230" s="29">
        <f>Intereses_Leasing_Mensual!S230</f>
        <v/>
      </c>
      <c r="BD230" s="29">
        <f>Amortizacion_Capital_Mensual!T230</f>
        <v/>
      </c>
      <c r="BE230" s="29">
        <f>Saldos_Capital_Mensual!S230</f>
        <v/>
      </c>
      <c r="BF230" s="29">
        <f>Intereses_Residual_Mensual!S230</f>
        <v/>
      </c>
      <c r="BG230" s="29">
        <f>ROUND(BC230 + BF230, 2)</f>
        <v/>
      </c>
      <c r="BH230" s="29">
        <f>Intereses_Leasing_Mensual!T230</f>
        <v/>
      </c>
      <c r="BI230" s="29">
        <f>Amortizacion_Capital_Mensual!U230</f>
        <v/>
      </c>
      <c r="BJ230" s="29">
        <f>Saldos_Capital_Mensual!T230</f>
        <v/>
      </c>
      <c r="BK230" s="29">
        <f>Intereses_Residual_Mensual!T230</f>
        <v/>
      </c>
      <c r="BL230" s="29">
        <f>ROUND(BH230 + BK230, 2)</f>
        <v/>
      </c>
    </row>
    <row r="231">
      <c r="A231" s="20" t="inlineStr">
        <is>
          <t>0744-0001</t>
        </is>
      </c>
      <c r="B231" s="21" t="inlineStr">
        <is>
          <t>H&amp;A Edicon, S.A. de C.V.</t>
        </is>
      </c>
      <c r="C231" s="21" t="inlineStr">
        <is>
          <t>NP 300 Chasis Cabina</t>
        </is>
      </c>
      <c r="D231" s="22" t="n">
        <v>24</v>
      </c>
      <c r="E231" s="23">
        <f>Intereses_Leasing_Mensual!I231</f>
        <v/>
      </c>
      <c r="F231" s="23">
        <f>Amortizacion_Capital_Mensual!J231</f>
        <v/>
      </c>
      <c r="G231" s="23">
        <f>Saldos_Capital_Mensual!I231</f>
        <v/>
      </c>
      <c r="H231" s="23">
        <f>Intereses_Residual_Mensual!I231</f>
        <v/>
      </c>
      <c r="I231" s="23">
        <f>ROUND(E231 + H231, 2)</f>
        <v/>
      </c>
      <c r="J231" s="23">
        <f>Intereses_Leasing_Mensual!J231</f>
        <v/>
      </c>
      <c r="K231" s="23">
        <f>Amortizacion_Capital_Mensual!K231</f>
        <v/>
      </c>
      <c r="L231" s="23">
        <f>Saldos_Capital_Mensual!J231</f>
        <v/>
      </c>
      <c r="M231" s="23">
        <f>Intereses_Residual_Mensual!J231</f>
        <v/>
      </c>
      <c r="N231" s="23">
        <f>ROUND(J231 + M231, 2)</f>
        <v/>
      </c>
      <c r="O231" s="23">
        <f>Intereses_Leasing_Mensual!K231</f>
        <v/>
      </c>
      <c r="P231" s="23">
        <f>Amortizacion_Capital_Mensual!L231</f>
        <v/>
      </c>
      <c r="Q231" s="23">
        <f>Saldos_Capital_Mensual!K231</f>
        <v/>
      </c>
      <c r="R231" s="23">
        <f>Intereses_Residual_Mensual!K231</f>
        <v/>
      </c>
      <c r="S231" s="23">
        <f>ROUND(O231 + R231, 2)</f>
        <v/>
      </c>
      <c r="T231" s="23">
        <f>Intereses_Leasing_Mensual!L231</f>
        <v/>
      </c>
      <c r="U231" s="23">
        <f>Amortizacion_Capital_Mensual!M231</f>
        <v/>
      </c>
      <c r="V231" s="23">
        <f>Saldos_Capital_Mensual!L231</f>
        <v/>
      </c>
      <c r="W231" s="23">
        <f>Intereses_Residual_Mensual!L231</f>
        <v/>
      </c>
      <c r="X231" s="23">
        <f>ROUND(T231 + W231, 2)</f>
        <v/>
      </c>
      <c r="Y231" s="23">
        <f>Intereses_Leasing_Mensual!M231</f>
        <v/>
      </c>
      <c r="Z231" s="23">
        <f>Amortizacion_Capital_Mensual!N231</f>
        <v/>
      </c>
      <c r="AA231" s="23">
        <f>Saldos_Capital_Mensual!M231</f>
        <v/>
      </c>
      <c r="AB231" s="23">
        <f>Intereses_Residual_Mensual!M231</f>
        <v/>
      </c>
      <c r="AC231" s="23">
        <f>ROUND(Y231 + AB231, 2)</f>
        <v/>
      </c>
      <c r="AD231" s="23">
        <f>Intereses_Leasing_Mensual!N231</f>
        <v/>
      </c>
      <c r="AE231" s="23">
        <f>Amortizacion_Capital_Mensual!O231</f>
        <v/>
      </c>
      <c r="AF231" s="23">
        <f>Saldos_Capital_Mensual!N231</f>
        <v/>
      </c>
      <c r="AG231" s="23">
        <f>Intereses_Residual_Mensual!N231</f>
        <v/>
      </c>
      <c r="AH231" s="23">
        <f>ROUND(AD231 + AG231, 2)</f>
        <v/>
      </c>
      <c r="AI231" s="23">
        <f>Intereses_Leasing_Mensual!O231</f>
        <v/>
      </c>
      <c r="AJ231" s="23">
        <f>Amortizacion_Capital_Mensual!P231</f>
        <v/>
      </c>
      <c r="AK231" s="23">
        <f>Saldos_Capital_Mensual!O231</f>
        <v/>
      </c>
      <c r="AL231" s="23">
        <f>Intereses_Residual_Mensual!O231</f>
        <v/>
      </c>
      <c r="AM231" s="23">
        <f>ROUND(AI231 + AL231, 2)</f>
        <v/>
      </c>
      <c r="AN231" s="23">
        <f>Intereses_Leasing_Mensual!P231</f>
        <v/>
      </c>
      <c r="AO231" s="23">
        <f>Amortizacion_Capital_Mensual!Q231</f>
        <v/>
      </c>
      <c r="AP231" s="23">
        <f>Saldos_Capital_Mensual!P231</f>
        <v/>
      </c>
      <c r="AQ231" s="23">
        <f>Intereses_Residual_Mensual!P231</f>
        <v/>
      </c>
      <c r="AR231" s="23">
        <f>ROUND(AN231 + AQ231, 2)</f>
        <v/>
      </c>
      <c r="AS231" s="23">
        <f>Intereses_Leasing_Mensual!Q231</f>
        <v/>
      </c>
      <c r="AT231" s="23">
        <f>Amortizacion_Capital_Mensual!R231</f>
        <v/>
      </c>
      <c r="AU231" s="23">
        <f>Saldos_Capital_Mensual!Q231</f>
        <v/>
      </c>
      <c r="AV231" s="23">
        <f>Intereses_Residual_Mensual!Q231</f>
        <v/>
      </c>
      <c r="AW231" s="23">
        <f>ROUND(AS231 + AV231, 2)</f>
        <v/>
      </c>
      <c r="AX231" s="23">
        <f>Intereses_Leasing_Mensual!R231</f>
        <v/>
      </c>
      <c r="AY231" s="23">
        <f>Amortizacion_Capital_Mensual!S231</f>
        <v/>
      </c>
      <c r="AZ231" s="23">
        <f>Saldos_Capital_Mensual!R231</f>
        <v/>
      </c>
      <c r="BA231" s="23">
        <f>Intereses_Residual_Mensual!R231</f>
        <v/>
      </c>
      <c r="BB231" s="23">
        <f>ROUND(AX231 + BA231, 2)</f>
        <v/>
      </c>
      <c r="BC231" s="23">
        <f>Intereses_Leasing_Mensual!S231</f>
        <v/>
      </c>
      <c r="BD231" s="23">
        <f>Amortizacion_Capital_Mensual!T231</f>
        <v/>
      </c>
      <c r="BE231" s="23">
        <f>Saldos_Capital_Mensual!S231</f>
        <v/>
      </c>
      <c r="BF231" s="23">
        <f>Intereses_Residual_Mensual!S231</f>
        <v/>
      </c>
      <c r="BG231" s="23">
        <f>ROUND(BC231 + BF231, 2)</f>
        <v/>
      </c>
      <c r="BH231" s="23">
        <f>Intereses_Leasing_Mensual!T231</f>
        <v/>
      </c>
      <c r="BI231" s="23">
        <f>Amortizacion_Capital_Mensual!U231</f>
        <v/>
      </c>
      <c r="BJ231" s="23">
        <f>Saldos_Capital_Mensual!T231</f>
        <v/>
      </c>
      <c r="BK231" s="23">
        <f>Intereses_Residual_Mensual!T231</f>
        <v/>
      </c>
      <c r="BL231" s="23">
        <f>ROUND(BH231 + BK231, 2)</f>
        <v/>
      </c>
    </row>
    <row r="232">
      <c r="A232" s="26" t="inlineStr">
        <is>
          <t>0745-0001</t>
        </is>
      </c>
      <c r="B232" s="27" t="inlineStr">
        <is>
          <t>Industrializadora de Productos Lácteos y Derivados los Cuates, S.A. de C.V.</t>
        </is>
      </c>
      <c r="C232" s="27" t="inlineStr">
        <is>
          <t>Outlander Sport SE Plus</t>
        </is>
      </c>
      <c r="D232" s="28" t="n">
        <v>36</v>
      </c>
      <c r="E232" s="29">
        <f>Intereses_Leasing_Mensual!I232</f>
        <v/>
      </c>
      <c r="F232" s="29">
        <f>Amortizacion_Capital_Mensual!J232</f>
        <v/>
      </c>
      <c r="G232" s="29">
        <f>Saldos_Capital_Mensual!I232</f>
        <v/>
      </c>
      <c r="H232" s="29">
        <f>Intereses_Residual_Mensual!I232</f>
        <v/>
      </c>
      <c r="I232" s="29">
        <f>ROUND(E232 + H232, 2)</f>
        <v/>
      </c>
      <c r="J232" s="29">
        <f>Intereses_Leasing_Mensual!J232</f>
        <v/>
      </c>
      <c r="K232" s="29">
        <f>Amortizacion_Capital_Mensual!K232</f>
        <v/>
      </c>
      <c r="L232" s="29">
        <f>Saldos_Capital_Mensual!J232</f>
        <v/>
      </c>
      <c r="M232" s="29">
        <f>Intereses_Residual_Mensual!J232</f>
        <v/>
      </c>
      <c r="N232" s="29">
        <f>ROUND(J232 + M232, 2)</f>
        <v/>
      </c>
      <c r="O232" s="29">
        <f>Intereses_Leasing_Mensual!K232</f>
        <v/>
      </c>
      <c r="P232" s="29">
        <f>Amortizacion_Capital_Mensual!L232</f>
        <v/>
      </c>
      <c r="Q232" s="29">
        <f>Saldos_Capital_Mensual!K232</f>
        <v/>
      </c>
      <c r="R232" s="29">
        <f>Intereses_Residual_Mensual!K232</f>
        <v/>
      </c>
      <c r="S232" s="29">
        <f>ROUND(O232 + R232, 2)</f>
        <v/>
      </c>
      <c r="T232" s="29">
        <f>Intereses_Leasing_Mensual!L232</f>
        <v/>
      </c>
      <c r="U232" s="29">
        <f>Amortizacion_Capital_Mensual!M232</f>
        <v/>
      </c>
      <c r="V232" s="29">
        <f>Saldos_Capital_Mensual!L232</f>
        <v/>
      </c>
      <c r="W232" s="29">
        <f>Intereses_Residual_Mensual!L232</f>
        <v/>
      </c>
      <c r="X232" s="29">
        <f>ROUND(T232 + W232, 2)</f>
        <v/>
      </c>
      <c r="Y232" s="29">
        <f>Intereses_Leasing_Mensual!M232</f>
        <v/>
      </c>
      <c r="Z232" s="29">
        <f>Amortizacion_Capital_Mensual!N232</f>
        <v/>
      </c>
      <c r="AA232" s="29">
        <f>Saldos_Capital_Mensual!M232</f>
        <v/>
      </c>
      <c r="AB232" s="29">
        <f>Intereses_Residual_Mensual!M232</f>
        <v/>
      </c>
      <c r="AC232" s="29">
        <f>ROUND(Y232 + AB232, 2)</f>
        <v/>
      </c>
      <c r="AD232" s="29">
        <f>Intereses_Leasing_Mensual!N232</f>
        <v/>
      </c>
      <c r="AE232" s="29">
        <f>Amortizacion_Capital_Mensual!O232</f>
        <v/>
      </c>
      <c r="AF232" s="29">
        <f>Saldos_Capital_Mensual!N232</f>
        <v/>
      </c>
      <c r="AG232" s="29">
        <f>Intereses_Residual_Mensual!N232</f>
        <v/>
      </c>
      <c r="AH232" s="29">
        <f>ROUND(AD232 + AG232, 2)</f>
        <v/>
      </c>
      <c r="AI232" s="29">
        <f>Intereses_Leasing_Mensual!O232</f>
        <v/>
      </c>
      <c r="AJ232" s="29">
        <f>Amortizacion_Capital_Mensual!P232</f>
        <v/>
      </c>
      <c r="AK232" s="29">
        <f>Saldos_Capital_Mensual!O232</f>
        <v/>
      </c>
      <c r="AL232" s="29">
        <f>Intereses_Residual_Mensual!O232</f>
        <v/>
      </c>
      <c r="AM232" s="29">
        <f>ROUND(AI232 + AL232, 2)</f>
        <v/>
      </c>
      <c r="AN232" s="29">
        <f>Intereses_Leasing_Mensual!P232</f>
        <v/>
      </c>
      <c r="AO232" s="29">
        <f>Amortizacion_Capital_Mensual!Q232</f>
        <v/>
      </c>
      <c r="AP232" s="29">
        <f>Saldos_Capital_Mensual!P232</f>
        <v/>
      </c>
      <c r="AQ232" s="29">
        <f>Intereses_Residual_Mensual!P232</f>
        <v/>
      </c>
      <c r="AR232" s="29">
        <f>ROUND(AN232 + AQ232, 2)</f>
        <v/>
      </c>
      <c r="AS232" s="29">
        <f>Intereses_Leasing_Mensual!Q232</f>
        <v/>
      </c>
      <c r="AT232" s="29">
        <f>Amortizacion_Capital_Mensual!R232</f>
        <v/>
      </c>
      <c r="AU232" s="29">
        <f>Saldos_Capital_Mensual!Q232</f>
        <v/>
      </c>
      <c r="AV232" s="29">
        <f>Intereses_Residual_Mensual!Q232</f>
        <v/>
      </c>
      <c r="AW232" s="29">
        <f>ROUND(AS232 + AV232, 2)</f>
        <v/>
      </c>
      <c r="AX232" s="29">
        <f>Intereses_Leasing_Mensual!R232</f>
        <v/>
      </c>
      <c r="AY232" s="29">
        <f>Amortizacion_Capital_Mensual!S232</f>
        <v/>
      </c>
      <c r="AZ232" s="29">
        <f>Saldos_Capital_Mensual!R232</f>
        <v/>
      </c>
      <c r="BA232" s="29">
        <f>Intereses_Residual_Mensual!R232</f>
        <v/>
      </c>
      <c r="BB232" s="29">
        <f>ROUND(AX232 + BA232, 2)</f>
        <v/>
      </c>
      <c r="BC232" s="29">
        <f>Intereses_Leasing_Mensual!S232</f>
        <v/>
      </c>
      <c r="BD232" s="29">
        <f>Amortizacion_Capital_Mensual!T232</f>
        <v/>
      </c>
      <c r="BE232" s="29">
        <f>Saldos_Capital_Mensual!S232</f>
        <v/>
      </c>
      <c r="BF232" s="29">
        <f>Intereses_Residual_Mensual!S232</f>
        <v/>
      </c>
      <c r="BG232" s="29">
        <f>ROUND(BC232 + BF232, 2)</f>
        <v/>
      </c>
      <c r="BH232" s="29">
        <f>Intereses_Leasing_Mensual!T232</f>
        <v/>
      </c>
      <c r="BI232" s="29">
        <f>Amortizacion_Capital_Mensual!U232</f>
        <v/>
      </c>
      <c r="BJ232" s="29">
        <f>Saldos_Capital_Mensual!T232</f>
        <v/>
      </c>
      <c r="BK232" s="29">
        <f>Intereses_Residual_Mensual!T232</f>
        <v/>
      </c>
      <c r="BL232" s="29">
        <f>ROUND(BH232 + BK232, 2)</f>
        <v/>
      </c>
    </row>
    <row r="233">
      <c r="A233" s="20" t="inlineStr">
        <is>
          <t>0746-0001</t>
        </is>
      </c>
      <c r="B233" s="21" t="inlineStr">
        <is>
          <t>Giovanni Salvador Medina Rubio</t>
        </is>
      </c>
      <c r="C233" s="21" t="inlineStr">
        <is>
          <t>Rapid</t>
        </is>
      </c>
      <c r="D233" s="22" t="n">
        <v>36</v>
      </c>
      <c r="E233" s="23">
        <f>Intereses_Leasing_Mensual!I233</f>
        <v/>
      </c>
      <c r="F233" s="23">
        <f>Amortizacion_Capital_Mensual!J233</f>
        <v/>
      </c>
      <c r="G233" s="23">
        <f>Saldos_Capital_Mensual!I233</f>
        <v/>
      </c>
      <c r="H233" s="23">
        <f>Intereses_Residual_Mensual!I233</f>
        <v/>
      </c>
      <c r="I233" s="23">
        <f>ROUND(E233 + H233, 2)</f>
        <v/>
      </c>
      <c r="J233" s="23">
        <f>Intereses_Leasing_Mensual!J233</f>
        <v/>
      </c>
      <c r="K233" s="23">
        <f>Amortizacion_Capital_Mensual!K233</f>
        <v/>
      </c>
      <c r="L233" s="23">
        <f>Saldos_Capital_Mensual!J233</f>
        <v/>
      </c>
      <c r="M233" s="23">
        <f>Intereses_Residual_Mensual!J233</f>
        <v/>
      </c>
      <c r="N233" s="23">
        <f>ROUND(J233 + M233, 2)</f>
        <v/>
      </c>
      <c r="O233" s="23">
        <f>Intereses_Leasing_Mensual!K233</f>
        <v/>
      </c>
      <c r="P233" s="23">
        <f>Amortizacion_Capital_Mensual!L233</f>
        <v/>
      </c>
      <c r="Q233" s="23">
        <f>Saldos_Capital_Mensual!K233</f>
        <v/>
      </c>
      <c r="R233" s="23">
        <f>Intereses_Residual_Mensual!K233</f>
        <v/>
      </c>
      <c r="S233" s="23">
        <f>ROUND(O233 + R233, 2)</f>
        <v/>
      </c>
      <c r="T233" s="23">
        <f>Intereses_Leasing_Mensual!L233</f>
        <v/>
      </c>
      <c r="U233" s="23">
        <f>Amortizacion_Capital_Mensual!M233</f>
        <v/>
      </c>
      <c r="V233" s="23">
        <f>Saldos_Capital_Mensual!L233</f>
        <v/>
      </c>
      <c r="W233" s="23">
        <f>Intereses_Residual_Mensual!L233</f>
        <v/>
      </c>
      <c r="X233" s="23">
        <f>ROUND(T233 + W233, 2)</f>
        <v/>
      </c>
      <c r="Y233" s="23">
        <f>Intereses_Leasing_Mensual!M233</f>
        <v/>
      </c>
      <c r="Z233" s="23">
        <f>Amortizacion_Capital_Mensual!N233</f>
        <v/>
      </c>
      <c r="AA233" s="23">
        <f>Saldos_Capital_Mensual!M233</f>
        <v/>
      </c>
      <c r="AB233" s="23">
        <f>Intereses_Residual_Mensual!M233</f>
        <v/>
      </c>
      <c r="AC233" s="23">
        <f>ROUND(Y233 + AB233, 2)</f>
        <v/>
      </c>
      <c r="AD233" s="23">
        <f>Intereses_Leasing_Mensual!N233</f>
        <v/>
      </c>
      <c r="AE233" s="23">
        <f>Amortizacion_Capital_Mensual!O233</f>
        <v/>
      </c>
      <c r="AF233" s="23">
        <f>Saldos_Capital_Mensual!N233</f>
        <v/>
      </c>
      <c r="AG233" s="23">
        <f>Intereses_Residual_Mensual!N233</f>
        <v/>
      </c>
      <c r="AH233" s="23">
        <f>ROUND(AD233 + AG233, 2)</f>
        <v/>
      </c>
      <c r="AI233" s="23">
        <f>Intereses_Leasing_Mensual!O233</f>
        <v/>
      </c>
      <c r="AJ233" s="23">
        <f>Amortizacion_Capital_Mensual!P233</f>
        <v/>
      </c>
      <c r="AK233" s="23">
        <f>Saldos_Capital_Mensual!O233</f>
        <v/>
      </c>
      <c r="AL233" s="23">
        <f>Intereses_Residual_Mensual!O233</f>
        <v/>
      </c>
      <c r="AM233" s="23">
        <f>ROUND(AI233 + AL233, 2)</f>
        <v/>
      </c>
      <c r="AN233" s="23">
        <f>Intereses_Leasing_Mensual!P233</f>
        <v/>
      </c>
      <c r="AO233" s="23">
        <f>Amortizacion_Capital_Mensual!Q233</f>
        <v/>
      </c>
      <c r="AP233" s="23">
        <f>Saldos_Capital_Mensual!P233</f>
        <v/>
      </c>
      <c r="AQ233" s="23">
        <f>Intereses_Residual_Mensual!P233</f>
        <v/>
      </c>
      <c r="AR233" s="23">
        <f>ROUND(AN233 + AQ233, 2)</f>
        <v/>
      </c>
      <c r="AS233" s="23">
        <f>Intereses_Leasing_Mensual!Q233</f>
        <v/>
      </c>
      <c r="AT233" s="23">
        <f>Amortizacion_Capital_Mensual!R233</f>
        <v/>
      </c>
      <c r="AU233" s="23">
        <f>Saldos_Capital_Mensual!Q233</f>
        <v/>
      </c>
      <c r="AV233" s="23">
        <f>Intereses_Residual_Mensual!Q233</f>
        <v/>
      </c>
      <c r="AW233" s="23">
        <f>ROUND(AS233 + AV233, 2)</f>
        <v/>
      </c>
      <c r="AX233" s="23">
        <f>Intereses_Leasing_Mensual!R233</f>
        <v/>
      </c>
      <c r="AY233" s="23">
        <f>Amortizacion_Capital_Mensual!S233</f>
        <v/>
      </c>
      <c r="AZ233" s="23">
        <f>Saldos_Capital_Mensual!R233</f>
        <v/>
      </c>
      <c r="BA233" s="23">
        <f>Intereses_Residual_Mensual!R233</f>
        <v/>
      </c>
      <c r="BB233" s="23">
        <f>ROUND(AX233 + BA233, 2)</f>
        <v/>
      </c>
      <c r="BC233" s="23">
        <f>Intereses_Leasing_Mensual!S233</f>
        <v/>
      </c>
      <c r="BD233" s="23">
        <f>Amortizacion_Capital_Mensual!T233</f>
        <v/>
      </c>
      <c r="BE233" s="23">
        <f>Saldos_Capital_Mensual!S233</f>
        <v/>
      </c>
      <c r="BF233" s="23">
        <f>Intereses_Residual_Mensual!S233</f>
        <v/>
      </c>
      <c r="BG233" s="23">
        <f>ROUND(BC233 + BF233, 2)</f>
        <v/>
      </c>
      <c r="BH233" s="23">
        <f>Intereses_Leasing_Mensual!T233</f>
        <v/>
      </c>
      <c r="BI233" s="23">
        <f>Amortizacion_Capital_Mensual!U233</f>
        <v/>
      </c>
      <c r="BJ233" s="23">
        <f>Saldos_Capital_Mensual!T233</f>
        <v/>
      </c>
      <c r="BK233" s="23">
        <f>Intereses_Residual_Mensual!T233</f>
        <v/>
      </c>
      <c r="BL233" s="23">
        <f>ROUND(BH233 + BK233, 2)</f>
        <v/>
      </c>
    </row>
    <row r="234">
      <c r="A234" s="26" t="inlineStr">
        <is>
          <t>0747-0001</t>
        </is>
      </c>
      <c r="B234" s="27" t="inlineStr">
        <is>
          <t>Brandon Joel Zepeda Romero</t>
        </is>
      </c>
      <c r="C234" s="27" t="inlineStr">
        <is>
          <t>Ranger Raptor</t>
        </is>
      </c>
      <c r="D234" s="28" t="n">
        <v>48</v>
      </c>
      <c r="E234" s="29">
        <f>Intereses_Leasing_Mensual!I234</f>
        <v/>
      </c>
      <c r="F234" s="29">
        <f>Amortizacion_Capital_Mensual!J234</f>
        <v/>
      </c>
      <c r="G234" s="29">
        <f>Saldos_Capital_Mensual!I234</f>
        <v/>
      </c>
      <c r="H234" s="29">
        <f>Intereses_Residual_Mensual!I234</f>
        <v/>
      </c>
      <c r="I234" s="29">
        <f>ROUND(E234 + H234, 2)</f>
        <v/>
      </c>
      <c r="J234" s="29">
        <f>Intereses_Leasing_Mensual!J234</f>
        <v/>
      </c>
      <c r="K234" s="29">
        <f>Amortizacion_Capital_Mensual!K234</f>
        <v/>
      </c>
      <c r="L234" s="29">
        <f>Saldos_Capital_Mensual!J234</f>
        <v/>
      </c>
      <c r="M234" s="29">
        <f>Intereses_Residual_Mensual!J234</f>
        <v/>
      </c>
      <c r="N234" s="29">
        <f>ROUND(J234 + M234, 2)</f>
        <v/>
      </c>
      <c r="O234" s="29">
        <f>Intereses_Leasing_Mensual!K234</f>
        <v/>
      </c>
      <c r="P234" s="29">
        <f>Amortizacion_Capital_Mensual!L234</f>
        <v/>
      </c>
      <c r="Q234" s="29">
        <f>Saldos_Capital_Mensual!K234</f>
        <v/>
      </c>
      <c r="R234" s="29">
        <f>Intereses_Residual_Mensual!K234</f>
        <v/>
      </c>
      <c r="S234" s="29">
        <f>ROUND(O234 + R234, 2)</f>
        <v/>
      </c>
      <c r="T234" s="29">
        <f>Intereses_Leasing_Mensual!L234</f>
        <v/>
      </c>
      <c r="U234" s="29">
        <f>Amortizacion_Capital_Mensual!M234</f>
        <v/>
      </c>
      <c r="V234" s="29">
        <f>Saldos_Capital_Mensual!L234</f>
        <v/>
      </c>
      <c r="W234" s="29">
        <f>Intereses_Residual_Mensual!L234</f>
        <v/>
      </c>
      <c r="X234" s="29">
        <f>ROUND(T234 + W234, 2)</f>
        <v/>
      </c>
      <c r="Y234" s="29">
        <f>Intereses_Leasing_Mensual!M234</f>
        <v/>
      </c>
      <c r="Z234" s="29">
        <f>Amortizacion_Capital_Mensual!N234</f>
        <v/>
      </c>
      <c r="AA234" s="29">
        <f>Saldos_Capital_Mensual!M234</f>
        <v/>
      </c>
      <c r="AB234" s="29">
        <f>Intereses_Residual_Mensual!M234</f>
        <v/>
      </c>
      <c r="AC234" s="29">
        <f>ROUND(Y234 + AB234, 2)</f>
        <v/>
      </c>
      <c r="AD234" s="29">
        <f>Intereses_Leasing_Mensual!N234</f>
        <v/>
      </c>
      <c r="AE234" s="29">
        <f>Amortizacion_Capital_Mensual!O234</f>
        <v/>
      </c>
      <c r="AF234" s="29">
        <f>Saldos_Capital_Mensual!N234</f>
        <v/>
      </c>
      <c r="AG234" s="29">
        <f>Intereses_Residual_Mensual!N234</f>
        <v/>
      </c>
      <c r="AH234" s="29">
        <f>ROUND(AD234 + AG234, 2)</f>
        <v/>
      </c>
      <c r="AI234" s="29">
        <f>Intereses_Leasing_Mensual!O234</f>
        <v/>
      </c>
      <c r="AJ234" s="29">
        <f>Amortizacion_Capital_Mensual!P234</f>
        <v/>
      </c>
      <c r="AK234" s="29">
        <f>Saldos_Capital_Mensual!O234</f>
        <v/>
      </c>
      <c r="AL234" s="29">
        <f>Intereses_Residual_Mensual!O234</f>
        <v/>
      </c>
      <c r="AM234" s="29">
        <f>ROUND(AI234 + AL234, 2)</f>
        <v/>
      </c>
      <c r="AN234" s="29">
        <f>Intereses_Leasing_Mensual!P234</f>
        <v/>
      </c>
      <c r="AO234" s="29">
        <f>Amortizacion_Capital_Mensual!Q234</f>
        <v/>
      </c>
      <c r="AP234" s="29">
        <f>Saldos_Capital_Mensual!P234</f>
        <v/>
      </c>
      <c r="AQ234" s="29">
        <f>Intereses_Residual_Mensual!P234</f>
        <v/>
      </c>
      <c r="AR234" s="29">
        <f>ROUND(AN234 + AQ234, 2)</f>
        <v/>
      </c>
      <c r="AS234" s="29">
        <f>Intereses_Leasing_Mensual!Q234</f>
        <v/>
      </c>
      <c r="AT234" s="29">
        <f>Amortizacion_Capital_Mensual!R234</f>
        <v/>
      </c>
      <c r="AU234" s="29">
        <f>Saldos_Capital_Mensual!Q234</f>
        <v/>
      </c>
      <c r="AV234" s="29">
        <f>Intereses_Residual_Mensual!Q234</f>
        <v/>
      </c>
      <c r="AW234" s="29">
        <f>ROUND(AS234 + AV234, 2)</f>
        <v/>
      </c>
      <c r="AX234" s="29">
        <f>Intereses_Leasing_Mensual!R234</f>
        <v/>
      </c>
      <c r="AY234" s="29">
        <f>Amortizacion_Capital_Mensual!S234</f>
        <v/>
      </c>
      <c r="AZ234" s="29">
        <f>Saldos_Capital_Mensual!R234</f>
        <v/>
      </c>
      <c r="BA234" s="29">
        <f>Intereses_Residual_Mensual!R234</f>
        <v/>
      </c>
      <c r="BB234" s="29">
        <f>ROUND(AX234 + BA234, 2)</f>
        <v/>
      </c>
      <c r="BC234" s="29">
        <f>Intereses_Leasing_Mensual!S234</f>
        <v/>
      </c>
      <c r="BD234" s="29">
        <f>Amortizacion_Capital_Mensual!T234</f>
        <v/>
      </c>
      <c r="BE234" s="29">
        <f>Saldos_Capital_Mensual!S234</f>
        <v/>
      </c>
      <c r="BF234" s="29">
        <f>Intereses_Residual_Mensual!S234</f>
        <v/>
      </c>
      <c r="BG234" s="29">
        <f>ROUND(BC234 + BF234, 2)</f>
        <v/>
      </c>
      <c r="BH234" s="29">
        <f>Intereses_Leasing_Mensual!T234</f>
        <v/>
      </c>
      <c r="BI234" s="29">
        <f>Amortizacion_Capital_Mensual!U234</f>
        <v/>
      </c>
      <c r="BJ234" s="29">
        <f>Saldos_Capital_Mensual!T234</f>
        <v/>
      </c>
      <c r="BK234" s="29">
        <f>Intereses_Residual_Mensual!T234</f>
        <v/>
      </c>
      <c r="BL234" s="29">
        <f>ROUND(BH234 + BK234, 2)</f>
        <v/>
      </c>
    </row>
    <row r="235">
      <c r="A235" s="20" t="inlineStr">
        <is>
          <t>0748-0001</t>
        </is>
      </c>
      <c r="B235" s="21" t="inlineStr">
        <is>
          <t>Carlos Guerra Iñiguez</t>
        </is>
      </c>
      <c r="C235" s="21" t="inlineStr">
        <is>
          <t>L200 GLX</t>
        </is>
      </c>
      <c r="D235" s="22" t="n">
        <v>48</v>
      </c>
      <c r="E235" s="23">
        <f>Intereses_Leasing_Mensual!I235</f>
        <v/>
      </c>
      <c r="F235" s="23">
        <f>Amortizacion_Capital_Mensual!J235</f>
        <v/>
      </c>
      <c r="G235" s="23">
        <f>Saldos_Capital_Mensual!I235</f>
        <v/>
      </c>
      <c r="H235" s="23">
        <f>Intereses_Residual_Mensual!I235</f>
        <v/>
      </c>
      <c r="I235" s="23">
        <f>ROUND(E235 + H235, 2)</f>
        <v/>
      </c>
      <c r="J235" s="23">
        <f>Intereses_Leasing_Mensual!J235</f>
        <v/>
      </c>
      <c r="K235" s="23">
        <f>Amortizacion_Capital_Mensual!K235</f>
        <v/>
      </c>
      <c r="L235" s="23">
        <f>Saldos_Capital_Mensual!J235</f>
        <v/>
      </c>
      <c r="M235" s="23">
        <f>Intereses_Residual_Mensual!J235</f>
        <v/>
      </c>
      <c r="N235" s="23">
        <f>ROUND(J235 + M235, 2)</f>
        <v/>
      </c>
      <c r="O235" s="23">
        <f>Intereses_Leasing_Mensual!K235</f>
        <v/>
      </c>
      <c r="P235" s="23">
        <f>Amortizacion_Capital_Mensual!L235</f>
        <v/>
      </c>
      <c r="Q235" s="23">
        <f>Saldos_Capital_Mensual!K235</f>
        <v/>
      </c>
      <c r="R235" s="23">
        <f>Intereses_Residual_Mensual!K235</f>
        <v/>
      </c>
      <c r="S235" s="23">
        <f>ROUND(O235 + R235, 2)</f>
        <v/>
      </c>
      <c r="T235" s="23">
        <f>Intereses_Leasing_Mensual!L235</f>
        <v/>
      </c>
      <c r="U235" s="23">
        <f>Amortizacion_Capital_Mensual!M235</f>
        <v/>
      </c>
      <c r="V235" s="23">
        <f>Saldos_Capital_Mensual!L235</f>
        <v/>
      </c>
      <c r="W235" s="23">
        <f>Intereses_Residual_Mensual!L235</f>
        <v/>
      </c>
      <c r="X235" s="23">
        <f>ROUND(T235 + W235, 2)</f>
        <v/>
      </c>
      <c r="Y235" s="23">
        <f>Intereses_Leasing_Mensual!M235</f>
        <v/>
      </c>
      <c r="Z235" s="23">
        <f>Amortizacion_Capital_Mensual!N235</f>
        <v/>
      </c>
      <c r="AA235" s="23">
        <f>Saldos_Capital_Mensual!M235</f>
        <v/>
      </c>
      <c r="AB235" s="23">
        <f>Intereses_Residual_Mensual!M235</f>
        <v/>
      </c>
      <c r="AC235" s="23">
        <f>ROUND(Y235 + AB235, 2)</f>
        <v/>
      </c>
      <c r="AD235" s="23">
        <f>Intereses_Leasing_Mensual!N235</f>
        <v/>
      </c>
      <c r="AE235" s="23">
        <f>Amortizacion_Capital_Mensual!O235</f>
        <v/>
      </c>
      <c r="AF235" s="23">
        <f>Saldos_Capital_Mensual!N235</f>
        <v/>
      </c>
      <c r="AG235" s="23">
        <f>Intereses_Residual_Mensual!N235</f>
        <v/>
      </c>
      <c r="AH235" s="23">
        <f>ROUND(AD235 + AG235, 2)</f>
        <v/>
      </c>
      <c r="AI235" s="23">
        <f>Intereses_Leasing_Mensual!O235</f>
        <v/>
      </c>
      <c r="AJ235" s="23">
        <f>Amortizacion_Capital_Mensual!P235</f>
        <v/>
      </c>
      <c r="AK235" s="23">
        <f>Saldos_Capital_Mensual!O235</f>
        <v/>
      </c>
      <c r="AL235" s="23">
        <f>Intereses_Residual_Mensual!O235</f>
        <v/>
      </c>
      <c r="AM235" s="23">
        <f>ROUND(AI235 + AL235, 2)</f>
        <v/>
      </c>
      <c r="AN235" s="23">
        <f>Intereses_Leasing_Mensual!P235</f>
        <v/>
      </c>
      <c r="AO235" s="23">
        <f>Amortizacion_Capital_Mensual!Q235</f>
        <v/>
      </c>
      <c r="AP235" s="23">
        <f>Saldos_Capital_Mensual!P235</f>
        <v/>
      </c>
      <c r="AQ235" s="23">
        <f>Intereses_Residual_Mensual!P235</f>
        <v/>
      </c>
      <c r="AR235" s="23">
        <f>ROUND(AN235 + AQ235, 2)</f>
        <v/>
      </c>
      <c r="AS235" s="23">
        <f>Intereses_Leasing_Mensual!Q235</f>
        <v/>
      </c>
      <c r="AT235" s="23">
        <f>Amortizacion_Capital_Mensual!R235</f>
        <v/>
      </c>
      <c r="AU235" s="23">
        <f>Saldos_Capital_Mensual!Q235</f>
        <v/>
      </c>
      <c r="AV235" s="23">
        <f>Intereses_Residual_Mensual!Q235</f>
        <v/>
      </c>
      <c r="AW235" s="23">
        <f>ROUND(AS235 + AV235, 2)</f>
        <v/>
      </c>
      <c r="AX235" s="23">
        <f>Intereses_Leasing_Mensual!R235</f>
        <v/>
      </c>
      <c r="AY235" s="23">
        <f>Amortizacion_Capital_Mensual!S235</f>
        <v/>
      </c>
      <c r="AZ235" s="23">
        <f>Saldos_Capital_Mensual!R235</f>
        <v/>
      </c>
      <c r="BA235" s="23">
        <f>Intereses_Residual_Mensual!R235</f>
        <v/>
      </c>
      <c r="BB235" s="23">
        <f>ROUND(AX235 + BA235, 2)</f>
        <v/>
      </c>
      <c r="BC235" s="23">
        <f>Intereses_Leasing_Mensual!S235</f>
        <v/>
      </c>
      <c r="BD235" s="23">
        <f>Amortizacion_Capital_Mensual!T235</f>
        <v/>
      </c>
      <c r="BE235" s="23">
        <f>Saldos_Capital_Mensual!S235</f>
        <v/>
      </c>
      <c r="BF235" s="23">
        <f>Intereses_Residual_Mensual!S235</f>
        <v/>
      </c>
      <c r="BG235" s="23">
        <f>ROUND(BC235 + BF235, 2)</f>
        <v/>
      </c>
      <c r="BH235" s="23">
        <f>Intereses_Leasing_Mensual!T235</f>
        <v/>
      </c>
      <c r="BI235" s="23">
        <f>Amortizacion_Capital_Mensual!U235</f>
        <v/>
      </c>
      <c r="BJ235" s="23">
        <f>Saldos_Capital_Mensual!T235</f>
        <v/>
      </c>
      <c r="BK235" s="23">
        <f>Intereses_Residual_Mensual!T235</f>
        <v/>
      </c>
      <c r="BL235" s="23">
        <f>ROUND(BH235 + BK235, 2)</f>
        <v/>
      </c>
    </row>
    <row r="236">
      <c r="A236" s="26" t="inlineStr">
        <is>
          <t>0749-0001</t>
        </is>
      </c>
      <c r="B236" s="27" t="inlineStr">
        <is>
          <t>Álvarez Fletes Nacionales, S.C.</t>
        </is>
      </c>
      <c r="C236" s="27" t="inlineStr">
        <is>
          <t>RAM 700 TRADESMAN CC</t>
        </is>
      </c>
      <c r="D236" s="28" t="n">
        <v>36</v>
      </c>
      <c r="E236" s="29">
        <f>Intereses_Leasing_Mensual!I236</f>
        <v/>
      </c>
      <c r="F236" s="29">
        <f>Amortizacion_Capital_Mensual!J236</f>
        <v/>
      </c>
      <c r="G236" s="29">
        <f>Saldos_Capital_Mensual!I236</f>
        <v/>
      </c>
      <c r="H236" s="29">
        <f>Intereses_Residual_Mensual!I236</f>
        <v/>
      </c>
      <c r="I236" s="29">
        <f>ROUND(E236 + H236, 2)</f>
        <v/>
      </c>
      <c r="J236" s="29">
        <f>Intereses_Leasing_Mensual!J236</f>
        <v/>
      </c>
      <c r="K236" s="29">
        <f>Amortizacion_Capital_Mensual!K236</f>
        <v/>
      </c>
      <c r="L236" s="29">
        <f>Saldos_Capital_Mensual!J236</f>
        <v/>
      </c>
      <c r="M236" s="29">
        <f>Intereses_Residual_Mensual!J236</f>
        <v/>
      </c>
      <c r="N236" s="29">
        <f>ROUND(J236 + M236, 2)</f>
        <v/>
      </c>
      <c r="O236" s="29">
        <f>Intereses_Leasing_Mensual!K236</f>
        <v/>
      </c>
      <c r="P236" s="29">
        <f>Amortizacion_Capital_Mensual!L236</f>
        <v/>
      </c>
      <c r="Q236" s="29">
        <f>Saldos_Capital_Mensual!K236</f>
        <v/>
      </c>
      <c r="R236" s="29">
        <f>Intereses_Residual_Mensual!K236</f>
        <v/>
      </c>
      <c r="S236" s="29">
        <f>ROUND(O236 + R236, 2)</f>
        <v/>
      </c>
      <c r="T236" s="29">
        <f>Intereses_Leasing_Mensual!L236</f>
        <v/>
      </c>
      <c r="U236" s="29">
        <f>Amortizacion_Capital_Mensual!M236</f>
        <v/>
      </c>
      <c r="V236" s="29">
        <f>Saldos_Capital_Mensual!L236</f>
        <v/>
      </c>
      <c r="W236" s="29">
        <f>Intereses_Residual_Mensual!L236</f>
        <v/>
      </c>
      <c r="X236" s="29">
        <f>ROUND(T236 + W236, 2)</f>
        <v/>
      </c>
      <c r="Y236" s="29">
        <f>Intereses_Leasing_Mensual!M236</f>
        <v/>
      </c>
      <c r="Z236" s="29">
        <f>Amortizacion_Capital_Mensual!N236</f>
        <v/>
      </c>
      <c r="AA236" s="29">
        <f>Saldos_Capital_Mensual!M236</f>
        <v/>
      </c>
      <c r="AB236" s="29">
        <f>Intereses_Residual_Mensual!M236</f>
        <v/>
      </c>
      <c r="AC236" s="29">
        <f>ROUND(Y236 + AB236, 2)</f>
        <v/>
      </c>
      <c r="AD236" s="29">
        <f>Intereses_Leasing_Mensual!N236</f>
        <v/>
      </c>
      <c r="AE236" s="29">
        <f>Amortizacion_Capital_Mensual!O236</f>
        <v/>
      </c>
      <c r="AF236" s="29">
        <f>Saldos_Capital_Mensual!N236</f>
        <v/>
      </c>
      <c r="AG236" s="29">
        <f>Intereses_Residual_Mensual!N236</f>
        <v/>
      </c>
      <c r="AH236" s="29">
        <f>ROUND(AD236 + AG236, 2)</f>
        <v/>
      </c>
      <c r="AI236" s="29">
        <f>Intereses_Leasing_Mensual!O236</f>
        <v/>
      </c>
      <c r="AJ236" s="29">
        <f>Amortizacion_Capital_Mensual!P236</f>
        <v/>
      </c>
      <c r="AK236" s="29">
        <f>Saldos_Capital_Mensual!O236</f>
        <v/>
      </c>
      <c r="AL236" s="29">
        <f>Intereses_Residual_Mensual!O236</f>
        <v/>
      </c>
      <c r="AM236" s="29">
        <f>ROUND(AI236 + AL236, 2)</f>
        <v/>
      </c>
      <c r="AN236" s="29">
        <f>Intereses_Leasing_Mensual!P236</f>
        <v/>
      </c>
      <c r="AO236" s="29">
        <f>Amortizacion_Capital_Mensual!Q236</f>
        <v/>
      </c>
      <c r="AP236" s="29">
        <f>Saldos_Capital_Mensual!P236</f>
        <v/>
      </c>
      <c r="AQ236" s="29">
        <f>Intereses_Residual_Mensual!P236</f>
        <v/>
      </c>
      <c r="AR236" s="29">
        <f>ROUND(AN236 + AQ236, 2)</f>
        <v/>
      </c>
      <c r="AS236" s="29">
        <f>Intereses_Leasing_Mensual!Q236</f>
        <v/>
      </c>
      <c r="AT236" s="29">
        <f>Amortizacion_Capital_Mensual!R236</f>
        <v/>
      </c>
      <c r="AU236" s="29">
        <f>Saldos_Capital_Mensual!Q236</f>
        <v/>
      </c>
      <c r="AV236" s="29">
        <f>Intereses_Residual_Mensual!Q236</f>
        <v/>
      </c>
      <c r="AW236" s="29">
        <f>ROUND(AS236 + AV236, 2)</f>
        <v/>
      </c>
      <c r="AX236" s="29">
        <f>Intereses_Leasing_Mensual!R236</f>
        <v/>
      </c>
      <c r="AY236" s="29">
        <f>Amortizacion_Capital_Mensual!S236</f>
        <v/>
      </c>
      <c r="AZ236" s="29">
        <f>Saldos_Capital_Mensual!R236</f>
        <v/>
      </c>
      <c r="BA236" s="29">
        <f>Intereses_Residual_Mensual!R236</f>
        <v/>
      </c>
      <c r="BB236" s="29">
        <f>ROUND(AX236 + BA236, 2)</f>
        <v/>
      </c>
      <c r="BC236" s="29">
        <f>Intereses_Leasing_Mensual!S236</f>
        <v/>
      </c>
      <c r="BD236" s="29">
        <f>Amortizacion_Capital_Mensual!T236</f>
        <v/>
      </c>
      <c r="BE236" s="29">
        <f>Saldos_Capital_Mensual!S236</f>
        <v/>
      </c>
      <c r="BF236" s="29">
        <f>Intereses_Residual_Mensual!S236</f>
        <v/>
      </c>
      <c r="BG236" s="29">
        <f>ROUND(BC236 + BF236, 2)</f>
        <v/>
      </c>
      <c r="BH236" s="29">
        <f>Intereses_Leasing_Mensual!T236</f>
        <v/>
      </c>
      <c r="BI236" s="29">
        <f>Amortizacion_Capital_Mensual!U236</f>
        <v/>
      </c>
      <c r="BJ236" s="29">
        <f>Saldos_Capital_Mensual!T236</f>
        <v/>
      </c>
      <c r="BK236" s="29">
        <f>Intereses_Residual_Mensual!T236</f>
        <v/>
      </c>
      <c r="BL236" s="29">
        <f>ROUND(BH236 + BK236, 2)</f>
        <v/>
      </c>
    </row>
    <row r="237">
      <c r="A237" s="20" t="inlineStr">
        <is>
          <t>0749-0002</t>
        </is>
      </c>
      <c r="B237" s="21" t="inlineStr">
        <is>
          <t>Álvarez Fletes Nacionales, S.C.</t>
        </is>
      </c>
      <c r="C237" s="21" t="inlineStr">
        <is>
          <t>RAM 700 TRADESMAN CC</t>
        </is>
      </c>
      <c r="D237" s="22" t="n">
        <v>36</v>
      </c>
      <c r="E237" s="23">
        <f>Intereses_Leasing_Mensual!I237</f>
        <v/>
      </c>
      <c r="F237" s="23">
        <f>Amortizacion_Capital_Mensual!J237</f>
        <v/>
      </c>
      <c r="G237" s="23">
        <f>Saldos_Capital_Mensual!I237</f>
        <v/>
      </c>
      <c r="H237" s="23">
        <f>Intereses_Residual_Mensual!I237</f>
        <v/>
      </c>
      <c r="I237" s="23">
        <f>ROUND(E237 + H237, 2)</f>
        <v/>
      </c>
      <c r="J237" s="23">
        <f>Intereses_Leasing_Mensual!J237</f>
        <v/>
      </c>
      <c r="K237" s="23">
        <f>Amortizacion_Capital_Mensual!K237</f>
        <v/>
      </c>
      <c r="L237" s="23">
        <f>Saldos_Capital_Mensual!J237</f>
        <v/>
      </c>
      <c r="M237" s="23">
        <f>Intereses_Residual_Mensual!J237</f>
        <v/>
      </c>
      <c r="N237" s="23">
        <f>ROUND(J237 + M237, 2)</f>
        <v/>
      </c>
      <c r="O237" s="23">
        <f>Intereses_Leasing_Mensual!K237</f>
        <v/>
      </c>
      <c r="P237" s="23">
        <f>Amortizacion_Capital_Mensual!L237</f>
        <v/>
      </c>
      <c r="Q237" s="23">
        <f>Saldos_Capital_Mensual!K237</f>
        <v/>
      </c>
      <c r="R237" s="23">
        <f>Intereses_Residual_Mensual!K237</f>
        <v/>
      </c>
      <c r="S237" s="23">
        <f>ROUND(O237 + R237, 2)</f>
        <v/>
      </c>
      <c r="T237" s="23">
        <f>Intereses_Leasing_Mensual!L237</f>
        <v/>
      </c>
      <c r="U237" s="23">
        <f>Amortizacion_Capital_Mensual!M237</f>
        <v/>
      </c>
      <c r="V237" s="23">
        <f>Saldos_Capital_Mensual!L237</f>
        <v/>
      </c>
      <c r="W237" s="23">
        <f>Intereses_Residual_Mensual!L237</f>
        <v/>
      </c>
      <c r="X237" s="23">
        <f>ROUND(T237 + W237, 2)</f>
        <v/>
      </c>
      <c r="Y237" s="23">
        <f>Intereses_Leasing_Mensual!M237</f>
        <v/>
      </c>
      <c r="Z237" s="23">
        <f>Amortizacion_Capital_Mensual!N237</f>
        <v/>
      </c>
      <c r="AA237" s="23">
        <f>Saldos_Capital_Mensual!M237</f>
        <v/>
      </c>
      <c r="AB237" s="23">
        <f>Intereses_Residual_Mensual!M237</f>
        <v/>
      </c>
      <c r="AC237" s="23">
        <f>ROUND(Y237 + AB237, 2)</f>
        <v/>
      </c>
      <c r="AD237" s="23">
        <f>Intereses_Leasing_Mensual!N237</f>
        <v/>
      </c>
      <c r="AE237" s="23">
        <f>Amortizacion_Capital_Mensual!O237</f>
        <v/>
      </c>
      <c r="AF237" s="23">
        <f>Saldos_Capital_Mensual!N237</f>
        <v/>
      </c>
      <c r="AG237" s="23">
        <f>Intereses_Residual_Mensual!N237</f>
        <v/>
      </c>
      <c r="AH237" s="23">
        <f>ROUND(AD237 + AG237, 2)</f>
        <v/>
      </c>
      <c r="AI237" s="23">
        <f>Intereses_Leasing_Mensual!O237</f>
        <v/>
      </c>
      <c r="AJ237" s="23">
        <f>Amortizacion_Capital_Mensual!P237</f>
        <v/>
      </c>
      <c r="AK237" s="23">
        <f>Saldos_Capital_Mensual!O237</f>
        <v/>
      </c>
      <c r="AL237" s="23">
        <f>Intereses_Residual_Mensual!O237</f>
        <v/>
      </c>
      <c r="AM237" s="23">
        <f>ROUND(AI237 + AL237, 2)</f>
        <v/>
      </c>
      <c r="AN237" s="23">
        <f>Intereses_Leasing_Mensual!P237</f>
        <v/>
      </c>
      <c r="AO237" s="23">
        <f>Amortizacion_Capital_Mensual!Q237</f>
        <v/>
      </c>
      <c r="AP237" s="23">
        <f>Saldos_Capital_Mensual!P237</f>
        <v/>
      </c>
      <c r="AQ237" s="23">
        <f>Intereses_Residual_Mensual!P237</f>
        <v/>
      </c>
      <c r="AR237" s="23">
        <f>ROUND(AN237 + AQ237, 2)</f>
        <v/>
      </c>
      <c r="AS237" s="23">
        <f>Intereses_Leasing_Mensual!Q237</f>
        <v/>
      </c>
      <c r="AT237" s="23">
        <f>Amortizacion_Capital_Mensual!R237</f>
        <v/>
      </c>
      <c r="AU237" s="23">
        <f>Saldos_Capital_Mensual!Q237</f>
        <v/>
      </c>
      <c r="AV237" s="23">
        <f>Intereses_Residual_Mensual!Q237</f>
        <v/>
      </c>
      <c r="AW237" s="23">
        <f>ROUND(AS237 + AV237, 2)</f>
        <v/>
      </c>
      <c r="AX237" s="23">
        <f>Intereses_Leasing_Mensual!R237</f>
        <v/>
      </c>
      <c r="AY237" s="23">
        <f>Amortizacion_Capital_Mensual!S237</f>
        <v/>
      </c>
      <c r="AZ237" s="23">
        <f>Saldos_Capital_Mensual!R237</f>
        <v/>
      </c>
      <c r="BA237" s="23">
        <f>Intereses_Residual_Mensual!R237</f>
        <v/>
      </c>
      <c r="BB237" s="23">
        <f>ROUND(AX237 + BA237, 2)</f>
        <v/>
      </c>
      <c r="BC237" s="23">
        <f>Intereses_Leasing_Mensual!S237</f>
        <v/>
      </c>
      <c r="BD237" s="23">
        <f>Amortizacion_Capital_Mensual!T237</f>
        <v/>
      </c>
      <c r="BE237" s="23">
        <f>Saldos_Capital_Mensual!S237</f>
        <v/>
      </c>
      <c r="BF237" s="23">
        <f>Intereses_Residual_Mensual!S237</f>
        <v/>
      </c>
      <c r="BG237" s="23">
        <f>ROUND(BC237 + BF237, 2)</f>
        <v/>
      </c>
      <c r="BH237" s="23">
        <f>Intereses_Leasing_Mensual!T237</f>
        <v/>
      </c>
      <c r="BI237" s="23">
        <f>Amortizacion_Capital_Mensual!U237</f>
        <v/>
      </c>
      <c r="BJ237" s="23">
        <f>Saldos_Capital_Mensual!T237</f>
        <v/>
      </c>
      <c r="BK237" s="23">
        <f>Intereses_Residual_Mensual!T237</f>
        <v/>
      </c>
      <c r="BL237" s="23">
        <f>ROUND(BH237 + BK237, 2)</f>
        <v/>
      </c>
    </row>
    <row r="238">
      <c r="A238" s="26" t="inlineStr">
        <is>
          <t>0750-0001</t>
        </is>
      </c>
      <c r="B238" s="27" t="inlineStr">
        <is>
          <t>Idea Gelato S de RL de CV</t>
        </is>
      </c>
      <c r="C238" s="27" t="inlineStr">
        <is>
          <t>Expert Furgon</t>
        </is>
      </c>
      <c r="D238" s="28" t="n">
        <v>24</v>
      </c>
      <c r="E238" s="29">
        <f>Intereses_Leasing_Mensual!I238</f>
        <v/>
      </c>
      <c r="F238" s="29">
        <f>Amortizacion_Capital_Mensual!J238</f>
        <v/>
      </c>
      <c r="G238" s="29">
        <f>Saldos_Capital_Mensual!I238</f>
        <v/>
      </c>
      <c r="H238" s="29">
        <f>Intereses_Residual_Mensual!I238</f>
        <v/>
      </c>
      <c r="I238" s="29">
        <f>ROUND(E238 + H238, 2)</f>
        <v/>
      </c>
      <c r="J238" s="29">
        <f>Intereses_Leasing_Mensual!J238</f>
        <v/>
      </c>
      <c r="K238" s="29">
        <f>Amortizacion_Capital_Mensual!K238</f>
        <v/>
      </c>
      <c r="L238" s="29">
        <f>Saldos_Capital_Mensual!J238</f>
        <v/>
      </c>
      <c r="M238" s="29">
        <f>Intereses_Residual_Mensual!J238</f>
        <v/>
      </c>
      <c r="N238" s="29">
        <f>ROUND(J238 + M238, 2)</f>
        <v/>
      </c>
      <c r="O238" s="29">
        <f>Intereses_Leasing_Mensual!K238</f>
        <v/>
      </c>
      <c r="P238" s="29">
        <f>Amortizacion_Capital_Mensual!L238</f>
        <v/>
      </c>
      <c r="Q238" s="29">
        <f>Saldos_Capital_Mensual!K238</f>
        <v/>
      </c>
      <c r="R238" s="29">
        <f>Intereses_Residual_Mensual!K238</f>
        <v/>
      </c>
      <c r="S238" s="29">
        <f>ROUND(O238 + R238, 2)</f>
        <v/>
      </c>
      <c r="T238" s="29">
        <f>Intereses_Leasing_Mensual!L238</f>
        <v/>
      </c>
      <c r="U238" s="29">
        <f>Amortizacion_Capital_Mensual!M238</f>
        <v/>
      </c>
      <c r="V238" s="29">
        <f>Saldos_Capital_Mensual!L238</f>
        <v/>
      </c>
      <c r="W238" s="29">
        <f>Intereses_Residual_Mensual!L238</f>
        <v/>
      </c>
      <c r="X238" s="29">
        <f>ROUND(T238 + W238, 2)</f>
        <v/>
      </c>
      <c r="Y238" s="29">
        <f>Intereses_Leasing_Mensual!M238</f>
        <v/>
      </c>
      <c r="Z238" s="29">
        <f>Amortizacion_Capital_Mensual!N238</f>
        <v/>
      </c>
      <c r="AA238" s="29">
        <f>Saldos_Capital_Mensual!M238</f>
        <v/>
      </c>
      <c r="AB238" s="29">
        <f>Intereses_Residual_Mensual!M238</f>
        <v/>
      </c>
      <c r="AC238" s="29">
        <f>ROUND(Y238 + AB238, 2)</f>
        <v/>
      </c>
      <c r="AD238" s="29">
        <f>Intereses_Leasing_Mensual!N238</f>
        <v/>
      </c>
      <c r="AE238" s="29">
        <f>Amortizacion_Capital_Mensual!O238</f>
        <v/>
      </c>
      <c r="AF238" s="29">
        <f>Saldos_Capital_Mensual!N238</f>
        <v/>
      </c>
      <c r="AG238" s="29">
        <f>Intereses_Residual_Mensual!N238</f>
        <v/>
      </c>
      <c r="AH238" s="29">
        <f>ROUND(AD238 + AG238, 2)</f>
        <v/>
      </c>
      <c r="AI238" s="29">
        <f>Intereses_Leasing_Mensual!O238</f>
        <v/>
      </c>
      <c r="AJ238" s="29">
        <f>Amortizacion_Capital_Mensual!P238</f>
        <v/>
      </c>
      <c r="AK238" s="29">
        <f>Saldos_Capital_Mensual!O238</f>
        <v/>
      </c>
      <c r="AL238" s="29">
        <f>Intereses_Residual_Mensual!O238</f>
        <v/>
      </c>
      <c r="AM238" s="29">
        <f>ROUND(AI238 + AL238, 2)</f>
        <v/>
      </c>
      <c r="AN238" s="29">
        <f>Intereses_Leasing_Mensual!P238</f>
        <v/>
      </c>
      <c r="AO238" s="29">
        <f>Amortizacion_Capital_Mensual!Q238</f>
        <v/>
      </c>
      <c r="AP238" s="29">
        <f>Saldos_Capital_Mensual!P238</f>
        <v/>
      </c>
      <c r="AQ238" s="29">
        <f>Intereses_Residual_Mensual!P238</f>
        <v/>
      </c>
      <c r="AR238" s="29">
        <f>ROUND(AN238 + AQ238, 2)</f>
        <v/>
      </c>
      <c r="AS238" s="29">
        <f>Intereses_Leasing_Mensual!Q238</f>
        <v/>
      </c>
      <c r="AT238" s="29">
        <f>Amortizacion_Capital_Mensual!R238</f>
        <v/>
      </c>
      <c r="AU238" s="29">
        <f>Saldos_Capital_Mensual!Q238</f>
        <v/>
      </c>
      <c r="AV238" s="29">
        <f>Intereses_Residual_Mensual!Q238</f>
        <v/>
      </c>
      <c r="AW238" s="29">
        <f>ROUND(AS238 + AV238, 2)</f>
        <v/>
      </c>
      <c r="AX238" s="29">
        <f>Intereses_Leasing_Mensual!R238</f>
        <v/>
      </c>
      <c r="AY238" s="29">
        <f>Amortizacion_Capital_Mensual!S238</f>
        <v/>
      </c>
      <c r="AZ238" s="29">
        <f>Saldos_Capital_Mensual!R238</f>
        <v/>
      </c>
      <c r="BA238" s="29">
        <f>Intereses_Residual_Mensual!R238</f>
        <v/>
      </c>
      <c r="BB238" s="29">
        <f>ROUND(AX238 + BA238, 2)</f>
        <v/>
      </c>
      <c r="BC238" s="29">
        <f>Intereses_Leasing_Mensual!S238</f>
        <v/>
      </c>
      <c r="BD238" s="29">
        <f>Amortizacion_Capital_Mensual!T238</f>
        <v/>
      </c>
      <c r="BE238" s="29">
        <f>Saldos_Capital_Mensual!S238</f>
        <v/>
      </c>
      <c r="BF238" s="29">
        <f>Intereses_Residual_Mensual!S238</f>
        <v/>
      </c>
      <c r="BG238" s="29">
        <f>ROUND(BC238 + BF238, 2)</f>
        <v/>
      </c>
      <c r="BH238" s="29">
        <f>Intereses_Leasing_Mensual!T238</f>
        <v/>
      </c>
      <c r="BI238" s="29">
        <f>Amortizacion_Capital_Mensual!U238</f>
        <v/>
      </c>
      <c r="BJ238" s="29">
        <f>Saldos_Capital_Mensual!T238</f>
        <v/>
      </c>
      <c r="BK238" s="29">
        <f>Intereses_Residual_Mensual!T238</f>
        <v/>
      </c>
      <c r="BL238" s="29">
        <f>ROUND(BH238 + BK238, 2)</f>
        <v/>
      </c>
    </row>
    <row r="239">
      <c r="A239" s="20" t="inlineStr">
        <is>
          <t>0752-0001</t>
        </is>
      </c>
      <c r="B239" s="21" t="inlineStr">
        <is>
          <t>Fernando Plasencia Lopez</t>
        </is>
      </c>
      <c r="C239" s="21" t="inlineStr">
        <is>
          <t>Grand Cherokee Limited</t>
        </is>
      </c>
      <c r="D239" s="22" t="n">
        <v>24</v>
      </c>
      <c r="E239" s="23">
        <f>Intereses_Leasing_Mensual!I239</f>
        <v/>
      </c>
      <c r="F239" s="23">
        <f>Amortizacion_Capital_Mensual!J239</f>
        <v/>
      </c>
      <c r="G239" s="23">
        <f>Saldos_Capital_Mensual!I239</f>
        <v/>
      </c>
      <c r="H239" s="23">
        <f>Intereses_Residual_Mensual!I239</f>
        <v/>
      </c>
      <c r="I239" s="23">
        <f>ROUND(E239 + H239, 2)</f>
        <v/>
      </c>
      <c r="J239" s="23">
        <f>Intereses_Leasing_Mensual!J239</f>
        <v/>
      </c>
      <c r="K239" s="23">
        <f>Amortizacion_Capital_Mensual!K239</f>
        <v/>
      </c>
      <c r="L239" s="23">
        <f>Saldos_Capital_Mensual!J239</f>
        <v/>
      </c>
      <c r="M239" s="23">
        <f>Intereses_Residual_Mensual!J239</f>
        <v/>
      </c>
      <c r="N239" s="23">
        <f>ROUND(J239 + M239, 2)</f>
        <v/>
      </c>
      <c r="O239" s="23">
        <f>Intereses_Leasing_Mensual!K239</f>
        <v/>
      </c>
      <c r="P239" s="23">
        <f>Amortizacion_Capital_Mensual!L239</f>
        <v/>
      </c>
      <c r="Q239" s="23">
        <f>Saldos_Capital_Mensual!K239</f>
        <v/>
      </c>
      <c r="R239" s="23">
        <f>Intereses_Residual_Mensual!K239</f>
        <v/>
      </c>
      <c r="S239" s="23">
        <f>ROUND(O239 + R239, 2)</f>
        <v/>
      </c>
      <c r="T239" s="23">
        <f>Intereses_Leasing_Mensual!L239</f>
        <v/>
      </c>
      <c r="U239" s="23">
        <f>Amortizacion_Capital_Mensual!M239</f>
        <v/>
      </c>
      <c r="V239" s="23">
        <f>Saldos_Capital_Mensual!L239</f>
        <v/>
      </c>
      <c r="W239" s="23">
        <f>Intereses_Residual_Mensual!L239</f>
        <v/>
      </c>
      <c r="X239" s="23">
        <f>ROUND(T239 + W239, 2)</f>
        <v/>
      </c>
      <c r="Y239" s="23">
        <f>Intereses_Leasing_Mensual!M239</f>
        <v/>
      </c>
      <c r="Z239" s="23">
        <f>Amortizacion_Capital_Mensual!N239</f>
        <v/>
      </c>
      <c r="AA239" s="23">
        <f>Saldos_Capital_Mensual!M239</f>
        <v/>
      </c>
      <c r="AB239" s="23">
        <f>Intereses_Residual_Mensual!M239</f>
        <v/>
      </c>
      <c r="AC239" s="23">
        <f>ROUND(Y239 + AB239, 2)</f>
        <v/>
      </c>
      <c r="AD239" s="23">
        <f>Intereses_Leasing_Mensual!N239</f>
        <v/>
      </c>
      <c r="AE239" s="23">
        <f>Amortizacion_Capital_Mensual!O239</f>
        <v/>
      </c>
      <c r="AF239" s="23">
        <f>Saldos_Capital_Mensual!N239</f>
        <v/>
      </c>
      <c r="AG239" s="23">
        <f>Intereses_Residual_Mensual!N239</f>
        <v/>
      </c>
      <c r="AH239" s="23">
        <f>ROUND(AD239 + AG239, 2)</f>
        <v/>
      </c>
      <c r="AI239" s="23">
        <f>Intereses_Leasing_Mensual!O239</f>
        <v/>
      </c>
      <c r="AJ239" s="23">
        <f>Amortizacion_Capital_Mensual!P239</f>
        <v/>
      </c>
      <c r="AK239" s="23">
        <f>Saldos_Capital_Mensual!O239</f>
        <v/>
      </c>
      <c r="AL239" s="23">
        <f>Intereses_Residual_Mensual!O239</f>
        <v/>
      </c>
      <c r="AM239" s="23">
        <f>ROUND(AI239 + AL239, 2)</f>
        <v/>
      </c>
      <c r="AN239" s="23">
        <f>Intereses_Leasing_Mensual!P239</f>
        <v/>
      </c>
      <c r="AO239" s="23">
        <f>Amortizacion_Capital_Mensual!Q239</f>
        <v/>
      </c>
      <c r="AP239" s="23">
        <f>Saldos_Capital_Mensual!P239</f>
        <v/>
      </c>
      <c r="AQ239" s="23">
        <f>Intereses_Residual_Mensual!P239</f>
        <v/>
      </c>
      <c r="AR239" s="23">
        <f>ROUND(AN239 + AQ239, 2)</f>
        <v/>
      </c>
      <c r="AS239" s="23">
        <f>Intereses_Leasing_Mensual!Q239</f>
        <v/>
      </c>
      <c r="AT239" s="23">
        <f>Amortizacion_Capital_Mensual!R239</f>
        <v/>
      </c>
      <c r="AU239" s="23">
        <f>Saldos_Capital_Mensual!Q239</f>
        <v/>
      </c>
      <c r="AV239" s="23">
        <f>Intereses_Residual_Mensual!Q239</f>
        <v/>
      </c>
      <c r="AW239" s="23">
        <f>ROUND(AS239 + AV239, 2)</f>
        <v/>
      </c>
      <c r="AX239" s="23">
        <f>Intereses_Leasing_Mensual!R239</f>
        <v/>
      </c>
      <c r="AY239" s="23">
        <f>Amortizacion_Capital_Mensual!S239</f>
        <v/>
      </c>
      <c r="AZ239" s="23">
        <f>Saldos_Capital_Mensual!R239</f>
        <v/>
      </c>
      <c r="BA239" s="23">
        <f>Intereses_Residual_Mensual!R239</f>
        <v/>
      </c>
      <c r="BB239" s="23">
        <f>ROUND(AX239 + BA239, 2)</f>
        <v/>
      </c>
      <c r="BC239" s="23">
        <f>Intereses_Leasing_Mensual!S239</f>
        <v/>
      </c>
      <c r="BD239" s="23">
        <f>Amortizacion_Capital_Mensual!T239</f>
        <v/>
      </c>
      <c r="BE239" s="23">
        <f>Saldos_Capital_Mensual!S239</f>
        <v/>
      </c>
      <c r="BF239" s="23">
        <f>Intereses_Residual_Mensual!S239</f>
        <v/>
      </c>
      <c r="BG239" s="23">
        <f>ROUND(BC239 + BF239, 2)</f>
        <v/>
      </c>
      <c r="BH239" s="23">
        <f>Intereses_Leasing_Mensual!T239</f>
        <v/>
      </c>
      <c r="BI239" s="23">
        <f>Amortizacion_Capital_Mensual!U239</f>
        <v/>
      </c>
      <c r="BJ239" s="23">
        <f>Saldos_Capital_Mensual!T239</f>
        <v/>
      </c>
      <c r="BK239" s="23">
        <f>Intereses_Residual_Mensual!T239</f>
        <v/>
      </c>
      <c r="BL239" s="23">
        <f>ROUND(BH239 + BK239, 2)</f>
        <v/>
      </c>
    </row>
    <row r="240">
      <c r="A240" s="26" t="inlineStr">
        <is>
          <t>0752-0002</t>
        </is>
      </c>
      <c r="B240" s="27" t="inlineStr">
        <is>
          <t>Fernando Plasencia Lopez</t>
        </is>
      </c>
      <c r="C240" s="27" t="inlineStr">
        <is>
          <t>Grand Cherokee Altitude</t>
        </is>
      </c>
      <c r="D240" s="28" t="n">
        <v>24</v>
      </c>
      <c r="E240" s="29">
        <f>Intereses_Leasing_Mensual!I240</f>
        <v/>
      </c>
      <c r="F240" s="29">
        <f>Amortizacion_Capital_Mensual!J240</f>
        <v/>
      </c>
      <c r="G240" s="29">
        <f>Saldos_Capital_Mensual!I240</f>
        <v/>
      </c>
      <c r="H240" s="29">
        <f>Intereses_Residual_Mensual!I240</f>
        <v/>
      </c>
      <c r="I240" s="29">
        <f>ROUND(E240 + H240, 2)</f>
        <v/>
      </c>
      <c r="J240" s="29">
        <f>Intereses_Leasing_Mensual!J240</f>
        <v/>
      </c>
      <c r="K240" s="29">
        <f>Amortizacion_Capital_Mensual!K240</f>
        <v/>
      </c>
      <c r="L240" s="29">
        <f>Saldos_Capital_Mensual!J240</f>
        <v/>
      </c>
      <c r="M240" s="29">
        <f>Intereses_Residual_Mensual!J240</f>
        <v/>
      </c>
      <c r="N240" s="29">
        <f>ROUND(J240 + M240, 2)</f>
        <v/>
      </c>
      <c r="O240" s="29">
        <f>Intereses_Leasing_Mensual!K240</f>
        <v/>
      </c>
      <c r="P240" s="29">
        <f>Amortizacion_Capital_Mensual!L240</f>
        <v/>
      </c>
      <c r="Q240" s="29">
        <f>Saldos_Capital_Mensual!K240</f>
        <v/>
      </c>
      <c r="R240" s="29">
        <f>Intereses_Residual_Mensual!K240</f>
        <v/>
      </c>
      <c r="S240" s="29">
        <f>ROUND(O240 + R240, 2)</f>
        <v/>
      </c>
      <c r="T240" s="29">
        <f>Intereses_Leasing_Mensual!L240</f>
        <v/>
      </c>
      <c r="U240" s="29">
        <f>Amortizacion_Capital_Mensual!M240</f>
        <v/>
      </c>
      <c r="V240" s="29">
        <f>Saldos_Capital_Mensual!L240</f>
        <v/>
      </c>
      <c r="W240" s="29">
        <f>Intereses_Residual_Mensual!L240</f>
        <v/>
      </c>
      <c r="X240" s="29">
        <f>ROUND(T240 + W240, 2)</f>
        <v/>
      </c>
      <c r="Y240" s="29">
        <f>Intereses_Leasing_Mensual!M240</f>
        <v/>
      </c>
      <c r="Z240" s="29">
        <f>Amortizacion_Capital_Mensual!N240</f>
        <v/>
      </c>
      <c r="AA240" s="29">
        <f>Saldos_Capital_Mensual!M240</f>
        <v/>
      </c>
      <c r="AB240" s="29">
        <f>Intereses_Residual_Mensual!M240</f>
        <v/>
      </c>
      <c r="AC240" s="29">
        <f>ROUND(Y240 + AB240, 2)</f>
        <v/>
      </c>
      <c r="AD240" s="29">
        <f>Intereses_Leasing_Mensual!N240</f>
        <v/>
      </c>
      <c r="AE240" s="29">
        <f>Amortizacion_Capital_Mensual!O240</f>
        <v/>
      </c>
      <c r="AF240" s="29">
        <f>Saldos_Capital_Mensual!N240</f>
        <v/>
      </c>
      <c r="AG240" s="29">
        <f>Intereses_Residual_Mensual!N240</f>
        <v/>
      </c>
      <c r="AH240" s="29">
        <f>ROUND(AD240 + AG240, 2)</f>
        <v/>
      </c>
      <c r="AI240" s="29">
        <f>Intereses_Leasing_Mensual!O240</f>
        <v/>
      </c>
      <c r="AJ240" s="29">
        <f>Amortizacion_Capital_Mensual!P240</f>
        <v/>
      </c>
      <c r="AK240" s="29">
        <f>Saldos_Capital_Mensual!O240</f>
        <v/>
      </c>
      <c r="AL240" s="29">
        <f>Intereses_Residual_Mensual!O240</f>
        <v/>
      </c>
      <c r="AM240" s="29">
        <f>ROUND(AI240 + AL240, 2)</f>
        <v/>
      </c>
      <c r="AN240" s="29">
        <f>Intereses_Leasing_Mensual!P240</f>
        <v/>
      </c>
      <c r="AO240" s="29">
        <f>Amortizacion_Capital_Mensual!Q240</f>
        <v/>
      </c>
      <c r="AP240" s="29">
        <f>Saldos_Capital_Mensual!P240</f>
        <v/>
      </c>
      <c r="AQ240" s="29">
        <f>Intereses_Residual_Mensual!P240</f>
        <v/>
      </c>
      <c r="AR240" s="29">
        <f>ROUND(AN240 + AQ240, 2)</f>
        <v/>
      </c>
      <c r="AS240" s="29">
        <f>Intereses_Leasing_Mensual!Q240</f>
        <v/>
      </c>
      <c r="AT240" s="29">
        <f>Amortizacion_Capital_Mensual!R240</f>
        <v/>
      </c>
      <c r="AU240" s="29">
        <f>Saldos_Capital_Mensual!Q240</f>
        <v/>
      </c>
      <c r="AV240" s="29">
        <f>Intereses_Residual_Mensual!Q240</f>
        <v/>
      </c>
      <c r="AW240" s="29">
        <f>ROUND(AS240 + AV240, 2)</f>
        <v/>
      </c>
      <c r="AX240" s="29">
        <f>Intereses_Leasing_Mensual!R240</f>
        <v/>
      </c>
      <c r="AY240" s="29">
        <f>Amortizacion_Capital_Mensual!S240</f>
        <v/>
      </c>
      <c r="AZ240" s="29">
        <f>Saldos_Capital_Mensual!R240</f>
        <v/>
      </c>
      <c r="BA240" s="29">
        <f>Intereses_Residual_Mensual!R240</f>
        <v/>
      </c>
      <c r="BB240" s="29">
        <f>ROUND(AX240 + BA240, 2)</f>
        <v/>
      </c>
      <c r="BC240" s="29">
        <f>Intereses_Leasing_Mensual!S240</f>
        <v/>
      </c>
      <c r="BD240" s="29">
        <f>Amortizacion_Capital_Mensual!T240</f>
        <v/>
      </c>
      <c r="BE240" s="29">
        <f>Saldos_Capital_Mensual!S240</f>
        <v/>
      </c>
      <c r="BF240" s="29">
        <f>Intereses_Residual_Mensual!S240</f>
        <v/>
      </c>
      <c r="BG240" s="29">
        <f>ROUND(BC240 + BF240, 2)</f>
        <v/>
      </c>
      <c r="BH240" s="29">
        <f>Intereses_Leasing_Mensual!T240</f>
        <v/>
      </c>
      <c r="BI240" s="29">
        <f>Amortizacion_Capital_Mensual!U240</f>
        <v/>
      </c>
      <c r="BJ240" s="29">
        <f>Saldos_Capital_Mensual!T240</f>
        <v/>
      </c>
      <c r="BK240" s="29">
        <f>Intereses_Residual_Mensual!T240</f>
        <v/>
      </c>
      <c r="BL240" s="29">
        <f>ROUND(BH240 + BK240, 2)</f>
        <v/>
      </c>
    </row>
    <row r="241">
      <c r="A241" s="20" t="inlineStr">
        <is>
          <t>0752-0003</t>
        </is>
      </c>
      <c r="B241" s="21" t="inlineStr">
        <is>
          <t>Fernando Plasencia Lopez</t>
        </is>
      </c>
      <c r="C241" s="21" t="inlineStr">
        <is>
          <t>Grand Cherokee Summit</t>
        </is>
      </c>
      <c r="D241" s="22" t="n">
        <v>24</v>
      </c>
      <c r="E241" s="23">
        <f>Intereses_Leasing_Mensual!I241</f>
        <v/>
      </c>
      <c r="F241" s="23">
        <f>Amortizacion_Capital_Mensual!J241</f>
        <v/>
      </c>
      <c r="G241" s="23">
        <f>Saldos_Capital_Mensual!I241</f>
        <v/>
      </c>
      <c r="H241" s="23">
        <f>Intereses_Residual_Mensual!I241</f>
        <v/>
      </c>
      <c r="I241" s="23">
        <f>ROUND(E241 + H241, 2)</f>
        <v/>
      </c>
      <c r="J241" s="23">
        <f>Intereses_Leasing_Mensual!J241</f>
        <v/>
      </c>
      <c r="K241" s="23">
        <f>Amortizacion_Capital_Mensual!K241</f>
        <v/>
      </c>
      <c r="L241" s="23">
        <f>Saldos_Capital_Mensual!J241</f>
        <v/>
      </c>
      <c r="M241" s="23">
        <f>Intereses_Residual_Mensual!J241</f>
        <v/>
      </c>
      <c r="N241" s="23">
        <f>ROUND(J241 + M241, 2)</f>
        <v/>
      </c>
      <c r="O241" s="23">
        <f>Intereses_Leasing_Mensual!K241</f>
        <v/>
      </c>
      <c r="P241" s="23">
        <f>Amortizacion_Capital_Mensual!L241</f>
        <v/>
      </c>
      <c r="Q241" s="23">
        <f>Saldos_Capital_Mensual!K241</f>
        <v/>
      </c>
      <c r="R241" s="23">
        <f>Intereses_Residual_Mensual!K241</f>
        <v/>
      </c>
      <c r="S241" s="23">
        <f>ROUND(O241 + R241, 2)</f>
        <v/>
      </c>
      <c r="T241" s="23">
        <f>Intereses_Leasing_Mensual!L241</f>
        <v/>
      </c>
      <c r="U241" s="23">
        <f>Amortizacion_Capital_Mensual!M241</f>
        <v/>
      </c>
      <c r="V241" s="23">
        <f>Saldos_Capital_Mensual!L241</f>
        <v/>
      </c>
      <c r="W241" s="23">
        <f>Intereses_Residual_Mensual!L241</f>
        <v/>
      </c>
      <c r="X241" s="23">
        <f>ROUND(T241 + W241, 2)</f>
        <v/>
      </c>
      <c r="Y241" s="23">
        <f>Intereses_Leasing_Mensual!M241</f>
        <v/>
      </c>
      <c r="Z241" s="23">
        <f>Amortizacion_Capital_Mensual!N241</f>
        <v/>
      </c>
      <c r="AA241" s="23">
        <f>Saldos_Capital_Mensual!M241</f>
        <v/>
      </c>
      <c r="AB241" s="23">
        <f>Intereses_Residual_Mensual!M241</f>
        <v/>
      </c>
      <c r="AC241" s="23">
        <f>ROUND(Y241 + AB241, 2)</f>
        <v/>
      </c>
      <c r="AD241" s="23">
        <f>Intereses_Leasing_Mensual!N241</f>
        <v/>
      </c>
      <c r="AE241" s="23">
        <f>Amortizacion_Capital_Mensual!O241</f>
        <v/>
      </c>
      <c r="AF241" s="23">
        <f>Saldos_Capital_Mensual!N241</f>
        <v/>
      </c>
      <c r="AG241" s="23">
        <f>Intereses_Residual_Mensual!N241</f>
        <v/>
      </c>
      <c r="AH241" s="23">
        <f>ROUND(AD241 + AG241, 2)</f>
        <v/>
      </c>
      <c r="AI241" s="23">
        <f>Intereses_Leasing_Mensual!O241</f>
        <v/>
      </c>
      <c r="AJ241" s="23">
        <f>Amortizacion_Capital_Mensual!P241</f>
        <v/>
      </c>
      <c r="AK241" s="23">
        <f>Saldos_Capital_Mensual!O241</f>
        <v/>
      </c>
      <c r="AL241" s="23">
        <f>Intereses_Residual_Mensual!O241</f>
        <v/>
      </c>
      <c r="AM241" s="23">
        <f>ROUND(AI241 + AL241, 2)</f>
        <v/>
      </c>
      <c r="AN241" s="23">
        <f>Intereses_Leasing_Mensual!P241</f>
        <v/>
      </c>
      <c r="AO241" s="23">
        <f>Amortizacion_Capital_Mensual!Q241</f>
        <v/>
      </c>
      <c r="AP241" s="23">
        <f>Saldos_Capital_Mensual!P241</f>
        <v/>
      </c>
      <c r="AQ241" s="23">
        <f>Intereses_Residual_Mensual!P241</f>
        <v/>
      </c>
      <c r="AR241" s="23">
        <f>ROUND(AN241 + AQ241, 2)</f>
        <v/>
      </c>
      <c r="AS241" s="23">
        <f>Intereses_Leasing_Mensual!Q241</f>
        <v/>
      </c>
      <c r="AT241" s="23">
        <f>Amortizacion_Capital_Mensual!R241</f>
        <v/>
      </c>
      <c r="AU241" s="23">
        <f>Saldos_Capital_Mensual!Q241</f>
        <v/>
      </c>
      <c r="AV241" s="23">
        <f>Intereses_Residual_Mensual!Q241</f>
        <v/>
      </c>
      <c r="AW241" s="23">
        <f>ROUND(AS241 + AV241, 2)</f>
        <v/>
      </c>
      <c r="AX241" s="23">
        <f>Intereses_Leasing_Mensual!R241</f>
        <v/>
      </c>
      <c r="AY241" s="23">
        <f>Amortizacion_Capital_Mensual!S241</f>
        <v/>
      </c>
      <c r="AZ241" s="23">
        <f>Saldos_Capital_Mensual!R241</f>
        <v/>
      </c>
      <c r="BA241" s="23">
        <f>Intereses_Residual_Mensual!R241</f>
        <v/>
      </c>
      <c r="BB241" s="23">
        <f>ROUND(AX241 + BA241, 2)</f>
        <v/>
      </c>
      <c r="BC241" s="23">
        <f>Intereses_Leasing_Mensual!S241</f>
        <v/>
      </c>
      <c r="BD241" s="23">
        <f>Amortizacion_Capital_Mensual!T241</f>
        <v/>
      </c>
      <c r="BE241" s="23">
        <f>Saldos_Capital_Mensual!S241</f>
        <v/>
      </c>
      <c r="BF241" s="23">
        <f>Intereses_Residual_Mensual!S241</f>
        <v/>
      </c>
      <c r="BG241" s="23">
        <f>ROUND(BC241 + BF241, 2)</f>
        <v/>
      </c>
      <c r="BH241" s="23">
        <f>Intereses_Leasing_Mensual!T241</f>
        <v/>
      </c>
      <c r="BI241" s="23">
        <f>Amortizacion_Capital_Mensual!U241</f>
        <v/>
      </c>
      <c r="BJ241" s="23">
        <f>Saldos_Capital_Mensual!T241</f>
        <v/>
      </c>
      <c r="BK241" s="23">
        <f>Intereses_Residual_Mensual!T241</f>
        <v/>
      </c>
      <c r="BL241" s="23">
        <f>ROUND(BH241 + BK241, 2)</f>
        <v/>
      </c>
    </row>
    <row r="242">
      <c r="A242" s="26" t="inlineStr">
        <is>
          <t>0752-0004</t>
        </is>
      </c>
      <c r="B242" s="27" t="inlineStr">
        <is>
          <t>Fernando Plasencia Lopez</t>
        </is>
      </c>
      <c r="C242" s="27" t="inlineStr">
        <is>
          <t>1200 BIGHORN CC</t>
        </is>
      </c>
      <c r="D242" s="28" t="n">
        <v>48</v>
      </c>
      <c r="E242" s="29">
        <f>Intereses_Leasing_Mensual!I242</f>
        <v/>
      </c>
      <c r="F242" s="29">
        <f>Amortizacion_Capital_Mensual!J242</f>
        <v/>
      </c>
      <c r="G242" s="29">
        <f>Saldos_Capital_Mensual!I242</f>
        <v/>
      </c>
      <c r="H242" s="29">
        <f>Intereses_Residual_Mensual!I242</f>
        <v/>
      </c>
      <c r="I242" s="29">
        <f>ROUND(E242 + H242, 2)</f>
        <v/>
      </c>
      <c r="J242" s="29">
        <f>Intereses_Leasing_Mensual!J242</f>
        <v/>
      </c>
      <c r="K242" s="29">
        <f>Amortizacion_Capital_Mensual!K242</f>
        <v/>
      </c>
      <c r="L242" s="29">
        <f>Saldos_Capital_Mensual!J242</f>
        <v/>
      </c>
      <c r="M242" s="29">
        <f>Intereses_Residual_Mensual!J242</f>
        <v/>
      </c>
      <c r="N242" s="29">
        <f>ROUND(J242 + M242, 2)</f>
        <v/>
      </c>
      <c r="O242" s="29">
        <f>Intereses_Leasing_Mensual!K242</f>
        <v/>
      </c>
      <c r="P242" s="29">
        <f>Amortizacion_Capital_Mensual!L242</f>
        <v/>
      </c>
      <c r="Q242" s="29">
        <f>Saldos_Capital_Mensual!K242</f>
        <v/>
      </c>
      <c r="R242" s="29">
        <f>Intereses_Residual_Mensual!K242</f>
        <v/>
      </c>
      <c r="S242" s="29">
        <f>ROUND(O242 + R242, 2)</f>
        <v/>
      </c>
      <c r="T242" s="29">
        <f>Intereses_Leasing_Mensual!L242</f>
        <v/>
      </c>
      <c r="U242" s="29">
        <f>Amortizacion_Capital_Mensual!M242</f>
        <v/>
      </c>
      <c r="V242" s="29">
        <f>Saldos_Capital_Mensual!L242</f>
        <v/>
      </c>
      <c r="W242" s="29">
        <f>Intereses_Residual_Mensual!L242</f>
        <v/>
      </c>
      <c r="X242" s="29">
        <f>ROUND(T242 + W242, 2)</f>
        <v/>
      </c>
      <c r="Y242" s="29">
        <f>Intereses_Leasing_Mensual!M242</f>
        <v/>
      </c>
      <c r="Z242" s="29">
        <f>Amortizacion_Capital_Mensual!N242</f>
        <v/>
      </c>
      <c r="AA242" s="29">
        <f>Saldos_Capital_Mensual!M242</f>
        <v/>
      </c>
      <c r="AB242" s="29">
        <f>Intereses_Residual_Mensual!M242</f>
        <v/>
      </c>
      <c r="AC242" s="29">
        <f>ROUND(Y242 + AB242, 2)</f>
        <v/>
      </c>
      <c r="AD242" s="29">
        <f>Intereses_Leasing_Mensual!N242</f>
        <v/>
      </c>
      <c r="AE242" s="29">
        <f>Amortizacion_Capital_Mensual!O242</f>
        <v/>
      </c>
      <c r="AF242" s="29">
        <f>Saldos_Capital_Mensual!N242</f>
        <v/>
      </c>
      <c r="AG242" s="29">
        <f>Intereses_Residual_Mensual!N242</f>
        <v/>
      </c>
      <c r="AH242" s="29">
        <f>ROUND(AD242 + AG242, 2)</f>
        <v/>
      </c>
      <c r="AI242" s="29">
        <f>Intereses_Leasing_Mensual!O242</f>
        <v/>
      </c>
      <c r="AJ242" s="29">
        <f>Amortizacion_Capital_Mensual!P242</f>
        <v/>
      </c>
      <c r="AK242" s="29">
        <f>Saldos_Capital_Mensual!O242</f>
        <v/>
      </c>
      <c r="AL242" s="29">
        <f>Intereses_Residual_Mensual!O242</f>
        <v/>
      </c>
      <c r="AM242" s="29">
        <f>ROUND(AI242 + AL242, 2)</f>
        <v/>
      </c>
      <c r="AN242" s="29">
        <f>Intereses_Leasing_Mensual!P242</f>
        <v/>
      </c>
      <c r="AO242" s="29">
        <f>Amortizacion_Capital_Mensual!Q242</f>
        <v/>
      </c>
      <c r="AP242" s="29">
        <f>Saldos_Capital_Mensual!P242</f>
        <v/>
      </c>
      <c r="AQ242" s="29">
        <f>Intereses_Residual_Mensual!P242</f>
        <v/>
      </c>
      <c r="AR242" s="29">
        <f>ROUND(AN242 + AQ242, 2)</f>
        <v/>
      </c>
      <c r="AS242" s="29">
        <f>Intereses_Leasing_Mensual!Q242</f>
        <v/>
      </c>
      <c r="AT242" s="29">
        <f>Amortizacion_Capital_Mensual!R242</f>
        <v/>
      </c>
      <c r="AU242" s="29">
        <f>Saldos_Capital_Mensual!Q242</f>
        <v/>
      </c>
      <c r="AV242" s="29">
        <f>Intereses_Residual_Mensual!Q242</f>
        <v/>
      </c>
      <c r="AW242" s="29">
        <f>ROUND(AS242 + AV242, 2)</f>
        <v/>
      </c>
      <c r="AX242" s="29">
        <f>Intereses_Leasing_Mensual!R242</f>
        <v/>
      </c>
      <c r="AY242" s="29">
        <f>Amortizacion_Capital_Mensual!S242</f>
        <v/>
      </c>
      <c r="AZ242" s="29">
        <f>Saldos_Capital_Mensual!R242</f>
        <v/>
      </c>
      <c r="BA242" s="29">
        <f>Intereses_Residual_Mensual!R242</f>
        <v/>
      </c>
      <c r="BB242" s="29">
        <f>ROUND(AX242 + BA242, 2)</f>
        <v/>
      </c>
      <c r="BC242" s="29">
        <f>Intereses_Leasing_Mensual!S242</f>
        <v/>
      </c>
      <c r="BD242" s="29">
        <f>Amortizacion_Capital_Mensual!T242</f>
        <v/>
      </c>
      <c r="BE242" s="29">
        <f>Saldos_Capital_Mensual!S242</f>
        <v/>
      </c>
      <c r="BF242" s="29">
        <f>Intereses_Residual_Mensual!S242</f>
        <v/>
      </c>
      <c r="BG242" s="29">
        <f>ROUND(BC242 + BF242, 2)</f>
        <v/>
      </c>
      <c r="BH242" s="29">
        <f>Intereses_Leasing_Mensual!T242</f>
        <v/>
      </c>
      <c r="BI242" s="29">
        <f>Amortizacion_Capital_Mensual!U242</f>
        <v/>
      </c>
      <c r="BJ242" s="29">
        <f>Saldos_Capital_Mensual!T242</f>
        <v/>
      </c>
      <c r="BK242" s="29">
        <f>Intereses_Residual_Mensual!T242</f>
        <v/>
      </c>
      <c r="BL242" s="29">
        <f>ROUND(BH242 + BK242, 2)</f>
        <v/>
      </c>
    </row>
    <row r="243">
      <c r="A243" s="20" t="inlineStr">
        <is>
          <t>0752-0005</t>
        </is>
      </c>
      <c r="B243" s="21" t="inlineStr">
        <is>
          <t>Fernando Plasencia Lopez</t>
        </is>
      </c>
      <c r="C243" s="21" t="inlineStr">
        <is>
          <t>Grand Charokee Altitude</t>
        </is>
      </c>
      <c r="D243" s="22" t="n">
        <v>24</v>
      </c>
      <c r="E243" s="23">
        <f>Intereses_Leasing_Mensual!I243</f>
        <v/>
      </c>
      <c r="F243" s="23">
        <f>Amortizacion_Capital_Mensual!J243</f>
        <v/>
      </c>
      <c r="G243" s="23">
        <f>Saldos_Capital_Mensual!I243</f>
        <v/>
      </c>
      <c r="H243" s="23">
        <f>Intereses_Residual_Mensual!I243</f>
        <v/>
      </c>
      <c r="I243" s="23">
        <f>ROUND(E243 + H243, 2)</f>
        <v/>
      </c>
      <c r="J243" s="23">
        <f>Intereses_Leasing_Mensual!J243</f>
        <v/>
      </c>
      <c r="K243" s="23">
        <f>Amortizacion_Capital_Mensual!K243</f>
        <v/>
      </c>
      <c r="L243" s="23">
        <f>Saldos_Capital_Mensual!J243</f>
        <v/>
      </c>
      <c r="M243" s="23">
        <f>Intereses_Residual_Mensual!J243</f>
        <v/>
      </c>
      <c r="N243" s="23">
        <f>ROUND(J243 + M243, 2)</f>
        <v/>
      </c>
      <c r="O243" s="23">
        <f>Intereses_Leasing_Mensual!K243</f>
        <v/>
      </c>
      <c r="P243" s="23">
        <f>Amortizacion_Capital_Mensual!L243</f>
        <v/>
      </c>
      <c r="Q243" s="23">
        <f>Saldos_Capital_Mensual!K243</f>
        <v/>
      </c>
      <c r="R243" s="23">
        <f>Intereses_Residual_Mensual!K243</f>
        <v/>
      </c>
      <c r="S243" s="23">
        <f>ROUND(O243 + R243, 2)</f>
        <v/>
      </c>
      <c r="T243" s="23">
        <f>Intereses_Leasing_Mensual!L243</f>
        <v/>
      </c>
      <c r="U243" s="23">
        <f>Amortizacion_Capital_Mensual!M243</f>
        <v/>
      </c>
      <c r="V243" s="23">
        <f>Saldos_Capital_Mensual!L243</f>
        <v/>
      </c>
      <c r="W243" s="23">
        <f>Intereses_Residual_Mensual!L243</f>
        <v/>
      </c>
      <c r="X243" s="23">
        <f>ROUND(T243 + W243, 2)</f>
        <v/>
      </c>
      <c r="Y243" s="23">
        <f>Intereses_Leasing_Mensual!M243</f>
        <v/>
      </c>
      <c r="Z243" s="23">
        <f>Amortizacion_Capital_Mensual!N243</f>
        <v/>
      </c>
      <c r="AA243" s="23">
        <f>Saldos_Capital_Mensual!M243</f>
        <v/>
      </c>
      <c r="AB243" s="23">
        <f>Intereses_Residual_Mensual!M243</f>
        <v/>
      </c>
      <c r="AC243" s="23">
        <f>ROUND(Y243 + AB243, 2)</f>
        <v/>
      </c>
      <c r="AD243" s="23">
        <f>Intereses_Leasing_Mensual!N243</f>
        <v/>
      </c>
      <c r="AE243" s="23">
        <f>Amortizacion_Capital_Mensual!O243</f>
        <v/>
      </c>
      <c r="AF243" s="23">
        <f>Saldos_Capital_Mensual!N243</f>
        <v/>
      </c>
      <c r="AG243" s="23">
        <f>Intereses_Residual_Mensual!N243</f>
        <v/>
      </c>
      <c r="AH243" s="23">
        <f>ROUND(AD243 + AG243, 2)</f>
        <v/>
      </c>
      <c r="AI243" s="23">
        <f>Intereses_Leasing_Mensual!O243</f>
        <v/>
      </c>
      <c r="AJ243" s="23">
        <f>Amortizacion_Capital_Mensual!P243</f>
        <v/>
      </c>
      <c r="AK243" s="23">
        <f>Saldos_Capital_Mensual!O243</f>
        <v/>
      </c>
      <c r="AL243" s="23">
        <f>Intereses_Residual_Mensual!O243</f>
        <v/>
      </c>
      <c r="AM243" s="23">
        <f>ROUND(AI243 + AL243, 2)</f>
        <v/>
      </c>
      <c r="AN243" s="23">
        <f>Intereses_Leasing_Mensual!P243</f>
        <v/>
      </c>
      <c r="AO243" s="23">
        <f>Amortizacion_Capital_Mensual!Q243</f>
        <v/>
      </c>
      <c r="AP243" s="23">
        <f>Saldos_Capital_Mensual!P243</f>
        <v/>
      </c>
      <c r="AQ243" s="23">
        <f>Intereses_Residual_Mensual!P243</f>
        <v/>
      </c>
      <c r="AR243" s="23">
        <f>ROUND(AN243 + AQ243, 2)</f>
        <v/>
      </c>
      <c r="AS243" s="23">
        <f>Intereses_Leasing_Mensual!Q243</f>
        <v/>
      </c>
      <c r="AT243" s="23">
        <f>Amortizacion_Capital_Mensual!R243</f>
        <v/>
      </c>
      <c r="AU243" s="23">
        <f>Saldos_Capital_Mensual!Q243</f>
        <v/>
      </c>
      <c r="AV243" s="23">
        <f>Intereses_Residual_Mensual!Q243</f>
        <v/>
      </c>
      <c r="AW243" s="23">
        <f>ROUND(AS243 + AV243, 2)</f>
        <v/>
      </c>
      <c r="AX243" s="23">
        <f>Intereses_Leasing_Mensual!R243</f>
        <v/>
      </c>
      <c r="AY243" s="23">
        <f>Amortizacion_Capital_Mensual!S243</f>
        <v/>
      </c>
      <c r="AZ243" s="23">
        <f>Saldos_Capital_Mensual!R243</f>
        <v/>
      </c>
      <c r="BA243" s="23">
        <f>Intereses_Residual_Mensual!R243</f>
        <v/>
      </c>
      <c r="BB243" s="23">
        <f>ROUND(AX243 + BA243, 2)</f>
        <v/>
      </c>
      <c r="BC243" s="23">
        <f>Intereses_Leasing_Mensual!S243</f>
        <v/>
      </c>
      <c r="BD243" s="23">
        <f>Amortizacion_Capital_Mensual!T243</f>
        <v/>
      </c>
      <c r="BE243" s="23">
        <f>Saldos_Capital_Mensual!S243</f>
        <v/>
      </c>
      <c r="BF243" s="23">
        <f>Intereses_Residual_Mensual!S243</f>
        <v/>
      </c>
      <c r="BG243" s="23">
        <f>ROUND(BC243 + BF243, 2)</f>
        <v/>
      </c>
      <c r="BH243" s="23">
        <f>Intereses_Leasing_Mensual!T243</f>
        <v/>
      </c>
      <c r="BI243" s="23">
        <f>Amortizacion_Capital_Mensual!U243</f>
        <v/>
      </c>
      <c r="BJ243" s="23">
        <f>Saldos_Capital_Mensual!T243</f>
        <v/>
      </c>
      <c r="BK243" s="23">
        <f>Intereses_Residual_Mensual!T243</f>
        <v/>
      </c>
      <c r="BL243" s="23">
        <f>ROUND(BH243 + BK243, 2)</f>
        <v/>
      </c>
    </row>
    <row r="244">
      <c r="A244" s="26" t="inlineStr">
        <is>
          <t>0753-0001</t>
        </is>
      </c>
      <c r="B244" s="27" t="inlineStr">
        <is>
          <t>Milodi Seguridad Privada</t>
        </is>
      </c>
      <c r="C244" s="27" t="inlineStr">
        <is>
          <t>Alsvin</t>
        </is>
      </c>
      <c r="D244" s="28" t="n">
        <v>36</v>
      </c>
      <c r="E244" s="29">
        <f>Intereses_Leasing_Mensual!I244</f>
        <v/>
      </c>
      <c r="F244" s="29">
        <f>Amortizacion_Capital_Mensual!J244</f>
        <v/>
      </c>
      <c r="G244" s="29">
        <f>Saldos_Capital_Mensual!I244</f>
        <v/>
      </c>
      <c r="H244" s="29">
        <f>Intereses_Residual_Mensual!I244</f>
        <v/>
      </c>
      <c r="I244" s="29">
        <f>ROUND(E244 + H244, 2)</f>
        <v/>
      </c>
      <c r="J244" s="29">
        <f>Intereses_Leasing_Mensual!J244</f>
        <v/>
      </c>
      <c r="K244" s="29">
        <f>Amortizacion_Capital_Mensual!K244</f>
        <v/>
      </c>
      <c r="L244" s="29">
        <f>Saldos_Capital_Mensual!J244</f>
        <v/>
      </c>
      <c r="M244" s="29">
        <f>Intereses_Residual_Mensual!J244</f>
        <v/>
      </c>
      <c r="N244" s="29">
        <f>ROUND(J244 + M244, 2)</f>
        <v/>
      </c>
      <c r="O244" s="29">
        <f>Intereses_Leasing_Mensual!K244</f>
        <v/>
      </c>
      <c r="P244" s="29">
        <f>Amortizacion_Capital_Mensual!L244</f>
        <v/>
      </c>
      <c r="Q244" s="29">
        <f>Saldos_Capital_Mensual!K244</f>
        <v/>
      </c>
      <c r="R244" s="29">
        <f>Intereses_Residual_Mensual!K244</f>
        <v/>
      </c>
      <c r="S244" s="29">
        <f>ROUND(O244 + R244, 2)</f>
        <v/>
      </c>
      <c r="T244" s="29">
        <f>Intereses_Leasing_Mensual!L244</f>
        <v/>
      </c>
      <c r="U244" s="29">
        <f>Amortizacion_Capital_Mensual!M244</f>
        <v/>
      </c>
      <c r="V244" s="29">
        <f>Saldos_Capital_Mensual!L244</f>
        <v/>
      </c>
      <c r="W244" s="29">
        <f>Intereses_Residual_Mensual!L244</f>
        <v/>
      </c>
      <c r="X244" s="29">
        <f>ROUND(T244 + W244, 2)</f>
        <v/>
      </c>
      <c r="Y244" s="29">
        <f>Intereses_Leasing_Mensual!M244</f>
        <v/>
      </c>
      <c r="Z244" s="29">
        <f>Amortizacion_Capital_Mensual!N244</f>
        <v/>
      </c>
      <c r="AA244" s="29">
        <f>Saldos_Capital_Mensual!M244</f>
        <v/>
      </c>
      <c r="AB244" s="29">
        <f>Intereses_Residual_Mensual!M244</f>
        <v/>
      </c>
      <c r="AC244" s="29">
        <f>ROUND(Y244 + AB244, 2)</f>
        <v/>
      </c>
      <c r="AD244" s="29">
        <f>Intereses_Leasing_Mensual!N244</f>
        <v/>
      </c>
      <c r="AE244" s="29">
        <f>Amortizacion_Capital_Mensual!O244</f>
        <v/>
      </c>
      <c r="AF244" s="29">
        <f>Saldos_Capital_Mensual!N244</f>
        <v/>
      </c>
      <c r="AG244" s="29">
        <f>Intereses_Residual_Mensual!N244</f>
        <v/>
      </c>
      <c r="AH244" s="29">
        <f>ROUND(AD244 + AG244, 2)</f>
        <v/>
      </c>
      <c r="AI244" s="29">
        <f>Intereses_Leasing_Mensual!O244</f>
        <v/>
      </c>
      <c r="AJ244" s="29">
        <f>Amortizacion_Capital_Mensual!P244</f>
        <v/>
      </c>
      <c r="AK244" s="29">
        <f>Saldos_Capital_Mensual!O244</f>
        <v/>
      </c>
      <c r="AL244" s="29">
        <f>Intereses_Residual_Mensual!O244</f>
        <v/>
      </c>
      <c r="AM244" s="29">
        <f>ROUND(AI244 + AL244, 2)</f>
        <v/>
      </c>
      <c r="AN244" s="29">
        <f>Intereses_Leasing_Mensual!P244</f>
        <v/>
      </c>
      <c r="AO244" s="29">
        <f>Amortizacion_Capital_Mensual!Q244</f>
        <v/>
      </c>
      <c r="AP244" s="29">
        <f>Saldos_Capital_Mensual!P244</f>
        <v/>
      </c>
      <c r="AQ244" s="29">
        <f>Intereses_Residual_Mensual!P244</f>
        <v/>
      </c>
      <c r="AR244" s="29">
        <f>ROUND(AN244 + AQ244, 2)</f>
        <v/>
      </c>
      <c r="AS244" s="29">
        <f>Intereses_Leasing_Mensual!Q244</f>
        <v/>
      </c>
      <c r="AT244" s="29">
        <f>Amortizacion_Capital_Mensual!R244</f>
        <v/>
      </c>
      <c r="AU244" s="29">
        <f>Saldos_Capital_Mensual!Q244</f>
        <v/>
      </c>
      <c r="AV244" s="29">
        <f>Intereses_Residual_Mensual!Q244</f>
        <v/>
      </c>
      <c r="AW244" s="29">
        <f>ROUND(AS244 + AV244, 2)</f>
        <v/>
      </c>
      <c r="AX244" s="29">
        <f>Intereses_Leasing_Mensual!R244</f>
        <v/>
      </c>
      <c r="AY244" s="29">
        <f>Amortizacion_Capital_Mensual!S244</f>
        <v/>
      </c>
      <c r="AZ244" s="29">
        <f>Saldos_Capital_Mensual!R244</f>
        <v/>
      </c>
      <c r="BA244" s="29">
        <f>Intereses_Residual_Mensual!R244</f>
        <v/>
      </c>
      <c r="BB244" s="29">
        <f>ROUND(AX244 + BA244, 2)</f>
        <v/>
      </c>
      <c r="BC244" s="29">
        <f>Intereses_Leasing_Mensual!S244</f>
        <v/>
      </c>
      <c r="BD244" s="29">
        <f>Amortizacion_Capital_Mensual!T244</f>
        <v/>
      </c>
      <c r="BE244" s="29">
        <f>Saldos_Capital_Mensual!S244</f>
        <v/>
      </c>
      <c r="BF244" s="29">
        <f>Intereses_Residual_Mensual!S244</f>
        <v/>
      </c>
      <c r="BG244" s="29">
        <f>ROUND(BC244 + BF244, 2)</f>
        <v/>
      </c>
      <c r="BH244" s="29">
        <f>Intereses_Leasing_Mensual!T244</f>
        <v/>
      </c>
      <c r="BI244" s="29">
        <f>Amortizacion_Capital_Mensual!U244</f>
        <v/>
      </c>
      <c r="BJ244" s="29">
        <f>Saldos_Capital_Mensual!T244</f>
        <v/>
      </c>
      <c r="BK244" s="29">
        <f>Intereses_Residual_Mensual!T244</f>
        <v/>
      </c>
      <c r="BL244" s="29">
        <f>ROUND(BH244 + BK244, 2)</f>
        <v/>
      </c>
    </row>
    <row r="245">
      <c r="A245" s="20" t="inlineStr">
        <is>
          <t>0753-0003</t>
        </is>
      </c>
      <c r="B245" s="21" t="inlineStr">
        <is>
          <t>Milodi Seguridad Privada</t>
        </is>
      </c>
      <c r="C245" s="21" t="inlineStr">
        <is>
          <t>CS35</t>
        </is>
      </c>
      <c r="D245" s="22" t="n">
        <v>36</v>
      </c>
      <c r="E245" s="23">
        <f>Intereses_Leasing_Mensual!I245</f>
        <v/>
      </c>
      <c r="F245" s="23">
        <f>Amortizacion_Capital_Mensual!J245</f>
        <v/>
      </c>
      <c r="G245" s="23">
        <f>Saldos_Capital_Mensual!I245</f>
        <v/>
      </c>
      <c r="H245" s="23">
        <f>Intereses_Residual_Mensual!I245</f>
        <v/>
      </c>
      <c r="I245" s="23">
        <f>ROUND(E245 + H245, 2)</f>
        <v/>
      </c>
      <c r="J245" s="23">
        <f>Intereses_Leasing_Mensual!J245</f>
        <v/>
      </c>
      <c r="K245" s="23">
        <f>Amortizacion_Capital_Mensual!K245</f>
        <v/>
      </c>
      <c r="L245" s="23">
        <f>Saldos_Capital_Mensual!J245</f>
        <v/>
      </c>
      <c r="M245" s="23">
        <f>Intereses_Residual_Mensual!J245</f>
        <v/>
      </c>
      <c r="N245" s="23">
        <f>ROUND(J245 + M245, 2)</f>
        <v/>
      </c>
      <c r="O245" s="23">
        <f>Intereses_Leasing_Mensual!K245</f>
        <v/>
      </c>
      <c r="P245" s="23">
        <f>Amortizacion_Capital_Mensual!L245</f>
        <v/>
      </c>
      <c r="Q245" s="23">
        <f>Saldos_Capital_Mensual!K245</f>
        <v/>
      </c>
      <c r="R245" s="23">
        <f>Intereses_Residual_Mensual!K245</f>
        <v/>
      </c>
      <c r="S245" s="23">
        <f>ROUND(O245 + R245, 2)</f>
        <v/>
      </c>
      <c r="T245" s="23">
        <f>Intereses_Leasing_Mensual!L245</f>
        <v/>
      </c>
      <c r="U245" s="23">
        <f>Amortizacion_Capital_Mensual!M245</f>
        <v/>
      </c>
      <c r="V245" s="23">
        <f>Saldos_Capital_Mensual!L245</f>
        <v/>
      </c>
      <c r="W245" s="23">
        <f>Intereses_Residual_Mensual!L245</f>
        <v/>
      </c>
      <c r="X245" s="23">
        <f>ROUND(T245 + W245, 2)</f>
        <v/>
      </c>
      <c r="Y245" s="23">
        <f>Intereses_Leasing_Mensual!M245</f>
        <v/>
      </c>
      <c r="Z245" s="23">
        <f>Amortizacion_Capital_Mensual!N245</f>
        <v/>
      </c>
      <c r="AA245" s="23">
        <f>Saldos_Capital_Mensual!M245</f>
        <v/>
      </c>
      <c r="AB245" s="23">
        <f>Intereses_Residual_Mensual!M245</f>
        <v/>
      </c>
      <c r="AC245" s="23">
        <f>ROUND(Y245 + AB245, 2)</f>
        <v/>
      </c>
      <c r="AD245" s="23">
        <f>Intereses_Leasing_Mensual!N245</f>
        <v/>
      </c>
      <c r="AE245" s="23">
        <f>Amortizacion_Capital_Mensual!O245</f>
        <v/>
      </c>
      <c r="AF245" s="23">
        <f>Saldos_Capital_Mensual!N245</f>
        <v/>
      </c>
      <c r="AG245" s="23">
        <f>Intereses_Residual_Mensual!N245</f>
        <v/>
      </c>
      <c r="AH245" s="23">
        <f>ROUND(AD245 + AG245, 2)</f>
        <v/>
      </c>
      <c r="AI245" s="23">
        <f>Intereses_Leasing_Mensual!O245</f>
        <v/>
      </c>
      <c r="AJ245" s="23">
        <f>Amortizacion_Capital_Mensual!P245</f>
        <v/>
      </c>
      <c r="AK245" s="23">
        <f>Saldos_Capital_Mensual!O245</f>
        <v/>
      </c>
      <c r="AL245" s="23">
        <f>Intereses_Residual_Mensual!O245</f>
        <v/>
      </c>
      <c r="AM245" s="23">
        <f>ROUND(AI245 + AL245, 2)</f>
        <v/>
      </c>
      <c r="AN245" s="23">
        <f>Intereses_Leasing_Mensual!P245</f>
        <v/>
      </c>
      <c r="AO245" s="23">
        <f>Amortizacion_Capital_Mensual!Q245</f>
        <v/>
      </c>
      <c r="AP245" s="23">
        <f>Saldos_Capital_Mensual!P245</f>
        <v/>
      </c>
      <c r="AQ245" s="23">
        <f>Intereses_Residual_Mensual!P245</f>
        <v/>
      </c>
      <c r="AR245" s="23">
        <f>ROUND(AN245 + AQ245, 2)</f>
        <v/>
      </c>
      <c r="AS245" s="23">
        <f>Intereses_Leasing_Mensual!Q245</f>
        <v/>
      </c>
      <c r="AT245" s="23">
        <f>Amortizacion_Capital_Mensual!R245</f>
        <v/>
      </c>
      <c r="AU245" s="23">
        <f>Saldos_Capital_Mensual!Q245</f>
        <v/>
      </c>
      <c r="AV245" s="23">
        <f>Intereses_Residual_Mensual!Q245</f>
        <v/>
      </c>
      <c r="AW245" s="23">
        <f>ROUND(AS245 + AV245, 2)</f>
        <v/>
      </c>
      <c r="AX245" s="23">
        <f>Intereses_Leasing_Mensual!R245</f>
        <v/>
      </c>
      <c r="AY245" s="23">
        <f>Amortizacion_Capital_Mensual!S245</f>
        <v/>
      </c>
      <c r="AZ245" s="23">
        <f>Saldos_Capital_Mensual!R245</f>
        <v/>
      </c>
      <c r="BA245" s="23">
        <f>Intereses_Residual_Mensual!R245</f>
        <v/>
      </c>
      <c r="BB245" s="23">
        <f>ROUND(AX245 + BA245, 2)</f>
        <v/>
      </c>
      <c r="BC245" s="23">
        <f>Intereses_Leasing_Mensual!S245</f>
        <v/>
      </c>
      <c r="BD245" s="23">
        <f>Amortizacion_Capital_Mensual!T245</f>
        <v/>
      </c>
      <c r="BE245" s="23">
        <f>Saldos_Capital_Mensual!S245</f>
        <v/>
      </c>
      <c r="BF245" s="23">
        <f>Intereses_Residual_Mensual!S245</f>
        <v/>
      </c>
      <c r="BG245" s="23">
        <f>ROUND(BC245 + BF245, 2)</f>
        <v/>
      </c>
      <c r="BH245" s="23">
        <f>Intereses_Leasing_Mensual!T245</f>
        <v/>
      </c>
      <c r="BI245" s="23">
        <f>Amortizacion_Capital_Mensual!U245</f>
        <v/>
      </c>
      <c r="BJ245" s="23">
        <f>Saldos_Capital_Mensual!T245</f>
        <v/>
      </c>
      <c r="BK245" s="23">
        <f>Intereses_Residual_Mensual!T245</f>
        <v/>
      </c>
      <c r="BL245" s="23">
        <f>ROUND(BH245 + BK245, 2)</f>
        <v/>
      </c>
    </row>
    <row r="246">
      <c r="A246" s="26" t="inlineStr">
        <is>
          <t>0754-0001</t>
        </is>
      </c>
      <c r="B246" s="27" t="inlineStr">
        <is>
          <t>Luis Guillermo Rios Villaseñor</t>
        </is>
      </c>
      <c r="C246" s="27" t="inlineStr">
        <is>
          <t>2008 GT</t>
        </is>
      </c>
      <c r="D246" s="28" t="n">
        <v>24</v>
      </c>
      <c r="E246" s="29">
        <f>Intereses_Leasing_Mensual!I246</f>
        <v/>
      </c>
      <c r="F246" s="29">
        <f>Amortizacion_Capital_Mensual!J246</f>
        <v/>
      </c>
      <c r="G246" s="29">
        <f>Saldos_Capital_Mensual!I246</f>
        <v/>
      </c>
      <c r="H246" s="29">
        <f>Intereses_Residual_Mensual!I246</f>
        <v/>
      </c>
      <c r="I246" s="29">
        <f>ROUND(E246 + H246, 2)</f>
        <v/>
      </c>
      <c r="J246" s="29">
        <f>Intereses_Leasing_Mensual!J246</f>
        <v/>
      </c>
      <c r="K246" s="29">
        <f>Amortizacion_Capital_Mensual!K246</f>
        <v/>
      </c>
      <c r="L246" s="29">
        <f>Saldos_Capital_Mensual!J246</f>
        <v/>
      </c>
      <c r="M246" s="29">
        <f>Intereses_Residual_Mensual!J246</f>
        <v/>
      </c>
      <c r="N246" s="29">
        <f>ROUND(J246 + M246, 2)</f>
        <v/>
      </c>
      <c r="O246" s="29">
        <f>Intereses_Leasing_Mensual!K246</f>
        <v/>
      </c>
      <c r="P246" s="29">
        <f>Amortizacion_Capital_Mensual!L246</f>
        <v/>
      </c>
      <c r="Q246" s="29">
        <f>Saldos_Capital_Mensual!K246</f>
        <v/>
      </c>
      <c r="R246" s="29">
        <f>Intereses_Residual_Mensual!K246</f>
        <v/>
      </c>
      <c r="S246" s="29">
        <f>ROUND(O246 + R246, 2)</f>
        <v/>
      </c>
      <c r="T246" s="29">
        <f>Intereses_Leasing_Mensual!L246</f>
        <v/>
      </c>
      <c r="U246" s="29">
        <f>Amortizacion_Capital_Mensual!M246</f>
        <v/>
      </c>
      <c r="V246" s="29">
        <f>Saldos_Capital_Mensual!L246</f>
        <v/>
      </c>
      <c r="W246" s="29">
        <f>Intereses_Residual_Mensual!L246</f>
        <v/>
      </c>
      <c r="X246" s="29">
        <f>ROUND(T246 + W246, 2)</f>
        <v/>
      </c>
      <c r="Y246" s="29">
        <f>Intereses_Leasing_Mensual!M246</f>
        <v/>
      </c>
      <c r="Z246" s="29">
        <f>Amortizacion_Capital_Mensual!N246</f>
        <v/>
      </c>
      <c r="AA246" s="29">
        <f>Saldos_Capital_Mensual!M246</f>
        <v/>
      </c>
      <c r="AB246" s="29">
        <f>Intereses_Residual_Mensual!M246</f>
        <v/>
      </c>
      <c r="AC246" s="29">
        <f>ROUND(Y246 + AB246, 2)</f>
        <v/>
      </c>
      <c r="AD246" s="29">
        <f>Intereses_Leasing_Mensual!N246</f>
        <v/>
      </c>
      <c r="AE246" s="29">
        <f>Amortizacion_Capital_Mensual!O246</f>
        <v/>
      </c>
      <c r="AF246" s="29">
        <f>Saldos_Capital_Mensual!N246</f>
        <v/>
      </c>
      <c r="AG246" s="29">
        <f>Intereses_Residual_Mensual!N246</f>
        <v/>
      </c>
      <c r="AH246" s="29">
        <f>ROUND(AD246 + AG246, 2)</f>
        <v/>
      </c>
      <c r="AI246" s="29">
        <f>Intereses_Leasing_Mensual!O246</f>
        <v/>
      </c>
      <c r="AJ246" s="29">
        <f>Amortizacion_Capital_Mensual!P246</f>
        <v/>
      </c>
      <c r="AK246" s="29">
        <f>Saldos_Capital_Mensual!O246</f>
        <v/>
      </c>
      <c r="AL246" s="29">
        <f>Intereses_Residual_Mensual!O246</f>
        <v/>
      </c>
      <c r="AM246" s="29">
        <f>ROUND(AI246 + AL246, 2)</f>
        <v/>
      </c>
      <c r="AN246" s="29">
        <f>Intereses_Leasing_Mensual!P246</f>
        <v/>
      </c>
      <c r="AO246" s="29">
        <f>Amortizacion_Capital_Mensual!Q246</f>
        <v/>
      </c>
      <c r="AP246" s="29">
        <f>Saldos_Capital_Mensual!P246</f>
        <v/>
      </c>
      <c r="AQ246" s="29">
        <f>Intereses_Residual_Mensual!P246</f>
        <v/>
      </c>
      <c r="AR246" s="29">
        <f>ROUND(AN246 + AQ246, 2)</f>
        <v/>
      </c>
      <c r="AS246" s="29">
        <f>Intereses_Leasing_Mensual!Q246</f>
        <v/>
      </c>
      <c r="AT246" s="29">
        <f>Amortizacion_Capital_Mensual!R246</f>
        <v/>
      </c>
      <c r="AU246" s="29">
        <f>Saldos_Capital_Mensual!Q246</f>
        <v/>
      </c>
      <c r="AV246" s="29">
        <f>Intereses_Residual_Mensual!Q246</f>
        <v/>
      </c>
      <c r="AW246" s="29">
        <f>ROUND(AS246 + AV246, 2)</f>
        <v/>
      </c>
      <c r="AX246" s="29">
        <f>Intereses_Leasing_Mensual!R246</f>
        <v/>
      </c>
      <c r="AY246" s="29">
        <f>Amortizacion_Capital_Mensual!S246</f>
        <v/>
      </c>
      <c r="AZ246" s="29">
        <f>Saldos_Capital_Mensual!R246</f>
        <v/>
      </c>
      <c r="BA246" s="29">
        <f>Intereses_Residual_Mensual!R246</f>
        <v/>
      </c>
      <c r="BB246" s="29">
        <f>ROUND(AX246 + BA246, 2)</f>
        <v/>
      </c>
      <c r="BC246" s="29">
        <f>Intereses_Leasing_Mensual!S246</f>
        <v/>
      </c>
      <c r="BD246" s="29">
        <f>Amortizacion_Capital_Mensual!T246</f>
        <v/>
      </c>
      <c r="BE246" s="29">
        <f>Saldos_Capital_Mensual!S246</f>
        <v/>
      </c>
      <c r="BF246" s="29">
        <f>Intereses_Residual_Mensual!S246</f>
        <v/>
      </c>
      <c r="BG246" s="29">
        <f>ROUND(BC246 + BF246, 2)</f>
        <v/>
      </c>
      <c r="BH246" s="29">
        <f>Intereses_Leasing_Mensual!T246</f>
        <v/>
      </c>
      <c r="BI246" s="29">
        <f>Amortizacion_Capital_Mensual!U246</f>
        <v/>
      </c>
      <c r="BJ246" s="29">
        <f>Saldos_Capital_Mensual!T246</f>
        <v/>
      </c>
      <c r="BK246" s="29">
        <f>Intereses_Residual_Mensual!T246</f>
        <v/>
      </c>
      <c r="BL246" s="29">
        <f>ROUND(BH246 + BK246, 2)</f>
        <v/>
      </c>
    </row>
    <row r="247">
      <c r="A247" s="20" t="inlineStr">
        <is>
          <t>0755-0001</t>
        </is>
      </c>
      <c r="B247" s="21" t="inlineStr">
        <is>
          <t>Abiam Antonio Reyna Aguilar</t>
        </is>
      </c>
      <c r="C247" s="21" t="inlineStr">
        <is>
          <t>1500 RHO</t>
        </is>
      </c>
      <c r="D247" s="22" t="n">
        <v>12</v>
      </c>
      <c r="E247" s="23">
        <f>Intereses_Leasing_Mensual!I247</f>
        <v/>
      </c>
      <c r="F247" s="23">
        <f>Amortizacion_Capital_Mensual!J247</f>
        <v/>
      </c>
      <c r="G247" s="23">
        <f>Saldos_Capital_Mensual!I247</f>
        <v/>
      </c>
      <c r="H247" s="23">
        <f>Intereses_Residual_Mensual!I247</f>
        <v/>
      </c>
      <c r="I247" s="23">
        <f>ROUND(E247 + H247, 2)</f>
        <v/>
      </c>
      <c r="J247" s="23">
        <f>Intereses_Leasing_Mensual!J247</f>
        <v/>
      </c>
      <c r="K247" s="23">
        <f>Amortizacion_Capital_Mensual!K247</f>
        <v/>
      </c>
      <c r="L247" s="23">
        <f>Saldos_Capital_Mensual!J247</f>
        <v/>
      </c>
      <c r="M247" s="23">
        <f>Intereses_Residual_Mensual!J247</f>
        <v/>
      </c>
      <c r="N247" s="23">
        <f>ROUND(J247 + M247, 2)</f>
        <v/>
      </c>
      <c r="O247" s="23">
        <f>Intereses_Leasing_Mensual!K247</f>
        <v/>
      </c>
      <c r="P247" s="23">
        <f>Amortizacion_Capital_Mensual!L247</f>
        <v/>
      </c>
      <c r="Q247" s="23">
        <f>Saldos_Capital_Mensual!K247</f>
        <v/>
      </c>
      <c r="R247" s="23">
        <f>Intereses_Residual_Mensual!K247</f>
        <v/>
      </c>
      <c r="S247" s="23">
        <f>ROUND(O247 + R247, 2)</f>
        <v/>
      </c>
      <c r="T247" s="23">
        <f>Intereses_Leasing_Mensual!L247</f>
        <v/>
      </c>
      <c r="U247" s="23">
        <f>Amortizacion_Capital_Mensual!M247</f>
        <v/>
      </c>
      <c r="V247" s="23">
        <f>Saldos_Capital_Mensual!L247</f>
        <v/>
      </c>
      <c r="W247" s="23">
        <f>Intereses_Residual_Mensual!L247</f>
        <v/>
      </c>
      <c r="X247" s="23">
        <f>ROUND(T247 + W247, 2)</f>
        <v/>
      </c>
      <c r="Y247" s="23">
        <f>Intereses_Leasing_Mensual!M247</f>
        <v/>
      </c>
      <c r="Z247" s="23">
        <f>Amortizacion_Capital_Mensual!N247</f>
        <v/>
      </c>
      <c r="AA247" s="23">
        <f>Saldos_Capital_Mensual!M247</f>
        <v/>
      </c>
      <c r="AB247" s="23">
        <f>Intereses_Residual_Mensual!M247</f>
        <v/>
      </c>
      <c r="AC247" s="23">
        <f>ROUND(Y247 + AB247, 2)</f>
        <v/>
      </c>
      <c r="AD247" s="23">
        <f>Intereses_Leasing_Mensual!N247</f>
        <v/>
      </c>
      <c r="AE247" s="23">
        <f>Amortizacion_Capital_Mensual!O247</f>
        <v/>
      </c>
      <c r="AF247" s="23">
        <f>Saldos_Capital_Mensual!N247</f>
        <v/>
      </c>
      <c r="AG247" s="23">
        <f>Intereses_Residual_Mensual!N247</f>
        <v/>
      </c>
      <c r="AH247" s="23">
        <f>ROUND(AD247 + AG247, 2)</f>
        <v/>
      </c>
      <c r="AI247" s="23">
        <f>Intereses_Leasing_Mensual!O247</f>
        <v/>
      </c>
      <c r="AJ247" s="23">
        <f>Amortizacion_Capital_Mensual!P247</f>
        <v/>
      </c>
      <c r="AK247" s="23">
        <f>Saldos_Capital_Mensual!O247</f>
        <v/>
      </c>
      <c r="AL247" s="23">
        <f>Intereses_Residual_Mensual!O247</f>
        <v/>
      </c>
      <c r="AM247" s="23">
        <f>ROUND(AI247 + AL247, 2)</f>
        <v/>
      </c>
      <c r="AN247" s="23">
        <f>Intereses_Leasing_Mensual!P247</f>
        <v/>
      </c>
      <c r="AO247" s="23">
        <f>Amortizacion_Capital_Mensual!Q247</f>
        <v/>
      </c>
      <c r="AP247" s="23">
        <f>Saldos_Capital_Mensual!P247</f>
        <v/>
      </c>
      <c r="AQ247" s="23">
        <f>Intereses_Residual_Mensual!P247</f>
        <v/>
      </c>
      <c r="AR247" s="23">
        <f>ROUND(AN247 + AQ247, 2)</f>
        <v/>
      </c>
      <c r="AS247" s="23">
        <f>Intereses_Leasing_Mensual!Q247</f>
        <v/>
      </c>
      <c r="AT247" s="23">
        <f>Amortizacion_Capital_Mensual!R247</f>
        <v/>
      </c>
      <c r="AU247" s="23">
        <f>Saldos_Capital_Mensual!Q247</f>
        <v/>
      </c>
      <c r="AV247" s="23">
        <f>Intereses_Residual_Mensual!Q247</f>
        <v/>
      </c>
      <c r="AW247" s="23">
        <f>ROUND(AS247 + AV247, 2)</f>
        <v/>
      </c>
      <c r="AX247" s="23">
        <f>Intereses_Leasing_Mensual!R247</f>
        <v/>
      </c>
      <c r="AY247" s="23">
        <f>Amortizacion_Capital_Mensual!S247</f>
        <v/>
      </c>
      <c r="AZ247" s="23">
        <f>Saldos_Capital_Mensual!R247</f>
        <v/>
      </c>
      <c r="BA247" s="23">
        <f>Intereses_Residual_Mensual!R247</f>
        <v/>
      </c>
      <c r="BB247" s="23">
        <f>ROUND(AX247 + BA247, 2)</f>
        <v/>
      </c>
      <c r="BC247" s="23">
        <f>Intereses_Leasing_Mensual!S247</f>
        <v/>
      </c>
      <c r="BD247" s="23">
        <f>Amortizacion_Capital_Mensual!T247</f>
        <v/>
      </c>
      <c r="BE247" s="23">
        <f>Saldos_Capital_Mensual!S247</f>
        <v/>
      </c>
      <c r="BF247" s="23">
        <f>Intereses_Residual_Mensual!S247</f>
        <v/>
      </c>
      <c r="BG247" s="23">
        <f>ROUND(BC247 + BF247, 2)</f>
        <v/>
      </c>
      <c r="BH247" s="23">
        <f>Intereses_Leasing_Mensual!T247</f>
        <v/>
      </c>
      <c r="BI247" s="23">
        <f>Amortizacion_Capital_Mensual!U247</f>
        <v/>
      </c>
      <c r="BJ247" s="23">
        <f>Saldos_Capital_Mensual!T247</f>
        <v/>
      </c>
      <c r="BK247" s="23">
        <f>Intereses_Residual_Mensual!T247</f>
        <v/>
      </c>
      <c r="BL247" s="23">
        <f>ROUND(BH247 + BK247, 2)</f>
        <v/>
      </c>
    </row>
    <row r="248">
      <c r="A248" s="26" t="inlineStr">
        <is>
          <t>0756-0001</t>
        </is>
      </c>
      <c r="B248" s="27" t="inlineStr">
        <is>
          <t>Agricola Hortiberry, S.A. de C.V.</t>
        </is>
      </c>
      <c r="C248" s="27" t="inlineStr">
        <is>
          <t>1200  Tradesman Chasis Cabina</t>
        </is>
      </c>
      <c r="D248" s="28" t="n">
        <v>48</v>
      </c>
      <c r="E248" s="29">
        <f>Intereses_Leasing_Mensual!I248</f>
        <v/>
      </c>
      <c r="F248" s="29">
        <f>Amortizacion_Capital_Mensual!J248</f>
        <v/>
      </c>
      <c r="G248" s="29">
        <f>Saldos_Capital_Mensual!I248</f>
        <v/>
      </c>
      <c r="H248" s="29">
        <f>Intereses_Residual_Mensual!I248</f>
        <v/>
      </c>
      <c r="I248" s="29">
        <f>ROUND(E248 + H248, 2)</f>
        <v/>
      </c>
      <c r="J248" s="29">
        <f>Intereses_Leasing_Mensual!J248</f>
        <v/>
      </c>
      <c r="K248" s="29">
        <f>Amortizacion_Capital_Mensual!K248</f>
        <v/>
      </c>
      <c r="L248" s="29">
        <f>Saldos_Capital_Mensual!J248</f>
        <v/>
      </c>
      <c r="M248" s="29">
        <f>Intereses_Residual_Mensual!J248</f>
        <v/>
      </c>
      <c r="N248" s="29">
        <f>ROUND(J248 + M248, 2)</f>
        <v/>
      </c>
      <c r="O248" s="29">
        <f>Intereses_Leasing_Mensual!K248</f>
        <v/>
      </c>
      <c r="P248" s="29">
        <f>Amortizacion_Capital_Mensual!L248</f>
        <v/>
      </c>
      <c r="Q248" s="29">
        <f>Saldos_Capital_Mensual!K248</f>
        <v/>
      </c>
      <c r="R248" s="29">
        <f>Intereses_Residual_Mensual!K248</f>
        <v/>
      </c>
      <c r="S248" s="29">
        <f>ROUND(O248 + R248, 2)</f>
        <v/>
      </c>
      <c r="T248" s="29">
        <f>Intereses_Leasing_Mensual!L248</f>
        <v/>
      </c>
      <c r="U248" s="29">
        <f>Amortizacion_Capital_Mensual!M248</f>
        <v/>
      </c>
      <c r="V248" s="29">
        <f>Saldos_Capital_Mensual!L248</f>
        <v/>
      </c>
      <c r="W248" s="29">
        <f>Intereses_Residual_Mensual!L248</f>
        <v/>
      </c>
      <c r="X248" s="29">
        <f>ROUND(T248 + W248, 2)</f>
        <v/>
      </c>
      <c r="Y248" s="29">
        <f>Intereses_Leasing_Mensual!M248</f>
        <v/>
      </c>
      <c r="Z248" s="29">
        <f>Amortizacion_Capital_Mensual!N248</f>
        <v/>
      </c>
      <c r="AA248" s="29">
        <f>Saldos_Capital_Mensual!M248</f>
        <v/>
      </c>
      <c r="AB248" s="29">
        <f>Intereses_Residual_Mensual!M248</f>
        <v/>
      </c>
      <c r="AC248" s="29">
        <f>ROUND(Y248 + AB248, 2)</f>
        <v/>
      </c>
      <c r="AD248" s="29">
        <f>Intereses_Leasing_Mensual!N248</f>
        <v/>
      </c>
      <c r="AE248" s="29">
        <f>Amortizacion_Capital_Mensual!O248</f>
        <v/>
      </c>
      <c r="AF248" s="29">
        <f>Saldos_Capital_Mensual!N248</f>
        <v/>
      </c>
      <c r="AG248" s="29">
        <f>Intereses_Residual_Mensual!N248</f>
        <v/>
      </c>
      <c r="AH248" s="29">
        <f>ROUND(AD248 + AG248, 2)</f>
        <v/>
      </c>
      <c r="AI248" s="29">
        <f>Intereses_Leasing_Mensual!O248</f>
        <v/>
      </c>
      <c r="AJ248" s="29">
        <f>Amortizacion_Capital_Mensual!P248</f>
        <v/>
      </c>
      <c r="AK248" s="29">
        <f>Saldos_Capital_Mensual!O248</f>
        <v/>
      </c>
      <c r="AL248" s="29">
        <f>Intereses_Residual_Mensual!O248</f>
        <v/>
      </c>
      <c r="AM248" s="29">
        <f>ROUND(AI248 + AL248, 2)</f>
        <v/>
      </c>
      <c r="AN248" s="29">
        <f>Intereses_Leasing_Mensual!P248</f>
        <v/>
      </c>
      <c r="AO248" s="29">
        <f>Amortizacion_Capital_Mensual!Q248</f>
        <v/>
      </c>
      <c r="AP248" s="29">
        <f>Saldos_Capital_Mensual!P248</f>
        <v/>
      </c>
      <c r="AQ248" s="29">
        <f>Intereses_Residual_Mensual!P248</f>
        <v/>
      </c>
      <c r="AR248" s="29">
        <f>ROUND(AN248 + AQ248, 2)</f>
        <v/>
      </c>
      <c r="AS248" s="29">
        <f>Intereses_Leasing_Mensual!Q248</f>
        <v/>
      </c>
      <c r="AT248" s="29">
        <f>Amortizacion_Capital_Mensual!R248</f>
        <v/>
      </c>
      <c r="AU248" s="29">
        <f>Saldos_Capital_Mensual!Q248</f>
        <v/>
      </c>
      <c r="AV248" s="29">
        <f>Intereses_Residual_Mensual!Q248</f>
        <v/>
      </c>
      <c r="AW248" s="29">
        <f>ROUND(AS248 + AV248, 2)</f>
        <v/>
      </c>
      <c r="AX248" s="29">
        <f>Intereses_Leasing_Mensual!R248</f>
        <v/>
      </c>
      <c r="AY248" s="29">
        <f>Amortizacion_Capital_Mensual!S248</f>
        <v/>
      </c>
      <c r="AZ248" s="29">
        <f>Saldos_Capital_Mensual!R248</f>
        <v/>
      </c>
      <c r="BA248" s="29">
        <f>Intereses_Residual_Mensual!R248</f>
        <v/>
      </c>
      <c r="BB248" s="29">
        <f>ROUND(AX248 + BA248, 2)</f>
        <v/>
      </c>
      <c r="BC248" s="29">
        <f>Intereses_Leasing_Mensual!S248</f>
        <v/>
      </c>
      <c r="BD248" s="29">
        <f>Amortizacion_Capital_Mensual!T248</f>
        <v/>
      </c>
      <c r="BE248" s="29">
        <f>Saldos_Capital_Mensual!S248</f>
        <v/>
      </c>
      <c r="BF248" s="29">
        <f>Intereses_Residual_Mensual!S248</f>
        <v/>
      </c>
      <c r="BG248" s="29">
        <f>ROUND(BC248 + BF248, 2)</f>
        <v/>
      </c>
      <c r="BH248" s="29">
        <f>Intereses_Leasing_Mensual!T248</f>
        <v/>
      </c>
      <c r="BI248" s="29">
        <f>Amortizacion_Capital_Mensual!U248</f>
        <v/>
      </c>
      <c r="BJ248" s="29">
        <f>Saldos_Capital_Mensual!T248</f>
        <v/>
      </c>
      <c r="BK248" s="29">
        <f>Intereses_Residual_Mensual!T248</f>
        <v/>
      </c>
      <c r="BL248" s="29">
        <f>ROUND(BH248 + BK248, 2)</f>
        <v/>
      </c>
    </row>
    <row r="249">
      <c r="A249" s="20" t="inlineStr">
        <is>
          <t>0757-0001</t>
        </is>
      </c>
      <c r="B249" s="21" t="inlineStr">
        <is>
          <t>Corporativo de Servicios Integrales de Occidente, S.A. de C.V.</t>
        </is>
      </c>
      <c r="C249" s="21" t="inlineStr">
        <is>
          <t>CX5</t>
        </is>
      </c>
      <c r="D249" s="22" t="n">
        <v>24</v>
      </c>
      <c r="E249" s="23">
        <f>Intereses_Leasing_Mensual!I249</f>
        <v/>
      </c>
      <c r="F249" s="23">
        <f>Amortizacion_Capital_Mensual!J249</f>
        <v/>
      </c>
      <c r="G249" s="23">
        <f>Saldos_Capital_Mensual!I249</f>
        <v/>
      </c>
      <c r="H249" s="23">
        <f>Intereses_Residual_Mensual!I249</f>
        <v/>
      </c>
      <c r="I249" s="23">
        <f>ROUND(E249 + H249, 2)</f>
        <v/>
      </c>
      <c r="J249" s="23">
        <f>Intereses_Leasing_Mensual!J249</f>
        <v/>
      </c>
      <c r="K249" s="23">
        <f>Amortizacion_Capital_Mensual!K249</f>
        <v/>
      </c>
      <c r="L249" s="23">
        <f>Saldos_Capital_Mensual!J249</f>
        <v/>
      </c>
      <c r="M249" s="23">
        <f>Intereses_Residual_Mensual!J249</f>
        <v/>
      </c>
      <c r="N249" s="23">
        <f>ROUND(J249 + M249, 2)</f>
        <v/>
      </c>
      <c r="O249" s="23">
        <f>Intereses_Leasing_Mensual!K249</f>
        <v/>
      </c>
      <c r="P249" s="23">
        <f>Amortizacion_Capital_Mensual!L249</f>
        <v/>
      </c>
      <c r="Q249" s="23">
        <f>Saldos_Capital_Mensual!K249</f>
        <v/>
      </c>
      <c r="R249" s="23">
        <f>Intereses_Residual_Mensual!K249</f>
        <v/>
      </c>
      <c r="S249" s="23">
        <f>ROUND(O249 + R249, 2)</f>
        <v/>
      </c>
      <c r="T249" s="23">
        <f>Intereses_Leasing_Mensual!L249</f>
        <v/>
      </c>
      <c r="U249" s="23">
        <f>Amortizacion_Capital_Mensual!M249</f>
        <v/>
      </c>
      <c r="V249" s="23">
        <f>Saldos_Capital_Mensual!L249</f>
        <v/>
      </c>
      <c r="W249" s="23">
        <f>Intereses_Residual_Mensual!L249</f>
        <v/>
      </c>
      <c r="X249" s="23">
        <f>ROUND(T249 + W249, 2)</f>
        <v/>
      </c>
      <c r="Y249" s="23">
        <f>Intereses_Leasing_Mensual!M249</f>
        <v/>
      </c>
      <c r="Z249" s="23">
        <f>Amortizacion_Capital_Mensual!N249</f>
        <v/>
      </c>
      <c r="AA249" s="23">
        <f>Saldos_Capital_Mensual!M249</f>
        <v/>
      </c>
      <c r="AB249" s="23">
        <f>Intereses_Residual_Mensual!M249</f>
        <v/>
      </c>
      <c r="AC249" s="23">
        <f>ROUND(Y249 + AB249, 2)</f>
        <v/>
      </c>
      <c r="AD249" s="23">
        <f>Intereses_Leasing_Mensual!N249</f>
        <v/>
      </c>
      <c r="AE249" s="23">
        <f>Amortizacion_Capital_Mensual!O249</f>
        <v/>
      </c>
      <c r="AF249" s="23">
        <f>Saldos_Capital_Mensual!N249</f>
        <v/>
      </c>
      <c r="AG249" s="23">
        <f>Intereses_Residual_Mensual!N249</f>
        <v/>
      </c>
      <c r="AH249" s="23">
        <f>ROUND(AD249 + AG249, 2)</f>
        <v/>
      </c>
      <c r="AI249" s="23">
        <f>Intereses_Leasing_Mensual!O249</f>
        <v/>
      </c>
      <c r="AJ249" s="23">
        <f>Amortizacion_Capital_Mensual!P249</f>
        <v/>
      </c>
      <c r="AK249" s="23">
        <f>Saldos_Capital_Mensual!O249</f>
        <v/>
      </c>
      <c r="AL249" s="23">
        <f>Intereses_Residual_Mensual!O249</f>
        <v/>
      </c>
      <c r="AM249" s="23">
        <f>ROUND(AI249 + AL249, 2)</f>
        <v/>
      </c>
      <c r="AN249" s="23">
        <f>Intereses_Leasing_Mensual!P249</f>
        <v/>
      </c>
      <c r="AO249" s="23">
        <f>Amortizacion_Capital_Mensual!Q249</f>
        <v/>
      </c>
      <c r="AP249" s="23">
        <f>Saldos_Capital_Mensual!P249</f>
        <v/>
      </c>
      <c r="AQ249" s="23">
        <f>Intereses_Residual_Mensual!P249</f>
        <v/>
      </c>
      <c r="AR249" s="23">
        <f>ROUND(AN249 + AQ249, 2)</f>
        <v/>
      </c>
      <c r="AS249" s="23">
        <f>Intereses_Leasing_Mensual!Q249</f>
        <v/>
      </c>
      <c r="AT249" s="23">
        <f>Amortizacion_Capital_Mensual!R249</f>
        <v/>
      </c>
      <c r="AU249" s="23">
        <f>Saldos_Capital_Mensual!Q249</f>
        <v/>
      </c>
      <c r="AV249" s="23">
        <f>Intereses_Residual_Mensual!Q249</f>
        <v/>
      </c>
      <c r="AW249" s="23">
        <f>ROUND(AS249 + AV249, 2)</f>
        <v/>
      </c>
      <c r="AX249" s="23">
        <f>Intereses_Leasing_Mensual!R249</f>
        <v/>
      </c>
      <c r="AY249" s="23">
        <f>Amortizacion_Capital_Mensual!S249</f>
        <v/>
      </c>
      <c r="AZ249" s="23">
        <f>Saldos_Capital_Mensual!R249</f>
        <v/>
      </c>
      <c r="BA249" s="23">
        <f>Intereses_Residual_Mensual!R249</f>
        <v/>
      </c>
      <c r="BB249" s="23">
        <f>ROUND(AX249 + BA249, 2)</f>
        <v/>
      </c>
      <c r="BC249" s="23">
        <f>Intereses_Leasing_Mensual!S249</f>
        <v/>
      </c>
      <c r="BD249" s="23">
        <f>Amortizacion_Capital_Mensual!T249</f>
        <v/>
      </c>
      <c r="BE249" s="23">
        <f>Saldos_Capital_Mensual!S249</f>
        <v/>
      </c>
      <c r="BF249" s="23">
        <f>Intereses_Residual_Mensual!S249</f>
        <v/>
      </c>
      <c r="BG249" s="23">
        <f>ROUND(BC249 + BF249, 2)</f>
        <v/>
      </c>
      <c r="BH249" s="23">
        <f>Intereses_Leasing_Mensual!T249</f>
        <v/>
      </c>
      <c r="BI249" s="23">
        <f>Amortizacion_Capital_Mensual!U249</f>
        <v/>
      </c>
      <c r="BJ249" s="23">
        <f>Saldos_Capital_Mensual!T249</f>
        <v/>
      </c>
      <c r="BK249" s="23">
        <f>Intereses_Residual_Mensual!T249</f>
        <v/>
      </c>
      <c r="BL249" s="23">
        <f>ROUND(BH249 + BK249, 2)</f>
        <v/>
      </c>
    </row>
    <row r="250">
      <c r="A250" s="26" t="inlineStr">
        <is>
          <t>0757-0002</t>
        </is>
      </c>
      <c r="B250" s="27" t="inlineStr">
        <is>
          <t>Corporativo de Servicios Integrales de Occidente, S.A. de C.V.</t>
        </is>
      </c>
      <c r="C250" s="27" t="inlineStr">
        <is>
          <t>Leapmotor B10 2026</t>
        </is>
      </c>
      <c r="D250" s="28" t="n">
        <v>36</v>
      </c>
      <c r="E250" s="29">
        <f>Intereses_Leasing_Mensual!I250</f>
        <v/>
      </c>
      <c r="F250" s="29">
        <f>Amortizacion_Capital_Mensual!J250</f>
        <v/>
      </c>
      <c r="G250" s="29">
        <f>Saldos_Capital_Mensual!I250</f>
        <v/>
      </c>
      <c r="H250" s="29">
        <f>Intereses_Residual_Mensual!I250</f>
        <v/>
      </c>
      <c r="I250" s="29">
        <f>ROUND(E250 + H250, 2)</f>
        <v/>
      </c>
      <c r="J250" s="29">
        <f>Intereses_Leasing_Mensual!J250</f>
        <v/>
      </c>
      <c r="K250" s="29">
        <f>Amortizacion_Capital_Mensual!K250</f>
        <v/>
      </c>
      <c r="L250" s="29">
        <f>Saldos_Capital_Mensual!J250</f>
        <v/>
      </c>
      <c r="M250" s="29">
        <f>Intereses_Residual_Mensual!J250</f>
        <v/>
      </c>
      <c r="N250" s="29">
        <f>ROUND(J250 + M250, 2)</f>
        <v/>
      </c>
      <c r="O250" s="29">
        <f>Intereses_Leasing_Mensual!K250</f>
        <v/>
      </c>
      <c r="P250" s="29">
        <f>Amortizacion_Capital_Mensual!L250</f>
        <v/>
      </c>
      <c r="Q250" s="29">
        <f>Saldos_Capital_Mensual!K250</f>
        <v/>
      </c>
      <c r="R250" s="29">
        <f>Intereses_Residual_Mensual!K250</f>
        <v/>
      </c>
      <c r="S250" s="29">
        <f>ROUND(O250 + R250, 2)</f>
        <v/>
      </c>
      <c r="T250" s="29">
        <f>Intereses_Leasing_Mensual!L250</f>
        <v/>
      </c>
      <c r="U250" s="29">
        <f>Amortizacion_Capital_Mensual!M250</f>
        <v/>
      </c>
      <c r="V250" s="29">
        <f>Saldos_Capital_Mensual!L250</f>
        <v/>
      </c>
      <c r="W250" s="29">
        <f>Intereses_Residual_Mensual!L250</f>
        <v/>
      </c>
      <c r="X250" s="29">
        <f>ROUND(T250 + W250, 2)</f>
        <v/>
      </c>
      <c r="Y250" s="29">
        <f>Intereses_Leasing_Mensual!M250</f>
        <v/>
      </c>
      <c r="Z250" s="29">
        <f>Amortizacion_Capital_Mensual!N250</f>
        <v/>
      </c>
      <c r="AA250" s="29">
        <f>Saldos_Capital_Mensual!M250</f>
        <v/>
      </c>
      <c r="AB250" s="29">
        <f>Intereses_Residual_Mensual!M250</f>
        <v/>
      </c>
      <c r="AC250" s="29">
        <f>ROUND(Y250 + AB250, 2)</f>
        <v/>
      </c>
      <c r="AD250" s="29">
        <f>Intereses_Leasing_Mensual!N250</f>
        <v/>
      </c>
      <c r="AE250" s="29">
        <f>Amortizacion_Capital_Mensual!O250</f>
        <v/>
      </c>
      <c r="AF250" s="29">
        <f>Saldos_Capital_Mensual!N250</f>
        <v/>
      </c>
      <c r="AG250" s="29">
        <f>Intereses_Residual_Mensual!N250</f>
        <v/>
      </c>
      <c r="AH250" s="29">
        <f>ROUND(AD250 + AG250, 2)</f>
        <v/>
      </c>
      <c r="AI250" s="29">
        <f>Intereses_Leasing_Mensual!O250</f>
        <v/>
      </c>
      <c r="AJ250" s="29">
        <f>Amortizacion_Capital_Mensual!P250</f>
        <v/>
      </c>
      <c r="AK250" s="29">
        <f>Saldos_Capital_Mensual!O250</f>
        <v/>
      </c>
      <c r="AL250" s="29">
        <f>Intereses_Residual_Mensual!O250</f>
        <v/>
      </c>
      <c r="AM250" s="29">
        <f>ROUND(AI250 + AL250, 2)</f>
        <v/>
      </c>
      <c r="AN250" s="29">
        <f>Intereses_Leasing_Mensual!P250</f>
        <v/>
      </c>
      <c r="AO250" s="29">
        <f>Amortizacion_Capital_Mensual!Q250</f>
        <v/>
      </c>
      <c r="AP250" s="29">
        <f>Saldos_Capital_Mensual!P250</f>
        <v/>
      </c>
      <c r="AQ250" s="29">
        <f>Intereses_Residual_Mensual!P250</f>
        <v/>
      </c>
      <c r="AR250" s="29">
        <f>ROUND(AN250 + AQ250, 2)</f>
        <v/>
      </c>
      <c r="AS250" s="29">
        <f>Intereses_Leasing_Mensual!Q250</f>
        <v/>
      </c>
      <c r="AT250" s="29">
        <f>Amortizacion_Capital_Mensual!R250</f>
        <v/>
      </c>
      <c r="AU250" s="29">
        <f>Saldos_Capital_Mensual!Q250</f>
        <v/>
      </c>
      <c r="AV250" s="29">
        <f>Intereses_Residual_Mensual!Q250</f>
        <v/>
      </c>
      <c r="AW250" s="29">
        <f>ROUND(AS250 + AV250, 2)</f>
        <v/>
      </c>
      <c r="AX250" s="29">
        <f>Intereses_Leasing_Mensual!R250</f>
        <v/>
      </c>
      <c r="AY250" s="29">
        <f>Amortizacion_Capital_Mensual!S250</f>
        <v/>
      </c>
      <c r="AZ250" s="29">
        <f>Saldos_Capital_Mensual!R250</f>
        <v/>
      </c>
      <c r="BA250" s="29">
        <f>Intereses_Residual_Mensual!R250</f>
        <v/>
      </c>
      <c r="BB250" s="29">
        <f>ROUND(AX250 + BA250, 2)</f>
        <v/>
      </c>
      <c r="BC250" s="29">
        <f>Intereses_Leasing_Mensual!S250</f>
        <v/>
      </c>
      <c r="BD250" s="29">
        <f>Amortizacion_Capital_Mensual!T250</f>
        <v/>
      </c>
      <c r="BE250" s="29">
        <f>Saldos_Capital_Mensual!S250</f>
        <v/>
      </c>
      <c r="BF250" s="29">
        <f>Intereses_Residual_Mensual!S250</f>
        <v/>
      </c>
      <c r="BG250" s="29">
        <f>ROUND(BC250 + BF250, 2)</f>
        <v/>
      </c>
      <c r="BH250" s="29">
        <f>Intereses_Leasing_Mensual!T250</f>
        <v/>
      </c>
      <c r="BI250" s="29">
        <f>Amortizacion_Capital_Mensual!U250</f>
        <v/>
      </c>
      <c r="BJ250" s="29">
        <f>Saldos_Capital_Mensual!T250</f>
        <v/>
      </c>
      <c r="BK250" s="29">
        <f>Intereses_Residual_Mensual!T250</f>
        <v/>
      </c>
      <c r="BL250" s="29">
        <f>ROUND(BH250 + BK250, 2)</f>
        <v/>
      </c>
    </row>
    <row r="251">
      <c r="A251" s="20" t="inlineStr">
        <is>
          <t>0758-0001</t>
        </is>
      </c>
      <c r="B251" s="21" t="inlineStr">
        <is>
          <t>Comedores y Servicios Industriales CAMSAA, S.A. de C.V.</t>
        </is>
      </c>
      <c r="C251" s="21" t="inlineStr">
        <is>
          <t>Partner Rapid</t>
        </is>
      </c>
      <c r="D251" s="22" t="n">
        <v>24</v>
      </c>
      <c r="E251" s="23">
        <f>Intereses_Leasing_Mensual!I251</f>
        <v/>
      </c>
      <c r="F251" s="23">
        <f>Amortizacion_Capital_Mensual!J251</f>
        <v/>
      </c>
      <c r="G251" s="23">
        <f>Saldos_Capital_Mensual!I251</f>
        <v/>
      </c>
      <c r="H251" s="23">
        <f>Intereses_Residual_Mensual!I251</f>
        <v/>
      </c>
      <c r="I251" s="23">
        <f>ROUND(E251 + H251, 2)</f>
        <v/>
      </c>
      <c r="J251" s="23">
        <f>Intereses_Leasing_Mensual!J251</f>
        <v/>
      </c>
      <c r="K251" s="23">
        <f>Amortizacion_Capital_Mensual!K251</f>
        <v/>
      </c>
      <c r="L251" s="23">
        <f>Saldos_Capital_Mensual!J251</f>
        <v/>
      </c>
      <c r="M251" s="23">
        <f>Intereses_Residual_Mensual!J251</f>
        <v/>
      </c>
      <c r="N251" s="23">
        <f>ROUND(J251 + M251, 2)</f>
        <v/>
      </c>
      <c r="O251" s="23">
        <f>Intereses_Leasing_Mensual!K251</f>
        <v/>
      </c>
      <c r="P251" s="23">
        <f>Amortizacion_Capital_Mensual!L251</f>
        <v/>
      </c>
      <c r="Q251" s="23">
        <f>Saldos_Capital_Mensual!K251</f>
        <v/>
      </c>
      <c r="R251" s="23">
        <f>Intereses_Residual_Mensual!K251</f>
        <v/>
      </c>
      <c r="S251" s="23">
        <f>ROUND(O251 + R251, 2)</f>
        <v/>
      </c>
      <c r="T251" s="23">
        <f>Intereses_Leasing_Mensual!L251</f>
        <v/>
      </c>
      <c r="U251" s="23">
        <f>Amortizacion_Capital_Mensual!M251</f>
        <v/>
      </c>
      <c r="V251" s="23">
        <f>Saldos_Capital_Mensual!L251</f>
        <v/>
      </c>
      <c r="W251" s="23">
        <f>Intereses_Residual_Mensual!L251</f>
        <v/>
      </c>
      <c r="X251" s="23">
        <f>ROUND(T251 + W251, 2)</f>
        <v/>
      </c>
      <c r="Y251" s="23">
        <f>Intereses_Leasing_Mensual!M251</f>
        <v/>
      </c>
      <c r="Z251" s="23">
        <f>Amortizacion_Capital_Mensual!N251</f>
        <v/>
      </c>
      <c r="AA251" s="23">
        <f>Saldos_Capital_Mensual!M251</f>
        <v/>
      </c>
      <c r="AB251" s="23">
        <f>Intereses_Residual_Mensual!M251</f>
        <v/>
      </c>
      <c r="AC251" s="23">
        <f>ROUND(Y251 + AB251, 2)</f>
        <v/>
      </c>
      <c r="AD251" s="23">
        <f>Intereses_Leasing_Mensual!N251</f>
        <v/>
      </c>
      <c r="AE251" s="23">
        <f>Amortizacion_Capital_Mensual!O251</f>
        <v/>
      </c>
      <c r="AF251" s="23">
        <f>Saldos_Capital_Mensual!N251</f>
        <v/>
      </c>
      <c r="AG251" s="23">
        <f>Intereses_Residual_Mensual!N251</f>
        <v/>
      </c>
      <c r="AH251" s="23">
        <f>ROUND(AD251 + AG251, 2)</f>
        <v/>
      </c>
      <c r="AI251" s="23">
        <f>Intereses_Leasing_Mensual!O251</f>
        <v/>
      </c>
      <c r="AJ251" s="23">
        <f>Amortizacion_Capital_Mensual!P251</f>
        <v/>
      </c>
      <c r="AK251" s="23">
        <f>Saldos_Capital_Mensual!O251</f>
        <v/>
      </c>
      <c r="AL251" s="23">
        <f>Intereses_Residual_Mensual!O251</f>
        <v/>
      </c>
      <c r="AM251" s="23">
        <f>ROUND(AI251 + AL251, 2)</f>
        <v/>
      </c>
      <c r="AN251" s="23">
        <f>Intereses_Leasing_Mensual!P251</f>
        <v/>
      </c>
      <c r="AO251" s="23">
        <f>Amortizacion_Capital_Mensual!Q251</f>
        <v/>
      </c>
      <c r="AP251" s="23">
        <f>Saldos_Capital_Mensual!P251</f>
        <v/>
      </c>
      <c r="AQ251" s="23">
        <f>Intereses_Residual_Mensual!P251</f>
        <v/>
      </c>
      <c r="AR251" s="23">
        <f>ROUND(AN251 + AQ251, 2)</f>
        <v/>
      </c>
      <c r="AS251" s="23">
        <f>Intereses_Leasing_Mensual!Q251</f>
        <v/>
      </c>
      <c r="AT251" s="23">
        <f>Amortizacion_Capital_Mensual!R251</f>
        <v/>
      </c>
      <c r="AU251" s="23">
        <f>Saldos_Capital_Mensual!Q251</f>
        <v/>
      </c>
      <c r="AV251" s="23">
        <f>Intereses_Residual_Mensual!Q251</f>
        <v/>
      </c>
      <c r="AW251" s="23">
        <f>ROUND(AS251 + AV251, 2)</f>
        <v/>
      </c>
      <c r="AX251" s="23">
        <f>Intereses_Leasing_Mensual!R251</f>
        <v/>
      </c>
      <c r="AY251" s="23">
        <f>Amortizacion_Capital_Mensual!S251</f>
        <v/>
      </c>
      <c r="AZ251" s="23">
        <f>Saldos_Capital_Mensual!R251</f>
        <v/>
      </c>
      <c r="BA251" s="23">
        <f>Intereses_Residual_Mensual!R251</f>
        <v/>
      </c>
      <c r="BB251" s="23">
        <f>ROUND(AX251 + BA251, 2)</f>
        <v/>
      </c>
      <c r="BC251" s="23">
        <f>Intereses_Leasing_Mensual!S251</f>
        <v/>
      </c>
      <c r="BD251" s="23">
        <f>Amortizacion_Capital_Mensual!T251</f>
        <v/>
      </c>
      <c r="BE251" s="23">
        <f>Saldos_Capital_Mensual!S251</f>
        <v/>
      </c>
      <c r="BF251" s="23">
        <f>Intereses_Residual_Mensual!S251</f>
        <v/>
      </c>
      <c r="BG251" s="23">
        <f>ROUND(BC251 + BF251, 2)</f>
        <v/>
      </c>
      <c r="BH251" s="23">
        <f>Intereses_Leasing_Mensual!T251</f>
        <v/>
      </c>
      <c r="BI251" s="23">
        <f>Amortizacion_Capital_Mensual!U251</f>
        <v/>
      </c>
      <c r="BJ251" s="23">
        <f>Saldos_Capital_Mensual!T251</f>
        <v/>
      </c>
      <c r="BK251" s="23">
        <f>Intereses_Residual_Mensual!T251</f>
        <v/>
      </c>
      <c r="BL251" s="23">
        <f>ROUND(BH251 + BK251, 2)</f>
        <v/>
      </c>
    </row>
    <row r="252">
      <c r="A252" s="26" t="inlineStr">
        <is>
          <t>0759-0001</t>
        </is>
      </c>
      <c r="B252" s="27" t="inlineStr">
        <is>
          <t>Construcciones Ligeras Frin, S.A. de C.V.</t>
        </is>
      </c>
      <c r="C252" s="27" t="inlineStr">
        <is>
          <t>700 BIGHORN CREW CAB</t>
        </is>
      </c>
      <c r="D252" s="28" t="n">
        <v>36</v>
      </c>
      <c r="E252" s="29">
        <f>Intereses_Leasing_Mensual!I252</f>
        <v/>
      </c>
      <c r="F252" s="29">
        <f>Amortizacion_Capital_Mensual!J252</f>
        <v/>
      </c>
      <c r="G252" s="29">
        <f>Saldos_Capital_Mensual!I252</f>
        <v/>
      </c>
      <c r="H252" s="29">
        <f>Intereses_Residual_Mensual!I252</f>
        <v/>
      </c>
      <c r="I252" s="29">
        <f>ROUND(E252 + H252, 2)</f>
        <v/>
      </c>
      <c r="J252" s="29">
        <f>Intereses_Leasing_Mensual!J252</f>
        <v/>
      </c>
      <c r="K252" s="29">
        <f>Amortizacion_Capital_Mensual!K252</f>
        <v/>
      </c>
      <c r="L252" s="29">
        <f>Saldos_Capital_Mensual!J252</f>
        <v/>
      </c>
      <c r="M252" s="29">
        <f>Intereses_Residual_Mensual!J252</f>
        <v/>
      </c>
      <c r="N252" s="29">
        <f>ROUND(J252 + M252, 2)</f>
        <v/>
      </c>
      <c r="O252" s="29">
        <f>Intereses_Leasing_Mensual!K252</f>
        <v/>
      </c>
      <c r="P252" s="29">
        <f>Amortizacion_Capital_Mensual!L252</f>
        <v/>
      </c>
      <c r="Q252" s="29">
        <f>Saldos_Capital_Mensual!K252</f>
        <v/>
      </c>
      <c r="R252" s="29">
        <f>Intereses_Residual_Mensual!K252</f>
        <v/>
      </c>
      <c r="S252" s="29">
        <f>ROUND(O252 + R252, 2)</f>
        <v/>
      </c>
      <c r="T252" s="29">
        <f>Intereses_Leasing_Mensual!L252</f>
        <v/>
      </c>
      <c r="U252" s="29">
        <f>Amortizacion_Capital_Mensual!M252</f>
        <v/>
      </c>
      <c r="V252" s="29">
        <f>Saldos_Capital_Mensual!L252</f>
        <v/>
      </c>
      <c r="W252" s="29">
        <f>Intereses_Residual_Mensual!L252</f>
        <v/>
      </c>
      <c r="X252" s="29">
        <f>ROUND(T252 + W252, 2)</f>
        <v/>
      </c>
      <c r="Y252" s="29">
        <f>Intereses_Leasing_Mensual!M252</f>
        <v/>
      </c>
      <c r="Z252" s="29">
        <f>Amortizacion_Capital_Mensual!N252</f>
        <v/>
      </c>
      <c r="AA252" s="29">
        <f>Saldos_Capital_Mensual!M252</f>
        <v/>
      </c>
      <c r="AB252" s="29">
        <f>Intereses_Residual_Mensual!M252</f>
        <v/>
      </c>
      <c r="AC252" s="29">
        <f>ROUND(Y252 + AB252, 2)</f>
        <v/>
      </c>
      <c r="AD252" s="29">
        <f>Intereses_Leasing_Mensual!N252</f>
        <v/>
      </c>
      <c r="AE252" s="29">
        <f>Amortizacion_Capital_Mensual!O252</f>
        <v/>
      </c>
      <c r="AF252" s="29">
        <f>Saldos_Capital_Mensual!N252</f>
        <v/>
      </c>
      <c r="AG252" s="29">
        <f>Intereses_Residual_Mensual!N252</f>
        <v/>
      </c>
      <c r="AH252" s="29">
        <f>ROUND(AD252 + AG252, 2)</f>
        <v/>
      </c>
      <c r="AI252" s="29">
        <f>Intereses_Leasing_Mensual!O252</f>
        <v/>
      </c>
      <c r="AJ252" s="29">
        <f>Amortizacion_Capital_Mensual!P252</f>
        <v/>
      </c>
      <c r="AK252" s="29">
        <f>Saldos_Capital_Mensual!O252</f>
        <v/>
      </c>
      <c r="AL252" s="29">
        <f>Intereses_Residual_Mensual!O252</f>
        <v/>
      </c>
      <c r="AM252" s="29">
        <f>ROUND(AI252 + AL252, 2)</f>
        <v/>
      </c>
      <c r="AN252" s="29">
        <f>Intereses_Leasing_Mensual!P252</f>
        <v/>
      </c>
      <c r="AO252" s="29">
        <f>Amortizacion_Capital_Mensual!Q252</f>
        <v/>
      </c>
      <c r="AP252" s="29">
        <f>Saldos_Capital_Mensual!P252</f>
        <v/>
      </c>
      <c r="AQ252" s="29">
        <f>Intereses_Residual_Mensual!P252</f>
        <v/>
      </c>
      <c r="AR252" s="29">
        <f>ROUND(AN252 + AQ252, 2)</f>
        <v/>
      </c>
      <c r="AS252" s="29">
        <f>Intereses_Leasing_Mensual!Q252</f>
        <v/>
      </c>
      <c r="AT252" s="29">
        <f>Amortizacion_Capital_Mensual!R252</f>
        <v/>
      </c>
      <c r="AU252" s="29">
        <f>Saldos_Capital_Mensual!Q252</f>
        <v/>
      </c>
      <c r="AV252" s="29">
        <f>Intereses_Residual_Mensual!Q252</f>
        <v/>
      </c>
      <c r="AW252" s="29">
        <f>ROUND(AS252 + AV252, 2)</f>
        <v/>
      </c>
      <c r="AX252" s="29">
        <f>Intereses_Leasing_Mensual!R252</f>
        <v/>
      </c>
      <c r="AY252" s="29">
        <f>Amortizacion_Capital_Mensual!S252</f>
        <v/>
      </c>
      <c r="AZ252" s="29">
        <f>Saldos_Capital_Mensual!R252</f>
        <v/>
      </c>
      <c r="BA252" s="29">
        <f>Intereses_Residual_Mensual!R252</f>
        <v/>
      </c>
      <c r="BB252" s="29">
        <f>ROUND(AX252 + BA252, 2)</f>
        <v/>
      </c>
      <c r="BC252" s="29">
        <f>Intereses_Leasing_Mensual!S252</f>
        <v/>
      </c>
      <c r="BD252" s="29">
        <f>Amortizacion_Capital_Mensual!T252</f>
        <v/>
      </c>
      <c r="BE252" s="29">
        <f>Saldos_Capital_Mensual!S252</f>
        <v/>
      </c>
      <c r="BF252" s="29">
        <f>Intereses_Residual_Mensual!S252</f>
        <v/>
      </c>
      <c r="BG252" s="29">
        <f>ROUND(BC252 + BF252, 2)</f>
        <v/>
      </c>
      <c r="BH252" s="29">
        <f>Intereses_Leasing_Mensual!T252</f>
        <v/>
      </c>
      <c r="BI252" s="29">
        <f>Amortizacion_Capital_Mensual!U252</f>
        <v/>
      </c>
      <c r="BJ252" s="29">
        <f>Saldos_Capital_Mensual!T252</f>
        <v/>
      </c>
      <c r="BK252" s="29">
        <f>Intereses_Residual_Mensual!T252</f>
        <v/>
      </c>
      <c r="BL252" s="29">
        <f>ROUND(BH252 + BK252, 2)</f>
        <v/>
      </c>
    </row>
    <row r="253">
      <c r="A253" s="20" t="inlineStr">
        <is>
          <t>0759-0002</t>
        </is>
      </c>
      <c r="B253" s="21" t="inlineStr">
        <is>
          <t>Construcciones Ligeras Frin, S.A. de C.V.</t>
        </is>
      </c>
      <c r="C253" s="21" t="inlineStr">
        <is>
          <t>700 TRADESMAN CREW CAB</t>
        </is>
      </c>
      <c r="D253" s="22" t="n">
        <v>36</v>
      </c>
      <c r="E253" s="23">
        <f>Intereses_Leasing_Mensual!I253</f>
        <v/>
      </c>
      <c r="F253" s="23">
        <f>Amortizacion_Capital_Mensual!J253</f>
        <v/>
      </c>
      <c r="G253" s="23">
        <f>Saldos_Capital_Mensual!I253</f>
        <v/>
      </c>
      <c r="H253" s="23">
        <f>Intereses_Residual_Mensual!I253</f>
        <v/>
      </c>
      <c r="I253" s="23">
        <f>ROUND(E253 + H253, 2)</f>
        <v/>
      </c>
      <c r="J253" s="23">
        <f>Intereses_Leasing_Mensual!J253</f>
        <v/>
      </c>
      <c r="K253" s="23">
        <f>Amortizacion_Capital_Mensual!K253</f>
        <v/>
      </c>
      <c r="L253" s="23">
        <f>Saldos_Capital_Mensual!J253</f>
        <v/>
      </c>
      <c r="M253" s="23">
        <f>Intereses_Residual_Mensual!J253</f>
        <v/>
      </c>
      <c r="N253" s="23">
        <f>ROUND(J253 + M253, 2)</f>
        <v/>
      </c>
      <c r="O253" s="23">
        <f>Intereses_Leasing_Mensual!K253</f>
        <v/>
      </c>
      <c r="P253" s="23">
        <f>Amortizacion_Capital_Mensual!L253</f>
        <v/>
      </c>
      <c r="Q253" s="23">
        <f>Saldos_Capital_Mensual!K253</f>
        <v/>
      </c>
      <c r="R253" s="23">
        <f>Intereses_Residual_Mensual!K253</f>
        <v/>
      </c>
      <c r="S253" s="23">
        <f>ROUND(O253 + R253, 2)</f>
        <v/>
      </c>
      <c r="T253" s="23">
        <f>Intereses_Leasing_Mensual!L253</f>
        <v/>
      </c>
      <c r="U253" s="23">
        <f>Amortizacion_Capital_Mensual!M253</f>
        <v/>
      </c>
      <c r="V253" s="23">
        <f>Saldos_Capital_Mensual!L253</f>
        <v/>
      </c>
      <c r="W253" s="23">
        <f>Intereses_Residual_Mensual!L253</f>
        <v/>
      </c>
      <c r="X253" s="23">
        <f>ROUND(T253 + W253, 2)</f>
        <v/>
      </c>
      <c r="Y253" s="23">
        <f>Intereses_Leasing_Mensual!M253</f>
        <v/>
      </c>
      <c r="Z253" s="23">
        <f>Amortizacion_Capital_Mensual!N253</f>
        <v/>
      </c>
      <c r="AA253" s="23">
        <f>Saldos_Capital_Mensual!M253</f>
        <v/>
      </c>
      <c r="AB253" s="23">
        <f>Intereses_Residual_Mensual!M253</f>
        <v/>
      </c>
      <c r="AC253" s="23">
        <f>ROUND(Y253 + AB253, 2)</f>
        <v/>
      </c>
      <c r="AD253" s="23">
        <f>Intereses_Leasing_Mensual!N253</f>
        <v/>
      </c>
      <c r="AE253" s="23">
        <f>Amortizacion_Capital_Mensual!O253</f>
        <v/>
      </c>
      <c r="AF253" s="23">
        <f>Saldos_Capital_Mensual!N253</f>
        <v/>
      </c>
      <c r="AG253" s="23">
        <f>Intereses_Residual_Mensual!N253</f>
        <v/>
      </c>
      <c r="AH253" s="23">
        <f>ROUND(AD253 + AG253, 2)</f>
        <v/>
      </c>
      <c r="AI253" s="23">
        <f>Intereses_Leasing_Mensual!O253</f>
        <v/>
      </c>
      <c r="AJ253" s="23">
        <f>Amortizacion_Capital_Mensual!P253</f>
        <v/>
      </c>
      <c r="AK253" s="23">
        <f>Saldos_Capital_Mensual!O253</f>
        <v/>
      </c>
      <c r="AL253" s="23">
        <f>Intereses_Residual_Mensual!O253</f>
        <v/>
      </c>
      <c r="AM253" s="23">
        <f>ROUND(AI253 + AL253, 2)</f>
        <v/>
      </c>
      <c r="AN253" s="23">
        <f>Intereses_Leasing_Mensual!P253</f>
        <v/>
      </c>
      <c r="AO253" s="23">
        <f>Amortizacion_Capital_Mensual!Q253</f>
        <v/>
      </c>
      <c r="AP253" s="23">
        <f>Saldos_Capital_Mensual!P253</f>
        <v/>
      </c>
      <c r="AQ253" s="23">
        <f>Intereses_Residual_Mensual!P253</f>
        <v/>
      </c>
      <c r="AR253" s="23">
        <f>ROUND(AN253 + AQ253, 2)</f>
        <v/>
      </c>
      <c r="AS253" s="23">
        <f>Intereses_Leasing_Mensual!Q253</f>
        <v/>
      </c>
      <c r="AT253" s="23">
        <f>Amortizacion_Capital_Mensual!R253</f>
        <v/>
      </c>
      <c r="AU253" s="23">
        <f>Saldos_Capital_Mensual!Q253</f>
        <v/>
      </c>
      <c r="AV253" s="23">
        <f>Intereses_Residual_Mensual!Q253</f>
        <v/>
      </c>
      <c r="AW253" s="23">
        <f>ROUND(AS253 + AV253, 2)</f>
        <v/>
      </c>
      <c r="AX253" s="23">
        <f>Intereses_Leasing_Mensual!R253</f>
        <v/>
      </c>
      <c r="AY253" s="23">
        <f>Amortizacion_Capital_Mensual!S253</f>
        <v/>
      </c>
      <c r="AZ253" s="23">
        <f>Saldos_Capital_Mensual!R253</f>
        <v/>
      </c>
      <c r="BA253" s="23">
        <f>Intereses_Residual_Mensual!R253</f>
        <v/>
      </c>
      <c r="BB253" s="23">
        <f>ROUND(AX253 + BA253, 2)</f>
        <v/>
      </c>
      <c r="BC253" s="23">
        <f>Intereses_Leasing_Mensual!S253</f>
        <v/>
      </c>
      <c r="BD253" s="23">
        <f>Amortizacion_Capital_Mensual!T253</f>
        <v/>
      </c>
      <c r="BE253" s="23">
        <f>Saldos_Capital_Mensual!S253</f>
        <v/>
      </c>
      <c r="BF253" s="23">
        <f>Intereses_Residual_Mensual!S253</f>
        <v/>
      </c>
      <c r="BG253" s="23">
        <f>ROUND(BC253 + BF253, 2)</f>
        <v/>
      </c>
      <c r="BH253" s="23">
        <f>Intereses_Leasing_Mensual!T253</f>
        <v/>
      </c>
      <c r="BI253" s="23">
        <f>Amortizacion_Capital_Mensual!U253</f>
        <v/>
      </c>
      <c r="BJ253" s="23">
        <f>Saldos_Capital_Mensual!T253</f>
        <v/>
      </c>
      <c r="BK253" s="23">
        <f>Intereses_Residual_Mensual!T253</f>
        <v/>
      </c>
      <c r="BL253" s="23">
        <f>ROUND(BH253 + BK253, 2)</f>
        <v/>
      </c>
    </row>
    <row r="254">
      <c r="A254" s="26" t="inlineStr">
        <is>
          <t>0760-0001</t>
        </is>
      </c>
      <c r="B254" s="27" t="inlineStr">
        <is>
          <t>Armando Candelario Figueroa</t>
        </is>
      </c>
      <c r="C254" s="27" t="inlineStr">
        <is>
          <t>1200 TRADESMAN CHASIS CABINA</t>
        </is>
      </c>
      <c r="D254" s="28" t="n">
        <v>48</v>
      </c>
      <c r="E254" s="29">
        <f>Intereses_Leasing_Mensual!I254</f>
        <v/>
      </c>
      <c r="F254" s="29">
        <f>Amortizacion_Capital_Mensual!J254</f>
        <v/>
      </c>
      <c r="G254" s="29">
        <f>Saldos_Capital_Mensual!I254</f>
        <v/>
      </c>
      <c r="H254" s="29">
        <f>Intereses_Residual_Mensual!I254</f>
        <v/>
      </c>
      <c r="I254" s="29">
        <f>ROUND(E254 + H254, 2)</f>
        <v/>
      </c>
      <c r="J254" s="29">
        <f>Intereses_Leasing_Mensual!J254</f>
        <v/>
      </c>
      <c r="K254" s="29">
        <f>Amortizacion_Capital_Mensual!K254</f>
        <v/>
      </c>
      <c r="L254" s="29">
        <f>Saldos_Capital_Mensual!J254</f>
        <v/>
      </c>
      <c r="M254" s="29">
        <f>Intereses_Residual_Mensual!J254</f>
        <v/>
      </c>
      <c r="N254" s="29">
        <f>ROUND(J254 + M254, 2)</f>
        <v/>
      </c>
      <c r="O254" s="29">
        <f>Intereses_Leasing_Mensual!K254</f>
        <v/>
      </c>
      <c r="P254" s="29">
        <f>Amortizacion_Capital_Mensual!L254</f>
        <v/>
      </c>
      <c r="Q254" s="29">
        <f>Saldos_Capital_Mensual!K254</f>
        <v/>
      </c>
      <c r="R254" s="29">
        <f>Intereses_Residual_Mensual!K254</f>
        <v/>
      </c>
      <c r="S254" s="29">
        <f>ROUND(O254 + R254, 2)</f>
        <v/>
      </c>
      <c r="T254" s="29">
        <f>Intereses_Leasing_Mensual!L254</f>
        <v/>
      </c>
      <c r="U254" s="29">
        <f>Amortizacion_Capital_Mensual!M254</f>
        <v/>
      </c>
      <c r="V254" s="29">
        <f>Saldos_Capital_Mensual!L254</f>
        <v/>
      </c>
      <c r="W254" s="29">
        <f>Intereses_Residual_Mensual!L254</f>
        <v/>
      </c>
      <c r="X254" s="29">
        <f>ROUND(T254 + W254, 2)</f>
        <v/>
      </c>
      <c r="Y254" s="29">
        <f>Intereses_Leasing_Mensual!M254</f>
        <v/>
      </c>
      <c r="Z254" s="29">
        <f>Amortizacion_Capital_Mensual!N254</f>
        <v/>
      </c>
      <c r="AA254" s="29">
        <f>Saldos_Capital_Mensual!M254</f>
        <v/>
      </c>
      <c r="AB254" s="29">
        <f>Intereses_Residual_Mensual!M254</f>
        <v/>
      </c>
      <c r="AC254" s="29">
        <f>ROUND(Y254 + AB254, 2)</f>
        <v/>
      </c>
      <c r="AD254" s="29">
        <f>Intereses_Leasing_Mensual!N254</f>
        <v/>
      </c>
      <c r="AE254" s="29">
        <f>Amortizacion_Capital_Mensual!O254</f>
        <v/>
      </c>
      <c r="AF254" s="29">
        <f>Saldos_Capital_Mensual!N254</f>
        <v/>
      </c>
      <c r="AG254" s="29">
        <f>Intereses_Residual_Mensual!N254</f>
        <v/>
      </c>
      <c r="AH254" s="29">
        <f>ROUND(AD254 + AG254, 2)</f>
        <v/>
      </c>
      <c r="AI254" s="29">
        <f>Intereses_Leasing_Mensual!O254</f>
        <v/>
      </c>
      <c r="AJ254" s="29">
        <f>Amortizacion_Capital_Mensual!P254</f>
        <v/>
      </c>
      <c r="AK254" s="29">
        <f>Saldos_Capital_Mensual!O254</f>
        <v/>
      </c>
      <c r="AL254" s="29">
        <f>Intereses_Residual_Mensual!O254</f>
        <v/>
      </c>
      <c r="AM254" s="29">
        <f>ROUND(AI254 + AL254, 2)</f>
        <v/>
      </c>
      <c r="AN254" s="29">
        <f>Intereses_Leasing_Mensual!P254</f>
        <v/>
      </c>
      <c r="AO254" s="29">
        <f>Amortizacion_Capital_Mensual!Q254</f>
        <v/>
      </c>
      <c r="AP254" s="29">
        <f>Saldos_Capital_Mensual!P254</f>
        <v/>
      </c>
      <c r="AQ254" s="29">
        <f>Intereses_Residual_Mensual!P254</f>
        <v/>
      </c>
      <c r="AR254" s="29">
        <f>ROUND(AN254 + AQ254, 2)</f>
        <v/>
      </c>
      <c r="AS254" s="29">
        <f>Intereses_Leasing_Mensual!Q254</f>
        <v/>
      </c>
      <c r="AT254" s="29">
        <f>Amortizacion_Capital_Mensual!R254</f>
        <v/>
      </c>
      <c r="AU254" s="29">
        <f>Saldos_Capital_Mensual!Q254</f>
        <v/>
      </c>
      <c r="AV254" s="29">
        <f>Intereses_Residual_Mensual!Q254</f>
        <v/>
      </c>
      <c r="AW254" s="29">
        <f>ROUND(AS254 + AV254, 2)</f>
        <v/>
      </c>
      <c r="AX254" s="29">
        <f>Intereses_Leasing_Mensual!R254</f>
        <v/>
      </c>
      <c r="AY254" s="29">
        <f>Amortizacion_Capital_Mensual!S254</f>
        <v/>
      </c>
      <c r="AZ254" s="29">
        <f>Saldos_Capital_Mensual!R254</f>
        <v/>
      </c>
      <c r="BA254" s="29">
        <f>Intereses_Residual_Mensual!R254</f>
        <v/>
      </c>
      <c r="BB254" s="29">
        <f>ROUND(AX254 + BA254, 2)</f>
        <v/>
      </c>
      <c r="BC254" s="29">
        <f>Intereses_Leasing_Mensual!S254</f>
        <v/>
      </c>
      <c r="BD254" s="29">
        <f>Amortizacion_Capital_Mensual!T254</f>
        <v/>
      </c>
      <c r="BE254" s="29">
        <f>Saldos_Capital_Mensual!S254</f>
        <v/>
      </c>
      <c r="BF254" s="29">
        <f>Intereses_Residual_Mensual!S254</f>
        <v/>
      </c>
      <c r="BG254" s="29">
        <f>ROUND(BC254 + BF254, 2)</f>
        <v/>
      </c>
      <c r="BH254" s="29">
        <f>Intereses_Leasing_Mensual!T254</f>
        <v/>
      </c>
      <c r="BI254" s="29">
        <f>Amortizacion_Capital_Mensual!U254</f>
        <v/>
      </c>
      <c r="BJ254" s="29">
        <f>Saldos_Capital_Mensual!T254</f>
        <v/>
      </c>
      <c r="BK254" s="29">
        <f>Intereses_Residual_Mensual!T254</f>
        <v/>
      </c>
      <c r="BL254" s="29">
        <f>ROUND(BH254 + BK254, 2)</f>
        <v/>
      </c>
    </row>
    <row r="255">
      <c r="A255" s="20" t="inlineStr">
        <is>
          <t>0761-0001</t>
        </is>
      </c>
      <c r="B255" s="21" t="inlineStr">
        <is>
          <t>Total Experience Produce, S.A.P.I. de C.V.</t>
        </is>
      </c>
      <c r="C255" s="21" t="inlineStr">
        <is>
          <t>700 BIGHORN CREW CAB</t>
        </is>
      </c>
      <c r="D255" s="22" t="n">
        <v>48</v>
      </c>
      <c r="E255" s="23">
        <f>Intereses_Leasing_Mensual!I255</f>
        <v/>
      </c>
      <c r="F255" s="23">
        <f>Amortizacion_Capital_Mensual!J255</f>
        <v/>
      </c>
      <c r="G255" s="23">
        <f>Saldos_Capital_Mensual!I255</f>
        <v/>
      </c>
      <c r="H255" s="23">
        <f>Intereses_Residual_Mensual!I255</f>
        <v/>
      </c>
      <c r="I255" s="23">
        <f>ROUND(E255 + H255, 2)</f>
        <v/>
      </c>
      <c r="J255" s="23">
        <f>Intereses_Leasing_Mensual!J255</f>
        <v/>
      </c>
      <c r="K255" s="23">
        <f>Amortizacion_Capital_Mensual!K255</f>
        <v/>
      </c>
      <c r="L255" s="23">
        <f>Saldos_Capital_Mensual!J255</f>
        <v/>
      </c>
      <c r="M255" s="23">
        <f>Intereses_Residual_Mensual!J255</f>
        <v/>
      </c>
      <c r="N255" s="23">
        <f>ROUND(J255 + M255, 2)</f>
        <v/>
      </c>
      <c r="O255" s="23">
        <f>Intereses_Leasing_Mensual!K255</f>
        <v/>
      </c>
      <c r="P255" s="23">
        <f>Amortizacion_Capital_Mensual!L255</f>
        <v/>
      </c>
      <c r="Q255" s="23">
        <f>Saldos_Capital_Mensual!K255</f>
        <v/>
      </c>
      <c r="R255" s="23">
        <f>Intereses_Residual_Mensual!K255</f>
        <v/>
      </c>
      <c r="S255" s="23">
        <f>ROUND(O255 + R255, 2)</f>
        <v/>
      </c>
      <c r="T255" s="23">
        <f>Intereses_Leasing_Mensual!L255</f>
        <v/>
      </c>
      <c r="U255" s="23">
        <f>Amortizacion_Capital_Mensual!M255</f>
        <v/>
      </c>
      <c r="V255" s="23">
        <f>Saldos_Capital_Mensual!L255</f>
        <v/>
      </c>
      <c r="W255" s="23">
        <f>Intereses_Residual_Mensual!L255</f>
        <v/>
      </c>
      <c r="X255" s="23">
        <f>ROUND(T255 + W255, 2)</f>
        <v/>
      </c>
      <c r="Y255" s="23">
        <f>Intereses_Leasing_Mensual!M255</f>
        <v/>
      </c>
      <c r="Z255" s="23">
        <f>Amortizacion_Capital_Mensual!N255</f>
        <v/>
      </c>
      <c r="AA255" s="23">
        <f>Saldos_Capital_Mensual!M255</f>
        <v/>
      </c>
      <c r="AB255" s="23">
        <f>Intereses_Residual_Mensual!M255</f>
        <v/>
      </c>
      <c r="AC255" s="23">
        <f>ROUND(Y255 + AB255, 2)</f>
        <v/>
      </c>
      <c r="AD255" s="23">
        <f>Intereses_Leasing_Mensual!N255</f>
        <v/>
      </c>
      <c r="AE255" s="23">
        <f>Amortizacion_Capital_Mensual!O255</f>
        <v/>
      </c>
      <c r="AF255" s="23">
        <f>Saldos_Capital_Mensual!N255</f>
        <v/>
      </c>
      <c r="AG255" s="23">
        <f>Intereses_Residual_Mensual!N255</f>
        <v/>
      </c>
      <c r="AH255" s="23">
        <f>ROUND(AD255 + AG255, 2)</f>
        <v/>
      </c>
      <c r="AI255" s="23">
        <f>Intereses_Leasing_Mensual!O255</f>
        <v/>
      </c>
      <c r="AJ255" s="23">
        <f>Amortizacion_Capital_Mensual!P255</f>
        <v/>
      </c>
      <c r="AK255" s="23">
        <f>Saldos_Capital_Mensual!O255</f>
        <v/>
      </c>
      <c r="AL255" s="23">
        <f>Intereses_Residual_Mensual!O255</f>
        <v/>
      </c>
      <c r="AM255" s="23">
        <f>ROUND(AI255 + AL255, 2)</f>
        <v/>
      </c>
      <c r="AN255" s="23">
        <f>Intereses_Leasing_Mensual!P255</f>
        <v/>
      </c>
      <c r="AO255" s="23">
        <f>Amortizacion_Capital_Mensual!Q255</f>
        <v/>
      </c>
      <c r="AP255" s="23">
        <f>Saldos_Capital_Mensual!P255</f>
        <v/>
      </c>
      <c r="AQ255" s="23">
        <f>Intereses_Residual_Mensual!P255</f>
        <v/>
      </c>
      <c r="AR255" s="23">
        <f>ROUND(AN255 + AQ255, 2)</f>
        <v/>
      </c>
      <c r="AS255" s="23">
        <f>Intereses_Leasing_Mensual!Q255</f>
        <v/>
      </c>
      <c r="AT255" s="23">
        <f>Amortizacion_Capital_Mensual!R255</f>
        <v/>
      </c>
      <c r="AU255" s="23">
        <f>Saldos_Capital_Mensual!Q255</f>
        <v/>
      </c>
      <c r="AV255" s="23">
        <f>Intereses_Residual_Mensual!Q255</f>
        <v/>
      </c>
      <c r="AW255" s="23">
        <f>ROUND(AS255 + AV255, 2)</f>
        <v/>
      </c>
      <c r="AX255" s="23">
        <f>Intereses_Leasing_Mensual!R255</f>
        <v/>
      </c>
      <c r="AY255" s="23">
        <f>Amortizacion_Capital_Mensual!S255</f>
        <v/>
      </c>
      <c r="AZ255" s="23">
        <f>Saldos_Capital_Mensual!R255</f>
        <v/>
      </c>
      <c r="BA255" s="23">
        <f>Intereses_Residual_Mensual!R255</f>
        <v/>
      </c>
      <c r="BB255" s="23">
        <f>ROUND(AX255 + BA255, 2)</f>
        <v/>
      </c>
      <c r="BC255" s="23">
        <f>Intereses_Leasing_Mensual!S255</f>
        <v/>
      </c>
      <c r="BD255" s="23">
        <f>Amortizacion_Capital_Mensual!T255</f>
        <v/>
      </c>
      <c r="BE255" s="23">
        <f>Saldos_Capital_Mensual!S255</f>
        <v/>
      </c>
      <c r="BF255" s="23">
        <f>Intereses_Residual_Mensual!S255</f>
        <v/>
      </c>
      <c r="BG255" s="23">
        <f>ROUND(BC255 + BF255, 2)</f>
        <v/>
      </c>
      <c r="BH255" s="23">
        <f>Intereses_Leasing_Mensual!T255</f>
        <v/>
      </c>
      <c r="BI255" s="23">
        <f>Amortizacion_Capital_Mensual!U255</f>
        <v/>
      </c>
      <c r="BJ255" s="23">
        <f>Saldos_Capital_Mensual!T255</f>
        <v/>
      </c>
      <c r="BK255" s="23">
        <f>Intereses_Residual_Mensual!T255</f>
        <v/>
      </c>
      <c r="BL255" s="23">
        <f>ROUND(BH255 + BK255, 2)</f>
        <v/>
      </c>
    </row>
    <row r="256">
      <c r="A256" s="26" t="inlineStr">
        <is>
          <t>0763-0001</t>
        </is>
      </c>
      <c r="B256" s="27" t="inlineStr">
        <is>
          <t>Francisco Javier Fernández Gutiérrez</t>
        </is>
      </c>
      <c r="C256" s="27" t="inlineStr">
        <is>
          <t>1500 RHO</t>
        </is>
      </c>
      <c r="D256" s="28" t="n">
        <v>36</v>
      </c>
      <c r="E256" s="29">
        <f>Intereses_Leasing_Mensual!I256</f>
        <v/>
      </c>
      <c r="F256" s="29">
        <f>Amortizacion_Capital_Mensual!J256</f>
        <v/>
      </c>
      <c r="G256" s="29">
        <f>Saldos_Capital_Mensual!I256</f>
        <v/>
      </c>
      <c r="H256" s="29">
        <f>Intereses_Residual_Mensual!I256</f>
        <v/>
      </c>
      <c r="I256" s="29">
        <f>ROUND(E256 + H256, 2)</f>
        <v/>
      </c>
      <c r="J256" s="29">
        <f>Intereses_Leasing_Mensual!J256</f>
        <v/>
      </c>
      <c r="K256" s="29">
        <f>Amortizacion_Capital_Mensual!K256</f>
        <v/>
      </c>
      <c r="L256" s="29">
        <f>Saldos_Capital_Mensual!J256</f>
        <v/>
      </c>
      <c r="M256" s="29">
        <f>Intereses_Residual_Mensual!J256</f>
        <v/>
      </c>
      <c r="N256" s="29">
        <f>ROUND(J256 + M256, 2)</f>
        <v/>
      </c>
      <c r="O256" s="29">
        <f>Intereses_Leasing_Mensual!K256</f>
        <v/>
      </c>
      <c r="P256" s="29">
        <f>Amortizacion_Capital_Mensual!L256</f>
        <v/>
      </c>
      <c r="Q256" s="29">
        <f>Saldos_Capital_Mensual!K256</f>
        <v/>
      </c>
      <c r="R256" s="29">
        <f>Intereses_Residual_Mensual!K256</f>
        <v/>
      </c>
      <c r="S256" s="29">
        <f>ROUND(O256 + R256, 2)</f>
        <v/>
      </c>
      <c r="T256" s="29">
        <f>Intereses_Leasing_Mensual!L256</f>
        <v/>
      </c>
      <c r="U256" s="29">
        <f>Amortizacion_Capital_Mensual!M256</f>
        <v/>
      </c>
      <c r="V256" s="29">
        <f>Saldos_Capital_Mensual!L256</f>
        <v/>
      </c>
      <c r="W256" s="29">
        <f>Intereses_Residual_Mensual!L256</f>
        <v/>
      </c>
      <c r="X256" s="29">
        <f>ROUND(T256 + W256, 2)</f>
        <v/>
      </c>
      <c r="Y256" s="29">
        <f>Intereses_Leasing_Mensual!M256</f>
        <v/>
      </c>
      <c r="Z256" s="29">
        <f>Amortizacion_Capital_Mensual!N256</f>
        <v/>
      </c>
      <c r="AA256" s="29">
        <f>Saldos_Capital_Mensual!M256</f>
        <v/>
      </c>
      <c r="AB256" s="29">
        <f>Intereses_Residual_Mensual!M256</f>
        <v/>
      </c>
      <c r="AC256" s="29">
        <f>ROUND(Y256 + AB256, 2)</f>
        <v/>
      </c>
      <c r="AD256" s="29">
        <f>Intereses_Leasing_Mensual!N256</f>
        <v/>
      </c>
      <c r="AE256" s="29">
        <f>Amortizacion_Capital_Mensual!O256</f>
        <v/>
      </c>
      <c r="AF256" s="29">
        <f>Saldos_Capital_Mensual!N256</f>
        <v/>
      </c>
      <c r="AG256" s="29">
        <f>Intereses_Residual_Mensual!N256</f>
        <v/>
      </c>
      <c r="AH256" s="29">
        <f>ROUND(AD256 + AG256, 2)</f>
        <v/>
      </c>
      <c r="AI256" s="29">
        <f>Intereses_Leasing_Mensual!O256</f>
        <v/>
      </c>
      <c r="AJ256" s="29">
        <f>Amortizacion_Capital_Mensual!P256</f>
        <v/>
      </c>
      <c r="AK256" s="29">
        <f>Saldos_Capital_Mensual!O256</f>
        <v/>
      </c>
      <c r="AL256" s="29">
        <f>Intereses_Residual_Mensual!O256</f>
        <v/>
      </c>
      <c r="AM256" s="29">
        <f>ROUND(AI256 + AL256, 2)</f>
        <v/>
      </c>
      <c r="AN256" s="29">
        <f>Intereses_Leasing_Mensual!P256</f>
        <v/>
      </c>
      <c r="AO256" s="29">
        <f>Amortizacion_Capital_Mensual!Q256</f>
        <v/>
      </c>
      <c r="AP256" s="29">
        <f>Saldos_Capital_Mensual!P256</f>
        <v/>
      </c>
      <c r="AQ256" s="29">
        <f>Intereses_Residual_Mensual!P256</f>
        <v/>
      </c>
      <c r="AR256" s="29">
        <f>ROUND(AN256 + AQ256, 2)</f>
        <v/>
      </c>
      <c r="AS256" s="29">
        <f>Intereses_Leasing_Mensual!Q256</f>
        <v/>
      </c>
      <c r="AT256" s="29">
        <f>Amortizacion_Capital_Mensual!R256</f>
        <v/>
      </c>
      <c r="AU256" s="29">
        <f>Saldos_Capital_Mensual!Q256</f>
        <v/>
      </c>
      <c r="AV256" s="29">
        <f>Intereses_Residual_Mensual!Q256</f>
        <v/>
      </c>
      <c r="AW256" s="29">
        <f>ROUND(AS256 + AV256, 2)</f>
        <v/>
      </c>
      <c r="AX256" s="29">
        <f>Intereses_Leasing_Mensual!R256</f>
        <v/>
      </c>
      <c r="AY256" s="29">
        <f>Amortizacion_Capital_Mensual!S256</f>
        <v/>
      </c>
      <c r="AZ256" s="29">
        <f>Saldos_Capital_Mensual!R256</f>
        <v/>
      </c>
      <c r="BA256" s="29">
        <f>Intereses_Residual_Mensual!R256</f>
        <v/>
      </c>
      <c r="BB256" s="29">
        <f>ROUND(AX256 + BA256, 2)</f>
        <v/>
      </c>
      <c r="BC256" s="29">
        <f>Intereses_Leasing_Mensual!S256</f>
        <v/>
      </c>
      <c r="BD256" s="29">
        <f>Amortizacion_Capital_Mensual!T256</f>
        <v/>
      </c>
      <c r="BE256" s="29">
        <f>Saldos_Capital_Mensual!S256</f>
        <v/>
      </c>
      <c r="BF256" s="29">
        <f>Intereses_Residual_Mensual!S256</f>
        <v/>
      </c>
      <c r="BG256" s="29">
        <f>ROUND(BC256 + BF256, 2)</f>
        <v/>
      </c>
      <c r="BH256" s="29">
        <f>Intereses_Leasing_Mensual!T256</f>
        <v/>
      </c>
      <c r="BI256" s="29">
        <f>Amortizacion_Capital_Mensual!U256</f>
        <v/>
      </c>
      <c r="BJ256" s="29">
        <f>Saldos_Capital_Mensual!T256</f>
        <v/>
      </c>
      <c r="BK256" s="29">
        <f>Intereses_Residual_Mensual!T256</f>
        <v/>
      </c>
      <c r="BL256" s="29">
        <f>ROUND(BH256 + BK256, 2)</f>
        <v/>
      </c>
    </row>
    <row r="257">
      <c r="A257" s="20" t="inlineStr">
        <is>
          <t>0764-0001</t>
        </is>
      </c>
      <c r="B257" s="21" t="inlineStr">
        <is>
          <t>Inspectores Marítimos de México, S. de R.L. de C.V.</t>
        </is>
      </c>
      <c r="C257" s="21" t="inlineStr">
        <is>
          <t>1200 Bighorn</t>
        </is>
      </c>
      <c r="D257" s="22" t="n">
        <v>36</v>
      </c>
      <c r="E257" s="23">
        <f>Intereses_Leasing_Mensual!I257</f>
        <v/>
      </c>
      <c r="F257" s="23">
        <f>Amortizacion_Capital_Mensual!J257</f>
        <v/>
      </c>
      <c r="G257" s="23">
        <f>Saldos_Capital_Mensual!I257</f>
        <v/>
      </c>
      <c r="H257" s="23">
        <f>Intereses_Residual_Mensual!I257</f>
        <v/>
      </c>
      <c r="I257" s="23">
        <f>ROUND(E257 + H257, 2)</f>
        <v/>
      </c>
      <c r="J257" s="23">
        <f>Intereses_Leasing_Mensual!J257</f>
        <v/>
      </c>
      <c r="K257" s="23">
        <f>Amortizacion_Capital_Mensual!K257</f>
        <v/>
      </c>
      <c r="L257" s="23">
        <f>Saldos_Capital_Mensual!J257</f>
        <v/>
      </c>
      <c r="M257" s="23">
        <f>Intereses_Residual_Mensual!J257</f>
        <v/>
      </c>
      <c r="N257" s="23">
        <f>ROUND(J257 + M257, 2)</f>
        <v/>
      </c>
      <c r="O257" s="23">
        <f>Intereses_Leasing_Mensual!K257</f>
        <v/>
      </c>
      <c r="P257" s="23">
        <f>Amortizacion_Capital_Mensual!L257</f>
        <v/>
      </c>
      <c r="Q257" s="23">
        <f>Saldos_Capital_Mensual!K257</f>
        <v/>
      </c>
      <c r="R257" s="23">
        <f>Intereses_Residual_Mensual!K257</f>
        <v/>
      </c>
      <c r="S257" s="23">
        <f>ROUND(O257 + R257, 2)</f>
        <v/>
      </c>
      <c r="T257" s="23">
        <f>Intereses_Leasing_Mensual!L257</f>
        <v/>
      </c>
      <c r="U257" s="23">
        <f>Amortizacion_Capital_Mensual!M257</f>
        <v/>
      </c>
      <c r="V257" s="23">
        <f>Saldos_Capital_Mensual!L257</f>
        <v/>
      </c>
      <c r="W257" s="23">
        <f>Intereses_Residual_Mensual!L257</f>
        <v/>
      </c>
      <c r="X257" s="23">
        <f>ROUND(T257 + W257, 2)</f>
        <v/>
      </c>
      <c r="Y257" s="23">
        <f>Intereses_Leasing_Mensual!M257</f>
        <v/>
      </c>
      <c r="Z257" s="23">
        <f>Amortizacion_Capital_Mensual!N257</f>
        <v/>
      </c>
      <c r="AA257" s="23">
        <f>Saldos_Capital_Mensual!M257</f>
        <v/>
      </c>
      <c r="AB257" s="23">
        <f>Intereses_Residual_Mensual!M257</f>
        <v/>
      </c>
      <c r="AC257" s="23">
        <f>ROUND(Y257 + AB257, 2)</f>
        <v/>
      </c>
      <c r="AD257" s="23">
        <f>Intereses_Leasing_Mensual!N257</f>
        <v/>
      </c>
      <c r="AE257" s="23">
        <f>Amortizacion_Capital_Mensual!O257</f>
        <v/>
      </c>
      <c r="AF257" s="23">
        <f>Saldos_Capital_Mensual!N257</f>
        <v/>
      </c>
      <c r="AG257" s="23">
        <f>Intereses_Residual_Mensual!N257</f>
        <v/>
      </c>
      <c r="AH257" s="23">
        <f>ROUND(AD257 + AG257, 2)</f>
        <v/>
      </c>
      <c r="AI257" s="23">
        <f>Intereses_Leasing_Mensual!O257</f>
        <v/>
      </c>
      <c r="AJ257" s="23">
        <f>Amortizacion_Capital_Mensual!P257</f>
        <v/>
      </c>
      <c r="AK257" s="23">
        <f>Saldos_Capital_Mensual!O257</f>
        <v/>
      </c>
      <c r="AL257" s="23">
        <f>Intereses_Residual_Mensual!O257</f>
        <v/>
      </c>
      <c r="AM257" s="23">
        <f>ROUND(AI257 + AL257, 2)</f>
        <v/>
      </c>
      <c r="AN257" s="23">
        <f>Intereses_Leasing_Mensual!P257</f>
        <v/>
      </c>
      <c r="AO257" s="23">
        <f>Amortizacion_Capital_Mensual!Q257</f>
        <v/>
      </c>
      <c r="AP257" s="23">
        <f>Saldos_Capital_Mensual!P257</f>
        <v/>
      </c>
      <c r="AQ257" s="23">
        <f>Intereses_Residual_Mensual!P257</f>
        <v/>
      </c>
      <c r="AR257" s="23">
        <f>ROUND(AN257 + AQ257, 2)</f>
        <v/>
      </c>
      <c r="AS257" s="23">
        <f>Intereses_Leasing_Mensual!Q257</f>
        <v/>
      </c>
      <c r="AT257" s="23">
        <f>Amortizacion_Capital_Mensual!R257</f>
        <v/>
      </c>
      <c r="AU257" s="23">
        <f>Saldos_Capital_Mensual!Q257</f>
        <v/>
      </c>
      <c r="AV257" s="23">
        <f>Intereses_Residual_Mensual!Q257</f>
        <v/>
      </c>
      <c r="AW257" s="23">
        <f>ROUND(AS257 + AV257, 2)</f>
        <v/>
      </c>
      <c r="AX257" s="23">
        <f>Intereses_Leasing_Mensual!R257</f>
        <v/>
      </c>
      <c r="AY257" s="23">
        <f>Amortizacion_Capital_Mensual!S257</f>
        <v/>
      </c>
      <c r="AZ257" s="23">
        <f>Saldos_Capital_Mensual!R257</f>
        <v/>
      </c>
      <c r="BA257" s="23">
        <f>Intereses_Residual_Mensual!R257</f>
        <v/>
      </c>
      <c r="BB257" s="23">
        <f>ROUND(AX257 + BA257, 2)</f>
        <v/>
      </c>
      <c r="BC257" s="23">
        <f>Intereses_Leasing_Mensual!S257</f>
        <v/>
      </c>
      <c r="BD257" s="23">
        <f>Amortizacion_Capital_Mensual!T257</f>
        <v/>
      </c>
      <c r="BE257" s="23">
        <f>Saldos_Capital_Mensual!S257</f>
        <v/>
      </c>
      <c r="BF257" s="23">
        <f>Intereses_Residual_Mensual!S257</f>
        <v/>
      </c>
      <c r="BG257" s="23">
        <f>ROUND(BC257 + BF257, 2)</f>
        <v/>
      </c>
      <c r="BH257" s="23">
        <f>Intereses_Leasing_Mensual!T257</f>
        <v/>
      </c>
      <c r="BI257" s="23">
        <f>Amortizacion_Capital_Mensual!U257</f>
        <v/>
      </c>
      <c r="BJ257" s="23">
        <f>Saldos_Capital_Mensual!T257</f>
        <v/>
      </c>
      <c r="BK257" s="23">
        <f>Intereses_Residual_Mensual!T257</f>
        <v/>
      </c>
      <c r="BL257" s="23">
        <f>ROUND(BH257 + BK257, 2)</f>
        <v/>
      </c>
    </row>
    <row r="258">
      <c r="A258" s="26" t="inlineStr">
        <is>
          <t>0765-0001</t>
        </is>
      </c>
      <c r="B258" s="27" t="inlineStr">
        <is>
          <t>Rafael Soltero Sánchez</t>
        </is>
      </c>
      <c r="C258" s="27" t="inlineStr">
        <is>
          <t>1200 Bighorn</t>
        </is>
      </c>
      <c r="D258" s="28" t="n">
        <v>48</v>
      </c>
      <c r="E258" s="29">
        <f>Intereses_Leasing_Mensual!I258</f>
        <v/>
      </c>
      <c r="F258" s="29">
        <f>Amortizacion_Capital_Mensual!J258</f>
        <v/>
      </c>
      <c r="G258" s="29">
        <f>Saldos_Capital_Mensual!I258</f>
        <v/>
      </c>
      <c r="H258" s="29">
        <f>Intereses_Residual_Mensual!I258</f>
        <v/>
      </c>
      <c r="I258" s="29">
        <f>ROUND(E258 + H258, 2)</f>
        <v/>
      </c>
      <c r="J258" s="29">
        <f>Intereses_Leasing_Mensual!J258</f>
        <v/>
      </c>
      <c r="K258" s="29">
        <f>Amortizacion_Capital_Mensual!K258</f>
        <v/>
      </c>
      <c r="L258" s="29">
        <f>Saldos_Capital_Mensual!J258</f>
        <v/>
      </c>
      <c r="M258" s="29">
        <f>Intereses_Residual_Mensual!J258</f>
        <v/>
      </c>
      <c r="N258" s="29">
        <f>ROUND(J258 + M258, 2)</f>
        <v/>
      </c>
      <c r="O258" s="29">
        <f>Intereses_Leasing_Mensual!K258</f>
        <v/>
      </c>
      <c r="P258" s="29">
        <f>Amortizacion_Capital_Mensual!L258</f>
        <v/>
      </c>
      <c r="Q258" s="29">
        <f>Saldos_Capital_Mensual!K258</f>
        <v/>
      </c>
      <c r="R258" s="29">
        <f>Intereses_Residual_Mensual!K258</f>
        <v/>
      </c>
      <c r="S258" s="29">
        <f>ROUND(O258 + R258, 2)</f>
        <v/>
      </c>
      <c r="T258" s="29">
        <f>Intereses_Leasing_Mensual!L258</f>
        <v/>
      </c>
      <c r="U258" s="29">
        <f>Amortizacion_Capital_Mensual!M258</f>
        <v/>
      </c>
      <c r="V258" s="29">
        <f>Saldos_Capital_Mensual!L258</f>
        <v/>
      </c>
      <c r="W258" s="29">
        <f>Intereses_Residual_Mensual!L258</f>
        <v/>
      </c>
      <c r="X258" s="29">
        <f>ROUND(T258 + W258, 2)</f>
        <v/>
      </c>
      <c r="Y258" s="29">
        <f>Intereses_Leasing_Mensual!M258</f>
        <v/>
      </c>
      <c r="Z258" s="29">
        <f>Amortizacion_Capital_Mensual!N258</f>
        <v/>
      </c>
      <c r="AA258" s="29">
        <f>Saldos_Capital_Mensual!M258</f>
        <v/>
      </c>
      <c r="AB258" s="29">
        <f>Intereses_Residual_Mensual!M258</f>
        <v/>
      </c>
      <c r="AC258" s="29">
        <f>ROUND(Y258 + AB258, 2)</f>
        <v/>
      </c>
      <c r="AD258" s="29">
        <f>Intereses_Leasing_Mensual!N258</f>
        <v/>
      </c>
      <c r="AE258" s="29">
        <f>Amortizacion_Capital_Mensual!O258</f>
        <v/>
      </c>
      <c r="AF258" s="29">
        <f>Saldos_Capital_Mensual!N258</f>
        <v/>
      </c>
      <c r="AG258" s="29">
        <f>Intereses_Residual_Mensual!N258</f>
        <v/>
      </c>
      <c r="AH258" s="29">
        <f>ROUND(AD258 + AG258, 2)</f>
        <v/>
      </c>
      <c r="AI258" s="29">
        <f>Intereses_Leasing_Mensual!O258</f>
        <v/>
      </c>
      <c r="AJ258" s="29">
        <f>Amortizacion_Capital_Mensual!P258</f>
        <v/>
      </c>
      <c r="AK258" s="29">
        <f>Saldos_Capital_Mensual!O258</f>
        <v/>
      </c>
      <c r="AL258" s="29">
        <f>Intereses_Residual_Mensual!O258</f>
        <v/>
      </c>
      <c r="AM258" s="29">
        <f>ROUND(AI258 + AL258, 2)</f>
        <v/>
      </c>
      <c r="AN258" s="29">
        <f>Intereses_Leasing_Mensual!P258</f>
        <v/>
      </c>
      <c r="AO258" s="29">
        <f>Amortizacion_Capital_Mensual!Q258</f>
        <v/>
      </c>
      <c r="AP258" s="29">
        <f>Saldos_Capital_Mensual!P258</f>
        <v/>
      </c>
      <c r="AQ258" s="29">
        <f>Intereses_Residual_Mensual!P258</f>
        <v/>
      </c>
      <c r="AR258" s="29">
        <f>ROUND(AN258 + AQ258, 2)</f>
        <v/>
      </c>
      <c r="AS258" s="29">
        <f>Intereses_Leasing_Mensual!Q258</f>
        <v/>
      </c>
      <c r="AT258" s="29">
        <f>Amortizacion_Capital_Mensual!R258</f>
        <v/>
      </c>
      <c r="AU258" s="29">
        <f>Saldos_Capital_Mensual!Q258</f>
        <v/>
      </c>
      <c r="AV258" s="29">
        <f>Intereses_Residual_Mensual!Q258</f>
        <v/>
      </c>
      <c r="AW258" s="29">
        <f>ROUND(AS258 + AV258, 2)</f>
        <v/>
      </c>
      <c r="AX258" s="29">
        <f>Intereses_Leasing_Mensual!R258</f>
        <v/>
      </c>
      <c r="AY258" s="29">
        <f>Amortizacion_Capital_Mensual!S258</f>
        <v/>
      </c>
      <c r="AZ258" s="29">
        <f>Saldos_Capital_Mensual!R258</f>
        <v/>
      </c>
      <c r="BA258" s="29">
        <f>Intereses_Residual_Mensual!R258</f>
        <v/>
      </c>
      <c r="BB258" s="29">
        <f>ROUND(AX258 + BA258, 2)</f>
        <v/>
      </c>
      <c r="BC258" s="29">
        <f>Intereses_Leasing_Mensual!S258</f>
        <v/>
      </c>
      <c r="BD258" s="29">
        <f>Amortizacion_Capital_Mensual!T258</f>
        <v/>
      </c>
      <c r="BE258" s="29">
        <f>Saldos_Capital_Mensual!S258</f>
        <v/>
      </c>
      <c r="BF258" s="29">
        <f>Intereses_Residual_Mensual!S258</f>
        <v/>
      </c>
      <c r="BG258" s="29">
        <f>ROUND(BC258 + BF258, 2)</f>
        <v/>
      </c>
      <c r="BH258" s="29">
        <f>Intereses_Leasing_Mensual!T258</f>
        <v/>
      </c>
      <c r="BI258" s="29">
        <f>Amortizacion_Capital_Mensual!U258</f>
        <v/>
      </c>
      <c r="BJ258" s="29">
        <f>Saldos_Capital_Mensual!T258</f>
        <v/>
      </c>
      <c r="BK258" s="29">
        <f>Intereses_Residual_Mensual!T258</f>
        <v/>
      </c>
      <c r="BL258" s="29">
        <f>ROUND(BH258 + BK258, 2)</f>
        <v/>
      </c>
    </row>
    <row r="259">
      <c r="A259" s="20" t="inlineStr">
        <is>
          <t>0766-0001</t>
        </is>
      </c>
      <c r="B259" s="21" t="inlineStr">
        <is>
          <t>Javier Alejandro Carbajal Chávez</t>
        </is>
      </c>
      <c r="C259" s="21" t="inlineStr">
        <is>
          <t>Jt Rubicon</t>
        </is>
      </c>
      <c r="D259" s="22" t="n">
        <v>48</v>
      </c>
      <c r="E259" s="23">
        <f>Intereses_Leasing_Mensual!I259</f>
        <v/>
      </c>
      <c r="F259" s="23">
        <f>Amortizacion_Capital_Mensual!J259</f>
        <v/>
      </c>
      <c r="G259" s="23">
        <f>Saldos_Capital_Mensual!I259</f>
        <v/>
      </c>
      <c r="H259" s="23">
        <f>Intereses_Residual_Mensual!I259</f>
        <v/>
      </c>
      <c r="I259" s="23">
        <f>ROUND(E259 + H259, 2)</f>
        <v/>
      </c>
      <c r="J259" s="23">
        <f>Intereses_Leasing_Mensual!J259</f>
        <v/>
      </c>
      <c r="K259" s="23">
        <f>Amortizacion_Capital_Mensual!K259</f>
        <v/>
      </c>
      <c r="L259" s="23">
        <f>Saldos_Capital_Mensual!J259</f>
        <v/>
      </c>
      <c r="M259" s="23">
        <f>Intereses_Residual_Mensual!J259</f>
        <v/>
      </c>
      <c r="N259" s="23">
        <f>ROUND(J259 + M259, 2)</f>
        <v/>
      </c>
      <c r="O259" s="23">
        <f>Intereses_Leasing_Mensual!K259</f>
        <v/>
      </c>
      <c r="P259" s="23">
        <f>Amortizacion_Capital_Mensual!L259</f>
        <v/>
      </c>
      <c r="Q259" s="23">
        <f>Saldos_Capital_Mensual!K259</f>
        <v/>
      </c>
      <c r="R259" s="23">
        <f>Intereses_Residual_Mensual!K259</f>
        <v/>
      </c>
      <c r="S259" s="23">
        <f>ROUND(O259 + R259, 2)</f>
        <v/>
      </c>
      <c r="T259" s="23">
        <f>Intereses_Leasing_Mensual!L259</f>
        <v/>
      </c>
      <c r="U259" s="23">
        <f>Amortizacion_Capital_Mensual!M259</f>
        <v/>
      </c>
      <c r="V259" s="23">
        <f>Saldos_Capital_Mensual!L259</f>
        <v/>
      </c>
      <c r="W259" s="23">
        <f>Intereses_Residual_Mensual!L259</f>
        <v/>
      </c>
      <c r="X259" s="23">
        <f>ROUND(T259 + W259, 2)</f>
        <v/>
      </c>
      <c r="Y259" s="23">
        <f>Intereses_Leasing_Mensual!M259</f>
        <v/>
      </c>
      <c r="Z259" s="23">
        <f>Amortizacion_Capital_Mensual!N259</f>
        <v/>
      </c>
      <c r="AA259" s="23">
        <f>Saldos_Capital_Mensual!M259</f>
        <v/>
      </c>
      <c r="AB259" s="23">
        <f>Intereses_Residual_Mensual!M259</f>
        <v/>
      </c>
      <c r="AC259" s="23">
        <f>ROUND(Y259 + AB259, 2)</f>
        <v/>
      </c>
      <c r="AD259" s="23">
        <f>Intereses_Leasing_Mensual!N259</f>
        <v/>
      </c>
      <c r="AE259" s="23">
        <f>Amortizacion_Capital_Mensual!O259</f>
        <v/>
      </c>
      <c r="AF259" s="23">
        <f>Saldos_Capital_Mensual!N259</f>
        <v/>
      </c>
      <c r="AG259" s="23">
        <f>Intereses_Residual_Mensual!N259</f>
        <v/>
      </c>
      <c r="AH259" s="23">
        <f>ROUND(AD259 + AG259, 2)</f>
        <v/>
      </c>
      <c r="AI259" s="23">
        <f>Intereses_Leasing_Mensual!O259</f>
        <v/>
      </c>
      <c r="AJ259" s="23">
        <f>Amortizacion_Capital_Mensual!P259</f>
        <v/>
      </c>
      <c r="AK259" s="23">
        <f>Saldos_Capital_Mensual!O259</f>
        <v/>
      </c>
      <c r="AL259" s="23">
        <f>Intereses_Residual_Mensual!O259</f>
        <v/>
      </c>
      <c r="AM259" s="23">
        <f>ROUND(AI259 + AL259, 2)</f>
        <v/>
      </c>
      <c r="AN259" s="23">
        <f>Intereses_Leasing_Mensual!P259</f>
        <v/>
      </c>
      <c r="AO259" s="23">
        <f>Amortizacion_Capital_Mensual!Q259</f>
        <v/>
      </c>
      <c r="AP259" s="23">
        <f>Saldos_Capital_Mensual!P259</f>
        <v/>
      </c>
      <c r="AQ259" s="23">
        <f>Intereses_Residual_Mensual!P259</f>
        <v/>
      </c>
      <c r="AR259" s="23">
        <f>ROUND(AN259 + AQ259, 2)</f>
        <v/>
      </c>
      <c r="AS259" s="23">
        <f>Intereses_Leasing_Mensual!Q259</f>
        <v/>
      </c>
      <c r="AT259" s="23">
        <f>Amortizacion_Capital_Mensual!R259</f>
        <v/>
      </c>
      <c r="AU259" s="23">
        <f>Saldos_Capital_Mensual!Q259</f>
        <v/>
      </c>
      <c r="AV259" s="23">
        <f>Intereses_Residual_Mensual!Q259</f>
        <v/>
      </c>
      <c r="AW259" s="23">
        <f>ROUND(AS259 + AV259, 2)</f>
        <v/>
      </c>
      <c r="AX259" s="23">
        <f>Intereses_Leasing_Mensual!R259</f>
        <v/>
      </c>
      <c r="AY259" s="23">
        <f>Amortizacion_Capital_Mensual!S259</f>
        <v/>
      </c>
      <c r="AZ259" s="23">
        <f>Saldos_Capital_Mensual!R259</f>
        <v/>
      </c>
      <c r="BA259" s="23">
        <f>Intereses_Residual_Mensual!R259</f>
        <v/>
      </c>
      <c r="BB259" s="23">
        <f>ROUND(AX259 + BA259, 2)</f>
        <v/>
      </c>
      <c r="BC259" s="23">
        <f>Intereses_Leasing_Mensual!S259</f>
        <v/>
      </c>
      <c r="BD259" s="23">
        <f>Amortizacion_Capital_Mensual!T259</f>
        <v/>
      </c>
      <c r="BE259" s="23">
        <f>Saldos_Capital_Mensual!S259</f>
        <v/>
      </c>
      <c r="BF259" s="23">
        <f>Intereses_Residual_Mensual!S259</f>
        <v/>
      </c>
      <c r="BG259" s="23">
        <f>ROUND(BC259 + BF259, 2)</f>
        <v/>
      </c>
      <c r="BH259" s="23">
        <f>Intereses_Leasing_Mensual!T259</f>
        <v/>
      </c>
      <c r="BI259" s="23">
        <f>Amortizacion_Capital_Mensual!U259</f>
        <v/>
      </c>
      <c r="BJ259" s="23">
        <f>Saldos_Capital_Mensual!T259</f>
        <v/>
      </c>
      <c r="BK259" s="23">
        <f>Intereses_Residual_Mensual!T259</f>
        <v/>
      </c>
      <c r="BL259" s="23">
        <f>ROUND(BH259 + BK259, 2)</f>
        <v/>
      </c>
    </row>
    <row r="260">
      <c r="A260" s="26" t="inlineStr">
        <is>
          <t>0767-0001</t>
        </is>
      </c>
      <c r="B260" s="27" t="inlineStr">
        <is>
          <t>Carlos Alberto Gutiérrez Hermosillo López</t>
        </is>
      </c>
      <c r="C260" s="27" t="inlineStr">
        <is>
          <t>Commander Overland</t>
        </is>
      </c>
      <c r="D260" s="28" t="n">
        <v>48</v>
      </c>
      <c r="E260" s="29">
        <f>Intereses_Leasing_Mensual!I260</f>
        <v/>
      </c>
      <c r="F260" s="29">
        <f>Amortizacion_Capital_Mensual!J260</f>
        <v/>
      </c>
      <c r="G260" s="29">
        <f>Saldos_Capital_Mensual!I260</f>
        <v/>
      </c>
      <c r="H260" s="29">
        <f>Intereses_Residual_Mensual!I260</f>
        <v/>
      </c>
      <c r="I260" s="29">
        <f>ROUND(E260 + H260, 2)</f>
        <v/>
      </c>
      <c r="J260" s="29">
        <f>Intereses_Leasing_Mensual!J260</f>
        <v/>
      </c>
      <c r="K260" s="29">
        <f>Amortizacion_Capital_Mensual!K260</f>
        <v/>
      </c>
      <c r="L260" s="29">
        <f>Saldos_Capital_Mensual!J260</f>
        <v/>
      </c>
      <c r="M260" s="29">
        <f>Intereses_Residual_Mensual!J260</f>
        <v/>
      </c>
      <c r="N260" s="29">
        <f>ROUND(J260 + M260, 2)</f>
        <v/>
      </c>
      <c r="O260" s="29">
        <f>Intereses_Leasing_Mensual!K260</f>
        <v/>
      </c>
      <c r="P260" s="29">
        <f>Amortizacion_Capital_Mensual!L260</f>
        <v/>
      </c>
      <c r="Q260" s="29">
        <f>Saldos_Capital_Mensual!K260</f>
        <v/>
      </c>
      <c r="R260" s="29">
        <f>Intereses_Residual_Mensual!K260</f>
        <v/>
      </c>
      <c r="S260" s="29">
        <f>ROUND(O260 + R260, 2)</f>
        <v/>
      </c>
      <c r="T260" s="29">
        <f>Intereses_Leasing_Mensual!L260</f>
        <v/>
      </c>
      <c r="U260" s="29">
        <f>Amortizacion_Capital_Mensual!M260</f>
        <v/>
      </c>
      <c r="V260" s="29">
        <f>Saldos_Capital_Mensual!L260</f>
        <v/>
      </c>
      <c r="W260" s="29">
        <f>Intereses_Residual_Mensual!L260</f>
        <v/>
      </c>
      <c r="X260" s="29">
        <f>ROUND(T260 + W260, 2)</f>
        <v/>
      </c>
      <c r="Y260" s="29">
        <f>Intereses_Leasing_Mensual!M260</f>
        <v/>
      </c>
      <c r="Z260" s="29">
        <f>Amortizacion_Capital_Mensual!N260</f>
        <v/>
      </c>
      <c r="AA260" s="29">
        <f>Saldos_Capital_Mensual!M260</f>
        <v/>
      </c>
      <c r="AB260" s="29">
        <f>Intereses_Residual_Mensual!M260</f>
        <v/>
      </c>
      <c r="AC260" s="29">
        <f>ROUND(Y260 + AB260, 2)</f>
        <v/>
      </c>
      <c r="AD260" s="29">
        <f>Intereses_Leasing_Mensual!N260</f>
        <v/>
      </c>
      <c r="AE260" s="29">
        <f>Amortizacion_Capital_Mensual!O260</f>
        <v/>
      </c>
      <c r="AF260" s="29">
        <f>Saldos_Capital_Mensual!N260</f>
        <v/>
      </c>
      <c r="AG260" s="29">
        <f>Intereses_Residual_Mensual!N260</f>
        <v/>
      </c>
      <c r="AH260" s="29">
        <f>ROUND(AD260 + AG260, 2)</f>
        <v/>
      </c>
      <c r="AI260" s="29">
        <f>Intereses_Leasing_Mensual!O260</f>
        <v/>
      </c>
      <c r="AJ260" s="29">
        <f>Amortizacion_Capital_Mensual!P260</f>
        <v/>
      </c>
      <c r="AK260" s="29">
        <f>Saldos_Capital_Mensual!O260</f>
        <v/>
      </c>
      <c r="AL260" s="29">
        <f>Intereses_Residual_Mensual!O260</f>
        <v/>
      </c>
      <c r="AM260" s="29">
        <f>ROUND(AI260 + AL260, 2)</f>
        <v/>
      </c>
      <c r="AN260" s="29">
        <f>Intereses_Leasing_Mensual!P260</f>
        <v/>
      </c>
      <c r="AO260" s="29">
        <f>Amortizacion_Capital_Mensual!Q260</f>
        <v/>
      </c>
      <c r="AP260" s="29">
        <f>Saldos_Capital_Mensual!P260</f>
        <v/>
      </c>
      <c r="AQ260" s="29">
        <f>Intereses_Residual_Mensual!P260</f>
        <v/>
      </c>
      <c r="AR260" s="29">
        <f>ROUND(AN260 + AQ260, 2)</f>
        <v/>
      </c>
      <c r="AS260" s="29">
        <f>Intereses_Leasing_Mensual!Q260</f>
        <v/>
      </c>
      <c r="AT260" s="29">
        <f>Amortizacion_Capital_Mensual!R260</f>
        <v/>
      </c>
      <c r="AU260" s="29">
        <f>Saldos_Capital_Mensual!Q260</f>
        <v/>
      </c>
      <c r="AV260" s="29">
        <f>Intereses_Residual_Mensual!Q260</f>
        <v/>
      </c>
      <c r="AW260" s="29">
        <f>ROUND(AS260 + AV260, 2)</f>
        <v/>
      </c>
      <c r="AX260" s="29">
        <f>Intereses_Leasing_Mensual!R260</f>
        <v/>
      </c>
      <c r="AY260" s="29">
        <f>Amortizacion_Capital_Mensual!S260</f>
        <v/>
      </c>
      <c r="AZ260" s="29">
        <f>Saldos_Capital_Mensual!R260</f>
        <v/>
      </c>
      <c r="BA260" s="29">
        <f>Intereses_Residual_Mensual!R260</f>
        <v/>
      </c>
      <c r="BB260" s="29">
        <f>ROUND(AX260 + BA260, 2)</f>
        <v/>
      </c>
      <c r="BC260" s="29">
        <f>Intereses_Leasing_Mensual!S260</f>
        <v/>
      </c>
      <c r="BD260" s="29">
        <f>Amortizacion_Capital_Mensual!T260</f>
        <v/>
      </c>
      <c r="BE260" s="29">
        <f>Saldos_Capital_Mensual!S260</f>
        <v/>
      </c>
      <c r="BF260" s="29">
        <f>Intereses_Residual_Mensual!S260</f>
        <v/>
      </c>
      <c r="BG260" s="29">
        <f>ROUND(BC260 + BF260, 2)</f>
        <v/>
      </c>
      <c r="BH260" s="29">
        <f>Intereses_Leasing_Mensual!T260</f>
        <v/>
      </c>
      <c r="BI260" s="29">
        <f>Amortizacion_Capital_Mensual!U260</f>
        <v/>
      </c>
      <c r="BJ260" s="29">
        <f>Saldos_Capital_Mensual!T260</f>
        <v/>
      </c>
      <c r="BK260" s="29">
        <f>Intereses_Residual_Mensual!T260</f>
        <v/>
      </c>
      <c r="BL260" s="29">
        <f>ROUND(BH260 + BK260, 2)</f>
        <v/>
      </c>
    </row>
    <row r="261">
      <c r="A261" s="20" t="inlineStr">
        <is>
          <t>0768-0001</t>
        </is>
      </c>
      <c r="B261" s="21" t="inlineStr">
        <is>
          <t>Distribuidora y Comercializadora 2000, S.A. de C.V.</t>
        </is>
      </c>
      <c r="C261" s="21" t="inlineStr">
        <is>
          <t>Manager Furgon L4H2</t>
        </is>
      </c>
      <c r="D261" s="22" t="n">
        <v>12</v>
      </c>
      <c r="E261" s="23">
        <f>Intereses_Leasing_Mensual!I261</f>
        <v/>
      </c>
      <c r="F261" s="23">
        <f>Amortizacion_Capital_Mensual!J261</f>
        <v/>
      </c>
      <c r="G261" s="23">
        <f>Saldos_Capital_Mensual!I261</f>
        <v/>
      </c>
      <c r="H261" s="23">
        <f>Intereses_Residual_Mensual!I261</f>
        <v/>
      </c>
      <c r="I261" s="23">
        <f>ROUND(E261 + H261, 2)</f>
        <v/>
      </c>
      <c r="J261" s="23">
        <f>Intereses_Leasing_Mensual!J261</f>
        <v/>
      </c>
      <c r="K261" s="23">
        <f>Amortizacion_Capital_Mensual!K261</f>
        <v/>
      </c>
      <c r="L261" s="23">
        <f>Saldos_Capital_Mensual!J261</f>
        <v/>
      </c>
      <c r="M261" s="23">
        <f>Intereses_Residual_Mensual!J261</f>
        <v/>
      </c>
      <c r="N261" s="23">
        <f>ROUND(J261 + M261, 2)</f>
        <v/>
      </c>
      <c r="O261" s="23">
        <f>Intereses_Leasing_Mensual!K261</f>
        <v/>
      </c>
      <c r="P261" s="23">
        <f>Amortizacion_Capital_Mensual!L261</f>
        <v/>
      </c>
      <c r="Q261" s="23">
        <f>Saldos_Capital_Mensual!K261</f>
        <v/>
      </c>
      <c r="R261" s="23">
        <f>Intereses_Residual_Mensual!K261</f>
        <v/>
      </c>
      <c r="S261" s="23">
        <f>ROUND(O261 + R261, 2)</f>
        <v/>
      </c>
      <c r="T261" s="23">
        <f>Intereses_Leasing_Mensual!L261</f>
        <v/>
      </c>
      <c r="U261" s="23">
        <f>Amortizacion_Capital_Mensual!M261</f>
        <v/>
      </c>
      <c r="V261" s="23">
        <f>Saldos_Capital_Mensual!L261</f>
        <v/>
      </c>
      <c r="W261" s="23">
        <f>Intereses_Residual_Mensual!L261</f>
        <v/>
      </c>
      <c r="X261" s="23">
        <f>ROUND(T261 + W261, 2)</f>
        <v/>
      </c>
      <c r="Y261" s="23">
        <f>Intereses_Leasing_Mensual!M261</f>
        <v/>
      </c>
      <c r="Z261" s="23">
        <f>Amortizacion_Capital_Mensual!N261</f>
        <v/>
      </c>
      <c r="AA261" s="23">
        <f>Saldos_Capital_Mensual!M261</f>
        <v/>
      </c>
      <c r="AB261" s="23">
        <f>Intereses_Residual_Mensual!M261</f>
        <v/>
      </c>
      <c r="AC261" s="23">
        <f>ROUND(Y261 + AB261, 2)</f>
        <v/>
      </c>
      <c r="AD261" s="23">
        <f>Intereses_Leasing_Mensual!N261</f>
        <v/>
      </c>
      <c r="AE261" s="23">
        <f>Amortizacion_Capital_Mensual!O261</f>
        <v/>
      </c>
      <c r="AF261" s="23">
        <f>Saldos_Capital_Mensual!N261</f>
        <v/>
      </c>
      <c r="AG261" s="23">
        <f>Intereses_Residual_Mensual!N261</f>
        <v/>
      </c>
      <c r="AH261" s="23">
        <f>ROUND(AD261 + AG261, 2)</f>
        <v/>
      </c>
      <c r="AI261" s="23">
        <f>Intereses_Leasing_Mensual!O261</f>
        <v/>
      </c>
      <c r="AJ261" s="23">
        <f>Amortizacion_Capital_Mensual!P261</f>
        <v/>
      </c>
      <c r="AK261" s="23">
        <f>Saldos_Capital_Mensual!O261</f>
        <v/>
      </c>
      <c r="AL261" s="23">
        <f>Intereses_Residual_Mensual!O261</f>
        <v/>
      </c>
      <c r="AM261" s="23">
        <f>ROUND(AI261 + AL261, 2)</f>
        <v/>
      </c>
      <c r="AN261" s="23">
        <f>Intereses_Leasing_Mensual!P261</f>
        <v/>
      </c>
      <c r="AO261" s="23">
        <f>Amortizacion_Capital_Mensual!Q261</f>
        <v/>
      </c>
      <c r="AP261" s="23">
        <f>Saldos_Capital_Mensual!P261</f>
        <v/>
      </c>
      <c r="AQ261" s="23">
        <f>Intereses_Residual_Mensual!P261</f>
        <v/>
      </c>
      <c r="AR261" s="23">
        <f>ROUND(AN261 + AQ261, 2)</f>
        <v/>
      </c>
      <c r="AS261" s="23">
        <f>Intereses_Leasing_Mensual!Q261</f>
        <v/>
      </c>
      <c r="AT261" s="23">
        <f>Amortizacion_Capital_Mensual!R261</f>
        <v/>
      </c>
      <c r="AU261" s="23">
        <f>Saldos_Capital_Mensual!Q261</f>
        <v/>
      </c>
      <c r="AV261" s="23">
        <f>Intereses_Residual_Mensual!Q261</f>
        <v/>
      </c>
      <c r="AW261" s="23">
        <f>ROUND(AS261 + AV261, 2)</f>
        <v/>
      </c>
      <c r="AX261" s="23">
        <f>Intereses_Leasing_Mensual!R261</f>
        <v/>
      </c>
      <c r="AY261" s="23">
        <f>Amortizacion_Capital_Mensual!S261</f>
        <v/>
      </c>
      <c r="AZ261" s="23">
        <f>Saldos_Capital_Mensual!R261</f>
        <v/>
      </c>
      <c r="BA261" s="23">
        <f>Intereses_Residual_Mensual!R261</f>
        <v/>
      </c>
      <c r="BB261" s="23">
        <f>ROUND(AX261 + BA261, 2)</f>
        <v/>
      </c>
      <c r="BC261" s="23">
        <f>Intereses_Leasing_Mensual!S261</f>
        <v/>
      </c>
      <c r="BD261" s="23">
        <f>Amortizacion_Capital_Mensual!T261</f>
        <v/>
      </c>
      <c r="BE261" s="23">
        <f>Saldos_Capital_Mensual!S261</f>
        <v/>
      </c>
      <c r="BF261" s="23">
        <f>Intereses_Residual_Mensual!S261</f>
        <v/>
      </c>
      <c r="BG261" s="23">
        <f>ROUND(BC261 + BF261, 2)</f>
        <v/>
      </c>
      <c r="BH261" s="23">
        <f>Intereses_Leasing_Mensual!T261</f>
        <v/>
      </c>
      <c r="BI261" s="23">
        <f>Amortizacion_Capital_Mensual!U261</f>
        <v/>
      </c>
      <c r="BJ261" s="23">
        <f>Saldos_Capital_Mensual!T261</f>
        <v/>
      </c>
      <c r="BK261" s="23">
        <f>Intereses_Residual_Mensual!T261</f>
        <v/>
      </c>
      <c r="BL261" s="23">
        <f>ROUND(BH261 + BK261, 2)</f>
        <v/>
      </c>
    </row>
    <row r="262">
      <c r="A262" s="26" t="inlineStr">
        <is>
          <t>0768-0002</t>
        </is>
      </c>
      <c r="B262" s="27" t="inlineStr">
        <is>
          <t>Distribuidora y Comercializadora 2000, S.A. de C.V.</t>
        </is>
      </c>
      <c r="C262" s="27" t="inlineStr">
        <is>
          <t>Manager Furgon L4H2</t>
        </is>
      </c>
      <c r="D262" s="28" t="n">
        <v>12</v>
      </c>
      <c r="E262" s="29">
        <f>Intereses_Leasing_Mensual!I262</f>
        <v/>
      </c>
      <c r="F262" s="29">
        <f>Amortizacion_Capital_Mensual!J262</f>
        <v/>
      </c>
      <c r="G262" s="29">
        <f>Saldos_Capital_Mensual!I262</f>
        <v/>
      </c>
      <c r="H262" s="29">
        <f>Intereses_Residual_Mensual!I262</f>
        <v/>
      </c>
      <c r="I262" s="29">
        <f>ROUND(E262 + H262, 2)</f>
        <v/>
      </c>
      <c r="J262" s="29">
        <f>Intereses_Leasing_Mensual!J262</f>
        <v/>
      </c>
      <c r="K262" s="29">
        <f>Amortizacion_Capital_Mensual!K262</f>
        <v/>
      </c>
      <c r="L262" s="29">
        <f>Saldos_Capital_Mensual!J262</f>
        <v/>
      </c>
      <c r="M262" s="29">
        <f>Intereses_Residual_Mensual!J262</f>
        <v/>
      </c>
      <c r="N262" s="29">
        <f>ROUND(J262 + M262, 2)</f>
        <v/>
      </c>
      <c r="O262" s="29">
        <f>Intereses_Leasing_Mensual!K262</f>
        <v/>
      </c>
      <c r="P262" s="29">
        <f>Amortizacion_Capital_Mensual!L262</f>
        <v/>
      </c>
      <c r="Q262" s="29">
        <f>Saldos_Capital_Mensual!K262</f>
        <v/>
      </c>
      <c r="R262" s="29">
        <f>Intereses_Residual_Mensual!K262</f>
        <v/>
      </c>
      <c r="S262" s="29">
        <f>ROUND(O262 + R262, 2)</f>
        <v/>
      </c>
      <c r="T262" s="29">
        <f>Intereses_Leasing_Mensual!L262</f>
        <v/>
      </c>
      <c r="U262" s="29">
        <f>Amortizacion_Capital_Mensual!M262</f>
        <v/>
      </c>
      <c r="V262" s="29">
        <f>Saldos_Capital_Mensual!L262</f>
        <v/>
      </c>
      <c r="W262" s="29">
        <f>Intereses_Residual_Mensual!L262</f>
        <v/>
      </c>
      <c r="X262" s="29">
        <f>ROUND(T262 + W262, 2)</f>
        <v/>
      </c>
      <c r="Y262" s="29">
        <f>Intereses_Leasing_Mensual!M262</f>
        <v/>
      </c>
      <c r="Z262" s="29">
        <f>Amortizacion_Capital_Mensual!N262</f>
        <v/>
      </c>
      <c r="AA262" s="29">
        <f>Saldos_Capital_Mensual!M262</f>
        <v/>
      </c>
      <c r="AB262" s="29">
        <f>Intereses_Residual_Mensual!M262</f>
        <v/>
      </c>
      <c r="AC262" s="29">
        <f>ROUND(Y262 + AB262, 2)</f>
        <v/>
      </c>
      <c r="AD262" s="29">
        <f>Intereses_Leasing_Mensual!N262</f>
        <v/>
      </c>
      <c r="AE262" s="29">
        <f>Amortizacion_Capital_Mensual!O262</f>
        <v/>
      </c>
      <c r="AF262" s="29">
        <f>Saldos_Capital_Mensual!N262</f>
        <v/>
      </c>
      <c r="AG262" s="29">
        <f>Intereses_Residual_Mensual!N262</f>
        <v/>
      </c>
      <c r="AH262" s="29">
        <f>ROUND(AD262 + AG262, 2)</f>
        <v/>
      </c>
      <c r="AI262" s="29">
        <f>Intereses_Leasing_Mensual!O262</f>
        <v/>
      </c>
      <c r="AJ262" s="29">
        <f>Amortizacion_Capital_Mensual!P262</f>
        <v/>
      </c>
      <c r="AK262" s="29">
        <f>Saldos_Capital_Mensual!O262</f>
        <v/>
      </c>
      <c r="AL262" s="29">
        <f>Intereses_Residual_Mensual!O262</f>
        <v/>
      </c>
      <c r="AM262" s="29">
        <f>ROUND(AI262 + AL262, 2)</f>
        <v/>
      </c>
      <c r="AN262" s="29">
        <f>Intereses_Leasing_Mensual!P262</f>
        <v/>
      </c>
      <c r="AO262" s="29">
        <f>Amortizacion_Capital_Mensual!Q262</f>
        <v/>
      </c>
      <c r="AP262" s="29">
        <f>Saldos_Capital_Mensual!P262</f>
        <v/>
      </c>
      <c r="AQ262" s="29">
        <f>Intereses_Residual_Mensual!P262</f>
        <v/>
      </c>
      <c r="AR262" s="29">
        <f>ROUND(AN262 + AQ262, 2)</f>
        <v/>
      </c>
      <c r="AS262" s="29">
        <f>Intereses_Leasing_Mensual!Q262</f>
        <v/>
      </c>
      <c r="AT262" s="29">
        <f>Amortizacion_Capital_Mensual!R262</f>
        <v/>
      </c>
      <c r="AU262" s="29">
        <f>Saldos_Capital_Mensual!Q262</f>
        <v/>
      </c>
      <c r="AV262" s="29">
        <f>Intereses_Residual_Mensual!Q262</f>
        <v/>
      </c>
      <c r="AW262" s="29">
        <f>ROUND(AS262 + AV262, 2)</f>
        <v/>
      </c>
      <c r="AX262" s="29">
        <f>Intereses_Leasing_Mensual!R262</f>
        <v/>
      </c>
      <c r="AY262" s="29">
        <f>Amortizacion_Capital_Mensual!S262</f>
        <v/>
      </c>
      <c r="AZ262" s="29">
        <f>Saldos_Capital_Mensual!R262</f>
        <v/>
      </c>
      <c r="BA262" s="29">
        <f>Intereses_Residual_Mensual!R262</f>
        <v/>
      </c>
      <c r="BB262" s="29">
        <f>ROUND(AX262 + BA262, 2)</f>
        <v/>
      </c>
      <c r="BC262" s="29">
        <f>Intereses_Leasing_Mensual!S262</f>
        <v/>
      </c>
      <c r="BD262" s="29">
        <f>Amortizacion_Capital_Mensual!T262</f>
        <v/>
      </c>
      <c r="BE262" s="29">
        <f>Saldos_Capital_Mensual!S262</f>
        <v/>
      </c>
      <c r="BF262" s="29">
        <f>Intereses_Residual_Mensual!S262</f>
        <v/>
      </c>
      <c r="BG262" s="29">
        <f>ROUND(BC262 + BF262, 2)</f>
        <v/>
      </c>
      <c r="BH262" s="29">
        <f>Intereses_Leasing_Mensual!T262</f>
        <v/>
      </c>
      <c r="BI262" s="29">
        <f>Amortizacion_Capital_Mensual!U262</f>
        <v/>
      </c>
      <c r="BJ262" s="29">
        <f>Saldos_Capital_Mensual!T262</f>
        <v/>
      </c>
      <c r="BK262" s="29">
        <f>Intereses_Residual_Mensual!T262</f>
        <v/>
      </c>
      <c r="BL262" s="29">
        <f>ROUND(BH262 + BK262, 2)</f>
        <v/>
      </c>
    </row>
    <row r="263">
      <c r="A263" s="20" t="inlineStr">
        <is>
          <t>0769-0001</t>
        </is>
      </c>
      <c r="B263" s="21" t="inlineStr">
        <is>
          <t>Paloma Bernhardt Partida</t>
        </is>
      </c>
      <c r="C263" s="21" t="inlineStr">
        <is>
          <t>700 TRADESMAN CREW CAB</t>
        </is>
      </c>
      <c r="D263" s="22" t="n">
        <v>36</v>
      </c>
      <c r="E263" s="23">
        <f>Intereses_Leasing_Mensual!I263</f>
        <v/>
      </c>
      <c r="F263" s="23">
        <f>Amortizacion_Capital_Mensual!J263</f>
        <v/>
      </c>
      <c r="G263" s="23">
        <f>Saldos_Capital_Mensual!I263</f>
        <v/>
      </c>
      <c r="H263" s="23">
        <f>Intereses_Residual_Mensual!I263</f>
        <v/>
      </c>
      <c r="I263" s="23">
        <f>ROUND(E263 + H263, 2)</f>
        <v/>
      </c>
      <c r="J263" s="23">
        <f>Intereses_Leasing_Mensual!J263</f>
        <v/>
      </c>
      <c r="K263" s="23">
        <f>Amortizacion_Capital_Mensual!K263</f>
        <v/>
      </c>
      <c r="L263" s="23">
        <f>Saldos_Capital_Mensual!J263</f>
        <v/>
      </c>
      <c r="M263" s="23">
        <f>Intereses_Residual_Mensual!J263</f>
        <v/>
      </c>
      <c r="N263" s="23">
        <f>ROUND(J263 + M263, 2)</f>
        <v/>
      </c>
      <c r="O263" s="23">
        <f>Intereses_Leasing_Mensual!K263</f>
        <v/>
      </c>
      <c r="P263" s="23">
        <f>Amortizacion_Capital_Mensual!L263</f>
        <v/>
      </c>
      <c r="Q263" s="23">
        <f>Saldos_Capital_Mensual!K263</f>
        <v/>
      </c>
      <c r="R263" s="23">
        <f>Intereses_Residual_Mensual!K263</f>
        <v/>
      </c>
      <c r="S263" s="23">
        <f>ROUND(O263 + R263, 2)</f>
        <v/>
      </c>
      <c r="T263" s="23">
        <f>Intereses_Leasing_Mensual!L263</f>
        <v/>
      </c>
      <c r="U263" s="23">
        <f>Amortizacion_Capital_Mensual!M263</f>
        <v/>
      </c>
      <c r="V263" s="23">
        <f>Saldos_Capital_Mensual!L263</f>
        <v/>
      </c>
      <c r="W263" s="23">
        <f>Intereses_Residual_Mensual!L263</f>
        <v/>
      </c>
      <c r="X263" s="23">
        <f>ROUND(T263 + W263, 2)</f>
        <v/>
      </c>
      <c r="Y263" s="23">
        <f>Intereses_Leasing_Mensual!M263</f>
        <v/>
      </c>
      <c r="Z263" s="23">
        <f>Amortizacion_Capital_Mensual!N263</f>
        <v/>
      </c>
      <c r="AA263" s="23">
        <f>Saldos_Capital_Mensual!M263</f>
        <v/>
      </c>
      <c r="AB263" s="23">
        <f>Intereses_Residual_Mensual!M263</f>
        <v/>
      </c>
      <c r="AC263" s="23">
        <f>ROUND(Y263 + AB263, 2)</f>
        <v/>
      </c>
      <c r="AD263" s="23">
        <f>Intereses_Leasing_Mensual!N263</f>
        <v/>
      </c>
      <c r="AE263" s="23">
        <f>Amortizacion_Capital_Mensual!O263</f>
        <v/>
      </c>
      <c r="AF263" s="23">
        <f>Saldos_Capital_Mensual!N263</f>
        <v/>
      </c>
      <c r="AG263" s="23">
        <f>Intereses_Residual_Mensual!N263</f>
        <v/>
      </c>
      <c r="AH263" s="23">
        <f>ROUND(AD263 + AG263, 2)</f>
        <v/>
      </c>
      <c r="AI263" s="23">
        <f>Intereses_Leasing_Mensual!O263</f>
        <v/>
      </c>
      <c r="AJ263" s="23">
        <f>Amortizacion_Capital_Mensual!P263</f>
        <v/>
      </c>
      <c r="AK263" s="23">
        <f>Saldos_Capital_Mensual!O263</f>
        <v/>
      </c>
      <c r="AL263" s="23">
        <f>Intereses_Residual_Mensual!O263</f>
        <v/>
      </c>
      <c r="AM263" s="23">
        <f>ROUND(AI263 + AL263, 2)</f>
        <v/>
      </c>
      <c r="AN263" s="23">
        <f>Intereses_Leasing_Mensual!P263</f>
        <v/>
      </c>
      <c r="AO263" s="23">
        <f>Amortizacion_Capital_Mensual!Q263</f>
        <v/>
      </c>
      <c r="AP263" s="23">
        <f>Saldos_Capital_Mensual!P263</f>
        <v/>
      </c>
      <c r="AQ263" s="23">
        <f>Intereses_Residual_Mensual!P263</f>
        <v/>
      </c>
      <c r="AR263" s="23">
        <f>ROUND(AN263 + AQ263, 2)</f>
        <v/>
      </c>
      <c r="AS263" s="23">
        <f>Intereses_Leasing_Mensual!Q263</f>
        <v/>
      </c>
      <c r="AT263" s="23">
        <f>Amortizacion_Capital_Mensual!R263</f>
        <v/>
      </c>
      <c r="AU263" s="23">
        <f>Saldos_Capital_Mensual!Q263</f>
        <v/>
      </c>
      <c r="AV263" s="23">
        <f>Intereses_Residual_Mensual!Q263</f>
        <v/>
      </c>
      <c r="AW263" s="23">
        <f>ROUND(AS263 + AV263, 2)</f>
        <v/>
      </c>
      <c r="AX263" s="23">
        <f>Intereses_Leasing_Mensual!R263</f>
        <v/>
      </c>
      <c r="AY263" s="23">
        <f>Amortizacion_Capital_Mensual!S263</f>
        <v/>
      </c>
      <c r="AZ263" s="23">
        <f>Saldos_Capital_Mensual!R263</f>
        <v/>
      </c>
      <c r="BA263" s="23">
        <f>Intereses_Residual_Mensual!R263</f>
        <v/>
      </c>
      <c r="BB263" s="23">
        <f>ROUND(AX263 + BA263, 2)</f>
        <v/>
      </c>
      <c r="BC263" s="23">
        <f>Intereses_Leasing_Mensual!S263</f>
        <v/>
      </c>
      <c r="BD263" s="23">
        <f>Amortizacion_Capital_Mensual!T263</f>
        <v/>
      </c>
      <c r="BE263" s="23">
        <f>Saldos_Capital_Mensual!S263</f>
        <v/>
      </c>
      <c r="BF263" s="23">
        <f>Intereses_Residual_Mensual!S263</f>
        <v/>
      </c>
      <c r="BG263" s="23">
        <f>ROUND(BC263 + BF263, 2)</f>
        <v/>
      </c>
      <c r="BH263" s="23">
        <f>Intereses_Leasing_Mensual!T263</f>
        <v/>
      </c>
      <c r="BI263" s="23">
        <f>Amortizacion_Capital_Mensual!U263</f>
        <v/>
      </c>
      <c r="BJ263" s="23">
        <f>Saldos_Capital_Mensual!T263</f>
        <v/>
      </c>
      <c r="BK263" s="23">
        <f>Intereses_Residual_Mensual!T263</f>
        <v/>
      </c>
      <c r="BL263" s="23">
        <f>ROUND(BH263 + BK263, 2)</f>
        <v/>
      </c>
    </row>
    <row r="264">
      <c r="A264" s="26" t="inlineStr">
        <is>
          <t>0769-0002</t>
        </is>
      </c>
      <c r="B264" s="27" t="inlineStr">
        <is>
          <t>Paloma Bernhardt Partida</t>
        </is>
      </c>
      <c r="C264" s="27" t="inlineStr">
        <is>
          <t>Ram 700 Tradesman 2026</t>
        </is>
      </c>
      <c r="D264" s="28" t="n">
        <v>36</v>
      </c>
      <c r="E264" s="29">
        <f>Intereses_Leasing_Mensual!I264</f>
        <v/>
      </c>
      <c r="F264" s="29">
        <f>Amortizacion_Capital_Mensual!J264</f>
        <v/>
      </c>
      <c r="G264" s="29">
        <f>Saldos_Capital_Mensual!I264</f>
        <v/>
      </c>
      <c r="H264" s="29">
        <f>Intereses_Residual_Mensual!I264</f>
        <v/>
      </c>
      <c r="I264" s="29">
        <f>ROUND(E264 + H264, 2)</f>
        <v/>
      </c>
      <c r="J264" s="29">
        <f>Intereses_Leasing_Mensual!J264</f>
        <v/>
      </c>
      <c r="K264" s="29">
        <f>Amortizacion_Capital_Mensual!K264</f>
        <v/>
      </c>
      <c r="L264" s="29">
        <f>Saldos_Capital_Mensual!J264</f>
        <v/>
      </c>
      <c r="M264" s="29">
        <f>Intereses_Residual_Mensual!J264</f>
        <v/>
      </c>
      <c r="N264" s="29">
        <f>ROUND(J264 + M264, 2)</f>
        <v/>
      </c>
      <c r="O264" s="29">
        <f>Intereses_Leasing_Mensual!K264</f>
        <v/>
      </c>
      <c r="P264" s="29">
        <f>Amortizacion_Capital_Mensual!L264</f>
        <v/>
      </c>
      <c r="Q264" s="29">
        <f>Saldos_Capital_Mensual!K264</f>
        <v/>
      </c>
      <c r="R264" s="29">
        <f>Intereses_Residual_Mensual!K264</f>
        <v/>
      </c>
      <c r="S264" s="29">
        <f>ROUND(O264 + R264, 2)</f>
        <v/>
      </c>
      <c r="T264" s="29">
        <f>Intereses_Leasing_Mensual!L264</f>
        <v/>
      </c>
      <c r="U264" s="29">
        <f>Amortizacion_Capital_Mensual!M264</f>
        <v/>
      </c>
      <c r="V264" s="29">
        <f>Saldos_Capital_Mensual!L264</f>
        <v/>
      </c>
      <c r="W264" s="29">
        <f>Intereses_Residual_Mensual!L264</f>
        <v/>
      </c>
      <c r="X264" s="29">
        <f>ROUND(T264 + W264, 2)</f>
        <v/>
      </c>
      <c r="Y264" s="29">
        <f>Intereses_Leasing_Mensual!M264</f>
        <v/>
      </c>
      <c r="Z264" s="29">
        <f>Amortizacion_Capital_Mensual!N264</f>
        <v/>
      </c>
      <c r="AA264" s="29">
        <f>Saldos_Capital_Mensual!M264</f>
        <v/>
      </c>
      <c r="AB264" s="29">
        <f>Intereses_Residual_Mensual!M264</f>
        <v/>
      </c>
      <c r="AC264" s="29">
        <f>ROUND(Y264 + AB264, 2)</f>
        <v/>
      </c>
      <c r="AD264" s="29">
        <f>Intereses_Leasing_Mensual!N264</f>
        <v/>
      </c>
      <c r="AE264" s="29">
        <f>Amortizacion_Capital_Mensual!O264</f>
        <v/>
      </c>
      <c r="AF264" s="29">
        <f>Saldos_Capital_Mensual!N264</f>
        <v/>
      </c>
      <c r="AG264" s="29">
        <f>Intereses_Residual_Mensual!N264</f>
        <v/>
      </c>
      <c r="AH264" s="29">
        <f>ROUND(AD264 + AG264, 2)</f>
        <v/>
      </c>
      <c r="AI264" s="29">
        <f>Intereses_Leasing_Mensual!O264</f>
        <v/>
      </c>
      <c r="AJ264" s="29">
        <f>Amortizacion_Capital_Mensual!P264</f>
        <v/>
      </c>
      <c r="AK264" s="29">
        <f>Saldos_Capital_Mensual!O264</f>
        <v/>
      </c>
      <c r="AL264" s="29">
        <f>Intereses_Residual_Mensual!O264</f>
        <v/>
      </c>
      <c r="AM264" s="29">
        <f>ROUND(AI264 + AL264, 2)</f>
        <v/>
      </c>
      <c r="AN264" s="29">
        <f>Intereses_Leasing_Mensual!P264</f>
        <v/>
      </c>
      <c r="AO264" s="29">
        <f>Amortizacion_Capital_Mensual!Q264</f>
        <v/>
      </c>
      <c r="AP264" s="29">
        <f>Saldos_Capital_Mensual!P264</f>
        <v/>
      </c>
      <c r="AQ264" s="29">
        <f>Intereses_Residual_Mensual!P264</f>
        <v/>
      </c>
      <c r="AR264" s="29">
        <f>ROUND(AN264 + AQ264, 2)</f>
        <v/>
      </c>
      <c r="AS264" s="29">
        <f>Intereses_Leasing_Mensual!Q264</f>
        <v/>
      </c>
      <c r="AT264" s="29">
        <f>Amortizacion_Capital_Mensual!R264</f>
        <v/>
      </c>
      <c r="AU264" s="29">
        <f>Saldos_Capital_Mensual!Q264</f>
        <v/>
      </c>
      <c r="AV264" s="29">
        <f>Intereses_Residual_Mensual!Q264</f>
        <v/>
      </c>
      <c r="AW264" s="29">
        <f>ROUND(AS264 + AV264, 2)</f>
        <v/>
      </c>
      <c r="AX264" s="29">
        <f>Intereses_Leasing_Mensual!R264</f>
        <v/>
      </c>
      <c r="AY264" s="29">
        <f>Amortizacion_Capital_Mensual!S264</f>
        <v/>
      </c>
      <c r="AZ264" s="29">
        <f>Saldos_Capital_Mensual!R264</f>
        <v/>
      </c>
      <c r="BA264" s="29">
        <f>Intereses_Residual_Mensual!R264</f>
        <v/>
      </c>
      <c r="BB264" s="29">
        <f>ROUND(AX264 + BA264, 2)</f>
        <v/>
      </c>
      <c r="BC264" s="29">
        <f>Intereses_Leasing_Mensual!S264</f>
        <v/>
      </c>
      <c r="BD264" s="29">
        <f>Amortizacion_Capital_Mensual!T264</f>
        <v/>
      </c>
      <c r="BE264" s="29">
        <f>Saldos_Capital_Mensual!S264</f>
        <v/>
      </c>
      <c r="BF264" s="29">
        <f>Intereses_Residual_Mensual!S264</f>
        <v/>
      </c>
      <c r="BG264" s="29">
        <f>ROUND(BC264 + BF264, 2)</f>
        <v/>
      </c>
      <c r="BH264" s="29">
        <f>Intereses_Leasing_Mensual!T264</f>
        <v/>
      </c>
      <c r="BI264" s="29">
        <f>Amortizacion_Capital_Mensual!U264</f>
        <v/>
      </c>
      <c r="BJ264" s="29">
        <f>Saldos_Capital_Mensual!T264</f>
        <v/>
      </c>
      <c r="BK264" s="29">
        <f>Intereses_Residual_Mensual!T264</f>
        <v/>
      </c>
      <c r="BL264" s="29">
        <f>ROUND(BH264 + BK264, 2)</f>
        <v/>
      </c>
    </row>
    <row r="265">
      <c r="A265" s="20" t="inlineStr">
        <is>
          <t>0770-0001</t>
        </is>
      </c>
      <c r="B265" s="21" t="inlineStr">
        <is>
          <t>Jorge Octavio Micher Camarena</t>
        </is>
      </c>
      <c r="C265" s="21" t="inlineStr">
        <is>
          <t>Jeep Cherokee Overland 2026</t>
        </is>
      </c>
      <c r="D265" s="22" t="n">
        <v>36</v>
      </c>
      <c r="E265" s="23">
        <f>Intereses_Leasing_Mensual!I265</f>
        <v/>
      </c>
      <c r="F265" s="23">
        <f>Amortizacion_Capital_Mensual!J265</f>
        <v/>
      </c>
      <c r="G265" s="23">
        <f>Saldos_Capital_Mensual!I265</f>
        <v/>
      </c>
      <c r="H265" s="23">
        <f>Intereses_Residual_Mensual!I265</f>
        <v/>
      </c>
      <c r="I265" s="23">
        <f>ROUND(E265 + H265, 2)</f>
        <v/>
      </c>
      <c r="J265" s="23">
        <f>Intereses_Leasing_Mensual!J265</f>
        <v/>
      </c>
      <c r="K265" s="23">
        <f>Amortizacion_Capital_Mensual!K265</f>
        <v/>
      </c>
      <c r="L265" s="23">
        <f>Saldos_Capital_Mensual!J265</f>
        <v/>
      </c>
      <c r="M265" s="23">
        <f>Intereses_Residual_Mensual!J265</f>
        <v/>
      </c>
      <c r="N265" s="23">
        <f>ROUND(J265 + M265, 2)</f>
        <v/>
      </c>
      <c r="O265" s="23">
        <f>Intereses_Leasing_Mensual!K265</f>
        <v/>
      </c>
      <c r="P265" s="23">
        <f>Amortizacion_Capital_Mensual!L265</f>
        <v/>
      </c>
      <c r="Q265" s="23">
        <f>Saldos_Capital_Mensual!K265</f>
        <v/>
      </c>
      <c r="R265" s="23">
        <f>Intereses_Residual_Mensual!K265</f>
        <v/>
      </c>
      <c r="S265" s="23">
        <f>ROUND(O265 + R265, 2)</f>
        <v/>
      </c>
      <c r="T265" s="23">
        <f>Intereses_Leasing_Mensual!L265</f>
        <v/>
      </c>
      <c r="U265" s="23">
        <f>Amortizacion_Capital_Mensual!M265</f>
        <v/>
      </c>
      <c r="V265" s="23">
        <f>Saldos_Capital_Mensual!L265</f>
        <v/>
      </c>
      <c r="W265" s="23">
        <f>Intereses_Residual_Mensual!L265</f>
        <v/>
      </c>
      <c r="X265" s="23">
        <f>ROUND(T265 + W265, 2)</f>
        <v/>
      </c>
      <c r="Y265" s="23">
        <f>Intereses_Leasing_Mensual!M265</f>
        <v/>
      </c>
      <c r="Z265" s="23">
        <f>Amortizacion_Capital_Mensual!N265</f>
        <v/>
      </c>
      <c r="AA265" s="23">
        <f>Saldos_Capital_Mensual!M265</f>
        <v/>
      </c>
      <c r="AB265" s="23">
        <f>Intereses_Residual_Mensual!M265</f>
        <v/>
      </c>
      <c r="AC265" s="23">
        <f>ROUND(Y265 + AB265, 2)</f>
        <v/>
      </c>
      <c r="AD265" s="23">
        <f>Intereses_Leasing_Mensual!N265</f>
        <v/>
      </c>
      <c r="AE265" s="23">
        <f>Amortizacion_Capital_Mensual!O265</f>
        <v/>
      </c>
      <c r="AF265" s="23">
        <f>Saldos_Capital_Mensual!N265</f>
        <v/>
      </c>
      <c r="AG265" s="23">
        <f>Intereses_Residual_Mensual!N265</f>
        <v/>
      </c>
      <c r="AH265" s="23">
        <f>ROUND(AD265 + AG265, 2)</f>
        <v/>
      </c>
      <c r="AI265" s="23">
        <f>Intereses_Leasing_Mensual!O265</f>
        <v/>
      </c>
      <c r="AJ265" s="23">
        <f>Amortizacion_Capital_Mensual!P265</f>
        <v/>
      </c>
      <c r="AK265" s="23">
        <f>Saldos_Capital_Mensual!O265</f>
        <v/>
      </c>
      <c r="AL265" s="23">
        <f>Intereses_Residual_Mensual!O265</f>
        <v/>
      </c>
      <c r="AM265" s="23">
        <f>ROUND(AI265 + AL265, 2)</f>
        <v/>
      </c>
      <c r="AN265" s="23">
        <f>Intereses_Leasing_Mensual!P265</f>
        <v/>
      </c>
      <c r="AO265" s="23">
        <f>Amortizacion_Capital_Mensual!Q265</f>
        <v/>
      </c>
      <c r="AP265" s="23">
        <f>Saldos_Capital_Mensual!P265</f>
        <v/>
      </c>
      <c r="AQ265" s="23">
        <f>Intereses_Residual_Mensual!P265</f>
        <v/>
      </c>
      <c r="AR265" s="23">
        <f>ROUND(AN265 + AQ265, 2)</f>
        <v/>
      </c>
      <c r="AS265" s="23">
        <f>Intereses_Leasing_Mensual!Q265</f>
        <v/>
      </c>
      <c r="AT265" s="23">
        <f>Amortizacion_Capital_Mensual!R265</f>
        <v/>
      </c>
      <c r="AU265" s="23">
        <f>Saldos_Capital_Mensual!Q265</f>
        <v/>
      </c>
      <c r="AV265" s="23">
        <f>Intereses_Residual_Mensual!Q265</f>
        <v/>
      </c>
      <c r="AW265" s="23">
        <f>ROUND(AS265 + AV265, 2)</f>
        <v/>
      </c>
      <c r="AX265" s="23">
        <f>Intereses_Leasing_Mensual!R265</f>
        <v/>
      </c>
      <c r="AY265" s="23">
        <f>Amortizacion_Capital_Mensual!S265</f>
        <v/>
      </c>
      <c r="AZ265" s="23">
        <f>Saldos_Capital_Mensual!R265</f>
        <v/>
      </c>
      <c r="BA265" s="23">
        <f>Intereses_Residual_Mensual!R265</f>
        <v/>
      </c>
      <c r="BB265" s="23">
        <f>ROUND(AX265 + BA265, 2)</f>
        <v/>
      </c>
      <c r="BC265" s="23">
        <f>Intereses_Leasing_Mensual!S265</f>
        <v/>
      </c>
      <c r="BD265" s="23">
        <f>Amortizacion_Capital_Mensual!T265</f>
        <v/>
      </c>
      <c r="BE265" s="23">
        <f>Saldos_Capital_Mensual!S265</f>
        <v/>
      </c>
      <c r="BF265" s="23">
        <f>Intereses_Residual_Mensual!S265</f>
        <v/>
      </c>
      <c r="BG265" s="23">
        <f>ROUND(BC265 + BF265, 2)</f>
        <v/>
      </c>
      <c r="BH265" s="23">
        <f>Intereses_Leasing_Mensual!T265</f>
        <v/>
      </c>
      <c r="BI265" s="23">
        <f>Amortizacion_Capital_Mensual!U265</f>
        <v/>
      </c>
      <c r="BJ265" s="23">
        <f>Saldos_Capital_Mensual!T265</f>
        <v/>
      </c>
      <c r="BK265" s="23">
        <f>Intereses_Residual_Mensual!T265</f>
        <v/>
      </c>
      <c r="BL265" s="23">
        <f>ROUND(BH265 + BK265, 2)</f>
        <v/>
      </c>
    </row>
    <row r="266">
      <c r="A266" s="26" t="inlineStr">
        <is>
          <t>0771-0001</t>
        </is>
      </c>
      <c r="B266" s="27" t="inlineStr">
        <is>
          <t>Inbcom de Colima</t>
        </is>
      </c>
      <c r="C266" s="27" t="inlineStr">
        <is>
          <t>Ram 1200 Tradesman CC 2026</t>
        </is>
      </c>
      <c r="D266" s="28" t="n">
        <v>12</v>
      </c>
      <c r="E266" s="29">
        <f>Intereses_Leasing_Mensual!I266</f>
        <v/>
      </c>
      <c r="F266" s="29">
        <f>Amortizacion_Capital_Mensual!J266</f>
        <v/>
      </c>
      <c r="G266" s="29">
        <f>Saldos_Capital_Mensual!I266</f>
        <v/>
      </c>
      <c r="H266" s="29">
        <f>Intereses_Residual_Mensual!I266</f>
        <v/>
      </c>
      <c r="I266" s="29">
        <f>ROUND(E266 + H266, 2)</f>
        <v/>
      </c>
      <c r="J266" s="29">
        <f>Intereses_Leasing_Mensual!J266</f>
        <v/>
      </c>
      <c r="K266" s="29">
        <f>Amortizacion_Capital_Mensual!K266</f>
        <v/>
      </c>
      <c r="L266" s="29">
        <f>Saldos_Capital_Mensual!J266</f>
        <v/>
      </c>
      <c r="M266" s="29">
        <f>Intereses_Residual_Mensual!J266</f>
        <v/>
      </c>
      <c r="N266" s="29">
        <f>ROUND(J266 + M266, 2)</f>
        <v/>
      </c>
      <c r="O266" s="29">
        <f>Intereses_Leasing_Mensual!K266</f>
        <v/>
      </c>
      <c r="P266" s="29">
        <f>Amortizacion_Capital_Mensual!L266</f>
        <v/>
      </c>
      <c r="Q266" s="29">
        <f>Saldos_Capital_Mensual!K266</f>
        <v/>
      </c>
      <c r="R266" s="29">
        <f>Intereses_Residual_Mensual!K266</f>
        <v/>
      </c>
      <c r="S266" s="29">
        <f>ROUND(O266 + R266, 2)</f>
        <v/>
      </c>
      <c r="T266" s="29">
        <f>Intereses_Leasing_Mensual!L266</f>
        <v/>
      </c>
      <c r="U266" s="29">
        <f>Amortizacion_Capital_Mensual!M266</f>
        <v/>
      </c>
      <c r="V266" s="29">
        <f>Saldos_Capital_Mensual!L266</f>
        <v/>
      </c>
      <c r="W266" s="29">
        <f>Intereses_Residual_Mensual!L266</f>
        <v/>
      </c>
      <c r="X266" s="29">
        <f>ROUND(T266 + W266, 2)</f>
        <v/>
      </c>
      <c r="Y266" s="29">
        <f>Intereses_Leasing_Mensual!M266</f>
        <v/>
      </c>
      <c r="Z266" s="29">
        <f>Amortizacion_Capital_Mensual!N266</f>
        <v/>
      </c>
      <c r="AA266" s="29">
        <f>Saldos_Capital_Mensual!M266</f>
        <v/>
      </c>
      <c r="AB266" s="29">
        <f>Intereses_Residual_Mensual!M266</f>
        <v/>
      </c>
      <c r="AC266" s="29">
        <f>ROUND(Y266 + AB266, 2)</f>
        <v/>
      </c>
      <c r="AD266" s="29">
        <f>Intereses_Leasing_Mensual!N266</f>
        <v/>
      </c>
      <c r="AE266" s="29">
        <f>Amortizacion_Capital_Mensual!O266</f>
        <v/>
      </c>
      <c r="AF266" s="29">
        <f>Saldos_Capital_Mensual!N266</f>
        <v/>
      </c>
      <c r="AG266" s="29">
        <f>Intereses_Residual_Mensual!N266</f>
        <v/>
      </c>
      <c r="AH266" s="29">
        <f>ROUND(AD266 + AG266, 2)</f>
        <v/>
      </c>
      <c r="AI266" s="29">
        <f>Intereses_Leasing_Mensual!O266</f>
        <v/>
      </c>
      <c r="AJ266" s="29">
        <f>Amortizacion_Capital_Mensual!P266</f>
        <v/>
      </c>
      <c r="AK266" s="29">
        <f>Saldos_Capital_Mensual!O266</f>
        <v/>
      </c>
      <c r="AL266" s="29">
        <f>Intereses_Residual_Mensual!O266</f>
        <v/>
      </c>
      <c r="AM266" s="29">
        <f>ROUND(AI266 + AL266, 2)</f>
        <v/>
      </c>
      <c r="AN266" s="29">
        <f>Intereses_Leasing_Mensual!P266</f>
        <v/>
      </c>
      <c r="AO266" s="29">
        <f>Amortizacion_Capital_Mensual!Q266</f>
        <v/>
      </c>
      <c r="AP266" s="29">
        <f>Saldos_Capital_Mensual!P266</f>
        <v/>
      </c>
      <c r="AQ266" s="29">
        <f>Intereses_Residual_Mensual!P266</f>
        <v/>
      </c>
      <c r="AR266" s="29">
        <f>ROUND(AN266 + AQ266, 2)</f>
        <v/>
      </c>
      <c r="AS266" s="29">
        <f>Intereses_Leasing_Mensual!Q266</f>
        <v/>
      </c>
      <c r="AT266" s="29">
        <f>Amortizacion_Capital_Mensual!R266</f>
        <v/>
      </c>
      <c r="AU266" s="29">
        <f>Saldos_Capital_Mensual!Q266</f>
        <v/>
      </c>
      <c r="AV266" s="29">
        <f>Intereses_Residual_Mensual!Q266</f>
        <v/>
      </c>
      <c r="AW266" s="29">
        <f>ROUND(AS266 + AV266, 2)</f>
        <v/>
      </c>
      <c r="AX266" s="29">
        <f>Intereses_Leasing_Mensual!R266</f>
        <v/>
      </c>
      <c r="AY266" s="29">
        <f>Amortizacion_Capital_Mensual!S266</f>
        <v/>
      </c>
      <c r="AZ266" s="29">
        <f>Saldos_Capital_Mensual!R266</f>
        <v/>
      </c>
      <c r="BA266" s="29">
        <f>Intereses_Residual_Mensual!R266</f>
        <v/>
      </c>
      <c r="BB266" s="29">
        <f>ROUND(AX266 + BA266, 2)</f>
        <v/>
      </c>
      <c r="BC266" s="29">
        <f>Intereses_Leasing_Mensual!S266</f>
        <v/>
      </c>
      <c r="BD266" s="29">
        <f>Amortizacion_Capital_Mensual!T266</f>
        <v/>
      </c>
      <c r="BE266" s="29">
        <f>Saldos_Capital_Mensual!S266</f>
        <v/>
      </c>
      <c r="BF266" s="29">
        <f>Intereses_Residual_Mensual!S266</f>
        <v/>
      </c>
      <c r="BG266" s="29">
        <f>ROUND(BC266 + BF266, 2)</f>
        <v/>
      </c>
      <c r="BH266" s="29">
        <f>Intereses_Leasing_Mensual!T266</f>
        <v/>
      </c>
      <c r="BI266" s="29">
        <f>Amortizacion_Capital_Mensual!U266</f>
        <v/>
      </c>
      <c r="BJ266" s="29">
        <f>Saldos_Capital_Mensual!T266</f>
        <v/>
      </c>
      <c r="BK266" s="29">
        <f>Intereses_Residual_Mensual!T266</f>
        <v/>
      </c>
      <c r="BL266" s="29">
        <f>ROUND(BH266 + BK266, 2)</f>
        <v/>
      </c>
    </row>
    <row r="267">
      <c r="A267" s="20" t="inlineStr">
        <is>
          <t>0772-0001</t>
        </is>
      </c>
      <c r="B267" s="21" t="inlineStr">
        <is>
          <t>Logistica y Transporte de Carga LGT</t>
        </is>
      </c>
      <c r="C267" s="21" t="inlineStr">
        <is>
          <t>Ram 1200 Laramie 2026</t>
        </is>
      </c>
      <c r="D267" s="22" t="n">
        <v>48</v>
      </c>
      <c r="E267" s="23">
        <f>Intereses_Leasing_Mensual!I267</f>
        <v/>
      </c>
      <c r="F267" s="23">
        <f>Amortizacion_Capital_Mensual!J267</f>
        <v/>
      </c>
      <c r="G267" s="23">
        <f>Saldos_Capital_Mensual!I267</f>
        <v/>
      </c>
      <c r="H267" s="23">
        <f>Intereses_Residual_Mensual!I267</f>
        <v/>
      </c>
      <c r="I267" s="23">
        <f>ROUND(E267 + H267, 2)</f>
        <v/>
      </c>
      <c r="J267" s="23">
        <f>Intereses_Leasing_Mensual!J267</f>
        <v/>
      </c>
      <c r="K267" s="23">
        <f>Amortizacion_Capital_Mensual!K267</f>
        <v/>
      </c>
      <c r="L267" s="23">
        <f>Saldos_Capital_Mensual!J267</f>
        <v/>
      </c>
      <c r="M267" s="23">
        <f>Intereses_Residual_Mensual!J267</f>
        <v/>
      </c>
      <c r="N267" s="23">
        <f>ROUND(J267 + M267, 2)</f>
        <v/>
      </c>
      <c r="O267" s="23">
        <f>Intereses_Leasing_Mensual!K267</f>
        <v/>
      </c>
      <c r="P267" s="23">
        <f>Amortizacion_Capital_Mensual!L267</f>
        <v/>
      </c>
      <c r="Q267" s="23">
        <f>Saldos_Capital_Mensual!K267</f>
        <v/>
      </c>
      <c r="R267" s="23">
        <f>Intereses_Residual_Mensual!K267</f>
        <v/>
      </c>
      <c r="S267" s="23">
        <f>ROUND(O267 + R267, 2)</f>
        <v/>
      </c>
      <c r="T267" s="23">
        <f>Intereses_Leasing_Mensual!L267</f>
        <v/>
      </c>
      <c r="U267" s="23">
        <f>Amortizacion_Capital_Mensual!M267</f>
        <v/>
      </c>
      <c r="V267" s="23">
        <f>Saldos_Capital_Mensual!L267</f>
        <v/>
      </c>
      <c r="W267" s="23">
        <f>Intereses_Residual_Mensual!L267</f>
        <v/>
      </c>
      <c r="X267" s="23">
        <f>ROUND(T267 + W267, 2)</f>
        <v/>
      </c>
      <c r="Y267" s="23">
        <f>Intereses_Leasing_Mensual!M267</f>
        <v/>
      </c>
      <c r="Z267" s="23">
        <f>Amortizacion_Capital_Mensual!N267</f>
        <v/>
      </c>
      <c r="AA267" s="23">
        <f>Saldos_Capital_Mensual!M267</f>
        <v/>
      </c>
      <c r="AB267" s="23">
        <f>Intereses_Residual_Mensual!M267</f>
        <v/>
      </c>
      <c r="AC267" s="23">
        <f>ROUND(Y267 + AB267, 2)</f>
        <v/>
      </c>
      <c r="AD267" s="23">
        <f>Intereses_Leasing_Mensual!N267</f>
        <v/>
      </c>
      <c r="AE267" s="23">
        <f>Amortizacion_Capital_Mensual!O267</f>
        <v/>
      </c>
      <c r="AF267" s="23">
        <f>Saldos_Capital_Mensual!N267</f>
        <v/>
      </c>
      <c r="AG267" s="23">
        <f>Intereses_Residual_Mensual!N267</f>
        <v/>
      </c>
      <c r="AH267" s="23">
        <f>ROUND(AD267 + AG267, 2)</f>
        <v/>
      </c>
      <c r="AI267" s="23">
        <f>Intereses_Leasing_Mensual!O267</f>
        <v/>
      </c>
      <c r="AJ267" s="23">
        <f>Amortizacion_Capital_Mensual!P267</f>
        <v/>
      </c>
      <c r="AK267" s="23">
        <f>Saldos_Capital_Mensual!O267</f>
        <v/>
      </c>
      <c r="AL267" s="23">
        <f>Intereses_Residual_Mensual!O267</f>
        <v/>
      </c>
      <c r="AM267" s="23">
        <f>ROUND(AI267 + AL267, 2)</f>
        <v/>
      </c>
      <c r="AN267" s="23">
        <f>Intereses_Leasing_Mensual!P267</f>
        <v/>
      </c>
      <c r="AO267" s="23">
        <f>Amortizacion_Capital_Mensual!Q267</f>
        <v/>
      </c>
      <c r="AP267" s="23">
        <f>Saldos_Capital_Mensual!P267</f>
        <v/>
      </c>
      <c r="AQ267" s="23">
        <f>Intereses_Residual_Mensual!P267</f>
        <v/>
      </c>
      <c r="AR267" s="23">
        <f>ROUND(AN267 + AQ267, 2)</f>
        <v/>
      </c>
      <c r="AS267" s="23">
        <f>Intereses_Leasing_Mensual!Q267</f>
        <v/>
      </c>
      <c r="AT267" s="23">
        <f>Amortizacion_Capital_Mensual!R267</f>
        <v/>
      </c>
      <c r="AU267" s="23">
        <f>Saldos_Capital_Mensual!Q267</f>
        <v/>
      </c>
      <c r="AV267" s="23">
        <f>Intereses_Residual_Mensual!Q267</f>
        <v/>
      </c>
      <c r="AW267" s="23">
        <f>ROUND(AS267 + AV267, 2)</f>
        <v/>
      </c>
      <c r="AX267" s="23">
        <f>Intereses_Leasing_Mensual!R267</f>
        <v/>
      </c>
      <c r="AY267" s="23">
        <f>Amortizacion_Capital_Mensual!S267</f>
        <v/>
      </c>
      <c r="AZ267" s="23">
        <f>Saldos_Capital_Mensual!R267</f>
        <v/>
      </c>
      <c r="BA267" s="23">
        <f>Intereses_Residual_Mensual!R267</f>
        <v/>
      </c>
      <c r="BB267" s="23">
        <f>ROUND(AX267 + BA267, 2)</f>
        <v/>
      </c>
      <c r="BC267" s="23">
        <f>Intereses_Leasing_Mensual!S267</f>
        <v/>
      </c>
      <c r="BD267" s="23">
        <f>Amortizacion_Capital_Mensual!T267</f>
        <v/>
      </c>
      <c r="BE267" s="23">
        <f>Saldos_Capital_Mensual!S267</f>
        <v/>
      </c>
      <c r="BF267" s="23">
        <f>Intereses_Residual_Mensual!S267</f>
        <v/>
      </c>
      <c r="BG267" s="23">
        <f>ROUND(BC267 + BF267, 2)</f>
        <v/>
      </c>
      <c r="BH267" s="23">
        <f>Intereses_Leasing_Mensual!T267</f>
        <v/>
      </c>
      <c r="BI267" s="23">
        <f>Amortizacion_Capital_Mensual!U267</f>
        <v/>
      </c>
      <c r="BJ267" s="23">
        <f>Saldos_Capital_Mensual!T267</f>
        <v/>
      </c>
      <c r="BK267" s="23">
        <f>Intereses_Residual_Mensual!T267</f>
        <v/>
      </c>
      <c r="BL267" s="23">
        <f>ROUND(BH267 + BK267, 2)</f>
        <v/>
      </c>
    </row>
    <row r="268">
      <c r="A268" s="26" t="inlineStr">
        <is>
          <t>0773-0001</t>
        </is>
      </c>
      <c r="B268" s="27" t="inlineStr">
        <is>
          <t>Industrias Besthelg, S.A. de C.V.</t>
        </is>
      </c>
      <c r="C268" s="27" t="inlineStr">
        <is>
          <t>Peugeot Manager Furgon L2H2 2026</t>
        </is>
      </c>
      <c r="D268" s="28" t="n">
        <v>36</v>
      </c>
      <c r="E268" s="29">
        <f>Intereses_Leasing_Mensual!I268</f>
        <v/>
      </c>
      <c r="F268" s="29">
        <f>Amortizacion_Capital_Mensual!J268</f>
        <v/>
      </c>
      <c r="G268" s="29">
        <f>Saldos_Capital_Mensual!I268</f>
        <v/>
      </c>
      <c r="H268" s="29">
        <f>Intereses_Residual_Mensual!I268</f>
        <v/>
      </c>
      <c r="I268" s="29">
        <f>ROUND(E268 + H268, 2)</f>
        <v/>
      </c>
      <c r="J268" s="29">
        <f>Intereses_Leasing_Mensual!J268</f>
        <v/>
      </c>
      <c r="K268" s="29">
        <f>Amortizacion_Capital_Mensual!K268</f>
        <v/>
      </c>
      <c r="L268" s="29">
        <f>Saldos_Capital_Mensual!J268</f>
        <v/>
      </c>
      <c r="M268" s="29">
        <f>Intereses_Residual_Mensual!J268</f>
        <v/>
      </c>
      <c r="N268" s="29">
        <f>ROUND(J268 + M268, 2)</f>
        <v/>
      </c>
      <c r="O268" s="29">
        <f>Intereses_Leasing_Mensual!K268</f>
        <v/>
      </c>
      <c r="P268" s="29">
        <f>Amortizacion_Capital_Mensual!L268</f>
        <v/>
      </c>
      <c r="Q268" s="29">
        <f>Saldos_Capital_Mensual!K268</f>
        <v/>
      </c>
      <c r="R268" s="29">
        <f>Intereses_Residual_Mensual!K268</f>
        <v/>
      </c>
      <c r="S268" s="29">
        <f>ROUND(O268 + R268, 2)</f>
        <v/>
      </c>
      <c r="T268" s="29">
        <f>Intereses_Leasing_Mensual!L268</f>
        <v/>
      </c>
      <c r="U268" s="29">
        <f>Amortizacion_Capital_Mensual!M268</f>
        <v/>
      </c>
      <c r="V268" s="29">
        <f>Saldos_Capital_Mensual!L268</f>
        <v/>
      </c>
      <c r="W268" s="29">
        <f>Intereses_Residual_Mensual!L268</f>
        <v/>
      </c>
      <c r="X268" s="29">
        <f>ROUND(T268 + W268, 2)</f>
        <v/>
      </c>
      <c r="Y268" s="29">
        <f>Intereses_Leasing_Mensual!M268</f>
        <v/>
      </c>
      <c r="Z268" s="29">
        <f>Amortizacion_Capital_Mensual!N268</f>
        <v/>
      </c>
      <c r="AA268" s="29">
        <f>Saldos_Capital_Mensual!M268</f>
        <v/>
      </c>
      <c r="AB268" s="29">
        <f>Intereses_Residual_Mensual!M268</f>
        <v/>
      </c>
      <c r="AC268" s="29">
        <f>ROUND(Y268 + AB268, 2)</f>
        <v/>
      </c>
      <c r="AD268" s="29">
        <f>Intereses_Leasing_Mensual!N268</f>
        <v/>
      </c>
      <c r="AE268" s="29">
        <f>Amortizacion_Capital_Mensual!O268</f>
        <v/>
      </c>
      <c r="AF268" s="29">
        <f>Saldos_Capital_Mensual!N268</f>
        <v/>
      </c>
      <c r="AG268" s="29">
        <f>Intereses_Residual_Mensual!N268</f>
        <v/>
      </c>
      <c r="AH268" s="29">
        <f>ROUND(AD268 + AG268, 2)</f>
        <v/>
      </c>
      <c r="AI268" s="29">
        <f>Intereses_Leasing_Mensual!O268</f>
        <v/>
      </c>
      <c r="AJ268" s="29">
        <f>Amortizacion_Capital_Mensual!P268</f>
        <v/>
      </c>
      <c r="AK268" s="29">
        <f>Saldos_Capital_Mensual!O268</f>
        <v/>
      </c>
      <c r="AL268" s="29">
        <f>Intereses_Residual_Mensual!O268</f>
        <v/>
      </c>
      <c r="AM268" s="29">
        <f>ROUND(AI268 + AL268, 2)</f>
        <v/>
      </c>
      <c r="AN268" s="29">
        <f>Intereses_Leasing_Mensual!P268</f>
        <v/>
      </c>
      <c r="AO268" s="29">
        <f>Amortizacion_Capital_Mensual!Q268</f>
        <v/>
      </c>
      <c r="AP268" s="29">
        <f>Saldos_Capital_Mensual!P268</f>
        <v/>
      </c>
      <c r="AQ268" s="29">
        <f>Intereses_Residual_Mensual!P268</f>
        <v/>
      </c>
      <c r="AR268" s="29">
        <f>ROUND(AN268 + AQ268, 2)</f>
        <v/>
      </c>
      <c r="AS268" s="29">
        <f>Intereses_Leasing_Mensual!Q268</f>
        <v/>
      </c>
      <c r="AT268" s="29">
        <f>Amortizacion_Capital_Mensual!R268</f>
        <v/>
      </c>
      <c r="AU268" s="29">
        <f>Saldos_Capital_Mensual!Q268</f>
        <v/>
      </c>
      <c r="AV268" s="29">
        <f>Intereses_Residual_Mensual!Q268</f>
        <v/>
      </c>
      <c r="AW268" s="29">
        <f>ROUND(AS268 + AV268, 2)</f>
        <v/>
      </c>
      <c r="AX268" s="29">
        <f>Intereses_Leasing_Mensual!R268</f>
        <v/>
      </c>
      <c r="AY268" s="29">
        <f>Amortizacion_Capital_Mensual!S268</f>
        <v/>
      </c>
      <c r="AZ268" s="29">
        <f>Saldos_Capital_Mensual!R268</f>
        <v/>
      </c>
      <c r="BA268" s="29">
        <f>Intereses_Residual_Mensual!R268</f>
        <v/>
      </c>
      <c r="BB268" s="29">
        <f>ROUND(AX268 + BA268, 2)</f>
        <v/>
      </c>
      <c r="BC268" s="29">
        <f>Intereses_Leasing_Mensual!S268</f>
        <v/>
      </c>
      <c r="BD268" s="29">
        <f>Amortizacion_Capital_Mensual!T268</f>
        <v/>
      </c>
      <c r="BE268" s="29">
        <f>Saldos_Capital_Mensual!S268</f>
        <v/>
      </c>
      <c r="BF268" s="29">
        <f>Intereses_Residual_Mensual!S268</f>
        <v/>
      </c>
      <c r="BG268" s="29">
        <f>ROUND(BC268 + BF268, 2)</f>
        <v/>
      </c>
      <c r="BH268" s="29">
        <f>Intereses_Leasing_Mensual!T268</f>
        <v/>
      </c>
      <c r="BI268" s="29">
        <f>Amortizacion_Capital_Mensual!U268</f>
        <v/>
      </c>
      <c r="BJ268" s="29">
        <f>Saldos_Capital_Mensual!T268</f>
        <v/>
      </c>
      <c r="BK268" s="29">
        <f>Intereses_Residual_Mensual!T268</f>
        <v/>
      </c>
      <c r="BL268" s="29">
        <f>ROUND(BH268 + BK268, 2)</f>
        <v/>
      </c>
    </row>
    <row r="269">
      <c r="A269" s="20" t="inlineStr">
        <is>
          <t>0773-0002</t>
        </is>
      </c>
      <c r="B269" s="21" t="inlineStr">
        <is>
          <t>Industrias Besthelg, S.A. de C.V.</t>
        </is>
      </c>
      <c r="C269" s="21" t="inlineStr">
        <is>
          <t>Peugeot Manager L4H2 2027</t>
        </is>
      </c>
      <c r="D269" s="22" t="n">
        <v>36</v>
      </c>
      <c r="E269" s="23">
        <f>Intereses_Leasing_Mensual!I269</f>
        <v/>
      </c>
      <c r="F269" s="23">
        <f>Amortizacion_Capital_Mensual!J269</f>
        <v/>
      </c>
      <c r="G269" s="23">
        <f>Saldos_Capital_Mensual!I269</f>
        <v/>
      </c>
      <c r="H269" s="23">
        <f>Intereses_Residual_Mensual!I269</f>
        <v/>
      </c>
      <c r="I269" s="23">
        <f>ROUND(E269 + H269, 2)</f>
        <v/>
      </c>
      <c r="J269" s="23">
        <f>Intereses_Leasing_Mensual!J269</f>
        <v/>
      </c>
      <c r="K269" s="23">
        <f>Amortizacion_Capital_Mensual!K269</f>
        <v/>
      </c>
      <c r="L269" s="23">
        <f>Saldos_Capital_Mensual!J269</f>
        <v/>
      </c>
      <c r="M269" s="23">
        <f>Intereses_Residual_Mensual!J269</f>
        <v/>
      </c>
      <c r="N269" s="23">
        <f>ROUND(J269 + M269, 2)</f>
        <v/>
      </c>
      <c r="O269" s="23">
        <f>Intereses_Leasing_Mensual!K269</f>
        <v/>
      </c>
      <c r="P269" s="23">
        <f>Amortizacion_Capital_Mensual!L269</f>
        <v/>
      </c>
      <c r="Q269" s="23">
        <f>Saldos_Capital_Mensual!K269</f>
        <v/>
      </c>
      <c r="R269" s="23">
        <f>Intereses_Residual_Mensual!K269</f>
        <v/>
      </c>
      <c r="S269" s="23">
        <f>ROUND(O269 + R269, 2)</f>
        <v/>
      </c>
      <c r="T269" s="23">
        <f>Intereses_Leasing_Mensual!L269</f>
        <v/>
      </c>
      <c r="U269" s="23">
        <f>Amortizacion_Capital_Mensual!M269</f>
        <v/>
      </c>
      <c r="V269" s="23">
        <f>Saldos_Capital_Mensual!L269</f>
        <v/>
      </c>
      <c r="W269" s="23">
        <f>Intereses_Residual_Mensual!L269</f>
        <v/>
      </c>
      <c r="X269" s="23">
        <f>ROUND(T269 + W269, 2)</f>
        <v/>
      </c>
      <c r="Y269" s="23">
        <f>Intereses_Leasing_Mensual!M269</f>
        <v/>
      </c>
      <c r="Z269" s="23">
        <f>Amortizacion_Capital_Mensual!N269</f>
        <v/>
      </c>
      <c r="AA269" s="23">
        <f>Saldos_Capital_Mensual!M269</f>
        <v/>
      </c>
      <c r="AB269" s="23">
        <f>Intereses_Residual_Mensual!M269</f>
        <v/>
      </c>
      <c r="AC269" s="23">
        <f>ROUND(Y269 + AB269, 2)</f>
        <v/>
      </c>
      <c r="AD269" s="23">
        <f>Intereses_Leasing_Mensual!N269</f>
        <v/>
      </c>
      <c r="AE269" s="23">
        <f>Amortizacion_Capital_Mensual!O269</f>
        <v/>
      </c>
      <c r="AF269" s="23">
        <f>Saldos_Capital_Mensual!N269</f>
        <v/>
      </c>
      <c r="AG269" s="23">
        <f>Intereses_Residual_Mensual!N269</f>
        <v/>
      </c>
      <c r="AH269" s="23">
        <f>ROUND(AD269 + AG269, 2)</f>
        <v/>
      </c>
      <c r="AI269" s="23">
        <f>Intereses_Leasing_Mensual!O269</f>
        <v/>
      </c>
      <c r="AJ269" s="23">
        <f>Amortizacion_Capital_Mensual!P269</f>
        <v/>
      </c>
      <c r="AK269" s="23">
        <f>Saldos_Capital_Mensual!O269</f>
        <v/>
      </c>
      <c r="AL269" s="23">
        <f>Intereses_Residual_Mensual!O269</f>
        <v/>
      </c>
      <c r="AM269" s="23">
        <f>ROUND(AI269 + AL269, 2)</f>
        <v/>
      </c>
      <c r="AN269" s="23">
        <f>Intereses_Leasing_Mensual!P269</f>
        <v/>
      </c>
      <c r="AO269" s="23">
        <f>Amortizacion_Capital_Mensual!Q269</f>
        <v/>
      </c>
      <c r="AP269" s="23">
        <f>Saldos_Capital_Mensual!P269</f>
        <v/>
      </c>
      <c r="AQ269" s="23">
        <f>Intereses_Residual_Mensual!P269</f>
        <v/>
      </c>
      <c r="AR269" s="23">
        <f>ROUND(AN269 + AQ269, 2)</f>
        <v/>
      </c>
      <c r="AS269" s="23">
        <f>Intereses_Leasing_Mensual!Q269</f>
        <v/>
      </c>
      <c r="AT269" s="23">
        <f>Amortizacion_Capital_Mensual!R269</f>
        <v/>
      </c>
      <c r="AU269" s="23">
        <f>Saldos_Capital_Mensual!Q269</f>
        <v/>
      </c>
      <c r="AV269" s="23">
        <f>Intereses_Residual_Mensual!Q269</f>
        <v/>
      </c>
      <c r="AW269" s="23">
        <f>ROUND(AS269 + AV269, 2)</f>
        <v/>
      </c>
      <c r="AX269" s="23">
        <f>Intereses_Leasing_Mensual!R269</f>
        <v/>
      </c>
      <c r="AY269" s="23">
        <f>Amortizacion_Capital_Mensual!S269</f>
        <v/>
      </c>
      <c r="AZ269" s="23">
        <f>Saldos_Capital_Mensual!R269</f>
        <v/>
      </c>
      <c r="BA269" s="23">
        <f>Intereses_Residual_Mensual!R269</f>
        <v/>
      </c>
      <c r="BB269" s="23">
        <f>ROUND(AX269 + BA269, 2)</f>
        <v/>
      </c>
      <c r="BC269" s="23">
        <f>Intereses_Leasing_Mensual!S269</f>
        <v/>
      </c>
      <c r="BD269" s="23">
        <f>Amortizacion_Capital_Mensual!T269</f>
        <v/>
      </c>
      <c r="BE269" s="23">
        <f>Saldos_Capital_Mensual!S269</f>
        <v/>
      </c>
      <c r="BF269" s="23">
        <f>Intereses_Residual_Mensual!S269</f>
        <v/>
      </c>
      <c r="BG269" s="23">
        <f>ROUND(BC269 + BF269, 2)</f>
        <v/>
      </c>
      <c r="BH269" s="23">
        <f>Intereses_Leasing_Mensual!T269</f>
        <v/>
      </c>
      <c r="BI269" s="23">
        <f>Amortizacion_Capital_Mensual!U269</f>
        <v/>
      </c>
      <c r="BJ269" s="23">
        <f>Saldos_Capital_Mensual!T269</f>
        <v/>
      </c>
      <c r="BK269" s="23">
        <f>Intereses_Residual_Mensual!T269</f>
        <v/>
      </c>
      <c r="BL269" s="23">
        <f>ROUND(BH269 + BK269, 2)</f>
        <v/>
      </c>
    </row>
    <row r="270">
      <c r="A270" s="26" t="inlineStr">
        <is>
          <t>0774-0001</t>
        </is>
      </c>
      <c r="B270" s="27" t="inlineStr">
        <is>
          <t>Grupo Plastikrom</t>
        </is>
      </c>
      <c r="C270" s="27" t="inlineStr">
        <is>
          <t>Jeep Cherokee Overland 2026</t>
        </is>
      </c>
      <c r="D270" s="28" t="n">
        <v>24</v>
      </c>
      <c r="E270" s="29">
        <f>Intereses_Leasing_Mensual!I270</f>
        <v/>
      </c>
      <c r="F270" s="29">
        <f>Amortizacion_Capital_Mensual!J270</f>
        <v/>
      </c>
      <c r="G270" s="29">
        <f>Saldos_Capital_Mensual!I270</f>
        <v/>
      </c>
      <c r="H270" s="29">
        <f>Intereses_Residual_Mensual!I270</f>
        <v/>
      </c>
      <c r="I270" s="29">
        <f>ROUND(E270 + H270, 2)</f>
        <v/>
      </c>
      <c r="J270" s="29">
        <f>Intereses_Leasing_Mensual!J270</f>
        <v/>
      </c>
      <c r="K270" s="29">
        <f>Amortizacion_Capital_Mensual!K270</f>
        <v/>
      </c>
      <c r="L270" s="29">
        <f>Saldos_Capital_Mensual!J270</f>
        <v/>
      </c>
      <c r="M270" s="29">
        <f>Intereses_Residual_Mensual!J270</f>
        <v/>
      </c>
      <c r="N270" s="29">
        <f>ROUND(J270 + M270, 2)</f>
        <v/>
      </c>
      <c r="O270" s="29">
        <f>Intereses_Leasing_Mensual!K270</f>
        <v/>
      </c>
      <c r="P270" s="29">
        <f>Amortizacion_Capital_Mensual!L270</f>
        <v/>
      </c>
      <c r="Q270" s="29">
        <f>Saldos_Capital_Mensual!K270</f>
        <v/>
      </c>
      <c r="R270" s="29">
        <f>Intereses_Residual_Mensual!K270</f>
        <v/>
      </c>
      <c r="S270" s="29">
        <f>ROUND(O270 + R270, 2)</f>
        <v/>
      </c>
      <c r="T270" s="29">
        <f>Intereses_Leasing_Mensual!L270</f>
        <v/>
      </c>
      <c r="U270" s="29">
        <f>Amortizacion_Capital_Mensual!M270</f>
        <v/>
      </c>
      <c r="V270" s="29">
        <f>Saldos_Capital_Mensual!L270</f>
        <v/>
      </c>
      <c r="W270" s="29">
        <f>Intereses_Residual_Mensual!L270</f>
        <v/>
      </c>
      <c r="X270" s="29">
        <f>ROUND(T270 + W270, 2)</f>
        <v/>
      </c>
      <c r="Y270" s="29">
        <f>Intereses_Leasing_Mensual!M270</f>
        <v/>
      </c>
      <c r="Z270" s="29">
        <f>Amortizacion_Capital_Mensual!N270</f>
        <v/>
      </c>
      <c r="AA270" s="29">
        <f>Saldos_Capital_Mensual!M270</f>
        <v/>
      </c>
      <c r="AB270" s="29">
        <f>Intereses_Residual_Mensual!M270</f>
        <v/>
      </c>
      <c r="AC270" s="29">
        <f>ROUND(Y270 + AB270, 2)</f>
        <v/>
      </c>
      <c r="AD270" s="29">
        <f>Intereses_Leasing_Mensual!N270</f>
        <v/>
      </c>
      <c r="AE270" s="29">
        <f>Amortizacion_Capital_Mensual!O270</f>
        <v/>
      </c>
      <c r="AF270" s="29">
        <f>Saldos_Capital_Mensual!N270</f>
        <v/>
      </c>
      <c r="AG270" s="29">
        <f>Intereses_Residual_Mensual!N270</f>
        <v/>
      </c>
      <c r="AH270" s="29">
        <f>ROUND(AD270 + AG270, 2)</f>
        <v/>
      </c>
      <c r="AI270" s="29">
        <f>Intereses_Leasing_Mensual!O270</f>
        <v/>
      </c>
      <c r="AJ270" s="29">
        <f>Amortizacion_Capital_Mensual!P270</f>
        <v/>
      </c>
      <c r="AK270" s="29">
        <f>Saldos_Capital_Mensual!O270</f>
        <v/>
      </c>
      <c r="AL270" s="29">
        <f>Intereses_Residual_Mensual!O270</f>
        <v/>
      </c>
      <c r="AM270" s="29">
        <f>ROUND(AI270 + AL270, 2)</f>
        <v/>
      </c>
      <c r="AN270" s="29">
        <f>Intereses_Leasing_Mensual!P270</f>
        <v/>
      </c>
      <c r="AO270" s="29">
        <f>Amortizacion_Capital_Mensual!Q270</f>
        <v/>
      </c>
      <c r="AP270" s="29">
        <f>Saldos_Capital_Mensual!P270</f>
        <v/>
      </c>
      <c r="AQ270" s="29">
        <f>Intereses_Residual_Mensual!P270</f>
        <v/>
      </c>
      <c r="AR270" s="29">
        <f>ROUND(AN270 + AQ270, 2)</f>
        <v/>
      </c>
      <c r="AS270" s="29">
        <f>Intereses_Leasing_Mensual!Q270</f>
        <v/>
      </c>
      <c r="AT270" s="29">
        <f>Amortizacion_Capital_Mensual!R270</f>
        <v/>
      </c>
      <c r="AU270" s="29">
        <f>Saldos_Capital_Mensual!Q270</f>
        <v/>
      </c>
      <c r="AV270" s="29">
        <f>Intereses_Residual_Mensual!Q270</f>
        <v/>
      </c>
      <c r="AW270" s="29">
        <f>ROUND(AS270 + AV270, 2)</f>
        <v/>
      </c>
      <c r="AX270" s="29">
        <f>Intereses_Leasing_Mensual!R270</f>
        <v/>
      </c>
      <c r="AY270" s="29">
        <f>Amortizacion_Capital_Mensual!S270</f>
        <v/>
      </c>
      <c r="AZ270" s="29">
        <f>Saldos_Capital_Mensual!R270</f>
        <v/>
      </c>
      <c r="BA270" s="29">
        <f>Intereses_Residual_Mensual!R270</f>
        <v/>
      </c>
      <c r="BB270" s="29">
        <f>ROUND(AX270 + BA270, 2)</f>
        <v/>
      </c>
      <c r="BC270" s="29">
        <f>Intereses_Leasing_Mensual!S270</f>
        <v/>
      </c>
      <c r="BD270" s="29">
        <f>Amortizacion_Capital_Mensual!T270</f>
        <v/>
      </c>
      <c r="BE270" s="29">
        <f>Saldos_Capital_Mensual!S270</f>
        <v/>
      </c>
      <c r="BF270" s="29">
        <f>Intereses_Residual_Mensual!S270</f>
        <v/>
      </c>
      <c r="BG270" s="29">
        <f>ROUND(BC270 + BF270, 2)</f>
        <v/>
      </c>
      <c r="BH270" s="29">
        <f>Intereses_Leasing_Mensual!T270</f>
        <v/>
      </c>
      <c r="BI270" s="29">
        <f>Amortizacion_Capital_Mensual!U270</f>
        <v/>
      </c>
      <c r="BJ270" s="29">
        <f>Saldos_Capital_Mensual!T270</f>
        <v/>
      </c>
      <c r="BK270" s="29">
        <f>Intereses_Residual_Mensual!T270</f>
        <v/>
      </c>
      <c r="BL270" s="29">
        <f>ROUND(BH270 + BK270, 2)</f>
        <v/>
      </c>
    </row>
    <row r="271">
      <c r="A271" s="20" t="inlineStr">
        <is>
          <t>0775-0001</t>
        </is>
      </c>
      <c r="B271" s="21" t="inlineStr">
        <is>
          <t>Manuel Ledezma Iñiguez</t>
        </is>
      </c>
      <c r="C271" s="21" t="inlineStr">
        <is>
          <t>Leapmotor B10 2026</t>
        </is>
      </c>
      <c r="D271" s="22" t="n">
        <v>48</v>
      </c>
      <c r="E271" s="23">
        <f>Intereses_Leasing_Mensual!I271</f>
        <v/>
      </c>
      <c r="F271" s="23">
        <f>Amortizacion_Capital_Mensual!J271</f>
        <v/>
      </c>
      <c r="G271" s="23">
        <f>Saldos_Capital_Mensual!I271</f>
        <v/>
      </c>
      <c r="H271" s="23">
        <f>Intereses_Residual_Mensual!I271</f>
        <v/>
      </c>
      <c r="I271" s="23">
        <f>ROUND(E271 + H271, 2)</f>
        <v/>
      </c>
      <c r="J271" s="23">
        <f>Intereses_Leasing_Mensual!J271</f>
        <v/>
      </c>
      <c r="K271" s="23">
        <f>Amortizacion_Capital_Mensual!K271</f>
        <v/>
      </c>
      <c r="L271" s="23">
        <f>Saldos_Capital_Mensual!J271</f>
        <v/>
      </c>
      <c r="M271" s="23">
        <f>Intereses_Residual_Mensual!J271</f>
        <v/>
      </c>
      <c r="N271" s="23">
        <f>ROUND(J271 + M271, 2)</f>
        <v/>
      </c>
      <c r="O271" s="23">
        <f>Intereses_Leasing_Mensual!K271</f>
        <v/>
      </c>
      <c r="P271" s="23">
        <f>Amortizacion_Capital_Mensual!L271</f>
        <v/>
      </c>
      <c r="Q271" s="23">
        <f>Saldos_Capital_Mensual!K271</f>
        <v/>
      </c>
      <c r="R271" s="23">
        <f>Intereses_Residual_Mensual!K271</f>
        <v/>
      </c>
      <c r="S271" s="23">
        <f>ROUND(O271 + R271, 2)</f>
        <v/>
      </c>
      <c r="T271" s="23">
        <f>Intereses_Leasing_Mensual!L271</f>
        <v/>
      </c>
      <c r="U271" s="23">
        <f>Amortizacion_Capital_Mensual!M271</f>
        <v/>
      </c>
      <c r="V271" s="23">
        <f>Saldos_Capital_Mensual!L271</f>
        <v/>
      </c>
      <c r="W271" s="23">
        <f>Intereses_Residual_Mensual!L271</f>
        <v/>
      </c>
      <c r="X271" s="23">
        <f>ROUND(T271 + W271, 2)</f>
        <v/>
      </c>
      <c r="Y271" s="23">
        <f>Intereses_Leasing_Mensual!M271</f>
        <v/>
      </c>
      <c r="Z271" s="23">
        <f>Amortizacion_Capital_Mensual!N271</f>
        <v/>
      </c>
      <c r="AA271" s="23">
        <f>Saldos_Capital_Mensual!M271</f>
        <v/>
      </c>
      <c r="AB271" s="23">
        <f>Intereses_Residual_Mensual!M271</f>
        <v/>
      </c>
      <c r="AC271" s="23">
        <f>ROUND(Y271 + AB271, 2)</f>
        <v/>
      </c>
      <c r="AD271" s="23">
        <f>Intereses_Leasing_Mensual!N271</f>
        <v/>
      </c>
      <c r="AE271" s="23">
        <f>Amortizacion_Capital_Mensual!O271</f>
        <v/>
      </c>
      <c r="AF271" s="23">
        <f>Saldos_Capital_Mensual!N271</f>
        <v/>
      </c>
      <c r="AG271" s="23">
        <f>Intereses_Residual_Mensual!N271</f>
        <v/>
      </c>
      <c r="AH271" s="23">
        <f>ROUND(AD271 + AG271, 2)</f>
        <v/>
      </c>
      <c r="AI271" s="23">
        <f>Intereses_Leasing_Mensual!O271</f>
        <v/>
      </c>
      <c r="AJ271" s="23">
        <f>Amortizacion_Capital_Mensual!P271</f>
        <v/>
      </c>
      <c r="AK271" s="23">
        <f>Saldos_Capital_Mensual!O271</f>
        <v/>
      </c>
      <c r="AL271" s="23">
        <f>Intereses_Residual_Mensual!O271</f>
        <v/>
      </c>
      <c r="AM271" s="23">
        <f>ROUND(AI271 + AL271, 2)</f>
        <v/>
      </c>
      <c r="AN271" s="23">
        <f>Intereses_Leasing_Mensual!P271</f>
        <v/>
      </c>
      <c r="AO271" s="23">
        <f>Amortizacion_Capital_Mensual!Q271</f>
        <v/>
      </c>
      <c r="AP271" s="23">
        <f>Saldos_Capital_Mensual!P271</f>
        <v/>
      </c>
      <c r="AQ271" s="23">
        <f>Intereses_Residual_Mensual!P271</f>
        <v/>
      </c>
      <c r="AR271" s="23">
        <f>ROUND(AN271 + AQ271, 2)</f>
        <v/>
      </c>
      <c r="AS271" s="23">
        <f>Intereses_Leasing_Mensual!Q271</f>
        <v/>
      </c>
      <c r="AT271" s="23">
        <f>Amortizacion_Capital_Mensual!R271</f>
        <v/>
      </c>
      <c r="AU271" s="23">
        <f>Saldos_Capital_Mensual!Q271</f>
        <v/>
      </c>
      <c r="AV271" s="23">
        <f>Intereses_Residual_Mensual!Q271</f>
        <v/>
      </c>
      <c r="AW271" s="23">
        <f>ROUND(AS271 + AV271, 2)</f>
        <v/>
      </c>
      <c r="AX271" s="23">
        <f>Intereses_Leasing_Mensual!R271</f>
        <v/>
      </c>
      <c r="AY271" s="23">
        <f>Amortizacion_Capital_Mensual!S271</f>
        <v/>
      </c>
      <c r="AZ271" s="23">
        <f>Saldos_Capital_Mensual!R271</f>
        <v/>
      </c>
      <c r="BA271" s="23">
        <f>Intereses_Residual_Mensual!R271</f>
        <v/>
      </c>
      <c r="BB271" s="23">
        <f>ROUND(AX271 + BA271, 2)</f>
        <v/>
      </c>
      <c r="BC271" s="23">
        <f>Intereses_Leasing_Mensual!S271</f>
        <v/>
      </c>
      <c r="BD271" s="23">
        <f>Amortizacion_Capital_Mensual!T271</f>
        <v/>
      </c>
      <c r="BE271" s="23">
        <f>Saldos_Capital_Mensual!S271</f>
        <v/>
      </c>
      <c r="BF271" s="23">
        <f>Intereses_Residual_Mensual!S271</f>
        <v/>
      </c>
      <c r="BG271" s="23">
        <f>ROUND(BC271 + BF271, 2)</f>
        <v/>
      </c>
      <c r="BH271" s="23">
        <f>Intereses_Leasing_Mensual!T271</f>
        <v/>
      </c>
      <c r="BI271" s="23">
        <f>Amortizacion_Capital_Mensual!U271</f>
        <v/>
      </c>
      <c r="BJ271" s="23">
        <f>Saldos_Capital_Mensual!T271</f>
        <v/>
      </c>
      <c r="BK271" s="23">
        <f>Intereses_Residual_Mensual!T271</f>
        <v/>
      </c>
      <c r="BL271" s="23">
        <f>ROUND(BH271 + BK271, 2)</f>
        <v/>
      </c>
    </row>
    <row r="272">
      <c r="A272" s="26" t="inlineStr">
        <is>
          <t>0776-0001</t>
        </is>
      </c>
      <c r="B272" s="27" t="inlineStr">
        <is>
          <t>Armando Serna Hernández</t>
        </is>
      </c>
      <c r="C272" s="27" t="inlineStr">
        <is>
          <t>Jeep Grand Cherokee Limited 2026</t>
        </is>
      </c>
      <c r="D272" s="28" t="n">
        <v>48</v>
      </c>
      <c r="E272" s="29">
        <f>Intereses_Leasing_Mensual!I272</f>
        <v/>
      </c>
      <c r="F272" s="29">
        <f>Amortizacion_Capital_Mensual!J272</f>
        <v/>
      </c>
      <c r="G272" s="29">
        <f>Saldos_Capital_Mensual!I272</f>
        <v/>
      </c>
      <c r="H272" s="29">
        <f>Intereses_Residual_Mensual!I272</f>
        <v/>
      </c>
      <c r="I272" s="29">
        <f>ROUND(E272 + H272, 2)</f>
        <v/>
      </c>
      <c r="J272" s="29">
        <f>Intereses_Leasing_Mensual!J272</f>
        <v/>
      </c>
      <c r="K272" s="29">
        <f>Amortizacion_Capital_Mensual!K272</f>
        <v/>
      </c>
      <c r="L272" s="29">
        <f>Saldos_Capital_Mensual!J272</f>
        <v/>
      </c>
      <c r="M272" s="29">
        <f>Intereses_Residual_Mensual!J272</f>
        <v/>
      </c>
      <c r="N272" s="29">
        <f>ROUND(J272 + M272, 2)</f>
        <v/>
      </c>
      <c r="O272" s="29">
        <f>Intereses_Leasing_Mensual!K272</f>
        <v/>
      </c>
      <c r="P272" s="29">
        <f>Amortizacion_Capital_Mensual!L272</f>
        <v/>
      </c>
      <c r="Q272" s="29">
        <f>Saldos_Capital_Mensual!K272</f>
        <v/>
      </c>
      <c r="R272" s="29">
        <f>Intereses_Residual_Mensual!K272</f>
        <v/>
      </c>
      <c r="S272" s="29">
        <f>ROUND(O272 + R272, 2)</f>
        <v/>
      </c>
      <c r="T272" s="29">
        <f>Intereses_Leasing_Mensual!L272</f>
        <v/>
      </c>
      <c r="U272" s="29">
        <f>Amortizacion_Capital_Mensual!M272</f>
        <v/>
      </c>
      <c r="V272" s="29">
        <f>Saldos_Capital_Mensual!L272</f>
        <v/>
      </c>
      <c r="W272" s="29">
        <f>Intereses_Residual_Mensual!L272</f>
        <v/>
      </c>
      <c r="X272" s="29">
        <f>ROUND(T272 + W272, 2)</f>
        <v/>
      </c>
      <c r="Y272" s="29">
        <f>Intereses_Leasing_Mensual!M272</f>
        <v/>
      </c>
      <c r="Z272" s="29">
        <f>Amortizacion_Capital_Mensual!N272</f>
        <v/>
      </c>
      <c r="AA272" s="29">
        <f>Saldos_Capital_Mensual!M272</f>
        <v/>
      </c>
      <c r="AB272" s="29">
        <f>Intereses_Residual_Mensual!M272</f>
        <v/>
      </c>
      <c r="AC272" s="29">
        <f>ROUND(Y272 + AB272, 2)</f>
        <v/>
      </c>
      <c r="AD272" s="29">
        <f>Intereses_Leasing_Mensual!N272</f>
        <v/>
      </c>
      <c r="AE272" s="29">
        <f>Amortizacion_Capital_Mensual!O272</f>
        <v/>
      </c>
      <c r="AF272" s="29">
        <f>Saldos_Capital_Mensual!N272</f>
        <v/>
      </c>
      <c r="AG272" s="29">
        <f>Intereses_Residual_Mensual!N272</f>
        <v/>
      </c>
      <c r="AH272" s="29">
        <f>ROUND(AD272 + AG272, 2)</f>
        <v/>
      </c>
      <c r="AI272" s="29">
        <f>Intereses_Leasing_Mensual!O272</f>
        <v/>
      </c>
      <c r="AJ272" s="29">
        <f>Amortizacion_Capital_Mensual!P272</f>
        <v/>
      </c>
      <c r="AK272" s="29">
        <f>Saldos_Capital_Mensual!O272</f>
        <v/>
      </c>
      <c r="AL272" s="29">
        <f>Intereses_Residual_Mensual!O272</f>
        <v/>
      </c>
      <c r="AM272" s="29">
        <f>ROUND(AI272 + AL272, 2)</f>
        <v/>
      </c>
      <c r="AN272" s="29">
        <f>Intereses_Leasing_Mensual!P272</f>
        <v/>
      </c>
      <c r="AO272" s="29">
        <f>Amortizacion_Capital_Mensual!Q272</f>
        <v/>
      </c>
      <c r="AP272" s="29">
        <f>Saldos_Capital_Mensual!P272</f>
        <v/>
      </c>
      <c r="AQ272" s="29">
        <f>Intereses_Residual_Mensual!P272</f>
        <v/>
      </c>
      <c r="AR272" s="29">
        <f>ROUND(AN272 + AQ272, 2)</f>
        <v/>
      </c>
      <c r="AS272" s="29">
        <f>Intereses_Leasing_Mensual!Q272</f>
        <v/>
      </c>
      <c r="AT272" s="29">
        <f>Amortizacion_Capital_Mensual!R272</f>
        <v/>
      </c>
      <c r="AU272" s="29">
        <f>Saldos_Capital_Mensual!Q272</f>
        <v/>
      </c>
      <c r="AV272" s="29">
        <f>Intereses_Residual_Mensual!Q272</f>
        <v/>
      </c>
      <c r="AW272" s="29">
        <f>ROUND(AS272 + AV272, 2)</f>
        <v/>
      </c>
      <c r="AX272" s="29">
        <f>Intereses_Leasing_Mensual!R272</f>
        <v/>
      </c>
      <c r="AY272" s="29">
        <f>Amortizacion_Capital_Mensual!S272</f>
        <v/>
      </c>
      <c r="AZ272" s="29">
        <f>Saldos_Capital_Mensual!R272</f>
        <v/>
      </c>
      <c r="BA272" s="29">
        <f>Intereses_Residual_Mensual!R272</f>
        <v/>
      </c>
      <c r="BB272" s="29">
        <f>ROUND(AX272 + BA272, 2)</f>
        <v/>
      </c>
      <c r="BC272" s="29">
        <f>Intereses_Leasing_Mensual!S272</f>
        <v/>
      </c>
      <c r="BD272" s="29">
        <f>Amortizacion_Capital_Mensual!T272</f>
        <v/>
      </c>
      <c r="BE272" s="29">
        <f>Saldos_Capital_Mensual!S272</f>
        <v/>
      </c>
      <c r="BF272" s="29">
        <f>Intereses_Residual_Mensual!S272</f>
        <v/>
      </c>
      <c r="BG272" s="29">
        <f>ROUND(BC272 + BF272, 2)</f>
        <v/>
      </c>
      <c r="BH272" s="29">
        <f>Intereses_Leasing_Mensual!T272</f>
        <v/>
      </c>
      <c r="BI272" s="29">
        <f>Amortizacion_Capital_Mensual!U272</f>
        <v/>
      </c>
      <c r="BJ272" s="29">
        <f>Saldos_Capital_Mensual!T272</f>
        <v/>
      </c>
      <c r="BK272" s="29">
        <f>Intereses_Residual_Mensual!T272</f>
        <v/>
      </c>
      <c r="BL272" s="29">
        <f>ROUND(BH272 + BK272, 2)</f>
        <v/>
      </c>
    </row>
    <row r="273">
      <c r="A273" s="20" t="inlineStr">
        <is>
          <t>0777-0001</t>
        </is>
      </c>
      <c r="B273" s="21" t="inlineStr">
        <is>
          <t>Yazmin Alejandra Gomez Olivas</t>
        </is>
      </c>
      <c r="C273" s="21" t="inlineStr">
        <is>
          <t>Jeep Wrangler Rubicon 2026</t>
        </is>
      </c>
      <c r="D273" s="22" t="n">
        <v>48</v>
      </c>
      <c r="E273" s="23">
        <f>Intereses_Leasing_Mensual!I273</f>
        <v/>
      </c>
      <c r="F273" s="23">
        <f>Amortizacion_Capital_Mensual!J273</f>
        <v/>
      </c>
      <c r="G273" s="23">
        <f>Saldos_Capital_Mensual!I273</f>
        <v/>
      </c>
      <c r="H273" s="23">
        <f>Intereses_Residual_Mensual!I273</f>
        <v/>
      </c>
      <c r="I273" s="23">
        <f>ROUND(E273 + H273, 2)</f>
        <v/>
      </c>
      <c r="J273" s="23">
        <f>Intereses_Leasing_Mensual!J273</f>
        <v/>
      </c>
      <c r="K273" s="23">
        <f>Amortizacion_Capital_Mensual!K273</f>
        <v/>
      </c>
      <c r="L273" s="23">
        <f>Saldos_Capital_Mensual!J273</f>
        <v/>
      </c>
      <c r="M273" s="23">
        <f>Intereses_Residual_Mensual!J273</f>
        <v/>
      </c>
      <c r="N273" s="23">
        <f>ROUND(J273 + M273, 2)</f>
        <v/>
      </c>
      <c r="O273" s="23">
        <f>Intereses_Leasing_Mensual!K273</f>
        <v/>
      </c>
      <c r="P273" s="23">
        <f>Amortizacion_Capital_Mensual!L273</f>
        <v/>
      </c>
      <c r="Q273" s="23">
        <f>Saldos_Capital_Mensual!K273</f>
        <v/>
      </c>
      <c r="R273" s="23">
        <f>Intereses_Residual_Mensual!K273</f>
        <v/>
      </c>
      <c r="S273" s="23">
        <f>ROUND(O273 + R273, 2)</f>
        <v/>
      </c>
      <c r="T273" s="23">
        <f>Intereses_Leasing_Mensual!L273</f>
        <v/>
      </c>
      <c r="U273" s="23">
        <f>Amortizacion_Capital_Mensual!M273</f>
        <v/>
      </c>
      <c r="V273" s="23">
        <f>Saldos_Capital_Mensual!L273</f>
        <v/>
      </c>
      <c r="W273" s="23">
        <f>Intereses_Residual_Mensual!L273</f>
        <v/>
      </c>
      <c r="X273" s="23">
        <f>ROUND(T273 + W273, 2)</f>
        <v/>
      </c>
      <c r="Y273" s="23">
        <f>Intereses_Leasing_Mensual!M273</f>
        <v/>
      </c>
      <c r="Z273" s="23">
        <f>Amortizacion_Capital_Mensual!N273</f>
        <v/>
      </c>
      <c r="AA273" s="23">
        <f>Saldos_Capital_Mensual!M273</f>
        <v/>
      </c>
      <c r="AB273" s="23">
        <f>Intereses_Residual_Mensual!M273</f>
        <v/>
      </c>
      <c r="AC273" s="23">
        <f>ROUND(Y273 + AB273, 2)</f>
        <v/>
      </c>
      <c r="AD273" s="23">
        <f>Intereses_Leasing_Mensual!N273</f>
        <v/>
      </c>
      <c r="AE273" s="23">
        <f>Amortizacion_Capital_Mensual!O273</f>
        <v/>
      </c>
      <c r="AF273" s="23">
        <f>Saldos_Capital_Mensual!N273</f>
        <v/>
      </c>
      <c r="AG273" s="23">
        <f>Intereses_Residual_Mensual!N273</f>
        <v/>
      </c>
      <c r="AH273" s="23">
        <f>ROUND(AD273 + AG273, 2)</f>
        <v/>
      </c>
      <c r="AI273" s="23">
        <f>Intereses_Leasing_Mensual!O273</f>
        <v/>
      </c>
      <c r="AJ273" s="23">
        <f>Amortizacion_Capital_Mensual!P273</f>
        <v/>
      </c>
      <c r="AK273" s="23">
        <f>Saldos_Capital_Mensual!O273</f>
        <v/>
      </c>
      <c r="AL273" s="23">
        <f>Intereses_Residual_Mensual!O273</f>
        <v/>
      </c>
      <c r="AM273" s="23">
        <f>ROUND(AI273 + AL273, 2)</f>
        <v/>
      </c>
      <c r="AN273" s="23">
        <f>Intereses_Leasing_Mensual!P273</f>
        <v/>
      </c>
      <c r="AO273" s="23">
        <f>Amortizacion_Capital_Mensual!Q273</f>
        <v/>
      </c>
      <c r="AP273" s="23">
        <f>Saldos_Capital_Mensual!P273</f>
        <v/>
      </c>
      <c r="AQ273" s="23">
        <f>Intereses_Residual_Mensual!P273</f>
        <v/>
      </c>
      <c r="AR273" s="23">
        <f>ROUND(AN273 + AQ273, 2)</f>
        <v/>
      </c>
      <c r="AS273" s="23">
        <f>Intereses_Leasing_Mensual!Q273</f>
        <v/>
      </c>
      <c r="AT273" s="23">
        <f>Amortizacion_Capital_Mensual!R273</f>
        <v/>
      </c>
      <c r="AU273" s="23">
        <f>Saldos_Capital_Mensual!Q273</f>
        <v/>
      </c>
      <c r="AV273" s="23">
        <f>Intereses_Residual_Mensual!Q273</f>
        <v/>
      </c>
      <c r="AW273" s="23">
        <f>ROUND(AS273 + AV273, 2)</f>
        <v/>
      </c>
      <c r="AX273" s="23">
        <f>Intereses_Leasing_Mensual!R273</f>
        <v/>
      </c>
      <c r="AY273" s="23">
        <f>Amortizacion_Capital_Mensual!S273</f>
        <v/>
      </c>
      <c r="AZ273" s="23">
        <f>Saldos_Capital_Mensual!R273</f>
        <v/>
      </c>
      <c r="BA273" s="23">
        <f>Intereses_Residual_Mensual!R273</f>
        <v/>
      </c>
      <c r="BB273" s="23">
        <f>ROUND(AX273 + BA273, 2)</f>
        <v/>
      </c>
      <c r="BC273" s="23">
        <f>Intereses_Leasing_Mensual!S273</f>
        <v/>
      </c>
      <c r="BD273" s="23">
        <f>Amortizacion_Capital_Mensual!T273</f>
        <v/>
      </c>
      <c r="BE273" s="23">
        <f>Saldos_Capital_Mensual!S273</f>
        <v/>
      </c>
      <c r="BF273" s="23">
        <f>Intereses_Residual_Mensual!S273</f>
        <v/>
      </c>
      <c r="BG273" s="23">
        <f>ROUND(BC273 + BF273, 2)</f>
        <v/>
      </c>
      <c r="BH273" s="23">
        <f>Intereses_Leasing_Mensual!T273</f>
        <v/>
      </c>
      <c r="BI273" s="23">
        <f>Amortizacion_Capital_Mensual!U273</f>
        <v/>
      </c>
      <c r="BJ273" s="23">
        <f>Saldos_Capital_Mensual!T273</f>
        <v/>
      </c>
      <c r="BK273" s="23">
        <f>Intereses_Residual_Mensual!T273</f>
        <v/>
      </c>
      <c r="BL273" s="23">
        <f>ROUND(BH273 + BK273, 2)</f>
        <v/>
      </c>
    </row>
    <row r="274">
      <c r="A274" s="26" t="inlineStr">
        <is>
          <t>0778-0001</t>
        </is>
      </c>
      <c r="B274" s="27" t="inlineStr">
        <is>
          <t>Construcciones y Desarrollos Inmobile, S.A. de C.V.</t>
        </is>
      </c>
      <c r="C274" s="27" t="inlineStr">
        <is>
          <t>Mitsubishi L200 2026</t>
        </is>
      </c>
      <c r="D274" s="28" t="n">
        <v>24</v>
      </c>
      <c r="E274" s="29">
        <f>Intereses_Leasing_Mensual!I274</f>
        <v/>
      </c>
      <c r="F274" s="29">
        <f>Amortizacion_Capital_Mensual!J274</f>
        <v/>
      </c>
      <c r="G274" s="29">
        <f>Saldos_Capital_Mensual!I274</f>
        <v/>
      </c>
      <c r="H274" s="29">
        <f>Intereses_Residual_Mensual!I274</f>
        <v/>
      </c>
      <c r="I274" s="29">
        <f>ROUND(E274 + H274, 2)</f>
        <v/>
      </c>
      <c r="J274" s="29">
        <f>Intereses_Leasing_Mensual!J274</f>
        <v/>
      </c>
      <c r="K274" s="29">
        <f>Amortizacion_Capital_Mensual!K274</f>
        <v/>
      </c>
      <c r="L274" s="29">
        <f>Saldos_Capital_Mensual!J274</f>
        <v/>
      </c>
      <c r="M274" s="29">
        <f>Intereses_Residual_Mensual!J274</f>
        <v/>
      </c>
      <c r="N274" s="29">
        <f>ROUND(J274 + M274, 2)</f>
        <v/>
      </c>
      <c r="O274" s="29">
        <f>Intereses_Leasing_Mensual!K274</f>
        <v/>
      </c>
      <c r="P274" s="29">
        <f>Amortizacion_Capital_Mensual!L274</f>
        <v/>
      </c>
      <c r="Q274" s="29">
        <f>Saldos_Capital_Mensual!K274</f>
        <v/>
      </c>
      <c r="R274" s="29">
        <f>Intereses_Residual_Mensual!K274</f>
        <v/>
      </c>
      <c r="S274" s="29">
        <f>ROUND(O274 + R274, 2)</f>
        <v/>
      </c>
      <c r="T274" s="29">
        <f>Intereses_Leasing_Mensual!L274</f>
        <v/>
      </c>
      <c r="U274" s="29">
        <f>Amortizacion_Capital_Mensual!M274</f>
        <v/>
      </c>
      <c r="V274" s="29">
        <f>Saldos_Capital_Mensual!L274</f>
        <v/>
      </c>
      <c r="W274" s="29">
        <f>Intereses_Residual_Mensual!L274</f>
        <v/>
      </c>
      <c r="X274" s="29">
        <f>ROUND(T274 + W274, 2)</f>
        <v/>
      </c>
      <c r="Y274" s="29">
        <f>Intereses_Leasing_Mensual!M274</f>
        <v/>
      </c>
      <c r="Z274" s="29">
        <f>Amortizacion_Capital_Mensual!N274</f>
        <v/>
      </c>
      <c r="AA274" s="29">
        <f>Saldos_Capital_Mensual!M274</f>
        <v/>
      </c>
      <c r="AB274" s="29">
        <f>Intereses_Residual_Mensual!M274</f>
        <v/>
      </c>
      <c r="AC274" s="29">
        <f>ROUND(Y274 + AB274, 2)</f>
        <v/>
      </c>
      <c r="AD274" s="29">
        <f>Intereses_Leasing_Mensual!N274</f>
        <v/>
      </c>
      <c r="AE274" s="29">
        <f>Amortizacion_Capital_Mensual!O274</f>
        <v/>
      </c>
      <c r="AF274" s="29">
        <f>Saldos_Capital_Mensual!N274</f>
        <v/>
      </c>
      <c r="AG274" s="29">
        <f>Intereses_Residual_Mensual!N274</f>
        <v/>
      </c>
      <c r="AH274" s="29">
        <f>ROUND(AD274 + AG274, 2)</f>
        <v/>
      </c>
      <c r="AI274" s="29">
        <f>Intereses_Leasing_Mensual!O274</f>
        <v/>
      </c>
      <c r="AJ274" s="29">
        <f>Amortizacion_Capital_Mensual!P274</f>
        <v/>
      </c>
      <c r="AK274" s="29">
        <f>Saldos_Capital_Mensual!O274</f>
        <v/>
      </c>
      <c r="AL274" s="29">
        <f>Intereses_Residual_Mensual!O274</f>
        <v/>
      </c>
      <c r="AM274" s="29">
        <f>ROUND(AI274 + AL274, 2)</f>
        <v/>
      </c>
      <c r="AN274" s="29">
        <f>Intereses_Leasing_Mensual!P274</f>
        <v/>
      </c>
      <c r="AO274" s="29">
        <f>Amortizacion_Capital_Mensual!Q274</f>
        <v/>
      </c>
      <c r="AP274" s="29">
        <f>Saldos_Capital_Mensual!P274</f>
        <v/>
      </c>
      <c r="AQ274" s="29">
        <f>Intereses_Residual_Mensual!P274</f>
        <v/>
      </c>
      <c r="AR274" s="29">
        <f>ROUND(AN274 + AQ274, 2)</f>
        <v/>
      </c>
      <c r="AS274" s="29">
        <f>Intereses_Leasing_Mensual!Q274</f>
        <v/>
      </c>
      <c r="AT274" s="29">
        <f>Amortizacion_Capital_Mensual!R274</f>
        <v/>
      </c>
      <c r="AU274" s="29">
        <f>Saldos_Capital_Mensual!Q274</f>
        <v/>
      </c>
      <c r="AV274" s="29">
        <f>Intereses_Residual_Mensual!Q274</f>
        <v/>
      </c>
      <c r="AW274" s="29">
        <f>ROUND(AS274 + AV274, 2)</f>
        <v/>
      </c>
      <c r="AX274" s="29">
        <f>Intereses_Leasing_Mensual!R274</f>
        <v/>
      </c>
      <c r="AY274" s="29">
        <f>Amortizacion_Capital_Mensual!S274</f>
        <v/>
      </c>
      <c r="AZ274" s="29">
        <f>Saldos_Capital_Mensual!R274</f>
        <v/>
      </c>
      <c r="BA274" s="29">
        <f>Intereses_Residual_Mensual!R274</f>
        <v/>
      </c>
      <c r="BB274" s="29">
        <f>ROUND(AX274 + BA274, 2)</f>
        <v/>
      </c>
      <c r="BC274" s="29">
        <f>Intereses_Leasing_Mensual!S274</f>
        <v/>
      </c>
      <c r="BD274" s="29">
        <f>Amortizacion_Capital_Mensual!T274</f>
        <v/>
      </c>
      <c r="BE274" s="29">
        <f>Saldos_Capital_Mensual!S274</f>
        <v/>
      </c>
      <c r="BF274" s="29">
        <f>Intereses_Residual_Mensual!S274</f>
        <v/>
      </c>
      <c r="BG274" s="29">
        <f>ROUND(BC274 + BF274, 2)</f>
        <v/>
      </c>
      <c r="BH274" s="29">
        <f>Intereses_Leasing_Mensual!T274</f>
        <v/>
      </c>
      <c r="BI274" s="29">
        <f>Amortizacion_Capital_Mensual!U274</f>
        <v/>
      </c>
      <c r="BJ274" s="29">
        <f>Saldos_Capital_Mensual!T274</f>
        <v/>
      </c>
      <c r="BK274" s="29">
        <f>Intereses_Residual_Mensual!T274</f>
        <v/>
      </c>
      <c r="BL274" s="29">
        <f>ROUND(BH274 + BK274, 2)</f>
        <v/>
      </c>
    </row>
    <row r="275">
      <c r="A275" s="20" t="inlineStr">
        <is>
          <t>0779-0001</t>
        </is>
      </c>
      <c r="B275" s="21" t="inlineStr">
        <is>
          <t>Margarita Kaplun Mucharrafille</t>
        </is>
      </c>
      <c r="C275" s="21" t="inlineStr">
        <is>
          <t>Ram 700 Bighorn 2026</t>
        </is>
      </c>
      <c r="D275" s="22" t="n">
        <v>48</v>
      </c>
      <c r="E275" s="23">
        <f>Intereses_Leasing_Mensual!I275</f>
        <v/>
      </c>
      <c r="F275" s="23">
        <f>Amortizacion_Capital_Mensual!J275</f>
        <v/>
      </c>
      <c r="G275" s="23">
        <f>Saldos_Capital_Mensual!I275</f>
        <v/>
      </c>
      <c r="H275" s="23">
        <f>Intereses_Residual_Mensual!I275</f>
        <v/>
      </c>
      <c r="I275" s="23">
        <f>ROUND(E275 + H275, 2)</f>
        <v/>
      </c>
      <c r="J275" s="23">
        <f>Intereses_Leasing_Mensual!J275</f>
        <v/>
      </c>
      <c r="K275" s="23">
        <f>Amortizacion_Capital_Mensual!K275</f>
        <v/>
      </c>
      <c r="L275" s="23">
        <f>Saldos_Capital_Mensual!J275</f>
        <v/>
      </c>
      <c r="M275" s="23">
        <f>Intereses_Residual_Mensual!J275</f>
        <v/>
      </c>
      <c r="N275" s="23">
        <f>ROUND(J275 + M275, 2)</f>
        <v/>
      </c>
      <c r="O275" s="23">
        <f>Intereses_Leasing_Mensual!K275</f>
        <v/>
      </c>
      <c r="P275" s="23">
        <f>Amortizacion_Capital_Mensual!L275</f>
        <v/>
      </c>
      <c r="Q275" s="23">
        <f>Saldos_Capital_Mensual!K275</f>
        <v/>
      </c>
      <c r="R275" s="23">
        <f>Intereses_Residual_Mensual!K275</f>
        <v/>
      </c>
      <c r="S275" s="23">
        <f>ROUND(O275 + R275, 2)</f>
        <v/>
      </c>
      <c r="T275" s="23">
        <f>Intereses_Leasing_Mensual!L275</f>
        <v/>
      </c>
      <c r="U275" s="23">
        <f>Amortizacion_Capital_Mensual!M275</f>
        <v/>
      </c>
      <c r="V275" s="23">
        <f>Saldos_Capital_Mensual!L275</f>
        <v/>
      </c>
      <c r="W275" s="23">
        <f>Intereses_Residual_Mensual!L275</f>
        <v/>
      </c>
      <c r="X275" s="23">
        <f>ROUND(T275 + W275, 2)</f>
        <v/>
      </c>
      <c r="Y275" s="23">
        <f>Intereses_Leasing_Mensual!M275</f>
        <v/>
      </c>
      <c r="Z275" s="23">
        <f>Amortizacion_Capital_Mensual!N275</f>
        <v/>
      </c>
      <c r="AA275" s="23">
        <f>Saldos_Capital_Mensual!M275</f>
        <v/>
      </c>
      <c r="AB275" s="23">
        <f>Intereses_Residual_Mensual!M275</f>
        <v/>
      </c>
      <c r="AC275" s="23">
        <f>ROUND(Y275 + AB275, 2)</f>
        <v/>
      </c>
      <c r="AD275" s="23">
        <f>Intereses_Leasing_Mensual!N275</f>
        <v/>
      </c>
      <c r="AE275" s="23">
        <f>Amortizacion_Capital_Mensual!O275</f>
        <v/>
      </c>
      <c r="AF275" s="23">
        <f>Saldos_Capital_Mensual!N275</f>
        <v/>
      </c>
      <c r="AG275" s="23">
        <f>Intereses_Residual_Mensual!N275</f>
        <v/>
      </c>
      <c r="AH275" s="23">
        <f>ROUND(AD275 + AG275, 2)</f>
        <v/>
      </c>
      <c r="AI275" s="23">
        <f>Intereses_Leasing_Mensual!O275</f>
        <v/>
      </c>
      <c r="AJ275" s="23">
        <f>Amortizacion_Capital_Mensual!P275</f>
        <v/>
      </c>
      <c r="AK275" s="23">
        <f>Saldos_Capital_Mensual!O275</f>
        <v/>
      </c>
      <c r="AL275" s="23">
        <f>Intereses_Residual_Mensual!O275</f>
        <v/>
      </c>
      <c r="AM275" s="23">
        <f>ROUND(AI275 + AL275, 2)</f>
        <v/>
      </c>
      <c r="AN275" s="23">
        <f>Intereses_Leasing_Mensual!P275</f>
        <v/>
      </c>
      <c r="AO275" s="23">
        <f>Amortizacion_Capital_Mensual!Q275</f>
        <v/>
      </c>
      <c r="AP275" s="23">
        <f>Saldos_Capital_Mensual!P275</f>
        <v/>
      </c>
      <c r="AQ275" s="23">
        <f>Intereses_Residual_Mensual!P275</f>
        <v/>
      </c>
      <c r="AR275" s="23">
        <f>ROUND(AN275 + AQ275, 2)</f>
        <v/>
      </c>
      <c r="AS275" s="23">
        <f>Intereses_Leasing_Mensual!Q275</f>
        <v/>
      </c>
      <c r="AT275" s="23">
        <f>Amortizacion_Capital_Mensual!R275</f>
        <v/>
      </c>
      <c r="AU275" s="23">
        <f>Saldos_Capital_Mensual!Q275</f>
        <v/>
      </c>
      <c r="AV275" s="23">
        <f>Intereses_Residual_Mensual!Q275</f>
        <v/>
      </c>
      <c r="AW275" s="23">
        <f>ROUND(AS275 + AV275, 2)</f>
        <v/>
      </c>
      <c r="AX275" s="23">
        <f>Intereses_Leasing_Mensual!R275</f>
        <v/>
      </c>
      <c r="AY275" s="23">
        <f>Amortizacion_Capital_Mensual!S275</f>
        <v/>
      </c>
      <c r="AZ275" s="23">
        <f>Saldos_Capital_Mensual!R275</f>
        <v/>
      </c>
      <c r="BA275" s="23">
        <f>Intereses_Residual_Mensual!R275</f>
        <v/>
      </c>
      <c r="BB275" s="23">
        <f>ROUND(AX275 + BA275, 2)</f>
        <v/>
      </c>
      <c r="BC275" s="23">
        <f>Intereses_Leasing_Mensual!S275</f>
        <v/>
      </c>
      <c r="BD275" s="23">
        <f>Amortizacion_Capital_Mensual!T275</f>
        <v/>
      </c>
      <c r="BE275" s="23">
        <f>Saldos_Capital_Mensual!S275</f>
        <v/>
      </c>
      <c r="BF275" s="23">
        <f>Intereses_Residual_Mensual!S275</f>
        <v/>
      </c>
      <c r="BG275" s="23">
        <f>ROUND(BC275 + BF275, 2)</f>
        <v/>
      </c>
      <c r="BH275" s="23">
        <f>Intereses_Leasing_Mensual!T275</f>
        <v/>
      </c>
      <c r="BI275" s="23">
        <f>Amortizacion_Capital_Mensual!U275</f>
        <v/>
      </c>
      <c r="BJ275" s="23">
        <f>Saldos_Capital_Mensual!T275</f>
        <v/>
      </c>
      <c r="BK275" s="23">
        <f>Intereses_Residual_Mensual!T275</f>
        <v/>
      </c>
      <c r="BL275" s="23">
        <f>ROUND(BH275 + BK275, 2)</f>
        <v/>
      </c>
    </row>
    <row r="276">
      <c r="A276" s="26" t="inlineStr">
        <is>
          <t>0780-0001</t>
        </is>
      </c>
      <c r="B276" s="27" t="inlineStr">
        <is>
          <t>David Rosendo Cedeño Guerrero</t>
        </is>
      </c>
      <c r="C276" s="27" t="inlineStr">
        <is>
          <t>Suzuki Jimny 2027</t>
        </is>
      </c>
      <c r="D276" s="28" t="n">
        <v>48</v>
      </c>
      <c r="E276" s="29">
        <f>Intereses_Leasing_Mensual!I276</f>
        <v/>
      </c>
      <c r="F276" s="29">
        <f>Amortizacion_Capital_Mensual!J276</f>
        <v/>
      </c>
      <c r="G276" s="29">
        <f>Saldos_Capital_Mensual!I276</f>
        <v/>
      </c>
      <c r="H276" s="29">
        <f>Intereses_Residual_Mensual!I276</f>
        <v/>
      </c>
      <c r="I276" s="29">
        <f>ROUND(E276 + H276, 2)</f>
        <v/>
      </c>
      <c r="J276" s="29">
        <f>Intereses_Leasing_Mensual!J276</f>
        <v/>
      </c>
      <c r="K276" s="29">
        <f>Amortizacion_Capital_Mensual!K276</f>
        <v/>
      </c>
      <c r="L276" s="29">
        <f>Saldos_Capital_Mensual!J276</f>
        <v/>
      </c>
      <c r="M276" s="29">
        <f>Intereses_Residual_Mensual!J276</f>
        <v/>
      </c>
      <c r="N276" s="29">
        <f>ROUND(J276 + M276, 2)</f>
        <v/>
      </c>
      <c r="O276" s="29">
        <f>Intereses_Leasing_Mensual!K276</f>
        <v/>
      </c>
      <c r="P276" s="29">
        <f>Amortizacion_Capital_Mensual!L276</f>
        <v/>
      </c>
      <c r="Q276" s="29">
        <f>Saldos_Capital_Mensual!K276</f>
        <v/>
      </c>
      <c r="R276" s="29">
        <f>Intereses_Residual_Mensual!K276</f>
        <v/>
      </c>
      <c r="S276" s="29">
        <f>ROUND(O276 + R276, 2)</f>
        <v/>
      </c>
      <c r="T276" s="29">
        <f>Intereses_Leasing_Mensual!L276</f>
        <v/>
      </c>
      <c r="U276" s="29">
        <f>Amortizacion_Capital_Mensual!M276</f>
        <v/>
      </c>
      <c r="V276" s="29">
        <f>Saldos_Capital_Mensual!L276</f>
        <v/>
      </c>
      <c r="W276" s="29">
        <f>Intereses_Residual_Mensual!L276</f>
        <v/>
      </c>
      <c r="X276" s="29">
        <f>ROUND(T276 + W276, 2)</f>
        <v/>
      </c>
      <c r="Y276" s="29">
        <f>Intereses_Leasing_Mensual!M276</f>
        <v/>
      </c>
      <c r="Z276" s="29">
        <f>Amortizacion_Capital_Mensual!N276</f>
        <v/>
      </c>
      <c r="AA276" s="29">
        <f>Saldos_Capital_Mensual!M276</f>
        <v/>
      </c>
      <c r="AB276" s="29">
        <f>Intereses_Residual_Mensual!M276</f>
        <v/>
      </c>
      <c r="AC276" s="29">
        <f>ROUND(Y276 + AB276, 2)</f>
        <v/>
      </c>
      <c r="AD276" s="29">
        <f>Intereses_Leasing_Mensual!N276</f>
        <v/>
      </c>
      <c r="AE276" s="29">
        <f>Amortizacion_Capital_Mensual!O276</f>
        <v/>
      </c>
      <c r="AF276" s="29">
        <f>Saldos_Capital_Mensual!N276</f>
        <v/>
      </c>
      <c r="AG276" s="29">
        <f>Intereses_Residual_Mensual!N276</f>
        <v/>
      </c>
      <c r="AH276" s="29">
        <f>ROUND(AD276 + AG276, 2)</f>
        <v/>
      </c>
      <c r="AI276" s="29">
        <f>Intereses_Leasing_Mensual!O276</f>
        <v/>
      </c>
      <c r="AJ276" s="29">
        <f>Amortizacion_Capital_Mensual!P276</f>
        <v/>
      </c>
      <c r="AK276" s="29">
        <f>Saldos_Capital_Mensual!O276</f>
        <v/>
      </c>
      <c r="AL276" s="29">
        <f>Intereses_Residual_Mensual!O276</f>
        <v/>
      </c>
      <c r="AM276" s="29">
        <f>ROUND(AI276 + AL276, 2)</f>
        <v/>
      </c>
      <c r="AN276" s="29">
        <f>Intereses_Leasing_Mensual!P276</f>
        <v/>
      </c>
      <c r="AO276" s="29">
        <f>Amortizacion_Capital_Mensual!Q276</f>
        <v/>
      </c>
      <c r="AP276" s="29">
        <f>Saldos_Capital_Mensual!P276</f>
        <v/>
      </c>
      <c r="AQ276" s="29">
        <f>Intereses_Residual_Mensual!P276</f>
        <v/>
      </c>
      <c r="AR276" s="29">
        <f>ROUND(AN276 + AQ276, 2)</f>
        <v/>
      </c>
      <c r="AS276" s="29">
        <f>Intereses_Leasing_Mensual!Q276</f>
        <v/>
      </c>
      <c r="AT276" s="29">
        <f>Amortizacion_Capital_Mensual!R276</f>
        <v/>
      </c>
      <c r="AU276" s="29">
        <f>Saldos_Capital_Mensual!Q276</f>
        <v/>
      </c>
      <c r="AV276" s="29">
        <f>Intereses_Residual_Mensual!Q276</f>
        <v/>
      </c>
      <c r="AW276" s="29">
        <f>ROUND(AS276 + AV276, 2)</f>
        <v/>
      </c>
      <c r="AX276" s="29">
        <f>Intereses_Leasing_Mensual!R276</f>
        <v/>
      </c>
      <c r="AY276" s="29">
        <f>Amortizacion_Capital_Mensual!S276</f>
        <v/>
      </c>
      <c r="AZ276" s="29">
        <f>Saldos_Capital_Mensual!R276</f>
        <v/>
      </c>
      <c r="BA276" s="29">
        <f>Intereses_Residual_Mensual!R276</f>
        <v/>
      </c>
      <c r="BB276" s="29">
        <f>ROUND(AX276 + BA276, 2)</f>
        <v/>
      </c>
      <c r="BC276" s="29">
        <f>Intereses_Leasing_Mensual!S276</f>
        <v/>
      </c>
      <c r="BD276" s="29">
        <f>Amortizacion_Capital_Mensual!T276</f>
        <v/>
      </c>
      <c r="BE276" s="29">
        <f>Saldos_Capital_Mensual!S276</f>
        <v/>
      </c>
      <c r="BF276" s="29">
        <f>Intereses_Residual_Mensual!S276</f>
        <v/>
      </c>
      <c r="BG276" s="29">
        <f>ROUND(BC276 + BF276, 2)</f>
        <v/>
      </c>
      <c r="BH276" s="29">
        <f>Intereses_Leasing_Mensual!T276</f>
        <v/>
      </c>
      <c r="BI276" s="29">
        <f>Amortizacion_Capital_Mensual!U276</f>
        <v/>
      </c>
      <c r="BJ276" s="29">
        <f>Saldos_Capital_Mensual!T276</f>
        <v/>
      </c>
      <c r="BK276" s="29">
        <f>Intereses_Residual_Mensual!T276</f>
        <v/>
      </c>
      <c r="BL276" s="29">
        <f>ROUND(BH276 + BK276, 2)</f>
        <v/>
      </c>
    </row>
    <row r="277">
      <c r="A277" s="20" t="inlineStr">
        <is>
          <t>0781-0001</t>
        </is>
      </c>
      <c r="B277" s="21" t="inlineStr">
        <is>
          <t>Northstar Marine &amp; Civil, S.A. de C.V.</t>
        </is>
      </c>
      <c r="C277" s="21" t="inlineStr">
        <is>
          <t>Sany Motoniveladora 2026</t>
        </is>
      </c>
      <c r="D277" s="22" t="n">
        <v>24</v>
      </c>
      <c r="E277" s="23">
        <f>Intereses_Leasing_Mensual!I277</f>
        <v/>
      </c>
      <c r="F277" s="23">
        <f>Amortizacion_Capital_Mensual!J277</f>
        <v/>
      </c>
      <c r="G277" s="23">
        <f>Saldos_Capital_Mensual!I277</f>
        <v/>
      </c>
      <c r="H277" s="23">
        <f>Intereses_Residual_Mensual!I277</f>
        <v/>
      </c>
      <c r="I277" s="23">
        <f>ROUND(E277 + H277, 2)</f>
        <v/>
      </c>
      <c r="J277" s="23">
        <f>Intereses_Leasing_Mensual!J277</f>
        <v/>
      </c>
      <c r="K277" s="23">
        <f>Amortizacion_Capital_Mensual!K277</f>
        <v/>
      </c>
      <c r="L277" s="23">
        <f>Saldos_Capital_Mensual!J277</f>
        <v/>
      </c>
      <c r="M277" s="23">
        <f>Intereses_Residual_Mensual!J277</f>
        <v/>
      </c>
      <c r="N277" s="23">
        <f>ROUND(J277 + M277, 2)</f>
        <v/>
      </c>
      <c r="O277" s="23">
        <f>Intereses_Leasing_Mensual!K277</f>
        <v/>
      </c>
      <c r="P277" s="23">
        <f>Amortizacion_Capital_Mensual!L277</f>
        <v/>
      </c>
      <c r="Q277" s="23">
        <f>Saldos_Capital_Mensual!K277</f>
        <v/>
      </c>
      <c r="R277" s="23">
        <f>Intereses_Residual_Mensual!K277</f>
        <v/>
      </c>
      <c r="S277" s="23">
        <f>ROUND(O277 + R277, 2)</f>
        <v/>
      </c>
      <c r="T277" s="23">
        <f>Intereses_Leasing_Mensual!L277</f>
        <v/>
      </c>
      <c r="U277" s="23">
        <f>Amortizacion_Capital_Mensual!M277</f>
        <v/>
      </c>
      <c r="V277" s="23">
        <f>Saldos_Capital_Mensual!L277</f>
        <v/>
      </c>
      <c r="W277" s="23">
        <f>Intereses_Residual_Mensual!L277</f>
        <v/>
      </c>
      <c r="X277" s="23">
        <f>ROUND(T277 + W277, 2)</f>
        <v/>
      </c>
      <c r="Y277" s="23">
        <f>Intereses_Leasing_Mensual!M277</f>
        <v/>
      </c>
      <c r="Z277" s="23">
        <f>Amortizacion_Capital_Mensual!N277</f>
        <v/>
      </c>
      <c r="AA277" s="23">
        <f>Saldos_Capital_Mensual!M277</f>
        <v/>
      </c>
      <c r="AB277" s="23">
        <f>Intereses_Residual_Mensual!M277</f>
        <v/>
      </c>
      <c r="AC277" s="23">
        <f>ROUND(Y277 + AB277, 2)</f>
        <v/>
      </c>
      <c r="AD277" s="23">
        <f>Intereses_Leasing_Mensual!N277</f>
        <v/>
      </c>
      <c r="AE277" s="23">
        <f>Amortizacion_Capital_Mensual!O277</f>
        <v/>
      </c>
      <c r="AF277" s="23">
        <f>Saldos_Capital_Mensual!N277</f>
        <v/>
      </c>
      <c r="AG277" s="23">
        <f>Intereses_Residual_Mensual!N277</f>
        <v/>
      </c>
      <c r="AH277" s="23">
        <f>ROUND(AD277 + AG277, 2)</f>
        <v/>
      </c>
      <c r="AI277" s="23">
        <f>Intereses_Leasing_Mensual!O277</f>
        <v/>
      </c>
      <c r="AJ277" s="23">
        <f>Amortizacion_Capital_Mensual!P277</f>
        <v/>
      </c>
      <c r="AK277" s="23">
        <f>Saldos_Capital_Mensual!O277</f>
        <v/>
      </c>
      <c r="AL277" s="23">
        <f>Intereses_Residual_Mensual!O277</f>
        <v/>
      </c>
      <c r="AM277" s="23">
        <f>ROUND(AI277 + AL277, 2)</f>
        <v/>
      </c>
      <c r="AN277" s="23">
        <f>Intereses_Leasing_Mensual!P277</f>
        <v/>
      </c>
      <c r="AO277" s="23">
        <f>Amortizacion_Capital_Mensual!Q277</f>
        <v/>
      </c>
      <c r="AP277" s="23">
        <f>Saldos_Capital_Mensual!P277</f>
        <v/>
      </c>
      <c r="AQ277" s="23">
        <f>Intereses_Residual_Mensual!P277</f>
        <v/>
      </c>
      <c r="AR277" s="23">
        <f>ROUND(AN277 + AQ277, 2)</f>
        <v/>
      </c>
      <c r="AS277" s="23">
        <f>Intereses_Leasing_Mensual!Q277</f>
        <v/>
      </c>
      <c r="AT277" s="23">
        <f>Amortizacion_Capital_Mensual!R277</f>
        <v/>
      </c>
      <c r="AU277" s="23">
        <f>Saldos_Capital_Mensual!Q277</f>
        <v/>
      </c>
      <c r="AV277" s="23">
        <f>Intereses_Residual_Mensual!Q277</f>
        <v/>
      </c>
      <c r="AW277" s="23">
        <f>ROUND(AS277 + AV277, 2)</f>
        <v/>
      </c>
      <c r="AX277" s="23">
        <f>Intereses_Leasing_Mensual!R277</f>
        <v/>
      </c>
      <c r="AY277" s="23">
        <f>Amortizacion_Capital_Mensual!S277</f>
        <v/>
      </c>
      <c r="AZ277" s="23">
        <f>Saldos_Capital_Mensual!R277</f>
        <v/>
      </c>
      <c r="BA277" s="23">
        <f>Intereses_Residual_Mensual!R277</f>
        <v/>
      </c>
      <c r="BB277" s="23">
        <f>ROUND(AX277 + BA277, 2)</f>
        <v/>
      </c>
      <c r="BC277" s="23">
        <f>Intereses_Leasing_Mensual!S277</f>
        <v/>
      </c>
      <c r="BD277" s="23">
        <f>Amortizacion_Capital_Mensual!T277</f>
        <v/>
      </c>
      <c r="BE277" s="23">
        <f>Saldos_Capital_Mensual!S277</f>
        <v/>
      </c>
      <c r="BF277" s="23">
        <f>Intereses_Residual_Mensual!S277</f>
        <v/>
      </c>
      <c r="BG277" s="23">
        <f>ROUND(BC277 + BF277, 2)</f>
        <v/>
      </c>
      <c r="BH277" s="23">
        <f>Intereses_Leasing_Mensual!T277</f>
        <v/>
      </c>
      <c r="BI277" s="23">
        <f>Amortizacion_Capital_Mensual!U277</f>
        <v/>
      </c>
      <c r="BJ277" s="23">
        <f>Saldos_Capital_Mensual!T277</f>
        <v/>
      </c>
      <c r="BK277" s="23">
        <f>Intereses_Residual_Mensual!T277</f>
        <v/>
      </c>
      <c r="BL277" s="23">
        <f>ROUND(BH277 + BK277, 2)</f>
        <v/>
      </c>
    </row>
    <row r="278">
      <c r="A278" s="26" t="inlineStr">
        <is>
          <t>0783-0001</t>
        </is>
      </c>
      <c r="B278" s="27" t="inlineStr">
        <is>
          <t>Nuup Trading, S.A. de C.V.</t>
        </is>
      </c>
      <c r="C278" s="27" t="inlineStr">
        <is>
          <t>Jeep Renegade 2026</t>
        </is>
      </c>
      <c r="D278" s="28" t="n">
        <v>24</v>
      </c>
      <c r="E278" s="29">
        <f>Intereses_Leasing_Mensual!I278</f>
        <v/>
      </c>
      <c r="F278" s="29">
        <f>Amortizacion_Capital_Mensual!J278</f>
        <v/>
      </c>
      <c r="G278" s="29">
        <f>Saldos_Capital_Mensual!I278</f>
        <v/>
      </c>
      <c r="H278" s="29">
        <f>Intereses_Residual_Mensual!I278</f>
        <v/>
      </c>
      <c r="I278" s="29">
        <f>ROUND(E278 + H278, 2)</f>
        <v/>
      </c>
      <c r="J278" s="29">
        <f>Intereses_Leasing_Mensual!J278</f>
        <v/>
      </c>
      <c r="K278" s="29">
        <f>Amortizacion_Capital_Mensual!K278</f>
        <v/>
      </c>
      <c r="L278" s="29">
        <f>Saldos_Capital_Mensual!J278</f>
        <v/>
      </c>
      <c r="M278" s="29">
        <f>Intereses_Residual_Mensual!J278</f>
        <v/>
      </c>
      <c r="N278" s="29">
        <f>ROUND(J278 + M278, 2)</f>
        <v/>
      </c>
      <c r="O278" s="29">
        <f>Intereses_Leasing_Mensual!K278</f>
        <v/>
      </c>
      <c r="P278" s="29">
        <f>Amortizacion_Capital_Mensual!L278</f>
        <v/>
      </c>
      <c r="Q278" s="29">
        <f>Saldos_Capital_Mensual!K278</f>
        <v/>
      </c>
      <c r="R278" s="29">
        <f>Intereses_Residual_Mensual!K278</f>
        <v/>
      </c>
      <c r="S278" s="29">
        <f>ROUND(O278 + R278, 2)</f>
        <v/>
      </c>
      <c r="T278" s="29">
        <f>Intereses_Leasing_Mensual!L278</f>
        <v/>
      </c>
      <c r="U278" s="29">
        <f>Amortizacion_Capital_Mensual!M278</f>
        <v/>
      </c>
      <c r="V278" s="29">
        <f>Saldos_Capital_Mensual!L278</f>
        <v/>
      </c>
      <c r="W278" s="29">
        <f>Intereses_Residual_Mensual!L278</f>
        <v/>
      </c>
      <c r="X278" s="29">
        <f>ROUND(T278 + W278, 2)</f>
        <v/>
      </c>
      <c r="Y278" s="29">
        <f>Intereses_Leasing_Mensual!M278</f>
        <v/>
      </c>
      <c r="Z278" s="29">
        <f>Amortizacion_Capital_Mensual!N278</f>
        <v/>
      </c>
      <c r="AA278" s="29">
        <f>Saldos_Capital_Mensual!M278</f>
        <v/>
      </c>
      <c r="AB278" s="29">
        <f>Intereses_Residual_Mensual!M278</f>
        <v/>
      </c>
      <c r="AC278" s="29">
        <f>ROUND(Y278 + AB278, 2)</f>
        <v/>
      </c>
      <c r="AD278" s="29">
        <f>Intereses_Leasing_Mensual!N278</f>
        <v/>
      </c>
      <c r="AE278" s="29">
        <f>Amortizacion_Capital_Mensual!O278</f>
        <v/>
      </c>
      <c r="AF278" s="29">
        <f>Saldos_Capital_Mensual!N278</f>
        <v/>
      </c>
      <c r="AG278" s="29">
        <f>Intereses_Residual_Mensual!N278</f>
        <v/>
      </c>
      <c r="AH278" s="29">
        <f>ROUND(AD278 + AG278, 2)</f>
        <v/>
      </c>
      <c r="AI278" s="29">
        <f>Intereses_Leasing_Mensual!O278</f>
        <v/>
      </c>
      <c r="AJ278" s="29">
        <f>Amortizacion_Capital_Mensual!P278</f>
        <v/>
      </c>
      <c r="AK278" s="29">
        <f>Saldos_Capital_Mensual!O278</f>
        <v/>
      </c>
      <c r="AL278" s="29">
        <f>Intereses_Residual_Mensual!O278</f>
        <v/>
      </c>
      <c r="AM278" s="29">
        <f>ROUND(AI278 + AL278, 2)</f>
        <v/>
      </c>
      <c r="AN278" s="29">
        <f>Intereses_Leasing_Mensual!P278</f>
        <v/>
      </c>
      <c r="AO278" s="29">
        <f>Amortizacion_Capital_Mensual!Q278</f>
        <v/>
      </c>
      <c r="AP278" s="29">
        <f>Saldos_Capital_Mensual!P278</f>
        <v/>
      </c>
      <c r="AQ278" s="29">
        <f>Intereses_Residual_Mensual!P278</f>
        <v/>
      </c>
      <c r="AR278" s="29">
        <f>ROUND(AN278 + AQ278, 2)</f>
        <v/>
      </c>
      <c r="AS278" s="29">
        <f>Intereses_Leasing_Mensual!Q278</f>
        <v/>
      </c>
      <c r="AT278" s="29">
        <f>Amortizacion_Capital_Mensual!R278</f>
        <v/>
      </c>
      <c r="AU278" s="29">
        <f>Saldos_Capital_Mensual!Q278</f>
        <v/>
      </c>
      <c r="AV278" s="29">
        <f>Intereses_Residual_Mensual!Q278</f>
        <v/>
      </c>
      <c r="AW278" s="29">
        <f>ROUND(AS278 + AV278, 2)</f>
        <v/>
      </c>
      <c r="AX278" s="29">
        <f>Intereses_Leasing_Mensual!R278</f>
        <v/>
      </c>
      <c r="AY278" s="29">
        <f>Amortizacion_Capital_Mensual!S278</f>
        <v/>
      </c>
      <c r="AZ278" s="29">
        <f>Saldos_Capital_Mensual!R278</f>
        <v/>
      </c>
      <c r="BA278" s="29">
        <f>Intereses_Residual_Mensual!R278</f>
        <v/>
      </c>
      <c r="BB278" s="29">
        <f>ROUND(AX278 + BA278, 2)</f>
        <v/>
      </c>
      <c r="BC278" s="29">
        <f>Intereses_Leasing_Mensual!S278</f>
        <v/>
      </c>
      <c r="BD278" s="29">
        <f>Amortizacion_Capital_Mensual!T278</f>
        <v/>
      </c>
      <c r="BE278" s="29">
        <f>Saldos_Capital_Mensual!S278</f>
        <v/>
      </c>
      <c r="BF278" s="29">
        <f>Intereses_Residual_Mensual!S278</f>
        <v/>
      </c>
      <c r="BG278" s="29">
        <f>ROUND(BC278 + BF278, 2)</f>
        <v/>
      </c>
      <c r="BH278" s="29">
        <f>Intereses_Leasing_Mensual!T278</f>
        <v/>
      </c>
      <c r="BI278" s="29">
        <f>Amortizacion_Capital_Mensual!U278</f>
        <v/>
      </c>
      <c r="BJ278" s="29">
        <f>Saldos_Capital_Mensual!T278</f>
        <v/>
      </c>
      <c r="BK278" s="29">
        <f>Intereses_Residual_Mensual!T278</f>
        <v/>
      </c>
      <c r="BL278" s="29">
        <f>ROUND(BH278 + BK278, 2)</f>
        <v/>
      </c>
    </row>
    <row r="279">
      <c r="A279" s="20" t="inlineStr">
        <is>
          <t>0784-0001</t>
        </is>
      </c>
      <c r="B279" s="21" t="inlineStr">
        <is>
          <t>Enruta App, S.A. de C.V.</t>
        </is>
      </c>
      <c r="C279" s="21" t="inlineStr">
        <is>
          <t>Dodge Attitude GT 2026</t>
        </is>
      </c>
      <c r="D279" s="22" t="n">
        <v>12</v>
      </c>
      <c r="E279" s="23">
        <f>Intereses_Leasing_Mensual!I279</f>
        <v/>
      </c>
      <c r="F279" s="23">
        <f>Amortizacion_Capital_Mensual!J279</f>
        <v/>
      </c>
      <c r="G279" s="23">
        <f>Saldos_Capital_Mensual!I279</f>
        <v/>
      </c>
      <c r="H279" s="23">
        <f>Intereses_Residual_Mensual!I279</f>
        <v/>
      </c>
      <c r="I279" s="23">
        <f>ROUND(E279 + H279, 2)</f>
        <v/>
      </c>
      <c r="J279" s="23">
        <f>Intereses_Leasing_Mensual!J279</f>
        <v/>
      </c>
      <c r="K279" s="23">
        <f>Amortizacion_Capital_Mensual!K279</f>
        <v/>
      </c>
      <c r="L279" s="23">
        <f>Saldos_Capital_Mensual!J279</f>
        <v/>
      </c>
      <c r="M279" s="23">
        <f>Intereses_Residual_Mensual!J279</f>
        <v/>
      </c>
      <c r="N279" s="23">
        <f>ROUND(J279 + M279, 2)</f>
        <v/>
      </c>
      <c r="O279" s="23">
        <f>Intereses_Leasing_Mensual!K279</f>
        <v/>
      </c>
      <c r="P279" s="23">
        <f>Amortizacion_Capital_Mensual!L279</f>
        <v/>
      </c>
      <c r="Q279" s="23">
        <f>Saldos_Capital_Mensual!K279</f>
        <v/>
      </c>
      <c r="R279" s="23">
        <f>Intereses_Residual_Mensual!K279</f>
        <v/>
      </c>
      <c r="S279" s="23">
        <f>ROUND(O279 + R279, 2)</f>
        <v/>
      </c>
      <c r="T279" s="23">
        <f>Intereses_Leasing_Mensual!L279</f>
        <v/>
      </c>
      <c r="U279" s="23">
        <f>Amortizacion_Capital_Mensual!M279</f>
        <v/>
      </c>
      <c r="V279" s="23">
        <f>Saldos_Capital_Mensual!L279</f>
        <v/>
      </c>
      <c r="W279" s="23">
        <f>Intereses_Residual_Mensual!L279</f>
        <v/>
      </c>
      <c r="X279" s="23">
        <f>ROUND(T279 + W279, 2)</f>
        <v/>
      </c>
      <c r="Y279" s="23">
        <f>Intereses_Leasing_Mensual!M279</f>
        <v/>
      </c>
      <c r="Z279" s="23">
        <f>Amortizacion_Capital_Mensual!N279</f>
        <v/>
      </c>
      <c r="AA279" s="23">
        <f>Saldos_Capital_Mensual!M279</f>
        <v/>
      </c>
      <c r="AB279" s="23">
        <f>Intereses_Residual_Mensual!M279</f>
        <v/>
      </c>
      <c r="AC279" s="23">
        <f>ROUND(Y279 + AB279, 2)</f>
        <v/>
      </c>
      <c r="AD279" s="23">
        <f>Intereses_Leasing_Mensual!N279</f>
        <v/>
      </c>
      <c r="AE279" s="23">
        <f>Amortizacion_Capital_Mensual!O279</f>
        <v/>
      </c>
      <c r="AF279" s="23">
        <f>Saldos_Capital_Mensual!N279</f>
        <v/>
      </c>
      <c r="AG279" s="23">
        <f>Intereses_Residual_Mensual!N279</f>
        <v/>
      </c>
      <c r="AH279" s="23">
        <f>ROUND(AD279 + AG279, 2)</f>
        <v/>
      </c>
      <c r="AI279" s="23">
        <f>Intereses_Leasing_Mensual!O279</f>
        <v/>
      </c>
      <c r="AJ279" s="23">
        <f>Amortizacion_Capital_Mensual!P279</f>
        <v/>
      </c>
      <c r="AK279" s="23">
        <f>Saldos_Capital_Mensual!O279</f>
        <v/>
      </c>
      <c r="AL279" s="23">
        <f>Intereses_Residual_Mensual!O279</f>
        <v/>
      </c>
      <c r="AM279" s="23">
        <f>ROUND(AI279 + AL279, 2)</f>
        <v/>
      </c>
      <c r="AN279" s="23">
        <f>Intereses_Leasing_Mensual!P279</f>
        <v/>
      </c>
      <c r="AO279" s="23">
        <f>Amortizacion_Capital_Mensual!Q279</f>
        <v/>
      </c>
      <c r="AP279" s="23">
        <f>Saldos_Capital_Mensual!P279</f>
        <v/>
      </c>
      <c r="AQ279" s="23">
        <f>Intereses_Residual_Mensual!P279</f>
        <v/>
      </c>
      <c r="AR279" s="23">
        <f>ROUND(AN279 + AQ279, 2)</f>
        <v/>
      </c>
      <c r="AS279" s="23">
        <f>Intereses_Leasing_Mensual!Q279</f>
        <v/>
      </c>
      <c r="AT279" s="23">
        <f>Amortizacion_Capital_Mensual!R279</f>
        <v/>
      </c>
      <c r="AU279" s="23">
        <f>Saldos_Capital_Mensual!Q279</f>
        <v/>
      </c>
      <c r="AV279" s="23">
        <f>Intereses_Residual_Mensual!Q279</f>
        <v/>
      </c>
      <c r="AW279" s="23">
        <f>ROUND(AS279 + AV279, 2)</f>
        <v/>
      </c>
      <c r="AX279" s="23">
        <f>Intereses_Leasing_Mensual!R279</f>
        <v/>
      </c>
      <c r="AY279" s="23">
        <f>Amortizacion_Capital_Mensual!S279</f>
        <v/>
      </c>
      <c r="AZ279" s="23">
        <f>Saldos_Capital_Mensual!R279</f>
        <v/>
      </c>
      <c r="BA279" s="23">
        <f>Intereses_Residual_Mensual!R279</f>
        <v/>
      </c>
      <c r="BB279" s="23">
        <f>ROUND(AX279 + BA279, 2)</f>
        <v/>
      </c>
      <c r="BC279" s="23">
        <f>Intereses_Leasing_Mensual!S279</f>
        <v/>
      </c>
      <c r="BD279" s="23">
        <f>Amortizacion_Capital_Mensual!T279</f>
        <v/>
      </c>
      <c r="BE279" s="23">
        <f>Saldos_Capital_Mensual!S279</f>
        <v/>
      </c>
      <c r="BF279" s="23">
        <f>Intereses_Residual_Mensual!S279</f>
        <v/>
      </c>
      <c r="BG279" s="23">
        <f>ROUND(BC279 + BF279, 2)</f>
        <v/>
      </c>
      <c r="BH279" s="23">
        <f>Intereses_Leasing_Mensual!T279</f>
        <v/>
      </c>
      <c r="BI279" s="23">
        <f>Amortizacion_Capital_Mensual!U279</f>
        <v/>
      </c>
      <c r="BJ279" s="23">
        <f>Saldos_Capital_Mensual!T279</f>
        <v/>
      </c>
      <c r="BK279" s="23">
        <f>Intereses_Residual_Mensual!T279</f>
        <v/>
      </c>
      <c r="BL279" s="23">
        <f>ROUND(BH279 + BK279, 2)</f>
        <v/>
      </c>
    </row>
    <row r="280">
      <c r="A280" s="26" t="inlineStr">
        <is>
          <t>0785-0001</t>
        </is>
      </c>
      <c r="B280" s="27" t="inlineStr">
        <is>
          <t>Velazquez Guerrero y Asociados, S.C.</t>
        </is>
      </c>
      <c r="C280" s="27" t="inlineStr">
        <is>
          <t>Peugeot Rifter Allure Pack 2027</t>
        </is>
      </c>
      <c r="D280" s="28" t="n">
        <v>24</v>
      </c>
      <c r="E280" s="29">
        <f>Intereses_Leasing_Mensual!I280</f>
        <v/>
      </c>
      <c r="F280" s="29">
        <f>Amortizacion_Capital_Mensual!J280</f>
        <v/>
      </c>
      <c r="G280" s="29">
        <f>Saldos_Capital_Mensual!I280</f>
        <v/>
      </c>
      <c r="H280" s="29">
        <f>Intereses_Residual_Mensual!I280</f>
        <v/>
      </c>
      <c r="I280" s="29">
        <f>ROUND(E280 + H280, 2)</f>
        <v/>
      </c>
      <c r="J280" s="29">
        <f>Intereses_Leasing_Mensual!J280</f>
        <v/>
      </c>
      <c r="K280" s="29">
        <f>Amortizacion_Capital_Mensual!K280</f>
        <v/>
      </c>
      <c r="L280" s="29">
        <f>Saldos_Capital_Mensual!J280</f>
        <v/>
      </c>
      <c r="M280" s="29">
        <f>Intereses_Residual_Mensual!J280</f>
        <v/>
      </c>
      <c r="N280" s="29">
        <f>ROUND(J280 + M280, 2)</f>
        <v/>
      </c>
      <c r="O280" s="29">
        <f>Intereses_Leasing_Mensual!K280</f>
        <v/>
      </c>
      <c r="P280" s="29">
        <f>Amortizacion_Capital_Mensual!L280</f>
        <v/>
      </c>
      <c r="Q280" s="29">
        <f>Saldos_Capital_Mensual!K280</f>
        <v/>
      </c>
      <c r="R280" s="29">
        <f>Intereses_Residual_Mensual!K280</f>
        <v/>
      </c>
      <c r="S280" s="29">
        <f>ROUND(O280 + R280, 2)</f>
        <v/>
      </c>
      <c r="T280" s="29">
        <f>Intereses_Leasing_Mensual!L280</f>
        <v/>
      </c>
      <c r="U280" s="29">
        <f>Amortizacion_Capital_Mensual!M280</f>
        <v/>
      </c>
      <c r="V280" s="29">
        <f>Saldos_Capital_Mensual!L280</f>
        <v/>
      </c>
      <c r="W280" s="29">
        <f>Intereses_Residual_Mensual!L280</f>
        <v/>
      </c>
      <c r="X280" s="29">
        <f>ROUND(T280 + W280, 2)</f>
        <v/>
      </c>
      <c r="Y280" s="29">
        <f>Intereses_Leasing_Mensual!M280</f>
        <v/>
      </c>
      <c r="Z280" s="29">
        <f>Amortizacion_Capital_Mensual!N280</f>
        <v/>
      </c>
      <c r="AA280" s="29">
        <f>Saldos_Capital_Mensual!M280</f>
        <v/>
      </c>
      <c r="AB280" s="29">
        <f>Intereses_Residual_Mensual!M280</f>
        <v/>
      </c>
      <c r="AC280" s="29">
        <f>ROUND(Y280 + AB280, 2)</f>
        <v/>
      </c>
      <c r="AD280" s="29">
        <f>Intereses_Leasing_Mensual!N280</f>
        <v/>
      </c>
      <c r="AE280" s="29">
        <f>Amortizacion_Capital_Mensual!O280</f>
        <v/>
      </c>
      <c r="AF280" s="29">
        <f>Saldos_Capital_Mensual!N280</f>
        <v/>
      </c>
      <c r="AG280" s="29">
        <f>Intereses_Residual_Mensual!N280</f>
        <v/>
      </c>
      <c r="AH280" s="29">
        <f>ROUND(AD280 + AG280, 2)</f>
        <v/>
      </c>
      <c r="AI280" s="29">
        <f>Intereses_Leasing_Mensual!O280</f>
        <v/>
      </c>
      <c r="AJ280" s="29">
        <f>Amortizacion_Capital_Mensual!P280</f>
        <v/>
      </c>
      <c r="AK280" s="29">
        <f>Saldos_Capital_Mensual!O280</f>
        <v/>
      </c>
      <c r="AL280" s="29">
        <f>Intereses_Residual_Mensual!O280</f>
        <v/>
      </c>
      <c r="AM280" s="29">
        <f>ROUND(AI280 + AL280, 2)</f>
        <v/>
      </c>
      <c r="AN280" s="29">
        <f>Intereses_Leasing_Mensual!P280</f>
        <v/>
      </c>
      <c r="AO280" s="29">
        <f>Amortizacion_Capital_Mensual!Q280</f>
        <v/>
      </c>
      <c r="AP280" s="29">
        <f>Saldos_Capital_Mensual!P280</f>
        <v/>
      </c>
      <c r="AQ280" s="29">
        <f>Intereses_Residual_Mensual!P280</f>
        <v/>
      </c>
      <c r="AR280" s="29">
        <f>ROUND(AN280 + AQ280, 2)</f>
        <v/>
      </c>
      <c r="AS280" s="29">
        <f>Intereses_Leasing_Mensual!Q280</f>
        <v/>
      </c>
      <c r="AT280" s="29">
        <f>Amortizacion_Capital_Mensual!R280</f>
        <v/>
      </c>
      <c r="AU280" s="29">
        <f>Saldos_Capital_Mensual!Q280</f>
        <v/>
      </c>
      <c r="AV280" s="29">
        <f>Intereses_Residual_Mensual!Q280</f>
        <v/>
      </c>
      <c r="AW280" s="29">
        <f>ROUND(AS280 + AV280, 2)</f>
        <v/>
      </c>
      <c r="AX280" s="29">
        <f>Intereses_Leasing_Mensual!R280</f>
        <v/>
      </c>
      <c r="AY280" s="29">
        <f>Amortizacion_Capital_Mensual!S280</f>
        <v/>
      </c>
      <c r="AZ280" s="29">
        <f>Saldos_Capital_Mensual!R280</f>
        <v/>
      </c>
      <c r="BA280" s="29">
        <f>Intereses_Residual_Mensual!R280</f>
        <v/>
      </c>
      <c r="BB280" s="29">
        <f>ROUND(AX280 + BA280, 2)</f>
        <v/>
      </c>
      <c r="BC280" s="29">
        <f>Intereses_Leasing_Mensual!S280</f>
        <v/>
      </c>
      <c r="BD280" s="29">
        <f>Amortizacion_Capital_Mensual!T280</f>
        <v/>
      </c>
      <c r="BE280" s="29">
        <f>Saldos_Capital_Mensual!S280</f>
        <v/>
      </c>
      <c r="BF280" s="29">
        <f>Intereses_Residual_Mensual!S280</f>
        <v/>
      </c>
      <c r="BG280" s="29">
        <f>ROUND(BC280 + BF280, 2)</f>
        <v/>
      </c>
      <c r="BH280" s="29">
        <f>Intereses_Leasing_Mensual!T280</f>
        <v/>
      </c>
      <c r="BI280" s="29">
        <f>Amortizacion_Capital_Mensual!U280</f>
        <v/>
      </c>
      <c r="BJ280" s="29">
        <f>Saldos_Capital_Mensual!T280</f>
        <v/>
      </c>
      <c r="BK280" s="29">
        <f>Intereses_Residual_Mensual!T280</f>
        <v/>
      </c>
      <c r="BL280" s="29">
        <f>ROUND(BH280 + BK280, 2)</f>
        <v/>
      </c>
    </row>
    <row r="281">
      <c r="A281" s="20" t="inlineStr">
        <is>
          <t>0786-0001</t>
        </is>
      </c>
      <c r="B281" s="21" t="inlineStr">
        <is>
          <t>Consejería Jurídico Empresarial, S.C.</t>
        </is>
      </c>
      <c r="C281" s="21" t="inlineStr">
        <is>
          <t>Mitsubishi Outlander Sport Limited 2027</t>
        </is>
      </c>
      <c r="D281" s="22" t="n">
        <v>24</v>
      </c>
      <c r="E281" s="23">
        <f>Intereses_Leasing_Mensual!I281</f>
        <v/>
      </c>
      <c r="F281" s="23">
        <f>Amortizacion_Capital_Mensual!J281</f>
        <v/>
      </c>
      <c r="G281" s="23">
        <f>Saldos_Capital_Mensual!I281</f>
        <v/>
      </c>
      <c r="H281" s="23">
        <f>Intereses_Residual_Mensual!I281</f>
        <v/>
      </c>
      <c r="I281" s="23">
        <f>ROUND(E281 + H281, 2)</f>
        <v/>
      </c>
      <c r="J281" s="23">
        <f>Intereses_Leasing_Mensual!J281</f>
        <v/>
      </c>
      <c r="K281" s="23">
        <f>Amortizacion_Capital_Mensual!K281</f>
        <v/>
      </c>
      <c r="L281" s="23">
        <f>Saldos_Capital_Mensual!J281</f>
        <v/>
      </c>
      <c r="M281" s="23">
        <f>Intereses_Residual_Mensual!J281</f>
        <v/>
      </c>
      <c r="N281" s="23">
        <f>ROUND(J281 + M281, 2)</f>
        <v/>
      </c>
      <c r="O281" s="23">
        <f>Intereses_Leasing_Mensual!K281</f>
        <v/>
      </c>
      <c r="P281" s="23">
        <f>Amortizacion_Capital_Mensual!L281</f>
        <v/>
      </c>
      <c r="Q281" s="23">
        <f>Saldos_Capital_Mensual!K281</f>
        <v/>
      </c>
      <c r="R281" s="23">
        <f>Intereses_Residual_Mensual!K281</f>
        <v/>
      </c>
      <c r="S281" s="23">
        <f>ROUND(O281 + R281, 2)</f>
        <v/>
      </c>
      <c r="T281" s="23">
        <f>Intereses_Leasing_Mensual!L281</f>
        <v/>
      </c>
      <c r="U281" s="23">
        <f>Amortizacion_Capital_Mensual!M281</f>
        <v/>
      </c>
      <c r="V281" s="23">
        <f>Saldos_Capital_Mensual!L281</f>
        <v/>
      </c>
      <c r="W281" s="23">
        <f>Intereses_Residual_Mensual!L281</f>
        <v/>
      </c>
      <c r="X281" s="23">
        <f>ROUND(T281 + W281, 2)</f>
        <v/>
      </c>
      <c r="Y281" s="23">
        <f>Intereses_Leasing_Mensual!M281</f>
        <v/>
      </c>
      <c r="Z281" s="23">
        <f>Amortizacion_Capital_Mensual!N281</f>
        <v/>
      </c>
      <c r="AA281" s="23">
        <f>Saldos_Capital_Mensual!M281</f>
        <v/>
      </c>
      <c r="AB281" s="23">
        <f>Intereses_Residual_Mensual!M281</f>
        <v/>
      </c>
      <c r="AC281" s="23">
        <f>ROUND(Y281 + AB281, 2)</f>
        <v/>
      </c>
      <c r="AD281" s="23">
        <f>Intereses_Leasing_Mensual!N281</f>
        <v/>
      </c>
      <c r="AE281" s="23">
        <f>Amortizacion_Capital_Mensual!O281</f>
        <v/>
      </c>
      <c r="AF281" s="23">
        <f>Saldos_Capital_Mensual!N281</f>
        <v/>
      </c>
      <c r="AG281" s="23">
        <f>Intereses_Residual_Mensual!N281</f>
        <v/>
      </c>
      <c r="AH281" s="23">
        <f>ROUND(AD281 + AG281, 2)</f>
        <v/>
      </c>
      <c r="AI281" s="23">
        <f>Intereses_Leasing_Mensual!O281</f>
        <v/>
      </c>
      <c r="AJ281" s="23">
        <f>Amortizacion_Capital_Mensual!P281</f>
        <v/>
      </c>
      <c r="AK281" s="23">
        <f>Saldos_Capital_Mensual!O281</f>
        <v/>
      </c>
      <c r="AL281" s="23">
        <f>Intereses_Residual_Mensual!O281</f>
        <v/>
      </c>
      <c r="AM281" s="23">
        <f>ROUND(AI281 + AL281, 2)</f>
        <v/>
      </c>
      <c r="AN281" s="23">
        <f>Intereses_Leasing_Mensual!P281</f>
        <v/>
      </c>
      <c r="AO281" s="23">
        <f>Amortizacion_Capital_Mensual!Q281</f>
        <v/>
      </c>
      <c r="AP281" s="23">
        <f>Saldos_Capital_Mensual!P281</f>
        <v/>
      </c>
      <c r="AQ281" s="23">
        <f>Intereses_Residual_Mensual!P281</f>
        <v/>
      </c>
      <c r="AR281" s="23">
        <f>ROUND(AN281 + AQ281, 2)</f>
        <v/>
      </c>
      <c r="AS281" s="23">
        <f>Intereses_Leasing_Mensual!Q281</f>
        <v/>
      </c>
      <c r="AT281" s="23">
        <f>Amortizacion_Capital_Mensual!R281</f>
        <v/>
      </c>
      <c r="AU281" s="23">
        <f>Saldos_Capital_Mensual!Q281</f>
        <v/>
      </c>
      <c r="AV281" s="23">
        <f>Intereses_Residual_Mensual!Q281</f>
        <v/>
      </c>
      <c r="AW281" s="23">
        <f>ROUND(AS281 + AV281, 2)</f>
        <v/>
      </c>
      <c r="AX281" s="23">
        <f>Intereses_Leasing_Mensual!R281</f>
        <v/>
      </c>
      <c r="AY281" s="23">
        <f>Amortizacion_Capital_Mensual!S281</f>
        <v/>
      </c>
      <c r="AZ281" s="23">
        <f>Saldos_Capital_Mensual!R281</f>
        <v/>
      </c>
      <c r="BA281" s="23">
        <f>Intereses_Residual_Mensual!R281</f>
        <v/>
      </c>
      <c r="BB281" s="23">
        <f>ROUND(AX281 + BA281, 2)</f>
        <v/>
      </c>
      <c r="BC281" s="23">
        <f>Intereses_Leasing_Mensual!S281</f>
        <v/>
      </c>
      <c r="BD281" s="23">
        <f>Amortizacion_Capital_Mensual!T281</f>
        <v/>
      </c>
      <c r="BE281" s="23">
        <f>Saldos_Capital_Mensual!S281</f>
        <v/>
      </c>
      <c r="BF281" s="23">
        <f>Intereses_Residual_Mensual!S281</f>
        <v/>
      </c>
      <c r="BG281" s="23">
        <f>ROUND(BC281 + BF281, 2)</f>
        <v/>
      </c>
      <c r="BH281" s="23">
        <f>Intereses_Leasing_Mensual!T281</f>
        <v/>
      </c>
      <c r="BI281" s="23">
        <f>Amortizacion_Capital_Mensual!U281</f>
        <v/>
      </c>
      <c r="BJ281" s="23">
        <f>Saldos_Capital_Mensual!T281</f>
        <v/>
      </c>
      <c r="BK281" s="23">
        <f>Intereses_Residual_Mensual!T281</f>
        <v/>
      </c>
      <c r="BL281" s="23">
        <f>ROUND(BH281 + BK281, 2)</f>
        <v/>
      </c>
    </row>
    <row r="282">
      <c r="A282" s="32" t="inlineStr">
        <is>
          <t>TOTAL CARTERA</t>
        </is>
      </c>
      <c r="B282" s="33" t="inlineStr">
        <is>
          <t>277 Contratos</t>
        </is>
      </c>
      <c r="C282" s="34" t="n"/>
      <c r="D282" s="34" t="n"/>
      <c r="E282" s="35">
        <f>SUM(E5:E281)</f>
        <v/>
      </c>
      <c r="F282" s="35">
        <f>SUM(F5:F281)</f>
        <v/>
      </c>
      <c r="G282" s="35">
        <f>SUM(G5:G281)</f>
        <v/>
      </c>
      <c r="H282" s="35">
        <f>SUM(H5:H281)</f>
        <v/>
      </c>
      <c r="I282" s="35">
        <f>SUM(I5:I281)</f>
        <v/>
      </c>
      <c r="J282" s="35">
        <f>SUM(J5:J281)</f>
        <v/>
      </c>
      <c r="K282" s="35">
        <f>SUM(K5:K281)</f>
        <v/>
      </c>
      <c r="L282" s="35">
        <f>SUM(L5:L281)</f>
        <v/>
      </c>
      <c r="M282" s="35">
        <f>SUM(M5:M281)</f>
        <v/>
      </c>
      <c r="N282" s="35">
        <f>SUM(N5:N281)</f>
        <v/>
      </c>
      <c r="O282" s="35">
        <f>SUM(O5:O281)</f>
        <v/>
      </c>
      <c r="P282" s="35">
        <f>SUM(P5:P281)</f>
        <v/>
      </c>
      <c r="Q282" s="35">
        <f>SUM(Q5:Q281)</f>
        <v/>
      </c>
      <c r="R282" s="35">
        <f>SUM(R5:R281)</f>
        <v/>
      </c>
      <c r="S282" s="35">
        <f>SUM(S5:S281)</f>
        <v/>
      </c>
      <c r="T282" s="35">
        <f>SUM(T5:T281)</f>
        <v/>
      </c>
      <c r="U282" s="35">
        <f>SUM(U5:U281)</f>
        <v/>
      </c>
      <c r="V282" s="35">
        <f>SUM(V5:V281)</f>
        <v/>
      </c>
      <c r="W282" s="35">
        <f>SUM(W5:W281)</f>
        <v/>
      </c>
      <c r="X282" s="35">
        <f>SUM(X5:X281)</f>
        <v/>
      </c>
      <c r="Y282" s="35">
        <f>SUM(Y5:Y281)</f>
        <v/>
      </c>
      <c r="Z282" s="35">
        <f>SUM(Z5:Z281)</f>
        <v/>
      </c>
      <c r="AA282" s="35">
        <f>SUM(AA5:AA281)</f>
        <v/>
      </c>
      <c r="AB282" s="35">
        <f>SUM(AB5:AB281)</f>
        <v/>
      </c>
      <c r="AC282" s="35">
        <f>SUM(AC5:AC281)</f>
        <v/>
      </c>
      <c r="AD282" s="35">
        <f>SUM(AD5:AD281)</f>
        <v/>
      </c>
      <c r="AE282" s="35">
        <f>SUM(AE5:AE281)</f>
        <v/>
      </c>
      <c r="AF282" s="35">
        <f>SUM(AF5:AF281)</f>
        <v/>
      </c>
      <c r="AG282" s="35">
        <f>SUM(AG5:AG281)</f>
        <v/>
      </c>
      <c r="AH282" s="35">
        <f>SUM(AH5:AH281)</f>
        <v/>
      </c>
      <c r="AI282" s="35">
        <f>SUM(AI5:AI281)</f>
        <v/>
      </c>
      <c r="AJ282" s="35">
        <f>SUM(AJ5:AJ281)</f>
        <v/>
      </c>
      <c r="AK282" s="35">
        <f>SUM(AK5:AK281)</f>
        <v/>
      </c>
      <c r="AL282" s="35">
        <f>SUM(AL5:AL281)</f>
        <v/>
      </c>
      <c r="AM282" s="35">
        <f>SUM(AM5:AM281)</f>
        <v/>
      </c>
      <c r="AN282" s="35">
        <f>SUM(AN5:AN281)</f>
        <v/>
      </c>
      <c r="AO282" s="35">
        <f>SUM(AO5:AO281)</f>
        <v/>
      </c>
      <c r="AP282" s="35">
        <f>SUM(AP5:AP281)</f>
        <v/>
      </c>
      <c r="AQ282" s="35">
        <f>SUM(AQ5:AQ281)</f>
        <v/>
      </c>
      <c r="AR282" s="35">
        <f>SUM(AR5:AR281)</f>
        <v/>
      </c>
      <c r="AS282" s="35">
        <f>SUM(AS5:AS281)</f>
        <v/>
      </c>
      <c r="AT282" s="35">
        <f>SUM(AT5:AT281)</f>
        <v/>
      </c>
      <c r="AU282" s="35">
        <f>SUM(AU5:AU281)</f>
        <v/>
      </c>
      <c r="AV282" s="35">
        <f>SUM(AV5:AV281)</f>
        <v/>
      </c>
      <c r="AW282" s="35">
        <f>SUM(AW5:AW281)</f>
        <v/>
      </c>
      <c r="AX282" s="35">
        <f>SUM(AX5:AX281)</f>
        <v/>
      </c>
      <c r="AY282" s="35">
        <f>SUM(AY5:AY281)</f>
        <v/>
      </c>
      <c r="AZ282" s="35">
        <f>SUM(AZ5:AZ281)</f>
        <v/>
      </c>
      <c r="BA282" s="35">
        <f>SUM(BA5:BA281)</f>
        <v/>
      </c>
      <c r="BB282" s="35">
        <f>SUM(BB5:BB281)</f>
        <v/>
      </c>
      <c r="BC282" s="35">
        <f>SUM(BC5:BC281)</f>
        <v/>
      </c>
      <c r="BD282" s="35">
        <f>SUM(BD5:BD281)</f>
        <v/>
      </c>
      <c r="BE282" s="35">
        <f>SUM(BE5:BE281)</f>
        <v/>
      </c>
      <c r="BF282" s="35">
        <f>SUM(BF5:BF281)</f>
        <v/>
      </c>
      <c r="BG282" s="35">
        <f>SUM(BG5:BG281)</f>
        <v/>
      </c>
      <c r="BH282" s="35">
        <f>SUM(BH5:BH281)</f>
        <v/>
      </c>
      <c r="BI282" s="35">
        <f>SUM(BI5:BI281)</f>
        <v/>
      </c>
      <c r="BJ282" s="35">
        <f>SUM(BJ5:BJ281)</f>
        <v/>
      </c>
      <c r="BK282" s="35">
        <f>SUM(BK5:BK281)</f>
        <v/>
      </c>
      <c r="BL282" s="35">
        <f>SUM(BL5:BL281)</f>
        <v/>
      </c>
    </row>
  </sheetData>
  <autoFilter ref="A4:BL281"/>
  <mergeCells count="18">
    <mergeCell ref="AX3:BB3"/>
    <mergeCell ref="E3:I3"/>
    <mergeCell ref="AI3:AM3"/>
    <mergeCell ref="AN3:AR3"/>
    <mergeCell ref="AD3:AH3"/>
    <mergeCell ref="A2:O2"/>
    <mergeCell ref="J3:N3"/>
    <mergeCell ref="O3:S3"/>
    <mergeCell ref="Y3:AC3"/>
    <mergeCell ref="AS3:AW3"/>
    <mergeCell ref="C3:C4"/>
    <mergeCell ref="B3:B4"/>
    <mergeCell ref="A3:A4"/>
    <mergeCell ref="BC3:BG3"/>
    <mergeCell ref="BH3:BL3"/>
    <mergeCell ref="A1:O1"/>
    <mergeCell ref="D3:D4"/>
    <mergeCell ref="T3:X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L282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0" customWidth="1" min="4" max="4"/>
    <col width="15" customWidth="1" min="5" max="5"/>
    <col width="15" customWidth="1" min="6" max="6"/>
    <col width="16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5" customWidth="1" min="13" max="13"/>
    <col width="16" customWidth="1" min="14" max="14"/>
    <col width="15" customWidth="1" min="15" max="15"/>
    <col width="15" customWidth="1" min="16" max="16"/>
    <col width="16" customWidth="1" min="17" max="17"/>
    <col width="15" customWidth="1" min="18" max="18"/>
    <col width="16" customWidth="1" min="19" max="19"/>
    <col width="15" customWidth="1" min="20" max="20"/>
    <col width="15" customWidth="1" min="21" max="21"/>
    <col width="16" customWidth="1" min="22" max="22"/>
    <col width="15" customWidth="1" min="23" max="23"/>
    <col width="16" customWidth="1" min="24" max="24"/>
    <col width="15" customWidth="1" min="25" max="25"/>
    <col width="15" customWidth="1" min="26" max="26"/>
    <col width="16" customWidth="1" min="27" max="27"/>
    <col width="15" customWidth="1" min="28" max="28"/>
    <col width="16" customWidth="1" min="29" max="29"/>
    <col width="15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5" customWidth="1" min="36" max="36"/>
    <col width="16" customWidth="1" min="37" max="37"/>
    <col width="15" customWidth="1" min="38" max="38"/>
    <col width="16" customWidth="1" min="39" max="39"/>
    <col width="15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15" customWidth="1" min="46" max="46"/>
    <col width="16" customWidth="1" min="47" max="47"/>
    <col width="15" customWidth="1" min="48" max="48"/>
    <col width="16" customWidth="1" min="49" max="49"/>
    <col width="15" customWidth="1" min="50" max="50"/>
    <col width="15" customWidth="1" min="51" max="51"/>
    <col width="16" customWidth="1" min="52" max="52"/>
    <col width="15" customWidth="1" min="53" max="53"/>
    <col width="16" customWidth="1" min="54" max="54"/>
    <col width="15" customWidth="1" min="55" max="55"/>
    <col width="15" customWidth="1" min="56" max="56"/>
    <col width="16" customWidth="1" min="57" max="57"/>
    <col width="15" customWidth="1" min="58" max="58"/>
    <col width="16" customWidth="1" min="59" max="59"/>
    <col width="15" customWidth="1" min="60" max="60"/>
    <col width="15" customWidth="1" min="61" max="61"/>
    <col width="16" customWidth="1" min="62" max="62"/>
    <col width="15" customWidth="1" min="63" max="63"/>
    <col width="16" customWidth="1" min="64" max="64"/>
  </cols>
  <sheetData>
    <row r="1" ht="24" customHeight="1">
      <c r="A1" s="18" t="inlineStr">
        <is>
          <t>O-LEASING · UNA APP DE ORANGE CREW · Matriz Cronológica Consolidada de Saldos de Cartera</t>
        </is>
      </c>
    </row>
    <row r="2" ht="16" customHeight="1">
      <c r="A2" s="3" t="inlineStr">
        <is>
          <t>Saldos de capital, saldos de intereses por devengar, saldos totales de cartera y saldos de residual mes por mes · Auditoría Financiera NIF C-15 / IFRS 16 · Desarrollado por Orange Crew</t>
        </is>
      </c>
    </row>
    <row r="3" ht="20" customHeight="1">
      <c r="A3" s="9" t="inlineStr">
        <is>
          <t>ID_Contrato</t>
        </is>
      </c>
      <c r="B3" s="9" t="inlineStr">
        <is>
          <t>Cliente</t>
        </is>
      </c>
      <c r="C3" s="9" t="inlineStr">
        <is>
          <t>Vehiculo</t>
        </is>
      </c>
      <c r="D3" s="9" t="inlineStr">
        <is>
          <t>Plazo</t>
        </is>
      </c>
      <c r="E3" s="9" t="inlineStr">
        <is>
          <t>2026-01</t>
        </is>
      </c>
      <c r="J3" s="9" t="inlineStr">
        <is>
          <t>2026-02</t>
        </is>
      </c>
      <c r="O3" s="9" t="inlineStr">
        <is>
          <t>2026-03</t>
        </is>
      </c>
      <c r="T3" s="9" t="inlineStr">
        <is>
          <t>2026-04</t>
        </is>
      </c>
      <c r="Y3" s="9" t="inlineStr">
        <is>
          <t>2026-05</t>
        </is>
      </c>
      <c r="AD3" s="9" t="inlineStr">
        <is>
          <t>2026-06</t>
        </is>
      </c>
      <c r="AI3" s="9" t="inlineStr">
        <is>
          <t>2026-07</t>
        </is>
      </c>
      <c r="AN3" s="9" t="inlineStr">
        <is>
          <t>2026-08</t>
        </is>
      </c>
      <c r="AS3" s="9" t="inlineStr">
        <is>
          <t>2026-09</t>
        </is>
      </c>
      <c r="AX3" s="9" t="inlineStr">
        <is>
          <t>2026-10</t>
        </is>
      </c>
      <c r="BC3" s="9" t="inlineStr">
        <is>
          <t>2026-11</t>
        </is>
      </c>
      <c r="BH3" s="9" t="inlineStr">
        <is>
          <t>2026-12</t>
        </is>
      </c>
    </row>
    <row r="4" ht="22" customHeight="1">
      <c r="E4" s="52" t="inlineStr">
        <is>
          <t>Saldo_Capital</t>
        </is>
      </c>
      <c r="F4" s="52" t="inlineStr">
        <is>
          <t>Saldo_Intereses</t>
        </is>
      </c>
      <c r="G4" s="52" t="inlineStr">
        <is>
          <t>Saldo_Cartera</t>
        </is>
      </c>
      <c r="H4" s="52" t="inlineStr">
        <is>
          <t>Saldo_Residual</t>
        </is>
      </c>
      <c r="I4" s="52" t="inlineStr">
        <is>
          <t>Saldo_Global</t>
        </is>
      </c>
      <c r="J4" s="52" t="inlineStr">
        <is>
          <t>Saldo_Capital</t>
        </is>
      </c>
      <c r="K4" s="52" t="inlineStr">
        <is>
          <t>Saldo_Intereses</t>
        </is>
      </c>
      <c r="L4" s="52" t="inlineStr">
        <is>
          <t>Saldo_Cartera</t>
        </is>
      </c>
      <c r="M4" s="52" t="inlineStr">
        <is>
          <t>Saldo_Residual</t>
        </is>
      </c>
      <c r="N4" s="52" t="inlineStr">
        <is>
          <t>Saldo_Global</t>
        </is>
      </c>
      <c r="O4" s="52" t="inlineStr">
        <is>
          <t>Saldo_Capital</t>
        </is>
      </c>
      <c r="P4" s="52" t="inlineStr">
        <is>
          <t>Saldo_Intereses</t>
        </is>
      </c>
      <c r="Q4" s="52" t="inlineStr">
        <is>
          <t>Saldo_Cartera</t>
        </is>
      </c>
      <c r="R4" s="52" t="inlineStr">
        <is>
          <t>Saldo_Residual</t>
        </is>
      </c>
      <c r="S4" s="52" t="inlineStr">
        <is>
          <t>Saldo_Global</t>
        </is>
      </c>
      <c r="T4" s="52" t="inlineStr">
        <is>
          <t>Saldo_Capital</t>
        </is>
      </c>
      <c r="U4" s="52" t="inlineStr">
        <is>
          <t>Saldo_Intereses</t>
        </is>
      </c>
      <c r="V4" s="52" t="inlineStr">
        <is>
          <t>Saldo_Cartera</t>
        </is>
      </c>
      <c r="W4" s="52" t="inlineStr">
        <is>
          <t>Saldo_Residual</t>
        </is>
      </c>
      <c r="X4" s="52" t="inlineStr">
        <is>
          <t>Saldo_Global</t>
        </is>
      </c>
      <c r="Y4" s="52" t="inlineStr">
        <is>
          <t>Saldo_Capital</t>
        </is>
      </c>
      <c r="Z4" s="52" t="inlineStr">
        <is>
          <t>Saldo_Intereses</t>
        </is>
      </c>
      <c r="AA4" s="52" t="inlineStr">
        <is>
          <t>Saldo_Cartera</t>
        </is>
      </c>
      <c r="AB4" s="52" t="inlineStr">
        <is>
          <t>Saldo_Residual</t>
        </is>
      </c>
      <c r="AC4" s="52" t="inlineStr">
        <is>
          <t>Saldo_Global</t>
        </is>
      </c>
      <c r="AD4" s="52" t="inlineStr">
        <is>
          <t>Saldo_Capital</t>
        </is>
      </c>
      <c r="AE4" s="52" t="inlineStr">
        <is>
          <t>Saldo_Intereses</t>
        </is>
      </c>
      <c r="AF4" s="52" t="inlineStr">
        <is>
          <t>Saldo_Cartera</t>
        </is>
      </c>
      <c r="AG4" s="52" t="inlineStr">
        <is>
          <t>Saldo_Residual</t>
        </is>
      </c>
      <c r="AH4" s="52" t="inlineStr">
        <is>
          <t>Saldo_Global</t>
        </is>
      </c>
      <c r="AI4" s="52" t="inlineStr">
        <is>
          <t>Saldo_Capital</t>
        </is>
      </c>
      <c r="AJ4" s="52" t="inlineStr">
        <is>
          <t>Saldo_Intereses</t>
        </is>
      </c>
      <c r="AK4" s="52" t="inlineStr">
        <is>
          <t>Saldo_Cartera</t>
        </is>
      </c>
      <c r="AL4" s="52" t="inlineStr">
        <is>
          <t>Saldo_Residual</t>
        </is>
      </c>
      <c r="AM4" s="52" t="inlineStr">
        <is>
          <t>Saldo_Global</t>
        </is>
      </c>
      <c r="AN4" s="52" t="inlineStr">
        <is>
          <t>Saldo_Capital</t>
        </is>
      </c>
      <c r="AO4" s="52" t="inlineStr">
        <is>
          <t>Saldo_Intereses</t>
        </is>
      </c>
      <c r="AP4" s="52" t="inlineStr">
        <is>
          <t>Saldo_Cartera</t>
        </is>
      </c>
      <c r="AQ4" s="52" t="inlineStr">
        <is>
          <t>Saldo_Residual</t>
        </is>
      </c>
      <c r="AR4" s="52" t="inlineStr">
        <is>
          <t>Saldo_Global</t>
        </is>
      </c>
      <c r="AS4" s="52" t="inlineStr">
        <is>
          <t>Saldo_Capital</t>
        </is>
      </c>
      <c r="AT4" s="52" t="inlineStr">
        <is>
          <t>Saldo_Intereses</t>
        </is>
      </c>
      <c r="AU4" s="52" t="inlineStr">
        <is>
          <t>Saldo_Cartera</t>
        </is>
      </c>
      <c r="AV4" s="52" t="inlineStr">
        <is>
          <t>Saldo_Residual</t>
        </is>
      </c>
      <c r="AW4" s="52" t="inlineStr">
        <is>
          <t>Saldo_Global</t>
        </is>
      </c>
      <c r="AX4" s="52" t="inlineStr">
        <is>
          <t>Saldo_Capital</t>
        </is>
      </c>
      <c r="AY4" s="52" t="inlineStr">
        <is>
          <t>Saldo_Intereses</t>
        </is>
      </c>
      <c r="AZ4" s="52" t="inlineStr">
        <is>
          <t>Saldo_Cartera</t>
        </is>
      </c>
      <c r="BA4" s="52" t="inlineStr">
        <is>
          <t>Saldo_Residual</t>
        </is>
      </c>
      <c r="BB4" s="52" t="inlineStr">
        <is>
          <t>Saldo_Global</t>
        </is>
      </c>
      <c r="BC4" s="52" t="inlineStr">
        <is>
          <t>Saldo_Capital</t>
        </is>
      </c>
      <c r="BD4" s="52" t="inlineStr">
        <is>
          <t>Saldo_Intereses</t>
        </is>
      </c>
      <c r="BE4" s="52" t="inlineStr">
        <is>
          <t>Saldo_Cartera</t>
        </is>
      </c>
      <c r="BF4" s="52" t="inlineStr">
        <is>
          <t>Saldo_Residual</t>
        </is>
      </c>
      <c r="BG4" s="52" t="inlineStr">
        <is>
          <t>Saldo_Global</t>
        </is>
      </c>
      <c r="BH4" s="52" t="inlineStr">
        <is>
          <t>Saldo_Capital</t>
        </is>
      </c>
      <c r="BI4" s="52" t="inlineStr">
        <is>
          <t>Saldo_Intereses</t>
        </is>
      </c>
      <c r="BJ4" s="52" t="inlineStr">
        <is>
          <t>Saldo_Cartera</t>
        </is>
      </c>
      <c r="BK4" s="52" t="inlineStr">
        <is>
          <t>Saldo_Residual</t>
        </is>
      </c>
      <c r="BL4" s="52" t="inlineStr">
        <is>
          <t>Saldo_Global</t>
        </is>
      </c>
    </row>
    <row r="5">
      <c r="A5" s="20" t="inlineStr">
        <is>
          <t>0326-0003</t>
        </is>
      </c>
      <c r="B5" s="21" t="inlineStr">
        <is>
          <t>Alberto Vázquez Solorio</t>
        </is>
      </c>
      <c r="C5" s="21" t="inlineStr">
        <is>
          <t>Volkswagen Tiguan R-Line 2026</t>
        </is>
      </c>
      <c r="D5" s="22" t="n">
        <v>48</v>
      </c>
      <c r="E5" s="23">
        <f>Saldos_Capital_Mensual!I5</f>
        <v/>
      </c>
      <c r="F5" s="23">
        <f>Saldos_Intereses_Mensual!I5</f>
        <v/>
      </c>
      <c r="G5" s="23">
        <f>ROUND(E5 + F5, 2)</f>
        <v/>
      </c>
      <c r="H5" s="23">
        <f>Saldo_Residual_Activo!I5</f>
        <v/>
      </c>
      <c r="I5" s="23">
        <f>ROUND(G5 + H5, 2)</f>
        <v/>
      </c>
      <c r="J5" s="23">
        <f>Saldos_Capital_Mensual!J5</f>
        <v/>
      </c>
      <c r="K5" s="23">
        <f>Saldos_Intereses_Mensual!J5</f>
        <v/>
      </c>
      <c r="L5" s="23">
        <f>ROUND(J5 + K5, 2)</f>
        <v/>
      </c>
      <c r="M5" s="23">
        <f>Saldo_Residual_Activo!J5</f>
        <v/>
      </c>
      <c r="N5" s="23">
        <f>ROUND(L5 + M5, 2)</f>
        <v/>
      </c>
      <c r="O5" s="23">
        <f>Saldos_Capital_Mensual!K5</f>
        <v/>
      </c>
      <c r="P5" s="23">
        <f>Saldos_Intereses_Mensual!K5</f>
        <v/>
      </c>
      <c r="Q5" s="23">
        <f>ROUND(O5 + P5, 2)</f>
        <v/>
      </c>
      <c r="R5" s="23">
        <f>Saldo_Residual_Activo!K5</f>
        <v/>
      </c>
      <c r="S5" s="23">
        <f>ROUND(Q5 + R5, 2)</f>
        <v/>
      </c>
      <c r="T5" s="23">
        <f>Saldos_Capital_Mensual!L5</f>
        <v/>
      </c>
      <c r="U5" s="23">
        <f>Saldos_Intereses_Mensual!L5</f>
        <v/>
      </c>
      <c r="V5" s="23">
        <f>ROUND(T5 + U5, 2)</f>
        <v/>
      </c>
      <c r="W5" s="23">
        <f>Saldo_Residual_Activo!L5</f>
        <v/>
      </c>
      <c r="X5" s="23">
        <f>ROUND(V5 + W5, 2)</f>
        <v/>
      </c>
      <c r="Y5" s="23">
        <f>Saldos_Capital_Mensual!M5</f>
        <v/>
      </c>
      <c r="Z5" s="23">
        <f>Saldos_Intereses_Mensual!M5</f>
        <v/>
      </c>
      <c r="AA5" s="23">
        <f>ROUND(Y5 + Z5, 2)</f>
        <v/>
      </c>
      <c r="AB5" s="23">
        <f>Saldo_Residual_Activo!M5</f>
        <v/>
      </c>
      <c r="AC5" s="23">
        <f>ROUND(AA5 + AB5, 2)</f>
        <v/>
      </c>
      <c r="AD5" s="23">
        <f>Saldos_Capital_Mensual!N5</f>
        <v/>
      </c>
      <c r="AE5" s="23">
        <f>Saldos_Intereses_Mensual!N5</f>
        <v/>
      </c>
      <c r="AF5" s="23">
        <f>ROUND(AD5 + AE5, 2)</f>
        <v/>
      </c>
      <c r="AG5" s="23">
        <f>Saldo_Residual_Activo!N5</f>
        <v/>
      </c>
      <c r="AH5" s="23">
        <f>ROUND(AF5 + AG5, 2)</f>
        <v/>
      </c>
      <c r="AI5" s="23">
        <f>Saldos_Capital_Mensual!O5</f>
        <v/>
      </c>
      <c r="AJ5" s="23">
        <f>Saldos_Intereses_Mensual!O5</f>
        <v/>
      </c>
      <c r="AK5" s="23">
        <f>ROUND(AI5 + AJ5, 2)</f>
        <v/>
      </c>
      <c r="AL5" s="23">
        <f>Saldo_Residual_Activo!O5</f>
        <v/>
      </c>
      <c r="AM5" s="23">
        <f>ROUND(AK5 + AL5, 2)</f>
        <v/>
      </c>
      <c r="AN5" s="23">
        <f>Saldos_Capital_Mensual!P5</f>
        <v/>
      </c>
      <c r="AO5" s="23">
        <f>Saldos_Intereses_Mensual!P5</f>
        <v/>
      </c>
      <c r="AP5" s="23">
        <f>ROUND(AN5 + AO5, 2)</f>
        <v/>
      </c>
      <c r="AQ5" s="23">
        <f>Saldo_Residual_Activo!P5</f>
        <v/>
      </c>
      <c r="AR5" s="23">
        <f>ROUND(AP5 + AQ5, 2)</f>
        <v/>
      </c>
      <c r="AS5" s="23">
        <f>Saldos_Capital_Mensual!Q5</f>
        <v/>
      </c>
      <c r="AT5" s="23">
        <f>Saldos_Intereses_Mensual!Q5</f>
        <v/>
      </c>
      <c r="AU5" s="23">
        <f>ROUND(AS5 + AT5, 2)</f>
        <v/>
      </c>
      <c r="AV5" s="23">
        <f>Saldo_Residual_Activo!Q5</f>
        <v/>
      </c>
      <c r="AW5" s="23">
        <f>ROUND(AU5 + AV5, 2)</f>
        <v/>
      </c>
      <c r="AX5" s="23">
        <f>Saldos_Capital_Mensual!R5</f>
        <v/>
      </c>
      <c r="AY5" s="23">
        <f>Saldos_Intereses_Mensual!R5</f>
        <v/>
      </c>
      <c r="AZ5" s="23">
        <f>ROUND(AX5 + AY5, 2)</f>
        <v/>
      </c>
      <c r="BA5" s="23">
        <f>Saldo_Residual_Activo!R5</f>
        <v/>
      </c>
      <c r="BB5" s="23">
        <f>ROUND(AZ5 + BA5, 2)</f>
        <v/>
      </c>
      <c r="BC5" s="23">
        <f>Saldos_Capital_Mensual!S5</f>
        <v/>
      </c>
      <c r="BD5" s="23">
        <f>Saldos_Intereses_Mensual!S5</f>
        <v/>
      </c>
      <c r="BE5" s="23">
        <f>ROUND(BC5 + BD5, 2)</f>
        <v/>
      </c>
      <c r="BF5" s="23">
        <f>Saldo_Residual_Activo!S5</f>
        <v/>
      </c>
      <c r="BG5" s="23">
        <f>ROUND(BE5 + BF5, 2)</f>
        <v/>
      </c>
      <c r="BH5" s="23">
        <f>Saldos_Capital_Mensual!T5</f>
        <v/>
      </c>
      <c r="BI5" s="23">
        <f>Saldos_Intereses_Mensual!T5</f>
        <v/>
      </c>
      <c r="BJ5" s="23">
        <f>ROUND(BH5 + BI5, 2)</f>
        <v/>
      </c>
      <c r="BK5" s="23">
        <f>Saldo_Residual_Activo!T5</f>
        <v/>
      </c>
      <c r="BL5" s="23">
        <f>ROUND(BJ5 + BK5, 2)</f>
        <v/>
      </c>
    </row>
    <row r="6">
      <c r="A6" s="26" t="inlineStr">
        <is>
          <t>0472-0003</t>
        </is>
      </c>
      <c r="B6" s="27" t="inlineStr">
        <is>
          <t>Miguel Zazueta Beltrán</t>
        </is>
      </c>
      <c r="C6" s="27" t="inlineStr">
        <is>
          <t>Jeep Grand Cherokee</t>
        </is>
      </c>
      <c r="D6" s="28" t="n">
        <v>36</v>
      </c>
      <c r="E6" s="29">
        <f>Saldos_Capital_Mensual!I6</f>
        <v/>
      </c>
      <c r="F6" s="29">
        <f>Saldos_Intereses_Mensual!I6</f>
        <v/>
      </c>
      <c r="G6" s="29">
        <f>ROUND(E6 + F6, 2)</f>
        <v/>
      </c>
      <c r="H6" s="29">
        <f>Saldo_Residual_Activo!I6</f>
        <v/>
      </c>
      <c r="I6" s="29">
        <f>ROUND(G6 + H6, 2)</f>
        <v/>
      </c>
      <c r="J6" s="29">
        <f>Saldos_Capital_Mensual!J6</f>
        <v/>
      </c>
      <c r="K6" s="29">
        <f>Saldos_Intereses_Mensual!J6</f>
        <v/>
      </c>
      <c r="L6" s="29">
        <f>ROUND(J6 + K6, 2)</f>
        <v/>
      </c>
      <c r="M6" s="29">
        <f>Saldo_Residual_Activo!J6</f>
        <v/>
      </c>
      <c r="N6" s="29">
        <f>ROUND(L6 + M6, 2)</f>
        <v/>
      </c>
      <c r="O6" s="29">
        <f>Saldos_Capital_Mensual!K6</f>
        <v/>
      </c>
      <c r="P6" s="29">
        <f>Saldos_Intereses_Mensual!K6</f>
        <v/>
      </c>
      <c r="Q6" s="29">
        <f>ROUND(O6 + P6, 2)</f>
        <v/>
      </c>
      <c r="R6" s="29">
        <f>Saldo_Residual_Activo!K6</f>
        <v/>
      </c>
      <c r="S6" s="29">
        <f>ROUND(Q6 + R6, 2)</f>
        <v/>
      </c>
      <c r="T6" s="29">
        <f>Saldos_Capital_Mensual!L6</f>
        <v/>
      </c>
      <c r="U6" s="29">
        <f>Saldos_Intereses_Mensual!L6</f>
        <v/>
      </c>
      <c r="V6" s="29">
        <f>ROUND(T6 + U6, 2)</f>
        <v/>
      </c>
      <c r="W6" s="29">
        <f>Saldo_Residual_Activo!L6</f>
        <v/>
      </c>
      <c r="X6" s="29">
        <f>ROUND(V6 + W6, 2)</f>
        <v/>
      </c>
      <c r="Y6" s="29">
        <f>Saldos_Capital_Mensual!M6</f>
        <v/>
      </c>
      <c r="Z6" s="29">
        <f>Saldos_Intereses_Mensual!M6</f>
        <v/>
      </c>
      <c r="AA6" s="29">
        <f>ROUND(Y6 + Z6, 2)</f>
        <v/>
      </c>
      <c r="AB6" s="29">
        <f>Saldo_Residual_Activo!M6</f>
        <v/>
      </c>
      <c r="AC6" s="29">
        <f>ROUND(AA6 + AB6, 2)</f>
        <v/>
      </c>
      <c r="AD6" s="29">
        <f>Saldos_Capital_Mensual!N6</f>
        <v/>
      </c>
      <c r="AE6" s="29">
        <f>Saldos_Intereses_Mensual!N6</f>
        <v/>
      </c>
      <c r="AF6" s="29">
        <f>ROUND(AD6 + AE6, 2)</f>
        <v/>
      </c>
      <c r="AG6" s="29">
        <f>Saldo_Residual_Activo!N6</f>
        <v/>
      </c>
      <c r="AH6" s="29">
        <f>ROUND(AF6 + AG6, 2)</f>
        <v/>
      </c>
      <c r="AI6" s="29">
        <f>Saldos_Capital_Mensual!O6</f>
        <v/>
      </c>
      <c r="AJ6" s="29">
        <f>Saldos_Intereses_Mensual!O6</f>
        <v/>
      </c>
      <c r="AK6" s="29">
        <f>ROUND(AI6 + AJ6, 2)</f>
        <v/>
      </c>
      <c r="AL6" s="29">
        <f>Saldo_Residual_Activo!O6</f>
        <v/>
      </c>
      <c r="AM6" s="29">
        <f>ROUND(AK6 + AL6, 2)</f>
        <v/>
      </c>
      <c r="AN6" s="29">
        <f>Saldos_Capital_Mensual!P6</f>
        <v/>
      </c>
      <c r="AO6" s="29">
        <f>Saldos_Intereses_Mensual!P6</f>
        <v/>
      </c>
      <c r="AP6" s="29">
        <f>ROUND(AN6 + AO6, 2)</f>
        <v/>
      </c>
      <c r="AQ6" s="29">
        <f>Saldo_Residual_Activo!P6</f>
        <v/>
      </c>
      <c r="AR6" s="29">
        <f>ROUND(AP6 + AQ6, 2)</f>
        <v/>
      </c>
      <c r="AS6" s="29">
        <f>Saldos_Capital_Mensual!Q6</f>
        <v/>
      </c>
      <c r="AT6" s="29">
        <f>Saldos_Intereses_Mensual!Q6</f>
        <v/>
      </c>
      <c r="AU6" s="29">
        <f>ROUND(AS6 + AT6, 2)</f>
        <v/>
      </c>
      <c r="AV6" s="29">
        <f>Saldo_Residual_Activo!Q6</f>
        <v/>
      </c>
      <c r="AW6" s="29">
        <f>ROUND(AU6 + AV6, 2)</f>
        <v/>
      </c>
      <c r="AX6" s="29">
        <f>Saldos_Capital_Mensual!R6</f>
        <v/>
      </c>
      <c r="AY6" s="29">
        <f>Saldos_Intereses_Mensual!R6</f>
        <v/>
      </c>
      <c r="AZ6" s="29">
        <f>ROUND(AX6 + AY6, 2)</f>
        <v/>
      </c>
      <c r="BA6" s="29">
        <f>Saldo_Residual_Activo!R6</f>
        <v/>
      </c>
      <c r="BB6" s="29">
        <f>ROUND(AZ6 + BA6, 2)</f>
        <v/>
      </c>
      <c r="BC6" s="29">
        <f>Saldos_Capital_Mensual!S6</f>
        <v/>
      </c>
      <c r="BD6" s="29">
        <f>Saldos_Intereses_Mensual!S6</f>
        <v/>
      </c>
      <c r="BE6" s="29">
        <f>ROUND(BC6 + BD6, 2)</f>
        <v/>
      </c>
      <c r="BF6" s="29">
        <f>Saldo_Residual_Activo!S6</f>
        <v/>
      </c>
      <c r="BG6" s="29">
        <f>ROUND(BE6 + BF6, 2)</f>
        <v/>
      </c>
      <c r="BH6" s="29">
        <f>Saldos_Capital_Mensual!T6</f>
        <v/>
      </c>
      <c r="BI6" s="29">
        <f>Saldos_Intereses_Mensual!T6</f>
        <v/>
      </c>
      <c r="BJ6" s="29">
        <f>ROUND(BH6 + BI6, 2)</f>
        <v/>
      </c>
      <c r="BK6" s="29">
        <f>Saldo_Residual_Activo!T6</f>
        <v/>
      </c>
      <c r="BL6" s="29">
        <f>ROUND(BJ6 + BK6, 2)</f>
        <v/>
      </c>
    </row>
    <row r="7">
      <c r="A7" s="20" t="inlineStr">
        <is>
          <t>0504-0004</t>
        </is>
      </c>
      <c r="B7" s="21" t="inlineStr">
        <is>
          <t>Oscar Ivan Lozano Terriquez</t>
        </is>
      </c>
      <c r="C7" s="21" t="inlineStr">
        <is>
          <t>700 BIGHORN "S" CREW CAB MT</t>
        </is>
      </c>
      <c r="D7" s="22" t="n">
        <v>12</v>
      </c>
      <c r="E7" s="23">
        <f>Saldos_Capital_Mensual!I7</f>
        <v/>
      </c>
      <c r="F7" s="23">
        <f>Saldos_Intereses_Mensual!I7</f>
        <v/>
      </c>
      <c r="G7" s="23">
        <f>ROUND(E7 + F7, 2)</f>
        <v/>
      </c>
      <c r="H7" s="23">
        <f>Saldo_Residual_Activo!I7</f>
        <v/>
      </c>
      <c r="I7" s="23">
        <f>ROUND(G7 + H7, 2)</f>
        <v/>
      </c>
      <c r="J7" s="23">
        <f>Saldos_Capital_Mensual!J7</f>
        <v/>
      </c>
      <c r="K7" s="23">
        <f>Saldos_Intereses_Mensual!J7</f>
        <v/>
      </c>
      <c r="L7" s="23">
        <f>ROUND(J7 + K7, 2)</f>
        <v/>
      </c>
      <c r="M7" s="23">
        <f>Saldo_Residual_Activo!J7</f>
        <v/>
      </c>
      <c r="N7" s="23">
        <f>ROUND(L7 + M7, 2)</f>
        <v/>
      </c>
      <c r="O7" s="23">
        <f>Saldos_Capital_Mensual!K7</f>
        <v/>
      </c>
      <c r="P7" s="23">
        <f>Saldos_Intereses_Mensual!K7</f>
        <v/>
      </c>
      <c r="Q7" s="23">
        <f>ROUND(O7 + P7, 2)</f>
        <v/>
      </c>
      <c r="R7" s="23">
        <f>Saldo_Residual_Activo!K7</f>
        <v/>
      </c>
      <c r="S7" s="23">
        <f>ROUND(Q7 + R7, 2)</f>
        <v/>
      </c>
      <c r="T7" s="23">
        <f>Saldos_Capital_Mensual!L7</f>
        <v/>
      </c>
      <c r="U7" s="23">
        <f>Saldos_Intereses_Mensual!L7</f>
        <v/>
      </c>
      <c r="V7" s="23">
        <f>ROUND(T7 + U7, 2)</f>
        <v/>
      </c>
      <c r="W7" s="23">
        <f>Saldo_Residual_Activo!L7</f>
        <v/>
      </c>
      <c r="X7" s="23">
        <f>ROUND(V7 + W7, 2)</f>
        <v/>
      </c>
      <c r="Y7" s="23">
        <f>Saldos_Capital_Mensual!M7</f>
        <v/>
      </c>
      <c r="Z7" s="23">
        <f>Saldos_Intereses_Mensual!M7</f>
        <v/>
      </c>
      <c r="AA7" s="23">
        <f>ROUND(Y7 + Z7, 2)</f>
        <v/>
      </c>
      <c r="AB7" s="23">
        <f>Saldo_Residual_Activo!M7</f>
        <v/>
      </c>
      <c r="AC7" s="23">
        <f>ROUND(AA7 + AB7, 2)</f>
        <v/>
      </c>
      <c r="AD7" s="23">
        <f>Saldos_Capital_Mensual!N7</f>
        <v/>
      </c>
      <c r="AE7" s="23">
        <f>Saldos_Intereses_Mensual!N7</f>
        <v/>
      </c>
      <c r="AF7" s="23">
        <f>ROUND(AD7 + AE7, 2)</f>
        <v/>
      </c>
      <c r="AG7" s="23">
        <f>Saldo_Residual_Activo!N7</f>
        <v/>
      </c>
      <c r="AH7" s="23">
        <f>ROUND(AF7 + AG7, 2)</f>
        <v/>
      </c>
      <c r="AI7" s="23">
        <f>Saldos_Capital_Mensual!O7</f>
        <v/>
      </c>
      <c r="AJ7" s="23">
        <f>Saldos_Intereses_Mensual!O7</f>
        <v/>
      </c>
      <c r="AK7" s="23">
        <f>ROUND(AI7 + AJ7, 2)</f>
        <v/>
      </c>
      <c r="AL7" s="23">
        <f>Saldo_Residual_Activo!O7</f>
        <v/>
      </c>
      <c r="AM7" s="23">
        <f>ROUND(AK7 + AL7, 2)</f>
        <v/>
      </c>
      <c r="AN7" s="23">
        <f>Saldos_Capital_Mensual!P7</f>
        <v/>
      </c>
      <c r="AO7" s="23">
        <f>Saldos_Intereses_Mensual!P7</f>
        <v/>
      </c>
      <c r="AP7" s="23">
        <f>ROUND(AN7 + AO7, 2)</f>
        <v/>
      </c>
      <c r="AQ7" s="23">
        <f>Saldo_Residual_Activo!P7</f>
        <v/>
      </c>
      <c r="AR7" s="23">
        <f>ROUND(AP7 + AQ7, 2)</f>
        <v/>
      </c>
      <c r="AS7" s="23">
        <f>Saldos_Capital_Mensual!Q7</f>
        <v/>
      </c>
      <c r="AT7" s="23">
        <f>Saldos_Intereses_Mensual!Q7</f>
        <v/>
      </c>
      <c r="AU7" s="23">
        <f>ROUND(AS7 + AT7, 2)</f>
        <v/>
      </c>
      <c r="AV7" s="23">
        <f>Saldo_Residual_Activo!Q7</f>
        <v/>
      </c>
      <c r="AW7" s="23">
        <f>ROUND(AU7 + AV7, 2)</f>
        <v/>
      </c>
      <c r="AX7" s="23">
        <f>Saldos_Capital_Mensual!R7</f>
        <v/>
      </c>
      <c r="AY7" s="23">
        <f>Saldos_Intereses_Mensual!R7</f>
        <v/>
      </c>
      <c r="AZ7" s="23">
        <f>ROUND(AX7 + AY7, 2)</f>
        <v/>
      </c>
      <c r="BA7" s="23">
        <f>Saldo_Residual_Activo!R7</f>
        <v/>
      </c>
      <c r="BB7" s="23">
        <f>ROUND(AZ7 + BA7, 2)</f>
        <v/>
      </c>
      <c r="BC7" s="23">
        <f>Saldos_Capital_Mensual!S7</f>
        <v/>
      </c>
      <c r="BD7" s="23">
        <f>Saldos_Intereses_Mensual!S7</f>
        <v/>
      </c>
      <c r="BE7" s="23">
        <f>ROUND(BC7 + BD7, 2)</f>
        <v/>
      </c>
      <c r="BF7" s="23">
        <f>Saldo_Residual_Activo!S7</f>
        <v/>
      </c>
      <c r="BG7" s="23">
        <f>ROUND(BE7 + BF7, 2)</f>
        <v/>
      </c>
      <c r="BH7" s="23">
        <f>Saldos_Capital_Mensual!T7</f>
        <v/>
      </c>
      <c r="BI7" s="23">
        <f>Saldos_Intereses_Mensual!T7</f>
        <v/>
      </c>
      <c r="BJ7" s="23">
        <f>ROUND(BH7 + BI7, 2)</f>
        <v/>
      </c>
      <c r="BK7" s="23">
        <f>Saldo_Residual_Activo!T7</f>
        <v/>
      </c>
      <c r="BL7" s="23">
        <f>ROUND(BJ7 + BK7, 2)</f>
        <v/>
      </c>
    </row>
    <row r="8">
      <c r="A8" s="26" t="inlineStr">
        <is>
          <t>0506-0006</t>
        </is>
      </c>
      <c r="B8" s="27" t="inlineStr">
        <is>
          <t>Electronic Accounting Sa de Cv</t>
        </is>
      </c>
      <c r="C8" s="27" t="inlineStr">
        <is>
          <t>X5</t>
        </is>
      </c>
      <c r="D8" s="28" t="n">
        <v>36</v>
      </c>
      <c r="E8" s="29">
        <f>Saldos_Capital_Mensual!I8</f>
        <v/>
      </c>
      <c r="F8" s="29">
        <f>Saldos_Intereses_Mensual!I8</f>
        <v/>
      </c>
      <c r="G8" s="29">
        <f>ROUND(E8 + F8, 2)</f>
        <v/>
      </c>
      <c r="H8" s="29">
        <f>Saldo_Residual_Activo!I8</f>
        <v/>
      </c>
      <c r="I8" s="29">
        <f>ROUND(G8 + H8, 2)</f>
        <v/>
      </c>
      <c r="J8" s="29">
        <f>Saldos_Capital_Mensual!J8</f>
        <v/>
      </c>
      <c r="K8" s="29">
        <f>Saldos_Intereses_Mensual!J8</f>
        <v/>
      </c>
      <c r="L8" s="29">
        <f>ROUND(J8 + K8, 2)</f>
        <v/>
      </c>
      <c r="M8" s="29">
        <f>Saldo_Residual_Activo!J8</f>
        <v/>
      </c>
      <c r="N8" s="29">
        <f>ROUND(L8 + M8, 2)</f>
        <v/>
      </c>
      <c r="O8" s="29">
        <f>Saldos_Capital_Mensual!K8</f>
        <v/>
      </c>
      <c r="P8" s="29">
        <f>Saldos_Intereses_Mensual!K8</f>
        <v/>
      </c>
      <c r="Q8" s="29">
        <f>ROUND(O8 + P8, 2)</f>
        <v/>
      </c>
      <c r="R8" s="29">
        <f>Saldo_Residual_Activo!K8</f>
        <v/>
      </c>
      <c r="S8" s="29">
        <f>ROUND(Q8 + R8, 2)</f>
        <v/>
      </c>
      <c r="T8" s="29">
        <f>Saldos_Capital_Mensual!L8</f>
        <v/>
      </c>
      <c r="U8" s="29">
        <f>Saldos_Intereses_Mensual!L8</f>
        <v/>
      </c>
      <c r="V8" s="29">
        <f>ROUND(T8 + U8, 2)</f>
        <v/>
      </c>
      <c r="W8" s="29">
        <f>Saldo_Residual_Activo!L8</f>
        <v/>
      </c>
      <c r="X8" s="29">
        <f>ROUND(V8 + W8, 2)</f>
        <v/>
      </c>
      <c r="Y8" s="29">
        <f>Saldos_Capital_Mensual!M8</f>
        <v/>
      </c>
      <c r="Z8" s="29">
        <f>Saldos_Intereses_Mensual!M8</f>
        <v/>
      </c>
      <c r="AA8" s="29">
        <f>ROUND(Y8 + Z8, 2)</f>
        <v/>
      </c>
      <c r="AB8" s="29">
        <f>Saldo_Residual_Activo!M8</f>
        <v/>
      </c>
      <c r="AC8" s="29">
        <f>ROUND(AA8 + AB8, 2)</f>
        <v/>
      </c>
      <c r="AD8" s="29">
        <f>Saldos_Capital_Mensual!N8</f>
        <v/>
      </c>
      <c r="AE8" s="29">
        <f>Saldos_Intereses_Mensual!N8</f>
        <v/>
      </c>
      <c r="AF8" s="29">
        <f>ROUND(AD8 + AE8, 2)</f>
        <v/>
      </c>
      <c r="AG8" s="29">
        <f>Saldo_Residual_Activo!N8</f>
        <v/>
      </c>
      <c r="AH8" s="29">
        <f>ROUND(AF8 + AG8, 2)</f>
        <v/>
      </c>
      <c r="AI8" s="29">
        <f>Saldos_Capital_Mensual!O8</f>
        <v/>
      </c>
      <c r="AJ8" s="29">
        <f>Saldos_Intereses_Mensual!O8</f>
        <v/>
      </c>
      <c r="AK8" s="29">
        <f>ROUND(AI8 + AJ8, 2)</f>
        <v/>
      </c>
      <c r="AL8" s="29">
        <f>Saldo_Residual_Activo!O8</f>
        <v/>
      </c>
      <c r="AM8" s="29">
        <f>ROUND(AK8 + AL8, 2)</f>
        <v/>
      </c>
      <c r="AN8" s="29">
        <f>Saldos_Capital_Mensual!P8</f>
        <v/>
      </c>
      <c r="AO8" s="29">
        <f>Saldos_Intereses_Mensual!P8</f>
        <v/>
      </c>
      <c r="AP8" s="29">
        <f>ROUND(AN8 + AO8, 2)</f>
        <v/>
      </c>
      <c r="AQ8" s="29">
        <f>Saldo_Residual_Activo!P8</f>
        <v/>
      </c>
      <c r="AR8" s="29">
        <f>ROUND(AP8 + AQ8, 2)</f>
        <v/>
      </c>
      <c r="AS8" s="29">
        <f>Saldos_Capital_Mensual!Q8</f>
        <v/>
      </c>
      <c r="AT8" s="29">
        <f>Saldos_Intereses_Mensual!Q8</f>
        <v/>
      </c>
      <c r="AU8" s="29">
        <f>ROUND(AS8 + AT8, 2)</f>
        <v/>
      </c>
      <c r="AV8" s="29">
        <f>Saldo_Residual_Activo!Q8</f>
        <v/>
      </c>
      <c r="AW8" s="29">
        <f>ROUND(AU8 + AV8, 2)</f>
        <v/>
      </c>
      <c r="AX8" s="29">
        <f>Saldos_Capital_Mensual!R8</f>
        <v/>
      </c>
      <c r="AY8" s="29">
        <f>Saldos_Intereses_Mensual!R8</f>
        <v/>
      </c>
      <c r="AZ8" s="29">
        <f>ROUND(AX8 + AY8, 2)</f>
        <v/>
      </c>
      <c r="BA8" s="29">
        <f>Saldo_Residual_Activo!R8</f>
        <v/>
      </c>
      <c r="BB8" s="29">
        <f>ROUND(AZ8 + BA8, 2)</f>
        <v/>
      </c>
      <c r="BC8" s="29">
        <f>Saldos_Capital_Mensual!S8</f>
        <v/>
      </c>
      <c r="BD8" s="29">
        <f>Saldos_Intereses_Mensual!S8</f>
        <v/>
      </c>
      <c r="BE8" s="29">
        <f>ROUND(BC8 + BD8, 2)</f>
        <v/>
      </c>
      <c r="BF8" s="29">
        <f>Saldo_Residual_Activo!S8</f>
        <v/>
      </c>
      <c r="BG8" s="29">
        <f>ROUND(BE8 + BF8, 2)</f>
        <v/>
      </c>
      <c r="BH8" s="29">
        <f>Saldos_Capital_Mensual!T8</f>
        <v/>
      </c>
      <c r="BI8" s="29">
        <f>Saldos_Intereses_Mensual!T8</f>
        <v/>
      </c>
      <c r="BJ8" s="29">
        <f>ROUND(BH8 + BI8, 2)</f>
        <v/>
      </c>
      <c r="BK8" s="29">
        <f>Saldo_Residual_Activo!T8</f>
        <v/>
      </c>
      <c r="BL8" s="29">
        <f>ROUND(BJ8 + BK8, 2)</f>
        <v/>
      </c>
    </row>
    <row r="9">
      <c r="A9" s="20" t="inlineStr">
        <is>
          <t>0506-0007</t>
        </is>
      </c>
      <c r="B9" s="21" t="inlineStr">
        <is>
          <t>Electronic Acounting</t>
        </is>
      </c>
      <c r="C9" s="21" t="inlineStr">
        <is>
          <t>L200 Glx Diesel</t>
        </is>
      </c>
      <c r="D9" s="22" t="n">
        <v>36</v>
      </c>
      <c r="E9" s="23">
        <f>Saldos_Capital_Mensual!I9</f>
        <v/>
      </c>
      <c r="F9" s="23">
        <f>Saldos_Intereses_Mensual!I9</f>
        <v/>
      </c>
      <c r="G9" s="23">
        <f>ROUND(E9 + F9, 2)</f>
        <v/>
      </c>
      <c r="H9" s="23">
        <f>Saldo_Residual_Activo!I9</f>
        <v/>
      </c>
      <c r="I9" s="23">
        <f>ROUND(G9 + H9, 2)</f>
        <v/>
      </c>
      <c r="J9" s="23">
        <f>Saldos_Capital_Mensual!J9</f>
        <v/>
      </c>
      <c r="K9" s="23">
        <f>Saldos_Intereses_Mensual!J9</f>
        <v/>
      </c>
      <c r="L9" s="23">
        <f>ROUND(J9 + K9, 2)</f>
        <v/>
      </c>
      <c r="M9" s="23">
        <f>Saldo_Residual_Activo!J9</f>
        <v/>
      </c>
      <c r="N9" s="23">
        <f>ROUND(L9 + M9, 2)</f>
        <v/>
      </c>
      <c r="O9" s="23">
        <f>Saldos_Capital_Mensual!K9</f>
        <v/>
      </c>
      <c r="P9" s="23">
        <f>Saldos_Intereses_Mensual!K9</f>
        <v/>
      </c>
      <c r="Q9" s="23">
        <f>ROUND(O9 + P9, 2)</f>
        <v/>
      </c>
      <c r="R9" s="23">
        <f>Saldo_Residual_Activo!K9</f>
        <v/>
      </c>
      <c r="S9" s="23">
        <f>ROUND(Q9 + R9, 2)</f>
        <v/>
      </c>
      <c r="T9" s="23">
        <f>Saldos_Capital_Mensual!L9</f>
        <v/>
      </c>
      <c r="U9" s="23">
        <f>Saldos_Intereses_Mensual!L9</f>
        <v/>
      </c>
      <c r="V9" s="23">
        <f>ROUND(T9 + U9, 2)</f>
        <v/>
      </c>
      <c r="W9" s="23">
        <f>Saldo_Residual_Activo!L9</f>
        <v/>
      </c>
      <c r="X9" s="23">
        <f>ROUND(V9 + W9, 2)</f>
        <v/>
      </c>
      <c r="Y9" s="23">
        <f>Saldos_Capital_Mensual!M9</f>
        <v/>
      </c>
      <c r="Z9" s="23">
        <f>Saldos_Intereses_Mensual!M9</f>
        <v/>
      </c>
      <c r="AA9" s="23">
        <f>ROUND(Y9 + Z9, 2)</f>
        <v/>
      </c>
      <c r="AB9" s="23">
        <f>Saldo_Residual_Activo!M9</f>
        <v/>
      </c>
      <c r="AC9" s="23">
        <f>ROUND(AA9 + AB9, 2)</f>
        <v/>
      </c>
      <c r="AD9" s="23">
        <f>Saldos_Capital_Mensual!N9</f>
        <v/>
      </c>
      <c r="AE9" s="23">
        <f>Saldos_Intereses_Mensual!N9</f>
        <v/>
      </c>
      <c r="AF9" s="23">
        <f>ROUND(AD9 + AE9, 2)</f>
        <v/>
      </c>
      <c r="AG9" s="23">
        <f>Saldo_Residual_Activo!N9</f>
        <v/>
      </c>
      <c r="AH9" s="23">
        <f>ROUND(AF9 + AG9, 2)</f>
        <v/>
      </c>
      <c r="AI9" s="23">
        <f>Saldos_Capital_Mensual!O9</f>
        <v/>
      </c>
      <c r="AJ9" s="23">
        <f>Saldos_Intereses_Mensual!O9</f>
        <v/>
      </c>
      <c r="AK9" s="23">
        <f>ROUND(AI9 + AJ9, 2)</f>
        <v/>
      </c>
      <c r="AL9" s="23">
        <f>Saldo_Residual_Activo!O9</f>
        <v/>
      </c>
      <c r="AM9" s="23">
        <f>ROUND(AK9 + AL9, 2)</f>
        <v/>
      </c>
      <c r="AN9" s="23">
        <f>Saldos_Capital_Mensual!P9</f>
        <v/>
      </c>
      <c r="AO9" s="23">
        <f>Saldos_Intereses_Mensual!P9</f>
        <v/>
      </c>
      <c r="AP9" s="23">
        <f>ROUND(AN9 + AO9, 2)</f>
        <v/>
      </c>
      <c r="AQ9" s="23">
        <f>Saldo_Residual_Activo!P9</f>
        <v/>
      </c>
      <c r="AR9" s="23">
        <f>ROUND(AP9 + AQ9, 2)</f>
        <v/>
      </c>
      <c r="AS9" s="23">
        <f>Saldos_Capital_Mensual!Q9</f>
        <v/>
      </c>
      <c r="AT9" s="23">
        <f>Saldos_Intereses_Mensual!Q9</f>
        <v/>
      </c>
      <c r="AU9" s="23">
        <f>ROUND(AS9 + AT9, 2)</f>
        <v/>
      </c>
      <c r="AV9" s="23">
        <f>Saldo_Residual_Activo!Q9</f>
        <v/>
      </c>
      <c r="AW9" s="23">
        <f>ROUND(AU9 + AV9, 2)</f>
        <v/>
      </c>
      <c r="AX9" s="23">
        <f>Saldos_Capital_Mensual!R9</f>
        <v/>
      </c>
      <c r="AY9" s="23">
        <f>Saldos_Intereses_Mensual!R9</f>
        <v/>
      </c>
      <c r="AZ9" s="23">
        <f>ROUND(AX9 + AY9, 2)</f>
        <v/>
      </c>
      <c r="BA9" s="23">
        <f>Saldo_Residual_Activo!R9</f>
        <v/>
      </c>
      <c r="BB9" s="23">
        <f>ROUND(AZ9 + BA9, 2)</f>
        <v/>
      </c>
      <c r="BC9" s="23">
        <f>Saldos_Capital_Mensual!S9</f>
        <v/>
      </c>
      <c r="BD9" s="23">
        <f>Saldos_Intereses_Mensual!S9</f>
        <v/>
      </c>
      <c r="BE9" s="23">
        <f>ROUND(BC9 + BD9, 2)</f>
        <v/>
      </c>
      <c r="BF9" s="23">
        <f>Saldo_Residual_Activo!S9</f>
        <v/>
      </c>
      <c r="BG9" s="23">
        <f>ROUND(BE9 + BF9, 2)</f>
        <v/>
      </c>
      <c r="BH9" s="23">
        <f>Saldos_Capital_Mensual!T9</f>
        <v/>
      </c>
      <c r="BI9" s="23">
        <f>Saldos_Intereses_Mensual!T9</f>
        <v/>
      </c>
      <c r="BJ9" s="23">
        <f>ROUND(BH9 + BI9, 2)</f>
        <v/>
      </c>
      <c r="BK9" s="23">
        <f>Saldo_Residual_Activo!T9</f>
        <v/>
      </c>
      <c r="BL9" s="23">
        <f>ROUND(BJ9 + BK9, 2)</f>
        <v/>
      </c>
    </row>
    <row r="10">
      <c r="A10" s="26" t="inlineStr">
        <is>
          <t>0519-0005</t>
        </is>
      </c>
      <c r="B10" s="27" t="inlineStr">
        <is>
          <t>Tequilas el Mexicano S.A. de C.V.</t>
        </is>
      </c>
      <c r="C10" s="27" t="inlineStr">
        <is>
          <t>Attitude Sport</t>
        </is>
      </c>
      <c r="D10" s="28" t="n">
        <v>48</v>
      </c>
      <c r="E10" s="29">
        <f>Saldos_Capital_Mensual!I10</f>
        <v/>
      </c>
      <c r="F10" s="29">
        <f>Saldos_Intereses_Mensual!I10</f>
        <v/>
      </c>
      <c r="G10" s="29">
        <f>ROUND(E10 + F10, 2)</f>
        <v/>
      </c>
      <c r="H10" s="29">
        <f>Saldo_Residual_Activo!I10</f>
        <v/>
      </c>
      <c r="I10" s="29">
        <f>ROUND(G10 + H10, 2)</f>
        <v/>
      </c>
      <c r="J10" s="29">
        <f>Saldos_Capital_Mensual!J10</f>
        <v/>
      </c>
      <c r="K10" s="29">
        <f>Saldos_Intereses_Mensual!J10</f>
        <v/>
      </c>
      <c r="L10" s="29">
        <f>ROUND(J10 + K10, 2)</f>
        <v/>
      </c>
      <c r="M10" s="29">
        <f>Saldo_Residual_Activo!J10</f>
        <v/>
      </c>
      <c r="N10" s="29">
        <f>ROUND(L10 + M10, 2)</f>
        <v/>
      </c>
      <c r="O10" s="29">
        <f>Saldos_Capital_Mensual!K10</f>
        <v/>
      </c>
      <c r="P10" s="29">
        <f>Saldos_Intereses_Mensual!K10</f>
        <v/>
      </c>
      <c r="Q10" s="29">
        <f>ROUND(O10 + P10, 2)</f>
        <v/>
      </c>
      <c r="R10" s="29">
        <f>Saldo_Residual_Activo!K10</f>
        <v/>
      </c>
      <c r="S10" s="29">
        <f>ROUND(Q10 + R10, 2)</f>
        <v/>
      </c>
      <c r="T10" s="29">
        <f>Saldos_Capital_Mensual!L10</f>
        <v/>
      </c>
      <c r="U10" s="29">
        <f>Saldos_Intereses_Mensual!L10</f>
        <v/>
      </c>
      <c r="V10" s="29">
        <f>ROUND(T10 + U10, 2)</f>
        <v/>
      </c>
      <c r="W10" s="29">
        <f>Saldo_Residual_Activo!L10</f>
        <v/>
      </c>
      <c r="X10" s="29">
        <f>ROUND(V10 + W10, 2)</f>
        <v/>
      </c>
      <c r="Y10" s="29">
        <f>Saldos_Capital_Mensual!M10</f>
        <v/>
      </c>
      <c r="Z10" s="29">
        <f>Saldos_Intereses_Mensual!M10</f>
        <v/>
      </c>
      <c r="AA10" s="29">
        <f>ROUND(Y10 + Z10, 2)</f>
        <v/>
      </c>
      <c r="AB10" s="29">
        <f>Saldo_Residual_Activo!M10</f>
        <v/>
      </c>
      <c r="AC10" s="29">
        <f>ROUND(AA10 + AB10, 2)</f>
        <v/>
      </c>
      <c r="AD10" s="29">
        <f>Saldos_Capital_Mensual!N10</f>
        <v/>
      </c>
      <c r="AE10" s="29">
        <f>Saldos_Intereses_Mensual!N10</f>
        <v/>
      </c>
      <c r="AF10" s="29">
        <f>ROUND(AD10 + AE10, 2)</f>
        <v/>
      </c>
      <c r="AG10" s="29">
        <f>Saldo_Residual_Activo!N10</f>
        <v/>
      </c>
      <c r="AH10" s="29">
        <f>ROUND(AF10 + AG10, 2)</f>
        <v/>
      </c>
      <c r="AI10" s="29">
        <f>Saldos_Capital_Mensual!O10</f>
        <v/>
      </c>
      <c r="AJ10" s="29">
        <f>Saldos_Intereses_Mensual!O10</f>
        <v/>
      </c>
      <c r="AK10" s="29">
        <f>ROUND(AI10 + AJ10, 2)</f>
        <v/>
      </c>
      <c r="AL10" s="29">
        <f>Saldo_Residual_Activo!O10</f>
        <v/>
      </c>
      <c r="AM10" s="29">
        <f>ROUND(AK10 + AL10, 2)</f>
        <v/>
      </c>
      <c r="AN10" s="29">
        <f>Saldos_Capital_Mensual!P10</f>
        <v/>
      </c>
      <c r="AO10" s="29">
        <f>Saldos_Intereses_Mensual!P10</f>
        <v/>
      </c>
      <c r="AP10" s="29">
        <f>ROUND(AN10 + AO10, 2)</f>
        <v/>
      </c>
      <c r="AQ10" s="29">
        <f>Saldo_Residual_Activo!P10</f>
        <v/>
      </c>
      <c r="AR10" s="29">
        <f>ROUND(AP10 + AQ10, 2)</f>
        <v/>
      </c>
      <c r="AS10" s="29">
        <f>Saldos_Capital_Mensual!Q10</f>
        <v/>
      </c>
      <c r="AT10" s="29">
        <f>Saldos_Intereses_Mensual!Q10</f>
        <v/>
      </c>
      <c r="AU10" s="29">
        <f>ROUND(AS10 + AT10, 2)</f>
        <v/>
      </c>
      <c r="AV10" s="29">
        <f>Saldo_Residual_Activo!Q10</f>
        <v/>
      </c>
      <c r="AW10" s="29">
        <f>ROUND(AU10 + AV10, 2)</f>
        <v/>
      </c>
      <c r="AX10" s="29">
        <f>Saldos_Capital_Mensual!R10</f>
        <v/>
      </c>
      <c r="AY10" s="29">
        <f>Saldos_Intereses_Mensual!R10</f>
        <v/>
      </c>
      <c r="AZ10" s="29">
        <f>ROUND(AX10 + AY10, 2)</f>
        <v/>
      </c>
      <c r="BA10" s="29">
        <f>Saldo_Residual_Activo!R10</f>
        <v/>
      </c>
      <c r="BB10" s="29">
        <f>ROUND(AZ10 + BA10, 2)</f>
        <v/>
      </c>
      <c r="BC10" s="29">
        <f>Saldos_Capital_Mensual!S10</f>
        <v/>
      </c>
      <c r="BD10" s="29">
        <f>Saldos_Intereses_Mensual!S10</f>
        <v/>
      </c>
      <c r="BE10" s="29">
        <f>ROUND(BC10 + BD10, 2)</f>
        <v/>
      </c>
      <c r="BF10" s="29">
        <f>Saldo_Residual_Activo!S10</f>
        <v/>
      </c>
      <c r="BG10" s="29">
        <f>ROUND(BE10 + BF10, 2)</f>
        <v/>
      </c>
      <c r="BH10" s="29">
        <f>Saldos_Capital_Mensual!T10</f>
        <v/>
      </c>
      <c r="BI10" s="29">
        <f>Saldos_Intereses_Mensual!T10</f>
        <v/>
      </c>
      <c r="BJ10" s="29">
        <f>ROUND(BH10 + BI10, 2)</f>
        <v/>
      </c>
      <c r="BK10" s="29">
        <f>Saldo_Residual_Activo!T10</f>
        <v/>
      </c>
      <c r="BL10" s="29">
        <f>ROUND(BJ10 + BK10, 2)</f>
        <v/>
      </c>
    </row>
    <row r="11">
      <c r="A11" s="20" t="inlineStr">
        <is>
          <t>0520-0003</t>
        </is>
      </c>
      <c r="B11" s="21" t="inlineStr">
        <is>
          <t>Tractomotriz Diesel Leal, S.A. de C.V.</t>
        </is>
      </c>
      <c r="C11" s="21" t="inlineStr">
        <is>
          <t>Montero Sport</t>
        </is>
      </c>
      <c r="D11" s="22" t="n">
        <v>36</v>
      </c>
      <c r="E11" s="23">
        <f>Saldos_Capital_Mensual!I11</f>
        <v/>
      </c>
      <c r="F11" s="23">
        <f>Saldos_Intereses_Mensual!I11</f>
        <v/>
      </c>
      <c r="G11" s="23">
        <f>ROUND(E11 + F11, 2)</f>
        <v/>
      </c>
      <c r="H11" s="23">
        <f>Saldo_Residual_Activo!I11</f>
        <v/>
      </c>
      <c r="I11" s="23">
        <f>ROUND(G11 + H11, 2)</f>
        <v/>
      </c>
      <c r="J11" s="23">
        <f>Saldos_Capital_Mensual!J11</f>
        <v/>
      </c>
      <c r="K11" s="23">
        <f>Saldos_Intereses_Mensual!J11</f>
        <v/>
      </c>
      <c r="L11" s="23">
        <f>ROUND(J11 + K11, 2)</f>
        <v/>
      </c>
      <c r="M11" s="23">
        <f>Saldo_Residual_Activo!J11</f>
        <v/>
      </c>
      <c r="N11" s="23">
        <f>ROUND(L11 + M11, 2)</f>
        <v/>
      </c>
      <c r="O11" s="23">
        <f>Saldos_Capital_Mensual!K11</f>
        <v/>
      </c>
      <c r="P11" s="23">
        <f>Saldos_Intereses_Mensual!K11</f>
        <v/>
      </c>
      <c r="Q11" s="23">
        <f>ROUND(O11 + P11, 2)</f>
        <v/>
      </c>
      <c r="R11" s="23">
        <f>Saldo_Residual_Activo!K11</f>
        <v/>
      </c>
      <c r="S11" s="23">
        <f>ROUND(Q11 + R11, 2)</f>
        <v/>
      </c>
      <c r="T11" s="23">
        <f>Saldos_Capital_Mensual!L11</f>
        <v/>
      </c>
      <c r="U11" s="23">
        <f>Saldos_Intereses_Mensual!L11</f>
        <v/>
      </c>
      <c r="V11" s="23">
        <f>ROUND(T11 + U11, 2)</f>
        <v/>
      </c>
      <c r="W11" s="23">
        <f>Saldo_Residual_Activo!L11</f>
        <v/>
      </c>
      <c r="X11" s="23">
        <f>ROUND(V11 + W11, 2)</f>
        <v/>
      </c>
      <c r="Y11" s="23">
        <f>Saldos_Capital_Mensual!M11</f>
        <v/>
      </c>
      <c r="Z11" s="23">
        <f>Saldos_Intereses_Mensual!M11</f>
        <v/>
      </c>
      <c r="AA11" s="23">
        <f>ROUND(Y11 + Z11, 2)</f>
        <v/>
      </c>
      <c r="AB11" s="23">
        <f>Saldo_Residual_Activo!M11</f>
        <v/>
      </c>
      <c r="AC11" s="23">
        <f>ROUND(AA11 + AB11, 2)</f>
        <v/>
      </c>
      <c r="AD11" s="23">
        <f>Saldos_Capital_Mensual!N11</f>
        <v/>
      </c>
      <c r="AE11" s="23">
        <f>Saldos_Intereses_Mensual!N11</f>
        <v/>
      </c>
      <c r="AF11" s="23">
        <f>ROUND(AD11 + AE11, 2)</f>
        <v/>
      </c>
      <c r="AG11" s="23">
        <f>Saldo_Residual_Activo!N11</f>
        <v/>
      </c>
      <c r="AH11" s="23">
        <f>ROUND(AF11 + AG11, 2)</f>
        <v/>
      </c>
      <c r="AI11" s="23">
        <f>Saldos_Capital_Mensual!O11</f>
        <v/>
      </c>
      <c r="AJ11" s="23">
        <f>Saldos_Intereses_Mensual!O11</f>
        <v/>
      </c>
      <c r="AK11" s="23">
        <f>ROUND(AI11 + AJ11, 2)</f>
        <v/>
      </c>
      <c r="AL11" s="23">
        <f>Saldo_Residual_Activo!O11</f>
        <v/>
      </c>
      <c r="AM11" s="23">
        <f>ROUND(AK11 + AL11, 2)</f>
        <v/>
      </c>
      <c r="AN11" s="23">
        <f>Saldos_Capital_Mensual!P11</f>
        <v/>
      </c>
      <c r="AO11" s="23">
        <f>Saldos_Intereses_Mensual!P11</f>
        <v/>
      </c>
      <c r="AP11" s="23">
        <f>ROUND(AN11 + AO11, 2)</f>
        <v/>
      </c>
      <c r="AQ11" s="23">
        <f>Saldo_Residual_Activo!P11</f>
        <v/>
      </c>
      <c r="AR11" s="23">
        <f>ROUND(AP11 + AQ11, 2)</f>
        <v/>
      </c>
      <c r="AS11" s="23">
        <f>Saldos_Capital_Mensual!Q11</f>
        <v/>
      </c>
      <c r="AT11" s="23">
        <f>Saldos_Intereses_Mensual!Q11</f>
        <v/>
      </c>
      <c r="AU11" s="23">
        <f>ROUND(AS11 + AT11, 2)</f>
        <v/>
      </c>
      <c r="AV11" s="23">
        <f>Saldo_Residual_Activo!Q11</f>
        <v/>
      </c>
      <c r="AW11" s="23">
        <f>ROUND(AU11 + AV11, 2)</f>
        <v/>
      </c>
      <c r="AX11" s="23">
        <f>Saldos_Capital_Mensual!R11</f>
        <v/>
      </c>
      <c r="AY11" s="23">
        <f>Saldos_Intereses_Mensual!R11</f>
        <v/>
      </c>
      <c r="AZ11" s="23">
        <f>ROUND(AX11 + AY11, 2)</f>
        <v/>
      </c>
      <c r="BA11" s="23">
        <f>Saldo_Residual_Activo!R11</f>
        <v/>
      </c>
      <c r="BB11" s="23">
        <f>ROUND(AZ11 + BA11, 2)</f>
        <v/>
      </c>
      <c r="BC11" s="23">
        <f>Saldos_Capital_Mensual!S11</f>
        <v/>
      </c>
      <c r="BD11" s="23">
        <f>Saldos_Intereses_Mensual!S11</f>
        <v/>
      </c>
      <c r="BE11" s="23">
        <f>ROUND(BC11 + BD11, 2)</f>
        <v/>
      </c>
      <c r="BF11" s="23">
        <f>Saldo_Residual_Activo!S11</f>
        <v/>
      </c>
      <c r="BG11" s="23">
        <f>ROUND(BE11 + BF11, 2)</f>
        <v/>
      </c>
      <c r="BH11" s="23">
        <f>Saldos_Capital_Mensual!T11</f>
        <v/>
      </c>
      <c r="BI11" s="23">
        <f>Saldos_Intereses_Mensual!T11</f>
        <v/>
      </c>
      <c r="BJ11" s="23">
        <f>ROUND(BH11 + BI11, 2)</f>
        <v/>
      </c>
      <c r="BK11" s="23">
        <f>Saldo_Residual_Activo!T11</f>
        <v/>
      </c>
      <c r="BL11" s="23">
        <f>ROUND(BJ11 + BK11, 2)</f>
        <v/>
      </c>
    </row>
    <row r="12">
      <c r="A12" s="26" t="inlineStr">
        <is>
          <t>0520-0004</t>
        </is>
      </c>
      <c r="B12" s="27" t="inlineStr">
        <is>
          <t>Tractomotriz Diesel Leal, S.A. de C.V.</t>
        </is>
      </c>
      <c r="C12" s="27" t="inlineStr">
        <is>
          <t>Partner Maxi Pack</t>
        </is>
      </c>
      <c r="D12" s="28" t="n">
        <v>36</v>
      </c>
      <c r="E12" s="29">
        <f>Saldos_Capital_Mensual!I12</f>
        <v/>
      </c>
      <c r="F12" s="29">
        <f>Saldos_Intereses_Mensual!I12</f>
        <v/>
      </c>
      <c r="G12" s="29">
        <f>ROUND(E12 + F12, 2)</f>
        <v/>
      </c>
      <c r="H12" s="29">
        <f>Saldo_Residual_Activo!I12</f>
        <v/>
      </c>
      <c r="I12" s="29">
        <f>ROUND(G12 + H12, 2)</f>
        <v/>
      </c>
      <c r="J12" s="29">
        <f>Saldos_Capital_Mensual!J12</f>
        <v/>
      </c>
      <c r="K12" s="29">
        <f>Saldos_Intereses_Mensual!J12</f>
        <v/>
      </c>
      <c r="L12" s="29">
        <f>ROUND(J12 + K12, 2)</f>
        <v/>
      </c>
      <c r="M12" s="29">
        <f>Saldo_Residual_Activo!J12</f>
        <v/>
      </c>
      <c r="N12" s="29">
        <f>ROUND(L12 + M12, 2)</f>
        <v/>
      </c>
      <c r="O12" s="29">
        <f>Saldos_Capital_Mensual!K12</f>
        <v/>
      </c>
      <c r="P12" s="29">
        <f>Saldos_Intereses_Mensual!K12</f>
        <v/>
      </c>
      <c r="Q12" s="29">
        <f>ROUND(O12 + P12, 2)</f>
        <v/>
      </c>
      <c r="R12" s="29">
        <f>Saldo_Residual_Activo!K12</f>
        <v/>
      </c>
      <c r="S12" s="29">
        <f>ROUND(Q12 + R12, 2)</f>
        <v/>
      </c>
      <c r="T12" s="29">
        <f>Saldos_Capital_Mensual!L12</f>
        <v/>
      </c>
      <c r="U12" s="29">
        <f>Saldos_Intereses_Mensual!L12</f>
        <v/>
      </c>
      <c r="V12" s="29">
        <f>ROUND(T12 + U12, 2)</f>
        <v/>
      </c>
      <c r="W12" s="29">
        <f>Saldo_Residual_Activo!L12</f>
        <v/>
      </c>
      <c r="X12" s="29">
        <f>ROUND(V12 + W12, 2)</f>
        <v/>
      </c>
      <c r="Y12" s="29">
        <f>Saldos_Capital_Mensual!M12</f>
        <v/>
      </c>
      <c r="Z12" s="29">
        <f>Saldos_Intereses_Mensual!M12</f>
        <v/>
      </c>
      <c r="AA12" s="29">
        <f>ROUND(Y12 + Z12, 2)</f>
        <v/>
      </c>
      <c r="AB12" s="29">
        <f>Saldo_Residual_Activo!M12</f>
        <v/>
      </c>
      <c r="AC12" s="29">
        <f>ROUND(AA12 + AB12, 2)</f>
        <v/>
      </c>
      <c r="AD12" s="29">
        <f>Saldos_Capital_Mensual!N12</f>
        <v/>
      </c>
      <c r="AE12" s="29">
        <f>Saldos_Intereses_Mensual!N12</f>
        <v/>
      </c>
      <c r="AF12" s="29">
        <f>ROUND(AD12 + AE12, 2)</f>
        <v/>
      </c>
      <c r="AG12" s="29">
        <f>Saldo_Residual_Activo!N12</f>
        <v/>
      </c>
      <c r="AH12" s="29">
        <f>ROUND(AF12 + AG12, 2)</f>
        <v/>
      </c>
      <c r="AI12" s="29">
        <f>Saldos_Capital_Mensual!O12</f>
        <v/>
      </c>
      <c r="AJ12" s="29">
        <f>Saldos_Intereses_Mensual!O12</f>
        <v/>
      </c>
      <c r="AK12" s="29">
        <f>ROUND(AI12 + AJ12, 2)</f>
        <v/>
      </c>
      <c r="AL12" s="29">
        <f>Saldo_Residual_Activo!O12</f>
        <v/>
      </c>
      <c r="AM12" s="29">
        <f>ROUND(AK12 + AL12, 2)</f>
        <v/>
      </c>
      <c r="AN12" s="29">
        <f>Saldos_Capital_Mensual!P12</f>
        <v/>
      </c>
      <c r="AO12" s="29">
        <f>Saldos_Intereses_Mensual!P12</f>
        <v/>
      </c>
      <c r="AP12" s="29">
        <f>ROUND(AN12 + AO12, 2)</f>
        <v/>
      </c>
      <c r="AQ12" s="29">
        <f>Saldo_Residual_Activo!P12</f>
        <v/>
      </c>
      <c r="AR12" s="29">
        <f>ROUND(AP12 + AQ12, 2)</f>
        <v/>
      </c>
      <c r="AS12" s="29">
        <f>Saldos_Capital_Mensual!Q12</f>
        <v/>
      </c>
      <c r="AT12" s="29">
        <f>Saldos_Intereses_Mensual!Q12</f>
        <v/>
      </c>
      <c r="AU12" s="29">
        <f>ROUND(AS12 + AT12, 2)</f>
        <v/>
      </c>
      <c r="AV12" s="29">
        <f>Saldo_Residual_Activo!Q12</f>
        <v/>
      </c>
      <c r="AW12" s="29">
        <f>ROUND(AU12 + AV12, 2)</f>
        <v/>
      </c>
      <c r="AX12" s="29">
        <f>Saldos_Capital_Mensual!R12</f>
        <v/>
      </c>
      <c r="AY12" s="29">
        <f>Saldos_Intereses_Mensual!R12</f>
        <v/>
      </c>
      <c r="AZ12" s="29">
        <f>ROUND(AX12 + AY12, 2)</f>
        <v/>
      </c>
      <c r="BA12" s="29">
        <f>Saldo_Residual_Activo!R12</f>
        <v/>
      </c>
      <c r="BB12" s="29">
        <f>ROUND(AZ12 + BA12, 2)</f>
        <v/>
      </c>
      <c r="BC12" s="29">
        <f>Saldos_Capital_Mensual!S12</f>
        <v/>
      </c>
      <c r="BD12" s="29">
        <f>Saldos_Intereses_Mensual!S12</f>
        <v/>
      </c>
      <c r="BE12" s="29">
        <f>ROUND(BC12 + BD12, 2)</f>
        <v/>
      </c>
      <c r="BF12" s="29">
        <f>Saldo_Residual_Activo!S12</f>
        <v/>
      </c>
      <c r="BG12" s="29">
        <f>ROUND(BE12 + BF12, 2)</f>
        <v/>
      </c>
      <c r="BH12" s="29">
        <f>Saldos_Capital_Mensual!T12</f>
        <v/>
      </c>
      <c r="BI12" s="29">
        <f>Saldos_Intereses_Mensual!T12</f>
        <v/>
      </c>
      <c r="BJ12" s="29">
        <f>ROUND(BH12 + BI12, 2)</f>
        <v/>
      </c>
      <c r="BK12" s="29">
        <f>Saldo_Residual_Activo!T12</f>
        <v/>
      </c>
      <c r="BL12" s="29">
        <f>ROUND(BJ12 + BK12, 2)</f>
        <v/>
      </c>
    </row>
    <row r="13">
      <c r="A13" s="20" t="inlineStr">
        <is>
          <t>0521-0002</t>
        </is>
      </c>
      <c r="B13" s="21" t="inlineStr">
        <is>
          <t>Carlos Hiram leal Leal</t>
        </is>
      </c>
      <c r="C13" s="21" t="inlineStr">
        <is>
          <t>Xpander</t>
        </is>
      </c>
      <c r="D13" s="22" t="n">
        <v>36</v>
      </c>
      <c r="E13" s="23">
        <f>Saldos_Capital_Mensual!I13</f>
        <v/>
      </c>
      <c r="F13" s="23">
        <f>Saldos_Intereses_Mensual!I13</f>
        <v/>
      </c>
      <c r="G13" s="23">
        <f>ROUND(E13 + F13, 2)</f>
        <v/>
      </c>
      <c r="H13" s="23">
        <f>Saldo_Residual_Activo!I13</f>
        <v/>
      </c>
      <c r="I13" s="23">
        <f>ROUND(G13 + H13, 2)</f>
        <v/>
      </c>
      <c r="J13" s="23">
        <f>Saldos_Capital_Mensual!J13</f>
        <v/>
      </c>
      <c r="K13" s="23">
        <f>Saldos_Intereses_Mensual!J13</f>
        <v/>
      </c>
      <c r="L13" s="23">
        <f>ROUND(J13 + K13, 2)</f>
        <v/>
      </c>
      <c r="M13" s="23">
        <f>Saldo_Residual_Activo!J13</f>
        <v/>
      </c>
      <c r="N13" s="23">
        <f>ROUND(L13 + M13, 2)</f>
        <v/>
      </c>
      <c r="O13" s="23">
        <f>Saldos_Capital_Mensual!K13</f>
        <v/>
      </c>
      <c r="P13" s="23">
        <f>Saldos_Intereses_Mensual!K13</f>
        <v/>
      </c>
      <c r="Q13" s="23">
        <f>ROUND(O13 + P13, 2)</f>
        <v/>
      </c>
      <c r="R13" s="23">
        <f>Saldo_Residual_Activo!K13</f>
        <v/>
      </c>
      <c r="S13" s="23">
        <f>ROUND(Q13 + R13, 2)</f>
        <v/>
      </c>
      <c r="T13" s="23">
        <f>Saldos_Capital_Mensual!L13</f>
        <v/>
      </c>
      <c r="U13" s="23">
        <f>Saldos_Intereses_Mensual!L13</f>
        <v/>
      </c>
      <c r="V13" s="23">
        <f>ROUND(T13 + U13, 2)</f>
        <v/>
      </c>
      <c r="W13" s="23">
        <f>Saldo_Residual_Activo!L13</f>
        <v/>
      </c>
      <c r="X13" s="23">
        <f>ROUND(V13 + W13, 2)</f>
        <v/>
      </c>
      <c r="Y13" s="23">
        <f>Saldos_Capital_Mensual!M13</f>
        <v/>
      </c>
      <c r="Z13" s="23">
        <f>Saldos_Intereses_Mensual!M13</f>
        <v/>
      </c>
      <c r="AA13" s="23">
        <f>ROUND(Y13 + Z13, 2)</f>
        <v/>
      </c>
      <c r="AB13" s="23">
        <f>Saldo_Residual_Activo!M13</f>
        <v/>
      </c>
      <c r="AC13" s="23">
        <f>ROUND(AA13 + AB13, 2)</f>
        <v/>
      </c>
      <c r="AD13" s="23">
        <f>Saldos_Capital_Mensual!N13</f>
        <v/>
      </c>
      <c r="AE13" s="23">
        <f>Saldos_Intereses_Mensual!N13</f>
        <v/>
      </c>
      <c r="AF13" s="23">
        <f>ROUND(AD13 + AE13, 2)</f>
        <v/>
      </c>
      <c r="AG13" s="23">
        <f>Saldo_Residual_Activo!N13</f>
        <v/>
      </c>
      <c r="AH13" s="23">
        <f>ROUND(AF13 + AG13, 2)</f>
        <v/>
      </c>
      <c r="AI13" s="23">
        <f>Saldos_Capital_Mensual!O13</f>
        <v/>
      </c>
      <c r="AJ13" s="23">
        <f>Saldos_Intereses_Mensual!O13</f>
        <v/>
      </c>
      <c r="AK13" s="23">
        <f>ROUND(AI13 + AJ13, 2)</f>
        <v/>
      </c>
      <c r="AL13" s="23">
        <f>Saldo_Residual_Activo!O13</f>
        <v/>
      </c>
      <c r="AM13" s="23">
        <f>ROUND(AK13 + AL13, 2)</f>
        <v/>
      </c>
      <c r="AN13" s="23">
        <f>Saldos_Capital_Mensual!P13</f>
        <v/>
      </c>
      <c r="AO13" s="23">
        <f>Saldos_Intereses_Mensual!P13</f>
        <v/>
      </c>
      <c r="AP13" s="23">
        <f>ROUND(AN13 + AO13, 2)</f>
        <v/>
      </c>
      <c r="AQ13" s="23">
        <f>Saldo_Residual_Activo!P13</f>
        <v/>
      </c>
      <c r="AR13" s="23">
        <f>ROUND(AP13 + AQ13, 2)</f>
        <v/>
      </c>
      <c r="AS13" s="23">
        <f>Saldos_Capital_Mensual!Q13</f>
        <v/>
      </c>
      <c r="AT13" s="23">
        <f>Saldos_Intereses_Mensual!Q13</f>
        <v/>
      </c>
      <c r="AU13" s="23">
        <f>ROUND(AS13 + AT13, 2)</f>
        <v/>
      </c>
      <c r="AV13" s="23">
        <f>Saldo_Residual_Activo!Q13</f>
        <v/>
      </c>
      <c r="AW13" s="23">
        <f>ROUND(AU13 + AV13, 2)</f>
        <v/>
      </c>
      <c r="AX13" s="23">
        <f>Saldos_Capital_Mensual!R13</f>
        <v/>
      </c>
      <c r="AY13" s="23">
        <f>Saldos_Intereses_Mensual!R13</f>
        <v/>
      </c>
      <c r="AZ13" s="23">
        <f>ROUND(AX13 + AY13, 2)</f>
        <v/>
      </c>
      <c r="BA13" s="23">
        <f>Saldo_Residual_Activo!R13</f>
        <v/>
      </c>
      <c r="BB13" s="23">
        <f>ROUND(AZ13 + BA13, 2)</f>
        <v/>
      </c>
      <c r="BC13" s="23">
        <f>Saldos_Capital_Mensual!S13</f>
        <v/>
      </c>
      <c r="BD13" s="23">
        <f>Saldos_Intereses_Mensual!S13</f>
        <v/>
      </c>
      <c r="BE13" s="23">
        <f>ROUND(BC13 + BD13, 2)</f>
        <v/>
      </c>
      <c r="BF13" s="23">
        <f>Saldo_Residual_Activo!S13</f>
        <v/>
      </c>
      <c r="BG13" s="23">
        <f>ROUND(BE13 + BF13, 2)</f>
        <v/>
      </c>
      <c r="BH13" s="23">
        <f>Saldos_Capital_Mensual!T13</f>
        <v/>
      </c>
      <c r="BI13" s="23">
        <f>Saldos_Intereses_Mensual!T13</f>
        <v/>
      </c>
      <c r="BJ13" s="23">
        <f>ROUND(BH13 + BI13, 2)</f>
        <v/>
      </c>
      <c r="BK13" s="23">
        <f>Saldo_Residual_Activo!T13</f>
        <v/>
      </c>
      <c r="BL13" s="23">
        <f>ROUND(BJ13 + BK13, 2)</f>
        <v/>
      </c>
    </row>
    <row r="14">
      <c r="A14" s="26" t="inlineStr">
        <is>
          <t>0524-0007</t>
        </is>
      </c>
      <c r="B14" s="27" t="inlineStr">
        <is>
          <t>Lider En Derecho De Via y Construcción SA DE CV</t>
        </is>
      </c>
      <c r="C14" s="27" t="inlineStr">
        <is>
          <t>L200 Gls</t>
        </is>
      </c>
      <c r="D14" s="28" t="n">
        <v>24</v>
      </c>
      <c r="E14" s="29">
        <f>Saldos_Capital_Mensual!I14</f>
        <v/>
      </c>
      <c r="F14" s="29">
        <f>Saldos_Intereses_Mensual!I14</f>
        <v/>
      </c>
      <c r="G14" s="29">
        <f>ROUND(E14 + F14, 2)</f>
        <v/>
      </c>
      <c r="H14" s="29">
        <f>Saldo_Residual_Activo!I14</f>
        <v/>
      </c>
      <c r="I14" s="29">
        <f>ROUND(G14 + H14, 2)</f>
        <v/>
      </c>
      <c r="J14" s="29">
        <f>Saldos_Capital_Mensual!J14</f>
        <v/>
      </c>
      <c r="K14" s="29">
        <f>Saldos_Intereses_Mensual!J14</f>
        <v/>
      </c>
      <c r="L14" s="29">
        <f>ROUND(J14 + K14, 2)</f>
        <v/>
      </c>
      <c r="M14" s="29">
        <f>Saldo_Residual_Activo!J14</f>
        <v/>
      </c>
      <c r="N14" s="29">
        <f>ROUND(L14 + M14, 2)</f>
        <v/>
      </c>
      <c r="O14" s="29">
        <f>Saldos_Capital_Mensual!K14</f>
        <v/>
      </c>
      <c r="P14" s="29">
        <f>Saldos_Intereses_Mensual!K14</f>
        <v/>
      </c>
      <c r="Q14" s="29">
        <f>ROUND(O14 + P14, 2)</f>
        <v/>
      </c>
      <c r="R14" s="29">
        <f>Saldo_Residual_Activo!K14</f>
        <v/>
      </c>
      <c r="S14" s="29">
        <f>ROUND(Q14 + R14, 2)</f>
        <v/>
      </c>
      <c r="T14" s="29">
        <f>Saldos_Capital_Mensual!L14</f>
        <v/>
      </c>
      <c r="U14" s="29">
        <f>Saldos_Intereses_Mensual!L14</f>
        <v/>
      </c>
      <c r="V14" s="29">
        <f>ROUND(T14 + U14, 2)</f>
        <v/>
      </c>
      <c r="W14" s="29">
        <f>Saldo_Residual_Activo!L14</f>
        <v/>
      </c>
      <c r="X14" s="29">
        <f>ROUND(V14 + W14, 2)</f>
        <v/>
      </c>
      <c r="Y14" s="29">
        <f>Saldos_Capital_Mensual!M14</f>
        <v/>
      </c>
      <c r="Z14" s="29">
        <f>Saldos_Intereses_Mensual!M14</f>
        <v/>
      </c>
      <c r="AA14" s="29">
        <f>ROUND(Y14 + Z14, 2)</f>
        <v/>
      </c>
      <c r="AB14" s="29">
        <f>Saldo_Residual_Activo!M14</f>
        <v/>
      </c>
      <c r="AC14" s="29">
        <f>ROUND(AA14 + AB14, 2)</f>
        <v/>
      </c>
      <c r="AD14" s="29">
        <f>Saldos_Capital_Mensual!N14</f>
        <v/>
      </c>
      <c r="AE14" s="29">
        <f>Saldos_Intereses_Mensual!N14</f>
        <v/>
      </c>
      <c r="AF14" s="29">
        <f>ROUND(AD14 + AE14, 2)</f>
        <v/>
      </c>
      <c r="AG14" s="29">
        <f>Saldo_Residual_Activo!N14</f>
        <v/>
      </c>
      <c r="AH14" s="29">
        <f>ROUND(AF14 + AG14, 2)</f>
        <v/>
      </c>
      <c r="AI14" s="29">
        <f>Saldos_Capital_Mensual!O14</f>
        <v/>
      </c>
      <c r="AJ14" s="29">
        <f>Saldos_Intereses_Mensual!O14</f>
        <v/>
      </c>
      <c r="AK14" s="29">
        <f>ROUND(AI14 + AJ14, 2)</f>
        <v/>
      </c>
      <c r="AL14" s="29">
        <f>Saldo_Residual_Activo!O14</f>
        <v/>
      </c>
      <c r="AM14" s="29">
        <f>ROUND(AK14 + AL14, 2)</f>
        <v/>
      </c>
      <c r="AN14" s="29">
        <f>Saldos_Capital_Mensual!P14</f>
        <v/>
      </c>
      <c r="AO14" s="29">
        <f>Saldos_Intereses_Mensual!P14</f>
        <v/>
      </c>
      <c r="AP14" s="29">
        <f>ROUND(AN14 + AO14, 2)</f>
        <v/>
      </c>
      <c r="AQ14" s="29">
        <f>Saldo_Residual_Activo!P14</f>
        <v/>
      </c>
      <c r="AR14" s="29">
        <f>ROUND(AP14 + AQ14, 2)</f>
        <v/>
      </c>
      <c r="AS14" s="29">
        <f>Saldos_Capital_Mensual!Q14</f>
        <v/>
      </c>
      <c r="AT14" s="29">
        <f>Saldos_Intereses_Mensual!Q14</f>
        <v/>
      </c>
      <c r="AU14" s="29">
        <f>ROUND(AS14 + AT14, 2)</f>
        <v/>
      </c>
      <c r="AV14" s="29">
        <f>Saldo_Residual_Activo!Q14</f>
        <v/>
      </c>
      <c r="AW14" s="29">
        <f>ROUND(AU14 + AV14, 2)</f>
        <v/>
      </c>
      <c r="AX14" s="29">
        <f>Saldos_Capital_Mensual!R14</f>
        <v/>
      </c>
      <c r="AY14" s="29">
        <f>Saldos_Intereses_Mensual!R14</f>
        <v/>
      </c>
      <c r="AZ14" s="29">
        <f>ROUND(AX14 + AY14, 2)</f>
        <v/>
      </c>
      <c r="BA14" s="29">
        <f>Saldo_Residual_Activo!R14</f>
        <v/>
      </c>
      <c r="BB14" s="29">
        <f>ROUND(AZ14 + BA14, 2)</f>
        <v/>
      </c>
      <c r="BC14" s="29">
        <f>Saldos_Capital_Mensual!S14</f>
        <v/>
      </c>
      <c r="BD14" s="29">
        <f>Saldos_Intereses_Mensual!S14</f>
        <v/>
      </c>
      <c r="BE14" s="29">
        <f>ROUND(BC14 + BD14, 2)</f>
        <v/>
      </c>
      <c r="BF14" s="29">
        <f>Saldo_Residual_Activo!S14</f>
        <v/>
      </c>
      <c r="BG14" s="29">
        <f>ROUND(BE14 + BF14, 2)</f>
        <v/>
      </c>
      <c r="BH14" s="29">
        <f>Saldos_Capital_Mensual!T14</f>
        <v/>
      </c>
      <c r="BI14" s="29">
        <f>Saldos_Intereses_Mensual!T14</f>
        <v/>
      </c>
      <c r="BJ14" s="29">
        <f>ROUND(BH14 + BI14, 2)</f>
        <v/>
      </c>
      <c r="BK14" s="29">
        <f>Saldo_Residual_Activo!T14</f>
        <v/>
      </c>
      <c r="BL14" s="29">
        <f>ROUND(BJ14 + BK14, 2)</f>
        <v/>
      </c>
    </row>
    <row r="15">
      <c r="A15" s="20" t="inlineStr">
        <is>
          <t>0524-0011</t>
        </is>
      </c>
      <c r="B15" s="21" t="inlineStr">
        <is>
          <t>Lider En Derecho De Via y Construcción SA DE CV</t>
        </is>
      </c>
      <c r="C15" s="21" t="inlineStr">
        <is>
          <t>Wrangler Unlimited Sahara</t>
        </is>
      </c>
      <c r="D15" s="22" t="n">
        <v>48</v>
      </c>
      <c r="E15" s="23">
        <f>Saldos_Capital_Mensual!I15</f>
        <v/>
      </c>
      <c r="F15" s="23">
        <f>Saldos_Intereses_Mensual!I15</f>
        <v/>
      </c>
      <c r="G15" s="23">
        <f>ROUND(E15 + F15, 2)</f>
        <v/>
      </c>
      <c r="H15" s="23">
        <f>Saldo_Residual_Activo!I15</f>
        <v/>
      </c>
      <c r="I15" s="23">
        <f>ROUND(G15 + H15, 2)</f>
        <v/>
      </c>
      <c r="J15" s="23">
        <f>Saldos_Capital_Mensual!J15</f>
        <v/>
      </c>
      <c r="K15" s="23">
        <f>Saldos_Intereses_Mensual!J15</f>
        <v/>
      </c>
      <c r="L15" s="23">
        <f>ROUND(J15 + K15, 2)</f>
        <v/>
      </c>
      <c r="M15" s="23">
        <f>Saldo_Residual_Activo!J15</f>
        <v/>
      </c>
      <c r="N15" s="23">
        <f>ROUND(L15 + M15, 2)</f>
        <v/>
      </c>
      <c r="O15" s="23">
        <f>Saldos_Capital_Mensual!K15</f>
        <v/>
      </c>
      <c r="P15" s="23">
        <f>Saldos_Intereses_Mensual!K15</f>
        <v/>
      </c>
      <c r="Q15" s="23">
        <f>ROUND(O15 + P15, 2)</f>
        <v/>
      </c>
      <c r="R15" s="23">
        <f>Saldo_Residual_Activo!K15</f>
        <v/>
      </c>
      <c r="S15" s="23">
        <f>ROUND(Q15 + R15, 2)</f>
        <v/>
      </c>
      <c r="T15" s="23">
        <f>Saldos_Capital_Mensual!L15</f>
        <v/>
      </c>
      <c r="U15" s="23">
        <f>Saldos_Intereses_Mensual!L15</f>
        <v/>
      </c>
      <c r="V15" s="23">
        <f>ROUND(T15 + U15, 2)</f>
        <v/>
      </c>
      <c r="W15" s="23">
        <f>Saldo_Residual_Activo!L15</f>
        <v/>
      </c>
      <c r="X15" s="23">
        <f>ROUND(V15 + W15, 2)</f>
        <v/>
      </c>
      <c r="Y15" s="23">
        <f>Saldos_Capital_Mensual!M15</f>
        <v/>
      </c>
      <c r="Z15" s="23">
        <f>Saldos_Intereses_Mensual!M15</f>
        <v/>
      </c>
      <c r="AA15" s="23">
        <f>ROUND(Y15 + Z15, 2)</f>
        <v/>
      </c>
      <c r="AB15" s="23">
        <f>Saldo_Residual_Activo!M15</f>
        <v/>
      </c>
      <c r="AC15" s="23">
        <f>ROUND(AA15 + AB15, 2)</f>
        <v/>
      </c>
      <c r="AD15" s="23">
        <f>Saldos_Capital_Mensual!N15</f>
        <v/>
      </c>
      <c r="AE15" s="23">
        <f>Saldos_Intereses_Mensual!N15</f>
        <v/>
      </c>
      <c r="AF15" s="23">
        <f>ROUND(AD15 + AE15, 2)</f>
        <v/>
      </c>
      <c r="AG15" s="23">
        <f>Saldo_Residual_Activo!N15</f>
        <v/>
      </c>
      <c r="AH15" s="23">
        <f>ROUND(AF15 + AG15, 2)</f>
        <v/>
      </c>
      <c r="AI15" s="23">
        <f>Saldos_Capital_Mensual!O15</f>
        <v/>
      </c>
      <c r="AJ15" s="23">
        <f>Saldos_Intereses_Mensual!O15</f>
        <v/>
      </c>
      <c r="AK15" s="23">
        <f>ROUND(AI15 + AJ15, 2)</f>
        <v/>
      </c>
      <c r="AL15" s="23">
        <f>Saldo_Residual_Activo!O15</f>
        <v/>
      </c>
      <c r="AM15" s="23">
        <f>ROUND(AK15 + AL15, 2)</f>
        <v/>
      </c>
      <c r="AN15" s="23">
        <f>Saldos_Capital_Mensual!P15</f>
        <v/>
      </c>
      <c r="AO15" s="23">
        <f>Saldos_Intereses_Mensual!P15</f>
        <v/>
      </c>
      <c r="AP15" s="23">
        <f>ROUND(AN15 + AO15, 2)</f>
        <v/>
      </c>
      <c r="AQ15" s="23">
        <f>Saldo_Residual_Activo!P15</f>
        <v/>
      </c>
      <c r="AR15" s="23">
        <f>ROUND(AP15 + AQ15, 2)</f>
        <v/>
      </c>
      <c r="AS15" s="23">
        <f>Saldos_Capital_Mensual!Q15</f>
        <v/>
      </c>
      <c r="AT15" s="23">
        <f>Saldos_Intereses_Mensual!Q15</f>
        <v/>
      </c>
      <c r="AU15" s="23">
        <f>ROUND(AS15 + AT15, 2)</f>
        <v/>
      </c>
      <c r="AV15" s="23">
        <f>Saldo_Residual_Activo!Q15</f>
        <v/>
      </c>
      <c r="AW15" s="23">
        <f>ROUND(AU15 + AV15, 2)</f>
        <v/>
      </c>
      <c r="AX15" s="23">
        <f>Saldos_Capital_Mensual!R15</f>
        <v/>
      </c>
      <c r="AY15" s="23">
        <f>Saldos_Intereses_Mensual!R15</f>
        <v/>
      </c>
      <c r="AZ15" s="23">
        <f>ROUND(AX15 + AY15, 2)</f>
        <v/>
      </c>
      <c r="BA15" s="23">
        <f>Saldo_Residual_Activo!R15</f>
        <v/>
      </c>
      <c r="BB15" s="23">
        <f>ROUND(AZ15 + BA15, 2)</f>
        <v/>
      </c>
      <c r="BC15" s="23">
        <f>Saldos_Capital_Mensual!S15</f>
        <v/>
      </c>
      <c r="BD15" s="23">
        <f>Saldos_Intereses_Mensual!S15</f>
        <v/>
      </c>
      <c r="BE15" s="23">
        <f>ROUND(BC15 + BD15, 2)</f>
        <v/>
      </c>
      <c r="BF15" s="23">
        <f>Saldo_Residual_Activo!S15</f>
        <v/>
      </c>
      <c r="BG15" s="23">
        <f>ROUND(BE15 + BF15, 2)</f>
        <v/>
      </c>
      <c r="BH15" s="23">
        <f>Saldos_Capital_Mensual!T15</f>
        <v/>
      </c>
      <c r="BI15" s="23">
        <f>Saldos_Intereses_Mensual!T15</f>
        <v/>
      </c>
      <c r="BJ15" s="23">
        <f>ROUND(BH15 + BI15, 2)</f>
        <v/>
      </c>
      <c r="BK15" s="23">
        <f>Saldo_Residual_Activo!T15</f>
        <v/>
      </c>
      <c r="BL15" s="23">
        <f>ROUND(BJ15 + BK15, 2)</f>
        <v/>
      </c>
    </row>
    <row r="16">
      <c r="A16" s="26" t="inlineStr">
        <is>
          <t>0524-0012</t>
        </is>
      </c>
      <c r="B16" s="27" t="inlineStr">
        <is>
          <t>Lider En Derecho De Via y Construcción SA DE CV</t>
        </is>
      </c>
      <c r="C16" s="27" t="inlineStr">
        <is>
          <t>L200 GLS</t>
        </is>
      </c>
      <c r="D16" s="28" t="n">
        <v>48</v>
      </c>
      <c r="E16" s="29">
        <f>Saldos_Capital_Mensual!I16</f>
        <v/>
      </c>
      <c r="F16" s="29">
        <f>Saldos_Intereses_Mensual!I16</f>
        <v/>
      </c>
      <c r="G16" s="29">
        <f>ROUND(E16 + F16, 2)</f>
        <v/>
      </c>
      <c r="H16" s="29">
        <f>Saldo_Residual_Activo!I16</f>
        <v/>
      </c>
      <c r="I16" s="29">
        <f>ROUND(G16 + H16, 2)</f>
        <v/>
      </c>
      <c r="J16" s="29">
        <f>Saldos_Capital_Mensual!J16</f>
        <v/>
      </c>
      <c r="K16" s="29">
        <f>Saldos_Intereses_Mensual!J16</f>
        <v/>
      </c>
      <c r="L16" s="29">
        <f>ROUND(J16 + K16, 2)</f>
        <v/>
      </c>
      <c r="M16" s="29">
        <f>Saldo_Residual_Activo!J16</f>
        <v/>
      </c>
      <c r="N16" s="29">
        <f>ROUND(L16 + M16, 2)</f>
        <v/>
      </c>
      <c r="O16" s="29">
        <f>Saldos_Capital_Mensual!K16</f>
        <v/>
      </c>
      <c r="P16" s="29">
        <f>Saldos_Intereses_Mensual!K16</f>
        <v/>
      </c>
      <c r="Q16" s="29">
        <f>ROUND(O16 + P16, 2)</f>
        <v/>
      </c>
      <c r="R16" s="29">
        <f>Saldo_Residual_Activo!K16</f>
        <v/>
      </c>
      <c r="S16" s="29">
        <f>ROUND(Q16 + R16, 2)</f>
        <v/>
      </c>
      <c r="T16" s="29">
        <f>Saldos_Capital_Mensual!L16</f>
        <v/>
      </c>
      <c r="U16" s="29">
        <f>Saldos_Intereses_Mensual!L16</f>
        <v/>
      </c>
      <c r="V16" s="29">
        <f>ROUND(T16 + U16, 2)</f>
        <v/>
      </c>
      <c r="W16" s="29">
        <f>Saldo_Residual_Activo!L16</f>
        <v/>
      </c>
      <c r="X16" s="29">
        <f>ROUND(V16 + W16, 2)</f>
        <v/>
      </c>
      <c r="Y16" s="29">
        <f>Saldos_Capital_Mensual!M16</f>
        <v/>
      </c>
      <c r="Z16" s="29">
        <f>Saldos_Intereses_Mensual!M16</f>
        <v/>
      </c>
      <c r="AA16" s="29">
        <f>ROUND(Y16 + Z16, 2)</f>
        <v/>
      </c>
      <c r="AB16" s="29">
        <f>Saldo_Residual_Activo!M16</f>
        <v/>
      </c>
      <c r="AC16" s="29">
        <f>ROUND(AA16 + AB16, 2)</f>
        <v/>
      </c>
      <c r="AD16" s="29">
        <f>Saldos_Capital_Mensual!N16</f>
        <v/>
      </c>
      <c r="AE16" s="29">
        <f>Saldos_Intereses_Mensual!N16</f>
        <v/>
      </c>
      <c r="AF16" s="29">
        <f>ROUND(AD16 + AE16, 2)</f>
        <v/>
      </c>
      <c r="AG16" s="29">
        <f>Saldo_Residual_Activo!N16</f>
        <v/>
      </c>
      <c r="AH16" s="29">
        <f>ROUND(AF16 + AG16, 2)</f>
        <v/>
      </c>
      <c r="AI16" s="29">
        <f>Saldos_Capital_Mensual!O16</f>
        <v/>
      </c>
      <c r="AJ16" s="29">
        <f>Saldos_Intereses_Mensual!O16</f>
        <v/>
      </c>
      <c r="AK16" s="29">
        <f>ROUND(AI16 + AJ16, 2)</f>
        <v/>
      </c>
      <c r="AL16" s="29">
        <f>Saldo_Residual_Activo!O16</f>
        <v/>
      </c>
      <c r="AM16" s="29">
        <f>ROUND(AK16 + AL16, 2)</f>
        <v/>
      </c>
      <c r="AN16" s="29">
        <f>Saldos_Capital_Mensual!P16</f>
        <v/>
      </c>
      <c r="AO16" s="29">
        <f>Saldos_Intereses_Mensual!P16</f>
        <v/>
      </c>
      <c r="AP16" s="29">
        <f>ROUND(AN16 + AO16, 2)</f>
        <v/>
      </c>
      <c r="AQ16" s="29">
        <f>Saldo_Residual_Activo!P16</f>
        <v/>
      </c>
      <c r="AR16" s="29">
        <f>ROUND(AP16 + AQ16, 2)</f>
        <v/>
      </c>
      <c r="AS16" s="29">
        <f>Saldos_Capital_Mensual!Q16</f>
        <v/>
      </c>
      <c r="AT16" s="29">
        <f>Saldos_Intereses_Mensual!Q16</f>
        <v/>
      </c>
      <c r="AU16" s="29">
        <f>ROUND(AS16 + AT16, 2)</f>
        <v/>
      </c>
      <c r="AV16" s="29">
        <f>Saldo_Residual_Activo!Q16</f>
        <v/>
      </c>
      <c r="AW16" s="29">
        <f>ROUND(AU16 + AV16, 2)</f>
        <v/>
      </c>
      <c r="AX16" s="29">
        <f>Saldos_Capital_Mensual!R16</f>
        <v/>
      </c>
      <c r="AY16" s="29">
        <f>Saldos_Intereses_Mensual!R16</f>
        <v/>
      </c>
      <c r="AZ16" s="29">
        <f>ROUND(AX16 + AY16, 2)</f>
        <v/>
      </c>
      <c r="BA16" s="29">
        <f>Saldo_Residual_Activo!R16</f>
        <v/>
      </c>
      <c r="BB16" s="29">
        <f>ROUND(AZ16 + BA16, 2)</f>
        <v/>
      </c>
      <c r="BC16" s="29">
        <f>Saldos_Capital_Mensual!S16</f>
        <v/>
      </c>
      <c r="BD16" s="29">
        <f>Saldos_Intereses_Mensual!S16</f>
        <v/>
      </c>
      <c r="BE16" s="29">
        <f>ROUND(BC16 + BD16, 2)</f>
        <v/>
      </c>
      <c r="BF16" s="29">
        <f>Saldo_Residual_Activo!S16</f>
        <v/>
      </c>
      <c r="BG16" s="29">
        <f>ROUND(BE16 + BF16, 2)</f>
        <v/>
      </c>
      <c r="BH16" s="29">
        <f>Saldos_Capital_Mensual!T16</f>
        <v/>
      </c>
      <c r="BI16" s="29">
        <f>Saldos_Intereses_Mensual!T16</f>
        <v/>
      </c>
      <c r="BJ16" s="29">
        <f>ROUND(BH16 + BI16, 2)</f>
        <v/>
      </c>
      <c r="BK16" s="29">
        <f>Saldo_Residual_Activo!T16</f>
        <v/>
      </c>
      <c r="BL16" s="29">
        <f>ROUND(BJ16 + BK16, 2)</f>
        <v/>
      </c>
    </row>
    <row r="17">
      <c r="A17" s="20" t="inlineStr">
        <is>
          <t>0524-0013</t>
        </is>
      </c>
      <c r="B17" s="21" t="inlineStr">
        <is>
          <t>Lider En Derecho De Via y Construcción SA DE CV</t>
        </is>
      </c>
      <c r="C17" s="21" t="inlineStr">
        <is>
          <t>L200 GLX</t>
        </is>
      </c>
      <c r="D17" s="22" t="n">
        <v>36</v>
      </c>
      <c r="E17" s="23">
        <f>Saldos_Capital_Mensual!I17</f>
        <v/>
      </c>
      <c r="F17" s="23">
        <f>Saldos_Intereses_Mensual!I17</f>
        <v/>
      </c>
      <c r="G17" s="23">
        <f>ROUND(E17 + F17, 2)</f>
        <v/>
      </c>
      <c r="H17" s="23">
        <f>Saldo_Residual_Activo!I17</f>
        <v/>
      </c>
      <c r="I17" s="23">
        <f>ROUND(G17 + H17, 2)</f>
        <v/>
      </c>
      <c r="J17" s="23">
        <f>Saldos_Capital_Mensual!J17</f>
        <v/>
      </c>
      <c r="K17" s="23">
        <f>Saldos_Intereses_Mensual!J17</f>
        <v/>
      </c>
      <c r="L17" s="23">
        <f>ROUND(J17 + K17, 2)</f>
        <v/>
      </c>
      <c r="M17" s="23">
        <f>Saldo_Residual_Activo!J17</f>
        <v/>
      </c>
      <c r="N17" s="23">
        <f>ROUND(L17 + M17, 2)</f>
        <v/>
      </c>
      <c r="O17" s="23">
        <f>Saldos_Capital_Mensual!K17</f>
        <v/>
      </c>
      <c r="P17" s="23">
        <f>Saldos_Intereses_Mensual!K17</f>
        <v/>
      </c>
      <c r="Q17" s="23">
        <f>ROUND(O17 + P17, 2)</f>
        <v/>
      </c>
      <c r="R17" s="23">
        <f>Saldo_Residual_Activo!K17</f>
        <v/>
      </c>
      <c r="S17" s="23">
        <f>ROUND(Q17 + R17, 2)</f>
        <v/>
      </c>
      <c r="T17" s="23">
        <f>Saldos_Capital_Mensual!L17</f>
        <v/>
      </c>
      <c r="U17" s="23">
        <f>Saldos_Intereses_Mensual!L17</f>
        <v/>
      </c>
      <c r="V17" s="23">
        <f>ROUND(T17 + U17, 2)</f>
        <v/>
      </c>
      <c r="W17" s="23">
        <f>Saldo_Residual_Activo!L17</f>
        <v/>
      </c>
      <c r="X17" s="23">
        <f>ROUND(V17 + W17, 2)</f>
        <v/>
      </c>
      <c r="Y17" s="23">
        <f>Saldos_Capital_Mensual!M17</f>
        <v/>
      </c>
      <c r="Z17" s="23">
        <f>Saldos_Intereses_Mensual!M17</f>
        <v/>
      </c>
      <c r="AA17" s="23">
        <f>ROUND(Y17 + Z17, 2)</f>
        <v/>
      </c>
      <c r="AB17" s="23">
        <f>Saldo_Residual_Activo!M17</f>
        <v/>
      </c>
      <c r="AC17" s="23">
        <f>ROUND(AA17 + AB17, 2)</f>
        <v/>
      </c>
      <c r="AD17" s="23">
        <f>Saldos_Capital_Mensual!N17</f>
        <v/>
      </c>
      <c r="AE17" s="23">
        <f>Saldos_Intereses_Mensual!N17</f>
        <v/>
      </c>
      <c r="AF17" s="23">
        <f>ROUND(AD17 + AE17, 2)</f>
        <v/>
      </c>
      <c r="AG17" s="23">
        <f>Saldo_Residual_Activo!N17</f>
        <v/>
      </c>
      <c r="AH17" s="23">
        <f>ROUND(AF17 + AG17, 2)</f>
        <v/>
      </c>
      <c r="AI17" s="23">
        <f>Saldos_Capital_Mensual!O17</f>
        <v/>
      </c>
      <c r="AJ17" s="23">
        <f>Saldos_Intereses_Mensual!O17</f>
        <v/>
      </c>
      <c r="AK17" s="23">
        <f>ROUND(AI17 + AJ17, 2)</f>
        <v/>
      </c>
      <c r="AL17" s="23">
        <f>Saldo_Residual_Activo!O17</f>
        <v/>
      </c>
      <c r="AM17" s="23">
        <f>ROUND(AK17 + AL17, 2)</f>
        <v/>
      </c>
      <c r="AN17" s="23">
        <f>Saldos_Capital_Mensual!P17</f>
        <v/>
      </c>
      <c r="AO17" s="23">
        <f>Saldos_Intereses_Mensual!P17</f>
        <v/>
      </c>
      <c r="AP17" s="23">
        <f>ROUND(AN17 + AO17, 2)</f>
        <v/>
      </c>
      <c r="AQ17" s="23">
        <f>Saldo_Residual_Activo!P17</f>
        <v/>
      </c>
      <c r="AR17" s="23">
        <f>ROUND(AP17 + AQ17, 2)</f>
        <v/>
      </c>
      <c r="AS17" s="23">
        <f>Saldos_Capital_Mensual!Q17</f>
        <v/>
      </c>
      <c r="AT17" s="23">
        <f>Saldos_Intereses_Mensual!Q17</f>
        <v/>
      </c>
      <c r="AU17" s="23">
        <f>ROUND(AS17 + AT17, 2)</f>
        <v/>
      </c>
      <c r="AV17" s="23">
        <f>Saldo_Residual_Activo!Q17</f>
        <v/>
      </c>
      <c r="AW17" s="23">
        <f>ROUND(AU17 + AV17, 2)</f>
        <v/>
      </c>
      <c r="AX17" s="23">
        <f>Saldos_Capital_Mensual!R17</f>
        <v/>
      </c>
      <c r="AY17" s="23">
        <f>Saldos_Intereses_Mensual!R17</f>
        <v/>
      </c>
      <c r="AZ17" s="23">
        <f>ROUND(AX17 + AY17, 2)</f>
        <v/>
      </c>
      <c r="BA17" s="23">
        <f>Saldo_Residual_Activo!R17</f>
        <v/>
      </c>
      <c r="BB17" s="23">
        <f>ROUND(AZ17 + BA17, 2)</f>
        <v/>
      </c>
      <c r="BC17" s="23">
        <f>Saldos_Capital_Mensual!S17</f>
        <v/>
      </c>
      <c r="BD17" s="23">
        <f>Saldos_Intereses_Mensual!S17</f>
        <v/>
      </c>
      <c r="BE17" s="23">
        <f>ROUND(BC17 + BD17, 2)</f>
        <v/>
      </c>
      <c r="BF17" s="23">
        <f>Saldo_Residual_Activo!S17</f>
        <v/>
      </c>
      <c r="BG17" s="23">
        <f>ROUND(BE17 + BF17, 2)</f>
        <v/>
      </c>
      <c r="BH17" s="23">
        <f>Saldos_Capital_Mensual!T17</f>
        <v/>
      </c>
      <c r="BI17" s="23">
        <f>Saldos_Intereses_Mensual!T17</f>
        <v/>
      </c>
      <c r="BJ17" s="23">
        <f>ROUND(BH17 + BI17, 2)</f>
        <v/>
      </c>
      <c r="BK17" s="23">
        <f>Saldo_Residual_Activo!T17</f>
        <v/>
      </c>
      <c r="BL17" s="23">
        <f>ROUND(BJ17 + BK17, 2)</f>
        <v/>
      </c>
    </row>
    <row r="18">
      <c r="A18" s="26" t="inlineStr">
        <is>
          <t>0524-0014</t>
        </is>
      </c>
      <c r="B18" s="27" t="inlineStr">
        <is>
          <t>Lider En Derecho De Via y Construcción SA DE CV</t>
        </is>
      </c>
      <c r="C18" s="27" t="inlineStr">
        <is>
          <t>L200 GLX</t>
        </is>
      </c>
      <c r="D18" s="28" t="n">
        <v>36</v>
      </c>
      <c r="E18" s="29">
        <f>Saldos_Capital_Mensual!I18</f>
        <v/>
      </c>
      <c r="F18" s="29">
        <f>Saldos_Intereses_Mensual!I18</f>
        <v/>
      </c>
      <c r="G18" s="29">
        <f>ROUND(E18 + F18, 2)</f>
        <v/>
      </c>
      <c r="H18" s="29">
        <f>Saldo_Residual_Activo!I18</f>
        <v/>
      </c>
      <c r="I18" s="29">
        <f>ROUND(G18 + H18, 2)</f>
        <v/>
      </c>
      <c r="J18" s="29">
        <f>Saldos_Capital_Mensual!J18</f>
        <v/>
      </c>
      <c r="K18" s="29">
        <f>Saldos_Intereses_Mensual!J18</f>
        <v/>
      </c>
      <c r="L18" s="29">
        <f>ROUND(J18 + K18, 2)</f>
        <v/>
      </c>
      <c r="M18" s="29">
        <f>Saldo_Residual_Activo!J18</f>
        <v/>
      </c>
      <c r="N18" s="29">
        <f>ROUND(L18 + M18, 2)</f>
        <v/>
      </c>
      <c r="O18" s="29">
        <f>Saldos_Capital_Mensual!K18</f>
        <v/>
      </c>
      <c r="P18" s="29">
        <f>Saldos_Intereses_Mensual!K18</f>
        <v/>
      </c>
      <c r="Q18" s="29">
        <f>ROUND(O18 + P18, 2)</f>
        <v/>
      </c>
      <c r="R18" s="29">
        <f>Saldo_Residual_Activo!K18</f>
        <v/>
      </c>
      <c r="S18" s="29">
        <f>ROUND(Q18 + R18, 2)</f>
        <v/>
      </c>
      <c r="T18" s="29">
        <f>Saldos_Capital_Mensual!L18</f>
        <v/>
      </c>
      <c r="U18" s="29">
        <f>Saldos_Intereses_Mensual!L18</f>
        <v/>
      </c>
      <c r="V18" s="29">
        <f>ROUND(T18 + U18, 2)</f>
        <v/>
      </c>
      <c r="W18" s="29">
        <f>Saldo_Residual_Activo!L18</f>
        <v/>
      </c>
      <c r="X18" s="29">
        <f>ROUND(V18 + W18, 2)</f>
        <v/>
      </c>
      <c r="Y18" s="29">
        <f>Saldos_Capital_Mensual!M18</f>
        <v/>
      </c>
      <c r="Z18" s="29">
        <f>Saldos_Intereses_Mensual!M18</f>
        <v/>
      </c>
      <c r="AA18" s="29">
        <f>ROUND(Y18 + Z18, 2)</f>
        <v/>
      </c>
      <c r="AB18" s="29">
        <f>Saldo_Residual_Activo!M18</f>
        <v/>
      </c>
      <c r="AC18" s="29">
        <f>ROUND(AA18 + AB18, 2)</f>
        <v/>
      </c>
      <c r="AD18" s="29">
        <f>Saldos_Capital_Mensual!N18</f>
        <v/>
      </c>
      <c r="AE18" s="29">
        <f>Saldos_Intereses_Mensual!N18</f>
        <v/>
      </c>
      <c r="AF18" s="29">
        <f>ROUND(AD18 + AE18, 2)</f>
        <v/>
      </c>
      <c r="AG18" s="29">
        <f>Saldo_Residual_Activo!N18</f>
        <v/>
      </c>
      <c r="AH18" s="29">
        <f>ROUND(AF18 + AG18, 2)</f>
        <v/>
      </c>
      <c r="AI18" s="29">
        <f>Saldos_Capital_Mensual!O18</f>
        <v/>
      </c>
      <c r="AJ18" s="29">
        <f>Saldos_Intereses_Mensual!O18</f>
        <v/>
      </c>
      <c r="AK18" s="29">
        <f>ROUND(AI18 + AJ18, 2)</f>
        <v/>
      </c>
      <c r="AL18" s="29">
        <f>Saldo_Residual_Activo!O18</f>
        <v/>
      </c>
      <c r="AM18" s="29">
        <f>ROUND(AK18 + AL18, 2)</f>
        <v/>
      </c>
      <c r="AN18" s="29">
        <f>Saldos_Capital_Mensual!P18</f>
        <v/>
      </c>
      <c r="AO18" s="29">
        <f>Saldos_Intereses_Mensual!P18</f>
        <v/>
      </c>
      <c r="AP18" s="29">
        <f>ROUND(AN18 + AO18, 2)</f>
        <v/>
      </c>
      <c r="AQ18" s="29">
        <f>Saldo_Residual_Activo!P18</f>
        <v/>
      </c>
      <c r="AR18" s="29">
        <f>ROUND(AP18 + AQ18, 2)</f>
        <v/>
      </c>
      <c r="AS18" s="29">
        <f>Saldos_Capital_Mensual!Q18</f>
        <v/>
      </c>
      <c r="AT18" s="29">
        <f>Saldos_Intereses_Mensual!Q18</f>
        <v/>
      </c>
      <c r="AU18" s="29">
        <f>ROUND(AS18 + AT18, 2)</f>
        <v/>
      </c>
      <c r="AV18" s="29">
        <f>Saldo_Residual_Activo!Q18</f>
        <v/>
      </c>
      <c r="AW18" s="29">
        <f>ROUND(AU18 + AV18, 2)</f>
        <v/>
      </c>
      <c r="AX18" s="29">
        <f>Saldos_Capital_Mensual!R18</f>
        <v/>
      </c>
      <c r="AY18" s="29">
        <f>Saldos_Intereses_Mensual!R18</f>
        <v/>
      </c>
      <c r="AZ18" s="29">
        <f>ROUND(AX18 + AY18, 2)</f>
        <v/>
      </c>
      <c r="BA18" s="29">
        <f>Saldo_Residual_Activo!R18</f>
        <v/>
      </c>
      <c r="BB18" s="29">
        <f>ROUND(AZ18 + BA18, 2)</f>
        <v/>
      </c>
      <c r="BC18" s="29">
        <f>Saldos_Capital_Mensual!S18</f>
        <v/>
      </c>
      <c r="BD18" s="29">
        <f>Saldos_Intereses_Mensual!S18</f>
        <v/>
      </c>
      <c r="BE18" s="29">
        <f>ROUND(BC18 + BD18, 2)</f>
        <v/>
      </c>
      <c r="BF18" s="29">
        <f>Saldo_Residual_Activo!S18</f>
        <v/>
      </c>
      <c r="BG18" s="29">
        <f>ROUND(BE18 + BF18, 2)</f>
        <v/>
      </c>
      <c r="BH18" s="29">
        <f>Saldos_Capital_Mensual!T18</f>
        <v/>
      </c>
      <c r="BI18" s="29">
        <f>Saldos_Intereses_Mensual!T18</f>
        <v/>
      </c>
      <c r="BJ18" s="29">
        <f>ROUND(BH18 + BI18, 2)</f>
        <v/>
      </c>
      <c r="BK18" s="29">
        <f>Saldo_Residual_Activo!T18</f>
        <v/>
      </c>
      <c r="BL18" s="29">
        <f>ROUND(BJ18 + BK18, 2)</f>
        <v/>
      </c>
    </row>
    <row r="19">
      <c r="A19" s="20" t="inlineStr">
        <is>
          <t>0524-0015</t>
        </is>
      </c>
      <c r="B19" s="21" t="inlineStr">
        <is>
          <t>Lider En Derecho De Via y Construcción SA DE CV</t>
        </is>
      </c>
      <c r="C19" s="21" t="inlineStr">
        <is>
          <t>Mitsubishi L200 GLX 2026</t>
        </is>
      </c>
      <c r="D19" s="22" t="n">
        <v>36</v>
      </c>
      <c r="E19" s="23">
        <f>Saldos_Capital_Mensual!I19</f>
        <v/>
      </c>
      <c r="F19" s="23">
        <f>Saldos_Intereses_Mensual!I19</f>
        <v/>
      </c>
      <c r="G19" s="23">
        <f>ROUND(E19 + F19, 2)</f>
        <v/>
      </c>
      <c r="H19" s="23">
        <f>Saldo_Residual_Activo!I19</f>
        <v/>
      </c>
      <c r="I19" s="23">
        <f>ROUND(G19 + H19, 2)</f>
        <v/>
      </c>
      <c r="J19" s="23">
        <f>Saldos_Capital_Mensual!J19</f>
        <v/>
      </c>
      <c r="K19" s="23">
        <f>Saldos_Intereses_Mensual!J19</f>
        <v/>
      </c>
      <c r="L19" s="23">
        <f>ROUND(J19 + K19, 2)</f>
        <v/>
      </c>
      <c r="M19" s="23">
        <f>Saldo_Residual_Activo!J19</f>
        <v/>
      </c>
      <c r="N19" s="23">
        <f>ROUND(L19 + M19, 2)</f>
        <v/>
      </c>
      <c r="O19" s="23">
        <f>Saldos_Capital_Mensual!K19</f>
        <v/>
      </c>
      <c r="P19" s="23">
        <f>Saldos_Intereses_Mensual!K19</f>
        <v/>
      </c>
      <c r="Q19" s="23">
        <f>ROUND(O19 + P19, 2)</f>
        <v/>
      </c>
      <c r="R19" s="23">
        <f>Saldo_Residual_Activo!K19</f>
        <v/>
      </c>
      <c r="S19" s="23">
        <f>ROUND(Q19 + R19, 2)</f>
        <v/>
      </c>
      <c r="T19" s="23">
        <f>Saldos_Capital_Mensual!L19</f>
        <v/>
      </c>
      <c r="U19" s="23">
        <f>Saldos_Intereses_Mensual!L19</f>
        <v/>
      </c>
      <c r="V19" s="23">
        <f>ROUND(T19 + U19, 2)</f>
        <v/>
      </c>
      <c r="W19" s="23">
        <f>Saldo_Residual_Activo!L19</f>
        <v/>
      </c>
      <c r="X19" s="23">
        <f>ROUND(V19 + W19, 2)</f>
        <v/>
      </c>
      <c r="Y19" s="23">
        <f>Saldos_Capital_Mensual!M19</f>
        <v/>
      </c>
      <c r="Z19" s="23">
        <f>Saldos_Intereses_Mensual!M19</f>
        <v/>
      </c>
      <c r="AA19" s="23">
        <f>ROUND(Y19 + Z19, 2)</f>
        <v/>
      </c>
      <c r="AB19" s="23">
        <f>Saldo_Residual_Activo!M19</f>
        <v/>
      </c>
      <c r="AC19" s="23">
        <f>ROUND(AA19 + AB19, 2)</f>
        <v/>
      </c>
      <c r="AD19" s="23">
        <f>Saldos_Capital_Mensual!N19</f>
        <v/>
      </c>
      <c r="AE19" s="23">
        <f>Saldos_Intereses_Mensual!N19</f>
        <v/>
      </c>
      <c r="AF19" s="23">
        <f>ROUND(AD19 + AE19, 2)</f>
        <v/>
      </c>
      <c r="AG19" s="23">
        <f>Saldo_Residual_Activo!N19</f>
        <v/>
      </c>
      <c r="AH19" s="23">
        <f>ROUND(AF19 + AG19, 2)</f>
        <v/>
      </c>
      <c r="AI19" s="23">
        <f>Saldos_Capital_Mensual!O19</f>
        <v/>
      </c>
      <c r="AJ19" s="23">
        <f>Saldos_Intereses_Mensual!O19</f>
        <v/>
      </c>
      <c r="AK19" s="23">
        <f>ROUND(AI19 + AJ19, 2)</f>
        <v/>
      </c>
      <c r="AL19" s="23">
        <f>Saldo_Residual_Activo!O19</f>
        <v/>
      </c>
      <c r="AM19" s="23">
        <f>ROUND(AK19 + AL19, 2)</f>
        <v/>
      </c>
      <c r="AN19" s="23">
        <f>Saldos_Capital_Mensual!P19</f>
        <v/>
      </c>
      <c r="AO19" s="23">
        <f>Saldos_Intereses_Mensual!P19</f>
        <v/>
      </c>
      <c r="AP19" s="23">
        <f>ROUND(AN19 + AO19, 2)</f>
        <v/>
      </c>
      <c r="AQ19" s="23">
        <f>Saldo_Residual_Activo!P19</f>
        <v/>
      </c>
      <c r="AR19" s="23">
        <f>ROUND(AP19 + AQ19, 2)</f>
        <v/>
      </c>
      <c r="AS19" s="23">
        <f>Saldos_Capital_Mensual!Q19</f>
        <v/>
      </c>
      <c r="AT19" s="23">
        <f>Saldos_Intereses_Mensual!Q19</f>
        <v/>
      </c>
      <c r="AU19" s="23">
        <f>ROUND(AS19 + AT19, 2)</f>
        <v/>
      </c>
      <c r="AV19" s="23">
        <f>Saldo_Residual_Activo!Q19</f>
        <v/>
      </c>
      <c r="AW19" s="23">
        <f>ROUND(AU19 + AV19, 2)</f>
        <v/>
      </c>
      <c r="AX19" s="23">
        <f>Saldos_Capital_Mensual!R19</f>
        <v/>
      </c>
      <c r="AY19" s="23">
        <f>Saldos_Intereses_Mensual!R19</f>
        <v/>
      </c>
      <c r="AZ19" s="23">
        <f>ROUND(AX19 + AY19, 2)</f>
        <v/>
      </c>
      <c r="BA19" s="23">
        <f>Saldo_Residual_Activo!R19</f>
        <v/>
      </c>
      <c r="BB19" s="23">
        <f>ROUND(AZ19 + BA19, 2)</f>
        <v/>
      </c>
      <c r="BC19" s="23">
        <f>Saldos_Capital_Mensual!S19</f>
        <v/>
      </c>
      <c r="BD19" s="23">
        <f>Saldos_Intereses_Mensual!S19</f>
        <v/>
      </c>
      <c r="BE19" s="23">
        <f>ROUND(BC19 + BD19, 2)</f>
        <v/>
      </c>
      <c r="BF19" s="23">
        <f>Saldo_Residual_Activo!S19</f>
        <v/>
      </c>
      <c r="BG19" s="23">
        <f>ROUND(BE19 + BF19, 2)</f>
        <v/>
      </c>
      <c r="BH19" s="23">
        <f>Saldos_Capital_Mensual!T19</f>
        <v/>
      </c>
      <c r="BI19" s="23">
        <f>Saldos_Intereses_Mensual!T19</f>
        <v/>
      </c>
      <c r="BJ19" s="23">
        <f>ROUND(BH19 + BI19, 2)</f>
        <v/>
      </c>
      <c r="BK19" s="23">
        <f>Saldo_Residual_Activo!T19</f>
        <v/>
      </c>
      <c r="BL19" s="23">
        <f>ROUND(BJ19 + BK19, 2)</f>
        <v/>
      </c>
    </row>
    <row r="20">
      <c r="A20" s="26" t="inlineStr">
        <is>
          <t>0524-0016</t>
        </is>
      </c>
      <c r="B20" s="27" t="inlineStr">
        <is>
          <t>Lider En Derecho De Via y Construcción SA DE CV</t>
        </is>
      </c>
      <c r="C20" s="27" t="inlineStr">
        <is>
          <t>Mitsubishi L200 GLX 2026</t>
        </is>
      </c>
      <c r="D20" s="28" t="n">
        <v>36</v>
      </c>
      <c r="E20" s="29">
        <f>Saldos_Capital_Mensual!I20</f>
        <v/>
      </c>
      <c r="F20" s="29">
        <f>Saldos_Intereses_Mensual!I20</f>
        <v/>
      </c>
      <c r="G20" s="29">
        <f>ROUND(E20 + F20, 2)</f>
        <v/>
      </c>
      <c r="H20" s="29">
        <f>Saldo_Residual_Activo!I20</f>
        <v/>
      </c>
      <c r="I20" s="29">
        <f>ROUND(G20 + H20, 2)</f>
        <v/>
      </c>
      <c r="J20" s="29">
        <f>Saldos_Capital_Mensual!J20</f>
        <v/>
      </c>
      <c r="K20" s="29">
        <f>Saldos_Intereses_Mensual!J20</f>
        <v/>
      </c>
      <c r="L20" s="29">
        <f>ROUND(J20 + K20, 2)</f>
        <v/>
      </c>
      <c r="M20" s="29">
        <f>Saldo_Residual_Activo!J20</f>
        <v/>
      </c>
      <c r="N20" s="29">
        <f>ROUND(L20 + M20, 2)</f>
        <v/>
      </c>
      <c r="O20" s="29">
        <f>Saldos_Capital_Mensual!K20</f>
        <v/>
      </c>
      <c r="P20" s="29">
        <f>Saldos_Intereses_Mensual!K20</f>
        <v/>
      </c>
      <c r="Q20" s="29">
        <f>ROUND(O20 + P20, 2)</f>
        <v/>
      </c>
      <c r="R20" s="29">
        <f>Saldo_Residual_Activo!K20</f>
        <v/>
      </c>
      <c r="S20" s="29">
        <f>ROUND(Q20 + R20, 2)</f>
        <v/>
      </c>
      <c r="T20" s="29">
        <f>Saldos_Capital_Mensual!L20</f>
        <v/>
      </c>
      <c r="U20" s="29">
        <f>Saldos_Intereses_Mensual!L20</f>
        <v/>
      </c>
      <c r="V20" s="29">
        <f>ROUND(T20 + U20, 2)</f>
        <v/>
      </c>
      <c r="W20" s="29">
        <f>Saldo_Residual_Activo!L20</f>
        <v/>
      </c>
      <c r="X20" s="29">
        <f>ROUND(V20 + W20, 2)</f>
        <v/>
      </c>
      <c r="Y20" s="29">
        <f>Saldos_Capital_Mensual!M20</f>
        <v/>
      </c>
      <c r="Z20" s="29">
        <f>Saldos_Intereses_Mensual!M20</f>
        <v/>
      </c>
      <c r="AA20" s="29">
        <f>ROUND(Y20 + Z20, 2)</f>
        <v/>
      </c>
      <c r="AB20" s="29">
        <f>Saldo_Residual_Activo!M20</f>
        <v/>
      </c>
      <c r="AC20" s="29">
        <f>ROUND(AA20 + AB20, 2)</f>
        <v/>
      </c>
      <c r="AD20" s="29">
        <f>Saldos_Capital_Mensual!N20</f>
        <v/>
      </c>
      <c r="AE20" s="29">
        <f>Saldos_Intereses_Mensual!N20</f>
        <v/>
      </c>
      <c r="AF20" s="29">
        <f>ROUND(AD20 + AE20, 2)</f>
        <v/>
      </c>
      <c r="AG20" s="29">
        <f>Saldo_Residual_Activo!N20</f>
        <v/>
      </c>
      <c r="AH20" s="29">
        <f>ROUND(AF20 + AG20, 2)</f>
        <v/>
      </c>
      <c r="AI20" s="29">
        <f>Saldos_Capital_Mensual!O20</f>
        <v/>
      </c>
      <c r="AJ20" s="29">
        <f>Saldos_Intereses_Mensual!O20</f>
        <v/>
      </c>
      <c r="AK20" s="29">
        <f>ROUND(AI20 + AJ20, 2)</f>
        <v/>
      </c>
      <c r="AL20" s="29">
        <f>Saldo_Residual_Activo!O20</f>
        <v/>
      </c>
      <c r="AM20" s="29">
        <f>ROUND(AK20 + AL20, 2)</f>
        <v/>
      </c>
      <c r="AN20" s="29">
        <f>Saldos_Capital_Mensual!P20</f>
        <v/>
      </c>
      <c r="AO20" s="29">
        <f>Saldos_Intereses_Mensual!P20</f>
        <v/>
      </c>
      <c r="AP20" s="29">
        <f>ROUND(AN20 + AO20, 2)</f>
        <v/>
      </c>
      <c r="AQ20" s="29">
        <f>Saldo_Residual_Activo!P20</f>
        <v/>
      </c>
      <c r="AR20" s="29">
        <f>ROUND(AP20 + AQ20, 2)</f>
        <v/>
      </c>
      <c r="AS20" s="29">
        <f>Saldos_Capital_Mensual!Q20</f>
        <v/>
      </c>
      <c r="AT20" s="29">
        <f>Saldos_Intereses_Mensual!Q20</f>
        <v/>
      </c>
      <c r="AU20" s="29">
        <f>ROUND(AS20 + AT20, 2)</f>
        <v/>
      </c>
      <c r="AV20" s="29">
        <f>Saldo_Residual_Activo!Q20</f>
        <v/>
      </c>
      <c r="AW20" s="29">
        <f>ROUND(AU20 + AV20, 2)</f>
        <v/>
      </c>
      <c r="AX20" s="29">
        <f>Saldos_Capital_Mensual!R20</f>
        <v/>
      </c>
      <c r="AY20" s="29">
        <f>Saldos_Intereses_Mensual!R20</f>
        <v/>
      </c>
      <c r="AZ20" s="29">
        <f>ROUND(AX20 + AY20, 2)</f>
        <v/>
      </c>
      <c r="BA20" s="29">
        <f>Saldo_Residual_Activo!R20</f>
        <v/>
      </c>
      <c r="BB20" s="29">
        <f>ROUND(AZ20 + BA20, 2)</f>
        <v/>
      </c>
      <c r="BC20" s="29">
        <f>Saldos_Capital_Mensual!S20</f>
        <v/>
      </c>
      <c r="BD20" s="29">
        <f>Saldos_Intereses_Mensual!S20</f>
        <v/>
      </c>
      <c r="BE20" s="29">
        <f>ROUND(BC20 + BD20, 2)</f>
        <v/>
      </c>
      <c r="BF20" s="29">
        <f>Saldo_Residual_Activo!S20</f>
        <v/>
      </c>
      <c r="BG20" s="29">
        <f>ROUND(BE20 + BF20, 2)</f>
        <v/>
      </c>
      <c r="BH20" s="29">
        <f>Saldos_Capital_Mensual!T20</f>
        <v/>
      </c>
      <c r="BI20" s="29">
        <f>Saldos_Intereses_Mensual!T20</f>
        <v/>
      </c>
      <c r="BJ20" s="29">
        <f>ROUND(BH20 + BI20, 2)</f>
        <v/>
      </c>
      <c r="BK20" s="29">
        <f>Saldo_Residual_Activo!T20</f>
        <v/>
      </c>
      <c r="BL20" s="29">
        <f>ROUND(BJ20 + BK20, 2)</f>
        <v/>
      </c>
    </row>
    <row r="21">
      <c r="A21" s="20" t="inlineStr">
        <is>
          <t>0527-0003</t>
        </is>
      </c>
      <c r="B21" s="21" t="inlineStr">
        <is>
          <t>Comercilizadora e Importadora Nabega Sa de Cv</t>
        </is>
      </c>
      <c r="C21" s="21" t="inlineStr">
        <is>
          <t>RAM 700 Big Horn CVT</t>
        </is>
      </c>
      <c r="D21" s="22" t="n">
        <v>36</v>
      </c>
      <c r="E21" s="23">
        <f>Saldos_Capital_Mensual!I21</f>
        <v/>
      </c>
      <c r="F21" s="23">
        <f>Saldos_Intereses_Mensual!I21</f>
        <v/>
      </c>
      <c r="G21" s="23">
        <f>ROUND(E21 + F21, 2)</f>
        <v/>
      </c>
      <c r="H21" s="23">
        <f>Saldo_Residual_Activo!I21</f>
        <v/>
      </c>
      <c r="I21" s="23">
        <f>ROUND(G21 + H21, 2)</f>
        <v/>
      </c>
      <c r="J21" s="23">
        <f>Saldos_Capital_Mensual!J21</f>
        <v/>
      </c>
      <c r="K21" s="23">
        <f>Saldos_Intereses_Mensual!J21</f>
        <v/>
      </c>
      <c r="L21" s="23">
        <f>ROUND(J21 + K21, 2)</f>
        <v/>
      </c>
      <c r="M21" s="23">
        <f>Saldo_Residual_Activo!J21</f>
        <v/>
      </c>
      <c r="N21" s="23">
        <f>ROUND(L21 + M21, 2)</f>
        <v/>
      </c>
      <c r="O21" s="23">
        <f>Saldos_Capital_Mensual!K21</f>
        <v/>
      </c>
      <c r="P21" s="23">
        <f>Saldos_Intereses_Mensual!K21</f>
        <v/>
      </c>
      <c r="Q21" s="23">
        <f>ROUND(O21 + P21, 2)</f>
        <v/>
      </c>
      <c r="R21" s="23">
        <f>Saldo_Residual_Activo!K21</f>
        <v/>
      </c>
      <c r="S21" s="23">
        <f>ROUND(Q21 + R21, 2)</f>
        <v/>
      </c>
      <c r="T21" s="23">
        <f>Saldos_Capital_Mensual!L21</f>
        <v/>
      </c>
      <c r="U21" s="23">
        <f>Saldos_Intereses_Mensual!L21</f>
        <v/>
      </c>
      <c r="V21" s="23">
        <f>ROUND(T21 + U21, 2)</f>
        <v/>
      </c>
      <c r="W21" s="23">
        <f>Saldo_Residual_Activo!L21</f>
        <v/>
      </c>
      <c r="X21" s="23">
        <f>ROUND(V21 + W21, 2)</f>
        <v/>
      </c>
      <c r="Y21" s="23">
        <f>Saldos_Capital_Mensual!M21</f>
        <v/>
      </c>
      <c r="Z21" s="23">
        <f>Saldos_Intereses_Mensual!M21</f>
        <v/>
      </c>
      <c r="AA21" s="23">
        <f>ROUND(Y21 + Z21, 2)</f>
        <v/>
      </c>
      <c r="AB21" s="23">
        <f>Saldo_Residual_Activo!M21</f>
        <v/>
      </c>
      <c r="AC21" s="23">
        <f>ROUND(AA21 + AB21, 2)</f>
        <v/>
      </c>
      <c r="AD21" s="23">
        <f>Saldos_Capital_Mensual!N21</f>
        <v/>
      </c>
      <c r="AE21" s="23">
        <f>Saldos_Intereses_Mensual!N21</f>
        <v/>
      </c>
      <c r="AF21" s="23">
        <f>ROUND(AD21 + AE21, 2)</f>
        <v/>
      </c>
      <c r="AG21" s="23">
        <f>Saldo_Residual_Activo!N21</f>
        <v/>
      </c>
      <c r="AH21" s="23">
        <f>ROUND(AF21 + AG21, 2)</f>
        <v/>
      </c>
      <c r="AI21" s="23">
        <f>Saldos_Capital_Mensual!O21</f>
        <v/>
      </c>
      <c r="AJ21" s="23">
        <f>Saldos_Intereses_Mensual!O21</f>
        <v/>
      </c>
      <c r="AK21" s="23">
        <f>ROUND(AI21 + AJ21, 2)</f>
        <v/>
      </c>
      <c r="AL21" s="23">
        <f>Saldo_Residual_Activo!O21</f>
        <v/>
      </c>
      <c r="AM21" s="23">
        <f>ROUND(AK21 + AL21, 2)</f>
        <v/>
      </c>
      <c r="AN21" s="23">
        <f>Saldos_Capital_Mensual!P21</f>
        <v/>
      </c>
      <c r="AO21" s="23">
        <f>Saldos_Intereses_Mensual!P21</f>
        <v/>
      </c>
      <c r="AP21" s="23">
        <f>ROUND(AN21 + AO21, 2)</f>
        <v/>
      </c>
      <c r="AQ21" s="23">
        <f>Saldo_Residual_Activo!P21</f>
        <v/>
      </c>
      <c r="AR21" s="23">
        <f>ROUND(AP21 + AQ21, 2)</f>
        <v/>
      </c>
      <c r="AS21" s="23">
        <f>Saldos_Capital_Mensual!Q21</f>
        <v/>
      </c>
      <c r="AT21" s="23">
        <f>Saldos_Intereses_Mensual!Q21</f>
        <v/>
      </c>
      <c r="AU21" s="23">
        <f>ROUND(AS21 + AT21, 2)</f>
        <v/>
      </c>
      <c r="AV21" s="23">
        <f>Saldo_Residual_Activo!Q21</f>
        <v/>
      </c>
      <c r="AW21" s="23">
        <f>ROUND(AU21 + AV21, 2)</f>
        <v/>
      </c>
      <c r="AX21" s="23">
        <f>Saldos_Capital_Mensual!R21</f>
        <v/>
      </c>
      <c r="AY21" s="23">
        <f>Saldos_Intereses_Mensual!R21</f>
        <v/>
      </c>
      <c r="AZ21" s="23">
        <f>ROUND(AX21 + AY21, 2)</f>
        <v/>
      </c>
      <c r="BA21" s="23">
        <f>Saldo_Residual_Activo!R21</f>
        <v/>
      </c>
      <c r="BB21" s="23">
        <f>ROUND(AZ21 + BA21, 2)</f>
        <v/>
      </c>
      <c r="BC21" s="23">
        <f>Saldos_Capital_Mensual!S21</f>
        <v/>
      </c>
      <c r="BD21" s="23">
        <f>Saldos_Intereses_Mensual!S21</f>
        <v/>
      </c>
      <c r="BE21" s="23">
        <f>ROUND(BC21 + BD21, 2)</f>
        <v/>
      </c>
      <c r="BF21" s="23">
        <f>Saldo_Residual_Activo!S21</f>
        <v/>
      </c>
      <c r="BG21" s="23">
        <f>ROUND(BE21 + BF21, 2)</f>
        <v/>
      </c>
      <c r="BH21" s="23">
        <f>Saldos_Capital_Mensual!T21</f>
        <v/>
      </c>
      <c r="BI21" s="23">
        <f>Saldos_Intereses_Mensual!T21</f>
        <v/>
      </c>
      <c r="BJ21" s="23">
        <f>ROUND(BH21 + BI21, 2)</f>
        <v/>
      </c>
      <c r="BK21" s="23">
        <f>Saldo_Residual_Activo!T21</f>
        <v/>
      </c>
      <c r="BL21" s="23">
        <f>ROUND(BJ21 + BK21, 2)</f>
        <v/>
      </c>
    </row>
    <row r="22">
      <c r="A22" s="26" t="inlineStr">
        <is>
          <t>0527-0004</t>
        </is>
      </c>
      <c r="B22" s="27" t="inlineStr">
        <is>
          <t>Comercilizadora e Importadora Nabega Sa de Cv</t>
        </is>
      </c>
      <c r="C22" s="27" t="inlineStr">
        <is>
          <t>Gmc Denali</t>
        </is>
      </c>
      <c r="D22" s="28" t="n">
        <v>48</v>
      </c>
      <c r="E22" s="29">
        <f>Saldos_Capital_Mensual!I22</f>
        <v/>
      </c>
      <c r="F22" s="29">
        <f>Saldos_Intereses_Mensual!I22</f>
        <v/>
      </c>
      <c r="G22" s="29">
        <f>ROUND(E22 + F22, 2)</f>
        <v/>
      </c>
      <c r="H22" s="29">
        <f>Saldo_Residual_Activo!I22</f>
        <v/>
      </c>
      <c r="I22" s="29">
        <f>ROUND(G22 + H22, 2)</f>
        <v/>
      </c>
      <c r="J22" s="29">
        <f>Saldos_Capital_Mensual!J22</f>
        <v/>
      </c>
      <c r="K22" s="29">
        <f>Saldos_Intereses_Mensual!J22</f>
        <v/>
      </c>
      <c r="L22" s="29">
        <f>ROUND(J22 + K22, 2)</f>
        <v/>
      </c>
      <c r="M22" s="29">
        <f>Saldo_Residual_Activo!J22</f>
        <v/>
      </c>
      <c r="N22" s="29">
        <f>ROUND(L22 + M22, 2)</f>
        <v/>
      </c>
      <c r="O22" s="29">
        <f>Saldos_Capital_Mensual!K22</f>
        <v/>
      </c>
      <c r="P22" s="29">
        <f>Saldos_Intereses_Mensual!K22</f>
        <v/>
      </c>
      <c r="Q22" s="29">
        <f>ROUND(O22 + P22, 2)</f>
        <v/>
      </c>
      <c r="R22" s="29">
        <f>Saldo_Residual_Activo!K22</f>
        <v/>
      </c>
      <c r="S22" s="29">
        <f>ROUND(Q22 + R22, 2)</f>
        <v/>
      </c>
      <c r="T22" s="29">
        <f>Saldos_Capital_Mensual!L22</f>
        <v/>
      </c>
      <c r="U22" s="29">
        <f>Saldos_Intereses_Mensual!L22</f>
        <v/>
      </c>
      <c r="V22" s="29">
        <f>ROUND(T22 + U22, 2)</f>
        <v/>
      </c>
      <c r="W22" s="29">
        <f>Saldo_Residual_Activo!L22</f>
        <v/>
      </c>
      <c r="X22" s="29">
        <f>ROUND(V22 + W22, 2)</f>
        <v/>
      </c>
      <c r="Y22" s="29">
        <f>Saldos_Capital_Mensual!M22</f>
        <v/>
      </c>
      <c r="Z22" s="29">
        <f>Saldos_Intereses_Mensual!M22</f>
        <v/>
      </c>
      <c r="AA22" s="29">
        <f>ROUND(Y22 + Z22, 2)</f>
        <v/>
      </c>
      <c r="AB22" s="29">
        <f>Saldo_Residual_Activo!M22</f>
        <v/>
      </c>
      <c r="AC22" s="29">
        <f>ROUND(AA22 + AB22, 2)</f>
        <v/>
      </c>
      <c r="AD22" s="29">
        <f>Saldos_Capital_Mensual!N22</f>
        <v/>
      </c>
      <c r="AE22" s="29">
        <f>Saldos_Intereses_Mensual!N22</f>
        <v/>
      </c>
      <c r="AF22" s="29">
        <f>ROUND(AD22 + AE22, 2)</f>
        <v/>
      </c>
      <c r="AG22" s="29">
        <f>Saldo_Residual_Activo!N22</f>
        <v/>
      </c>
      <c r="AH22" s="29">
        <f>ROUND(AF22 + AG22, 2)</f>
        <v/>
      </c>
      <c r="AI22" s="29">
        <f>Saldos_Capital_Mensual!O22</f>
        <v/>
      </c>
      <c r="AJ22" s="29">
        <f>Saldos_Intereses_Mensual!O22</f>
        <v/>
      </c>
      <c r="AK22" s="29">
        <f>ROUND(AI22 + AJ22, 2)</f>
        <v/>
      </c>
      <c r="AL22" s="29">
        <f>Saldo_Residual_Activo!O22</f>
        <v/>
      </c>
      <c r="AM22" s="29">
        <f>ROUND(AK22 + AL22, 2)</f>
        <v/>
      </c>
      <c r="AN22" s="29">
        <f>Saldos_Capital_Mensual!P22</f>
        <v/>
      </c>
      <c r="AO22" s="29">
        <f>Saldos_Intereses_Mensual!P22</f>
        <v/>
      </c>
      <c r="AP22" s="29">
        <f>ROUND(AN22 + AO22, 2)</f>
        <v/>
      </c>
      <c r="AQ22" s="29">
        <f>Saldo_Residual_Activo!P22</f>
        <v/>
      </c>
      <c r="AR22" s="29">
        <f>ROUND(AP22 + AQ22, 2)</f>
        <v/>
      </c>
      <c r="AS22" s="29">
        <f>Saldos_Capital_Mensual!Q22</f>
        <v/>
      </c>
      <c r="AT22" s="29">
        <f>Saldos_Intereses_Mensual!Q22</f>
        <v/>
      </c>
      <c r="AU22" s="29">
        <f>ROUND(AS22 + AT22, 2)</f>
        <v/>
      </c>
      <c r="AV22" s="29">
        <f>Saldo_Residual_Activo!Q22</f>
        <v/>
      </c>
      <c r="AW22" s="29">
        <f>ROUND(AU22 + AV22, 2)</f>
        <v/>
      </c>
      <c r="AX22" s="29">
        <f>Saldos_Capital_Mensual!R22</f>
        <v/>
      </c>
      <c r="AY22" s="29">
        <f>Saldos_Intereses_Mensual!R22</f>
        <v/>
      </c>
      <c r="AZ22" s="29">
        <f>ROUND(AX22 + AY22, 2)</f>
        <v/>
      </c>
      <c r="BA22" s="29">
        <f>Saldo_Residual_Activo!R22</f>
        <v/>
      </c>
      <c r="BB22" s="29">
        <f>ROUND(AZ22 + BA22, 2)</f>
        <v/>
      </c>
      <c r="BC22" s="29">
        <f>Saldos_Capital_Mensual!S22</f>
        <v/>
      </c>
      <c r="BD22" s="29">
        <f>Saldos_Intereses_Mensual!S22</f>
        <v/>
      </c>
      <c r="BE22" s="29">
        <f>ROUND(BC22 + BD22, 2)</f>
        <v/>
      </c>
      <c r="BF22" s="29">
        <f>Saldo_Residual_Activo!S22</f>
        <v/>
      </c>
      <c r="BG22" s="29">
        <f>ROUND(BE22 + BF22, 2)</f>
        <v/>
      </c>
      <c r="BH22" s="29">
        <f>Saldos_Capital_Mensual!T22</f>
        <v/>
      </c>
      <c r="BI22" s="29">
        <f>Saldos_Intereses_Mensual!T22</f>
        <v/>
      </c>
      <c r="BJ22" s="29">
        <f>ROUND(BH22 + BI22, 2)</f>
        <v/>
      </c>
      <c r="BK22" s="29">
        <f>Saldo_Residual_Activo!T22</f>
        <v/>
      </c>
      <c r="BL22" s="29">
        <f>ROUND(BJ22 + BK22, 2)</f>
        <v/>
      </c>
    </row>
    <row r="23">
      <c r="A23" s="20" t="inlineStr">
        <is>
          <t>0527-0005</t>
        </is>
      </c>
      <c r="B23" s="21" t="inlineStr">
        <is>
          <t>Comercilizadora e Importadora Nabega Sa de Cv</t>
        </is>
      </c>
      <c r="C23" s="21" t="inlineStr">
        <is>
          <t>Gle 450 Sport</t>
        </is>
      </c>
      <c r="D23" s="22" t="n">
        <v>36</v>
      </c>
      <c r="E23" s="23">
        <f>Saldos_Capital_Mensual!I23</f>
        <v/>
      </c>
      <c r="F23" s="23">
        <f>Saldos_Intereses_Mensual!I23</f>
        <v/>
      </c>
      <c r="G23" s="23">
        <f>ROUND(E23 + F23, 2)</f>
        <v/>
      </c>
      <c r="H23" s="23">
        <f>Saldo_Residual_Activo!I23</f>
        <v/>
      </c>
      <c r="I23" s="23">
        <f>ROUND(G23 + H23, 2)</f>
        <v/>
      </c>
      <c r="J23" s="23">
        <f>Saldos_Capital_Mensual!J23</f>
        <v/>
      </c>
      <c r="K23" s="23">
        <f>Saldos_Intereses_Mensual!J23</f>
        <v/>
      </c>
      <c r="L23" s="23">
        <f>ROUND(J23 + K23, 2)</f>
        <v/>
      </c>
      <c r="M23" s="23">
        <f>Saldo_Residual_Activo!J23</f>
        <v/>
      </c>
      <c r="N23" s="23">
        <f>ROUND(L23 + M23, 2)</f>
        <v/>
      </c>
      <c r="O23" s="23">
        <f>Saldos_Capital_Mensual!K23</f>
        <v/>
      </c>
      <c r="P23" s="23">
        <f>Saldos_Intereses_Mensual!K23</f>
        <v/>
      </c>
      <c r="Q23" s="23">
        <f>ROUND(O23 + P23, 2)</f>
        <v/>
      </c>
      <c r="R23" s="23">
        <f>Saldo_Residual_Activo!K23</f>
        <v/>
      </c>
      <c r="S23" s="23">
        <f>ROUND(Q23 + R23, 2)</f>
        <v/>
      </c>
      <c r="T23" s="23">
        <f>Saldos_Capital_Mensual!L23</f>
        <v/>
      </c>
      <c r="U23" s="23">
        <f>Saldos_Intereses_Mensual!L23</f>
        <v/>
      </c>
      <c r="V23" s="23">
        <f>ROUND(T23 + U23, 2)</f>
        <v/>
      </c>
      <c r="W23" s="23">
        <f>Saldo_Residual_Activo!L23</f>
        <v/>
      </c>
      <c r="X23" s="23">
        <f>ROUND(V23 + W23, 2)</f>
        <v/>
      </c>
      <c r="Y23" s="23">
        <f>Saldos_Capital_Mensual!M23</f>
        <v/>
      </c>
      <c r="Z23" s="23">
        <f>Saldos_Intereses_Mensual!M23</f>
        <v/>
      </c>
      <c r="AA23" s="23">
        <f>ROUND(Y23 + Z23, 2)</f>
        <v/>
      </c>
      <c r="AB23" s="23">
        <f>Saldo_Residual_Activo!M23</f>
        <v/>
      </c>
      <c r="AC23" s="23">
        <f>ROUND(AA23 + AB23, 2)</f>
        <v/>
      </c>
      <c r="AD23" s="23">
        <f>Saldos_Capital_Mensual!N23</f>
        <v/>
      </c>
      <c r="AE23" s="23">
        <f>Saldos_Intereses_Mensual!N23</f>
        <v/>
      </c>
      <c r="AF23" s="23">
        <f>ROUND(AD23 + AE23, 2)</f>
        <v/>
      </c>
      <c r="AG23" s="23">
        <f>Saldo_Residual_Activo!N23</f>
        <v/>
      </c>
      <c r="AH23" s="23">
        <f>ROUND(AF23 + AG23, 2)</f>
        <v/>
      </c>
      <c r="AI23" s="23">
        <f>Saldos_Capital_Mensual!O23</f>
        <v/>
      </c>
      <c r="AJ23" s="23">
        <f>Saldos_Intereses_Mensual!O23</f>
        <v/>
      </c>
      <c r="AK23" s="23">
        <f>ROUND(AI23 + AJ23, 2)</f>
        <v/>
      </c>
      <c r="AL23" s="23">
        <f>Saldo_Residual_Activo!O23</f>
        <v/>
      </c>
      <c r="AM23" s="23">
        <f>ROUND(AK23 + AL23, 2)</f>
        <v/>
      </c>
      <c r="AN23" s="23">
        <f>Saldos_Capital_Mensual!P23</f>
        <v/>
      </c>
      <c r="AO23" s="23">
        <f>Saldos_Intereses_Mensual!P23</f>
        <v/>
      </c>
      <c r="AP23" s="23">
        <f>ROUND(AN23 + AO23, 2)</f>
        <v/>
      </c>
      <c r="AQ23" s="23">
        <f>Saldo_Residual_Activo!P23</f>
        <v/>
      </c>
      <c r="AR23" s="23">
        <f>ROUND(AP23 + AQ23, 2)</f>
        <v/>
      </c>
      <c r="AS23" s="23">
        <f>Saldos_Capital_Mensual!Q23</f>
        <v/>
      </c>
      <c r="AT23" s="23">
        <f>Saldos_Intereses_Mensual!Q23</f>
        <v/>
      </c>
      <c r="AU23" s="23">
        <f>ROUND(AS23 + AT23, 2)</f>
        <v/>
      </c>
      <c r="AV23" s="23">
        <f>Saldo_Residual_Activo!Q23</f>
        <v/>
      </c>
      <c r="AW23" s="23">
        <f>ROUND(AU23 + AV23, 2)</f>
        <v/>
      </c>
      <c r="AX23" s="23">
        <f>Saldos_Capital_Mensual!R23</f>
        <v/>
      </c>
      <c r="AY23" s="23">
        <f>Saldos_Intereses_Mensual!R23</f>
        <v/>
      </c>
      <c r="AZ23" s="23">
        <f>ROUND(AX23 + AY23, 2)</f>
        <v/>
      </c>
      <c r="BA23" s="23">
        <f>Saldo_Residual_Activo!R23</f>
        <v/>
      </c>
      <c r="BB23" s="23">
        <f>ROUND(AZ23 + BA23, 2)</f>
        <v/>
      </c>
      <c r="BC23" s="23">
        <f>Saldos_Capital_Mensual!S23</f>
        <v/>
      </c>
      <c r="BD23" s="23">
        <f>Saldos_Intereses_Mensual!S23</f>
        <v/>
      </c>
      <c r="BE23" s="23">
        <f>ROUND(BC23 + BD23, 2)</f>
        <v/>
      </c>
      <c r="BF23" s="23">
        <f>Saldo_Residual_Activo!S23</f>
        <v/>
      </c>
      <c r="BG23" s="23">
        <f>ROUND(BE23 + BF23, 2)</f>
        <v/>
      </c>
      <c r="BH23" s="23">
        <f>Saldos_Capital_Mensual!T23</f>
        <v/>
      </c>
      <c r="BI23" s="23">
        <f>Saldos_Intereses_Mensual!T23</f>
        <v/>
      </c>
      <c r="BJ23" s="23">
        <f>ROUND(BH23 + BI23, 2)</f>
        <v/>
      </c>
      <c r="BK23" s="23">
        <f>Saldo_Residual_Activo!T23</f>
        <v/>
      </c>
      <c r="BL23" s="23">
        <f>ROUND(BJ23 + BK23, 2)</f>
        <v/>
      </c>
    </row>
    <row r="24">
      <c r="A24" s="26" t="inlineStr">
        <is>
          <t>0531-0002</t>
        </is>
      </c>
      <c r="B24" s="27" t="inlineStr">
        <is>
          <t>Otcada Mex, S. de R.L. de C.V.</t>
        </is>
      </c>
      <c r="C24" s="27" t="inlineStr">
        <is>
          <t>Grand Cherokee Limited</t>
        </is>
      </c>
      <c r="D24" s="28" t="n">
        <v>48</v>
      </c>
      <c r="E24" s="29">
        <f>Saldos_Capital_Mensual!I24</f>
        <v/>
      </c>
      <c r="F24" s="29">
        <f>Saldos_Intereses_Mensual!I24</f>
        <v/>
      </c>
      <c r="G24" s="29">
        <f>ROUND(E24 + F24, 2)</f>
        <v/>
      </c>
      <c r="H24" s="29">
        <f>Saldo_Residual_Activo!I24</f>
        <v/>
      </c>
      <c r="I24" s="29">
        <f>ROUND(G24 + H24, 2)</f>
        <v/>
      </c>
      <c r="J24" s="29">
        <f>Saldos_Capital_Mensual!J24</f>
        <v/>
      </c>
      <c r="K24" s="29">
        <f>Saldos_Intereses_Mensual!J24</f>
        <v/>
      </c>
      <c r="L24" s="29">
        <f>ROUND(J24 + K24, 2)</f>
        <v/>
      </c>
      <c r="M24" s="29">
        <f>Saldo_Residual_Activo!J24</f>
        <v/>
      </c>
      <c r="N24" s="29">
        <f>ROUND(L24 + M24, 2)</f>
        <v/>
      </c>
      <c r="O24" s="29">
        <f>Saldos_Capital_Mensual!K24</f>
        <v/>
      </c>
      <c r="P24" s="29">
        <f>Saldos_Intereses_Mensual!K24</f>
        <v/>
      </c>
      <c r="Q24" s="29">
        <f>ROUND(O24 + P24, 2)</f>
        <v/>
      </c>
      <c r="R24" s="29">
        <f>Saldo_Residual_Activo!K24</f>
        <v/>
      </c>
      <c r="S24" s="29">
        <f>ROUND(Q24 + R24, 2)</f>
        <v/>
      </c>
      <c r="T24" s="29">
        <f>Saldos_Capital_Mensual!L24</f>
        <v/>
      </c>
      <c r="U24" s="29">
        <f>Saldos_Intereses_Mensual!L24</f>
        <v/>
      </c>
      <c r="V24" s="29">
        <f>ROUND(T24 + U24, 2)</f>
        <v/>
      </c>
      <c r="W24" s="29">
        <f>Saldo_Residual_Activo!L24</f>
        <v/>
      </c>
      <c r="X24" s="29">
        <f>ROUND(V24 + W24, 2)</f>
        <v/>
      </c>
      <c r="Y24" s="29">
        <f>Saldos_Capital_Mensual!M24</f>
        <v/>
      </c>
      <c r="Z24" s="29">
        <f>Saldos_Intereses_Mensual!M24</f>
        <v/>
      </c>
      <c r="AA24" s="29">
        <f>ROUND(Y24 + Z24, 2)</f>
        <v/>
      </c>
      <c r="AB24" s="29">
        <f>Saldo_Residual_Activo!M24</f>
        <v/>
      </c>
      <c r="AC24" s="29">
        <f>ROUND(AA24 + AB24, 2)</f>
        <v/>
      </c>
      <c r="AD24" s="29">
        <f>Saldos_Capital_Mensual!N24</f>
        <v/>
      </c>
      <c r="AE24" s="29">
        <f>Saldos_Intereses_Mensual!N24</f>
        <v/>
      </c>
      <c r="AF24" s="29">
        <f>ROUND(AD24 + AE24, 2)</f>
        <v/>
      </c>
      <c r="AG24" s="29">
        <f>Saldo_Residual_Activo!N24</f>
        <v/>
      </c>
      <c r="AH24" s="29">
        <f>ROUND(AF24 + AG24, 2)</f>
        <v/>
      </c>
      <c r="AI24" s="29">
        <f>Saldos_Capital_Mensual!O24</f>
        <v/>
      </c>
      <c r="AJ24" s="29">
        <f>Saldos_Intereses_Mensual!O24</f>
        <v/>
      </c>
      <c r="AK24" s="29">
        <f>ROUND(AI24 + AJ24, 2)</f>
        <v/>
      </c>
      <c r="AL24" s="29">
        <f>Saldo_Residual_Activo!O24</f>
        <v/>
      </c>
      <c r="AM24" s="29">
        <f>ROUND(AK24 + AL24, 2)</f>
        <v/>
      </c>
      <c r="AN24" s="29">
        <f>Saldos_Capital_Mensual!P24</f>
        <v/>
      </c>
      <c r="AO24" s="29">
        <f>Saldos_Intereses_Mensual!P24</f>
        <v/>
      </c>
      <c r="AP24" s="29">
        <f>ROUND(AN24 + AO24, 2)</f>
        <v/>
      </c>
      <c r="AQ24" s="29">
        <f>Saldo_Residual_Activo!P24</f>
        <v/>
      </c>
      <c r="AR24" s="29">
        <f>ROUND(AP24 + AQ24, 2)</f>
        <v/>
      </c>
      <c r="AS24" s="29">
        <f>Saldos_Capital_Mensual!Q24</f>
        <v/>
      </c>
      <c r="AT24" s="29">
        <f>Saldos_Intereses_Mensual!Q24</f>
        <v/>
      </c>
      <c r="AU24" s="29">
        <f>ROUND(AS24 + AT24, 2)</f>
        <v/>
      </c>
      <c r="AV24" s="29">
        <f>Saldo_Residual_Activo!Q24</f>
        <v/>
      </c>
      <c r="AW24" s="29">
        <f>ROUND(AU24 + AV24, 2)</f>
        <v/>
      </c>
      <c r="AX24" s="29">
        <f>Saldos_Capital_Mensual!R24</f>
        <v/>
      </c>
      <c r="AY24" s="29">
        <f>Saldos_Intereses_Mensual!R24</f>
        <v/>
      </c>
      <c r="AZ24" s="29">
        <f>ROUND(AX24 + AY24, 2)</f>
        <v/>
      </c>
      <c r="BA24" s="29">
        <f>Saldo_Residual_Activo!R24</f>
        <v/>
      </c>
      <c r="BB24" s="29">
        <f>ROUND(AZ24 + BA24, 2)</f>
        <v/>
      </c>
      <c r="BC24" s="29">
        <f>Saldos_Capital_Mensual!S24</f>
        <v/>
      </c>
      <c r="BD24" s="29">
        <f>Saldos_Intereses_Mensual!S24</f>
        <v/>
      </c>
      <c r="BE24" s="29">
        <f>ROUND(BC24 + BD24, 2)</f>
        <v/>
      </c>
      <c r="BF24" s="29">
        <f>Saldo_Residual_Activo!S24</f>
        <v/>
      </c>
      <c r="BG24" s="29">
        <f>ROUND(BE24 + BF24, 2)</f>
        <v/>
      </c>
      <c r="BH24" s="29">
        <f>Saldos_Capital_Mensual!T24</f>
        <v/>
      </c>
      <c r="BI24" s="29">
        <f>Saldos_Intereses_Mensual!T24</f>
        <v/>
      </c>
      <c r="BJ24" s="29">
        <f>ROUND(BH24 + BI24, 2)</f>
        <v/>
      </c>
      <c r="BK24" s="29">
        <f>Saldo_Residual_Activo!T24</f>
        <v/>
      </c>
      <c r="BL24" s="29">
        <f>ROUND(BJ24 + BK24, 2)</f>
        <v/>
      </c>
    </row>
    <row r="25">
      <c r="A25" s="20" t="inlineStr">
        <is>
          <t>0546-0007</t>
        </is>
      </c>
      <c r="B25" s="21" t="inlineStr">
        <is>
          <t>Norma Elena Bonilla Lupio</t>
        </is>
      </c>
      <c r="C25" s="21" t="inlineStr">
        <is>
          <t>GLC 350 E 4MATIC</t>
        </is>
      </c>
      <c r="D25" s="22" t="n">
        <v>24</v>
      </c>
      <c r="E25" s="23">
        <f>Saldos_Capital_Mensual!I25</f>
        <v/>
      </c>
      <c r="F25" s="23">
        <f>Saldos_Intereses_Mensual!I25</f>
        <v/>
      </c>
      <c r="G25" s="23">
        <f>ROUND(E25 + F25, 2)</f>
        <v/>
      </c>
      <c r="H25" s="23">
        <f>Saldo_Residual_Activo!I25</f>
        <v/>
      </c>
      <c r="I25" s="23">
        <f>ROUND(G25 + H25, 2)</f>
        <v/>
      </c>
      <c r="J25" s="23">
        <f>Saldos_Capital_Mensual!J25</f>
        <v/>
      </c>
      <c r="K25" s="23">
        <f>Saldos_Intereses_Mensual!J25</f>
        <v/>
      </c>
      <c r="L25" s="23">
        <f>ROUND(J25 + K25, 2)</f>
        <v/>
      </c>
      <c r="M25" s="23">
        <f>Saldo_Residual_Activo!J25</f>
        <v/>
      </c>
      <c r="N25" s="23">
        <f>ROUND(L25 + M25, 2)</f>
        <v/>
      </c>
      <c r="O25" s="23">
        <f>Saldos_Capital_Mensual!K25</f>
        <v/>
      </c>
      <c r="P25" s="23">
        <f>Saldos_Intereses_Mensual!K25</f>
        <v/>
      </c>
      <c r="Q25" s="23">
        <f>ROUND(O25 + P25, 2)</f>
        <v/>
      </c>
      <c r="R25" s="23">
        <f>Saldo_Residual_Activo!K25</f>
        <v/>
      </c>
      <c r="S25" s="23">
        <f>ROUND(Q25 + R25, 2)</f>
        <v/>
      </c>
      <c r="T25" s="23">
        <f>Saldos_Capital_Mensual!L25</f>
        <v/>
      </c>
      <c r="U25" s="23">
        <f>Saldos_Intereses_Mensual!L25</f>
        <v/>
      </c>
      <c r="V25" s="23">
        <f>ROUND(T25 + U25, 2)</f>
        <v/>
      </c>
      <c r="W25" s="23">
        <f>Saldo_Residual_Activo!L25</f>
        <v/>
      </c>
      <c r="X25" s="23">
        <f>ROUND(V25 + W25, 2)</f>
        <v/>
      </c>
      <c r="Y25" s="23">
        <f>Saldos_Capital_Mensual!M25</f>
        <v/>
      </c>
      <c r="Z25" s="23">
        <f>Saldos_Intereses_Mensual!M25</f>
        <v/>
      </c>
      <c r="AA25" s="23">
        <f>ROUND(Y25 + Z25, 2)</f>
        <v/>
      </c>
      <c r="AB25" s="23">
        <f>Saldo_Residual_Activo!M25</f>
        <v/>
      </c>
      <c r="AC25" s="23">
        <f>ROUND(AA25 + AB25, 2)</f>
        <v/>
      </c>
      <c r="AD25" s="23">
        <f>Saldos_Capital_Mensual!N25</f>
        <v/>
      </c>
      <c r="AE25" s="23">
        <f>Saldos_Intereses_Mensual!N25</f>
        <v/>
      </c>
      <c r="AF25" s="23">
        <f>ROUND(AD25 + AE25, 2)</f>
        <v/>
      </c>
      <c r="AG25" s="23">
        <f>Saldo_Residual_Activo!N25</f>
        <v/>
      </c>
      <c r="AH25" s="23">
        <f>ROUND(AF25 + AG25, 2)</f>
        <v/>
      </c>
      <c r="AI25" s="23">
        <f>Saldos_Capital_Mensual!O25</f>
        <v/>
      </c>
      <c r="AJ25" s="23">
        <f>Saldos_Intereses_Mensual!O25</f>
        <v/>
      </c>
      <c r="AK25" s="23">
        <f>ROUND(AI25 + AJ25, 2)</f>
        <v/>
      </c>
      <c r="AL25" s="23">
        <f>Saldo_Residual_Activo!O25</f>
        <v/>
      </c>
      <c r="AM25" s="23">
        <f>ROUND(AK25 + AL25, 2)</f>
        <v/>
      </c>
      <c r="AN25" s="23">
        <f>Saldos_Capital_Mensual!P25</f>
        <v/>
      </c>
      <c r="AO25" s="23">
        <f>Saldos_Intereses_Mensual!P25</f>
        <v/>
      </c>
      <c r="AP25" s="23">
        <f>ROUND(AN25 + AO25, 2)</f>
        <v/>
      </c>
      <c r="AQ25" s="23">
        <f>Saldo_Residual_Activo!P25</f>
        <v/>
      </c>
      <c r="AR25" s="23">
        <f>ROUND(AP25 + AQ25, 2)</f>
        <v/>
      </c>
      <c r="AS25" s="23">
        <f>Saldos_Capital_Mensual!Q25</f>
        <v/>
      </c>
      <c r="AT25" s="23">
        <f>Saldos_Intereses_Mensual!Q25</f>
        <v/>
      </c>
      <c r="AU25" s="23">
        <f>ROUND(AS25 + AT25, 2)</f>
        <v/>
      </c>
      <c r="AV25" s="23">
        <f>Saldo_Residual_Activo!Q25</f>
        <v/>
      </c>
      <c r="AW25" s="23">
        <f>ROUND(AU25 + AV25, 2)</f>
        <v/>
      </c>
      <c r="AX25" s="23">
        <f>Saldos_Capital_Mensual!R25</f>
        <v/>
      </c>
      <c r="AY25" s="23">
        <f>Saldos_Intereses_Mensual!R25</f>
        <v/>
      </c>
      <c r="AZ25" s="23">
        <f>ROUND(AX25 + AY25, 2)</f>
        <v/>
      </c>
      <c r="BA25" s="23">
        <f>Saldo_Residual_Activo!R25</f>
        <v/>
      </c>
      <c r="BB25" s="23">
        <f>ROUND(AZ25 + BA25, 2)</f>
        <v/>
      </c>
      <c r="BC25" s="23">
        <f>Saldos_Capital_Mensual!S25</f>
        <v/>
      </c>
      <c r="BD25" s="23">
        <f>Saldos_Intereses_Mensual!S25</f>
        <v/>
      </c>
      <c r="BE25" s="23">
        <f>ROUND(BC25 + BD25, 2)</f>
        <v/>
      </c>
      <c r="BF25" s="23">
        <f>Saldo_Residual_Activo!S25</f>
        <v/>
      </c>
      <c r="BG25" s="23">
        <f>ROUND(BE25 + BF25, 2)</f>
        <v/>
      </c>
      <c r="BH25" s="23">
        <f>Saldos_Capital_Mensual!T25</f>
        <v/>
      </c>
      <c r="BI25" s="23">
        <f>Saldos_Intereses_Mensual!T25</f>
        <v/>
      </c>
      <c r="BJ25" s="23">
        <f>ROUND(BH25 + BI25, 2)</f>
        <v/>
      </c>
      <c r="BK25" s="23">
        <f>Saldo_Residual_Activo!T25</f>
        <v/>
      </c>
      <c r="BL25" s="23">
        <f>ROUND(BJ25 + BK25, 2)</f>
        <v/>
      </c>
    </row>
    <row r="26">
      <c r="A26" s="26" t="inlineStr">
        <is>
          <t>0546-0008</t>
        </is>
      </c>
      <c r="B26" s="27" t="inlineStr">
        <is>
          <t>Norma Elena Bonilla Lupio</t>
        </is>
      </c>
      <c r="C26" s="27" t="inlineStr">
        <is>
          <t>JT MOJAVE 4X4</t>
        </is>
      </c>
      <c r="D26" s="28" t="n">
        <v>24</v>
      </c>
      <c r="E26" s="29">
        <f>Saldos_Capital_Mensual!I26</f>
        <v/>
      </c>
      <c r="F26" s="29">
        <f>Saldos_Intereses_Mensual!I26</f>
        <v/>
      </c>
      <c r="G26" s="29">
        <f>ROUND(E26 + F26, 2)</f>
        <v/>
      </c>
      <c r="H26" s="29">
        <f>Saldo_Residual_Activo!I26</f>
        <v/>
      </c>
      <c r="I26" s="29">
        <f>ROUND(G26 + H26, 2)</f>
        <v/>
      </c>
      <c r="J26" s="29">
        <f>Saldos_Capital_Mensual!J26</f>
        <v/>
      </c>
      <c r="K26" s="29">
        <f>Saldos_Intereses_Mensual!J26</f>
        <v/>
      </c>
      <c r="L26" s="29">
        <f>ROUND(J26 + K26, 2)</f>
        <v/>
      </c>
      <c r="M26" s="29">
        <f>Saldo_Residual_Activo!J26</f>
        <v/>
      </c>
      <c r="N26" s="29">
        <f>ROUND(L26 + M26, 2)</f>
        <v/>
      </c>
      <c r="O26" s="29">
        <f>Saldos_Capital_Mensual!K26</f>
        <v/>
      </c>
      <c r="P26" s="29">
        <f>Saldos_Intereses_Mensual!K26</f>
        <v/>
      </c>
      <c r="Q26" s="29">
        <f>ROUND(O26 + P26, 2)</f>
        <v/>
      </c>
      <c r="R26" s="29">
        <f>Saldo_Residual_Activo!K26</f>
        <v/>
      </c>
      <c r="S26" s="29">
        <f>ROUND(Q26 + R26, 2)</f>
        <v/>
      </c>
      <c r="T26" s="29">
        <f>Saldos_Capital_Mensual!L26</f>
        <v/>
      </c>
      <c r="U26" s="29">
        <f>Saldos_Intereses_Mensual!L26</f>
        <v/>
      </c>
      <c r="V26" s="29">
        <f>ROUND(T26 + U26, 2)</f>
        <v/>
      </c>
      <c r="W26" s="29">
        <f>Saldo_Residual_Activo!L26</f>
        <v/>
      </c>
      <c r="X26" s="29">
        <f>ROUND(V26 + W26, 2)</f>
        <v/>
      </c>
      <c r="Y26" s="29">
        <f>Saldos_Capital_Mensual!M26</f>
        <v/>
      </c>
      <c r="Z26" s="29">
        <f>Saldos_Intereses_Mensual!M26</f>
        <v/>
      </c>
      <c r="AA26" s="29">
        <f>ROUND(Y26 + Z26, 2)</f>
        <v/>
      </c>
      <c r="AB26" s="29">
        <f>Saldo_Residual_Activo!M26</f>
        <v/>
      </c>
      <c r="AC26" s="29">
        <f>ROUND(AA26 + AB26, 2)</f>
        <v/>
      </c>
      <c r="AD26" s="29">
        <f>Saldos_Capital_Mensual!N26</f>
        <v/>
      </c>
      <c r="AE26" s="29">
        <f>Saldos_Intereses_Mensual!N26</f>
        <v/>
      </c>
      <c r="AF26" s="29">
        <f>ROUND(AD26 + AE26, 2)</f>
        <v/>
      </c>
      <c r="AG26" s="29">
        <f>Saldo_Residual_Activo!N26</f>
        <v/>
      </c>
      <c r="AH26" s="29">
        <f>ROUND(AF26 + AG26, 2)</f>
        <v/>
      </c>
      <c r="AI26" s="29">
        <f>Saldos_Capital_Mensual!O26</f>
        <v/>
      </c>
      <c r="AJ26" s="29">
        <f>Saldos_Intereses_Mensual!O26</f>
        <v/>
      </c>
      <c r="AK26" s="29">
        <f>ROUND(AI26 + AJ26, 2)</f>
        <v/>
      </c>
      <c r="AL26" s="29">
        <f>Saldo_Residual_Activo!O26</f>
        <v/>
      </c>
      <c r="AM26" s="29">
        <f>ROUND(AK26 + AL26, 2)</f>
        <v/>
      </c>
      <c r="AN26" s="29">
        <f>Saldos_Capital_Mensual!P26</f>
        <v/>
      </c>
      <c r="AO26" s="29">
        <f>Saldos_Intereses_Mensual!P26</f>
        <v/>
      </c>
      <c r="AP26" s="29">
        <f>ROUND(AN26 + AO26, 2)</f>
        <v/>
      </c>
      <c r="AQ26" s="29">
        <f>Saldo_Residual_Activo!P26</f>
        <v/>
      </c>
      <c r="AR26" s="29">
        <f>ROUND(AP26 + AQ26, 2)</f>
        <v/>
      </c>
      <c r="AS26" s="29">
        <f>Saldos_Capital_Mensual!Q26</f>
        <v/>
      </c>
      <c r="AT26" s="29">
        <f>Saldos_Intereses_Mensual!Q26</f>
        <v/>
      </c>
      <c r="AU26" s="29">
        <f>ROUND(AS26 + AT26, 2)</f>
        <v/>
      </c>
      <c r="AV26" s="29">
        <f>Saldo_Residual_Activo!Q26</f>
        <v/>
      </c>
      <c r="AW26" s="29">
        <f>ROUND(AU26 + AV26, 2)</f>
        <v/>
      </c>
      <c r="AX26" s="29">
        <f>Saldos_Capital_Mensual!R26</f>
        <v/>
      </c>
      <c r="AY26" s="29">
        <f>Saldos_Intereses_Mensual!R26</f>
        <v/>
      </c>
      <c r="AZ26" s="29">
        <f>ROUND(AX26 + AY26, 2)</f>
        <v/>
      </c>
      <c r="BA26" s="29">
        <f>Saldo_Residual_Activo!R26</f>
        <v/>
      </c>
      <c r="BB26" s="29">
        <f>ROUND(AZ26 + BA26, 2)</f>
        <v/>
      </c>
      <c r="BC26" s="29">
        <f>Saldos_Capital_Mensual!S26</f>
        <v/>
      </c>
      <c r="BD26" s="29">
        <f>Saldos_Intereses_Mensual!S26</f>
        <v/>
      </c>
      <c r="BE26" s="29">
        <f>ROUND(BC26 + BD26, 2)</f>
        <v/>
      </c>
      <c r="BF26" s="29">
        <f>Saldo_Residual_Activo!S26</f>
        <v/>
      </c>
      <c r="BG26" s="29">
        <f>ROUND(BE26 + BF26, 2)</f>
        <v/>
      </c>
      <c r="BH26" s="29">
        <f>Saldos_Capital_Mensual!T26</f>
        <v/>
      </c>
      <c r="BI26" s="29">
        <f>Saldos_Intereses_Mensual!T26</f>
        <v/>
      </c>
      <c r="BJ26" s="29">
        <f>ROUND(BH26 + BI26, 2)</f>
        <v/>
      </c>
      <c r="BK26" s="29">
        <f>Saldo_Residual_Activo!T26</f>
        <v/>
      </c>
      <c r="BL26" s="29">
        <f>ROUND(BJ26 + BK26, 2)</f>
        <v/>
      </c>
    </row>
    <row r="27">
      <c r="A27" s="20" t="inlineStr">
        <is>
          <t>0546-0009</t>
        </is>
      </c>
      <c r="B27" s="21" t="inlineStr">
        <is>
          <t>Norma Elena Bonilla Lupio</t>
        </is>
      </c>
      <c r="C27" s="21" t="inlineStr">
        <is>
          <t>Ram 1200 Tradesman 2026</t>
        </is>
      </c>
      <c r="D27" s="22" t="n">
        <v>24</v>
      </c>
      <c r="E27" s="23">
        <f>Saldos_Capital_Mensual!I27</f>
        <v/>
      </c>
      <c r="F27" s="23">
        <f>Saldos_Intereses_Mensual!I27</f>
        <v/>
      </c>
      <c r="G27" s="23">
        <f>ROUND(E27 + F27, 2)</f>
        <v/>
      </c>
      <c r="H27" s="23">
        <f>Saldo_Residual_Activo!I27</f>
        <v/>
      </c>
      <c r="I27" s="23">
        <f>ROUND(G27 + H27, 2)</f>
        <v/>
      </c>
      <c r="J27" s="23">
        <f>Saldos_Capital_Mensual!J27</f>
        <v/>
      </c>
      <c r="K27" s="23">
        <f>Saldos_Intereses_Mensual!J27</f>
        <v/>
      </c>
      <c r="L27" s="23">
        <f>ROUND(J27 + K27, 2)</f>
        <v/>
      </c>
      <c r="M27" s="23">
        <f>Saldo_Residual_Activo!J27</f>
        <v/>
      </c>
      <c r="N27" s="23">
        <f>ROUND(L27 + M27, 2)</f>
        <v/>
      </c>
      <c r="O27" s="23">
        <f>Saldos_Capital_Mensual!K27</f>
        <v/>
      </c>
      <c r="P27" s="23">
        <f>Saldos_Intereses_Mensual!K27</f>
        <v/>
      </c>
      <c r="Q27" s="23">
        <f>ROUND(O27 + P27, 2)</f>
        <v/>
      </c>
      <c r="R27" s="23">
        <f>Saldo_Residual_Activo!K27</f>
        <v/>
      </c>
      <c r="S27" s="23">
        <f>ROUND(Q27 + R27, 2)</f>
        <v/>
      </c>
      <c r="T27" s="23">
        <f>Saldos_Capital_Mensual!L27</f>
        <v/>
      </c>
      <c r="U27" s="23">
        <f>Saldos_Intereses_Mensual!L27</f>
        <v/>
      </c>
      <c r="V27" s="23">
        <f>ROUND(T27 + U27, 2)</f>
        <v/>
      </c>
      <c r="W27" s="23">
        <f>Saldo_Residual_Activo!L27</f>
        <v/>
      </c>
      <c r="X27" s="23">
        <f>ROUND(V27 + W27, 2)</f>
        <v/>
      </c>
      <c r="Y27" s="23">
        <f>Saldos_Capital_Mensual!M27</f>
        <v/>
      </c>
      <c r="Z27" s="23">
        <f>Saldos_Intereses_Mensual!M27</f>
        <v/>
      </c>
      <c r="AA27" s="23">
        <f>ROUND(Y27 + Z27, 2)</f>
        <v/>
      </c>
      <c r="AB27" s="23">
        <f>Saldo_Residual_Activo!M27</f>
        <v/>
      </c>
      <c r="AC27" s="23">
        <f>ROUND(AA27 + AB27, 2)</f>
        <v/>
      </c>
      <c r="AD27" s="23">
        <f>Saldos_Capital_Mensual!N27</f>
        <v/>
      </c>
      <c r="AE27" s="23">
        <f>Saldos_Intereses_Mensual!N27</f>
        <v/>
      </c>
      <c r="AF27" s="23">
        <f>ROUND(AD27 + AE27, 2)</f>
        <v/>
      </c>
      <c r="AG27" s="23">
        <f>Saldo_Residual_Activo!N27</f>
        <v/>
      </c>
      <c r="AH27" s="23">
        <f>ROUND(AF27 + AG27, 2)</f>
        <v/>
      </c>
      <c r="AI27" s="23">
        <f>Saldos_Capital_Mensual!O27</f>
        <v/>
      </c>
      <c r="AJ27" s="23">
        <f>Saldos_Intereses_Mensual!O27</f>
        <v/>
      </c>
      <c r="AK27" s="23">
        <f>ROUND(AI27 + AJ27, 2)</f>
        <v/>
      </c>
      <c r="AL27" s="23">
        <f>Saldo_Residual_Activo!O27</f>
        <v/>
      </c>
      <c r="AM27" s="23">
        <f>ROUND(AK27 + AL27, 2)</f>
        <v/>
      </c>
      <c r="AN27" s="23">
        <f>Saldos_Capital_Mensual!P27</f>
        <v/>
      </c>
      <c r="AO27" s="23">
        <f>Saldos_Intereses_Mensual!P27</f>
        <v/>
      </c>
      <c r="AP27" s="23">
        <f>ROUND(AN27 + AO27, 2)</f>
        <v/>
      </c>
      <c r="AQ27" s="23">
        <f>Saldo_Residual_Activo!P27</f>
        <v/>
      </c>
      <c r="AR27" s="23">
        <f>ROUND(AP27 + AQ27, 2)</f>
        <v/>
      </c>
      <c r="AS27" s="23">
        <f>Saldos_Capital_Mensual!Q27</f>
        <v/>
      </c>
      <c r="AT27" s="23">
        <f>Saldos_Intereses_Mensual!Q27</f>
        <v/>
      </c>
      <c r="AU27" s="23">
        <f>ROUND(AS27 + AT27, 2)</f>
        <v/>
      </c>
      <c r="AV27" s="23">
        <f>Saldo_Residual_Activo!Q27</f>
        <v/>
      </c>
      <c r="AW27" s="23">
        <f>ROUND(AU27 + AV27, 2)</f>
        <v/>
      </c>
      <c r="AX27" s="23">
        <f>Saldos_Capital_Mensual!R27</f>
        <v/>
      </c>
      <c r="AY27" s="23">
        <f>Saldos_Intereses_Mensual!R27</f>
        <v/>
      </c>
      <c r="AZ27" s="23">
        <f>ROUND(AX27 + AY27, 2)</f>
        <v/>
      </c>
      <c r="BA27" s="23">
        <f>Saldo_Residual_Activo!R27</f>
        <v/>
      </c>
      <c r="BB27" s="23">
        <f>ROUND(AZ27 + BA27, 2)</f>
        <v/>
      </c>
      <c r="BC27" s="23">
        <f>Saldos_Capital_Mensual!S27</f>
        <v/>
      </c>
      <c r="BD27" s="23">
        <f>Saldos_Intereses_Mensual!S27</f>
        <v/>
      </c>
      <c r="BE27" s="23">
        <f>ROUND(BC27 + BD27, 2)</f>
        <v/>
      </c>
      <c r="BF27" s="23">
        <f>Saldo_Residual_Activo!S27</f>
        <v/>
      </c>
      <c r="BG27" s="23">
        <f>ROUND(BE27 + BF27, 2)</f>
        <v/>
      </c>
      <c r="BH27" s="23">
        <f>Saldos_Capital_Mensual!T27</f>
        <v/>
      </c>
      <c r="BI27" s="23">
        <f>Saldos_Intereses_Mensual!T27</f>
        <v/>
      </c>
      <c r="BJ27" s="23">
        <f>ROUND(BH27 + BI27, 2)</f>
        <v/>
      </c>
      <c r="BK27" s="23">
        <f>Saldo_Residual_Activo!T27</f>
        <v/>
      </c>
      <c r="BL27" s="23">
        <f>ROUND(BJ27 + BK27, 2)</f>
        <v/>
      </c>
    </row>
    <row r="28">
      <c r="A28" s="26" t="inlineStr">
        <is>
          <t>0551-0002</t>
        </is>
      </c>
      <c r="B28" s="27" t="inlineStr">
        <is>
          <t>Agaveros Unidos de Tequila Jalisco Aun S de RL de Cv</t>
        </is>
      </c>
      <c r="C28" s="27" t="inlineStr">
        <is>
          <t>Ram 700 Laramie</t>
        </is>
      </c>
      <c r="D28" s="28" t="n">
        <v>48</v>
      </c>
      <c r="E28" s="29">
        <f>Saldos_Capital_Mensual!I28</f>
        <v/>
      </c>
      <c r="F28" s="29">
        <f>Saldos_Intereses_Mensual!I28</f>
        <v/>
      </c>
      <c r="G28" s="29">
        <f>ROUND(E28 + F28, 2)</f>
        <v/>
      </c>
      <c r="H28" s="29">
        <f>Saldo_Residual_Activo!I28</f>
        <v/>
      </c>
      <c r="I28" s="29">
        <f>ROUND(G28 + H28, 2)</f>
        <v/>
      </c>
      <c r="J28" s="29">
        <f>Saldos_Capital_Mensual!J28</f>
        <v/>
      </c>
      <c r="K28" s="29">
        <f>Saldos_Intereses_Mensual!J28</f>
        <v/>
      </c>
      <c r="L28" s="29">
        <f>ROUND(J28 + K28, 2)</f>
        <v/>
      </c>
      <c r="M28" s="29">
        <f>Saldo_Residual_Activo!J28</f>
        <v/>
      </c>
      <c r="N28" s="29">
        <f>ROUND(L28 + M28, 2)</f>
        <v/>
      </c>
      <c r="O28" s="29">
        <f>Saldos_Capital_Mensual!K28</f>
        <v/>
      </c>
      <c r="P28" s="29">
        <f>Saldos_Intereses_Mensual!K28</f>
        <v/>
      </c>
      <c r="Q28" s="29">
        <f>ROUND(O28 + P28, 2)</f>
        <v/>
      </c>
      <c r="R28" s="29">
        <f>Saldo_Residual_Activo!K28</f>
        <v/>
      </c>
      <c r="S28" s="29">
        <f>ROUND(Q28 + R28, 2)</f>
        <v/>
      </c>
      <c r="T28" s="29">
        <f>Saldos_Capital_Mensual!L28</f>
        <v/>
      </c>
      <c r="U28" s="29">
        <f>Saldos_Intereses_Mensual!L28</f>
        <v/>
      </c>
      <c r="V28" s="29">
        <f>ROUND(T28 + U28, 2)</f>
        <v/>
      </c>
      <c r="W28" s="29">
        <f>Saldo_Residual_Activo!L28</f>
        <v/>
      </c>
      <c r="X28" s="29">
        <f>ROUND(V28 + W28, 2)</f>
        <v/>
      </c>
      <c r="Y28" s="29">
        <f>Saldos_Capital_Mensual!M28</f>
        <v/>
      </c>
      <c r="Z28" s="29">
        <f>Saldos_Intereses_Mensual!M28</f>
        <v/>
      </c>
      <c r="AA28" s="29">
        <f>ROUND(Y28 + Z28, 2)</f>
        <v/>
      </c>
      <c r="AB28" s="29">
        <f>Saldo_Residual_Activo!M28</f>
        <v/>
      </c>
      <c r="AC28" s="29">
        <f>ROUND(AA28 + AB28, 2)</f>
        <v/>
      </c>
      <c r="AD28" s="29">
        <f>Saldos_Capital_Mensual!N28</f>
        <v/>
      </c>
      <c r="AE28" s="29">
        <f>Saldos_Intereses_Mensual!N28</f>
        <v/>
      </c>
      <c r="AF28" s="29">
        <f>ROUND(AD28 + AE28, 2)</f>
        <v/>
      </c>
      <c r="AG28" s="29">
        <f>Saldo_Residual_Activo!N28</f>
        <v/>
      </c>
      <c r="AH28" s="29">
        <f>ROUND(AF28 + AG28, 2)</f>
        <v/>
      </c>
      <c r="AI28" s="29">
        <f>Saldos_Capital_Mensual!O28</f>
        <v/>
      </c>
      <c r="AJ28" s="29">
        <f>Saldos_Intereses_Mensual!O28</f>
        <v/>
      </c>
      <c r="AK28" s="29">
        <f>ROUND(AI28 + AJ28, 2)</f>
        <v/>
      </c>
      <c r="AL28" s="29">
        <f>Saldo_Residual_Activo!O28</f>
        <v/>
      </c>
      <c r="AM28" s="29">
        <f>ROUND(AK28 + AL28, 2)</f>
        <v/>
      </c>
      <c r="AN28" s="29">
        <f>Saldos_Capital_Mensual!P28</f>
        <v/>
      </c>
      <c r="AO28" s="29">
        <f>Saldos_Intereses_Mensual!P28</f>
        <v/>
      </c>
      <c r="AP28" s="29">
        <f>ROUND(AN28 + AO28, 2)</f>
        <v/>
      </c>
      <c r="AQ28" s="29">
        <f>Saldo_Residual_Activo!P28</f>
        <v/>
      </c>
      <c r="AR28" s="29">
        <f>ROUND(AP28 + AQ28, 2)</f>
        <v/>
      </c>
      <c r="AS28" s="29">
        <f>Saldos_Capital_Mensual!Q28</f>
        <v/>
      </c>
      <c r="AT28" s="29">
        <f>Saldos_Intereses_Mensual!Q28</f>
        <v/>
      </c>
      <c r="AU28" s="29">
        <f>ROUND(AS28 + AT28, 2)</f>
        <v/>
      </c>
      <c r="AV28" s="29">
        <f>Saldo_Residual_Activo!Q28</f>
        <v/>
      </c>
      <c r="AW28" s="29">
        <f>ROUND(AU28 + AV28, 2)</f>
        <v/>
      </c>
      <c r="AX28" s="29">
        <f>Saldos_Capital_Mensual!R28</f>
        <v/>
      </c>
      <c r="AY28" s="29">
        <f>Saldos_Intereses_Mensual!R28</f>
        <v/>
      </c>
      <c r="AZ28" s="29">
        <f>ROUND(AX28 + AY28, 2)</f>
        <v/>
      </c>
      <c r="BA28" s="29">
        <f>Saldo_Residual_Activo!R28</f>
        <v/>
      </c>
      <c r="BB28" s="29">
        <f>ROUND(AZ28 + BA28, 2)</f>
        <v/>
      </c>
      <c r="BC28" s="29">
        <f>Saldos_Capital_Mensual!S28</f>
        <v/>
      </c>
      <c r="BD28" s="29">
        <f>Saldos_Intereses_Mensual!S28</f>
        <v/>
      </c>
      <c r="BE28" s="29">
        <f>ROUND(BC28 + BD28, 2)</f>
        <v/>
      </c>
      <c r="BF28" s="29">
        <f>Saldo_Residual_Activo!S28</f>
        <v/>
      </c>
      <c r="BG28" s="29">
        <f>ROUND(BE28 + BF28, 2)</f>
        <v/>
      </c>
      <c r="BH28" s="29">
        <f>Saldos_Capital_Mensual!T28</f>
        <v/>
      </c>
      <c r="BI28" s="29">
        <f>Saldos_Intereses_Mensual!T28</f>
        <v/>
      </c>
      <c r="BJ28" s="29">
        <f>ROUND(BH28 + BI28, 2)</f>
        <v/>
      </c>
      <c r="BK28" s="29">
        <f>Saldo_Residual_Activo!T28</f>
        <v/>
      </c>
      <c r="BL28" s="29">
        <f>ROUND(BJ28 + BK28, 2)</f>
        <v/>
      </c>
    </row>
    <row r="29">
      <c r="A29" s="20" t="inlineStr">
        <is>
          <t>0552-0018</t>
        </is>
      </c>
      <c r="B29" s="21" t="inlineStr">
        <is>
          <t>Transportes y Maniobras Portuarias</t>
        </is>
      </c>
      <c r="C29" s="21" t="inlineStr">
        <is>
          <t>Raizer</t>
        </is>
      </c>
      <c r="D29" s="22" t="n">
        <v>24</v>
      </c>
      <c r="E29" s="23">
        <f>Saldos_Capital_Mensual!I29</f>
        <v/>
      </c>
      <c r="F29" s="23">
        <f>Saldos_Intereses_Mensual!I29</f>
        <v/>
      </c>
      <c r="G29" s="23">
        <f>ROUND(E29 + F29, 2)</f>
        <v/>
      </c>
      <c r="H29" s="23">
        <f>Saldo_Residual_Activo!I29</f>
        <v/>
      </c>
      <c r="I29" s="23">
        <f>ROUND(G29 + H29, 2)</f>
        <v/>
      </c>
      <c r="J29" s="23">
        <f>Saldos_Capital_Mensual!J29</f>
        <v/>
      </c>
      <c r="K29" s="23">
        <f>Saldos_Intereses_Mensual!J29</f>
        <v/>
      </c>
      <c r="L29" s="23">
        <f>ROUND(J29 + K29, 2)</f>
        <v/>
      </c>
      <c r="M29" s="23">
        <f>Saldo_Residual_Activo!J29</f>
        <v/>
      </c>
      <c r="N29" s="23">
        <f>ROUND(L29 + M29, 2)</f>
        <v/>
      </c>
      <c r="O29" s="23">
        <f>Saldos_Capital_Mensual!K29</f>
        <v/>
      </c>
      <c r="P29" s="23">
        <f>Saldos_Intereses_Mensual!K29</f>
        <v/>
      </c>
      <c r="Q29" s="23">
        <f>ROUND(O29 + P29, 2)</f>
        <v/>
      </c>
      <c r="R29" s="23">
        <f>Saldo_Residual_Activo!K29</f>
        <v/>
      </c>
      <c r="S29" s="23">
        <f>ROUND(Q29 + R29, 2)</f>
        <v/>
      </c>
      <c r="T29" s="23">
        <f>Saldos_Capital_Mensual!L29</f>
        <v/>
      </c>
      <c r="U29" s="23">
        <f>Saldos_Intereses_Mensual!L29</f>
        <v/>
      </c>
      <c r="V29" s="23">
        <f>ROUND(T29 + U29, 2)</f>
        <v/>
      </c>
      <c r="W29" s="23">
        <f>Saldo_Residual_Activo!L29</f>
        <v/>
      </c>
      <c r="X29" s="23">
        <f>ROUND(V29 + W29, 2)</f>
        <v/>
      </c>
      <c r="Y29" s="23">
        <f>Saldos_Capital_Mensual!M29</f>
        <v/>
      </c>
      <c r="Z29" s="23">
        <f>Saldos_Intereses_Mensual!M29</f>
        <v/>
      </c>
      <c r="AA29" s="23">
        <f>ROUND(Y29 + Z29, 2)</f>
        <v/>
      </c>
      <c r="AB29" s="23">
        <f>Saldo_Residual_Activo!M29</f>
        <v/>
      </c>
      <c r="AC29" s="23">
        <f>ROUND(AA29 + AB29, 2)</f>
        <v/>
      </c>
      <c r="AD29" s="23">
        <f>Saldos_Capital_Mensual!N29</f>
        <v/>
      </c>
      <c r="AE29" s="23">
        <f>Saldos_Intereses_Mensual!N29</f>
        <v/>
      </c>
      <c r="AF29" s="23">
        <f>ROUND(AD29 + AE29, 2)</f>
        <v/>
      </c>
      <c r="AG29" s="23">
        <f>Saldo_Residual_Activo!N29</f>
        <v/>
      </c>
      <c r="AH29" s="23">
        <f>ROUND(AF29 + AG29, 2)</f>
        <v/>
      </c>
      <c r="AI29" s="23">
        <f>Saldos_Capital_Mensual!O29</f>
        <v/>
      </c>
      <c r="AJ29" s="23">
        <f>Saldos_Intereses_Mensual!O29</f>
        <v/>
      </c>
      <c r="AK29" s="23">
        <f>ROUND(AI29 + AJ29, 2)</f>
        <v/>
      </c>
      <c r="AL29" s="23">
        <f>Saldo_Residual_Activo!O29</f>
        <v/>
      </c>
      <c r="AM29" s="23">
        <f>ROUND(AK29 + AL29, 2)</f>
        <v/>
      </c>
      <c r="AN29" s="23">
        <f>Saldos_Capital_Mensual!P29</f>
        <v/>
      </c>
      <c r="AO29" s="23">
        <f>Saldos_Intereses_Mensual!P29</f>
        <v/>
      </c>
      <c r="AP29" s="23">
        <f>ROUND(AN29 + AO29, 2)</f>
        <v/>
      </c>
      <c r="AQ29" s="23">
        <f>Saldo_Residual_Activo!P29</f>
        <v/>
      </c>
      <c r="AR29" s="23">
        <f>ROUND(AP29 + AQ29, 2)</f>
        <v/>
      </c>
      <c r="AS29" s="23">
        <f>Saldos_Capital_Mensual!Q29</f>
        <v/>
      </c>
      <c r="AT29" s="23">
        <f>Saldos_Intereses_Mensual!Q29</f>
        <v/>
      </c>
      <c r="AU29" s="23">
        <f>ROUND(AS29 + AT29, 2)</f>
        <v/>
      </c>
      <c r="AV29" s="23">
        <f>Saldo_Residual_Activo!Q29</f>
        <v/>
      </c>
      <c r="AW29" s="23">
        <f>ROUND(AU29 + AV29, 2)</f>
        <v/>
      </c>
      <c r="AX29" s="23">
        <f>Saldos_Capital_Mensual!R29</f>
        <v/>
      </c>
      <c r="AY29" s="23">
        <f>Saldos_Intereses_Mensual!R29</f>
        <v/>
      </c>
      <c r="AZ29" s="23">
        <f>ROUND(AX29 + AY29, 2)</f>
        <v/>
      </c>
      <c r="BA29" s="23">
        <f>Saldo_Residual_Activo!R29</f>
        <v/>
      </c>
      <c r="BB29" s="23">
        <f>ROUND(AZ29 + BA29, 2)</f>
        <v/>
      </c>
      <c r="BC29" s="23">
        <f>Saldos_Capital_Mensual!S29</f>
        <v/>
      </c>
      <c r="BD29" s="23">
        <f>Saldos_Intereses_Mensual!S29</f>
        <v/>
      </c>
      <c r="BE29" s="23">
        <f>ROUND(BC29 + BD29, 2)</f>
        <v/>
      </c>
      <c r="BF29" s="23">
        <f>Saldo_Residual_Activo!S29</f>
        <v/>
      </c>
      <c r="BG29" s="23">
        <f>ROUND(BE29 + BF29, 2)</f>
        <v/>
      </c>
      <c r="BH29" s="23">
        <f>Saldos_Capital_Mensual!T29</f>
        <v/>
      </c>
      <c r="BI29" s="23">
        <f>Saldos_Intereses_Mensual!T29</f>
        <v/>
      </c>
      <c r="BJ29" s="23">
        <f>ROUND(BH29 + BI29, 2)</f>
        <v/>
      </c>
      <c r="BK29" s="23">
        <f>Saldo_Residual_Activo!T29</f>
        <v/>
      </c>
      <c r="BL29" s="23">
        <f>ROUND(BJ29 + BK29, 2)</f>
        <v/>
      </c>
    </row>
    <row r="30">
      <c r="A30" s="26" t="inlineStr">
        <is>
          <t>0552-0019</t>
        </is>
      </c>
      <c r="B30" s="27" t="inlineStr">
        <is>
          <t>Transportes y Maniobras Portuarias de Mexico Sa de Cv</t>
        </is>
      </c>
      <c r="C30" s="27" t="inlineStr">
        <is>
          <t>Remolque tipo Dolly</t>
        </is>
      </c>
      <c r="D30" s="28" t="n">
        <v>24</v>
      </c>
      <c r="E30" s="29">
        <f>Saldos_Capital_Mensual!I30</f>
        <v/>
      </c>
      <c r="F30" s="29">
        <f>Saldos_Intereses_Mensual!I30</f>
        <v/>
      </c>
      <c r="G30" s="29">
        <f>ROUND(E30 + F30, 2)</f>
        <v/>
      </c>
      <c r="H30" s="29">
        <f>Saldo_Residual_Activo!I30</f>
        <v/>
      </c>
      <c r="I30" s="29">
        <f>ROUND(G30 + H30, 2)</f>
        <v/>
      </c>
      <c r="J30" s="29">
        <f>Saldos_Capital_Mensual!J30</f>
        <v/>
      </c>
      <c r="K30" s="29">
        <f>Saldos_Intereses_Mensual!J30</f>
        <v/>
      </c>
      <c r="L30" s="29">
        <f>ROUND(J30 + K30, 2)</f>
        <v/>
      </c>
      <c r="M30" s="29">
        <f>Saldo_Residual_Activo!J30</f>
        <v/>
      </c>
      <c r="N30" s="29">
        <f>ROUND(L30 + M30, 2)</f>
        <v/>
      </c>
      <c r="O30" s="29">
        <f>Saldos_Capital_Mensual!K30</f>
        <v/>
      </c>
      <c r="P30" s="29">
        <f>Saldos_Intereses_Mensual!K30</f>
        <v/>
      </c>
      <c r="Q30" s="29">
        <f>ROUND(O30 + P30, 2)</f>
        <v/>
      </c>
      <c r="R30" s="29">
        <f>Saldo_Residual_Activo!K30</f>
        <v/>
      </c>
      <c r="S30" s="29">
        <f>ROUND(Q30 + R30, 2)</f>
        <v/>
      </c>
      <c r="T30" s="29">
        <f>Saldos_Capital_Mensual!L30</f>
        <v/>
      </c>
      <c r="U30" s="29">
        <f>Saldos_Intereses_Mensual!L30</f>
        <v/>
      </c>
      <c r="V30" s="29">
        <f>ROUND(T30 + U30, 2)</f>
        <v/>
      </c>
      <c r="W30" s="29">
        <f>Saldo_Residual_Activo!L30</f>
        <v/>
      </c>
      <c r="X30" s="29">
        <f>ROUND(V30 + W30, 2)</f>
        <v/>
      </c>
      <c r="Y30" s="29">
        <f>Saldos_Capital_Mensual!M30</f>
        <v/>
      </c>
      <c r="Z30" s="29">
        <f>Saldos_Intereses_Mensual!M30</f>
        <v/>
      </c>
      <c r="AA30" s="29">
        <f>ROUND(Y30 + Z30, 2)</f>
        <v/>
      </c>
      <c r="AB30" s="29">
        <f>Saldo_Residual_Activo!M30</f>
        <v/>
      </c>
      <c r="AC30" s="29">
        <f>ROUND(AA30 + AB30, 2)</f>
        <v/>
      </c>
      <c r="AD30" s="29">
        <f>Saldos_Capital_Mensual!N30</f>
        <v/>
      </c>
      <c r="AE30" s="29">
        <f>Saldos_Intereses_Mensual!N30</f>
        <v/>
      </c>
      <c r="AF30" s="29">
        <f>ROUND(AD30 + AE30, 2)</f>
        <v/>
      </c>
      <c r="AG30" s="29">
        <f>Saldo_Residual_Activo!N30</f>
        <v/>
      </c>
      <c r="AH30" s="29">
        <f>ROUND(AF30 + AG30, 2)</f>
        <v/>
      </c>
      <c r="AI30" s="29">
        <f>Saldos_Capital_Mensual!O30</f>
        <v/>
      </c>
      <c r="AJ30" s="29">
        <f>Saldos_Intereses_Mensual!O30</f>
        <v/>
      </c>
      <c r="AK30" s="29">
        <f>ROUND(AI30 + AJ30, 2)</f>
        <v/>
      </c>
      <c r="AL30" s="29">
        <f>Saldo_Residual_Activo!O30</f>
        <v/>
      </c>
      <c r="AM30" s="29">
        <f>ROUND(AK30 + AL30, 2)</f>
        <v/>
      </c>
      <c r="AN30" s="29">
        <f>Saldos_Capital_Mensual!P30</f>
        <v/>
      </c>
      <c r="AO30" s="29">
        <f>Saldos_Intereses_Mensual!P30</f>
        <v/>
      </c>
      <c r="AP30" s="29">
        <f>ROUND(AN30 + AO30, 2)</f>
        <v/>
      </c>
      <c r="AQ30" s="29">
        <f>Saldo_Residual_Activo!P30</f>
        <v/>
      </c>
      <c r="AR30" s="29">
        <f>ROUND(AP30 + AQ30, 2)</f>
        <v/>
      </c>
      <c r="AS30" s="29">
        <f>Saldos_Capital_Mensual!Q30</f>
        <v/>
      </c>
      <c r="AT30" s="29">
        <f>Saldos_Intereses_Mensual!Q30</f>
        <v/>
      </c>
      <c r="AU30" s="29">
        <f>ROUND(AS30 + AT30, 2)</f>
        <v/>
      </c>
      <c r="AV30" s="29">
        <f>Saldo_Residual_Activo!Q30</f>
        <v/>
      </c>
      <c r="AW30" s="29">
        <f>ROUND(AU30 + AV30, 2)</f>
        <v/>
      </c>
      <c r="AX30" s="29">
        <f>Saldos_Capital_Mensual!R30</f>
        <v/>
      </c>
      <c r="AY30" s="29">
        <f>Saldos_Intereses_Mensual!R30</f>
        <v/>
      </c>
      <c r="AZ30" s="29">
        <f>ROUND(AX30 + AY30, 2)</f>
        <v/>
      </c>
      <c r="BA30" s="29">
        <f>Saldo_Residual_Activo!R30</f>
        <v/>
      </c>
      <c r="BB30" s="29">
        <f>ROUND(AZ30 + BA30, 2)</f>
        <v/>
      </c>
      <c r="BC30" s="29">
        <f>Saldos_Capital_Mensual!S30</f>
        <v/>
      </c>
      <c r="BD30" s="29">
        <f>Saldos_Intereses_Mensual!S30</f>
        <v/>
      </c>
      <c r="BE30" s="29">
        <f>ROUND(BC30 + BD30, 2)</f>
        <v/>
      </c>
      <c r="BF30" s="29">
        <f>Saldo_Residual_Activo!S30</f>
        <v/>
      </c>
      <c r="BG30" s="29">
        <f>ROUND(BE30 + BF30, 2)</f>
        <v/>
      </c>
      <c r="BH30" s="29">
        <f>Saldos_Capital_Mensual!T30</f>
        <v/>
      </c>
      <c r="BI30" s="29">
        <f>Saldos_Intereses_Mensual!T30</f>
        <v/>
      </c>
      <c r="BJ30" s="29">
        <f>ROUND(BH30 + BI30, 2)</f>
        <v/>
      </c>
      <c r="BK30" s="29">
        <f>Saldo_Residual_Activo!T30</f>
        <v/>
      </c>
      <c r="BL30" s="29">
        <f>ROUND(BJ30 + BK30, 2)</f>
        <v/>
      </c>
    </row>
    <row r="31">
      <c r="A31" s="20" t="inlineStr">
        <is>
          <t>0552-0020</t>
        </is>
      </c>
      <c r="B31" s="21" t="inlineStr">
        <is>
          <t>Transportes y Maniobras Portuarias de Mexico Sa de Cv</t>
        </is>
      </c>
      <c r="C31" s="21" t="inlineStr">
        <is>
          <t>PLATAFORMA MULTIMODAL</t>
        </is>
      </c>
      <c r="D31" s="22" t="n">
        <v>24</v>
      </c>
      <c r="E31" s="23">
        <f>Saldos_Capital_Mensual!I31</f>
        <v/>
      </c>
      <c r="F31" s="23">
        <f>Saldos_Intereses_Mensual!I31</f>
        <v/>
      </c>
      <c r="G31" s="23">
        <f>ROUND(E31 + F31, 2)</f>
        <v/>
      </c>
      <c r="H31" s="23">
        <f>Saldo_Residual_Activo!I31</f>
        <v/>
      </c>
      <c r="I31" s="23">
        <f>ROUND(G31 + H31, 2)</f>
        <v/>
      </c>
      <c r="J31" s="23">
        <f>Saldos_Capital_Mensual!J31</f>
        <v/>
      </c>
      <c r="K31" s="23">
        <f>Saldos_Intereses_Mensual!J31</f>
        <v/>
      </c>
      <c r="L31" s="23">
        <f>ROUND(J31 + K31, 2)</f>
        <v/>
      </c>
      <c r="M31" s="23">
        <f>Saldo_Residual_Activo!J31</f>
        <v/>
      </c>
      <c r="N31" s="23">
        <f>ROUND(L31 + M31, 2)</f>
        <v/>
      </c>
      <c r="O31" s="23">
        <f>Saldos_Capital_Mensual!K31</f>
        <v/>
      </c>
      <c r="P31" s="23">
        <f>Saldos_Intereses_Mensual!K31</f>
        <v/>
      </c>
      <c r="Q31" s="23">
        <f>ROUND(O31 + P31, 2)</f>
        <v/>
      </c>
      <c r="R31" s="23">
        <f>Saldo_Residual_Activo!K31</f>
        <v/>
      </c>
      <c r="S31" s="23">
        <f>ROUND(Q31 + R31, 2)</f>
        <v/>
      </c>
      <c r="T31" s="23">
        <f>Saldos_Capital_Mensual!L31</f>
        <v/>
      </c>
      <c r="U31" s="23">
        <f>Saldos_Intereses_Mensual!L31</f>
        <v/>
      </c>
      <c r="V31" s="23">
        <f>ROUND(T31 + U31, 2)</f>
        <v/>
      </c>
      <c r="W31" s="23">
        <f>Saldo_Residual_Activo!L31</f>
        <v/>
      </c>
      <c r="X31" s="23">
        <f>ROUND(V31 + W31, 2)</f>
        <v/>
      </c>
      <c r="Y31" s="23">
        <f>Saldos_Capital_Mensual!M31</f>
        <v/>
      </c>
      <c r="Z31" s="23">
        <f>Saldos_Intereses_Mensual!M31</f>
        <v/>
      </c>
      <c r="AA31" s="23">
        <f>ROUND(Y31 + Z31, 2)</f>
        <v/>
      </c>
      <c r="AB31" s="23">
        <f>Saldo_Residual_Activo!M31</f>
        <v/>
      </c>
      <c r="AC31" s="23">
        <f>ROUND(AA31 + AB31, 2)</f>
        <v/>
      </c>
      <c r="AD31" s="23">
        <f>Saldos_Capital_Mensual!N31</f>
        <v/>
      </c>
      <c r="AE31" s="23">
        <f>Saldos_Intereses_Mensual!N31</f>
        <v/>
      </c>
      <c r="AF31" s="23">
        <f>ROUND(AD31 + AE31, 2)</f>
        <v/>
      </c>
      <c r="AG31" s="23">
        <f>Saldo_Residual_Activo!N31</f>
        <v/>
      </c>
      <c r="AH31" s="23">
        <f>ROUND(AF31 + AG31, 2)</f>
        <v/>
      </c>
      <c r="AI31" s="23">
        <f>Saldos_Capital_Mensual!O31</f>
        <v/>
      </c>
      <c r="AJ31" s="23">
        <f>Saldos_Intereses_Mensual!O31</f>
        <v/>
      </c>
      <c r="AK31" s="23">
        <f>ROUND(AI31 + AJ31, 2)</f>
        <v/>
      </c>
      <c r="AL31" s="23">
        <f>Saldo_Residual_Activo!O31</f>
        <v/>
      </c>
      <c r="AM31" s="23">
        <f>ROUND(AK31 + AL31, 2)</f>
        <v/>
      </c>
      <c r="AN31" s="23">
        <f>Saldos_Capital_Mensual!P31</f>
        <v/>
      </c>
      <c r="AO31" s="23">
        <f>Saldos_Intereses_Mensual!P31</f>
        <v/>
      </c>
      <c r="AP31" s="23">
        <f>ROUND(AN31 + AO31, 2)</f>
        <v/>
      </c>
      <c r="AQ31" s="23">
        <f>Saldo_Residual_Activo!P31</f>
        <v/>
      </c>
      <c r="AR31" s="23">
        <f>ROUND(AP31 + AQ31, 2)</f>
        <v/>
      </c>
      <c r="AS31" s="23">
        <f>Saldos_Capital_Mensual!Q31</f>
        <v/>
      </c>
      <c r="AT31" s="23">
        <f>Saldos_Intereses_Mensual!Q31</f>
        <v/>
      </c>
      <c r="AU31" s="23">
        <f>ROUND(AS31 + AT31, 2)</f>
        <v/>
      </c>
      <c r="AV31" s="23">
        <f>Saldo_Residual_Activo!Q31</f>
        <v/>
      </c>
      <c r="AW31" s="23">
        <f>ROUND(AU31 + AV31, 2)</f>
        <v/>
      </c>
      <c r="AX31" s="23">
        <f>Saldos_Capital_Mensual!R31</f>
        <v/>
      </c>
      <c r="AY31" s="23">
        <f>Saldos_Intereses_Mensual!R31</f>
        <v/>
      </c>
      <c r="AZ31" s="23">
        <f>ROUND(AX31 + AY31, 2)</f>
        <v/>
      </c>
      <c r="BA31" s="23">
        <f>Saldo_Residual_Activo!R31</f>
        <v/>
      </c>
      <c r="BB31" s="23">
        <f>ROUND(AZ31 + BA31, 2)</f>
        <v/>
      </c>
      <c r="BC31" s="23">
        <f>Saldos_Capital_Mensual!S31</f>
        <v/>
      </c>
      <c r="BD31" s="23">
        <f>Saldos_Intereses_Mensual!S31</f>
        <v/>
      </c>
      <c r="BE31" s="23">
        <f>ROUND(BC31 + BD31, 2)</f>
        <v/>
      </c>
      <c r="BF31" s="23">
        <f>Saldo_Residual_Activo!S31</f>
        <v/>
      </c>
      <c r="BG31" s="23">
        <f>ROUND(BE31 + BF31, 2)</f>
        <v/>
      </c>
      <c r="BH31" s="23">
        <f>Saldos_Capital_Mensual!T31</f>
        <v/>
      </c>
      <c r="BI31" s="23">
        <f>Saldos_Intereses_Mensual!T31</f>
        <v/>
      </c>
      <c r="BJ31" s="23">
        <f>ROUND(BH31 + BI31, 2)</f>
        <v/>
      </c>
      <c r="BK31" s="23">
        <f>Saldo_Residual_Activo!T31</f>
        <v/>
      </c>
      <c r="BL31" s="23">
        <f>ROUND(BJ31 + BK31, 2)</f>
        <v/>
      </c>
    </row>
    <row r="32">
      <c r="A32" s="26" t="inlineStr">
        <is>
          <t>0552-0021</t>
        </is>
      </c>
      <c r="B32" s="27" t="inlineStr">
        <is>
          <t>Transportes y Maniobras Portuarias de Mexico Sa de Cv</t>
        </is>
      </c>
      <c r="C32" s="27" t="inlineStr">
        <is>
          <t>PLATAFORMA MULTIMODAL</t>
        </is>
      </c>
      <c r="D32" s="28" t="n">
        <v>24</v>
      </c>
      <c r="E32" s="29">
        <f>Saldos_Capital_Mensual!I32</f>
        <v/>
      </c>
      <c r="F32" s="29">
        <f>Saldos_Intereses_Mensual!I32</f>
        <v/>
      </c>
      <c r="G32" s="29">
        <f>ROUND(E32 + F32, 2)</f>
        <v/>
      </c>
      <c r="H32" s="29">
        <f>Saldo_Residual_Activo!I32</f>
        <v/>
      </c>
      <c r="I32" s="29">
        <f>ROUND(G32 + H32, 2)</f>
        <v/>
      </c>
      <c r="J32" s="29">
        <f>Saldos_Capital_Mensual!J32</f>
        <v/>
      </c>
      <c r="K32" s="29">
        <f>Saldos_Intereses_Mensual!J32</f>
        <v/>
      </c>
      <c r="L32" s="29">
        <f>ROUND(J32 + K32, 2)</f>
        <v/>
      </c>
      <c r="M32" s="29">
        <f>Saldo_Residual_Activo!J32</f>
        <v/>
      </c>
      <c r="N32" s="29">
        <f>ROUND(L32 + M32, 2)</f>
        <v/>
      </c>
      <c r="O32" s="29">
        <f>Saldos_Capital_Mensual!K32</f>
        <v/>
      </c>
      <c r="P32" s="29">
        <f>Saldos_Intereses_Mensual!K32</f>
        <v/>
      </c>
      <c r="Q32" s="29">
        <f>ROUND(O32 + P32, 2)</f>
        <v/>
      </c>
      <c r="R32" s="29">
        <f>Saldo_Residual_Activo!K32</f>
        <v/>
      </c>
      <c r="S32" s="29">
        <f>ROUND(Q32 + R32, 2)</f>
        <v/>
      </c>
      <c r="T32" s="29">
        <f>Saldos_Capital_Mensual!L32</f>
        <v/>
      </c>
      <c r="U32" s="29">
        <f>Saldos_Intereses_Mensual!L32</f>
        <v/>
      </c>
      <c r="V32" s="29">
        <f>ROUND(T32 + U32, 2)</f>
        <v/>
      </c>
      <c r="W32" s="29">
        <f>Saldo_Residual_Activo!L32</f>
        <v/>
      </c>
      <c r="X32" s="29">
        <f>ROUND(V32 + W32, 2)</f>
        <v/>
      </c>
      <c r="Y32" s="29">
        <f>Saldos_Capital_Mensual!M32</f>
        <v/>
      </c>
      <c r="Z32" s="29">
        <f>Saldos_Intereses_Mensual!M32</f>
        <v/>
      </c>
      <c r="AA32" s="29">
        <f>ROUND(Y32 + Z32, 2)</f>
        <v/>
      </c>
      <c r="AB32" s="29">
        <f>Saldo_Residual_Activo!M32</f>
        <v/>
      </c>
      <c r="AC32" s="29">
        <f>ROUND(AA32 + AB32, 2)</f>
        <v/>
      </c>
      <c r="AD32" s="29">
        <f>Saldos_Capital_Mensual!N32</f>
        <v/>
      </c>
      <c r="AE32" s="29">
        <f>Saldos_Intereses_Mensual!N32</f>
        <v/>
      </c>
      <c r="AF32" s="29">
        <f>ROUND(AD32 + AE32, 2)</f>
        <v/>
      </c>
      <c r="AG32" s="29">
        <f>Saldo_Residual_Activo!N32</f>
        <v/>
      </c>
      <c r="AH32" s="29">
        <f>ROUND(AF32 + AG32, 2)</f>
        <v/>
      </c>
      <c r="AI32" s="29">
        <f>Saldos_Capital_Mensual!O32</f>
        <v/>
      </c>
      <c r="AJ32" s="29">
        <f>Saldos_Intereses_Mensual!O32</f>
        <v/>
      </c>
      <c r="AK32" s="29">
        <f>ROUND(AI32 + AJ32, 2)</f>
        <v/>
      </c>
      <c r="AL32" s="29">
        <f>Saldo_Residual_Activo!O32</f>
        <v/>
      </c>
      <c r="AM32" s="29">
        <f>ROUND(AK32 + AL32, 2)</f>
        <v/>
      </c>
      <c r="AN32" s="29">
        <f>Saldos_Capital_Mensual!P32</f>
        <v/>
      </c>
      <c r="AO32" s="29">
        <f>Saldos_Intereses_Mensual!P32</f>
        <v/>
      </c>
      <c r="AP32" s="29">
        <f>ROUND(AN32 + AO32, 2)</f>
        <v/>
      </c>
      <c r="AQ32" s="29">
        <f>Saldo_Residual_Activo!P32</f>
        <v/>
      </c>
      <c r="AR32" s="29">
        <f>ROUND(AP32 + AQ32, 2)</f>
        <v/>
      </c>
      <c r="AS32" s="29">
        <f>Saldos_Capital_Mensual!Q32</f>
        <v/>
      </c>
      <c r="AT32" s="29">
        <f>Saldos_Intereses_Mensual!Q32</f>
        <v/>
      </c>
      <c r="AU32" s="29">
        <f>ROUND(AS32 + AT32, 2)</f>
        <v/>
      </c>
      <c r="AV32" s="29">
        <f>Saldo_Residual_Activo!Q32</f>
        <v/>
      </c>
      <c r="AW32" s="29">
        <f>ROUND(AU32 + AV32, 2)</f>
        <v/>
      </c>
      <c r="AX32" s="29">
        <f>Saldos_Capital_Mensual!R32</f>
        <v/>
      </c>
      <c r="AY32" s="29">
        <f>Saldos_Intereses_Mensual!R32</f>
        <v/>
      </c>
      <c r="AZ32" s="29">
        <f>ROUND(AX32 + AY32, 2)</f>
        <v/>
      </c>
      <c r="BA32" s="29">
        <f>Saldo_Residual_Activo!R32</f>
        <v/>
      </c>
      <c r="BB32" s="29">
        <f>ROUND(AZ32 + BA32, 2)</f>
        <v/>
      </c>
      <c r="BC32" s="29">
        <f>Saldos_Capital_Mensual!S32</f>
        <v/>
      </c>
      <c r="BD32" s="29">
        <f>Saldos_Intereses_Mensual!S32</f>
        <v/>
      </c>
      <c r="BE32" s="29">
        <f>ROUND(BC32 + BD32, 2)</f>
        <v/>
      </c>
      <c r="BF32" s="29">
        <f>Saldo_Residual_Activo!S32</f>
        <v/>
      </c>
      <c r="BG32" s="29">
        <f>ROUND(BE32 + BF32, 2)</f>
        <v/>
      </c>
      <c r="BH32" s="29">
        <f>Saldos_Capital_Mensual!T32</f>
        <v/>
      </c>
      <c r="BI32" s="29">
        <f>Saldos_Intereses_Mensual!T32</f>
        <v/>
      </c>
      <c r="BJ32" s="29">
        <f>ROUND(BH32 + BI32, 2)</f>
        <v/>
      </c>
      <c r="BK32" s="29">
        <f>Saldo_Residual_Activo!T32</f>
        <v/>
      </c>
      <c r="BL32" s="29">
        <f>ROUND(BJ32 + BK32, 2)</f>
        <v/>
      </c>
    </row>
    <row r="33">
      <c r="A33" s="20" t="inlineStr">
        <is>
          <t>0552-0022</t>
        </is>
      </c>
      <c r="B33" s="21" t="inlineStr">
        <is>
          <t>Transportes y Maniobras Portuarias de Mexico Sa de Cv</t>
        </is>
      </c>
      <c r="C33" s="21" t="inlineStr">
        <is>
          <t>RZR</t>
        </is>
      </c>
      <c r="D33" s="22" t="n">
        <v>24</v>
      </c>
      <c r="E33" s="23">
        <f>Saldos_Capital_Mensual!I33</f>
        <v/>
      </c>
      <c r="F33" s="23">
        <f>Saldos_Intereses_Mensual!I33</f>
        <v/>
      </c>
      <c r="G33" s="23">
        <f>ROUND(E33 + F33, 2)</f>
        <v/>
      </c>
      <c r="H33" s="23">
        <f>Saldo_Residual_Activo!I33</f>
        <v/>
      </c>
      <c r="I33" s="23">
        <f>ROUND(G33 + H33, 2)</f>
        <v/>
      </c>
      <c r="J33" s="23">
        <f>Saldos_Capital_Mensual!J33</f>
        <v/>
      </c>
      <c r="K33" s="23">
        <f>Saldos_Intereses_Mensual!J33</f>
        <v/>
      </c>
      <c r="L33" s="23">
        <f>ROUND(J33 + K33, 2)</f>
        <v/>
      </c>
      <c r="M33" s="23">
        <f>Saldo_Residual_Activo!J33</f>
        <v/>
      </c>
      <c r="N33" s="23">
        <f>ROUND(L33 + M33, 2)</f>
        <v/>
      </c>
      <c r="O33" s="23">
        <f>Saldos_Capital_Mensual!K33</f>
        <v/>
      </c>
      <c r="P33" s="23">
        <f>Saldos_Intereses_Mensual!K33</f>
        <v/>
      </c>
      <c r="Q33" s="23">
        <f>ROUND(O33 + P33, 2)</f>
        <v/>
      </c>
      <c r="R33" s="23">
        <f>Saldo_Residual_Activo!K33</f>
        <v/>
      </c>
      <c r="S33" s="23">
        <f>ROUND(Q33 + R33, 2)</f>
        <v/>
      </c>
      <c r="T33" s="23">
        <f>Saldos_Capital_Mensual!L33</f>
        <v/>
      </c>
      <c r="U33" s="23">
        <f>Saldos_Intereses_Mensual!L33</f>
        <v/>
      </c>
      <c r="V33" s="23">
        <f>ROUND(T33 + U33, 2)</f>
        <v/>
      </c>
      <c r="W33" s="23">
        <f>Saldo_Residual_Activo!L33</f>
        <v/>
      </c>
      <c r="X33" s="23">
        <f>ROUND(V33 + W33, 2)</f>
        <v/>
      </c>
      <c r="Y33" s="23">
        <f>Saldos_Capital_Mensual!M33</f>
        <v/>
      </c>
      <c r="Z33" s="23">
        <f>Saldos_Intereses_Mensual!M33</f>
        <v/>
      </c>
      <c r="AA33" s="23">
        <f>ROUND(Y33 + Z33, 2)</f>
        <v/>
      </c>
      <c r="AB33" s="23">
        <f>Saldo_Residual_Activo!M33</f>
        <v/>
      </c>
      <c r="AC33" s="23">
        <f>ROUND(AA33 + AB33, 2)</f>
        <v/>
      </c>
      <c r="AD33" s="23">
        <f>Saldos_Capital_Mensual!N33</f>
        <v/>
      </c>
      <c r="AE33" s="23">
        <f>Saldos_Intereses_Mensual!N33</f>
        <v/>
      </c>
      <c r="AF33" s="23">
        <f>ROUND(AD33 + AE33, 2)</f>
        <v/>
      </c>
      <c r="AG33" s="23">
        <f>Saldo_Residual_Activo!N33</f>
        <v/>
      </c>
      <c r="AH33" s="23">
        <f>ROUND(AF33 + AG33, 2)</f>
        <v/>
      </c>
      <c r="AI33" s="23">
        <f>Saldos_Capital_Mensual!O33</f>
        <v/>
      </c>
      <c r="AJ33" s="23">
        <f>Saldos_Intereses_Mensual!O33</f>
        <v/>
      </c>
      <c r="AK33" s="23">
        <f>ROUND(AI33 + AJ33, 2)</f>
        <v/>
      </c>
      <c r="AL33" s="23">
        <f>Saldo_Residual_Activo!O33</f>
        <v/>
      </c>
      <c r="AM33" s="23">
        <f>ROUND(AK33 + AL33, 2)</f>
        <v/>
      </c>
      <c r="AN33" s="23">
        <f>Saldos_Capital_Mensual!P33</f>
        <v/>
      </c>
      <c r="AO33" s="23">
        <f>Saldos_Intereses_Mensual!P33</f>
        <v/>
      </c>
      <c r="AP33" s="23">
        <f>ROUND(AN33 + AO33, 2)</f>
        <v/>
      </c>
      <c r="AQ33" s="23">
        <f>Saldo_Residual_Activo!P33</f>
        <v/>
      </c>
      <c r="AR33" s="23">
        <f>ROUND(AP33 + AQ33, 2)</f>
        <v/>
      </c>
      <c r="AS33" s="23">
        <f>Saldos_Capital_Mensual!Q33</f>
        <v/>
      </c>
      <c r="AT33" s="23">
        <f>Saldos_Intereses_Mensual!Q33</f>
        <v/>
      </c>
      <c r="AU33" s="23">
        <f>ROUND(AS33 + AT33, 2)</f>
        <v/>
      </c>
      <c r="AV33" s="23">
        <f>Saldo_Residual_Activo!Q33</f>
        <v/>
      </c>
      <c r="AW33" s="23">
        <f>ROUND(AU33 + AV33, 2)</f>
        <v/>
      </c>
      <c r="AX33" s="23">
        <f>Saldos_Capital_Mensual!R33</f>
        <v/>
      </c>
      <c r="AY33" s="23">
        <f>Saldos_Intereses_Mensual!R33</f>
        <v/>
      </c>
      <c r="AZ33" s="23">
        <f>ROUND(AX33 + AY33, 2)</f>
        <v/>
      </c>
      <c r="BA33" s="23">
        <f>Saldo_Residual_Activo!R33</f>
        <v/>
      </c>
      <c r="BB33" s="23">
        <f>ROUND(AZ33 + BA33, 2)</f>
        <v/>
      </c>
      <c r="BC33" s="23">
        <f>Saldos_Capital_Mensual!S33</f>
        <v/>
      </c>
      <c r="BD33" s="23">
        <f>Saldos_Intereses_Mensual!S33</f>
        <v/>
      </c>
      <c r="BE33" s="23">
        <f>ROUND(BC33 + BD33, 2)</f>
        <v/>
      </c>
      <c r="BF33" s="23">
        <f>Saldo_Residual_Activo!S33</f>
        <v/>
      </c>
      <c r="BG33" s="23">
        <f>ROUND(BE33 + BF33, 2)</f>
        <v/>
      </c>
      <c r="BH33" s="23">
        <f>Saldos_Capital_Mensual!T33</f>
        <v/>
      </c>
      <c r="BI33" s="23">
        <f>Saldos_Intereses_Mensual!T33</f>
        <v/>
      </c>
      <c r="BJ33" s="23">
        <f>ROUND(BH33 + BI33, 2)</f>
        <v/>
      </c>
      <c r="BK33" s="23">
        <f>Saldo_Residual_Activo!T33</f>
        <v/>
      </c>
      <c r="BL33" s="23">
        <f>ROUND(BJ33 + BK33, 2)</f>
        <v/>
      </c>
    </row>
    <row r="34">
      <c r="A34" s="26" t="inlineStr">
        <is>
          <t>0552-0023</t>
        </is>
      </c>
      <c r="B34" s="27" t="inlineStr">
        <is>
          <t>Transportes y Maniobras Portuarias de Mexico Sa de Cv</t>
        </is>
      </c>
      <c r="C34" s="27" t="inlineStr">
        <is>
          <t>Iternational Lt</t>
        </is>
      </c>
      <c r="D34" s="28" t="n">
        <v>24</v>
      </c>
      <c r="E34" s="29">
        <f>Saldos_Capital_Mensual!I34</f>
        <v/>
      </c>
      <c r="F34" s="29">
        <f>Saldos_Intereses_Mensual!I34</f>
        <v/>
      </c>
      <c r="G34" s="29">
        <f>ROUND(E34 + F34, 2)</f>
        <v/>
      </c>
      <c r="H34" s="29">
        <f>Saldo_Residual_Activo!I34</f>
        <v/>
      </c>
      <c r="I34" s="29">
        <f>ROUND(G34 + H34, 2)</f>
        <v/>
      </c>
      <c r="J34" s="29">
        <f>Saldos_Capital_Mensual!J34</f>
        <v/>
      </c>
      <c r="K34" s="29">
        <f>Saldos_Intereses_Mensual!J34</f>
        <v/>
      </c>
      <c r="L34" s="29">
        <f>ROUND(J34 + K34, 2)</f>
        <v/>
      </c>
      <c r="M34" s="29">
        <f>Saldo_Residual_Activo!J34</f>
        <v/>
      </c>
      <c r="N34" s="29">
        <f>ROUND(L34 + M34, 2)</f>
        <v/>
      </c>
      <c r="O34" s="29">
        <f>Saldos_Capital_Mensual!K34</f>
        <v/>
      </c>
      <c r="P34" s="29">
        <f>Saldos_Intereses_Mensual!K34</f>
        <v/>
      </c>
      <c r="Q34" s="29">
        <f>ROUND(O34 + P34, 2)</f>
        <v/>
      </c>
      <c r="R34" s="29">
        <f>Saldo_Residual_Activo!K34</f>
        <v/>
      </c>
      <c r="S34" s="29">
        <f>ROUND(Q34 + R34, 2)</f>
        <v/>
      </c>
      <c r="T34" s="29">
        <f>Saldos_Capital_Mensual!L34</f>
        <v/>
      </c>
      <c r="U34" s="29">
        <f>Saldos_Intereses_Mensual!L34</f>
        <v/>
      </c>
      <c r="V34" s="29">
        <f>ROUND(T34 + U34, 2)</f>
        <v/>
      </c>
      <c r="W34" s="29">
        <f>Saldo_Residual_Activo!L34</f>
        <v/>
      </c>
      <c r="X34" s="29">
        <f>ROUND(V34 + W34, 2)</f>
        <v/>
      </c>
      <c r="Y34" s="29">
        <f>Saldos_Capital_Mensual!M34</f>
        <v/>
      </c>
      <c r="Z34" s="29">
        <f>Saldos_Intereses_Mensual!M34</f>
        <v/>
      </c>
      <c r="AA34" s="29">
        <f>ROUND(Y34 + Z34, 2)</f>
        <v/>
      </c>
      <c r="AB34" s="29">
        <f>Saldo_Residual_Activo!M34</f>
        <v/>
      </c>
      <c r="AC34" s="29">
        <f>ROUND(AA34 + AB34, 2)</f>
        <v/>
      </c>
      <c r="AD34" s="29">
        <f>Saldos_Capital_Mensual!N34</f>
        <v/>
      </c>
      <c r="AE34" s="29">
        <f>Saldos_Intereses_Mensual!N34</f>
        <v/>
      </c>
      <c r="AF34" s="29">
        <f>ROUND(AD34 + AE34, 2)</f>
        <v/>
      </c>
      <c r="AG34" s="29">
        <f>Saldo_Residual_Activo!N34</f>
        <v/>
      </c>
      <c r="AH34" s="29">
        <f>ROUND(AF34 + AG34, 2)</f>
        <v/>
      </c>
      <c r="AI34" s="29">
        <f>Saldos_Capital_Mensual!O34</f>
        <v/>
      </c>
      <c r="AJ34" s="29">
        <f>Saldos_Intereses_Mensual!O34</f>
        <v/>
      </c>
      <c r="AK34" s="29">
        <f>ROUND(AI34 + AJ34, 2)</f>
        <v/>
      </c>
      <c r="AL34" s="29">
        <f>Saldo_Residual_Activo!O34</f>
        <v/>
      </c>
      <c r="AM34" s="29">
        <f>ROUND(AK34 + AL34, 2)</f>
        <v/>
      </c>
      <c r="AN34" s="29">
        <f>Saldos_Capital_Mensual!P34</f>
        <v/>
      </c>
      <c r="AO34" s="29">
        <f>Saldos_Intereses_Mensual!P34</f>
        <v/>
      </c>
      <c r="AP34" s="29">
        <f>ROUND(AN34 + AO34, 2)</f>
        <v/>
      </c>
      <c r="AQ34" s="29">
        <f>Saldo_Residual_Activo!P34</f>
        <v/>
      </c>
      <c r="AR34" s="29">
        <f>ROUND(AP34 + AQ34, 2)</f>
        <v/>
      </c>
      <c r="AS34" s="29">
        <f>Saldos_Capital_Mensual!Q34</f>
        <v/>
      </c>
      <c r="AT34" s="29">
        <f>Saldos_Intereses_Mensual!Q34</f>
        <v/>
      </c>
      <c r="AU34" s="29">
        <f>ROUND(AS34 + AT34, 2)</f>
        <v/>
      </c>
      <c r="AV34" s="29">
        <f>Saldo_Residual_Activo!Q34</f>
        <v/>
      </c>
      <c r="AW34" s="29">
        <f>ROUND(AU34 + AV34, 2)</f>
        <v/>
      </c>
      <c r="AX34" s="29">
        <f>Saldos_Capital_Mensual!R34</f>
        <v/>
      </c>
      <c r="AY34" s="29">
        <f>Saldos_Intereses_Mensual!R34</f>
        <v/>
      </c>
      <c r="AZ34" s="29">
        <f>ROUND(AX34 + AY34, 2)</f>
        <v/>
      </c>
      <c r="BA34" s="29">
        <f>Saldo_Residual_Activo!R34</f>
        <v/>
      </c>
      <c r="BB34" s="29">
        <f>ROUND(AZ34 + BA34, 2)</f>
        <v/>
      </c>
      <c r="BC34" s="29">
        <f>Saldos_Capital_Mensual!S34</f>
        <v/>
      </c>
      <c r="BD34" s="29">
        <f>Saldos_Intereses_Mensual!S34</f>
        <v/>
      </c>
      <c r="BE34" s="29">
        <f>ROUND(BC34 + BD34, 2)</f>
        <v/>
      </c>
      <c r="BF34" s="29">
        <f>Saldo_Residual_Activo!S34</f>
        <v/>
      </c>
      <c r="BG34" s="29">
        <f>ROUND(BE34 + BF34, 2)</f>
        <v/>
      </c>
      <c r="BH34" s="29">
        <f>Saldos_Capital_Mensual!T34</f>
        <v/>
      </c>
      <c r="BI34" s="29">
        <f>Saldos_Intereses_Mensual!T34</f>
        <v/>
      </c>
      <c r="BJ34" s="29">
        <f>ROUND(BH34 + BI34, 2)</f>
        <v/>
      </c>
      <c r="BK34" s="29">
        <f>Saldo_Residual_Activo!T34</f>
        <v/>
      </c>
      <c r="BL34" s="29">
        <f>ROUND(BJ34 + BK34, 2)</f>
        <v/>
      </c>
    </row>
    <row r="35">
      <c r="A35" s="20" t="inlineStr">
        <is>
          <t>0552-0024</t>
        </is>
      </c>
      <c r="B35" s="21" t="inlineStr">
        <is>
          <t>Transportes y Maniobras Portuarias de Mexico Sa de Cv</t>
        </is>
      </c>
      <c r="C35" s="21" t="inlineStr">
        <is>
          <t>Iternational Lt</t>
        </is>
      </c>
      <c r="D35" s="22" t="n">
        <v>24</v>
      </c>
      <c r="E35" s="23">
        <f>Saldos_Capital_Mensual!I35</f>
        <v/>
      </c>
      <c r="F35" s="23">
        <f>Saldos_Intereses_Mensual!I35</f>
        <v/>
      </c>
      <c r="G35" s="23">
        <f>ROUND(E35 + F35, 2)</f>
        <v/>
      </c>
      <c r="H35" s="23">
        <f>Saldo_Residual_Activo!I35</f>
        <v/>
      </c>
      <c r="I35" s="23">
        <f>ROUND(G35 + H35, 2)</f>
        <v/>
      </c>
      <c r="J35" s="23">
        <f>Saldos_Capital_Mensual!J35</f>
        <v/>
      </c>
      <c r="K35" s="23">
        <f>Saldos_Intereses_Mensual!J35</f>
        <v/>
      </c>
      <c r="L35" s="23">
        <f>ROUND(J35 + K35, 2)</f>
        <v/>
      </c>
      <c r="M35" s="23">
        <f>Saldo_Residual_Activo!J35</f>
        <v/>
      </c>
      <c r="N35" s="23">
        <f>ROUND(L35 + M35, 2)</f>
        <v/>
      </c>
      <c r="O35" s="23">
        <f>Saldos_Capital_Mensual!K35</f>
        <v/>
      </c>
      <c r="P35" s="23">
        <f>Saldos_Intereses_Mensual!K35</f>
        <v/>
      </c>
      <c r="Q35" s="23">
        <f>ROUND(O35 + P35, 2)</f>
        <v/>
      </c>
      <c r="R35" s="23">
        <f>Saldo_Residual_Activo!K35</f>
        <v/>
      </c>
      <c r="S35" s="23">
        <f>ROUND(Q35 + R35, 2)</f>
        <v/>
      </c>
      <c r="T35" s="23">
        <f>Saldos_Capital_Mensual!L35</f>
        <v/>
      </c>
      <c r="U35" s="23">
        <f>Saldos_Intereses_Mensual!L35</f>
        <v/>
      </c>
      <c r="V35" s="23">
        <f>ROUND(T35 + U35, 2)</f>
        <v/>
      </c>
      <c r="W35" s="23">
        <f>Saldo_Residual_Activo!L35</f>
        <v/>
      </c>
      <c r="X35" s="23">
        <f>ROUND(V35 + W35, 2)</f>
        <v/>
      </c>
      <c r="Y35" s="23">
        <f>Saldos_Capital_Mensual!M35</f>
        <v/>
      </c>
      <c r="Z35" s="23">
        <f>Saldos_Intereses_Mensual!M35</f>
        <v/>
      </c>
      <c r="AA35" s="23">
        <f>ROUND(Y35 + Z35, 2)</f>
        <v/>
      </c>
      <c r="AB35" s="23">
        <f>Saldo_Residual_Activo!M35</f>
        <v/>
      </c>
      <c r="AC35" s="23">
        <f>ROUND(AA35 + AB35, 2)</f>
        <v/>
      </c>
      <c r="AD35" s="23">
        <f>Saldos_Capital_Mensual!N35</f>
        <v/>
      </c>
      <c r="AE35" s="23">
        <f>Saldos_Intereses_Mensual!N35</f>
        <v/>
      </c>
      <c r="AF35" s="23">
        <f>ROUND(AD35 + AE35, 2)</f>
        <v/>
      </c>
      <c r="AG35" s="23">
        <f>Saldo_Residual_Activo!N35</f>
        <v/>
      </c>
      <c r="AH35" s="23">
        <f>ROUND(AF35 + AG35, 2)</f>
        <v/>
      </c>
      <c r="AI35" s="23">
        <f>Saldos_Capital_Mensual!O35</f>
        <v/>
      </c>
      <c r="AJ35" s="23">
        <f>Saldos_Intereses_Mensual!O35</f>
        <v/>
      </c>
      <c r="AK35" s="23">
        <f>ROUND(AI35 + AJ35, 2)</f>
        <v/>
      </c>
      <c r="AL35" s="23">
        <f>Saldo_Residual_Activo!O35</f>
        <v/>
      </c>
      <c r="AM35" s="23">
        <f>ROUND(AK35 + AL35, 2)</f>
        <v/>
      </c>
      <c r="AN35" s="23">
        <f>Saldos_Capital_Mensual!P35</f>
        <v/>
      </c>
      <c r="AO35" s="23">
        <f>Saldos_Intereses_Mensual!P35</f>
        <v/>
      </c>
      <c r="AP35" s="23">
        <f>ROUND(AN35 + AO35, 2)</f>
        <v/>
      </c>
      <c r="AQ35" s="23">
        <f>Saldo_Residual_Activo!P35</f>
        <v/>
      </c>
      <c r="AR35" s="23">
        <f>ROUND(AP35 + AQ35, 2)</f>
        <v/>
      </c>
      <c r="AS35" s="23">
        <f>Saldos_Capital_Mensual!Q35</f>
        <v/>
      </c>
      <c r="AT35" s="23">
        <f>Saldos_Intereses_Mensual!Q35</f>
        <v/>
      </c>
      <c r="AU35" s="23">
        <f>ROUND(AS35 + AT35, 2)</f>
        <v/>
      </c>
      <c r="AV35" s="23">
        <f>Saldo_Residual_Activo!Q35</f>
        <v/>
      </c>
      <c r="AW35" s="23">
        <f>ROUND(AU35 + AV35, 2)</f>
        <v/>
      </c>
      <c r="AX35" s="23">
        <f>Saldos_Capital_Mensual!R35</f>
        <v/>
      </c>
      <c r="AY35" s="23">
        <f>Saldos_Intereses_Mensual!R35</f>
        <v/>
      </c>
      <c r="AZ35" s="23">
        <f>ROUND(AX35 + AY35, 2)</f>
        <v/>
      </c>
      <c r="BA35" s="23">
        <f>Saldo_Residual_Activo!R35</f>
        <v/>
      </c>
      <c r="BB35" s="23">
        <f>ROUND(AZ35 + BA35, 2)</f>
        <v/>
      </c>
      <c r="BC35" s="23">
        <f>Saldos_Capital_Mensual!S35</f>
        <v/>
      </c>
      <c r="BD35" s="23">
        <f>Saldos_Intereses_Mensual!S35</f>
        <v/>
      </c>
      <c r="BE35" s="23">
        <f>ROUND(BC35 + BD35, 2)</f>
        <v/>
      </c>
      <c r="BF35" s="23">
        <f>Saldo_Residual_Activo!S35</f>
        <v/>
      </c>
      <c r="BG35" s="23">
        <f>ROUND(BE35 + BF35, 2)</f>
        <v/>
      </c>
      <c r="BH35" s="23">
        <f>Saldos_Capital_Mensual!T35</f>
        <v/>
      </c>
      <c r="BI35" s="23">
        <f>Saldos_Intereses_Mensual!T35</f>
        <v/>
      </c>
      <c r="BJ35" s="23">
        <f>ROUND(BH35 + BI35, 2)</f>
        <v/>
      </c>
      <c r="BK35" s="23">
        <f>Saldo_Residual_Activo!T35</f>
        <v/>
      </c>
      <c r="BL35" s="23">
        <f>ROUND(BJ35 + BK35, 2)</f>
        <v/>
      </c>
    </row>
    <row r="36">
      <c r="A36" s="26" t="inlineStr">
        <is>
          <t>0552-0025</t>
        </is>
      </c>
      <c r="B36" s="27" t="inlineStr">
        <is>
          <t>Transportes y Maniobras Portuarias de Mexico Sa de Cv</t>
        </is>
      </c>
      <c r="C36" s="27" t="inlineStr">
        <is>
          <t>Iternational Lt</t>
        </is>
      </c>
      <c r="D36" s="28" t="n">
        <v>24</v>
      </c>
      <c r="E36" s="29">
        <f>Saldos_Capital_Mensual!I36</f>
        <v/>
      </c>
      <c r="F36" s="29">
        <f>Saldos_Intereses_Mensual!I36</f>
        <v/>
      </c>
      <c r="G36" s="29">
        <f>ROUND(E36 + F36, 2)</f>
        <v/>
      </c>
      <c r="H36" s="29">
        <f>Saldo_Residual_Activo!I36</f>
        <v/>
      </c>
      <c r="I36" s="29">
        <f>ROUND(G36 + H36, 2)</f>
        <v/>
      </c>
      <c r="J36" s="29">
        <f>Saldos_Capital_Mensual!J36</f>
        <v/>
      </c>
      <c r="K36" s="29">
        <f>Saldos_Intereses_Mensual!J36</f>
        <v/>
      </c>
      <c r="L36" s="29">
        <f>ROUND(J36 + K36, 2)</f>
        <v/>
      </c>
      <c r="M36" s="29">
        <f>Saldo_Residual_Activo!J36</f>
        <v/>
      </c>
      <c r="N36" s="29">
        <f>ROUND(L36 + M36, 2)</f>
        <v/>
      </c>
      <c r="O36" s="29">
        <f>Saldos_Capital_Mensual!K36</f>
        <v/>
      </c>
      <c r="P36" s="29">
        <f>Saldos_Intereses_Mensual!K36</f>
        <v/>
      </c>
      <c r="Q36" s="29">
        <f>ROUND(O36 + P36, 2)</f>
        <v/>
      </c>
      <c r="R36" s="29">
        <f>Saldo_Residual_Activo!K36</f>
        <v/>
      </c>
      <c r="S36" s="29">
        <f>ROUND(Q36 + R36, 2)</f>
        <v/>
      </c>
      <c r="T36" s="29">
        <f>Saldos_Capital_Mensual!L36</f>
        <v/>
      </c>
      <c r="U36" s="29">
        <f>Saldos_Intereses_Mensual!L36</f>
        <v/>
      </c>
      <c r="V36" s="29">
        <f>ROUND(T36 + U36, 2)</f>
        <v/>
      </c>
      <c r="W36" s="29">
        <f>Saldo_Residual_Activo!L36</f>
        <v/>
      </c>
      <c r="X36" s="29">
        <f>ROUND(V36 + W36, 2)</f>
        <v/>
      </c>
      <c r="Y36" s="29">
        <f>Saldos_Capital_Mensual!M36</f>
        <v/>
      </c>
      <c r="Z36" s="29">
        <f>Saldos_Intereses_Mensual!M36</f>
        <v/>
      </c>
      <c r="AA36" s="29">
        <f>ROUND(Y36 + Z36, 2)</f>
        <v/>
      </c>
      <c r="AB36" s="29">
        <f>Saldo_Residual_Activo!M36</f>
        <v/>
      </c>
      <c r="AC36" s="29">
        <f>ROUND(AA36 + AB36, 2)</f>
        <v/>
      </c>
      <c r="AD36" s="29">
        <f>Saldos_Capital_Mensual!N36</f>
        <v/>
      </c>
      <c r="AE36" s="29">
        <f>Saldos_Intereses_Mensual!N36</f>
        <v/>
      </c>
      <c r="AF36" s="29">
        <f>ROUND(AD36 + AE36, 2)</f>
        <v/>
      </c>
      <c r="AG36" s="29">
        <f>Saldo_Residual_Activo!N36</f>
        <v/>
      </c>
      <c r="AH36" s="29">
        <f>ROUND(AF36 + AG36, 2)</f>
        <v/>
      </c>
      <c r="AI36" s="29">
        <f>Saldos_Capital_Mensual!O36</f>
        <v/>
      </c>
      <c r="AJ36" s="29">
        <f>Saldos_Intereses_Mensual!O36</f>
        <v/>
      </c>
      <c r="AK36" s="29">
        <f>ROUND(AI36 + AJ36, 2)</f>
        <v/>
      </c>
      <c r="AL36" s="29">
        <f>Saldo_Residual_Activo!O36</f>
        <v/>
      </c>
      <c r="AM36" s="29">
        <f>ROUND(AK36 + AL36, 2)</f>
        <v/>
      </c>
      <c r="AN36" s="29">
        <f>Saldos_Capital_Mensual!P36</f>
        <v/>
      </c>
      <c r="AO36" s="29">
        <f>Saldos_Intereses_Mensual!P36</f>
        <v/>
      </c>
      <c r="AP36" s="29">
        <f>ROUND(AN36 + AO36, 2)</f>
        <v/>
      </c>
      <c r="AQ36" s="29">
        <f>Saldo_Residual_Activo!P36</f>
        <v/>
      </c>
      <c r="AR36" s="29">
        <f>ROUND(AP36 + AQ36, 2)</f>
        <v/>
      </c>
      <c r="AS36" s="29">
        <f>Saldos_Capital_Mensual!Q36</f>
        <v/>
      </c>
      <c r="AT36" s="29">
        <f>Saldos_Intereses_Mensual!Q36</f>
        <v/>
      </c>
      <c r="AU36" s="29">
        <f>ROUND(AS36 + AT36, 2)</f>
        <v/>
      </c>
      <c r="AV36" s="29">
        <f>Saldo_Residual_Activo!Q36</f>
        <v/>
      </c>
      <c r="AW36" s="29">
        <f>ROUND(AU36 + AV36, 2)</f>
        <v/>
      </c>
      <c r="AX36" s="29">
        <f>Saldos_Capital_Mensual!R36</f>
        <v/>
      </c>
      <c r="AY36" s="29">
        <f>Saldos_Intereses_Mensual!R36</f>
        <v/>
      </c>
      <c r="AZ36" s="29">
        <f>ROUND(AX36 + AY36, 2)</f>
        <v/>
      </c>
      <c r="BA36" s="29">
        <f>Saldo_Residual_Activo!R36</f>
        <v/>
      </c>
      <c r="BB36" s="29">
        <f>ROUND(AZ36 + BA36, 2)</f>
        <v/>
      </c>
      <c r="BC36" s="29">
        <f>Saldos_Capital_Mensual!S36</f>
        <v/>
      </c>
      <c r="BD36" s="29">
        <f>Saldos_Intereses_Mensual!S36</f>
        <v/>
      </c>
      <c r="BE36" s="29">
        <f>ROUND(BC36 + BD36, 2)</f>
        <v/>
      </c>
      <c r="BF36" s="29">
        <f>Saldo_Residual_Activo!S36</f>
        <v/>
      </c>
      <c r="BG36" s="29">
        <f>ROUND(BE36 + BF36, 2)</f>
        <v/>
      </c>
      <c r="BH36" s="29">
        <f>Saldos_Capital_Mensual!T36</f>
        <v/>
      </c>
      <c r="BI36" s="29">
        <f>Saldos_Intereses_Mensual!T36</f>
        <v/>
      </c>
      <c r="BJ36" s="29">
        <f>ROUND(BH36 + BI36, 2)</f>
        <v/>
      </c>
      <c r="BK36" s="29">
        <f>Saldo_Residual_Activo!T36</f>
        <v/>
      </c>
      <c r="BL36" s="29">
        <f>ROUND(BJ36 + BK36, 2)</f>
        <v/>
      </c>
    </row>
    <row r="37">
      <c r="A37" s="20" t="inlineStr">
        <is>
          <t>0554-0003</t>
        </is>
      </c>
      <c r="B37" s="21" t="inlineStr">
        <is>
          <t>TRANSPORTES DEL BAJIO TRANSCOLD SA DE CV</t>
        </is>
      </c>
      <c r="C37" s="21" t="inlineStr">
        <is>
          <t>RAM 4000 CHASIS PLANO LARGO "PL"</t>
        </is>
      </c>
      <c r="D37" s="22" t="n">
        <v>48</v>
      </c>
      <c r="E37" s="23">
        <f>Saldos_Capital_Mensual!I37</f>
        <v/>
      </c>
      <c r="F37" s="23">
        <f>Saldos_Intereses_Mensual!I37</f>
        <v/>
      </c>
      <c r="G37" s="23">
        <f>ROUND(E37 + F37, 2)</f>
        <v/>
      </c>
      <c r="H37" s="23">
        <f>Saldo_Residual_Activo!I37</f>
        <v/>
      </c>
      <c r="I37" s="23">
        <f>ROUND(G37 + H37, 2)</f>
        <v/>
      </c>
      <c r="J37" s="23">
        <f>Saldos_Capital_Mensual!J37</f>
        <v/>
      </c>
      <c r="K37" s="23">
        <f>Saldos_Intereses_Mensual!J37</f>
        <v/>
      </c>
      <c r="L37" s="23">
        <f>ROUND(J37 + K37, 2)</f>
        <v/>
      </c>
      <c r="M37" s="23">
        <f>Saldo_Residual_Activo!J37</f>
        <v/>
      </c>
      <c r="N37" s="23">
        <f>ROUND(L37 + M37, 2)</f>
        <v/>
      </c>
      <c r="O37" s="23">
        <f>Saldos_Capital_Mensual!K37</f>
        <v/>
      </c>
      <c r="P37" s="23">
        <f>Saldos_Intereses_Mensual!K37</f>
        <v/>
      </c>
      <c r="Q37" s="23">
        <f>ROUND(O37 + P37, 2)</f>
        <v/>
      </c>
      <c r="R37" s="23">
        <f>Saldo_Residual_Activo!K37</f>
        <v/>
      </c>
      <c r="S37" s="23">
        <f>ROUND(Q37 + R37, 2)</f>
        <v/>
      </c>
      <c r="T37" s="23">
        <f>Saldos_Capital_Mensual!L37</f>
        <v/>
      </c>
      <c r="U37" s="23">
        <f>Saldos_Intereses_Mensual!L37</f>
        <v/>
      </c>
      <c r="V37" s="23">
        <f>ROUND(T37 + U37, 2)</f>
        <v/>
      </c>
      <c r="W37" s="23">
        <f>Saldo_Residual_Activo!L37</f>
        <v/>
      </c>
      <c r="X37" s="23">
        <f>ROUND(V37 + W37, 2)</f>
        <v/>
      </c>
      <c r="Y37" s="23">
        <f>Saldos_Capital_Mensual!M37</f>
        <v/>
      </c>
      <c r="Z37" s="23">
        <f>Saldos_Intereses_Mensual!M37</f>
        <v/>
      </c>
      <c r="AA37" s="23">
        <f>ROUND(Y37 + Z37, 2)</f>
        <v/>
      </c>
      <c r="AB37" s="23">
        <f>Saldo_Residual_Activo!M37</f>
        <v/>
      </c>
      <c r="AC37" s="23">
        <f>ROUND(AA37 + AB37, 2)</f>
        <v/>
      </c>
      <c r="AD37" s="23">
        <f>Saldos_Capital_Mensual!N37</f>
        <v/>
      </c>
      <c r="AE37" s="23">
        <f>Saldos_Intereses_Mensual!N37</f>
        <v/>
      </c>
      <c r="AF37" s="23">
        <f>ROUND(AD37 + AE37, 2)</f>
        <v/>
      </c>
      <c r="AG37" s="23">
        <f>Saldo_Residual_Activo!N37</f>
        <v/>
      </c>
      <c r="AH37" s="23">
        <f>ROUND(AF37 + AG37, 2)</f>
        <v/>
      </c>
      <c r="AI37" s="23">
        <f>Saldos_Capital_Mensual!O37</f>
        <v/>
      </c>
      <c r="AJ37" s="23">
        <f>Saldos_Intereses_Mensual!O37</f>
        <v/>
      </c>
      <c r="AK37" s="23">
        <f>ROUND(AI37 + AJ37, 2)</f>
        <v/>
      </c>
      <c r="AL37" s="23">
        <f>Saldo_Residual_Activo!O37</f>
        <v/>
      </c>
      <c r="AM37" s="23">
        <f>ROUND(AK37 + AL37, 2)</f>
        <v/>
      </c>
      <c r="AN37" s="23">
        <f>Saldos_Capital_Mensual!P37</f>
        <v/>
      </c>
      <c r="AO37" s="23">
        <f>Saldos_Intereses_Mensual!P37</f>
        <v/>
      </c>
      <c r="AP37" s="23">
        <f>ROUND(AN37 + AO37, 2)</f>
        <v/>
      </c>
      <c r="AQ37" s="23">
        <f>Saldo_Residual_Activo!P37</f>
        <v/>
      </c>
      <c r="AR37" s="23">
        <f>ROUND(AP37 + AQ37, 2)</f>
        <v/>
      </c>
      <c r="AS37" s="23">
        <f>Saldos_Capital_Mensual!Q37</f>
        <v/>
      </c>
      <c r="AT37" s="23">
        <f>Saldos_Intereses_Mensual!Q37</f>
        <v/>
      </c>
      <c r="AU37" s="23">
        <f>ROUND(AS37 + AT37, 2)</f>
        <v/>
      </c>
      <c r="AV37" s="23">
        <f>Saldo_Residual_Activo!Q37</f>
        <v/>
      </c>
      <c r="AW37" s="23">
        <f>ROUND(AU37 + AV37, 2)</f>
        <v/>
      </c>
      <c r="AX37" s="23">
        <f>Saldos_Capital_Mensual!R37</f>
        <v/>
      </c>
      <c r="AY37" s="23">
        <f>Saldos_Intereses_Mensual!R37</f>
        <v/>
      </c>
      <c r="AZ37" s="23">
        <f>ROUND(AX37 + AY37, 2)</f>
        <v/>
      </c>
      <c r="BA37" s="23">
        <f>Saldo_Residual_Activo!R37</f>
        <v/>
      </c>
      <c r="BB37" s="23">
        <f>ROUND(AZ37 + BA37, 2)</f>
        <v/>
      </c>
      <c r="BC37" s="23">
        <f>Saldos_Capital_Mensual!S37</f>
        <v/>
      </c>
      <c r="BD37" s="23">
        <f>Saldos_Intereses_Mensual!S37</f>
        <v/>
      </c>
      <c r="BE37" s="23">
        <f>ROUND(BC37 + BD37, 2)</f>
        <v/>
      </c>
      <c r="BF37" s="23">
        <f>Saldo_Residual_Activo!S37</f>
        <v/>
      </c>
      <c r="BG37" s="23">
        <f>ROUND(BE37 + BF37, 2)</f>
        <v/>
      </c>
      <c r="BH37" s="23">
        <f>Saldos_Capital_Mensual!T37</f>
        <v/>
      </c>
      <c r="BI37" s="23">
        <f>Saldos_Intereses_Mensual!T37</f>
        <v/>
      </c>
      <c r="BJ37" s="23">
        <f>ROUND(BH37 + BI37, 2)</f>
        <v/>
      </c>
      <c r="BK37" s="23">
        <f>Saldo_Residual_Activo!T37</f>
        <v/>
      </c>
      <c r="BL37" s="23">
        <f>ROUND(BJ37 + BK37, 2)</f>
        <v/>
      </c>
    </row>
    <row r="38">
      <c r="A38" s="26" t="inlineStr">
        <is>
          <t>0570-0006</t>
        </is>
      </c>
      <c r="B38" s="27" t="inlineStr">
        <is>
          <t>Jalco Iluminacion Sa de Cv</t>
        </is>
      </c>
      <c r="C38" s="27" t="inlineStr">
        <is>
          <t>RAM 700 BIG HORN</t>
        </is>
      </c>
      <c r="D38" s="28" t="n">
        <v>36</v>
      </c>
      <c r="E38" s="29">
        <f>Saldos_Capital_Mensual!I38</f>
        <v/>
      </c>
      <c r="F38" s="29">
        <f>Saldos_Intereses_Mensual!I38</f>
        <v/>
      </c>
      <c r="G38" s="29">
        <f>ROUND(E38 + F38, 2)</f>
        <v/>
      </c>
      <c r="H38" s="29">
        <f>Saldo_Residual_Activo!I38</f>
        <v/>
      </c>
      <c r="I38" s="29">
        <f>ROUND(G38 + H38, 2)</f>
        <v/>
      </c>
      <c r="J38" s="29">
        <f>Saldos_Capital_Mensual!J38</f>
        <v/>
      </c>
      <c r="K38" s="29">
        <f>Saldos_Intereses_Mensual!J38</f>
        <v/>
      </c>
      <c r="L38" s="29">
        <f>ROUND(J38 + K38, 2)</f>
        <v/>
      </c>
      <c r="M38" s="29">
        <f>Saldo_Residual_Activo!J38</f>
        <v/>
      </c>
      <c r="N38" s="29">
        <f>ROUND(L38 + M38, 2)</f>
        <v/>
      </c>
      <c r="O38" s="29">
        <f>Saldos_Capital_Mensual!K38</f>
        <v/>
      </c>
      <c r="P38" s="29">
        <f>Saldos_Intereses_Mensual!K38</f>
        <v/>
      </c>
      <c r="Q38" s="29">
        <f>ROUND(O38 + P38, 2)</f>
        <v/>
      </c>
      <c r="R38" s="29">
        <f>Saldo_Residual_Activo!K38</f>
        <v/>
      </c>
      <c r="S38" s="29">
        <f>ROUND(Q38 + R38, 2)</f>
        <v/>
      </c>
      <c r="T38" s="29">
        <f>Saldos_Capital_Mensual!L38</f>
        <v/>
      </c>
      <c r="U38" s="29">
        <f>Saldos_Intereses_Mensual!L38</f>
        <v/>
      </c>
      <c r="V38" s="29">
        <f>ROUND(T38 + U38, 2)</f>
        <v/>
      </c>
      <c r="W38" s="29">
        <f>Saldo_Residual_Activo!L38</f>
        <v/>
      </c>
      <c r="X38" s="29">
        <f>ROUND(V38 + W38, 2)</f>
        <v/>
      </c>
      <c r="Y38" s="29">
        <f>Saldos_Capital_Mensual!M38</f>
        <v/>
      </c>
      <c r="Z38" s="29">
        <f>Saldos_Intereses_Mensual!M38</f>
        <v/>
      </c>
      <c r="AA38" s="29">
        <f>ROUND(Y38 + Z38, 2)</f>
        <v/>
      </c>
      <c r="AB38" s="29">
        <f>Saldo_Residual_Activo!M38</f>
        <v/>
      </c>
      <c r="AC38" s="29">
        <f>ROUND(AA38 + AB38, 2)</f>
        <v/>
      </c>
      <c r="AD38" s="29">
        <f>Saldos_Capital_Mensual!N38</f>
        <v/>
      </c>
      <c r="AE38" s="29">
        <f>Saldos_Intereses_Mensual!N38</f>
        <v/>
      </c>
      <c r="AF38" s="29">
        <f>ROUND(AD38 + AE38, 2)</f>
        <v/>
      </c>
      <c r="AG38" s="29">
        <f>Saldo_Residual_Activo!N38</f>
        <v/>
      </c>
      <c r="AH38" s="29">
        <f>ROUND(AF38 + AG38, 2)</f>
        <v/>
      </c>
      <c r="AI38" s="29">
        <f>Saldos_Capital_Mensual!O38</f>
        <v/>
      </c>
      <c r="AJ38" s="29">
        <f>Saldos_Intereses_Mensual!O38</f>
        <v/>
      </c>
      <c r="AK38" s="29">
        <f>ROUND(AI38 + AJ38, 2)</f>
        <v/>
      </c>
      <c r="AL38" s="29">
        <f>Saldo_Residual_Activo!O38</f>
        <v/>
      </c>
      <c r="AM38" s="29">
        <f>ROUND(AK38 + AL38, 2)</f>
        <v/>
      </c>
      <c r="AN38" s="29">
        <f>Saldos_Capital_Mensual!P38</f>
        <v/>
      </c>
      <c r="AO38" s="29">
        <f>Saldos_Intereses_Mensual!P38</f>
        <v/>
      </c>
      <c r="AP38" s="29">
        <f>ROUND(AN38 + AO38, 2)</f>
        <v/>
      </c>
      <c r="AQ38" s="29">
        <f>Saldo_Residual_Activo!P38</f>
        <v/>
      </c>
      <c r="AR38" s="29">
        <f>ROUND(AP38 + AQ38, 2)</f>
        <v/>
      </c>
      <c r="AS38" s="29">
        <f>Saldos_Capital_Mensual!Q38</f>
        <v/>
      </c>
      <c r="AT38" s="29">
        <f>Saldos_Intereses_Mensual!Q38</f>
        <v/>
      </c>
      <c r="AU38" s="29">
        <f>ROUND(AS38 + AT38, 2)</f>
        <v/>
      </c>
      <c r="AV38" s="29">
        <f>Saldo_Residual_Activo!Q38</f>
        <v/>
      </c>
      <c r="AW38" s="29">
        <f>ROUND(AU38 + AV38, 2)</f>
        <v/>
      </c>
      <c r="AX38" s="29">
        <f>Saldos_Capital_Mensual!R38</f>
        <v/>
      </c>
      <c r="AY38" s="29">
        <f>Saldos_Intereses_Mensual!R38</f>
        <v/>
      </c>
      <c r="AZ38" s="29">
        <f>ROUND(AX38 + AY38, 2)</f>
        <v/>
      </c>
      <c r="BA38" s="29">
        <f>Saldo_Residual_Activo!R38</f>
        <v/>
      </c>
      <c r="BB38" s="29">
        <f>ROUND(AZ38 + BA38, 2)</f>
        <v/>
      </c>
      <c r="BC38" s="29">
        <f>Saldos_Capital_Mensual!S38</f>
        <v/>
      </c>
      <c r="BD38" s="29">
        <f>Saldos_Intereses_Mensual!S38</f>
        <v/>
      </c>
      <c r="BE38" s="29">
        <f>ROUND(BC38 + BD38, 2)</f>
        <v/>
      </c>
      <c r="BF38" s="29">
        <f>Saldo_Residual_Activo!S38</f>
        <v/>
      </c>
      <c r="BG38" s="29">
        <f>ROUND(BE38 + BF38, 2)</f>
        <v/>
      </c>
      <c r="BH38" s="29">
        <f>Saldos_Capital_Mensual!T38</f>
        <v/>
      </c>
      <c r="BI38" s="29">
        <f>Saldos_Intereses_Mensual!T38</f>
        <v/>
      </c>
      <c r="BJ38" s="29">
        <f>ROUND(BH38 + BI38, 2)</f>
        <v/>
      </c>
      <c r="BK38" s="29">
        <f>Saldo_Residual_Activo!T38</f>
        <v/>
      </c>
      <c r="BL38" s="29">
        <f>ROUND(BJ38 + BK38, 2)</f>
        <v/>
      </c>
    </row>
    <row r="39">
      <c r="A39" s="20" t="inlineStr">
        <is>
          <t>0573-0007</t>
        </is>
      </c>
      <c r="B39" s="21" t="inlineStr">
        <is>
          <t>Ar Marketing Sa de Cv</t>
        </is>
      </c>
      <c r="C39" s="21" t="inlineStr">
        <is>
          <t>Promaster Rapid</t>
        </is>
      </c>
      <c r="D39" s="22" t="n">
        <v>36</v>
      </c>
      <c r="E39" s="23">
        <f>Saldos_Capital_Mensual!I39</f>
        <v/>
      </c>
      <c r="F39" s="23">
        <f>Saldos_Intereses_Mensual!I39</f>
        <v/>
      </c>
      <c r="G39" s="23">
        <f>ROUND(E39 + F39, 2)</f>
        <v/>
      </c>
      <c r="H39" s="23">
        <f>Saldo_Residual_Activo!I39</f>
        <v/>
      </c>
      <c r="I39" s="23">
        <f>ROUND(G39 + H39, 2)</f>
        <v/>
      </c>
      <c r="J39" s="23">
        <f>Saldos_Capital_Mensual!J39</f>
        <v/>
      </c>
      <c r="K39" s="23">
        <f>Saldos_Intereses_Mensual!J39</f>
        <v/>
      </c>
      <c r="L39" s="23">
        <f>ROUND(J39 + K39, 2)</f>
        <v/>
      </c>
      <c r="M39" s="23">
        <f>Saldo_Residual_Activo!J39</f>
        <v/>
      </c>
      <c r="N39" s="23">
        <f>ROUND(L39 + M39, 2)</f>
        <v/>
      </c>
      <c r="O39" s="23">
        <f>Saldos_Capital_Mensual!K39</f>
        <v/>
      </c>
      <c r="P39" s="23">
        <f>Saldos_Intereses_Mensual!K39</f>
        <v/>
      </c>
      <c r="Q39" s="23">
        <f>ROUND(O39 + P39, 2)</f>
        <v/>
      </c>
      <c r="R39" s="23">
        <f>Saldo_Residual_Activo!K39</f>
        <v/>
      </c>
      <c r="S39" s="23">
        <f>ROUND(Q39 + R39, 2)</f>
        <v/>
      </c>
      <c r="T39" s="23">
        <f>Saldos_Capital_Mensual!L39</f>
        <v/>
      </c>
      <c r="U39" s="23">
        <f>Saldos_Intereses_Mensual!L39</f>
        <v/>
      </c>
      <c r="V39" s="23">
        <f>ROUND(T39 + U39, 2)</f>
        <v/>
      </c>
      <c r="W39" s="23">
        <f>Saldo_Residual_Activo!L39</f>
        <v/>
      </c>
      <c r="X39" s="23">
        <f>ROUND(V39 + W39, 2)</f>
        <v/>
      </c>
      <c r="Y39" s="23">
        <f>Saldos_Capital_Mensual!M39</f>
        <v/>
      </c>
      <c r="Z39" s="23">
        <f>Saldos_Intereses_Mensual!M39</f>
        <v/>
      </c>
      <c r="AA39" s="23">
        <f>ROUND(Y39 + Z39, 2)</f>
        <v/>
      </c>
      <c r="AB39" s="23">
        <f>Saldo_Residual_Activo!M39</f>
        <v/>
      </c>
      <c r="AC39" s="23">
        <f>ROUND(AA39 + AB39, 2)</f>
        <v/>
      </c>
      <c r="AD39" s="23">
        <f>Saldos_Capital_Mensual!N39</f>
        <v/>
      </c>
      <c r="AE39" s="23">
        <f>Saldos_Intereses_Mensual!N39</f>
        <v/>
      </c>
      <c r="AF39" s="23">
        <f>ROUND(AD39 + AE39, 2)</f>
        <v/>
      </c>
      <c r="AG39" s="23">
        <f>Saldo_Residual_Activo!N39</f>
        <v/>
      </c>
      <c r="AH39" s="23">
        <f>ROUND(AF39 + AG39, 2)</f>
        <v/>
      </c>
      <c r="AI39" s="23">
        <f>Saldos_Capital_Mensual!O39</f>
        <v/>
      </c>
      <c r="AJ39" s="23">
        <f>Saldos_Intereses_Mensual!O39</f>
        <v/>
      </c>
      <c r="AK39" s="23">
        <f>ROUND(AI39 + AJ39, 2)</f>
        <v/>
      </c>
      <c r="AL39" s="23">
        <f>Saldo_Residual_Activo!O39</f>
        <v/>
      </c>
      <c r="AM39" s="23">
        <f>ROUND(AK39 + AL39, 2)</f>
        <v/>
      </c>
      <c r="AN39" s="23">
        <f>Saldos_Capital_Mensual!P39</f>
        <v/>
      </c>
      <c r="AO39" s="23">
        <f>Saldos_Intereses_Mensual!P39</f>
        <v/>
      </c>
      <c r="AP39" s="23">
        <f>ROUND(AN39 + AO39, 2)</f>
        <v/>
      </c>
      <c r="AQ39" s="23">
        <f>Saldo_Residual_Activo!P39</f>
        <v/>
      </c>
      <c r="AR39" s="23">
        <f>ROUND(AP39 + AQ39, 2)</f>
        <v/>
      </c>
      <c r="AS39" s="23">
        <f>Saldos_Capital_Mensual!Q39</f>
        <v/>
      </c>
      <c r="AT39" s="23">
        <f>Saldos_Intereses_Mensual!Q39</f>
        <v/>
      </c>
      <c r="AU39" s="23">
        <f>ROUND(AS39 + AT39, 2)</f>
        <v/>
      </c>
      <c r="AV39" s="23">
        <f>Saldo_Residual_Activo!Q39</f>
        <v/>
      </c>
      <c r="AW39" s="23">
        <f>ROUND(AU39 + AV39, 2)</f>
        <v/>
      </c>
      <c r="AX39" s="23">
        <f>Saldos_Capital_Mensual!R39</f>
        <v/>
      </c>
      <c r="AY39" s="23">
        <f>Saldos_Intereses_Mensual!R39</f>
        <v/>
      </c>
      <c r="AZ39" s="23">
        <f>ROUND(AX39 + AY39, 2)</f>
        <v/>
      </c>
      <c r="BA39" s="23">
        <f>Saldo_Residual_Activo!R39</f>
        <v/>
      </c>
      <c r="BB39" s="23">
        <f>ROUND(AZ39 + BA39, 2)</f>
        <v/>
      </c>
      <c r="BC39" s="23">
        <f>Saldos_Capital_Mensual!S39</f>
        <v/>
      </c>
      <c r="BD39" s="23">
        <f>Saldos_Intereses_Mensual!S39</f>
        <v/>
      </c>
      <c r="BE39" s="23">
        <f>ROUND(BC39 + BD39, 2)</f>
        <v/>
      </c>
      <c r="BF39" s="23">
        <f>Saldo_Residual_Activo!S39</f>
        <v/>
      </c>
      <c r="BG39" s="23">
        <f>ROUND(BE39 + BF39, 2)</f>
        <v/>
      </c>
      <c r="BH39" s="23">
        <f>Saldos_Capital_Mensual!T39</f>
        <v/>
      </c>
      <c r="BI39" s="23">
        <f>Saldos_Intereses_Mensual!T39</f>
        <v/>
      </c>
      <c r="BJ39" s="23">
        <f>ROUND(BH39 + BI39, 2)</f>
        <v/>
      </c>
      <c r="BK39" s="23">
        <f>Saldo_Residual_Activo!T39</f>
        <v/>
      </c>
      <c r="BL39" s="23">
        <f>ROUND(BJ39 + BK39, 2)</f>
        <v/>
      </c>
    </row>
    <row r="40">
      <c r="A40" s="26" t="inlineStr">
        <is>
          <t>0573-0008</t>
        </is>
      </c>
      <c r="B40" s="27" t="inlineStr">
        <is>
          <t>Ar Marketing Sa de Cv</t>
        </is>
      </c>
      <c r="C40" s="27" t="inlineStr">
        <is>
          <t>Promaster Rapid</t>
        </is>
      </c>
      <c r="D40" s="28" t="n">
        <v>36</v>
      </c>
      <c r="E40" s="29">
        <f>Saldos_Capital_Mensual!I40</f>
        <v/>
      </c>
      <c r="F40" s="29">
        <f>Saldos_Intereses_Mensual!I40</f>
        <v/>
      </c>
      <c r="G40" s="29">
        <f>ROUND(E40 + F40, 2)</f>
        <v/>
      </c>
      <c r="H40" s="29">
        <f>Saldo_Residual_Activo!I40</f>
        <v/>
      </c>
      <c r="I40" s="29">
        <f>ROUND(G40 + H40, 2)</f>
        <v/>
      </c>
      <c r="J40" s="29">
        <f>Saldos_Capital_Mensual!J40</f>
        <v/>
      </c>
      <c r="K40" s="29">
        <f>Saldos_Intereses_Mensual!J40</f>
        <v/>
      </c>
      <c r="L40" s="29">
        <f>ROUND(J40 + K40, 2)</f>
        <v/>
      </c>
      <c r="M40" s="29">
        <f>Saldo_Residual_Activo!J40</f>
        <v/>
      </c>
      <c r="N40" s="29">
        <f>ROUND(L40 + M40, 2)</f>
        <v/>
      </c>
      <c r="O40" s="29">
        <f>Saldos_Capital_Mensual!K40</f>
        <v/>
      </c>
      <c r="P40" s="29">
        <f>Saldos_Intereses_Mensual!K40</f>
        <v/>
      </c>
      <c r="Q40" s="29">
        <f>ROUND(O40 + P40, 2)</f>
        <v/>
      </c>
      <c r="R40" s="29">
        <f>Saldo_Residual_Activo!K40</f>
        <v/>
      </c>
      <c r="S40" s="29">
        <f>ROUND(Q40 + R40, 2)</f>
        <v/>
      </c>
      <c r="T40" s="29">
        <f>Saldos_Capital_Mensual!L40</f>
        <v/>
      </c>
      <c r="U40" s="29">
        <f>Saldos_Intereses_Mensual!L40</f>
        <v/>
      </c>
      <c r="V40" s="29">
        <f>ROUND(T40 + U40, 2)</f>
        <v/>
      </c>
      <c r="W40" s="29">
        <f>Saldo_Residual_Activo!L40</f>
        <v/>
      </c>
      <c r="X40" s="29">
        <f>ROUND(V40 + W40, 2)</f>
        <v/>
      </c>
      <c r="Y40" s="29">
        <f>Saldos_Capital_Mensual!M40</f>
        <v/>
      </c>
      <c r="Z40" s="29">
        <f>Saldos_Intereses_Mensual!M40</f>
        <v/>
      </c>
      <c r="AA40" s="29">
        <f>ROUND(Y40 + Z40, 2)</f>
        <v/>
      </c>
      <c r="AB40" s="29">
        <f>Saldo_Residual_Activo!M40</f>
        <v/>
      </c>
      <c r="AC40" s="29">
        <f>ROUND(AA40 + AB40, 2)</f>
        <v/>
      </c>
      <c r="AD40" s="29">
        <f>Saldos_Capital_Mensual!N40</f>
        <v/>
      </c>
      <c r="AE40" s="29">
        <f>Saldos_Intereses_Mensual!N40</f>
        <v/>
      </c>
      <c r="AF40" s="29">
        <f>ROUND(AD40 + AE40, 2)</f>
        <v/>
      </c>
      <c r="AG40" s="29">
        <f>Saldo_Residual_Activo!N40</f>
        <v/>
      </c>
      <c r="AH40" s="29">
        <f>ROUND(AF40 + AG40, 2)</f>
        <v/>
      </c>
      <c r="AI40" s="29">
        <f>Saldos_Capital_Mensual!O40</f>
        <v/>
      </c>
      <c r="AJ40" s="29">
        <f>Saldos_Intereses_Mensual!O40</f>
        <v/>
      </c>
      <c r="AK40" s="29">
        <f>ROUND(AI40 + AJ40, 2)</f>
        <v/>
      </c>
      <c r="AL40" s="29">
        <f>Saldo_Residual_Activo!O40</f>
        <v/>
      </c>
      <c r="AM40" s="29">
        <f>ROUND(AK40 + AL40, 2)</f>
        <v/>
      </c>
      <c r="AN40" s="29">
        <f>Saldos_Capital_Mensual!P40</f>
        <v/>
      </c>
      <c r="AO40" s="29">
        <f>Saldos_Intereses_Mensual!P40</f>
        <v/>
      </c>
      <c r="AP40" s="29">
        <f>ROUND(AN40 + AO40, 2)</f>
        <v/>
      </c>
      <c r="AQ40" s="29">
        <f>Saldo_Residual_Activo!P40</f>
        <v/>
      </c>
      <c r="AR40" s="29">
        <f>ROUND(AP40 + AQ40, 2)</f>
        <v/>
      </c>
      <c r="AS40" s="29">
        <f>Saldos_Capital_Mensual!Q40</f>
        <v/>
      </c>
      <c r="AT40" s="29">
        <f>Saldos_Intereses_Mensual!Q40</f>
        <v/>
      </c>
      <c r="AU40" s="29">
        <f>ROUND(AS40 + AT40, 2)</f>
        <v/>
      </c>
      <c r="AV40" s="29">
        <f>Saldo_Residual_Activo!Q40</f>
        <v/>
      </c>
      <c r="AW40" s="29">
        <f>ROUND(AU40 + AV40, 2)</f>
        <v/>
      </c>
      <c r="AX40" s="29">
        <f>Saldos_Capital_Mensual!R40</f>
        <v/>
      </c>
      <c r="AY40" s="29">
        <f>Saldos_Intereses_Mensual!R40</f>
        <v/>
      </c>
      <c r="AZ40" s="29">
        <f>ROUND(AX40 + AY40, 2)</f>
        <v/>
      </c>
      <c r="BA40" s="29">
        <f>Saldo_Residual_Activo!R40</f>
        <v/>
      </c>
      <c r="BB40" s="29">
        <f>ROUND(AZ40 + BA40, 2)</f>
        <v/>
      </c>
      <c r="BC40" s="29">
        <f>Saldos_Capital_Mensual!S40</f>
        <v/>
      </c>
      <c r="BD40" s="29">
        <f>Saldos_Intereses_Mensual!S40</f>
        <v/>
      </c>
      <c r="BE40" s="29">
        <f>ROUND(BC40 + BD40, 2)</f>
        <v/>
      </c>
      <c r="BF40" s="29">
        <f>Saldo_Residual_Activo!S40</f>
        <v/>
      </c>
      <c r="BG40" s="29">
        <f>ROUND(BE40 + BF40, 2)</f>
        <v/>
      </c>
      <c r="BH40" s="29">
        <f>Saldos_Capital_Mensual!T40</f>
        <v/>
      </c>
      <c r="BI40" s="29">
        <f>Saldos_Intereses_Mensual!T40</f>
        <v/>
      </c>
      <c r="BJ40" s="29">
        <f>ROUND(BH40 + BI40, 2)</f>
        <v/>
      </c>
      <c r="BK40" s="29">
        <f>Saldo_Residual_Activo!T40</f>
        <v/>
      </c>
      <c r="BL40" s="29">
        <f>ROUND(BJ40 + BK40, 2)</f>
        <v/>
      </c>
    </row>
    <row r="41">
      <c r="A41" s="20" t="inlineStr">
        <is>
          <t>0573-0009</t>
        </is>
      </c>
      <c r="B41" s="21" t="inlineStr">
        <is>
          <t>Ar Marketing Sa de Cv</t>
        </is>
      </c>
      <c r="C41" s="21" t="inlineStr">
        <is>
          <t>Partner</t>
        </is>
      </c>
      <c r="D41" s="22" t="n">
        <v>36</v>
      </c>
      <c r="E41" s="23">
        <f>Saldos_Capital_Mensual!I41</f>
        <v/>
      </c>
      <c r="F41" s="23">
        <f>Saldos_Intereses_Mensual!I41</f>
        <v/>
      </c>
      <c r="G41" s="23">
        <f>ROUND(E41 + F41, 2)</f>
        <v/>
      </c>
      <c r="H41" s="23">
        <f>Saldo_Residual_Activo!I41</f>
        <v/>
      </c>
      <c r="I41" s="23">
        <f>ROUND(G41 + H41, 2)</f>
        <v/>
      </c>
      <c r="J41" s="23">
        <f>Saldos_Capital_Mensual!J41</f>
        <v/>
      </c>
      <c r="K41" s="23">
        <f>Saldos_Intereses_Mensual!J41</f>
        <v/>
      </c>
      <c r="L41" s="23">
        <f>ROUND(J41 + K41, 2)</f>
        <v/>
      </c>
      <c r="M41" s="23">
        <f>Saldo_Residual_Activo!J41</f>
        <v/>
      </c>
      <c r="N41" s="23">
        <f>ROUND(L41 + M41, 2)</f>
        <v/>
      </c>
      <c r="O41" s="23">
        <f>Saldos_Capital_Mensual!K41</f>
        <v/>
      </c>
      <c r="P41" s="23">
        <f>Saldos_Intereses_Mensual!K41</f>
        <v/>
      </c>
      <c r="Q41" s="23">
        <f>ROUND(O41 + P41, 2)</f>
        <v/>
      </c>
      <c r="R41" s="23">
        <f>Saldo_Residual_Activo!K41</f>
        <v/>
      </c>
      <c r="S41" s="23">
        <f>ROUND(Q41 + R41, 2)</f>
        <v/>
      </c>
      <c r="T41" s="23">
        <f>Saldos_Capital_Mensual!L41</f>
        <v/>
      </c>
      <c r="U41" s="23">
        <f>Saldos_Intereses_Mensual!L41</f>
        <v/>
      </c>
      <c r="V41" s="23">
        <f>ROUND(T41 + U41, 2)</f>
        <v/>
      </c>
      <c r="W41" s="23">
        <f>Saldo_Residual_Activo!L41</f>
        <v/>
      </c>
      <c r="X41" s="23">
        <f>ROUND(V41 + W41, 2)</f>
        <v/>
      </c>
      <c r="Y41" s="23">
        <f>Saldos_Capital_Mensual!M41</f>
        <v/>
      </c>
      <c r="Z41" s="23">
        <f>Saldos_Intereses_Mensual!M41</f>
        <v/>
      </c>
      <c r="AA41" s="23">
        <f>ROUND(Y41 + Z41, 2)</f>
        <v/>
      </c>
      <c r="AB41" s="23">
        <f>Saldo_Residual_Activo!M41</f>
        <v/>
      </c>
      <c r="AC41" s="23">
        <f>ROUND(AA41 + AB41, 2)</f>
        <v/>
      </c>
      <c r="AD41" s="23">
        <f>Saldos_Capital_Mensual!N41</f>
        <v/>
      </c>
      <c r="AE41" s="23">
        <f>Saldos_Intereses_Mensual!N41</f>
        <v/>
      </c>
      <c r="AF41" s="23">
        <f>ROUND(AD41 + AE41, 2)</f>
        <v/>
      </c>
      <c r="AG41" s="23">
        <f>Saldo_Residual_Activo!N41</f>
        <v/>
      </c>
      <c r="AH41" s="23">
        <f>ROUND(AF41 + AG41, 2)</f>
        <v/>
      </c>
      <c r="AI41" s="23">
        <f>Saldos_Capital_Mensual!O41</f>
        <v/>
      </c>
      <c r="AJ41" s="23">
        <f>Saldos_Intereses_Mensual!O41</f>
        <v/>
      </c>
      <c r="AK41" s="23">
        <f>ROUND(AI41 + AJ41, 2)</f>
        <v/>
      </c>
      <c r="AL41" s="23">
        <f>Saldo_Residual_Activo!O41</f>
        <v/>
      </c>
      <c r="AM41" s="23">
        <f>ROUND(AK41 + AL41, 2)</f>
        <v/>
      </c>
      <c r="AN41" s="23">
        <f>Saldos_Capital_Mensual!P41</f>
        <v/>
      </c>
      <c r="AO41" s="23">
        <f>Saldos_Intereses_Mensual!P41</f>
        <v/>
      </c>
      <c r="AP41" s="23">
        <f>ROUND(AN41 + AO41, 2)</f>
        <v/>
      </c>
      <c r="AQ41" s="23">
        <f>Saldo_Residual_Activo!P41</f>
        <v/>
      </c>
      <c r="AR41" s="23">
        <f>ROUND(AP41 + AQ41, 2)</f>
        <v/>
      </c>
      <c r="AS41" s="23">
        <f>Saldos_Capital_Mensual!Q41</f>
        <v/>
      </c>
      <c r="AT41" s="23">
        <f>Saldos_Intereses_Mensual!Q41</f>
        <v/>
      </c>
      <c r="AU41" s="23">
        <f>ROUND(AS41 + AT41, 2)</f>
        <v/>
      </c>
      <c r="AV41" s="23">
        <f>Saldo_Residual_Activo!Q41</f>
        <v/>
      </c>
      <c r="AW41" s="23">
        <f>ROUND(AU41 + AV41, 2)</f>
        <v/>
      </c>
      <c r="AX41" s="23">
        <f>Saldos_Capital_Mensual!R41</f>
        <v/>
      </c>
      <c r="AY41" s="23">
        <f>Saldos_Intereses_Mensual!R41</f>
        <v/>
      </c>
      <c r="AZ41" s="23">
        <f>ROUND(AX41 + AY41, 2)</f>
        <v/>
      </c>
      <c r="BA41" s="23">
        <f>Saldo_Residual_Activo!R41</f>
        <v/>
      </c>
      <c r="BB41" s="23">
        <f>ROUND(AZ41 + BA41, 2)</f>
        <v/>
      </c>
      <c r="BC41" s="23">
        <f>Saldos_Capital_Mensual!S41</f>
        <v/>
      </c>
      <c r="BD41" s="23">
        <f>Saldos_Intereses_Mensual!S41</f>
        <v/>
      </c>
      <c r="BE41" s="23">
        <f>ROUND(BC41 + BD41, 2)</f>
        <v/>
      </c>
      <c r="BF41" s="23">
        <f>Saldo_Residual_Activo!S41</f>
        <v/>
      </c>
      <c r="BG41" s="23">
        <f>ROUND(BE41 + BF41, 2)</f>
        <v/>
      </c>
      <c r="BH41" s="23">
        <f>Saldos_Capital_Mensual!T41</f>
        <v/>
      </c>
      <c r="BI41" s="23">
        <f>Saldos_Intereses_Mensual!T41</f>
        <v/>
      </c>
      <c r="BJ41" s="23">
        <f>ROUND(BH41 + BI41, 2)</f>
        <v/>
      </c>
      <c r="BK41" s="23">
        <f>Saldo_Residual_Activo!T41</f>
        <v/>
      </c>
      <c r="BL41" s="23">
        <f>ROUND(BJ41 + BK41, 2)</f>
        <v/>
      </c>
    </row>
    <row r="42">
      <c r="A42" s="26" t="inlineStr">
        <is>
          <t>0580-0001</t>
        </is>
      </c>
      <c r="B42" s="27" t="inlineStr">
        <is>
          <t>YOLANDA AVALOS CARDENAS</t>
        </is>
      </c>
      <c r="C42" s="27" t="inlineStr">
        <is>
          <t>Mojave</t>
        </is>
      </c>
      <c r="D42" s="28" t="n">
        <v>48</v>
      </c>
      <c r="E42" s="29">
        <f>Saldos_Capital_Mensual!I42</f>
        <v/>
      </c>
      <c r="F42" s="29">
        <f>Saldos_Intereses_Mensual!I42</f>
        <v/>
      </c>
      <c r="G42" s="29">
        <f>ROUND(E42 + F42, 2)</f>
        <v/>
      </c>
      <c r="H42" s="29">
        <f>Saldo_Residual_Activo!I42</f>
        <v/>
      </c>
      <c r="I42" s="29">
        <f>ROUND(G42 + H42, 2)</f>
        <v/>
      </c>
      <c r="J42" s="29">
        <f>Saldos_Capital_Mensual!J42</f>
        <v/>
      </c>
      <c r="K42" s="29">
        <f>Saldos_Intereses_Mensual!J42</f>
        <v/>
      </c>
      <c r="L42" s="29">
        <f>ROUND(J42 + K42, 2)</f>
        <v/>
      </c>
      <c r="M42" s="29">
        <f>Saldo_Residual_Activo!J42</f>
        <v/>
      </c>
      <c r="N42" s="29">
        <f>ROUND(L42 + M42, 2)</f>
        <v/>
      </c>
      <c r="O42" s="29">
        <f>Saldos_Capital_Mensual!K42</f>
        <v/>
      </c>
      <c r="P42" s="29">
        <f>Saldos_Intereses_Mensual!K42</f>
        <v/>
      </c>
      <c r="Q42" s="29">
        <f>ROUND(O42 + P42, 2)</f>
        <v/>
      </c>
      <c r="R42" s="29">
        <f>Saldo_Residual_Activo!K42</f>
        <v/>
      </c>
      <c r="S42" s="29">
        <f>ROUND(Q42 + R42, 2)</f>
        <v/>
      </c>
      <c r="T42" s="29">
        <f>Saldos_Capital_Mensual!L42</f>
        <v/>
      </c>
      <c r="U42" s="29">
        <f>Saldos_Intereses_Mensual!L42</f>
        <v/>
      </c>
      <c r="V42" s="29">
        <f>ROUND(T42 + U42, 2)</f>
        <v/>
      </c>
      <c r="W42" s="29">
        <f>Saldo_Residual_Activo!L42</f>
        <v/>
      </c>
      <c r="X42" s="29">
        <f>ROUND(V42 + W42, 2)</f>
        <v/>
      </c>
      <c r="Y42" s="29">
        <f>Saldos_Capital_Mensual!M42</f>
        <v/>
      </c>
      <c r="Z42" s="29">
        <f>Saldos_Intereses_Mensual!M42</f>
        <v/>
      </c>
      <c r="AA42" s="29">
        <f>ROUND(Y42 + Z42, 2)</f>
        <v/>
      </c>
      <c r="AB42" s="29">
        <f>Saldo_Residual_Activo!M42</f>
        <v/>
      </c>
      <c r="AC42" s="29">
        <f>ROUND(AA42 + AB42, 2)</f>
        <v/>
      </c>
      <c r="AD42" s="29">
        <f>Saldos_Capital_Mensual!N42</f>
        <v/>
      </c>
      <c r="AE42" s="29">
        <f>Saldos_Intereses_Mensual!N42</f>
        <v/>
      </c>
      <c r="AF42" s="29">
        <f>ROUND(AD42 + AE42, 2)</f>
        <v/>
      </c>
      <c r="AG42" s="29">
        <f>Saldo_Residual_Activo!N42</f>
        <v/>
      </c>
      <c r="AH42" s="29">
        <f>ROUND(AF42 + AG42, 2)</f>
        <v/>
      </c>
      <c r="AI42" s="29">
        <f>Saldos_Capital_Mensual!O42</f>
        <v/>
      </c>
      <c r="AJ42" s="29">
        <f>Saldos_Intereses_Mensual!O42</f>
        <v/>
      </c>
      <c r="AK42" s="29">
        <f>ROUND(AI42 + AJ42, 2)</f>
        <v/>
      </c>
      <c r="AL42" s="29">
        <f>Saldo_Residual_Activo!O42</f>
        <v/>
      </c>
      <c r="AM42" s="29">
        <f>ROUND(AK42 + AL42, 2)</f>
        <v/>
      </c>
      <c r="AN42" s="29">
        <f>Saldos_Capital_Mensual!P42</f>
        <v/>
      </c>
      <c r="AO42" s="29">
        <f>Saldos_Intereses_Mensual!P42</f>
        <v/>
      </c>
      <c r="AP42" s="29">
        <f>ROUND(AN42 + AO42, 2)</f>
        <v/>
      </c>
      <c r="AQ42" s="29">
        <f>Saldo_Residual_Activo!P42</f>
        <v/>
      </c>
      <c r="AR42" s="29">
        <f>ROUND(AP42 + AQ42, 2)</f>
        <v/>
      </c>
      <c r="AS42" s="29">
        <f>Saldos_Capital_Mensual!Q42</f>
        <v/>
      </c>
      <c r="AT42" s="29">
        <f>Saldos_Intereses_Mensual!Q42</f>
        <v/>
      </c>
      <c r="AU42" s="29">
        <f>ROUND(AS42 + AT42, 2)</f>
        <v/>
      </c>
      <c r="AV42" s="29">
        <f>Saldo_Residual_Activo!Q42</f>
        <v/>
      </c>
      <c r="AW42" s="29">
        <f>ROUND(AU42 + AV42, 2)</f>
        <v/>
      </c>
      <c r="AX42" s="29">
        <f>Saldos_Capital_Mensual!R42</f>
        <v/>
      </c>
      <c r="AY42" s="29">
        <f>Saldos_Intereses_Mensual!R42</f>
        <v/>
      </c>
      <c r="AZ42" s="29">
        <f>ROUND(AX42 + AY42, 2)</f>
        <v/>
      </c>
      <c r="BA42" s="29">
        <f>Saldo_Residual_Activo!R42</f>
        <v/>
      </c>
      <c r="BB42" s="29">
        <f>ROUND(AZ42 + BA42, 2)</f>
        <v/>
      </c>
      <c r="BC42" s="29">
        <f>Saldos_Capital_Mensual!S42</f>
        <v/>
      </c>
      <c r="BD42" s="29">
        <f>Saldos_Intereses_Mensual!S42</f>
        <v/>
      </c>
      <c r="BE42" s="29">
        <f>ROUND(BC42 + BD42, 2)</f>
        <v/>
      </c>
      <c r="BF42" s="29">
        <f>Saldo_Residual_Activo!S42</f>
        <v/>
      </c>
      <c r="BG42" s="29">
        <f>ROUND(BE42 + BF42, 2)</f>
        <v/>
      </c>
      <c r="BH42" s="29">
        <f>Saldos_Capital_Mensual!T42</f>
        <v/>
      </c>
      <c r="BI42" s="29">
        <f>Saldos_Intereses_Mensual!T42</f>
        <v/>
      </c>
      <c r="BJ42" s="29">
        <f>ROUND(BH42 + BI42, 2)</f>
        <v/>
      </c>
      <c r="BK42" s="29">
        <f>Saldo_Residual_Activo!T42</f>
        <v/>
      </c>
      <c r="BL42" s="29">
        <f>ROUND(BJ42 + BK42, 2)</f>
        <v/>
      </c>
    </row>
    <row r="43">
      <c r="A43" s="20" t="inlineStr">
        <is>
          <t>0581-0001</t>
        </is>
      </c>
      <c r="B43" s="21" t="inlineStr">
        <is>
          <t>Aditivos y Vitaminas Mexicanas Sa de Cv</t>
        </is>
      </c>
      <c r="C43" s="21" t="inlineStr">
        <is>
          <t>RAM 700 REGULAR CAB</t>
        </is>
      </c>
      <c r="D43" s="22" t="n">
        <v>48</v>
      </c>
      <c r="E43" s="23">
        <f>Saldos_Capital_Mensual!I43</f>
        <v/>
      </c>
      <c r="F43" s="23">
        <f>Saldos_Intereses_Mensual!I43</f>
        <v/>
      </c>
      <c r="G43" s="23">
        <f>ROUND(E43 + F43, 2)</f>
        <v/>
      </c>
      <c r="H43" s="23">
        <f>Saldo_Residual_Activo!I43</f>
        <v/>
      </c>
      <c r="I43" s="23">
        <f>ROUND(G43 + H43, 2)</f>
        <v/>
      </c>
      <c r="J43" s="23">
        <f>Saldos_Capital_Mensual!J43</f>
        <v/>
      </c>
      <c r="K43" s="23">
        <f>Saldos_Intereses_Mensual!J43</f>
        <v/>
      </c>
      <c r="L43" s="23">
        <f>ROUND(J43 + K43, 2)</f>
        <v/>
      </c>
      <c r="M43" s="23">
        <f>Saldo_Residual_Activo!J43</f>
        <v/>
      </c>
      <c r="N43" s="23">
        <f>ROUND(L43 + M43, 2)</f>
        <v/>
      </c>
      <c r="O43" s="23">
        <f>Saldos_Capital_Mensual!K43</f>
        <v/>
      </c>
      <c r="P43" s="23">
        <f>Saldos_Intereses_Mensual!K43</f>
        <v/>
      </c>
      <c r="Q43" s="23">
        <f>ROUND(O43 + P43, 2)</f>
        <v/>
      </c>
      <c r="R43" s="23">
        <f>Saldo_Residual_Activo!K43</f>
        <v/>
      </c>
      <c r="S43" s="23">
        <f>ROUND(Q43 + R43, 2)</f>
        <v/>
      </c>
      <c r="T43" s="23">
        <f>Saldos_Capital_Mensual!L43</f>
        <v/>
      </c>
      <c r="U43" s="23">
        <f>Saldos_Intereses_Mensual!L43</f>
        <v/>
      </c>
      <c r="V43" s="23">
        <f>ROUND(T43 + U43, 2)</f>
        <v/>
      </c>
      <c r="W43" s="23">
        <f>Saldo_Residual_Activo!L43</f>
        <v/>
      </c>
      <c r="X43" s="23">
        <f>ROUND(V43 + W43, 2)</f>
        <v/>
      </c>
      <c r="Y43" s="23">
        <f>Saldos_Capital_Mensual!M43</f>
        <v/>
      </c>
      <c r="Z43" s="23">
        <f>Saldos_Intereses_Mensual!M43</f>
        <v/>
      </c>
      <c r="AA43" s="23">
        <f>ROUND(Y43 + Z43, 2)</f>
        <v/>
      </c>
      <c r="AB43" s="23">
        <f>Saldo_Residual_Activo!M43</f>
        <v/>
      </c>
      <c r="AC43" s="23">
        <f>ROUND(AA43 + AB43, 2)</f>
        <v/>
      </c>
      <c r="AD43" s="23">
        <f>Saldos_Capital_Mensual!N43</f>
        <v/>
      </c>
      <c r="AE43" s="23">
        <f>Saldos_Intereses_Mensual!N43</f>
        <v/>
      </c>
      <c r="AF43" s="23">
        <f>ROUND(AD43 + AE43, 2)</f>
        <v/>
      </c>
      <c r="AG43" s="23">
        <f>Saldo_Residual_Activo!N43</f>
        <v/>
      </c>
      <c r="AH43" s="23">
        <f>ROUND(AF43 + AG43, 2)</f>
        <v/>
      </c>
      <c r="AI43" s="23">
        <f>Saldos_Capital_Mensual!O43</f>
        <v/>
      </c>
      <c r="AJ43" s="23">
        <f>Saldos_Intereses_Mensual!O43</f>
        <v/>
      </c>
      <c r="AK43" s="23">
        <f>ROUND(AI43 + AJ43, 2)</f>
        <v/>
      </c>
      <c r="AL43" s="23">
        <f>Saldo_Residual_Activo!O43</f>
        <v/>
      </c>
      <c r="AM43" s="23">
        <f>ROUND(AK43 + AL43, 2)</f>
        <v/>
      </c>
      <c r="AN43" s="23">
        <f>Saldos_Capital_Mensual!P43</f>
        <v/>
      </c>
      <c r="AO43" s="23">
        <f>Saldos_Intereses_Mensual!P43</f>
        <v/>
      </c>
      <c r="AP43" s="23">
        <f>ROUND(AN43 + AO43, 2)</f>
        <v/>
      </c>
      <c r="AQ43" s="23">
        <f>Saldo_Residual_Activo!P43</f>
        <v/>
      </c>
      <c r="AR43" s="23">
        <f>ROUND(AP43 + AQ43, 2)</f>
        <v/>
      </c>
      <c r="AS43" s="23">
        <f>Saldos_Capital_Mensual!Q43</f>
        <v/>
      </c>
      <c r="AT43" s="23">
        <f>Saldos_Intereses_Mensual!Q43</f>
        <v/>
      </c>
      <c r="AU43" s="23">
        <f>ROUND(AS43 + AT43, 2)</f>
        <v/>
      </c>
      <c r="AV43" s="23">
        <f>Saldo_Residual_Activo!Q43</f>
        <v/>
      </c>
      <c r="AW43" s="23">
        <f>ROUND(AU43 + AV43, 2)</f>
        <v/>
      </c>
      <c r="AX43" s="23">
        <f>Saldos_Capital_Mensual!R43</f>
        <v/>
      </c>
      <c r="AY43" s="23">
        <f>Saldos_Intereses_Mensual!R43</f>
        <v/>
      </c>
      <c r="AZ43" s="23">
        <f>ROUND(AX43 + AY43, 2)</f>
        <v/>
      </c>
      <c r="BA43" s="23">
        <f>Saldo_Residual_Activo!R43</f>
        <v/>
      </c>
      <c r="BB43" s="23">
        <f>ROUND(AZ43 + BA43, 2)</f>
        <v/>
      </c>
      <c r="BC43" s="23">
        <f>Saldos_Capital_Mensual!S43</f>
        <v/>
      </c>
      <c r="BD43" s="23">
        <f>Saldos_Intereses_Mensual!S43</f>
        <v/>
      </c>
      <c r="BE43" s="23">
        <f>ROUND(BC43 + BD43, 2)</f>
        <v/>
      </c>
      <c r="BF43" s="23">
        <f>Saldo_Residual_Activo!S43</f>
        <v/>
      </c>
      <c r="BG43" s="23">
        <f>ROUND(BE43 + BF43, 2)</f>
        <v/>
      </c>
      <c r="BH43" s="23">
        <f>Saldos_Capital_Mensual!T43</f>
        <v/>
      </c>
      <c r="BI43" s="23">
        <f>Saldos_Intereses_Mensual!T43</f>
        <v/>
      </c>
      <c r="BJ43" s="23">
        <f>ROUND(BH43 + BI43, 2)</f>
        <v/>
      </c>
      <c r="BK43" s="23">
        <f>Saldo_Residual_Activo!T43</f>
        <v/>
      </c>
      <c r="BL43" s="23">
        <f>ROUND(BJ43 + BK43, 2)</f>
        <v/>
      </c>
    </row>
    <row r="44">
      <c r="A44" s="26" t="inlineStr">
        <is>
          <t>0581-0002</t>
        </is>
      </c>
      <c r="B44" s="27" t="inlineStr">
        <is>
          <t>Aditivos y Vitaminas Mexicanas Sa de Cv</t>
        </is>
      </c>
      <c r="C44" s="27" t="inlineStr">
        <is>
          <t>Ram 700 Regular Cab</t>
        </is>
      </c>
      <c r="D44" s="28" t="n">
        <v>48</v>
      </c>
      <c r="E44" s="29">
        <f>Saldos_Capital_Mensual!I44</f>
        <v/>
      </c>
      <c r="F44" s="29">
        <f>Saldos_Intereses_Mensual!I44</f>
        <v/>
      </c>
      <c r="G44" s="29">
        <f>ROUND(E44 + F44, 2)</f>
        <v/>
      </c>
      <c r="H44" s="29">
        <f>Saldo_Residual_Activo!I44</f>
        <v/>
      </c>
      <c r="I44" s="29">
        <f>ROUND(G44 + H44, 2)</f>
        <v/>
      </c>
      <c r="J44" s="29">
        <f>Saldos_Capital_Mensual!J44</f>
        <v/>
      </c>
      <c r="K44" s="29">
        <f>Saldos_Intereses_Mensual!J44</f>
        <v/>
      </c>
      <c r="L44" s="29">
        <f>ROUND(J44 + K44, 2)</f>
        <v/>
      </c>
      <c r="M44" s="29">
        <f>Saldo_Residual_Activo!J44</f>
        <v/>
      </c>
      <c r="N44" s="29">
        <f>ROUND(L44 + M44, 2)</f>
        <v/>
      </c>
      <c r="O44" s="29">
        <f>Saldos_Capital_Mensual!K44</f>
        <v/>
      </c>
      <c r="P44" s="29">
        <f>Saldos_Intereses_Mensual!K44</f>
        <v/>
      </c>
      <c r="Q44" s="29">
        <f>ROUND(O44 + P44, 2)</f>
        <v/>
      </c>
      <c r="R44" s="29">
        <f>Saldo_Residual_Activo!K44</f>
        <v/>
      </c>
      <c r="S44" s="29">
        <f>ROUND(Q44 + R44, 2)</f>
        <v/>
      </c>
      <c r="T44" s="29">
        <f>Saldos_Capital_Mensual!L44</f>
        <v/>
      </c>
      <c r="U44" s="29">
        <f>Saldos_Intereses_Mensual!L44</f>
        <v/>
      </c>
      <c r="V44" s="29">
        <f>ROUND(T44 + U44, 2)</f>
        <v/>
      </c>
      <c r="W44" s="29">
        <f>Saldo_Residual_Activo!L44</f>
        <v/>
      </c>
      <c r="X44" s="29">
        <f>ROUND(V44 + W44, 2)</f>
        <v/>
      </c>
      <c r="Y44" s="29">
        <f>Saldos_Capital_Mensual!M44</f>
        <v/>
      </c>
      <c r="Z44" s="29">
        <f>Saldos_Intereses_Mensual!M44</f>
        <v/>
      </c>
      <c r="AA44" s="29">
        <f>ROUND(Y44 + Z44, 2)</f>
        <v/>
      </c>
      <c r="AB44" s="29">
        <f>Saldo_Residual_Activo!M44</f>
        <v/>
      </c>
      <c r="AC44" s="29">
        <f>ROUND(AA44 + AB44, 2)</f>
        <v/>
      </c>
      <c r="AD44" s="29">
        <f>Saldos_Capital_Mensual!N44</f>
        <v/>
      </c>
      <c r="AE44" s="29">
        <f>Saldos_Intereses_Mensual!N44</f>
        <v/>
      </c>
      <c r="AF44" s="29">
        <f>ROUND(AD44 + AE44, 2)</f>
        <v/>
      </c>
      <c r="AG44" s="29">
        <f>Saldo_Residual_Activo!N44</f>
        <v/>
      </c>
      <c r="AH44" s="29">
        <f>ROUND(AF44 + AG44, 2)</f>
        <v/>
      </c>
      <c r="AI44" s="29">
        <f>Saldos_Capital_Mensual!O44</f>
        <v/>
      </c>
      <c r="AJ44" s="29">
        <f>Saldos_Intereses_Mensual!O44</f>
        <v/>
      </c>
      <c r="AK44" s="29">
        <f>ROUND(AI44 + AJ44, 2)</f>
        <v/>
      </c>
      <c r="AL44" s="29">
        <f>Saldo_Residual_Activo!O44</f>
        <v/>
      </c>
      <c r="AM44" s="29">
        <f>ROUND(AK44 + AL44, 2)</f>
        <v/>
      </c>
      <c r="AN44" s="29">
        <f>Saldos_Capital_Mensual!P44</f>
        <v/>
      </c>
      <c r="AO44" s="29">
        <f>Saldos_Intereses_Mensual!P44</f>
        <v/>
      </c>
      <c r="AP44" s="29">
        <f>ROUND(AN44 + AO44, 2)</f>
        <v/>
      </c>
      <c r="AQ44" s="29">
        <f>Saldo_Residual_Activo!P44</f>
        <v/>
      </c>
      <c r="AR44" s="29">
        <f>ROUND(AP44 + AQ44, 2)</f>
        <v/>
      </c>
      <c r="AS44" s="29">
        <f>Saldos_Capital_Mensual!Q44</f>
        <v/>
      </c>
      <c r="AT44" s="29">
        <f>Saldos_Intereses_Mensual!Q44</f>
        <v/>
      </c>
      <c r="AU44" s="29">
        <f>ROUND(AS44 + AT44, 2)</f>
        <v/>
      </c>
      <c r="AV44" s="29">
        <f>Saldo_Residual_Activo!Q44</f>
        <v/>
      </c>
      <c r="AW44" s="29">
        <f>ROUND(AU44 + AV44, 2)</f>
        <v/>
      </c>
      <c r="AX44" s="29">
        <f>Saldos_Capital_Mensual!R44</f>
        <v/>
      </c>
      <c r="AY44" s="29">
        <f>Saldos_Intereses_Mensual!R44</f>
        <v/>
      </c>
      <c r="AZ44" s="29">
        <f>ROUND(AX44 + AY44, 2)</f>
        <v/>
      </c>
      <c r="BA44" s="29">
        <f>Saldo_Residual_Activo!R44</f>
        <v/>
      </c>
      <c r="BB44" s="29">
        <f>ROUND(AZ44 + BA44, 2)</f>
        <v/>
      </c>
      <c r="BC44" s="29">
        <f>Saldos_Capital_Mensual!S44</f>
        <v/>
      </c>
      <c r="BD44" s="29">
        <f>Saldos_Intereses_Mensual!S44</f>
        <v/>
      </c>
      <c r="BE44" s="29">
        <f>ROUND(BC44 + BD44, 2)</f>
        <v/>
      </c>
      <c r="BF44" s="29">
        <f>Saldo_Residual_Activo!S44</f>
        <v/>
      </c>
      <c r="BG44" s="29">
        <f>ROUND(BE44 + BF44, 2)</f>
        <v/>
      </c>
      <c r="BH44" s="29">
        <f>Saldos_Capital_Mensual!T44</f>
        <v/>
      </c>
      <c r="BI44" s="29">
        <f>Saldos_Intereses_Mensual!T44</f>
        <v/>
      </c>
      <c r="BJ44" s="29">
        <f>ROUND(BH44 + BI44, 2)</f>
        <v/>
      </c>
      <c r="BK44" s="29">
        <f>Saldo_Residual_Activo!T44</f>
        <v/>
      </c>
      <c r="BL44" s="29">
        <f>ROUND(BJ44 + BK44, 2)</f>
        <v/>
      </c>
    </row>
    <row r="45">
      <c r="A45" s="20" t="inlineStr">
        <is>
          <t>0582-0003</t>
        </is>
      </c>
      <c r="B45" s="21" t="inlineStr">
        <is>
          <t>Ensaladas Frescas de Occidente Sa de Cv</t>
        </is>
      </c>
      <c r="C45" s="21" t="inlineStr">
        <is>
          <t>Pulse</t>
        </is>
      </c>
      <c r="D45" s="22" t="n">
        <v>48</v>
      </c>
      <c r="E45" s="23">
        <f>Saldos_Capital_Mensual!I45</f>
        <v/>
      </c>
      <c r="F45" s="23">
        <f>Saldos_Intereses_Mensual!I45</f>
        <v/>
      </c>
      <c r="G45" s="23">
        <f>ROUND(E45 + F45, 2)</f>
        <v/>
      </c>
      <c r="H45" s="23">
        <f>Saldo_Residual_Activo!I45</f>
        <v/>
      </c>
      <c r="I45" s="23">
        <f>ROUND(G45 + H45, 2)</f>
        <v/>
      </c>
      <c r="J45" s="23">
        <f>Saldos_Capital_Mensual!J45</f>
        <v/>
      </c>
      <c r="K45" s="23">
        <f>Saldos_Intereses_Mensual!J45</f>
        <v/>
      </c>
      <c r="L45" s="23">
        <f>ROUND(J45 + K45, 2)</f>
        <v/>
      </c>
      <c r="M45" s="23">
        <f>Saldo_Residual_Activo!J45</f>
        <v/>
      </c>
      <c r="N45" s="23">
        <f>ROUND(L45 + M45, 2)</f>
        <v/>
      </c>
      <c r="O45" s="23">
        <f>Saldos_Capital_Mensual!K45</f>
        <v/>
      </c>
      <c r="P45" s="23">
        <f>Saldos_Intereses_Mensual!K45</f>
        <v/>
      </c>
      <c r="Q45" s="23">
        <f>ROUND(O45 + P45, 2)</f>
        <v/>
      </c>
      <c r="R45" s="23">
        <f>Saldo_Residual_Activo!K45</f>
        <v/>
      </c>
      <c r="S45" s="23">
        <f>ROUND(Q45 + R45, 2)</f>
        <v/>
      </c>
      <c r="T45" s="23">
        <f>Saldos_Capital_Mensual!L45</f>
        <v/>
      </c>
      <c r="U45" s="23">
        <f>Saldos_Intereses_Mensual!L45</f>
        <v/>
      </c>
      <c r="V45" s="23">
        <f>ROUND(T45 + U45, 2)</f>
        <v/>
      </c>
      <c r="W45" s="23">
        <f>Saldo_Residual_Activo!L45</f>
        <v/>
      </c>
      <c r="X45" s="23">
        <f>ROUND(V45 + W45, 2)</f>
        <v/>
      </c>
      <c r="Y45" s="23">
        <f>Saldos_Capital_Mensual!M45</f>
        <v/>
      </c>
      <c r="Z45" s="23">
        <f>Saldos_Intereses_Mensual!M45</f>
        <v/>
      </c>
      <c r="AA45" s="23">
        <f>ROUND(Y45 + Z45, 2)</f>
        <v/>
      </c>
      <c r="AB45" s="23">
        <f>Saldo_Residual_Activo!M45</f>
        <v/>
      </c>
      <c r="AC45" s="23">
        <f>ROUND(AA45 + AB45, 2)</f>
        <v/>
      </c>
      <c r="AD45" s="23">
        <f>Saldos_Capital_Mensual!N45</f>
        <v/>
      </c>
      <c r="AE45" s="23">
        <f>Saldos_Intereses_Mensual!N45</f>
        <v/>
      </c>
      <c r="AF45" s="23">
        <f>ROUND(AD45 + AE45, 2)</f>
        <v/>
      </c>
      <c r="AG45" s="23">
        <f>Saldo_Residual_Activo!N45</f>
        <v/>
      </c>
      <c r="AH45" s="23">
        <f>ROUND(AF45 + AG45, 2)</f>
        <v/>
      </c>
      <c r="AI45" s="23">
        <f>Saldos_Capital_Mensual!O45</f>
        <v/>
      </c>
      <c r="AJ45" s="23">
        <f>Saldos_Intereses_Mensual!O45</f>
        <v/>
      </c>
      <c r="AK45" s="23">
        <f>ROUND(AI45 + AJ45, 2)</f>
        <v/>
      </c>
      <c r="AL45" s="23">
        <f>Saldo_Residual_Activo!O45</f>
        <v/>
      </c>
      <c r="AM45" s="23">
        <f>ROUND(AK45 + AL45, 2)</f>
        <v/>
      </c>
      <c r="AN45" s="23">
        <f>Saldos_Capital_Mensual!P45</f>
        <v/>
      </c>
      <c r="AO45" s="23">
        <f>Saldos_Intereses_Mensual!P45</f>
        <v/>
      </c>
      <c r="AP45" s="23">
        <f>ROUND(AN45 + AO45, 2)</f>
        <v/>
      </c>
      <c r="AQ45" s="23">
        <f>Saldo_Residual_Activo!P45</f>
        <v/>
      </c>
      <c r="AR45" s="23">
        <f>ROUND(AP45 + AQ45, 2)</f>
        <v/>
      </c>
      <c r="AS45" s="23">
        <f>Saldos_Capital_Mensual!Q45</f>
        <v/>
      </c>
      <c r="AT45" s="23">
        <f>Saldos_Intereses_Mensual!Q45</f>
        <v/>
      </c>
      <c r="AU45" s="23">
        <f>ROUND(AS45 + AT45, 2)</f>
        <v/>
      </c>
      <c r="AV45" s="23">
        <f>Saldo_Residual_Activo!Q45</f>
        <v/>
      </c>
      <c r="AW45" s="23">
        <f>ROUND(AU45 + AV45, 2)</f>
        <v/>
      </c>
      <c r="AX45" s="23">
        <f>Saldos_Capital_Mensual!R45</f>
        <v/>
      </c>
      <c r="AY45" s="23">
        <f>Saldos_Intereses_Mensual!R45</f>
        <v/>
      </c>
      <c r="AZ45" s="23">
        <f>ROUND(AX45 + AY45, 2)</f>
        <v/>
      </c>
      <c r="BA45" s="23">
        <f>Saldo_Residual_Activo!R45</f>
        <v/>
      </c>
      <c r="BB45" s="23">
        <f>ROUND(AZ45 + BA45, 2)</f>
        <v/>
      </c>
      <c r="BC45" s="23">
        <f>Saldos_Capital_Mensual!S45</f>
        <v/>
      </c>
      <c r="BD45" s="23">
        <f>Saldos_Intereses_Mensual!S45</f>
        <v/>
      </c>
      <c r="BE45" s="23">
        <f>ROUND(BC45 + BD45, 2)</f>
        <v/>
      </c>
      <c r="BF45" s="23">
        <f>Saldo_Residual_Activo!S45</f>
        <v/>
      </c>
      <c r="BG45" s="23">
        <f>ROUND(BE45 + BF45, 2)</f>
        <v/>
      </c>
      <c r="BH45" s="23">
        <f>Saldos_Capital_Mensual!T45</f>
        <v/>
      </c>
      <c r="BI45" s="23">
        <f>Saldos_Intereses_Mensual!T45</f>
        <v/>
      </c>
      <c r="BJ45" s="23">
        <f>ROUND(BH45 + BI45, 2)</f>
        <v/>
      </c>
      <c r="BK45" s="23">
        <f>Saldo_Residual_Activo!T45</f>
        <v/>
      </c>
      <c r="BL45" s="23">
        <f>ROUND(BJ45 + BK45, 2)</f>
        <v/>
      </c>
    </row>
    <row r="46">
      <c r="A46" s="26" t="inlineStr">
        <is>
          <t>0583-0004</t>
        </is>
      </c>
      <c r="B46" s="27" t="inlineStr">
        <is>
          <t>Soluciones Profesionales para la Industria Alimentaria</t>
        </is>
      </c>
      <c r="C46" s="27" t="inlineStr">
        <is>
          <t>BIGHORN CREW CAB MT</t>
        </is>
      </c>
      <c r="D46" s="28" t="n">
        <v>24</v>
      </c>
      <c r="E46" s="29">
        <f>Saldos_Capital_Mensual!I46</f>
        <v/>
      </c>
      <c r="F46" s="29">
        <f>Saldos_Intereses_Mensual!I46</f>
        <v/>
      </c>
      <c r="G46" s="29">
        <f>ROUND(E46 + F46, 2)</f>
        <v/>
      </c>
      <c r="H46" s="29">
        <f>Saldo_Residual_Activo!I46</f>
        <v/>
      </c>
      <c r="I46" s="29">
        <f>ROUND(G46 + H46, 2)</f>
        <v/>
      </c>
      <c r="J46" s="29">
        <f>Saldos_Capital_Mensual!J46</f>
        <v/>
      </c>
      <c r="K46" s="29">
        <f>Saldos_Intereses_Mensual!J46</f>
        <v/>
      </c>
      <c r="L46" s="29">
        <f>ROUND(J46 + K46, 2)</f>
        <v/>
      </c>
      <c r="M46" s="29">
        <f>Saldo_Residual_Activo!J46</f>
        <v/>
      </c>
      <c r="N46" s="29">
        <f>ROUND(L46 + M46, 2)</f>
        <v/>
      </c>
      <c r="O46" s="29">
        <f>Saldos_Capital_Mensual!K46</f>
        <v/>
      </c>
      <c r="P46" s="29">
        <f>Saldos_Intereses_Mensual!K46</f>
        <v/>
      </c>
      <c r="Q46" s="29">
        <f>ROUND(O46 + P46, 2)</f>
        <v/>
      </c>
      <c r="R46" s="29">
        <f>Saldo_Residual_Activo!K46</f>
        <v/>
      </c>
      <c r="S46" s="29">
        <f>ROUND(Q46 + R46, 2)</f>
        <v/>
      </c>
      <c r="T46" s="29">
        <f>Saldos_Capital_Mensual!L46</f>
        <v/>
      </c>
      <c r="U46" s="29">
        <f>Saldos_Intereses_Mensual!L46</f>
        <v/>
      </c>
      <c r="V46" s="29">
        <f>ROUND(T46 + U46, 2)</f>
        <v/>
      </c>
      <c r="W46" s="29">
        <f>Saldo_Residual_Activo!L46</f>
        <v/>
      </c>
      <c r="X46" s="29">
        <f>ROUND(V46 + W46, 2)</f>
        <v/>
      </c>
      <c r="Y46" s="29">
        <f>Saldos_Capital_Mensual!M46</f>
        <v/>
      </c>
      <c r="Z46" s="29">
        <f>Saldos_Intereses_Mensual!M46</f>
        <v/>
      </c>
      <c r="AA46" s="29">
        <f>ROUND(Y46 + Z46, 2)</f>
        <v/>
      </c>
      <c r="AB46" s="29">
        <f>Saldo_Residual_Activo!M46</f>
        <v/>
      </c>
      <c r="AC46" s="29">
        <f>ROUND(AA46 + AB46, 2)</f>
        <v/>
      </c>
      <c r="AD46" s="29">
        <f>Saldos_Capital_Mensual!N46</f>
        <v/>
      </c>
      <c r="AE46" s="29">
        <f>Saldos_Intereses_Mensual!N46</f>
        <v/>
      </c>
      <c r="AF46" s="29">
        <f>ROUND(AD46 + AE46, 2)</f>
        <v/>
      </c>
      <c r="AG46" s="29">
        <f>Saldo_Residual_Activo!N46</f>
        <v/>
      </c>
      <c r="AH46" s="29">
        <f>ROUND(AF46 + AG46, 2)</f>
        <v/>
      </c>
      <c r="AI46" s="29">
        <f>Saldos_Capital_Mensual!O46</f>
        <v/>
      </c>
      <c r="AJ46" s="29">
        <f>Saldos_Intereses_Mensual!O46</f>
        <v/>
      </c>
      <c r="AK46" s="29">
        <f>ROUND(AI46 + AJ46, 2)</f>
        <v/>
      </c>
      <c r="AL46" s="29">
        <f>Saldo_Residual_Activo!O46</f>
        <v/>
      </c>
      <c r="AM46" s="29">
        <f>ROUND(AK46 + AL46, 2)</f>
        <v/>
      </c>
      <c r="AN46" s="29">
        <f>Saldos_Capital_Mensual!P46</f>
        <v/>
      </c>
      <c r="AO46" s="29">
        <f>Saldos_Intereses_Mensual!P46</f>
        <v/>
      </c>
      <c r="AP46" s="29">
        <f>ROUND(AN46 + AO46, 2)</f>
        <v/>
      </c>
      <c r="AQ46" s="29">
        <f>Saldo_Residual_Activo!P46</f>
        <v/>
      </c>
      <c r="AR46" s="29">
        <f>ROUND(AP46 + AQ46, 2)</f>
        <v/>
      </c>
      <c r="AS46" s="29">
        <f>Saldos_Capital_Mensual!Q46</f>
        <v/>
      </c>
      <c r="AT46" s="29">
        <f>Saldos_Intereses_Mensual!Q46</f>
        <v/>
      </c>
      <c r="AU46" s="29">
        <f>ROUND(AS46 + AT46, 2)</f>
        <v/>
      </c>
      <c r="AV46" s="29">
        <f>Saldo_Residual_Activo!Q46</f>
        <v/>
      </c>
      <c r="AW46" s="29">
        <f>ROUND(AU46 + AV46, 2)</f>
        <v/>
      </c>
      <c r="AX46" s="29">
        <f>Saldos_Capital_Mensual!R46</f>
        <v/>
      </c>
      <c r="AY46" s="29">
        <f>Saldos_Intereses_Mensual!R46</f>
        <v/>
      </c>
      <c r="AZ46" s="29">
        <f>ROUND(AX46 + AY46, 2)</f>
        <v/>
      </c>
      <c r="BA46" s="29">
        <f>Saldo_Residual_Activo!R46</f>
        <v/>
      </c>
      <c r="BB46" s="29">
        <f>ROUND(AZ46 + BA46, 2)</f>
        <v/>
      </c>
      <c r="BC46" s="29">
        <f>Saldos_Capital_Mensual!S46</f>
        <v/>
      </c>
      <c r="BD46" s="29">
        <f>Saldos_Intereses_Mensual!S46</f>
        <v/>
      </c>
      <c r="BE46" s="29">
        <f>ROUND(BC46 + BD46, 2)</f>
        <v/>
      </c>
      <c r="BF46" s="29">
        <f>Saldo_Residual_Activo!S46</f>
        <v/>
      </c>
      <c r="BG46" s="29">
        <f>ROUND(BE46 + BF46, 2)</f>
        <v/>
      </c>
      <c r="BH46" s="29">
        <f>Saldos_Capital_Mensual!T46</f>
        <v/>
      </c>
      <c r="BI46" s="29">
        <f>Saldos_Intereses_Mensual!T46</f>
        <v/>
      </c>
      <c r="BJ46" s="29">
        <f>ROUND(BH46 + BI46, 2)</f>
        <v/>
      </c>
      <c r="BK46" s="29">
        <f>Saldo_Residual_Activo!T46</f>
        <v/>
      </c>
      <c r="BL46" s="29">
        <f>ROUND(BJ46 + BK46, 2)</f>
        <v/>
      </c>
    </row>
    <row r="47">
      <c r="A47" s="20" t="inlineStr">
        <is>
          <t>0583-0005</t>
        </is>
      </c>
      <c r="B47" s="21" t="inlineStr">
        <is>
          <t>Soluciones Profesionales para la Industria Alimentaria</t>
        </is>
      </c>
      <c r="C47" s="21" t="inlineStr">
        <is>
          <t>3008</t>
        </is>
      </c>
      <c r="D47" s="22" t="n">
        <v>36</v>
      </c>
      <c r="E47" s="23">
        <f>Saldos_Capital_Mensual!I47</f>
        <v/>
      </c>
      <c r="F47" s="23">
        <f>Saldos_Intereses_Mensual!I47</f>
        <v/>
      </c>
      <c r="G47" s="23">
        <f>ROUND(E47 + F47, 2)</f>
        <v/>
      </c>
      <c r="H47" s="23">
        <f>Saldo_Residual_Activo!I47</f>
        <v/>
      </c>
      <c r="I47" s="23">
        <f>ROUND(G47 + H47, 2)</f>
        <v/>
      </c>
      <c r="J47" s="23">
        <f>Saldos_Capital_Mensual!J47</f>
        <v/>
      </c>
      <c r="K47" s="23">
        <f>Saldos_Intereses_Mensual!J47</f>
        <v/>
      </c>
      <c r="L47" s="23">
        <f>ROUND(J47 + K47, 2)</f>
        <v/>
      </c>
      <c r="M47" s="23">
        <f>Saldo_Residual_Activo!J47</f>
        <v/>
      </c>
      <c r="N47" s="23">
        <f>ROUND(L47 + M47, 2)</f>
        <v/>
      </c>
      <c r="O47" s="23">
        <f>Saldos_Capital_Mensual!K47</f>
        <v/>
      </c>
      <c r="P47" s="23">
        <f>Saldos_Intereses_Mensual!K47</f>
        <v/>
      </c>
      <c r="Q47" s="23">
        <f>ROUND(O47 + P47, 2)</f>
        <v/>
      </c>
      <c r="R47" s="23">
        <f>Saldo_Residual_Activo!K47</f>
        <v/>
      </c>
      <c r="S47" s="23">
        <f>ROUND(Q47 + R47, 2)</f>
        <v/>
      </c>
      <c r="T47" s="23">
        <f>Saldos_Capital_Mensual!L47</f>
        <v/>
      </c>
      <c r="U47" s="23">
        <f>Saldos_Intereses_Mensual!L47</f>
        <v/>
      </c>
      <c r="V47" s="23">
        <f>ROUND(T47 + U47, 2)</f>
        <v/>
      </c>
      <c r="W47" s="23">
        <f>Saldo_Residual_Activo!L47</f>
        <v/>
      </c>
      <c r="X47" s="23">
        <f>ROUND(V47 + W47, 2)</f>
        <v/>
      </c>
      <c r="Y47" s="23">
        <f>Saldos_Capital_Mensual!M47</f>
        <v/>
      </c>
      <c r="Z47" s="23">
        <f>Saldos_Intereses_Mensual!M47</f>
        <v/>
      </c>
      <c r="AA47" s="23">
        <f>ROUND(Y47 + Z47, 2)</f>
        <v/>
      </c>
      <c r="AB47" s="23">
        <f>Saldo_Residual_Activo!M47</f>
        <v/>
      </c>
      <c r="AC47" s="23">
        <f>ROUND(AA47 + AB47, 2)</f>
        <v/>
      </c>
      <c r="AD47" s="23">
        <f>Saldos_Capital_Mensual!N47</f>
        <v/>
      </c>
      <c r="AE47" s="23">
        <f>Saldos_Intereses_Mensual!N47</f>
        <v/>
      </c>
      <c r="AF47" s="23">
        <f>ROUND(AD47 + AE47, 2)</f>
        <v/>
      </c>
      <c r="AG47" s="23">
        <f>Saldo_Residual_Activo!N47</f>
        <v/>
      </c>
      <c r="AH47" s="23">
        <f>ROUND(AF47 + AG47, 2)</f>
        <v/>
      </c>
      <c r="AI47" s="23">
        <f>Saldos_Capital_Mensual!O47</f>
        <v/>
      </c>
      <c r="AJ47" s="23">
        <f>Saldos_Intereses_Mensual!O47</f>
        <v/>
      </c>
      <c r="AK47" s="23">
        <f>ROUND(AI47 + AJ47, 2)</f>
        <v/>
      </c>
      <c r="AL47" s="23">
        <f>Saldo_Residual_Activo!O47</f>
        <v/>
      </c>
      <c r="AM47" s="23">
        <f>ROUND(AK47 + AL47, 2)</f>
        <v/>
      </c>
      <c r="AN47" s="23">
        <f>Saldos_Capital_Mensual!P47</f>
        <v/>
      </c>
      <c r="AO47" s="23">
        <f>Saldos_Intereses_Mensual!P47</f>
        <v/>
      </c>
      <c r="AP47" s="23">
        <f>ROUND(AN47 + AO47, 2)</f>
        <v/>
      </c>
      <c r="AQ47" s="23">
        <f>Saldo_Residual_Activo!P47</f>
        <v/>
      </c>
      <c r="AR47" s="23">
        <f>ROUND(AP47 + AQ47, 2)</f>
        <v/>
      </c>
      <c r="AS47" s="23">
        <f>Saldos_Capital_Mensual!Q47</f>
        <v/>
      </c>
      <c r="AT47" s="23">
        <f>Saldos_Intereses_Mensual!Q47</f>
        <v/>
      </c>
      <c r="AU47" s="23">
        <f>ROUND(AS47 + AT47, 2)</f>
        <v/>
      </c>
      <c r="AV47" s="23">
        <f>Saldo_Residual_Activo!Q47</f>
        <v/>
      </c>
      <c r="AW47" s="23">
        <f>ROUND(AU47 + AV47, 2)</f>
        <v/>
      </c>
      <c r="AX47" s="23">
        <f>Saldos_Capital_Mensual!R47</f>
        <v/>
      </c>
      <c r="AY47" s="23">
        <f>Saldos_Intereses_Mensual!R47</f>
        <v/>
      </c>
      <c r="AZ47" s="23">
        <f>ROUND(AX47 + AY47, 2)</f>
        <v/>
      </c>
      <c r="BA47" s="23">
        <f>Saldo_Residual_Activo!R47</f>
        <v/>
      </c>
      <c r="BB47" s="23">
        <f>ROUND(AZ47 + BA47, 2)</f>
        <v/>
      </c>
      <c r="BC47" s="23">
        <f>Saldos_Capital_Mensual!S47</f>
        <v/>
      </c>
      <c r="BD47" s="23">
        <f>Saldos_Intereses_Mensual!S47</f>
        <v/>
      </c>
      <c r="BE47" s="23">
        <f>ROUND(BC47 + BD47, 2)</f>
        <v/>
      </c>
      <c r="BF47" s="23">
        <f>Saldo_Residual_Activo!S47</f>
        <v/>
      </c>
      <c r="BG47" s="23">
        <f>ROUND(BE47 + BF47, 2)</f>
        <v/>
      </c>
      <c r="BH47" s="23">
        <f>Saldos_Capital_Mensual!T47</f>
        <v/>
      </c>
      <c r="BI47" s="23">
        <f>Saldos_Intereses_Mensual!T47</f>
        <v/>
      </c>
      <c r="BJ47" s="23">
        <f>ROUND(BH47 + BI47, 2)</f>
        <v/>
      </c>
      <c r="BK47" s="23">
        <f>Saldo_Residual_Activo!T47</f>
        <v/>
      </c>
      <c r="BL47" s="23">
        <f>ROUND(BJ47 + BK47, 2)</f>
        <v/>
      </c>
    </row>
    <row r="48">
      <c r="A48" s="26" t="inlineStr">
        <is>
          <t>0583-0006</t>
        </is>
      </c>
      <c r="B48" s="27" t="inlineStr">
        <is>
          <t>Soluciones Profesionales para la Industria Alimentaria</t>
        </is>
      </c>
      <c r="C48" s="27" t="inlineStr">
        <is>
          <t>Montana</t>
        </is>
      </c>
      <c r="D48" s="28" t="n">
        <v>24</v>
      </c>
      <c r="E48" s="29">
        <f>Saldos_Capital_Mensual!I48</f>
        <v/>
      </c>
      <c r="F48" s="29">
        <f>Saldos_Intereses_Mensual!I48</f>
        <v/>
      </c>
      <c r="G48" s="29">
        <f>ROUND(E48 + F48, 2)</f>
        <v/>
      </c>
      <c r="H48" s="29">
        <f>Saldo_Residual_Activo!I48</f>
        <v/>
      </c>
      <c r="I48" s="29">
        <f>ROUND(G48 + H48, 2)</f>
        <v/>
      </c>
      <c r="J48" s="29">
        <f>Saldos_Capital_Mensual!J48</f>
        <v/>
      </c>
      <c r="K48" s="29">
        <f>Saldos_Intereses_Mensual!J48</f>
        <v/>
      </c>
      <c r="L48" s="29">
        <f>ROUND(J48 + K48, 2)</f>
        <v/>
      </c>
      <c r="M48" s="29">
        <f>Saldo_Residual_Activo!J48</f>
        <v/>
      </c>
      <c r="N48" s="29">
        <f>ROUND(L48 + M48, 2)</f>
        <v/>
      </c>
      <c r="O48" s="29">
        <f>Saldos_Capital_Mensual!K48</f>
        <v/>
      </c>
      <c r="P48" s="29">
        <f>Saldos_Intereses_Mensual!K48</f>
        <v/>
      </c>
      <c r="Q48" s="29">
        <f>ROUND(O48 + P48, 2)</f>
        <v/>
      </c>
      <c r="R48" s="29">
        <f>Saldo_Residual_Activo!K48</f>
        <v/>
      </c>
      <c r="S48" s="29">
        <f>ROUND(Q48 + R48, 2)</f>
        <v/>
      </c>
      <c r="T48" s="29">
        <f>Saldos_Capital_Mensual!L48</f>
        <v/>
      </c>
      <c r="U48" s="29">
        <f>Saldos_Intereses_Mensual!L48</f>
        <v/>
      </c>
      <c r="V48" s="29">
        <f>ROUND(T48 + U48, 2)</f>
        <v/>
      </c>
      <c r="W48" s="29">
        <f>Saldo_Residual_Activo!L48</f>
        <v/>
      </c>
      <c r="X48" s="29">
        <f>ROUND(V48 + W48, 2)</f>
        <v/>
      </c>
      <c r="Y48" s="29">
        <f>Saldos_Capital_Mensual!M48</f>
        <v/>
      </c>
      <c r="Z48" s="29">
        <f>Saldos_Intereses_Mensual!M48</f>
        <v/>
      </c>
      <c r="AA48" s="29">
        <f>ROUND(Y48 + Z48, 2)</f>
        <v/>
      </c>
      <c r="AB48" s="29">
        <f>Saldo_Residual_Activo!M48</f>
        <v/>
      </c>
      <c r="AC48" s="29">
        <f>ROUND(AA48 + AB48, 2)</f>
        <v/>
      </c>
      <c r="AD48" s="29">
        <f>Saldos_Capital_Mensual!N48</f>
        <v/>
      </c>
      <c r="AE48" s="29">
        <f>Saldos_Intereses_Mensual!N48</f>
        <v/>
      </c>
      <c r="AF48" s="29">
        <f>ROUND(AD48 + AE48, 2)</f>
        <v/>
      </c>
      <c r="AG48" s="29">
        <f>Saldo_Residual_Activo!N48</f>
        <v/>
      </c>
      <c r="AH48" s="29">
        <f>ROUND(AF48 + AG48, 2)</f>
        <v/>
      </c>
      <c r="AI48" s="29">
        <f>Saldos_Capital_Mensual!O48</f>
        <v/>
      </c>
      <c r="AJ48" s="29">
        <f>Saldos_Intereses_Mensual!O48</f>
        <v/>
      </c>
      <c r="AK48" s="29">
        <f>ROUND(AI48 + AJ48, 2)</f>
        <v/>
      </c>
      <c r="AL48" s="29">
        <f>Saldo_Residual_Activo!O48</f>
        <v/>
      </c>
      <c r="AM48" s="29">
        <f>ROUND(AK48 + AL48, 2)</f>
        <v/>
      </c>
      <c r="AN48" s="29">
        <f>Saldos_Capital_Mensual!P48</f>
        <v/>
      </c>
      <c r="AO48" s="29">
        <f>Saldos_Intereses_Mensual!P48</f>
        <v/>
      </c>
      <c r="AP48" s="29">
        <f>ROUND(AN48 + AO48, 2)</f>
        <v/>
      </c>
      <c r="AQ48" s="29">
        <f>Saldo_Residual_Activo!P48</f>
        <v/>
      </c>
      <c r="AR48" s="29">
        <f>ROUND(AP48 + AQ48, 2)</f>
        <v/>
      </c>
      <c r="AS48" s="29">
        <f>Saldos_Capital_Mensual!Q48</f>
        <v/>
      </c>
      <c r="AT48" s="29">
        <f>Saldos_Intereses_Mensual!Q48</f>
        <v/>
      </c>
      <c r="AU48" s="29">
        <f>ROUND(AS48 + AT48, 2)</f>
        <v/>
      </c>
      <c r="AV48" s="29">
        <f>Saldo_Residual_Activo!Q48</f>
        <v/>
      </c>
      <c r="AW48" s="29">
        <f>ROUND(AU48 + AV48, 2)</f>
        <v/>
      </c>
      <c r="AX48" s="29">
        <f>Saldos_Capital_Mensual!R48</f>
        <v/>
      </c>
      <c r="AY48" s="29">
        <f>Saldos_Intereses_Mensual!R48</f>
        <v/>
      </c>
      <c r="AZ48" s="29">
        <f>ROUND(AX48 + AY48, 2)</f>
        <v/>
      </c>
      <c r="BA48" s="29">
        <f>Saldo_Residual_Activo!R48</f>
        <v/>
      </c>
      <c r="BB48" s="29">
        <f>ROUND(AZ48 + BA48, 2)</f>
        <v/>
      </c>
      <c r="BC48" s="29">
        <f>Saldos_Capital_Mensual!S48</f>
        <v/>
      </c>
      <c r="BD48" s="29">
        <f>Saldos_Intereses_Mensual!S48</f>
        <v/>
      </c>
      <c r="BE48" s="29">
        <f>ROUND(BC48 + BD48, 2)</f>
        <v/>
      </c>
      <c r="BF48" s="29">
        <f>Saldo_Residual_Activo!S48</f>
        <v/>
      </c>
      <c r="BG48" s="29">
        <f>ROUND(BE48 + BF48, 2)</f>
        <v/>
      </c>
      <c r="BH48" s="29">
        <f>Saldos_Capital_Mensual!T48</f>
        <v/>
      </c>
      <c r="BI48" s="29">
        <f>Saldos_Intereses_Mensual!T48</f>
        <v/>
      </c>
      <c r="BJ48" s="29">
        <f>ROUND(BH48 + BI48, 2)</f>
        <v/>
      </c>
      <c r="BK48" s="29">
        <f>Saldo_Residual_Activo!T48</f>
        <v/>
      </c>
      <c r="BL48" s="29">
        <f>ROUND(BJ48 + BK48, 2)</f>
        <v/>
      </c>
    </row>
    <row r="49">
      <c r="A49" s="20" t="inlineStr">
        <is>
          <t>0585-0002</t>
        </is>
      </c>
      <c r="B49" s="21" t="inlineStr">
        <is>
          <t>Julio Alberto Ramos de la Mora</t>
        </is>
      </c>
      <c r="C49" s="21" t="inlineStr">
        <is>
          <t>Ram 1500 Limited</t>
        </is>
      </c>
      <c r="D49" s="22" t="n">
        <v>36</v>
      </c>
      <c r="E49" s="23">
        <f>Saldos_Capital_Mensual!I49</f>
        <v/>
      </c>
      <c r="F49" s="23">
        <f>Saldos_Intereses_Mensual!I49</f>
        <v/>
      </c>
      <c r="G49" s="23">
        <f>ROUND(E49 + F49, 2)</f>
        <v/>
      </c>
      <c r="H49" s="23">
        <f>Saldo_Residual_Activo!I49</f>
        <v/>
      </c>
      <c r="I49" s="23">
        <f>ROUND(G49 + H49, 2)</f>
        <v/>
      </c>
      <c r="J49" s="23">
        <f>Saldos_Capital_Mensual!J49</f>
        <v/>
      </c>
      <c r="K49" s="23">
        <f>Saldos_Intereses_Mensual!J49</f>
        <v/>
      </c>
      <c r="L49" s="23">
        <f>ROUND(J49 + K49, 2)</f>
        <v/>
      </c>
      <c r="M49" s="23">
        <f>Saldo_Residual_Activo!J49</f>
        <v/>
      </c>
      <c r="N49" s="23">
        <f>ROUND(L49 + M49, 2)</f>
        <v/>
      </c>
      <c r="O49" s="23">
        <f>Saldos_Capital_Mensual!K49</f>
        <v/>
      </c>
      <c r="P49" s="23">
        <f>Saldos_Intereses_Mensual!K49</f>
        <v/>
      </c>
      <c r="Q49" s="23">
        <f>ROUND(O49 + P49, 2)</f>
        <v/>
      </c>
      <c r="R49" s="23">
        <f>Saldo_Residual_Activo!K49</f>
        <v/>
      </c>
      <c r="S49" s="23">
        <f>ROUND(Q49 + R49, 2)</f>
        <v/>
      </c>
      <c r="T49" s="23">
        <f>Saldos_Capital_Mensual!L49</f>
        <v/>
      </c>
      <c r="U49" s="23">
        <f>Saldos_Intereses_Mensual!L49</f>
        <v/>
      </c>
      <c r="V49" s="23">
        <f>ROUND(T49 + U49, 2)</f>
        <v/>
      </c>
      <c r="W49" s="23">
        <f>Saldo_Residual_Activo!L49</f>
        <v/>
      </c>
      <c r="X49" s="23">
        <f>ROUND(V49 + W49, 2)</f>
        <v/>
      </c>
      <c r="Y49" s="23">
        <f>Saldos_Capital_Mensual!M49</f>
        <v/>
      </c>
      <c r="Z49" s="23">
        <f>Saldos_Intereses_Mensual!M49</f>
        <v/>
      </c>
      <c r="AA49" s="23">
        <f>ROUND(Y49 + Z49, 2)</f>
        <v/>
      </c>
      <c r="AB49" s="23">
        <f>Saldo_Residual_Activo!M49</f>
        <v/>
      </c>
      <c r="AC49" s="23">
        <f>ROUND(AA49 + AB49, 2)</f>
        <v/>
      </c>
      <c r="AD49" s="23">
        <f>Saldos_Capital_Mensual!N49</f>
        <v/>
      </c>
      <c r="AE49" s="23">
        <f>Saldos_Intereses_Mensual!N49</f>
        <v/>
      </c>
      <c r="AF49" s="23">
        <f>ROUND(AD49 + AE49, 2)</f>
        <v/>
      </c>
      <c r="AG49" s="23">
        <f>Saldo_Residual_Activo!N49</f>
        <v/>
      </c>
      <c r="AH49" s="23">
        <f>ROUND(AF49 + AG49, 2)</f>
        <v/>
      </c>
      <c r="AI49" s="23">
        <f>Saldos_Capital_Mensual!O49</f>
        <v/>
      </c>
      <c r="AJ49" s="23">
        <f>Saldos_Intereses_Mensual!O49</f>
        <v/>
      </c>
      <c r="AK49" s="23">
        <f>ROUND(AI49 + AJ49, 2)</f>
        <v/>
      </c>
      <c r="AL49" s="23">
        <f>Saldo_Residual_Activo!O49</f>
        <v/>
      </c>
      <c r="AM49" s="23">
        <f>ROUND(AK49 + AL49, 2)</f>
        <v/>
      </c>
      <c r="AN49" s="23">
        <f>Saldos_Capital_Mensual!P49</f>
        <v/>
      </c>
      <c r="AO49" s="23">
        <f>Saldos_Intereses_Mensual!P49</f>
        <v/>
      </c>
      <c r="AP49" s="23">
        <f>ROUND(AN49 + AO49, 2)</f>
        <v/>
      </c>
      <c r="AQ49" s="23">
        <f>Saldo_Residual_Activo!P49</f>
        <v/>
      </c>
      <c r="AR49" s="23">
        <f>ROUND(AP49 + AQ49, 2)</f>
        <v/>
      </c>
      <c r="AS49" s="23">
        <f>Saldos_Capital_Mensual!Q49</f>
        <v/>
      </c>
      <c r="AT49" s="23">
        <f>Saldos_Intereses_Mensual!Q49</f>
        <v/>
      </c>
      <c r="AU49" s="23">
        <f>ROUND(AS49 + AT49, 2)</f>
        <v/>
      </c>
      <c r="AV49" s="23">
        <f>Saldo_Residual_Activo!Q49</f>
        <v/>
      </c>
      <c r="AW49" s="23">
        <f>ROUND(AU49 + AV49, 2)</f>
        <v/>
      </c>
      <c r="AX49" s="23">
        <f>Saldos_Capital_Mensual!R49</f>
        <v/>
      </c>
      <c r="AY49" s="23">
        <f>Saldos_Intereses_Mensual!R49</f>
        <v/>
      </c>
      <c r="AZ49" s="23">
        <f>ROUND(AX49 + AY49, 2)</f>
        <v/>
      </c>
      <c r="BA49" s="23">
        <f>Saldo_Residual_Activo!R49</f>
        <v/>
      </c>
      <c r="BB49" s="23">
        <f>ROUND(AZ49 + BA49, 2)</f>
        <v/>
      </c>
      <c r="BC49" s="23">
        <f>Saldos_Capital_Mensual!S49</f>
        <v/>
      </c>
      <c r="BD49" s="23">
        <f>Saldos_Intereses_Mensual!S49</f>
        <v/>
      </c>
      <c r="BE49" s="23">
        <f>ROUND(BC49 + BD49, 2)</f>
        <v/>
      </c>
      <c r="BF49" s="23">
        <f>Saldo_Residual_Activo!S49</f>
        <v/>
      </c>
      <c r="BG49" s="23">
        <f>ROUND(BE49 + BF49, 2)</f>
        <v/>
      </c>
      <c r="BH49" s="23">
        <f>Saldos_Capital_Mensual!T49</f>
        <v/>
      </c>
      <c r="BI49" s="23">
        <f>Saldos_Intereses_Mensual!T49</f>
        <v/>
      </c>
      <c r="BJ49" s="23">
        <f>ROUND(BH49 + BI49, 2)</f>
        <v/>
      </c>
      <c r="BK49" s="23">
        <f>Saldo_Residual_Activo!T49</f>
        <v/>
      </c>
      <c r="BL49" s="23">
        <f>ROUND(BJ49 + BK49, 2)</f>
        <v/>
      </c>
    </row>
    <row r="50">
      <c r="A50" s="26" t="inlineStr">
        <is>
          <t>0585-0003</t>
        </is>
      </c>
      <c r="B50" s="27" t="inlineStr">
        <is>
          <t>Julio Alberto Ramos de la Mora</t>
        </is>
      </c>
      <c r="C50" s="27" t="inlineStr">
        <is>
          <t>Wrangler Rubicon</t>
        </is>
      </c>
      <c r="D50" s="28" t="n">
        <v>48</v>
      </c>
      <c r="E50" s="29">
        <f>Saldos_Capital_Mensual!I50</f>
        <v/>
      </c>
      <c r="F50" s="29">
        <f>Saldos_Intereses_Mensual!I50</f>
        <v/>
      </c>
      <c r="G50" s="29">
        <f>ROUND(E50 + F50, 2)</f>
        <v/>
      </c>
      <c r="H50" s="29">
        <f>Saldo_Residual_Activo!I50</f>
        <v/>
      </c>
      <c r="I50" s="29">
        <f>ROUND(G50 + H50, 2)</f>
        <v/>
      </c>
      <c r="J50" s="29">
        <f>Saldos_Capital_Mensual!J50</f>
        <v/>
      </c>
      <c r="K50" s="29">
        <f>Saldos_Intereses_Mensual!J50</f>
        <v/>
      </c>
      <c r="L50" s="29">
        <f>ROUND(J50 + K50, 2)</f>
        <v/>
      </c>
      <c r="M50" s="29">
        <f>Saldo_Residual_Activo!J50</f>
        <v/>
      </c>
      <c r="N50" s="29">
        <f>ROUND(L50 + M50, 2)</f>
        <v/>
      </c>
      <c r="O50" s="29">
        <f>Saldos_Capital_Mensual!K50</f>
        <v/>
      </c>
      <c r="P50" s="29">
        <f>Saldos_Intereses_Mensual!K50</f>
        <v/>
      </c>
      <c r="Q50" s="29">
        <f>ROUND(O50 + P50, 2)</f>
        <v/>
      </c>
      <c r="R50" s="29">
        <f>Saldo_Residual_Activo!K50</f>
        <v/>
      </c>
      <c r="S50" s="29">
        <f>ROUND(Q50 + R50, 2)</f>
        <v/>
      </c>
      <c r="T50" s="29">
        <f>Saldos_Capital_Mensual!L50</f>
        <v/>
      </c>
      <c r="U50" s="29">
        <f>Saldos_Intereses_Mensual!L50</f>
        <v/>
      </c>
      <c r="V50" s="29">
        <f>ROUND(T50 + U50, 2)</f>
        <v/>
      </c>
      <c r="W50" s="29">
        <f>Saldo_Residual_Activo!L50</f>
        <v/>
      </c>
      <c r="X50" s="29">
        <f>ROUND(V50 + W50, 2)</f>
        <v/>
      </c>
      <c r="Y50" s="29">
        <f>Saldos_Capital_Mensual!M50</f>
        <v/>
      </c>
      <c r="Z50" s="29">
        <f>Saldos_Intereses_Mensual!M50</f>
        <v/>
      </c>
      <c r="AA50" s="29">
        <f>ROUND(Y50 + Z50, 2)</f>
        <v/>
      </c>
      <c r="AB50" s="29">
        <f>Saldo_Residual_Activo!M50</f>
        <v/>
      </c>
      <c r="AC50" s="29">
        <f>ROUND(AA50 + AB50, 2)</f>
        <v/>
      </c>
      <c r="AD50" s="29">
        <f>Saldos_Capital_Mensual!N50</f>
        <v/>
      </c>
      <c r="AE50" s="29">
        <f>Saldos_Intereses_Mensual!N50</f>
        <v/>
      </c>
      <c r="AF50" s="29">
        <f>ROUND(AD50 + AE50, 2)</f>
        <v/>
      </c>
      <c r="AG50" s="29">
        <f>Saldo_Residual_Activo!N50</f>
        <v/>
      </c>
      <c r="AH50" s="29">
        <f>ROUND(AF50 + AG50, 2)</f>
        <v/>
      </c>
      <c r="AI50" s="29">
        <f>Saldos_Capital_Mensual!O50</f>
        <v/>
      </c>
      <c r="AJ50" s="29">
        <f>Saldos_Intereses_Mensual!O50</f>
        <v/>
      </c>
      <c r="AK50" s="29">
        <f>ROUND(AI50 + AJ50, 2)</f>
        <v/>
      </c>
      <c r="AL50" s="29">
        <f>Saldo_Residual_Activo!O50</f>
        <v/>
      </c>
      <c r="AM50" s="29">
        <f>ROUND(AK50 + AL50, 2)</f>
        <v/>
      </c>
      <c r="AN50" s="29">
        <f>Saldos_Capital_Mensual!P50</f>
        <v/>
      </c>
      <c r="AO50" s="29">
        <f>Saldos_Intereses_Mensual!P50</f>
        <v/>
      </c>
      <c r="AP50" s="29">
        <f>ROUND(AN50 + AO50, 2)</f>
        <v/>
      </c>
      <c r="AQ50" s="29">
        <f>Saldo_Residual_Activo!P50</f>
        <v/>
      </c>
      <c r="AR50" s="29">
        <f>ROUND(AP50 + AQ50, 2)</f>
        <v/>
      </c>
      <c r="AS50" s="29">
        <f>Saldos_Capital_Mensual!Q50</f>
        <v/>
      </c>
      <c r="AT50" s="29">
        <f>Saldos_Intereses_Mensual!Q50</f>
        <v/>
      </c>
      <c r="AU50" s="29">
        <f>ROUND(AS50 + AT50, 2)</f>
        <v/>
      </c>
      <c r="AV50" s="29">
        <f>Saldo_Residual_Activo!Q50</f>
        <v/>
      </c>
      <c r="AW50" s="29">
        <f>ROUND(AU50 + AV50, 2)</f>
        <v/>
      </c>
      <c r="AX50" s="29">
        <f>Saldos_Capital_Mensual!R50</f>
        <v/>
      </c>
      <c r="AY50" s="29">
        <f>Saldos_Intereses_Mensual!R50</f>
        <v/>
      </c>
      <c r="AZ50" s="29">
        <f>ROUND(AX50 + AY50, 2)</f>
        <v/>
      </c>
      <c r="BA50" s="29">
        <f>Saldo_Residual_Activo!R50</f>
        <v/>
      </c>
      <c r="BB50" s="29">
        <f>ROUND(AZ50 + BA50, 2)</f>
        <v/>
      </c>
      <c r="BC50" s="29">
        <f>Saldos_Capital_Mensual!S50</f>
        <v/>
      </c>
      <c r="BD50" s="29">
        <f>Saldos_Intereses_Mensual!S50</f>
        <v/>
      </c>
      <c r="BE50" s="29">
        <f>ROUND(BC50 + BD50, 2)</f>
        <v/>
      </c>
      <c r="BF50" s="29">
        <f>Saldo_Residual_Activo!S50</f>
        <v/>
      </c>
      <c r="BG50" s="29">
        <f>ROUND(BE50 + BF50, 2)</f>
        <v/>
      </c>
      <c r="BH50" s="29">
        <f>Saldos_Capital_Mensual!T50</f>
        <v/>
      </c>
      <c r="BI50" s="29">
        <f>Saldos_Intereses_Mensual!T50</f>
        <v/>
      </c>
      <c r="BJ50" s="29">
        <f>ROUND(BH50 + BI50, 2)</f>
        <v/>
      </c>
      <c r="BK50" s="29">
        <f>Saldo_Residual_Activo!T50</f>
        <v/>
      </c>
      <c r="BL50" s="29">
        <f>ROUND(BJ50 + BK50, 2)</f>
        <v/>
      </c>
    </row>
    <row r="51">
      <c r="A51" s="20" t="inlineStr">
        <is>
          <t>0585-0004</t>
        </is>
      </c>
      <c r="B51" s="21" t="inlineStr">
        <is>
          <t>Julio Alberto Ramos de la Mora</t>
        </is>
      </c>
      <c r="C51" s="21" t="inlineStr">
        <is>
          <t>Hrv Sport</t>
        </is>
      </c>
      <c r="D51" s="22" t="n">
        <v>36</v>
      </c>
      <c r="E51" s="23">
        <f>Saldos_Capital_Mensual!I51</f>
        <v/>
      </c>
      <c r="F51" s="23">
        <f>Saldos_Intereses_Mensual!I51</f>
        <v/>
      </c>
      <c r="G51" s="23">
        <f>ROUND(E51 + F51, 2)</f>
        <v/>
      </c>
      <c r="H51" s="23">
        <f>Saldo_Residual_Activo!I51</f>
        <v/>
      </c>
      <c r="I51" s="23">
        <f>ROUND(G51 + H51, 2)</f>
        <v/>
      </c>
      <c r="J51" s="23">
        <f>Saldos_Capital_Mensual!J51</f>
        <v/>
      </c>
      <c r="K51" s="23">
        <f>Saldos_Intereses_Mensual!J51</f>
        <v/>
      </c>
      <c r="L51" s="23">
        <f>ROUND(J51 + K51, 2)</f>
        <v/>
      </c>
      <c r="M51" s="23">
        <f>Saldo_Residual_Activo!J51</f>
        <v/>
      </c>
      <c r="N51" s="23">
        <f>ROUND(L51 + M51, 2)</f>
        <v/>
      </c>
      <c r="O51" s="23">
        <f>Saldos_Capital_Mensual!K51</f>
        <v/>
      </c>
      <c r="P51" s="23">
        <f>Saldos_Intereses_Mensual!K51</f>
        <v/>
      </c>
      <c r="Q51" s="23">
        <f>ROUND(O51 + P51, 2)</f>
        <v/>
      </c>
      <c r="R51" s="23">
        <f>Saldo_Residual_Activo!K51</f>
        <v/>
      </c>
      <c r="S51" s="23">
        <f>ROUND(Q51 + R51, 2)</f>
        <v/>
      </c>
      <c r="T51" s="23">
        <f>Saldos_Capital_Mensual!L51</f>
        <v/>
      </c>
      <c r="U51" s="23">
        <f>Saldos_Intereses_Mensual!L51</f>
        <v/>
      </c>
      <c r="V51" s="23">
        <f>ROUND(T51 + U51, 2)</f>
        <v/>
      </c>
      <c r="W51" s="23">
        <f>Saldo_Residual_Activo!L51</f>
        <v/>
      </c>
      <c r="X51" s="23">
        <f>ROUND(V51 + W51, 2)</f>
        <v/>
      </c>
      <c r="Y51" s="23">
        <f>Saldos_Capital_Mensual!M51</f>
        <v/>
      </c>
      <c r="Z51" s="23">
        <f>Saldos_Intereses_Mensual!M51</f>
        <v/>
      </c>
      <c r="AA51" s="23">
        <f>ROUND(Y51 + Z51, 2)</f>
        <v/>
      </c>
      <c r="AB51" s="23">
        <f>Saldo_Residual_Activo!M51</f>
        <v/>
      </c>
      <c r="AC51" s="23">
        <f>ROUND(AA51 + AB51, 2)</f>
        <v/>
      </c>
      <c r="AD51" s="23">
        <f>Saldos_Capital_Mensual!N51</f>
        <v/>
      </c>
      <c r="AE51" s="23">
        <f>Saldos_Intereses_Mensual!N51</f>
        <v/>
      </c>
      <c r="AF51" s="23">
        <f>ROUND(AD51 + AE51, 2)</f>
        <v/>
      </c>
      <c r="AG51" s="23">
        <f>Saldo_Residual_Activo!N51</f>
        <v/>
      </c>
      <c r="AH51" s="23">
        <f>ROUND(AF51 + AG51, 2)</f>
        <v/>
      </c>
      <c r="AI51" s="23">
        <f>Saldos_Capital_Mensual!O51</f>
        <v/>
      </c>
      <c r="AJ51" s="23">
        <f>Saldos_Intereses_Mensual!O51</f>
        <v/>
      </c>
      <c r="AK51" s="23">
        <f>ROUND(AI51 + AJ51, 2)</f>
        <v/>
      </c>
      <c r="AL51" s="23">
        <f>Saldo_Residual_Activo!O51</f>
        <v/>
      </c>
      <c r="AM51" s="23">
        <f>ROUND(AK51 + AL51, 2)</f>
        <v/>
      </c>
      <c r="AN51" s="23">
        <f>Saldos_Capital_Mensual!P51</f>
        <v/>
      </c>
      <c r="AO51" s="23">
        <f>Saldos_Intereses_Mensual!P51</f>
        <v/>
      </c>
      <c r="AP51" s="23">
        <f>ROUND(AN51 + AO51, 2)</f>
        <v/>
      </c>
      <c r="AQ51" s="23">
        <f>Saldo_Residual_Activo!P51</f>
        <v/>
      </c>
      <c r="AR51" s="23">
        <f>ROUND(AP51 + AQ51, 2)</f>
        <v/>
      </c>
      <c r="AS51" s="23">
        <f>Saldos_Capital_Mensual!Q51</f>
        <v/>
      </c>
      <c r="AT51" s="23">
        <f>Saldos_Intereses_Mensual!Q51</f>
        <v/>
      </c>
      <c r="AU51" s="23">
        <f>ROUND(AS51 + AT51, 2)</f>
        <v/>
      </c>
      <c r="AV51" s="23">
        <f>Saldo_Residual_Activo!Q51</f>
        <v/>
      </c>
      <c r="AW51" s="23">
        <f>ROUND(AU51 + AV51, 2)</f>
        <v/>
      </c>
      <c r="AX51" s="23">
        <f>Saldos_Capital_Mensual!R51</f>
        <v/>
      </c>
      <c r="AY51" s="23">
        <f>Saldos_Intereses_Mensual!R51</f>
        <v/>
      </c>
      <c r="AZ51" s="23">
        <f>ROUND(AX51 + AY51, 2)</f>
        <v/>
      </c>
      <c r="BA51" s="23">
        <f>Saldo_Residual_Activo!R51</f>
        <v/>
      </c>
      <c r="BB51" s="23">
        <f>ROUND(AZ51 + BA51, 2)</f>
        <v/>
      </c>
      <c r="BC51" s="23">
        <f>Saldos_Capital_Mensual!S51</f>
        <v/>
      </c>
      <c r="BD51" s="23">
        <f>Saldos_Intereses_Mensual!S51</f>
        <v/>
      </c>
      <c r="BE51" s="23">
        <f>ROUND(BC51 + BD51, 2)</f>
        <v/>
      </c>
      <c r="BF51" s="23">
        <f>Saldo_Residual_Activo!S51</f>
        <v/>
      </c>
      <c r="BG51" s="23">
        <f>ROUND(BE51 + BF51, 2)</f>
        <v/>
      </c>
      <c r="BH51" s="23">
        <f>Saldos_Capital_Mensual!T51</f>
        <v/>
      </c>
      <c r="BI51" s="23">
        <f>Saldos_Intereses_Mensual!T51</f>
        <v/>
      </c>
      <c r="BJ51" s="23">
        <f>ROUND(BH51 + BI51, 2)</f>
        <v/>
      </c>
      <c r="BK51" s="23">
        <f>Saldo_Residual_Activo!T51</f>
        <v/>
      </c>
      <c r="BL51" s="23">
        <f>ROUND(BJ51 + BK51, 2)</f>
        <v/>
      </c>
    </row>
    <row r="52">
      <c r="A52" s="26" t="inlineStr">
        <is>
          <t>0585-0005</t>
        </is>
      </c>
      <c r="B52" s="27" t="inlineStr">
        <is>
          <t>Julio Alberto Ramos de la Mora</t>
        </is>
      </c>
      <c r="C52" s="27" t="inlineStr">
        <is>
          <t>M9 GL HEV</t>
        </is>
      </c>
      <c r="D52" s="28" t="n">
        <v>24</v>
      </c>
      <c r="E52" s="29">
        <f>Saldos_Capital_Mensual!I52</f>
        <v/>
      </c>
      <c r="F52" s="29">
        <f>Saldos_Intereses_Mensual!I52</f>
        <v/>
      </c>
      <c r="G52" s="29">
        <f>ROUND(E52 + F52, 2)</f>
        <v/>
      </c>
      <c r="H52" s="29">
        <f>Saldo_Residual_Activo!I52</f>
        <v/>
      </c>
      <c r="I52" s="29">
        <f>ROUND(G52 + H52, 2)</f>
        <v/>
      </c>
      <c r="J52" s="29">
        <f>Saldos_Capital_Mensual!J52</f>
        <v/>
      </c>
      <c r="K52" s="29">
        <f>Saldos_Intereses_Mensual!J52</f>
        <v/>
      </c>
      <c r="L52" s="29">
        <f>ROUND(J52 + K52, 2)</f>
        <v/>
      </c>
      <c r="M52" s="29">
        <f>Saldo_Residual_Activo!J52</f>
        <v/>
      </c>
      <c r="N52" s="29">
        <f>ROUND(L52 + M52, 2)</f>
        <v/>
      </c>
      <c r="O52" s="29">
        <f>Saldos_Capital_Mensual!K52</f>
        <v/>
      </c>
      <c r="P52" s="29">
        <f>Saldos_Intereses_Mensual!K52</f>
        <v/>
      </c>
      <c r="Q52" s="29">
        <f>ROUND(O52 + P52, 2)</f>
        <v/>
      </c>
      <c r="R52" s="29">
        <f>Saldo_Residual_Activo!K52</f>
        <v/>
      </c>
      <c r="S52" s="29">
        <f>ROUND(Q52 + R52, 2)</f>
        <v/>
      </c>
      <c r="T52" s="29">
        <f>Saldos_Capital_Mensual!L52</f>
        <v/>
      </c>
      <c r="U52" s="29">
        <f>Saldos_Intereses_Mensual!L52</f>
        <v/>
      </c>
      <c r="V52" s="29">
        <f>ROUND(T52 + U52, 2)</f>
        <v/>
      </c>
      <c r="W52" s="29">
        <f>Saldo_Residual_Activo!L52</f>
        <v/>
      </c>
      <c r="X52" s="29">
        <f>ROUND(V52 + W52, 2)</f>
        <v/>
      </c>
      <c r="Y52" s="29">
        <f>Saldos_Capital_Mensual!M52</f>
        <v/>
      </c>
      <c r="Z52" s="29">
        <f>Saldos_Intereses_Mensual!M52</f>
        <v/>
      </c>
      <c r="AA52" s="29">
        <f>ROUND(Y52 + Z52, 2)</f>
        <v/>
      </c>
      <c r="AB52" s="29">
        <f>Saldo_Residual_Activo!M52</f>
        <v/>
      </c>
      <c r="AC52" s="29">
        <f>ROUND(AA52 + AB52, 2)</f>
        <v/>
      </c>
      <c r="AD52" s="29">
        <f>Saldos_Capital_Mensual!N52</f>
        <v/>
      </c>
      <c r="AE52" s="29">
        <f>Saldos_Intereses_Mensual!N52</f>
        <v/>
      </c>
      <c r="AF52" s="29">
        <f>ROUND(AD52 + AE52, 2)</f>
        <v/>
      </c>
      <c r="AG52" s="29">
        <f>Saldo_Residual_Activo!N52</f>
        <v/>
      </c>
      <c r="AH52" s="29">
        <f>ROUND(AF52 + AG52, 2)</f>
        <v/>
      </c>
      <c r="AI52" s="29">
        <f>Saldos_Capital_Mensual!O52</f>
        <v/>
      </c>
      <c r="AJ52" s="29">
        <f>Saldos_Intereses_Mensual!O52</f>
        <v/>
      </c>
      <c r="AK52" s="29">
        <f>ROUND(AI52 + AJ52, 2)</f>
        <v/>
      </c>
      <c r="AL52" s="29">
        <f>Saldo_Residual_Activo!O52</f>
        <v/>
      </c>
      <c r="AM52" s="29">
        <f>ROUND(AK52 + AL52, 2)</f>
        <v/>
      </c>
      <c r="AN52" s="29">
        <f>Saldos_Capital_Mensual!P52</f>
        <v/>
      </c>
      <c r="AO52" s="29">
        <f>Saldos_Intereses_Mensual!P52</f>
        <v/>
      </c>
      <c r="AP52" s="29">
        <f>ROUND(AN52 + AO52, 2)</f>
        <v/>
      </c>
      <c r="AQ52" s="29">
        <f>Saldo_Residual_Activo!P52</f>
        <v/>
      </c>
      <c r="AR52" s="29">
        <f>ROUND(AP52 + AQ52, 2)</f>
        <v/>
      </c>
      <c r="AS52" s="29">
        <f>Saldos_Capital_Mensual!Q52</f>
        <v/>
      </c>
      <c r="AT52" s="29">
        <f>Saldos_Intereses_Mensual!Q52</f>
        <v/>
      </c>
      <c r="AU52" s="29">
        <f>ROUND(AS52 + AT52, 2)</f>
        <v/>
      </c>
      <c r="AV52" s="29">
        <f>Saldo_Residual_Activo!Q52</f>
        <v/>
      </c>
      <c r="AW52" s="29">
        <f>ROUND(AU52 + AV52, 2)</f>
        <v/>
      </c>
      <c r="AX52" s="29">
        <f>Saldos_Capital_Mensual!R52</f>
        <v/>
      </c>
      <c r="AY52" s="29">
        <f>Saldos_Intereses_Mensual!R52</f>
        <v/>
      </c>
      <c r="AZ52" s="29">
        <f>ROUND(AX52 + AY52, 2)</f>
        <v/>
      </c>
      <c r="BA52" s="29">
        <f>Saldo_Residual_Activo!R52</f>
        <v/>
      </c>
      <c r="BB52" s="29">
        <f>ROUND(AZ52 + BA52, 2)</f>
        <v/>
      </c>
      <c r="BC52" s="29">
        <f>Saldos_Capital_Mensual!S52</f>
        <v/>
      </c>
      <c r="BD52" s="29">
        <f>Saldos_Intereses_Mensual!S52</f>
        <v/>
      </c>
      <c r="BE52" s="29">
        <f>ROUND(BC52 + BD52, 2)</f>
        <v/>
      </c>
      <c r="BF52" s="29">
        <f>Saldo_Residual_Activo!S52</f>
        <v/>
      </c>
      <c r="BG52" s="29">
        <f>ROUND(BE52 + BF52, 2)</f>
        <v/>
      </c>
      <c r="BH52" s="29">
        <f>Saldos_Capital_Mensual!T52</f>
        <v/>
      </c>
      <c r="BI52" s="29">
        <f>Saldos_Intereses_Mensual!T52</f>
        <v/>
      </c>
      <c r="BJ52" s="29">
        <f>ROUND(BH52 + BI52, 2)</f>
        <v/>
      </c>
      <c r="BK52" s="29">
        <f>Saldo_Residual_Activo!T52</f>
        <v/>
      </c>
      <c r="BL52" s="29">
        <f>ROUND(BJ52 + BK52, 2)</f>
        <v/>
      </c>
    </row>
    <row r="53">
      <c r="A53" s="20" t="inlineStr">
        <is>
          <t>0587-0002</t>
        </is>
      </c>
      <c r="B53" s="21" t="inlineStr">
        <is>
          <t>Allioth, S.C.</t>
        </is>
      </c>
      <c r="C53" s="21" t="inlineStr">
        <is>
          <t>Grand Cherokee L Summit</t>
        </is>
      </c>
      <c r="D53" s="22" t="n">
        <v>12</v>
      </c>
      <c r="E53" s="23">
        <f>Saldos_Capital_Mensual!I53</f>
        <v/>
      </c>
      <c r="F53" s="23">
        <f>Saldos_Intereses_Mensual!I53</f>
        <v/>
      </c>
      <c r="G53" s="23">
        <f>ROUND(E53 + F53, 2)</f>
        <v/>
      </c>
      <c r="H53" s="23">
        <f>Saldo_Residual_Activo!I53</f>
        <v/>
      </c>
      <c r="I53" s="23">
        <f>ROUND(G53 + H53, 2)</f>
        <v/>
      </c>
      <c r="J53" s="23">
        <f>Saldos_Capital_Mensual!J53</f>
        <v/>
      </c>
      <c r="K53" s="23">
        <f>Saldos_Intereses_Mensual!J53</f>
        <v/>
      </c>
      <c r="L53" s="23">
        <f>ROUND(J53 + K53, 2)</f>
        <v/>
      </c>
      <c r="M53" s="23">
        <f>Saldo_Residual_Activo!J53</f>
        <v/>
      </c>
      <c r="N53" s="23">
        <f>ROUND(L53 + M53, 2)</f>
        <v/>
      </c>
      <c r="O53" s="23">
        <f>Saldos_Capital_Mensual!K53</f>
        <v/>
      </c>
      <c r="P53" s="23">
        <f>Saldos_Intereses_Mensual!K53</f>
        <v/>
      </c>
      <c r="Q53" s="23">
        <f>ROUND(O53 + P53, 2)</f>
        <v/>
      </c>
      <c r="R53" s="23">
        <f>Saldo_Residual_Activo!K53</f>
        <v/>
      </c>
      <c r="S53" s="23">
        <f>ROUND(Q53 + R53, 2)</f>
        <v/>
      </c>
      <c r="T53" s="23">
        <f>Saldos_Capital_Mensual!L53</f>
        <v/>
      </c>
      <c r="U53" s="23">
        <f>Saldos_Intereses_Mensual!L53</f>
        <v/>
      </c>
      <c r="V53" s="23">
        <f>ROUND(T53 + U53, 2)</f>
        <v/>
      </c>
      <c r="W53" s="23">
        <f>Saldo_Residual_Activo!L53</f>
        <v/>
      </c>
      <c r="X53" s="23">
        <f>ROUND(V53 + W53, 2)</f>
        <v/>
      </c>
      <c r="Y53" s="23">
        <f>Saldos_Capital_Mensual!M53</f>
        <v/>
      </c>
      <c r="Z53" s="23">
        <f>Saldos_Intereses_Mensual!M53</f>
        <v/>
      </c>
      <c r="AA53" s="23">
        <f>ROUND(Y53 + Z53, 2)</f>
        <v/>
      </c>
      <c r="AB53" s="23">
        <f>Saldo_Residual_Activo!M53</f>
        <v/>
      </c>
      <c r="AC53" s="23">
        <f>ROUND(AA53 + AB53, 2)</f>
        <v/>
      </c>
      <c r="AD53" s="23">
        <f>Saldos_Capital_Mensual!N53</f>
        <v/>
      </c>
      <c r="AE53" s="23">
        <f>Saldos_Intereses_Mensual!N53</f>
        <v/>
      </c>
      <c r="AF53" s="23">
        <f>ROUND(AD53 + AE53, 2)</f>
        <v/>
      </c>
      <c r="AG53" s="23">
        <f>Saldo_Residual_Activo!N53</f>
        <v/>
      </c>
      <c r="AH53" s="23">
        <f>ROUND(AF53 + AG53, 2)</f>
        <v/>
      </c>
      <c r="AI53" s="23">
        <f>Saldos_Capital_Mensual!O53</f>
        <v/>
      </c>
      <c r="AJ53" s="23">
        <f>Saldos_Intereses_Mensual!O53</f>
        <v/>
      </c>
      <c r="AK53" s="23">
        <f>ROUND(AI53 + AJ53, 2)</f>
        <v/>
      </c>
      <c r="AL53" s="23">
        <f>Saldo_Residual_Activo!O53</f>
        <v/>
      </c>
      <c r="AM53" s="23">
        <f>ROUND(AK53 + AL53, 2)</f>
        <v/>
      </c>
      <c r="AN53" s="23">
        <f>Saldos_Capital_Mensual!P53</f>
        <v/>
      </c>
      <c r="AO53" s="23">
        <f>Saldos_Intereses_Mensual!P53</f>
        <v/>
      </c>
      <c r="AP53" s="23">
        <f>ROUND(AN53 + AO53, 2)</f>
        <v/>
      </c>
      <c r="AQ53" s="23">
        <f>Saldo_Residual_Activo!P53</f>
        <v/>
      </c>
      <c r="AR53" s="23">
        <f>ROUND(AP53 + AQ53, 2)</f>
        <v/>
      </c>
      <c r="AS53" s="23">
        <f>Saldos_Capital_Mensual!Q53</f>
        <v/>
      </c>
      <c r="AT53" s="23">
        <f>Saldos_Intereses_Mensual!Q53</f>
        <v/>
      </c>
      <c r="AU53" s="23">
        <f>ROUND(AS53 + AT53, 2)</f>
        <v/>
      </c>
      <c r="AV53" s="23">
        <f>Saldo_Residual_Activo!Q53</f>
        <v/>
      </c>
      <c r="AW53" s="23">
        <f>ROUND(AU53 + AV53, 2)</f>
        <v/>
      </c>
      <c r="AX53" s="23">
        <f>Saldos_Capital_Mensual!R53</f>
        <v/>
      </c>
      <c r="AY53" s="23">
        <f>Saldos_Intereses_Mensual!R53</f>
        <v/>
      </c>
      <c r="AZ53" s="23">
        <f>ROUND(AX53 + AY53, 2)</f>
        <v/>
      </c>
      <c r="BA53" s="23">
        <f>Saldo_Residual_Activo!R53</f>
        <v/>
      </c>
      <c r="BB53" s="23">
        <f>ROUND(AZ53 + BA53, 2)</f>
        <v/>
      </c>
      <c r="BC53" s="23">
        <f>Saldos_Capital_Mensual!S53</f>
        <v/>
      </c>
      <c r="BD53" s="23">
        <f>Saldos_Intereses_Mensual!S53</f>
        <v/>
      </c>
      <c r="BE53" s="23">
        <f>ROUND(BC53 + BD53, 2)</f>
        <v/>
      </c>
      <c r="BF53" s="23">
        <f>Saldo_Residual_Activo!S53</f>
        <v/>
      </c>
      <c r="BG53" s="23">
        <f>ROUND(BE53 + BF53, 2)</f>
        <v/>
      </c>
      <c r="BH53" s="23">
        <f>Saldos_Capital_Mensual!T53</f>
        <v/>
      </c>
      <c r="BI53" s="23">
        <f>Saldos_Intereses_Mensual!T53</f>
        <v/>
      </c>
      <c r="BJ53" s="23">
        <f>ROUND(BH53 + BI53, 2)</f>
        <v/>
      </c>
      <c r="BK53" s="23">
        <f>Saldo_Residual_Activo!T53</f>
        <v/>
      </c>
      <c r="BL53" s="23">
        <f>ROUND(BJ53 + BK53, 2)</f>
        <v/>
      </c>
    </row>
    <row r="54">
      <c r="A54" s="26" t="inlineStr">
        <is>
          <t>0591-0002</t>
        </is>
      </c>
      <c r="B54" s="27" t="inlineStr">
        <is>
          <t>Cervantech Servicios Tecnologicos Sc</t>
        </is>
      </c>
      <c r="C54" s="27" t="inlineStr">
        <is>
          <t>WRANGLER RUBICON</t>
        </is>
      </c>
      <c r="D54" s="28" t="n">
        <v>36</v>
      </c>
      <c r="E54" s="29">
        <f>Saldos_Capital_Mensual!I54</f>
        <v/>
      </c>
      <c r="F54" s="29">
        <f>Saldos_Intereses_Mensual!I54</f>
        <v/>
      </c>
      <c r="G54" s="29">
        <f>ROUND(E54 + F54, 2)</f>
        <v/>
      </c>
      <c r="H54" s="29">
        <f>Saldo_Residual_Activo!I54</f>
        <v/>
      </c>
      <c r="I54" s="29">
        <f>ROUND(G54 + H54, 2)</f>
        <v/>
      </c>
      <c r="J54" s="29">
        <f>Saldos_Capital_Mensual!J54</f>
        <v/>
      </c>
      <c r="K54" s="29">
        <f>Saldos_Intereses_Mensual!J54</f>
        <v/>
      </c>
      <c r="L54" s="29">
        <f>ROUND(J54 + K54, 2)</f>
        <v/>
      </c>
      <c r="M54" s="29">
        <f>Saldo_Residual_Activo!J54</f>
        <v/>
      </c>
      <c r="N54" s="29">
        <f>ROUND(L54 + M54, 2)</f>
        <v/>
      </c>
      <c r="O54" s="29">
        <f>Saldos_Capital_Mensual!K54</f>
        <v/>
      </c>
      <c r="P54" s="29">
        <f>Saldos_Intereses_Mensual!K54</f>
        <v/>
      </c>
      <c r="Q54" s="29">
        <f>ROUND(O54 + P54, 2)</f>
        <v/>
      </c>
      <c r="R54" s="29">
        <f>Saldo_Residual_Activo!K54</f>
        <v/>
      </c>
      <c r="S54" s="29">
        <f>ROUND(Q54 + R54, 2)</f>
        <v/>
      </c>
      <c r="T54" s="29">
        <f>Saldos_Capital_Mensual!L54</f>
        <v/>
      </c>
      <c r="U54" s="29">
        <f>Saldos_Intereses_Mensual!L54</f>
        <v/>
      </c>
      <c r="V54" s="29">
        <f>ROUND(T54 + U54, 2)</f>
        <v/>
      </c>
      <c r="W54" s="29">
        <f>Saldo_Residual_Activo!L54</f>
        <v/>
      </c>
      <c r="X54" s="29">
        <f>ROUND(V54 + W54, 2)</f>
        <v/>
      </c>
      <c r="Y54" s="29">
        <f>Saldos_Capital_Mensual!M54</f>
        <v/>
      </c>
      <c r="Z54" s="29">
        <f>Saldos_Intereses_Mensual!M54</f>
        <v/>
      </c>
      <c r="AA54" s="29">
        <f>ROUND(Y54 + Z54, 2)</f>
        <v/>
      </c>
      <c r="AB54" s="29">
        <f>Saldo_Residual_Activo!M54</f>
        <v/>
      </c>
      <c r="AC54" s="29">
        <f>ROUND(AA54 + AB54, 2)</f>
        <v/>
      </c>
      <c r="AD54" s="29">
        <f>Saldos_Capital_Mensual!N54</f>
        <v/>
      </c>
      <c r="AE54" s="29">
        <f>Saldos_Intereses_Mensual!N54</f>
        <v/>
      </c>
      <c r="AF54" s="29">
        <f>ROUND(AD54 + AE54, 2)</f>
        <v/>
      </c>
      <c r="AG54" s="29">
        <f>Saldo_Residual_Activo!N54</f>
        <v/>
      </c>
      <c r="AH54" s="29">
        <f>ROUND(AF54 + AG54, 2)</f>
        <v/>
      </c>
      <c r="AI54" s="29">
        <f>Saldos_Capital_Mensual!O54</f>
        <v/>
      </c>
      <c r="AJ54" s="29">
        <f>Saldos_Intereses_Mensual!O54</f>
        <v/>
      </c>
      <c r="AK54" s="29">
        <f>ROUND(AI54 + AJ54, 2)</f>
        <v/>
      </c>
      <c r="AL54" s="29">
        <f>Saldo_Residual_Activo!O54</f>
        <v/>
      </c>
      <c r="AM54" s="29">
        <f>ROUND(AK54 + AL54, 2)</f>
        <v/>
      </c>
      <c r="AN54" s="29">
        <f>Saldos_Capital_Mensual!P54</f>
        <v/>
      </c>
      <c r="AO54" s="29">
        <f>Saldos_Intereses_Mensual!P54</f>
        <v/>
      </c>
      <c r="AP54" s="29">
        <f>ROUND(AN54 + AO54, 2)</f>
        <v/>
      </c>
      <c r="AQ54" s="29">
        <f>Saldo_Residual_Activo!P54</f>
        <v/>
      </c>
      <c r="AR54" s="29">
        <f>ROUND(AP54 + AQ54, 2)</f>
        <v/>
      </c>
      <c r="AS54" s="29">
        <f>Saldos_Capital_Mensual!Q54</f>
        <v/>
      </c>
      <c r="AT54" s="29">
        <f>Saldos_Intereses_Mensual!Q54</f>
        <v/>
      </c>
      <c r="AU54" s="29">
        <f>ROUND(AS54 + AT54, 2)</f>
        <v/>
      </c>
      <c r="AV54" s="29">
        <f>Saldo_Residual_Activo!Q54</f>
        <v/>
      </c>
      <c r="AW54" s="29">
        <f>ROUND(AU54 + AV54, 2)</f>
        <v/>
      </c>
      <c r="AX54" s="29">
        <f>Saldos_Capital_Mensual!R54</f>
        <v/>
      </c>
      <c r="AY54" s="29">
        <f>Saldos_Intereses_Mensual!R54</f>
        <v/>
      </c>
      <c r="AZ54" s="29">
        <f>ROUND(AX54 + AY54, 2)</f>
        <v/>
      </c>
      <c r="BA54" s="29">
        <f>Saldo_Residual_Activo!R54</f>
        <v/>
      </c>
      <c r="BB54" s="29">
        <f>ROUND(AZ54 + BA54, 2)</f>
        <v/>
      </c>
      <c r="BC54" s="29">
        <f>Saldos_Capital_Mensual!S54</f>
        <v/>
      </c>
      <c r="BD54" s="29">
        <f>Saldos_Intereses_Mensual!S54</f>
        <v/>
      </c>
      <c r="BE54" s="29">
        <f>ROUND(BC54 + BD54, 2)</f>
        <v/>
      </c>
      <c r="BF54" s="29">
        <f>Saldo_Residual_Activo!S54</f>
        <v/>
      </c>
      <c r="BG54" s="29">
        <f>ROUND(BE54 + BF54, 2)</f>
        <v/>
      </c>
      <c r="BH54" s="29">
        <f>Saldos_Capital_Mensual!T54</f>
        <v/>
      </c>
      <c r="BI54" s="29">
        <f>Saldos_Intereses_Mensual!T54</f>
        <v/>
      </c>
      <c r="BJ54" s="29">
        <f>ROUND(BH54 + BI54, 2)</f>
        <v/>
      </c>
      <c r="BK54" s="29">
        <f>Saldo_Residual_Activo!T54</f>
        <v/>
      </c>
      <c r="BL54" s="29">
        <f>ROUND(BJ54 + BK54, 2)</f>
        <v/>
      </c>
    </row>
    <row r="55">
      <c r="A55" s="20" t="inlineStr">
        <is>
          <t>0593-0002</t>
        </is>
      </c>
      <c r="B55" s="21" t="inlineStr">
        <is>
          <t>Metales y Minerales Moa Sa de Cv</t>
        </is>
      </c>
      <c r="C55" s="21" t="inlineStr">
        <is>
          <t>Ram 700 SLT Crew Cab</t>
        </is>
      </c>
      <c r="D55" s="22" t="n">
        <v>48</v>
      </c>
      <c r="E55" s="23">
        <f>Saldos_Capital_Mensual!I55</f>
        <v/>
      </c>
      <c r="F55" s="23">
        <f>Saldos_Intereses_Mensual!I55</f>
        <v/>
      </c>
      <c r="G55" s="23">
        <f>ROUND(E55 + F55, 2)</f>
        <v/>
      </c>
      <c r="H55" s="23">
        <f>Saldo_Residual_Activo!I55</f>
        <v/>
      </c>
      <c r="I55" s="23">
        <f>ROUND(G55 + H55, 2)</f>
        <v/>
      </c>
      <c r="J55" s="23">
        <f>Saldos_Capital_Mensual!J55</f>
        <v/>
      </c>
      <c r="K55" s="23">
        <f>Saldos_Intereses_Mensual!J55</f>
        <v/>
      </c>
      <c r="L55" s="23">
        <f>ROUND(J55 + K55, 2)</f>
        <v/>
      </c>
      <c r="M55" s="23">
        <f>Saldo_Residual_Activo!J55</f>
        <v/>
      </c>
      <c r="N55" s="23">
        <f>ROUND(L55 + M55, 2)</f>
        <v/>
      </c>
      <c r="O55" s="23">
        <f>Saldos_Capital_Mensual!K55</f>
        <v/>
      </c>
      <c r="P55" s="23">
        <f>Saldos_Intereses_Mensual!K55</f>
        <v/>
      </c>
      <c r="Q55" s="23">
        <f>ROUND(O55 + P55, 2)</f>
        <v/>
      </c>
      <c r="R55" s="23">
        <f>Saldo_Residual_Activo!K55</f>
        <v/>
      </c>
      <c r="S55" s="23">
        <f>ROUND(Q55 + R55, 2)</f>
        <v/>
      </c>
      <c r="T55" s="23">
        <f>Saldos_Capital_Mensual!L55</f>
        <v/>
      </c>
      <c r="U55" s="23">
        <f>Saldos_Intereses_Mensual!L55</f>
        <v/>
      </c>
      <c r="V55" s="23">
        <f>ROUND(T55 + U55, 2)</f>
        <v/>
      </c>
      <c r="W55" s="23">
        <f>Saldo_Residual_Activo!L55</f>
        <v/>
      </c>
      <c r="X55" s="23">
        <f>ROUND(V55 + W55, 2)</f>
        <v/>
      </c>
      <c r="Y55" s="23">
        <f>Saldos_Capital_Mensual!M55</f>
        <v/>
      </c>
      <c r="Z55" s="23">
        <f>Saldos_Intereses_Mensual!M55</f>
        <v/>
      </c>
      <c r="AA55" s="23">
        <f>ROUND(Y55 + Z55, 2)</f>
        <v/>
      </c>
      <c r="AB55" s="23">
        <f>Saldo_Residual_Activo!M55</f>
        <v/>
      </c>
      <c r="AC55" s="23">
        <f>ROUND(AA55 + AB55, 2)</f>
        <v/>
      </c>
      <c r="AD55" s="23">
        <f>Saldos_Capital_Mensual!N55</f>
        <v/>
      </c>
      <c r="AE55" s="23">
        <f>Saldos_Intereses_Mensual!N55</f>
        <v/>
      </c>
      <c r="AF55" s="23">
        <f>ROUND(AD55 + AE55, 2)</f>
        <v/>
      </c>
      <c r="AG55" s="23">
        <f>Saldo_Residual_Activo!N55</f>
        <v/>
      </c>
      <c r="AH55" s="23">
        <f>ROUND(AF55 + AG55, 2)</f>
        <v/>
      </c>
      <c r="AI55" s="23">
        <f>Saldos_Capital_Mensual!O55</f>
        <v/>
      </c>
      <c r="AJ55" s="23">
        <f>Saldos_Intereses_Mensual!O55</f>
        <v/>
      </c>
      <c r="AK55" s="23">
        <f>ROUND(AI55 + AJ55, 2)</f>
        <v/>
      </c>
      <c r="AL55" s="23">
        <f>Saldo_Residual_Activo!O55</f>
        <v/>
      </c>
      <c r="AM55" s="23">
        <f>ROUND(AK55 + AL55, 2)</f>
        <v/>
      </c>
      <c r="AN55" s="23">
        <f>Saldos_Capital_Mensual!P55</f>
        <v/>
      </c>
      <c r="AO55" s="23">
        <f>Saldos_Intereses_Mensual!P55</f>
        <v/>
      </c>
      <c r="AP55" s="23">
        <f>ROUND(AN55 + AO55, 2)</f>
        <v/>
      </c>
      <c r="AQ55" s="23">
        <f>Saldo_Residual_Activo!P55</f>
        <v/>
      </c>
      <c r="AR55" s="23">
        <f>ROUND(AP55 + AQ55, 2)</f>
        <v/>
      </c>
      <c r="AS55" s="23">
        <f>Saldos_Capital_Mensual!Q55</f>
        <v/>
      </c>
      <c r="AT55" s="23">
        <f>Saldos_Intereses_Mensual!Q55</f>
        <v/>
      </c>
      <c r="AU55" s="23">
        <f>ROUND(AS55 + AT55, 2)</f>
        <v/>
      </c>
      <c r="AV55" s="23">
        <f>Saldo_Residual_Activo!Q55</f>
        <v/>
      </c>
      <c r="AW55" s="23">
        <f>ROUND(AU55 + AV55, 2)</f>
        <v/>
      </c>
      <c r="AX55" s="23">
        <f>Saldos_Capital_Mensual!R55</f>
        <v/>
      </c>
      <c r="AY55" s="23">
        <f>Saldos_Intereses_Mensual!R55</f>
        <v/>
      </c>
      <c r="AZ55" s="23">
        <f>ROUND(AX55 + AY55, 2)</f>
        <v/>
      </c>
      <c r="BA55" s="23">
        <f>Saldo_Residual_Activo!R55</f>
        <v/>
      </c>
      <c r="BB55" s="23">
        <f>ROUND(AZ55 + BA55, 2)</f>
        <v/>
      </c>
      <c r="BC55" s="23">
        <f>Saldos_Capital_Mensual!S55</f>
        <v/>
      </c>
      <c r="BD55" s="23">
        <f>Saldos_Intereses_Mensual!S55</f>
        <v/>
      </c>
      <c r="BE55" s="23">
        <f>ROUND(BC55 + BD55, 2)</f>
        <v/>
      </c>
      <c r="BF55" s="23">
        <f>Saldo_Residual_Activo!S55</f>
        <v/>
      </c>
      <c r="BG55" s="23">
        <f>ROUND(BE55 + BF55, 2)</f>
        <v/>
      </c>
      <c r="BH55" s="23">
        <f>Saldos_Capital_Mensual!T55</f>
        <v/>
      </c>
      <c r="BI55" s="23">
        <f>Saldos_Intereses_Mensual!T55</f>
        <v/>
      </c>
      <c r="BJ55" s="23">
        <f>ROUND(BH55 + BI55, 2)</f>
        <v/>
      </c>
      <c r="BK55" s="23">
        <f>Saldo_Residual_Activo!T55</f>
        <v/>
      </c>
      <c r="BL55" s="23">
        <f>ROUND(BJ55 + BK55, 2)</f>
        <v/>
      </c>
    </row>
    <row r="56">
      <c r="A56" s="26" t="inlineStr">
        <is>
          <t>0594-0001</t>
        </is>
      </c>
      <c r="B56" s="27" t="inlineStr">
        <is>
          <t>Biotecnologia Estetica Sa de Cv</t>
        </is>
      </c>
      <c r="C56" s="27" t="inlineStr">
        <is>
          <t>Mobi Like</t>
        </is>
      </c>
      <c r="D56" s="28" t="n">
        <v>48</v>
      </c>
      <c r="E56" s="29">
        <f>Saldos_Capital_Mensual!I56</f>
        <v/>
      </c>
      <c r="F56" s="29">
        <f>Saldos_Intereses_Mensual!I56</f>
        <v/>
      </c>
      <c r="G56" s="29">
        <f>ROUND(E56 + F56, 2)</f>
        <v/>
      </c>
      <c r="H56" s="29">
        <f>Saldo_Residual_Activo!I56</f>
        <v/>
      </c>
      <c r="I56" s="29">
        <f>ROUND(G56 + H56, 2)</f>
        <v/>
      </c>
      <c r="J56" s="29">
        <f>Saldos_Capital_Mensual!J56</f>
        <v/>
      </c>
      <c r="K56" s="29">
        <f>Saldos_Intereses_Mensual!J56</f>
        <v/>
      </c>
      <c r="L56" s="29">
        <f>ROUND(J56 + K56, 2)</f>
        <v/>
      </c>
      <c r="M56" s="29">
        <f>Saldo_Residual_Activo!J56</f>
        <v/>
      </c>
      <c r="N56" s="29">
        <f>ROUND(L56 + M56, 2)</f>
        <v/>
      </c>
      <c r="O56" s="29">
        <f>Saldos_Capital_Mensual!K56</f>
        <v/>
      </c>
      <c r="P56" s="29">
        <f>Saldos_Intereses_Mensual!K56</f>
        <v/>
      </c>
      <c r="Q56" s="29">
        <f>ROUND(O56 + P56, 2)</f>
        <v/>
      </c>
      <c r="R56" s="29">
        <f>Saldo_Residual_Activo!K56</f>
        <v/>
      </c>
      <c r="S56" s="29">
        <f>ROUND(Q56 + R56, 2)</f>
        <v/>
      </c>
      <c r="T56" s="29">
        <f>Saldos_Capital_Mensual!L56</f>
        <v/>
      </c>
      <c r="U56" s="29">
        <f>Saldos_Intereses_Mensual!L56</f>
        <v/>
      </c>
      <c r="V56" s="29">
        <f>ROUND(T56 + U56, 2)</f>
        <v/>
      </c>
      <c r="W56" s="29">
        <f>Saldo_Residual_Activo!L56</f>
        <v/>
      </c>
      <c r="X56" s="29">
        <f>ROUND(V56 + W56, 2)</f>
        <v/>
      </c>
      <c r="Y56" s="29">
        <f>Saldos_Capital_Mensual!M56</f>
        <v/>
      </c>
      <c r="Z56" s="29">
        <f>Saldos_Intereses_Mensual!M56</f>
        <v/>
      </c>
      <c r="AA56" s="29">
        <f>ROUND(Y56 + Z56, 2)</f>
        <v/>
      </c>
      <c r="AB56" s="29">
        <f>Saldo_Residual_Activo!M56</f>
        <v/>
      </c>
      <c r="AC56" s="29">
        <f>ROUND(AA56 + AB56, 2)</f>
        <v/>
      </c>
      <c r="AD56" s="29">
        <f>Saldos_Capital_Mensual!N56</f>
        <v/>
      </c>
      <c r="AE56" s="29">
        <f>Saldos_Intereses_Mensual!N56</f>
        <v/>
      </c>
      <c r="AF56" s="29">
        <f>ROUND(AD56 + AE56, 2)</f>
        <v/>
      </c>
      <c r="AG56" s="29">
        <f>Saldo_Residual_Activo!N56</f>
        <v/>
      </c>
      <c r="AH56" s="29">
        <f>ROUND(AF56 + AG56, 2)</f>
        <v/>
      </c>
      <c r="AI56" s="29">
        <f>Saldos_Capital_Mensual!O56</f>
        <v/>
      </c>
      <c r="AJ56" s="29">
        <f>Saldos_Intereses_Mensual!O56</f>
        <v/>
      </c>
      <c r="AK56" s="29">
        <f>ROUND(AI56 + AJ56, 2)</f>
        <v/>
      </c>
      <c r="AL56" s="29">
        <f>Saldo_Residual_Activo!O56</f>
        <v/>
      </c>
      <c r="AM56" s="29">
        <f>ROUND(AK56 + AL56, 2)</f>
        <v/>
      </c>
      <c r="AN56" s="29">
        <f>Saldos_Capital_Mensual!P56</f>
        <v/>
      </c>
      <c r="AO56" s="29">
        <f>Saldos_Intereses_Mensual!P56</f>
        <v/>
      </c>
      <c r="AP56" s="29">
        <f>ROUND(AN56 + AO56, 2)</f>
        <v/>
      </c>
      <c r="AQ56" s="29">
        <f>Saldo_Residual_Activo!P56</f>
        <v/>
      </c>
      <c r="AR56" s="29">
        <f>ROUND(AP56 + AQ56, 2)</f>
        <v/>
      </c>
      <c r="AS56" s="29">
        <f>Saldos_Capital_Mensual!Q56</f>
        <v/>
      </c>
      <c r="AT56" s="29">
        <f>Saldos_Intereses_Mensual!Q56</f>
        <v/>
      </c>
      <c r="AU56" s="29">
        <f>ROUND(AS56 + AT56, 2)</f>
        <v/>
      </c>
      <c r="AV56" s="29">
        <f>Saldo_Residual_Activo!Q56</f>
        <v/>
      </c>
      <c r="AW56" s="29">
        <f>ROUND(AU56 + AV56, 2)</f>
        <v/>
      </c>
      <c r="AX56" s="29">
        <f>Saldos_Capital_Mensual!R56</f>
        <v/>
      </c>
      <c r="AY56" s="29">
        <f>Saldos_Intereses_Mensual!R56</f>
        <v/>
      </c>
      <c r="AZ56" s="29">
        <f>ROUND(AX56 + AY56, 2)</f>
        <v/>
      </c>
      <c r="BA56" s="29">
        <f>Saldo_Residual_Activo!R56</f>
        <v/>
      </c>
      <c r="BB56" s="29">
        <f>ROUND(AZ56 + BA56, 2)</f>
        <v/>
      </c>
      <c r="BC56" s="29">
        <f>Saldos_Capital_Mensual!S56</f>
        <v/>
      </c>
      <c r="BD56" s="29">
        <f>Saldos_Intereses_Mensual!S56</f>
        <v/>
      </c>
      <c r="BE56" s="29">
        <f>ROUND(BC56 + BD56, 2)</f>
        <v/>
      </c>
      <c r="BF56" s="29">
        <f>Saldo_Residual_Activo!S56</f>
        <v/>
      </c>
      <c r="BG56" s="29">
        <f>ROUND(BE56 + BF56, 2)</f>
        <v/>
      </c>
      <c r="BH56" s="29">
        <f>Saldos_Capital_Mensual!T56</f>
        <v/>
      </c>
      <c r="BI56" s="29">
        <f>Saldos_Intereses_Mensual!T56</f>
        <v/>
      </c>
      <c r="BJ56" s="29">
        <f>ROUND(BH56 + BI56, 2)</f>
        <v/>
      </c>
      <c r="BK56" s="29">
        <f>Saldo_Residual_Activo!T56</f>
        <v/>
      </c>
      <c r="BL56" s="29">
        <f>ROUND(BJ56 + BK56, 2)</f>
        <v/>
      </c>
    </row>
    <row r="57">
      <c r="A57" s="20" t="inlineStr">
        <is>
          <t>0596-0004</t>
        </is>
      </c>
      <c r="B57" s="21" t="inlineStr">
        <is>
          <t>Gruas Industriales Lb</t>
        </is>
      </c>
      <c r="C57" s="21" t="inlineStr">
        <is>
          <t>Ram 1500 TRX</t>
        </is>
      </c>
      <c r="D57" s="22" t="n">
        <v>48</v>
      </c>
      <c r="E57" s="23">
        <f>Saldos_Capital_Mensual!I57</f>
        <v/>
      </c>
      <c r="F57" s="23">
        <f>Saldos_Intereses_Mensual!I57</f>
        <v/>
      </c>
      <c r="G57" s="23">
        <f>ROUND(E57 + F57, 2)</f>
        <v/>
      </c>
      <c r="H57" s="23">
        <f>Saldo_Residual_Activo!I57</f>
        <v/>
      </c>
      <c r="I57" s="23">
        <f>ROUND(G57 + H57, 2)</f>
        <v/>
      </c>
      <c r="J57" s="23">
        <f>Saldos_Capital_Mensual!J57</f>
        <v/>
      </c>
      <c r="K57" s="23">
        <f>Saldos_Intereses_Mensual!J57</f>
        <v/>
      </c>
      <c r="L57" s="23">
        <f>ROUND(J57 + K57, 2)</f>
        <v/>
      </c>
      <c r="M57" s="23">
        <f>Saldo_Residual_Activo!J57</f>
        <v/>
      </c>
      <c r="N57" s="23">
        <f>ROUND(L57 + M57, 2)</f>
        <v/>
      </c>
      <c r="O57" s="23">
        <f>Saldos_Capital_Mensual!K57</f>
        <v/>
      </c>
      <c r="P57" s="23">
        <f>Saldos_Intereses_Mensual!K57</f>
        <v/>
      </c>
      <c r="Q57" s="23">
        <f>ROUND(O57 + P57, 2)</f>
        <v/>
      </c>
      <c r="R57" s="23">
        <f>Saldo_Residual_Activo!K57</f>
        <v/>
      </c>
      <c r="S57" s="23">
        <f>ROUND(Q57 + R57, 2)</f>
        <v/>
      </c>
      <c r="T57" s="23">
        <f>Saldos_Capital_Mensual!L57</f>
        <v/>
      </c>
      <c r="U57" s="23">
        <f>Saldos_Intereses_Mensual!L57</f>
        <v/>
      </c>
      <c r="V57" s="23">
        <f>ROUND(T57 + U57, 2)</f>
        <v/>
      </c>
      <c r="W57" s="23">
        <f>Saldo_Residual_Activo!L57</f>
        <v/>
      </c>
      <c r="X57" s="23">
        <f>ROUND(V57 + W57, 2)</f>
        <v/>
      </c>
      <c r="Y57" s="23">
        <f>Saldos_Capital_Mensual!M57</f>
        <v/>
      </c>
      <c r="Z57" s="23">
        <f>Saldos_Intereses_Mensual!M57</f>
        <v/>
      </c>
      <c r="AA57" s="23">
        <f>ROUND(Y57 + Z57, 2)</f>
        <v/>
      </c>
      <c r="AB57" s="23">
        <f>Saldo_Residual_Activo!M57</f>
        <v/>
      </c>
      <c r="AC57" s="23">
        <f>ROUND(AA57 + AB57, 2)</f>
        <v/>
      </c>
      <c r="AD57" s="23">
        <f>Saldos_Capital_Mensual!N57</f>
        <v/>
      </c>
      <c r="AE57" s="23">
        <f>Saldos_Intereses_Mensual!N57</f>
        <v/>
      </c>
      <c r="AF57" s="23">
        <f>ROUND(AD57 + AE57, 2)</f>
        <v/>
      </c>
      <c r="AG57" s="23">
        <f>Saldo_Residual_Activo!N57</f>
        <v/>
      </c>
      <c r="AH57" s="23">
        <f>ROUND(AF57 + AG57, 2)</f>
        <v/>
      </c>
      <c r="AI57" s="23">
        <f>Saldos_Capital_Mensual!O57</f>
        <v/>
      </c>
      <c r="AJ57" s="23">
        <f>Saldos_Intereses_Mensual!O57</f>
        <v/>
      </c>
      <c r="AK57" s="23">
        <f>ROUND(AI57 + AJ57, 2)</f>
        <v/>
      </c>
      <c r="AL57" s="23">
        <f>Saldo_Residual_Activo!O57</f>
        <v/>
      </c>
      <c r="AM57" s="23">
        <f>ROUND(AK57 + AL57, 2)</f>
        <v/>
      </c>
      <c r="AN57" s="23">
        <f>Saldos_Capital_Mensual!P57</f>
        <v/>
      </c>
      <c r="AO57" s="23">
        <f>Saldos_Intereses_Mensual!P57</f>
        <v/>
      </c>
      <c r="AP57" s="23">
        <f>ROUND(AN57 + AO57, 2)</f>
        <v/>
      </c>
      <c r="AQ57" s="23">
        <f>Saldo_Residual_Activo!P57</f>
        <v/>
      </c>
      <c r="AR57" s="23">
        <f>ROUND(AP57 + AQ57, 2)</f>
        <v/>
      </c>
      <c r="AS57" s="23">
        <f>Saldos_Capital_Mensual!Q57</f>
        <v/>
      </c>
      <c r="AT57" s="23">
        <f>Saldos_Intereses_Mensual!Q57</f>
        <v/>
      </c>
      <c r="AU57" s="23">
        <f>ROUND(AS57 + AT57, 2)</f>
        <v/>
      </c>
      <c r="AV57" s="23">
        <f>Saldo_Residual_Activo!Q57</f>
        <v/>
      </c>
      <c r="AW57" s="23">
        <f>ROUND(AU57 + AV57, 2)</f>
        <v/>
      </c>
      <c r="AX57" s="23">
        <f>Saldos_Capital_Mensual!R57</f>
        <v/>
      </c>
      <c r="AY57" s="23">
        <f>Saldos_Intereses_Mensual!R57</f>
        <v/>
      </c>
      <c r="AZ57" s="23">
        <f>ROUND(AX57 + AY57, 2)</f>
        <v/>
      </c>
      <c r="BA57" s="23">
        <f>Saldo_Residual_Activo!R57</f>
        <v/>
      </c>
      <c r="BB57" s="23">
        <f>ROUND(AZ57 + BA57, 2)</f>
        <v/>
      </c>
      <c r="BC57" s="23">
        <f>Saldos_Capital_Mensual!S57</f>
        <v/>
      </c>
      <c r="BD57" s="23">
        <f>Saldos_Intereses_Mensual!S57</f>
        <v/>
      </c>
      <c r="BE57" s="23">
        <f>ROUND(BC57 + BD57, 2)</f>
        <v/>
      </c>
      <c r="BF57" s="23">
        <f>Saldo_Residual_Activo!S57</f>
        <v/>
      </c>
      <c r="BG57" s="23">
        <f>ROUND(BE57 + BF57, 2)</f>
        <v/>
      </c>
      <c r="BH57" s="23">
        <f>Saldos_Capital_Mensual!T57</f>
        <v/>
      </c>
      <c r="BI57" s="23">
        <f>Saldos_Intereses_Mensual!T57</f>
        <v/>
      </c>
      <c r="BJ57" s="23">
        <f>ROUND(BH57 + BI57, 2)</f>
        <v/>
      </c>
      <c r="BK57" s="23">
        <f>Saldo_Residual_Activo!T57</f>
        <v/>
      </c>
      <c r="BL57" s="23">
        <f>ROUND(BJ57 + BK57, 2)</f>
        <v/>
      </c>
    </row>
    <row r="58">
      <c r="A58" s="26" t="inlineStr">
        <is>
          <t>0596-0005</t>
        </is>
      </c>
      <c r="B58" s="27" t="inlineStr">
        <is>
          <t>Gruas Industriales Lb Sa de Cv</t>
        </is>
      </c>
      <c r="C58" s="27" t="inlineStr">
        <is>
          <t>L200 Glx Gasolina</t>
        </is>
      </c>
      <c r="D58" s="28" t="n">
        <v>48</v>
      </c>
      <c r="E58" s="29">
        <f>Saldos_Capital_Mensual!I58</f>
        <v/>
      </c>
      <c r="F58" s="29">
        <f>Saldos_Intereses_Mensual!I58</f>
        <v/>
      </c>
      <c r="G58" s="29">
        <f>ROUND(E58 + F58, 2)</f>
        <v/>
      </c>
      <c r="H58" s="29">
        <f>Saldo_Residual_Activo!I58</f>
        <v/>
      </c>
      <c r="I58" s="29">
        <f>ROUND(G58 + H58, 2)</f>
        <v/>
      </c>
      <c r="J58" s="29">
        <f>Saldos_Capital_Mensual!J58</f>
        <v/>
      </c>
      <c r="K58" s="29">
        <f>Saldos_Intereses_Mensual!J58</f>
        <v/>
      </c>
      <c r="L58" s="29">
        <f>ROUND(J58 + K58, 2)</f>
        <v/>
      </c>
      <c r="M58" s="29">
        <f>Saldo_Residual_Activo!J58</f>
        <v/>
      </c>
      <c r="N58" s="29">
        <f>ROUND(L58 + M58, 2)</f>
        <v/>
      </c>
      <c r="O58" s="29">
        <f>Saldos_Capital_Mensual!K58</f>
        <v/>
      </c>
      <c r="P58" s="29">
        <f>Saldos_Intereses_Mensual!K58</f>
        <v/>
      </c>
      <c r="Q58" s="29">
        <f>ROUND(O58 + P58, 2)</f>
        <v/>
      </c>
      <c r="R58" s="29">
        <f>Saldo_Residual_Activo!K58</f>
        <v/>
      </c>
      <c r="S58" s="29">
        <f>ROUND(Q58 + R58, 2)</f>
        <v/>
      </c>
      <c r="T58" s="29">
        <f>Saldos_Capital_Mensual!L58</f>
        <v/>
      </c>
      <c r="U58" s="29">
        <f>Saldos_Intereses_Mensual!L58</f>
        <v/>
      </c>
      <c r="V58" s="29">
        <f>ROUND(T58 + U58, 2)</f>
        <v/>
      </c>
      <c r="W58" s="29">
        <f>Saldo_Residual_Activo!L58</f>
        <v/>
      </c>
      <c r="X58" s="29">
        <f>ROUND(V58 + W58, 2)</f>
        <v/>
      </c>
      <c r="Y58" s="29">
        <f>Saldos_Capital_Mensual!M58</f>
        <v/>
      </c>
      <c r="Z58" s="29">
        <f>Saldos_Intereses_Mensual!M58</f>
        <v/>
      </c>
      <c r="AA58" s="29">
        <f>ROUND(Y58 + Z58, 2)</f>
        <v/>
      </c>
      <c r="AB58" s="29">
        <f>Saldo_Residual_Activo!M58</f>
        <v/>
      </c>
      <c r="AC58" s="29">
        <f>ROUND(AA58 + AB58, 2)</f>
        <v/>
      </c>
      <c r="AD58" s="29">
        <f>Saldos_Capital_Mensual!N58</f>
        <v/>
      </c>
      <c r="AE58" s="29">
        <f>Saldos_Intereses_Mensual!N58</f>
        <v/>
      </c>
      <c r="AF58" s="29">
        <f>ROUND(AD58 + AE58, 2)</f>
        <v/>
      </c>
      <c r="AG58" s="29">
        <f>Saldo_Residual_Activo!N58</f>
        <v/>
      </c>
      <c r="AH58" s="29">
        <f>ROUND(AF58 + AG58, 2)</f>
        <v/>
      </c>
      <c r="AI58" s="29">
        <f>Saldos_Capital_Mensual!O58</f>
        <v/>
      </c>
      <c r="AJ58" s="29">
        <f>Saldos_Intereses_Mensual!O58</f>
        <v/>
      </c>
      <c r="AK58" s="29">
        <f>ROUND(AI58 + AJ58, 2)</f>
        <v/>
      </c>
      <c r="AL58" s="29">
        <f>Saldo_Residual_Activo!O58</f>
        <v/>
      </c>
      <c r="AM58" s="29">
        <f>ROUND(AK58 + AL58, 2)</f>
        <v/>
      </c>
      <c r="AN58" s="29">
        <f>Saldos_Capital_Mensual!P58</f>
        <v/>
      </c>
      <c r="AO58" s="29">
        <f>Saldos_Intereses_Mensual!P58</f>
        <v/>
      </c>
      <c r="AP58" s="29">
        <f>ROUND(AN58 + AO58, 2)</f>
        <v/>
      </c>
      <c r="AQ58" s="29">
        <f>Saldo_Residual_Activo!P58</f>
        <v/>
      </c>
      <c r="AR58" s="29">
        <f>ROUND(AP58 + AQ58, 2)</f>
        <v/>
      </c>
      <c r="AS58" s="29">
        <f>Saldos_Capital_Mensual!Q58</f>
        <v/>
      </c>
      <c r="AT58" s="29">
        <f>Saldos_Intereses_Mensual!Q58</f>
        <v/>
      </c>
      <c r="AU58" s="29">
        <f>ROUND(AS58 + AT58, 2)</f>
        <v/>
      </c>
      <c r="AV58" s="29">
        <f>Saldo_Residual_Activo!Q58</f>
        <v/>
      </c>
      <c r="AW58" s="29">
        <f>ROUND(AU58 + AV58, 2)</f>
        <v/>
      </c>
      <c r="AX58" s="29">
        <f>Saldos_Capital_Mensual!R58</f>
        <v/>
      </c>
      <c r="AY58" s="29">
        <f>Saldos_Intereses_Mensual!R58</f>
        <v/>
      </c>
      <c r="AZ58" s="29">
        <f>ROUND(AX58 + AY58, 2)</f>
        <v/>
      </c>
      <c r="BA58" s="29">
        <f>Saldo_Residual_Activo!R58</f>
        <v/>
      </c>
      <c r="BB58" s="29">
        <f>ROUND(AZ58 + BA58, 2)</f>
        <v/>
      </c>
      <c r="BC58" s="29">
        <f>Saldos_Capital_Mensual!S58</f>
        <v/>
      </c>
      <c r="BD58" s="29">
        <f>Saldos_Intereses_Mensual!S58</f>
        <v/>
      </c>
      <c r="BE58" s="29">
        <f>ROUND(BC58 + BD58, 2)</f>
        <v/>
      </c>
      <c r="BF58" s="29">
        <f>Saldo_Residual_Activo!S58</f>
        <v/>
      </c>
      <c r="BG58" s="29">
        <f>ROUND(BE58 + BF58, 2)</f>
        <v/>
      </c>
      <c r="BH58" s="29">
        <f>Saldos_Capital_Mensual!T58</f>
        <v/>
      </c>
      <c r="BI58" s="29">
        <f>Saldos_Intereses_Mensual!T58</f>
        <v/>
      </c>
      <c r="BJ58" s="29">
        <f>ROUND(BH58 + BI58, 2)</f>
        <v/>
      </c>
      <c r="BK58" s="29">
        <f>Saldo_Residual_Activo!T58</f>
        <v/>
      </c>
      <c r="BL58" s="29">
        <f>ROUND(BJ58 + BK58, 2)</f>
        <v/>
      </c>
    </row>
    <row r="59">
      <c r="A59" s="20" t="inlineStr">
        <is>
          <t>0598-0001</t>
        </is>
      </c>
      <c r="B59" s="21" t="inlineStr">
        <is>
          <t>Digitracking Solution Sa de Cv</t>
        </is>
      </c>
      <c r="C59" s="21" t="inlineStr">
        <is>
          <t>Ram 700 Laramie</t>
        </is>
      </c>
      <c r="D59" s="22" t="n">
        <v>48</v>
      </c>
      <c r="E59" s="23">
        <f>Saldos_Capital_Mensual!I59</f>
        <v/>
      </c>
      <c r="F59" s="23">
        <f>Saldos_Intereses_Mensual!I59</f>
        <v/>
      </c>
      <c r="G59" s="23">
        <f>ROUND(E59 + F59, 2)</f>
        <v/>
      </c>
      <c r="H59" s="23">
        <f>Saldo_Residual_Activo!I59</f>
        <v/>
      </c>
      <c r="I59" s="23">
        <f>ROUND(G59 + H59, 2)</f>
        <v/>
      </c>
      <c r="J59" s="23">
        <f>Saldos_Capital_Mensual!J59</f>
        <v/>
      </c>
      <c r="K59" s="23">
        <f>Saldos_Intereses_Mensual!J59</f>
        <v/>
      </c>
      <c r="L59" s="23">
        <f>ROUND(J59 + K59, 2)</f>
        <v/>
      </c>
      <c r="M59" s="23">
        <f>Saldo_Residual_Activo!J59</f>
        <v/>
      </c>
      <c r="N59" s="23">
        <f>ROUND(L59 + M59, 2)</f>
        <v/>
      </c>
      <c r="O59" s="23">
        <f>Saldos_Capital_Mensual!K59</f>
        <v/>
      </c>
      <c r="P59" s="23">
        <f>Saldos_Intereses_Mensual!K59</f>
        <v/>
      </c>
      <c r="Q59" s="23">
        <f>ROUND(O59 + P59, 2)</f>
        <v/>
      </c>
      <c r="R59" s="23">
        <f>Saldo_Residual_Activo!K59</f>
        <v/>
      </c>
      <c r="S59" s="23">
        <f>ROUND(Q59 + R59, 2)</f>
        <v/>
      </c>
      <c r="T59" s="23">
        <f>Saldos_Capital_Mensual!L59</f>
        <v/>
      </c>
      <c r="U59" s="23">
        <f>Saldos_Intereses_Mensual!L59</f>
        <v/>
      </c>
      <c r="V59" s="23">
        <f>ROUND(T59 + U59, 2)</f>
        <v/>
      </c>
      <c r="W59" s="23">
        <f>Saldo_Residual_Activo!L59</f>
        <v/>
      </c>
      <c r="X59" s="23">
        <f>ROUND(V59 + W59, 2)</f>
        <v/>
      </c>
      <c r="Y59" s="23">
        <f>Saldos_Capital_Mensual!M59</f>
        <v/>
      </c>
      <c r="Z59" s="23">
        <f>Saldos_Intereses_Mensual!M59</f>
        <v/>
      </c>
      <c r="AA59" s="23">
        <f>ROUND(Y59 + Z59, 2)</f>
        <v/>
      </c>
      <c r="AB59" s="23">
        <f>Saldo_Residual_Activo!M59</f>
        <v/>
      </c>
      <c r="AC59" s="23">
        <f>ROUND(AA59 + AB59, 2)</f>
        <v/>
      </c>
      <c r="AD59" s="23">
        <f>Saldos_Capital_Mensual!N59</f>
        <v/>
      </c>
      <c r="AE59" s="23">
        <f>Saldos_Intereses_Mensual!N59</f>
        <v/>
      </c>
      <c r="AF59" s="23">
        <f>ROUND(AD59 + AE59, 2)</f>
        <v/>
      </c>
      <c r="AG59" s="23">
        <f>Saldo_Residual_Activo!N59</f>
        <v/>
      </c>
      <c r="AH59" s="23">
        <f>ROUND(AF59 + AG59, 2)</f>
        <v/>
      </c>
      <c r="AI59" s="23">
        <f>Saldos_Capital_Mensual!O59</f>
        <v/>
      </c>
      <c r="AJ59" s="23">
        <f>Saldos_Intereses_Mensual!O59</f>
        <v/>
      </c>
      <c r="AK59" s="23">
        <f>ROUND(AI59 + AJ59, 2)</f>
        <v/>
      </c>
      <c r="AL59" s="23">
        <f>Saldo_Residual_Activo!O59</f>
        <v/>
      </c>
      <c r="AM59" s="23">
        <f>ROUND(AK59 + AL59, 2)</f>
        <v/>
      </c>
      <c r="AN59" s="23">
        <f>Saldos_Capital_Mensual!P59</f>
        <v/>
      </c>
      <c r="AO59" s="23">
        <f>Saldos_Intereses_Mensual!P59</f>
        <v/>
      </c>
      <c r="AP59" s="23">
        <f>ROUND(AN59 + AO59, 2)</f>
        <v/>
      </c>
      <c r="AQ59" s="23">
        <f>Saldo_Residual_Activo!P59</f>
        <v/>
      </c>
      <c r="AR59" s="23">
        <f>ROUND(AP59 + AQ59, 2)</f>
        <v/>
      </c>
      <c r="AS59" s="23">
        <f>Saldos_Capital_Mensual!Q59</f>
        <v/>
      </c>
      <c r="AT59" s="23">
        <f>Saldos_Intereses_Mensual!Q59</f>
        <v/>
      </c>
      <c r="AU59" s="23">
        <f>ROUND(AS59 + AT59, 2)</f>
        <v/>
      </c>
      <c r="AV59" s="23">
        <f>Saldo_Residual_Activo!Q59</f>
        <v/>
      </c>
      <c r="AW59" s="23">
        <f>ROUND(AU59 + AV59, 2)</f>
        <v/>
      </c>
      <c r="AX59" s="23">
        <f>Saldos_Capital_Mensual!R59</f>
        <v/>
      </c>
      <c r="AY59" s="23">
        <f>Saldos_Intereses_Mensual!R59</f>
        <v/>
      </c>
      <c r="AZ59" s="23">
        <f>ROUND(AX59 + AY59, 2)</f>
        <v/>
      </c>
      <c r="BA59" s="23">
        <f>Saldo_Residual_Activo!R59</f>
        <v/>
      </c>
      <c r="BB59" s="23">
        <f>ROUND(AZ59 + BA59, 2)</f>
        <v/>
      </c>
      <c r="BC59" s="23">
        <f>Saldos_Capital_Mensual!S59</f>
        <v/>
      </c>
      <c r="BD59" s="23">
        <f>Saldos_Intereses_Mensual!S59</f>
        <v/>
      </c>
      <c r="BE59" s="23">
        <f>ROUND(BC59 + BD59, 2)</f>
        <v/>
      </c>
      <c r="BF59" s="23">
        <f>Saldo_Residual_Activo!S59</f>
        <v/>
      </c>
      <c r="BG59" s="23">
        <f>ROUND(BE59 + BF59, 2)</f>
        <v/>
      </c>
      <c r="BH59" s="23">
        <f>Saldos_Capital_Mensual!T59</f>
        <v/>
      </c>
      <c r="BI59" s="23">
        <f>Saldos_Intereses_Mensual!T59</f>
        <v/>
      </c>
      <c r="BJ59" s="23">
        <f>ROUND(BH59 + BI59, 2)</f>
        <v/>
      </c>
      <c r="BK59" s="23">
        <f>Saldo_Residual_Activo!T59</f>
        <v/>
      </c>
      <c r="BL59" s="23">
        <f>ROUND(BJ59 + BK59, 2)</f>
        <v/>
      </c>
    </row>
    <row r="60">
      <c r="A60" s="26" t="inlineStr">
        <is>
          <t>0600-0001</t>
        </is>
      </c>
      <c r="B60" s="27" t="inlineStr">
        <is>
          <t>Dulce Marisol Gonzalez Cuevas</t>
        </is>
      </c>
      <c r="C60" s="27" t="inlineStr">
        <is>
          <t>Ram 700 Laramie</t>
        </is>
      </c>
      <c r="D60" s="28" t="n">
        <v>48</v>
      </c>
      <c r="E60" s="29">
        <f>Saldos_Capital_Mensual!I60</f>
        <v/>
      </c>
      <c r="F60" s="29">
        <f>Saldos_Intereses_Mensual!I60</f>
        <v/>
      </c>
      <c r="G60" s="29">
        <f>ROUND(E60 + F60, 2)</f>
        <v/>
      </c>
      <c r="H60" s="29">
        <f>Saldo_Residual_Activo!I60</f>
        <v/>
      </c>
      <c r="I60" s="29">
        <f>ROUND(G60 + H60, 2)</f>
        <v/>
      </c>
      <c r="J60" s="29">
        <f>Saldos_Capital_Mensual!J60</f>
        <v/>
      </c>
      <c r="K60" s="29">
        <f>Saldos_Intereses_Mensual!J60</f>
        <v/>
      </c>
      <c r="L60" s="29">
        <f>ROUND(J60 + K60, 2)</f>
        <v/>
      </c>
      <c r="M60" s="29">
        <f>Saldo_Residual_Activo!J60</f>
        <v/>
      </c>
      <c r="N60" s="29">
        <f>ROUND(L60 + M60, 2)</f>
        <v/>
      </c>
      <c r="O60" s="29">
        <f>Saldos_Capital_Mensual!K60</f>
        <v/>
      </c>
      <c r="P60" s="29">
        <f>Saldos_Intereses_Mensual!K60</f>
        <v/>
      </c>
      <c r="Q60" s="29">
        <f>ROUND(O60 + P60, 2)</f>
        <v/>
      </c>
      <c r="R60" s="29">
        <f>Saldo_Residual_Activo!K60</f>
        <v/>
      </c>
      <c r="S60" s="29">
        <f>ROUND(Q60 + R60, 2)</f>
        <v/>
      </c>
      <c r="T60" s="29">
        <f>Saldos_Capital_Mensual!L60</f>
        <v/>
      </c>
      <c r="U60" s="29">
        <f>Saldos_Intereses_Mensual!L60</f>
        <v/>
      </c>
      <c r="V60" s="29">
        <f>ROUND(T60 + U60, 2)</f>
        <v/>
      </c>
      <c r="W60" s="29">
        <f>Saldo_Residual_Activo!L60</f>
        <v/>
      </c>
      <c r="X60" s="29">
        <f>ROUND(V60 + W60, 2)</f>
        <v/>
      </c>
      <c r="Y60" s="29">
        <f>Saldos_Capital_Mensual!M60</f>
        <v/>
      </c>
      <c r="Z60" s="29">
        <f>Saldos_Intereses_Mensual!M60</f>
        <v/>
      </c>
      <c r="AA60" s="29">
        <f>ROUND(Y60 + Z60, 2)</f>
        <v/>
      </c>
      <c r="AB60" s="29">
        <f>Saldo_Residual_Activo!M60</f>
        <v/>
      </c>
      <c r="AC60" s="29">
        <f>ROUND(AA60 + AB60, 2)</f>
        <v/>
      </c>
      <c r="AD60" s="29">
        <f>Saldos_Capital_Mensual!N60</f>
        <v/>
      </c>
      <c r="AE60" s="29">
        <f>Saldos_Intereses_Mensual!N60</f>
        <v/>
      </c>
      <c r="AF60" s="29">
        <f>ROUND(AD60 + AE60, 2)</f>
        <v/>
      </c>
      <c r="AG60" s="29">
        <f>Saldo_Residual_Activo!N60</f>
        <v/>
      </c>
      <c r="AH60" s="29">
        <f>ROUND(AF60 + AG60, 2)</f>
        <v/>
      </c>
      <c r="AI60" s="29">
        <f>Saldos_Capital_Mensual!O60</f>
        <v/>
      </c>
      <c r="AJ60" s="29">
        <f>Saldos_Intereses_Mensual!O60</f>
        <v/>
      </c>
      <c r="AK60" s="29">
        <f>ROUND(AI60 + AJ60, 2)</f>
        <v/>
      </c>
      <c r="AL60" s="29">
        <f>Saldo_Residual_Activo!O60</f>
        <v/>
      </c>
      <c r="AM60" s="29">
        <f>ROUND(AK60 + AL60, 2)</f>
        <v/>
      </c>
      <c r="AN60" s="29">
        <f>Saldos_Capital_Mensual!P60</f>
        <v/>
      </c>
      <c r="AO60" s="29">
        <f>Saldos_Intereses_Mensual!P60</f>
        <v/>
      </c>
      <c r="AP60" s="29">
        <f>ROUND(AN60 + AO60, 2)</f>
        <v/>
      </c>
      <c r="AQ60" s="29">
        <f>Saldo_Residual_Activo!P60</f>
        <v/>
      </c>
      <c r="AR60" s="29">
        <f>ROUND(AP60 + AQ60, 2)</f>
        <v/>
      </c>
      <c r="AS60" s="29">
        <f>Saldos_Capital_Mensual!Q60</f>
        <v/>
      </c>
      <c r="AT60" s="29">
        <f>Saldos_Intereses_Mensual!Q60</f>
        <v/>
      </c>
      <c r="AU60" s="29">
        <f>ROUND(AS60 + AT60, 2)</f>
        <v/>
      </c>
      <c r="AV60" s="29">
        <f>Saldo_Residual_Activo!Q60</f>
        <v/>
      </c>
      <c r="AW60" s="29">
        <f>ROUND(AU60 + AV60, 2)</f>
        <v/>
      </c>
      <c r="AX60" s="29">
        <f>Saldos_Capital_Mensual!R60</f>
        <v/>
      </c>
      <c r="AY60" s="29">
        <f>Saldos_Intereses_Mensual!R60</f>
        <v/>
      </c>
      <c r="AZ60" s="29">
        <f>ROUND(AX60 + AY60, 2)</f>
        <v/>
      </c>
      <c r="BA60" s="29">
        <f>Saldo_Residual_Activo!R60</f>
        <v/>
      </c>
      <c r="BB60" s="29">
        <f>ROUND(AZ60 + BA60, 2)</f>
        <v/>
      </c>
      <c r="BC60" s="29">
        <f>Saldos_Capital_Mensual!S60</f>
        <v/>
      </c>
      <c r="BD60" s="29">
        <f>Saldos_Intereses_Mensual!S60</f>
        <v/>
      </c>
      <c r="BE60" s="29">
        <f>ROUND(BC60 + BD60, 2)</f>
        <v/>
      </c>
      <c r="BF60" s="29">
        <f>Saldo_Residual_Activo!S60</f>
        <v/>
      </c>
      <c r="BG60" s="29">
        <f>ROUND(BE60 + BF60, 2)</f>
        <v/>
      </c>
      <c r="BH60" s="29">
        <f>Saldos_Capital_Mensual!T60</f>
        <v/>
      </c>
      <c r="BI60" s="29">
        <f>Saldos_Intereses_Mensual!T60</f>
        <v/>
      </c>
      <c r="BJ60" s="29">
        <f>ROUND(BH60 + BI60, 2)</f>
        <v/>
      </c>
      <c r="BK60" s="29">
        <f>Saldo_Residual_Activo!T60</f>
        <v/>
      </c>
      <c r="BL60" s="29">
        <f>ROUND(BJ60 + BK60, 2)</f>
        <v/>
      </c>
    </row>
    <row r="61">
      <c r="A61" s="20" t="inlineStr">
        <is>
          <t>0603-0002</t>
        </is>
      </c>
      <c r="B61" s="21" t="inlineStr">
        <is>
          <t>Mario Alberto Velasco Santana</t>
        </is>
      </c>
      <c r="C61" s="21" t="inlineStr">
        <is>
          <t>Outlander Sport</t>
        </is>
      </c>
      <c r="D61" s="22" t="n">
        <v>48</v>
      </c>
      <c r="E61" s="23">
        <f>Saldos_Capital_Mensual!I61</f>
        <v/>
      </c>
      <c r="F61" s="23">
        <f>Saldos_Intereses_Mensual!I61</f>
        <v/>
      </c>
      <c r="G61" s="23">
        <f>ROUND(E61 + F61, 2)</f>
        <v/>
      </c>
      <c r="H61" s="23">
        <f>Saldo_Residual_Activo!I61</f>
        <v/>
      </c>
      <c r="I61" s="23">
        <f>ROUND(G61 + H61, 2)</f>
        <v/>
      </c>
      <c r="J61" s="23">
        <f>Saldos_Capital_Mensual!J61</f>
        <v/>
      </c>
      <c r="K61" s="23">
        <f>Saldos_Intereses_Mensual!J61</f>
        <v/>
      </c>
      <c r="L61" s="23">
        <f>ROUND(J61 + K61, 2)</f>
        <v/>
      </c>
      <c r="M61" s="23">
        <f>Saldo_Residual_Activo!J61</f>
        <v/>
      </c>
      <c r="N61" s="23">
        <f>ROUND(L61 + M61, 2)</f>
        <v/>
      </c>
      <c r="O61" s="23">
        <f>Saldos_Capital_Mensual!K61</f>
        <v/>
      </c>
      <c r="P61" s="23">
        <f>Saldos_Intereses_Mensual!K61</f>
        <v/>
      </c>
      <c r="Q61" s="23">
        <f>ROUND(O61 + P61, 2)</f>
        <v/>
      </c>
      <c r="R61" s="23">
        <f>Saldo_Residual_Activo!K61</f>
        <v/>
      </c>
      <c r="S61" s="23">
        <f>ROUND(Q61 + R61, 2)</f>
        <v/>
      </c>
      <c r="T61" s="23">
        <f>Saldos_Capital_Mensual!L61</f>
        <v/>
      </c>
      <c r="U61" s="23">
        <f>Saldos_Intereses_Mensual!L61</f>
        <v/>
      </c>
      <c r="V61" s="23">
        <f>ROUND(T61 + U61, 2)</f>
        <v/>
      </c>
      <c r="W61" s="23">
        <f>Saldo_Residual_Activo!L61</f>
        <v/>
      </c>
      <c r="X61" s="23">
        <f>ROUND(V61 + W61, 2)</f>
        <v/>
      </c>
      <c r="Y61" s="23">
        <f>Saldos_Capital_Mensual!M61</f>
        <v/>
      </c>
      <c r="Z61" s="23">
        <f>Saldos_Intereses_Mensual!M61</f>
        <v/>
      </c>
      <c r="AA61" s="23">
        <f>ROUND(Y61 + Z61, 2)</f>
        <v/>
      </c>
      <c r="AB61" s="23">
        <f>Saldo_Residual_Activo!M61</f>
        <v/>
      </c>
      <c r="AC61" s="23">
        <f>ROUND(AA61 + AB61, 2)</f>
        <v/>
      </c>
      <c r="AD61" s="23">
        <f>Saldos_Capital_Mensual!N61</f>
        <v/>
      </c>
      <c r="AE61" s="23">
        <f>Saldos_Intereses_Mensual!N61</f>
        <v/>
      </c>
      <c r="AF61" s="23">
        <f>ROUND(AD61 + AE61, 2)</f>
        <v/>
      </c>
      <c r="AG61" s="23">
        <f>Saldo_Residual_Activo!N61</f>
        <v/>
      </c>
      <c r="AH61" s="23">
        <f>ROUND(AF61 + AG61, 2)</f>
        <v/>
      </c>
      <c r="AI61" s="23">
        <f>Saldos_Capital_Mensual!O61</f>
        <v/>
      </c>
      <c r="AJ61" s="23">
        <f>Saldos_Intereses_Mensual!O61</f>
        <v/>
      </c>
      <c r="AK61" s="23">
        <f>ROUND(AI61 + AJ61, 2)</f>
        <v/>
      </c>
      <c r="AL61" s="23">
        <f>Saldo_Residual_Activo!O61</f>
        <v/>
      </c>
      <c r="AM61" s="23">
        <f>ROUND(AK61 + AL61, 2)</f>
        <v/>
      </c>
      <c r="AN61" s="23">
        <f>Saldos_Capital_Mensual!P61</f>
        <v/>
      </c>
      <c r="AO61" s="23">
        <f>Saldos_Intereses_Mensual!P61</f>
        <v/>
      </c>
      <c r="AP61" s="23">
        <f>ROUND(AN61 + AO61, 2)</f>
        <v/>
      </c>
      <c r="AQ61" s="23">
        <f>Saldo_Residual_Activo!P61</f>
        <v/>
      </c>
      <c r="AR61" s="23">
        <f>ROUND(AP61 + AQ61, 2)</f>
        <v/>
      </c>
      <c r="AS61" s="23">
        <f>Saldos_Capital_Mensual!Q61</f>
        <v/>
      </c>
      <c r="AT61" s="23">
        <f>Saldos_Intereses_Mensual!Q61</f>
        <v/>
      </c>
      <c r="AU61" s="23">
        <f>ROUND(AS61 + AT61, 2)</f>
        <v/>
      </c>
      <c r="AV61" s="23">
        <f>Saldo_Residual_Activo!Q61</f>
        <v/>
      </c>
      <c r="AW61" s="23">
        <f>ROUND(AU61 + AV61, 2)</f>
        <v/>
      </c>
      <c r="AX61" s="23">
        <f>Saldos_Capital_Mensual!R61</f>
        <v/>
      </c>
      <c r="AY61" s="23">
        <f>Saldos_Intereses_Mensual!R61</f>
        <v/>
      </c>
      <c r="AZ61" s="23">
        <f>ROUND(AX61 + AY61, 2)</f>
        <v/>
      </c>
      <c r="BA61" s="23">
        <f>Saldo_Residual_Activo!R61</f>
        <v/>
      </c>
      <c r="BB61" s="23">
        <f>ROUND(AZ61 + BA61, 2)</f>
        <v/>
      </c>
      <c r="BC61" s="23">
        <f>Saldos_Capital_Mensual!S61</f>
        <v/>
      </c>
      <c r="BD61" s="23">
        <f>Saldos_Intereses_Mensual!S61</f>
        <v/>
      </c>
      <c r="BE61" s="23">
        <f>ROUND(BC61 + BD61, 2)</f>
        <v/>
      </c>
      <c r="BF61" s="23">
        <f>Saldo_Residual_Activo!S61</f>
        <v/>
      </c>
      <c r="BG61" s="23">
        <f>ROUND(BE61 + BF61, 2)</f>
        <v/>
      </c>
      <c r="BH61" s="23">
        <f>Saldos_Capital_Mensual!T61</f>
        <v/>
      </c>
      <c r="BI61" s="23">
        <f>Saldos_Intereses_Mensual!T61</f>
        <v/>
      </c>
      <c r="BJ61" s="23">
        <f>ROUND(BH61 + BI61, 2)</f>
        <v/>
      </c>
      <c r="BK61" s="23">
        <f>Saldo_Residual_Activo!T61</f>
        <v/>
      </c>
      <c r="BL61" s="23">
        <f>ROUND(BJ61 + BK61, 2)</f>
        <v/>
      </c>
    </row>
    <row r="62">
      <c r="A62" s="26" t="inlineStr">
        <is>
          <t>0605-0001</t>
        </is>
      </c>
      <c r="B62" s="27" t="inlineStr">
        <is>
          <t>Nato Arquitectos Sa de Cv</t>
        </is>
      </c>
      <c r="C62" s="27" t="inlineStr">
        <is>
          <t>Compass High Altitude</t>
        </is>
      </c>
      <c r="D62" s="28" t="n">
        <v>48</v>
      </c>
      <c r="E62" s="29">
        <f>Saldos_Capital_Mensual!I62</f>
        <v/>
      </c>
      <c r="F62" s="29">
        <f>Saldos_Intereses_Mensual!I62</f>
        <v/>
      </c>
      <c r="G62" s="29">
        <f>ROUND(E62 + F62, 2)</f>
        <v/>
      </c>
      <c r="H62" s="29">
        <f>Saldo_Residual_Activo!I62</f>
        <v/>
      </c>
      <c r="I62" s="29">
        <f>ROUND(G62 + H62, 2)</f>
        <v/>
      </c>
      <c r="J62" s="29">
        <f>Saldos_Capital_Mensual!J62</f>
        <v/>
      </c>
      <c r="K62" s="29">
        <f>Saldos_Intereses_Mensual!J62</f>
        <v/>
      </c>
      <c r="L62" s="29">
        <f>ROUND(J62 + K62, 2)</f>
        <v/>
      </c>
      <c r="M62" s="29">
        <f>Saldo_Residual_Activo!J62</f>
        <v/>
      </c>
      <c r="N62" s="29">
        <f>ROUND(L62 + M62, 2)</f>
        <v/>
      </c>
      <c r="O62" s="29">
        <f>Saldos_Capital_Mensual!K62</f>
        <v/>
      </c>
      <c r="P62" s="29">
        <f>Saldos_Intereses_Mensual!K62</f>
        <v/>
      </c>
      <c r="Q62" s="29">
        <f>ROUND(O62 + P62, 2)</f>
        <v/>
      </c>
      <c r="R62" s="29">
        <f>Saldo_Residual_Activo!K62</f>
        <v/>
      </c>
      <c r="S62" s="29">
        <f>ROUND(Q62 + R62, 2)</f>
        <v/>
      </c>
      <c r="T62" s="29">
        <f>Saldos_Capital_Mensual!L62</f>
        <v/>
      </c>
      <c r="U62" s="29">
        <f>Saldos_Intereses_Mensual!L62</f>
        <v/>
      </c>
      <c r="V62" s="29">
        <f>ROUND(T62 + U62, 2)</f>
        <v/>
      </c>
      <c r="W62" s="29">
        <f>Saldo_Residual_Activo!L62</f>
        <v/>
      </c>
      <c r="X62" s="29">
        <f>ROUND(V62 + W62, 2)</f>
        <v/>
      </c>
      <c r="Y62" s="29">
        <f>Saldos_Capital_Mensual!M62</f>
        <v/>
      </c>
      <c r="Z62" s="29">
        <f>Saldos_Intereses_Mensual!M62</f>
        <v/>
      </c>
      <c r="AA62" s="29">
        <f>ROUND(Y62 + Z62, 2)</f>
        <v/>
      </c>
      <c r="AB62" s="29">
        <f>Saldo_Residual_Activo!M62</f>
        <v/>
      </c>
      <c r="AC62" s="29">
        <f>ROUND(AA62 + AB62, 2)</f>
        <v/>
      </c>
      <c r="AD62" s="29">
        <f>Saldos_Capital_Mensual!N62</f>
        <v/>
      </c>
      <c r="AE62" s="29">
        <f>Saldos_Intereses_Mensual!N62</f>
        <v/>
      </c>
      <c r="AF62" s="29">
        <f>ROUND(AD62 + AE62, 2)</f>
        <v/>
      </c>
      <c r="AG62" s="29">
        <f>Saldo_Residual_Activo!N62</f>
        <v/>
      </c>
      <c r="AH62" s="29">
        <f>ROUND(AF62 + AG62, 2)</f>
        <v/>
      </c>
      <c r="AI62" s="29">
        <f>Saldos_Capital_Mensual!O62</f>
        <v/>
      </c>
      <c r="AJ62" s="29">
        <f>Saldos_Intereses_Mensual!O62</f>
        <v/>
      </c>
      <c r="AK62" s="29">
        <f>ROUND(AI62 + AJ62, 2)</f>
        <v/>
      </c>
      <c r="AL62" s="29">
        <f>Saldo_Residual_Activo!O62</f>
        <v/>
      </c>
      <c r="AM62" s="29">
        <f>ROUND(AK62 + AL62, 2)</f>
        <v/>
      </c>
      <c r="AN62" s="29">
        <f>Saldos_Capital_Mensual!P62</f>
        <v/>
      </c>
      <c r="AO62" s="29">
        <f>Saldos_Intereses_Mensual!P62</f>
        <v/>
      </c>
      <c r="AP62" s="29">
        <f>ROUND(AN62 + AO62, 2)</f>
        <v/>
      </c>
      <c r="AQ62" s="29">
        <f>Saldo_Residual_Activo!P62</f>
        <v/>
      </c>
      <c r="AR62" s="29">
        <f>ROUND(AP62 + AQ62, 2)</f>
        <v/>
      </c>
      <c r="AS62" s="29">
        <f>Saldos_Capital_Mensual!Q62</f>
        <v/>
      </c>
      <c r="AT62" s="29">
        <f>Saldos_Intereses_Mensual!Q62</f>
        <v/>
      </c>
      <c r="AU62" s="29">
        <f>ROUND(AS62 + AT62, 2)</f>
        <v/>
      </c>
      <c r="AV62" s="29">
        <f>Saldo_Residual_Activo!Q62</f>
        <v/>
      </c>
      <c r="AW62" s="29">
        <f>ROUND(AU62 + AV62, 2)</f>
        <v/>
      </c>
      <c r="AX62" s="29">
        <f>Saldos_Capital_Mensual!R62</f>
        <v/>
      </c>
      <c r="AY62" s="29">
        <f>Saldos_Intereses_Mensual!R62</f>
        <v/>
      </c>
      <c r="AZ62" s="29">
        <f>ROUND(AX62 + AY62, 2)</f>
        <v/>
      </c>
      <c r="BA62" s="29">
        <f>Saldo_Residual_Activo!R62</f>
        <v/>
      </c>
      <c r="BB62" s="29">
        <f>ROUND(AZ62 + BA62, 2)</f>
        <v/>
      </c>
      <c r="BC62" s="29">
        <f>Saldos_Capital_Mensual!S62</f>
        <v/>
      </c>
      <c r="BD62" s="29">
        <f>Saldos_Intereses_Mensual!S62</f>
        <v/>
      </c>
      <c r="BE62" s="29">
        <f>ROUND(BC62 + BD62, 2)</f>
        <v/>
      </c>
      <c r="BF62" s="29">
        <f>Saldo_Residual_Activo!S62</f>
        <v/>
      </c>
      <c r="BG62" s="29">
        <f>ROUND(BE62 + BF62, 2)</f>
        <v/>
      </c>
      <c r="BH62" s="29">
        <f>Saldos_Capital_Mensual!T62</f>
        <v/>
      </c>
      <c r="BI62" s="29">
        <f>Saldos_Intereses_Mensual!T62</f>
        <v/>
      </c>
      <c r="BJ62" s="29">
        <f>ROUND(BH62 + BI62, 2)</f>
        <v/>
      </c>
      <c r="BK62" s="29">
        <f>Saldo_Residual_Activo!T62</f>
        <v/>
      </c>
      <c r="BL62" s="29">
        <f>ROUND(BJ62 + BK62, 2)</f>
        <v/>
      </c>
    </row>
    <row r="63">
      <c r="A63" s="20" t="inlineStr">
        <is>
          <t>0605-0002</t>
        </is>
      </c>
      <c r="B63" s="21" t="inlineStr">
        <is>
          <t>Nato Arquitectos Sa de Cv</t>
        </is>
      </c>
      <c r="C63" s="21" t="inlineStr">
        <is>
          <t>Hilux Diesel</t>
        </is>
      </c>
      <c r="D63" s="22" t="n">
        <v>24</v>
      </c>
      <c r="E63" s="23">
        <f>Saldos_Capital_Mensual!I63</f>
        <v/>
      </c>
      <c r="F63" s="23">
        <f>Saldos_Intereses_Mensual!I63</f>
        <v/>
      </c>
      <c r="G63" s="23">
        <f>ROUND(E63 + F63, 2)</f>
        <v/>
      </c>
      <c r="H63" s="23">
        <f>Saldo_Residual_Activo!I63</f>
        <v/>
      </c>
      <c r="I63" s="23">
        <f>ROUND(G63 + H63, 2)</f>
        <v/>
      </c>
      <c r="J63" s="23">
        <f>Saldos_Capital_Mensual!J63</f>
        <v/>
      </c>
      <c r="K63" s="23">
        <f>Saldos_Intereses_Mensual!J63</f>
        <v/>
      </c>
      <c r="L63" s="23">
        <f>ROUND(J63 + K63, 2)</f>
        <v/>
      </c>
      <c r="M63" s="23">
        <f>Saldo_Residual_Activo!J63</f>
        <v/>
      </c>
      <c r="N63" s="23">
        <f>ROUND(L63 + M63, 2)</f>
        <v/>
      </c>
      <c r="O63" s="23">
        <f>Saldos_Capital_Mensual!K63</f>
        <v/>
      </c>
      <c r="P63" s="23">
        <f>Saldos_Intereses_Mensual!K63</f>
        <v/>
      </c>
      <c r="Q63" s="23">
        <f>ROUND(O63 + P63, 2)</f>
        <v/>
      </c>
      <c r="R63" s="23">
        <f>Saldo_Residual_Activo!K63</f>
        <v/>
      </c>
      <c r="S63" s="23">
        <f>ROUND(Q63 + R63, 2)</f>
        <v/>
      </c>
      <c r="T63" s="23">
        <f>Saldos_Capital_Mensual!L63</f>
        <v/>
      </c>
      <c r="U63" s="23">
        <f>Saldos_Intereses_Mensual!L63</f>
        <v/>
      </c>
      <c r="V63" s="23">
        <f>ROUND(T63 + U63, 2)</f>
        <v/>
      </c>
      <c r="W63" s="23">
        <f>Saldo_Residual_Activo!L63</f>
        <v/>
      </c>
      <c r="X63" s="23">
        <f>ROUND(V63 + W63, 2)</f>
        <v/>
      </c>
      <c r="Y63" s="23">
        <f>Saldos_Capital_Mensual!M63</f>
        <v/>
      </c>
      <c r="Z63" s="23">
        <f>Saldos_Intereses_Mensual!M63</f>
        <v/>
      </c>
      <c r="AA63" s="23">
        <f>ROUND(Y63 + Z63, 2)</f>
        <v/>
      </c>
      <c r="AB63" s="23">
        <f>Saldo_Residual_Activo!M63</f>
        <v/>
      </c>
      <c r="AC63" s="23">
        <f>ROUND(AA63 + AB63, 2)</f>
        <v/>
      </c>
      <c r="AD63" s="23">
        <f>Saldos_Capital_Mensual!N63</f>
        <v/>
      </c>
      <c r="AE63" s="23">
        <f>Saldos_Intereses_Mensual!N63</f>
        <v/>
      </c>
      <c r="AF63" s="23">
        <f>ROUND(AD63 + AE63, 2)</f>
        <v/>
      </c>
      <c r="AG63" s="23">
        <f>Saldo_Residual_Activo!N63</f>
        <v/>
      </c>
      <c r="AH63" s="23">
        <f>ROUND(AF63 + AG63, 2)</f>
        <v/>
      </c>
      <c r="AI63" s="23">
        <f>Saldos_Capital_Mensual!O63</f>
        <v/>
      </c>
      <c r="AJ63" s="23">
        <f>Saldos_Intereses_Mensual!O63</f>
        <v/>
      </c>
      <c r="AK63" s="23">
        <f>ROUND(AI63 + AJ63, 2)</f>
        <v/>
      </c>
      <c r="AL63" s="23">
        <f>Saldo_Residual_Activo!O63</f>
        <v/>
      </c>
      <c r="AM63" s="23">
        <f>ROUND(AK63 + AL63, 2)</f>
        <v/>
      </c>
      <c r="AN63" s="23">
        <f>Saldos_Capital_Mensual!P63</f>
        <v/>
      </c>
      <c r="AO63" s="23">
        <f>Saldos_Intereses_Mensual!P63</f>
        <v/>
      </c>
      <c r="AP63" s="23">
        <f>ROUND(AN63 + AO63, 2)</f>
        <v/>
      </c>
      <c r="AQ63" s="23">
        <f>Saldo_Residual_Activo!P63</f>
        <v/>
      </c>
      <c r="AR63" s="23">
        <f>ROUND(AP63 + AQ63, 2)</f>
        <v/>
      </c>
      <c r="AS63" s="23">
        <f>Saldos_Capital_Mensual!Q63</f>
        <v/>
      </c>
      <c r="AT63" s="23">
        <f>Saldos_Intereses_Mensual!Q63</f>
        <v/>
      </c>
      <c r="AU63" s="23">
        <f>ROUND(AS63 + AT63, 2)</f>
        <v/>
      </c>
      <c r="AV63" s="23">
        <f>Saldo_Residual_Activo!Q63</f>
        <v/>
      </c>
      <c r="AW63" s="23">
        <f>ROUND(AU63 + AV63, 2)</f>
        <v/>
      </c>
      <c r="AX63" s="23">
        <f>Saldos_Capital_Mensual!R63</f>
        <v/>
      </c>
      <c r="AY63" s="23">
        <f>Saldos_Intereses_Mensual!R63</f>
        <v/>
      </c>
      <c r="AZ63" s="23">
        <f>ROUND(AX63 + AY63, 2)</f>
        <v/>
      </c>
      <c r="BA63" s="23">
        <f>Saldo_Residual_Activo!R63</f>
        <v/>
      </c>
      <c r="BB63" s="23">
        <f>ROUND(AZ63 + BA63, 2)</f>
        <v/>
      </c>
      <c r="BC63" s="23">
        <f>Saldos_Capital_Mensual!S63</f>
        <v/>
      </c>
      <c r="BD63" s="23">
        <f>Saldos_Intereses_Mensual!S63</f>
        <v/>
      </c>
      <c r="BE63" s="23">
        <f>ROUND(BC63 + BD63, 2)</f>
        <v/>
      </c>
      <c r="BF63" s="23">
        <f>Saldo_Residual_Activo!S63</f>
        <v/>
      </c>
      <c r="BG63" s="23">
        <f>ROUND(BE63 + BF63, 2)</f>
        <v/>
      </c>
      <c r="BH63" s="23">
        <f>Saldos_Capital_Mensual!T63</f>
        <v/>
      </c>
      <c r="BI63" s="23">
        <f>Saldos_Intereses_Mensual!T63</f>
        <v/>
      </c>
      <c r="BJ63" s="23">
        <f>ROUND(BH63 + BI63, 2)</f>
        <v/>
      </c>
      <c r="BK63" s="23">
        <f>Saldo_Residual_Activo!T63</f>
        <v/>
      </c>
      <c r="BL63" s="23">
        <f>ROUND(BJ63 + BK63, 2)</f>
        <v/>
      </c>
    </row>
    <row r="64">
      <c r="A64" s="26" t="inlineStr">
        <is>
          <t>0605-0003</t>
        </is>
      </c>
      <c r="B64" s="27" t="inlineStr">
        <is>
          <t>Nato Arquitectos Sa de Cv</t>
        </is>
      </c>
      <c r="C64" s="27" t="inlineStr">
        <is>
          <t>Ranger Crew Cab 4X4 XLT</t>
        </is>
      </c>
      <c r="D64" s="28" t="n">
        <v>24</v>
      </c>
      <c r="E64" s="29">
        <f>Saldos_Capital_Mensual!I64</f>
        <v/>
      </c>
      <c r="F64" s="29">
        <f>Saldos_Intereses_Mensual!I64</f>
        <v/>
      </c>
      <c r="G64" s="29">
        <f>ROUND(E64 + F64, 2)</f>
        <v/>
      </c>
      <c r="H64" s="29">
        <f>Saldo_Residual_Activo!I64</f>
        <v/>
      </c>
      <c r="I64" s="29">
        <f>ROUND(G64 + H64, 2)</f>
        <v/>
      </c>
      <c r="J64" s="29">
        <f>Saldos_Capital_Mensual!J64</f>
        <v/>
      </c>
      <c r="K64" s="29">
        <f>Saldos_Intereses_Mensual!J64</f>
        <v/>
      </c>
      <c r="L64" s="29">
        <f>ROUND(J64 + K64, 2)</f>
        <v/>
      </c>
      <c r="M64" s="29">
        <f>Saldo_Residual_Activo!J64</f>
        <v/>
      </c>
      <c r="N64" s="29">
        <f>ROUND(L64 + M64, 2)</f>
        <v/>
      </c>
      <c r="O64" s="29">
        <f>Saldos_Capital_Mensual!K64</f>
        <v/>
      </c>
      <c r="P64" s="29">
        <f>Saldos_Intereses_Mensual!K64</f>
        <v/>
      </c>
      <c r="Q64" s="29">
        <f>ROUND(O64 + P64, 2)</f>
        <v/>
      </c>
      <c r="R64" s="29">
        <f>Saldo_Residual_Activo!K64</f>
        <v/>
      </c>
      <c r="S64" s="29">
        <f>ROUND(Q64 + R64, 2)</f>
        <v/>
      </c>
      <c r="T64" s="29">
        <f>Saldos_Capital_Mensual!L64</f>
        <v/>
      </c>
      <c r="U64" s="29">
        <f>Saldos_Intereses_Mensual!L64</f>
        <v/>
      </c>
      <c r="V64" s="29">
        <f>ROUND(T64 + U64, 2)</f>
        <v/>
      </c>
      <c r="W64" s="29">
        <f>Saldo_Residual_Activo!L64</f>
        <v/>
      </c>
      <c r="X64" s="29">
        <f>ROUND(V64 + W64, 2)</f>
        <v/>
      </c>
      <c r="Y64" s="29">
        <f>Saldos_Capital_Mensual!M64</f>
        <v/>
      </c>
      <c r="Z64" s="29">
        <f>Saldos_Intereses_Mensual!M64</f>
        <v/>
      </c>
      <c r="AA64" s="29">
        <f>ROUND(Y64 + Z64, 2)</f>
        <v/>
      </c>
      <c r="AB64" s="29">
        <f>Saldo_Residual_Activo!M64</f>
        <v/>
      </c>
      <c r="AC64" s="29">
        <f>ROUND(AA64 + AB64, 2)</f>
        <v/>
      </c>
      <c r="AD64" s="29">
        <f>Saldos_Capital_Mensual!N64</f>
        <v/>
      </c>
      <c r="AE64" s="29">
        <f>Saldos_Intereses_Mensual!N64</f>
        <v/>
      </c>
      <c r="AF64" s="29">
        <f>ROUND(AD64 + AE64, 2)</f>
        <v/>
      </c>
      <c r="AG64" s="29">
        <f>Saldo_Residual_Activo!N64</f>
        <v/>
      </c>
      <c r="AH64" s="29">
        <f>ROUND(AF64 + AG64, 2)</f>
        <v/>
      </c>
      <c r="AI64" s="29">
        <f>Saldos_Capital_Mensual!O64</f>
        <v/>
      </c>
      <c r="AJ64" s="29">
        <f>Saldos_Intereses_Mensual!O64</f>
        <v/>
      </c>
      <c r="AK64" s="29">
        <f>ROUND(AI64 + AJ64, 2)</f>
        <v/>
      </c>
      <c r="AL64" s="29">
        <f>Saldo_Residual_Activo!O64</f>
        <v/>
      </c>
      <c r="AM64" s="29">
        <f>ROUND(AK64 + AL64, 2)</f>
        <v/>
      </c>
      <c r="AN64" s="29">
        <f>Saldos_Capital_Mensual!P64</f>
        <v/>
      </c>
      <c r="AO64" s="29">
        <f>Saldos_Intereses_Mensual!P64</f>
        <v/>
      </c>
      <c r="AP64" s="29">
        <f>ROUND(AN64 + AO64, 2)</f>
        <v/>
      </c>
      <c r="AQ64" s="29">
        <f>Saldo_Residual_Activo!P64</f>
        <v/>
      </c>
      <c r="AR64" s="29">
        <f>ROUND(AP64 + AQ64, 2)</f>
        <v/>
      </c>
      <c r="AS64" s="29">
        <f>Saldos_Capital_Mensual!Q64</f>
        <v/>
      </c>
      <c r="AT64" s="29">
        <f>Saldos_Intereses_Mensual!Q64</f>
        <v/>
      </c>
      <c r="AU64" s="29">
        <f>ROUND(AS64 + AT64, 2)</f>
        <v/>
      </c>
      <c r="AV64" s="29">
        <f>Saldo_Residual_Activo!Q64</f>
        <v/>
      </c>
      <c r="AW64" s="29">
        <f>ROUND(AU64 + AV64, 2)</f>
        <v/>
      </c>
      <c r="AX64" s="29">
        <f>Saldos_Capital_Mensual!R64</f>
        <v/>
      </c>
      <c r="AY64" s="29">
        <f>Saldos_Intereses_Mensual!R64</f>
        <v/>
      </c>
      <c r="AZ64" s="29">
        <f>ROUND(AX64 + AY64, 2)</f>
        <v/>
      </c>
      <c r="BA64" s="29">
        <f>Saldo_Residual_Activo!R64</f>
        <v/>
      </c>
      <c r="BB64" s="29">
        <f>ROUND(AZ64 + BA64, 2)</f>
        <v/>
      </c>
      <c r="BC64" s="29">
        <f>Saldos_Capital_Mensual!S64</f>
        <v/>
      </c>
      <c r="BD64" s="29">
        <f>Saldos_Intereses_Mensual!S64</f>
        <v/>
      </c>
      <c r="BE64" s="29">
        <f>ROUND(BC64 + BD64, 2)</f>
        <v/>
      </c>
      <c r="BF64" s="29">
        <f>Saldo_Residual_Activo!S64</f>
        <v/>
      </c>
      <c r="BG64" s="29">
        <f>ROUND(BE64 + BF64, 2)</f>
        <v/>
      </c>
      <c r="BH64" s="29">
        <f>Saldos_Capital_Mensual!T64</f>
        <v/>
      </c>
      <c r="BI64" s="29">
        <f>Saldos_Intereses_Mensual!T64</f>
        <v/>
      </c>
      <c r="BJ64" s="29">
        <f>ROUND(BH64 + BI64, 2)</f>
        <v/>
      </c>
      <c r="BK64" s="29">
        <f>Saldo_Residual_Activo!T64</f>
        <v/>
      </c>
      <c r="BL64" s="29">
        <f>ROUND(BJ64 + BK64, 2)</f>
        <v/>
      </c>
    </row>
    <row r="65">
      <c r="A65" s="20" t="inlineStr">
        <is>
          <t>0605-0004</t>
        </is>
      </c>
      <c r="B65" s="21" t="inlineStr">
        <is>
          <t>Nato Arquitectos Sa de Cv</t>
        </is>
      </c>
      <c r="C65" s="21" t="inlineStr">
        <is>
          <t>COLORADO DOBLE CABINA PAQ. "C"</t>
        </is>
      </c>
      <c r="D65" s="22" t="n">
        <v>24</v>
      </c>
      <c r="E65" s="23">
        <f>Saldos_Capital_Mensual!I65</f>
        <v/>
      </c>
      <c r="F65" s="23">
        <f>Saldos_Intereses_Mensual!I65</f>
        <v/>
      </c>
      <c r="G65" s="23">
        <f>ROUND(E65 + F65, 2)</f>
        <v/>
      </c>
      <c r="H65" s="23">
        <f>Saldo_Residual_Activo!I65</f>
        <v/>
      </c>
      <c r="I65" s="23">
        <f>ROUND(G65 + H65, 2)</f>
        <v/>
      </c>
      <c r="J65" s="23">
        <f>Saldos_Capital_Mensual!J65</f>
        <v/>
      </c>
      <c r="K65" s="23">
        <f>Saldos_Intereses_Mensual!J65</f>
        <v/>
      </c>
      <c r="L65" s="23">
        <f>ROUND(J65 + K65, 2)</f>
        <v/>
      </c>
      <c r="M65" s="23">
        <f>Saldo_Residual_Activo!J65</f>
        <v/>
      </c>
      <c r="N65" s="23">
        <f>ROUND(L65 + M65, 2)</f>
        <v/>
      </c>
      <c r="O65" s="23">
        <f>Saldos_Capital_Mensual!K65</f>
        <v/>
      </c>
      <c r="P65" s="23">
        <f>Saldos_Intereses_Mensual!K65</f>
        <v/>
      </c>
      <c r="Q65" s="23">
        <f>ROUND(O65 + P65, 2)</f>
        <v/>
      </c>
      <c r="R65" s="23">
        <f>Saldo_Residual_Activo!K65</f>
        <v/>
      </c>
      <c r="S65" s="23">
        <f>ROUND(Q65 + R65, 2)</f>
        <v/>
      </c>
      <c r="T65" s="23">
        <f>Saldos_Capital_Mensual!L65</f>
        <v/>
      </c>
      <c r="U65" s="23">
        <f>Saldos_Intereses_Mensual!L65</f>
        <v/>
      </c>
      <c r="V65" s="23">
        <f>ROUND(T65 + U65, 2)</f>
        <v/>
      </c>
      <c r="W65" s="23">
        <f>Saldo_Residual_Activo!L65</f>
        <v/>
      </c>
      <c r="X65" s="23">
        <f>ROUND(V65 + W65, 2)</f>
        <v/>
      </c>
      <c r="Y65" s="23">
        <f>Saldos_Capital_Mensual!M65</f>
        <v/>
      </c>
      <c r="Z65" s="23">
        <f>Saldos_Intereses_Mensual!M65</f>
        <v/>
      </c>
      <c r="AA65" s="23">
        <f>ROUND(Y65 + Z65, 2)</f>
        <v/>
      </c>
      <c r="AB65" s="23">
        <f>Saldo_Residual_Activo!M65</f>
        <v/>
      </c>
      <c r="AC65" s="23">
        <f>ROUND(AA65 + AB65, 2)</f>
        <v/>
      </c>
      <c r="AD65" s="23">
        <f>Saldos_Capital_Mensual!N65</f>
        <v/>
      </c>
      <c r="AE65" s="23">
        <f>Saldos_Intereses_Mensual!N65</f>
        <v/>
      </c>
      <c r="AF65" s="23">
        <f>ROUND(AD65 + AE65, 2)</f>
        <v/>
      </c>
      <c r="AG65" s="23">
        <f>Saldo_Residual_Activo!N65</f>
        <v/>
      </c>
      <c r="AH65" s="23">
        <f>ROUND(AF65 + AG65, 2)</f>
        <v/>
      </c>
      <c r="AI65" s="23">
        <f>Saldos_Capital_Mensual!O65</f>
        <v/>
      </c>
      <c r="AJ65" s="23">
        <f>Saldos_Intereses_Mensual!O65</f>
        <v/>
      </c>
      <c r="AK65" s="23">
        <f>ROUND(AI65 + AJ65, 2)</f>
        <v/>
      </c>
      <c r="AL65" s="23">
        <f>Saldo_Residual_Activo!O65</f>
        <v/>
      </c>
      <c r="AM65" s="23">
        <f>ROUND(AK65 + AL65, 2)</f>
        <v/>
      </c>
      <c r="AN65" s="23">
        <f>Saldos_Capital_Mensual!P65</f>
        <v/>
      </c>
      <c r="AO65" s="23">
        <f>Saldos_Intereses_Mensual!P65</f>
        <v/>
      </c>
      <c r="AP65" s="23">
        <f>ROUND(AN65 + AO65, 2)</f>
        <v/>
      </c>
      <c r="AQ65" s="23">
        <f>Saldo_Residual_Activo!P65</f>
        <v/>
      </c>
      <c r="AR65" s="23">
        <f>ROUND(AP65 + AQ65, 2)</f>
        <v/>
      </c>
      <c r="AS65" s="23">
        <f>Saldos_Capital_Mensual!Q65</f>
        <v/>
      </c>
      <c r="AT65" s="23">
        <f>Saldos_Intereses_Mensual!Q65</f>
        <v/>
      </c>
      <c r="AU65" s="23">
        <f>ROUND(AS65 + AT65, 2)</f>
        <v/>
      </c>
      <c r="AV65" s="23">
        <f>Saldo_Residual_Activo!Q65</f>
        <v/>
      </c>
      <c r="AW65" s="23">
        <f>ROUND(AU65 + AV65, 2)</f>
        <v/>
      </c>
      <c r="AX65" s="23">
        <f>Saldos_Capital_Mensual!R65</f>
        <v/>
      </c>
      <c r="AY65" s="23">
        <f>Saldos_Intereses_Mensual!R65</f>
        <v/>
      </c>
      <c r="AZ65" s="23">
        <f>ROUND(AX65 + AY65, 2)</f>
        <v/>
      </c>
      <c r="BA65" s="23">
        <f>Saldo_Residual_Activo!R65</f>
        <v/>
      </c>
      <c r="BB65" s="23">
        <f>ROUND(AZ65 + BA65, 2)</f>
        <v/>
      </c>
      <c r="BC65" s="23">
        <f>Saldos_Capital_Mensual!S65</f>
        <v/>
      </c>
      <c r="BD65" s="23">
        <f>Saldos_Intereses_Mensual!S65</f>
        <v/>
      </c>
      <c r="BE65" s="23">
        <f>ROUND(BC65 + BD65, 2)</f>
        <v/>
      </c>
      <c r="BF65" s="23">
        <f>Saldo_Residual_Activo!S65</f>
        <v/>
      </c>
      <c r="BG65" s="23">
        <f>ROUND(BE65 + BF65, 2)</f>
        <v/>
      </c>
      <c r="BH65" s="23">
        <f>Saldos_Capital_Mensual!T65</f>
        <v/>
      </c>
      <c r="BI65" s="23">
        <f>Saldos_Intereses_Mensual!T65</f>
        <v/>
      </c>
      <c r="BJ65" s="23">
        <f>ROUND(BH65 + BI65, 2)</f>
        <v/>
      </c>
      <c r="BK65" s="23">
        <f>Saldo_Residual_Activo!T65</f>
        <v/>
      </c>
      <c r="BL65" s="23">
        <f>ROUND(BJ65 + BK65, 2)</f>
        <v/>
      </c>
    </row>
    <row r="66">
      <c r="A66" s="26" t="inlineStr">
        <is>
          <t>0606-0002</t>
        </is>
      </c>
      <c r="B66" s="27" t="inlineStr">
        <is>
          <t>Mayoreo Automotriz ML S de Rl de CV</t>
        </is>
      </c>
      <c r="C66" s="27" t="inlineStr">
        <is>
          <t>Grand Cherokee 4xE</t>
        </is>
      </c>
      <c r="D66" s="28" t="n">
        <v>12</v>
      </c>
      <c r="E66" s="29">
        <f>Saldos_Capital_Mensual!I66</f>
        <v/>
      </c>
      <c r="F66" s="29">
        <f>Saldos_Intereses_Mensual!I66</f>
        <v/>
      </c>
      <c r="G66" s="29">
        <f>ROUND(E66 + F66, 2)</f>
        <v/>
      </c>
      <c r="H66" s="29">
        <f>Saldo_Residual_Activo!I66</f>
        <v/>
      </c>
      <c r="I66" s="29">
        <f>ROUND(G66 + H66, 2)</f>
        <v/>
      </c>
      <c r="J66" s="29">
        <f>Saldos_Capital_Mensual!J66</f>
        <v/>
      </c>
      <c r="K66" s="29">
        <f>Saldos_Intereses_Mensual!J66</f>
        <v/>
      </c>
      <c r="L66" s="29">
        <f>ROUND(J66 + K66, 2)</f>
        <v/>
      </c>
      <c r="M66" s="29">
        <f>Saldo_Residual_Activo!J66</f>
        <v/>
      </c>
      <c r="N66" s="29">
        <f>ROUND(L66 + M66, 2)</f>
        <v/>
      </c>
      <c r="O66" s="29">
        <f>Saldos_Capital_Mensual!K66</f>
        <v/>
      </c>
      <c r="P66" s="29">
        <f>Saldos_Intereses_Mensual!K66</f>
        <v/>
      </c>
      <c r="Q66" s="29">
        <f>ROUND(O66 + P66, 2)</f>
        <v/>
      </c>
      <c r="R66" s="29">
        <f>Saldo_Residual_Activo!K66</f>
        <v/>
      </c>
      <c r="S66" s="29">
        <f>ROUND(Q66 + R66, 2)</f>
        <v/>
      </c>
      <c r="T66" s="29">
        <f>Saldos_Capital_Mensual!L66</f>
        <v/>
      </c>
      <c r="U66" s="29">
        <f>Saldos_Intereses_Mensual!L66</f>
        <v/>
      </c>
      <c r="V66" s="29">
        <f>ROUND(T66 + U66, 2)</f>
        <v/>
      </c>
      <c r="W66" s="29">
        <f>Saldo_Residual_Activo!L66</f>
        <v/>
      </c>
      <c r="X66" s="29">
        <f>ROUND(V66 + W66, 2)</f>
        <v/>
      </c>
      <c r="Y66" s="29">
        <f>Saldos_Capital_Mensual!M66</f>
        <v/>
      </c>
      <c r="Z66" s="29">
        <f>Saldos_Intereses_Mensual!M66</f>
        <v/>
      </c>
      <c r="AA66" s="29">
        <f>ROUND(Y66 + Z66, 2)</f>
        <v/>
      </c>
      <c r="AB66" s="29">
        <f>Saldo_Residual_Activo!M66</f>
        <v/>
      </c>
      <c r="AC66" s="29">
        <f>ROUND(AA66 + AB66, 2)</f>
        <v/>
      </c>
      <c r="AD66" s="29">
        <f>Saldos_Capital_Mensual!N66</f>
        <v/>
      </c>
      <c r="AE66" s="29">
        <f>Saldos_Intereses_Mensual!N66</f>
        <v/>
      </c>
      <c r="AF66" s="29">
        <f>ROUND(AD66 + AE66, 2)</f>
        <v/>
      </c>
      <c r="AG66" s="29">
        <f>Saldo_Residual_Activo!N66</f>
        <v/>
      </c>
      <c r="AH66" s="29">
        <f>ROUND(AF66 + AG66, 2)</f>
        <v/>
      </c>
      <c r="AI66" s="29">
        <f>Saldos_Capital_Mensual!O66</f>
        <v/>
      </c>
      <c r="AJ66" s="29">
        <f>Saldos_Intereses_Mensual!O66</f>
        <v/>
      </c>
      <c r="AK66" s="29">
        <f>ROUND(AI66 + AJ66, 2)</f>
        <v/>
      </c>
      <c r="AL66" s="29">
        <f>Saldo_Residual_Activo!O66</f>
        <v/>
      </c>
      <c r="AM66" s="29">
        <f>ROUND(AK66 + AL66, 2)</f>
        <v/>
      </c>
      <c r="AN66" s="29">
        <f>Saldos_Capital_Mensual!P66</f>
        <v/>
      </c>
      <c r="AO66" s="29">
        <f>Saldos_Intereses_Mensual!P66</f>
        <v/>
      </c>
      <c r="AP66" s="29">
        <f>ROUND(AN66 + AO66, 2)</f>
        <v/>
      </c>
      <c r="AQ66" s="29">
        <f>Saldo_Residual_Activo!P66</f>
        <v/>
      </c>
      <c r="AR66" s="29">
        <f>ROUND(AP66 + AQ66, 2)</f>
        <v/>
      </c>
      <c r="AS66" s="29">
        <f>Saldos_Capital_Mensual!Q66</f>
        <v/>
      </c>
      <c r="AT66" s="29">
        <f>Saldos_Intereses_Mensual!Q66</f>
        <v/>
      </c>
      <c r="AU66" s="29">
        <f>ROUND(AS66 + AT66, 2)</f>
        <v/>
      </c>
      <c r="AV66" s="29">
        <f>Saldo_Residual_Activo!Q66</f>
        <v/>
      </c>
      <c r="AW66" s="29">
        <f>ROUND(AU66 + AV66, 2)</f>
        <v/>
      </c>
      <c r="AX66" s="29">
        <f>Saldos_Capital_Mensual!R66</f>
        <v/>
      </c>
      <c r="AY66" s="29">
        <f>Saldos_Intereses_Mensual!R66</f>
        <v/>
      </c>
      <c r="AZ66" s="29">
        <f>ROUND(AX66 + AY66, 2)</f>
        <v/>
      </c>
      <c r="BA66" s="29">
        <f>Saldo_Residual_Activo!R66</f>
        <v/>
      </c>
      <c r="BB66" s="29">
        <f>ROUND(AZ66 + BA66, 2)</f>
        <v/>
      </c>
      <c r="BC66" s="29">
        <f>Saldos_Capital_Mensual!S66</f>
        <v/>
      </c>
      <c r="BD66" s="29">
        <f>Saldos_Intereses_Mensual!S66</f>
        <v/>
      </c>
      <c r="BE66" s="29">
        <f>ROUND(BC66 + BD66, 2)</f>
        <v/>
      </c>
      <c r="BF66" s="29">
        <f>Saldo_Residual_Activo!S66</f>
        <v/>
      </c>
      <c r="BG66" s="29">
        <f>ROUND(BE66 + BF66, 2)</f>
        <v/>
      </c>
      <c r="BH66" s="29">
        <f>Saldos_Capital_Mensual!T66</f>
        <v/>
      </c>
      <c r="BI66" s="29">
        <f>Saldos_Intereses_Mensual!T66</f>
        <v/>
      </c>
      <c r="BJ66" s="29">
        <f>ROUND(BH66 + BI66, 2)</f>
        <v/>
      </c>
      <c r="BK66" s="29">
        <f>Saldo_Residual_Activo!T66</f>
        <v/>
      </c>
      <c r="BL66" s="29">
        <f>ROUND(BJ66 + BK66, 2)</f>
        <v/>
      </c>
    </row>
    <row r="67">
      <c r="A67" s="20" t="inlineStr">
        <is>
          <t>0607-0004</t>
        </is>
      </c>
      <c r="B67" s="21" t="inlineStr">
        <is>
          <t>Jose Guadalupe Dueñas Lomeli</t>
        </is>
      </c>
      <c r="C67" s="21" t="inlineStr">
        <is>
          <t>Rifter Allure Pack</t>
        </is>
      </c>
      <c r="D67" s="22" t="n">
        <v>48</v>
      </c>
      <c r="E67" s="23">
        <f>Saldos_Capital_Mensual!I67</f>
        <v/>
      </c>
      <c r="F67" s="23">
        <f>Saldos_Intereses_Mensual!I67</f>
        <v/>
      </c>
      <c r="G67" s="23">
        <f>ROUND(E67 + F67, 2)</f>
        <v/>
      </c>
      <c r="H67" s="23">
        <f>Saldo_Residual_Activo!I67</f>
        <v/>
      </c>
      <c r="I67" s="23">
        <f>ROUND(G67 + H67, 2)</f>
        <v/>
      </c>
      <c r="J67" s="23">
        <f>Saldos_Capital_Mensual!J67</f>
        <v/>
      </c>
      <c r="K67" s="23">
        <f>Saldos_Intereses_Mensual!J67</f>
        <v/>
      </c>
      <c r="L67" s="23">
        <f>ROUND(J67 + K67, 2)</f>
        <v/>
      </c>
      <c r="M67" s="23">
        <f>Saldo_Residual_Activo!J67</f>
        <v/>
      </c>
      <c r="N67" s="23">
        <f>ROUND(L67 + M67, 2)</f>
        <v/>
      </c>
      <c r="O67" s="23">
        <f>Saldos_Capital_Mensual!K67</f>
        <v/>
      </c>
      <c r="P67" s="23">
        <f>Saldos_Intereses_Mensual!K67</f>
        <v/>
      </c>
      <c r="Q67" s="23">
        <f>ROUND(O67 + P67, 2)</f>
        <v/>
      </c>
      <c r="R67" s="23">
        <f>Saldo_Residual_Activo!K67</f>
        <v/>
      </c>
      <c r="S67" s="23">
        <f>ROUND(Q67 + R67, 2)</f>
        <v/>
      </c>
      <c r="T67" s="23">
        <f>Saldos_Capital_Mensual!L67</f>
        <v/>
      </c>
      <c r="U67" s="23">
        <f>Saldos_Intereses_Mensual!L67</f>
        <v/>
      </c>
      <c r="V67" s="23">
        <f>ROUND(T67 + U67, 2)</f>
        <v/>
      </c>
      <c r="W67" s="23">
        <f>Saldo_Residual_Activo!L67</f>
        <v/>
      </c>
      <c r="X67" s="23">
        <f>ROUND(V67 + W67, 2)</f>
        <v/>
      </c>
      <c r="Y67" s="23">
        <f>Saldos_Capital_Mensual!M67</f>
        <v/>
      </c>
      <c r="Z67" s="23">
        <f>Saldos_Intereses_Mensual!M67</f>
        <v/>
      </c>
      <c r="AA67" s="23">
        <f>ROUND(Y67 + Z67, 2)</f>
        <v/>
      </c>
      <c r="AB67" s="23">
        <f>Saldo_Residual_Activo!M67</f>
        <v/>
      </c>
      <c r="AC67" s="23">
        <f>ROUND(AA67 + AB67, 2)</f>
        <v/>
      </c>
      <c r="AD67" s="23">
        <f>Saldos_Capital_Mensual!N67</f>
        <v/>
      </c>
      <c r="AE67" s="23">
        <f>Saldos_Intereses_Mensual!N67</f>
        <v/>
      </c>
      <c r="AF67" s="23">
        <f>ROUND(AD67 + AE67, 2)</f>
        <v/>
      </c>
      <c r="AG67" s="23">
        <f>Saldo_Residual_Activo!N67</f>
        <v/>
      </c>
      <c r="AH67" s="23">
        <f>ROUND(AF67 + AG67, 2)</f>
        <v/>
      </c>
      <c r="AI67" s="23">
        <f>Saldos_Capital_Mensual!O67</f>
        <v/>
      </c>
      <c r="AJ67" s="23">
        <f>Saldos_Intereses_Mensual!O67</f>
        <v/>
      </c>
      <c r="AK67" s="23">
        <f>ROUND(AI67 + AJ67, 2)</f>
        <v/>
      </c>
      <c r="AL67" s="23">
        <f>Saldo_Residual_Activo!O67</f>
        <v/>
      </c>
      <c r="AM67" s="23">
        <f>ROUND(AK67 + AL67, 2)</f>
        <v/>
      </c>
      <c r="AN67" s="23">
        <f>Saldos_Capital_Mensual!P67</f>
        <v/>
      </c>
      <c r="AO67" s="23">
        <f>Saldos_Intereses_Mensual!P67</f>
        <v/>
      </c>
      <c r="AP67" s="23">
        <f>ROUND(AN67 + AO67, 2)</f>
        <v/>
      </c>
      <c r="AQ67" s="23">
        <f>Saldo_Residual_Activo!P67</f>
        <v/>
      </c>
      <c r="AR67" s="23">
        <f>ROUND(AP67 + AQ67, 2)</f>
        <v/>
      </c>
      <c r="AS67" s="23">
        <f>Saldos_Capital_Mensual!Q67</f>
        <v/>
      </c>
      <c r="AT67" s="23">
        <f>Saldos_Intereses_Mensual!Q67</f>
        <v/>
      </c>
      <c r="AU67" s="23">
        <f>ROUND(AS67 + AT67, 2)</f>
        <v/>
      </c>
      <c r="AV67" s="23">
        <f>Saldo_Residual_Activo!Q67</f>
        <v/>
      </c>
      <c r="AW67" s="23">
        <f>ROUND(AU67 + AV67, 2)</f>
        <v/>
      </c>
      <c r="AX67" s="23">
        <f>Saldos_Capital_Mensual!R67</f>
        <v/>
      </c>
      <c r="AY67" s="23">
        <f>Saldos_Intereses_Mensual!R67</f>
        <v/>
      </c>
      <c r="AZ67" s="23">
        <f>ROUND(AX67 + AY67, 2)</f>
        <v/>
      </c>
      <c r="BA67" s="23">
        <f>Saldo_Residual_Activo!R67</f>
        <v/>
      </c>
      <c r="BB67" s="23">
        <f>ROUND(AZ67 + BA67, 2)</f>
        <v/>
      </c>
      <c r="BC67" s="23">
        <f>Saldos_Capital_Mensual!S67</f>
        <v/>
      </c>
      <c r="BD67" s="23">
        <f>Saldos_Intereses_Mensual!S67</f>
        <v/>
      </c>
      <c r="BE67" s="23">
        <f>ROUND(BC67 + BD67, 2)</f>
        <v/>
      </c>
      <c r="BF67" s="23">
        <f>Saldo_Residual_Activo!S67</f>
        <v/>
      </c>
      <c r="BG67" s="23">
        <f>ROUND(BE67 + BF67, 2)</f>
        <v/>
      </c>
      <c r="BH67" s="23">
        <f>Saldos_Capital_Mensual!T67</f>
        <v/>
      </c>
      <c r="BI67" s="23">
        <f>Saldos_Intereses_Mensual!T67</f>
        <v/>
      </c>
      <c r="BJ67" s="23">
        <f>ROUND(BH67 + BI67, 2)</f>
        <v/>
      </c>
      <c r="BK67" s="23">
        <f>Saldo_Residual_Activo!T67</f>
        <v/>
      </c>
      <c r="BL67" s="23">
        <f>ROUND(BJ67 + BK67, 2)</f>
        <v/>
      </c>
    </row>
    <row r="68">
      <c r="A68" s="26" t="inlineStr">
        <is>
          <t>0607-0005</t>
        </is>
      </c>
      <c r="B68" s="27" t="inlineStr">
        <is>
          <t>Jose Guadalupe Dueñas Lomeli</t>
        </is>
      </c>
      <c r="C68" s="27" t="inlineStr">
        <is>
          <t>Durango Hellcat SRT</t>
        </is>
      </c>
      <c r="D68" s="28" t="n">
        <v>36</v>
      </c>
      <c r="E68" s="29">
        <f>Saldos_Capital_Mensual!I68</f>
        <v/>
      </c>
      <c r="F68" s="29">
        <f>Saldos_Intereses_Mensual!I68</f>
        <v/>
      </c>
      <c r="G68" s="29">
        <f>ROUND(E68 + F68, 2)</f>
        <v/>
      </c>
      <c r="H68" s="29">
        <f>Saldo_Residual_Activo!I68</f>
        <v/>
      </c>
      <c r="I68" s="29">
        <f>ROUND(G68 + H68, 2)</f>
        <v/>
      </c>
      <c r="J68" s="29">
        <f>Saldos_Capital_Mensual!J68</f>
        <v/>
      </c>
      <c r="K68" s="29">
        <f>Saldos_Intereses_Mensual!J68</f>
        <v/>
      </c>
      <c r="L68" s="29">
        <f>ROUND(J68 + K68, 2)</f>
        <v/>
      </c>
      <c r="M68" s="29">
        <f>Saldo_Residual_Activo!J68</f>
        <v/>
      </c>
      <c r="N68" s="29">
        <f>ROUND(L68 + M68, 2)</f>
        <v/>
      </c>
      <c r="O68" s="29">
        <f>Saldos_Capital_Mensual!K68</f>
        <v/>
      </c>
      <c r="P68" s="29">
        <f>Saldos_Intereses_Mensual!K68</f>
        <v/>
      </c>
      <c r="Q68" s="29">
        <f>ROUND(O68 + P68, 2)</f>
        <v/>
      </c>
      <c r="R68" s="29">
        <f>Saldo_Residual_Activo!K68</f>
        <v/>
      </c>
      <c r="S68" s="29">
        <f>ROUND(Q68 + R68, 2)</f>
        <v/>
      </c>
      <c r="T68" s="29">
        <f>Saldos_Capital_Mensual!L68</f>
        <v/>
      </c>
      <c r="U68" s="29">
        <f>Saldos_Intereses_Mensual!L68</f>
        <v/>
      </c>
      <c r="V68" s="29">
        <f>ROUND(T68 + U68, 2)</f>
        <v/>
      </c>
      <c r="W68" s="29">
        <f>Saldo_Residual_Activo!L68</f>
        <v/>
      </c>
      <c r="X68" s="29">
        <f>ROUND(V68 + W68, 2)</f>
        <v/>
      </c>
      <c r="Y68" s="29">
        <f>Saldos_Capital_Mensual!M68</f>
        <v/>
      </c>
      <c r="Z68" s="29">
        <f>Saldos_Intereses_Mensual!M68</f>
        <v/>
      </c>
      <c r="AA68" s="29">
        <f>ROUND(Y68 + Z68, 2)</f>
        <v/>
      </c>
      <c r="AB68" s="29">
        <f>Saldo_Residual_Activo!M68</f>
        <v/>
      </c>
      <c r="AC68" s="29">
        <f>ROUND(AA68 + AB68, 2)</f>
        <v/>
      </c>
      <c r="AD68" s="29">
        <f>Saldos_Capital_Mensual!N68</f>
        <v/>
      </c>
      <c r="AE68" s="29">
        <f>Saldos_Intereses_Mensual!N68</f>
        <v/>
      </c>
      <c r="AF68" s="29">
        <f>ROUND(AD68 + AE68, 2)</f>
        <v/>
      </c>
      <c r="AG68" s="29">
        <f>Saldo_Residual_Activo!N68</f>
        <v/>
      </c>
      <c r="AH68" s="29">
        <f>ROUND(AF68 + AG68, 2)</f>
        <v/>
      </c>
      <c r="AI68" s="29">
        <f>Saldos_Capital_Mensual!O68</f>
        <v/>
      </c>
      <c r="AJ68" s="29">
        <f>Saldos_Intereses_Mensual!O68</f>
        <v/>
      </c>
      <c r="AK68" s="29">
        <f>ROUND(AI68 + AJ68, 2)</f>
        <v/>
      </c>
      <c r="AL68" s="29">
        <f>Saldo_Residual_Activo!O68</f>
        <v/>
      </c>
      <c r="AM68" s="29">
        <f>ROUND(AK68 + AL68, 2)</f>
        <v/>
      </c>
      <c r="AN68" s="29">
        <f>Saldos_Capital_Mensual!P68</f>
        <v/>
      </c>
      <c r="AO68" s="29">
        <f>Saldos_Intereses_Mensual!P68</f>
        <v/>
      </c>
      <c r="AP68" s="29">
        <f>ROUND(AN68 + AO68, 2)</f>
        <v/>
      </c>
      <c r="AQ68" s="29">
        <f>Saldo_Residual_Activo!P68</f>
        <v/>
      </c>
      <c r="AR68" s="29">
        <f>ROUND(AP68 + AQ68, 2)</f>
        <v/>
      </c>
      <c r="AS68" s="29">
        <f>Saldos_Capital_Mensual!Q68</f>
        <v/>
      </c>
      <c r="AT68" s="29">
        <f>Saldos_Intereses_Mensual!Q68</f>
        <v/>
      </c>
      <c r="AU68" s="29">
        <f>ROUND(AS68 + AT68, 2)</f>
        <v/>
      </c>
      <c r="AV68" s="29">
        <f>Saldo_Residual_Activo!Q68</f>
        <v/>
      </c>
      <c r="AW68" s="29">
        <f>ROUND(AU68 + AV68, 2)</f>
        <v/>
      </c>
      <c r="AX68" s="29">
        <f>Saldos_Capital_Mensual!R68</f>
        <v/>
      </c>
      <c r="AY68" s="29">
        <f>Saldos_Intereses_Mensual!R68</f>
        <v/>
      </c>
      <c r="AZ68" s="29">
        <f>ROUND(AX68 + AY68, 2)</f>
        <v/>
      </c>
      <c r="BA68" s="29">
        <f>Saldo_Residual_Activo!R68</f>
        <v/>
      </c>
      <c r="BB68" s="29">
        <f>ROUND(AZ68 + BA68, 2)</f>
        <v/>
      </c>
      <c r="BC68" s="29">
        <f>Saldos_Capital_Mensual!S68</f>
        <v/>
      </c>
      <c r="BD68" s="29">
        <f>Saldos_Intereses_Mensual!S68</f>
        <v/>
      </c>
      <c r="BE68" s="29">
        <f>ROUND(BC68 + BD68, 2)</f>
        <v/>
      </c>
      <c r="BF68" s="29">
        <f>Saldo_Residual_Activo!S68</f>
        <v/>
      </c>
      <c r="BG68" s="29">
        <f>ROUND(BE68 + BF68, 2)</f>
        <v/>
      </c>
      <c r="BH68" s="29">
        <f>Saldos_Capital_Mensual!T68</f>
        <v/>
      </c>
      <c r="BI68" s="29">
        <f>Saldos_Intereses_Mensual!T68</f>
        <v/>
      </c>
      <c r="BJ68" s="29">
        <f>ROUND(BH68 + BI68, 2)</f>
        <v/>
      </c>
      <c r="BK68" s="29">
        <f>Saldo_Residual_Activo!T68</f>
        <v/>
      </c>
      <c r="BL68" s="29">
        <f>ROUND(BJ68 + BK68, 2)</f>
        <v/>
      </c>
    </row>
    <row r="69">
      <c r="A69" s="20" t="inlineStr">
        <is>
          <t>0610-0003</t>
        </is>
      </c>
      <c r="B69" s="21" t="inlineStr">
        <is>
          <t>Minelaza</t>
        </is>
      </c>
      <c r="C69" s="21" t="inlineStr">
        <is>
          <t>Song Plus</t>
        </is>
      </c>
      <c r="D69" s="22" t="n">
        <v>36</v>
      </c>
      <c r="E69" s="23">
        <f>Saldos_Capital_Mensual!I69</f>
        <v/>
      </c>
      <c r="F69" s="23">
        <f>Saldos_Intereses_Mensual!I69</f>
        <v/>
      </c>
      <c r="G69" s="23">
        <f>ROUND(E69 + F69, 2)</f>
        <v/>
      </c>
      <c r="H69" s="23">
        <f>Saldo_Residual_Activo!I69</f>
        <v/>
      </c>
      <c r="I69" s="23">
        <f>ROUND(G69 + H69, 2)</f>
        <v/>
      </c>
      <c r="J69" s="23">
        <f>Saldos_Capital_Mensual!J69</f>
        <v/>
      </c>
      <c r="K69" s="23">
        <f>Saldos_Intereses_Mensual!J69</f>
        <v/>
      </c>
      <c r="L69" s="23">
        <f>ROUND(J69 + K69, 2)</f>
        <v/>
      </c>
      <c r="M69" s="23">
        <f>Saldo_Residual_Activo!J69</f>
        <v/>
      </c>
      <c r="N69" s="23">
        <f>ROUND(L69 + M69, 2)</f>
        <v/>
      </c>
      <c r="O69" s="23">
        <f>Saldos_Capital_Mensual!K69</f>
        <v/>
      </c>
      <c r="P69" s="23">
        <f>Saldos_Intereses_Mensual!K69</f>
        <v/>
      </c>
      <c r="Q69" s="23">
        <f>ROUND(O69 + P69, 2)</f>
        <v/>
      </c>
      <c r="R69" s="23">
        <f>Saldo_Residual_Activo!K69</f>
        <v/>
      </c>
      <c r="S69" s="23">
        <f>ROUND(Q69 + R69, 2)</f>
        <v/>
      </c>
      <c r="T69" s="23">
        <f>Saldos_Capital_Mensual!L69</f>
        <v/>
      </c>
      <c r="U69" s="23">
        <f>Saldos_Intereses_Mensual!L69</f>
        <v/>
      </c>
      <c r="V69" s="23">
        <f>ROUND(T69 + U69, 2)</f>
        <v/>
      </c>
      <c r="W69" s="23">
        <f>Saldo_Residual_Activo!L69</f>
        <v/>
      </c>
      <c r="X69" s="23">
        <f>ROUND(V69 + W69, 2)</f>
        <v/>
      </c>
      <c r="Y69" s="23">
        <f>Saldos_Capital_Mensual!M69</f>
        <v/>
      </c>
      <c r="Z69" s="23">
        <f>Saldos_Intereses_Mensual!M69</f>
        <v/>
      </c>
      <c r="AA69" s="23">
        <f>ROUND(Y69 + Z69, 2)</f>
        <v/>
      </c>
      <c r="AB69" s="23">
        <f>Saldo_Residual_Activo!M69</f>
        <v/>
      </c>
      <c r="AC69" s="23">
        <f>ROUND(AA69 + AB69, 2)</f>
        <v/>
      </c>
      <c r="AD69" s="23">
        <f>Saldos_Capital_Mensual!N69</f>
        <v/>
      </c>
      <c r="AE69" s="23">
        <f>Saldos_Intereses_Mensual!N69</f>
        <v/>
      </c>
      <c r="AF69" s="23">
        <f>ROUND(AD69 + AE69, 2)</f>
        <v/>
      </c>
      <c r="AG69" s="23">
        <f>Saldo_Residual_Activo!N69</f>
        <v/>
      </c>
      <c r="AH69" s="23">
        <f>ROUND(AF69 + AG69, 2)</f>
        <v/>
      </c>
      <c r="AI69" s="23">
        <f>Saldos_Capital_Mensual!O69</f>
        <v/>
      </c>
      <c r="AJ69" s="23">
        <f>Saldos_Intereses_Mensual!O69</f>
        <v/>
      </c>
      <c r="AK69" s="23">
        <f>ROUND(AI69 + AJ69, 2)</f>
        <v/>
      </c>
      <c r="AL69" s="23">
        <f>Saldo_Residual_Activo!O69</f>
        <v/>
      </c>
      <c r="AM69" s="23">
        <f>ROUND(AK69 + AL69, 2)</f>
        <v/>
      </c>
      <c r="AN69" s="23">
        <f>Saldos_Capital_Mensual!P69</f>
        <v/>
      </c>
      <c r="AO69" s="23">
        <f>Saldos_Intereses_Mensual!P69</f>
        <v/>
      </c>
      <c r="AP69" s="23">
        <f>ROUND(AN69 + AO69, 2)</f>
        <v/>
      </c>
      <c r="AQ69" s="23">
        <f>Saldo_Residual_Activo!P69</f>
        <v/>
      </c>
      <c r="AR69" s="23">
        <f>ROUND(AP69 + AQ69, 2)</f>
        <v/>
      </c>
      <c r="AS69" s="23">
        <f>Saldos_Capital_Mensual!Q69</f>
        <v/>
      </c>
      <c r="AT69" s="23">
        <f>Saldos_Intereses_Mensual!Q69</f>
        <v/>
      </c>
      <c r="AU69" s="23">
        <f>ROUND(AS69 + AT69, 2)</f>
        <v/>
      </c>
      <c r="AV69" s="23">
        <f>Saldo_Residual_Activo!Q69</f>
        <v/>
      </c>
      <c r="AW69" s="23">
        <f>ROUND(AU69 + AV69, 2)</f>
        <v/>
      </c>
      <c r="AX69" s="23">
        <f>Saldos_Capital_Mensual!R69</f>
        <v/>
      </c>
      <c r="AY69" s="23">
        <f>Saldos_Intereses_Mensual!R69</f>
        <v/>
      </c>
      <c r="AZ69" s="23">
        <f>ROUND(AX69 + AY69, 2)</f>
        <v/>
      </c>
      <c r="BA69" s="23">
        <f>Saldo_Residual_Activo!R69</f>
        <v/>
      </c>
      <c r="BB69" s="23">
        <f>ROUND(AZ69 + BA69, 2)</f>
        <v/>
      </c>
      <c r="BC69" s="23">
        <f>Saldos_Capital_Mensual!S69</f>
        <v/>
      </c>
      <c r="BD69" s="23">
        <f>Saldos_Intereses_Mensual!S69</f>
        <v/>
      </c>
      <c r="BE69" s="23">
        <f>ROUND(BC69 + BD69, 2)</f>
        <v/>
      </c>
      <c r="BF69" s="23">
        <f>Saldo_Residual_Activo!S69</f>
        <v/>
      </c>
      <c r="BG69" s="23">
        <f>ROUND(BE69 + BF69, 2)</f>
        <v/>
      </c>
      <c r="BH69" s="23">
        <f>Saldos_Capital_Mensual!T69</f>
        <v/>
      </c>
      <c r="BI69" s="23">
        <f>Saldos_Intereses_Mensual!T69</f>
        <v/>
      </c>
      <c r="BJ69" s="23">
        <f>ROUND(BH69 + BI69, 2)</f>
        <v/>
      </c>
      <c r="BK69" s="23">
        <f>Saldo_Residual_Activo!T69</f>
        <v/>
      </c>
      <c r="BL69" s="23">
        <f>ROUND(BJ69 + BK69, 2)</f>
        <v/>
      </c>
    </row>
    <row r="70">
      <c r="A70" s="26" t="inlineStr">
        <is>
          <t>0612-0002</t>
        </is>
      </c>
      <c r="B70" s="27" t="inlineStr">
        <is>
          <t>Distribuidora Lopez Moctezuma Sa de Cv</t>
        </is>
      </c>
      <c r="C70" s="27" t="inlineStr">
        <is>
          <t>Ram 700 Tradesman</t>
        </is>
      </c>
      <c r="D70" s="28" t="n">
        <v>36</v>
      </c>
      <c r="E70" s="29">
        <f>Saldos_Capital_Mensual!I70</f>
        <v/>
      </c>
      <c r="F70" s="29">
        <f>Saldos_Intereses_Mensual!I70</f>
        <v/>
      </c>
      <c r="G70" s="29">
        <f>ROUND(E70 + F70, 2)</f>
        <v/>
      </c>
      <c r="H70" s="29">
        <f>Saldo_Residual_Activo!I70</f>
        <v/>
      </c>
      <c r="I70" s="29">
        <f>ROUND(G70 + H70, 2)</f>
        <v/>
      </c>
      <c r="J70" s="29">
        <f>Saldos_Capital_Mensual!J70</f>
        <v/>
      </c>
      <c r="K70" s="29">
        <f>Saldos_Intereses_Mensual!J70</f>
        <v/>
      </c>
      <c r="L70" s="29">
        <f>ROUND(J70 + K70, 2)</f>
        <v/>
      </c>
      <c r="M70" s="29">
        <f>Saldo_Residual_Activo!J70</f>
        <v/>
      </c>
      <c r="N70" s="29">
        <f>ROUND(L70 + M70, 2)</f>
        <v/>
      </c>
      <c r="O70" s="29">
        <f>Saldos_Capital_Mensual!K70</f>
        <v/>
      </c>
      <c r="P70" s="29">
        <f>Saldos_Intereses_Mensual!K70</f>
        <v/>
      </c>
      <c r="Q70" s="29">
        <f>ROUND(O70 + P70, 2)</f>
        <v/>
      </c>
      <c r="R70" s="29">
        <f>Saldo_Residual_Activo!K70</f>
        <v/>
      </c>
      <c r="S70" s="29">
        <f>ROUND(Q70 + R70, 2)</f>
        <v/>
      </c>
      <c r="T70" s="29">
        <f>Saldos_Capital_Mensual!L70</f>
        <v/>
      </c>
      <c r="U70" s="29">
        <f>Saldos_Intereses_Mensual!L70</f>
        <v/>
      </c>
      <c r="V70" s="29">
        <f>ROUND(T70 + U70, 2)</f>
        <v/>
      </c>
      <c r="W70" s="29">
        <f>Saldo_Residual_Activo!L70</f>
        <v/>
      </c>
      <c r="X70" s="29">
        <f>ROUND(V70 + W70, 2)</f>
        <v/>
      </c>
      <c r="Y70" s="29">
        <f>Saldos_Capital_Mensual!M70</f>
        <v/>
      </c>
      <c r="Z70" s="29">
        <f>Saldos_Intereses_Mensual!M70</f>
        <v/>
      </c>
      <c r="AA70" s="29">
        <f>ROUND(Y70 + Z70, 2)</f>
        <v/>
      </c>
      <c r="AB70" s="29">
        <f>Saldo_Residual_Activo!M70</f>
        <v/>
      </c>
      <c r="AC70" s="29">
        <f>ROUND(AA70 + AB70, 2)</f>
        <v/>
      </c>
      <c r="AD70" s="29">
        <f>Saldos_Capital_Mensual!N70</f>
        <v/>
      </c>
      <c r="AE70" s="29">
        <f>Saldos_Intereses_Mensual!N70</f>
        <v/>
      </c>
      <c r="AF70" s="29">
        <f>ROUND(AD70 + AE70, 2)</f>
        <v/>
      </c>
      <c r="AG70" s="29">
        <f>Saldo_Residual_Activo!N70</f>
        <v/>
      </c>
      <c r="AH70" s="29">
        <f>ROUND(AF70 + AG70, 2)</f>
        <v/>
      </c>
      <c r="AI70" s="29">
        <f>Saldos_Capital_Mensual!O70</f>
        <v/>
      </c>
      <c r="AJ70" s="29">
        <f>Saldos_Intereses_Mensual!O70</f>
        <v/>
      </c>
      <c r="AK70" s="29">
        <f>ROUND(AI70 + AJ70, 2)</f>
        <v/>
      </c>
      <c r="AL70" s="29">
        <f>Saldo_Residual_Activo!O70</f>
        <v/>
      </c>
      <c r="AM70" s="29">
        <f>ROUND(AK70 + AL70, 2)</f>
        <v/>
      </c>
      <c r="AN70" s="29">
        <f>Saldos_Capital_Mensual!P70</f>
        <v/>
      </c>
      <c r="AO70" s="29">
        <f>Saldos_Intereses_Mensual!P70</f>
        <v/>
      </c>
      <c r="AP70" s="29">
        <f>ROUND(AN70 + AO70, 2)</f>
        <v/>
      </c>
      <c r="AQ70" s="29">
        <f>Saldo_Residual_Activo!P70</f>
        <v/>
      </c>
      <c r="AR70" s="29">
        <f>ROUND(AP70 + AQ70, 2)</f>
        <v/>
      </c>
      <c r="AS70" s="29">
        <f>Saldos_Capital_Mensual!Q70</f>
        <v/>
      </c>
      <c r="AT70" s="29">
        <f>Saldos_Intereses_Mensual!Q70</f>
        <v/>
      </c>
      <c r="AU70" s="29">
        <f>ROUND(AS70 + AT70, 2)</f>
        <v/>
      </c>
      <c r="AV70" s="29">
        <f>Saldo_Residual_Activo!Q70</f>
        <v/>
      </c>
      <c r="AW70" s="29">
        <f>ROUND(AU70 + AV70, 2)</f>
        <v/>
      </c>
      <c r="AX70" s="29">
        <f>Saldos_Capital_Mensual!R70</f>
        <v/>
      </c>
      <c r="AY70" s="29">
        <f>Saldos_Intereses_Mensual!R70</f>
        <v/>
      </c>
      <c r="AZ70" s="29">
        <f>ROUND(AX70 + AY70, 2)</f>
        <v/>
      </c>
      <c r="BA70" s="29">
        <f>Saldo_Residual_Activo!R70</f>
        <v/>
      </c>
      <c r="BB70" s="29">
        <f>ROUND(AZ70 + BA70, 2)</f>
        <v/>
      </c>
      <c r="BC70" s="29">
        <f>Saldos_Capital_Mensual!S70</f>
        <v/>
      </c>
      <c r="BD70" s="29">
        <f>Saldos_Intereses_Mensual!S70</f>
        <v/>
      </c>
      <c r="BE70" s="29">
        <f>ROUND(BC70 + BD70, 2)</f>
        <v/>
      </c>
      <c r="BF70" s="29">
        <f>Saldo_Residual_Activo!S70</f>
        <v/>
      </c>
      <c r="BG70" s="29">
        <f>ROUND(BE70 + BF70, 2)</f>
        <v/>
      </c>
      <c r="BH70" s="29">
        <f>Saldos_Capital_Mensual!T70</f>
        <v/>
      </c>
      <c r="BI70" s="29">
        <f>Saldos_Intereses_Mensual!T70</f>
        <v/>
      </c>
      <c r="BJ70" s="29">
        <f>ROUND(BH70 + BI70, 2)</f>
        <v/>
      </c>
      <c r="BK70" s="29">
        <f>Saldo_Residual_Activo!T70</f>
        <v/>
      </c>
      <c r="BL70" s="29">
        <f>ROUND(BJ70 + BK70, 2)</f>
        <v/>
      </c>
    </row>
    <row r="71">
      <c r="A71" s="20" t="inlineStr">
        <is>
          <t>0612-0003</t>
        </is>
      </c>
      <c r="B71" s="21" t="inlineStr">
        <is>
          <t>Distribuidora Lopez Moctezuma Sa de Cv</t>
        </is>
      </c>
      <c r="C71" s="21" t="inlineStr">
        <is>
          <t>Mitsubishi Xpander 2026</t>
        </is>
      </c>
      <c r="D71" s="22" t="n">
        <v>48</v>
      </c>
      <c r="E71" s="23">
        <f>Saldos_Capital_Mensual!I71</f>
        <v/>
      </c>
      <c r="F71" s="23">
        <f>Saldos_Intereses_Mensual!I71</f>
        <v/>
      </c>
      <c r="G71" s="23">
        <f>ROUND(E71 + F71, 2)</f>
        <v/>
      </c>
      <c r="H71" s="23">
        <f>Saldo_Residual_Activo!I71</f>
        <v/>
      </c>
      <c r="I71" s="23">
        <f>ROUND(G71 + H71, 2)</f>
        <v/>
      </c>
      <c r="J71" s="23">
        <f>Saldos_Capital_Mensual!J71</f>
        <v/>
      </c>
      <c r="K71" s="23">
        <f>Saldos_Intereses_Mensual!J71</f>
        <v/>
      </c>
      <c r="L71" s="23">
        <f>ROUND(J71 + K71, 2)</f>
        <v/>
      </c>
      <c r="M71" s="23">
        <f>Saldo_Residual_Activo!J71</f>
        <v/>
      </c>
      <c r="N71" s="23">
        <f>ROUND(L71 + M71, 2)</f>
        <v/>
      </c>
      <c r="O71" s="23">
        <f>Saldos_Capital_Mensual!K71</f>
        <v/>
      </c>
      <c r="P71" s="23">
        <f>Saldos_Intereses_Mensual!K71</f>
        <v/>
      </c>
      <c r="Q71" s="23">
        <f>ROUND(O71 + P71, 2)</f>
        <v/>
      </c>
      <c r="R71" s="23">
        <f>Saldo_Residual_Activo!K71</f>
        <v/>
      </c>
      <c r="S71" s="23">
        <f>ROUND(Q71 + R71, 2)</f>
        <v/>
      </c>
      <c r="T71" s="23">
        <f>Saldos_Capital_Mensual!L71</f>
        <v/>
      </c>
      <c r="U71" s="23">
        <f>Saldos_Intereses_Mensual!L71</f>
        <v/>
      </c>
      <c r="V71" s="23">
        <f>ROUND(T71 + U71, 2)</f>
        <v/>
      </c>
      <c r="W71" s="23">
        <f>Saldo_Residual_Activo!L71</f>
        <v/>
      </c>
      <c r="X71" s="23">
        <f>ROUND(V71 + W71, 2)</f>
        <v/>
      </c>
      <c r="Y71" s="23">
        <f>Saldos_Capital_Mensual!M71</f>
        <v/>
      </c>
      <c r="Z71" s="23">
        <f>Saldos_Intereses_Mensual!M71</f>
        <v/>
      </c>
      <c r="AA71" s="23">
        <f>ROUND(Y71 + Z71, 2)</f>
        <v/>
      </c>
      <c r="AB71" s="23">
        <f>Saldo_Residual_Activo!M71</f>
        <v/>
      </c>
      <c r="AC71" s="23">
        <f>ROUND(AA71 + AB71, 2)</f>
        <v/>
      </c>
      <c r="AD71" s="23">
        <f>Saldos_Capital_Mensual!N71</f>
        <v/>
      </c>
      <c r="AE71" s="23">
        <f>Saldos_Intereses_Mensual!N71</f>
        <v/>
      </c>
      <c r="AF71" s="23">
        <f>ROUND(AD71 + AE71, 2)</f>
        <v/>
      </c>
      <c r="AG71" s="23">
        <f>Saldo_Residual_Activo!N71</f>
        <v/>
      </c>
      <c r="AH71" s="23">
        <f>ROUND(AF71 + AG71, 2)</f>
        <v/>
      </c>
      <c r="AI71" s="23">
        <f>Saldos_Capital_Mensual!O71</f>
        <v/>
      </c>
      <c r="AJ71" s="23">
        <f>Saldos_Intereses_Mensual!O71</f>
        <v/>
      </c>
      <c r="AK71" s="23">
        <f>ROUND(AI71 + AJ71, 2)</f>
        <v/>
      </c>
      <c r="AL71" s="23">
        <f>Saldo_Residual_Activo!O71</f>
        <v/>
      </c>
      <c r="AM71" s="23">
        <f>ROUND(AK71 + AL71, 2)</f>
        <v/>
      </c>
      <c r="AN71" s="23">
        <f>Saldos_Capital_Mensual!P71</f>
        <v/>
      </c>
      <c r="AO71" s="23">
        <f>Saldos_Intereses_Mensual!P71</f>
        <v/>
      </c>
      <c r="AP71" s="23">
        <f>ROUND(AN71 + AO71, 2)</f>
        <v/>
      </c>
      <c r="AQ71" s="23">
        <f>Saldo_Residual_Activo!P71</f>
        <v/>
      </c>
      <c r="AR71" s="23">
        <f>ROUND(AP71 + AQ71, 2)</f>
        <v/>
      </c>
      <c r="AS71" s="23">
        <f>Saldos_Capital_Mensual!Q71</f>
        <v/>
      </c>
      <c r="AT71" s="23">
        <f>Saldos_Intereses_Mensual!Q71</f>
        <v/>
      </c>
      <c r="AU71" s="23">
        <f>ROUND(AS71 + AT71, 2)</f>
        <v/>
      </c>
      <c r="AV71" s="23">
        <f>Saldo_Residual_Activo!Q71</f>
        <v/>
      </c>
      <c r="AW71" s="23">
        <f>ROUND(AU71 + AV71, 2)</f>
        <v/>
      </c>
      <c r="AX71" s="23">
        <f>Saldos_Capital_Mensual!R71</f>
        <v/>
      </c>
      <c r="AY71" s="23">
        <f>Saldos_Intereses_Mensual!R71</f>
        <v/>
      </c>
      <c r="AZ71" s="23">
        <f>ROUND(AX71 + AY71, 2)</f>
        <v/>
      </c>
      <c r="BA71" s="23">
        <f>Saldo_Residual_Activo!R71</f>
        <v/>
      </c>
      <c r="BB71" s="23">
        <f>ROUND(AZ71 + BA71, 2)</f>
        <v/>
      </c>
      <c r="BC71" s="23">
        <f>Saldos_Capital_Mensual!S71</f>
        <v/>
      </c>
      <c r="BD71" s="23">
        <f>Saldos_Intereses_Mensual!S71</f>
        <v/>
      </c>
      <c r="BE71" s="23">
        <f>ROUND(BC71 + BD71, 2)</f>
        <v/>
      </c>
      <c r="BF71" s="23">
        <f>Saldo_Residual_Activo!S71</f>
        <v/>
      </c>
      <c r="BG71" s="23">
        <f>ROUND(BE71 + BF71, 2)</f>
        <v/>
      </c>
      <c r="BH71" s="23">
        <f>Saldos_Capital_Mensual!T71</f>
        <v/>
      </c>
      <c r="BI71" s="23">
        <f>Saldos_Intereses_Mensual!T71</f>
        <v/>
      </c>
      <c r="BJ71" s="23">
        <f>ROUND(BH71 + BI71, 2)</f>
        <v/>
      </c>
      <c r="BK71" s="23">
        <f>Saldo_Residual_Activo!T71</f>
        <v/>
      </c>
      <c r="BL71" s="23">
        <f>ROUND(BJ71 + BK71, 2)</f>
        <v/>
      </c>
    </row>
    <row r="72">
      <c r="A72" s="26" t="inlineStr">
        <is>
          <t>0616-0002</t>
        </is>
      </c>
      <c r="B72" s="27" t="inlineStr">
        <is>
          <t>Commerce and Technology Connection Sas de Cv</t>
        </is>
      </c>
      <c r="C72" s="27" t="inlineStr">
        <is>
          <t>RAM 700 BIG HORN</t>
        </is>
      </c>
      <c r="D72" s="28" t="n">
        <v>36</v>
      </c>
      <c r="E72" s="29">
        <f>Saldos_Capital_Mensual!I72</f>
        <v/>
      </c>
      <c r="F72" s="29">
        <f>Saldos_Intereses_Mensual!I72</f>
        <v/>
      </c>
      <c r="G72" s="29">
        <f>ROUND(E72 + F72, 2)</f>
        <v/>
      </c>
      <c r="H72" s="29">
        <f>Saldo_Residual_Activo!I72</f>
        <v/>
      </c>
      <c r="I72" s="29">
        <f>ROUND(G72 + H72, 2)</f>
        <v/>
      </c>
      <c r="J72" s="29">
        <f>Saldos_Capital_Mensual!J72</f>
        <v/>
      </c>
      <c r="K72" s="29">
        <f>Saldos_Intereses_Mensual!J72</f>
        <v/>
      </c>
      <c r="L72" s="29">
        <f>ROUND(J72 + K72, 2)</f>
        <v/>
      </c>
      <c r="M72" s="29">
        <f>Saldo_Residual_Activo!J72</f>
        <v/>
      </c>
      <c r="N72" s="29">
        <f>ROUND(L72 + M72, 2)</f>
        <v/>
      </c>
      <c r="O72" s="29">
        <f>Saldos_Capital_Mensual!K72</f>
        <v/>
      </c>
      <c r="P72" s="29">
        <f>Saldos_Intereses_Mensual!K72</f>
        <v/>
      </c>
      <c r="Q72" s="29">
        <f>ROUND(O72 + P72, 2)</f>
        <v/>
      </c>
      <c r="R72" s="29">
        <f>Saldo_Residual_Activo!K72</f>
        <v/>
      </c>
      <c r="S72" s="29">
        <f>ROUND(Q72 + R72, 2)</f>
        <v/>
      </c>
      <c r="T72" s="29">
        <f>Saldos_Capital_Mensual!L72</f>
        <v/>
      </c>
      <c r="U72" s="29">
        <f>Saldos_Intereses_Mensual!L72</f>
        <v/>
      </c>
      <c r="V72" s="29">
        <f>ROUND(T72 + U72, 2)</f>
        <v/>
      </c>
      <c r="W72" s="29">
        <f>Saldo_Residual_Activo!L72</f>
        <v/>
      </c>
      <c r="X72" s="29">
        <f>ROUND(V72 + W72, 2)</f>
        <v/>
      </c>
      <c r="Y72" s="29">
        <f>Saldos_Capital_Mensual!M72</f>
        <v/>
      </c>
      <c r="Z72" s="29">
        <f>Saldos_Intereses_Mensual!M72</f>
        <v/>
      </c>
      <c r="AA72" s="29">
        <f>ROUND(Y72 + Z72, 2)</f>
        <v/>
      </c>
      <c r="AB72" s="29">
        <f>Saldo_Residual_Activo!M72</f>
        <v/>
      </c>
      <c r="AC72" s="29">
        <f>ROUND(AA72 + AB72, 2)</f>
        <v/>
      </c>
      <c r="AD72" s="29">
        <f>Saldos_Capital_Mensual!N72</f>
        <v/>
      </c>
      <c r="AE72" s="29">
        <f>Saldos_Intereses_Mensual!N72</f>
        <v/>
      </c>
      <c r="AF72" s="29">
        <f>ROUND(AD72 + AE72, 2)</f>
        <v/>
      </c>
      <c r="AG72" s="29">
        <f>Saldo_Residual_Activo!N72</f>
        <v/>
      </c>
      <c r="AH72" s="29">
        <f>ROUND(AF72 + AG72, 2)</f>
        <v/>
      </c>
      <c r="AI72" s="29">
        <f>Saldos_Capital_Mensual!O72</f>
        <v/>
      </c>
      <c r="AJ72" s="29">
        <f>Saldos_Intereses_Mensual!O72</f>
        <v/>
      </c>
      <c r="AK72" s="29">
        <f>ROUND(AI72 + AJ72, 2)</f>
        <v/>
      </c>
      <c r="AL72" s="29">
        <f>Saldo_Residual_Activo!O72</f>
        <v/>
      </c>
      <c r="AM72" s="29">
        <f>ROUND(AK72 + AL72, 2)</f>
        <v/>
      </c>
      <c r="AN72" s="29">
        <f>Saldos_Capital_Mensual!P72</f>
        <v/>
      </c>
      <c r="AO72" s="29">
        <f>Saldos_Intereses_Mensual!P72</f>
        <v/>
      </c>
      <c r="AP72" s="29">
        <f>ROUND(AN72 + AO72, 2)</f>
        <v/>
      </c>
      <c r="AQ72" s="29">
        <f>Saldo_Residual_Activo!P72</f>
        <v/>
      </c>
      <c r="AR72" s="29">
        <f>ROUND(AP72 + AQ72, 2)</f>
        <v/>
      </c>
      <c r="AS72" s="29">
        <f>Saldos_Capital_Mensual!Q72</f>
        <v/>
      </c>
      <c r="AT72" s="29">
        <f>Saldos_Intereses_Mensual!Q72</f>
        <v/>
      </c>
      <c r="AU72" s="29">
        <f>ROUND(AS72 + AT72, 2)</f>
        <v/>
      </c>
      <c r="AV72" s="29">
        <f>Saldo_Residual_Activo!Q72</f>
        <v/>
      </c>
      <c r="AW72" s="29">
        <f>ROUND(AU72 + AV72, 2)</f>
        <v/>
      </c>
      <c r="AX72" s="29">
        <f>Saldos_Capital_Mensual!R72</f>
        <v/>
      </c>
      <c r="AY72" s="29">
        <f>Saldos_Intereses_Mensual!R72</f>
        <v/>
      </c>
      <c r="AZ72" s="29">
        <f>ROUND(AX72 + AY72, 2)</f>
        <v/>
      </c>
      <c r="BA72" s="29">
        <f>Saldo_Residual_Activo!R72</f>
        <v/>
      </c>
      <c r="BB72" s="29">
        <f>ROUND(AZ72 + BA72, 2)</f>
        <v/>
      </c>
      <c r="BC72" s="29">
        <f>Saldos_Capital_Mensual!S72</f>
        <v/>
      </c>
      <c r="BD72" s="29">
        <f>Saldos_Intereses_Mensual!S72</f>
        <v/>
      </c>
      <c r="BE72" s="29">
        <f>ROUND(BC72 + BD72, 2)</f>
        <v/>
      </c>
      <c r="BF72" s="29">
        <f>Saldo_Residual_Activo!S72</f>
        <v/>
      </c>
      <c r="BG72" s="29">
        <f>ROUND(BE72 + BF72, 2)</f>
        <v/>
      </c>
      <c r="BH72" s="29">
        <f>Saldos_Capital_Mensual!T72</f>
        <v/>
      </c>
      <c r="BI72" s="29">
        <f>Saldos_Intereses_Mensual!T72</f>
        <v/>
      </c>
      <c r="BJ72" s="29">
        <f>ROUND(BH72 + BI72, 2)</f>
        <v/>
      </c>
      <c r="BK72" s="29">
        <f>Saldo_Residual_Activo!T72</f>
        <v/>
      </c>
      <c r="BL72" s="29">
        <f>ROUND(BJ72 + BK72, 2)</f>
        <v/>
      </c>
    </row>
    <row r="73">
      <c r="A73" s="20" t="inlineStr">
        <is>
          <t>0616-0003</t>
        </is>
      </c>
      <c r="B73" s="21" t="inlineStr">
        <is>
          <t>Commerce and Technology Connection Sas de Cv</t>
        </is>
      </c>
      <c r="C73" s="21" t="inlineStr">
        <is>
          <t>FASTBACK</t>
        </is>
      </c>
      <c r="D73" s="22" t="n">
        <v>36</v>
      </c>
      <c r="E73" s="23">
        <f>Saldos_Capital_Mensual!I73</f>
        <v/>
      </c>
      <c r="F73" s="23">
        <f>Saldos_Intereses_Mensual!I73</f>
        <v/>
      </c>
      <c r="G73" s="23">
        <f>ROUND(E73 + F73, 2)</f>
        <v/>
      </c>
      <c r="H73" s="23">
        <f>Saldo_Residual_Activo!I73</f>
        <v/>
      </c>
      <c r="I73" s="23">
        <f>ROUND(G73 + H73, 2)</f>
        <v/>
      </c>
      <c r="J73" s="23">
        <f>Saldos_Capital_Mensual!J73</f>
        <v/>
      </c>
      <c r="K73" s="23">
        <f>Saldos_Intereses_Mensual!J73</f>
        <v/>
      </c>
      <c r="L73" s="23">
        <f>ROUND(J73 + K73, 2)</f>
        <v/>
      </c>
      <c r="M73" s="23">
        <f>Saldo_Residual_Activo!J73</f>
        <v/>
      </c>
      <c r="N73" s="23">
        <f>ROUND(L73 + M73, 2)</f>
        <v/>
      </c>
      <c r="O73" s="23">
        <f>Saldos_Capital_Mensual!K73</f>
        <v/>
      </c>
      <c r="P73" s="23">
        <f>Saldos_Intereses_Mensual!K73</f>
        <v/>
      </c>
      <c r="Q73" s="23">
        <f>ROUND(O73 + P73, 2)</f>
        <v/>
      </c>
      <c r="R73" s="23">
        <f>Saldo_Residual_Activo!K73</f>
        <v/>
      </c>
      <c r="S73" s="23">
        <f>ROUND(Q73 + R73, 2)</f>
        <v/>
      </c>
      <c r="T73" s="23">
        <f>Saldos_Capital_Mensual!L73</f>
        <v/>
      </c>
      <c r="U73" s="23">
        <f>Saldos_Intereses_Mensual!L73</f>
        <v/>
      </c>
      <c r="V73" s="23">
        <f>ROUND(T73 + U73, 2)</f>
        <v/>
      </c>
      <c r="W73" s="23">
        <f>Saldo_Residual_Activo!L73</f>
        <v/>
      </c>
      <c r="X73" s="23">
        <f>ROUND(V73 + W73, 2)</f>
        <v/>
      </c>
      <c r="Y73" s="23">
        <f>Saldos_Capital_Mensual!M73</f>
        <v/>
      </c>
      <c r="Z73" s="23">
        <f>Saldos_Intereses_Mensual!M73</f>
        <v/>
      </c>
      <c r="AA73" s="23">
        <f>ROUND(Y73 + Z73, 2)</f>
        <v/>
      </c>
      <c r="AB73" s="23">
        <f>Saldo_Residual_Activo!M73</f>
        <v/>
      </c>
      <c r="AC73" s="23">
        <f>ROUND(AA73 + AB73, 2)</f>
        <v/>
      </c>
      <c r="AD73" s="23">
        <f>Saldos_Capital_Mensual!N73</f>
        <v/>
      </c>
      <c r="AE73" s="23">
        <f>Saldos_Intereses_Mensual!N73</f>
        <v/>
      </c>
      <c r="AF73" s="23">
        <f>ROUND(AD73 + AE73, 2)</f>
        <v/>
      </c>
      <c r="AG73" s="23">
        <f>Saldo_Residual_Activo!N73</f>
        <v/>
      </c>
      <c r="AH73" s="23">
        <f>ROUND(AF73 + AG73, 2)</f>
        <v/>
      </c>
      <c r="AI73" s="23">
        <f>Saldos_Capital_Mensual!O73</f>
        <v/>
      </c>
      <c r="AJ73" s="23">
        <f>Saldos_Intereses_Mensual!O73</f>
        <v/>
      </c>
      <c r="AK73" s="23">
        <f>ROUND(AI73 + AJ73, 2)</f>
        <v/>
      </c>
      <c r="AL73" s="23">
        <f>Saldo_Residual_Activo!O73</f>
        <v/>
      </c>
      <c r="AM73" s="23">
        <f>ROUND(AK73 + AL73, 2)</f>
        <v/>
      </c>
      <c r="AN73" s="23">
        <f>Saldos_Capital_Mensual!P73</f>
        <v/>
      </c>
      <c r="AO73" s="23">
        <f>Saldos_Intereses_Mensual!P73</f>
        <v/>
      </c>
      <c r="AP73" s="23">
        <f>ROUND(AN73 + AO73, 2)</f>
        <v/>
      </c>
      <c r="AQ73" s="23">
        <f>Saldo_Residual_Activo!P73</f>
        <v/>
      </c>
      <c r="AR73" s="23">
        <f>ROUND(AP73 + AQ73, 2)</f>
        <v/>
      </c>
      <c r="AS73" s="23">
        <f>Saldos_Capital_Mensual!Q73</f>
        <v/>
      </c>
      <c r="AT73" s="23">
        <f>Saldos_Intereses_Mensual!Q73</f>
        <v/>
      </c>
      <c r="AU73" s="23">
        <f>ROUND(AS73 + AT73, 2)</f>
        <v/>
      </c>
      <c r="AV73" s="23">
        <f>Saldo_Residual_Activo!Q73</f>
        <v/>
      </c>
      <c r="AW73" s="23">
        <f>ROUND(AU73 + AV73, 2)</f>
        <v/>
      </c>
      <c r="AX73" s="23">
        <f>Saldos_Capital_Mensual!R73</f>
        <v/>
      </c>
      <c r="AY73" s="23">
        <f>Saldos_Intereses_Mensual!R73</f>
        <v/>
      </c>
      <c r="AZ73" s="23">
        <f>ROUND(AX73 + AY73, 2)</f>
        <v/>
      </c>
      <c r="BA73" s="23">
        <f>Saldo_Residual_Activo!R73</f>
        <v/>
      </c>
      <c r="BB73" s="23">
        <f>ROUND(AZ73 + BA73, 2)</f>
        <v/>
      </c>
      <c r="BC73" s="23">
        <f>Saldos_Capital_Mensual!S73</f>
        <v/>
      </c>
      <c r="BD73" s="23">
        <f>Saldos_Intereses_Mensual!S73</f>
        <v/>
      </c>
      <c r="BE73" s="23">
        <f>ROUND(BC73 + BD73, 2)</f>
        <v/>
      </c>
      <c r="BF73" s="23">
        <f>Saldo_Residual_Activo!S73</f>
        <v/>
      </c>
      <c r="BG73" s="23">
        <f>ROUND(BE73 + BF73, 2)</f>
        <v/>
      </c>
      <c r="BH73" s="23">
        <f>Saldos_Capital_Mensual!T73</f>
        <v/>
      </c>
      <c r="BI73" s="23">
        <f>Saldos_Intereses_Mensual!T73</f>
        <v/>
      </c>
      <c r="BJ73" s="23">
        <f>ROUND(BH73 + BI73, 2)</f>
        <v/>
      </c>
      <c r="BK73" s="23">
        <f>Saldo_Residual_Activo!T73</f>
        <v/>
      </c>
      <c r="BL73" s="23">
        <f>ROUND(BJ73 + BK73, 2)</f>
        <v/>
      </c>
    </row>
    <row r="74">
      <c r="A74" s="26" t="inlineStr">
        <is>
          <t>0616-0004</t>
        </is>
      </c>
      <c r="B74" s="27" t="inlineStr">
        <is>
          <t>Commerce and Technology Connections Sas de Cv</t>
        </is>
      </c>
      <c r="C74" s="27" t="inlineStr">
        <is>
          <t>Argo</t>
        </is>
      </c>
      <c r="D74" s="28" t="n">
        <v>36</v>
      </c>
      <c r="E74" s="29">
        <f>Saldos_Capital_Mensual!I74</f>
        <v/>
      </c>
      <c r="F74" s="29">
        <f>Saldos_Intereses_Mensual!I74</f>
        <v/>
      </c>
      <c r="G74" s="29">
        <f>ROUND(E74 + F74, 2)</f>
        <v/>
      </c>
      <c r="H74" s="29">
        <f>Saldo_Residual_Activo!I74</f>
        <v/>
      </c>
      <c r="I74" s="29">
        <f>ROUND(G74 + H74, 2)</f>
        <v/>
      </c>
      <c r="J74" s="29">
        <f>Saldos_Capital_Mensual!J74</f>
        <v/>
      </c>
      <c r="K74" s="29">
        <f>Saldos_Intereses_Mensual!J74</f>
        <v/>
      </c>
      <c r="L74" s="29">
        <f>ROUND(J74 + K74, 2)</f>
        <v/>
      </c>
      <c r="M74" s="29">
        <f>Saldo_Residual_Activo!J74</f>
        <v/>
      </c>
      <c r="N74" s="29">
        <f>ROUND(L74 + M74, 2)</f>
        <v/>
      </c>
      <c r="O74" s="29">
        <f>Saldos_Capital_Mensual!K74</f>
        <v/>
      </c>
      <c r="P74" s="29">
        <f>Saldos_Intereses_Mensual!K74</f>
        <v/>
      </c>
      <c r="Q74" s="29">
        <f>ROUND(O74 + P74, 2)</f>
        <v/>
      </c>
      <c r="R74" s="29">
        <f>Saldo_Residual_Activo!K74</f>
        <v/>
      </c>
      <c r="S74" s="29">
        <f>ROUND(Q74 + R74, 2)</f>
        <v/>
      </c>
      <c r="T74" s="29">
        <f>Saldos_Capital_Mensual!L74</f>
        <v/>
      </c>
      <c r="U74" s="29">
        <f>Saldos_Intereses_Mensual!L74</f>
        <v/>
      </c>
      <c r="V74" s="29">
        <f>ROUND(T74 + U74, 2)</f>
        <v/>
      </c>
      <c r="W74" s="29">
        <f>Saldo_Residual_Activo!L74</f>
        <v/>
      </c>
      <c r="X74" s="29">
        <f>ROUND(V74 + W74, 2)</f>
        <v/>
      </c>
      <c r="Y74" s="29">
        <f>Saldos_Capital_Mensual!M74</f>
        <v/>
      </c>
      <c r="Z74" s="29">
        <f>Saldos_Intereses_Mensual!M74</f>
        <v/>
      </c>
      <c r="AA74" s="29">
        <f>ROUND(Y74 + Z74, 2)</f>
        <v/>
      </c>
      <c r="AB74" s="29">
        <f>Saldo_Residual_Activo!M74</f>
        <v/>
      </c>
      <c r="AC74" s="29">
        <f>ROUND(AA74 + AB74, 2)</f>
        <v/>
      </c>
      <c r="AD74" s="29">
        <f>Saldos_Capital_Mensual!N74</f>
        <v/>
      </c>
      <c r="AE74" s="29">
        <f>Saldos_Intereses_Mensual!N74</f>
        <v/>
      </c>
      <c r="AF74" s="29">
        <f>ROUND(AD74 + AE74, 2)</f>
        <v/>
      </c>
      <c r="AG74" s="29">
        <f>Saldo_Residual_Activo!N74</f>
        <v/>
      </c>
      <c r="AH74" s="29">
        <f>ROUND(AF74 + AG74, 2)</f>
        <v/>
      </c>
      <c r="AI74" s="29">
        <f>Saldos_Capital_Mensual!O74</f>
        <v/>
      </c>
      <c r="AJ74" s="29">
        <f>Saldos_Intereses_Mensual!O74</f>
        <v/>
      </c>
      <c r="AK74" s="29">
        <f>ROUND(AI74 + AJ74, 2)</f>
        <v/>
      </c>
      <c r="AL74" s="29">
        <f>Saldo_Residual_Activo!O74</f>
        <v/>
      </c>
      <c r="AM74" s="29">
        <f>ROUND(AK74 + AL74, 2)</f>
        <v/>
      </c>
      <c r="AN74" s="29">
        <f>Saldos_Capital_Mensual!P74</f>
        <v/>
      </c>
      <c r="AO74" s="29">
        <f>Saldos_Intereses_Mensual!P74</f>
        <v/>
      </c>
      <c r="AP74" s="29">
        <f>ROUND(AN74 + AO74, 2)</f>
        <v/>
      </c>
      <c r="AQ74" s="29">
        <f>Saldo_Residual_Activo!P74</f>
        <v/>
      </c>
      <c r="AR74" s="29">
        <f>ROUND(AP74 + AQ74, 2)</f>
        <v/>
      </c>
      <c r="AS74" s="29">
        <f>Saldos_Capital_Mensual!Q74</f>
        <v/>
      </c>
      <c r="AT74" s="29">
        <f>Saldos_Intereses_Mensual!Q74</f>
        <v/>
      </c>
      <c r="AU74" s="29">
        <f>ROUND(AS74 + AT74, 2)</f>
        <v/>
      </c>
      <c r="AV74" s="29">
        <f>Saldo_Residual_Activo!Q74</f>
        <v/>
      </c>
      <c r="AW74" s="29">
        <f>ROUND(AU74 + AV74, 2)</f>
        <v/>
      </c>
      <c r="AX74" s="29">
        <f>Saldos_Capital_Mensual!R74</f>
        <v/>
      </c>
      <c r="AY74" s="29">
        <f>Saldos_Intereses_Mensual!R74</f>
        <v/>
      </c>
      <c r="AZ74" s="29">
        <f>ROUND(AX74 + AY74, 2)</f>
        <v/>
      </c>
      <c r="BA74" s="29">
        <f>Saldo_Residual_Activo!R74</f>
        <v/>
      </c>
      <c r="BB74" s="29">
        <f>ROUND(AZ74 + BA74, 2)</f>
        <v/>
      </c>
      <c r="BC74" s="29">
        <f>Saldos_Capital_Mensual!S74</f>
        <v/>
      </c>
      <c r="BD74" s="29">
        <f>Saldos_Intereses_Mensual!S74</f>
        <v/>
      </c>
      <c r="BE74" s="29">
        <f>ROUND(BC74 + BD74, 2)</f>
        <v/>
      </c>
      <c r="BF74" s="29">
        <f>Saldo_Residual_Activo!S74</f>
        <v/>
      </c>
      <c r="BG74" s="29">
        <f>ROUND(BE74 + BF74, 2)</f>
        <v/>
      </c>
      <c r="BH74" s="29">
        <f>Saldos_Capital_Mensual!T74</f>
        <v/>
      </c>
      <c r="BI74" s="29">
        <f>Saldos_Intereses_Mensual!T74</f>
        <v/>
      </c>
      <c r="BJ74" s="29">
        <f>ROUND(BH74 + BI74, 2)</f>
        <v/>
      </c>
      <c r="BK74" s="29">
        <f>Saldo_Residual_Activo!T74</f>
        <v/>
      </c>
      <c r="BL74" s="29">
        <f>ROUND(BJ74 + BK74, 2)</f>
        <v/>
      </c>
    </row>
    <row r="75">
      <c r="A75" s="20" t="inlineStr">
        <is>
          <t>0616-0005</t>
        </is>
      </c>
      <c r="B75" s="21" t="inlineStr">
        <is>
          <t>Commerce and Technology Connection Sas de Cv</t>
        </is>
      </c>
      <c r="C75" s="21" t="inlineStr">
        <is>
          <t>Journey GT</t>
        </is>
      </c>
      <c r="D75" s="22" t="n">
        <v>36</v>
      </c>
      <c r="E75" s="23">
        <f>Saldos_Capital_Mensual!I75</f>
        <v/>
      </c>
      <c r="F75" s="23">
        <f>Saldos_Intereses_Mensual!I75</f>
        <v/>
      </c>
      <c r="G75" s="23">
        <f>ROUND(E75 + F75, 2)</f>
        <v/>
      </c>
      <c r="H75" s="23">
        <f>Saldo_Residual_Activo!I75</f>
        <v/>
      </c>
      <c r="I75" s="23">
        <f>ROUND(G75 + H75, 2)</f>
        <v/>
      </c>
      <c r="J75" s="23">
        <f>Saldos_Capital_Mensual!J75</f>
        <v/>
      </c>
      <c r="K75" s="23">
        <f>Saldos_Intereses_Mensual!J75</f>
        <v/>
      </c>
      <c r="L75" s="23">
        <f>ROUND(J75 + K75, 2)</f>
        <v/>
      </c>
      <c r="M75" s="23">
        <f>Saldo_Residual_Activo!J75</f>
        <v/>
      </c>
      <c r="N75" s="23">
        <f>ROUND(L75 + M75, 2)</f>
        <v/>
      </c>
      <c r="O75" s="23">
        <f>Saldos_Capital_Mensual!K75</f>
        <v/>
      </c>
      <c r="P75" s="23">
        <f>Saldos_Intereses_Mensual!K75</f>
        <v/>
      </c>
      <c r="Q75" s="23">
        <f>ROUND(O75 + P75, 2)</f>
        <v/>
      </c>
      <c r="R75" s="23">
        <f>Saldo_Residual_Activo!K75</f>
        <v/>
      </c>
      <c r="S75" s="23">
        <f>ROUND(Q75 + R75, 2)</f>
        <v/>
      </c>
      <c r="T75" s="23">
        <f>Saldos_Capital_Mensual!L75</f>
        <v/>
      </c>
      <c r="U75" s="23">
        <f>Saldos_Intereses_Mensual!L75</f>
        <v/>
      </c>
      <c r="V75" s="23">
        <f>ROUND(T75 + U75, 2)</f>
        <v/>
      </c>
      <c r="W75" s="23">
        <f>Saldo_Residual_Activo!L75</f>
        <v/>
      </c>
      <c r="X75" s="23">
        <f>ROUND(V75 + W75, 2)</f>
        <v/>
      </c>
      <c r="Y75" s="23">
        <f>Saldos_Capital_Mensual!M75</f>
        <v/>
      </c>
      <c r="Z75" s="23">
        <f>Saldos_Intereses_Mensual!M75</f>
        <v/>
      </c>
      <c r="AA75" s="23">
        <f>ROUND(Y75 + Z75, 2)</f>
        <v/>
      </c>
      <c r="AB75" s="23">
        <f>Saldo_Residual_Activo!M75</f>
        <v/>
      </c>
      <c r="AC75" s="23">
        <f>ROUND(AA75 + AB75, 2)</f>
        <v/>
      </c>
      <c r="AD75" s="23">
        <f>Saldos_Capital_Mensual!N75</f>
        <v/>
      </c>
      <c r="AE75" s="23">
        <f>Saldos_Intereses_Mensual!N75</f>
        <v/>
      </c>
      <c r="AF75" s="23">
        <f>ROUND(AD75 + AE75, 2)</f>
        <v/>
      </c>
      <c r="AG75" s="23">
        <f>Saldo_Residual_Activo!N75</f>
        <v/>
      </c>
      <c r="AH75" s="23">
        <f>ROUND(AF75 + AG75, 2)</f>
        <v/>
      </c>
      <c r="AI75" s="23">
        <f>Saldos_Capital_Mensual!O75</f>
        <v/>
      </c>
      <c r="AJ75" s="23">
        <f>Saldos_Intereses_Mensual!O75</f>
        <v/>
      </c>
      <c r="AK75" s="23">
        <f>ROUND(AI75 + AJ75, 2)</f>
        <v/>
      </c>
      <c r="AL75" s="23">
        <f>Saldo_Residual_Activo!O75</f>
        <v/>
      </c>
      <c r="AM75" s="23">
        <f>ROUND(AK75 + AL75, 2)</f>
        <v/>
      </c>
      <c r="AN75" s="23">
        <f>Saldos_Capital_Mensual!P75</f>
        <v/>
      </c>
      <c r="AO75" s="23">
        <f>Saldos_Intereses_Mensual!P75</f>
        <v/>
      </c>
      <c r="AP75" s="23">
        <f>ROUND(AN75 + AO75, 2)</f>
        <v/>
      </c>
      <c r="AQ75" s="23">
        <f>Saldo_Residual_Activo!P75</f>
        <v/>
      </c>
      <c r="AR75" s="23">
        <f>ROUND(AP75 + AQ75, 2)</f>
        <v/>
      </c>
      <c r="AS75" s="23">
        <f>Saldos_Capital_Mensual!Q75</f>
        <v/>
      </c>
      <c r="AT75" s="23">
        <f>Saldos_Intereses_Mensual!Q75</f>
        <v/>
      </c>
      <c r="AU75" s="23">
        <f>ROUND(AS75 + AT75, 2)</f>
        <v/>
      </c>
      <c r="AV75" s="23">
        <f>Saldo_Residual_Activo!Q75</f>
        <v/>
      </c>
      <c r="AW75" s="23">
        <f>ROUND(AU75 + AV75, 2)</f>
        <v/>
      </c>
      <c r="AX75" s="23">
        <f>Saldos_Capital_Mensual!R75</f>
        <v/>
      </c>
      <c r="AY75" s="23">
        <f>Saldos_Intereses_Mensual!R75</f>
        <v/>
      </c>
      <c r="AZ75" s="23">
        <f>ROUND(AX75 + AY75, 2)</f>
        <v/>
      </c>
      <c r="BA75" s="23">
        <f>Saldo_Residual_Activo!R75</f>
        <v/>
      </c>
      <c r="BB75" s="23">
        <f>ROUND(AZ75 + BA75, 2)</f>
        <v/>
      </c>
      <c r="BC75" s="23">
        <f>Saldos_Capital_Mensual!S75</f>
        <v/>
      </c>
      <c r="BD75" s="23">
        <f>Saldos_Intereses_Mensual!S75</f>
        <v/>
      </c>
      <c r="BE75" s="23">
        <f>ROUND(BC75 + BD75, 2)</f>
        <v/>
      </c>
      <c r="BF75" s="23">
        <f>Saldo_Residual_Activo!S75</f>
        <v/>
      </c>
      <c r="BG75" s="23">
        <f>ROUND(BE75 + BF75, 2)</f>
        <v/>
      </c>
      <c r="BH75" s="23">
        <f>Saldos_Capital_Mensual!T75</f>
        <v/>
      </c>
      <c r="BI75" s="23">
        <f>Saldos_Intereses_Mensual!T75</f>
        <v/>
      </c>
      <c r="BJ75" s="23">
        <f>ROUND(BH75 + BI75, 2)</f>
        <v/>
      </c>
      <c r="BK75" s="23">
        <f>Saldo_Residual_Activo!T75</f>
        <v/>
      </c>
      <c r="BL75" s="23">
        <f>ROUND(BJ75 + BK75, 2)</f>
        <v/>
      </c>
    </row>
    <row r="76">
      <c r="A76" s="26" t="inlineStr">
        <is>
          <t>0618-0001</t>
        </is>
      </c>
      <c r="B76" s="27" t="inlineStr">
        <is>
          <t>Juan Pablo Rodriguez Garcia</t>
        </is>
      </c>
      <c r="C76" s="27" t="inlineStr">
        <is>
          <t>JT MOJAVE</t>
        </is>
      </c>
      <c r="D76" s="28" t="n">
        <v>48</v>
      </c>
      <c r="E76" s="29">
        <f>Saldos_Capital_Mensual!I76</f>
        <v/>
      </c>
      <c r="F76" s="29">
        <f>Saldos_Intereses_Mensual!I76</f>
        <v/>
      </c>
      <c r="G76" s="29">
        <f>ROUND(E76 + F76, 2)</f>
        <v/>
      </c>
      <c r="H76" s="29">
        <f>Saldo_Residual_Activo!I76</f>
        <v/>
      </c>
      <c r="I76" s="29">
        <f>ROUND(G76 + H76, 2)</f>
        <v/>
      </c>
      <c r="J76" s="29">
        <f>Saldos_Capital_Mensual!J76</f>
        <v/>
      </c>
      <c r="K76" s="29">
        <f>Saldos_Intereses_Mensual!J76</f>
        <v/>
      </c>
      <c r="L76" s="29">
        <f>ROUND(J76 + K76, 2)</f>
        <v/>
      </c>
      <c r="M76" s="29">
        <f>Saldo_Residual_Activo!J76</f>
        <v/>
      </c>
      <c r="N76" s="29">
        <f>ROUND(L76 + M76, 2)</f>
        <v/>
      </c>
      <c r="O76" s="29">
        <f>Saldos_Capital_Mensual!K76</f>
        <v/>
      </c>
      <c r="P76" s="29">
        <f>Saldos_Intereses_Mensual!K76</f>
        <v/>
      </c>
      <c r="Q76" s="29">
        <f>ROUND(O76 + P76, 2)</f>
        <v/>
      </c>
      <c r="R76" s="29">
        <f>Saldo_Residual_Activo!K76</f>
        <v/>
      </c>
      <c r="S76" s="29">
        <f>ROUND(Q76 + R76, 2)</f>
        <v/>
      </c>
      <c r="T76" s="29">
        <f>Saldos_Capital_Mensual!L76</f>
        <v/>
      </c>
      <c r="U76" s="29">
        <f>Saldos_Intereses_Mensual!L76</f>
        <v/>
      </c>
      <c r="V76" s="29">
        <f>ROUND(T76 + U76, 2)</f>
        <v/>
      </c>
      <c r="W76" s="29">
        <f>Saldo_Residual_Activo!L76</f>
        <v/>
      </c>
      <c r="X76" s="29">
        <f>ROUND(V76 + W76, 2)</f>
        <v/>
      </c>
      <c r="Y76" s="29">
        <f>Saldos_Capital_Mensual!M76</f>
        <v/>
      </c>
      <c r="Z76" s="29">
        <f>Saldos_Intereses_Mensual!M76</f>
        <v/>
      </c>
      <c r="AA76" s="29">
        <f>ROUND(Y76 + Z76, 2)</f>
        <v/>
      </c>
      <c r="AB76" s="29">
        <f>Saldo_Residual_Activo!M76</f>
        <v/>
      </c>
      <c r="AC76" s="29">
        <f>ROUND(AA76 + AB76, 2)</f>
        <v/>
      </c>
      <c r="AD76" s="29">
        <f>Saldos_Capital_Mensual!N76</f>
        <v/>
      </c>
      <c r="AE76" s="29">
        <f>Saldos_Intereses_Mensual!N76</f>
        <v/>
      </c>
      <c r="AF76" s="29">
        <f>ROUND(AD76 + AE76, 2)</f>
        <v/>
      </c>
      <c r="AG76" s="29">
        <f>Saldo_Residual_Activo!N76</f>
        <v/>
      </c>
      <c r="AH76" s="29">
        <f>ROUND(AF76 + AG76, 2)</f>
        <v/>
      </c>
      <c r="AI76" s="29">
        <f>Saldos_Capital_Mensual!O76</f>
        <v/>
      </c>
      <c r="AJ76" s="29">
        <f>Saldos_Intereses_Mensual!O76</f>
        <v/>
      </c>
      <c r="AK76" s="29">
        <f>ROUND(AI76 + AJ76, 2)</f>
        <v/>
      </c>
      <c r="AL76" s="29">
        <f>Saldo_Residual_Activo!O76</f>
        <v/>
      </c>
      <c r="AM76" s="29">
        <f>ROUND(AK76 + AL76, 2)</f>
        <v/>
      </c>
      <c r="AN76" s="29">
        <f>Saldos_Capital_Mensual!P76</f>
        <v/>
      </c>
      <c r="AO76" s="29">
        <f>Saldos_Intereses_Mensual!P76</f>
        <v/>
      </c>
      <c r="AP76" s="29">
        <f>ROUND(AN76 + AO76, 2)</f>
        <v/>
      </c>
      <c r="AQ76" s="29">
        <f>Saldo_Residual_Activo!P76</f>
        <v/>
      </c>
      <c r="AR76" s="29">
        <f>ROUND(AP76 + AQ76, 2)</f>
        <v/>
      </c>
      <c r="AS76" s="29">
        <f>Saldos_Capital_Mensual!Q76</f>
        <v/>
      </c>
      <c r="AT76" s="29">
        <f>Saldos_Intereses_Mensual!Q76</f>
        <v/>
      </c>
      <c r="AU76" s="29">
        <f>ROUND(AS76 + AT76, 2)</f>
        <v/>
      </c>
      <c r="AV76" s="29">
        <f>Saldo_Residual_Activo!Q76</f>
        <v/>
      </c>
      <c r="AW76" s="29">
        <f>ROUND(AU76 + AV76, 2)</f>
        <v/>
      </c>
      <c r="AX76" s="29">
        <f>Saldos_Capital_Mensual!R76</f>
        <v/>
      </c>
      <c r="AY76" s="29">
        <f>Saldos_Intereses_Mensual!R76</f>
        <v/>
      </c>
      <c r="AZ76" s="29">
        <f>ROUND(AX76 + AY76, 2)</f>
        <v/>
      </c>
      <c r="BA76" s="29">
        <f>Saldo_Residual_Activo!R76</f>
        <v/>
      </c>
      <c r="BB76" s="29">
        <f>ROUND(AZ76 + BA76, 2)</f>
        <v/>
      </c>
      <c r="BC76" s="29">
        <f>Saldos_Capital_Mensual!S76</f>
        <v/>
      </c>
      <c r="BD76" s="29">
        <f>Saldos_Intereses_Mensual!S76</f>
        <v/>
      </c>
      <c r="BE76" s="29">
        <f>ROUND(BC76 + BD76, 2)</f>
        <v/>
      </c>
      <c r="BF76" s="29">
        <f>Saldo_Residual_Activo!S76</f>
        <v/>
      </c>
      <c r="BG76" s="29">
        <f>ROUND(BE76 + BF76, 2)</f>
        <v/>
      </c>
      <c r="BH76" s="29">
        <f>Saldos_Capital_Mensual!T76</f>
        <v/>
      </c>
      <c r="BI76" s="29">
        <f>Saldos_Intereses_Mensual!T76</f>
        <v/>
      </c>
      <c r="BJ76" s="29">
        <f>ROUND(BH76 + BI76, 2)</f>
        <v/>
      </c>
      <c r="BK76" s="29">
        <f>Saldo_Residual_Activo!T76</f>
        <v/>
      </c>
      <c r="BL76" s="29">
        <f>ROUND(BJ76 + BK76, 2)</f>
        <v/>
      </c>
    </row>
    <row r="77">
      <c r="A77" s="20" t="inlineStr">
        <is>
          <t>0619-0002</t>
        </is>
      </c>
      <c r="B77" s="21" t="inlineStr">
        <is>
          <t>Horacio de la Vega Flores</t>
        </is>
      </c>
      <c r="C77" s="21" t="inlineStr">
        <is>
          <t>Bronco Sport</t>
        </is>
      </c>
      <c r="D77" s="22" t="n">
        <v>36</v>
      </c>
      <c r="E77" s="23">
        <f>Saldos_Capital_Mensual!I77</f>
        <v/>
      </c>
      <c r="F77" s="23">
        <f>Saldos_Intereses_Mensual!I77</f>
        <v/>
      </c>
      <c r="G77" s="23">
        <f>ROUND(E77 + F77, 2)</f>
        <v/>
      </c>
      <c r="H77" s="23">
        <f>Saldo_Residual_Activo!I77</f>
        <v/>
      </c>
      <c r="I77" s="23">
        <f>ROUND(G77 + H77, 2)</f>
        <v/>
      </c>
      <c r="J77" s="23">
        <f>Saldos_Capital_Mensual!J77</f>
        <v/>
      </c>
      <c r="K77" s="23">
        <f>Saldos_Intereses_Mensual!J77</f>
        <v/>
      </c>
      <c r="L77" s="23">
        <f>ROUND(J77 + K77, 2)</f>
        <v/>
      </c>
      <c r="M77" s="23">
        <f>Saldo_Residual_Activo!J77</f>
        <v/>
      </c>
      <c r="N77" s="23">
        <f>ROUND(L77 + M77, 2)</f>
        <v/>
      </c>
      <c r="O77" s="23">
        <f>Saldos_Capital_Mensual!K77</f>
        <v/>
      </c>
      <c r="P77" s="23">
        <f>Saldos_Intereses_Mensual!K77</f>
        <v/>
      </c>
      <c r="Q77" s="23">
        <f>ROUND(O77 + P77, 2)</f>
        <v/>
      </c>
      <c r="R77" s="23">
        <f>Saldo_Residual_Activo!K77</f>
        <v/>
      </c>
      <c r="S77" s="23">
        <f>ROUND(Q77 + R77, 2)</f>
        <v/>
      </c>
      <c r="T77" s="23">
        <f>Saldos_Capital_Mensual!L77</f>
        <v/>
      </c>
      <c r="U77" s="23">
        <f>Saldos_Intereses_Mensual!L77</f>
        <v/>
      </c>
      <c r="V77" s="23">
        <f>ROUND(T77 + U77, 2)</f>
        <v/>
      </c>
      <c r="W77" s="23">
        <f>Saldo_Residual_Activo!L77</f>
        <v/>
      </c>
      <c r="X77" s="23">
        <f>ROUND(V77 + W77, 2)</f>
        <v/>
      </c>
      <c r="Y77" s="23">
        <f>Saldos_Capital_Mensual!M77</f>
        <v/>
      </c>
      <c r="Z77" s="23">
        <f>Saldos_Intereses_Mensual!M77</f>
        <v/>
      </c>
      <c r="AA77" s="23">
        <f>ROUND(Y77 + Z77, 2)</f>
        <v/>
      </c>
      <c r="AB77" s="23">
        <f>Saldo_Residual_Activo!M77</f>
        <v/>
      </c>
      <c r="AC77" s="23">
        <f>ROUND(AA77 + AB77, 2)</f>
        <v/>
      </c>
      <c r="AD77" s="23">
        <f>Saldos_Capital_Mensual!N77</f>
        <v/>
      </c>
      <c r="AE77" s="23">
        <f>Saldos_Intereses_Mensual!N77</f>
        <v/>
      </c>
      <c r="AF77" s="23">
        <f>ROUND(AD77 + AE77, 2)</f>
        <v/>
      </c>
      <c r="AG77" s="23">
        <f>Saldo_Residual_Activo!N77</f>
        <v/>
      </c>
      <c r="AH77" s="23">
        <f>ROUND(AF77 + AG77, 2)</f>
        <v/>
      </c>
      <c r="AI77" s="23">
        <f>Saldos_Capital_Mensual!O77</f>
        <v/>
      </c>
      <c r="AJ77" s="23">
        <f>Saldos_Intereses_Mensual!O77</f>
        <v/>
      </c>
      <c r="AK77" s="23">
        <f>ROUND(AI77 + AJ77, 2)</f>
        <v/>
      </c>
      <c r="AL77" s="23">
        <f>Saldo_Residual_Activo!O77</f>
        <v/>
      </c>
      <c r="AM77" s="23">
        <f>ROUND(AK77 + AL77, 2)</f>
        <v/>
      </c>
      <c r="AN77" s="23">
        <f>Saldos_Capital_Mensual!P77</f>
        <v/>
      </c>
      <c r="AO77" s="23">
        <f>Saldos_Intereses_Mensual!P77</f>
        <v/>
      </c>
      <c r="AP77" s="23">
        <f>ROUND(AN77 + AO77, 2)</f>
        <v/>
      </c>
      <c r="AQ77" s="23">
        <f>Saldo_Residual_Activo!P77</f>
        <v/>
      </c>
      <c r="AR77" s="23">
        <f>ROUND(AP77 + AQ77, 2)</f>
        <v/>
      </c>
      <c r="AS77" s="23">
        <f>Saldos_Capital_Mensual!Q77</f>
        <v/>
      </c>
      <c r="AT77" s="23">
        <f>Saldos_Intereses_Mensual!Q77</f>
        <v/>
      </c>
      <c r="AU77" s="23">
        <f>ROUND(AS77 + AT77, 2)</f>
        <v/>
      </c>
      <c r="AV77" s="23">
        <f>Saldo_Residual_Activo!Q77</f>
        <v/>
      </c>
      <c r="AW77" s="23">
        <f>ROUND(AU77 + AV77, 2)</f>
        <v/>
      </c>
      <c r="AX77" s="23">
        <f>Saldos_Capital_Mensual!R77</f>
        <v/>
      </c>
      <c r="AY77" s="23">
        <f>Saldos_Intereses_Mensual!R77</f>
        <v/>
      </c>
      <c r="AZ77" s="23">
        <f>ROUND(AX77 + AY77, 2)</f>
        <v/>
      </c>
      <c r="BA77" s="23">
        <f>Saldo_Residual_Activo!R77</f>
        <v/>
      </c>
      <c r="BB77" s="23">
        <f>ROUND(AZ77 + BA77, 2)</f>
        <v/>
      </c>
      <c r="BC77" s="23">
        <f>Saldos_Capital_Mensual!S77</f>
        <v/>
      </c>
      <c r="BD77" s="23">
        <f>Saldos_Intereses_Mensual!S77</f>
        <v/>
      </c>
      <c r="BE77" s="23">
        <f>ROUND(BC77 + BD77, 2)</f>
        <v/>
      </c>
      <c r="BF77" s="23">
        <f>Saldo_Residual_Activo!S77</f>
        <v/>
      </c>
      <c r="BG77" s="23">
        <f>ROUND(BE77 + BF77, 2)</f>
        <v/>
      </c>
      <c r="BH77" s="23">
        <f>Saldos_Capital_Mensual!T77</f>
        <v/>
      </c>
      <c r="BI77" s="23">
        <f>Saldos_Intereses_Mensual!T77</f>
        <v/>
      </c>
      <c r="BJ77" s="23">
        <f>ROUND(BH77 + BI77, 2)</f>
        <v/>
      </c>
      <c r="BK77" s="23">
        <f>Saldo_Residual_Activo!T77</f>
        <v/>
      </c>
      <c r="BL77" s="23">
        <f>ROUND(BJ77 + BK77, 2)</f>
        <v/>
      </c>
    </row>
    <row r="78">
      <c r="A78" s="26" t="inlineStr">
        <is>
          <t>0620-0001</t>
        </is>
      </c>
      <c r="B78" s="27" t="inlineStr">
        <is>
          <t>Desarrollos Romo Srl de Cv</t>
        </is>
      </c>
      <c r="C78" s="27" t="inlineStr">
        <is>
          <t>RAM 700 BIG HORN</t>
        </is>
      </c>
      <c r="D78" s="28" t="n">
        <v>48</v>
      </c>
      <c r="E78" s="29">
        <f>Saldos_Capital_Mensual!I78</f>
        <v/>
      </c>
      <c r="F78" s="29">
        <f>Saldos_Intereses_Mensual!I78</f>
        <v/>
      </c>
      <c r="G78" s="29">
        <f>ROUND(E78 + F78, 2)</f>
        <v/>
      </c>
      <c r="H78" s="29">
        <f>Saldo_Residual_Activo!I78</f>
        <v/>
      </c>
      <c r="I78" s="29">
        <f>ROUND(G78 + H78, 2)</f>
        <v/>
      </c>
      <c r="J78" s="29">
        <f>Saldos_Capital_Mensual!J78</f>
        <v/>
      </c>
      <c r="K78" s="29">
        <f>Saldos_Intereses_Mensual!J78</f>
        <v/>
      </c>
      <c r="L78" s="29">
        <f>ROUND(J78 + K78, 2)</f>
        <v/>
      </c>
      <c r="M78" s="29">
        <f>Saldo_Residual_Activo!J78</f>
        <v/>
      </c>
      <c r="N78" s="29">
        <f>ROUND(L78 + M78, 2)</f>
        <v/>
      </c>
      <c r="O78" s="29">
        <f>Saldos_Capital_Mensual!K78</f>
        <v/>
      </c>
      <c r="P78" s="29">
        <f>Saldos_Intereses_Mensual!K78</f>
        <v/>
      </c>
      <c r="Q78" s="29">
        <f>ROUND(O78 + P78, 2)</f>
        <v/>
      </c>
      <c r="R78" s="29">
        <f>Saldo_Residual_Activo!K78</f>
        <v/>
      </c>
      <c r="S78" s="29">
        <f>ROUND(Q78 + R78, 2)</f>
        <v/>
      </c>
      <c r="T78" s="29">
        <f>Saldos_Capital_Mensual!L78</f>
        <v/>
      </c>
      <c r="U78" s="29">
        <f>Saldos_Intereses_Mensual!L78</f>
        <v/>
      </c>
      <c r="V78" s="29">
        <f>ROUND(T78 + U78, 2)</f>
        <v/>
      </c>
      <c r="W78" s="29">
        <f>Saldo_Residual_Activo!L78</f>
        <v/>
      </c>
      <c r="X78" s="29">
        <f>ROUND(V78 + W78, 2)</f>
        <v/>
      </c>
      <c r="Y78" s="29">
        <f>Saldos_Capital_Mensual!M78</f>
        <v/>
      </c>
      <c r="Z78" s="29">
        <f>Saldos_Intereses_Mensual!M78</f>
        <v/>
      </c>
      <c r="AA78" s="29">
        <f>ROUND(Y78 + Z78, 2)</f>
        <v/>
      </c>
      <c r="AB78" s="29">
        <f>Saldo_Residual_Activo!M78</f>
        <v/>
      </c>
      <c r="AC78" s="29">
        <f>ROUND(AA78 + AB78, 2)</f>
        <v/>
      </c>
      <c r="AD78" s="29">
        <f>Saldos_Capital_Mensual!N78</f>
        <v/>
      </c>
      <c r="AE78" s="29">
        <f>Saldos_Intereses_Mensual!N78</f>
        <v/>
      </c>
      <c r="AF78" s="29">
        <f>ROUND(AD78 + AE78, 2)</f>
        <v/>
      </c>
      <c r="AG78" s="29">
        <f>Saldo_Residual_Activo!N78</f>
        <v/>
      </c>
      <c r="AH78" s="29">
        <f>ROUND(AF78 + AG78, 2)</f>
        <v/>
      </c>
      <c r="AI78" s="29">
        <f>Saldos_Capital_Mensual!O78</f>
        <v/>
      </c>
      <c r="AJ78" s="29">
        <f>Saldos_Intereses_Mensual!O78</f>
        <v/>
      </c>
      <c r="AK78" s="29">
        <f>ROUND(AI78 + AJ78, 2)</f>
        <v/>
      </c>
      <c r="AL78" s="29">
        <f>Saldo_Residual_Activo!O78</f>
        <v/>
      </c>
      <c r="AM78" s="29">
        <f>ROUND(AK78 + AL78, 2)</f>
        <v/>
      </c>
      <c r="AN78" s="29">
        <f>Saldos_Capital_Mensual!P78</f>
        <v/>
      </c>
      <c r="AO78" s="29">
        <f>Saldos_Intereses_Mensual!P78</f>
        <v/>
      </c>
      <c r="AP78" s="29">
        <f>ROUND(AN78 + AO78, 2)</f>
        <v/>
      </c>
      <c r="AQ78" s="29">
        <f>Saldo_Residual_Activo!P78</f>
        <v/>
      </c>
      <c r="AR78" s="29">
        <f>ROUND(AP78 + AQ78, 2)</f>
        <v/>
      </c>
      <c r="AS78" s="29">
        <f>Saldos_Capital_Mensual!Q78</f>
        <v/>
      </c>
      <c r="AT78" s="29">
        <f>Saldos_Intereses_Mensual!Q78</f>
        <v/>
      </c>
      <c r="AU78" s="29">
        <f>ROUND(AS78 + AT78, 2)</f>
        <v/>
      </c>
      <c r="AV78" s="29">
        <f>Saldo_Residual_Activo!Q78</f>
        <v/>
      </c>
      <c r="AW78" s="29">
        <f>ROUND(AU78 + AV78, 2)</f>
        <v/>
      </c>
      <c r="AX78" s="29">
        <f>Saldos_Capital_Mensual!R78</f>
        <v/>
      </c>
      <c r="AY78" s="29">
        <f>Saldos_Intereses_Mensual!R78</f>
        <v/>
      </c>
      <c r="AZ78" s="29">
        <f>ROUND(AX78 + AY78, 2)</f>
        <v/>
      </c>
      <c r="BA78" s="29">
        <f>Saldo_Residual_Activo!R78</f>
        <v/>
      </c>
      <c r="BB78" s="29">
        <f>ROUND(AZ78 + BA78, 2)</f>
        <v/>
      </c>
      <c r="BC78" s="29">
        <f>Saldos_Capital_Mensual!S78</f>
        <v/>
      </c>
      <c r="BD78" s="29">
        <f>Saldos_Intereses_Mensual!S78</f>
        <v/>
      </c>
      <c r="BE78" s="29">
        <f>ROUND(BC78 + BD78, 2)</f>
        <v/>
      </c>
      <c r="BF78" s="29">
        <f>Saldo_Residual_Activo!S78</f>
        <v/>
      </c>
      <c r="BG78" s="29">
        <f>ROUND(BE78 + BF78, 2)</f>
        <v/>
      </c>
      <c r="BH78" s="29">
        <f>Saldos_Capital_Mensual!T78</f>
        <v/>
      </c>
      <c r="BI78" s="29">
        <f>Saldos_Intereses_Mensual!T78</f>
        <v/>
      </c>
      <c r="BJ78" s="29">
        <f>ROUND(BH78 + BI78, 2)</f>
        <v/>
      </c>
      <c r="BK78" s="29">
        <f>Saldo_Residual_Activo!T78</f>
        <v/>
      </c>
      <c r="BL78" s="29">
        <f>ROUND(BJ78 + BK78, 2)</f>
        <v/>
      </c>
    </row>
    <row r="79">
      <c r="A79" s="20" t="inlineStr">
        <is>
          <t>0620-0002</t>
        </is>
      </c>
      <c r="B79" s="21" t="inlineStr">
        <is>
          <t>Desarrollos Romo Srl de Cv</t>
        </is>
      </c>
      <c r="C79" s="21" t="inlineStr">
        <is>
          <t>RAM 700 BIG HORN</t>
        </is>
      </c>
      <c r="D79" s="22" t="n">
        <v>48</v>
      </c>
      <c r="E79" s="23">
        <f>Saldos_Capital_Mensual!I79</f>
        <v/>
      </c>
      <c r="F79" s="23">
        <f>Saldos_Intereses_Mensual!I79</f>
        <v/>
      </c>
      <c r="G79" s="23">
        <f>ROUND(E79 + F79, 2)</f>
        <v/>
      </c>
      <c r="H79" s="23">
        <f>Saldo_Residual_Activo!I79</f>
        <v/>
      </c>
      <c r="I79" s="23">
        <f>ROUND(G79 + H79, 2)</f>
        <v/>
      </c>
      <c r="J79" s="23">
        <f>Saldos_Capital_Mensual!J79</f>
        <v/>
      </c>
      <c r="K79" s="23">
        <f>Saldos_Intereses_Mensual!J79</f>
        <v/>
      </c>
      <c r="L79" s="23">
        <f>ROUND(J79 + K79, 2)</f>
        <v/>
      </c>
      <c r="M79" s="23">
        <f>Saldo_Residual_Activo!J79</f>
        <v/>
      </c>
      <c r="N79" s="23">
        <f>ROUND(L79 + M79, 2)</f>
        <v/>
      </c>
      <c r="O79" s="23">
        <f>Saldos_Capital_Mensual!K79</f>
        <v/>
      </c>
      <c r="P79" s="23">
        <f>Saldos_Intereses_Mensual!K79</f>
        <v/>
      </c>
      <c r="Q79" s="23">
        <f>ROUND(O79 + P79, 2)</f>
        <v/>
      </c>
      <c r="R79" s="23">
        <f>Saldo_Residual_Activo!K79</f>
        <v/>
      </c>
      <c r="S79" s="23">
        <f>ROUND(Q79 + R79, 2)</f>
        <v/>
      </c>
      <c r="T79" s="23">
        <f>Saldos_Capital_Mensual!L79</f>
        <v/>
      </c>
      <c r="U79" s="23">
        <f>Saldos_Intereses_Mensual!L79</f>
        <v/>
      </c>
      <c r="V79" s="23">
        <f>ROUND(T79 + U79, 2)</f>
        <v/>
      </c>
      <c r="W79" s="23">
        <f>Saldo_Residual_Activo!L79</f>
        <v/>
      </c>
      <c r="X79" s="23">
        <f>ROUND(V79 + W79, 2)</f>
        <v/>
      </c>
      <c r="Y79" s="23">
        <f>Saldos_Capital_Mensual!M79</f>
        <v/>
      </c>
      <c r="Z79" s="23">
        <f>Saldos_Intereses_Mensual!M79</f>
        <v/>
      </c>
      <c r="AA79" s="23">
        <f>ROUND(Y79 + Z79, 2)</f>
        <v/>
      </c>
      <c r="AB79" s="23">
        <f>Saldo_Residual_Activo!M79</f>
        <v/>
      </c>
      <c r="AC79" s="23">
        <f>ROUND(AA79 + AB79, 2)</f>
        <v/>
      </c>
      <c r="AD79" s="23">
        <f>Saldos_Capital_Mensual!N79</f>
        <v/>
      </c>
      <c r="AE79" s="23">
        <f>Saldos_Intereses_Mensual!N79</f>
        <v/>
      </c>
      <c r="AF79" s="23">
        <f>ROUND(AD79 + AE79, 2)</f>
        <v/>
      </c>
      <c r="AG79" s="23">
        <f>Saldo_Residual_Activo!N79</f>
        <v/>
      </c>
      <c r="AH79" s="23">
        <f>ROUND(AF79 + AG79, 2)</f>
        <v/>
      </c>
      <c r="AI79" s="23">
        <f>Saldos_Capital_Mensual!O79</f>
        <v/>
      </c>
      <c r="AJ79" s="23">
        <f>Saldos_Intereses_Mensual!O79</f>
        <v/>
      </c>
      <c r="AK79" s="23">
        <f>ROUND(AI79 + AJ79, 2)</f>
        <v/>
      </c>
      <c r="AL79" s="23">
        <f>Saldo_Residual_Activo!O79</f>
        <v/>
      </c>
      <c r="AM79" s="23">
        <f>ROUND(AK79 + AL79, 2)</f>
        <v/>
      </c>
      <c r="AN79" s="23">
        <f>Saldos_Capital_Mensual!P79</f>
        <v/>
      </c>
      <c r="AO79" s="23">
        <f>Saldos_Intereses_Mensual!P79</f>
        <v/>
      </c>
      <c r="AP79" s="23">
        <f>ROUND(AN79 + AO79, 2)</f>
        <v/>
      </c>
      <c r="AQ79" s="23">
        <f>Saldo_Residual_Activo!P79</f>
        <v/>
      </c>
      <c r="AR79" s="23">
        <f>ROUND(AP79 + AQ79, 2)</f>
        <v/>
      </c>
      <c r="AS79" s="23">
        <f>Saldos_Capital_Mensual!Q79</f>
        <v/>
      </c>
      <c r="AT79" s="23">
        <f>Saldos_Intereses_Mensual!Q79</f>
        <v/>
      </c>
      <c r="AU79" s="23">
        <f>ROUND(AS79 + AT79, 2)</f>
        <v/>
      </c>
      <c r="AV79" s="23">
        <f>Saldo_Residual_Activo!Q79</f>
        <v/>
      </c>
      <c r="AW79" s="23">
        <f>ROUND(AU79 + AV79, 2)</f>
        <v/>
      </c>
      <c r="AX79" s="23">
        <f>Saldos_Capital_Mensual!R79</f>
        <v/>
      </c>
      <c r="AY79" s="23">
        <f>Saldos_Intereses_Mensual!R79</f>
        <v/>
      </c>
      <c r="AZ79" s="23">
        <f>ROUND(AX79 + AY79, 2)</f>
        <v/>
      </c>
      <c r="BA79" s="23">
        <f>Saldo_Residual_Activo!R79</f>
        <v/>
      </c>
      <c r="BB79" s="23">
        <f>ROUND(AZ79 + BA79, 2)</f>
        <v/>
      </c>
      <c r="BC79" s="23">
        <f>Saldos_Capital_Mensual!S79</f>
        <v/>
      </c>
      <c r="BD79" s="23">
        <f>Saldos_Intereses_Mensual!S79</f>
        <v/>
      </c>
      <c r="BE79" s="23">
        <f>ROUND(BC79 + BD79, 2)</f>
        <v/>
      </c>
      <c r="BF79" s="23">
        <f>Saldo_Residual_Activo!S79</f>
        <v/>
      </c>
      <c r="BG79" s="23">
        <f>ROUND(BE79 + BF79, 2)</f>
        <v/>
      </c>
      <c r="BH79" s="23">
        <f>Saldos_Capital_Mensual!T79</f>
        <v/>
      </c>
      <c r="BI79" s="23">
        <f>Saldos_Intereses_Mensual!T79</f>
        <v/>
      </c>
      <c r="BJ79" s="23">
        <f>ROUND(BH79 + BI79, 2)</f>
        <v/>
      </c>
      <c r="BK79" s="23">
        <f>Saldo_Residual_Activo!T79</f>
        <v/>
      </c>
      <c r="BL79" s="23">
        <f>ROUND(BJ79 + BK79, 2)</f>
        <v/>
      </c>
    </row>
    <row r="80">
      <c r="A80" s="26" t="inlineStr">
        <is>
          <t>0621-0008</t>
        </is>
      </c>
      <c r="B80" s="27" t="inlineStr">
        <is>
          <t>Luis Alberto Ponce Ruiz</t>
        </is>
      </c>
      <c r="C80" s="27" t="inlineStr">
        <is>
          <t>Hilux</t>
        </is>
      </c>
      <c r="D80" s="28" t="n">
        <v>12</v>
      </c>
      <c r="E80" s="29">
        <f>Saldos_Capital_Mensual!I80</f>
        <v/>
      </c>
      <c r="F80" s="29">
        <f>Saldos_Intereses_Mensual!I80</f>
        <v/>
      </c>
      <c r="G80" s="29">
        <f>ROUND(E80 + F80, 2)</f>
        <v/>
      </c>
      <c r="H80" s="29">
        <f>Saldo_Residual_Activo!I80</f>
        <v/>
      </c>
      <c r="I80" s="29">
        <f>ROUND(G80 + H80, 2)</f>
        <v/>
      </c>
      <c r="J80" s="29">
        <f>Saldos_Capital_Mensual!J80</f>
        <v/>
      </c>
      <c r="K80" s="29">
        <f>Saldos_Intereses_Mensual!J80</f>
        <v/>
      </c>
      <c r="L80" s="29">
        <f>ROUND(J80 + K80, 2)</f>
        <v/>
      </c>
      <c r="M80" s="29">
        <f>Saldo_Residual_Activo!J80</f>
        <v/>
      </c>
      <c r="N80" s="29">
        <f>ROUND(L80 + M80, 2)</f>
        <v/>
      </c>
      <c r="O80" s="29">
        <f>Saldos_Capital_Mensual!K80</f>
        <v/>
      </c>
      <c r="P80" s="29">
        <f>Saldos_Intereses_Mensual!K80</f>
        <v/>
      </c>
      <c r="Q80" s="29">
        <f>ROUND(O80 + P80, 2)</f>
        <v/>
      </c>
      <c r="R80" s="29">
        <f>Saldo_Residual_Activo!K80</f>
        <v/>
      </c>
      <c r="S80" s="29">
        <f>ROUND(Q80 + R80, 2)</f>
        <v/>
      </c>
      <c r="T80" s="29">
        <f>Saldos_Capital_Mensual!L80</f>
        <v/>
      </c>
      <c r="U80" s="29">
        <f>Saldos_Intereses_Mensual!L80</f>
        <v/>
      </c>
      <c r="V80" s="29">
        <f>ROUND(T80 + U80, 2)</f>
        <v/>
      </c>
      <c r="W80" s="29">
        <f>Saldo_Residual_Activo!L80</f>
        <v/>
      </c>
      <c r="X80" s="29">
        <f>ROUND(V80 + W80, 2)</f>
        <v/>
      </c>
      <c r="Y80" s="29">
        <f>Saldos_Capital_Mensual!M80</f>
        <v/>
      </c>
      <c r="Z80" s="29">
        <f>Saldos_Intereses_Mensual!M80</f>
        <v/>
      </c>
      <c r="AA80" s="29">
        <f>ROUND(Y80 + Z80, 2)</f>
        <v/>
      </c>
      <c r="AB80" s="29">
        <f>Saldo_Residual_Activo!M80</f>
        <v/>
      </c>
      <c r="AC80" s="29">
        <f>ROUND(AA80 + AB80, 2)</f>
        <v/>
      </c>
      <c r="AD80" s="29">
        <f>Saldos_Capital_Mensual!N80</f>
        <v/>
      </c>
      <c r="AE80" s="29">
        <f>Saldos_Intereses_Mensual!N80</f>
        <v/>
      </c>
      <c r="AF80" s="29">
        <f>ROUND(AD80 + AE80, 2)</f>
        <v/>
      </c>
      <c r="AG80" s="29">
        <f>Saldo_Residual_Activo!N80</f>
        <v/>
      </c>
      <c r="AH80" s="29">
        <f>ROUND(AF80 + AG80, 2)</f>
        <v/>
      </c>
      <c r="AI80" s="29">
        <f>Saldos_Capital_Mensual!O80</f>
        <v/>
      </c>
      <c r="AJ80" s="29">
        <f>Saldos_Intereses_Mensual!O80</f>
        <v/>
      </c>
      <c r="AK80" s="29">
        <f>ROUND(AI80 + AJ80, 2)</f>
        <v/>
      </c>
      <c r="AL80" s="29">
        <f>Saldo_Residual_Activo!O80</f>
        <v/>
      </c>
      <c r="AM80" s="29">
        <f>ROUND(AK80 + AL80, 2)</f>
        <v/>
      </c>
      <c r="AN80" s="29">
        <f>Saldos_Capital_Mensual!P80</f>
        <v/>
      </c>
      <c r="AO80" s="29">
        <f>Saldos_Intereses_Mensual!P80</f>
        <v/>
      </c>
      <c r="AP80" s="29">
        <f>ROUND(AN80 + AO80, 2)</f>
        <v/>
      </c>
      <c r="AQ80" s="29">
        <f>Saldo_Residual_Activo!P80</f>
        <v/>
      </c>
      <c r="AR80" s="29">
        <f>ROUND(AP80 + AQ80, 2)</f>
        <v/>
      </c>
      <c r="AS80" s="29">
        <f>Saldos_Capital_Mensual!Q80</f>
        <v/>
      </c>
      <c r="AT80" s="29">
        <f>Saldos_Intereses_Mensual!Q80</f>
        <v/>
      </c>
      <c r="AU80" s="29">
        <f>ROUND(AS80 + AT80, 2)</f>
        <v/>
      </c>
      <c r="AV80" s="29">
        <f>Saldo_Residual_Activo!Q80</f>
        <v/>
      </c>
      <c r="AW80" s="29">
        <f>ROUND(AU80 + AV80, 2)</f>
        <v/>
      </c>
      <c r="AX80" s="29">
        <f>Saldos_Capital_Mensual!R80</f>
        <v/>
      </c>
      <c r="AY80" s="29">
        <f>Saldos_Intereses_Mensual!R80</f>
        <v/>
      </c>
      <c r="AZ80" s="29">
        <f>ROUND(AX80 + AY80, 2)</f>
        <v/>
      </c>
      <c r="BA80" s="29">
        <f>Saldo_Residual_Activo!R80</f>
        <v/>
      </c>
      <c r="BB80" s="29">
        <f>ROUND(AZ80 + BA80, 2)</f>
        <v/>
      </c>
      <c r="BC80" s="29">
        <f>Saldos_Capital_Mensual!S80</f>
        <v/>
      </c>
      <c r="BD80" s="29">
        <f>Saldos_Intereses_Mensual!S80</f>
        <v/>
      </c>
      <c r="BE80" s="29">
        <f>ROUND(BC80 + BD80, 2)</f>
        <v/>
      </c>
      <c r="BF80" s="29">
        <f>Saldo_Residual_Activo!S80</f>
        <v/>
      </c>
      <c r="BG80" s="29">
        <f>ROUND(BE80 + BF80, 2)</f>
        <v/>
      </c>
      <c r="BH80" s="29">
        <f>Saldos_Capital_Mensual!T80</f>
        <v/>
      </c>
      <c r="BI80" s="29">
        <f>Saldos_Intereses_Mensual!T80</f>
        <v/>
      </c>
      <c r="BJ80" s="29">
        <f>ROUND(BH80 + BI80, 2)</f>
        <v/>
      </c>
      <c r="BK80" s="29">
        <f>Saldo_Residual_Activo!T80</f>
        <v/>
      </c>
      <c r="BL80" s="29">
        <f>ROUND(BJ80 + BK80, 2)</f>
        <v/>
      </c>
    </row>
    <row r="81">
      <c r="A81" s="20" t="inlineStr">
        <is>
          <t>0623-0001</t>
        </is>
      </c>
      <c r="B81" s="21" t="inlineStr">
        <is>
          <t>Seguridad y Automatismos Profesionales de Occidente S de SRL de Cv</t>
        </is>
      </c>
      <c r="C81" s="21" t="inlineStr">
        <is>
          <t>RAM 700 BIG HORN</t>
        </is>
      </c>
      <c r="D81" s="22" t="n">
        <v>48</v>
      </c>
      <c r="E81" s="23">
        <f>Saldos_Capital_Mensual!I81</f>
        <v/>
      </c>
      <c r="F81" s="23">
        <f>Saldos_Intereses_Mensual!I81</f>
        <v/>
      </c>
      <c r="G81" s="23">
        <f>ROUND(E81 + F81, 2)</f>
        <v/>
      </c>
      <c r="H81" s="23">
        <f>Saldo_Residual_Activo!I81</f>
        <v/>
      </c>
      <c r="I81" s="23">
        <f>ROUND(G81 + H81, 2)</f>
        <v/>
      </c>
      <c r="J81" s="23">
        <f>Saldos_Capital_Mensual!J81</f>
        <v/>
      </c>
      <c r="K81" s="23">
        <f>Saldos_Intereses_Mensual!J81</f>
        <v/>
      </c>
      <c r="L81" s="23">
        <f>ROUND(J81 + K81, 2)</f>
        <v/>
      </c>
      <c r="M81" s="23">
        <f>Saldo_Residual_Activo!J81</f>
        <v/>
      </c>
      <c r="N81" s="23">
        <f>ROUND(L81 + M81, 2)</f>
        <v/>
      </c>
      <c r="O81" s="23">
        <f>Saldos_Capital_Mensual!K81</f>
        <v/>
      </c>
      <c r="P81" s="23">
        <f>Saldos_Intereses_Mensual!K81</f>
        <v/>
      </c>
      <c r="Q81" s="23">
        <f>ROUND(O81 + P81, 2)</f>
        <v/>
      </c>
      <c r="R81" s="23">
        <f>Saldo_Residual_Activo!K81</f>
        <v/>
      </c>
      <c r="S81" s="23">
        <f>ROUND(Q81 + R81, 2)</f>
        <v/>
      </c>
      <c r="T81" s="23">
        <f>Saldos_Capital_Mensual!L81</f>
        <v/>
      </c>
      <c r="U81" s="23">
        <f>Saldos_Intereses_Mensual!L81</f>
        <v/>
      </c>
      <c r="V81" s="23">
        <f>ROUND(T81 + U81, 2)</f>
        <v/>
      </c>
      <c r="W81" s="23">
        <f>Saldo_Residual_Activo!L81</f>
        <v/>
      </c>
      <c r="X81" s="23">
        <f>ROUND(V81 + W81, 2)</f>
        <v/>
      </c>
      <c r="Y81" s="23">
        <f>Saldos_Capital_Mensual!M81</f>
        <v/>
      </c>
      <c r="Z81" s="23">
        <f>Saldos_Intereses_Mensual!M81</f>
        <v/>
      </c>
      <c r="AA81" s="23">
        <f>ROUND(Y81 + Z81, 2)</f>
        <v/>
      </c>
      <c r="AB81" s="23">
        <f>Saldo_Residual_Activo!M81</f>
        <v/>
      </c>
      <c r="AC81" s="23">
        <f>ROUND(AA81 + AB81, 2)</f>
        <v/>
      </c>
      <c r="AD81" s="23">
        <f>Saldos_Capital_Mensual!N81</f>
        <v/>
      </c>
      <c r="AE81" s="23">
        <f>Saldos_Intereses_Mensual!N81</f>
        <v/>
      </c>
      <c r="AF81" s="23">
        <f>ROUND(AD81 + AE81, 2)</f>
        <v/>
      </c>
      <c r="AG81" s="23">
        <f>Saldo_Residual_Activo!N81</f>
        <v/>
      </c>
      <c r="AH81" s="23">
        <f>ROUND(AF81 + AG81, 2)</f>
        <v/>
      </c>
      <c r="AI81" s="23">
        <f>Saldos_Capital_Mensual!O81</f>
        <v/>
      </c>
      <c r="AJ81" s="23">
        <f>Saldos_Intereses_Mensual!O81</f>
        <v/>
      </c>
      <c r="AK81" s="23">
        <f>ROUND(AI81 + AJ81, 2)</f>
        <v/>
      </c>
      <c r="AL81" s="23">
        <f>Saldo_Residual_Activo!O81</f>
        <v/>
      </c>
      <c r="AM81" s="23">
        <f>ROUND(AK81 + AL81, 2)</f>
        <v/>
      </c>
      <c r="AN81" s="23">
        <f>Saldos_Capital_Mensual!P81</f>
        <v/>
      </c>
      <c r="AO81" s="23">
        <f>Saldos_Intereses_Mensual!P81</f>
        <v/>
      </c>
      <c r="AP81" s="23">
        <f>ROUND(AN81 + AO81, 2)</f>
        <v/>
      </c>
      <c r="AQ81" s="23">
        <f>Saldo_Residual_Activo!P81</f>
        <v/>
      </c>
      <c r="AR81" s="23">
        <f>ROUND(AP81 + AQ81, 2)</f>
        <v/>
      </c>
      <c r="AS81" s="23">
        <f>Saldos_Capital_Mensual!Q81</f>
        <v/>
      </c>
      <c r="AT81" s="23">
        <f>Saldos_Intereses_Mensual!Q81</f>
        <v/>
      </c>
      <c r="AU81" s="23">
        <f>ROUND(AS81 + AT81, 2)</f>
        <v/>
      </c>
      <c r="AV81" s="23">
        <f>Saldo_Residual_Activo!Q81</f>
        <v/>
      </c>
      <c r="AW81" s="23">
        <f>ROUND(AU81 + AV81, 2)</f>
        <v/>
      </c>
      <c r="AX81" s="23">
        <f>Saldos_Capital_Mensual!R81</f>
        <v/>
      </c>
      <c r="AY81" s="23">
        <f>Saldos_Intereses_Mensual!R81</f>
        <v/>
      </c>
      <c r="AZ81" s="23">
        <f>ROUND(AX81 + AY81, 2)</f>
        <v/>
      </c>
      <c r="BA81" s="23">
        <f>Saldo_Residual_Activo!R81</f>
        <v/>
      </c>
      <c r="BB81" s="23">
        <f>ROUND(AZ81 + BA81, 2)</f>
        <v/>
      </c>
      <c r="BC81" s="23">
        <f>Saldos_Capital_Mensual!S81</f>
        <v/>
      </c>
      <c r="BD81" s="23">
        <f>Saldos_Intereses_Mensual!S81</f>
        <v/>
      </c>
      <c r="BE81" s="23">
        <f>ROUND(BC81 + BD81, 2)</f>
        <v/>
      </c>
      <c r="BF81" s="23">
        <f>Saldo_Residual_Activo!S81</f>
        <v/>
      </c>
      <c r="BG81" s="23">
        <f>ROUND(BE81 + BF81, 2)</f>
        <v/>
      </c>
      <c r="BH81" s="23">
        <f>Saldos_Capital_Mensual!T81</f>
        <v/>
      </c>
      <c r="BI81" s="23">
        <f>Saldos_Intereses_Mensual!T81</f>
        <v/>
      </c>
      <c r="BJ81" s="23">
        <f>ROUND(BH81 + BI81, 2)</f>
        <v/>
      </c>
      <c r="BK81" s="23">
        <f>Saldo_Residual_Activo!T81</f>
        <v/>
      </c>
      <c r="BL81" s="23">
        <f>ROUND(BJ81 + BK81, 2)</f>
        <v/>
      </c>
    </row>
    <row r="82">
      <c r="A82" s="26" t="inlineStr">
        <is>
          <t>0626-0001</t>
        </is>
      </c>
      <c r="B82" s="27" t="inlineStr">
        <is>
          <t>Hugo Ceja Moreno</t>
        </is>
      </c>
      <c r="C82" s="27" t="inlineStr">
        <is>
          <t>JT MOJAVE</t>
        </is>
      </c>
      <c r="D82" s="28" t="n">
        <v>48</v>
      </c>
      <c r="E82" s="29">
        <f>Saldos_Capital_Mensual!I82</f>
        <v/>
      </c>
      <c r="F82" s="29">
        <f>Saldos_Intereses_Mensual!I82</f>
        <v/>
      </c>
      <c r="G82" s="29">
        <f>ROUND(E82 + F82, 2)</f>
        <v/>
      </c>
      <c r="H82" s="29">
        <f>Saldo_Residual_Activo!I82</f>
        <v/>
      </c>
      <c r="I82" s="29">
        <f>ROUND(G82 + H82, 2)</f>
        <v/>
      </c>
      <c r="J82" s="29">
        <f>Saldos_Capital_Mensual!J82</f>
        <v/>
      </c>
      <c r="K82" s="29">
        <f>Saldos_Intereses_Mensual!J82</f>
        <v/>
      </c>
      <c r="L82" s="29">
        <f>ROUND(J82 + K82, 2)</f>
        <v/>
      </c>
      <c r="M82" s="29">
        <f>Saldo_Residual_Activo!J82</f>
        <v/>
      </c>
      <c r="N82" s="29">
        <f>ROUND(L82 + M82, 2)</f>
        <v/>
      </c>
      <c r="O82" s="29">
        <f>Saldos_Capital_Mensual!K82</f>
        <v/>
      </c>
      <c r="P82" s="29">
        <f>Saldos_Intereses_Mensual!K82</f>
        <v/>
      </c>
      <c r="Q82" s="29">
        <f>ROUND(O82 + P82, 2)</f>
        <v/>
      </c>
      <c r="R82" s="29">
        <f>Saldo_Residual_Activo!K82</f>
        <v/>
      </c>
      <c r="S82" s="29">
        <f>ROUND(Q82 + R82, 2)</f>
        <v/>
      </c>
      <c r="T82" s="29">
        <f>Saldos_Capital_Mensual!L82</f>
        <v/>
      </c>
      <c r="U82" s="29">
        <f>Saldos_Intereses_Mensual!L82</f>
        <v/>
      </c>
      <c r="V82" s="29">
        <f>ROUND(T82 + U82, 2)</f>
        <v/>
      </c>
      <c r="W82" s="29">
        <f>Saldo_Residual_Activo!L82</f>
        <v/>
      </c>
      <c r="X82" s="29">
        <f>ROUND(V82 + W82, 2)</f>
        <v/>
      </c>
      <c r="Y82" s="29">
        <f>Saldos_Capital_Mensual!M82</f>
        <v/>
      </c>
      <c r="Z82" s="29">
        <f>Saldos_Intereses_Mensual!M82</f>
        <v/>
      </c>
      <c r="AA82" s="29">
        <f>ROUND(Y82 + Z82, 2)</f>
        <v/>
      </c>
      <c r="AB82" s="29">
        <f>Saldo_Residual_Activo!M82</f>
        <v/>
      </c>
      <c r="AC82" s="29">
        <f>ROUND(AA82 + AB82, 2)</f>
        <v/>
      </c>
      <c r="AD82" s="29">
        <f>Saldos_Capital_Mensual!N82</f>
        <v/>
      </c>
      <c r="AE82" s="29">
        <f>Saldos_Intereses_Mensual!N82</f>
        <v/>
      </c>
      <c r="AF82" s="29">
        <f>ROUND(AD82 + AE82, 2)</f>
        <v/>
      </c>
      <c r="AG82" s="29">
        <f>Saldo_Residual_Activo!N82</f>
        <v/>
      </c>
      <c r="AH82" s="29">
        <f>ROUND(AF82 + AG82, 2)</f>
        <v/>
      </c>
      <c r="AI82" s="29">
        <f>Saldos_Capital_Mensual!O82</f>
        <v/>
      </c>
      <c r="AJ82" s="29">
        <f>Saldos_Intereses_Mensual!O82</f>
        <v/>
      </c>
      <c r="AK82" s="29">
        <f>ROUND(AI82 + AJ82, 2)</f>
        <v/>
      </c>
      <c r="AL82" s="29">
        <f>Saldo_Residual_Activo!O82</f>
        <v/>
      </c>
      <c r="AM82" s="29">
        <f>ROUND(AK82 + AL82, 2)</f>
        <v/>
      </c>
      <c r="AN82" s="29">
        <f>Saldos_Capital_Mensual!P82</f>
        <v/>
      </c>
      <c r="AO82" s="29">
        <f>Saldos_Intereses_Mensual!P82</f>
        <v/>
      </c>
      <c r="AP82" s="29">
        <f>ROUND(AN82 + AO82, 2)</f>
        <v/>
      </c>
      <c r="AQ82" s="29">
        <f>Saldo_Residual_Activo!P82</f>
        <v/>
      </c>
      <c r="AR82" s="29">
        <f>ROUND(AP82 + AQ82, 2)</f>
        <v/>
      </c>
      <c r="AS82" s="29">
        <f>Saldos_Capital_Mensual!Q82</f>
        <v/>
      </c>
      <c r="AT82" s="29">
        <f>Saldos_Intereses_Mensual!Q82</f>
        <v/>
      </c>
      <c r="AU82" s="29">
        <f>ROUND(AS82 + AT82, 2)</f>
        <v/>
      </c>
      <c r="AV82" s="29">
        <f>Saldo_Residual_Activo!Q82</f>
        <v/>
      </c>
      <c r="AW82" s="29">
        <f>ROUND(AU82 + AV82, 2)</f>
        <v/>
      </c>
      <c r="AX82" s="29">
        <f>Saldos_Capital_Mensual!R82</f>
        <v/>
      </c>
      <c r="AY82" s="29">
        <f>Saldos_Intereses_Mensual!R82</f>
        <v/>
      </c>
      <c r="AZ82" s="29">
        <f>ROUND(AX82 + AY82, 2)</f>
        <v/>
      </c>
      <c r="BA82" s="29">
        <f>Saldo_Residual_Activo!R82</f>
        <v/>
      </c>
      <c r="BB82" s="29">
        <f>ROUND(AZ82 + BA82, 2)</f>
        <v/>
      </c>
      <c r="BC82" s="29">
        <f>Saldos_Capital_Mensual!S82</f>
        <v/>
      </c>
      <c r="BD82" s="29">
        <f>Saldos_Intereses_Mensual!S82</f>
        <v/>
      </c>
      <c r="BE82" s="29">
        <f>ROUND(BC82 + BD82, 2)</f>
        <v/>
      </c>
      <c r="BF82" s="29">
        <f>Saldo_Residual_Activo!S82</f>
        <v/>
      </c>
      <c r="BG82" s="29">
        <f>ROUND(BE82 + BF82, 2)</f>
        <v/>
      </c>
      <c r="BH82" s="29">
        <f>Saldos_Capital_Mensual!T82</f>
        <v/>
      </c>
      <c r="BI82" s="29">
        <f>Saldos_Intereses_Mensual!T82</f>
        <v/>
      </c>
      <c r="BJ82" s="29">
        <f>ROUND(BH82 + BI82, 2)</f>
        <v/>
      </c>
      <c r="BK82" s="29">
        <f>Saldo_Residual_Activo!T82</f>
        <v/>
      </c>
      <c r="BL82" s="29">
        <f>ROUND(BJ82 + BK82, 2)</f>
        <v/>
      </c>
    </row>
    <row r="83">
      <c r="A83" s="20" t="inlineStr">
        <is>
          <t>0632-0004</t>
        </is>
      </c>
      <c r="B83" s="21" t="inlineStr">
        <is>
          <t>Art &amp; Sourcing Sa de Cv</t>
        </is>
      </c>
      <c r="C83" s="21" t="inlineStr">
        <is>
          <t>Ram 700 Tradesman</t>
        </is>
      </c>
      <c r="D83" s="22" t="n">
        <v>48</v>
      </c>
      <c r="E83" s="23">
        <f>Saldos_Capital_Mensual!I83</f>
        <v/>
      </c>
      <c r="F83" s="23">
        <f>Saldos_Intereses_Mensual!I83</f>
        <v/>
      </c>
      <c r="G83" s="23">
        <f>ROUND(E83 + F83, 2)</f>
        <v/>
      </c>
      <c r="H83" s="23">
        <f>Saldo_Residual_Activo!I83</f>
        <v/>
      </c>
      <c r="I83" s="23">
        <f>ROUND(G83 + H83, 2)</f>
        <v/>
      </c>
      <c r="J83" s="23">
        <f>Saldos_Capital_Mensual!J83</f>
        <v/>
      </c>
      <c r="K83" s="23">
        <f>Saldos_Intereses_Mensual!J83</f>
        <v/>
      </c>
      <c r="L83" s="23">
        <f>ROUND(J83 + K83, 2)</f>
        <v/>
      </c>
      <c r="M83" s="23">
        <f>Saldo_Residual_Activo!J83</f>
        <v/>
      </c>
      <c r="N83" s="23">
        <f>ROUND(L83 + M83, 2)</f>
        <v/>
      </c>
      <c r="O83" s="23">
        <f>Saldos_Capital_Mensual!K83</f>
        <v/>
      </c>
      <c r="P83" s="23">
        <f>Saldos_Intereses_Mensual!K83</f>
        <v/>
      </c>
      <c r="Q83" s="23">
        <f>ROUND(O83 + P83, 2)</f>
        <v/>
      </c>
      <c r="R83" s="23">
        <f>Saldo_Residual_Activo!K83</f>
        <v/>
      </c>
      <c r="S83" s="23">
        <f>ROUND(Q83 + R83, 2)</f>
        <v/>
      </c>
      <c r="T83" s="23">
        <f>Saldos_Capital_Mensual!L83</f>
        <v/>
      </c>
      <c r="U83" s="23">
        <f>Saldos_Intereses_Mensual!L83</f>
        <v/>
      </c>
      <c r="V83" s="23">
        <f>ROUND(T83 + U83, 2)</f>
        <v/>
      </c>
      <c r="W83" s="23">
        <f>Saldo_Residual_Activo!L83</f>
        <v/>
      </c>
      <c r="X83" s="23">
        <f>ROUND(V83 + W83, 2)</f>
        <v/>
      </c>
      <c r="Y83" s="23">
        <f>Saldos_Capital_Mensual!M83</f>
        <v/>
      </c>
      <c r="Z83" s="23">
        <f>Saldos_Intereses_Mensual!M83</f>
        <v/>
      </c>
      <c r="AA83" s="23">
        <f>ROUND(Y83 + Z83, 2)</f>
        <v/>
      </c>
      <c r="AB83" s="23">
        <f>Saldo_Residual_Activo!M83</f>
        <v/>
      </c>
      <c r="AC83" s="23">
        <f>ROUND(AA83 + AB83, 2)</f>
        <v/>
      </c>
      <c r="AD83" s="23">
        <f>Saldos_Capital_Mensual!N83</f>
        <v/>
      </c>
      <c r="AE83" s="23">
        <f>Saldos_Intereses_Mensual!N83</f>
        <v/>
      </c>
      <c r="AF83" s="23">
        <f>ROUND(AD83 + AE83, 2)</f>
        <v/>
      </c>
      <c r="AG83" s="23">
        <f>Saldo_Residual_Activo!N83</f>
        <v/>
      </c>
      <c r="AH83" s="23">
        <f>ROUND(AF83 + AG83, 2)</f>
        <v/>
      </c>
      <c r="AI83" s="23">
        <f>Saldos_Capital_Mensual!O83</f>
        <v/>
      </c>
      <c r="AJ83" s="23">
        <f>Saldos_Intereses_Mensual!O83</f>
        <v/>
      </c>
      <c r="AK83" s="23">
        <f>ROUND(AI83 + AJ83, 2)</f>
        <v/>
      </c>
      <c r="AL83" s="23">
        <f>Saldo_Residual_Activo!O83</f>
        <v/>
      </c>
      <c r="AM83" s="23">
        <f>ROUND(AK83 + AL83, 2)</f>
        <v/>
      </c>
      <c r="AN83" s="23">
        <f>Saldos_Capital_Mensual!P83</f>
        <v/>
      </c>
      <c r="AO83" s="23">
        <f>Saldos_Intereses_Mensual!P83</f>
        <v/>
      </c>
      <c r="AP83" s="23">
        <f>ROUND(AN83 + AO83, 2)</f>
        <v/>
      </c>
      <c r="AQ83" s="23">
        <f>Saldo_Residual_Activo!P83</f>
        <v/>
      </c>
      <c r="AR83" s="23">
        <f>ROUND(AP83 + AQ83, 2)</f>
        <v/>
      </c>
      <c r="AS83" s="23">
        <f>Saldos_Capital_Mensual!Q83</f>
        <v/>
      </c>
      <c r="AT83" s="23">
        <f>Saldos_Intereses_Mensual!Q83</f>
        <v/>
      </c>
      <c r="AU83" s="23">
        <f>ROUND(AS83 + AT83, 2)</f>
        <v/>
      </c>
      <c r="AV83" s="23">
        <f>Saldo_Residual_Activo!Q83</f>
        <v/>
      </c>
      <c r="AW83" s="23">
        <f>ROUND(AU83 + AV83, 2)</f>
        <v/>
      </c>
      <c r="AX83" s="23">
        <f>Saldos_Capital_Mensual!R83</f>
        <v/>
      </c>
      <c r="AY83" s="23">
        <f>Saldos_Intereses_Mensual!R83</f>
        <v/>
      </c>
      <c r="AZ83" s="23">
        <f>ROUND(AX83 + AY83, 2)</f>
        <v/>
      </c>
      <c r="BA83" s="23">
        <f>Saldo_Residual_Activo!R83</f>
        <v/>
      </c>
      <c r="BB83" s="23">
        <f>ROUND(AZ83 + BA83, 2)</f>
        <v/>
      </c>
      <c r="BC83" s="23">
        <f>Saldos_Capital_Mensual!S83</f>
        <v/>
      </c>
      <c r="BD83" s="23">
        <f>Saldos_Intereses_Mensual!S83</f>
        <v/>
      </c>
      <c r="BE83" s="23">
        <f>ROUND(BC83 + BD83, 2)</f>
        <v/>
      </c>
      <c r="BF83" s="23">
        <f>Saldo_Residual_Activo!S83</f>
        <v/>
      </c>
      <c r="BG83" s="23">
        <f>ROUND(BE83 + BF83, 2)</f>
        <v/>
      </c>
      <c r="BH83" s="23">
        <f>Saldos_Capital_Mensual!T83</f>
        <v/>
      </c>
      <c r="BI83" s="23">
        <f>Saldos_Intereses_Mensual!T83</f>
        <v/>
      </c>
      <c r="BJ83" s="23">
        <f>ROUND(BH83 + BI83, 2)</f>
        <v/>
      </c>
      <c r="BK83" s="23">
        <f>Saldo_Residual_Activo!T83</f>
        <v/>
      </c>
      <c r="BL83" s="23">
        <f>ROUND(BJ83 + BK83, 2)</f>
        <v/>
      </c>
    </row>
    <row r="84">
      <c r="A84" s="26" t="inlineStr">
        <is>
          <t>0632-0005</t>
        </is>
      </c>
      <c r="B84" s="27" t="inlineStr">
        <is>
          <t>Art &amp; Sourcing Sa de Cv</t>
        </is>
      </c>
      <c r="C84" s="27" t="inlineStr">
        <is>
          <t>Ram 700</t>
        </is>
      </c>
      <c r="D84" s="28" t="n">
        <v>24</v>
      </c>
      <c r="E84" s="29">
        <f>Saldos_Capital_Mensual!I84</f>
        <v/>
      </c>
      <c r="F84" s="29">
        <f>Saldos_Intereses_Mensual!I84</f>
        <v/>
      </c>
      <c r="G84" s="29">
        <f>ROUND(E84 + F84, 2)</f>
        <v/>
      </c>
      <c r="H84" s="29">
        <f>Saldo_Residual_Activo!I84</f>
        <v/>
      </c>
      <c r="I84" s="29">
        <f>ROUND(G84 + H84, 2)</f>
        <v/>
      </c>
      <c r="J84" s="29">
        <f>Saldos_Capital_Mensual!J84</f>
        <v/>
      </c>
      <c r="K84" s="29">
        <f>Saldos_Intereses_Mensual!J84</f>
        <v/>
      </c>
      <c r="L84" s="29">
        <f>ROUND(J84 + K84, 2)</f>
        <v/>
      </c>
      <c r="M84" s="29">
        <f>Saldo_Residual_Activo!J84</f>
        <v/>
      </c>
      <c r="N84" s="29">
        <f>ROUND(L84 + M84, 2)</f>
        <v/>
      </c>
      <c r="O84" s="29">
        <f>Saldos_Capital_Mensual!K84</f>
        <v/>
      </c>
      <c r="P84" s="29">
        <f>Saldos_Intereses_Mensual!K84</f>
        <v/>
      </c>
      <c r="Q84" s="29">
        <f>ROUND(O84 + P84, 2)</f>
        <v/>
      </c>
      <c r="R84" s="29">
        <f>Saldo_Residual_Activo!K84</f>
        <v/>
      </c>
      <c r="S84" s="29">
        <f>ROUND(Q84 + R84, 2)</f>
        <v/>
      </c>
      <c r="T84" s="29">
        <f>Saldos_Capital_Mensual!L84</f>
        <v/>
      </c>
      <c r="U84" s="29">
        <f>Saldos_Intereses_Mensual!L84</f>
        <v/>
      </c>
      <c r="V84" s="29">
        <f>ROUND(T84 + U84, 2)</f>
        <v/>
      </c>
      <c r="W84" s="29">
        <f>Saldo_Residual_Activo!L84</f>
        <v/>
      </c>
      <c r="X84" s="29">
        <f>ROUND(V84 + W84, 2)</f>
        <v/>
      </c>
      <c r="Y84" s="29">
        <f>Saldos_Capital_Mensual!M84</f>
        <v/>
      </c>
      <c r="Z84" s="29">
        <f>Saldos_Intereses_Mensual!M84</f>
        <v/>
      </c>
      <c r="AA84" s="29">
        <f>ROUND(Y84 + Z84, 2)</f>
        <v/>
      </c>
      <c r="AB84" s="29">
        <f>Saldo_Residual_Activo!M84</f>
        <v/>
      </c>
      <c r="AC84" s="29">
        <f>ROUND(AA84 + AB84, 2)</f>
        <v/>
      </c>
      <c r="AD84" s="29">
        <f>Saldos_Capital_Mensual!N84</f>
        <v/>
      </c>
      <c r="AE84" s="29">
        <f>Saldos_Intereses_Mensual!N84</f>
        <v/>
      </c>
      <c r="AF84" s="29">
        <f>ROUND(AD84 + AE84, 2)</f>
        <v/>
      </c>
      <c r="AG84" s="29">
        <f>Saldo_Residual_Activo!N84</f>
        <v/>
      </c>
      <c r="AH84" s="29">
        <f>ROUND(AF84 + AG84, 2)</f>
        <v/>
      </c>
      <c r="AI84" s="29">
        <f>Saldos_Capital_Mensual!O84</f>
        <v/>
      </c>
      <c r="AJ84" s="29">
        <f>Saldos_Intereses_Mensual!O84</f>
        <v/>
      </c>
      <c r="AK84" s="29">
        <f>ROUND(AI84 + AJ84, 2)</f>
        <v/>
      </c>
      <c r="AL84" s="29">
        <f>Saldo_Residual_Activo!O84</f>
        <v/>
      </c>
      <c r="AM84" s="29">
        <f>ROUND(AK84 + AL84, 2)</f>
        <v/>
      </c>
      <c r="AN84" s="29">
        <f>Saldos_Capital_Mensual!P84</f>
        <v/>
      </c>
      <c r="AO84" s="29">
        <f>Saldos_Intereses_Mensual!P84</f>
        <v/>
      </c>
      <c r="AP84" s="29">
        <f>ROUND(AN84 + AO84, 2)</f>
        <v/>
      </c>
      <c r="AQ84" s="29">
        <f>Saldo_Residual_Activo!P84</f>
        <v/>
      </c>
      <c r="AR84" s="29">
        <f>ROUND(AP84 + AQ84, 2)</f>
        <v/>
      </c>
      <c r="AS84" s="29">
        <f>Saldos_Capital_Mensual!Q84</f>
        <v/>
      </c>
      <c r="AT84" s="29">
        <f>Saldos_Intereses_Mensual!Q84</f>
        <v/>
      </c>
      <c r="AU84" s="29">
        <f>ROUND(AS84 + AT84, 2)</f>
        <v/>
      </c>
      <c r="AV84" s="29">
        <f>Saldo_Residual_Activo!Q84</f>
        <v/>
      </c>
      <c r="AW84" s="29">
        <f>ROUND(AU84 + AV84, 2)</f>
        <v/>
      </c>
      <c r="AX84" s="29">
        <f>Saldos_Capital_Mensual!R84</f>
        <v/>
      </c>
      <c r="AY84" s="29">
        <f>Saldos_Intereses_Mensual!R84</f>
        <v/>
      </c>
      <c r="AZ84" s="29">
        <f>ROUND(AX84 + AY84, 2)</f>
        <v/>
      </c>
      <c r="BA84" s="29">
        <f>Saldo_Residual_Activo!R84</f>
        <v/>
      </c>
      <c r="BB84" s="29">
        <f>ROUND(AZ84 + BA84, 2)</f>
        <v/>
      </c>
      <c r="BC84" s="29">
        <f>Saldos_Capital_Mensual!S84</f>
        <v/>
      </c>
      <c r="BD84" s="29">
        <f>Saldos_Intereses_Mensual!S84</f>
        <v/>
      </c>
      <c r="BE84" s="29">
        <f>ROUND(BC84 + BD84, 2)</f>
        <v/>
      </c>
      <c r="BF84" s="29">
        <f>Saldo_Residual_Activo!S84</f>
        <v/>
      </c>
      <c r="BG84" s="29">
        <f>ROUND(BE84 + BF84, 2)</f>
        <v/>
      </c>
      <c r="BH84" s="29">
        <f>Saldos_Capital_Mensual!T84</f>
        <v/>
      </c>
      <c r="BI84" s="29">
        <f>Saldos_Intereses_Mensual!T84</f>
        <v/>
      </c>
      <c r="BJ84" s="29">
        <f>ROUND(BH84 + BI84, 2)</f>
        <v/>
      </c>
      <c r="BK84" s="29">
        <f>Saldo_Residual_Activo!T84</f>
        <v/>
      </c>
      <c r="BL84" s="29">
        <f>ROUND(BJ84 + BK84, 2)</f>
        <v/>
      </c>
    </row>
    <row r="85">
      <c r="A85" s="20" t="inlineStr">
        <is>
          <t>0632-0006</t>
        </is>
      </c>
      <c r="B85" s="21" t="inlineStr">
        <is>
          <t>Art &amp; Sourcing Sa de Cv</t>
        </is>
      </c>
      <c r="C85" s="21" t="inlineStr">
        <is>
          <t>Mirage</t>
        </is>
      </c>
      <c r="D85" s="22" t="n">
        <v>24</v>
      </c>
      <c r="E85" s="23">
        <f>Saldos_Capital_Mensual!I85</f>
        <v/>
      </c>
      <c r="F85" s="23">
        <f>Saldos_Intereses_Mensual!I85</f>
        <v/>
      </c>
      <c r="G85" s="23">
        <f>ROUND(E85 + F85, 2)</f>
        <v/>
      </c>
      <c r="H85" s="23">
        <f>Saldo_Residual_Activo!I85</f>
        <v/>
      </c>
      <c r="I85" s="23">
        <f>ROUND(G85 + H85, 2)</f>
        <v/>
      </c>
      <c r="J85" s="23">
        <f>Saldos_Capital_Mensual!J85</f>
        <v/>
      </c>
      <c r="K85" s="23">
        <f>Saldos_Intereses_Mensual!J85</f>
        <v/>
      </c>
      <c r="L85" s="23">
        <f>ROUND(J85 + K85, 2)</f>
        <v/>
      </c>
      <c r="M85" s="23">
        <f>Saldo_Residual_Activo!J85</f>
        <v/>
      </c>
      <c r="N85" s="23">
        <f>ROUND(L85 + M85, 2)</f>
        <v/>
      </c>
      <c r="O85" s="23">
        <f>Saldos_Capital_Mensual!K85</f>
        <v/>
      </c>
      <c r="P85" s="23">
        <f>Saldos_Intereses_Mensual!K85</f>
        <v/>
      </c>
      <c r="Q85" s="23">
        <f>ROUND(O85 + P85, 2)</f>
        <v/>
      </c>
      <c r="R85" s="23">
        <f>Saldo_Residual_Activo!K85</f>
        <v/>
      </c>
      <c r="S85" s="23">
        <f>ROUND(Q85 + R85, 2)</f>
        <v/>
      </c>
      <c r="T85" s="23">
        <f>Saldos_Capital_Mensual!L85</f>
        <v/>
      </c>
      <c r="U85" s="23">
        <f>Saldos_Intereses_Mensual!L85</f>
        <v/>
      </c>
      <c r="V85" s="23">
        <f>ROUND(T85 + U85, 2)</f>
        <v/>
      </c>
      <c r="W85" s="23">
        <f>Saldo_Residual_Activo!L85</f>
        <v/>
      </c>
      <c r="X85" s="23">
        <f>ROUND(V85 + W85, 2)</f>
        <v/>
      </c>
      <c r="Y85" s="23">
        <f>Saldos_Capital_Mensual!M85</f>
        <v/>
      </c>
      <c r="Z85" s="23">
        <f>Saldos_Intereses_Mensual!M85</f>
        <v/>
      </c>
      <c r="AA85" s="23">
        <f>ROUND(Y85 + Z85, 2)</f>
        <v/>
      </c>
      <c r="AB85" s="23">
        <f>Saldo_Residual_Activo!M85</f>
        <v/>
      </c>
      <c r="AC85" s="23">
        <f>ROUND(AA85 + AB85, 2)</f>
        <v/>
      </c>
      <c r="AD85" s="23">
        <f>Saldos_Capital_Mensual!N85</f>
        <v/>
      </c>
      <c r="AE85" s="23">
        <f>Saldos_Intereses_Mensual!N85</f>
        <v/>
      </c>
      <c r="AF85" s="23">
        <f>ROUND(AD85 + AE85, 2)</f>
        <v/>
      </c>
      <c r="AG85" s="23">
        <f>Saldo_Residual_Activo!N85</f>
        <v/>
      </c>
      <c r="AH85" s="23">
        <f>ROUND(AF85 + AG85, 2)</f>
        <v/>
      </c>
      <c r="AI85" s="23">
        <f>Saldos_Capital_Mensual!O85</f>
        <v/>
      </c>
      <c r="AJ85" s="23">
        <f>Saldos_Intereses_Mensual!O85</f>
        <v/>
      </c>
      <c r="AK85" s="23">
        <f>ROUND(AI85 + AJ85, 2)</f>
        <v/>
      </c>
      <c r="AL85" s="23">
        <f>Saldo_Residual_Activo!O85</f>
        <v/>
      </c>
      <c r="AM85" s="23">
        <f>ROUND(AK85 + AL85, 2)</f>
        <v/>
      </c>
      <c r="AN85" s="23">
        <f>Saldos_Capital_Mensual!P85</f>
        <v/>
      </c>
      <c r="AO85" s="23">
        <f>Saldos_Intereses_Mensual!P85</f>
        <v/>
      </c>
      <c r="AP85" s="23">
        <f>ROUND(AN85 + AO85, 2)</f>
        <v/>
      </c>
      <c r="AQ85" s="23">
        <f>Saldo_Residual_Activo!P85</f>
        <v/>
      </c>
      <c r="AR85" s="23">
        <f>ROUND(AP85 + AQ85, 2)</f>
        <v/>
      </c>
      <c r="AS85" s="23">
        <f>Saldos_Capital_Mensual!Q85</f>
        <v/>
      </c>
      <c r="AT85" s="23">
        <f>Saldos_Intereses_Mensual!Q85</f>
        <v/>
      </c>
      <c r="AU85" s="23">
        <f>ROUND(AS85 + AT85, 2)</f>
        <v/>
      </c>
      <c r="AV85" s="23">
        <f>Saldo_Residual_Activo!Q85</f>
        <v/>
      </c>
      <c r="AW85" s="23">
        <f>ROUND(AU85 + AV85, 2)</f>
        <v/>
      </c>
      <c r="AX85" s="23">
        <f>Saldos_Capital_Mensual!R85</f>
        <v/>
      </c>
      <c r="AY85" s="23">
        <f>Saldos_Intereses_Mensual!R85</f>
        <v/>
      </c>
      <c r="AZ85" s="23">
        <f>ROUND(AX85 + AY85, 2)</f>
        <v/>
      </c>
      <c r="BA85" s="23">
        <f>Saldo_Residual_Activo!R85</f>
        <v/>
      </c>
      <c r="BB85" s="23">
        <f>ROUND(AZ85 + BA85, 2)</f>
        <v/>
      </c>
      <c r="BC85" s="23">
        <f>Saldos_Capital_Mensual!S85</f>
        <v/>
      </c>
      <c r="BD85" s="23">
        <f>Saldos_Intereses_Mensual!S85</f>
        <v/>
      </c>
      <c r="BE85" s="23">
        <f>ROUND(BC85 + BD85, 2)</f>
        <v/>
      </c>
      <c r="BF85" s="23">
        <f>Saldo_Residual_Activo!S85</f>
        <v/>
      </c>
      <c r="BG85" s="23">
        <f>ROUND(BE85 + BF85, 2)</f>
        <v/>
      </c>
      <c r="BH85" s="23">
        <f>Saldos_Capital_Mensual!T85</f>
        <v/>
      </c>
      <c r="BI85" s="23">
        <f>Saldos_Intereses_Mensual!T85</f>
        <v/>
      </c>
      <c r="BJ85" s="23">
        <f>ROUND(BH85 + BI85, 2)</f>
        <v/>
      </c>
      <c r="BK85" s="23">
        <f>Saldo_Residual_Activo!T85</f>
        <v/>
      </c>
      <c r="BL85" s="23">
        <f>ROUND(BJ85 + BK85, 2)</f>
        <v/>
      </c>
    </row>
    <row r="86">
      <c r="A86" s="26" t="inlineStr">
        <is>
          <t>0632-0007</t>
        </is>
      </c>
      <c r="B86" s="27" t="inlineStr">
        <is>
          <t>Art &amp; Sourcing Sa de Cv</t>
        </is>
      </c>
      <c r="C86" s="27" t="inlineStr">
        <is>
          <t>JAC Camión X350 2026</t>
        </is>
      </c>
      <c r="D86" s="28" t="n">
        <v>24</v>
      </c>
      <c r="E86" s="29">
        <f>Saldos_Capital_Mensual!I86</f>
        <v/>
      </c>
      <c r="F86" s="29">
        <f>Saldos_Intereses_Mensual!I86</f>
        <v/>
      </c>
      <c r="G86" s="29">
        <f>ROUND(E86 + F86, 2)</f>
        <v/>
      </c>
      <c r="H86" s="29">
        <f>Saldo_Residual_Activo!I86</f>
        <v/>
      </c>
      <c r="I86" s="29">
        <f>ROUND(G86 + H86, 2)</f>
        <v/>
      </c>
      <c r="J86" s="29">
        <f>Saldos_Capital_Mensual!J86</f>
        <v/>
      </c>
      <c r="K86" s="29">
        <f>Saldos_Intereses_Mensual!J86</f>
        <v/>
      </c>
      <c r="L86" s="29">
        <f>ROUND(J86 + K86, 2)</f>
        <v/>
      </c>
      <c r="M86" s="29">
        <f>Saldo_Residual_Activo!J86</f>
        <v/>
      </c>
      <c r="N86" s="29">
        <f>ROUND(L86 + M86, 2)</f>
        <v/>
      </c>
      <c r="O86" s="29">
        <f>Saldos_Capital_Mensual!K86</f>
        <v/>
      </c>
      <c r="P86" s="29">
        <f>Saldos_Intereses_Mensual!K86</f>
        <v/>
      </c>
      <c r="Q86" s="29">
        <f>ROUND(O86 + P86, 2)</f>
        <v/>
      </c>
      <c r="R86" s="29">
        <f>Saldo_Residual_Activo!K86</f>
        <v/>
      </c>
      <c r="S86" s="29">
        <f>ROUND(Q86 + R86, 2)</f>
        <v/>
      </c>
      <c r="T86" s="29">
        <f>Saldos_Capital_Mensual!L86</f>
        <v/>
      </c>
      <c r="U86" s="29">
        <f>Saldos_Intereses_Mensual!L86</f>
        <v/>
      </c>
      <c r="V86" s="29">
        <f>ROUND(T86 + U86, 2)</f>
        <v/>
      </c>
      <c r="W86" s="29">
        <f>Saldo_Residual_Activo!L86</f>
        <v/>
      </c>
      <c r="X86" s="29">
        <f>ROUND(V86 + W86, 2)</f>
        <v/>
      </c>
      <c r="Y86" s="29">
        <f>Saldos_Capital_Mensual!M86</f>
        <v/>
      </c>
      <c r="Z86" s="29">
        <f>Saldos_Intereses_Mensual!M86</f>
        <v/>
      </c>
      <c r="AA86" s="29">
        <f>ROUND(Y86 + Z86, 2)</f>
        <v/>
      </c>
      <c r="AB86" s="29">
        <f>Saldo_Residual_Activo!M86</f>
        <v/>
      </c>
      <c r="AC86" s="29">
        <f>ROUND(AA86 + AB86, 2)</f>
        <v/>
      </c>
      <c r="AD86" s="29">
        <f>Saldos_Capital_Mensual!N86</f>
        <v/>
      </c>
      <c r="AE86" s="29">
        <f>Saldos_Intereses_Mensual!N86</f>
        <v/>
      </c>
      <c r="AF86" s="29">
        <f>ROUND(AD86 + AE86, 2)</f>
        <v/>
      </c>
      <c r="AG86" s="29">
        <f>Saldo_Residual_Activo!N86</f>
        <v/>
      </c>
      <c r="AH86" s="29">
        <f>ROUND(AF86 + AG86, 2)</f>
        <v/>
      </c>
      <c r="AI86" s="29">
        <f>Saldos_Capital_Mensual!O86</f>
        <v/>
      </c>
      <c r="AJ86" s="29">
        <f>Saldos_Intereses_Mensual!O86</f>
        <v/>
      </c>
      <c r="AK86" s="29">
        <f>ROUND(AI86 + AJ86, 2)</f>
        <v/>
      </c>
      <c r="AL86" s="29">
        <f>Saldo_Residual_Activo!O86</f>
        <v/>
      </c>
      <c r="AM86" s="29">
        <f>ROUND(AK86 + AL86, 2)</f>
        <v/>
      </c>
      <c r="AN86" s="29">
        <f>Saldos_Capital_Mensual!P86</f>
        <v/>
      </c>
      <c r="AO86" s="29">
        <f>Saldos_Intereses_Mensual!P86</f>
        <v/>
      </c>
      <c r="AP86" s="29">
        <f>ROUND(AN86 + AO86, 2)</f>
        <v/>
      </c>
      <c r="AQ86" s="29">
        <f>Saldo_Residual_Activo!P86</f>
        <v/>
      </c>
      <c r="AR86" s="29">
        <f>ROUND(AP86 + AQ86, 2)</f>
        <v/>
      </c>
      <c r="AS86" s="29">
        <f>Saldos_Capital_Mensual!Q86</f>
        <v/>
      </c>
      <c r="AT86" s="29">
        <f>Saldos_Intereses_Mensual!Q86</f>
        <v/>
      </c>
      <c r="AU86" s="29">
        <f>ROUND(AS86 + AT86, 2)</f>
        <v/>
      </c>
      <c r="AV86" s="29">
        <f>Saldo_Residual_Activo!Q86</f>
        <v/>
      </c>
      <c r="AW86" s="29">
        <f>ROUND(AU86 + AV86, 2)</f>
        <v/>
      </c>
      <c r="AX86" s="29">
        <f>Saldos_Capital_Mensual!R86</f>
        <v/>
      </c>
      <c r="AY86" s="29">
        <f>Saldos_Intereses_Mensual!R86</f>
        <v/>
      </c>
      <c r="AZ86" s="29">
        <f>ROUND(AX86 + AY86, 2)</f>
        <v/>
      </c>
      <c r="BA86" s="29">
        <f>Saldo_Residual_Activo!R86</f>
        <v/>
      </c>
      <c r="BB86" s="29">
        <f>ROUND(AZ86 + BA86, 2)</f>
        <v/>
      </c>
      <c r="BC86" s="29">
        <f>Saldos_Capital_Mensual!S86</f>
        <v/>
      </c>
      <c r="BD86" s="29">
        <f>Saldos_Intereses_Mensual!S86</f>
        <v/>
      </c>
      <c r="BE86" s="29">
        <f>ROUND(BC86 + BD86, 2)</f>
        <v/>
      </c>
      <c r="BF86" s="29">
        <f>Saldo_Residual_Activo!S86</f>
        <v/>
      </c>
      <c r="BG86" s="29">
        <f>ROUND(BE86 + BF86, 2)</f>
        <v/>
      </c>
      <c r="BH86" s="29">
        <f>Saldos_Capital_Mensual!T86</f>
        <v/>
      </c>
      <c r="BI86" s="29">
        <f>Saldos_Intereses_Mensual!T86</f>
        <v/>
      </c>
      <c r="BJ86" s="29">
        <f>ROUND(BH86 + BI86, 2)</f>
        <v/>
      </c>
      <c r="BK86" s="29">
        <f>Saldo_Residual_Activo!T86</f>
        <v/>
      </c>
      <c r="BL86" s="29">
        <f>ROUND(BJ86 + BK86, 2)</f>
        <v/>
      </c>
    </row>
    <row r="87">
      <c r="A87" s="20" t="inlineStr">
        <is>
          <t>0634-0001</t>
        </is>
      </c>
      <c r="B87" s="21" t="inlineStr">
        <is>
          <t>Jose de Jesus Vergara Rivera</t>
        </is>
      </c>
      <c r="C87" s="21" t="inlineStr">
        <is>
          <t>NP 300 Chasis Cabina TDI</t>
        </is>
      </c>
      <c r="D87" s="22" t="n">
        <v>48</v>
      </c>
      <c r="E87" s="23">
        <f>Saldos_Capital_Mensual!I87</f>
        <v/>
      </c>
      <c r="F87" s="23">
        <f>Saldos_Intereses_Mensual!I87</f>
        <v/>
      </c>
      <c r="G87" s="23">
        <f>ROUND(E87 + F87, 2)</f>
        <v/>
      </c>
      <c r="H87" s="23">
        <f>Saldo_Residual_Activo!I87</f>
        <v/>
      </c>
      <c r="I87" s="23">
        <f>ROUND(G87 + H87, 2)</f>
        <v/>
      </c>
      <c r="J87" s="23">
        <f>Saldos_Capital_Mensual!J87</f>
        <v/>
      </c>
      <c r="K87" s="23">
        <f>Saldos_Intereses_Mensual!J87</f>
        <v/>
      </c>
      <c r="L87" s="23">
        <f>ROUND(J87 + K87, 2)</f>
        <v/>
      </c>
      <c r="M87" s="23">
        <f>Saldo_Residual_Activo!J87</f>
        <v/>
      </c>
      <c r="N87" s="23">
        <f>ROUND(L87 + M87, 2)</f>
        <v/>
      </c>
      <c r="O87" s="23">
        <f>Saldos_Capital_Mensual!K87</f>
        <v/>
      </c>
      <c r="P87" s="23">
        <f>Saldos_Intereses_Mensual!K87</f>
        <v/>
      </c>
      <c r="Q87" s="23">
        <f>ROUND(O87 + P87, 2)</f>
        <v/>
      </c>
      <c r="R87" s="23">
        <f>Saldo_Residual_Activo!K87</f>
        <v/>
      </c>
      <c r="S87" s="23">
        <f>ROUND(Q87 + R87, 2)</f>
        <v/>
      </c>
      <c r="T87" s="23">
        <f>Saldos_Capital_Mensual!L87</f>
        <v/>
      </c>
      <c r="U87" s="23">
        <f>Saldos_Intereses_Mensual!L87</f>
        <v/>
      </c>
      <c r="V87" s="23">
        <f>ROUND(T87 + U87, 2)</f>
        <v/>
      </c>
      <c r="W87" s="23">
        <f>Saldo_Residual_Activo!L87</f>
        <v/>
      </c>
      <c r="X87" s="23">
        <f>ROUND(V87 + W87, 2)</f>
        <v/>
      </c>
      <c r="Y87" s="23">
        <f>Saldos_Capital_Mensual!M87</f>
        <v/>
      </c>
      <c r="Z87" s="23">
        <f>Saldos_Intereses_Mensual!M87</f>
        <v/>
      </c>
      <c r="AA87" s="23">
        <f>ROUND(Y87 + Z87, 2)</f>
        <v/>
      </c>
      <c r="AB87" s="23">
        <f>Saldo_Residual_Activo!M87</f>
        <v/>
      </c>
      <c r="AC87" s="23">
        <f>ROUND(AA87 + AB87, 2)</f>
        <v/>
      </c>
      <c r="AD87" s="23">
        <f>Saldos_Capital_Mensual!N87</f>
        <v/>
      </c>
      <c r="AE87" s="23">
        <f>Saldos_Intereses_Mensual!N87</f>
        <v/>
      </c>
      <c r="AF87" s="23">
        <f>ROUND(AD87 + AE87, 2)</f>
        <v/>
      </c>
      <c r="AG87" s="23">
        <f>Saldo_Residual_Activo!N87</f>
        <v/>
      </c>
      <c r="AH87" s="23">
        <f>ROUND(AF87 + AG87, 2)</f>
        <v/>
      </c>
      <c r="AI87" s="23">
        <f>Saldos_Capital_Mensual!O87</f>
        <v/>
      </c>
      <c r="AJ87" s="23">
        <f>Saldos_Intereses_Mensual!O87</f>
        <v/>
      </c>
      <c r="AK87" s="23">
        <f>ROUND(AI87 + AJ87, 2)</f>
        <v/>
      </c>
      <c r="AL87" s="23">
        <f>Saldo_Residual_Activo!O87</f>
        <v/>
      </c>
      <c r="AM87" s="23">
        <f>ROUND(AK87 + AL87, 2)</f>
        <v/>
      </c>
      <c r="AN87" s="23">
        <f>Saldos_Capital_Mensual!P87</f>
        <v/>
      </c>
      <c r="AO87" s="23">
        <f>Saldos_Intereses_Mensual!P87</f>
        <v/>
      </c>
      <c r="AP87" s="23">
        <f>ROUND(AN87 + AO87, 2)</f>
        <v/>
      </c>
      <c r="AQ87" s="23">
        <f>Saldo_Residual_Activo!P87</f>
        <v/>
      </c>
      <c r="AR87" s="23">
        <f>ROUND(AP87 + AQ87, 2)</f>
        <v/>
      </c>
      <c r="AS87" s="23">
        <f>Saldos_Capital_Mensual!Q87</f>
        <v/>
      </c>
      <c r="AT87" s="23">
        <f>Saldos_Intereses_Mensual!Q87</f>
        <v/>
      </c>
      <c r="AU87" s="23">
        <f>ROUND(AS87 + AT87, 2)</f>
        <v/>
      </c>
      <c r="AV87" s="23">
        <f>Saldo_Residual_Activo!Q87</f>
        <v/>
      </c>
      <c r="AW87" s="23">
        <f>ROUND(AU87 + AV87, 2)</f>
        <v/>
      </c>
      <c r="AX87" s="23">
        <f>Saldos_Capital_Mensual!R87</f>
        <v/>
      </c>
      <c r="AY87" s="23">
        <f>Saldos_Intereses_Mensual!R87</f>
        <v/>
      </c>
      <c r="AZ87" s="23">
        <f>ROUND(AX87 + AY87, 2)</f>
        <v/>
      </c>
      <c r="BA87" s="23">
        <f>Saldo_Residual_Activo!R87</f>
        <v/>
      </c>
      <c r="BB87" s="23">
        <f>ROUND(AZ87 + BA87, 2)</f>
        <v/>
      </c>
      <c r="BC87" s="23">
        <f>Saldos_Capital_Mensual!S87</f>
        <v/>
      </c>
      <c r="BD87" s="23">
        <f>Saldos_Intereses_Mensual!S87</f>
        <v/>
      </c>
      <c r="BE87" s="23">
        <f>ROUND(BC87 + BD87, 2)</f>
        <v/>
      </c>
      <c r="BF87" s="23">
        <f>Saldo_Residual_Activo!S87</f>
        <v/>
      </c>
      <c r="BG87" s="23">
        <f>ROUND(BE87 + BF87, 2)</f>
        <v/>
      </c>
      <c r="BH87" s="23">
        <f>Saldos_Capital_Mensual!T87</f>
        <v/>
      </c>
      <c r="BI87" s="23">
        <f>Saldos_Intereses_Mensual!T87</f>
        <v/>
      </c>
      <c r="BJ87" s="23">
        <f>ROUND(BH87 + BI87, 2)</f>
        <v/>
      </c>
      <c r="BK87" s="23">
        <f>Saldo_Residual_Activo!T87</f>
        <v/>
      </c>
      <c r="BL87" s="23">
        <f>ROUND(BJ87 + BK87, 2)</f>
        <v/>
      </c>
    </row>
    <row r="88">
      <c r="A88" s="26" t="inlineStr">
        <is>
          <t>0634-0002</t>
        </is>
      </c>
      <c r="B88" s="27" t="inlineStr">
        <is>
          <t>Jose de Jesus Vergara Rivera</t>
        </is>
      </c>
      <c r="C88" s="27" t="inlineStr">
        <is>
          <t>700 Tradesman</t>
        </is>
      </c>
      <c r="D88" s="28" t="n">
        <v>48</v>
      </c>
      <c r="E88" s="29">
        <f>Saldos_Capital_Mensual!I88</f>
        <v/>
      </c>
      <c r="F88" s="29">
        <f>Saldos_Intereses_Mensual!I88</f>
        <v/>
      </c>
      <c r="G88" s="29">
        <f>ROUND(E88 + F88, 2)</f>
        <v/>
      </c>
      <c r="H88" s="29">
        <f>Saldo_Residual_Activo!I88</f>
        <v/>
      </c>
      <c r="I88" s="29">
        <f>ROUND(G88 + H88, 2)</f>
        <v/>
      </c>
      <c r="J88" s="29">
        <f>Saldos_Capital_Mensual!J88</f>
        <v/>
      </c>
      <c r="K88" s="29">
        <f>Saldos_Intereses_Mensual!J88</f>
        <v/>
      </c>
      <c r="L88" s="29">
        <f>ROUND(J88 + K88, 2)</f>
        <v/>
      </c>
      <c r="M88" s="29">
        <f>Saldo_Residual_Activo!J88</f>
        <v/>
      </c>
      <c r="N88" s="29">
        <f>ROUND(L88 + M88, 2)</f>
        <v/>
      </c>
      <c r="O88" s="29">
        <f>Saldos_Capital_Mensual!K88</f>
        <v/>
      </c>
      <c r="P88" s="29">
        <f>Saldos_Intereses_Mensual!K88</f>
        <v/>
      </c>
      <c r="Q88" s="29">
        <f>ROUND(O88 + P88, 2)</f>
        <v/>
      </c>
      <c r="R88" s="29">
        <f>Saldo_Residual_Activo!K88</f>
        <v/>
      </c>
      <c r="S88" s="29">
        <f>ROUND(Q88 + R88, 2)</f>
        <v/>
      </c>
      <c r="T88" s="29">
        <f>Saldos_Capital_Mensual!L88</f>
        <v/>
      </c>
      <c r="U88" s="29">
        <f>Saldos_Intereses_Mensual!L88</f>
        <v/>
      </c>
      <c r="V88" s="29">
        <f>ROUND(T88 + U88, 2)</f>
        <v/>
      </c>
      <c r="W88" s="29">
        <f>Saldo_Residual_Activo!L88</f>
        <v/>
      </c>
      <c r="X88" s="29">
        <f>ROUND(V88 + W88, 2)</f>
        <v/>
      </c>
      <c r="Y88" s="29">
        <f>Saldos_Capital_Mensual!M88</f>
        <v/>
      </c>
      <c r="Z88" s="29">
        <f>Saldos_Intereses_Mensual!M88</f>
        <v/>
      </c>
      <c r="AA88" s="29">
        <f>ROUND(Y88 + Z88, 2)</f>
        <v/>
      </c>
      <c r="AB88" s="29">
        <f>Saldo_Residual_Activo!M88</f>
        <v/>
      </c>
      <c r="AC88" s="29">
        <f>ROUND(AA88 + AB88, 2)</f>
        <v/>
      </c>
      <c r="AD88" s="29">
        <f>Saldos_Capital_Mensual!N88</f>
        <v/>
      </c>
      <c r="AE88" s="29">
        <f>Saldos_Intereses_Mensual!N88</f>
        <v/>
      </c>
      <c r="AF88" s="29">
        <f>ROUND(AD88 + AE88, 2)</f>
        <v/>
      </c>
      <c r="AG88" s="29">
        <f>Saldo_Residual_Activo!N88</f>
        <v/>
      </c>
      <c r="AH88" s="29">
        <f>ROUND(AF88 + AG88, 2)</f>
        <v/>
      </c>
      <c r="AI88" s="29">
        <f>Saldos_Capital_Mensual!O88</f>
        <v/>
      </c>
      <c r="AJ88" s="29">
        <f>Saldos_Intereses_Mensual!O88</f>
        <v/>
      </c>
      <c r="AK88" s="29">
        <f>ROUND(AI88 + AJ88, 2)</f>
        <v/>
      </c>
      <c r="AL88" s="29">
        <f>Saldo_Residual_Activo!O88</f>
        <v/>
      </c>
      <c r="AM88" s="29">
        <f>ROUND(AK88 + AL88, 2)</f>
        <v/>
      </c>
      <c r="AN88" s="29">
        <f>Saldos_Capital_Mensual!P88</f>
        <v/>
      </c>
      <c r="AO88" s="29">
        <f>Saldos_Intereses_Mensual!P88</f>
        <v/>
      </c>
      <c r="AP88" s="29">
        <f>ROUND(AN88 + AO88, 2)</f>
        <v/>
      </c>
      <c r="AQ88" s="29">
        <f>Saldo_Residual_Activo!P88</f>
        <v/>
      </c>
      <c r="AR88" s="29">
        <f>ROUND(AP88 + AQ88, 2)</f>
        <v/>
      </c>
      <c r="AS88" s="29">
        <f>Saldos_Capital_Mensual!Q88</f>
        <v/>
      </c>
      <c r="AT88" s="29">
        <f>Saldos_Intereses_Mensual!Q88</f>
        <v/>
      </c>
      <c r="AU88" s="29">
        <f>ROUND(AS88 + AT88, 2)</f>
        <v/>
      </c>
      <c r="AV88" s="29">
        <f>Saldo_Residual_Activo!Q88</f>
        <v/>
      </c>
      <c r="AW88" s="29">
        <f>ROUND(AU88 + AV88, 2)</f>
        <v/>
      </c>
      <c r="AX88" s="29">
        <f>Saldos_Capital_Mensual!R88</f>
        <v/>
      </c>
      <c r="AY88" s="29">
        <f>Saldos_Intereses_Mensual!R88</f>
        <v/>
      </c>
      <c r="AZ88" s="29">
        <f>ROUND(AX88 + AY88, 2)</f>
        <v/>
      </c>
      <c r="BA88" s="29">
        <f>Saldo_Residual_Activo!R88</f>
        <v/>
      </c>
      <c r="BB88" s="29">
        <f>ROUND(AZ88 + BA88, 2)</f>
        <v/>
      </c>
      <c r="BC88" s="29">
        <f>Saldos_Capital_Mensual!S88</f>
        <v/>
      </c>
      <c r="BD88" s="29">
        <f>Saldos_Intereses_Mensual!S88</f>
        <v/>
      </c>
      <c r="BE88" s="29">
        <f>ROUND(BC88 + BD88, 2)</f>
        <v/>
      </c>
      <c r="BF88" s="29">
        <f>Saldo_Residual_Activo!S88</f>
        <v/>
      </c>
      <c r="BG88" s="29">
        <f>ROUND(BE88 + BF88, 2)</f>
        <v/>
      </c>
      <c r="BH88" s="29">
        <f>Saldos_Capital_Mensual!T88</f>
        <v/>
      </c>
      <c r="BI88" s="29">
        <f>Saldos_Intereses_Mensual!T88</f>
        <v/>
      </c>
      <c r="BJ88" s="29">
        <f>ROUND(BH88 + BI88, 2)</f>
        <v/>
      </c>
      <c r="BK88" s="29">
        <f>Saldo_Residual_Activo!T88</f>
        <v/>
      </c>
      <c r="BL88" s="29">
        <f>ROUND(BJ88 + BK88, 2)</f>
        <v/>
      </c>
    </row>
    <row r="89">
      <c r="A89" s="20" t="inlineStr">
        <is>
          <t>0635-0003</t>
        </is>
      </c>
      <c r="B89" s="21" t="inlineStr">
        <is>
          <t>Ankara Food Services Sa de CV</t>
        </is>
      </c>
      <c r="C89" s="21" t="inlineStr">
        <is>
          <t>Glc 350 E</t>
        </is>
      </c>
      <c r="D89" s="22" t="n">
        <v>36</v>
      </c>
      <c r="E89" s="23">
        <f>Saldos_Capital_Mensual!I89</f>
        <v/>
      </c>
      <c r="F89" s="23">
        <f>Saldos_Intereses_Mensual!I89</f>
        <v/>
      </c>
      <c r="G89" s="23">
        <f>ROUND(E89 + F89, 2)</f>
        <v/>
      </c>
      <c r="H89" s="23">
        <f>Saldo_Residual_Activo!I89</f>
        <v/>
      </c>
      <c r="I89" s="23">
        <f>ROUND(G89 + H89, 2)</f>
        <v/>
      </c>
      <c r="J89" s="23">
        <f>Saldos_Capital_Mensual!J89</f>
        <v/>
      </c>
      <c r="K89" s="23">
        <f>Saldos_Intereses_Mensual!J89</f>
        <v/>
      </c>
      <c r="L89" s="23">
        <f>ROUND(J89 + K89, 2)</f>
        <v/>
      </c>
      <c r="M89" s="23">
        <f>Saldo_Residual_Activo!J89</f>
        <v/>
      </c>
      <c r="N89" s="23">
        <f>ROUND(L89 + M89, 2)</f>
        <v/>
      </c>
      <c r="O89" s="23">
        <f>Saldos_Capital_Mensual!K89</f>
        <v/>
      </c>
      <c r="P89" s="23">
        <f>Saldos_Intereses_Mensual!K89</f>
        <v/>
      </c>
      <c r="Q89" s="23">
        <f>ROUND(O89 + P89, 2)</f>
        <v/>
      </c>
      <c r="R89" s="23">
        <f>Saldo_Residual_Activo!K89</f>
        <v/>
      </c>
      <c r="S89" s="23">
        <f>ROUND(Q89 + R89, 2)</f>
        <v/>
      </c>
      <c r="T89" s="23">
        <f>Saldos_Capital_Mensual!L89</f>
        <v/>
      </c>
      <c r="U89" s="23">
        <f>Saldos_Intereses_Mensual!L89</f>
        <v/>
      </c>
      <c r="V89" s="23">
        <f>ROUND(T89 + U89, 2)</f>
        <v/>
      </c>
      <c r="W89" s="23">
        <f>Saldo_Residual_Activo!L89</f>
        <v/>
      </c>
      <c r="X89" s="23">
        <f>ROUND(V89 + W89, 2)</f>
        <v/>
      </c>
      <c r="Y89" s="23">
        <f>Saldos_Capital_Mensual!M89</f>
        <v/>
      </c>
      <c r="Z89" s="23">
        <f>Saldos_Intereses_Mensual!M89</f>
        <v/>
      </c>
      <c r="AA89" s="23">
        <f>ROUND(Y89 + Z89, 2)</f>
        <v/>
      </c>
      <c r="AB89" s="23">
        <f>Saldo_Residual_Activo!M89</f>
        <v/>
      </c>
      <c r="AC89" s="23">
        <f>ROUND(AA89 + AB89, 2)</f>
        <v/>
      </c>
      <c r="AD89" s="23">
        <f>Saldos_Capital_Mensual!N89</f>
        <v/>
      </c>
      <c r="AE89" s="23">
        <f>Saldos_Intereses_Mensual!N89</f>
        <v/>
      </c>
      <c r="AF89" s="23">
        <f>ROUND(AD89 + AE89, 2)</f>
        <v/>
      </c>
      <c r="AG89" s="23">
        <f>Saldo_Residual_Activo!N89</f>
        <v/>
      </c>
      <c r="AH89" s="23">
        <f>ROUND(AF89 + AG89, 2)</f>
        <v/>
      </c>
      <c r="AI89" s="23">
        <f>Saldos_Capital_Mensual!O89</f>
        <v/>
      </c>
      <c r="AJ89" s="23">
        <f>Saldos_Intereses_Mensual!O89</f>
        <v/>
      </c>
      <c r="AK89" s="23">
        <f>ROUND(AI89 + AJ89, 2)</f>
        <v/>
      </c>
      <c r="AL89" s="23">
        <f>Saldo_Residual_Activo!O89</f>
        <v/>
      </c>
      <c r="AM89" s="23">
        <f>ROUND(AK89 + AL89, 2)</f>
        <v/>
      </c>
      <c r="AN89" s="23">
        <f>Saldos_Capital_Mensual!P89</f>
        <v/>
      </c>
      <c r="AO89" s="23">
        <f>Saldos_Intereses_Mensual!P89</f>
        <v/>
      </c>
      <c r="AP89" s="23">
        <f>ROUND(AN89 + AO89, 2)</f>
        <v/>
      </c>
      <c r="AQ89" s="23">
        <f>Saldo_Residual_Activo!P89</f>
        <v/>
      </c>
      <c r="AR89" s="23">
        <f>ROUND(AP89 + AQ89, 2)</f>
        <v/>
      </c>
      <c r="AS89" s="23">
        <f>Saldos_Capital_Mensual!Q89</f>
        <v/>
      </c>
      <c r="AT89" s="23">
        <f>Saldos_Intereses_Mensual!Q89</f>
        <v/>
      </c>
      <c r="AU89" s="23">
        <f>ROUND(AS89 + AT89, 2)</f>
        <v/>
      </c>
      <c r="AV89" s="23">
        <f>Saldo_Residual_Activo!Q89</f>
        <v/>
      </c>
      <c r="AW89" s="23">
        <f>ROUND(AU89 + AV89, 2)</f>
        <v/>
      </c>
      <c r="AX89" s="23">
        <f>Saldos_Capital_Mensual!R89</f>
        <v/>
      </c>
      <c r="AY89" s="23">
        <f>Saldos_Intereses_Mensual!R89</f>
        <v/>
      </c>
      <c r="AZ89" s="23">
        <f>ROUND(AX89 + AY89, 2)</f>
        <v/>
      </c>
      <c r="BA89" s="23">
        <f>Saldo_Residual_Activo!R89</f>
        <v/>
      </c>
      <c r="BB89" s="23">
        <f>ROUND(AZ89 + BA89, 2)</f>
        <v/>
      </c>
      <c r="BC89" s="23">
        <f>Saldos_Capital_Mensual!S89</f>
        <v/>
      </c>
      <c r="BD89" s="23">
        <f>Saldos_Intereses_Mensual!S89</f>
        <v/>
      </c>
      <c r="BE89" s="23">
        <f>ROUND(BC89 + BD89, 2)</f>
        <v/>
      </c>
      <c r="BF89" s="23">
        <f>Saldo_Residual_Activo!S89</f>
        <v/>
      </c>
      <c r="BG89" s="23">
        <f>ROUND(BE89 + BF89, 2)</f>
        <v/>
      </c>
      <c r="BH89" s="23">
        <f>Saldos_Capital_Mensual!T89</f>
        <v/>
      </c>
      <c r="BI89" s="23">
        <f>Saldos_Intereses_Mensual!T89</f>
        <v/>
      </c>
      <c r="BJ89" s="23">
        <f>ROUND(BH89 + BI89, 2)</f>
        <v/>
      </c>
      <c r="BK89" s="23">
        <f>Saldo_Residual_Activo!T89</f>
        <v/>
      </c>
      <c r="BL89" s="23">
        <f>ROUND(BJ89 + BK89, 2)</f>
        <v/>
      </c>
    </row>
    <row r="90">
      <c r="A90" s="26" t="inlineStr">
        <is>
          <t>0635-0004</t>
        </is>
      </c>
      <c r="B90" s="27" t="inlineStr">
        <is>
          <t>Ankara Food Services Sa de CV</t>
        </is>
      </c>
      <c r="C90" s="27" t="inlineStr">
        <is>
          <t>Partner</t>
        </is>
      </c>
      <c r="D90" s="28" t="n">
        <v>36</v>
      </c>
      <c r="E90" s="29">
        <f>Saldos_Capital_Mensual!I90</f>
        <v/>
      </c>
      <c r="F90" s="29">
        <f>Saldos_Intereses_Mensual!I90</f>
        <v/>
      </c>
      <c r="G90" s="29">
        <f>ROUND(E90 + F90, 2)</f>
        <v/>
      </c>
      <c r="H90" s="29">
        <f>Saldo_Residual_Activo!I90</f>
        <v/>
      </c>
      <c r="I90" s="29">
        <f>ROUND(G90 + H90, 2)</f>
        <v/>
      </c>
      <c r="J90" s="29">
        <f>Saldos_Capital_Mensual!J90</f>
        <v/>
      </c>
      <c r="K90" s="29">
        <f>Saldos_Intereses_Mensual!J90</f>
        <v/>
      </c>
      <c r="L90" s="29">
        <f>ROUND(J90 + K90, 2)</f>
        <v/>
      </c>
      <c r="M90" s="29">
        <f>Saldo_Residual_Activo!J90</f>
        <v/>
      </c>
      <c r="N90" s="29">
        <f>ROUND(L90 + M90, 2)</f>
        <v/>
      </c>
      <c r="O90" s="29">
        <f>Saldos_Capital_Mensual!K90</f>
        <v/>
      </c>
      <c r="P90" s="29">
        <f>Saldos_Intereses_Mensual!K90</f>
        <v/>
      </c>
      <c r="Q90" s="29">
        <f>ROUND(O90 + P90, 2)</f>
        <v/>
      </c>
      <c r="R90" s="29">
        <f>Saldo_Residual_Activo!K90</f>
        <v/>
      </c>
      <c r="S90" s="29">
        <f>ROUND(Q90 + R90, 2)</f>
        <v/>
      </c>
      <c r="T90" s="29">
        <f>Saldos_Capital_Mensual!L90</f>
        <v/>
      </c>
      <c r="U90" s="29">
        <f>Saldos_Intereses_Mensual!L90</f>
        <v/>
      </c>
      <c r="V90" s="29">
        <f>ROUND(T90 + U90, 2)</f>
        <v/>
      </c>
      <c r="W90" s="29">
        <f>Saldo_Residual_Activo!L90</f>
        <v/>
      </c>
      <c r="X90" s="29">
        <f>ROUND(V90 + W90, 2)</f>
        <v/>
      </c>
      <c r="Y90" s="29">
        <f>Saldos_Capital_Mensual!M90</f>
        <v/>
      </c>
      <c r="Z90" s="29">
        <f>Saldos_Intereses_Mensual!M90</f>
        <v/>
      </c>
      <c r="AA90" s="29">
        <f>ROUND(Y90 + Z90, 2)</f>
        <v/>
      </c>
      <c r="AB90" s="29">
        <f>Saldo_Residual_Activo!M90</f>
        <v/>
      </c>
      <c r="AC90" s="29">
        <f>ROUND(AA90 + AB90, 2)</f>
        <v/>
      </c>
      <c r="AD90" s="29">
        <f>Saldos_Capital_Mensual!N90</f>
        <v/>
      </c>
      <c r="AE90" s="29">
        <f>Saldos_Intereses_Mensual!N90</f>
        <v/>
      </c>
      <c r="AF90" s="29">
        <f>ROUND(AD90 + AE90, 2)</f>
        <v/>
      </c>
      <c r="AG90" s="29">
        <f>Saldo_Residual_Activo!N90</f>
        <v/>
      </c>
      <c r="AH90" s="29">
        <f>ROUND(AF90 + AG90, 2)</f>
        <v/>
      </c>
      <c r="AI90" s="29">
        <f>Saldos_Capital_Mensual!O90</f>
        <v/>
      </c>
      <c r="AJ90" s="29">
        <f>Saldos_Intereses_Mensual!O90</f>
        <v/>
      </c>
      <c r="AK90" s="29">
        <f>ROUND(AI90 + AJ90, 2)</f>
        <v/>
      </c>
      <c r="AL90" s="29">
        <f>Saldo_Residual_Activo!O90</f>
        <v/>
      </c>
      <c r="AM90" s="29">
        <f>ROUND(AK90 + AL90, 2)</f>
        <v/>
      </c>
      <c r="AN90" s="29">
        <f>Saldos_Capital_Mensual!P90</f>
        <v/>
      </c>
      <c r="AO90" s="29">
        <f>Saldos_Intereses_Mensual!P90</f>
        <v/>
      </c>
      <c r="AP90" s="29">
        <f>ROUND(AN90 + AO90, 2)</f>
        <v/>
      </c>
      <c r="AQ90" s="29">
        <f>Saldo_Residual_Activo!P90</f>
        <v/>
      </c>
      <c r="AR90" s="29">
        <f>ROUND(AP90 + AQ90, 2)</f>
        <v/>
      </c>
      <c r="AS90" s="29">
        <f>Saldos_Capital_Mensual!Q90</f>
        <v/>
      </c>
      <c r="AT90" s="29">
        <f>Saldos_Intereses_Mensual!Q90</f>
        <v/>
      </c>
      <c r="AU90" s="29">
        <f>ROUND(AS90 + AT90, 2)</f>
        <v/>
      </c>
      <c r="AV90" s="29">
        <f>Saldo_Residual_Activo!Q90</f>
        <v/>
      </c>
      <c r="AW90" s="29">
        <f>ROUND(AU90 + AV90, 2)</f>
        <v/>
      </c>
      <c r="AX90" s="29">
        <f>Saldos_Capital_Mensual!R90</f>
        <v/>
      </c>
      <c r="AY90" s="29">
        <f>Saldos_Intereses_Mensual!R90</f>
        <v/>
      </c>
      <c r="AZ90" s="29">
        <f>ROUND(AX90 + AY90, 2)</f>
        <v/>
      </c>
      <c r="BA90" s="29">
        <f>Saldo_Residual_Activo!R90</f>
        <v/>
      </c>
      <c r="BB90" s="29">
        <f>ROUND(AZ90 + BA90, 2)</f>
        <v/>
      </c>
      <c r="BC90" s="29">
        <f>Saldos_Capital_Mensual!S90</f>
        <v/>
      </c>
      <c r="BD90" s="29">
        <f>Saldos_Intereses_Mensual!S90</f>
        <v/>
      </c>
      <c r="BE90" s="29">
        <f>ROUND(BC90 + BD90, 2)</f>
        <v/>
      </c>
      <c r="BF90" s="29">
        <f>Saldo_Residual_Activo!S90</f>
        <v/>
      </c>
      <c r="BG90" s="29">
        <f>ROUND(BE90 + BF90, 2)</f>
        <v/>
      </c>
      <c r="BH90" s="29">
        <f>Saldos_Capital_Mensual!T90</f>
        <v/>
      </c>
      <c r="BI90" s="29">
        <f>Saldos_Intereses_Mensual!T90</f>
        <v/>
      </c>
      <c r="BJ90" s="29">
        <f>ROUND(BH90 + BI90, 2)</f>
        <v/>
      </c>
      <c r="BK90" s="29">
        <f>Saldo_Residual_Activo!T90</f>
        <v/>
      </c>
      <c r="BL90" s="29">
        <f>ROUND(BJ90 + BK90, 2)</f>
        <v/>
      </c>
    </row>
    <row r="91">
      <c r="A91" s="20" t="inlineStr">
        <is>
          <t>0635-0005</t>
        </is>
      </c>
      <c r="B91" s="21" t="inlineStr">
        <is>
          <t>Ankara Food Services Sa de CV</t>
        </is>
      </c>
      <c r="C91" s="21" t="inlineStr">
        <is>
          <t>Manager</t>
        </is>
      </c>
      <c r="D91" s="22" t="n">
        <v>36</v>
      </c>
      <c r="E91" s="23">
        <f>Saldos_Capital_Mensual!I91</f>
        <v/>
      </c>
      <c r="F91" s="23">
        <f>Saldos_Intereses_Mensual!I91</f>
        <v/>
      </c>
      <c r="G91" s="23">
        <f>ROUND(E91 + F91, 2)</f>
        <v/>
      </c>
      <c r="H91" s="23">
        <f>Saldo_Residual_Activo!I91</f>
        <v/>
      </c>
      <c r="I91" s="23">
        <f>ROUND(G91 + H91, 2)</f>
        <v/>
      </c>
      <c r="J91" s="23">
        <f>Saldos_Capital_Mensual!J91</f>
        <v/>
      </c>
      <c r="K91" s="23">
        <f>Saldos_Intereses_Mensual!J91</f>
        <v/>
      </c>
      <c r="L91" s="23">
        <f>ROUND(J91 + K91, 2)</f>
        <v/>
      </c>
      <c r="M91" s="23">
        <f>Saldo_Residual_Activo!J91</f>
        <v/>
      </c>
      <c r="N91" s="23">
        <f>ROUND(L91 + M91, 2)</f>
        <v/>
      </c>
      <c r="O91" s="23">
        <f>Saldos_Capital_Mensual!K91</f>
        <v/>
      </c>
      <c r="P91" s="23">
        <f>Saldos_Intereses_Mensual!K91</f>
        <v/>
      </c>
      <c r="Q91" s="23">
        <f>ROUND(O91 + P91, 2)</f>
        <v/>
      </c>
      <c r="R91" s="23">
        <f>Saldo_Residual_Activo!K91</f>
        <v/>
      </c>
      <c r="S91" s="23">
        <f>ROUND(Q91 + R91, 2)</f>
        <v/>
      </c>
      <c r="T91" s="23">
        <f>Saldos_Capital_Mensual!L91</f>
        <v/>
      </c>
      <c r="U91" s="23">
        <f>Saldos_Intereses_Mensual!L91</f>
        <v/>
      </c>
      <c r="V91" s="23">
        <f>ROUND(T91 + U91, 2)</f>
        <v/>
      </c>
      <c r="W91" s="23">
        <f>Saldo_Residual_Activo!L91</f>
        <v/>
      </c>
      <c r="X91" s="23">
        <f>ROUND(V91 + W91, 2)</f>
        <v/>
      </c>
      <c r="Y91" s="23">
        <f>Saldos_Capital_Mensual!M91</f>
        <v/>
      </c>
      <c r="Z91" s="23">
        <f>Saldos_Intereses_Mensual!M91</f>
        <v/>
      </c>
      <c r="AA91" s="23">
        <f>ROUND(Y91 + Z91, 2)</f>
        <v/>
      </c>
      <c r="AB91" s="23">
        <f>Saldo_Residual_Activo!M91</f>
        <v/>
      </c>
      <c r="AC91" s="23">
        <f>ROUND(AA91 + AB91, 2)</f>
        <v/>
      </c>
      <c r="AD91" s="23">
        <f>Saldos_Capital_Mensual!N91</f>
        <v/>
      </c>
      <c r="AE91" s="23">
        <f>Saldos_Intereses_Mensual!N91</f>
        <v/>
      </c>
      <c r="AF91" s="23">
        <f>ROUND(AD91 + AE91, 2)</f>
        <v/>
      </c>
      <c r="AG91" s="23">
        <f>Saldo_Residual_Activo!N91</f>
        <v/>
      </c>
      <c r="AH91" s="23">
        <f>ROUND(AF91 + AG91, 2)</f>
        <v/>
      </c>
      <c r="AI91" s="23">
        <f>Saldos_Capital_Mensual!O91</f>
        <v/>
      </c>
      <c r="AJ91" s="23">
        <f>Saldos_Intereses_Mensual!O91</f>
        <v/>
      </c>
      <c r="AK91" s="23">
        <f>ROUND(AI91 + AJ91, 2)</f>
        <v/>
      </c>
      <c r="AL91" s="23">
        <f>Saldo_Residual_Activo!O91</f>
        <v/>
      </c>
      <c r="AM91" s="23">
        <f>ROUND(AK91 + AL91, 2)</f>
        <v/>
      </c>
      <c r="AN91" s="23">
        <f>Saldos_Capital_Mensual!P91</f>
        <v/>
      </c>
      <c r="AO91" s="23">
        <f>Saldos_Intereses_Mensual!P91</f>
        <v/>
      </c>
      <c r="AP91" s="23">
        <f>ROUND(AN91 + AO91, 2)</f>
        <v/>
      </c>
      <c r="AQ91" s="23">
        <f>Saldo_Residual_Activo!P91</f>
        <v/>
      </c>
      <c r="AR91" s="23">
        <f>ROUND(AP91 + AQ91, 2)</f>
        <v/>
      </c>
      <c r="AS91" s="23">
        <f>Saldos_Capital_Mensual!Q91</f>
        <v/>
      </c>
      <c r="AT91" s="23">
        <f>Saldos_Intereses_Mensual!Q91</f>
        <v/>
      </c>
      <c r="AU91" s="23">
        <f>ROUND(AS91 + AT91, 2)</f>
        <v/>
      </c>
      <c r="AV91" s="23">
        <f>Saldo_Residual_Activo!Q91</f>
        <v/>
      </c>
      <c r="AW91" s="23">
        <f>ROUND(AU91 + AV91, 2)</f>
        <v/>
      </c>
      <c r="AX91" s="23">
        <f>Saldos_Capital_Mensual!R91</f>
        <v/>
      </c>
      <c r="AY91" s="23">
        <f>Saldos_Intereses_Mensual!R91</f>
        <v/>
      </c>
      <c r="AZ91" s="23">
        <f>ROUND(AX91 + AY91, 2)</f>
        <v/>
      </c>
      <c r="BA91" s="23">
        <f>Saldo_Residual_Activo!R91</f>
        <v/>
      </c>
      <c r="BB91" s="23">
        <f>ROUND(AZ91 + BA91, 2)</f>
        <v/>
      </c>
      <c r="BC91" s="23">
        <f>Saldos_Capital_Mensual!S91</f>
        <v/>
      </c>
      <c r="BD91" s="23">
        <f>Saldos_Intereses_Mensual!S91</f>
        <v/>
      </c>
      <c r="BE91" s="23">
        <f>ROUND(BC91 + BD91, 2)</f>
        <v/>
      </c>
      <c r="BF91" s="23">
        <f>Saldo_Residual_Activo!S91</f>
        <v/>
      </c>
      <c r="BG91" s="23">
        <f>ROUND(BE91 + BF91, 2)</f>
        <v/>
      </c>
      <c r="BH91" s="23">
        <f>Saldos_Capital_Mensual!T91</f>
        <v/>
      </c>
      <c r="BI91" s="23">
        <f>Saldos_Intereses_Mensual!T91</f>
        <v/>
      </c>
      <c r="BJ91" s="23">
        <f>ROUND(BH91 + BI91, 2)</f>
        <v/>
      </c>
      <c r="BK91" s="23">
        <f>Saldo_Residual_Activo!T91</f>
        <v/>
      </c>
      <c r="BL91" s="23">
        <f>ROUND(BJ91 + BK91, 2)</f>
        <v/>
      </c>
    </row>
    <row r="92">
      <c r="A92" s="26" t="inlineStr">
        <is>
          <t>0635-0006</t>
        </is>
      </c>
      <c r="B92" s="27" t="inlineStr">
        <is>
          <t>Ankara Food Services Sa de CV</t>
        </is>
      </c>
      <c r="C92" s="27" t="inlineStr">
        <is>
          <t>Mobi</t>
        </is>
      </c>
      <c r="D92" s="28" t="n">
        <v>24</v>
      </c>
      <c r="E92" s="29">
        <f>Saldos_Capital_Mensual!I92</f>
        <v/>
      </c>
      <c r="F92" s="29">
        <f>Saldos_Intereses_Mensual!I92</f>
        <v/>
      </c>
      <c r="G92" s="29">
        <f>ROUND(E92 + F92, 2)</f>
        <v/>
      </c>
      <c r="H92" s="29">
        <f>Saldo_Residual_Activo!I92</f>
        <v/>
      </c>
      <c r="I92" s="29">
        <f>ROUND(G92 + H92, 2)</f>
        <v/>
      </c>
      <c r="J92" s="29">
        <f>Saldos_Capital_Mensual!J92</f>
        <v/>
      </c>
      <c r="K92" s="29">
        <f>Saldos_Intereses_Mensual!J92</f>
        <v/>
      </c>
      <c r="L92" s="29">
        <f>ROUND(J92 + K92, 2)</f>
        <v/>
      </c>
      <c r="M92" s="29">
        <f>Saldo_Residual_Activo!J92</f>
        <v/>
      </c>
      <c r="N92" s="29">
        <f>ROUND(L92 + M92, 2)</f>
        <v/>
      </c>
      <c r="O92" s="29">
        <f>Saldos_Capital_Mensual!K92</f>
        <v/>
      </c>
      <c r="P92" s="29">
        <f>Saldos_Intereses_Mensual!K92</f>
        <v/>
      </c>
      <c r="Q92" s="29">
        <f>ROUND(O92 + P92, 2)</f>
        <v/>
      </c>
      <c r="R92" s="29">
        <f>Saldo_Residual_Activo!K92</f>
        <v/>
      </c>
      <c r="S92" s="29">
        <f>ROUND(Q92 + R92, 2)</f>
        <v/>
      </c>
      <c r="T92" s="29">
        <f>Saldos_Capital_Mensual!L92</f>
        <v/>
      </c>
      <c r="U92" s="29">
        <f>Saldos_Intereses_Mensual!L92</f>
        <v/>
      </c>
      <c r="V92" s="29">
        <f>ROUND(T92 + U92, 2)</f>
        <v/>
      </c>
      <c r="W92" s="29">
        <f>Saldo_Residual_Activo!L92</f>
        <v/>
      </c>
      <c r="X92" s="29">
        <f>ROUND(V92 + W92, 2)</f>
        <v/>
      </c>
      <c r="Y92" s="29">
        <f>Saldos_Capital_Mensual!M92</f>
        <v/>
      </c>
      <c r="Z92" s="29">
        <f>Saldos_Intereses_Mensual!M92</f>
        <v/>
      </c>
      <c r="AA92" s="29">
        <f>ROUND(Y92 + Z92, 2)</f>
        <v/>
      </c>
      <c r="AB92" s="29">
        <f>Saldo_Residual_Activo!M92</f>
        <v/>
      </c>
      <c r="AC92" s="29">
        <f>ROUND(AA92 + AB92, 2)</f>
        <v/>
      </c>
      <c r="AD92" s="29">
        <f>Saldos_Capital_Mensual!N92</f>
        <v/>
      </c>
      <c r="AE92" s="29">
        <f>Saldos_Intereses_Mensual!N92</f>
        <v/>
      </c>
      <c r="AF92" s="29">
        <f>ROUND(AD92 + AE92, 2)</f>
        <v/>
      </c>
      <c r="AG92" s="29">
        <f>Saldo_Residual_Activo!N92</f>
        <v/>
      </c>
      <c r="AH92" s="29">
        <f>ROUND(AF92 + AG92, 2)</f>
        <v/>
      </c>
      <c r="AI92" s="29">
        <f>Saldos_Capital_Mensual!O92</f>
        <v/>
      </c>
      <c r="AJ92" s="29">
        <f>Saldos_Intereses_Mensual!O92</f>
        <v/>
      </c>
      <c r="AK92" s="29">
        <f>ROUND(AI92 + AJ92, 2)</f>
        <v/>
      </c>
      <c r="AL92" s="29">
        <f>Saldo_Residual_Activo!O92</f>
        <v/>
      </c>
      <c r="AM92" s="29">
        <f>ROUND(AK92 + AL92, 2)</f>
        <v/>
      </c>
      <c r="AN92" s="29">
        <f>Saldos_Capital_Mensual!P92</f>
        <v/>
      </c>
      <c r="AO92" s="29">
        <f>Saldos_Intereses_Mensual!P92</f>
        <v/>
      </c>
      <c r="AP92" s="29">
        <f>ROUND(AN92 + AO92, 2)</f>
        <v/>
      </c>
      <c r="AQ92" s="29">
        <f>Saldo_Residual_Activo!P92</f>
        <v/>
      </c>
      <c r="AR92" s="29">
        <f>ROUND(AP92 + AQ92, 2)</f>
        <v/>
      </c>
      <c r="AS92" s="29">
        <f>Saldos_Capital_Mensual!Q92</f>
        <v/>
      </c>
      <c r="AT92" s="29">
        <f>Saldos_Intereses_Mensual!Q92</f>
        <v/>
      </c>
      <c r="AU92" s="29">
        <f>ROUND(AS92 + AT92, 2)</f>
        <v/>
      </c>
      <c r="AV92" s="29">
        <f>Saldo_Residual_Activo!Q92</f>
        <v/>
      </c>
      <c r="AW92" s="29">
        <f>ROUND(AU92 + AV92, 2)</f>
        <v/>
      </c>
      <c r="AX92" s="29">
        <f>Saldos_Capital_Mensual!R92</f>
        <v/>
      </c>
      <c r="AY92" s="29">
        <f>Saldos_Intereses_Mensual!R92</f>
        <v/>
      </c>
      <c r="AZ92" s="29">
        <f>ROUND(AX92 + AY92, 2)</f>
        <v/>
      </c>
      <c r="BA92" s="29">
        <f>Saldo_Residual_Activo!R92</f>
        <v/>
      </c>
      <c r="BB92" s="29">
        <f>ROUND(AZ92 + BA92, 2)</f>
        <v/>
      </c>
      <c r="BC92" s="29">
        <f>Saldos_Capital_Mensual!S92</f>
        <v/>
      </c>
      <c r="BD92" s="29">
        <f>Saldos_Intereses_Mensual!S92</f>
        <v/>
      </c>
      <c r="BE92" s="29">
        <f>ROUND(BC92 + BD92, 2)</f>
        <v/>
      </c>
      <c r="BF92" s="29">
        <f>Saldo_Residual_Activo!S92</f>
        <v/>
      </c>
      <c r="BG92" s="29">
        <f>ROUND(BE92 + BF92, 2)</f>
        <v/>
      </c>
      <c r="BH92" s="29">
        <f>Saldos_Capital_Mensual!T92</f>
        <v/>
      </c>
      <c r="BI92" s="29">
        <f>Saldos_Intereses_Mensual!T92</f>
        <v/>
      </c>
      <c r="BJ92" s="29">
        <f>ROUND(BH92 + BI92, 2)</f>
        <v/>
      </c>
      <c r="BK92" s="29">
        <f>Saldo_Residual_Activo!T92</f>
        <v/>
      </c>
      <c r="BL92" s="29">
        <f>ROUND(BJ92 + BK92, 2)</f>
        <v/>
      </c>
    </row>
    <row r="93">
      <c r="A93" s="20" t="inlineStr">
        <is>
          <t>0635-0007</t>
        </is>
      </c>
      <c r="B93" s="21" t="inlineStr">
        <is>
          <t>Ankara Food Services Sa de CV</t>
        </is>
      </c>
      <c r="C93" s="21" t="inlineStr">
        <is>
          <t>Mobi</t>
        </is>
      </c>
      <c r="D93" s="22" t="n">
        <v>24</v>
      </c>
      <c r="E93" s="23">
        <f>Saldos_Capital_Mensual!I93</f>
        <v/>
      </c>
      <c r="F93" s="23">
        <f>Saldos_Intereses_Mensual!I93</f>
        <v/>
      </c>
      <c r="G93" s="23">
        <f>ROUND(E93 + F93, 2)</f>
        <v/>
      </c>
      <c r="H93" s="23">
        <f>Saldo_Residual_Activo!I93</f>
        <v/>
      </c>
      <c r="I93" s="23">
        <f>ROUND(G93 + H93, 2)</f>
        <v/>
      </c>
      <c r="J93" s="23">
        <f>Saldos_Capital_Mensual!J93</f>
        <v/>
      </c>
      <c r="K93" s="23">
        <f>Saldos_Intereses_Mensual!J93</f>
        <v/>
      </c>
      <c r="L93" s="23">
        <f>ROUND(J93 + K93, 2)</f>
        <v/>
      </c>
      <c r="M93" s="23">
        <f>Saldo_Residual_Activo!J93</f>
        <v/>
      </c>
      <c r="N93" s="23">
        <f>ROUND(L93 + M93, 2)</f>
        <v/>
      </c>
      <c r="O93" s="23">
        <f>Saldos_Capital_Mensual!K93</f>
        <v/>
      </c>
      <c r="P93" s="23">
        <f>Saldos_Intereses_Mensual!K93</f>
        <v/>
      </c>
      <c r="Q93" s="23">
        <f>ROUND(O93 + P93, 2)</f>
        <v/>
      </c>
      <c r="R93" s="23">
        <f>Saldo_Residual_Activo!K93</f>
        <v/>
      </c>
      <c r="S93" s="23">
        <f>ROUND(Q93 + R93, 2)</f>
        <v/>
      </c>
      <c r="T93" s="23">
        <f>Saldos_Capital_Mensual!L93</f>
        <v/>
      </c>
      <c r="U93" s="23">
        <f>Saldos_Intereses_Mensual!L93</f>
        <v/>
      </c>
      <c r="V93" s="23">
        <f>ROUND(T93 + U93, 2)</f>
        <v/>
      </c>
      <c r="W93" s="23">
        <f>Saldo_Residual_Activo!L93</f>
        <v/>
      </c>
      <c r="X93" s="23">
        <f>ROUND(V93 + W93, 2)</f>
        <v/>
      </c>
      <c r="Y93" s="23">
        <f>Saldos_Capital_Mensual!M93</f>
        <v/>
      </c>
      <c r="Z93" s="23">
        <f>Saldos_Intereses_Mensual!M93</f>
        <v/>
      </c>
      <c r="AA93" s="23">
        <f>ROUND(Y93 + Z93, 2)</f>
        <v/>
      </c>
      <c r="AB93" s="23">
        <f>Saldo_Residual_Activo!M93</f>
        <v/>
      </c>
      <c r="AC93" s="23">
        <f>ROUND(AA93 + AB93, 2)</f>
        <v/>
      </c>
      <c r="AD93" s="23">
        <f>Saldos_Capital_Mensual!N93</f>
        <v/>
      </c>
      <c r="AE93" s="23">
        <f>Saldos_Intereses_Mensual!N93</f>
        <v/>
      </c>
      <c r="AF93" s="23">
        <f>ROUND(AD93 + AE93, 2)</f>
        <v/>
      </c>
      <c r="AG93" s="23">
        <f>Saldo_Residual_Activo!N93</f>
        <v/>
      </c>
      <c r="AH93" s="23">
        <f>ROUND(AF93 + AG93, 2)</f>
        <v/>
      </c>
      <c r="AI93" s="23">
        <f>Saldos_Capital_Mensual!O93</f>
        <v/>
      </c>
      <c r="AJ93" s="23">
        <f>Saldos_Intereses_Mensual!O93</f>
        <v/>
      </c>
      <c r="AK93" s="23">
        <f>ROUND(AI93 + AJ93, 2)</f>
        <v/>
      </c>
      <c r="AL93" s="23">
        <f>Saldo_Residual_Activo!O93</f>
        <v/>
      </c>
      <c r="AM93" s="23">
        <f>ROUND(AK93 + AL93, 2)</f>
        <v/>
      </c>
      <c r="AN93" s="23">
        <f>Saldos_Capital_Mensual!P93</f>
        <v/>
      </c>
      <c r="AO93" s="23">
        <f>Saldos_Intereses_Mensual!P93</f>
        <v/>
      </c>
      <c r="AP93" s="23">
        <f>ROUND(AN93 + AO93, 2)</f>
        <v/>
      </c>
      <c r="AQ93" s="23">
        <f>Saldo_Residual_Activo!P93</f>
        <v/>
      </c>
      <c r="AR93" s="23">
        <f>ROUND(AP93 + AQ93, 2)</f>
        <v/>
      </c>
      <c r="AS93" s="23">
        <f>Saldos_Capital_Mensual!Q93</f>
        <v/>
      </c>
      <c r="AT93" s="23">
        <f>Saldos_Intereses_Mensual!Q93</f>
        <v/>
      </c>
      <c r="AU93" s="23">
        <f>ROUND(AS93 + AT93, 2)</f>
        <v/>
      </c>
      <c r="AV93" s="23">
        <f>Saldo_Residual_Activo!Q93</f>
        <v/>
      </c>
      <c r="AW93" s="23">
        <f>ROUND(AU93 + AV93, 2)</f>
        <v/>
      </c>
      <c r="AX93" s="23">
        <f>Saldos_Capital_Mensual!R93</f>
        <v/>
      </c>
      <c r="AY93" s="23">
        <f>Saldos_Intereses_Mensual!R93</f>
        <v/>
      </c>
      <c r="AZ93" s="23">
        <f>ROUND(AX93 + AY93, 2)</f>
        <v/>
      </c>
      <c r="BA93" s="23">
        <f>Saldo_Residual_Activo!R93</f>
        <v/>
      </c>
      <c r="BB93" s="23">
        <f>ROUND(AZ93 + BA93, 2)</f>
        <v/>
      </c>
      <c r="BC93" s="23">
        <f>Saldos_Capital_Mensual!S93</f>
        <v/>
      </c>
      <c r="BD93" s="23">
        <f>Saldos_Intereses_Mensual!S93</f>
        <v/>
      </c>
      <c r="BE93" s="23">
        <f>ROUND(BC93 + BD93, 2)</f>
        <v/>
      </c>
      <c r="BF93" s="23">
        <f>Saldo_Residual_Activo!S93</f>
        <v/>
      </c>
      <c r="BG93" s="23">
        <f>ROUND(BE93 + BF93, 2)</f>
        <v/>
      </c>
      <c r="BH93" s="23">
        <f>Saldos_Capital_Mensual!T93</f>
        <v/>
      </c>
      <c r="BI93" s="23">
        <f>Saldos_Intereses_Mensual!T93</f>
        <v/>
      </c>
      <c r="BJ93" s="23">
        <f>ROUND(BH93 + BI93, 2)</f>
        <v/>
      </c>
      <c r="BK93" s="23">
        <f>Saldo_Residual_Activo!T93</f>
        <v/>
      </c>
      <c r="BL93" s="23">
        <f>ROUND(BJ93 + BK93, 2)</f>
        <v/>
      </c>
    </row>
    <row r="94">
      <c r="A94" s="26" t="inlineStr">
        <is>
          <t>0635-0008</t>
        </is>
      </c>
      <c r="B94" s="27" t="inlineStr">
        <is>
          <t>Ankara Food Services Sa de CV</t>
        </is>
      </c>
      <c r="C94" s="27" t="inlineStr">
        <is>
          <t>Wrangler 4 XE</t>
        </is>
      </c>
      <c r="D94" s="28" t="n">
        <v>48</v>
      </c>
      <c r="E94" s="29">
        <f>Saldos_Capital_Mensual!I94</f>
        <v/>
      </c>
      <c r="F94" s="29">
        <f>Saldos_Intereses_Mensual!I94</f>
        <v/>
      </c>
      <c r="G94" s="29">
        <f>ROUND(E94 + F94, 2)</f>
        <v/>
      </c>
      <c r="H94" s="29">
        <f>Saldo_Residual_Activo!I94</f>
        <v/>
      </c>
      <c r="I94" s="29">
        <f>ROUND(G94 + H94, 2)</f>
        <v/>
      </c>
      <c r="J94" s="29">
        <f>Saldos_Capital_Mensual!J94</f>
        <v/>
      </c>
      <c r="K94" s="29">
        <f>Saldos_Intereses_Mensual!J94</f>
        <v/>
      </c>
      <c r="L94" s="29">
        <f>ROUND(J94 + K94, 2)</f>
        <v/>
      </c>
      <c r="M94" s="29">
        <f>Saldo_Residual_Activo!J94</f>
        <v/>
      </c>
      <c r="N94" s="29">
        <f>ROUND(L94 + M94, 2)</f>
        <v/>
      </c>
      <c r="O94" s="29">
        <f>Saldos_Capital_Mensual!K94</f>
        <v/>
      </c>
      <c r="P94" s="29">
        <f>Saldos_Intereses_Mensual!K94</f>
        <v/>
      </c>
      <c r="Q94" s="29">
        <f>ROUND(O94 + P94, 2)</f>
        <v/>
      </c>
      <c r="R94" s="29">
        <f>Saldo_Residual_Activo!K94</f>
        <v/>
      </c>
      <c r="S94" s="29">
        <f>ROUND(Q94 + R94, 2)</f>
        <v/>
      </c>
      <c r="T94" s="29">
        <f>Saldos_Capital_Mensual!L94</f>
        <v/>
      </c>
      <c r="U94" s="29">
        <f>Saldos_Intereses_Mensual!L94</f>
        <v/>
      </c>
      <c r="V94" s="29">
        <f>ROUND(T94 + U94, 2)</f>
        <v/>
      </c>
      <c r="W94" s="29">
        <f>Saldo_Residual_Activo!L94</f>
        <v/>
      </c>
      <c r="X94" s="29">
        <f>ROUND(V94 + W94, 2)</f>
        <v/>
      </c>
      <c r="Y94" s="29">
        <f>Saldos_Capital_Mensual!M94</f>
        <v/>
      </c>
      <c r="Z94" s="29">
        <f>Saldos_Intereses_Mensual!M94</f>
        <v/>
      </c>
      <c r="AA94" s="29">
        <f>ROUND(Y94 + Z94, 2)</f>
        <v/>
      </c>
      <c r="AB94" s="29">
        <f>Saldo_Residual_Activo!M94</f>
        <v/>
      </c>
      <c r="AC94" s="29">
        <f>ROUND(AA94 + AB94, 2)</f>
        <v/>
      </c>
      <c r="AD94" s="29">
        <f>Saldos_Capital_Mensual!N94</f>
        <v/>
      </c>
      <c r="AE94" s="29">
        <f>Saldos_Intereses_Mensual!N94</f>
        <v/>
      </c>
      <c r="AF94" s="29">
        <f>ROUND(AD94 + AE94, 2)</f>
        <v/>
      </c>
      <c r="AG94" s="29">
        <f>Saldo_Residual_Activo!N94</f>
        <v/>
      </c>
      <c r="AH94" s="29">
        <f>ROUND(AF94 + AG94, 2)</f>
        <v/>
      </c>
      <c r="AI94" s="29">
        <f>Saldos_Capital_Mensual!O94</f>
        <v/>
      </c>
      <c r="AJ94" s="29">
        <f>Saldos_Intereses_Mensual!O94</f>
        <v/>
      </c>
      <c r="AK94" s="29">
        <f>ROUND(AI94 + AJ94, 2)</f>
        <v/>
      </c>
      <c r="AL94" s="29">
        <f>Saldo_Residual_Activo!O94</f>
        <v/>
      </c>
      <c r="AM94" s="29">
        <f>ROUND(AK94 + AL94, 2)</f>
        <v/>
      </c>
      <c r="AN94" s="29">
        <f>Saldos_Capital_Mensual!P94</f>
        <v/>
      </c>
      <c r="AO94" s="29">
        <f>Saldos_Intereses_Mensual!P94</f>
        <v/>
      </c>
      <c r="AP94" s="29">
        <f>ROUND(AN94 + AO94, 2)</f>
        <v/>
      </c>
      <c r="AQ94" s="29">
        <f>Saldo_Residual_Activo!P94</f>
        <v/>
      </c>
      <c r="AR94" s="29">
        <f>ROUND(AP94 + AQ94, 2)</f>
        <v/>
      </c>
      <c r="AS94" s="29">
        <f>Saldos_Capital_Mensual!Q94</f>
        <v/>
      </c>
      <c r="AT94" s="29">
        <f>Saldos_Intereses_Mensual!Q94</f>
        <v/>
      </c>
      <c r="AU94" s="29">
        <f>ROUND(AS94 + AT94, 2)</f>
        <v/>
      </c>
      <c r="AV94" s="29">
        <f>Saldo_Residual_Activo!Q94</f>
        <v/>
      </c>
      <c r="AW94" s="29">
        <f>ROUND(AU94 + AV94, 2)</f>
        <v/>
      </c>
      <c r="AX94" s="29">
        <f>Saldos_Capital_Mensual!R94</f>
        <v/>
      </c>
      <c r="AY94" s="29">
        <f>Saldos_Intereses_Mensual!R94</f>
        <v/>
      </c>
      <c r="AZ94" s="29">
        <f>ROUND(AX94 + AY94, 2)</f>
        <v/>
      </c>
      <c r="BA94" s="29">
        <f>Saldo_Residual_Activo!R94</f>
        <v/>
      </c>
      <c r="BB94" s="29">
        <f>ROUND(AZ94 + BA94, 2)</f>
        <v/>
      </c>
      <c r="BC94" s="29">
        <f>Saldos_Capital_Mensual!S94</f>
        <v/>
      </c>
      <c r="BD94" s="29">
        <f>Saldos_Intereses_Mensual!S94</f>
        <v/>
      </c>
      <c r="BE94" s="29">
        <f>ROUND(BC94 + BD94, 2)</f>
        <v/>
      </c>
      <c r="BF94" s="29">
        <f>Saldo_Residual_Activo!S94</f>
        <v/>
      </c>
      <c r="BG94" s="29">
        <f>ROUND(BE94 + BF94, 2)</f>
        <v/>
      </c>
      <c r="BH94" s="29">
        <f>Saldos_Capital_Mensual!T94</f>
        <v/>
      </c>
      <c r="BI94" s="29">
        <f>Saldos_Intereses_Mensual!T94</f>
        <v/>
      </c>
      <c r="BJ94" s="29">
        <f>ROUND(BH94 + BI94, 2)</f>
        <v/>
      </c>
      <c r="BK94" s="29">
        <f>Saldo_Residual_Activo!T94</f>
        <v/>
      </c>
      <c r="BL94" s="29">
        <f>ROUND(BJ94 + BK94, 2)</f>
        <v/>
      </c>
    </row>
    <row r="95">
      <c r="A95" s="20" t="inlineStr">
        <is>
          <t>0640-0001</t>
        </is>
      </c>
      <c r="B95" s="21" t="inlineStr">
        <is>
          <t>Marco Abner Hernand Barragan</t>
        </is>
      </c>
      <c r="C95" s="21" t="inlineStr">
        <is>
          <t>RIFTER</t>
        </is>
      </c>
      <c r="D95" s="22" t="n">
        <v>48</v>
      </c>
      <c r="E95" s="23">
        <f>Saldos_Capital_Mensual!I95</f>
        <v/>
      </c>
      <c r="F95" s="23">
        <f>Saldos_Intereses_Mensual!I95</f>
        <v/>
      </c>
      <c r="G95" s="23">
        <f>ROUND(E95 + F95, 2)</f>
        <v/>
      </c>
      <c r="H95" s="23">
        <f>Saldo_Residual_Activo!I95</f>
        <v/>
      </c>
      <c r="I95" s="23">
        <f>ROUND(G95 + H95, 2)</f>
        <v/>
      </c>
      <c r="J95" s="23">
        <f>Saldos_Capital_Mensual!J95</f>
        <v/>
      </c>
      <c r="K95" s="23">
        <f>Saldos_Intereses_Mensual!J95</f>
        <v/>
      </c>
      <c r="L95" s="23">
        <f>ROUND(J95 + K95, 2)</f>
        <v/>
      </c>
      <c r="M95" s="23">
        <f>Saldo_Residual_Activo!J95</f>
        <v/>
      </c>
      <c r="N95" s="23">
        <f>ROUND(L95 + M95, 2)</f>
        <v/>
      </c>
      <c r="O95" s="23">
        <f>Saldos_Capital_Mensual!K95</f>
        <v/>
      </c>
      <c r="P95" s="23">
        <f>Saldos_Intereses_Mensual!K95</f>
        <v/>
      </c>
      <c r="Q95" s="23">
        <f>ROUND(O95 + P95, 2)</f>
        <v/>
      </c>
      <c r="R95" s="23">
        <f>Saldo_Residual_Activo!K95</f>
        <v/>
      </c>
      <c r="S95" s="23">
        <f>ROUND(Q95 + R95, 2)</f>
        <v/>
      </c>
      <c r="T95" s="23">
        <f>Saldos_Capital_Mensual!L95</f>
        <v/>
      </c>
      <c r="U95" s="23">
        <f>Saldos_Intereses_Mensual!L95</f>
        <v/>
      </c>
      <c r="V95" s="23">
        <f>ROUND(T95 + U95, 2)</f>
        <v/>
      </c>
      <c r="W95" s="23">
        <f>Saldo_Residual_Activo!L95</f>
        <v/>
      </c>
      <c r="X95" s="23">
        <f>ROUND(V95 + W95, 2)</f>
        <v/>
      </c>
      <c r="Y95" s="23">
        <f>Saldos_Capital_Mensual!M95</f>
        <v/>
      </c>
      <c r="Z95" s="23">
        <f>Saldos_Intereses_Mensual!M95</f>
        <v/>
      </c>
      <c r="AA95" s="23">
        <f>ROUND(Y95 + Z95, 2)</f>
        <v/>
      </c>
      <c r="AB95" s="23">
        <f>Saldo_Residual_Activo!M95</f>
        <v/>
      </c>
      <c r="AC95" s="23">
        <f>ROUND(AA95 + AB95, 2)</f>
        <v/>
      </c>
      <c r="AD95" s="23">
        <f>Saldos_Capital_Mensual!N95</f>
        <v/>
      </c>
      <c r="AE95" s="23">
        <f>Saldos_Intereses_Mensual!N95</f>
        <v/>
      </c>
      <c r="AF95" s="23">
        <f>ROUND(AD95 + AE95, 2)</f>
        <v/>
      </c>
      <c r="AG95" s="23">
        <f>Saldo_Residual_Activo!N95</f>
        <v/>
      </c>
      <c r="AH95" s="23">
        <f>ROUND(AF95 + AG95, 2)</f>
        <v/>
      </c>
      <c r="AI95" s="23">
        <f>Saldos_Capital_Mensual!O95</f>
        <v/>
      </c>
      <c r="AJ95" s="23">
        <f>Saldos_Intereses_Mensual!O95</f>
        <v/>
      </c>
      <c r="AK95" s="23">
        <f>ROUND(AI95 + AJ95, 2)</f>
        <v/>
      </c>
      <c r="AL95" s="23">
        <f>Saldo_Residual_Activo!O95</f>
        <v/>
      </c>
      <c r="AM95" s="23">
        <f>ROUND(AK95 + AL95, 2)</f>
        <v/>
      </c>
      <c r="AN95" s="23">
        <f>Saldos_Capital_Mensual!P95</f>
        <v/>
      </c>
      <c r="AO95" s="23">
        <f>Saldos_Intereses_Mensual!P95</f>
        <v/>
      </c>
      <c r="AP95" s="23">
        <f>ROUND(AN95 + AO95, 2)</f>
        <v/>
      </c>
      <c r="AQ95" s="23">
        <f>Saldo_Residual_Activo!P95</f>
        <v/>
      </c>
      <c r="AR95" s="23">
        <f>ROUND(AP95 + AQ95, 2)</f>
        <v/>
      </c>
      <c r="AS95" s="23">
        <f>Saldos_Capital_Mensual!Q95</f>
        <v/>
      </c>
      <c r="AT95" s="23">
        <f>Saldos_Intereses_Mensual!Q95</f>
        <v/>
      </c>
      <c r="AU95" s="23">
        <f>ROUND(AS95 + AT95, 2)</f>
        <v/>
      </c>
      <c r="AV95" s="23">
        <f>Saldo_Residual_Activo!Q95</f>
        <v/>
      </c>
      <c r="AW95" s="23">
        <f>ROUND(AU95 + AV95, 2)</f>
        <v/>
      </c>
      <c r="AX95" s="23">
        <f>Saldos_Capital_Mensual!R95</f>
        <v/>
      </c>
      <c r="AY95" s="23">
        <f>Saldos_Intereses_Mensual!R95</f>
        <v/>
      </c>
      <c r="AZ95" s="23">
        <f>ROUND(AX95 + AY95, 2)</f>
        <v/>
      </c>
      <c r="BA95" s="23">
        <f>Saldo_Residual_Activo!R95</f>
        <v/>
      </c>
      <c r="BB95" s="23">
        <f>ROUND(AZ95 + BA95, 2)</f>
        <v/>
      </c>
      <c r="BC95" s="23">
        <f>Saldos_Capital_Mensual!S95</f>
        <v/>
      </c>
      <c r="BD95" s="23">
        <f>Saldos_Intereses_Mensual!S95</f>
        <v/>
      </c>
      <c r="BE95" s="23">
        <f>ROUND(BC95 + BD95, 2)</f>
        <v/>
      </c>
      <c r="BF95" s="23">
        <f>Saldo_Residual_Activo!S95</f>
        <v/>
      </c>
      <c r="BG95" s="23">
        <f>ROUND(BE95 + BF95, 2)</f>
        <v/>
      </c>
      <c r="BH95" s="23">
        <f>Saldos_Capital_Mensual!T95</f>
        <v/>
      </c>
      <c r="BI95" s="23">
        <f>Saldos_Intereses_Mensual!T95</f>
        <v/>
      </c>
      <c r="BJ95" s="23">
        <f>ROUND(BH95 + BI95, 2)</f>
        <v/>
      </c>
      <c r="BK95" s="23">
        <f>Saldo_Residual_Activo!T95</f>
        <v/>
      </c>
      <c r="BL95" s="23">
        <f>ROUND(BJ95 + BK95, 2)</f>
        <v/>
      </c>
    </row>
    <row r="96">
      <c r="A96" s="26" t="inlineStr">
        <is>
          <t>0641-0001</t>
        </is>
      </c>
      <c r="B96" s="27" t="inlineStr">
        <is>
          <t>Agrideaz Sa de Cv</t>
        </is>
      </c>
      <c r="C96" s="27" t="inlineStr">
        <is>
          <t>Pulse Audace</t>
        </is>
      </c>
      <c r="D96" s="28" t="n">
        <v>36</v>
      </c>
      <c r="E96" s="29">
        <f>Saldos_Capital_Mensual!I96</f>
        <v/>
      </c>
      <c r="F96" s="29">
        <f>Saldos_Intereses_Mensual!I96</f>
        <v/>
      </c>
      <c r="G96" s="29">
        <f>ROUND(E96 + F96, 2)</f>
        <v/>
      </c>
      <c r="H96" s="29">
        <f>Saldo_Residual_Activo!I96</f>
        <v/>
      </c>
      <c r="I96" s="29">
        <f>ROUND(G96 + H96, 2)</f>
        <v/>
      </c>
      <c r="J96" s="29">
        <f>Saldos_Capital_Mensual!J96</f>
        <v/>
      </c>
      <c r="K96" s="29">
        <f>Saldos_Intereses_Mensual!J96</f>
        <v/>
      </c>
      <c r="L96" s="29">
        <f>ROUND(J96 + K96, 2)</f>
        <v/>
      </c>
      <c r="M96" s="29">
        <f>Saldo_Residual_Activo!J96</f>
        <v/>
      </c>
      <c r="N96" s="29">
        <f>ROUND(L96 + M96, 2)</f>
        <v/>
      </c>
      <c r="O96" s="29">
        <f>Saldos_Capital_Mensual!K96</f>
        <v/>
      </c>
      <c r="P96" s="29">
        <f>Saldos_Intereses_Mensual!K96</f>
        <v/>
      </c>
      <c r="Q96" s="29">
        <f>ROUND(O96 + P96, 2)</f>
        <v/>
      </c>
      <c r="R96" s="29">
        <f>Saldo_Residual_Activo!K96</f>
        <v/>
      </c>
      <c r="S96" s="29">
        <f>ROUND(Q96 + R96, 2)</f>
        <v/>
      </c>
      <c r="T96" s="29">
        <f>Saldos_Capital_Mensual!L96</f>
        <v/>
      </c>
      <c r="U96" s="29">
        <f>Saldos_Intereses_Mensual!L96</f>
        <v/>
      </c>
      <c r="V96" s="29">
        <f>ROUND(T96 + U96, 2)</f>
        <v/>
      </c>
      <c r="W96" s="29">
        <f>Saldo_Residual_Activo!L96</f>
        <v/>
      </c>
      <c r="X96" s="29">
        <f>ROUND(V96 + W96, 2)</f>
        <v/>
      </c>
      <c r="Y96" s="29">
        <f>Saldos_Capital_Mensual!M96</f>
        <v/>
      </c>
      <c r="Z96" s="29">
        <f>Saldos_Intereses_Mensual!M96</f>
        <v/>
      </c>
      <c r="AA96" s="29">
        <f>ROUND(Y96 + Z96, 2)</f>
        <v/>
      </c>
      <c r="AB96" s="29">
        <f>Saldo_Residual_Activo!M96</f>
        <v/>
      </c>
      <c r="AC96" s="29">
        <f>ROUND(AA96 + AB96, 2)</f>
        <v/>
      </c>
      <c r="AD96" s="29">
        <f>Saldos_Capital_Mensual!N96</f>
        <v/>
      </c>
      <c r="AE96" s="29">
        <f>Saldos_Intereses_Mensual!N96</f>
        <v/>
      </c>
      <c r="AF96" s="29">
        <f>ROUND(AD96 + AE96, 2)</f>
        <v/>
      </c>
      <c r="AG96" s="29">
        <f>Saldo_Residual_Activo!N96</f>
        <v/>
      </c>
      <c r="AH96" s="29">
        <f>ROUND(AF96 + AG96, 2)</f>
        <v/>
      </c>
      <c r="AI96" s="29">
        <f>Saldos_Capital_Mensual!O96</f>
        <v/>
      </c>
      <c r="AJ96" s="29">
        <f>Saldos_Intereses_Mensual!O96</f>
        <v/>
      </c>
      <c r="AK96" s="29">
        <f>ROUND(AI96 + AJ96, 2)</f>
        <v/>
      </c>
      <c r="AL96" s="29">
        <f>Saldo_Residual_Activo!O96</f>
        <v/>
      </c>
      <c r="AM96" s="29">
        <f>ROUND(AK96 + AL96, 2)</f>
        <v/>
      </c>
      <c r="AN96" s="29">
        <f>Saldos_Capital_Mensual!P96</f>
        <v/>
      </c>
      <c r="AO96" s="29">
        <f>Saldos_Intereses_Mensual!P96</f>
        <v/>
      </c>
      <c r="AP96" s="29">
        <f>ROUND(AN96 + AO96, 2)</f>
        <v/>
      </c>
      <c r="AQ96" s="29">
        <f>Saldo_Residual_Activo!P96</f>
        <v/>
      </c>
      <c r="AR96" s="29">
        <f>ROUND(AP96 + AQ96, 2)</f>
        <v/>
      </c>
      <c r="AS96" s="29">
        <f>Saldos_Capital_Mensual!Q96</f>
        <v/>
      </c>
      <c r="AT96" s="29">
        <f>Saldos_Intereses_Mensual!Q96</f>
        <v/>
      </c>
      <c r="AU96" s="29">
        <f>ROUND(AS96 + AT96, 2)</f>
        <v/>
      </c>
      <c r="AV96" s="29">
        <f>Saldo_Residual_Activo!Q96</f>
        <v/>
      </c>
      <c r="AW96" s="29">
        <f>ROUND(AU96 + AV96, 2)</f>
        <v/>
      </c>
      <c r="AX96" s="29">
        <f>Saldos_Capital_Mensual!R96</f>
        <v/>
      </c>
      <c r="AY96" s="29">
        <f>Saldos_Intereses_Mensual!R96</f>
        <v/>
      </c>
      <c r="AZ96" s="29">
        <f>ROUND(AX96 + AY96, 2)</f>
        <v/>
      </c>
      <c r="BA96" s="29">
        <f>Saldo_Residual_Activo!R96</f>
        <v/>
      </c>
      <c r="BB96" s="29">
        <f>ROUND(AZ96 + BA96, 2)</f>
        <v/>
      </c>
      <c r="BC96" s="29">
        <f>Saldos_Capital_Mensual!S96</f>
        <v/>
      </c>
      <c r="BD96" s="29">
        <f>Saldos_Intereses_Mensual!S96</f>
        <v/>
      </c>
      <c r="BE96" s="29">
        <f>ROUND(BC96 + BD96, 2)</f>
        <v/>
      </c>
      <c r="BF96" s="29">
        <f>Saldo_Residual_Activo!S96</f>
        <v/>
      </c>
      <c r="BG96" s="29">
        <f>ROUND(BE96 + BF96, 2)</f>
        <v/>
      </c>
      <c r="BH96" s="29">
        <f>Saldos_Capital_Mensual!T96</f>
        <v/>
      </c>
      <c r="BI96" s="29">
        <f>Saldos_Intereses_Mensual!T96</f>
        <v/>
      </c>
      <c r="BJ96" s="29">
        <f>ROUND(BH96 + BI96, 2)</f>
        <v/>
      </c>
      <c r="BK96" s="29">
        <f>Saldo_Residual_Activo!T96</f>
        <v/>
      </c>
      <c r="BL96" s="29">
        <f>ROUND(BJ96 + BK96, 2)</f>
        <v/>
      </c>
    </row>
    <row r="97">
      <c r="A97" s="20" t="inlineStr">
        <is>
          <t>0641-0002</t>
        </is>
      </c>
      <c r="B97" s="21" t="inlineStr">
        <is>
          <t>Agrideaz Sa de Cv</t>
        </is>
      </c>
      <c r="C97" s="21" t="inlineStr">
        <is>
          <t>MOBI</t>
        </is>
      </c>
      <c r="D97" s="22" t="n">
        <v>36</v>
      </c>
      <c r="E97" s="23">
        <f>Saldos_Capital_Mensual!I97</f>
        <v/>
      </c>
      <c r="F97" s="23">
        <f>Saldos_Intereses_Mensual!I97</f>
        <v/>
      </c>
      <c r="G97" s="23">
        <f>ROUND(E97 + F97, 2)</f>
        <v/>
      </c>
      <c r="H97" s="23">
        <f>Saldo_Residual_Activo!I97</f>
        <v/>
      </c>
      <c r="I97" s="23">
        <f>ROUND(G97 + H97, 2)</f>
        <v/>
      </c>
      <c r="J97" s="23">
        <f>Saldos_Capital_Mensual!J97</f>
        <v/>
      </c>
      <c r="K97" s="23">
        <f>Saldos_Intereses_Mensual!J97</f>
        <v/>
      </c>
      <c r="L97" s="23">
        <f>ROUND(J97 + K97, 2)</f>
        <v/>
      </c>
      <c r="M97" s="23">
        <f>Saldo_Residual_Activo!J97</f>
        <v/>
      </c>
      <c r="N97" s="23">
        <f>ROUND(L97 + M97, 2)</f>
        <v/>
      </c>
      <c r="O97" s="23">
        <f>Saldos_Capital_Mensual!K97</f>
        <v/>
      </c>
      <c r="P97" s="23">
        <f>Saldos_Intereses_Mensual!K97</f>
        <v/>
      </c>
      <c r="Q97" s="23">
        <f>ROUND(O97 + P97, 2)</f>
        <v/>
      </c>
      <c r="R97" s="23">
        <f>Saldo_Residual_Activo!K97</f>
        <v/>
      </c>
      <c r="S97" s="23">
        <f>ROUND(Q97 + R97, 2)</f>
        <v/>
      </c>
      <c r="T97" s="23">
        <f>Saldos_Capital_Mensual!L97</f>
        <v/>
      </c>
      <c r="U97" s="23">
        <f>Saldos_Intereses_Mensual!L97</f>
        <v/>
      </c>
      <c r="V97" s="23">
        <f>ROUND(T97 + U97, 2)</f>
        <v/>
      </c>
      <c r="W97" s="23">
        <f>Saldo_Residual_Activo!L97</f>
        <v/>
      </c>
      <c r="X97" s="23">
        <f>ROUND(V97 + W97, 2)</f>
        <v/>
      </c>
      <c r="Y97" s="23">
        <f>Saldos_Capital_Mensual!M97</f>
        <v/>
      </c>
      <c r="Z97" s="23">
        <f>Saldos_Intereses_Mensual!M97</f>
        <v/>
      </c>
      <c r="AA97" s="23">
        <f>ROUND(Y97 + Z97, 2)</f>
        <v/>
      </c>
      <c r="AB97" s="23">
        <f>Saldo_Residual_Activo!M97</f>
        <v/>
      </c>
      <c r="AC97" s="23">
        <f>ROUND(AA97 + AB97, 2)</f>
        <v/>
      </c>
      <c r="AD97" s="23">
        <f>Saldos_Capital_Mensual!N97</f>
        <v/>
      </c>
      <c r="AE97" s="23">
        <f>Saldos_Intereses_Mensual!N97</f>
        <v/>
      </c>
      <c r="AF97" s="23">
        <f>ROUND(AD97 + AE97, 2)</f>
        <v/>
      </c>
      <c r="AG97" s="23">
        <f>Saldo_Residual_Activo!N97</f>
        <v/>
      </c>
      <c r="AH97" s="23">
        <f>ROUND(AF97 + AG97, 2)</f>
        <v/>
      </c>
      <c r="AI97" s="23">
        <f>Saldos_Capital_Mensual!O97</f>
        <v/>
      </c>
      <c r="AJ97" s="23">
        <f>Saldos_Intereses_Mensual!O97</f>
        <v/>
      </c>
      <c r="AK97" s="23">
        <f>ROUND(AI97 + AJ97, 2)</f>
        <v/>
      </c>
      <c r="AL97" s="23">
        <f>Saldo_Residual_Activo!O97</f>
        <v/>
      </c>
      <c r="AM97" s="23">
        <f>ROUND(AK97 + AL97, 2)</f>
        <v/>
      </c>
      <c r="AN97" s="23">
        <f>Saldos_Capital_Mensual!P97</f>
        <v/>
      </c>
      <c r="AO97" s="23">
        <f>Saldos_Intereses_Mensual!P97</f>
        <v/>
      </c>
      <c r="AP97" s="23">
        <f>ROUND(AN97 + AO97, 2)</f>
        <v/>
      </c>
      <c r="AQ97" s="23">
        <f>Saldo_Residual_Activo!P97</f>
        <v/>
      </c>
      <c r="AR97" s="23">
        <f>ROUND(AP97 + AQ97, 2)</f>
        <v/>
      </c>
      <c r="AS97" s="23">
        <f>Saldos_Capital_Mensual!Q97</f>
        <v/>
      </c>
      <c r="AT97" s="23">
        <f>Saldos_Intereses_Mensual!Q97</f>
        <v/>
      </c>
      <c r="AU97" s="23">
        <f>ROUND(AS97 + AT97, 2)</f>
        <v/>
      </c>
      <c r="AV97" s="23">
        <f>Saldo_Residual_Activo!Q97</f>
        <v/>
      </c>
      <c r="AW97" s="23">
        <f>ROUND(AU97 + AV97, 2)</f>
        <v/>
      </c>
      <c r="AX97" s="23">
        <f>Saldos_Capital_Mensual!R97</f>
        <v/>
      </c>
      <c r="AY97" s="23">
        <f>Saldos_Intereses_Mensual!R97</f>
        <v/>
      </c>
      <c r="AZ97" s="23">
        <f>ROUND(AX97 + AY97, 2)</f>
        <v/>
      </c>
      <c r="BA97" s="23">
        <f>Saldo_Residual_Activo!R97</f>
        <v/>
      </c>
      <c r="BB97" s="23">
        <f>ROUND(AZ97 + BA97, 2)</f>
        <v/>
      </c>
      <c r="BC97" s="23">
        <f>Saldos_Capital_Mensual!S97</f>
        <v/>
      </c>
      <c r="BD97" s="23">
        <f>Saldos_Intereses_Mensual!S97</f>
        <v/>
      </c>
      <c r="BE97" s="23">
        <f>ROUND(BC97 + BD97, 2)</f>
        <v/>
      </c>
      <c r="BF97" s="23">
        <f>Saldo_Residual_Activo!S97</f>
        <v/>
      </c>
      <c r="BG97" s="23">
        <f>ROUND(BE97 + BF97, 2)</f>
        <v/>
      </c>
      <c r="BH97" s="23">
        <f>Saldos_Capital_Mensual!T97</f>
        <v/>
      </c>
      <c r="BI97" s="23">
        <f>Saldos_Intereses_Mensual!T97</f>
        <v/>
      </c>
      <c r="BJ97" s="23">
        <f>ROUND(BH97 + BI97, 2)</f>
        <v/>
      </c>
      <c r="BK97" s="23">
        <f>Saldo_Residual_Activo!T97</f>
        <v/>
      </c>
      <c r="BL97" s="23">
        <f>ROUND(BJ97 + BK97, 2)</f>
        <v/>
      </c>
    </row>
    <row r="98">
      <c r="A98" s="26" t="inlineStr">
        <is>
          <t>0642-0001</t>
        </is>
      </c>
      <c r="B98" s="27" t="inlineStr">
        <is>
          <t>Incubadora de Occidente Sa de Cv</t>
        </is>
      </c>
      <c r="C98" s="27" t="inlineStr">
        <is>
          <t>GRAND CHEROKEE LIMITED</t>
        </is>
      </c>
      <c r="D98" s="28" t="n">
        <v>48</v>
      </c>
      <c r="E98" s="29">
        <f>Saldos_Capital_Mensual!I98</f>
        <v/>
      </c>
      <c r="F98" s="29">
        <f>Saldos_Intereses_Mensual!I98</f>
        <v/>
      </c>
      <c r="G98" s="29">
        <f>ROUND(E98 + F98, 2)</f>
        <v/>
      </c>
      <c r="H98" s="29">
        <f>Saldo_Residual_Activo!I98</f>
        <v/>
      </c>
      <c r="I98" s="29">
        <f>ROUND(G98 + H98, 2)</f>
        <v/>
      </c>
      <c r="J98" s="29">
        <f>Saldos_Capital_Mensual!J98</f>
        <v/>
      </c>
      <c r="K98" s="29">
        <f>Saldos_Intereses_Mensual!J98</f>
        <v/>
      </c>
      <c r="L98" s="29">
        <f>ROUND(J98 + K98, 2)</f>
        <v/>
      </c>
      <c r="M98" s="29">
        <f>Saldo_Residual_Activo!J98</f>
        <v/>
      </c>
      <c r="N98" s="29">
        <f>ROUND(L98 + M98, 2)</f>
        <v/>
      </c>
      <c r="O98" s="29">
        <f>Saldos_Capital_Mensual!K98</f>
        <v/>
      </c>
      <c r="P98" s="29">
        <f>Saldos_Intereses_Mensual!K98</f>
        <v/>
      </c>
      <c r="Q98" s="29">
        <f>ROUND(O98 + P98, 2)</f>
        <v/>
      </c>
      <c r="R98" s="29">
        <f>Saldo_Residual_Activo!K98</f>
        <v/>
      </c>
      <c r="S98" s="29">
        <f>ROUND(Q98 + R98, 2)</f>
        <v/>
      </c>
      <c r="T98" s="29">
        <f>Saldos_Capital_Mensual!L98</f>
        <v/>
      </c>
      <c r="U98" s="29">
        <f>Saldos_Intereses_Mensual!L98</f>
        <v/>
      </c>
      <c r="V98" s="29">
        <f>ROUND(T98 + U98, 2)</f>
        <v/>
      </c>
      <c r="W98" s="29">
        <f>Saldo_Residual_Activo!L98</f>
        <v/>
      </c>
      <c r="X98" s="29">
        <f>ROUND(V98 + W98, 2)</f>
        <v/>
      </c>
      <c r="Y98" s="29">
        <f>Saldos_Capital_Mensual!M98</f>
        <v/>
      </c>
      <c r="Z98" s="29">
        <f>Saldos_Intereses_Mensual!M98</f>
        <v/>
      </c>
      <c r="AA98" s="29">
        <f>ROUND(Y98 + Z98, 2)</f>
        <v/>
      </c>
      <c r="AB98" s="29">
        <f>Saldo_Residual_Activo!M98</f>
        <v/>
      </c>
      <c r="AC98" s="29">
        <f>ROUND(AA98 + AB98, 2)</f>
        <v/>
      </c>
      <c r="AD98" s="29">
        <f>Saldos_Capital_Mensual!N98</f>
        <v/>
      </c>
      <c r="AE98" s="29">
        <f>Saldos_Intereses_Mensual!N98</f>
        <v/>
      </c>
      <c r="AF98" s="29">
        <f>ROUND(AD98 + AE98, 2)</f>
        <v/>
      </c>
      <c r="AG98" s="29">
        <f>Saldo_Residual_Activo!N98</f>
        <v/>
      </c>
      <c r="AH98" s="29">
        <f>ROUND(AF98 + AG98, 2)</f>
        <v/>
      </c>
      <c r="AI98" s="29">
        <f>Saldos_Capital_Mensual!O98</f>
        <v/>
      </c>
      <c r="AJ98" s="29">
        <f>Saldos_Intereses_Mensual!O98</f>
        <v/>
      </c>
      <c r="AK98" s="29">
        <f>ROUND(AI98 + AJ98, 2)</f>
        <v/>
      </c>
      <c r="AL98" s="29">
        <f>Saldo_Residual_Activo!O98</f>
        <v/>
      </c>
      <c r="AM98" s="29">
        <f>ROUND(AK98 + AL98, 2)</f>
        <v/>
      </c>
      <c r="AN98" s="29">
        <f>Saldos_Capital_Mensual!P98</f>
        <v/>
      </c>
      <c r="AO98" s="29">
        <f>Saldos_Intereses_Mensual!P98</f>
        <v/>
      </c>
      <c r="AP98" s="29">
        <f>ROUND(AN98 + AO98, 2)</f>
        <v/>
      </c>
      <c r="AQ98" s="29">
        <f>Saldo_Residual_Activo!P98</f>
        <v/>
      </c>
      <c r="AR98" s="29">
        <f>ROUND(AP98 + AQ98, 2)</f>
        <v/>
      </c>
      <c r="AS98" s="29">
        <f>Saldos_Capital_Mensual!Q98</f>
        <v/>
      </c>
      <c r="AT98" s="29">
        <f>Saldos_Intereses_Mensual!Q98</f>
        <v/>
      </c>
      <c r="AU98" s="29">
        <f>ROUND(AS98 + AT98, 2)</f>
        <v/>
      </c>
      <c r="AV98" s="29">
        <f>Saldo_Residual_Activo!Q98</f>
        <v/>
      </c>
      <c r="AW98" s="29">
        <f>ROUND(AU98 + AV98, 2)</f>
        <v/>
      </c>
      <c r="AX98" s="29">
        <f>Saldos_Capital_Mensual!R98</f>
        <v/>
      </c>
      <c r="AY98" s="29">
        <f>Saldos_Intereses_Mensual!R98</f>
        <v/>
      </c>
      <c r="AZ98" s="29">
        <f>ROUND(AX98 + AY98, 2)</f>
        <v/>
      </c>
      <c r="BA98" s="29">
        <f>Saldo_Residual_Activo!R98</f>
        <v/>
      </c>
      <c r="BB98" s="29">
        <f>ROUND(AZ98 + BA98, 2)</f>
        <v/>
      </c>
      <c r="BC98" s="29">
        <f>Saldos_Capital_Mensual!S98</f>
        <v/>
      </c>
      <c r="BD98" s="29">
        <f>Saldos_Intereses_Mensual!S98</f>
        <v/>
      </c>
      <c r="BE98" s="29">
        <f>ROUND(BC98 + BD98, 2)</f>
        <v/>
      </c>
      <c r="BF98" s="29">
        <f>Saldo_Residual_Activo!S98</f>
        <v/>
      </c>
      <c r="BG98" s="29">
        <f>ROUND(BE98 + BF98, 2)</f>
        <v/>
      </c>
      <c r="BH98" s="29">
        <f>Saldos_Capital_Mensual!T98</f>
        <v/>
      </c>
      <c r="BI98" s="29">
        <f>Saldos_Intereses_Mensual!T98</f>
        <v/>
      </c>
      <c r="BJ98" s="29">
        <f>ROUND(BH98 + BI98, 2)</f>
        <v/>
      </c>
      <c r="BK98" s="29">
        <f>Saldo_Residual_Activo!T98</f>
        <v/>
      </c>
      <c r="BL98" s="29">
        <f>ROUND(BJ98 + BK98, 2)</f>
        <v/>
      </c>
    </row>
    <row r="99">
      <c r="A99" s="20" t="inlineStr">
        <is>
          <t>0644-0005</t>
        </is>
      </c>
      <c r="B99" s="21" t="inlineStr">
        <is>
          <t>Bakaya S.A.P.I.</t>
        </is>
      </c>
      <c r="C99" s="21" t="inlineStr">
        <is>
          <t>i118</t>
        </is>
      </c>
      <c r="D99" s="22" t="n">
        <v>36</v>
      </c>
      <c r="E99" s="23">
        <f>Saldos_Capital_Mensual!I99</f>
        <v/>
      </c>
      <c r="F99" s="23">
        <f>Saldos_Intereses_Mensual!I99</f>
        <v/>
      </c>
      <c r="G99" s="23">
        <f>ROUND(E99 + F99, 2)</f>
        <v/>
      </c>
      <c r="H99" s="23">
        <f>Saldo_Residual_Activo!I99</f>
        <v/>
      </c>
      <c r="I99" s="23">
        <f>ROUND(G99 + H99, 2)</f>
        <v/>
      </c>
      <c r="J99" s="23">
        <f>Saldos_Capital_Mensual!J99</f>
        <v/>
      </c>
      <c r="K99" s="23">
        <f>Saldos_Intereses_Mensual!J99</f>
        <v/>
      </c>
      <c r="L99" s="23">
        <f>ROUND(J99 + K99, 2)</f>
        <v/>
      </c>
      <c r="M99" s="23">
        <f>Saldo_Residual_Activo!J99</f>
        <v/>
      </c>
      <c r="N99" s="23">
        <f>ROUND(L99 + M99, 2)</f>
        <v/>
      </c>
      <c r="O99" s="23">
        <f>Saldos_Capital_Mensual!K99</f>
        <v/>
      </c>
      <c r="P99" s="23">
        <f>Saldos_Intereses_Mensual!K99</f>
        <v/>
      </c>
      <c r="Q99" s="23">
        <f>ROUND(O99 + P99, 2)</f>
        <v/>
      </c>
      <c r="R99" s="23">
        <f>Saldo_Residual_Activo!K99</f>
        <v/>
      </c>
      <c r="S99" s="23">
        <f>ROUND(Q99 + R99, 2)</f>
        <v/>
      </c>
      <c r="T99" s="23">
        <f>Saldos_Capital_Mensual!L99</f>
        <v/>
      </c>
      <c r="U99" s="23">
        <f>Saldos_Intereses_Mensual!L99</f>
        <v/>
      </c>
      <c r="V99" s="23">
        <f>ROUND(T99 + U99, 2)</f>
        <v/>
      </c>
      <c r="W99" s="23">
        <f>Saldo_Residual_Activo!L99</f>
        <v/>
      </c>
      <c r="X99" s="23">
        <f>ROUND(V99 + W99, 2)</f>
        <v/>
      </c>
      <c r="Y99" s="23">
        <f>Saldos_Capital_Mensual!M99</f>
        <v/>
      </c>
      <c r="Z99" s="23">
        <f>Saldos_Intereses_Mensual!M99</f>
        <v/>
      </c>
      <c r="AA99" s="23">
        <f>ROUND(Y99 + Z99, 2)</f>
        <v/>
      </c>
      <c r="AB99" s="23">
        <f>Saldo_Residual_Activo!M99</f>
        <v/>
      </c>
      <c r="AC99" s="23">
        <f>ROUND(AA99 + AB99, 2)</f>
        <v/>
      </c>
      <c r="AD99" s="23">
        <f>Saldos_Capital_Mensual!N99</f>
        <v/>
      </c>
      <c r="AE99" s="23">
        <f>Saldos_Intereses_Mensual!N99</f>
        <v/>
      </c>
      <c r="AF99" s="23">
        <f>ROUND(AD99 + AE99, 2)</f>
        <v/>
      </c>
      <c r="AG99" s="23">
        <f>Saldo_Residual_Activo!N99</f>
        <v/>
      </c>
      <c r="AH99" s="23">
        <f>ROUND(AF99 + AG99, 2)</f>
        <v/>
      </c>
      <c r="AI99" s="23">
        <f>Saldos_Capital_Mensual!O99</f>
        <v/>
      </c>
      <c r="AJ99" s="23">
        <f>Saldos_Intereses_Mensual!O99</f>
        <v/>
      </c>
      <c r="AK99" s="23">
        <f>ROUND(AI99 + AJ99, 2)</f>
        <v/>
      </c>
      <c r="AL99" s="23">
        <f>Saldo_Residual_Activo!O99</f>
        <v/>
      </c>
      <c r="AM99" s="23">
        <f>ROUND(AK99 + AL99, 2)</f>
        <v/>
      </c>
      <c r="AN99" s="23">
        <f>Saldos_Capital_Mensual!P99</f>
        <v/>
      </c>
      <c r="AO99" s="23">
        <f>Saldos_Intereses_Mensual!P99</f>
        <v/>
      </c>
      <c r="AP99" s="23">
        <f>ROUND(AN99 + AO99, 2)</f>
        <v/>
      </c>
      <c r="AQ99" s="23">
        <f>Saldo_Residual_Activo!P99</f>
        <v/>
      </c>
      <c r="AR99" s="23">
        <f>ROUND(AP99 + AQ99, 2)</f>
        <v/>
      </c>
      <c r="AS99" s="23">
        <f>Saldos_Capital_Mensual!Q99</f>
        <v/>
      </c>
      <c r="AT99" s="23">
        <f>Saldos_Intereses_Mensual!Q99</f>
        <v/>
      </c>
      <c r="AU99" s="23">
        <f>ROUND(AS99 + AT99, 2)</f>
        <v/>
      </c>
      <c r="AV99" s="23">
        <f>Saldo_Residual_Activo!Q99</f>
        <v/>
      </c>
      <c r="AW99" s="23">
        <f>ROUND(AU99 + AV99, 2)</f>
        <v/>
      </c>
      <c r="AX99" s="23">
        <f>Saldos_Capital_Mensual!R99</f>
        <v/>
      </c>
      <c r="AY99" s="23">
        <f>Saldos_Intereses_Mensual!R99</f>
        <v/>
      </c>
      <c r="AZ99" s="23">
        <f>ROUND(AX99 + AY99, 2)</f>
        <v/>
      </c>
      <c r="BA99" s="23">
        <f>Saldo_Residual_Activo!R99</f>
        <v/>
      </c>
      <c r="BB99" s="23">
        <f>ROUND(AZ99 + BA99, 2)</f>
        <v/>
      </c>
      <c r="BC99" s="23">
        <f>Saldos_Capital_Mensual!S99</f>
        <v/>
      </c>
      <c r="BD99" s="23">
        <f>Saldos_Intereses_Mensual!S99</f>
        <v/>
      </c>
      <c r="BE99" s="23">
        <f>ROUND(BC99 + BD99, 2)</f>
        <v/>
      </c>
      <c r="BF99" s="23">
        <f>Saldo_Residual_Activo!S99</f>
        <v/>
      </c>
      <c r="BG99" s="23">
        <f>ROUND(BE99 + BF99, 2)</f>
        <v/>
      </c>
      <c r="BH99" s="23">
        <f>Saldos_Capital_Mensual!T99</f>
        <v/>
      </c>
      <c r="BI99" s="23">
        <f>Saldos_Intereses_Mensual!T99</f>
        <v/>
      </c>
      <c r="BJ99" s="23">
        <f>ROUND(BH99 + BI99, 2)</f>
        <v/>
      </c>
      <c r="BK99" s="23">
        <f>Saldo_Residual_Activo!T99</f>
        <v/>
      </c>
      <c r="BL99" s="23">
        <f>ROUND(BJ99 + BK99, 2)</f>
        <v/>
      </c>
    </row>
    <row r="100">
      <c r="A100" s="26" t="inlineStr">
        <is>
          <t>0644-0006</t>
        </is>
      </c>
      <c r="B100" s="27" t="inlineStr">
        <is>
          <t>Bkaya S.A.P.I.</t>
        </is>
      </c>
      <c r="C100" s="27" t="inlineStr">
        <is>
          <t>Highlander XLE</t>
        </is>
      </c>
      <c r="D100" s="28" t="n">
        <v>36</v>
      </c>
      <c r="E100" s="29">
        <f>Saldos_Capital_Mensual!I100</f>
        <v/>
      </c>
      <c r="F100" s="29">
        <f>Saldos_Intereses_Mensual!I100</f>
        <v/>
      </c>
      <c r="G100" s="29">
        <f>ROUND(E100 + F100, 2)</f>
        <v/>
      </c>
      <c r="H100" s="29">
        <f>Saldo_Residual_Activo!I100</f>
        <v/>
      </c>
      <c r="I100" s="29">
        <f>ROUND(G100 + H100, 2)</f>
        <v/>
      </c>
      <c r="J100" s="29">
        <f>Saldos_Capital_Mensual!J100</f>
        <v/>
      </c>
      <c r="K100" s="29">
        <f>Saldos_Intereses_Mensual!J100</f>
        <v/>
      </c>
      <c r="L100" s="29">
        <f>ROUND(J100 + K100, 2)</f>
        <v/>
      </c>
      <c r="M100" s="29">
        <f>Saldo_Residual_Activo!J100</f>
        <v/>
      </c>
      <c r="N100" s="29">
        <f>ROUND(L100 + M100, 2)</f>
        <v/>
      </c>
      <c r="O100" s="29">
        <f>Saldos_Capital_Mensual!K100</f>
        <v/>
      </c>
      <c r="P100" s="29">
        <f>Saldos_Intereses_Mensual!K100</f>
        <v/>
      </c>
      <c r="Q100" s="29">
        <f>ROUND(O100 + P100, 2)</f>
        <v/>
      </c>
      <c r="R100" s="29">
        <f>Saldo_Residual_Activo!K100</f>
        <v/>
      </c>
      <c r="S100" s="29">
        <f>ROUND(Q100 + R100, 2)</f>
        <v/>
      </c>
      <c r="T100" s="29">
        <f>Saldos_Capital_Mensual!L100</f>
        <v/>
      </c>
      <c r="U100" s="29">
        <f>Saldos_Intereses_Mensual!L100</f>
        <v/>
      </c>
      <c r="V100" s="29">
        <f>ROUND(T100 + U100, 2)</f>
        <v/>
      </c>
      <c r="W100" s="29">
        <f>Saldo_Residual_Activo!L100</f>
        <v/>
      </c>
      <c r="X100" s="29">
        <f>ROUND(V100 + W100, 2)</f>
        <v/>
      </c>
      <c r="Y100" s="29">
        <f>Saldos_Capital_Mensual!M100</f>
        <v/>
      </c>
      <c r="Z100" s="29">
        <f>Saldos_Intereses_Mensual!M100</f>
        <v/>
      </c>
      <c r="AA100" s="29">
        <f>ROUND(Y100 + Z100, 2)</f>
        <v/>
      </c>
      <c r="AB100" s="29">
        <f>Saldo_Residual_Activo!M100</f>
        <v/>
      </c>
      <c r="AC100" s="29">
        <f>ROUND(AA100 + AB100, 2)</f>
        <v/>
      </c>
      <c r="AD100" s="29">
        <f>Saldos_Capital_Mensual!N100</f>
        <v/>
      </c>
      <c r="AE100" s="29">
        <f>Saldos_Intereses_Mensual!N100</f>
        <v/>
      </c>
      <c r="AF100" s="29">
        <f>ROUND(AD100 + AE100, 2)</f>
        <v/>
      </c>
      <c r="AG100" s="29">
        <f>Saldo_Residual_Activo!N100</f>
        <v/>
      </c>
      <c r="AH100" s="29">
        <f>ROUND(AF100 + AG100, 2)</f>
        <v/>
      </c>
      <c r="AI100" s="29">
        <f>Saldos_Capital_Mensual!O100</f>
        <v/>
      </c>
      <c r="AJ100" s="29">
        <f>Saldos_Intereses_Mensual!O100</f>
        <v/>
      </c>
      <c r="AK100" s="29">
        <f>ROUND(AI100 + AJ100, 2)</f>
        <v/>
      </c>
      <c r="AL100" s="29">
        <f>Saldo_Residual_Activo!O100</f>
        <v/>
      </c>
      <c r="AM100" s="29">
        <f>ROUND(AK100 + AL100, 2)</f>
        <v/>
      </c>
      <c r="AN100" s="29">
        <f>Saldos_Capital_Mensual!P100</f>
        <v/>
      </c>
      <c r="AO100" s="29">
        <f>Saldos_Intereses_Mensual!P100</f>
        <v/>
      </c>
      <c r="AP100" s="29">
        <f>ROUND(AN100 + AO100, 2)</f>
        <v/>
      </c>
      <c r="AQ100" s="29">
        <f>Saldo_Residual_Activo!P100</f>
        <v/>
      </c>
      <c r="AR100" s="29">
        <f>ROUND(AP100 + AQ100, 2)</f>
        <v/>
      </c>
      <c r="AS100" s="29">
        <f>Saldos_Capital_Mensual!Q100</f>
        <v/>
      </c>
      <c r="AT100" s="29">
        <f>Saldos_Intereses_Mensual!Q100</f>
        <v/>
      </c>
      <c r="AU100" s="29">
        <f>ROUND(AS100 + AT100, 2)</f>
        <v/>
      </c>
      <c r="AV100" s="29">
        <f>Saldo_Residual_Activo!Q100</f>
        <v/>
      </c>
      <c r="AW100" s="29">
        <f>ROUND(AU100 + AV100, 2)</f>
        <v/>
      </c>
      <c r="AX100" s="29">
        <f>Saldos_Capital_Mensual!R100</f>
        <v/>
      </c>
      <c r="AY100" s="29">
        <f>Saldos_Intereses_Mensual!R100</f>
        <v/>
      </c>
      <c r="AZ100" s="29">
        <f>ROUND(AX100 + AY100, 2)</f>
        <v/>
      </c>
      <c r="BA100" s="29">
        <f>Saldo_Residual_Activo!R100</f>
        <v/>
      </c>
      <c r="BB100" s="29">
        <f>ROUND(AZ100 + BA100, 2)</f>
        <v/>
      </c>
      <c r="BC100" s="29">
        <f>Saldos_Capital_Mensual!S100</f>
        <v/>
      </c>
      <c r="BD100" s="29">
        <f>Saldos_Intereses_Mensual!S100</f>
        <v/>
      </c>
      <c r="BE100" s="29">
        <f>ROUND(BC100 + BD100, 2)</f>
        <v/>
      </c>
      <c r="BF100" s="29">
        <f>Saldo_Residual_Activo!S100</f>
        <v/>
      </c>
      <c r="BG100" s="29">
        <f>ROUND(BE100 + BF100, 2)</f>
        <v/>
      </c>
      <c r="BH100" s="29">
        <f>Saldos_Capital_Mensual!T100</f>
        <v/>
      </c>
      <c r="BI100" s="29">
        <f>Saldos_Intereses_Mensual!T100</f>
        <v/>
      </c>
      <c r="BJ100" s="29">
        <f>ROUND(BH100 + BI100, 2)</f>
        <v/>
      </c>
      <c r="BK100" s="29">
        <f>Saldo_Residual_Activo!T100</f>
        <v/>
      </c>
      <c r="BL100" s="29">
        <f>ROUND(BJ100 + BK100, 2)</f>
        <v/>
      </c>
    </row>
    <row r="101">
      <c r="A101" s="20" t="inlineStr">
        <is>
          <t>0645-0001</t>
        </is>
      </c>
      <c r="B101" s="21" t="inlineStr">
        <is>
          <t>Armando Duran Rubio</t>
        </is>
      </c>
      <c r="C101" s="21" t="inlineStr">
        <is>
          <t>Ram 1500 Bighorn</t>
        </is>
      </c>
      <c r="D101" s="22" t="n">
        <v>48</v>
      </c>
      <c r="E101" s="23">
        <f>Saldos_Capital_Mensual!I101</f>
        <v/>
      </c>
      <c r="F101" s="23">
        <f>Saldos_Intereses_Mensual!I101</f>
        <v/>
      </c>
      <c r="G101" s="23">
        <f>ROUND(E101 + F101, 2)</f>
        <v/>
      </c>
      <c r="H101" s="23">
        <f>Saldo_Residual_Activo!I101</f>
        <v/>
      </c>
      <c r="I101" s="23">
        <f>ROUND(G101 + H101, 2)</f>
        <v/>
      </c>
      <c r="J101" s="23">
        <f>Saldos_Capital_Mensual!J101</f>
        <v/>
      </c>
      <c r="K101" s="23">
        <f>Saldos_Intereses_Mensual!J101</f>
        <v/>
      </c>
      <c r="L101" s="23">
        <f>ROUND(J101 + K101, 2)</f>
        <v/>
      </c>
      <c r="M101" s="23">
        <f>Saldo_Residual_Activo!J101</f>
        <v/>
      </c>
      <c r="N101" s="23">
        <f>ROUND(L101 + M101, 2)</f>
        <v/>
      </c>
      <c r="O101" s="23">
        <f>Saldos_Capital_Mensual!K101</f>
        <v/>
      </c>
      <c r="P101" s="23">
        <f>Saldos_Intereses_Mensual!K101</f>
        <v/>
      </c>
      <c r="Q101" s="23">
        <f>ROUND(O101 + P101, 2)</f>
        <v/>
      </c>
      <c r="R101" s="23">
        <f>Saldo_Residual_Activo!K101</f>
        <v/>
      </c>
      <c r="S101" s="23">
        <f>ROUND(Q101 + R101, 2)</f>
        <v/>
      </c>
      <c r="T101" s="23">
        <f>Saldos_Capital_Mensual!L101</f>
        <v/>
      </c>
      <c r="U101" s="23">
        <f>Saldos_Intereses_Mensual!L101</f>
        <v/>
      </c>
      <c r="V101" s="23">
        <f>ROUND(T101 + U101, 2)</f>
        <v/>
      </c>
      <c r="W101" s="23">
        <f>Saldo_Residual_Activo!L101</f>
        <v/>
      </c>
      <c r="X101" s="23">
        <f>ROUND(V101 + W101, 2)</f>
        <v/>
      </c>
      <c r="Y101" s="23">
        <f>Saldos_Capital_Mensual!M101</f>
        <v/>
      </c>
      <c r="Z101" s="23">
        <f>Saldos_Intereses_Mensual!M101</f>
        <v/>
      </c>
      <c r="AA101" s="23">
        <f>ROUND(Y101 + Z101, 2)</f>
        <v/>
      </c>
      <c r="AB101" s="23">
        <f>Saldo_Residual_Activo!M101</f>
        <v/>
      </c>
      <c r="AC101" s="23">
        <f>ROUND(AA101 + AB101, 2)</f>
        <v/>
      </c>
      <c r="AD101" s="23">
        <f>Saldos_Capital_Mensual!N101</f>
        <v/>
      </c>
      <c r="AE101" s="23">
        <f>Saldos_Intereses_Mensual!N101</f>
        <v/>
      </c>
      <c r="AF101" s="23">
        <f>ROUND(AD101 + AE101, 2)</f>
        <v/>
      </c>
      <c r="AG101" s="23">
        <f>Saldo_Residual_Activo!N101</f>
        <v/>
      </c>
      <c r="AH101" s="23">
        <f>ROUND(AF101 + AG101, 2)</f>
        <v/>
      </c>
      <c r="AI101" s="23">
        <f>Saldos_Capital_Mensual!O101</f>
        <v/>
      </c>
      <c r="AJ101" s="23">
        <f>Saldos_Intereses_Mensual!O101</f>
        <v/>
      </c>
      <c r="AK101" s="23">
        <f>ROUND(AI101 + AJ101, 2)</f>
        <v/>
      </c>
      <c r="AL101" s="23">
        <f>Saldo_Residual_Activo!O101</f>
        <v/>
      </c>
      <c r="AM101" s="23">
        <f>ROUND(AK101 + AL101, 2)</f>
        <v/>
      </c>
      <c r="AN101" s="23">
        <f>Saldos_Capital_Mensual!P101</f>
        <v/>
      </c>
      <c r="AO101" s="23">
        <f>Saldos_Intereses_Mensual!P101</f>
        <v/>
      </c>
      <c r="AP101" s="23">
        <f>ROUND(AN101 + AO101, 2)</f>
        <v/>
      </c>
      <c r="AQ101" s="23">
        <f>Saldo_Residual_Activo!P101</f>
        <v/>
      </c>
      <c r="AR101" s="23">
        <f>ROUND(AP101 + AQ101, 2)</f>
        <v/>
      </c>
      <c r="AS101" s="23">
        <f>Saldos_Capital_Mensual!Q101</f>
        <v/>
      </c>
      <c r="AT101" s="23">
        <f>Saldos_Intereses_Mensual!Q101</f>
        <v/>
      </c>
      <c r="AU101" s="23">
        <f>ROUND(AS101 + AT101, 2)</f>
        <v/>
      </c>
      <c r="AV101" s="23">
        <f>Saldo_Residual_Activo!Q101</f>
        <v/>
      </c>
      <c r="AW101" s="23">
        <f>ROUND(AU101 + AV101, 2)</f>
        <v/>
      </c>
      <c r="AX101" s="23">
        <f>Saldos_Capital_Mensual!R101</f>
        <v/>
      </c>
      <c r="AY101" s="23">
        <f>Saldos_Intereses_Mensual!R101</f>
        <v/>
      </c>
      <c r="AZ101" s="23">
        <f>ROUND(AX101 + AY101, 2)</f>
        <v/>
      </c>
      <c r="BA101" s="23">
        <f>Saldo_Residual_Activo!R101</f>
        <v/>
      </c>
      <c r="BB101" s="23">
        <f>ROUND(AZ101 + BA101, 2)</f>
        <v/>
      </c>
      <c r="BC101" s="23">
        <f>Saldos_Capital_Mensual!S101</f>
        <v/>
      </c>
      <c r="BD101" s="23">
        <f>Saldos_Intereses_Mensual!S101</f>
        <v/>
      </c>
      <c r="BE101" s="23">
        <f>ROUND(BC101 + BD101, 2)</f>
        <v/>
      </c>
      <c r="BF101" s="23">
        <f>Saldo_Residual_Activo!S101</f>
        <v/>
      </c>
      <c r="BG101" s="23">
        <f>ROUND(BE101 + BF101, 2)</f>
        <v/>
      </c>
      <c r="BH101" s="23">
        <f>Saldos_Capital_Mensual!T101</f>
        <v/>
      </c>
      <c r="BI101" s="23">
        <f>Saldos_Intereses_Mensual!T101</f>
        <v/>
      </c>
      <c r="BJ101" s="23">
        <f>ROUND(BH101 + BI101, 2)</f>
        <v/>
      </c>
      <c r="BK101" s="23">
        <f>Saldo_Residual_Activo!T101</f>
        <v/>
      </c>
      <c r="BL101" s="23">
        <f>ROUND(BJ101 + BK101, 2)</f>
        <v/>
      </c>
    </row>
    <row r="102">
      <c r="A102" s="26" t="inlineStr">
        <is>
          <t>0646-0001</t>
        </is>
      </c>
      <c r="B102" s="27" t="inlineStr">
        <is>
          <t>Liza Minerva Magallanes Reimers</t>
        </is>
      </c>
      <c r="C102" s="27" t="inlineStr">
        <is>
          <t>Wrangler</t>
        </is>
      </c>
      <c r="D102" s="28" t="n">
        <v>48</v>
      </c>
      <c r="E102" s="29">
        <f>Saldos_Capital_Mensual!I102</f>
        <v/>
      </c>
      <c r="F102" s="29">
        <f>Saldos_Intereses_Mensual!I102</f>
        <v/>
      </c>
      <c r="G102" s="29">
        <f>ROUND(E102 + F102, 2)</f>
        <v/>
      </c>
      <c r="H102" s="29">
        <f>Saldo_Residual_Activo!I102</f>
        <v/>
      </c>
      <c r="I102" s="29">
        <f>ROUND(G102 + H102, 2)</f>
        <v/>
      </c>
      <c r="J102" s="29">
        <f>Saldos_Capital_Mensual!J102</f>
        <v/>
      </c>
      <c r="K102" s="29">
        <f>Saldos_Intereses_Mensual!J102</f>
        <v/>
      </c>
      <c r="L102" s="29">
        <f>ROUND(J102 + K102, 2)</f>
        <v/>
      </c>
      <c r="M102" s="29">
        <f>Saldo_Residual_Activo!J102</f>
        <v/>
      </c>
      <c r="N102" s="29">
        <f>ROUND(L102 + M102, 2)</f>
        <v/>
      </c>
      <c r="O102" s="29">
        <f>Saldos_Capital_Mensual!K102</f>
        <v/>
      </c>
      <c r="P102" s="29">
        <f>Saldos_Intereses_Mensual!K102</f>
        <v/>
      </c>
      <c r="Q102" s="29">
        <f>ROUND(O102 + P102, 2)</f>
        <v/>
      </c>
      <c r="R102" s="29">
        <f>Saldo_Residual_Activo!K102</f>
        <v/>
      </c>
      <c r="S102" s="29">
        <f>ROUND(Q102 + R102, 2)</f>
        <v/>
      </c>
      <c r="T102" s="29">
        <f>Saldos_Capital_Mensual!L102</f>
        <v/>
      </c>
      <c r="U102" s="29">
        <f>Saldos_Intereses_Mensual!L102</f>
        <v/>
      </c>
      <c r="V102" s="29">
        <f>ROUND(T102 + U102, 2)</f>
        <v/>
      </c>
      <c r="W102" s="29">
        <f>Saldo_Residual_Activo!L102</f>
        <v/>
      </c>
      <c r="X102" s="29">
        <f>ROUND(V102 + W102, 2)</f>
        <v/>
      </c>
      <c r="Y102" s="29">
        <f>Saldos_Capital_Mensual!M102</f>
        <v/>
      </c>
      <c r="Z102" s="29">
        <f>Saldos_Intereses_Mensual!M102</f>
        <v/>
      </c>
      <c r="AA102" s="29">
        <f>ROUND(Y102 + Z102, 2)</f>
        <v/>
      </c>
      <c r="AB102" s="29">
        <f>Saldo_Residual_Activo!M102</f>
        <v/>
      </c>
      <c r="AC102" s="29">
        <f>ROUND(AA102 + AB102, 2)</f>
        <v/>
      </c>
      <c r="AD102" s="29">
        <f>Saldos_Capital_Mensual!N102</f>
        <v/>
      </c>
      <c r="AE102" s="29">
        <f>Saldos_Intereses_Mensual!N102</f>
        <v/>
      </c>
      <c r="AF102" s="29">
        <f>ROUND(AD102 + AE102, 2)</f>
        <v/>
      </c>
      <c r="AG102" s="29">
        <f>Saldo_Residual_Activo!N102</f>
        <v/>
      </c>
      <c r="AH102" s="29">
        <f>ROUND(AF102 + AG102, 2)</f>
        <v/>
      </c>
      <c r="AI102" s="29">
        <f>Saldos_Capital_Mensual!O102</f>
        <v/>
      </c>
      <c r="AJ102" s="29">
        <f>Saldos_Intereses_Mensual!O102</f>
        <v/>
      </c>
      <c r="AK102" s="29">
        <f>ROUND(AI102 + AJ102, 2)</f>
        <v/>
      </c>
      <c r="AL102" s="29">
        <f>Saldo_Residual_Activo!O102</f>
        <v/>
      </c>
      <c r="AM102" s="29">
        <f>ROUND(AK102 + AL102, 2)</f>
        <v/>
      </c>
      <c r="AN102" s="29">
        <f>Saldos_Capital_Mensual!P102</f>
        <v/>
      </c>
      <c r="AO102" s="29">
        <f>Saldos_Intereses_Mensual!P102</f>
        <v/>
      </c>
      <c r="AP102" s="29">
        <f>ROUND(AN102 + AO102, 2)</f>
        <v/>
      </c>
      <c r="AQ102" s="29">
        <f>Saldo_Residual_Activo!P102</f>
        <v/>
      </c>
      <c r="AR102" s="29">
        <f>ROUND(AP102 + AQ102, 2)</f>
        <v/>
      </c>
      <c r="AS102" s="29">
        <f>Saldos_Capital_Mensual!Q102</f>
        <v/>
      </c>
      <c r="AT102" s="29">
        <f>Saldos_Intereses_Mensual!Q102</f>
        <v/>
      </c>
      <c r="AU102" s="29">
        <f>ROUND(AS102 + AT102, 2)</f>
        <v/>
      </c>
      <c r="AV102" s="29">
        <f>Saldo_Residual_Activo!Q102</f>
        <v/>
      </c>
      <c r="AW102" s="29">
        <f>ROUND(AU102 + AV102, 2)</f>
        <v/>
      </c>
      <c r="AX102" s="29">
        <f>Saldos_Capital_Mensual!R102</f>
        <v/>
      </c>
      <c r="AY102" s="29">
        <f>Saldos_Intereses_Mensual!R102</f>
        <v/>
      </c>
      <c r="AZ102" s="29">
        <f>ROUND(AX102 + AY102, 2)</f>
        <v/>
      </c>
      <c r="BA102" s="29">
        <f>Saldo_Residual_Activo!R102</f>
        <v/>
      </c>
      <c r="BB102" s="29">
        <f>ROUND(AZ102 + BA102, 2)</f>
        <v/>
      </c>
      <c r="BC102" s="29">
        <f>Saldos_Capital_Mensual!S102</f>
        <v/>
      </c>
      <c r="BD102" s="29">
        <f>Saldos_Intereses_Mensual!S102</f>
        <v/>
      </c>
      <c r="BE102" s="29">
        <f>ROUND(BC102 + BD102, 2)</f>
        <v/>
      </c>
      <c r="BF102" s="29">
        <f>Saldo_Residual_Activo!S102</f>
        <v/>
      </c>
      <c r="BG102" s="29">
        <f>ROUND(BE102 + BF102, 2)</f>
        <v/>
      </c>
      <c r="BH102" s="29">
        <f>Saldos_Capital_Mensual!T102</f>
        <v/>
      </c>
      <c r="BI102" s="29">
        <f>Saldos_Intereses_Mensual!T102</f>
        <v/>
      </c>
      <c r="BJ102" s="29">
        <f>ROUND(BH102 + BI102, 2)</f>
        <v/>
      </c>
      <c r="BK102" s="29">
        <f>Saldo_Residual_Activo!T102</f>
        <v/>
      </c>
      <c r="BL102" s="29">
        <f>ROUND(BJ102 + BK102, 2)</f>
        <v/>
      </c>
    </row>
    <row r="103">
      <c r="A103" s="20" t="inlineStr">
        <is>
          <t>0647-0001</t>
        </is>
      </c>
      <c r="B103" s="21" t="inlineStr">
        <is>
          <t>Cibara Gourmet S de Rl de Cv</t>
        </is>
      </c>
      <c r="C103" s="21" t="inlineStr">
        <is>
          <t>Partner Maxi</t>
        </is>
      </c>
      <c r="D103" s="22" t="n">
        <v>36</v>
      </c>
      <c r="E103" s="23">
        <f>Saldos_Capital_Mensual!I103</f>
        <v/>
      </c>
      <c r="F103" s="23">
        <f>Saldos_Intereses_Mensual!I103</f>
        <v/>
      </c>
      <c r="G103" s="23">
        <f>ROUND(E103 + F103, 2)</f>
        <v/>
      </c>
      <c r="H103" s="23">
        <f>Saldo_Residual_Activo!I103</f>
        <v/>
      </c>
      <c r="I103" s="23">
        <f>ROUND(G103 + H103, 2)</f>
        <v/>
      </c>
      <c r="J103" s="23">
        <f>Saldos_Capital_Mensual!J103</f>
        <v/>
      </c>
      <c r="K103" s="23">
        <f>Saldos_Intereses_Mensual!J103</f>
        <v/>
      </c>
      <c r="L103" s="23">
        <f>ROUND(J103 + K103, 2)</f>
        <v/>
      </c>
      <c r="M103" s="23">
        <f>Saldo_Residual_Activo!J103</f>
        <v/>
      </c>
      <c r="N103" s="23">
        <f>ROUND(L103 + M103, 2)</f>
        <v/>
      </c>
      <c r="O103" s="23">
        <f>Saldos_Capital_Mensual!K103</f>
        <v/>
      </c>
      <c r="P103" s="23">
        <f>Saldos_Intereses_Mensual!K103</f>
        <v/>
      </c>
      <c r="Q103" s="23">
        <f>ROUND(O103 + P103, 2)</f>
        <v/>
      </c>
      <c r="R103" s="23">
        <f>Saldo_Residual_Activo!K103</f>
        <v/>
      </c>
      <c r="S103" s="23">
        <f>ROUND(Q103 + R103, 2)</f>
        <v/>
      </c>
      <c r="T103" s="23">
        <f>Saldos_Capital_Mensual!L103</f>
        <v/>
      </c>
      <c r="U103" s="23">
        <f>Saldos_Intereses_Mensual!L103</f>
        <v/>
      </c>
      <c r="V103" s="23">
        <f>ROUND(T103 + U103, 2)</f>
        <v/>
      </c>
      <c r="W103" s="23">
        <f>Saldo_Residual_Activo!L103</f>
        <v/>
      </c>
      <c r="X103" s="23">
        <f>ROUND(V103 + W103, 2)</f>
        <v/>
      </c>
      <c r="Y103" s="23">
        <f>Saldos_Capital_Mensual!M103</f>
        <v/>
      </c>
      <c r="Z103" s="23">
        <f>Saldos_Intereses_Mensual!M103</f>
        <v/>
      </c>
      <c r="AA103" s="23">
        <f>ROUND(Y103 + Z103, 2)</f>
        <v/>
      </c>
      <c r="AB103" s="23">
        <f>Saldo_Residual_Activo!M103</f>
        <v/>
      </c>
      <c r="AC103" s="23">
        <f>ROUND(AA103 + AB103, 2)</f>
        <v/>
      </c>
      <c r="AD103" s="23">
        <f>Saldos_Capital_Mensual!N103</f>
        <v/>
      </c>
      <c r="AE103" s="23">
        <f>Saldos_Intereses_Mensual!N103</f>
        <v/>
      </c>
      <c r="AF103" s="23">
        <f>ROUND(AD103 + AE103, 2)</f>
        <v/>
      </c>
      <c r="AG103" s="23">
        <f>Saldo_Residual_Activo!N103</f>
        <v/>
      </c>
      <c r="AH103" s="23">
        <f>ROUND(AF103 + AG103, 2)</f>
        <v/>
      </c>
      <c r="AI103" s="23">
        <f>Saldos_Capital_Mensual!O103</f>
        <v/>
      </c>
      <c r="AJ103" s="23">
        <f>Saldos_Intereses_Mensual!O103</f>
        <v/>
      </c>
      <c r="AK103" s="23">
        <f>ROUND(AI103 + AJ103, 2)</f>
        <v/>
      </c>
      <c r="AL103" s="23">
        <f>Saldo_Residual_Activo!O103</f>
        <v/>
      </c>
      <c r="AM103" s="23">
        <f>ROUND(AK103 + AL103, 2)</f>
        <v/>
      </c>
      <c r="AN103" s="23">
        <f>Saldos_Capital_Mensual!P103</f>
        <v/>
      </c>
      <c r="AO103" s="23">
        <f>Saldos_Intereses_Mensual!P103</f>
        <v/>
      </c>
      <c r="AP103" s="23">
        <f>ROUND(AN103 + AO103, 2)</f>
        <v/>
      </c>
      <c r="AQ103" s="23">
        <f>Saldo_Residual_Activo!P103</f>
        <v/>
      </c>
      <c r="AR103" s="23">
        <f>ROUND(AP103 + AQ103, 2)</f>
        <v/>
      </c>
      <c r="AS103" s="23">
        <f>Saldos_Capital_Mensual!Q103</f>
        <v/>
      </c>
      <c r="AT103" s="23">
        <f>Saldos_Intereses_Mensual!Q103</f>
        <v/>
      </c>
      <c r="AU103" s="23">
        <f>ROUND(AS103 + AT103, 2)</f>
        <v/>
      </c>
      <c r="AV103" s="23">
        <f>Saldo_Residual_Activo!Q103</f>
        <v/>
      </c>
      <c r="AW103" s="23">
        <f>ROUND(AU103 + AV103, 2)</f>
        <v/>
      </c>
      <c r="AX103" s="23">
        <f>Saldos_Capital_Mensual!R103</f>
        <v/>
      </c>
      <c r="AY103" s="23">
        <f>Saldos_Intereses_Mensual!R103</f>
        <v/>
      </c>
      <c r="AZ103" s="23">
        <f>ROUND(AX103 + AY103, 2)</f>
        <v/>
      </c>
      <c r="BA103" s="23">
        <f>Saldo_Residual_Activo!R103</f>
        <v/>
      </c>
      <c r="BB103" s="23">
        <f>ROUND(AZ103 + BA103, 2)</f>
        <v/>
      </c>
      <c r="BC103" s="23">
        <f>Saldos_Capital_Mensual!S103</f>
        <v/>
      </c>
      <c r="BD103" s="23">
        <f>Saldos_Intereses_Mensual!S103</f>
        <v/>
      </c>
      <c r="BE103" s="23">
        <f>ROUND(BC103 + BD103, 2)</f>
        <v/>
      </c>
      <c r="BF103" s="23">
        <f>Saldo_Residual_Activo!S103</f>
        <v/>
      </c>
      <c r="BG103" s="23">
        <f>ROUND(BE103 + BF103, 2)</f>
        <v/>
      </c>
      <c r="BH103" s="23">
        <f>Saldos_Capital_Mensual!T103</f>
        <v/>
      </c>
      <c r="BI103" s="23">
        <f>Saldos_Intereses_Mensual!T103</f>
        <v/>
      </c>
      <c r="BJ103" s="23">
        <f>ROUND(BH103 + BI103, 2)</f>
        <v/>
      </c>
      <c r="BK103" s="23">
        <f>Saldo_Residual_Activo!T103</f>
        <v/>
      </c>
      <c r="BL103" s="23">
        <f>ROUND(BJ103 + BK103, 2)</f>
        <v/>
      </c>
    </row>
    <row r="104">
      <c r="A104" s="26" t="inlineStr">
        <is>
          <t>0647-0002</t>
        </is>
      </c>
      <c r="B104" s="27" t="inlineStr">
        <is>
          <t>Cibara Gourmet S de Rl de Cv</t>
        </is>
      </c>
      <c r="C104" s="27" t="inlineStr">
        <is>
          <t>Rifter Allure Pack</t>
        </is>
      </c>
      <c r="D104" s="28" t="n">
        <v>36</v>
      </c>
      <c r="E104" s="29">
        <f>Saldos_Capital_Mensual!I104</f>
        <v/>
      </c>
      <c r="F104" s="29">
        <f>Saldos_Intereses_Mensual!I104</f>
        <v/>
      </c>
      <c r="G104" s="29">
        <f>ROUND(E104 + F104, 2)</f>
        <v/>
      </c>
      <c r="H104" s="29">
        <f>Saldo_Residual_Activo!I104</f>
        <v/>
      </c>
      <c r="I104" s="29">
        <f>ROUND(G104 + H104, 2)</f>
        <v/>
      </c>
      <c r="J104" s="29">
        <f>Saldos_Capital_Mensual!J104</f>
        <v/>
      </c>
      <c r="K104" s="29">
        <f>Saldos_Intereses_Mensual!J104</f>
        <v/>
      </c>
      <c r="L104" s="29">
        <f>ROUND(J104 + K104, 2)</f>
        <v/>
      </c>
      <c r="M104" s="29">
        <f>Saldo_Residual_Activo!J104</f>
        <v/>
      </c>
      <c r="N104" s="29">
        <f>ROUND(L104 + M104, 2)</f>
        <v/>
      </c>
      <c r="O104" s="29">
        <f>Saldos_Capital_Mensual!K104</f>
        <v/>
      </c>
      <c r="P104" s="29">
        <f>Saldos_Intereses_Mensual!K104</f>
        <v/>
      </c>
      <c r="Q104" s="29">
        <f>ROUND(O104 + P104, 2)</f>
        <v/>
      </c>
      <c r="R104" s="29">
        <f>Saldo_Residual_Activo!K104</f>
        <v/>
      </c>
      <c r="S104" s="29">
        <f>ROUND(Q104 + R104, 2)</f>
        <v/>
      </c>
      <c r="T104" s="29">
        <f>Saldos_Capital_Mensual!L104</f>
        <v/>
      </c>
      <c r="U104" s="29">
        <f>Saldos_Intereses_Mensual!L104</f>
        <v/>
      </c>
      <c r="V104" s="29">
        <f>ROUND(T104 + U104, 2)</f>
        <v/>
      </c>
      <c r="W104" s="29">
        <f>Saldo_Residual_Activo!L104</f>
        <v/>
      </c>
      <c r="X104" s="29">
        <f>ROUND(V104 + W104, 2)</f>
        <v/>
      </c>
      <c r="Y104" s="29">
        <f>Saldos_Capital_Mensual!M104</f>
        <v/>
      </c>
      <c r="Z104" s="29">
        <f>Saldos_Intereses_Mensual!M104</f>
        <v/>
      </c>
      <c r="AA104" s="29">
        <f>ROUND(Y104 + Z104, 2)</f>
        <v/>
      </c>
      <c r="AB104" s="29">
        <f>Saldo_Residual_Activo!M104</f>
        <v/>
      </c>
      <c r="AC104" s="29">
        <f>ROUND(AA104 + AB104, 2)</f>
        <v/>
      </c>
      <c r="AD104" s="29">
        <f>Saldos_Capital_Mensual!N104</f>
        <v/>
      </c>
      <c r="AE104" s="29">
        <f>Saldos_Intereses_Mensual!N104</f>
        <v/>
      </c>
      <c r="AF104" s="29">
        <f>ROUND(AD104 + AE104, 2)</f>
        <v/>
      </c>
      <c r="AG104" s="29">
        <f>Saldo_Residual_Activo!N104</f>
        <v/>
      </c>
      <c r="AH104" s="29">
        <f>ROUND(AF104 + AG104, 2)</f>
        <v/>
      </c>
      <c r="AI104" s="29">
        <f>Saldos_Capital_Mensual!O104</f>
        <v/>
      </c>
      <c r="AJ104" s="29">
        <f>Saldos_Intereses_Mensual!O104</f>
        <v/>
      </c>
      <c r="AK104" s="29">
        <f>ROUND(AI104 + AJ104, 2)</f>
        <v/>
      </c>
      <c r="AL104" s="29">
        <f>Saldo_Residual_Activo!O104</f>
        <v/>
      </c>
      <c r="AM104" s="29">
        <f>ROUND(AK104 + AL104, 2)</f>
        <v/>
      </c>
      <c r="AN104" s="29">
        <f>Saldos_Capital_Mensual!P104</f>
        <v/>
      </c>
      <c r="AO104" s="29">
        <f>Saldos_Intereses_Mensual!P104</f>
        <v/>
      </c>
      <c r="AP104" s="29">
        <f>ROUND(AN104 + AO104, 2)</f>
        <v/>
      </c>
      <c r="AQ104" s="29">
        <f>Saldo_Residual_Activo!P104</f>
        <v/>
      </c>
      <c r="AR104" s="29">
        <f>ROUND(AP104 + AQ104, 2)</f>
        <v/>
      </c>
      <c r="AS104" s="29">
        <f>Saldos_Capital_Mensual!Q104</f>
        <v/>
      </c>
      <c r="AT104" s="29">
        <f>Saldos_Intereses_Mensual!Q104</f>
        <v/>
      </c>
      <c r="AU104" s="29">
        <f>ROUND(AS104 + AT104, 2)</f>
        <v/>
      </c>
      <c r="AV104" s="29">
        <f>Saldo_Residual_Activo!Q104</f>
        <v/>
      </c>
      <c r="AW104" s="29">
        <f>ROUND(AU104 + AV104, 2)</f>
        <v/>
      </c>
      <c r="AX104" s="29">
        <f>Saldos_Capital_Mensual!R104</f>
        <v/>
      </c>
      <c r="AY104" s="29">
        <f>Saldos_Intereses_Mensual!R104</f>
        <v/>
      </c>
      <c r="AZ104" s="29">
        <f>ROUND(AX104 + AY104, 2)</f>
        <v/>
      </c>
      <c r="BA104" s="29">
        <f>Saldo_Residual_Activo!R104</f>
        <v/>
      </c>
      <c r="BB104" s="29">
        <f>ROUND(AZ104 + BA104, 2)</f>
        <v/>
      </c>
      <c r="BC104" s="29">
        <f>Saldos_Capital_Mensual!S104</f>
        <v/>
      </c>
      <c r="BD104" s="29">
        <f>Saldos_Intereses_Mensual!S104</f>
        <v/>
      </c>
      <c r="BE104" s="29">
        <f>ROUND(BC104 + BD104, 2)</f>
        <v/>
      </c>
      <c r="BF104" s="29">
        <f>Saldo_Residual_Activo!S104</f>
        <v/>
      </c>
      <c r="BG104" s="29">
        <f>ROUND(BE104 + BF104, 2)</f>
        <v/>
      </c>
      <c r="BH104" s="29">
        <f>Saldos_Capital_Mensual!T104</f>
        <v/>
      </c>
      <c r="BI104" s="29">
        <f>Saldos_Intereses_Mensual!T104</f>
        <v/>
      </c>
      <c r="BJ104" s="29">
        <f>ROUND(BH104 + BI104, 2)</f>
        <v/>
      </c>
      <c r="BK104" s="29">
        <f>Saldo_Residual_Activo!T104</f>
        <v/>
      </c>
      <c r="BL104" s="29">
        <f>ROUND(BJ104 + BK104, 2)</f>
        <v/>
      </c>
    </row>
    <row r="105">
      <c r="A105" s="20" t="inlineStr">
        <is>
          <t>0647-0003</t>
        </is>
      </c>
      <c r="B105" s="21" t="inlineStr">
        <is>
          <t>Cibaria Gourmet S de Rl de Cv</t>
        </is>
      </c>
      <c r="C105" s="21" t="inlineStr">
        <is>
          <t>1200 Bighorn</t>
        </is>
      </c>
      <c r="D105" s="22" t="n">
        <v>36</v>
      </c>
      <c r="E105" s="23">
        <f>Saldos_Capital_Mensual!I105</f>
        <v/>
      </c>
      <c r="F105" s="23">
        <f>Saldos_Intereses_Mensual!I105</f>
        <v/>
      </c>
      <c r="G105" s="23">
        <f>ROUND(E105 + F105, 2)</f>
        <v/>
      </c>
      <c r="H105" s="23">
        <f>Saldo_Residual_Activo!I105</f>
        <v/>
      </c>
      <c r="I105" s="23">
        <f>ROUND(G105 + H105, 2)</f>
        <v/>
      </c>
      <c r="J105" s="23">
        <f>Saldos_Capital_Mensual!J105</f>
        <v/>
      </c>
      <c r="K105" s="23">
        <f>Saldos_Intereses_Mensual!J105</f>
        <v/>
      </c>
      <c r="L105" s="23">
        <f>ROUND(J105 + K105, 2)</f>
        <v/>
      </c>
      <c r="M105" s="23">
        <f>Saldo_Residual_Activo!J105</f>
        <v/>
      </c>
      <c r="N105" s="23">
        <f>ROUND(L105 + M105, 2)</f>
        <v/>
      </c>
      <c r="O105" s="23">
        <f>Saldos_Capital_Mensual!K105</f>
        <v/>
      </c>
      <c r="P105" s="23">
        <f>Saldos_Intereses_Mensual!K105</f>
        <v/>
      </c>
      <c r="Q105" s="23">
        <f>ROUND(O105 + P105, 2)</f>
        <v/>
      </c>
      <c r="R105" s="23">
        <f>Saldo_Residual_Activo!K105</f>
        <v/>
      </c>
      <c r="S105" s="23">
        <f>ROUND(Q105 + R105, 2)</f>
        <v/>
      </c>
      <c r="T105" s="23">
        <f>Saldos_Capital_Mensual!L105</f>
        <v/>
      </c>
      <c r="U105" s="23">
        <f>Saldos_Intereses_Mensual!L105</f>
        <v/>
      </c>
      <c r="V105" s="23">
        <f>ROUND(T105 + U105, 2)</f>
        <v/>
      </c>
      <c r="W105" s="23">
        <f>Saldo_Residual_Activo!L105</f>
        <v/>
      </c>
      <c r="X105" s="23">
        <f>ROUND(V105 + W105, 2)</f>
        <v/>
      </c>
      <c r="Y105" s="23">
        <f>Saldos_Capital_Mensual!M105</f>
        <v/>
      </c>
      <c r="Z105" s="23">
        <f>Saldos_Intereses_Mensual!M105</f>
        <v/>
      </c>
      <c r="AA105" s="23">
        <f>ROUND(Y105 + Z105, 2)</f>
        <v/>
      </c>
      <c r="AB105" s="23">
        <f>Saldo_Residual_Activo!M105</f>
        <v/>
      </c>
      <c r="AC105" s="23">
        <f>ROUND(AA105 + AB105, 2)</f>
        <v/>
      </c>
      <c r="AD105" s="23">
        <f>Saldos_Capital_Mensual!N105</f>
        <v/>
      </c>
      <c r="AE105" s="23">
        <f>Saldos_Intereses_Mensual!N105</f>
        <v/>
      </c>
      <c r="AF105" s="23">
        <f>ROUND(AD105 + AE105, 2)</f>
        <v/>
      </c>
      <c r="AG105" s="23">
        <f>Saldo_Residual_Activo!N105</f>
        <v/>
      </c>
      <c r="AH105" s="23">
        <f>ROUND(AF105 + AG105, 2)</f>
        <v/>
      </c>
      <c r="AI105" s="23">
        <f>Saldos_Capital_Mensual!O105</f>
        <v/>
      </c>
      <c r="AJ105" s="23">
        <f>Saldos_Intereses_Mensual!O105</f>
        <v/>
      </c>
      <c r="AK105" s="23">
        <f>ROUND(AI105 + AJ105, 2)</f>
        <v/>
      </c>
      <c r="AL105" s="23">
        <f>Saldo_Residual_Activo!O105</f>
        <v/>
      </c>
      <c r="AM105" s="23">
        <f>ROUND(AK105 + AL105, 2)</f>
        <v/>
      </c>
      <c r="AN105" s="23">
        <f>Saldos_Capital_Mensual!P105</f>
        <v/>
      </c>
      <c r="AO105" s="23">
        <f>Saldos_Intereses_Mensual!P105</f>
        <v/>
      </c>
      <c r="AP105" s="23">
        <f>ROUND(AN105 + AO105, 2)</f>
        <v/>
      </c>
      <c r="AQ105" s="23">
        <f>Saldo_Residual_Activo!P105</f>
        <v/>
      </c>
      <c r="AR105" s="23">
        <f>ROUND(AP105 + AQ105, 2)</f>
        <v/>
      </c>
      <c r="AS105" s="23">
        <f>Saldos_Capital_Mensual!Q105</f>
        <v/>
      </c>
      <c r="AT105" s="23">
        <f>Saldos_Intereses_Mensual!Q105</f>
        <v/>
      </c>
      <c r="AU105" s="23">
        <f>ROUND(AS105 + AT105, 2)</f>
        <v/>
      </c>
      <c r="AV105" s="23">
        <f>Saldo_Residual_Activo!Q105</f>
        <v/>
      </c>
      <c r="AW105" s="23">
        <f>ROUND(AU105 + AV105, 2)</f>
        <v/>
      </c>
      <c r="AX105" s="23">
        <f>Saldos_Capital_Mensual!R105</f>
        <v/>
      </c>
      <c r="AY105" s="23">
        <f>Saldos_Intereses_Mensual!R105</f>
        <v/>
      </c>
      <c r="AZ105" s="23">
        <f>ROUND(AX105 + AY105, 2)</f>
        <v/>
      </c>
      <c r="BA105" s="23">
        <f>Saldo_Residual_Activo!R105</f>
        <v/>
      </c>
      <c r="BB105" s="23">
        <f>ROUND(AZ105 + BA105, 2)</f>
        <v/>
      </c>
      <c r="BC105" s="23">
        <f>Saldos_Capital_Mensual!S105</f>
        <v/>
      </c>
      <c r="BD105" s="23">
        <f>Saldos_Intereses_Mensual!S105</f>
        <v/>
      </c>
      <c r="BE105" s="23">
        <f>ROUND(BC105 + BD105, 2)</f>
        <v/>
      </c>
      <c r="BF105" s="23">
        <f>Saldo_Residual_Activo!S105</f>
        <v/>
      </c>
      <c r="BG105" s="23">
        <f>ROUND(BE105 + BF105, 2)</f>
        <v/>
      </c>
      <c r="BH105" s="23">
        <f>Saldos_Capital_Mensual!T105</f>
        <v/>
      </c>
      <c r="BI105" s="23">
        <f>Saldos_Intereses_Mensual!T105</f>
        <v/>
      </c>
      <c r="BJ105" s="23">
        <f>ROUND(BH105 + BI105, 2)</f>
        <v/>
      </c>
      <c r="BK105" s="23">
        <f>Saldo_Residual_Activo!T105</f>
        <v/>
      </c>
      <c r="BL105" s="23">
        <f>ROUND(BJ105 + BK105, 2)</f>
        <v/>
      </c>
    </row>
    <row r="106">
      <c r="A106" s="26" t="inlineStr">
        <is>
          <t>0647-0004</t>
        </is>
      </c>
      <c r="B106" s="27" t="inlineStr">
        <is>
          <t>Cibaria Gourmet S de Rl de Cv</t>
        </is>
      </c>
      <c r="C106" s="27" t="inlineStr">
        <is>
          <t>1200 Bighorn</t>
        </is>
      </c>
      <c r="D106" s="28" t="n">
        <v>36</v>
      </c>
      <c r="E106" s="29">
        <f>Saldos_Capital_Mensual!I106</f>
        <v/>
      </c>
      <c r="F106" s="29">
        <f>Saldos_Intereses_Mensual!I106</f>
        <v/>
      </c>
      <c r="G106" s="29">
        <f>ROUND(E106 + F106, 2)</f>
        <v/>
      </c>
      <c r="H106" s="29">
        <f>Saldo_Residual_Activo!I106</f>
        <v/>
      </c>
      <c r="I106" s="29">
        <f>ROUND(G106 + H106, 2)</f>
        <v/>
      </c>
      <c r="J106" s="29">
        <f>Saldos_Capital_Mensual!J106</f>
        <v/>
      </c>
      <c r="K106" s="29">
        <f>Saldos_Intereses_Mensual!J106</f>
        <v/>
      </c>
      <c r="L106" s="29">
        <f>ROUND(J106 + K106, 2)</f>
        <v/>
      </c>
      <c r="M106" s="29">
        <f>Saldo_Residual_Activo!J106</f>
        <v/>
      </c>
      <c r="N106" s="29">
        <f>ROUND(L106 + M106, 2)</f>
        <v/>
      </c>
      <c r="O106" s="29">
        <f>Saldos_Capital_Mensual!K106</f>
        <v/>
      </c>
      <c r="P106" s="29">
        <f>Saldos_Intereses_Mensual!K106</f>
        <v/>
      </c>
      <c r="Q106" s="29">
        <f>ROUND(O106 + P106, 2)</f>
        <v/>
      </c>
      <c r="R106" s="29">
        <f>Saldo_Residual_Activo!K106</f>
        <v/>
      </c>
      <c r="S106" s="29">
        <f>ROUND(Q106 + R106, 2)</f>
        <v/>
      </c>
      <c r="T106" s="29">
        <f>Saldos_Capital_Mensual!L106</f>
        <v/>
      </c>
      <c r="U106" s="29">
        <f>Saldos_Intereses_Mensual!L106</f>
        <v/>
      </c>
      <c r="V106" s="29">
        <f>ROUND(T106 + U106, 2)</f>
        <v/>
      </c>
      <c r="W106" s="29">
        <f>Saldo_Residual_Activo!L106</f>
        <v/>
      </c>
      <c r="X106" s="29">
        <f>ROUND(V106 + W106, 2)</f>
        <v/>
      </c>
      <c r="Y106" s="29">
        <f>Saldos_Capital_Mensual!M106</f>
        <v/>
      </c>
      <c r="Z106" s="29">
        <f>Saldos_Intereses_Mensual!M106</f>
        <v/>
      </c>
      <c r="AA106" s="29">
        <f>ROUND(Y106 + Z106, 2)</f>
        <v/>
      </c>
      <c r="AB106" s="29">
        <f>Saldo_Residual_Activo!M106</f>
        <v/>
      </c>
      <c r="AC106" s="29">
        <f>ROUND(AA106 + AB106, 2)</f>
        <v/>
      </c>
      <c r="AD106" s="29">
        <f>Saldos_Capital_Mensual!N106</f>
        <v/>
      </c>
      <c r="AE106" s="29">
        <f>Saldos_Intereses_Mensual!N106</f>
        <v/>
      </c>
      <c r="AF106" s="29">
        <f>ROUND(AD106 + AE106, 2)</f>
        <v/>
      </c>
      <c r="AG106" s="29">
        <f>Saldo_Residual_Activo!N106</f>
        <v/>
      </c>
      <c r="AH106" s="29">
        <f>ROUND(AF106 + AG106, 2)</f>
        <v/>
      </c>
      <c r="AI106" s="29">
        <f>Saldos_Capital_Mensual!O106</f>
        <v/>
      </c>
      <c r="AJ106" s="29">
        <f>Saldos_Intereses_Mensual!O106</f>
        <v/>
      </c>
      <c r="AK106" s="29">
        <f>ROUND(AI106 + AJ106, 2)</f>
        <v/>
      </c>
      <c r="AL106" s="29">
        <f>Saldo_Residual_Activo!O106</f>
        <v/>
      </c>
      <c r="AM106" s="29">
        <f>ROUND(AK106 + AL106, 2)</f>
        <v/>
      </c>
      <c r="AN106" s="29">
        <f>Saldos_Capital_Mensual!P106</f>
        <v/>
      </c>
      <c r="AO106" s="29">
        <f>Saldos_Intereses_Mensual!P106</f>
        <v/>
      </c>
      <c r="AP106" s="29">
        <f>ROUND(AN106 + AO106, 2)</f>
        <v/>
      </c>
      <c r="AQ106" s="29">
        <f>Saldo_Residual_Activo!P106</f>
        <v/>
      </c>
      <c r="AR106" s="29">
        <f>ROUND(AP106 + AQ106, 2)</f>
        <v/>
      </c>
      <c r="AS106" s="29">
        <f>Saldos_Capital_Mensual!Q106</f>
        <v/>
      </c>
      <c r="AT106" s="29">
        <f>Saldos_Intereses_Mensual!Q106</f>
        <v/>
      </c>
      <c r="AU106" s="29">
        <f>ROUND(AS106 + AT106, 2)</f>
        <v/>
      </c>
      <c r="AV106" s="29">
        <f>Saldo_Residual_Activo!Q106</f>
        <v/>
      </c>
      <c r="AW106" s="29">
        <f>ROUND(AU106 + AV106, 2)</f>
        <v/>
      </c>
      <c r="AX106" s="29">
        <f>Saldos_Capital_Mensual!R106</f>
        <v/>
      </c>
      <c r="AY106" s="29">
        <f>Saldos_Intereses_Mensual!R106</f>
        <v/>
      </c>
      <c r="AZ106" s="29">
        <f>ROUND(AX106 + AY106, 2)</f>
        <v/>
      </c>
      <c r="BA106" s="29">
        <f>Saldo_Residual_Activo!R106</f>
        <v/>
      </c>
      <c r="BB106" s="29">
        <f>ROUND(AZ106 + BA106, 2)</f>
        <v/>
      </c>
      <c r="BC106" s="29">
        <f>Saldos_Capital_Mensual!S106</f>
        <v/>
      </c>
      <c r="BD106" s="29">
        <f>Saldos_Intereses_Mensual!S106</f>
        <v/>
      </c>
      <c r="BE106" s="29">
        <f>ROUND(BC106 + BD106, 2)</f>
        <v/>
      </c>
      <c r="BF106" s="29">
        <f>Saldo_Residual_Activo!S106</f>
        <v/>
      </c>
      <c r="BG106" s="29">
        <f>ROUND(BE106 + BF106, 2)</f>
        <v/>
      </c>
      <c r="BH106" s="29">
        <f>Saldos_Capital_Mensual!T106</f>
        <v/>
      </c>
      <c r="BI106" s="29">
        <f>Saldos_Intereses_Mensual!T106</f>
        <v/>
      </c>
      <c r="BJ106" s="29">
        <f>ROUND(BH106 + BI106, 2)</f>
        <v/>
      </c>
      <c r="BK106" s="29">
        <f>Saldo_Residual_Activo!T106</f>
        <v/>
      </c>
      <c r="BL106" s="29">
        <f>ROUND(BJ106 + BK106, 2)</f>
        <v/>
      </c>
    </row>
    <row r="107">
      <c r="A107" s="20" t="inlineStr">
        <is>
          <t>0648-0002</t>
        </is>
      </c>
      <c r="B107" s="21" t="inlineStr">
        <is>
          <t>Jorge Luis Cervantes Gonzalez</t>
        </is>
      </c>
      <c r="C107" s="21" t="inlineStr">
        <is>
          <t>Wagoneer</t>
        </is>
      </c>
      <c r="D107" s="22" t="n">
        <v>48</v>
      </c>
      <c r="E107" s="23">
        <f>Saldos_Capital_Mensual!I107</f>
        <v/>
      </c>
      <c r="F107" s="23">
        <f>Saldos_Intereses_Mensual!I107</f>
        <v/>
      </c>
      <c r="G107" s="23">
        <f>ROUND(E107 + F107, 2)</f>
        <v/>
      </c>
      <c r="H107" s="23">
        <f>Saldo_Residual_Activo!I107</f>
        <v/>
      </c>
      <c r="I107" s="23">
        <f>ROUND(G107 + H107, 2)</f>
        <v/>
      </c>
      <c r="J107" s="23">
        <f>Saldos_Capital_Mensual!J107</f>
        <v/>
      </c>
      <c r="K107" s="23">
        <f>Saldos_Intereses_Mensual!J107</f>
        <v/>
      </c>
      <c r="L107" s="23">
        <f>ROUND(J107 + K107, 2)</f>
        <v/>
      </c>
      <c r="M107" s="23">
        <f>Saldo_Residual_Activo!J107</f>
        <v/>
      </c>
      <c r="N107" s="23">
        <f>ROUND(L107 + M107, 2)</f>
        <v/>
      </c>
      <c r="O107" s="23">
        <f>Saldos_Capital_Mensual!K107</f>
        <v/>
      </c>
      <c r="P107" s="23">
        <f>Saldos_Intereses_Mensual!K107</f>
        <v/>
      </c>
      <c r="Q107" s="23">
        <f>ROUND(O107 + P107, 2)</f>
        <v/>
      </c>
      <c r="R107" s="23">
        <f>Saldo_Residual_Activo!K107</f>
        <v/>
      </c>
      <c r="S107" s="23">
        <f>ROUND(Q107 + R107, 2)</f>
        <v/>
      </c>
      <c r="T107" s="23">
        <f>Saldos_Capital_Mensual!L107</f>
        <v/>
      </c>
      <c r="U107" s="23">
        <f>Saldos_Intereses_Mensual!L107</f>
        <v/>
      </c>
      <c r="V107" s="23">
        <f>ROUND(T107 + U107, 2)</f>
        <v/>
      </c>
      <c r="W107" s="23">
        <f>Saldo_Residual_Activo!L107</f>
        <v/>
      </c>
      <c r="X107" s="23">
        <f>ROUND(V107 + W107, 2)</f>
        <v/>
      </c>
      <c r="Y107" s="23">
        <f>Saldos_Capital_Mensual!M107</f>
        <v/>
      </c>
      <c r="Z107" s="23">
        <f>Saldos_Intereses_Mensual!M107</f>
        <v/>
      </c>
      <c r="AA107" s="23">
        <f>ROUND(Y107 + Z107, 2)</f>
        <v/>
      </c>
      <c r="AB107" s="23">
        <f>Saldo_Residual_Activo!M107</f>
        <v/>
      </c>
      <c r="AC107" s="23">
        <f>ROUND(AA107 + AB107, 2)</f>
        <v/>
      </c>
      <c r="AD107" s="23">
        <f>Saldos_Capital_Mensual!N107</f>
        <v/>
      </c>
      <c r="AE107" s="23">
        <f>Saldos_Intereses_Mensual!N107</f>
        <v/>
      </c>
      <c r="AF107" s="23">
        <f>ROUND(AD107 + AE107, 2)</f>
        <v/>
      </c>
      <c r="AG107" s="23">
        <f>Saldo_Residual_Activo!N107</f>
        <v/>
      </c>
      <c r="AH107" s="23">
        <f>ROUND(AF107 + AG107, 2)</f>
        <v/>
      </c>
      <c r="AI107" s="23">
        <f>Saldos_Capital_Mensual!O107</f>
        <v/>
      </c>
      <c r="AJ107" s="23">
        <f>Saldos_Intereses_Mensual!O107</f>
        <v/>
      </c>
      <c r="AK107" s="23">
        <f>ROUND(AI107 + AJ107, 2)</f>
        <v/>
      </c>
      <c r="AL107" s="23">
        <f>Saldo_Residual_Activo!O107</f>
        <v/>
      </c>
      <c r="AM107" s="23">
        <f>ROUND(AK107 + AL107, 2)</f>
        <v/>
      </c>
      <c r="AN107" s="23">
        <f>Saldos_Capital_Mensual!P107</f>
        <v/>
      </c>
      <c r="AO107" s="23">
        <f>Saldos_Intereses_Mensual!P107</f>
        <v/>
      </c>
      <c r="AP107" s="23">
        <f>ROUND(AN107 + AO107, 2)</f>
        <v/>
      </c>
      <c r="AQ107" s="23">
        <f>Saldo_Residual_Activo!P107</f>
        <v/>
      </c>
      <c r="AR107" s="23">
        <f>ROUND(AP107 + AQ107, 2)</f>
        <v/>
      </c>
      <c r="AS107" s="23">
        <f>Saldos_Capital_Mensual!Q107</f>
        <v/>
      </c>
      <c r="AT107" s="23">
        <f>Saldos_Intereses_Mensual!Q107</f>
        <v/>
      </c>
      <c r="AU107" s="23">
        <f>ROUND(AS107 + AT107, 2)</f>
        <v/>
      </c>
      <c r="AV107" s="23">
        <f>Saldo_Residual_Activo!Q107</f>
        <v/>
      </c>
      <c r="AW107" s="23">
        <f>ROUND(AU107 + AV107, 2)</f>
        <v/>
      </c>
      <c r="AX107" s="23">
        <f>Saldos_Capital_Mensual!R107</f>
        <v/>
      </c>
      <c r="AY107" s="23">
        <f>Saldos_Intereses_Mensual!R107</f>
        <v/>
      </c>
      <c r="AZ107" s="23">
        <f>ROUND(AX107 + AY107, 2)</f>
        <v/>
      </c>
      <c r="BA107" s="23">
        <f>Saldo_Residual_Activo!R107</f>
        <v/>
      </c>
      <c r="BB107" s="23">
        <f>ROUND(AZ107 + BA107, 2)</f>
        <v/>
      </c>
      <c r="BC107" s="23">
        <f>Saldos_Capital_Mensual!S107</f>
        <v/>
      </c>
      <c r="BD107" s="23">
        <f>Saldos_Intereses_Mensual!S107</f>
        <v/>
      </c>
      <c r="BE107" s="23">
        <f>ROUND(BC107 + BD107, 2)</f>
        <v/>
      </c>
      <c r="BF107" s="23">
        <f>Saldo_Residual_Activo!S107</f>
        <v/>
      </c>
      <c r="BG107" s="23">
        <f>ROUND(BE107 + BF107, 2)</f>
        <v/>
      </c>
      <c r="BH107" s="23">
        <f>Saldos_Capital_Mensual!T107</f>
        <v/>
      </c>
      <c r="BI107" s="23">
        <f>Saldos_Intereses_Mensual!T107</f>
        <v/>
      </c>
      <c r="BJ107" s="23">
        <f>ROUND(BH107 + BI107, 2)</f>
        <v/>
      </c>
      <c r="BK107" s="23">
        <f>Saldo_Residual_Activo!T107</f>
        <v/>
      </c>
      <c r="BL107" s="23">
        <f>ROUND(BJ107 + BK107, 2)</f>
        <v/>
      </c>
    </row>
    <row r="108">
      <c r="A108" s="26" t="inlineStr">
        <is>
          <t>0648-0003</t>
        </is>
      </c>
      <c r="B108" s="27" t="inlineStr">
        <is>
          <t>Jorge Luis Cervantes Gonzalez</t>
        </is>
      </c>
      <c r="C108" s="27" t="inlineStr">
        <is>
          <t>Wrangler Tuscadero</t>
        </is>
      </c>
      <c r="D108" s="28" t="n">
        <v>48</v>
      </c>
      <c r="E108" s="29">
        <f>Saldos_Capital_Mensual!I108</f>
        <v/>
      </c>
      <c r="F108" s="29">
        <f>Saldos_Intereses_Mensual!I108</f>
        <v/>
      </c>
      <c r="G108" s="29">
        <f>ROUND(E108 + F108, 2)</f>
        <v/>
      </c>
      <c r="H108" s="29">
        <f>Saldo_Residual_Activo!I108</f>
        <v/>
      </c>
      <c r="I108" s="29">
        <f>ROUND(G108 + H108, 2)</f>
        <v/>
      </c>
      <c r="J108" s="29">
        <f>Saldos_Capital_Mensual!J108</f>
        <v/>
      </c>
      <c r="K108" s="29">
        <f>Saldos_Intereses_Mensual!J108</f>
        <v/>
      </c>
      <c r="L108" s="29">
        <f>ROUND(J108 + K108, 2)</f>
        <v/>
      </c>
      <c r="M108" s="29">
        <f>Saldo_Residual_Activo!J108</f>
        <v/>
      </c>
      <c r="N108" s="29">
        <f>ROUND(L108 + M108, 2)</f>
        <v/>
      </c>
      <c r="O108" s="29">
        <f>Saldos_Capital_Mensual!K108</f>
        <v/>
      </c>
      <c r="P108" s="29">
        <f>Saldos_Intereses_Mensual!K108</f>
        <v/>
      </c>
      <c r="Q108" s="29">
        <f>ROUND(O108 + P108, 2)</f>
        <v/>
      </c>
      <c r="R108" s="29">
        <f>Saldo_Residual_Activo!K108</f>
        <v/>
      </c>
      <c r="S108" s="29">
        <f>ROUND(Q108 + R108, 2)</f>
        <v/>
      </c>
      <c r="T108" s="29">
        <f>Saldos_Capital_Mensual!L108</f>
        <v/>
      </c>
      <c r="U108" s="29">
        <f>Saldos_Intereses_Mensual!L108</f>
        <v/>
      </c>
      <c r="V108" s="29">
        <f>ROUND(T108 + U108, 2)</f>
        <v/>
      </c>
      <c r="W108" s="29">
        <f>Saldo_Residual_Activo!L108</f>
        <v/>
      </c>
      <c r="X108" s="29">
        <f>ROUND(V108 + W108, 2)</f>
        <v/>
      </c>
      <c r="Y108" s="29">
        <f>Saldos_Capital_Mensual!M108</f>
        <v/>
      </c>
      <c r="Z108" s="29">
        <f>Saldos_Intereses_Mensual!M108</f>
        <v/>
      </c>
      <c r="AA108" s="29">
        <f>ROUND(Y108 + Z108, 2)</f>
        <v/>
      </c>
      <c r="AB108" s="29">
        <f>Saldo_Residual_Activo!M108</f>
        <v/>
      </c>
      <c r="AC108" s="29">
        <f>ROUND(AA108 + AB108, 2)</f>
        <v/>
      </c>
      <c r="AD108" s="29">
        <f>Saldos_Capital_Mensual!N108</f>
        <v/>
      </c>
      <c r="AE108" s="29">
        <f>Saldos_Intereses_Mensual!N108</f>
        <v/>
      </c>
      <c r="AF108" s="29">
        <f>ROUND(AD108 + AE108, 2)</f>
        <v/>
      </c>
      <c r="AG108" s="29">
        <f>Saldo_Residual_Activo!N108</f>
        <v/>
      </c>
      <c r="AH108" s="29">
        <f>ROUND(AF108 + AG108, 2)</f>
        <v/>
      </c>
      <c r="AI108" s="29">
        <f>Saldos_Capital_Mensual!O108</f>
        <v/>
      </c>
      <c r="AJ108" s="29">
        <f>Saldos_Intereses_Mensual!O108</f>
        <v/>
      </c>
      <c r="AK108" s="29">
        <f>ROUND(AI108 + AJ108, 2)</f>
        <v/>
      </c>
      <c r="AL108" s="29">
        <f>Saldo_Residual_Activo!O108</f>
        <v/>
      </c>
      <c r="AM108" s="29">
        <f>ROUND(AK108 + AL108, 2)</f>
        <v/>
      </c>
      <c r="AN108" s="29">
        <f>Saldos_Capital_Mensual!P108</f>
        <v/>
      </c>
      <c r="AO108" s="29">
        <f>Saldos_Intereses_Mensual!P108</f>
        <v/>
      </c>
      <c r="AP108" s="29">
        <f>ROUND(AN108 + AO108, 2)</f>
        <v/>
      </c>
      <c r="AQ108" s="29">
        <f>Saldo_Residual_Activo!P108</f>
        <v/>
      </c>
      <c r="AR108" s="29">
        <f>ROUND(AP108 + AQ108, 2)</f>
        <v/>
      </c>
      <c r="AS108" s="29">
        <f>Saldos_Capital_Mensual!Q108</f>
        <v/>
      </c>
      <c r="AT108" s="29">
        <f>Saldos_Intereses_Mensual!Q108</f>
        <v/>
      </c>
      <c r="AU108" s="29">
        <f>ROUND(AS108 + AT108, 2)</f>
        <v/>
      </c>
      <c r="AV108" s="29">
        <f>Saldo_Residual_Activo!Q108</f>
        <v/>
      </c>
      <c r="AW108" s="29">
        <f>ROUND(AU108 + AV108, 2)</f>
        <v/>
      </c>
      <c r="AX108" s="29">
        <f>Saldos_Capital_Mensual!R108</f>
        <v/>
      </c>
      <c r="AY108" s="29">
        <f>Saldos_Intereses_Mensual!R108</f>
        <v/>
      </c>
      <c r="AZ108" s="29">
        <f>ROUND(AX108 + AY108, 2)</f>
        <v/>
      </c>
      <c r="BA108" s="29">
        <f>Saldo_Residual_Activo!R108</f>
        <v/>
      </c>
      <c r="BB108" s="29">
        <f>ROUND(AZ108 + BA108, 2)</f>
        <v/>
      </c>
      <c r="BC108" s="29">
        <f>Saldos_Capital_Mensual!S108</f>
        <v/>
      </c>
      <c r="BD108" s="29">
        <f>Saldos_Intereses_Mensual!S108</f>
        <v/>
      </c>
      <c r="BE108" s="29">
        <f>ROUND(BC108 + BD108, 2)</f>
        <v/>
      </c>
      <c r="BF108" s="29">
        <f>Saldo_Residual_Activo!S108</f>
        <v/>
      </c>
      <c r="BG108" s="29">
        <f>ROUND(BE108 + BF108, 2)</f>
        <v/>
      </c>
      <c r="BH108" s="29">
        <f>Saldos_Capital_Mensual!T108</f>
        <v/>
      </c>
      <c r="BI108" s="29">
        <f>Saldos_Intereses_Mensual!T108</f>
        <v/>
      </c>
      <c r="BJ108" s="29">
        <f>ROUND(BH108 + BI108, 2)</f>
        <v/>
      </c>
      <c r="BK108" s="29">
        <f>Saldo_Residual_Activo!T108</f>
        <v/>
      </c>
      <c r="BL108" s="29">
        <f>ROUND(BJ108 + BK108, 2)</f>
        <v/>
      </c>
    </row>
    <row r="109">
      <c r="A109" s="20" t="inlineStr">
        <is>
          <t>0648-0004</t>
        </is>
      </c>
      <c r="B109" s="21" t="inlineStr">
        <is>
          <t>Jorge Luis Cervantes Gonzalez</t>
        </is>
      </c>
      <c r="C109" s="21" t="inlineStr">
        <is>
          <t>JEEP 392</t>
        </is>
      </c>
      <c r="D109" s="22" t="n">
        <v>36</v>
      </c>
      <c r="E109" s="23">
        <f>Saldos_Capital_Mensual!I109</f>
        <v/>
      </c>
      <c r="F109" s="23">
        <f>Saldos_Intereses_Mensual!I109</f>
        <v/>
      </c>
      <c r="G109" s="23">
        <f>ROUND(E109 + F109, 2)</f>
        <v/>
      </c>
      <c r="H109" s="23">
        <f>Saldo_Residual_Activo!I109</f>
        <v/>
      </c>
      <c r="I109" s="23">
        <f>ROUND(G109 + H109, 2)</f>
        <v/>
      </c>
      <c r="J109" s="23">
        <f>Saldos_Capital_Mensual!J109</f>
        <v/>
      </c>
      <c r="K109" s="23">
        <f>Saldos_Intereses_Mensual!J109</f>
        <v/>
      </c>
      <c r="L109" s="23">
        <f>ROUND(J109 + K109, 2)</f>
        <v/>
      </c>
      <c r="M109" s="23">
        <f>Saldo_Residual_Activo!J109</f>
        <v/>
      </c>
      <c r="N109" s="23">
        <f>ROUND(L109 + M109, 2)</f>
        <v/>
      </c>
      <c r="O109" s="23">
        <f>Saldos_Capital_Mensual!K109</f>
        <v/>
      </c>
      <c r="P109" s="23">
        <f>Saldos_Intereses_Mensual!K109</f>
        <v/>
      </c>
      <c r="Q109" s="23">
        <f>ROUND(O109 + P109, 2)</f>
        <v/>
      </c>
      <c r="R109" s="23">
        <f>Saldo_Residual_Activo!K109</f>
        <v/>
      </c>
      <c r="S109" s="23">
        <f>ROUND(Q109 + R109, 2)</f>
        <v/>
      </c>
      <c r="T109" s="23">
        <f>Saldos_Capital_Mensual!L109</f>
        <v/>
      </c>
      <c r="U109" s="23">
        <f>Saldos_Intereses_Mensual!L109</f>
        <v/>
      </c>
      <c r="V109" s="23">
        <f>ROUND(T109 + U109, 2)</f>
        <v/>
      </c>
      <c r="W109" s="23">
        <f>Saldo_Residual_Activo!L109</f>
        <v/>
      </c>
      <c r="X109" s="23">
        <f>ROUND(V109 + W109, 2)</f>
        <v/>
      </c>
      <c r="Y109" s="23">
        <f>Saldos_Capital_Mensual!M109</f>
        <v/>
      </c>
      <c r="Z109" s="23">
        <f>Saldos_Intereses_Mensual!M109</f>
        <v/>
      </c>
      <c r="AA109" s="23">
        <f>ROUND(Y109 + Z109, 2)</f>
        <v/>
      </c>
      <c r="AB109" s="23">
        <f>Saldo_Residual_Activo!M109</f>
        <v/>
      </c>
      <c r="AC109" s="23">
        <f>ROUND(AA109 + AB109, 2)</f>
        <v/>
      </c>
      <c r="AD109" s="23">
        <f>Saldos_Capital_Mensual!N109</f>
        <v/>
      </c>
      <c r="AE109" s="23">
        <f>Saldos_Intereses_Mensual!N109</f>
        <v/>
      </c>
      <c r="AF109" s="23">
        <f>ROUND(AD109 + AE109, 2)</f>
        <v/>
      </c>
      <c r="AG109" s="23">
        <f>Saldo_Residual_Activo!N109</f>
        <v/>
      </c>
      <c r="AH109" s="23">
        <f>ROUND(AF109 + AG109, 2)</f>
        <v/>
      </c>
      <c r="AI109" s="23">
        <f>Saldos_Capital_Mensual!O109</f>
        <v/>
      </c>
      <c r="AJ109" s="23">
        <f>Saldos_Intereses_Mensual!O109</f>
        <v/>
      </c>
      <c r="AK109" s="23">
        <f>ROUND(AI109 + AJ109, 2)</f>
        <v/>
      </c>
      <c r="AL109" s="23">
        <f>Saldo_Residual_Activo!O109</f>
        <v/>
      </c>
      <c r="AM109" s="23">
        <f>ROUND(AK109 + AL109, 2)</f>
        <v/>
      </c>
      <c r="AN109" s="23">
        <f>Saldos_Capital_Mensual!P109</f>
        <v/>
      </c>
      <c r="AO109" s="23">
        <f>Saldos_Intereses_Mensual!P109</f>
        <v/>
      </c>
      <c r="AP109" s="23">
        <f>ROUND(AN109 + AO109, 2)</f>
        <v/>
      </c>
      <c r="AQ109" s="23">
        <f>Saldo_Residual_Activo!P109</f>
        <v/>
      </c>
      <c r="AR109" s="23">
        <f>ROUND(AP109 + AQ109, 2)</f>
        <v/>
      </c>
      <c r="AS109" s="23">
        <f>Saldos_Capital_Mensual!Q109</f>
        <v/>
      </c>
      <c r="AT109" s="23">
        <f>Saldos_Intereses_Mensual!Q109</f>
        <v/>
      </c>
      <c r="AU109" s="23">
        <f>ROUND(AS109 + AT109, 2)</f>
        <v/>
      </c>
      <c r="AV109" s="23">
        <f>Saldo_Residual_Activo!Q109</f>
        <v/>
      </c>
      <c r="AW109" s="23">
        <f>ROUND(AU109 + AV109, 2)</f>
        <v/>
      </c>
      <c r="AX109" s="23">
        <f>Saldos_Capital_Mensual!R109</f>
        <v/>
      </c>
      <c r="AY109" s="23">
        <f>Saldos_Intereses_Mensual!R109</f>
        <v/>
      </c>
      <c r="AZ109" s="23">
        <f>ROUND(AX109 + AY109, 2)</f>
        <v/>
      </c>
      <c r="BA109" s="23">
        <f>Saldo_Residual_Activo!R109</f>
        <v/>
      </c>
      <c r="BB109" s="23">
        <f>ROUND(AZ109 + BA109, 2)</f>
        <v/>
      </c>
      <c r="BC109" s="23">
        <f>Saldos_Capital_Mensual!S109</f>
        <v/>
      </c>
      <c r="BD109" s="23">
        <f>Saldos_Intereses_Mensual!S109</f>
        <v/>
      </c>
      <c r="BE109" s="23">
        <f>ROUND(BC109 + BD109, 2)</f>
        <v/>
      </c>
      <c r="BF109" s="23">
        <f>Saldo_Residual_Activo!S109</f>
        <v/>
      </c>
      <c r="BG109" s="23">
        <f>ROUND(BE109 + BF109, 2)</f>
        <v/>
      </c>
      <c r="BH109" s="23">
        <f>Saldos_Capital_Mensual!T109</f>
        <v/>
      </c>
      <c r="BI109" s="23">
        <f>Saldos_Intereses_Mensual!T109</f>
        <v/>
      </c>
      <c r="BJ109" s="23">
        <f>ROUND(BH109 + BI109, 2)</f>
        <v/>
      </c>
      <c r="BK109" s="23">
        <f>Saldo_Residual_Activo!T109</f>
        <v/>
      </c>
      <c r="BL109" s="23">
        <f>ROUND(BJ109 + BK109, 2)</f>
        <v/>
      </c>
    </row>
    <row r="110">
      <c r="A110" s="26" t="inlineStr">
        <is>
          <t>0648-0005</t>
        </is>
      </c>
      <c r="B110" s="27" t="inlineStr">
        <is>
          <t>Jorge Luis Cervantes Gonzalez</t>
        </is>
      </c>
      <c r="C110" s="27" t="inlineStr">
        <is>
          <t>1500 RHO</t>
        </is>
      </c>
      <c r="D110" s="28" t="n">
        <v>36</v>
      </c>
      <c r="E110" s="29">
        <f>Saldos_Capital_Mensual!I110</f>
        <v/>
      </c>
      <c r="F110" s="29">
        <f>Saldos_Intereses_Mensual!I110</f>
        <v/>
      </c>
      <c r="G110" s="29">
        <f>ROUND(E110 + F110, 2)</f>
        <v/>
      </c>
      <c r="H110" s="29">
        <f>Saldo_Residual_Activo!I110</f>
        <v/>
      </c>
      <c r="I110" s="29">
        <f>ROUND(G110 + H110, 2)</f>
        <v/>
      </c>
      <c r="J110" s="29">
        <f>Saldos_Capital_Mensual!J110</f>
        <v/>
      </c>
      <c r="K110" s="29">
        <f>Saldos_Intereses_Mensual!J110</f>
        <v/>
      </c>
      <c r="L110" s="29">
        <f>ROUND(J110 + K110, 2)</f>
        <v/>
      </c>
      <c r="M110" s="29">
        <f>Saldo_Residual_Activo!J110</f>
        <v/>
      </c>
      <c r="N110" s="29">
        <f>ROUND(L110 + M110, 2)</f>
        <v/>
      </c>
      <c r="O110" s="29">
        <f>Saldos_Capital_Mensual!K110</f>
        <v/>
      </c>
      <c r="P110" s="29">
        <f>Saldos_Intereses_Mensual!K110</f>
        <v/>
      </c>
      <c r="Q110" s="29">
        <f>ROUND(O110 + P110, 2)</f>
        <v/>
      </c>
      <c r="R110" s="29">
        <f>Saldo_Residual_Activo!K110</f>
        <v/>
      </c>
      <c r="S110" s="29">
        <f>ROUND(Q110 + R110, 2)</f>
        <v/>
      </c>
      <c r="T110" s="29">
        <f>Saldos_Capital_Mensual!L110</f>
        <v/>
      </c>
      <c r="U110" s="29">
        <f>Saldos_Intereses_Mensual!L110</f>
        <v/>
      </c>
      <c r="V110" s="29">
        <f>ROUND(T110 + U110, 2)</f>
        <v/>
      </c>
      <c r="W110" s="29">
        <f>Saldo_Residual_Activo!L110</f>
        <v/>
      </c>
      <c r="X110" s="29">
        <f>ROUND(V110 + W110, 2)</f>
        <v/>
      </c>
      <c r="Y110" s="29">
        <f>Saldos_Capital_Mensual!M110</f>
        <v/>
      </c>
      <c r="Z110" s="29">
        <f>Saldos_Intereses_Mensual!M110</f>
        <v/>
      </c>
      <c r="AA110" s="29">
        <f>ROUND(Y110 + Z110, 2)</f>
        <v/>
      </c>
      <c r="AB110" s="29">
        <f>Saldo_Residual_Activo!M110</f>
        <v/>
      </c>
      <c r="AC110" s="29">
        <f>ROUND(AA110 + AB110, 2)</f>
        <v/>
      </c>
      <c r="AD110" s="29">
        <f>Saldos_Capital_Mensual!N110</f>
        <v/>
      </c>
      <c r="AE110" s="29">
        <f>Saldos_Intereses_Mensual!N110</f>
        <v/>
      </c>
      <c r="AF110" s="29">
        <f>ROUND(AD110 + AE110, 2)</f>
        <v/>
      </c>
      <c r="AG110" s="29">
        <f>Saldo_Residual_Activo!N110</f>
        <v/>
      </c>
      <c r="AH110" s="29">
        <f>ROUND(AF110 + AG110, 2)</f>
        <v/>
      </c>
      <c r="AI110" s="29">
        <f>Saldos_Capital_Mensual!O110</f>
        <v/>
      </c>
      <c r="AJ110" s="29">
        <f>Saldos_Intereses_Mensual!O110</f>
        <v/>
      </c>
      <c r="AK110" s="29">
        <f>ROUND(AI110 + AJ110, 2)</f>
        <v/>
      </c>
      <c r="AL110" s="29">
        <f>Saldo_Residual_Activo!O110</f>
        <v/>
      </c>
      <c r="AM110" s="29">
        <f>ROUND(AK110 + AL110, 2)</f>
        <v/>
      </c>
      <c r="AN110" s="29">
        <f>Saldos_Capital_Mensual!P110</f>
        <v/>
      </c>
      <c r="AO110" s="29">
        <f>Saldos_Intereses_Mensual!P110</f>
        <v/>
      </c>
      <c r="AP110" s="29">
        <f>ROUND(AN110 + AO110, 2)</f>
        <v/>
      </c>
      <c r="AQ110" s="29">
        <f>Saldo_Residual_Activo!P110</f>
        <v/>
      </c>
      <c r="AR110" s="29">
        <f>ROUND(AP110 + AQ110, 2)</f>
        <v/>
      </c>
      <c r="AS110" s="29">
        <f>Saldos_Capital_Mensual!Q110</f>
        <v/>
      </c>
      <c r="AT110" s="29">
        <f>Saldos_Intereses_Mensual!Q110</f>
        <v/>
      </c>
      <c r="AU110" s="29">
        <f>ROUND(AS110 + AT110, 2)</f>
        <v/>
      </c>
      <c r="AV110" s="29">
        <f>Saldo_Residual_Activo!Q110</f>
        <v/>
      </c>
      <c r="AW110" s="29">
        <f>ROUND(AU110 + AV110, 2)</f>
        <v/>
      </c>
      <c r="AX110" s="29">
        <f>Saldos_Capital_Mensual!R110</f>
        <v/>
      </c>
      <c r="AY110" s="29">
        <f>Saldos_Intereses_Mensual!R110</f>
        <v/>
      </c>
      <c r="AZ110" s="29">
        <f>ROUND(AX110 + AY110, 2)</f>
        <v/>
      </c>
      <c r="BA110" s="29">
        <f>Saldo_Residual_Activo!R110</f>
        <v/>
      </c>
      <c r="BB110" s="29">
        <f>ROUND(AZ110 + BA110, 2)</f>
        <v/>
      </c>
      <c r="BC110" s="29">
        <f>Saldos_Capital_Mensual!S110</f>
        <v/>
      </c>
      <c r="BD110" s="29">
        <f>Saldos_Intereses_Mensual!S110</f>
        <v/>
      </c>
      <c r="BE110" s="29">
        <f>ROUND(BC110 + BD110, 2)</f>
        <v/>
      </c>
      <c r="BF110" s="29">
        <f>Saldo_Residual_Activo!S110</f>
        <v/>
      </c>
      <c r="BG110" s="29">
        <f>ROUND(BE110 + BF110, 2)</f>
        <v/>
      </c>
      <c r="BH110" s="29">
        <f>Saldos_Capital_Mensual!T110</f>
        <v/>
      </c>
      <c r="BI110" s="29">
        <f>Saldos_Intereses_Mensual!T110</f>
        <v/>
      </c>
      <c r="BJ110" s="29">
        <f>ROUND(BH110 + BI110, 2)</f>
        <v/>
      </c>
      <c r="BK110" s="29">
        <f>Saldo_Residual_Activo!T110</f>
        <v/>
      </c>
      <c r="BL110" s="29">
        <f>ROUND(BJ110 + BK110, 2)</f>
        <v/>
      </c>
    </row>
    <row r="111">
      <c r="A111" s="20" t="inlineStr">
        <is>
          <t>0648-0006</t>
        </is>
      </c>
      <c r="B111" s="21" t="inlineStr">
        <is>
          <t>Jorge Luis Cervantes Gonzalez</t>
        </is>
      </c>
      <c r="C111" s="21" t="inlineStr">
        <is>
          <t>Durango Hellcat SRT</t>
        </is>
      </c>
      <c r="D111" s="22" t="n">
        <v>36</v>
      </c>
      <c r="E111" s="23">
        <f>Saldos_Capital_Mensual!I111</f>
        <v/>
      </c>
      <c r="F111" s="23">
        <f>Saldos_Intereses_Mensual!I111</f>
        <v/>
      </c>
      <c r="G111" s="23">
        <f>ROUND(E111 + F111, 2)</f>
        <v/>
      </c>
      <c r="H111" s="23">
        <f>Saldo_Residual_Activo!I111</f>
        <v/>
      </c>
      <c r="I111" s="23">
        <f>ROUND(G111 + H111, 2)</f>
        <v/>
      </c>
      <c r="J111" s="23">
        <f>Saldos_Capital_Mensual!J111</f>
        <v/>
      </c>
      <c r="K111" s="23">
        <f>Saldos_Intereses_Mensual!J111</f>
        <v/>
      </c>
      <c r="L111" s="23">
        <f>ROUND(J111 + K111, 2)</f>
        <v/>
      </c>
      <c r="M111" s="23">
        <f>Saldo_Residual_Activo!J111</f>
        <v/>
      </c>
      <c r="N111" s="23">
        <f>ROUND(L111 + M111, 2)</f>
        <v/>
      </c>
      <c r="O111" s="23">
        <f>Saldos_Capital_Mensual!K111</f>
        <v/>
      </c>
      <c r="P111" s="23">
        <f>Saldos_Intereses_Mensual!K111</f>
        <v/>
      </c>
      <c r="Q111" s="23">
        <f>ROUND(O111 + P111, 2)</f>
        <v/>
      </c>
      <c r="R111" s="23">
        <f>Saldo_Residual_Activo!K111</f>
        <v/>
      </c>
      <c r="S111" s="23">
        <f>ROUND(Q111 + R111, 2)</f>
        <v/>
      </c>
      <c r="T111" s="23">
        <f>Saldos_Capital_Mensual!L111</f>
        <v/>
      </c>
      <c r="U111" s="23">
        <f>Saldos_Intereses_Mensual!L111</f>
        <v/>
      </c>
      <c r="V111" s="23">
        <f>ROUND(T111 + U111, 2)</f>
        <v/>
      </c>
      <c r="W111" s="23">
        <f>Saldo_Residual_Activo!L111</f>
        <v/>
      </c>
      <c r="X111" s="23">
        <f>ROUND(V111 + W111, 2)</f>
        <v/>
      </c>
      <c r="Y111" s="23">
        <f>Saldos_Capital_Mensual!M111</f>
        <v/>
      </c>
      <c r="Z111" s="23">
        <f>Saldos_Intereses_Mensual!M111</f>
        <v/>
      </c>
      <c r="AA111" s="23">
        <f>ROUND(Y111 + Z111, 2)</f>
        <v/>
      </c>
      <c r="AB111" s="23">
        <f>Saldo_Residual_Activo!M111</f>
        <v/>
      </c>
      <c r="AC111" s="23">
        <f>ROUND(AA111 + AB111, 2)</f>
        <v/>
      </c>
      <c r="AD111" s="23">
        <f>Saldos_Capital_Mensual!N111</f>
        <v/>
      </c>
      <c r="AE111" s="23">
        <f>Saldos_Intereses_Mensual!N111</f>
        <v/>
      </c>
      <c r="AF111" s="23">
        <f>ROUND(AD111 + AE111, 2)</f>
        <v/>
      </c>
      <c r="AG111" s="23">
        <f>Saldo_Residual_Activo!N111</f>
        <v/>
      </c>
      <c r="AH111" s="23">
        <f>ROUND(AF111 + AG111, 2)</f>
        <v/>
      </c>
      <c r="AI111" s="23">
        <f>Saldos_Capital_Mensual!O111</f>
        <v/>
      </c>
      <c r="AJ111" s="23">
        <f>Saldos_Intereses_Mensual!O111</f>
        <v/>
      </c>
      <c r="AK111" s="23">
        <f>ROUND(AI111 + AJ111, 2)</f>
        <v/>
      </c>
      <c r="AL111" s="23">
        <f>Saldo_Residual_Activo!O111</f>
        <v/>
      </c>
      <c r="AM111" s="23">
        <f>ROUND(AK111 + AL111, 2)</f>
        <v/>
      </c>
      <c r="AN111" s="23">
        <f>Saldos_Capital_Mensual!P111</f>
        <v/>
      </c>
      <c r="AO111" s="23">
        <f>Saldos_Intereses_Mensual!P111</f>
        <v/>
      </c>
      <c r="AP111" s="23">
        <f>ROUND(AN111 + AO111, 2)</f>
        <v/>
      </c>
      <c r="AQ111" s="23">
        <f>Saldo_Residual_Activo!P111</f>
        <v/>
      </c>
      <c r="AR111" s="23">
        <f>ROUND(AP111 + AQ111, 2)</f>
        <v/>
      </c>
      <c r="AS111" s="23">
        <f>Saldos_Capital_Mensual!Q111</f>
        <v/>
      </c>
      <c r="AT111" s="23">
        <f>Saldos_Intereses_Mensual!Q111</f>
        <v/>
      </c>
      <c r="AU111" s="23">
        <f>ROUND(AS111 + AT111, 2)</f>
        <v/>
      </c>
      <c r="AV111" s="23">
        <f>Saldo_Residual_Activo!Q111</f>
        <v/>
      </c>
      <c r="AW111" s="23">
        <f>ROUND(AU111 + AV111, 2)</f>
        <v/>
      </c>
      <c r="AX111" s="23">
        <f>Saldos_Capital_Mensual!R111</f>
        <v/>
      </c>
      <c r="AY111" s="23">
        <f>Saldos_Intereses_Mensual!R111</f>
        <v/>
      </c>
      <c r="AZ111" s="23">
        <f>ROUND(AX111 + AY111, 2)</f>
        <v/>
      </c>
      <c r="BA111" s="23">
        <f>Saldo_Residual_Activo!R111</f>
        <v/>
      </c>
      <c r="BB111" s="23">
        <f>ROUND(AZ111 + BA111, 2)</f>
        <v/>
      </c>
      <c r="BC111" s="23">
        <f>Saldos_Capital_Mensual!S111</f>
        <v/>
      </c>
      <c r="BD111" s="23">
        <f>Saldos_Intereses_Mensual!S111</f>
        <v/>
      </c>
      <c r="BE111" s="23">
        <f>ROUND(BC111 + BD111, 2)</f>
        <v/>
      </c>
      <c r="BF111" s="23">
        <f>Saldo_Residual_Activo!S111</f>
        <v/>
      </c>
      <c r="BG111" s="23">
        <f>ROUND(BE111 + BF111, 2)</f>
        <v/>
      </c>
      <c r="BH111" s="23">
        <f>Saldos_Capital_Mensual!T111</f>
        <v/>
      </c>
      <c r="BI111" s="23">
        <f>Saldos_Intereses_Mensual!T111</f>
        <v/>
      </c>
      <c r="BJ111" s="23">
        <f>ROUND(BH111 + BI111, 2)</f>
        <v/>
      </c>
      <c r="BK111" s="23">
        <f>Saldo_Residual_Activo!T111</f>
        <v/>
      </c>
      <c r="BL111" s="23">
        <f>ROUND(BJ111 + BK111, 2)</f>
        <v/>
      </c>
    </row>
    <row r="112">
      <c r="A112" s="26" t="inlineStr">
        <is>
          <t>0649-0001</t>
        </is>
      </c>
      <c r="B112" s="27" t="inlineStr">
        <is>
          <t>Compusoluciones Y Asociados Sa de Cv</t>
        </is>
      </c>
      <c r="C112" s="27" t="inlineStr">
        <is>
          <t>CX-30</t>
        </is>
      </c>
      <c r="D112" s="28" t="n">
        <v>48</v>
      </c>
      <c r="E112" s="29">
        <f>Saldos_Capital_Mensual!I112</f>
        <v/>
      </c>
      <c r="F112" s="29">
        <f>Saldos_Intereses_Mensual!I112</f>
        <v/>
      </c>
      <c r="G112" s="29">
        <f>ROUND(E112 + F112, 2)</f>
        <v/>
      </c>
      <c r="H112" s="29">
        <f>Saldo_Residual_Activo!I112</f>
        <v/>
      </c>
      <c r="I112" s="29">
        <f>ROUND(G112 + H112, 2)</f>
        <v/>
      </c>
      <c r="J112" s="29">
        <f>Saldos_Capital_Mensual!J112</f>
        <v/>
      </c>
      <c r="K112" s="29">
        <f>Saldos_Intereses_Mensual!J112</f>
        <v/>
      </c>
      <c r="L112" s="29">
        <f>ROUND(J112 + K112, 2)</f>
        <v/>
      </c>
      <c r="M112" s="29">
        <f>Saldo_Residual_Activo!J112</f>
        <v/>
      </c>
      <c r="N112" s="29">
        <f>ROUND(L112 + M112, 2)</f>
        <v/>
      </c>
      <c r="O112" s="29">
        <f>Saldos_Capital_Mensual!K112</f>
        <v/>
      </c>
      <c r="P112" s="29">
        <f>Saldos_Intereses_Mensual!K112</f>
        <v/>
      </c>
      <c r="Q112" s="29">
        <f>ROUND(O112 + P112, 2)</f>
        <v/>
      </c>
      <c r="R112" s="29">
        <f>Saldo_Residual_Activo!K112</f>
        <v/>
      </c>
      <c r="S112" s="29">
        <f>ROUND(Q112 + R112, 2)</f>
        <v/>
      </c>
      <c r="T112" s="29">
        <f>Saldos_Capital_Mensual!L112</f>
        <v/>
      </c>
      <c r="U112" s="29">
        <f>Saldos_Intereses_Mensual!L112</f>
        <v/>
      </c>
      <c r="V112" s="29">
        <f>ROUND(T112 + U112, 2)</f>
        <v/>
      </c>
      <c r="W112" s="29">
        <f>Saldo_Residual_Activo!L112</f>
        <v/>
      </c>
      <c r="X112" s="29">
        <f>ROUND(V112 + W112, 2)</f>
        <v/>
      </c>
      <c r="Y112" s="29">
        <f>Saldos_Capital_Mensual!M112</f>
        <v/>
      </c>
      <c r="Z112" s="29">
        <f>Saldos_Intereses_Mensual!M112</f>
        <v/>
      </c>
      <c r="AA112" s="29">
        <f>ROUND(Y112 + Z112, 2)</f>
        <v/>
      </c>
      <c r="AB112" s="29">
        <f>Saldo_Residual_Activo!M112</f>
        <v/>
      </c>
      <c r="AC112" s="29">
        <f>ROUND(AA112 + AB112, 2)</f>
        <v/>
      </c>
      <c r="AD112" s="29">
        <f>Saldos_Capital_Mensual!N112</f>
        <v/>
      </c>
      <c r="AE112" s="29">
        <f>Saldos_Intereses_Mensual!N112</f>
        <v/>
      </c>
      <c r="AF112" s="29">
        <f>ROUND(AD112 + AE112, 2)</f>
        <v/>
      </c>
      <c r="AG112" s="29">
        <f>Saldo_Residual_Activo!N112</f>
        <v/>
      </c>
      <c r="AH112" s="29">
        <f>ROUND(AF112 + AG112, 2)</f>
        <v/>
      </c>
      <c r="AI112" s="29">
        <f>Saldos_Capital_Mensual!O112</f>
        <v/>
      </c>
      <c r="AJ112" s="29">
        <f>Saldos_Intereses_Mensual!O112</f>
        <v/>
      </c>
      <c r="AK112" s="29">
        <f>ROUND(AI112 + AJ112, 2)</f>
        <v/>
      </c>
      <c r="AL112" s="29">
        <f>Saldo_Residual_Activo!O112</f>
        <v/>
      </c>
      <c r="AM112" s="29">
        <f>ROUND(AK112 + AL112, 2)</f>
        <v/>
      </c>
      <c r="AN112" s="29">
        <f>Saldos_Capital_Mensual!P112</f>
        <v/>
      </c>
      <c r="AO112" s="29">
        <f>Saldos_Intereses_Mensual!P112</f>
        <v/>
      </c>
      <c r="AP112" s="29">
        <f>ROUND(AN112 + AO112, 2)</f>
        <v/>
      </c>
      <c r="AQ112" s="29">
        <f>Saldo_Residual_Activo!P112</f>
        <v/>
      </c>
      <c r="AR112" s="29">
        <f>ROUND(AP112 + AQ112, 2)</f>
        <v/>
      </c>
      <c r="AS112" s="29">
        <f>Saldos_Capital_Mensual!Q112</f>
        <v/>
      </c>
      <c r="AT112" s="29">
        <f>Saldos_Intereses_Mensual!Q112</f>
        <v/>
      </c>
      <c r="AU112" s="29">
        <f>ROUND(AS112 + AT112, 2)</f>
        <v/>
      </c>
      <c r="AV112" s="29">
        <f>Saldo_Residual_Activo!Q112</f>
        <v/>
      </c>
      <c r="AW112" s="29">
        <f>ROUND(AU112 + AV112, 2)</f>
        <v/>
      </c>
      <c r="AX112" s="29">
        <f>Saldos_Capital_Mensual!R112</f>
        <v/>
      </c>
      <c r="AY112" s="29">
        <f>Saldos_Intereses_Mensual!R112</f>
        <v/>
      </c>
      <c r="AZ112" s="29">
        <f>ROUND(AX112 + AY112, 2)</f>
        <v/>
      </c>
      <c r="BA112" s="29">
        <f>Saldo_Residual_Activo!R112</f>
        <v/>
      </c>
      <c r="BB112" s="29">
        <f>ROUND(AZ112 + BA112, 2)</f>
        <v/>
      </c>
      <c r="BC112" s="29">
        <f>Saldos_Capital_Mensual!S112</f>
        <v/>
      </c>
      <c r="BD112" s="29">
        <f>Saldos_Intereses_Mensual!S112</f>
        <v/>
      </c>
      <c r="BE112" s="29">
        <f>ROUND(BC112 + BD112, 2)</f>
        <v/>
      </c>
      <c r="BF112" s="29">
        <f>Saldo_Residual_Activo!S112</f>
        <v/>
      </c>
      <c r="BG112" s="29">
        <f>ROUND(BE112 + BF112, 2)</f>
        <v/>
      </c>
      <c r="BH112" s="29">
        <f>Saldos_Capital_Mensual!T112</f>
        <v/>
      </c>
      <c r="BI112" s="29">
        <f>Saldos_Intereses_Mensual!T112</f>
        <v/>
      </c>
      <c r="BJ112" s="29">
        <f>ROUND(BH112 + BI112, 2)</f>
        <v/>
      </c>
      <c r="BK112" s="29">
        <f>Saldo_Residual_Activo!T112</f>
        <v/>
      </c>
      <c r="BL112" s="29">
        <f>ROUND(BJ112 + BK112, 2)</f>
        <v/>
      </c>
    </row>
    <row r="113">
      <c r="A113" s="20" t="inlineStr">
        <is>
          <t>0649-0002</t>
        </is>
      </c>
      <c r="B113" s="21" t="inlineStr">
        <is>
          <t>Compusoluciones Y Asociados Sa de Cv</t>
        </is>
      </c>
      <c r="C113" s="21" t="inlineStr">
        <is>
          <t>CX5</t>
        </is>
      </c>
      <c r="D113" s="22" t="n">
        <v>48</v>
      </c>
      <c r="E113" s="23">
        <f>Saldos_Capital_Mensual!I113</f>
        <v/>
      </c>
      <c r="F113" s="23">
        <f>Saldos_Intereses_Mensual!I113</f>
        <v/>
      </c>
      <c r="G113" s="23">
        <f>ROUND(E113 + F113, 2)</f>
        <v/>
      </c>
      <c r="H113" s="23">
        <f>Saldo_Residual_Activo!I113</f>
        <v/>
      </c>
      <c r="I113" s="23">
        <f>ROUND(G113 + H113, 2)</f>
        <v/>
      </c>
      <c r="J113" s="23">
        <f>Saldos_Capital_Mensual!J113</f>
        <v/>
      </c>
      <c r="K113" s="23">
        <f>Saldos_Intereses_Mensual!J113</f>
        <v/>
      </c>
      <c r="L113" s="23">
        <f>ROUND(J113 + K113, 2)</f>
        <v/>
      </c>
      <c r="M113" s="23">
        <f>Saldo_Residual_Activo!J113</f>
        <v/>
      </c>
      <c r="N113" s="23">
        <f>ROUND(L113 + M113, 2)</f>
        <v/>
      </c>
      <c r="O113" s="23">
        <f>Saldos_Capital_Mensual!K113</f>
        <v/>
      </c>
      <c r="P113" s="23">
        <f>Saldos_Intereses_Mensual!K113</f>
        <v/>
      </c>
      <c r="Q113" s="23">
        <f>ROUND(O113 + P113, 2)</f>
        <v/>
      </c>
      <c r="R113" s="23">
        <f>Saldo_Residual_Activo!K113</f>
        <v/>
      </c>
      <c r="S113" s="23">
        <f>ROUND(Q113 + R113, 2)</f>
        <v/>
      </c>
      <c r="T113" s="23">
        <f>Saldos_Capital_Mensual!L113</f>
        <v/>
      </c>
      <c r="U113" s="23">
        <f>Saldos_Intereses_Mensual!L113</f>
        <v/>
      </c>
      <c r="V113" s="23">
        <f>ROUND(T113 + U113, 2)</f>
        <v/>
      </c>
      <c r="W113" s="23">
        <f>Saldo_Residual_Activo!L113</f>
        <v/>
      </c>
      <c r="X113" s="23">
        <f>ROUND(V113 + W113, 2)</f>
        <v/>
      </c>
      <c r="Y113" s="23">
        <f>Saldos_Capital_Mensual!M113</f>
        <v/>
      </c>
      <c r="Z113" s="23">
        <f>Saldos_Intereses_Mensual!M113</f>
        <v/>
      </c>
      <c r="AA113" s="23">
        <f>ROUND(Y113 + Z113, 2)</f>
        <v/>
      </c>
      <c r="AB113" s="23">
        <f>Saldo_Residual_Activo!M113</f>
        <v/>
      </c>
      <c r="AC113" s="23">
        <f>ROUND(AA113 + AB113, 2)</f>
        <v/>
      </c>
      <c r="AD113" s="23">
        <f>Saldos_Capital_Mensual!N113</f>
        <v/>
      </c>
      <c r="AE113" s="23">
        <f>Saldos_Intereses_Mensual!N113</f>
        <v/>
      </c>
      <c r="AF113" s="23">
        <f>ROUND(AD113 + AE113, 2)</f>
        <v/>
      </c>
      <c r="AG113" s="23">
        <f>Saldo_Residual_Activo!N113</f>
        <v/>
      </c>
      <c r="AH113" s="23">
        <f>ROUND(AF113 + AG113, 2)</f>
        <v/>
      </c>
      <c r="AI113" s="23">
        <f>Saldos_Capital_Mensual!O113</f>
        <v/>
      </c>
      <c r="AJ113" s="23">
        <f>Saldos_Intereses_Mensual!O113</f>
        <v/>
      </c>
      <c r="AK113" s="23">
        <f>ROUND(AI113 + AJ113, 2)</f>
        <v/>
      </c>
      <c r="AL113" s="23">
        <f>Saldo_Residual_Activo!O113</f>
        <v/>
      </c>
      <c r="AM113" s="23">
        <f>ROUND(AK113 + AL113, 2)</f>
        <v/>
      </c>
      <c r="AN113" s="23">
        <f>Saldos_Capital_Mensual!P113</f>
        <v/>
      </c>
      <c r="AO113" s="23">
        <f>Saldos_Intereses_Mensual!P113</f>
        <v/>
      </c>
      <c r="AP113" s="23">
        <f>ROUND(AN113 + AO113, 2)</f>
        <v/>
      </c>
      <c r="AQ113" s="23">
        <f>Saldo_Residual_Activo!P113</f>
        <v/>
      </c>
      <c r="AR113" s="23">
        <f>ROUND(AP113 + AQ113, 2)</f>
        <v/>
      </c>
      <c r="AS113" s="23">
        <f>Saldos_Capital_Mensual!Q113</f>
        <v/>
      </c>
      <c r="AT113" s="23">
        <f>Saldos_Intereses_Mensual!Q113</f>
        <v/>
      </c>
      <c r="AU113" s="23">
        <f>ROUND(AS113 + AT113, 2)</f>
        <v/>
      </c>
      <c r="AV113" s="23">
        <f>Saldo_Residual_Activo!Q113</f>
        <v/>
      </c>
      <c r="AW113" s="23">
        <f>ROUND(AU113 + AV113, 2)</f>
        <v/>
      </c>
      <c r="AX113" s="23">
        <f>Saldos_Capital_Mensual!R113</f>
        <v/>
      </c>
      <c r="AY113" s="23">
        <f>Saldos_Intereses_Mensual!R113</f>
        <v/>
      </c>
      <c r="AZ113" s="23">
        <f>ROUND(AX113 + AY113, 2)</f>
        <v/>
      </c>
      <c r="BA113" s="23">
        <f>Saldo_Residual_Activo!R113</f>
        <v/>
      </c>
      <c r="BB113" s="23">
        <f>ROUND(AZ113 + BA113, 2)</f>
        <v/>
      </c>
      <c r="BC113" s="23">
        <f>Saldos_Capital_Mensual!S113</f>
        <v/>
      </c>
      <c r="BD113" s="23">
        <f>Saldos_Intereses_Mensual!S113</f>
        <v/>
      </c>
      <c r="BE113" s="23">
        <f>ROUND(BC113 + BD113, 2)</f>
        <v/>
      </c>
      <c r="BF113" s="23">
        <f>Saldo_Residual_Activo!S113</f>
        <v/>
      </c>
      <c r="BG113" s="23">
        <f>ROUND(BE113 + BF113, 2)</f>
        <v/>
      </c>
      <c r="BH113" s="23">
        <f>Saldos_Capital_Mensual!T113</f>
        <v/>
      </c>
      <c r="BI113" s="23">
        <f>Saldos_Intereses_Mensual!T113</f>
        <v/>
      </c>
      <c r="BJ113" s="23">
        <f>ROUND(BH113 + BI113, 2)</f>
        <v/>
      </c>
      <c r="BK113" s="23">
        <f>Saldo_Residual_Activo!T113</f>
        <v/>
      </c>
      <c r="BL113" s="23">
        <f>ROUND(BJ113 + BK113, 2)</f>
        <v/>
      </c>
    </row>
    <row r="114">
      <c r="A114" s="26" t="inlineStr">
        <is>
          <t>0649-0003</t>
        </is>
      </c>
      <c r="B114" s="27" t="inlineStr">
        <is>
          <t>Compusoluciones Y Asociados Sa de Cv</t>
        </is>
      </c>
      <c r="C114" s="27" t="inlineStr">
        <is>
          <t>Highlander XLE</t>
        </is>
      </c>
      <c r="D114" s="28" t="n">
        <v>48</v>
      </c>
      <c r="E114" s="29">
        <f>Saldos_Capital_Mensual!I114</f>
        <v/>
      </c>
      <c r="F114" s="29">
        <f>Saldos_Intereses_Mensual!I114</f>
        <v/>
      </c>
      <c r="G114" s="29">
        <f>ROUND(E114 + F114, 2)</f>
        <v/>
      </c>
      <c r="H114" s="29">
        <f>Saldo_Residual_Activo!I114</f>
        <v/>
      </c>
      <c r="I114" s="29">
        <f>ROUND(G114 + H114, 2)</f>
        <v/>
      </c>
      <c r="J114" s="29">
        <f>Saldos_Capital_Mensual!J114</f>
        <v/>
      </c>
      <c r="K114" s="29">
        <f>Saldos_Intereses_Mensual!J114</f>
        <v/>
      </c>
      <c r="L114" s="29">
        <f>ROUND(J114 + K114, 2)</f>
        <v/>
      </c>
      <c r="M114" s="29">
        <f>Saldo_Residual_Activo!J114</f>
        <v/>
      </c>
      <c r="N114" s="29">
        <f>ROUND(L114 + M114, 2)</f>
        <v/>
      </c>
      <c r="O114" s="29">
        <f>Saldos_Capital_Mensual!K114</f>
        <v/>
      </c>
      <c r="P114" s="29">
        <f>Saldos_Intereses_Mensual!K114</f>
        <v/>
      </c>
      <c r="Q114" s="29">
        <f>ROUND(O114 + P114, 2)</f>
        <v/>
      </c>
      <c r="R114" s="29">
        <f>Saldo_Residual_Activo!K114</f>
        <v/>
      </c>
      <c r="S114" s="29">
        <f>ROUND(Q114 + R114, 2)</f>
        <v/>
      </c>
      <c r="T114" s="29">
        <f>Saldos_Capital_Mensual!L114</f>
        <v/>
      </c>
      <c r="U114" s="29">
        <f>Saldos_Intereses_Mensual!L114</f>
        <v/>
      </c>
      <c r="V114" s="29">
        <f>ROUND(T114 + U114, 2)</f>
        <v/>
      </c>
      <c r="W114" s="29">
        <f>Saldo_Residual_Activo!L114</f>
        <v/>
      </c>
      <c r="X114" s="29">
        <f>ROUND(V114 + W114, 2)</f>
        <v/>
      </c>
      <c r="Y114" s="29">
        <f>Saldos_Capital_Mensual!M114</f>
        <v/>
      </c>
      <c r="Z114" s="29">
        <f>Saldos_Intereses_Mensual!M114</f>
        <v/>
      </c>
      <c r="AA114" s="29">
        <f>ROUND(Y114 + Z114, 2)</f>
        <v/>
      </c>
      <c r="AB114" s="29">
        <f>Saldo_Residual_Activo!M114</f>
        <v/>
      </c>
      <c r="AC114" s="29">
        <f>ROUND(AA114 + AB114, 2)</f>
        <v/>
      </c>
      <c r="AD114" s="29">
        <f>Saldos_Capital_Mensual!N114</f>
        <v/>
      </c>
      <c r="AE114" s="29">
        <f>Saldos_Intereses_Mensual!N114</f>
        <v/>
      </c>
      <c r="AF114" s="29">
        <f>ROUND(AD114 + AE114, 2)</f>
        <v/>
      </c>
      <c r="AG114" s="29">
        <f>Saldo_Residual_Activo!N114</f>
        <v/>
      </c>
      <c r="AH114" s="29">
        <f>ROUND(AF114 + AG114, 2)</f>
        <v/>
      </c>
      <c r="AI114" s="29">
        <f>Saldos_Capital_Mensual!O114</f>
        <v/>
      </c>
      <c r="AJ114" s="29">
        <f>Saldos_Intereses_Mensual!O114</f>
        <v/>
      </c>
      <c r="AK114" s="29">
        <f>ROUND(AI114 + AJ114, 2)</f>
        <v/>
      </c>
      <c r="AL114" s="29">
        <f>Saldo_Residual_Activo!O114</f>
        <v/>
      </c>
      <c r="AM114" s="29">
        <f>ROUND(AK114 + AL114, 2)</f>
        <v/>
      </c>
      <c r="AN114" s="29">
        <f>Saldos_Capital_Mensual!P114</f>
        <v/>
      </c>
      <c r="AO114" s="29">
        <f>Saldos_Intereses_Mensual!P114</f>
        <v/>
      </c>
      <c r="AP114" s="29">
        <f>ROUND(AN114 + AO114, 2)</f>
        <v/>
      </c>
      <c r="AQ114" s="29">
        <f>Saldo_Residual_Activo!P114</f>
        <v/>
      </c>
      <c r="AR114" s="29">
        <f>ROUND(AP114 + AQ114, 2)</f>
        <v/>
      </c>
      <c r="AS114" s="29">
        <f>Saldos_Capital_Mensual!Q114</f>
        <v/>
      </c>
      <c r="AT114" s="29">
        <f>Saldos_Intereses_Mensual!Q114</f>
        <v/>
      </c>
      <c r="AU114" s="29">
        <f>ROUND(AS114 + AT114, 2)</f>
        <v/>
      </c>
      <c r="AV114" s="29">
        <f>Saldo_Residual_Activo!Q114</f>
        <v/>
      </c>
      <c r="AW114" s="29">
        <f>ROUND(AU114 + AV114, 2)</f>
        <v/>
      </c>
      <c r="AX114" s="29">
        <f>Saldos_Capital_Mensual!R114</f>
        <v/>
      </c>
      <c r="AY114" s="29">
        <f>Saldos_Intereses_Mensual!R114</f>
        <v/>
      </c>
      <c r="AZ114" s="29">
        <f>ROUND(AX114 + AY114, 2)</f>
        <v/>
      </c>
      <c r="BA114" s="29">
        <f>Saldo_Residual_Activo!R114</f>
        <v/>
      </c>
      <c r="BB114" s="29">
        <f>ROUND(AZ114 + BA114, 2)</f>
        <v/>
      </c>
      <c r="BC114" s="29">
        <f>Saldos_Capital_Mensual!S114</f>
        <v/>
      </c>
      <c r="BD114" s="29">
        <f>Saldos_Intereses_Mensual!S114</f>
        <v/>
      </c>
      <c r="BE114" s="29">
        <f>ROUND(BC114 + BD114, 2)</f>
        <v/>
      </c>
      <c r="BF114" s="29">
        <f>Saldo_Residual_Activo!S114</f>
        <v/>
      </c>
      <c r="BG114" s="29">
        <f>ROUND(BE114 + BF114, 2)</f>
        <v/>
      </c>
      <c r="BH114" s="29">
        <f>Saldos_Capital_Mensual!T114</f>
        <v/>
      </c>
      <c r="BI114" s="29">
        <f>Saldos_Intereses_Mensual!T114</f>
        <v/>
      </c>
      <c r="BJ114" s="29">
        <f>ROUND(BH114 + BI114, 2)</f>
        <v/>
      </c>
      <c r="BK114" s="29">
        <f>Saldo_Residual_Activo!T114</f>
        <v/>
      </c>
      <c r="BL114" s="29">
        <f>ROUND(BJ114 + BK114, 2)</f>
        <v/>
      </c>
    </row>
    <row r="115">
      <c r="A115" s="20" t="inlineStr">
        <is>
          <t>0649-0005</t>
        </is>
      </c>
      <c r="B115" s="21" t="inlineStr">
        <is>
          <t>Compusoluciones y Asociados Sa de Cv</t>
        </is>
      </c>
      <c r="C115" s="21" t="inlineStr">
        <is>
          <t>3 i Touring</t>
        </is>
      </c>
      <c r="D115" s="22" t="n">
        <v>48</v>
      </c>
      <c r="E115" s="23">
        <f>Saldos_Capital_Mensual!I115</f>
        <v/>
      </c>
      <c r="F115" s="23">
        <f>Saldos_Intereses_Mensual!I115</f>
        <v/>
      </c>
      <c r="G115" s="23">
        <f>ROUND(E115 + F115, 2)</f>
        <v/>
      </c>
      <c r="H115" s="23">
        <f>Saldo_Residual_Activo!I115</f>
        <v/>
      </c>
      <c r="I115" s="23">
        <f>ROUND(G115 + H115, 2)</f>
        <v/>
      </c>
      <c r="J115" s="23">
        <f>Saldos_Capital_Mensual!J115</f>
        <v/>
      </c>
      <c r="K115" s="23">
        <f>Saldos_Intereses_Mensual!J115</f>
        <v/>
      </c>
      <c r="L115" s="23">
        <f>ROUND(J115 + K115, 2)</f>
        <v/>
      </c>
      <c r="M115" s="23">
        <f>Saldo_Residual_Activo!J115</f>
        <v/>
      </c>
      <c r="N115" s="23">
        <f>ROUND(L115 + M115, 2)</f>
        <v/>
      </c>
      <c r="O115" s="23">
        <f>Saldos_Capital_Mensual!K115</f>
        <v/>
      </c>
      <c r="P115" s="23">
        <f>Saldos_Intereses_Mensual!K115</f>
        <v/>
      </c>
      <c r="Q115" s="23">
        <f>ROUND(O115 + P115, 2)</f>
        <v/>
      </c>
      <c r="R115" s="23">
        <f>Saldo_Residual_Activo!K115</f>
        <v/>
      </c>
      <c r="S115" s="23">
        <f>ROUND(Q115 + R115, 2)</f>
        <v/>
      </c>
      <c r="T115" s="23">
        <f>Saldos_Capital_Mensual!L115</f>
        <v/>
      </c>
      <c r="U115" s="23">
        <f>Saldos_Intereses_Mensual!L115</f>
        <v/>
      </c>
      <c r="V115" s="23">
        <f>ROUND(T115 + U115, 2)</f>
        <v/>
      </c>
      <c r="W115" s="23">
        <f>Saldo_Residual_Activo!L115</f>
        <v/>
      </c>
      <c r="X115" s="23">
        <f>ROUND(V115 + W115, 2)</f>
        <v/>
      </c>
      <c r="Y115" s="23">
        <f>Saldos_Capital_Mensual!M115</f>
        <v/>
      </c>
      <c r="Z115" s="23">
        <f>Saldos_Intereses_Mensual!M115</f>
        <v/>
      </c>
      <c r="AA115" s="23">
        <f>ROUND(Y115 + Z115, 2)</f>
        <v/>
      </c>
      <c r="AB115" s="23">
        <f>Saldo_Residual_Activo!M115</f>
        <v/>
      </c>
      <c r="AC115" s="23">
        <f>ROUND(AA115 + AB115, 2)</f>
        <v/>
      </c>
      <c r="AD115" s="23">
        <f>Saldos_Capital_Mensual!N115</f>
        <v/>
      </c>
      <c r="AE115" s="23">
        <f>Saldos_Intereses_Mensual!N115</f>
        <v/>
      </c>
      <c r="AF115" s="23">
        <f>ROUND(AD115 + AE115, 2)</f>
        <v/>
      </c>
      <c r="AG115" s="23">
        <f>Saldo_Residual_Activo!N115</f>
        <v/>
      </c>
      <c r="AH115" s="23">
        <f>ROUND(AF115 + AG115, 2)</f>
        <v/>
      </c>
      <c r="AI115" s="23">
        <f>Saldos_Capital_Mensual!O115</f>
        <v/>
      </c>
      <c r="AJ115" s="23">
        <f>Saldos_Intereses_Mensual!O115</f>
        <v/>
      </c>
      <c r="AK115" s="23">
        <f>ROUND(AI115 + AJ115, 2)</f>
        <v/>
      </c>
      <c r="AL115" s="23">
        <f>Saldo_Residual_Activo!O115</f>
        <v/>
      </c>
      <c r="AM115" s="23">
        <f>ROUND(AK115 + AL115, 2)</f>
        <v/>
      </c>
      <c r="AN115" s="23">
        <f>Saldos_Capital_Mensual!P115</f>
        <v/>
      </c>
      <c r="AO115" s="23">
        <f>Saldos_Intereses_Mensual!P115</f>
        <v/>
      </c>
      <c r="AP115" s="23">
        <f>ROUND(AN115 + AO115, 2)</f>
        <v/>
      </c>
      <c r="AQ115" s="23">
        <f>Saldo_Residual_Activo!P115</f>
        <v/>
      </c>
      <c r="AR115" s="23">
        <f>ROUND(AP115 + AQ115, 2)</f>
        <v/>
      </c>
      <c r="AS115" s="23">
        <f>Saldos_Capital_Mensual!Q115</f>
        <v/>
      </c>
      <c r="AT115" s="23">
        <f>Saldos_Intereses_Mensual!Q115</f>
        <v/>
      </c>
      <c r="AU115" s="23">
        <f>ROUND(AS115 + AT115, 2)</f>
        <v/>
      </c>
      <c r="AV115" s="23">
        <f>Saldo_Residual_Activo!Q115</f>
        <v/>
      </c>
      <c r="AW115" s="23">
        <f>ROUND(AU115 + AV115, 2)</f>
        <v/>
      </c>
      <c r="AX115" s="23">
        <f>Saldos_Capital_Mensual!R115</f>
        <v/>
      </c>
      <c r="AY115" s="23">
        <f>Saldos_Intereses_Mensual!R115</f>
        <v/>
      </c>
      <c r="AZ115" s="23">
        <f>ROUND(AX115 + AY115, 2)</f>
        <v/>
      </c>
      <c r="BA115" s="23">
        <f>Saldo_Residual_Activo!R115</f>
        <v/>
      </c>
      <c r="BB115" s="23">
        <f>ROUND(AZ115 + BA115, 2)</f>
        <v/>
      </c>
      <c r="BC115" s="23">
        <f>Saldos_Capital_Mensual!S115</f>
        <v/>
      </c>
      <c r="BD115" s="23">
        <f>Saldos_Intereses_Mensual!S115</f>
        <v/>
      </c>
      <c r="BE115" s="23">
        <f>ROUND(BC115 + BD115, 2)</f>
        <v/>
      </c>
      <c r="BF115" s="23">
        <f>Saldo_Residual_Activo!S115</f>
        <v/>
      </c>
      <c r="BG115" s="23">
        <f>ROUND(BE115 + BF115, 2)</f>
        <v/>
      </c>
      <c r="BH115" s="23">
        <f>Saldos_Capital_Mensual!T115</f>
        <v/>
      </c>
      <c r="BI115" s="23">
        <f>Saldos_Intereses_Mensual!T115</f>
        <v/>
      </c>
      <c r="BJ115" s="23">
        <f>ROUND(BH115 + BI115, 2)</f>
        <v/>
      </c>
      <c r="BK115" s="23">
        <f>Saldo_Residual_Activo!T115</f>
        <v/>
      </c>
      <c r="BL115" s="23">
        <f>ROUND(BJ115 + BK115, 2)</f>
        <v/>
      </c>
    </row>
    <row r="116">
      <c r="A116" s="26" t="inlineStr">
        <is>
          <t>0649-0006</t>
        </is>
      </c>
      <c r="B116" s="27" t="inlineStr">
        <is>
          <t>Compusoluciones y Asociados sa de Cv</t>
        </is>
      </c>
      <c r="C116" s="27" t="inlineStr">
        <is>
          <t>Mazda Cx5</t>
        </is>
      </c>
      <c r="D116" s="28" t="n">
        <v>48</v>
      </c>
      <c r="E116" s="29">
        <f>Saldos_Capital_Mensual!I116</f>
        <v/>
      </c>
      <c r="F116" s="29">
        <f>Saldos_Intereses_Mensual!I116</f>
        <v/>
      </c>
      <c r="G116" s="29">
        <f>ROUND(E116 + F116, 2)</f>
        <v/>
      </c>
      <c r="H116" s="29">
        <f>Saldo_Residual_Activo!I116</f>
        <v/>
      </c>
      <c r="I116" s="29">
        <f>ROUND(G116 + H116, 2)</f>
        <v/>
      </c>
      <c r="J116" s="29">
        <f>Saldos_Capital_Mensual!J116</f>
        <v/>
      </c>
      <c r="K116" s="29">
        <f>Saldos_Intereses_Mensual!J116</f>
        <v/>
      </c>
      <c r="L116" s="29">
        <f>ROUND(J116 + K116, 2)</f>
        <v/>
      </c>
      <c r="M116" s="29">
        <f>Saldo_Residual_Activo!J116</f>
        <v/>
      </c>
      <c r="N116" s="29">
        <f>ROUND(L116 + M116, 2)</f>
        <v/>
      </c>
      <c r="O116" s="29">
        <f>Saldos_Capital_Mensual!K116</f>
        <v/>
      </c>
      <c r="P116" s="29">
        <f>Saldos_Intereses_Mensual!K116</f>
        <v/>
      </c>
      <c r="Q116" s="29">
        <f>ROUND(O116 + P116, 2)</f>
        <v/>
      </c>
      <c r="R116" s="29">
        <f>Saldo_Residual_Activo!K116</f>
        <v/>
      </c>
      <c r="S116" s="29">
        <f>ROUND(Q116 + R116, 2)</f>
        <v/>
      </c>
      <c r="T116" s="29">
        <f>Saldos_Capital_Mensual!L116</f>
        <v/>
      </c>
      <c r="U116" s="29">
        <f>Saldos_Intereses_Mensual!L116</f>
        <v/>
      </c>
      <c r="V116" s="29">
        <f>ROUND(T116 + U116, 2)</f>
        <v/>
      </c>
      <c r="W116" s="29">
        <f>Saldo_Residual_Activo!L116</f>
        <v/>
      </c>
      <c r="X116" s="29">
        <f>ROUND(V116 + W116, 2)</f>
        <v/>
      </c>
      <c r="Y116" s="29">
        <f>Saldos_Capital_Mensual!M116</f>
        <v/>
      </c>
      <c r="Z116" s="29">
        <f>Saldos_Intereses_Mensual!M116</f>
        <v/>
      </c>
      <c r="AA116" s="29">
        <f>ROUND(Y116 + Z116, 2)</f>
        <v/>
      </c>
      <c r="AB116" s="29">
        <f>Saldo_Residual_Activo!M116</f>
        <v/>
      </c>
      <c r="AC116" s="29">
        <f>ROUND(AA116 + AB116, 2)</f>
        <v/>
      </c>
      <c r="AD116" s="29">
        <f>Saldos_Capital_Mensual!N116</f>
        <v/>
      </c>
      <c r="AE116" s="29">
        <f>Saldos_Intereses_Mensual!N116</f>
        <v/>
      </c>
      <c r="AF116" s="29">
        <f>ROUND(AD116 + AE116, 2)</f>
        <v/>
      </c>
      <c r="AG116" s="29">
        <f>Saldo_Residual_Activo!N116</f>
        <v/>
      </c>
      <c r="AH116" s="29">
        <f>ROUND(AF116 + AG116, 2)</f>
        <v/>
      </c>
      <c r="AI116" s="29">
        <f>Saldos_Capital_Mensual!O116</f>
        <v/>
      </c>
      <c r="AJ116" s="29">
        <f>Saldos_Intereses_Mensual!O116</f>
        <v/>
      </c>
      <c r="AK116" s="29">
        <f>ROUND(AI116 + AJ116, 2)</f>
        <v/>
      </c>
      <c r="AL116" s="29">
        <f>Saldo_Residual_Activo!O116</f>
        <v/>
      </c>
      <c r="AM116" s="29">
        <f>ROUND(AK116 + AL116, 2)</f>
        <v/>
      </c>
      <c r="AN116" s="29">
        <f>Saldos_Capital_Mensual!P116</f>
        <v/>
      </c>
      <c r="AO116" s="29">
        <f>Saldos_Intereses_Mensual!P116</f>
        <v/>
      </c>
      <c r="AP116" s="29">
        <f>ROUND(AN116 + AO116, 2)</f>
        <v/>
      </c>
      <c r="AQ116" s="29">
        <f>Saldo_Residual_Activo!P116</f>
        <v/>
      </c>
      <c r="AR116" s="29">
        <f>ROUND(AP116 + AQ116, 2)</f>
        <v/>
      </c>
      <c r="AS116" s="29">
        <f>Saldos_Capital_Mensual!Q116</f>
        <v/>
      </c>
      <c r="AT116" s="29">
        <f>Saldos_Intereses_Mensual!Q116</f>
        <v/>
      </c>
      <c r="AU116" s="29">
        <f>ROUND(AS116 + AT116, 2)</f>
        <v/>
      </c>
      <c r="AV116" s="29">
        <f>Saldo_Residual_Activo!Q116</f>
        <v/>
      </c>
      <c r="AW116" s="29">
        <f>ROUND(AU116 + AV116, 2)</f>
        <v/>
      </c>
      <c r="AX116" s="29">
        <f>Saldos_Capital_Mensual!R116</f>
        <v/>
      </c>
      <c r="AY116" s="29">
        <f>Saldos_Intereses_Mensual!R116</f>
        <v/>
      </c>
      <c r="AZ116" s="29">
        <f>ROUND(AX116 + AY116, 2)</f>
        <v/>
      </c>
      <c r="BA116" s="29">
        <f>Saldo_Residual_Activo!R116</f>
        <v/>
      </c>
      <c r="BB116" s="29">
        <f>ROUND(AZ116 + BA116, 2)</f>
        <v/>
      </c>
      <c r="BC116" s="29">
        <f>Saldos_Capital_Mensual!S116</f>
        <v/>
      </c>
      <c r="BD116" s="29">
        <f>Saldos_Intereses_Mensual!S116</f>
        <v/>
      </c>
      <c r="BE116" s="29">
        <f>ROUND(BC116 + BD116, 2)</f>
        <v/>
      </c>
      <c r="BF116" s="29">
        <f>Saldo_Residual_Activo!S116</f>
        <v/>
      </c>
      <c r="BG116" s="29">
        <f>ROUND(BE116 + BF116, 2)</f>
        <v/>
      </c>
      <c r="BH116" s="29">
        <f>Saldos_Capital_Mensual!T116</f>
        <v/>
      </c>
      <c r="BI116" s="29">
        <f>Saldos_Intereses_Mensual!T116</f>
        <v/>
      </c>
      <c r="BJ116" s="29">
        <f>ROUND(BH116 + BI116, 2)</f>
        <v/>
      </c>
      <c r="BK116" s="29">
        <f>Saldo_Residual_Activo!T116</f>
        <v/>
      </c>
      <c r="BL116" s="29">
        <f>ROUND(BJ116 + BK116, 2)</f>
        <v/>
      </c>
    </row>
    <row r="117">
      <c r="A117" s="20" t="inlineStr">
        <is>
          <t>0649-0007</t>
        </is>
      </c>
      <c r="B117" s="21" t="inlineStr">
        <is>
          <t>Compusoluciones y Asociados sa de Cv</t>
        </is>
      </c>
      <c r="C117" s="21" t="inlineStr">
        <is>
          <t>RX5</t>
        </is>
      </c>
      <c r="D117" s="22" t="n">
        <v>36</v>
      </c>
      <c r="E117" s="23">
        <f>Saldos_Capital_Mensual!I117</f>
        <v/>
      </c>
      <c r="F117" s="23">
        <f>Saldos_Intereses_Mensual!I117</f>
        <v/>
      </c>
      <c r="G117" s="23">
        <f>ROUND(E117 + F117, 2)</f>
        <v/>
      </c>
      <c r="H117" s="23">
        <f>Saldo_Residual_Activo!I117</f>
        <v/>
      </c>
      <c r="I117" s="23">
        <f>ROUND(G117 + H117, 2)</f>
        <v/>
      </c>
      <c r="J117" s="23">
        <f>Saldos_Capital_Mensual!J117</f>
        <v/>
      </c>
      <c r="K117" s="23">
        <f>Saldos_Intereses_Mensual!J117</f>
        <v/>
      </c>
      <c r="L117" s="23">
        <f>ROUND(J117 + K117, 2)</f>
        <v/>
      </c>
      <c r="M117" s="23">
        <f>Saldo_Residual_Activo!J117</f>
        <v/>
      </c>
      <c r="N117" s="23">
        <f>ROUND(L117 + M117, 2)</f>
        <v/>
      </c>
      <c r="O117" s="23">
        <f>Saldos_Capital_Mensual!K117</f>
        <v/>
      </c>
      <c r="P117" s="23">
        <f>Saldos_Intereses_Mensual!K117</f>
        <v/>
      </c>
      <c r="Q117" s="23">
        <f>ROUND(O117 + P117, 2)</f>
        <v/>
      </c>
      <c r="R117" s="23">
        <f>Saldo_Residual_Activo!K117</f>
        <v/>
      </c>
      <c r="S117" s="23">
        <f>ROUND(Q117 + R117, 2)</f>
        <v/>
      </c>
      <c r="T117" s="23">
        <f>Saldos_Capital_Mensual!L117</f>
        <v/>
      </c>
      <c r="U117" s="23">
        <f>Saldos_Intereses_Mensual!L117</f>
        <v/>
      </c>
      <c r="V117" s="23">
        <f>ROUND(T117 + U117, 2)</f>
        <v/>
      </c>
      <c r="W117" s="23">
        <f>Saldo_Residual_Activo!L117</f>
        <v/>
      </c>
      <c r="X117" s="23">
        <f>ROUND(V117 + W117, 2)</f>
        <v/>
      </c>
      <c r="Y117" s="23">
        <f>Saldos_Capital_Mensual!M117</f>
        <v/>
      </c>
      <c r="Z117" s="23">
        <f>Saldos_Intereses_Mensual!M117</f>
        <v/>
      </c>
      <c r="AA117" s="23">
        <f>ROUND(Y117 + Z117, 2)</f>
        <v/>
      </c>
      <c r="AB117" s="23">
        <f>Saldo_Residual_Activo!M117</f>
        <v/>
      </c>
      <c r="AC117" s="23">
        <f>ROUND(AA117 + AB117, 2)</f>
        <v/>
      </c>
      <c r="AD117" s="23">
        <f>Saldos_Capital_Mensual!N117</f>
        <v/>
      </c>
      <c r="AE117" s="23">
        <f>Saldos_Intereses_Mensual!N117</f>
        <v/>
      </c>
      <c r="AF117" s="23">
        <f>ROUND(AD117 + AE117, 2)</f>
        <v/>
      </c>
      <c r="AG117" s="23">
        <f>Saldo_Residual_Activo!N117</f>
        <v/>
      </c>
      <c r="AH117" s="23">
        <f>ROUND(AF117 + AG117, 2)</f>
        <v/>
      </c>
      <c r="AI117" s="23">
        <f>Saldos_Capital_Mensual!O117</f>
        <v/>
      </c>
      <c r="AJ117" s="23">
        <f>Saldos_Intereses_Mensual!O117</f>
        <v/>
      </c>
      <c r="AK117" s="23">
        <f>ROUND(AI117 + AJ117, 2)</f>
        <v/>
      </c>
      <c r="AL117" s="23">
        <f>Saldo_Residual_Activo!O117</f>
        <v/>
      </c>
      <c r="AM117" s="23">
        <f>ROUND(AK117 + AL117, 2)</f>
        <v/>
      </c>
      <c r="AN117" s="23">
        <f>Saldos_Capital_Mensual!P117</f>
        <v/>
      </c>
      <c r="AO117" s="23">
        <f>Saldos_Intereses_Mensual!P117</f>
        <v/>
      </c>
      <c r="AP117" s="23">
        <f>ROUND(AN117 + AO117, 2)</f>
        <v/>
      </c>
      <c r="AQ117" s="23">
        <f>Saldo_Residual_Activo!P117</f>
        <v/>
      </c>
      <c r="AR117" s="23">
        <f>ROUND(AP117 + AQ117, 2)</f>
        <v/>
      </c>
      <c r="AS117" s="23">
        <f>Saldos_Capital_Mensual!Q117</f>
        <v/>
      </c>
      <c r="AT117" s="23">
        <f>Saldos_Intereses_Mensual!Q117</f>
        <v/>
      </c>
      <c r="AU117" s="23">
        <f>ROUND(AS117 + AT117, 2)</f>
        <v/>
      </c>
      <c r="AV117" s="23">
        <f>Saldo_Residual_Activo!Q117</f>
        <v/>
      </c>
      <c r="AW117" s="23">
        <f>ROUND(AU117 + AV117, 2)</f>
        <v/>
      </c>
      <c r="AX117" s="23">
        <f>Saldos_Capital_Mensual!R117</f>
        <v/>
      </c>
      <c r="AY117" s="23">
        <f>Saldos_Intereses_Mensual!R117</f>
        <v/>
      </c>
      <c r="AZ117" s="23">
        <f>ROUND(AX117 + AY117, 2)</f>
        <v/>
      </c>
      <c r="BA117" s="23">
        <f>Saldo_Residual_Activo!R117</f>
        <v/>
      </c>
      <c r="BB117" s="23">
        <f>ROUND(AZ117 + BA117, 2)</f>
        <v/>
      </c>
      <c r="BC117" s="23">
        <f>Saldos_Capital_Mensual!S117</f>
        <v/>
      </c>
      <c r="BD117" s="23">
        <f>Saldos_Intereses_Mensual!S117</f>
        <v/>
      </c>
      <c r="BE117" s="23">
        <f>ROUND(BC117 + BD117, 2)</f>
        <v/>
      </c>
      <c r="BF117" s="23">
        <f>Saldo_Residual_Activo!S117</f>
        <v/>
      </c>
      <c r="BG117" s="23">
        <f>ROUND(BE117 + BF117, 2)</f>
        <v/>
      </c>
      <c r="BH117" s="23">
        <f>Saldos_Capital_Mensual!T117</f>
        <v/>
      </c>
      <c r="BI117" s="23">
        <f>Saldos_Intereses_Mensual!T117</f>
        <v/>
      </c>
      <c r="BJ117" s="23">
        <f>ROUND(BH117 + BI117, 2)</f>
        <v/>
      </c>
      <c r="BK117" s="23">
        <f>Saldo_Residual_Activo!T117</f>
        <v/>
      </c>
      <c r="BL117" s="23">
        <f>ROUND(BJ117 + BK117, 2)</f>
        <v/>
      </c>
    </row>
    <row r="118">
      <c r="A118" s="26" t="inlineStr">
        <is>
          <t>0649-0008</t>
        </is>
      </c>
      <c r="B118" s="27" t="inlineStr">
        <is>
          <t>Compusoluciones y Asociados Sa de Cv</t>
        </is>
      </c>
      <c r="C118" s="27" t="inlineStr">
        <is>
          <t>Kicks</t>
        </is>
      </c>
      <c r="D118" s="28" t="n">
        <v>48</v>
      </c>
      <c r="E118" s="29">
        <f>Saldos_Capital_Mensual!I118</f>
        <v/>
      </c>
      <c r="F118" s="29">
        <f>Saldos_Intereses_Mensual!I118</f>
        <v/>
      </c>
      <c r="G118" s="29">
        <f>ROUND(E118 + F118, 2)</f>
        <v/>
      </c>
      <c r="H118" s="29">
        <f>Saldo_Residual_Activo!I118</f>
        <v/>
      </c>
      <c r="I118" s="29">
        <f>ROUND(G118 + H118, 2)</f>
        <v/>
      </c>
      <c r="J118" s="29">
        <f>Saldos_Capital_Mensual!J118</f>
        <v/>
      </c>
      <c r="K118" s="29">
        <f>Saldos_Intereses_Mensual!J118</f>
        <v/>
      </c>
      <c r="L118" s="29">
        <f>ROUND(J118 + K118, 2)</f>
        <v/>
      </c>
      <c r="M118" s="29">
        <f>Saldo_Residual_Activo!J118</f>
        <v/>
      </c>
      <c r="N118" s="29">
        <f>ROUND(L118 + M118, 2)</f>
        <v/>
      </c>
      <c r="O118" s="29">
        <f>Saldos_Capital_Mensual!K118</f>
        <v/>
      </c>
      <c r="P118" s="29">
        <f>Saldos_Intereses_Mensual!K118</f>
        <v/>
      </c>
      <c r="Q118" s="29">
        <f>ROUND(O118 + P118, 2)</f>
        <v/>
      </c>
      <c r="R118" s="29">
        <f>Saldo_Residual_Activo!K118</f>
        <v/>
      </c>
      <c r="S118" s="29">
        <f>ROUND(Q118 + R118, 2)</f>
        <v/>
      </c>
      <c r="T118" s="29">
        <f>Saldos_Capital_Mensual!L118</f>
        <v/>
      </c>
      <c r="U118" s="29">
        <f>Saldos_Intereses_Mensual!L118</f>
        <v/>
      </c>
      <c r="V118" s="29">
        <f>ROUND(T118 + U118, 2)</f>
        <v/>
      </c>
      <c r="W118" s="29">
        <f>Saldo_Residual_Activo!L118</f>
        <v/>
      </c>
      <c r="X118" s="29">
        <f>ROUND(V118 + W118, 2)</f>
        <v/>
      </c>
      <c r="Y118" s="29">
        <f>Saldos_Capital_Mensual!M118</f>
        <v/>
      </c>
      <c r="Z118" s="29">
        <f>Saldos_Intereses_Mensual!M118</f>
        <v/>
      </c>
      <c r="AA118" s="29">
        <f>ROUND(Y118 + Z118, 2)</f>
        <v/>
      </c>
      <c r="AB118" s="29">
        <f>Saldo_Residual_Activo!M118</f>
        <v/>
      </c>
      <c r="AC118" s="29">
        <f>ROUND(AA118 + AB118, 2)</f>
        <v/>
      </c>
      <c r="AD118" s="29">
        <f>Saldos_Capital_Mensual!N118</f>
        <v/>
      </c>
      <c r="AE118" s="29">
        <f>Saldos_Intereses_Mensual!N118</f>
        <v/>
      </c>
      <c r="AF118" s="29">
        <f>ROUND(AD118 + AE118, 2)</f>
        <v/>
      </c>
      <c r="AG118" s="29">
        <f>Saldo_Residual_Activo!N118</f>
        <v/>
      </c>
      <c r="AH118" s="29">
        <f>ROUND(AF118 + AG118, 2)</f>
        <v/>
      </c>
      <c r="AI118" s="29">
        <f>Saldos_Capital_Mensual!O118</f>
        <v/>
      </c>
      <c r="AJ118" s="29">
        <f>Saldos_Intereses_Mensual!O118</f>
        <v/>
      </c>
      <c r="AK118" s="29">
        <f>ROUND(AI118 + AJ118, 2)</f>
        <v/>
      </c>
      <c r="AL118" s="29">
        <f>Saldo_Residual_Activo!O118</f>
        <v/>
      </c>
      <c r="AM118" s="29">
        <f>ROUND(AK118 + AL118, 2)</f>
        <v/>
      </c>
      <c r="AN118" s="29">
        <f>Saldos_Capital_Mensual!P118</f>
        <v/>
      </c>
      <c r="AO118" s="29">
        <f>Saldos_Intereses_Mensual!P118</f>
        <v/>
      </c>
      <c r="AP118" s="29">
        <f>ROUND(AN118 + AO118, 2)</f>
        <v/>
      </c>
      <c r="AQ118" s="29">
        <f>Saldo_Residual_Activo!P118</f>
        <v/>
      </c>
      <c r="AR118" s="29">
        <f>ROUND(AP118 + AQ118, 2)</f>
        <v/>
      </c>
      <c r="AS118" s="29">
        <f>Saldos_Capital_Mensual!Q118</f>
        <v/>
      </c>
      <c r="AT118" s="29">
        <f>Saldos_Intereses_Mensual!Q118</f>
        <v/>
      </c>
      <c r="AU118" s="29">
        <f>ROUND(AS118 + AT118, 2)</f>
        <v/>
      </c>
      <c r="AV118" s="29">
        <f>Saldo_Residual_Activo!Q118</f>
        <v/>
      </c>
      <c r="AW118" s="29">
        <f>ROUND(AU118 + AV118, 2)</f>
        <v/>
      </c>
      <c r="AX118" s="29">
        <f>Saldos_Capital_Mensual!R118</f>
        <v/>
      </c>
      <c r="AY118" s="29">
        <f>Saldos_Intereses_Mensual!R118</f>
        <v/>
      </c>
      <c r="AZ118" s="29">
        <f>ROUND(AX118 + AY118, 2)</f>
        <v/>
      </c>
      <c r="BA118" s="29">
        <f>Saldo_Residual_Activo!R118</f>
        <v/>
      </c>
      <c r="BB118" s="29">
        <f>ROUND(AZ118 + BA118, 2)</f>
        <v/>
      </c>
      <c r="BC118" s="29">
        <f>Saldos_Capital_Mensual!S118</f>
        <v/>
      </c>
      <c r="BD118" s="29">
        <f>Saldos_Intereses_Mensual!S118</f>
        <v/>
      </c>
      <c r="BE118" s="29">
        <f>ROUND(BC118 + BD118, 2)</f>
        <v/>
      </c>
      <c r="BF118" s="29">
        <f>Saldo_Residual_Activo!S118</f>
        <v/>
      </c>
      <c r="BG118" s="29">
        <f>ROUND(BE118 + BF118, 2)</f>
        <v/>
      </c>
      <c r="BH118" s="29">
        <f>Saldos_Capital_Mensual!T118</f>
        <v/>
      </c>
      <c r="BI118" s="29">
        <f>Saldos_Intereses_Mensual!T118</f>
        <v/>
      </c>
      <c r="BJ118" s="29">
        <f>ROUND(BH118 + BI118, 2)</f>
        <v/>
      </c>
      <c r="BK118" s="29">
        <f>Saldo_Residual_Activo!T118</f>
        <v/>
      </c>
      <c r="BL118" s="29">
        <f>ROUND(BJ118 + BK118, 2)</f>
        <v/>
      </c>
    </row>
    <row r="119">
      <c r="A119" s="20" t="inlineStr">
        <is>
          <t>0649-0009</t>
        </is>
      </c>
      <c r="B119" s="21" t="inlineStr">
        <is>
          <t>Compusoluciones y Asociados Sa de Cv</t>
        </is>
      </c>
      <c r="C119" s="21" t="inlineStr">
        <is>
          <t>Fronx Boostergreen</t>
        </is>
      </c>
      <c r="D119" s="22" t="n">
        <v>48</v>
      </c>
      <c r="E119" s="23">
        <f>Saldos_Capital_Mensual!I119</f>
        <v/>
      </c>
      <c r="F119" s="23">
        <f>Saldos_Intereses_Mensual!I119</f>
        <v/>
      </c>
      <c r="G119" s="23">
        <f>ROUND(E119 + F119, 2)</f>
        <v/>
      </c>
      <c r="H119" s="23">
        <f>Saldo_Residual_Activo!I119</f>
        <v/>
      </c>
      <c r="I119" s="23">
        <f>ROUND(G119 + H119, 2)</f>
        <v/>
      </c>
      <c r="J119" s="23">
        <f>Saldos_Capital_Mensual!J119</f>
        <v/>
      </c>
      <c r="K119" s="23">
        <f>Saldos_Intereses_Mensual!J119</f>
        <v/>
      </c>
      <c r="L119" s="23">
        <f>ROUND(J119 + K119, 2)</f>
        <v/>
      </c>
      <c r="M119" s="23">
        <f>Saldo_Residual_Activo!J119</f>
        <v/>
      </c>
      <c r="N119" s="23">
        <f>ROUND(L119 + M119, 2)</f>
        <v/>
      </c>
      <c r="O119" s="23">
        <f>Saldos_Capital_Mensual!K119</f>
        <v/>
      </c>
      <c r="P119" s="23">
        <f>Saldos_Intereses_Mensual!K119</f>
        <v/>
      </c>
      <c r="Q119" s="23">
        <f>ROUND(O119 + P119, 2)</f>
        <v/>
      </c>
      <c r="R119" s="23">
        <f>Saldo_Residual_Activo!K119</f>
        <v/>
      </c>
      <c r="S119" s="23">
        <f>ROUND(Q119 + R119, 2)</f>
        <v/>
      </c>
      <c r="T119" s="23">
        <f>Saldos_Capital_Mensual!L119</f>
        <v/>
      </c>
      <c r="U119" s="23">
        <f>Saldos_Intereses_Mensual!L119</f>
        <v/>
      </c>
      <c r="V119" s="23">
        <f>ROUND(T119 + U119, 2)</f>
        <v/>
      </c>
      <c r="W119" s="23">
        <f>Saldo_Residual_Activo!L119</f>
        <v/>
      </c>
      <c r="X119" s="23">
        <f>ROUND(V119 + W119, 2)</f>
        <v/>
      </c>
      <c r="Y119" s="23">
        <f>Saldos_Capital_Mensual!M119</f>
        <v/>
      </c>
      <c r="Z119" s="23">
        <f>Saldos_Intereses_Mensual!M119</f>
        <v/>
      </c>
      <c r="AA119" s="23">
        <f>ROUND(Y119 + Z119, 2)</f>
        <v/>
      </c>
      <c r="AB119" s="23">
        <f>Saldo_Residual_Activo!M119</f>
        <v/>
      </c>
      <c r="AC119" s="23">
        <f>ROUND(AA119 + AB119, 2)</f>
        <v/>
      </c>
      <c r="AD119" s="23">
        <f>Saldos_Capital_Mensual!N119</f>
        <v/>
      </c>
      <c r="AE119" s="23">
        <f>Saldos_Intereses_Mensual!N119</f>
        <v/>
      </c>
      <c r="AF119" s="23">
        <f>ROUND(AD119 + AE119, 2)</f>
        <v/>
      </c>
      <c r="AG119" s="23">
        <f>Saldo_Residual_Activo!N119</f>
        <v/>
      </c>
      <c r="AH119" s="23">
        <f>ROUND(AF119 + AG119, 2)</f>
        <v/>
      </c>
      <c r="AI119" s="23">
        <f>Saldos_Capital_Mensual!O119</f>
        <v/>
      </c>
      <c r="AJ119" s="23">
        <f>Saldos_Intereses_Mensual!O119</f>
        <v/>
      </c>
      <c r="AK119" s="23">
        <f>ROUND(AI119 + AJ119, 2)</f>
        <v/>
      </c>
      <c r="AL119" s="23">
        <f>Saldo_Residual_Activo!O119</f>
        <v/>
      </c>
      <c r="AM119" s="23">
        <f>ROUND(AK119 + AL119, 2)</f>
        <v/>
      </c>
      <c r="AN119" s="23">
        <f>Saldos_Capital_Mensual!P119</f>
        <v/>
      </c>
      <c r="AO119" s="23">
        <f>Saldos_Intereses_Mensual!P119</f>
        <v/>
      </c>
      <c r="AP119" s="23">
        <f>ROUND(AN119 + AO119, 2)</f>
        <v/>
      </c>
      <c r="AQ119" s="23">
        <f>Saldo_Residual_Activo!P119</f>
        <v/>
      </c>
      <c r="AR119" s="23">
        <f>ROUND(AP119 + AQ119, 2)</f>
        <v/>
      </c>
      <c r="AS119" s="23">
        <f>Saldos_Capital_Mensual!Q119</f>
        <v/>
      </c>
      <c r="AT119" s="23">
        <f>Saldos_Intereses_Mensual!Q119</f>
        <v/>
      </c>
      <c r="AU119" s="23">
        <f>ROUND(AS119 + AT119, 2)</f>
        <v/>
      </c>
      <c r="AV119" s="23">
        <f>Saldo_Residual_Activo!Q119</f>
        <v/>
      </c>
      <c r="AW119" s="23">
        <f>ROUND(AU119 + AV119, 2)</f>
        <v/>
      </c>
      <c r="AX119" s="23">
        <f>Saldos_Capital_Mensual!R119</f>
        <v/>
      </c>
      <c r="AY119" s="23">
        <f>Saldos_Intereses_Mensual!R119</f>
        <v/>
      </c>
      <c r="AZ119" s="23">
        <f>ROUND(AX119 + AY119, 2)</f>
        <v/>
      </c>
      <c r="BA119" s="23">
        <f>Saldo_Residual_Activo!R119</f>
        <v/>
      </c>
      <c r="BB119" s="23">
        <f>ROUND(AZ119 + BA119, 2)</f>
        <v/>
      </c>
      <c r="BC119" s="23">
        <f>Saldos_Capital_Mensual!S119</f>
        <v/>
      </c>
      <c r="BD119" s="23">
        <f>Saldos_Intereses_Mensual!S119</f>
        <v/>
      </c>
      <c r="BE119" s="23">
        <f>ROUND(BC119 + BD119, 2)</f>
        <v/>
      </c>
      <c r="BF119" s="23">
        <f>Saldo_Residual_Activo!S119</f>
        <v/>
      </c>
      <c r="BG119" s="23">
        <f>ROUND(BE119 + BF119, 2)</f>
        <v/>
      </c>
      <c r="BH119" s="23">
        <f>Saldos_Capital_Mensual!T119</f>
        <v/>
      </c>
      <c r="BI119" s="23">
        <f>Saldos_Intereses_Mensual!T119</f>
        <v/>
      </c>
      <c r="BJ119" s="23">
        <f>ROUND(BH119 + BI119, 2)</f>
        <v/>
      </c>
      <c r="BK119" s="23">
        <f>Saldo_Residual_Activo!T119</f>
        <v/>
      </c>
      <c r="BL119" s="23">
        <f>ROUND(BJ119 + BK119, 2)</f>
        <v/>
      </c>
    </row>
    <row r="120">
      <c r="A120" s="26" t="inlineStr">
        <is>
          <t>0649-0010</t>
        </is>
      </c>
      <c r="B120" s="27" t="inlineStr">
        <is>
          <t>Compusoluciones y Asociados Sa de Cv</t>
        </is>
      </c>
      <c r="C120" s="27" t="inlineStr">
        <is>
          <t>Mazda CX90</t>
        </is>
      </c>
      <c r="D120" s="28" t="n">
        <v>48</v>
      </c>
      <c r="E120" s="29">
        <f>Saldos_Capital_Mensual!I120</f>
        <v/>
      </c>
      <c r="F120" s="29">
        <f>Saldos_Intereses_Mensual!I120</f>
        <v/>
      </c>
      <c r="G120" s="29">
        <f>ROUND(E120 + F120, 2)</f>
        <v/>
      </c>
      <c r="H120" s="29">
        <f>Saldo_Residual_Activo!I120</f>
        <v/>
      </c>
      <c r="I120" s="29">
        <f>ROUND(G120 + H120, 2)</f>
        <v/>
      </c>
      <c r="J120" s="29">
        <f>Saldos_Capital_Mensual!J120</f>
        <v/>
      </c>
      <c r="K120" s="29">
        <f>Saldos_Intereses_Mensual!J120</f>
        <v/>
      </c>
      <c r="L120" s="29">
        <f>ROUND(J120 + K120, 2)</f>
        <v/>
      </c>
      <c r="M120" s="29">
        <f>Saldo_Residual_Activo!J120</f>
        <v/>
      </c>
      <c r="N120" s="29">
        <f>ROUND(L120 + M120, 2)</f>
        <v/>
      </c>
      <c r="O120" s="29">
        <f>Saldos_Capital_Mensual!K120</f>
        <v/>
      </c>
      <c r="P120" s="29">
        <f>Saldos_Intereses_Mensual!K120</f>
        <v/>
      </c>
      <c r="Q120" s="29">
        <f>ROUND(O120 + P120, 2)</f>
        <v/>
      </c>
      <c r="R120" s="29">
        <f>Saldo_Residual_Activo!K120</f>
        <v/>
      </c>
      <c r="S120" s="29">
        <f>ROUND(Q120 + R120, 2)</f>
        <v/>
      </c>
      <c r="T120" s="29">
        <f>Saldos_Capital_Mensual!L120</f>
        <v/>
      </c>
      <c r="U120" s="29">
        <f>Saldos_Intereses_Mensual!L120</f>
        <v/>
      </c>
      <c r="V120" s="29">
        <f>ROUND(T120 + U120, 2)</f>
        <v/>
      </c>
      <c r="W120" s="29">
        <f>Saldo_Residual_Activo!L120</f>
        <v/>
      </c>
      <c r="X120" s="29">
        <f>ROUND(V120 + W120, 2)</f>
        <v/>
      </c>
      <c r="Y120" s="29">
        <f>Saldos_Capital_Mensual!M120</f>
        <v/>
      </c>
      <c r="Z120" s="29">
        <f>Saldos_Intereses_Mensual!M120</f>
        <v/>
      </c>
      <c r="AA120" s="29">
        <f>ROUND(Y120 + Z120, 2)</f>
        <v/>
      </c>
      <c r="AB120" s="29">
        <f>Saldo_Residual_Activo!M120</f>
        <v/>
      </c>
      <c r="AC120" s="29">
        <f>ROUND(AA120 + AB120, 2)</f>
        <v/>
      </c>
      <c r="AD120" s="29">
        <f>Saldos_Capital_Mensual!N120</f>
        <v/>
      </c>
      <c r="AE120" s="29">
        <f>Saldos_Intereses_Mensual!N120</f>
        <v/>
      </c>
      <c r="AF120" s="29">
        <f>ROUND(AD120 + AE120, 2)</f>
        <v/>
      </c>
      <c r="AG120" s="29">
        <f>Saldo_Residual_Activo!N120</f>
        <v/>
      </c>
      <c r="AH120" s="29">
        <f>ROUND(AF120 + AG120, 2)</f>
        <v/>
      </c>
      <c r="AI120" s="29">
        <f>Saldos_Capital_Mensual!O120</f>
        <v/>
      </c>
      <c r="AJ120" s="29">
        <f>Saldos_Intereses_Mensual!O120</f>
        <v/>
      </c>
      <c r="AK120" s="29">
        <f>ROUND(AI120 + AJ120, 2)</f>
        <v/>
      </c>
      <c r="AL120" s="29">
        <f>Saldo_Residual_Activo!O120</f>
        <v/>
      </c>
      <c r="AM120" s="29">
        <f>ROUND(AK120 + AL120, 2)</f>
        <v/>
      </c>
      <c r="AN120" s="29">
        <f>Saldos_Capital_Mensual!P120</f>
        <v/>
      </c>
      <c r="AO120" s="29">
        <f>Saldos_Intereses_Mensual!P120</f>
        <v/>
      </c>
      <c r="AP120" s="29">
        <f>ROUND(AN120 + AO120, 2)</f>
        <v/>
      </c>
      <c r="AQ120" s="29">
        <f>Saldo_Residual_Activo!P120</f>
        <v/>
      </c>
      <c r="AR120" s="29">
        <f>ROUND(AP120 + AQ120, 2)</f>
        <v/>
      </c>
      <c r="AS120" s="29">
        <f>Saldos_Capital_Mensual!Q120</f>
        <v/>
      </c>
      <c r="AT120" s="29">
        <f>Saldos_Intereses_Mensual!Q120</f>
        <v/>
      </c>
      <c r="AU120" s="29">
        <f>ROUND(AS120 + AT120, 2)</f>
        <v/>
      </c>
      <c r="AV120" s="29">
        <f>Saldo_Residual_Activo!Q120</f>
        <v/>
      </c>
      <c r="AW120" s="29">
        <f>ROUND(AU120 + AV120, 2)</f>
        <v/>
      </c>
      <c r="AX120" s="29">
        <f>Saldos_Capital_Mensual!R120</f>
        <v/>
      </c>
      <c r="AY120" s="29">
        <f>Saldos_Intereses_Mensual!R120</f>
        <v/>
      </c>
      <c r="AZ120" s="29">
        <f>ROUND(AX120 + AY120, 2)</f>
        <v/>
      </c>
      <c r="BA120" s="29">
        <f>Saldo_Residual_Activo!R120</f>
        <v/>
      </c>
      <c r="BB120" s="29">
        <f>ROUND(AZ120 + BA120, 2)</f>
        <v/>
      </c>
      <c r="BC120" s="29">
        <f>Saldos_Capital_Mensual!S120</f>
        <v/>
      </c>
      <c r="BD120" s="29">
        <f>Saldos_Intereses_Mensual!S120</f>
        <v/>
      </c>
      <c r="BE120" s="29">
        <f>ROUND(BC120 + BD120, 2)</f>
        <v/>
      </c>
      <c r="BF120" s="29">
        <f>Saldo_Residual_Activo!S120</f>
        <v/>
      </c>
      <c r="BG120" s="29">
        <f>ROUND(BE120 + BF120, 2)</f>
        <v/>
      </c>
      <c r="BH120" s="29">
        <f>Saldos_Capital_Mensual!T120</f>
        <v/>
      </c>
      <c r="BI120" s="29">
        <f>Saldos_Intereses_Mensual!T120</f>
        <v/>
      </c>
      <c r="BJ120" s="29">
        <f>ROUND(BH120 + BI120, 2)</f>
        <v/>
      </c>
      <c r="BK120" s="29">
        <f>Saldo_Residual_Activo!T120</f>
        <v/>
      </c>
      <c r="BL120" s="29">
        <f>ROUND(BJ120 + BK120, 2)</f>
        <v/>
      </c>
    </row>
    <row r="121">
      <c r="A121" s="20" t="inlineStr">
        <is>
          <t>0649-0011</t>
        </is>
      </c>
      <c r="B121" s="21" t="inlineStr">
        <is>
          <t>Compusoluciones y Asociados Sa de Cv</t>
        </is>
      </c>
      <c r="C121" s="21" t="inlineStr">
        <is>
          <t>EX40</t>
        </is>
      </c>
      <c r="D121" s="22" t="n">
        <v>48</v>
      </c>
      <c r="E121" s="23">
        <f>Saldos_Capital_Mensual!I121</f>
        <v/>
      </c>
      <c r="F121" s="23">
        <f>Saldos_Intereses_Mensual!I121</f>
        <v/>
      </c>
      <c r="G121" s="23">
        <f>ROUND(E121 + F121, 2)</f>
        <v/>
      </c>
      <c r="H121" s="23">
        <f>Saldo_Residual_Activo!I121</f>
        <v/>
      </c>
      <c r="I121" s="23">
        <f>ROUND(G121 + H121, 2)</f>
        <v/>
      </c>
      <c r="J121" s="23">
        <f>Saldos_Capital_Mensual!J121</f>
        <v/>
      </c>
      <c r="K121" s="23">
        <f>Saldos_Intereses_Mensual!J121</f>
        <v/>
      </c>
      <c r="L121" s="23">
        <f>ROUND(J121 + K121, 2)</f>
        <v/>
      </c>
      <c r="M121" s="23">
        <f>Saldo_Residual_Activo!J121</f>
        <v/>
      </c>
      <c r="N121" s="23">
        <f>ROUND(L121 + M121, 2)</f>
        <v/>
      </c>
      <c r="O121" s="23">
        <f>Saldos_Capital_Mensual!K121</f>
        <v/>
      </c>
      <c r="P121" s="23">
        <f>Saldos_Intereses_Mensual!K121</f>
        <v/>
      </c>
      <c r="Q121" s="23">
        <f>ROUND(O121 + P121, 2)</f>
        <v/>
      </c>
      <c r="R121" s="23">
        <f>Saldo_Residual_Activo!K121</f>
        <v/>
      </c>
      <c r="S121" s="23">
        <f>ROUND(Q121 + R121, 2)</f>
        <v/>
      </c>
      <c r="T121" s="23">
        <f>Saldos_Capital_Mensual!L121</f>
        <v/>
      </c>
      <c r="U121" s="23">
        <f>Saldos_Intereses_Mensual!L121</f>
        <v/>
      </c>
      <c r="V121" s="23">
        <f>ROUND(T121 + U121, 2)</f>
        <v/>
      </c>
      <c r="W121" s="23">
        <f>Saldo_Residual_Activo!L121</f>
        <v/>
      </c>
      <c r="X121" s="23">
        <f>ROUND(V121 + W121, 2)</f>
        <v/>
      </c>
      <c r="Y121" s="23">
        <f>Saldos_Capital_Mensual!M121</f>
        <v/>
      </c>
      <c r="Z121" s="23">
        <f>Saldos_Intereses_Mensual!M121</f>
        <v/>
      </c>
      <c r="AA121" s="23">
        <f>ROUND(Y121 + Z121, 2)</f>
        <v/>
      </c>
      <c r="AB121" s="23">
        <f>Saldo_Residual_Activo!M121</f>
        <v/>
      </c>
      <c r="AC121" s="23">
        <f>ROUND(AA121 + AB121, 2)</f>
        <v/>
      </c>
      <c r="AD121" s="23">
        <f>Saldos_Capital_Mensual!N121</f>
        <v/>
      </c>
      <c r="AE121" s="23">
        <f>Saldos_Intereses_Mensual!N121</f>
        <v/>
      </c>
      <c r="AF121" s="23">
        <f>ROUND(AD121 + AE121, 2)</f>
        <v/>
      </c>
      <c r="AG121" s="23">
        <f>Saldo_Residual_Activo!N121</f>
        <v/>
      </c>
      <c r="AH121" s="23">
        <f>ROUND(AF121 + AG121, 2)</f>
        <v/>
      </c>
      <c r="AI121" s="23">
        <f>Saldos_Capital_Mensual!O121</f>
        <v/>
      </c>
      <c r="AJ121" s="23">
        <f>Saldos_Intereses_Mensual!O121</f>
        <v/>
      </c>
      <c r="AK121" s="23">
        <f>ROUND(AI121 + AJ121, 2)</f>
        <v/>
      </c>
      <c r="AL121" s="23">
        <f>Saldo_Residual_Activo!O121</f>
        <v/>
      </c>
      <c r="AM121" s="23">
        <f>ROUND(AK121 + AL121, 2)</f>
        <v/>
      </c>
      <c r="AN121" s="23">
        <f>Saldos_Capital_Mensual!P121</f>
        <v/>
      </c>
      <c r="AO121" s="23">
        <f>Saldos_Intereses_Mensual!P121</f>
        <v/>
      </c>
      <c r="AP121" s="23">
        <f>ROUND(AN121 + AO121, 2)</f>
        <v/>
      </c>
      <c r="AQ121" s="23">
        <f>Saldo_Residual_Activo!P121</f>
        <v/>
      </c>
      <c r="AR121" s="23">
        <f>ROUND(AP121 + AQ121, 2)</f>
        <v/>
      </c>
      <c r="AS121" s="23">
        <f>Saldos_Capital_Mensual!Q121</f>
        <v/>
      </c>
      <c r="AT121" s="23">
        <f>Saldos_Intereses_Mensual!Q121</f>
        <v/>
      </c>
      <c r="AU121" s="23">
        <f>ROUND(AS121 + AT121, 2)</f>
        <v/>
      </c>
      <c r="AV121" s="23">
        <f>Saldo_Residual_Activo!Q121</f>
        <v/>
      </c>
      <c r="AW121" s="23">
        <f>ROUND(AU121 + AV121, 2)</f>
        <v/>
      </c>
      <c r="AX121" s="23">
        <f>Saldos_Capital_Mensual!R121</f>
        <v/>
      </c>
      <c r="AY121" s="23">
        <f>Saldos_Intereses_Mensual!R121</f>
        <v/>
      </c>
      <c r="AZ121" s="23">
        <f>ROUND(AX121 + AY121, 2)</f>
        <v/>
      </c>
      <c r="BA121" s="23">
        <f>Saldo_Residual_Activo!R121</f>
        <v/>
      </c>
      <c r="BB121" s="23">
        <f>ROUND(AZ121 + BA121, 2)</f>
        <v/>
      </c>
      <c r="BC121" s="23">
        <f>Saldos_Capital_Mensual!S121</f>
        <v/>
      </c>
      <c r="BD121" s="23">
        <f>Saldos_Intereses_Mensual!S121</f>
        <v/>
      </c>
      <c r="BE121" s="23">
        <f>ROUND(BC121 + BD121, 2)</f>
        <v/>
      </c>
      <c r="BF121" s="23">
        <f>Saldo_Residual_Activo!S121</f>
        <v/>
      </c>
      <c r="BG121" s="23">
        <f>ROUND(BE121 + BF121, 2)</f>
        <v/>
      </c>
      <c r="BH121" s="23">
        <f>Saldos_Capital_Mensual!T121</f>
        <v/>
      </c>
      <c r="BI121" s="23">
        <f>Saldos_Intereses_Mensual!T121</f>
        <v/>
      </c>
      <c r="BJ121" s="23">
        <f>ROUND(BH121 + BI121, 2)</f>
        <v/>
      </c>
      <c r="BK121" s="23">
        <f>Saldo_Residual_Activo!T121</f>
        <v/>
      </c>
      <c r="BL121" s="23">
        <f>ROUND(BJ121 + BK121, 2)</f>
        <v/>
      </c>
    </row>
    <row r="122">
      <c r="A122" s="26" t="inlineStr">
        <is>
          <t>0649-0012</t>
        </is>
      </c>
      <c r="B122" s="27" t="inlineStr">
        <is>
          <t>Compusoluciones y Asociados Sa de Cv</t>
        </is>
      </c>
      <c r="C122" s="27" t="inlineStr">
        <is>
          <t>Sportage</t>
        </is>
      </c>
      <c r="D122" s="28" t="n">
        <v>48</v>
      </c>
      <c r="E122" s="29">
        <f>Saldos_Capital_Mensual!I122</f>
        <v/>
      </c>
      <c r="F122" s="29">
        <f>Saldos_Intereses_Mensual!I122</f>
        <v/>
      </c>
      <c r="G122" s="29">
        <f>ROUND(E122 + F122, 2)</f>
        <v/>
      </c>
      <c r="H122" s="29">
        <f>Saldo_Residual_Activo!I122</f>
        <v/>
      </c>
      <c r="I122" s="29">
        <f>ROUND(G122 + H122, 2)</f>
        <v/>
      </c>
      <c r="J122" s="29">
        <f>Saldos_Capital_Mensual!J122</f>
        <v/>
      </c>
      <c r="K122" s="29">
        <f>Saldos_Intereses_Mensual!J122</f>
        <v/>
      </c>
      <c r="L122" s="29">
        <f>ROUND(J122 + K122, 2)</f>
        <v/>
      </c>
      <c r="M122" s="29">
        <f>Saldo_Residual_Activo!J122</f>
        <v/>
      </c>
      <c r="N122" s="29">
        <f>ROUND(L122 + M122, 2)</f>
        <v/>
      </c>
      <c r="O122" s="29">
        <f>Saldos_Capital_Mensual!K122</f>
        <v/>
      </c>
      <c r="P122" s="29">
        <f>Saldos_Intereses_Mensual!K122</f>
        <v/>
      </c>
      <c r="Q122" s="29">
        <f>ROUND(O122 + P122, 2)</f>
        <v/>
      </c>
      <c r="R122" s="29">
        <f>Saldo_Residual_Activo!K122</f>
        <v/>
      </c>
      <c r="S122" s="29">
        <f>ROUND(Q122 + R122, 2)</f>
        <v/>
      </c>
      <c r="T122" s="29">
        <f>Saldos_Capital_Mensual!L122</f>
        <v/>
      </c>
      <c r="U122" s="29">
        <f>Saldos_Intereses_Mensual!L122</f>
        <v/>
      </c>
      <c r="V122" s="29">
        <f>ROUND(T122 + U122, 2)</f>
        <v/>
      </c>
      <c r="W122" s="29">
        <f>Saldo_Residual_Activo!L122</f>
        <v/>
      </c>
      <c r="X122" s="29">
        <f>ROUND(V122 + W122, 2)</f>
        <v/>
      </c>
      <c r="Y122" s="29">
        <f>Saldos_Capital_Mensual!M122</f>
        <v/>
      </c>
      <c r="Z122" s="29">
        <f>Saldos_Intereses_Mensual!M122</f>
        <v/>
      </c>
      <c r="AA122" s="29">
        <f>ROUND(Y122 + Z122, 2)</f>
        <v/>
      </c>
      <c r="AB122" s="29">
        <f>Saldo_Residual_Activo!M122</f>
        <v/>
      </c>
      <c r="AC122" s="29">
        <f>ROUND(AA122 + AB122, 2)</f>
        <v/>
      </c>
      <c r="AD122" s="29">
        <f>Saldos_Capital_Mensual!N122</f>
        <v/>
      </c>
      <c r="AE122" s="29">
        <f>Saldos_Intereses_Mensual!N122</f>
        <v/>
      </c>
      <c r="AF122" s="29">
        <f>ROUND(AD122 + AE122, 2)</f>
        <v/>
      </c>
      <c r="AG122" s="29">
        <f>Saldo_Residual_Activo!N122</f>
        <v/>
      </c>
      <c r="AH122" s="29">
        <f>ROUND(AF122 + AG122, 2)</f>
        <v/>
      </c>
      <c r="AI122" s="29">
        <f>Saldos_Capital_Mensual!O122</f>
        <v/>
      </c>
      <c r="AJ122" s="29">
        <f>Saldos_Intereses_Mensual!O122</f>
        <v/>
      </c>
      <c r="AK122" s="29">
        <f>ROUND(AI122 + AJ122, 2)</f>
        <v/>
      </c>
      <c r="AL122" s="29">
        <f>Saldo_Residual_Activo!O122</f>
        <v/>
      </c>
      <c r="AM122" s="29">
        <f>ROUND(AK122 + AL122, 2)</f>
        <v/>
      </c>
      <c r="AN122" s="29">
        <f>Saldos_Capital_Mensual!P122</f>
        <v/>
      </c>
      <c r="AO122" s="29">
        <f>Saldos_Intereses_Mensual!P122</f>
        <v/>
      </c>
      <c r="AP122" s="29">
        <f>ROUND(AN122 + AO122, 2)</f>
        <v/>
      </c>
      <c r="AQ122" s="29">
        <f>Saldo_Residual_Activo!P122</f>
        <v/>
      </c>
      <c r="AR122" s="29">
        <f>ROUND(AP122 + AQ122, 2)</f>
        <v/>
      </c>
      <c r="AS122" s="29">
        <f>Saldos_Capital_Mensual!Q122</f>
        <v/>
      </c>
      <c r="AT122" s="29">
        <f>Saldos_Intereses_Mensual!Q122</f>
        <v/>
      </c>
      <c r="AU122" s="29">
        <f>ROUND(AS122 + AT122, 2)</f>
        <v/>
      </c>
      <c r="AV122" s="29">
        <f>Saldo_Residual_Activo!Q122</f>
        <v/>
      </c>
      <c r="AW122" s="29">
        <f>ROUND(AU122 + AV122, 2)</f>
        <v/>
      </c>
      <c r="AX122" s="29">
        <f>Saldos_Capital_Mensual!R122</f>
        <v/>
      </c>
      <c r="AY122" s="29">
        <f>Saldos_Intereses_Mensual!R122</f>
        <v/>
      </c>
      <c r="AZ122" s="29">
        <f>ROUND(AX122 + AY122, 2)</f>
        <v/>
      </c>
      <c r="BA122" s="29">
        <f>Saldo_Residual_Activo!R122</f>
        <v/>
      </c>
      <c r="BB122" s="29">
        <f>ROUND(AZ122 + BA122, 2)</f>
        <v/>
      </c>
      <c r="BC122" s="29">
        <f>Saldos_Capital_Mensual!S122</f>
        <v/>
      </c>
      <c r="BD122" s="29">
        <f>Saldos_Intereses_Mensual!S122</f>
        <v/>
      </c>
      <c r="BE122" s="29">
        <f>ROUND(BC122 + BD122, 2)</f>
        <v/>
      </c>
      <c r="BF122" s="29">
        <f>Saldo_Residual_Activo!S122</f>
        <v/>
      </c>
      <c r="BG122" s="29">
        <f>ROUND(BE122 + BF122, 2)</f>
        <v/>
      </c>
      <c r="BH122" s="29">
        <f>Saldos_Capital_Mensual!T122</f>
        <v/>
      </c>
      <c r="BI122" s="29">
        <f>Saldos_Intereses_Mensual!T122</f>
        <v/>
      </c>
      <c r="BJ122" s="29">
        <f>ROUND(BH122 + BI122, 2)</f>
        <v/>
      </c>
      <c r="BK122" s="29">
        <f>Saldo_Residual_Activo!T122</f>
        <v/>
      </c>
      <c r="BL122" s="29">
        <f>ROUND(BJ122 + BK122, 2)</f>
        <v/>
      </c>
    </row>
    <row r="123">
      <c r="A123" s="20" t="inlineStr">
        <is>
          <t>0649-0013</t>
        </is>
      </c>
      <c r="B123" s="21" t="inlineStr">
        <is>
          <t>Compusoluciones y Asociados Sa de Cv</t>
        </is>
      </c>
      <c r="C123" s="21" t="inlineStr">
        <is>
          <t>Mazda Mazda 3 Hatch Back 2026</t>
        </is>
      </c>
      <c r="D123" s="22" t="n">
        <v>48</v>
      </c>
      <c r="E123" s="23">
        <f>Saldos_Capital_Mensual!I123</f>
        <v/>
      </c>
      <c r="F123" s="23">
        <f>Saldos_Intereses_Mensual!I123</f>
        <v/>
      </c>
      <c r="G123" s="23">
        <f>ROUND(E123 + F123, 2)</f>
        <v/>
      </c>
      <c r="H123" s="23">
        <f>Saldo_Residual_Activo!I123</f>
        <v/>
      </c>
      <c r="I123" s="23">
        <f>ROUND(G123 + H123, 2)</f>
        <v/>
      </c>
      <c r="J123" s="23">
        <f>Saldos_Capital_Mensual!J123</f>
        <v/>
      </c>
      <c r="K123" s="23">
        <f>Saldos_Intereses_Mensual!J123</f>
        <v/>
      </c>
      <c r="L123" s="23">
        <f>ROUND(J123 + K123, 2)</f>
        <v/>
      </c>
      <c r="M123" s="23">
        <f>Saldo_Residual_Activo!J123</f>
        <v/>
      </c>
      <c r="N123" s="23">
        <f>ROUND(L123 + M123, 2)</f>
        <v/>
      </c>
      <c r="O123" s="23">
        <f>Saldos_Capital_Mensual!K123</f>
        <v/>
      </c>
      <c r="P123" s="23">
        <f>Saldos_Intereses_Mensual!K123</f>
        <v/>
      </c>
      <c r="Q123" s="23">
        <f>ROUND(O123 + P123, 2)</f>
        <v/>
      </c>
      <c r="R123" s="23">
        <f>Saldo_Residual_Activo!K123</f>
        <v/>
      </c>
      <c r="S123" s="23">
        <f>ROUND(Q123 + R123, 2)</f>
        <v/>
      </c>
      <c r="T123" s="23">
        <f>Saldos_Capital_Mensual!L123</f>
        <v/>
      </c>
      <c r="U123" s="23">
        <f>Saldos_Intereses_Mensual!L123</f>
        <v/>
      </c>
      <c r="V123" s="23">
        <f>ROUND(T123 + U123, 2)</f>
        <v/>
      </c>
      <c r="W123" s="23">
        <f>Saldo_Residual_Activo!L123</f>
        <v/>
      </c>
      <c r="X123" s="23">
        <f>ROUND(V123 + W123, 2)</f>
        <v/>
      </c>
      <c r="Y123" s="23">
        <f>Saldos_Capital_Mensual!M123</f>
        <v/>
      </c>
      <c r="Z123" s="23">
        <f>Saldos_Intereses_Mensual!M123</f>
        <v/>
      </c>
      <c r="AA123" s="23">
        <f>ROUND(Y123 + Z123, 2)</f>
        <v/>
      </c>
      <c r="AB123" s="23">
        <f>Saldo_Residual_Activo!M123</f>
        <v/>
      </c>
      <c r="AC123" s="23">
        <f>ROUND(AA123 + AB123, 2)</f>
        <v/>
      </c>
      <c r="AD123" s="23">
        <f>Saldos_Capital_Mensual!N123</f>
        <v/>
      </c>
      <c r="AE123" s="23">
        <f>Saldos_Intereses_Mensual!N123</f>
        <v/>
      </c>
      <c r="AF123" s="23">
        <f>ROUND(AD123 + AE123, 2)</f>
        <v/>
      </c>
      <c r="AG123" s="23">
        <f>Saldo_Residual_Activo!N123</f>
        <v/>
      </c>
      <c r="AH123" s="23">
        <f>ROUND(AF123 + AG123, 2)</f>
        <v/>
      </c>
      <c r="AI123" s="23">
        <f>Saldos_Capital_Mensual!O123</f>
        <v/>
      </c>
      <c r="AJ123" s="23">
        <f>Saldos_Intereses_Mensual!O123</f>
        <v/>
      </c>
      <c r="AK123" s="23">
        <f>ROUND(AI123 + AJ123, 2)</f>
        <v/>
      </c>
      <c r="AL123" s="23">
        <f>Saldo_Residual_Activo!O123</f>
        <v/>
      </c>
      <c r="AM123" s="23">
        <f>ROUND(AK123 + AL123, 2)</f>
        <v/>
      </c>
      <c r="AN123" s="23">
        <f>Saldos_Capital_Mensual!P123</f>
        <v/>
      </c>
      <c r="AO123" s="23">
        <f>Saldos_Intereses_Mensual!P123</f>
        <v/>
      </c>
      <c r="AP123" s="23">
        <f>ROUND(AN123 + AO123, 2)</f>
        <v/>
      </c>
      <c r="AQ123" s="23">
        <f>Saldo_Residual_Activo!P123</f>
        <v/>
      </c>
      <c r="AR123" s="23">
        <f>ROUND(AP123 + AQ123, 2)</f>
        <v/>
      </c>
      <c r="AS123" s="23">
        <f>Saldos_Capital_Mensual!Q123</f>
        <v/>
      </c>
      <c r="AT123" s="23">
        <f>Saldos_Intereses_Mensual!Q123</f>
        <v/>
      </c>
      <c r="AU123" s="23">
        <f>ROUND(AS123 + AT123, 2)</f>
        <v/>
      </c>
      <c r="AV123" s="23">
        <f>Saldo_Residual_Activo!Q123</f>
        <v/>
      </c>
      <c r="AW123" s="23">
        <f>ROUND(AU123 + AV123, 2)</f>
        <v/>
      </c>
      <c r="AX123" s="23">
        <f>Saldos_Capital_Mensual!R123</f>
        <v/>
      </c>
      <c r="AY123" s="23">
        <f>Saldos_Intereses_Mensual!R123</f>
        <v/>
      </c>
      <c r="AZ123" s="23">
        <f>ROUND(AX123 + AY123, 2)</f>
        <v/>
      </c>
      <c r="BA123" s="23">
        <f>Saldo_Residual_Activo!R123</f>
        <v/>
      </c>
      <c r="BB123" s="23">
        <f>ROUND(AZ123 + BA123, 2)</f>
        <v/>
      </c>
      <c r="BC123" s="23">
        <f>Saldos_Capital_Mensual!S123</f>
        <v/>
      </c>
      <c r="BD123" s="23">
        <f>Saldos_Intereses_Mensual!S123</f>
        <v/>
      </c>
      <c r="BE123" s="23">
        <f>ROUND(BC123 + BD123, 2)</f>
        <v/>
      </c>
      <c r="BF123" s="23">
        <f>Saldo_Residual_Activo!S123</f>
        <v/>
      </c>
      <c r="BG123" s="23">
        <f>ROUND(BE123 + BF123, 2)</f>
        <v/>
      </c>
      <c r="BH123" s="23">
        <f>Saldos_Capital_Mensual!T123</f>
        <v/>
      </c>
      <c r="BI123" s="23">
        <f>Saldos_Intereses_Mensual!T123</f>
        <v/>
      </c>
      <c r="BJ123" s="23">
        <f>ROUND(BH123 + BI123, 2)</f>
        <v/>
      </c>
      <c r="BK123" s="23">
        <f>Saldo_Residual_Activo!T123</f>
        <v/>
      </c>
      <c r="BL123" s="23">
        <f>ROUND(BJ123 + BK123, 2)</f>
        <v/>
      </c>
    </row>
    <row r="124">
      <c r="A124" s="26" t="inlineStr">
        <is>
          <t>0649-0014</t>
        </is>
      </c>
      <c r="B124" s="27" t="inlineStr">
        <is>
          <t>Compusoluciones y Asociados Sa de Cv</t>
        </is>
      </c>
      <c r="C124" s="27" t="inlineStr">
        <is>
          <t>Subaru Forester 2026</t>
        </is>
      </c>
      <c r="D124" s="28" t="n">
        <v>48</v>
      </c>
      <c r="E124" s="29">
        <f>Saldos_Capital_Mensual!I124</f>
        <v/>
      </c>
      <c r="F124" s="29">
        <f>Saldos_Intereses_Mensual!I124</f>
        <v/>
      </c>
      <c r="G124" s="29">
        <f>ROUND(E124 + F124, 2)</f>
        <v/>
      </c>
      <c r="H124" s="29">
        <f>Saldo_Residual_Activo!I124</f>
        <v/>
      </c>
      <c r="I124" s="29">
        <f>ROUND(G124 + H124, 2)</f>
        <v/>
      </c>
      <c r="J124" s="29">
        <f>Saldos_Capital_Mensual!J124</f>
        <v/>
      </c>
      <c r="K124" s="29">
        <f>Saldos_Intereses_Mensual!J124</f>
        <v/>
      </c>
      <c r="L124" s="29">
        <f>ROUND(J124 + K124, 2)</f>
        <v/>
      </c>
      <c r="M124" s="29">
        <f>Saldo_Residual_Activo!J124</f>
        <v/>
      </c>
      <c r="N124" s="29">
        <f>ROUND(L124 + M124, 2)</f>
        <v/>
      </c>
      <c r="O124" s="29">
        <f>Saldos_Capital_Mensual!K124</f>
        <v/>
      </c>
      <c r="P124" s="29">
        <f>Saldos_Intereses_Mensual!K124</f>
        <v/>
      </c>
      <c r="Q124" s="29">
        <f>ROUND(O124 + P124, 2)</f>
        <v/>
      </c>
      <c r="R124" s="29">
        <f>Saldo_Residual_Activo!K124</f>
        <v/>
      </c>
      <c r="S124" s="29">
        <f>ROUND(Q124 + R124, 2)</f>
        <v/>
      </c>
      <c r="T124" s="29">
        <f>Saldos_Capital_Mensual!L124</f>
        <v/>
      </c>
      <c r="U124" s="29">
        <f>Saldos_Intereses_Mensual!L124</f>
        <v/>
      </c>
      <c r="V124" s="29">
        <f>ROUND(T124 + U124, 2)</f>
        <v/>
      </c>
      <c r="W124" s="29">
        <f>Saldo_Residual_Activo!L124</f>
        <v/>
      </c>
      <c r="X124" s="29">
        <f>ROUND(V124 + W124, 2)</f>
        <v/>
      </c>
      <c r="Y124" s="29">
        <f>Saldos_Capital_Mensual!M124</f>
        <v/>
      </c>
      <c r="Z124" s="29">
        <f>Saldos_Intereses_Mensual!M124</f>
        <v/>
      </c>
      <c r="AA124" s="29">
        <f>ROUND(Y124 + Z124, 2)</f>
        <v/>
      </c>
      <c r="AB124" s="29">
        <f>Saldo_Residual_Activo!M124</f>
        <v/>
      </c>
      <c r="AC124" s="29">
        <f>ROUND(AA124 + AB124, 2)</f>
        <v/>
      </c>
      <c r="AD124" s="29">
        <f>Saldos_Capital_Mensual!N124</f>
        <v/>
      </c>
      <c r="AE124" s="29">
        <f>Saldos_Intereses_Mensual!N124</f>
        <v/>
      </c>
      <c r="AF124" s="29">
        <f>ROUND(AD124 + AE124, 2)</f>
        <v/>
      </c>
      <c r="AG124" s="29">
        <f>Saldo_Residual_Activo!N124</f>
        <v/>
      </c>
      <c r="AH124" s="29">
        <f>ROUND(AF124 + AG124, 2)</f>
        <v/>
      </c>
      <c r="AI124" s="29">
        <f>Saldos_Capital_Mensual!O124</f>
        <v/>
      </c>
      <c r="AJ124" s="29">
        <f>Saldos_Intereses_Mensual!O124</f>
        <v/>
      </c>
      <c r="AK124" s="29">
        <f>ROUND(AI124 + AJ124, 2)</f>
        <v/>
      </c>
      <c r="AL124" s="29">
        <f>Saldo_Residual_Activo!O124</f>
        <v/>
      </c>
      <c r="AM124" s="29">
        <f>ROUND(AK124 + AL124, 2)</f>
        <v/>
      </c>
      <c r="AN124" s="29">
        <f>Saldos_Capital_Mensual!P124</f>
        <v/>
      </c>
      <c r="AO124" s="29">
        <f>Saldos_Intereses_Mensual!P124</f>
        <v/>
      </c>
      <c r="AP124" s="29">
        <f>ROUND(AN124 + AO124, 2)</f>
        <v/>
      </c>
      <c r="AQ124" s="29">
        <f>Saldo_Residual_Activo!P124</f>
        <v/>
      </c>
      <c r="AR124" s="29">
        <f>ROUND(AP124 + AQ124, 2)</f>
        <v/>
      </c>
      <c r="AS124" s="29">
        <f>Saldos_Capital_Mensual!Q124</f>
        <v/>
      </c>
      <c r="AT124" s="29">
        <f>Saldos_Intereses_Mensual!Q124</f>
        <v/>
      </c>
      <c r="AU124" s="29">
        <f>ROUND(AS124 + AT124, 2)</f>
        <v/>
      </c>
      <c r="AV124" s="29">
        <f>Saldo_Residual_Activo!Q124</f>
        <v/>
      </c>
      <c r="AW124" s="29">
        <f>ROUND(AU124 + AV124, 2)</f>
        <v/>
      </c>
      <c r="AX124" s="29">
        <f>Saldos_Capital_Mensual!R124</f>
        <v/>
      </c>
      <c r="AY124" s="29">
        <f>Saldos_Intereses_Mensual!R124</f>
        <v/>
      </c>
      <c r="AZ124" s="29">
        <f>ROUND(AX124 + AY124, 2)</f>
        <v/>
      </c>
      <c r="BA124" s="29">
        <f>Saldo_Residual_Activo!R124</f>
        <v/>
      </c>
      <c r="BB124" s="29">
        <f>ROUND(AZ124 + BA124, 2)</f>
        <v/>
      </c>
      <c r="BC124" s="29">
        <f>Saldos_Capital_Mensual!S124</f>
        <v/>
      </c>
      <c r="BD124" s="29">
        <f>Saldos_Intereses_Mensual!S124</f>
        <v/>
      </c>
      <c r="BE124" s="29">
        <f>ROUND(BC124 + BD124, 2)</f>
        <v/>
      </c>
      <c r="BF124" s="29">
        <f>Saldo_Residual_Activo!S124</f>
        <v/>
      </c>
      <c r="BG124" s="29">
        <f>ROUND(BE124 + BF124, 2)</f>
        <v/>
      </c>
      <c r="BH124" s="29">
        <f>Saldos_Capital_Mensual!T124</f>
        <v/>
      </c>
      <c r="BI124" s="29">
        <f>Saldos_Intereses_Mensual!T124</f>
        <v/>
      </c>
      <c r="BJ124" s="29">
        <f>ROUND(BH124 + BI124, 2)</f>
        <v/>
      </c>
      <c r="BK124" s="29">
        <f>Saldo_Residual_Activo!T124</f>
        <v/>
      </c>
      <c r="BL124" s="29">
        <f>ROUND(BJ124 + BK124, 2)</f>
        <v/>
      </c>
    </row>
    <row r="125">
      <c r="A125" s="20" t="inlineStr">
        <is>
          <t>0650-0002</t>
        </is>
      </c>
      <c r="B125" s="21" t="inlineStr">
        <is>
          <t>Creando Music</t>
        </is>
      </c>
      <c r="C125" s="21" t="inlineStr">
        <is>
          <t>3008</t>
        </is>
      </c>
      <c r="D125" s="22" t="n">
        <v>12</v>
      </c>
      <c r="E125" s="23">
        <f>Saldos_Capital_Mensual!I125</f>
        <v/>
      </c>
      <c r="F125" s="23">
        <f>Saldos_Intereses_Mensual!I125</f>
        <v/>
      </c>
      <c r="G125" s="23">
        <f>ROUND(E125 + F125, 2)</f>
        <v/>
      </c>
      <c r="H125" s="23">
        <f>Saldo_Residual_Activo!I125</f>
        <v/>
      </c>
      <c r="I125" s="23">
        <f>ROUND(G125 + H125, 2)</f>
        <v/>
      </c>
      <c r="J125" s="23">
        <f>Saldos_Capital_Mensual!J125</f>
        <v/>
      </c>
      <c r="K125" s="23">
        <f>Saldos_Intereses_Mensual!J125</f>
        <v/>
      </c>
      <c r="L125" s="23">
        <f>ROUND(J125 + K125, 2)</f>
        <v/>
      </c>
      <c r="M125" s="23">
        <f>Saldo_Residual_Activo!J125</f>
        <v/>
      </c>
      <c r="N125" s="23">
        <f>ROUND(L125 + M125, 2)</f>
        <v/>
      </c>
      <c r="O125" s="23">
        <f>Saldos_Capital_Mensual!K125</f>
        <v/>
      </c>
      <c r="P125" s="23">
        <f>Saldos_Intereses_Mensual!K125</f>
        <v/>
      </c>
      <c r="Q125" s="23">
        <f>ROUND(O125 + P125, 2)</f>
        <v/>
      </c>
      <c r="R125" s="23">
        <f>Saldo_Residual_Activo!K125</f>
        <v/>
      </c>
      <c r="S125" s="23">
        <f>ROUND(Q125 + R125, 2)</f>
        <v/>
      </c>
      <c r="T125" s="23">
        <f>Saldos_Capital_Mensual!L125</f>
        <v/>
      </c>
      <c r="U125" s="23">
        <f>Saldos_Intereses_Mensual!L125</f>
        <v/>
      </c>
      <c r="V125" s="23">
        <f>ROUND(T125 + U125, 2)</f>
        <v/>
      </c>
      <c r="W125" s="23">
        <f>Saldo_Residual_Activo!L125</f>
        <v/>
      </c>
      <c r="X125" s="23">
        <f>ROUND(V125 + W125, 2)</f>
        <v/>
      </c>
      <c r="Y125" s="23">
        <f>Saldos_Capital_Mensual!M125</f>
        <v/>
      </c>
      <c r="Z125" s="23">
        <f>Saldos_Intereses_Mensual!M125</f>
        <v/>
      </c>
      <c r="AA125" s="23">
        <f>ROUND(Y125 + Z125, 2)</f>
        <v/>
      </c>
      <c r="AB125" s="23">
        <f>Saldo_Residual_Activo!M125</f>
        <v/>
      </c>
      <c r="AC125" s="23">
        <f>ROUND(AA125 + AB125, 2)</f>
        <v/>
      </c>
      <c r="AD125" s="23">
        <f>Saldos_Capital_Mensual!N125</f>
        <v/>
      </c>
      <c r="AE125" s="23">
        <f>Saldos_Intereses_Mensual!N125</f>
        <v/>
      </c>
      <c r="AF125" s="23">
        <f>ROUND(AD125 + AE125, 2)</f>
        <v/>
      </c>
      <c r="AG125" s="23">
        <f>Saldo_Residual_Activo!N125</f>
        <v/>
      </c>
      <c r="AH125" s="23">
        <f>ROUND(AF125 + AG125, 2)</f>
        <v/>
      </c>
      <c r="AI125" s="23">
        <f>Saldos_Capital_Mensual!O125</f>
        <v/>
      </c>
      <c r="AJ125" s="23">
        <f>Saldos_Intereses_Mensual!O125</f>
        <v/>
      </c>
      <c r="AK125" s="23">
        <f>ROUND(AI125 + AJ125, 2)</f>
        <v/>
      </c>
      <c r="AL125" s="23">
        <f>Saldo_Residual_Activo!O125</f>
        <v/>
      </c>
      <c r="AM125" s="23">
        <f>ROUND(AK125 + AL125, 2)</f>
        <v/>
      </c>
      <c r="AN125" s="23">
        <f>Saldos_Capital_Mensual!P125</f>
        <v/>
      </c>
      <c r="AO125" s="23">
        <f>Saldos_Intereses_Mensual!P125</f>
        <v/>
      </c>
      <c r="AP125" s="23">
        <f>ROUND(AN125 + AO125, 2)</f>
        <v/>
      </c>
      <c r="AQ125" s="23">
        <f>Saldo_Residual_Activo!P125</f>
        <v/>
      </c>
      <c r="AR125" s="23">
        <f>ROUND(AP125 + AQ125, 2)</f>
        <v/>
      </c>
      <c r="AS125" s="23">
        <f>Saldos_Capital_Mensual!Q125</f>
        <v/>
      </c>
      <c r="AT125" s="23">
        <f>Saldos_Intereses_Mensual!Q125</f>
        <v/>
      </c>
      <c r="AU125" s="23">
        <f>ROUND(AS125 + AT125, 2)</f>
        <v/>
      </c>
      <c r="AV125" s="23">
        <f>Saldo_Residual_Activo!Q125</f>
        <v/>
      </c>
      <c r="AW125" s="23">
        <f>ROUND(AU125 + AV125, 2)</f>
        <v/>
      </c>
      <c r="AX125" s="23">
        <f>Saldos_Capital_Mensual!R125</f>
        <v/>
      </c>
      <c r="AY125" s="23">
        <f>Saldos_Intereses_Mensual!R125</f>
        <v/>
      </c>
      <c r="AZ125" s="23">
        <f>ROUND(AX125 + AY125, 2)</f>
        <v/>
      </c>
      <c r="BA125" s="23">
        <f>Saldo_Residual_Activo!R125</f>
        <v/>
      </c>
      <c r="BB125" s="23">
        <f>ROUND(AZ125 + BA125, 2)</f>
        <v/>
      </c>
      <c r="BC125" s="23">
        <f>Saldos_Capital_Mensual!S125</f>
        <v/>
      </c>
      <c r="BD125" s="23">
        <f>Saldos_Intereses_Mensual!S125</f>
        <v/>
      </c>
      <c r="BE125" s="23">
        <f>ROUND(BC125 + BD125, 2)</f>
        <v/>
      </c>
      <c r="BF125" s="23">
        <f>Saldo_Residual_Activo!S125</f>
        <v/>
      </c>
      <c r="BG125" s="23">
        <f>ROUND(BE125 + BF125, 2)</f>
        <v/>
      </c>
      <c r="BH125" s="23">
        <f>Saldos_Capital_Mensual!T125</f>
        <v/>
      </c>
      <c r="BI125" s="23">
        <f>Saldos_Intereses_Mensual!T125</f>
        <v/>
      </c>
      <c r="BJ125" s="23">
        <f>ROUND(BH125 + BI125, 2)</f>
        <v/>
      </c>
      <c r="BK125" s="23">
        <f>Saldo_Residual_Activo!T125</f>
        <v/>
      </c>
      <c r="BL125" s="23">
        <f>ROUND(BJ125 + BK125, 2)</f>
        <v/>
      </c>
    </row>
    <row r="126">
      <c r="A126" s="26" t="inlineStr">
        <is>
          <t>0651-0001</t>
        </is>
      </c>
      <c r="B126" s="27" t="inlineStr">
        <is>
          <t>Asme Sa de Cv</t>
        </is>
      </c>
      <c r="C126" s="27" t="inlineStr">
        <is>
          <t>Compass High Altitude</t>
        </is>
      </c>
      <c r="D126" s="28" t="n">
        <v>48</v>
      </c>
      <c r="E126" s="29">
        <f>Saldos_Capital_Mensual!I126</f>
        <v/>
      </c>
      <c r="F126" s="29">
        <f>Saldos_Intereses_Mensual!I126</f>
        <v/>
      </c>
      <c r="G126" s="29">
        <f>ROUND(E126 + F126, 2)</f>
        <v/>
      </c>
      <c r="H126" s="29">
        <f>Saldo_Residual_Activo!I126</f>
        <v/>
      </c>
      <c r="I126" s="29">
        <f>ROUND(G126 + H126, 2)</f>
        <v/>
      </c>
      <c r="J126" s="29">
        <f>Saldos_Capital_Mensual!J126</f>
        <v/>
      </c>
      <c r="K126" s="29">
        <f>Saldos_Intereses_Mensual!J126</f>
        <v/>
      </c>
      <c r="L126" s="29">
        <f>ROUND(J126 + K126, 2)</f>
        <v/>
      </c>
      <c r="M126" s="29">
        <f>Saldo_Residual_Activo!J126</f>
        <v/>
      </c>
      <c r="N126" s="29">
        <f>ROUND(L126 + M126, 2)</f>
        <v/>
      </c>
      <c r="O126" s="29">
        <f>Saldos_Capital_Mensual!K126</f>
        <v/>
      </c>
      <c r="P126" s="29">
        <f>Saldos_Intereses_Mensual!K126</f>
        <v/>
      </c>
      <c r="Q126" s="29">
        <f>ROUND(O126 + P126, 2)</f>
        <v/>
      </c>
      <c r="R126" s="29">
        <f>Saldo_Residual_Activo!K126</f>
        <v/>
      </c>
      <c r="S126" s="29">
        <f>ROUND(Q126 + R126, 2)</f>
        <v/>
      </c>
      <c r="T126" s="29">
        <f>Saldos_Capital_Mensual!L126</f>
        <v/>
      </c>
      <c r="U126" s="29">
        <f>Saldos_Intereses_Mensual!L126</f>
        <v/>
      </c>
      <c r="V126" s="29">
        <f>ROUND(T126 + U126, 2)</f>
        <v/>
      </c>
      <c r="W126" s="29">
        <f>Saldo_Residual_Activo!L126</f>
        <v/>
      </c>
      <c r="X126" s="29">
        <f>ROUND(V126 + W126, 2)</f>
        <v/>
      </c>
      <c r="Y126" s="29">
        <f>Saldos_Capital_Mensual!M126</f>
        <v/>
      </c>
      <c r="Z126" s="29">
        <f>Saldos_Intereses_Mensual!M126</f>
        <v/>
      </c>
      <c r="AA126" s="29">
        <f>ROUND(Y126 + Z126, 2)</f>
        <v/>
      </c>
      <c r="AB126" s="29">
        <f>Saldo_Residual_Activo!M126</f>
        <v/>
      </c>
      <c r="AC126" s="29">
        <f>ROUND(AA126 + AB126, 2)</f>
        <v/>
      </c>
      <c r="AD126" s="29">
        <f>Saldos_Capital_Mensual!N126</f>
        <v/>
      </c>
      <c r="AE126" s="29">
        <f>Saldos_Intereses_Mensual!N126</f>
        <v/>
      </c>
      <c r="AF126" s="29">
        <f>ROUND(AD126 + AE126, 2)</f>
        <v/>
      </c>
      <c r="AG126" s="29">
        <f>Saldo_Residual_Activo!N126</f>
        <v/>
      </c>
      <c r="AH126" s="29">
        <f>ROUND(AF126 + AG126, 2)</f>
        <v/>
      </c>
      <c r="AI126" s="29">
        <f>Saldos_Capital_Mensual!O126</f>
        <v/>
      </c>
      <c r="AJ126" s="29">
        <f>Saldos_Intereses_Mensual!O126</f>
        <v/>
      </c>
      <c r="AK126" s="29">
        <f>ROUND(AI126 + AJ126, 2)</f>
        <v/>
      </c>
      <c r="AL126" s="29">
        <f>Saldo_Residual_Activo!O126</f>
        <v/>
      </c>
      <c r="AM126" s="29">
        <f>ROUND(AK126 + AL126, 2)</f>
        <v/>
      </c>
      <c r="AN126" s="29">
        <f>Saldos_Capital_Mensual!P126</f>
        <v/>
      </c>
      <c r="AO126" s="29">
        <f>Saldos_Intereses_Mensual!P126</f>
        <v/>
      </c>
      <c r="AP126" s="29">
        <f>ROUND(AN126 + AO126, 2)</f>
        <v/>
      </c>
      <c r="AQ126" s="29">
        <f>Saldo_Residual_Activo!P126</f>
        <v/>
      </c>
      <c r="AR126" s="29">
        <f>ROUND(AP126 + AQ126, 2)</f>
        <v/>
      </c>
      <c r="AS126" s="29">
        <f>Saldos_Capital_Mensual!Q126</f>
        <v/>
      </c>
      <c r="AT126" s="29">
        <f>Saldos_Intereses_Mensual!Q126</f>
        <v/>
      </c>
      <c r="AU126" s="29">
        <f>ROUND(AS126 + AT126, 2)</f>
        <v/>
      </c>
      <c r="AV126" s="29">
        <f>Saldo_Residual_Activo!Q126</f>
        <v/>
      </c>
      <c r="AW126" s="29">
        <f>ROUND(AU126 + AV126, 2)</f>
        <v/>
      </c>
      <c r="AX126" s="29">
        <f>Saldos_Capital_Mensual!R126</f>
        <v/>
      </c>
      <c r="AY126" s="29">
        <f>Saldos_Intereses_Mensual!R126</f>
        <v/>
      </c>
      <c r="AZ126" s="29">
        <f>ROUND(AX126 + AY126, 2)</f>
        <v/>
      </c>
      <c r="BA126" s="29">
        <f>Saldo_Residual_Activo!R126</f>
        <v/>
      </c>
      <c r="BB126" s="29">
        <f>ROUND(AZ126 + BA126, 2)</f>
        <v/>
      </c>
      <c r="BC126" s="29">
        <f>Saldos_Capital_Mensual!S126</f>
        <v/>
      </c>
      <c r="BD126" s="29">
        <f>Saldos_Intereses_Mensual!S126</f>
        <v/>
      </c>
      <c r="BE126" s="29">
        <f>ROUND(BC126 + BD126, 2)</f>
        <v/>
      </c>
      <c r="BF126" s="29">
        <f>Saldo_Residual_Activo!S126</f>
        <v/>
      </c>
      <c r="BG126" s="29">
        <f>ROUND(BE126 + BF126, 2)</f>
        <v/>
      </c>
      <c r="BH126" s="29">
        <f>Saldos_Capital_Mensual!T126</f>
        <v/>
      </c>
      <c r="BI126" s="29">
        <f>Saldos_Intereses_Mensual!T126</f>
        <v/>
      </c>
      <c r="BJ126" s="29">
        <f>ROUND(BH126 + BI126, 2)</f>
        <v/>
      </c>
      <c r="BK126" s="29">
        <f>Saldo_Residual_Activo!T126</f>
        <v/>
      </c>
      <c r="BL126" s="29">
        <f>ROUND(BJ126 + BK126, 2)</f>
        <v/>
      </c>
    </row>
    <row r="127">
      <c r="A127" s="20" t="inlineStr">
        <is>
          <t>0654-0001</t>
        </is>
      </c>
      <c r="B127" s="21" t="inlineStr">
        <is>
          <t>Veronica Orozco Larios</t>
        </is>
      </c>
      <c r="C127" s="21" t="inlineStr">
        <is>
          <t>Ram 4000</t>
        </is>
      </c>
      <c r="D127" s="22" t="n">
        <v>36</v>
      </c>
      <c r="E127" s="23">
        <f>Saldos_Capital_Mensual!I127</f>
        <v/>
      </c>
      <c r="F127" s="23">
        <f>Saldos_Intereses_Mensual!I127</f>
        <v/>
      </c>
      <c r="G127" s="23">
        <f>ROUND(E127 + F127, 2)</f>
        <v/>
      </c>
      <c r="H127" s="23">
        <f>Saldo_Residual_Activo!I127</f>
        <v/>
      </c>
      <c r="I127" s="23">
        <f>ROUND(G127 + H127, 2)</f>
        <v/>
      </c>
      <c r="J127" s="23">
        <f>Saldos_Capital_Mensual!J127</f>
        <v/>
      </c>
      <c r="K127" s="23">
        <f>Saldos_Intereses_Mensual!J127</f>
        <v/>
      </c>
      <c r="L127" s="23">
        <f>ROUND(J127 + K127, 2)</f>
        <v/>
      </c>
      <c r="M127" s="23">
        <f>Saldo_Residual_Activo!J127</f>
        <v/>
      </c>
      <c r="N127" s="23">
        <f>ROUND(L127 + M127, 2)</f>
        <v/>
      </c>
      <c r="O127" s="23">
        <f>Saldos_Capital_Mensual!K127</f>
        <v/>
      </c>
      <c r="P127" s="23">
        <f>Saldos_Intereses_Mensual!K127</f>
        <v/>
      </c>
      <c r="Q127" s="23">
        <f>ROUND(O127 + P127, 2)</f>
        <v/>
      </c>
      <c r="R127" s="23">
        <f>Saldo_Residual_Activo!K127</f>
        <v/>
      </c>
      <c r="S127" s="23">
        <f>ROUND(Q127 + R127, 2)</f>
        <v/>
      </c>
      <c r="T127" s="23">
        <f>Saldos_Capital_Mensual!L127</f>
        <v/>
      </c>
      <c r="U127" s="23">
        <f>Saldos_Intereses_Mensual!L127</f>
        <v/>
      </c>
      <c r="V127" s="23">
        <f>ROUND(T127 + U127, 2)</f>
        <v/>
      </c>
      <c r="W127" s="23">
        <f>Saldo_Residual_Activo!L127</f>
        <v/>
      </c>
      <c r="X127" s="23">
        <f>ROUND(V127 + W127, 2)</f>
        <v/>
      </c>
      <c r="Y127" s="23">
        <f>Saldos_Capital_Mensual!M127</f>
        <v/>
      </c>
      <c r="Z127" s="23">
        <f>Saldos_Intereses_Mensual!M127</f>
        <v/>
      </c>
      <c r="AA127" s="23">
        <f>ROUND(Y127 + Z127, 2)</f>
        <v/>
      </c>
      <c r="AB127" s="23">
        <f>Saldo_Residual_Activo!M127</f>
        <v/>
      </c>
      <c r="AC127" s="23">
        <f>ROUND(AA127 + AB127, 2)</f>
        <v/>
      </c>
      <c r="AD127" s="23">
        <f>Saldos_Capital_Mensual!N127</f>
        <v/>
      </c>
      <c r="AE127" s="23">
        <f>Saldos_Intereses_Mensual!N127</f>
        <v/>
      </c>
      <c r="AF127" s="23">
        <f>ROUND(AD127 + AE127, 2)</f>
        <v/>
      </c>
      <c r="AG127" s="23">
        <f>Saldo_Residual_Activo!N127</f>
        <v/>
      </c>
      <c r="AH127" s="23">
        <f>ROUND(AF127 + AG127, 2)</f>
        <v/>
      </c>
      <c r="AI127" s="23">
        <f>Saldos_Capital_Mensual!O127</f>
        <v/>
      </c>
      <c r="AJ127" s="23">
        <f>Saldos_Intereses_Mensual!O127</f>
        <v/>
      </c>
      <c r="AK127" s="23">
        <f>ROUND(AI127 + AJ127, 2)</f>
        <v/>
      </c>
      <c r="AL127" s="23">
        <f>Saldo_Residual_Activo!O127</f>
        <v/>
      </c>
      <c r="AM127" s="23">
        <f>ROUND(AK127 + AL127, 2)</f>
        <v/>
      </c>
      <c r="AN127" s="23">
        <f>Saldos_Capital_Mensual!P127</f>
        <v/>
      </c>
      <c r="AO127" s="23">
        <f>Saldos_Intereses_Mensual!P127</f>
        <v/>
      </c>
      <c r="AP127" s="23">
        <f>ROUND(AN127 + AO127, 2)</f>
        <v/>
      </c>
      <c r="AQ127" s="23">
        <f>Saldo_Residual_Activo!P127</f>
        <v/>
      </c>
      <c r="AR127" s="23">
        <f>ROUND(AP127 + AQ127, 2)</f>
        <v/>
      </c>
      <c r="AS127" s="23">
        <f>Saldos_Capital_Mensual!Q127</f>
        <v/>
      </c>
      <c r="AT127" s="23">
        <f>Saldos_Intereses_Mensual!Q127</f>
        <v/>
      </c>
      <c r="AU127" s="23">
        <f>ROUND(AS127 + AT127, 2)</f>
        <v/>
      </c>
      <c r="AV127" s="23">
        <f>Saldo_Residual_Activo!Q127</f>
        <v/>
      </c>
      <c r="AW127" s="23">
        <f>ROUND(AU127 + AV127, 2)</f>
        <v/>
      </c>
      <c r="AX127" s="23">
        <f>Saldos_Capital_Mensual!R127</f>
        <v/>
      </c>
      <c r="AY127" s="23">
        <f>Saldos_Intereses_Mensual!R127</f>
        <v/>
      </c>
      <c r="AZ127" s="23">
        <f>ROUND(AX127 + AY127, 2)</f>
        <v/>
      </c>
      <c r="BA127" s="23">
        <f>Saldo_Residual_Activo!R127</f>
        <v/>
      </c>
      <c r="BB127" s="23">
        <f>ROUND(AZ127 + BA127, 2)</f>
        <v/>
      </c>
      <c r="BC127" s="23">
        <f>Saldos_Capital_Mensual!S127</f>
        <v/>
      </c>
      <c r="BD127" s="23">
        <f>Saldos_Intereses_Mensual!S127</f>
        <v/>
      </c>
      <c r="BE127" s="23">
        <f>ROUND(BC127 + BD127, 2)</f>
        <v/>
      </c>
      <c r="BF127" s="23">
        <f>Saldo_Residual_Activo!S127</f>
        <v/>
      </c>
      <c r="BG127" s="23">
        <f>ROUND(BE127 + BF127, 2)</f>
        <v/>
      </c>
      <c r="BH127" s="23">
        <f>Saldos_Capital_Mensual!T127</f>
        <v/>
      </c>
      <c r="BI127" s="23">
        <f>Saldos_Intereses_Mensual!T127</f>
        <v/>
      </c>
      <c r="BJ127" s="23">
        <f>ROUND(BH127 + BI127, 2)</f>
        <v/>
      </c>
      <c r="BK127" s="23">
        <f>Saldo_Residual_Activo!T127</f>
        <v/>
      </c>
      <c r="BL127" s="23">
        <f>ROUND(BJ127 + BK127, 2)</f>
        <v/>
      </c>
    </row>
    <row r="128">
      <c r="A128" s="26" t="inlineStr">
        <is>
          <t>0655-0001</t>
        </is>
      </c>
      <c r="B128" s="27" t="inlineStr">
        <is>
          <t>Viñedos de la Rivera Sur de Chapala S de Rl de Cv</t>
        </is>
      </c>
      <c r="C128" s="27" t="inlineStr">
        <is>
          <t>Ram 2500 HEMI</t>
        </is>
      </c>
      <c r="D128" s="28" t="n">
        <v>36</v>
      </c>
      <c r="E128" s="29">
        <f>Saldos_Capital_Mensual!I128</f>
        <v/>
      </c>
      <c r="F128" s="29">
        <f>Saldos_Intereses_Mensual!I128</f>
        <v/>
      </c>
      <c r="G128" s="29">
        <f>ROUND(E128 + F128, 2)</f>
        <v/>
      </c>
      <c r="H128" s="29">
        <f>Saldo_Residual_Activo!I128</f>
        <v/>
      </c>
      <c r="I128" s="29">
        <f>ROUND(G128 + H128, 2)</f>
        <v/>
      </c>
      <c r="J128" s="29">
        <f>Saldos_Capital_Mensual!J128</f>
        <v/>
      </c>
      <c r="K128" s="29">
        <f>Saldos_Intereses_Mensual!J128</f>
        <v/>
      </c>
      <c r="L128" s="29">
        <f>ROUND(J128 + K128, 2)</f>
        <v/>
      </c>
      <c r="M128" s="29">
        <f>Saldo_Residual_Activo!J128</f>
        <v/>
      </c>
      <c r="N128" s="29">
        <f>ROUND(L128 + M128, 2)</f>
        <v/>
      </c>
      <c r="O128" s="29">
        <f>Saldos_Capital_Mensual!K128</f>
        <v/>
      </c>
      <c r="P128" s="29">
        <f>Saldos_Intereses_Mensual!K128</f>
        <v/>
      </c>
      <c r="Q128" s="29">
        <f>ROUND(O128 + P128, 2)</f>
        <v/>
      </c>
      <c r="R128" s="29">
        <f>Saldo_Residual_Activo!K128</f>
        <v/>
      </c>
      <c r="S128" s="29">
        <f>ROUND(Q128 + R128, 2)</f>
        <v/>
      </c>
      <c r="T128" s="29">
        <f>Saldos_Capital_Mensual!L128</f>
        <v/>
      </c>
      <c r="U128" s="29">
        <f>Saldos_Intereses_Mensual!L128</f>
        <v/>
      </c>
      <c r="V128" s="29">
        <f>ROUND(T128 + U128, 2)</f>
        <v/>
      </c>
      <c r="W128" s="29">
        <f>Saldo_Residual_Activo!L128</f>
        <v/>
      </c>
      <c r="X128" s="29">
        <f>ROUND(V128 + W128, 2)</f>
        <v/>
      </c>
      <c r="Y128" s="29">
        <f>Saldos_Capital_Mensual!M128</f>
        <v/>
      </c>
      <c r="Z128" s="29">
        <f>Saldos_Intereses_Mensual!M128</f>
        <v/>
      </c>
      <c r="AA128" s="29">
        <f>ROUND(Y128 + Z128, 2)</f>
        <v/>
      </c>
      <c r="AB128" s="29">
        <f>Saldo_Residual_Activo!M128</f>
        <v/>
      </c>
      <c r="AC128" s="29">
        <f>ROUND(AA128 + AB128, 2)</f>
        <v/>
      </c>
      <c r="AD128" s="29">
        <f>Saldos_Capital_Mensual!N128</f>
        <v/>
      </c>
      <c r="AE128" s="29">
        <f>Saldos_Intereses_Mensual!N128</f>
        <v/>
      </c>
      <c r="AF128" s="29">
        <f>ROUND(AD128 + AE128, 2)</f>
        <v/>
      </c>
      <c r="AG128" s="29">
        <f>Saldo_Residual_Activo!N128</f>
        <v/>
      </c>
      <c r="AH128" s="29">
        <f>ROUND(AF128 + AG128, 2)</f>
        <v/>
      </c>
      <c r="AI128" s="29">
        <f>Saldos_Capital_Mensual!O128</f>
        <v/>
      </c>
      <c r="AJ128" s="29">
        <f>Saldos_Intereses_Mensual!O128</f>
        <v/>
      </c>
      <c r="AK128" s="29">
        <f>ROUND(AI128 + AJ128, 2)</f>
        <v/>
      </c>
      <c r="AL128" s="29">
        <f>Saldo_Residual_Activo!O128</f>
        <v/>
      </c>
      <c r="AM128" s="29">
        <f>ROUND(AK128 + AL128, 2)</f>
        <v/>
      </c>
      <c r="AN128" s="29">
        <f>Saldos_Capital_Mensual!P128</f>
        <v/>
      </c>
      <c r="AO128" s="29">
        <f>Saldos_Intereses_Mensual!P128</f>
        <v/>
      </c>
      <c r="AP128" s="29">
        <f>ROUND(AN128 + AO128, 2)</f>
        <v/>
      </c>
      <c r="AQ128" s="29">
        <f>Saldo_Residual_Activo!P128</f>
        <v/>
      </c>
      <c r="AR128" s="29">
        <f>ROUND(AP128 + AQ128, 2)</f>
        <v/>
      </c>
      <c r="AS128" s="29">
        <f>Saldos_Capital_Mensual!Q128</f>
        <v/>
      </c>
      <c r="AT128" s="29">
        <f>Saldos_Intereses_Mensual!Q128</f>
        <v/>
      </c>
      <c r="AU128" s="29">
        <f>ROUND(AS128 + AT128, 2)</f>
        <v/>
      </c>
      <c r="AV128" s="29">
        <f>Saldo_Residual_Activo!Q128</f>
        <v/>
      </c>
      <c r="AW128" s="29">
        <f>ROUND(AU128 + AV128, 2)</f>
        <v/>
      </c>
      <c r="AX128" s="29">
        <f>Saldos_Capital_Mensual!R128</f>
        <v/>
      </c>
      <c r="AY128" s="29">
        <f>Saldos_Intereses_Mensual!R128</f>
        <v/>
      </c>
      <c r="AZ128" s="29">
        <f>ROUND(AX128 + AY128, 2)</f>
        <v/>
      </c>
      <c r="BA128" s="29">
        <f>Saldo_Residual_Activo!R128</f>
        <v/>
      </c>
      <c r="BB128" s="29">
        <f>ROUND(AZ128 + BA128, 2)</f>
        <v/>
      </c>
      <c r="BC128" s="29">
        <f>Saldos_Capital_Mensual!S128</f>
        <v/>
      </c>
      <c r="BD128" s="29">
        <f>Saldos_Intereses_Mensual!S128</f>
        <v/>
      </c>
      <c r="BE128" s="29">
        <f>ROUND(BC128 + BD128, 2)</f>
        <v/>
      </c>
      <c r="BF128" s="29">
        <f>Saldo_Residual_Activo!S128</f>
        <v/>
      </c>
      <c r="BG128" s="29">
        <f>ROUND(BE128 + BF128, 2)</f>
        <v/>
      </c>
      <c r="BH128" s="29">
        <f>Saldos_Capital_Mensual!T128</f>
        <v/>
      </c>
      <c r="BI128" s="29">
        <f>Saldos_Intereses_Mensual!T128</f>
        <v/>
      </c>
      <c r="BJ128" s="29">
        <f>ROUND(BH128 + BI128, 2)</f>
        <v/>
      </c>
      <c r="BK128" s="29">
        <f>Saldo_Residual_Activo!T128</f>
        <v/>
      </c>
      <c r="BL128" s="29">
        <f>ROUND(BJ128 + BK128, 2)</f>
        <v/>
      </c>
    </row>
    <row r="129">
      <c r="A129" s="20" t="inlineStr">
        <is>
          <t>0658-0001</t>
        </is>
      </c>
      <c r="B129" s="21" t="inlineStr">
        <is>
          <t>Esteban Polanco Navarro</t>
        </is>
      </c>
      <c r="C129" s="21" t="inlineStr">
        <is>
          <t>RAM 1500 Long Horn</t>
        </is>
      </c>
      <c r="D129" s="22" t="n">
        <v>48</v>
      </c>
      <c r="E129" s="23">
        <f>Saldos_Capital_Mensual!I129</f>
        <v/>
      </c>
      <c r="F129" s="23">
        <f>Saldos_Intereses_Mensual!I129</f>
        <v/>
      </c>
      <c r="G129" s="23">
        <f>ROUND(E129 + F129, 2)</f>
        <v/>
      </c>
      <c r="H129" s="23">
        <f>Saldo_Residual_Activo!I129</f>
        <v/>
      </c>
      <c r="I129" s="23">
        <f>ROUND(G129 + H129, 2)</f>
        <v/>
      </c>
      <c r="J129" s="23">
        <f>Saldos_Capital_Mensual!J129</f>
        <v/>
      </c>
      <c r="K129" s="23">
        <f>Saldos_Intereses_Mensual!J129</f>
        <v/>
      </c>
      <c r="L129" s="23">
        <f>ROUND(J129 + K129, 2)</f>
        <v/>
      </c>
      <c r="M129" s="23">
        <f>Saldo_Residual_Activo!J129</f>
        <v/>
      </c>
      <c r="N129" s="23">
        <f>ROUND(L129 + M129, 2)</f>
        <v/>
      </c>
      <c r="O129" s="23">
        <f>Saldos_Capital_Mensual!K129</f>
        <v/>
      </c>
      <c r="P129" s="23">
        <f>Saldos_Intereses_Mensual!K129</f>
        <v/>
      </c>
      <c r="Q129" s="23">
        <f>ROUND(O129 + P129, 2)</f>
        <v/>
      </c>
      <c r="R129" s="23">
        <f>Saldo_Residual_Activo!K129</f>
        <v/>
      </c>
      <c r="S129" s="23">
        <f>ROUND(Q129 + R129, 2)</f>
        <v/>
      </c>
      <c r="T129" s="23">
        <f>Saldos_Capital_Mensual!L129</f>
        <v/>
      </c>
      <c r="U129" s="23">
        <f>Saldos_Intereses_Mensual!L129</f>
        <v/>
      </c>
      <c r="V129" s="23">
        <f>ROUND(T129 + U129, 2)</f>
        <v/>
      </c>
      <c r="W129" s="23">
        <f>Saldo_Residual_Activo!L129</f>
        <v/>
      </c>
      <c r="X129" s="23">
        <f>ROUND(V129 + W129, 2)</f>
        <v/>
      </c>
      <c r="Y129" s="23">
        <f>Saldos_Capital_Mensual!M129</f>
        <v/>
      </c>
      <c r="Z129" s="23">
        <f>Saldos_Intereses_Mensual!M129</f>
        <v/>
      </c>
      <c r="AA129" s="23">
        <f>ROUND(Y129 + Z129, 2)</f>
        <v/>
      </c>
      <c r="AB129" s="23">
        <f>Saldo_Residual_Activo!M129</f>
        <v/>
      </c>
      <c r="AC129" s="23">
        <f>ROUND(AA129 + AB129, 2)</f>
        <v/>
      </c>
      <c r="AD129" s="23">
        <f>Saldos_Capital_Mensual!N129</f>
        <v/>
      </c>
      <c r="AE129" s="23">
        <f>Saldos_Intereses_Mensual!N129</f>
        <v/>
      </c>
      <c r="AF129" s="23">
        <f>ROUND(AD129 + AE129, 2)</f>
        <v/>
      </c>
      <c r="AG129" s="23">
        <f>Saldo_Residual_Activo!N129</f>
        <v/>
      </c>
      <c r="AH129" s="23">
        <f>ROUND(AF129 + AG129, 2)</f>
        <v/>
      </c>
      <c r="AI129" s="23">
        <f>Saldos_Capital_Mensual!O129</f>
        <v/>
      </c>
      <c r="AJ129" s="23">
        <f>Saldos_Intereses_Mensual!O129</f>
        <v/>
      </c>
      <c r="AK129" s="23">
        <f>ROUND(AI129 + AJ129, 2)</f>
        <v/>
      </c>
      <c r="AL129" s="23">
        <f>Saldo_Residual_Activo!O129</f>
        <v/>
      </c>
      <c r="AM129" s="23">
        <f>ROUND(AK129 + AL129, 2)</f>
        <v/>
      </c>
      <c r="AN129" s="23">
        <f>Saldos_Capital_Mensual!P129</f>
        <v/>
      </c>
      <c r="AO129" s="23">
        <f>Saldos_Intereses_Mensual!P129</f>
        <v/>
      </c>
      <c r="AP129" s="23">
        <f>ROUND(AN129 + AO129, 2)</f>
        <v/>
      </c>
      <c r="AQ129" s="23">
        <f>Saldo_Residual_Activo!P129</f>
        <v/>
      </c>
      <c r="AR129" s="23">
        <f>ROUND(AP129 + AQ129, 2)</f>
        <v/>
      </c>
      <c r="AS129" s="23">
        <f>Saldos_Capital_Mensual!Q129</f>
        <v/>
      </c>
      <c r="AT129" s="23">
        <f>Saldos_Intereses_Mensual!Q129</f>
        <v/>
      </c>
      <c r="AU129" s="23">
        <f>ROUND(AS129 + AT129, 2)</f>
        <v/>
      </c>
      <c r="AV129" s="23">
        <f>Saldo_Residual_Activo!Q129</f>
        <v/>
      </c>
      <c r="AW129" s="23">
        <f>ROUND(AU129 + AV129, 2)</f>
        <v/>
      </c>
      <c r="AX129" s="23">
        <f>Saldos_Capital_Mensual!R129</f>
        <v/>
      </c>
      <c r="AY129" s="23">
        <f>Saldos_Intereses_Mensual!R129</f>
        <v/>
      </c>
      <c r="AZ129" s="23">
        <f>ROUND(AX129 + AY129, 2)</f>
        <v/>
      </c>
      <c r="BA129" s="23">
        <f>Saldo_Residual_Activo!R129</f>
        <v/>
      </c>
      <c r="BB129" s="23">
        <f>ROUND(AZ129 + BA129, 2)</f>
        <v/>
      </c>
      <c r="BC129" s="23">
        <f>Saldos_Capital_Mensual!S129</f>
        <v/>
      </c>
      <c r="BD129" s="23">
        <f>Saldos_Intereses_Mensual!S129</f>
        <v/>
      </c>
      <c r="BE129" s="23">
        <f>ROUND(BC129 + BD129, 2)</f>
        <v/>
      </c>
      <c r="BF129" s="23">
        <f>Saldo_Residual_Activo!S129</f>
        <v/>
      </c>
      <c r="BG129" s="23">
        <f>ROUND(BE129 + BF129, 2)</f>
        <v/>
      </c>
      <c r="BH129" s="23">
        <f>Saldos_Capital_Mensual!T129</f>
        <v/>
      </c>
      <c r="BI129" s="23">
        <f>Saldos_Intereses_Mensual!T129</f>
        <v/>
      </c>
      <c r="BJ129" s="23">
        <f>ROUND(BH129 + BI129, 2)</f>
        <v/>
      </c>
      <c r="BK129" s="23">
        <f>Saldo_Residual_Activo!T129</f>
        <v/>
      </c>
      <c r="BL129" s="23">
        <f>ROUND(BJ129 + BK129, 2)</f>
        <v/>
      </c>
    </row>
    <row r="130">
      <c r="A130" s="26" t="inlineStr">
        <is>
          <t>0660-0001</t>
        </is>
      </c>
      <c r="B130" s="27" t="inlineStr">
        <is>
          <t>Big Buck Capital sc</t>
        </is>
      </c>
      <c r="C130" s="27" t="inlineStr">
        <is>
          <t>MG 5</t>
        </is>
      </c>
      <c r="D130" s="28" t="n">
        <v>48</v>
      </c>
      <c r="E130" s="29">
        <f>Saldos_Capital_Mensual!I130</f>
        <v/>
      </c>
      <c r="F130" s="29">
        <f>Saldos_Intereses_Mensual!I130</f>
        <v/>
      </c>
      <c r="G130" s="29">
        <f>ROUND(E130 + F130, 2)</f>
        <v/>
      </c>
      <c r="H130" s="29">
        <f>Saldo_Residual_Activo!I130</f>
        <v/>
      </c>
      <c r="I130" s="29">
        <f>ROUND(G130 + H130, 2)</f>
        <v/>
      </c>
      <c r="J130" s="29">
        <f>Saldos_Capital_Mensual!J130</f>
        <v/>
      </c>
      <c r="K130" s="29">
        <f>Saldos_Intereses_Mensual!J130</f>
        <v/>
      </c>
      <c r="L130" s="29">
        <f>ROUND(J130 + K130, 2)</f>
        <v/>
      </c>
      <c r="M130" s="29">
        <f>Saldo_Residual_Activo!J130</f>
        <v/>
      </c>
      <c r="N130" s="29">
        <f>ROUND(L130 + M130, 2)</f>
        <v/>
      </c>
      <c r="O130" s="29">
        <f>Saldos_Capital_Mensual!K130</f>
        <v/>
      </c>
      <c r="P130" s="29">
        <f>Saldos_Intereses_Mensual!K130</f>
        <v/>
      </c>
      <c r="Q130" s="29">
        <f>ROUND(O130 + P130, 2)</f>
        <v/>
      </c>
      <c r="R130" s="29">
        <f>Saldo_Residual_Activo!K130</f>
        <v/>
      </c>
      <c r="S130" s="29">
        <f>ROUND(Q130 + R130, 2)</f>
        <v/>
      </c>
      <c r="T130" s="29">
        <f>Saldos_Capital_Mensual!L130</f>
        <v/>
      </c>
      <c r="U130" s="29">
        <f>Saldos_Intereses_Mensual!L130</f>
        <v/>
      </c>
      <c r="V130" s="29">
        <f>ROUND(T130 + U130, 2)</f>
        <v/>
      </c>
      <c r="W130" s="29">
        <f>Saldo_Residual_Activo!L130</f>
        <v/>
      </c>
      <c r="X130" s="29">
        <f>ROUND(V130 + W130, 2)</f>
        <v/>
      </c>
      <c r="Y130" s="29">
        <f>Saldos_Capital_Mensual!M130</f>
        <v/>
      </c>
      <c r="Z130" s="29">
        <f>Saldos_Intereses_Mensual!M130</f>
        <v/>
      </c>
      <c r="AA130" s="29">
        <f>ROUND(Y130 + Z130, 2)</f>
        <v/>
      </c>
      <c r="AB130" s="29">
        <f>Saldo_Residual_Activo!M130</f>
        <v/>
      </c>
      <c r="AC130" s="29">
        <f>ROUND(AA130 + AB130, 2)</f>
        <v/>
      </c>
      <c r="AD130" s="29">
        <f>Saldos_Capital_Mensual!N130</f>
        <v/>
      </c>
      <c r="AE130" s="29">
        <f>Saldos_Intereses_Mensual!N130</f>
        <v/>
      </c>
      <c r="AF130" s="29">
        <f>ROUND(AD130 + AE130, 2)</f>
        <v/>
      </c>
      <c r="AG130" s="29">
        <f>Saldo_Residual_Activo!N130</f>
        <v/>
      </c>
      <c r="AH130" s="29">
        <f>ROUND(AF130 + AG130, 2)</f>
        <v/>
      </c>
      <c r="AI130" s="29">
        <f>Saldos_Capital_Mensual!O130</f>
        <v/>
      </c>
      <c r="AJ130" s="29">
        <f>Saldos_Intereses_Mensual!O130</f>
        <v/>
      </c>
      <c r="AK130" s="29">
        <f>ROUND(AI130 + AJ130, 2)</f>
        <v/>
      </c>
      <c r="AL130" s="29">
        <f>Saldo_Residual_Activo!O130</f>
        <v/>
      </c>
      <c r="AM130" s="29">
        <f>ROUND(AK130 + AL130, 2)</f>
        <v/>
      </c>
      <c r="AN130" s="29">
        <f>Saldos_Capital_Mensual!P130</f>
        <v/>
      </c>
      <c r="AO130" s="29">
        <f>Saldos_Intereses_Mensual!P130</f>
        <v/>
      </c>
      <c r="AP130" s="29">
        <f>ROUND(AN130 + AO130, 2)</f>
        <v/>
      </c>
      <c r="AQ130" s="29">
        <f>Saldo_Residual_Activo!P130</f>
        <v/>
      </c>
      <c r="AR130" s="29">
        <f>ROUND(AP130 + AQ130, 2)</f>
        <v/>
      </c>
      <c r="AS130" s="29">
        <f>Saldos_Capital_Mensual!Q130</f>
        <v/>
      </c>
      <c r="AT130" s="29">
        <f>Saldos_Intereses_Mensual!Q130</f>
        <v/>
      </c>
      <c r="AU130" s="29">
        <f>ROUND(AS130 + AT130, 2)</f>
        <v/>
      </c>
      <c r="AV130" s="29">
        <f>Saldo_Residual_Activo!Q130</f>
        <v/>
      </c>
      <c r="AW130" s="29">
        <f>ROUND(AU130 + AV130, 2)</f>
        <v/>
      </c>
      <c r="AX130" s="29">
        <f>Saldos_Capital_Mensual!R130</f>
        <v/>
      </c>
      <c r="AY130" s="29">
        <f>Saldos_Intereses_Mensual!R130</f>
        <v/>
      </c>
      <c r="AZ130" s="29">
        <f>ROUND(AX130 + AY130, 2)</f>
        <v/>
      </c>
      <c r="BA130" s="29">
        <f>Saldo_Residual_Activo!R130</f>
        <v/>
      </c>
      <c r="BB130" s="29">
        <f>ROUND(AZ130 + BA130, 2)</f>
        <v/>
      </c>
      <c r="BC130" s="29">
        <f>Saldos_Capital_Mensual!S130</f>
        <v/>
      </c>
      <c r="BD130" s="29">
        <f>Saldos_Intereses_Mensual!S130</f>
        <v/>
      </c>
      <c r="BE130" s="29">
        <f>ROUND(BC130 + BD130, 2)</f>
        <v/>
      </c>
      <c r="BF130" s="29">
        <f>Saldo_Residual_Activo!S130</f>
        <v/>
      </c>
      <c r="BG130" s="29">
        <f>ROUND(BE130 + BF130, 2)</f>
        <v/>
      </c>
      <c r="BH130" s="29">
        <f>Saldos_Capital_Mensual!T130</f>
        <v/>
      </c>
      <c r="BI130" s="29">
        <f>Saldos_Intereses_Mensual!T130</f>
        <v/>
      </c>
      <c r="BJ130" s="29">
        <f>ROUND(BH130 + BI130, 2)</f>
        <v/>
      </c>
      <c r="BK130" s="29">
        <f>Saldo_Residual_Activo!T130</f>
        <v/>
      </c>
      <c r="BL130" s="29">
        <f>ROUND(BJ130 + BK130, 2)</f>
        <v/>
      </c>
    </row>
    <row r="131">
      <c r="A131" s="20" t="inlineStr">
        <is>
          <t>0660-0002</t>
        </is>
      </c>
      <c r="B131" s="21" t="inlineStr">
        <is>
          <t>Big Buck Capital Sc</t>
        </is>
      </c>
      <c r="C131" s="21" t="inlineStr">
        <is>
          <t>Sienna</t>
        </is>
      </c>
      <c r="D131" s="22" t="n">
        <v>48</v>
      </c>
      <c r="E131" s="23">
        <f>Saldos_Capital_Mensual!I131</f>
        <v/>
      </c>
      <c r="F131" s="23">
        <f>Saldos_Intereses_Mensual!I131</f>
        <v/>
      </c>
      <c r="G131" s="23">
        <f>ROUND(E131 + F131, 2)</f>
        <v/>
      </c>
      <c r="H131" s="23">
        <f>Saldo_Residual_Activo!I131</f>
        <v/>
      </c>
      <c r="I131" s="23">
        <f>ROUND(G131 + H131, 2)</f>
        <v/>
      </c>
      <c r="J131" s="23">
        <f>Saldos_Capital_Mensual!J131</f>
        <v/>
      </c>
      <c r="K131" s="23">
        <f>Saldos_Intereses_Mensual!J131</f>
        <v/>
      </c>
      <c r="L131" s="23">
        <f>ROUND(J131 + K131, 2)</f>
        <v/>
      </c>
      <c r="M131" s="23">
        <f>Saldo_Residual_Activo!J131</f>
        <v/>
      </c>
      <c r="N131" s="23">
        <f>ROUND(L131 + M131, 2)</f>
        <v/>
      </c>
      <c r="O131" s="23">
        <f>Saldos_Capital_Mensual!K131</f>
        <v/>
      </c>
      <c r="P131" s="23">
        <f>Saldos_Intereses_Mensual!K131</f>
        <v/>
      </c>
      <c r="Q131" s="23">
        <f>ROUND(O131 + P131, 2)</f>
        <v/>
      </c>
      <c r="R131" s="23">
        <f>Saldo_Residual_Activo!K131</f>
        <v/>
      </c>
      <c r="S131" s="23">
        <f>ROUND(Q131 + R131, 2)</f>
        <v/>
      </c>
      <c r="T131" s="23">
        <f>Saldos_Capital_Mensual!L131</f>
        <v/>
      </c>
      <c r="U131" s="23">
        <f>Saldos_Intereses_Mensual!L131</f>
        <v/>
      </c>
      <c r="V131" s="23">
        <f>ROUND(T131 + U131, 2)</f>
        <v/>
      </c>
      <c r="W131" s="23">
        <f>Saldo_Residual_Activo!L131</f>
        <v/>
      </c>
      <c r="X131" s="23">
        <f>ROUND(V131 + W131, 2)</f>
        <v/>
      </c>
      <c r="Y131" s="23">
        <f>Saldos_Capital_Mensual!M131</f>
        <v/>
      </c>
      <c r="Z131" s="23">
        <f>Saldos_Intereses_Mensual!M131</f>
        <v/>
      </c>
      <c r="AA131" s="23">
        <f>ROUND(Y131 + Z131, 2)</f>
        <v/>
      </c>
      <c r="AB131" s="23">
        <f>Saldo_Residual_Activo!M131</f>
        <v/>
      </c>
      <c r="AC131" s="23">
        <f>ROUND(AA131 + AB131, 2)</f>
        <v/>
      </c>
      <c r="AD131" s="23">
        <f>Saldos_Capital_Mensual!N131</f>
        <v/>
      </c>
      <c r="AE131" s="23">
        <f>Saldos_Intereses_Mensual!N131</f>
        <v/>
      </c>
      <c r="AF131" s="23">
        <f>ROUND(AD131 + AE131, 2)</f>
        <v/>
      </c>
      <c r="AG131" s="23">
        <f>Saldo_Residual_Activo!N131</f>
        <v/>
      </c>
      <c r="AH131" s="23">
        <f>ROUND(AF131 + AG131, 2)</f>
        <v/>
      </c>
      <c r="AI131" s="23">
        <f>Saldos_Capital_Mensual!O131</f>
        <v/>
      </c>
      <c r="AJ131" s="23">
        <f>Saldos_Intereses_Mensual!O131</f>
        <v/>
      </c>
      <c r="AK131" s="23">
        <f>ROUND(AI131 + AJ131, 2)</f>
        <v/>
      </c>
      <c r="AL131" s="23">
        <f>Saldo_Residual_Activo!O131</f>
        <v/>
      </c>
      <c r="AM131" s="23">
        <f>ROUND(AK131 + AL131, 2)</f>
        <v/>
      </c>
      <c r="AN131" s="23">
        <f>Saldos_Capital_Mensual!P131</f>
        <v/>
      </c>
      <c r="AO131" s="23">
        <f>Saldos_Intereses_Mensual!P131</f>
        <v/>
      </c>
      <c r="AP131" s="23">
        <f>ROUND(AN131 + AO131, 2)</f>
        <v/>
      </c>
      <c r="AQ131" s="23">
        <f>Saldo_Residual_Activo!P131</f>
        <v/>
      </c>
      <c r="AR131" s="23">
        <f>ROUND(AP131 + AQ131, 2)</f>
        <v/>
      </c>
      <c r="AS131" s="23">
        <f>Saldos_Capital_Mensual!Q131</f>
        <v/>
      </c>
      <c r="AT131" s="23">
        <f>Saldos_Intereses_Mensual!Q131</f>
        <v/>
      </c>
      <c r="AU131" s="23">
        <f>ROUND(AS131 + AT131, 2)</f>
        <v/>
      </c>
      <c r="AV131" s="23">
        <f>Saldo_Residual_Activo!Q131</f>
        <v/>
      </c>
      <c r="AW131" s="23">
        <f>ROUND(AU131 + AV131, 2)</f>
        <v/>
      </c>
      <c r="AX131" s="23">
        <f>Saldos_Capital_Mensual!R131</f>
        <v/>
      </c>
      <c r="AY131" s="23">
        <f>Saldos_Intereses_Mensual!R131</f>
        <v/>
      </c>
      <c r="AZ131" s="23">
        <f>ROUND(AX131 + AY131, 2)</f>
        <v/>
      </c>
      <c r="BA131" s="23">
        <f>Saldo_Residual_Activo!R131</f>
        <v/>
      </c>
      <c r="BB131" s="23">
        <f>ROUND(AZ131 + BA131, 2)</f>
        <v/>
      </c>
      <c r="BC131" s="23">
        <f>Saldos_Capital_Mensual!S131</f>
        <v/>
      </c>
      <c r="BD131" s="23">
        <f>Saldos_Intereses_Mensual!S131</f>
        <v/>
      </c>
      <c r="BE131" s="23">
        <f>ROUND(BC131 + BD131, 2)</f>
        <v/>
      </c>
      <c r="BF131" s="23">
        <f>Saldo_Residual_Activo!S131</f>
        <v/>
      </c>
      <c r="BG131" s="23">
        <f>ROUND(BE131 + BF131, 2)</f>
        <v/>
      </c>
      <c r="BH131" s="23">
        <f>Saldos_Capital_Mensual!T131</f>
        <v/>
      </c>
      <c r="BI131" s="23">
        <f>Saldos_Intereses_Mensual!T131</f>
        <v/>
      </c>
      <c r="BJ131" s="23">
        <f>ROUND(BH131 + BI131, 2)</f>
        <v/>
      </c>
      <c r="BK131" s="23">
        <f>Saldo_Residual_Activo!T131</f>
        <v/>
      </c>
      <c r="BL131" s="23">
        <f>ROUND(BJ131 + BK131, 2)</f>
        <v/>
      </c>
    </row>
    <row r="132">
      <c r="A132" s="26" t="inlineStr">
        <is>
          <t>0661-0001</t>
        </is>
      </c>
      <c r="B132" s="27" t="inlineStr">
        <is>
          <t>Veta Vertical Home Sa de Cv</t>
        </is>
      </c>
      <c r="C132" s="27" t="inlineStr">
        <is>
          <t>3008 Allure Pack</t>
        </is>
      </c>
      <c r="D132" s="28" t="n">
        <v>48</v>
      </c>
      <c r="E132" s="29">
        <f>Saldos_Capital_Mensual!I132</f>
        <v/>
      </c>
      <c r="F132" s="29">
        <f>Saldos_Intereses_Mensual!I132</f>
        <v/>
      </c>
      <c r="G132" s="29">
        <f>ROUND(E132 + F132, 2)</f>
        <v/>
      </c>
      <c r="H132" s="29">
        <f>Saldo_Residual_Activo!I132</f>
        <v/>
      </c>
      <c r="I132" s="29">
        <f>ROUND(G132 + H132, 2)</f>
        <v/>
      </c>
      <c r="J132" s="29">
        <f>Saldos_Capital_Mensual!J132</f>
        <v/>
      </c>
      <c r="K132" s="29">
        <f>Saldos_Intereses_Mensual!J132</f>
        <v/>
      </c>
      <c r="L132" s="29">
        <f>ROUND(J132 + K132, 2)</f>
        <v/>
      </c>
      <c r="M132" s="29">
        <f>Saldo_Residual_Activo!J132</f>
        <v/>
      </c>
      <c r="N132" s="29">
        <f>ROUND(L132 + M132, 2)</f>
        <v/>
      </c>
      <c r="O132" s="29">
        <f>Saldos_Capital_Mensual!K132</f>
        <v/>
      </c>
      <c r="P132" s="29">
        <f>Saldos_Intereses_Mensual!K132</f>
        <v/>
      </c>
      <c r="Q132" s="29">
        <f>ROUND(O132 + P132, 2)</f>
        <v/>
      </c>
      <c r="R132" s="29">
        <f>Saldo_Residual_Activo!K132</f>
        <v/>
      </c>
      <c r="S132" s="29">
        <f>ROUND(Q132 + R132, 2)</f>
        <v/>
      </c>
      <c r="T132" s="29">
        <f>Saldos_Capital_Mensual!L132</f>
        <v/>
      </c>
      <c r="U132" s="29">
        <f>Saldos_Intereses_Mensual!L132</f>
        <v/>
      </c>
      <c r="V132" s="29">
        <f>ROUND(T132 + U132, 2)</f>
        <v/>
      </c>
      <c r="W132" s="29">
        <f>Saldo_Residual_Activo!L132</f>
        <v/>
      </c>
      <c r="X132" s="29">
        <f>ROUND(V132 + W132, 2)</f>
        <v/>
      </c>
      <c r="Y132" s="29">
        <f>Saldos_Capital_Mensual!M132</f>
        <v/>
      </c>
      <c r="Z132" s="29">
        <f>Saldos_Intereses_Mensual!M132</f>
        <v/>
      </c>
      <c r="AA132" s="29">
        <f>ROUND(Y132 + Z132, 2)</f>
        <v/>
      </c>
      <c r="AB132" s="29">
        <f>Saldo_Residual_Activo!M132</f>
        <v/>
      </c>
      <c r="AC132" s="29">
        <f>ROUND(AA132 + AB132, 2)</f>
        <v/>
      </c>
      <c r="AD132" s="29">
        <f>Saldos_Capital_Mensual!N132</f>
        <v/>
      </c>
      <c r="AE132" s="29">
        <f>Saldos_Intereses_Mensual!N132</f>
        <v/>
      </c>
      <c r="AF132" s="29">
        <f>ROUND(AD132 + AE132, 2)</f>
        <v/>
      </c>
      <c r="AG132" s="29">
        <f>Saldo_Residual_Activo!N132</f>
        <v/>
      </c>
      <c r="AH132" s="29">
        <f>ROUND(AF132 + AG132, 2)</f>
        <v/>
      </c>
      <c r="AI132" s="29">
        <f>Saldos_Capital_Mensual!O132</f>
        <v/>
      </c>
      <c r="AJ132" s="29">
        <f>Saldos_Intereses_Mensual!O132</f>
        <v/>
      </c>
      <c r="AK132" s="29">
        <f>ROUND(AI132 + AJ132, 2)</f>
        <v/>
      </c>
      <c r="AL132" s="29">
        <f>Saldo_Residual_Activo!O132</f>
        <v/>
      </c>
      <c r="AM132" s="29">
        <f>ROUND(AK132 + AL132, 2)</f>
        <v/>
      </c>
      <c r="AN132" s="29">
        <f>Saldos_Capital_Mensual!P132</f>
        <v/>
      </c>
      <c r="AO132" s="29">
        <f>Saldos_Intereses_Mensual!P132</f>
        <v/>
      </c>
      <c r="AP132" s="29">
        <f>ROUND(AN132 + AO132, 2)</f>
        <v/>
      </c>
      <c r="AQ132" s="29">
        <f>Saldo_Residual_Activo!P132</f>
        <v/>
      </c>
      <c r="AR132" s="29">
        <f>ROUND(AP132 + AQ132, 2)</f>
        <v/>
      </c>
      <c r="AS132" s="29">
        <f>Saldos_Capital_Mensual!Q132</f>
        <v/>
      </c>
      <c r="AT132" s="29">
        <f>Saldos_Intereses_Mensual!Q132</f>
        <v/>
      </c>
      <c r="AU132" s="29">
        <f>ROUND(AS132 + AT132, 2)</f>
        <v/>
      </c>
      <c r="AV132" s="29">
        <f>Saldo_Residual_Activo!Q132</f>
        <v/>
      </c>
      <c r="AW132" s="29">
        <f>ROUND(AU132 + AV132, 2)</f>
        <v/>
      </c>
      <c r="AX132" s="29">
        <f>Saldos_Capital_Mensual!R132</f>
        <v/>
      </c>
      <c r="AY132" s="29">
        <f>Saldos_Intereses_Mensual!R132</f>
        <v/>
      </c>
      <c r="AZ132" s="29">
        <f>ROUND(AX132 + AY132, 2)</f>
        <v/>
      </c>
      <c r="BA132" s="29">
        <f>Saldo_Residual_Activo!R132</f>
        <v/>
      </c>
      <c r="BB132" s="29">
        <f>ROUND(AZ132 + BA132, 2)</f>
        <v/>
      </c>
      <c r="BC132" s="29">
        <f>Saldos_Capital_Mensual!S132</f>
        <v/>
      </c>
      <c r="BD132" s="29">
        <f>Saldos_Intereses_Mensual!S132</f>
        <v/>
      </c>
      <c r="BE132" s="29">
        <f>ROUND(BC132 + BD132, 2)</f>
        <v/>
      </c>
      <c r="BF132" s="29">
        <f>Saldo_Residual_Activo!S132</f>
        <v/>
      </c>
      <c r="BG132" s="29">
        <f>ROUND(BE132 + BF132, 2)</f>
        <v/>
      </c>
      <c r="BH132" s="29">
        <f>Saldos_Capital_Mensual!T132</f>
        <v/>
      </c>
      <c r="BI132" s="29">
        <f>Saldos_Intereses_Mensual!T132</f>
        <v/>
      </c>
      <c r="BJ132" s="29">
        <f>ROUND(BH132 + BI132, 2)</f>
        <v/>
      </c>
      <c r="BK132" s="29">
        <f>Saldo_Residual_Activo!T132</f>
        <v/>
      </c>
      <c r="BL132" s="29">
        <f>ROUND(BJ132 + BK132, 2)</f>
        <v/>
      </c>
    </row>
    <row r="133">
      <c r="A133" s="20" t="inlineStr">
        <is>
          <t>0662-0001</t>
        </is>
      </c>
      <c r="B133" s="21" t="inlineStr">
        <is>
          <t>Luis Jorge de Loera Perez</t>
        </is>
      </c>
      <c r="C133" s="21" t="inlineStr">
        <is>
          <t>L200 GLX Diesel</t>
        </is>
      </c>
      <c r="D133" s="22" t="n">
        <v>48</v>
      </c>
      <c r="E133" s="23">
        <f>Saldos_Capital_Mensual!I133</f>
        <v/>
      </c>
      <c r="F133" s="23">
        <f>Saldos_Intereses_Mensual!I133</f>
        <v/>
      </c>
      <c r="G133" s="23">
        <f>ROUND(E133 + F133, 2)</f>
        <v/>
      </c>
      <c r="H133" s="23">
        <f>Saldo_Residual_Activo!I133</f>
        <v/>
      </c>
      <c r="I133" s="23">
        <f>ROUND(G133 + H133, 2)</f>
        <v/>
      </c>
      <c r="J133" s="23">
        <f>Saldos_Capital_Mensual!J133</f>
        <v/>
      </c>
      <c r="K133" s="23">
        <f>Saldos_Intereses_Mensual!J133</f>
        <v/>
      </c>
      <c r="L133" s="23">
        <f>ROUND(J133 + K133, 2)</f>
        <v/>
      </c>
      <c r="M133" s="23">
        <f>Saldo_Residual_Activo!J133</f>
        <v/>
      </c>
      <c r="N133" s="23">
        <f>ROUND(L133 + M133, 2)</f>
        <v/>
      </c>
      <c r="O133" s="23">
        <f>Saldos_Capital_Mensual!K133</f>
        <v/>
      </c>
      <c r="P133" s="23">
        <f>Saldos_Intereses_Mensual!K133</f>
        <v/>
      </c>
      <c r="Q133" s="23">
        <f>ROUND(O133 + P133, 2)</f>
        <v/>
      </c>
      <c r="R133" s="23">
        <f>Saldo_Residual_Activo!K133</f>
        <v/>
      </c>
      <c r="S133" s="23">
        <f>ROUND(Q133 + R133, 2)</f>
        <v/>
      </c>
      <c r="T133" s="23">
        <f>Saldos_Capital_Mensual!L133</f>
        <v/>
      </c>
      <c r="U133" s="23">
        <f>Saldos_Intereses_Mensual!L133</f>
        <v/>
      </c>
      <c r="V133" s="23">
        <f>ROUND(T133 + U133, 2)</f>
        <v/>
      </c>
      <c r="W133" s="23">
        <f>Saldo_Residual_Activo!L133</f>
        <v/>
      </c>
      <c r="X133" s="23">
        <f>ROUND(V133 + W133, 2)</f>
        <v/>
      </c>
      <c r="Y133" s="23">
        <f>Saldos_Capital_Mensual!M133</f>
        <v/>
      </c>
      <c r="Z133" s="23">
        <f>Saldos_Intereses_Mensual!M133</f>
        <v/>
      </c>
      <c r="AA133" s="23">
        <f>ROUND(Y133 + Z133, 2)</f>
        <v/>
      </c>
      <c r="AB133" s="23">
        <f>Saldo_Residual_Activo!M133</f>
        <v/>
      </c>
      <c r="AC133" s="23">
        <f>ROUND(AA133 + AB133, 2)</f>
        <v/>
      </c>
      <c r="AD133" s="23">
        <f>Saldos_Capital_Mensual!N133</f>
        <v/>
      </c>
      <c r="AE133" s="23">
        <f>Saldos_Intereses_Mensual!N133</f>
        <v/>
      </c>
      <c r="AF133" s="23">
        <f>ROUND(AD133 + AE133, 2)</f>
        <v/>
      </c>
      <c r="AG133" s="23">
        <f>Saldo_Residual_Activo!N133</f>
        <v/>
      </c>
      <c r="AH133" s="23">
        <f>ROUND(AF133 + AG133, 2)</f>
        <v/>
      </c>
      <c r="AI133" s="23">
        <f>Saldos_Capital_Mensual!O133</f>
        <v/>
      </c>
      <c r="AJ133" s="23">
        <f>Saldos_Intereses_Mensual!O133</f>
        <v/>
      </c>
      <c r="AK133" s="23">
        <f>ROUND(AI133 + AJ133, 2)</f>
        <v/>
      </c>
      <c r="AL133" s="23">
        <f>Saldo_Residual_Activo!O133</f>
        <v/>
      </c>
      <c r="AM133" s="23">
        <f>ROUND(AK133 + AL133, 2)</f>
        <v/>
      </c>
      <c r="AN133" s="23">
        <f>Saldos_Capital_Mensual!P133</f>
        <v/>
      </c>
      <c r="AO133" s="23">
        <f>Saldos_Intereses_Mensual!P133</f>
        <v/>
      </c>
      <c r="AP133" s="23">
        <f>ROUND(AN133 + AO133, 2)</f>
        <v/>
      </c>
      <c r="AQ133" s="23">
        <f>Saldo_Residual_Activo!P133</f>
        <v/>
      </c>
      <c r="AR133" s="23">
        <f>ROUND(AP133 + AQ133, 2)</f>
        <v/>
      </c>
      <c r="AS133" s="23">
        <f>Saldos_Capital_Mensual!Q133</f>
        <v/>
      </c>
      <c r="AT133" s="23">
        <f>Saldos_Intereses_Mensual!Q133</f>
        <v/>
      </c>
      <c r="AU133" s="23">
        <f>ROUND(AS133 + AT133, 2)</f>
        <v/>
      </c>
      <c r="AV133" s="23">
        <f>Saldo_Residual_Activo!Q133</f>
        <v/>
      </c>
      <c r="AW133" s="23">
        <f>ROUND(AU133 + AV133, 2)</f>
        <v/>
      </c>
      <c r="AX133" s="23">
        <f>Saldos_Capital_Mensual!R133</f>
        <v/>
      </c>
      <c r="AY133" s="23">
        <f>Saldos_Intereses_Mensual!R133</f>
        <v/>
      </c>
      <c r="AZ133" s="23">
        <f>ROUND(AX133 + AY133, 2)</f>
        <v/>
      </c>
      <c r="BA133" s="23">
        <f>Saldo_Residual_Activo!R133</f>
        <v/>
      </c>
      <c r="BB133" s="23">
        <f>ROUND(AZ133 + BA133, 2)</f>
        <v/>
      </c>
      <c r="BC133" s="23">
        <f>Saldos_Capital_Mensual!S133</f>
        <v/>
      </c>
      <c r="BD133" s="23">
        <f>Saldos_Intereses_Mensual!S133</f>
        <v/>
      </c>
      <c r="BE133" s="23">
        <f>ROUND(BC133 + BD133, 2)</f>
        <v/>
      </c>
      <c r="BF133" s="23">
        <f>Saldo_Residual_Activo!S133</f>
        <v/>
      </c>
      <c r="BG133" s="23">
        <f>ROUND(BE133 + BF133, 2)</f>
        <v/>
      </c>
      <c r="BH133" s="23">
        <f>Saldos_Capital_Mensual!T133</f>
        <v/>
      </c>
      <c r="BI133" s="23">
        <f>Saldos_Intereses_Mensual!T133</f>
        <v/>
      </c>
      <c r="BJ133" s="23">
        <f>ROUND(BH133 + BI133, 2)</f>
        <v/>
      </c>
      <c r="BK133" s="23">
        <f>Saldo_Residual_Activo!T133</f>
        <v/>
      </c>
      <c r="BL133" s="23">
        <f>ROUND(BJ133 + BK133, 2)</f>
        <v/>
      </c>
    </row>
    <row r="134">
      <c r="A134" s="26" t="inlineStr">
        <is>
          <t>0662-0002</t>
        </is>
      </c>
      <c r="B134" s="27" t="inlineStr">
        <is>
          <t>Luis Jorge De Loera Perez</t>
        </is>
      </c>
      <c r="C134" s="27" t="inlineStr">
        <is>
          <t>NP 300</t>
        </is>
      </c>
      <c r="D134" s="28" t="n">
        <v>48</v>
      </c>
      <c r="E134" s="29">
        <f>Saldos_Capital_Mensual!I134</f>
        <v/>
      </c>
      <c r="F134" s="29">
        <f>Saldos_Intereses_Mensual!I134</f>
        <v/>
      </c>
      <c r="G134" s="29">
        <f>ROUND(E134 + F134, 2)</f>
        <v/>
      </c>
      <c r="H134" s="29">
        <f>Saldo_Residual_Activo!I134</f>
        <v/>
      </c>
      <c r="I134" s="29">
        <f>ROUND(G134 + H134, 2)</f>
        <v/>
      </c>
      <c r="J134" s="29">
        <f>Saldos_Capital_Mensual!J134</f>
        <v/>
      </c>
      <c r="K134" s="29">
        <f>Saldos_Intereses_Mensual!J134</f>
        <v/>
      </c>
      <c r="L134" s="29">
        <f>ROUND(J134 + K134, 2)</f>
        <v/>
      </c>
      <c r="M134" s="29">
        <f>Saldo_Residual_Activo!J134</f>
        <v/>
      </c>
      <c r="N134" s="29">
        <f>ROUND(L134 + M134, 2)</f>
        <v/>
      </c>
      <c r="O134" s="29">
        <f>Saldos_Capital_Mensual!K134</f>
        <v/>
      </c>
      <c r="P134" s="29">
        <f>Saldos_Intereses_Mensual!K134</f>
        <v/>
      </c>
      <c r="Q134" s="29">
        <f>ROUND(O134 + P134, 2)</f>
        <v/>
      </c>
      <c r="R134" s="29">
        <f>Saldo_Residual_Activo!K134</f>
        <v/>
      </c>
      <c r="S134" s="29">
        <f>ROUND(Q134 + R134, 2)</f>
        <v/>
      </c>
      <c r="T134" s="29">
        <f>Saldos_Capital_Mensual!L134</f>
        <v/>
      </c>
      <c r="U134" s="29">
        <f>Saldos_Intereses_Mensual!L134</f>
        <v/>
      </c>
      <c r="V134" s="29">
        <f>ROUND(T134 + U134, 2)</f>
        <v/>
      </c>
      <c r="W134" s="29">
        <f>Saldo_Residual_Activo!L134</f>
        <v/>
      </c>
      <c r="X134" s="29">
        <f>ROUND(V134 + W134, 2)</f>
        <v/>
      </c>
      <c r="Y134" s="29">
        <f>Saldos_Capital_Mensual!M134</f>
        <v/>
      </c>
      <c r="Z134" s="29">
        <f>Saldos_Intereses_Mensual!M134</f>
        <v/>
      </c>
      <c r="AA134" s="29">
        <f>ROUND(Y134 + Z134, 2)</f>
        <v/>
      </c>
      <c r="AB134" s="29">
        <f>Saldo_Residual_Activo!M134</f>
        <v/>
      </c>
      <c r="AC134" s="29">
        <f>ROUND(AA134 + AB134, 2)</f>
        <v/>
      </c>
      <c r="AD134" s="29">
        <f>Saldos_Capital_Mensual!N134</f>
        <v/>
      </c>
      <c r="AE134" s="29">
        <f>Saldos_Intereses_Mensual!N134</f>
        <v/>
      </c>
      <c r="AF134" s="29">
        <f>ROUND(AD134 + AE134, 2)</f>
        <v/>
      </c>
      <c r="AG134" s="29">
        <f>Saldo_Residual_Activo!N134</f>
        <v/>
      </c>
      <c r="AH134" s="29">
        <f>ROUND(AF134 + AG134, 2)</f>
        <v/>
      </c>
      <c r="AI134" s="29">
        <f>Saldos_Capital_Mensual!O134</f>
        <v/>
      </c>
      <c r="AJ134" s="29">
        <f>Saldos_Intereses_Mensual!O134</f>
        <v/>
      </c>
      <c r="AK134" s="29">
        <f>ROUND(AI134 + AJ134, 2)</f>
        <v/>
      </c>
      <c r="AL134" s="29">
        <f>Saldo_Residual_Activo!O134</f>
        <v/>
      </c>
      <c r="AM134" s="29">
        <f>ROUND(AK134 + AL134, 2)</f>
        <v/>
      </c>
      <c r="AN134" s="29">
        <f>Saldos_Capital_Mensual!P134</f>
        <v/>
      </c>
      <c r="AO134" s="29">
        <f>Saldos_Intereses_Mensual!P134</f>
        <v/>
      </c>
      <c r="AP134" s="29">
        <f>ROUND(AN134 + AO134, 2)</f>
        <v/>
      </c>
      <c r="AQ134" s="29">
        <f>Saldo_Residual_Activo!P134</f>
        <v/>
      </c>
      <c r="AR134" s="29">
        <f>ROUND(AP134 + AQ134, 2)</f>
        <v/>
      </c>
      <c r="AS134" s="29">
        <f>Saldos_Capital_Mensual!Q134</f>
        <v/>
      </c>
      <c r="AT134" s="29">
        <f>Saldos_Intereses_Mensual!Q134</f>
        <v/>
      </c>
      <c r="AU134" s="29">
        <f>ROUND(AS134 + AT134, 2)</f>
        <v/>
      </c>
      <c r="AV134" s="29">
        <f>Saldo_Residual_Activo!Q134</f>
        <v/>
      </c>
      <c r="AW134" s="29">
        <f>ROUND(AU134 + AV134, 2)</f>
        <v/>
      </c>
      <c r="AX134" s="29">
        <f>Saldos_Capital_Mensual!R134</f>
        <v/>
      </c>
      <c r="AY134" s="29">
        <f>Saldos_Intereses_Mensual!R134</f>
        <v/>
      </c>
      <c r="AZ134" s="29">
        <f>ROUND(AX134 + AY134, 2)</f>
        <v/>
      </c>
      <c r="BA134" s="29">
        <f>Saldo_Residual_Activo!R134</f>
        <v/>
      </c>
      <c r="BB134" s="29">
        <f>ROUND(AZ134 + BA134, 2)</f>
        <v/>
      </c>
      <c r="BC134" s="29">
        <f>Saldos_Capital_Mensual!S134</f>
        <v/>
      </c>
      <c r="BD134" s="29">
        <f>Saldos_Intereses_Mensual!S134</f>
        <v/>
      </c>
      <c r="BE134" s="29">
        <f>ROUND(BC134 + BD134, 2)</f>
        <v/>
      </c>
      <c r="BF134" s="29">
        <f>Saldo_Residual_Activo!S134</f>
        <v/>
      </c>
      <c r="BG134" s="29">
        <f>ROUND(BE134 + BF134, 2)</f>
        <v/>
      </c>
      <c r="BH134" s="29">
        <f>Saldos_Capital_Mensual!T134</f>
        <v/>
      </c>
      <c r="BI134" s="29">
        <f>Saldos_Intereses_Mensual!T134</f>
        <v/>
      </c>
      <c r="BJ134" s="29">
        <f>ROUND(BH134 + BI134, 2)</f>
        <v/>
      </c>
      <c r="BK134" s="29">
        <f>Saldo_Residual_Activo!T134</f>
        <v/>
      </c>
      <c r="BL134" s="29">
        <f>ROUND(BJ134 + BK134, 2)</f>
        <v/>
      </c>
    </row>
    <row r="135">
      <c r="A135" s="20" t="inlineStr">
        <is>
          <t>0662-0003</t>
        </is>
      </c>
      <c r="B135" s="21" t="inlineStr">
        <is>
          <t>Luis Jorge De Loera Perez</t>
        </is>
      </c>
      <c r="C135" s="21" t="inlineStr">
        <is>
          <t>Rav 4</t>
        </is>
      </c>
      <c r="D135" s="22" t="n">
        <v>48</v>
      </c>
      <c r="E135" s="23">
        <f>Saldos_Capital_Mensual!I135</f>
        <v/>
      </c>
      <c r="F135" s="23">
        <f>Saldos_Intereses_Mensual!I135</f>
        <v/>
      </c>
      <c r="G135" s="23">
        <f>ROUND(E135 + F135, 2)</f>
        <v/>
      </c>
      <c r="H135" s="23">
        <f>Saldo_Residual_Activo!I135</f>
        <v/>
      </c>
      <c r="I135" s="23">
        <f>ROUND(G135 + H135, 2)</f>
        <v/>
      </c>
      <c r="J135" s="23">
        <f>Saldos_Capital_Mensual!J135</f>
        <v/>
      </c>
      <c r="K135" s="23">
        <f>Saldos_Intereses_Mensual!J135</f>
        <v/>
      </c>
      <c r="L135" s="23">
        <f>ROUND(J135 + K135, 2)</f>
        <v/>
      </c>
      <c r="M135" s="23">
        <f>Saldo_Residual_Activo!J135</f>
        <v/>
      </c>
      <c r="N135" s="23">
        <f>ROUND(L135 + M135, 2)</f>
        <v/>
      </c>
      <c r="O135" s="23">
        <f>Saldos_Capital_Mensual!K135</f>
        <v/>
      </c>
      <c r="P135" s="23">
        <f>Saldos_Intereses_Mensual!K135</f>
        <v/>
      </c>
      <c r="Q135" s="23">
        <f>ROUND(O135 + P135, 2)</f>
        <v/>
      </c>
      <c r="R135" s="23">
        <f>Saldo_Residual_Activo!K135</f>
        <v/>
      </c>
      <c r="S135" s="23">
        <f>ROUND(Q135 + R135, 2)</f>
        <v/>
      </c>
      <c r="T135" s="23">
        <f>Saldos_Capital_Mensual!L135</f>
        <v/>
      </c>
      <c r="U135" s="23">
        <f>Saldos_Intereses_Mensual!L135</f>
        <v/>
      </c>
      <c r="V135" s="23">
        <f>ROUND(T135 + U135, 2)</f>
        <v/>
      </c>
      <c r="W135" s="23">
        <f>Saldo_Residual_Activo!L135</f>
        <v/>
      </c>
      <c r="X135" s="23">
        <f>ROUND(V135 + W135, 2)</f>
        <v/>
      </c>
      <c r="Y135" s="23">
        <f>Saldos_Capital_Mensual!M135</f>
        <v/>
      </c>
      <c r="Z135" s="23">
        <f>Saldos_Intereses_Mensual!M135</f>
        <v/>
      </c>
      <c r="AA135" s="23">
        <f>ROUND(Y135 + Z135, 2)</f>
        <v/>
      </c>
      <c r="AB135" s="23">
        <f>Saldo_Residual_Activo!M135</f>
        <v/>
      </c>
      <c r="AC135" s="23">
        <f>ROUND(AA135 + AB135, 2)</f>
        <v/>
      </c>
      <c r="AD135" s="23">
        <f>Saldos_Capital_Mensual!N135</f>
        <v/>
      </c>
      <c r="AE135" s="23">
        <f>Saldos_Intereses_Mensual!N135</f>
        <v/>
      </c>
      <c r="AF135" s="23">
        <f>ROUND(AD135 + AE135, 2)</f>
        <v/>
      </c>
      <c r="AG135" s="23">
        <f>Saldo_Residual_Activo!N135</f>
        <v/>
      </c>
      <c r="AH135" s="23">
        <f>ROUND(AF135 + AG135, 2)</f>
        <v/>
      </c>
      <c r="AI135" s="23">
        <f>Saldos_Capital_Mensual!O135</f>
        <v/>
      </c>
      <c r="AJ135" s="23">
        <f>Saldos_Intereses_Mensual!O135</f>
        <v/>
      </c>
      <c r="AK135" s="23">
        <f>ROUND(AI135 + AJ135, 2)</f>
        <v/>
      </c>
      <c r="AL135" s="23">
        <f>Saldo_Residual_Activo!O135</f>
        <v/>
      </c>
      <c r="AM135" s="23">
        <f>ROUND(AK135 + AL135, 2)</f>
        <v/>
      </c>
      <c r="AN135" s="23">
        <f>Saldos_Capital_Mensual!P135</f>
        <v/>
      </c>
      <c r="AO135" s="23">
        <f>Saldos_Intereses_Mensual!P135</f>
        <v/>
      </c>
      <c r="AP135" s="23">
        <f>ROUND(AN135 + AO135, 2)</f>
        <v/>
      </c>
      <c r="AQ135" s="23">
        <f>Saldo_Residual_Activo!P135</f>
        <v/>
      </c>
      <c r="AR135" s="23">
        <f>ROUND(AP135 + AQ135, 2)</f>
        <v/>
      </c>
      <c r="AS135" s="23">
        <f>Saldos_Capital_Mensual!Q135</f>
        <v/>
      </c>
      <c r="AT135" s="23">
        <f>Saldos_Intereses_Mensual!Q135</f>
        <v/>
      </c>
      <c r="AU135" s="23">
        <f>ROUND(AS135 + AT135, 2)</f>
        <v/>
      </c>
      <c r="AV135" s="23">
        <f>Saldo_Residual_Activo!Q135</f>
        <v/>
      </c>
      <c r="AW135" s="23">
        <f>ROUND(AU135 + AV135, 2)</f>
        <v/>
      </c>
      <c r="AX135" s="23">
        <f>Saldos_Capital_Mensual!R135</f>
        <v/>
      </c>
      <c r="AY135" s="23">
        <f>Saldos_Intereses_Mensual!R135</f>
        <v/>
      </c>
      <c r="AZ135" s="23">
        <f>ROUND(AX135 + AY135, 2)</f>
        <v/>
      </c>
      <c r="BA135" s="23">
        <f>Saldo_Residual_Activo!R135</f>
        <v/>
      </c>
      <c r="BB135" s="23">
        <f>ROUND(AZ135 + BA135, 2)</f>
        <v/>
      </c>
      <c r="BC135" s="23">
        <f>Saldos_Capital_Mensual!S135</f>
        <v/>
      </c>
      <c r="BD135" s="23">
        <f>Saldos_Intereses_Mensual!S135</f>
        <v/>
      </c>
      <c r="BE135" s="23">
        <f>ROUND(BC135 + BD135, 2)</f>
        <v/>
      </c>
      <c r="BF135" s="23">
        <f>Saldo_Residual_Activo!S135</f>
        <v/>
      </c>
      <c r="BG135" s="23">
        <f>ROUND(BE135 + BF135, 2)</f>
        <v/>
      </c>
      <c r="BH135" s="23">
        <f>Saldos_Capital_Mensual!T135</f>
        <v/>
      </c>
      <c r="BI135" s="23">
        <f>Saldos_Intereses_Mensual!T135</f>
        <v/>
      </c>
      <c r="BJ135" s="23">
        <f>ROUND(BH135 + BI135, 2)</f>
        <v/>
      </c>
      <c r="BK135" s="23">
        <f>Saldo_Residual_Activo!T135</f>
        <v/>
      </c>
      <c r="BL135" s="23">
        <f>ROUND(BJ135 + BK135, 2)</f>
        <v/>
      </c>
    </row>
    <row r="136">
      <c r="A136" s="26" t="inlineStr">
        <is>
          <t>0663-0001</t>
        </is>
      </c>
      <c r="B136" s="27" t="inlineStr">
        <is>
          <t>Soluciones de Transporte de Carga B de Sa de Cv</t>
        </is>
      </c>
      <c r="C136" s="27" t="inlineStr">
        <is>
          <t>L200 GLX Diesel</t>
        </is>
      </c>
      <c r="D136" s="28" t="n">
        <v>48</v>
      </c>
      <c r="E136" s="29">
        <f>Saldos_Capital_Mensual!I136</f>
        <v/>
      </c>
      <c r="F136" s="29">
        <f>Saldos_Intereses_Mensual!I136</f>
        <v/>
      </c>
      <c r="G136" s="29">
        <f>ROUND(E136 + F136, 2)</f>
        <v/>
      </c>
      <c r="H136" s="29">
        <f>Saldo_Residual_Activo!I136</f>
        <v/>
      </c>
      <c r="I136" s="29">
        <f>ROUND(G136 + H136, 2)</f>
        <v/>
      </c>
      <c r="J136" s="29">
        <f>Saldos_Capital_Mensual!J136</f>
        <v/>
      </c>
      <c r="K136" s="29">
        <f>Saldos_Intereses_Mensual!J136</f>
        <v/>
      </c>
      <c r="L136" s="29">
        <f>ROUND(J136 + K136, 2)</f>
        <v/>
      </c>
      <c r="M136" s="29">
        <f>Saldo_Residual_Activo!J136</f>
        <v/>
      </c>
      <c r="N136" s="29">
        <f>ROUND(L136 + M136, 2)</f>
        <v/>
      </c>
      <c r="O136" s="29">
        <f>Saldos_Capital_Mensual!K136</f>
        <v/>
      </c>
      <c r="P136" s="29">
        <f>Saldos_Intereses_Mensual!K136</f>
        <v/>
      </c>
      <c r="Q136" s="29">
        <f>ROUND(O136 + P136, 2)</f>
        <v/>
      </c>
      <c r="R136" s="29">
        <f>Saldo_Residual_Activo!K136</f>
        <v/>
      </c>
      <c r="S136" s="29">
        <f>ROUND(Q136 + R136, 2)</f>
        <v/>
      </c>
      <c r="T136" s="29">
        <f>Saldos_Capital_Mensual!L136</f>
        <v/>
      </c>
      <c r="U136" s="29">
        <f>Saldos_Intereses_Mensual!L136</f>
        <v/>
      </c>
      <c r="V136" s="29">
        <f>ROUND(T136 + U136, 2)</f>
        <v/>
      </c>
      <c r="W136" s="29">
        <f>Saldo_Residual_Activo!L136</f>
        <v/>
      </c>
      <c r="X136" s="29">
        <f>ROUND(V136 + W136, 2)</f>
        <v/>
      </c>
      <c r="Y136" s="29">
        <f>Saldos_Capital_Mensual!M136</f>
        <v/>
      </c>
      <c r="Z136" s="29">
        <f>Saldos_Intereses_Mensual!M136</f>
        <v/>
      </c>
      <c r="AA136" s="29">
        <f>ROUND(Y136 + Z136, 2)</f>
        <v/>
      </c>
      <c r="AB136" s="29">
        <f>Saldo_Residual_Activo!M136</f>
        <v/>
      </c>
      <c r="AC136" s="29">
        <f>ROUND(AA136 + AB136, 2)</f>
        <v/>
      </c>
      <c r="AD136" s="29">
        <f>Saldos_Capital_Mensual!N136</f>
        <v/>
      </c>
      <c r="AE136" s="29">
        <f>Saldos_Intereses_Mensual!N136</f>
        <v/>
      </c>
      <c r="AF136" s="29">
        <f>ROUND(AD136 + AE136, 2)</f>
        <v/>
      </c>
      <c r="AG136" s="29">
        <f>Saldo_Residual_Activo!N136</f>
        <v/>
      </c>
      <c r="AH136" s="29">
        <f>ROUND(AF136 + AG136, 2)</f>
        <v/>
      </c>
      <c r="AI136" s="29">
        <f>Saldos_Capital_Mensual!O136</f>
        <v/>
      </c>
      <c r="AJ136" s="29">
        <f>Saldos_Intereses_Mensual!O136</f>
        <v/>
      </c>
      <c r="AK136" s="29">
        <f>ROUND(AI136 + AJ136, 2)</f>
        <v/>
      </c>
      <c r="AL136" s="29">
        <f>Saldo_Residual_Activo!O136</f>
        <v/>
      </c>
      <c r="AM136" s="29">
        <f>ROUND(AK136 + AL136, 2)</f>
        <v/>
      </c>
      <c r="AN136" s="29">
        <f>Saldos_Capital_Mensual!P136</f>
        <v/>
      </c>
      <c r="AO136" s="29">
        <f>Saldos_Intereses_Mensual!P136</f>
        <v/>
      </c>
      <c r="AP136" s="29">
        <f>ROUND(AN136 + AO136, 2)</f>
        <v/>
      </c>
      <c r="AQ136" s="29">
        <f>Saldo_Residual_Activo!P136</f>
        <v/>
      </c>
      <c r="AR136" s="29">
        <f>ROUND(AP136 + AQ136, 2)</f>
        <v/>
      </c>
      <c r="AS136" s="29">
        <f>Saldos_Capital_Mensual!Q136</f>
        <v/>
      </c>
      <c r="AT136" s="29">
        <f>Saldos_Intereses_Mensual!Q136</f>
        <v/>
      </c>
      <c r="AU136" s="29">
        <f>ROUND(AS136 + AT136, 2)</f>
        <v/>
      </c>
      <c r="AV136" s="29">
        <f>Saldo_Residual_Activo!Q136</f>
        <v/>
      </c>
      <c r="AW136" s="29">
        <f>ROUND(AU136 + AV136, 2)</f>
        <v/>
      </c>
      <c r="AX136" s="29">
        <f>Saldos_Capital_Mensual!R136</f>
        <v/>
      </c>
      <c r="AY136" s="29">
        <f>Saldos_Intereses_Mensual!R136</f>
        <v/>
      </c>
      <c r="AZ136" s="29">
        <f>ROUND(AX136 + AY136, 2)</f>
        <v/>
      </c>
      <c r="BA136" s="29">
        <f>Saldo_Residual_Activo!R136</f>
        <v/>
      </c>
      <c r="BB136" s="29">
        <f>ROUND(AZ136 + BA136, 2)</f>
        <v/>
      </c>
      <c r="BC136" s="29">
        <f>Saldos_Capital_Mensual!S136</f>
        <v/>
      </c>
      <c r="BD136" s="29">
        <f>Saldos_Intereses_Mensual!S136</f>
        <v/>
      </c>
      <c r="BE136" s="29">
        <f>ROUND(BC136 + BD136, 2)</f>
        <v/>
      </c>
      <c r="BF136" s="29">
        <f>Saldo_Residual_Activo!S136</f>
        <v/>
      </c>
      <c r="BG136" s="29">
        <f>ROUND(BE136 + BF136, 2)</f>
        <v/>
      </c>
      <c r="BH136" s="29">
        <f>Saldos_Capital_Mensual!T136</f>
        <v/>
      </c>
      <c r="BI136" s="29">
        <f>Saldos_Intereses_Mensual!T136</f>
        <v/>
      </c>
      <c r="BJ136" s="29">
        <f>ROUND(BH136 + BI136, 2)</f>
        <v/>
      </c>
      <c r="BK136" s="29">
        <f>Saldo_Residual_Activo!T136</f>
        <v/>
      </c>
      <c r="BL136" s="29">
        <f>ROUND(BJ136 + BK136, 2)</f>
        <v/>
      </c>
    </row>
    <row r="137">
      <c r="A137" s="20" t="inlineStr">
        <is>
          <t>0663-0002</t>
        </is>
      </c>
      <c r="B137" s="21" t="inlineStr">
        <is>
          <t>Diego Hazael Morales Iñiguez</t>
        </is>
      </c>
      <c r="C137" s="21" t="inlineStr">
        <is>
          <t>Wrangler Rubicon</t>
        </is>
      </c>
      <c r="D137" s="22" t="n">
        <v>48</v>
      </c>
      <c r="E137" s="23">
        <f>Saldos_Capital_Mensual!I137</f>
        <v/>
      </c>
      <c r="F137" s="23">
        <f>Saldos_Intereses_Mensual!I137</f>
        <v/>
      </c>
      <c r="G137" s="23">
        <f>ROUND(E137 + F137, 2)</f>
        <v/>
      </c>
      <c r="H137" s="23">
        <f>Saldo_Residual_Activo!I137</f>
        <v/>
      </c>
      <c r="I137" s="23">
        <f>ROUND(G137 + H137, 2)</f>
        <v/>
      </c>
      <c r="J137" s="23">
        <f>Saldos_Capital_Mensual!J137</f>
        <v/>
      </c>
      <c r="K137" s="23">
        <f>Saldos_Intereses_Mensual!J137</f>
        <v/>
      </c>
      <c r="L137" s="23">
        <f>ROUND(J137 + K137, 2)</f>
        <v/>
      </c>
      <c r="M137" s="23">
        <f>Saldo_Residual_Activo!J137</f>
        <v/>
      </c>
      <c r="N137" s="23">
        <f>ROUND(L137 + M137, 2)</f>
        <v/>
      </c>
      <c r="O137" s="23">
        <f>Saldos_Capital_Mensual!K137</f>
        <v/>
      </c>
      <c r="P137" s="23">
        <f>Saldos_Intereses_Mensual!K137</f>
        <v/>
      </c>
      <c r="Q137" s="23">
        <f>ROUND(O137 + P137, 2)</f>
        <v/>
      </c>
      <c r="R137" s="23">
        <f>Saldo_Residual_Activo!K137</f>
        <v/>
      </c>
      <c r="S137" s="23">
        <f>ROUND(Q137 + R137, 2)</f>
        <v/>
      </c>
      <c r="T137" s="23">
        <f>Saldos_Capital_Mensual!L137</f>
        <v/>
      </c>
      <c r="U137" s="23">
        <f>Saldos_Intereses_Mensual!L137</f>
        <v/>
      </c>
      <c r="V137" s="23">
        <f>ROUND(T137 + U137, 2)</f>
        <v/>
      </c>
      <c r="W137" s="23">
        <f>Saldo_Residual_Activo!L137</f>
        <v/>
      </c>
      <c r="X137" s="23">
        <f>ROUND(V137 + W137, 2)</f>
        <v/>
      </c>
      <c r="Y137" s="23">
        <f>Saldos_Capital_Mensual!M137</f>
        <v/>
      </c>
      <c r="Z137" s="23">
        <f>Saldos_Intereses_Mensual!M137</f>
        <v/>
      </c>
      <c r="AA137" s="23">
        <f>ROUND(Y137 + Z137, 2)</f>
        <v/>
      </c>
      <c r="AB137" s="23">
        <f>Saldo_Residual_Activo!M137</f>
        <v/>
      </c>
      <c r="AC137" s="23">
        <f>ROUND(AA137 + AB137, 2)</f>
        <v/>
      </c>
      <c r="AD137" s="23">
        <f>Saldos_Capital_Mensual!N137</f>
        <v/>
      </c>
      <c r="AE137" s="23">
        <f>Saldos_Intereses_Mensual!N137</f>
        <v/>
      </c>
      <c r="AF137" s="23">
        <f>ROUND(AD137 + AE137, 2)</f>
        <v/>
      </c>
      <c r="AG137" s="23">
        <f>Saldo_Residual_Activo!N137</f>
        <v/>
      </c>
      <c r="AH137" s="23">
        <f>ROUND(AF137 + AG137, 2)</f>
        <v/>
      </c>
      <c r="AI137" s="23">
        <f>Saldos_Capital_Mensual!O137</f>
        <v/>
      </c>
      <c r="AJ137" s="23">
        <f>Saldos_Intereses_Mensual!O137</f>
        <v/>
      </c>
      <c r="AK137" s="23">
        <f>ROUND(AI137 + AJ137, 2)</f>
        <v/>
      </c>
      <c r="AL137" s="23">
        <f>Saldo_Residual_Activo!O137</f>
        <v/>
      </c>
      <c r="AM137" s="23">
        <f>ROUND(AK137 + AL137, 2)</f>
        <v/>
      </c>
      <c r="AN137" s="23">
        <f>Saldos_Capital_Mensual!P137</f>
        <v/>
      </c>
      <c r="AO137" s="23">
        <f>Saldos_Intereses_Mensual!P137</f>
        <v/>
      </c>
      <c r="AP137" s="23">
        <f>ROUND(AN137 + AO137, 2)</f>
        <v/>
      </c>
      <c r="AQ137" s="23">
        <f>Saldo_Residual_Activo!P137</f>
        <v/>
      </c>
      <c r="AR137" s="23">
        <f>ROUND(AP137 + AQ137, 2)</f>
        <v/>
      </c>
      <c r="AS137" s="23">
        <f>Saldos_Capital_Mensual!Q137</f>
        <v/>
      </c>
      <c r="AT137" s="23">
        <f>Saldos_Intereses_Mensual!Q137</f>
        <v/>
      </c>
      <c r="AU137" s="23">
        <f>ROUND(AS137 + AT137, 2)</f>
        <v/>
      </c>
      <c r="AV137" s="23">
        <f>Saldo_Residual_Activo!Q137</f>
        <v/>
      </c>
      <c r="AW137" s="23">
        <f>ROUND(AU137 + AV137, 2)</f>
        <v/>
      </c>
      <c r="AX137" s="23">
        <f>Saldos_Capital_Mensual!R137</f>
        <v/>
      </c>
      <c r="AY137" s="23">
        <f>Saldos_Intereses_Mensual!R137</f>
        <v/>
      </c>
      <c r="AZ137" s="23">
        <f>ROUND(AX137 + AY137, 2)</f>
        <v/>
      </c>
      <c r="BA137" s="23">
        <f>Saldo_Residual_Activo!R137</f>
        <v/>
      </c>
      <c r="BB137" s="23">
        <f>ROUND(AZ137 + BA137, 2)</f>
        <v/>
      </c>
      <c r="BC137" s="23">
        <f>Saldos_Capital_Mensual!S137</f>
        <v/>
      </c>
      <c r="BD137" s="23">
        <f>Saldos_Intereses_Mensual!S137</f>
        <v/>
      </c>
      <c r="BE137" s="23">
        <f>ROUND(BC137 + BD137, 2)</f>
        <v/>
      </c>
      <c r="BF137" s="23">
        <f>Saldo_Residual_Activo!S137</f>
        <v/>
      </c>
      <c r="BG137" s="23">
        <f>ROUND(BE137 + BF137, 2)</f>
        <v/>
      </c>
      <c r="BH137" s="23">
        <f>Saldos_Capital_Mensual!T137</f>
        <v/>
      </c>
      <c r="BI137" s="23">
        <f>Saldos_Intereses_Mensual!T137</f>
        <v/>
      </c>
      <c r="BJ137" s="23">
        <f>ROUND(BH137 + BI137, 2)</f>
        <v/>
      </c>
      <c r="BK137" s="23">
        <f>Saldo_Residual_Activo!T137</f>
        <v/>
      </c>
      <c r="BL137" s="23">
        <f>ROUND(BJ137 + BK137, 2)</f>
        <v/>
      </c>
    </row>
    <row r="138">
      <c r="A138" s="26" t="inlineStr">
        <is>
          <t>0665-0001</t>
        </is>
      </c>
      <c r="B138" s="27" t="inlineStr">
        <is>
          <t>Dulce Guadalupe Amezcua Gomez</t>
        </is>
      </c>
      <c r="C138" s="27" t="inlineStr">
        <is>
          <t>Wrangler Jt</t>
        </is>
      </c>
      <c r="D138" s="28" t="n">
        <v>48</v>
      </c>
      <c r="E138" s="29">
        <f>Saldos_Capital_Mensual!I138</f>
        <v/>
      </c>
      <c r="F138" s="29">
        <f>Saldos_Intereses_Mensual!I138</f>
        <v/>
      </c>
      <c r="G138" s="29">
        <f>ROUND(E138 + F138, 2)</f>
        <v/>
      </c>
      <c r="H138" s="29">
        <f>Saldo_Residual_Activo!I138</f>
        <v/>
      </c>
      <c r="I138" s="29">
        <f>ROUND(G138 + H138, 2)</f>
        <v/>
      </c>
      <c r="J138" s="29">
        <f>Saldos_Capital_Mensual!J138</f>
        <v/>
      </c>
      <c r="K138" s="29">
        <f>Saldos_Intereses_Mensual!J138</f>
        <v/>
      </c>
      <c r="L138" s="29">
        <f>ROUND(J138 + K138, 2)</f>
        <v/>
      </c>
      <c r="M138" s="29">
        <f>Saldo_Residual_Activo!J138</f>
        <v/>
      </c>
      <c r="N138" s="29">
        <f>ROUND(L138 + M138, 2)</f>
        <v/>
      </c>
      <c r="O138" s="29">
        <f>Saldos_Capital_Mensual!K138</f>
        <v/>
      </c>
      <c r="P138" s="29">
        <f>Saldos_Intereses_Mensual!K138</f>
        <v/>
      </c>
      <c r="Q138" s="29">
        <f>ROUND(O138 + P138, 2)</f>
        <v/>
      </c>
      <c r="R138" s="29">
        <f>Saldo_Residual_Activo!K138</f>
        <v/>
      </c>
      <c r="S138" s="29">
        <f>ROUND(Q138 + R138, 2)</f>
        <v/>
      </c>
      <c r="T138" s="29">
        <f>Saldos_Capital_Mensual!L138</f>
        <v/>
      </c>
      <c r="U138" s="29">
        <f>Saldos_Intereses_Mensual!L138</f>
        <v/>
      </c>
      <c r="V138" s="29">
        <f>ROUND(T138 + U138, 2)</f>
        <v/>
      </c>
      <c r="W138" s="29">
        <f>Saldo_Residual_Activo!L138</f>
        <v/>
      </c>
      <c r="X138" s="29">
        <f>ROUND(V138 + W138, 2)</f>
        <v/>
      </c>
      <c r="Y138" s="29">
        <f>Saldos_Capital_Mensual!M138</f>
        <v/>
      </c>
      <c r="Z138" s="29">
        <f>Saldos_Intereses_Mensual!M138</f>
        <v/>
      </c>
      <c r="AA138" s="29">
        <f>ROUND(Y138 + Z138, 2)</f>
        <v/>
      </c>
      <c r="AB138" s="29">
        <f>Saldo_Residual_Activo!M138</f>
        <v/>
      </c>
      <c r="AC138" s="29">
        <f>ROUND(AA138 + AB138, 2)</f>
        <v/>
      </c>
      <c r="AD138" s="29">
        <f>Saldos_Capital_Mensual!N138</f>
        <v/>
      </c>
      <c r="AE138" s="29">
        <f>Saldos_Intereses_Mensual!N138</f>
        <v/>
      </c>
      <c r="AF138" s="29">
        <f>ROUND(AD138 + AE138, 2)</f>
        <v/>
      </c>
      <c r="AG138" s="29">
        <f>Saldo_Residual_Activo!N138</f>
        <v/>
      </c>
      <c r="AH138" s="29">
        <f>ROUND(AF138 + AG138, 2)</f>
        <v/>
      </c>
      <c r="AI138" s="29">
        <f>Saldos_Capital_Mensual!O138</f>
        <v/>
      </c>
      <c r="AJ138" s="29">
        <f>Saldos_Intereses_Mensual!O138</f>
        <v/>
      </c>
      <c r="AK138" s="29">
        <f>ROUND(AI138 + AJ138, 2)</f>
        <v/>
      </c>
      <c r="AL138" s="29">
        <f>Saldo_Residual_Activo!O138</f>
        <v/>
      </c>
      <c r="AM138" s="29">
        <f>ROUND(AK138 + AL138, 2)</f>
        <v/>
      </c>
      <c r="AN138" s="29">
        <f>Saldos_Capital_Mensual!P138</f>
        <v/>
      </c>
      <c r="AO138" s="29">
        <f>Saldos_Intereses_Mensual!P138</f>
        <v/>
      </c>
      <c r="AP138" s="29">
        <f>ROUND(AN138 + AO138, 2)</f>
        <v/>
      </c>
      <c r="AQ138" s="29">
        <f>Saldo_Residual_Activo!P138</f>
        <v/>
      </c>
      <c r="AR138" s="29">
        <f>ROUND(AP138 + AQ138, 2)</f>
        <v/>
      </c>
      <c r="AS138" s="29">
        <f>Saldos_Capital_Mensual!Q138</f>
        <v/>
      </c>
      <c r="AT138" s="29">
        <f>Saldos_Intereses_Mensual!Q138</f>
        <v/>
      </c>
      <c r="AU138" s="29">
        <f>ROUND(AS138 + AT138, 2)</f>
        <v/>
      </c>
      <c r="AV138" s="29">
        <f>Saldo_Residual_Activo!Q138</f>
        <v/>
      </c>
      <c r="AW138" s="29">
        <f>ROUND(AU138 + AV138, 2)</f>
        <v/>
      </c>
      <c r="AX138" s="29">
        <f>Saldos_Capital_Mensual!R138</f>
        <v/>
      </c>
      <c r="AY138" s="29">
        <f>Saldos_Intereses_Mensual!R138</f>
        <v/>
      </c>
      <c r="AZ138" s="29">
        <f>ROUND(AX138 + AY138, 2)</f>
        <v/>
      </c>
      <c r="BA138" s="29">
        <f>Saldo_Residual_Activo!R138</f>
        <v/>
      </c>
      <c r="BB138" s="29">
        <f>ROUND(AZ138 + BA138, 2)</f>
        <v/>
      </c>
      <c r="BC138" s="29">
        <f>Saldos_Capital_Mensual!S138</f>
        <v/>
      </c>
      <c r="BD138" s="29">
        <f>Saldos_Intereses_Mensual!S138</f>
        <v/>
      </c>
      <c r="BE138" s="29">
        <f>ROUND(BC138 + BD138, 2)</f>
        <v/>
      </c>
      <c r="BF138" s="29">
        <f>Saldo_Residual_Activo!S138</f>
        <v/>
      </c>
      <c r="BG138" s="29">
        <f>ROUND(BE138 + BF138, 2)</f>
        <v/>
      </c>
      <c r="BH138" s="29">
        <f>Saldos_Capital_Mensual!T138</f>
        <v/>
      </c>
      <c r="BI138" s="29">
        <f>Saldos_Intereses_Mensual!T138</f>
        <v/>
      </c>
      <c r="BJ138" s="29">
        <f>ROUND(BH138 + BI138, 2)</f>
        <v/>
      </c>
      <c r="BK138" s="29">
        <f>Saldo_Residual_Activo!T138</f>
        <v/>
      </c>
      <c r="BL138" s="29">
        <f>ROUND(BJ138 + BK138, 2)</f>
        <v/>
      </c>
    </row>
    <row r="139">
      <c r="A139" s="20" t="inlineStr">
        <is>
          <t>0666-0003</t>
        </is>
      </c>
      <c r="B139" s="21" t="inlineStr">
        <is>
          <t>Jaime Adrian Muñiz Ramirez</t>
        </is>
      </c>
      <c r="C139" s="21" t="inlineStr">
        <is>
          <t>Wrangler Phev</t>
        </is>
      </c>
      <c r="D139" s="22" t="n">
        <v>36</v>
      </c>
      <c r="E139" s="23">
        <f>Saldos_Capital_Mensual!I139</f>
        <v/>
      </c>
      <c r="F139" s="23">
        <f>Saldos_Intereses_Mensual!I139</f>
        <v/>
      </c>
      <c r="G139" s="23">
        <f>ROUND(E139 + F139, 2)</f>
        <v/>
      </c>
      <c r="H139" s="23">
        <f>Saldo_Residual_Activo!I139</f>
        <v/>
      </c>
      <c r="I139" s="23">
        <f>ROUND(G139 + H139, 2)</f>
        <v/>
      </c>
      <c r="J139" s="23">
        <f>Saldos_Capital_Mensual!J139</f>
        <v/>
      </c>
      <c r="K139" s="23">
        <f>Saldos_Intereses_Mensual!J139</f>
        <v/>
      </c>
      <c r="L139" s="23">
        <f>ROUND(J139 + K139, 2)</f>
        <v/>
      </c>
      <c r="M139" s="23">
        <f>Saldo_Residual_Activo!J139</f>
        <v/>
      </c>
      <c r="N139" s="23">
        <f>ROUND(L139 + M139, 2)</f>
        <v/>
      </c>
      <c r="O139" s="23">
        <f>Saldos_Capital_Mensual!K139</f>
        <v/>
      </c>
      <c r="P139" s="23">
        <f>Saldos_Intereses_Mensual!K139</f>
        <v/>
      </c>
      <c r="Q139" s="23">
        <f>ROUND(O139 + P139, 2)</f>
        <v/>
      </c>
      <c r="R139" s="23">
        <f>Saldo_Residual_Activo!K139</f>
        <v/>
      </c>
      <c r="S139" s="23">
        <f>ROUND(Q139 + R139, 2)</f>
        <v/>
      </c>
      <c r="T139" s="23">
        <f>Saldos_Capital_Mensual!L139</f>
        <v/>
      </c>
      <c r="U139" s="23">
        <f>Saldos_Intereses_Mensual!L139</f>
        <v/>
      </c>
      <c r="V139" s="23">
        <f>ROUND(T139 + U139, 2)</f>
        <v/>
      </c>
      <c r="W139" s="23">
        <f>Saldo_Residual_Activo!L139</f>
        <v/>
      </c>
      <c r="X139" s="23">
        <f>ROUND(V139 + W139, 2)</f>
        <v/>
      </c>
      <c r="Y139" s="23">
        <f>Saldos_Capital_Mensual!M139</f>
        <v/>
      </c>
      <c r="Z139" s="23">
        <f>Saldos_Intereses_Mensual!M139</f>
        <v/>
      </c>
      <c r="AA139" s="23">
        <f>ROUND(Y139 + Z139, 2)</f>
        <v/>
      </c>
      <c r="AB139" s="23">
        <f>Saldo_Residual_Activo!M139</f>
        <v/>
      </c>
      <c r="AC139" s="23">
        <f>ROUND(AA139 + AB139, 2)</f>
        <v/>
      </c>
      <c r="AD139" s="23">
        <f>Saldos_Capital_Mensual!N139</f>
        <v/>
      </c>
      <c r="AE139" s="23">
        <f>Saldos_Intereses_Mensual!N139</f>
        <v/>
      </c>
      <c r="AF139" s="23">
        <f>ROUND(AD139 + AE139, 2)</f>
        <v/>
      </c>
      <c r="AG139" s="23">
        <f>Saldo_Residual_Activo!N139</f>
        <v/>
      </c>
      <c r="AH139" s="23">
        <f>ROUND(AF139 + AG139, 2)</f>
        <v/>
      </c>
      <c r="AI139" s="23">
        <f>Saldos_Capital_Mensual!O139</f>
        <v/>
      </c>
      <c r="AJ139" s="23">
        <f>Saldos_Intereses_Mensual!O139</f>
        <v/>
      </c>
      <c r="AK139" s="23">
        <f>ROUND(AI139 + AJ139, 2)</f>
        <v/>
      </c>
      <c r="AL139" s="23">
        <f>Saldo_Residual_Activo!O139</f>
        <v/>
      </c>
      <c r="AM139" s="23">
        <f>ROUND(AK139 + AL139, 2)</f>
        <v/>
      </c>
      <c r="AN139" s="23">
        <f>Saldos_Capital_Mensual!P139</f>
        <v/>
      </c>
      <c r="AO139" s="23">
        <f>Saldos_Intereses_Mensual!P139</f>
        <v/>
      </c>
      <c r="AP139" s="23">
        <f>ROUND(AN139 + AO139, 2)</f>
        <v/>
      </c>
      <c r="AQ139" s="23">
        <f>Saldo_Residual_Activo!P139</f>
        <v/>
      </c>
      <c r="AR139" s="23">
        <f>ROUND(AP139 + AQ139, 2)</f>
        <v/>
      </c>
      <c r="AS139" s="23">
        <f>Saldos_Capital_Mensual!Q139</f>
        <v/>
      </c>
      <c r="AT139" s="23">
        <f>Saldos_Intereses_Mensual!Q139</f>
        <v/>
      </c>
      <c r="AU139" s="23">
        <f>ROUND(AS139 + AT139, 2)</f>
        <v/>
      </c>
      <c r="AV139" s="23">
        <f>Saldo_Residual_Activo!Q139</f>
        <v/>
      </c>
      <c r="AW139" s="23">
        <f>ROUND(AU139 + AV139, 2)</f>
        <v/>
      </c>
      <c r="AX139" s="23">
        <f>Saldos_Capital_Mensual!R139</f>
        <v/>
      </c>
      <c r="AY139" s="23">
        <f>Saldos_Intereses_Mensual!R139</f>
        <v/>
      </c>
      <c r="AZ139" s="23">
        <f>ROUND(AX139 + AY139, 2)</f>
        <v/>
      </c>
      <c r="BA139" s="23">
        <f>Saldo_Residual_Activo!R139</f>
        <v/>
      </c>
      <c r="BB139" s="23">
        <f>ROUND(AZ139 + BA139, 2)</f>
        <v/>
      </c>
      <c r="BC139" s="23">
        <f>Saldos_Capital_Mensual!S139</f>
        <v/>
      </c>
      <c r="BD139" s="23">
        <f>Saldos_Intereses_Mensual!S139</f>
        <v/>
      </c>
      <c r="BE139" s="23">
        <f>ROUND(BC139 + BD139, 2)</f>
        <v/>
      </c>
      <c r="BF139" s="23">
        <f>Saldo_Residual_Activo!S139</f>
        <v/>
      </c>
      <c r="BG139" s="23">
        <f>ROUND(BE139 + BF139, 2)</f>
        <v/>
      </c>
      <c r="BH139" s="23">
        <f>Saldos_Capital_Mensual!T139</f>
        <v/>
      </c>
      <c r="BI139" s="23">
        <f>Saldos_Intereses_Mensual!T139</f>
        <v/>
      </c>
      <c r="BJ139" s="23">
        <f>ROUND(BH139 + BI139, 2)</f>
        <v/>
      </c>
      <c r="BK139" s="23">
        <f>Saldo_Residual_Activo!T139</f>
        <v/>
      </c>
      <c r="BL139" s="23">
        <f>ROUND(BJ139 + BK139, 2)</f>
        <v/>
      </c>
    </row>
    <row r="140">
      <c r="A140" s="26" t="inlineStr">
        <is>
          <t>0668-0005</t>
        </is>
      </c>
      <c r="B140" s="27" t="inlineStr">
        <is>
          <t>Jorge Alonso Alvarez Garcia</t>
        </is>
      </c>
      <c r="C140" s="27" t="inlineStr">
        <is>
          <t>RAM 700 BIGHORN "S" CREW CAB CVT</t>
        </is>
      </c>
      <c r="D140" s="28" t="n">
        <v>12</v>
      </c>
      <c r="E140" s="29">
        <f>Saldos_Capital_Mensual!I140</f>
        <v/>
      </c>
      <c r="F140" s="29">
        <f>Saldos_Intereses_Mensual!I140</f>
        <v/>
      </c>
      <c r="G140" s="29">
        <f>ROUND(E140 + F140, 2)</f>
        <v/>
      </c>
      <c r="H140" s="29">
        <f>Saldo_Residual_Activo!I140</f>
        <v/>
      </c>
      <c r="I140" s="29">
        <f>ROUND(G140 + H140, 2)</f>
        <v/>
      </c>
      <c r="J140" s="29">
        <f>Saldos_Capital_Mensual!J140</f>
        <v/>
      </c>
      <c r="K140" s="29">
        <f>Saldos_Intereses_Mensual!J140</f>
        <v/>
      </c>
      <c r="L140" s="29">
        <f>ROUND(J140 + K140, 2)</f>
        <v/>
      </c>
      <c r="M140" s="29">
        <f>Saldo_Residual_Activo!J140</f>
        <v/>
      </c>
      <c r="N140" s="29">
        <f>ROUND(L140 + M140, 2)</f>
        <v/>
      </c>
      <c r="O140" s="29">
        <f>Saldos_Capital_Mensual!K140</f>
        <v/>
      </c>
      <c r="P140" s="29">
        <f>Saldos_Intereses_Mensual!K140</f>
        <v/>
      </c>
      <c r="Q140" s="29">
        <f>ROUND(O140 + P140, 2)</f>
        <v/>
      </c>
      <c r="R140" s="29">
        <f>Saldo_Residual_Activo!K140</f>
        <v/>
      </c>
      <c r="S140" s="29">
        <f>ROUND(Q140 + R140, 2)</f>
        <v/>
      </c>
      <c r="T140" s="29">
        <f>Saldos_Capital_Mensual!L140</f>
        <v/>
      </c>
      <c r="U140" s="29">
        <f>Saldos_Intereses_Mensual!L140</f>
        <v/>
      </c>
      <c r="V140" s="29">
        <f>ROUND(T140 + U140, 2)</f>
        <v/>
      </c>
      <c r="W140" s="29">
        <f>Saldo_Residual_Activo!L140</f>
        <v/>
      </c>
      <c r="X140" s="29">
        <f>ROUND(V140 + W140, 2)</f>
        <v/>
      </c>
      <c r="Y140" s="29">
        <f>Saldos_Capital_Mensual!M140</f>
        <v/>
      </c>
      <c r="Z140" s="29">
        <f>Saldos_Intereses_Mensual!M140</f>
        <v/>
      </c>
      <c r="AA140" s="29">
        <f>ROUND(Y140 + Z140, 2)</f>
        <v/>
      </c>
      <c r="AB140" s="29">
        <f>Saldo_Residual_Activo!M140</f>
        <v/>
      </c>
      <c r="AC140" s="29">
        <f>ROUND(AA140 + AB140, 2)</f>
        <v/>
      </c>
      <c r="AD140" s="29">
        <f>Saldos_Capital_Mensual!N140</f>
        <v/>
      </c>
      <c r="AE140" s="29">
        <f>Saldos_Intereses_Mensual!N140</f>
        <v/>
      </c>
      <c r="AF140" s="29">
        <f>ROUND(AD140 + AE140, 2)</f>
        <v/>
      </c>
      <c r="AG140" s="29">
        <f>Saldo_Residual_Activo!N140</f>
        <v/>
      </c>
      <c r="AH140" s="29">
        <f>ROUND(AF140 + AG140, 2)</f>
        <v/>
      </c>
      <c r="AI140" s="29">
        <f>Saldos_Capital_Mensual!O140</f>
        <v/>
      </c>
      <c r="AJ140" s="29">
        <f>Saldos_Intereses_Mensual!O140</f>
        <v/>
      </c>
      <c r="AK140" s="29">
        <f>ROUND(AI140 + AJ140, 2)</f>
        <v/>
      </c>
      <c r="AL140" s="29">
        <f>Saldo_Residual_Activo!O140</f>
        <v/>
      </c>
      <c r="AM140" s="29">
        <f>ROUND(AK140 + AL140, 2)</f>
        <v/>
      </c>
      <c r="AN140" s="29">
        <f>Saldos_Capital_Mensual!P140</f>
        <v/>
      </c>
      <c r="AO140" s="29">
        <f>Saldos_Intereses_Mensual!P140</f>
        <v/>
      </c>
      <c r="AP140" s="29">
        <f>ROUND(AN140 + AO140, 2)</f>
        <v/>
      </c>
      <c r="AQ140" s="29">
        <f>Saldo_Residual_Activo!P140</f>
        <v/>
      </c>
      <c r="AR140" s="29">
        <f>ROUND(AP140 + AQ140, 2)</f>
        <v/>
      </c>
      <c r="AS140" s="29">
        <f>Saldos_Capital_Mensual!Q140</f>
        <v/>
      </c>
      <c r="AT140" s="29">
        <f>Saldos_Intereses_Mensual!Q140</f>
        <v/>
      </c>
      <c r="AU140" s="29">
        <f>ROUND(AS140 + AT140, 2)</f>
        <v/>
      </c>
      <c r="AV140" s="29">
        <f>Saldo_Residual_Activo!Q140</f>
        <v/>
      </c>
      <c r="AW140" s="29">
        <f>ROUND(AU140 + AV140, 2)</f>
        <v/>
      </c>
      <c r="AX140" s="29">
        <f>Saldos_Capital_Mensual!R140</f>
        <v/>
      </c>
      <c r="AY140" s="29">
        <f>Saldos_Intereses_Mensual!R140</f>
        <v/>
      </c>
      <c r="AZ140" s="29">
        <f>ROUND(AX140 + AY140, 2)</f>
        <v/>
      </c>
      <c r="BA140" s="29">
        <f>Saldo_Residual_Activo!R140</f>
        <v/>
      </c>
      <c r="BB140" s="29">
        <f>ROUND(AZ140 + BA140, 2)</f>
        <v/>
      </c>
      <c r="BC140" s="29">
        <f>Saldos_Capital_Mensual!S140</f>
        <v/>
      </c>
      <c r="BD140" s="29">
        <f>Saldos_Intereses_Mensual!S140</f>
        <v/>
      </c>
      <c r="BE140" s="29">
        <f>ROUND(BC140 + BD140, 2)</f>
        <v/>
      </c>
      <c r="BF140" s="29">
        <f>Saldo_Residual_Activo!S140</f>
        <v/>
      </c>
      <c r="BG140" s="29">
        <f>ROUND(BE140 + BF140, 2)</f>
        <v/>
      </c>
      <c r="BH140" s="29">
        <f>Saldos_Capital_Mensual!T140</f>
        <v/>
      </c>
      <c r="BI140" s="29">
        <f>Saldos_Intereses_Mensual!T140</f>
        <v/>
      </c>
      <c r="BJ140" s="29">
        <f>ROUND(BH140 + BI140, 2)</f>
        <v/>
      </c>
      <c r="BK140" s="29">
        <f>Saldo_Residual_Activo!T140</f>
        <v/>
      </c>
      <c r="BL140" s="29">
        <f>ROUND(BJ140 + BK140, 2)</f>
        <v/>
      </c>
    </row>
    <row r="141">
      <c r="A141" s="20" t="inlineStr">
        <is>
          <t>0669-0001</t>
        </is>
      </c>
      <c r="B141" s="21" t="inlineStr">
        <is>
          <t>Diego Hazael Morales Iñiguez</t>
        </is>
      </c>
      <c r="C141" s="21" t="inlineStr">
        <is>
          <t>Wrangler Jt</t>
        </is>
      </c>
      <c r="D141" s="22" t="n">
        <v>36</v>
      </c>
      <c r="E141" s="23">
        <f>Saldos_Capital_Mensual!I141</f>
        <v/>
      </c>
      <c r="F141" s="23">
        <f>Saldos_Intereses_Mensual!I141</f>
        <v/>
      </c>
      <c r="G141" s="23">
        <f>ROUND(E141 + F141, 2)</f>
        <v/>
      </c>
      <c r="H141" s="23">
        <f>Saldo_Residual_Activo!I141</f>
        <v/>
      </c>
      <c r="I141" s="23">
        <f>ROUND(G141 + H141, 2)</f>
        <v/>
      </c>
      <c r="J141" s="23">
        <f>Saldos_Capital_Mensual!J141</f>
        <v/>
      </c>
      <c r="K141" s="23">
        <f>Saldos_Intereses_Mensual!J141</f>
        <v/>
      </c>
      <c r="L141" s="23">
        <f>ROUND(J141 + K141, 2)</f>
        <v/>
      </c>
      <c r="M141" s="23">
        <f>Saldo_Residual_Activo!J141</f>
        <v/>
      </c>
      <c r="N141" s="23">
        <f>ROUND(L141 + M141, 2)</f>
        <v/>
      </c>
      <c r="O141" s="23">
        <f>Saldos_Capital_Mensual!K141</f>
        <v/>
      </c>
      <c r="P141" s="23">
        <f>Saldos_Intereses_Mensual!K141</f>
        <v/>
      </c>
      <c r="Q141" s="23">
        <f>ROUND(O141 + P141, 2)</f>
        <v/>
      </c>
      <c r="R141" s="23">
        <f>Saldo_Residual_Activo!K141</f>
        <v/>
      </c>
      <c r="S141" s="23">
        <f>ROUND(Q141 + R141, 2)</f>
        <v/>
      </c>
      <c r="T141" s="23">
        <f>Saldos_Capital_Mensual!L141</f>
        <v/>
      </c>
      <c r="U141" s="23">
        <f>Saldos_Intereses_Mensual!L141</f>
        <v/>
      </c>
      <c r="V141" s="23">
        <f>ROUND(T141 + U141, 2)</f>
        <v/>
      </c>
      <c r="W141" s="23">
        <f>Saldo_Residual_Activo!L141</f>
        <v/>
      </c>
      <c r="X141" s="23">
        <f>ROUND(V141 + W141, 2)</f>
        <v/>
      </c>
      <c r="Y141" s="23">
        <f>Saldos_Capital_Mensual!M141</f>
        <v/>
      </c>
      <c r="Z141" s="23">
        <f>Saldos_Intereses_Mensual!M141</f>
        <v/>
      </c>
      <c r="AA141" s="23">
        <f>ROUND(Y141 + Z141, 2)</f>
        <v/>
      </c>
      <c r="AB141" s="23">
        <f>Saldo_Residual_Activo!M141</f>
        <v/>
      </c>
      <c r="AC141" s="23">
        <f>ROUND(AA141 + AB141, 2)</f>
        <v/>
      </c>
      <c r="AD141" s="23">
        <f>Saldos_Capital_Mensual!N141</f>
        <v/>
      </c>
      <c r="AE141" s="23">
        <f>Saldos_Intereses_Mensual!N141</f>
        <v/>
      </c>
      <c r="AF141" s="23">
        <f>ROUND(AD141 + AE141, 2)</f>
        <v/>
      </c>
      <c r="AG141" s="23">
        <f>Saldo_Residual_Activo!N141</f>
        <v/>
      </c>
      <c r="AH141" s="23">
        <f>ROUND(AF141 + AG141, 2)</f>
        <v/>
      </c>
      <c r="AI141" s="23">
        <f>Saldos_Capital_Mensual!O141</f>
        <v/>
      </c>
      <c r="AJ141" s="23">
        <f>Saldos_Intereses_Mensual!O141</f>
        <v/>
      </c>
      <c r="AK141" s="23">
        <f>ROUND(AI141 + AJ141, 2)</f>
        <v/>
      </c>
      <c r="AL141" s="23">
        <f>Saldo_Residual_Activo!O141</f>
        <v/>
      </c>
      <c r="AM141" s="23">
        <f>ROUND(AK141 + AL141, 2)</f>
        <v/>
      </c>
      <c r="AN141" s="23">
        <f>Saldos_Capital_Mensual!P141</f>
        <v/>
      </c>
      <c r="AO141" s="23">
        <f>Saldos_Intereses_Mensual!P141</f>
        <v/>
      </c>
      <c r="AP141" s="23">
        <f>ROUND(AN141 + AO141, 2)</f>
        <v/>
      </c>
      <c r="AQ141" s="23">
        <f>Saldo_Residual_Activo!P141</f>
        <v/>
      </c>
      <c r="AR141" s="23">
        <f>ROUND(AP141 + AQ141, 2)</f>
        <v/>
      </c>
      <c r="AS141" s="23">
        <f>Saldos_Capital_Mensual!Q141</f>
        <v/>
      </c>
      <c r="AT141" s="23">
        <f>Saldos_Intereses_Mensual!Q141</f>
        <v/>
      </c>
      <c r="AU141" s="23">
        <f>ROUND(AS141 + AT141, 2)</f>
        <v/>
      </c>
      <c r="AV141" s="23">
        <f>Saldo_Residual_Activo!Q141</f>
        <v/>
      </c>
      <c r="AW141" s="23">
        <f>ROUND(AU141 + AV141, 2)</f>
        <v/>
      </c>
      <c r="AX141" s="23">
        <f>Saldos_Capital_Mensual!R141</f>
        <v/>
      </c>
      <c r="AY141" s="23">
        <f>Saldos_Intereses_Mensual!R141</f>
        <v/>
      </c>
      <c r="AZ141" s="23">
        <f>ROUND(AX141 + AY141, 2)</f>
        <v/>
      </c>
      <c r="BA141" s="23">
        <f>Saldo_Residual_Activo!R141</f>
        <v/>
      </c>
      <c r="BB141" s="23">
        <f>ROUND(AZ141 + BA141, 2)</f>
        <v/>
      </c>
      <c r="BC141" s="23">
        <f>Saldos_Capital_Mensual!S141</f>
        <v/>
      </c>
      <c r="BD141" s="23">
        <f>Saldos_Intereses_Mensual!S141</f>
        <v/>
      </c>
      <c r="BE141" s="23">
        <f>ROUND(BC141 + BD141, 2)</f>
        <v/>
      </c>
      <c r="BF141" s="23">
        <f>Saldo_Residual_Activo!S141</f>
        <v/>
      </c>
      <c r="BG141" s="23">
        <f>ROUND(BE141 + BF141, 2)</f>
        <v/>
      </c>
      <c r="BH141" s="23">
        <f>Saldos_Capital_Mensual!T141</f>
        <v/>
      </c>
      <c r="BI141" s="23">
        <f>Saldos_Intereses_Mensual!T141</f>
        <v/>
      </c>
      <c r="BJ141" s="23">
        <f>ROUND(BH141 + BI141, 2)</f>
        <v/>
      </c>
      <c r="BK141" s="23">
        <f>Saldo_Residual_Activo!T141</f>
        <v/>
      </c>
      <c r="BL141" s="23">
        <f>ROUND(BJ141 + BK141, 2)</f>
        <v/>
      </c>
    </row>
    <row r="142">
      <c r="A142" s="26" t="inlineStr">
        <is>
          <t>0670-0001</t>
        </is>
      </c>
      <c r="B142" s="27" t="inlineStr">
        <is>
          <t>Consultoria Internacional Mexincorp Sc</t>
        </is>
      </c>
      <c r="C142" s="27" t="inlineStr">
        <is>
          <t>L200 Limited</t>
        </is>
      </c>
      <c r="D142" s="28" t="n">
        <v>48</v>
      </c>
      <c r="E142" s="29">
        <f>Saldos_Capital_Mensual!I142</f>
        <v/>
      </c>
      <c r="F142" s="29">
        <f>Saldos_Intereses_Mensual!I142</f>
        <v/>
      </c>
      <c r="G142" s="29">
        <f>ROUND(E142 + F142, 2)</f>
        <v/>
      </c>
      <c r="H142" s="29">
        <f>Saldo_Residual_Activo!I142</f>
        <v/>
      </c>
      <c r="I142" s="29">
        <f>ROUND(G142 + H142, 2)</f>
        <v/>
      </c>
      <c r="J142" s="29">
        <f>Saldos_Capital_Mensual!J142</f>
        <v/>
      </c>
      <c r="K142" s="29">
        <f>Saldos_Intereses_Mensual!J142</f>
        <v/>
      </c>
      <c r="L142" s="29">
        <f>ROUND(J142 + K142, 2)</f>
        <v/>
      </c>
      <c r="M142" s="29">
        <f>Saldo_Residual_Activo!J142</f>
        <v/>
      </c>
      <c r="N142" s="29">
        <f>ROUND(L142 + M142, 2)</f>
        <v/>
      </c>
      <c r="O142" s="29">
        <f>Saldos_Capital_Mensual!K142</f>
        <v/>
      </c>
      <c r="P142" s="29">
        <f>Saldos_Intereses_Mensual!K142</f>
        <v/>
      </c>
      <c r="Q142" s="29">
        <f>ROUND(O142 + P142, 2)</f>
        <v/>
      </c>
      <c r="R142" s="29">
        <f>Saldo_Residual_Activo!K142</f>
        <v/>
      </c>
      <c r="S142" s="29">
        <f>ROUND(Q142 + R142, 2)</f>
        <v/>
      </c>
      <c r="T142" s="29">
        <f>Saldos_Capital_Mensual!L142</f>
        <v/>
      </c>
      <c r="U142" s="29">
        <f>Saldos_Intereses_Mensual!L142</f>
        <v/>
      </c>
      <c r="V142" s="29">
        <f>ROUND(T142 + U142, 2)</f>
        <v/>
      </c>
      <c r="W142" s="29">
        <f>Saldo_Residual_Activo!L142</f>
        <v/>
      </c>
      <c r="X142" s="29">
        <f>ROUND(V142 + W142, 2)</f>
        <v/>
      </c>
      <c r="Y142" s="29">
        <f>Saldos_Capital_Mensual!M142</f>
        <v/>
      </c>
      <c r="Z142" s="29">
        <f>Saldos_Intereses_Mensual!M142</f>
        <v/>
      </c>
      <c r="AA142" s="29">
        <f>ROUND(Y142 + Z142, 2)</f>
        <v/>
      </c>
      <c r="AB142" s="29">
        <f>Saldo_Residual_Activo!M142</f>
        <v/>
      </c>
      <c r="AC142" s="29">
        <f>ROUND(AA142 + AB142, 2)</f>
        <v/>
      </c>
      <c r="AD142" s="29">
        <f>Saldos_Capital_Mensual!N142</f>
        <v/>
      </c>
      <c r="AE142" s="29">
        <f>Saldos_Intereses_Mensual!N142</f>
        <v/>
      </c>
      <c r="AF142" s="29">
        <f>ROUND(AD142 + AE142, 2)</f>
        <v/>
      </c>
      <c r="AG142" s="29">
        <f>Saldo_Residual_Activo!N142</f>
        <v/>
      </c>
      <c r="AH142" s="29">
        <f>ROUND(AF142 + AG142, 2)</f>
        <v/>
      </c>
      <c r="AI142" s="29">
        <f>Saldos_Capital_Mensual!O142</f>
        <v/>
      </c>
      <c r="AJ142" s="29">
        <f>Saldos_Intereses_Mensual!O142</f>
        <v/>
      </c>
      <c r="AK142" s="29">
        <f>ROUND(AI142 + AJ142, 2)</f>
        <v/>
      </c>
      <c r="AL142" s="29">
        <f>Saldo_Residual_Activo!O142</f>
        <v/>
      </c>
      <c r="AM142" s="29">
        <f>ROUND(AK142 + AL142, 2)</f>
        <v/>
      </c>
      <c r="AN142" s="29">
        <f>Saldos_Capital_Mensual!P142</f>
        <v/>
      </c>
      <c r="AO142" s="29">
        <f>Saldos_Intereses_Mensual!P142</f>
        <v/>
      </c>
      <c r="AP142" s="29">
        <f>ROUND(AN142 + AO142, 2)</f>
        <v/>
      </c>
      <c r="AQ142" s="29">
        <f>Saldo_Residual_Activo!P142</f>
        <v/>
      </c>
      <c r="AR142" s="29">
        <f>ROUND(AP142 + AQ142, 2)</f>
        <v/>
      </c>
      <c r="AS142" s="29">
        <f>Saldos_Capital_Mensual!Q142</f>
        <v/>
      </c>
      <c r="AT142" s="29">
        <f>Saldos_Intereses_Mensual!Q142</f>
        <v/>
      </c>
      <c r="AU142" s="29">
        <f>ROUND(AS142 + AT142, 2)</f>
        <v/>
      </c>
      <c r="AV142" s="29">
        <f>Saldo_Residual_Activo!Q142</f>
        <v/>
      </c>
      <c r="AW142" s="29">
        <f>ROUND(AU142 + AV142, 2)</f>
        <v/>
      </c>
      <c r="AX142" s="29">
        <f>Saldos_Capital_Mensual!R142</f>
        <v/>
      </c>
      <c r="AY142" s="29">
        <f>Saldos_Intereses_Mensual!R142</f>
        <v/>
      </c>
      <c r="AZ142" s="29">
        <f>ROUND(AX142 + AY142, 2)</f>
        <v/>
      </c>
      <c r="BA142" s="29">
        <f>Saldo_Residual_Activo!R142</f>
        <v/>
      </c>
      <c r="BB142" s="29">
        <f>ROUND(AZ142 + BA142, 2)</f>
        <v/>
      </c>
      <c r="BC142" s="29">
        <f>Saldos_Capital_Mensual!S142</f>
        <v/>
      </c>
      <c r="BD142" s="29">
        <f>Saldos_Intereses_Mensual!S142</f>
        <v/>
      </c>
      <c r="BE142" s="29">
        <f>ROUND(BC142 + BD142, 2)</f>
        <v/>
      </c>
      <c r="BF142" s="29">
        <f>Saldo_Residual_Activo!S142</f>
        <v/>
      </c>
      <c r="BG142" s="29">
        <f>ROUND(BE142 + BF142, 2)</f>
        <v/>
      </c>
      <c r="BH142" s="29">
        <f>Saldos_Capital_Mensual!T142</f>
        <v/>
      </c>
      <c r="BI142" s="29">
        <f>Saldos_Intereses_Mensual!T142</f>
        <v/>
      </c>
      <c r="BJ142" s="29">
        <f>ROUND(BH142 + BI142, 2)</f>
        <v/>
      </c>
      <c r="BK142" s="29">
        <f>Saldo_Residual_Activo!T142</f>
        <v/>
      </c>
      <c r="BL142" s="29">
        <f>ROUND(BJ142 + BK142, 2)</f>
        <v/>
      </c>
    </row>
    <row r="143">
      <c r="A143" s="20" t="inlineStr">
        <is>
          <t>0672-0001</t>
        </is>
      </c>
      <c r="B143" s="21" t="inlineStr">
        <is>
          <t>Bax Blockchain Services Sa de Cv</t>
        </is>
      </c>
      <c r="C143" s="21" t="inlineStr">
        <is>
          <t>Tucson Limited</t>
        </is>
      </c>
      <c r="D143" s="22" t="n">
        <v>36</v>
      </c>
      <c r="E143" s="23">
        <f>Saldos_Capital_Mensual!I143</f>
        <v/>
      </c>
      <c r="F143" s="23">
        <f>Saldos_Intereses_Mensual!I143</f>
        <v/>
      </c>
      <c r="G143" s="23">
        <f>ROUND(E143 + F143, 2)</f>
        <v/>
      </c>
      <c r="H143" s="23">
        <f>Saldo_Residual_Activo!I143</f>
        <v/>
      </c>
      <c r="I143" s="23">
        <f>ROUND(G143 + H143, 2)</f>
        <v/>
      </c>
      <c r="J143" s="23">
        <f>Saldos_Capital_Mensual!J143</f>
        <v/>
      </c>
      <c r="K143" s="23">
        <f>Saldos_Intereses_Mensual!J143</f>
        <v/>
      </c>
      <c r="L143" s="23">
        <f>ROUND(J143 + K143, 2)</f>
        <v/>
      </c>
      <c r="M143" s="23">
        <f>Saldo_Residual_Activo!J143</f>
        <v/>
      </c>
      <c r="N143" s="23">
        <f>ROUND(L143 + M143, 2)</f>
        <v/>
      </c>
      <c r="O143" s="23">
        <f>Saldos_Capital_Mensual!K143</f>
        <v/>
      </c>
      <c r="P143" s="23">
        <f>Saldos_Intereses_Mensual!K143</f>
        <v/>
      </c>
      <c r="Q143" s="23">
        <f>ROUND(O143 + P143, 2)</f>
        <v/>
      </c>
      <c r="R143" s="23">
        <f>Saldo_Residual_Activo!K143</f>
        <v/>
      </c>
      <c r="S143" s="23">
        <f>ROUND(Q143 + R143, 2)</f>
        <v/>
      </c>
      <c r="T143" s="23">
        <f>Saldos_Capital_Mensual!L143</f>
        <v/>
      </c>
      <c r="U143" s="23">
        <f>Saldos_Intereses_Mensual!L143</f>
        <v/>
      </c>
      <c r="V143" s="23">
        <f>ROUND(T143 + U143, 2)</f>
        <v/>
      </c>
      <c r="W143" s="23">
        <f>Saldo_Residual_Activo!L143</f>
        <v/>
      </c>
      <c r="X143" s="23">
        <f>ROUND(V143 + W143, 2)</f>
        <v/>
      </c>
      <c r="Y143" s="23">
        <f>Saldos_Capital_Mensual!M143</f>
        <v/>
      </c>
      <c r="Z143" s="23">
        <f>Saldos_Intereses_Mensual!M143</f>
        <v/>
      </c>
      <c r="AA143" s="23">
        <f>ROUND(Y143 + Z143, 2)</f>
        <v/>
      </c>
      <c r="AB143" s="23">
        <f>Saldo_Residual_Activo!M143</f>
        <v/>
      </c>
      <c r="AC143" s="23">
        <f>ROUND(AA143 + AB143, 2)</f>
        <v/>
      </c>
      <c r="AD143" s="23">
        <f>Saldos_Capital_Mensual!N143</f>
        <v/>
      </c>
      <c r="AE143" s="23">
        <f>Saldos_Intereses_Mensual!N143</f>
        <v/>
      </c>
      <c r="AF143" s="23">
        <f>ROUND(AD143 + AE143, 2)</f>
        <v/>
      </c>
      <c r="AG143" s="23">
        <f>Saldo_Residual_Activo!N143</f>
        <v/>
      </c>
      <c r="AH143" s="23">
        <f>ROUND(AF143 + AG143, 2)</f>
        <v/>
      </c>
      <c r="AI143" s="23">
        <f>Saldos_Capital_Mensual!O143</f>
        <v/>
      </c>
      <c r="AJ143" s="23">
        <f>Saldos_Intereses_Mensual!O143</f>
        <v/>
      </c>
      <c r="AK143" s="23">
        <f>ROUND(AI143 + AJ143, 2)</f>
        <v/>
      </c>
      <c r="AL143" s="23">
        <f>Saldo_Residual_Activo!O143</f>
        <v/>
      </c>
      <c r="AM143" s="23">
        <f>ROUND(AK143 + AL143, 2)</f>
        <v/>
      </c>
      <c r="AN143" s="23">
        <f>Saldos_Capital_Mensual!P143</f>
        <v/>
      </c>
      <c r="AO143" s="23">
        <f>Saldos_Intereses_Mensual!P143</f>
        <v/>
      </c>
      <c r="AP143" s="23">
        <f>ROUND(AN143 + AO143, 2)</f>
        <v/>
      </c>
      <c r="AQ143" s="23">
        <f>Saldo_Residual_Activo!P143</f>
        <v/>
      </c>
      <c r="AR143" s="23">
        <f>ROUND(AP143 + AQ143, 2)</f>
        <v/>
      </c>
      <c r="AS143" s="23">
        <f>Saldos_Capital_Mensual!Q143</f>
        <v/>
      </c>
      <c r="AT143" s="23">
        <f>Saldos_Intereses_Mensual!Q143</f>
        <v/>
      </c>
      <c r="AU143" s="23">
        <f>ROUND(AS143 + AT143, 2)</f>
        <v/>
      </c>
      <c r="AV143" s="23">
        <f>Saldo_Residual_Activo!Q143</f>
        <v/>
      </c>
      <c r="AW143" s="23">
        <f>ROUND(AU143 + AV143, 2)</f>
        <v/>
      </c>
      <c r="AX143" s="23">
        <f>Saldos_Capital_Mensual!R143</f>
        <v/>
      </c>
      <c r="AY143" s="23">
        <f>Saldos_Intereses_Mensual!R143</f>
        <v/>
      </c>
      <c r="AZ143" s="23">
        <f>ROUND(AX143 + AY143, 2)</f>
        <v/>
      </c>
      <c r="BA143" s="23">
        <f>Saldo_Residual_Activo!R143</f>
        <v/>
      </c>
      <c r="BB143" s="23">
        <f>ROUND(AZ143 + BA143, 2)</f>
        <v/>
      </c>
      <c r="BC143" s="23">
        <f>Saldos_Capital_Mensual!S143</f>
        <v/>
      </c>
      <c r="BD143" s="23">
        <f>Saldos_Intereses_Mensual!S143</f>
        <v/>
      </c>
      <c r="BE143" s="23">
        <f>ROUND(BC143 + BD143, 2)</f>
        <v/>
      </c>
      <c r="BF143" s="23">
        <f>Saldo_Residual_Activo!S143</f>
        <v/>
      </c>
      <c r="BG143" s="23">
        <f>ROUND(BE143 + BF143, 2)</f>
        <v/>
      </c>
      <c r="BH143" s="23">
        <f>Saldos_Capital_Mensual!T143</f>
        <v/>
      </c>
      <c r="BI143" s="23">
        <f>Saldos_Intereses_Mensual!T143</f>
        <v/>
      </c>
      <c r="BJ143" s="23">
        <f>ROUND(BH143 + BI143, 2)</f>
        <v/>
      </c>
      <c r="BK143" s="23">
        <f>Saldo_Residual_Activo!T143</f>
        <v/>
      </c>
      <c r="BL143" s="23">
        <f>ROUND(BJ143 + BK143, 2)</f>
        <v/>
      </c>
    </row>
    <row r="144">
      <c r="A144" s="26" t="inlineStr">
        <is>
          <t>0673-0001</t>
        </is>
      </c>
      <c r="B144" s="27" t="inlineStr">
        <is>
          <t>Juan Carlos Cardenas Arciniega</t>
        </is>
      </c>
      <c r="C144" s="27" t="inlineStr">
        <is>
          <t>Wrangler Unlimited</t>
        </is>
      </c>
      <c r="D144" s="28" t="n">
        <v>48</v>
      </c>
      <c r="E144" s="29">
        <f>Saldos_Capital_Mensual!I144</f>
        <v/>
      </c>
      <c r="F144" s="29">
        <f>Saldos_Intereses_Mensual!I144</f>
        <v/>
      </c>
      <c r="G144" s="29">
        <f>ROUND(E144 + F144, 2)</f>
        <v/>
      </c>
      <c r="H144" s="29">
        <f>Saldo_Residual_Activo!I144</f>
        <v/>
      </c>
      <c r="I144" s="29">
        <f>ROUND(G144 + H144, 2)</f>
        <v/>
      </c>
      <c r="J144" s="29">
        <f>Saldos_Capital_Mensual!J144</f>
        <v/>
      </c>
      <c r="K144" s="29">
        <f>Saldos_Intereses_Mensual!J144</f>
        <v/>
      </c>
      <c r="L144" s="29">
        <f>ROUND(J144 + K144, 2)</f>
        <v/>
      </c>
      <c r="M144" s="29">
        <f>Saldo_Residual_Activo!J144</f>
        <v/>
      </c>
      <c r="N144" s="29">
        <f>ROUND(L144 + M144, 2)</f>
        <v/>
      </c>
      <c r="O144" s="29">
        <f>Saldos_Capital_Mensual!K144</f>
        <v/>
      </c>
      <c r="P144" s="29">
        <f>Saldos_Intereses_Mensual!K144</f>
        <v/>
      </c>
      <c r="Q144" s="29">
        <f>ROUND(O144 + P144, 2)</f>
        <v/>
      </c>
      <c r="R144" s="29">
        <f>Saldo_Residual_Activo!K144</f>
        <v/>
      </c>
      <c r="S144" s="29">
        <f>ROUND(Q144 + R144, 2)</f>
        <v/>
      </c>
      <c r="T144" s="29">
        <f>Saldos_Capital_Mensual!L144</f>
        <v/>
      </c>
      <c r="U144" s="29">
        <f>Saldos_Intereses_Mensual!L144</f>
        <v/>
      </c>
      <c r="V144" s="29">
        <f>ROUND(T144 + U144, 2)</f>
        <v/>
      </c>
      <c r="W144" s="29">
        <f>Saldo_Residual_Activo!L144</f>
        <v/>
      </c>
      <c r="X144" s="29">
        <f>ROUND(V144 + W144, 2)</f>
        <v/>
      </c>
      <c r="Y144" s="29">
        <f>Saldos_Capital_Mensual!M144</f>
        <v/>
      </c>
      <c r="Z144" s="29">
        <f>Saldos_Intereses_Mensual!M144</f>
        <v/>
      </c>
      <c r="AA144" s="29">
        <f>ROUND(Y144 + Z144, 2)</f>
        <v/>
      </c>
      <c r="AB144" s="29">
        <f>Saldo_Residual_Activo!M144</f>
        <v/>
      </c>
      <c r="AC144" s="29">
        <f>ROUND(AA144 + AB144, 2)</f>
        <v/>
      </c>
      <c r="AD144" s="29">
        <f>Saldos_Capital_Mensual!N144</f>
        <v/>
      </c>
      <c r="AE144" s="29">
        <f>Saldos_Intereses_Mensual!N144</f>
        <v/>
      </c>
      <c r="AF144" s="29">
        <f>ROUND(AD144 + AE144, 2)</f>
        <v/>
      </c>
      <c r="AG144" s="29">
        <f>Saldo_Residual_Activo!N144</f>
        <v/>
      </c>
      <c r="AH144" s="29">
        <f>ROUND(AF144 + AG144, 2)</f>
        <v/>
      </c>
      <c r="AI144" s="29">
        <f>Saldos_Capital_Mensual!O144</f>
        <v/>
      </c>
      <c r="AJ144" s="29">
        <f>Saldos_Intereses_Mensual!O144</f>
        <v/>
      </c>
      <c r="AK144" s="29">
        <f>ROUND(AI144 + AJ144, 2)</f>
        <v/>
      </c>
      <c r="AL144" s="29">
        <f>Saldo_Residual_Activo!O144</f>
        <v/>
      </c>
      <c r="AM144" s="29">
        <f>ROUND(AK144 + AL144, 2)</f>
        <v/>
      </c>
      <c r="AN144" s="29">
        <f>Saldos_Capital_Mensual!P144</f>
        <v/>
      </c>
      <c r="AO144" s="29">
        <f>Saldos_Intereses_Mensual!P144</f>
        <v/>
      </c>
      <c r="AP144" s="29">
        <f>ROUND(AN144 + AO144, 2)</f>
        <v/>
      </c>
      <c r="AQ144" s="29">
        <f>Saldo_Residual_Activo!P144</f>
        <v/>
      </c>
      <c r="AR144" s="29">
        <f>ROUND(AP144 + AQ144, 2)</f>
        <v/>
      </c>
      <c r="AS144" s="29">
        <f>Saldos_Capital_Mensual!Q144</f>
        <v/>
      </c>
      <c r="AT144" s="29">
        <f>Saldos_Intereses_Mensual!Q144</f>
        <v/>
      </c>
      <c r="AU144" s="29">
        <f>ROUND(AS144 + AT144, 2)</f>
        <v/>
      </c>
      <c r="AV144" s="29">
        <f>Saldo_Residual_Activo!Q144</f>
        <v/>
      </c>
      <c r="AW144" s="29">
        <f>ROUND(AU144 + AV144, 2)</f>
        <v/>
      </c>
      <c r="AX144" s="29">
        <f>Saldos_Capital_Mensual!R144</f>
        <v/>
      </c>
      <c r="AY144" s="29">
        <f>Saldos_Intereses_Mensual!R144</f>
        <v/>
      </c>
      <c r="AZ144" s="29">
        <f>ROUND(AX144 + AY144, 2)</f>
        <v/>
      </c>
      <c r="BA144" s="29">
        <f>Saldo_Residual_Activo!R144</f>
        <v/>
      </c>
      <c r="BB144" s="29">
        <f>ROUND(AZ144 + BA144, 2)</f>
        <v/>
      </c>
      <c r="BC144" s="29">
        <f>Saldos_Capital_Mensual!S144</f>
        <v/>
      </c>
      <c r="BD144" s="29">
        <f>Saldos_Intereses_Mensual!S144</f>
        <v/>
      </c>
      <c r="BE144" s="29">
        <f>ROUND(BC144 + BD144, 2)</f>
        <v/>
      </c>
      <c r="BF144" s="29">
        <f>Saldo_Residual_Activo!S144</f>
        <v/>
      </c>
      <c r="BG144" s="29">
        <f>ROUND(BE144 + BF144, 2)</f>
        <v/>
      </c>
      <c r="BH144" s="29">
        <f>Saldos_Capital_Mensual!T144</f>
        <v/>
      </c>
      <c r="BI144" s="29">
        <f>Saldos_Intereses_Mensual!T144</f>
        <v/>
      </c>
      <c r="BJ144" s="29">
        <f>ROUND(BH144 + BI144, 2)</f>
        <v/>
      </c>
      <c r="BK144" s="29">
        <f>Saldo_Residual_Activo!T144</f>
        <v/>
      </c>
      <c r="BL144" s="29">
        <f>ROUND(BJ144 + BK144, 2)</f>
        <v/>
      </c>
    </row>
    <row r="145">
      <c r="A145" s="20" t="inlineStr">
        <is>
          <t>0673-0002</t>
        </is>
      </c>
      <c r="B145" s="21" t="inlineStr">
        <is>
          <t>Juan Carlos Cardenas Arciniega</t>
        </is>
      </c>
      <c r="C145" s="21" t="inlineStr">
        <is>
          <t>L200 Glx Diesel</t>
        </is>
      </c>
      <c r="D145" s="22" t="n">
        <v>48</v>
      </c>
      <c r="E145" s="23">
        <f>Saldos_Capital_Mensual!I145</f>
        <v/>
      </c>
      <c r="F145" s="23">
        <f>Saldos_Intereses_Mensual!I145</f>
        <v/>
      </c>
      <c r="G145" s="23">
        <f>ROUND(E145 + F145, 2)</f>
        <v/>
      </c>
      <c r="H145" s="23">
        <f>Saldo_Residual_Activo!I145</f>
        <v/>
      </c>
      <c r="I145" s="23">
        <f>ROUND(G145 + H145, 2)</f>
        <v/>
      </c>
      <c r="J145" s="23">
        <f>Saldos_Capital_Mensual!J145</f>
        <v/>
      </c>
      <c r="K145" s="23">
        <f>Saldos_Intereses_Mensual!J145</f>
        <v/>
      </c>
      <c r="L145" s="23">
        <f>ROUND(J145 + K145, 2)</f>
        <v/>
      </c>
      <c r="M145" s="23">
        <f>Saldo_Residual_Activo!J145</f>
        <v/>
      </c>
      <c r="N145" s="23">
        <f>ROUND(L145 + M145, 2)</f>
        <v/>
      </c>
      <c r="O145" s="23">
        <f>Saldos_Capital_Mensual!K145</f>
        <v/>
      </c>
      <c r="P145" s="23">
        <f>Saldos_Intereses_Mensual!K145</f>
        <v/>
      </c>
      <c r="Q145" s="23">
        <f>ROUND(O145 + P145, 2)</f>
        <v/>
      </c>
      <c r="R145" s="23">
        <f>Saldo_Residual_Activo!K145</f>
        <v/>
      </c>
      <c r="S145" s="23">
        <f>ROUND(Q145 + R145, 2)</f>
        <v/>
      </c>
      <c r="T145" s="23">
        <f>Saldos_Capital_Mensual!L145</f>
        <v/>
      </c>
      <c r="U145" s="23">
        <f>Saldos_Intereses_Mensual!L145</f>
        <v/>
      </c>
      <c r="V145" s="23">
        <f>ROUND(T145 + U145, 2)</f>
        <v/>
      </c>
      <c r="W145" s="23">
        <f>Saldo_Residual_Activo!L145</f>
        <v/>
      </c>
      <c r="X145" s="23">
        <f>ROUND(V145 + W145, 2)</f>
        <v/>
      </c>
      <c r="Y145" s="23">
        <f>Saldos_Capital_Mensual!M145</f>
        <v/>
      </c>
      <c r="Z145" s="23">
        <f>Saldos_Intereses_Mensual!M145</f>
        <v/>
      </c>
      <c r="AA145" s="23">
        <f>ROUND(Y145 + Z145, 2)</f>
        <v/>
      </c>
      <c r="AB145" s="23">
        <f>Saldo_Residual_Activo!M145</f>
        <v/>
      </c>
      <c r="AC145" s="23">
        <f>ROUND(AA145 + AB145, 2)</f>
        <v/>
      </c>
      <c r="AD145" s="23">
        <f>Saldos_Capital_Mensual!N145</f>
        <v/>
      </c>
      <c r="AE145" s="23">
        <f>Saldos_Intereses_Mensual!N145</f>
        <v/>
      </c>
      <c r="AF145" s="23">
        <f>ROUND(AD145 + AE145, 2)</f>
        <v/>
      </c>
      <c r="AG145" s="23">
        <f>Saldo_Residual_Activo!N145</f>
        <v/>
      </c>
      <c r="AH145" s="23">
        <f>ROUND(AF145 + AG145, 2)</f>
        <v/>
      </c>
      <c r="AI145" s="23">
        <f>Saldos_Capital_Mensual!O145</f>
        <v/>
      </c>
      <c r="AJ145" s="23">
        <f>Saldos_Intereses_Mensual!O145</f>
        <v/>
      </c>
      <c r="AK145" s="23">
        <f>ROUND(AI145 + AJ145, 2)</f>
        <v/>
      </c>
      <c r="AL145" s="23">
        <f>Saldo_Residual_Activo!O145</f>
        <v/>
      </c>
      <c r="AM145" s="23">
        <f>ROUND(AK145 + AL145, 2)</f>
        <v/>
      </c>
      <c r="AN145" s="23">
        <f>Saldos_Capital_Mensual!P145</f>
        <v/>
      </c>
      <c r="AO145" s="23">
        <f>Saldos_Intereses_Mensual!P145</f>
        <v/>
      </c>
      <c r="AP145" s="23">
        <f>ROUND(AN145 + AO145, 2)</f>
        <v/>
      </c>
      <c r="AQ145" s="23">
        <f>Saldo_Residual_Activo!P145</f>
        <v/>
      </c>
      <c r="AR145" s="23">
        <f>ROUND(AP145 + AQ145, 2)</f>
        <v/>
      </c>
      <c r="AS145" s="23">
        <f>Saldos_Capital_Mensual!Q145</f>
        <v/>
      </c>
      <c r="AT145" s="23">
        <f>Saldos_Intereses_Mensual!Q145</f>
        <v/>
      </c>
      <c r="AU145" s="23">
        <f>ROUND(AS145 + AT145, 2)</f>
        <v/>
      </c>
      <c r="AV145" s="23">
        <f>Saldo_Residual_Activo!Q145</f>
        <v/>
      </c>
      <c r="AW145" s="23">
        <f>ROUND(AU145 + AV145, 2)</f>
        <v/>
      </c>
      <c r="AX145" s="23">
        <f>Saldos_Capital_Mensual!R145</f>
        <v/>
      </c>
      <c r="AY145" s="23">
        <f>Saldos_Intereses_Mensual!R145</f>
        <v/>
      </c>
      <c r="AZ145" s="23">
        <f>ROUND(AX145 + AY145, 2)</f>
        <v/>
      </c>
      <c r="BA145" s="23">
        <f>Saldo_Residual_Activo!R145</f>
        <v/>
      </c>
      <c r="BB145" s="23">
        <f>ROUND(AZ145 + BA145, 2)</f>
        <v/>
      </c>
      <c r="BC145" s="23">
        <f>Saldos_Capital_Mensual!S145</f>
        <v/>
      </c>
      <c r="BD145" s="23">
        <f>Saldos_Intereses_Mensual!S145</f>
        <v/>
      </c>
      <c r="BE145" s="23">
        <f>ROUND(BC145 + BD145, 2)</f>
        <v/>
      </c>
      <c r="BF145" s="23">
        <f>Saldo_Residual_Activo!S145</f>
        <v/>
      </c>
      <c r="BG145" s="23">
        <f>ROUND(BE145 + BF145, 2)</f>
        <v/>
      </c>
      <c r="BH145" s="23">
        <f>Saldos_Capital_Mensual!T145</f>
        <v/>
      </c>
      <c r="BI145" s="23">
        <f>Saldos_Intereses_Mensual!T145</f>
        <v/>
      </c>
      <c r="BJ145" s="23">
        <f>ROUND(BH145 + BI145, 2)</f>
        <v/>
      </c>
      <c r="BK145" s="23">
        <f>Saldo_Residual_Activo!T145</f>
        <v/>
      </c>
      <c r="BL145" s="23">
        <f>ROUND(BJ145 + BK145, 2)</f>
        <v/>
      </c>
    </row>
    <row r="146">
      <c r="A146" s="26" t="inlineStr">
        <is>
          <t>0673-0003</t>
        </is>
      </c>
      <c r="B146" s="27" t="inlineStr">
        <is>
          <t>Juan Carlos Cardenas Arciniega</t>
        </is>
      </c>
      <c r="C146" s="27" t="inlineStr">
        <is>
          <t>Hilux Diesel</t>
        </is>
      </c>
      <c r="D146" s="28" t="n">
        <v>48</v>
      </c>
      <c r="E146" s="29">
        <f>Saldos_Capital_Mensual!I146</f>
        <v/>
      </c>
      <c r="F146" s="29">
        <f>Saldos_Intereses_Mensual!I146</f>
        <v/>
      </c>
      <c r="G146" s="29">
        <f>ROUND(E146 + F146, 2)</f>
        <v/>
      </c>
      <c r="H146" s="29">
        <f>Saldo_Residual_Activo!I146</f>
        <v/>
      </c>
      <c r="I146" s="29">
        <f>ROUND(G146 + H146, 2)</f>
        <v/>
      </c>
      <c r="J146" s="29">
        <f>Saldos_Capital_Mensual!J146</f>
        <v/>
      </c>
      <c r="K146" s="29">
        <f>Saldos_Intereses_Mensual!J146</f>
        <v/>
      </c>
      <c r="L146" s="29">
        <f>ROUND(J146 + K146, 2)</f>
        <v/>
      </c>
      <c r="M146" s="29">
        <f>Saldo_Residual_Activo!J146</f>
        <v/>
      </c>
      <c r="N146" s="29">
        <f>ROUND(L146 + M146, 2)</f>
        <v/>
      </c>
      <c r="O146" s="29">
        <f>Saldos_Capital_Mensual!K146</f>
        <v/>
      </c>
      <c r="P146" s="29">
        <f>Saldos_Intereses_Mensual!K146</f>
        <v/>
      </c>
      <c r="Q146" s="29">
        <f>ROUND(O146 + P146, 2)</f>
        <v/>
      </c>
      <c r="R146" s="29">
        <f>Saldo_Residual_Activo!K146</f>
        <v/>
      </c>
      <c r="S146" s="29">
        <f>ROUND(Q146 + R146, 2)</f>
        <v/>
      </c>
      <c r="T146" s="29">
        <f>Saldos_Capital_Mensual!L146</f>
        <v/>
      </c>
      <c r="U146" s="29">
        <f>Saldos_Intereses_Mensual!L146</f>
        <v/>
      </c>
      <c r="V146" s="29">
        <f>ROUND(T146 + U146, 2)</f>
        <v/>
      </c>
      <c r="W146" s="29">
        <f>Saldo_Residual_Activo!L146</f>
        <v/>
      </c>
      <c r="X146" s="29">
        <f>ROUND(V146 + W146, 2)</f>
        <v/>
      </c>
      <c r="Y146" s="29">
        <f>Saldos_Capital_Mensual!M146</f>
        <v/>
      </c>
      <c r="Z146" s="29">
        <f>Saldos_Intereses_Mensual!M146</f>
        <v/>
      </c>
      <c r="AA146" s="29">
        <f>ROUND(Y146 + Z146, 2)</f>
        <v/>
      </c>
      <c r="AB146" s="29">
        <f>Saldo_Residual_Activo!M146</f>
        <v/>
      </c>
      <c r="AC146" s="29">
        <f>ROUND(AA146 + AB146, 2)</f>
        <v/>
      </c>
      <c r="AD146" s="29">
        <f>Saldos_Capital_Mensual!N146</f>
        <v/>
      </c>
      <c r="AE146" s="29">
        <f>Saldos_Intereses_Mensual!N146</f>
        <v/>
      </c>
      <c r="AF146" s="29">
        <f>ROUND(AD146 + AE146, 2)</f>
        <v/>
      </c>
      <c r="AG146" s="29">
        <f>Saldo_Residual_Activo!N146</f>
        <v/>
      </c>
      <c r="AH146" s="29">
        <f>ROUND(AF146 + AG146, 2)</f>
        <v/>
      </c>
      <c r="AI146" s="29">
        <f>Saldos_Capital_Mensual!O146</f>
        <v/>
      </c>
      <c r="AJ146" s="29">
        <f>Saldos_Intereses_Mensual!O146</f>
        <v/>
      </c>
      <c r="AK146" s="29">
        <f>ROUND(AI146 + AJ146, 2)</f>
        <v/>
      </c>
      <c r="AL146" s="29">
        <f>Saldo_Residual_Activo!O146</f>
        <v/>
      </c>
      <c r="AM146" s="29">
        <f>ROUND(AK146 + AL146, 2)</f>
        <v/>
      </c>
      <c r="AN146" s="29">
        <f>Saldos_Capital_Mensual!P146</f>
        <v/>
      </c>
      <c r="AO146" s="29">
        <f>Saldos_Intereses_Mensual!P146</f>
        <v/>
      </c>
      <c r="AP146" s="29">
        <f>ROUND(AN146 + AO146, 2)</f>
        <v/>
      </c>
      <c r="AQ146" s="29">
        <f>Saldo_Residual_Activo!P146</f>
        <v/>
      </c>
      <c r="AR146" s="29">
        <f>ROUND(AP146 + AQ146, 2)</f>
        <v/>
      </c>
      <c r="AS146" s="29">
        <f>Saldos_Capital_Mensual!Q146</f>
        <v/>
      </c>
      <c r="AT146" s="29">
        <f>Saldos_Intereses_Mensual!Q146</f>
        <v/>
      </c>
      <c r="AU146" s="29">
        <f>ROUND(AS146 + AT146, 2)</f>
        <v/>
      </c>
      <c r="AV146" s="29">
        <f>Saldo_Residual_Activo!Q146</f>
        <v/>
      </c>
      <c r="AW146" s="29">
        <f>ROUND(AU146 + AV146, 2)</f>
        <v/>
      </c>
      <c r="AX146" s="29">
        <f>Saldos_Capital_Mensual!R146</f>
        <v/>
      </c>
      <c r="AY146" s="29">
        <f>Saldos_Intereses_Mensual!R146</f>
        <v/>
      </c>
      <c r="AZ146" s="29">
        <f>ROUND(AX146 + AY146, 2)</f>
        <v/>
      </c>
      <c r="BA146" s="29">
        <f>Saldo_Residual_Activo!R146</f>
        <v/>
      </c>
      <c r="BB146" s="29">
        <f>ROUND(AZ146 + BA146, 2)</f>
        <v/>
      </c>
      <c r="BC146" s="29">
        <f>Saldos_Capital_Mensual!S146</f>
        <v/>
      </c>
      <c r="BD146" s="29">
        <f>Saldos_Intereses_Mensual!S146</f>
        <v/>
      </c>
      <c r="BE146" s="29">
        <f>ROUND(BC146 + BD146, 2)</f>
        <v/>
      </c>
      <c r="BF146" s="29">
        <f>Saldo_Residual_Activo!S146</f>
        <v/>
      </c>
      <c r="BG146" s="29">
        <f>ROUND(BE146 + BF146, 2)</f>
        <v/>
      </c>
      <c r="BH146" s="29">
        <f>Saldos_Capital_Mensual!T146</f>
        <v/>
      </c>
      <c r="BI146" s="29">
        <f>Saldos_Intereses_Mensual!T146</f>
        <v/>
      </c>
      <c r="BJ146" s="29">
        <f>ROUND(BH146 + BI146, 2)</f>
        <v/>
      </c>
      <c r="BK146" s="29">
        <f>Saldo_Residual_Activo!T146</f>
        <v/>
      </c>
      <c r="BL146" s="29">
        <f>ROUND(BJ146 + BK146, 2)</f>
        <v/>
      </c>
    </row>
    <row r="147">
      <c r="A147" s="20" t="inlineStr">
        <is>
          <t>0673-0004</t>
        </is>
      </c>
      <c r="B147" s="21" t="inlineStr">
        <is>
          <t>Juan Carlos Cardenas Arciniega</t>
        </is>
      </c>
      <c r="C147" s="21" t="inlineStr">
        <is>
          <t>Np300</t>
        </is>
      </c>
      <c r="D147" s="22" t="n">
        <v>24</v>
      </c>
      <c r="E147" s="23">
        <f>Saldos_Capital_Mensual!I147</f>
        <v/>
      </c>
      <c r="F147" s="23">
        <f>Saldos_Intereses_Mensual!I147</f>
        <v/>
      </c>
      <c r="G147" s="23">
        <f>ROUND(E147 + F147, 2)</f>
        <v/>
      </c>
      <c r="H147" s="23">
        <f>Saldo_Residual_Activo!I147</f>
        <v/>
      </c>
      <c r="I147" s="23">
        <f>ROUND(G147 + H147, 2)</f>
        <v/>
      </c>
      <c r="J147" s="23">
        <f>Saldos_Capital_Mensual!J147</f>
        <v/>
      </c>
      <c r="K147" s="23">
        <f>Saldos_Intereses_Mensual!J147</f>
        <v/>
      </c>
      <c r="L147" s="23">
        <f>ROUND(J147 + K147, 2)</f>
        <v/>
      </c>
      <c r="M147" s="23">
        <f>Saldo_Residual_Activo!J147</f>
        <v/>
      </c>
      <c r="N147" s="23">
        <f>ROUND(L147 + M147, 2)</f>
        <v/>
      </c>
      <c r="O147" s="23">
        <f>Saldos_Capital_Mensual!K147</f>
        <v/>
      </c>
      <c r="P147" s="23">
        <f>Saldos_Intereses_Mensual!K147</f>
        <v/>
      </c>
      <c r="Q147" s="23">
        <f>ROUND(O147 + P147, 2)</f>
        <v/>
      </c>
      <c r="R147" s="23">
        <f>Saldo_Residual_Activo!K147</f>
        <v/>
      </c>
      <c r="S147" s="23">
        <f>ROUND(Q147 + R147, 2)</f>
        <v/>
      </c>
      <c r="T147" s="23">
        <f>Saldos_Capital_Mensual!L147</f>
        <v/>
      </c>
      <c r="U147" s="23">
        <f>Saldos_Intereses_Mensual!L147</f>
        <v/>
      </c>
      <c r="V147" s="23">
        <f>ROUND(T147 + U147, 2)</f>
        <v/>
      </c>
      <c r="W147" s="23">
        <f>Saldo_Residual_Activo!L147</f>
        <v/>
      </c>
      <c r="X147" s="23">
        <f>ROUND(V147 + W147, 2)</f>
        <v/>
      </c>
      <c r="Y147" s="23">
        <f>Saldos_Capital_Mensual!M147</f>
        <v/>
      </c>
      <c r="Z147" s="23">
        <f>Saldos_Intereses_Mensual!M147</f>
        <v/>
      </c>
      <c r="AA147" s="23">
        <f>ROUND(Y147 + Z147, 2)</f>
        <v/>
      </c>
      <c r="AB147" s="23">
        <f>Saldo_Residual_Activo!M147</f>
        <v/>
      </c>
      <c r="AC147" s="23">
        <f>ROUND(AA147 + AB147, 2)</f>
        <v/>
      </c>
      <c r="AD147" s="23">
        <f>Saldos_Capital_Mensual!N147</f>
        <v/>
      </c>
      <c r="AE147" s="23">
        <f>Saldos_Intereses_Mensual!N147</f>
        <v/>
      </c>
      <c r="AF147" s="23">
        <f>ROUND(AD147 + AE147, 2)</f>
        <v/>
      </c>
      <c r="AG147" s="23">
        <f>Saldo_Residual_Activo!N147</f>
        <v/>
      </c>
      <c r="AH147" s="23">
        <f>ROUND(AF147 + AG147, 2)</f>
        <v/>
      </c>
      <c r="AI147" s="23">
        <f>Saldos_Capital_Mensual!O147</f>
        <v/>
      </c>
      <c r="AJ147" s="23">
        <f>Saldos_Intereses_Mensual!O147</f>
        <v/>
      </c>
      <c r="AK147" s="23">
        <f>ROUND(AI147 + AJ147, 2)</f>
        <v/>
      </c>
      <c r="AL147" s="23">
        <f>Saldo_Residual_Activo!O147</f>
        <v/>
      </c>
      <c r="AM147" s="23">
        <f>ROUND(AK147 + AL147, 2)</f>
        <v/>
      </c>
      <c r="AN147" s="23">
        <f>Saldos_Capital_Mensual!P147</f>
        <v/>
      </c>
      <c r="AO147" s="23">
        <f>Saldos_Intereses_Mensual!P147</f>
        <v/>
      </c>
      <c r="AP147" s="23">
        <f>ROUND(AN147 + AO147, 2)</f>
        <v/>
      </c>
      <c r="AQ147" s="23">
        <f>Saldo_Residual_Activo!P147</f>
        <v/>
      </c>
      <c r="AR147" s="23">
        <f>ROUND(AP147 + AQ147, 2)</f>
        <v/>
      </c>
      <c r="AS147" s="23">
        <f>Saldos_Capital_Mensual!Q147</f>
        <v/>
      </c>
      <c r="AT147" s="23">
        <f>Saldos_Intereses_Mensual!Q147</f>
        <v/>
      </c>
      <c r="AU147" s="23">
        <f>ROUND(AS147 + AT147, 2)</f>
        <v/>
      </c>
      <c r="AV147" s="23">
        <f>Saldo_Residual_Activo!Q147</f>
        <v/>
      </c>
      <c r="AW147" s="23">
        <f>ROUND(AU147 + AV147, 2)</f>
        <v/>
      </c>
      <c r="AX147" s="23">
        <f>Saldos_Capital_Mensual!R147</f>
        <v/>
      </c>
      <c r="AY147" s="23">
        <f>Saldos_Intereses_Mensual!R147</f>
        <v/>
      </c>
      <c r="AZ147" s="23">
        <f>ROUND(AX147 + AY147, 2)</f>
        <v/>
      </c>
      <c r="BA147" s="23">
        <f>Saldo_Residual_Activo!R147</f>
        <v/>
      </c>
      <c r="BB147" s="23">
        <f>ROUND(AZ147 + BA147, 2)</f>
        <v/>
      </c>
      <c r="BC147" s="23">
        <f>Saldos_Capital_Mensual!S147</f>
        <v/>
      </c>
      <c r="BD147" s="23">
        <f>Saldos_Intereses_Mensual!S147</f>
        <v/>
      </c>
      <c r="BE147" s="23">
        <f>ROUND(BC147 + BD147, 2)</f>
        <v/>
      </c>
      <c r="BF147" s="23">
        <f>Saldo_Residual_Activo!S147</f>
        <v/>
      </c>
      <c r="BG147" s="23">
        <f>ROUND(BE147 + BF147, 2)</f>
        <v/>
      </c>
      <c r="BH147" s="23">
        <f>Saldos_Capital_Mensual!T147</f>
        <v/>
      </c>
      <c r="BI147" s="23">
        <f>Saldos_Intereses_Mensual!T147</f>
        <v/>
      </c>
      <c r="BJ147" s="23">
        <f>ROUND(BH147 + BI147, 2)</f>
        <v/>
      </c>
      <c r="BK147" s="23">
        <f>Saldo_Residual_Activo!T147</f>
        <v/>
      </c>
      <c r="BL147" s="23">
        <f>ROUND(BJ147 + BK147, 2)</f>
        <v/>
      </c>
    </row>
    <row r="148">
      <c r="A148" s="26" t="inlineStr">
        <is>
          <t>0673-0005</t>
        </is>
      </c>
      <c r="B148" s="27" t="inlineStr">
        <is>
          <t>Juan Carlos Cardenas Arciniega</t>
        </is>
      </c>
      <c r="C148" s="27" t="inlineStr">
        <is>
          <t>L200 Glx</t>
        </is>
      </c>
      <c r="D148" s="28" t="n">
        <v>36</v>
      </c>
      <c r="E148" s="29">
        <f>Saldos_Capital_Mensual!I148</f>
        <v/>
      </c>
      <c r="F148" s="29">
        <f>Saldos_Intereses_Mensual!I148</f>
        <v/>
      </c>
      <c r="G148" s="29">
        <f>ROUND(E148 + F148, 2)</f>
        <v/>
      </c>
      <c r="H148" s="29">
        <f>Saldo_Residual_Activo!I148</f>
        <v/>
      </c>
      <c r="I148" s="29">
        <f>ROUND(G148 + H148, 2)</f>
        <v/>
      </c>
      <c r="J148" s="29">
        <f>Saldos_Capital_Mensual!J148</f>
        <v/>
      </c>
      <c r="K148" s="29">
        <f>Saldos_Intereses_Mensual!J148</f>
        <v/>
      </c>
      <c r="L148" s="29">
        <f>ROUND(J148 + K148, 2)</f>
        <v/>
      </c>
      <c r="M148" s="29">
        <f>Saldo_Residual_Activo!J148</f>
        <v/>
      </c>
      <c r="N148" s="29">
        <f>ROUND(L148 + M148, 2)</f>
        <v/>
      </c>
      <c r="O148" s="29">
        <f>Saldos_Capital_Mensual!K148</f>
        <v/>
      </c>
      <c r="P148" s="29">
        <f>Saldos_Intereses_Mensual!K148</f>
        <v/>
      </c>
      <c r="Q148" s="29">
        <f>ROUND(O148 + P148, 2)</f>
        <v/>
      </c>
      <c r="R148" s="29">
        <f>Saldo_Residual_Activo!K148</f>
        <v/>
      </c>
      <c r="S148" s="29">
        <f>ROUND(Q148 + R148, 2)</f>
        <v/>
      </c>
      <c r="T148" s="29">
        <f>Saldos_Capital_Mensual!L148</f>
        <v/>
      </c>
      <c r="U148" s="29">
        <f>Saldos_Intereses_Mensual!L148</f>
        <v/>
      </c>
      <c r="V148" s="29">
        <f>ROUND(T148 + U148, 2)</f>
        <v/>
      </c>
      <c r="W148" s="29">
        <f>Saldo_Residual_Activo!L148</f>
        <v/>
      </c>
      <c r="X148" s="29">
        <f>ROUND(V148 + W148, 2)</f>
        <v/>
      </c>
      <c r="Y148" s="29">
        <f>Saldos_Capital_Mensual!M148</f>
        <v/>
      </c>
      <c r="Z148" s="29">
        <f>Saldos_Intereses_Mensual!M148</f>
        <v/>
      </c>
      <c r="AA148" s="29">
        <f>ROUND(Y148 + Z148, 2)</f>
        <v/>
      </c>
      <c r="AB148" s="29">
        <f>Saldo_Residual_Activo!M148</f>
        <v/>
      </c>
      <c r="AC148" s="29">
        <f>ROUND(AA148 + AB148, 2)</f>
        <v/>
      </c>
      <c r="AD148" s="29">
        <f>Saldos_Capital_Mensual!N148</f>
        <v/>
      </c>
      <c r="AE148" s="29">
        <f>Saldos_Intereses_Mensual!N148</f>
        <v/>
      </c>
      <c r="AF148" s="29">
        <f>ROUND(AD148 + AE148, 2)</f>
        <v/>
      </c>
      <c r="AG148" s="29">
        <f>Saldo_Residual_Activo!N148</f>
        <v/>
      </c>
      <c r="AH148" s="29">
        <f>ROUND(AF148 + AG148, 2)</f>
        <v/>
      </c>
      <c r="AI148" s="29">
        <f>Saldos_Capital_Mensual!O148</f>
        <v/>
      </c>
      <c r="AJ148" s="29">
        <f>Saldos_Intereses_Mensual!O148</f>
        <v/>
      </c>
      <c r="AK148" s="29">
        <f>ROUND(AI148 + AJ148, 2)</f>
        <v/>
      </c>
      <c r="AL148" s="29">
        <f>Saldo_Residual_Activo!O148</f>
        <v/>
      </c>
      <c r="AM148" s="29">
        <f>ROUND(AK148 + AL148, 2)</f>
        <v/>
      </c>
      <c r="AN148" s="29">
        <f>Saldos_Capital_Mensual!P148</f>
        <v/>
      </c>
      <c r="AO148" s="29">
        <f>Saldos_Intereses_Mensual!P148</f>
        <v/>
      </c>
      <c r="AP148" s="29">
        <f>ROUND(AN148 + AO148, 2)</f>
        <v/>
      </c>
      <c r="AQ148" s="29">
        <f>Saldo_Residual_Activo!P148</f>
        <v/>
      </c>
      <c r="AR148" s="29">
        <f>ROUND(AP148 + AQ148, 2)</f>
        <v/>
      </c>
      <c r="AS148" s="29">
        <f>Saldos_Capital_Mensual!Q148</f>
        <v/>
      </c>
      <c r="AT148" s="29">
        <f>Saldos_Intereses_Mensual!Q148</f>
        <v/>
      </c>
      <c r="AU148" s="29">
        <f>ROUND(AS148 + AT148, 2)</f>
        <v/>
      </c>
      <c r="AV148" s="29">
        <f>Saldo_Residual_Activo!Q148</f>
        <v/>
      </c>
      <c r="AW148" s="29">
        <f>ROUND(AU148 + AV148, 2)</f>
        <v/>
      </c>
      <c r="AX148" s="29">
        <f>Saldos_Capital_Mensual!R148</f>
        <v/>
      </c>
      <c r="AY148" s="29">
        <f>Saldos_Intereses_Mensual!R148</f>
        <v/>
      </c>
      <c r="AZ148" s="29">
        <f>ROUND(AX148 + AY148, 2)</f>
        <v/>
      </c>
      <c r="BA148" s="29">
        <f>Saldo_Residual_Activo!R148</f>
        <v/>
      </c>
      <c r="BB148" s="29">
        <f>ROUND(AZ148 + BA148, 2)</f>
        <v/>
      </c>
      <c r="BC148" s="29">
        <f>Saldos_Capital_Mensual!S148</f>
        <v/>
      </c>
      <c r="BD148" s="29">
        <f>Saldos_Intereses_Mensual!S148</f>
        <v/>
      </c>
      <c r="BE148" s="29">
        <f>ROUND(BC148 + BD148, 2)</f>
        <v/>
      </c>
      <c r="BF148" s="29">
        <f>Saldo_Residual_Activo!S148</f>
        <v/>
      </c>
      <c r="BG148" s="29">
        <f>ROUND(BE148 + BF148, 2)</f>
        <v/>
      </c>
      <c r="BH148" s="29">
        <f>Saldos_Capital_Mensual!T148</f>
        <v/>
      </c>
      <c r="BI148" s="29">
        <f>Saldos_Intereses_Mensual!T148</f>
        <v/>
      </c>
      <c r="BJ148" s="29">
        <f>ROUND(BH148 + BI148, 2)</f>
        <v/>
      </c>
      <c r="BK148" s="29">
        <f>Saldo_Residual_Activo!T148</f>
        <v/>
      </c>
      <c r="BL148" s="29">
        <f>ROUND(BJ148 + BK148, 2)</f>
        <v/>
      </c>
    </row>
    <row r="149">
      <c r="A149" s="20" t="inlineStr">
        <is>
          <t>0674-0001</t>
        </is>
      </c>
      <c r="B149" s="21" t="inlineStr">
        <is>
          <t>Zuji Sa de Cv</t>
        </is>
      </c>
      <c r="C149" s="21" t="inlineStr">
        <is>
          <t>2008 Allure</t>
        </is>
      </c>
      <c r="D149" s="22" t="n">
        <v>36</v>
      </c>
      <c r="E149" s="23">
        <f>Saldos_Capital_Mensual!I149</f>
        <v/>
      </c>
      <c r="F149" s="23">
        <f>Saldos_Intereses_Mensual!I149</f>
        <v/>
      </c>
      <c r="G149" s="23">
        <f>ROUND(E149 + F149, 2)</f>
        <v/>
      </c>
      <c r="H149" s="23">
        <f>Saldo_Residual_Activo!I149</f>
        <v/>
      </c>
      <c r="I149" s="23">
        <f>ROUND(G149 + H149, 2)</f>
        <v/>
      </c>
      <c r="J149" s="23">
        <f>Saldos_Capital_Mensual!J149</f>
        <v/>
      </c>
      <c r="K149" s="23">
        <f>Saldos_Intereses_Mensual!J149</f>
        <v/>
      </c>
      <c r="L149" s="23">
        <f>ROUND(J149 + K149, 2)</f>
        <v/>
      </c>
      <c r="M149" s="23">
        <f>Saldo_Residual_Activo!J149</f>
        <v/>
      </c>
      <c r="N149" s="23">
        <f>ROUND(L149 + M149, 2)</f>
        <v/>
      </c>
      <c r="O149" s="23">
        <f>Saldos_Capital_Mensual!K149</f>
        <v/>
      </c>
      <c r="P149" s="23">
        <f>Saldos_Intereses_Mensual!K149</f>
        <v/>
      </c>
      <c r="Q149" s="23">
        <f>ROUND(O149 + P149, 2)</f>
        <v/>
      </c>
      <c r="R149" s="23">
        <f>Saldo_Residual_Activo!K149</f>
        <v/>
      </c>
      <c r="S149" s="23">
        <f>ROUND(Q149 + R149, 2)</f>
        <v/>
      </c>
      <c r="T149" s="23">
        <f>Saldos_Capital_Mensual!L149</f>
        <v/>
      </c>
      <c r="U149" s="23">
        <f>Saldos_Intereses_Mensual!L149</f>
        <v/>
      </c>
      <c r="V149" s="23">
        <f>ROUND(T149 + U149, 2)</f>
        <v/>
      </c>
      <c r="W149" s="23">
        <f>Saldo_Residual_Activo!L149</f>
        <v/>
      </c>
      <c r="X149" s="23">
        <f>ROUND(V149 + W149, 2)</f>
        <v/>
      </c>
      <c r="Y149" s="23">
        <f>Saldos_Capital_Mensual!M149</f>
        <v/>
      </c>
      <c r="Z149" s="23">
        <f>Saldos_Intereses_Mensual!M149</f>
        <v/>
      </c>
      <c r="AA149" s="23">
        <f>ROUND(Y149 + Z149, 2)</f>
        <v/>
      </c>
      <c r="AB149" s="23">
        <f>Saldo_Residual_Activo!M149</f>
        <v/>
      </c>
      <c r="AC149" s="23">
        <f>ROUND(AA149 + AB149, 2)</f>
        <v/>
      </c>
      <c r="AD149" s="23">
        <f>Saldos_Capital_Mensual!N149</f>
        <v/>
      </c>
      <c r="AE149" s="23">
        <f>Saldos_Intereses_Mensual!N149</f>
        <v/>
      </c>
      <c r="AF149" s="23">
        <f>ROUND(AD149 + AE149, 2)</f>
        <v/>
      </c>
      <c r="AG149" s="23">
        <f>Saldo_Residual_Activo!N149</f>
        <v/>
      </c>
      <c r="AH149" s="23">
        <f>ROUND(AF149 + AG149, 2)</f>
        <v/>
      </c>
      <c r="AI149" s="23">
        <f>Saldos_Capital_Mensual!O149</f>
        <v/>
      </c>
      <c r="AJ149" s="23">
        <f>Saldos_Intereses_Mensual!O149</f>
        <v/>
      </c>
      <c r="AK149" s="23">
        <f>ROUND(AI149 + AJ149, 2)</f>
        <v/>
      </c>
      <c r="AL149" s="23">
        <f>Saldo_Residual_Activo!O149</f>
        <v/>
      </c>
      <c r="AM149" s="23">
        <f>ROUND(AK149 + AL149, 2)</f>
        <v/>
      </c>
      <c r="AN149" s="23">
        <f>Saldos_Capital_Mensual!P149</f>
        <v/>
      </c>
      <c r="AO149" s="23">
        <f>Saldos_Intereses_Mensual!P149</f>
        <v/>
      </c>
      <c r="AP149" s="23">
        <f>ROUND(AN149 + AO149, 2)</f>
        <v/>
      </c>
      <c r="AQ149" s="23">
        <f>Saldo_Residual_Activo!P149</f>
        <v/>
      </c>
      <c r="AR149" s="23">
        <f>ROUND(AP149 + AQ149, 2)</f>
        <v/>
      </c>
      <c r="AS149" s="23">
        <f>Saldos_Capital_Mensual!Q149</f>
        <v/>
      </c>
      <c r="AT149" s="23">
        <f>Saldos_Intereses_Mensual!Q149</f>
        <v/>
      </c>
      <c r="AU149" s="23">
        <f>ROUND(AS149 + AT149, 2)</f>
        <v/>
      </c>
      <c r="AV149" s="23">
        <f>Saldo_Residual_Activo!Q149</f>
        <v/>
      </c>
      <c r="AW149" s="23">
        <f>ROUND(AU149 + AV149, 2)</f>
        <v/>
      </c>
      <c r="AX149" s="23">
        <f>Saldos_Capital_Mensual!R149</f>
        <v/>
      </c>
      <c r="AY149" s="23">
        <f>Saldos_Intereses_Mensual!R149</f>
        <v/>
      </c>
      <c r="AZ149" s="23">
        <f>ROUND(AX149 + AY149, 2)</f>
        <v/>
      </c>
      <c r="BA149" s="23">
        <f>Saldo_Residual_Activo!R149</f>
        <v/>
      </c>
      <c r="BB149" s="23">
        <f>ROUND(AZ149 + BA149, 2)</f>
        <v/>
      </c>
      <c r="BC149" s="23">
        <f>Saldos_Capital_Mensual!S149</f>
        <v/>
      </c>
      <c r="BD149" s="23">
        <f>Saldos_Intereses_Mensual!S149</f>
        <v/>
      </c>
      <c r="BE149" s="23">
        <f>ROUND(BC149 + BD149, 2)</f>
        <v/>
      </c>
      <c r="BF149" s="23">
        <f>Saldo_Residual_Activo!S149</f>
        <v/>
      </c>
      <c r="BG149" s="23">
        <f>ROUND(BE149 + BF149, 2)</f>
        <v/>
      </c>
      <c r="BH149" s="23">
        <f>Saldos_Capital_Mensual!T149</f>
        <v/>
      </c>
      <c r="BI149" s="23">
        <f>Saldos_Intereses_Mensual!T149</f>
        <v/>
      </c>
      <c r="BJ149" s="23">
        <f>ROUND(BH149 + BI149, 2)</f>
        <v/>
      </c>
      <c r="BK149" s="23">
        <f>Saldo_Residual_Activo!T149</f>
        <v/>
      </c>
      <c r="BL149" s="23">
        <f>ROUND(BJ149 + BK149, 2)</f>
        <v/>
      </c>
    </row>
    <row r="150">
      <c r="A150" s="26" t="inlineStr">
        <is>
          <t>0675-0002</t>
        </is>
      </c>
      <c r="B150" s="27" t="inlineStr">
        <is>
          <t>Comercializadora Industrial de Zapopan Sa de Cv</t>
        </is>
      </c>
      <c r="C150" s="27" t="inlineStr">
        <is>
          <t>Valor Residual</t>
        </is>
      </c>
      <c r="D150" s="28" t="n">
        <v>12</v>
      </c>
      <c r="E150" s="29">
        <f>Saldos_Capital_Mensual!I150</f>
        <v/>
      </c>
      <c r="F150" s="29">
        <f>Saldos_Intereses_Mensual!I150</f>
        <v/>
      </c>
      <c r="G150" s="29">
        <f>ROUND(E150 + F150, 2)</f>
        <v/>
      </c>
      <c r="H150" s="29">
        <f>Saldo_Residual_Activo!I150</f>
        <v/>
      </c>
      <c r="I150" s="29">
        <f>ROUND(G150 + H150, 2)</f>
        <v/>
      </c>
      <c r="J150" s="29">
        <f>Saldos_Capital_Mensual!J150</f>
        <v/>
      </c>
      <c r="K150" s="29">
        <f>Saldos_Intereses_Mensual!J150</f>
        <v/>
      </c>
      <c r="L150" s="29">
        <f>ROUND(J150 + K150, 2)</f>
        <v/>
      </c>
      <c r="M150" s="29">
        <f>Saldo_Residual_Activo!J150</f>
        <v/>
      </c>
      <c r="N150" s="29">
        <f>ROUND(L150 + M150, 2)</f>
        <v/>
      </c>
      <c r="O150" s="29">
        <f>Saldos_Capital_Mensual!K150</f>
        <v/>
      </c>
      <c r="P150" s="29">
        <f>Saldos_Intereses_Mensual!K150</f>
        <v/>
      </c>
      <c r="Q150" s="29">
        <f>ROUND(O150 + P150, 2)</f>
        <v/>
      </c>
      <c r="R150" s="29">
        <f>Saldo_Residual_Activo!K150</f>
        <v/>
      </c>
      <c r="S150" s="29">
        <f>ROUND(Q150 + R150, 2)</f>
        <v/>
      </c>
      <c r="T150" s="29">
        <f>Saldos_Capital_Mensual!L150</f>
        <v/>
      </c>
      <c r="U150" s="29">
        <f>Saldos_Intereses_Mensual!L150</f>
        <v/>
      </c>
      <c r="V150" s="29">
        <f>ROUND(T150 + U150, 2)</f>
        <v/>
      </c>
      <c r="W150" s="29">
        <f>Saldo_Residual_Activo!L150</f>
        <v/>
      </c>
      <c r="X150" s="29">
        <f>ROUND(V150 + W150, 2)</f>
        <v/>
      </c>
      <c r="Y150" s="29">
        <f>Saldos_Capital_Mensual!M150</f>
        <v/>
      </c>
      <c r="Z150" s="29">
        <f>Saldos_Intereses_Mensual!M150</f>
        <v/>
      </c>
      <c r="AA150" s="29">
        <f>ROUND(Y150 + Z150, 2)</f>
        <v/>
      </c>
      <c r="AB150" s="29">
        <f>Saldo_Residual_Activo!M150</f>
        <v/>
      </c>
      <c r="AC150" s="29">
        <f>ROUND(AA150 + AB150, 2)</f>
        <v/>
      </c>
      <c r="AD150" s="29">
        <f>Saldos_Capital_Mensual!N150</f>
        <v/>
      </c>
      <c r="AE150" s="29">
        <f>Saldos_Intereses_Mensual!N150</f>
        <v/>
      </c>
      <c r="AF150" s="29">
        <f>ROUND(AD150 + AE150, 2)</f>
        <v/>
      </c>
      <c r="AG150" s="29">
        <f>Saldo_Residual_Activo!N150</f>
        <v/>
      </c>
      <c r="AH150" s="29">
        <f>ROUND(AF150 + AG150, 2)</f>
        <v/>
      </c>
      <c r="AI150" s="29">
        <f>Saldos_Capital_Mensual!O150</f>
        <v/>
      </c>
      <c r="AJ150" s="29">
        <f>Saldos_Intereses_Mensual!O150</f>
        <v/>
      </c>
      <c r="AK150" s="29">
        <f>ROUND(AI150 + AJ150, 2)</f>
        <v/>
      </c>
      <c r="AL150" s="29">
        <f>Saldo_Residual_Activo!O150</f>
        <v/>
      </c>
      <c r="AM150" s="29">
        <f>ROUND(AK150 + AL150, 2)</f>
        <v/>
      </c>
      <c r="AN150" s="29">
        <f>Saldos_Capital_Mensual!P150</f>
        <v/>
      </c>
      <c r="AO150" s="29">
        <f>Saldos_Intereses_Mensual!P150</f>
        <v/>
      </c>
      <c r="AP150" s="29">
        <f>ROUND(AN150 + AO150, 2)</f>
        <v/>
      </c>
      <c r="AQ150" s="29">
        <f>Saldo_Residual_Activo!P150</f>
        <v/>
      </c>
      <c r="AR150" s="29">
        <f>ROUND(AP150 + AQ150, 2)</f>
        <v/>
      </c>
      <c r="AS150" s="29">
        <f>Saldos_Capital_Mensual!Q150</f>
        <v/>
      </c>
      <c r="AT150" s="29">
        <f>Saldos_Intereses_Mensual!Q150</f>
        <v/>
      </c>
      <c r="AU150" s="29">
        <f>ROUND(AS150 + AT150, 2)</f>
        <v/>
      </c>
      <c r="AV150" s="29">
        <f>Saldo_Residual_Activo!Q150</f>
        <v/>
      </c>
      <c r="AW150" s="29">
        <f>ROUND(AU150 + AV150, 2)</f>
        <v/>
      </c>
      <c r="AX150" s="29">
        <f>Saldos_Capital_Mensual!R150</f>
        <v/>
      </c>
      <c r="AY150" s="29">
        <f>Saldos_Intereses_Mensual!R150</f>
        <v/>
      </c>
      <c r="AZ150" s="29">
        <f>ROUND(AX150 + AY150, 2)</f>
        <v/>
      </c>
      <c r="BA150" s="29">
        <f>Saldo_Residual_Activo!R150</f>
        <v/>
      </c>
      <c r="BB150" s="29">
        <f>ROUND(AZ150 + BA150, 2)</f>
        <v/>
      </c>
      <c r="BC150" s="29">
        <f>Saldos_Capital_Mensual!S150</f>
        <v/>
      </c>
      <c r="BD150" s="29">
        <f>Saldos_Intereses_Mensual!S150</f>
        <v/>
      </c>
      <c r="BE150" s="29">
        <f>ROUND(BC150 + BD150, 2)</f>
        <v/>
      </c>
      <c r="BF150" s="29">
        <f>Saldo_Residual_Activo!S150</f>
        <v/>
      </c>
      <c r="BG150" s="29">
        <f>ROUND(BE150 + BF150, 2)</f>
        <v/>
      </c>
      <c r="BH150" s="29">
        <f>Saldos_Capital_Mensual!T150</f>
        <v/>
      </c>
      <c r="BI150" s="29">
        <f>Saldos_Intereses_Mensual!T150</f>
        <v/>
      </c>
      <c r="BJ150" s="29">
        <f>ROUND(BH150 + BI150, 2)</f>
        <v/>
      </c>
      <c r="BK150" s="29">
        <f>Saldo_Residual_Activo!T150</f>
        <v/>
      </c>
      <c r="BL150" s="29">
        <f>ROUND(BJ150 + BK150, 2)</f>
        <v/>
      </c>
    </row>
    <row r="151">
      <c r="A151" s="20" t="inlineStr">
        <is>
          <t>0676-0001</t>
        </is>
      </c>
      <c r="B151" s="21" t="inlineStr">
        <is>
          <t>Productora Agricola los Amoles</t>
        </is>
      </c>
      <c r="C151" s="21" t="inlineStr">
        <is>
          <t>Ram 700 Regular Cab</t>
        </is>
      </c>
      <c r="D151" s="22" t="n">
        <v>36</v>
      </c>
      <c r="E151" s="23">
        <f>Saldos_Capital_Mensual!I151</f>
        <v/>
      </c>
      <c r="F151" s="23">
        <f>Saldos_Intereses_Mensual!I151</f>
        <v/>
      </c>
      <c r="G151" s="23">
        <f>ROUND(E151 + F151, 2)</f>
        <v/>
      </c>
      <c r="H151" s="23">
        <f>Saldo_Residual_Activo!I151</f>
        <v/>
      </c>
      <c r="I151" s="23">
        <f>ROUND(G151 + H151, 2)</f>
        <v/>
      </c>
      <c r="J151" s="23">
        <f>Saldos_Capital_Mensual!J151</f>
        <v/>
      </c>
      <c r="K151" s="23">
        <f>Saldos_Intereses_Mensual!J151</f>
        <v/>
      </c>
      <c r="L151" s="23">
        <f>ROUND(J151 + K151, 2)</f>
        <v/>
      </c>
      <c r="M151" s="23">
        <f>Saldo_Residual_Activo!J151</f>
        <v/>
      </c>
      <c r="N151" s="23">
        <f>ROUND(L151 + M151, 2)</f>
        <v/>
      </c>
      <c r="O151" s="23">
        <f>Saldos_Capital_Mensual!K151</f>
        <v/>
      </c>
      <c r="P151" s="23">
        <f>Saldos_Intereses_Mensual!K151</f>
        <v/>
      </c>
      <c r="Q151" s="23">
        <f>ROUND(O151 + P151, 2)</f>
        <v/>
      </c>
      <c r="R151" s="23">
        <f>Saldo_Residual_Activo!K151</f>
        <v/>
      </c>
      <c r="S151" s="23">
        <f>ROUND(Q151 + R151, 2)</f>
        <v/>
      </c>
      <c r="T151" s="23">
        <f>Saldos_Capital_Mensual!L151</f>
        <v/>
      </c>
      <c r="U151" s="23">
        <f>Saldos_Intereses_Mensual!L151</f>
        <v/>
      </c>
      <c r="V151" s="23">
        <f>ROUND(T151 + U151, 2)</f>
        <v/>
      </c>
      <c r="W151" s="23">
        <f>Saldo_Residual_Activo!L151</f>
        <v/>
      </c>
      <c r="X151" s="23">
        <f>ROUND(V151 + W151, 2)</f>
        <v/>
      </c>
      <c r="Y151" s="23">
        <f>Saldos_Capital_Mensual!M151</f>
        <v/>
      </c>
      <c r="Z151" s="23">
        <f>Saldos_Intereses_Mensual!M151</f>
        <v/>
      </c>
      <c r="AA151" s="23">
        <f>ROUND(Y151 + Z151, 2)</f>
        <v/>
      </c>
      <c r="AB151" s="23">
        <f>Saldo_Residual_Activo!M151</f>
        <v/>
      </c>
      <c r="AC151" s="23">
        <f>ROUND(AA151 + AB151, 2)</f>
        <v/>
      </c>
      <c r="AD151" s="23">
        <f>Saldos_Capital_Mensual!N151</f>
        <v/>
      </c>
      <c r="AE151" s="23">
        <f>Saldos_Intereses_Mensual!N151</f>
        <v/>
      </c>
      <c r="AF151" s="23">
        <f>ROUND(AD151 + AE151, 2)</f>
        <v/>
      </c>
      <c r="AG151" s="23">
        <f>Saldo_Residual_Activo!N151</f>
        <v/>
      </c>
      <c r="AH151" s="23">
        <f>ROUND(AF151 + AG151, 2)</f>
        <v/>
      </c>
      <c r="AI151" s="23">
        <f>Saldos_Capital_Mensual!O151</f>
        <v/>
      </c>
      <c r="AJ151" s="23">
        <f>Saldos_Intereses_Mensual!O151</f>
        <v/>
      </c>
      <c r="AK151" s="23">
        <f>ROUND(AI151 + AJ151, 2)</f>
        <v/>
      </c>
      <c r="AL151" s="23">
        <f>Saldo_Residual_Activo!O151</f>
        <v/>
      </c>
      <c r="AM151" s="23">
        <f>ROUND(AK151 + AL151, 2)</f>
        <v/>
      </c>
      <c r="AN151" s="23">
        <f>Saldos_Capital_Mensual!P151</f>
        <v/>
      </c>
      <c r="AO151" s="23">
        <f>Saldos_Intereses_Mensual!P151</f>
        <v/>
      </c>
      <c r="AP151" s="23">
        <f>ROUND(AN151 + AO151, 2)</f>
        <v/>
      </c>
      <c r="AQ151" s="23">
        <f>Saldo_Residual_Activo!P151</f>
        <v/>
      </c>
      <c r="AR151" s="23">
        <f>ROUND(AP151 + AQ151, 2)</f>
        <v/>
      </c>
      <c r="AS151" s="23">
        <f>Saldos_Capital_Mensual!Q151</f>
        <v/>
      </c>
      <c r="AT151" s="23">
        <f>Saldos_Intereses_Mensual!Q151</f>
        <v/>
      </c>
      <c r="AU151" s="23">
        <f>ROUND(AS151 + AT151, 2)</f>
        <v/>
      </c>
      <c r="AV151" s="23">
        <f>Saldo_Residual_Activo!Q151</f>
        <v/>
      </c>
      <c r="AW151" s="23">
        <f>ROUND(AU151 + AV151, 2)</f>
        <v/>
      </c>
      <c r="AX151" s="23">
        <f>Saldos_Capital_Mensual!R151</f>
        <v/>
      </c>
      <c r="AY151" s="23">
        <f>Saldos_Intereses_Mensual!R151</f>
        <v/>
      </c>
      <c r="AZ151" s="23">
        <f>ROUND(AX151 + AY151, 2)</f>
        <v/>
      </c>
      <c r="BA151" s="23">
        <f>Saldo_Residual_Activo!R151</f>
        <v/>
      </c>
      <c r="BB151" s="23">
        <f>ROUND(AZ151 + BA151, 2)</f>
        <v/>
      </c>
      <c r="BC151" s="23">
        <f>Saldos_Capital_Mensual!S151</f>
        <v/>
      </c>
      <c r="BD151" s="23">
        <f>Saldos_Intereses_Mensual!S151</f>
        <v/>
      </c>
      <c r="BE151" s="23">
        <f>ROUND(BC151 + BD151, 2)</f>
        <v/>
      </c>
      <c r="BF151" s="23">
        <f>Saldo_Residual_Activo!S151</f>
        <v/>
      </c>
      <c r="BG151" s="23">
        <f>ROUND(BE151 + BF151, 2)</f>
        <v/>
      </c>
      <c r="BH151" s="23">
        <f>Saldos_Capital_Mensual!T151</f>
        <v/>
      </c>
      <c r="BI151" s="23">
        <f>Saldos_Intereses_Mensual!T151</f>
        <v/>
      </c>
      <c r="BJ151" s="23">
        <f>ROUND(BH151 + BI151, 2)</f>
        <v/>
      </c>
      <c r="BK151" s="23">
        <f>Saldo_Residual_Activo!T151</f>
        <v/>
      </c>
      <c r="BL151" s="23">
        <f>ROUND(BJ151 + BK151, 2)</f>
        <v/>
      </c>
    </row>
    <row r="152">
      <c r="A152" s="26" t="inlineStr">
        <is>
          <t>0677-0001</t>
        </is>
      </c>
      <c r="B152" s="27" t="inlineStr">
        <is>
          <t>Laboratorio Inunza Siglo XXI</t>
        </is>
      </c>
      <c r="C152" s="27" t="inlineStr">
        <is>
          <t>Outlander Diamon</t>
        </is>
      </c>
      <c r="D152" s="28" t="n">
        <v>36</v>
      </c>
      <c r="E152" s="29">
        <f>Saldos_Capital_Mensual!I152</f>
        <v/>
      </c>
      <c r="F152" s="29">
        <f>Saldos_Intereses_Mensual!I152</f>
        <v/>
      </c>
      <c r="G152" s="29">
        <f>ROUND(E152 + F152, 2)</f>
        <v/>
      </c>
      <c r="H152" s="29">
        <f>Saldo_Residual_Activo!I152</f>
        <v/>
      </c>
      <c r="I152" s="29">
        <f>ROUND(G152 + H152, 2)</f>
        <v/>
      </c>
      <c r="J152" s="29">
        <f>Saldos_Capital_Mensual!J152</f>
        <v/>
      </c>
      <c r="K152" s="29">
        <f>Saldos_Intereses_Mensual!J152</f>
        <v/>
      </c>
      <c r="L152" s="29">
        <f>ROUND(J152 + K152, 2)</f>
        <v/>
      </c>
      <c r="M152" s="29">
        <f>Saldo_Residual_Activo!J152</f>
        <v/>
      </c>
      <c r="N152" s="29">
        <f>ROUND(L152 + M152, 2)</f>
        <v/>
      </c>
      <c r="O152" s="29">
        <f>Saldos_Capital_Mensual!K152</f>
        <v/>
      </c>
      <c r="P152" s="29">
        <f>Saldos_Intereses_Mensual!K152</f>
        <v/>
      </c>
      <c r="Q152" s="29">
        <f>ROUND(O152 + P152, 2)</f>
        <v/>
      </c>
      <c r="R152" s="29">
        <f>Saldo_Residual_Activo!K152</f>
        <v/>
      </c>
      <c r="S152" s="29">
        <f>ROUND(Q152 + R152, 2)</f>
        <v/>
      </c>
      <c r="T152" s="29">
        <f>Saldos_Capital_Mensual!L152</f>
        <v/>
      </c>
      <c r="U152" s="29">
        <f>Saldos_Intereses_Mensual!L152</f>
        <v/>
      </c>
      <c r="V152" s="29">
        <f>ROUND(T152 + U152, 2)</f>
        <v/>
      </c>
      <c r="W152" s="29">
        <f>Saldo_Residual_Activo!L152</f>
        <v/>
      </c>
      <c r="X152" s="29">
        <f>ROUND(V152 + W152, 2)</f>
        <v/>
      </c>
      <c r="Y152" s="29">
        <f>Saldos_Capital_Mensual!M152</f>
        <v/>
      </c>
      <c r="Z152" s="29">
        <f>Saldos_Intereses_Mensual!M152</f>
        <v/>
      </c>
      <c r="AA152" s="29">
        <f>ROUND(Y152 + Z152, 2)</f>
        <v/>
      </c>
      <c r="AB152" s="29">
        <f>Saldo_Residual_Activo!M152</f>
        <v/>
      </c>
      <c r="AC152" s="29">
        <f>ROUND(AA152 + AB152, 2)</f>
        <v/>
      </c>
      <c r="AD152" s="29">
        <f>Saldos_Capital_Mensual!N152</f>
        <v/>
      </c>
      <c r="AE152" s="29">
        <f>Saldos_Intereses_Mensual!N152</f>
        <v/>
      </c>
      <c r="AF152" s="29">
        <f>ROUND(AD152 + AE152, 2)</f>
        <v/>
      </c>
      <c r="AG152" s="29">
        <f>Saldo_Residual_Activo!N152</f>
        <v/>
      </c>
      <c r="AH152" s="29">
        <f>ROUND(AF152 + AG152, 2)</f>
        <v/>
      </c>
      <c r="AI152" s="29">
        <f>Saldos_Capital_Mensual!O152</f>
        <v/>
      </c>
      <c r="AJ152" s="29">
        <f>Saldos_Intereses_Mensual!O152</f>
        <v/>
      </c>
      <c r="AK152" s="29">
        <f>ROUND(AI152 + AJ152, 2)</f>
        <v/>
      </c>
      <c r="AL152" s="29">
        <f>Saldo_Residual_Activo!O152</f>
        <v/>
      </c>
      <c r="AM152" s="29">
        <f>ROUND(AK152 + AL152, 2)</f>
        <v/>
      </c>
      <c r="AN152" s="29">
        <f>Saldos_Capital_Mensual!P152</f>
        <v/>
      </c>
      <c r="AO152" s="29">
        <f>Saldos_Intereses_Mensual!P152</f>
        <v/>
      </c>
      <c r="AP152" s="29">
        <f>ROUND(AN152 + AO152, 2)</f>
        <v/>
      </c>
      <c r="AQ152" s="29">
        <f>Saldo_Residual_Activo!P152</f>
        <v/>
      </c>
      <c r="AR152" s="29">
        <f>ROUND(AP152 + AQ152, 2)</f>
        <v/>
      </c>
      <c r="AS152" s="29">
        <f>Saldos_Capital_Mensual!Q152</f>
        <v/>
      </c>
      <c r="AT152" s="29">
        <f>Saldos_Intereses_Mensual!Q152</f>
        <v/>
      </c>
      <c r="AU152" s="29">
        <f>ROUND(AS152 + AT152, 2)</f>
        <v/>
      </c>
      <c r="AV152" s="29">
        <f>Saldo_Residual_Activo!Q152</f>
        <v/>
      </c>
      <c r="AW152" s="29">
        <f>ROUND(AU152 + AV152, 2)</f>
        <v/>
      </c>
      <c r="AX152" s="29">
        <f>Saldos_Capital_Mensual!R152</f>
        <v/>
      </c>
      <c r="AY152" s="29">
        <f>Saldos_Intereses_Mensual!R152</f>
        <v/>
      </c>
      <c r="AZ152" s="29">
        <f>ROUND(AX152 + AY152, 2)</f>
        <v/>
      </c>
      <c r="BA152" s="29">
        <f>Saldo_Residual_Activo!R152</f>
        <v/>
      </c>
      <c r="BB152" s="29">
        <f>ROUND(AZ152 + BA152, 2)</f>
        <v/>
      </c>
      <c r="BC152" s="29">
        <f>Saldos_Capital_Mensual!S152</f>
        <v/>
      </c>
      <c r="BD152" s="29">
        <f>Saldos_Intereses_Mensual!S152</f>
        <v/>
      </c>
      <c r="BE152" s="29">
        <f>ROUND(BC152 + BD152, 2)</f>
        <v/>
      </c>
      <c r="BF152" s="29">
        <f>Saldo_Residual_Activo!S152</f>
        <v/>
      </c>
      <c r="BG152" s="29">
        <f>ROUND(BE152 + BF152, 2)</f>
        <v/>
      </c>
      <c r="BH152" s="29">
        <f>Saldos_Capital_Mensual!T152</f>
        <v/>
      </c>
      <c r="BI152" s="29">
        <f>Saldos_Intereses_Mensual!T152</f>
        <v/>
      </c>
      <c r="BJ152" s="29">
        <f>ROUND(BH152 + BI152, 2)</f>
        <v/>
      </c>
      <c r="BK152" s="29">
        <f>Saldo_Residual_Activo!T152</f>
        <v/>
      </c>
      <c r="BL152" s="29">
        <f>ROUND(BJ152 + BK152, 2)</f>
        <v/>
      </c>
    </row>
    <row r="153">
      <c r="A153" s="20" t="inlineStr">
        <is>
          <t>0678-0002</t>
        </is>
      </c>
      <c r="B153" s="21" t="inlineStr">
        <is>
          <t>Bhg Harmony S de Rl de Cv</t>
        </is>
      </c>
      <c r="C153" s="21" t="inlineStr">
        <is>
          <t>Teramont</t>
        </is>
      </c>
      <c r="D153" s="22" t="n">
        <v>12</v>
      </c>
      <c r="E153" s="23">
        <f>Saldos_Capital_Mensual!I153</f>
        <v/>
      </c>
      <c r="F153" s="23">
        <f>Saldos_Intereses_Mensual!I153</f>
        <v/>
      </c>
      <c r="G153" s="23">
        <f>ROUND(E153 + F153, 2)</f>
        <v/>
      </c>
      <c r="H153" s="23">
        <f>Saldo_Residual_Activo!I153</f>
        <v/>
      </c>
      <c r="I153" s="23">
        <f>ROUND(G153 + H153, 2)</f>
        <v/>
      </c>
      <c r="J153" s="23">
        <f>Saldos_Capital_Mensual!J153</f>
        <v/>
      </c>
      <c r="K153" s="23">
        <f>Saldos_Intereses_Mensual!J153</f>
        <v/>
      </c>
      <c r="L153" s="23">
        <f>ROUND(J153 + K153, 2)</f>
        <v/>
      </c>
      <c r="M153" s="23">
        <f>Saldo_Residual_Activo!J153</f>
        <v/>
      </c>
      <c r="N153" s="23">
        <f>ROUND(L153 + M153, 2)</f>
        <v/>
      </c>
      <c r="O153" s="23">
        <f>Saldos_Capital_Mensual!K153</f>
        <v/>
      </c>
      <c r="P153" s="23">
        <f>Saldos_Intereses_Mensual!K153</f>
        <v/>
      </c>
      <c r="Q153" s="23">
        <f>ROUND(O153 + P153, 2)</f>
        <v/>
      </c>
      <c r="R153" s="23">
        <f>Saldo_Residual_Activo!K153</f>
        <v/>
      </c>
      <c r="S153" s="23">
        <f>ROUND(Q153 + R153, 2)</f>
        <v/>
      </c>
      <c r="T153" s="23">
        <f>Saldos_Capital_Mensual!L153</f>
        <v/>
      </c>
      <c r="U153" s="23">
        <f>Saldos_Intereses_Mensual!L153</f>
        <v/>
      </c>
      <c r="V153" s="23">
        <f>ROUND(T153 + U153, 2)</f>
        <v/>
      </c>
      <c r="W153" s="23">
        <f>Saldo_Residual_Activo!L153</f>
        <v/>
      </c>
      <c r="X153" s="23">
        <f>ROUND(V153 + W153, 2)</f>
        <v/>
      </c>
      <c r="Y153" s="23">
        <f>Saldos_Capital_Mensual!M153</f>
        <v/>
      </c>
      <c r="Z153" s="23">
        <f>Saldos_Intereses_Mensual!M153</f>
        <v/>
      </c>
      <c r="AA153" s="23">
        <f>ROUND(Y153 + Z153, 2)</f>
        <v/>
      </c>
      <c r="AB153" s="23">
        <f>Saldo_Residual_Activo!M153</f>
        <v/>
      </c>
      <c r="AC153" s="23">
        <f>ROUND(AA153 + AB153, 2)</f>
        <v/>
      </c>
      <c r="AD153" s="23">
        <f>Saldos_Capital_Mensual!N153</f>
        <v/>
      </c>
      <c r="AE153" s="23">
        <f>Saldos_Intereses_Mensual!N153</f>
        <v/>
      </c>
      <c r="AF153" s="23">
        <f>ROUND(AD153 + AE153, 2)</f>
        <v/>
      </c>
      <c r="AG153" s="23">
        <f>Saldo_Residual_Activo!N153</f>
        <v/>
      </c>
      <c r="AH153" s="23">
        <f>ROUND(AF153 + AG153, 2)</f>
        <v/>
      </c>
      <c r="AI153" s="23">
        <f>Saldos_Capital_Mensual!O153</f>
        <v/>
      </c>
      <c r="AJ153" s="23">
        <f>Saldos_Intereses_Mensual!O153</f>
        <v/>
      </c>
      <c r="AK153" s="23">
        <f>ROUND(AI153 + AJ153, 2)</f>
        <v/>
      </c>
      <c r="AL153" s="23">
        <f>Saldo_Residual_Activo!O153</f>
        <v/>
      </c>
      <c r="AM153" s="23">
        <f>ROUND(AK153 + AL153, 2)</f>
        <v/>
      </c>
      <c r="AN153" s="23">
        <f>Saldos_Capital_Mensual!P153</f>
        <v/>
      </c>
      <c r="AO153" s="23">
        <f>Saldos_Intereses_Mensual!P153</f>
        <v/>
      </c>
      <c r="AP153" s="23">
        <f>ROUND(AN153 + AO153, 2)</f>
        <v/>
      </c>
      <c r="AQ153" s="23">
        <f>Saldo_Residual_Activo!P153</f>
        <v/>
      </c>
      <c r="AR153" s="23">
        <f>ROUND(AP153 + AQ153, 2)</f>
        <v/>
      </c>
      <c r="AS153" s="23">
        <f>Saldos_Capital_Mensual!Q153</f>
        <v/>
      </c>
      <c r="AT153" s="23">
        <f>Saldos_Intereses_Mensual!Q153</f>
        <v/>
      </c>
      <c r="AU153" s="23">
        <f>ROUND(AS153 + AT153, 2)</f>
        <v/>
      </c>
      <c r="AV153" s="23">
        <f>Saldo_Residual_Activo!Q153</f>
        <v/>
      </c>
      <c r="AW153" s="23">
        <f>ROUND(AU153 + AV153, 2)</f>
        <v/>
      </c>
      <c r="AX153" s="23">
        <f>Saldos_Capital_Mensual!R153</f>
        <v/>
      </c>
      <c r="AY153" s="23">
        <f>Saldos_Intereses_Mensual!R153</f>
        <v/>
      </c>
      <c r="AZ153" s="23">
        <f>ROUND(AX153 + AY153, 2)</f>
        <v/>
      </c>
      <c r="BA153" s="23">
        <f>Saldo_Residual_Activo!R153</f>
        <v/>
      </c>
      <c r="BB153" s="23">
        <f>ROUND(AZ153 + BA153, 2)</f>
        <v/>
      </c>
      <c r="BC153" s="23">
        <f>Saldos_Capital_Mensual!S153</f>
        <v/>
      </c>
      <c r="BD153" s="23">
        <f>Saldos_Intereses_Mensual!S153</f>
        <v/>
      </c>
      <c r="BE153" s="23">
        <f>ROUND(BC153 + BD153, 2)</f>
        <v/>
      </c>
      <c r="BF153" s="23">
        <f>Saldo_Residual_Activo!S153</f>
        <v/>
      </c>
      <c r="BG153" s="23">
        <f>ROUND(BE153 + BF153, 2)</f>
        <v/>
      </c>
      <c r="BH153" s="23">
        <f>Saldos_Capital_Mensual!T153</f>
        <v/>
      </c>
      <c r="BI153" s="23">
        <f>Saldos_Intereses_Mensual!T153</f>
        <v/>
      </c>
      <c r="BJ153" s="23">
        <f>ROUND(BH153 + BI153, 2)</f>
        <v/>
      </c>
      <c r="BK153" s="23">
        <f>Saldo_Residual_Activo!T153</f>
        <v/>
      </c>
      <c r="BL153" s="23">
        <f>ROUND(BJ153 + BK153, 2)</f>
        <v/>
      </c>
    </row>
    <row r="154">
      <c r="A154" s="26" t="inlineStr">
        <is>
          <t>0679-0001</t>
        </is>
      </c>
      <c r="B154" s="27" t="inlineStr">
        <is>
          <t>Naikor de Occidente Sa de Cv</t>
        </is>
      </c>
      <c r="C154" s="27" t="inlineStr">
        <is>
          <t>2008</t>
        </is>
      </c>
      <c r="D154" s="28" t="n">
        <v>48</v>
      </c>
      <c r="E154" s="29">
        <f>Saldos_Capital_Mensual!I154</f>
        <v/>
      </c>
      <c r="F154" s="29">
        <f>Saldos_Intereses_Mensual!I154</f>
        <v/>
      </c>
      <c r="G154" s="29">
        <f>ROUND(E154 + F154, 2)</f>
        <v/>
      </c>
      <c r="H154" s="29">
        <f>Saldo_Residual_Activo!I154</f>
        <v/>
      </c>
      <c r="I154" s="29">
        <f>ROUND(G154 + H154, 2)</f>
        <v/>
      </c>
      <c r="J154" s="29">
        <f>Saldos_Capital_Mensual!J154</f>
        <v/>
      </c>
      <c r="K154" s="29">
        <f>Saldos_Intereses_Mensual!J154</f>
        <v/>
      </c>
      <c r="L154" s="29">
        <f>ROUND(J154 + K154, 2)</f>
        <v/>
      </c>
      <c r="M154" s="29">
        <f>Saldo_Residual_Activo!J154</f>
        <v/>
      </c>
      <c r="N154" s="29">
        <f>ROUND(L154 + M154, 2)</f>
        <v/>
      </c>
      <c r="O154" s="29">
        <f>Saldos_Capital_Mensual!K154</f>
        <v/>
      </c>
      <c r="P154" s="29">
        <f>Saldos_Intereses_Mensual!K154</f>
        <v/>
      </c>
      <c r="Q154" s="29">
        <f>ROUND(O154 + P154, 2)</f>
        <v/>
      </c>
      <c r="R154" s="29">
        <f>Saldo_Residual_Activo!K154</f>
        <v/>
      </c>
      <c r="S154" s="29">
        <f>ROUND(Q154 + R154, 2)</f>
        <v/>
      </c>
      <c r="T154" s="29">
        <f>Saldos_Capital_Mensual!L154</f>
        <v/>
      </c>
      <c r="U154" s="29">
        <f>Saldos_Intereses_Mensual!L154</f>
        <v/>
      </c>
      <c r="V154" s="29">
        <f>ROUND(T154 + U154, 2)</f>
        <v/>
      </c>
      <c r="W154" s="29">
        <f>Saldo_Residual_Activo!L154</f>
        <v/>
      </c>
      <c r="X154" s="29">
        <f>ROUND(V154 + W154, 2)</f>
        <v/>
      </c>
      <c r="Y154" s="29">
        <f>Saldos_Capital_Mensual!M154</f>
        <v/>
      </c>
      <c r="Z154" s="29">
        <f>Saldos_Intereses_Mensual!M154</f>
        <v/>
      </c>
      <c r="AA154" s="29">
        <f>ROUND(Y154 + Z154, 2)</f>
        <v/>
      </c>
      <c r="AB154" s="29">
        <f>Saldo_Residual_Activo!M154</f>
        <v/>
      </c>
      <c r="AC154" s="29">
        <f>ROUND(AA154 + AB154, 2)</f>
        <v/>
      </c>
      <c r="AD154" s="29">
        <f>Saldos_Capital_Mensual!N154</f>
        <v/>
      </c>
      <c r="AE154" s="29">
        <f>Saldos_Intereses_Mensual!N154</f>
        <v/>
      </c>
      <c r="AF154" s="29">
        <f>ROUND(AD154 + AE154, 2)</f>
        <v/>
      </c>
      <c r="AG154" s="29">
        <f>Saldo_Residual_Activo!N154</f>
        <v/>
      </c>
      <c r="AH154" s="29">
        <f>ROUND(AF154 + AG154, 2)</f>
        <v/>
      </c>
      <c r="AI154" s="29">
        <f>Saldos_Capital_Mensual!O154</f>
        <v/>
      </c>
      <c r="AJ154" s="29">
        <f>Saldos_Intereses_Mensual!O154</f>
        <v/>
      </c>
      <c r="AK154" s="29">
        <f>ROUND(AI154 + AJ154, 2)</f>
        <v/>
      </c>
      <c r="AL154" s="29">
        <f>Saldo_Residual_Activo!O154</f>
        <v/>
      </c>
      <c r="AM154" s="29">
        <f>ROUND(AK154 + AL154, 2)</f>
        <v/>
      </c>
      <c r="AN154" s="29">
        <f>Saldos_Capital_Mensual!P154</f>
        <v/>
      </c>
      <c r="AO154" s="29">
        <f>Saldos_Intereses_Mensual!P154</f>
        <v/>
      </c>
      <c r="AP154" s="29">
        <f>ROUND(AN154 + AO154, 2)</f>
        <v/>
      </c>
      <c r="AQ154" s="29">
        <f>Saldo_Residual_Activo!P154</f>
        <v/>
      </c>
      <c r="AR154" s="29">
        <f>ROUND(AP154 + AQ154, 2)</f>
        <v/>
      </c>
      <c r="AS154" s="29">
        <f>Saldos_Capital_Mensual!Q154</f>
        <v/>
      </c>
      <c r="AT154" s="29">
        <f>Saldos_Intereses_Mensual!Q154</f>
        <v/>
      </c>
      <c r="AU154" s="29">
        <f>ROUND(AS154 + AT154, 2)</f>
        <v/>
      </c>
      <c r="AV154" s="29">
        <f>Saldo_Residual_Activo!Q154</f>
        <v/>
      </c>
      <c r="AW154" s="29">
        <f>ROUND(AU154 + AV154, 2)</f>
        <v/>
      </c>
      <c r="AX154" s="29">
        <f>Saldos_Capital_Mensual!R154</f>
        <v/>
      </c>
      <c r="AY154" s="29">
        <f>Saldos_Intereses_Mensual!R154</f>
        <v/>
      </c>
      <c r="AZ154" s="29">
        <f>ROUND(AX154 + AY154, 2)</f>
        <v/>
      </c>
      <c r="BA154" s="29">
        <f>Saldo_Residual_Activo!R154</f>
        <v/>
      </c>
      <c r="BB154" s="29">
        <f>ROUND(AZ154 + BA154, 2)</f>
        <v/>
      </c>
      <c r="BC154" s="29">
        <f>Saldos_Capital_Mensual!S154</f>
        <v/>
      </c>
      <c r="BD154" s="29">
        <f>Saldos_Intereses_Mensual!S154</f>
        <v/>
      </c>
      <c r="BE154" s="29">
        <f>ROUND(BC154 + BD154, 2)</f>
        <v/>
      </c>
      <c r="BF154" s="29">
        <f>Saldo_Residual_Activo!S154</f>
        <v/>
      </c>
      <c r="BG154" s="29">
        <f>ROUND(BE154 + BF154, 2)</f>
        <v/>
      </c>
      <c r="BH154" s="29">
        <f>Saldos_Capital_Mensual!T154</f>
        <v/>
      </c>
      <c r="BI154" s="29">
        <f>Saldos_Intereses_Mensual!T154</f>
        <v/>
      </c>
      <c r="BJ154" s="29">
        <f>ROUND(BH154 + BI154, 2)</f>
        <v/>
      </c>
      <c r="BK154" s="29">
        <f>Saldo_Residual_Activo!T154</f>
        <v/>
      </c>
      <c r="BL154" s="29">
        <f>ROUND(BJ154 + BK154, 2)</f>
        <v/>
      </c>
    </row>
    <row r="155">
      <c r="A155" s="20" t="inlineStr">
        <is>
          <t>0680-0001</t>
        </is>
      </c>
      <c r="B155" s="21" t="inlineStr">
        <is>
          <t>Madereria el Volcan Sa de Cv</t>
        </is>
      </c>
      <c r="C155" s="21" t="inlineStr">
        <is>
          <t>JT Mojave</t>
        </is>
      </c>
      <c r="D155" s="22" t="n">
        <v>36</v>
      </c>
      <c r="E155" s="23">
        <f>Saldos_Capital_Mensual!I155</f>
        <v/>
      </c>
      <c r="F155" s="23">
        <f>Saldos_Intereses_Mensual!I155</f>
        <v/>
      </c>
      <c r="G155" s="23">
        <f>ROUND(E155 + F155, 2)</f>
        <v/>
      </c>
      <c r="H155" s="23">
        <f>Saldo_Residual_Activo!I155</f>
        <v/>
      </c>
      <c r="I155" s="23">
        <f>ROUND(G155 + H155, 2)</f>
        <v/>
      </c>
      <c r="J155" s="23">
        <f>Saldos_Capital_Mensual!J155</f>
        <v/>
      </c>
      <c r="K155" s="23">
        <f>Saldos_Intereses_Mensual!J155</f>
        <v/>
      </c>
      <c r="L155" s="23">
        <f>ROUND(J155 + K155, 2)</f>
        <v/>
      </c>
      <c r="M155" s="23">
        <f>Saldo_Residual_Activo!J155</f>
        <v/>
      </c>
      <c r="N155" s="23">
        <f>ROUND(L155 + M155, 2)</f>
        <v/>
      </c>
      <c r="O155" s="23">
        <f>Saldos_Capital_Mensual!K155</f>
        <v/>
      </c>
      <c r="P155" s="23">
        <f>Saldos_Intereses_Mensual!K155</f>
        <v/>
      </c>
      <c r="Q155" s="23">
        <f>ROUND(O155 + P155, 2)</f>
        <v/>
      </c>
      <c r="R155" s="23">
        <f>Saldo_Residual_Activo!K155</f>
        <v/>
      </c>
      <c r="S155" s="23">
        <f>ROUND(Q155 + R155, 2)</f>
        <v/>
      </c>
      <c r="T155" s="23">
        <f>Saldos_Capital_Mensual!L155</f>
        <v/>
      </c>
      <c r="U155" s="23">
        <f>Saldos_Intereses_Mensual!L155</f>
        <v/>
      </c>
      <c r="V155" s="23">
        <f>ROUND(T155 + U155, 2)</f>
        <v/>
      </c>
      <c r="W155" s="23">
        <f>Saldo_Residual_Activo!L155</f>
        <v/>
      </c>
      <c r="X155" s="23">
        <f>ROUND(V155 + W155, 2)</f>
        <v/>
      </c>
      <c r="Y155" s="23">
        <f>Saldos_Capital_Mensual!M155</f>
        <v/>
      </c>
      <c r="Z155" s="23">
        <f>Saldos_Intereses_Mensual!M155</f>
        <v/>
      </c>
      <c r="AA155" s="23">
        <f>ROUND(Y155 + Z155, 2)</f>
        <v/>
      </c>
      <c r="AB155" s="23">
        <f>Saldo_Residual_Activo!M155</f>
        <v/>
      </c>
      <c r="AC155" s="23">
        <f>ROUND(AA155 + AB155, 2)</f>
        <v/>
      </c>
      <c r="AD155" s="23">
        <f>Saldos_Capital_Mensual!N155</f>
        <v/>
      </c>
      <c r="AE155" s="23">
        <f>Saldos_Intereses_Mensual!N155</f>
        <v/>
      </c>
      <c r="AF155" s="23">
        <f>ROUND(AD155 + AE155, 2)</f>
        <v/>
      </c>
      <c r="AG155" s="23">
        <f>Saldo_Residual_Activo!N155</f>
        <v/>
      </c>
      <c r="AH155" s="23">
        <f>ROUND(AF155 + AG155, 2)</f>
        <v/>
      </c>
      <c r="AI155" s="23">
        <f>Saldos_Capital_Mensual!O155</f>
        <v/>
      </c>
      <c r="AJ155" s="23">
        <f>Saldos_Intereses_Mensual!O155</f>
        <v/>
      </c>
      <c r="AK155" s="23">
        <f>ROUND(AI155 + AJ155, 2)</f>
        <v/>
      </c>
      <c r="AL155" s="23">
        <f>Saldo_Residual_Activo!O155</f>
        <v/>
      </c>
      <c r="AM155" s="23">
        <f>ROUND(AK155 + AL155, 2)</f>
        <v/>
      </c>
      <c r="AN155" s="23">
        <f>Saldos_Capital_Mensual!P155</f>
        <v/>
      </c>
      <c r="AO155" s="23">
        <f>Saldos_Intereses_Mensual!P155</f>
        <v/>
      </c>
      <c r="AP155" s="23">
        <f>ROUND(AN155 + AO155, 2)</f>
        <v/>
      </c>
      <c r="AQ155" s="23">
        <f>Saldo_Residual_Activo!P155</f>
        <v/>
      </c>
      <c r="AR155" s="23">
        <f>ROUND(AP155 + AQ155, 2)</f>
        <v/>
      </c>
      <c r="AS155" s="23">
        <f>Saldos_Capital_Mensual!Q155</f>
        <v/>
      </c>
      <c r="AT155" s="23">
        <f>Saldos_Intereses_Mensual!Q155</f>
        <v/>
      </c>
      <c r="AU155" s="23">
        <f>ROUND(AS155 + AT155, 2)</f>
        <v/>
      </c>
      <c r="AV155" s="23">
        <f>Saldo_Residual_Activo!Q155</f>
        <v/>
      </c>
      <c r="AW155" s="23">
        <f>ROUND(AU155 + AV155, 2)</f>
        <v/>
      </c>
      <c r="AX155" s="23">
        <f>Saldos_Capital_Mensual!R155</f>
        <v/>
      </c>
      <c r="AY155" s="23">
        <f>Saldos_Intereses_Mensual!R155</f>
        <v/>
      </c>
      <c r="AZ155" s="23">
        <f>ROUND(AX155 + AY155, 2)</f>
        <v/>
      </c>
      <c r="BA155" s="23">
        <f>Saldo_Residual_Activo!R155</f>
        <v/>
      </c>
      <c r="BB155" s="23">
        <f>ROUND(AZ155 + BA155, 2)</f>
        <v/>
      </c>
      <c r="BC155" s="23">
        <f>Saldos_Capital_Mensual!S155</f>
        <v/>
      </c>
      <c r="BD155" s="23">
        <f>Saldos_Intereses_Mensual!S155</f>
        <v/>
      </c>
      <c r="BE155" s="23">
        <f>ROUND(BC155 + BD155, 2)</f>
        <v/>
      </c>
      <c r="BF155" s="23">
        <f>Saldo_Residual_Activo!S155</f>
        <v/>
      </c>
      <c r="BG155" s="23">
        <f>ROUND(BE155 + BF155, 2)</f>
        <v/>
      </c>
      <c r="BH155" s="23">
        <f>Saldos_Capital_Mensual!T155</f>
        <v/>
      </c>
      <c r="BI155" s="23">
        <f>Saldos_Intereses_Mensual!T155</f>
        <v/>
      </c>
      <c r="BJ155" s="23">
        <f>ROUND(BH155 + BI155, 2)</f>
        <v/>
      </c>
      <c r="BK155" s="23">
        <f>Saldo_Residual_Activo!T155</f>
        <v/>
      </c>
      <c r="BL155" s="23">
        <f>ROUND(BJ155 + BK155, 2)</f>
        <v/>
      </c>
    </row>
    <row r="156">
      <c r="A156" s="26" t="inlineStr">
        <is>
          <t>0682-0001</t>
        </is>
      </c>
      <c r="B156" s="27" t="inlineStr">
        <is>
          <t>Hidraneumaticos y Equipos para Gas Sa de Cv</t>
        </is>
      </c>
      <c r="C156" s="27" t="inlineStr">
        <is>
          <t>Renegade Limited</t>
        </is>
      </c>
      <c r="D156" s="28" t="n">
        <v>24</v>
      </c>
      <c r="E156" s="29">
        <f>Saldos_Capital_Mensual!I156</f>
        <v/>
      </c>
      <c r="F156" s="29">
        <f>Saldos_Intereses_Mensual!I156</f>
        <v/>
      </c>
      <c r="G156" s="29">
        <f>ROUND(E156 + F156, 2)</f>
        <v/>
      </c>
      <c r="H156" s="29">
        <f>Saldo_Residual_Activo!I156</f>
        <v/>
      </c>
      <c r="I156" s="29">
        <f>ROUND(G156 + H156, 2)</f>
        <v/>
      </c>
      <c r="J156" s="29">
        <f>Saldos_Capital_Mensual!J156</f>
        <v/>
      </c>
      <c r="K156" s="29">
        <f>Saldos_Intereses_Mensual!J156</f>
        <v/>
      </c>
      <c r="L156" s="29">
        <f>ROUND(J156 + K156, 2)</f>
        <v/>
      </c>
      <c r="M156" s="29">
        <f>Saldo_Residual_Activo!J156</f>
        <v/>
      </c>
      <c r="N156" s="29">
        <f>ROUND(L156 + M156, 2)</f>
        <v/>
      </c>
      <c r="O156" s="29">
        <f>Saldos_Capital_Mensual!K156</f>
        <v/>
      </c>
      <c r="P156" s="29">
        <f>Saldos_Intereses_Mensual!K156</f>
        <v/>
      </c>
      <c r="Q156" s="29">
        <f>ROUND(O156 + P156, 2)</f>
        <v/>
      </c>
      <c r="R156" s="29">
        <f>Saldo_Residual_Activo!K156</f>
        <v/>
      </c>
      <c r="S156" s="29">
        <f>ROUND(Q156 + R156, 2)</f>
        <v/>
      </c>
      <c r="T156" s="29">
        <f>Saldos_Capital_Mensual!L156</f>
        <v/>
      </c>
      <c r="U156" s="29">
        <f>Saldos_Intereses_Mensual!L156</f>
        <v/>
      </c>
      <c r="V156" s="29">
        <f>ROUND(T156 + U156, 2)</f>
        <v/>
      </c>
      <c r="W156" s="29">
        <f>Saldo_Residual_Activo!L156</f>
        <v/>
      </c>
      <c r="X156" s="29">
        <f>ROUND(V156 + W156, 2)</f>
        <v/>
      </c>
      <c r="Y156" s="29">
        <f>Saldos_Capital_Mensual!M156</f>
        <v/>
      </c>
      <c r="Z156" s="29">
        <f>Saldos_Intereses_Mensual!M156</f>
        <v/>
      </c>
      <c r="AA156" s="29">
        <f>ROUND(Y156 + Z156, 2)</f>
        <v/>
      </c>
      <c r="AB156" s="29">
        <f>Saldo_Residual_Activo!M156</f>
        <v/>
      </c>
      <c r="AC156" s="29">
        <f>ROUND(AA156 + AB156, 2)</f>
        <v/>
      </c>
      <c r="AD156" s="29">
        <f>Saldos_Capital_Mensual!N156</f>
        <v/>
      </c>
      <c r="AE156" s="29">
        <f>Saldos_Intereses_Mensual!N156</f>
        <v/>
      </c>
      <c r="AF156" s="29">
        <f>ROUND(AD156 + AE156, 2)</f>
        <v/>
      </c>
      <c r="AG156" s="29">
        <f>Saldo_Residual_Activo!N156</f>
        <v/>
      </c>
      <c r="AH156" s="29">
        <f>ROUND(AF156 + AG156, 2)</f>
        <v/>
      </c>
      <c r="AI156" s="29">
        <f>Saldos_Capital_Mensual!O156</f>
        <v/>
      </c>
      <c r="AJ156" s="29">
        <f>Saldos_Intereses_Mensual!O156</f>
        <v/>
      </c>
      <c r="AK156" s="29">
        <f>ROUND(AI156 + AJ156, 2)</f>
        <v/>
      </c>
      <c r="AL156" s="29">
        <f>Saldo_Residual_Activo!O156</f>
        <v/>
      </c>
      <c r="AM156" s="29">
        <f>ROUND(AK156 + AL156, 2)</f>
        <v/>
      </c>
      <c r="AN156" s="29">
        <f>Saldos_Capital_Mensual!P156</f>
        <v/>
      </c>
      <c r="AO156" s="29">
        <f>Saldos_Intereses_Mensual!P156</f>
        <v/>
      </c>
      <c r="AP156" s="29">
        <f>ROUND(AN156 + AO156, 2)</f>
        <v/>
      </c>
      <c r="AQ156" s="29">
        <f>Saldo_Residual_Activo!P156</f>
        <v/>
      </c>
      <c r="AR156" s="29">
        <f>ROUND(AP156 + AQ156, 2)</f>
        <v/>
      </c>
      <c r="AS156" s="29">
        <f>Saldos_Capital_Mensual!Q156</f>
        <v/>
      </c>
      <c r="AT156" s="29">
        <f>Saldos_Intereses_Mensual!Q156</f>
        <v/>
      </c>
      <c r="AU156" s="29">
        <f>ROUND(AS156 + AT156, 2)</f>
        <v/>
      </c>
      <c r="AV156" s="29">
        <f>Saldo_Residual_Activo!Q156</f>
        <v/>
      </c>
      <c r="AW156" s="29">
        <f>ROUND(AU156 + AV156, 2)</f>
        <v/>
      </c>
      <c r="AX156" s="29">
        <f>Saldos_Capital_Mensual!R156</f>
        <v/>
      </c>
      <c r="AY156" s="29">
        <f>Saldos_Intereses_Mensual!R156</f>
        <v/>
      </c>
      <c r="AZ156" s="29">
        <f>ROUND(AX156 + AY156, 2)</f>
        <v/>
      </c>
      <c r="BA156" s="29">
        <f>Saldo_Residual_Activo!R156</f>
        <v/>
      </c>
      <c r="BB156" s="29">
        <f>ROUND(AZ156 + BA156, 2)</f>
        <v/>
      </c>
      <c r="BC156" s="29">
        <f>Saldos_Capital_Mensual!S156</f>
        <v/>
      </c>
      <c r="BD156" s="29">
        <f>Saldos_Intereses_Mensual!S156</f>
        <v/>
      </c>
      <c r="BE156" s="29">
        <f>ROUND(BC156 + BD156, 2)</f>
        <v/>
      </c>
      <c r="BF156" s="29">
        <f>Saldo_Residual_Activo!S156</f>
        <v/>
      </c>
      <c r="BG156" s="29">
        <f>ROUND(BE156 + BF156, 2)</f>
        <v/>
      </c>
      <c r="BH156" s="29">
        <f>Saldos_Capital_Mensual!T156</f>
        <v/>
      </c>
      <c r="BI156" s="29">
        <f>Saldos_Intereses_Mensual!T156</f>
        <v/>
      </c>
      <c r="BJ156" s="29">
        <f>ROUND(BH156 + BI156, 2)</f>
        <v/>
      </c>
      <c r="BK156" s="29">
        <f>Saldo_Residual_Activo!T156</f>
        <v/>
      </c>
      <c r="BL156" s="29">
        <f>ROUND(BJ156 + BK156, 2)</f>
        <v/>
      </c>
    </row>
    <row r="157">
      <c r="A157" s="20" t="inlineStr">
        <is>
          <t>0682-0002</t>
        </is>
      </c>
      <c r="B157" s="21" t="inlineStr">
        <is>
          <t>Hidroneumaticos y Equipos para Gas Sa de Cv</t>
        </is>
      </c>
      <c r="C157" s="21" t="inlineStr">
        <is>
          <t>RIO</t>
        </is>
      </c>
      <c r="D157" s="22" t="n">
        <v>24</v>
      </c>
      <c r="E157" s="23">
        <f>Saldos_Capital_Mensual!I157</f>
        <v/>
      </c>
      <c r="F157" s="23">
        <f>Saldos_Intereses_Mensual!I157</f>
        <v/>
      </c>
      <c r="G157" s="23">
        <f>ROUND(E157 + F157, 2)</f>
        <v/>
      </c>
      <c r="H157" s="23">
        <f>Saldo_Residual_Activo!I157</f>
        <v/>
      </c>
      <c r="I157" s="23">
        <f>ROUND(G157 + H157, 2)</f>
        <v/>
      </c>
      <c r="J157" s="23">
        <f>Saldos_Capital_Mensual!J157</f>
        <v/>
      </c>
      <c r="K157" s="23">
        <f>Saldos_Intereses_Mensual!J157</f>
        <v/>
      </c>
      <c r="L157" s="23">
        <f>ROUND(J157 + K157, 2)</f>
        <v/>
      </c>
      <c r="M157" s="23">
        <f>Saldo_Residual_Activo!J157</f>
        <v/>
      </c>
      <c r="N157" s="23">
        <f>ROUND(L157 + M157, 2)</f>
        <v/>
      </c>
      <c r="O157" s="23">
        <f>Saldos_Capital_Mensual!K157</f>
        <v/>
      </c>
      <c r="P157" s="23">
        <f>Saldos_Intereses_Mensual!K157</f>
        <v/>
      </c>
      <c r="Q157" s="23">
        <f>ROUND(O157 + P157, 2)</f>
        <v/>
      </c>
      <c r="R157" s="23">
        <f>Saldo_Residual_Activo!K157</f>
        <v/>
      </c>
      <c r="S157" s="23">
        <f>ROUND(Q157 + R157, 2)</f>
        <v/>
      </c>
      <c r="T157" s="23">
        <f>Saldos_Capital_Mensual!L157</f>
        <v/>
      </c>
      <c r="U157" s="23">
        <f>Saldos_Intereses_Mensual!L157</f>
        <v/>
      </c>
      <c r="V157" s="23">
        <f>ROUND(T157 + U157, 2)</f>
        <v/>
      </c>
      <c r="W157" s="23">
        <f>Saldo_Residual_Activo!L157</f>
        <v/>
      </c>
      <c r="X157" s="23">
        <f>ROUND(V157 + W157, 2)</f>
        <v/>
      </c>
      <c r="Y157" s="23">
        <f>Saldos_Capital_Mensual!M157</f>
        <v/>
      </c>
      <c r="Z157" s="23">
        <f>Saldos_Intereses_Mensual!M157</f>
        <v/>
      </c>
      <c r="AA157" s="23">
        <f>ROUND(Y157 + Z157, 2)</f>
        <v/>
      </c>
      <c r="AB157" s="23">
        <f>Saldo_Residual_Activo!M157</f>
        <v/>
      </c>
      <c r="AC157" s="23">
        <f>ROUND(AA157 + AB157, 2)</f>
        <v/>
      </c>
      <c r="AD157" s="23">
        <f>Saldos_Capital_Mensual!N157</f>
        <v/>
      </c>
      <c r="AE157" s="23">
        <f>Saldos_Intereses_Mensual!N157</f>
        <v/>
      </c>
      <c r="AF157" s="23">
        <f>ROUND(AD157 + AE157, 2)</f>
        <v/>
      </c>
      <c r="AG157" s="23">
        <f>Saldo_Residual_Activo!N157</f>
        <v/>
      </c>
      <c r="AH157" s="23">
        <f>ROUND(AF157 + AG157, 2)</f>
        <v/>
      </c>
      <c r="AI157" s="23">
        <f>Saldos_Capital_Mensual!O157</f>
        <v/>
      </c>
      <c r="AJ157" s="23">
        <f>Saldos_Intereses_Mensual!O157</f>
        <v/>
      </c>
      <c r="AK157" s="23">
        <f>ROUND(AI157 + AJ157, 2)</f>
        <v/>
      </c>
      <c r="AL157" s="23">
        <f>Saldo_Residual_Activo!O157</f>
        <v/>
      </c>
      <c r="AM157" s="23">
        <f>ROUND(AK157 + AL157, 2)</f>
        <v/>
      </c>
      <c r="AN157" s="23">
        <f>Saldos_Capital_Mensual!P157</f>
        <v/>
      </c>
      <c r="AO157" s="23">
        <f>Saldos_Intereses_Mensual!P157</f>
        <v/>
      </c>
      <c r="AP157" s="23">
        <f>ROUND(AN157 + AO157, 2)</f>
        <v/>
      </c>
      <c r="AQ157" s="23">
        <f>Saldo_Residual_Activo!P157</f>
        <v/>
      </c>
      <c r="AR157" s="23">
        <f>ROUND(AP157 + AQ157, 2)</f>
        <v/>
      </c>
      <c r="AS157" s="23">
        <f>Saldos_Capital_Mensual!Q157</f>
        <v/>
      </c>
      <c r="AT157" s="23">
        <f>Saldos_Intereses_Mensual!Q157</f>
        <v/>
      </c>
      <c r="AU157" s="23">
        <f>ROUND(AS157 + AT157, 2)</f>
        <v/>
      </c>
      <c r="AV157" s="23">
        <f>Saldo_Residual_Activo!Q157</f>
        <v/>
      </c>
      <c r="AW157" s="23">
        <f>ROUND(AU157 + AV157, 2)</f>
        <v/>
      </c>
      <c r="AX157" s="23">
        <f>Saldos_Capital_Mensual!R157</f>
        <v/>
      </c>
      <c r="AY157" s="23">
        <f>Saldos_Intereses_Mensual!R157</f>
        <v/>
      </c>
      <c r="AZ157" s="23">
        <f>ROUND(AX157 + AY157, 2)</f>
        <v/>
      </c>
      <c r="BA157" s="23">
        <f>Saldo_Residual_Activo!R157</f>
        <v/>
      </c>
      <c r="BB157" s="23">
        <f>ROUND(AZ157 + BA157, 2)</f>
        <v/>
      </c>
      <c r="BC157" s="23">
        <f>Saldos_Capital_Mensual!S157</f>
        <v/>
      </c>
      <c r="BD157" s="23">
        <f>Saldos_Intereses_Mensual!S157</f>
        <v/>
      </c>
      <c r="BE157" s="23">
        <f>ROUND(BC157 + BD157, 2)</f>
        <v/>
      </c>
      <c r="BF157" s="23">
        <f>Saldo_Residual_Activo!S157</f>
        <v/>
      </c>
      <c r="BG157" s="23">
        <f>ROUND(BE157 + BF157, 2)</f>
        <v/>
      </c>
      <c r="BH157" s="23">
        <f>Saldos_Capital_Mensual!T157</f>
        <v/>
      </c>
      <c r="BI157" s="23">
        <f>Saldos_Intereses_Mensual!T157</f>
        <v/>
      </c>
      <c r="BJ157" s="23">
        <f>ROUND(BH157 + BI157, 2)</f>
        <v/>
      </c>
      <c r="BK157" s="23">
        <f>Saldo_Residual_Activo!T157</f>
        <v/>
      </c>
      <c r="BL157" s="23">
        <f>ROUND(BJ157 + BK157, 2)</f>
        <v/>
      </c>
    </row>
    <row r="158">
      <c r="A158" s="26" t="inlineStr">
        <is>
          <t>0683-0001</t>
        </is>
      </c>
      <c r="B158" s="27" t="inlineStr">
        <is>
          <t>Maria de Jesus Sanchez Aguayo</t>
        </is>
      </c>
      <c r="C158" s="27" t="inlineStr">
        <is>
          <t>Ram 700 Regular Cab</t>
        </is>
      </c>
      <c r="D158" s="28" t="n">
        <v>36</v>
      </c>
      <c r="E158" s="29">
        <f>Saldos_Capital_Mensual!I158</f>
        <v/>
      </c>
      <c r="F158" s="29">
        <f>Saldos_Intereses_Mensual!I158</f>
        <v/>
      </c>
      <c r="G158" s="29">
        <f>ROUND(E158 + F158, 2)</f>
        <v/>
      </c>
      <c r="H158" s="29">
        <f>Saldo_Residual_Activo!I158</f>
        <v/>
      </c>
      <c r="I158" s="29">
        <f>ROUND(G158 + H158, 2)</f>
        <v/>
      </c>
      <c r="J158" s="29">
        <f>Saldos_Capital_Mensual!J158</f>
        <v/>
      </c>
      <c r="K158" s="29">
        <f>Saldos_Intereses_Mensual!J158</f>
        <v/>
      </c>
      <c r="L158" s="29">
        <f>ROUND(J158 + K158, 2)</f>
        <v/>
      </c>
      <c r="M158" s="29">
        <f>Saldo_Residual_Activo!J158</f>
        <v/>
      </c>
      <c r="N158" s="29">
        <f>ROUND(L158 + M158, 2)</f>
        <v/>
      </c>
      <c r="O158" s="29">
        <f>Saldos_Capital_Mensual!K158</f>
        <v/>
      </c>
      <c r="P158" s="29">
        <f>Saldos_Intereses_Mensual!K158</f>
        <v/>
      </c>
      <c r="Q158" s="29">
        <f>ROUND(O158 + P158, 2)</f>
        <v/>
      </c>
      <c r="R158" s="29">
        <f>Saldo_Residual_Activo!K158</f>
        <v/>
      </c>
      <c r="S158" s="29">
        <f>ROUND(Q158 + R158, 2)</f>
        <v/>
      </c>
      <c r="T158" s="29">
        <f>Saldos_Capital_Mensual!L158</f>
        <v/>
      </c>
      <c r="U158" s="29">
        <f>Saldos_Intereses_Mensual!L158</f>
        <v/>
      </c>
      <c r="V158" s="29">
        <f>ROUND(T158 + U158, 2)</f>
        <v/>
      </c>
      <c r="W158" s="29">
        <f>Saldo_Residual_Activo!L158</f>
        <v/>
      </c>
      <c r="X158" s="29">
        <f>ROUND(V158 + W158, 2)</f>
        <v/>
      </c>
      <c r="Y158" s="29">
        <f>Saldos_Capital_Mensual!M158</f>
        <v/>
      </c>
      <c r="Z158" s="29">
        <f>Saldos_Intereses_Mensual!M158</f>
        <v/>
      </c>
      <c r="AA158" s="29">
        <f>ROUND(Y158 + Z158, 2)</f>
        <v/>
      </c>
      <c r="AB158" s="29">
        <f>Saldo_Residual_Activo!M158</f>
        <v/>
      </c>
      <c r="AC158" s="29">
        <f>ROUND(AA158 + AB158, 2)</f>
        <v/>
      </c>
      <c r="AD158" s="29">
        <f>Saldos_Capital_Mensual!N158</f>
        <v/>
      </c>
      <c r="AE158" s="29">
        <f>Saldos_Intereses_Mensual!N158</f>
        <v/>
      </c>
      <c r="AF158" s="29">
        <f>ROUND(AD158 + AE158, 2)</f>
        <v/>
      </c>
      <c r="AG158" s="29">
        <f>Saldo_Residual_Activo!N158</f>
        <v/>
      </c>
      <c r="AH158" s="29">
        <f>ROUND(AF158 + AG158, 2)</f>
        <v/>
      </c>
      <c r="AI158" s="29">
        <f>Saldos_Capital_Mensual!O158</f>
        <v/>
      </c>
      <c r="AJ158" s="29">
        <f>Saldos_Intereses_Mensual!O158</f>
        <v/>
      </c>
      <c r="AK158" s="29">
        <f>ROUND(AI158 + AJ158, 2)</f>
        <v/>
      </c>
      <c r="AL158" s="29">
        <f>Saldo_Residual_Activo!O158</f>
        <v/>
      </c>
      <c r="AM158" s="29">
        <f>ROUND(AK158 + AL158, 2)</f>
        <v/>
      </c>
      <c r="AN158" s="29">
        <f>Saldos_Capital_Mensual!P158</f>
        <v/>
      </c>
      <c r="AO158" s="29">
        <f>Saldos_Intereses_Mensual!P158</f>
        <v/>
      </c>
      <c r="AP158" s="29">
        <f>ROUND(AN158 + AO158, 2)</f>
        <v/>
      </c>
      <c r="AQ158" s="29">
        <f>Saldo_Residual_Activo!P158</f>
        <v/>
      </c>
      <c r="AR158" s="29">
        <f>ROUND(AP158 + AQ158, 2)</f>
        <v/>
      </c>
      <c r="AS158" s="29">
        <f>Saldos_Capital_Mensual!Q158</f>
        <v/>
      </c>
      <c r="AT158" s="29">
        <f>Saldos_Intereses_Mensual!Q158</f>
        <v/>
      </c>
      <c r="AU158" s="29">
        <f>ROUND(AS158 + AT158, 2)</f>
        <v/>
      </c>
      <c r="AV158" s="29">
        <f>Saldo_Residual_Activo!Q158</f>
        <v/>
      </c>
      <c r="AW158" s="29">
        <f>ROUND(AU158 + AV158, 2)</f>
        <v/>
      </c>
      <c r="AX158" s="29">
        <f>Saldos_Capital_Mensual!R158</f>
        <v/>
      </c>
      <c r="AY158" s="29">
        <f>Saldos_Intereses_Mensual!R158</f>
        <v/>
      </c>
      <c r="AZ158" s="29">
        <f>ROUND(AX158 + AY158, 2)</f>
        <v/>
      </c>
      <c r="BA158" s="29">
        <f>Saldo_Residual_Activo!R158</f>
        <v/>
      </c>
      <c r="BB158" s="29">
        <f>ROUND(AZ158 + BA158, 2)</f>
        <v/>
      </c>
      <c r="BC158" s="29">
        <f>Saldos_Capital_Mensual!S158</f>
        <v/>
      </c>
      <c r="BD158" s="29">
        <f>Saldos_Intereses_Mensual!S158</f>
        <v/>
      </c>
      <c r="BE158" s="29">
        <f>ROUND(BC158 + BD158, 2)</f>
        <v/>
      </c>
      <c r="BF158" s="29">
        <f>Saldo_Residual_Activo!S158</f>
        <v/>
      </c>
      <c r="BG158" s="29">
        <f>ROUND(BE158 + BF158, 2)</f>
        <v/>
      </c>
      <c r="BH158" s="29">
        <f>Saldos_Capital_Mensual!T158</f>
        <v/>
      </c>
      <c r="BI158" s="29">
        <f>Saldos_Intereses_Mensual!T158</f>
        <v/>
      </c>
      <c r="BJ158" s="29">
        <f>ROUND(BH158 + BI158, 2)</f>
        <v/>
      </c>
      <c r="BK158" s="29">
        <f>Saldo_Residual_Activo!T158</f>
        <v/>
      </c>
      <c r="BL158" s="29">
        <f>ROUND(BJ158 + BK158, 2)</f>
        <v/>
      </c>
    </row>
    <row r="159">
      <c r="A159" s="20" t="inlineStr">
        <is>
          <t>0683-0002</t>
        </is>
      </c>
      <c r="B159" s="21" t="inlineStr">
        <is>
          <t>Maria de Jesus Sanchez Aguayo</t>
        </is>
      </c>
      <c r="C159" s="21" t="inlineStr">
        <is>
          <t>700 Tradesman Regular Cab</t>
        </is>
      </c>
      <c r="D159" s="22" t="n">
        <v>36</v>
      </c>
      <c r="E159" s="23">
        <f>Saldos_Capital_Mensual!I159</f>
        <v/>
      </c>
      <c r="F159" s="23">
        <f>Saldos_Intereses_Mensual!I159</f>
        <v/>
      </c>
      <c r="G159" s="23">
        <f>ROUND(E159 + F159, 2)</f>
        <v/>
      </c>
      <c r="H159" s="23">
        <f>Saldo_Residual_Activo!I159</f>
        <v/>
      </c>
      <c r="I159" s="23">
        <f>ROUND(G159 + H159, 2)</f>
        <v/>
      </c>
      <c r="J159" s="23">
        <f>Saldos_Capital_Mensual!J159</f>
        <v/>
      </c>
      <c r="K159" s="23">
        <f>Saldos_Intereses_Mensual!J159</f>
        <v/>
      </c>
      <c r="L159" s="23">
        <f>ROUND(J159 + K159, 2)</f>
        <v/>
      </c>
      <c r="M159" s="23">
        <f>Saldo_Residual_Activo!J159</f>
        <v/>
      </c>
      <c r="N159" s="23">
        <f>ROUND(L159 + M159, 2)</f>
        <v/>
      </c>
      <c r="O159" s="23">
        <f>Saldos_Capital_Mensual!K159</f>
        <v/>
      </c>
      <c r="P159" s="23">
        <f>Saldos_Intereses_Mensual!K159</f>
        <v/>
      </c>
      <c r="Q159" s="23">
        <f>ROUND(O159 + P159, 2)</f>
        <v/>
      </c>
      <c r="R159" s="23">
        <f>Saldo_Residual_Activo!K159</f>
        <v/>
      </c>
      <c r="S159" s="23">
        <f>ROUND(Q159 + R159, 2)</f>
        <v/>
      </c>
      <c r="T159" s="23">
        <f>Saldos_Capital_Mensual!L159</f>
        <v/>
      </c>
      <c r="U159" s="23">
        <f>Saldos_Intereses_Mensual!L159</f>
        <v/>
      </c>
      <c r="V159" s="23">
        <f>ROUND(T159 + U159, 2)</f>
        <v/>
      </c>
      <c r="W159" s="23">
        <f>Saldo_Residual_Activo!L159</f>
        <v/>
      </c>
      <c r="X159" s="23">
        <f>ROUND(V159 + W159, 2)</f>
        <v/>
      </c>
      <c r="Y159" s="23">
        <f>Saldos_Capital_Mensual!M159</f>
        <v/>
      </c>
      <c r="Z159" s="23">
        <f>Saldos_Intereses_Mensual!M159</f>
        <v/>
      </c>
      <c r="AA159" s="23">
        <f>ROUND(Y159 + Z159, 2)</f>
        <v/>
      </c>
      <c r="AB159" s="23">
        <f>Saldo_Residual_Activo!M159</f>
        <v/>
      </c>
      <c r="AC159" s="23">
        <f>ROUND(AA159 + AB159, 2)</f>
        <v/>
      </c>
      <c r="AD159" s="23">
        <f>Saldos_Capital_Mensual!N159</f>
        <v/>
      </c>
      <c r="AE159" s="23">
        <f>Saldos_Intereses_Mensual!N159</f>
        <v/>
      </c>
      <c r="AF159" s="23">
        <f>ROUND(AD159 + AE159, 2)</f>
        <v/>
      </c>
      <c r="AG159" s="23">
        <f>Saldo_Residual_Activo!N159</f>
        <v/>
      </c>
      <c r="AH159" s="23">
        <f>ROUND(AF159 + AG159, 2)</f>
        <v/>
      </c>
      <c r="AI159" s="23">
        <f>Saldos_Capital_Mensual!O159</f>
        <v/>
      </c>
      <c r="AJ159" s="23">
        <f>Saldos_Intereses_Mensual!O159</f>
        <v/>
      </c>
      <c r="AK159" s="23">
        <f>ROUND(AI159 + AJ159, 2)</f>
        <v/>
      </c>
      <c r="AL159" s="23">
        <f>Saldo_Residual_Activo!O159</f>
        <v/>
      </c>
      <c r="AM159" s="23">
        <f>ROUND(AK159 + AL159, 2)</f>
        <v/>
      </c>
      <c r="AN159" s="23">
        <f>Saldos_Capital_Mensual!P159</f>
        <v/>
      </c>
      <c r="AO159" s="23">
        <f>Saldos_Intereses_Mensual!P159</f>
        <v/>
      </c>
      <c r="AP159" s="23">
        <f>ROUND(AN159 + AO159, 2)</f>
        <v/>
      </c>
      <c r="AQ159" s="23">
        <f>Saldo_Residual_Activo!P159</f>
        <v/>
      </c>
      <c r="AR159" s="23">
        <f>ROUND(AP159 + AQ159, 2)</f>
        <v/>
      </c>
      <c r="AS159" s="23">
        <f>Saldos_Capital_Mensual!Q159</f>
        <v/>
      </c>
      <c r="AT159" s="23">
        <f>Saldos_Intereses_Mensual!Q159</f>
        <v/>
      </c>
      <c r="AU159" s="23">
        <f>ROUND(AS159 + AT159, 2)</f>
        <v/>
      </c>
      <c r="AV159" s="23">
        <f>Saldo_Residual_Activo!Q159</f>
        <v/>
      </c>
      <c r="AW159" s="23">
        <f>ROUND(AU159 + AV159, 2)</f>
        <v/>
      </c>
      <c r="AX159" s="23">
        <f>Saldos_Capital_Mensual!R159</f>
        <v/>
      </c>
      <c r="AY159" s="23">
        <f>Saldos_Intereses_Mensual!R159</f>
        <v/>
      </c>
      <c r="AZ159" s="23">
        <f>ROUND(AX159 + AY159, 2)</f>
        <v/>
      </c>
      <c r="BA159" s="23">
        <f>Saldo_Residual_Activo!R159</f>
        <v/>
      </c>
      <c r="BB159" s="23">
        <f>ROUND(AZ159 + BA159, 2)</f>
        <v/>
      </c>
      <c r="BC159" s="23">
        <f>Saldos_Capital_Mensual!S159</f>
        <v/>
      </c>
      <c r="BD159" s="23">
        <f>Saldos_Intereses_Mensual!S159</f>
        <v/>
      </c>
      <c r="BE159" s="23">
        <f>ROUND(BC159 + BD159, 2)</f>
        <v/>
      </c>
      <c r="BF159" s="23">
        <f>Saldo_Residual_Activo!S159</f>
        <v/>
      </c>
      <c r="BG159" s="23">
        <f>ROUND(BE159 + BF159, 2)</f>
        <v/>
      </c>
      <c r="BH159" s="23">
        <f>Saldos_Capital_Mensual!T159</f>
        <v/>
      </c>
      <c r="BI159" s="23">
        <f>Saldos_Intereses_Mensual!T159</f>
        <v/>
      </c>
      <c r="BJ159" s="23">
        <f>ROUND(BH159 + BI159, 2)</f>
        <v/>
      </c>
      <c r="BK159" s="23">
        <f>Saldo_Residual_Activo!T159</f>
        <v/>
      </c>
      <c r="BL159" s="23">
        <f>ROUND(BJ159 + BK159, 2)</f>
        <v/>
      </c>
    </row>
    <row r="160">
      <c r="A160" s="26" t="inlineStr">
        <is>
          <t>0684-0001</t>
        </is>
      </c>
      <c r="B160" s="27" t="inlineStr">
        <is>
          <t>Corporativo Kareso Sa de v</t>
        </is>
      </c>
      <c r="C160" s="27" t="inlineStr">
        <is>
          <t>GRAND CHEROKEE LIMITED</t>
        </is>
      </c>
      <c r="D160" s="28" t="n">
        <v>24</v>
      </c>
      <c r="E160" s="29">
        <f>Saldos_Capital_Mensual!I160</f>
        <v/>
      </c>
      <c r="F160" s="29">
        <f>Saldos_Intereses_Mensual!I160</f>
        <v/>
      </c>
      <c r="G160" s="29">
        <f>ROUND(E160 + F160, 2)</f>
        <v/>
      </c>
      <c r="H160" s="29">
        <f>Saldo_Residual_Activo!I160</f>
        <v/>
      </c>
      <c r="I160" s="29">
        <f>ROUND(G160 + H160, 2)</f>
        <v/>
      </c>
      <c r="J160" s="29">
        <f>Saldos_Capital_Mensual!J160</f>
        <v/>
      </c>
      <c r="K160" s="29">
        <f>Saldos_Intereses_Mensual!J160</f>
        <v/>
      </c>
      <c r="L160" s="29">
        <f>ROUND(J160 + K160, 2)</f>
        <v/>
      </c>
      <c r="M160" s="29">
        <f>Saldo_Residual_Activo!J160</f>
        <v/>
      </c>
      <c r="N160" s="29">
        <f>ROUND(L160 + M160, 2)</f>
        <v/>
      </c>
      <c r="O160" s="29">
        <f>Saldos_Capital_Mensual!K160</f>
        <v/>
      </c>
      <c r="P160" s="29">
        <f>Saldos_Intereses_Mensual!K160</f>
        <v/>
      </c>
      <c r="Q160" s="29">
        <f>ROUND(O160 + P160, 2)</f>
        <v/>
      </c>
      <c r="R160" s="29">
        <f>Saldo_Residual_Activo!K160</f>
        <v/>
      </c>
      <c r="S160" s="29">
        <f>ROUND(Q160 + R160, 2)</f>
        <v/>
      </c>
      <c r="T160" s="29">
        <f>Saldos_Capital_Mensual!L160</f>
        <v/>
      </c>
      <c r="U160" s="29">
        <f>Saldos_Intereses_Mensual!L160</f>
        <v/>
      </c>
      <c r="V160" s="29">
        <f>ROUND(T160 + U160, 2)</f>
        <v/>
      </c>
      <c r="W160" s="29">
        <f>Saldo_Residual_Activo!L160</f>
        <v/>
      </c>
      <c r="X160" s="29">
        <f>ROUND(V160 + W160, 2)</f>
        <v/>
      </c>
      <c r="Y160" s="29">
        <f>Saldos_Capital_Mensual!M160</f>
        <v/>
      </c>
      <c r="Z160" s="29">
        <f>Saldos_Intereses_Mensual!M160</f>
        <v/>
      </c>
      <c r="AA160" s="29">
        <f>ROUND(Y160 + Z160, 2)</f>
        <v/>
      </c>
      <c r="AB160" s="29">
        <f>Saldo_Residual_Activo!M160</f>
        <v/>
      </c>
      <c r="AC160" s="29">
        <f>ROUND(AA160 + AB160, 2)</f>
        <v/>
      </c>
      <c r="AD160" s="29">
        <f>Saldos_Capital_Mensual!N160</f>
        <v/>
      </c>
      <c r="AE160" s="29">
        <f>Saldos_Intereses_Mensual!N160</f>
        <v/>
      </c>
      <c r="AF160" s="29">
        <f>ROUND(AD160 + AE160, 2)</f>
        <v/>
      </c>
      <c r="AG160" s="29">
        <f>Saldo_Residual_Activo!N160</f>
        <v/>
      </c>
      <c r="AH160" s="29">
        <f>ROUND(AF160 + AG160, 2)</f>
        <v/>
      </c>
      <c r="AI160" s="29">
        <f>Saldos_Capital_Mensual!O160</f>
        <v/>
      </c>
      <c r="AJ160" s="29">
        <f>Saldos_Intereses_Mensual!O160</f>
        <v/>
      </c>
      <c r="AK160" s="29">
        <f>ROUND(AI160 + AJ160, 2)</f>
        <v/>
      </c>
      <c r="AL160" s="29">
        <f>Saldo_Residual_Activo!O160</f>
        <v/>
      </c>
      <c r="AM160" s="29">
        <f>ROUND(AK160 + AL160, 2)</f>
        <v/>
      </c>
      <c r="AN160" s="29">
        <f>Saldos_Capital_Mensual!P160</f>
        <v/>
      </c>
      <c r="AO160" s="29">
        <f>Saldos_Intereses_Mensual!P160</f>
        <v/>
      </c>
      <c r="AP160" s="29">
        <f>ROUND(AN160 + AO160, 2)</f>
        <v/>
      </c>
      <c r="AQ160" s="29">
        <f>Saldo_Residual_Activo!P160</f>
        <v/>
      </c>
      <c r="AR160" s="29">
        <f>ROUND(AP160 + AQ160, 2)</f>
        <v/>
      </c>
      <c r="AS160" s="29">
        <f>Saldos_Capital_Mensual!Q160</f>
        <v/>
      </c>
      <c r="AT160" s="29">
        <f>Saldos_Intereses_Mensual!Q160</f>
        <v/>
      </c>
      <c r="AU160" s="29">
        <f>ROUND(AS160 + AT160, 2)</f>
        <v/>
      </c>
      <c r="AV160" s="29">
        <f>Saldo_Residual_Activo!Q160</f>
        <v/>
      </c>
      <c r="AW160" s="29">
        <f>ROUND(AU160 + AV160, 2)</f>
        <v/>
      </c>
      <c r="AX160" s="29">
        <f>Saldos_Capital_Mensual!R160</f>
        <v/>
      </c>
      <c r="AY160" s="29">
        <f>Saldos_Intereses_Mensual!R160</f>
        <v/>
      </c>
      <c r="AZ160" s="29">
        <f>ROUND(AX160 + AY160, 2)</f>
        <v/>
      </c>
      <c r="BA160" s="29">
        <f>Saldo_Residual_Activo!R160</f>
        <v/>
      </c>
      <c r="BB160" s="29">
        <f>ROUND(AZ160 + BA160, 2)</f>
        <v/>
      </c>
      <c r="BC160" s="29">
        <f>Saldos_Capital_Mensual!S160</f>
        <v/>
      </c>
      <c r="BD160" s="29">
        <f>Saldos_Intereses_Mensual!S160</f>
        <v/>
      </c>
      <c r="BE160" s="29">
        <f>ROUND(BC160 + BD160, 2)</f>
        <v/>
      </c>
      <c r="BF160" s="29">
        <f>Saldo_Residual_Activo!S160</f>
        <v/>
      </c>
      <c r="BG160" s="29">
        <f>ROUND(BE160 + BF160, 2)</f>
        <v/>
      </c>
      <c r="BH160" s="29">
        <f>Saldos_Capital_Mensual!T160</f>
        <v/>
      </c>
      <c r="BI160" s="29">
        <f>Saldos_Intereses_Mensual!T160</f>
        <v/>
      </c>
      <c r="BJ160" s="29">
        <f>ROUND(BH160 + BI160, 2)</f>
        <v/>
      </c>
      <c r="BK160" s="29">
        <f>Saldo_Residual_Activo!T160</f>
        <v/>
      </c>
      <c r="BL160" s="29">
        <f>ROUND(BJ160 + BK160, 2)</f>
        <v/>
      </c>
    </row>
    <row r="161">
      <c r="A161" s="20" t="inlineStr">
        <is>
          <t>0684-0002</t>
        </is>
      </c>
      <c r="B161" s="21" t="inlineStr">
        <is>
          <t>Corporativo Kareso Sa de Cv</t>
        </is>
      </c>
      <c r="C161" s="21" t="inlineStr">
        <is>
          <t>NP300 Chasis</t>
        </is>
      </c>
      <c r="D161" s="22" t="n">
        <v>24</v>
      </c>
      <c r="E161" s="23">
        <f>Saldos_Capital_Mensual!I161</f>
        <v/>
      </c>
      <c r="F161" s="23">
        <f>Saldos_Intereses_Mensual!I161</f>
        <v/>
      </c>
      <c r="G161" s="23">
        <f>ROUND(E161 + F161, 2)</f>
        <v/>
      </c>
      <c r="H161" s="23">
        <f>Saldo_Residual_Activo!I161</f>
        <v/>
      </c>
      <c r="I161" s="23">
        <f>ROUND(G161 + H161, 2)</f>
        <v/>
      </c>
      <c r="J161" s="23">
        <f>Saldos_Capital_Mensual!J161</f>
        <v/>
      </c>
      <c r="K161" s="23">
        <f>Saldos_Intereses_Mensual!J161</f>
        <v/>
      </c>
      <c r="L161" s="23">
        <f>ROUND(J161 + K161, 2)</f>
        <v/>
      </c>
      <c r="M161" s="23">
        <f>Saldo_Residual_Activo!J161</f>
        <v/>
      </c>
      <c r="N161" s="23">
        <f>ROUND(L161 + M161, 2)</f>
        <v/>
      </c>
      <c r="O161" s="23">
        <f>Saldos_Capital_Mensual!K161</f>
        <v/>
      </c>
      <c r="P161" s="23">
        <f>Saldos_Intereses_Mensual!K161</f>
        <v/>
      </c>
      <c r="Q161" s="23">
        <f>ROUND(O161 + P161, 2)</f>
        <v/>
      </c>
      <c r="R161" s="23">
        <f>Saldo_Residual_Activo!K161</f>
        <v/>
      </c>
      <c r="S161" s="23">
        <f>ROUND(Q161 + R161, 2)</f>
        <v/>
      </c>
      <c r="T161" s="23">
        <f>Saldos_Capital_Mensual!L161</f>
        <v/>
      </c>
      <c r="U161" s="23">
        <f>Saldos_Intereses_Mensual!L161</f>
        <v/>
      </c>
      <c r="V161" s="23">
        <f>ROUND(T161 + U161, 2)</f>
        <v/>
      </c>
      <c r="W161" s="23">
        <f>Saldo_Residual_Activo!L161</f>
        <v/>
      </c>
      <c r="X161" s="23">
        <f>ROUND(V161 + W161, 2)</f>
        <v/>
      </c>
      <c r="Y161" s="23">
        <f>Saldos_Capital_Mensual!M161</f>
        <v/>
      </c>
      <c r="Z161" s="23">
        <f>Saldos_Intereses_Mensual!M161</f>
        <v/>
      </c>
      <c r="AA161" s="23">
        <f>ROUND(Y161 + Z161, 2)</f>
        <v/>
      </c>
      <c r="AB161" s="23">
        <f>Saldo_Residual_Activo!M161</f>
        <v/>
      </c>
      <c r="AC161" s="23">
        <f>ROUND(AA161 + AB161, 2)</f>
        <v/>
      </c>
      <c r="AD161" s="23">
        <f>Saldos_Capital_Mensual!N161</f>
        <v/>
      </c>
      <c r="AE161" s="23">
        <f>Saldos_Intereses_Mensual!N161</f>
        <v/>
      </c>
      <c r="AF161" s="23">
        <f>ROUND(AD161 + AE161, 2)</f>
        <v/>
      </c>
      <c r="AG161" s="23">
        <f>Saldo_Residual_Activo!N161</f>
        <v/>
      </c>
      <c r="AH161" s="23">
        <f>ROUND(AF161 + AG161, 2)</f>
        <v/>
      </c>
      <c r="AI161" s="23">
        <f>Saldos_Capital_Mensual!O161</f>
        <v/>
      </c>
      <c r="AJ161" s="23">
        <f>Saldos_Intereses_Mensual!O161</f>
        <v/>
      </c>
      <c r="AK161" s="23">
        <f>ROUND(AI161 + AJ161, 2)</f>
        <v/>
      </c>
      <c r="AL161" s="23">
        <f>Saldo_Residual_Activo!O161</f>
        <v/>
      </c>
      <c r="AM161" s="23">
        <f>ROUND(AK161 + AL161, 2)</f>
        <v/>
      </c>
      <c r="AN161" s="23">
        <f>Saldos_Capital_Mensual!P161</f>
        <v/>
      </c>
      <c r="AO161" s="23">
        <f>Saldos_Intereses_Mensual!P161</f>
        <v/>
      </c>
      <c r="AP161" s="23">
        <f>ROUND(AN161 + AO161, 2)</f>
        <v/>
      </c>
      <c r="AQ161" s="23">
        <f>Saldo_Residual_Activo!P161</f>
        <v/>
      </c>
      <c r="AR161" s="23">
        <f>ROUND(AP161 + AQ161, 2)</f>
        <v/>
      </c>
      <c r="AS161" s="23">
        <f>Saldos_Capital_Mensual!Q161</f>
        <v/>
      </c>
      <c r="AT161" s="23">
        <f>Saldos_Intereses_Mensual!Q161</f>
        <v/>
      </c>
      <c r="AU161" s="23">
        <f>ROUND(AS161 + AT161, 2)</f>
        <v/>
      </c>
      <c r="AV161" s="23">
        <f>Saldo_Residual_Activo!Q161</f>
        <v/>
      </c>
      <c r="AW161" s="23">
        <f>ROUND(AU161 + AV161, 2)</f>
        <v/>
      </c>
      <c r="AX161" s="23">
        <f>Saldos_Capital_Mensual!R161</f>
        <v/>
      </c>
      <c r="AY161" s="23">
        <f>Saldos_Intereses_Mensual!R161</f>
        <v/>
      </c>
      <c r="AZ161" s="23">
        <f>ROUND(AX161 + AY161, 2)</f>
        <v/>
      </c>
      <c r="BA161" s="23">
        <f>Saldo_Residual_Activo!R161</f>
        <v/>
      </c>
      <c r="BB161" s="23">
        <f>ROUND(AZ161 + BA161, 2)</f>
        <v/>
      </c>
      <c r="BC161" s="23">
        <f>Saldos_Capital_Mensual!S161</f>
        <v/>
      </c>
      <c r="BD161" s="23">
        <f>Saldos_Intereses_Mensual!S161</f>
        <v/>
      </c>
      <c r="BE161" s="23">
        <f>ROUND(BC161 + BD161, 2)</f>
        <v/>
      </c>
      <c r="BF161" s="23">
        <f>Saldo_Residual_Activo!S161</f>
        <v/>
      </c>
      <c r="BG161" s="23">
        <f>ROUND(BE161 + BF161, 2)</f>
        <v/>
      </c>
      <c r="BH161" s="23">
        <f>Saldos_Capital_Mensual!T161</f>
        <v/>
      </c>
      <c r="BI161" s="23">
        <f>Saldos_Intereses_Mensual!T161</f>
        <v/>
      </c>
      <c r="BJ161" s="23">
        <f>ROUND(BH161 + BI161, 2)</f>
        <v/>
      </c>
      <c r="BK161" s="23">
        <f>Saldo_Residual_Activo!T161</f>
        <v/>
      </c>
      <c r="BL161" s="23">
        <f>ROUND(BJ161 + BK161, 2)</f>
        <v/>
      </c>
    </row>
    <row r="162">
      <c r="A162" s="26" t="inlineStr">
        <is>
          <t>0684-0003</t>
        </is>
      </c>
      <c r="B162" s="27" t="inlineStr">
        <is>
          <t>Corporativo Kareso Sa de Cv</t>
        </is>
      </c>
      <c r="C162" s="27" t="inlineStr">
        <is>
          <t>Yaris HB</t>
        </is>
      </c>
      <c r="D162" s="28" t="n">
        <v>24</v>
      </c>
      <c r="E162" s="29">
        <f>Saldos_Capital_Mensual!I162</f>
        <v/>
      </c>
      <c r="F162" s="29">
        <f>Saldos_Intereses_Mensual!I162</f>
        <v/>
      </c>
      <c r="G162" s="29">
        <f>ROUND(E162 + F162, 2)</f>
        <v/>
      </c>
      <c r="H162" s="29">
        <f>Saldo_Residual_Activo!I162</f>
        <v/>
      </c>
      <c r="I162" s="29">
        <f>ROUND(G162 + H162, 2)</f>
        <v/>
      </c>
      <c r="J162" s="29">
        <f>Saldos_Capital_Mensual!J162</f>
        <v/>
      </c>
      <c r="K162" s="29">
        <f>Saldos_Intereses_Mensual!J162</f>
        <v/>
      </c>
      <c r="L162" s="29">
        <f>ROUND(J162 + K162, 2)</f>
        <v/>
      </c>
      <c r="M162" s="29">
        <f>Saldo_Residual_Activo!J162</f>
        <v/>
      </c>
      <c r="N162" s="29">
        <f>ROUND(L162 + M162, 2)</f>
        <v/>
      </c>
      <c r="O162" s="29">
        <f>Saldos_Capital_Mensual!K162</f>
        <v/>
      </c>
      <c r="P162" s="29">
        <f>Saldos_Intereses_Mensual!K162</f>
        <v/>
      </c>
      <c r="Q162" s="29">
        <f>ROUND(O162 + P162, 2)</f>
        <v/>
      </c>
      <c r="R162" s="29">
        <f>Saldo_Residual_Activo!K162</f>
        <v/>
      </c>
      <c r="S162" s="29">
        <f>ROUND(Q162 + R162, 2)</f>
        <v/>
      </c>
      <c r="T162" s="29">
        <f>Saldos_Capital_Mensual!L162</f>
        <v/>
      </c>
      <c r="U162" s="29">
        <f>Saldos_Intereses_Mensual!L162</f>
        <v/>
      </c>
      <c r="V162" s="29">
        <f>ROUND(T162 + U162, 2)</f>
        <v/>
      </c>
      <c r="W162" s="29">
        <f>Saldo_Residual_Activo!L162</f>
        <v/>
      </c>
      <c r="X162" s="29">
        <f>ROUND(V162 + W162, 2)</f>
        <v/>
      </c>
      <c r="Y162" s="29">
        <f>Saldos_Capital_Mensual!M162</f>
        <v/>
      </c>
      <c r="Z162" s="29">
        <f>Saldos_Intereses_Mensual!M162</f>
        <v/>
      </c>
      <c r="AA162" s="29">
        <f>ROUND(Y162 + Z162, 2)</f>
        <v/>
      </c>
      <c r="AB162" s="29">
        <f>Saldo_Residual_Activo!M162</f>
        <v/>
      </c>
      <c r="AC162" s="29">
        <f>ROUND(AA162 + AB162, 2)</f>
        <v/>
      </c>
      <c r="AD162" s="29">
        <f>Saldos_Capital_Mensual!N162</f>
        <v/>
      </c>
      <c r="AE162" s="29">
        <f>Saldos_Intereses_Mensual!N162</f>
        <v/>
      </c>
      <c r="AF162" s="29">
        <f>ROUND(AD162 + AE162, 2)</f>
        <v/>
      </c>
      <c r="AG162" s="29">
        <f>Saldo_Residual_Activo!N162</f>
        <v/>
      </c>
      <c r="AH162" s="29">
        <f>ROUND(AF162 + AG162, 2)</f>
        <v/>
      </c>
      <c r="AI162" s="29">
        <f>Saldos_Capital_Mensual!O162</f>
        <v/>
      </c>
      <c r="AJ162" s="29">
        <f>Saldos_Intereses_Mensual!O162</f>
        <v/>
      </c>
      <c r="AK162" s="29">
        <f>ROUND(AI162 + AJ162, 2)</f>
        <v/>
      </c>
      <c r="AL162" s="29">
        <f>Saldo_Residual_Activo!O162</f>
        <v/>
      </c>
      <c r="AM162" s="29">
        <f>ROUND(AK162 + AL162, 2)</f>
        <v/>
      </c>
      <c r="AN162" s="29">
        <f>Saldos_Capital_Mensual!P162</f>
        <v/>
      </c>
      <c r="AO162" s="29">
        <f>Saldos_Intereses_Mensual!P162</f>
        <v/>
      </c>
      <c r="AP162" s="29">
        <f>ROUND(AN162 + AO162, 2)</f>
        <v/>
      </c>
      <c r="AQ162" s="29">
        <f>Saldo_Residual_Activo!P162</f>
        <v/>
      </c>
      <c r="AR162" s="29">
        <f>ROUND(AP162 + AQ162, 2)</f>
        <v/>
      </c>
      <c r="AS162" s="29">
        <f>Saldos_Capital_Mensual!Q162</f>
        <v/>
      </c>
      <c r="AT162" s="29">
        <f>Saldos_Intereses_Mensual!Q162</f>
        <v/>
      </c>
      <c r="AU162" s="29">
        <f>ROUND(AS162 + AT162, 2)</f>
        <v/>
      </c>
      <c r="AV162" s="29">
        <f>Saldo_Residual_Activo!Q162</f>
        <v/>
      </c>
      <c r="AW162" s="29">
        <f>ROUND(AU162 + AV162, 2)</f>
        <v/>
      </c>
      <c r="AX162" s="29">
        <f>Saldos_Capital_Mensual!R162</f>
        <v/>
      </c>
      <c r="AY162" s="29">
        <f>Saldos_Intereses_Mensual!R162</f>
        <v/>
      </c>
      <c r="AZ162" s="29">
        <f>ROUND(AX162 + AY162, 2)</f>
        <v/>
      </c>
      <c r="BA162" s="29">
        <f>Saldo_Residual_Activo!R162</f>
        <v/>
      </c>
      <c r="BB162" s="29">
        <f>ROUND(AZ162 + BA162, 2)</f>
        <v/>
      </c>
      <c r="BC162" s="29">
        <f>Saldos_Capital_Mensual!S162</f>
        <v/>
      </c>
      <c r="BD162" s="29">
        <f>Saldos_Intereses_Mensual!S162</f>
        <v/>
      </c>
      <c r="BE162" s="29">
        <f>ROUND(BC162 + BD162, 2)</f>
        <v/>
      </c>
      <c r="BF162" s="29">
        <f>Saldo_Residual_Activo!S162</f>
        <v/>
      </c>
      <c r="BG162" s="29">
        <f>ROUND(BE162 + BF162, 2)</f>
        <v/>
      </c>
      <c r="BH162" s="29">
        <f>Saldos_Capital_Mensual!T162</f>
        <v/>
      </c>
      <c r="BI162" s="29">
        <f>Saldos_Intereses_Mensual!T162</f>
        <v/>
      </c>
      <c r="BJ162" s="29">
        <f>ROUND(BH162 + BI162, 2)</f>
        <v/>
      </c>
      <c r="BK162" s="29">
        <f>Saldo_Residual_Activo!T162</f>
        <v/>
      </c>
      <c r="BL162" s="29">
        <f>ROUND(BJ162 + BK162, 2)</f>
        <v/>
      </c>
    </row>
    <row r="163">
      <c r="A163" s="20" t="inlineStr">
        <is>
          <t>0684-0004</t>
        </is>
      </c>
      <c r="B163" s="21" t="inlineStr">
        <is>
          <t>Corporativo Kareso Sa de Cv</t>
        </is>
      </c>
      <c r="C163" s="21" t="inlineStr">
        <is>
          <t>700 LARAMIE CREW CAB</t>
        </is>
      </c>
      <c r="D163" s="22" t="n">
        <v>24</v>
      </c>
      <c r="E163" s="23">
        <f>Saldos_Capital_Mensual!I163</f>
        <v/>
      </c>
      <c r="F163" s="23">
        <f>Saldos_Intereses_Mensual!I163</f>
        <v/>
      </c>
      <c r="G163" s="23">
        <f>ROUND(E163 + F163, 2)</f>
        <v/>
      </c>
      <c r="H163" s="23">
        <f>Saldo_Residual_Activo!I163</f>
        <v/>
      </c>
      <c r="I163" s="23">
        <f>ROUND(G163 + H163, 2)</f>
        <v/>
      </c>
      <c r="J163" s="23">
        <f>Saldos_Capital_Mensual!J163</f>
        <v/>
      </c>
      <c r="K163" s="23">
        <f>Saldos_Intereses_Mensual!J163</f>
        <v/>
      </c>
      <c r="L163" s="23">
        <f>ROUND(J163 + K163, 2)</f>
        <v/>
      </c>
      <c r="M163" s="23">
        <f>Saldo_Residual_Activo!J163</f>
        <v/>
      </c>
      <c r="N163" s="23">
        <f>ROUND(L163 + M163, 2)</f>
        <v/>
      </c>
      <c r="O163" s="23">
        <f>Saldos_Capital_Mensual!K163</f>
        <v/>
      </c>
      <c r="P163" s="23">
        <f>Saldos_Intereses_Mensual!K163</f>
        <v/>
      </c>
      <c r="Q163" s="23">
        <f>ROUND(O163 + P163, 2)</f>
        <v/>
      </c>
      <c r="R163" s="23">
        <f>Saldo_Residual_Activo!K163</f>
        <v/>
      </c>
      <c r="S163" s="23">
        <f>ROUND(Q163 + R163, 2)</f>
        <v/>
      </c>
      <c r="T163" s="23">
        <f>Saldos_Capital_Mensual!L163</f>
        <v/>
      </c>
      <c r="U163" s="23">
        <f>Saldos_Intereses_Mensual!L163</f>
        <v/>
      </c>
      <c r="V163" s="23">
        <f>ROUND(T163 + U163, 2)</f>
        <v/>
      </c>
      <c r="W163" s="23">
        <f>Saldo_Residual_Activo!L163</f>
        <v/>
      </c>
      <c r="X163" s="23">
        <f>ROUND(V163 + W163, 2)</f>
        <v/>
      </c>
      <c r="Y163" s="23">
        <f>Saldos_Capital_Mensual!M163</f>
        <v/>
      </c>
      <c r="Z163" s="23">
        <f>Saldos_Intereses_Mensual!M163</f>
        <v/>
      </c>
      <c r="AA163" s="23">
        <f>ROUND(Y163 + Z163, 2)</f>
        <v/>
      </c>
      <c r="AB163" s="23">
        <f>Saldo_Residual_Activo!M163</f>
        <v/>
      </c>
      <c r="AC163" s="23">
        <f>ROUND(AA163 + AB163, 2)</f>
        <v/>
      </c>
      <c r="AD163" s="23">
        <f>Saldos_Capital_Mensual!N163</f>
        <v/>
      </c>
      <c r="AE163" s="23">
        <f>Saldos_Intereses_Mensual!N163</f>
        <v/>
      </c>
      <c r="AF163" s="23">
        <f>ROUND(AD163 + AE163, 2)</f>
        <v/>
      </c>
      <c r="AG163" s="23">
        <f>Saldo_Residual_Activo!N163</f>
        <v/>
      </c>
      <c r="AH163" s="23">
        <f>ROUND(AF163 + AG163, 2)</f>
        <v/>
      </c>
      <c r="AI163" s="23">
        <f>Saldos_Capital_Mensual!O163</f>
        <v/>
      </c>
      <c r="AJ163" s="23">
        <f>Saldos_Intereses_Mensual!O163</f>
        <v/>
      </c>
      <c r="AK163" s="23">
        <f>ROUND(AI163 + AJ163, 2)</f>
        <v/>
      </c>
      <c r="AL163" s="23">
        <f>Saldo_Residual_Activo!O163</f>
        <v/>
      </c>
      <c r="AM163" s="23">
        <f>ROUND(AK163 + AL163, 2)</f>
        <v/>
      </c>
      <c r="AN163" s="23">
        <f>Saldos_Capital_Mensual!P163</f>
        <v/>
      </c>
      <c r="AO163" s="23">
        <f>Saldos_Intereses_Mensual!P163</f>
        <v/>
      </c>
      <c r="AP163" s="23">
        <f>ROUND(AN163 + AO163, 2)</f>
        <v/>
      </c>
      <c r="AQ163" s="23">
        <f>Saldo_Residual_Activo!P163</f>
        <v/>
      </c>
      <c r="AR163" s="23">
        <f>ROUND(AP163 + AQ163, 2)</f>
        <v/>
      </c>
      <c r="AS163" s="23">
        <f>Saldos_Capital_Mensual!Q163</f>
        <v/>
      </c>
      <c r="AT163" s="23">
        <f>Saldos_Intereses_Mensual!Q163</f>
        <v/>
      </c>
      <c r="AU163" s="23">
        <f>ROUND(AS163 + AT163, 2)</f>
        <v/>
      </c>
      <c r="AV163" s="23">
        <f>Saldo_Residual_Activo!Q163</f>
        <v/>
      </c>
      <c r="AW163" s="23">
        <f>ROUND(AU163 + AV163, 2)</f>
        <v/>
      </c>
      <c r="AX163" s="23">
        <f>Saldos_Capital_Mensual!R163</f>
        <v/>
      </c>
      <c r="AY163" s="23">
        <f>Saldos_Intereses_Mensual!R163</f>
        <v/>
      </c>
      <c r="AZ163" s="23">
        <f>ROUND(AX163 + AY163, 2)</f>
        <v/>
      </c>
      <c r="BA163" s="23">
        <f>Saldo_Residual_Activo!R163</f>
        <v/>
      </c>
      <c r="BB163" s="23">
        <f>ROUND(AZ163 + BA163, 2)</f>
        <v/>
      </c>
      <c r="BC163" s="23">
        <f>Saldos_Capital_Mensual!S163</f>
        <v/>
      </c>
      <c r="BD163" s="23">
        <f>Saldos_Intereses_Mensual!S163</f>
        <v/>
      </c>
      <c r="BE163" s="23">
        <f>ROUND(BC163 + BD163, 2)</f>
        <v/>
      </c>
      <c r="BF163" s="23">
        <f>Saldo_Residual_Activo!S163</f>
        <v/>
      </c>
      <c r="BG163" s="23">
        <f>ROUND(BE163 + BF163, 2)</f>
        <v/>
      </c>
      <c r="BH163" s="23">
        <f>Saldos_Capital_Mensual!T163</f>
        <v/>
      </c>
      <c r="BI163" s="23">
        <f>Saldos_Intereses_Mensual!T163</f>
        <v/>
      </c>
      <c r="BJ163" s="23">
        <f>ROUND(BH163 + BI163, 2)</f>
        <v/>
      </c>
      <c r="BK163" s="23">
        <f>Saldo_Residual_Activo!T163</f>
        <v/>
      </c>
      <c r="BL163" s="23">
        <f>ROUND(BJ163 + BK163, 2)</f>
        <v/>
      </c>
    </row>
    <row r="164">
      <c r="A164" s="26" t="inlineStr">
        <is>
          <t>0687-0001</t>
        </is>
      </c>
      <c r="B164" s="27" t="inlineStr">
        <is>
          <t>Roberto Carlos Borbolla Alvarado</t>
        </is>
      </c>
      <c r="C164" s="27" t="inlineStr">
        <is>
          <t>Creta</t>
        </is>
      </c>
      <c r="D164" s="28" t="n">
        <v>36</v>
      </c>
      <c r="E164" s="29">
        <f>Saldos_Capital_Mensual!I164</f>
        <v/>
      </c>
      <c r="F164" s="29">
        <f>Saldos_Intereses_Mensual!I164</f>
        <v/>
      </c>
      <c r="G164" s="29">
        <f>ROUND(E164 + F164, 2)</f>
        <v/>
      </c>
      <c r="H164" s="29">
        <f>Saldo_Residual_Activo!I164</f>
        <v/>
      </c>
      <c r="I164" s="29">
        <f>ROUND(G164 + H164, 2)</f>
        <v/>
      </c>
      <c r="J164" s="29">
        <f>Saldos_Capital_Mensual!J164</f>
        <v/>
      </c>
      <c r="K164" s="29">
        <f>Saldos_Intereses_Mensual!J164</f>
        <v/>
      </c>
      <c r="L164" s="29">
        <f>ROUND(J164 + K164, 2)</f>
        <v/>
      </c>
      <c r="M164" s="29">
        <f>Saldo_Residual_Activo!J164</f>
        <v/>
      </c>
      <c r="N164" s="29">
        <f>ROUND(L164 + M164, 2)</f>
        <v/>
      </c>
      <c r="O164" s="29">
        <f>Saldos_Capital_Mensual!K164</f>
        <v/>
      </c>
      <c r="P164" s="29">
        <f>Saldos_Intereses_Mensual!K164</f>
        <v/>
      </c>
      <c r="Q164" s="29">
        <f>ROUND(O164 + P164, 2)</f>
        <v/>
      </c>
      <c r="R164" s="29">
        <f>Saldo_Residual_Activo!K164</f>
        <v/>
      </c>
      <c r="S164" s="29">
        <f>ROUND(Q164 + R164, 2)</f>
        <v/>
      </c>
      <c r="T164" s="29">
        <f>Saldos_Capital_Mensual!L164</f>
        <v/>
      </c>
      <c r="U164" s="29">
        <f>Saldos_Intereses_Mensual!L164</f>
        <v/>
      </c>
      <c r="V164" s="29">
        <f>ROUND(T164 + U164, 2)</f>
        <v/>
      </c>
      <c r="W164" s="29">
        <f>Saldo_Residual_Activo!L164</f>
        <v/>
      </c>
      <c r="X164" s="29">
        <f>ROUND(V164 + W164, 2)</f>
        <v/>
      </c>
      <c r="Y164" s="29">
        <f>Saldos_Capital_Mensual!M164</f>
        <v/>
      </c>
      <c r="Z164" s="29">
        <f>Saldos_Intereses_Mensual!M164</f>
        <v/>
      </c>
      <c r="AA164" s="29">
        <f>ROUND(Y164 + Z164, 2)</f>
        <v/>
      </c>
      <c r="AB164" s="29">
        <f>Saldo_Residual_Activo!M164</f>
        <v/>
      </c>
      <c r="AC164" s="29">
        <f>ROUND(AA164 + AB164, 2)</f>
        <v/>
      </c>
      <c r="AD164" s="29">
        <f>Saldos_Capital_Mensual!N164</f>
        <v/>
      </c>
      <c r="AE164" s="29">
        <f>Saldos_Intereses_Mensual!N164</f>
        <v/>
      </c>
      <c r="AF164" s="29">
        <f>ROUND(AD164 + AE164, 2)</f>
        <v/>
      </c>
      <c r="AG164" s="29">
        <f>Saldo_Residual_Activo!N164</f>
        <v/>
      </c>
      <c r="AH164" s="29">
        <f>ROUND(AF164 + AG164, 2)</f>
        <v/>
      </c>
      <c r="AI164" s="29">
        <f>Saldos_Capital_Mensual!O164</f>
        <v/>
      </c>
      <c r="AJ164" s="29">
        <f>Saldos_Intereses_Mensual!O164</f>
        <v/>
      </c>
      <c r="AK164" s="29">
        <f>ROUND(AI164 + AJ164, 2)</f>
        <v/>
      </c>
      <c r="AL164" s="29">
        <f>Saldo_Residual_Activo!O164</f>
        <v/>
      </c>
      <c r="AM164" s="29">
        <f>ROUND(AK164 + AL164, 2)</f>
        <v/>
      </c>
      <c r="AN164" s="29">
        <f>Saldos_Capital_Mensual!P164</f>
        <v/>
      </c>
      <c r="AO164" s="29">
        <f>Saldos_Intereses_Mensual!P164</f>
        <v/>
      </c>
      <c r="AP164" s="29">
        <f>ROUND(AN164 + AO164, 2)</f>
        <v/>
      </c>
      <c r="AQ164" s="29">
        <f>Saldo_Residual_Activo!P164</f>
        <v/>
      </c>
      <c r="AR164" s="29">
        <f>ROUND(AP164 + AQ164, 2)</f>
        <v/>
      </c>
      <c r="AS164" s="29">
        <f>Saldos_Capital_Mensual!Q164</f>
        <v/>
      </c>
      <c r="AT164" s="29">
        <f>Saldos_Intereses_Mensual!Q164</f>
        <v/>
      </c>
      <c r="AU164" s="29">
        <f>ROUND(AS164 + AT164, 2)</f>
        <v/>
      </c>
      <c r="AV164" s="29">
        <f>Saldo_Residual_Activo!Q164</f>
        <v/>
      </c>
      <c r="AW164" s="29">
        <f>ROUND(AU164 + AV164, 2)</f>
        <v/>
      </c>
      <c r="AX164" s="29">
        <f>Saldos_Capital_Mensual!R164</f>
        <v/>
      </c>
      <c r="AY164" s="29">
        <f>Saldos_Intereses_Mensual!R164</f>
        <v/>
      </c>
      <c r="AZ164" s="29">
        <f>ROUND(AX164 + AY164, 2)</f>
        <v/>
      </c>
      <c r="BA164" s="29">
        <f>Saldo_Residual_Activo!R164</f>
        <v/>
      </c>
      <c r="BB164" s="29">
        <f>ROUND(AZ164 + BA164, 2)</f>
        <v/>
      </c>
      <c r="BC164" s="29">
        <f>Saldos_Capital_Mensual!S164</f>
        <v/>
      </c>
      <c r="BD164" s="29">
        <f>Saldos_Intereses_Mensual!S164</f>
        <v/>
      </c>
      <c r="BE164" s="29">
        <f>ROUND(BC164 + BD164, 2)</f>
        <v/>
      </c>
      <c r="BF164" s="29">
        <f>Saldo_Residual_Activo!S164</f>
        <v/>
      </c>
      <c r="BG164" s="29">
        <f>ROUND(BE164 + BF164, 2)</f>
        <v/>
      </c>
      <c r="BH164" s="29">
        <f>Saldos_Capital_Mensual!T164</f>
        <v/>
      </c>
      <c r="BI164" s="29">
        <f>Saldos_Intereses_Mensual!T164</f>
        <v/>
      </c>
      <c r="BJ164" s="29">
        <f>ROUND(BH164 + BI164, 2)</f>
        <v/>
      </c>
      <c r="BK164" s="29">
        <f>Saldo_Residual_Activo!T164</f>
        <v/>
      </c>
      <c r="BL164" s="29">
        <f>ROUND(BJ164 + BK164, 2)</f>
        <v/>
      </c>
    </row>
    <row r="165">
      <c r="A165" s="20" t="inlineStr">
        <is>
          <t>0688-0001</t>
        </is>
      </c>
      <c r="B165" s="21" t="inlineStr">
        <is>
          <t>Dolores Magdalena Rosales Rojas</t>
        </is>
      </c>
      <c r="C165" s="21" t="inlineStr">
        <is>
          <t>1500 RHO</t>
        </is>
      </c>
      <c r="D165" s="22" t="n">
        <v>24</v>
      </c>
      <c r="E165" s="23">
        <f>Saldos_Capital_Mensual!I165</f>
        <v/>
      </c>
      <c r="F165" s="23">
        <f>Saldos_Intereses_Mensual!I165</f>
        <v/>
      </c>
      <c r="G165" s="23">
        <f>ROUND(E165 + F165, 2)</f>
        <v/>
      </c>
      <c r="H165" s="23">
        <f>Saldo_Residual_Activo!I165</f>
        <v/>
      </c>
      <c r="I165" s="23">
        <f>ROUND(G165 + H165, 2)</f>
        <v/>
      </c>
      <c r="J165" s="23">
        <f>Saldos_Capital_Mensual!J165</f>
        <v/>
      </c>
      <c r="K165" s="23">
        <f>Saldos_Intereses_Mensual!J165</f>
        <v/>
      </c>
      <c r="L165" s="23">
        <f>ROUND(J165 + K165, 2)</f>
        <v/>
      </c>
      <c r="M165" s="23">
        <f>Saldo_Residual_Activo!J165</f>
        <v/>
      </c>
      <c r="N165" s="23">
        <f>ROUND(L165 + M165, 2)</f>
        <v/>
      </c>
      <c r="O165" s="23">
        <f>Saldos_Capital_Mensual!K165</f>
        <v/>
      </c>
      <c r="P165" s="23">
        <f>Saldos_Intereses_Mensual!K165</f>
        <v/>
      </c>
      <c r="Q165" s="23">
        <f>ROUND(O165 + P165, 2)</f>
        <v/>
      </c>
      <c r="R165" s="23">
        <f>Saldo_Residual_Activo!K165</f>
        <v/>
      </c>
      <c r="S165" s="23">
        <f>ROUND(Q165 + R165, 2)</f>
        <v/>
      </c>
      <c r="T165" s="23">
        <f>Saldos_Capital_Mensual!L165</f>
        <v/>
      </c>
      <c r="U165" s="23">
        <f>Saldos_Intereses_Mensual!L165</f>
        <v/>
      </c>
      <c r="V165" s="23">
        <f>ROUND(T165 + U165, 2)</f>
        <v/>
      </c>
      <c r="W165" s="23">
        <f>Saldo_Residual_Activo!L165</f>
        <v/>
      </c>
      <c r="X165" s="23">
        <f>ROUND(V165 + W165, 2)</f>
        <v/>
      </c>
      <c r="Y165" s="23">
        <f>Saldos_Capital_Mensual!M165</f>
        <v/>
      </c>
      <c r="Z165" s="23">
        <f>Saldos_Intereses_Mensual!M165</f>
        <v/>
      </c>
      <c r="AA165" s="23">
        <f>ROUND(Y165 + Z165, 2)</f>
        <v/>
      </c>
      <c r="AB165" s="23">
        <f>Saldo_Residual_Activo!M165</f>
        <v/>
      </c>
      <c r="AC165" s="23">
        <f>ROUND(AA165 + AB165, 2)</f>
        <v/>
      </c>
      <c r="AD165" s="23">
        <f>Saldos_Capital_Mensual!N165</f>
        <v/>
      </c>
      <c r="AE165" s="23">
        <f>Saldos_Intereses_Mensual!N165</f>
        <v/>
      </c>
      <c r="AF165" s="23">
        <f>ROUND(AD165 + AE165, 2)</f>
        <v/>
      </c>
      <c r="AG165" s="23">
        <f>Saldo_Residual_Activo!N165</f>
        <v/>
      </c>
      <c r="AH165" s="23">
        <f>ROUND(AF165 + AG165, 2)</f>
        <v/>
      </c>
      <c r="AI165" s="23">
        <f>Saldos_Capital_Mensual!O165</f>
        <v/>
      </c>
      <c r="AJ165" s="23">
        <f>Saldos_Intereses_Mensual!O165</f>
        <v/>
      </c>
      <c r="AK165" s="23">
        <f>ROUND(AI165 + AJ165, 2)</f>
        <v/>
      </c>
      <c r="AL165" s="23">
        <f>Saldo_Residual_Activo!O165</f>
        <v/>
      </c>
      <c r="AM165" s="23">
        <f>ROUND(AK165 + AL165, 2)</f>
        <v/>
      </c>
      <c r="AN165" s="23">
        <f>Saldos_Capital_Mensual!P165</f>
        <v/>
      </c>
      <c r="AO165" s="23">
        <f>Saldos_Intereses_Mensual!P165</f>
        <v/>
      </c>
      <c r="AP165" s="23">
        <f>ROUND(AN165 + AO165, 2)</f>
        <v/>
      </c>
      <c r="AQ165" s="23">
        <f>Saldo_Residual_Activo!P165</f>
        <v/>
      </c>
      <c r="AR165" s="23">
        <f>ROUND(AP165 + AQ165, 2)</f>
        <v/>
      </c>
      <c r="AS165" s="23">
        <f>Saldos_Capital_Mensual!Q165</f>
        <v/>
      </c>
      <c r="AT165" s="23">
        <f>Saldos_Intereses_Mensual!Q165</f>
        <v/>
      </c>
      <c r="AU165" s="23">
        <f>ROUND(AS165 + AT165, 2)</f>
        <v/>
      </c>
      <c r="AV165" s="23">
        <f>Saldo_Residual_Activo!Q165</f>
        <v/>
      </c>
      <c r="AW165" s="23">
        <f>ROUND(AU165 + AV165, 2)</f>
        <v/>
      </c>
      <c r="AX165" s="23">
        <f>Saldos_Capital_Mensual!R165</f>
        <v/>
      </c>
      <c r="AY165" s="23">
        <f>Saldos_Intereses_Mensual!R165</f>
        <v/>
      </c>
      <c r="AZ165" s="23">
        <f>ROUND(AX165 + AY165, 2)</f>
        <v/>
      </c>
      <c r="BA165" s="23">
        <f>Saldo_Residual_Activo!R165</f>
        <v/>
      </c>
      <c r="BB165" s="23">
        <f>ROUND(AZ165 + BA165, 2)</f>
        <v/>
      </c>
      <c r="BC165" s="23">
        <f>Saldos_Capital_Mensual!S165</f>
        <v/>
      </c>
      <c r="BD165" s="23">
        <f>Saldos_Intereses_Mensual!S165</f>
        <v/>
      </c>
      <c r="BE165" s="23">
        <f>ROUND(BC165 + BD165, 2)</f>
        <v/>
      </c>
      <c r="BF165" s="23">
        <f>Saldo_Residual_Activo!S165</f>
        <v/>
      </c>
      <c r="BG165" s="23">
        <f>ROUND(BE165 + BF165, 2)</f>
        <v/>
      </c>
      <c r="BH165" s="23">
        <f>Saldos_Capital_Mensual!T165</f>
        <v/>
      </c>
      <c r="BI165" s="23">
        <f>Saldos_Intereses_Mensual!T165</f>
        <v/>
      </c>
      <c r="BJ165" s="23">
        <f>ROUND(BH165 + BI165, 2)</f>
        <v/>
      </c>
      <c r="BK165" s="23">
        <f>Saldo_Residual_Activo!T165</f>
        <v/>
      </c>
      <c r="BL165" s="23">
        <f>ROUND(BJ165 + BK165, 2)</f>
        <v/>
      </c>
    </row>
    <row r="166">
      <c r="A166" s="26" t="inlineStr">
        <is>
          <t>0688-0003</t>
        </is>
      </c>
      <c r="B166" s="27" t="inlineStr">
        <is>
          <t>Dolores Magdalena Rosales Rojas</t>
        </is>
      </c>
      <c r="C166" s="27" t="inlineStr">
        <is>
          <t>Jeep Jt Mojave 2025</t>
        </is>
      </c>
      <c r="D166" s="28" t="n">
        <v>12</v>
      </c>
      <c r="E166" s="29">
        <f>Saldos_Capital_Mensual!I166</f>
        <v/>
      </c>
      <c r="F166" s="29">
        <f>Saldos_Intereses_Mensual!I166</f>
        <v/>
      </c>
      <c r="G166" s="29">
        <f>ROUND(E166 + F166, 2)</f>
        <v/>
      </c>
      <c r="H166" s="29">
        <f>Saldo_Residual_Activo!I166</f>
        <v/>
      </c>
      <c r="I166" s="29">
        <f>ROUND(G166 + H166, 2)</f>
        <v/>
      </c>
      <c r="J166" s="29">
        <f>Saldos_Capital_Mensual!J166</f>
        <v/>
      </c>
      <c r="K166" s="29">
        <f>Saldos_Intereses_Mensual!J166</f>
        <v/>
      </c>
      <c r="L166" s="29">
        <f>ROUND(J166 + K166, 2)</f>
        <v/>
      </c>
      <c r="M166" s="29">
        <f>Saldo_Residual_Activo!J166</f>
        <v/>
      </c>
      <c r="N166" s="29">
        <f>ROUND(L166 + M166, 2)</f>
        <v/>
      </c>
      <c r="O166" s="29">
        <f>Saldos_Capital_Mensual!K166</f>
        <v/>
      </c>
      <c r="P166" s="29">
        <f>Saldos_Intereses_Mensual!K166</f>
        <v/>
      </c>
      <c r="Q166" s="29">
        <f>ROUND(O166 + P166, 2)</f>
        <v/>
      </c>
      <c r="R166" s="29">
        <f>Saldo_Residual_Activo!K166</f>
        <v/>
      </c>
      <c r="S166" s="29">
        <f>ROUND(Q166 + R166, 2)</f>
        <v/>
      </c>
      <c r="T166" s="29">
        <f>Saldos_Capital_Mensual!L166</f>
        <v/>
      </c>
      <c r="U166" s="29">
        <f>Saldos_Intereses_Mensual!L166</f>
        <v/>
      </c>
      <c r="V166" s="29">
        <f>ROUND(T166 + U166, 2)</f>
        <v/>
      </c>
      <c r="W166" s="29">
        <f>Saldo_Residual_Activo!L166</f>
        <v/>
      </c>
      <c r="X166" s="29">
        <f>ROUND(V166 + W166, 2)</f>
        <v/>
      </c>
      <c r="Y166" s="29">
        <f>Saldos_Capital_Mensual!M166</f>
        <v/>
      </c>
      <c r="Z166" s="29">
        <f>Saldos_Intereses_Mensual!M166</f>
        <v/>
      </c>
      <c r="AA166" s="29">
        <f>ROUND(Y166 + Z166, 2)</f>
        <v/>
      </c>
      <c r="AB166" s="29">
        <f>Saldo_Residual_Activo!M166</f>
        <v/>
      </c>
      <c r="AC166" s="29">
        <f>ROUND(AA166 + AB166, 2)</f>
        <v/>
      </c>
      <c r="AD166" s="29">
        <f>Saldos_Capital_Mensual!N166</f>
        <v/>
      </c>
      <c r="AE166" s="29">
        <f>Saldos_Intereses_Mensual!N166</f>
        <v/>
      </c>
      <c r="AF166" s="29">
        <f>ROUND(AD166 + AE166, 2)</f>
        <v/>
      </c>
      <c r="AG166" s="29">
        <f>Saldo_Residual_Activo!N166</f>
        <v/>
      </c>
      <c r="AH166" s="29">
        <f>ROUND(AF166 + AG166, 2)</f>
        <v/>
      </c>
      <c r="AI166" s="29">
        <f>Saldos_Capital_Mensual!O166</f>
        <v/>
      </c>
      <c r="AJ166" s="29">
        <f>Saldos_Intereses_Mensual!O166</f>
        <v/>
      </c>
      <c r="AK166" s="29">
        <f>ROUND(AI166 + AJ166, 2)</f>
        <v/>
      </c>
      <c r="AL166" s="29">
        <f>Saldo_Residual_Activo!O166</f>
        <v/>
      </c>
      <c r="AM166" s="29">
        <f>ROUND(AK166 + AL166, 2)</f>
        <v/>
      </c>
      <c r="AN166" s="29">
        <f>Saldos_Capital_Mensual!P166</f>
        <v/>
      </c>
      <c r="AO166" s="29">
        <f>Saldos_Intereses_Mensual!P166</f>
        <v/>
      </c>
      <c r="AP166" s="29">
        <f>ROUND(AN166 + AO166, 2)</f>
        <v/>
      </c>
      <c r="AQ166" s="29">
        <f>Saldo_Residual_Activo!P166</f>
        <v/>
      </c>
      <c r="AR166" s="29">
        <f>ROUND(AP166 + AQ166, 2)</f>
        <v/>
      </c>
      <c r="AS166" s="29">
        <f>Saldos_Capital_Mensual!Q166</f>
        <v/>
      </c>
      <c r="AT166" s="29">
        <f>Saldos_Intereses_Mensual!Q166</f>
        <v/>
      </c>
      <c r="AU166" s="29">
        <f>ROUND(AS166 + AT166, 2)</f>
        <v/>
      </c>
      <c r="AV166" s="29">
        <f>Saldo_Residual_Activo!Q166</f>
        <v/>
      </c>
      <c r="AW166" s="29">
        <f>ROUND(AU166 + AV166, 2)</f>
        <v/>
      </c>
      <c r="AX166" s="29">
        <f>Saldos_Capital_Mensual!R166</f>
        <v/>
      </c>
      <c r="AY166" s="29">
        <f>Saldos_Intereses_Mensual!R166</f>
        <v/>
      </c>
      <c r="AZ166" s="29">
        <f>ROUND(AX166 + AY166, 2)</f>
        <v/>
      </c>
      <c r="BA166" s="29">
        <f>Saldo_Residual_Activo!R166</f>
        <v/>
      </c>
      <c r="BB166" s="29">
        <f>ROUND(AZ166 + BA166, 2)</f>
        <v/>
      </c>
      <c r="BC166" s="29">
        <f>Saldos_Capital_Mensual!S166</f>
        <v/>
      </c>
      <c r="BD166" s="29">
        <f>Saldos_Intereses_Mensual!S166</f>
        <v/>
      </c>
      <c r="BE166" s="29">
        <f>ROUND(BC166 + BD166, 2)</f>
        <v/>
      </c>
      <c r="BF166" s="29">
        <f>Saldo_Residual_Activo!S166</f>
        <v/>
      </c>
      <c r="BG166" s="29">
        <f>ROUND(BE166 + BF166, 2)</f>
        <v/>
      </c>
      <c r="BH166" s="29">
        <f>Saldos_Capital_Mensual!T166</f>
        <v/>
      </c>
      <c r="BI166" s="29">
        <f>Saldos_Intereses_Mensual!T166</f>
        <v/>
      </c>
      <c r="BJ166" s="29">
        <f>ROUND(BH166 + BI166, 2)</f>
        <v/>
      </c>
      <c r="BK166" s="29">
        <f>Saldo_Residual_Activo!T166</f>
        <v/>
      </c>
      <c r="BL166" s="29">
        <f>ROUND(BJ166 + BK166, 2)</f>
        <v/>
      </c>
    </row>
    <row r="167">
      <c r="A167" s="20" t="inlineStr">
        <is>
          <t>0689-0001</t>
        </is>
      </c>
      <c r="B167" s="21" t="inlineStr">
        <is>
          <t>Daniela Lizette Vargas Machuca</t>
        </is>
      </c>
      <c r="C167" s="21" t="inlineStr">
        <is>
          <t>1500 TUNGSTEN</t>
        </is>
      </c>
      <c r="D167" s="22" t="n">
        <v>36</v>
      </c>
      <c r="E167" s="23">
        <f>Saldos_Capital_Mensual!I167</f>
        <v/>
      </c>
      <c r="F167" s="23">
        <f>Saldos_Intereses_Mensual!I167</f>
        <v/>
      </c>
      <c r="G167" s="23">
        <f>ROUND(E167 + F167, 2)</f>
        <v/>
      </c>
      <c r="H167" s="23">
        <f>Saldo_Residual_Activo!I167</f>
        <v/>
      </c>
      <c r="I167" s="23">
        <f>ROUND(G167 + H167, 2)</f>
        <v/>
      </c>
      <c r="J167" s="23">
        <f>Saldos_Capital_Mensual!J167</f>
        <v/>
      </c>
      <c r="K167" s="23">
        <f>Saldos_Intereses_Mensual!J167</f>
        <v/>
      </c>
      <c r="L167" s="23">
        <f>ROUND(J167 + K167, 2)</f>
        <v/>
      </c>
      <c r="M167" s="23">
        <f>Saldo_Residual_Activo!J167</f>
        <v/>
      </c>
      <c r="N167" s="23">
        <f>ROUND(L167 + M167, 2)</f>
        <v/>
      </c>
      <c r="O167" s="23">
        <f>Saldos_Capital_Mensual!K167</f>
        <v/>
      </c>
      <c r="P167" s="23">
        <f>Saldos_Intereses_Mensual!K167</f>
        <v/>
      </c>
      <c r="Q167" s="23">
        <f>ROUND(O167 + P167, 2)</f>
        <v/>
      </c>
      <c r="R167" s="23">
        <f>Saldo_Residual_Activo!K167</f>
        <v/>
      </c>
      <c r="S167" s="23">
        <f>ROUND(Q167 + R167, 2)</f>
        <v/>
      </c>
      <c r="T167" s="23">
        <f>Saldos_Capital_Mensual!L167</f>
        <v/>
      </c>
      <c r="U167" s="23">
        <f>Saldos_Intereses_Mensual!L167</f>
        <v/>
      </c>
      <c r="V167" s="23">
        <f>ROUND(T167 + U167, 2)</f>
        <v/>
      </c>
      <c r="W167" s="23">
        <f>Saldo_Residual_Activo!L167</f>
        <v/>
      </c>
      <c r="X167" s="23">
        <f>ROUND(V167 + W167, 2)</f>
        <v/>
      </c>
      <c r="Y167" s="23">
        <f>Saldos_Capital_Mensual!M167</f>
        <v/>
      </c>
      <c r="Z167" s="23">
        <f>Saldos_Intereses_Mensual!M167</f>
        <v/>
      </c>
      <c r="AA167" s="23">
        <f>ROUND(Y167 + Z167, 2)</f>
        <v/>
      </c>
      <c r="AB167" s="23">
        <f>Saldo_Residual_Activo!M167</f>
        <v/>
      </c>
      <c r="AC167" s="23">
        <f>ROUND(AA167 + AB167, 2)</f>
        <v/>
      </c>
      <c r="AD167" s="23">
        <f>Saldos_Capital_Mensual!N167</f>
        <v/>
      </c>
      <c r="AE167" s="23">
        <f>Saldos_Intereses_Mensual!N167</f>
        <v/>
      </c>
      <c r="AF167" s="23">
        <f>ROUND(AD167 + AE167, 2)</f>
        <v/>
      </c>
      <c r="AG167" s="23">
        <f>Saldo_Residual_Activo!N167</f>
        <v/>
      </c>
      <c r="AH167" s="23">
        <f>ROUND(AF167 + AG167, 2)</f>
        <v/>
      </c>
      <c r="AI167" s="23">
        <f>Saldos_Capital_Mensual!O167</f>
        <v/>
      </c>
      <c r="AJ167" s="23">
        <f>Saldos_Intereses_Mensual!O167</f>
        <v/>
      </c>
      <c r="AK167" s="23">
        <f>ROUND(AI167 + AJ167, 2)</f>
        <v/>
      </c>
      <c r="AL167" s="23">
        <f>Saldo_Residual_Activo!O167</f>
        <v/>
      </c>
      <c r="AM167" s="23">
        <f>ROUND(AK167 + AL167, 2)</f>
        <v/>
      </c>
      <c r="AN167" s="23">
        <f>Saldos_Capital_Mensual!P167</f>
        <v/>
      </c>
      <c r="AO167" s="23">
        <f>Saldos_Intereses_Mensual!P167</f>
        <v/>
      </c>
      <c r="AP167" s="23">
        <f>ROUND(AN167 + AO167, 2)</f>
        <v/>
      </c>
      <c r="AQ167" s="23">
        <f>Saldo_Residual_Activo!P167</f>
        <v/>
      </c>
      <c r="AR167" s="23">
        <f>ROUND(AP167 + AQ167, 2)</f>
        <v/>
      </c>
      <c r="AS167" s="23">
        <f>Saldos_Capital_Mensual!Q167</f>
        <v/>
      </c>
      <c r="AT167" s="23">
        <f>Saldos_Intereses_Mensual!Q167</f>
        <v/>
      </c>
      <c r="AU167" s="23">
        <f>ROUND(AS167 + AT167, 2)</f>
        <v/>
      </c>
      <c r="AV167" s="23">
        <f>Saldo_Residual_Activo!Q167</f>
        <v/>
      </c>
      <c r="AW167" s="23">
        <f>ROUND(AU167 + AV167, 2)</f>
        <v/>
      </c>
      <c r="AX167" s="23">
        <f>Saldos_Capital_Mensual!R167</f>
        <v/>
      </c>
      <c r="AY167" s="23">
        <f>Saldos_Intereses_Mensual!R167</f>
        <v/>
      </c>
      <c r="AZ167" s="23">
        <f>ROUND(AX167 + AY167, 2)</f>
        <v/>
      </c>
      <c r="BA167" s="23">
        <f>Saldo_Residual_Activo!R167</f>
        <v/>
      </c>
      <c r="BB167" s="23">
        <f>ROUND(AZ167 + BA167, 2)</f>
        <v/>
      </c>
      <c r="BC167" s="23">
        <f>Saldos_Capital_Mensual!S167</f>
        <v/>
      </c>
      <c r="BD167" s="23">
        <f>Saldos_Intereses_Mensual!S167</f>
        <v/>
      </c>
      <c r="BE167" s="23">
        <f>ROUND(BC167 + BD167, 2)</f>
        <v/>
      </c>
      <c r="BF167" s="23">
        <f>Saldo_Residual_Activo!S167</f>
        <v/>
      </c>
      <c r="BG167" s="23">
        <f>ROUND(BE167 + BF167, 2)</f>
        <v/>
      </c>
      <c r="BH167" s="23">
        <f>Saldos_Capital_Mensual!T167</f>
        <v/>
      </c>
      <c r="BI167" s="23">
        <f>Saldos_Intereses_Mensual!T167</f>
        <v/>
      </c>
      <c r="BJ167" s="23">
        <f>ROUND(BH167 + BI167, 2)</f>
        <v/>
      </c>
      <c r="BK167" s="23">
        <f>Saldo_Residual_Activo!T167</f>
        <v/>
      </c>
      <c r="BL167" s="23">
        <f>ROUND(BJ167 + BK167, 2)</f>
        <v/>
      </c>
    </row>
    <row r="168">
      <c r="A168" s="26" t="inlineStr">
        <is>
          <t>0690-0001</t>
        </is>
      </c>
      <c r="B168" s="27" t="inlineStr">
        <is>
          <t>Rogelio Sanchez Partida</t>
        </is>
      </c>
      <c r="C168" s="27" t="inlineStr">
        <is>
          <t>Grand Cherokee Limited</t>
        </is>
      </c>
      <c r="D168" s="28" t="n">
        <v>36</v>
      </c>
      <c r="E168" s="29">
        <f>Saldos_Capital_Mensual!I168</f>
        <v/>
      </c>
      <c r="F168" s="29">
        <f>Saldos_Intereses_Mensual!I168</f>
        <v/>
      </c>
      <c r="G168" s="29">
        <f>ROUND(E168 + F168, 2)</f>
        <v/>
      </c>
      <c r="H168" s="29">
        <f>Saldo_Residual_Activo!I168</f>
        <v/>
      </c>
      <c r="I168" s="29">
        <f>ROUND(G168 + H168, 2)</f>
        <v/>
      </c>
      <c r="J168" s="29">
        <f>Saldos_Capital_Mensual!J168</f>
        <v/>
      </c>
      <c r="K168" s="29">
        <f>Saldos_Intereses_Mensual!J168</f>
        <v/>
      </c>
      <c r="L168" s="29">
        <f>ROUND(J168 + K168, 2)</f>
        <v/>
      </c>
      <c r="M168" s="29">
        <f>Saldo_Residual_Activo!J168</f>
        <v/>
      </c>
      <c r="N168" s="29">
        <f>ROUND(L168 + M168, 2)</f>
        <v/>
      </c>
      <c r="O168" s="29">
        <f>Saldos_Capital_Mensual!K168</f>
        <v/>
      </c>
      <c r="P168" s="29">
        <f>Saldos_Intereses_Mensual!K168</f>
        <v/>
      </c>
      <c r="Q168" s="29">
        <f>ROUND(O168 + P168, 2)</f>
        <v/>
      </c>
      <c r="R168" s="29">
        <f>Saldo_Residual_Activo!K168</f>
        <v/>
      </c>
      <c r="S168" s="29">
        <f>ROUND(Q168 + R168, 2)</f>
        <v/>
      </c>
      <c r="T168" s="29">
        <f>Saldos_Capital_Mensual!L168</f>
        <v/>
      </c>
      <c r="U168" s="29">
        <f>Saldos_Intereses_Mensual!L168</f>
        <v/>
      </c>
      <c r="V168" s="29">
        <f>ROUND(T168 + U168, 2)</f>
        <v/>
      </c>
      <c r="W168" s="29">
        <f>Saldo_Residual_Activo!L168</f>
        <v/>
      </c>
      <c r="X168" s="29">
        <f>ROUND(V168 + W168, 2)</f>
        <v/>
      </c>
      <c r="Y168" s="29">
        <f>Saldos_Capital_Mensual!M168</f>
        <v/>
      </c>
      <c r="Z168" s="29">
        <f>Saldos_Intereses_Mensual!M168</f>
        <v/>
      </c>
      <c r="AA168" s="29">
        <f>ROUND(Y168 + Z168, 2)</f>
        <v/>
      </c>
      <c r="AB168" s="29">
        <f>Saldo_Residual_Activo!M168</f>
        <v/>
      </c>
      <c r="AC168" s="29">
        <f>ROUND(AA168 + AB168, 2)</f>
        <v/>
      </c>
      <c r="AD168" s="29">
        <f>Saldos_Capital_Mensual!N168</f>
        <v/>
      </c>
      <c r="AE168" s="29">
        <f>Saldos_Intereses_Mensual!N168</f>
        <v/>
      </c>
      <c r="AF168" s="29">
        <f>ROUND(AD168 + AE168, 2)</f>
        <v/>
      </c>
      <c r="AG168" s="29">
        <f>Saldo_Residual_Activo!N168</f>
        <v/>
      </c>
      <c r="AH168" s="29">
        <f>ROUND(AF168 + AG168, 2)</f>
        <v/>
      </c>
      <c r="AI168" s="29">
        <f>Saldos_Capital_Mensual!O168</f>
        <v/>
      </c>
      <c r="AJ168" s="29">
        <f>Saldos_Intereses_Mensual!O168</f>
        <v/>
      </c>
      <c r="AK168" s="29">
        <f>ROUND(AI168 + AJ168, 2)</f>
        <v/>
      </c>
      <c r="AL168" s="29">
        <f>Saldo_Residual_Activo!O168</f>
        <v/>
      </c>
      <c r="AM168" s="29">
        <f>ROUND(AK168 + AL168, 2)</f>
        <v/>
      </c>
      <c r="AN168" s="29">
        <f>Saldos_Capital_Mensual!P168</f>
        <v/>
      </c>
      <c r="AO168" s="29">
        <f>Saldos_Intereses_Mensual!P168</f>
        <v/>
      </c>
      <c r="AP168" s="29">
        <f>ROUND(AN168 + AO168, 2)</f>
        <v/>
      </c>
      <c r="AQ168" s="29">
        <f>Saldo_Residual_Activo!P168</f>
        <v/>
      </c>
      <c r="AR168" s="29">
        <f>ROUND(AP168 + AQ168, 2)</f>
        <v/>
      </c>
      <c r="AS168" s="29">
        <f>Saldos_Capital_Mensual!Q168</f>
        <v/>
      </c>
      <c r="AT168" s="29">
        <f>Saldos_Intereses_Mensual!Q168</f>
        <v/>
      </c>
      <c r="AU168" s="29">
        <f>ROUND(AS168 + AT168, 2)</f>
        <v/>
      </c>
      <c r="AV168" s="29">
        <f>Saldo_Residual_Activo!Q168</f>
        <v/>
      </c>
      <c r="AW168" s="29">
        <f>ROUND(AU168 + AV168, 2)</f>
        <v/>
      </c>
      <c r="AX168" s="29">
        <f>Saldos_Capital_Mensual!R168</f>
        <v/>
      </c>
      <c r="AY168" s="29">
        <f>Saldos_Intereses_Mensual!R168</f>
        <v/>
      </c>
      <c r="AZ168" s="29">
        <f>ROUND(AX168 + AY168, 2)</f>
        <v/>
      </c>
      <c r="BA168" s="29">
        <f>Saldo_Residual_Activo!R168</f>
        <v/>
      </c>
      <c r="BB168" s="29">
        <f>ROUND(AZ168 + BA168, 2)</f>
        <v/>
      </c>
      <c r="BC168" s="29">
        <f>Saldos_Capital_Mensual!S168</f>
        <v/>
      </c>
      <c r="BD168" s="29">
        <f>Saldos_Intereses_Mensual!S168</f>
        <v/>
      </c>
      <c r="BE168" s="29">
        <f>ROUND(BC168 + BD168, 2)</f>
        <v/>
      </c>
      <c r="BF168" s="29">
        <f>Saldo_Residual_Activo!S168</f>
        <v/>
      </c>
      <c r="BG168" s="29">
        <f>ROUND(BE168 + BF168, 2)</f>
        <v/>
      </c>
      <c r="BH168" s="29">
        <f>Saldos_Capital_Mensual!T168</f>
        <v/>
      </c>
      <c r="BI168" s="29">
        <f>Saldos_Intereses_Mensual!T168</f>
        <v/>
      </c>
      <c r="BJ168" s="29">
        <f>ROUND(BH168 + BI168, 2)</f>
        <v/>
      </c>
      <c r="BK168" s="29">
        <f>Saldo_Residual_Activo!T168</f>
        <v/>
      </c>
      <c r="BL168" s="29">
        <f>ROUND(BJ168 + BK168, 2)</f>
        <v/>
      </c>
    </row>
    <row r="169">
      <c r="A169" s="20" t="inlineStr">
        <is>
          <t>0691-0001</t>
        </is>
      </c>
      <c r="B169" s="21" t="inlineStr">
        <is>
          <t>Pfc Films</t>
        </is>
      </c>
      <c r="C169" s="21" t="inlineStr">
        <is>
          <t>2008 allure Pack</t>
        </is>
      </c>
      <c r="D169" s="22" t="n">
        <v>24</v>
      </c>
      <c r="E169" s="23">
        <f>Saldos_Capital_Mensual!I169</f>
        <v/>
      </c>
      <c r="F169" s="23">
        <f>Saldos_Intereses_Mensual!I169</f>
        <v/>
      </c>
      <c r="G169" s="23">
        <f>ROUND(E169 + F169, 2)</f>
        <v/>
      </c>
      <c r="H169" s="23">
        <f>Saldo_Residual_Activo!I169</f>
        <v/>
      </c>
      <c r="I169" s="23">
        <f>ROUND(G169 + H169, 2)</f>
        <v/>
      </c>
      <c r="J169" s="23">
        <f>Saldos_Capital_Mensual!J169</f>
        <v/>
      </c>
      <c r="K169" s="23">
        <f>Saldos_Intereses_Mensual!J169</f>
        <v/>
      </c>
      <c r="L169" s="23">
        <f>ROUND(J169 + K169, 2)</f>
        <v/>
      </c>
      <c r="M169" s="23">
        <f>Saldo_Residual_Activo!J169</f>
        <v/>
      </c>
      <c r="N169" s="23">
        <f>ROUND(L169 + M169, 2)</f>
        <v/>
      </c>
      <c r="O169" s="23">
        <f>Saldos_Capital_Mensual!K169</f>
        <v/>
      </c>
      <c r="P169" s="23">
        <f>Saldos_Intereses_Mensual!K169</f>
        <v/>
      </c>
      <c r="Q169" s="23">
        <f>ROUND(O169 + P169, 2)</f>
        <v/>
      </c>
      <c r="R169" s="23">
        <f>Saldo_Residual_Activo!K169</f>
        <v/>
      </c>
      <c r="S169" s="23">
        <f>ROUND(Q169 + R169, 2)</f>
        <v/>
      </c>
      <c r="T169" s="23">
        <f>Saldos_Capital_Mensual!L169</f>
        <v/>
      </c>
      <c r="U169" s="23">
        <f>Saldos_Intereses_Mensual!L169</f>
        <v/>
      </c>
      <c r="V169" s="23">
        <f>ROUND(T169 + U169, 2)</f>
        <v/>
      </c>
      <c r="W169" s="23">
        <f>Saldo_Residual_Activo!L169</f>
        <v/>
      </c>
      <c r="X169" s="23">
        <f>ROUND(V169 + W169, 2)</f>
        <v/>
      </c>
      <c r="Y169" s="23">
        <f>Saldos_Capital_Mensual!M169</f>
        <v/>
      </c>
      <c r="Z169" s="23">
        <f>Saldos_Intereses_Mensual!M169</f>
        <v/>
      </c>
      <c r="AA169" s="23">
        <f>ROUND(Y169 + Z169, 2)</f>
        <v/>
      </c>
      <c r="AB169" s="23">
        <f>Saldo_Residual_Activo!M169</f>
        <v/>
      </c>
      <c r="AC169" s="23">
        <f>ROUND(AA169 + AB169, 2)</f>
        <v/>
      </c>
      <c r="AD169" s="23">
        <f>Saldos_Capital_Mensual!N169</f>
        <v/>
      </c>
      <c r="AE169" s="23">
        <f>Saldos_Intereses_Mensual!N169</f>
        <v/>
      </c>
      <c r="AF169" s="23">
        <f>ROUND(AD169 + AE169, 2)</f>
        <v/>
      </c>
      <c r="AG169" s="23">
        <f>Saldo_Residual_Activo!N169</f>
        <v/>
      </c>
      <c r="AH169" s="23">
        <f>ROUND(AF169 + AG169, 2)</f>
        <v/>
      </c>
      <c r="AI169" s="23">
        <f>Saldos_Capital_Mensual!O169</f>
        <v/>
      </c>
      <c r="AJ169" s="23">
        <f>Saldos_Intereses_Mensual!O169</f>
        <v/>
      </c>
      <c r="AK169" s="23">
        <f>ROUND(AI169 + AJ169, 2)</f>
        <v/>
      </c>
      <c r="AL169" s="23">
        <f>Saldo_Residual_Activo!O169</f>
        <v/>
      </c>
      <c r="AM169" s="23">
        <f>ROUND(AK169 + AL169, 2)</f>
        <v/>
      </c>
      <c r="AN169" s="23">
        <f>Saldos_Capital_Mensual!P169</f>
        <v/>
      </c>
      <c r="AO169" s="23">
        <f>Saldos_Intereses_Mensual!P169</f>
        <v/>
      </c>
      <c r="AP169" s="23">
        <f>ROUND(AN169 + AO169, 2)</f>
        <v/>
      </c>
      <c r="AQ169" s="23">
        <f>Saldo_Residual_Activo!P169</f>
        <v/>
      </c>
      <c r="AR169" s="23">
        <f>ROUND(AP169 + AQ169, 2)</f>
        <v/>
      </c>
      <c r="AS169" s="23">
        <f>Saldos_Capital_Mensual!Q169</f>
        <v/>
      </c>
      <c r="AT169" s="23">
        <f>Saldos_Intereses_Mensual!Q169</f>
        <v/>
      </c>
      <c r="AU169" s="23">
        <f>ROUND(AS169 + AT169, 2)</f>
        <v/>
      </c>
      <c r="AV169" s="23">
        <f>Saldo_Residual_Activo!Q169</f>
        <v/>
      </c>
      <c r="AW169" s="23">
        <f>ROUND(AU169 + AV169, 2)</f>
        <v/>
      </c>
      <c r="AX169" s="23">
        <f>Saldos_Capital_Mensual!R169</f>
        <v/>
      </c>
      <c r="AY169" s="23">
        <f>Saldos_Intereses_Mensual!R169</f>
        <v/>
      </c>
      <c r="AZ169" s="23">
        <f>ROUND(AX169 + AY169, 2)</f>
        <v/>
      </c>
      <c r="BA169" s="23">
        <f>Saldo_Residual_Activo!R169</f>
        <v/>
      </c>
      <c r="BB169" s="23">
        <f>ROUND(AZ169 + BA169, 2)</f>
        <v/>
      </c>
      <c r="BC169" s="23">
        <f>Saldos_Capital_Mensual!S169</f>
        <v/>
      </c>
      <c r="BD169" s="23">
        <f>Saldos_Intereses_Mensual!S169</f>
        <v/>
      </c>
      <c r="BE169" s="23">
        <f>ROUND(BC169 + BD169, 2)</f>
        <v/>
      </c>
      <c r="BF169" s="23">
        <f>Saldo_Residual_Activo!S169</f>
        <v/>
      </c>
      <c r="BG169" s="23">
        <f>ROUND(BE169 + BF169, 2)</f>
        <v/>
      </c>
      <c r="BH169" s="23">
        <f>Saldos_Capital_Mensual!T169</f>
        <v/>
      </c>
      <c r="BI169" s="23">
        <f>Saldos_Intereses_Mensual!T169</f>
        <v/>
      </c>
      <c r="BJ169" s="23">
        <f>ROUND(BH169 + BI169, 2)</f>
        <v/>
      </c>
      <c r="BK169" s="23">
        <f>Saldo_Residual_Activo!T169</f>
        <v/>
      </c>
      <c r="BL169" s="23">
        <f>ROUND(BJ169 + BK169, 2)</f>
        <v/>
      </c>
    </row>
    <row r="170">
      <c r="A170" s="26" t="inlineStr">
        <is>
          <t>0692-0001</t>
        </is>
      </c>
      <c r="B170" s="27" t="inlineStr">
        <is>
          <t>Operadora de Centros Familiares Gato</t>
        </is>
      </c>
      <c r="C170" s="27" t="inlineStr">
        <is>
          <t>Partner Rapid</t>
        </is>
      </c>
      <c r="D170" s="28" t="n">
        <v>24</v>
      </c>
      <c r="E170" s="29">
        <f>Saldos_Capital_Mensual!I170</f>
        <v/>
      </c>
      <c r="F170" s="29">
        <f>Saldos_Intereses_Mensual!I170</f>
        <v/>
      </c>
      <c r="G170" s="29">
        <f>ROUND(E170 + F170, 2)</f>
        <v/>
      </c>
      <c r="H170" s="29">
        <f>Saldo_Residual_Activo!I170</f>
        <v/>
      </c>
      <c r="I170" s="29">
        <f>ROUND(G170 + H170, 2)</f>
        <v/>
      </c>
      <c r="J170" s="29">
        <f>Saldos_Capital_Mensual!J170</f>
        <v/>
      </c>
      <c r="K170" s="29">
        <f>Saldos_Intereses_Mensual!J170</f>
        <v/>
      </c>
      <c r="L170" s="29">
        <f>ROUND(J170 + K170, 2)</f>
        <v/>
      </c>
      <c r="M170" s="29">
        <f>Saldo_Residual_Activo!J170</f>
        <v/>
      </c>
      <c r="N170" s="29">
        <f>ROUND(L170 + M170, 2)</f>
        <v/>
      </c>
      <c r="O170" s="29">
        <f>Saldos_Capital_Mensual!K170</f>
        <v/>
      </c>
      <c r="P170" s="29">
        <f>Saldos_Intereses_Mensual!K170</f>
        <v/>
      </c>
      <c r="Q170" s="29">
        <f>ROUND(O170 + P170, 2)</f>
        <v/>
      </c>
      <c r="R170" s="29">
        <f>Saldo_Residual_Activo!K170</f>
        <v/>
      </c>
      <c r="S170" s="29">
        <f>ROUND(Q170 + R170, 2)</f>
        <v/>
      </c>
      <c r="T170" s="29">
        <f>Saldos_Capital_Mensual!L170</f>
        <v/>
      </c>
      <c r="U170" s="29">
        <f>Saldos_Intereses_Mensual!L170</f>
        <v/>
      </c>
      <c r="V170" s="29">
        <f>ROUND(T170 + U170, 2)</f>
        <v/>
      </c>
      <c r="W170" s="29">
        <f>Saldo_Residual_Activo!L170</f>
        <v/>
      </c>
      <c r="X170" s="29">
        <f>ROUND(V170 + W170, 2)</f>
        <v/>
      </c>
      <c r="Y170" s="29">
        <f>Saldos_Capital_Mensual!M170</f>
        <v/>
      </c>
      <c r="Z170" s="29">
        <f>Saldos_Intereses_Mensual!M170</f>
        <v/>
      </c>
      <c r="AA170" s="29">
        <f>ROUND(Y170 + Z170, 2)</f>
        <v/>
      </c>
      <c r="AB170" s="29">
        <f>Saldo_Residual_Activo!M170</f>
        <v/>
      </c>
      <c r="AC170" s="29">
        <f>ROUND(AA170 + AB170, 2)</f>
        <v/>
      </c>
      <c r="AD170" s="29">
        <f>Saldos_Capital_Mensual!N170</f>
        <v/>
      </c>
      <c r="AE170" s="29">
        <f>Saldos_Intereses_Mensual!N170</f>
        <v/>
      </c>
      <c r="AF170" s="29">
        <f>ROUND(AD170 + AE170, 2)</f>
        <v/>
      </c>
      <c r="AG170" s="29">
        <f>Saldo_Residual_Activo!N170</f>
        <v/>
      </c>
      <c r="AH170" s="29">
        <f>ROUND(AF170 + AG170, 2)</f>
        <v/>
      </c>
      <c r="AI170" s="29">
        <f>Saldos_Capital_Mensual!O170</f>
        <v/>
      </c>
      <c r="AJ170" s="29">
        <f>Saldos_Intereses_Mensual!O170</f>
        <v/>
      </c>
      <c r="AK170" s="29">
        <f>ROUND(AI170 + AJ170, 2)</f>
        <v/>
      </c>
      <c r="AL170" s="29">
        <f>Saldo_Residual_Activo!O170</f>
        <v/>
      </c>
      <c r="AM170" s="29">
        <f>ROUND(AK170 + AL170, 2)</f>
        <v/>
      </c>
      <c r="AN170" s="29">
        <f>Saldos_Capital_Mensual!P170</f>
        <v/>
      </c>
      <c r="AO170" s="29">
        <f>Saldos_Intereses_Mensual!P170</f>
        <v/>
      </c>
      <c r="AP170" s="29">
        <f>ROUND(AN170 + AO170, 2)</f>
        <v/>
      </c>
      <c r="AQ170" s="29">
        <f>Saldo_Residual_Activo!P170</f>
        <v/>
      </c>
      <c r="AR170" s="29">
        <f>ROUND(AP170 + AQ170, 2)</f>
        <v/>
      </c>
      <c r="AS170" s="29">
        <f>Saldos_Capital_Mensual!Q170</f>
        <v/>
      </c>
      <c r="AT170" s="29">
        <f>Saldos_Intereses_Mensual!Q170</f>
        <v/>
      </c>
      <c r="AU170" s="29">
        <f>ROUND(AS170 + AT170, 2)</f>
        <v/>
      </c>
      <c r="AV170" s="29">
        <f>Saldo_Residual_Activo!Q170</f>
        <v/>
      </c>
      <c r="AW170" s="29">
        <f>ROUND(AU170 + AV170, 2)</f>
        <v/>
      </c>
      <c r="AX170" s="29">
        <f>Saldos_Capital_Mensual!R170</f>
        <v/>
      </c>
      <c r="AY170" s="29">
        <f>Saldos_Intereses_Mensual!R170</f>
        <v/>
      </c>
      <c r="AZ170" s="29">
        <f>ROUND(AX170 + AY170, 2)</f>
        <v/>
      </c>
      <c r="BA170" s="29">
        <f>Saldo_Residual_Activo!R170</f>
        <v/>
      </c>
      <c r="BB170" s="29">
        <f>ROUND(AZ170 + BA170, 2)</f>
        <v/>
      </c>
      <c r="BC170" s="29">
        <f>Saldos_Capital_Mensual!S170</f>
        <v/>
      </c>
      <c r="BD170" s="29">
        <f>Saldos_Intereses_Mensual!S170</f>
        <v/>
      </c>
      <c r="BE170" s="29">
        <f>ROUND(BC170 + BD170, 2)</f>
        <v/>
      </c>
      <c r="BF170" s="29">
        <f>Saldo_Residual_Activo!S170</f>
        <v/>
      </c>
      <c r="BG170" s="29">
        <f>ROUND(BE170 + BF170, 2)</f>
        <v/>
      </c>
      <c r="BH170" s="29">
        <f>Saldos_Capital_Mensual!T170</f>
        <v/>
      </c>
      <c r="BI170" s="29">
        <f>Saldos_Intereses_Mensual!T170</f>
        <v/>
      </c>
      <c r="BJ170" s="29">
        <f>ROUND(BH170 + BI170, 2)</f>
        <v/>
      </c>
      <c r="BK170" s="29">
        <f>Saldo_Residual_Activo!T170</f>
        <v/>
      </c>
      <c r="BL170" s="29">
        <f>ROUND(BJ170 + BK170, 2)</f>
        <v/>
      </c>
    </row>
    <row r="171">
      <c r="A171" s="20" t="inlineStr">
        <is>
          <t>0692-0002</t>
        </is>
      </c>
      <c r="B171" s="21" t="inlineStr">
        <is>
          <t>Operadora de Centros Familiares Gato</t>
        </is>
      </c>
      <c r="C171" s="21" t="inlineStr">
        <is>
          <t>Partner Rapid</t>
        </is>
      </c>
      <c r="D171" s="22" t="n">
        <v>24</v>
      </c>
      <c r="E171" s="23">
        <f>Saldos_Capital_Mensual!I171</f>
        <v/>
      </c>
      <c r="F171" s="23">
        <f>Saldos_Intereses_Mensual!I171</f>
        <v/>
      </c>
      <c r="G171" s="23">
        <f>ROUND(E171 + F171, 2)</f>
        <v/>
      </c>
      <c r="H171" s="23">
        <f>Saldo_Residual_Activo!I171</f>
        <v/>
      </c>
      <c r="I171" s="23">
        <f>ROUND(G171 + H171, 2)</f>
        <v/>
      </c>
      <c r="J171" s="23">
        <f>Saldos_Capital_Mensual!J171</f>
        <v/>
      </c>
      <c r="K171" s="23">
        <f>Saldos_Intereses_Mensual!J171</f>
        <v/>
      </c>
      <c r="L171" s="23">
        <f>ROUND(J171 + K171, 2)</f>
        <v/>
      </c>
      <c r="M171" s="23">
        <f>Saldo_Residual_Activo!J171</f>
        <v/>
      </c>
      <c r="N171" s="23">
        <f>ROUND(L171 + M171, 2)</f>
        <v/>
      </c>
      <c r="O171" s="23">
        <f>Saldos_Capital_Mensual!K171</f>
        <v/>
      </c>
      <c r="P171" s="23">
        <f>Saldos_Intereses_Mensual!K171</f>
        <v/>
      </c>
      <c r="Q171" s="23">
        <f>ROUND(O171 + P171, 2)</f>
        <v/>
      </c>
      <c r="R171" s="23">
        <f>Saldo_Residual_Activo!K171</f>
        <v/>
      </c>
      <c r="S171" s="23">
        <f>ROUND(Q171 + R171, 2)</f>
        <v/>
      </c>
      <c r="T171" s="23">
        <f>Saldos_Capital_Mensual!L171</f>
        <v/>
      </c>
      <c r="U171" s="23">
        <f>Saldos_Intereses_Mensual!L171</f>
        <v/>
      </c>
      <c r="V171" s="23">
        <f>ROUND(T171 + U171, 2)</f>
        <v/>
      </c>
      <c r="W171" s="23">
        <f>Saldo_Residual_Activo!L171</f>
        <v/>
      </c>
      <c r="X171" s="23">
        <f>ROUND(V171 + W171, 2)</f>
        <v/>
      </c>
      <c r="Y171" s="23">
        <f>Saldos_Capital_Mensual!M171</f>
        <v/>
      </c>
      <c r="Z171" s="23">
        <f>Saldos_Intereses_Mensual!M171</f>
        <v/>
      </c>
      <c r="AA171" s="23">
        <f>ROUND(Y171 + Z171, 2)</f>
        <v/>
      </c>
      <c r="AB171" s="23">
        <f>Saldo_Residual_Activo!M171</f>
        <v/>
      </c>
      <c r="AC171" s="23">
        <f>ROUND(AA171 + AB171, 2)</f>
        <v/>
      </c>
      <c r="AD171" s="23">
        <f>Saldos_Capital_Mensual!N171</f>
        <v/>
      </c>
      <c r="AE171" s="23">
        <f>Saldos_Intereses_Mensual!N171</f>
        <v/>
      </c>
      <c r="AF171" s="23">
        <f>ROUND(AD171 + AE171, 2)</f>
        <v/>
      </c>
      <c r="AG171" s="23">
        <f>Saldo_Residual_Activo!N171</f>
        <v/>
      </c>
      <c r="AH171" s="23">
        <f>ROUND(AF171 + AG171, 2)</f>
        <v/>
      </c>
      <c r="AI171" s="23">
        <f>Saldos_Capital_Mensual!O171</f>
        <v/>
      </c>
      <c r="AJ171" s="23">
        <f>Saldos_Intereses_Mensual!O171</f>
        <v/>
      </c>
      <c r="AK171" s="23">
        <f>ROUND(AI171 + AJ171, 2)</f>
        <v/>
      </c>
      <c r="AL171" s="23">
        <f>Saldo_Residual_Activo!O171</f>
        <v/>
      </c>
      <c r="AM171" s="23">
        <f>ROUND(AK171 + AL171, 2)</f>
        <v/>
      </c>
      <c r="AN171" s="23">
        <f>Saldos_Capital_Mensual!P171</f>
        <v/>
      </c>
      <c r="AO171" s="23">
        <f>Saldos_Intereses_Mensual!P171</f>
        <v/>
      </c>
      <c r="AP171" s="23">
        <f>ROUND(AN171 + AO171, 2)</f>
        <v/>
      </c>
      <c r="AQ171" s="23">
        <f>Saldo_Residual_Activo!P171</f>
        <v/>
      </c>
      <c r="AR171" s="23">
        <f>ROUND(AP171 + AQ171, 2)</f>
        <v/>
      </c>
      <c r="AS171" s="23">
        <f>Saldos_Capital_Mensual!Q171</f>
        <v/>
      </c>
      <c r="AT171" s="23">
        <f>Saldos_Intereses_Mensual!Q171</f>
        <v/>
      </c>
      <c r="AU171" s="23">
        <f>ROUND(AS171 + AT171, 2)</f>
        <v/>
      </c>
      <c r="AV171" s="23">
        <f>Saldo_Residual_Activo!Q171</f>
        <v/>
      </c>
      <c r="AW171" s="23">
        <f>ROUND(AU171 + AV171, 2)</f>
        <v/>
      </c>
      <c r="AX171" s="23">
        <f>Saldos_Capital_Mensual!R171</f>
        <v/>
      </c>
      <c r="AY171" s="23">
        <f>Saldos_Intereses_Mensual!R171</f>
        <v/>
      </c>
      <c r="AZ171" s="23">
        <f>ROUND(AX171 + AY171, 2)</f>
        <v/>
      </c>
      <c r="BA171" s="23">
        <f>Saldo_Residual_Activo!R171</f>
        <v/>
      </c>
      <c r="BB171" s="23">
        <f>ROUND(AZ171 + BA171, 2)</f>
        <v/>
      </c>
      <c r="BC171" s="23">
        <f>Saldos_Capital_Mensual!S171</f>
        <v/>
      </c>
      <c r="BD171" s="23">
        <f>Saldos_Intereses_Mensual!S171</f>
        <v/>
      </c>
      <c r="BE171" s="23">
        <f>ROUND(BC171 + BD171, 2)</f>
        <v/>
      </c>
      <c r="BF171" s="23">
        <f>Saldo_Residual_Activo!S171</f>
        <v/>
      </c>
      <c r="BG171" s="23">
        <f>ROUND(BE171 + BF171, 2)</f>
        <v/>
      </c>
      <c r="BH171" s="23">
        <f>Saldos_Capital_Mensual!T171</f>
        <v/>
      </c>
      <c r="BI171" s="23">
        <f>Saldos_Intereses_Mensual!T171</f>
        <v/>
      </c>
      <c r="BJ171" s="23">
        <f>ROUND(BH171 + BI171, 2)</f>
        <v/>
      </c>
      <c r="BK171" s="23">
        <f>Saldo_Residual_Activo!T171</f>
        <v/>
      </c>
      <c r="BL171" s="23">
        <f>ROUND(BJ171 + BK171, 2)</f>
        <v/>
      </c>
    </row>
    <row r="172">
      <c r="A172" s="26" t="inlineStr">
        <is>
          <t>0692-0003</t>
        </is>
      </c>
      <c r="B172" s="27" t="inlineStr">
        <is>
          <t>Operadora de Centros Familiares Gato</t>
        </is>
      </c>
      <c r="C172" s="27" t="inlineStr">
        <is>
          <t>Partner Rapid</t>
        </is>
      </c>
      <c r="D172" s="28" t="n">
        <v>24</v>
      </c>
      <c r="E172" s="29">
        <f>Saldos_Capital_Mensual!I172</f>
        <v/>
      </c>
      <c r="F172" s="29">
        <f>Saldos_Intereses_Mensual!I172</f>
        <v/>
      </c>
      <c r="G172" s="29">
        <f>ROUND(E172 + F172, 2)</f>
        <v/>
      </c>
      <c r="H172" s="29">
        <f>Saldo_Residual_Activo!I172</f>
        <v/>
      </c>
      <c r="I172" s="29">
        <f>ROUND(G172 + H172, 2)</f>
        <v/>
      </c>
      <c r="J172" s="29">
        <f>Saldos_Capital_Mensual!J172</f>
        <v/>
      </c>
      <c r="K172" s="29">
        <f>Saldos_Intereses_Mensual!J172</f>
        <v/>
      </c>
      <c r="L172" s="29">
        <f>ROUND(J172 + K172, 2)</f>
        <v/>
      </c>
      <c r="M172" s="29">
        <f>Saldo_Residual_Activo!J172</f>
        <v/>
      </c>
      <c r="N172" s="29">
        <f>ROUND(L172 + M172, 2)</f>
        <v/>
      </c>
      <c r="O172" s="29">
        <f>Saldos_Capital_Mensual!K172</f>
        <v/>
      </c>
      <c r="P172" s="29">
        <f>Saldos_Intereses_Mensual!K172</f>
        <v/>
      </c>
      <c r="Q172" s="29">
        <f>ROUND(O172 + P172, 2)</f>
        <v/>
      </c>
      <c r="R172" s="29">
        <f>Saldo_Residual_Activo!K172</f>
        <v/>
      </c>
      <c r="S172" s="29">
        <f>ROUND(Q172 + R172, 2)</f>
        <v/>
      </c>
      <c r="T172" s="29">
        <f>Saldos_Capital_Mensual!L172</f>
        <v/>
      </c>
      <c r="U172" s="29">
        <f>Saldos_Intereses_Mensual!L172</f>
        <v/>
      </c>
      <c r="V172" s="29">
        <f>ROUND(T172 + U172, 2)</f>
        <v/>
      </c>
      <c r="W172" s="29">
        <f>Saldo_Residual_Activo!L172</f>
        <v/>
      </c>
      <c r="X172" s="29">
        <f>ROUND(V172 + W172, 2)</f>
        <v/>
      </c>
      <c r="Y172" s="29">
        <f>Saldos_Capital_Mensual!M172</f>
        <v/>
      </c>
      <c r="Z172" s="29">
        <f>Saldos_Intereses_Mensual!M172</f>
        <v/>
      </c>
      <c r="AA172" s="29">
        <f>ROUND(Y172 + Z172, 2)</f>
        <v/>
      </c>
      <c r="AB172" s="29">
        <f>Saldo_Residual_Activo!M172</f>
        <v/>
      </c>
      <c r="AC172" s="29">
        <f>ROUND(AA172 + AB172, 2)</f>
        <v/>
      </c>
      <c r="AD172" s="29">
        <f>Saldos_Capital_Mensual!N172</f>
        <v/>
      </c>
      <c r="AE172" s="29">
        <f>Saldos_Intereses_Mensual!N172</f>
        <v/>
      </c>
      <c r="AF172" s="29">
        <f>ROUND(AD172 + AE172, 2)</f>
        <v/>
      </c>
      <c r="AG172" s="29">
        <f>Saldo_Residual_Activo!N172</f>
        <v/>
      </c>
      <c r="AH172" s="29">
        <f>ROUND(AF172 + AG172, 2)</f>
        <v/>
      </c>
      <c r="AI172" s="29">
        <f>Saldos_Capital_Mensual!O172</f>
        <v/>
      </c>
      <c r="AJ172" s="29">
        <f>Saldos_Intereses_Mensual!O172</f>
        <v/>
      </c>
      <c r="AK172" s="29">
        <f>ROUND(AI172 + AJ172, 2)</f>
        <v/>
      </c>
      <c r="AL172" s="29">
        <f>Saldo_Residual_Activo!O172</f>
        <v/>
      </c>
      <c r="AM172" s="29">
        <f>ROUND(AK172 + AL172, 2)</f>
        <v/>
      </c>
      <c r="AN172" s="29">
        <f>Saldos_Capital_Mensual!P172</f>
        <v/>
      </c>
      <c r="AO172" s="29">
        <f>Saldos_Intereses_Mensual!P172</f>
        <v/>
      </c>
      <c r="AP172" s="29">
        <f>ROUND(AN172 + AO172, 2)</f>
        <v/>
      </c>
      <c r="AQ172" s="29">
        <f>Saldo_Residual_Activo!P172</f>
        <v/>
      </c>
      <c r="AR172" s="29">
        <f>ROUND(AP172 + AQ172, 2)</f>
        <v/>
      </c>
      <c r="AS172" s="29">
        <f>Saldos_Capital_Mensual!Q172</f>
        <v/>
      </c>
      <c r="AT172" s="29">
        <f>Saldos_Intereses_Mensual!Q172</f>
        <v/>
      </c>
      <c r="AU172" s="29">
        <f>ROUND(AS172 + AT172, 2)</f>
        <v/>
      </c>
      <c r="AV172" s="29">
        <f>Saldo_Residual_Activo!Q172</f>
        <v/>
      </c>
      <c r="AW172" s="29">
        <f>ROUND(AU172 + AV172, 2)</f>
        <v/>
      </c>
      <c r="AX172" s="29">
        <f>Saldos_Capital_Mensual!R172</f>
        <v/>
      </c>
      <c r="AY172" s="29">
        <f>Saldos_Intereses_Mensual!R172</f>
        <v/>
      </c>
      <c r="AZ172" s="29">
        <f>ROUND(AX172 + AY172, 2)</f>
        <v/>
      </c>
      <c r="BA172" s="29">
        <f>Saldo_Residual_Activo!R172</f>
        <v/>
      </c>
      <c r="BB172" s="29">
        <f>ROUND(AZ172 + BA172, 2)</f>
        <v/>
      </c>
      <c r="BC172" s="29">
        <f>Saldos_Capital_Mensual!S172</f>
        <v/>
      </c>
      <c r="BD172" s="29">
        <f>Saldos_Intereses_Mensual!S172</f>
        <v/>
      </c>
      <c r="BE172" s="29">
        <f>ROUND(BC172 + BD172, 2)</f>
        <v/>
      </c>
      <c r="BF172" s="29">
        <f>Saldo_Residual_Activo!S172</f>
        <v/>
      </c>
      <c r="BG172" s="29">
        <f>ROUND(BE172 + BF172, 2)</f>
        <v/>
      </c>
      <c r="BH172" s="29">
        <f>Saldos_Capital_Mensual!T172</f>
        <v/>
      </c>
      <c r="BI172" s="29">
        <f>Saldos_Intereses_Mensual!T172</f>
        <v/>
      </c>
      <c r="BJ172" s="29">
        <f>ROUND(BH172 + BI172, 2)</f>
        <v/>
      </c>
      <c r="BK172" s="29">
        <f>Saldo_Residual_Activo!T172</f>
        <v/>
      </c>
      <c r="BL172" s="29">
        <f>ROUND(BJ172 + BK172, 2)</f>
        <v/>
      </c>
    </row>
    <row r="173">
      <c r="A173" s="20" t="inlineStr">
        <is>
          <t>0693-0001</t>
        </is>
      </c>
      <c r="B173" s="21" t="inlineStr">
        <is>
          <t>Neurovim</t>
        </is>
      </c>
      <c r="C173" s="21" t="inlineStr">
        <is>
          <t>Equipo Medico</t>
        </is>
      </c>
      <c r="D173" s="22" t="n">
        <v>36</v>
      </c>
      <c r="E173" s="23">
        <f>Saldos_Capital_Mensual!I173</f>
        <v/>
      </c>
      <c r="F173" s="23">
        <f>Saldos_Intereses_Mensual!I173</f>
        <v/>
      </c>
      <c r="G173" s="23">
        <f>ROUND(E173 + F173, 2)</f>
        <v/>
      </c>
      <c r="H173" s="23">
        <f>Saldo_Residual_Activo!I173</f>
        <v/>
      </c>
      <c r="I173" s="23">
        <f>ROUND(G173 + H173, 2)</f>
        <v/>
      </c>
      <c r="J173" s="23">
        <f>Saldos_Capital_Mensual!J173</f>
        <v/>
      </c>
      <c r="K173" s="23">
        <f>Saldos_Intereses_Mensual!J173</f>
        <v/>
      </c>
      <c r="L173" s="23">
        <f>ROUND(J173 + K173, 2)</f>
        <v/>
      </c>
      <c r="M173" s="23">
        <f>Saldo_Residual_Activo!J173</f>
        <v/>
      </c>
      <c r="N173" s="23">
        <f>ROUND(L173 + M173, 2)</f>
        <v/>
      </c>
      <c r="O173" s="23">
        <f>Saldos_Capital_Mensual!K173</f>
        <v/>
      </c>
      <c r="P173" s="23">
        <f>Saldos_Intereses_Mensual!K173</f>
        <v/>
      </c>
      <c r="Q173" s="23">
        <f>ROUND(O173 + P173, 2)</f>
        <v/>
      </c>
      <c r="R173" s="23">
        <f>Saldo_Residual_Activo!K173</f>
        <v/>
      </c>
      <c r="S173" s="23">
        <f>ROUND(Q173 + R173, 2)</f>
        <v/>
      </c>
      <c r="T173" s="23">
        <f>Saldos_Capital_Mensual!L173</f>
        <v/>
      </c>
      <c r="U173" s="23">
        <f>Saldos_Intereses_Mensual!L173</f>
        <v/>
      </c>
      <c r="V173" s="23">
        <f>ROUND(T173 + U173, 2)</f>
        <v/>
      </c>
      <c r="W173" s="23">
        <f>Saldo_Residual_Activo!L173</f>
        <v/>
      </c>
      <c r="X173" s="23">
        <f>ROUND(V173 + W173, 2)</f>
        <v/>
      </c>
      <c r="Y173" s="23">
        <f>Saldos_Capital_Mensual!M173</f>
        <v/>
      </c>
      <c r="Z173" s="23">
        <f>Saldos_Intereses_Mensual!M173</f>
        <v/>
      </c>
      <c r="AA173" s="23">
        <f>ROUND(Y173 + Z173, 2)</f>
        <v/>
      </c>
      <c r="AB173" s="23">
        <f>Saldo_Residual_Activo!M173</f>
        <v/>
      </c>
      <c r="AC173" s="23">
        <f>ROUND(AA173 + AB173, 2)</f>
        <v/>
      </c>
      <c r="AD173" s="23">
        <f>Saldos_Capital_Mensual!N173</f>
        <v/>
      </c>
      <c r="AE173" s="23">
        <f>Saldos_Intereses_Mensual!N173</f>
        <v/>
      </c>
      <c r="AF173" s="23">
        <f>ROUND(AD173 + AE173, 2)</f>
        <v/>
      </c>
      <c r="AG173" s="23">
        <f>Saldo_Residual_Activo!N173</f>
        <v/>
      </c>
      <c r="AH173" s="23">
        <f>ROUND(AF173 + AG173, 2)</f>
        <v/>
      </c>
      <c r="AI173" s="23">
        <f>Saldos_Capital_Mensual!O173</f>
        <v/>
      </c>
      <c r="AJ173" s="23">
        <f>Saldos_Intereses_Mensual!O173</f>
        <v/>
      </c>
      <c r="AK173" s="23">
        <f>ROUND(AI173 + AJ173, 2)</f>
        <v/>
      </c>
      <c r="AL173" s="23">
        <f>Saldo_Residual_Activo!O173</f>
        <v/>
      </c>
      <c r="AM173" s="23">
        <f>ROUND(AK173 + AL173, 2)</f>
        <v/>
      </c>
      <c r="AN173" s="23">
        <f>Saldos_Capital_Mensual!P173</f>
        <v/>
      </c>
      <c r="AO173" s="23">
        <f>Saldos_Intereses_Mensual!P173</f>
        <v/>
      </c>
      <c r="AP173" s="23">
        <f>ROUND(AN173 + AO173, 2)</f>
        <v/>
      </c>
      <c r="AQ173" s="23">
        <f>Saldo_Residual_Activo!P173</f>
        <v/>
      </c>
      <c r="AR173" s="23">
        <f>ROUND(AP173 + AQ173, 2)</f>
        <v/>
      </c>
      <c r="AS173" s="23">
        <f>Saldos_Capital_Mensual!Q173</f>
        <v/>
      </c>
      <c r="AT173" s="23">
        <f>Saldos_Intereses_Mensual!Q173</f>
        <v/>
      </c>
      <c r="AU173" s="23">
        <f>ROUND(AS173 + AT173, 2)</f>
        <v/>
      </c>
      <c r="AV173" s="23">
        <f>Saldo_Residual_Activo!Q173</f>
        <v/>
      </c>
      <c r="AW173" s="23">
        <f>ROUND(AU173 + AV173, 2)</f>
        <v/>
      </c>
      <c r="AX173" s="23">
        <f>Saldos_Capital_Mensual!R173</f>
        <v/>
      </c>
      <c r="AY173" s="23">
        <f>Saldos_Intereses_Mensual!R173</f>
        <v/>
      </c>
      <c r="AZ173" s="23">
        <f>ROUND(AX173 + AY173, 2)</f>
        <v/>
      </c>
      <c r="BA173" s="23">
        <f>Saldo_Residual_Activo!R173</f>
        <v/>
      </c>
      <c r="BB173" s="23">
        <f>ROUND(AZ173 + BA173, 2)</f>
        <v/>
      </c>
      <c r="BC173" s="23">
        <f>Saldos_Capital_Mensual!S173</f>
        <v/>
      </c>
      <c r="BD173" s="23">
        <f>Saldos_Intereses_Mensual!S173</f>
        <v/>
      </c>
      <c r="BE173" s="23">
        <f>ROUND(BC173 + BD173, 2)</f>
        <v/>
      </c>
      <c r="BF173" s="23">
        <f>Saldo_Residual_Activo!S173</f>
        <v/>
      </c>
      <c r="BG173" s="23">
        <f>ROUND(BE173 + BF173, 2)</f>
        <v/>
      </c>
      <c r="BH173" s="23">
        <f>Saldos_Capital_Mensual!T173</f>
        <v/>
      </c>
      <c r="BI173" s="23">
        <f>Saldos_Intereses_Mensual!T173</f>
        <v/>
      </c>
      <c r="BJ173" s="23">
        <f>ROUND(BH173 + BI173, 2)</f>
        <v/>
      </c>
      <c r="BK173" s="23">
        <f>Saldo_Residual_Activo!T173</f>
        <v/>
      </c>
      <c r="BL173" s="23">
        <f>ROUND(BJ173 + BK173, 2)</f>
        <v/>
      </c>
    </row>
    <row r="174">
      <c r="A174" s="26" t="inlineStr">
        <is>
          <t>0694-0001</t>
        </is>
      </c>
      <c r="B174" s="27" t="inlineStr">
        <is>
          <t>Jose Gelacio Limon Reyes</t>
        </is>
      </c>
      <c r="C174" s="27" t="inlineStr">
        <is>
          <t>Outlander Sport</t>
        </is>
      </c>
      <c r="D174" s="28" t="n">
        <v>48</v>
      </c>
      <c r="E174" s="29">
        <f>Saldos_Capital_Mensual!I174</f>
        <v/>
      </c>
      <c r="F174" s="29">
        <f>Saldos_Intereses_Mensual!I174</f>
        <v/>
      </c>
      <c r="G174" s="29">
        <f>ROUND(E174 + F174, 2)</f>
        <v/>
      </c>
      <c r="H174" s="29">
        <f>Saldo_Residual_Activo!I174</f>
        <v/>
      </c>
      <c r="I174" s="29">
        <f>ROUND(G174 + H174, 2)</f>
        <v/>
      </c>
      <c r="J174" s="29">
        <f>Saldos_Capital_Mensual!J174</f>
        <v/>
      </c>
      <c r="K174" s="29">
        <f>Saldos_Intereses_Mensual!J174</f>
        <v/>
      </c>
      <c r="L174" s="29">
        <f>ROUND(J174 + K174, 2)</f>
        <v/>
      </c>
      <c r="M174" s="29">
        <f>Saldo_Residual_Activo!J174</f>
        <v/>
      </c>
      <c r="N174" s="29">
        <f>ROUND(L174 + M174, 2)</f>
        <v/>
      </c>
      <c r="O174" s="29">
        <f>Saldos_Capital_Mensual!K174</f>
        <v/>
      </c>
      <c r="P174" s="29">
        <f>Saldos_Intereses_Mensual!K174</f>
        <v/>
      </c>
      <c r="Q174" s="29">
        <f>ROUND(O174 + P174, 2)</f>
        <v/>
      </c>
      <c r="R174" s="29">
        <f>Saldo_Residual_Activo!K174</f>
        <v/>
      </c>
      <c r="S174" s="29">
        <f>ROUND(Q174 + R174, 2)</f>
        <v/>
      </c>
      <c r="T174" s="29">
        <f>Saldos_Capital_Mensual!L174</f>
        <v/>
      </c>
      <c r="U174" s="29">
        <f>Saldos_Intereses_Mensual!L174</f>
        <v/>
      </c>
      <c r="V174" s="29">
        <f>ROUND(T174 + U174, 2)</f>
        <v/>
      </c>
      <c r="W174" s="29">
        <f>Saldo_Residual_Activo!L174</f>
        <v/>
      </c>
      <c r="X174" s="29">
        <f>ROUND(V174 + W174, 2)</f>
        <v/>
      </c>
      <c r="Y174" s="29">
        <f>Saldos_Capital_Mensual!M174</f>
        <v/>
      </c>
      <c r="Z174" s="29">
        <f>Saldos_Intereses_Mensual!M174</f>
        <v/>
      </c>
      <c r="AA174" s="29">
        <f>ROUND(Y174 + Z174, 2)</f>
        <v/>
      </c>
      <c r="AB174" s="29">
        <f>Saldo_Residual_Activo!M174</f>
        <v/>
      </c>
      <c r="AC174" s="29">
        <f>ROUND(AA174 + AB174, 2)</f>
        <v/>
      </c>
      <c r="AD174" s="29">
        <f>Saldos_Capital_Mensual!N174</f>
        <v/>
      </c>
      <c r="AE174" s="29">
        <f>Saldos_Intereses_Mensual!N174</f>
        <v/>
      </c>
      <c r="AF174" s="29">
        <f>ROUND(AD174 + AE174, 2)</f>
        <v/>
      </c>
      <c r="AG174" s="29">
        <f>Saldo_Residual_Activo!N174</f>
        <v/>
      </c>
      <c r="AH174" s="29">
        <f>ROUND(AF174 + AG174, 2)</f>
        <v/>
      </c>
      <c r="AI174" s="29">
        <f>Saldos_Capital_Mensual!O174</f>
        <v/>
      </c>
      <c r="AJ174" s="29">
        <f>Saldos_Intereses_Mensual!O174</f>
        <v/>
      </c>
      <c r="AK174" s="29">
        <f>ROUND(AI174 + AJ174, 2)</f>
        <v/>
      </c>
      <c r="AL174" s="29">
        <f>Saldo_Residual_Activo!O174</f>
        <v/>
      </c>
      <c r="AM174" s="29">
        <f>ROUND(AK174 + AL174, 2)</f>
        <v/>
      </c>
      <c r="AN174" s="29">
        <f>Saldos_Capital_Mensual!P174</f>
        <v/>
      </c>
      <c r="AO174" s="29">
        <f>Saldos_Intereses_Mensual!P174</f>
        <v/>
      </c>
      <c r="AP174" s="29">
        <f>ROUND(AN174 + AO174, 2)</f>
        <v/>
      </c>
      <c r="AQ174" s="29">
        <f>Saldo_Residual_Activo!P174</f>
        <v/>
      </c>
      <c r="AR174" s="29">
        <f>ROUND(AP174 + AQ174, 2)</f>
        <v/>
      </c>
      <c r="AS174" s="29">
        <f>Saldos_Capital_Mensual!Q174</f>
        <v/>
      </c>
      <c r="AT174" s="29">
        <f>Saldos_Intereses_Mensual!Q174</f>
        <v/>
      </c>
      <c r="AU174" s="29">
        <f>ROUND(AS174 + AT174, 2)</f>
        <v/>
      </c>
      <c r="AV174" s="29">
        <f>Saldo_Residual_Activo!Q174</f>
        <v/>
      </c>
      <c r="AW174" s="29">
        <f>ROUND(AU174 + AV174, 2)</f>
        <v/>
      </c>
      <c r="AX174" s="29">
        <f>Saldos_Capital_Mensual!R174</f>
        <v/>
      </c>
      <c r="AY174" s="29">
        <f>Saldos_Intereses_Mensual!R174</f>
        <v/>
      </c>
      <c r="AZ174" s="29">
        <f>ROUND(AX174 + AY174, 2)</f>
        <v/>
      </c>
      <c r="BA174" s="29">
        <f>Saldo_Residual_Activo!R174</f>
        <v/>
      </c>
      <c r="BB174" s="29">
        <f>ROUND(AZ174 + BA174, 2)</f>
        <v/>
      </c>
      <c r="BC174" s="29">
        <f>Saldos_Capital_Mensual!S174</f>
        <v/>
      </c>
      <c r="BD174" s="29">
        <f>Saldos_Intereses_Mensual!S174</f>
        <v/>
      </c>
      <c r="BE174" s="29">
        <f>ROUND(BC174 + BD174, 2)</f>
        <v/>
      </c>
      <c r="BF174" s="29">
        <f>Saldo_Residual_Activo!S174</f>
        <v/>
      </c>
      <c r="BG174" s="29">
        <f>ROUND(BE174 + BF174, 2)</f>
        <v/>
      </c>
      <c r="BH174" s="29">
        <f>Saldos_Capital_Mensual!T174</f>
        <v/>
      </c>
      <c r="BI174" s="29">
        <f>Saldos_Intereses_Mensual!T174</f>
        <v/>
      </c>
      <c r="BJ174" s="29">
        <f>ROUND(BH174 + BI174, 2)</f>
        <v/>
      </c>
      <c r="BK174" s="29">
        <f>Saldo_Residual_Activo!T174</f>
        <v/>
      </c>
      <c r="BL174" s="29">
        <f>ROUND(BJ174 + BK174, 2)</f>
        <v/>
      </c>
    </row>
    <row r="175">
      <c r="A175" s="20" t="inlineStr">
        <is>
          <t>0695-0001</t>
        </is>
      </c>
      <c r="B175" s="21" t="inlineStr">
        <is>
          <t>Sistemas de Seguridad Privada Ssp</t>
        </is>
      </c>
      <c r="C175" s="21" t="inlineStr">
        <is>
          <t>Attitude Sport</t>
        </is>
      </c>
      <c r="D175" s="22" t="n">
        <v>24</v>
      </c>
      <c r="E175" s="23">
        <f>Saldos_Capital_Mensual!I175</f>
        <v/>
      </c>
      <c r="F175" s="23">
        <f>Saldos_Intereses_Mensual!I175</f>
        <v/>
      </c>
      <c r="G175" s="23">
        <f>ROUND(E175 + F175, 2)</f>
        <v/>
      </c>
      <c r="H175" s="23">
        <f>Saldo_Residual_Activo!I175</f>
        <v/>
      </c>
      <c r="I175" s="23">
        <f>ROUND(G175 + H175, 2)</f>
        <v/>
      </c>
      <c r="J175" s="23">
        <f>Saldos_Capital_Mensual!J175</f>
        <v/>
      </c>
      <c r="K175" s="23">
        <f>Saldos_Intereses_Mensual!J175</f>
        <v/>
      </c>
      <c r="L175" s="23">
        <f>ROUND(J175 + K175, 2)</f>
        <v/>
      </c>
      <c r="M175" s="23">
        <f>Saldo_Residual_Activo!J175</f>
        <v/>
      </c>
      <c r="N175" s="23">
        <f>ROUND(L175 + M175, 2)</f>
        <v/>
      </c>
      <c r="O175" s="23">
        <f>Saldos_Capital_Mensual!K175</f>
        <v/>
      </c>
      <c r="P175" s="23">
        <f>Saldos_Intereses_Mensual!K175</f>
        <v/>
      </c>
      <c r="Q175" s="23">
        <f>ROUND(O175 + P175, 2)</f>
        <v/>
      </c>
      <c r="R175" s="23">
        <f>Saldo_Residual_Activo!K175</f>
        <v/>
      </c>
      <c r="S175" s="23">
        <f>ROUND(Q175 + R175, 2)</f>
        <v/>
      </c>
      <c r="T175" s="23">
        <f>Saldos_Capital_Mensual!L175</f>
        <v/>
      </c>
      <c r="U175" s="23">
        <f>Saldos_Intereses_Mensual!L175</f>
        <v/>
      </c>
      <c r="V175" s="23">
        <f>ROUND(T175 + U175, 2)</f>
        <v/>
      </c>
      <c r="W175" s="23">
        <f>Saldo_Residual_Activo!L175</f>
        <v/>
      </c>
      <c r="X175" s="23">
        <f>ROUND(V175 + W175, 2)</f>
        <v/>
      </c>
      <c r="Y175" s="23">
        <f>Saldos_Capital_Mensual!M175</f>
        <v/>
      </c>
      <c r="Z175" s="23">
        <f>Saldos_Intereses_Mensual!M175</f>
        <v/>
      </c>
      <c r="AA175" s="23">
        <f>ROUND(Y175 + Z175, 2)</f>
        <v/>
      </c>
      <c r="AB175" s="23">
        <f>Saldo_Residual_Activo!M175</f>
        <v/>
      </c>
      <c r="AC175" s="23">
        <f>ROUND(AA175 + AB175, 2)</f>
        <v/>
      </c>
      <c r="AD175" s="23">
        <f>Saldos_Capital_Mensual!N175</f>
        <v/>
      </c>
      <c r="AE175" s="23">
        <f>Saldos_Intereses_Mensual!N175</f>
        <v/>
      </c>
      <c r="AF175" s="23">
        <f>ROUND(AD175 + AE175, 2)</f>
        <v/>
      </c>
      <c r="AG175" s="23">
        <f>Saldo_Residual_Activo!N175</f>
        <v/>
      </c>
      <c r="AH175" s="23">
        <f>ROUND(AF175 + AG175, 2)</f>
        <v/>
      </c>
      <c r="AI175" s="23">
        <f>Saldos_Capital_Mensual!O175</f>
        <v/>
      </c>
      <c r="AJ175" s="23">
        <f>Saldos_Intereses_Mensual!O175</f>
        <v/>
      </c>
      <c r="AK175" s="23">
        <f>ROUND(AI175 + AJ175, 2)</f>
        <v/>
      </c>
      <c r="AL175" s="23">
        <f>Saldo_Residual_Activo!O175</f>
        <v/>
      </c>
      <c r="AM175" s="23">
        <f>ROUND(AK175 + AL175, 2)</f>
        <v/>
      </c>
      <c r="AN175" s="23">
        <f>Saldos_Capital_Mensual!P175</f>
        <v/>
      </c>
      <c r="AO175" s="23">
        <f>Saldos_Intereses_Mensual!P175</f>
        <v/>
      </c>
      <c r="AP175" s="23">
        <f>ROUND(AN175 + AO175, 2)</f>
        <v/>
      </c>
      <c r="AQ175" s="23">
        <f>Saldo_Residual_Activo!P175</f>
        <v/>
      </c>
      <c r="AR175" s="23">
        <f>ROUND(AP175 + AQ175, 2)</f>
        <v/>
      </c>
      <c r="AS175" s="23">
        <f>Saldos_Capital_Mensual!Q175</f>
        <v/>
      </c>
      <c r="AT175" s="23">
        <f>Saldos_Intereses_Mensual!Q175</f>
        <v/>
      </c>
      <c r="AU175" s="23">
        <f>ROUND(AS175 + AT175, 2)</f>
        <v/>
      </c>
      <c r="AV175" s="23">
        <f>Saldo_Residual_Activo!Q175</f>
        <v/>
      </c>
      <c r="AW175" s="23">
        <f>ROUND(AU175 + AV175, 2)</f>
        <v/>
      </c>
      <c r="AX175" s="23">
        <f>Saldos_Capital_Mensual!R175</f>
        <v/>
      </c>
      <c r="AY175" s="23">
        <f>Saldos_Intereses_Mensual!R175</f>
        <v/>
      </c>
      <c r="AZ175" s="23">
        <f>ROUND(AX175 + AY175, 2)</f>
        <v/>
      </c>
      <c r="BA175" s="23">
        <f>Saldo_Residual_Activo!R175</f>
        <v/>
      </c>
      <c r="BB175" s="23">
        <f>ROUND(AZ175 + BA175, 2)</f>
        <v/>
      </c>
      <c r="BC175" s="23">
        <f>Saldos_Capital_Mensual!S175</f>
        <v/>
      </c>
      <c r="BD175" s="23">
        <f>Saldos_Intereses_Mensual!S175</f>
        <v/>
      </c>
      <c r="BE175" s="23">
        <f>ROUND(BC175 + BD175, 2)</f>
        <v/>
      </c>
      <c r="BF175" s="23">
        <f>Saldo_Residual_Activo!S175</f>
        <v/>
      </c>
      <c r="BG175" s="23">
        <f>ROUND(BE175 + BF175, 2)</f>
        <v/>
      </c>
      <c r="BH175" s="23">
        <f>Saldos_Capital_Mensual!T175</f>
        <v/>
      </c>
      <c r="BI175" s="23">
        <f>Saldos_Intereses_Mensual!T175</f>
        <v/>
      </c>
      <c r="BJ175" s="23">
        <f>ROUND(BH175 + BI175, 2)</f>
        <v/>
      </c>
      <c r="BK175" s="23">
        <f>Saldo_Residual_Activo!T175</f>
        <v/>
      </c>
      <c r="BL175" s="23">
        <f>ROUND(BJ175 + BK175, 2)</f>
        <v/>
      </c>
    </row>
    <row r="176">
      <c r="A176" s="26" t="inlineStr">
        <is>
          <t>0696-0001</t>
        </is>
      </c>
      <c r="B176" s="27" t="inlineStr">
        <is>
          <t>Karina Rocio Sanchez Cardenas</t>
        </is>
      </c>
      <c r="C176" s="27" t="inlineStr">
        <is>
          <t>Atittude GT</t>
        </is>
      </c>
      <c r="D176" s="28" t="n">
        <v>48</v>
      </c>
      <c r="E176" s="29">
        <f>Saldos_Capital_Mensual!I176</f>
        <v/>
      </c>
      <c r="F176" s="29">
        <f>Saldos_Intereses_Mensual!I176</f>
        <v/>
      </c>
      <c r="G176" s="29">
        <f>ROUND(E176 + F176, 2)</f>
        <v/>
      </c>
      <c r="H176" s="29">
        <f>Saldo_Residual_Activo!I176</f>
        <v/>
      </c>
      <c r="I176" s="29">
        <f>ROUND(G176 + H176, 2)</f>
        <v/>
      </c>
      <c r="J176" s="29">
        <f>Saldos_Capital_Mensual!J176</f>
        <v/>
      </c>
      <c r="K176" s="29">
        <f>Saldos_Intereses_Mensual!J176</f>
        <v/>
      </c>
      <c r="L176" s="29">
        <f>ROUND(J176 + K176, 2)</f>
        <v/>
      </c>
      <c r="M176" s="29">
        <f>Saldo_Residual_Activo!J176</f>
        <v/>
      </c>
      <c r="N176" s="29">
        <f>ROUND(L176 + M176, 2)</f>
        <v/>
      </c>
      <c r="O176" s="29">
        <f>Saldos_Capital_Mensual!K176</f>
        <v/>
      </c>
      <c r="P176" s="29">
        <f>Saldos_Intereses_Mensual!K176</f>
        <v/>
      </c>
      <c r="Q176" s="29">
        <f>ROUND(O176 + P176, 2)</f>
        <v/>
      </c>
      <c r="R176" s="29">
        <f>Saldo_Residual_Activo!K176</f>
        <v/>
      </c>
      <c r="S176" s="29">
        <f>ROUND(Q176 + R176, 2)</f>
        <v/>
      </c>
      <c r="T176" s="29">
        <f>Saldos_Capital_Mensual!L176</f>
        <v/>
      </c>
      <c r="U176" s="29">
        <f>Saldos_Intereses_Mensual!L176</f>
        <v/>
      </c>
      <c r="V176" s="29">
        <f>ROUND(T176 + U176, 2)</f>
        <v/>
      </c>
      <c r="W176" s="29">
        <f>Saldo_Residual_Activo!L176</f>
        <v/>
      </c>
      <c r="X176" s="29">
        <f>ROUND(V176 + W176, 2)</f>
        <v/>
      </c>
      <c r="Y176" s="29">
        <f>Saldos_Capital_Mensual!M176</f>
        <v/>
      </c>
      <c r="Z176" s="29">
        <f>Saldos_Intereses_Mensual!M176</f>
        <v/>
      </c>
      <c r="AA176" s="29">
        <f>ROUND(Y176 + Z176, 2)</f>
        <v/>
      </c>
      <c r="AB176" s="29">
        <f>Saldo_Residual_Activo!M176</f>
        <v/>
      </c>
      <c r="AC176" s="29">
        <f>ROUND(AA176 + AB176, 2)</f>
        <v/>
      </c>
      <c r="AD176" s="29">
        <f>Saldos_Capital_Mensual!N176</f>
        <v/>
      </c>
      <c r="AE176" s="29">
        <f>Saldos_Intereses_Mensual!N176</f>
        <v/>
      </c>
      <c r="AF176" s="29">
        <f>ROUND(AD176 + AE176, 2)</f>
        <v/>
      </c>
      <c r="AG176" s="29">
        <f>Saldo_Residual_Activo!N176</f>
        <v/>
      </c>
      <c r="AH176" s="29">
        <f>ROUND(AF176 + AG176, 2)</f>
        <v/>
      </c>
      <c r="AI176" s="29">
        <f>Saldos_Capital_Mensual!O176</f>
        <v/>
      </c>
      <c r="AJ176" s="29">
        <f>Saldos_Intereses_Mensual!O176</f>
        <v/>
      </c>
      <c r="AK176" s="29">
        <f>ROUND(AI176 + AJ176, 2)</f>
        <v/>
      </c>
      <c r="AL176" s="29">
        <f>Saldo_Residual_Activo!O176</f>
        <v/>
      </c>
      <c r="AM176" s="29">
        <f>ROUND(AK176 + AL176, 2)</f>
        <v/>
      </c>
      <c r="AN176" s="29">
        <f>Saldos_Capital_Mensual!P176</f>
        <v/>
      </c>
      <c r="AO176" s="29">
        <f>Saldos_Intereses_Mensual!P176</f>
        <v/>
      </c>
      <c r="AP176" s="29">
        <f>ROUND(AN176 + AO176, 2)</f>
        <v/>
      </c>
      <c r="AQ176" s="29">
        <f>Saldo_Residual_Activo!P176</f>
        <v/>
      </c>
      <c r="AR176" s="29">
        <f>ROUND(AP176 + AQ176, 2)</f>
        <v/>
      </c>
      <c r="AS176" s="29">
        <f>Saldos_Capital_Mensual!Q176</f>
        <v/>
      </c>
      <c r="AT176" s="29">
        <f>Saldos_Intereses_Mensual!Q176</f>
        <v/>
      </c>
      <c r="AU176" s="29">
        <f>ROUND(AS176 + AT176, 2)</f>
        <v/>
      </c>
      <c r="AV176" s="29">
        <f>Saldo_Residual_Activo!Q176</f>
        <v/>
      </c>
      <c r="AW176" s="29">
        <f>ROUND(AU176 + AV176, 2)</f>
        <v/>
      </c>
      <c r="AX176" s="29">
        <f>Saldos_Capital_Mensual!R176</f>
        <v/>
      </c>
      <c r="AY176" s="29">
        <f>Saldos_Intereses_Mensual!R176</f>
        <v/>
      </c>
      <c r="AZ176" s="29">
        <f>ROUND(AX176 + AY176, 2)</f>
        <v/>
      </c>
      <c r="BA176" s="29">
        <f>Saldo_Residual_Activo!R176</f>
        <v/>
      </c>
      <c r="BB176" s="29">
        <f>ROUND(AZ176 + BA176, 2)</f>
        <v/>
      </c>
      <c r="BC176" s="29">
        <f>Saldos_Capital_Mensual!S176</f>
        <v/>
      </c>
      <c r="BD176" s="29">
        <f>Saldos_Intereses_Mensual!S176</f>
        <v/>
      </c>
      <c r="BE176" s="29">
        <f>ROUND(BC176 + BD176, 2)</f>
        <v/>
      </c>
      <c r="BF176" s="29">
        <f>Saldo_Residual_Activo!S176</f>
        <v/>
      </c>
      <c r="BG176" s="29">
        <f>ROUND(BE176 + BF176, 2)</f>
        <v/>
      </c>
      <c r="BH176" s="29">
        <f>Saldos_Capital_Mensual!T176</f>
        <v/>
      </c>
      <c r="BI176" s="29">
        <f>Saldos_Intereses_Mensual!T176</f>
        <v/>
      </c>
      <c r="BJ176" s="29">
        <f>ROUND(BH176 + BI176, 2)</f>
        <v/>
      </c>
      <c r="BK176" s="29">
        <f>Saldo_Residual_Activo!T176</f>
        <v/>
      </c>
      <c r="BL176" s="29">
        <f>ROUND(BJ176 + BK176, 2)</f>
        <v/>
      </c>
    </row>
    <row r="177">
      <c r="A177" s="20" t="inlineStr">
        <is>
          <t>0697-0001</t>
        </is>
      </c>
      <c r="B177" s="21" t="inlineStr">
        <is>
          <t>Guillermo Eduardo Robles Navarro</t>
        </is>
      </c>
      <c r="C177" s="21" t="inlineStr">
        <is>
          <t>Partner Rapid</t>
        </is>
      </c>
      <c r="D177" s="22" t="n">
        <v>24</v>
      </c>
      <c r="E177" s="23">
        <f>Saldos_Capital_Mensual!I177</f>
        <v/>
      </c>
      <c r="F177" s="23">
        <f>Saldos_Intereses_Mensual!I177</f>
        <v/>
      </c>
      <c r="G177" s="23">
        <f>ROUND(E177 + F177, 2)</f>
        <v/>
      </c>
      <c r="H177" s="23">
        <f>Saldo_Residual_Activo!I177</f>
        <v/>
      </c>
      <c r="I177" s="23">
        <f>ROUND(G177 + H177, 2)</f>
        <v/>
      </c>
      <c r="J177" s="23">
        <f>Saldos_Capital_Mensual!J177</f>
        <v/>
      </c>
      <c r="K177" s="23">
        <f>Saldos_Intereses_Mensual!J177</f>
        <v/>
      </c>
      <c r="L177" s="23">
        <f>ROUND(J177 + K177, 2)</f>
        <v/>
      </c>
      <c r="M177" s="23">
        <f>Saldo_Residual_Activo!J177</f>
        <v/>
      </c>
      <c r="N177" s="23">
        <f>ROUND(L177 + M177, 2)</f>
        <v/>
      </c>
      <c r="O177" s="23">
        <f>Saldos_Capital_Mensual!K177</f>
        <v/>
      </c>
      <c r="P177" s="23">
        <f>Saldos_Intereses_Mensual!K177</f>
        <v/>
      </c>
      <c r="Q177" s="23">
        <f>ROUND(O177 + P177, 2)</f>
        <v/>
      </c>
      <c r="R177" s="23">
        <f>Saldo_Residual_Activo!K177</f>
        <v/>
      </c>
      <c r="S177" s="23">
        <f>ROUND(Q177 + R177, 2)</f>
        <v/>
      </c>
      <c r="T177" s="23">
        <f>Saldos_Capital_Mensual!L177</f>
        <v/>
      </c>
      <c r="U177" s="23">
        <f>Saldos_Intereses_Mensual!L177</f>
        <v/>
      </c>
      <c r="V177" s="23">
        <f>ROUND(T177 + U177, 2)</f>
        <v/>
      </c>
      <c r="W177" s="23">
        <f>Saldo_Residual_Activo!L177</f>
        <v/>
      </c>
      <c r="X177" s="23">
        <f>ROUND(V177 + W177, 2)</f>
        <v/>
      </c>
      <c r="Y177" s="23">
        <f>Saldos_Capital_Mensual!M177</f>
        <v/>
      </c>
      <c r="Z177" s="23">
        <f>Saldos_Intereses_Mensual!M177</f>
        <v/>
      </c>
      <c r="AA177" s="23">
        <f>ROUND(Y177 + Z177, 2)</f>
        <v/>
      </c>
      <c r="AB177" s="23">
        <f>Saldo_Residual_Activo!M177</f>
        <v/>
      </c>
      <c r="AC177" s="23">
        <f>ROUND(AA177 + AB177, 2)</f>
        <v/>
      </c>
      <c r="AD177" s="23">
        <f>Saldos_Capital_Mensual!N177</f>
        <v/>
      </c>
      <c r="AE177" s="23">
        <f>Saldos_Intereses_Mensual!N177</f>
        <v/>
      </c>
      <c r="AF177" s="23">
        <f>ROUND(AD177 + AE177, 2)</f>
        <v/>
      </c>
      <c r="AG177" s="23">
        <f>Saldo_Residual_Activo!N177</f>
        <v/>
      </c>
      <c r="AH177" s="23">
        <f>ROUND(AF177 + AG177, 2)</f>
        <v/>
      </c>
      <c r="AI177" s="23">
        <f>Saldos_Capital_Mensual!O177</f>
        <v/>
      </c>
      <c r="AJ177" s="23">
        <f>Saldos_Intereses_Mensual!O177</f>
        <v/>
      </c>
      <c r="AK177" s="23">
        <f>ROUND(AI177 + AJ177, 2)</f>
        <v/>
      </c>
      <c r="AL177" s="23">
        <f>Saldo_Residual_Activo!O177</f>
        <v/>
      </c>
      <c r="AM177" s="23">
        <f>ROUND(AK177 + AL177, 2)</f>
        <v/>
      </c>
      <c r="AN177" s="23">
        <f>Saldos_Capital_Mensual!P177</f>
        <v/>
      </c>
      <c r="AO177" s="23">
        <f>Saldos_Intereses_Mensual!P177</f>
        <v/>
      </c>
      <c r="AP177" s="23">
        <f>ROUND(AN177 + AO177, 2)</f>
        <v/>
      </c>
      <c r="AQ177" s="23">
        <f>Saldo_Residual_Activo!P177</f>
        <v/>
      </c>
      <c r="AR177" s="23">
        <f>ROUND(AP177 + AQ177, 2)</f>
        <v/>
      </c>
      <c r="AS177" s="23">
        <f>Saldos_Capital_Mensual!Q177</f>
        <v/>
      </c>
      <c r="AT177" s="23">
        <f>Saldos_Intereses_Mensual!Q177</f>
        <v/>
      </c>
      <c r="AU177" s="23">
        <f>ROUND(AS177 + AT177, 2)</f>
        <v/>
      </c>
      <c r="AV177" s="23">
        <f>Saldo_Residual_Activo!Q177</f>
        <v/>
      </c>
      <c r="AW177" s="23">
        <f>ROUND(AU177 + AV177, 2)</f>
        <v/>
      </c>
      <c r="AX177" s="23">
        <f>Saldos_Capital_Mensual!R177</f>
        <v/>
      </c>
      <c r="AY177" s="23">
        <f>Saldos_Intereses_Mensual!R177</f>
        <v/>
      </c>
      <c r="AZ177" s="23">
        <f>ROUND(AX177 + AY177, 2)</f>
        <v/>
      </c>
      <c r="BA177" s="23">
        <f>Saldo_Residual_Activo!R177</f>
        <v/>
      </c>
      <c r="BB177" s="23">
        <f>ROUND(AZ177 + BA177, 2)</f>
        <v/>
      </c>
      <c r="BC177" s="23">
        <f>Saldos_Capital_Mensual!S177</f>
        <v/>
      </c>
      <c r="BD177" s="23">
        <f>Saldos_Intereses_Mensual!S177</f>
        <v/>
      </c>
      <c r="BE177" s="23">
        <f>ROUND(BC177 + BD177, 2)</f>
        <v/>
      </c>
      <c r="BF177" s="23">
        <f>Saldo_Residual_Activo!S177</f>
        <v/>
      </c>
      <c r="BG177" s="23">
        <f>ROUND(BE177 + BF177, 2)</f>
        <v/>
      </c>
      <c r="BH177" s="23">
        <f>Saldos_Capital_Mensual!T177</f>
        <v/>
      </c>
      <c r="BI177" s="23">
        <f>Saldos_Intereses_Mensual!T177</f>
        <v/>
      </c>
      <c r="BJ177" s="23">
        <f>ROUND(BH177 + BI177, 2)</f>
        <v/>
      </c>
      <c r="BK177" s="23">
        <f>Saldo_Residual_Activo!T177</f>
        <v/>
      </c>
      <c r="BL177" s="23">
        <f>ROUND(BJ177 + BK177, 2)</f>
        <v/>
      </c>
    </row>
    <row r="178">
      <c r="A178" s="26" t="inlineStr">
        <is>
          <t>0698-0001</t>
        </is>
      </c>
      <c r="B178" s="27" t="inlineStr">
        <is>
          <t>Roberto Gontes Leon</t>
        </is>
      </c>
      <c r="C178" s="27" t="inlineStr">
        <is>
          <t>Wrangler Rubicon</t>
        </is>
      </c>
      <c r="D178" s="28" t="n">
        <v>48</v>
      </c>
      <c r="E178" s="29">
        <f>Saldos_Capital_Mensual!I178</f>
        <v/>
      </c>
      <c r="F178" s="29">
        <f>Saldos_Intereses_Mensual!I178</f>
        <v/>
      </c>
      <c r="G178" s="29">
        <f>ROUND(E178 + F178, 2)</f>
        <v/>
      </c>
      <c r="H178" s="29">
        <f>Saldo_Residual_Activo!I178</f>
        <v/>
      </c>
      <c r="I178" s="29">
        <f>ROUND(G178 + H178, 2)</f>
        <v/>
      </c>
      <c r="J178" s="29">
        <f>Saldos_Capital_Mensual!J178</f>
        <v/>
      </c>
      <c r="K178" s="29">
        <f>Saldos_Intereses_Mensual!J178</f>
        <v/>
      </c>
      <c r="L178" s="29">
        <f>ROUND(J178 + K178, 2)</f>
        <v/>
      </c>
      <c r="M178" s="29">
        <f>Saldo_Residual_Activo!J178</f>
        <v/>
      </c>
      <c r="N178" s="29">
        <f>ROUND(L178 + M178, 2)</f>
        <v/>
      </c>
      <c r="O178" s="29">
        <f>Saldos_Capital_Mensual!K178</f>
        <v/>
      </c>
      <c r="P178" s="29">
        <f>Saldos_Intereses_Mensual!K178</f>
        <v/>
      </c>
      <c r="Q178" s="29">
        <f>ROUND(O178 + P178, 2)</f>
        <v/>
      </c>
      <c r="R178" s="29">
        <f>Saldo_Residual_Activo!K178</f>
        <v/>
      </c>
      <c r="S178" s="29">
        <f>ROUND(Q178 + R178, 2)</f>
        <v/>
      </c>
      <c r="T178" s="29">
        <f>Saldos_Capital_Mensual!L178</f>
        <v/>
      </c>
      <c r="U178" s="29">
        <f>Saldos_Intereses_Mensual!L178</f>
        <v/>
      </c>
      <c r="V178" s="29">
        <f>ROUND(T178 + U178, 2)</f>
        <v/>
      </c>
      <c r="W178" s="29">
        <f>Saldo_Residual_Activo!L178</f>
        <v/>
      </c>
      <c r="X178" s="29">
        <f>ROUND(V178 + W178, 2)</f>
        <v/>
      </c>
      <c r="Y178" s="29">
        <f>Saldos_Capital_Mensual!M178</f>
        <v/>
      </c>
      <c r="Z178" s="29">
        <f>Saldos_Intereses_Mensual!M178</f>
        <v/>
      </c>
      <c r="AA178" s="29">
        <f>ROUND(Y178 + Z178, 2)</f>
        <v/>
      </c>
      <c r="AB178" s="29">
        <f>Saldo_Residual_Activo!M178</f>
        <v/>
      </c>
      <c r="AC178" s="29">
        <f>ROUND(AA178 + AB178, 2)</f>
        <v/>
      </c>
      <c r="AD178" s="29">
        <f>Saldos_Capital_Mensual!N178</f>
        <v/>
      </c>
      <c r="AE178" s="29">
        <f>Saldos_Intereses_Mensual!N178</f>
        <v/>
      </c>
      <c r="AF178" s="29">
        <f>ROUND(AD178 + AE178, 2)</f>
        <v/>
      </c>
      <c r="AG178" s="29">
        <f>Saldo_Residual_Activo!N178</f>
        <v/>
      </c>
      <c r="AH178" s="29">
        <f>ROUND(AF178 + AG178, 2)</f>
        <v/>
      </c>
      <c r="AI178" s="29">
        <f>Saldos_Capital_Mensual!O178</f>
        <v/>
      </c>
      <c r="AJ178" s="29">
        <f>Saldos_Intereses_Mensual!O178</f>
        <v/>
      </c>
      <c r="AK178" s="29">
        <f>ROUND(AI178 + AJ178, 2)</f>
        <v/>
      </c>
      <c r="AL178" s="29">
        <f>Saldo_Residual_Activo!O178</f>
        <v/>
      </c>
      <c r="AM178" s="29">
        <f>ROUND(AK178 + AL178, 2)</f>
        <v/>
      </c>
      <c r="AN178" s="29">
        <f>Saldos_Capital_Mensual!P178</f>
        <v/>
      </c>
      <c r="AO178" s="29">
        <f>Saldos_Intereses_Mensual!P178</f>
        <v/>
      </c>
      <c r="AP178" s="29">
        <f>ROUND(AN178 + AO178, 2)</f>
        <v/>
      </c>
      <c r="AQ178" s="29">
        <f>Saldo_Residual_Activo!P178</f>
        <v/>
      </c>
      <c r="AR178" s="29">
        <f>ROUND(AP178 + AQ178, 2)</f>
        <v/>
      </c>
      <c r="AS178" s="29">
        <f>Saldos_Capital_Mensual!Q178</f>
        <v/>
      </c>
      <c r="AT178" s="29">
        <f>Saldos_Intereses_Mensual!Q178</f>
        <v/>
      </c>
      <c r="AU178" s="29">
        <f>ROUND(AS178 + AT178, 2)</f>
        <v/>
      </c>
      <c r="AV178" s="29">
        <f>Saldo_Residual_Activo!Q178</f>
        <v/>
      </c>
      <c r="AW178" s="29">
        <f>ROUND(AU178 + AV178, 2)</f>
        <v/>
      </c>
      <c r="AX178" s="29">
        <f>Saldos_Capital_Mensual!R178</f>
        <v/>
      </c>
      <c r="AY178" s="29">
        <f>Saldos_Intereses_Mensual!R178</f>
        <v/>
      </c>
      <c r="AZ178" s="29">
        <f>ROUND(AX178 + AY178, 2)</f>
        <v/>
      </c>
      <c r="BA178" s="29">
        <f>Saldo_Residual_Activo!R178</f>
        <v/>
      </c>
      <c r="BB178" s="29">
        <f>ROUND(AZ178 + BA178, 2)</f>
        <v/>
      </c>
      <c r="BC178" s="29">
        <f>Saldos_Capital_Mensual!S178</f>
        <v/>
      </c>
      <c r="BD178" s="29">
        <f>Saldos_Intereses_Mensual!S178</f>
        <v/>
      </c>
      <c r="BE178" s="29">
        <f>ROUND(BC178 + BD178, 2)</f>
        <v/>
      </c>
      <c r="BF178" s="29">
        <f>Saldo_Residual_Activo!S178</f>
        <v/>
      </c>
      <c r="BG178" s="29">
        <f>ROUND(BE178 + BF178, 2)</f>
        <v/>
      </c>
      <c r="BH178" s="29">
        <f>Saldos_Capital_Mensual!T178</f>
        <v/>
      </c>
      <c r="BI178" s="29">
        <f>Saldos_Intereses_Mensual!T178</f>
        <v/>
      </c>
      <c r="BJ178" s="29">
        <f>ROUND(BH178 + BI178, 2)</f>
        <v/>
      </c>
      <c r="BK178" s="29">
        <f>Saldo_Residual_Activo!T178</f>
        <v/>
      </c>
      <c r="BL178" s="29">
        <f>ROUND(BJ178 + BK178, 2)</f>
        <v/>
      </c>
    </row>
    <row r="179">
      <c r="A179" s="20" t="inlineStr">
        <is>
          <t>0699-0001</t>
        </is>
      </c>
      <c r="B179" s="21" t="inlineStr">
        <is>
          <t>Ramona Salazar Ramos</t>
        </is>
      </c>
      <c r="C179" s="21" t="inlineStr">
        <is>
          <t>Grand Cherokee 2025</t>
        </is>
      </c>
      <c r="D179" s="22" t="n">
        <v>36</v>
      </c>
      <c r="E179" s="23">
        <f>Saldos_Capital_Mensual!I179</f>
        <v/>
      </c>
      <c r="F179" s="23">
        <f>Saldos_Intereses_Mensual!I179</f>
        <v/>
      </c>
      <c r="G179" s="23">
        <f>ROUND(E179 + F179, 2)</f>
        <v/>
      </c>
      <c r="H179" s="23">
        <f>Saldo_Residual_Activo!I179</f>
        <v/>
      </c>
      <c r="I179" s="23">
        <f>ROUND(G179 + H179, 2)</f>
        <v/>
      </c>
      <c r="J179" s="23">
        <f>Saldos_Capital_Mensual!J179</f>
        <v/>
      </c>
      <c r="K179" s="23">
        <f>Saldos_Intereses_Mensual!J179</f>
        <v/>
      </c>
      <c r="L179" s="23">
        <f>ROUND(J179 + K179, 2)</f>
        <v/>
      </c>
      <c r="M179" s="23">
        <f>Saldo_Residual_Activo!J179</f>
        <v/>
      </c>
      <c r="N179" s="23">
        <f>ROUND(L179 + M179, 2)</f>
        <v/>
      </c>
      <c r="O179" s="23">
        <f>Saldos_Capital_Mensual!K179</f>
        <v/>
      </c>
      <c r="P179" s="23">
        <f>Saldos_Intereses_Mensual!K179</f>
        <v/>
      </c>
      <c r="Q179" s="23">
        <f>ROUND(O179 + P179, 2)</f>
        <v/>
      </c>
      <c r="R179" s="23">
        <f>Saldo_Residual_Activo!K179</f>
        <v/>
      </c>
      <c r="S179" s="23">
        <f>ROUND(Q179 + R179, 2)</f>
        <v/>
      </c>
      <c r="T179" s="23">
        <f>Saldos_Capital_Mensual!L179</f>
        <v/>
      </c>
      <c r="U179" s="23">
        <f>Saldos_Intereses_Mensual!L179</f>
        <v/>
      </c>
      <c r="V179" s="23">
        <f>ROUND(T179 + U179, 2)</f>
        <v/>
      </c>
      <c r="W179" s="23">
        <f>Saldo_Residual_Activo!L179</f>
        <v/>
      </c>
      <c r="X179" s="23">
        <f>ROUND(V179 + W179, 2)</f>
        <v/>
      </c>
      <c r="Y179" s="23">
        <f>Saldos_Capital_Mensual!M179</f>
        <v/>
      </c>
      <c r="Z179" s="23">
        <f>Saldos_Intereses_Mensual!M179</f>
        <v/>
      </c>
      <c r="AA179" s="23">
        <f>ROUND(Y179 + Z179, 2)</f>
        <v/>
      </c>
      <c r="AB179" s="23">
        <f>Saldo_Residual_Activo!M179</f>
        <v/>
      </c>
      <c r="AC179" s="23">
        <f>ROUND(AA179 + AB179, 2)</f>
        <v/>
      </c>
      <c r="AD179" s="23">
        <f>Saldos_Capital_Mensual!N179</f>
        <v/>
      </c>
      <c r="AE179" s="23">
        <f>Saldos_Intereses_Mensual!N179</f>
        <v/>
      </c>
      <c r="AF179" s="23">
        <f>ROUND(AD179 + AE179, 2)</f>
        <v/>
      </c>
      <c r="AG179" s="23">
        <f>Saldo_Residual_Activo!N179</f>
        <v/>
      </c>
      <c r="AH179" s="23">
        <f>ROUND(AF179 + AG179, 2)</f>
        <v/>
      </c>
      <c r="AI179" s="23">
        <f>Saldos_Capital_Mensual!O179</f>
        <v/>
      </c>
      <c r="AJ179" s="23">
        <f>Saldos_Intereses_Mensual!O179</f>
        <v/>
      </c>
      <c r="AK179" s="23">
        <f>ROUND(AI179 + AJ179, 2)</f>
        <v/>
      </c>
      <c r="AL179" s="23">
        <f>Saldo_Residual_Activo!O179</f>
        <v/>
      </c>
      <c r="AM179" s="23">
        <f>ROUND(AK179 + AL179, 2)</f>
        <v/>
      </c>
      <c r="AN179" s="23">
        <f>Saldos_Capital_Mensual!P179</f>
        <v/>
      </c>
      <c r="AO179" s="23">
        <f>Saldos_Intereses_Mensual!P179</f>
        <v/>
      </c>
      <c r="AP179" s="23">
        <f>ROUND(AN179 + AO179, 2)</f>
        <v/>
      </c>
      <c r="AQ179" s="23">
        <f>Saldo_Residual_Activo!P179</f>
        <v/>
      </c>
      <c r="AR179" s="23">
        <f>ROUND(AP179 + AQ179, 2)</f>
        <v/>
      </c>
      <c r="AS179" s="23">
        <f>Saldos_Capital_Mensual!Q179</f>
        <v/>
      </c>
      <c r="AT179" s="23">
        <f>Saldos_Intereses_Mensual!Q179</f>
        <v/>
      </c>
      <c r="AU179" s="23">
        <f>ROUND(AS179 + AT179, 2)</f>
        <v/>
      </c>
      <c r="AV179" s="23">
        <f>Saldo_Residual_Activo!Q179</f>
        <v/>
      </c>
      <c r="AW179" s="23">
        <f>ROUND(AU179 + AV179, 2)</f>
        <v/>
      </c>
      <c r="AX179" s="23">
        <f>Saldos_Capital_Mensual!R179</f>
        <v/>
      </c>
      <c r="AY179" s="23">
        <f>Saldos_Intereses_Mensual!R179</f>
        <v/>
      </c>
      <c r="AZ179" s="23">
        <f>ROUND(AX179 + AY179, 2)</f>
        <v/>
      </c>
      <c r="BA179" s="23">
        <f>Saldo_Residual_Activo!R179</f>
        <v/>
      </c>
      <c r="BB179" s="23">
        <f>ROUND(AZ179 + BA179, 2)</f>
        <v/>
      </c>
      <c r="BC179" s="23">
        <f>Saldos_Capital_Mensual!S179</f>
        <v/>
      </c>
      <c r="BD179" s="23">
        <f>Saldos_Intereses_Mensual!S179</f>
        <v/>
      </c>
      <c r="BE179" s="23">
        <f>ROUND(BC179 + BD179, 2)</f>
        <v/>
      </c>
      <c r="BF179" s="23">
        <f>Saldo_Residual_Activo!S179</f>
        <v/>
      </c>
      <c r="BG179" s="23">
        <f>ROUND(BE179 + BF179, 2)</f>
        <v/>
      </c>
      <c r="BH179" s="23">
        <f>Saldos_Capital_Mensual!T179</f>
        <v/>
      </c>
      <c r="BI179" s="23">
        <f>Saldos_Intereses_Mensual!T179</f>
        <v/>
      </c>
      <c r="BJ179" s="23">
        <f>ROUND(BH179 + BI179, 2)</f>
        <v/>
      </c>
      <c r="BK179" s="23">
        <f>Saldo_Residual_Activo!T179</f>
        <v/>
      </c>
      <c r="BL179" s="23">
        <f>ROUND(BJ179 + BK179, 2)</f>
        <v/>
      </c>
    </row>
    <row r="180">
      <c r="A180" s="26" t="inlineStr">
        <is>
          <t>0700-0001</t>
        </is>
      </c>
      <c r="B180" s="27" t="inlineStr">
        <is>
          <t>Felipe de Jesus Ibañez Huizar</t>
        </is>
      </c>
      <c r="C180" s="27" t="inlineStr">
        <is>
          <t>K3</t>
        </is>
      </c>
      <c r="D180" s="28" t="n">
        <v>36</v>
      </c>
      <c r="E180" s="29">
        <f>Saldos_Capital_Mensual!I180</f>
        <v/>
      </c>
      <c r="F180" s="29">
        <f>Saldos_Intereses_Mensual!I180</f>
        <v/>
      </c>
      <c r="G180" s="29">
        <f>ROUND(E180 + F180, 2)</f>
        <v/>
      </c>
      <c r="H180" s="29">
        <f>Saldo_Residual_Activo!I180</f>
        <v/>
      </c>
      <c r="I180" s="29">
        <f>ROUND(G180 + H180, 2)</f>
        <v/>
      </c>
      <c r="J180" s="29">
        <f>Saldos_Capital_Mensual!J180</f>
        <v/>
      </c>
      <c r="K180" s="29">
        <f>Saldos_Intereses_Mensual!J180</f>
        <v/>
      </c>
      <c r="L180" s="29">
        <f>ROUND(J180 + K180, 2)</f>
        <v/>
      </c>
      <c r="M180" s="29">
        <f>Saldo_Residual_Activo!J180</f>
        <v/>
      </c>
      <c r="N180" s="29">
        <f>ROUND(L180 + M180, 2)</f>
        <v/>
      </c>
      <c r="O180" s="29">
        <f>Saldos_Capital_Mensual!K180</f>
        <v/>
      </c>
      <c r="P180" s="29">
        <f>Saldos_Intereses_Mensual!K180</f>
        <v/>
      </c>
      <c r="Q180" s="29">
        <f>ROUND(O180 + P180, 2)</f>
        <v/>
      </c>
      <c r="R180" s="29">
        <f>Saldo_Residual_Activo!K180</f>
        <v/>
      </c>
      <c r="S180" s="29">
        <f>ROUND(Q180 + R180, 2)</f>
        <v/>
      </c>
      <c r="T180" s="29">
        <f>Saldos_Capital_Mensual!L180</f>
        <v/>
      </c>
      <c r="U180" s="29">
        <f>Saldos_Intereses_Mensual!L180</f>
        <v/>
      </c>
      <c r="V180" s="29">
        <f>ROUND(T180 + U180, 2)</f>
        <v/>
      </c>
      <c r="W180" s="29">
        <f>Saldo_Residual_Activo!L180</f>
        <v/>
      </c>
      <c r="X180" s="29">
        <f>ROUND(V180 + W180, 2)</f>
        <v/>
      </c>
      <c r="Y180" s="29">
        <f>Saldos_Capital_Mensual!M180</f>
        <v/>
      </c>
      <c r="Z180" s="29">
        <f>Saldos_Intereses_Mensual!M180</f>
        <v/>
      </c>
      <c r="AA180" s="29">
        <f>ROUND(Y180 + Z180, 2)</f>
        <v/>
      </c>
      <c r="AB180" s="29">
        <f>Saldo_Residual_Activo!M180</f>
        <v/>
      </c>
      <c r="AC180" s="29">
        <f>ROUND(AA180 + AB180, 2)</f>
        <v/>
      </c>
      <c r="AD180" s="29">
        <f>Saldos_Capital_Mensual!N180</f>
        <v/>
      </c>
      <c r="AE180" s="29">
        <f>Saldos_Intereses_Mensual!N180</f>
        <v/>
      </c>
      <c r="AF180" s="29">
        <f>ROUND(AD180 + AE180, 2)</f>
        <v/>
      </c>
      <c r="AG180" s="29">
        <f>Saldo_Residual_Activo!N180</f>
        <v/>
      </c>
      <c r="AH180" s="29">
        <f>ROUND(AF180 + AG180, 2)</f>
        <v/>
      </c>
      <c r="AI180" s="29">
        <f>Saldos_Capital_Mensual!O180</f>
        <v/>
      </c>
      <c r="AJ180" s="29">
        <f>Saldos_Intereses_Mensual!O180</f>
        <v/>
      </c>
      <c r="AK180" s="29">
        <f>ROUND(AI180 + AJ180, 2)</f>
        <v/>
      </c>
      <c r="AL180" s="29">
        <f>Saldo_Residual_Activo!O180</f>
        <v/>
      </c>
      <c r="AM180" s="29">
        <f>ROUND(AK180 + AL180, 2)</f>
        <v/>
      </c>
      <c r="AN180" s="29">
        <f>Saldos_Capital_Mensual!P180</f>
        <v/>
      </c>
      <c r="AO180" s="29">
        <f>Saldos_Intereses_Mensual!P180</f>
        <v/>
      </c>
      <c r="AP180" s="29">
        <f>ROUND(AN180 + AO180, 2)</f>
        <v/>
      </c>
      <c r="AQ180" s="29">
        <f>Saldo_Residual_Activo!P180</f>
        <v/>
      </c>
      <c r="AR180" s="29">
        <f>ROUND(AP180 + AQ180, 2)</f>
        <v/>
      </c>
      <c r="AS180" s="29">
        <f>Saldos_Capital_Mensual!Q180</f>
        <v/>
      </c>
      <c r="AT180" s="29">
        <f>Saldos_Intereses_Mensual!Q180</f>
        <v/>
      </c>
      <c r="AU180" s="29">
        <f>ROUND(AS180 + AT180, 2)</f>
        <v/>
      </c>
      <c r="AV180" s="29">
        <f>Saldo_Residual_Activo!Q180</f>
        <v/>
      </c>
      <c r="AW180" s="29">
        <f>ROUND(AU180 + AV180, 2)</f>
        <v/>
      </c>
      <c r="AX180" s="29">
        <f>Saldos_Capital_Mensual!R180</f>
        <v/>
      </c>
      <c r="AY180" s="29">
        <f>Saldos_Intereses_Mensual!R180</f>
        <v/>
      </c>
      <c r="AZ180" s="29">
        <f>ROUND(AX180 + AY180, 2)</f>
        <v/>
      </c>
      <c r="BA180" s="29">
        <f>Saldo_Residual_Activo!R180</f>
        <v/>
      </c>
      <c r="BB180" s="29">
        <f>ROUND(AZ180 + BA180, 2)</f>
        <v/>
      </c>
      <c r="BC180" s="29">
        <f>Saldos_Capital_Mensual!S180</f>
        <v/>
      </c>
      <c r="BD180" s="29">
        <f>Saldos_Intereses_Mensual!S180</f>
        <v/>
      </c>
      <c r="BE180" s="29">
        <f>ROUND(BC180 + BD180, 2)</f>
        <v/>
      </c>
      <c r="BF180" s="29">
        <f>Saldo_Residual_Activo!S180</f>
        <v/>
      </c>
      <c r="BG180" s="29">
        <f>ROUND(BE180 + BF180, 2)</f>
        <v/>
      </c>
      <c r="BH180" s="29">
        <f>Saldos_Capital_Mensual!T180</f>
        <v/>
      </c>
      <c r="BI180" s="29">
        <f>Saldos_Intereses_Mensual!T180</f>
        <v/>
      </c>
      <c r="BJ180" s="29">
        <f>ROUND(BH180 + BI180, 2)</f>
        <v/>
      </c>
      <c r="BK180" s="29">
        <f>Saldo_Residual_Activo!T180</f>
        <v/>
      </c>
      <c r="BL180" s="29">
        <f>ROUND(BJ180 + BK180, 2)</f>
        <v/>
      </c>
    </row>
    <row r="181">
      <c r="A181" s="20" t="inlineStr">
        <is>
          <t>0700-0002</t>
        </is>
      </c>
      <c r="B181" s="21" t="inlineStr">
        <is>
          <t>Felipe de Jesus Ibañez Huizar</t>
        </is>
      </c>
      <c r="C181" s="21" t="inlineStr">
        <is>
          <t>Nissan NP 300 Frontier 2026</t>
        </is>
      </c>
      <c r="D181" s="22" t="n">
        <v>24</v>
      </c>
      <c r="E181" s="23">
        <f>Saldos_Capital_Mensual!I181</f>
        <v/>
      </c>
      <c r="F181" s="23">
        <f>Saldos_Intereses_Mensual!I181</f>
        <v/>
      </c>
      <c r="G181" s="23">
        <f>ROUND(E181 + F181, 2)</f>
        <v/>
      </c>
      <c r="H181" s="23">
        <f>Saldo_Residual_Activo!I181</f>
        <v/>
      </c>
      <c r="I181" s="23">
        <f>ROUND(G181 + H181, 2)</f>
        <v/>
      </c>
      <c r="J181" s="23">
        <f>Saldos_Capital_Mensual!J181</f>
        <v/>
      </c>
      <c r="K181" s="23">
        <f>Saldos_Intereses_Mensual!J181</f>
        <v/>
      </c>
      <c r="L181" s="23">
        <f>ROUND(J181 + K181, 2)</f>
        <v/>
      </c>
      <c r="M181" s="23">
        <f>Saldo_Residual_Activo!J181</f>
        <v/>
      </c>
      <c r="N181" s="23">
        <f>ROUND(L181 + M181, 2)</f>
        <v/>
      </c>
      <c r="O181" s="23">
        <f>Saldos_Capital_Mensual!K181</f>
        <v/>
      </c>
      <c r="P181" s="23">
        <f>Saldos_Intereses_Mensual!K181</f>
        <v/>
      </c>
      <c r="Q181" s="23">
        <f>ROUND(O181 + P181, 2)</f>
        <v/>
      </c>
      <c r="R181" s="23">
        <f>Saldo_Residual_Activo!K181</f>
        <v/>
      </c>
      <c r="S181" s="23">
        <f>ROUND(Q181 + R181, 2)</f>
        <v/>
      </c>
      <c r="T181" s="23">
        <f>Saldos_Capital_Mensual!L181</f>
        <v/>
      </c>
      <c r="U181" s="23">
        <f>Saldos_Intereses_Mensual!L181</f>
        <v/>
      </c>
      <c r="V181" s="23">
        <f>ROUND(T181 + U181, 2)</f>
        <v/>
      </c>
      <c r="W181" s="23">
        <f>Saldo_Residual_Activo!L181</f>
        <v/>
      </c>
      <c r="X181" s="23">
        <f>ROUND(V181 + W181, 2)</f>
        <v/>
      </c>
      <c r="Y181" s="23">
        <f>Saldos_Capital_Mensual!M181</f>
        <v/>
      </c>
      <c r="Z181" s="23">
        <f>Saldos_Intereses_Mensual!M181</f>
        <v/>
      </c>
      <c r="AA181" s="23">
        <f>ROUND(Y181 + Z181, 2)</f>
        <v/>
      </c>
      <c r="AB181" s="23">
        <f>Saldo_Residual_Activo!M181</f>
        <v/>
      </c>
      <c r="AC181" s="23">
        <f>ROUND(AA181 + AB181, 2)</f>
        <v/>
      </c>
      <c r="AD181" s="23">
        <f>Saldos_Capital_Mensual!N181</f>
        <v/>
      </c>
      <c r="AE181" s="23">
        <f>Saldos_Intereses_Mensual!N181</f>
        <v/>
      </c>
      <c r="AF181" s="23">
        <f>ROUND(AD181 + AE181, 2)</f>
        <v/>
      </c>
      <c r="AG181" s="23">
        <f>Saldo_Residual_Activo!N181</f>
        <v/>
      </c>
      <c r="AH181" s="23">
        <f>ROUND(AF181 + AG181, 2)</f>
        <v/>
      </c>
      <c r="AI181" s="23">
        <f>Saldos_Capital_Mensual!O181</f>
        <v/>
      </c>
      <c r="AJ181" s="23">
        <f>Saldos_Intereses_Mensual!O181</f>
        <v/>
      </c>
      <c r="AK181" s="23">
        <f>ROUND(AI181 + AJ181, 2)</f>
        <v/>
      </c>
      <c r="AL181" s="23">
        <f>Saldo_Residual_Activo!O181</f>
        <v/>
      </c>
      <c r="AM181" s="23">
        <f>ROUND(AK181 + AL181, 2)</f>
        <v/>
      </c>
      <c r="AN181" s="23">
        <f>Saldos_Capital_Mensual!P181</f>
        <v/>
      </c>
      <c r="AO181" s="23">
        <f>Saldos_Intereses_Mensual!P181</f>
        <v/>
      </c>
      <c r="AP181" s="23">
        <f>ROUND(AN181 + AO181, 2)</f>
        <v/>
      </c>
      <c r="AQ181" s="23">
        <f>Saldo_Residual_Activo!P181</f>
        <v/>
      </c>
      <c r="AR181" s="23">
        <f>ROUND(AP181 + AQ181, 2)</f>
        <v/>
      </c>
      <c r="AS181" s="23">
        <f>Saldos_Capital_Mensual!Q181</f>
        <v/>
      </c>
      <c r="AT181" s="23">
        <f>Saldos_Intereses_Mensual!Q181</f>
        <v/>
      </c>
      <c r="AU181" s="23">
        <f>ROUND(AS181 + AT181, 2)</f>
        <v/>
      </c>
      <c r="AV181" s="23">
        <f>Saldo_Residual_Activo!Q181</f>
        <v/>
      </c>
      <c r="AW181" s="23">
        <f>ROUND(AU181 + AV181, 2)</f>
        <v/>
      </c>
      <c r="AX181" s="23">
        <f>Saldos_Capital_Mensual!R181</f>
        <v/>
      </c>
      <c r="AY181" s="23">
        <f>Saldos_Intereses_Mensual!R181</f>
        <v/>
      </c>
      <c r="AZ181" s="23">
        <f>ROUND(AX181 + AY181, 2)</f>
        <v/>
      </c>
      <c r="BA181" s="23">
        <f>Saldo_Residual_Activo!R181</f>
        <v/>
      </c>
      <c r="BB181" s="23">
        <f>ROUND(AZ181 + BA181, 2)</f>
        <v/>
      </c>
      <c r="BC181" s="23">
        <f>Saldos_Capital_Mensual!S181</f>
        <v/>
      </c>
      <c r="BD181" s="23">
        <f>Saldos_Intereses_Mensual!S181</f>
        <v/>
      </c>
      <c r="BE181" s="23">
        <f>ROUND(BC181 + BD181, 2)</f>
        <v/>
      </c>
      <c r="BF181" s="23">
        <f>Saldo_Residual_Activo!S181</f>
        <v/>
      </c>
      <c r="BG181" s="23">
        <f>ROUND(BE181 + BF181, 2)</f>
        <v/>
      </c>
      <c r="BH181" s="23">
        <f>Saldos_Capital_Mensual!T181</f>
        <v/>
      </c>
      <c r="BI181" s="23">
        <f>Saldos_Intereses_Mensual!T181</f>
        <v/>
      </c>
      <c r="BJ181" s="23">
        <f>ROUND(BH181 + BI181, 2)</f>
        <v/>
      </c>
      <c r="BK181" s="23">
        <f>Saldo_Residual_Activo!T181</f>
        <v/>
      </c>
      <c r="BL181" s="23">
        <f>ROUND(BJ181 + BK181, 2)</f>
        <v/>
      </c>
    </row>
    <row r="182">
      <c r="A182" s="26" t="inlineStr">
        <is>
          <t>0701-0001</t>
        </is>
      </c>
      <c r="B182" s="27" t="inlineStr">
        <is>
          <t>Miguel Angel Yañez Rivera</t>
        </is>
      </c>
      <c r="C182" s="27" t="inlineStr">
        <is>
          <t>Maxi Partner</t>
        </is>
      </c>
      <c r="D182" s="28" t="n">
        <v>48</v>
      </c>
      <c r="E182" s="29">
        <f>Saldos_Capital_Mensual!I182</f>
        <v/>
      </c>
      <c r="F182" s="29">
        <f>Saldos_Intereses_Mensual!I182</f>
        <v/>
      </c>
      <c r="G182" s="29">
        <f>ROUND(E182 + F182, 2)</f>
        <v/>
      </c>
      <c r="H182" s="29">
        <f>Saldo_Residual_Activo!I182</f>
        <v/>
      </c>
      <c r="I182" s="29">
        <f>ROUND(G182 + H182, 2)</f>
        <v/>
      </c>
      <c r="J182" s="29">
        <f>Saldos_Capital_Mensual!J182</f>
        <v/>
      </c>
      <c r="K182" s="29">
        <f>Saldos_Intereses_Mensual!J182</f>
        <v/>
      </c>
      <c r="L182" s="29">
        <f>ROUND(J182 + K182, 2)</f>
        <v/>
      </c>
      <c r="M182" s="29">
        <f>Saldo_Residual_Activo!J182</f>
        <v/>
      </c>
      <c r="N182" s="29">
        <f>ROUND(L182 + M182, 2)</f>
        <v/>
      </c>
      <c r="O182" s="29">
        <f>Saldos_Capital_Mensual!K182</f>
        <v/>
      </c>
      <c r="P182" s="29">
        <f>Saldos_Intereses_Mensual!K182</f>
        <v/>
      </c>
      <c r="Q182" s="29">
        <f>ROUND(O182 + P182, 2)</f>
        <v/>
      </c>
      <c r="R182" s="29">
        <f>Saldo_Residual_Activo!K182</f>
        <v/>
      </c>
      <c r="S182" s="29">
        <f>ROUND(Q182 + R182, 2)</f>
        <v/>
      </c>
      <c r="T182" s="29">
        <f>Saldos_Capital_Mensual!L182</f>
        <v/>
      </c>
      <c r="U182" s="29">
        <f>Saldos_Intereses_Mensual!L182</f>
        <v/>
      </c>
      <c r="V182" s="29">
        <f>ROUND(T182 + U182, 2)</f>
        <v/>
      </c>
      <c r="W182" s="29">
        <f>Saldo_Residual_Activo!L182</f>
        <v/>
      </c>
      <c r="X182" s="29">
        <f>ROUND(V182 + W182, 2)</f>
        <v/>
      </c>
      <c r="Y182" s="29">
        <f>Saldos_Capital_Mensual!M182</f>
        <v/>
      </c>
      <c r="Z182" s="29">
        <f>Saldos_Intereses_Mensual!M182</f>
        <v/>
      </c>
      <c r="AA182" s="29">
        <f>ROUND(Y182 + Z182, 2)</f>
        <v/>
      </c>
      <c r="AB182" s="29">
        <f>Saldo_Residual_Activo!M182</f>
        <v/>
      </c>
      <c r="AC182" s="29">
        <f>ROUND(AA182 + AB182, 2)</f>
        <v/>
      </c>
      <c r="AD182" s="29">
        <f>Saldos_Capital_Mensual!N182</f>
        <v/>
      </c>
      <c r="AE182" s="29">
        <f>Saldos_Intereses_Mensual!N182</f>
        <v/>
      </c>
      <c r="AF182" s="29">
        <f>ROUND(AD182 + AE182, 2)</f>
        <v/>
      </c>
      <c r="AG182" s="29">
        <f>Saldo_Residual_Activo!N182</f>
        <v/>
      </c>
      <c r="AH182" s="29">
        <f>ROUND(AF182 + AG182, 2)</f>
        <v/>
      </c>
      <c r="AI182" s="29">
        <f>Saldos_Capital_Mensual!O182</f>
        <v/>
      </c>
      <c r="AJ182" s="29">
        <f>Saldos_Intereses_Mensual!O182</f>
        <v/>
      </c>
      <c r="AK182" s="29">
        <f>ROUND(AI182 + AJ182, 2)</f>
        <v/>
      </c>
      <c r="AL182" s="29">
        <f>Saldo_Residual_Activo!O182</f>
        <v/>
      </c>
      <c r="AM182" s="29">
        <f>ROUND(AK182 + AL182, 2)</f>
        <v/>
      </c>
      <c r="AN182" s="29">
        <f>Saldos_Capital_Mensual!P182</f>
        <v/>
      </c>
      <c r="AO182" s="29">
        <f>Saldos_Intereses_Mensual!P182</f>
        <v/>
      </c>
      <c r="AP182" s="29">
        <f>ROUND(AN182 + AO182, 2)</f>
        <v/>
      </c>
      <c r="AQ182" s="29">
        <f>Saldo_Residual_Activo!P182</f>
        <v/>
      </c>
      <c r="AR182" s="29">
        <f>ROUND(AP182 + AQ182, 2)</f>
        <v/>
      </c>
      <c r="AS182" s="29">
        <f>Saldos_Capital_Mensual!Q182</f>
        <v/>
      </c>
      <c r="AT182" s="29">
        <f>Saldos_Intereses_Mensual!Q182</f>
        <v/>
      </c>
      <c r="AU182" s="29">
        <f>ROUND(AS182 + AT182, 2)</f>
        <v/>
      </c>
      <c r="AV182" s="29">
        <f>Saldo_Residual_Activo!Q182</f>
        <v/>
      </c>
      <c r="AW182" s="29">
        <f>ROUND(AU182 + AV182, 2)</f>
        <v/>
      </c>
      <c r="AX182" s="29">
        <f>Saldos_Capital_Mensual!R182</f>
        <v/>
      </c>
      <c r="AY182" s="29">
        <f>Saldos_Intereses_Mensual!R182</f>
        <v/>
      </c>
      <c r="AZ182" s="29">
        <f>ROUND(AX182 + AY182, 2)</f>
        <v/>
      </c>
      <c r="BA182" s="29">
        <f>Saldo_Residual_Activo!R182</f>
        <v/>
      </c>
      <c r="BB182" s="29">
        <f>ROUND(AZ182 + BA182, 2)</f>
        <v/>
      </c>
      <c r="BC182" s="29">
        <f>Saldos_Capital_Mensual!S182</f>
        <v/>
      </c>
      <c r="BD182" s="29">
        <f>Saldos_Intereses_Mensual!S182</f>
        <v/>
      </c>
      <c r="BE182" s="29">
        <f>ROUND(BC182 + BD182, 2)</f>
        <v/>
      </c>
      <c r="BF182" s="29">
        <f>Saldo_Residual_Activo!S182</f>
        <v/>
      </c>
      <c r="BG182" s="29">
        <f>ROUND(BE182 + BF182, 2)</f>
        <v/>
      </c>
      <c r="BH182" s="29">
        <f>Saldos_Capital_Mensual!T182</f>
        <v/>
      </c>
      <c r="BI182" s="29">
        <f>Saldos_Intereses_Mensual!T182</f>
        <v/>
      </c>
      <c r="BJ182" s="29">
        <f>ROUND(BH182 + BI182, 2)</f>
        <v/>
      </c>
      <c r="BK182" s="29">
        <f>Saldo_Residual_Activo!T182</f>
        <v/>
      </c>
      <c r="BL182" s="29">
        <f>ROUND(BJ182 + BK182, 2)</f>
        <v/>
      </c>
    </row>
    <row r="183">
      <c r="A183" s="20" t="inlineStr">
        <is>
          <t>0702-0001</t>
        </is>
      </c>
      <c r="B183" s="21" t="inlineStr">
        <is>
          <t>Ramses Tadeo Galindo Calderon</t>
        </is>
      </c>
      <c r="C183" s="21" t="inlineStr">
        <is>
          <t>Song Plus</t>
        </is>
      </c>
      <c r="D183" s="22" t="n">
        <v>48</v>
      </c>
      <c r="E183" s="23">
        <f>Saldos_Capital_Mensual!I183</f>
        <v/>
      </c>
      <c r="F183" s="23">
        <f>Saldos_Intereses_Mensual!I183</f>
        <v/>
      </c>
      <c r="G183" s="23">
        <f>ROUND(E183 + F183, 2)</f>
        <v/>
      </c>
      <c r="H183" s="23">
        <f>Saldo_Residual_Activo!I183</f>
        <v/>
      </c>
      <c r="I183" s="23">
        <f>ROUND(G183 + H183, 2)</f>
        <v/>
      </c>
      <c r="J183" s="23">
        <f>Saldos_Capital_Mensual!J183</f>
        <v/>
      </c>
      <c r="K183" s="23">
        <f>Saldos_Intereses_Mensual!J183</f>
        <v/>
      </c>
      <c r="L183" s="23">
        <f>ROUND(J183 + K183, 2)</f>
        <v/>
      </c>
      <c r="M183" s="23">
        <f>Saldo_Residual_Activo!J183</f>
        <v/>
      </c>
      <c r="N183" s="23">
        <f>ROUND(L183 + M183, 2)</f>
        <v/>
      </c>
      <c r="O183" s="23">
        <f>Saldos_Capital_Mensual!K183</f>
        <v/>
      </c>
      <c r="P183" s="23">
        <f>Saldos_Intereses_Mensual!K183</f>
        <v/>
      </c>
      <c r="Q183" s="23">
        <f>ROUND(O183 + P183, 2)</f>
        <v/>
      </c>
      <c r="R183" s="23">
        <f>Saldo_Residual_Activo!K183</f>
        <v/>
      </c>
      <c r="S183" s="23">
        <f>ROUND(Q183 + R183, 2)</f>
        <v/>
      </c>
      <c r="T183" s="23">
        <f>Saldos_Capital_Mensual!L183</f>
        <v/>
      </c>
      <c r="U183" s="23">
        <f>Saldos_Intereses_Mensual!L183</f>
        <v/>
      </c>
      <c r="V183" s="23">
        <f>ROUND(T183 + U183, 2)</f>
        <v/>
      </c>
      <c r="W183" s="23">
        <f>Saldo_Residual_Activo!L183</f>
        <v/>
      </c>
      <c r="X183" s="23">
        <f>ROUND(V183 + W183, 2)</f>
        <v/>
      </c>
      <c r="Y183" s="23">
        <f>Saldos_Capital_Mensual!M183</f>
        <v/>
      </c>
      <c r="Z183" s="23">
        <f>Saldos_Intereses_Mensual!M183</f>
        <v/>
      </c>
      <c r="AA183" s="23">
        <f>ROUND(Y183 + Z183, 2)</f>
        <v/>
      </c>
      <c r="AB183" s="23">
        <f>Saldo_Residual_Activo!M183</f>
        <v/>
      </c>
      <c r="AC183" s="23">
        <f>ROUND(AA183 + AB183, 2)</f>
        <v/>
      </c>
      <c r="AD183" s="23">
        <f>Saldos_Capital_Mensual!N183</f>
        <v/>
      </c>
      <c r="AE183" s="23">
        <f>Saldos_Intereses_Mensual!N183</f>
        <v/>
      </c>
      <c r="AF183" s="23">
        <f>ROUND(AD183 + AE183, 2)</f>
        <v/>
      </c>
      <c r="AG183" s="23">
        <f>Saldo_Residual_Activo!N183</f>
        <v/>
      </c>
      <c r="AH183" s="23">
        <f>ROUND(AF183 + AG183, 2)</f>
        <v/>
      </c>
      <c r="AI183" s="23">
        <f>Saldos_Capital_Mensual!O183</f>
        <v/>
      </c>
      <c r="AJ183" s="23">
        <f>Saldos_Intereses_Mensual!O183</f>
        <v/>
      </c>
      <c r="AK183" s="23">
        <f>ROUND(AI183 + AJ183, 2)</f>
        <v/>
      </c>
      <c r="AL183" s="23">
        <f>Saldo_Residual_Activo!O183</f>
        <v/>
      </c>
      <c r="AM183" s="23">
        <f>ROUND(AK183 + AL183, 2)</f>
        <v/>
      </c>
      <c r="AN183" s="23">
        <f>Saldos_Capital_Mensual!P183</f>
        <v/>
      </c>
      <c r="AO183" s="23">
        <f>Saldos_Intereses_Mensual!P183</f>
        <v/>
      </c>
      <c r="AP183" s="23">
        <f>ROUND(AN183 + AO183, 2)</f>
        <v/>
      </c>
      <c r="AQ183" s="23">
        <f>Saldo_Residual_Activo!P183</f>
        <v/>
      </c>
      <c r="AR183" s="23">
        <f>ROUND(AP183 + AQ183, 2)</f>
        <v/>
      </c>
      <c r="AS183" s="23">
        <f>Saldos_Capital_Mensual!Q183</f>
        <v/>
      </c>
      <c r="AT183" s="23">
        <f>Saldos_Intereses_Mensual!Q183</f>
        <v/>
      </c>
      <c r="AU183" s="23">
        <f>ROUND(AS183 + AT183, 2)</f>
        <v/>
      </c>
      <c r="AV183" s="23">
        <f>Saldo_Residual_Activo!Q183</f>
        <v/>
      </c>
      <c r="AW183" s="23">
        <f>ROUND(AU183 + AV183, 2)</f>
        <v/>
      </c>
      <c r="AX183" s="23">
        <f>Saldos_Capital_Mensual!R183</f>
        <v/>
      </c>
      <c r="AY183" s="23">
        <f>Saldos_Intereses_Mensual!R183</f>
        <v/>
      </c>
      <c r="AZ183" s="23">
        <f>ROUND(AX183 + AY183, 2)</f>
        <v/>
      </c>
      <c r="BA183" s="23">
        <f>Saldo_Residual_Activo!R183</f>
        <v/>
      </c>
      <c r="BB183" s="23">
        <f>ROUND(AZ183 + BA183, 2)</f>
        <v/>
      </c>
      <c r="BC183" s="23">
        <f>Saldos_Capital_Mensual!S183</f>
        <v/>
      </c>
      <c r="BD183" s="23">
        <f>Saldos_Intereses_Mensual!S183</f>
        <v/>
      </c>
      <c r="BE183" s="23">
        <f>ROUND(BC183 + BD183, 2)</f>
        <v/>
      </c>
      <c r="BF183" s="23">
        <f>Saldo_Residual_Activo!S183</f>
        <v/>
      </c>
      <c r="BG183" s="23">
        <f>ROUND(BE183 + BF183, 2)</f>
        <v/>
      </c>
      <c r="BH183" s="23">
        <f>Saldos_Capital_Mensual!T183</f>
        <v/>
      </c>
      <c r="BI183" s="23">
        <f>Saldos_Intereses_Mensual!T183</f>
        <v/>
      </c>
      <c r="BJ183" s="23">
        <f>ROUND(BH183 + BI183, 2)</f>
        <v/>
      </c>
      <c r="BK183" s="23">
        <f>Saldo_Residual_Activo!T183</f>
        <v/>
      </c>
      <c r="BL183" s="23">
        <f>ROUND(BJ183 + BK183, 2)</f>
        <v/>
      </c>
    </row>
    <row r="184">
      <c r="A184" s="26" t="inlineStr">
        <is>
          <t>0703-0002</t>
        </is>
      </c>
      <c r="B184" s="27" t="inlineStr">
        <is>
          <t>Jali Fresh International Sa de Cv</t>
        </is>
      </c>
      <c r="C184" s="27" t="inlineStr">
        <is>
          <t>1500 Tradesman CC</t>
        </is>
      </c>
      <c r="D184" s="28" t="n">
        <v>36</v>
      </c>
      <c r="E184" s="29">
        <f>Saldos_Capital_Mensual!I184</f>
        <v/>
      </c>
      <c r="F184" s="29">
        <f>Saldos_Intereses_Mensual!I184</f>
        <v/>
      </c>
      <c r="G184" s="29">
        <f>ROUND(E184 + F184, 2)</f>
        <v/>
      </c>
      <c r="H184" s="29">
        <f>Saldo_Residual_Activo!I184</f>
        <v/>
      </c>
      <c r="I184" s="29">
        <f>ROUND(G184 + H184, 2)</f>
        <v/>
      </c>
      <c r="J184" s="29">
        <f>Saldos_Capital_Mensual!J184</f>
        <v/>
      </c>
      <c r="K184" s="29">
        <f>Saldos_Intereses_Mensual!J184</f>
        <v/>
      </c>
      <c r="L184" s="29">
        <f>ROUND(J184 + K184, 2)</f>
        <v/>
      </c>
      <c r="M184" s="29">
        <f>Saldo_Residual_Activo!J184</f>
        <v/>
      </c>
      <c r="N184" s="29">
        <f>ROUND(L184 + M184, 2)</f>
        <v/>
      </c>
      <c r="O184" s="29">
        <f>Saldos_Capital_Mensual!K184</f>
        <v/>
      </c>
      <c r="P184" s="29">
        <f>Saldos_Intereses_Mensual!K184</f>
        <v/>
      </c>
      <c r="Q184" s="29">
        <f>ROUND(O184 + P184, 2)</f>
        <v/>
      </c>
      <c r="R184" s="29">
        <f>Saldo_Residual_Activo!K184</f>
        <v/>
      </c>
      <c r="S184" s="29">
        <f>ROUND(Q184 + R184, 2)</f>
        <v/>
      </c>
      <c r="T184" s="29">
        <f>Saldos_Capital_Mensual!L184</f>
        <v/>
      </c>
      <c r="U184" s="29">
        <f>Saldos_Intereses_Mensual!L184</f>
        <v/>
      </c>
      <c r="V184" s="29">
        <f>ROUND(T184 + U184, 2)</f>
        <v/>
      </c>
      <c r="W184" s="29">
        <f>Saldo_Residual_Activo!L184</f>
        <v/>
      </c>
      <c r="X184" s="29">
        <f>ROUND(V184 + W184, 2)</f>
        <v/>
      </c>
      <c r="Y184" s="29">
        <f>Saldos_Capital_Mensual!M184</f>
        <v/>
      </c>
      <c r="Z184" s="29">
        <f>Saldos_Intereses_Mensual!M184</f>
        <v/>
      </c>
      <c r="AA184" s="29">
        <f>ROUND(Y184 + Z184, 2)</f>
        <v/>
      </c>
      <c r="AB184" s="29">
        <f>Saldo_Residual_Activo!M184</f>
        <v/>
      </c>
      <c r="AC184" s="29">
        <f>ROUND(AA184 + AB184, 2)</f>
        <v/>
      </c>
      <c r="AD184" s="29">
        <f>Saldos_Capital_Mensual!N184</f>
        <v/>
      </c>
      <c r="AE184" s="29">
        <f>Saldos_Intereses_Mensual!N184</f>
        <v/>
      </c>
      <c r="AF184" s="29">
        <f>ROUND(AD184 + AE184, 2)</f>
        <v/>
      </c>
      <c r="AG184" s="29">
        <f>Saldo_Residual_Activo!N184</f>
        <v/>
      </c>
      <c r="AH184" s="29">
        <f>ROUND(AF184 + AG184, 2)</f>
        <v/>
      </c>
      <c r="AI184" s="29">
        <f>Saldos_Capital_Mensual!O184</f>
        <v/>
      </c>
      <c r="AJ184" s="29">
        <f>Saldos_Intereses_Mensual!O184</f>
        <v/>
      </c>
      <c r="AK184" s="29">
        <f>ROUND(AI184 + AJ184, 2)</f>
        <v/>
      </c>
      <c r="AL184" s="29">
        <f>Saldo_Residual_Activo!O184</f>
        <v/>
      </c>
      <c r="AM184" s="29">
        <f>ROUND(AK184 + AL184, 2)</f>
        <v/>
      </c>
      <c r="AN184" s="29">
        <f>Saldos_Capital_Mensual!P184</f>
        <v/>
      </c>
      <c r="AO184" s="29">
        <f>Saldos_Intereses_Mensual!P184</f>
        <v/>
      </c>
      <c r="AP184" s="29">
        <f>ROUND(AN184 + AO184, 2)</f>
        <v/>
      </c>
      <c r="AQ184" s="29">
        <f>Saldo_Residual_Activo!P184</f>
        <v/>
      </c>
      <c r="AR184" s="29">
        <f>ROUND(AP184 + AQ184, 2)</f>
        <v/>
      </c>
      <c r="AS184" s="29">
        <f>Saldos_Capital_Mensual!Q184</f>
        <v/>
      </c>
      <c r="AT184" s="29">
        <f>Saldos_Intereses_Mensual!Q184</f>
        <v/>
      </c>
      <c r="AU184" s="29">
        <f>ROUND(AS184 + AT184, 2)</f>
        <v/>
      </c>
      <c r="AV184" s="29">
        <f>Saldo_Residual_Activo!Q184</f>
        <v/>
      </c>
      <c r="AW184" s="29">
        <f>ROUND(AU184 + AV184, 2)</f>
        <v/>
      </c>
      <c r="AX184" s="29">
        <f>Saldos_Capital_Mensual!R184</f>
        <v/>
      </c>
      <c r="AY184" s="29">
        <f>Saldos_Intereses_Mensual!R184</f>
        <v/>
      </c>
      <c r="AZ184" s="29">
        <f>ROUND(AX184 + AY184, 2)</f>
        <v/>
      </c>
      <c r="BA184" s="29">
        <f>Saldo_Residual_Activo!R184</f>
        <v/>
      </c>
      <c r="BB184" s="29">
        <f>ROUND(AZ184 + BA184, 2)</f>
        <v/>
      </c>
      <c r="BC184" s="29">
        <f>Saldos_Capital_Mensual!S184</f>
        <v/>
      </c>
      <c r="BD184" s="29">
        <f>Saldos_Intereses_Mensual!S184</f>
        <v/>
      </c>
      <c r="BE184" s="29">
        <f>ROUND(BC184 + BD184, 2)</f>
        <v/>
      </c>
      <c r="BF184" s="29">
        <f>Saldo_Residual_Activo!S184</f>
        <v/>
      </c>
      <c r="BG184" s="29">
        <f>ROUND(BE184 + BF184, 2)</f>
        <v/>
      </c>
      <c r="BH184" s="29">
        <f>Saldos_Capital_Mensual!T184</f>
        <v/>
      </c>
      <c r="BI184" s="29">
        <f>Saldos_Intereses_Mensual!T184</f>
        <v/>
      </c>
      <c r="BJ184" s="29">
        <f>ROUND(BH184 + BI184, 2)</f>
        <v/>
      </c>
      <c r="BK184" s="29">
        <f>Saldo_Residual_Activo!T184</f>
        <v/>
      </c>
      <c r="BL184" s="29">
        <f>ROUND(BJ184 + BK184, 2)</f>
        <v/>
      </c>
    </row>
    <row r="185">
      <c r="A185" s="20" t="inlineStr">
        <is>
          <t>0704-0001</t>
        </is>
      </c>
      <c r="B185" s="21" t="inlineStr">
        <is>
          <t>Cristian Manuel Cruz Gutierrez</t>
        </is>
      </c>
      <c r="C185" s="21" t="inlineStr">
        <is>
          <t>Ram 1200</t>
        </is>
      </c>
      <c r="D185" s="22" t="n">
        <v>36</v>
      </c>
      <c r="E185" s="23">
        <f>Saldos_Capital_Mensual!I185</f>
        <v/>
      </c>
      <c r="F185" s="23">
        <f>Saldos_Intereses_Mensual!I185</f>
        <v/>
      </c>
      <c r="G185" s="23">
        <f>ROUND(E185 + F185, 2)</f>
        <v/>
      </c>
      <c r="H185" s="23">
        <f>Saldo_Residual_Activo!I185</f>
        <v/>
      </c>
      <c r="I185" s="23">
        <f>ROUND(G185 + H185, 2)</f>
        <v/>
      </c>
      <c r="J185" s="23">
        <f>Saldos_Capital_Mensual!J185</f>
        <v/>
      </c>
      <c r="K185" s="23">
        <f>Saldos_Intereses_Mensual!J185</f>
        <v/>
      </c>
      <c r="L185" s="23">
        <f>ROUND(J185 + K185, 2)</f>
        <v/>
      </c>
      <c r="M185" s="23">
        <f>Saldo_Residual_Activo!J185</f>
        <v/>
      </c>
      <c r="N185" s="23">
        <f>ROUND(L185 + M185, 2)</f>
        <v/>
      </c>
      <c r="O185" s="23">
        <f>Saldos_Capital_Mensual!K185</f>
        <v/>
      </c>
      <c r="P185" s="23">
        <f>Saldos_Intereses_Mensual!K185</f>
        <v/>
      </c>
      <c r="Q185" s="23">
        <f>ROUND(O185 + P185, 2)</f>
        <v/>
      </c>
      <c r="R185" s="23">
        <f>Saldo_Residual_Activo!K185</f>
        <v/>
      </c>
      <c r="S185" s="23">
        <f>ROUND(Q185 + R185, 2)</f>
        <v/>
      </c>
      <c r="T185" s="23">
        <f>Saldos_Capital_Mensual!L185</f>
        <v/>
      </c>
      <c r="U185" s="23">
        <f>Saldos_Intereses_Mensual!L185</f>
        <v/>
      </c>
      <c r="V185" s="23">
        <f>ROUND(T185 + U185, 2)</f>
        <v/>
      </c>
      <c r="W185" s="23">
        <f>Saldo_Residual_Activo!L185</f>
        <v/>
      </c>
      <c r="X185" s="23">
        <f>ROUND(V185 + W185, 2)</f>
        <v/>
      </c>
      <c r="Y185" s="23">
        <f>Saldos_Capital_Mensual!M185</f>
        <v/>
      </c>
      <c r="Z185" s="23">
        <f>Saldos_Intereses_Mensual!M185</f>
        <v/>
      </c>
      <c r="AA185" s="23">
        <f>ROUND(Y185 + Z185, 2)</f>
        <v/>
      </c>
      <c r="AB185" s="23">
        <f>Saldo_Residual_Activo!M185</f>
        <v/>
      </c>
      <c r="AC185" s="23">
        <f>ROUND(AA185 + AB185, 2)</f>
        <v/>
      </c>
      <c r="AD185" s="23">
        <f>Saldos_Capital_Mensual!N185</f>
        <v/>
      </c>
      <c r="AE185" s="23">
        <f>Saldos_Intereses_Mensual!N185</f>
        <v/>
      </c>
      <c r="AF185" s="23">
        <f>ROUND(AD185 + AE185, 2)</f>
        <v/>
      </c>
      <c r="AG185" s="23">
        <f>Saldo_Residual_Activo!N185</f>
        <v/>
      </c>
      <c r="AH185" s="23">
        <f>ROUND(AF185 + AG185, 2)</f>
        <v/>
      </c>
      <c r="AI185" s="23">
        <f>Saldos_Capital_Mensual!O185</f>
        <v/>
      </c>
      <c r="AJ185" s="23">
        <f>Saldos_Intereses_Mensual!O185</f>
        <v/>
      </c>
      <c r="AK185" s="23">
        <f>ROUND(AI185 + AJ185, 2)</f>
        <v/>
      </c>
      <c r="AL185" s="23">
        <f>Saldo_Residual_Activo!O185</f>
        <v/>
      </c>
      <c r="AM185" s="23">
        <f>ROUND(AK185 + AL185, 2)</f>
        <v/>
      </c>
      <c r="AN185" s="23">
        <f>Saldos_Capital_Mensual!P185</f>
        <v/>
      </c>
      <c r="AO185" s="23">
        <f>Saldos_Intereses_Mensual!P185</f>
        <v/>
      </c>
      <c r="AP185" s="23">
        <f>ROUND(AN185 + AO185, 2)</f>
        <v/>
      </c>
      <c r="AQ185" s="23">
        <f>Saldo_Residual_Activo!P185</f>
        <v/>
      </c>
      <c r="AR185" s="23">
        <f>ROUND(AP185 + AQ185, 2)</f>
        <v/>
      </c>
      <c r="AS185" s="23">
        <f>Saldos_Capital_Mensual!Q185</f>
        <v/>
      </c>
      <c r="AT185" s="23">
        <f>Saldos_Intereses_Mensual!Q185</f>
        <v/>
      </c>
      <c r="AU185" s="23">
        <f>ROUND(AS185 + AT185, 2)</f>
        <v/>
      </c>
      <c r="AV185" s="23">
        <f>Saldo_Residual_Activo!Q185</f>
        <v/>
      </c>
      <c r="AW185" s="23">
        <f>ROUND(AU185 + AV185, 2)</f>
        <v/>
      </c>
      <c r="AX185" s="23">
        <f>Saldos_Capital_Mensual!R185</f>
        <v/>
      </c>
      <c r="AY185" s="23">
        <f>Saldos_Intereses_Mensual!R185</f>
        <v/>
      </c>
      <c r="AZ185" s="23">
        <f>ROUND(AX185 + AY185, 2)</f>
        <v/>
      </c>
      <c r="BA185" s="23">
        <f>Saldo_Residual_Activo!R185</f>
        <v/>
      </c>
      <c r="BB185" s="23">
        <f>ROUND(AZ185 + BA185, 2)</f>
        <v/>
      </c>
      <c r="BC185" s="23">
        <f>Saldos_Capital_Mensual!S185</f>
        <v/>
      </c>
      <c r="BD185" s="23">
        <f>Saldos_Intereses_Mensual!S185</f>
        <v/>
      </c>
      <c r="BE185" s="23">
        <f>ROUND(BC185 + BD185, 2)</f>
        <v/>
      </c>
      <c r="BF185" s="23">
        <f>Saldo_Residual_Activo!S185</f>
        <v/>
      </c>
      <c r="BG185" s="23">
        <f>ROUND(BE185 + BF185, 2)</f>
        <v/>
      </c>
      <c r="BH185" s="23">
        <f>Saldos_Capital_Mensual!T185</f>
        <v/>
      </c>
      <c r="BI185" s="23">
        <f>Saldos_Intereses_Mensual!T185</f>
        <v/>
      </c>
      <c r="BJ185" s="23">
        <f>ROUND(BH185 + BI185, 2)</f>
        <v/>
      </c>
      <c r="BK185" s="23">
        <f>Saldo_Residual_Activo!T185</f>
        <v/>
      </c>
      <c r="BL185" s="23">
        <f>ROUND(BJ185 + BK185, 2)</f>
        <v/>
      </c>
    </row>
    <row r="186">
      <c r="A186" s="26" t="inlineStr">
        <is>
          <t>0705-0001</t>
        </is>
      </c>
      <c r="B186" s="27" t="inlineStr">
        <is>
          <t>Oscar Alejandro Pedraza Gonzalez</t>
        </is>
      </c>
      <c r="C186" s="27" t="inlineStr">
        <is>
          <t>L200</t>
        </is>
      </c>
      <c r="D186" s="28" t="n">
        <v>24</v>
      </c>
      <c r="E186" s="29">
        <f>Saldos_Capital_Mensual!I186</f>
        <v/>
      </c>
      <c r="F186" s="29">
        <f>Saldos_Intereses_Mensual!I186</f>
        <v/>
      </c>
      <c r="G186" s="29">
        <f>ROUND(E186 + F186, 2)</f>
        <v/>
      </c>
      <c r="H186" s="29">
        <f>Saldo_Residual_Activo!I186</f>
        <v/>
      </c>
      <c r="I186" s="29">
        <f>ROUND(G186 + H186, 2)</f>
        <v/>
      </c>
      <c r="J186" s="29">
        <f>Saldos_Capital_Mensual!J186</f>
        <v/>
      </c>
      <c r="K186" s="29">
        <f>Saldos_Intereses_Mensual!J186</f>
        <v/>
      </c>
      <c r="L186" s="29">
        <f>ROUND(J186 + K186, 2)</f>
        <v/>
      </c>
      <c r="M186" s="29">
        <f>Saldo_Residual_Activo!J186</f>
        <v/>
      </c>
      <c r="N186" s="29">
        <f>ROUND(L186 + M186, 2)</f>
        <v/>
      </c>
      <c r="O186" s="29">
        <f>Saldos_Capital_Mensual!K186</f>
        <v/>
      </c>
      <c r="P186" s="29">
        <f>Saldos_Intereses_Mensual!K186</f>
        <v/>
      </c>
      <c r="Q186" s="29">
        <f>ROUND(O186 + P186, 2)</f>
        <v/>
      </c>
      <c r="R186" s="29">
        <f>Saldo_Residual_Activo!K186</f>
        <v/>
      </c>
      <c r="S186" s="29">
        <f>ROUND(Q186 + R186, 2)</f>
        <v/>
      </c>
      <c r="T186" s="29">
        <f>Saldos_Capital_Mensual!L186</f>
        <v/>
      </c>
      <c r="U186" s="29">
        <f>Saldos_Intereses_Mensual!L186</f>
        <v/>
      </c>
      <c r="V186" s="29">
        <f>ROUND(T186 + U186, 2)</f>
        <v/>
      </c>
      <c r="W186" s="29">
        <f>Saldo_Residual_Activo!L186</f>
        <v/>
      </c>
      <c r="X186" s="29">
        <f>ROUND(V186 + W186, 2)</f>
        <v/>
      </c>
      <c r="Y186" s="29">
        <f>Saldos_Capital_Mensual!M186</f>
        <v/>
      </c>
      <c r="Z186" s="29">
        <f>Saldos_Intereses_Mensual!M186</f>
        <v/>
      </c>
      <c r="AA186" s="29">
        <f>ROUND(Y186 + Z186, 2)</f>
        <v/>
      </c>
      <c r="AB186" s="29">
        <f>Saldo_Residual_Activo!M186</f>
        <v/>
      </c>
      <c r="AC186" s="29">
        <f>ROUND(AA186 + AB186, 2)</f>
        <v/>
      </c>
      <c r="AD186" s="29">
        <f>Saldos_Capital_Mensual!N186</f>
        <v/>
      </c>
      <c r="AE186" s="29">
        <f>Saldos_Intereses_Mensual!N186</f>
        <v/>
      </c>
      <c r="AF186" s="29">
        <f>ROUND(AD186 + AE186, 2)</f>
        <v/>
      </c>
      <c r="AG186" s="29">
        <f>Saldo_Residual_Activo!N186</f>
        <v/>
      </c>
      <c r="AH186" s="29">
        <f>ROUND(AF186 + AG186, 2)</f>
        <v/>
      </c>
      <c r="AI186" s="29">
        <f>Saldos_Capital_Mensual!O186</f>
        <v/>
      </c>
      <c r="AJ186" s="29">
        <f>Saldos_Intereses_Mensual!O186</f>
        <v/>
      </c>
      <c r="AK186" s="29">
        <f>ROUND(AI186 + AJ186, 2)</f>
        <v/>
      </c>
      <c r="AL186" s="29">
        <f>Saldo_Residual_Activo!O186</f>
        <v/>
      </c>
      <c r="AM186" s="29">
        <f>ROUND(AK186 + AL186, 2)</f>
        <v/>
      </c>
      <c r="AN186" s="29">
        <f>Saldos_Capital_Mensual!P186</f>
        <v/>
      </c>
      <c r="AO186" s="29">
        <f>Saldos_Intereses_Mensual!P186</f>
        <v/>
      </c>
      <c r="AP186" s="29">
        <f>ROUND(AN186 + AO186, 2)</f>
        <v/>
      </c>
      <c r="AQ186" s="29">
        <f>Saldo_Residual_Activo!P186</f>
        <v/>
      </c>
      <c r="AR186" s="29">
        <f>ROUND(AP186 + AQ186, 2)</f>
        <v/>
      </c>
      <c r="AS186" s="29">
        <f>Saldos_Capital_Mensual!Q186</f>
        <v/>
      </c>
      <c r="AT186" s="29">
        <f>Saldos_Intereses_Mensual!Q186</f>
        <v/>
      </c>
      <c r="AU186" s="29">
        <f>ROUND(AS186 + AT186, 2)</f>
        <v/>
      </c>
      <c r="AV186" s="29">
        <f>Saldo_Residual_Activo!Q186</f>
        <v/>
      </c>
      <c r="AW186" s="29">
        <f>ROUND(AU186 + AV186, 2)</f>
        <v/>
      </c>
      <c r="AX186" s="29">
        <f>Saldos_Capital_Mensual!R186</f>
        <v/>
      </c>
      <c r="AY186" s="29">
        <f>Saldos_Intereses_Mensual!R186</f>
        <v/>
      </c>
      <c r="AZ186" s="29">
        <f>ROUND(AX186 + AY186, 2)</f>
        <v/>
      </c>
      <c r="BA186" s="29">
        <f>Saldo_Residual_Activo!R186</f>
        <v/>
      </c>
      <c r="BB186" s="29">
        <f>ROUND(AZ186 + BA186, 2)</f>
        <v/>
      </c>
      <c r="BC186" s="29">
        <f>Saldos_Capital_Mensual!S186</f>
        <v/>
      </c>
      <c r="BD186" s="29">
        <f>Saldos_Intereses_Mensual!S186</f>
        <v/>
      </c>
      <c r="BE186" s="29">
        <f>ROUND(BC186 + BD186, 2)</f>
        <v/>
      </c>
      <c r="BF186" s="29">
        <f>Saldo_Residual_Activo!S186</f>
        <v/>
      </c>
      <c r="BG186" s="29">
        <f>ROUND(BE186 + BF186, 2)</f>
        <v/>
      </c>
      <c r="BH186" s="29">
        <f>Saldos_Capital_Mensual!T186</f>
        <v/>
      </c>
      <c r="BI186" s="29">
        <f>Saldos_Intereses_Mensual!T186</f>
        <v/>
      </c>
      <c r="BJ186" s="29">
        <f>ROUND(BH186 + BI186, 2)</f>
        <v/>
      </c>
      <c r="BK186" s="29">
        <f>Saldo_Residual_Activo!T186</f>
        <v/>
      </c>
      <c r="BL186" s="29">
        <f>ROUND(BJ186 + BK186, 2)</f>
        <v/>
      </c>
    </row>
    <row r="187">
      <c r="A187" s="20" t="inlineStr">
        <is>
          <t>0706-0001</t>
        </is>
      </c>
      <c r="B187" s="21" t="inlineStr">
        <is>
          <t>Jose Luis Zepeda Gomez</t>
        </is>
      </c>
      <c r="C187" s="21" t="inlineStr">
        <is>
          <t>L200 Glx Diesel</t>
        </is>
      </c>
      <c r="D187" s="22" t="n">
        <v>48</v>
      </c>
      <c r="E187" s="23">
        <f>Saldos_Capital_Mensual!I187</f>
        <v/>
      </c>
      <c r="F187" s="23">
        <f>Saldos_Intereses_Mensual!I187</f>
        <v/>
      </c>
      <c r="G187" s="23">
        <f>ROUND(E187 + F187, 2)</f>
        <v/>
      </c>
      <c r="H187" s="23">
        <f>Saldo_Residual_Activo!I187</f>
        <v/>
      </c>
      <c r="I187" s="23">
        <f>ROUND(G187 + H187, 2)</f>
        <v/>
      </c>
      <c r="J187" s="23">
        <f>Saldos_Capital_Mensual!J187</f>
        <v/>
      </c>
      <c r="K187" s="23">
        <f>Saldos_Intereses_Mensual!J187</f>
        <v/>
      </c>
      <c r="L187" s="23">
        <f>ROUND(J187 + K187, 2)</f>
        <v/>
      </c>
      <c r="M187" s="23">
        <f>Saldo_Residual_Activo!J187</f>
        <v/>
      </c>
      <c r="N187" s="23">
        <f>ROUND(L187 + M187, 2)</f>
        <v/>
      </c>
      <c r="O187" s="23">
        <f>Saldos_Capital_Mensual!K187</f>
        <v/>
      </c>
      <c r="P187" s="23">
        <f>Saldos_Intereses_Mensual!K187</f>
        <v/>
      </c>
      <c r="Q187" s="23">
        <f>ROUND(O187 + P187, 2)</f>
        <v/>
      </c>
      <c r="R187" s="23">
        <f>Saldo_Residual_Activo!K187</f>
        <v/>
      </c>
      <c r="S187" s="23">
        <f>ROUND(Q187 + R187, 2)</f>
        <v/>
      </c>
      <c r="T187" s="23">
        <f>Saldos_Capital_Mensual!L187</f>
        <v/>
      </c>
      <c r="U187" s="23">
        <f>Saldos_Intereses_Mensual!L187</f>
        <v/>
      </c>
      <c r="V187" s="23">
        <f>ROUND(T187 + U187, 2)</f>
        <v/>
      </c>
      <c r="W187" s="23">
        <f>Saldo_Residual_Activo!L187</f>
        <v/>
      </c>
      <c r="X187" s="23">
        <f>ROUND(V187 + W187, 2)</f>
        <v/>
      </c>
      <c r="Y187" s="23">
        <f>Saldos_Capital_Mensual!M187</f>
        <v/>
      </c>
      <c r="Z187" s="23">
        <f>Saldos_Intereses_Mensual!M187</f>
        <v/>
      </c>
      <c r="AA187" s="23">
        <f>ROUND(Y187 + Z187, 2)</f>
        <v/>
      </c>
      <c r="AB187" s="23">
        <f>Saldo_Residual_Activo!M187</f>
        <v/>
      </c>
      <c r="AC187" s="23">
        <f>ROUND(AA187 + AB187, 2)</f>
        <v/>
      </c>
      <c r="AD187" s="23">
        <f>Saldos_Capital_Mensual!N187</f>
        <v/>
      </c>
      <c r="AE187" s="23">
        <f>Saldos_Intereses_Mensual!N187</f>
        <v/>
      </c>
      <c r="AF187" s="23">
        <f>ROUND(AD187 + AE187, 2)</f>
        <v/>
      </c>
      <c r="AG187" s="23">
        <f>Saldo_Residual_Activo!N187</f>
        <v/>
      </c>
      <c r="AH187" s="23">
        <f>ROUND(AF187 + AG187, 2)</f>
        <v/>
      </c>
      <c r="AI187" s="23">
        <f>Saldos_Capital_Mensual!O187</f>
        <v/>
      </c>
      <c r="AJ187" s="23">
        <f>Saldos_Intereses_Mensual!O187</f>
        <v/>
      </c>
      <c r="AK187" s="23">
        <f>ROUND(AI187 + AJ187, 2)</f>
        <v/>
      </c>
      <c r="AL187" s="23">
        <f>Saldo_Residual_Activo!O187</f>
        <v/>
      </c>
      <c r="AM187" s="23">
        <f>ROUND(AK187 + AL187, 2)</f>
        <v/>
      </c>
      <c r="AN187" s="23">
        <f>Saldos_Capital_Mensual!P187</f>
        <v/>
      </c>
      <c r="AO187" s="23">
        <f>Saldos_Intereses_Mensual!P187</f>
        <v/>
      </c>
      <c r="AP187" s="23">
        <f>ROUND(AN187 + AO187, 2)</f>
        <v/>
      </c>
      <c r="AQ187" s="23">
        <f>Saldo_Residual_Activo!P187</f>
        <v/>
      </c>
      <c r="AR187" s="23">
        <f>ROUND(AP187 + AQ187, 2)</f>
        <v/>
      </c>
      <c r="AS187" s="23">
        <f>Saldos_Capital_Mensual!Q187</f>
        <v/>
      </c>
      <c r="AT187" s="23">
        <f>Saldos_Intereses_Mensual!Q187</f>
        <v/>
      </c>
      <c r="AU187" s="23">
        <f>ROUND(AS187 + AT187, 2)</f>
        <v/>
      </c>
      <c r="AV187" s="23">
        <f>Saldo_Residual_Activo!Q187</f>
        <v/>
      </c>
      <c r="AW187" s="23">
        <f>ROUND(AU187 + AV187, 2)</f>
        <v/>
      </c>
      <c r="AX187" s="23">
        <f>Saldos_Capital_Mensual!R187</f>
        <v/>
      </c>
      <c r="AY187" s="23">
        <f>Saldos_Intereses_Mensual!R187</f>
        <v/>
      </c>
      <c r="AZ187" s="23">
        <f>ROUND(AX187 + AY187, 2)</f>
        <v/>
      </c>
      <c r="BA187" s="23">
        <f>Saldo_Residual_Activo!R187</f>
        <v/>
      </c>
      <c r="BB187" s="23">
        <f>ROUND(AZ187 + BA187, 2)</f>
        <v/>
      </c>
      <c r="BC187" s="23">
        <f>Saldos_Capital_Mensual!S187</f>
        <v/>
      </c>
      <c r="BD187" s="23">
        <f>Saldos_Intereses_Mensual!S187</f>
        <v/>
      </c>
      <c r="BE187" s="23">
        <f>ROUND(BC187 + BD187, 2)</f>
        <v/>
      </c>
      <c r="BF187" s="23">
        <f>Saldo_Residual_Activo!S187</f>
        <v/>
      </c>
      <c r="BG187" s="23">
        <f>ROUND(BE187 + BF187, 2)</f>
        <v/>
      </c>
      <c r="BH187" s="23">
        <f>Saldos_Capital_Mensual!T187</f>
        <v/>
      </c>
      <c r="BI187" s="23">
        <f>Saldos_Intereses_Mensual!T187</f>
        <v/>
      </c>
      <c r="BJ187" s="23">
        <f>ROUND(BH187 + BI187, 2)</f>
        <v/>
      </c>
      <c r="BK187" s="23">
        <f>Saldo_Residual_Activo!T187</f>
        <v/>
      </c>
      <c r="BL187" s="23">
        <f>ROUND(BJ187 + BK187, 2)</f>
        <v/>
      </c>
    </row>
    <row r="188">
      <c r="A188" s="26" t="inlineStr">
        <is>
          <t>0707-0001</t>
        </is>
      </c>
      <c r="B188" s="27" t="inlineStr">
        <is>
          <t>Cabañas Lupita Sa de Cv</t>
        </is>
      </c>
      <c r="C188" s="27" t="inlineStr">
        <is>
          <t>Jt Rubicon</t>
        </is>
      </c>
      <c r="D188" s="28" t="n">
        <v>48</v>
      </c>
      <c r="E188" s="29">
        <f>Saldos_Capital_Mensual!I188</f>
        <v/>
      </c>
      <c r="F188" s="29">
        <f>Saldos_Intereses_Mensual!I188</f>
        <v/>
      </c>
      <c r="G188" s="29">
        <f>ROUND(E188 + F188, 2)</f>
        <v/>
      </c>
      <c r="H188" s="29">
        <f>Saldo_Residual_Activo!I188</f>
        <v/>
      </c>
      <c r="I188" s="29">
        <f>ROUND(G188 + H188, 2)</f>
        <v/>
      </c>
      <c r="J188" s="29">
        <f>Saldos_Capital_Mensual!J188</f>
        <v/>
      </c>
      <c r="K188" s="29">
        <f>Saldos_Intereses_Mensual!J188</f>
        <v/>
      </c>
      <c r="L188" s="29">
        <f>ROUND(J188 + K188, 2)</f>
        <v/>
      </c>
      <c r="M188" s="29">
        <f>Saldo_Residual_Activo!J188</f>
        <v/>
      </c>
      <c r="N188" s="29">
        <f>ROUND(L188 + M188, 2)</f>
        <v/>
      </c>
      <c r="O188" s="29">
        <f>Saldos_Capital_Mensual!K188</f>
        <v/>
      </c>
      <c r="P188" s="29">
        <f>Saldos_Intereses_Mensual!K188</f>
        <v/>
      </c>
      <c r="Q188" s="29">
        <f>ROUND(O188 + P188, 2)</f>
        <v/>
      </c>
      <c r="R188" s="29">
        <f>Saldo_Residual_Activo!K188</f>
        <v/>
      </c>
      <c r="S188" s="29">
        <f>ROUND(Q188 + R188, 2)</f>
        <v/>
      </c>
      <c r="T188" s="29">
        <f>Saldos_Capital_Mensual!L188</f>
        <v/>
      </c>
      <c r="U188" s="29">
        <f>Saldos_Intereses_Mensual!L188</f>
        <v/>
      </c>
      <c r="V188" s="29">
        <f>ROUND(T188 + U188, 2)</f>
        <v/>
      </c>
      <c r="W188" s="29">
        <f>Saldo_Residual_Activo!L188</f>
        <v/>
      </c>
      <c r="X188" s="29">
        <f>ROUND(V188 + W188, 2)</f>
        <v/>
      </c>
      <c r="Y188" s="29">
        <f>Saldos_Capital_Mensual!M188</f>
        <v/>
      </c>
      <c r="Z188" s="29">
        <f>Saldos_Intereses_Mensual!M188</f>
        <v/>
      </c>
      <c r="AA188" s="29">
        <f>ROUND(Y188 + Z188, 2)</f>
        <v/>
      </c>
      <c r="AB188" s="29">
        <f>Saldo_Residual_Activo!M188</f>
        <v/>
      </c>
      <c r="AC188" s="29">
        <f>ROUND(AA188 + AB188, 2)</f>
        <v/>
      </c>
      <c r="AD188" s="29">
        <f>Saldos_Capital_Mensual!N188</f>
        <v/>
      </c>
      <c r="AE188" s="29">
        <f>Saldos_Intereses_Mensual!N188</f>
        <v/>
      </c>
      <c r="AF188" s="29">
        <f>ROUND(AD188 + AE188, 2)</f>
        <v/>
      </c>
      <c r="AG188" s="29">
        <f>Saldo_Residual_Activo!N188</f>
        <v/>
      </c>
      <c r="AH188" s="29">
        <f>ROUND(AF188 + AG188, 2)</f>
        <v/>
      </c>
      <c r="AI188" s="29">
        <f>Saldos_Capital_Mensual!O188</f>
        <v/>
      </c>
      <c r="AJ188" s="29">
        <f>Saldos_Intereses_Mensual!O188</f>
        <v/>
      </c>
      <c r="AK188" s="29">
        <f>ROUND(AI188 + AJ188, 2)</f>
        <v/>
      </c>
      <c r="AL188" s="29">
        <f>Saldo_Residual_Activo!O188</f>
        <v/>
      </c>
      <c r="AM188" s="29">
        <f>ROUND(AK188 + AL188, 2)</f>
        <v/>
      </c>
      <c r="AN188" s="29">
        <f>Saldos_Capital_Mensual!P188</f>
        <v/>
      </c>
      <c r="AO188" s="29">
        <f>Saldos_Intereses_Mensual!P188</f>
        <v/>
      </c>
      <c r="AP188" s="29">
        <f>ROUND(AN188 + AO188, 2)</f>
        <v/>
      </c>
      <c r="AQ188" s="29">
        <f>Saldo_Residual_Activo!P188</f>
        <v/>
      </c>
      <c r="AR188" s="29">
        <f>ROUND(AP188 + AQ188, 2)</f>
        <v/>
      </c>
      <c r="AS188" s="29">
        <f>Saldos_Capital_Mensual!Q188</f>
        <v/>
      </c>
      <c r="AT188" s="29">
        <f>Saldos_Intereses_Mensual!Q188</f>
        <v/>
      </c>
      <c r="AU188" s="29">
        <f>ROUND(AS188 + AT188, 2)</f>
        <v/>
      </c>
      <c r="AV188" s="29">
        <f>Saldo_Residual_Activo!Q188</f>
        <v/>
      </c>
      <c r="AW188" s="29">
        <f>ROUND(AU188 + AV188, 2)</f>
        <v/>
      </c>
      <c r="AX188" s="29">
        <f>Saldos_Capital_Mensual!R188</f>
        <v/>
      </c>
      <c r="AY188" s="29">
        <f>Saldos_Intereses_Mensual!R188</f>
        <v/>
      </c>
      <c r="AZ188" s="29">
        <f>ROUND(AX188 + AY188, 2)</f>
        <v/>
      </c>
      <c r="BA188" s="29">
        <f>Saldo_Residual_Activo!R188</f>
        <v/>
      </c>
      <c r="BB188" s="29">
        <f>ROUND(AZ188 + BA188, 2)</f>
        <v/>
      </c>
      <c r="BC188" s="29">
        <f>Saldos_Capital_Mensual!S188</f>
        <v/>
      </c>
      <c r="BD188" s="29">
        <f>Saldos_Intereses_Mensual!S188</f>
        <v/>
      </c>
      <c r="BE188" s="29">
        <f>ROUND(BC188 + BD188, 2)</f>
        <v/>
      </c>
      <c r="BF188" s="29">
        <f>Saldo_Residual_Activo!S188</f>
        <v/>
      </c>
      <c r="BG188" s="29">
        <f>ROUND(BE188 + BF188, 2)</f>
        <v/>
      </c>
      <c r="BH188" s="29">
        <f>Saldos_Capital_Mensual!T188</f>
        <v/>
      </c>
      <c r="BI188" s="29">
        <f>Saldos_Intereses_Mensual!T188</f>
        <v/>
      </c>
      <c r="BJ188" s="29">
        <f>ROUND(BH188 + BI188, 2)</f>
        <v/>
      </c>
      <c r="BK188" s="29">
        <f>Saldo_Residual_Activo!T188</f>
        <v/>
      </c>
      <c r="BL188" s="29">
        <f>ROUND(BJ188 + BK188, 2)</f>
        <v/>
      </c>
    </row>
    <row r="189">
      <c r="A189" s="20" t="inlineStr">
        <is>
          <t>0708-0001</t>
        </is>
      </c>
      <c r="B189" s="21" t="inlineStr">
        <is>
          <t>Pumps Company Sa de Cv</t>
        </is>
      </c>
      <c r="C189" s="21" t="inlineStr">
        <is>
          <t>L200 Glx Diesel</t>
        </is>
      </c>
      <c r="D189" s="22" t="n">
        <v>36</v>
      </c>
      <c r="E189" s="23">
        <f>Saldos_Capital_Mensual!I189</f>
        <v/>
      </c>
      <c r="F189" s="23">
        <f>Saldos_Intereses_Mensual!I189</f>
        <v/>
      </c>
      <c r="G189" s="23">
        <f>ROUND(E189 + F189, 2)</f>
        <v/>
      </c>
      <c r="H189" s="23">
        <f>Saldo_Residual_Activo!I189</f>
        <v/>
      </c>
      <c r="I189" s="23">
        <f>ROUND(G189 + H189, 2)</f>
        <v/>
      </c>
      <c r="J189" s="23">
        <f>Saldos_Capital_Mensual!J189</f>
        <v/>
      </c>
      <c r="K189" s="23">
        <f>Saldos_Intereses_Mensual!J189</f>
        <v/>
      </c>
      <c r="L189" s="23">
        <f>ROUND(J189 + K189, 2)</f>
        <v/>
      </c>
      <c r="M189" s="23">
        <f>Saldo_Residual_Activo!J189</f>
        <v/>
      </c>
      <c r="N189" s="23">
        <f>ROUND(L189 + M189, 2)</f>
        <v/>
      </c>
      <c r="O189" s="23">
        <f>Saldos_Capital_Mensual!K189</f>
        <v/>
      </c>
      <c r="P189" s="23">
        <f>Saldos_Intereses_Mensual!K189</f>
        <v/>
      </c>
      <c r="Q189" s="23">
        <f>ROUND(O189 + P189, 2)</f>
        <v/>
      </c>
      <c r="R189" s="23">
        <f>Saldo_Residual_Activo!K189</f>
        <v/>
      </c>
      <c r="S189" s="23">
        <f>ROUND(Q189 + R189, 2)</f>
        <v/>
      </c>
      <c r="T189" s="23">
        <f>Saldos_Capital_Mensual!L189</f>
        <v/>
      </c>
      <c r="U189" s="23">
        <f>Saldos_Intereses_Mensual!L189</f>
        <v/>
      </c>
      <c r="V189" s="23">
        <f>ROUND(T189 + U189, 2)</f>
        <v/>
      </c>
      <c r="W189" s="23">
        <f>Saldo_Residual_Activo!L189</f>
        <v/>
      </c>
      <c r="X189" s="23">
        <f>ROUND(V189 + W189, 2)</f>
        <v/>
      </c>
      <c r="Y189" s="23">
        <f>Saldos_Capital_Mensual!M189</f>
        <v/>
      </c>
      <c r="Z189" s="23">
        <f>Saldos_Intereses_Mensual!M189</f>
        <v/>
      </c>
      <c r="AA189" s="23">
        <f>ROUND(Y189 + Z189, 2)</f>
        <v/>
      </c>
      <c r="AB189" s="23">
        <f>Saldo_Residual_Activo!M189</f>
        <v/>
      </c>
      <c r="AC189" s="23">
        <f>ROUND(AA189 + AB189, 2)</f>
        <v/>
      </c>
      <c r="AD189" s="23">
        <f>Saldos_Capital_Mensual!N189</f>
        <v/>
      </c>
      <c r="AE189" s="23">
        <f>Saldos_Intereses_Mensual!N189</f>
        <v/>
      </c>
      <c r="AF189" s="23">
        <f>ROUND(AD189 + AE189, 2)</f>
        <v/>
      </c>
      <c r="AG189" s="23">
        <f>Saldo_Residual_Activo!N189</f>
        <v/>
      </c>
      <c r="AH189" s="23">
        <f>ROUND(AF189 + AG189, 2)</f>
        <v/>
      </c>
      <c r="AI189" s="23">
        <f>Saldos_Capital_Mensual!O189</f>
        <v/>
      </c>
      <c r="AJ189" s="23">
        <f>Saldos_Intereses_Mensual!O189</f>
        <v/>
      </c>
      <c r="AK189" s="23">
        <f>ROUND(AI189 + AJ189, 2)</f>
        <v/>
      </c>
      <c r="AL189" s="23">
        <f>Saldo_Residual_Activo!O189</f>
        <v/>
      </c>
      <c r="AM189" s="23">
        <f>ROUND(AK189 + AL189, 2)</f>
        <v/>
      </c>
      <c r="AN189" s="23">
        <f>Saldos_Capital_Mensual!P189</f>
        <v/>
      </c>
      <c r="AO189" s="23">
        <f>Saldos_Intereses_Mensual!P189</f>
        <v/>
      </c>
      <c r="AP189" s="23">
        <f>ROUND(AN189 + AO189, 2)</f>
        <v/>
      </c>
      <c r="AQ189" s="23">
        <f>Saldo_Residual_Activo!P189</f>
        <v/>
      </c>
      <c r="AR189" s="23">
        <f>ROUND(AP189 + AQ189, 2)</f>
        <v/>
      </c>
      <c r="AS189" s="23">
        <f>Saldos_Capital_Mensual!Q189</f>
        <v/>
      </c>
      <c r="AT189" s="23">
        <f>Saldos_Intereses_Mensual!Q189</f>
        <v/>
      </c>
      <c r="AU189" s="23">
        <f>ROUND(AS189 + AT189, 2)</f>
        <v/>
      </c>
      <c r="AV189" s="23">
        <f>Saldo_Residual_Activo!Q189</f>
        <v/>
      </c>
      <c r="AW189" s="23">
        <f>ROUND(AU189 + AV189, 2)</f>
        <v/>
      </c>
      <c r="AX189" s="23">
        <f>Saldos_Capital_Mensual!R189</f>
        <v/>
      </c>
      <c r="AY189" s="23">
        <f>Saldos_Intereses_Mensual!R189</f>
        <v/>
      </c>
      <c r="AZ189" s="23">
        <f>ROUND(AX189 + AY189, 2)</f>
        <v/>
      </c>
      <c r="BA189" s="23">
        <f>Saldo_Residual_Activo!R189</f>
        <v/>
      </c>
      <c r="BB189" s="23">
        <f>ROUND(AZ189 + BA189, 2)</f>
        <v/>
      </c>
      <c r="BC189" s="23">
        <f>Saldos_Capital_Mensual!S189</f>
        <v/>
      </c>
      <c r="BD189" s="23">
        <f>Saldos_Intereses_Mensual!S189</f>
        <v/>
      </c>
      <c r="BE189" s="23">
        <f>ROUND(BC189 + BD189, 2)</f>
        <v/>
      </c>
      <c r="BF189" s="23">
        <f>Saldo_Residual_Activo!S189</f>
        <v/>
      </c>
      <c r="BG189" s="23">
        <f>ROUND(BE189 + BF189, 2)</f>
        <v/>
      </c>
      <c r="BH189" s="23">
        <f>Saldos_Capital_Mensual!T189</f>
        <v/>
      </c>
      <c r="BI189" s="23">
        <f>Saldos_Intereses_Mensual!T189</f>
        <v/>
      </c>
      <c r="BJ189" s="23">
        <f>ROUND(BH189 + BI189, 2)</f>
        <v/>
      </c>
      <c r="BK189" s="23">
        <f>Saldo_Residual_Activo!T189</f>
        <v/>
      </c>
      <c r="BL189" s="23">
        <f>ROUND(BJ189 + BK189, 2)</f>
        <v/>
      </c>
    </row>
    <row r="190">
      <c r="A190" s="26" t="inlineStr">
        <is>
          <t>0708-0002</t>
        </is>
      </c>
      <c r="B190" s="27" t="inlineStr">
        <is>
          <t>Pumps Company Sa de Cv</t>
        </is>
      </c>
      <c r="C190" s="27" t="inlineStr">
        <is>
          <t>L200 Glx Diesel</t>
        </is>
      </c>
      <c r="D190" s="28" t="n">
        <v>36</v>
      </c>
      <c r="E190" s="29">
        <f>Saldos_Capital_Mensual!I190</f>
        <v/>
      </c>
      <c r="F190" s="29">
        <f>Saldos_Intereses_Mensual!I190</f>
        <v/>
      </c>
      <c r="G190" s="29">
        <f>ROUND(E190 + F190, 2)</f>
        <v/>
      </c>
      <c r="H190" s="29">
        <f>Saldo_Residual_Activo!I190</f>
        <v/>
      </c>
      <c r="I190" s="29">
        <f>ROUND(G190 + H190, 2)</f>
        <v/>
      </c>
      <c r="J190" s="29">
        <f>Saldos_Capital_Mensual!J190</f>
        <v/>
      </c>
      <c r="K190" s="29">
        <f>Saldos_Intereses_Mensual!J190</f>
        <v/>
      </c>
      <c r="L190" s="29">
        <f>ROUND(J190 + K190, 2)</f>
        <v/>
      </c>
      <c r="M190" s="29">
        <f>Saldo_Residual_Activo!J190</f>
        <v/>
      </c>
      <c r="N190" s="29">
        <f>ROUND(L190 + M190, 2)</f>
        <v/>
      </c>
      <c r="O190" s="29">
        <f>Saldos_Capital_Mensual!K190</f>
        <v/>
      </c>
      <c r="P190" s="29">
        <f>Saldos_Intereses_Mensual!K190</f>
        <v/>
      </c>
      <c r="Q190" s="29">
        <f>ROUND(O190 + P190, 2)</f>
        <v/>
      </c>
      <c r="R190" s="29">
        <f>Saldo_Residual_Activo!K190</f>
        <v/>
      </c>
      <c r="S190" s="29">
        <f>ROUND(Q190 + R190, 2)</f>
        <v/>
      </c>
      <c r="T190" s="29">
        <f>Saldos_Capital_Mensual!L190</f>
        <v/>
      </c>
      <c r="U190" s="29">
        <f>Saldos_Intereses_Mensual!L190</f>
        <v/>
      </c>
      <c r="V190" s="29">
        <f>ROUND(T190 + U190, 2)</f>
        <v/>
      </c>
      <c r="W190" s="29">
        <f>Saldo_Residual_Activo!L190</f>
        <v/>
      </c>
      <c r="X190" s="29">
        <f>ROUND(V190 + W190, 2)</f>
        <v/>
      </c>
      <c r="Y190" s="29">
        <f>Saldos_Capital_Mensual!M190</f>
        <v/>
      </c>
      <c r="Z190" s="29">
        <f>Saldos_Intereses_Mensual!M190</f>
        <v/>
      </c>
      <c r="AA190" s="29">
        <f>ROUND(Y190 + Z190, 2)</f>
        <v/>
      </c>
      <c r="AB190" s="29">
        <f>Saldo_Residual_Activo!M190</f>
        <v/>
      </c>
      <c r="AC190" s="29">
        <f>ROUND(AA190 + AB190, 2)</f>
        <v/>
      </c>
      <c r="AD190" s="29">
        <f>Saldos_Capital_Mensual!N190</f>
        <v/>
      </c>
      <c r="AE190" s="29">
        <f>Saldos_Intereses_Mensual!N190</f>
        <v/>
      </c>
      <c r="AF190" s="29">
        <f>ROUND(AD190 + AE190, 2)</f>
        <v/>
      </c>
      <c r="AG190" s="29">
        <f>Saldo_Residual_Activo!N190</f>
        <v/>
      </c>
      <c r="AH190" s="29">
        <f>ROUND(AF190 + AG190, 2)</f>
        <v/>
      </c>
      <c r="AI190" s="29">
        <f>Saldos_Capital_Mensual!O190</f>
        <v/>
      </c>
      <c r="AJ190" s="29">
        <f>Saldos_Intereses_Mensual!O190</f>
        <v/>
      </c>
      <c r="AK190" s="29">
        <f>ROUND(AI190 + AJ190, 2)</f>
        <v/>
      </c>
      <c r="AL190" s="29">
        <f>Saldo_Residual_Activo!O190</f>
        <v/>
      </c>
      <c r="AM190" s="29">
        <f>ROUND(AK190 + AL190, 2)</f>
        <v/>
      </c>
      <c r="AN190" s="29">
        <f>Saldos_Capital_Mensual!P190</f>
        <v/>
      </c>
      <c r="AO190" s="29">
        <f>Saldos_Intereses_Mensual!P190</f>
        <v/>
      </c>
      <c r="AP190" s="29">
        <f>ROUND(AN190 + AO190, 2)</f>
        <v/>
      </c>
      <c r="AQ190" s="29">
        <f>Saldo_Residual_Activo!P190</f>
        <v/>
      </c>
      <c r="AR190" s="29">
        <f>ROUND(AP190 + AQ190, 2)</f>
        <v/>
      </c>
      <c r="AS190" s="29">
        <f>Saldos_Capital_Mensual!Q190</f>
        <v/>
      </c>
      <c r="AT190" s="29">
        <f>Saldos_Intereses_Mensual!Q190</f>
        <v/>
      </c>
      <c r="AU190" s="29">
        <f>ROUND(AS190 + AT190, 2)</f>
        <v/>
      </c>
      <c r="AV190" s="29">
        <f>Saldo_Residual_Activo!Q190</f>
        <v/>
      </c>
      <c r="AW190" s="29">
        <f>ROUND(AU190 + AV190, 2)</f>
        <v/>
      </c>
      <c r="AX190" s="29">
        <f>Saldos_Capital_Mensual!R190</f>
        <v/>
      </c>
      <c r="AY190" s="29">
        <f>Saldos_Intereses_Mensual!R190</f>
        <v/>
      </c>
      <c r="AZ190" s="29">
        <f>ROUND(AX190 + AY190, 2)</f>
        <v/>
      </c>
      <c r="BA190" s="29">
        <f>Saldo_Residual_Activo!R190</f>
        <v/>
      </c>
      <c r="BB190" s="29">
        <f>ROUND(AZ190 + BA190, 2)</f>
        <v/>
      </c>
      <c r="BC190" s="29">
        <f>Saldos_Capital_Mensual!S190</f>
        <v/>
      </c>
      <c r="BD190" s="29">
        <f>Saldos_Intereses_Mensual!S190</f>
        <v/>
      </c>
      <c r="BE190" s="29">
        <f>ROUND(BC190 + BD190, 2)</f>
        <v/>
      </c>
      <c r="BF190" s="29">
        <f>Saldo_Residual_Activo!S190</f>
        <v/>
      </c>
      <c r="BG190" s="29">
        <f>ROUND(BE190 + BF190, 2)</f>
        <v/>
      </c>
      <c r="BH190" s="29">
        <f>Saldos_Capital_Mensual!T190</f>
        <v/>
      </c>
      <c r="BI190" s="29">
        <f>Saldos_Intereses_Mensual!T190</f>
        <v/>
      </c>
      <c r="BJ190" s="29">
        <f>ROUND(BH190 + BI190, 2)</f>
        <v/>
      </c>
      <c r="BK190" s="29">
        <f>Saldo_Residual_Activo!T190</f>
        <v/>
      </c>
      <c r="BL190" s="29">
        <f>ROUND(BJ190 + BK190, 2)</f>
        <v/>
      </c>
    </row>
    <row r="191">
      <c r="A191" s="20" t="inlineStr">
        <is>
          <t>0712-0001</t>
        </is>
      </c>
      <c r="B191" s="21" t="inlineStr">
        <is>
          <t>Containers del Pacifico sa de cv</t>
        </is>
      </c>
      <c r="C191" s="21" t="inlineStr">
        <is>
          <t>Outlander Sport</t>
        </is>
      </c>
      <c r="D191" s="22" t="n">
        <v>36</v>
      </c>
      <c r="E191" s="23">
        <f>Saldos_Capital_Mensual!I191</f>
        <v/>
      </c>
      <c r="F191" s="23">
        <f>Saldos_Intereses_Mensual!I191</f>
        <v/>
      </c>
      <c r="G191" s="23">
        <f>ROUND(E191 + F191, 2)</f>
        <v/>
      </c>
      <c r="H191" s="23">
        <f>Saldo_Residual_Activo!I191</f>
        <v/>
      </c>
      <c r="I191" s="23">
        <f>ROUND(G191 + H191, 2)</f>
        <v/>
      </c>
      <c r="J191" s="23">
        <f>Saldos_Capital_Mensual!J191</f>
        <v/>
      </c>
      <c r="K191" s="23">
        <f>Saldos_Intereses_Mensual!J191</f>
        <v/>
      </c>
      <c r="L191" s="23">
        <f>ROUND(J191 + K191, 2)</f>
        <v/>
      </c>
      <c r="M191" s="23">
        <f>Saldo_Residual_Activo!J191</f>
        <v/>
      </c>
      <c r="N191" s="23">
        <f>ROUND(L191 + M191, 2)</f>
        <v/>
      </c>
      <c r="O191" s="23">
        <f>Saldos_Capital_Mensual!K191</f>
        <v/>
      </c>
      <c r="P191" s="23">
        <f>Saldos_Intereses_Mensual!K191</f>
        <v/>
      </c>
      <c r="Q191" s="23">
        <f>ROUND(O191 + P191, 2)</f>
        <v/>
      </c>
      <c r="R191" s="23">
        <f>Saldo_Residual_Activo!K191</f>
        <v/>
      </c>
      <c r="S191" s="23">
        <f>ROUND(Q191 + R191, 2)</f>
        <v/>
      </c>
      <c r="T191" s="23">
        <f>Saldos_Capital_Mensual!L191</f>
        <v/>
      </c>
      <c r="U191" s="23">
        <f>Saldos_Intereses_Mensual!L191</f>
        <v/>
      </c>
      <c r="V191" s="23">
        <f>ROUND(T191 + U191, 2)</f>
        <v/>
      </c>
      <c r="W191" s="23">
        <f>Saldo_Residual_Activo!L191</f>
        <v/>
      </c>
      <c r="X191" s="23">
        <f>ROUND(V191 + W191, 2)</f>
        <v/>
      </c>
      <c r="Y191" s="23">
        <f>Saldos_Capital_Mensual!M191</f>
        <v/>
      </c>
      <c r="Z191" s="23">
        <f>Saldos_Intereses_Mensual!M191</f>
        <v/>
      </c>
      <c r="AA191" s="23">
        <f>ROUND(Y191 + Z191, 2)</f>
        <v/>
      </c>
      <c r="AB191" s="23">
        <f>Saldo_Residual_Activo!M191</f>
        <v/>
      </c>
      <c r="AC191" s="23">
        <f>ROUND(AA191 + AB191, 2)</f>
        <v/>
      </c>
      <c r="AD191" s="23">
        <f>Saldos_Capital_Mensual!N191</f>
        <v/>
      </c>
      <c r="AE191" s="23">
        <f>Saldos_Intereses_Mensual!N191</f>
        <v/>
      </c>
      <c r="AF191" s="23">
        <f>ROUND(AD191 + AE191, 2)</f>
        <v/>
      </c>
      <c r="AG191" s="23">
        <f>Saldo_Residual_Activo!N191</f>
        <v/>
      </c>
      <c r="AH191" s="23">
        <f>ROUND(AF191 + AG191, 2)</f>
        <v/>
      </c>
      <c r="AI191" s="23">
        <f>Saldos_Capital_Mensual!O191</f>
        <v/>
      </c>
      <c r="AJ191" s="23">
        <f>Saldos_Intereses_Mensual!O191</f>
        <v/>
      </c>
      <c r="AK191" s="23">
        <f>ROUND(AI191 + AJ191, 2)</f>
        <v/>
      </c>
      <c r="AL191" s="23">
        <f>Saldo_Residual_Activo!O191</f>
        <v/>
      </c>
      <c r="AM191" s="23">
        <f>ROUND(AK191 + AL191, 2)</f>
        <v/>
      </c>
      <c r="AN191" s="23">
        <f>Saldos_Capital_Mensual!P191</f>
        <v/>
      </c>
      <c r="AO191" s="23">
        <f>Saldos_Intereses_Mensual!P191</f>
        <v/>
      </c>
      <c r="AP191" s="23">
        <f>ROUND(AN191 + AO191, 2)</f>
        <v/>
      </c>
      <c r="AQ191" s="23">
        <f>Saldo_Residual_Activo!P191</f>
        <v/>
      </c>
      <c r="AR191" s="23">
        <f>ROUND(AP191 + AQ191, 2)</f>
        <v/>
      </c>
      <c r="AS191" s="23">
        <f>Saldos_Capital_Mensual!Q191</f>
        <v/>
      </c>
      <c r="AT191" s="23">
        <f>Saldos_Intereses_Mensual!Q191</f>
        <v/>
      </c>
      <c r="AU191" s="23">
        <f>ROUND(AS191 + AT191, 2)</f>
        <v/>
      </c>
      <c r="AV191" s="23">
        <f>Saldo_Residual_Activo!Q191</f>
        <v/>
      </c>
      <c r="AW191" s="23">
        <f>ROUND(AU191 + AV191, 2)</f>
        <v/>
      </c>
      <c r="AX191" s="23">
        <f>Saldos_Capital_Mensual!R191</f>
        <v/>
      </c>
      <c r="AY191" s="23">
        <f>Saldos_Intereses_Mensual!R191</f>
        <v/>
      </c>
      <c r="AZ191" s="23">
        <f>ROUND(AX191 + AY191, 2)</f>
        <v/>
      </c>
      <c r="BA191" s="23">
        <f>Saldo_Residual_Activo!R191</f>
        <v/>
      </c>
      <c r="BB191" s="23">
        <f>ROUND(AZ191 + BA191, 2)</f>
        <v/>
      </c>
      <c r="BC191" s="23">
        <f>Saldos_Capital_Mensual!S191</f>
        <v/>
      </c>
      <c r="BD191" s="23">
        <f>Saldos_Intereses_Mensual!S191</f>
        <v/>
      </c>
      <c r="BE191" s="23">
        <f>ROUND(BC191 + BD191, 2)</f>
        <v/>
      </c>
      <c r="BF191" s="23">
        <f>Saldo_Residual_Activo!S191</f>
        <v/>
      </c>
      <c r="BG191" s="23">
        <f>ROUND(BE191 + BF191, 2)</f>
        <v/>
      </c>
      <c r="BH191" s="23">
        <f>Saldos_Capital_Mensual!T191</f>
        <v/>
      </c>
      <c r="BI191" s="23">
        <f>Saldos_Intereses_Mensual!T191</f>
        <v/>
      </c>
      <c r="BJ191" s="23">
        <f>ROUND(BH191 + BI191, 2)</f>
        <v/>
      </c>
      <c r="BK191" s="23">
        <f>Saldo_Residual_Activo!T191</f>
        <v/>
      </c>
      <c r="BL191" s="23">
        <f>ROUND(BJ191 + BK191, 2)</f>
        <v/>
      </c>
    </row>
    <row r="192">
      <c r="A192" s="26" t="inlineStr">
        <is>
          <t>0712-0002</t>
        </is>
      </c>
      <c r="B192" s="27" t="inlineStr">
        <is>
          <t>Containers del Pacifico sa de cv</t>
        </is>
      </c>
      <c r="C192" s="27" t="inlineStr">
        <is>
          <t>Np300</t>
        </is>
      </c>
      <c r="D192" s="28" t="n">
        <v>36</v>
      </c>
      <c r="E192" s="29">
        <f>Saldos_Capital_Mensual!I192</f>
        <v/>
      </c>
      <c r="F192" s="29">
        <f>Saldos_Intereses_Mensual!I192</f>
        <v/>
      </c>
      <c r="G192" s="29">
        <f>ROUND(E192 + F192, 2)</f>
        <v/>
      </c>
      <c r="H192" s="29">
        <f>Saldo_Residual_Activo!I192</f>
        <v/>
      </c>
      <c r="I192" s="29">
        <f>ROUND(G192 + H192, 2)</f>
        <v/>
      </c>
      <c r="J192" s="29">
        <f>Saldos_Capital_Mensual!J192</f>
        <v/>
      </c>
      <c r="K192" s="29">
        <f>Saldos_Intereses_Mensual!J192</f>
        <v/>
      </c>
      <c r="L192" s="29">
        <f>ROUND(J192 + K192, 2)</f>
        <v/>
      </c>
      <c r="M192" s="29">
        <f>Saldo_Residual_Activo!J192</f>
        <v/>
      </c>
      <c r="N192" s="29">
        <f>ROUND(L192 + M192, 2)</f>
        <v/>
      </c>
      <c r="O192" s="29">
        <f>Saldos_Capital_Mensual!K192</f>
        <v/>
      </c>
      <c r="P192" s="29">
        <f>Saldos_Intereses_Mensual!K192</f>
        <v/>
      </c>
      <c r="Q192" s="29">
        <f>ROUND(O192 + P192, 2)</f>
        <v/>
      </c>
      <c r="R192" s="29">
        <f>Saldo_Residual_Activo!K192</f>
        <v/>
      </c>
      <c r="S192" s="29">
        <f>ROUND(Q192 + R192, 2)</f>
        <v/>
      </c>
      <c r="T192" s="29">
        <f>Saldos_Capital_Mensual!L192</f>
        <v/>
      </c>
      <c r="U192" s="29">
        <f>Saldos_Intereses_Mensual!L192</f>
        <v/>
      </c>
      <c r="V192" s="29">
        <f>ROUND(T192 + U192, 2)</f>
        <v/>
      </c>
      <c r="W192" s="29">
        <f>Saldo_Residual_Activo!L192</f>
        <v/>
      </c>
      <c r="X192" s="29">
        <f>ROUND(V192 + W192, 2)</f>
        <v/>
      </c>
      <c r="Y192" s="29">
        <f>Saldos_Capital_Mensual!M192</f>
        <v/>
      </c>
      <c r="Z192" s="29">
        <f>Saldos_Intereses_Mensual!M192</f>
        <v/>
      </c>
      <c r="AA192" s="29">
        <f>ROUND(Y192 + Z192, 2)</f>
        <v/>
      </c>
      <c r="AB192" s="29">
        <f>Saldo_Residual_Activo!M192</f>
        <v/>
      </c>
      <c r="AC192" s="29">
        <f>ROUND(AA192 + AB192, 2)</f>
        <v/>
      </c>
      <c r="AD192" s="29">
        <f>Saldos_Capital_Mensual!N192</f>
        <v/>
      </c>
      <c r="AE192" s="29">
        <f>Saldos_Intereses_Mensual!N192</f>
        <v/>
      </c>
      <c r="AF192" s="29">
        <f>ROUND(AD192 + AE192, 2)</f>
        <v/>
      </c>
      <c r="AG192" s="29">
        <f>Saldo_Residual_Activo!N192</f>
        <v/>
      </c>
      <c r="AH192" s="29">
        <f>ROUND(AF192 + AG192, 2)</f>
        <v/>
      </c>
      <c r="AI192" s="29">
        <f>Saldos_Capital_Mensual!O192</f>
        <v/>
      </c>
      <c r="AJ192" s="29">
        <f>Saldos_Intereses_Mensual!O192</f>
        <v/>
      </c>
      <c r="AK192" s="29">
        <f>ROUND(AI192 + AJ192, 2)</f>
        <v/>
      </c>
      <c r="AL192" s="29">
        <f>Saldo_Residual_Activo!O192</f>
        <v/>
      </c>
      <c r="AM192" s="29">
        <f>ROUND(AK192 + AL192, 2)</f>
        <v/>
      </c>
      <c r="AN192" s="29">
        <f>Saldos_Capital_Mensual!P192</f>
        <v/>
      </c>
      <c r="AO192" s="29">
        <f>Saldos_Intereses_Mensual!P192</f>
        <v/>
      </c>
      <c r="AP192" s="29">
        <f>ROUND(AN192 + AO192, 2)</f>
        <v/>
      </c>
      <c r="AQ192" s="29">
        <f>Saldo_Residual_Activo!P192</f>
        <v/>
      </c>
      <c r="AR192" s="29">
        <f>ROUND(AP192 + AQ192, 2)</f>
        <v/>
      </c>
      <c r="AS192" s="29">
        <f>Saldos_Capital_Mensual!Q192</f>
        <v/>
      </c>
      <c r="AT192" s="29">
        <f>Saldos_Intereses_Mensual!Q192</f>
        <v/>
      </c>
      <c r="AU192" s="29">
        <f>ROUND(AS192 + AT192, 2)</f>
        <v/>
      </c>
      <c r="AV192" s="29">
        <f>Saldo_Residual_Activo!Q192</f>
        <v/>
      </c>
      <c r="AW192" s="29">
        <f>ROUND(AU192 + AV192, 2)</f>
        <v/>
      </c>
      <c r="AX192" s="29">
        <f>Saldos_Capital_Mensual!R192</f>
        <v/>
      </c>
      <c r="AY192" s="29">
        <f>Saldos_Intereses_Mensual!R192</f>
        <v/>
      </c>
      <c r="AZ192" s="29">
        <f>ROUND(AX192 + AY192, 2)</f>
        <v/>
      </c>
      <c r="BA192" s="29">
        <f>Saldo_Residual_Activo!R192</f>
        <v/>
      </c>
      <c r="BB192" s="29">
        <f>ROUND(AZ192 + BA192, 2)</f>
        <v/>
      </c>
      <c r="BC192" s="29">
        <f>Saldos_Capital_Mensual!S192</f>
        <v/>
      </c>
      <c r="BD192" s="29">
        <f>Saldos_Intereses_Mensual!S192</f>
        <v/>
      </c>
      <c r="BE192" s="29">
        <f>ROUND(BC192 + BD192, 2)</f>
        <v/>
      </c>
      <c r="BF192" s="29">
        <f>Saldo_Residual_Activo!S192</f>
        <v/>
      </c>
      <c r="BG192" s="29">
        <f>ROUND(BE192 + BF192, 2)</f>
        <v/>
      </c>
      <c r="BH192" s="29">
        <f>Saldos_Capital_Mensual!T192</f>
        <v/>
      </c>
      <c r="BI192" s="29">
        <f>Saldos_Intereses_Mensual!T192</f>
        <v/>
      </c>
      <c r="BJ192" s="29">
        <f>ROUND(BH192 + BI192, 2)</f>
        <v/>
      </c>
      <c r="BK192" s="29">
        <f>Saldo_Residual_Activo!T192</f>
        <v/>
      </c>
      <c r="BL192" s="29">
        <f>ROUND(BJ192 + BK192, 2)</f>
        <v/>
      </c>
    </row>
    <row r="193">
      <c r="A193" s="20" t="inlineStr">
        <is>
          <t>0712-0003</t>
        </is>
      </c>
      <c r="B193" s="21" t="inlineStr">
        <is>
          <t>Containers del Pacifico sa de cv</t>
        </is>
      </c>
      <c r="C193" s="21" t="inlineStr">
        <is>
          <t>Np300</t>
        </is>
      </c>
      <c r="D193" s="22" t="n">
        <v>36</v>
      </c>
      <c r="E193" s="23">
        <f>Saldos_Capital_Mensual!I193</f>
        <v/>
      </c>
      <c r="F193" s="23">
        <f>Saldos_Intereses_Mensual!I193</f>
        <v/>
      </c>
      <c r="G193" s="23">
        <f>ROUND(E193 + F193, 2)</f>
        <v/>
      </c>
      <c r="H193" s="23">
        <f>Saldo_Residual_Activo!I193</f>
        <v/>
      </c>
      <c r="I193" s="23">
        <f>ROUND(G193 + H193, 2)</f>
        <v/>
      </c>
      <c r="J193" s="23">
        <f>Saldos_Capital_Mensual!J193</f>
        <v/>
      </c>
      <c r="K193" s="23">
        <f>Saldos_Intereses_Mensual!J193</f>
        <v/>
      </c>
      <c r="L193" s="23">
        <f>ROUND(J193 + K193, 2)</f>
        <v/>
      </c>
      <c r="M193" s="23">
        <f>Saldo_Residual_Activo!J193</f>
        <v/>
      </c>
      <c r="N193" s="23">
        <f>ROUND(L193 + M193, 2)</f>
        <v/>
      </c>
      <c r="O193" s="23">
        <f>Saldos_Capital_Mensual!K193</f>
        <v/>
      </c>
      <c r="P193" s="23">
        <f>Saldos_Intereses_Mensual!K193</f>
        <v/>
      </c>
      <c r="Q193" s="23">
        <f>ROUND(O193 + P193, 2)</f>
        <v/>
      </c>
      <c r="R193" s="23">
        <f>Saldo_Residual_Activo!K193</f>
        <v/>
      </c>
      <c r="S193" s="23">
        <f>ROUND(Q193 + R193, 2)</f>
        <v/>
      </c>
      <c r="T193" s="23">
        <f>Saldos_Capital_Mensual!L193</f>
        <v/>
      </c>
      <c r="U193" s="23">
        <f>Saldos_Intereses_Mensual!L193</f>
        <v/>
      </c>
      <c r="V193" s="23">
        <f>ROUND(T193 + U193, 2)</f>
        <v/>
      </c>
      <c r="W193" s="23">
        <f>Saldo_Residual_Activo!L193</f>
        <v/>
      </c>
      <c r="X193" s="23">
        <f>ROUND(V193 + W193, 2)</f>
        <v/>
      </c>
      <c r="Y193" s="23">
        <f>Saldos_Capital_Mensual!M193</f>
        <v/>
      </c>
      <c r="Z193" s="23">
        <f>Saldos_Intereses_Mensual!M193</f>
        <v/>
      </c>
      <c r="AA193" s="23">
        <f>ROUND(Y193 + Z193, 2)</f>
        <v/>
      </c>
      <c r="AB193" s="23">
        <f>Saldo_Residual_Activo!M193</f>
        <v/>
      </c>
      <c r="AC193" s="23">
        <f>ROUND(AA193 + AB193, 2)</f>
        <v/>
      </c>
      <c r="AD193" s="23">
        <f>Saldos_Capital_Mensual!N193</f>
        <v/>
      </c>
      <c r="AE193" s="23">
        <f>Saldos_Intereses_Mensual!N193</f>
        <v/>
      </c>
      <c r="AF193" s="23">
        <f>ROUND(AD193 + AE193, 2)</f>
        <v/>
      </c>
      <c r="AG193" s="23">
        <f>Saldo_Residual_Activo!N193</f>
        <v/>
      </c>
      <c r="AH193" s="23">
        <f>ROUND(AF193 + AG193, 2)</f>
        <v/>
      </c>
      <c r="AI193" s="23">
        <f>Saldos_Capital_Mensual!O193</f>
        <v/>
      </c>
      <c r="AJ193" s="23">
        <f>Saldos_Intereses_Mensual!O193</f>
        <v/>
      </c>
      <c r="AK193" s="23">
        <f>ROUND(AI193 + AJ193, 2)</f>
        <v/>
      </c>
      <c r="AL193" s="23">
        <f>Saldo_Residual_Activo!O193</f>
        <v/>
      </c>
      <c r="AM193" s="23">
        <f>ROUND(AK193 + AL193, 2)</f>
        <v/>
      </c>
      <c r="AN193" s="23">
        <f>Saldos_Capital_Mensual!P193</f>
        <v/>
      </c>
      <c r="AO193" s="23">
        <f>Saldos_Intereses_Mensual!P193</f>
        <v/>
      </c>
      <c r="AP193" s="23">
        <f>ROUND(AN193 + AO193, 2)</f>
        <v/>
      </c>
      <c r="AQ193" s="23">
        <f>Saldo_Residual_Activo!P193</f>
        <v/>
      </c>
      <c r="AR193" s="23">
        <f>ROUND(AP193 + AQ193, 2)</f>
        <v/>
      </c>
      <c r="AS193" s="23">
        <f>Saldos_Capital_Mensual!Q193</f>
        <v/>
      </c>
      <c r="AT193" s="23">
        <f>Saldos_Intereses_Mensual!Q193</f>
        <v/>
      </c>
      <c r="AU193" s="23">
        <f>ROUND(AS193 + AT193, 2)</f>
        <v/>
      </c>
      <c r="AV193" s="23">
        <f>Saldo_Residual_Activo!Q193</f>
        <v/>
      </c>
      <c r="AW193" s="23">
        <f>ROUND(AU193 + AV193, 2)</f>
        <v/>
      </c>
      <c r="AX193" s="23">
        <f>Saldos_Capital_Mensual!R193</f>
        <v/>
      </c>
      <c r="AY193" s="23">
        <f>Saldos_Intereses_Mensual!R193</f>
        <v/>
      </c>
      <c r="AZ193" s="23">
        <f>ROUND(AX193 + AY193, 2)</f>
        <v/>
      </c>
      <c r="BA193" s="23">
        <f>Saldo_Residual_Activo!R193</f>
        <v/>
      </c>
      <c r="BB193" s="23">
        <f>ROUND(AZ193 + BA193, 2)</f>
        <v/>
      </c>
      <c r="BC193" s="23">
        <f>Saldos_Capital_Mensual!S193</f>
        <v/>
      </c>
      <c r="BD193" s="23">
        <f>Saldos_Intereses_Mensual!S193</f>
        <v/>
      </c>
      <c r="BE193" s="23">
        <f>ROUND(BC193 + BD193, 2)</f>
        <v/>
      </c>
      <c r="BF193" s="23">
        <f>Saldo_Residual_Activo!S193</f>
        <v/>
      </c>
      <c r="BG193" s="23">
        <f>ROUND(BE193 + BF193, 2)</f>
        <v/>
      </c>
      <c r="BH193" s="23">
        <f>Saldos_Capital_Mensual!T193</f>
        <v/>
      </c>
      <c r="BI193" s="23">
        <f>Saldos_Intereses_Mensual!T193</f>
        <v/>
      </c>
      <c r="BJ193" s="23">
        <f>ROUND(BH193 + BI193, 2)</f>
        <v/>
      </c>
      <c r="BK193" s="23">
        <f>Saldo_Residual_Activo!T193</f>
        <v/>
      </c>
      <c r="BL193" s="23">
        <f>ROUND(BJ193 + BK193, 2)</f>
        <v/>
      </c>
    </row>
    <row r="194">
      <c r="A194" s="26" t="inlineStr">
        <is>
          <t>0713-0001</t>
        </is>
      </c>
      <c r="B194" s="27" t="inlineStr">
        <is>
          <t>Ana Carolina Urzua Lopez</t>
        </is>
      </c>
      <c r="C194" s="27" t="inlineStr">
        <is>
          <t>Ram 1200</t>
        </is>
      </c>
      <c r="D194" s="28" t="n">
        <v>24</v>
      </c>
      <c r="E194" s="29">
        <f>Saldos_Capital_Mensual!I194</f>
        <v/>
      </c>
      <c r="F194" s="29">
        <f>Saldos_Intereses_Mensual!I194</f>
        <v/>
      </c>
      <c r="G194" s="29">
        <f>ROUND(E194 + F194, 2)</f>
        <v/>
      </c>
      <c r="H194" s="29">
        <f>Saldo_Residual_Activo!I194</f>
        <v/>
      </c>
      <c r="I194" s="29">
        <f>ROUND(G194 + H194, 2)</f>
        <v/>
      </c>
      <c r="J194" s="29">
        <f>Saldos_Capital_Mensual!J194</f>
        <v/>
      </c>
      <c r="K194" s="29">
        <f>Saldos_Intereses_Mensual!J194</f>
        <v/>
      </c>
      <c r="L194" s="29">
        <f>ROUND(J194 + K194, 2)</f>
        <v/>
      </c>
      <c r="M194" s="29">
        <f>Saldo_Residual_Activo!J194</f>
        <v/>
      </c>
      <c r="N194" s="29">
        <f>ROUND(L194 + M194, 2)</f>
        <v/>
      </c>
      <c r="O194" s="29">
        <f>Saldos_Capital_Mensual!K194</f>
        <v/>
      </c>
      <c r="P194" s="29">
        <f>Saldos_Intereses_Mensual!K194</f>
        <v/>
      </c>
      <c r="Q194" s="29">
        <f>ROUND(O194 + P194, 2)</f>
        <v/>
      </c>
      <c r="R194" s="29">
        <f>Saldo_Residual_Activo!K194</f>
        <v/>
      </c>
      <c r="S194" s="29">
        <f>ROUND(Q194 + R194, 2)</f>
        <v/>
      </c>
      <c r="T194" s="29">
        <f>Saldos_Capital_Mensual!L194</f>
        <v/>
      </c>
      <c r="U194" s="29">
        <f>Saldos_Intereses_Mensual!L194</f>
        <v/>
      </c>
      <c r="V194" s="29">
        <f>ROUND(T194 + U194, 2)</f>
        <v/>
      </c>
      <c r="W194" s="29">
        <f>Saldo_Residual_Activo!L194</f>
        <v/>
      </c>
      <c r="X194" s="29">
        <f>ROUND(V194 + W194, 2)</f>
        <v/>
      </c>
      <c r="Y194" s="29">
        <f>Saldos_Capital_Mensual!M194</f>
        <v/>
      </c>
      <c r="Z194" s="29">
        <f>Saldos_Intereses_Mensual!M194</f>
        <v/>
      </c>
      <c r="AA194" s="29">
        <f>ROUND(Y194 + Z194, 2)</f>
        <v/>
      </c>
      <c r="AB194" s="29">
        <f>Saldo_Residual_Activo!M194</f>
        <v/>
      </c>
      <c r="AC194" s="29">
        <f>ROUND(AA194 + AB194, 2)</f>
        <v/>
      </c>
      <c r="AD194" s="29">
        <f>Saldos_Capital_Mensual!N194</f>
        <v/>
      </c>
      <c r="AE194" s="29">
        <f>Saldos_Intereses_Mensual!N194</f>
        <v/>
      </c>
      <c r="AF194" s="29">
        <f>ROUND(AD194 + AE194, 2)</f>
        <v/>
      </c>
      <c r="AG194" s="29">
        <f>Saldo_Residual_Activo!N194</f>
        <v/>
      </c>
      <c r="AH194" s="29">
        <f>ROUND(AF194 + AG194, 2)</f>
        <v/>
      </c>
      <c r="AI194" s="29">
        <f>Saldos_Capital_Mensual!O194</f>
        <v/>
      </c>
      <c r="AJ194" s="29">
        <f>Saldos_Intereses_Mensual!O194</f>
        <v/>
      </c>
      <c r="AK194" s="29">
        <f>ROUND(AI194 + AJ194, 2)</f>
        <v/>
      </c>
      <c r="AL194" s="29">
        <f>Saldo_Residual_Activo!O194</f>
        <v/>
      </c>
      <c r="AM194" s="29">
        <f>ROUND(AK194 + AL194, 2)</f>
        <v/>
      </c>
      <c r="AN194" s="29">
        <f>Saldos_Capital_Mensual!P194</f>
        <v/>
      </c>
      <c r="AO194" s="29">
        <f>Saldos_Intereses_Mensual!P194</f>
        <v/>
      </c>
      <c r="AP194" s="29">
        <f>ROUND(AN194 + AO194, 2)</f>
        <v/>
      </c>
      <c r="AQ194" s="29">
        <f>Saldo_Residual_Activo!P194</f>
        <v/>
      </c>
      <c r="AR194" s="29">
        <f>ROUND(AP194 + AQ194, 2)</f>
        <v/>
      </c>
      <c r="AS194" s="29">
        <f>Saldos_Capital_Mensual!Q194</f>
        <v/>
      </c>
      <c r="AT194" s="29">
        <f>Saldos_Intereses_Mensual!Q194</f>
        <v/>
      </c>
      <c r="AU194" s="29">
        <f>ROUND(AS194 + AT194, 2)</f>
        <v/>
      </c>
      <c r="AV194" s="29">
        <f>Saldo_Residual_Activo!Q194</f>
        <v/>
      </c>
      <c r="AW194" s="29">
        <f>ROUND(AU194 + AV194, 2)</f>
        <v/>
      </c>
      <c r="AX194" s="29">
        <f>Saldos_Capital_Mensual!R194</f>
        <v/>
      </c>
      <c r="AY194" s="29">
        <f>Saldos_Intereses_Mensual!R194</f>
        <v/>
      </c>
      <c r="AZ194" s="29">
        <f>ROUND(AX194 + AY194, 2)</f>
        <v/>
      </c>
      <c r="BA194" s="29">
        <f>Saldo_Residual_Activo!R194</f>
        <v/>
      </c>
      <c r="BB194" s="29">
        <f>ROUND(AZ194 + BA194, 2)</f>
        <v/>
      </c>
      <c r="BC194" s="29">
        <f>Saldos_Capital_Mensual!S194</f>
        <v/>
      </c>
      <c r="BD194" s="29">
        <f>Saldos_Intereses_Mensual!S194</f>
        <v/>
      </c>
      <c r="BE194" s="29">
        <f>ROUND(BC194 + BD194, 2)</f>
        <v/>
      </c>
      <c r="BF194" s="29">
        <f>Saldo_Residual_Activo!S194</f>
        <v/>
      </c>
      <c r="BG194" s="29">
        <f>ROUND(BE194 + BF194, 2)</f>
        <v/>
      </c>
      <c r="BH194" s="29">
        <f>Saldos_Capital_Mensual!T194</f>
        <v/>
      </c>
      <c r="BI194" s="29">
        <f>Saldos_Intereses_Mensual!T194</f>
        <v/>
      </c>
      <c r="BJ194" s="29">
        <f>ROUND(BH194 + BI194, 2)</f>
        <v/>
      </c>
      <c r="BK194" s="29">
        <f>Saldo_Residual_Activo!T194</f>
        <v/>
      </c>
      <c r="BL194" s="29">
        <f>ROUND(BJ194 + BK194, 2)</f>
        <v/>
      </c>
    </row>
    <row r="195">
      <c r="A195" s="20" t="inlineStr">
        <is>
          <t>0714-0001</t>
        </is>
      </c>
      <c r="B195" s="21" t="inlineStr">
        <is>
          <t>Celeste Capital Aj</t>
        </is>
      </c>
      <c r="C195" s="21" t="inlineStr">
        <is>
          <t>Wrangler 4Xe</t>
        </is>
      </c>
      <c r="D195" s="22" t="n">
        <v>48</v>
      </c>
      <c r="E195" s="23">
        <f>Saldos_Capital_Mensual!I195</f>
        <v/>
      </c>
      <c r="F195" s="23">
        <f>Saldos_Intereses_Mensual!I195</f>
        <v/>
      </c>
      <c r="G195" s="23">
        <f>ROUND(E195 + F195, 2)</f>
        <v/>
      </c>
      <c r="H195" s="23">
        <f>Saldo_Residual_Activo!I195</f>
        <v/>
      </c>
      <c r="I195" s="23">
        <f>ROUND(G195 + H195, 2)</f>
        <v/>
      </c>
      <c r="J195" s="23">
        <f>Saldos_Capital_Mensual!J195</f>
        <v/>
      </c>
      <c r="K195" s="23">
        <f>Saldos_Intereses_Mensual!J195</f>
        <v/>
      </c>
      <c r="L195" s="23">
        <f>ROUND(J195 + K195, 2)</f>
        <v/>
      </c>
      <c r="M195" s="23">
        <f>Saldo_Residual_Activo!J195</f>
        <v/>
      </c>
      <c r="N195" s="23">
        <f>ROUND(L195 + M195, 2)</f>
        <v/>
      </c>
      <c r="O195" s="23">
        <f>Saldos_Capital_Mensual!K195</f>
        <v/>
      </c>
      <c r="P195" s="23">
        <f>Saldos_Intereses_Mensual!K195</f>
        <v/>
      </c>
      <c r="Q195" s="23">
        <f>ROUND(O195 + P195, 2)</f>
        <v/>
      </c>
      <c r="R195" s="23">
        <f>Saldo_Residual_Activo!K195</f>
        <v/>
      </c>
      <c r="S195" s="23">
        <f>ROUND(Q195 + R195, 2)</f>
        <v/>
      </c>
      <c r="T195" s="23">
        <f>Saldos_Capital_Mensual!L195</f>
        <v/>
      </c>
      <c r="U195" s="23">
        <f>Saldos_Intereses_Mensual!L195</f>
        <v/>
      </c>
      <c r="V195" s="23">
        <f>ROUND(T195 + U195, 2)</f>
        <v/>
      </c>
      <c r="W195" s="23">
        <f>Saldo_Residual_Activo!L195</f>
        <v/>
      </c>
      <c r="X195" s="23">
        <f>ROUND(V195 + W195, 2)</f>
        <v/>
      </c>
      <c r="Y195" s="23">
        <f>Saldos_Capital_Mensual!M195</f>
        <v/>
      </c>
      <c r="Z195" s="23">
        <f>Saldos_Intereses_Mensual!M195</f>
        <v/>
      </c>
      <c r="AA195" s="23">
        <f>ROUND(Y195 + Z195, 2)</f>
        <v/>
      </c>
      <c r="AB195" s="23">
        <f>Saldo_Residual_Activo!M195</f>
        <v/>
      </c>
      <c r="AC195" s="23">
        <f>ROUND(AA195 + AB195, 2)</f>
        <v/>
      </c>
      <c r="AD195" s="23">
        <f>Saldos_Capital_Mensual!N195</f>
        <v/>
      </c>
      <c r="AE195" s="23">
        <f>Saldos_Intereses_Mensual!N195</f>
        <v/>
      </c>
      <c r="AF195" s="23">
        <f>ROUND(AD195 + AE195, 2)</f>
        <v/>
      </c>
      <c r="AG195" s="23">
        <f>Saldo_Residual_Activo!N195</f>
        <v/>
      </c>
      <c r="AH195" s="23">
        <f>ROUND(AF195 + AG195, 2)</f>
        <v/>
      </c>
      <c r="AI195" s="23">
        <f>Saldos_Capital_Mensual!O195</f>
        <v/>
      </c>
      <c r="AJ195" s="23">
        <f>Saldos_Intereses_Mensual!O195</f>
        <v/>
      </c>
      <c r="AK195" s="23">
        <f>ROUND(AI195 + AJ195, 2)</f>
        <v/>
      </c>
      <c r="AL195" s="23">
        <f>Saldo_Residual_Activo!O195</f>
        <v/>
      </c>
      <c r="AM195" s="23">
        <f>ROUND(AK195 + AL195, 2)</f>
        <v/>
      </c>
      <c r="AN195" s="23">
        <f>Saldos_Capital_Mensual!P195</f>
        <v/>
      </c>
      <c r="AO195" s="23">
        <f>Saldos_Intereses_Mensual!P195</f>
        <v/>
      </c>
      <c r="AP195" s="23">
        <f>ROUND(AN195 + AO195, 2)</f>
        <v/>
      </c>
      <c r="AQ195" s="23">
        <f>Saldo_Residual_Activo!P195</f>
        <v/>
      </c>
      <c r="AR195" s="23">
        <f>ROUND(AP195 + AQ195, 2)</f>
        <v/>
      </c>
      <c r="AS195" s="23">
        <f>Saldos_Capital_Mensual!Q195</f>
        <v/>
      </c>
      <c r="AT195" s="23">
        <f>Saldos_Intereses_Mensual!Q195</f>
        <v/>
      </c>
      <c r="AU195" s="23">
        <f>ROUND(AS195 + AT195, 2)</f>
        <v/>
      </c>
      <c r="AV195" s="23">
        <f>Saldo_Residual_Activo!Q195</f>
        <v/>
      </c>
      <c r="AW195" s="23">
        <f>ROUND(AU195 + AV195, 2)</f>
        <v/>
      </c>
      <c r="AX195" s="23">
        <f>Saldos_Capital_Mensual!R195</f>
        <v/>
      </c>
      <c r="AY195" s="23">
        <f>Saldos_Intereses_Mensual!R195</f>
        <v/>
      </c>
      <c r="AZ195" s="23">
        <f>ROUND(AX195 + AY195, 2)</f>
        <v/>
      </c>
      <c r="BA195" s="23">
        <f>Saldo_Residual_Activo!R195</f>
        <v/>
      </c>
      <c r="BB195" s="23">
        <f>ROUND(AZ195 + BA195, 2)</f>
        <v/>
      </c>
      <c r="BC195" s="23">
        <f>Saldos_Capital_Mensual!S195</f>
        <v/>
      </c>
      <c r="BD195" s="23">
        <f>Saldos_Intereses_Mensual!S195</f>
        <v/>
      </c>
      <c r="BE195" s="23">
        <f>ROUND(BC195 + BD195, 2)</f>
        <v/>
      </c>
      <c r="BF195" s="23">
        <f>Saldo_Residual_Activo!S195</f>
        <v/>
      </c>
      <c r="BG195" s="23">
        <f>ROUND(BE195 + BF195, 2)</f>
        <v/>
      </c>
      <c r="BH195" s="23">
        <f>Saldos_Capital_Mensual!T195</f>
        <v/>
      </c>
      <c r="BI195" s="23">
        <f>Saldos_Intereses_Mensual!T195</f>
        <v/>
      </c>
      <c r="BJ195" s="23">
        <f>ROUND(BH195 + BI195, 2)</f>
        <v/>
      </c>
      <c r="BK195" s="23">
        <f>Saldo_Residual_Activo!T195</f>
        <v/>
      </c>
      <c r="BL195" s="23">
        <f>ROUND(BJ195 + BK195, 2)</f>
        <v/>
      </c>
    </row>
    <row r="196">
      <c r="A196" s="26" t="inlineStr">
        <is>
          <t>0715-0001</t>
        </is>
      </c>
      <c r="B196" s="27" t="inlineStr">
        <is>
          <t>Jose de Jesus Serrano Sanchez</t>
        </is>
      </c>
      <c r="C196" s="27" t="inlineStr">
        <is>
          <t>Ram 1200</t>
        </is>
      </c>
      <c r="D196" s="28" t="n">
        <v>48</v>
      </c>
      <c r="E196" s="29">
        <f>Saldos_Capital_Mensual!I196</f>
        <v/>
      </c>
      <c r="F196" s="29">
        <f>Saldos_Intereses_Mensual!I196</f>
        <v/>
      </c>
      <c r="G196" s="29">
        <f>ROUND(E196 + F196, 2)</f>
        <v/>
      </c>
      <c r="H196" s="29">
        <f>Saldo_Residual_Activo!I196</f>
        <v/>
      </c>
      <c r="I196" s="29">
        <f>ROUND(G196 + H196, 2)</f>
        <v/>
      </c>
      <c r="J196" s="29">
        <f>Saldos_Capital_Mensual!J196</f>
        <v/>
      </c>
      <c r="K196" s="29">
        <f>Saldos_Intereses_Mensual!J196</f>
        <v/>
      </c>
      <c r="L196" s="29">
        <f>ROUND(J196 + K196, 2)</f>
        <v/>
      </c>
      <c r="M196" s="29">
        <f>Saldo_Residual_Activo!J196</f>
        <v/>
      </c>
      <c r="N196" s="29">
        <f>ROUND(L196 + M196, 2)</f>
        <v/>
      </c>
      <c r="O196" s="29">
        <f>Saldos_Capital_Mensual!K196</f>
        <v/>
      </c>
      <c r="P196" s="29">
        <f>Saldos_Intereses_Mensual!K196</f>
        <v/>
      </c>
      <c r="Q196" s="29">
        <f>ROUND(O196 + P196, 2)</f>
        <v/>
      </c>
      <c r="R196" s="29">
        <f>Saldo_Residual_Activo!K196</f>
        <v/>
      </c>
      <c r="S196" s="29">
        <f>ROUND(Q196 + R196, 2)</f>
        <v/>
      </c>
      <c r="T196" s="29">
        <f>Saldos_Capital_Mensual!L196</f>
        <v/>
      </c>
      <c r="U196" s="29">
        <f>Saldos_Intereses_Mensual!L196</f>
        <v/>
      </c>
      <c r="V196" s="29">
        <f>ROUND(T196 + U196, 2)</f>
        <v/>
      </c>
      <c r="W196" s="29">
        <f>Saldo_Residual_Activo!L196</f>
        <v/>
      </c>
      <c r="X196" s="29">
        <f>ROUND(V196 + W196, 2)</f>
        <v/>
      </c>
      <c r="Y196" s="29">
        <f>Saldos_Capital_Mensual!M196</f>
        <v/>
      </c>
      <c r="Z196" s="29">
        <f>Saldos_Intereses_Mensual!M196</f>
        <v/>
      </c>
      <c r="AA196" s="29">
        <f>ROUND(Y196 + Z196, 2)</f>
        <v/>
      </c>
      <c r="AB196" s="29">
        <f>Saldo_Residual_Activo!M196</f>
        <v/>
      </c>
      <c r="AC196" s="29">
        <f>ROUND(AA196 + AB196, 2)</f>
        <v/>
      </c>
      <c r="AD196" s="29">
        <f>Saldos_Capital_Mensual!N196</f>
        <v/>
      </c>
      <c r="AE196" s="29">
        <f>Saldos_Intereses_Mensual!N196</f>
        <v/>
      </c>
      <c r="AF196" s="29">
        <f>ROUND(AD196 + AE196, 2)</f>
        <v/>
      </c>
      <c r="AG196" s="29">
        <f>Saldo_Residual_Activo!N196</f>
        <v/>
      </c>
      <c r="AH196" s="29">
        <f>ROUND(AF196 + AG196, 2)</f>
        <v/>
      </c>
      <c r="AI196" s="29">
        <f>Saldos_Capital_Mensual!O196</f>
        <v/>
      </c>
      <c r="AJ196" s="29">
        <f>Saldos_Intereses_Mensual!O196</f>
        <v/>
      </c>
      <c r="AK196" s="29">
        <f>ROUND(AI196 + AJ196, 2)</f>
        <v/>
      </c>
      <c r="AL196" s="29">
        <f>Saldo_Residual_Activo!O196</f>
        <v/>
      </c>
      <c r="AM196" s="29">
        <f>ROUND(AK196 + AL196, 2)</f>
        <v/>
      </c>
      <c r="AN196" s="29">
        <f>Saldos_Capital_Mensual!P196</f>
        <v/>
      </c>
      <c r="AO196" s="29">
        <f>Saldos_Intereses_Mensual!P196</f>
        <v/>
      </c>
      <c r="AP196" s="29">
        <f>ROUND(AN196 + AO196, 2)</f>
        <v/>
      </c>
      <c r="AQ196" s="29">
        <f>Saldo_Residual_Activo!P196</f>
        <v/>
      </c>
      <c r="AR196" s="29">
        <f>ROUND(AP196 + AQ196, 2)</f>
        <v/>
      </c>
      <c r="AS196" s="29">
        <f>Saldos_Capital_Mensual!Q196</f>
        <v/>
      </c>
      <c r="AT196" s="29">
        <f>Saldos_Intereses_Mensual!Q196</f>
        <v/>
      </c>
      <c r="AU196" s="29">
        <f>ROUND(AS196 + AT196, 2)</f>
        <v/>
      </c>
      <c r="AV196" s="29">
        <f>Saldo_Residual_Activo!Q196</f>
        <v/>
      </c>
      <c r="AW196" s="29">
        <f>ROUND(AU196 + AV196, 2)</f>
        <v/>
      </c>
      <c r="AX196" s="29">
        <f>Saldos_Capital_Mensual!R196</f>
        <v/>
      </c>
      <c r="AY196" s="29">
        <f>Saldos_Intereses_Mensual!R196</f>
        <v/>
      </c>
      <c r="AZ196" s="29">
        <f>ROUND(AX196 + AY196, 2)</f>
        <v/>
      </c>
      <c r="BA196" s="29">
        <f>Saldo_Residual_Activo!R196</f>
        <v/>
      </c>
      <c r="BB196" s="29">
        <f>ROUND(AZ196 + BA196, 2)</f>
        <v/>
      </c>
      <c r="BC196" s="29">
        <f>Saldos_Capital_Mensual!S196</f>
        <v/>
      </c>
      <c r="BD196" s="29">
        <f>Saldos_Intereses_Mensual!S196</f>
        <v/>
      </c>
      <c r="BE196" s="29">
        <f>ROUND(BC196 + BD196, 2)</f>
        <v/>
      </c>
      <c r="BF196" s="29">
        <f>Saldo_Residual_Activo!S196</f>
        <v/>
      </c>
      <c r="BG196" s="29">
        <f>ROUND(BE196 + BF196, 2)</f>
        <v/>
      </c>
      <c r="BH196" s="29">
        <f>Saldos_Capital_Mensual!T196</f>
        <v/>
      </c>
      <c r="BI196" s="29">
        <f>Saldos_Intereses_Mensual!T196</f>
        <v/>
      </c>
      <c r="BJ196" s="29">
        <f>ROUND(BH196 + BI196, 2)</f>
        <v/>
      </c>
      <c r="BK196" s="29">
        <f>Saldo_Residual_Activo!T196</f>
        <v/>
      </c>
      <c r="BL196" s="29">
        <f>ROUND(BJ196 + BK196, 2)</f>
        <v/>
      </c>
    </row>
    <row r="197">
      <c r="A197" s="20" t="inlineStr">
        <is>
          <t>0716-0001</t>
        </is>
      </c>
      <c r="B197" s="21" t="inlineStr">
        <is>
          <t>Mayoristas Asociados en Servicio Celular SA de CV</t>
        </is>
      </c>
      <c r="C197" s="21" t="inlineStr">
        <is>
          <t>Wrangler Unlimited Rubicon</t>
        </is>
      </c>
      <c r="D197" s="22" t="n">
        <v>24</v>
      </c>
      <c r="E197" s="23">
        <f>Saldos_Capital_Mensual!I197</f>
        <v/>
      </c>
      <c r="F197" s="23">
        <f>Saldos_Intereses_Mensual!I197</f>
        <v/>
      </c>
      <c r="G197" s="23">
        <f>ROUND(E197 + F197, 2)</f>
        <v/>
      </c>
      <c r="H197" s="23">
        <f>Saldo_Residual_Activo!I197</f>
        <v/>
      </c>
      <c r="I197" s="23">
        <f>ROUND(G197 + H197, 2)</f>
        <v/>
      </c>
      <c r="J197" s="23">
        <f>Saldos_Capital_Mensual!J197</f>
        <v/>
      </c>
      <c r="K197" s="23">
        <f>Saldos_Intereses_Mensual!J197</f>
        <v/>
      </c>
      <c r="L197" s="23">
        <f>ROUND(J197 + K197, 2)</f>
        <v/>
      </c>
      <c r="M197" s="23">
        <f>Saldo_Residual_Activo!J197</f>
        <v/>
      </c>
      <c r="N197" s="23">
        <f>ROUND(L197 + M197, 2)</f>
        <v/>
      </c>
      <c r="O197" s="23">
        <f>Saldos_Capital_Mensual!K197</f>
        <v/>
      </c>
      <c r="P197" s="23">
        <f>Saldos_Intereses_Mensual!K197</f>
        <v/>
      </c>
      <c r="Q197" s="23">
        <f>ROUND(O197 + P197, 2)</f>
        <v/>
      </c>
      <c r="R197" s="23">
        <f>Saldo_Residual_Activo!K197</f>
        <v/>
      </c>
      <c r="S197" s="23">
        <f>ROUND(Q197 + R197, 2)</f>
        <v/>
      </c>
      <c r="T197" s="23">
        <f>Saldos_Capital_Mensual!L197</f>
        <v/>
      </c>
      <c r="U197" s="23">
        <f>Saldos_Intereses_Mensual!L197</f>
        <v/>
      </c>
      <c r="V197" s="23">
        <f>ROUND(T197 + U197, 2)</f>
        <v/>
      </c>
      <c r="W197" s="23">
        <f>Saldo_Residual_Activo!L197</f>
        <v/>
      </c>
      <c r="X197" s="23">
        <f>ROUND(V197 + W197, 2)</f>
        <v/>
      </c>
      <c r="Y197" s="23">
        <f>Saldos_Capital_Mensual!M197</f>
        <v/>
      </c>
      <c r="Z197" s="23">
        <f>Saldos_Intereses_Mensual!M197</f>
        <v/>
      </c>
      <c r="AA197" s="23">
        <f>ROUND(Y197 + Z197, 2)</f>
        <v/>
      </c>
      <c r="AB197" s="23">
        <f>Saldo_Residual_Activo!M197</f>
        <v/>
      </c>
      <c r="AC197" s="23">
        <f>ROUND(AA197 + AB197, 2)</f>
        <v/>
      </c>
      <c r="AD197" s="23">
        <f>Saldos_Capital_Mensual!N197</f>
        <v/>
      </c>
      <c r="AE197" s="23">
        <f>Saldos_Intereses_Mensual!N197</f>
        <v/>
      </c>
      <c r="AF197" s="23">
        <f>ROUND(AD197 + AE197, 2)</f>
        <v/>
      </c>
      <c r="AG197" s="23">
        <f>Saldo_Residual_Activo!N197</f>
        <v/>
      </c>
      <c r="AH197" s="23">
        <f>ROUND(AF197 + AG197, 2)</f>
        <v/>
      </c>
      <c r="AI197" s="23">
        <f>Saldos_Capital_Mensual!O197</f>
        <v/>
      </c>
      <c r="AJ197" s="23">
        <f>Saldos_Intereses_Mensual!O197</f>
        <v/>
      </c>
      <c r="AK197" s="23">
        <f>ROUND(AI197 + AJ197, 2)</f>
        <v/>
      </c>
      <c r="AL197" s="23">
        <f>Saldo_Residual_Activo!O197</f>
        <v/>
      </c>
      <c r="AM197" s="23">
        <f>ROUND(AK197 + AL197, 2)</f>
        <v/>
      </c>
      <c r="AN197" s="23">
        <f>Saldos_Capital_Mensual!P197</f>
        <v/>
      </c>
      <c r="AO197" s="23">
        <f>Saldos_Intereses_Mensual!P197</f>
        <v/>
      </c>
      <c r="AP197" s="23">
        <f>ROUND(AN197 + AO197, 2)</f>
        <v/>
      </c>
      <c r="AQ197" s="23">
        <f>Saldo_Residual_Activo!P197</f>
        <v/>
      </c>
      <c r="AR197" s="23">
        <f>ROUND(AP197 + AQ197, 2)</f>
        <v/>
      </c>
      <c r="AS197" s="23">
        <f>Saldos_Capital_Mensual!Q197</f>
        <v/>
      </c>
      <c r="AT197" s="23">
        <f>Saldos_Intereses_Mensual!Q197</f>
        <v/>
      </c>
      <c r="AU197" s="23">
        <f>ROUND(AS197 + AT197, 2)</f>
        <v/>
      </c>
      <c r="AV197" s="23">
        <f>Saldo_Residual_Activo!Q197</f>
        <v/>
      </c>
      <c r="AW197" s="23">
        <f>ROUND(AU197 + AV197, 2)</f>
        <v/>
      </c>
      <c r="AX197" s="23">
        <f>Saldos_Capital_Mensual!R197</f>
        <v/>
      </c>
      <c r="AY197" s="23">
        <f>Saldos_Intereses_Mensual!R197</f>
        <v/>
      </c>
      <c r="AZ197" s="23">
        <f>ROUND(AX197 + AY197, 2)</f>
        <v/>
      </c>
      <c r="BA197" s="23">
        <f>Saldo_Residual_Activo!R197</f>
        <v/>
      </c>
      <c r="BB197" s="23">
        <f>ROUND(AZ197 + BA197, 2)</f>
        <v/>
      </c>
      <c r="BC197" s="23">
        <f>Saldos_Capital_Mensual!S197</f>
        <v/>
      </c>
      <c r="BD197" s="23">
        <f>Saldos_Intereses_Mensual!S197</f>
        <v/>
      </c>
      <c r="BE197" s="23">
        <f>ROUND(BC197 + BD197, 2)</f>
        <v/>
      </c>
      <c r="BF197" s="23">
        <f>Saldo_Residual_Activo!S197</f>
        <v/>
      </c>
      <c r="BG197" s="23">
        <f>ROUND(BE197 + BF197, 2)</f>
        <v/>
      </c>
      <c r="BH197" s="23">
        <f>Saldos_Capital_Mensual!T197</f>
        <v/>
      </c>
      <c r="BI197" s="23">
        <f>Saldos_Intereses_Mensual!T197</f>
        <v/>
      </c>
      <c r="BJ197" s="23">
        <f>ROUND(BH197 + BI197, 2)</f>
        <v/>
      </c>
      <c r="BK197" s="23">
        <f>Saldo_Residual_Activo!T197</f>
        <v/>
      </c>
      <c r="BL197" s="23">
        <f>ROUND(BJ197 + BK197, 2)</f>
        <v/>
      </c>
    </row>
    <row r="198">
      <c r="A198" s="26" t="inlineStr">
        <is>
          <t>0716-0002</t>
        </is>
      </c>
      <c r="B198" s="27" t="inlineStr">
        <is>
          <t>Mayoristas Asociados en Servicio Celular SA de CV</t>
        </is>
      </c>
      <c r="C198" s="27" t="inlineStr">
        <is>
          <t>EX30</t>
        </is>
      </c>
      <c r="D198" s="28" t="n">
        <v>24</v>
      </c>
      <c r="E198" s="29">
        <f>Saldos_Capital_Mensual!I198</f>
        <v/>
      </c>
      <c r="F198" s="29">
        <f>Saldos_Intereses_Mensual!I198</f>
        <v/>
      </c>
      <c r="G198" s="29">
        <f>ROUND(E198 + F198, 2)</f>
        <v/>
      </c>
      <c r="H198" s="29">
        <f>Saldo_Residual_Activo!I198</f>
        <v/>
      </c>
      <c r="I198" s="29">
        <f>ROUND(G198 + H198, 2)</f>
        <v/>
      </c>
      <c r="J198" s="29">
        <f>Saldos_Capital_Mensual!J198</f>
        <v/>
      </c>
      <c r="K198" s="29">
        <f>Saldos_Intereses_Mensual!J198</f>
        <v/>
      </c>
      <c r="L198" s="29">
        <f>ROUND(J198 + K198, 2)</f>
        <v/>
      </c>
      <c r="M198" s="29">
        <f>Saldo_Residual_Activo!J198</f>
        <v/>
      </c>
      <c r="N198" s="29">
        <f>ROUND(L198 + M198, 2)</f>
        <v/>
      </c>
      <c r="O198" s="29">
        <f>Saldos_Capital_Mensual!K198</f>
        <v/>
      </c>
      <c r="P198" s="29">
        <f>Saldos_Intereses_Mensual!K198</f>
        <v/>
      </c>
      <c r="Q198" s="29">
        <f>ROUND(O198 + P198, 2)</f>
        <v/>
      </c>
      <c r="R198" s="29">
        <f>Saldo_Residual_Activo!K198</f>
        <v/>
      </c>
      <c r="S198" s="29">
        <f>ROUND(Q198 + R198, 2)</f>
        <v/>
      </c>
      <c r="T198" s="29">
        <f>Saldos_Capital_Mensual!L198</f>
        <v/>
      </c>
      <c r="U198" s="29">
        <f>Saldos_Intereses_Mensual!L198</f>
        <v/>
      </c>
      <c r="V198" s="29">
        <f>ROUND(T198 + U198, 2)</f>
        <v/>
      </c>
      <c r="W198" s="29">
        <f>Saldo_Residual_Activo!L198</f>
        <v/>
      </c>
      <c r="X198" s="29">
        <f>ROUND(V198 + W198, 2)</f>
        <v/>
      </c>
      <c r="Y198" s="29">
        <f>Saldos_Capital_Mensual!M198</f>
        <v/>
      </c>
      <c r="Z198" s="29">
        <f>Saldos_Intereses_Mensual!M198</f>
        <v/>
      </c>
      <c r="AA198" s="29">
        <f>ROUND(Y198 + Z198, 2)</f>
        <v/>
      </c>
      <c r="AB198" s="29">
        <f>Saldo_Residual_Activo!M198</f>
        <v/>
      </c>
      <c r="AC198" s="29">
        <f>ROUND(AA198 + AB198, 2)</f>
        <v/>
      </c>
      <c r="AD198" s="29">
        <f>Saldos_Capital_Mensual!N198</f>
        <v/>
      </c>
      <c r="AE198" s="29">
        <f>Saldos_Intereses_Mensual!N198</f>
        <v/>
      </c>
      <c r="AF198" s="29">
        <f>ROUND(AD198 + AE198, 2)</f>
        <v/>
      </c>
      <c r="AG198" s="29">
        <f>Saldo_Residual_Activo!N198</f>
        <v/>
      </c>
      <c r="AH198" s="29">
        <f>ROUND(AF198 + AG198, 2)</f>
        <v/>
      </c>
      <c r="AI198" s="29">
        <f>Saldos_Capital_Mensual!O198</f>
        <v/>
      </c>
      <c r="AJ198" s="29">
        <f>Saldos_Intereses_Mensual!O198</f>
        <v/>
      </c>
      <c r="AK198" s="29">
        <f>ROUND(AI198 + AJ198, 2)</f>
        <v/>
      </c>
      <c r="AL198" s="29">
        <f>Saldo_Residual_Activo!O198</f>
        <v/>
      </c>
      <c r="AM198" s="29">
        <f>ROUND(AK198 + AL198, 2)</f>
        <v/>
      </c>
      <c r="AN198" s="29">
        <f>Saldos_Capital_Mensual!P198</f>
        <v/>
      </c>
      <c r="AO198" s="29">
        <f>Saldos_Intereses_Mensual!P198</f>
        <v/>
      </c>
      <c r="AP198" s="29">
        <f>ROUND(AN198 + AO198, 2)</f>
        <v/>
      </c>
      <c r="AQ198" s="29">
        <f>Saldo_Residual_Activo!P198</f>
        <v/>
      </c>
      <c r="AR198" s="29">
        <f>ROUND(AP198 + AQ198, 2)</f>
        <v/>
      </c>
      <c r="AS198" s="29">
        <f>Saldos_Capital_Mensual!Q198</f>
        <v/>
      </c>
      <c r="AT198" s="29">
        <f>Saldos_Intereses_Mensual!Q198</f>
        <v/>
      </c>
      <c r="AU198" s="29">
        <f>ROUND(AS198 + AT198, 2)</f>
        <v/>
      </c>
      <c r="AV198" s="29">
        <f>Saldo_Residual_Activo!Q198</f>
        <v/>
      </c>
      <c r="AW198" s="29">
        <f>ROUND(AU198 + AV198, 2)</f>
        <v/>
      </c>
      <c r="AX198" s="29">
        <f>Saldos_Capital_Mensual!R198</f>
        <v/>
      </c>
      <c r="AY198" s="29">
        <f>Saldos_Intereses_Mensual!R198</f>
        <v/>
      </c>
      <c r="AZ198" s="29">
        <f>ROUND(AX198 + AY198, 2)</f>
        <v/>
      </c>
      <c r="BA198" s="29">
        <f>Saldo_Residual_Activo!R198</f>
        <v/>
      </c>
      <c r="BB198" s="29">
        <f>ROUND(AZ198 + BA198, 2)</f>
        <v/>
      </c>
      <c r="BC198" s="29">
        <f>Saldos_Capital_Mensual!S198</f>
        <v/>
      </c>
      <c r="BD198" s="29">
        <f>Saldos_Intereses_Mensual!S198</f>
        <v/>
      </c>
      <c r="BE198" s="29">
        <f>ROUND(BC198 + BD198, 2)</f>
        <v/>
      </c>
      <c r="BF198" s="29">
        <f>Saldo_Residual_Activo!S198</f>
        <v/>
      </c>
      <c r="BG198" s="29">
        <f>ROUND(BE198 + BF198, 2)</f>
        <v/>
      </c>
      <c r="BH198" s="29">
        <f>Saldos_Capital_Mensual!T198</f>
        <v/>
      </c>
      <c r="BI198" s="29">
        <f>Saldos_Intereses_Mensual!T198</f>
        <v/>
      </c>
      <c r="BJ198" s="29">
        <f>ROUND(BH198 + BI198, 2)</f>
        <v/>
      </c>
      <c r="BK198" s="29">
        <f>Saldo_Residual_Activo!T198</f>
        <v/>
      </c>
      <c r="BL198" s="29">
        <f>ROUND(BJ198 + BK198, 2)</f>
        <v/>
      </c>
    </row>
    <row r="199">
      <c r="A199" s="20" t="inlineStr">
        <is>
          <t>0716-0003</t>
        </is>
      </c>
      <c r="B199" s="21" t="inlineStr">
        <is>
          <t>Mayoristas Asociados en Servicio Celular SA de CV</t>
        </is>
      </c>
      <c r="C199" s="21" t="inlineStr">
        <is>
          <t>Bronco</t>
        </is>
      </c>
      <c r="D199" s="22" t="n">
        <v>24</v>
      </c>
      <c r="E199" s="23">
        <f>Saldos_Capital_Mensual!I199</f>
        <v/>
      </c>
      <c r="F199" s="23">
        <f>Saldos_Intereses_Mensual!I199</f>
        <v/>
      </c>
      <c r="G199" s="23">
        <f>ROUND(E199 + F199, 2)</f>
        <v/>
      </c>
      <c r="H199" s="23">
        <f>Saldo_Residual_Activo!I199</f>
        <v/>
      </c>
      <c r="I199" s="23">
        <f>ROUND(G199 + H199, 2)</f>
        <v/>
      </c>
      <c r="J199" s="23">
        <f>Saldos_Capital_Mensual!J199</f>
        <v/>
      </c>
      <c r="K199" s="23">
        <f>Saldos_Intereses_Mensual!J199</f>
        <v/>
      </c>
      <c r="L199" s="23">
        <f>ROUND(J199 + K199, 2)</f>
        <v/>
      </c>
      <c r="M199" s="23">
        <f>Saldo_Residual_Activo!J199</f>
        <v/>
      </c>
      <c r="N199" s="23">
        <f>ROUND(L199 + M199, 2)</f>
        <v/>
      </c>
      <c r="O199" s="23">
        <f>Saldos_Capital_Mensual!K199</f>
        <v/>
      </c>
      <c r="P199" s="23">
        <f>Saldos_Intereses_Mensual!K199</f>
        <v/>
      </c>
      <c r="Q199" s="23">
        <f>ROUND(O199 + P199, 2)</f>
        <v/>
      </c>
      <c r="R199" s="23">
        <f>Saldo_Residual_Activo!K199</f>
        <v/>
      </c>
      <c r="S199" s="23">
        <f>ROUND(Q199 + R199, 2)</f>
        <v/>
      </c>
      <c r="T199" s="23">
        <f>Saldos_Capital_Mensual!L199</f>
        <v/>
      </c>
      <c r="U199" s="23">
        <f>Saldos_Intereses_Mensual!L199</f>
        <v/>
      </c>
      <c r="V199" s="23">
        <f>ROUND(T199 + U199, 2)</f>
        <v/>
      </c>
      <c r="W199" s="23">
        <f>Saldo_Residual_Activo!L199</f>
        <v/>
      </c>
      <c r="X199" s="23">
        <f>ROUND(V199 + W199, 2)</f>
        <v/>
      </c>
      <c r="Y199" s="23">
        <f>Saldos_Capital_Mensual!M199</f>
        <v/>
      </c>
      <c r="Z199" s="23">
        <f>Saldos_Intereses_Mensual!M199</f>
        <v/>
      </c>
      <c r="AA199" s="23">
        <f>ROUND(Y199 + Z199, 2)</f>
        <v/>
      </c>
      <c r="AB199" s="23">
        <f>Saldo_Residual_Activo!M199</f>
        <v/>
      </c>
      <c r="AC199" s="23">
        <f>ROUND(AA199 + AB199, 2)</f>
        <v/>
      </c>
      <c r="AD199" s="23">
        <f>Saldos_Capital_Mensual!N199</f>
        <v/>
      </c>
      <c r="AE199" s="23">
        <f>Saldos_Intereses_Mensual!N199</f>
        <v/>
      </c>
      <c r="AF199" s="23">
        <f>ROUND(AD199 + AE199, 2)</f>
        <v/>
      </c>
      <c r="AG199" s="23">
        <f>Saldo_Residual_Activo!N199</f>
        <v/>
      </c>
      <c r="AH199" s="23">
        <f>ROUND(AF199 + AG199, 2)</f>
        <v/>
      </c>
      <c r="AI199" s="23">
        <f>Saldos_Capital_Mensual!O199</f>
        <v/>
      </c>
      <c r="AJ199" s="23">
        <f>Saldos_Intereses_Mensual!O199</f>
        <v/>
      </c>
      <c r="AK199" s="23">
        <f>ROUND(AI199 + AJ199, 2)</f>
        <v/>
      </c>
      <c r="AL199" s="23">
        <f>Saldo_Residual_Activo!O199</f>
        <v/>
      </c>
      <c r="AM199" s="23">
        <f>ROUND(AK199 + AL199, 2)</f>
        <v/>
      </c>
      <c r="AN199" s="23">
        <f>Saldos_Capital_Mensual!P199</f>
        <v/>
      </c>
      <c r="AO199" s="23">
        <f>Saldos_Intereses_Mensual!P199</f>
        <v/>
      </c>
      <c r="AP199" s="23">
        <f>ROUND(AN199 + AO199, 2)</f>
        <v/>
      </c>
      <c r="AQ199" s="23">
        <f>Saldo_Residual_Activo!P199</f>
        <v/>
      </c>
      <c r="AR199" s="23">
        <f>ROUND(AP199 + AQ199, 2)</f>
        <v/>
      </c>
      <c r="AS199" s="23">
        <f>Saldos_Capital_Mensual!Q199</f>
        <v/>
      </c>
      <c r="AT199" s="23">
        <f>Saldos_Intereses_Mensual!Q199</f>
        <v/>
      </c>
      <c r="AU199" s="23">
        <f>ROUND(AS199 + AT199, 2)</f>
        <v/>
      </c>
      <c r="AV199" s="23">
        <f>Saldo_Residual_Activo!Q199</f>
        <v/>
      </c>
      <c r="AW199" s="23">
        <f>ROUND(AU199 + AV199, 2)</f>
        <v/>
      </c>
      <c r="AX199" s="23">
        <f>Saldos_Capital_Mensual!R199</f>
        <v/>
      </c>
      <c r="AY199" s="23">
        <f>Saldos_Intereses_Mensual!R199</f>
        <v/>
      </c>
      <c r="AZ199" s="23">
        <f>ROUND(AX199 + AY199, 2)</f>
        <v/>
      </c>
      <c r="BA199" s="23">
        <f>Saldo_Residual_Activo!R199</f>
        <v/>
      </c>
      <c r="BB199" s="23">
        <f>ROUND(AZ199 + BA199, 2)</f>
        <v/>
      </c>
      <c r="BC199" s="23">
        <f>Saldos_Capital_Mensual!S199</f>
        <v/>
      </c>
      <c r="BD199" s="23">
        <f>Saldos_Intereses_Mensual!S199</f>
        <v/>
      </c>
      <c r="BE199" s="23">
        <f>ROUND(BC199 + BD199, 2)</f>
        <v/>
      </c>
      <c r="BF199" s="23">
        <f>Saldo_Residual_Activo!S199</f>
        <v/>
      </c>
      <c r="BG199" s="23">
        <f>ROUND(BE199 + BF199, 2)</f>
        <v/>
      </c>
      <c r="BH199" s="23">
        <f>Saldos_Capital_Mensual!T199</f>
        <v/>
      </c>
      <c r="BI199" s="23">
        <f>Saldos_Intereses_Mensual!T199</f>
        <v/>
      </c>
      <c r="BJ199" s="23">
        <f>ROUND(BH199 + BI199, 2)</f>
        <v/>
      </c>
      <c r="BK199" s="23">
        <f>Saldo_Residual_Activo!T199</f>
        <v/>
      </c>
      <c r="BL199" s="23">
        <f>ROUND(BJ199 + BK199, 2)</f>
        <v/>
      </c>
    </row>
    <row r="200">
      <c r="A200" s="26" t="inlineStr">
        <is>
          <t>0717-0001</t>
        </is>
      </c>
      <c r="B200" s="27" t="inlineStr">
        <is>
          <t>Refaccionaria San Diego SA de CV</t>
        </is>
      </c>
      <c r="C200" s="27" t="inlineStr">
        <is>
          <t>Partner Rapid</t>
        </is>
      </c>
      <c r="D200" s="28" t="n">
        <v>48</v>
      </c>
      <c r="E200" s="29">
        <f>Saldos_Capital_Mensual!I200</f>
        <v/>
      </c>
      <c r="F200" s="29">
        <f>Saldos_Intereses_Mensual!I200</f>
        <v/>
      </c>
      <c r="G200" s="29">
        <f>ROUND(E200 + F200, 2)</f>
        <v/>
      </c>
      <c r="H200" s="29">
        <f>Saldo_Residual_Activo!I200</f>
        <v/>
      </c>
      <c r="I200" s="29">
        <f>ROUND(G200 + H200, 2)</f>
        <v/>
      </c>
      <c r="J200" s="29">
        <f>Saldos_Capital_Mensual!J200</f>
        <v/>
      </c>
      <c r="K200" s="29">
        <f>Saldos_Intereses_Mensual!J200</f>
        <v/>
      </c>
      <c r="L200" s="29">
        <f>ROUND(J200 + K200, 2)</f>
        <v/>
      </c>
      <c r="M200" s="29">
        <f>Saldo_Residual_Activo!J200</f>
        <v/>
      </c>
      <c r="N200" s="29">
        <f>ROUND(L200 + M200, 2)</f>
        <v/>
      </c>
      <c r="O200" s="29">
        <f>Saldos_Capital_Mensual!K200</f>
        <v/>
      </c>
      <c r="P200" s="29">
        <f>Saldos_Intereses_Mensual!K200</f>
        <v/>
      </c>
      <c r="Q200" s="29">
        <f>ROUND(O200 + P200, 2)</f>
        <v/>
      </c>
      <c r="R200" s="29">
        <f>Saldo_Residual_Activo!K200</f>
        <v/>
      </c>
      <c r="S200" s="29">
        <f>ROUND(Q200 + R200, 2)</f>
        <v/>
      </c>
      <c r="T200" s="29">
        <f>Saldos_Capital_Mensual!L200</f>
        <v/>
      </c>
      <c r="U200" s="29">
        <f>Saldos_Intereses_Mensual!L200</f>
        <v/>
      </c>
      <c r="V200" s="29">
        <f>ROUND(T200 + U200, 2)</f>
        <v/>
      </c>
      <c r="W200" s="29">
        <f>Saldo_Residual_Activo!L200</f>
        <v/>
      </c>
      <c r="X200" s="29">
        <f>ROUND(V200 + W200, 2)</f>
        <v/>
      </c>
      <c r="Y200" s="29">
        <f>Saldos_Capital_Mensual!M200</f>
        <v/>
      </c>
      <c r="Z200" s="29">
        <f>Saldos_Intereses_Mensual!M200</f>
        <v/>
      </c>
      <c r="AA200" s="29">
        <f>ROUND(Y200 + Z200, 2)</f>
        <v/>
      </c>
      <c r="AB200" s="29">
        <f>Saldo_Residual_Activo!M200</f>
        <v/>
      </c>
      <c r="AC200" s="29">
        <f>ROUND(AA200 + AB200, 2)</f>
        <v/>
      </c>
      <c r="AD200" s="29">
        <f>Saldos_Capital_Mensual!N200</f>
        <v/>
      </c>
      <c r="AE200" s="29">
        <f>Saldos_Intereses_Mensual!N200</f>
        <v/>
      </c>
      <c r="AF200" s="29">
        <f>ROUND(AD200 + AE200, 2)</f>
        <v/>
      </c>
      <c r="AG200" s="29">
        <f>Saldo_Residual_Activo!N200</f>
        <v/>
      </c>
      <c r="AH200" s="29">
        <f>ROUND(AF200 + AG200, 2)</f>
        <v/>
      </c>
      <c r="AI200" s="29">
        <f>Saldos_Capital_Mensual!O200</f>
        <v/>
      </c>
      <c r="AJ200" s="29">
        <f>Saldos_Intereses_Mensual!O200</f>
        <v/>
      </c>
      <c r="AK200" s="29">
        <f>ROUND(AI200 + AJ200, 2)</f>
        <v/>
      </c>
      <c r="AL200" s="29">
        <f>Saldo_Residual_Activo!O200</f>
        <v/>
      </c>
      <c r="AM200" s="29">
        <f>ROUND(AK200 + AL200, 2)</f>
        <v/>
      </c>
      <c r="AN200" s="29">
        <f>Saldos_Capital_Mensual!P200</f>
        <v/>
      </c>
      <c r="AO200" s="29">
        <f>Saldos_Intereses_Mensual!P200</f>
        <v/>
      </c>
      <c r="AP200" s="29">
        <f>ROUND(AN200 + AO200, 2)</f>
        <v/>
      </c>
      <c r="AQ200" s="29">
        <f>Saldo_Residual_Activo!P200</f>
        <v/>
      </c>
      <c r="AR200" s="29">
        <f>ROUND(AP200 + AQ200, 2)</f>
        <v/>
      </c>
      <c r="AS200" s="29">
        <f>Saldos_Capital_Mensual!Q200</f>
        <v/>
      </c>
      <c r="AT200" s="29">
        <f>Saldos_Intereses_Mensual!Q200</f>
        <v/>
      </c>
      <c r="AU200" s="29">
        <f>ROUND(AS200 + AT200, 2)</f>
        <v/>
      </c>
      <c r="AV200" s="29">
        <f>Saldo_Residual_Activo!Q200</f>
        <v/>
      </c>
      <c r="AW200" s="29">
        <f>ROUND(AU200 + AV200, 2)</f>
        <v/>
      </c>
      <c r="AX200" s="29">
        <f>Saldos_Capital_Mensual!R200</f>
        <v/>
      </c>
      <c r="AY200" s="29">
        <f>Saldos_Intereses_Mensual!R200</f>
        <v/>
      </c>
      <c r="AZ200" s="29">
        <f>ROUND(AX200 + AY200, 2)</f>
        <v/>
      </c>
      <c r="BA200" s="29">
        <f>Saldo_Residual_Activo!R200</f>
        <v/>
      </c>
      <c r="BB200" s="29">
        <f>ROUND(AZ200 + BA200, 2)</f>
        <v/>
      </c>
      <c r="BC200" s="29">
        <f>Saldos_Capital_Mensual!S200</f>
        <v/>
      </c>
      <c r="BD200" s="29">
        <f>Saldos_Intereses_Mensual!S200</f>
        <v/>
      </c>
      <c r="BE200" s="29">
        <f>ROUND(BC200 + BD200, 2)</f>
        <v/>
      </c>
      <c r="BF200" s="29">
        <f>Saldo_Residual_Activo!S200</f>
        <v/>
      </c>
      <c r="BG200" s="29">
        <f>ROUND(BE200 + BF200, 2)</f>
        <v/>
      </c>
      <c r="BH200" s="29">
        <f>Saldos_Capital_Mensual!T200</f>
        <v/>
      </c>
      <c r="BI200" s="29">
        <f>Saldos_Intereses_Mensual!T200</f>
        <v/>
      </c>
      <c r="BJ200" s="29">
        <f>ROUND(BH200 + BI200, 2)</f>
        <v/>
      </c>
      <c r="BK200" s="29">
        <f>Saldo_Residual_Activo!T200</f>
        <v/>
      </c>
      <c r="BL200" s="29">
        <f>ROUND(BJ200 + BK200, 2)</f>
        <v/>
      </c>
    </row>
    <row r="201">
      <c r="A201" s="20" t="inlineStr">
        <is>
          <t>0718-0001</t>
        </is>
      </c>
      <c r="B201" s="21" t="inlineStr">
        <is>
          <t>Capriberrys</t>
        </is>
      </c>
      <c r="C201" s="21" t="inlineStr">
        <is>
          <t>Jt Mojave</t>
        </is>
      </c>
      <c r="D201" s="22" t="n">
        <v>24</v>
      </c>
      <c r="E201" s="23">
        <f>Saldos_Capital_Mensual!I201</f>
        <v/>
      </c>
      <c r="F201" s="23">
        <f>Saldos_Intereses_Mensual!I201</f>
        <v/>
      </c>
      <c r="G201" s="23">
        <f>ROUND(E201 + F201, 2)</f>
        <v/>
      </c>
      <c r="H201" s="23">
        <f>Saldo_Residual_Activo!I201</f>
        <v/>
      </c>
      <c r="I201" s="23">
        <f>ROUND(G201 + H201, 2)</f>
        <v/>
      </c>
      <c r="J201" s="23">
        <f>Saldos_Capital_Mensual!J201</f>
        <v/>
      </c>
      <c r="K201" s="23">
        <f>Saldos_Intereses_Mensual!J201</f>
        <v/>
      </c>
      <c r="L201" s="23">
        <f>ROUND(J201 + K201, 2)</f>
        <v/>
      </c>
      <c r="M201" s="23">
        <f>Saldo_Residual_Activo!J201</f>
        <v/>
      </c>
      <c r="N201" s="23">
        <f>ROUND(L201 + M201, 2)</f>
        <v/>
      </c>
      <c r="O201" s="23">
        <f>Saldos_Capital_Mensual!K201</f>
        <v/>
      </c>
      <c r="P201" s="23">
        <f>Saldos_Intereses_Mensual!K201</f>
        <v/>
      </c>
      <c r="Q201" s="23">
        <f>ROUND(O201 + P201, 2)</f>
        <v/>
      </c>
      <c r="R201" s="23">
        <f>Saldo_Residual_Activo!K201</f>
        <v/>
      </c>
      <c r="S201" s="23">
        <f>ROUND(Q201 + R201, 2)</f>
        <v/>
      </c>
      <c r="T201" s="23">
        <f>Saldos_Capital_Mensual!L201</f>
        <v/>
      </c>
      <c r="U201" s="23">
        <f>Saldos_Intereses_Mensual!L201</f>
        <v/>
      </c>
      <c r="V201" s="23">
        <f>ROUND(T201 + U201, 2)</f>
        <v/>
      </c>
      <c r="W201" s="23">
        <f>Saldo_Residual_Activo!L201</f>
        <v/>
      </c>
      <c r="X201" s="23">
        <f>ROUND(V201 + W201, 2)</f>
        <v/>
      </c>
      <c r="Y201" s="23">
        <f>Saldos_Capital_Mensual!M201</f>
        <v/>
      </c>
      <c r="Z201" s="23">
        <f>Saldos_Intereses_Mensual!M201</f>
        <v/>
      </c>
      <c r="AA201" s="23">
        <f>ROUND(Y201 + Z201, 2)</f>
        <v/>
      </c>
      <c r="AB201" s="23">
        <f>Saldo_Residual_Activo!M201</f>
        <v/>
      </c>
      <c r="AC201" s="23">
        <f>ROUND(AA201 + AB201, 2)</f>
        <v/>
      </c>
      <c r="AD201" s="23">
        <f>Saldos_Capital_Mensual!N201</f>
        <v/>
      </c>
      <c r="AE201" s="23">
        <f>Saldos_Intereses_Mensual!N201</f>
        <v/>
      </c>
      <c r="AF201" s="23">
        <f>ROUND(AD201 + AE201, 2)</f>
        <v/>
      </c>
      <c r="AG201" s="23">
        <f>Saldo_Residual_Activo!N201</f>
        <v/>
      </c>
      <c r="AH201" s="23">
        <f>ROUND(AF201 + AG201, 2)</f>
        <v/>
      </c>
      <c r="AI201" s="23">
        <f>Saldos_Capital_Mensual!O201</f>
        <v/>
      </c>
      <c r="AJ201" s="23">
        <f>Saldos_Intereses_Mensual!O201</f>
        <v/>
      </c>
      <c r="AK201" s="23">
        <f>ROUND(AI201 + AJ201, 2)</f>
        <v/>
      </c>
      <c r="AL201" s="23">
        <f>Saldo_Residual_Activo!O201</f>
        <v/>
      </c>
      <c r="AM201" s="23">
        <f>ROUND(AK201 + AL201, 2)</f>
        <v/>
      </c>
      <c r="AN201" s="23">
        <f>Saldos_Capital_Mensual!P201</f>
        <v/>
      </c>
      <c r="AO201" s="23">
        <f>Saldos_Intereses_Mensual!P201</f>
        <v/>
      </c>
      <c r="AP201" s="23">
        <f>ROUND(AN201 + AO201, 2)</f>
        <v/>
      </c>
      <c r="AQ201" s="23">
        <f>Saldo_Residual_Activo!P201</f>
        <v/>
      </c>
      <c r="AR201" s="23">
        <f>ROUND(AP201 + AQ201, 2)</f>
        <v/>
      </c>
      <c r="AS201" s="23">
        <f>Saldos_Capital_Mensual!Q201</f>
        <v/>
      </c>
      <c r="AT201" s="23">
        <f>Saldos_Intereses_Mensual!Q201</f>
        <v/>
      </c>
      <c r="AU201" s="23">
        <f>ROUND(AS201 + AT201, 2)</f>
        <v/>
      </c>
      <c r="AV201" s="23">
        <f>Saldo_Residual_Activo!Q201</f>
        <v/>
      </c>
      <c r="AW201" s="23">
        <f>ROUND(AU201 + AV201, 2)</f>
        <v/>
      </c>
      <c r="AX201" s="23">
        <f>Saldos_Capital_Mensual!R201</f>
        <v/>
      </c>
      <c r="AY201" s="23">
        <f>Saldos_Intereses_Mensual!R201</f>
        <v/>
      </c>
      <c r="AZ201" s="23">
        <f>ROUND(AX201 + AY201, 2)</f>
        <v/>
      </c>
      <c r="BA201" s="23">
        <f>Saldo_Residual_Activo!R201</f>
        <v/>
      </c>
      <c r="BB201" s="23">
        <f>ROUND(AZ201 + BA201, 2)</f>
        <v/>
      </c>
      <c r="BC201" s="23">
        <f>Saldos_Capital_Mensual!S201</f>
        <v/>
      </c>
      <c r="BD201" s="23">
        <f>Saldos_Intereses_Mensual!S201</f>
        <v/>
      </c>
      <c r="BE201" s="23">
        <f>ROUND(BC201 + BD201, 2)</f>
        <v/>
      </c>
      <c r="BF201" s="23">
        <f>Saldo_Residual_Activo!S201</f>
        <v/>
      </c>
      <c r="BG201" s="23">
        <f>ROUND(BE201 + BF201, 2)</f>
        <v/>
      </c>
      <c r="BH201" s="23">
        <f>Saldos_Capital_Mensual!T201</f>
        <v/>
      </c>
      <c r="BI201" s="23">
        <f>Saldos_Intereses_Mensual!T201</f>
        <v/>
      </c>
      <c r="BJ201" s="23">
        <f>ROUND(BH201 + BI201, 2)</f>
        <v/>
      </c>
      <c r="BK201" s="23">
        <f>Saldo_Residual_Activo!T201</f>
        <v/>
      </c>
      <c r="BL201" s="23">
        <f>ROUND(BJ201 + BK201, 2)</f>
        <v/>
      </c>
    </row>
    <row r="202">
      <c r="A202" s="26" t="inlineStr">
        <is>
          <t>0719-0001</t>
        </is>
      </c>
      <c r="B202" s="27" t="inlineStr">
        <is>
          <t>Maria de Los Angeles Lopez Janeiro</t>
        </is>
      </c>
      <c r="C202" s="27" t="inlineStr">
        <is>
          <t>Rifter</t>
        </is>
      </c>
      <c r="D202" s="28" t="n">
        <v>36</v>
      </c>
      <c r="E202" s="29">
        <f>Saldos_Capital_Mensual!I202</f>
        <v/>
      </c>
      <c r="F202" s="29">
        <f>Saldos_Intereses_Mensual!I202</f>
        <v/>
      </c>
      <c r="G202" s="29">
        <f>ROUND(E202 + F202, 2)</f>
        <v/>
      </c>
      <c r="H202" s="29">
        <f>Saldo_Residual_Activo!I202</f>
        <v/>
      </c>
      <c r="I202" s="29">
        <f>ROUND(G202 + H202, 2)</f>
        <v/>
      </c>
      <c r="J202" s="29">
        <f>Saldos_Capital_Mensual!J202</f>
        <v/>
      </c>
      <c r="K202" s="29">
        <f>Saldos_Intereses_Mensual!J202</f>
        <v/>
      </c>
      <c r="L202" s="29">
        <f>ROUND(J202 + K202, 2)</f>
        <v/>
      </c>
      <c r="M202" s="29">
        <f>Saldo_Residual_Activo!J202</f>
        <v/>
      </c>
      <c r="N202" s="29">
        <f>ROUND(L202 + M202, 2)</f>
        <v/>
      </c>
      <c r="O202" s="29">
        <f>Saldos_Capital_Mensual!K202</f>
        <v/>
      </c>
      <c r="P202" s="29">
        <f>Saldos_Intereses_Mensual!K202</f>
        <v/>
      </c>
      <c r="Q202" s="29">
        <f>ROUND(O202 + P202, 2)</f>
        <v/>
      </c>
      <c r="R202" s="29">
        <f>Saldo_Residual_Activo!K202</f>
        <v/>
      </c>
      <c r="S202" s="29">
        <f>ROUND(Q202 + R202, 2)</f>
        <v/>
      </c>
      <c r="T202" s="29">
        <f>Saldos_Capital_Mensual!L202</f>
        <v/>
      </c>
      <c r="U202" s="29">
        <f>Saldos_Intereses_Mensual!L202</f>
        <v/>
      </c>
      <c r="V202" s="29">
        <f>ROUND(T202 + U202, 2)</f>
        <v/>
      </c>
      <c r="W202" s="29">
        <f>Saldo_Residual_Activo!L202</f>
        <v/>
      </c>
      <c r="X202" s="29">
        <f>ROUND(V202 + W202, 2)</f>
        <v/>
      </c>
      <c r="Y202" s="29">
        <f>Saldos_Capital_Mensual!M202</f>
        <v/>
      </c>
      <c r="Z202" s="29">
        <f>Saldos_Intereses_Mensual!M202</f>
        <v/>
      </c>
      <c r="AA202" s="29">
        <f>ROUND(Y202 + Z202, 2)</f>
        <v/>
      </c>
      <c r="AB202" s="29">
        <f>Saldo_Residual_Activo!M202</f>
        <v/>
      </c>
      <c r="AC202" s="29">
        <f>ROUND(AA202 + AB202, 2)</f>
        <v/>
      </c>
      <c r="AD202" s="29">
        <f>Saldos_Capital_Mensual!N202</f>
        <v/>
      </c>
      <c r="AE202" s="29">
        <f>Saldos_Intereses_Mensual!N202</f>
        <v/>
      </c>
      <c r="AF202" s="29">
        <f>ROUND(AD202 + AE202, 2)</f>
        <v/>
      </c>
      <c r="AG202" s="29">
        <f>Saldo_Residual_Activo!N202</f>
        <v/>
      </c>
      <c r="AH202" s="29">
        <f>ROUND(AF202 + AG202, 2)</f>
        <v/>
      </c>
      <c r="AI202" s="29">
        <f>Saldos_Capital_Mensual!O202</f>
        <v/>
      </c>
      <c r="AJ202" s="29">
        <f>Saldos_Intereses_Mensual!O202</f>
        <v/>
      </c>
      <c r="AK202" s="29">
        <f>ROUND(AI202 + AJ202, 2)</f>
        <v/>
      </c>
      <c r="AL202" s="29">
        <f>Saldo_Residual_Activo!O202</f>
        <v/>
      </c>
      <c r="AM202" s="29">
        <f>ROUND(AK202 + AL202, 2)</f>
        <v/>
      </c>
      <c r="AN202" s="29">
        <f>Saldos_Capital_Mensual!P202</f>
        <v/>
      </c>
      <c r="AO202" s="29">
        <f>Saldos_Intereses_Mensual!P202</f>
        <v/>
      </c>
      <c r="AP202" s="29">
        <f>ROUND(AN202 + AO202, 2)</f>
        <v/>
      </c>
      <c r="AQ202" s="29">
        <f>Saldo_Residual_Activo!P202</f>
        <v/>
      </c>
      <c r="AR202" s="29">
        <f>ROUND(AP202 + AQ202, 2)</f>
        <v/>
      </c>
      <c r="AS202" s="29">
        <f>Saldos_Capital_Mensual!Q202</f>
        <v/>
      </c>
      <c r="AT202" s="29">
        <f>Saldos_Intereses_Mensual!Q202</f>
        <v/>
      </c>
      <c r="AU202" s="29">
        <f>ROUND(AS202 + AT202, 2)</f>
        <v/>
      </c>
      <c r="AV202" s="29">
        <f>Saldo_Residual_Activo!Q202</f>
        <v/>
      </c>
      <c r="AW202" s="29">
        <f>ROUND(AU202 + AV202, 2)</f>
        <v/>
      </c>
      <c r="AX202" s="29">
        <f>Saldos_Capital_Mensual!R202</f>
        <v/>
      </c>
      <c r="AY202" s="29">
        <f>Saldos_Intereses_Mensual!R202</f>
        <v/>
      </c>
      <c r="AZ202" s="29">
        <f>ROUND(AX202 + AY202, 2)</f>
        <v/>
      </c>
      <c r="BA202" s="29">
        <f>Saldo_Residual_Activo!R202</f>
        <v/>
      </c>
      <c r="BB202" s="29">
        <f>ROUND(AZ202 + BA202, 2)</f>
        <v/>
      </c>
      <c r="BC202" s="29">
        <f>Saldos_Capital_Mensual!S202</f>
        <v/>
      </c>
      <c r="BD202" s="29">
        <f>Saldos_Intereses_Mensual!S202</f>
        <v/>
      </c>
      <c r="BE202" s="29">
        <f>ROUND(BC202 + BD202, 2)</f>
        <v/>
      </c>
      <c r="BF202" s="29">
        <f>Saldo_Residual_Activo!S202</f>
        <v/>
      </c>
      <c r="BG202" s="29">
        <f>ROUND(BE202 + BF202, 2)</f>
        <v/>
      </c>
      <c r="BH202" s="29">
        <f>Saldos_Capital_Mensual!T202</f>
        <v/>
      </c>
      <c r="BI202" s="29">
        <f>Saldos_Intereses_Mensual!T202</f>
        <v/>
      </c>
      <c r="BJ202" s="29">
        <f>ROUND(BH202 + BI202, 2)</f>
        <v/>
      </c>
      <c r="BK202" s="29">
        <f>Saldo_Residual_Activo!T202</f>
        <v/>
      </c>
      <c r="BL202" s="29">
        <f>ROUND(BJ202 + BK202, 2)</f>
        <v/>
      </c>
    </row>
    <row r="203">
      <c r="A203" s="20" t="inlineStr">
        <is>
          <t>0720-0001</t>
        </is>
      </c>
      <c r="B203" s="21" t="inlineStr">
        <is>
          <t>Forrajes Los 6 Hermanos S.P.R. DE R.L.</t>
        </is>
      </c>
      <c r="C203" s="21" t="inlineStr">
        <is>
          <t>Shark</t>
        </is>
      </c>
      <c r="D203" s="22" t="n">
        <v>36</v>
      </c>
      <c r="E203" s="23">
        <f>Saldos_Capital_Mensual!I203</f>
        <v/>
      </c>
      <c r="F203" s="23">
        <f>Saldos_Intereses_Mensual!I203</f>
        <v/>
      </c>
      <c r="G203" s="23">
        <f>ROUND(E203 + F203, 2)</f>
        <v/>
      </c>
      <c r="H203" s="23">
        <f>Saldo_Residual_Activo!I203</f>
        <v/>
      </c>
      <c r="I203" s="23">
        <f>ROUND(G203 + H203, 2)</f>
        <v/>
      </c>
      <c r="J203" s="23">
        <f>Saldos_Capital_Mensual!J203</f>
        <v/>
      </c>
      <c r="K203" s="23">
        <f>Saldos_Intereses_Mensual!J203</f>
        <v/>
      </c>
      <c r="L203" s="23">
        <f>ROUND(J203 + K203, 2)</f>
        <v/>
      </c>
      <c r="M203" s="23">
        <f>Saldo_Residual_Activo!J203</f>
        <v/>
      </c>
      <c r="N203" s="23">
        <f>ROUND(L203 + M203, 2)</f>
        <v/>
      </c>
      <c r="O203" s="23">
        <f>Saldos_Capital_Mensual!K203</f>
        <v/>
      </c>
      <c r="P203" s="23">
        <f>Saldos_Intereses_Mensual!K203</f>
        <v/>
      </c>
      <c r="Q203" s="23">
        <f>ROUND(O203 + P203, 2)</f>
        <v/>
      </c>
      <c r="R203" s="23">
        <f>Saldo_Residual_Activo!K203</f>
        <v/>
      </c>
      <c r="S203" s="23">
        <f>ROUND(Q203 + R203, 2)</f>
        <v/>
      </c>
      <c r="T203" s="23">
        <f>Saldos_Capital_Mensual!L203</f>
        <v/>
      </c>
      <c r="U203" s="23">
        <f>Saldos_Intereses_Mensual!L203</f>
        <v/>
      </c>
      <c r="V203" s="23">
        <f>ROUND(T203 + U203, 2)</f>
        <v/>
      </c>
      <c r="W203" s="23">
        <f>Saldo_Residual_Activo!L203</f>
        <v/>
      </c>
      <c r="X203" s="23">
        <f>ROUND(V203 + W203, 2)</f>
        <v/>
      </c>
      <c r="Y203" s="23">
        <f>Saldos_Capital_Mensual!M203</f>
        <v/>
      </c>
      <c r="Z203" s="23">
        <f>Saldos_Intereses_Mensual!M203</f>
        <v/>
      </c>
      <c r="AA203" s="23">
        <f>ROUND(Y203 + Z203, 2)</f>
        <v/>
      </c>
      <c r="AB203" s="23">
        <f>Saldo_Residual_Activo!M203</f>
        <v/>
      </c>
      <c r="AC203" s="23">
        <f>ROUND(AA203 + AB203, 2)</f>
        <v/>
      </c>
      <c r="AD203" s="23">
        <f>Saldos_Capital_Mensual!N203</f>
        <v/>
      </c>
      <c r="AE203" s="23">
        <f>Saldos_Intereses_Mensual!N203</f>
        <v/>
      </c>
      <c r="AF203" s="23">
        <f>ROUND(AD203 + AE203, 2)</f>
        <v/>
      </c>
      <c r="AG203" s="23">
        <f>Saldo_Residual_Activo!N203</f>
        <v/>
      </c>
      <c r="AH203" s="23">
        <f>ROUND(AF203 + AG203, 2)</f>
        <v/>
      </c>
      <c r="AI203" s="23">
        <f>Saldos_Capital_Mensual!O203</f>
        <v/>
      </c>
      <c r="AJ203" s="23">
        <f>Saldos_Intereses_Mensual!O203</f>
        <v/>
      </c>
      <c r="AK203" s="23">
        <f>ROUND(AI203 + AJ203, 2)</f>
        <v/>
      </c>
      <c r="AL203" s="23">
        <f>Saldo_Residual_Activo!O203</f>
        <v/>
      </c>
      <c r="AM203" s="23">
        <f>ROUND(AK203 + AL203, 2)</f>
        <v/>
      </c>
      <c r="AN203" s="23">
        <f>Saldos_Capital_Mensual!P203</f>
        <v/>
      </c>
      <c r="AO203" s="23">
        <f>Saldos_Intereses_Mensual!P203</f>
        <v/>
      </c>
      <c r="AP203" s="23">
        <f>ROUND(AN203 + AO203, 2)</f>
        <v/>
      </c>
      <c r="AQ203" s="23">
        <f>Saldo_Residual_Activo!P203</f>
        <v/>
      </c>
      <c r="AR203" s="23">
        <f>ROUND(AP203 + AQ203, 2)</f>
        <v/>
      </c>
      <c r="AS203" s="23">
        <f>Saldos_Capital_Mensual!Q203</f>
        <v/>
      </c>
      <c r="AT203" s="23">
        <f>Saldos_Intereses_Mensual!Q203</f>
        <v/>
      </c>
      <c r="AU203" s="23">
        <f>ROUND(AS203 + AT203, 2)</f>
        <v/>
      </c>
      <c r="AV203" s="23">
        <f>Saldo_Residual_Activo!Q203</f>
        <v/>
      </c>
      <c r="AW203" s="23">
        <f>ROUND(AU203 + AV203, 2)</f>
        <v/>
      </c>
      <c r="AX203" s="23">
        <f>Saldos_Capital_Mensual!R203</f>
        <v/>
      </c>
      <c r="AY203" s="23">
        <f>Saldos_Intereses_Mensual!R203</f>
        <v/>
      </c>
      <c r="AZ203" s="23">
        <f>ROUND(AX203 + AY203, 2)</f>
        <v/>
      </c>
      <c r="BA203" s="23">
        <f>Saldo_Residual_Activo!R203</f>
        <v/>
      </c>
      <c r="BB203" s="23">
        <f>ROUND(AZ203 + BA203, 2)</f>
        <v/>
      </c>
      <c r="BC203" s="23">
        <f>Saldos_Capital_Mensual!S203</f>
        <v/>
      </c>
      <c r="BD203" s="23">
        <f>Saldos_Intereses_Mensual!S203</f>
        <v/>
      </c>
      <c r="BE203" s="23">
        <f>ROUND(BC203 + BD203, 2)</f>
        <v/>
      </c>
      <c r="BF203" s="23">
        <f>Saldo_Residual_Activo!S203</f>
        <v/>
      </c>
      <c r="BG203" s="23">
        <f>ROUND(BE203 + BF203, 2)</f>
        <v/>
      </c>
      <c r="BH203" s="23">
        <f>Saldos_Capital_Mensual!T203</f>
        <v/>
      </c>
      <c r="BI203" s="23">
        <f>Saldos_Intereses_Mensual!T203</f>
        <v/>
      </c>
      <c r="BJ203" s="23">
        <f>ROUND(BH203 + BI203, 2)</f>
        <v/>
      </c>
      <c r="BK203" s="23">
        <f>Saldo_Residual_Activo!T203</f>
        <v/>
      </c>
      <c r="BL203" s="23">
        <f>ROUND(BJ203 + BK203, 2)</f>
        <v/>
      </c>
    </row>
    <row r="204">
      <c r="A204" s="26" t="inlineStr">
        <is>
          <t>0721-0001</t>
        </is>
      </c>
      <c r="B204" s="27" t="inlineStr">
        <is>
          <t>Ricardo Ortiz Guzman</t>
        </is>
      </c>
      <c r="C204" s="27" t="inlineStr">
        <is>
          <t>Rifter</t>
        </is>
      </c>
      <c r="D204" s="28" t="n">
        <v>48</v>
      </c>
      <c r="E204" s="29">
        <f>Saldos_Capital_Mensual!I204</f>
        <v/>
      </c>
      <c r="F204" s="29">
        <f>Saldos_Intereses_Mensual!I204</f>
        <v/>
      </c>
      <c r="G204" s="29">
        <f>ROUND(E204 + F204, 2)</f>
        <v/>
      </c>
      <c r="H204" s="29">
        <f>Saldo_Residual_Activo!I204</f>
        <v/>
      </c>
      <c r="I204" s="29">
        <f>ROUND(G204 + H204, 2)</f>
        <v/>
      </c>
      <c r="J204" s="29">
        <f>Saldos_Capital_Mensual!J204</f>
        <v/>
      </c>
      <c r="K204" s="29">
        <f>Saldos_Intereses_Mensual!J204</f>
        <v/>
      </c>
      <c r="L204" s="29">
        <f>ROUND(J204 + K204, 2)</f>
        <v/>
      </c>
      <c r="M204" s="29">
        <f>Saldo_Residual_Activo!J204</f>
        <v/>
      </c>
      <c r="N204" s="29">
        <f>ROUND(L204 + M204, 2)</f>
        <v/>
      </c>
      <c r="O204" s="29">
        <f>Saldos_Capital_Mensual!K204</f>
        <v/>
      </c>
      <c r="P204" s="29">
        <f>Saldos_Intereses_Mensual!K204</f>
        <v/>
      </c>
      <c r="Q204" s="29">
        <f>ROUND(O204 + P204, 2)</f>
        <v/>
      </c>
      <c r="R204" s="29">
        <f>Saldo_Residual_Activo!K204</f>
        <v/>
      </c>
      <c r="S204" s="29">
        <f>ROUND(Q204 + R204, 2)</f>
        <v/>
      </c>
      <c r="T204" s="29">
        <f>Saldos_Capital_Mensual!L204</f>
        <v/>
      </c>
      <c r="U204" s="29">
        <f>Saldos_Intereses_Mensual!L204</f>
        <v/>
      </c>
      <c r="V204" s="29">
        <f>ROUND(T204 + U204, 2)</f>
        <v/>
      </c>
      <c r="W204" s="29">
        <f>Saldo_Residual_Activo!L204</f>
        <v/>
      </c>
      <c r="X204" s="29">
        <f>ROUND(V204 + W204, 2)</f>
        <v/>
      </c>
      <c r="Y204" s="29">
        <f>Saldos_Capital_Mensual!M204</f>
        <v/>
      </c>
      <c r="Z204" s="29">
        <f>Saldos_Intereses_Mensual!M204</f>
        <v/>
      </c>
      <c r="AA204" s="29">
        <f>ROUND(Y204 + Z204, 2)</f>
        <v/>
      </c>
      <c r="AB204" s="29">
        <f>Saldo_Residual_Activo!M204</f>
        <v/>
      </c>
      <c r="AC204" s="29">
        <f>ROUND(AA204 + AB204, 2)</f>
        <v/>
      </c>
      <c r="AD204" s="29">
        <f>Saldos_Capital_Mensual!N204</f>
        <v/>
      </c>
      <c r="AE204" s="29">
        <f>Saldos_Intereses_Mensual!N204</f>
        <v/>
      </c>
      <c r="AF204" s="29">
        <f>ROUND(AD204 + AE204, 2)</f>
        <v/>
      </c>
      <c r="AG204" s="29">
        <f>Saldo_Residual_Activo!N204</f>
        <v/>
      </c>
      <c r="AH204" s="29">
        <f>ROUND(AF204 + AG204, 2)</f>
        <v/>
      </c>
      <c r="AI204" s="29">
        <f>Saldos_Capital_Mensual!O204</f>
        <v/>
      </c>
      <c r="AJ204" s="29">
        <f>Saldos_Intereses_Mensual!O204</f>
        <v/>
      </c>
      <c r="AK204" s="29">
        <f>ROUND(AI204 + AJ204, 2)</f>
        <v/>
      </c>
      <c r="AL204" s="29">
        <f>Saldo_Residual_Activo!O204</f>
        <v/>
      </c>
      <c r="AM204" s="29">
        <f>ROUND(AK204 + AL204, 2)</f>
        <v/>
      </c>
      <c r="AN204" s="29">
        <f>Saldos_Capital_Mensual!P204</f>
        <v/>
      </c>
      <c r="AO204" s="29">
        <f>Saldos_Intereses_Mensual!P204</f>
        <v/>
      </c>
      <c r="AP204" s="29">
        <f>ROUND(AN204 + AO204, 2)</f>
        <v/>
      </c>
      <c r="AQ204" s="29">
        <f>Saldo_Residual_Activo!P204</f>
        <v/>
      </c>
      <c r="AR204" s="29">
        <f>ROUND(AP204 + AQ204, 2)</f>
        <v/>
      </c>
      <c r="AS204" s="29">
        <f>Saldos_Capital_Mensual!Q204</f>
        <v/>
      </c>
      <c r="AT204" s="29">
        <f>Saldos_Intereses_Mensual!Q204</f>
        <v/>
      </c>
      <c r="AU204" s="29">
        <f>ROUND(AS204 + AT204, 2)</f>
        <v/>
      </c>
      <c r="AV204" s="29">
        <f>Saldo_Residual_Activo!Q204</f>
        <v/>
      </c>
      <c r="AW204" s="29">
        <f>ROUND(AU204 + AV204, 2)</f>
        <v/>
      </c>
      <c r="AX204" s="29">
        <f>Saldos_Capital_Mensual!R204</f>
        <v/>
      </c>
      <c r="AY204" s="29">
        <f>Saldos_Intereses_Mensual!R204</f>
        <v/>
      </c>
      <c r="AZ204" s="29">
        <f>ROUND(AX204 + AY204, 2)</f>
        <v/>
      </c>
      <c r="BA204" s="29">
        <f>Saldo_Residual_Activo!R204</f>
        <v/>
      </c>
      <c r="BB204" s="29">
        <f>ROUND(AZ204 + BA204, 2)</f>
        <v/>
      </c>
      <c r="BC204" s="29">
        <f>Saldos_Capital_Mensual!S204</f>
        <v/>
      </c>
      <c r="BD204" s="29">
        <f>Saldos_Intereses_Mensual!S204</f>
        <v/>
      </c>
      <c r="BE204" s="29">
        <f>ROUND(BC204 + BD204, 2)</f>
        <v/>
      </c>
      <c r="BF204" s="29">
        <f>Saldo_Residual_Activo!S204</f>
        <v/>
      </c>
      <c r="BG204" s="29">
        <f>ROUND(BE204 + BF204, 2)</f>
        <v/>
      </c>
      <c r="BH204" s="29">
        <f>Saldos_Capital_Mensual!T204</f>
        <v/>
      </c>
      <c r="BI204" s="29">
        <f>Saldos_Intereses_Mensual!T204</f>
        <v/>
      </c>
      <c r="BJ204" s="29">
        <f>ROUND(BH204 + BI204, 2)</f>
        <v/>
      </c>
      <c r="BK204" s="29">
        <f>Saldo_Residual_Activo!T204</f>
        <v/>
      </c>
      <c r="BL204" s="29">
        <f>ROUND(BJ204 + BK204, 2)</f>
        <v/>
      </c>
    </row>
    <row r="205">
      <c r="A205" s="20" t="inlineStr">
        <is>
          <t>0721-0002</t>
        </is>
      </c>
      <c r="B205" s="21" t="inlineStr">
        <is>
          <t>Ricardo Ortiz Guzman</t>
        </is>
      </c>
      <c r="C205" s="21" t="inlineStr">
        <is>
          <t>CX5</t>
        </is>
      </c>
      <c r="D205" s="22" t="n">
        <v>48</v>
      </c>
      <c r="E205" s="23">
        <f>Saldos_Capital_Mensual!I205</f>
        <v/>
      </c>
      <c r="F205" s="23">
        <f>Saldos_Intereses_Mensual!I205</f>
        <v/>
      </c>
      <c r="G205" s="23">
        <f>ROUND(E205 + F205, 2)</f>
        <v/>
      </c>
      <c r="H205" s="23">
        <f>Saldo_Residual_Activo!I205</f>
        <v/>
      </c>
      <c r="I205" s="23">
        <f>ROUND(G205 + H205, 2)</f>
        <v/>
      </c>
      <c r="J205" s="23">
        <f>Saldos_Capital_Mensual!J205</f>
        <v/>
      </c>
      <c r="K205" s="23">
        <f>Saldos_Intereses_Mensual!J205</f>
        <v/>
      </c>
      <c r="L205" s="23">
        <f>ROUND(J205 + K205, 2)</f>
        <v/>
      </c>
      <c r="M205" s="23">
        <f>Saldo_Residual_Activo!J205</f>
        <v/>
      </c>
      <c r="N205" s="23">
        <f>ROUND(L205 + M205, 2)</f>
        <v/>
      </c>
      <c r="O205" s="23">
        <f>Saldos_Capital_Mensual!K205</f>
        <v/>
      </c>
      <c r="P205" s="23">
        <f>Saldos_Intereses_Mensual!K205</f>
        <v/>
      </c>
      <c r="Q205" s="23">
        <f>ROUND(O205 + P205, 2)</f>
        <v/>
      </c>
      <c r="R205" s="23">
        <f>Saldo_Residual_Activo!K205</f>
        <v/>
      </c>
      <c r="S205" s="23">
        <f>ROUND(Q205 + R205, 2)</f>
        <v/>
      </c>
      <c r="T205" s="23">
        <f>Saldos_Capital_Mensual!L205</f>
        <v/>
      </c>
      <c r="U205" s="23">
        <f>Saldos_Intereses_Mensual!L205</f>
        <v/>
      </c>
      <c r="V205" s="23">
        <f>ROUND(T205 + U205, 2)</f>
        <v/>
      </c>
      <c r="W205" s="23">
        <f>Saldo_Residual_Activo!L205</f>
        <v/>
      </c>
      <c r="X205" s="23">
        <f>ROUND(V205 + W205, 2)</f>
        <v/>
      </c>
      <c r="Y205" s="23">
        <f>Saldos_Capital_Mensual!M205</f>
        <v/>
      </c>
      <c r="Z205" s="23">
        <f>Saldos_Intereses_Mensual!M205</f>
        <v/>
      </c>
      <c r="AA205" s="23">
        <f>ROUND(Y205 + Z205, 2)</f>
        <v/>
      </c>
      <c r="AB205" s="23">
        <f>Saldo_Residual_Activo!M205</f>
        <v/>
      </c>
      <c r="AC205" s="23">
        <f>ROUND(AA205 + AB205, 2)</f>
        <v/>
      </c>
      <c r="AD205" s="23">
        <f>Saldos_Capital_Mensual!N205</f>
        <v/>
      </c>
      <c r="AE205" s="23">
        <f>Saldos_Intereses_Mensual!N205</f>
        <v/>
      </c>
      <c r="AF205" s="23">
        <f>ROUND(AD205 + AE205, 2)</f>
        <v/>
      </c>
      <c r="AG205" s="23">
        <f>Saldo_Residual_Activo!N205</f>
        <v/>
      </c>
      <c r="AH205" s="23">
        <f>ROUND(AF205 + AG205, 2)</f>
        <v/>
      </c>
      <c r="AI205" s="23">
        <f>Saldos_Capital_Mensual!O205</f>
        <v/>
      </c>
      <c r="AJ205" s="23">
        <f>Saldos_Intereses_Mensual!O205</f>
        <v/>
      </c>
      <c r="AK205" s="23">
        <f>ROUND(AI205 + AJ205, 2)</f>
        <v/>
      </c>
      <c r="AL205" s="23">
        <f>Saldo_Residual_Activo!O205</f>
        <v/>
      </c>
      <c r="AM205" s="23">
        <f>ROUND(AK205 + AL205, 2)</f>
        <v/>
      </c>
      <c r="AN205" s="23">
        <f>Saldos_Capital_Mensual!P205</f>
        <v/>
      </c>
      <c r="AO205" s="23">
        <f>Saldos_Intereses_Mensual!P205</f>
        <v/>
      </c>
      <c r="AP205" s="23">
        <f>ROUND(AN205 + AO205, 2)</f>
        <v/>
      </c>
      <c r="AQ205" s="23">
        <f>Saldo_Residual_Activo!P205</f>
        <v/>
      </c>
      <c r="AR205" s="23">
        <f>ROUND(AP205 + AQ205, 2)</f>
        <v/>
      </c>
      <c r="AS205" s="23">
        <f>Saldos_Capital_Mensual!Q205</f>
        <v/>
      </c>
      <c r="AT205" s="23">
        <f>Saldos_Intereses_Mensual!Q205</f>
        <v/>
      </c>
      <c r="AU205" s="23">
        <f>ROUND(AS205 + AT205, 2)</f>
        <v/>
      </c>
      <c r="AV205" s="23">
        <f>Saldo_Residual_Activo!Q205</f>
        <v/>
      </c>
      <c r="AW205" s="23">
        <f>ROUND(AU205 + AV205, 2)</f>
        <v/>
      </c>
      <c r="AX205" s="23">
        <f>Saldos_Capital_Mensual!R205</f>
        <v/>
      </c>
      <c r="AY205" s="23">
        <f>Saldos_Intereses_Mensual!R205</f>
        <v/>
      </c>
      <c r="AZ205" s="23">
        <f>ROUND(AX205 + AY205, 2)</f>
        <v/>
      </c>
      <c r="BA205" s="23">
        <f>Saldo_Residual_Activo!R205</f>
        <v/>
      </c>
      <c r="BB205" s="23">
        <f>ROUND(AZ205 + BA205, 2)</f>
        <v/>
      </c>
      <c r="BC205" s="23">
        <f>Saldos_Capital_Mensual!S205</f>
        <v/>
      </c>
      <c r="BD205" s="23">
        <f>Saldos_Intereses_Mensual!S205</f>
        <v/>
      </c>
      <c r="BE205" s="23">
        <f>ROUND(BC205 + BD205, 2)</f>
        <v/>
      </c>
      <c r="BF205" s="23">
        <f>Saldo_Residual_Activo!S205</f>
        <v/>
      </c>
      <c r="BG205" s="23">
        <f>ROUND(BE205 + BF205, 2)</f>
        <v/>
      </c>
      <c r="BH205" s="23">
        <f>Saldos_Capital_Mensual!T205</f>
        <v/>
      </c>
      <c r="BI205" s="23">
        <f>Saldos_Intereses_Mensual!T205</f>
        <v/>
      </c>
      <c r="BJ205" s="23">
        <f>ROUND(BH205 + BI205, 2)</f>
        <v/>
      </c>
      <c r="BK205" s="23">
        <f>Saldo_Residual_Activo!T205</f>
        <v/>
      </c>
      <c r="BL205" s="23">
        <f>ROUND(BJ205 + BK205, 2)</f>
        <v/>
      </c>
    </row>
    <row r="206">
      <c r="A206" s="26" t="inlineStr">
        <is>
          <t>0722-0001</t>
        </is>
      </c>
      <c r="B206" s="27" t="inlineStr">
        <is>
          <t>Tortas Ro S. DE R.L. DE C.V.</t>
        </is>
      </c>
      <c r="C206" s="27" t="inlineStr">
        <is>
          <t>Partner</t>
        </is>
      </c>
      <c r="D206" s="28" t="n">
        <v>24</v>
      </c>
      <c r="E206" s="29">
        <f>Saldos_Capital_Mensual!I206</f>
        <v/>
      </c>
      <c r="F206" s="29">
        <f>Saldos_Intereses_Mensual!I206</f>
        <v/>
      </c>
      <c r="G206" s="29">
        <f>ROUND(E206 + F206, 2)</f>
        <v/>
      </c>
      <c r="H206" s="29">
        <f>Saldo_Residual_Activo!I206</f>
        <v/>
      </c>
      <c r="I206" s="29">
        <f>ROUND(G206 + H206, 2)</f>
        <v/>
      </c>
      <c r="J206" s="29">
        <f>Saldos_Capital_Mensual!J206</f>
        <v/>
      </c>
      <c r="K206" s="29">
        <f>Saldos_Intereses_Mensual!J206</f>
        <v/>
      </c>
      <c r="L206" s="29">
        <f>ROUND(J206 + K206, 2)</f>
        <v/>
      </c>
      <c r="M206" s="29">
        <f>Saldo_Residual_Activo!J206</f>
        <v/>
      </c>
      <c r="N206" s="29">
        <f>ROUND(L206 + M206, 2)</f>
        <v/>
      </c>
      <c r="O206" s="29">
        <f>Saldos_Capital_Mensual!K206</f>
        <v/>
      </c>
      <c r="P206" s="29">
        <f>Saldos_Intereses_Mensual!K206</f>
        <v/>
      </c>
      <c r="Q206" s="29">
        <f>ROUND(O206 + P206, 2)</f>
        <v/>
      </c>
      <c r="R206" s="29">
        <f>Saldo_Residual_Activo!K206</f>
        <v/>
      </c>
      <c r="S206" s="29">
        <f>ROUND(Q206 + R206, 2)</f>
        <v/>
      </c>
      <c r="T206" s="29">
        <f>Saldos_Capital_Mensual!L206</f>
        <v/>
      </c>
      <c r="U206" s="29">
        <f>Saldos_Intereses_Mensual!L206</f>
        <v/>
      </c>
      <c r="V206" s="29">
        <f>ROUND(T206 + U206, 2)</f>
        <v/>
      </c>
      <c r="W206" s="29">
        <f>Saldo_Residual_Activo!L206</f>
        <v/>
      </c>
      <c r="X206" s="29">
        <f>ROUND(V206 + W206, 2)</f>
        <v/>
      </c>
      <c r="Y206" s="29">
        <f>Saldos_Capital_Mensual!M206</f>
        <v/>
      </c>
      <c r="Z206" s="29">
        <f>Saldos_Intereses_Mensual!M206</f>
        <v/>
      </c>
      <c r="AA206" s="29">
        <f>ROUND(Y206 + Z206, 2)</f>
        <v/>
      </c>
      <c r="AB206" s="29">
        <f>Saldo_Residual_Activo!M206</f>
        <v/>
      </c>
      <c r="AC206" s="29">
        <f>ROUND(AA206 + AB206, 2)</f>
        <v/>
      </c>
      <c r="AD206" s="29">
        <f>Saldos_Capital_Mensual!N206</f>
        <v/>
      </c>
      <c r="AE206" s="29">
        <f>Saldos_Intereses_Mensual!N206</f>
        <v/>
      </c>
      <c r="AF206" s="29">
        <f>ROUND(AD206 + AE206, 2)</f>
        <v/>
      </c>
      <c r="AG206" s="29">
        <f>Saldo_Residual_Activo!N206</f>
        <v/>
      </c>
      <c r="AH206" s="29">
        <f>ROUND(AF206 + AG206, 2)</f>
        <v/>
      </c>
      <c r="AI206" s="29">
        <f>Saldos_Capital_Mensual!O206</f>
        <v/>
      </c>
      <c r="AJ206" s="29">
        <f>Saldos_Intereses_Mensual!O206</f>
        <v/>
      </c>
      <c r="AK206" s="29">
        <f>ROUND(AI206 + AJ206, 2)</f>
        <v/>
      </c>
      <c r="AL206" s="29">
        <f>Saldo_Residual_Activo!O206</f>
        <v/>
      </c>
      <c r="AM206" s="29">
        <f>ROUND(AK206 + AL206, 2)</f>
        <v/>
      </c>
      <c r="AN206" s="29">
        <f>Saldos_Capital_Mensual!P206</f>
        <v/>
      </c>
      <c r="AO206" s="29">
        <f>Saldos_Intereses_Mensual!P206</f>
        <v/>
      </c>
      <c r="AP206" s="29">
        <f>ROUND(AN206 + AO206, 2)</f>
        <v/>
      </c>
      <c r="AQ206" s="29">
        <f>Saldo_Residual_Activo!P206</f>
        <v/>
      </c>
      <c r="AR206" s="29">
        <f>ROUND(AP206 + AQ206, 2)</f>
        <v/>
      </c>
      <c r="AS206" s="29">
        <f>Saldos_Capital_Mensual!Q206</f>
        <v/>
      </c>
      <c r="AT206" s="29">
        <f>Saldos_Intereses_Mensual!Q206</f>
        <v/>
      </c>
      <c r="AU206" s="29">
        <f>ROUND(AS206 + AT206, 2)</f>
        <v/>
      </c>
      <c r="AV206" s="29">
        <f>Saldo_Residual_Activo!Q206</f>
        <v/>
      </c>
      <c r="AW206" s="29">
        <f>ROUND(AU206 + AV206, 2)</f>
        <v/>
      </c>
      <c r="AX206" s="29">
        <f>Saldos_Capital_Mensual!R206</f>
        <v/>
      </c>
      <c r="AY206" s="29">
        <f>Saldos_Intereses_Mensual!R206</f>
        <v/>
      </c>
      <c r="AZ206" s="29">
        <f>ROUND(AX206 + AY206, 2)</f>
        <v/>
      </c>
      <c r="BA206" s="29">
        <f>Saldo_Residual_Activo!R206</f>
        <v/>
      </c>
      <c r="BB206" s="29">
        <f>ROUND(AZ206 + BA206, 2)</f>
        <v/>
      </c>
      <c r="BC206" s="29">
        <f>Saldos_Capital_Mensual!S206</f>
        <v/>
      </c>
      <c r="BD206" s="29">
        <f>Saldos_Intereses_Mensual!S206</f>
        <v/>
      </c>
      <c r="BE206" s="29">
        <f>ROUND(BC206 + BD206, 2)</f>
        <v/>
      </c>
      <c r="BF206" s="29">
        <f>Saldo_Residual_Activo!S206</f>
        <v/>
      </c>
      <c r="BG206" s="29">
        <f>ROUND(BE206 + BF206, 2)</f>
        <v/>
      </c>
      <c r="BH206" s="29">
        <f>Saldos_Capital_Mensual!T206</f>
        <v/>
      </c>
      <c r="BI206" s="29">
        <f>Saldos_Intereses_Mensual!T206</f>
        <v/>
      </c>
      <c r="BJ206" s="29">
        <f>ROUND(BH206 + BI206, 2)</f>
        <v/>
      </c>
      <c r="BK206" s="29">
        <f>Saldo_Residual_Activo!T206</f>
        <v/>
      </c>
      <c r="BL206" s="29">
        <f>ROUND(BJ206 + BK206, 2)</f>
        <v/>
      </c>
    </row>
    <row r="207">
      <c r="A207" s="20" t="inlineStr">
        <is>
          <t>0723-0001</t>
        </is>
      </c>
      <c r="B207" s="21" t="inlineStr">
        <is>
          <t>Sandra Inez Velazquez Altamirano</t>
        </is>
      </c>
      <c r="C207" s="21" t="inlineStr">
        <is>
          <t>Sierra Denali</t>
        </is>
      </c>
      <c r="D207" s="22" t="n">
        <v>36</v>
      </c>
      <c r="E207" s="23">
        <f>Saldos_Capital_Mensual!I207</f>
        <v/>
      </c>
      <c r="F207" s="23">
        <f>Saldos_Intereses_Mensual!I207</f>
        <v/>
      </c>
      <c r="G207" s="23">
        <f>ROUND(E207 + F207, 2)</f>
        <v/>
      </c>
      <c r="H207" s="23">
        <f>Saldo_Residual_Activo!I207</f>
        <v/>
      </c>
      <c r="I207" s="23">
        <f>ROUND(G207 + H207, 2)</f>
        <v/>
      </c>
      <c r="J207" s="23">
        <f>Saldos_Capital_Mensual!J207</f>
        <v/>
      </c>
      <c r="K207" s="23">
        <f>Saldos_Intereses_Mensual!J207</f>
        <v/>
      </c>
      <c r="L207" s="23">
        <f>ROUND(J207 + K207, 2)</f>
        <v/>
      </c>
      <c r="M207" s="23">
        <f>Saldo_Residual_Activo!J207</f>
        <v/>
      </c>
      <c r="N207" s="23">
        <f>ROUND(L207 + M207, 2)</f>
        <v/>
      </c>
      <c r="O207" s="23">
        <f>Saldos_Capital_Mensual!K207</f>
        <v/>
      </c>
      <c r="P207" s="23">
        <f>Saldos_Intereses_Mensual!K207</f>
        <v/>
      </c>
      <c r="Q207" s="23">
        <f>ROUND(O207 + P207, 2)</f>
        <v/>
      </c>
      <c r="R207" s="23">
        <f>Saldo_Residual_Activo!K207</f>
        <v/>
      </c>
      <c r="S207" s="23">
        <f>ROUND(Q207 + R207, 2)</f>
        <v/>
      </c>
      <c r="T207" s="23">
        <f>Saldos_Capital_Mensual!L207</f>
        <v/>
      </c>
      <c r="U207" s="23">
        <f>Saldos_Intereses_Mensual!L207</f>
        <v/>
      </c>
      <c r="V207" s="23">
        <f>ROUND(T207 + U207, 2)</f>
        <v/>
      </c>
      <c r="W207" s="23">
        <f>Saldo_Residual_Activo!L207</f>
        <v/>
      </c>
      <c r="X207" s="23">
        <f>ROUND(V207 + W207, 2)</f>
        <v/>
      </c>
      <c r="Y207" s="23">
        <f>Saldos_Capital_Mensual!M207</f>
        <v/>
      </c>
      <c r="Z207" s="23">
        <f>Saldos_Intereses_Mensual!M207</f>
        <v/>
      </c>
      <c r="AA207" s="23">
        <f>ROUND(Y207 + Z207, 2)</f>
        <v/>
      </c>
      <c r="AB207" s="23">
        <f>Saldo_Residual_Activo!M207</f>
        <v/>
      </c>
      <c r="AC207" s="23">
        <f>ROUND(AA207 + AB207, 2)</f>
        <v/>
      </c>
      <c r="AD207" s="23">
        <f>Saldos_Capital_Mensual!N207</f>
        <v/>
      </c>
      <c r="AE207" s="23">
        <f>Saldos_Intereses_Mensual!N207</f>
        <v/>
      </c>
      <c r="AF207" s="23">
        <f>ROUND(AD207 + AE207, 2)</f>
        <v/>
      </c>
      <c r="AG207" s="23">
        <f>Saldo_Residual_Activo!N207</f>
        <v/>
      </c>
      <c r="AH207" s="23">
        <f>ROUND(AF207 + AG207, 2)</f>
        <v/>
      </c>
      <c r="AI207" s="23">
        <f>Saldos_Capital_Mensual!O207</f>
        <v/>
      </c>
      <c r="AJ207" s="23">
        <f>Saldos_Intereses_Mensual!O207</f>
        <v/>
      </c>
      <c r="AK207" s="23">
        <f>ROUND(AI207 + AJ207, 2)</f>
        <v/>
      </c>
      <c r="AL207" s="23">
        <f>Saldo_Residual_Activo!O207</f>
        <v/>
      </c>
      <c r="AM207" s="23">
        <f>ROUND(AK207 + AL207, 2)</f>
        <v/>
      </c>
      <c r="AN207" s="23">
        <f>Saldos_Capital_Mensual!P207</f>
        <v/>
      </c>
      <c r="AO207" s="23">
        <f>Saldos_Intereses_Mensual!P207</f>
        <v/>
      </c>
      <c r="AP207" s="23">
        <f>ROUND(AN207 + AO207, 2)</f>
        <v/>
      </c>
      <c r="AQ207" s="23">
        <f>Saldo_Residual_Activo!P207</f>
        <v/>
      </c>
      <c r="AR207" s="23">
        <f>ROUND(AP207 + AQ207, 2)</f>
        <v/>
      </c>
      <c r="AS207" s="23">
        <f>Saldos_Capital_Mensual!Q207</f>
        <v/>
      </c>
      <c r="AT207" s="23">
        <f>Saldos_Intereses_Mensual!Q207</f>
        <v/>
      </c>
      <c r="AU207" s="23">
        <f>ROUND(AS207 + AT207, 2)</f>
        <v/>
      </c>
      <c r="AV207" s="23">
        <f>Saldo_Residual_Activo!Q207</f>
        <v/>
      </c>
      <c r="AW207" s="23">
        <f>ROUND(AU207 + AV207, 2)</f>
        <v/>
      </c>
      <c r="AX207" s="23">
        <f>Saldos_Capital_Mensual!R207</f>
        <v/>
      </c>
      <c r="AY207" s="23">
        <f>Saldos_Intereses_Mensual!R207</f>
        <v/>
      </c>
      <c r="AZ207" s="23">
        <f>ROUND(AX207 + AY207, 2)</f>
        <v/>
      </c>
      <c r="BA207" s="23">
        <f>Saldo_Residual_Activo!R207</f>
        <v/>
      </c>
      <c r="BB207" s="23">
        <f>ROUND(AZ207 + BA207, 2)</f>
        <v/>
      </c>
      <c r="BC207" s="23">
        <f>Saldos_Capital_Mensual!S207</f>
        <v/>
      </c>
      <c r="BD207" s="23">
        <f>Saldos_Intereses_Mensual!S207</f>
        <v/>
      </c>
      <c r="BE207" s="23">
        <f>ROUND(BC207 + BD207, 2)</f>
        <v/>
      </c>
      <c r="BF207" s="23">
        <f>Saldo_Residual_Activo!S207</f>
        <v/>
      </c>
      <c r="BG207" s="23">
        <f>ROUND(BE207 + BF207, 2)</f>
        <v/>
      </c>
      <c r="BH207" s="23">
        <f>Saldos_Capital_Mensual!T207</f>
        <v/>
      </c>
      <c r="BI207" s="23">
        <f>Saldos_Intereses_Mensual!T207</f>
        <v/>
      </c>
      <c r="BJ207" s="23">
        <f>ROUND(BH207 + BI207, 2)</f>
        <v/>
      </c>
      <c r="BK207" s="23">
        <f>Saldo_Residual_Activo!T207</f>
        <v/>
      </c>
      <c r="BL207" s="23">
        <f>ROUND(BJ207 + BK207, 2)</f>
        <v/>
      </c>
    </row>
    <row r="208">
      <c r="A208" s="26" t="inlineStr">
        <is>
          <t>0724-0001</t>
        </is>
      </c>
      <c r="B208" s="27" t="inlineStr">
        <is>
          <t>Victor Merced Brizuela Aguilar</t>
        </is>
      </c>
      <c r="C208" s="27" t="inlineStr">
        <is>
          <t>Tiggo 7 Plus</t>
        </is>
      </c>
      <c r="D208" s="28" t="n">
        <v>48</v>
      </c>
      <c r="E208" s="29">
        <f>Saldos_Capital_Mensual!I208</f>
        <v/>
      </c>
      <c r="F208" s="29">
        <f>Saldos_Intereses_Mensual!I208</f>
        <v/>
      </c>
      <c r="G208" s="29">
        <f>ROUND(E208 + F208, 2)</f>
        <v/>
      </c>
      <c r="H208" s="29">
        <f>Saldo_Residual_Activo!I208</f>
        <v/>
      </c>
      <c r="I208" s="29">
        <f>ROUND(G208 + H208, 2)</f>
        <v/>
      </c>
      <c r="J208" s="29">
        <f>Saldos_Capital_Mensual!J208</f>
        <v/>
      </c>
      <c r="K208" s="29">
        <f>Saldos_Intereses_Mensual!J208</f>
        <v/>
      </c>
      <c r="L208" s="29">
        <f>ROUND(J208 + K208, 2)</f>
        <v/>
      </c>
      <c r="M208" s="29">
        <f>Saldo_Residual_Activo!J208</f>
        <v/>
      </c>
      <c r="N208" s="29">
        <f>ROUND(L208 + M208, 2)</f>
        <v/>
      </c>
      <c r="O208" s="29">
        <f>Saldos_Capital_Mensual!K208</f>
        <v/>
      </c>
      <c r="P208" s="29">
        <f>Saldos_Intereses_Mensual!K208</f>
        <v/>
      </c>
      <c r="Q208" s="29">
        <f>ROUND(O208 + P208, 2)</f>
        <v/>
      </c>
      <c r="R208" s="29">
        <f>Saldo_Residual_Activo!K208</f>
        <v/>
      </c>
      <c r="S208" s="29">
        <f>ROUND(Q208 + R208, 2)</f>
        <v/>
      </c>
      <c r="T208" s="29">
        <f>Saldos_Capital_Mensual!L208</f>
        <v/>
      </c>
      <c r="U208" s="29">
        <f>Saldos_Intereses_Mensual!L208</f>
        <v/>
      </c>
      <c r="V208" s="29">
        <f>ROUND(T208 + U208, 2)</f>
        <v/>
      </c>
      <c r="W208" s="29">
        <f>Saldo_Residual_Activo!L208</f>
        <v/>
      </c>
      <c r="X208" s="29">
        <f>ROUND(V208 + W208, 2)</f>
        <v/>
      </c>
      <c r="Y208" s="29">
        <f>Saldos_Capital_Mensual!M208</f>
        <v/>
      </c>
      <c r="Z208" s="29">
        <f>Saldos_Intereses_Mensual!M208</f>
        <v/>
      </c>
      <c r="AA208" s="29">
        <f>ROUND(Y208 + Z208, 2)</f>
        <v/>
      </c>
      <c r="AB208" s="29">
        <f>Saldo_Residual_Activo!M208</f>
        <v/>
      </c>
      <c r="AC208" s="29">
        <f>ROUND(AA208 + AB208, 2)</f>
        <v/>
      </c>
      <c r="AD208" s="29">
        <f>Saldos_Capital_Mensual!N208</f>
        <v/>
      </c>
      <c r="AE208" s="29">
        <f>Saldos_Intereses_Mensual!N208</f>
        <v/>
      </c>
      <c r="AF208" s="29">
        <f>ROUND(AD208 + AE208, 2)</f>
        <v/>
      </c>
      <c r="AG208" s="29">
        <f>Saldo_Residual_Activo!N208</f>
        <v/>
      </c>
      <c r="AH208" s="29">
        <f>ROUND(AF208 + AG208, 2)</f>
        <v/>
      </c>
      <c r="AI208" s="29">
        <f>Saldos_Capital_Mensual!O208</f>
        <v/>
      </c>
      <c r="AJ208" s="29">
        <f>Saldos_Intereses_Mensual!O208</f>
        <v/>
      </c>
      <c r="AK208" s="29">
        <f>ROUND(AI208 + AJ208, 2)</f>
        <v/>
      </c>
      <c r="AL208" s="29">
        <f>Saldo_Residual_Activo!O208</f>
        <v/>
      </c>
      <c r="AM208" s="29">
        <f>ROUND(AK208 + AL208, 2)</f>
        <v/>
      </c>
      <c r="AN208" s="29">
        <f>Saldos_Capital_Mensual!P208</f>
        <v/>
      </c>
      <c r="AO208" s="29">
        <f>Saldos_Intereses_Mensual!P208</f>
        <v/>
      </c>
      <c r="AP208" s="29">
        <f>ROUND(AN208 + AO208, 2)</f>
        <v/>
      </c>
      <c r="AQ208" s="29">
        <f>Saldo_Residual_Activo!P208</f>
        <v/>
      </c>
      <c r="AR208" s="29">
        <f>ROUND(AP208 + AQ208, 2)</f>
        <v/>
      </c>
      <c r="AS208" s="29">
        <f>Saldos_Capital_Mensual!Q208</f>
        <v/>
      </c>
      <c r="AT208" s="29">
        <f>Saldos_Intereses_Mensual!Q208</f>
        <v/>
      </c>
      <c r="AU208" s="29">
        <f>ROUND(AS208 + AT208, 2)</f>
        <v/>
      </c>
      <c r="AV208" s="29">
        <f>Saldo_Residual_Activo!Q208</f>
        <v/>
      </c>
      <c r="AW208" s="29">
        <f>ROUND(AU208 + AV208, 2)</f>
        <v/>
      </c>
      <c r="AX208" s="29">
        <f>Saldos_Capital_Mensual!R208</f>
        <v/>
      </c>
      <c r="AY208" s="29">
        <f>Saldos_Intereses_Mensual!R208</f>
        <v/>
      </c>
      <c r="AZ208" s="29">
        <f>ROUND(AX208 + AY208, 2)</f>
        <v/>
      </c>
      <c r="BA208" s="29">
        <f>Saldo_Residual_Activo!R208</f>
        <v/>
      </c>
      <c r="BB208" s="29">
        <f>ROUND(AZ208 + BA208, 2)</f>
        <v/>
      </c>
      <c r="BC208" s="29">
        <f>Saldos_Capital_Mensual!S208</f>
        <v/>
      </c>
      <c r="BD208" s="29">
        <f>Saldos_Intereses_Mensual!S208</f>
        <v/>
      </c>
      <c r="BE208" s="29">
        <f>ROUND(BC208 + BD208, 2)</f>
        <v/>
      </c>
      <c r="BF208" s="29">
        <f>Saldo_Residual_Activo!S208</f>
        <v/>
      </c>
      <c r="BG208" s="29">
        <f>ROUND(BE208 + BF208, 2)</f>
        <v/>
      </c>
      <c r="BH208" s="29">
        <f>Saldos_Capital_Mensual!T208</f>
        <v/>
      </c>
      <c r="BI208" s="29">
        <f>Saldos_Intereses_Mensual!T208</f>
        <v/>
      </c>
      <c r="BJ208" s="29">
        <f>ROUND(BH208 + BI208, 2)</f>
        <v/>
      </c>
      <c r="BK208" s="29">
        <f>Saldo_Residual_Activo!T208</f>
        <v/>
      </c>
      <c r="BL208" s="29">
        <f>ROUND(BJ208 + BK208, 2)</f>
        <v/>
      </c>
    </row>
    <row r="209">
      <c r="A209" s="20" t="inlineStr">
        <is>
          <t>0725-0001</t>
        </is>
      </c>
      <c r="B209" s="21" t="inlineStr">
        <is>
          <t>Octavio Cortes Flores</t>
        </is>
      </c>
      <c r="C209" s="21" t="inlineStr">
        <is>
          <t>Rifter Allure</t>
        </is>
      </c>
      <c r="D209" s="22" t="n">
        <v>36</v>
      </c>
      <c r="E209" s="23">
        <f>Saldos_Capital_Mensual!I209</f>
        <v/>
      </c>
      <c r="F209" s="23">
        <f>Saldos_Intereses_Mensual!I209</f>
        <v/>
      </c>
      <c r="G209" s="23">
        <f>ROUND(E209 + F209, 2)</f>
        <v/>
      </c>
      <c r="H209" s="23">
        <f>Saldo_Residual_Activo!I209</f>
        <v/>
      </c>
      <c r="I209" s="23">
        <f>ROUND(G209 + H209, 2)</f>
        <v/>
      </c>
      <c r="J209" s="23">
        <f>Saldos_Capital_Mensual!J209</f>
        <v/>
      </c>
      <c r="K209" s="23">
        <f>Saldos_Intereses_Mensual!J209</f>
        <v/>
      </c>
      <c r="L209" s="23">
        <f>ROUND(J209 + K209, 2)</f>
        <v/>
      </c>
      <c r="M209" s="23">
        <f>Saldo_Residual_Activo!J209</f>
        <v/>
      </c>
      <c r="N209" s="23">
        <f>ROUND(L209 + M209, 2)</f>
        <v/>
      </c>
      <c r="O209" s="23">
        <f>Saldos_Capital_Mensual!K209</f>
        <v/>
      </c>
      <c r="P209" s="23">
        <f>Saldos_Intereses_Mensual!K209</f>
        <v/>
      </c>
      <c r="Q209" s="23">
        <f>ROUND(O209 + P209, 2)</f>
        <v/>
      </c>
      <c r="R209" s="23">
        <f>Saldo_Residual_Activo!K209</f>
        <v/>
      </c>
      <c r="S209" s="23">
        <f>ROUND(Q209 + R209, 2)</f>
        <v/>
      </c>
      <c r="T209" s="23">
        <f>Saldos_Capital_Mensual!L209</f>
        <v/>
      </c>
      <c r="U209" s="23">
        <f>Saldos_Intereses_Mensual!L209</f>
        <v/>
      </c>
      <c r="V209" s="23">
        <f>ROUND(T209 + U209, 2)</f>
        <v/>
      </c>
      <c r="W209" s="23">
        <f>Saldo_Residual_Activo!L209</f>
        <v/>
      </c>
      <c r="X209" s="23">
        <f>ROUND(V209 + W209, 2)</f>
        <v/>
      </c>
      <c r="Y209" s="23">
        <f>Saldos_Capital_Mensual!M209</f>
        <v/>
      </c>
      <c r="Z209" s="23">
        <f>Saldos_Intereses_Mensual!M209</f>
        <v/>
      </c>
      <c r="AA209" s="23">
        <f>ROUND(Y209 + Z209, 2)</f>
        <v/>
      </c>
      <c r="AB209" s="23">
        <f>Saldo_Residual_Activo!M209</f>
        <v/>
      </c>
      <c r="AC209" s="23">
        <f>ROUND(AA209 + AB209, 2)</f>
        <v/>
      </c>
      <c r="AD209" s="23">
        <f>Saldos_Capital_Mensual!N209</f>
        <v/>
      </c>
      <c r="AE209" s="23">
        <f>Saldos_Intereses_Mensual!N209</f>
        <v/>
      </c>
      <c r="AF209" s="23">
        <f>ROUND(AD209 + AE209, 2)</f>
        <v/>
      </c>
      <c r="AG209" s="23">
        <f>Saldo_Residual_Activo!N209</f>
        <v/>
      </c>
      <c r="AH209" s="23">
        <f>ROUND(AF209 + AG209, 2)</f>
        <v/>
      </c>
      <c r="AI209" s="23">
        <f>Saldos_Capital_Mensual!O209</f>
        <v/>
      </c>
      <c r="AJ209" s="23">
        <f>Saldos_Intereses_Mensual!O209</f>
        <v/>
      </c>
      <c r="AK209" s="23">
        <f>ROUND(AI209 + AJ209, 2)</f>
        <v/>
      </c>
      <c r="AL209" s="23">
        <f>Saldo_Residual_Activo!O209</f>
        <v/>
      </c>
      <c r="AM209" s="23">
        <f>ROUND(AK209 + AL209, 2)</f>
        <v/>
      </c>
      <c r="AN209" s="23">
        <f>Saldos_Capital_Mensual!P209</f>
        <v/>
      </c>
      <c r="AO209" s="23">
        <f>Saldos_Intereses_Mensual!P209</f>
        <v/>
      </c>
      <c r="AP209" s="23">
        <f>ROUND(AN209 + AO209, 2)</f>
        <v/>
      </c>
      <c r="AQ209" s="23">
        <f>Saldo_Residual_Activo!P209</f>
        <v/>
      </c>
      <c r="AR209" s="23">
        <f>ROUND(AP209 + AQ209, 2)</f>
        <v/>
      </c>
      <c r="AS209" s="23">
        <f>Saldos_Capital_Mensual!Q209</f>
        <v/>
      </c>
      <c r="AT209" s="23">
        <f>Saldos_Intereses_Mensual!Q209</f>
        <v/>
      </c>
      <c r="AU209" s="23">
        <f>ROUND(AS209 + AT209, 2)</f>
        <v/>
      </c>
      <c r="AV209" s="23">
        <f>Saldo_Residual_Activo!Q209</f>
        <v/>
      </c>
      <c r="AW209" s="23">
        <f>ROUND(AU209 + AV209, 2)</f>
        <v/>
      </c>
      <c r="AX209" s="23">
        <f>Saldos_Capital_Mensual!R209</f>
        <v/>
      </c>
      <c r="AY209" s="23">
        <f>Saldos_Intereses_Mensual!R209</f>
        <v/>
      </c>
      <c r="AZ209" s="23">
        <f>ROUND(AX209 + AY209, 2)</f>
        <v/>
      </c>
      <c r="BA209" s="23">
        <f>Saldo_Residual_Activo!R209</f>
        <v/>
      </c>
      <c r="BB209" s="23">
        <f>ROUND(AZ209 + BA209, 2)</f>
        <v/>
      </c>
      <c r="BC209" s="23">
        <f>Saldos_Capital_Mensual!S209</f>
        <v/>
      </c>
      <c r="BD209" s="23">
        <f>Saldos_Intereses_Mensual!S209</f>
        <v/>
      </c>
      <c r="BE209" s="23">
        <f>ROUND(BC209 + BD209, 2)</f>
        <v/>
      </c>
      <c r="BF209" s="23">
        <f>Saldo_Residual_Activo!S209</f>
        <v/>
      </c>
      <c r="BG209" s="23">
        <f>ROUND(BE209 + BF209, 2)</f>
        <v/>
      </c>
      <c r="BH209" s="23">
        <f>Saldos_Capital_Mensual!T209</f>
        <v/>
      </c>
      <c r="BI209" s="23">
        <f>Saldos_Intereses_Mensual!T209</f>
        <v/>
      </c>
      <c r="BJ209" s="23">
        <f>ROUND(BH209 + BI209, 2)</f>
        <v/>
      </c>
      <c r="BK209" s="23">
        <f>Saldo_Residual_Activo!T209</f>
        <v/>
      </c>
      <c r="BL209" s="23">
        <f>ROUND(BJ209 + BK209, 2)</f>
        <v/>
      </c>
    </row>
    <row r="210">
      <c r="A210" s="26" t="inlineStr">
        <is>
          <t>0726-0001</t>
        </is>
      </c>
      <c r="B210" s="27" t="inlineStr">
        <is>
          <t>Martha Viviana Anguiano Gonzalez</t>
        </is>
      </c>
      <c r="C210" s="27" t="inlineStr">
        <is>
          <t>JT Mojave</t>
        </is>
      </c>
      <c r="D210" s="28" t="n">
        <v>48</v>
      </c>
      <c r="E210" s="29">
        <f>Saldos_Capital_Mensual!I210</f>
        <v/>
      </c>
      <c r="F210" s="29">
        <f>Saldos_Intereses_Mensual!I210</f>
        <v/>
      </c>
      <c r="G210" s="29">
        <f>ROUND(E210 + F210, 2)</f>
        <v/>
      </c>
      <c r="H210" s="29">
        <f>Saldo_Residual_Activo!I210</f>
        <v/>
      </c>
      <c r="I210" s="29">
        <f>ROUND(G210 + H210, 2)</f>
        <v/>
      </c>
      <c r="J210" s="29">
        <f>Saldos_Capital_Mensual!J210</f>
        <v/>
      </c>
      <c r="K210" s="29">
        <f>Saldos_Intereses_Mensual!J210</f>
        <v/>
      </c>
      <c r="L210" s="29">
        <f>ROUND(J210 + K210, 2)</f>
        <v/>
      </c>
      <c r="M210" s="29">
        <f>Saldo_Residual_Activo!J210</f>
        <v/>
      </c>
      <c r="N210" s="29">
        <f>ROUND(L210 + M210, 2)</f>
        <v/>
      </c>
      <c r="O210" s="29">
        <f>Saldos_Capital_Mensual!K210</f>
        <v/>
      </c>
      <c r="P210" s="29">
        <f>Saldos_Intereses_Mensual!K210</f>
        <v/>
      </c>
      <c r="Q210" s="29">
        <f>ROUND(O210 + P210, 2)</f>
        <v/>
      </c>
      <c r="R210" s="29">
        <f>Saldo_Residual_Activo!K210</f>
        <v/>
      </c>
      <c r="S210" s="29">
        <f>ROUND(Q210 + R210, 2)</f>
        <v/>
      </c>
      <c r="T210" s="29">
        <f>Saldos_Capital_Mensual!L210</f>
        <v/>
      </c>
      <c r="U210" s="29">
        <f>Saldos_Intereses_Mensual!L210</f>
        <v/>
      </c>
      <c r="V210" s="29">
        <f>ROUND(T210 + U210, 2)</f>
        <v/>
      </c>
      <c r="W210" s="29">
        <f>Saldo_Residual_Activo!L210</f>
        <v/>
      </c>
      <c r="X210" s="29">
        <f>ROUND(V210 + W210, 2)</f>
        <v/>
      </c>
      <c r="Y210" s="29">
        <f>Saldos_Capital_Mensual!M210</f>
        <v/>
      </c>
      <c r="Z210" s="29">
        <f>Saldos_Intereses_Mensual!M210</f>
        <v/>
      </c>
      <c r="AA210" s="29">
        <f>ROUND(Y210 + Z210, 2)</f>
        <v/>
      </c>
      <c r="AB210" s="29">
        <f>Saldo_Residual_Activo!M210</f>
        <v/>
      </c>
      <c r="AC210" s="29">
        <f>ROUND(AA210 + AB210, 2)</f>
        <v/>
      </c>
      <c r="AD210" s="29">
        <f>Saldos_Capital_Mensual!N210</f>
        <v/>
      </c>
      <c r="AE210" s="29">
        <f>Saldos_Intereses_Mensual!N210</f>
        <v/>
      </c>
      <c r="AF210" s="29">
        <f>ROUND(AD210 + AE210, 2)</f>
        <v/>
      </c>
      <c r="AG210" s="29">
        <f>Saldo_Residual_Activo!N210</f>
        <v/>
      </c>
      <c r="AH210" s="29">
        <f>ROUND(AF210 + AG210, 2)</f>
        <v/>
      </c>
      <c r="AI210" s="29">
        <f>Saldos_Capital_Mensual!O210</f>
        <v/>
      </c>
      <c r="AJ210" s="29">
        <f>Saldos_Intereses_Mensual!O210</f>
        <v/>
      </c>
      <c r="AK210" s="29">
        <f>ROUND(AI210 + AJ210, 2)</f>
        <v/>
      </c>
      <c r="AL210" s="29">
        <f>Saldo_Residual_Activo!O210</f>
        <v/>
      </c>
      <c r="AM210" s="29">
        <f>ROUND(AK210 + AL210, 2)</f>
        <v/>
      </c>
      <c r="AN210" s="29">
        <f>Saldos_Capital_Mensual!P210</f>
        <v/>
      </c>
      <c r="AO210" s="29">
        <f>Saldos_Intereses_Mensual!P210</f>
        <v/>
      </c>
      <c r="AP210" s="29">
        <f>ROUND(AN210 + AO210, 2)</f>
        <v/>
      </c>
      <c r="AQ210" s="29">
        <f>Saldo_Residual_Activo!P210</f>
        <v/>
      </c>
      <c r="AR210" s="29">
        <f>ROUND(AP210 + AQ210, 2)</f>
        <v/>
      </c>
      <c r="AS210" s="29">
        <f>Saldos_Capital_Mensual!Q210</f>
        <v/>
      </c>
      <c r="AT210" s="29">
        <f>Saldos_Intereses_Mensual!Q210</f>
        <v/>
      </c>
      <c r="AU210" s="29">
        <f>ROUND(AS210 + AT210, 2)</f>
        <v/>
      </c>
      <c r="AV210" s="29">
        <f>Saldo_Residual_Activo!Q210</f>
        <v/>
      </c>
      <c r="AW210" s="29">
        <f>ROUND(AU210 + AV210, 2)</f>
        <v/>
      </c>
      <c r="AX210" s="29">
        <f>Saldos_Capital_Mensual!R210</f>
        <v/>
      </c>
      <c r="AY210" s="29">
        <f>Saldos_Intereses_Mensual!R210</f>
        <v/>
      </c>
      <c r="AZ210" s="29">
        <f>ROUND(AX210 + AY210, 2)</f>
        <v/>
      </c>
      <c r="BA210" s="29">
        <f>Saldo_Residual_Activo!R210</f>
        <v/>
      </c>
      <c r="BB210" s="29">
        <f>ROUND(AZ210 + BA210, 2)</f>
        <v/>
      </c>
      <c r="BC210" s="29">
        <f>Saldos_Capital_Mensual!S210</f>
        <v/>
      </c>
      <c r="BD210" s="29">
        <f>Saldos_Intereses_Mensual!S210</f>
        <v/>
      </c>
      <c r="BE210" s="29">
        <f>ROUND(BC210 + BD210, 2)</f>
        <v/>
      </c>
      <c r="BF210" s="29">
        <f>Saldo_Residual_Activo!S210</f>
        <v/>
      </c>
      <c r="BG210" s="29">
        <f>ROUND(BE210 + BF210, 2)</f>
        <v/>
      </c>
      <c r="BH210" s="29">
        <f>Saldos_Capital_Mensual!T210</f>
        <v/>
      </c>
      <c r="BI210" s="29">
        <f>Saldos_Intereses_Mensual!T210</f>
        <v/>
      </c>
      <c r="BJ210" s="29">
        <f>ROUND(BH210 + BI210, 2)</f>
        <v/>
      </c>
      <c r="BK210" s="29">
        <f>Saldo_Residual_Activo!T210</f>
        <v/>
      </c>
      <c r="BL210" s="29">
        <f>ROUND(BJ210 + BK210, 2)</f>
        <v/>
      </c>
    </row>
    <row r="211">
      <c r="A211" s="20" t="inlineStr">
        <is>
          <t>0727-0001</t>
        </is>
      </c>
      <c r="B211" s="21" t="inlineStr">
        <is>
          <t>Edgar Adrian Sainz Vazquez</t>
        </is>
      </c>
      <c r="C211" s="21" t="inlineStr">
        <is>
          <t>1200 Laramie</t>
        </is>
      </c>
      <c r="D211" s="22" t="n">
        <v>48</v>
      </c>
      <c r="E211" s="23">
        <f>Saldos_Capital_Mensual!I211</f>
        <v/>
      </c>
      <c r="F211" s="23">
        <f>Saldos_Intereses_Mensual!I211</f>
        <v/>
      </c>
      <c r="G211" s="23">
        <f>ROUND(E211 + F211, 2)</f>
        <v/>
      </c>
      <c r="H211" s="23">
        <f>Saldo_Residual_Activo!I211</f>
        <v/>
      </c>
      <c r="I211" s="23">
        <f>ROUND(G211 + H211, 2)</f>
        <v/>
      </c>
      <c r="J211" s="23">
        <f>Saldos_Capital_Mensual!J211</f>
        <v/>
      </c>
      <c r="K211" s="23">
        <f>Saldos_Intereses_Mensual!J211</f>
        <v/>
      </c>
      <c r="L211" s="23">
        <f>ROUND(J211 + K211, 2)</f>
        <v/>
      </c>
      <c r="M211" s="23">
        <f>Saldo_Residual_Activo!J211</f>
        <v/>
      </c>
      <c r="N211" s="23">
        <f>ROUND(L211 + M211, 2)</f>
        <v/>
      </c>
      <c r="O211" s="23">
        <f>Saldos_Capital_Mensual!K211</f>
        <v/>
      </c>
      <c r="P211" s="23">
        <f>Saldos_Intereses_Mensual!K211</f>
        <v/>
      </c>
      <c r="Q211" s="23">
        <f>ROUND(O211 + P211, 2)</f>
        <v/>
      </c>
      <c r="R211" s="23">
        <f>Saldo_Residual_Activo!K211</f>
        <v/>
      </c>
      <c r="S211" s="23">
        <f>ROUND(Q211 + R211, 2)</f>
        <v/>
      </c>
      <c r="T211" s="23">
        <f>Saldos_Capital_Mensual!L211</f>
        <v/>
      </c>
      <c r="U211" s="23">
        <f>Saldos_Intereses_Mensual!L211</f>
        <v/>
      </c>
      <c r="V211" s="23">
        <f>ROUND(T211 + U211, 2)</f>
        <v/>
      </c>
      <c r="W211" s="23">
        <f>Saldo_Residual_Activo!L211</f>
        <v/>
      </c>
      <c r="X211" s="23">
        <f>ROUND(V211 + W211, 2)</f>
        <v/>
      </c>
      <c r="Y211" s="23">
        <f>Saldos_Capital_Mensual!M211</f>
        <v/>
      </c>
      <c r="Z211" s="23">
        <f>Saldos_Intereses_Mensual!M211</f>
        <v/>
      </c>
      <c r="AA211" s="23">
        <f>ROUND(Y211 + Z211, 2)</f>
        <v/>
      </c>
      <c r="AB211" s="23">
        <f>Saldo_Residual_Activo!M211</f>
        <v/>
      </c>
      <c r="AC211" s="23">
        <f>ROUND(AA211 + AB211, 2)</f>
        <v/>
      </c>
      <c r="AD211" s="23">
        <f>Saldos_Capital_Mensual!N211</f>
        <v/>
      </c>
      <c r="AE211" s="23">
        <f>Saldos_Intereses_Mensual!N211</f>
        <v/>
      </c>
      <c r="AF211" s="23">
        <f>ROUND(AD211 + AE211, 2)</f>
        <v/>
      </c>
      <c r="AG211" s="23">
        <f>Saldo_Residual_Activo!N211</f>
        <v/>
      </c>
      <c r="AH211" s="23">
        <f>ROUND(AF211 + AG211, 2)</f>
        <v/>
      </c>
      <c r="AI211" s="23">
        <f>Saldos_Capital_Mensual!O211</f>
        <v/>
      </c>
      <c r="AJ211" s="23">
        <f>Saldos_Intereses_Mensual!O211</f>
        <v/>
      </c>
      <c r="AK211" s="23">
        <f>ROUND(AI211 + AJ211, 2)</f>
        <v/>
      </c>
      <c r="AL211" s="23">
        <f>Saldo_Residual_Activo!O211</f>
        <v/>
      </c>
      <c r="AM211" s="23">
        <f>ROUND(AK211 + AL211, 2)</f>
        <v/>
      </c>
      <c r="AN211" s="23">
        <f>Saldos_Capital_Mensual!P211</f>
        <v/>
      </c>
      <c r="AO211" s="23">
        <f>Saldos_Intereses_Mensual!P211</f>
        <v/>
      </c>
      <c r="AP211" s="23">
        <f>ROUND(AN211 + AO211, 2)</f>
        <v/>
      </c>
      <c r="AQ211" s="23">
        <f>Saldo_Residual_Activo!P211</f>
        <v/>
      </c>
      <c r="AR211" s="23">
        <f>ROUND(AP211 + AQ211, 2)</f>
        <v/>
      </c>
      <c r="AS211" s="23">
        <f>Saldos_Capital_Mensual!Q211</f>
        <v/>
      </c>
      <c r="AT211" s="23">
        <f>Saldos_Intereses_Mensual!Q211</f>
        <v/>
      </c>
      <c r="AU211" s="23">
        <f>ROUND(AS211 + AT211, 2)</f>
        <v/>
      </c>
      <c r="AV211" s="23">
        <f>Saldo_Residual_Activo!Q211</f>
        <v/>
      </c>
      <c r="AW211" s="23">
        <f>ROUND(AU211 + AV211, 2)</f>
        <v/>
      </c>
      <c r="AX211" s="23">
        <f>Saldos_Capital_Mensual!R211</f>
        <v/>
      </c>
      <c r="AY211" s="23">
        <f>Saldos_Intereses_Mensual!R211</f>
        <v/>
      </c>
      <c r="AZ211" s="23">
        <f>ROUND(AX211 + AY211, 2)</f>
        <v/>
      </c>
      <c r="BA211" s="23">
        <f>Saldo_Residual_Activo!R211</f>
        <v/>
      </c>
      <c r="BB211" s="23">
        <f>ROUND(AZ211 + BA211, 2)</f>
        <v/>
      </c>
      <c r="BC211" s="23">
        <f>Saldos_Capital_Mensual!S211</f>
        <v/>
      </c>
      <c r="BD211" s="23">
        <f>Saldos_Intereses_Mensual!S211</f>
        <v/>
      </c>
      <c r="BE211" s="23">
        <f>ROUND(BC211 + BD211, 2)</f>
        <v/>
      </c>
      <c r="BF211" s="23">
        <f>Saldo_Residual_Activo!S211</f>
        <v/>
      </c>
      <c r="BG211" s="23">
        <f>ROUND(BE211 + BF211, 2)</f>
        <v/>
      </c>
      <c r="BH211" s="23">
        <f>Saldos_Capital_Mensual!T211</f>
        <v/>
      </c>
      <c r="BI211" s="23">
        <f>Saldos_Intereses_Mensual!T211</f>
        <v/>
      </c>
      <c r="BJ211" s="23">
        <f>ROUND(BH211 + BI211, 2)</f>
        <v/>
      </c>
      <c r="BK211" s="23">
        <f>Saldo_Residual_Activo!T211</f>
        <v/>
      </c>
      <c r="BL211" s="23">
        <f>ROUND(BJ211 + BK211, 2)</f>
        <v/>
      </c>
    </row>
    <row r="212">
      <c r="A212" s="26" t="inlineStr">
        <is>
          <t>0728-0001</t>
        </is>
      </c>
      <c r="B212" s="27" t="inlineStr">
        <is>
          <t>Arrendadora Tequila, S.A. de C.V.</t>
        </is>
      </c>
      <c r="C212" s="27" t="inlineStr">
        <is>
          <t>JEEP 392</t>
        </is>
      </c>
      <c r="D212" s="28" t="n">
        <v>36</v>
      </c>
      <c r="E212" s="29">
        <f>Saldos_Capital_Mensual!I212</f>
        <v/>
      </c>
      <c r="F212" s="29">
        <f>Saldos_Intereses_Mensual!I212</f>
        <v/>
      </c>
      <c r="G212" s="29">
        <f>ROUND(E212 + F212, 2)</f>
        <v/>
      </c>
      <c r="H212" s="29">
        <f>Saldo_Residual_Activo!I212</f>
        <v/>
      </c>
      <c r="I212" s="29">
        <f>ROUND(G212 + H212, 2)</f>
        <v/>
      </c>
      <c r="J212" s="29">
        <f>Saldos_Capital_Mensual!J212</f>
        <v/>
      </c>
      <c r="K212" s="29">
        <f>Saldos_Intereses_Mensual!J212</f>
        <v/>
      </c>
      <c r="L212" s="29">
        <f>ROUND(J212 + K212, 2)</f>
        <v/>
      </c>
      <c r="M212" s="29">
        <f>Saldo_Residual_Activo!J212</f>
        <v/>
      </c>
      <c r="N212" s="29">
        <f>ROUND(L212 + M212, 2)</f>
        <v/>
      </c>
      <c r="O212" s="29">
        <f>Saldos_Capital_Mensual!K212</f>
        <v/>
      </c>
      <c r="P212" s="29">
        <f>Saldos_Intereses_Mensual!K212</f>
        <v/>
      </c>
      <c r="Q212" s="29">
        <f>ROUND(O212 + P212, 2)</f>
        <v/>
      </c>
      <c r="R212" s="29">
        <f>Saldo_Residual_Activo!K212</f>
        <v/>
      </c>
      <c r="S212" s="29">
        <f>ROUND(Q212 + R212, 2)</f>
        <v/>
      </c>
      <c r="T212" s="29">
        <f>Saldos_Capital_Mensual!L212</f>
        <v/>
      </c>
      <c r="U212" s="29">
        <f>Saldos_Intereses_Mensual!L212</f>
        <v/>
      </c>
      <c r="V212" s="29">
        <f>ROUND(T212 + U212, 2)</f>
        <v/>
      </c>
      <c r="W212" s="29">
        <f>Saldo_Residual_Activo!L212</f>
        <v/>
      </c>
      <c r="X212" s="29">
        <f>ROUND(V212 + W212, 2)</f>
        <v/>
      </c>
      <c r="Y212" s="29">
        <f>Saldos_Capital_Mensual!M212</f>
        <v/>
      </c>
      <c r="Z212" s="29">
        <f>Saldos_Intereses_Mensual!M212</f>
        <v/>
      </c>
      <c r="AA212" s="29">
        <f>ROUND(Y212 + Z212, 2)</f>
        <v/>
      </c>
      <c r="AB212" s="29">
        <f>Saldo_Residual_Activo!M212</f>
        <v/>
      </c>
      <c r="AC212" s="29">
        <f>ROUND(AA212 + AB212, 2)</f>
        <v/>
      </c>
      <c r="AD212" s="29">
        <f>Saldos_Capital_Mensual!N212</f>
        <v/>
      </c>
      <c r="AE212" s="29">
        <f>Saldos_Intereses_Mensual!N212</f>
        <v/>
      </c>
      <c r="AF212" s="29">
        <f>ROUND(AD212 + AE212, 2)</f>
        <v/>
      </c>
      <c r="AG212" s="29">
        <f>Saldo_Residual_Activo!N212</f>
        <v/>
      </c>
      <c r="AH212" s="29">
        <f>ROUND(AF212 + AG212, 2)</f>
        <v/>
      </c>
      <c r="AI212" s="29">
        <f>Saldos_Capital_Mensual!O212</f>
        <v/>
      </c>
      <c r="AJ212" s="29">
        <f>Saldos_Intereses_Mensual!O212</f>
        <v/>
      </c>
      <c r="AK212" s="29">
        <f>ROUND(AI212 + AJ212, 2)</f>
        <v/>
      </c>
      <c r="AL212" s="29">
        <f>Saldo_Residual_Activo!O212</f>
        <v/>
      </c>
      <c r="AM212" s="29">
        <f>ROUND(AK212 + AL212, 2)</f>
        <v/>
      </c>
      <c r="AN212" s="29">
        <f>Saldos_Capital_Mensual!P212</f>
        <v/>
      </c>
      <c r="AO212" s="29">
        <f>Saldos_Intereses_Mensual!P212</f>
        <v/>
      </c>
      <c r="AP212" s="29">
        <f>ROUND(AN212 + AO212, 2)</f>
        <v/>
      </c>
      <c r="AQ212" s="29">
        <f>Saldo_Residual_Activo!P212</f>
        <v/>
      </c>
      <c r="AR212" s="29">
        <f>ROUND(AP212 + AQ212, 2)</f>
        <v/>
      </c>
      <c r="AS212" s="29">
        <f>Saldos_Capital_Mensual!Q212</f>
        <v/>
      </c>
      <c r="AT212" s="29">
        <f>Saldos_Intereses_Mensual!Q212</f>
        <v/>
      </c>
      <c r="AU212" s="29">
        <f>ROUND(AS212 + AT212, 2)</f>
        <v/>
      </c>
      <c r="AV212" s="29">
        <f>Saldo_Residual_Activo!Q212</f>
        <v/>
      </c>
      <c r="AW212" s="29">
        <f>ROUND(AU212 + AV212, 2)</f>
        <v/>
      </c>
      <c r="AX212" s="29">
        <f>Saldos_Capital_Mensual!R212</f>
        <v/>
      </c>
      <c r="AY212" s="29">
        <f>Saldos_Intereses_Mensual!R212</f>
        <v/>
      </c>
      <c r="AZ212" s="29">
        <f>ROUND(AX212 + AY212, 2)</f>
        <v/>
      </c>
      <c r="BA212" s="29">
        <f>Saldo_Residual_Activo!R212</f>
        <v/>
      </c>
      <c r="BB212" s="29">
        <f>ROUND(AZ212 + BA212, 2)</f>
        <v/>
      </c>
      <c r="BC212" s="29">
        <f>Saldos_Capital_Mensual!S212</f>
        <v/>
      </c>
      <c r="BD212" s="29">
        <f>Saldos_Intereses_Mensual!S212</f>
        <v/>
      </c>
      <c r="BE212" s="29">
        <f>ROUND(BC212 + BD212, 2)</f>
        <v/>
      </c>
      <c r="BF212" s="29">
        <f>Saldo_Residual_Activo!S212</f>
        <v/>
      </c>
      <c r="BG212" s="29">
        <f>ROUND(BE212 + BF212, 2)</f>
        <v/>
      </c>
      <c r="BH212" s="29">
        <f>Saldos_Capital_Mensual!T212</f>
        <v/>
      </c>
      <c r="BI212" s="29">
        <f>Saldos_Intereses_Mensual!T212</f>
        <v/>
      </c>
      <c r="BJ212" s="29">
        <f>ROUND(BH212 + BI212, 2)</f>
        <v/>
      </c>
      <c r="BK212" s="29">
        <f>Saldo_Residual_Activo!T212</f>
        <v/>
      </c>
      <c r="BL212" s="29">
        <f>ROUND(BJ212 + BK212, 2)</f>
        <v/>
      </c>
    </row>
    <row r="213">
      <c r="A213" s="20" t="inlineStr">
        <is>
          <t>0729-0001</t>
        </is>
      </c>
      <c r="B213" s="21" t="inlineStr">
        <is>
          <t>Rubén Bravo Hernández</t>
        </is>
      </c>
      <c r="C213" s="21" t="inlineStr">
        <is>
          <t>Mamut T32 DC</t>
        </is>
      </c>
      <c r="D213" s="22" t="n">
        <v>36</v>
      </c>
      <c r="E213" s="23">
        <f>Saldos_Capital_Mensual!I213</f>
        <v/>
      </c>
      <c r="F213" s="23">
        <f>Saldos_Intereses_Mensual!I213</f>
        <v/>
      </c>
      <c r="G213" s="23">
        <f>ROUND(E213 + F213, 2)</f>
        <v/>
      </c>
      <c r="H213" s="23">
        <f>Saldo_Residual_Activo!I213</f>
        <v/>
      </c>
      <c r="I213" s="23">
        <f>ROUND(G213 + H213, 2)</f>
        <v/>
      </c>
      <c r="J213" s="23">
        <f>Saldos_Capital_Mensual!J213</f>
        <v/>
      </c>
      <c r="K213" s="23">
        <f>Saldos_Intereses_Mensual!J213</f>
        <v/>
      </c>
      <c r="L213" s="23">
        <f>ROUND(J213 + K213, 2)</f>
        <v/>
      </c>
      <c r="M213" s="23">
        <f>Saldo_Residual_Activo!J213</f>
        <v/>
      </c>
      <c r="N213" s="23">
        <f>ROUND(L213 + M213, 2)</f>
        <v/>
      </c>
      <c r="O213" s="23">
        <f>Saldos_Capital_Mensual!K213</f>
        <v/>
      </c>
      <c r="P213" s="23">
        <f>Saldos_Intereses_Mensual!K213</f>
        <v/>
      </c>
      <c r="Q213" s="23">
        <f>ROUND(O213 + P213, 2)</f>
        <v/>
      </c>
      <c r="R213" s="23">
        <f>Saldo_Residual_Activo!K213</f>
        <v/>
      </c>
      <c r="S213" s="23">
        <f>ROUND(Q213 + R213, 2)</f>
        <v/>
      </c>
      <c r="T213" s="23">
        <f>Saldos_Capital_Mensual!L213</f>
        <v/>
      </c>
      <c r="U213" s="23">
        <f>Saldos_Intereses_Mensual!L213</f>
        <v/>
      </c>
      <c r="V213" s="23">
        <f>ROUND(T213 + U213, 2)</f>
        <v/>
      </c>
      <c r="W213" s="23">
        <f>Saldo_Residual_Activo!L213</f>
        <v/>
      </c>
      <c r="X213" s="23">
        <f>ROUND(V213 + W213, 2)</f>
        <v/>
      </c>
      <c r="Y213" s="23">
        <f>Saldos_Capital_Mensual!M213</f>
        <v/>
      </c>
      <c r="Z213" s="23">
        <f>Saldos_Intereses_Mensual!M213</f>
        <v/>
      </c>
      <c r="AA213" s="23">
        <f>ROUND(Y213 + Z213, 2)</f>
        <v/>
      </c>
      <c r="AB213" s="23">
        <f>Saldo_Residual_Activo!M213</f>
        <v/>
      </c>
      <c r="AC213" s="23">
        <f>ROUND(AA213 + AB213, 2)</f>
        <v/>
      </c>
      <c r="AD213" s="23">
        <f>Saldos_Capital_Mensual!N213</f>
        <v/>
      </c>
      <c r="AE213" s="23">
        <f>Saldos_Intereses_Mensual!N213</f>
        <v/>
      </c>
      <c r="AF213" s="23">
        <f>ROUND(AD213 + AE213, 2)</f>
        <v/>
      </c>
      <c r="AG213" s="23">
        <f>Saldo_Residual_Activo!N213</f>
        <v/>
      </c>
      <c r="AH213" s="23">
        <f>ROUND(AF213 + AG213, 2)</f>
        <v/>
      </c>
      <c r="AI213" s="23">
        <f>Saldos_Capital_Mensual!O213</f>
        <v/>
      </c>
      <c r="AJ213" s="23">
        <f>Saldos_Intereses_Mensual!O213</f>
        <v/>
      </c>
      <c r="AK213" s="23">
        <f>ROUND(AI213 + AJ213, 2)</f>
        <v/>
      </c>
      <c r="AL213" s="23">
        <f>Saldo_Residual_Activo!O213</f>
        <v/>
      </c>
      <c r="AM213" s="23">
        <f>ROUND(AK213 + AL213, 2)</f>
        <v/>
      </c>
      <c r="AN213" s="23">
        <f>Saldos_Capital_Mensual!P213</f>
        <v/>
      </c>
      <c r="AO213" s="23">
        <f>Saldos_Intereses_Mensual!P213</f>
        <v/>
      </c>
      <c r="AP213" s="23">
        <f>ROUND(AN213 + AO213, 2)</f>
        <v/>
      </c>
      <c r="AQ213" s="23">
        <f>Saldo_Residual_Activo!P213</f>
        <v/>
      </c>
      <c r="AR213" s="23">
        <f>ROUND(AP213 + AQ213, 2)</f>
        <v/>
      </c>
      <c r="AS213" s="23">
        <f>Saldos_Capital_Mensual!Q213</f>
        <v/>
      </c>
      <c r="AT213" s="23">
        <f>Saldos_Intereses_Mensual!Q213</f>
        <v/>
      </c>
      <c r="AU213" s="23">
        <f>ROUND(AS213 + AT213, 2)</f>
        <v/>
      </c>
      <c r="AV213" s="23">
        <f>Saldo_Residual_Activo!Q213</f>
        <v/>
      </c>
      <c r="AW213" s="23">
        <f>ROUND(AU213 + AV213, 2)</f>
        <v/>
      </c>
      <c r="AX213" s="23">
        <f>Saldos_Capital_Mensual!R213</f>
        <v/>
      </c>
      <c r="AY213" s="23">
        <f>Saldos_Intereses_Mensual!R213</f>
        <v/>
      </c>
      <c r="AZ213" s="23">
        <f>ROUND(AX213 + AY213, 2)</f>
        <v/>
      </c>
      <c r="BA213" s="23">
        <f>Saldo_Residual_Activo!R213</f>
        <v/>
      </c>
      <c r="BB213" s="23">
        <f>ROUND(AZ213 + BA213, 2)</f>
        <v/>
      </c>
      <c r="BC213" s="23">
        <f>Saldos_Capital_Mensual!S213</f>
        <v/>
      </c>
      <c r="BD213" s="23">
        <f>Saldos_Intereses_Mensual!S213</f>
        <v/>
      </c>
      <c r="BE213" s="23">
        <f>ROUND(BC213 + BD213, 2)</f>
        <v/>
      </c>
      <c r="BF213" s="23">
        <f>Saldo_Residual_Activo!S213</f>
        <v/>
      </c>
      <c r="BG213" s="23">
        <f>ROUND(BE213 + BF213, 2)</f>
        <v/>
      </c>
      <c r="BH213" s="23">
        <f>Saldos_Capital_Mensual!T213</f>
        <v/>
      </c>
      <c r="BI213" s="23">
        <f>Saldos_Intereses_Mensual!T213</f>
        <v/>
      </c>
      <c r="BJ213" s="23">
        <f>ROUND(BH213 + BI213, 2)</f>
        <v/>
      </c>
      <c r="BK213" s="23">
        <f>Saldo_Residual_Activo!T213</f>
        <v/>
      </c>
      <c r="BL213" s="23">
        <f>ROUND(BJ213 + BK213, 2)</f>
        <v/>
      </c>
    </row>
    <row r="214">
      <c r="A214" s="26" t="inlineStr">
        <is>
          <t>0730-0001</t>
        </is>
      </c>
      <c r="B214" s="27" t="inlineStr">
        <is>
          <t>Karen Manrique Amaya</t>
        </is>
      </c>
      <c r="C214" s="27" t="inlineStr">
        <is>
          <t>Wrangler</t>
        </is>
      </c>
      <c r="D214" s="28" t="n">
        <v>36</v>
      </c>
      <c r="E214" s="29">
        <f>Saldos_Capital_Mensual!I214</f>
        <v/>
      </c>
      <c r="F214" s="29">
        <f>Saldos_Intereses_Mensual!I214</f>
        <v/>
      </c>
      <c r="G214" s="29">
        <f>ROUND(E214 + F214, 2)</f>
        <v/>
      </c>
      <c r="H214" s="29">
        <f>Saldo_Residual_Activo!I214</f>
        <v/>
      </c>
      <c r="I214" s="29">
        <f>ROUND(G214 + H214, 2)</f>
        <v/>
      </c>
      <c r="J214" s="29">
        <f>Saldos_Capital_Mensual!J214</f>
        <v/>
      </c>
      <c r="K214" s="29">
        <f>Saldos_Intereses_Mensual!J214</f>
        <v/>
      </c>
      <c r="L214" s="29">
        <f>ROUND(J214 + K214, 2)</f>
        <v/>
      </c>
      <c r="M214" s="29">
        <f>Saldo_Residual_Activo!J214</f>
        <v/>
      </c>
      <c r="N214" s="29">
        <f>ROUND(L214 + M214, 2)</f>
        <v/>
      </c>
      <c r="O214" s="29">
        <f>Saldos_Capital_Mensual!K214</f>
        <v/>
      </c>
      <c r="P214" s="29">
        <f>Saldos_Intereses_Mensual!K214</f>
        <v/>
      </c>
      <c r="Q214" s="29">
        <f>ROUND(O214 + P214, 2)</f>
        <v/>
      </c>
      <c r="R214" s="29">
        <f>Saldo_Residual_Activo!K214</f>
        <v/>
      </c>
      <c r="S214" s="29">
        <f>ROUND(Q214 + R214, 2)</f>
        <v/>
      </c>
      <c r="T214" s="29">
        <f>Saldos_Capital_Mensual!L214</f>
        <v/>
      </c>
      <c r="U214" s="29">
        <f>Saldos_Intereses_Mensual!L214</f>
        <v/>
      </c>
      <c r="V214" s="29">
        <f>ROUND(T214 + U214, 2)</f>
        <v/>
      </c>
      <c r="W214" s="29">
        <f>Saldo_Residual_Activo!L214</f>
        <v/>
      </c>
      <c r="X214" s="29">
        <f>ROUND(V214 + W214, 2)</f>
        <v/>
      </c>
      <c r="Y214" s="29">
        <f>Saldos_Capital_Mensual!M214</f>
        <v/>
      </c>
      <c r="Z214" s="29">
        <f>Saldos_Intereses_Mensual!M214</f>
        <v/>
      </c>
      <c r="AA214" s="29">
        <f>ROUND(Y214 + Z214, 2)</f>
        <v/>
      </c>
      <c r="AB214" s="29">
        <f>Saldo_Residual_Activo!M214</f>
        <v/>
      </c>
      <c r="AC214" s="29">
        <f>ROUND(AA214 + AB214, 2)</f>
        <v/>
      </c>
      <c r="AD214" s="29">
        <f>Saldos_Capital_Mensual!N214</f>
        <v/>
      </c>
      <c r="AE214" s="29">
        <f>Saldos_Intereses_Mensual!N214</f>
        <v/>
      </c>
      <c r="AF214" s="29">
        <f>ROUND(AD214 + AE214, 2)</f>
        <v/>
      </c>
      <c r="AG214" s="29">
        <f>Saldo_Residual_Activo!N214</f>
        <v/>
      </c>
      <c r="AH214" s="29">
        <f>ROUND(AF214 + AG214, 2)</f>
        <v/>
      </c>
      <c r="AI214" s="29">
        <f>Saldos_Capital_Mensual!O214</f>
        <v/>
      </c>
      <c r="AJ214" s="29">
        <f>Saldos_Intereses_Mensual!O214</f>
        <v/>
      </c>
      <c r="AK214" s="29">
        <f>ROUND(AI214 + AJ214, 2)</f>
        <v/>
      </c>
      <c r="AL214" s="29">
        <f>Saldo_Residual_Activo!O214</f>
        <v/>
      </c>
      <c r="AM214" s="29">
        <f>ROUND(AK214 + AL214, 2)</f>
        <v/>
      </c>
      <c r="AN214" s="29">
        <f>Saldos_Capital_Mensual!P214</f>
        <v/>
      </c>
      <c r="AO214" s="29">
        <f>Saldos_Intereses_Mensual!P214</f>
        <v/>
      </c>
      <c r="AP214" s="29">
        <f>ROUND(AN214 + AO214, 2)</f>
        <v/>
      </c>
      <c r="AQ214" s="29">
        <f>Saldo_Residual_Activo!P214</f>
        <v/>
      </c>
      <c r="AR214" s="29">
        <f>ROUND(AP214 + AQ214, 2)</f>
        <v/>
      </c>
      <c r="AS214" s="29">
        <f>Saldos_Capital_Mensual!Q214</f>
        <v/>
      </c>
      <c r="AT214" s="29">
        <f>Saldos_Intereses_Mensual!Q214</f>
        <v/>
      </c>
      <c r="AU214" s="29">
        <f>ROUND(AS214 + AT214, 2)</f>
        <v/>
      </c>
      <c r="AV214" s="29">
        <f>Saldo_Residual_Activo!Q214</f>
        <v/>
      </c>
      <c r="AW214" s="29">
        <f>ROUND(AU214 + AV214, 2)</f>
        <v/>
      </c>
      <c r="AX214" s="29">
        <f>Saldos_Capital_Mensual!R214</f>
        <v/>
      </c>
      <c r="AY214" s="29">
        <f>Saldos_Intereses_Mensual!R214</f>
        <v/>
      </c>
      <c r="AZ214" s="29">
        <f>ROUND(AX214 + AY214, 2)</f>
        <v/>
      </c>
      <c r="BA214" s="29">
        <f>Saldo_Residual_Activo!R214</f>
        <v/>
      </c>
      <c r="BB214" s="29">
        <f>ROUND(AZ214 + BA214, 2)</f>
        <v/>
      </c>
      <c r="BC214" s="29">
        <f>Saldos_Capital_Mensual!S214</f>
        <v/>
      </c>
      <c r="BD214" s="29">
        <f>Saldos_Intereses_Mensual!S214</f>
        <v/>
      </c>
      <c r="BE214" s="29">
        <f>ROUND(BC214 + BD214, 2)</f>
        <v/>
      </c>
      <c r="BF214" s="29">
        <f>Saldo_Residual_Activo!S214</f>
        <v/>
      </c>
      <c r="BG214" s="29">
        <f>ROUND(BE214 + BF214, 2)</f>
        <v/>
      </c>
      <c r="BH214" s="29">
        <f>Saldos_Capital_Mensual!T214</f>
        <v/>
      </c>
      <c r="BI214" s="29">
        <f>Saldos_Intereses_Mensual!T214</f>
        <v/>
      </c>
      <c r="BJ214" s="29">
        <f>ROUND(BH214 + BI214, 2)</f>
        <v/>
      </c>
      <c r="BK214" s="29">
        <f>Saldo_Residual_Activo!T214</f>
        <v/>
      </c>
      <c r="BL214" s="29">
        <f>ROUND(BJ214 + BK214, 2)</f>
        <v/>
      </c>
    </row>
    <row r="215">
      <c r="A215" s="20" t="inlineStr">
        <is>
          <t>0731-0001</t>
        </is>
      </c>
      <c r="B215" s="21" t="inlineStr">
        <is>
          <t>Tesselar Soluciones, S.A. de C.V.</t>
        </is>
      </c>
      <c r="C215" s="21" t="inlineStr">
        <is>
          <t>Song Plus</t>
        </is>
      </c>
      <c r="D215" s="22" t="n">
        <v>36</v>
      </c>
      <c r="E215" s="23">
        <f>Saldos_Capital_Mensual!I215</f>
        <v/>
      </c>
      <c r="F215" s="23">
        <f>Saldos_Intereses_Mensual!I215</f>
        <v/>
      </c>
      <c r="G215" s="23">
        <f>ROUND(E215 + F215, 2)</f>
        <v/>
      </c>
      <c r="H215" s="23">
        <f>Saldo_Residual_Activo!I215</f>
        <v/>
      </c>
      <c r="I215" s="23">
        <f>ROUND(G215 + H215, 2)</f>
        <v/>
      </c>
      <c r="J215" s="23">
        <f>Saldos_Capital_Mensual!J215</f>
        <v/>
      </c>
      <c r="K215" s="23">
        <f>Saldos_Intereses_Mensual!J215</f>
        <v/>
      </c>
      <c r="L215" s="23">
        <f>ROUND(J215 + K215, 2)</f>
        <v/>
      </c>
      <c r="M215" s="23">
        <f>Saldo_Residual_Activo!J215</f>
        <v/>
      </c>
      <c r="N215" s="23">
        <f>ROUND(L215 + M215, 2)</f>
        <v/>
      </c>
      <c r="O215" s="23">
        <f>Saldos_Capital_Mensual!K215</f>
        <v/>
      </c>
      <c r="P215" s="23">
        <f>Saldos_Intereses_Mensual!K215</f>
        <v/>
      </c>
      <c r="Q215" s="23">
        <f>ROUND(O215 + P215, 2)</f>
        <v/>
      </c>
      <c r="R215" s="23">
        <f>Saldo_Residual_Activo!K215</f>
        <v/>
      </c>
      <c r="S215" s="23">
        <f>ROUND(Q215 + R215, 2)</f>
        <v/>
      </c>
      <c r="T215" s="23">
        <f>Saldos_Capital_Mensual!L215</f>
        <v/>
      </c>
      <c r="U215" s="23">
        <f>Saldos_Intereses_Mensual!L215</f>
        <v/>
      </c>
      <c r="V215" s="23">
        <f>ROUND(T215 + U215, 2)</f>
        <v/>
      </c>
      <c r="W215" s="23">
        <f>Saldo_Residual_Activo!L215</f>
        <v/>
      </c>
      <c r="X215" s="23">
        <f>ROUND(V215 + W215, 2)</f>
        <v/>
      </c>
      <c r="Y215" s="23">
        <f>Saldos_Capital_Mensual!M215</f>
        <v/>
      </c>
      <c r="Z215" s="23">
        <f>Saldos_Intereses_Mensual!M215</f>
        <v/>
      </c>
      <c r="AA215" s="23">
        <f>ROUND(Y215 + Z215, 2)</f>
        <v/>
      </c>
      <c r="AB215" s="23">
        <f>Saldo_Residual_Activo!M215</f>
        <v/>
      </c>
      <c r="AC215" s="23">
        <f>ROUND(AA215 + AB215, 2)</f>
        <v/>
      </c>
      <c r="AD215" s="23">
        <f>Saldos_Capital_Mensual!N215</f>
        <v/>
      </c>
      <c r="AE215" s="23">
        <f>Saldos_Intereses_Mensual!N215</f>
        <v/>
      </c>
      <c r="AF215" s="23">
        <f>ROUND(AD215 + AE215, 2)</f>
        <v/>
      </c>
      <c r="AG215" s="23">
        <f>Saldo_Residual_Activo!N215</f>
        <v/>
      </c>
      <c r="AH215" s="23">
        <f>ROUND(AF215 + AG215, 2)</f>
        <v/>
      </c>
      <c r="AI215" s="23">
        <f>Saldos_Capital_Mensual!O215</f>
        <v/>
      </c>
      <c r="AJ215" s="23">
        <f>Saldos_Intereses_Mensual!O215</f>
        <v/>
      </c>
      <c r="AK215" s="23">
        <f>ROUND(AI215 + AJ215, 2)</f>
        <v/>
      </c>
      <c r="AL215" s="23">
        <f>Saldo_Residual_Activo!O215</f>
        <v/>
      </c>
      <c r="AM215" s="23">
        <f>ROUND(AK215 + AL215, 2)</f>
        <v/>
      </c>
      <c r="AN215" s="23">
        <f>Saldos_Capital_Mensual!P215</f>
        <v/>
      </c>
      <c r="AO215" s="23">
        <f>Saldos_Intereses_Mensual!P215</f>
        <v/>
      </c>
      <c r="AP215" s="23">
        <f>ROUND(AN215 + AO215, 2)</f>
        <v/>
      </c>
      <c r="AQ215" s="23">
        <f>Saldo_Residual_Activo!P215</f>
        <v/>
      </c>
      <c r="AR215" s="23">
        <f>ROUND(AP215 + AQ215, 2)</f>
        <v/>
      </c>
      <c r="AS215" s="23">
        <f>Saldos_Capital_Mensual!Q215</f>
        <v/>
      </c>
      <c r="AT215" s="23">
        <f>Saldos_Intereses_Mensual!Q215</f>
        <v/>
      </c>
      <c r="AU215" s="23">
        <f>ROUND(AS215 + AT215, 2)</f>
        <v/>
      </c>
      <c r="AV215" s="23">
        <f>Saldo_Residual_Activo!Q215</f>
        <v/>
      </c>
      <c r="AW215" s="23">
        <f>ROUND(AU215 + AV215, 2)</f>
        <v/>
      </c>
      <c r="AX215" s="23">
        <f>Saldos_Capital_Mensual!R215</f>
        <v/>
      </c>
      <c r="AY215" s="23">
        <f>Saldos_Intereses_Mensual!R215</f>
        <v/>
      </c>
      <c r="AZ215" s="23">
        <f>ROUND(AX215 + AY215, 2)</f>
        <v/>
      </c>
      <c r="BA215" s="23">
        <f>Saldo_Residual_Activo!R215</f>
        <v/>
      </c>
      <c r="BB215" s="23">
        <f>ROUND(AZ215 + BA215, 2)</f>
        <v/>
      </c>
      <c r="BC215" s="23">
        <f>Saldos_Capital_Mensual!S215</f>
        <v/>
      </c>
      <c r="BD215" s="23">
        <f>Saldos_Intereses_Mensual!S215</f>
        <v/>
      </c>
      <c r="BE215" s="23">
        <f>ROUND(BC215 + BD215, 2)</f>
        <v/>
      </c>
      <c r="BF215" s="23">
        <f>Saldo_Residual_Activo!S215</f>
        <v/>
      </c>
      <c r="BG215" s="23">
        <f>ROUND(BE215 + BF215, 2)</f>
        <v/>
      </c>
      <c r="BH215" s="23">
        <f>Saldos_Capital_Mensual!T215</f>
        <v/>
      </c>
      <c r="BI215" s="23">
        <f>Saldos_Intereses_Mensual!T215</f>
        <v/>
      </c>
      <c r="BJ215" s="23">
        <f>ROUND(BH215 + BI215, 2)</f>
        <v/>
      </c>
      <c r="BK215" s="23">
        <f>Saldo_Residual_Activo!T215</f>
        <v/>
      </c>
      <c r="BL215" s="23">
        <f>ROUND(BJ215 + BK215, 2)</f>
        <v/>
      </c>
    </row>
    <row r="216">
      <c r="A216" s="26" t="inlineStr">
        <is>
          <t>0731-0002</t>
        </is>
      </c>
      <c r="B216" s="27" t="inlineStr">
        <is>
          <t>Tesselar Soluciones, S.A. de C.V.</t>
        </is>
      </c>
      <c r="C216" s="27" t="inlineStr">
        <is>
          <t>Arona Style</t>
        </is>
      </c>
      <c r="D216" s="28" t="n">
        <v>48</v>
      </c>
      <c r="E216" s="29">
        <f>Saldos_Capital_Mensual!I216</f>
        <v/>
      </c>
      <c r="F216" s="29">
        <f>Saldos_Intereses_Mensual!I216</f>
        <v/>
      </c>
      <c r="G216" s="29">
        <f>ROUND(E216 + F216, 2)</f>
        <v/>
      </c>
      <c r="H216" s="29">
        <f>Saldo_Residual_Activo!I216</f>
        <v/>
      </c>
      <c r="I216" s="29">
        <f>ROUND(G216 + H216, 2)</f>
        <v/>
      </c>
      <c r="J216" s="29">
        <f>Saldos_Capital_Mensual!J216</f>
        <v/>
      </c>
      <c r="K216" s="29">
        <f>Saldos_Intereses_Mensual!J216</f>
        <v/>
      </c>
      <c r="L216" s="29">
        <f>ROUND(J216 + K216, 2)</f>
        <v/>
      </c>
      <c r="M216" s="29">
        <f>Saldo_Residual_Activo!J216</f>
        <v/>
      </c>
      <c r="N216" s="29">
        <f>ROUND(L216 + M216, 2)</f>
        <v/>
      </c>
      <c r="O216" s="29">
        <f>Saldos_Capital_Mensual!K216</f>
        <v/>
      </c>
      <c r="P216" s="29">
        <f>Saldos_Intereses_Mensual!K216</f>
        <v/>
      </c>
      <c r="Q216" s="29">
        <f>ROUND(O216 + P216, 2)</f>
        <v/>
      </c>
      <c r="R216" s="29">
        <f>Saldo_Residual_Activo!K216</f>
        <v/>
      </c>
      <c r="S216" s="29">
        <f>ROUND(Q216 + R216, 2)</f>
        <v/>
      </c>
      <c r="T216" s="29">
        <f>Saldos_Capital_Mensual!L216</f>
        <v/>
      </c>
      <c r="U216" s="29">
        <f>Saldos_Intereses_Mensual!L216</f>
        <v/>
      </c>
      <c r="V216" s="29">
        <f>ROUND(T216 + U216, 2)</f>
        <v/>
      </c>
      <c r="W216" s="29">
        <f>Saldo_Residual_Activo!L216</f>
        <v/>
      </c>
      <c r="X216" s="29">
        <f>ROUND(V216 + W216, 2)</f>
        <v/>
      </c>
      <c r="Y216" s="29">
        <f>Saldos_Capital_Mensual!M216</f>
        <v/>
      </c>
      <c r="Z216" s="29">
        <f>Saldos_Intereses_Mensual!M216</f>
        <v/>
      </c>
      <c r="AA216" s="29">
        <f>ROUND(Y216 + Z216, 2)</f>
        <v/>
      </c>
      <c r="AB216" s="29">
        <f>Saldo_Residual_Activo!M216</f>
        <v/>
      </c>
      <c r="AC216" s="29">
        <f>ROUND(AA216 + AB216, 2)</f>
        <v/>
      </c>
      <c r="AD216" s="29">
        <f>Saldos_Capital_Mensual!N216</f>
        <v/>
      </c>
      <c r="AE216" s="29">
        <f>Saldos_Intereses_Mensual!N216</f>
        <v/>
      </c>
      <c r="AF216" s="29">
        <f>ROUND(AD216 + AE216, 2)</f>
        <v/>
      </c>
      <c r="AG216" s="29">
        <f>Saldo_Residual_Activo!N216</f>
        <v/>
      </c>
      <c r="AH216" s="29">
        <f>ROUND(AF216 + AG216, 2)</f>
        <v/>
      </c>
      <c r="AI216" s="29">
        <f>Saldos_Capital_Mensual!O216</f>
        <v/>
      </c>
      <c r="AJ216" s="29">
        <f>Saldos_Intereses_Mensual!O216</f>
        <v/>
      </c>
      <c r="AK216" s="29">
        <f>ROUND(AI216 + AJ216, 2)</f>
        <v/>
      </c>
      <c r="AL216" s="29">
        <f>Saldo_Residual_Activo!O216</f>
        <v/>
      </c>
      <c r="AM216" s="29">
        <f>ROUND(AK216 + AL216, 2)</f>
        <v/>
      </c>
      <c r="AN216" s="29">
        <f>Saldos_Capital_Mensual!P216</f>
        <v/>
      </c>
      <c r="AO216" s="29">
        <f>Saldos_Intereses_Mensual!P216</f>
        <v/>
      </c>
      <c r="AP216" s="29">
        <f>ROUND(AN216 + AO216, 2)</f>
        <v/>
      </c>
      <c r="AQ216" s="29">
        <f>Saldo_Residual_Activo!P216</f>
        <v/>
      </c>
      <c r="AR216" s="29">
        <f>ROUND(AP216 + AQ216, 2)</f>
        <v/>
      </c>
      <c r="AS216" s="29">
        <f>Saldos_Capital_Mensual!Q216</f>
        <v/>
      </c>
      <c r="AT216" s="29">
        <f>Saldos_Intereses_Mensual!Q216</f>
        <v/>
      </c>
      <c r="AU216" s="29">
        <f>ROUND(AS216 + AT216, 2)</f>
        <v/>
      </c>
      <c r="AV216" s="29">
        <f>Saldo_Residual_Activo!Q216</f>
        <v/>
      </c>
      <c r="AW216" s="29">
        <f>ROUND(AU216 + AV216, 2)</f>
        <v/>
      </c>
      <c r="AX216" s="29">
        <f>Saldos_Capital_Mensual!R216</f>
        <v/>
      </c>
      <c r="AY216" s="29">
        <f>Saldos_Intereses_Mensual!R216</f>
        <v/>
      </c>
      <c r="AZ216" s="29">
        <f>ROUND(AX216 + AY216, 2)</f>
        <v/>
      </c>
      <c r="BA216" s="29">
        <f>Saldo_Residual_Activo!R216</f>
        <v/>
      </c>
      <c r="BB216" s="29">
        <f>ROUND(AZ216 + BA216, 2)</f>
        <v/>
      </c>
      <c r="BC216" s="29">
        <f>Saldos_Capital_Mensual!S216</f>
        <v/>
      </c>
      <c r="BD216" s="29">
        <f>Saldos_Intereses_Mensual!S216</f>
        <v/>
      </c>
      <c r="BE216" s="29">
        <f>ROUND(BC216 + BD216, 2)</f>
        <v/>
      </c>
      <c r="BF216" s="29">
        <f>Saldo_Residual_Activo!S216</f>
        <v/>
      </c>
      <c r="BG216" s="29">
        <f>ROUND(BE216 + BF216, 2)</f>
        <v/>
      </c>
      <c r="BH216" s="29">
        <f>Saldos_Capital_Mensual!T216</f>
        <v/>
      </c>
      <c r="BI216" s="29">
        <f>Saldos_Intereses_Mensual!T216</f>
        <v/>
      </c>
      <c r="BJ216" s="29">
        <f>ROUND(BH216 + BI216, 2)</f>
        <v/>
      </c>
      <c r="BK216" s="29">
        <f>Saldo_Residual_Activo!T216</f>
        <v/>
      </c>
      <c r="BL216" s="29">
        <f>ROUND(BJ216 + BK216, 2)</f>
        <v/>
      </c>
    </row>
    <row r="217">
      <c r="A217" s="20" t="inlineStr">
        <is>
          <t>0732-0001</t>
        </is>
      </c>
      <c r="B217" s="21" t="inlineStr">
        <is>
          <t>Koonol Food Traders, S.A. de C.V.</t>
        </is>
      </c>
      <c r="C217" s="21" t="inlineStr">
        <is>
          <t>K4 Turbo</t>
        </is>
      </c>
      <c r="D217" s="22" t="n">
        <v>36</v>
      </c>
      <c r="E217" s="23">
        <f>Saldos_Capital_Mensual!I217</f>
        <v/>
      </c>
      <c r="F217" s="23">
        <f>Saldos_Intereses_Mensual!I217</f>
        <v/>
      </c>
      <c r="G217" s="23">
        <f>ROUND(E217 + F217, 2)</f>
        <v/>
      </c>
      <c r="H217" s="23">
        <f>Saldo_Residual_Activo!I217</f>
        <v/>
      </c>
      <c r="I217" s="23">
        <f>ROUND(G217 + H217, 2)</f>
        <v/>
      </c>
      <c r="J217" s="23">
        <f>Saldos_Capital_Mensual!J217</f>
        <v/>
      </c>
      <c r="K217" s="23">
        <f>Saldos_Intereses_Mensual!J217</f>
        <v/>
      </c>
      <c r="L217" s="23">
        <f>ROUND(J217 + K217, 2)</f>
        <v/>
      </c>
      <c r="M217" s="23">
        <f>Saldo_Residual_Activo!J217</f>
        <v/>
      </c>
      <c r="N217" s="23">
        <f>ROUND(L217 + M217, 2)</f>
        <v/>
      </c>
      <c r="O217" s="23">
        <f>Saldos_Capital_Mensual!K217</f>
        <v/>
      </c>
      <c r="P217" s="23">
        <f>Saldos_Intereses_Mensual!K217</f>
        <v/>
      </c>
      <c r="Q217" s="23">
        <f>ROUND(O217 + P217, 2)</f>
        <v/>
      </c>
      <c r="R217" s="23">
        <f>Saldo_Residual_Activo!K217</f>
        <v/>
      </c>
      <c r="S217" s="23">
        <f>ROUND(Q217 + R217, 2)</f>
        <v/>
      </c>
      <c r="T217" s="23">
        <f>Saldos_Capital_Mensual!L217</f>
        <v/>
      </c>
      <c r="U217" s="23">
        <f>Saldos_Intereses_Mensual!L217</f>
        <v/>
      </c>
      <c r="V217" s="23">
        <f>ROUND(T217 + U217, 2)</f>
        <v/>
      </c>
      <c r="W217" s="23">
        <f>Saldo_Residual_Activo!L217</f>
        <v/>
      </c>
      <c r="X217" s="23">
        <f>ROUND(V217 + W217, 2)</f>
        <v/>
      </c>
      <c r="Y217" s="23">
        <f>Saldos_Capital_Mensual!M217</f>
        <v/>
      </c>
      <c r="Z217" s="23">
        <f>Saldos_Intereses_Mensual!M217</f>
        <v/>
      </c>
      <c r="AA217" s="23">
        <f>ROUND(Y217 + Z217, 2)</f>
        <v/>
      </c>
      <c r="AB217" s="23">
        <f>Saldo_Residual_Activo!M217</f>
        <v/>
      </c>
      <c r="AC217" s="23">
        <f>ROUND(AA217 + AB217, 2)</f>
        <v/>
      </c>
      <c r="AD217" s="23">
        <f>Saldos_Capital_Mensual!N217</f>
        <v/>
      </c>
      <c r="AE217" s="23">
        <f>Saldos_Intereses_Mensual!N217</f>
        <v/>
      </c>
      <c r="AF217" s="23">
        <f>ROUND(AD217 + AE217, 2)</f>
        <v/>
      </c>
      <c r="AG217" s="23">
        <f>Saldo_Residual_Activo!N217</f>
        <v/>
      </c>
      <c r="AH217" s="23">
        <f>ROUND(AF217 + AG217, 2)</f>
        <v/>
      </c>
      <c r="AI217" s="23">
        <f>Saldos_Capital_Mensual!O217</f>
        <v/>
      </c>
      <c r="AJ217" s="23">
        <f>Saldos_Intereses_Mensual!O217</f>
        <v/>
      </c>
      <c r="AK217" s="23">
        <f>ROUND(AI217 + AJ217, 2)</f>
        <v/>
      </c>
      <c r="AL217" s="23">
        <f>Saldo_Residual_Activo!O217</f>
        <v/>
      </c>
      <c r="AM217" s="23">
        <f>ROUND(AK217 + AL217, 2)</f>
        <v/>
      </c>
      <c r="AN217" s="23">
        <f>Saldos_Capital_Mensual!P217</f>
        <v/>
      </c>
      <c r="AO217" s="23">
        <f>Saldos_Intereses_Mensual!P217</f>
        <v/>
      </c>
      <c r="AP217" s="23">
        <f>ROUND(AN217 + AO217, 2)</f>
        <v/>
      </c>
      <c r="AQ217" s="23">
        <f>Saldo_Residual_Activo!P217</f>
        <v/>
      </c>
      <c r="AR217" s="23">
        <f>ROUND(AP217 + AQ217, 2)</f>
        <v/>
      </c>
      <c r="AS217" s="23">
        <f>Saldos_Capital_Mensual!Q217</f>
        <v/>
      </c>
      <c r="AT217" s="23">
        <f>Saldos_Intereses_Mensual!Q217</f>
        <v/>
      </c>
      <c r="AU217" s="23">
        <f>ROUND(AS217 + AT217, 2)</f>
        <v/>
      </c>
      <c r="AV217" s="23">
        <f>Saldo_Residual_Activo!Q217</f>
        <v/>
      </c>
      <c r="AW217" s="23">
        <f>ROUND(AU217 + AV217, 2)</f>
        <v/>
      </c>
      <c r="AX217" s="23">
        <f>Saldos_Capital_Mensual!R217</f>
        <v/>
      </c>
      <c r="AY217" s="23">
        <f>Saldos_Intereses_Mensual!R217</f>
        <v/>
      </c>
      <c r="AZ217" s="23">
        <f>ROUND(AX217 + AY217, 2)</f>
        <v/>
      </c>
      <c r="BA217" s="23">
        <f>Saldo_Residual_Activo!R217</f>
        <v/>
      </c>
      <c r="BB217" s="23">
        <f>ROUND(AZ217 + BA217, 2)</f>
        <v/>
      </c>
      <c r="BC217" s="23">
        <f>Saldos_Capital_Mensual!S217</f>
        <v/>
      </c>
      <c r="BD217" s="23">
        <f>Saldos_Intereses_Mensual!S217</f>
        <v/>
      </c>
      <c r="BE217" s="23">
        <f>ROUND(BC217 + BD217, 2)</f>
        <v/>
      </c>
      <c r="BF217" s="23">
        <f>Saldo_Residual_Activo!S217</f>
        <v/>
      </c>
      <c r="BG217" s="23">
        <f>ROUND(BE217 + BF217, 2)</f>
        <v/>
      </c>
      <c r="BH217" s="23">
        <f>Saldos_Capital_Mensual!T217</f>
        <v/>
      </c>
      <c r="BI217" s="23">
        <f>Saldos_Intereses_Mensual!T217</f>
        <v/>
      </c>
      <c r="BJ217" s="23">
        <f>ROUND(BH217 + BI217, 2)</f>
        <v/>
      </c>
      <c r="BK217" s="23">
        <f>Saldo_Residual_Activo!T217</f>
        <v/>
      </c>
      <c r="BL217" s="23">
        <f>ROUND(BJ217 + BK217, 2)</f>
        <v/>
      </c>
    </row>
    <row r="218">
      <c r="A218" s="26" t="inlineStr">
        <is>
          <t>0733-0001</t>
        </is>
      </c>
      <c r="B218" s="27" t="inlineStr">
        <is>
          <t>Alejandro Arias Maldonado</t>
        </is>
      </c>
      <c r="C218" s="27" t="inlineStr">
        <is>
          <t>Wrangler</t>
        </is>
      </c>
      <c r="D218" s="28" t="n">
        <v>48</v>
      </c>
      <c r="E218" s="29">
        <f>Saldos_Capital_Mensual!I218</f>
        <v/>
      </c>
      <c r="F218" s="29">
        <f>Saldos_Intereses_Mensual!I218</f>
        <v/>
      </c>
      <c r="G218" s="29">
        <f>ROUND(E218 + F218, 2)</f>
        <v/>
      </c>
      <c r="H218" s="29">
        <f>Saldo_Residual_Activo!I218</f>
        <v/>
      </c>
      <c r="I218" s="29">
        <f>ROUND(G218 + H218, 2)</f>
        <v/>
      </c>
      <c r="J218" s="29">
        <f>Saldos_Capital_Mensual!J218</f>
        <v/>
      </c>
      <c r="K218" s="29">
        <f>Saldos_Intereses_Mensual!J218</f>
        <v/>
      </c>
      <c r="L218" s="29">
        <f>ROUND(J218 + K218, 2)</f>
        <v/>
      </c>
      <c r="M218" s="29">
        <f>Saldo_Residual_Activo!J218</f>
        <v/>
      </c>
      <c r="N218" s="29">
        <f>ROUND(L218 + M218, 2)</f>
        <v/>
      </c>
      <c r="O218" s="29">
        <f>Saldos_Capital_Mensual!K218</f>
        <v/>
      </c>
      <c r="P218" s="29">
        <f>Saldos_Intereses_Mensual!K218</f>
        <v/>
      </c>
      <c r="Q218" s="29">
        <f>ROUND(O218 + P218, 2)</f>
        <v/>
      </c>
      <c r="R218" s="29">
        <f>Saldo_Residual_Activo!K218</f>
        <v/>
      </c>
      <c r="S218" s="29">
        <f>ROUND(Q218 + R218, 2)</f>
        <v/>
      </c>
      <c r="T218" s="29">
        <f>Saldos_Capital_Mensual!L218</f>
        <v/>
      </c>
      <c r="U218" s="29">
        <f>Saldos_Intereses_Mensual!L218</f>
        <v/>
      </c>
      <c r="V218" s="29">
        <f>ROUND(T218 + U218, 2)</f>
        <v/>
      </c>
      <c r="W218" s="29">
        <f>Saldo_Residual_Activo!L218</f>
        <v/>
      </c>
      <c r="X218" s="29">
        <f>ROUND(V218 + W218, 2)</f>
        <v/>
      </c>
      <c r="Y218" s="29">
        <f>Saldos_Capital_Mensual!M218</f>
        <v/>
      </c>
      <c r="Z218" s="29">
        <f>Saldos_Intereses_Mensual!M218</f>
        <v/>
      </c>
      <c r="AA218" s="29">
        <f>ROUND(Y218 + Z218, 2)</f>
        <v/>
      </c>
      <c r="AB218" s="29">
        <f>Saldo_Residual_Activo!M218</f>
        <v/>
      </c>
      <c r="AC218" s="29">
        <f>ROUND(AA218 + AB218, 2)</f>
        <v/>
      </c>
      <c r="AD218" s="29">
        <f>Saldos_Capital_Mensual!N218</f>
        <v/>
      </c>
      <c r="AE218" s="29">
        <f>Saldos_Intereses_Mensual!N218</f>
        <v/>
      </c>
      <c r="AF218" s="29">
        <f>ROUND(AD218 + AE218, 2)</f>
        <v/>
      </c>
      <c r="AG218" s="29">
        <f>Saldo_Residual_Activo!N218</f>
        <v/>
      </c>
      <c r="AH218" s="29">
        <f>ROUND(AF218 + AG218, 2)</f>
        <v/>
      </c>
      <c r="AI218" s="29">
        <f>Saldos_Capital_Mensual!O218</f>
        <v/>
      </c>
      <c r="AJ218" s="29">
        <f>Saldos_Intereses_Mensual!O218</f>
        <v/>
      </c>
      <c r="AK218" s="29">
        <f>ROUND(AI218 + AJ218, 2)</f>
        <v/>
      </c>
      <c r="AL218" s="29">
        <f>Saldo_Residual_Activo!O218</f>
        <v/>
      </c>
      <c r="AM218" s="29">
        <f>ROUND(AK218 + AL218, 2)</f>
        <v/>
      </c>
      <c r="AN218" s="29">
        <f>Saldos_Capital_Mensual!P218</f>
        <v/>
      </c>
      <c r="AO218" s="29">
        <f>Saldos_Intereses_Mensual!P218</f>
        <v/>
      </c>
      <c r="AP218" s="29">
        <f>ROUND(AN218 + AO218, 2)</f>
        <v/>
      </c>
      <c r="AQ218" s="29">
        <f>Saldo_Residual_Activo!P218</f>
        <v/>
      </c>
      <c r="AR218" s="29">
        <f>ROUND(AP218 + AQ218, 2)</f>
        <v/>
      </c>
      <c r="AS218" s="29">
        <f>Saldos_Capital_Mensual!Q218</f>
        <v/>
      </c>
      <c r="AT218" s="29">
        <f>Saldos_Intereses_Mensual!Q218</f>
        <v/>
      </c>
      <c r="AU218" s="29">
        <f>ROUND(AS218 + AT218, 2)</f>
        <v/>
      </c>
      <c r="AV218" s="29">
        <f>Saldo_Residual_Activo!Q218</f>
        <v/>
      </c>
      <c r="AW218" s="29">
        <f>ROUND(AU218 + AV218, 2)</f>
        <v/>
      </c>
      <c r="AX218" s="29">
        <f>Saldos_Capital_Mensual!R218</f>
        <v/>
      </c>
      <c r="AY218" s="29">
        <f>Saldos_Intereses_Mensual!R218</f>
        <v/>
      </c>
      <c r="AZ218" s="29">
        <f>ROUND(AX218 + AY218, 2)</f>
        <v/>
      </c>
      <c r="BA218" s="29">
        <f>Saldo_Residual_Activo!R218</f>
        <v/>
      </c>
      <c r="BB218" s="29">
        <f>ROUND(AZ218 + BA218, 2)</f>
        <v/>
      </c>
      <c r="BC218" s="29">
        <f>Saldos_Capital_Mensual!S218</f>
        <v/>
      </c>
      <c r="BD218" s="29">
        <f>Saldos_Intereses_Mensual!S218</f>
        <v/>
      </c>
      <c r="BE218" s="29">
        <f>ROUND(BC218 + BD218, 2)</f>
        <v/>
      </c>
      <c r="BF218" s="29">
        <f>Saldo_Residual_Activo!S218</f>
        <v/>
      </c>
      <c r="BG218" s="29">
        <f>ROUND(BE218 + BF218, 2)</f>
        <v/>
      </c>
      <c r="BH218" s="29">
        <f>Saldos_Capital_Mensual!T218</f>
        <v/>
      </c>
      <c r="BI218" s="29">
        <f>Saldos_Intereses_Mensual!T218</f>
        <v/>
      </c>
      <c r="BJ218" s="29">
        <f>ROUND(BH218 + BI218, 2)</f>
        <v/>
      </c>
      <c r="BK218" s="29">
        <f>Saldo_Residual_Activo!T218</f>
        <v/>
      </c>
      <c r="BL218" s="29">
        <f>ROUND(BJ218 + BK218, 2)</f>
        <v/>
      </c>
    </row>
    <row r="219">
      <c r="A219" s="20" t="inlineStr">
        <is>
          <t>0734-0001</t>
        </is>
      </c>
      <c r="B219" s="21" t="inlineStr">
        <is>
          <t>Nutrientes Agricolas de Colima, S. de R.L. de C.V.</t>
        </is>
      </c>
      <c r="C219" s="21" t="inlineStr">
        <is>
          <t>1200 TRADESMAN RC</t>
        </is>
      </c>
      <c r="D219" s="22" t="n">
        <v>36</v>
      </c>
      <c r="E219" s="23">
        <f>Saldos_Capital_Mensual!I219</f>
        <v/>
      </c>
      <c r="F219" s="23">
        <f>Saldos_Intereses_Mensual!I219</f>
        <v/>
      </c>
      <c r="G219" s="23">
        <f>ROUND(E219 + F219, 2)</f>
        <v/>
      </c>
      <c r="H219" s="23">
        <f>Saldo_Residual_Activo!I219</f>
        <v/>
      </c>
      <c r="I219" s="23">
        <f>ROUND(G219 + H219, 2)</f>
        <v/>
      </c>
      <c r="J219" s="23">
        <f>Saldos_Capital_Mensual!J219</f>
        <v/>
      </c>
      <c r="K219" s="23">
        <f>Saldos_Intereses_Mensual!J219</f>
        <v/>
      </c>
      <c r="L219" s="23">
        <f>ROUND(J219 + K219, 2)</f>
        <v/>
      </c>
      <c r="M219" s="23">
        <f>Saldo_Residual_Activo!J219</f>
        <v/>
      </c>
      <c r="N219" s="23">
        <f>ROUND(L219 + M219, 2)</f>
        <v/>
      </c>
      <c r="O219" s="23">
        <f>Saldos_Capital_Mensual!K219</f>
        <v/>
      </c>
      <c r="P219" s="23">
        <f>Saldos_Intereses_Mensual!K219</f>
        <v/>
      </c>
      <c r="Q219" s="23">
        <f>ROUND(O219 + P219, 2)</f>
        <v/>
      </c>
      <c r="R219" s="23">
        <f>Saldo_Residual_Activo!K219</f>
        <v/>
      </c>
      <c r="S219" s="23">
        <f>ROUND(Q219 + R219, 2)</f>
        <v/>
      </c>
      <c r="T219" s="23">
        <f>Saldos_Capital_Mensual!L219</f>
        <v/>
      </c>
      <c r="U219" s="23">
        <f>Saldos_Intereses_Mensual!L219</f>
        <v/>
      </c>
      <c r="V219" s="23">
        <f>ROUND(T219 + U219, 2)</f>
        <v/>
      </c>
      <c r="W219" s="23">
        <f>Saldo_Residual_Activo!L219</f>
        <v/>
      </c>
      <c r="X219" s="23">
        <f>ROUND(V219 + W219, 2)</f>
        <v/>
      </c>
      <c r="Y219" s="23">
        <f>Saldos_Capital_Mensual!M219</f>
        <v/>
      </c>
      <c r="Z219" s="23">
        <f>Saldos_Intereses_Mensual!M219</f>
        <v/>
      </c>
      <c r="AA219" s="23">
        <f>ROUND(Y219 + Z219, 2)</f>
        <v/>
      </c>
      <c r="AB219" s="23">
        <f>Saldo_Residual_Activo!M219</f>
        <v/>
      </c>
      <c r="AC219" s="23">
        <f>ROUND(AA219 + AB219, 2)</f>
        <v/>
      </c>
      <c r="AD219" s="23">
        <f>Saldos_Capital_Mensual!N219</f>
        <v/>
      </c>
      <c r="AE219" s="23">
        <f>Saldos_Intereses_Mensual!N219</f>
        <v/>
      </c>
      <c r="AF219" s="23">
        <f>ROUND(AD219 + AE219, 2)</f>
        <v/>
      </c>
      <c r="AG219" s="23">
        <f>Saldo_Residual_Activo!N219</f>
        <v/>
      </c>
      <c r="AH219" s="23">
        <f>ROUND(AF219 + AG219, 2)</f>
        <v/>
      </c>
      <c r="AI219" s="23">
        <f>Saldos_Capital_Mensual!O219</f>
        <v/>
      </c>
      <c r="AJ219" s="23">
        <f>Saldos_Intereses_Mensual!O219</f>
        <v/>
      </c>
      <c r="AK219" s="23">
        <f>ROUND(AI219 + AJ219, 2)</f>
        <v/>
      </c>
      <c r="AL219" s="23">
        <f>Saldo_Residual_Activo!O219</f>
        <v/>
      </c>
      <c r="AM219" s="23">
        <f>ROUND(AK219 + AL219, 2)</f>
        <v/>
      </c>
      <c r="AN219" s="23">
        <f>Saldos_Capital_Mensual!P219</f>
        <v/>
      </c>
      <c r="AO219" s="23">
        <f>Saldos_Intereses_Mensual!P219</f>
        <v/>
      </c>
      <c r="AP219" s="23">
        <f>ROUND(AN219 + AO219, 2)</f>
        <v/>
      </c>
      <c r="AQ219" s="23">
        <f>Saldo_Residual_Activo!P219</f>
        <v/>
      </c>
      <c r="AR219" s="23">
        <f>ROUND(AP219 + AQ219, 2)</f>
        <v/>
      </c>
      <c r="AS219" s="23">
        <f>Saldos_Capital_Mensual!Q219</f>
        <v/>
      </c>
      <c r="AT219" s="23">
        <f>Saldos_Intereses_Mensual!Q219</f>
        <v/>
      </c>
      <c r="AU219" s="23">
        <f>ROUND(AS219 + AT219, 2)</f>
        <v/>
      </c>
      <c r="AV219" s="23">
        <f>Saldo_Residual_Activo!Q219</f>
        <v/>
      </c>
      <c r="AW219" s="23">
        <f>ROUND(AU219 + AV219, 2)</f>
        <v/>
      </c>
      <c r="AX219" s="23">
        <f>Saldos_Capital_Mensual!R219</f>
        <v/>
      </c>
      <c r="AY219" s="23">
        <f>Saldos_Intereses_Mensual!R219</f>
        <v/>
      </c>
      <c r="AZ219" s="23">
        <f>ROUND(AX219 + AY219, 2)</f>
        <v/>
      </c>
      <c r="BA219" s="23">
        <f>Saldo_Residual_Activo!R219</f>
        <v/>
      </c>
      <c r="BB219" s="23">
        <f>ROUND(AZ219 + BA219, 2)</f>
        <v/>
      </c>
      <c r="BC219" s="23">
        <f>Saldos_Capital_Mensual!S219</f>
        <v/>
      </c>
      <c r="BD219" s="23">
        <f>Saldos_Intereses_Mensual!S219</f>
        <v/>
      </c>
      <c r="BE219" s="23">
        <f>ROUND(BC219 + BD219, 2)</f>
        <v/>
      </c>
      <c r="BF219" s="23">
        <f>Saldo_Residual_Activo!S219</f>
        <v/>
      </c>
      <c r="BG219" s="23">
        <f>ROUND(BE219 + BF219, 2)</f>
        <v/>
      </c>
      <c r="BH219" s="23">
        <f>Saldos_Capital_Mensual!T219</f>
        <v/>
      </c>
      <c r="BI219" s="23">
        <f>Saldos_Intereses_Mensual!T219</f>
        <v/>
      </c>
      <c r="BJ219" s="23">
        <f>ROUND(BH219 + BI219, 2)</f>
        <v/>
      </c>
      <c r="BK219" s="23">
        <f>Saldo_Residual_Activo!T219</f>
        <v/>
      </c>
      <c r="BL219" s="23">
        <f>ROUND(BJ219 + BK219, 2)</f>
        <v/>
      </c>
    </row>
    <row r="220">
      <c r="A220" s="26" t="inlineStr">
        <is>
          <t>0734-0002</t>
        </is>
      </c>
      <c r="B220" s="27" t="inlineStr">
        <is>
          <t>Nutrientes Agricolas de Colima, S. de R.L. de C.V.</t>
        </is>
      </c>
      <c r="C220" s="27" t="inlineStr">
        <is>
          <t>1200 TRADESMAN CHASIS CABINA</t>
        </is>
      </c>
      <c r="D220" s="28" t="n">
        <v>36</v>
      </c>
      <c r="E220" s="29">
        <f>Saldos_Capital_Mensual!I220</f>
        <v/>
      </c>
      <c r="F220" s="29">
        <f>Saldos_Intereses_Mensual!I220</f>
        <v/>
      </c>
      <c r="G220" s="29">
        <f>ROUND(E220 + F220, 2)</f>
        <v/>
      </c>
      <c r="H220" s="29">
        <f>Saldo_Residual_Activo!I220</f>
        <v/>
      </c>
      <c r="I220" s="29">
        <f>ROUND(G220 + H220, 2)</f>
        <v/>
      </c>
      <c r="J220" s="29">
        <f>Saldos_Capital_Mensual!J220</f>
        <v/>
      </c>
      <c r="K220" s="29">
        <f>Saldos_Intereses_Mensual!J220</f>
        <v/>
      </c>
      <c r="L220" s="29">
        <f>ROUND(J220 + K220, 2)</f>
        <v/>
      </c>
      <c r="M220" s="29">
        <f>Saldo_Residual_Activo!J220</f>
        <v/>
      </c>
      <c r="N220" s="29">
        <f>ROUND(L220 + M220, 2)</f>
        <v/>
      </c>
      <c r="O220" s="29">
        <f>Saldos_Capital_Mensual!K220</f>
        <v/>
      </c>
      <c r="P220" s="29">
        <f>Saldos_Intereses_Mensual!K220</f>
        <v/>
      </c>
      <c r="Q220" s="29">
        <f>ROUND(O220 + P220, 2)</f>
        <v/>
      </c>
      <c r="R220" s="29">
        <f>Saldo_Residual_Activo!K220</f>
        <v/>
      </c>
      <c r="S220" s="29">
        <f>ROUND(Q220 + R220, 2)</f>
        <v/>
      </c>
      <c r="T220" s="29">
        <f>Saldos_Capital_Mensual!L220</f>
        <v/>
      </c>
      <c r="U220" s="29">
        <f>Saldos_Intereses_Mensual!L220</f>
        <v/>
      </c>
      <c r="V220" s="29">
        <f>ROUND(T220 + U220, 2)</f>
        <v/>
      </c>
      <c r="W220" s="29">
        <f>Saldo_Residual_Activo!L220</f>
        <v/>
      </c>
      <c r="X220" s="29">
        <f>ROUND(V220 + W220, 2)</f>
        <v/>
      </c>
      <c r="Y220" s="29">
        <f>Saldos_Capital_Mensual!M220</f>
        <v/>
      </c>
      <c r="Z220" s="29">
        <f>Saldos_Intereses_Mensual!M220</f>
        <v/>
      </c>
      <c r="AA220" s="29">
        <f>ROUND(Y220 + Z220, 2)</f>
        <v/>
      </c>
      <c r="AB220" s="29">
        <f>Saldo_Residual_Activo!M220</f>
        <v/>
      </c>
      <c r="AC220" s="29">
        <f>ROUND(AA220 + AB220, 2)</f>
        <v/>
      </c>
      <c r="AD220" s="29">
        <f>Saldos_Capital_Mensual!N220</f>
        <v/>
      </c>
      <c r="AE220" s="29">
        <f>Saldos_Intereses_Mensual!N220</f>
        <v/>
      </c>
      <c r="AF220" s="29">
        <f>ROUND(AD220 + AE220, 2)</f>
        <v/>
      </c>
      <c r="AG220" s="29">
        <f>Saldo_Residual_Activo!N220</f>
        <v/>
      </c>
      <c r="AH220" s="29">
        <f>ROUND(AF220 + AG220, 2)</f>
        <v/>
      </c>
      <c r="AI220" s="29">
        <f>Saldos_Capital_Mensual!O220</f>
        <v/>
      </c>
      <c r="AJ220" s="29">
        <f>Saldos_Intereses_Mensual!O220</f>
        <v/>
      </c>
      <c r="AK220" s="29">
        <f>ROUND(AI220 + AJ220, 2)</f>
        <v/>
      </c>
      <c r="AL220" s="29">
        <f>Saldo_Residual_Activo!O220</f>
        <v/>
      </c>
      <c r="AM220" s="29">
        <f>ROUND(AK220 + AL220, 2)</f>
        <v/>
      </c>
      <c r="AN220" s="29">
        <f>Saldos_Capital_Mensual!P220</f>
        <v/>
      </c>
      <c r="AO220" s="29">
        <f>Saldos_Intereses_Mensual!P220</f>
        <v/>
      </c>
      <c r="AP220" s="29">
        <f>ROUND(AN220 + AO220, 2)</f>
        <v/>
      </c>
      <c r="AQ220" s="29">
        <f>Saldo_Residual_Activo!P220</f>
        <v/>
      </c>
      <c r="AR220" s="29">
        <f>ROUND(AP220 + AQ220, 2)</f>
        <v/>
      </c>
      <c r="AS220" s="29">
        <f>Saldos_Capital_Mensual!Q220</f>
        <v/>
      </c>
      <c r="AT220" s="29">
        <f>Saldos_Intereses_Mensual!Q220</f>
        <v/>
      </c>
      <c r="AU220" s="29">
        <f>ROUND(AS220 + AT220, 2)</f>
        <v/>
      </c>
      <c r="AV220" s="29">
        <f>Saldo_Residual_Activo!Q220</f>
        <v/>
      </c>
      <c r="AW220" s="29">
        <f>ROUND(AU220 + AV220, 2)</f>
        <v/>
      </c>
      <c r="AX220" s="29">
        <f>Saldos_Capital_Mensual!R220</f>
        <v/>
      </c>
      <c r="AY220" s="29">
        <f>Saldos_Intereses_Mensual!R220</f>
        <v/>
      </c>
      <c r="AZ220" s="29">
        <f>ROUND(AX220 + AY220, 2)</f>
        <v/>
      </c>
      <c r="BA220" s="29">
        <f>Saldo_Residual_Activo!R220</f>
        <v/>
      </c>
      <c r="BB220" s="29">
        <f>ROUND(AZ220 + BA220, 2)</f>
        <v/>
      </c>
      <c r="BC220" s="29">
        <f>Saldos_Capital_Mensual!S220</f>
        <v/>
      </c>
      <c r="BD220" s="29">
        <f>Saldos_Intereses_Mensual!S220</f>
        <v/>
      </c>
      <c r="BE220" s="29">
        <f>ROUND(BC220 + BD220, 2)</f>
        <v/>
      </c>
      <c r="BF220" s="29">
        <f>Saldo_Residual_Activo!S220</f>
        <v/>
      </c>
      <c r="BG220" s="29">
        <f>ROUND(BE220 + BF220, 2)</f>
        <v/>
      </c>
      <c r="BH220" s="29">
        <f>Saldos_Capital_Mensual!T220</f>
        <v/>
      </c>
      <c r="BI220" s="29">
        <f>Saldos_Intereses_Mensual!T220</f>
        <v/>
      </c>
      <c r="BJ220" s="29">
        <f>ROUND(BH220 + BI220, 2)</f>
        <v/>
      </c>
      <c r="BK220" s="29">
        <f>Saldo_Residual_Activo!T220</f>
        <v/>
      </c>
      <c r="BL220" s="29">
        <f>ROUND(BJ220 + BK220, 2)</f>
        <v/>
      </c>
    </row>
    <row r="221">
      <c r="A221" s="20" t="inlineStr">
        <is>
          <t>0735-0001</t>
        </is>
      </c>
      <c r="B221" s="21" t="inlineStr">
        <is>
          <t>Francisco Zepeda Covarrubias</t>
        </is>
      </c>
      <c r="C221" s="21" t="inlineStr">
        <is>
          <t>Territory Trend 1.5L Hibrido</t>
        </is>
      </c>
      <c r="D221" s="22" t="n">
        <v>36</v>
      </c>
      <c r="E221" s="23">
        <f>Saldos_Capital_Mensual!I221</f>
        <v/>
      </c>
      <c r="F221" s="23">
        <f>Saldos_Intereses_Mensual!I221</f>
        <v/>
      </c>
      <c r="G221" s="23">
        <f>ROUND(E221 + F221, 2)</f>
        <v/>
      </c>
      <c r="H221" s="23">
        <f>Saldo_Residual_Activo!I221</f>
        <v/>
      </c>
      <c r="I221" s="23">
        <f>ROUND(G221 + H221, 2)</f>
        <v/>
      </c>
      <c r="J221" s="23">
        <f>Saldos_Capital_Mensual!J221</f>
        <v/>
      </c>
      <c r="K221" s="23">
        <f>Saldos_Intereses_Mensual!J221</f>
        <v/>
      </c>
      <c r="L221" s="23">
        <f>ROUND(J221 + K221, 2)</f>
        <v/>
      </c>
      <c r="M221" s="23">
        <f>Saldo_Residual_Activo!J221</f>
        <v/>
      </c>
      <c r="N221" s="23">
        <f>ROUND(L221 + M221, 2)</f>
        <v/>
      </c>
      <c r="O221" s="23">
        <f>Saldos_Capital_Mensual!K221</f>
        <v/>
      </c>
      <c r="P221" s="23">
        <f>Saldos_Intereses_Mensual!K221</f>
        <v/>
      </c>
      <c r="Q221" s="23">
        <f>ROUND(O221 + P221, 2)</f>
        <v/>
      </c>
      <c r="R221" s="23">
        <f>Saldo_Residual_Activo!K221</f>
        <v/>
      </c>
      <c r="S221" s="23">
        <f>ROUND(Q221 + R221, 2)</f>
        <v/>
      </c>
      <c r="T221" s="23">
        <f>Saldos_Capital_Mensual!L221</f>
        <v/>
      </c>
      <c r="U221" s="23">
        <f>Saldos_Intereses_Mensual!L221</f>
        <v/>
      </c>
      <c r="V221" s="23">
        <f>ROUND(T221 + U221, 2)</f>
        <v/>
      </c>
      <c r="W221" s="23">
        <f>Saldo_Residual_Activo!L221</f>
        <v/>
      </c>
      <c r="X221" s="23">
        <f>ROUND(V221 + W221, 2)</f>
        <v/>
      </c>
      <c r="Y221" s="23">
        <f>Saldos_Capital_Mensual!M221</f>
        <v/>
      </c>
      <c r="Z221" s="23">
        <f>Saldos_Intereses_Mensual!M221</f>
        <v/>
      </c>
      <c r="AA221" s="23">
        <f>ROUND(Y221 + Z221, 2)</f>
        <v/>
      </c>
      <c r="AB221" s="23">
        <f>Saldo_Residual_Activo!M221</f>
        <v/>
      </c>
      <c r="AC221" s="23">
        <f>ROUND(AA221 + AB221, 2)</f>
        <v/>
      </c>
      <c r="AD221" s="23">
        <f>Saldos_Capital_Mensual!N221</f>
        <v/>
      </c>
      <c r="AE221" s="23">
        <f>Saldos_Intereses_Mensual!N221</f>
        <v/>
      </c>
      <c r="AF221" s="23">
        <f>ROUND(AD221 + AE221, 2)</f>
        <v/>
      </c>
      <c r="AG221" s="23">
        <f>Saldo_Residual_Activo!N221</f>
        <v/>
      </c>
      <c r="AH221" s="23">
        <f>ROUND(AF221 + AG221, 2)</f>
        <v/>
      </c>
      <c r="AI221" s="23">
        <f>Saldos_Capital_Mensual!O221</f>
        <v/>
      </c>
      <c r="AJ221" s="23">
        <f>Saldos_Intereses_Mensual!O221</f>
        <v/>
      </c>
      <c r="AK221" s="23">
        <f>ROUND(AI221 + AJ221, 2)</f>
        <v/>
      </c>
      <c r="AL221" s="23">
        <f>Saldo_Residual_Activo!O221</f>
        <v/>
      </c>
      <c r="AM221" s="23">
        <f>ROUND(AK221 + AL221, 2)</f>
        <v/>
      </c>
      <c r="AN221" s="23">
        <f>Saldos_Capital_Mensual!P221</f>
        <v/>
      </c>
      <c r="AO221" s="23">
        <f>Saldos_Intereses_Mensual!P221</f>
        <v/>
      </c>
      <c r="AP221" s="23">
        <f>ROUND(AN221 + AO221, 2)</f>
        <v/>
      </c>
      <c r="AQ221" s="23">
        <f>Saldo_Residual_Activo!P221</f>
        <v/>
      </c>
      <c r="AR221" s="23">
        <f>ROUND(AP221 + AQ221, 2)</f>
        <v/>
      </c>
      <c r="AS221" s="23">
        <f>Saldos_Capital_Mensual!Q221</f>
        <v/>
      </c>
      <c r="AT221" s="23">
        <f>Saldos_Intereses_Mensual!Q221</f>
        <v/>
      </c>
      <c r="AU221" s="23">
        <f>ROUND(AS221 + AT221, 2)</f>
        <v/>
      </c>
      <c r="AV221" s="23">
        <f>Saldo_Residual_Activo!Q221</f>
        <v/>
      </c>
      <c r="AW221" s="23">
        <f>ROUND(AU221 + AV221, 2)</f>
        <v/>
      </c>
      <c r="AX221" s="23">
        <f>Saldos_Capital_Mensual!R221</f>
        <v/>
      </c>
      <c r="AY221" s="23">
        <f>Saldos_Intereses_Mensual!R221</f>
        <v/>
      </c>
      <c r="AZ221" s="23">
        <f>ROUND(AX221 + AY221, 2)</f>
        <v/>
      </c>
      <c r="BA221" s="23">
        <f>Saldo_Residual_Activo!R221</f>
        <v/>
      </c>
      <c r="BB221" s="23">
        <f>ROUND(AZ221 + BA221, 2)</f>
        <v/>
      </c>
      <c r="BC221" s="23">
        <f>Saldos_Capital_Mensual!S221</f>
        <v/>
      </c>
      <c r="BD221" s="23">
        <f>Saldos_Intereses_Mensual!S221</f>
        <v/>
      </c>
      <c r="BE221" s="23">
        <f>ROUND(BC221 + BD221, 2)</f>
        <v/>
      </c>
      <c r="BF221" s="23">
        <f>Saldo_Residual_Activo!S221</f>
        <v/>
      </c>
      <c r="BG221" s="23">
        <f>ROUND(BE221 + BF221, 2)</f>
        <v/>
      </c>
      <c r="BH221" s="23">
        <f>Saldos_Capital_Mensual!T221</f>
        <v/>
      </c>
      <c r="BI221" s="23">
        <f>Saldos_Intereses_Mensual!T221</f>
        <v/>
      </c>
      <c r="BJ221" s="23">
        <f>ROUND(BH221 + BI221, 2)</f>
        <v/>
      </c>
      <c r="BK221" s="23">
        <f>Saldo_Residual_Activo!T221</f>
        <v/>
      </c>
      <c r="BL221" s="23">
        <f>ROUND(BJ221 + BK221, 2)</f>
        <v/>
      </c>
    </row>
    <row r="222">
      <c r="A222" s="26" t="inlineStr">
        <is>
          <t>0736-0001</t>
        </is>
      </c>
      <c r="B222" s="27" t="inlineStr">
        <is>
          <t>Industrial Castillo de Tequila S.A. de C.V.</t>
        </is>
      </c>
      <c r="C222" s="27" t="inlineStr">
        <is>
          <t>700 TRADESMAN CREW CAB</t>
        </is>
      </c>
      <c r="D222" s="28" t="n">
        <v>48</v>
      </c>
      <c r="E222" s="29">
        <f>Saldos_Capital_Mensual!I222</f>
        <v/>
      </c>
      <c r="F222" s="29">
        <f>Saldos_Intereses_Mensual!I222</f>
        <v/>
      </c>
      <c r="G222" s="29">
        <f>ROUND(E222 + F222, 2)</f>
        <v/>
      </c>
      <c r="H222" s="29">
        <f>Saldo_Residual_Activo!I222</f>
        <v/>
      </c>
      <c r="I222" s="29">
        <f>ROUND(G222 + H222, 2)</f>
        <v/>
      </c>
      <c r="J222" s="29">
        <f>Saldos_Capital_Mensual!J222</f>
        <v/>
      </c>
      <c r="K222" s="29">
        <f>Saldos_Intereses_Mensual!J222</f>
        <v/>
      </c>
      <c r="L222" s="29">
        <f>ROUND(J222 + K222, 2)</f>
        <v/>
      </c>
      <c r="M222" s="29">
        <f>Saldo_Residual_Activo!J222</f>
        <v/>
      </c>
      <c r="N222" s="29">
        <f>ROUND(L222 + M222, 2)</f>
        <v/>
      </c>
      <c r="O222" s="29">
        <f>Saldos_Capital_Mensual!K222</f>
        <v/>
      </c>
      <c r="P222" s="29">
        <f>Saldos_Intereses_Mensual!K222</f>
        <v/>
      </c>
      <c r="Q222" s="29">
        <f>ROUND(O222 + P222, 2)</f>
        <v/>
      </c>
      <c r="R222" s="29">
        <f>Saldo_Residual_Activo!K222</f>
        <v/>
      </c>
      <c r="S222" s="29">
        <f>ROUND(Q222 + R222, 2)</f>
        <v/>
      </c>
      <c r="T222" s="29">
        <f>Saldos_Capital_Mensual!L222</f>
        <v/>
      </c>
      <c r="U222" s="29">
        <f>Saldos_Intereses_Mensual!L222</f>
        <v/>
      </c>
      <c r="V222" s="29">
        <f>ROUND(T222 + U222, 2)</f>
        <v/>
      </c>
      <c r="W222" s="29">
        <f>Saldo_Residual_Activo!L222</f>
        <v/>
      </c>
      <c r="X222" s="29">
        <f>ROUND(V222 + W222, 2)</f>
        <v/>
      </c>
      <c r="Y222" s="29">
        <f>Saldos_Capital_Mensual!M222</f>
        <v/>
      </c>
      <c r="Z222" s="29">
        <f>Saldos_Intereses_Mensual!M222</f>
        <v/>
      </c>
      <c r="AA222" s="29">
        <f>ROUND(Y222 + Z222, 2)</f>
        <v/>
      </c>
      <c r="AB222" s="29">
        <f>Saldo_Residual_Activo!M222</f>
        <v/>
      </c>
      <c r="AC222" s="29">
        <f>ROUND(AA222 + AB222, 2)</f>
        <v/>
      </c>
      <c r="AD222" s="29">
        <f>Saldos_Capital_Mensual!N222</f>
        <v/>
      </c>
      <c r="AE222" s="29">
        <f>Saldos_Intereses_Mensual!N222</f>
        <v/>
      </c>
      <c r="AF222" s="29">
        <f>ROUND(AD222 + AE222, 2)</f>
        <v/>
      </c>
      <c r="AG222" s="29">
        <f>Saldo_Residual_Activo!N222</f>
        <v/>
      </c>
      <c r="AH222" s="29">
        <f>ROUND(AF222 + AG222, 2)</f>
        <v/>
      </c>
      <c r="AI222" s="29">
        <f>Saldos_Capital_Mensual!O222</f>
        <v/>
      </c>
      <c r="AJ222" s="29">
        <f>Saldos_Intereses_Mensual!O222</f>
        <v/>
      </c>
      <c r="AK222" s="29">
        <f>ROUND(AI222 + AJ222, 2)</f>
        <v/>
      </c>
      <c r="AL222" s="29">
        <f>Saldo_Residual_Activo!O222</f>
        <v/>
      </c>
      <c r="AM222" s="29">
        <f>ROUND(AK222 + AL222, 2)</f>
        <v/>
      </c>
      <c r="AN222" s="29">
        <f>Saldos_Capital_Mensual!P222</f>
        <v/>
      </c>
      <c r="AO222" s="29">
        <f>Saldos_Intereses_Mensual!P222</f>
        <v/>
      </c>
      <c r="AP222" s="29">
        <f>ROUND(AN222 + AO222, 2)</f>
        <v/>
      </c>
      <c r="AQ222" s="29">
        <f>Saldo_Residual_Activo!P222</f>
        <v/>
      </c>
      <c r="AR222" s="29">
        <f>ROUND(AP222 + AQ222, 2)</f>
        <v/>
      </c>
      <c r="AS222" s="29">
        <f>Saldos_Capital_Mensual!Q222</f>
        <v/>
      </c>
      <c r="AT222" s="29">
        <f>Saldos_Intereses_Mensual!Q222</f>
        <v/>
      </c>
      <c r="AU222" s="29">
        <f>ROUND(AS222 + AT222, 2)</f>
        <v/>
      </c>
      <c r="AV222" s="29">
        <f>Saldo_Residual_Activo!Q222</f>
        <v/>
      </c>
      <c r="AW222" s="29">
        <f>ROUND(AU222 + AV222, 2)</f>
        <v/>
      </c>
      <c r="AX222" s="29">
        <f>Saldos_Capital_Mensual!R222</f>
        <v/>
      </c>
      <c r="AY222" s="29">
        <f>Saldos_Intereses_Mensual!R222</f>
        <v/>
      </c>
      <c r="AZ222" s="29">
        <f>ROUND(AX222 + AY222, 2)</f>
        <v/>
      </c>
      <c r="BA222" s="29">
        <f>Saldo_Residual_Activo!R222</f>
        <v/>
      </c>
      <c r="BB222" s="29">
        <f>ROUND(AZ222 + BA222, 2)</f>
        <v/>
      </c>
      <c r="BC222" s="29">
        <f>Saldos_Capital_Mensual!S222</f>
        <v/>
      </c>
      <c r="BD222" s="29">
        <f>Saldos_Intereses_Mensual!S222</f>
        <v/>
      </c>
      <c r="BE222" s="29">
        <f>ROUND(BC222 + BD222, 2)</f>
        <v/>
      </c>
      <c r="BF222" s="29">
        <f>Saldo_Residual_Activo!S222</f>
        <v/>
      </c>
      <c r="BG222" s="29">
        <f>ROUND(BE222 + BF222, 2)</f>
        <v/>
      </c>
      <c r="BH222" s="29">
        <f>Saldos_Capital_Mensual!T222</f>
        <v/>
      </c>
      <c r="BI222" s="29">
        <f>Saldos_Intereses_Mensual!T222</f>
        <v/>
      </c>
      <c r="BJ222" s="29">
        <f>ROUND(BH222 + BI222, 2)</f>
        <v/>
      </c>
      <c r="BK222" s="29">
        <f>Saldo_Residual_Activo!T222</f>
        <v/>
      </c>
      <c r="BL222" s="29">
        <f>ROUND(BJ222 + BK222, 2)</f>
        <v/>
      </c>
    </row>
    <row r="223">
      <c r="A223" s="20" t="inlineStr">
        <is>
          <t>0737-0001</t>
        </is>
      </c>
      <c r="B223" s="21" t="inlineStr">
        <is>
          <t>Nicola Briani</t>
        </is>
      </c>
      <c r="C223" s="21" t="inlineStr">
        <is>
          <t>T1 Savage</t>
        </is>
      </c>
      <c r="D223" s="22" t="n">
        <v>48</v>
      </c>
      <c r="E223" s="23">
        <f>Saldos_Capital_Mensual!I223</f>
        <v/>
      </c>
      <c r="F223" s="23">
        <f>Saldos_Intereses_Mensual!I223</f>
        <v/>
      </c>
      <c r="G223" s="23">
        <f>ROUND(E223 + F223, 2)</f>
        <v/>
      </c>
      <c r="H223" s="23">
        <f>Saldo_Residual_Activo!I223</f>
        <v/>
      </c>
      <c r="I223" s="23">
        <f>ROUND(G223 + H223, 2)</f>
        <v/>
      </c>
      <c r="J223" s="23">
        <f>Saldos_Capital_Mensual!J223</f>
        <v/>
      </c>
      <c r="K223" s="23">
        <f>Saldos_Intereses_Mensual!J223</f>
        <v/>
      </c>
      <c r="L223" s="23">
        <f>ROUND(J223 + K223, 2)</f>
        <v/>
      </c>
      <c r="M223" s="23">
        <f>Saldo_Residual_Activo!J223</f>
        <v/>
      </c>
      <c r="N223" s="23">
        <f>ROUND(L223 + M223, 2)</f>
        <v/>
      </c>
      <c r="O223" s="23">
        <f>Saldos_Capital_Mensual!K223</f>
        <v/>
      </c>
      <c r="P223" s="23">
        <f>Saldos_Intereses_Mensual!K223</f>
        <v/>
      </c>
      <c r="Q223" s="23">
        <f>ROUND(O223 + P223, 2)</f>
        <v/>
      </c>
      <c r="R223" s="23">
        <f>Saldo_Residual_Activo!K223</f>
        <v/>
      </c>
      <c r="S223" s="23">
        <f>ROUND(Q223 + R223, 2)</f>
        <v/>
      </c>
      <c r="T223" s="23">
        <f>Saldos_Capital_Mensual!L223</f>
        <v/>
      </c>
      <c r="U223" s="23">
        <f>Saldos_Intereses_Mensual!L223</f>
        <v/>
      </c>
      <c r="V223" s="23">
        <f>ROUND(T223 + U223, 2)</f>
        <v/>
      </c>
      <c r="W223" s="23">
        <f>Saldo_Residual_Activo!L223</f>
        <v/>
      </c>
      <c r="X223" s="23">
        <f>ROUND(V223 + W223, 2)</f>
        <v/>
      </c>
      <c r="Y223" s="23">
        <f>Saldos_Capital_Mensual!M223</f>
        <v/>
      </c>
      <c r="Z223" s="23">
        <f>Saldos_Intereses_Mensual!M223</f>
        <v/>
      </c>
      <c r="AA223" s="23">
        <f>ROUND(Y223 + Z223, 2)</f>
        <v/>
      </c>
      <c r="AB223" s="23">
        <f>Saldo_Residual_Activo!M223</f>
        <v/>
      </c>
      <c r="AC223" s="23">
        <f>ROUND(AA223 + AB223, 2)</f>
        <v/>
      </c>
      <c r="AD223" s="23">
        <f>Saldos_Capital_Mensual!N223</f>
        <v/>
      </c>
      <c r="AE223" s="23">
        <f>Saldos_Intereses_Mensual!N223</f>
        <v/>
      </c>
      <c r="AF223" s="23">
        <f>ROUND(AD223 + AE223, 2)</f>
        <v/>
      </c>
      <c r="AG223" s="23">
        <f>Saldo_Residual_Activo!N223</f>
        <v/>
      </c>
      <c r="AH223" s="23">
        <f>ROUND(AF223 + AG223, 2)</f>
        <v/>
      </c>
      <c r="AI223" s="23">
        <f>Saldos_Capital_Mensual!O223</f>
        <v/>
      </c>
      <c r="AJ223" s="23">
        <f>Saldos_Intereses_Mensual!O223</f>
        <v/>
      </c>
      <c r="AK223" s="23">
        <f>ROUND(AI223 + AJ223, 2)</f>
        <v/>
      </c>
      <c r="AL223" s="23">
        <f>Saldo_Residual_Activo!O223</f>
        <v/>
      </c>
      <c r="AM223" s="23">
        <f>ROUND(AK223 + AL223, 2)</f>
        <v/>
      </c>
      <c r="AN223" s="23">
        <f>Saldos_Capital_Mensual!P223</f>
        <v/>
      </c>
      <c r="AO223" s="23">
        <f>Saldos_Intereses_Mensual!P223</f>
        <v/>
      </c>
      <c r="AP223" s="23">
        <f>ROUND(AN223 + AO223, 2)</f>
        <v/>
      </c>
      <c r="AQ223" s="23">
        <f>Saldo_Residual_Activo!P223</f>
        <v/>
      </c>
      <c r="AR223" s="23">
        <f>ROUND(AP223 + AQ223, 2)</f>
        <v/>
      </c>
      <c r="AS223" s="23">
        <f>Saldos_Capital_Mensual!Q223</f>
        <v/>
      </c>
      <c r="AT223" s="23">
        <f>Saldos_Intereses_Mensual!Q223</f>
        <v/>
      </c>
      <c r="AU223" s="23">
        <f>ROUND(AS223 + AT223, 2)</f>
        <v/>
      </c>
      <c r="AV223" s="23">
        <f>Saldo_Residual_Activo!Q223</f>
        <v/>
      </c>
      <c r="AW223" s="23">
        <f>ROUND(AU223 + AV223, 2)</f>
        <v/>
      </c>
      <c r="AX223" s="23">
        <f>Saldos_Capital_Mensual!R223</f>
        <v/>
      </c>
      <c r="AY223" s="23">
        <f>Saldos_Intereses_Mensual!R223</f>
        <v/>
      </c>
      <c r="AZ223" s="23">
        <f>ROUND(AX223 + AY223, 2)</f>
        <v/>
      </c>
      <c r="BA223" s="23">
        <f>Saldo_Residual_Activo!R223</f>
        <v/>
      </c>
      <c r="BB223" s="23">
        <f>ROUND(AZ223 + BA223, 2)</f>
        <v/>
      </c>
      <c r="BC223" s="23">
        <f>Saldos_Capital_Mensual!S223</f>
        <v/>
      </c>
      <c r="BD223" s="23">
        <f>Saldos_Intereses_Mensual!S223</f>
        <v/>
      </c>
      <c r="BE223" s="23">
        <f>ROUND(BC223 + BD223, 2)</f>
        <v/>
      </c>
      <c r="BF223" s="23">
        <f>Saldo_Residual_Activo!S223</f>
        <v/>
      </c>
      <c r="BG223" s="23">
        <f>ROUND(BE223 + BF223, 2)</f>
        <v/>
      </c>
      <c r="BH223" s="23">
        <f>Saldos_Capital_Mensual!T223</f>
        <v/>
      </c>
      <c r="BI223" s="23">
        <f>Saldos_Intereses_Mensual!T223</f>
        <v/>
      </c>
      <c r="BJ223" s="23">
        <f>ROUND(BH223 + BI223, 2)</f>
        <v/>
      </c>
      <c r="BK223" s="23">
        <f>Saldo_Residual_Activo!T223</f>
        <v/>
      </c>
      <c r="BL223" s="23">
        <f>ROUND(BJ223 + BK223, 2)</f>
        <v/>
      </c>
    </row>
    <row r="224">
      <c r="A224" s="26" t="inlineStr">
        <is>
          <t>0738-0001</t>
        </is>
      </c>
      <c r="B224" s="27" t="inlineStr">
        <is>
          <t>Vinaria Distribución S.A.S.</t>
        </is>
      </c>
      <c r="C224" s="27" t="inlineStr">
        <is>
          <t>700 BIGHORN "S" CREW CAB CVT</t>
        </is>
      </c>
      <c r="D224" s="28" t="n">
        <v>36</v>
      </c>
      <c r="E224" s="29">
        <f>Saldos_Capital_Mensual!I224</f>
        <v/>
      </c>
      <c r="F224" s="29">
        <f>Saldos_Intereses_Mensual!I224</f>
        <v/>
      </c>
      <c r="G224" s="29">
        <f>ROUND(E224 + F224, 2)</f>
        <v/>
      </c>
      <c r="H224" s="29">
        <f>Saldo_Residual_Activo!I224</f>
        <v/>
      </c>
      <c r="I224" s="29">
        <f>ROUND(G224 + H224, 2)</f>
        <v/>
      </c>
      <c r="J224" s="29">
        <f>Saldos_Capital_Mensual!J224</f>
        <v/>
      </c>
      <c r="K224" s="29">
        <f>Saldos_Intereses_Mensual!J224</f>
        <v/>
      </c>
      <c r="L224" s="29">
        <f>ROUND(J224 + K224, 2)</f>
        <v/>
      </c>
      <c r="M224" s="29">
        <f>Saldo_Residual_Activo!J224</f>
        <v/>
      </c>
      <c r="N224" s="29">
        <f>ROUND(L224 + M224, 2)</f>
        <v/>
      </c>
      <c r="O224" s="29">
        <f>Saldos_Capital_Mensual!K224</f>
        <v/>
      </c>
      <c r="P224" s="29">
        <f>Saldos_Intereses_Mensual!K224</f>
        <v/>
      </c>
      <c r="Q224" s="29">
        <f>ROUND(O224 + P224, 2)</f>
        <v/>
      </c>
      <c r="R224" s="29">
        <f>Saldo_Residual_Activo!K224</f>
        <v/>
      </c>
      <c r="S224" s="29">
        <f>ROUND(Q224 + R224, 2)</f>
        <v/>
      </c>
      <c r="T224" s="29">
        <f>Saldos_Capital_Mensual!L224</f>
        <v/>
      </c>
      <c r="U224" s="29">
        <f>Saldos_Intereses_Mensual!L224</f>
        <v/>
      </c>
      <c r="V224" s="29">
        <f>ROUND(T224 + U224, 2)</f>
        <v/>
      </c>
      <c r="W224" s="29">
        <f>Saldo_Residual_Activo!L224</f>
        <v/>
      </c>
      <c r="X224" s="29">
        <f>ROUND(V224 + W224, 2)</f>
        <v/>
      </c>
      <c r="Y224" s="29">
        <f>Saldos_Capital_Mensual!M224</f>
        <v/>
      </c>
      <c r="Z224" s="29">
        <f>Saldos_Intereses_Mensual!M224</f>
        <v/>
      </c>
      <c r="AA224" s="29">
        <f>ROUND(Y224 + Z224, 2)</f>
        <v/>
      </c>
      <c r="AB224" s="29">
        <f>Saldo_Residual_Activo!M224</f>
        <v/>
      </c>
      <c r="AC224" s="29">
        <f>ROUND(AA224 + AB224, 2)</f>
        <v/>
      </c>
      <c r="AD224" s="29">
        <f>Saldos_Capital_Mensual!N224</f>
        <v/>
      </c>
      <c r="AE224" s="29">
        <f>Saldos_Intereses_Mensual!N224</f>
        <v/>
      </c>
      <c r="AF224" s="29">
        <f>ROUND(AD224 + AE224, 2)</f>
        <v/>
      </c>
      <c r="AG224" s="29">
        <f>Saldo_Residual_Activo!N224</f>
        <v/>
      </c>
      <c r="AH224" s="29">
        <f>ROUND(AF224 + AG224, 2)</f>
        <v/>
      </c>
      <c r="AI224" s="29">
        <f>Saldos_Capital_Mensual!O224</f>
        <v/>
      </c>
      <c r="AJ224" s="29">
        <f>Saldos_Intereses_Mensual!O224</f>
        <v/>
      </c>
      <c r="AK224" s="29">
        <f>ROUND(AI224 + AJ224, 2)</f>
        <v/>
      </c>
      <c r="AL224" s="29">
        <f>Saldo_Residual_Activo!O224</f>
        <v/>
      </c>
      <c r="AM224" s="29">
        <f>ROUND(AK224 + AL224, 2)</f>
        <v/>
      </c>
      <c r="AN224" s="29">
        <f>Saldos_Capital_Mensual!P224</f>
        <v/>
      </c>
      <c r="AO224" s="29">
        <f>Saldos_Intereses_Mensual!P224</f>
        <v/>
      </c>
      <c r="AP224" s="29">
        <f>ROUND(AN224 + AO224, 2)</f>
        <v/>
      </c>
      <c r="AQ224" s="29">
        <f>Saldo_Residual_Activo!P224</f>
        <v/>
      </c>
      <c r="AR224" s="29">
        <f>ROUND(AP224 + AQ224, 2)</f>
        <v/>
      </c>
      <c r="AS224" s="29">
        <f>Saldos_Capital_Mensual!Q224</f>
        <v/>
      </c>
      <c r="AT224" s="29">
        <f>Saldos_Intereses_Mensual!Q224</f>
        <v/>
      </c>
      <c r="AU224" s="29">
        <f>ROUND(AS224 + AT224, 2)</f>
        <v/>
      </c>
      <c r="AV224" s="29">
        <f>Saldo_Residual_Activo!Q224</f>
        <v/>
      </c>
      <c r="AW224" s="29">
        <f>ROUND(AU224 + AV224, 2)</f>
        <v/>
      </c>
      <c r="AX224" s="29">
        <f>Saldos_Capital_Mensual!R224</f>
        <v/>
      </c>
      <c r="AY224" s="29">
        <f>Saldos_Intereses_Mensual!R224</f>
        <v/>
      </c>
      <c r="AZ224" s="29">
        <f>ROUND(AX224 + AY224, 2)</f>
        <v/>
      </c>
      <c r="BA224" s="29">
        <f>Saldo_Residual_Activo!R224</f>
        <v/>
      </c>
      <c r="BB224" s="29">
        <f>ROUND(AZ224 + BA224, 2)</f>
        <v/>
      </c>
      <c r="BC224" s="29">
        <f>Saldos_Capital_Mensual!S224</f>
        <v/>
      </c>
      <c r="BD224" s="29">
        <f>Saldos_Intereses_Mensual!S224</f>
        <v/>
      </c>
      <c r="BE224" s="29">
        <f>ROUND(BC224 + BD224, 2)</f>
        <v/>
      </c>
      <c r="BF224" s="29">
        <f>Saldo_Residual_Activo!S224</f>
        <v/>
      </c>
      <c r="BG224" s="29">
        <f>ROUND(BE224 + BF224, 2)</f>
        <v/>
      </c>
      <c r="BH224" s="29">
        <f>Saldos_Capital_Mensual!T224</f>
        <v/>
      </c>
      <c r="BI224" s="29">
        <f>Saldos_Intereses_Mensual!T224</f>
        <v/>
      </c>
      <c r="BJ224" s="29">
        <f>ROUND(BH224 + BI224, 2)</f>
        <v/>
      </c>
      <c r="BK224" s="29">
        <f>Saldo_Residual_Activo!T224</f>
        <v/>
      </c>
      <c r="BL224" s="29">
        <f>ROUND(BJ224 + BK224, 2)</f>
        <v/>
      </c>
    </row>
    <row r="225">
      <c r="A225" s="20" t="inlineStr">
        <is>
          <t>0739-0001</t>
        </is>
      </c>
      <c r="B225" s="21" t="inlineStr">
        <is>
          <t>Miriam Patricia López Flores</t>
        </is>
      </c>
      <c r="C225" s="21" t="inlineStr">
        <is>
          <t>Jeep Wrangler Unlimited Rubicon</t>
        </is>
      </c>
      <c r="D225" s="22" t="n">
        <v>48</v>
      </c>
      <c r="E225" s="23">
        <f>Saldos_Capital_Mensual!I225</f>
        <v/>
      </c>
      <c r="F225" s="23">
        <f>Saldos_Intereses_Mensual!I225</f>
        <v/>
      </c>
      <c r="G225" s="23">
        <f>ROUND(E225 + F225, 2)</f>
        <v/>
      </c>
      <c r="H225" s="23">
        <f>Saldo_Residual_Activo!I225</f>
        <v/>
      </c>
      <c r="I225" s="23">
        <f>ROUND(G225 + H225, 2)</f>
        <v/>
      </c>
      <c r="J225" s="23">
        <f>Saldos_Capital_Mensual!J225</f>
        <v/>
      </c>
      <c r="K225" s="23">
        <f>Saldos_Intereses_Mensual!J225</f>
        <v/>
      </c>
      <c r="L225" s="23">
        <f>ROUND(J225 + K225, 2)</f>
        <v/>
      </c>
      <c r="M225" s="23">
        <f>Saldo_Residual_Activo!J225</f>
        <v/>
      </c>
      <c r="N225" s="23">
        <f>ROUND(L225 + M225, 2)</f>
        <v/>
      </c>
      <c r="O225" s="23">
        <f>Saldos_Capital_Mensual!K225</f>
        <v/>
      </c>
      <c r="P225" s="23">
        <f>Saldos_Intereses_Mensual!K225</f>
        <v/>
      </c>
      <c r="Q225" s="23">
        <f>ROUND(O225 + P225, 2)</f>
        <v/>
      </c>
      <c r="R225" s="23">
        <f>Saldo_Residual_Activo!K225</f>
        <v/>
      </c>
      <c r="S225" s="23">
        <f>ROUND(Q225 + R225, 2)</f>
        <v/>
      </c>
      <c r="T225" s="23">
        <f>Saldos_Capital_Mensual!L225</f>
        <v/>
      </c>
      <c r="U225" s="23">
        <f>Saldos_Intereses_Mensual!L225</f>
        <v/>
      </c>
      <c r="V225" s="23">
        <f>ROUND(T225 + U225, 2)</f>
        <v/>
      </c>
      <c r="W225" s="23">
        <f>Saldo_Residual_Activo!L225</f>
        <v/>
      </c>
      <c r="X225" s="23">
        <f>ROUND(V225 + W225, 2)</f>
        <v/>
      </c>
      <c r="Y225" s="23">
        <f>Saldos_Capital_Mensual!M225</f>
        <v/>
      </c>
      <c r="Z225" s="23">
        <f>Saldos_Intereses_Mensual!M225</f>
        <v/>
      </c>
      <c r="AA225" s="23">
        <f>ROUND(Y225 + Z225, 2)</f>
        <v/>
      </c>
      <c r="AB225" s="23">
        <f>Saldo_Residual_Activo!M225</f>
        <v/>
      </c>
      <c r="AC225" s="23">
        <f>ROUND(AA225 + AB225, 2)</f>
        <v/>
      </c>
      <c r="AD225" s="23">
        <f>Saldos_Capital_Mensual!N225</f>
        <v/>
      </c>
      <c r="AE225" s="23">
        <f>Saldos_Intereses_Mensual!N225</f>
        <v/>
      </c>
      <c r="AF225" s="23">
        <f>ROUND(AD225 + AE225, 2)</f>
        <v/>
      </c>
      <c r="AG225" s="23">
        <f>Saldo_Residual_Activo!N225</f>
        <v/>
      </c>
      <c r="AH225" s="23">
        <f>ROUND(AF225 + AG225, 2)</f>
        <v/>
      </c>
      <c r="AI225" s="23">
        <f>Saldos_Capital_Mensual!O225</f>
        <v/>
      </c>
      <c r="AJ225" s="23">
        <f>Saldos_Intereses_Mensual!O225</f>
        <v/>
      </c>
      <c r="AK225" s="23">
        <f>ROUND(AI225 + AJ225, 2)</f>
        <v/>
      </c>
      <c r="AL225" s="23">
        <f>Saldo_Residual_Activo!O225</f>
        <v/>
      </c>
      <c r="AM225" s="23">
        <f>ROUND(AK225 + AL225, 2)</f>
        <v/>
      </c>
      <c r="AN225" s="23">
        <f>Saldos_Capital_Mensual!P225</f>
        <v/>
      </c>
      <c r="AO225" s="23">
        <f>Saldos_Intereses_Mensual!P225</f>
        <v/>
      </c>
      <c r="AP225" s="23">
        <f>ROUND(AN225 + AO225, 2)</f>
        <v/>
      </c>
      <c r="AQ225" s="23">
        <f>Saldo_Residual_Activo!P225</f>
        <v/>
      </c>
      <c r="AR225" s="23">
        <f>ROUND(AP225 + AQ225, 2)</f>
        <v/>
      </c>
      <c r="AS225" s="23">
        <f>Saldos_Capital_Mensual!Q225</f>
        <v/>
      </c>
      <c r="AT225" s="23">
        <f>Saldos_Intereses_Mensual!Q225</f>
        <v/>
      </c>
      <c r="AU225" s="23">
        <f>ROUND(AS225 + AT225, 2)</f>
        <v/>
      </c>
      <c r="AV225" s="23">
        <f>Saldo_Residual_Activo!Q225</f>
        <v/>
      </c>
      <c r="AW225" s="23">
        <f>ROUND(AU225 + AV225, 2)</f>
        <v/>
      </c>
      <c r="AX225" s="23">
        <f>Saldos_Capital_Mensual!R225</f>
        <v/>
      </c>
      <c r="AY225" s="23">
        <f>Saldos_Intereses_Mensual!R225</f>
        <v/>
      </c>
      <c r="AZ225" s="23">
        <f>ROUND(AX225 + AY225, 2)</f>
        <v/>
      </c>
      <c r="BA225" s="23">
        <f>Saldo_Residual_Activo!R225</f>
        <v/>
      </c>
      <c r="BB225" s="23">
        <f>ROUND(AZ225 + BA225, 2)</f>
        <v/>
      </c>
      <c r="BC225" s="23">
        <f>Saldos_Capital_Mensual!S225</f>
        <v/>
      </c>
      <c r="BD225" s="23">
        <f>Saldos_Intereses_Mensual!S225</f>
        <v/>
      </c>
      <c r="BE225" s="23">
        <f>ROUND(BC225 + BD225, 2)</f>
        <v/>
      </c>
      <c r="BF225" s="23">
        <f>Saldo_Residual_Activo!S225</f>
        <v/>
      </c>
      <c r="BG225" s="23">
        <f>ROUND(BE225 + BF225, 2)</f>
        <v/>
      </c>
      <c r="BH225" s="23">
        <f>Saldos_Capital_Mensual!T225</f>
        <v/>
      </c>
      <c r="BI225" s="23">
        <f>Saldos_Intereses_Mensual!T225</f>
        <v/>
      </c>
      <c r="BJ225" s="23">
        <f>ROUND(BH225 + BI225, 2)</f>
        <v/>
      </c>
      <c r="BK225" s="23">
        <f>Saldo_Residual_Activo!T225</f>
        <v/>
      </c>
      <c r="BL225" s="23">
        <f>ROUND(BJ225 + BK225, 2)</f>
        <v/>
      </c>
    </row>
    <row r="226">
      <c r="A226" s="26" t="inlineStr">
        <is>
          <t>0740-0001</t>
        </is>
      </c>
      <c r="B226" s="27" t="inlineStr">
        <is>
          <t>Sanatorio Versalles de Guadalajara</t>
        </is>
      </c>
      <c r="C226" s="27" t="inlineStr">
        <is>
          <t>1200 Bighorn</t>
        </is>
      </c>
      <c r="D226" s="28" t="n">
        <v>12</v>
      </c>
      <c r="E226" s="29">
        <f>Saldos_Capital_Mensual!I226</f>
        <v/>
      </c>
      <c r="F226" s="29">
        <f>Saldos_Intereses_Mensual!I226</f>
        <v/>
      </c>
      <c r="G226" s="29">
        <f>ROUND(E226 + F226, 2)</f>
        <v/>
      </c>
      <c r="H226" s="29">
        <f>Saldo_Residual_Activo!I226</f>
        <v/>
      </c>
      <c r="I226" s="29">
        <f>ROUND(G226 + H226, 2)</f>
        <v/>
      </c>
      <c r="J226" s="29">
        <f>Saldos_Capital_Mensual!J226</f>
        <v/>
      </c>
      <c r="K226" s="29">
        <f>Saldos_Intereses_Mensual!J226</f>
        <v/>
      </c>
      <c r="L226" s="29">
        <f>ROUND(J226 + K226, 2)</f>
        <v/>
      </c>
      <c r="M226" s="29">
        <f>Saldo_Residual_Activo!J226</f>
        <v/>
      </c>
      <c r="N226" s="29">
        <f>ROUND(L226 + M226, 2)</f>
        <v/>
      </c>
      <c r="O226" s="29">
        <f>Saldos_Capital_Mensual!K226</f>
        <v/>
      </c>
      <c r="P226" s="29">
        <f>Saldos_Intereses_Mensual!K226</f>
        <v/>
      </c>
      <c r="Q226" s="29">
        <f>ROUND(O226 + P226, 2)</f>
        <v/>
      </c>
      <c r="R226" s="29">
        <f>Saldo_Residual_Activo!K226</f>
        <v/>
      </c>
      <c r="S226" s="29">
        <f>ROUND(Q226 + R226, 2)</f>
        <v/>
      </c>
      <c r="T226" s="29">
        <f>Saldos_Capital_Mensual!L226</f>
        <v/>
      </c>
      <c r="U226" s="29">
        <f>Saldos_Intereses_Mensual!L226</f>
        <v/>
      </c>
      <c r="V226" s="29">
        <f>ROUND(T226 + U226, 2)</f>
        <v/>
      </c>
      <c r="W226" s="29">
        <f>Saldo_Residual_Activo!L226</f>
        <v/>
      </c>
      <c r="X226" s="29">
        <f>ROUND(V226 + W226, 2)</f>
        <v/>
      </c>
      <c r="Y226" s="29">
        <f>Saldos_Capital_Mensual!M226</f>
        <v/>
      </c>
      <c r="Z226" s="29">
        <f>Saldos_Intereses_Mensual!M226</f>
        <v/>
      </c>
      <c r="AA226" s="29">
        <f>ROUND(Y226 + Z226, 2)</f>
        <v/>
      </c>
      <c r="AB226" s="29">
        <f>Saldo_Residual_Activo!M226</f>
        <v/>
      </c>
      <c r="AC226" s="29">
        <f>ROUND(AA226 + AB226, 2)</f>
        <v/>
      </c>
      <c r="AD226" s="29">
        <f>Saldos_Capital_Mensual!N226</f>
        <v/>
      </c>
      <c r="AE226" s="29">
        <f>Saldos_Intereses_Mensual!N226</f>
        <v/>
      </c>
      <c r="AF226" s="29">
        <f>ROUND(AD226 + AE226, 2)</f>
        <v/>
      </c>
      <c r="AG226" s="29">
        <f>Saldo_Residual_Activo!N226</f>
        <v/>
      </c>
      <c r="AH226" s="29">
        <f>ROUND(AF226 + AG226, 2)</f>
        <v/>
      </c>
      <c r="AI226" s="29">
        <f>Saldos_Capital_Mensual!O226</f>
        <v/>
      </c>
      <c r="AJ226" s="29">
        <f>Saldos_Intereses_Mensual!O226</f>
        <v/>
      </c>
      <c r="AK226" s="29">
        <f>ROUND(AI226 + AJ226, 2)</f>
        <v/>
      </c>
      <c r="AL226" s="29">
        <f>Saldo_Residual_Activo!O226</f>
        <v/>
      </c>
      <c r="AM226" s="29">
        <f>ROUND(AK226 + AL226, 2)</f>
        <v/>
      </c>
      <c r="AN226" s="29">
        <f>Saldos_Capital_Mensual!P226</f>
        <v/>
      </c>
      <c r="AO226" s="29">
        <f>Saldos_Intereses_Mensual!P226</f>
        <v/>
      </c>
      <c r="AP226" s="29">
        <f>ROUND(AN226 + AO226, 2)</f>
        <v/>
      </c>
      <c r="AQ226" s="29">
        <f>Saldo_Residual_Activo!P226</f>
        <v/>
      </c>
      <c r="AR226" s="29">
        <f>ROUND(AP226 + AQ226, 2)</f>
        <v/>
      </c>
      <c r="AS226" s="29">
        <f>Saldos_Capital_Mensual!Q226</f>
        <v/>
      </c>
      <c r="AT226" s="29">
        <f>Saldos_Intereses_Mensual!Q226</f>
        <v/>
      </c>
      <c r="AU226" s="29">
        <f>ROUND(AS226 + AT226, 2)</f>
        <v/>
      </c>
      <c r="AV226" s="29">
        <f>Saldo_Residual_Activo!Q226</f>
        <v/>
      </c>
      <c r="AW226" s="29">
        <f>ROUND(AU226 + AV226, 2)</f>
        <v/>
      </c>
      <c r="AX226" s="29">
        <f>Saldos_Capital_Mensual!R226</f>
        <v/>
      </c>
      <c r="AY226" s="29">
        <f>Saldos_Intereses_Mensual!R226</f>
        <v/>
      </c>
      <c r="AZ226" s="29">
        <f>ROUND(AX226 + AY226, 2)</f>
        <v/>
      </c>
      <c r="BA226" s="29">
        <f>Saldo_Residual_Activo!R226</f>
        <v/>
      </c>
      <c r="BB226" s="29">
        <f>ROUND(AZ226 + BA226, 2)</f>
        <v/>
      </c>
      <c r="BC226" s="29">
        <f>Saldos_Capital_Mensual!S226</f>
        <v/>
      </c>
      <c r="BD226" s="29">
        <f>Saldos_Intereses_Mensual!S226</f>
        <v/>
      </c>
      <c r="BE226" s="29">
        <f>ROUND(BC226 + BD226, 2)</f>
        <v/>
      </c>
      <c r="BF226" s="29">
        <f>Saldo_Residual_Activo!S226</f>
        <v/>
      </c>
      <c r="BG226" s="29">
        <f>ROUND(BE226 + BF226, 2)</f>
        <v/>
      </c>
      <c r="BH226" s="29">
        <f>Saldos_Capital_Mensual!T226</f>
        <v/>
      </c>
      <c r="BI226" s="29">
        <f>Saldos_Intereses_Mensual!T226</f>
        <v/>
      </c>
      <c r="BJ226" s="29">
        <f>ROUND(BH226 + BI226, 2)</f>
        <v/>
      </c>
      <c r="BK226" s="29">
        <f>Saldo_Residual_Activo!T226</f>
        <v/>
      </c>
      <c r="BL226" s="29">
        <f>ROUND(BJ226 + BK226, 2)</f>
        <v/>
      </c>
    </row>
    <row r="227">
      <c r="A227" s="20" t="inlineStr">
        <is>
          <t>0741-0001</t>
        </is>
      </c>
      <c r="B227" s="21" t="inlineStr">
        <is>
          <t>Alvaró Agustin Navarro Castellón</t>
        </is>
      </c>
      <c r="C227" s="21" t="inlineStr">
        <is>
          <t>Manager Furgon L4H2</t>
        </is>
      </c>
      <c r="D227" s="22" t="n">
        <v>48</v>
      </c>
      <c r="E227" s="23">
        <f>Saldos_Capital_Mensual!I227</f>
        <v/>
      </c>
      <c r="F227" s="23">
        <f>Saldos_Intereses_Mensual!I227</f>
        <v/>
      </c>
      <c r="G227" s="23">
        <f>ROUND(E227 + F227, 2)</f>
        <v/>
      </c>
      <c r="H227" s="23">
        <f>Saldo_Residual_Activo!I227</f>
        <v/>
      </c>
      <c r="I227" s="23">
        <f>ROUND(G227 + H227, 2)</f>
        <v/>
      </c>
      <c r="J227" s="23">
        <f>Saldos_Capital_Mensual!J227</f>
        <v/>
      </c>
      <c r="K227" s="23">
        <f>Saldos_Intereses_Mensual!J227</f>
        <v/>
      </c>
      <c r="L227" s="23">
        <f>ROUND(J227 + K227, 2)</f>
        <v/>
      </c>
      <c r="M227" s="23">
        <f>Saldo_Residual_Activo!J227</f>
        <v/>
      </c>
      <c r="N227" s="23">
        <f>ROUND(L227 + M227, 2)</f>
        <v/>
      </c>
      <c r="O227" s="23">
        <f>Saldos_Capital_Mensual!K227</f>
        <v/>
      </c>
      <c r="P227" s="23">
        <f>Saldos_Intereses_Mensual!K227</f>
        <v/>
      </c>
      <c r="Q227" s="23">
        <f>ROUND(O227 + P227, 2)</f>
        <v/>
      </c>
      <c r="R227" s="23">
        <f>Saldo_Residual_Activo!K227</f>
        <v/>
      </c>
      <c r="S227" s="23">
        <f>ROUND(Q227 + R227, 2)</f>
        <v/>
      </c>
      <c r="T227" s="23">
        <f>Saldos_Capital_Mensual!L227</f>
        <v/>
      </c>
      <c r="U227" s="23">
        <f>Saldos_Intereses_Mensual!L227</f>
        <v/>
      </c>
      <c r="V227" s="23">
        <f>ROUND(T227 + U227, 2)</f>
        <v/>
      </c>
      <c r="W227" s="23">
        <f>Saldo_Residual_Activo!L227</f>
        <v/>
      </c>
      <c r="X227" s="23">
        <f>ROUND(V227 + W227, 2)</f>
        <v/>
      </c>
      <c r="Y227" s="23">
        <f>Saldos_Capital_Mensual!M227</f>
        <v/>
      </c>
      <c r="Z227" s="23">
        <f>Saldos_Intereses_Mensual!M227</f>
        <v/>
      </c>
      <c r="AA227" s="23">
        <f>ROUND(Y227 + Z227, 2)</f>
        <v/>
      </c>
      <c r="AB227" s="23">
        <f>Saldo_Residual_Activo!M227</f>
        <v/>
      </c>
      <c r="AC227" s="23">
        <f>ROUND(AA227 + AB227, 2)</f>
        <v/>
      </c>
      <c r="AD227" s="23">
        <f>Saldos_Capital_Mensual!N227</f>
        <v/>
      </c>
      <c r="AE227" s="23">
        <f>Saldos_Intereses_Mensual!N227</f>
        <v/>
      </c>
      <c r="AF227" s="23">
        <f>ROUND(AD227 + AE227, 2)</f>
        <v/>
      </c>
      <c r="AG227" s="23">
        <f>Saldo_Residual_Activo!N227</f>
        <v/>
      </c>
      <c r="AH227" s="23">
        <f>ROUND(AF227 + AG227, 2)</f>
        <v/>
      </c>
      <c r="AI227" s="23">
        <f>Saldos_Capital_Mensual!O227</f>
        <v/>
      </c>
      <c r="AJ227" s="23">
        <f>Saldos_Intereses_Mensual!O227</f>
        <v/>
      </c>
      <c r="AK227" s="23">
        <f>ROUND(AI227 + AJ227, 2)</f>
        <v/>
      </c>
      <c r="AL227" s="23">
        <f>Saldo_Residual_Activo!O227</f>
        <v/>
      </c>
      <c r="AM227" s="23">
        <f>ROUND(AK227 + AL227, 2)</f>
        <v/>
      </c>
      <c r="AN227" s="23">
        <f>Saldos_Capital_Mensual!P227</f>
        <v/>
      </c>
      <c r="AO227" s="23">
        <f>Saldos_Intereses_Mensual!P227</f>
        <v/>
      </c>
      <c r="AP227" s="23">
        <f>ROUND(AN227 + AO227, 2)</f>
        <v/>
      </c>
      <c r="AQ227" s="23">
        <f>Saldo_Residual_Activo!P227</f>
        <v/>
      </c>
      <c r="AR227" s="23">
        <f>ROUND(AP227 + AQ227, 2)</f>
        <v/>
      </c>
      <c r="AS227" s="23">
        <f>Saldos_Capital_Mensual!Q227</f>
        <v/>
      </c>
      <c r="AT227" s="23">
        <f>Saldos_Intereses_Mensual!Q227</f>
        <v/>
      </c>
      <c r="AU227" s="23">
        <f>ROUND(AS227 + AT227, 2)</f>
        <v/>
      </c>
      <c r="AV227" s="23">
        <f>Saldo_Residual_Activo!Q227</f>
        <v/>
      </c>
      <c r="AW227" s="23">
        <f>ROUND(AU227 + AV227, 2)</f>
        <v/>
      </c>
      <c r="AX227" s="23">
        <f>Saldos_Capital_Mensual!R227</f>
        <v/>
      </c>
      <c r="AY227" s="23">
        <f>Saldos_Intereses_Mensual!R227</f>
        <v/>
      </c>
      <c r="AZ227" s="23">
        <f>ROUND(AX227 + AY227, 2)</f>
        <v/>
      </c>
      <c r="BA227" s="23">
        <f>Saldo_Residual_Activo!R227</f>
        <v/>
      </c>
      <c r="BB227" s="23">
        <f>ROUND(AZ227 + BA227, 2)</f>
        <v/>
      </c>
      <c r="BC227" s="23">
        <f>Saldos_Capital_Mensual!S227</f>
        <v/>
      </c>
      <c r="BD227" s="23">
        <f>Saldos_Intereses_Mensual!S227</f>
        <v/>
      </c>
      <c r="BE227" s="23">
        <f>ROUND(BC227 + BD227, 2)</f>
        <v/>
      </c>
      <c r="BF227" s="23">
        <f>Saldo_Residual_Activo!S227</f>
        <v/>
      </c>
      <c r="BG227" s="23">
        <f>ROUND(BE227 + BF227, 2)</f>
        <v/>
      </c>
      <c r="BH227" s="23">
        <f>Saldos_Capital_Mensual!T227</f>
        <v/>
      </c>
      <c r="BI227" s="23">
        <f>Saldos_Intereses_Mensual!T227</f>
        <v/>
      </c>
      <c r="BJ227" s="23">
        <f>ROUND(BH227 + BI227, 2)</f>
        <v/>
      </c>
      <c r="BK227" s="23">
        <f>Saldo_Residual_Activo!T227</f>
        <v/>
      </c>
      <c r="BL227" s="23">
        <f>ROUND(BJ227 + BK227, 2)</f>
        <v/>
      </c>
    </row>
    <row r="228">
      <c r="A228" s="26" t="inlineStr">
        <is>
          <t>0742-0001</t>
        </is>
      </c>
      <c r="B228" s="27" t="inlineStr">
        <is>
          <t>Universidad de las Américas y el Caribe, S.C.</t>
        </is>
      </c>
      <c r="C228" s="27" t="inlineStr">
        <is>
          <t>700 BIGHORN "S" CREW CAB MT</t>
        </is>
      </c>
      <c r="D228" s="28" t="n">
        <v>36</v>
      </c>
      <c r="E228" s="29">
        <f>Saldos_Capital_Mensual!I228</f>
        <v/>
      </c>
      <c r="F228" s="29">
        <f>Saldos_Intereses_Mensual!I228</f>
        <v/>
      </c>
      <c r="G228" s="29">
        <f>ROUND(E228 + F228, 2)</f>
        <v/>
      </c>
      <c r="H228" s="29">
        <f>Saldo_Residual_Activo!I228</f>
        <v/>
      </c>
      <c r="I228" s="29">
        <f>ROUND(G228 + H228, 2)</f>
        <v/>
      </c>
      <c r="J228" s="29">
        <f>Saldos_Capital_Mensual!J228</f>
        <v/>
      </c>
      <c r="K228" s="29">
        <f>Saldos_Intereses_Mensual!J228</f>
        <v/>
      </c>
      <c r="L228" s="29">
        <f>ROUND(J228 + K228, 2)</f>
        <v/>
      </c>
      <c r="M228" s="29">
        <f>Saldo_Residual_Activo!J228</f>
        <v/>
      </c>
      <c r="N228" s="29">
        <f>ROUND(L228 + M228, 2)</f>
        <v/>
      </c>
      <c r="O228" s="29">
        <f>Saldos_Capital_Mensual!K228</f>
        <v/>
      </c>
      <c r="P228" s="29">
        <f>Saldos_Intereses_Mensual!K228</f>
        <v/>
      </c>
      <c r="Q228" s="29">
        <f>ROUND(O228 + P228, 2)</f>
        <v/>
      </c>
      <c r="R228" s="29">
        <f>Saldo_Residual_Activo!K228</f>
        <v/>
      </c>
      <c r="S228" s="29">
        <f>ROUND(Q228 + R228, 2)</f>
        <v/>
      </c>
      <c r="T228" s="29">
        <f>Saldos_Capital_Mensual!L228</f>
        <v/>
      </c>
      <c r="U228" s="29">
        <f>Saldos_Intereses_Mensual!L228</f>
        <v/>
      </c>
      <c r="V228" s="29">
        <f>ROUND(T228 + U228, 2)</f>
        <v/>
      </c>
      <c r="W228" s="29">
        <f>Saldo_Residual_Activo!L228</f>
        <v/>
      </c>
      <c r="X228" s="29">
        <f>ROUND(V228 + W228, 2)</f>
        <v/>
      </c>
      <c r="Y228" s="29">
        <f>Saldos_Capital_Mensual!M228</f>
        <v/>
      </c>
      <c r="Z228" s="29">
        <f>Saldos_Intereses_Mensual!M228</f>
        <v/>
      </c>
      <c r="AA228" s="29">
        <f>ROUND(Y228 + Z228, 2)</f>
        <v/>
      </c>
      <c r="AB228" s="29">
        <f>Saldo_Residual_Activo!M228</f>
        <v/>
      </c>
      <c r="AC228" s="29">
        <f>ROUND(AA228 + AB228, 2)</f>
        <v/>
      </c>
      <c r="AD228" s="29">
        <f>Saldos_Capital_Mensual!N228</f>
        <v/>
      </c>
      <c r="AE228" s="29">
        <f>Saldos_Intereses_Mensual!N228</f>
        <v/>
      </c>
      <c r="AF228" s="29">
        <f>ROUND(AD228 + AE228, 2)</f>
        <v/>
      </c>
      <c r="AG228" s="29">
        <f>Saldo_Residual_Activo!N228</f>
        <v/>
      </c>
      <c r="AH228" s="29">
        <f>ROUND(AF228 + AG228, 2)</f>
        <v/>
      </c>
      <c r="AI228" s="29">
        <f>Saldos_Capital_Mensual!O228</f>
        <v/>
      </c>
      <c r="AJ228" s="29">
        <f>Saldos_Intereses_Mensual!O228</f>
        <v/>
      </c>
      <c r="AK228" s="29">
        <f>ROUND(AI228 + AJ228, 2)</f>
        <v/>
      </c>
      <c r="AL228" s="29">
        <f>Saldo_Residual_Activo!O228</f>
        <v/>
      </c>
      <c r="AM228" s="29">
        <f>ROUND(AK228 + AL228, 2)</f>
        <v/>
      </c>
      <c r="AN228" s="29">
        <f>Saldos_Capital_Mensual!P228</f>
        <v/>
      </c>
      <c r="AO228" s="29">
        <f>Saldos_Intereses_Mensual!P228</f>
        <v/>
      </c>
      <c r="AP228" s="29">
        <f>ROUND(AN228 + AO228, 2)</f>
        <v/>
      </c>
      <c r="AQ228" s="29">
        <f>Saldo_Residual_Activo!P228</f>
        <v/>
      </c>
      <c r="AR228" s="29">
        <f>ROUND(AP228 + AQ228, 2)</f>
        <v/>
      </c>
      <c r="AS228" s="29">
        <f>Saldos_Capital_Mensual!Q228</f>
        <v/>
      </c>
      <c r="AT228" s="29">
        <f>Saldos_Intereses_Mensual!Q228</f>
        <v/>
      </c>
      <c r="AU228" s="29">
        <f>ROUND(AS228 + AT228, 2)</f>
        <v/>
      </c>
      <c r="AV228" s="29">
        <f>Saldo_Residual_Activo!Q228</f>
        <v/>
      </c>
      <c r="AW228" s="29">
        <f>ROUND(AU228 + AV228, 2)</f>
        <v/>
      </c>
      <c r="AX228" s="29">
        <f>Saldos_Capital_Mensual!R228</f>
        <v/>
      </c>
      <c r="AY228" s="29">
        <f>Saldos_Intereses_Mensual!R228</f>
        <v/>
      </c>
      <c r="AZ228" s="29">
        <f>ROUND(AX228 + AY228, 2)</f>
        <v/>
      </c>
      <c r="BA228" s="29">
        <f>Saldo_Residual_Activo!R228</f>
        <v/>
      </c>
      <c r="BB228" s="29">
        <f>ROUND(AZ228 + BA228, 2)</f>
        <v/>
      </c>
      <c r="BC228" s="29">
        <f>Saldos_Capital_Mensual!S228</f>
        <v/>
      </c>
      <c r="BD228" s="29">
        <f>Saldos_Intereses_Mensual!S228</f>
        <v/>
      </c>
      <c r="BE228" s="29">
        <f>ROUND(BC228 + BD228, 2)</f>
        <v/>
      </c>
      <c r="BF228" s="29">
        <f>Saldo_Residual_Activo!S228</f>
        <v/>
      </c>
      <c r="BG228" s="29">
        <f>ROUND(BE228 + BF228, 2)</f>
        <v/>
      </c>
      <c r="BH228" s="29">
        <f>Saldos_Capital_Mensual!T228</f>
        <v/>
      </c>
      <c r="BI228" s="29">
        <f>Saldos_Intereses_Mensual!T228</f>
        <v/>
      </c>
      <c r="BJ228" s="29">
        <f>ROUND(BH228 + BI228, 2)</f>
        <v/>
      </c>
      <c r="BK228" s="29">
        <f>Saldo_Residual_Activo!T228</f>
        <v/>
      </c>
      <c r="BL228" s="29">
        <f>ROUND(BJ228 + BK228, 2)</f>
        <v/>
      </c>
    </row>
    <row r="229">
      <c r="A229" s="20" t="inlineStr">
        <is>
          <t>0742-0002</t>
        </is>
      </c>
      <c r="B229" s="21" t="inlineStr">
        <is>
          <t>Universidad de las Américas y el Caribe, S.C.</t>
        </is>
      </c>
      <c r="C229" s="21" t="inlineStr">
        <is>
          <t>700 BIGHORN "S" CREW CAB CVT</t>
        </is>
      </c>
      <c r="D229" s="22" t="n">
        <v>36</v>
      </c>
      <c r="E229" s="23">
        <f>Saldos_Capital_Mensual!I229</f>
        <v/>
      </c>
      <c r="F229" s="23">
        <f>Saldos_Intereses_Mensual!I229</f>
        <v/>
      </c>
      <c r="G229" s="23">
        <f>ROUND(E229 + F229, 2)</f>
        <v/>
      </c>
      <c r="H229" s="23">
        <f>Saldo_Residual_Activo!I229</f>
        <v/>
      </c>
      <c r="I229" s="23">
        <f>ROUND(G229 + H229, 2)</f>
        <v/>
      </c>
      <c r="J229" s="23">
        <f>Saldos_Capital_Mensual!J229</f>
        <v/>
      </c>
      <c r="K229" s="23">
        <f>Saldos_Intereses_Mensual!J229</f>
        <v/>
      </c>
      <c r="L229" s="23">
        <f>ROUND(J229 + K229, 2)</f>
        <v/>
      </c>
      <c r="M229" s="23">
        <f>Saldo_Residual_Activo!J229</f>
        <v/>
      </c>
      <c r="N229" s="23">
        <f>ROUND(L229 + M229, 2)</f>
        <v/>
      </c>
      <c r="O229" s="23">
        <f>Saldos_Capital_Mensual!K229</f>
        <v/>
      </c>
      <c r="P229" s="23">
        <f>Saldos_Intereses_Mensual!K229</f>
        <v/>
      </c>
      <c r="Q229" s="23">
        <f>ROUND(O229 + P229, 2)</f>
        <v/>
      </c>
      <c r="R229" s="23">
        <f>Saldo_Residual_Activo!K229</f>
        <v/>
      </c>
      <c r="S229" s="23">
        <f>ROUND(Q229 + R229, 2)</f>
        <v/>
      </c>
      <c r="T229" s="23">
        <f>Saldos_Capital_Mensual!L229</f>
        <v/>
      </c>
      <c r="U229" s="23">
        <f>Saldos_Intereses_Mensual!L229</f>
        <v/>
      </c>
      <c r="V229" s="23">
        <f>ROUND(T229 + U229, 2)</f>
        <v/>
      </c>
      <c r="W229" s="23">
        <f>Saldo_Residual_Activo!L229</f>
        <v/>
      </c>
      <c r="X229" s="23">
        <f>ROUND(V229 + W229, 2)</f>
        <v/>
      </c>
      <c r="Y229" s="23">
        <f>Saldos_Capital_Mensual!M229</f>
        <v/>
      </c>
      <c r="Z229" s="23">
        <f>Saldos_Intereses_Mensual!M229</f>
        <v/>
      </c>
      <c r="AA229" s="23">
        <f>ROUND(Y229 + Z229, 2)</f>
        <v/>
      </c>
      <c r="AB229" s="23">
        <f>Saldo_Residual_Activo!M229</f>
        <v/>
      </c>
      <c r="AC229" s="23">
        <f>ROUND(AA229 + AB229, 2)</f>
        <v/>
      </c>
      <c r="AD229" s="23">
        <f>Saldos_Capital_Mensual!N229</f>
        <v/>
      </c>
      <c r="AE229" s="23">
        <f>Saldos_Intereses_Mensual!N229</f>
        <v/>
      </c>
      <c r="AF229" s="23">
        <f>ROUND(AD229 + AE229, 2)</f>
        <v/>
      </c>
      <c r="AG229" s="23">
        <f>Saldo_Residual_Activo!N229</f>
        <v/>
      </c>
      <c r="AH229" s="23">
        <f>ROUND(AF229 + AG229, 2)</f>
        <v/>
      </c>
      <c r="AI229" s="23">
        <f>Saldos_Capital_Mensual!O229</f>
        <v/>
      </c>
      <c r="AJ229" s="23">
        <f>Saldos_Intereses_Mensual!O229</f>
        <v/>
      </c>
      <c r="AK229" s="23">
        <f>ROUND(AI229 + AJ229, 2)</f>
        <v/>
      </c>
      <c r="AL229" s="23">
        <f>Saldo_Residual_Activo!O229</f>
        <v/>
      </c>
      <c r="AM229" s="23">
        <f>ROUND(AK229 + AL229, 2)</f>
        <v/>
      </c>
      <c r="AN229" s="23">
        <f>Saldos_Capital_Mensual!P229</f>
        <v/>
      </c>
      <c r="AO229" s="23">
        <f>Saldos_Intereses_Mensual!P229</f>
        <v/>
      </c>
      <c r="AP229" s="23">
        <f>ROUND(AN229 + AO229, 2)</f>
        <v/>
      </c>
      <c r="AQ229" s="23">
        <f>Saldo_Residual_Activo!P229</f>
        <v/>
      </c>
      <c r="AR229" s="23">
        <f>ROUND(AP229 + AQ229, 2)</f>
        <v/>
      </c>
      <c r="AS229" s="23">
        <f>Saldos_Capital_Mensual!Q229</f>
        <v/>
      </c>
      <c r="AT229" s="23">
        <f>Saldos_Intereses_Mensual!Q229</f>
        <v/>
      </c>
      <c r="AU229" s="23">
        <f>ROUND(AS229 + AT229, 2)</f>
        <v/>
      </c>
      <c r="AV229" s="23">
        <f>Saldo_Residual_Activo!Q229</f>
        <v/>
      </c>
      <c r="AW229" s="23">
        <f>ROUND(AU229 + AV229, 2)</f>
        <v/>
      </c>
      <c r="AX229" s="23">
        <f>Saldos_Capital_Mensual!R229</f>
        <v/>
      </c>
      <c r="AY229" s="23">
        <f>Saldos_Intereses_Mensual!R229</f>
        <v/>
      </c>
      <c r="AZ229" s="23">
        <f>ROUND(AX229 + AY229, 2)</f>
        <v/>
      </c>
      <c r="BA229" s="23">
        <f>Saldo_Residual_Activo!R229</f>
        <v/>
      </c>
      <c r="BB229" s="23">
        <f>ROUND(AZ229 + BA229, 2)</f>
        <v/>
      </c>
      <c r="BC229" s="23">
        <f>Saldos_Capital_Mensual!S229</f>
        <v/>
      </c>
      <c r="BD229" s="23">
        <f>Saldos_Intereses_Mensual!S229</f>
        <v/>
      </c>
      <c r="BE229" s="23">
        <f>ROUND(BC229 + BD229, 2)</f>
        <v/>
      </c>
      <c r="BF229" s="23">
        <f>Saldo_Residual_Activo!S229</f>
        <v/>
      </c>
      <c r="BG229" s="23">
        <f>ROUND(BE229 + BF229, 2)</f>
        <v/>
      </c>
      <c r="BH229" s="23">
        <f>Saldos_Capital_Mensual!T229</f>
        <v/>
      </c>
      <c r="BI229" s="23">
        <f>Saldos_Intereses_Mensual!T229</f>
        <v/>
      </c>
      <c r="BJ229" s="23">
        <f>ROUND(BH229 + BI229, 2)</f>
        <v/>
      </c>
      <c r="BK229" s="23">
        <f>Saldo_Residual_Activo!T229</f>
        <v/>
      </c>
      <c r="BL229" s="23">
        <f>ROUND(BJ229 + BK229, 2)</f>
        <v/>
      </c>
    </row>
    <row r="230">
      <c r="A230" s="26" t="inlineStr">
        <is>
          <t>0743-0001</t>
        </is>
      </c>
      <c r="B230" s="27" t="inlineStr">
        <is>
          <t>IEM Soluciones Integrales, S.C.</t>
        </is>
      </c>
      <c r="C230" s="27" t="inlineStr">
        <is>
          <t>1200 BIGHORN CC</t>
        </is>
      </c>
      <c r="D230" s="28" t="n">
        <v>36</v>
      </c>
      <c r="E230" s="29">
        <f>Saldos_Capital_Mensual!I230</f>
        <v/>
      </c>
      <c r="F230" s="29">
        <f>Saldos_Intereses_Mensual!I230</f>
        <v/>
      </c>
      <c r="G230" s="29">
        <f>ROUND(E230 + F230, 2)</f>
        <v/>
      </c>
      <c r="H230" s="29">
        <f>Saldo_Residual_Activo!I230</f>
        <v/>
      </c>
      <c r="I230" s="29">
        <f>ROUND(G230 + H230, 2)</f>
        <v/>
      </c>
      <c r="J230" s="29">
        <f>Saldos_Capital_Mensual!J230</f>
        <v/>
      </c>
      <c r="K230" s="29">
        <f>Saldos_Intereses_Mensual!J230</f>
        <v/>
      </c>
      <c r="L230" s="29">
        <f>ROUND(J230 + K230, 2)</f>
        <v/>
      </c>
      <c r="M230" s="29">
        <f>Saldo_Residual_Activo!J230</f>
        <v/>
      </c>
      <c r="N230" s="29">
        <f>ROUND(L230 + M230, 2)</f>
        <v/>
      </c>
      <c r="O230" s="29">
        <f>Saldos_Capital_Mensual!K230</f>
        <v/>
      </c>
      <c r="P230" s="29">
        <f>Saldos_Intereses_Mensual!K230</f>
        <v/>
      </c>
      <c r="Q230" s="29">
        <f>ROUND(O230 + P230, 2)</f>
        <v/>
      </c>
      <c r="R230" s="29">
        <f>Saldo_Residual_Activo!K230</f>
        <v/>
      </c>
      <c r="S230" s="29">
        <f>ROUND(Q230 + R230, 2)</f>
        <v/>
      </c>
      <c r="T230" s="29">
        <f>Saldos_Capital_Mensual!L230</f>
        <v/>
      </c>
      <c r="U230" s="29">
        <f>Saldos_Intereses_Mensual!L230</f>
        <v/>
      </c>
      <c r="V230" s="29">
        <f>ROUND(T230 + U230, 2)</f>
        <v/>
      </c>
      <c r="W230" s="29">
        <f>Saldo_Residual_Activo!L230</f>
        <v/>
      </c>
      <c r="X230" s="29">
        <f>ROUND(V230 + W230, 2)</f>
        <v/>
      </c>
      <c r="Y230" s="29">
        <f>Saldos_Capital_Mensual!M230</f>
        <v/>
      </c>
      <c r="Z230" s="29">
        <f>Saldos_Intereses_Mensual!M230</f>
        <v/>
      </c>
      <c r="AA230" s="29">
        <f>ROUND(Y230 + Z230, 2)</f>
        <v/>
      </c>
      <c r="AB230" s="29">
        <f>Saldo_Residual_Activo!M230</f>
        <v/>
      </c>
      <c r="AC230" s="29">
        <f>ROUND(AA230 + AB230, 2)</f>
        <v/>
      </c>
      <c r="AD230" s="29">
        <f>Saldos_Capital_Mensual!N230</f>
        <v/>
      </c>
      <c r="AE230" s="29">
        <f>Saldos_Intereses_Mensual!N230</f>
        <v/>
      </c>
      <c r="AF230" s="29">
        <f>ROUND(AD230 + AE230, 2)</f>
        <v/>
      </c>
      <c r="AG230" s="29">
        <f>Saldo_Residual_Activo!N230</f>
        <v/>
      </c>
      <c r="AH230" s="29">
        <f>ROUND(AF230 + AG230, 2)</f>
        <v/>
      </c>
      <c r="AI230" s="29">
        <f>Saldos_Capital_Mensual!O230</f>
        <v/>
      </c>
      <c r="AJ230" s="29">
        <f>Saldos_Intereses_Mensual!O230</f>
        <v/>
      </c>
      <c r="AK230" s="29">
        <f>ROUND(AI230 + AJ230, 2)</f>
        <v/>
      </c>
      <c r="AL230" s="29">
        <f>Saldo_Residual_Activo!O230</f>
        <v/>
      </c>
      <c r="AM230" s="29">
        <f>ROUND(AK230 + AL230, 2)</f>
        <v/>
      </c>
      <c r="AN230" s="29">
        <f>Saldos_Capital_Mensual!P230</f>
        <v/>
      </c>
      <c r="AO230" s="29">
        <f>Saldos_Intereses_Mensual!P230</f>
        <v/>
      </c>
      <c r="AP230" s="29">
        <f>ROUND(AN230 + AO230, 2)</f>
        <v/>
      </c>
      <c r="AQ230" s="29">
        <f>Saldo_Residual_Activo!P230</f>
        <v/>
      </c>
      <c r="AR230" s="29">
        <f>ROUND(AP230 + AQ230, 2)</f>
        <v/>
      </c>
      <c r="AS230" s="29">
        <f>Saldos_Capital_Mensual!Q230</f>
        <v/>
      </c>
      <c r="AT230" s="29">
        <f>Saldos_Intereses_Mensual!Q230</f>
        <v/>
      </c>
      <c r="AU230" s="29">
        <f>ROUND(AS230 + AT230, 2)</f>
        <v/>
      </c>
      <c r="AV230" s="29">
        <f>Saldo_Residual_Activo!Q230</f>
        <v/>
      </c>
      <c r="AW230" s="29">
        <f>ROUND(AU230 + AV230, 2)</f>
        <v/>
      </c>
      <c r="AX230" s="29">
        <f>Saldos_Capital_Mensual!R230</f>
        <v/>
      </c>
      <c r="AY230" s="29">
        <f>Saldos_Intereses_Mensual!R230</f>
        <v/>
      </c>
      <c r="AZ230" s="29">
        <f>ROUND(AX230 + AY230, 2)</f>
        <v/>
      </c>
      <c r="BA230" s="29">
        <f>Saldo_Residual_Activo!R230</f>
        <v/>
      </c>
      <c r="BB230" s="29">
        <f>ROUND(AZ230 + BA230, 2)</f>
        <v/>
      </c>
      <c r="BC230" s="29">
        <f>Saldos_Capital_Mensual!S230</f>
        <v/>
      </c>
      <c r="BD230" s="29">
        <f>Saldos_Intereses_Mensual!S230</f>
        <v/>
      </c>
      <c r="BE230" s="29">
        <f>ROUND(BC230 + BD230, 2)</f>
        <v/>
      </c>
      <c r="BF230" s="29">
        <f>Saldo_Residual_Activo!S230</f>
        <v/>
      </c>
      <c r="BG230" s="29">
        <f>ROUND(BE230 + BF230, 2)</f>
        <v/>
      </c>
      <c r="BH230" s="29">
        <f>Saldos_Capital_Mensual!T230</f>
        <v/>
      </c>
      <c r="BI230" s="29">
        <f>Saldos_Intereses_Mensual!T230</f>
        <v/>
      </c>
      <c r="BJ230" s="29">
        <f>ROUND(BH230 + BI230, 2)</f>
        <v/>
      </c>
      <c r="BK230" s="29">
        <f>Saldo_Residual_Activo!T230</f>
        <v/>
      </c>
      <c r="BL230" s="29">
        <f>ROUND(BJ230 + BK230, 2)</f>
        <v/>
      </c>
    </row>
    <row r="231">
      <c r="A231" s="20" t="inlineStr">
        <is>
          <t>0744-0001</t>
        </is>
      </c>
      <c r="B231" s="21" t="inlineStr">
        <is>
          <t>H&amp;A Edicon, S.A. de C.V.</t>
        </is>
      </c>
      <c r="C231" s="21" t="inlineStr">
        <is>
          <t>NP 300 Chasis Cabina</t>
        </is>
      </c>
      <c r="D231" s="22" t="n">
        <v>24</v>
      </c>
      <c r="E231" s="23">
        <f>Saldos_Capital_Mensual!I231</f>
        <v/>
      </c>
      <c r="F231" s="23">
        <f>Saldos_Intereses_Mensual!I231</f>
        <v/>
      </c>
      <c r="G231" s="23">
        <f>ROUND(E231 + F231, 2)</f>
        <v/>
      </c>
      <c r="H231" s="23">
        <f>Saldo_Residual_Activo!I231</f>
        <v/>
      </c>
      <c r="I231" s="23">
        <f>ROUND(G231 + H231, 2)</f>
        <v/>
      </c>
      <c r="J231" s="23">
        <f>Saldos_Capital_Mensual!J231</f>
        <v/>
      </c>
      <c r="K231" s="23">
        <f>Saldos_Intereses_Mensual!J231</f>
        <v/>
      </c>
      <c r="L231" s="23">
        <f>ROUND(J231 + K231, 2)</f>
        <v/>
      </c>
      <c r="M231" s="23">
        <f>Saldo_Residual_Activo!J231</f>
        <v/>
      </c>
      <c r="N231" s="23">
        <f>ROUND(L231 + M231, 2)</f>
        <v/>
      </c>
      <c r="O231" s="23">
        <f>Saldos_Capital_Mensual!K231</f>
        <v/>
      </c>
      <c r="P231" s="23">
        <f>Saldos_Intereses_Mensual!K231</f>
        <v/>
      </c>
      <c r="Q231" s="23">
        <f>ROUND(O231 + P231, 2)</f>
        <v/>
      </c>
      <c r="R231" s="23">
        <f>Saldo_Residual_Activo!K231</f>
        <v/>
      </c>
      <c r="S231" s="23">
        <f>ROUND(Q231 + R231, 2)</f>
        <v/>
      </c>
      <c r="T231" s="23">
        <f>Saldos_Capital_Mensual!L231</f>
        <v/>
      </c>
      <c r="U231" s="23">
        <f>Saldos_Intereses_Mensual!L231</f>
        <v/>
      </c>
      <c r="V231" s="23">
        <f>ROUND(T231 + U231, 2)</f>
        <v/>
      </c>
      <c r="W231" s="23">
        <f>Saldo_Residual_Activo!L231</f>
        <v/>
      </c>
      <c r="X231" s="23">
        <f>ROUND(V231 + W231, 2)</f>
        <v/>
      </c>
      <c r="Y231" s="23">
        <f>Saldos_Capital_Mensual!M231</f>
        <v/>
      </c>
      <c r="Z231" s="23">
        <f>Saldos_Intereses_Mensual!M231</f>
        <v/>
      </c>
      <c r="AA231" s="23">
        <f>ROUND(Y231 + Z231, 2)</f>
        <v/>
      </c>
      <c r="AB231" s="23">
        <f>Saldo_Residual_Activo!M231</f>
        <v/>
      </c>
      <c r="AC231" s="23">
        <f>ROUND(AA231 + AB231, 2)</f>
        <v/>
      </c>
      <c r="AD231" s="23">
        <f>Saldos_Capital_Mensual!N231</f>
        <v/>
      </c>
      <c r="AE231" s="23">
        <f>Saldos_Intereses_Mensual!N231</f>
        <v/>
      </c>
      <c r="AF231" s="23">
        <f>ROUND(AD231 + AE231, 2)</f>
        <v/>
      </c>
      <c r="AG231" s="23">
        <f>Saldo_Residual_Activo!N231</f>
        <v/>
      </c>
      <c r="AH231" s="23">
        <f>ROUND(AF231 + AG231, 2)</f>
        <v/>
      </c>
      <c r="AI231" s="23">
        <f>Saldos_Capital_Mensual!O231</f>
        <v/>
      </c>
      <c r="AJ231" s="23">
        <f>Saldos_Intereses_Mensual!O231</f>
        <v/>
      </c>
      <c r="AK231" s="23">
        <f>ROUND(AI231 + AJ231, 2)</f>
        <v/>
      </c>
      <c r="AL231" s="23">
        <f>Saldo_Residual_Activo!O231</f>
        <v/>
      </c>
      <c r="AM231" s="23">
        <f>ROUND(AK231 + AL231, 2)</f>
        <v/>
      </c>
      <c r="AN231" s="23">
        <f>Saldos_Capital_Mensual!P231</f>
        <v/>
      </c>
      <c r="AO231" s="23">
        <f>Saldos_Intereses_Mensual!P231</f>
        <v/>
      </c>
      <c r="AP231" s="23">
        <f>ROUND(AN231 + AO231, 2)</f>
        <v/>
      </c>
      <c r="AQ231" s="23">
        <f>Saldo_Residual_Activo!P231</f>
        <v/>
      </c>
      <c r="AR231" s="23">
        <f>ROUND(AP231 + AQ231, 2)</f>
        <v/>
      </c>
      <c r="AS231" s="23">
        <f>Saldos_Capital_Mensual!Q231</f>
        <v/>
      </c>
      <c r="AT231" s="23">
        <f>Saldos_Intereses_Mensual!Q231</f>
        <v/>
      </c>
      <c r="AU231" s="23">
        <f>ROUND(AS231 + AT231, 2)</f>
        <v/>
      </c>
      <c r="AV231" s="23">
        <f>Saldo_Residual_Activo!Q231</f>
        <v/>
      </c>
      <c r="AW231" s="23">
        <f>ROUND(AU231 + AV231, 2)</f>
        <v/>
      </c>
      <c r="AX231" s="23">
        <f>Saldos_Capital_Mensual!R231</f>
        <v/>
      </c>
      <c r="AY231" s="23">
        <f>Saldos_Intereses_Mensual!R231</f>
        <v/>
      </c>
      <c r="AZ231" s="23">
        <f>ROUND(AX231 + AY231, 2)</f>
        <v/>
      </c>
      <c r="BA231" s="23">
        <f>Saldo_Residual_Activo!R231</f>
        <v/>
      </c>
      <c r="BB231" s="23">
        <f>ROUND(AZ231 + BA231, 2)</f>
        <v/>
      </c>
      <c r="BC231" s="23">
        <f>Saldos_Capital_Mensual!S231</f>
        <v/>
      </c>
      <c r="BD231" s="23">
        <f>Saldos_Intereses_Mensual!S231</f>
        <v/>
      </c>
      <c r="BE231" s="23">
        <f>ROUND(BC231 + BD231, 2)</f>
        <v/>
      </c>
      <c r="BF231" s="23">
        <f>Saldo_Residual_Activo!S231</f>
        <v/>
      </c>
      <c r="BG231" s="23">
        <f>ROUND(BE231 + BF231, 2)</f>
        <v/>
      </c>
      <c r="BH231" s="23">
        <f>Saldos_Capital_Mensual!T231</f>
        <v/>
      </c>
      <c r="BI231" s="23">
        <f>Saldos_Intereses_Mensual!T231</f>
        <v/>
      </c>
      <c r="BJ231" s="23">
        <f>ROUND(BH231 + BI231, 2)</f>
        <v/>
      </c>
      <c r="BK231" s="23">
        <f>Saldo_Residual_Activo!T231</f>
        <v/>
      </c>
      <c r="BL231" s="23">
        <f>ROUND(BJ231 + BK231, 2)</f>
        <v/>
      </c>
    </row>
    <row r="232">
      <c r="A232" s="26" t="inlineStr">
        <is>
          <t>0745-0001</t>
        </is>
      </c>
      <c r="B232" s="27" t="inlineStr">
        <is>
          <t>Industrializadora de Productos Lácteos y Derivados los Cuates, S.A. de C.V.</t>
        </is>
      </c>
      <c r="C232" s="27" t="inlineStr">
        <is>
          <t>Outlander Sport SE Plus</t>
        </is>
      </c>
      <c r="D232" s="28" t="n">
        <v>36</v>
      </c>
      <c r="E232" s="29">
        <f>Saldos_Capital_Mensual!I232</f>
        <v/>
      </c>
      <c r="F232" s="29">
        <f>Saldos_Intereses_Mensual!I232</f>
        <v/>
      </c>
      <c r="G232" s="29">
        <f>ROUND(E232 + F232, 2)</f>
        <v/>
      </c>
      <c r="H232" s="29">
        <f>Saldo_Residual_Activo!I232</f>
        <v/>
      </c>
      <c r="I232" s="29">
        <f>ROUND(G232 + H232, 2)</f>
        <v/>
      </c>
      <c r="J232" s="29">
        <f>Saldos_Capital_Mensual!J232</f>
        <v/>
      </c>
      <c r="K232" s="29">
        <f>Saldos_Intereses_Mensual!J232</f>
        <v/>
      </c>
      <c r="L232" s="29">
        <f>ROUND(J232 + K232, 2)</f>
        <v/>
      </c>
      <c r="M232" s="29">
        <f>Saldo_Residual_Activo!J232</f>
        <v/>
      </c>
      <c r="N232" s="29">
        <f>ROUND(L232 + M232, 2)</f>
        <v/>
      </c>
      <c r="O232" s="29">
        <f>Saldos_Capital_Mensual!K232</f>
        <v/>
      </c>
      <c r="P232" s="29">
        <f>Saldos_Intereses_Mensual!K232</f>
        <v/>
      </c>
      <c r="Q232" s="29">
        <f>ROUND(O232 + P232, 2)</f>
        <v/>
      </c>
      <c r="R232" s="29">
        <f>Saldo_Residual_Activo!K232</f>
        <v/>
      </c>
      <c r="S232" s="29">
        <f>ROUND(Q232 + R232, 2)</f>
        <v/>
      </c>
      <c r="T232" s="29">
        <f>Saldos_Capital_Mensual!L232</f>
        <v/>
      </c>
      <c r="U232" s="29">
        <f>Saldos_Intereses_Mensual!L232</f>
        <v/>
      </c>
      <c r="V232" s="29">
        <f>ROUND(T232 + U232, 2)</f>
        <v/>
      </c>
      <c r="W232" s="29">
        <f>Saldo_Residual_Activo!L232</f>
        <v/>
      </c>
      <c r="X232" s="29">
        <f>ROUND(V232 + W232, 2)</f>
        <v/>
      </c>
      <c r="Y232" s="29">
        <f>Saldos_Capital_Mensual!M232</f>
        <v/>
      </c>
      <c r="Z232" s="29">
        <f>Saldos_Intereses_Mensual!M232</f>
        <v/>
      </c>
      <c r="AA232" s="29">
        <f>ROUND(Y232 + Z232, 2)</f>
        <v/>
      </c>
      <c r="AB232" s="29">
        <f>Saldo_Residual_Activo!M232</f>
        <v/>
      </c>
      <c r="AC232" s="29">
        <f>ROUND(AA232 + AB232, 2)</f>
        <v/>
      </c>
      <c r="AD232" s="29">
        <f>Saldos_Capital_Mensual!N232</f>
        <v/>
      </c>
      <c r="AE232" s="29">
        <f>Saldos_Intereses_Mensual!N232</f>
        <v/>
      </c>
      <c r="AF232" s="29">
        <f>ROUND(AD232 + AE232, 2)</f>
        <v/>
      </c>
      <c r="AG232" s="29">
        <f>Saldo_Residual_Activo!N232</f>
        <v/>
      </c>
      <c r="AH232" s="29">
        <f>ROUND(AF232 + AG232, 2)</f>
        <v/>
      </c>
      <c r="AI232" s="29">
        <f>Saldos_Capital_Mensual!O232</f>
        <v/>
      </c>
      <c r="AJ232" s="29">
        <f>Saldos_Intereses_Mensual!O232</f>
        <v/>
      </c>
      <c r="AK232" s="29">
        <f>ROUND(AI232 + AJ232, 2)</f>
        <v/>
      </c>
      <c r="AL232" s="29">
        <f>Saldo_Residual_Activo!O232</f>
        <v/>
      </c>
      <c r="AM232" s="29">
        <f>ROUND(AK232 + AL232, 2)</f>
        <v/>
      </c>
      <c r="AN232" s="29">
        <f>Saldos_Capital_Mensual!P232</f>
        <v/>
      </c>
      <c r="AO232" s="29">
        <f>Saldos_Intereses_Mensual!P232</f>
        <v/>
      </c>
      <c r="AP232" s="29">
        <f>ROUND(AN232 + AO232, 2)</f>
        <v/>
      </c>
      <c r="AQ232" s="29">
        <f>Saldo_Residual_Activo!P232</f>
        <v/>
      </c>
      <c r="AR232" s="29">
        <f>ROUND(AP232 + AQ232, 2)</f>
        <v/>
      </c>
      <c r="AS232" s="29">
        <f>Saldos_Capital_Mensual!Q232</f>
        <v/>
      </c>
      <c r="AT232" s="29">
        <f>Saldos_Intereses_Mensual!Q232</f>
        <v/>
      </c>
      <c r="AU232" s="29">
        <f>ROUND(AS232 + AT232, 2)</f>
        <v/>
      </c>
      <c r="AV232" s="29">
        <f>Saldo_Residual_Activo!Q232</f>
        <v/>
      </c>
      <c r="AW232" s="29">
        <f>ROUND(AU232 + AV232, 2)</f>
        <v/>
      </c>
      <c r="AX232" s="29">
        <f>Saldos_Capital_Mensual!R232</f>
        <v/>
      </c>
      <c r="AY232" s="29">
        <f>Saldos_Intereses_Mensual!R232</f>
        <v/>
      </c>
      <c r="AZ232" s="29">
        <f>ROUND(AX232 + AY232, 2)</f>
        <v/>
      </c>
      <c r="BA232" s="29">
        <f>Saldo_Residual_Activo!R232</f>
        <v/>
      </c>
      <c r="BB232" s="29">
        <f>ROUND(AZ232 + BA232, 2)</f>
        <v/>
      </c>
      <c r="BC232" s="29">
        <f>Saldos_Capital_Mensual!S232</f>
        <v/>
      </c>
      <c r="BD232" s="29">
        <f>Saldos_Intereses_Mensual!S232</f>
        <v/>
      </c>
      <c r="BE232" s="29">
        <f>ROUND(BC232 + BD232, 2)</f>
        <v/>
      </c>
      <c r="BF232" s="29">
        <f>Saldo_Residual_Activo!S232</f>
        <v/>
      </c>
      <c r="BG232" s="29">
        <f>ROUND(BE232 + BF232, 2)</f>
        <v/>
      </c>
      <c r="BH232" s="29">
        <f>Saldos_Capital_Mensual!T232</f>
        <v/>
      </c>
      <c r="BI232" s="29">
        <f>Saldos_Intereses_Mensual!T232</f>
        <v/>
      </c>
      <c r="BJ232" s="29">
        <f>ROUND(BH232 + BI232, 2)</f>
        <v/>
      </c>
      <c r="BK232" s="29">
        <f>Saldo_Residual_Activo!T232</f>
        <v/>
      </c>
      <c r="BL232" s="29">
        <f>ROUND(BJ232 + BK232, 2)</f>
        <v/>
      </c>
    </row>
    <row r="233">
      <c r="A233" s="20" t="inlineStr">
        <is>
          <t>0746-0001</t>
        </is>
      </c>
      <c r="B233" s="21" t="inlineStr">
        <is>
          <t>Giovanni Salvador Medina Rubio</t>
        </is>
      </c>
      <c r="C233" s="21" t="inlineStr">
        <is>
          <t>Rapid</t>
        </is>
      </c>
      <c r="D233" s="22" t="n">
        <v>36</v>
      </c>
      <c r="E233" s="23">
        <f>Saldos_Capital_Mensual!I233</f>
        <v/>
      </c>
      <c r="F233" s="23">
        <f>Saldos_Intereses_Mensual!I233</f>
        <v/>
      </c>
      <c r="G233" s="23">
        <f>ROUND(E233 + F233, 2)</f>
        <v/>
      </c>
      <c r="H233" s="23">
        <f>Saldo_Residual_Activo!I233</f>
        <v/>
      </c>
      <c r="I233" s="23">
        <f>ROUND(G233 + H233, 2)</f>
        <v/>
      </c>
      <c r="J233" s="23">
        <f>Saldos_Capital_Mensual!J233</f>
        <v/>
      </c>
      <c r="K233" s="23">
        <f>Saldos_Intereses_Mensual!J233</f>
        <v/>
      </c>
      <c r="L233" s="23">
        <f>ROUND(J233 + K233, 2)</f>
        <v/>
      </c>
      <c r="M233" s="23">
        <f>Saldo_Residual_Activo!J233</f>
        <v/>
      </c>
      <c r="N233" s="23">
        <f>ROUND(L233 + M233, 2)</f>
        <v/>
      </c>
      <c r="O233" s="23">
        <f>Saldos_Capital_Mensual!K233</f>
        <v/>
      </c>
      <c r="P233" s="23">
        <f>Saldos_Intereses_Mensual!K233</f>
        <v/>
      </c>
      <c r="Q233" s="23">
        <f>ROUND(O233 + P233, 2)</f>
        <v/>
      </c>
      <c r="R233" s="23">
        <f>Saldo_Residual_Activo!K233</f>
        <v/>
      </c>
      <c r="S233" s="23">
        <f>ROUND(Q233 + R233, 2)</f>
        <v/>
      </c>
      <c r="T233" s="23">
        <f>Saldos_Capital_Mensual!L233</f>
        <v/>
      </c>
      <c r="U233" s="23">
        <f>Saldos_Intereses_Mensual!L233</f>
        <v/>
      </c>
      <c r="V233" s="23">
        <f>ROUND(T233 + U233, 2)</f>
        <v/>
      </c>
      <c r="W233" s="23">
        <f>Saldo_Residual_Activo!L233</f>
        <v/>
      </c>
      <c r="X233" s="23">
        <f>ROUND(V233 + W233, 2)</f>
        <v/>
      </c>
      <c r="Y233" s="23">
        <f>Saldos_Capital_Mensual!M233</f>
        <v/>
      </c>
      <c r="Z233" s="23">
        <f>Saldos_Intereses_Mensual!M233</f>
        <v/>
      </c>
      <c r="AA233" s="23">
        <f>ROUND(Y233 + Z233, 2)</f>
        <v/>
      </c>
      <c r="AB233" s="23">
        <f>Saldo_Residual_Activo!M233</f>
        <v/>
      </c>
      <c r="AC233" s="23">
        <f>ROUND(AA233 + AB233, 2)</f>
        <v/>
      </c>
      <c r="AD233" s="23">
        <f>Saldos_Capital_Mensual!N233</f>
        <v/>
      </c>
      <c r="AE233" s="23">
        <f>Saldos_Intereses_Mensual!N233</f>
        <v/>
      </c>
      <c r="AF233" s="23">
        <f>ROUND(AD233 + AE233, 2)</f>
        <v/>
      </c>
      <c r="AG233" s="23">
        <f>Saldo_Residual_Activo!N233</f>
        <v/>
      </c>
      <c r="AH233" s="23">
        <f>ROUND(AF233 + AG233, 2)</f>
        <v/>
      </c>
      <c r="AI233" s="23">
        <f>Saldos_Capital_Mensual!O233</f>
        <v/>
      </c>
      <c r="AJ233" s="23">
        <f>Saldos_Intereses_Mensual!O233</f>
        <v/>
      </c>
      <c r="AK233" s="23">
        <f>ROUND(AI233 + AJ233, 2)</f>
        <v/>
      </c>
      <c r="AL233" s="23">
        <f>Saldo_Residual_Activo!O233</f>
        <v/>
      </c>
      <c r="AM233" s="23">
        <f>ROUND(AK233 + AL233, 2)</f>
        <v/>
      </c>
      <c r="AN233" s="23">
        <f>Saldos_Capital_Mensual!P233</f>
        <v/>
      </c>
      <c r="AO233" s="23">
        <f>Saldos_Intereses_Mensual!P233</f>
        <v/>
      </c>
      <c r="AP233" s="23">
        <f>ROUND(AN233 + AO233, 2)</f>
        <v/>
      </c>
      <c r="AQ233" s="23">
        <f>Saldo_Residual_Activo!P233</f>
        <v/>
      </c>
      <c r="AR233" s="23">
        <f>ROUND(AP233 + AQ233, 2)</f>
        <v/>
      </c>
      <c r="AS233" s="23">
        <f>Saldos_Capital_Mensual!Q233</f>
        <v/>
      </c>
      <c r="AT233" s="23">
        <f>Saldos_Intereses_Mensual!Q233</f>
        <v/>
      </c>
      <c r="AU233" s="23">
        <f>ROUND(AS233 + AT233, 2)</f>
        <v/>
      </c>
      <c r="AV233" s="23">
        <f>Saldo_Residual_Activo!Q233</f>
        <v/>
      </c>
      <c r="AW233" s="23">
        <f>ROUND(AU233 + AV233, 2)</f>
        <v/>
      </c>
      <c r="AX233" s="23">
        <f>Saldos_Capital_Mensual!R233</f>
        <v/>
      </c>
      <c r="AY233" s="23">
        <f>Saldos_Intereses_Mensual!R233</f>
        <v/>
      </c>
      <c r="AZ233" s="23">
        <f>ROUND(AX233 + AY233, 2)</f>
        <v/>
      </c>
      <c r="BA233" s="23">
        <f>Saldo_Residual_Activo!R233</f>
        <v/>
      </c>
      <c r="BB233" s="23">
        <f>ROUND(AZ233 + BA233, 2)</f>
        <v/>
      </c>
      <c r="BC233" s="23">
        <f>Saldos_Capital_Mensual!S233</f>
        <v/>
      </c>
      <c r="BD233" s="23">
        <f>Saldos_Intereses_Mensual!S233</f>
        <v/>
      </c>
      <c r="BE233" s="23">
        <f>ROUND(BC233 + BD233, 2)</f>
        <v/>
      </c>
      <c r="BF233" s="23">
        <f>Saldo_Residual_Activo!S233</f>
        <v/>
      </c>
      <c r="BG233" s="23">
        <f>ROUND(BE233 + BF233, 2)</f>
        <v/>
      </c>
      <c r="BH233" s="23">
        <f>Saldos_Capital_Mensual!T233</f>
        <v/>
      </c>
      <c r="BI233" s="23">
        <f>Saldos_Intereses_Mensual!T233</f>
        <v/>
      </c>
      <c r="BJ233" s="23">
        <f>ROUND(BH233 + BI233, 2)</f>
        <v/>
      </c>
      <c r="BK233" s="23">
        <f>Saldo_Residual_Activo!T233</f>
        <v/>
      </c>
      <c r="BL233" s="23">
        <f>ROUND(BJ233 + BK233, 2)</f>
        <v/>
      </c>
    </row>
    <row r="234">
      <c r="A234" s="26" t="inlineStr">
        <is>
          <t>0747-0001</t>
        </is>
      </c>
      <c r="B234" s="27" t="inlineStr">
        <is>
          <t>Brandon Joel Zepeda Romero</t>
        </is>
      </c>
      <c r="C234" s="27" t="inlineStr">
        <is>
          <t>Ranger Raptor</t>
        </is>
      </c>
      <c r="D234" s="28" t="n">
        <v>48</v>
      </c>
      <c r="E234" s="29">
        <f>Saldos_Capital_Mensual!I234</f>
        <v/>
      </c>
      <c r="F234" s="29">
        <f>Saldos_Intereses_Mensual!I234</f>
        <v/>
      </c>
      <c r="G234" s="29">
        <f>ROUND(E234 + F234, 2)</f>
        <v/>
      </c>
      <c r="H234" s="29">
        <f>Saldo_Residual_Activo!I234</f>
        <v/>
      </c>
      <c r="I234" s="29">
        <f>ROUND(G234 + H234, 2)</f>
        <v/>
      </c>
      <c r="J234" s="29">
        <f>Saldos_Capital_Mensual!J234</f>
        <v/>
      </c>
      <c r="K234" s="29">
        <f>Saldos_Intereses_Mensual!J234</f>
        <v/>
      </c>
      <c r="L234" s="29">
        <f>ROUND(J234 + K234, 2)</f>
        <v/>
      </c>
      <c r="M234" s="29">
        <f>Saldo_Residual_Activo!J234</f>
        <v/>
      </c>
      <c r="N234" s="29">
        <f>ROUND(L234 + M234, 2)</f>
        <v/>
      </c>
      <c r="O234" s="29">
        <f>Saldos_Capital_Mensual!K234</f>
        <v/>
      </c>
      <c r="P234" s="29">
        <f>Saldos_Intereses_Mensual!K234</f>
        <v/>
      </c>
      <c r="Q234" s="29">
        <f>ROUND(O234 + P234, 2)</f>
        <v/>
      </c>
      <c r="R234" s="29">
        <f>Saldo_Residual_Activo!K234</f>
        <v/>
      </c>
      <c r="S234" s="29">
        <f>ROUND(Q234 + R234, 2)</f>
        <v/>
      </c>
      <c r="T234" s="29">
        <f>Saldos_Capital_Mensual!L234</f>
        <v/>
      </c>
      <c r="U234" s="29">
        <f>Saldos_Intereses_Mensual!L234</f>
        <v/>
      </c>
      <c r="V234" s="29">
        <f>ROUND(T234 + U234, 2)</f>
        <v/>
      </c>
      <c r="W234" s="29">
        <f>Saldo_Residual_Activo!L234</f>
        <v/>
      </c>
      <c r="X234" s="29">
        <f>ROUND(V234 + W234, 2)</f>
        <v/>
      </c>
      <c r="Y234" s="29">
        <f>Saldos_Capital_Mensual!M234</f>
        <v/>
      </c>
      <c r="Z234" s="29">
        <f>Saldos_Intereses_Mensual!M234</f>
        <v/>
      </c>
      <c r="AA234" s="29">
        <f>ROUND(Y234 + Z234, 2)</f>
        <v/>
      </c>
      <c r="AB234" s="29">
        <f>Saldo_Residual_Activo!M234</f>
        <v/>
      </c>
      <c r="AC234" s="29">
        <f>ROUND(AA234 + AB234, 2)</f>
        <v/>
      </c>
      <c r="AD234" s="29">
        <f>Saldos_Capital_Mensual!N234</f>
        <v/>
      </c>
      <c r="AE234" s="29">
        <f>Saldos_Intereses_Mensual!N234</f>
        <v/>
      </c>
      <c r="AF234" s="29">
        <f>ROUND(AD234 + AE234, 2)</f>
        <v/>
      </c>
      <c r="AG234" s="29">
        <f>Saldo_Residual_Activo!N234</f>
        <v/>
      </c>
      <c r="AH234" s="29">
        <f>ROUND(AF234 + AG234, 2)</f>
        <v/>
      </c>
      <c r="AI234" s="29">
        <f>Saldos_Capital_Mensual!O234</f>
        <v/>
      </c>
      <c r="AJ234" s="29">
        <f>Saldos_Intereses_Mensual!O234</f>
        <v/>
      </c>
      <c r="AK234" s="29">
        <f>ROUND(AI234 + AJ234, 2)</f>
        <v/>
      </c>
      <c r="AL234" s="29">
        <f>Saldo_Residual_Activo!O234</f>
        <v/>
      </c>
      <c r="AM234" s="29">
        <f>ROUND(AK234 + AL234, 2)</f>
        <v/>
      </c>
      <c r="AN234" s="29">
        <f>Saldos_Capital_Mensual!P234</f>
        <v/>
      </c>
      <c r="AO234" s="29">
        <f>Saldos_Intereses_Mensual!P234</f>
        <v/>
      </c>
      <c r="AP234" s="29">
        <f>ROUND(AN234 + AO234, 2)</f>
        <v/>
      </c>
      <c r="AQ234" s="29">
        <f>Saldo_Residual_Activo!P234</f>
        <v/>
      </c>
      <c r="AR234" s="29">
        <f>ROUND(AP234 + AQ234, 2)</f>
        <v/>
      </c>
      <c r="AS234" s="29">
        <f>Saldos_Capital_Mensual!Q234</f>
        <v/>
      </c>
      <c r="AT234" s="29">
        <f>Saldos_Intereses_Mensual!Q234</f>
        <v/>
      </c>
      <c r="AU234" s="29">
        <f>ROUND(AS234 + AT234, 2)</f>
        <v/>
      </c>
      <c r="AV234" s="29">
        <f>Saldo_Residual_Activo!Q234</f>
        <v/>
      </c>
      <c r="AW234" s="29">
        <f>ROUND(AU234 + AV234, 2)</f>
        <v/>
      </c>
      <c r="AX234" s="29">
        <f>Saldos_Capital_Mensual!R234</f>
        <v/>
      </c>
      <c r="AY234" s="29">
        <f>Saldos_Intereses_Mensual!R234</f>
        <v/>
      </c>
      <c r="AZ234" s="29">
        <f>ROUND(AX234 + AY234, 2)</f>
        <v/>
      </c>
      <c r="BA234" s="29">
        <f>Saldo_Residual_Activo!R234</f>
        <v/>
      </c>
      <c r="BB234" s="29">
        <f>ROUND(AZ234 + BA234, 2)</f>
        <v/>
      </c>
      <c r="BC234" s="29">
        <f>Saldos_Capital_Mensual!S234</f>
        <v/>
      </c>
      <c r="BD234" s="29">
        <f>Saldos_Intereses_Mensual!S234</f>
        <v/>
      </c>
      <c r="BE234" s="29">
        <f>ROUND(BC234 + BD234, 2)</f>
        <v/>
      </c>
      <c r="BF234" s="29">
        <f>Saldo_Residual_Activo!S234</f>
        <v/>
      </c>
      <c r="BG234" s="29">
        <f>ROUND(BE234 + BF234, 2)</f>
        <v/>
      </c>
      <c r="BH234" s="29">
        <f>Saldos_Capital_Mensual!T234</f>
        <v/>
      </c>
      <c r="BI234" s="29">
        <f>Saldos_Intereses_Mensual!T234</f>
        <v/>
      </c>
      <c r="BJ234" s="29">
        <f>ROUND(BH234 + BI234, 2)</f>
        <v/>
      </c>
      <c r="BK234" s="29">
        <f>Saldo_Residual_Activo!T234</f>
        <v/>
      </c>
      <c r="BL234" s="29">
        <f>ROUND(BJ234 + BK234, 2)</f>
        <v/>
      </c>
    </row>
    <row r="235">
      <c r="A235" s="20" t="inlineStr">
        <is>
          <t>0748-0001</t>
        </is>
      </c>
      <c r="B235" s="21" t="inlineStr">
        <is>
          <t>Carlos Guerra Iñiguez</t>
        </is>
      </c>
      <c r="C235" s="21" t="inlineStr">
        <is>
          <t>L200 GLX</t>
        </is>
      </c>
      <c r="D235" s="22" t="n">
        <v>48</v>
      </c>
      <c r="E235" s="23">
        <f>Saldos_Capital_Mensual!I235</f>
        <v/>
      </c>
      <c r="F235" s="23">
        <f>Saldos_Intereses_Mensual!I235</f>
        <v/>
      </c>
      <c r="G235" s="23">
        <f>ROUND(E235 + F235, 2)</f>
        <v/>
      </c>
      <c r="H235" s="23">
        <f>Saldo_Residual_Activo!I235</f>
        <v/>
      </c>
      <c r="I235" s="23">
        <f>ROUND(G235 + H235, 2)</f>
        <v/>
      </c>
      <c r="J235" s="23">
        <f>Saldos_Capital_Mensual!J235</f>
        <v/>
      </c>
      <c r="K235" s="23">
        <f>Saldos_Intereses_Mensual!J235</f>
        <v/>
      </c>
      <c r="L235" s="23">
        <f>ROUND(J235 + K235, 2)</f>
        <v/>
      </c>
      <c r="M235" s="23">
        <f>Saldo_Residual_Activo!J235</f>
        <v/>
      </c>
      <c r="N235" s="23">
        <f>ROUND(L235 + M235, 2)</f>
        <v/>
      </c>
      <c r="O235" s="23">
        <f>Saldos_Capital_Mensual!K235</f>
        <v/>
      </c>
      <c r="P235" s="23">
        <f>Saldos_Intereses_Mensual!K235</f>
        <v/>
      </c>
      <c r="Q235" s="23">
        <f>ROUND(O235 + P235, 2)</f>
        <v/>
      </c>
      <c r="R235" s="23">
        <f>Saldo_Residual_Activo!K235</f>
        <v/>
      </c>
      <c r="S235" s="23">
        <f>ROUND(Q235 + R235, 2)</f>
        <v/>
      </c>
      <c r="T235" s="23">
        <f>Saldos_Capital_Mensual!L235</f>
        <v/>
      </c>
      <c r="U235" s="23">
        <f>Saldos_Intereses_Mensual!L235</f>
        <v/>
      </c>
      <c r="V235" s="23">
        <f>ROUND(T235 + U235, 2)</f>
        <v/>
      </c>
      <c r="W235" s="23">
        <f>Saldo_Residual_Activo!L235</f>
        <v/>
      </c>
      <c r="X235" s="23">
        <f>ROUND(V235 + W235, 2)</f>
        <v/>
      </c>
      <c r="Y235" s="23">
        <f>Saldos_Capital_Mensual!M235</f>
        <v/>
      </c>
      <c r="Z235" s="23">
        <f>Saldos_Intereses_Mensual!M235</f>
        <v/>
      </c>
      <c r="AA235" s="23">
        <f>ROUND(Y235 + Z235, 2)</f>
        <v/>
      </c>
      <c r="AB235" s="23">
        <f>Saldo_Residual_Activo!M235</f>
        <v/>
      </c>
      <c r="AC235" s="23">
        <f>ROUND(AA235 + AB235, 2)</f>
        <v/>
      </c>
      <c r="AD235" s="23">
        <f>Saldos_Capital_Mensual!N235</f>
        <v/>
      </c>
      <c r="AE235" s="23">
        <f>Saldos_Intereses_Mensual!N235</f>
        <v/>
      </c>
      <c r="AF235" s="23">
        <f>ROUND(AD235 + AE235, 2)</f>
        <v/>
      </c>
      <c r="AG235" s="23">
        <f>Saldo_Residual_Activo!N235</f>
        <v/>
      </c>
      <c r="AH235" s="23">
        <f>ROUND(AF235 + AG235, 2)</f>
        <v/>
      </c>
      <c r="AI235" s="23">
        <f>Saldos_Capital_Mensual!O235</f>
        <v/>
      </c>
      <c r="AJ235" s="23">
        <f>Saldos_Intereses_Mensual!O235</f>
        <v/>
      </c>
      <c r="AK235" s="23">
        <f>ROUND(AI235 + AJ235, 2)</f>
        <v/>
      </c>
      <c r="AL235" s="23">
        <f>Saldo_Residual_Activo!O235</f>
        <v/>
      </c>
      <c r="AM235" s="23">
        <f>ROUND(AK235 + AL235, 2)</f>
        <v/>
      </c>
      <c r="AN235" s="23">
        <f>Saldos_Capital_Mensual!P235</f>
        <v/>
      </c>
      <c r="AO235" s="23">
        <f>Saldos_Intereses_Mensual!P235</f>
        <v/>
      </c>
      <c r="AP235" s="23">
        <f>ROUND(AN235 + AO235, 2)</f>
        <v/>
      </c>
      <c r="AQ235" s="23">
        <f>Saldo_Residual_Activo!P235</f>
        <v/>
      </c>
      <c r="AR235" s="23">
        <f>ROUND(AP235 + AQ235, 2)</f>
        <v/>
      </c>
      <c r="AS235" s="23">
        <f>Saldos_Capital_Mensual!Q235</f>
        <v/>
      </c>
      <c r="AT235" s="23">
        <f>Saldos_Intereses_Mensual!Q235</f>
        <v/>
      </c>
      <c r="AU235" s="23">
        <f>ROUND(AS235 + AT235, 2)</f>
        <v/>
      </c>
      <c r="AV235" s="23">
        <f>Saldo_Residual_Activo!Q235</f>
        <v/>
      </c>
      <c r="AW235" s="23">
        <f>ROUND(AU235 + AV235, 2)</f>
        <v/>
      </c>
      <c r="AX235" s="23">
        <f>Saldos_Capital_Mensual!R235</f>
        <v/>
      </c>
      <c r="AY235" s="23">
        <f>Saldos_Intereses_Mensual!R235</f>
        <v/>
      </c>
      <c r="AZ235" s="23">
        <f>ROUND(AX235 + AY235, 2)</f>
        <v/>
      </c>
      <c r="BA235" s="23">
        <f>Saldo_Residual_Activo!R235</f>
        <v/>
      </c>
      <c r="BB235" s="23">
        <f>ROUND(AZ235 + BA235, 2)</f>
        <v/>
      </c>
      <c r="BC235" s="23">
        <f>Saldos_Capital_Mensual!S235</f>
        <v/>
      </c>
      <c r="BD235" s="23">
        <f>Saldos_Intereses_Mensual!S235</f>
        <v/>
      </c>
      <c r="BE235" s="23">
        <f>ROUND(BC235 + BD235, 2)</f>
        <v/>
      </c>
      <c r="BF235" s="23">
        <f>Saldo_Residual_Activo!S235</f>
        <v/>
      </c>
      <c r="BG235" s="23">
        <f>ROUND(BE235 + BF235, 2)</f>
        <v/>
      </c>
      <c r="BH235" s="23">
        <f>Saldos_Capital_Mensual!T235</f>
        <v/>
      </c>
      <c r="BI235" s="23">
        <f>Saldos_Intereses_Mensual!T235</f>
        <v/>
      </c>
      <c r="BJ235" s="23">
        <f>ROUND(BH235 + BI235, 2)</f>
        <v/>
      </c>
      <c r="BK235" s="23">
        <f>Saldo_Residual_Activo!T235</f>
        <v/>
      </c>
      <c r="BL235" s="23">
        <f>ROUND(BJ235 + BK235, 2)</f>
        <v/>
      </c>
    </row>
    <row r="236">
      <c r="A236" s="26" t="inlineStr">
        <is>
          <t>0749-0001</t>
        </is>
      </c>
      <c r="B236" s="27" t="inlineStr">
        <is>
          <t>Álvarez Fletes Nacionales, S.C.</t>
        </is>
      </c>
      <c r="C236" s="27" t="inlineStr">
        <is>
          <t>RAM 700 TRADESMAN CC</t>
        </is>
      </c>
      <c r="D236" s="28" t="n">
        <v>36</v>
      </c>
      <c r="E236" s="29">
        <f>Saldos_Capital_Mensual!I236</f>
        <v/>
      </c>
      <c r="F236" s="29">
        <f>Saldos_Intereses_Mensual!I236</f>
        <v/>
      </c>
      <c r="G236" s="29">
        <f>ROUND(E236 + F236, 2)</f>
        <v/>
      </c>
      <c r="H236" s="29">
        <f>Saldo_Residual_Activo!I236</f>
        <v/>
      </c>
      <c r="I236" s="29">
        <f>ROUND(G236 + H236, 2)</f>
        <v/>
      </c>
      <c r="J236" s="29">
        <f>Saldos_Capital_Mensual!J236</f>
        <v/>
      </c>
      <c r="K236" s="29">
        <f>Saldos_Intereses_Mensual!J236</f>
        <v/>
      </c>
      <c r="L236" s="29">
        <f>ROUND(J236 + K236, 2)</f>
        <v/>
      </c>
      <c r="M236" s="29">
        <f>Saldo_Residual_Activo!J236</f>
        <v/>
      </c>
      <c r="N236" s="29">
        <f>ROUND(L236 + M236, 2)</f>
        <v/>
      </c>
      <c r="O236" s="29">
        <f>Saldos_Capital_Mensual!K236</f>
        <v/>
      </c>
      <c r="P236" s="29">
        <f>Saldos_Intereses_Mensual!K236</f>
        <v/>
      </c>
      <c r="Q236" s="29">
        <f>ROUND(O236 + P236, 2)</f>
        <v/>
      </c>
      <c r="R236" s="29">
        <f>Saldo_Residual_Activo!K236</f>
        <v/>
      </c>
      <c r="S236" s="29">
        <f>ROUND(Q236 + R236, 2)</f>
        <v/>
      </c>
      <c r="T236" s="29">
        <f>Saldos_Capital_Mensual!L236</f>
        <v/>
      </c>
      <c r="U236" s="29">
        <f>Saldos_Intereses_Mensual!L236</f>
        <v/>
      </c>
      <c r="V236" s="29">
        <f>ROUND(T236 + U236, 2)</f>
        <v/>
      </c>
      <c r="W236" s="29">
        <f>Saldo_Residual_Activo!L236</f>
        <v/>
      </c>
      <c r="X236" s="29">
        <f>ROUND(V236 + W236, 2)</f>
        <v/>
      </c>
      <c r="Y236" s="29">
        <f>Saldos_Capital_Mensual!M236</f>
        <v/>
      </c>
      <c r="Z236" s="29">
        <f>Saldos_Intereses_Mensual!M236</f>
        <v/>
      </c>
      <c r="AA236" s="29">
        <f>ROUND(Y236 + Z236, 2)</f>
        <v/>
      </c>
      <c r="AB236" s="29">
        <f>Saldo_Residual_Activo!M236</f>
        <v/>
      </c>
      <c r="AC236" s="29">
        <f>ROUND(AA236 + AB236, 2)</f>
        <v/>
      </c>
      <c r="AD236" s="29">
        <f>Saldos_Capital_Mensual!N236</f>
        <v/>
      </c>
      <c r="AE236" s="29">
        <f>Saldos_Intereses_Mensual!N236</f>
        <v/>
      </c>
      <c r="AF236" s="29">
        <f>ROUND(AD236 + AE236, 2)</f>
        <v/>
      </c>
      <c r="AG236" s="29">
        <f>Saldo_Residual_Activo!N236</f>
        <v/>
      </c>
      <c r="AH236" s="29">
        <f>ROUND(AF236 + AG236, 2)</f>
        <v/>
      </c>
      <c r="AI236" s="29">
        <f>Saldos_Capital_Mensual!O236</f>
        <v/>
      </c>
      <c r="AJ236" s="29">
        <f>Saldos_Intereses_Mensual!O236</f>
        <v/>
      </c>
      <c r="AK236" s="29">
        <f>ROUND(AI236 + AJ236, 2)</f>
        <v/>
      </c>
      <c r="AL236" s="29">
        <f>Saldo_Residual_Activo!O236</f>
        <v/>
      </c>
      <c r="AM236" s="29">
        <f>ROUND(AK236 + AL236, 2)</f>
        <v/>
      </c>
      <c r="AN236" s="29">
        <f>Saldos_Capital_Mensual!P236</f>
        <v/>
      </c>
      <c r="AO236" s="29">
        <f>Saldos_Intereses_Mensual!P236</f>
        <v/>
      </c>
      <c r="AP236" s="29">
        <f>ROUND(AN236 + AO236, 2)</f>
        <v/>
      </c>
      <c r="AQ236" s="29">
        <f>Saldo_Residual_Activo!P236</f>
        <v/>
      </c>
      <c r="AR236" s="29">
        <f>ROUND(AP236 + AQ236, 2)</f>
        <v/>
      </c>
      <c r="AS236" s="29">
        <f>Saldos_Capital_Mensual!Q236</f>
        <v/>
      </c>
      <c r="AT236" s="29">
        <f>Saldos_Intereses_Mensual!Q236</f>
        <v/>
      </c>
      <c r="AU236" s="29">
        <f>ROUND(AS236 + AT236, 2)</f>
        <v/>
      </c>
      <c r="AV236" s="29">
        <f>Saldo_Residual_Activo!Q236</f>
        <v/>
      </c>
      <c r="AW236" s="29">
        <f>ROUND(AU236 + AV236, 2)</f>
        <v/>
      </c>
      <c r="AX236" s="29">
        <f>Saldos_Capital_Mensual!R236</f>
        <v/>
      </c>
      <c r="AY236" s="29">
        <f>Saldos_Intereses_Mensual!R236</f>
        <v/>
      </c>
      <c r="AZ236" s="29">
        <f>ROUND(AX236 + AY236, 2)</f>
        <v/>
      </c>
      <c r="BA236" s="29">
        <f>Saldo_Residual_Activo!R236</f>
        <v/>
      </c>
      <c r="BB236" s="29">
        <f>ROUND(AZ236 + BA236, 2)</f>
        <v/>
      </c>
      <c r="BC236" s="29">
        <f>Saldos_Capital_Mensual!S236</f>
        <v/>
      </c>
      <c r="BD236" s="29">
        <f>Saldos_Intereses_Mensual!S236</f>
        <v/>
      </c>
      <c r="BE236" s="29">
        <f>ROUND(BC236 + BD236, 2)</f>
        <v/>
      </c>
      <c r="BF236" s="29">
        <f>Saldo_Residual_Activo!S236</f>
        <v/>
      </c>
      <c r="BG236" s="29">
        <f>ROUND(BE236 + BF236, 2)</f>
        <v/>
      </c>
      <c r="BH236" s="29">
        <f>Saldos_Capital_Mensual!T236</f>
        <v/>
      </c>
      <c r="BI236" s="29">
        <f>Saldos_Intereses_Mensual!T236</f>
        <v/>
      </c>
      <c r="BJ236" s="29">
        <f>ROUND(BH236 + BI236, 2)</f>
        <v/>
      </c>
      <c r="BK236" s="29">
        <f>Saldo_Residual_Activo!T236</f>
        <v/>
      </c>
      <c r="BL236" s="29">
        <f>ROUND(BJ236 + BK236, 2)</f>
        <v/>
      </c>
    </row>
    <row r="237">
      <c r="A237" s="20" t="inlineStr">
        <is>
          <t>0749-0002</t>
        </is>
      </c>
      <c r="B237" s="21" t="inlineStr">
        <is>
          <t>Álvarez Fletes Nacionales, S.C.</t>
        </is>
      </c>
      <c r="C237" s="21" t="inlineStr">
        <is>
          <t>RAM 700 TRADESMAN CC</t>
        </is>
      </c>
      <c r="D237" s="22" t="n">
        <v>36</v>
      </c>
      <c r="E237" s="23">
        <f>Saldos_Capital_Mensual!I237</f>
        <v/>
      </c>
      <c r="F237" s="23">
        <f>Saldos_Intereses_Mensual!I237</f>
        <v/>
      </c>
      <c r="G237" s="23">
        <f>ROUND(E237 + F237, 2)</f>
        <v/>
      </c>
      <c r="H237" s="23">
        <f>Saldo_Residual_Activo!I237</f>
        <v/>
      </c>
      <c r="I237" s="23">
        <f>ROUND(G237 + H237, 2)</f>
        <v/>
      </c>
      <c r="J237" s="23">
        <f>Saldos_Capital_Mensual!J237</f>
        <v/>
      </c>
      <c r="K237" s="23">
        <f>Saldos_Intereses_Mensual!J237</f>
        <v/>
      </c>
      <c r="L237" s="23">
        <f>ROUND(J237 + K237, 2)</f>
        <v/>
      </c>
      <c r="M237" s="23">
        <f>Saldo_Residual_Activo!J237</f>
        <v/>
      </c>
      <c r="N237" s="23">
        <f>ROUND(L237 + M237, 2)</f>
        <v/>
      </c>
      <c r="O237" s="23">
        <f>Saldos_Capital_Mensual!K237</f>
        <v/>
      </c>
      <c r="P237" s="23">
        <f>Saldos_Intereses_Mensual!K237</f>
        <v/>
      </c>
      <c r="Q237" s="23">
        <f>ROUND(O237 + P237, 2)</f>
        <v/>
      </c>
      <c r="R237" s="23">
        <f>Saldo_Residual_Activo!K237</f>
        <v/>
      </c>
      <c r="S237" s="23">
        <f>ROUND(Q237 + R237, 2)</f>
        <v/>
      </c>
      <c r="T237" s="23">
        <f>Saldos_Capital_Mensual!L237</f>
        <v/>
      </c>
      <c r="U237" s="23">
        <f>Saldos_Intereses_Mensual!L237</f>
        <v/>
      </c>
      <c r="V237" s="23">
        <f>ROUND(T237 + U237, 2)</f>
        <v/>
      </c>
      <c r="W237" s="23">
        <f>Saldo_Residual_Activo!L237</f>
        <v/>
      </c>
      <c r="X237" s="23">
        <f>ROUND(V237 + W237, 2)</f>
        <v/>
      </c>
      <c r="Y237" s="23">
        <f>Saldos_Capital_Mensual!M237</f>
        <v/>
      </c>
      <c r="Z237" s="23">
        <f>Saldos_Intereses_Mensual!M237</f>
        <v/>
      </c>
      <c r="AA237" s="23">
        <f>ROUND(Y237 + Z237, 2)</f>
        <v/>
      </c>
      <c r="AB237" s="23">
        <f>Saldo_Residual_Activo!M237</f>
        <v/>
      </c>
      <c r="AC237" s="23">
        <f>ROUND(AA237 + AB237, 2)</f>
        <v/>
      </c>
      <c r="AD237" s="23">
        <f>Saldos_Capital_Mensual!N237</f>
        <v/>
      </c>
      <c r="AE237" s="23">
        <f>Saldos_Intereses_Mensual!N237</f>
        <v/>
      </c>
      <c r="AF237" s="23">
        <f>ROUND(AD237 + AE237, 2)</f>
        <v/>
      </c>
      <c r="AG237" s="23">
        <f>Saldo_Residual_Activo!N237</f>
        <v/>
      </c>
      <c r="AH237" s="23">
        <f>ROUND(AF237 + AG237, 2)</f>
        <v/>
      </c>
      <c r="AI237" s="23">
        <f>Saldos_Capital_Mensual!O237</f>
        <v/>
      </c>
      <c r="AJ237" s="23">
        <f>Saldos_Intereses_Mensual!O237</f>
        <v/>
      </c>
      <c r="AK237" s="23">
        <f>ROUND(AI237 + AJ237, 2)</f>
        <v/>
      </c>
      <c r="AL237" s="23">
        <f>Saldo_Residual_Activo!O237</f>
        <v/>
      </c>
      <c r="AM237" s="23">
        <f>ROUND(AK237 + AL237, 2)</f>
        <v/>
      </c>
      <c r="AN237" s="23">
        <f>Saldos_Capital_Mensual!P237</f>
        <v/>
      </c>
      <c r="AO237" s="23">
        <f>Saldos_Intereses_Mensual!P237</f>
        <v/>
      </c>
      <c r="AP237" s="23">
        <f>ROUND(AN237 + AO237, 2)</f>
        <v/>
      </c>
      <c r="AQ237" s="23">
        <f>Saldo_Residual_Activo!P237</f>
        <v/>
      </c>
      <c r="AR237" s="23">
        <f>ROUND(AP237 + AQ237, 2)</f>
        <v/>
      </c>
      <c r="AS237" s="23">
        <f>Saldos_Capital_Mensual!Q237</f>
        <v/>
      </c>
      <c r="AT237" s="23">
        <f>Saldos_Intereses_Mensual!Q237</f>
        <v/>
      </c>
      <c r="AU237" s="23">
        <f>ROUND(AS237 + AT237, 2)</f>
        <v/>
      </c>
      <c r="AV237" s="23">
        <f>Saldo_Residual_Activo!Q237</f>
        <v/>
      </c>
      <c r="AW237" s="23">
        <f>ROUND(AU237 + AV237, 2)</f>
        <v/>
      </c>
      <c r="AX237" s="23">
        <f>Saldos_Capital_Mensual!R237</f>
        <v/>
      </c>
      <c r="AY237" s="23">
        <f>Saldos_Intereses_Mensual!R237</f>
        <v/>
      </c>
      <c r="AZ237" s="23">
        <f>ROUND(AX237 + AY237, 2)</f>
        <v/>
      </c>
      <c r="BA237" s="23">
        <f>Saldo_Residual_Activo!R237</f>
        <v/>
      </c>
      <c r="BB237" s="23">
        <f>ROUND(AZ237 + BA237, 2)</f>
        <v/>
      </c>
      <c r="BC237" s="23">
        <f>Saldos_Capital_Mensual!S237</f>
        <v/>
      </c>
      <c r="BD237" s="23">
        <f>Saldos_Intereses_Mensual!S237</f>
        <v/>
      </c>
      <c r="BE237" s="23">
        <f>ROUND(BC237 + BD237, 2)</f>
        <v/>
      </c>
      <c r="BF237" s="23">
        <f>Saldo_Residual_Activo!S237</f>
        <v/>
      </c>
      <c r="BG237" s="23">
        <f>ROUND(BE237 + BF237, 2)</f>
        <v/>
      </c>
      <c r="BH237" s="23">
        <f>Saldos_Capital_Mensual!T237</f>
        <v/>
      </c>
      <c r="BI237" s="23">
        <f>Saldos_Intereses_Mensual!T237</f>
        <v/>
      </c>
      <c r="BJ237" s="23">
        <f>ROUND(BH237 + BI237, 2)</f>
        <v/>
      </c>
      <c r="BK237" s="23">
        <f>Saldo_Residual_Activo!T237</f>
        <v/>
      </c>
      <c r="BL237" s="23">
        <f>ROUND(BJ237 + BK237, 2)</f>
        <v/>
      </c>
    </row>
    <row r="238">
      <c r="A238" s="26" t="inlineStr">
        <is>
          <t>0750-0001</t>
        </is>
      </c>
      <c r="B238" s="27" t="inlineStr">
        <is>
          <t>Idea Gelato S de RL de CV</t>
        </is>
      </c>
      <c r="C238" s="27" t="inlineStr">
        <is>
          <t>Expert Furgon</t>
        </is>
      </c>
      <c r="D238" s="28" t="n">
        <v>24</v>
      </c>
      <c r="E238" s="29">
        <f>Saldos_Capital_Mensual!I238</f>
        <v/>
      </c>
      <c r="F238" s="29">
        <f>Saldos_Intereses_Mensual!I238</f>
        <v/>
      </c>
      <c r="G238" s="29">
        <f>ROUND(E238 + F238, 2)</f>
        <v/>
      </c>
      <c r="H238" s="29">
        <f>Saldo_Residual_Activo!I238</f>
        <v/>
      </c>
      <c r="I238" s="29">
        <f>ROUND(G238 + H238, 2)</f>
        <v/>
      </c>
      <c r="J238" s="29">
        <f>Saldos_Capital_Mensual!J238</f>
        <v/>
      </c>
      <c r="K238" s="29">
        <f>Saldos_Intereses_Mensual!J238</f>
        <v/>
      </c>
      <c r="L238" s="29">
        <f>ROUND(J238 + K238, 2)</f>
        <v/>
      </c>
      <c r="M238" s="29">
        <f>Saldo_Residual_Activo!J238</f>
        <v/>
      </c>
      <c r="N238" s="29">
        <f>ROUND(L238 + M238, 2)</f>
        <v/>
      </c>
      <c r="O238" s="29">
        <f>Saldos_Capital_Mensual!K238</f>
        <v/>
      </c>
      <c r="P238" s="29">
        <f>Saldos_Intereses_Mensual!K238</f>
        <v/>
      </c>
      <c r="Q238" s="29">
        <f>ROUND(O238 + P238, 2)</f>
        <v/>
      </c>
      <c r="R238" s="29">
        <f>Saldo_Residual_Activo!K238</f>
        <v/>
      </c>
      <c r="S238" s="29">
        <f>ROUND(Q238 + R238, 2)</f>
        <v/>
      </c>
      <c r="T238" s="29">
        <f>Saldos_Capital_Mensual!L238</f>
        <v/>
      </c>
      <c r="U238" s="29">
        <f>Saldos_Intereses_Mensual!L238</f>
        <v/>
      </c>
      <c r="V238" s="29">
        <f>ROUND(T238 + U238, 2)</f>
        <v/>
      </c>
      <c r="W238" s="29">
        <f>Saldo_Residual_Activo!L238</f>
        <v/>
      </c>
      <c r="X238" s="29">
        <f>ROUND(V238 + W238, 2)</f>
        <v/>
      </c>
      <c r="Y238" s="29">
        <f>Saldos_Capital_Mensual!M238</f>
        <v/>
      </c>
      <c r="Z238" s="29">
        <f>Saldos_Intereses_Mensual!M238</f>
        <v/>
      </c>
      <c r="AA238" s="29">
        <f>ROUND(Y238 + Z238, 2)</f>
        <v/>
      </c>
      <c r="AB238" s="29">
        <f>Saldo_Residual_Activo!M238</f>
        <v/>
      </c>
      <c r="AC238" s="29">
        <f>ROUND(AA238 + AB238, 2)</f>
        <v/>
      </c>
      <c r="AD238" s="29">
        <f>Saldos_Capital_Mensual!N238</f>
        <v/>
      </c>
      <c r="AE238" s="29">
        <f>Saldos_Intereses_Mensual!N238</f>
        <v/>
      </c>
      <c r="AF238" s="29">
        <f>ROUND(AD238 + AE238, 2)</f>
        <v/>
      </c>
      <c r="AG238" s="29">
        <f>Saldo_Residual_Activo!N238</f>
        <v/>
      </c>
      <c r="AH238" s="29">
        <f>ROUND(AF238 + AG238, 2)</f>
        <v/>
      </c>
      <c r="AI238" s="29">
        <f>Saldos_Capital_Mensual!O238</f>
        <v/>
      </c>
      <c r="AJ238" s="29">
        <f>Saldos_Intereses_Mensual!O238</f>
        <v/>
      </c>
      <c r="AK238" s="29">
        <f>ROUND(AI238 + AJ238, 2)</f>
        <v/>
      </c>
      <c r="AL238" s="29">
        <f>Saldo_Residual_Activo!O238</f>
        <v/>
      </c>
      <c r="AM238" s="29">
        <f>ROUND(AK238 + AL238, 2)</f>
        <v/>
      </c>
      <c r="AN238" s="29">
        <f>Saldos_Capital_Mensual!P238</f>
        <v/>
      </c>
      <c r="AO238" s="29">
        <f>Saldos_Intereses_Mensual!P238</f>
        <v/>
      </c>
      <c r="AP238" s="29">
        <f>ROUND(AN238 + AO238, 2)</f>
        <v/>
      </c>
      <c r="AQ238" s="29">
        <f>Saldo_Residual_Activo!P238</f>
        <v/>
      </c>
      <c r="AR238" s="29">
        <f>ROUND(AP238 + AQ238, 2)</f>
        <v/>
      </c>
      <c r="AS238" s="29">
        <f>Saldos_Capital_Mensual!Q238</f>
        <v/>
      </c>
      <c r="AT238" s="29">
        <f>Saldos_Intereses_Mensual!Q238</f>
        <v/>
      </c>
      <c r="AU238" s="29">
        <f>ROUND(AS238 + AT238, 2)</f>
        <v/>
      </c>
      <c r="AV238" s="29">
        <f>Saldo_Residual_Activo!Q238</f>
        <v/>
      </c>
      <c r="AW238" s="29">
        <f>ROUND(AU238 + AV238, 2)</f>
        <v/>
      </c>
      <c r="AX238" s="29">
        <f>Saldos_Capital_Mensual!R238</f>
        <v/>
      </c>
      <c r="AY238" s="29">
        <f>Saldos_Intereses_Mensual!R238</f>
        <v/>
      </c>
      <c r="AZ238" s="29">
        <f>ROUND(AX238 + AY238, 2)</f>
        <v/>
      </c>
      <c r="BA238" s="29">
        <f>Saldo_Residual_Activo!R238</f>
        <v/>
      </c>
      <c r="BB238" s="29">
        <f>ROUND(AZ238 + BA238, 2)</f>
        <v/>
      </c>
      <c r="BC238" s="29">
        <f>Saldos_Capital_Mensual!S238</f>
        <v/>
      </c>
      <c r="BD238" s="29">
        <f>Saldos_Intereses_Mensual!S238</f>
        <v/>
      </c>
      <c r="BE238" s="29">
        <f>ROUND(BC238 + BD238, 2)</f>
        <v/>
      </c>
      <c r="BF238" s="29">
        <f>Saldo_Residual_Activo!S238</f>
        <v/>
      </c>
      <c r="BG238" s="29">
        <f>ROUND(BE238 + BF238, 2)</f>
        <v/>
      </c>
      <c r="BH238" s="29">
        <f>Saldos_Capital_Mensual!T238</f>
        <v/>
      </c>
      <c r="BI238" s="29">
        <f>Saldos_Intereses_Mensual!T238</f>
        <v/>
      </c>
      <c r="BJ238" s="29">
        <f>ROUND(BH238 + BI238, 2)</f>
        <v/>
      </c>
      <c r="BK238" s="29">
        <f>Saldo_Residual_Activo!T238</f>
        <v/>
      </c>
      <c r="BL238" s="29">
        <f>ROUND(BJ238 + BK238, 2)</f>
        <v/>
      </c>
    </row>
    <row r="239">
      <c r="A239" s="20" t="inlineStr">
        <is>
          <t>0752-0001</t>
        </is>
      </c>
      <c r="B239" s="21" t="inlineStr">
        <is>
          <t>Fernando Plasencia Lopez</t>
        </is>
      </c>
      <c r="C239" s="21" t="inlineStr">
        <is>
          <t>Grand Cherokee Limited</t>
        </is>
      </c>
      <c r="D239" s="22" t="n">
        <v>24</v>
      </c>
      <c r="E239" s="23">
        <f>Saldos_Capital_Mensual!I239</f>
        <v/>
      </c>
      <c r="F239" s="23">
        <f>Saldos_Intereses_Mensual!I239</f>
        <v/>
      </c>
      <c r="G239" s="23">
        <f>ROUND(E239 + F239, 2)</f>
        <v/>
      </c>
      <c r="H239" s="23">
        <f>Saldo_Residual_Activo!I239</f>
        <v/>
      </c>
      <c r="I239" s="23">
        <f>ROUND(G239 + H239, 2)</f>
        <v/>
      </c>
      <c r="J239" s="23">
        <f>Saldos_Capital_Mensual!J239</f>
        <v/>
      </c>
      <c r="K239" s="23">
        <f>Saldos_Intereses_Mensual!J239</f>
        <v/>
      </c>
      <c r="L239" s="23">
        <f>ROUND(J239 + K239, 2)</f>
        <v/>
      </c>
      <c r="M239" s="23">
        <f>Saldo_Residual_Activo!J239</f>
        <v/>
      </c>
      <c r="N239" s="23">
        <f>ROUND(L239 + M239, 2)</f>
        <v/>
      </c>
      <c r="O239" s="23">
        <f>Saldos_Capital_Mensual!K239</f>
        <v/>
      </c>
      <c r="P239" s="23">
        <f>Saldos_Intereses_Mensual!K239</f>
        <v/>
      </c>
      <c r="Q239" s="23">
        <f>ROUND(O239 + P239, 2)</f>
        <v/>
      </c>
      <c r="R239" s="23">
        <f>Saldo_Residual_Activo!K239</f>
        <v/>
      </c>
      <c r="S239" s="23">
        <f>ROUND(Q239 + R239, 2)</f>
        <v/>
      </c>
      <c r="T239" s="23">
        <f>Saldos_Capital_Mensual!L239</f>
        <v/>
      </c>
      <c r="U239" s="23">
        <f>Saldos_Intereses_Mensual!L239</f>
        <v/>
      </c>
      <c r="V239" s="23">
        <f>ROUND(T239 + U239, 2)</f>
        <v/>
      </c>
      <c r="W239" s="23">
        <f>Saldo_Residual_Activo!L239</f>
        <v/>
      </c>
      <c r="X239" s="23">
        <f>ROUND(V239 + W239, 2)</f>
        <v/>
      </c>
      <c r="Y239" s="23">
        <f>Saldos_Capital_Mensual!M239</f>
        <v/>
      </c>
      <c r="Z239" s="23">
        <f>Saldos_Intereses_Mensual!M239</f>
        <v/>
      </c>
      <c r="AA239" s="23">
        <f>ROUND(Y239 + Z239, 2)</f>
        <v/>
      </c>
      <c r="AB239" s="23">
        <f>Saldo_Residual_Activo!M239</f>
        <v/>
      </c>
      <c r="AC239" s="23">
        <f>ROUND(AA239 + AB239, 2)</f>
        <v/>
      </c>
      <c r="AD239" s="23">
        <f>Saldos_Capital_Mensual!N239</f>
        <v/>
      </c>
      <c r="AE239" s="23">
        <f>Saldos_Intereses_Mensual!N239</f>
        <v/>
      </c>
      <c r="AF239" s="23">
        <f>ROUND(AD239 + AE239, 2)</f>
        <v/>
      </c>
      <c r="AG239" s="23">
        <f>Saldo_Residual_Activo!N239</f>
        <v/>
      </c>
      <c r="AH239" s="23">
        <f>ROUND(AF239 + AG239, 2)</f>
        <v/>
      </c>
      <c r="AI239" s="23">
        <f>Saldos_Capital_Mensual!O239</f>
        <v/>
      </c>
      <c r="AJ239" s="23">
        <f>Saldos_Intereses_Mensual!O239</f>
        <v/>
      </c>
      <c r="AK239" s="23">
        <f>ROUND(AI239 + AJ239, 2)</f>
        <v/>
      </c>
      <c r="AL239" s="23">
        <f>Saldo_Residual_Activo!O239</f>
        <v/>
      </c>
      <c r="AM239" s="23">
        <f>ROUND(AK239 + AL239, 2)</f>
        <v/>
      </c>
      <c r="AN239" s="23">
        <f>Saldos_Capital_Mensual!P239</f>
        <v/>
      </c>
      <c r="AO239" s="23">
        <f>Saldos_Intereses_Mensual!P239</f>
        <v/>
      </c>
      <c r="AP239" s="23">
        <f>ROUND(AN239 + AO239, 2)</f>
        <v/>
      </c>
      <c r="AQ239" s="23">
        <f>Saldo_Residual_Activo!P239</f>
        <v/>
      </c>
      <c r="AR239" s="23">
        <f>ROUND(AP239 + AQ239, 2)</f>
        <v/>
      </c>
      <c r="AS239" s="23">
        <f>Saldos_Capital_Mensual!Q239</f>
        <v/>
      </c>
      <c r="AT239" s="23">
        <f>Saldos_Intereses_Mensual!Q239</f>
        <v/>
      </c>
      <c r="AU239" s="23">
        <f>ROUND(AS239 + AT239, 2)</f>
        <v/>
      </c>
      <c r="AV239" s="23">
        <f>Saldo_Residual_Activo!Q239</f>
        <v/>
      </c>
      <c r="AW239" s="23">
        <f>ROUND(AU239 + AV239, 2)</f>
        <v/>
      </c>
      <c r="AX239" s="23">
        <f>Saldos_Capital_Mensual!R239</f>
        <v/>
      </c>
      <c r="AY239" s="23">
        <f>Saldos_Intereses_Mensual!R239</f>
        <v/>
      </c>
      <c r="AZ239" s="23">
        <f>ROUND(AX239 + AY239, 2)</f>
        <v/>
      </c>
      <c r="BA239" s="23">
        <f>Saldo_Residual_Activo!R239</f>
        <v/>
      </c>
      <c r="BB239" s="23">
        <f>ROUND(AZ239 + BA239, 2)</f>
        <v/>
      </c>
      <c r="BC239" s="23">
        <f>Saldos_Capital_Mensual!S239</f>
        <v/>
      </c>
      <c r="BD239" s="23">
        <f>Saldos_Intereses_Mensual!S239</f>
        <v/>
      </c>
      <c r="BE239" s="23">
        <f>ROUND(BC239 + BD239, 2)</f>
        <v/>
      </c>
      <c r="BF239" s="23">
        <f>Saldo_Residual_Activo!S239</f>
        <v/>
      </c>
      <c r="BG239" s="23">
        <f>ROUND(BE239 + BF239, 2)</f>
        <v/>
      </c>
      <c r="BH239" s="23">
        <f>Saldos_Capital_Mensual!T239</f>
        <v/>
      </c>
      <c r="BI239" s="23">
        <f>Saldos_Intereses_Mensual!T239</f>
        <v/>
      </c>
      <c r="BJ239" s="23">
        <f>ROUND(BH239 + BI239, 2)</f>
        <v/>
      </c>
      <c r="BK239" s="23">
        <f>Saldo_Residual_Activo!T239</f>
        <v/>
      </c>
      <c r="BL239" s="23">
        <f>ROUND(BJ239 + BK239, 2)</f>
        <v/>
      </c>
    </row>
    <row r="240">
      <c r="A240" s="26" t="inlineStr">
        <is>
          <t>0752-0002</t>
        </is>
      </c>
      <c r="B240" s="27" t="inlineStr">
        <is>
          <t>Fernando Plasencia Lopez</t>
        </is>
      </c>
      <c r="C240" s="27" t="inlineStr">
        <is>
          <t>Grand Cherokee Altitude</t>
        </is>
      </c>
      <c r="D240" s="28" t="n">
        <v>24</v>
      </c>
      <c r="E240" s="29">
        <f>Saldos_Capital_Mensual!I240</f>
        <v/>
      </c>
      <c r="F240" s="29">
        <f>Saldos_Intereses_Mensual!I240</f>
        <v/>
      </c>
      <c r="G240" s="29">
        <f>ROUND(E240 + F240, 2)</f>
        <v/>
      </c>
      <c r="H240" s="29">
        <f>Saldo_Residual_Activo!I240</f>
        <v/>
      </c>
      <c r="I240" s="29">
        <f>ROUND(G240 + H240, 2)</f>
        <v/>
      </c>
      <c r="J240" s="29">
        <f>Saldos_Capital_Mensual!J240</f>
        <v/>
      </c>
      <c r="K240" s="29">
        <f>Saldos_Intereses_Mensual!J240</f>
        <v/>
      </c>
      <c r="L240" s="29">
        <f>ROUND(J240 + K240, 2)</f>
        <v/>
      </c>
      <c r="M240" s="29">
        <f>Saldo_Residual_Activo!J240</f>
        <v/>
      </c>
      <c r="N240" s="29">
        <f>ROUND(L240 + M240, 2)</f>
        <v/>
      </c>
      <c r="O240" s="29">
        <f>Saldos_Capital_Mensual!K240</f>
        <v/>
      </c>
      <c r="P240" s="29">
        <f>Saldos_Intereses_Mensual!K240</f>
        <v/>
      </c>
      <c r="Q240" s="29">
        <f>ROUND(O240 + P240, 2)</f>
        <v/>
      </c>
      <c r="R240" s="29">
        <f>Saldo_Residual_Activo!K240</f>
        <v/>
      </c>
      <c r="S240" s="29">
        <f>ROUND(Q240 + R240, 2)</f>
        <v/>
      </c>
      <c r="T240" s="29">
        <f>Saldos_Capital_Mensual!L240</f>
        <v/>
      </c>
      <c r="U240" s="29">
        <f>Saldos_Intereses_Mensual!L240</f>
        <v/>
      </c>
      <c r="V240" s="29">
        <f>ROUND(T240 + U240, 2)</f>
        <v/>
      </c>
      <c r="W240" s="29">
        <f>Saldo_Residual_Activo!L240</f>
        <v/>
      </c>
      <c r="X240" s="29">
        <f>ROUND(V240 + W240, 2)</f>
        <v/>
      </c>
      <c r="Y240" s="29">
        <f>Saldos_Capital_Mensual!M240</f>
        <v/>
      </c>
      <c r="Z240" s="29">
        <f>Saldos_Intereses_Mensual!M240</f>
        <v/>
      </c>
      <c r="AA240" s="29">
        <f>ROUND(Y240 + Z240, 2)</f>
        <v/>
      </c>
      <c r="AB240" s="29">
        <f>Saldo_Residual_Activo!M240</f>
        <v/>
      </c>
      <c r="AC240" s="29">
        <f>ROUND(AA240 + AB240, 2)</f>
        <v/>
      </c>
      <c r="AD240" s="29">
        <f>Saldos_Capital_Mensual!N240</f>
        <v/>
      </c>
      <c r="AE240" s="29">
        <f>Saldos_Intereses_Mensual!N240</f>
        <v/>
      </c>
      <c r="AF240" s="29">
        <f>ROUND(AD240 + AE240, 2)</f>
        <v/>
      </c>
      <c r="AG240" s="29">
        <f>Saldo_Residual_Activo!N240</f>
        <v/>
      </c>
      <c r="AH240" s="29">
        <f>ROUND(AF240 + AG240, 2)</f>
        <v/>
      </c>
      <c r="AI240" s="29">
        <f>Saldos_Capital_Mensual!O240</f>
        <v/>
      </c>
      <c r="AJ240" s="29">
        <f>Saldos_Intereses_Mensual!O240</f>
        <v/>
      </c>
      <c r="AK240" s="29">
        <f>ROUND(AI240 + AJ240, 2)</f>
        <v/>
      </c>
      <c r="AL240" s="29">
        <f>Saldo_Residual_Activo!O240</f>
        <v/>
      </c>
      <c r="AM240" s="29">
        <f>ROUND(AK240 + AL240, 2)</f>
        <v/>
      </c>
      <c r="AN240" s="29">
        <f>Saldos_Capital_Mensual!P240</f>
        <v/>
      </c>
      <c r="AO240" s="29">
        <f>Saldos_Intereses_Mensual!P240</f>
        <v/>
      </c>
      <c r="AP240" s="29">
        <f>ROUND(AN240 + AO240, 2)</f>
        <v/>
      </c>
      <c r="AQ240" s="29">
        <f>Saldo_Residual_Activo!P240</f>
        <v/>
      </c>
      <c r="AR240" s="29">
        <f>ROUND(AP240 + AQ240, 2)</f>
        <v/>
      </c>
      <c r="AS240" s="29">
        <f>Saldos_Capital_Mensual!Q240</f>
        <v/>
      </c>
      <c r="AT240" s="29">
        <f>Saldos_Intereses_Mensual!Q240</f>
        <v/>
      </c>
      <c r="AU240" s="29">
        <f>ROUND(AS240 + AT240, 2)</f>
        <v/>
      </c>
      <c r="AV240" s="29">
        <f>Saldo_Residual_Activo!Q240</f>
        <v/>
      </c>
      <c r="AW240" s="29">
        <f>ROUND(AU240 + AV240, 2)</f>
        <v/>
      </c>
      <c r="AX240" s="29">
        <f>Saldos_Capital_Mensual!R240</f>
        <v/>
      </c>
      <c r="AY240" s="29">
        <f>Saldos_Intereses_Mensual!R240</f>
        <v/>
      </c>
      <c r="AZ240" s="29">
        <f>ROUND(AX240 + AY240, 2)</f>
        <v/>
      </c>
      <c r="BA240" s="29">
        <f>Saldo_Residual_Activo!R240</f>
        <v/>
      </c>
      <c r="BB240" s="29">
        <f>ROUND(AZ240 + BA240, 2)</f>
        <v/>
      </c>
      <c r="BC240" s="29">
        <f>Saldos_Capital_Mensual!S240</f>
        <v/>
      </c>
      <c r="BD240" s="29">
        <f>Saldos_Intereses_Mensual!S240</f>
        <v/>
      </c>
      <c r="BE240" s="29">
        <f>ROUND(BC240 + BD240, 2)</f>
        <v/>
      </c>
      <c r="BF240" s="29">
        <f>Saldo_Residual_Activo!S240</f>
        <v/>
      </c>
      <c r="BG240" s="29">
        <f>ROUND(BE240 + BF240, 2)</f>
        <v/>
      </c>
      <c r="BH240" s="29">
        <f>Saldos_Capital_Mensual!T240</f>
        <v/>
      </c>
      <c r="BI240" s="29">
        <f>Saldos_Intereses_Mensual!T240</f>
        <v/>
      </c>
      <c r="BJ240" s="29">
        <f>ROUND(BH240 + BI240, 2)</f>
        <v/>
      </c>
      <c r="BK240" s="29">
        <f>Saldo_Residual_Activo!T240</f>
        <v/>
      </c>
      <c r="BL240" s="29">
        <f>ROUND(BJ240 + BK240, 2)</f>
        <v/>
      </c>
    </row>
    <row r="241">
      <c r="A241" s="20" t="inlineStr">
        <is>
          <t>0752-0003</t>
        </is>
      </c>
      <c r="B241" s="21" t="inlineStr">
        <is>
          <t>Fernando Plasencia Lopez</t>
        </is>
      </c>
      <c r="C241" s="21" t="inlineStr">
        <is>
          <t>Grand Cherokee Summit</t>
        </is>
      </c>
      <c r="D241" s="22" t="n">
        <v>24</v>
      </c>
      <c r="E241" s="23">
        <f>Saldos_Capital_Mensual!I241</f>
        <v/>
      </c>
      <c r="F241" s="23">
        <f>Saldos_Intereses_Mensual!I241</f>
        <v/>
      </c>
      <c r="G241" s="23">
        <f>ROUND(E241 + F241, 2)</f>
        <v/>
      </c>
      <c r="H241" s="23">
        <f>Saldo_Residual_Activo!I241</f>
        <v/>
      </c>
      <c r="I241" s="23">
        <f>ROUND(G241 + H241, 2)</f>
        <v/>
      </c>
      <c r="J241" s="23">
        <f>Saldos_Capital_Mensual!J241</f>
        <v/>
      </c>
      <c r="K241" s="23">
        <f>Saldos_Intereses_Mensual!J241</f>
        <v/>
      </c>
      <c r="L241" s="23">
        <f>ROUND(J241 + K241, 2)</f>
        <v/>
      </c>
      <c r="M241" s="23">
        <f>Saldo_Residual_Activo!J241</f>
        <v/>
      </c>
      <c r="N241" s="23">
        <f>ROUND(L241 + M241, 2)</f>
        <v/>
      </c>
      <c r="O241" s="23">
        <f>Saldos_Capital_Mensual!K241</f>
        <v/>
      </c>
      <c r="P241" s="23">
        <f>Saldos_Intereses_Mensual!K241</f>
        <v/>
      </c>
      <c r="Q241" s="23">
        <f>ROUND(O241 + P241, 2)</f>
        <v/>
      </c>
      <c r="R241" s="23">
        <f>Saldo_Residual_Activo!K241</f>
        <v/>
      </c>
      <c r="S241" s="23">
        <f>ROUND(Q241 + R241, 2)</f>
        <v/>
      </c>
      <c r="T241" s="23">
        <f>Saldos_Capital_Mensual!L241</f>
        <v/>
      </c>
      <c r="U241" s="23">
        <f>Saldos_Intereses_Mensual!L241</f>
        <v/>
      </c>
      <c r="V241" s="23">
        <f>ROUND(T241 + U241, 2)</f>
        <v/>
      </c>
      <c r="W241" s="23">
        <f>Saldo_Residual_Activo!L241</f>
        <v/>
      </c>
      <c r="X241" s="23">
        <f>ROUND(V241 + W241, 2)</f>
        <v/>
      </c>
      <c r="Y241" s="23">
        <f>Saldos_Capital_Mensual!M241</f>
        <v/>
      </c>
      <c r="Z241" s="23">
        <f>Saldos_Intereses_Mensual!M241</f>
        <v/>
      </c>
      <c r="AA241" s="23">
        <f>ROUND(Y241 + Z241, 2)</f>
        <v/>
      </c>
      <c r="AB241" s="23">
        <f>Saldo_Residual_Activo!M241</f>
        <v/>
      </c>
      <c r="AC241" s="23">
        <f>ROUND(AA241 + AB241, 2)</f>
        <v/>
      </c>
      <c r="AD241" s="23">
        <f>Saldos_Capital_Mensual!N241</f>
        <v/>
      </c>
      <c r="AE241" s="23">
        <f>Saldos_Intereses_Mensual!N241</f>
        <v/>
      </c>
      <c r="AF241" s="23">
        <f>ROUND(AD241 + AE241, 2)</f>
        <v/>
      </c>
      <c r="AG241" s="23">
        <f>Saldo_Residual_Activo!N241</f>
        <v/>
      </c>
      <c r="AH241" s="23">
        <f>ROUND(AF241 + AG241, 2)</f>
        <v/>
      </c>
      <c r="AI241" s="23">
        <f>Saldos_Capital_Mensual!O241</f>
        <v/>
      </c>
      <c r="AJ241" s="23">
        <f>Saldos_Intereses_Mensual!O241</f>
        <v/>
      </c>
      <c r="AK241" s="23">
        <f>ROUND(AI241 + AJ241, 2)</f>
        <v/>
      </c>
      <c r="AL241" s="23">
        <f>Saldo_Residual_Activo!O241</f>
        <v/>
      </c>
      <c r="AM241" s="23">
        <f>ROUND(AK241 + AL241, 2)</f>
        <v/>
      </c>
      <c r="AN241" s="23">
        <f>Saldos_Capital_Mensual!P241</f>
        <v/>
      </c>
      <c r="AO241" s="23">
        <f>Saldos_Intereses_Mensual!P241</f>
        <v/>
      </c>
      <c r="AP241" s="23">
        <f>ROUND(AN241 + AO241, 2)</f>
        <v/>
      </c>
      <c r="AQ241" s="23">
        <f>Saldo_Residual_Activo!P241</f>
        <v/>
      </c>
      <c r="AR241" s="23">
        <f>ROUND(AP241 + AQ241, 2)</f>
        <v/>
      </c>
      <c r="AS241" s="23">
        <f>Saldos_Capital_Mensual!Q241</f>
        <v/>
      </c>
      <c r="AT241" s="23">
        <f>Saldos_Intereses_Mensual!Q241</f>
        <v/>
      </c>
      <c r="AU241" s="23">
        <f>ROUND(AS241 + AT241, 2)</f>
        <v/>
      </c>
      <c r="AV241" s="23">
        <f>Saldo_Residual_Activo!Q241</f>
        <v/>
      </c>
      <c r="AW241" s="23">
        <f>ROUND(AU241 + AV241, 2)</f>
        <v/>
      </c>
      <c r="AX241" s="23">
        <f>Saldos_Capital_Mensual!R241</f>
        <v/>
      </c>
      <c r="AY241" s="23">
        <f>Saldos_Intereses_Mensual!R241</f>
        <v/>
      </c>
      <c r="AZ241" s="23">
        <f>ROUND(AX241 + AY241, 2)</f>
        <v/>
      </c>
      <c r="BA241" s="23">
        <f>Saldo_Residual_Activo!R241</f>
        <v/>
      </c>
      <c r="BB241" s="23">
        <f>ROUND(AZ241 + BA241, 2)</f>
        <v/>
      </c>
      <c r="BC241" s="23">
        <f>Saldos_Capital_Mensual!S241</f>
        <v/>
      </c>
      <c r="BD241" s="23">
        <f>Saldos_Intereses_Mensual!S241</f>
        <v/>
      </c>
      <c r="BE241" s="23">
        <f>ROUND(BC241 + BD241, 2)</f>
        <v/>
      </c>
      <c r="BF241" s="23">
        <f>Saldo_Residual_Activo!S241</f>
        <v/>
      </c>
      <c r="BG241" s="23">
        <f>ROUND(BE241 + BF241, 2)</f>
        <v/>
      </c>
      <c r="BH241" s="23">
        <f>Saldos_Capital_Mensual!T241</f>
        <v/>
      </c>
      <c r="BI241" s="23">
        <f>Saldos_Intereses_Mensual!T241</f>
        <v/>
      </c>
      <c r="BJ241" s="23">
        <f>ROUND(BH241 + BI241, 2)</f>
        <v/>
      </c>
      <c r="BK241" s="23">
        <f>Saldo_Residual_Activo!T241</f>
        <v/>
      </c>
      <c r="BL241" s="23">
        <f>ROUND(BJ241 + BK241, 2)</f>
        <v/>
      </c>
    </row>
    <row r="242">
      <c r="A242" s="26" t="inlineStr">
        <is>
          <t>0752-0004</t>
        </is>
      </c>
      <c r="B242" s="27" t="inlineStr">
        <is>
          <t>Fernando Plasencia Lopez</t>
        </is>
      </c>
      <c r="C242" s="27" t="inlineStr">
        <is>
          <t>1200 BIGHORN CC</t>
        </is>
      </c>
      <c r="D242" s="28" t="n">
        <v>48</v>
      </c>
      <c r="E242" s="29">
        <f>Saldos_Capital_Mensual!I242</f>
        <v/>
      </c>
      <c r="F242" s="29">
        <f>Saldos_Intereses_Mensual!I242</f>
        <v/>
      </c>
      <c r="G242" s="29">
        <f>ROUND(E242 + F242, 2)</f>
        <v/>
      </c>
      <c r="H242" s="29">
        <f>Saldo_Residual_Activo!I242</f>
        <v/>
      </c>
      <c r="I242" s="29">
        <f>ROUND(G242 + H242, 2)</f>
        <v/>
      </c>
      <c r="J242" s="29">
        <f>Saldos_Capital_Mensual!J242</f>
        <v/>
      </c>
      <c r="K242" s="29">
        <f>Saldos_Intereses_Mensual!J242</f>
        <v/>
      </c>
      <c r="L242" s="29">
        <f>ROUND(J242 + K242, 2)</f>
        <v/>
      </c>
      <c r="M242" s="29">
        <f>Saldo_Residual_Activo!J242</f>
        <v/>
      </c>
      <c r="N242" s="29">
        <f>ROUND(L242 + M242, 2)</f>
        <v/>
      </c>
      <c r="O242" s="29">
        <f>Saldos_Capital_Mensual!K242</f>
        <v/>
      </c>
      <c r="P242" s="29">
        <f>Saldos_Intereses_Mensual!K242</f>
        <v/>
      </c>
      <c r="Q242" s="29">
        <f>ROUND(O242 + P242, 2)</f>
        <v/>
      </c>
      <c r="R242" s="29">
        <f>Saldo_Residual_Activo!K242</f>
        <v/>
      </c>
      <c r="S242" s="29">
        <f>ROUND(Q242 + R242, 2)</f>
        <v/>
      </c>
      <c r="T242" s="29">
        <f>Saldos_Capital_Mensual!L242</f>
        <v/>
      </c>
      <c r="U242" s="29">
        <f>Saldos_Intereses_Mensual!L242</f>
        <v/>
      </c>
      <c r="V242" s="29">
        <f>ROUND(T242 + U242, 2)</f>
        <v/>
      </c>
      <c r="W242" s="29">
        <f>Saldo_Residual_Activo!L242</f>
        <v/>
      </c>
      <c r="X242" s="29">
        <f>ROUND(V242 + W242, 2)</f>
        <v/>
      </c>
      <c r="Y242" s="29">
        <f>Saldos_Capital_Mensual!M242</f>
        <v/>
      </c>
      <c r="Z242" s="29">
        <f>Saldos_Intereses_Mensual!M242</f>
        <v/>
      </c>
      <c r="AA242" s="29">
        <f>ROUND(Y242 + Z242, 2)</f>
        <v/>
      </c>
      <c r="AB242" s="29">
        <f>Saldo_Residual_Activo!M242</f>
        <v/>
      </c>
      <c r="AC242" s="29">
        <f>ROUND(AA242 + AB242, 2)</f>
        <v/>
      </c>
      <c r="AD242" s="29">
        <f>Saldos_Capital_Mensual!N242</f>
        <v/>
      </c>
      <c r="AE242" s="29">
        <f>Saldos_Intereses_Mensual!N242</f>
        <v/>
      </c>
      <c r="AF242" s="29">
        <f>ROUND(AD242 + AE242, 2)</f>
        <v/>
      </c>
      <c r="AG242" s="29">
        <f>Saldo_Residual_Activo!N242</f>
        <v/>
      </c>
      <c r="AH242" s="29">
        <f>ROUND(AF242 + AG242, 2)</f>
        <v/>
      </c>
      <c r="AI242" s="29">
        <f>Saldos_Capital_Mensual!O242</f>
        <v/>
      </c>
      <c r="AJ242" s="29">
        <f>Saldos_Intereses_Mensual!O242</f>
        <v/>
      </c>
      <c r="AK242" s="29">
        <f>ROUND(AI242 + AJ242, 2)</f>
        <v/>
      </c>
      <c r="AL242" s="29">
        <f>Saldo_Residual_Activo!O242</f>
        <v/>
      </c>
      <c r="AM242" s="29">
        <f>ROUND(AK242 + AL242, 2)</f>
        <v/>
      </c>
      <c r="AN242" s="29">
        <f>Saldos_Capital_Mensual!P242</f>
        <v/>
      </c>
      <c r="AO242" s="29">
        <f>Saldos_Intereses_Mensual!P242</f>
        <v/>
      </c>
      <c r="AP242" s="29">
        <f>ROUND(AN242 + AO242, 2)</f>
        <v/>
      </c>
      <c r="AQ242" s="29">
        <f>Saldo_Residual_Activo!P242</f>
        <v/>
      </c>
      <c r="AR242" s="29">
        <f>ROUND(AP242 + AQ242, 2)</f>
        <v/>
      </c>
      <c r="AS242" s="29">
        <f>Saldos_Capital_Mensual!Q242</f>
        <v/>
      </c>
      <c r="AT242" s="29">
        <f>Saldos_Intereses_Mensual!Q242</f>
        <v/>
      </c>
      <c r="AU242" s="29">
        <f>ROUND(AS242 + AT242, 2)</f>
        <v/>
      </c>
      <c r="AV242" s="29">
        <f>Saldo_Residual_Activo!Q242</f>
        <v/>
      </c>
      <c r="AW242" s="29">
        <f>ROUND(AU242 + AV242, 2)</f>
        <v/>
      </c>
      <c r="AX242" s="29">
        <f>Saldos_Capital_Mensual!R242</f>
        <v/>
      </c>
      <c r="AY242" s="29">
        <f>Saldos_Intereses_Mensual!R242</f>
        <v/>
      </c>
      <c r="AZ242" s="29">
        <f>ROUND(AX242 + AY242, 2)</f>
        <v/>
      </c>
      <c r="BA242" s="29">
        <f>Saldo_Residual_Activo!R242</f>
        <v/>
      </c>
      <c r="BB242" s="29">
        <f>ROUND(AZ242 + BA242, 2)</f>
        <v/>
      </c>
      <c r="BC242" s="29">
        <f>Saldos_Capital_Mensual!S242</f>
        <v/>
      </c>
      <c r="BD242" s="29">
        <f>Saldos_Intereses_Mensual!S242</f>
        <v/>
      </c>
      <c r="BE242" s="29">
        <f>ROUND(BC242 + BD242, 2)</f>
        <v/>
      </c>
      <c r="BF242" s="29">
        <f>Saldo_Residual_Activo!S242</f>
        <v/>
      </c>
      <c r="BG242" s="29">
        <f>ROUND(BE242 + BF242, 2)</f>
        <v/>
      </c>
      <c r="BH242" s="29">
        <f>Saldos_Capital_Mensual!T242</f>
        <v/>
      </c>
      <c r="BI242" s="29">
        <f>Saldos_Intereses_Mensual!T242</f>
        <v/>
      </c>
      <c r="BJ242" s="29">
        <f>ROUND(BH242 + BI242, 2)</f>
        <v/>
      </c>
      <c r="BK242" s="29">
        <f>Saldo_Residual_Activo!T242</f>
        <v/>
      </c>
      <c r="BL242" s="29">
        <f>ROUND(BJ242 + BK242, 2)</f>
        <v/>
      </c>
    </row>
    <row r="243">
      <c r="A243" s="20" t="inlineStr">
        <is>
          <t>0752-0005</t>
        </is>
      </c>
      <c r="B243" s="21" t="inlineStr">
        <is>
          <t>Fernando Plasencia Lopez</t>
        </is>
      </c>
      <c r="C243" s="21" t="inlineStr">
        <is>
          <t>Grand Charokee Altitude</t>
        </is>
      </c>
      <c r="D243" s="22" t="n">
        <v>24</v>
      </c>
      <c r="E243" s="23">
        <f>Saldos_Capital_Mensual!I243</f>
        <v/>
      </c>
      <c r="F243" s="23">
        <f>Saldos_Intereses_Mensual!I243</f>
        <v/>
      </c>
      <c r="G243" s="23">
        <f>ROUND(E243 + F243, 2)</f>
        <v/>
      </c>
      <c r="H243" s="23">
        <f>Saldo_Residual_Activo!I243</f>
        <v/>
      </c>
      <c r="I243" s="23">
        <f>ROUND(G243 + H243, 2)</f>
        <v/>
      </c>
      <c r="J243" s="23">
        <f>Saldos_Capital_Mensual!J243</f>
        <v/>
      </c>
      <c r="K243" s="23">
        <f>Saldos_Intereses_Mensual!J243</f>
        <v/>
      </c>
      <c r="L243" s="23">
        <f>ROUND(J243 + K243, 2)</f>
        <v/>
      </c>
      <c r="M243" s="23">
        <f>Saldo_Residual_Activo!J243</f>
        <v/>
      </c>
      <c r="N243" s="23">
        <f>ROUND(L243 + M243, 2)</f>
        <v/>
      </c>
      <c r="O243" s="23">
        <f>Saldos_Capital_Mensual!K243</f>
        <v/>
      </c>
      <c r="P243" s="23">
        <f>Saldos_Intereses_Mensual!K243</f>
        <v/>
      </c>
      <c r="Q243" s="23">
        <f>ROUND(O243 + P243, 2)</f>
        <v/>
      </c>
      <c r="R243" s="23">
        <f>Saldo_Residual_Activo!K243</f>
        <v/>
      </c>
      <c r="S243" s="23">
        <f>ROUND(Q243 + R243, 2)</f>
        <v/>
      </c>
      <c r="T243" s="23">
        <f>Saldos_Capital_Mensual!L243</f>
        <v/>
      </c>
      <c r="U243" s="23">
        <f>Saldos_Intereses_Mensual!L243</f>
        <v/>
      </c>
      <c r="V243" s="23">
        <f>ROUND(T243 + U243, 2)</f>
        <v/>
      </c>
      <c r="W243" s="23">
        <f>Saldo_Residual_Activo!L243</f>
        <v/>
      </c>
      <c r="X243" s="23">
        <f>ROUND(V243 + W243, 2)</f>
        <v/>
      </c>
      <c r="Y243" s="23">
        <f>Saldos_Capital_Mensual!M243</f>
        <v/>
      </c>
      <c r="Z243" s="23">
        <f>Saldos_Intereses_Mensual!M243</f>
        <v/>
      </c>
      <c r="AA243" s="23">
        <f>ROUND(Y243 + Z243, 2)</f>
        <v/>
      </c>
      <c r="AB243" s="23">
        <f>Saldo_Residual_Activo!M243</f>
        <v/>
      </c>
      <c r="AC243" s="23">
        <f>ROUND(AA243 + AB243, 2)</f>
        <v/>
      </c>
      <c r="AD243" s="23">
        <f>Saldos_Capital_Mensual!N243</f>
        <v/>
      </c>
      <c r="AE243" s="23">
        <f>Saldos_Intereses_Mensual!N243</f>
        <v/>
      </c>
      <c r="AF243" s="23">
        <f>ROUND(AD243 + AE243, 2)</f>
        <v/>
      </c>
      <c r="AG243" s="23">
        <f>Saldo_Residual_Activo!N243</f>
        <v/>
      </c>
      <c r="AH243" s="23">
        <f>ROUND(AF243 + AG243, 2)</f>
        <v/>
      </c>
      <c r="AI243" s="23">
        <f>Saldos_Capital_Mensual!O243</f>
        <v/>
      </c>
      <c r="AJ243" s="23">
        <f>Saldos_Intereses_Mensual!O243</f>
        <v/>
      </c>
      <c r="AK243" s="23">
        <f>ROUND(AI243 + AJ243, 2)</f>
        <v/>
      </c>
      <c r="AL243" s="23">
        <f>Saldo_Residual_Activo!O243</f>
        <v/>
      </c>
      <c r="AM243" s="23">
        <f>ROUND(AK243 + AL243, 2)</f>
        <v/>
      </c>
      <c r="AN243" s="23">
        <f>Saldos_Capital_Mensual!P243</f>
        <v/>
      </c>
      <c r="AO243" s="23">
        <f>Saldos_Intereses_Mensual!P243</f>
        <v/>
      </c>
      <c r="AP243" s="23">
        <f>ROUND(AN243 + AO243, 2)</f>
        <v/>
      </c>
      <c r="AQ243" s="23">
        <f>Saldo_Residual_Activo!P243</f>
        <v/>
      </c>
      <c r="AR243" s="23">
        <f>ROUND(AP243 + AQ243, 2)</f>
        <v/>
      </c>
      <c r="AS243" s="23">
        <f>Saldos_Capital_Mensual!Q243</f>
        <v/>
      </c>
      <c r="AT243" s="23">
        <f>Saldos_Intereses_Mensual!Q243</f>
        <v/>
      </c>
      <c r="AU243" s="23">
        <f>ROUND(AS243 + AT243, 2)</f>
        <v/>
      </c>
      <c r="AV243" s="23">
        <f>Saldo_Residual_Activo!Q243</f>
        <v/>
      </c>
      <c r="AW243" s="23">
        <f>ROUND(AU243 + AV243, 2)</f>
        <v/>
      </c>
      <c r="AX243" s="23">
        <f>Saldos_Capital_Mensual!R243</f>
        <v/>
      </c>
      <c r="AY243" s="23">
        <f>Saldos_Intereses_Mensual!R243</f>
        <v/>
      </c>
      <c r="AZ243" s="23">
        <f>ROUND(AX243 + AY243, 2)</f>
        <v/>
      </c>
      <c r="BA243" s="23">
        <f>Saldo_Residual_Activo!R243</f>
        <v/>
      </c>
      <c r="BB243" s="23">
        <f>ROUND(AZ243 + BA243, 2)</f>
        <v/>
      </c>
      <c r="BC243" s="23">
        <f>Saldos_Capital_Mensual!S243</f>
        <v/>
      </c>
      <c r="BD243" s="23">
        <f>Saldos_Intereses_Mensual!S243</f>
        <v/>
      </c>
      <c r="BE243" s="23">
        <f>ROUND(BC243 + BD243, 2)</f>
        <v/>
      </c>
      <c r="BF243" s="23">
        <f>Saldo_Residual_Activo!S243</f>
        <v/>
      </c>
      <c r="BG243" s="23">
        <f>ROUND(BE243 + BF243, 2)</f>
        <v/>
      </c>
      <c r="BH243" s="23">
        <f>Saldos_Capital_Mensual!T243</f>
        <v/>
      </c>
      <c r="BI243" s="23">
        <f>Saldos_Intereses_Mensual!T243</f>
        <v/>
      </c>
      <c r="BJ243" s="23">
        <f>ROUND(BH243 + BI243, 2)</f>
        <v/>
      </c>
      <c r="BK243" s="23">
        <f>Saldo_Residual_Activo!T243</f>
        <v/>
      </c>
      <c r="BL243" s="23">
        <f>ROUND(BJ243 + BK243, 2)</f>
        <v/>
      </c>
    </row>
    <row r="244">
      <c r="A244" s="26" t="inlineStr">
        <is>
          <t>0753-0001</t>
        </is>
      </c>
      <c r="B244" s="27" t="inlineStr">
        <is>
          <t>Milodi Seguridad Privada</t>
        </is>
      </c>
      <c r="C244" s="27" t="inlineStr">
        <is>
          <t>Alsvin</t>
        </is>
      </c>
      <c r="D244" s="28" t="n">
        <v>36</v>
      </c>
      <c r="E244" s="29">
        <f>Saldos_Capital_Mensual!I244</f>
        <v/>
      </c>
      <c r="F244" s="29">
        <f>Saldos_Intereses_Mensual!I244</f>
        <v/>
      </c>
      <c r="G244" s="29">
        <f>ROUND(E244 + F244, 2)</f>
        <v/>
      </c>
      <c r="H244" s="29">
        <f>Saldo_Residual_Activo!I244</f>
        <v/>
      </c>
      <c r="I244" s="29">
        <f>ROUND(G244 + H244, 2)</f>
        <v/>
      </c>
      <c r="J244" s="29">
        <f>Saldos_Capital_Mensual!J244</f>
        <v/>
      </c>
      <c r="K244" s="29">
        <f>Saldos_Intereses_Mensual!J244</f>
        <v/>
      </c>
      <c r="L244" s="29">
        <f>ROUND(J244 + K244, 2)</f>
        <v/>
      </c>
      <c r="M244" s="29">
        <f>Saldo_Residual_Activo!J244</f>
        <v/>
      </c>
      <c r="N244" s="29">
        <f>ROUND(L244 + M244, 2)</f>
        <v/>
      </c>
      <c r="O244" s="29">
        <f>Saldos_Capital_Mensual!K244</f>
        <v/>
      </c>
      <c r="P244" s="29">
        <f>Saldos_Intereses_Mensual!K244</f>
        <v/>
      </c>
      <c r="Q244" s="29">
        <f>ROUND(O244 + P244, 2)</f>
        <v/>
      </c>
      <c r="R244" s="29">
        <f>Saldo_Residual_Activo!K244</f>
        <v/>
      </c>
      <c r="S244" s="29">
        <f>ROUND(Q244 + R244, 2)</f>
        <v/>
      </c>
      <c r="T244" s="29">
        <f>Saldos_Capital_Mensual!L244</f>
        <v/>
      </c>
      <c r="U244" s="29">
        <f>Saldos_Intereses_Mensual!L244</f>
        <v/>
      </c>
      <c r="V244" s="29">
        <f>ROUND(T244 + U244, 2)</f>
        <v/>
      </c>
      <c r="W244" s="29">
        <f>Saldo_Residual_Activo!L244</f>
        <v/>
      </c>
      <c r="X244" s="29">
        <f>ROUND(V244 + W244, 2)</f>
        <v/>
      </c>
      <c r="Y244" s="29">
        <f>Saldos_Capital_Mensual!M244</f>
        <v/>
      </c>
      <c r="Z244" s="29">
        <f>Saldos_Intereses_Mensual!M244</f>
        <v/>
      </c>
      <c r="AA244" s="29">
        <f>ROUND(Y244 + Z244, 2)</f>
        <v/>
      </c>
      <c r="AB244" s="29">
        <f>Saldo_Residual_Activo!M244</f>
        <v/>
      </c>
      <c r="AC244" s="29">
        <f>ROUND(AA244 + AB244, 2)</f>
        <v/>
      </c>
      <c r="AD244" s="29">
        <f>Saldos_Capital_Mensual!N244</f>
        <v/>
      </c>
      <c r="AE244" s="29">
        <f>Saldos_Intereses_Mensual!N244</f>
        <v/>
      </c>
      <c r="AF244" s="29">
        <f>ROUND(AD244 + AE244, 2)</f>
        <v/>
      </c>
      <c r="AG244" s="29">
        <f>Saldo_Residual_Activo!N244</f>
        <v/>
      </c>
      <c r="AH244" s="29">
        <f>ROUND(AF244 + AG244, 2)</f>
        <v/>
      </c>
      <c r="AI244" s="29">
        <f>Saldos_Capital_Mensual!O244</f>
        <v/>
      </c>
      <c r="AJ244" s="29">
        <f>Saldos_Intereses_Mensual!O244</f>
        <v/>
      </c>
      <c r="AK244" s="29">
        <f>ROUND(AI244 + AJ244, 2)</f>
        <v/>
      </c>
      <c r="AL244" s="29">
        <f>Saldo_Residual_Activo!O244</f>
        <v/>
      </c>
      <c r="AM244" s="29">
        <f>ROUND(AK244 + AL244, 2)</f>
        <v/>
      </c>
      <c r="AN244" s="29">
        <f>Saldos_Capital_Mensual!P244</f>
        <v/>
      </c>
      <c r="AO244" s="29">
        <f>Saldos_Intereses_Mensual!P244</f>
        <v/>
      </c>
      <c r="AP244" s="29">
        <f>ROUND(AN244 + AO244, 2)</f>
        <v/>
      </c>
      <c r="AQ244" s="29">
        <f>Saldo_Residual_Activo!P244</f>
        <v/>
      </c>
      <c r="AR244" s="29">
        <f>ROUND(AP244 + AQ244, 2)</f>
        <v/>
      </c>
      <c r="AS244" s="29">
        <f>Saldos_Capital_Mensual!Q244</f>
        <v/>
      </c>
      <c r="AT244" s="29">
        <f>Saldos_Intereses_Mensual!Q244</f>
        <v/>
      </c>
      <c r="AU244" s="29">
        <f>ROUND(AS244 + AT244, 2)</f>
        <v/>
      </c>
      <c r="AV244" s="29">
        <f>Saldo_Residual_Activo!Q244</f>
        <v/>
      </c>
      <c r="AW244" s="29">
        <f>ROUND(AU244 + AV244, 2)</f>
        <v/>
      </c>
      <c r="AX244" s="29">
        <f>Saldos_Capital_Mensual!R244</f>
        <v/>
      </c>
      <c r="AY244" s="29">
        <f>Saldos_Intereses_Mensual!R244</f>
        <v/>
      </c>
      <c r="AZ244" s="29">
        <f>ROUND(AX244 + AY244, 2)</f>
        <v/>
      </c>
      <c r="BA244" s="29">
        <f>Saldo_Residual_Activo!R244</f>
        <v/>
      </c>
      <c r="BB244" s="29">
        <f>ROUND(AZ244 + BA244, 2)</f>
        <v/>
      </c>
      <c r="BC244" s="29">
        <f>Saldos_Capital_Mensual!S244</f>
        <v/>
      </c>
      <c r="BD244" s="29">
        <f>Saldos_Intereses_Mensual!S244</f>
        <v/>
      </c>
      <c r="BE244" s="29">
        <f>ROUND(BC244 + BD244, 2)</f>
        <v/>
      </c>
      <c r="BF244" s="29">
        <f>Saldo_Residual_Activo!S244</f>
        <v/>
      </c>
      <c r="BG244" s="29">
        <f>ROUND(BE244 + BF244, 2)</f>
        <v/>
      </c>
      <c r="BH244" s="29">
        <f>Saldos_Capital_Mensual!T244</f>
        <v/>
      </c>
      <c r="BI244" s="29">
        <f>Saldos_Intereses_Mensual!T244</f>
        <v/>
      </c>
      <c r="BJ244" s="29">
        <f>ROUND(BH244 + BI244, 2)</f>
        <v/>
      </c>
      <c r="BK244" s="29">
        <f>Saldo_Residual_Activo!T244</f>
        <v/>
      </c>
      <c r="BL244" s="29">
        <f>ROUND(BJ244 + BK244, 2)</f>
        <v/>
      </c>
    </row>
    <row r="245">
      <c r="A245" s="20" t="inlineStr">
        <is>
          <t>0753-0003</t>
        </is>
      </c>
      <c r="B245" s="21" t="inlineStr">
        <is>
          <t>Milodi Seguridad Privada</t>
        </is>
      </c>
      <c r="C245" s="21" t="inlineStr">
        <is>
          <t>CS35</t>
        </is>
      </c>
      <c r="D245" s="22" t="n">
        <v>36</v>
      </c>
      <c r="E245" s="23">
        <f>Saldos_Capital_Mensual!I245</f>
        <v/>
      </c>
      <c r="F245" s="23">
        <f>Saldos_Intereses_Mensual!I245</f>
        <v/>
      </c>
      <c r="G245" s="23">
        <f>ROUND(E245 + F245, 2)</f>
        <v/>
      </c>
      <c r="H245" s="23">
        <f>Saldo_Residual_Activo!I245</f>
        <v/>
      </c>
      <c r="I245" s="23">
        <f>ROUND(G245 + H245, 2)</f>
        <v/>
      </c>
      <c r="J245" s="23">
        <f>Saldos_Capital_Mensual!J245</f>
        <v/>
      </c>
      <c r="K245" s="23">
        <f>Saldos_Intereses_Mensual!J245</f>
        <v/>
      </c>
      <c r="L245" s="23">
        <f>ROUND(J245 + K245, 2)</f>
        <v/>
      </c>
      <c r="M245" s="23">
        <f>Saldo_Residual_Activo!J245</f>
        <v/>
      </c>
      <c r="N245" s="23">
        <f>ROUND(L245 + M245, 2)</f>
        <v/>
      </c>
      <c r="O245" s="23">
        <f>Saldos_Capital_Mensual!K245</f>
        <v/>
      </c>
      <c r="P245" s="23">
        <f>Saldos_Intereses_Mensual!K245</f>
        <v/>
      </c>
      <c r="Q245" s="23">
        <f>ROUND(O245 + P245, 2)</f>
        <v/>
      </c>
      <c r="R245" s="23">
        <f>Saldo_Residual_Activo!K245</f>
        <v/>
      </c>
      <c r="S245" s="23">
        <f>ROUND(Q245 + R245, 2)</f>
        <v/>
      </c>
      <c r="T245" s="23">
        <f>Saldos_Capital_Mensual!L245</f>
        <v/>
      </c>
      <c r="U245" s="23">
        <f>Saldos_Intereses_Mensual!L245</f>
        <v/>
      </c>
      <c r="V245" s="23">
        <f>ROUND(T245 + U245, 2)</f>
        <v/>
      </c>
      <c r="W245" s="23">
        <f>Saldo_Residual_Activo!L245</f>
        <v/>
      </c>
      <c r="X245" s="23">
        <f>ROUND(V245 + W245, 2)</f>
        <v/>
      </c>
      <c r="Y245" s="23">
        <f>Saldos_Capital_Mensual!M245</f>
        <v/>
      </c>
      <c r="Z245" s="23">
        <f>Saldos_Intereses_Mensual!M245</f>
        <v/>
      </c>
      <c r="AA245" s="23">
        <f>ROUND(Y245 + Z245, 2)</f>
        <v/>
      </c>
      <c r="AB245" s="23">
        <f>Saldo_Residual_Activo!M245</f>
        <v/>
      </c>
      <c r="AC245" s="23">
        <f>ROUND(AA245 + AB245, 2)</f>
        <v/>
      </c>
      <c r="AD245" s="23">
        <f>Saldos_Capital_Mensual!N245</f>
        <v/>
      </c>
      <c r="AE245" s="23">
        <f>Saldos_Intereses_Mensual!N245</f>
        <v/>
      </c>
      <c r="AF245" s="23">
        <f>ROUND(AD245 + AE245, 2)</f>
        <v/>
      </c>
      <c r="AG245" s="23">
        <f>Saldo_Residual_Activo!N245</f>
        <v/>
      </c>
      <c r="AH245" s="23">
        <f>ROUND(AF245 + AG245, 2)</f>
        <v/>
      </c>
      <c r="AI245" s="23">
        <f>Saldos_Capital_Mensual!O245</f>
        <v/>
      </c>
      <c r="AJ245" s="23">
        <f>Saldos_Intereses_Mensual!O245</f>
        <v/>
      </c>
      <c r="AK245" s="23">
        <f>ROUND(AI245 + AJ245, 2)</f>
        <v/>
      </c>
      <c r="AL245" s="23">
        <f>Saldo_Residual_Activo!O245</f>
        <v/>
      </c>
      <c r="AM245" s="23">
        <f>ROUND(AK245 + AL245, 2)</f>
        <v/>
      </c>
      <c r="AN245" s="23">
        <f>Saldos_Capital_Mensual!P245</f>
        <v/>
      </c>
      <c r="AO245" s="23">
        <f>Saldos_Intereses_Mensual!P245</f>
        <v/>
      </c>
      <c r="AP245" s="23">
        <f>ROUND(AN245 + AO245, 2)</f>
        <v/>
      </c>
      <c r="AQ245" s="23">
        <f>Saldo_Residual_Activo!P245</f>
        <v/>
      </c>
      <c r="AR245" s="23">
        <f>ROUND(AP245 + AQ245, 2)</f>
        <v/>
      </c>
      <c r="AS245" s="23">
        <f>Saldos_Capital_Mensual!Q245</f>
        <v/>
      </c>
      <c r="AT245" s="23">
        <f>Saldos_Intereses_Mensual!Q245</f>
        <v/>
      </c>
      <c r="AU245" s="23">
        <f>ROUND(AS245 + AT245, 2)</f>
        <v/>
      </c>
      <c r="AV245" s="23">
        <f>Saldo_Residual_Activo!Q245</f>
        <v/>
      </c>
      <c r="AW245" s="23">
        <f>ROUND(AU245 + AV245, 2)</f>
        <v/>
      </c>
      <c r="AX245" s="23">
        <f>Saldos_Capital_Mensual!R245</f>
        <v/>
      </c>
      <c r="AY245" s="23">
        <f>Saldos_Intereses_Mensual!R245</f>
        <v/>
      </c>
      <c r="AZ245" s="23">
        <f>ROUND(AX245 + AY245, 2)</f>
        <v/>
      </c>
      <c r="BA245" s="23">
        <f>Saldo_Residual_Activo!R245</f>
        <v/>
      </c>
      <c r="BB245" s="23">
        <f>ROUND(AZ245 + BA245, 2)</f>
        <v/>
      </c>
      <c r="BC245" s="23">
        <f>Saldos_Capital_Mensual!S245</f>
        <v/>
      </c>
      <c r="BD245" s="23">
        <f>Saldos_Intereses_Mensual!S245</f>
        <v/>
      </c>
      <c r="BE245" s="23">
        <f>ROUND(BC245 + BD245, 2)</f>
        <v/>
      </c>
      <c r="BF245" s="23">
        <f>Saldo_Residual_Activo!S245</f>
        <v/>
      </c>
      <c r="BG245" s="23">
        <f>ROUND(BE245 + BF245, 2)</f>
        <v/>
      </c>
      <c r="BH245" s="23">
        <f>Saldos_Capital_Mensual!T245</f>
        <v/>
      </c>
      <c r="BI245" s="23">
        <f>Saldos_Intereses_Mensual!T245</f>
        <v/>
      </c>
      <c r="BJ245" s="23">
        <f>ROUND(BH245 + BI245, 2)</f>
        <v/>
      </c>
      <c r="BK245" s="23">
        <f>Saldo_Residual_Activo!T245</f>
        <v/>
      </c>
      <c r="BL245" s="23">
        <f>ROUND(BJ245 + BK245, 2)</f>
        <v/>
      </c>
    </row>
    <row r="246">
      <c r="A246" s="26" t="inlineStr">
        <is>
          <t>0754-0001</t>
        </is>
      </c>
      <c r="B246" s="27" t="inlineStr">
        <is>
          <t>Luis Guillermo Rios Villaseñor</t>
        </is>
      </c>
      <c r="C246" s="27" t="inlineStr">
        <is>
          <t>2008 GT</t>
        </is>
      </c>
      <c r="D246" s="28" t="n">
        <v>24</v>
      </c>
      <c r="E246" s="29">
        <f>Saldos_Capital_Mensual!I246</f>
        <v/>
      </c>
      <c r="F246" s="29">
        <f>Saldos_Intereses_Mensual!I246</f>
        <v/>
      </c>
      <c r="G246" s="29">
        <f>ROUND(E246 + F246, 2)</f>
        <v/>
      </c>
      <c r="H246" s="29">
        <f>Saldo_Residual_Activo!I246</f>
        <v/>
      </c>
      <c r="I246" s="29">
        <f>ROUND(G246 + H246, 2)</f>
        <v/>
      </c>
      <c r="J246" s="29">
        <f>Saldos_Capital_Mensual!J246</f>
        <v/>
      </c>
      <c r="K246" s="29">
        <f>Saldos_Intereses_Mensual!J246</f>
        <v/>
      </c>
      <c r="L246" s="29">
        <f>ROUND(J246 + K246, 2)</f>
        <v/>
      </c>
      <c r="M246" s="29">
        <f>Saldo_Residual_Activo!J246</f>
        <v/>
      </c>
      <c r="N246" s="29">
        <f>ROUND(L246 + M246, 2)</f>
        <v/>
      </c>
      <c r="O246" s="29">
        <f>Saldos_Capital_Mensual!K246</f>
        <v/>
      </c>
      <c r="P246" s="29">
        <f>Saldos_Intereses_Mensual!K246</f>
        <v/>
      </c>
      <c r="Q246" s="29">
        <f>ROUND(O246 + P246, 2)</f>
        <v/>
      </c>
      <c r="R246" s="29">
        <f>Saldo_Residual_Activo!K246</f>
        <v/>
      </c>
      <c r="S246" s="29">
        <f>ROUND(Q246 + R246, 2)</f>
        <v/>
      </c>
      <c r="T246" s="29">
        <f>Saldos_Capital_Mensual!L246</f>
        <v/>
      </c>
      <c r="U246" s="29">
        <f>Saldos_Intereses_Mensual!L246</f>
        <v/>
      </c>
      <c r="V246" s="29">
        <f>ROUND(T246 + U246, 2)</f>
        <v/>
      </c>
      <c r="W246" s="29">
        <f>Saldo_Residual_Activo!L246</f>
        <v/>
      </c>
      <c r="X246" s="29">
        <f>ROUND(V246 + W246, 2)</f>
        <v/>
      </c>
      <c r="Y246" s="29">
        <f>Saldos_Capital_Mensual!M246</f>
        <v/>
      </c>
      <c r="Z246" s="29">
        <f>Saldos_Intereses_Mensual!M246</f>
        <v/>
      </c>
      <c r="AA246" s="29">
        <f>ROUND(Y246 + Z246, 2)</f>
        <v/>
      </c>
      <c r="AB246" s="29">
        <f>Saldo_Residual_Activo!M246</f>
        <v/>
      </c>
      <c r="AC246" s="29">
        <f>ROUND(AA246 + AB246, 2)</f>
        <v/>
      </c>
      <c r="AD246" s="29">
        <f>Saldos_Capital_Mensual!N246</f>
        <v/>
      </c>
      <c r="AE246" s="29">
        <f>Saldos_Intereses_Mensual!N246</f>
        <v/>
      </c>
      <c r="AF246" s="29">
        <f>ROUND(AD246 + AE246, 2)</f>
        <v/>
      </c>
      <c r="AG246" s="29">
        <f>Saldo_Residual_Activo!N246</f>
        <v/>
      </c>
      <c r="AH246" s="29">
        <f>ROUND(AF246 + AG246, 2)</f>
        <v/>
      </c>
      <c r="AI246" s="29">
        <f>Saldos_Capital_Mensual!O246</f>
        <v/>
      </c>
      <c r="AJ246" s="29">
        <f>Saldos_Intereses_Mensual!O246</f>
        <v/>
      </c>
      <c r="AK246" s="29">
        <f>ROUND(AI246 + AJ246, 2)</f>
        <v/>
      </c>
      <c r="AL246" s="29">
        <f>Saldo_Residual_Activo!O246</f>
        <v/>
      </c>
      <c r="AM246" s="29">
        <f>ROUND(AK246 + AL246, 2)</f>
        <v/>
      </c>
      <c r="AN246" s="29">
        <f>Saldos_Capital_Mensual!P246</f>
        <v/>
      </c>
      <c r="AO246" s="29">
        <f>Saldos_Intereses_Mensual!P246</f>
        <v/>
      </c>
      <c r="AP246" s="29">
        <f>ROUND(AN246 + AO246, 2)</f>
        <v/>
      </c>
      <c r="AQ246" s="29">
        <f>Saldo_Residual_Activo!P246</f>
        <v/>
      </c>
      <c r="AR246" s="29">
        <f>ROUND(AP246 + AQ246, 2)</f>
        <v/>
      </c>
      <c r="AS246" s="29">
        <f>Saldos_Capital_Mensual!Q246</f>
        <v/>
      </c>
      <c r="AT246" s="29">
        <f>Saldos_Intereses_Mensual!Q246</f>
        <v/>
      </c>
      <c r="AU246" s="29">
        <f>ROUND(AS246 + AT246, 2)</f>
        <v/>
      </c>
      <c r="AV246" s="29">
        <f>Saldo_Residual_Activo!Q246</f>
        <v/>
      </c>
      <c r="AW246" s="29">
        <f>ROUND(AU246 + AV246, 2)</f>
        <v/>
      </c>
      <c r="AX246" s="29">
        <f>Saldos_Capital_Mensual!R246</f>
        <v/>
      </c>
      <c r="AY246" s="29">
        <f>Saldos_Intereses_Mensual!R246</f>
        <v/>
      </c>
      <c r="AZ246" s="29">
        <f>ROUND(AX246 + AY246, 2)</f>
        <v/>
      </c>
      <c r="BA246" s="29">
        <f>Saldo_Residual_Activo!R246</f>
        <v/>
      </c>
      <c r="BB246" s="29">
        <f>ROUND(AZ246 + BA246, 2)</f>
        <v/>
      </c>
      <c r="BC246" s="29">
        <f>Saldos_Capital_Mensual!S246</f>
        <v/>
      </c>
      <c r="BD246" s="29">
        <f>Saldos_Intereses_Mensual!S246</f>
        <v/>
      </c>
      <c r="BE246" s="29">
        <f>ROUND(BC246 + BD246, 2)</f>
        <v/>
      </c>
      <c r="BF246" s="29">
        <f>Saldo_Residual_Activo!S246</f>
        <v/>
      </c>
      <c r="BG246" s="29">
        <f>ROUND(BE246 + BF246, 2)</f>
        <v/>
      </c>
      <c r="BH246" s="29">
        <f>Saldos_Capital_Mensual!T246</f>
        <v/>
      </c>
      <c r="BI246" s="29">
        <f>Saldos_Intereses_Mensual!T246</f>
        <v/>
      </c>
      <c r="BJ246" s="29">
        <f>ROUND(BH246 + BI246, 2)</f>
        <v/>
      </c>
      <c r="BK246" s="29">
        <f>Saldo_Residual_Activo!T246</f>
        <v/>
      </c>
      <c r="BL246" s="29">
        <f>ROUND(BJ246 + BK246, 2)</f>
        <v/>
      </c>
    </row>
    <row r="247">
      <c r="A247" s="20" t="inlineStr">
        <is>
          <t>0755-0001</t>
        </is>
      </c>
      <c r="B247" s="21" t="inlineStr">
        <is>
          <t>Abiam Antonio Reyna Aguilar</t>
        </is>
      </c>
      <c r="C247" s="21" t="inlineStr">
        <is>
          <t>1500 RHO</t>
        </is>
      </c>
      <c r="D247" s="22" t="n">
        <v>12</v>
      </c>
      <c r="E247" s="23">
        <f>Saldos_Capital_Mensual!I247</f>
        <v/>
      </c>
      <c r="F247" s="23">
        <f>Saldos_Intereses_Mensual!I247</f>
        <v/>
      </c>
      <c r="G247" s="23">
        <f>ROUND(E247 + F247, 2)</f>
        <v/>
      </c>
      <c r="H247" s="23">
        <f>Saldo_Residual_Activo!I247</f>
        <v/>
      </c>
      <c r="I247" s="23">
        <f>ROUND(G247 + H247, 2)</f>
        <v/>
      </c>
      <c r="J247" s="23">
        <f>Saldos_Capital_Mensual!J247</f>
        <v/>
      </c>
      <c r="K247" s="23">
        <f>Saldos_Intereses_Mensual!J247</f>
        <v/>
      </c>
      <c r="L247" s="23">
        <f>ROUND(J247 + K247, 2)</f>
        <v/>
      </c>
      <c r="M247" s="23">
        <f>Saldo_Residual_Activo!J247</f>
        <v/>
      </c>
      <c r="N247" s="23">
        <f>ROUND(L247 + M247, 2)</f>
        <v/>
      </c>
      <c r="O247" s="23">
        <f>Saldos_Capital_Mensual!K247</f>
        <v/>
      </c>
      <c r="P247" s="23">
        <f>Saldos_Intereses_Mensual!K247</f>
        <v/>
      </c>
      <c r="Q247" s="23">
        <f>ROUND(O247 + P247, 2)</f>
        <v/>
      </c>
      <c r="R247" s="23">
        <f>Saldo_Residual_Activo!K247</f>
        <v/>
      </c>
      <c r="S247" s="23">
        <f>ROUND(Q247 + R247, 2)</f>
        <v/>
      </c>
      <c r="T247" s="23">
        <f>Saldos_Capital_Mensual!L247</f>
        <v/>
      </c>
      <c r="U247" s="23">
        <f>Saldos_Intereses_Mensual!L247</f>
        <v/>
      </c>
      <c r="V247" s="23">
        <f>ROUND(T247 + U247, 2)</f>
        <v/>
      </c>
      <c r="W247" s="23">
        <f>Saldo_Residual_Activo!L247</f>
        <v/>
      </c>
      <c r="X247" s="23">
        <f>ROUND(V247 + W247, 2)</f>
        <v/>
      </c>
      <c r="Y247" s="23">
        <f>Saldos_Capital_Mensual!M247</f>
        <v/>
      </c>
      <c r="Z247" s="23">
        <f>Saldos_Intereses_Mensual!M247</f>
        <v/>
      </c>
      <c r="AA247" s="23">
        <f>ROUND(Y247 + Z247, 2)</f>
        <v/>
      </c>
      <c r="AB247" s="23">
        <f>Saldo_Residual_Activo!M247</f>
        <v/>
      </c>
      <c r="AC247" s="23">
        <f>ROUND(AA247 + AB247, 2)</f>
        <v/>
      </c>
      <c r="AD247" s="23">
        <f>Saldos_Capital_Mensual!N247</f>
        <v/>
      </c>
      <c r="AE247" s="23">
        <f>Saldos_Intereses_Mensual!N247</f>
        <v/>
      </c>
      <c r="AF247" s="23">
        <f>ROUND(AD247 + AE247, 2)</f>
        <v/>
      </c>
      <c r="AG247" s="23">
        <f>Saldo_Residual_Activo!N247</f>
        <v/>
      </c>
      <c r="AH247" s="23">
        <f>ROUND(AF247 + AG247, 2)</f>
        <v/>
      </c>
      <c r="AI247" s="23">
        <f>Saldos_Capital_Mensual!O247</f>
        <v/>
      </c>
      <c r="AJ247" s="23">
        <f>Saldos_Intereses_Mensual!O247</f>
        <v/>
      </c>
      <c r="AK247" s="23">
        <f>ROUND(AI247 + AJ247, 2)</f>
        <v/>
      </c>
      <c r="AL247" s="23">
        <f>Saldo_Residual_Activo!O247</f>
        <v/>
      </c>
      <c r="AM247" s="23">
        <f>ROUND(AK247 + AL247, 2)</f>
        <v/>
      </c>
      <c r="AN247" s="23">
        <f>Saldos_Capital_Mensual!P247</f>
        <v/>
      </c>
      <c r="AO247" s="23">
        <f>Saldos_Intereses_Mensual!P247</f>
        <v/>
      </c>
      <c r="AP247" s="23">
        <f>ROUND(AN247 + AO247, 2)</f>
        <v/>
      </c>
      <c r="AQ247" s="23">
        <f>Saldo_Residual_Activo!P247</f>
        <v/>
      </c>
      <c r="AR247" s="23">
        <f>ROUND(AP247 + AQ247, 2)</f>
        <v/>
      </c>
      <c r="AS247" s="23">
        <f>Saldos_Capital_Mensual!Q247</f>
        <v/>
      </c>
      <c r="AT247" s="23">
        <f>Saldos_Intereses_Mensual!Q247</f>
        <v/>
      </c>
      <c r="AU247" s="23">
        <f>ROUND(AS247 + AT247, 2)</f>
        <v/>
      </c>
      <c r="AV247" s="23">
        <f>Saldo_Residual_Activo!Q247</f>
        <v/>
      </c>
      <c r="AW247" s="23">
        <f>ROUND(AU247 + AV247, 2)</f>
        <v/>
      </c>
      <c r="AX247" s="23">
        <f>Saldos_Capital_Mensual!R247</f>
        <v/>
      </c>
      <c r="AY247" s="23">
        <f>Saldos_Intereses_Mensual!R247</f>
        <v/>
      </c>
      <c r="AZ247" s="23">
        <f>ROUND(AX247 + AY247, 2)</f>
        <v/>
      </c>
      <c r="BA247" s="23">
        <f>Saldo_Residual_Activo!R247</f>
        <v/>
      </c>
      <c r="BB247" s="23">
        <f>ROUND(AZ247 + BA247, 2)</f>
        <v/>
      </c>
      <c r="BC247" s="23">
        <f>Saldos_Capital_Mensual!S247</f>
        <v/>
      </c>
      <c r="BD247" s="23">
        <f>Saldos_Intereses_Mensual!S247</f>
        <v/>
      </c>
      <c r="BE247" s="23">
        <f>ROUND(BC247 + BD247, 2)</f>
        <v/>
      </c>
      <c r="BF247" s="23">
        <f>Saldo_Residual_Activo!S247</f>
        <v/>
      </c>
      <c r="BG247" s="23">
        <f>ROUND(BE247 + BF247, 2)</f>
        <v/>
      </c>
      <c r="BH247" s="23">
        <f>Saldos_Capital_Mensual!T247</f>
        <v/>
      </c>
      <c r="BI247" s="23">
        <f>Saldos_Intereses_Mensual!T247</f>
        <v/>
      </c>
      <c r="BJ247" s="23">
        <f>ROUND(BH247 + BI247, 2)</f>
        <v/>
      </c>
      <c r="BK247" s="23">
        <f>Saldo_Residual_Activo!T247</f>
        <v/>
      </c>
      <c r="BL247" s="23">
        <f>ROUND(BJ247 + BK247, 2)</f>
        <v/>
      </c>
    </row>
    <row r="248">
      <c r="A248" s="26" t="inlineStr">
        <is>
          <t>0756-0001</t>
        </is>
      </c>
      <c r="B248" s="27" t="inlineStr">
        <is>
          <t>Agricola Hortiberry, S.A. de C.V.</t>
        </is>
      </c>
      <c r="C248" s="27" t="inlineStr">
        <is>
          <t>1200  Tradesman Chasis Cabina</t>
        </is>
      </c>
      <c r="D248" s="28" t="n">
        <v>48</v>
      </c>
      <c r="E248" s="29">
        <f>Saldos_Capital_Mensual!I248</f>
        <v/>
      </c>
      <c r="F248" s="29">
        <f>Saldos_Intereses_Mensual!I248</f>
        <v/>
      </c>
      <c r="G248" s="29">
        <f>ROUND(E248 + F248, 2)</f>
        <v/>
      </c>
      <c r="H248" s="29">
        <f>Saldo_Residual_Activo!I248</f>
        <v/>
      </c>
      <c r="I248" s="29">
        <f>ROUND(G248 + H248, 2)</f>
        <v/>
      </c>
      <c r="J248" s="29">
        <f>Saldos_Capital_Mensual!J248</f>
        <v/>
      </c>
      <c r="K248" s="29">
        <f>Saldos_Intereses_Mensual!J248</f>
        <v/>
      </c>
      <c r="L248" s="29">
        <f>ROUND(J248 + K248, 2)</f>
        <v/>
      </c>
      <c r="M248" s="29">
        <f>Saldo_Residual_Activo!J248</f>
        <v/>
      </c>
      <c r="N248" s="29">
        <f>ROUND(L248 + M248, 2)</f>
        <v/>
      </c>
      <c r="O248" s="29">
        <f>Saldos_Capital_Mensual!K248</f>
        <v/>
      </c>
      <c r="P248" s="29">
        <f>Saldos_Intereses_Mensual!K248</f>
        <v/>
      </c>
      <c r="Q248" s="29">
        <f>ROUND(O248 + P248, 2)</f>
        <v/>
      </c>
      <c r="R248" s="29">
        <f>Saldo_Residual_Activo!K248</f>
        <v/>
      </c>
      <c r="S248" s="29">
        <f>ROUND(Q248 + R248, 2)</f>
        <v/>
      </c>
      <c r="T248" s="29">
        <f>Saldos_Capital_Mensual!L248</f>
        <v/>
      </c>
      <c r="U248" s="29">
        <f>Saldos_Intereses_Mensual!L248</f>
        <v/>
      </c>
      <c r="V248" s="29">
        <f>ROUND(T248 + U248, 2)</f>
        <v/>
      </c>
      <c r="W248" s="29">
        <f>Saldo_Residual_Activo!L248</f>
        <v/>
      </c>
      <c r="X248" s="29">
        <f>ROUND(V248 + W248, 2)</f>
        <v/>
      </c>
      <c r="Y248" s="29">
        <f>Saldos_Capital_Mensual!M248</f>
        <v/>
      </c>
      <c r="Z248" s="29">
        <f>Saldos_Intereses_Mensual!M248</f>
        <v/>
      </c>
      <c r="AA248" s="29">
        <f>ROUND(Y248 + Z248, 2)</f>
        <v/>
      </c>
      <c r="AB248" s="29">
        <f>Saldo_Residual_Activo!M248</f>
        <v/>
      </c>
      <c r="AC248" s="29">
        <f>ROUND(AA248 + AB248, 2)</f>
        <v/>
      </c>
      <c r="AD248" s="29">
        <f>Saldos_Capital_Mensual!N248</f>
        <v/>
      </c>
      <c r="AE248" s="29">
        <f>Saldos_Intereses_Mensual!N248</f>
        <v/>
      </c>
      <c r="AF248" s="29">
        <f>ROUND(AD248 + AE248, 2)</f>
        <v/>
      </c>
      <c r="AG248" s="29">
        <f>Saldo_Residual_Activo!N248</f>
        <v/>
      </c>
      <c r="AH248" s="29">
        <f>ROUND(AF248 + AG248, 2)</f>
        <v/>
      </c>
      <c r="AI248" s="29">
        <f>Saldos_Capital_Mensual!O248</f>
        <v/>
      </c>
      <c r="AJ248" s="29">
        <f>Saldos_Intereses_Mensual!O248</f>
        <v/>
      </c>
      <c r="AK248" s="29">
        <f>ROUND(AI248 + AJ248, 2)</f>
        <v/>
      </c>
      <c r="AL248" s="29">
        <f>Saldo_Residual_Activo!O248</f>
        <v/>
      </c>
      <c r="AM248" s="29">
        <f>ROUND(AK248 + AL248, 2)</f>
        <v/>
      </c>
      <c r="AN248" s="29">
        <f>Saldos_Capital_Mensual!P248</f>
        <v/>
      </c>
      <c r="AO248" s="29">
        <f>Saldos_Intereses_Mensual!P248</f>
        <v/>
      </c>
      <c r="AP248" s="29">
        <f>ROUND(AN248 + AO248, 2)</f>
        <v/>
      </c>
      <c r="AQ248" s="29">
        <f>Saldo_Residual_Activo!P248</f>
        <v/>
      </c>
      <c r="AR248" s="29">
        <f>ROUND(AP248 + AQ248, 2)</f>
        <v/>
      </c>
      <c r="AS248" s="29">
        <f>Saldos_Capital_Mensual!Q248</f>
        <v/>
      </c>
      <c r="AT248" s="29">
        <f>Saldos_Intereses_Mensual!Q248</f>
        <v/>
      </c>
      <c r="AU248" s="29">
        <f>ROUND(AS248 + AT248, 2)</f>
        <v/>
      </c>
      <c r="AV248" s="29">
        <f>Saldo_Residual_Activo!Q248</f>
        <v/>
      </c>
      <c r="AW248" s="29">
        <f>ROUND(AU248 + AV248, 2)</f>
        <v/>
      </c>
      <c r="AX248" s="29">
        <f>Saldos_Capital_Mensual!R248</f>
        <v/>
      </c>
      <c r="AY248" s="29">
        <f>Saldos_Intereses_Mensual!R248</f>
        <v/>
      </c>
      <c r="AZ248" s="29">
        <f>ROUND(AX248 + AY248, 2)</f>
        <v/>
      </c>
      <c r="BA248" s="29">
        <f>Saldo_Residual_Activo!R248</f>
        <v/>
      </c>
      <c r="BB248" s="29">
        <f>ROUND(AZ248 + BA248, 2)</f>
        <v/>
      </c>
      <c r="BC248" s="29">
        <f>Saldos_Capital_Mensual!S248</f>
        <v/>
      </c>
      <c r="BD248" s="29">
        <f>Saldos_Intereses_Mensual!S248</f>
        <v/>
      </c>
      <c r="BE248" s="29">
        <f>ROUND(BC248 + BD248, 2)</f>
        <v/>
      </c>
      <c r="BF248" s="29">
        <f>Saldo_Residual_Activo!S248</f>
        <v/>
      </c>
      <c r="BG248" s="29">
        <f>ROUND(BE248 + BF248, 2)</f>
        <v/>
      </c>
      <c r="BH248" s="29">
        <f>Saldos_Capital_Mensual!T248</f>
        <v/>
      </c>
      <c r="BI248" s="29">
        <f>Saldos_Intereses_Mensual!T248</f>
        <v/>
      </c>
      <c r="BJ248" s="29">
        <f>ROUND(BH248 + BI248, 2)</f>
        <v/>
      </c>
      <c r="BK248" s="29">
        <f>Saldo_Residual_Activo!T248</f>
        <v/>
      </c>
      <c r="BL248" s="29">
        <f>ROUND(BJ248 + BK248, 2)</f>
        <v/>
      </c>
    </row>
    <row r="249">
      <c r="A249" s="20" t="inlineStr">
        <is>
          <t>0757-0001</t>
        </is>
      </c>
      <c r="B249" s="21" t="inlineStr">
        <is>
          <t>Corporativo de Servicios Integrales de Occidente, S.A. de C.V.</t>
        </is>
      </c>
      <c r="C249" s="21" t="inlineStr">
        <is>
          <t>CX5</t>
        </is>
      </c>
      <c r="D249" s="22" t="n">
        <v>24</v>
      </c>
      <c r="E249" s="23">
        <f>Saldos_Capital_Mensual!I249</f>
        <v/>
      </c>
      <c r="F249" s="23">
        <f>Saldos_Intereses_Mensual!I249</f>
        <v/>
      </c>
      <c r="G249" s="23">
        <f>ROUND(E249 + F249, 2)</f>
        <v/>
      </c>
      <c r="H249" s="23">
        <f>Saldo_Residual_Activo!I249</f>
        <v/>
      </c>
      <c r="I249" s="23">
        <f>ROUND(G249 + H249, 2)</f>
        <v/>
      </c>
      <c r="J249" s="23">
        <f>Saldos_Capital_Mensual!J249</f>
        <v/>
      </c>
      <c r="K249" s="23">
        <f>Saldos_Intereses_Mensual!J249</f>
        <v/>
      </c>
      <c r="L249" s="23">
        <f>ROUND(J249 + K249, 2)</f>
        <v/>
      </c>
      <c r="M249" s="23">
        <f>Saldo_Residual_Activo!J249</f>
        <v/>
      </c>
      <c r="N249" s="23">
        <f>ROUND(L249 + M249, 2)</f>
        <v/>
      </c>
      <c r="O249" s="23">
        <f>Saldos_Capital_Mensual!K249</f>
        <v/>
      </c>
      <c r="P249" s="23">
        <f>Saldos_Intereses_Mensual!K249</f>
        <v/>
      </c>
      <c r="Q249" s="23">
        <f>ROUND(O249 + P249, 2)</f>
        <v/>
      </c>
      <c r="R249" s="23">
        <f>Saldo_Residual_Activo!K249</f>
        <v/>
      </c>
      <c r="S249" s="23">
        <f>ROUND(Q249 + R249, 2)</f>
        <v/>
      </c>
      <c r="T249" s="23">
        <f>Saldos_Capital_Mensual!L249</f>
        <v/>
      </c>
      <c r="U249" s="23">
        <f>Saldos_Intereses_Mensual!L249</f>
        <v/>
      </c>
      <c r="V249" s="23">
        <f>ROUND(T249 + U249, 2)</f>
        <v/>
      </c>
      <c r="W249" s="23">
        <f>Saldo_Residual_Activo!L249</f>
        <v/>
      </c>
      <c r="X249" s="23">
        <f>ROUND(V249 + W249, 2)</f>
        <v/>
      </c>
      <c r="Y249" s="23">
        <f>Saldos_Capital_Mensual!M249</f>
        <v/>
      </c>
      <c r="Z249" s="23">
        <f>Saldos_Intereses_Mensual!M249</f>
        <v/>
      </c>
      <c r="AA249" s="23">
        <f>ROUND(Y249 + Z249, 2)</f>
        <v/>
      </c>
      <c r="AB249" s="23">
        <f>Saldo_Residual_Activo!M249</f>
        <v/>
      </c>
      <c r="AC249" s="23">
        <f>ROUND(AA249 + AB249, 2)</f>
        <v/>
      </c>
      <c r="AD249" s="23">
        <f>Saldos_Capital_Mensual!N249</f>
        <v/>
      </c>
      <c r="AE249" s="23">
        <f>Saldos_Intereses_Mensual!N249</f>
        <v/>
      </c>
      <c r="AF249" s="23">
        <f>ROUND(AD249 + AE249, 2)</f>
        <v/>
      </c>
      <c r="AG249" s="23">
        <f>Saldo_Residual_Activo!N249</f>
        <v/>
      </c>
      <c r="AH249" s="23">
        <f>ROUND(AF249 + AG249, 2)</f>
        <v/>
      </c>
      <c r="AI249" s="23">
        <f>Saldos_Capital_Mensual!O249</f>
        <v/>
      </c>
      <c r="AJ249" s="23">
        <f>Saldos_Intereses_Mensual!O249</f>
        <v/>
      </c>
      <c r="AK249" s="23">
        <f>ROUND(AI249 + AJ249, 2)</f>
        <v/>
      </c>
      <c r="AL249" s="23">
        <f>Saldo_Residual_Activo!O249</f>
        <v/>
      </c>
      <c r="AM249" s="23">
        <f>ROUND(AK249 + AL249, 2)</f>
        <v/>
      </c>
      <c r="AN249" s="23">
        <f>Saldos_Capital_Mensual!P249</f>
        <v/>
      </c>
      <c r="AO249" s="23">
        <f>Saldos_Intereses_Mensual!P249</f>
        <v/>
      </c>
      <c r="AP249" s="23">
        <f>ROUND(AN249 + AO249, 2)</f>
        <v/>
      </c>
      <c r="AQ249" s="23">
        <f>Saldo_Residual_Activo!P249</f>
        <v/>
      </c>
      <c r="AR249" s="23">
        <f>ROUND(AP249 + AQ249, 2)</f>
        <v/>
      </c>
      <c r="AS249" s="23">
        <f>Saldos_Capital_Mensual!Q249</f>
        <v/>
      </c>
      <c r="AT249" s="23">
        <f>Saldos_Intereses_Mensual!Q249</f>
        <v/>
      </c>
      <c r="AU249" s="23">
        <f>ROUND(AS249 + AT249, 2)</f>
        <v/>
      </c>
      <c r="AV249" s="23">
        <f>Saldo_Residual_Activo!Q249</f>
        <v/>
      </c>
      <c r="AW249" s="23">
        <f>ROUND(AU249 + AV249, 2)</f>
        <v/>
      </c>
      <c r="AX249" s="23">
        <f>Saldos_Capital_Mensual!R249</f>
        <v/>
      </c>
      <c r="AY249" s="23">
        <f>Saldos_Intereses_Mensual!R249</f>
        <v/>
      </c>
      <c r="AZ249" s="23">
        <f>ROUND(AX249 + AY249, 2)</f>
        <v/>
      </c>
      <c r="BA249" s="23">
        <f>Saldo_Residual_Activo!R249</f>
        <v/>
      </c>
      <c r="BB249" s="23">
        <f>ROUND(AZ249 + BA249, 2)</f>
        <v/>
      </c>
      <c r="BC249" s="23">
        <f>Saldos_Capital_Mensual!S249</f>
        <v/>
      </c>
      <c r="BD249" s="23">
        <f>Saldos_Intereses_Mensual!S249</f>
        <v/>
      </c>
      <c r="BE249" s="23">
        <f>ROUND(BC249 + BD249, 2)</f>
        <v/>
      </c>
      <c r="BF249" s="23">
        <f>Saldo_Residual_Activo!S249</f>
        <v/>
      </c>
      <c r="BG249" s="23">
        <f>ROUND(BE249 + BF249, 2)</f>
        <v/>
      </c>
      <c r="BH249" s="23">
        <f>Saldos_Capital_Mensual!T249</f>
        <v/>
      </c>
      <c r="BI249" s="23">
        <f>Saldos_Intereses_Mensual!T249</f>
        <v/>
      </c>
      <c r="BJ249" s="23">
        <f>ROUND(BH249 + BI249, 2)</f>
        <v/>
      </c>
      <c r="BK249" s="23">
        <f>Saldo_Residual_Activo!T249</f>
        <v/>
      </c>
      <c r="BL249" s="23">
        <f>ROUND(BJ249 + BK249, 2)</f>
        <v/>
      </c>
    </row>
    <row r="250">
      <c r="A250" s="26" t="inlineStr">
        <is>
          <t>0757-0002</t>
        </is>
      </c>
      <c r="B250" s="27" t="inlineStr">
        <is>
          <t>Corporativo de Servicios Integrales de Occidente, S.A. de C.V.</t>
        </is>
      </c>
      <c r="C250" s="27" t="inlineStr">
        <is>
          <t>Leapmotor B10 2026</t>
        </is>
      </c>
      <c r="D250" s="28" t="n">
        <v>36</v>
      </c>
      <c r="E250" s="29">
        <f>Saldos_Capital_Mensual!I250</f>
        <v/>
      </c>
      <c r="F250" s="29">
        <f>Saldos_Intereses_Mensual!I250</f>
        <v/>
      </c>
      <c r="G250" s="29">
        <f>ROUND(E250 + F250, 2)</f>
        <v/>
      </c>
      <c r="H250" s="29">
        <f>Saldo_Residual_Activo!I250</f>
        <v/>
      </c>
      <c r="I250" s="29">
        <f>ROUND(G250 + H250, 2)</f>
        <v/>
      </c>
      <c r="J250" s="29">
        <f>Saldos_Capital_Mensual!J250</f>
        <v/>
      </c>
      <c r="K250" s="29">
        <f>Saldos_Intereses_Mensual!J250</f>
        <v/>
      </c>
      <c r="L250" s="29">
        <f>ROUND(J250 + K250, 2)</f>
        <v/>
      </c>
      <c r="M250" s="29">
        <f>Saldo_Residual_Activo!J250</f>
        <v/>
      </c>
      <c r="N250" s="29">
        <f>ROUND(L250 + M250, 2)</f>
        <v/>
      </c>
      <c r="O250" s="29">
        <f>Saldos_Capital_Mensual!K250</f>
        <v/>
      </c>
      <c r="P250" s="29">
        <f>Saldos_Intereses_Mensual!K250</f>
        <v/>
      </c>
      <c r="Q250" s="29">
        <f>ROUND(O250 + P250, 2)</f>
        <v/>
      </c>
      <c r="R250" s="29">
        <f>Saldo_Residual_Activo!K250</f>
        <v/>
      </c>
      <c r="S250" s="29">
        <f>ROUND(Q250 + R250, 2)</f>
        <v/>
      </c>
      <c r="T250" s="29">
        <f>Saldos_Capital_Mensual!L250</f>
        <v/>
      </c>
      <c r="U250" s="29">
        <f>Saldos_Intereses_Mensual!L250</f>
        <v/>
      </c>
      <c r="V250" s="29">
        <f>ROUND(T250 + U250, 2)</f>
        <v/>
      </c>
      <c r="W250" s="29">
        <f>Saldo_Residual_Activo!L250</f>
        <v/>
      </c>
      <c r="X250" s="29">
        <f>ROUND(V250 + W250, 2)</f>
        <v/>
      </c>
      <c r="Y250" s="29">
        <f>Saldos_Capital_Mensual!M250</f>
        <v/>
      </c>
      <c r="Z250" s="29">
        <f>Saldos_Intereses_Mensual!M250</f>
        <v/>
      </c>
      <c r="AA250" s="29">
        <f>ROUND(Y250 + Z250, 2)</f>
        <v/>
      </c>
      <c r="AB250" s="29">
        <f>Saldo_Residual_Activo!M250</f>
        <v/>
      </c>
      <c r="AC250" s="29">
        <f>ROUND(AA250 + AB250, 2)</f>
        <v/>
      </c>
      <c r="AD250" s="29">
        <f>Saldos_Capital_Mensual!N250</f>
        <v/>
      </c>
      <c r="AE250" s="29">
        <f>Saldos_Intereses_Mensual!N250</f>
        <v/>
      </c>
      <c r="AF250" s="29">
        <f>ROUND(AD250 + AE250, 2)</f>
        <v/>
      </c>
      <c r="AG250" s="29">
        <f>Saldo_Residual_Activo!N250</f>
        <v/>
      </c>
      <c r="AH250" s="29">
        <f>ROUND(AF250 + AG250, 2)</f>
        <v/>
      </c>
      <c r="AI250" s="29">
        <f>Saldos_Capital_Mensual!O250</f>
        <v/>
      </c>
      <c r="AJ250" s="29">
        <f>Saldos_Intereses_Mensual!O250</f>
        <v/>
      </c>
      <c r="AK250" s="29">
        <f>ROUND(AI250 + AJ250, 2)</f>
        <v/>
      </c>
      <c r="AL250" s="29">
        <f>Saldo_Residual_Activo!O250</f>
        <v/>
      </c>
      <c r="AM250" s="29">
        <f>ROUND(AK250 + AL250, 2)</f>
        <v/>
      </c>
      <c r="AN250" s="29">
        <f>Saldos_Capital_Mensual!P250</f>
        <v/>
      </c>
      <c r="AO250" s="29">
        <f>Saldos_Intereses_Mensual!P250</f>
        <v/>
      </c>
      <c r="AP250" s="29">
        <f>ROUND(AN250 + AO250, 2)</f>
        <v/>
      </c>
      <c r="AQ250" s="29">
        <f>Saldo_Residual_Activo!P250</f>
        <v/>
      </c>
      <c r="AR250" s="29">
        <f>ROUND(AP250 + AQ250, 2)</f>
        <v/>
      </c>
      <c r="AS250" s="29">
        <f>Saldos_Capital_Mensual!Q250</f>
        <v/>
      </c>
      <c r="AT250" s="29">
        <f>Saldos_Intereses_Mensual!Q250</f>
        <v/>
      </c>
      <c r="AU250" s="29">
        <f>ROUND(AS250 + AT250, 2)</f>
        <v/>
      </c>
      <c r="AV250" s="29">
        <f>Saldo_Residual_Activo!Q250</f>
        <v/>
      </c>
      <c r="AW250" s="29">
        <f>ROUND(AU250 + AV250, 2)</f>
        <v/>
      </c>
      <c r="AX250" s="29">
        <f>Saldos_Capital_Mensual!R250</f>
        <v/>
      </c>
      <c r="AY250" s="29">
        <f>Saldos_Intereses_Mensual!R250</f>
        <v/>
      </c>
      <c r="AZ250" s="29">
        <f>ROUND(AX250 + AY250, 2)</f>
        <v/>
      </c>
      <c r="BA250" s="29">
        <f>Saldo_Residual_Activo!R250</f>
        <v/>
      </c>
      <c r="BB250" s="29">
        <f>ROUND(AZ250 + BA250, 2)</f>
        <v/>
      </c>
      <c r="BC250" s="29">
        <f>Saldos_Capital_Mensual!S250</f>
        <v/>
      </c>
      <c r="BD250" s="29">
        <f>Saldos_Intereses_Mensual!S250</f>
        <v/>
      </c>
      <c r="BE250" s="29">
        <f>ROUND(BC250 + BD250, 2)</f>
        <v/>
      </c>
      <c r="BF250" s="29">
        <f>Saldo_Residual_Activo!S250</f>
        <v/>
      </c>
      <c r="BG250" s="29">
        <f>ROUND(BE250 + BF250, 2)</f>
        <v/>
      </c>
      <c r="BH250" s="29">
        <f>Saldos_Capital_Mensual!T250</f>
        <v/>
      </c>
      <c r="BI250" s="29">
        <f>Saldos_Intereses_Mensual!T250</f>
        <v/>
      </c>
      <c r="BJ250" s="29">
        <f>ROUND(BH250 + BI250, 2)</f>
        <v/>
      </c>
      <c r="BK250" s="29">
        <f>Saldo_Residual_Activo!T250</f>
        <v/>
      </c>
      <c r="BL250" s="29">
        <f>ROUND(BJ250 + BK250, 2)</f>
        <v/>
      </c>
    </row>
    <row r="251">
      <c r="A251" s="20" t="inlineStr">
        <is>
          <t>0758-0001</t>
        </is>
      </c>
      <c r="B251" s="21" t="inlineStr">
        <is>
          <t>Comedores y Servicios Industriales CAMSAA, S.A. de C.V.</t>
        </is>
      </c>
      <c r="C251" s="21" t="inlineStr">
        <is>
          <t>Partner Rapid</t>
        </is>
      </c>
      <c r="D251" s="22" t="n">
        <v>24</v>
      </c>
      <c r="E251" s="23">
        <f>Saldos_Capital_Mensual!I251</f>
        <v/>
      </c>
      <c r="F251" s="23">
        <f>Saldos_Intereses_Mensual!I251</f>
        <v/>
      </c>
      <c r="G251" s="23">
        <f>ROUND(E251 + F251, 2)</f>
        <v/>
      </c>
      <c r="H251" s="23">
        <f>Saldo_Residual_Activo!I251</f>
        <v/>
      </c>
      <c r="I251" s="23">
        <f>ROUND(G251 + H251, 2)</f>
        <v/>
      </c>
      <c r="J251" s="23">
        <f>Saldos_Capital_Mensual!J251</f>
        <v/>
      </c>
      <c r="K251" s="23">
        <f>Saldos_Intereses_Mensual!J251</f>
        <v/>
      </c>
      <c r="L251" s="23">
        <f>ROUND(J251 + K251, 2)</f>
        <v/>
      </c>
      <c r="M251" s="23">
        <f>Saldo_Residual_Activo!J251</f>
        <v/>
      </c>
      <c r="N251" s="23">
        <f>ROUND(L251 + M251, 2)</f>
        <v/>
      </c>
      <c r="O251" s="23">
        <f>Saldos_Capital_Mensual!K251</f>
        <v/>
      </c>
      <c r="P251" s="23">
        <f>Saldos_Intereses_Mensual!K251</f>
        <v/>
      </c>
      <c r="Q251" s="23">
        <f>ROUND(O251 + P251, 2)</f>
        <v/>
      </c>
      <c r="R251" s="23">
        <f>Saldo_Residual_Activo!K251</f>
        <v/>
      </c>
      <c r="S251" s="23">
        <f>ROUND(Q251 + R251, 2)</f>
        <v/>
      </c>
      <c r="T251" s="23">
        <f>Saldos_Capital_Mensual!L251</f>
        <v/>
      </c>
      <c r="U251" s="23">
        <f>Saldos_Intereses_Mensual!L251</f>
        <v/>
      </c>
      <c r="V251" s="23">
        <f>ROUND(T251 + U251, 2)</f>
        <v/>
      </c>
      <c r="W251" s="23">
        <f>Saldo_Residual_Activo!L251</f>
        <v/>
      </c>
      <c r="X251" s="23">
        <f>ROUND(V251 + W251, 2)</f>
        <v/>
      </c>
      <c r="Y251" s="23">
        <f>Saldos_Capital_Mensual!M251</f>
        <v/>
      </c>
      <c r="Z251" s="23">
        <f>Saldos_Intereses_Mensual!M251</f>
        <v/>
      </c>
      <c r="AA251" s="23">
        <f>ROUND(Y251 + Z251, 2)</f>
        <v/>
      </c>
      <c r="AB251" s="23">
        <f>Saldo_Residual_Activo!M251</f>
        <v/>
      </c>
      <c r="AC251" s="23">
        <f>ROUND(AA251 + AB251, 2)</f>
        <v/>
      </c>
      <c r="AD251" s="23">
        <f>Saldos_Capital_Mensual!N251</f>
        <v/>
      </c>
      <c r="AE251" s="23">
        <f>Saldos_Intereses_Mensual!N251</f>
        <v/>
      </c>
      <c r="AF251" s="23">
        <f>ROUND(AD251 + AE251, 2)</f>
        <v/>
      </c>
      <c r="AG251" s="23">
        <f>Saldo_Residual_Activo!N251</f>
        <v/>
      </c>
      <c r="AH251" s="23">
        <f>ROUND(AF251 + AG251, 2)</f>
        <v/>
      </c>
      <c r="AI251" s="23">
        <f>Saldos_Capital_Mensual!O251</f>
        <v/>
      </c>
      <c r="AJ251" s="23">
        <f>Saldos_Intereses_Mensual!O251</f>
        <v/>
      </c>
      <c r="AK251" s="23">
        <f>ROUND(AI251 + AJ251, 2)</f>
        <v/>
      </c>
      <c r="AL251" s="23">
        <f>Saldo_Residual_Activo!O251</f>
        <v/>
      </c>
      <c r="AM251" s="23">
        <f>ROUND(AK251 + AL251, 2)</f>
        <v/>
      </c>
      <c r="AN251" s="23">
        <f>Saldos_Capital_Mensual!P251</f>
        <v/>
      </c>
      <c r="AO251" s="23">
        <f>Saldos_Intereses_Mensual!P251</f>
        <v/>
      </c>
      <c r="AP251" s="23">
        <f>ROUND(AN251 + AO251, 2)</f>
        <v/>
      </c>
      <c r="AQ251" s="23">
        <f>Saldo_Residual_Activo!P251</f>
        <v/>
      </c>
      <c r="AR251" s="23">
        <f>ROUND(AP251 + AQ251, 2)</f>
        <v/>
      </c>
      <c r="AS251" s="23">
        <f>Saldos_Capital_Mensual!Q251</f>
        <v/>
      </c>
      <c r="AT251" s="23">
        <f>Saldos_Intereses_Mensual!Q251</f>
        <v/>
      </c>
      <c r="AU251" s="23">
        <f>ROUND(AS251 + AT251, 2)</f>
        <v/>
      </c>
      <c r="AV251" s="23">
        <f>Saldo_Residual_Activo!Q251</f>
        <v/>
      </c>
      <c r="AW251" s="23">
        <f>ROUND(AU251 + AV251, 2)</f>
        <v/>
      </c>
      <c r="AX251" s="23">
        <f>Saldos_Capital_Mensual!R251</f>
        <v/>
      </c>
      <c r="AY251" s="23">
        <f>Saldos_Intereses_Mensual!R251</f>
        <v/>
      </c>
      <c r="AZ251" s="23">
        <f>ROUND(AX251 + AY251, 2)</f>
        <v/>
      </c>
      <c r="BA251" s="23">
        <f>Saldo_Residual_Activo!R251</f>
        <v/>
      </c>
      <c r="BB251" s="23">
        <f>ROUND(AZ251 + BA251, 2)</f>
        <v/>
      </c>
      <c r="BC251" s="23">
        <f>Saldos_Capital_Mensual!S251</f>
        <v/>
      </c>
      <c r="BD251" s="23">
        <f>Saldos_Intereses_Mensual!S251</f>
        <v/>
      </c>
      <c r="BE251" s="23">
        <f>ROUND(BC251 + BD251, 2)</f>
        <v/>
      </c>
      <c r="BF251" s="23">
        <f>Saldo_Residual_Activo!S251</f>
        <v/>
      </c>
      <c r="BG251" s="23">
        <f>ROUND(BE251 + BF251, 2)</f>
        <v/>
      </c>
      <c r="BH251" s="23">
        <f>Saldos_Capital_Mensual!T251</f>
        <v/>
      </c>
      <c r="BI251" s="23">
        <f>Saldos_Intereses_Mensual!T251</f>
        <v/>
      </c>
      <c r="BJ251" s="23">
        <f>ROUND(BH251 + BI251, 2)</f>
        <v/>
      </c>
      <c r="BK251" s="23">
        <f>Saldo_Residual_Activo!T251</f>
        <v/>
      </c>
      <c r="BL251" s="23">
        <f>ROUND(BJ251 + BK251, 2)</f>
        <v/>
      </c>
    </row>
    <row r="252">
      <c r="A252" s="26" t="inlineStr">
        <is>
          <t>0759-0001</t>
        </is>
      </c>
      <c r="B252" s="27" t="inlineStr">
        <is>
          <t>Construcciones Ligeras Frin, S.A. de C.V.</t>
        </is>
      </c>
      <c r="C252" s="27" t="inlineStr">
        <is>
          <t>700 BIGHORN CREW CAB</t>
        </is>
      </c>
      <c r="D252" s="28" t="n">
        <v>36</v>
      </c>
      <c r="E252" s="29">
        <f>Saldos_Capital_Mensual!I252</f>
        <v/>
      </c>
      <c r="F252" s="29">
        <f>Saldos_Intereses_Mensual!I252</f>
        <v/>
      </c>
      <c r="G252" s="29">
        <f>ROUND(E252 + F252, 2)</f>
        <v/>
      </c>
      <c r="H252" s="29">
        <f>Saldo_Residual_Activo!I252</f>
        <v/>
      </c>
      <c r="I252" s="29">
        <f>ROUND(G252 + H252, 2)</f>
        <v/>
      </c>
      <c r="J252" s="29">
        <f>Saldos_Capital_Mensual!J252</f>
        <v/>
      </c>
      <c r="K252" s="29">
        <f>Saldos_Intereses_Mensual!J252</f>
        <v/>
      </c>
      <c r="L252" s="29">
        <f>ROUND(J252 + K252, 2)</f>
        <v/>
      </c>
      <c r="M252" s="29">
        <f>Saldo_Residual_Activo!J252</f>
        <v/>
      </c>
      <c r="N252" s="29">
        <f>ROUND(L252 + M252, 2)</f>
        <v/>
      </c>
      <c r="O252" s="29">
        <f>Saldos_Capital_Mensual!K252</f>
        <v/>
      </c>
      <c r="P252" s="29">
        <f>Saldos_Intereses_Mensual!K252</f>
        <v/>
      </c>
      <c r="Q252" s="29">
        <f>ROUND(O252 + P252, 2)</f>
        <v/>
      </c>
      <c r="R252" s="29">
        <f>Saldo_Residual_Activo!K252</f>
        <v/>
      </c>
      <c r="S252" s="29">
        <f>ROUND(Q252 + R252, 2)</f>
        <v/>
      </c>
      <c r="T252" s="29">
        <f>Saldos_Capital_Mensual!L252</f>
        <v/>
      </c>
      <c r="U252" s="29">
        <f>Saldos_Intereses_Mensual!L252</f>
        <v/>
      </c>
      <c r="V252" s="29">
        <f>ROUND(T252 + U252, 2)</f>
        <v/>
      </c>
      <c r="W252" s="29">
        <f>Saldo_Residual_Activo!L252</f>
        <v/>
      </c>
      <c r="X252" s="29">
        <f>ROUND(V252 + W252, 2)</f>
        <v/>
      </c>
      <c r="Y252" s="29">
        <f>Saldos_Capital_Mensual!M252</f>
        <v/>
      </c>
      <c r="Z252" s="29">
        <f>Saldos_Intereses_Mensual!M252</f>
        <v/>
      </c>
      <c r="AA252" s="29">
        <f>ROUND(Y252 + Z252, 2)</f>
        <v/>
      </c>
      <c r="AB252" s="29">
        <f>Saldo_Residual_Activo!M252</f>
        <v/>
      </c>
      <c r="AC252" s="29">
        <f>ROUND(AA252 + AB252, 2)</f>
        <v/>
      </c>
      <c r="AD252" s="29">
        <f>Saldos_Capital_Mensual!N252</f>
        <v/>
      </c>
      <c r="AE252" s="29">
        <f>Saldos_Intereses_Mensual!N252</f>
        <v/>
      </c>
      <c r="AF252" s="29">
        <f>ROUND(AD252 + AE252, 2)</f>
        <v/>
      </c>
      <c r="AG252" s="29">
        <f>Saldo_Residual_Activo!N252</f>
        <v/>
      </c>
      <c r="AH252" s="29">
        <f>ROUND(AF252 + AG252, 2)</f>
        <v/>
      </c>
      <c r="AI252" s="29">
        <f>Saldos_Capital_Mensual!O252</f>
        <v/>
      </c>
      <c r="AJ252" s="29">
        <f>Saldos_Intereses_Mensual!O252</f>
        <v/>
      </c>
      <c r="AK252" s="29">
        <f>ROUND(AI252 + AJ252, 2)</f>
        <v/>
      </c>
      <c r="AL252" s="29">
        <f>Saldo_Residual_Activo!O252</f>
        <v/>
      </c>
      <c r="AM252" s="29">
        <f>ROUND(AK252 + AL252, 2)</f>
        <v/>
      </c>
      <c r="AN252" s="29">
        <f>Saldos_Capital_Mensual!P252</f>
        <v/>
      </c>
      <c r="AO252" s="29">
        <f>Saldos_Intereses_Mensual!P252</f>
        <v/>
      </c>
      <c r="AP252" s="29">
        <f>ROUND(AN252 + AO252, 2)</f>
        <v/>
      </c>
      <c r="AQ252" s="29">
        <f>Saldo_Residual_Activo!P252</f>
        <v/>
      </c>
      <c r="AR252" s="29">
        <f>ROUND(AP252 + AQ252, 2)</f>
        <v/>
      </c>
      <c r="AS252" s="29">
        <f>Saldos_Capital_Mensual!Q252</f>
        <v/>
      </c>
      <c r="AT252" s="29">
        <f>Saldos_Intereses_Mensual!Q252</f>
        <v/>
      </c>
      <c r="AU252" s="29">
        <f>ROUND(AS252 + AT252, 2)</f>
        <v/>
      </c>
      <c r="AV252" s="29">
        <f>Saldo_Residual_Activo!Q252</f>
        <v/>
      </c>
      <c r="AW252" s="29">
        <f>ROUND(AU252 + AV252, 2)</f>
        <v/>
      </c>
      <c r="AX252" s="29">
        <f>Saldos_Capital_Mensual!R252</f>
        <v/>
      </c>
      <c r="AY252" s="29">
        <f>Saldos_Intereses_Mensual!R252</f>
        <v/>
      </c>
      <c r="AZ252" s="29">
        <f>ROUND(AX252 + AY252, 2)</f>
        <v/>
      </c>
      <c r="BA252" s="29">
        <f>Saldo_Residual_Activo!R252</f>
        <v/>
      </c>
      <c r="BB252" s="29">
        <f>ROUND(AZ252 + BA252, 2)</f>
        <v/>
      </c>
      <c r="BC252" s="29">
        <f>Saldos_Capital_Mensual!S252</f>
        <v/>
      </c>
      <c r="BD252" s="29">
        <f>Saldos_Intereses_Mensual!S252</f>
        <v/>
      </c>
      <c r="BE252" s="29">
        <f>ROUND(BC252 + BD252, 2)</f>
        <v/>
      </c>
      <c r="BF252" s="29">
        <f>Saldo_Residual_Activo!S252</f>
        <v/>
      </c>
      <c r="BG252" s="29">
        <f>ROUND(BE252 + BF252, 2)</f>
        <v/>
      </c>
      <c r="BH252" s="29">
        <f>Saldos_Capital_Mensual!T252</f>
        <v/>
      </c>
      <c r="BI252" s="29">
        <f>Saldos_Intereses_Mensual!T252</f>
        <v/>
      </c>
      <c r="BJ252" s="29">
        <f>ROUND(BH252 + BI252, 2)</f>
        <v/>
      </c>
      <c r="BK252" s="29">
        <f>Saldo_Residual_Activo!T252</f>
        <v/>
      </c>
      <c r="BL252" s="29">
        <f>ROUND(BJ252 + BK252, 2)</f>
        <v/>
      </c>
    </row>
    <row r="253">
      <c r="A253" s="20" t="inlineStr">
        <is>
          <t>0759-0002</t>
        </is>
      </c>
      <c r="B253" s="21" t="inlineStr">
        <is>
          <t>Construcciones Ligeras Frin, S.A. de C.V.</t>
        </is>
      </c>
      <c r="C253" s="21" t="inlineStr">
        <is>
          <t>700 TRADESMAN CREW CAB</t>
        </is>
      </c>
      <c r="D253" s="22" t="n">
        <v>36</v>
      </c>
      <c r="E253" s="23">
        <f>Saldos_Capital_Mensual!I253</f>
        <v/>
      </c>
      <c r="F253" s="23">
        <f>Saldos_Intereses_Mensual!I253</f>
        <v/>
      </c>
      <c r="G253" s="23">
        <f>ROUND(E253 + F253, 2)</f>
        <v/>
      </c>
      <c r="H253" s="23">
        <f>Saldo_Residual_Activo!I253</f>
        <v/>
      </c>
      <c r="I253" s="23">
        <f>ROUND(G253 + H253, 2)</f>
        <v/>
      </c>
      <c r="J253" s="23">
        <f>Saldos_Capital_Mensual!J253</f>
        <v/>
      </c>
      <c r="K253" s="23">
        <f>Saldos_Intereses_Mensual!J253</f>
        <v/>
      </c>
      <c r="L253" s="23">
        <f>ROUND(J253 + K253, 2)</f>
        <v/>
      </c>
      <c r="M253" s="23">
        <f>Saldo_Residual_Activo!J253</f>
        <v/>
      </c>
      <c r="N253" s="23">
        <f>ROUND(L253 + M253, 2)</f>
        <v/>
      </c>
      <c r="O253" s="23">
        <f>Saldos_Capital_Mensual!K253</f>
        <v/>
      </c>
      <c r="P253" s="23">
        <f>Saldos_Intereses_Mensual!K253</f>
        <v/>
      </c>
      <c r="Q253" s="23">
        <f>ROUND(O253 + P253, 2)</f>
        <v/>
      </c>
      <c r="R253" s="23">
        <f>Saldo_Residual_Activo!K253</f>
        <v/>
      </c>
      <c r="S253" s="23">
        <f>ROUND(Q253 + R253, 2)</f>
        <v/>
      </c>
      <c r="T253" s="23">
        <f>Saldos_Capital_Mensual!L253</f>
        <v/>
      </c>
      <c r="U253" s="23">
        <f>Saldos_Intereses_Mensual!L253</f>
        <v/>
      </c>
      <c r="V253" s="23">
        <f>ROUND(T253 + U253, 2)</f>
        <v/>
      </c>
      <c r="W253" s="23">
        <f>Saldo_Residual_Activo!L253</f>
        <v/>
      </c>
      <c r="X253" s="23">
        <f>ROUND(V253 + W253, 2)</f>
        <v/>
      </c>
      <c r="Y253" s="23">
        <f>Saldos_Capital_Mensual!M253</f>
        <v/>
      </c>
      <c r="Z253" s="23">
        <f>Saldos_Intereses_Mensual!M253</f>
        <v/>
      </c>
      <c r="AA253" s="23">
        <f>ROUND(Y253 + Z253, 2)</f>
        <v/>
      </c>
      <c r="AB253" s="23">
        <f>Saldo_Residual_Activo!M253</f>
        <v/>
      </c>
      <c r="AC253" s="23">
        <f>ROUND(AA253 + AB253, 2)</f>
        <v/>
      </c>
      <c r="AD253" s="23">
        <f>Saldos_Capital_Mensual!N253</f>
        <v/>
      </c>
      <c r="AE253" s="23">
        <f>Saldos_Intereses_Mensual!N253</f>
        <v/>
      </c>
      <c r="AF253" s="23">
        <f>ROUND(AD253 + AE253, 2)</f>
        <v/>
      </c>
      <c r="AG253" s="23">
        <f>Saldo_Residual_Activo!N253</f>
        <v/>
      </c>
      <c r="AH253" s="23">
        <f>ROUND(AF253 + AG253, 2)</f>
        <v/>
      </c>
      <c r="AI253" s="23">
        <f>Saldos_Capital_Mensual!O253</f>
        <v/>
      </c>
      <c r="AJ253" s="23">
        <f>Saldos_Intereses_Mensual!O253</f>
        <v/>
      </c>
      <c r="AK253" s="23">
        <f>ROUND(AI253 + AJ253, 2)</f>
        <v/>
      </c>
      <c r="AL253" s="23">
        <f>Saldo_Residual_Activo!O253</f>
        <v/>
      </c>
      <c r="AM253" s="23">
        <f>ROUND(AK253 + AL253, 2)</f>
        <v/>
      </c>
      <c r="AN253" s="23">
        <f>Saldos_Capital_Mensual!P253</f>
        <v/>
      </c>
      <c r="AO253" s="23">
        <f>Saldos_Intereses_Mensual!P253</f>
        <v/>
      </c>
      <c r="AP253" s="23">
        <f>ROUND(AN253 + AO253, 2)</f>
        <v/>
      </c>
      <c r="AQ253" s="23">
        <f>Saldo_Residual_Activo!P253</f>
        <v/>
      </c>
      <c r="AR253" s="23">
        <f>ROUND(AP253 + AQ253, 2)</f>
        <v/>
      </c>
      <c r="AS253" s="23">
        <f>Saldos_Capital_Mensual!Q253</f>
        <v/>
      </c>
      <c r="AT253" s="23">
        <f>Saldos_Intereses_Mensual!Q253</f>
        <v/>
      </c>
      <c r="AU253" s="23">
        <f>ROUND(AS253 + AT253, 2)</f>
        <v/>
      </c>
      <c r="AV253" s="23">
        <f>Saldo_Residual_Activo!Q253</f>
        <v/>
      </c>
      <c r="AW253" s="23">
        <f>ROUND(AU253 + AV253, 2)</f>
        <v/>
      </c>
      <c r="AX253" s="23">
        <f>Saldos_Capital_Mensual!R253</f>
        <v/>
      </c>
      <c r="AY253" s="23">
        <f>Saldos_Intereses_Mensual!R253</f>
        <v/>
      </c>
      <c r="AZ253" s="23">
        <f>ROUND(AX253 + AY253, 2)</f>
        <v/>
      </c>
      <c r="BA253" s="23">
        <f>Saldo_Residual_Activo!R253</f>
        <v/>
      </c>
      <c r="BB253" s="23">
        <f>ROUND(AZ253 + BA253, 2)</f>
        <v/>
      </c>
      <c r="BC253" s="23">
        <f>Saldos_Capital_Mensual!S253</f>
        <v/>
      </c>
      <c r="BD253" s="23">
        <f>Saldos_Intereses_Mensual!S253</f>
        <v/>
      </c>
      <c r="BE253" s="23">
        <f>ROUND(BC253 + BD253, 2)</f>
        <v/>
      </c>
      <c r="BF253" s="23">
        <f>Saldo_Residual_Activo!S253</f>
        <v/>
      </c>
      <c r="BG253" s="23">
        <f>ROUND(BE253 + BF253, 2)</f>
        <v/>
      </c>
      <c r="BH253" s="23">
        <f>Saldos_Capital_Mensual!T253</f>
        <v/>
      </c>
      <c r="BI253" s="23">
        <f>Saldos_Intereses_Mensual!T253</f>
        <v/>
      </c>
      <c r="BJ253" s="23">
        <f>ROUND(BH253 + BI253, 2)</f>
        <v/>
      </c>
      <c r="BK253" s="23">
        <f>Saldo_Residual_Activo!T253</f>
        <v/>
      </c>
      <c r="BL253" s="23">
        <f>ROUND(BJ253 + BK253, 2)</f>
        <v/>
      </c>
    </row>
    <row r="254">
      <c r="A254" s="26" t="inlineStr">
        <is>
          <t>0760-0001</t>
        </is>
      </c>
      <c r="B254" s="27" t="inlineStr">
        <is>
          <t>Armando Candelario Figueroa</t>
        </is>
      </c>
      <c r="C254" s="27" t="inlineStr">
        <is>
          <t>1200 TRADESMAN CHASIS CABINA</t>
        </is>
      </c>
      <c r="D254" s="28" t="n">
        <v>48</v>
      </c>
      <c r="E254" s="29">
        <f>Saldos_Capital_Mensual!I254</f>
        <v/>
      </c>
      <c r="F254" s="29">
        <f>Saldos_Intereses_Mensual!I254</f>
        <v/>
      </c>
      <c r="G254" s="29">
        <f>ROUND(E254 + F254, 2)</f>
        <v/>
      </c>
      <c r="H254" s="29">
        <f>Saldo_Residual_Activo!I254</f>
        <v/>
      </c>
      <c r="I254" s="29">
        <f>ROUND(G254 + H254, 2)</f>
        <v/>
      </c>
      <c r="J254" s="29">
        <f>Saldos_Capital_Mensual!J254</f>
        <v/>
      </c>
      <c r="K254" s="29">
        <f>Saldos_Intereses_Mensual!J254</f>
        <v/>
      </c>
      <c r="L254" s="29">
        <f>ROUND(J254 + K254, 2)</f>
        <v/>
      </c>
      <c r="M254" s="29">
        <f>Saldo_Residual_Activo!J254</f>
        <v/>
      </c>
      <c r="N254" s="29">
        <f>ROUND(L254 + M254, 2)</f>
        <v/>
      </c>
      <c r="O254" s="29">
        <f>Saldos_Capital_Mensual!K254</f>
        <v/>
      </c>
      <c r="P254" s="29">
        <f>Saldos_Intereses_Mensual!K254</f>
        <v/>
      </c>
      <c r="Q254" s="29">
        <f>ROUND(O254 + P254, 2)</f>
        <v/>
      </c>
      <c r="R254" s="29">
        <f>Saldo_Residual_Activo!K254</f>
        <v/>
      </c>
      <c r="S254" s="29">
        <f>ROUND(Q254 + R254, 2)</f>
        <v/>
      </c>
      <c r="T254" s="29">
        <f>Saldos_Capital_Mensual!L254</f>
        <v/>
      </c>
      <c r="U254" s="29">
        <f>Saldos_Intereses_Mensual!L254</f>
        <v/>
      </c>
      <c r="V254" s="29">
        <f>ROUND(T254 + U254, 2)</f>
        <v/>
      </c>
      <c r="W254" s="29">
        <f>Saldo_Residual_Activo!L254</f>
        <v/>
      </c>
      <c r="X254" s="29">
        <f>ROUND(V254 + W254, 2)</f>
        <v/>
      </c>
      <c r="Y254" s="29">
        <f>Saldos_Capital_Mensual!M254</f>
        <v/>
      </c>
      <c r="Z254" s="29">
        <f>Saldos_Intereses_Mensual!M254</f>
        <v/>
      </c>
      <c r="AA254" s="29">
        <f>ROUND(Y254 + Z254, 2)</f>
        <v/>
      </c>
      <c r="AB254" s="29">
        <f>Saldo_Residual_Activo!M254</f>
        <v/>
      </c>
      <c r="AC254" s="29">
        <f>ROUND(AA254 + AB254, 2)</f>
        <v/>
      </c>
      <c r="AD254" s="29">
        <f>Saldos_Capital_Mensual!N254</f>
        <v/>
      </c>
      <c r="AE254" s="29">
        <f>Saldos_Intereses_Mensual!N254</f>
        <v/>
      </c>
      <c r="AF254" s="29">
        <f>ROUND(AD254 + AE254, 2)</f>
        <v/>
      </c>
      <c r="AG254" s="29">
        <f>Saldo_Residual_Activo!N254</f>
        <v/>
      </c>
      <c r="AH254" s="29">
        <f>ROUND(AF254 + AG254, 2)</f>
        <v/>
      </c>
      <c r="AI254" s="29">
        <f>Saldos_Capital_Mensual!O254</f>
        <v/>
      </c>
      <c r="AJ254" s="29">
        <f>Saldos_Intereses_Mensual!O254</f>
        <v/>
      </c>
      <c r="AK254" s="29">
        <f>ROUND(AI254 + AJ254, 2)</f>
        <v/>
      </c>
      <c r="AL254" s="29">
        <f>Saldo_Residual_Activo!O254</f>
        <v/>
      </c>
      <c r="AM254" s="29">
        <f>ROUND(AK254 + AL254, 2)</f>
        <v/>
      </c>
      <c r="AN254" s="29">
        <f>Saldos_Capital_Mensual!P254</f>
        <v/>
      </c>
      <c r="AO254" s="29">
        <f>Saldos_Intereses_Mensual!P254</f>
        <v/>
      </c>
      <c r="AP254" s="29">
        <f>ROUND(AN254 + AO254, 2)</f>
        <v/>
      </c>
      <c r="AQ254" s="29">
        <f>Saldo_Residual_Activo!P254</f>
        <v/>
      </c>
      <c r="AR254" s="29">
        <f>ROUND(AP254 + AQ254, 2)</f>
        <v/>
      </c>
      <c r="AS254" s="29">
        <f>Saldos_Capital_Mensual!Q254</f>
        <v/>
      </c>
      <c r="AT254" s="29">
        <f>Saldos_Intereses_Mensual!Q254</f>
        <v/>
      </c>
      <c r="AU254" s="29">
        <f>ROUND(AS254 + AT254, 2)</f>
        <v/>
      </c>
      <c r="AV254" s="29">
        <f>Saldo_Residual_Activo!Q254</f>
        <v/>
      </c>
      <c r="AW254" s="29">
        <f>ROUND(AU254 + AV254, 2)</f>
        <v/>
      </c>
      <c r="AX254" s="29">
        <f>Saldos_Capital_Mensual!R254</f>
        <v/>
      </c>
      <c r="AY254" s="29">
        <f>Saldos_Intereses_Mensual!R254</f>
        <v/>
      </c>
      <c r="AZ254" s="29">
        <f>ROUND(AX254 + AY254, 2)</f>
        <v/>
      </c>
      <c r="BA254" s="29">
        <f>Saldo_Residual_Activo!R254</f>
        <v/>
      </c>
      <c r="BB254" s="29">
        <f>ROUND(AZ254 + BA254, 2)</f>
        <v/>
      </c>
      <c r="BC254" s="29">
        <f>Saldos_Capital_Mensual!S254</f>
        <v/>
      </c>
      <c r="BD254" s="29">
        <f>Saldos_Intereses_Mensual!S254</f>
        <v/>
      </c>
      <c r="BE254" s="29">
        <f>ROUND(BC254 + BD254, 2)</f>
        <v/>
      </c>
      <c r="BF254" s="29">
        <f>Saldo_Residual_Activo!S254</f>
        <v/>
      </c>
      <c r="BG254" s="29">
        <f>ROUND(BE254 + BF254, 2)</f>
        <v/>
      </c>
      <c r="BH254" s="29">
        <f>Saldos_Capital_Mensual!T254</f>
        <v/>
      </c>
      <c r="BI254" s="29">
        <f>Saldos_Intereses_Mensual!T254</f>
        <v/>
      </c>
      <c r="BJ254" s="29">
        <f>ROUND(BH254 + BI254, 2)</f>
        <v/>
      </c>
      <c r="BK254" s="29">
        <f>Saldo_Residual_Activo!T254</f>
        <v/>
      </c>
      <c r="BL254" s="29">
        <f>ROUND(BJ254 + BK254, 2)</f>
        <v/>
      </c>
    </row>
    <row r="255">
      <c r="A255" s="20" t="inlineStr">
        <is>
          <t>0761-0001</t>
        </is>
      </c>
      <c r="B255" s="21" t="inlineStr">
        <is>
          <t>Total Experience Produce, S.A.P.I. de C.V.</t>
        </is>
      </c>
      <c r="C255" s="21" t="inlineStr">
        <is>
          <t>700 BIGHORN CREW CAB</t>
        </is>
      </c>
      <c r="D255" s="22" t="n">
        <v>48</v>
      </c>
      <c r="E255" s="23">
        <f>Saldos_Capital_Mensual!I255</f>
        <v/>
      </c>
      <c r="F255" s="23">
        <f>Saldos_Intereses_Mensual!I255</f>
        <v/>
      </c>
      <c r="G255" s="23">
        <f>ROUND(E255 + F255, 2)</f>
        <v/>
      </c>
      <c r="H255" s="23">
        <f>Saldo_Residual_Activo!I255</f>
        <v/>
      </c>
      <c r="I255" s="23">
        <f>ROUND(G255 + H255, 2)</f>
        <v/>
      </c>
      <c r="J255" s="23">
        <f>Saldos_Capital_Mensual!J255</f>
        <v/>
      </c>
      <c r="K255" s="23">
        <f>Saldos_Intereses_Mensual!J255</f>
        <v/>
      </c>
      <c r="L255" s="23">
        <f>ROUND(J255 + K255, 2)</f>
        <v/>
      </c>
      <c r="M255" s="23">
        <f>Saldo_Residual_Activo!J255</f>
        <v/>
      </c>
      <c r="N255" s="23">
        <f>ROUND(L255 + M255, 2)</f>
        <v/>
      </c>
      <c r="O255" s="23">
        <f>Saldos_Capital_Mensual!K255</f>
        <v/>
      </c>
      <c r="P255" s="23">
        <f>Saldos_Intereses_Mensual!K255</f>
        <v/>
      </c>
      <c r="Q255" s="23">
        <f>ROUND(O255 + P255, 2)</f>
        <v/>
      </c>
      <c r="R255" s="23">
        <f>Saldo_Residual_Activo!K255</f>
        <v/>
      </c>
      <c r="S255" s="23">
        <f>ROUND(Q255 + R255, 2)</f>
        <v/>
      </c>
      <c r="T255" s="23">
        <f>Saldos_Capital_Mensual!L255</f>
        <v/>
      </c>
      <c r="U255" s="23">
        <f>Saldos_Intereses_Mensual!L255</f>
        <v/>
      </c>
      <c r="V255" s="23">
        <f>ROUND(T255 + U255, 2)</f>
        <v/>
      </c>
      <c r="W255" s="23">
        <f>Saldo_Residual_Activo!L255</f>
        <v/>
      </c>
      <c r="X255" s="23">
        <f>ROUND(V255 + W255, 2)</f>
        <v/>
      </c>
      <c r="Y255" s="23">
        <f>Saldos_Capital_Mensual!M255</f>
        <v/>
      </c>
      <c r="Z255" s="23">
        <f>Saldos_Intereses_Mensual!M255</f>
        <v/>
      </c>
      <c r="AA255" s="23">
        <f>ROUND(Y255 + Z255, 2)</f>
        <v/>
      </c>
      <c r="AB255" s="23">
        <f>Saldo_Residual_Activo!M255</f>
        <v/>
      </c>
      <c r="AC255" s="23">
        <f>ROUND(AA255 + AB255, 2)</f>
        <v/>
      </c>
      <c r="AD255" s="23">
        <f>Saldos_Capital_Mensual!N255</f>
        <v/>
      </c>
      <c r="AE255" s="23">
        <f>Saldos_Intereses_Mensual!N255</f>
        <v/>
      </c>
      <c r="AF255" s="23">
        <f>ROUND(AD255 + AE255, 2)</f>
        <v/>
      </c>
      <c r="AG255" s="23">
        <f>Saldo_Residual_Activo!N255</f>
        <v/>
      </c>
      <c r="AH255" s="23">
        <f>ROUND(AF255 + AG255, 2)</f>
        <v/>
      </c>
      <c r="AI255" s="23">
        <f>Saldos_Capital_Mensual!O255</f>
        <v/>
      </c>
      <c r="AJ255" s="23">
        <f>Saldos_Intereses_Mensual!O255</f>
        <v/>
      </c>
      <c r="AK255" s="23">
        <f>ROUND(AI255 + AJ255, 2)</f>
        <v/>
      </c>
      <c r="AL255" s="23">
        <f>Saldo_Residual_Activo!O255</f>
        <v/>
      </c>
      <c r="AM255" s="23">
        <f>ROUND(AK255 + AL255, 2)</f>
        <v/>
      </c>
      <c r="AN255" s="23">
        <f>Saldos_Capital_Mensual!P255</f>
        <v/>
      </c>
      <c r="AO255" s="23">
        <f>Saldos_Intereses_Mensual!P255</f>
        <v/>
      </c>
      <c r="AP255" s="23">
        <f>ROUND(AN255 + AO255, 2)</f>
        <v/>
      </c>
      <c r="AQ255" s="23">
        <f>Saldo_Residual_Activo!P255</f>
        <v/>
      </c>
      <c r="AR255" s="23">
        <f>ROUND(AP255 + AQ255, 2)</f>
        <v/>
      </c>
      <c r="AS255" s="23">
        <f>Saldos_Capital_Mensual!Q255</f>
        <v/>
      </c>
      <c r="AT255" s="23">
        <f>Saldos_Intereses_Mensual!Q255</f>
        <v/>
      </c>
      <c r="AU255" s="23">
        <f>ROUND(AS255 + AT255, 2)</f>
        <v/>
      </c>
      <c r="AV255" s="23">
        <f>Saldo_Residual_Activo!Q255</f>
        <v/>
      </c>
      <c r="AW255" s="23">
        <f>ROUND(AU255 + AV255, 2)</f>
        <v/>
      </c>
      <c r="AX255" s="23">
        <f>Saldos_Capital_Mensual!R255</f>
        <v/>
      </c>
      <c r="AY255" s="23">
        <f>Saldos_Intereses_Mensual!R255</f>
        <v/>
      </c>
      <c r="AZ255" s="23">
        <f>ROUND(AX255 + AY255, 2)</f>
        <v/>
      </c>
      <c r="BA255" s="23">
        <f>Saldo_Residual_Activo!R255</f>
        <v/>
      </c>
      <c r="BB255" s="23">
        <f>ROUND(AZ255 + BA255, 2)</f>
        <v/>
      </c>
      <c r="BC255" s="23">
        <f>Saldos_Capital_Mensual!S255</f>
        <v/>
      </c>
      <c r="BD255" s="23">
        <f>Saldos_Intereses_Mensual!S255</f>
        <v/>
      </c>
      <c r="BE255" s="23">
        <f>ROUND(BC255 + BD255, 2)</f>
        <v/>
      </c>
      <c r="BF255" s="23">
        <f>Saldo_Residual_Activo!S255</f>
        <v/>
      </c>
      <c r="BG255" s="23">
        <f>ROUND(BE255 + BF255, 2)</f>
        <v/>
      </c>
      <c r="BH255" s="23">
        <f>Saldos_Capital_Mensual!T255</f>
        <v/>
      </c>
      <c r="BI255" s="23">
        <f>Saldos_Intereses_Mensual!T255</f>
        <v/>
      </c>
      <c r="BJ255" s="23">
        <f>ROUND(BH255 + BI255, 2)</f>
        <v/>
      </c>
      <c r="BK255" s="23">
        <f>Saldo_Residual_Activo!T255</f>
        <v/>
      </c>
      <c r="BL255" s="23">
        <f>ROUND(BJ255 + BK255, 2)</f>
        <v/>
      </c>
    </row>
    <row r="256">
      <c r="A256" s="26" t="inlineStr">
        <is>
          <t>0763-0001</t>
        </is>
      </c>
      <c r="B256" s="27" t="inlineStr">
        <is>
          <t>Francisco Javier Fernández Gutiérrez</t>
        </is>
      </c>
      <c r="C256" s="27" t="inlineStr">
        <is>
          <t>1500 RHO</t>
        </is>
      </c>
      <c r="D256" s="28" t="n">
        <v>36</v>
      </c>
      <c r="E256" s="29">
        <f>Saldos_Capital_Mensual!I256</f>
        <v/>
      </c>
      <c r="F256" s="29">
        <f>Saldos_Intereses_Mensual!I256</f>
        <v/>
      </c>
      <c r="G256" s="29">
        <f>ROUND(E256 + F256, 2)</f>
        <v/>
      </c>
      <c r="H256" s="29">
        <f>Saldo_Residual_Activo!I256</f>
        <v/>
      </c>
      <c r="I256" s="29">
        <f>ROUND(G256 + H256, 2)</f>
        <v/>
      </c>
      <c r="J256" s="29">
        <f>Saldos_Capital_Mensual!J256</f>
        <v/>
      </c>
      <c r="K256" s="29">
        <f>Saldos_Intereses_Mensual!J256</f>
        <v/>
      </c>
      <c r="L256" s="29">
        <f>ROUND(J256 + K256, 2)</f>
        <v/>
      </c>
      <c r="M256" s="29">
        <f>Saldo_Residual_Activo!J256</f>
        <v/>
      </c>
      <c r="N256" s="29">
        <f>ROUND(L256 + M256, 2)</f>
        <v/>
      </c>
      <c r="O256" s="29">
        <f>Saldos_Capital_Mensual!K256</f>
        <v/>
      </c>
      <c r="P256" s="29">
        <f>Saldos_Intereses_Mensual!K256</f>
        <v/>
      </c>
      <c r="Q256" s="29">
        <f>ROUND(O256 + P256, 2)</f>
        <v/>
      </c>
      <c r="R256" s="29">
        <f>Saldo_Residual_Activo!K256</f>
        <v/>
      </c>
      <c r="S256" s="29">
        <f>ROUND(Q256 + R256, 2)</f>
        <v/>
      </c>
      <c r="T256" s="29">
        <f>Saldos_Capital_Mensual!L256</f>
        <v/>
      </c>
      <c r="U256" s="29">
        <f>Saldos_Intereses_Mensual!L256</f>
        <v/>
      </c>
      <c r="V256" s="29">
        <f>ROUND(T256 + U256, 2)</f>
        <v/>
      </c>
      <c r="W256" s="29">
        <f>Saldo_Residual_Activo!L256</f>
        <v/>
      </c>
      <c r="X256" s="29">
        <f>ROUND(V256 + W256, 2)</f>
        <v/>
      </c>
      <c r="Y256" s="29">
        <f>Saldos_Capital_Mensual!M256</f>
        <v/>
      </c>
      <c r="Z256" s="29">
        <f>Saldos_Intereses_Mensual!M256</f>
        <v/>
      </c>
      <c r="AA256" s="29">
        <f>ROUND(Y256 + Z256, 2)</f>
        <v/>
      </c>
      <c r="AB256" s="29">
        <f>Saldo_Residual_Activo!M256</f>
        <v/>
      </c>
      <c r="AC256" s="29">
        <f>ROUND(AA256 + AB256, 2)</f>
        <v/>
      </c>
      <c r="AD256" s="29">
        <f>Saldos_Capital_Mensual!N256</f>
        <v/>
      </c>
      <c r="AE256" s="29">
        <f>Saldos_Intereses_Mensual!N256</f>
        <v/>
      </c>
      <c r="AF256" s="29">
        <f>ROUND(AD256 + AE256, 2)</f>
        <v/>
      </c>
      <c r="AG256" s="29">
        <f>Saldo_Residual_Activo!N256</f>
        <v/>
      </c>
      <c r="AH256" s="29">
        <f>ROUND(AF256 + AG256, 2)</f>
        <v/>
      </c>
      <c r="AI256" s="29">
        <f>Saldos_Capital_Mensual!O256</f>
        <v/>
      </c>
      <c r="AJ256" s="29">
        <f>Saldos_Intereses_Mensual!O256</f>
        <v/>
      </c>
      <c r="AK256" s="29">
        <f>ROUND(AI256 + AJ256, 2)</f>
        <v/>
      </c>
      <c r="AL256" s="29">
        <f>Saldo_Residual_Activo!O256</f>
        <v/>
      </c>
      <c r="AM256" s="29">
        <f>ROUND(AK256 + AL256, 2)</f>
        <v/>
      </c>
      <c r="AN256" s="29">
        <f>Saldos_Capital_Mensual!P256</f>
        <v/>
      </c>
      <c r="AO256" s="29">
        <f>Saldos_Intereses_Mensual!P256</f>
        <v/>
      </c>
      <c r="AP256" s="29">
        <f>ROUND(AN256 + AO256, 2)</f>
        <v/>
      </c>
      <c r="AQ256" s="29">
        <f>Saldo_Residual_Activo!P256</f>
        <v/>
      </c>
      <c r="AR256" s="29">
        <f>ROUND(AP256 + AQ256, 2)</f>
        <v/>
      </c>
      <c r="AS256" s="29">
        <f>Saldos_Capital_Mensual!Q256</f>
        <v/>
      </c>
      <c r="AT256" s="29">
        <f>Saldos_Intereses_Mensual!Q256</f>
        <v/>
      </c>
      <c r="AU256" s="29">
        <f>ROUND(AS256 + AT256, 2)</f>
        <v/>
      </c>
      <c r="AV256" s="29">
        <f>Saldo_Residual_Activo!Q256</f>
        <v/>
      </c>
      <c r="AW256" s="29">
        <f>ROUND(AU256 + AV256, 2)</f>
        <v/>
      </c>
      <c r="AX256" s="29">
        <f>Saldos_Capital_Mensual!R256</f>
        <v/>
      </c>
      <c r="AY256" s="29">
        <f>Saldos_Intereses_Mensual!R256</f>
        <v/>
      </c>
      <c r="AZ256" s="29">
        <f>ROUND(AX256 + AY256, 2)</f>
        <v/>
      </c>
      <c r="BA256" s="29">
        <f>Saldo_Residual_Activo!R256</f>
        <v/>
      </c>
      <c r="BB256" s="29">
        <f>ROUND(AZ256 + BA256, 2)</f>
        <v/>
      </c>
      <c r="BC256" s="29">
        <f>Saldos_Capital_Mensual!S256</f>
        <v/>
      </c>
      <c r="BD256" s="29">
        <f>Saldos_Intereses_Mensual!S256</f>
        <v/>
      </c>
      <c r="BE256" s="29">
        <f>ROUND(BC256 + BD256, 2)</f>
        <v/>
      </c>
      <c r="BF256" s="29">
        <f>Saldo_Residual_Activo!S256</f>
        <v/>
      </c>
      <c r="BG256" s="29">
        <f>ROUND(BE256 + BF256, 2)</f>
        <v/>
      </c>
      <c r="BH256" s="29">
        <f>Saldos_Capital_Mensual!T256</f>
        <v/>
      </c>
      <c r="BI256" s="29">
        <f>Saldos_Intereses_Mensual!T256</f>
        <v/>
      </c>
      <c r="BJ256" s="29">
        <f>ROUND(BH256 + BI256, 2)</f>
        <v/>
      </c>
      <c r="BK256" s="29">
        <f>Saldo_Residual_Activo!T256</f>
        <v/>
      </c>
      <c r="BL256" s="29">
        <f>ROUND(BJ256 + BK256, 2)</f>
        <v/>
      </c>
    </row>
    <row r="257">
      <c r="A257" s="20" t="inlineStr">
        <is>
          <t>0764-0001</t>
        </is>
      </c>
      <c r="B257" s="21" t="inlineStr">
        <is>
          <t>Inspectores Marítimos de México, S. de R.L. de C.V.</t>
        </is>
      </c>
      <c r="C257" s="21" t="inlineStr">
        <is>
          <t>1200 Bighorn</t>
        </is>
      </c>
      <c r="D257" s="22" t="n">
        <v>36</v>
      </c>
      <c r="E257" s="23">
        <f>Saldos_Capital_Mensual!I257</f>
        <v/>
      </c>
      <c r="F257" s="23">
        <f>Saldos_Intereses_Mensual!I257</f>
        <v/>
      </c>
      <c r="G257" s="23">
        <f>ROUND(E257 + F257, 2)</f>
        <v/>
      </c>
      <c r="H257" s="23">
        <f>Saldo_Residual_Activo!I257</f>
        <v/>
      </c>
      <c r="I257" s="23">
        <f>ROUND(G257 + H257, 2)</f>
        <v/>
      </c>
      <c r="J257" s="23">
        <f>Saldos_Capital_Mensual!J257</f>
        <v/>
      </c>
      <c r="K257" s="23">
        <f>Saldos_Intereses_Mensual!J257</f>
        <v/>
      </c>
      <c r="L257" s="23">
        <f>ROUND(J257 + K257, 2)</f>
        <v/>
      </c>
      <c r="M257" s="23">
        <f>Saldo_Residual_Activo!J257</f>
        <v/>
      </c>
      <c r="N257" s="23">
        <f>ROUND(L257 + M257, 2)</f>
        <v/>
      </c>
      <c r="O257" s="23">
        <f>Saldos_Capital_Mensual!K257</f>
        <v/>
      </c>
      <c r="P257" s="23">
        <f>Saldos_Intereses_Mensual!K257</f>
        <v/>
      </c>
      <c r="Q257" s="23">
        <f>ROUND(O257 + P257, 2)</f>
        <v/>
      </c>
      <c r="R257" s="23">
        <f>Saldo_Residual_Activo!K257</f>
        <v/>
      </c>
      <c r="S257" s="23">
        <f>ROUND(Q257 + R257, 2)</f>
        <v/>
      </c>
      <c r="T257" s="23">
        <f>Saldos_Capital_Mensual!L257</f>
        <v/>
      </c>
      <c r="U257" s="23">
        <f>Saldos_Intereses_Mensual!L257</f>
        <v/>
      </c>
      <c r="V257" s="23">
        <f>ROUND(T257 + U257, 2)</f>
        <v/>
      </c>
      <c r="W257" s="23">
        <f>Saldo_Residual_Activo!L257</f>
        <v/>
      </c>
      <c r="X257" s="23">
        <f>ROUND(V257 + W257, 2)</f>
        <v/>
      </c>
      <c r="Y257" s="23">
        <f>Saldos_Capital_Mensual!M257</f>
        <v/>
      </c>
      <c r="Z257" s="23">
        <f>Saldos_Intereses_Mensual!M257</f>
        <v/>
      </c>
      <c r="AA257" s="23">
        <f>ROUND(Y257 + Z257, 2)</f>
        <v/>
      </c>
      <c r="AB257" s="23">
        <f>Saldo_Residual_Activo!M257</f>
        <v/>
      </c>
      <c r="AC257" s="23">
        <f>ROUND(AA257 + AB257, 2)</f>
        <v/>
      </c>
      <c r="AD257" s="23">
        <f>Saldos_Capital_Mensual!N257</f>
        <v/>
      </c>
      <c r="AE257" s="23">
        <f>Saldos_Intereses_Mensual!N257</f>
        <v/>
      </c>
      <c r="AF257" s="23">
        <f>ROUND(AD257 + AE257, 2)</f>
        <v/>
      </c>
      <c r="AG257" s="23">
        <f>Saldo_Residual_Activo!N257</f>
        <v/>
      </c>
      <c r="AH257" s="23">
        <f>ROUND(AF257 + AG257, 2)</f>
        <v/>
      </c>
      <c r="AI257" s="23">
        <f>Saldos_Capital_Mensual!O257</f>
        <v/>
      </c>
      <c r="AJ257" s="23">
        <f>Saldos_Intereses_Mensual!O257</f>
        <v/>
      </c>
      <c r="AK257" s="23">
        <f>ROUND(AI257 + AJ257, 2)</f>
        <v/>
      </c>
      <c r="AL257" s="23">
        <f>Saldo_Residual_Activo!O257</f>
        <v/>
      </c>
      <c r="AM257" s="23">
        <f>ROUND(AK257 + AL257, 2)</f>
        <v/>
      </c>
      <c r="AN257" s="23">
        <f>Saldos_Capital_Mensual!P257</f>
        <v/>
      </c>
      <c r="AO257" s="23">
        <f>Saldos_Intereses_Mensual!P257</f>
        <v/>
      </c>
      <c r="AP257" s="23">
        <f>ROUND(AN257 + AO257, 2)</f>
        <v/>
      </c>
      <c r="AQ257" s="23">
        <f>Saldo_Residual_Activo!P257</f>
        <v/>
      </c>
      <c r="AR257" s="23">
        <f>ROUND(AP257 + AQ257, 2)</f>
        <v/>
      </c>
      <c r="AS257" s="23">
        <f>Saldos_Capital_Mensual!Q257</f>
        <v/>
      </c>
      <c r="AT257" s="23">
        <f>Saldos_Intereses_Mensual!Q257</f>
        <v/>
      </c>
      <c r="AU257" s="23">
        <f>ROUND(AS257 + AT257, 2)</f>
        <v/>
      </c>
      <c r="AV257" s="23">
        <f>Saldo_Residual_Activo!Q257</f>
        <v/>
      </c>
      <c r="AW257" s="23">
        <f>ROUND(AU257 + AV257, 2)</f>
        <v/>
      </c>
      <c r="AX257" s="23">
        <f>Saldos_Capital_Mensual!R257</f>
        <v/>
      </c>
      <c r="AY257" s="23">
        <f>Saldos_Intereses_Mensual!R257</f>
        <v/>
      </c>
      <c r="AZ257" s="23">
        <f>ROUND(AX257 + AY257, 2)</f>
        <v/>
      </c>
      <c r="BA257" s="23">
        <f>Saldo_Residual_Activo!R257</f>
        <v/>
      </c>
      <c r="BB257" s="23">
        <f>ROUND(AZ257 + BA257, 2)</f>
        <v/>
      </c>
      <c r="BC257" s="23">
        <f>Saldos_Capital_Mensual!S257</f>
        <v/>
      </c>
      <c r="BD257" s="23">
        <f>Saldos_Intereses_Mensual!S257</f>
        <v/>
      </c>
      <c r="BE257" s="23">
        <f>ROUND(BC257 + BD257, 2)</f>
        <v/>
      </c>
      <c r="BF257" s="23">
        <f>Saldo_Residual_Activo!S257</f>
        <v/>
      </c>
      <c r="BG257" s="23">
        <f>ROUND(BE257 + BF257, 2)</f>
        <v/>
      </c>
      <c r="BH257" s="23">
        <f>Saldos_Capital_Mensual!T257</f>
        <v/>
      </c>
      <c r="BI257" s="23">
        <f>Saldos_Intereses_Mensual!T257</f>
        <v/>
      </c>
      <c r="BJ257" s="23">
        <f>ROUND(BH257 + BI257, 2)</f>
        <v/>
      </c>
      <c r="BK257" s="23">
        <f>Saldo_Residual_Activo!T257</f>
        <v/>
      </c>
      <c r="BL257" s="23">
        <f>ROUND(BJ257 + BK257, 2)</f>
        <v/>
      </c>
    </row>
    <row r="258">
      <c r="A258" s="26" t="inlineStr">
        <is>
          <t>0765-0001</t>
        </is>
      </c>
      <c r="B258" s="27" t="inlineStr">
        <is>
          <t>Rafael Soltero Sánchez</t>
        </is>
      </c>
      <c r="C258" s="27" t="inlineStr">
        <is>
          <t>1200 Bighorn</t>
        </is>
      </c>
      <c r="D258" s="28" t="n">
        <v>48</v>
      </c>
      <c r="E258" s="29">
        <f>Saldos_Capital_Mensual!I258</f>
        <v/>
      </c>
      <c r="F258" s="29">
        <f>Saldos_Intereses_Mensual!I258</f>
        <v/>
      </c>
      <c r="G258" s="29">
        <f>ROUND(E258 + F258, 2)</f>
        <v/>
      </c>
      <c r="H258" s="29">
        <f>Saldo_Residual_Activo!I258</f>
        <v/>
      </c>
      <c r="I258" s="29">
        <f>ROUND(G258 + H258, 2)</f>
        <v/>
      </c>
      <c r="J258" s="29">
        <f>Saldos_Capital_Mensual!J258</f>
        <v/>
      </c>
      <c r="K258" s="29">
        <f>Saldos_Intereses_Mensual!J258</f>
        <v/>
      </c>
      <c r="L258" s="29">
        <f>ROUND(J258 + K258, 2)</f>
        <v/>
      </c>
      <c r="M258" s="29">
        <f>Saldo_Residual_Activo!J258</f>
        <v/>
      </c>
      <c r="N258" s="29">
        <f>ROUND(L258 + M258, 2)</f>
        <v/>
      </c>
      <c r="O258" s="29">
        <f>Saldos_Capital_Mensual!K258</f>
        <v/>
      </c>
      <c r="P258" s="29">
        <f>Saldos_Intereses_Mensual!K258</f>
        <v/>
      </c>
      <c r="Q258" s="29">
        <f>ROUND(O258 + P258, 2)</f>
        <v/>
      </c>
      <c r="R258" s="29">
        <f>Saldo_Residual_Activo!K258</f>
        <v/>
      </c>
      <c r="S258" s="29">
        <f>ROUND(Q258 + R258, 2)</f>
        <v/>
      </c>
      <c r="T258" s="29">
        <f>Saldos_Capital_Mensual!L258</f>
        <v/>
      </c>
      <c r="U258" s="29">
        <f>Saldos_Intereses_Mensual!L258</f>
        <v/>
      </c>
      <c r="V258" s="29">
        <f>ROUND(T258 + U258, 2)</f>
        <v/>
      </c>
      <c r="W258" s="29">
        <f>Saldo_Residual_Activo!L258</f>
        <v/>
      </c>
      <c r="X258" s="29">
        <f>ROUND(V258 + W258, 2)</f>
        <v/>
      </c>
      <c r="Y258" s="29">
        <f>Saldos_Capital_Mensual!M258</f>
        <v/>
      </c>
      <c r="Z258" s="29">
        <f>Saldos_Intereses_Mensual!M258</f>
        <v/>
      </c>
      <c r="AA258" s="29">
        <f>ROUND(Y258 + Z258, 2)</f>
        <v/>
      </c>
      <c r="AB258" s="29">
        <f>Saldo_Residual_Activo!M258</f>
        <v/>
      </c>
      <c r="AC258" s="29">
        <f>ROUND(AA258 + AB258, 2)</f>
        <v/>
      </c>
      <c r="AD258" s="29">
        <f>Saldos_Capital_Mensual!N258</f>
        <v/>
      </c>
      <c r="AE258" s="29">
        <f>Saldos_Intereses_Mensual!N258</f>
        <v/>
      </c>
      <c r="AF258" s="29">
        <f>ROUND(AD258 + AE258, 2)</f>
        <v/>
      </c>
      <c r="AG258" s="29">
        <f>Saldo_Residual_Activo!N258</f>
        <v/>
      </c>
      <c r="AH258" s="29">
        <f>ROUND(AF258 + AG258, 2)</f>
        <v/>
      </c>
      <c r="AI258" s="29">
        <f>Saldos_Capital_Mensual!O258</f>
        <v/>
      </c>
      <c r="AJ258" s="29">
        <f>Saldos_Intereses_Mensual!O258</f>
        <v/>
      </c>
      <c r="AK258" s="29">
        <f>ROUND(AI258 + AJ258, 2)</f>
        <v/>
      </c>
      <c r="AL258" s="29">
        <f>Saldo_Residual_Activo!O258</f>
        <v/>
      </c>
      <c r="AM258" s="29">
        <f>ROUND(AK258 + AL258, 2)</f>
        <v/>
      </c>
      <c r="AN258" s="29">
        <f>Saldos_Capital_Mensual!P258</f>
        <v/>
      </c>
      <c r="AO258" s="29">
        <f>Saldos_Intereses_Mensual!P258</f>
        <v/>
      </c>
      <c r="AP258" s="29">
        <f>ROUND(AN258 + AO258, 2)</f>
        <v/>
      </c>
      <c r="AQ258" s="29">
        <f>Saldo_Residual_Activo!P258</f>
        <v/>
      </c>
      <c r="AR258" s="29">
        <f>ROUND(AP258 + AQ258, 2)</f>
        <v/>
      </c>
      <c r="AS258" s="29">
        <f>Saldos_Capital_Mensual!Q258</f>
        <v/>
      </c>
      <c r="AT258" s="29">
        <f>Saldos_Intereses_Mensual!Q258</f>
        <v/>
      </c>
      <c r="AU258" s="29">
        <f>ROUND(AS258 + AT258, 2)</f>
        <v/>
      </c>
      <c r="AV258" s="29">
        <f>Saldo_Residual_Activo!Q258</f>
        <v/>
      </c>
      <c r="AW258" s="29">
        <f>ROUND(AU258 + AV258, 2)</f>
        <v/>
      </c>
      <c r="AX258" s="29">
        <f>Saldos_Capital_Mensual!R258</f>
        <v/>
      </c>
      <c r="AY258" s="29">
        <f>Saldos_Intereses_Mensual!R258</f>
        <v/>
      </c>
      <c r="AZ258" s="29">
        <f>ROUND(AX258 + AY258, 2)</f>
        <v/>
      </c>
      <c r="BA258" s="29">
        <f>Saldo_Residual_Activo!R258</f>
        <v/>
      </c>
      <c r="BB258" s="29">
        <f>ROUND(AZ258 + BA258, 2)</f>
        <v/>
      </c>
      <c r="BC258" s="29">
        <f>Saldos_Capital_Mensual!S258</f>
        <v/>
      </c>
      <c r="BD258" s="29">
        <f>Saldos_Intereses_Mensual!S258</f>
        <v/>
      </c>
      <c r="BE258" s="29">
        <f>ROUND(BC258 + BD258, 2)</f>
        <v/>
      </c>
      <c r="BF258" s="29">
        <f>Saldo_Residual_Activo!S258</f>
        <v/>
      </c>
      <c r="BG258" s="29">
        <f>ROUND(BE258 + BF258, 2)</f>
        <v/>
      </c>
      <c r="BH258" s="29">
        <f>Saldos_Capital_Mensual!T258</f>
        <v/>
      </c>
      <c r="BI258" s="29">
        <f>Saldos_Intereses_Mensual!T258</f>
        <v/>
      </c>
      <c r="BJ258" s="29">
        <f>ROUND(BH258 + BI258, 2)</f>
        <v/>
      </c>
      <c r="BK258" s="29">
        <f>Saldo_Residual_Activo!T258</f>
        <v/>
      </c>
      <c r="BL258" s="29">
        <f>ROUND(BJ258 + BK258, 2)</f>
        <v/>
      </c>
    </row>
    <row r="259">
      <c r="A259" s="20" t="inlineStr">
        <is>
          <t>0766-0001</t>
        </is>
      </c>
      <c r="B259" s="21" t="inlineStr">
        <is>
          <t>Javier Alejandro Carbajal Chávez</t>
        </is>
      </c>
      <c r="C259" s="21" t="inlineStr">
        <is>
          <t>Jt Rubicon</t>
        </is>
      </c>
      <c r="D259" s="22" t="n">
        <v>48</v>
      </c>
      <c r="E259" s="23">
        <f>Saldos_Capital_Mensual!I259</f>
        <v/>
      </c>
      <c r="F259" s="23">
        <f>Saldos_Intereses_Mensual!I259</f>
        <v/>
      </c>
      <c r="G259" s="23">
        <f>ROUND(E259 + F259, 2)</f>
        <v/>
      </c>
      <c r="H259" s="23">
        <f>Saldo_Residual_Activo!I259</f>
        <v/>
      </c>
      <c r="I259" s="23">
        <f>ROUND(G259 + H259, 2)</f>
        <v/>
      </c>
      <c r="J259" s="23">
        <f>Saldos_Capital_Mensual!J259</f>
        <v/>
      </c>
      <c r="K259" s="23">
        <f>Saldos_Intereses_Mensual!J259</f>
        <v/>
      </c>
      <c r="L259" s="23">
        <f>ROUND(J259 + K259, 2)</f>
        <v/>
      </c>
      <c r="M259" s="23">
        <f>Saldo_Residual_Activo!J259</f>
        <v/>
      </c>
      <c r="N259" s="23">
        <f>ROUND(L259 + M259, 2)</f>
        <v/>
      </c>
      <c r="O259" s="23">
        <f>Saldos_Capital_Mensual!K259</f>
        <v/>
      </c>
      <c r="P259" s="23">
        <f>Saldos_Intereses_Mensual!K259</f>
        <v/>
      </c>
      <c r="Q259" s="23">
        <f>ROUND(O259 + P259, 2)</f>
        <v/>
      </c>
      <c r="R259" s="23">
        <f>Saldo_Residual_Activo!K259</f>
        <v/>
      </c>
      <c r="S259" s="23">
        <f>ROUND(Q259 + R259, 2)</f>
        <v/>
      </c>
      <c r="T259" s="23">
        <f>Saldos_Capital_Mensual!L259</f>
        <v/>
      </c>
      <c r="U259" s="23">
        <f>Saldos_Intereses_Mensual!L259</f>
        <v/>
      </c>
      <c r="V259" s="23">
        <f>ROUND(T259 + U259, 2)</f>
        <v/>
      </c>
      <c r="W259" s="23">
        <f>Saldo_Residual_Activo!L259</f>
        <v/>
      </c>
      <c r="X259" s="23">
        <f>ROUND(V259 + W259, 2)</f>
        <v/>
      </c>
      <c r="Y259" s="23">
        <f>Saldos_Capital_Mensual!M259</f>
        <v/>
      </c>
      <c r="Z259" s="23">
        <f>Saldos_Intereses_Mensual!M259</f>
        <v/>
      </c>
      <c r="AA259" s="23">
        <f>ROUND(Y259 + Z259, 2)</f>
        <v/>
      </c>
      <c r="AB259" s="23">
        <f>Saldo_Residual_Activo!M259</f>
        <v/>
      </c>
      <c r="AC259" s="23">
        <f>ROUND(AA259 + AB259, 2)</f>
        <v/>
      </c>
      <c r="AD259" s="23">
        <f>Saldos_Capital_Mensual!N259</f>
        <v/>
      </c>
      <c r="AE259" s="23">
        <f>Saldos_Intereses_Mensual!N259</f>
        <v/>
      </c>
      <c r="AF259" s="23">
        <f>ROUND(AD259 + AE259, 2)</f>
        <v/>
      </c>
      <c r="AG259" s="23">
        <f>Saldo_Residual_Activo!N259</f>
        <v/>
      </c>
      <c r="AH259" s="23">
        <f>ROUND(AF259 + AG259, 2)</f>
        <v/>
      </c>
      <c r="AI259" s="23">
        <f>Saldos_Capital_Mensual!O259</f>
        <v/>
      </c>
      <c r="AJ259" s="23">
        <f>Saldos_Intereses_Mensual!O259</f>
        <v/>
      </c>
      <c r="AK259" s="23">
        <f>ROUND(AI259 + AJ259, 2)</f>
        <v/>
      </c>
      <c r="AL259" s="23">
        <f>Saldo_Residual_Activo!O259</f>
        <v/>
      </c>
      <c r="AM259" s="23">
        <f>ROUND(AK259 + AL259, 2)</f>
        <v/>
      </c>
      <c r="AN259" s="23">
        <f>Saldos_Capital_Mensual!P259</f>
        <v/>
      </c>
      <c r="AO259" s="23">
        <f>Saldos_Intereses_Mensual!P259</f>
        <v/>
      </c>
      <c r="AP259" s="23">
        <f>ROUND(AN259 + AO259, 2)</f>
        <v/>
      </c>
      <c r="AQ259" s="23">
        <f>Saldo_Residual_Activo!P259</f>
        <v/>
      </c>
      <c r="AR259" s="23">
        <f>ROUND(AP259 + AQ259, 2)</f>
        <v/>
      </c>
      <c r="AS259" s="23">
        <f>Saldos_Capital_Mensual!Q259</f>
        <v/>
      </c>
      <c r="AT259" s="23">
        <f>Saldos_Intereses_Mensual!Q259</f>
        <v/>
      </c>
      <c r="AU259" s="23">
        <f>ROUND(AS259 + AT259, 2)</f>
        <v/>
      </c>
      <c r="AV259" s="23">
        <f>Saldo_Residual_Activo!Q259</f>
        <v/>
      </c>
      <c r="AW259" s="23">
        <f>ROUND(AU259 + AV259, 2)</f>
        <v/>
      </c>
      <c r="AX259" s="23">
        <f>Saldos_Capital_Mensual!R259</f>
        <v/>
      </c>
      <c r="AY259" s="23">
        <f>Saldos_Intereses_Mensual!R259</f>
        <v/>
      </c>
      <c r="AZ259" s="23">
        <f>ROUND(AX259 + AY259, 2)</f>
        <v/>
      </c>
      <c r="BA259" s="23">
        <f>Saldo_Residual_Activo!R259</f>
        <v/>
      </c>
      <c r="BB259" s="23">
        <f>ROUND(AZ259 + BA259, 2)</f>
        <v/>
      </c>
      <c r="BC259" s="23">
        <f>Saldos_Capital_Mensual!S259</f>
        <v/>
      </c>
      <c r="BD259" s="23">
        <f>Saldos_Intereses_Mensual!S259</f>
        <v/>
      </c>
      <c r="BE259" s="23">
        <f>ROUND(BC259 + BD259, 2)</f>
        <v/>
      </c>
      <c r="BF259" s="23">
        <f>Saldo_Residual_Activo!S259</f>
        <v/>
      </c>
      <c r="BG259" s="23">
        <f>ROUND(BE259 + BF259, 2)</f>
        <v/>
      </c>
      <c r="BH259" s="23">
        <f>Saldos_Capital_Mensual!T259</f>
        <v/>
      </c>
      <c r="BI259" s="23">
        <f>Saldos_Intereses_Mensual!T259</f>
        <v/>
      </c>
      <c r="BJ259" s="23">
        <f>ROUND(BH259 + BI259, 2)</f>
        <v/>
      </c>
      <c r="BK259" s="23">
        <f>Saldo_Residual_Activo!T259</f>
        <v/>
      </c>
      <c r="BL259" s="23">
        <f>ROUND(BJ259 + BK259, 2)</f>
        <v/>
      </c>
    </row>
    <row r="260">
      <c r="A260" s="26" t="inlineStr">
        <is>
          <t>0767-0001</t>
        </is>
      </c>
      <c r="B260" s="27" t="inlineStr">
        <is>
          <t>Carlos Alberto Gutiérrez Hermosillo López</t>
        </is>
      </c>
      <c r="C260" s="27" t="inlineStr">
        <is>
          <t>Commander Overland</t>
        </is>
      </c>
      <c r="D260" s="28" t="n">
        <v>48</v>
      </c>
      <c r="E260" s="29">
        <f>Saldos_Capital_Mensual!I260</f>
        <v/>
      </c>
      <c r="F260" s="29">
        <f>Saldos_Intereses_Mensual!I260</f>
        <v/>
      </c>
      <c r="G260" s="29">
        <f>ROUND(E260 + F260, 2)</f>
        <v/>
      </c>
      <c r="H260" s="29">
        <f>Saldo_Residual_Activo!I260</f>
        <v/>
      </c>
      <c r="I260" s="29">
        <f>ROUND(G260 + H260, 2)</f>
        <v/>
      </c>
      <c r="J260" s="29">
        <f>Saldos_Capital_Mensual!J260</f>
        <v/>
      </c>
      <c r="K260" s="29">
        <f>Saldos_Intereses_Mensual!J260</f>
        <v/>
      </c>
      <c r="L260" s="29">
        <f>ROUND(J260 + K260, 2)</f>
        <v/>
      </c>
      <c r="M260" s="29">
        <f>Saldo_Residual_Activo!J260</f>
        <v/>
      </c>
      <c r="N260" s="29">
        <f>ROUND(L260 + M260, 2)</f>
        <v/>
      </c>
      <c r="O260" s="29">
        <f>Saldos_Capital_Mensual!K260</f>
        <v/>
      </c>
      <c r="P260" s="29">
        <f>Saldos_Intereses_Mensual!K260</f>
        <v/>
      </c>
      <c r="Q260" s="29">
        <f>ROUND(O260 + P260, 2)</f>
        <v/>
      </c>
      <c r="R260" s="29">
        <f>Saldo_Residual_Activo!K260</f>
        <v/>
      </c>
      <c r="S260" s="29">
        <f>ROUND(Q260 + R260, 2)</f>
        <v/>
      </c>
      <c r="T260" s="29">
        <f>Saldos_Capital_Mensual!L260</f>
        <v/>
      </c>
      <c r="U260" s="29">
        <f>Saldos_Intereses_Mensual!L260</f>
        <v/>
      </c>
      <c r="V260" s="29">
        <f>ROUND(T260 + U260, 2)</f>
        <v/>
      </c>
      <c r="W260" s="29">
        <f>Saldo_Residual_Activo!L260</f>
        <v/>
      </c>
      <c r="X260" s="29">
        <f>ROUND(V260 + W260, 2)</f>
        <v/>
      </c>
      <c r="Y260" s="29">
        <f>Saldos_Capital_Mensual!M260</f>
        <v/>
      </c>
      <c r="Z260" s="29">
        <f>Saldos_Intereses_Mensual!M260</f>
        <v/>
      </c>
      <c r="AA260" s="29">
        <f>ROUND(Y260 + Z260, 2)</f>
        <v/>
      </c>
      <c r="AB260" s="29">
        <f>Saldo_Residual_Activo!M260</f>
        <v/>
      </c>
      <c r="AC260" s="29">
        <f>ROUND(AA260 + AB260, 2)</f>
        <v/>
      </c>
      <c r="AD260" s="29">
        <f>Saldos_Capital_Mensual!N260</f>
        <v/>
      </c>
      <c r="AE260" s="29">
        <f>Saldos_Intereses_Mensual!N260</f>
        <v/>
      </c>
      <c r="AF260" s="29">
        <f>ROUND(AD260 + AE260, 2)</f>
        <v/>
      </c>
      <c r="AG260" s="29">
        <f>Saldo_Residual_Activo!N260</f>
        <v/>
      </c>
      <c r="AH260" s="29">
        <f>ROUND(AF260 + AG260, 2)</f>
        <v/>
      </c>
      <c r="AI260" s="29">
        <f>Saldos_Capital_Mensual!O260</f>
        <v/>
      </c>
      <c r="AJ260" s="29">
        <f>Saldos_Intereses_Mensual!O260</f>
        <v/>
      </c>
      <c r="AK260" s="29">
        <f>ROUND(AI260 + AJ260, 2)</f>
        <v/>
      </c>
      <c r="AL260" s="29">
        <f>Saldo_Residual_Activo!O260</f>
        <v/>
      </c>
      <c r="AM260" s="29">
        <f>ROUND(AK260 + AL260, 2)</f>
        <v/>
      </c>
      <c r="AN260" s="29">
        <f>Saldos_Capital_Mensual!P260</f>
        <v/>
      </c>
      <c r="AO260" s="29">
        <f>Saldos_Intereses_Mensual!P260</f>
        <v/>
      </c>
      <c r="AP260" s="29">
        <f>ROUND(AN260 + AO260, 2)</f>
        <v/>
      </c>
      <c r="AQ260" s="29">
        <f>Saldo_Residual_Activo!P260</f>
        <v/>
      </c>
      <c r="AR260" s="29">
        <f>ROUND(AP260 + AQ260, 2)</f>
        <v/>
      </c>
      <c r="AS260" s="29">
        <f>Saldos_Capital_Mensual!Q260</f>
        <v/>
      </c>
      <c r="AT260" s="29">
        <f>Saldos_Intereses_Mensual!Q260</f>
        <v/>
      </c>
      <c r="AU260" s="29">
        <f>ROUND(AS260 + AT260, 2)</f>
        <v/>
      </c>
      <c r="AV260" s="29">
        <f>Saldo_Residual_Activo!Q260</f>
        <v/>
      </c>
      <c r="AW260" s="29">
        <f>ROUND(AU260 + AV260, 2)</f>
        <v/>
      </c>
      <c r="AX260" s="29">
        <f>Saldos_Capital_Mensual!R260</f>
        <v/>
      </c>
      <c r="AY260" s="29">
        <f>Saldos_Intereses_Mensual!R260</f>
        <v/>
      </c>
      <c r="AZ260" s="29">
        <f>ROUND(AX260 + AY260, 2)</f>
        <v/>
      </c>
      <c r="BA260" s="29">
        <f>Saldo_Residual_Activo!R260</f>
        <v/>
      </c>
      <c r="BB260" s="29">
        <f>ROUND(AZ260 + BA260, 2)</f>
        <v/>
      </c>
      <c r="BC260" s="29">
        <f>Saldos_Capital_Mensual!S260</f>
        <v/>
      </c>
      <c r="BD260" s="29">
        <f>Saldos_Intereses_Mensual!S260</f>
        <v/>
      </c>
      <c r="BE260" s="29">
        <f>ROUND(BC260 + BD260, 2)</f>
        <v/>
      </c>
      <c r="BF260" s="29">
        <f>Saldo_Residual_Activo!S260</f>
        <v/>
      </c>
      <c r="BG260" s="29">
        <f>ROUND(BE260 + BF260, 2)</f>
        <v/>
      </c>
      <c r="BH260" s="29">
        <f>Saldos_Capital_Mensual!T260</f>
        <v/>
      </c>
      <c r="BI260" s="29">
        <f>Saldos_Intereses_Mensual!T260</f>
        <v/>
      </c>
      <c r="BJ260" s="29">
        <f>ROUND(BH260 + BI260, 2)</f>
        <v/>
      </c>
      <c r="BK260" s="29">
        <f>Saldo_Residual_Activo!T260</f>
        <v/>
      </c>
      <c r="BL260" s="29">
        <f>ROUND(BJ260 + BK260, 2)</f>
        <v/>
      </c>
    </row>
    <row r="261">
      <c r="A261" s="20" t="inlineStr">
        <is>
          <t>0768-0001</t>
        </is>
      </c>
      <c r="B261" s="21" t="inlineStr">
        <is>
          <t>Distribuidora y Comercializadora 2000, S.A. de C.V.</t>
        </is>
      </c>
      <c r="C261" s="21" t="inlineStr">
        <is>
          <t>Manager Furgon L4H2</t>
        </is>
      </c>
      <c r="D261" s="22" t="n">
        <v>12</v>
      </c>
      <c r="E261" s="23">
        <f>Saldos_Capital_Mensual!I261</f>
        <v/>
      </c>
      <c r="F261" s="23">
        <f>Saldos_Intereses_Mensual!I261</f>
        <v/>
      </c>
      <c r="G261" s="23">
        <f>ROUND(E261 + F261, 2)</f>
        <v/>
      </c>
      <c r="H261" s="23">
        <f>Saldo_Residual_Activo!I261</f>
        <v/>
      </c>
      <c r="I261" s="23">
        <f>ROUND(G261 + H261, 2)</f>
        <v/>
      </c>
      <c r="J261" s="23">
        <f>Saldos_Capital_Mensual!J261</f>
        <v/>
      </c>
      <c r="K261" s="23">
        <f>Saldos_Intereses_Mensual!J261</f>
        <v/>
      </c>
      <c r="L261" s="23">
        <f>ROUND(J261 + K261, 2)</f>
        <v/>
      </c>
      <c r="M261" s="23">
        <f>Saldo_Residual_Activo!J261</f>
        <v/>
      </c>
      <c r="N261" s="23">
        <f>ROUND(L261 + M261, 2)</f>
        <v/>
      </c>
      <c r="O261" s="23">
        <f>Saldos_Capital_Mensual!K261</f>
        <v/>
      </c>
      <c r="P261" s="23">
        <f>Saldos_Intereses_Mensual!K261</f>
        <v/>
      </c>
      <c r="Q261" s="23">
        <f>ROUND(O261 + P261, 2)</f>
        <v/>
      </c>
      <c r="R261" s="23">
        <f>Saldo_Residual_Activo!K261</f>
        <v/>
      </c>
      <c r="S261" s="23">
        <f>ROUND(Q261 + R261, 2)</f>
        <v/>
      </c>
      <c r="T261" s="23">
        <f>Saldos_Capital_Mensual!L261</f>
        <v/>
      </c>
      <c r="U261" s="23">
        <f>Saldos_Intereses_Mensual!L261</f>
        <v/>
      </c>
      <c r="V261" s="23">
        <f>ROUND(T261 + U261, 2)</f>
        <v/>
      </c>
      <c r="W261" s="23">
        <f>Saldo_Residual_Activo!L261</f>
        <v/>
      </c>
      <c r="X261" s="23">
        <f>ROUND(V261 + W261, 2)</f>
        <v/>
      </c>
      <c r="Y261" s="23">
        <f>Saldos_Capital_Mensual!M261</f>
        <v/>
      </c>
      <c r="Z261" s="23">
        <f>Saldos_Intereses_Mensual!M261</f>
        <v/>
      </c>
      <c r="AA261" s="23">
        <f>ROUND(Y261 + Z261, 2)</f>
        <v/>
      </c>
      <c r="AB261" s="23">
        <f>Saldo_Residual_Activo!M261</f>
        <v/>
      </c>
      <c r="AC261" s="23">
        <f>ROUND(AA261 + AB261, 2)</f>
        <v/>
      </c>
      <c r="AD261" s="23">
        <f>Saldos_Capital_Mensual!N261</f>
        <v/>
      </c>
      <c r="AE261" s="23">
        <f>Saldos_Intereses_Mensual!N261</f>
        <v/>
      </c>
      <c r="AF261" s="23">
        <f>ROUND(AD261 + AE261, 2)</f>
        <v/>
      </c>
      <c r="AG261" s="23">
        <f>Saldo_Residual_Activo!N261</f>
        <v/>
      </c>
      <c r="AH261" s="23">
        <f>ROUND(AF261 + AG261, 2)</f>
        <v/>
      </c>
      <c r="AI261" s="23">
        <f>Saldos_Capital_Mensual!O261</f>
        <v/>
      </c>
      <c r="AJ261" s="23">
        <f>Saldos_Intereses_Mensual!O261</f>
        <v/>
      </c>
      <c r="AK261" s="23">
        <f>ROUND(AI261 + AJ261, 2)</f>
        <v/>
      </c>
      <c r="AL261" s="23">
        <f>Saldo_Residual_Activo!O261</f>
        <v/>
      </c>
      <c r="AM261" s="23">
        <f>ROUND(AK261 + AL261, 2)</f>
        <v/>
      </c>
      <c r="AN261" s="23">
        <f>Saldos_Capital_Mensual!P261</f>
        <v/>
      </c>
      <c r="AO261" s="23">
        <f>Saldos_Intereses_Mensual!P261</f>
        <v/>
      </c>
      <c r="AP261" s="23">
        <f>ROUND(AN261 + AO261, 2)</f>
        <v/>
      </c>
      <c r="AQ261" s="23">
        <f>Saldo_Residual_Activo!P261</f>
        <v/>
      </c>
      <c r="AR261" s="23">
        <f>ROUND(AP261 + AQ261, 2)</f>
        <v/>
      </c>
      <c r="AS261" s="23">
        <f>Saldos_Capital_Mensual!Q261</f>
        <v/>
      </c>
      <c r="AT261" s="23">
        <f>Saldos_Intereses_Mensual!Q261</f>
        <v/>
      </c>
      <c r="AU261" s="23">
        <f>ROUND(AS261 + AT261, 2)</f>
        <v/>
      </c>
      <c r="AV261" s="23">
        <f>Saldo_Residual_Activo!Q261</f>
        <v/>
      </c>
      <c r="AW261" s="23">
        <f>ROUND(AU261 + AV261, 2)</f>
        <v/>
      </c>
      <c r="AX261" s="23">
        <f>Saldos_Capital_Mensual!R261</f>
        <v/>
      </c>
      <c r="AY261" s="23">
        <f>Saldos_Intereses_Mensual!R261</f>
        <v/>
      </c>
      <c r="AZ261" s="23">
        <f>ROUND(AX261 + AY261, 2)</f>
        <v/>
      </c>
      <c r="BA261" s="23">
        <f>Saldo_Residual_Activo!R261</f>
        <v/>
      </c>
      <c r="BB261" s="23">
        <f>ROUND(AZ261 + BA261, 2)</f>
        <v/>
      </c>
      <c r="BC261" s="23">
        <f>Saldos_Capital_Mensual!S261</f>
        <v/>
      </c>
      <c r="BD261" s="23">
        <f>Saldos_Intereses_Mensual!S261</f>
        <v/>
      </c>
      <c r="BE261" s="23">
        <f>ROUND(BC261 + BD261, 2)</f>
        <v/>
      </c>
      <c r="BF261" s="23">
        <f>Saldo_Residual_Activo!S261</f>
        <v/>
      </c>
      <c r="BG261" s="23">
        <f>ROUND(BE261 + BF261, 2)</f>
        <v/>
      </c>
      <c r="BH261" s="23">
        <f>Saldos_Capital_Mensual!T261</f>
        <v/>
      </c>
      <c r="BI261" s="23">
        <f>Saldos_Intereses_Mensual!T261</f>
        <v/>
      </c>
      <c r="BJ261" s="23">
        <f>ROUND(BH261 + BI261, 2)</f>
        <v/>
      </c>
      <c r="BK261" s="23">
        <f>Saldo_Residual_Activo!T261</f>
        <v/>
      </c>
      <c r="BL261" s="23">
        <f>ROUND(BJ261 + BK261, 2)</f>
        <v/>
      </c>
    </row>
    <row r="262">
      <c r="A262" s="26" t="inlineStr">
        <is>
          <t>0768-0002</t>
        </is>
      </c>
      <c r="B262" s="27" t="inlineStr">
        <is>
          <t>Distribuidora y Comercializadora 2000, S.A. de C.V.</t>
        </is>
      </c>
      <c r="C262" s="27" t="inlineStr">
        <is>
          <t>Manager Furgon L4H2</t>
        </is>
      </c>
      <c r="D262" s="28" t="n">
        <v>12</v>
      </c>
      <c r="E262" s="29">
        <f>Saldos_Capital_Mensual!I262</f>
        <v/>
      </c>
      <c r="F262" s="29">
        <f>Saldos_Intereses_Mensual!I262</f>
        <v/>
      </c>
      <c r="G262" s="29">
        <f>ROUND(E262 + F262, 2)</f>
        <v/>
      </c>
      <c r="H262" s="29">
        <f>Saldo_Residual_Activo!I262</f>
        <v/>
      </c>
      <c r="I262" s="29">
        <f>ROUND(G262 + H262, 2)</f>
        <v/>
      </c>
      <c r="J262" s="29">
        <f>Saldos_Capital_Mensual!J262</f>
        <v/>
      </c>
      <c r="K262" s="29">
        <f>Saldos_Intereses_Mensual!J262</f>
        <v/>
      </c>
      <c r="L262" s="29">
        <f>ROUND(J262 + K262, 2)</f>
        <v/>
      </c>
      <c r="M262" s="29">
        <f>Saldo_Residual_Activo!J262</f>
        <v/>
      </c>
      <c r="N262" s="29">
        <f>ROUND(L262 + M262, 2)</f>
        <v/>
      </c>
      <c r="O262" s="29">
        <f>Saldos_Capital_Mensual!K262</f>
        <v/>
      </c>
      <c r="P262" s="29">
        <f>Saldos_Intereses_Mensual!K262</f>
        <v/>
      </c>
      <c r="Q262" s="29">
        <f>ROUND(O262 + P262, 2)</f>
        <v/>
      </c>
      <c r="R262" s="29">
        <f>Saldo_Residual_Activo!K262</f>
        <v/>
      </c>
      <c r="S262" s="29">
        <f>ROUND(Q262 + R262, 2)</f>
        <v/>
      </c>
      <c r="T262" s="29">
        <f>Saldos_Capital_Mensual!L262</f>
        <v/>
      </c>
      <c r="U262" s="29">
        <f>Saldos_Intereses_Mensual!L262</f>
        <v/>
      </c>
      <c r="V262" s="29">
        <f>ROUND(T262 + U262, 2)</f>
        <v/>
      </c>
      <c r="W262" s="29">
        <f>Saldo_Residual_Activo!L262</f>
        <v/>
      </c>
      <c r="X262" s="29">
        <f>ROUND(V262 + W262, 2)</f>
        <v/>
      </c>
      <c r="Y262" s="29">
        <f>Saldos_Capital_Mensual!M262</f>
        <v/>
      </c>
      <c r="Z262" s="29">
        <f>Saldos_Intereses_Mensual!M262</f>
        <v/>
      </c>
      <c r="AA262" s="29">
        <f>ROUND(Y262 + Z262, 2)</f>
        <v/>
      </c>
      <c r="AB262" s="29">
        <f>Saldo_Residual_Activo!M262</f>
        <v/>
      </c>
      <c r="AC262" s="29">
        <f>ROUND(AA262 + AB262, 2)</f>
        <v/>
      </c>
      <c r="AD262" s="29">
        <f>Saldos_Capital_Mensual!N262</f>
        <v/>
      </c>
      <c r="AE262" s="29">
        <f>Saldos_Intereses_Mensual!N262</f>
        <v/>
      </c>
      <c r="AF262" s="29">
        <f>ROUND(AD262 + AE262, 2)</f>
        <v/>
      </c>
      <c r="AG262" s="29">
        <f>Saldo_Residual_Activo!N262</f>
        <v/>
      </c>
      <c r="AH262" s="29">
        <f>ROUND(AF262 + AG262, 2)</f>
        <v/>
      </c>
      <c r="AI262" s="29">
        <f>Saldos_Capital_Mensual!O262</f>
        <v/>
      </c>
      <c r="AJ262" s="29">
        <f>Saldos_Intereses_Mensual!O262</f>
        <v/>
      </c>
      <c r="AK262" s="29">
        <f>ROUND(AI262 + AJ262, 2)</f>
        <v/>
      </c>
      <c r="AL262" s="29">
        <f>Saldo_Residual_Activo!O262</f>
        <v/>
      </c>
      <c r="AM262" s="29">
        <f>ROUND(AK262 + AL262, 2)</f>
        <v/>
      </c>
      <c r="AN262" s="29">
        <f>Saldos_Capital_Mensual!P262</f>
        <v/>
      </c>
      <c r="AO262" s="29">
        <f>Saldos_Intereses_Mensual!P262</f>
        <v/>
      </c>
      <c r="AP262" s="29">
        <f>ROUND(AN262 + AO262, 2)</f>
        <v/>
      </c>
      <c r="AQ262" s="29">
        <f>Saldo_Residual_Activo!P262</f>
        <v/>
      </c>
      <c r="AR262" s="29">
        <f>ROUND(AP262 + AQ262, 2)</f>
        <v/>
      </c>
      <c r="AS262" s="29">
        <f>Saldos_Capital_Mensual!Q262</f>
        <v/>
      </c>
      <c r="AT262" s="29">
        <f>Saldos_Intereses_Mensual!Q262</f>
        <v/>
      </c>
      <c r="AU262" s="29">
        <f>ROUND(AS262 + AT262, 2)</f>
        <v/>
      </c>
      <c r="AV262" s="29">
        <f>Saldo_Residual_Activo!Q262</f>
        <v/>
      </c>
      <c r="AW262" s="29">
        <f>ROUND(AU262 + AV262, 2)</f>
        <v/>
      </c>
      <c r="AX262" s="29">
        <f>Saldos_Capital_Mensual!R262</f>
        <v/>
      </c>
      <c r="AY262" s="29">
        <f>Saldos_Intereses_Mensual!R262</f>
        <v/>
      </c>
      <c r="AZ262" s="29">
        <f>ROUND(AX262 + AY262, 2)</f>
        <v/>
      </c>
      <c r="BA262" s="29">
        <f>Saldo_Residual_Activo!R262</f>
        <v/>
      </c>
      <c r="BB262" s="29">
        <f>ROUND(AZ262 + BA262, 2)</f>
        <v/>
      </c>
      <c r="BC262" s="29">
        <f>Saldos_Capital_Mensual!S262</f>
        <v/>
      </c>
      <c r="BD262" s="29">
        <f>Saldos_Intereses_Mensual!S262</f>
        <v/>
      </c>
      <c r="BE262" s="29">
        <f>ROUND(BC262 + BD262, 2)</f>
        <v/>
      </c>
      <c r="BF262" s="29">
        <f>Saldo_Residual_Activo!S262</f>
        <v/>
      </c>
      <c r="BG262" s="29">
        <f>ROUND(BE262 + BF262, 2)</f>
        <v/>
      </c>
      <c r="BH262" s="29">
        <f>Saldos_Capital_Mensual!T262</f>
        <v/>
      </c>
      <c r="BI262" s="29">
        <f>Saldos_Intereses_Mensual!T262</f>
        <v/>
      </c>
      <c r="BJ262" s="29">
        <f>ROUND(BH262 + BI262, 2)</f>
        <v/>
      </c>
      <c r="BK262" s="29">
        <f>Saldo_Residual_Activo!T262</f>
        <v/>
      </c>
      <c r="BL262" s="29">
        <f>ROUND(BJ262 + BK262, 2)</f>
        <v/>
      </c>
    </row>
    <row r="263">
      <c r="A263" s="20" t="inlineStr">
        <is>
          <t>0769-0001</t>
        </is>
      </c>
      <c r="B263" s="21" t="inlineStr">
        <is>
          <t>Paloma Bernhardt Partida</t>
        </is>
      </c>
      <c r="C263" s="21" t="inlineStr">
        <is>
          <t>700 TRADESMAN CREW CAB</t>
        </is>
      </c>
      <c r="D263" s="22" t="n">
        <v>36</v>
      </c>
      <c r="E263" s="23">
        <f>Saldos_Capital_Mensual!I263</f>
        <v/>
      </c>
      <c r="F263" s="23">
        <f>Saldos_Intereses_Mensual!I263</f>
        <v/>
      </c>
      <c r="G263" s="23">
        <f>ROUND(E263 + F263, 2)</f>
        <v/>
      </c>
      <c r="H263" s="23">
        <f>Saldo_Residual_Activo!I263</f>
        <v/>
      </c>
      <c r="I263" s="23">
        <f>ROUND(G263 + H263, 2)</f>
        <v/>
      </c>
      <c r="J263" s="23">
        <f>Saldos_Capital_Mensual!J263</f>
        <v/>
      </c>
      <c r="K263" s="23">
        <f>Saldos_Intereses_Mensual!J263</f>
        <v/>
      </c>
      <c r="L263" s="23">
        <f>ROUND(J263 + K263, 2)</f>
        <v/>
      </c>
      <c r="M263" s="23">
        <f>Saldo_Residual_Activo!J263</f>
        <v/>
      </c>
      <c r="N263" s="23">
        <f>ROUND(L263 + M263, 2)</f>
        <v/>
      </c>
      <c r="O263" s="23">
        <f>Saldos_Capital_Mensual!K263</f>
        <v/>
      </c>
      <c r="P263" s="23">
        <f>Saldos_Intereses_Mensual!K263</f>
        <v/>
      </c>
      <c r="Q263" s="23">
        <f>ROUND(O263 + P263, 2)</f>
        <v/>
      </c>
      <c r="R263" s="23">
        <f>Saldo_Residual_Activo!K263</f>
        <v/>
      </c>
      <c r="S263" s="23">
        <f>ROUND(Q263 + R263, 2)</f>
        <v/>
      </c>
      <c r="T263" s="23">
        <f>Saldos_Capital_Mensual!L263</f>
        <v/>
      </c>
      <c r="U263" s="23">
        <f>Saldos_Intereses_Mensual!L263</f>
        <v/>
      </c>
      <c r="V263" s="23">
        <f>ROUND(T263 + U263, 2)</f>
        <v/>
      </c>
      <c r="W263" s="23">
        <f>Saldo_Residual_Activo!L263</f>
        <v/>
      </c>
      <c r="X263" s="23">
        <f>ROUND(V263 + W263, 2)</f>
        <v/>
      </c>
      <c r="Y263" s="23">
        <f>Saldos_Capital_Mensual!M263</f>
        <v/>
      </c>
      <c r="Z263" s="23">
        <f>Saldos_Intereses_Mensual!M263</f>
        <v/>
      </c>
      <c r="AA263" s="23">
        <f>ROUND(Y263 + Z263, 2)</f>
        <v/>
      </c>
      <c r="AB263" s="23">
        <f>Saldo_Residual_Activo!M263</f>
        <v/>
      </c>
      <c r="AC263" s="23">
        <f>ROUND(AA263 + AB263, 2)</f>
        <v/>
      </c>
      <c r="AD263" s="23">
        <f>Saldos_Capital_Mensual!N263</f>
        <v/>
      </c>
      <c r="AE263" s="23">
        <f>Saldos_Intereses_Mensual!N263</f>
        <v/>
      </c>
      <c r="AF263" s="23">
        <f>ROUND(AD263 + AE263, 2)</f>
        <v/>
      </c>
      <c r="AG263" s="23">
        <f>Saldo_Residual_Activo!N263</f>
        <v/>
      </c>
      <c r="AH263" s="23">
        <f>ROUND(AF263 + AG263, 2)</f>
        <v/>
      </c>
      <c r="AI263" s="23">
        <f>Saldos_Capital_Mensual!O263</f>
        <v/>
      </c>
      <c r="AJ263" s="23">
        <f>Saldos_Intereses_Mensual!O263</f>
        <v/>
      </c>
      <c r="AK263" s="23">
        <f>ROUND(AI263 + AJ263, 2)</f>
        <v/>
      </c>
      <c r="AL263" s="23">
        <f>Saldo_Residual_Activo!O263</f>
        <v/>
      </c>
      <c r="AM263" s="23">
        <f>ROUND(AK263 + AL263, 2)</f>
        <v/>
      </c>
      <c r="AN263" s="23">
        <f>Saldos_Capital_Mensual!P263</f>
        <v/>
      </c>
      <c r="AO263" s="23">
        <f>Saldos_Intereses_Mensual!P263</f>
        <v/>
      </c>
      <c r="AP263" s="23">
        <f>ROUND(AN263 + AO263, 2)</f>
        <v/>
      </c>
      <c r="AQ263" s="23">
        <f>Saldo_Residual_Activo!P263</f>
        <v/>
      </c>
      <c r="AR263" s="23">
        <f>ROUND(AP263 + AQ263, 2)</f>
        <v/>
      </c>
      <c r="AS263" s="23">
        <f>Saldos_Capital_Mensual!Q263</f>
        <v/>
      </c>
      <c r="AT263" s="23">
        <f>Saldos_Intereses_Mensual!Q263</f>
        <v/>
      </c>
      <c r="AU263" s="23">
        <f>ROUND(AS263 + AT263, 2)</f>
        <v/>
      </c>
      <c r="AV263" s="23">
        <f>Saldo_Residual_Activo!Q263</f>
        <v/>
      </c>
      <c r="AW263" s="23">
        <f>ROUND(AU263 + AV263, 2)</f>
        <v/>
      </c>
      <c r="AX263" s="23">
        <f>Saldos_Capital_Mensual!R263</f>
        <v/>
      </c>
      <c r="AY263" s="23">
        <f>Saldos_Intereses_Mensual!R263</f>
        <v/>
      </c>
      <c r="AZ263" s="23">
        <f>ROUND(AX263 + AY263, 2)</f>
        <v/>
      </c>
      <c r="BA263" s="23">
        <f>Saldo_Residual_Activo!R263</f>
        <v/>
      </c>
      <c r="BB263" s="23">
        <f>ROUND(AZ263 + BA263, 2)</f>
        <v/>
      </c>
      <c r="BC263" s="23">
        <f>Saldos_Capital_Mensual!S263</f>
        <v/>
      </c>
      <c r="BD263" s="23">
        <f>Saldos_Intereses_Mensual!S263</f>
        <v/>
      </c>
      <c r="BE263" s="23">
        <f>ROUND(BC263 + BD263, 2)</f>
        <v/>
      </c>
      <c r="BF263" s="23">
        <f>Saldo_Residual_Activo!S263</f>
        <v/>
      </c>
      <c r="BG263" s="23">
        <f>ROUND(BE263 + BF263, 2)</f>
        <v/>
      </c>
      <c r="BH263" s="23">
        <f>Saldos_Capital_Mensual!T263</f>
        <v/>
      </c>
      <c r="BI263" s="23">
        <f>Saldos_Intereses_Mensual!T263</f>
        <v/>
      </c>
      <c r="BJ263" s="23">
        <f>ROUND(BH263 + BI263, 2)</f>
        <v/>
      </c>
      <c r="BK263" s="23">
        <f>Saldo_Residual_Activo!T263</f>
        <v/>
      </c>
      <c r="BL263" s="23">
        <f>ROUND(BJ263 + BK263, 2)</f>
        <v/>
      </c>
    </row>
    <row r="264">
      <c r="A264" s="26" t="inlineStr">
        <is>
          <t>0769-0002</t>
        </is>
      </c>
      <c r="B264" s="27" t="inlineStr">
        <is>
          <t>Paloma Bernhardt Partida</t>
        </is>
      </c>
      <c r="C264" s="27" t="inlineStr">
        <is>
          <t>Ram 700 Tradesman 2026</t>
        </is>
      </c>
      <c r="D264" s="28" t="n">
        <v>36</v>
      </c>
      <c r="E264" s="29">
        <f>Saldos_Capital_Mensual!I264</f>
        <v/>
      </c>
      <c r="F264" s="29">
        <f>Saldos_Intereses_Mensual!I264</f>
        <v/>
      </c>
      <c r="G264" s="29">
        <f>ROUND(E264 + F264, 2)</f>
        <v/>
      </c>
      <c r="H264" s="29">
        <f>Saldo_Residual_Activo!I264</f>
        <v/>
      </c>
      <c r="I264" s="29">
        <f>ROUND(G264 + H264, 2)</f>
        <v/>
      </c>
      <c r="J264" s="29">
        <f>Saldos_Capital_Mensual!J264</f>
        <v/>
      </c>
      <c r="K264" s="29">
        <f>Saldos_Intereses_Mensual!J264</f>
        <v/>
      </c>
      <c r="L264" s="29">
        <f>ROUND(J264 + K264, 2)</f>
        <v/>
      </c>
      <c r="M264" s="29">
        <f>Saldo_Residual_Activo!J264</f>
        <v/>
      </c>
      <c r="N264" s="29">
        <f>ROUND(L264 + M264, 2)</f>
        <v/>
      </c>
      <c r="O264" s="29">
        <f>Saldos_Capital_Mensual!K264</f>
        <v/>
      </c>
      <c r="P264" s="29">
        <f>Saldos_Intereses_Mensual!K264</f>
        <v/>
      </c>
      <c r="Q264" s="29">
        <f>ROUND(O264 + P264, 2)</f>
        <v/>
      </c>
      <c r="R264" s="29">
        <f>Saldo_Residual_Activo!K264</f>
        <v/>
      </c>
      <c r="S264" s="29">
        <f>ROUND(Q264 + R264, 2)</f>
        <v/>
      </c>
      <c r="T264" s="29">
        <f>Saldos_Capital_Mensual!L264</f>
        <v/>
      </c>
      <c r="U264" s="29">
        <f>Saldos_Intereses_Mensual!L264</f>
        <v/>
      </c>
      <c r="V264" s="29">
        <f>ROUND(T264 + U264, 2)</f>
        <v/>
      </c>
      <c r="W264" s="29">
        <f>Saldo_Residual_Activo!L264</f>
        <v/>
      </c>
      <c r="X264" s="29">
        <f>ROUND(V264 + W264, 2)</f>
        <v/>
      </c>
      <c r="Y264" s="29">
        <f>Saldos_Capital_Mensual!M264</f>
        <v/>
      </c>
      <c r="Z264" s="29">
        <f>Saldos_Intereses_Mensual!M264</f>
        <v/>
      </c>
      <c r="AA264" s="29">
        <f>ROUND(Y264 + Z264, 2)</f>
        <v/>
      </c>
      <c r="AB264" s="29">
        <f>Saldo_Residual_Activo!M264</f>
        <v/>
      </c>
      <c r="AC264" s="29">
        <f>ROUND(AA264 + AB264, 2)</f>
        <v/>
      </c>
      <c r="AD264" s="29">
        <f>Saldos_Capital_Mensual!N264</f>
        <v/>
      </c>
      <c r="AE264" s="29">
        <f>Saldos_Intereses_Mensual!N264</f>
        <v/>
      </c>
      <c r="AF264" s="29">
        <f>ROUND(AD264 + AE264, 2)</f>
        <v/>
      </c>
      <c r="AG264" s="29">
        <f>Saldo_Residual_Activo!N264</f>
        <v/>
      </c>
      <c r="AH264" s="29">
        <f>ROUND(AF264 + AG264, 2)</f>
        <v/>
      </c>
      <c r="AI264" s="29">
        <f>Saldos_Capital_Mensual!O264</f>
        <v/>
      </c>
      <c r="AJ264" s="29">
        <f>Saldos_Intereses_Mensual!O264</f>
        <v/>
      </c>
      <c r="AK264" s="29">
        <f>ROUND(AI264 + AJ264, 2)</f>
        <v/>
      </c>
      <c r="AL264" s="29">
        <f>Saldo_Residual_Activo!O264</f>
        <v/>
      </c>
      <c r="AM264" s="29">
        <f>ROUND(AK264 + AL264, 2)</f>
        <v/>
      </c>
      <c r="AN264" s="29">
        <f>Saldos_Capital_Mensual!P264</f>
        <v/>
      </c>
      <c r="AO264" s="29">
        <f>Saldos_Intereses_Mensual!P264</f>
        <v/>
      </c>
      <c r="AP264" s="29">
        <f>ROUND(AN264 + AO264, 2)</f>
        <v/>
      </c>
      <c r="AQ264" s="29">
        <f>Saldo_Residual_Activo!P264</f>
        <v/>
      </c>
      <c r="AR264" s="29">
        <f>ROUND(AP264 + AQ264, 2)</f>
        <v/>
      </c>
      <c r="AS264" s="29">
        <f>Saldos_Capital_Mensual!Q264</f>
        <v/>
      </c>
      <c r="AT264" s="29">
        <f>Saldos_Intereses_Mensual!Q264</f>
        <v/>
      </c>
      <c r="AU264" s="29">
        <f>ROUND(AS264 + AT264, 2)</f>
        <v/>
      </c>
      <c r="AV264" s="29">
        <f>Saldo_Residual_Activo!Q264</f>
        <v/>
      </c>
      <c r="AW264" s="29">
        <f>ROUND(AU264 + AV264, 2)</f>
        <v/>
      </c>
      <c r="AX264" s="29">
        <f>Saldos_Capital_Mensual!R264</f>
        <v/>
      </c>
      <c r="AY264" s="29">
        <f>Saldos_Intereses_Mensual!R264</f>
        <v/>
      </c>
      <c r="AZ264" s="29">
        <f>ROUND(AX264 + AY264, 2)</f>
        <v/>
      </c>
      <c r="BA264" s="29">
        <f>Saldo_Residual_Activo!R264</f>
        <v/>
      </c>
      <c r="BB264" s="29">
        <f>ROUND(AZ264 + BA264, 2)</f>
        <v/>
      </c>
      <c r="BC264" s="29">
        <f>Saldos_Capital_Mensual!S264</f>
        <v/>
      </c>
      <c r="BD264" s="29">
        <f>Saldos_Intereses_Mensual!S264</f>
        <v/>
      </c>
      <c r="BE264" s="29">
        <f>ROUND(BC264 + BD264, 2)</f>
        <v/>
      </c>
      <c r="BF264" s="29">
        <f>Saldo_Residual_Activo!S264</f>
        <v/>
      </c>
      <c r="BG264" s="29">
        <f>ROUND(BE264 + BF264, 2)</f>
        <v/>
      </c>
      <c r="BH264" s="29">
        <f>Saldos_Capital_Mensual!T264</f>
        <v/>
      </c>
      <c r="BI264" s="29">
        <f>Saldos_Intereses_Mensual!T264</f>
        <v/>
      </c>
      <c r="BJ264" s="29">
        <f>ROUND(BH264 + BI264, 2)</f>
        <v/>
      </c>
      <c r="BK264" s="29">
        <f>Saldo_Residual_Activo!T264</f>
        <v/>
      </c>
      <c r="BL264" s="29">
        <f>ROUND(BJ264 + BK264, 2)</f>
        <v/>
      </c>
    </row>
    <row r="265">
      <c r="A265" s="20" t="inlineStr">
        <is>
          <t>0770-0001</t>
        </is>
      </c>
      <c r="B265" s="21" t="inlineStr">
        <is>
          <t>Jorge Octavio Micher Camarena</t>
        </is>
      </c>
      <c r="C265" s="21" t="inlineStr">
        <is>
          <t>Jeep Cherokee Overland 2026</t>
        </is>
      </c>
      <c r="D265" s="22" t="n">
        <v>36</v>
      </c>
      <c r="E265" s="23">
        <f>Saldos_Capital_Mensual!I265</f>
        <v/>
      </c>
      <c r="F265" s="23">
        <f>Saldos_Intereses_Mensual!I265</f>
        <v/>
      </c>
      <c r="G265" s="23">
        <f>ROUND(E265 + F265, 2)</f>
        <v/>
      </c>
      <c r="H265" s="23">
        <f>Saldo_Residual_Activo!I265</f>
        <v/>
      </c>
      <c r="I265" s="23">
        <f>ROUND(G265 + H265, 2)</f>
        <v/>
      </c>
      <c r="J265" s="23">
        <f>Saldos_Capital_Mensual!J265</f>
        <v/>
      </c>
      <c r="K265" s="23">
        <f>Saldos_Intereses_Mensual!J265</f>
        <v/>
      </c>
      <c r="L265" s="23">
        <f>ROUND(J265 + K265, 2)</f>
        <v/>
      </c>
      <c r="M265" s="23">
        <f>Saldo_Residual_Activo!J265</f>
        <v/>
      </c>
      <c r="N265" s="23">
        <f>ROUND(L265 + M265, 2)</f>
        <v/>
      </c>
      <c r="O265" s="23">
        <f>Saldos_Capital_Mensual!K265</f>
        <v/>
      </c>
      <c r="P265" s="23">
        <f>Saldos_Intereses_Mensual!K265</f>
        <v/>
      </c>
      <c r="Q265" s="23">
        <f>ROUND(O265 + P265, 2)</f>
        <v/>
      </c>
      <c r="R265" s="23">
        <f>Saldo_Residual_Activo!K265</f>
        <v/>
      </c>
      <c r="S265" s="23">
        <f>ROUND(Q265 + R265, 2)</f>
        <v/>
      </c>
      <c r="T265" s="23">
        <f>Saldos_Capital_Mensual!L265</f>
        <v/>
      </c>
      <c r="U265" s="23">
        <f>Saldos_Intereses_Mensual!L265</f>
        <v/>
      </c>
      <c r="V265" s="23">
        <f>ROUND(T265 + U265, 2)</f>
        <v/>
      </c>
      <c r="W265" s="23">
        <f>Saldo_Residual_Activo!L265</f>
        <v/>
      </c>
      <c r="X265" s="23">
        <f>ROUND(V265 + W265, 2)</f>
        <v/>
      </c>
      <c r="Y265" s="23">
        <f>Saldos_Capital_Mensual!M265</f>
        <v/>
      </c>
      <c r="Z265" s="23">
        <f>Saldos_Intereses_Mensual!M265</f>
        <v/>
      </c>
      <c r="AA265" s="23">
        <f>ROUND(Y265 + Z265, 2)</f>
        <v/>
      </c>
      <c r="AB265" s="23">
        <f>Saldo_Residual_Activo!M265</f>
        <v/>
      </c>
      <c r="AC265" s="23">
        <f>ROUND(AA265 + AB265, 2)</f>
        <v/>
      </c>
      <c r="AD265" s="23">
        <f>Saldos_Capital_Mensual!N265</f>
        <v/>
      </c>
      <c r="AE265" s="23">
        <f>Saldos_Intereses_Mensual!N265</f>
        <v/>
      </c>
      <c r="AF265" s="23">
        <f>ROUND(AD265 + AE265, 2)</f>
        <v/>
      </c>
      <c r="AG265" s="23">
        <f>Saldo_Residual_Activo!N265</f>
        <v/>
      </c>
      <c r="AH265" s="23">
        <f>ROUND(AF265 + AG265, 2)</f>
        <v/>
      </c>
      <c r="AI265" s="23">
        <f>Saldos_Capital_Mensual!O265</f>
        <v/>
      </c>
      <c r="AJ265" s="23">
        <f>Saldos_Intereses_Mensual!O265</f>
        <v/>
      </c>
      <c r="AK265" s="23">
        <f>ROUND(AI265 + AJ265, 2)</f>
        <v/>
      </c>
      <c r="AL265" s="23">
        <f>Saldo_Residual_Activo!O265</f>
        <v/>
      </c>
      <c r="AM265" s="23">
        <f>ROUND(AK265 + AL265, 2)</f>
        <v/>
      </c>
      <c r="AN265" s="23">
        <f>Saldos_Capital_Mensual!P265</f>
        <v/>
      </c>
      <c r="AO265" s="23">
        <f>Saldos_Intereses_Mensual!P265</f>
        <v/>
      </c>
      <c r="AP265" s="23">
        <f>ROUND(AN265 + AO265, 2)</f>
        <v/>
      </c>
      <c r="AQ265" s="23">
        <f>Saldo_Residual_Activo!P265</f>
        <v/>
      </c>
      <c r="AR265" s="23">
        <f>ROUND(AP265 + AQ265, 2)</f>
        <v/>
      </c>
      <c r="AS265" s="23">
        <f>Saldos_Capital_Mensual!Q265</f>
        <v/>
      </c>
      <c r="AT265" s="23">
        <f>Saldos_Intereses_Mensual!Q265</f>
        <v/>
      </c>
      <c r="AU265" s="23">
        <f>ROUND(AS265 + AT265, 2)</f>
        <v/>
      </c>
      <c r="AV265" s="23">
        <f>Saldo_Residual_Activo!Q265</f>
        <v/>
      </c>
      <c r="AW265" s="23">
        <f>ROUND(AU265 + AV265, 2)</f>
        <v/>
      </c>
      <c r="AX265" s="23">
        <f>Saldos_Capital_Mensual!R265</f>
        <v/>
      </c>
      <c r="AY265" s="23">
        <f>Saldos_Intereses_Mensual!R265</f>
        <v/>
      </c>
      <c r="AZ265" s="23">
        <f>ROUND(AX265 + AY265, 2)</f>
        <v/>
      </c>
      <c r="BA265" s="23">
        <f>Saldo_Residual_Activo!R265</f>
        <v/>
      </c>
      <c r="BB265" s="23">
        <f>ROUND(AZ265 + BA265, 2)</f>
        <v/>
      </c>
      <c r="BC265" s="23">
        <f>Saldos_Capital_Mensual!S265</f>
        <v/>
      </c>
      <c r="BD265" s="23">
        <f>Saldos_Intereses_Mensual!S265</f>
        <v/>
      </c>
      <c r="BE265" s="23">
        <f>ROUND(BC265 + BD265, 2)</f>
        <v/>
      </c>
      <c r="BF265" s="23">
        <f>Saldo_Residual_Activo!S265</f>
        <v/>
      </c>
      <c r="BG265" s="23">
        <f>ROUND(BE265 + BF265, 2)</f>
        <v/>
      </c>
      <c r="BH265" s="23">
        <f>Saldos_Capital_Mensual!T265</f>
        <v/>
      </c>
      <c r="BI265" s="23">
        <f>Saldos_Intereses_Mensual!T265</f>
        <v/>
      </c>
      <c r="BJ265" s="23">
        <f>ROUND(BH265 + BI265, 2)</f>
        <v/>
      </c>
      <c r="BK265" s="23">
        <f>Saldo_Residual_Activo!T265</f>
        <v/>
      </c>
      <c r="BL265" s="23">
        <f>ROUND(BJ265 + BK265, 2)</f>
        <v/>
      </c>
    </row>
    <row r="266">
      <c r="A266" s="26" t="inlineStr">
        <is>
          <t>0771-0001</t>
        </is>
      </c>
      <c r="B266" s="27" t="inlineStr">
        <is>
          <t>Inbcom de Colima</t>
        </is>
      </c>
      <c r="C266" s="27" t="inlineStr">
        <is>
          <t>Ram 1200 Tradesman CC 2026</t>
        </is>
      </c>
      <c r="D266" s="28" t="n">
        <v>12</v>
      </c>
      <c r="E266" s="29">
        <f>Saldos_Capital_Mensual!I266</f>
        <v/>
      </c>
      <c r="F266" s="29">
        <f>Saldos_Intereses_Mensual!I266</f>
        <v/>
      </c>
      <c r="G266" s="29">
        <f>ROUND(E266 + F266, 2)</f>
        <v/>
      </c>
      <c r="H266" s="29">
        <f>Saldo_Residual_Activo!I266</f>
        <v/>
      </c>
      <c r="I266" s="29">
        <f>ROUND(G266 + H266, 2)</f>
        <v/>
      </c>
      <c r="J266" s="29">
        <f>Saldos_Capital_Mensual!J266</f>
        <v/>
      </c>
      <c r="K266" s="29">
        <f>Saldos_Intereses_Mensual!J266</f>
        <v/>
      </c>
      <c r="L266" s="29">
        <f>ROUND(J266 + K266, 2)</f>
        <v/>
      </c>
      <c r="M266" s="29">
        <f>Saldo_Residual_Activo!J266</f>
        <v/>
      </c>
      <c r="N266" s="29">
        <f>ROUND(L266 + M266, 2)</f>
        <v/>
      </c>
      <c r="O266" s="29">
        <f>Saldos_Capital_Mensual!K266</f>
        <v/>
      </c>
      <c r="P266" s="29">
        <f>Saldos_Intereses_Mensual!K266</f>
        <v/>
      </c>
      <c r="Q266" s="29">
        <f>ROUND(O266 + P266, 2)</f>
        <v/>
      </c>
      <c r="R266" s="29">
        <f>Saldo_Residual_Activo!K266</f>
        <v/>
      </c>
      <c r="S266" s="29">
        <f>ROUND(Q266 + R266, 2)</f>
        <v/>
      </c>
      <c r="T266" s="29">
        <f>Saldos_Capital_Mensual!L266</f>
        <v/>
      </c>
      <c r="U266" s="29">
        <f>Saldos_Intereses_Mensual!L266</f>
        <v/>
      </c>
      <c r="V266" s="29">
        <f>ROUND(T266 + U266, 2)</f>
        <v/>
      </c>
      <c r="W266" s="29">
        <f>Saldo_Residual_Activo!L266</f>
        <v/>
      </c>
      <c r="X266" s="29">
        <f>ROUND(V266 + W266, 2)</f>
        <v/>
      </c>
      <c r="Y266" s="29">
        <f>Saldos_Capital_Mensual!M266</f>
        <v/>
      </c>
      <c r="Z266" s="29">
        <f>Saldos_Intereses_Mensual!M266</f>
        <v/>
      </c>
      <c r="AA266" s="29">
        <f>ROUND(Y266 + Z266, 2)</f>
        <v/>
      </c>
      <c r="AB266" s="29">
        <f>Saldo_Residual_Activo!M266</f>
        <v/>
      </c>
      <c r="AC266" s="29">
        <f>ROUND(AA266 + AB266, 2)</f>
        <v/>
      </c>
      <c r="AD266" s="29">
        <f>Saldos_Capital_Mensual!N266</f>
        <v/>
      </c>
      <c r="AE266" s="29">
        <f>Saldos_Intereses_Mensual!N266</f>
        <v/>
      </c>
      <c r="AF266" s="29">
        <f>ROUND(AD266 + AE266, 2)</f>
        <v/>
      </c>
      <c r="AG266" s="29">
        <f>Saldo_Residual_Activo!N266</f>
        <v/>
      </c>
      <c r="AH266" s="29">
        <f>ROUND(AF266 + AG266, 2)</f>
        <v/>
      </c>
      <c r="AI266" s="29">
        <f>Saldos_Capital_Mensual!O266</f>
        <v/>
      </c>
      <c r="AJ266" s="29">
        <f>Saldos_Intereses_Mensual!O266</f>
        <v/>
      </c>
      <c r="AK266" s="29">
        <f>ROUND(AI266 + AJ266, 2)</f>
        <v/>
      </c>
      <c r="AL266" s="29">
        <f>Saldo_Residual_Activo!O266</f>
        <v/>
      </c>
      <c r="AM266" s="29">
        <f>ROUND(AK266 + AL266, 2)</f>
        <v/>
      </c>
      <c r="AN266" s="29">
        <f>Saldos_Capital_Mensual!P266</f>
        <v/>
      </c>
      <c r="AO266" s="29">
        <f>Saldos_Intereses_Mensual!P266</f>
        <v/>
      </c>
      <c r="AP266" s="29">
        <f>ROUND(AN266 + AO266, 2)</f>
        <v/>
      </c>
      <c r="AQ266" s="29">
        <f>Saldo_Residual_Activo!P266</f>
        <v/>
      </c>
      <c r="AR266" s="29">
        <f>ROUND(AP266 + AQ266, 2)</f>
        <v/>
      </c>
      <c r="AS266" s="29">
        <f>Saldos_Capital_Mensual!Q266</f>
        <v/>
      </c>
      <c r="AT266" s="29">
        <f>Saldos_Intereses_Mensual!Q266</f>
        <v/>
      </c>
      <c r="AU266" s="29">
        <f>ROUND(AS266 + AT266, 2)</f>
        <v/>
      </c>
      <c r="AV266" s="29">
        <f>Saldo_Residual_Activo!Q266</f>
        <v/>
      </c>
      <c r="AW266" s="29">
        <f>ROUND(AU266 + AV266, 2)</f>
        <v/>
      </c>
      <c r="AX266" s="29">
        <f>Saldos_Capital_Mensual!R266</f>
        <v/>
      </c>
      <c r="AY266" s="29">
        <f>Saldos_Intereses_Mensual!R266</f>
        <v/>
      </c>
      <c r="AZ266" s="29">
        <f>ROUND(AX266 + AY266, 2)</f>
        <v/>
      </c>
      <c r="BA266" s="29">
        <f>Saldo_Residual_Activo!R266</f>
        <v/>
      </c>
      <c r="BB266" s="29">
        <f>ROUND(AZ266 + BA266, 2)</f>
        <v/>
      </c>
      <c r="BC266" s="29">
        <f>Saldos_Capital_Mensual!S266</f>
        <v/>
      </c>
      <c r="BD266" s="29">
        <f>Saldos_Intereses_Mensual!S266</f>
        <v/>
      </c>
      <c r="BE266" s="29">
        <f>ROUND(BC266 + BD266, 2)</f>
        <v/>
      </c>
      <c r="BF266" s="29">
        <f>Saldo_Residual_Activo!S266</f>
        <v/>
      </c>
      <c r="BG266" s="29">
        <f>ROUND(BE266 + BF266, 2)</f>
        <v/>
      </c>
      <c r="BH266" s="29">
        <f>Saldos_Capital_Mensual!T266</f>
        <v/>
      </c>
      <c r="BI266" s="29">
        <f>Saldos_Intereses_Mensual!T266</f>
        <v/>
      </c>
      <c r="BJ266" s="29">
        <f>ROUND(BH266 + BI266, 2)</f>
        <v/>
      </c>
      <c r="BK266" s="29">
        <f>Saldo_Residual_Activo!T266</f>
        <v/>
      </c>
      <c r="BL266" s="29">
        <f>ROUND(BJ266 + BK266, 2)</f>
        <v/>
      </c>
    </row>
    <row r="267">
      <c r="A267" s="20" t="inlineStr">
        <is>
          <t>0772-0001</t>
        </is>
      </c>
      <c r="B267" s="21" t="inlineStr">
        <is>
          <t>Logistica y Transporte de Carga LGT</t>
        </is>
      </c>
      <c r="C267" s="21" t="inlineStr">
        <is>
          <t>Ram 1200 Laramie 2026</t>
        </is>
      </c>
      <c r="D267" s="22" t="n">
        <v>48</v>
      </c>
      <c r="E267" s="23">
        <f>Saldos_Capital_Mensual!I267</f>
        <v/>
      </c>
      <c r="F267" s="23">
        <f>Saldos_Intereses_Mensual!I267</f>
        <v/>
      </c>
      <c r="G267" s="23">
        <f>ROUND(E267 + F267, 2)</f>
        <v/>
      </c>
      <c r="H267" s="23">
        <f>Saldo_Residual_Activo!I267</f>
        <v/>
      </c>
      <c r="I267" s="23">
        <f>ROUND(G267 + H267, 2)</f>
        <v/>
      </c>
      <c r="J267" s="23">
        <f>Saldos_Capital_Mensual!J267</f>
        <v/>
      </c>
      <c r="K267" s="23">
        <f>Saldos_Intereses_Mensual!J267</f>
        <v/>
      </c>
      <c r="L267" s="23">
        <f>ROUND(J267 + K267, 2)</f>
        <v/>
      </c>
      <c r="M267" s="23">
        <f>Saldo_Residual_Activo!J267</f>
        <v/>
      </c>
      <c r="N267" s="23">
        <f>ROUND(L267 + M267, 2)</f>
        <v/>
      </c>
      <c r="O267" s="23">
        <f>Saldos_Capital_Mensual!K267</f>
        <v/>
      </c>
      <c r="P267" s="23">
        <f>Saldos_Intereses_Mensual!K267</f>
        <v/>
      </c>
      <c r="Q267" s="23">
        <f>ROUND(O267 + P267, 2)</f>
        <v/>
      </c>
      <c r="R267" s="23">
        <f>Saldo_Residual_Activo!K267</f>
        <v/>
      </c>
      <c r="S267" s="23">
        <f>ROUND(Q267 + R267, 2)</f>
        <v/>
      </c>
      <c r="T267" s="23">
        <f>Saldos_Capital_Mensual!L267</f>
        <v/>
      </c>
      <c r="U267" s="23">
        <f>Saldos_Intereses_Mensual!L267</f>
        <v/>
      </c>
      <c r="V267" s="23">
        <f>ROUND(T267 + U267, 2)</f>
        <v/>
      </c>
      <c r="W267" s="23">
        <f>Saldo_Residual_Activo!L267</f>
        <v/>
      </c>
      <c r="X267" s="23">
        <f>ROUND(V267 + W267, 2)</f>
        <v/>
      </c>
      <c r="Y267" s="23">
        <f>Saldos_Capital_Mensual!M267</f>
        <v/>
      </c>
      <c r="Z267" s="23">
        <f>Saldos_Intereses_Mensual!M267</f>
        <v/>
      </c>
      <c r="AA267" s="23">
        <f>ROUND(Y267 + Z267, 2)</f>
        <v/>
      </c>
      <c r="AB267" s="23">
        <f>Saldo_Residual_Activo!M267</f>
        <v/>
      </c>
      <c r="AC267" s="23">
        <f>ROUND(AA267 + AB267, 2)</f>
        <v/>
      </c>
      <c r="AD267" s="23">
        <f>Saldos_Capital_Mensual!N267</f>
        <v/>
      </c>
      <c r="AE267" s="23">
        <f>Saldos_Intereses_Mensual!N267</f>
        <v/>
      </c>
      <c r="AF267" s="23">
        <f>ROUND(AD267 + AE267, 2)</f>
        <v/>
      </c>
      <c r="AG267" s="23">
        <f>Saldo_Residual_Activo!N267</f>
        <v/>
      </c>
      <c r="AH267" s="23">
        <f>ROUND(AF267 + AG267, 2)</f>
        <v/>
      </c>
      <c r="AI267" s="23">
        <f>Saldos_Capital_Mensual!O267</f>
        <v/>
      </c>
      <c r="AJ267" s="23">
        <f>Saldos_Intereses_Mensual!O267</f>
        <v/>
      </c>
      <c r="AK267" s="23">
        <f>ROUND(AI267 + AJ267, 2)</f>
        <v/>
      </c>
      <c r="AL267" s="23">
        <f>Saldo_Residual_Activo!O267</f>
        <v/>
      </c>
      <c r="AM267" s="23">
        <f>ROUND(AK267 + AL267, 2)</f>
        <v/>
      </c>
      <c r="AN267" s="23">
        <f>Saldos_Capital_Mensual!P267</f>
        <v/>
      </c>
      <c r="AO267" s="23">
        <f>Saldos_Intereses_Mensual!P267</f>
        <v/>
      </c>
      <c r="AP267" s="23">
        <f>ROUND(AN267 + AO267, 2)</f>
        <v/>
      </c>
      <c r="AQ267" s="23">
        <f>Saldo_Residual_Activo!P267</f>
        <v/>
      </c>
      <c r="AR267" s="23">
        <f>ROUND(AP267 + AQ267, 2)</f>
        <v/>
      </c>
      <c r="AS267" s="23">
        <f>Saldos_Capital_Mensual!Q267</f>
        <v/>
      </c>
      <c r="AT267" s="23">
        <f>Saldos_Intereses_Mensual!Q267</f>
        <v/>
      </c>
      <c r="AU267" s="23">
        <f>ROUND(AS267 + AT267, 2)</f>
        <v/>
      </c>
      <c r="AV267" s="23">
        <f>Saldo_Residual_Activo!Q267</f>
        <v/>
      </c>
      <c r="AW267" s="23">
        <f>ROUND(AU267 + AV267, 2)</f>
        <v/>
      </c>
      <c r="AX267" s="23">
        <f>Saldos_Capital_Mensual!R267</f>
        <v/>
      </c>
      <c r="AY267" s="23">
        <f>Saldos_Intereses_Mensual!R267</f>
        <v/>
      </c>
      <c r="AZ267" s="23">
        <f>ROUND(AX267 + AY267, 2)</f>
        <v/>
      </c>
      <c r="BA267" s="23">
        <f>Saldo_Residual_Activo!R267</f>
        <v/>
      </c>
      <c r="BB267" s="23">
        <f>ROUND(AZ267 + BA267, 2)</f>
        <v/>
      </c>
      <c r="BC267" s="23">
        <f>Saldos_Capital_Mensual!S267</f>
        <v/>
      </c>
      <c r="BD267" s="23">
        <f>Saldos_Intereses_Mensual!S267</f>
        <v/>
      </c>
      <c r="BE267" s="23">
        <f>ROUND(BC267 + BD267, 2)</f>
        <v/>
      </c>
      <c r="BF267" s="23">
        <f>Saldo_Residual_Activo!S267</f>
        <v/>
      </c>
      <c r="BG267" s="23">
        <f>ROUND(BE267 + BF267, 2)</f>
        <v/>
      </c>
      <c r="BH267" s="23">
        <f>Saldos_Capital_Mensual!T267</f>
        <v/>
      </c>
      <c r="BI267" s="23">
        <f>Saldos_Intereses_Mensual!T267</f>
        <v/>
      </c>
      <c r="BJ267" s="23">
        <f>ROUND(BH267 + BI267, 2)</f>
        <v/>
      </c>
      <c r="BK267" s="23">
        <f>Saldo_Residual_Activo!T267</f>
        <v/>
      </c>
      <c r="BL267" s="23">
        <f>ROUND(BJ267 + BK267, 2)</f>
        <v/>
      </c>
    </row>
    <row r="268">
      <c r="A268" s="26" t="inlineStr">
        <is>
          <t>0773-0001</t>
        </is>
      </c>
      <c r="B268" s="27" t="inlineStr">
        <is>
          <t>Industrias Besthelg, S.A. de C.V.</t>
        </is>
      </c>
      <c r="C268" s="27" t="inlineStr">
        <is>
          <t>Peugeot Manager Furgon L2H2 2026</t>
        </is>
      </c>
      <c r="D268" s="28" t="n">
        <v>36</v>
      </c>
      <c r="E268" s="29">
        <f>Saldos_Capital_Mensual!I268</f>
        <v/>
      </c>
      <c r="F268" s="29">
        <f>Saldos_Intereses_Mensual!I268</f>
        <v/>
      </c>
      <c r="G268" s="29">
        <f>ROUND(E268 + F268, 2)</f>
        <v/>
      </c>
      <c r="H268" s="29">
        <f>Saldo_Residual_Activo!I268</f>
        <v/>
      </c>
      <c r="I268" s="29">
        <f>ROUND(G268 + H268, 2)</f>
        <v/>
      </c>
      <c r="J268" s="29">
        <f>Saldos_Capital_Mensual!J268</f>
        <v/>
      </c>
      <c r="K268" s="29">
        <f>Saldos_Intereses_Mensual!J268</f>
        <v/>
      </c>
      <c r="L268" s="29">
        <f>ROUND(J268 + K268, 2)</f>
        <v/>
      </c>
      <c r="M268" s="29">
        <f>Saldo_Residual_Activo!J268</f>
        <v/>
      </c>
      <c r="N268" s="29">
        <f>ROUND(L268 + M268, 2)</f>
        <v/>
      </c>
      <c r="O268" s="29">
        <f>Saldos_Capital_Mensual!K268</f>
        <v/>
      </c>
      <c r="P268" s="29">
        <f>Saldos_Intereses_Mensual!K268</f>
        <v/>
      </c>
      <c r="Q268" s="29">
        <f>ROUND(O268 + P268, 2)</f>
        <v/>
      </c>
      <c r="R268" s="29">
        <f>Saldo_Residual_Activo!K268</f>
        <v/>
      </c>
      <c r="S268" s="29">
        <f>ROUND(Q268 + R268, 2)</f>
        <v/>
      </c>
      <c r="T268" s="29">
        <f>Saldos_Capital_Mensual!L268</f>
        <v/>
      </c>
      <c r="U268" s="29">
        <f>Saldos_Intereses_Mensual!L268</f>
        <v/>
      </c>
      <c r="V268" s="29">
        <f>ROUND(T268 + U268, 2)</f>
        <v/>
      </c>
      <c r="W268" s="29">
        <f>Saldo_Residual_Activo!L268</f>
        <v/>
      </c>
      <c r="X268" s="29">
        <f>ROUND(V268 + W268, 2)</f>
        <v/>
      </c>
      <c r="Y268" s="29">
        <f>Saldos_Capital_Mensual!M268</f>
        <v/>
      </c>
      <c r="Z268" s="29">
        <f>Saldos_Intereses_Mensual!M268</f>
        <v/>
      </c>
      <c r="AA268" s="29">
        <f>ROUND(Y268 + Z268, 2)</f>
        <v/>
      </c>
      <c r="AB268" s="29">
        <f>Saldo_Residual_Activo!M268</f>
        <v/>
      </c>
      <c r="AC268" s="29">
        <f>ROUND(AA268 + AB268, 2)</f>
        <v/>
      </c>
      <c r="AD268" s="29">
        <f>Saldos_Capital_Mensual!N268</f>
        <v/>
      </c>
      <c r="AE268" s="29">
        <f>Saldos_Intereses_Mensual!N268</f>
        <v/>
      </c>
      <c r="AF268" s="29">
        <f>ROUND(AD268 + AE268, 2)</f>
        <v/>
      </c>
      <c r="AG268" s="29">
        <f>Saldo_Residual_Activo!N268</f>
        <v/>
      </c>
      <c r="AH268" s="29">
        <f>ROUND(AF268 + AG268, 2)</f>
        <v/>
      </c>
      <c r="AI268" s="29">
        <f>Saldos_Capital_Mensual!O268</f>
        <v/>
      </c>
      <c r="AJ268" s="29">
        <f>Saldos_Intereses_Mensual!O268</f>
        <v/>
      </c>
      <c r="AK268" s="29">
        <f>ROUND(AI268 + AJ268, 2)</f>
        <v/>
      </c>
      <c r="AL268" s="29">
        <f>Saldo_Residual_Activo!O268</f>
        <v/>
      </c>
      <c r="AM268" s="29">
        <f>ROUND(AK268 + AL268, 2)</f>
        <v/>
      </c>
      <c r="AN268" s="29">
        <f>Saldos_Capital_Mensual!P268</f>
        <v/>
      </c>
      <c r="AO268" s="29">
        <f>Saldos_Intereses_Mensual!P268</f>
        <v/>
      </c>
      <c r="AP268" s="29">
        <f>ROUND(AN268 + AO268, 2)</f>
        <v/>
      </c>
      <c r="AQ268" s="29">
        <f>Saldo_Residual_Activo!P268</f>
        <v/>
      </c>
      <c r="AR268" s="29">
        <f>ROUND(AP268 + AQ268, 2)</f>
        <v/>
      </c>
      <c r="AS268" s="29">
        <f>Saldos_Capital_Mensual!Q268</f>
        <v/>
      </c>
      <c r="AT268" s="29">
        <f>Saldos_Intereses_Mensual!Q268</f>
        <v/>
      </c>
      <c r="AU268" s="29">
        <f>ROUND(AS268 + AT268, 2)</f>
        <v/>
      </c>
      <c r="AV268" s="29">
        <f>Saldo_Residual_Activo!Q268</f>
        <v/>
      </c>
      <c r="AW268" s="29">
        <f>ROUND(AU268 + AV268, 2)</f>
        <v/>
      </c>
      <c r="AX268" s="29">
        <f>Saldos_Capital_Mensual!R268</f>
        <v/>
      </c>
      <c r="AY268" s="29">
        <f>Saldos_Intereses_Mensual!R268</f>
        <v/>
      </c>
      <c r="AZ268" s="29">
        <f>ROUND(AX268 + AY268, 2)</f>
        <v/>
      </c>
      <c r="BA268" s="29">
        <f>Saldo_Residual_Activo!R268</f>
        <v/>
      </c>
      <c r="BB268" s="29">
        <f>ROUND(AZ268 + BA268, 2)</f>
        <v/>
      </c>
      <c r="BC268" s="29">
        <f>Saldos_Capital_Mensual!S268</f>
        <v/>
      </c>
      <c r="BD268" s="29">
        <f>Saldos_Intereses_Mensual!S268</f>
        <v/>
      </c>
      <c r="BE268" s="29">
        <f>ROUND(BC268 + BD268, 2)</f>
        <v/>
      </c>
      <c r="BF268" s="29">
        <f>Saldo_Residual_Activo!S268</f>
        <v/>
      </c>
      <c r="BG268" s="29">
        <f>ROUND(BE268 + BF268, 2)</f>
        <v/>
      </c>
      <c r="BH268" s="29">
        <f>Saldos_Capital_Mensual!T268</f>
        <v/>
      </c>
      <c r="BI268" s="29">
        <f>Saldos_Intereses_Mensual!T268</f>
        <v/>
      </c>
      <c r="BJ268" s="29">
        <f>ROUND(BH268 + BI268, 2)</f>
        <v/>
      </c>
      <c r="BK268" s="29">
        <f>Saldo_Residual_Activo!T268</f>
        <v/>
      </c>
      <c r="BL268" s="29">
        <f>ROUND(BJ268 + BK268, 2)</f>
        <v/>
      </c>
    </row>
    <row r="269">
      <c r="A269" s="20" t="inlineStr">
        <is>
          <t>0773-0002</t>
        </is>
      </c>
      <c r="B269" s="21" t="inlineStr">
        <is>
          <t>Industrias Besthelg, S.A. de C.V.</t>
        </is>
      </c>
      <c r="C269" s="21" t="inlineStr">
        <is>
          <t>Peugeot Manager L4H2 2027</t>
        </is>
      </c>
      <c r="D269" s="22" t="n">
        <v>36</v>
      </c>
      <c r="E269" s="23">
        <f>Saldos_Capital_Mensual!I269</f>
        <v/>
      </c>
      <c r="F269" s="23">
        <f>Saldos_Intereses_Mensual!I269</f>
        <v/>
      </c>
      <c r="G269" s="23">
        <f>ROUND(E269 + F269, 2)</f>
        <v/>
      </c>
      <c r="H269" s="23">
        <f>Saldo_Residual_Activo!I269</f>
        <v/>
      </c>
      <c r="I269" s="23">
        <f>ROUND(G269 + H269, 2)</f>
        <v/>
      </c>
      <c r="J269" s="23">
        <f>Saldos_Capital_Mensual!J269</f>
        <v/>
      </c>
      <c r="K269" s="23">
        <f>Saldos_Intereses_Mensual!J269</f>
        <v/>
      </c>
      <c r="L269" s="23">
        <f>ROUND(J269 + K269, 2)</f>
        <v/>
      </c>
      <c r="M269" s="23">
        <f>Saldo_Residual_Activo!J269</f>
        <v/>
      </c>
      <c r="N269" s="23">
        <f>ROUND(L269 + M269, 2)</f>
        <v/>
      </c>
      <c r="O269" s="23">
        <f>Saldos_Capital_Mensual!K269</f>
        <v/>
      </c>
      <c r="P269" s="23">
        <f>Saldos_Intereses_Mensual!K269</f>
        <v/>
      </c>
      <c r="Q269" s="23">
        <f>ROUND(O269 + P269, 2)</f>
        <v/>
      </c>
      <c r="R269" s="23">
        <f>Saldo_Residual_Activo!K269</f>
        <v/>
      </c>
      <c r="S269" s="23">
        <f>ROUND(Q269 + R269, 2)</f>
        <v/>
      </c>
      <c r="T269" s="23">
        <f>Saldos_Capital_Mensual!L269</f>
        <v/>
      </c>
      <c r="U269" s="23">
        <f>Saldos_Intereses_Mensual!L269</f>
        <v/>
      </c>
      <c r="V269" s="23">
        <f>ROUND(T269 + U269, 2)</f>
        <v/>
      </c>
      <c r="W269" s="23">
        <f>Saldo_Residual_Activo!L269</f>
        <v/>
      </c>
      <c r="X269" s="23">
        <f>ROUND(V269 + W269, 2)</f>
        <v/>
      </c>
      <c r="Y269" s="23">
        <f>Saldos_Capital_Mensual!M269</f>
        <v/>
      </c>
      <c r="Z269" s="23">
        <f>Saldos_Intereses_Mensual!M269</f>
        <v/>
      </c>
      <c r="AA269" s="23">
        <f>ROUND(Y269 + Z269, 2)</f>
        <v/>
      </c>
      <c r="AB269" s="23">
        <f>Saldo_Residual_Activo!M269</f>
        <v/>
      </c>
      <c r="AC269" s="23">
        <f>ROUND(AA269 + AB269, 2)</f>
        <v/>
      </c>
      <c r="AD269" s="23">
        <f>Saldos_Capital_Mensual!N269</f>
        <v/>
      </c>
      <c r="AE269" s="23">
        <f>Saldos_Intereses_Mensual!N269</f>
        <v/>
      </c>
      <c r="AF269" s="23">
        <f>ROUND(AD269 + AE269, 2)</f>
        <v/>
      </c>
      <c r="AG269" s="23">
        <f>Saldo_Residual_Activo!N269</f>
        <v/>
      </c>
      <c r="AH269" s="23">
        <f>ROUND(AF269 + AG269, 2)</f>
        <v/>
      </c>
      <c r="AI269" s="23">
        <f>Saldos_Capital_Mensual!O269</f>
        <v/>
      </c>
      <c r="AJ269" s="23">
        <f>Saldos_Intereses_Mensual!O269</f>
        <v/>
      </c>
      <c r="AK269" s="23">
        <f>ROUND(AI269 + AJ269, 2)</f>
        <v/>
      </c>
      <c r="AL269" s="23">
        <f>Saldo_Residual_Activo!O269</f>
        <v/>
      </c>
      <c r="AM269" s="23">
        <f>ROUND(AK269 + AL269, 2)</f>
        <v/>
      </c>
      <c r="AN269" s="23">
        <f>Saldos_Capital_Mensual!P269</f>
        <v/>
      </c>
      <c r="AO269" s="23">
        <f>Saldos_Intereses_Mensual!P269</f>
        <v/>
      </c>
      <c r="AP269" s="23">
        <f>ROUND(AN269 + AO269, 2)</f>
        <v/>
      </c>
      <c r="AQ269" s="23">
        <f>Saldo_Residual_Activo!P269</f>
        <v/>
      </c>
      <c r="AR269" s="23">
        <f>ROUND(AP269 + AQ269, 2)</f>
        <v/>
      </c>
      <c r="AS269" s="23">
        <f>Saldos_Capital_Mensual!Q269</f>
        <v/>
      </c>
      <c r="AT269" s="23">
        <f>Saldos_Intereses_Mensual!Q269</f>
        <v/>
      </c>
      <c r="AU269" s="23">
        <f>ROUND(AS269 + AT269, 2)</f>
        <v/>
      </c>
      <c r="AV269" s="23">
        <f>Saldo_Residual_Activo!Q269</f>
        <v/>
      </c>
      <c r="AW269" s="23">
        <f>ROUND(AU269 + AV269, 2)</f>
        <v/>
      </c>
      <c r="AX269" s="23">
        <f>Saldos_Capital_Mensual!R269</f>
        <v/>
      </c>
      <c r="AY269" s="23">
        <f>Saldos_Intereses_Mensual!R269</f>
        <v/>
      </c>
      <c r="AZ269" s="23">
        <f>ROUND(AX269 + AY269, 2)</f>
        <v/>
      </c>
      <c r="BA269" s="23">
        <f>Saldo_Residual_Activo!R269</f>
        <v/>
      </c>
      <c r="BB269" s="23">
        <f>ROUND(AZ269 + BA269, 2)</f>
        <v/>
      </c>
      <c r="BC269" s="23">
        <f>Saldos_Capital_Mensual!S269</f>
        <v/>
      </c>
      <c r="BD269" s="23">
        <f>Saldos_Intereses_Mensual!S269</f>
        <v/>
      </c>
      <c r="BE269" s="23">
        <f>ROUND(BC269 + BD269, 2)</f>
        <v/>
      </c>
      <c r="BF269" s="23">
        <f>Saldo_Residual_Activo!S269</f>
        <v/>
      </c>
      <c r="BG269" s="23">
        <f>ROUND(BE269 + BF269, 2)</f>
        <v/>
      </c>
      <c r="BH269" s="23">
        <f>Saldos_Capital_Mensual!T269</f>
        <v/>
      </c>
      <c r="BI269" s="23">
        <f>Saldos_Intereses_Mensual!T269</f>
        <v/>
      </c>
      <c r="BJ269" s="23">
        <f>ROUND(BH269 + BI269, 2)</f>
        <v/>
      </c>
      <c r="BK269" s="23">
        <f>Saldo_Residual_Activo!T269</f>
        <v/>
      </c>
      <c r="BL269" s="23">
        <f>ROUND(BJ269 + BK269, 2)</f>
        <v/>
      </c>
    </row>
    <row r="270">
      <c r="A270" s="26" t="inlineStr">
        <is>
          <t>0774-0001</t>
        </is>
      </c>
      <c r="B270" s="27" t="inlineStr">
        <is>
          <t>Grupo Plastikrom</t>
        </is>
      </c>
      <c r="C270" s="27" t="inlineStr">
        <is>
          <t>Jeep Cherokee Overland 2026</t>
        </is>
      </c>
      <c r="D270" s="28" t="n">
        <v>24</v>
      </c>
      <c r="E270" s="29">
        <f>Saldos_Capital_Mensual!I270</f>
        <v/>
      </c>
      <c r="F270" s="29">
        <f>Saldos_Intereses_Mensual!I270</f>
        <v/>
      </c>
      <c r="G270" s="29">
        <f>ROUND(E270 + F270, 2)</f>
        <v/>
      </c>
      <c r="H270" s="29">
        <f>Saldo_Residual_Activo!I270</f>
        <v/>
      </c>
      <c r="I270" s="29">
        <f>ROUND(G270 + H270, 2)</f>
        <v/>
      </c>
      <c r="J270" s="29">
        <f>Saldos_Capital_Mensual!J270</f>
        <v/>
      </c>
      <c r="K270" s="29">
        <f>Saldos_Intereses_Mensual!J270</f>
        <v/>
      </c>
      <c r="L270" s="29">
        <f>ROUND(J270 + K270, 2)</f>
        <v/>
      </c>
      <c r="M270" s="29">
        <f>Saldo_Residual_Activo!J270</f>
        <v/>
      </c>
      <c r="N270" s="29">
        <f>ROUND(L270 + M270, 2)</f>
        <v/>
      </c>
      <c r="O270" s="29">
        <f>Saldos_Capital_Mensual!K270</f>
        <v/>
      </c>
      <c r="P270" s="29">
        <f>Saldos_Intereses_Mensual!K270</f>
        <v/>
      </c>
      <c r="Q270" s="29">
        <f>ROUND(O270 + P270, 2)</f>
        <v/>
      </c>
      <c r="R270" s="29">
        <f>Saldo_Residual_Activo!K270</f>
        <v/>
      </c>
      <c r="S270" s="29">
        <f>ROUND(Q270 + R270, 2)</f>
        <v/>
      </c>
      <c r="T270" s="29">
        <f>Saldos_Capital_Mensual!L270</f>
        <v/>
      </c>
      <c r="U270" s="29">
        <f>Saldos_Intereses_Mensual!L270</f>
        <v/>
      </c>
      <c r="V270" s="29">
        <f>ROUND(T270 + U270, 2)</f>
        <v/>
      </c>
      <c r="W270" s="29">
        <f>Saldo_Residual_Activo!L270</f>
        <v/>
      </c>
      <c r="X270" s="29">
        <f>ROUND(V270 + W270, 2)</f>
        <v/>
      </c>
      <c r="Y270" s="29">
        <f>Saldos_Capital_Mensual!M270</f>
        <v/>
      </c>
      <c r="Z270" s="29">
        <f>Saldos_Intereses_Mensual!M270</f>
        <v/>
      </c>
      <c r="AA270" s="29">
        <f>ROUND(Y270 + Z270, 2)</f>
        <v/>
      </c>
      <c r="AB270" s="29">
        <f>Saldo_Residual_Activo!M270</f>
        <v/>
      </c>
      <c r="AC270" s="29">
        <f>ROUND(AA270 + AB270, 2)</f>
        <v/>
      </c>
      <c r="AD270" s="29">
        <f>Saldos_Capital_Mensual!N270</f>
        <v/>
      </c>
      <c r="AE270" s="29">
        <f>Saldos_Intereses_Mensual!N270</f>
        <v/>
      </c>
      <c r="AF270" s="29">
        <f>ROUND(AD270 + AE270, 2)</f>
        <v/>
      </c>
      <c r="AG270" s="29">
        <f>Saldo_Residual_Activo!N270</f>
        <v/>
      </c>
      <c r="AH270" s="29">
        <f>ROUND(AF270 + AG270, 2)</f>
        <v/>
      </c>
      <c r="AI270" s="29">
        <f>Saldos_Capital_Mensual!O270</f>
        <v/>
      </c>
      <c r="AJ270" s="29">
        <f>Saldos_Intereses_Mensual!O270</f>
        <v/>
      </c>
      <c r="AK270" s="29">
        <f>ROUND(AI270 + AJ270, 2)</f>
        <v/>
      </c>
      <c r="AL270" s="29">
        <f>Saldo_Residual_Activo!O270</f>
        <v/>
      </c>
      <c r="AM270" s="29">
        <f>ROUND(AK270 + AL270, 2)</f>
        <v/>
      </c>
      <c r="AN270" s="29">
        <f>Saldos_Capital_Mensual!P270</f>
        <v/>
      </c>
      <c r="AO270" s="29">
        <f>Saldos_Intereses_Mensual!P270</f>
        <v/>
      </c>
      <c r="AP270" s="29">
        <f>ROUND(AN270 + AO270, 2)</f>
        <v/>
      </c>
      <c r="AQ270" s="29">
        <f>Saldo_Residual_Activo!P270</f>
        <v/>
      </c>
      <c r="AR270" s="29">
        <f>ROUND(AP270 + AQ270, 2)</f>
        <v/>
      </c>
      <c r="AS270" s="29">
        <f>Saldos_Capital_Mensual!Q270</f>
        <v/>
      </c>
      <c r="AT270" s="29">
        <f>Saldos_Intereses_Mensual!Q270</f>
        <v/>
      </c>
      <c r="AU270" s="29">
        <f>ROUND(AS270 + AT270, 2)</f>
        <v/>
      </c>
      <c r="AV270" s="29">
        <f>Saldo_Residual_Activo!Q270</f>
        <v/>
      </c>
      <c r="AW270" s="29">
        <f>ROUND(AU270 + AV270, 2)</f>
        <v/>
      </c>
      <c r="AX270" s="29">
        <f>Saldos_Capital_Mensual!R270</f>
        <v/>
      </c>
      <c r="AY270" s="29">
        <f>Saldos_Intereses_Mensual!R270</f>
        <v/>
      </c>
      <c r="AZ270" s="29">
        <f>ROUND(AX270 + AY270, 2)</f>
        <v/>
      </c>
      <c r="BA270" s="29">
        <f>Saldo_Residual_Activo!R270</f>
        <v/>
      </c>
      <c r="BB270" s="29">
        <f>ROUND(AZ270 + BA270, 2)</f>
        <v/>
      </c>
      <c r="BC270" s="29">
        <f>Saldos_Capital_Mensual!S270</f>
        <v/>
      </c>
      <c r="BD270" s="29">
        <f>Saldos_Intereses_Mensual!S270</f>
        <v/>
      </c>
      <c r="BE270" s="29">
        <f>ROUND(BC270 + BD270, 2)</f>
        <v/>
      </c>
      <c r="BF270" s="29">
        <f>Saldo_Residual_Activo!S270</f>
        <v/>
      </c>
      <c r="BG270" s="29">
        <f>ROUND(BE270 + BF270, 2)</f>
        <v/>
      </c>
      <c r="BH270" s="29">
        <f>Saldos_Capital_Mensual!T270</f>
        <v/>
      </c>
      <c r="BI270" s="29">
        <f>Saldos_Intereses_Mensual!T270</f>
        <v/>
      </c>
      <c r="BJ270" s="29">
        <f>ROUND(BH270 + BI270, 2)</f>
        <v/>
      </c>
      <c r="BK270" s="29">
        <f>Saldo_Residual_Activo!T270</f>
        <v/>
      </c>
      <c r="BL270" s="29">
        <f>ROUND(BJ270 + BK270, 2)</f>
        <v/>
      </c>
    </row>
    <row r="271">
      <c r="A271" s="20" t="inlineStr">
        <is>
          <t>0775-0001</t>
        </is>
      </c>
      <c r="B271" s="21" t="inlineStr">
        <is>
          <t>Manuel Ledezma Iñiguez</t>
        </is>
      </c>
      <c r="C271" s="21" t="inlineStr">
        <is>
          <t>Leapmotor B10 2026</t>
        </is>
      </c>
      <c r="D271" s="22" t="n">
        <v>48</v>
      </c>
      <c r="E271" s="23">
        <f>Saldos_Capital_Mensual!I271</f>
        <v/>
      </c>
      <c r="F271" s="23">
        <f>Saldos_Intereses_Mensual!I271</f>
        <v/>
      </c>
      <c r="G271" s="23">
        <f>ROUND(E271 + F271, 2)</f>
        <v/>
      </c>
      <c r="H271" s="23">
        <f>Saldo_Residual_Activo!I271</f>
        <v/>
      </c>
      <c r="I271" s="23">
        <f>ROUND(G271 + H271, 2)</f>
        <v/>
      </c>
      <c r="J271" s="23">
        <f>Saldos_Capital_Mensual!J271</f>
        <v/>
      </c>
      <c r="K271" s="23">
        <f>Saldos_Intereses_Mensual!J271</f>
        <v/>
      </c>
      <c r="L271" s="23">
        <f>ROUND(J271 + K271, 2)</f>
        <v/>
      </c>
      <c r="M271" s="23">
        <f>Saldo_Residual_Activo!J271</f>
        <v/>
      </c>
      <c r="N271" s="23">
        <f>ROUND(L271 + M271, 2)</f>
        <v/>
      </c>
      <c r="O271" s="23">
        <f>Saldos_Capital_Mensual!K271</f>
        <v/>
      </c>
      <c r="P271" s="23">
        <f>Saldos_Intereses_Mensual!K271</f>
        <v/>
      </c>
      <c r="Q271" s="23">
        <f>ROUND(O271 + P271, 2)</f>
        <v/>
      </c>
      <c r="R271" s="23">
        <f>Saldo_Residual_Activo!K271</f>
        <v/>
      </c>
      <c r="S271" s="23">
        <f>ROUND(Q271 + R271, 2)</f>
        <v/>
      </c>
      <c r="T271" s="23">
        <f>Saldos_Capital_Mensual!L271</f>
        <v/>
      </c>
      <c r="U271" s="23">
        <f>Saldos_Intereses_Mensual!L271</f>
        <v/>
      </c>
      <c r="V271" s="23">
        <f>ROUND(T271 + U271, 2)</f>
        <v/>
      </c>
      <c r="W271" s="23">
        <f>Saldo_Residual_Activo!L271</f>
        <v/>
      </c>
      <c r="X271" s="23">
        <f>ROUND(V271 + W271, 2)</f>
        <v/>
      </c>
      <c r="Y271" s="23">
        <f>Saldos_Capital_Mensual!M271</f>
        <v/>
      </c>
      <c r="Z271" s="23">
        <f>Saldos_Intereses_Mensual!M271</f>
        <v/>
      </c>
      <c r="AA271" s="23">
        <f>ROUND(Y271 + Z271, 2)</f>
        <v/>
      </c>
      <c r="AB271" s="23">
        <f>Saldo_Residual_Activo!M271</f>
        <v/>
      </c>
      <c r="AC271" s="23">
        <f>ROUND(AA271 + AB271, 2)</f>
        <v/>
      </c>
      <c r="AD271" s="23">
        <f>Saldos_Capital_Mensual!N271</f>
        <v/>
      </c>
      <c r="AE271" s="23">
        <f>Saldos_Intereses_Mensual!N271</f>
        <v/>
      </c>
      <c r="AF271" s="23">
        <f>ROUND(AD271 + AE271, 2)</f>
        <v/>
      </c>
      <c r="AG271" s="23">
        <f>Saldo_Residual_Activo!N271</f>
        <v/>
      </c>
      <c r="AH271" s="23">
        <f>ROUND(AF271 + AG271, 2)</f>
        <v/>
      </c>
      <c r="AI271" s="23">
        <f>Saldos_Capital_Mensual!O271</f>
        <v/>
      </c>
      <c r="AJ271" s="23">
        <f>Saldos_Intereses_Mensual!O271</f>
        <v/>
      </c>
      <c r="AK271" s="23">
        <f>ROUND(AI271 + AJ271, 2)</f>
        <v/>
      </c>
      <c r="AL271" s="23">
        <f>Saldo_Residual_Activo!O271</f>
        <v/>
      </c>
      <c r="AM271" s="23">
        <f>ROUND(AK271 + AL271, 2)</f>
        <v/>
      </c>
      <c r="AN271" s="23">
        <f>Saldos_Capital_Mensual!P271</f>
        <v/>
      </c>
      <c r="AO271" s="23">
        <f>Saldos_Intereses_Mensual!P271</f>
        <v/>
      </c>
      <c r="AP271" s="23">
        <f>ROUND(AN271 + AO271, 2)</f>
        <v/>
      </c>
      <c r="AQ271" s="23">
        <f>Saldo_Residual_Activo!P271</f>
        <v/>
      </c>
      <c r="AR271" s="23">
        <f>ROUND(AP271 + AQ271, 2)</f>
        <v/>
      </c>
      <c r="AS271" s="23">
        <f>Saldos_Capital_Mensual!Q271</f>
        <v/>
      </c>
      <c r="AT271" s="23">
        <f>Saldos_Intereses_Mensual!Q271</f>
        <v/>
      </c>
      <c r="AU271" s="23">
        <f>ROUND(AS271 + AT271, 2)</f>
        <v/>
      </c>
      <c r="AV271" s="23">
        <f>Saldo_Residual_Activo!Q271</f>
        <v/>
      </c>
      <c r="AW271" s="23">
        <f>ROUND(AU271 + AV271, 2)</f>
        <v/>
      </c>
      <c r="AX271" s="23">
        <f>Saldos_Capital_Mensual!R271</f>
        <v/>
      </c>
      <c r="AY271" s="23">
        <f>Saldos_Intereses_Mensual!R271</f>
        <v/>
      </c>
      <c r="AZ271" s="23">
        <f>ROUND(AX271 + AY271, 2)</f>
        <v/>
      </c>
      <c r="BA271" s="23">
        <f>Saldo_Residual_Activo!R271</f>
        <v/>
      </c>
      <c r="BB271" s="23">
        <f>ROUND(AZ271 + BA271, 2)</f>
        <v/>
      </c>
      <c r="BC271" s="23">
        <f>Saldos_Capital_Mensual!S271</f>
        <v/>
      </c>
      <c r="BD271" s="23">
        <f>Saldos_Intereses_Mensual!S271</f>
        <v/>
      </c>
      <c r="BE271" s="23">
        <f>ROUND(BC271 + BD271, 2)</f>
        <v/>
      </c>
      <c r="BF271" s="23">
        <f>Saldo_Residual_Activo!S271</f>
        <v/>
      </c>
      <c r="BG271" s="23">
        <f>ROUND(BE271 + BF271, 2)</f>
        <v/>
      </c>
      <c r="BH271" s="23">
        <f>Saldos_Capital_Mensual!T271</f>
        <v/>
      </c>
      <c r="BI271" s="23">
        <f>Saldos_Intereses_Mensual!T271</f>
        <v/>
      </c>
      <c r="BJ271" s="23">
        <f>ROUND(BH271 + BI271, 2)</f>
        <v/>
      </c>
      <c r="BK271" s="23">
        <f>Saldo_Residual_Activo!T271</f>
        <v/>
      </c>
      <c r="BL271" s="23">
        <f>ROUND(BJ271 + BK271, 2)</f>
        <v/>
      </c>
    </row>
    <row r="272">
      <c r="A272" s="26" t="inlineStr">
        <is>
          <t>0776-0001</t>
        </is>
      </c>
      <c r="B272" s="27" t="inlineStr">
        <is>
          <t>Armando Serna Hernández</t>
        </is>
      </c>
      <c r="C272" s="27" t="inlineStr">
        <is>
          <t>Jeep Grand Cherokee Limited 2026</t>
        </is>
      </c>
      <c r="D272" s="28" t="n">
        <v>48</v>
      </c>
      <c r="E272" s="29">
        <f>Saldos_Capital_Mensual!I272</f>
        <v/>
      </c>
      <c r="F272" s="29">
        <f>Saldos_Intereses_Mensual!I272</f>
        <v/>
      </c>
      <c r="G272" s="29">
        <f>ROUND(E272 + F272, 2)</f>
        <v/>
      </c>
      <c r="H272" s="29">
        <f>Saldo_Residual_Activo!I272</f>
        <v/>
      </c>
      <c r="I272" s="29">
        <f>ROUND(G272 + H272, 2)</f>
        <v/>
      </c>
      <c r="J272" s="29">
        <f>Saldos_Capital_Mensual!J272</f>
        <v/>
      </c>
      <c r="K272" s="29">
        <f>Saldos_Intereses_Mensual!J272</f>
        <v/>
      </c>
      <c r="L272" s="29">
        <f>ROUND(J272 + K272, 2)</f>
        <v/>
      </c>
      <c r="M272" s="29">
        <f>Saldo_Residual_Activo!J272</f>
        <v/>
      </c>
      <c r="N272" s="29">
        <f>ROUND(L272 + M272, 2)</f>
        <v/>
      </c>
      <c r="O272" s="29">
        <f>Saldos_Capital_Mensual!K272</f>
        <v/>
      </c>
      <c r="P272" s="29">
        <f>Saldos_Intereses_Mensual!K272</f>
        <v/>
      </c>
      <c r="Q272" s="29">
        <f>ROUND(O272 + P272, 2)</f>
        <v/>
      </c>
      <c r="R272" s="29">
        <f>Saldo_Residual_Activo!K272</f>
        <v/>
      </c>
      <c r="S272" s="29">
        <f>ROUND(Q272 + R272, 2)</f>
        <v/>
      </c>
      <c r="T272" s="29">
        <f>Saldos_Capital_Mensual!L272</f>
        <v/>
      </c>
      <c r="U272" s="29">
        <f>Saldos_Intereses_Mensual!L272</f>
        <v/>
      </c>
      <c r="V272" s="29">
        <f>ROUND(T272 + U272, 2)</f>
        <v/>
      </c>
      <c r="W272" s="29">
        <f>Saldo_Residual_Activo!L272</f>
        <v/>
      </c>
      <c r="X272" s="29">
        <f>ROUND(V272 + W272, 2)</f>
        <v/>
      </c>
      <c r="Y272" s="29">
        <f>Saldos_Capital_Mensual!M272</f>
        <v/>
      </c>
      <c r="Z272" s="29">
        <f>Saldos_Intereses_Mensual!M272</f>
        <v/>
      </c>
      <c r="AA272" s="29">
        <f>ROUND(Y272 + Z272, 2)</f>
        <v/>
      </c>
      <c r="AB272" s="29">
        <f>Saldo_Residual_Activo!M272</f>
        <v/>
      </c>
      <c r="AC272" s="29">
        <f>ROUND(AA272 + AB272, 2)</f>
        <v/>
      </c>
      <c r="AD272" s="29">
        <f>Saldos_Capital_Mensual!N272</f>
        <v/>
      </c>
      <c r="AE272" s="29">
        <f>Saldos_Intereses_Mensual!N272</f>
        <v/>
      </c>
      <c r="AF272" s="29">
        <f>ROUND(AD272 + AE272, 2)</f>
        <v/>
      </c>
      <c r="AG272" s="29">
        <f>Saldo_Residual_Activo!N272</f>
        <v/>
      </c>
      <c r="AH272" s="29">
        <f>ROUND(AF272 + AG272, 2)</f>
        <v/>
      </c>
      <c r="AI272" s="29">
        <f>Saldos_Capital_Mensual!O272</f>
        <v/>
      </c>
      <c r="AJ272" s="29">
        <f>Saldos_Intereses_Mensual!O272</f>
        <v/>
      </c>
      <c r="AK272" s="29">
        <f>ROUND(AI272 + AJ272, 2)</f>
        <v/>
      </c>
      <c r="AL272" s="29">
        <f>Saldo_Residual_Activo!O272</f>
        <v/>
      </c>
      <c r="AM272" s="29">
        <f>ROUND(AK272 + AL272, 2)</f>
        <v/>
      </c>
      <c r="AN272" s="29">
        <f>Saldos_Capital_Mensual!P272</f>
        <v/>
      </c>
      <c r="AO272" s="29">
        <f>Saldos_Intereses_Mensual!P272</f>
        <v/>
      </c>
      <c r="AP272" s="29">
        <f>ROUND(AN272 + AO272, 2)</f>
        <v/>
      </c>
      <c r="AQ272" s="29">
        <f>Saldo_Residual_Activo!P272</f>
        <v/>
      </c>
      <c r="AR272" s="29">
        <f>ROUND(AP272 + AQ272, 2)</f>
        <v/>
      </c>
      <c r="AS272" s="29">
        <f>Saldos_Capital_Mensual!Q272</f>
        <v/>
      </c>
      <c r="AT272" s="29">
        <f>Saldos_Intereses_Mensual!Q272</f>
        <v/>
      </c>
      <c r="AU272" s="29">
        <f>ROUND(AS272 + AT272, 2)</f>
        <v/>
      </c>
      <c r="AV272" s="29">
        <f>Saldo_Residual_Activo!Q272</f>
        <v/>
      </c>
      <c r="AW272" s="29">
        <f>ROUND(AU272 + AV272, 2)</f>
        <v/>
      </c>
      <c r="AX272" s="29">
        <f>Saldos_Capital_Mensual!R272</f>
        <v/>
      </c>
      <c r="AY272" s="29">
        <f>Saldos_Intereses_Mensual!R272</f>
        <v/>
      </c>
      <c r="AZ272" s="29">
        <f>ROUND(AX272 + AY272, 2)</f>
        <v/>
      </c>
      <c r="BA272" s="29">
        <f>Saldo_Residual_Activo!R272</f>
        <v/>
      </c>
      <c r="BB272" s="29">
        <f>ROUND(AZ272 + BA272, 2)</f>
        <v/>
      </c>
      <c r="BC272" s="29">
        <f>Saldos_Capital_Mensual!S272</f>
        <v/>
      </c>
      <c r="BD272" s="29">
        <f>Saldos_Intereses_Mensual!S272</f>
        <v/>
      </c>
      <c r="BE272" s="29">
        <f>ROUND(BC272 + BD272, 2)</f>
        <v/>
      </c>
      <c r="BF272" s="29">
        <f>Saldo_Residual_Activo!S272</f>
        <v/>
      </c>
      <c r="BG272" s="29">
        <f>ROUND(BE272 + BF272, 2)</f>
        <v/>
      </c>
      <c r="BH272" s="29">
        <f>Saldos_Capital_Mensual!T272</f>
        <v/>
      </c>
      <c r="BI272" s="29">
        <f>Saldos_Intereses_Mensual!T272</f>
        <v/>
      </c>
      <c r="BJ272" s="29">
        <f>ROUND(BH272 + BI272, 2)</f>
        <v/>
      </c>
      <c r="BK272" s="29">
        <f>Saldo_Residual_Activo!T272</f>
        <v/>
      </c>
      <c r="BL272" s="29">
        <f>ROUND(BJ272 + BK272, 2)</f>
        <v/>
      </c>
    </row>
    <row r="273">
      <c r="A273" s="20" t="inlineStr">
        <is>
          <t>0777-0001</t>
        </is>
      </c>
      <c r="B273" s="21" t="inlineStr">
        <is>
          <t>Yazmin Alejandra Gomez Olivas</t>
        </is>
      </c>
      <c r="C273" s="21" t="inlineStr">
        <is>
          <t>Jeep Wrangler Rubicon 2026</t>
        </is>
      </c>
      <c r="D273" s="22" t="n">
        <v>48</v>
      </c>
      <c r="E273" s="23">
        <f>Saldos_Capital_Mensual!I273</f>
        <v/>
      </c>
      <c r="F273" s="23">
        <f>Saldos_Intereses_Mensual!I273</f>
        <v/>
      </c>
      <c r="G273" s="23">
        <f>ROUND(E273 + F273, 2)</f>
        <v/>
      </c>
      <c r="H273" s="23">
        <f>Saldo_Residual_Activo!I273</f>
        <v/>
      </c>
      <c r="I273" s="23">
        <f>ROUND(G273 + H273, 2)</f>
        <v/>
      </c>
      <c r="J273" s="23">
        <f>Saldos_Capital_Mensual!J273</f>
        <v/>
      </c>
      <c r="K273" s="23">
        <f>Saldos_Intereses_Mensual!J273</f>
        <v/>
      </c>
      <c r="L273" s="23">
        <f>ROUND(J273 + K273, 2)</f>
        <v/>
      </c>
      <c r="M273" s="23">
        <f>Saldo_Residual_Activo!J273</f>
        <v/>
      </c>
      <c r="N273" s="23">
        <f>ROUND(L273 + M273, 2)</f>
        <v/>
      </c>
      <c r="O273" s="23">
        <f>Saldos_Capital_Mensual!K273</f>
        <v/>
      </c>
      <c r="P273" s="23">
        <f>Saldos_Intereses_Mensual!K273</f>
        <v/>
      </c>
      <c r="Q273" s="23">
        <f>ROUND(O273 + P273, 2)</f>
        <v/>
      </c>
      <c r="R273" s="23">
        <f>Saldo_Residual_Activo!K273</f>
        <v/>
      </c>
      <c r="S273" s="23">
        <f>ROUND(Q273 + R273, 2)</f>
        <v/>
      </c>
      <c r="T273" s="23">
        <f>Saldos_Capital_Mensual!L273</f>
        <v/>
      </c>
      <c r="U273" s="23">
        <f>Saldos_Intereses_Mensual!L273</f>
        <v/>
      </c>
      <c r="V273" s="23">
        <f>ROUND(T273 + U273, 2)</f>
        <v/>
      </c>
      <c r="W273" s="23">
        <f>Saldo_Residual_Activo!L273</f>
        <v/>
      </c>
      <c r="X273" s="23">
        <f>ROUND(V273 + W273, 2)</f>
        <v/>
      </c>
      <c r="Y273" s="23">
        <f>Saldos_Capital_Mensual!M273</f>
        <v/>
      </c>
      <c r="Z273" s="23">
        <f>Saldos_Intereses_Mensual!M273</f>
        <v/>
      </c>
      <c r="AA273" s="23">
        <f>ROUND(Y273 + Z273, 2)</f>
        <v/>
      </c>
      <c r="AB273" s="23">
        <f>Saldo_Residual_Activo!M273</f>
        <v/>
      </c>
      <c r="AC273" s="23">
        <f>ROUND(AA273 + AB273, 2)</f>
        <v/>
      </c>
      <c r="AD273" s="23">
        <f>Saldos_Capital_Mensual!N273</f>
        <v/>
      </c>
      <c r="AE273" s="23">
        <f>Saldos_Intereses_Mensual!N273</f>
        <v/>
      </c>
      <c r="AF273" s="23">
        <f>ROUND(AD273 + AE273, 2)</f>
        <v/>
      </c>
      <c r="AG273" s="23">
        <f>Saldo_Residual_Activo!N273</f>
        <v/>
      </c>
      <c r="AH273" s="23">
        <f>ROUND(AF273 + AG273, 2)</f>
        <v/>
      </c>
      <c r="AI273" s="23">
        <f>Saldos_Capital_Mensual!O273</f>
        <v/>
      </c>
      <c r="AJ273" s="23">
        <f>Saldos_Intereses_Mensual!O273</f>
        <v/>
      </c>
      <c r="AK273" s="23">
        <f>ROUND(AI273 + AJ273, 2)</f>
        <v/>
      </c>
      <c r="AL273" s="23">
        <f>Saldo_Residual_Activo!O273</f>
        <v/>
      </c>
      <c r="AM273" s="23">
        <f>ROUND(AK273 + AL273, 2)</f>
        <v/>
      </c>
      <c r="AN273" s="23">
        <f>Saldos_Capital_Mensual!P273</f>
        <v/>
      </c>
      <c r="AO273" s="23">
        <f>Saldos_Intereses_Mensual!P273</f>
        <v/>
      </c>
      <c r="AP273" s="23">
        <f>ROUND(AN273 + AO273, 2)</f>
        <v/>
      </c>
      <c r="AQ273" s="23">
        <f>Saldo_Residual_Activo!P273</f>
        <v/>
      </c>
      <c r="AR273" s="23">
        <f>ROUND(AP273 + AQ273, 2)</f>
        <v/>
      </c>
      <c r="AS273" s="23">
        <f>Saldos_Capital_Mensual!Q273</f>
        <v/>
      </c>
      <c r="AT273" s="23">
        <f>Saldos_Intereses_Mensual!Q273</f>
        <v/>
      </c>
      <c r="AU273" s="23">
        <f>ROUND(AS273 + AT273, 2)</f>
        <v/>
      </c>
      <c r="AV273" s="23">
        <f>Saldo_Residual_Activo!Q273</f>
        <v/>
      </c>
      <c r="AW273" s="23">
        <f>ROUND(AU273 + AV273, 2)</f>
        <v/>
      </c>
      <c r="AX273" s="23">
        <f>Saldos_Capital_Mensual!R273</f>
        <v/>
      </c>
      <c r="AY273" s="23">
        <f>Saldos_Intereses_Mensual!R273</f>
        <v/>
      </c>
      <c r="AZ273" s="23">
        <f>ROUND(AX273 + AY273, 2)</f>
        <v/>
      </c>
      <c r="BA273" s="23">
        <f>Saldo_Residual_Activo!R273</f>
        <v/>
      </c>
      <c r="BB273" s="23">
        <f>ROUND(AZ273 + BA273, 2)</f>
        <v/>
      </c>
      <c r="BC273" s="23">
        <f>Saldos_Capital_Mensual!S273</f>
        <v/>
      </c>
      <c r="BD273" s="23">
        <f>Saldos_Intereses_Mensual!S273</f>
        <v/>
      </c>
      <c r="BE273" s="23">
        <f>ROUND(BC273 + BD273, 2)</f>
        <v/>
      </c>
      <c r="BF273" s="23">
        <f>Saldo_Residual_Activo!S273</f>
        <v/>
      </c>
      <c r="BG273" s="23">
        <f>ROUND(BE273 + BF273, 2)</f>
        <v/>
      </c>
      <c r="BH273" s="23">
        <f>Saldos_Capital_Mensual!T273</f>
        <v/>
      </c>
      <c r="BI273" s="23">
        <f>Saldos_Intereses_Mensual!T273</f>
        <v/>
      </c>
      <c r="BJ273" s="23">
        <f>ROUND(BH273 + BI273, 2)</f>
        <v/>
      </c>
      <c r="BK273" s="23">
        <f>Saldo_Residual_Activo!T273</f>
        <v/>
      </c>
      <c r="BL273" s="23">
        <f>ROUND(BJ273 + BK273, 2)</f>
        <v/>
      </c>
    </row>
    <row r="274">
      <c r="A274" s="26" t="inlineStr">
        <is>
          <t>0778-0001</t>
        </is>
      </c>
      <c r="B274" s="27" t="inlineStr">
        <is>
          <t>Construcciones y Desarrollos Inmobile, S.A. de C.V.</t>
        </is>
      </c>
      <c r="C274" s="27" t="inlineStr">
        <is>
          <t>Mitsubishi L200 2026</t>
        </is>
      </c>
      <c r="D274" s="28" t="n">
        <v>24</v>
      </c>
      <c r="E274" s="29">
        <f>Saldos_Capital_Mensual!I274</f>
        <v/>
      </c>
      <c r="F274" s="29">
        <f>Saldos_Intereses_Mensual!I274</f>
        <v/>
      </c>
      <c r="G274" s="29">
        <f>ROUND(E274 + F274, 2)</f>
        <v/>
      </c>
      <c r="H274" s="29">
        <f>Saldo_Residual_Activo!I274</f>
        <v/>
      </c>
      <c r="I274" s="29">
        <f>ROUND(G274 + H274, 2)</f>
        <v/>
      </c>
      <c r="J274" s="29">
        <f>Saldos_Capital_Mensual!J274</f>
        <v/>
      </c>
      <c r="K274" s="29">
        <f>Saldos_Intereses_Mensual!J274</f>
        <v/>
      </c>
      <c r="L274" s="29">
        <f>ROUND(J274 + K274, 2)</f>
        <v/>
      </c>
      <c r="M274" s="29">
        <f>Saldo_Residual_Activo!J274</f>
        <v/>
      </c>
      <c r="N274" s="29">
        <f>ROUND(L274 + M274, 2)</f>
        <v/>
      </c>
      <c r="O274" s="29">
        <f>Saldos_Capital_Mensual!K274</f>
        <v/>
      </c>
      <c r="P274" s="29">
        <f>Saldos_Intereses_Mensual!K274</f>
        <v/>
      </c>
      <c r="Q274" s="29">
        <f>ROUND(O274 + P274, 2)</f>
        <v/>
      </c>
      <c r="R274" s="29">
        <f>Saldo_Residual_Activo!K274</f>
        <v/>
      </c>
      <c r="S274" s="29">
        <f>ROUND(Q274 + R274, 2)</f>
        <v/>
      </c>
      <c r="T274" s="29">
        <f>Saldos_Capital_Mensual!L274</f>
        <v/>
      </c>
      <c r="U274" s="29">
        <f>Saldos_Intereses_Mensual!L274</f>
        <v/>
      </c>
      <c r="V274" s="29">
        <f>ROUND(T274 + U274, 2)</f>
        <v/>
      </c>
      <c r="W274" s="29">
        <f>Saldo_Residual_Activo!L274</f>
        <v/>
      </c>
      <c r="X274" s="29">
        <f>ROUND(V274 + W274, 2)</f>
        <v/>
      </c>
      <c r="Y274" s="29">
        <f>Saldos_Capital_Mensual!M274</f>
        <v/>
      </c>
      <c r="Z274" s="29">
        <f>Saldos_Intereses_Mensual!M274</f>
        <v/>
      </c>
      <c r="AA274" s="29">
        <f>ROUND(Y274 + Z274, 2)</f>
        <v/>
      </c>
      <c r="AB274" s="29">
        <f>Saldo_Residual_Activo!M274</f>
        <v/>
      </c>
      <c r="AC274" s="29">
        <f>ROUND(AA274 + AB274, 2)</f>
        <v/>
      </c>
      <c r="AD274" s="29">
        <f>Saldos_Capital_Mensual!N274</f>
        <v/>
      </c>
      <c r="AE274" s="29">
        <f>Saldos_Intereses_Mensual!N274</f>
        <v/>
      </c>
      <c r="AF274" s="29">
        <f>ROUND(AD274 + AE274, 2)</f>
        <v/>
      </c>
      <c r="AG274" s="29">
        <f>Saldo_Residual_Activo!N274</f>
        <v/>
      </c>
      <c r="AH274" s="29">
        <f>ROUND(AF274 + AG274, 2)</f>
        <v/>
      </c>
      <c r="AI274" s="29">
        <f>Saldos_Capital_Mensual!O274</f>
        <v/>
      </c>
      <c r="AJ274" s="29">
        <f>Saldos_Intereses_Mensual!O274</f>
        <v/>
      </c>
      <c r="AK274" s="29">
        <f>ROUND(AI274 + AJ274, 2)</f>
        <v/>
      </c>
      <c r="AL274" s="29">
        <f>Saldo_Residual_Activo!O274</f>
        <v/>
      </c>
      <c r="AM274" s="29">
        <f>ROUND(AK274 + AL274, 2)</f>
        <v/>
      </c>
      <c r="AN274" s="29">
        <f>Saldos_Capital_Mensual!P274</f>
        <v/>
      </c>
      <c r="AO274" s="29">
        <f>Saldos_Intereses_Mensual!P274</f>
        <v/>
      </c>
      <c r="AP274" s="29">
        <f>ROUND(AN274 + AO274, 2)</f>
        <v/>
      </c>
      <c r="AQ274" s="29">
        <f>Saldo_Residual_Activo!P274</f>
        <v/>
      </c>
      <c r="AR274" s="29">
        <f>ROUND(AP274 + AQ274, 2)</f>
        <v/>
      </c>
      <c r="AS274" s="29">
        <f>Saldos_Capital_Mensual!Q274</f>
        <v/>
      </c>
      <c r="AT274" s="29">
        <f>Saldos_Intereses_Mensual!Q274</f>
        <v/>
      </c>
      <c r="AU274" s="29">
        <f>ROUND(AS274 + AT274, 2)</f>
        <v/>
      </c>
      <c r="AV274" s="29">
        <f>Saldo_Residual_Activo!Q274</f>
        <v/>
      </c>
      <c r="AW274" s="29">
        <f>ROUND(AU274 + AV274, 2)</f>
        <v/>
      </c>
      <c r="AX274" s="29">
        <f>Saldos_Capital_Mensual!R274</f>
        <v/>
      </c>
      <c r="AY274" s="29">
        <f>Saldos_Intereses_Mensual!R274</f>
        <v/>
      </c>
      <c r="AZ274" s="29">
        <f>ROUND(AX274 + AY274, 2)</f>
        <v/>
      </c>
      <c r="BA274" s="29">
        <f>Saldo_Residual_Activo!R274</f>
        <v/>
      </c>
      <c r="BB274" s="29">
        <f>ROUND(AZ274 + BA274, 2)</f>
        <v/>
      </c>
      <c r="BC274" s="29">
        <f>Saldos_Capital_Mensual!S274</f>
        <v/>
      </c>
      <c r="BD274" s="29">
        <f>Saldos_Intereses_Mensual!S274</f>
        <v/>
      </c>
      <c r="BE274" s="29">
        <f>ROUND(BC274 + BD274, 2)</f>
        <v/>
      </c>
      <c r="BF274" s="29">
        <f>Saldo_Residual_Activo!S274</f>
        <v/>
      </c>
      <c r="BG274" s="29">
        <f>ROUND(BE274 + BF274, 2)</f>
        <v/>
      </c>
      <c r="BH274" s="29">
        <f>Saldos_Capital_Mensual!T274</f>
        <v/>
      </c>
      <c r="BI274" s="29">
        <f>Saldos_Intereses_Mensual!T274</f>
        <v/>
      </c>
      <c r="BJ274" s="29">
        <f>ROUND(BH274 + BI274, 2)</f>
        <v/>
      </c>
      <c r="BK274" s="29">
        <f>Saldo_Residual_Activo!T274</f>
        <v/>
      </c>
      <c r="BL274" s="29">
        <f>ROUND(BJ274 + BK274, 2)</f>
        <v/>
      </c>
    </row>
    <row r="275">
      <c r="A275" s="20" t="inlineStr">
        <is>
          <t>0779-0001</t>
        </is>
      </c>
      <c r="B275" s="21" t="inlineStr">
        <is>
          <t>Margarita Kaplun Mucharrafille</t>
        </is>
      </c>
      <c r="C275" s="21" t="inlineStr">
        <is>
          <t>Ram 700 Bighorn 2026</t>
        </is>
      </c>
      <c r="D275" s="22" t="n">
        <v>48</v>
      </c>
      <c r="E275" s="23">
        <f>Saldos_Capital_Mensual!I275</f>
        <v/>
      </c>
      <c r="F275" s="23">
        <f>Saldos_Intereses_Mensual!I275</f>
        <v/>
      </c>
      <c r="G275" s="23">
        <f>ROUND(E275 + F275, 2)</f>
        <v/>
      </c>
      <c r="H275" s="23">
        <f>Saldo_Residual_Activo!I275</f>
        <v/>
      </c>
      <c r="I275" s="23">
        <f>ROUND(G275 + H275, 2)</f>
        <v/>
      </c>
      <c r="J275" s="23">
        <f>Saldos_Capital_Mensual!J275</f>
        <v/>
      </c>
      <c r="K275" s="23">
        <f>Saldos_Intereses_Mensual!J275</f>
        <v/>
      </c>
      <c r="L275" s="23">
        <f>ROUND(J275 + K275, 2)</f>
        <v/>
      </c>
      <c r="M275" s="23">
        <f>Saldo_Residual_Activo!J275</f>
        <v/>
      </c>
      <c r="N275" s="23">
        <f>ROUND(L275 + M275, 2)</f>
        <v/>
      </c>
      <c r="O275" s="23">
        <f>Saldos_Capital_Mensual!K275</f>
        <v/>
      </c>
      <c r="P275" s="23">
        <f>Saldos_Intereses_Mensual!K275</f>
        <v/>
      </c>
      <c r="Q275" s="23">
        <f>ROUND(O275 + P275, 2)</f>
        <v/>
      </c>
      <c r="R275" s="23">
        <f>Saldo_Residual_Activo!K275</f>
        <v/>
      </c>
      <c r="S275" s="23">
        <f>ROUND(Q275 + R275, 2)</f>
        <v/>
      </c>
      <c r="T275" s="23">
        <f>Saldos_Capital_Mensual!L275</f>
        <v/>
      </c>
      <c r="U275" s="23">
        <f>Saldos_Intereses_Mensual!L275</f>
        <v/>
      </c>
      <c r="V275" s="23">
        <f>ROUND(T275 + U275, 2)</f>
        <v/>
      </c>
      <c r="W275" s="23">
        <f>Saldo_Residual_Activo!L275</f>
        <v/>
      </c>
      <c r="X275" s="23">
        <f>ROUND(V275 + W275, 2)</f>
        <v/>
      </c>
      <c r="Y275" s="23">
        <f>Saldos_Capital_Mensual!M275</f>
        <v/>
      </c>
      <c r="Z275" s="23">
        <f>Saldos_Intereses_Mensual!M275</f>
        <v/>
      </c>
      <c r="AA275" s="23">
        <f>ROUND(Y275 + Z275, 2)</f>
        <v/>
      </c>
      <c r="AB275" s="23">
        <f>Saldo_Residual_Activo!M275</f>
        <v/>
      </c>
      <c r="AC275" s="23">
        <f>ROUND(AA275 + AB275, 2)</f>
        <v/>
      </c>
      <c r="AD275" s="23">
        <f>Saldos_Capital_Mensual!N275</f>
        <v/>
      </c>
      <c r="AE275" s="23">
        <f>Saldos_Intereses_Mensual!N275</f>
        <v/>
      </c>
      <c r="AF275" s="23">
        <f>ROUND(AD275 + AE275, 2)</f>
        <v/>
      </c>
      <c r="AG275" s="23">
        <f>Saldo_Residual_Activo!N275</f>
        <v/>
      </c>
      <c r="AH275" s="23">
        <f>ROUND(AF275 + AG275, 2)</f>
        <v/>
      </c>
      <c r="AI275" s="23">
        <f>Saldos_Capital_Mensual!O275</f>
        <v/>
      </c>
      <c r="AJ275" s="23">
        <f>Saldos_Intereses_Mensual!O275</f>
        <v/>
      </c>
      <c r="AK275" s="23">
        <f>ROUND(AI275 + AJ275, 2)</f>
        <v/>
      </c>
      <c r="AL275" s="23">
        <f>Saldo_Residual_Activo!O275</f>
        <v/>
      </c>
      <c r="AM275" s="23">
        <f>ROUND(AK275 + AL275, 2)</f>
        <v/>
      </c>
      <c r="AN275" s="23">
        <f>Saldos_Capital_Mensual!P275</f>
        <v/>
      </c>
      <c r="AO275" s="23">
        <f>Saldos_Intereses_Mensual!P275</f>
        <v/>
      </c>
      <c r="AP275" s="23">
        <f>ROUND(AN275 + AO275, 2)</f>
        <v/>
      </c>
      <c r="AQ275" s="23">
        <f>Saldo_Residual_Activo!P275</f>
        <v/>
      </c>
      <c r="AR275" s="23">
        <f>ROUND(AP275 + AQ275, 2)</f>
        <v/>
      </c>
      <c r="AS275" s="23">
        <f>Saldos_Capital_Mensual!Q275</f>
        <v/>
      </c>
      <c r="AT275" s="23">
        <f>Saldos_Intereses_Mensual!Q275</f>
        <v/>
      </c>
      <c r="AU275" s="23">
        <f>ROUND(AS275 + AT275, 2)</f>
        <v/>
      </c>
      <c r="AV275" s="23">
        <f>Saldo_Residual_Activo!Q275</f>
        <v/>
      </c>
      <c r="AW275" s="23">
        <f>ROUND(AU275 + AV275, 2)</f>
        <v/>
      </c>
      <c r="AX275" s="23">
        <f>Saldos_Capital_Mensual!R275</f>
        <v/>
      </c>
      <c r="AY275" s="23">
        <f>Saldos_Intereses_Mensual!R275</f>
        <v/>
      </c>
      <c r="AZ275" s="23">
        <f>ROUND(AX275 + AY275, 2)</f>
        <v/>
      </c>
      <c r="BA275" s="23">
        <f>Saldo_Residual_Activo!R275</f>
        <v/>
      </c>
      <c r="BB275" s="23">
        <f>ROUND(AZ275 + BA275, 2)</f>
        <v/>
      </c>
      <c r="BC275" s="23">
        <f>Saldos_Capital_Mensual!S275</f>
        <v/>
      </c>
      <c r="BD275" s="23">
        <f>Saldos_Intereses_Mensual!S275</f>
        <v/>
      </c>
      <c r="BE275" s="23">
        <f>ROUND(BC275 + BD275, 2)</f>
        <v/>
      </c>
      <c r="BF275" s="23">
        <f>Saldo_Residual_Activo!S275</f>
        <v/>
      </c>
      <c r="BG275" s="23">
        <f>ROUND(BE275 + BF275, 2)</f>
        <v/>
      </c>
      <c r="BH275" s="23">
        <f>Saldos_Capital_Mensual!T275</f>
        <v/>
      </c>
      <c r="BI275" s="23">
        <f>Saldos_Intereses_Mensual!T275</f>
        <v/>
      </c>
      <c r="BJ275" s="23">
        <f>ROUND(BH275 + BI275, 2)</f>
        <v/>
      </c>
      <c r="BK275" s="23">
        <f>Saldo_Residual_Activo!T275</f>
        <v/>
      </c>
      <c r="BL275" s="23">
        <f>ROUND(BJ275 + BK275, 2)</f>
        <v/>
      </c>
    </row>
    <row r="276">
      <c r="A276" s="26" t="inlineStr">
        <is>
          <t>0780-0001</t>
        </is>
      </c>
      <c r="B276" s="27" t="inlineStr">
        <is>
          <t>David Rosendo Cedeño Guerrero</t>
        </is>
      </c>
      <c r="C276" s="27" t="inlineStr">
        <is>
          <t>Suzuki Jimny 2027</t>
        </is>
      </c>
      <c r="D276" s="28" t="n">
        <v>48</v>
      </c>
      <c r="E276" s="29">
        <f>Saldos_Capital_Mensual!I276</f>
        <v/>
      </c>
      <c r="F276" s="29">
        <f>Saldos_Intereses_Mensual!I276</f>
        <v/>
      </c>
      <c r="G276" s="29">
        <f>ROUND(E276 + F276, 2)</f>
        <v/>
      </c>
      <c r="H276" s="29">
        <f>Saldo_Residual_Activo!I276</f>
        <v/>
      </c>
      <c r="I276" s="29">
        <f>ROUND(G276 + H276, 2)</f>
        <v/>
      </c>
      <c r="J276" s="29">
        <f>Saldos_Capital_Mensual!J276</f>
        <v/>
      </c>
      <c r="K276" s="29">
        <f>Saldos_Intereses_Mensual!J276</f>
        <v/>
      </c>
      <c r="L276" s="29">
        <f>ROUND(J276 + K276, 2)</f>
        <v/>
      </c>
      <c r="M276" s="29">
        <f>Saldo_Residual_Activo!J276</f>
        <v/>
      </c>
      <c r="N276" s="29">
        <f>ROUND(L276 + M276, 2)</f>
        <v/>
      </c>
      <c r="O276" s="29">
        <f>Saldos_Capital_Mensual!K276</f>
        <v/>
      </c>
      <c r="P276" s="29">
        <f>Saldos_Intereses_Mensual!K276</f>
        <v/>
      </c>
      <c r="Q276" s="29">
        <f>ROUND(O276 + P276, 2)</f>
        <v/>
      </c>
      <c r="R276" s="29">
        <f>Saldo_Residual_Activo!K276</f>
        <v/>
      </c>
      <c r="S276" s="29">
        <f>ROUND(Q276 + R276, 2)</f>
        <v/>
      </c>
      <c r="T276" s="29">
        <f>Saldos_Capital_Mensual!L276</f>
        <v/>
      </c>
      <c r="U276" s="29">
        <f>Saldos_Intereses_Mensual!L276</f>
        <v/>
      </c>
      <c r="V276" s="29">
        <f>ROUND(T276 + U276, 2)</f>
        <v/>
      </c>
      <c r="W276" s="29">
        <f>Saldo_Residual_Activo!L276</f>
        <v/>
      </c>
      <c r="X276" s="29">
        <f>ROUND(V276 + W276, 2)</f>
        <v/>
      </c>
      <c r="Y276" s="29">
        <f>Saldos_Capital_Mensual!M276</f>
        <v/>
      </c>
      <c r="Z276" s="29">
        <f>Saldos_Intereses_Mensual!M276</f>
        <v/>
      </c>
      <c r="AA276" s="29">
        <f>ROUND(Y276 + Z276, 2)</f>
        <v/>
      </c>
      <c r="AB276" s="29">
        <f>Saldo_Residual_Activo!M276</f>
        <v/>
      </c>
      <c r="AC276" s="29">
        <f>ROUND(AA276 + AB276, 2)</f>
        <v/>
      </c>
      <c r="AD276" s="29">
        <f>Saldos_Capital_Mensual!N276</f>
        <v/>
      </c>
      <c r="AE276" s="29">
        <f>Saldos_Intereses_Mensual!N276</f>
        <v/>
      </c>
      <c r="AF276" s="29">
        <f>ROUND(AD276 + AE276, 2)</f>
        <v/>
      </c>
      <c r="AG276" s="29">
        <f>Saldo_Residual_Activo!N276</f>
        <v/>
      </c>
      <c r="AH276" s="29">
        <f>ROUND(AF276 + AG276, 2)</f>
        <v/>
      </c>
      <c r="AI276" s="29">
        <f>Saldos_Capital_Mensual!O276</f>
        <v/>
      </c>
      <c r="AJ276" s="29">
        <f>Saldos_Intereses_Mensual!O276</f>
        <v/>
      </c>
      <c r="AK276" s="29">
        <f>ROUND(AI276 + AJ276, 2)</f>
        <v/>
      </c>
      <c r="AL276" s="29">
        <f>Saldo_Residual_Activo!O276</f>
        <v/>
      </c>
      <c r="AM276" s="29">
        <f>ROUND(AK276 + AL276, 2)</f>
        <v/>
      </c>
      <c r="AN276" s="29">
        <f>Saldos_Capital_Mensual!P276</f>
        <v/>
      </c>
      <c r="AO276" s="29">
        <f>Saldos_Intereses_Mensual!P276</f>
        <v/>
      </c>
      <c r="AP276" s="29">
        <f>ROUND(AN276 + AO276, 2)</f>
        <v/>
      </c>
      <c r="AQ276" s="29">
        <f>Saldo_Residual_Activo!P276</f>
        <v/>
      </c>
      <c r="AR276" s="29">
        <f>ROUND(AP276 + AQ276, 2)</f>
        <v/>
      </c>
      <c r="AS276" s="29">
        <f>Saldos_Capital_Mensual!Q276</f>
        <v/>
      </c>
      <c r="AT276" s="29">
        <f>Saldos_Intereses_Mensual!Q276</f>
        <v/>
      </c>
      <c r="AU276" s="29">
        <f>ROUND(AS276 + AT276, 2)</f>
        <v/>
      </c>
      <c r="AV276" s="29">
        <f>Saldo_Residual_Activo!Q276</f>
        <v/>
      </c>
      <c r="AW276" s="29">
        <f>ROUND(AU276 + AV276, 2)</f>
        <v/>
      </c>
      <c r="AX276" s="29">
        <f>Saldos_Capital_Mensual!R276</f>
        <v/>
      </c>
      <c r="AY276" s="29">
        <f>Saldos_Intereses_Mensual!R276</f>
        <v/>
      </c>
      <c r="AZ276" s="29">
        <f>ROUND(AX276 + AY276, 2)</f>
        <v/>
      </c>
      <c r="BA276" s="29">
        <f>Saldo_Residual_Activo!R276</f>
        <v/>
      </c>
      <c r="BB276" s="29">
        <f>ROUND(AZ276 + BA276, 2)</f>
        <v/>
      </c>
      <c r="BC276" s="29">
        <f>Saldos_Capital_Mensual!S276</f>
        <v/>
      </c>
      <c r="BD276" s="29">
        <f>Saldos_Intereses_Mensual!S276</f>
        <v/>
      </c>
      <c r="BE276" s="29">
        <f>ROUND(BC276 + BD276, 2)</f>
        <v/>
      </c>
      <c r="BF276" s="29">
        <f>Saldo_Residual_Activo!S276</f>
        <v/>
      </c>
      <c r="BG276" s="29">
        <f>ROUND(BE276 + BF276, 2)</f>
        <v/>
      </c>
      <c r="BH276" s="29">
        <f>Saldos_Capital_Mensual!T276</f>
        <v/>
      </c>
      <c r="BI276" s="29">
        <f>Saldos_Intereses_Mensual!T276</f>
        <v/>
      </c>
      <c r="BJ276" s="29">
        <f>ROUND(BH276 + BI276, 2)</f>
        <v/>
      </c>
      <c r="BK276" s="29">
        <f>Saldo_Residual_Activo!T276</f>
        <v/>
      </c>
      <c r="BL276" s="29">
        <f>ROUND(BJ276 + BK276, 2)</f>
        <v/>
      </c>
    </row>
    <row r="277">
      <c r="A277" s="20" t="inlineStr">
        <is>
          <t>0781-0001</t>
        </is>
      </c>
      <c r="B277" s="21" t="inlineStr">
        <is>
          <t>Northstar Marine &amp; Civil, S.A. de C.V.</t>
        </is>
      </c>
      <c r="C277" s="21" t="inlineStr">
        <is>
          <t>Sany Motoniveladora 2026</t>
        </is>
      </c>
      <c r="D277" s="22" t="n">
        <v>24</v>
      </c>
      <c r="E277" s="23">
        <f>Saldos_Capital_Mensual!I277</f>
        <v/>
      </c>
      <c r="F277" s="23">
        <f>Saldos_Intereses_Mensual!I277</f>
        <v/>
      </c>
      <c r="G277" s="23">
        <f>ROUND(E277 + F277, 2)</f>
        <v/>
      </c>
      <c r="H277" s="23">
        <f>Saldo_Residual_Activo!I277</f>
        <v/>
      </c>
      <c r="I277" s="23">
        <f>ROUND(G277 + H277, 2)</f>
        <v/>
      </c>
      <c r="J277" s="23">
        <f>Saldos_Capital_Mensual!J277</f>
        <v/>
      </c>
      <c r="K277" s="23">
        <f>Saldos_Intereses_Mensual!J277</f>
        <v/>
      </c>
      <c r="L277" s="23">
        <f>ROUND(J277 + K277, 2)</f>
        <v/>
      </c>
      <c r="M277" s="23">
        <f>Saldo_Residual_Activo!J277</f>
        <v/>
      </c>
      <c r="N277" s="23">
        <f>ROUND(L277 + M277, 2)</f>
        <v/>
      </c>
      <c r="O277" s="23">
        <f>Saldos_Capital_Mensual!K277</f>
        <v/>
      </c>
      <c r="P277" s="23">
        <f>Saldos_Intereses_Mensual!K277</f>
        <v/>
      </c>
      <c r="Q277" s="23">
        <f>ROUND(O277 + P277, 2)</f>
        <v/>
      </c>
      <c r="R277" s="23">
        <f>Saldo_Residual_Activo!K277</f>
        <v/>
      </c>
      <c r="S277" s="23">
        <f>ROUND(Q277 + R277, 2)</f>
        <v/>
      </c>
      <c r="T277" s="23">
        <f>Saldos_Capital_Mensual!L277</f>
        <v/>
      </c>
      <c r="U277" s="23">
        <f>Saldos_Intereses_Mensual!L277</f>
        <v/>
      </c>
      <c r="V277" s="23">
        <f>ROUND(T277 + U277, 2)</f>
        <v/>
      </c>
      <c r="W277" s="23">
        <f>Saldo_Residual_Activo!L277</f>
        <v/>
      </c>
      <c r="X277" s="23">
        <f>ROUND(V277 + W277, 2)</f>
        <v/>
      </c>
      <c r="Y277" s="23">
        <f>Saldos_Capital_Mensual!M277</f>
        <v/>
      </c>
      <c r="Z277" s="23">
        <f>Saldos_Intereses_Mensual!M277</f>
        <v/>
      </c>
      <c r="AA277" s="23">
        <f>ROUND(Y277 + Z277, 2)</f>
        <v/>
      </c>
      <c r="AB277" s="23">
        <f>Saldo_Residual_Activo!M277</f>
        <v/>
      </c>
      <c r="AC277" s="23">
        <f>ROUND(AA277 + AB277, 2)</f>
        <v/>
      </c>
      <c r="AD277" s="23">
        <f>Saldos_Capital_Mensual!N277</f>
        <v/>
      </c>
      <c r="AE277" s="23">
        <f>Saldos_Intereses_Mensual!N277</f>
        <v/>
      </c>
      <c r="AF277" s="23">
        <f>ROUND(AD277 + AE277, 2)</f>
        <v/>
      </c>
      <c r="AG277" s="23">
        <f>Saldo_Residual_Activo!N277</f>
        <v/>
      </c>
      <c r="AH277" s="23">
        <f>ROUND(AF277 + AG277, 2)</f>
        <v/>
      </c>
      <c r="AI277" s="23">
        <f>Saldos_Capital_Mensual!O277</f>
        <v/>
      </c>
      <c r="AJ277" s="23">
        <f>Saldos_Intereses_Mensual!O277</f>
        <v/>
      </c>
      <c r="AK277" s="23">
        <f>ROUND(AI277 + AJ277, 2)</f>
        <v/>
      </c>
      <c r="AL277" s="23">
        <f>Saldo_Residual_Activo!O277</f>
        <v/>
      </c>
      <c r="AM277" s="23">
        <f>ROUND(AK277 + AL277, 2)</f>
        <v/>
      </c>
      <c r="AN277" s="23">
        <f>Saldos_Capital_Mensual!P277</f>
        <v/>
      </c>
      <c r="AO277" s="23">
        <f>Saldos_Intereses_Mensual!P277</f>
        <v/>
      </c>
      <c r="AP277" s="23">
        <f>ROUND(AN277 + AO277, 2)</f>
        <v/>
      </c>
      <c r="AQ277" s="23">
        <f>Saldo_Residual_Activo!P277</f>
        <v/>
      </c>
      <c r="AR277" s="23">
        <f>ROUND(AP277 + AQ277, 2)</f>
        <v/>
      </c>
      <c r="AS277" s="23">
        <f>Saldos_Capital_Mensual!Q277</f>
        <v/>
      </c>
      <c r="AT277" s="23">
        <f>Saldos_Intereses_Mensual!Q277</f>
        <v/>
      </c>
      <c r="AU277" s="23">
        <f>ROUND(AS277 + AT277, 2)</f>
        <v/>
      </c>
      <c r="AV277" s="23">
        <f>Saldo_Residual_Activo!Q277</f>
        <v/>
      </c>
      <c r="AW277" s="23">
        <f>ROUND(AU277 + AV277, 2)</f>
        <v/>
      </c>
      <c r="AX277" s="23">
        <f>Saldos_Capital_Mensual!R277</f>
        <v/>
      </c>
      <c r="AY277" s="23">
        <f>Saldos_Intereses_Mensual!R277</f>
        <v/>
      </c>
      <c r="AZ277" s="23">
        <f>ROUND(AX277 + AY277, 2)</f>
        <v/>
      </c>
      <c r="BA277" s="23">
        <f>Saldo_Residual_Activo!R277</f>
        <v/>
      </c>
      <c r="BB277" s="23">
        <f>ROUND(AZ277 + BA277, 2)</f>
        <v/>
      </c>
      <c r="BC277" s="23">
        <f>Saldos_Capital_Mensual!S277</f>
        <v/>
      </c>
      <c r="BD277" s="23">
        <f>Saldos_Intereses_Mensual!S277</f>
        <v/>
      </c>
      <c r="BE277" s="23">
        <f>ROUND(BC277 + BD277, 2)</f>
        <v/>
      </c>
      <c r="BF277" s="23">
        <f>Saldo_Residual_Activo!S277</f>
        <v/>
      </c>
      <c r="BG277" s="23">
        <f>ROUND(BE277 + BF277, 2)</f>
        <v/>
      </c>
      <c r="BH277" s="23">
        <f>Saldos_Capital_Mensual!T277</f>
        <v/>
      </c>
      <c r="BI277" s="23">
        <f>Saldos_Intereses_Mensual!T277</f>
        <v/>
      </c>
      <c r="BJ277" s="23">
        <f>ROUND(BH277 + BI277, 2)</f>
        <v/>
      </c>
      <c r="BK277" s="23">
        <f>Saldo_Residual_Activo!T277</f>
        <v/>
      </c>
      <c r="BL277" s="23">
        <f>ROUND(BJ277 + BK277, 2)</f>
        <v/>
      </c>
    </row>
    <row r="278">
      <c r="A278" s="26" t="inlineStr">
        <is>
          <t>0783-0001</t>
        </is>
      </c>
      <c r="B278" s="27" t="inlineStr">
        <is>
          <t>Nuup Trading, S.A. de C.V.</t>
        </is>
      </c>
      <c r="C278" s="27" t="inlineStr">
        <is>
          <t>Jeep Renegade 2026</t>
        </is>
      </c>
      <c r="D278" s="28" t="n">
        <v>24</v>
      </c>
      <c r="E278" s="29">
        <f>Saldos_Capital_Mensual!I278</f>
        <v/>
      </c>
      <c r="F278" s="29">
        <f>Saldos_Intereses_Mensual!I278</f>
        <v/>
      </c>
      <c r="G278" s="29">
        <f>ROUND(E278 + F278, 2)</f>
        <v/>
      </c>
      <c r="H278" s="29">
        <f>Saldo_Residual_Activo!I278</f>
        <v/>
      </c>
      <c r="I278" s="29">
        <f>ROUND(G278 + H278, 2)</f>
        <v/>
      </c>
      <c r="J278" s="29">
        <f>Saldos_Capital_Mensual!J278</f>
        <v/>
      </c>
      <c r="K278" s="29">
        <f>Saldos_Intereses_Mensual!J278</f>
        <v/>
      </c>
      <c r="L278" s="29">
        <f>ROUND(J278 + K278, 2)</f>
        <v/>
      </c>
      <c r="M278" s="29">
        <f>Saldo_Residual_Activo!J278</f>
        <v/>
      </c>
      <c r="N278" s="29">
        <f>ROUND(L278 + M278, 2)</f>
        <v/>
      </c>
      <c r="O278" s="29">
        <f>Saldos_Capital_Mensual!K278</f>
        <v/>
      </c>
      <c r="P278" s="29">
        <f>Saldos_Intereses_Mensual!K278</f>
        <v/>
      </c>
      <c r="Q278" s="29">
        <f>ROUND(O278 + P278, 2)</f>
        <v/>
      </c>
      <c r="R278" s="29">
        <f>Saldo_Residual_Activo!K278</f>
        <v/>
      </c>
      <c r="S278" s="29">
        <f>ROUND(Q278 + R278, 2)</f>
        <v/>
      </c>
      <c r="T278" s="29">
        <f>Saldos_Capital_Mensual!L278</f>
        <v/>
      </c>
      <c r="U278" s="29">
        <f>Saldos_Intereses_Mensual!L278</f>
        <v/>
      </c>
      <c r="V278" s="29">
        <f>ROUND(T278 + U278, 2)</f>
        <v/>
      </c>
      <c r="W278" s="29">
        <f>Saldo_Residual_Activo!L278</f>
        <v/>
      </c>
      <c r="X278" s="29">
        <f>ROUND(V278 + W278, 2)</f>
        <v/>
      </c>
      <c r="Y278" s="29">
        <f>Saldos_Capital_Mensual!M278</f>
        <v/>
      </c>
      <c r="Z278" s="29">
        <f>Saldos_Intereses_Mensual!M278</f>
        <v/>
      </c>
      <c r="AA278" s="29">
        <f>ROUND(Y278 + Z278, 2)</f>
        <v/>
      </c>
      <c r="AB278" s="29">
        <f>Saldo_Residual_Activo!M278</f>
        <v/>
      </c>
      <c r="AC278" s="29">
        <f>ROUND(AA278 + AB278, 2)</f>
        <v/>
      </c>
      <c r="AD278" s="29">
        <f>Saldos_Capital_Mensual!N278</f>
        <v/>
      </c>
      <c r="AE278" s="29">
        <f>Saldos_Intereses_Mensual!N278</f>
        <v/>
      </c>
      <c r="AF278" s="29">
        <f>ROUND(AD278 + AE278, 2)</f>
        <v/>
      </c>
      <c r="AG278" s="29">
        <f>Saldo_Residual_Activo!N278</f>
        <v/>
      </c>
      <c r="AH278" s="29">
        <f>ROUND(AF278 + AG278, 2)</f>
        <v/>
      </c>
      <c r="AI278" s="29">
        <f>Saldos_Capital_Mensual!O278</f>
        <v/>
      </c>
      <c r="AJ278" s="29">
        <f>Saldos_Intereses_Mensual!O278</f>
        <v/>
      </c>
      <c r="AK278" s="29">
        <f>ROUND(AI278 + AJ278, 2)</f>
        <v/>
      </c>
      <c r="AL278" s="29">
        <f>Saldo_Residual_Activo!O278</f>
        <v/>
      </c>
      <c r="AM278" s="29">
        <f>ROUND(AK278 + AL278, 2)</f>
        <v/>
      </c>
      <c r="AN278" s="29">
        <f>Saldos_Capital_Mensual!P278</f>
        <v/>
      </c>
      <c r="AO278" s="29">
        <f>Saldos_Intereses_Mensual!P278</f>
        <v/>
      </c>
      <c r="AP278" s="29">
        <f>ROUND(AN278 + AO278, 2)</f>
        <v/>
      </c>
      <c r="AQ278" s="29">
        <f>Saldo_Residual_Activo!P278</f>
        <v/>
      </c>
      <c r="AR278" s="29">
        <f>ROUND(AP278 + AQ278, 2)</f>
        <v/>
      </c>
      <c r="AS278" s="29">
        <f>Saldos_Capital_Mensual!Q278</f>
        <v/>
      </c>
      <c r="AT278" s="29">
        <f>Saldos_Intereses_Mensual!Q278</f>
        <v/>
      </c>
      <c r="AU278" s="29">
        <f>ROUND(AS278 + AT278, 2)</f>
        <v/>
      </c>
      <c r="AV278" s="29">
        <f>Saldo_Residual_Activo!Q278</f>
        <v/>
      </c>
      <c r="AW278" s="29">
        <f>ROUND(AU278 + AV278, 2)</f>
        <v/>
      </c>
      <c r="AX278" s="29">
        <f>Saldos_Capital_Mensual!R278</f>
        <v/>
      </c>
      <c r="AY278" s="29">
        <f>Saldos_Intereses_Mensual!R278</f>
        <v/>
      </c>
      <c r="AZ278" s="29">
        <f>ROUND(AX278 + AY278, 2)</f>
        <v/>
      </c>
      <c r="BA278" s="29">
        <f>Saldo_Residual_Activo!R278</f>
        <v/>
      </c>
      <c r="BB278" s="29">
        <f>ROUND(AZ278 + BA278, 2)</f>
        <v/>
      </c>
      <c r="BC278" s="29">
        <f>Saldos_Capital_Mensual!S278</f>
        <v/>
      </c>
      <c r="BD278" s="29">
        <f>Saldos_Intereses_Mensual!S278</f>
        <v/>
      </c>
      <c r="BE278" s="29">
        <f>ROUND(BC278 + BD278, 2)</f>
        <v/>
      </c>
      <c r="BF278" s="29">
        <f>Saldo_Residual_Activo!S278</f>
        <v/>
      </c>
      <c r="BG278" s="29">
        <f>ROUND(BE278 + BF278, 2)</f>
        <v/>
      </c>
      <c r="BH278" s="29">
        <f>Saldos_Capital_Mensual!T278</f>
        <v/>
      </c>
      <c r="BI278" s="29">
        <f>Saldos_Intereses_Mensual!T278</f>
        <v/>
      </c>
      <c r="BJ278" s="29">
        <f>ROUND(BH278 + BI278, 2)</f>
        <v/>
      </c>
      <c r="BK278" s="29">
        <f>Saldo_Residual_Activo!T278</f>
        <v/>
      </c>
      <c r="BL278" s="29">
        <f>ROUND(BJ278 + BK278, 2)</f>
        <v/>
      </c>
    </row>
    <row r="279">
      <c r="A279" s="20" t="inlineStr">
        <is>
          <t>0784-0001</t>
        </is>
      </c>
      <c r="B279" s="21" t="inlineStr">
        <is>
          <t>Enruta App, S.A. de C.V.</t>
        </is>
      </c>
      <c r="C279" s="21" t="inlineStr">
        <is>
          <t>Dodge Attitude GT 2026</t>
        </is>
      </c>
      <c r="D279" s="22" t="n">
        <v>12</v>
      </c>
      <c r="E279" s="23">
        <f>Saldos_Capital_Mensual!I279</f>
        <v/>
      </c>
      <c r="F279" s="23">
        <f>Saldos_Intereses_Mensual!I279</f>
        <v/>
      </c>
      <c r="G279" s="23">
        <f>ROUND(E279 + F279, 2)</f>
        <v/>
      </c>
      <c r="H279" s="23">
        <f>Saldo_Residual_Activo!I279</f>
        <v/>
      </c>
      <c r="I279" s="23">
        <f>ROUND(G279 + H279, 2)</f>
        <v/>
      </c>
      <c r="J279" s="23">
        <f>Saldos_Capital_Mensual!J279</f>
        <v/>
      </c>
      <c r="K279" s="23">
        <f>Saldos_Intereses_Mensual!J279</f>
        <v/>
      </c>
      <c r="L279" s="23">
        <f>ROUND(J279 + K279, 2)</f>
        <v/>
      </c>
      <c r="M279" s="23">
        <f>Saldo_Residual_Activo!J279</f>
        <v/>
      </c>
      <c r="N279" s="23">
        <f>ROUND(L279 + M279, 2)</f>
        <v/>
      </c>
      <c r="O279" s="23">
        <f>Saldos_Capital_Mensual!K279</f>
        <v/>
      </c>
      <c r="P279" s="23">
        <f>Saldos_Intereses_Mensual!K279</f>
        <v/>
      </c>
      <c r="Q279" s="23">
        <f>ROUND(O279 + P279, 2)</f>
        <v/>
      </c>
      <c r="R279" s="23">
        <f>Saldo_Residual_Activo!K279</f>
        <v/>
      </c>
      <c r="S279" s="23">
        <f>ROUND(Q279 + R279, 2)</f>
        <v/>
      </c>
      <c r="T279" s="23">
        <f>Saldos_Capital_Mensual!L279</f>
        <v/>
      </c>
      <c r="U279" s="23">
        <f>Saldos_Intereses_Mensual!L279</f>
        <v/>
      </c>
      <c r="V279" s="23">
        <f>ROUND(T279 + U279, 2)</f>
        <v/>
      </c>
      <c r="W279" s="23">
        <f>Saldo_Residual_Activo!L279</f>
        <v/>
      </c>
      <c r="X279" s="23">
        <f>ROUND(V279 + W279, 2)</f>
        <v/>
      </c>
      <c r="Y279" s="23">
        <f>Saldos_Capital_Mensual!M279</f>
        <v/>
      </c>
      <c r="Z279" s="23">
        <f>Saldos_Intereses_Mensual!M279</f>
        <v/>
      </c>
      <c r="AA279" s="23">
        <f>ROUND(Y279 + Z279, 2)</f>
        <v/>
      </c>
      <c r="AB279" s="23">
        <f>Saldo_Residual_Activo!M279</f>
        <v/>
      </c>
      <c r="AC279" s="23">
        <f>ROUND(AA279 + AB279, 2)</f>
        <v/>
      </c>
      <c r="AD279" s="23">
        <f>Saldos_Capital_Mensual!N279</f>
        <v/>
      </c>
      <c r="AE279" s="23">
        <f>Saldos_Intereses_Mensual!N279</f>
        <v/>
      </c>
      <c r="AF279" s="23">
        <f>ROUND(AD279 + AE279, 2)</f>
        <v/>
      </c>
      <c r="AG279" s="23">
        <f>Saldo_Residual_Activo!N279</f>
        <v/>
      </c>
      <c r="AH279" s="23">
        <f>ROUND(AF279 + AG279, 2)</f>
        <v/>
      </c>
      <c r="AI279" s="23">
        <f>Saldos_Capital_Mensual!O279</f>
        <v/>
      </c>
      <c r="AJ279" s="23">
        <f>Saldos_Intereses_Mensual!O279</f>
        <v/>
      </c>
      <c r="AK279" s="23">
        <f>ROUND(AI279 + AJ279, 2)</f>
        <v/>
      </c>
      <c r="AL279" s="23">
        <f>Saldo_Residual_Activo!O279</f>
        <v/>
      </c>
      <c r="AM279" s="23">
        <f>ROUND(AK279 + AL279, 2)</f>
        <v/>
      </c>
      <c r="AN279" s="23">
        <f>Saldos_Capital_Mensual!P279</f>
        <v/>
      </c>
      <c r="AO279" s="23">
        <f>Saldos_Intereses_Mensual!P279</f>
        <v/>
      </c>
      <c r="AP279" s="23">
        <f>ROUND(AN279 + AO279, 2)</f>
        <v/>
      </c>
      <c r="AQ279" s="23">
        <f>Saldo_Residual_Activo!P279</f>
        <v/>
      </c>
      <c r="AR279" s="23">
        <f>ROUND(AP279 + AQ279, 2)</f>
        <v/>
      </c>
      <c r="AS279" s="23">
        <f>Saldos_Capital_Mensual!Q279</f>
        <v/>
      </c>
      <c r="AT279" s="23">
        <f>Saldos_Intereses_Mensual!Q279</f>
        <v/>
      </c>
      <c r="AU279" s="23">
        <f>ROUND(AS279 + AT279, 2)</f>
        <v/>
      </c>
      <c r="AV279" s="23">
        <f>Saldo_Residual_Activo!Q279</f>
        <v/>
      </c>
      <c r="AW279" s="23">
        <f>ROUND(AU279 + AV279, 2)</f>
        <v/>
      </c>
      <c r="AX279" s="23">
        <f>Saldos_Capital_Mensual!R279</f>
        <v/>
      </c>
      <c r="AY279" s="23">
        <f>Saldos_Intereses_Mensual!R279</f>
        <v/>
      </c>
      <c r="AZ279" s="23">
        <f>ROUND(AX279 + AY279, 2)</f>
        <v/>
      </c>
      <c r="BA279" s="23">
        <f>Saldo_Residual_Activo!R279</f>
        <v/>
      </c>
      <c r="BB279" s="23">
        <f>ROUND(AZ279 + BA279, 2)</f>
        <v/>
      </c>
      <c r="BC279" s="23">
        <f>Saldos_Capital_Mensual!S279</f>
        <v/>
      </c>
      <c r="BD279" s="23">
        <f>Saldos_Intereses_Mensual!S279</f>
        <v/>
      </c>
      <c r="BE279" s="23">
        <f>ROUND(BC279 + BD279, 2)</f>
        <v/>
      </c>
      <c r="BF279" s="23">
        <f>Saldo_Residual_Activo!S279</f>
        <v/>
      </c>
      <c r="BG279" s="23">
        <f>ROUND(BE279 + BF279, 2)</f>
        <v/>
      </c>
      <c r="BH279" s="23">
        <f>Saldos_Capital_Mensual!T279</f>
        <v/>
      </c>
      <c r="BI279" s="23">
        <f>Saldos_Intereses_Mensual!T279</f>
        <v/>
      </c>
      <c r="BJ279" s="23">
        <f>ROUND(BH279 + BI279, 2)</f>
        <v/>
      </c>
      <c r="BK279" s="23">
        <f>Saldo_Residual_Activo!T279</f>
        <v/>
      </c>
      <c r="BL279" s="23">
        <f>ROUND(BJ279 + BK279, 2)</f>
        <v/>
      </c>
    </row>
    <row r="280">
      <c r="A280" s="26" t="inlineStr">
        <is>
          <t>0785-0001</t>
        </is>
      </c>
      <c r="B280" s="27" t="inlineStr">
        <is>
          <t>Velazquez Guerrero y Asociados, S.C.</t>
        </is>
      </c>
      <c r="C280" s="27" t="inlineStr">
        <is>
          <t>Peugeot Rifter Allure Pack 2027</t>
        </is>
      </c>
      <c r="D280" s="28" t="n">
        <v>24</v>
      </c>
      <c r="E280" s="29">
        <f>Saldos_Capital_Mensual!I280</f>
        <v/>
      </c>
      <c r="F280" s="29">
        <f>Saldos_Intereses_Mensual!I280</f>
        <v/>
      </c>
      <c r="G280" s="29">
        <f>ROUND(E280 + F280, 2)</f>
        <v/>
      </c>
      <c r="H280" s="29">
        <f>Saldo_Residual_Activo!I280</f>
        <v/>
      </c>
      <c r="I280" s="29">
        <f>ROUND(G280 + H280, 2)</f>
        <v/>
      </c>
      <c r="J280" s="29">
        <f>Saldos_Capital_Mensual!J280</f>
        <v/>
      </c>
      <c r="K280" s="29">
        <f>Saldos_Intereses_Mensual!J280</f>
        <v/>
      </c>
      <c r="L280" s="29">
        <f>ROUND(J280 + K280, 2)</f>
        <v/>
      </c>
      <c r="M280" s="29">
        <f>Saldo_Residual_Activo!J280</f>
        <v/>
      </c>
      <c r="N280" s="29">
        <f>ROUND(L280 + M280, 2)</f>
        <v/>
      </c>
      <c r="O280" s="29">
        <f>Saldos_Capital_Mensual!K280</f>
        <v/>
      </c>
      <c r="P280" s="29">
        <f>Saldos_Intereses_Mensual!K280</f>
        <v/>
      </c>
      <c r="Q280" s="29">
        <f>ROUND(O280 + P280, 2)</f>
        <v/>
      </c>
      <c r="R280" s="29">
        <f>Saldo_Residual_Activo!K280</f>
        <v/>
      </c>
      <c r="S280" s="29">
        <f>ROUND(Q280 + R280, 2)</f>
        <v/>
      </c>
      <c r="T280" s="29">
        <f>Saldos_Capital_Mensual!L280</f>
        <v/>
      </c>
      <c r="U280" s="29">
        <f>Saldos_Intereses_Mensual!L280</f>
        <v/>
      </c>
      <c r="V280" s="29">
        <f>ROUND(T280 + U280, 2)</f>
        <v/>
      </c>
      <c r="W280" s="29">
        <f>Saldo_Residual_Activo!L280</f>
        <v/>
      </c>
      <c r="X280" s="29">
        <f>ROUND(V280 + W280, 2)</f>
        <v/>
      </c>
      <c r="Y280" s="29">
        <f>Saldos_Capital_Mensual!M280</f>
        <v/>
      </c>
      <c r="Z280" s="29">
        <f>Saldos_Intereses_Mensual!M280</f>
        <v/>
      </c>
      <c r="AA280" s="29">
        <f>ROUND(Y280 + Z280, 2)</f>
        <v/>
      </c>
      <c r="AB280" s="29">
        <f>Saldo_Residual_Activo!M280</f>
        <v/>
      </c>
      <c r="AC280" s="29">
        <f>ROUND(AA280 + AB280, 2)</f>
        <v/>
      </c>
      <c r="AD280" s="29">
        <f>Saldos_Capital_Mensual!N280</f>
        <v/>
      </c>
      <c r="AE280" s="29">
        <f>Saldos_Intereses_Mensual!N280</f>
        <v/>
      </c>
      <c r="AF280" s="29">
        <f>ROUND(AD280 + AE280, 2)</f>
        <v/>
      </c>
      <c r="AG280" s="29">
        <f>Saldo_Residual_Activo!N280</f>
        <v/>
      </c>
      <c r="AH280" s="29">
        <f>ROUND(AF280 + AG280, 2)</f>
        <v/>
      </c>
      <c r="AI280" s="29">
        <f>Saldos_Capital_Mensual!O280</f>
        <v/>
      </c>
      <c r="AJ280" s="29">
        <f>Saldos_Intereses_Mensual!O280</f>
        <v/>
      </c>
      <c r="AK280" s="29">
        <f>ROUND(AI280 + AJ280, 2)</f>
        <v/>
      </c>
      <c r="AL280" s="29">
        <f>Saldo_Residual_Activo!O280</f>
        <v/>
      </c>
      <c r="AM280" s="29">
        <f>ROUND(AK280 + AL280, 2)</f>
        <v/>
      </c>
      <c r="AN280" s="29">
        <f>Saldos_Capital_Mensual!P280</f>
        <v/>
      </c>
      <c r="AO280" s="29">
        <f>Saldos_Intereses_Mensual!P280</f>
        <v/>
      </c>
      <c r="AP280" s="29">
        <f>ROUND(AN280 + AO280, 2)</f>
        <v/>
      </c>
      <c r="AQ280" s="29">
        <f>Saldo_Residual_Activo!P280</f>
        <v/>
      </c>
      <c r="AR280" s="29">
        <f>ROUND(AP280 + AQ280, 2)</f>
        <v/>
      </c>
      <c r="AS280" s="29">
        <f>Saldos_Capital_Mensual!Q280</f>
        <v/>
      </c>
      <c r="AT280" s="29">
        <f>Saldos_Intereses_Mensual!Q280</f>
        <v/>
      </c>
      <c r="AU280" s="29">
        <f>ROUND(AS280 + AT280, 2)</f>
        <v/>
      </c>
      <c r="AV280" s="29">
        <f>Saldo_Residual_Activo!Q280</f>
        <v/>
      </c>
      <c r="AW280" s="29">
        <f>ROUND(AU280 + AV280, 2)</f>
        <v/>
      </c>
      <c r="AX280" s="29">
        <f>Saldos_Capital_Mensual!R280</f>
        <v/>
      </c>
      <c r="AY280" s="29">
        <f>Saldos_Intereses_Mensual!R280</f>
        <v/>
      </c>
      <c r="AZ280" s="29">
        <f>ROUND(AX280 + AY280, 2)</f>
        <v/>
      </c>
      <c r="BA280" s="29">
        <f>Saldo_Residual_Activo!R280</f>
        <v/>
      </c>
      <c r="BB280" s="29">
        <f>ROUND(AZ280 + BA280, 2)</f>
        <v/>
      </c>
      <c r="BC280" s="29">
        <f>Saldos_Capital_Mensual!S280</f>
        <v/>
      </c>
      <c r="BD280" s="29">
        <f>Saldos_Intereses_Mensual!S280</f>
        <v/>
      </c>
      <c r="BE280" s="29">
        <f>ROUND(BC280 + BD280, 2)</f>
        <v/>
      </c>
      <c r="BF280" s="29">
        <f>Saldo_Residual_Activo!S280</f>
        <v/>
      </c>
      <c r="BG280" s="29">
        <f>ROUND(BE280 + BF280, 2)</f>
        <v/>
      </c>
      <c r="BH280" s="29">
        <f>Saldos_Capital_Mensual!T280</f>
        <v/>
      </c>
      <c r="BI280" s="29">
        <f>Saldos_Intereses_Mensual!T280</f>
        <v/>
      </c>
      <c r="BJ280" s="29">
        <f>ROUND(BH280 + BI280, 2)</f>
        <v/>
      </c>
      <c r="BK280" s="29">
        <f>Saldo_Residual_Activo!T280</f>
        <v/>
      </c>
      <c r="BL280" s="29">
        <f>ROUND(BJ280 + BK280, 2)</f>
        <v/>
      </c>
    </row>
    <row r="281">
      <c r="A281" s="20" t="inlineStr">
        <is>
          <t>0786-0001</t>
        </is>
      </c>
      <c r="B281" s="21" t="inlineStr">
        <is>
          <t>Consejería Jurídico Empresarial, S.C.</t>
        </is>
      </c>
      <c r="C281" s="21" t="inlineStr">
        <is>
          <t>Mitsubishi Outlander Sport Limited 2027</t>
        </is>
      </c>
      <c r="D281" s="22" t="n">
        <v>24</v>
      </c>
      <c r="E281" s="23">
        <f>Saldos_Capital_Mensual!I281</f>
        <v/>
      </c>
      <c r="F281" s="23">
        <f>Saldos_Intereses_Mensual!I281</f>
        <v/>
      </c>
      <c r="G281" s="23">
        <f>ROUND(E281 + F281, 2)</f>
        <v/>
      </c>
      <c r="H281" s="23">
        <f>Saldo_Residual_Activo!I281</f>
        <v/>
      </c>
      <c r="I281" s="23">
        <f>ROUND(G281 + H281, 2)</f>
        <v/>
      </c>
      <c r="J281" s="23">
        <f>Saldos_Capital_Mensual!J281</f>
        <v/>
      </c>
      <c r="K281" s="23">
        <f>Saldos_Intereses_Mensual!J281</f>
        <v/>
      </c>
      <c r="L281" s="23">
        <f>ROUND(J281 + K281, 2)</f>
        <v/>
      </c>
      <c r="M281" s="23">
        <f>Saldo_Residual_Activo!J281</f>
        <v/>
      </c>
      <c r="N281" s="23">
        <f>ROUND(L281 + M281, 2)</f>
        <v/>
      </c>
      <c r="O281" s="23">
        <f>Saldos_Capital_Mensual!K281</f>
        <v/>
      </c>
      <c r="P281" s="23">
        <f>Saldos_Intereses_Mensual!K281</f>
        <v/>
      </c>
      <c r="Q281" s="23">
        <f>ROUND(O281 + P281, 2)</f>
        <v/>
      </c>
      <c r="R281" s="23">
        <f>Saldo_Residual_Activo!K281</f>
        <v/>
      </c>
      <c r="S281" s="23">
        <f>ROUND(Q281 + R281, 2)</f>
        <v/>
      </c>
      <c r="T281" s="23">
        <f>Saldos_Capital_Mensual!L281</f>
        <v/>
      </c>
      <c r="U281" s="23">
        <f>Saldos_Intereses_Mensual!L281</f>
        <v/>
      </c>
      <c r="V281" s="23">
        <f>ROUND(T281 + U281, 2)</f>
        <v/>
      </c>
      <c r="W281" s="23">
        <f>Saldo_Residual_Activo!L281</f>
        <v/>
      </c>
      <c r="X281" s="23">
        <f>ROUND(V281 + W281, 2)</f>
        <v/>
      </c>
      <c r="Y281" s="23">
        <f>Saldos_Capital_Mensual!M281</f>
        <v/>
      </c>
      <c r="Z281" s="23">
        <f>Saldos_Intereses_Mensual!M281</f>
        <v/>
      </c>
      <c r="AA281" s="23">
        <f>ROUND(Y281 + Z281, 2)</f>
        <v/>
      </c>
      <c r="AB281" s="23">
        <f>Saldo_Residual_Activo!M281</f>
        <v/>
      </c>
      <c r="AC281" s="23">
        <f>ROUND(AA281 + AB281, 2)</f>
        <v/>
      </c>
      <c r="AD281" s="23">
        <f>Saldos_Capital_Mensual!N281</f>
        <v/>
      </c>
      <c r="AE281" s="23">
        <f>Saldos_Intereses_Mensual!N281</f>
        <v/>
      </c>
      <c r="AF281" s="23">
        <f>ROUND(AD281 + AE281, 2)</f>
        <v/>
      </c>
      <c r="AG281" s="23">
        <f>Saldo_Residual_Activo!N281</f>
        <v/>
      </c>
      <c r="AH281" s="23">
        <f>ROUND(AF281 + AG281, 2)</f>
        <v/>
      </c>
      <c r="AI281" s="23">
        <f>Saldos_Capital_Mensual!O281</f>
        <v/>
      </c>
      <c r="AJ281" s="23">
        <f>Saldos_Intereses_Mensual!O281</f>
        <v/>
      </c>
      <c r="AK281" s="23">
        <f>ROUND(AI281 + AJ281, 2)</f>
        <v/>
      </c>
      <c r="AL281" s="23">
        <f>Saldo_Residual_Activo!O281</f>
        <v/>
      </c>
      <c r="AM281" s="23">
        <f>ROUND(AK281 + AL281, 2)</f>
        <v/>
      </c>
      <c r="AN281" s="23">
        <f>Saldos_Capital_Mensual!P281</f>
        <v/>
      </c>
      <c r="AO281" s="23">
        <f>Saldos_Intereses_Mensual!P281</f>
        <v/>
      </c>
      <c r="AP281" s="23">
        <f>ROUND(AN281 + AO281, 2)</f>
        <v/>
      </c>
      <c r="AQ281" s="23">
        <f>Saldo_Residual_Activo!P281</f>
        <v/>
      </c>
      <c r="AR281" s="23">
        <f>ROUND(AP281 + AQ281, 2)</f>
        <v/>
      </c>
      <c r="AS281" s="23">
        <f>Saldos_Capital_Mensual!Q281</f>
        <v/>
      </c>
      <c r="AT281" s="23">
        <f>Saldos_Intereses_Mensual!Q281</f>
        <v/>
      </c>
      <c r="AU281" s="23">
        <f>ROUND(AS281 + AT281, 2)</f>
        <v/>
      </c>
      <c r="AV281" s="23">
        <f>Saldo_Residual_Activo!Q281</f>
        <v/>
      </c>
      <c r="AW281" s="23">
        <f>ROUND(AU281 + AV281, 2)</f>
        <v/>
      </c>
      <c r="AX281" s="23">
        <f>Saldos_Capital_Mensual!R281</f>
        <v/>
      </c>
      <c r="AY281" s="23">
        <f>Saldos_Intereses_Mensual!R281</f>
        <v/>
      </c>
      <c r="AZ281" s="23">
        <f>ROUND(AX281 + AY281, 2)</f>
        <v/>
      </c>
      <c r="BA281" s="23">
        <f>Saldo_Residual_Activo!R281</f>
        <v/>
      </c>
      <c r="BB281" s="23">
        <f>ROUND(AZ281 + BA281, 2)</f>
        <v/>
      </c>
      <c r="BC281" s="23">
        <f>Saldos_Capital_Mensual!S281</f>
        <v/>
      </c>
      <c r="BD281" s="23">
        <f>Saldos_Intereses_Mensual!S281</f>
        <v/>
      </c>
      <c r="BE281" s="23">
        <f>ROUND(BC281 + BD281, 2)</f>
        <v/>
      </c>
      <c r="BF281" s="23">
        <f>Saldo_Residual_Activo!S281</f>
        <v/>
      </c>
      <c r="BG281" s="23">
        <f>ROUND(BE281 + BF281, 2)</f>
        <v/>
      </c>
      <c r="BH281" s="23">
        <f>Saldos_Capital_Mensual!T281</f>
        <v/>
      </c>
      <c r="BI281" s="23">
        <f>Saldos_Intereses_Mensual!T281</f>
        <v/>
      </c>
      <c r="BJ281" s="23">
        <f>ROUND(BH281 + BI281, 2)</f>
        <v/>
      </c>
      <c r="BK281" s="23">
        <f>Saldo_Residual_Activo!T281</f>
        <v/>
      </c>
      <c r="BL281" s="23">
        <f>ROUND(BJ281 + BK281, 2)</f>
        <v/>
      </c>
    </row>
    <row r="282">
      <c r="A282" s="32" t="inlineStr">
        <is>
          <t>TOTAL CARTERA</t>
        </is>
      </c>
      <c r="B282" s="33" t="inlineStr">
        <is>
          <t>277 Contratos</t>
        </is>
      </c>
      <c r="C282" s="34" t="n"/>
      <c r="D282" s="34" t="n"/>
      <c r="E282" s="35">
        <f>SUM(E5:E281)</f>
        <v/>
      </c>
      <c r="F282" s="35">
        <f>SUM(F5:F281)</f>
        <v/>
      </c>
      <c r="G282" s="35">
        <f>SUM(G5:G281)</f>
        <v/>
      </c>
      <c r="H282" s="35">
        <f>SUM(H5:H281)</f>
        <v/>
      </c>
      <c r="I282" s="35">
        <f>SUM(I5:I281)</f>
        <v/>
      </c>
      <c r="J282" s="35">
        <f>SUM(J5:J281)</f>
        <v/>
      </c>
      <c r="K282" s="35">
        <f>SUM(K5:K281)</f>
        <v/>
      </c>
      <c r="L282" s="35">
        <f>SUM(L5:L281)</f>
        <v/>
      </c>
      <c r="M282" s="35">
        <f>SUM(M5:M281)</f>
        <v/>
      </c>
      <c r="N282" s="35">
        <f>SUM(N5:N281)</f>
        <v/>
      </c>
      <c r="O282" s="35">
        <f>SUM(O5:O281)</f>
        <v/>
      </c>
      <c r="P282" s="35">
        <f>SUM(P5:P281)</f>
        <v/>
      </c>
      <c r="Q282" s="35">
        <f>SUM(Q5:Q281)</f>
        <v/>
      </c>
      <c r="R282" s="35">
        <f>SUM(R5:R281)</f>
        <v/>
      </c>
      <c r="S282" s="35">
        <f>SUM(S5:S281)</f>
        <v/>
      </c>
      <c r="T282" s="35">
        <f>SUM(T5:T281)</f>
        <v/>
      </c>
      <c r="U282" s="35">
        <f>SUM(U5:U281)</f>
        <v/>
      </c>
      <c r="V282" s="35">
        <f>SUM(V5:V281)</f>
        <v/>
      </c>
      <c r="W282" s="35">
        <f>SUM(W5:W281)</f>
        <v/>
      </c>
      <c r="X282" s="35">
        <f>SUM(X5:X281)</f>
        <v/>
      </c>
      <c r="Y282" s="35">
        <f>SUM(Y5:Y281)</f>
        <v/>
      </c>
      <c r="Z282" s="35">
        <f>SUM(Z5:Z281)</f>
        <v/>
      </c>
      <c r="AA282" s="35">
        <f>SUM(AA5:AA281)</f>
        <v/>
      </c>
      <c r="AB282" s="35">
        <f>SUM(AB5:AB281)</f>
        <v/>
      </c>
      <c r="AC282" s="35">
        <f>SUM(AC5:AC281)</f>
        <v/>
      </c>
      <c r="AD282" s="35">
        <f>SUM(AD5:AD281)</f>
        <v/>
      </c>
      <c r="AE282" s="35">
        <f>SUM(AE5:AE281)</f>
        <v/>
      </c>
      <c r="AF282" s="35">
        <f>SUM(AF5:AF281)</f>
        <v/>
      </c>
      <c r="AG282" s="35">
        <f>SUM(AG5:AG281)</f>
        <v/>
      </c>
      <c r="AH282" s="35">
        <f>SUM(AH5:AH281)</f>
        <v/>
      </c>
      <c r="AI282" s="35">
        <f>SUM(AI5:AI281)</f>
        <v/>
      </c>
      <c r="AJ282" s="35">
        <f>SUM(AJ5:AJ281)</f>
        <v/>
      </c>
      <c r="AK282" s="35">
        <f>SUM(AK5:AK281)</f>
        <v/>
      </c>
      <c r="AL282" s="35">
        <f>SUM(AL5:AL281)</f>
        <v/>
      </c>
      <c r="AM282" s="35">
        <f>SUM(AM5:AM281)</f>
        <v/>
      </c>
      <c r="AN282" s="35">
        <f>SUM(AN5:AN281)</f>
        <v/>
      </c>
      <c r="AO282" s="35">
        <f>SUM(AO5:AO281)</f>
        <v/>
      </c>
      <c r="AP282" s="35">
        <f>SUM(AP5:AP281)</f>
        <v/>
      </c>
      <c r="AQ282" s="35">
        <f>SUM(AQ5:AQ281)</f>
        <v/>
      </c>
      <c r="AR282" s="35">
        <f>SUM(AR5:AR281)</f>
        <v/>
      </c>
      <c r="AS282" s="35">
        <f>SUM(AS5:AS281)</f>
        <v/>
      </c>
      <c r="AT282" s="35">
        <f>SUM(AT5:AT281)</f>
        <v/>
      </c>
      <c r="AU282" s="35">
        <f>SUM(AU5:AU281)</f>
        <v/>
      </c>
      <c r="AV282" s="35">
        <f>SUM(AV5:AV281)</f>
        <v/>
      </c>
      <c r="AW282" s="35">
        <f>SUM(AW5:AW281)</f>
        <v/>
      </c>
      <c r="AX282" s="35">
        <f>SUM(AX5:AX281)</f>
        <v/>
      </c>
      <c r="AY282" s="35">
        <f>SUM(AY5:AY281)</f>
        <v/>
      </c>
      <c r="AZ282" s="35">
        <f>SUM(AZ5:AZ281)</f>
        <v/>
      </c>
      <c r="BA282" s="35">
        <f>SUM(BA5:BA281)</f>
        <v/>
      </c>
      <c r="BB282" s="35">
        <f>SUM(BB5:BB281)</f>
        <v/>
      </c>
      <c r="BC282" s="35">
        <f>SUM(BC5:BC281)</f>
        <v/>
      </c>
      <c r="BD282" s="35">
        <f>SUM(BD5:BD281)</f>
        <v/>
      </c>
      <c r="BE282" s="35">
        <f>SUM(BE5:BE281)</f>
        <v/>
      </c>
      <c r="BF282" s="35">
        <f>SUM(BF5:BF281)</f>
        <v/>
      </c>
      <c r="BG282" s="35">
        <f>SUM(BG5:BG281)</f>
        <v/>
      </c>
      <c r="BH282" s="35">
        <f>SUM(BH5:BH281)</f>
        <v/>
      </c>
      <c r="BI282" s="35">
        <f>SUM(BI5:BI281)</f>
        <v/>
      </c>
      <c r="BJ282" s="35">
        <f>SUM(BJ5:BJ281)</f>
        <v/>
      </c>
      <c r="BK282" s="35">
        <f>SUM(BK5:BK281)</f>
        <v/>
      </c>
      <c r="BL282" s="35">
        <f>SUM(BL5:BL281)</f>
        <v/>
      </c>
    </row>
  </sheetData>
  <autoFilter ref="A4:BL281"/>
  <mergeCells count="18">
    <mergeCell ref="AX3:BB3"/>
    <mergeCell ref="E3:I3"/>
    <mergeCell ref="AI3:AM3"/>
    <mergeCell ref="AN3:AR3"/>
    <mergeCell ref="AD3:AH3"/>
    <mergeCell ref="A2:O2"/>
    <mergeCell ref="J3:N3"/>
    <mergeCell ref="O3:S3"/>
    <mergeCell ref="Y3:AC3"/>
    <mergeCell ref="AS3:AW3"/>
    <mergeCell ref="C3:C4"/>
    <mergeCell ref="B3:B4"/>
    <mergeCell ref="A3:A4"/>
    <mergeCell ref="BC3:BG3"/>
    <mergeCell ref="BH3:BL3"/>
    <mergeCell ref="A1:O1"/>
    <mergeCell ref="D3:D4"/>
    <mergeCell ref="T3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2026-10-15T21:27:22Z</dcterms:created>
  <dcterms:modified xmlns:dcterms="http://purl.org/dc/terms/" xmlns:xsi="http://www.w3.org/2001/XMLSchema-instance" xsi:type="dcterms:W3CDTF">2026-10-15T21:27:27Z</dcterms:modified>
</cp:coreProperties>
</file>